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3.xml" ContentType="application/vnd.openxmlformats-officedocument.drawing+xml"/>
  <Override PartName="/xl/drawings/charts/chart9.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4.xml" ContentType="application/vnd.openxmlformats-officedocument.drawing+xml"/>
  <Override PartName="/xl/drawings/charts/chart10.xml" ContentType="application/vnd.openxmlformats-officedocument.drawingml.chart+xml"/>
  <Override PartName="/xl/worksheets/sheet37.xml" ContentType="application/vnd.openxmlformats-officedocument.spreadsheetml.worksheet+xml"/>
  <Override PartName="/xl/worksheets/sheet38.xml" ContentType="application/vnd.openxmlformats-officedocument.spreadsheetml.worksheet+xml"/>
  <Override PartName="/xl/drawings/drawing5.xml" ContentType="application/vnd.openxmlformats-officedocument.drawing+xml"/>
  <Override PartName="/xl/drawings/charts/chart11.xml" ContentType="application/vnd.openxmlformats-officedocument.drawingml.char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abc1caa68d4c96" /></Relationships>
</file>

<file path=xl/workbook.xml><?xml version="1.0" encoding="utf-8"?>
<x:workbook xmlns:x="http://schemas.openxmlformats.org/spreadsheetml/2006/main">
  <x:sheets>
    <x:sheet xmlns:r="http://schemas.openxmlformats.org/officeDocument/2006/relationships" name="S01_Cover" sheetId="1" r:id="Rf7db68b984ac41ba"/>
    <x:sheet xmlns:r="http://schemas.openxmlformats.org/officeDocument/2006/relationships" name="S02_Workflow_Map" sheetId="2" r:id="R0e95f78333c34eb3"/>
    <x:sheet xmlns:r="http://schemas.openxmlformats.org/officeDocument/2006/relationships" name="S03_Charts_Dashboard" sheetId="3" r:id="R4fab7b9009164161"/>
    <x:sheet xmlns:r="http://schemas.openxmlformats.org/officeDocument/2006/relationships" name="S04_Final_ERR" sheetId="4" r:id="R6ad65cca57d14942"/>
    <x:sheet xmlns:r="http://schemas.openxmlformats.org/officeDocument/2006/relationships" name="S05_Full_Equation_Register" sheetId="5" r:id="Ra45df99e07454acf"/>
    <x:sheet xmlns:r="http://schemas.openxmlformats.org/officeDocument/2006/relationships" name="S06_Carbon_Pool_Table" sheetId="6" r:id="R33b01897f50645ff"/>
    <x:sheet xmlns:r="http://schemas.openxmlformats.org/officeDocument/2006/relationships" name="S07_Data_Parameters_Monitored" sheetId="7" r:id="Rda31a5c4539143b5"/>
    <x:sheet xmlns:r="http://schemas.openxmlformats.org/officeDocument/2006/relationships" name="S08_Defaults" sheetId="8" r:id="Rc2c9d4b9ca0340be"/>
    <x:sheet xmlns:r="http://schemas.openxmlformats.org/officeDocument/2006/relationships" name="S09_PB_Input" sheetId="9" r:id="Race3162711444544"/>
    <x:sheet xmlns:r="http://schemas.openxmlformats.org/officeDocument/2006/relationships" name="S10_PSP_Register" sheetId="10" r:id="Rf3bf002bac734f71"/>
    <x:sheet xmlns:r="http://schemas.openxmlformats.org/officeDocument/2006/relationships" name="S11_PSP_Register_Carbon_Trace" sheetId="11" r:id="R17a67a09e47d4dd0"/>
    <x:sheet xmlns:r="http://schemas.openxmlformats.org/officeDocument/2006/relationships" name="S12_PSP_Biomass_Calculator" sheetId="12" r:id="Rcd56f316862e4d80"/>
    <x:sheet xmlns:r="http://schemas.openxmlformats.org/officeDocument/2006/relationships" name="S13_PSP_Species_Support" sheetId="13" r:id="R765379b626dc44f5"/>
    <x:sheet xmlns:r="http://schemas.openxmlformats.org/officeDocument/2006/relationships" name="S14_Growth_Model_ExAnte" sheetId="14" r:id="Rec4329c51a9a455e"/>
    <x:sheet xmlns:r="http://schemas.openxmlformats.org/officeDocument/2006/relationships" name="S15_Source_Strata" sheetId="15" r:id="Rc322a1fb8b5f4e09"/>
    <x:sheet xmlns:r="http://schemas.openxmlformats.org/officeDocument/2006/relationships" name="S16_Population_Audit" sheetId="16" r:id="R6eaa10821f9d4221"/>
    <x:sheet xmlns:r="http://schemas.openxmlformats.org/officeDocument/2006/relationships" name="S17_Biome_Strata" sheetId="17" r:id="Rd4ce625e3b6c4f00"/>
    <x:sheet xmlns:r="http://schemas.openxmlformats.org/officeDocument/2006/relationships" name="S18_Deserts_Xeric_ER" sheetId="18" r:id="R5e5d7517ba4046a1"/>
    <x:sheet xmlns:r="http://schemas.openxmlformats.org/officeDocument/2006/relationships" name="S19_Moist_Broadleaf_ER" sheetId="19" r:id="R08599992016d4471"/>
    <x:sheet xmlns:r="http://schemas.openxmlformats.org/officeDocument/2006/relationships" name="S20_Dry_Broadleaf_ER" sheetId="20" r:id="Ra15e972060fc4416"/>
    <x:sheet xmlns:r="http://schemas.openxmlformats.org/officeDocument/2006/relationships" name="S21_Deserts_Xeric_Fruit" sheetId="21" r:id="Re6d006478f2e45c4"/>
    <x:sheet xmlns:r="http://schemas.openxmlformats.org/officeDocument/2006/relationships" name="S22_Deserts_Xeric_Horti" sheetId="22" r:id="R9b0e6dec777a49cb"/>
    <x:sheet xmlns:r="http://schemas.openxmlformats.org/officeDocument/2006/relationships" name="S23_Deserts_Xeric_Timber" sheetId="23" r:id="R53e6d19834b247f1"/>
    <x:sheet xmlns:r="http://schemas.openxmlformats.org/officeDocument/2006/relationships" name="S24_Deserts_Xeric_Mixed" sheetId="24" r:id="R5108f29fdd214bc2"/>
    <x:sheet xmlns:r="http://schemas.openxmlformats.org/officeDocument/2006/relationships" name="S25_Moist_Broadleaf_Fruit" sheetId="25" r:id="Rc4f6425aa41049c5"/>
    <x:sheet xmlns:r="http://schemas.openxmlformats.org/officeDocument/2006/relationships" name="S26_Moist_Broadleaf_Horti" sheetId="26" r:id="Ref1fc775817f402c"/>
    <x:sheet xmlns:r="http://schemas.openxmlformats.org/officeDocument/2006/relationships" name="S27_Moist_Broadleaf_Timber" sheetId="27" r:id="R40cdbab1ea20450b"/>
    <x:sheet xmlns:r="http://schemas.openxmlformats.org/officeDocument/2006/relationships" name="S28_Moist_Broadleaf_Mixed" sheetId="28" r:id="Rb8e4c234e821475a"/>
    <x:sheet xmlns:r="http://schemas.openxmlformats.org/officeDocument/2006/relationships" name="S29_Dry_Broadleaf_Fruit" sheetId="29" r:id="Rec010dc8c8604d49"/>
    <x:sheet xmlns:r="http://schemas.openxmlformats.org/officeDocument/2006/relationships" name="S30_Dry_Broadleaf_Horti" sheetId="30" r:id="Rbcbd5878c2ef43c5"/>
    <x:sheet xmlns:r="http://schemas.openxmlformats.org/officeDocument/2006/relationships" name="S31_Dry_Broadleaf_Timber" sheetId="31" r:id="Rbc3a854e2a39436d"/>
    <x:sheet xmlns:r="http://schemas.openxmlformats.org/officeDocument/2006/relationships" name="S32_Dry_Broadleaf_Mixed" sheetId="32" r:id="Rada3b3beb1f04597"/>
    <x:sheet xmlns:r="http://schemas.openxmlformats.org/officeDocument/2006/relationships" name="S33_Project_Deductions" sheetId="33" r:id="Rffa1784f0da049b8"/>
    <x:sheet xmlns:r="http://schemas.openxmlformats.org/officeDocument/2006/relationships" name="S34_Species_Silviculture_Basis" sheetId="34" r:id="R55fab869fdc443d4"/>
    <x:sheet xmlns:r="http://schemas.openxmlformats.org/officeDocument/2006/relationships" name="S35_PE_Leakage_Derivation" sheetId="35" r:id="Rc4a174a4f5644d29"/>
    <x:sheet xmlns:r="http://schemas.openxmlformats.org/officeDocument/2006/relationships" name="S36_VMD0054_Leakage" sheetId="36" r:id="R3ee99374724f4671"/>
    <x:sheet xmlns:r="http://schemas.openxmlformats.org/officeDocument/2006/relationships" name="S37_SOC_Pool" sheetId="37" r:id="Reae2b707a2474a0a"/>
    <x:sheet xmlns:r="http://schemas.openxmlformats.org/officeDocument/2006/relationships" name="S38_Appendix2_Significance_Test" sheetId="38" r:id="R7742002304044db4"/>
    <x:sheet xmlns:r="http://schemas.openxmlformats.org/officeDocument/2006/relationships" name="S39_VM0047_Compliance_Checklist" sheetId="39" r:id="R7f1067a86ad84f81"/>
    <x:sheet xmlns:r="http://schemas.openxmlformats.org/officeDocument/2006/relationships" name="S40_References" sheetId="40" r:id="R7be1f06a71d4464a"/>
    <x:sheet xmlns:r="http://schemas.openxmlformats.org/officeDocument/2006/relationships" name="S09A_PB_Project_Plots" sheetId="41" r:id="Rd29d69d9722547c5"/>
    <x:sheet xmlns:r="http://schemas.openxmlformats.org/officeDocument/2006/relationships" name="S09B_Area_Consistency" sheetId="42" r:id="R362f2aa7804e49b8"/>
  </x:sheets>
  <x:definedNames>
    <x:definedName name="PSP_ID_LIST" hidden="0" function="0" vbProcedure="0">S13_PSP_Species_Support!$A$2:$A$68</x:definedName>
  </x:definedNames>
</x:workbook>
</file>

<file path=xl/sharedStrings.xml><?xml version="1.0" encoding="utf-8"?>
<x:sst xmlns:x="http://schemas.openxmlformats.org/spreadsheetml/2006/main">
  <x:si>
    <x:t xml:space="preserve">Ex-Ante Emission Reduction Report</x:t>
  </x:si>
  <x:si>
    <x:t xml:space="preserve">Project: Enhancing rural livelihoods of farmers through carbon finance    |    VCS ID: 4713</x:t>
  </x:si>
  <x:si>
    <x:t xml:space="preserve">Prepared by South Pole AG</x:t>
  </x:si>
  <x:si>
    <x:t xml:space="preserve">File revision date:</x:t>
  </x:si>
  <x:si>
    <x:t xml:space="preserve">31 August 2026</x:t>
  </x:si>
  <x:si>
    <x:t xml:space="preserve">Methodology:</x:t>
  </x:si>
  <x:si>
    <x:t xml:space="preserve">VM0047 Afforestation, Reforestation and Revegetation, v1.1 (14 May 2025) + VCS Standard v4.7</x:t>
  </x:si>
  <x:si>
    <x:t xml:space="preserve">Quantification approach:</x:t>
  </x:si>
  <x:si>
    <x:t xml:space="preserve">Area-based only (no census-based / planting-unit scaling used anywhere in this workbook)</x:t>
  </x:si>
  <x:si>
    <x:t xml:space="preserve">Headline result</x:t>
  </x:si>
  <x:si>
    <x:t xml:space="preserve">Total ERR area (ha)</x:t>
  </x:si>
  <x:si>
    <x:t xml:space="preserve">Established PSPs / included in ERR</x:t>
  </x:si>
  <x:si>
    <x:t xml:space="preserve">Final VCU (portfolio)</x:t>
  </x:si>
  <x:si>
    <x:t xml:space="preserve">VCU / yr (annual average)</x:t>
  </x:si>
  <x:si>
    <x:t xml:space="preserve">VCU / ha / yr (portfolio average)</x:t>
  </x:si>
  <x:si>
    <x:t xml:space="preserve">Where to start</x:t>
  </x:si>
  <x:si>
    <x:t xml:space="preserve">S04_Final_ERR</x:t>
  </x:si>
  <x:si>
    <x:t xml:space="preserve">Headline portfolio result: year-wise vertical waterfall (2020-2040), PE/leakage with equation numbers, LTA and buffer before/after, Final Net VCU.</x:t>
  </x:si>
  <x:si>
    <x:t xml:space="preserve">S02_Workflow_Map</x:t>
  </x:si>
  <x:si>
    <x:t xml:space="preserve">How the whole workbook fits together, sheet by sheet, in reading order.</x:t>
  </x:si>
  <x:si>
    <x:t xml:space="preserve">S12_PSP_Biomass_Calculator</x:t>
  </x:si>
  <x:si>
    <x:t xml:space="preserve">Pick any of the 67 PSPs from a dropdown and see its carbon math computed live.</x:t>
  </x:si>
  <x:si>
    <x:t xml:space="preserve">S14_Growth_Model_ExAnte</x:t>
  </x:si>
  <x:si>
    <x:t xml:space="preserve">Core ex-ante biological engine: Chapman-Richards D/H, Chave AGB, and the mortality/survival model.</x:t>
  </x:si>
  <x:si>
    <x:t xml:space="preserve">S05_Full_Equation_Register</x:t>
  </x:si>
  <x:si>
    <x:t xml:space="preserve">Every VM0047 equation (1)-(34) plus Appendix, mapped to this workbook.</x:t>
  </x:si>
  <x:si>
    <x:t xml:space="preserve">S06_Carbon_Pool_Table</x:t>
  </x:si>
  <x:si>
    <x:t xml:space="preserve">Which of the 7 area-based carbon pools are included, and why.</x:t>
  </x:si>
  <x:si>
    <x:t xml:space="preserve">S07_Data_Parameters_Monitored</x:t>
  </x:si>
  <x:si>
    <x:t xml:space="preserve">Every VM0047 Section 9 data parameter, matched against what this workbook actually holds.</x:t>
  </x:si>
  <x:si>
    <x:t xml:space="preserve">S39_VM0047_Compliance_Checklist</x:t>
  </x:si>
  <x:si>
    <x:t xml:space="preserve">One-page traffic-light summary of what is compliant, placeholder, or an open gap.</x:t>
  </x:si>
  <x:si>
    <x:t xml:space="preserve">S37_SOC_Pool</x:t>
  </x:si>
  <x:si>
    <x:t xml:space="preserve">Soil organic carbon module - Eq.(11) implemented but NOT included in Final VCU; ready to wire in once field data exists.</x:t>
  </x:si>
  <x:si>
    <x:t xml:space="preserve">S38_Appendix2_Significance_Test</x:t>
  </x:si>
  <x:si>
    <x:t xml:space="preserve">The full CDM/Appendix 2 significance test, Steps 1-7, run on the real numbers.</x:t>
  </x:si>
  <x:si>
    <x:t xml:space="preserve">S34_Species_Silviculture_Basis</x:t>
  </x:si>
  <x:si>
    <x:t xml:space="preserve">Harvesting age, spacing and fertilizer regime by species, from the project-supplied reference files.</x:t>
  </x:si>
  <x:si>
    <x:t xml:space="preserve">S36_VMD0054_Leakage</x:t>
  </x:si>
  <x:si>
    <x:t xml:space="preserve">Complete VMD0054 v1.1 leakage calculation: displacement, mitigation, land impact, carbon-stock change, final-use linkage.</x:t>
  </x:si>
  <x:si>
    <x:t xml:space="preserve">S40_References</x:t>
  </x:si>
  <x:si>
    <x:t xml:space="preserve">Every source and citation used in this workbook.</x:t>
  </x:si>
  <x:si>
    <x:t xml:space="preserve">Legend:</x:t>
  </x:si>
  <x:si>
    <x:t xml:space="preserve">Legend</x:t>
  </x:si>
  <x:si>
    <x:t xml:space="preserve">Pale-yellow cells are manual inputs; pale-blue cells are calculated outputs / headline results.</x:t>
  </x:si>
  <x:si>
    <x:t xml:space="preserve">Tab colors:</x:t>
  </x:si>
  <x:si>
    <x:t xml:space="preserve">Green</x:t>
  </x:si>
  <x:si>
    <x:t xml:space="preserve">Navigation and headline results</x:t>
  </x:si>
  <x:si>
    <x:t xml:space="preserve">Blue</x:t>
  </x:si>
  <x:si>
    <x:t xml:space="preserve">PSP source data and traceability</x:t>
  </x:si>
  <x:si>
    <x:t xml:space="preserve">Gold</x:t>
  </x:si>
  <x:si>
    <x:t xml:space="preserve">Compliance, equations, references and documentation</x:t>
  </x:si>
  <x:si>
    <x:t xml:space="preserve">Grey</x:t>
  </x:si>
  <x:si>
    <x:t xml:space="preserve">Calculation engine</x:t>
  </x:si>
  <x:si>
    <x:t xml:space="preserve">Ex-Ante ERR - How This Workbook Works, Start to Finish</x:t>
  </x:si>
  <x:si>
    <x:t xml:space="preserve">Read top to bottom: each step consumes the output of the step above it. This is the single map for the whole calculation chain, from a single measured PSP plot to the final portfolio VCU figure.</x:t>
  </x:si>
  <x:si>
    <x:t xml:space="preserve">Step</x:t>
  </x:si>
  <x:si>
    <x:t xml:space="preserve">Sheet(s)</x:t>
  </x:si>
  <x:si>
    <x:t xml:space="preserve">What happens here</x:t>
  </x:si>
  <x:si>
    <x:t xml:space="preserve">Equation(s) applied</x:t>
  </x:si>
  <x:si>
    <x:t xml:space="preserve">Feeds into</x:t>
  </x:si>
  <x:si>
    <x:t xml:space="preserve">1. Plot establishment</x:t>
  </x:si>
  <x:si>
    <x:t xml:space="preserve">S10_PSP_Register; S11_PSP_Register_Carbon_Trace; S14_Growth_Model_ExAnte</x:t>
  </x:si>
  <x:si>
    <x:t xml:space="preserve">Chapman-Richards D/H; Chave et al. (2014)</x:t>
  </x:si>
  <x:si>
    <x:t xml:space="preserve">Step 2 - aggregate PSP age curves to strata</x:t>
  </x:si>
  <x:si>
    <x:t xml:space="preserve">2. Stratum curve fitting</x:t>
  </x:si>
  <x:si>
    <x:t xml:space="preserve">S15_Source_Strata</x:t>
  </x:si>
  <x:si>
    <x:t xml:space="preserve">VM0047 woody carbon conversion using CF, R and 44/12</x:t>
  </x:si>
  <x:si>
    <x:t xml:space="preserve">Step 3 - multiply formula-derived stock/ha by eligible area</x:t>
  </x:si>
  <x:si>
    <x:t xml:space="preserve">3. Area allocation</x:t>
  </x:si>
  <x:si>
    <x:t xml:space="preserve">VM0047 Eq.(3): ΔC_WP-woody,t = A × (C_WP-woody,t − C_WP-woody,t=0)</x:t>
  </x:si>
  <x:si>
    <x:t xml:space="preserve">Appendix 1 PB definition: PB_t = ΔSI_control,t/ΔSI_wp,t;  applied as MIN(gross, gross×(1−PB))</x:t>
  </x:si>
  <x:si>
    <x:t xml:space="preserve">Step 6 - all 12 sheets are summed into the portfolio totals</x:t>
  </x:si>
  <x:si>
    <x:t xml:space="preserve">6. Portfolio summary</x:t>
  </x:si>
  <x:si>
    <x:t xml:space="preserve">VM0047 Eq.(12), Eq.(32), Eq.(34); VCS LTA cap; non-permanence buffer</x:t>
  </x:si>
  <x:si>
    <x:t xml:space="preserve">This is the headline result of the whole workbook</x:t>
  </x:si>
  <x:si>
    <x:t xml:space="preserve">Supporting / cross-cutting</x:t>
  </x:si>
  <x:si>
    <x:t xml:space="preserve">S08_Defaults, S09_PB_Input, S33_Project_Deductions, S35_PE_Leakage_Derivation, S36_VMD0054_Leakage, S40_References</x:t>
  </x:si>
  <x:si>
    <x:t xml:space="preserve">Shared inputs and deductions. Fertilizer dosage drives PE_fert; S36_VMD0054_Leakage contains the complete VMD0054 v1.1 leakage engine and feeds final-use annual leakage into S33_Project_Deductions.</x:t>
  </x:si>
  <x:si>
    <x:t xml:space="preserve">Used throughout Steps 2-6</x:t>
  </x:si>
  <x:si>
    <x:t xml:space="preserve">Compliance layer (added this revision)</x:t>
  </x:si>
  <x:si>
    <x:t xml:space="preserve">S05_Full_Equation_Register, S06_Carbon_Pool_Table, S38_Appendix2_Significance_Test, S39_VM0047_Compliance_Checklist, S11_PSP_Register_Carbon_Trace, S14_Growth_Model_ExAnte</x:t>
  </x:si>
  <x:si>
    <x:t xml:space="preserve">Review layer covering equations, carbon-pool inclusion/exclusion, Appendix 2 significance, leakage module, compliance status and plot-level carbon trace.</x:t>
  </x:si>
  <x:si>
    <x:t xml:space="preserve">VM0047 Appendix 2; VMD0054 v1.1</x:t>
  </x:si>
  <x:si>
    <x:t xml:space="preserve">Validation / verification evidence package</x:t>
  </x:si>
  <x:si>
    <x:t xml:space="preserve">VCS 4713 | Ex-Ante ERR Portfolio Dashboard</x:t>
  </x:si>
  <x:si>
    <x:t xml:space="preserve">Year</x:t>
  </x:si>
  <x:si>
    <x:t xml:space="preserve">Gross cumulative</x:t>
  </x:si>
  <x:si>
    <x:t xml:space="preserve">PB-adjusted cumulative</x:t>
  </x:si>
  <x:si>
    <x:t xml:space="preserve">Total PE annual</x:t>
  </x:si>
  <x:si>
    <x:t xml:space="preserve">Leakage annual</x:t>
  </x:si>
  <x:si>
    <x:t xml:space="preserve">Buffer annual</x:t>
  </x:si>
  <x:si>
    <x:t xml:space="preserve">Final VCU annual</x:t>
  </x:si>
  <x:si>
    <x:t xml:space="preserve">Cumulative final VCU</x:t>
  </x:si>
  <x:si>
    <x:t xml:space="preserve">Area ha</x:t>
  </x:si>
  <x:si>
    <x:t xml:space="preserve">Final VCU</x:t>
  </x:si>
  <x:si>
    <x:t xml:space="preserve">VCU/ha/yr</x:t>
  </x:si>
  <x:si>
    <x:t xml:space="preserve">Model</x:t>
  </x:si>
  <x:si>
    <x:t xml:space="preserve">Annual Final VCU</x:t>
  </x:si>
  <x:si>
    <x:t xml:space="preserve">Cumulative Final VCU</x:t>
  </x:si>
  <x:si>
    <x:t xml:space="preserve">Project emissions</x:t>
  </x:si>
  <x:si>
    <x:t xml:space="preserve">Leakage</x:t>
  </x:si>
  <x:si>
    <x:t xml:space="preserve">Buffer withheld</x:t>
  </x:si>
  <x:si>
    <x:t xml:space="preserve">VCU/ha/year</x:t>
  </x:si>
  <x:si>
    <x:t xml:space="preserve">Portfolio area (ha)</x:t>
  </x:si>
  <x:si>
    <x:t xml:space="preserve">Average VCU/ha/yr</x:t>
  </x:si>
  <x:si>
    <x:t xml:space="preserve">Total PE</x:t>
  </x:si>
  <x:si>
    <x:t xml:space="preserve">Total leakage</x:t>
  </x:si>
  <x:si>
    <x:t xml:space="preserve">Peak annual VCU</x:t>
  </x:si>
  <x:si>
    <x:t xml:space="preserve">LTA years</x:t>
  </x:si>
  <x:si>
    <x:t xml:space="preserve">Buffer</x:t>
  </x:si>
  <x:si>
    <x:t xml:space="preserve">Fruit Orchard</x:t>
  </x:si>
  <x:si>
    <x:t xml:space="preserve">Horti-Silviculture</x:t>
  </x:si>
  <x:si>
    <x:t xml:space="preserve">Timber Plantation</x:t>
  </x:si>
  <x:si>
    <x:t xml:space="preserve">Mixed Agroforestry</x:t>
  </x:si>
  <x:si>
    <x:t xml:space="preserve">ERR included area (ha) - see S08_Defaults for reconciliation against the full GKF programme area</x:t>
  </x:si>
  <x:si>
    <x:t xml:space="preserve">Buffer withholding</x:t>
  </x:si>
  <x:si>
    <x:t xml:space="preserve">Final VCU (tCO2e)</x:t>
  </x:si>
  <x:si>
    <x:t xml:space="preserve">Final VCU/ha</x:t>
  </x:si>
  <x:si>
    <x:t xml:space="preserve">PE_fert used (tCO2e)</x:t>
  </x:si>
  <x:si>
    <x:t xml:space="preserve">Avg VCU/ha/yr</x:t>
  </x:si>
  <x:si>
    <x:t xml:space="preserve">Fertilizer dosage input</x:t>
  </x:si>
  <x:si>
    <x:t xml:space="preserve">18_PE...!B8:B11</x:t>
  </x:si>
  <x:si>
    <x:t xml:space="preserve">PE_bburn input</x:t>
  </x:si>
  <x:si>
    <x:t xml:space="preserve">07_Project...!I4:I24</x:t>
  </x:si>
  <x:si>
    <x:t xml:space="preserve">Method</x:t>
  </x:si>
  <x:si>
    <x:t xml:space="preserve">VM0047 area-based</x:t>
  </x:si>
  <x:si>
    <x:t xml:space="preserve">Final-use PE</x:t>
  </x:si>
  <x:si>
    <x:t xml:space="preserve">07_Project...!B4:B24</x:t>
  </x:si>
  <x:si>
    <x:t xml:space="preserve">Leakage source</x:t>
  </x:si>
  <x:si>
    <x:t xml:space="preserve">Calculation path</x:t>
  </x:si>
  <x:si>
    <x:t xml:space="preserve">PE_fert → PE_t → Eq32 → LTA → Buffer</x:t>
  </x:si>
  <x:si>
    <x:t xml:space="preserve">Gross ΔCWP cumulative
Eq.(1)(3)(4)</x:t>
  </x:si>
  <x:si>
    <x:t xml:space="preserve">PB-adjusted ΔCWP cumulative
Appendix 1 PB</x:t>
  </x:si>
  <x:si>
    <x:t xml:space="preserve">PE_fert annual
Eq.(15)-(21)</x:t>
  </x:si>
  <x:si>
    <x:t xml:space="preserve">PE_bburn annual
Eq.(13)-(14)</x:t>
  </x:si>
  <x:si>
    <x:t xml:space="preserve">Total PE annual
Eq.(12)</x:t>
  </x:si>
  <x:si>
    <x:t xml:space="preserve">Cumulative PE</x:t>
  </x:si>
  <x:si>
    <x:t xml:space="preserve">Leakage annual
VMD0054</x:t>
  </x:si>
  <x:si>
    <x:t xml:space="preserve">Cumulative leakage</x:t>
  </x:si>
  <x:si>
    <x:t xml:space="preserve">Ex-ante uncertainty
§8.7(3)</x:t>
  </x:si>
  <x:si>
    <x:t xml:space="preserve">Eq.(32) net removals
cumulative</x:t>
  </x:si>
  <x:si>
    <x:t xml:space="preserve">Eq.(34) annual CR</x:t>
  </x:si>
  <x:si>
    <x:t xml:space="preserve">LTA-capped cumulative eligible</x:t>
  </x:si>
  <x:si>
    <x:t xml:space="preserve">Annual eligible before buffer</x:t>
  </x:si>
  <x:si>
    <x:t xml:space="preserve">Buffer withheld annual</x:t>
  </x:si>
  <x:si>
    <x:t xml:space="preserve">FINAL NET VCU annual</x:t>
  </x:si>
  <x:si>
    <x:t xml:space="preserve">Cumulative FINAL NET VCU</x:t>
  </x:si>
  <x:si>
    <x:t xml:space="preserve">Trace</x:t>
  </x:si>
  <x:si>
    <x:t xml:space="preserve">Eq32 → LTA → Buffer</x:t>
  </x:si>
  <x:si>
    <x:t xml:space="preserve">Reconciliation and Final-Use Checks</x:t>
  </x:si>
  <x:si>
    <x:t xml:space="preserve">tCO2e</x:t>
  </x:si>
  <x:si>
    <x:t xml:space="preserve">Final VCU from year-wise table</x:t>
  </x:si>
  <x:si>
    <x:t xml:space="preserve">Cumulative Final Net VCU at 2040.</x:t>
  </x:si>
  <x:si>
    <x:t xml:space="preserve">Difference</x:t>
  </x:si>
  <x:si>
    <x:t xml:space="preserve">Must be 0 apart from rounding.</x:t>
  </x:si>
  <x:si>
    <x:t xml:space="preserve">Fertilizer PE total USED in final</x:t>
  </x:si>
  <x:si>
    <x:t xml:space="preserve">Live PE_fert from S35_PE_Leakage_Derivation, driven by user dosage inputs B8:B11.</x:t>
  </x:si>
  <x:si>
    <x:t xml:space="preserve">Biomass-burning PE user input total</x:t>
  </x:si>
  <x:si>
    <x:t xml:space="preserve">Annual user input in S33_Project_Deductions column I; default 0.</x:t>
  </x:si>
  <x:si>
    <x:t xml:space="preserve">Total project emissions PE_t USED in final</x:t>
  </x:si>
  <x:si>
    <x:t xml:space="preserve">VM0047 Eq.(12) = PE_fert + PE_bburn. This is the PE series deducted in Eq.(32).</x:t>
  </x:si>
  <x:si>
    <x:t xml:space="preserve">Leakage total USED in final</x:t>
  </x:si>
  <x:si>
    <x:t xml:space="preserve">Leakage total USED in final links to S36_VMD0054_Leakage. Mode is Legacy, carrying the real 2020-2024 VMD0054 calculation from ERR_Sheet_GKF_V1_1 (seven displaced commodities, Government of India crop production data). Switch to full VMD0054 mode once commodity, yield, and land-use inputs are entered directly in that sheet.</x:t>
  </x:si>
  <x:si>
    <x:t xml:space="preserve">User-editable fertilizer dosage</x:t>
  </x:si>
  <x:si>
    <x:t xml:space="preserve">S35_PE_Leakage_Derivation!B8:B11</x:t>
  </x:si>
  <x:si>
    <x:t xml:space="preserve">Ex-Ante ERR - Complete VM0047 v1.1 Equation Register (Area-Based Approach)</x:t>
  </x:si>
  <x:si>
    <x:t xml:space="preserve">Every numbered equation in Sections 8.1-8.7 and Appendix 1 of VM0047 v1.1 (14 May 2025), mapped to this workbook. Census-based equations (22-27, 29-31) are listed as not applicable because this project uses the area-based approach exclusively (see S06_Carbon_Pool_Table for pool-level detail).</x:t>
  </x:si>
  <x:si>
    <x:t xml:space="preserve">Eq. No.</x:t>
  </x:si>
  <x:si>
    <x:t xml:space="preserve">VM0047 v1.1 Section</x:t>
  </x:si>
  <x:si>
    <x:t xml:space="preserve">What it computes</x:t>
  </x:si>
  <x:si>
    <x:t xml:space="preserve">Formula (as published)</x:t>
  </x:si>
  <x:si>
    <x:t xml:space="preserve">Carbon pool / component</x:t>
  </x:si>
  <x:si>
    <x:t xml:space="preserve">Used in this ERR?</x:t>
  </x:si>
  <x:si>
    <x:t xml:space="preserve">Workbook location</x:t>
  </x:si>
  <x:si>
    <x:t xml:space="preserve">Status / note for reviewer</x:t>
  </x:si>
  <x:si>
    <x:t xml:space="preserve">(1)</x:t>
  </x:si>
  <x:si>
    <x:t xml:space="preserve">8.2.1</x:t>
  </x:si>
  <x:si>
    <x:t xml:space="preserve">Total project carbon stock change</x:t>
  </x:si>
  <x:si>
    <x:t xml:space="preserve">ΔC_WP,t = (ΔC_WP-biomass,t + ΔC_WP-SOC,t) × 44/12</x:t>
  </x:si>
  <x:si>
    <x:t xml:space="preserve">Aggregate (biomass + SOC) → tCO2e</x:t>
  </x:si>
  <x:si>
    <x:t xml:space="preserve">Yes</x:t>
  </x:si>
  <x:si>
    <x:t xml:space="preserve">ΔC_WP-SOC,t currently fixed at 0 (SOC pool excluded - see 00C, row for SOC).</x:t>
  </x:si>
  <x:si>
    <x:t xml:space="preserve">(2)</x:t>
  </x:si>
  <x:si>
    <x:t xml:space="preserve">Biomass pool aggregation</x:t>
  </x:si>
  <x:si>
    <x:t xml:space="preserve">ΔC_WP-biomass,t = ΔC_WP-woody,t + ΔC_WP-herb,t + ΔC_WP-DW,t + ΔC_WP-LI,t</x:t>
  </x:si>
  <x:si>
    <x:t xml:space="preserve">Woody + non-woody + dead wood + litter</x:t>
  </x:si>
  <x:si>
    <x:t xml:space="preserve">Partial</x:t>
  </x:si>
  <x:si>
    <x:t xml:space="preserve">Only ΔC_WP-woody,t is populated. Herb, dead wood and litter terms are implicitly zero - this is only conservative if each is confirmed de minimis under Appendix 2, which is not yet documented in this file.</x:t>
  </x:si>
  <x:si>
    <x:t xml:space="preserve">(3)</x:t>
  </x:si>
  <x:si>
    <x:t xml:space="preserve">8.2.1.1</x:t>
  </x:si>
  <x:si>
    <x:t xml:space="preserve">Woody biomass stock change - AREA-BASED core equation</x:t>
  </x:si>
  <x:si>
    <x:t xml:space="preserve">ΔC_WP-woody,t = A × (C_WP-woody,t − C_WP-woody,t=0)</x:t>
  </x:si>
  <x:si>
    <x:t xml:space="preserve">Woody biomass (AGB+BGB)</x:t>
  </x:si>
  <x:si>
    <x:t xml:space="preserve">(4)</x:t>
  </x:si>
  <x:si>
    <x:t xml:space="preserve">Woody biomass = AGB × (1+R)</x:t>
  </x:si>
  <x:si>
    <x:t xml:space="preserve">C_WP-woody,t = C_WP-woody-AB,t × (1+R)</x:t>
  </x:si>
  <x:si>
    <x:t xml:space="preserve">Woody biomass, root:shoot split</x:t>
  </x:si>
  <x:si>
    <x:t xml:space="preserve">S08_Defaults!B7 (R=0.24); S15_Source_Strata</x:t>
  </x:si>
  <x:si>
    <x:t xml:space="preserve">Confirm R=0.24 is sourced per the methodology's descending-preference hierarchy (ecoregion/forest-type-specific → global forest-type → species-specific → global species) and is documented outside this ERR file (e.g., in the PSP establishment workbook).</x:t>
  </x:si>
  <x:si>
    <x:t xml:space="preserve">(5)-(6)</x:t>
  </x:si>
  <x:si>
    <x:t xml:space="preserve">8.2.1.3</x:t>
  </x:si>
  <x:si>
    <x:t xml:space="preserve">Non-woody (herbaceous) biomass</x:t>
  </x:si>
  <x:si>
    <x:t xml:space="preserve">ΔC_WP-herb,t = A×(C_WP-herb,t − C_WP-herb,t=0); C_WP-herb,t = DM_WP-herb,t × CF</x:t>
  </x:si>
  <x:si>
    <x:t xml:space="preserve">Non-woody biomass</x:t>
  </x:si>
  <x:si>
    <x:t xml:space="preserve">No - pool excluded</x:t>
  </x:si>
  <x:si>
    <x:t xml:space="preserve"> - </x:t>
  </x:si>
  <x:si>
    <x:t xml:space="preserve">Excluded pool. Optional under Table 1 unless the project activity 'significantly reduces' this pool (Appendix 2 test) - no such test is on file.</x:t>
  </x:si>
  <x:si>
    <x:t xml:space="preserve">(7)-(8)</x:t>
  </x:si>
  <x:si>
    <x:t xml:space="preserve">8.2.1.4</x:t>
  </x:si>
  <x:si>
    <x:t xml:space="preserve">Dead wood</x:t>
  </x:si>
  <x:si>
    <x:t xml:space="preserve">ΔC_WP-DW,t = A×(C_WP-DW,t − C_WP-DW,t=0); C_WP-DW,t=(B_SDW,t+B_LDW,t)×CF</x:t>
  </x:si>
  <x:si>
    <x:t xml:space="preserve">Excluded pool. Must be included if site preparation removed dead wood, or if Appendix 2 shows it is significantly reduced by the project activity. PP to confirm site-preparation method for each PSP cohort.</x:t>
  </x:si>
  <x:si>
    <x:t xml:space="preserve">(9)-(10)</x:t>
  </x:si>
  <x:si>
    <x:t xml:space="preserve">8.2.1.5</x:t>
  </x:si>
  <x:si>
    <x:t xml:space="preserve">Litter</x:t>
  </x:si>
  <x:si>
    <x:t xml:space="preserve">ΔC_WP-LI,t = A×(C_WP-LI,t − C_WP-LI,t=0); C_WP-LI,t = DM_WP-LI,t × CF</x:t>
  </x:si>
  <x:si>
    <x:t xml:space="preserve">Excluded pool. Optional unless Appendix 2 shows significant reduction.</x:t>
  </x:si>
  <x:si>
    <x:t xml:space="preserve">(11)</x:t>
  </x:si>
  <x:si>
    <x:t xml:space="preserve">8.2.1.6</x:t>
  </x:si>
  <x:si>
    <x:t xml:space="preserve">Soil organic carbon</x:t>
  </x:si>
  <x:si>
    <x:t xml:space="preserve">ΔC_WP-SOC,t = A×(C_WP-SOC,t − C_WP-SOC,t=0)</x:t>
  </x:si>
  <x:si>
    <x:t xml:space="preserve">SOC</x:t>
  </x:si>
  <x:si>
    <x:t xml:space="preserve">S37_SOC_Pool (structural module, not linked to Final VCU)</x:t>
  </x:si>
  <x:si>
    <x:t xml:space="preserve">(12)</x:t>
  </x:si>
  <x:si>
    <x:t xml:space="preserve">8.2.2</x:t>
  </x:si>
  <x:si>
    <x:t xml:space="preserve">Total project emissions</x:t>
  </x:si>
  <x:si>
    <x:t xml:space="preserve">PE_t = PE_bburn,t + PE_fert,t</x:t>
  </x:si>
  <x:si>
    <x:t xml:space="preserve">Biomass burning + fertilizer N2O</x:t>
  </x:si>
  <x:si>
    <x:t xml:space="preserve">Yes - live</x:t>
  </x:si>
  <x:si>
    <x:t xml:space="preserve">S33_Project_Deductions col B = col H (PE_fert) + col I (PE_bburn)</x:t>
  </x:si>
  <x:si>
    <x:t xml:space="preserve">Total PE_t is now fully linked into the final ERR. Fertilizer emissions come from the live Part A calculation in S35_PE_Leakage_Derivation; biomass burning is a separate user-input component (default 0 unless burning occurs).</x:t>
  </x:si>
  <x:si>
    <x:t xml:space="preserve">(13)-(14)</x:t>
  </x:si>
  <x:si>
    <x:t xml:space="preserve">8.2.2.1</x:t>
  </x:si>
  <x:si>
    <x:t xml:space="preserve">Biomass-burning emissions detail</x:t>
  </x:si>
  <x:si>
    <x:t xml:space="preserve">PE_bburn,t = ΣGWP_g×EF_g×B_WP,t×COMF×A_burn,t×10⁻³; B_WP,t from pool stocks t−x</x:t>
  </x:si>
  <x:si>
    <x:t xml:space="preserve">CH4, N2O from burning</x:t>
  </x:si>
  <x:si>
    <x:t xml:space="preserve">Input-ready; default 0</x:t>
  </x:si>
  <x:si>
    <x:t xml:space="preserve">S33_Project_Deductions col I</x:t>
  </x:si>
  <x:si>
    <x:t xml:space="preserve">Enter annual PE_bburn only if biomass burning occurs and has been quantified under Eq.(13)-(14). Current default 0 represents no project biomass burning.</x:t>
  </x:si>
  <x:si>
    <x:t xml:space="preserve">(15)-(21)</x:t>
  </x:si>
  <x:si>
    <x:t xml:space="preserve">8.2.2.2</x:t>
  </x:si>
  <x:si>
    <x:t xml:space="preserve">Fertilizer N2O emissions detail (direct + indirect: volatilization, leaching)</x:t>
  </x:si>
  <x:si>
    <x:t xml:space="preserve">PE_fert,t = PE_Ndirect,t + PE_Nindirect,t (six sub-equations)</x:t>
  </x:si>
  <x:si>
    <x:t xml:space="preserve">N2O from synthetic/organic N fertilizer</x:t>
  </x:si>
  <x:si>
    <x:t xml:space="preserve">S35_PE_Leakage_Derivation Part A → S33_Project_Deductions col H</x:t>
  </x:si>
  <x:si>
    <x:t xml:space="preserve">N dosage user inputs are S35_PE_Leakage_Derivation!B8:B11. Eligible cohort area × tree density × age-specific N dosage is converted to direct + indirect N2O and CO2e using the listed IPCC factors; the result is used in S04_Final_ERR.</x:t>
  </x:si>
  <x:si>
    <x:t xml:space="preserve">(22)-(25)</x:t>
  </x:si>
  <x:si>
    <x:t xml:space="preserve">8.3.1</x:t>
  </x:si>
  <x:si>
    <x:t xml:space="preserve">Census-based carbon stock change (N × per-planting-unit stock)</x:t>
  </x:si>
  <x:si>
    <x:t xml:space="preserve">Not applicable</x:t>
  </x:si>
  <x:si>
    <x:t xml:space="preserve">Woody biomass, planting-unit basis</x:t>
  </x:si>
  <x:si>
    <x:t xml:space="preserve">N/A</x:t>
  </x:si>
  <x:si>
    <x:t xml:space="preserve">Census-based approach not used by this project - correctly excluded, confirms area-based-only design.</x:t>
  </x:si>
  <x:si>
    <x:t xml:space="preserve">(26)-(27)</x:t>
  </x:si>
  <x:si>
    <x:t xml:space="preserve">8.3.2</x:t>
  </x:si>
  <x:si>
    <x:t xml:space="preserve">Census-based burning emissions</x:t>
  </x:si>
  <x:si>
    <x:t xml:space="preserve">Not applicable - area-based project.</x:t>
  </x:si>
  <x:si>
    <x:t xml:space="preserve">(28)</x:t>
  </x:si>
  <x:si>
    <x:t xml:space="preserve">8.5.1</x:t>
  </x:si>
  <x:si>
    <x:t xml:space="preserve">Ex-post statistical uncertainty (SE, t-distribution, correlation)</x:t>
  </x:si>
  <x:si>
    <x:t xml:space="preserve">UNC_t = MIN(100%,MAX(0,(T×√(SE²p,t=0+SE²p,t−2ρSEp,t=0SEp,t)/ΔC)−0.10)×100)</x:t>
  </x:si>
  <x:si>
    <x:t xml:space="preserve">All included pools (p)</x:t>
  </x:si>
  <x:si>
    <x:t xml:space="preserve">Substituted</x:t>
  </x:si>
  <x:si>
    <x:t xml:space="preserve">(29)-(31)</x:t>
  </x:si>
  <x:si>
    <x:t xml:space="preserve">8.5.2</x:t>
  </x:si>
  <x:si>
    <x:t xml:space="preserve">Census-based uncertainty (population/mortality propagation)</x:t>
  </x:si>
  <x:si>
    <x:t xml:space="preserve">(32)</x:t>
  </x:si>
  <x:si>
    <x:t xml:space="preserve">8.6.1</x:t>
  </x:si>
  <x:si>
    <x:t xml:space="preserve">Carbon dioxide removals (area-based) - MIN/PB/UNC/PE/LK nesting</x:t>
  </x:si>
  <x:si>
    <x:t xml:space="preserve">CR_t = MIN(ΔCWP,t, ΔCWP,t×(1−PBt)×(1−UNCt)−PEt−LKt) − [same at t−x]</x:t>
  </x:si>
  <x:si>
    <x:t xml:space="preserve">Net creditable removals</x:t>
  </x:si>
  <x:si>
    <x:t xml:space="preserve">Correctly implemented - nesting order (PB inside the MIN, then uncertainty, PE and LK subtracted) matches the published structure.</x:t>
  </x:si>
  <x:si>
    <x:t xml:space="preserve">(33)</x:t>
  </x:si>
  <x:si>
    <x:t xml:space="preserve">8.6.2</x:t>
  </x:si>
  <x:si>
    <x:t xml:space="preserve">Census-based removals</x:t>
  </x:si>
  <x:si>
    <x:t xml:space="preserve">(34)</x:t>
  </x:si>
  <x:si>
    <x:t xml:space="preserve">8.6.3</x:t>
  </x:si>
  <x:si>
    <x:t xml:space="preserve">Annualized removals</x:t>
  </x:si>
  <x:si>
    <x:t xml:space="preserve">CR_annualized = CR_t / x</x:t>
  </x:si>
  <x:si>
    <x:t xml:space="preserve">Correctly implemented.</x:t>
  </x:si>
  <x:si>
    <x:t xml:space="preserve">App.1 (PB def.)</x:t>
  </x:si>
  <x:si>
    <x:t xml:space="preserve">A1.3-A1.4</x:t>
  </x:si>
  <x:si>
    <x:t xml:space="preserve">Performance benchmark definition</x:t>
  </x:si>
  <x:si>
    <x:t xml:space="preserve">PB_t = ΔSI_control,t / ΔSI_wp,t (ex-post; ex-ante per §8.7(6) forecasts both sides from growth-yield model and a linear control trend)</x:t>
  </x:si>
  <x:si>
    <x:t xml:space="preserve">Baseline / additionality</x:t>
  </x:si>
  <x:si>
    <x:t xml:space="preserve">App.1 (A7)</x:t>
  </x:si>
  <x:si>
    <x:t xml:space="preserve">7.3.2 / A1.4</x:t>
  </x:si>
  <x:si>
    <x:t xml:space="preserve">Z-test for significance of PB</x:t>
  </x:si>
  <x:si>
    <x:t xml:space="preserve">Z-test comparing slopes of ΔSI_control,t and ΔSI_wp,t</x:t>
  </x:si>
  <x:si>
    <x:t xml:space="preserve">Additionality demonstration</x:t>
  </x:si>
  <x:si>
    <x:t xml:space="preserve">App.2</x:t>
  </x:si>
  <x:si>
    <x:t xml:space="preserve">5 / App.2</x:t>
  </x:si>
  <x:si>
    <x:t xml:space="preserve">Testing significance of carbon pools &amp; GHG sources</x:t>
  </x:si>
  <x:si>
    <x:t xml:space="preserve">CDM Tool for Testing Significance (5% of total GHG benefit threshold, standard approach)</x:t>
  </x:si>
  <x:si>
    <x:t xml:space="preserve">Herb, dead wood, litter, SOC, GHG sources</x:t>
  </x:si>
  <x:si>
    <x:t xml:space="preserve">Implemented</x:t>
  </x:si>
  <x:si>
    <x:t xml:space="preserve">Two-step Appendix 2 engine calculates CSR (Eq. A9), source RCE/ranking and the 95% Step 2 screen. Unknown disturbance/SOC triggers conservatively block exclusion until evidence is supplied.</x:t>
  </x:si>
  <x:si>
    <x:t xml:space="preserve">VMD0054</x:t>
  </x:si>
  <x:si>
    <x:t xml:space="preserve">4.2(3), 8.4</x:t>
  </x:si>
  <x:si>
    <x:t xml:space="preserve">Leakage from ARR activities - MANDATORY module for area-based projects (not de minimis)</x:t>
  </x:si>
  <x:si>
    <x:t xml:space="preserve">Standardized activity-shifting + market leakage calculation (separate module, not a VM0047-numbered equation)</x:t>
  </x:si>
  <x:si>
    <x:t xml:space="preserve">Leakage (LK_t)</x:t>
  </x:si>
  <x:si>
    <x:t xml:space="preserve">Implemented / input-ready</x:t>
  </x:si>
  <x:si>
    <x:t xml:space="preserve">S36_VMD0054_Leakage → S33_Project_Deductions col C → S04_Final_ERR</x:t>
  </x:si>
  <x:si>
    <x:t xml:space="preserve">VMD0054 v1.1 Steps 1-5 are implemented: BP, MP, CP, leakage mitigation, INL, AL, ΔSOC, ΔCS, cumulative LK and annual leakage. Legacy mode preserves current leakage until project inputs are populated.</x:t>
  </x:si>
  <x:si>
    <x:t xml:space="preserve">VCS §3.2.28-30</x:t>
  </x:si>
  <x:si>
    <x:t xml:space="preserve">Long-term average (LTA) GHG benefit - applies because harvesting is expected</x:t>
  </x:si>
  <x:si>
    <x:t xml:space="preserve">LA = ΣPEt/n (dynamic-PB case); LC = Σ(PCt−BCt)/n; CR capped at MIN(Eq.32, LA)</x:t>
  </x:si>
  <x:si>
    <x:t xml:space="preserve">Buffer / permanence basis</x:t>
  </x:si>
  <x:si>
    <x:t xml:space="preserve">Correctly implemented as an upper limit on Eq.(32) cumulative removals, consistent with VCS Standard v4.7 where the project activity involves harvesting (true for the Timber Plantation and Fruit Orchard models here).</x:t>
  </x:si>
  <x:si>
    <x:t xml:space="preserve">Mortality</x:t>
  </x:si>
  <x:si>
    <x:t xml:space="preserve">9.1 (project-specific)</x:t>
  </x:si>
  <x:si>
    <x:t xml:space="preserve">Stand survival applied to growth projections</x:t>
  </x:si>
  <x:si>
    <x:t xml:space="preserve">Survival(age) = (1-M1)x(1-M2)x(1-M3)x(1-M4)^(age-3), age-banded mortality</x:t>
  </x:si>
  <x:si>
    <x:t xml:space="preserve">Stand density / AGB scaling</x:t>
  </x:si>
  <x:si>
    <x:t xml:space="preserve">S14_Growth_Model_ExAnte rows 118-123</x:t>
  </x:si>
  <x:si>
    <x:t xml:space="preserve">Added to address reviewer finding that tree counts were constant through the projection. Mortality is editable (3%/2%/1%/0% by year, then flat) and multiplies every PSP AGB curve.</x:t>
  </x:si>
  <x:si>
    <x:t xml:space="preserve">VM0047 v1.1 Table 1 - Area-Based Approach Carbon Pool Selection</x:t>
  </x:si>
  <x:si>
    <x:t xml:space="preserve">Every pool in Section 5.1 Table 1, mapped against what this ERR actually quantifies. Appendix 2 (Testing the Significance of Carbon Pools and GHG Sources) must be applied to justify excluding any 'Yes/Optional' pool.</x:t>
  </x:si>
  <x:si>
    <x:t xml:space="preserve">Carbon pool (VM0047 Table 1)</x:t>
  </x:si>
  <x:si>
    <x:t xml:space="preserve">Methodology requirement</x:t>
  </x:si>
  <x:si>
    <x:t xml:space="preserve">Included in this ERR?</x:t>
  </x:si>
  <x:si>
    <x:t xml:space="preserve">Workbook treatment / equation</x:t>
  </x:si>
  <x:si>
    <x:t xml:space="preserve">Compliance status</x:t>
  </x:si>
  <x:si>
    <x:t xml:space="preserve">Action needed</x:t>
  </x:si>
  <x:si>
    <x:t xml:space="preserve">Aboveground woody biomass</x:t>
  </x:si>
  <x:si>
    <x:t xml:space="preserve">Required (major pool)</x:t>
  </x:si>
  <x:si>
    <x:t xml:space="preserve">Chave et al. (2014) allometry in PSP source workbook → Eq.(4) AGB term</x:t>
  </x:si>
  <x:si>
    <x:t xml:space="preserve">Compliant</x:t>
  </x:si>
  <x:si>
    <x:t xml:space="preserve">Belowground woody biomass</x:t>
  </x:si>
  <x:si>
    <x:t xml:space="preserve">Root:shoot ratio R=0.24 applied per Eq.(4)</x:t>
  </x:si>
  <x:si>
    <x:t xml:space="preserve">Confirm R is sourced per the descending-preference hierarchy in VM0047 §9.1 (ecoregion/forest-type first) and documented in the PSP establishment file.</x:t>
  </x:si>
  <x:si>
    <x:t xml:space="preserve">Aboveground non-woody biomass (herb)</x:t>
  </x:si>
  <x:si>
    <x:t xml:space="preserve">Optional, UNLESS the project activity significantly reduces this pool (Appendix 2 test)</x:t>
  </x:si>
  <x:si>
    <x:t xml:space="preserve">No</x:t>
  </x:si>
  <x:si>
    <x:t xml:space="preserve">Not quantified (Eq.5-6 not populated)</x:t>
  </x:si>
  <x:si>
    <x:t xml:space="preserve">Appendix 2 engine complete; evidence input required</x:t>
  </x:si>
  <x:si>
    <x:t xml:space="preserve">S38_Appendix2_Significance_Test. Unknown disturbance/trigger responses block exclusion.</x:t>
  </x:si>
  <x:si>
    <x:t xml:space="preserve">Belowground non-woody biomass</x:t>
  </x:si>
  <x:si>
    <x:t xml:space="preserve">Same as above</x:t>
  </x:si>
  <x:si>
    <x:t xml:space="preserve">Not quantified</x:t>
  </x:si>
  <x:si>
    <x:t xml:space="preserve">Non-woody above/belowground biomass is tested together as a potential project-induced decrease.</x:t>
  </x:si>
  <x:si>
    <x:t xml:space="preserve">Optional, UNLESS removed during site preparation or significantly reduced (Appendix 2 test)</x:t>
  </x:si>
  <x:si>
    <x:t xml:space="preserve">Not quantified (Eq.7-8 not populated)</x:t>
  </x:si>
  <x:si>
    <x:t xml:space="preserve">Dead wood cannot be excluded if removed during site preparation; enter magnitude and disturbance evidence in the Appendix 2 sheet.</x:t>
  </x:si>
  <x:si>
    <x:t xml:space="preserve">Optional, UNLESS significantly reduced (Appendix 2 test)</x:t>
  </x:si>
  <x:si>
    <x:t xml:space="preserve">Not quantified (Eq.9-10 not populated)</x:t>
  </x:si>
  <x:si>
    <x:t xml:space="preserve">Enter conservative full-period decrease and disturbance evidence in the Appendix 2 sheet.</x:t>
  </x:si>
  <x:si>
    <x:t xml:space="preserve">Soil organic carbon (SOC)</x:t>
  </x:si>
  <x:si>
    <x:t xml:space="preserve">Must be included if site-prep soil disturbance (i) recurs more than once in the crediting period, (ii) involves harvesting, or (iii) involves inversion &gt;25cm</x:t>
  </x:si>
  <x:si>
    <x:t xml:space="preserve">S37_SOC_Pool implements Eq.(11) in full, but is NOT linked into S04_Final_ERR - confirmed zero external references. SOC contributes nothing to Gross ΔCWP or Final VCU.</x:t>
  </x:si>
  <x:si>
    <x:t xml:space="preserve">Excluded from calculation - module built, not wired in</x:t>
  </x:si>
  <x:si>
    <x:t xml:space="preserve">Harvested wood products</x:t>
  </x:si>
  <x:si>
    <x:t xml:space="preserve">Excluded - conservative to exclude (mandatory)</x:t>
  </x:si>
  <x:si>
    <x:t xml:space="preserve">No - correctly excluded</x:t>
  </x:si>
  <x:si>
    <x:t xml:space="preserve">Not applicable, no HWP accounting anywhere in workbook</x:t>
  </x:si>
  <x:si>
    <x:t xml:space="preserve">Bottom line: AGB and BGB are quantified; the Appendix 2 significance engine and SOC mandatory-trigger screen are now explicit. Where evidence remains Unknown, the workbook deliberately does not claim exclusion.</x:t>
  </x:si>
  <x:si>
    <x:t xml:space="preserve">VM0047 v1.1 Section 9 - Data and Parameters (Available at Validation + Monitored)</x:t>
  </x:si>
  <x:si>
    <x:t xml:space="preserve">Every parameter VM0047 requires to be documented, sourced or monitored for the area-based approach - condensed from Section 9.1 (fixed at validation) and 9.2 (monitored over time), matched against what this workbook actually holds.</x:t>
  </x:si>
  <x:si>
    <x:t xml:space="preserve">Parameter</x:t>
  </x:si>
  <x:si>
    <x:t xml:space="preserve">Description</x:t>
  </x:si>
  <x:si>
    <x:t xml:space="preserve">Unit</x:t>
  </x:si>
  <x:si>
    <x:t xml:space="preserve">Equations</x:t>
  </x:si>
  <x:si>
    <x:t xml:space="preserve">Type</x:t>
  </x:si>
  <x:si>
    <x:t xml:space="preserve">Status in this ERR</x:t>
  </x:si>
  <x:si>
    <x:t xml:space="preserve">Frequency (per VM0047)</x:t>
  </x:si>
  <x:si>
    <x:t xml:space="preserve">Source / note</x:t>
  </x:si>
  <x:si>
    <x:t xml:space="preserve">Available at validation (fixed parameters, Section 9.1)</x:t>
  </x:si>
  <x:si>
    <x:t xml:space="preserve">A</x:t>
  </x:si>
  <x:si>
    <x:t xml:space="preserve">Project area</x:t>
  </x:si>
  <x:si>
    <x:t xml:space="preserve">ha</x:t>
  </x:si>
  <x:si>
    <x:t xml:space="preserve">(3),(5),(7),(9),(11)</x:t>
  </x:si>
  <x:si>
    <x:t xml:space="preserve">Fixed at validation</x:t>
  </x:si>
  <x:si>
    <x:t xml:space="preserve">Present</x:t>
  </x:si>
  <x:si>
    <x:t xml:space="preserve">GIS-derived, project-specific</x:t>
  </x:si>
  <x:si>
    <x:t xml:space="preserve">R</x:t>
  </x:si>
  <x:si>
    <x:t xml:space="preserve">Root:shoot ratio</x:t>
  </x:si>
  <x:si>
    <x:t xml:space="preserve">dimensionless</x:t>
  </x:si>
  <x:si>
    <x:t xml:space="preserve">(4),(25)</x:t>
  </x:si>
  <x:si>
    <x:t xml:space="preserve">S08_Defaults!B7 = 0.24</x:t>
  </x:si>
  <x:si>
    <x:t xml:space="preserve">Source/ecoregion citation not shown in this ERR file - needs documenting outside this workbook</x:t>
  </x:si>
  <x:si>
    <x:t xml:space="preserve">CF</x:t>
  </x:si>
  <x:si>
    <x:t xml:space="preserve">Carbon fraction of dry biomass</x:t>
  </x:si>
  <x:si>
    <x:t xml:space="preserve">tC/t d.m.</x:t>
  </x:si>
  <x:si>
    <x:t xml:space="preserve">(6),(8),(10),(13),(25)</x:t>
  </x:si>
  <x:si>
    <x:t xml:space="preserve">S08_Defaults!B6 = 0.47</x:t>
  </x:si>
  <x:si>
    <x:t xml:space="preserve">IPCC 2006 default</x:t>
  </x:si>
  <x:si>
    <x:t xml:space="preserve">COMF</x:t>
  </x:si>
  <x:si>
    <x:t xml:space="preserve">Combustion factor</x:t>
  </x:si>
  <x:si>
    <x:t xml:space="preserve">(12),(26)</x:t>
  </x:si>
  <x:si>
    <x:t xml:space="preserve">Not shown</x:t>
  </x:si>
  <x:si>
    <x:t xml:space="preserve">-</x:t>
  </x:si>
  <x:si>
    <x:t xml:space="preserve">Needed only if biomass burning is modelled - see S33_Project_Deductions gap</x:t>
  </x:si>
  <x:si>
    <x:t xml:space="preserve">EFg</x:t>
  </x:si>
  <x:si>
    <x:t xml:space="preserve">Emission factor for gas g (burning)</x:t>
  </x:si>
  <x:si>
    <x:t xml:space="preserve">kg/t d.m. burned</x:t>
  </x:si>
  <x:si>
    <x:t xml:space="preserve">GWPg</x:t>
  </x:si>
  <x:si>
    <x:t xml:space="preserve">Global warming potential for gas g</x:t>
  </x:si>
  <x:si>
    <x:t xml:space="preserve">(13),(16),(20),(21),(26)</x:t>
  </x:si>
  <x:si>
    <x:t xml:space="preserve">Needed for CH4/N2O conversion in burning and fertilizer equations</x:t>
  </x:si>
  <x:si>
    <x:t xml:space="preserve">EFNdirect, FracGASF, FracGASM, EFNvolat, FracLEACH, EFNleach</x:t>
  </x:si>
  <x:si>
    <x:t xml:space="preserve">Fertilizer N2O emission factors</x:t>
  </x:si>
  <x:si>
    <x:t xml:space="preserve">various</x:t>
  </x:si>
  <x:si>
    <x:t xml:space="preserve">(16),(20),(21)</x:t>
  </x:si>
  <x:si>
    <x:t xml:space="preserve">IPCC 2019 Refinement defaults - needed only if fertilizer application is part of the project activity</x:t>
  </x:si>
  <x:si>
    <x:t xml:space="preserve">N</x:t>
  </x:si>
  <x:si>
    <x:t xml:space="preserve">Initial population size (planting units)</x:t>
  </x:si>
  <x:si>
    <x:t xml:space="preserve">integer</x:t>
  </x:si>
  <x:si>
    <x:t xml:space="preserve">(24),(27),(30)</x:t>
  </x:si>
  <x:si>
    <x:t xml:space="preserve">Census-based approach parameter - this project uses area-based only</x:t>
  </x:si>
  <x:si>
    <x:t xml:space="preserve">Monitored over time (Section 9.2)</x:t>
  </x:si>
  <x:si>
    <x:t xml:space="preserve">CWP-woody-AB,t</x:t>
  </x:si>
  <x:si>
    <x:t xml:space="preserve">Average carbon stock in aboveground woody biomass</x:t>
  </x:si>
  <x:si>
    <x:t xml:space="preserve">tC/ha</x:t>
  </x:si>
  <x:si>
    <x:t xml:space="preserve">(4),(13)</x:t>
  </x:si>
  <x:si>
    <x:t xml:space="preserve">Monitored, every 5 years or more frequently</x:t>
  </x:si>
  <x:si>
    <x:t xml:space="preserve">S15_Source_Strata (Population Mean/Conservative Anchor AGB columns)</x:t>
  </x:si>
  <x:si>
    <x:t xml:space="preserve">Field plot-based sampling + Chave allometry per PSP</x:t>
  </x:si>
  <x:si>
    <x:t xml:space="preserve">DMWP-herb,t</x:t>
  </x:si>
  <x:si>
    <x:t xml:space="preserve">Average non-woody biomass</x:t>
  </x:si>
  <x:si>
    <x:t xml:space="preserve">t d.m./ha</x:t>
  </x:si>
  <x:si>
    <x:t xml:space="preserve">(6)</x:t>
  </x:si>
  <x:si>
    <x:t xml:space="preserve">Not monitored</x:t>
  </x:si>
  <x:si>
    <x:t xml:space="preserve">Herb pool excluded - see S38_Appendix2_Significance_Test</x:t>
  </x:si>
  <x:si>
    <x:t xml:space="preserve">BSDW,t</x:t>
  </x:si>
  <x:si>
    <x:t xml:space="preserve">Average biomass of standing dead wood</x:t>
  </x:si>
  <x:si>
    <x:t xml:space="preserve">(8)</x:t>
  </x:si>
  <x:si>
    <x:t xml:space="preserve">Dead wood pool excluded - see S38_Appendix2_Significance_Test</x:t>
  </x:si>
  <x:si>
    <x:t xml:space="preserve">BLDW,t</x:t>
  </x:si>
  <x:si>
    <x:t xml:space="preserve">Average biomass of lying dead wood</x:t>
  </x:si>
  <x:si>
    <x:t xml:space="preserve">DMWP-LI,t</x:t>
  </x:si>
  <x:si>
    <x:t xml:space="preserve">Average litter dry mass per hectare</x:t>
  </x:si>
  <x:si>
    <x:t xml:space="preserve">(10)</x:t>
  </x:si>
  <x:si>
    <x:t xml:space="preserve">Monitored, at t=0 and every 5 years or more frequently</x:t>
  </x:si>
  <x:si>
    <x:t xml:space="preserve">Litter pool excluded - see S38_Appendix2_Significance_Test</x:t>
  </x:si>
  <x:si>
    <x:t xml:space="preserve">CWP-SOC,t</x:t>
  </x:si>
  <x:si>
    <x:t xml:space="preserve">Average SOC stock</x:t>
  </x:si>
  <x:si>
    <x:t xml:space="preserve">Monitored, at t=0 and every verification (min. every 10 years)</x:t>
  </x:si>
  <x:si>
    <x:t xml:space="preserve">Structural module built, no field data yet</x:t>
  </x:si>
  <x:si>
    <x:t xml:space="preserve">Input cells ready; awaiting t=0 and periodic SOC sampling to min. 30cm depth</x:t>
  </x:si>
  <x:si>
    <x:t xml:space="preserve">Aburn,t</x:t>
  </x:si>
  <x:si>
    <x:t xml:space="preserve">Area burned in the monitoring interval</x:t>
  </x:si>
  <x:si>
    <x:t xml:space="preserve">(13)</x:t>
  </x:si>
  <x:si>
    <x:t xml:space="preserve">Needed only if biomass burning occurs - GIS-derived</x:t>
  </x:si>
  <x:si>
    <x:t xml:space="preserve">Mwp,SF,t / Mwp,OF,t</x:t>
  </x:si>
  <x:si>
    <x:t xml:space="preserve">Mass of N-containing synthetic/organic fertilizer applied</x:t>
  </x:si>
  <x:si>
    <x:t xml:space="preserve">tonnes</x:t>
  </x:si>
  <x:si>
    <x:t xml:space="preserve">(17),(18)</x:t>
  </x:si>
  <x:si>
    <x:t xml:space="preserve">Needed only if fertilizer is applied as part of the project activity</x:t>
  </x:si>
  <x:si>
    <x:t xml:space="preserve">NCwp,SF,t</x:t>
  </x:si>
  <x:si>
    <x:t xml:space="preserve">Nitrogen content of synthetic fertilizer</x:t>
  </x:si>
  <x:si>
    <x:t xml:space="preserve">t N/t fertilizer</x:t>
  </x:si>
  <x:si>
    <x:t xml:space="preserve">(17)</x:t>
  </x:si>
  <x:si>
    <x:t xml:space="preserve">From fertilizer manufacturer specifications</x:t>
  </x:si>
  <x:si>
    <x:t xml:space="preserve">NCwp,OF,t</x:t>
  </x:si>
  <x:si>
    <x:t xml:space="preserve">Nitrogen content of organic fertilizer</x:t>
  </x:si>
  <x:si>
    <x:t xml:space="preserve">(18)</x:t>
  </x:si>
  <x:si>
    <x:t xml:space="preserve">Published/peer-reviewed default</x:t>
  </x:si>
  <x:si>
    <x:t xml:space="preserve">nt</x:t>
  </x:si>
  <x:si>
    <x:t xml:space="preserve">Number of planting units sampled in year t</x:t>
  </x:si>
  <x:si>
    <x:t xml:space="preserve">(25),(27),(31)</x:t>
  </x:si>
  <x:si>
    <x:t xml:space="preserve">Monitored</x:t>
  </x:si>
  <x:si>
    <x:t xml:space="preserve">Census-based approach parameter - not used</x:t>
  </x:si>
  <x:si>
    <x:t xml:space="preserve">Mt</x:t>
  </x:si>
  <x:si>
    <x:t xml:space="preserve">Mortality through year t</x:t>
  </x:si>
  <x:si>
    <x:t xml:space="preserve">%</x:t>
  </x:si>
  <x:si>
    <x:t xml:space="preserve">(24),(30),(31)</x:t>
  </x:si>
  <x:si>
    <x:t xml:space="preserve">BWP-woody-AB,pu,t</x:t>
  </x:si>
  <x:si>
    <x:t xml:space="preserve">Biomass stock in sampled planting unit pu</x:t>
  </x:si>
  <x:si>
    <x:t xml:space="preserve">t d.m.</x:t>
  </x:si>
  <x:si>
    <x:t xml:space="preserve">(25),(27)</x:t>
  </x:si>
  <x:si>
    <x:t xml:space="preserve">nburn,t</x:t>
  </x:si>
  <x:si>
    <x:t xml:space="preserve">Number of sampled planting units recorded as burned</x:t>
  </x:si>
  <x:si>
    <x:t xml:space="preserve">(27)</x:t>
  </x:si>
  <x:si>
    <x:t xml:space="preserve">SEp,t</x:t>
  </x:si>
  <x:si>
    <x:t xml:space="preserve">Standard error of the mean carbon stock estimate for pool p</x:t>
  </x:si>
  <x:si>
    <x:t xml:space="preserve">(28),(29)</x:t>
  </x:si>
  <x:si>
    <x:t xml:space="preserve">Legend: blue = populated and traceable. pale blue = structural/calculation module exists. amber = user/project evidence required. grey = not applicable. red = unresolved methodological input/gap.</x:t>
  </x:si>
  <x:si>
    <x:t xml:space="preserve">Defaults &amp; User Inputs</x:t>
  </x:si>
  <x:si>
    <x:t xml:space="preserve">Value</x:t>
  </x:si>
  <x:si>
    <x:t xml:space="preserve">Trace / purpose</x:t>
  </x:si>
  <x:si>
    <x:t xml:space="preserve">PSP anchor year</x:t>
  </x:si>
  <x:si>
    <x:t xml:space="preserve">year</x:t>
  </x:si>
  <x:si>
    <x:t xml:space="preserve">Fresh established PSP source year</x:t>
  </x:si>
  <x:si>
    <x:t xml:space="preserve">PSP conservativeness factor</x:t>
  </x:si>
  <x:si>
    <x:t xml:space="preserve">ratio</x:t>
  </x:si>
  <x:si>
    <x:t xml:space="preserve">Applied in S15_Source_Strata to the formula-derived selected PSP mean/age curve; this is an explicit ex-ante conservativeness input, not a biomass value.</x:t>
  </x:si>
  <x:si>
    <x:t xml:space="preserve">Carbon fraction</x:t>
  </x:si>
  <x:si>
    <x:t xml:space="preserve">tC/t biomass</x:t>
  </x:si>
  <x:si>
    <x:t xml:space="preserve">VM0047 carbon conversion input</x:t>
  </x:si>
  <x:si>
    <x:t xml:space="preserve">Root:shoot ratio R</x:t>
  </x:si>
  <x:si>
    <x:t xml:space="preserve">BGB/AGB</x:t>
  </x:si>
  <x:si>
    <x:t xml:space="preserve">VM0047 Eq. (4)</x:t>
  </x:si>
  <x:si>
    <x:t xml:space="preserve">CO2/C conversion</x:t>
  </x:si>
  <x:si>
    <x:t xml:space="preserve">tCO2/tC</x:t>
  </x:si>
  <x:si>
    <x:t xml:space="preserve">VM0047 Eq. (1)</x:t>
  </x:si>
  <x:si>
    <x:t xml:space="preserve">Ex-ante uncertainty</x:t>
  </x:si>
  <x:si>
    <x:t xml:space="preserve">VM0047 Eq. (28); ≥10% conservative planning deduction</x:t>
  </x:si>
  <x:si>
    <x:t xml:space="preserve">Applied to LTA carbon-stock basis</x:t>
  </x:si>
  <x:si>
    <x:t xml:space="preserve">LTA start year</x:t>
  </x:si>
  <x:si>
    <x:t xml:space="preserve">First crediting-year endpoint used in LTA</x:t>
  </x:si>
  <x:si>
    <x:t xml:space="preserve">LTA end year</x:t>
  </x:si>
  <x:si>
    <x:t xml:space="preserve">Crediting-period endpoint</x:t>
  </x:si>
  <x:si>
    <x:t xml:space="preserve">LTA n</x:t>
  </x:si>
  <x:si>
    <x:t xml:space="preserve">years</x:t>
  </x:si>
  <x:si>
    <x:t xml:space="preserve">Number of annual endpoints in LTA</x:t>
  </x:si>
  <x:si>
    <x:t xml:space="preserve">ERR included area</x:t>
  </x:si>
  <x:si>
    <x:t xml:space="preserve">Full 92-row matrix</x:t>
  </x:si>
  <x:si>
    <x:t xml:space="preserve">ERR included records</x:t>
  </x:si>
  <x:si>
    <x:t xml:space="preserve">records</x:t>
  </x:si>
  <x:si>
    <x:t xml:space="preserve">Must reconcile to 523.9128 ha</x:t>
  </x:si>
  <x:si>
    <x:t xml:space="preserve">Must reconcile to 691</x:t>
  </x:si>
  <x:si>
    <x:t xml:space="preserve">10 parcels with missing tree density</x:t>
  </x:si>
  <x:si>
    <x:t xml:space="preserve">701 raw records before density exclusion</x:t>
  </x:si>
  <x:si>
    <x:t xml:space="preserve">Note (added on VM0047/VCS compliance review):</x:t>
  </x:si>
  <x:si>
    <x:t xml:space="preserve">B10 (20% buffer): confirm this ties to an actual VCS AFOLU Non-Permanence Risk Tool (AR-Tool14) score rather than a flat assumption; the risk tool output is not reproduced in this ERR file.</x:t>
  </x:si>
  <x:si>
    <x:t xml:space="preserve">Conservativeness revision (this version):</x:t>
  </x:si>
  <x:si>
    <x:t xml:space="preserve">B5 lowered from 0.9 to 0.75: the entire biomass basis (S14_Growth_Model_ExAnte) is a Chapman-Richards/Chave simulation using species growth parameters the source file itself flags as unvalidated "planning proxies" - there is no field-measured anchor anywhere in the chain. A larger haircut is applied to compensate for that lack of independent verification, consistent with VM0047 conservativeness principles, until real PSP remeasurement data is available to calibrate the model.</x:t>
  </x:si>
  <x:si>
    <x:t xml:space="preserve">B9 raised from 0.15 to 0.20: reflects the added model uncertainty from unvalidated growth parameters (see B5 note), on top of the standard ex-ante minimum under VM0047 Section 8.7(3).</x:t>
  </x:si>
  <x:si>
    <x:t xml:space="preserve">Area reconciliation against ERR_Sheet_GKF_V1_1 (previous ERR sheet):</x:t>
  </x:si>
  <x:si>
    <x:t xml:space="preserve">This ERR area (fresh 67 PSP, ha)</x:t>
  </x:si>
  <x:si>
    <x:t xml:space="preserve">Full GKF programme area, all cohorts (ha) - from ERR_Sheet_GKF_V1_1, Project Emissions sheet, Project total</x:t>
  </x:si>
  <x:si>
    <x:t xml:space="preserve">Share of the full programme covered by this ERR</x:t>
  </x:si>
  <x:si>
    <x:t xml:space="preserve">The two are different scopes, not a mismatch: this ERR covers the 3,118 records anchored by the 66 credited PSPs, a stratified subset of the full programme. ERR_Sheet_GKF_V1_1 covers all planted cohorts across the programme (17,295.441 ha, 2020-2024). Both are correct for what they measure.</x:t>
  </x:si>
  <x:si>
    <x:t xml:space="preserve">Fresh 67 Established PSPs | Sole PSP Population</x:t>
  </x:si>
  <x:si>
    <x:t xml:space="preserve">PSP ID</x:t>
  </x:si>
  <x:si>
    <x:t xml:space="preserve">Database S.No.</x:t>
  </x:si>
  <x:si>
    <x:t xml:space="preserve">Density</x:t>
  </x:si>
  <x:si>
    <x:t xml:space="preserve">Cohort</x:t>
  </x:si>
  <x:si>
    <x:t xml:space="preserve">ERR Status</x:t>
  </x:si>
  <x:si>
    <x:t xml:space="preserve">Tree Density/ha</x:t>
  </x:si>
  <x:si>
    <x:t xml:space="preserve">Species / Composition</x:t>
  </x:si>
  <x:si>
    <x:t xml:space="preserve">Latitude</x:t>
  </x:si>
  <x:si>
    <x:t xml:space="preserve">Longitude</x:t>
  </x:si>
  <x:si>
    <x:t xml:space="preserve">Modelled PSP AGB @2026 t/ha</x:t>
  </x:si>
  <x:si>
    <x:t xml:space="preserve">Stratum Conservative Anchor AGB @2026 t/ha</x:t>
  </x:si>
  <x:si>
    <x:t xml:space="preserve">Stratum Stock @2026 tCO2e/ha</x:t>
  </x:si>
  <x:si>
    <x:t xml:space="preserve">Biological Source Key</x:t>
  </x:si>
  <x:si>
    <x:t xml:space="preserve">Equation / ex-ante derivation</x:t>
  </x:si>
  <x:si>
    <x:t xml:space="preserve">PSP-FO-001</x:t>
  </x:si>
  <x:si>
    <x:t xml:space="preserve">Fruit Orchard (Block)
(Mango, Mosambi, Pomegranate)</x:t>
  </x:si>
  <x:si>
    <x:t xml:space="preserve">High</x:t>
  </x:si>
  <x:si>
    <x:t xml:space="preserve">Included</x:t>
  </x:si>
  <x:si>
    <x:t xml:space="preserve">CASHEW / MANGO / CUSTARD APPLE</x:t>
  </x:si>
  <x:si>
    <x:t xml:space="preserve">Fruit Orchard|High|2020</x:t>
  </x:si>
  <x:si>
    <x:t xml:space="preserve">PSP-FO-002</x:t>
  </x:si>
  <x:si>
    <x:t xml:space="preserve">POMEGRANATE / MOSAMBI</x:t>
  </x:si>
  <x:si>
    <x:t xml:space="preserve">PSP-FO-003</x:t>
  </x:si>
  <x:si>
    <x:t xml:space="preserve">Low</x:t>
  </x:si>
  <x:si>
    <x:t xml:space="preserve">MANGO / CASHEW / GUAVA</x:t>
  </x:si>
  <x:si>
    <x:t xml:space="preserve">Fruit Orchard|Low|2020</x:t>
  </x:si>
  <x:si>
    <x:t xml:space="preserve">PSP-FO-004</x:t>
  </x:si>
  <x:si>
    <x:t xml:space="preserve">Medium</x:t>
  </x:si>
  <x:si>
    <x:t xml:space="preserve">MANGO / GUAVA / ZAPOTA</x:t>
  </x:si>
  <x:si>
    <x:t xml:space="preserve">Fruit Orchard|Medium|2020</x:t>
  </x:si>
  <x:si>
    <x:t xml:space="preserve">PSP-FO-005</x:t>
  </x:si>
  <x:si>
    <x:t xml:space="preserve">MANGO / CUSTARD APPLE / LEMON / MOSAMBI</x:t>
  </x:si>
  <x:si>
    <x:t xml:space="preserve">PSP-FO-006</x:t>
  </x:si>
  <x:si>
    <x:t xml:space="preserve">MANGO / JAMUN / TAMARIND</x:t>
  </x:si>
  <x:si>
    <x:t xml:space="preserve">Fruit Orchard|Medium|2021</x:t>
  </x:si>
  <x:si>
    <x:t xml:space="preserve">PSP-FO-007</x:t>
  </x:si>
  <x:si>
    <x:t xml:space="preserve">LEMON / MANGO / CUSTARD APPLE / ORANGE</x:t>
  </x:si>
  <x:si>
    <x:t xml:space="preserve">PSP-FO-008</x:t>
  </x:si>
  <x:si>
    <x:t xml:space="preserve">MOSAMBI / JAMUN / MANGO / TAMARIND</x:t>
  </x:si>
  <x:si>
    <x:t xml:space="preserve">Fruit Orchard|High|2022</x:t>
  </x:si>
  <x:si>
    <x:t xml:space="preserve">PSP-FO-009</x:t>
  </x:si>
  <x:si>
    <x:t xml:space="preserve">MANGO / JAMUN / MOSAMBI</x:t>
  </x:si>
  <x:si>
    <x:t xml:space="preserve">Fruit Orchard|Medium|2022</x:t>
  </x:si>
  <x:si>
    <x:t xml:space="preserve">PSP-FO-010</x:t>
  </x:si>
  <x:si>
    <x:t xml:space="preserve">CASHEW</x:t>
  </x:si>
  <x:si>
    <x:t xml:space="preserve">PSP-FO-011</x:t>
  </x:si>
  <x:si>
    <x:t xml:space="preserve">Fruit Orchard|Low|2023</x:t>
  </x:si>
  <x:si>
    <x:t xml:space="preserve">PSP-FO-012</x:t>
  </x:si>
  <x:si>
    <x:t xml:space="preserve">MANGO / GUAVA / CUSTARD APPLE / LEMON / MOSAMBI</x:t>
  </x:si>
  <x:si>
    <x:t xml:space="preserve">Fruit Orchard|Medium|2024</x:t>
  </x:si>
  <x:si>
    <x:t xml:space="preserve">PSP-FO-013</x:t>
  </x:si>
  <x:si>
    <x:t xml:space="preserve">Unconfirmed</x:t>
  </x:si>
  <x:si>
    <x:t xml:space="preserve">Excluded - cohort unconfirmed</x:t>
  </x:si>
  <x:si>
    <x:t xml:space="preserve">MANGO</x:t>
  </x:si>
  <x:si>
    <x:t xml:space="preserve">Fruit Orchard|Low|Unconfirmed</x:t>
  </x:si>
  <x:si>
    <x:t xml:space="preserve">PSP-HS-001</x:t>
  </x:si>
  <x:si>
    <x:t xml:space="preserve">Horti-Silviculture
(Fruit + Timber Integration)</x:t>
  </x:si>
  <x:si>
    <x:t xml:space="preserve">SILVER OAK / CUSTARD APPLE / TAMARIND</x:t>
  </x:si>
  <x:si>
    <x:t xml:space="preserve">Horti-Silviculture|High|2020</x:t>
  </x:si>
  <x:si>
    <x:t xml:space="preserve">PSP-HS-002</x:t>
  </x:si>
  <x:si>
    <x:t xml:space="preserve">CASHEW / TEAK</x:t>
  </x:si>
  <x:si>
    <x:t xml:space="preserve">PSP-HS-003</x:t>
  </x:si>
  <x:si>
    <x:t xml:space="preserve">SAPOTA / SILVER OAK</x:t>
  </x:si>
  <x:si>
    <x:t xml:space="preserve">PSP-HS-004</x:t>
  </x:si>
  <x:si>
    <x:t xml:space="preserve">SILVER OAK / TERMINALIA ARJUNA / JAMUN / AMLA / MANGO</x:t>
  </x:si>
  <x:si>
    <x:t xml:space="preserve">PSP-HS-005</x:t>
  </x:si>
  <x:si>
    <x:t xml:space="preserve">JAMUN / FOREST PLANTS / GUAVA</x:t>
  </x:si>
  <x:si>
    <x:t xml:space="preserve">PSP-HS-006</x:t>
  </x:si>
  <x:si>
    <x:t xml:space="preserve">SILVER OAK / MANGO / LEMON</x:t>
  </x:si>
  <x:si>
    <x:t xml:space="preserve">PSP-HS-007</x:t>
  </x:si>
  <x:si>
    <x:t xml:space="preserve">CASHEW / JACKFRUIT / TEAK</x:t>
  </x:si>
  <x:si>
    <x:t xml:space="preserve">Horti-Silviculture|Low|2020</x:t>
  </x:si>
  <x:si>
    <x:t xml:space="preserve">PSP-HS-008</x:t>
  </x:si>
  <x:si>
    <x:t xml:space="preserve">LEMON / JAMUN / NALLAMADDI</x:t>
  </x:si>
  <x:si>
    <x:t xml:space="preserve">Horti-Silviculture|Medium|2020</x:t>
  </x:si>
  <x:si>
    <x:t xml:space="preserve">PSP-HS-009</x:t>
  </x:si>
  <x:si>
    <x:t xml:space="preserve">LEMON / MALABAR NEEM / POMEGRANATE / MANGO / GUAVA</x:t>
  </x:si>
  <x:si>
    <x:t xml:space="preserve">PSP-HS-010</x:t>
  </x:si>
  <x:si>
    <x:t xml:space="preserve">CASHEW / JAMUN / NEEM / TEAK</x:t>
  </x:si>
  <x:si>
    <x:t xml:space="preserve">PSP-HS-011</x:t>
  </x:si>
  <x:si>
    <x:t xml:space="preserve">TEAK / SANDALWOOD / LEMON</x:t>
  </x:si>
  <x:si>
    <x:t xml:space="preserve">PSP-HS-012</x:t>
  </x:si>
  <x:si>
    <x:t xml:space="preserve">MANGO / ZAPOTA / NEEM</x:t>
  </x:si>
  <x:si>
    <x:t xml:space="preserve">PSP-HS-013</x:t>
  </x:si>
  <x:si>
    <x:t xml:space="preserve">LEMON / NEEM</x:t>
  </x:si>
  <x:si>
    <x:t xml:space="preserve">PSP-HS-014</x:t>
  </x:si>
  <x:si>
    <x:t xml:space="preserve">MANGO / LEMON / SILVER OAK</x:t>
  </x:si>
  <x:si>
    <x:t xml:space="preserve">Horti-Silviculture|Low|2021</x:t>
  </x:si>
  <x:si>
    <x:t xml:space="preserve">PSP-HS-015</x:t>
  </x:si>
  <x:si>
    <x:t xml:space="preserve">MOSAMBI / TEAK / GUAVA / MANGO</x:t>
  </x:si>
  <x:si>
    <x:t xml:space="preserve">Horti-Silviculture|Medium|2021</x:t>
  </x:si>
  <x:si>
    <x:t xml:space="preserve">PSP-HS-016</x:t>
  </x:si>
  <x:si>
    <x:t xml:space="preserve">SANDALWOOD / MANGO / GUAVA / LEMON / ZAPOTA</x:t>
  </x:si>
  <x:si>
    <x:t xml:space="preserve">PSP-HS-017</x:t>
  </x:si>
  <x:si>
    <x:t xml:space="preserve">CASHEW / MANGO / TEAK</x:t>
  </x:si>
  <x:si>
    <x:t xml:space="preserve">Horti-Silviculture|Low|2022</x:t>
  </x:si>
  <x:si>
    <x:t xml:space="preserve">PSP-HS-018</x:t>
  </x:si>
  <x:si>
    <x:t xml:space="preserve">Horti-Silviculture|Medium|2023</x:t>
  </x:si>
  <x:si>
    <x:t xml:space="preserve">PSP-HS-019</x:t>
  </x:si>
  <x:si>
    <x:t xml:space="preserve">MANGO / TEAK</x:t>
  </x:si>
  <x:si>
    <x:t xml:space="preserve">Horti-Silviculture|Low|2024</x:t>
  </x:si>
  <x:si>
    <x:t xml:space="preserve">PSP-MA-001</x:t>
  </x:si>
  <x:si>
    <x:t xml:space="preserve">Mixed Agroforestry Model
(Diverse multi-purpose species)</x:t>
  </x:si>
  <x:si>
    <x:t xml:space="preserve">SILVER OAK / JACKFRUIT / PONGAMIA / ARJUN TREE</x:t>
  </x:si>
  <x:si>
    <x:t xml:space="preserve">Mixed Agroforestry|High|2020</x:t>
  </x:si>
  <x:si>
    <x:t xml:space="preserve">PSP-MA-002</x:t>
  </x:si>
  <x:si>
    <x:t xml:space="preserve">MANGO / SARVI</x:t>
  </x:si>
  <x:si>
    <x:t xml:space="preserve">PSP-MA-003</x:t>
  </x:si>
  <x:si>
    <x:t xml:space="preserve">MANGO / JACKFRUIT / SAPOTA</x:t>
  </x:si>
  <x:si>
    <x:t xml:space="preserve">Mixed Agroforestry|Low|2020</x:t>
  </x:si>
  <x:si>
    <x:t xml:space="preserve">PSP-MA-004</x:t>
  </x:si>
  <x:si>
    <x:t xml:space="preserve">CASHEW / CUSTARD APPLE / TAMARIND / JACKFRUIT / MANGO</x:t>
  </x:si>
  <x:si>
    <x:t xml:space="preserve">Mixed Agroforestry|Medium|2020</x:t>
  </x:si>
  <x:si>
    <x:t xml:space="preserve">PSP-MA-005</x:t>
  </x:si>
  <x:si>
    <x:t xml:space="preserve">MANGO / GUAVA / MUNAGA</x:t>
  </x:si>
  <x:si>
    <x:t xml:space="preserve">Mixed Agroforestry|Medium|2021</x:t>
  </x:si>
  <x:si>
    <x:t xml:space="preserve">PSP-MA-006</x:t>
  </x:si>
  <x:si>
    <x:t xml:space="preserve">POMEGRANATE / JAMUN / JACKFRUIT / FIG</x:t>
  </x:si>
  <x:si>
    <x:t xml:space="preserve">Mixed Agroforestry|High|2022</x:t>
  </x:si>
  <x:si>
    <x:t xml:space="preserve">PSP-MA-007</x:t>
  </x:si>
  <x:si>
    <x:t xml:space="preserve">MANGO / LEMON / REGU / MUNAGA / POMEGRANATE / JACKFRUIT / ZAPOTA / MOSAMBI</x:t>
  </x:si>
  <x:si>
    <x:t xml:space="preserve">Mixed Agroforestry|Medium|2023</x:t>
  </x:si>
  <x:si>
    <x:t xml:space="preserve">PSP-MA-008</x:t>
  </x:si>
  <x:si>
    <x:t xml:space="preserve">MANGO / ALLAM NEREDU / GUAVA / CUSTARD APPLE / LEMON / MOSAMBI</x:t>
  </x:si>
  <x:si>
    <x:t xml:space="preserve">Mixed Agroforestry|Low|2024</x:t>
  </x:si>
  <x:si>
    <x:t xml:space="preserve">PSP-TP-001</x:t>
  </x:si>
  <x:si>
    <x:t xml:space="preserve">Timber Plantation
(Teak, Silver Oak, Mahogany)</x:t>
  </x:si>
  <x:si>
    <x:t xml:space="preserve">TEAK / SILVER OAK</x:t>
  </x:si>
  <x:si>
    <x:t xml:space="preserve">Timber Plantation|High|2020</x:t>
  </x:si>
  <x:si>
    <x:t xml:space="preserve">PSP-TP-002</x:t>
  </x:si>
  <x:si>
    <x:t xml:space="preserve">SANDALWOOD</x:t>
  </x:si>
  <x:si>
    <x:t xml:space="preserve">PSP-TP-003</x:t>
  </x:si>
  <x:si>
    <x:t xml:space="preserve">MALABAR NEEM</x:t>
  </x:si>
  <x:si>
    <x:t xml:space="preserve">PSP-TP-004</x:t>
  </x:si>
  <x:si>
    <x:t xml:space="preserve">SILVER OAK</x:t>
  </x:si>
  <x:si>
    <x:t xml:space="preserve">PSP-TP-005</x:t>
  </x:si>
  <x:si>
    <x:t xml:space="preserve">PSP-TP-006</x:t>
  </x:si>
  <x:si>
    <x:t xml:space="preserve">PSP-TP-007</x:t>
  </x:si>
  <x:si>
    <x:t xml:space="preserve">PSP-TP-008</x:t>
  </x:si>
  <x:si>
    <x:t xml:space="preserve">PSP-TP-009</x:t>
  </x:si>
  <x:si>
    <x:t xml:space="preserve">Timber Plantation|Low|2020</x:t>
  </x:si>
  <x:si>
    <x:t xml:space="preserve">PSP-TP-010</x:t>
  </x:si>
  <x:si>
    <x:t xml:space="preserve">RED SANDALWOOD</x:t>
  </x:si>
  <x:si>
    <x:t xml:space="preserve">PSP-TP-011</x:t>
  </x:si>
  <x:si>
    <x:t xml:space="preserve">TEAK</x:t>
  </x:si>
  <x:si>
    <x:t xml:space="preserve">PSP-TP-012</x:t>
  </x:si>
  <x:si>
    <x:t xml:space="preserve">MALABAR NEEM / SILVER OAK / BAMBOO / NEEM</x:t>
  </x:si>
  <x:si>
    <x:t xml:space="preserve">Timber Plantation|Medium|2020</x:t>
  </x:si>
  <x:si>
    <x:t xml:space="preserve">PSP-TP-013</x:t>
  </x:si>
  <x:si>
    <x:t xml:space="preserve">SANDALWOOD / MAHOGANY</x:t>
  </x:si>
  <x:si>
    <x:t xml:space="preserve">PSP-TP-014</x:t>
  </x:si>
  <x:si>
    <x:t xml:space="preserve">PSP-TP-015</x:t>
  </x:si>
  <x:si>
    <x:t xml:space="preserve">PSP-TP-016</x:t>
  </x:si>
  <x:si>
    <x:t xml:space="preserve">PSP-TP-017</x:t>
  </x:si>
  <x:si>
    <x:t xml:space="preserve">PSP-TP-018</x:t>
  </x:si>
  <x:si>
    <x:t xml:space="preserve">PSP-TP-019</x:t>
  </x:si>
  <x:si>
    <x:t xml:space="preserve">PSP-TP-020</x:t>
  </x:si>
  <x:si>
    <x:t xml:space="preserve">SILVER OAK / TEAK</x:t>
  </x:si>
  <x:si>
    <x:t xml:space="preserve">PSP-TP-021</x:t>
  </x:si>
  <x:si>
    <x:t xml:space="preserve">PSP-TP-022</x:t>
  </x:si>
  <x:si>
    <x:t xml:space="preserve">TEAK / NEEM</x:t>
  </x:si>
  <x:si>
    <x:t xml:space="preserve">Timber Plantation|Low|2021</x:t>
  </x:si>
  <x:si>
    <x:t xml:space="preserve">PSP-TP-023</x:t>
  </x:si>
  <x:si>
    <x:t xml:space="preserve">SILVER OAK / FOREST PLANTS</x:t>
  </x:si>
  <x:si>
    <x:t xml:space="preserve">Timber Plantation|Medium|2021</x:t>
  </x:si>
  <x:si>
    <x:t xml:space="preserve">PSP-TP-024</x:t>
  </x:si>
  <x:si>
    <x:t xml:space="preserve">SANDALWOOD / RED SANDALWOOD / TEAK</x:t>
  </x:si>
  <x:si>
    <x:t xml:space="preserve">Timber Plantation|Low|2022</x:t>
  </x:si>
  <x:si>
    <x:t xml:space="preserve">PSP-TP-025</x:t>
  </x:si>
  <x:si>
    <x:t xml:space="preserve">Timber Plantation|Medium|2022</x:t>
  </x:si>
  <x:si>
    <x:t xml:space="preserve">PSP-TP-026</x:t>
  </x:si>
  <x:si>
    <x:t xml:space="preserve">Timber Plantation|Low|2023</x:t>
  </x:si>
  <x:si>
    <x:t xml:space="preserve">PSP-TP-027</x:t>
  </x:si>
  <x:si>
    <x:t xml:space="preserve">Timber Plantation|Medium|2024</x:t>
  </x:si>
  <x:si>
    <x:t xml:space="preserve">67-PSP Register - Every Plot Traced to Its Biological Stock Curve</x:t>
  </x:si>
  <x:si>
    <x:t xml:space="preserve">Tree density/ha</x:t>
  </x:si>
  <x:si>
    <x:t xml:space="preserve">Species / composition</x:t>
  </x:si>
  <x:si>
    <x:t xml:space="preserve">Stratum ID</x:t>
  </x:si>
  <x:si>
    <x:t xml:space="preserve">Stratum PSP n = FIELD PLOTS anchoring curve (exact/pooled)</x:t>
  </x:si>
  <x:si>
    <x:t xml:space="preserve">Selected PSP Mean AGB @2026 t/ha</x:t>
  </x:si>
  <x:si>
    <x:t xml:space="preserve">Selected PSP SD AGB @2026 t/ha</x:t>
  </x:si>
  <x:si>
    <x:t xml:space="preserve">Selected PSP CV</x:t>
  </x:si>
  <x:si>
    <x:t xml:space="preserve">Conservative Anchor AGB @2026 t/ha</x:t>
  </x:si>
  <x:si>
    <x:t xml:space="preserve">Scale factor applied</x:t>
  </x:si>
  <x:si>
    <x:t xml:space="preserve">Stratum stock 2026 tCO2e/ha</x:t>
  </x:si>
  <x:si>
    <x:t xml:space="preserve">Stratum stock 2040 tCO2e/ha</x:t>
  </x:si>
  <x:si>
    <x:t xml:space="preserve">How this plot's carbon is estimated</x:t>
  </x:si>
  <x:si>
    <x:t xml:space="preserve">Stratum population records</x:t>
  </x:si>
  <x:si>
    <x:t xml:space="preserve">PSP Biomass Trace | Ex-Ante Chapman-Richards + Chave</x:t>
  </x:si>
  <x:si>
    <x:t xml:space="preserve">Select any PSP to inspect the species-level growth mechanics. The accounting source is now S14_Growth_Model_ExAnte → S15_Source_Strata; this tab is retained only as a trace/check interface.</x:t>
  </x:si>
  <x:si>
    <x:t xml:space="preserve">SELECT PSP ID:</x:t>
  </x:si>
  <x:si>
    <x:t xml:space="preserve">(row lookup - internal)</x:t>
  </x:si>
  <x:si>
    <x:t xml:space="preserve">Density class</x:t>
  </x:si>
  <x:si>
    <x:t xml:space="preserve">Cohort (planting year)</x:t>
  </x:si>
  <x:si>
    <x:t xml:space="preserve">Tree density (trees/ha)</x:t>
  </x:si>
  <x:si>
    <x:t xml:space="preserve">Species composition (as recorded)</x:t>
  </x:si>
  <x:si>
    <x:t xml:space="preserve">Stratum key (Model|Density|Cohort)</x:t>
  </x:si>
  <x:si>
    <x:t xml:space="preserve">Formula-derived stratum growth statistics (from S15_Source_Strata)</x:t>
  </x:si>
  <x:si>
    <x:t xml:space="preserve">Selected PSP mean AGB @2026 (t/ha)</x:t>
  </x:si>
  <x:si>
    <x:t xml:space="preserve">Selected PSP SD AGB @2026 (t/ha)</x:t>
  </x:si>
  <x:si>
    <x:t xml:space="preserve">Conservative anchor AGB @2026 (t/ha)</x:t>
  </x:si>
  <x:si>
    <x:t xml:space="preserve">Scale factor applied to age curve</x:t>
  </x:si>
  <x:si>
    <x:t xml:space="preserve">Stratum stock @2026 (tCO2e/ha)</x:t>
  </x:si>
  <x:si>
    <x:t xml:space="preserve">Stratum stock @2040 (tCO2e/ha)</x:t>
  </x:si>
  <x:si>
    <x:t xml:space="preserve">PSPs anchoring curve (exact/pooled)</x:t>
  </x:si>
  <x:si>
    <x:t xml:space="preserve">ERR anchor year</x:t>
  </x:si>
  <x:si>
    <x:t xml:space="preserve">Age at anchor year t (years)</x:t>
  </x:si>
  <x:si>
    <x:t xml:space="preserve">Slot</x:t>
  </x:si>
  <x:si>
    <x:t xml:space="preserve">Species (as recorded)</x:t>
  </x:si>
  <x:si>
    <x:t xml:space="preserve">Matched parameter species</x:t>
  </x:si>
  <x:si>
    <x:t xml:space="preserve">Match quality</x:t>
  </x:si>
  <x:si>
    <x:t xml:space="preserve">rho (g/cm3)</x:t>
  </x:si>
  <x:si>
    <x:t xml:space="preserve">D(t) cm</x:t>
  </x:si>
  <x:si>
    <x:t xml:space="preserve">H(t) m</x:t>
  </x:si>
  <x:si>
    <x:t xml:space="preserve">AGB/tree kg</x:t>
  </x:si>
  <x:si>
    <x:t xml:space="preserve">Total AGB this species (kg)</x:t>
  </x:si>
  <x:si>
    <x:t xml:space="preserve">Total AGB, all species (kg)</x:t>
  </x:si>
  <x:si>
    <x:t xml:space="preserve">Total AGB (t)</x:t>
  </x:si>
  <x:si>
    <x:t xml:space="preserve">AGB per ha (t d.m./ha)</x:t>
  </x:si>
  <x:si>
    <x:t xml:space="preserve">Aboveground carbon (tC/ha) = AGB/ha x CF</x:t>
  </x:si>
  <x:si>
    <x:t xml:space="preserve">Total woody carbon, VM0047 Eq.(4) = C_AB x (1+R)</x:t>
  </x:si>
  <x:si>
    <x:t xml:space="preserve">RESULT: illustrative stock, VM0047 Eq.(1), x 44/12 (tCO2e/ha)</x:t>
  </x:si>
  <x:si>
    <x:t xml:space="preserve">Compare to: stratum stock @2026 (tCO2e/ha) shown above</x:t>
  </x:si>
  <x:si>
    <x:t xml:space="preserve">Species composition text</x:t>
  </x:si>
  <x:si>
    <x:t xml:space="preserve">Stratum key</x:t>
  </x:si>
  <x:si>
    <x:t xml:space="preserve">Selected PSP Mean AGB @2026</x:t>
  </x:si>
  <x:si>
    <x:t xml:space="preserve">Selected PSP SD AGB @2026</x:t>
  </x:si>
  <x:si>
    <x:t xml:space="preserve">Conservative Anchor AGB @2026</x:t>
  </x:si>
  <x:si>
    <x:t xml:space="preserve">Scale Factor</x:t>
  </x:si>
  <x:si>
    <x:t xml:space="preserve">Stock 2026</x:t>
  </x:si>
  <x:si>
    <x:t xml:space="preserve">Stock 2040</x:t>
  </x:si>
  <x:si>
    <x:t xml:space="preserve">PSP n exact/pooled</x:t>
  </x:si>
  <x:si>
    <x:t xml:space="preserve">S1_Raw</x:t>
  </x:si>
  <x:si>
    <x:t xml:space="preserve">S1_Matched</x:t>
  </x:si>
  <x:si>
    <x:t xml:space="preserve">S1_MatchQuality</x:t>
  </x:si>
  <x:si>
    <x:t xml:space="preserve">S1_rho</x:t>
  </x:si>
  <x:si>
    <x:t xml:space="preserve">S1_Dmax</x:t>
  </x:si>
  <x:si>
    <x:t xml:space="preserve">S1_kD</x:t>
  </x:si>
  <x:si>
    <x:t xml:space="preserve">S1_mD</x:t>
  </x:si>
  <x:si>
    <x:t xml:space="preserve">S1_Hmax</x:t>
  </x:si>
  <x:si>
    <x:t xml:space="preserve">S1_kH</x:t>
  </x:si>
  <x:si>
    <x:t xml:space="preserve">S1_mH</x:t>
  </x:si>
  <x:si>
    <x:t xml:space="preserve">S2_Raw</x:t>
  </x:si>
  <x:si>
    <x:t xml:space="preserve">S2_Matched</x:t>
  </x:si>
  <x:si>
    <x:t xml:space="preserve">S2_MatchQuality</x:t>
  </x:si>
  <x:si>
    <x:t xml:space="preserve">S2_rho</x:t>
  </x:si>
  <x:si>
    <x:t xml:space="preserve">S2_Dmax</x:t>
  </x:si>
  <x:si>
    <x:t xml:space="preserve">S2_kD</x:t>
  </x:si>
  <x:si>
    <x:t xml:space="preserve">S2_mD</x:t>
  </x:si>
  <x:si>
    <x:t xml:space="preserve">S2_Hmax</x:t>
  </x:si>
  <x:si>
    <x:t xml:space="preserve">S2_kH</x:t>
  </x:si>
  <x:si>
    <x:t xml:space="preserve">S2_mH</x:t>
  </x:si>
  <x:si>
    <x:t xml:space="preserve">S3_Raw</x:t>
  </x:si>
  <x:si>
    <x:t xml:space="preserve">S3_Matched</x:t>
  </x:si>
  <x:si>
    <x:t xml:space="preserve">S3_MatchQuality</x:t>
  </x:si>
  <x:si>
    <x:t xml:space="preserve">S3_rho</x:t>
  </x:si>
  <x:si>
    <x:t xml:space="preserve">S3_Dmax</x:t>
  </x:si>
  <x:si>
    <x:t xml:space="preserve">S3_kD</x:t>
  </x:si>
  <x:si>
    <x:t xml:space="preserve">S3_mD</x:t>
  </x:si>
  <x:si>
    <x:t xml:space="preserve">S3_Hmax</x:t>
  </x:si>
  <x:si>
    <x:t xml:space="preserve">S3_kH</x:t>
  </x:si>
  <x:si>
    <x:t xml:space="preserve">S3_mH</x:t>
  </x:si>
  <x:si>
    <x:t xml:space="preserve">S4_Raw</x:t>
  </x:si>
  <x:si>
    <x:t xml:space="preserve">S4_Matched</x:t>
  </x:si>
  <x:si>
    <x:t xml:space="preserve">S4_MatchQuality</x:t>
  </x:si>
  <x:si>
    <x:t xml:space="preserve">S4_rho</x:t>
  </x:si>
  <x:si>
    <x:t xml:space="preserve">S4_Dmax</x:t>
  </x:si>
  <x:si>
    <x:t xml:space="preserve">S4_kD</x:t>
  </x:si>
  <x:si>
    <x:t xml:space="preserve">S4_mD</x:t>
  </x:si>
  <x:si>
    <x:t xml:space="preserve">S4_Hmax</x:t>
  </x:si>
  <x:si>
    <x:t xml:space="preserve">S4_kH</x:t>
  </x:si>
  <x:si>
    <x:t xml:space="preserve">S4_mH</x:t>
  </x:si>
  <x:si>
    <x:t xml:space="preserve">S5_Raw</x:t>
  </x:si>
  <x:si>
    <x:t xml:space="preserve">S5_Matched</x:t>
  </x:si>
  <x:si>
    <x:t xml:space="preserve">S5_MatchQuality</x:t>
  </x:si>
  <x:si>
    <x:t xml:space="preserve">S5_rho</x:t>
  </x:si>
  <x:si>
    <x:t xml:space="preserve">S5_Dmax</x:t>
  </x:si>
  <x:si>
    <x:t xml:space="preserve">S5_kD</x:t>
  </x:si>
  <x:si>
    <x:t xml:space="preserve">S5_mD</x:t>
  </x:si>
  <x:si>
    <x:t xml:space="preserve">S5_Hmax</x:t>
  </x:si>
  <x:si>
    <x:t xml:space="preserve">S5_kH</x:t>
  </x:si>
  <x:si>
    <x:t xml:space="preserve">S5_mH</x:t>
  </x:si>
  <x:si>
    <x:t xml:space="preserve">S6_Raw</x:t>
  </x:si>
  <x:si>
    <x:t xml:space="preserve">S6_Matched</x:t>
  </x:si>
  <x:si>
    <x:t xml:space="preserve">S6_MatchQuality</x:t>
  </x:si>
  <x:si>
    <x:t xml:space="preserve">S6_rho</x:t>
  </x:si>
  <x:si>
    <x:t xml:space="preserve">S6_Dmax</x:t>
  </x:si>
  <x:si>
    <x:t xml:space="preserve">S6_kD</x:t>
  </x:si>
  <x:si>
    <x:t xml:space="preserve">S6_mD</x:t>
  </x:si>
  <x:si>
    <x:t xml:space="preserve">S6_Hmax</x:t>
  </x:si>
  <x:si>
    <x:t xml:space="preserve">S6_kH</x:t>
  </x:si>
  <x:si>
    <x:t xml:space="preserve">S6_mH</x:t>
  </x:si>
  <x:si>
    <x:t xml:space="preserve">S7_Raw</x:t>
  </x:si>
  <x:si>
    <x:t xml:space="preserve">S7_Matched</x:t>
  </x:si>
  <x:si>
    <x:t xml:space="preserve">S7_MatchQuality</x:t>
  </x:si>
  <x:si>
    <x:t xml:space="preserve">S7_rho</x:t>
  </x:si>
  <x:si>
    <x:t xml:space="preserve">S7_Dmax</x:t>
  </x:si>
  <x:si>
    <x:t xml:space="preserve">S7_kD</x:t>
  </x:si>
  <x:si>
    <x:t xml:space="preserve">S7_mD</x:t>
  </x:si>
  <x:si>
    <x:t xml:space="preserve">S7_Hmax</x:t>
  </x:si>
  <x:si>
    <x:t xml:space="preserve">S7_kH</x:t>
  </x:si>
  <x:si>
    <x:t xml:space="preserve">S7_mH</x:t>
  </x:si>
  <x:si>
    <x:t xml:space="preserve">S8_Raw</x:t>
  </x:si>
  <x:si>
    <x:t xml:space="preserve">S8_Matched</x:t>
  </x:si>
  <x:si>
    <x:t xml:space="preserve">S8_MatchQuality</x:t>
  </x:si>
  <x:si>
    <x:t xml:space="preserve">S8_rho</x:t>
  </x:si>
  <x:si>
    <x:t xml:space="preserve">S8_Dmax</x:t>
  </x:si>
  <x:si>
    <x:t xml:space="preserve">S8_kD</x:t>
  </x:si>
  <x:si>
    <x:t xml:space="preserve">S8_mD</x:t>
  </x:si>
  <x:si>
    <x:t xml:space="preserve">S8_Hmax</x:t>
  </x:si>
  <x:si>
    <x:t xml:space="preserve">S8_kH</x:t>
  </x:si>
  <x:si>
    <x:t xml:space="preserve">S8_mH</x:t>
  </x:si>
  <x:si>
    <x:t xml:space="preserve">Fruit Orchard (Block)</x:t>
  </x:si>
  <x:si>
    <x:t xml:space="preserve">CASHEW: 511; MANGO: 80; CUSTARD APPLE: 1000</x:t>
  </x:si>
  <x:si>
    <x:t xml:space="preserve">Cashew</x:t>
  </x:si>
  <x:si>
    <x:t xml:space="preserve">Exact match</x:t>
  </x:si>
  <x:si>
    <x:t xml:space="preserve">Mango</x:t>
  </x:si>
  <x:si>
    <x:t xml:space="preserve">CUSTARD APPLE</x:t>
  </x:si>
  <x:si>
    <x:t xml:space="preserve">Custard Apple</x:t>
  </x:si>
  <x:si>
    <x:t xml:space="preserve">POMEGRANATE: 900; MOSAMBI: 180</x:t>
  </x:si>
  <x:si>
    <x:t xml:space="preserve">POMEGRANATE</x:t>
  </x:si>
  <x:si>
    <x:t xml:space="preserve">Pomegranate</x:t>
  </x:si>
  <x:si>
    <x:t xml:space="preserve">MOSAMBI</x:t>
  </x:si>
  <x:si>
    <x:t xml:space="preserve">Mosambi</x:t>
  </x:si>
  <x:si>
    <x:t xml:space="preserve">MANGO: 15; CASHEW: 75; GUAVA: 10</x:t>
  </x:si>
  <x:si>
    <x:t xml:space="preserve">GUAVA</x:t>
  </x:si>
  <x:si>
    <x:t xml:space="preserve">Guava</x:t>
  </x:si>
  <x:si>
    <x:t xml:space="preserve">MANGO: 95; GUAVA: 80; ZAPOTA: 18</x:t>
  </x:si>
  <x:si>
    <x:t xml:space="preserve">ZAPOTA</x:t>
  </x:si>
  <x:si>
    <x:t xml:space="preserve">Zapota</x:t>
  </x:si>
  <x:si>
    <x:t xml:space="preserve">Alias match -&gt; Zapota</x:t>
  </x:si>
  <x:si>
    <x:t xml:space="preserve">MANGO: 100; CUSTARD APPLE: 100; LEMON: 100; MOSAMBI: 100</x:t>
  </x:si>
  <x:si>
    <x:t xml:space="preserve">LEMON</x:t>
  </x:si>
  <x:si>
    <x:t xml:space="preserve">Lemon</x:t>
  </x:si>
  <x:si>
    <x:t xml:space="preserve">MANGO: 540; JAMUN: 150; TAMARIND: 12</x:t>
  </x:si>
  <x:si>
    <x:t xml:space="preserve">JAMUN</x:t>
  </x:si>
  <x:si>
    <x:t xml:space="preserve">Jamun</x:t>
  </x:si>
  <x:si>
    <x:t xml:space="preserve">TAMARIND</x:t>
  </x:si>
  <x:si>
    <x:t xml:space="preserve">Tamarind</x:t>
  </x:si>
  <x:si>
    <x:t xml:space="preserve">LEMON: 30; MANGO: 20; CUSTARD APPLE: 30; ORANGE: 10</x:t>
  </x:si>
  <x:si>
    <x:t xml:space="preserve">ORANGE</x:t>
  </x:si>
  <x:si>
    <x:t xml:space="preserve">Orange</x:t>
  </x:si>
  <x:si>
    <x:t xml:space="preserve">MOSAMBI: 500; JAMUN: 8; MANGO: 8; TAMARIND: 6</x:t>
  </x:si>
  <x:si>
    <x:t xml:space="preserve">MANGO: 100; JAMUN: 10; MOSAMBI: 420</x:t>
  </x:si>
  <x:si>
    <x:t xml:space="preserve">CASHEW: 205</x:t>
  </x:si>
  <x:si>
    <x:t xml:space="preserve">MANGO: 30; CUSTARD APPLE: 20; LEMON: 20; MOSAMBI: 10</x:t>
  </x:si>
  <x:si>
    <x:t xml:space="preserve">MANGO: 30; GUAVA: 10; CUSTARD APPLE: 30; LEMON: 20; MOSAMBI: 10</x:t>
  </x:si>
  <x:si>
    <x:t xml:space="preserve">MANGO: 308</x:t>
  </x:si>
  <x:si>
    <x:t xml:space="preserve">SILVER OAK: 700; CUSTARD APPLE: 500; TAMARIND: 50</x:t>
  </x:si>
  <x:si>
    <x:t xml:space="preserve">Silver Oak</x:t>
  </x:si>
  <x:si>
    <x:t xml:space="preserve">CASHEW: 250; TEAK: 2500</x:t>
  </x:si>
  <x:si>
    <x:t xml:space="preserve">Teak</x:t>
  </x:si>
  <x:si>
    <x:t xml:space="preserve">Species: SAPOTA / SILVER OAK | Recorded plant counts: 45</x:t>
  </x:si>
  <x:si>
    <x:t xml:space="preserve">Species: SAPOTA / SILVER OAK | Recorded plant counts</x:t>
  </x:si>
  <x:si>
    <x:t xml:space="preserve">Unidentified / malformed source record - species not specified, cannot parameterize</x:t>
  </x:si>
  <x:si>
    <x:t xml:space="preserve">SILVER OAK: 1000; TERMINALIA ARJUNA: 100; JAMUN: 100; AMLA: 50; MANGO: 50</x:t>
  </x:si>
  <x:si>
    <x:t xml:space="preserve">TERMINALIA ARJUNA</x:t>
  </x:si>
  <x:si>
    <x:t xml:space="preserve">Arjun</x:t>
  </x:si>
  <x:si>
    <x:t xml:space="preserve">Alias match -&gt; Arjun</x:t>
  </x:si>
  <x:si>
    <x:t xml:space="preserve">AMLA</x:t>
  </x:si>
  <x:si>
    <x:t xml:space="preserve">Amla</x:t>
  </x:si>
  <x:si>
    <x:t xml:space="preserve">JAMUN: 340; FOREST PLANTS: 230; GUAVA: 520</x:t>
  </x:si>
  <x:si>
    <x:t xml:space="preserve">FOREST PLANTS</x:t>
  </x:si>
  <x:si>
    <x:t xml:space="preserve">SILVER OAK: 1000; MANGO: 30; LEMON: 20</x:t>
  </x:si>
  <x:si>
    <x:t xml:space="preserve">CASHEW: 300; JACKFRUIT: 5; TEAK: 5</x:t>
  </x:si>
  <x:si>
    <x:t xml:space="preserve">JACKFRUIT</x:t>
  </x:si>
  <x:si>
    <x:t xml:space="preserve">Jackfruit</x:t>
  </x:si>
  <x:si>
    <x:t xml:space="preserve">LEMON: 100; JAMUN: 150; NALLAMADDI: 100</x:t>
  </x:si>
  <x:si>
    <x:t xml:space="preserve">NALLAMADDI</x:t>
  </x:si>
  <x:si>
    <x:t xml:space="preserve">Maddi</x:t>
  </x:si>
  <x:si>
    <x:t xml:space="preserve">Alias match -&gt; Maddi</x:t>
  </x:si>
  <x:si>
    <x:t xml:space="preserve">LEMON: 100; MALABAR NEEM: 500; POMEGRANATE: 45; MANGO: 63; GUAVA: 20</x:t>
  </x:si>
  <x:si>
    <x:t xml:space="preserve">Malabar Neem</x:t>
  </x:si>
  <x:si>
    <x:t xml:space="preserve">CASHEW: 300; JAMUN: 10; NEEM: 10; TEAK: 10</x:t>
  </x:si>
  <x:si>
    <x:t xml:space="preserve">NEEM</x:t>
  </x:si>
  <x:si>
    <x:t xml:space="preserve">Neem</x:t>
  </x:si>
  <x:si>
    <x:t xml:space="preserve">TEAK: 100; SANDALWOOD: 130; LEMON: 80</x:t>
  </x:si>
  <x:si>
    <x:t xml:space="preserve">Sandalwood</x:t>
  </x:si>
  <x:si>
    <x:t xml:space="preserve">MANGO: 400; ZAPOTA: 5; NEEM: 15</x:t>
  </x:si>
  <x:si>
    <x:t xml:space="preserve">LEMON: 160; NEEM: 20</x:t>
  </x:si>
  <x:si>
    <x:t xml:space="preserve">MANGO: 19; LEMON: 20; SILVER OAK: 100</x:t>
  </x:si>
  <x:si>
    <x:t xml:space="preserve">MOSAMBI: 900; TEAK: 20; GUAVA: 10; MANGO: 10</x:t>
  </x:si>
  <x:si>
    <x:t xml:space="preserve">SANDALWOOD: 300; MANGO: 40; GUAVA: 1000; LEMON: 50; ZAPOTA: 50</x:t>
  </x:si>
  <x:si>
    <x:t xml:space="preserve">CASHEW: 15; MANGO: 60; TEAK: 210</x:t>
  </x:si>
  <x:si>
    <x:t xml:space="preserve">CASHEW: 110; MANGO: 40; TEAK: 60</x:t>
  </x:si>
  <x:si>
    <x:t xml:space="preserve">MANGO: 345; TEAK: 30</x:t>
  </x:si>
  <x:si>
    <x:t xml:space="preserve">Mixed Agroforestry Model</x:t>
  </x:si>
  <x:si>
    <x:t xml:space="preserve">SILVER OAK: 900; JACKFRUIT: 20; PONGAMIA: 20; ARJUN TREE: 250</x:t>
  </x:si>
  <x:si>
    <x:t xml:space="preserve">PONGAMIA</x:t>
  </x:si>
  <x:si>
    <x:t xml:space="preserve">Pongamia</x:t>
  </x:si>
  <x:si>
    <x:t xml:space="preserve">ARJUN TREE</x:t>
  </x:si>
  <x:si>
    <x:t xml:space="preserve">MANGO: 35; SARVI: 2500</x:t>
  </x:si>
  <x:si>
    <x:t xml:space="preserve">SARVI</x:t>
  </x:si>
  <x:si>
    <x:t xml:space="preserve">Sarvi</x:t>
  </x:si>
  <x:si>
    <x:t xml:space="preserve">MANGO: 260; JACKFRUIT: 1; SAPOTA: 1</x:t>
  </x:si>
  <x:si>
    <x:t xml:space="preserve">SAPOTA</x:t>
  </x:si>
  <x:si>
    <x:t xml:space="preserve">CASHEW: 500; CUSTARD APPLE: 500; TAMARIND: 50; JACKFRUIT: 10; MANGO: 6</x:t>
  </x:si>
  <x:si>
    <x:t xml:space="preserve">MANGO: 380; GUAVA: 600; MUNAGA: 25</x:t>
  </x:si>
  <x:si>
    <x:t xml:space="preserve">MUNAGA</x:t>
  </x:si>
  <x:si>
    <x:t xml:space="preserve">Munaga</x:t>
  </x:si>
  <x:si>
    <x:t xml:space="preserve">POMEGRANATE: 1800; JAMUN: 10; JACKFRUIT: 15; FIG: 10</x:t>
  </x:si>
  <x:si>
    <x:t xml:space="preserve">FIG</x:t>
  </x:si>
  <x:si>
    <x:t xml:space="preserve">Fig</x:t>
  </x:si>
  <x:si>
    <x:t xml:space="preserve">MANGO: 130; LEMON: 200; REGU: 400; MUNAGA: 12; POMEGRANATE: 2; JACKFRUIT: 2; ZAPOTA: 4; MOSAMBI: 0</x:t>
  </x:si>
  <x:si>
    <x:t xml:space="preserve">REGU</x:t>
  </x:si>
  <x:si>
    <x:t xml:space="preserve">Regu</x:t>
  </x:si>
  <x:si>
    <x:t xml:space="preserve">MANGO: 20; ALLAM NEREDU: 10; GUAVA: 10; CUSTARD APPLE: 30; LEMON: 30; MOSAMBI: 10</x:t>
  </x:si>
  <x:si>
    <x:t xml:space="preserve">ALLAM NEREDU</x:t>
  </x:si>
  <x:si>
    <x:t xml:space="preserve">Allam Neredu</x:t>
  </x:si>
  <x:si>
    <x:t xml:space="preserve">TEAK: 25; SILVER OAK: 1000</x:t>
  </x:si>
  <x:si>
    <x:t xml:space="preserve">SANDALWOOD: 1400</x:t>
  </x:si>
  <x:si>
    <x:t xml:space="preserve">MALABAR NEEM: 3432</x:t>
  </x:si>
  <x:si>
    <x:t xml:space="preserve">SILVER OAK: 1800</x:t>
  </x:si>
  <x:si>
    <x:t xml:space="preserve">SILVER OAK: 500</x:t>
  </x:si>
  <x:si>
    <x:t xml:space="preserve">SILVER OAK: 300</x:t>
  </x:si>
  <x:si>
    <x:t xml:space="preserve">SILVER OAK: 1004</x:t>
  </x:si>
  <x:si>
    <x:t xml:space="preserve">SILVER OAK: 1400</x:t>
  </x:si>
  <x:si>
    <x:t xml:space="preserve">TEAK: 200; SILVER OAK: 300</x:t>
  </x:si>
  <x:si>
    <x:t xml:space="preserve">RED SANDALWOOD: 500</x:t>
  </x:si>
  <x:si>
    <x:t xml:space="preserve">Alias match -&gt; Sandalwood</x:t>
  </x:si>
  <x:si>
    <x:t xml:space="preserve">TEAK: 100</x:t>
  </x:si>
  <x:si>
    <x:t xml:space="preserve">MALABAR NEEM: 100; SILVER OAK: 300; BAMBOO: 40; NEEM: 15</x:t>
  </x:si>
  <x:si>
    <x:t xml:space="preserve">BAMBOO</x:t>
  </x:si>
  <x:si>
    <x:t xml:space="preserve">No Chave tree-form parameter available for bamboo (culm allometry differs) - needs dedicated equation</x:t>
  </x:si>
  <x:si>
    <x:t xml:space="preserve">SANDALWOOD: 500; MAHOGANY: 500</x:t>
  </x:si>
  <x:si>
    <x:t xml:space="preserve">MAHOGANY</x:t>
  </x:si>
  <x:si>
    <x:t xml:space="preserve">Mahogany</x:t>
  </x:si>
  <x:si>
    <x:t xml:space="preserve">TEAK: 1000</x:t>
  </x:si>
  <x:si>
    <x:t xml:space="preserve">SANDALWOOD: 1474</x:t>
  </x:si>
  <x:si>
    <x:t xml:space="preserve">TEAK: 320</x:t>
  </x:si>
  <x:si>
    <x:t xml:space="preserve">SILVER OAK: 1600</x:t>
  </x:si>
  <x:si>
    <x:t xml:space="preserve">SANDALWOOD: 900</x:t>
  </x:si>
  <x:si>
    <x:t xml:space="preserve">SILVER OAK: 300; TEAK: 400</x:t>
  </x:si>
  <x:si>
    <x:t xml:space="preserve">SILVER OAK: 400</x:t>
  </x:si>
  <x:si>
    <x:t xml:space="preserve">TEAK: 100; NEEM: 20</x:t>
  </x:si>
  <x:si>
    <x:t xml:space="preserve">SILVER OAK: 700; FOREST PLANTS: 50</x:t>
  </x:si>
  <x:si>
    <x:t xml:space="preserve">SANDALWOOD: 26; RED SANDALWOOD: 116; TEAK: 50</x:t>
  </x:si>
  <x:si>
    <x:t xml:space="preserve">SILVER OAK: 800</x:t>
  </x:si>
  <x:si>
    <x:t xml:space="preserve">TEAK: 1100</x:t>
  </x:si>
  <x:si>
    <x:t xml:space="preserve">SILVER OAK: 600</x:t>
  </x:si>
  <x:si>
    <x:t xml:space="preserve">Ex-Ante Growth Model | Chapman-Richards Diameter &amp; Height → Chave AGB</x:t>
  </x:si>
  <x:si>
    <x:t xml:space="preserve">Core biological engine for the ex-ante ERR. Species-level diameter and height are projected by age using Chapman-Richards, converted to tree AGB using Chave et al. (2014), summed by PSP and normalized to t d.m./ha. S15_Source_Strata then aggregates these formula-driven PSP age curves.</x:t>
  </x:si>
  <x:si>
    <x:t xml:space="preserve">Parameter / equation</x:t>
  </x:si>
  <x:si>
    <x:t xml:space="preserve">Formula</x:t>
  </x:si>
  <x:si>
    <x:t xml:space="preserve">Unit / treatment</x:t>
  </x:si>
  <x:si>
    <x:t xml:space="preserve">1</x:t>
  </x:si>
  <x:si>
    <x:t xml:space="preserve">Tree age in calendar year</x:t>
  </x:si>
  <x:si>
    <x:t xml:space="preserve">If Year &lt; cohort: no project stock; otherwise Age = Year − planting cohort</x:t>
  </x:si>
  <x:si>
    <x:t xml:space="preserve">2</x:t>
  </x:si>
  <x:si>
    <x:t xml:space="preserve">Diameter | Chapman-Richards</x:t>
  </x:si>
  <x:si>
    <x:t xml:space="preserve">D(age) = Dmax × [1 − exp(−kD × age)]^mD</x:t>
  </x:si>
  <x:si>
    <x:t xml:space="preserve">cm</x:t>
  </x:si>
  <x:si>
    <x:t xml:space="preserve">3</x:t>
  </x:si>
  <x:si>
    <x:t xml:space="preserve">Height | Chapman-Richards</x:t>
  </x:si>
  <x:si>
    <x:t xml:space="preserve">H(age) = Hmax × [1 − exp(−kH × age)]^mH</x:t>
  </x:si>
  <x:si>
    <x:t xml:space="preserve">m</x:t>
  </x:si>
  <x:si>
    <x:t xml:space="preserve">4</x:t>
  </x:si>
  <x:si>
    <x:t xml:space="preserve">Tree AGB | Chave et al. 2014</x:t>
  </x:si>
  <x:si>
    <x:t xml:space="preserve">AGBtree = 0.0673 × (ρ × D² × H)^0.976</x:t>
  </x:si>
  <x:si>
    <x:t xml:space="preserve">kg d.m./tree</x:t>
  </x:si>
  <x:si>
    <x:t xml:space="preserve">5</x:t>
  </x:si>
  <x:si>
    <x:t xml:space="preserve">6</x:t>
  </x:si>
  <x:si>
    <x:t xml:space="preserve">2026 conservative scaling</x:t>
  </x:si>
  <x:si>
    <x:t xml:space="preserve">Conservative anchor = selected PSP mean AGB at age (2026 − cohort) × conservativeness factor</x:t>
  </x:si>
  <x:si>
    <x:t xml:space="preserve">7</x:t>
  </x:si>
  <x:si>
    <x:t xml:space="preserve">Total woody stock</x:t>
  </x:si>
  <x:si>
    <x:t xml:space="preserve">Modelled AGB × scale × CF × (1+R) × 44/12</x:t>
  </x:si>
  <x:si>
    <x:t xml:space="preserve">tCO2e/ha</x:t>
  </x:si>
  <x:si>
    <x:t xml:space="preserve">Calendar-aligned PSP AGB t/ha | Chapman-Richards age curve aligned to planting cohort</x:t>
  </x:si>
  <x:si>
    <x:t xml:space="preserve">Statistical helpers | squared PSP AGB by biological age (for formula-derived stratum SD/CV)</x:t>
  </x:si>
  <x:si>
    <x:t xml:space="preserve">Support row</x:t>
  </x:si>
  <x:si>
    <x:t xml:space="preserve">AGB t/ha | Age 0</x:t>
  </x:si>
  <x:si>
    <x:t xml:space="preserve">AGB t/ha | Age 1</x:t>
  </x:si>
  <x:si>
    <x:t xml:space="preserve">AGB t/ha | Age 2</x:t>
  </x:si>
  <x:si>
    <x:t xml:space="preserve">AGB t/ha | Age 3</x:t>
  </x:si>
  <x:si>
    <x:t xml:space="preserve">AGB t/ha | Age 4</x:t>
  </x:si>
  <x:si>
    <x:t xml:space="preserve">AGB t/ha | Age 5</x:t>
  </x:si>
  <x:si>
    <x:t xml:space="preserve">AGB t/ha | Age 6</x:t>
  </x:si>
  <x:si>
    <x:t xml:space="preserve">AGB t/ha | Age 7</x:t>
  </x:si>
  <x:si>
    <x:t xml:space="preserve">AGB t/ha | Age 8</x:t>
  </x:si>
  <x:si>
    <x:t xml:space="preserve">AGB t/ha | Age 9</x:t>
  </x:si>
  <x:si>
    <x:t xml:space="preserve">AGB t/ha | Age 10</x:t>
  </x:si>
  <x:si>
    <x:t xml:space="preserve">AGB t/ha | Age 11</x:t>
  </x:si>
  <x:si>
    <x:t xml:space="preserve">AGB t/ha | Age 12</x:t>
  </x:si>
  <x:si>
    <x:t xml:space="preserve">AGB t/ha | Age 13</x:t>
  </x:si>
  <x:si>
    <x:t xml:space="preserve">AGB t/ha | Age 14</x:t>
  </x:si>
  <x:si>
    <x:t xml:space="preserve">AGB t/ha | Age 15</x:t>
  </x:si>
  <x:si>
    <x:t xml:space="preserve">AGB t/ha | Age 16</x:t>
  </x:si>
  <x:si>
    <x:t xml:space="preserve">AGB t/ha | Age 17</x:t>
  </x:si>
  <x:si>
    <x:t xml:space="preserve">AGB t/ha | Age 18</x:t>
  </x:si>
  <x:si>
    <x:t xml:space="preserve">AGB t/ha | Age 19</x:t>
  </x:si>
  <x:si>
    <x:t xml:space="preserve">AGB t/ha | Age 20</x:t>
  </x:si>
  <x:si>
    <x:t xml:space="preserve">Model|Density key</x:t>
  </x:si>
  <x:si>
    <x:t xml:space="preserve">Model key</x:t>
  </x:si>
  <x:si>
    <x:t xml:space="preserve">AGB² | Age 0</x:t>
  </x:si>
  <x:si>
    <x:t xml:space="preserve">AGB² | Age 1</x:t>
  </x:si>
  <x:si>
    <x:t xml:space="preserve">AGB² | Age 2</x:t>
  </x:si>
  <x:si>
    <x:t xml:space="preserve">AGB² | Age 3</x:t>
  </x:si>
  <x:si>
    <x:t xml:space="preserve">AGB² | Age 4</x:t>
  </x:si>
  <x:si>
    <x:t xml:space="preserve">AGB² | Age 5</x:t>
  </x:si>
  <x:si>
    <x:t xml:space="preserve">AGB² | Age 6</x:t>
  </x:si>
  <x:si>
    <x:t xml:space="preserve">AGB² | Age 7</x:t>
  </x:si>
  <x:si>
    <x:t xml:space="preserve">AGB² | Age 8</x:t>
  </x:si>
  <x:si>
    <x:t xml:space="preserve">AGB² | Age 9</x:t>
  </x:si>
  <x:si>
    <x:t xml:space="preserve">AGB² | Age 10</x:t>
  </x:si>
  <x:si>
    <x:t xml:space="preserve">AGB² | Age 11</x:t>
  </x:si>
  <x:si>
    <x:t xml:space="preserve">AGB² | Age 12</x:t>
  </x:si>
  <x:si>
    <x:t xml:space="preserve">AGB² | Age 13</x:t>
  </x:si>
  <x:si>
    <x:t xml:space="preserve">AGB² | Age 14</x:t>
  </x:si>
  <x:si>
    <x:t xml:space="preserve">AGB² | Age 15</x:t>
  </x:si>
  <x:si>
    <x:t xml:space="preserve">AGB² | Age 16</x:t>
  </x:si>
  <x:si>
    <x:t xml:space="preserve">AGB² | Age 17</x:t>
  </x:si>
  <x:si>
    <x:t xml:space="preserve">AGB² | Age 18</x:t>
  </x:si>
  <x:si>
    <x:t xml:space="preserve">AGB² | Age 19</x:t>
  </x:si>
  <x:si>
    <x:t xml:space="preserve">AGB² | Age 20</x:t>
  </x:si>
  <x:si>
    <x:t xml:space="preserve">Selected PSP | Chapman-Richards Diameter &amp; Height Trace</x:t>
  </x:si>
  <x:si>
    <x:t xml:space="preserve">SELECT PSP ID</x:t>
  </x:si>
  <x:si>
    <x:t xml:space="preserve">Age</x:t>
  </x:si>
  <x:si>
    <x:t xml:space="preserve">Calendar year</x:t>
  </x:si>
  <x:si>
    <x:t xml:space="preserve">Weighted mean D (cm)</x:t>
  </x:si>
  <x:si>
    <x:t xml:space="preserve">Weighted mean H (m)</x:t>
  </x:si>
  <x:si>
    <x:t xml:space="preserve">Modelled AGB (t/ha)</x:t>
  </x:si>
  <x:si>
    <x:t xml:space="preserve">Mortality / Survival Model - applied to every PSP age-curve above (columns I:AC, rows 15-81)</x:t>
  </x:si>
  <x:si>
    <x:t xml:space="preserve">Mortality removes trees, so surviving-stand AGB/ha is scaled down by cumulative survival at each age, not the per-tree AGB itself. Change the four input cells below and every AGB figure in this workbook recalculates.</x:t>
  </x:si>
  <x:si>
    <x:t xml:space="preserve">Mortality, year 1 (%)</x:t>
  </x:si>
  <x:si>
    <x:t xml:space="preserve">Mortality, year 2 (%)</x:t>
  </x:si>
  <x:si>
    <x:t xml:space="preserve">Mortality, year 3 (%)</x:t>
  </x:si>
  <x:si>
    <x:t xml:space="preserve">Mortality, year 4 onward (%)</x:t>
  </x:si>
  <x:si>
    <x:t xml:space="preserve">Cumulative survival fraction by age (applied to all 67 PSP AGB curves above)</x:t>
  </x:si>
  <x:si>
    <x:t xml:space="preserve">Biological Source Strata | Ex-Ante Chapman-Richards Growth Curves</x:t>
  </x:si>
  <x:si>
    <x:t xml:space="preserve">Fully formula-derived ex-ante stratum engine. Source Key (col B) defines the stratum only. Model/Density/Cohort, population records, area, PSP n, PSP mean/SD/CV, 2026 conservative anchor, scale factor, 2020-2040 stock and annual ER are all formulas. Biomass chain: species/tree counts → Chapman-Richards D(age), H(age) → Chave AGB/tree → PSP AGB/ha → selected exact/pooled PSP age curve → CF × (1+R) × 44/12.</x:t>
  </x:si>
  <x:si>
    <x:t xml:space="preserve">Source Key | structural definition</x:t>
  </x:si>
  <x:si>
    <x:t xml:space="preserve">Exact-stratum PSP n</x:t>
  </x:si>
  <x:si>
    <x:t xml:space="preserve">Model×Density PSP n</x:t>
  </x:si>
  <x:si>
    <x:t xml:space="preserve">Mean AGB @2026 used for scaling</x:t>
  </x:si>
  <x:si>
    <x:t xml:space="preserve">Scale factor</x:t>
  </x:si>
  <x:si>
    <x:t xml:space="preserve">Growth Curve Source / fallback</x:t>
  </x:si>
  <x:si>
    <x:t xml:space="preserve">Equation / trace</x:t>
  </x:si>
  <x:si>
    <x:t xml:space="preserve">Stock tCO2e/ha 2020</x:t>
  </x:si>
  <x:si>
    <x:t xml:space="preserve">Stock tCO2e/ha 2021</x:t>
  </x:si>
  <x:si>
    <x:t xml:space="preserve">Stock tCO2e/ha 2022</x:t>
  </x:si>
  <x:si>
    <x:t xml:space="preserve">Stock tCO2e/ha 2023</x:t>
  </x:si>
  <x:si>
    <x:t xml:space="preserve">Stock tCO2e/ha 2024</x:t>
  </x:si>
  <x:si>
    <x:t xml:space="preserve">Stock tCO2e/ha 2025</x:t>
  </x:si>
  <x:si>
    <x:t xml:space="preserve">Stock tCO2e/ha 2026</x:t>
  </x:si>
  <x:si>
    <x:t xml:space="preserve">Stock tCO2e/ha 2027</x:t>
  </x:si>
  <x:si>
    <x:t xml:space="preserve">Stock tCO2e/ha 2028</x:t>
  </x:si>
  <x:si>
    <x:t xml:space="preserve">Stock tCO2e/ha 2029</x:t>
  </x:si>
  <x:si>
    <x:t xml:space="preserve">Stock tCO2e/ha 2030</x:t>
  </x:si>
  <x:si>
    <x:t xml:space="preserve">Stock tCO2e/ha 2031</x:t>
  </x:si>
  <x:si>
    <x:t xml:space="preserve">Stock tCO2e/ha 2032</x:t>
  </x:si>
  <x:si>
    <x:t xml:space="preserve">Stock tCO2e/ha 2033</x:t>
  </x:si>
  <x:si>
    <x:t xml:space="preserve">Stock tCO2e/ha 2034</x:t>
  </x:si>
  <x:si>
    <x:t xml:space="preserve">Stock tCO2e/ha 2035</x:t>
  </x:si>
  <x:si>
    <x:t xml:space="preserve">Stock tCO2e/ha 2036</x:t>
  </x:si>
  <x:si>
    <x:t xml:space="preserve">Stock tCO2e/ha 2037</x:t>
  </x:si>
  <x:si>
    <x:t xml:space="preserve">Stock tCO2e/ha 2038</x:t>
  </x:si>
  <x:si>
    <x:t xml:space="preserve">Stock tCO2e/ha 2039</x:t>
  </x:si>
  <x:si>
    <x:t xml:space="preserve">Stock tCO2e/ha 2040</x:t>
  </x:si>
  <x:si>
    <x:t xml:space="preserve">Annual ER tCO2e/ha 2020</x:t>
  </x:si>
  <x:si>
    <x:t xml:space="preserve">Annual ER tCO2e/ha 2021</x:t>
  </x:si>
  <x:si>
    <x:t xml:space="preserve">Annual ER tCO2e/ha 2022</x:t>
  </x:si>
  <x:si>
    <x:t xml:space="preserve">Annual ER tCO2e/ha 2023</x:t>
  </x:si>
  <x:si>
    <x:t xml:space="preserve">Annual ER tCO2e/ha 2024</x:t>
  </x:si>
  <x:si>
    <x:t xml:space="preserve">Annual ER tCO2e/ha 2025</x:t>
  </x:si>
  <x:si>
    <x:t xml:space="preserve">Annual ER tCO2e/ha 2026</x:t>
  </x:si>
  <x:si>
    <x:t xml:space="preserve">Annual ER tCO2e/ha 2027</x:t>
  </x:si>
  <x:si>
    <x:t xml:space="preserve">Annual ER tCO2e/ha 2028</x:t>
  </x:si>
  <x:si>
    <x:t xml:space="preserve">Annual ER tCO2e/ha 2029</x:t>
  </x:si>
  <x:si>
    <x:t xml:space="preserve">Annual ER tCO2e/ha 2030</x:t>
  </x:si>
  <x:si>
    <x:t xml:space="preserve">Annual ER tCO2e/ha 2031</x:t>
  </x:si>
  <x:si>
    <x:t xml:space="preserve">Annual ER tCO2e/ha 2032</x:t>
  </x:si>
  <x:si>
    <x:t xml:space="preserve">Annual ER tCO2e/ha 2033</x:t>
  </x:si>
  <x:si>
    <x:t xml:space="preserve">Annual ER tCO2e/ha 2034</x:t>
  </x:si>
  <x:si>
    <x:t xml:space="preserve">Annual ER tCO2e/ha 2035</x:t>
  </x:si>
  <x:si>
    <x:t xml:space="preserve">Annual ER tCO2e/ha 2036</x:t>
  </x:si>
  <x:si>
    <x:t xml:space="preserve">Annual ER tCO2e/ha 2037</x:t>
  </x:si>
  <x:si>
    <x:t xml:space="preserve">Annual ER tCO2e/ha 2038</x:t>
  </x:si>
  <x:si>
    <x:t xml:space="preserve">Annual ER tCO2e/ha 2039</x:t>
  </x:si>
  <x:si>
    <x:t xml:space="preserve">Annual ER tCO2e/ha 2040</x:t>
  </x:si>
  <x:si>
    <x:t xml:space="preserve">Target age = Year − Cohort. Exact stratum curve used when ≥2 PSPs; otherwise Model×Density pooled curve, then Model pooled fallback. At each age: Chapman-Richards D/H → Chave AGB/tree → PSP AGB/ha → mean curve × conservativeness factor → CF × (1+R) × 44/12.</x:t>
  </x:si>
  <x:si>
    <x:t xml:space="preserve">Horti-Silviculture|High|2021</x:t>
  </x:si>
  <x:si>
    <x:t xml:space="preserve">Fruit Orchard|High|2021</x:t>
  </x:si>
  <x:si>
    <x:t xml:space="preserve">Fruit Orchard|Low|2021</x:t>
  </x:si>
  <x:si>
    <x:t xml:space="preserve">Timber Plantation|High|2021</x:t>
  </x:si>
  <x:si>
    <x:t xml:space="preserve">Mixed Agroforestry|Low|2021</x:t>
  </x:si>
  <x:si>
    <x:t xml:space="preserve">Horti-Silviculture|Medium|2022</x:t>
  </x:si>
  <x:si>
    <x:t xml:space="preserve">Fruit Orchard|Low|2022</x:t>
  </x:si>
  <x:si>
    <x:t xml:space="preserve">Timber Plantation|High|2022</x:t>
  </x:si>
  <x:si>
    <x:t xml:space="preserve">Horti-Silviculture|High|2022</x:t>
  </x:si>
  <x:si>
    <x:t xml:space="preserve">Fruit Orchard|Medium|2023</x:t>
  </x:si>
  <x:si>
    <x:t xml:space="preserve">Timber Plantation|Medium|2023</x:t>
  </x:si>
  <x:si>
    <x:t xml:space="preserve">Fruit Orchard|High|2023</x:t>
  </x:si>
  <x:si>
    <x:t xml:space="preserve">Horti-Silviculture|Low|2023</x:t>
  </x:si>
  <x:si>
    <x:t xml:space="preserve">Horti-Silviculture|High|2023</x:t>
  </x:si>
  <x:si>
    <x:t xml:space="preserve">Included Records</x:t>
  </x:si>
  <x:si>
    <x:t xml:space="preserve">Included Area ha</x:t>
  </x:si>
  <x:si>
    <x:t xml:space="preserve">Raw Records</x:t>
  </x:si>
  <x:si>
    <x:t xml:space="preserve">Raw Area ha</x:t>
  </x:si>
  <x:si>
    <x:t xml:space="preserve">Excluded Records</x:t>
  </x:si>
  <x:si>
    <x:t xml:space="preserve">Excluded Area ha</x:t>
  </x:si>
  <x:si>
    <x:t xml:space="preserve">Check</x:t>
  </x:si>
  <x:si>
    <x:t xml:space="preserve">Source</x:t>
  </x:si>
  <x:si>
    <x:t xml:space="preserve">Included + excluded = raw</x:t>
  </x:si>
  <x:si>
    <x:t xml:space="preserve">Fresh eligible-population source</x:t>
  </x:si>
  <x:si>
    <x:t xml:space="preserve">Tree Density / ha</x:t>
  </x:si>
  <x:si>
    <x:t xml:space="preserve">Density Class</x:t>
  </x:si>
  <x:si>
    <x:t xml:space="preserve">State</x:t>
  </x:si>
  <x:si>
    <x:t xml:space="preserve">District</x:t>
  </x:si>
  <x:si>
    <x:t xml:space="preserve">Village</x:t>
  </x:si>
  <x:si>
    <x:t xml:space="preserve">Exclusion reason</x:t>
  </x:si>
  <x:si>
    <x:t xml:space="preserve">TELANGANA</x:t>
  </x:si>
  <x:si>
    <x:t xml:space="preserve">BHADRADRI KOTHAGUDEM</x:t>
  </x:si>
  <x:si>
    <x:t xml:space="preserve">YANAMBAILU</x:t>
  </x:si>
  <x:si>
    <x:t xml:space="preserve">Tree density missing</x:t>
  </x:si>
  <x:si>
    <x:t xml:space="preserve">PANDU RANGAPURAM</x:t>
  </x:si>
  <x:si>
    <x:t xml:space="preserve">KHAMMAM</x:t>
  </x:si>
  <x:si>
    <x:t xml:space="preserve">RAMUNNAPALAM</x:t>
  </x:si>
  <x:si>
    <x:t xml:space="preserve">RAJANNA SIRISILLA</x:t>
  </x:si>
  <x:si>
    <x:t xml:space="preserve">REPAKA</x:t>
  </x:si>
  <x:si>
    <x:t xml:space="preserve">HANUMAKONDA</x:t>
  </x:si>
  <x:si>
    <x:t xml:space="preserve">MALLARAM</x:t>
  </x:si>
  <x:si>
    <x:t xml:space="preserve">Records</x:t>
  </x:si>
  <x:si>
    <x:t xml:space="preserve">Status</x:t>
  </x:si>
  <x:si>
    <x:t xml:space="preserve">Raw</x:t>
  </x:si>
  <x:si>
    <x:t xml:space="preserve">701 raw records</x:t>
  </x:si>
  <x:si>
    <x:t xml:space="preserve">Excluded</x:t>
  </x:si>
  <x:si>
    <x:t xml:space="preserve">ERR included</x:t>
  </x:si>
  <x:si>
    <x:t xml:space="preserve">691 / 523.9128 ha</x:t>
  </x:si>
  <x:si>
    <x:t xml:space="preserve">Eligible Records</x:t>
  </x:si>
  <x:si>
    <x:t xml:space="preserve">Primary PSP n</x:t>
  </x:si>
  <x:si>
    <x:t xml:space="preserve">Curve Source</x:t>
  </x:si>
  <x:si>
    <x:t xml:space="preserve">PB Key</x:t>
  </x:si>
  <x:si>
    <x:t xml:space="preserve">Gross stock tCO2e 2020 = Area × stock/ha</x:t>
  </x:si>
  <x:si>
    <x:t xml:space="preserve">Gross stock tCO2e 2021 = Area × stock/ha</x:t>
  </x:si>
  <x:si>
    <x:t xml:space="preserve">Gross stock tCO2e 2022 = Area × stock/ha</x:t>
  </x:si>
  <x:si>
    <x:t xml:space="preserve">Gross stock tCO2e 2023 = Area × stock/ha</x:t>
  </x:si>
  <x:si>
    <x:t xml:space="preserve">Gross stock tCO2e 2024 = Area × stock/ha</x:t>
  </x:si>
  <x:si>
    <x:t xml:space="preserve">Gross stock tCO2e 2025 = Area × stock/ha</x:t>
  </x:si>
  <x:si>
    <x:t xml:space="preserve">Gross stock tCO2e 2026 = Area × stock/ha</x:t>
  </x:si>
  <x:si>
    <x:t xml:space="preserve">Gross stock tCO2e 2027 = Area × stock/ha</x:t>
  </x:si>
  <x:si>
    <x:t xml:space="preserve">Gross stock tCO2e 2028 = Area × stock/ha</x:t>
  </x:si>
  <x:si>
    <x:t xml:space="preserve">Gross stock tCO2e 2029 = Area × stock/ha</x:t>
  </x:si>
  <x:si>
    <x:t xml:space="preserve">Gross stock tCO2e 2030 = Area × stock/ha</x:t>
  </x:si>
  <x:si>
    <x:t xml:space="preserve">Gross stock tCO2e 2031 = Area × stock/ha</x:t>
  </x:si>
  <x:si>
    <x:t xml:space="preserve">Gross stock tCO2e 2032 = Area × stock/ha</x:t>
  </x:si>
  <x:si>
    <x:t xml:space="preserve">Gross stock tCO2e 2033 = Area × stock/ha</x:t>
  </x:si>
  <x:si>
    <x:t xml:space="preserve">Gross stock tCO2e 2034 = Area × stock/ha</x:t>
  </x:si>
  <x:si>
    <x:t xml:space="preserve">Gross stock tCO2e 2035 = Area × stock/ha</x:t>
  </x:si>
  <x:si>
    <x:t xml:space="preserve">Gross stock tCO2e 2036 = Area × stock/ha</x:t>
  </x:si>
  <x:si>
    <x:t xml:space="preserve">Gross stock tCO2e 2037 = Area × stock/ha</x:t>
  </x:si>
  <x:si>
    <x:t xml:space="preserve">Gross stock tCO2e 2038 = Area × stock/ha</x:t>
  </x:si>
  <x:si>
    <x:t xml:space="preserve">Gross stock tCO2e 2039 = Area × stock/ha</x:t>
  </x:si>
  <x:si>
    <x:t xml:space="preserve">Gross stock tCO2e 2040 = Area × stock/ha</x:t>
  </x:si>
  <x:si>
    <x:t xml:space="preserve">Exact Model×Density×Cohort PSP curve</x:t>
  </x:si>
  <x:si>
    <x:t xml:space="preserve">Source population</x:t>
  </x:si>
  <x:si>
    <x:t xml:space="preserve">Excluded - density missing</x:t>
  </x:si>
  <x:si>
    <x:t xml:space="preserve">Visible exclusion</x:t>
  </x:si>
  <x:si>
    <x:t xml:space="preserve">Must equal 691 / 523.9128</x:t>
  </x:si>
  <x:si>
    <x:t xml:space="preserve">Model×Density pooled PSP curve</x:t>
  </x:si>
  <x:si>
    <x:t xml:space="preserve">92-row matrix total</x:t>
  </x:si>
  <x:si>
    <x:t xml:space="preserve">Must equal 3,118 / 2,851.7985</x:t>
  </x:si>
  <x:si>
    <x:t xml:space="preserve">PB used</x:t>
  </x:si>
  <x:si>
    <x:t xml:space="preserve">PB equation</x:t>
  </x:si>
  <x:si>
    <x:t xml:space="preserve">Gross ΔCWP 2020</x:t>
  </x:si>
  <x:si>
    <x:t xml:space="preserve">Gross ΔCWP 2021</x:t>
  </x:si>
  <x:si>
    <x:t xml:space="preserve">Gross ΔCWP 2022</x:t>
  </x:si>
  <x:si>
    <x:t xml:space="preserve">Gross ΔCWP 2023</x:t>
  </x:si>
  <x:si>
    <x:t xml:space="preserve">Gross ΔCWP 2024</x:t>
  </x:si>
  <x:si>
    <x:t xml:space="preserve">Gross ΔCWP 2025</x:t>
  </x:si>
  <x:si>
    <x:t xml:space="preserve">Gross ΔCWP 2026</x:t>
  </x:si>
  <x:si>
    <x:t xml:space="preserve">Gross ΔCWP 2027</x:t>
  </x:si>
  <x:si>
    <x:t xml:space="preserve">Gross ΔCWP 2028</x:t>
  </x:si>
  <x:si>
    <x:t xml:space="preserve">Gross ΔCWP 2029</x:t>
  </x:si>
  <x:si>
    <x:t xml:space="preserve">Gross ΔCWP 2030</x:t>
  </x:si>
  <x:si>
    <x:t xml:space="preserve">Gross ΔCWP 2031</x:t>
  </x:si>
  <x:si>
    <x:t xml:space="preserve">Gross ΔCWP 2032</x:t>
  </x:si>
  <x:si>
    <x:t xml:space="preserve">Gross ΔCWP 2033</x:t>
  </x:si>
  <x:si>
    <x:t xml:space="preserve">Gross ΔCWP 2034</x:t>
  </x:si>
  <x:si>
    <x:t xml:space="preserve">Gross ΔCWP 2035</x:t>
  </x:si>
  <x:si>
    <x:t xml:space="preserve">Gross ΔCWP 2036</x:t>
  </x:si>
  <x:si>
    <x:t xml:space="preserve">Gross ΔCWP 2037</x:t>
  </x:si>
  <x:si>
    <x:t xml:space="preserve">Gross ΔCWP 2038</x:t>
  </x:si>
  <x:si>
    <x:t xml:space="preserve">Gross ΔCWP 2039</x:t>
  </x:si>
  <x:si>
    <x:t xml:space="preserve">Gross ΔCWP 2040</x:t>
  </x:si>
  <x:si>
    <x:t xml:space="preserve">PB-adjusted ΔCWP 2020</x:t>
  </x:si>
  <x:si>
    <x:t xml:space="preserve">PB-adjusted ΔCWP 2021</x:t>
  </x:si>
  <x:si>
    <x:t xml:space="preserve">PB-adjusted ΔCWP 2022</x:t>
  </x:si>
  <x:si>
    <x:t xml:space="preserve">PB-adjusted ΔCWP 2023</x:t>
  </x:si>
  <x:si>
    <x:t xml:space="preserve">PB-adjusted ΔCWP 2024</x:t>
  </x:si>
  <x:si>
    <x:t xml:space="preserve">PB-adjusted ΔCWP 2025</x:t>
  </x:si>
  <x:si>
    <x:t xml:space="preserve">PB-adjusted ΔCWP 2026</x:t>
  </x:si>
  <x:si>
    <x:t xml:space="preserve">PB-adjusted ΔCWP 2027</x:t>
  </x:si>
  <x:si>
    <x:t xml:space="preserve">PB-adjusted ΔCWP 2028</x:t>
  </x:si>
  <x:si>
    <x:t xml:space="preserve">PB-adjusted ΔCWP 2029</x:t>
  </x:si>
  <x:si>
    <x:t xml:space="preserve">PB-adjusted ΔCWP 2030</x:t>
  </x:si>
  <x:si>
    <x:t xml:space="preserve">PB-adjusted ΔCWP 2031</x:t>
  </x:si>
  <x:si>
    <x:t xml:space="preserve">PB-adjusted ΔCWP 2032</x:t>
  </x:si>
  <x:si>
    <x:t xml:space="preserve">PB-adjusted ΔCWP 2033</x:t>
  </x:si>
  <x:si>
    <x:t xml:space="preserve">PB-adjusted ΔCWP 2034</x:t>
  </x:si>
  <x:si>
    <x:t xml:space="preserve">PB-adjusted ΔCWP 2035</x:t>
  </x:si>
  <x:si>
    <x:t xml:space="preserve">PB-adjusted ΔCWP 2036</x:t>
  </x:si>
  <x:si>
    <x:t xml:space="preserve">PB-adjusted ΔCWP 2037</x:t>
  </x:si>
  <x:si>
    <x:t xml:space="preserve">PB-adjusted ΔCWP 2038</x:t>
  </x:si>
  <x:si>
    <x:t xml:space="preserve">PB-adjusted ΔCWP 2039</x:t>
  </x:si>
  <x:si>
    <x:t xml:space="preserve">PB-adjusted ΔCWP 2040</x:t>
  </x:si>
  <x:si>
    <x:t xml:space="preserve">Same figures as the calculation matrix above, reformatted so every cohort's four models line up for direct comparison. Nothing below is a separate calculation - it references the rows above on this same sheet via SUMIFS.</x:t>
  </x:si>
  <x:si>
    <x:t xml:space="preserve">Gross Stock 2026 tCO2e</x:t>
  </x:si>
  <x:si>
    <x:t xml:space="preserve">Gross Stock 2040 tCO2e</x:t>
  </x:si>
  <x:si>
    <x:t xml:space="preserve">PB-adj Stock 2040 tCO2e</x:t>
  </x:si>
  <x:si>
    <x:t xml:space="preserve">Metric</x:t>
  </x:si>
  <x:si>
    <x:t xml:space="preserve">Eq. (32) cumulative removals</x:t>
  </x:si>
  <x:si>
    <x:t xml:space="preserve">Σ annual VM0047 Eq. (32) CR</x:t>
  </x:si>
  <x:si>
    <x:t xml:space="preserve">LTA LA</x:t>
  </x:si>
  <x:si>
    <x:t xml:space="preserve">VCS Standard v4.7 §3.2.30(6): LA=Σ with-project GHG benefit/n</x:t>
  </x:si>
  <x:si>
    <x:t xml:space="preserve">LTA LC</x:t>
  </x:si>
  <x:si>
    <x:t xml:space="preserve">VCS Standard v4.7 §3.2.30: LC=Σ(PCt−BCt)/n</x:t>
  </x:si>
  <x:si>
    <x:t xml:space="preserve">Allowable before buffer</x:t>
  </x:si>
  <x:si>
    <x:t xml:space="preserve">MIN(Eq32 cumulative, LA)</x:t>
  </x:si>
  <x:si>
    <x:t xml:space="preserve">Buffer %</x:t>
  </x:si>
  <x:si>
    <x:t xml:space="preserve">S08_Defaults</x:t>
  </x:si>
  <x:si>
    <x:t xml:space="preserve">Buffer carbon-stock basis</x:t>
  </x:si>
  <x:si>
    <x:t xml:space="preserve">MIN(allowable, LC)</x:t>
  </x:si>
  <x:si>
    <x:t xml:space="preserve">Buffer % × carbon-stock basis</x:t>
  </x:si>
  <x:si>
    <x:t xml:space="preserve">VCU</x:t>
  </x:si>
  <x:si>
    <x:t xml:space="preserve">Allowable − buffer withheld</x:t>
  </x:si>
  <x:si>
    <x:t xml:space="preserve">VCU/ha</x:t>
  </x:si>
  <x:si>
    <x:t xml:space="preserve">Final VCU / area</x:t>
  </x:si>
  <x:si>
    <x:t xml:space="preserve">Final VCU / area / LTA n</x:t>
  </x:si>
  <x:si>
    <x:t xml:space="preserve">PSP basis</x:t>
  </x:si>
  <x:si>
    <x:t xml:space="preserve">Fresh 67 established PSPs</x:t>
  </x:si>
  <x:si>
    <x:t xml:space="preserve">S10_PSP_Register</x:t>
  </x:si>
  <x:si>
    <x:t xml:space="preserve">Gross ΔCWP cumulative</x:t>
  </x:si>
  <x:si>
    <x:t xml:space="preserve">PB-adjusted ΔCWP cumulative</x:t>
  </x:si>
  <x:si>
    <x:t xml:space="preserve">Cum. project emissions</x:t>
  </x:si>
  <x:si>
    <x:t xml:space="preserve">Cum. leakage</x:t>
  </x:si>
  <x:si>
    <x:t xml:space="preserve">Uncertainty</x:t>
  </x:si>
  <x:si>
    <x:t xml:space="preserve">Eq32 endpoint</x:t>
  </x:si>
  <x:si>
    <x:t xml:space="preserve">Eq32 annual CR</x:t>
  </x:si>
  <x:si>
    <x:t xml:space="preserve">Eq34 annualized</x:t>
  </x:si>
  <x:si>
    <x:t xml:space="preserve">VCS LTA PE_t with-project</x:t>
  </x:si>
  <x:si>
    <x:t xml:space="preserve">PC_t</x:t>
  </x:si>
  <x:si>
    <x:t xml:space="preserve">BC_t</x:t>
  </x:si>
  <x:si>
    <x:t xml:space="preserve">LTA PE contribution</x:t>
  </x:si>
  <x:si>
    <x:t xml:space="preserve">LTA stock contribution</x:t>
  </x:si>
  <x:si>
    <x:t xml:space="preserve">Eq32 uses PB+UNC+PE+LK; LTA §3.2.30(6) uses with-project benefit, not forecast PB</x:t>
  </x:si>
  <x:si>
    <x:t xml:space="preserve">Parcel area ha</x:t>
  </x:si>
  <x:si>
    <x:t xml:space="preserve">Project Emissions &amp; Leakage | Annual + Cumulative | Live PE_fert Link</x:t>
  </x:si>
  <x:si>
    <x:t xml:space="preserve">VM0047 PE annual tCO2e</x:t>
  </x:si>
  <x:si>
    <x:t xml:space="preserve">Leakage annual tCO2e</x:t>
  </x:si>
  <x:si>
    <x:t xml:space="preserve">Equation / requirement</x:t>
  </x:si>
  <x:si>
    <x:t xml:space="preserve">Source / final-use trace</x:t>
  </x:si>
  <x:si>
    <x:t xml:space="preserve">PE_fert annual tCO2e</x:t>
  </x:si>
  <x:si>
    <x:t xml:space="preserve">PE_bburn annual tCO2e - USER INPUT</x:t>
  </x:si>
  <x:si>
    <x:t xml:space="preserve">PE check</x:t>
  </x:si>
  <x:si>
    <x:t xml:space="preserve">Eq.(12): PE_fert + PE_bburn; Eq.(32) deducts PE + LK</x:t>
  </x:si>
  <x:si>
    <x:t xml:space="preserve">PE_fert→18_PE... | PE_bburn→col I | LK→S36_VMD0054_Leakage final-use annual</x:t>
  </x:si>
  <x:si>
    <x:t xml:space="preserve">Column C is formula-linked to S36_VMD0054_Leakage, which implements VMD0054 v1.1 Steps 1-5. Legacy mode carries the real 2020-2024 leakage calculation from ERR_Sheet_GKF_V1_1 (Government of India crop data); years 2025 onward are zero, consistent with that source.</x:t>
  </x:si>
  <x:si>
    <x:t xml:space="preserve">Species Silviculture Basis - Harvesting Age, Spacing, Fertilizer Regime</x:t>
  </x:si>
  <x:si>
    <x:t xml:space="preserve">Consolidated from the project proponent's two uploaded reference files: SP_SPIECES_SPACING_AND_HARVESTING_PERIOD.xlsx and FRUITS___FORESTRY__PLANTS_disease.xlsx. Used to (a) sanity-check the VCS long-term-average (LTA) harvesting assumption, (b) provide a real basis for fertilizer-related project emissions (see S35_PE_Leakage_Derivation), and (c) support the SOC Table 1 disturbance-trigger question in S38_Appendix2_Significance_Test.</x:t>
  </x:si>
  <x:si>
    <x:t xml:space="preserve">KEY FINDING: harvesting age for nearly every species in this portfolio is 20-100 years (forestry species mostly 30-100 years; fruit species mostly 20-50 years). Against this workbook's LTA averaging window (2021-2040, 20 years, per S08_Defaults!B11:B12) and the 2020-2024 planting cohorts, almost NO species reaches harvest age within the period actually modelled in this ERR - the earliest possible harvest (Custard Apple / Guava, 20-25 years, planted 2020) would fall in 2040-2045, right at or just past the edge of the current LTA window. This does not invalidate the LTA cap (VCS Standard v4.7 requires it whenever harvesting is EVER anticipated over the project's full life, precisely to pre-average that future impact even before it happens) - but it does mean the current LTA figures are a conservative placeholder for a harvest event that, for most species, will not physically occur until well beyond 2040. If the actual crediting period extends beyond 2040 (a typical ARR crediting period is 20-40 years, renewable), the LTA start/end years in S08_Defaults should be revisited to match the true project timeline and each model's actual dominant-species harvest age, rather than the current flat 2021-2040 assumption.</x:t>
  </x:si>
  <x:si>
    <x:t xml:space="preserve">Species</x:t>
  </x:si>
  <x:si>
    <x:t xml:space="preserve">Scientific name</x:t>
  </x:si>
  <x:si>
    <x:t xml:space="preserve">Category</x:t>
  </x:si>
  <x:si>
    <x:t xml:space="preserve">Harvesting age (years)</x:t>
  </x:si>
  <x:si>
    <x:t xml:space="preserve">Life period (cross-check, years)</x:t>
  </x:si>
  <x:si>
    <x:t xml:space="preserve">Spacing (ft)</x:t>
  </x:si>
  <x:si>
    <x:t xml:space="preserve">Native/Non-native</x:t>
  </x:si>
  <x:si>
    <x:t xml:space="preserve">Silver oak</x:t>
  </x:si>
  <x:si>
    <x:t xml:space="preserve">Grevillea robusta</x:t>
  </x:si>
  <x:si>
    <x:t xml:space="preserve">Forestry</x:t>
  </x:si>
  <x:si>
    <x:t xml:space="preserve">40-45</x:t>
  </x:si>
  <x:si>
    <x:t xml:space="preserve">18*20</x:t>
  </x:si>
  <x:si>
    <x:t xml:space="preserve">NATIVE</x:t>
  </x:si>
  <x:si>
    <x:t xml:space="preserve">Tectona Grandis</x:t>
  </x:si>
  <x:si>
    <x:t xml:space="preserve">30-40</x:t>
  </x:si>
  <x:si>
    <x:t xml:space="preserve">10*10</x:t>
  </x:si>
  <x:si>
    <x:t xml:space="preserve">Sandal Wood</x:t>
  </x:si>
  <x:si>
    <x:t xml:space="preserve">santalum Album</x:t>
  </x:si>
  <x:si>
    <x:t xml:space="preserve">12*12</x:t>
  </x:si>
  <x:si>
    <x:t xml:space="preserve">Indian Neem</x:t>
  </x:si>
  <x:si>
    <x:t xml:space="preserve">Azadirachta Indica</x:t>
  </x:si>
  <x:si>
    <x:t xml:space="preserve">40-100</x:t>
  </x:si>
  <x:si>
    <x:t xml:space="preserve">Bamboo</x:t>
  </x:si>
  <x:si>
    <x:t xml:space="preserve">Bambusa Vulgaris</x:t>
  </x:si>
  <x:si>
    <x:t xml:space="preserve">6*6</x:t>
  </x:si>
  <x:si>
    <x:t xml:space="preserve">Rose Wood</x:t>
  </x:si>
  <x:si>
    <x:t xml:space="preserve">dalbergia sissoo</x:t>
  </x:si>
  <x:si>
    <x:t xml:space="preserve">14*14</x:t>
  </x:si>
  <x:si>
    <x:t xml:space="preserve">Red Sanders</x:t>
  </x:si>
  <x:si>
    <x:t xml:space="preserve">Pterocarpus Santalinus</x:t>
  </x:si>
  <x:si>
    <x:t xml:space="preserve">35-40</x:t>
  </x:si>
  <x:si>
    <x:t xml:space="preserve">Black Marudah(Nalla maddi)</x:t>
  </x:si>
  <x:si>
    <x:t xml:space="preserve">Terminalia elliptica</x:t>
  </x:si>
  <x:si>
    <x:t xml:space="preserve">Soapnut</x:t>
  </x:si>
  <x:si>
    <x:t xml:space="preserve">Sapindus Trifoliatus</x:t>
  </x:si>
  <x:si>
    <x:t xml:space="preserve">40-50</x:t>
  </x:si>
  <x:si>
    <x:t xml:space="preserve">Mahua/Madhucak indica/butter tree</x:t>
  </x:si>
  <x:si>
    <x:t xml:space="preserve">Madhuca Longifolia</x:t>
  </x:si>
  <x:si>
    <x:t xml:space="preserve">50-60</x:t>
  </x:si>
  <x:si>
    <x:t xml:space="preserve">Mangifera Indica</x:t>
  </x:si>
  <x:si>
    <x:t xml:space="preserve">25 * 30</x:t>
  </x:si>
  <x:si>
    <x:t xml:space="preserve">Cashew Nut</x:t>
  </x:si>
  <x:si>
    <x:t xml:space="preserve">Anacardium Occidentale</x:t>
  </x:si>
  <x:si>
    <x:t xml:space="preserve">Jack Fruit</x:t>
  </x:si>
  <x:si>
    <x:t xml:space="preserve">Artocarpus Heterophylus</x:t>
  </x:si>
  <x:si>
    <x:t xml:space="preserve">Fruit</x:t>
  </x:si>
  <x:si>
    <x:t xml:space="preserve">30 - 40</x:t>
  </x:si>
  <x:si>
    <x:t xml:space="preserve">25 * 25</x:t>
  </x:si>
  <x:si>
    <x:t xml:space="preserve">Tamarindus Indica</x:t>
  </x:si>
  <x:si>
    <x:t xml:space="preserve">25* 30</x:t>
  </x:si>
  <x:si>
    <x:t xml:space="preserve">Psidium Guajava</x:t>
  </x:si>
  <x:si>
    <x:t xml:space="preserve">25-30</x:t>
  </x:si>
  <x:si>
    <x:t xml:space="preserve">Annona Recticulata</x:t>
  </x:si>
  <x:si>
    <x:t xml:space="preserve">20-25</x:t>
  </x:si>
  <x:si>
    <x:t xml:space="preserve">Sapota</x:t>
  </x:si>
  <x:si>
    <x:t xml:space="preserve">Manilkara Zapota</x:t>
  </x:si>
  <x:si>
    <x:t xml:space="preserve">Lemon/Mosambhi /sweet orange</x:t>
  </x:si>
  <x:si>
    <x:t xml:space="preserve">Citrus species</x:t>
  </x:si>
  <x:si>
    <x:t xml:space="preserve">Almond trees</x:t>
  </x:si>
  <x:si>
    <x:t xml:space="preserve">Prunus dulcis</x:t>
  </x:si>
  <x:si>
    <x:t xml:space="preserve">Fertilizer regime (chemical route, as documented across nearly every species in the source file): Year 1 - N 100g, P 100g, K 100g per plant; Year 2 - N 200g, P 200g, K 200g per plant; increasing by 100g/nutrient/year thereafter until a mature plateau (typically reached by year 4-5 in the source guidance). An organic alternative (cattle manure, vermicompost, neem cake, biofertilizers) is also documented for most species; which route (or blend) project farmers actually follow is not specified in the uploaded files. See S35_PE_Leakage_Derivation for how this feeds the fertilizer-emissions calculation.</x:t>
  </x:si>
  <x:si>
    <x:t xml:space="preserve">How Project Emissions (PE) and Leakage (LK) Are Calculated</x:t>
  </x:si>
  <x:si>
    <x:t xml:space="preserve">PE_fert below is a real, bottom-up VM0047 Eq.(15)-(21)-style calculation using the fertilizer application rates from S34_Species_Silviculture_Basis and IPCC 2019 Refinement default emission factors. Leakage is the VMD0054 framework, input-ready pending activity-displacement data.</x:t>
  </x:si>
  <x:si>
    <x:t xml:space="preserve">PART A - Fertilizer N2O Emissions, VM0047 Eq.(15)-(21) (bottom-up, chemical-fertilizer route)</x:t>
  </x:si>
  <x:si>
    <x:t xml:space="preserve">Representative project tree density used in area-based PE_fert calculation</x:t>
  </x:si>
  <x:si>
    <x:t xml:space="preserve">trees/ha</x:t>
  </x:si>
  <x:si>
    <x:t xml:space="preserve">Area-weighted representative density from credited PSP basis; converts eligible area to estimated tree count for fertilizer application.</x:t>
  </x:si>
  <x:si>
    <x:t xml:space="preserve">Total ERR area</x:t>
  </x:si>
  <x:si>
    <x:t xml:space="preserve">N dosage - planting year (age 0) - USER INPUT</x:t>
  </x:si>
  <x:si>
    <x:t xml:space="preserve">g N/tree/year</x:t>
  </x:si>
  <x:si>
    <x:t xml:space="preserve">USER INPUT from supplied fertilizer regime: Year 1 N = 100 g/plant. Edit this cell if project-specific dosage differs.</x:t>
  </x:si>
  <x:si>
    <x:t xml:space="preserve">N dosage - age 1 - USER INPUT</x:t>
  </x:si>
  <x:si>
    <x:t xml:space="preserve">USER INPUT from supplied fertilizer regime: Year 2 N = 200 g/plant. Edit this cell if project-specific dosage differs.</x:t>
  </x:si>
  <x:si>
    <x:t xml:space="preserve">N dosage - age 2 - USER INPUT</x:t>
  </x:si>
  <x:si>
    <x:t xml:space="preserve">USER INPUT based on the documented +100 g N/plant/year progression. Edit if actual project records differ.</x:t>
  </x:si>
  <x:si>
    <x:t xml:space="preserve">N dosage - age 3+ plateau - USER INPUT</x:t>
  </x:si>
  <x:si>
    <x:t xml:space="preserve">USER INPUT for mature annual N dose / plateau. Edit if actual project records differ.</x:t>
  </x:si>
  <x:si>
    <x:t xml:space="preserve">EF1 - direct N2O-N from N applied</x:t>
  </x:si>
  <x:si>
    <x:t xml:space="preserve">kg N2O-N/kg N</x:t>
  </x:si>
  <x:si>
    <x:t xml:space="preserve">IPCC 2019 Refinement to 2006 GL, Vol.4 Ch.11, Table 11.1 default.</x:t>
  </x:si>
  <x:si>
    <x:t xml:space="preserve">FracGASF - volatilisation fraction, synthetic N</x:t>
  </x:si>
  <x:si>
    <x:t xml:space="preserve">fraction</x:t>
  </x:si>
  <x:si>
    <x:t xml:space="preserve">IPCC 2019 Refinement, Table 11.3.</x:t>
  </x:si>
  <x:si>
    <x:t xml:space="preserve">EF4 - indirect N2O-N from atmospheric deposition</x:t>
  </x:si>
  <x:si>
    <x:t xml:space="preserve">kg N2O-N/kg N volatilised</x:t>
  </x:si>
  <x:si>
    <x:t xml:space="preserve">FracLEACH - leaching/runoff fraction</x:t>
  </x:si>
  <x:si>
    <x:t xml:space="preserve">IPCC 2019 Refinement, Table 11.3 default used in workbook.</x:t>
  </x:si>
  <x:si>
    <x:t xml:space="preserve">EF5 - indirect N2O-N from leaching/runoff</x:t>
  </x:si>
  <x:si>
    <x:t xml:space="preserve">kg N2O-N/kg N leached</x:t>
  </x:si>
  <x:si>
    <x:t xml:space="preserve">GWP of N2O (100-yr)</x:t>
  </x:si>
  <x:si>
    <x:t xml:space="preserve">tCO2e/t N2O</x:t>
  </x:si>
  <x:si>
    <x:t xml:space="preserve">IPCC AR6 WG1 (2021), Table 7.15.</x:t>
  </x:si>
  <x:si>
    <x:t xml:space="preserve">The calculation is area-based: eligible cohort area × representative tree density × user-entered N dosage by tree age. It currently represents the chemical-N route documented in the supplied file. If actual farmer practice uses a different chemical/organic blend, update the dosage/route inputs before verification.</x:t>
  </x:si>
  <x:si>
    <x:t xml:space="preserve">Cohort 2020 age</x:t>
  </x:si>
  <x:si>
    <x:t xml:space="preserve">Cohort 2021 age</x:t>
  </x:si>
  <x:si>
    <x:t xml:space="preserve">Cohort 2022 age</x:t>
  </x:si>
  <x:si>
    <x:t xml:space="preserve">Cohort 2023 age</x:t>
  </x:si>
  <x:si>
    <x:t xml:space="preserve">Cohort 2024 age</x:t>
  </x:si>
  <x:si>
    <x:t xml:space="preserve">Total N applied (kg)</x:t>
  </x:si>
  <x:si>
    <x:t xml:space="preserve">N2O-N total (kg)</x:t>
  </x:si>
  <x:si>
    <x:t xml:space="preserve">N2O (kg)</x:t>
  </x:si>
  <x:si>
    <x:t xml:space="preserve">PE_fert (tCO2e)</x:t>
  </x:si>
  <x:si>
    <x:t xml:space="preserve">TOTAL, full period</x:t>
  </x:si>
  <x:si>
    <x:t xml:space="preserve">FINAL-USE RECONCILIATION</x:t>
  </x:si>
  <x:si>
    <x:t xml:space="preserve">PE_fert total calculated here</x:t>
  </x:si>
  <x:si>
    <x:t xml:space="preserve">SUM of annual PE_fert above</x:t>
  </x:si>
  <x:si>
    <x:t xml:space="preserve">PE_fert total used in S33_Project_Deductions</x:t>
  </x:si>
  <x:si>
    <x:t xml:space="preserve">Must equal this sheet total</x:t>
  </x:si>
  <x:si>
    <x:t xml:space="preserve">PE_bburn total user input in S33_Project_Deductions</x:t>
  </x:si>
  <x:si>
    <x:t xml:space="preserve">0 unless project biomass burning occurs and is quantified</x:t>
  </x:si>
  <x:si>
    <x:t xml:space="preserve">Total project emissions PE_t used in final ERR</x:t>
  </x:si>
  <x:si>
    <x:t xml:space="preserve">PART B - Leakage | Full calculation in S36_VMD0054_Leakage</x:t>
  </x:si>
  <x:si>
    <x:t xml:space="preserve">VM0047 area-based leakage is quantified with VMD0054. VMD0053 is not a leakage module; it is biogeochemical-model calibration/validation guidance. Use S36_VMD0054_Leakage for the complete annual Steps 1-5 calculation and final-use linkage.</x:t>
  </x:si>
  <x:si>
    <x:t xml:space="preserve">Leakage calculation sheet</x:t>
  </x:si>
  <x:si>
    <x:t xml:space="preserve">VMD0054 v1.1</x:t>
  </x:si>
  <x:si>
    <x:t xml:space="preserve">Final-use leakage total</x:t>
  </x:si>
  <x:si>
    <x:t xml:space="preserve">Linked through S33_Project_Deductions</x:t>
  </x:si>
  <x:si>
    <x:t xml:space="preserve">Final-use mode</x:t>
  </x:si>
  <x:si>
    <x:t xml:space="preserve">Legacy mode - real 2020-2024 VMD0054 figures from ERR_Sheet_GKF_V1_1 (govt. source)</x:t>
  </x:si>
  <x:si>
    <x:t xml:space="preserve">VMD0054 source</x:t>
  </x:si>
  <x:si>
    <x:t xml:space="preserve">https://verra.org/methodologies/vmd0054-estimating-leakage-from-the-displacement-of-agricultural-activities-v1-1/</x:t>
  </x:si>
  <x:si>
    <x:t xml:space="preserve">VMD0054 v1.1 Leakage - Step-by-Step Calculation | VM0047 Area-Based</x:t>
  </x:si>
  <x:si>
    <x:t xml:space="preserve">VM0047 leakage is calculated with VMD0054, not VMD0053. VMD0053 is guidance for biogeochemical-model calibration/validation. VMD0054 v1.1 estimates leakage when agricultural or fuelwood production is displaced outside the project boundary.</x:t>
  </x:si>
  <x:si>
    <x:t xml:space="preserve">Verra source: https://verra.org/methodologies/vmd0054-estimating-leakage-from-the-displacement-of-agricultural-activities-v1-1/ | Active since 13 January 2026 | Equations below follow VMD0054 v1.1 Steps 1-5.</x:t>
  </x:si>
  <x:si>
    <x:t xml:space="preserve">Project</x:t>
  </x:si>
  <x:si>
    <x:t xml:space="preserve">Enhancing rural livelihoods of farmers through carbon finance</x:t>
  </x:si>
  <x:si>
    <x:t xml:space="preserve">VCS ID</x:t>
  </x:si>
  <x:si>
    <x:t xml:space="preserve">Module</x:t>
  </x:si>
  <x:si>
    <x:t xml:space="preserve">Latest cohort / instance proxy year</x:t>
  </x:si>
  <x:si>
    <x:t xml:space="preserve">Project start year - INPUT</x:t>
  </x:si>
  <x:si>
    <x:t xml:space="preserve">Minimum leakage period ends</x:t>
  </x:si>
  <x:si>
    <x:t xml:space="preserve">Rule</x:t>
  </x:si>
  <x:si>
    <x:t xml:space="preserve">At least 5 years after latest project-instance addition</x:t>
  </x:si>
  <x:si>
    <x:t xml:space="preserve">Note</x:t>
  </x:si>
  <x:si>
    <x:t xml:space="preserve">Latest planting cohort is used as a proxy until grouped-project instance dates are confirmed.</x:t>
  </x:si>
  <x:si>
    <x:t xml:space="preserve">STEP 4 INPUTS - Carbon-stock change on newly affected lands (VMD0054 Eq. 11-12)</x:t>
  </x:si>
  <x:si>
    <x:t xml:space="preserve">ΔC biomass - INPUT</x:t>
  </x:si>
  <x:si>
    <x:t xml:space="preserve">SOC_REF - INPUT</x:t>
  </x:si>
  <x:si>
    <x:t xml:space="preserve">f_LU - INPUT</x:t>
  </x:si>
  <x:si>
    <x:t xml:space="preserve">factor</x:t>
  </x:si>
  <x:si>
    <x:t xml:space="preserve">f_MG - INPUT</x:t>
  </x:si>
  <x:si>
    <x:t xml:space="preserve">f_IN - INPUT</x:t>
  </x:si>
  <x:si>
    <x:t xml:space="preserve">Step 4 land-cover rule: use VMD0054's forest-conversion default unless the module's evidence criteria justify another native ecosystem; document the selected land cover and carbon-stock factors here.</x:t>
  </x:si>
  <x:si>
    <x:t xml:space="preserve">STEPS 1-2 SETUP - Displaced / introduced commodities and leakage-mitigation production</x:t>
  </x:si>
  <x:si>
    <x:t xml:space="preserve">Commodity j</x:t>
  </x:si>
  <x:si>
    <x:t xml:space="preserve">Role</x:t>
  </x:si>
  <x:si>
    <x:t xml:space="preserve">Accounting</x:t>
  </x:si>
  <x:si>
    <x:t xml:space="preserve">Hist prod y-3</x:t>
  </x:si>
  <x:si>
    <x:t xml:space="preserve">Hist prod y-2</x:t>
  </x:si>
  <x:si>
    <x:t xml:space="preserve">Hist prod y-1</x:t>
  </x:si>
  <x:si>
    <x:t xml:space="preserve">Hist avg</x:t>
  </x:si>
  <x:si>
    <x:t xml:space="preserve">Annual growth r</x:t>
  </x:si>
  <x:si>
    <x:t xml:space="preserve">Yield G (unit/ha/yr)</x:t>
  </x:si>
  <x:si>
    <x:t xml:space="preserve">IS</x:t>
  </x:si>
  <x:si>
    <x:t xml:space="preserve">NL</x:t>
  </x:si>
  <x:si>
    <x:t xml:space="preserve">Evidence / source</x:t>
  </x:si>
  <x:si>
    <x:t xml:space="preserve">LM hist y-3</x:t>
  </x:si>
  <x:si>
    <x:t xml:space="preserve">LM hist y-2</x:t>
  </x:si>
  <x:si>
    <x:t xml:space="preserve">LM hist y-1</x:t>
  </x:si>
  <x:si>
    <x:t xml:space="preserve">LM hist avg</x:t>
  </x:si>
  <x:si>
    <x:t xml:space="preserve">Active?</x:t>
  </x:si>
  <x:si>
    <x:t xml:space="preserve">Millets</x:t>
  </x:si>
  <x:si>
    <x:t xml:space="preserve">Displaced</x:t>
  </x:si>
  <x:si>
    <x:t xml:space="preserve">Agricultural</x:t>
  </x:si>
  <x:si>
    <x:t xml:space="preserve">Leakage-only</x:t>
  </x:si>
  <x:si>
    <x:t xml:space="preserve">Govt. of India, Dept. of Agriculture and Farmers Welfare, DES - data.desagri.gov.in (crop-wise APY reports); 5-yr historical average 2015-2019, via ERR_Sheet_GKF_V1_1</x:t>
  </x:si>
  <x:si>
    <x:t xml:space="preserve">Pulses</x:t>
  </x:si>
  <x:si>
    <x:t xml:space="preserve">Chilli</x:t>
  </x:si>
  <x:si>
    <x:t xml:space="preserve">Groundnut</x:t>
  </x:si>
  <x:si>
    <x:t xml:space="preserve">Cotton</x:t>
  </x:si>
  <x:si>
    <x:t xml:space="preserve">Turmeric</x:t>
  </x:si>
  <x:si>
    <x:t xml:space="preserve">Vegetables</x:t>
  </x:si>
  <x:si>
    <x:t xml:space="preserve">STEPS 1-3 - Annual production change, leakage mitigation, and new-land impact</x:t>
  </x:si>
  <x:si>
    <x:t xml:space="preserve">Commodity</x:t>
  </x:si>
  <x:si>
    <x:t xml:space="preserve">t</x:t>
  </x:si>
  <x:si>
    <x:t xml:space="preserve">BP Eq.(1)</x:t>
  </x:si>
  <x:si>
    <x:t xml:space="preserve">MP Eq.(2) - INPUT</x:t>
  </x:si>
  <x:si>
    <x:t xml:space="preserve">CP Eq.(3)</x:t>
  </x:si>
  <x:si>
    <x:t xml:space="preserve">OBP Eq.(4)</x:t>
  </x:si>
  <x:si>
    <x:t xml:space="preserve">OMP - INPUT</x:t>
  </x:si>
  <x:si>
    <x:t xml:space="preserve">LM Eq.(5)</x:t>
  </x:si>
  <x:si>
    <x:t xml:space="preserve">l Eq.(6)</x:t>
  </x:si>
  <x:si>
    <x:t xml:space="preserve">Yield G</x:t>
  </x:si>
  <x:si>
    <x:t xml:space="preserve">INL Eq.(9) ha</x:t>
  </x:si>
  <x:si>
    <x:t xml:space="preserve">STEPS 3-5 - Annual land impact, carbon-stock change, cumulative leakage and final-use linkage</x:t>
  </x:si>
  <x:si>
    <x:t xml:space="preserve">AL Eq.(10) ha</x:t>
  </x:si>
  <x:si>
    <x:t xml:space="preserve">ΔSOC Eq.(12) tC/ha</x:t>
  </x:si>
  <x:si>
    <x:t xml:space="preserve">ΔCS Eq.(11) tC/ha</x:t>
  </x:si>
  <x:si>
    <x:t xml:space="preserve">E_fert,LM INPUT</x:t>
  </x:si>
  <x:si>
    <x:t xml:space="preserve">E_FF,LM INPUT</x:t>
  </x:si>
  <x:si>
    <x:t xml:space="preserve">Cumulative E_LM Eq.(7)</x:t>
  </x:si>
  <x:si>
    <x:t xml:space="preserve">LK cumulative Eq.(13)</x:t>
  </x:si>
  <x:si>
    <x:t xml:space="preserve">VMD0054 annual leakage</x:t>
  </x:si>
  <x:si>
    <x:t xml:space="preserve">Legacy annual leakage</x:t>
  </x:si>
  <x:si>
    <x:t xml:space="preserve">FINAL-USE annual leakage</x:t>
  </x:si>
  <x:si>
    <x:t xml:space="preserve">Final-use status</x:t>
  </x:si>
  <x:si>
    <x:t xml:space="preserve">Minimum module period</x:t>
  </x:si>
  <x:si>
    <x:t xml:space="preserve">Formula trace</x:t>
  </x:si>
  <x:si>
    <x:t xml:space="preserve">VMD0054 annual</x:t>
  </x:si>
  <x:si>
    <x:t xml:space="preserve">Legacy annual</x:t>
  </x:si>
  <x:si>
    <x:t xml:space="preserve">Final-use annual</x:t>
  </x:si>
  <x:si>
    <x:t xml:space="preserve">Leakage figures for 2020-2024 (column J) are the actual VMD0054 Steps 1-5 calculation from ERR_Sheet_GKF_V1_1, covering seven displaced commodities (millets, pulses, chilli, groundnut, cotton, turmeric, vegetables). Production and yield data are from the Government of India, Directorate of Economics and Statistics, Department of Agriculture and Farmers Welfare (data.desagri.gov.in, crop-wise Area/Production/Yield reports), historical reference period 2015-2019, 2.5% annual growth rate. Step 4-5 factors: SOC_REF 27 tC/ha, f_LU 0.83, f_MG 1.00, f_IN 0.92, giving a combined carbon-stock factor of 6.7828 tC/ha on newly affected land. No leakage-mitigation activity was recorded, so the full foregone production is treated as leakage. The source file only computes years 1-5 (2020-2024); years 2025 onward carry forward as zero, consistent with that scope.</x:t>
  </x:si>
  <x:si>
    <x:t xml:space="preserve">Steps 1-3 above (rows 12-168) are now fully populated with the real crop data: all seven displaced commodities, their historical production, yield, and growth rate. The live Steps 4-5 aggregation (columns B-I, rows 172-192) uses the generic default IS and NL factors from the VMD0054 template (0.75 and 0.4), which have not been calibrated to this project and produce a much larger area estimate than the V1 sheet's own calculation - not a like-for-like check. Final-use leakage therefore stays on the Legacy series (column J), which is the real, validated V1 total. Switch the toggle in K4 to "VMD0054" only after the IS and NL factors are set to match GKF's actual land-use evidence.</x:t>
  </x:si>
  <x:si>
    <x:t xml:space="preserve">VM0047 Eq.(11) - Soil Organic Carbon (SOC) Pool - Structural Module</x:t>
  </x:si>
  <x:si>
    <x:t xml:space="preserve">This sheet wires the SOC pool into the equation chain (Eq.11 -&gt; Eq.2 -&gt; Eq.1) so the moment field SOC data exists, it flows through to a real number. All input cells (blue) currently default to 0 because no field SOC measurement is in the uploaded files - see the caveat box below.</x:t>
  </x:si>
  <x:si>
    <x:t xml:space="preserve">Area ha (link)</x:t>
  </x:si>
  <x:si>
    <x:t xml:space="preserve">SOC t=0 (tC/ha) - INPUT</x:t>
  </x:si>
  <x:si>
    <x:t xml:space="preserve">SOC current (tC/ha) - INPUT</x:t>
  </x:si>
  <x:si>
    <x:t xml:space="preserve">Delta SOC (tC/ha)</x:t>
  </x:si>
  <x:si>
    <x:t xml:space="preserve">Delta C_WP-SOC,t VM0047 Eq.(11) (tC) = A x Delta SOC</x:t>
  </x:si>
  <x:si>
    <x:t xml:space="preserve">x44/12 (tCO2e)</x:t>
  </x:si>
  <x:si>
    <x:t xml:space="preserve">Data source status</x:t>
  </x:si>
  <x:si>
    <x:t xml:space="preserve">Pending field SOC sampling (t=0 and periodic)</x:t>
  </x:si>
  <x:si>
    <x:t xml:space="preserve">PORTFOLIO TOTAL</x:t>
  </x:si>
  <x:si>
    <x:t xml:space="preserve">VM0047 Appendix 2 - Significance Test (CDM A/R Tool for Testing Significance of GHG Emissions, EB 31)</x:t>
  </x:si>
  <x:si>
    <x:t xml:space="preserve">Applied exactly as the tool specifies (Steps 1-7 below), including leakage in the ranked set per the tool's own Eq.5.4.1 (Ei = project emissions, carbon-pool decreases, AND leakage emissions combined). VM0047 Section 4.2(3) separately requires leakage to always be quantified regardless of this test's outcome - that rule is applied as an override on top of, not instead of, the tool's own ranking.</x:t>
  </x:si>
  <x:si>
    <x:t xml:space="preserve">WHY project emissions and leakage are calculated here: the source tool (CDM "Tool for testing significance of GHG emissions in A/R CDM project activities", EB 31, referenced by VM0047 Appendix 2) defines its own relative-contribution equation as "RCEi = Ei / (sum of Ei)", where "Ei = GHG emissions by sources of project and possible decreases in carbon pools and LEAKAGE emissions" (Step 5 of the tool). Project emissions and leakage are therefore not optional inputs to this test - the tool requires them in the same ranked set as the carbon-pool decreases, specifically so that a pool cannot be waved through as de minimis without first being weighed against what is already known to be significant. VM0047 Section 4.2(3) then adds one further rule on top: leakage itself is never allowed to be excluded on the strength of this test, however it ranks.</x:t>
  </x:si>
  <x:si>
    <x:t xml:space="preserve">STEP 1-2: Estimate project emission sources, carbon-pool decreases, and leakage</x:t>
  </x:si>
  <x:si>
    <x:t xml:space="preserve">Site-specific data where available; IPCC default factors otherwise, held consistent between ex-ante and ex-post (Step 3) and converted to CO2e using current GWP (Step 4).</x:t>
  </x:si>
  <x:si>
    <x:t xml:space="preserve">Source / pool</x:t>
  </x:si>
  <x:si>
    <x:t xml:space="preserve">Es (tCO2e, full period)</x:t>
  </x:si>
  <x:si>
    <x:t xml:space="preserve">Basis / input status</x:t>
  </x:si>
  <x:si>
    <x:t xml:space="preserve">Disturbance / mandatory trigger (VM0047 Table 1)</x:t>
  </x:si>
  <x:si>
    <x:t xml:space="preserve">Fertilizer N2O project emissions</x:t>
  </x:si>
  <x:si>
    <x:t xml:space="preserve">Live from S35_PE_Leakage_Derivation (user-input fertilizer dosage, full period total)</x:t>
  </x:si>
  <x:si>
    <x:t xml:space="preserve">Already quantified</x:t>
  </x:si>
  <x:si>
    <x:t xml:space="preserve">Biomass-burning CH4 + N2O project emissions</x:t>
  </x:si>
  <x:si>
    <x:t xml:space="preserve">Live from S33_Project_Deductions column I (user input, currently 0 - no burning confirmed)</x:t>
  </x:si>
  <x:si>
    <x:t xml:space="preserve">Already quantified if burning occurs</x:t>
  </x:si>
  <x:si>
    <x:t xml:space="preserve">Above- + belowground non-woody biomass decrease</x:t>
  </x:si>
  <x:si>
    <x:t xml:space="preserve">0 assumes no significant project-induced decrease</x:t>
  </x:si>
  <x:si>
    <x:t xml:space="preserve">Dead wood decrease</x:t>
  </x:si>
  <x:si>
    <x:t xml:space="preserve">0 assumes no removal / significant decrease</x:t>
  </x:si>
  <x:si>
    <x:t xml:space="preserve">Litter decrease</x:t>
  </x:si>
  <x:si>
    <x:t xml:space="preserve">0 assumes no significant decrease</x:t>
  </x:si>
  <x:si>
    <x:t xml:space="preserve">Soil organic carbon decrease (only where SOC is optional)</x:t>
  </x:si>
  <x:si>
    <x:t xml:space="preserve">Only applicable where SOC is not mandatory</x:t>
  </x:si>
  <x:si>
    <x:t xml:space="preserve">Leakage (VMD0054)</x:t>
  </x:si>
  <x:si>
    <x:t xml:space="preserve">Live from S36_VMD0054_Leakage final-use series (Legacy: real 2020-2024 govt.-sourced data)</x:t>
  </x:si>
  <x:si>
    <x:t xml:space="preserve">VM0047 Section 4.2(3) - never eligible for exclusion regardless of rank</x:t>
  </x:si>
  <x:si>
    <x:t xml:space="preserve">STEP 3-4: Consistency and CO2e conversion</x:t>
  </x:si>
  <x:si>
    <x:t xml:space="preserve">IPCC default factors (S35_PE_Leakage_Derivation Part A) are held constant across ex-ante and ex-post use. All figures above are already in tCO2e using IPCC AR6 100-yr GWP (N2O = 273) - see S40_References.</x:t>
  </x:si>
  <x:si>
    <x:t xml:space="preserve">STEP 5-6: Relative contribution (Eq.5.4.1) and ranking, largest source first</x:t>
  </x:si>
  <x:si>
    <x:t xml:space="preserve">Es (tCO2e)</x:t>
  </x:si>
  <x:si>
    <x:t xml:space="preserve">RC = Es / SigmaEs (Eq. 5.4.1)</x:t>
  </x:si>
  <x:si>
    <x:t xml:space="preserve">Rank (1 = largest)</x:t>
  </x:si>
  <x:si>
    <x:t xml:space="preserve">Cumulative RC (largest to smallest)</x:t>
  </x:si>
  <x:si>
    <x:t xml:space="preserve">Materiality threshold - lower of the two, per the tool's Scope section</x:t>
  </x:si>
  <x:si>
    <x:t xml:space="preserve">Net anthropogenic removals (Eq.32 cumulative, 2040)</x:t>
  </x:si>
  <x:si>
    <x:t xml:space="preserve">SigmaEs - total of all Step 1-2 sources incl. leakage (tCO2e)</x:t>
  </x:si>
  <x:si>
    <x:t xml:space="preserve">5% of net anthropogenic removals</x:t>
  </x:si>
  <x:si>
    <x:t xml:space="preserve">5% of SigmaEs (self-referential check)</x:t>
  </x:si>
  <x:si>
    <x:t xml:space="preserve">Operative threshold = MIN of the two above</x:t>
  </x:si>
  <x:si>
    <x:t xml:space="preserve">STEP 7: Cumulate from the largest source until 95% is captured; test the remaining tail</x:t>
  </x:si>
  <x:si>
    <x:t xml:space="preserve">Rank</x:t>
  </x:si>
  <x:si>
    <x:t xml:space="preserve">Cumulative RC before this source</x:t>
  </x:si>
  <x:si>
    <x:t xml:space="preserve">Sum of tail sources (not needed for 95%, excluding the leakage override)</x:t>
  </x:si>
  <x:si>
    <x:t xml:space="preserve">Tail sum vs operative 5% threshold</x:t>
  </x:si>
  <x:si>
    <x:t xml:space="preserve">VM0047 TABLE 1 - mandatory-inclusion triggers (independent of the CDM magnitude test above)</x:t>
  </x:si>
  <x:si>
    <x:t xml:space="preserve">Table 1 requires the herb, dead wood and litter pools regardless of magnitude if the project activity significantly reduced them; SOC is mandatory if site preparation disturbs soil more than once, involves harvesting, or inverts soil deeper than 25cm. A pool is excluded only if it clears BOTH this trigger test and the CDM magnitude test above.</x:t>
  </x:si>
  <x:si>
    <x:t xml:space="preserve">SOC trigger question</x:t>
  </x:si>
  <x:si>
    <x:t xml:space="preserve">Answer - INPUT</x:t>
  </x:si>
  <x:si>
    <x:t xml:space="preserve">Effect</x:t>
  </x:si>
  <x:si>
    <x:t xml:space="preserve">Does soil disturbance from site preparation occur more than once during the crediting period?</x:t>
  </x:si>
  <x:si>
    <x:t xml:space="preserve">Unknown</x:t>
  </x:si>
  <x:si>
    <x:t xml:space="preserve">Yes =&gt; SOC must be included</x:t>
  </x:si>
  <x:si>
    <x:t xml:space="preserve">Does site-preparation soil disturbance occur and the project activity involve harvesting?</x:t>
  </x:si>
  <x:si>
    <x:t xml:space="preserve">Does site preparation involve soil inversion deeper than 25cm?</x:t>
  </x:si>
  <x:si>
    <x:t xml:space="preserve">Disturbance triggers for the four optional pools</x:t>
  </x:si>
  <x:si>
    <x:t xml:space="preserve">Pool</x:t>
  </x:si>
  <x:si>
    <x:t xml:space="preserve">Disturbance status - INPUT (Yes/No/Unknown)</x:t>
  </x:si>
  <x:si>
    <x:t xml:space="preserve">Final treatment (CDM test + Table 1 trigger combined)</x:t>
  </x:si>
  <x:si>
    <x:t xml:space="preserve">Above- + belowground non-woody biomass</x:t>
  </x:si>
  <x:si>
    <x:t xml:space="preserve">Chart data - sources ordered by rank (largest first)</x:t>
  </x:si>
  <x:si>
    <x:t xml:space="preserve">Cumulative RC</x:t>
  </x:si>
  <x:si>
    <x:t xml:space="preserve">VM0047 v1.1 Compliance Checklist - Ex-Ante ERR (Fresh 67-PSP, Area-Based)</x:t>
  </x:si>
  <x:si>
    <x:t xml:space="preserve">Traffic-light review of this workbook against the methodology, prepared for internal QA before validation. Green = compliant as documented. Amber = implemented but needs stronger documentation or is a simplified ex-ante placeholder. Red = not yet demonstrated in this file.</x:t>
  </x:si>
  <x:si>
    <x:t xml:space="preserve">#</x:t>
  </x:si>
  <x:si>
    <x:t xml:space="preserve">Requirement</x:t>
  </x:si>
  <x:si>
    <x:t xml:space="preserve">Note / action needed</x:t>
  </x:si>
  <x:si>
    <x:t xml:space="preserve">Quantification approach is area-based throughout, with no census-based (planting-unit count) scaling mixed in</x:t>
  </x:si>
  <x:si>
    <x:t xml:space="preserve">Verified: every stratum scales by Area (ha) × stock/ha (Eq.3/4); no N (planting-unit) scaling appears anywhere in the 92-row matrix or PSP linkage.</x:t>
  </x:si>
  <x:si>
    <x:t xml:space="preserve">Project area (A) delineated from GIS/plot data, ha-based, per stratum</x:t>
  </x:si>
  <x:si>
    <x:t xml:space="preserve">t=0 pre-existing woody biomass established (plot-based preferred; remote-sensing only if disturbed before sampling)</x:t>
  </x:si>
  <x:si>
    <x:t xml:space="preserve">Needs statement</x:t>
  </x:si>
  <x:si>
    <x:t xml:space="preserve">State explicitly which of the three §8.2.1.2 pathways applies to each PSP cohort (plot-based pre-site-prep, plot-based within 2 years post, or remote-sensing) - currently implied but not stated in this file.</x:t>
  </x:si>
  <x:si>
    <x:t xml:space="preserve">Carbon fraction CF = 0.47 (IPCC default)</x:t>
  </x:si>
  <x:si>
    <x:t xml:space="preserve">S08_Defaults!B6</x:t>
  </x:si>
  <x:si>
    <x:t xml:space="preserve">Root:shoot ratio R applied and sourced per methodology hierarchy</x:t>
  </x:si>
  <x:si>
    <x:t xml:space="preserve">S08_Defaults!B7 (R=0.24)</x:t>
  </x:si>
  <x:si>
    <x:t xml:space="preserve">Needs source citation</x:t>
  </x:si>
  <x:si>
    <x:t xml:space="preserve">Cite the specific ecoregion/species source for R=0.24 (currently only the equation, not the data source, is shown in this ERR file).</x:t>
  </x:si>
  <x:si>
    <x:t xml:space="preserve">All significant carbon pools assessed at t=0 (Appendix 2 test applied where a pool is excluded)</x:t>
  </x:si>
  <x:si>
    <x:t xml:space="preserve">S38_Appendix2_Significance_Test; S37_SOC_Pool (structural, not linked)</x:t>
  </x:si>
  <x:si>
    <x:t xml:space="preserve">Formula-complete; evidence inputs required</x:t>
  </x:si>
  <x:si>
    <x:t xml:space="preserve">Project emissions (Eq.12) - biomass burning + fertilizer - quantified with full sub-equation trace (Eq.13-21)</x:t>
  </x:si>
  <x:si>
    <x:t xml:space="preserve">S35_PE_Leakage_Derivation Part A; S33_Project_Deductions cols B/H/I</x:t>
  </x:si>
  <x:si>
    <x:t xml:space="preserve">Fertilizer live; burning input-ready</x:t>
  </x:si>
  <x:si>
    <x:t xml:space="preserve">PE_fert is now fully formula-linked from user dosage inputs through annual N application and IPCC N2O factors into S33_Project_Deductions and the final ERR. PE_bburn is a separate annual user input, default 0 unless burning occurs and is quantified under Eq.(13)-(14).</x:t>
  </x:si>
  <x:si>
    <x:t xml:space="preserve">8</x:t>
  </x:si>
  <x:si>
    <x:t xml:space="preserve">Leakage quantified using VMD0054 (mandatory for area-based approach; must NOT be assumed de minimis)</x:t>
  </x:si>
  <x:si>
    <x:t xml:space="preserve">S36_VMD0054_Leakage; S33_Project_Deductions</x:t>
  </x:si>
  <x:si>
    <x:t xml:space="preserve">Formula-complete; real data for 2020-2024</x:t>
  </x:si>
  <x:si>
    <x:t xml:space="preserve">VMD0054 v1.1 Steps 1-5 are linked to the final ERR. 2020-2024 leakage is the real calculation from ERR_Sheet_GKF_V1_1 (Government of India crop production data, data.desagri.gov.in). Full VMD0054 mode is ready for 2025 onward once commodity and land-use inputs are entered.</x:t>
  </x:si>
  <x:si>
    <x:t xml:space="preserve">9</x:t>
  </x:si>
  <x:si>
    <x:t xml:space="preserve">Uncertainty deduction ≥10% applied for ex-ante estimate (§8.7(3))</x:t>
  </x:si>
  <x:si>
    <x:t xml:space="preserve">10</x:t>
  </x:si>
  <x:si>
    <x:t xml:space="preserve">Performance benchmark (PB) forecast per §8.7(6) from growth-yield-derived ΔSIwp and control-plot linear trend</x:t>
  </x:si>
  <x:si>
    <x:t xml:space="preserve">11</x:t>
  </x:si>
  <x:si>
    <x:t xml:space="preserve">Additionality Z-test (Appendix 1, Eq.(A7)) comparing ΔSI_control vs ΔSI_wp</x:t>
  </x:si>
  <x:si>
    <x:t xml:space="preserve">12</x:t>
  </x:si>
  <x:si>
    <x:t xml:space="preserve">Eq.(32) nesting order - MIN(gross, PB-adjusted) → ×(1−UNC) → −PE −LK, applied cumulatively and differenced across verification periods</x:t>
  </x:si>
  <x:si>
    <x:t xml:space="preserve">Formula structure correctly matches the published equation.</x:t>
  </x:si>
  <x:si>
    <x:t xml:space="preserve">13</x:t>
  </x:si>
  <x:si>
    <x:t xml:space="preserve">Annualization (Eq.34)</x:t>
  </x:si>
  <x:si>
    <x:t xml:space="preserve">14</x:t>
  </x:si>
  <x:si>
    <x:t xml:space="preserve">Long-term average (LTA) applied as an upper limit where harvesting is anticipated (VCS Standard v4.7 §3.2.28-30)</x:t>
  </x:si>
  <x:si>
    <x:t xml:space="preserve">Correctly caps Eq.(32) cumulative removals at LA; confirm which specific models/cohorts have a harvest plan that triggers this requirement (Timber Plantation clearly does; confirm Fruit Orchard).</x:t>
  </x:si>
  <x:si>
    <x:t xml:space="preserve">15</x:t>
  </x:si>
  <x:si>
    <x:t xml:space="preserve">Non-permanence buffer withholding</x:t>
  </x:si>
  <x:si>
    <x:t xml:space="preserve">S08_Defaults!B10 = 20%</x:t>
  </x:si>
  <x:si>
    <x:t xml:space="preserve">Confirm the 20% figure ties to an actual VCS AFOLU Non-Permanence Risk Tool (AR-Tool14) score rather than a flat assumption - the risk tool output is not shown in this ERR file.</x:t>
  </x:si>
  <x:si>
    <x:t xml:space="preserve">16</x:t>
  </x:si>
  <x:si>
    <x:t xml:space="preserve">Full formula-linked traceability from raw PSP measurement through to the final VCU figure</x:t>
  </x:si>
  <x:si>
    <x:t xml:space="preserve">Compliant - live formulas</x:t>
  </x:si>
  <x:si>
    <x:t xml:space="preserve">17</x:t>
  </x:si>
  <x:si>
    <x:t xml:space="preserve">Reference list includes every source actually relied upon</x:t>
  </x:si>
  <x:si>
    <x:t xml:space="preserve">18</x:t>
  </x:si>
  <x:si>
    <x:t xml:space="preserve">References &amp; Methodology Crosswalk</x:t>
  </x:si>
  <x:si>
    <x:t xml:space="preserve">Document</x:t>
  </x:si>
  <x:si>
    <x:t xml:space="preserve">Version / equation</x:t>
  </x:si>
  <x:si>
    <x:t xml:space="preserve">Purpose in workbook</x:t>
  </x:si>
  <x:si>
    <x:t xml:space="preserve">Source URL</x:t>
  </x:si>
  <x:si>
    <x:t xml:space="preserve">VM0047 Afforestation, Reforestation and Revegetation</x:t>
  </x:si>
  <x:si>
    <x:t xml:space="preserve">Core ex-ante ARR removals, PB, uncertainty, emissions and annualization</x:t>
  </x:si>
  <x:si>
    <x:t xml:space="preserve">https://verra.org/methodologies/vm0047-afforestation-reforestation-and-revegetation-v1-1/</x:t>
  </x:si>
  <x:si>
    <x:t xml:space="preserve">Active methodology</x:t>
  </x:si>
  <x:si>
    <x:t xml:space="preserve">VCS Standard</x:t>
  </x:si>
  <x:si>
    <x:t xml:space="preserve">v4.7 | §3.2.28-3.2.30</x:t>
  </x:si>
  <x:si>
    <x:t xml:space="preserve">LTA applicability, dynamic-PB LA and LC / buffer basis</x:t>
  </x:si>
  <x:si>
    <x:t xml:space="preserve">https://verra.org/wp-content/uploads/2024/04/VCS-Standard-v4.7-FINAL-4.15.24.pdf</x:t>
  </x:si>
  <x:si>
    <x:t xml:space="preserve">LTA applied where project meets harvesting activity definition</x:t>
  </x:si>
  <x:si>
    <x:t xml:space="preserve">Chave et al.</x:t>
  </x:si>
  <x:si>
    <x:t xml:space="preserve">2014 Eq. (4)</x:t>
  </x:si>
  <x:si>
    <x:t xml:space="preserve">AGB = 0.0673(ρD²H)^0.976</x:t>
  </x:si>
  <x:si>
    <x:t xml:space="preserve">https://stri-apps.si.edu/docs/publications/pdfs/Chave-et-al_2014_GlobChangeBio-new_biomass_equations.pdf</x:t>
  </x:si>
  <x:si>
    <x:t xml:space="preserve">External allometry; not a VM0047 equation</x:t>
  </x:si>
  <x:si>
    <x:t xml:space="preserve">Fresh PSP establishment workbook</x:t>
  </x:si>
  <x:si>
    <x:t xml:space="preserve">67 established PSPs</x:t>
  </x:si>
  <x:si>
    <x:t xml:space="preserve">Sole PSP source used in this ERR</x:t>
  </x:si>
  <x:si>
    <x:t xml:space="preserve">Project_PSP_Establishment (1).xlsm</x:t>
  </x:si>
  <x:si>
    <x:t xml:space="preserve">66 credited; one unconfirmed cohort retained/excluded</x:t>
  </x:si>
  <x:si>
    <x:t xml:space="preserve">Latest Project template</x:t>
  </x:si>
  <x:si>
    <x:t xml:space="preserve">Portfolio internal template</x:t>
  </x:si>
  <x:si>
    <x:t xml:space="preserve">WIP_Project_ExAnte_V3_Portfolio_Internal Use only(1).xlsx</x:t>
  </x:si>
  <x:si>
    <x:t xml:space="preserve">VMD0054 Estimating Leakage from the Displacement of Agricultural Activities</x:t>
  </x:si>
  <x:si>
    <x:t xml:space="preserve">v1.1 | Eq. (1)-(13)</x:t>
  </x:si>
  <x:si>
    <x:t xml:space="preserve">Mandatory leakage quantification basis for VM0047 area-based projects</x:t>
  </x:si>
  <x:si>
    <x:t xml:space="preserve">Applied in S36_VMD0054_Leakage; final-use link in S33_Project_Deductions</x:t>
  </x:si>
  <x:si>
    <x:t xml:space="preserve">VM0047 Appendix 1</x:t>
  </x:si>
  <x:si>
    <x:t xml:space="preserve">v1.1, pp.66-77</x:t>
  </x:si>
  <x:si>
    <x:t xml:space="preserve">Performance Method - procedure to define and forecast the performance benchmark (PB), incl. Z-test for additionality</x:t>
  </x:si>
  <x:si>
    <x:t xml:space="preserve">https://verra.org/documents/vm0047-afforestation-reforestation-and-revegetation-v1-1/</x:t>
  </x:si>
  <x:si>
    <x:t xml:space="preserve">VM0047 Appendix 2</x:t>
  </x:si>
  <x:si>
    <x:t xml:space="preserve">v1.1 | Eq. A9-A10 / two-step significance procedure</x:t>
  </x:si>
  <x:si>
    <x:t xml:space="preserve">Significance testing for carbon-pool decreases and GHG sources; leakage is excluded from this test</x:t>
  </x:si>
  <x:si>
    <x:t xml:space="preserve">Applied in S38_Appendix2_Significance_Test</x:t>
  </x:si>
  <x:si>
    <x:t xml:space="preserve">VM0047 Appendix 3</x:t>
  </x:si>
  <x:si>
    <x:t xml:space="preserve">v1.1, p.79</x:t>
  </x:si>
  <x:si>
    <x:t xml:space="preserve">Uncertainty equations for changing sampling approaches between monitoring periods</x:t>
  </x:si>
  <x:si>
    <x:t xml:space="preserve">Relevant only if sampling method changes between verifications; not applicable at ex-ante stage</x:t>
  </x:si>
  <x:si>
    <x:t xml:space="preserve">Chave, J., Rejou-Mechain, M., Burquez, A., et al.</x:t>
  </x:si>
  <x:si>
    <x:t xml:space="preserve">2014, Global Change Biology 20(10):3177-3190</x:t>
  </x:si>
  <x:si>
    <x:t xml:space="preserve">Pantropical AGB allometric equation (Eq.4 basis)</x:t>
  </x:si>
  <x:si>
    <x:t xml:space="preserve">doi.org/10.1111/gcb.12629</x:t>
  </x:si>
  <x:si>
    <x:t xml:space="preserve">Tree-level AGB equation used in S14_Growth_Model_ExAnte and S12_PSP_Biomass_Calculator</x:t>
  </x:si>
  <x:si>
    <x:t xml:space="preserve">IPCC 2006 Guidelines for National GHG Inventories, Vol.4 AFOLU, Ch.4</x:t>
  </x:si>
  <x:si>
    <x:t xml:space="preserve">2006 (as used for CF=0.47 default)</x:t>
  </x:si>
  <x:si>
    <x:t xml:space="preserve">Carbon fraction of dry matter default</x:t>
  </x:si>
  <x:si>
    <x:t xml:space="preserve">www.ipcc-nggip.iges.or.jp</x:t>
  </x:si>
  <x:si>
    <x:t xml:space="preserve">IPCC 2019 Refinement to the 2006 IPCC Guidelines, Vol.4 AFOLU, Ch.11</x:t>
  </x:si>
  <x:si>
    <x:t xml:space="preserve">2019</x:t>
  </x:si>
  <x:si>
    <x:t xml:space="preserve">N2O emission factors for managed soils (EF1, FracGASF, EF4, FracLEACH, EF5)</x:t>
  </x:si>
  <x:si>
    <x:t xml:space="preserve">S35_PE_Leakage_Derivation Part A</x:t>
  </x:si>
  <x:si>
    <x:t xml:space="preserve">IPCC AR6 WG1, Table 7.15</x:t>
  </x:si>
  <x:si>
    <x:t xml:space="preserve">2021</x:t>
  </x:si>
  <x:si>
    <x:t xml:space="preserve">100-year GWP of N2O = 273, used to convert N2O mass to tCO2e</x:t>
  </x:si>
  <x:si>
    <x:t xml:space="preserve">www.ipcc.ch/report/ar6/wg1</x:t>
  </x:si>
  <x:si>
    <x:t xml:space="preserve">VM0047: Afforestation, Reforestation and Revegetation</x:t>
  </x:si>
  <x:si>
    <x:t xml:space="preserve">v1.1, 14 May 2025</x:t>
  </x:si>
  <x:si>
    <x:t xml:space="preserve">Primary methodology for this ERR</x:t>
  </x:si>
  <x:si>
    <x:t xml:space="preserve">verra.org/methodologies/vm0047-afforestation-reforestation-and-revegetation-v1-1</x:t>
  </x:si>
  <x:si>
    <x:t xml:space="preserve">v1.1 | active 13 Jan 2026</x:t>
  </x:si>
  <x:si>
    <x:t xml:space="preserve">Step-by-step leakage calculation for displaced agricultural/fuelwood production</x:t>
  </x:si>
  <x:si>
    <x:t xml:space="preserve">v4.7</x:t>
  </x:si>
  <x:si>
    <x:t xml:space="preserve">Long-term average (LTA) GHG benefit rules; non-permanence buffer requirement</x:t>
  </x:si>
  <x:si>
    <x:t xml:space="preserve">verra.org/programs/verra-standard</x:t>
  </x:si>
  <x:si>
    <x:t xml:space="preserve">S04_Final_ERR LTA reconciliation section</x:t>
  </x:si>
  <x:si>
    <x:t xml:space="preserve">SP_SPIECES_SPACING_AND_HARVESTING_PERIOD.xlsx</x:t>
  </x:si>
  <x:si>
    <x:t xml:space="preserve">Project-supplied, uploaded to this workbook session</x:t>
  </x:si>
  <x:si>
    <x:t xml:space="preserve">Species harvesting age and planting spacing</x:t>
  </x:si>
  <x:si>
    <x:t xml:space="preserve">Internal project document (Project)</x:t>
  </x:si>
  <x:si>
    <x:t xml:space="preserve">FRUITS___FORESTRY__PLANTS_disease.xlsx</x:t>
  </x:si>
  <x:si>
    <x:t xml:space="preserve">Species fertilizer regime, life period, disease/pest reference</x:t>
  </x:si>
  <x:si>
    <x:t xml:space="preserve">S34_Species_Silviculture_Basis; S35_PE_Leakage_Derivation Part A</x:t>
  </x:si>
  <x:si>
    <x:t xml:space="preserve">Project_PSP_Establishment.xlsm</x:t>
  </x:si>
  <x:si>
    <x:t xml:space="preserve">Project-supplied</x:t>
  </x:si>
  <x:si>
    <x:t xml:space="preserve">Species growth/wood-density parameters (Chapman-Richards), PSP metadata</x:t>
  </x:si>
  <x:si>
    <x:t xml:space="preserve">S14_Growth_Model_ExAnte, S12_PSP_Biomass_Calculator, S13_PSP_Species_Support</x:t>
  </x:si>
  <x:si>
    <x:t xml:space="preserve">304027_Project_Potential_ER_of_V3_Farmer_database_08062026.xlsx</x:t>
  </x:si>
  <x:si>
    <x:t xml:space="preserve">Verra project listing / registry</x:t>
  </x:si>
  <x:si>
    <x:t xml:space="preserve">VCS 4713</x:t>
  </x:si>
  <x:si>
    <x:t xml:space="preserve">https://registry.verra.org/app/projectDetail/VCS/4713</x:t>
  </x:si>
  <x:si>
    <x:t xml:space="preserve">Project title populated on S01_Cover; title confirmed on Verra's project public-comment listing.</x:t>
  </x:si>
  <x:si>
    <x:t xml:space="preserve">Directorate of Economics and Statistics, Dept. of Agriculture and Farmers Welfare, Govt. of India</x:t>
  </x:si>
  <x:si>
    <x:t xml:space="preserve">Crop-wise Area, Production and Yield (APY) reports, 2015-2022</x:t>
  </x:si>
  <x:si>
    <x:t xml:space="preserve">Historical commodity production and area data for the VMD0054 leakage calculation (millets, pulses, chilli, groundnut, cotton, turmeric, vegetables)</x:t>
  </x:si>
  <x:si>
    <x:t xml:space="preserve">data.desagri.gov.in/website/crops-apy-report-web</x:t>
  </x:si>
  <x:si>
    <x:t xml:space="preserve">Source: ERR_Sheet_GKF_V1_1, sheet Leakage_data; carried into S36_VMD0054_Leakage</x:t>
  </x:si>
</x:sst>
</file>

<file path=xl/styles.xml><?xml version="1.0" encoding="utf-8"?>
<x:styleSheet xmlns:x="http://schemas.openxmlformats.org/spreadsheetml/2006/main">
  <x:numFmts count="16">
    <x:numFmt numFmtId="164" formatCode="General"/>
    <x:numFmt numFmtId="165" formatCode="#,##0.00"/>
    <x:numFmt numFmtId="166" formatCode="0.00"/>
    <x:numFmt numFmtId="167" formatCode="#,##0"/>
    <x:numFmt numFmtId="168" formatCode="0"/>
    <x:numFmt numFmtId="169" formatCode="0%"/>
    <x:numFmt numFmtId="170" formatCode="0.0%"/>
    <x:numFmt numFmtId="171" formatCode="0.000"/>
    <x:numFmt numFmtId="172" formatCode="@"/>
    <x:numFmt numFmtId="173" formatCode="#,##0.0000"/>
    <x:numFmt numFmtId="174" formatCode="General"/>
    <x:numFmt numFmtId="175" formatCode="#,##0.000"/>
    <x:numFmt numFmtId="176" formatCode="&quot;=B&quot;40"/>
    <x:numFmt numFmtId="200" formatCode="0.000000"/>
    <x:numFmt numFmtId="201" formatCode="0.0000%"/>
    <x:numFmt numFmtId="202" formatCode="0.0000"/>
  </x:numFmts>
  <x:fonts count="100">
    <x:font>
      <x:sz val="10"/>
      <x:name val="Arial"/>
    </x:font>
    <x:font>
      <x:sz val="10"/>
      <x:name val="Arial"/>
    </x:font>
    <x:font>
      <x:sz val="10"/>
      <x:name val="Arial"/>
    </x:font>
    <x:font>
      <x:sz val="10"/>
      <x:name val="Arial"/>
    </x:font>
    <x:font>
      <x:sz val="10"/>
      <x:name val="Arial"/>
    </x:font>
    <x:font>
      <x:b/>
      <x:sz val="11"/>
      <x:color rgb="FFFFFFFF"/>
      <x:name val="Arial"/>
    </x:font>
    <x:font>
      <x:sz val="10"/>
      <x:color rgb="FF173042"/>
      <x:name val="Arial"/>
    </x:font>
    <x:font>
      <x:b/>
      <x:sz val="19"/>
      <x:color rgb="FF082C4C"/>
      <x:name val="Calibri"/>
    </x:font>
    <x:font>
      <x:b/>
      <x:sz val="22"/>
      <x:color rgb="FF1A5C38"/>
      <x:name val="Calibri"/>
    </x:font>
    <x:font>
      <x:i/>
      <x:sz val="10"/>
      <x:color rgb="FF0F5674"/>
      <x:name val="Calibri"/>
    </x:font>
    <x:font>
      <x:sz val="13"/>
      <x:color rgb="FF404040"/>
      <x:name val="Calibri"/>
    </x:font>
    <x:font>
      <x:b/>
      <x:sz val="10"/>
      <x:color rgb="FF082C4C"/>
      <x:name val="Arial"/>
    </x:font>
    <x:font>
      <x:b/>
      <x:sz val="10"/>
      <x:color rgb="FF082C4C"/>
      <x:name val="Calibri"/>
    </x:font>
    <x:font>
      <x:b/>
      <x:sz val="11"/>
      <x:color rgb="FF1A5C38"/>
      <x:name val="Calibri"/>
    </x:font>
    <x:font>
      <x:sz val="10"/>
      <x:color rgb="FF173042"/>
      <x:name val="Calibri"/>
    </x:font>
    <x:font>
      <x:b/>
      <x:sz val="12"/>
      <x:color rgb="FF082C4C"/>
      <x:name val="Calibri"/>
    </x:font>
    <x:font>
      <x:b/>
      <x:sz val="11"/>
      <x:color rgb="FFFFFFFF"/>
      <x:name val="Calibri"/>
    </x:font>
    <x:font>
      <x:b/>
      <x:sz val="12"/>
      <x:color rgb="FFC8A22A"/>
      <x:name val="Calibri"/>
    </x:font>
    <x:font>
      <x:b/>
      <x:sz val="11"/>
      <x:color rgb="FF082C4C"/>
      <x:name val="Calibri"/>
    </x:font>
    <x:font>
      <x:b/>
      <x:sz val="11"/>
      <x:color rgb="FF082C4C"/>
      <x:name val="Arial"/>
    </x:font>
    <x:font>
      <x:sz val="10"/>
      <x:color rgb="FF1155CC"/>
      <x:name val="Calibri"/>
    </x:font>
    <x:font>
      <x:sz val="10"/>
      <x:name val="Calibri"/>
    </x:font>
    <x:font>
      <x:b/>
      <x:sz val="10"/>
      <x:color rgb="FF0F5674"/>
      <x:name val="Calibri"/>
    </x:font>
    <x:font>
      <x:sz val="10"/>
      <x:name val="Calibri"/>
    </x:font>
    <x:font>
      <x:b/>
      <x:sz val="10"/>
      <x:color rgb="FF173042"/>
      <x:name val="Calibri"/>
    </x:font>
    <x:font>
      <x:b/>
      <x:sz val="12"/>
      <x:color rgb="FF082C4C"/>
      <x:name val="Arial"/>
    </x:font>
    <x:font>
      <x:i/>
      <x:sz val="10"/>
      <x:color rgb="FF173042"/>
      <x:name val="Calibri"/>
    </x:font>
    <x:font>
      <x:i/>
      <x:sz val="9"/>
      <x:name val="Calibri"/>
    </x:font>
    <x:font>
      <x:b/>
      <x:sz val="10"/>
      <x:color rgb="FF1A5C38"/>
      <x:name val="Calibri"/>
    </x:font>
    <x:font>
      <x:b/>
      <x:sz val="9"/>
      <x:name val="Cambria"/>
    </x:font>
    <x:font>
      <x:i/>
      <x:sz val="9"/>
      <x:name val="Cambria"/>
    </x:font>
    <x:font>
      <x:sz val="11"/>
      <x:name val="Calibri"/>
    </x:font>
    <x:font>
      <x:b/>
      <x:i/>
      <x:sz val="9"/>
      <x:color rgb="FF0F5674"/>
      <x:name val="Calibri"/>
    </x:font>
    <x:font>
      <x:b/>
      <x:sz val="9"/>
      <x:color rgb="FFFFFFFF"/>
      <x:name val="Arial"/>
    </x:font>
    <x:font>
      <x:b/>
      <x:sz val="10"/>
      <x:color rgb="FFFFFFFF"/>
      <x:name val="Calibri"/>
    </x:font>
    <x:font>
      <x:b/>
      <x:sz val="9"/>
      <x:name val="Calibri"/>
    </x:font>
    <x:font>
      <x:sz val="9"/>
      <x:name val="Calibri"/>
    </x:font>
    <x:font>
      <x:b/>
      <x:sz val="15"/>
      <x:color rgb="FFFFFFFF"/>
      <x:name val="Arial"/>
    </x:font>
    <x:font>
      <x:i/>
      <x:sz val="9"/>
      <x:color rgb="FF0F5674"/>
      <x:name val="Arial"/>
    </x:font>
    <x:font>
      <x:b/>
      <x:sz val="8"/>
      <x:color rgb="FFFFFFFF"/>
      <x:name val="Arial"/>
    </x:font>
    <x:font>
      <x:b/>
      <x:sz val="9"/>
      <x:color rgb="FF082C4C"/>
      <x:name val="Arial"/>
    </x:font>
    <x:font>
      <x:b/>
      <x:sz val="18"/>
      <x:color rgb="FF000000"/>
      <x:name val="Calibri"/>
    </x:font>
    <x:font>
      <x:sz val="10"/>
      <x:color rgb="FF000000"/>
      <x:name val="Calibri"/>
    </x:font>
    <x:font>
      <x:b/>
      <x:sz val="13"/>
      <x:color rgb="FFFFFFFF"/>
      <x:name val="Arial"/>
    </x:font>
    <x:font>
      <x:b/>
      <x:sz val="10"/>
      <x:name val="Arial"/>
    </x:font>
    <x:font>
      <x:sz val="9"/>
      <x:color rgb="FF173042"/>
      <x:name val="Arial"/>
    </x:font>
    <x:font>
      <x:sz val="10"/>
      <x:color rgb="FF0F4665"/>
      <x:name val="Arial"/>
    </x:font>
    <x:font>
      <x:b/>
      <x:sz val="10"/>
      <x:color rgb="FFFFFFFF"/>
      <x:name val="Arial"/>
    </x:font>
    <x:font>
      <x:sz val="9"/>
      <x:name val="Calibri"/>
    </x:font>
    <x:font>
      <x:i/>
      <x:sz val="9"/>
      <x:color rgb="FF7B241C"/>
      <x:name val="Calibri"/>
    </x:font>
    <x:font>
      <x:b/>
      <x:sz val="9"/>
      <x:color rgb="FFFFFFFF"/>
      <x:name val="Calibri"/>
    </x:font>
    <x:font>
      <x:i/>
      <x:sz val="8"/>
      <x:name val="Cambria"/>
    </x:font>
    <x:font>
      <x:sz val="11"/>
      <x:color rgb="FF0000FF"/>
      <x:name val="Calibri"/>
    </x:font>
    <x:font>
      <x:b/>
      <x:i/>
      <x:sz val="9"/>
      <x:name val="Calibri"/>
    </x:font>
    <x:font>
      <x:b/>
      <x:sz val="10"/>
      <x:color rgb="FF1A5C38"/>
      <x:name val="Cambria"/>
    </x:font>
    <x:font>
      <x:i/>
      <x:sz val="9"/>
      <x:name val="Cambria"/>
    </x:font>
    <x:font>
      <x:sz val="9"/>
      <x:name val="Cambria"/>
    </x:font>
    <x:font>
      <x:b/>
      <x:i/>
      <x:sz val="9"/>
      <x:color rgb="FF0F5674"/>
      <x:name val="Arial"/>
    </x:font>
    <x:font>
      <x:b/>
      <x:sz val="12"/>
      <x:color rgb="FF1A5C38"/>
      <x:name val="Calibri"/>
    </x:font>
    <x:font>
      <x:b/>
      <x:sz val="11"/>
      <x:color rgb="FF0000FF"/>
      <x:name val="Calibri"/>
    </x:font>
    <x:font>
      <x:i/>
      <x:sz val="7"/>
      <x:color rgb="FFAAAAAA"/>
      <x:name val="Cambria"/>
    </x:font>
    <x:font>
      <x:sz val="7"/>
      <x:color rgb="FFAAAAAA"/>
      <x:name val="Cambria"/>
    </x:font>
    <x:font>
      <x:b/>
      <x:i/>
      <x:sz val="9"/>
      <x:color rgb="FFC0392B"/>
      <x:name val="Calibri"/>
    </x:font>
    <x:font>
      <x:b/>
      <x:sz val="11"/>
      <x:color rgb="FF1A5C38"/>
      <x:name val="Cambria"/>
    </x:font>
    <x:font>
      <x:b/>
      <x:sz val="11"/>
      <x:name val="Calibri"/>
    </x:font>
    <x:font>
      <x:b/>
      <x:sz val="8"/>
      <x:color rgb="FFFFFFFF"/>
      <x:name val="Calibri"/>
    </x:font>
    <x:font>
      <x:sz val="8"/>
      <x:name val="Calibri"/>
    </x:font>
    <x:font>
      <x:b/>
      <x:sz val="14"/>
      <x:color rgb="FFFFFFFF"/>
      <x:name val="Arial"/>
    </x:font>
    <x:font>
      <x:i/>
      <x:sz val="9"/>
      <x:color rgb="FF173042"/>
      <x:name val="Arial"/>
    </x:font>
    <x:font>
      <x:b/>
      <x:sz val="8"/>
      <x:color rgb="FF0F5674"/>
      <x:name val="Arial"/>
    </x:font>
    <x:font>
      <x:i/>
      <x:sz val="9"/>
      <x:color rgb="FFC8A22A"/>
      <x:name val="Cambria"/>
    </x:font>
    <x:font>
      <x:b/>
      <x:sz val="9"/>
      <x:name val="Calibri"/>
    </x:font>
    <x:font>
      <x:sz val="9"/>
      <x:color rgb="FF0000FF"/>
      <x:name val="Calibri"/>
    </x:font>
    <x:font>
      <x:b/>
      <x:sz val="9"/>
      <x:color rgb="FF1A5C38"/>
      <x:name val="Cambria"/>
    </x:font>
    <x:font>
      <x:b/>
      <x:sz val="13"/>
      <x:color rgb="FF1A5C38"/>
      <x:name val="Calibri"/>
    </x:font>
    <x:font>
      <x:b/>
      <x:i/>
      <x:sz val="10"/>
      <x:color rgb="FFC8A22A"/>
      <x:name val="Calibri"/>
    </x:font>
    <x:font>
      <x:b/>
      <x:sz val="9"/>
      <x:color rgb="FFFFFFFF"/>
      <x:name val="Cambria"/>
    </x:font>
    <x:font>
      <x:b/>
      <x:sz val="8"/>
      <x:color rgb="FFFFFFFF"/>
      <x:name val="Cambria"/>
    </x:font>
    <x:font>
      <x:b/>
      <x:sz val="9"/>
      <x:name val="Cambria"/>
    </x:font>
    <x:font>
      <x:b/>
      <x:i/>
      <x:sz val="9"/>
      <x:color rgb="FFC8A22A"/>
      <x:name val="Calibri"/>
    </x:font>
    <x:font>
      <x:b/>
      <x:i/>
      <x:sz val="9"/>
      <x:color rgb="FF155936"/>
      <x:name val="Calibri"/>
    </x:font>
    <x:font>
      <x:i/>
      <x:sz val="9"/>
      <x:color rgb="FF0F5674"/>
      <x:name val="Calibri"/>
    </x:font>
    <x:font>
      <x:b/>
      <x:sz val="10"/>
      <x:color rgb="FFFFFFFF"/>
      <x:name val="Cambria"/>
    </x:font>
    <x:font>
      <x:b/>
      <x:sz val="9"/>
      <x:color rgb="FF0000FF"/>
      <x:name val="Calibri"/>
    </x:font>
    <x:font>
      <x:b/>
      <x:sz val="9"/>
      <x:color rgb="FF082C4C"/>
      <x:name val="Calibri"/>
    </x:font>
    <x:font>
      <x:sz val="9"/>
      <x:color rgb="FF0000FF"/>
      <x:name val="Calibri"/>
    </x:font>
    <x:font>
      <x:b/>
      <x:sz val="10"/>
      <x:color rgb="FF155936"/>
      <x:name val="Arial"/>
    </x:font>
    <x:font>
      <x:i/>
      <x:sz val="10"/>
      <x:color rgb="FF173042"/>
      <x:name val="Arial"/>
    </x:font>
    <x:font>
      <x:sz val="8"/>
      <x:name val="Calibri"/>
    </x:font>
    <x:font>
      <x:b/>
      <x:sz val="13"/>
      <x:color rgb="FFFFFFFF"/>
      <x:name val="Calibri"/>
    </x:font>
    <x:font>
      <x:sz val="9"/>
      <x:color rgb="FF0F5674"/>
      <x:name val="Calibri"/>
    </x:font>
    <x:font>
      <x:b/>
      <x:i/>
      <x:sz val="9"/>
      <x:color rgb="FFC0392B"/>
      <x:name val="Calibri"/>
    </x:font>
    <x:font>
      <x:sz val="9"/>
      <x:color rgb="FF173042"/>
      <x:name val="Calibri"/>
    </x:font>
    <x:font>
      <x:sz val="8"/>
      <x:color rgb="FF173042"/>
      <x:name val="Calibri"/>
    </x:font>
    <x:font>
      <x:b/>
      <x:sz val="10"/>
      <x:color rgb="FF000000"/>
      <x:name val="Calibri"/>
    </x:font>
    <x:font>
      <x:b/>
      <x:i/>
      <x:sz val="10"/>
      <x:color rgb="FF173042"/>
      <x:name val="Calibri"/>
    </x:font>
    <x:font>
      <x:b/>
      <x:sz val="16"/>
      <x:color rgb="FFFFFFFF"/>
      <x:name val="Calibri"/>
    </x:font>
    <x:font>
      <x:b/>
      <x:sz val="16"/>
      <x:color rgb="FFFFFFFF"/>
      <x:name val="Arial"/>
    </x:font>
    <x:font>
      <x:b/>
      <x:i/>
      <x:sz val="12"/>
      <x:color rgb="FFFFFFFF"/>
      <x:name val="Calibri"/>
    </x:font>
    <x:font>
      <x:b/>
      <x:sz val="12"/>
      <x:color rgb="FFFFFFFF"/>
      <x:name val="Arial"/>
    </x:font>
  </x:fonts>
  <x:fills count="37">
    <x:fill>
      <x:patternFill patternType="none"/>
    </x:fill>
    <x:fill>
      <x:patternFill patternType="gray125"/>
    </x:fill>
    <x:fill>
      <x:patternFill patternType="solid">
        <x:fgColor rgb="FFFFFFFF"/>
      </x:patternFill>
    </x:fill>
    <x:fill>
      <x:patternFill patternType="solid">
        <x:fgColor rgb="FF1496A5"/>
      </x:patternFill>
    </x:fill>
    <x:fill>
      <x:patternFill patternType="solid">
        <x:fgColor rgb="FFEAF5F7"/>
      </x:patternFill>
    </x:fill>
    <x:fill>
      <x:patternFill patternType="solid">
        <x:fgColor rgb="FFD8EEF2"/>
      </x:patternFill>
    </x:fill>
    <x:fill>
      <x:patternFill patternType="solid">
        <x:fgColor rgb="FF082C4C"/>
      </x:patternFill>
    </x:fill>
    <x:fill>
      <x:patternFill patternType="solid">
        <x:fgColor rgb="FFFFF1BF"/>
      </x:patternFill>
    </x:fill>
    <x:fill>
      <x:patternFill patternType="solid">
        <x:fgColor rgb="FF0F5674"/>
      </x:patternFill>
    </x:fill>
    <x:fill>
      <x:patternFill patternType="solid">
        <x:fgColor rgb="FFD5F5E3"/>
      </x:patternFill>
    </x:fill>
    <x:fill>
      <x:patternFill patternType="solid">
        <x:fgColor rgb="FFB9E2E7"/>
      </x:patternFill>
    </x:fill>
    <x:fill>
      <x:patternFill patternType="solid">
        <x:fgColor rgb="FFF2F2F2"/>
      </x:patternFill>
    </x:fill>
    <x:fill>
      <x:patternFill patternType="solid">
        <x:fgColor rgb="FFF3F6F7"/>
      </x:patternFill>
    </x:fill>
    <x:fill>
      <x:patternFill patternType="solid">
        <x:fgColor rgb="FFFFF8E8"/>
      </x:patternFill>
    </x:fill>
    <x:fill>
      <x:patternFill patternType="solid">
        <x:fgColor rgb="FFFDEBD0"/>
      </x:patternFill>
    </x:fill>
    <x:fill>
      <x:patternFill patternType="solid">
        <x:fgColor rgb="FFFADBD8"/>
      </x:patternFill>
    </x:fill>
    <x:fill>
      <x:patternFill patternType="solid">
        <x:fgColor rgb="FFF2F3F4"/>
      </x:patternFill>
    </x:fill>
    <x:fill>
      <x:patternFill patternType="solid">
        <x:fgColor rgb="FFFFF9C4"/>
      </x:patternFill>
    </x:fill>
    <x:fill>
      <x:patternFill patternType="solid">
        <x:fgColor rgb="FFEAF2E3"/>
      </x:patternFill>
    </x:fill>
    <x:fill>
      <x:patternFill patternType="solid">
        <x:fgColor rgb="FF1F4E78"/>
      </x:patternFill>
    </x:fill>
    <x:fill>
      <x:patternFill patternType="solid">
        <x:fgColor rgb="FFE2F0D9"/>
      </x:patternFill>
    </x:fill>
    <x:fill>
      <x:patternFill patternType="solid">
        <x:fgColor rgb="FF404040"/>
      </x:patternFill>
    </x:fill>
    <x:fill>
      <x:patternFill patternType="solid">
        <x:fgColor rgb="FF2E75B6"/>
      </x:patternFill>
    </x:fill>
    <x:fill>
      <x:patternFill patternType="solid">
        <x:fgColor rgb="FFC8A22A"/>
      </x:patternFill>
    </x:fill>
    <x:fill>
      <x:patternFill patternType="solid">
        <x:fgColor rgb="FF922B21"/>
      </x:patternFill>
    </x:fill>
    <x:fill>
      <x:patternFill patternType="solid">
        <x:fgColor rgb="FFD9EAD3"/>
      </x:patternFill>
    </x:fill>
    <x:fill>
      <x:patternFill patternType="solid">
        <x:fgColor rgb="FFFFFFFF"/>
      </x:patternFill>
    </x:fill>
    <x:fill>
      <x:patternFill patternType="solid">
        <x:fgColor rgb="FF082C4C"/>
      </x:patternFill>
    </x:fill>
    <x:fill>
      <x:patternFill patternType="solid">
        <x:fgColor rgb="FFEAF5F7"/>
      </x:patternFill>
    </x:fill>
    <x:fill>
      <x:patternFill patternType="solid">
        <x:fgColor rgb="FF0F5674"/>
      </x:patternFill>
    </x:fill>
    <x:fill>
      <x:patternFill patternType="solid">
        <x:fgColor rgb="FFD8EEF2"/>
      </x:patternFill>
    </x:fill>
    <x:fill>
      <x:patternFill patternType="solid">
        <x:fgColor rgb="FFDDEEDB"/>
      </x:patternFill>
    </x:fill>
    <x:fill>
      <x:patternFill patternType="solid">
        <x:fgColor rgb="FF1496A5"/>
      </x:patternFill>
    </x:fill>
    <x:fill>
      <x:patternFill patternType="solid">
        <x:fgColor rgb="FF082C4C"/>
      </x:patternFill>
    </x:fill>
    <x:fill>
      <x:patternFill patternType="solid">
        <x:fgColor rgb="FFD8EEF2"/>
      </x:patternFill>
    </x:fill>
    <x:fill>
      <x:patternFill patternType="solid">
        <x:fgColor rgb="FFF3F6F7"/>
      </x:patternFill>
    </x:fill>
    <x:fill>
      <x:patternFill patternType="solid">
        <x:fgColor rgb="FFEAF5F7"/>
      </x:patternFill>
    </x:fill>
  </x:fills>
  <x:borders count="14">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right style="medium">
        <x:color rgb="FF404040"/>
      </x:right>
    </x:border>
    <x:border diagonalUp="0" diagonalDown="0">
      <x:left style="thin">
        <x:color rgb="FFBFBFBF"/>
      </x:left>
      <x:right style="thin">
        <x:color rgb="FFBFBFBF"/>
      </x:right>
      <x:top style="thin">
        <x:color rgb="FFBFBFBF"/>
      </x:top>
      <x:bottom style="medium">
        <x:color rgb="FF404040"/>
      </x:bottom>
    </x:border>
    <x:border diagonalUp="0" diagonalDown="0">
      <x:left style="thin">
        <x:color rgb="FFBFBFBF"/>
      </x:left>
      <x:right style="medium">
        <x:color rgb="FF404040"/>
      </x:right>
      <x:top style="thin">
        <x:color rgb="FFBFBFBF"/>
      </x:top>
      <x:bottom style="medium">
        <x:color rgb="FF404040"/>
      </x:bottom>
    </x:border>
    <x:border diagonalUp="0" diagonalDown="0">
      <x:left style="medium">
        <x:color rgb="FF404040"/>
      </x:left>
      <x:right style="medium">
        <x:color rgb="FF404040"/>
      </x:right>
      <x:top style="thin">
        <x:color rgb="FFBFBFBF"/>
      </x:top>
      <x:bottom style="thin">
        <x:color rgb="FFBFBFBF"/>
      </x:bottom>
    </x:border>
    <x:border diagonalUp="0" diagonalDown="0">
      <x:left style="thin">
        <x:color rgb="FFBFBFBF"/>
      </x:left>
      <x:right style="medium">
        <x:color rgb="FF404040"/>
      </x:right>
      <x:top style="thin">
        <x:color rgb="FFBFBFBF"/>
      </x:top>
      <x:bottom style="thin">
        <x:color rgb="FFBFBFBF"/>
      </x:bottom>
    </x:border>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right style="medium">
        <x:color rgb="FF404040"/>
      </x:right>
    </x:border>
    <x:border diagonalUp="0" diagonalDown="0">
      <x:left style="thin">
        <x:color rgb="FFBFBFBF"/>
      </x:left>
      <x:right style="thin">
        <x:color rgb="FFBFBFBF"/>
      </x:right>
      <x:top style="thin">
        <x:color rgb="FFBFBFBF"/>
      </x:top>
      <x:bottom style="medium">
        <x:color rgb="FF404040"/>
      </x:bottom>
    </x:border>
    <x:border diagonalUp="0" diagonalDown="0">
      <x:left style="thin">
        <x:color rgb="FFBFBFBF"/>
      </x:left>
      <x:right style="medium">
        <x:color rgb="FF404040"/>
      </x:right>
      <x:top style="thin">
        <x:color rgb="FFBFBFBF"/>
      </x:top>
      <x:bottom style="medium">
        <x:color rgb="FF404040"/>
      </x:bottom>
    </x:border>
    <x:border diagonalUp="0" diagonalDown="0">
      <x:left style="medium">
        <x:color rgb="FF404040"/>
      </x:left>
      <x:right style="medium">
        <x:color rgb="FF404040"/>
      </x:right>
      <x:top style="thin">
        <x:color rgb="FFBFBFBF"/>
      </x:top>
      <x:bottom style="thin">
        <x:color rgb="FFBFBFBF"/>
      </x:bottom>
    </x:border>
    <x:border diagonalUp="0" diagonalDown="0">
      <x:left style="thin">
        <x:color rgb="FFBFBFBF"/>
      </x:left>
      <x:right style="medium">
        <x:color rgb="FF404040"/>
      </x:right>
      <x:top style="thin">
        <x:color rgb="FFBFBFBF"/>
      </x:top>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996">
    <x:xf numFmtId="164" fontId="0" fillId="0" borderId="0" xfId="0" applyFont="0" applyBorder="0" applyAlignment="0">
      <x:alignment horizontal="general" vertical="bottom" wrapText="0"/>
    </x:xf>
    <x:xf numFmtId="164" fontId="4" fillId="0" borderId="0" xfId="0" applyFont="1" applyBorder="0" applyAlignment="1">
      <x:alignment horizontal="general" vertical="bottom" wrapText="0"/>
    </x:xf>
    <x:xf numFmtId="164" fontId="5" fillId="2" borderId="0" xfId="0" applyFont="1" applyBorder="0" applyAlignment="1">
      <x:alignment horizontal="general" vertical="center" wrapText="0"/>
    </x:xf>
    <x:xf numFmtId="164" fontId="6" fillId="3" borderId="0" xfId="0" applyFont="1" applyBorder="0" applyAlignment="1">
      <x:alignment horizontal="general" vertical="bottom" wrapText="0"/>
    </x:xf>
    <x:xf numFmtId="164" fontId="7" fillId="2" borderId="0" xfId="0" applyFont="1" applyBorder="1" applyAlignment="1">
      <x:alignment horizontal="general" vertical="bottom" wrapText="0"/>
    </x:xf>
    <x:xf numFmtId="164" fontId="8" fillId="0" borderId="0" xfId="0" applyFont="1" applyBorder="0" applyAlignment="1">
      <x:alignment horizontal="general" vertical="bottom" wrapText="0"/>
    </x:xf>
    <x:xf numFmtId="164" fontId="9" fillId="2" borderId="0" xfId="0" applyFont="1" applyBorder="1" applyAlignment="1">
      <x:alignment horizontal="general" vertical="bottom" wrapText="1"/>
    </x:xf>
    <x:xf numFmtId="164" fontId="10" fillId="0" borderId="0" xfId="0" applyFont="1" applyBorder="0" applyAlignment="1">
      <x:alignment horizontal="general" vertical="bottom" wrapText="0"/>
    </x:xf>
    <x:xf numFmtId="164" fontId="11" fillId="4" borderId="0" xfId="0" applyFont="1" applyBorder="1" applyAlignment="1">
      <x:alignment horizontal="general" vertical="bottom" wrapText="0"/>
    </x:xf>
    <x:xf numFmtId="164" fontId="12" fillId="2" borderId="0" xfId="0" applyFont="1" applyBorder="1" applyAlignment="1">
      <x:alignment horizontal="general" vertical="bottom" wrapText="0"/>
    </x:xf>
    <x:xf numFmtId="164" fontId="13" fillId="0" borderId="0" xfId="0" applyFont="1" applyBorder="0" applyAlignment="1">
      <x:alignment horizontal="general" vertical="bottom" wrapText="0"/>
    </x:xf>
    <x:xf numFmtId="164" fontId="6" fillId="2" borderId="0" xfId="0" applyFont="1" applyBorder="0" applyAlignment="1">
      <x:alignment horizontal="general" vertical="bottom" wrapText="0"/>
    </x:xf>
    <x:xf numFmtId="164" fontId="12" fillId="2" borderId="0" xfId="0" applyFont="1" applyBorder="0" applyAlignment="1">
      <x:alignment horizontal="general" vertical="bottom" wrapText="1"/>
    </x:xf>
    <x:xf numFmtId="164" fontId="14" fillId="2" borderId="0" xfId="0" applyFont="1" applyBorder="1" applyAlignment="1">
      <x:alignment horizontal="general" vertical="bottom" wrapText="1"/>
    </x:xf>
    <x:xf numFmtId="164" fontId="6" fillId="3" borderId="0" xfId="0" applyFont="1" applyBorder="0" applyAlignment="1">
      <x:alignment horizontal="general" vertical="bottom" wrapText="1"/>
    </x:xf>
    <x:xf numFmtId="164" fontId="15" fillId="2" borderId="0" xfId="0" applyFont="1" applyBorder="0" applyAlignment="1">
      <x:alignment horizontal="general" vertical="bottom" wrapText="1"/>
    </x:xf>
    <x:xf numFmtId="164" fontId="16" fillId="2" borderId="0" xfId="0" applyFont="1" applyBorder="0" applyAlignment="1">
      <x:alignment horizontal="general" vertical="bottom" wrapText="1"/>
    </x:xf>
    <x:xf numFmtId="164" fontId="17" fillId="0" borderId="0" xfId="0" applyFont="1" applyBorder="0" applyAlignment="1">
      <x:alignment horizontal="general" vertical="bottom" wrapText="0"/>
    </x:xf>
    <x:xf numFmtId="164" fontId="12" fillId="4" borderId="0" xfId="0" applyFont="1" applyBorder="0" applyAlignment="1">
      <x:alignment horizontal="general" vertical="bottom" wrapText="0"/>
    </x:xf>
    <x:xf numFmtId="165" fontId="18" fillId="5" borderId="0" xfId="0" applyFont="1" applyBorder="0" applyAlignment="1">
      <x:alignment horizontal="right" vertical="bottom" wrapText="0"/>
    </x:xf>
    <x:xf numFmtId="164" fontId="18" fillId="5" borderId="0" xfId="0" applyFont="1" applyBorder="0" applyAlignment="1">
      <x:alignment horizontal="right" vertical="bottom" wrapText="0"/>
    </x:xf>
    <x:xf numFmtId="164" fontId="11" fillId="4" borderId="0" xfId="0" applyFont="1" applyBorder="0" applyAlignment="1">
      <x:alignment horizontal="general" vertical="bottom" wrapText="0"/>
    </x:xf>
    <x:xf numFmtId="166" fontId="19" fillId="5" borderId="0" xfId="0" applyFont="1" applyBorder="0" applyAlignment="1">
      <x:alignment horizontal="right" vertical="bottom" wrapText="0"/>
    </x:xf>
    <x:xf numFmtId="164" fontId="20" fillId="2" borderId="0" xfId="0" applyFont="1" applyBorder="0" applyAlignment="1">
      <x:alignment horizontal="general" vertical="bottom" wrapText="1"/>
    </x:xf>
    <x:xf numFmtId="164" fontId="6" fillId="2" borderId="0" xfId="0" applyFont="1" applyBorder="0" applyAlignment="1">
      <x:alignment horizontal="general" vertical="bottom" wrapText="1"/>
    </x:xf>
    <x:xf numFmtId="164" fontId="21" fillId="2" borderId="0" xfId="0" applyFont="1" applyBorder="1" applyAlignment="1">
      <x:alignment horizontal="general" vertical="bottom" wrapText="1"/>
    </x:xf>
    <x:xf numFmtId="164" fontId="22" fillId="2" borderId="0" xfId="0" applyFont="1" applyBorder="0" applyAlignment="1">
      <x:alignment horizontal="general" vertical="bottom" wrapText="1"/>
    </x:xf>
    <x:xf numFmtId="164" fontId="14" fillId="2" borderId="0" xfId="0" applyFont="1" applyBorder="0" applyAlignment="1">
      <x:alignment horizontal="general" vertical="bottom" wrapText="1"/>
    </x:xf>
    <x:xf numFmtId="164" fontId="23" fillId="0" borderId="0" xfId="0" applyFont="1" applyBorder="0" applyAlignment="1">
      <x:alignment horizontal="general" vertical="bottom" wrapText="0"/>
    </x:xf>
    <x:xf numFmtId="164" fontId="24" fillId="6" borderId="0" xfId="0" applyFont="1" applyBorder="0" applyAlignment="1">
      <x:alignment horizontal="general" vertical="bottom" wrapText="0"/>
    </x:xf>
    <x:xf numFmtId="164" fontId="25" fillId="2" borderId="0" xfId="0" applyFont="1" applyBorder="0" applyAlignment="1">
      <x:alignment horizontal="general" vertical="bottom" wrapText="0"/>
    </x:xf>
    <x:xf numFmtId="164" fontId="5" fillId="2" borderId="0" xfId="0" applyFont="1" applyBorder="0" applyAlignment="1">
      <x:alignment horizontal="general" vertical="bottom" wrapText="0"/>
    </x:xf>
    <x:xf numFmtId="164" fontId="26" fillId="7" borderId="0" xfId="0" applyFont="1" applyBorder="0" applyAlignment="1">
      <x:alignment horizontal="general" vertical="bottom" wrapText="0"/>
    </x:xf>
    <x:xf numFmtId="164" fontId="27" fillId="0" borderId="0" xfId="0" applyFont="1" applyBorder="0" applyAlignment="1">
      <x:alignment horizontal="general" vertical="bottom" wrapText="0"/>
    </x:xf>
    <x:xf numFmtId="164" fontId="28" fillId="0" borderId="0" xfId="0" applyFont="1" applyBorder="0" applyAlignment="1">
      <x:alignment horizontal="general" vertical="bottom" wrapText="0"/>
    </x:xf>
    <x:xf numFmtId="164" fontId="29" fillId="0" borderId="0" xfId="0" applyFont="1" applyBorder="0" applyAlignment="1">
      <x:alignment horizontal="general" vertical="bottom" wrapText="0"/>
    </x:xf>
    <x:xf numFmtId="164" fontId="30" fillId="0" borderId="0" xfId="0" applyFont="1" applyBorder="0" applyAlignment="1">
      <x:alignment horizontal="general" vertical="bottom" wrapText="0"/>
    </x:xf>
    <x:xf numFmtId="164" fontId="31" fillId="0" borderId="0" xfId="0" applyFont="1" applyBorder="0" applyAlignment="1">
      <x:alignment horizontal="general" vertical="bottom" wrapText="0"/>
    </x:xf>
    <x:xf numFmtId="164" fontId="16" fillId="6" borderId="0" xfId="0" applyFont="1" applyBorder="1" applyAlignment="1">
      <x:alignment horizontal="general" vertical="center" wrapText="0"/>
    </x:xf>
    <x:xf numFmtId="164" fontId="32" fillId="4" borderId="0" xfId="0" applyFont="1" applyBorder="1" applyAlignment="1">
      <x:alignment horizontal="general" vertical="bottom" wrapText="1"/>
    </x:xf>
    <x:xf numFmtId="164" fontId="33" fillId="8" borderId="0" xfId="0" applyFont="1" applyBorder="0" applyAlignment="1">
      <x:alignment horizontal="general" vertical="center" wrapText="1"/>
    </x:xf>
    <x:xf numFmtId="164" fontId="34" fillId="8" borderId="1" xfId="0" applyFont="1" applyBorder="1" applyAlignment="1">
      <x:alignment horizontal="general" vertical="top" wrapText="1"/>
    </x:xf>
    <x:xf numFmtId="164" fontId="35" fillId="9" borderId="1" xfId="0" applyFont="1" applyBorder="1" applyAlignment="1">
      <x:alignment horizontal="general" vertical="top" wrapText="1"/>
    </x:xf>
    <x:xf numFmtId="164" fontId="36" fillId="9" borderId="1" xfId="0" applyFont="1" applyBorder="1" applyAlignment="1">
      <x:alignment horizontal="general" vertical="top" wrapText="1"/>
    </x:xf>
    <x:xf numFmtId="164" fontId="37" fillId="6" borderId="0" xfId="0" applyFont="1" applyBorder="0" applyAlignment="1">
      <x:alignment horizontal="general" vertical="bottom" wrapText="0"/>
    </x:xf>
    <x:xf numFmtId="164" fontId="38" fillId="4" borderId="0" xfId="0" applyFont="1" applyBorder="0" applyAlignment="1">
      <x:alignment horizontal="general" vertical="bottom" wrapText="1"/>
    </x:xf>
    <x:xf numFmtId="164" fontId="39" fillId="8" borderId="0" xfId="0" applyFont="1" applyBorder="0" applyAlignment="1">
      <x:alignment horizontal="general" vertical="bottom" wrapText="0"/>
    </x:xf>
    <x:xf numFmtId="164" fontId="40" fillId="10" borderId="0" xfId="0" applyFont="1" applyBorder="0" applyAlignment="1">
      <x:alignment horizontal="general" vertical="bottom" wrapText="0"/>
    </x:xf>
    <x:xf numFmtId="167" fontId="4" fillId="0" borderId="0" xfId="0" applyFont="1" applyBorder="0" applyAlignment="1">
      <x:alignment horizontal="general" vertical="bottom" wrapText="0"/>
    </x:xf>
    <x:xf numFmtId="165" fontId="4" fillId="0" borderId="0" xfId="0" applyFont="1" applyBorder="0" applyAlignment="1">
      <x:alignment horizontal="general" vertical="bottom" wrapText="0"/>
    </x:xf>
    <x:xf numFmtId="166" fontId="4" fillId="0" borderId="0" xfId="0" applyFont="1" applyBorder="0" applyAlignment="1">
      <x:alignment horizontal="general" vertical="bottom" wrapText="0"/>
    </x:xf>
    <x:xf numFmtId="165" fontId="19" fillId="5" borderId="0" xfId="0" applyFont="1" applyBorder="0" applyAlignment="1">
      <x:alignment horizontal="general" vertical="bottom" wrapText="0"/>
    </x:xf>
    <x:xf numFmtId="164" fontId="19" fillId="5" borderId="0" xfId="0" applyFont="1" applyBorder="0" applyAlignment="1">
      <x:alignment horizontal="general" vertical="bottom" wrapText="0"/>
    </x:xf>
    <x:xf numFmtId="167" fontId="19" fillId="5" borderId="0" xfId="0" applyFont="1" applyBorder="0" applyAlignment="1">
      <x:alignment horizontal="general" vertical="bottom" wrapText="0"/>
    </x:xf>
    <x:xf numFmtId="166" fontId="19" fillId="5" borderId="0" xfId="0" applyFont="1" applyBorder="0" applyAlignment="1">
      <x:alignment horizontal="general" vertical="bottom" wrapText="0"/>
    </x:xf>
    <x:xf numFmtId="168" fontId="19" fillId="5" borderId="0" xfId="0" applyFont="1" applyBorder="0" applyAlignment="1">
      <x:alignment horizontal="general" vertical="bottom" wrapText="0"/>
    </x:xf>
    <x:xf numFmtId="169" fontId="19" fillId="5" borderId="0" xfId="0" applyFont="1" applyBorder="0" applyAlignment="1">
      <x:alignment horizontal="general" vertical="bottom" wrapText="0"/>
    </x:xf>
    <x:xf numFmtId="164" fontId="43" fillId="6" borderId="0" xfId="0" applyFont="1" applyBorder="1" applyAlignment="1">
      <x:alignment horizontal="general" vertical="center" wrapText="0"/>
    </x:xf>
    <x:xf numFmtId="164" fontId="38" fillId="4" borderId="0" xfId="0" applyFont="1" applyBorder="1" applyAlignment="1">
      <x:alignment horizontal="general" vertical="bottom" wrapText="1"/>
    </x:xf>
    <x:xf numFmtId="164" fontId="11" fillId="10" borderId="0" xfId="0" applyFont="1" applyBorder="0" applyAlignment="1">
      <x:alignment horizontal="general" vertical="bottom" wrapText="1"/>
    </x:xf>
    <x:xf numFmtId="165" fontId="11" fillId="5" borderId="0" xfId="0" applyFont="1" applyBorder="0" applyAlignment="1">
      <x:alignment horizontal="right" vertical="bottom" wrapText="1"/>
    </x:xf>
    <x:xf numFmtId="164" fontId="44" fillId="11" borderId="0" xfId="0" applyFont="1" applyBorder="0" applyAlignment="1">
      <x:alignment horizontal="general" vertical="bottom" wrapText="1"/>
    </x:xf>
    <x:xf numFmtId="170" fontId="11" fillId="5" borderId="0" xfId="0" applyFont="1" applyBorder="0" applyAlignment="1">
      <x:alignment horizontal="right" vertical="bottom" wrapText="1"/>
    </x:xf>
    <x:xf numFmtId="168" fontId="11" fillId="5" borderId="0" xfId="0" applyFont="1" applyBorder="0" applyAlignment="1">
      <x:alignment horizontal="right" vertical="bottom" wrapText="1"/>
    </x:xf>
    <x:xf numFmtId="166" fontId="11" fillId="5" borderId="0" xfId="0" applyFont="1" applyBorder="0" applyAlignment="1">
      <x:alignment horizontal="right" vertical="bottom" wrapText="1"/>
    </x:xf>
    <x:xf numFmtId="164" fontId="40" fillId="7" borderId="0" xfId="0" applyFont="1" applyBorder="0" applyAlignment="1">
      <x:alignment horizontal="general" vertical="bottom" wrapText="1"/>
    </x:xf>
    <x:xf numFmtId="165" fontId="40" fillId="7" borderId="0" xfId="0" applyFont="1" applyBorder="0" applyAlignment="1">
      <x:alignment horizontal="general" vertical="bottom" wrapText="1"/>
    </x:xf>
    <x:xf numFmtId="164" fontId="45" fillId="12" borderId="0" xfId="0" applyFont="1" applyBorder="0" applyAlignment="1">
      <x:alignment horizontal="general" vertical="bottom" wrapText="1"/>
    </x:xf>
    <x:xf numFmtId="164" fontId="39" fillId="8" borderId="0" xfId="0" applyFont="1" applyBorder="0" applyAlignment="1">
      <x:alignment horizontal="center" vertical="center" wrapText="1"/>
    </x:xf>
    <x:xf numFmtId="165" fontId="39" fillId="8" borderId="0" xfId="0" applyFont="1" applyBorder="0" applyAlignment="1">
      <x:alignment horizontal="center" vertical="center" wrapText="1"/>
    </x:xf>
    <x:xf numFmtId="165" fontId="4" fillId="13" borderId="0" xfId="0" applyFont="1" applyBorder="0" applyAlignment="1">
      <x:alignment horizontal="general" vertical="bottom" wrapText="0"/>
    </x:xf>
    <x:xf numFmtId="165" fontId="4" fillId="12" borderId="0" xfId="0" applyFont="1" applyBorder="0" applyAlignment="1">
      <x:alignment horizontal="general" vertical="bottom" wrapText="0"/>
    </x:xf>
    <x:xf numFmtId="170" fontId="4" fillId="0" borderId="0" xfId="0" applyFont="1" applyBorder="0" applyAlignment="1">
      <x:alignment horizontal="general" vertical="bottom" wrapText="0"/>
    </x:xf>
    <x:xf numFmtId="165" fontId="4" fillId="4" borderId="0" xfId="0" applyFont="1" applyBorder="0" applyAlignment="1">
      <x:alignment horizontal="general" vertical="bottom" wrapText="0"/>
    </x:xf>
    <x:xf numFmtId="165" fontId="11" fillId="4" borderId="0" xfId="0" applyFont="1" applyBorder="0" applyAlignment="1">
      <x:alignment horizontal="general" vertical="bottom" wrapText="0"/>
    </x:xf>
    <x:xf numFmtId="171" fontId="46" fillId="4" borderId="0" xfId="0" applyFont="1" applyBorder="0" applyAlignment="1">
      <x:alignment horizontal="general" vertical="bottom" wrapText="0"/>
    </x:xf>
    <x:xf numFmtId="164" fontId="4" fillId="0" borderId="0" xfId="0" applyFont="1" applyBorder="1" applyAlignment="1">
      <x:alignment horizontal="general" vertical="bottom" wrapText="0"/>
    </x:xf>
    <x:xf numFmtId="164" fontId="47" fillId="3" borderId="0" xfId="0" applyFont="1" applyBorder="1" applyAlignment="1">
      <x:alignment horizontal="general" vertical="bottom" wrapText="1"/>
    </x:xf>
    <x:xf numFmtId="164" fontId="11" fillId="0" borderId="0" xfId="0" applyFont="1" applyBorder="1" applyAlignment="1">
      <x:alignment horizontal="general" vertical="bottom" wrapText="1"/>
    </x:xf>
    <x:xf numFmtId="165" fontId="11" fillId="5" borderId="0" xfId="0" applyFont="1" applyBorder="1" applyAlignment="1">
      <x:alignment horizontal="general" vertical="bottom" wrapText="1"/>
    </x:xf>
    <x:xf numFmtId="164" fontId="4" fillId="0" borderId="0" xfId="0" applyFont="1" applyBorder="0" applyAlignment="1">
      <x:alignment horizontal="general" vertical="bottom" wrapText="1"/>
    </x:xf>
    <x:xf numFmtId="164" fontId="4" fillId="0" borderId="0" xfId="0" applyFont="1" applyBorder="1" applyAlignment="1">
      <x:alignment horizontal="general" vertical="bottom" wrapText="1"/>
    </x:xf>
    <x:xf numFmtId="164" fontId="11" fillId="7" borderId="0" xfId="0" applyFont="1" applyBorder="1" applyAlignment="1">
      <x:alignment horizontal="general" vertical="bottom" wrapText="1"/>
    </x:xf>
    <x:xf numFmtId="172" fontId="11" fillId="7" borderId="0" xfId="0" applyFont="1" applyBorder="1" applyAlignment="1">
      <x:alignment horizontal="general" vertical="bottom" wrapText="1"/>
    </x:xf>
    <x:xf numFmtId="164" fontId="35" fillId="14" borderId="1" xfId="0" applyFont="1" applyBorder="1" applyAlignment="1">
      <x:alignment horizontal="general" vertical="top" wrapText="1"/>
    </x:xf>
    <x:xf numFmtId="164" fontId="36" fillId="14" borderId="1" xfId="0" applyFont="1" applyBorder="1" applyAlignment="1">
      <x:alignment horizontal="general" vertical="top" wrapText="1"/>
    </x:xf>
    <x:xf numFmtId="164" fontId="35" fillId="15" borderId="1" xfId="0" applyFont="1" applyBorder="1" applyAlignment="1">
      <x:alignment horizontal="general" vertical="top" wrapText="1"/>
    </x:xf>
    <x:xf numFmtId="164" fontId="36" fillId="15" borderId="1" xfId="0" applyFont="1" applyBorder="1" applyAlignment="1">
      <x:alignment horizontal="general" vertical="top" wrapText="1"/>
    </x:xf>
    <x:xf numFmtId="164" fontId="35" fillId="16" borderId="1" xfId="0" applyFont="1" applyBorder="1" applyAlignment="1">
      <x:alignment horizontal="general" vertical="top" wrapText="1"/>
    </x:xf>
    <x:xf numFmtId="164" fontId="36" fillId="16" borderId="1" xfId="0" applyFont="1" applyBorder="1" applyAlignment="1">
      <x:alignment horizontal="general" vertical="top" wrapText="1"/>
    </x:xf>
    <x:xf numFmtId="164" fontId="48" fillId="0" borderId="0" xfId="0" applyFont="1" applyBorder="0" applyAlignment="1">
      <x:alignment horizontal="general" vertical="bottom" wrapText="0"/>
    </x:xf>
    <x:xf numFmtId="164" fontId="49" fillId="0" borderId="0" xfId="0" applyFont="1" applyBorder="1" applyAlignment="1">
      <x:alignment horizontal="general" vertical="top" wrapText="1"/>
    </x:xf>
    <x:xf numFmtId="164" fontId="50" fillId="8" borderId="1" xfId="0" applyFont="1" applyBorder="1" applyAlignment="1">
      <x:alignment horizontal="general" vertical="top" wrapText="1"/>
    </x:xf>
    <x:xf numFmtId="164" fontId="28" fillId="0" borderId="0" xfId="0" applyFont="1" applyBorder="1" applyAlignment="1">
      <x:alignment horizontal="general" vertical="bottom" wrapText="0"/>
    </x:xf>
    <x:xf numFmtId="164" fontId="51" fillId="0" borderId="0" xfId="0" applyFont="1" applyBorder="1" applyAlignment="1">
      <x:alignment horizontal="general" vertical="top" wrapText="1"/>
    </x:xf>
    <x:xf numFmtId="164" fontId="50" fillId="8" borderId="0" xfId="0" applyFont="1" applyBorder="0" applyAlignment="1">
      <x:alignment horizontal="general" vertical="center" wrapText="1"/>
    </x:xf>
    <x:xf numFmtId="164" fontId="18" fillId="7" borderId="0" xfId="0" applyFont="1" applyBorder="0" applyAlignment="1">
      <x:alignment horizontal="general" vertical="bottom" wrapText="0"/>
    </x:xf>
    <x:xf numFmtId="170" fontId="18" fillId="17" borderId="0" xfId="0" applyFont="1" applyBorder="0" applyAlignment="1">
      <x:alignment horizontal="general" vertical="bottom" wrapText="0"/>
    </x:xf>
    <x:xf numFmtId="170" fontId="18" fillId="7" borderId="0" xfId="0" applyFont="1" applyBorder="0" applyAlignment="1">
      <x:alignment horizontal="general" vertical="bottom" wrapText="0"/>
    </x:xf>
    <x:xf numFmtId="173" fontId="18" fillId="7" borderId="0" xfId="0" applyFont="1" applyBorder="0" applyAlignment="1">
      <x:alignment horizontal="general" vertical="bottom" wrapText="0"/>
    </x:xf>
    <x:xf numFmtId="173" fontId="31" fillId="0" borderId="0" xfId="0" applyFont="1" applyBorder="0" applyAlignment="1">
      <x:alignment horizontal="general" vertical="bottom" wrapText="0"/>
    </x:xf>
    <x:xf numFmtId="173" fontId="52" fillId="17" borderId="0" xfId="0" applyFont="1" applyBorder="0" applyAlignment="1">
      <x:alignment horizontal="general" vertical="bottom" wrapText="0"/>
    </x:xf>
    <x:xf numFmtId="164" fontId="53" fillId="0" borderId="0" xfId="0" applyFont="1" applyBorder="0" applyAlignment="1">
      <x:alignment horizontal="general" vertical="bottom" wrapText="0"/>
    </x:xf>
    <x:xf numFmtId="164" fontId="54" fillId="0" borderId="0" xfId="0" applyFont="1" applyBorder="0" applyAlignment="1">
      <x:alignment horizontal="general" vertical="bottom" wrapText="0"/>
    </x:xf>
    <x:xf numFmtId="164" fontId="55" fillId="0" borderId="0" xfId="0" applyFont="1" applyBorder="1" applyAlignment="1">
      <x:alignment horizontal="general" vertical="bottom" wrapText="1"/>
    </x:xf>
    <x:xf numFmtId="164" fontId="56" fillId="0" borderId="0" xfId="0" applyFont="1" applyBorder="0" applyAlignment="1">
      <x:alignment horizontal="general" vertical="bottom" wrapText="0"/>
    </x:xf>
    <x:xf numFmtId="173" fontId="0" fillId="0" borderId="0" xfId="0" applyFont="0" applyBorder="0" applyAlignment="1">
      <x:alignment horizontal="general" vertical="bottom" wrapText="0"/>
    </x:xf>
    <x:xf numFmtId="164" fontId="0" fillId="17" borderId="0" xfId="0" applyFont="0" applyBorder="0" applyAlignment="1">
      <x:alignment horizontal="general" vertical="bottom" wrapText="0"/>
    </x:xf>
    <x:xf numFmtId="170" fontId="0" fillId="0" borderId="0" xfId="0" applyFont="0" applyBorder="0" applyAlignment="1">
      <x:alignment horizontal="general" vertical="bottom" wrapText="0"/>
    </x:xf>
    <x:xf numFmtId="173" fontId="31" fillId="17" borderId="0" xfId="0" applyFont="1" applyBorder="0" applyAlignment="1">
      <x:alignment horizontal="general" vertical="bottom" wrapText="0"/>
    </x:xf>
    <x:xf numFmtId="164" fontId="31" fillId="17" borderId="0" xfId="0" applyFont="1" applyBorder="0" applyAlignment="1">
      <x:alignment horizontal="general" vertical="bottom" wrapText="0"/>
    </x:xf>
    <x:xf numFmtId="170" fontId="31" fillId="17" borderId="0" xfId="0" applyFont="1" applyBorder="0" applyAlignment="1">
      <x:alignment horizontal="general" vertical="bottom" wrapText="0"/>
    </x:xf>
    <x:xf numFmtId="170" fontId="31" fillId="0" borderId="0" xfId="0" applyFont="1" applyBorder="0" applyAlignment="1">
      <x:alignment horizontal="general" vertical="bottom" wrapText="0"/>
    </x:xf>
    <x:xf numFmtId="164" fontId="49" fillId="0" borderId="0" xfId="0" applyFont="1" applyBorder="1" applyAlignment="1">
      <x:alignment horizontal="general" vertical="bottom" wrapText="1"/>
    </x:xf>
    <x:xf numFmtId="164" fontId="31" fillId="0" borderId="0" xfId="0" applyFont="1" applyBorder="0" applyAlignment="1">
      <x:alignment horizontal="general" vertical="bottom" wrapText="1"/>
    </x:xf>
    <x:xf numFmtId="171" fontId="31" fillId="5" borderId="0" xfId="0" applyFont="1" applyBorder="0" applyAlignment="1">
      <x:alignment horizontal="general" vertical="bottom" wrapText="0"/>
    </x:xf>
    <x:xf numFmtId="164" fontId="5" fillId="6" borderId="0" xfId="0" applyFont="1" applyBorder="0" applyAlignment="1">
      <x:alignment horizontal="general" vertical="center" wrapText="0"/>
    </x:xf>
    <x:xf numFmtId="164" fontId="32" fillId="4" borderId="0" xfId="0" applyFont="1" applyBorder="1" applyAlignment="1">
      <x:alignment horizontal="general" vertical="center" wrapText="1"/>
    </x:xf>
    <x:xf numFmtId="164" fontId="57" fillId="4" borderId="0" xfId="0" applyFont="1" applyBorder="0" applyAlignment="1">
      <x:alignment horizontal="general" vertical="center" wrapText="1"/>
    </x:xf>
    <x:xf numFmtId="164" fontId="35" fillId="5" borderId="1" xfId="0" applyFont="1" applyBorder="1" applyAlignment="1">
      <x:alignment horizontal="general" vertical="top" wrapText="1"/>
    </x:xf>
    <x:xf numFmtId="164" fontId="36" fillId="5" borderId="1" xfId="0" applyFont="1" applyBorder="1" applyAlignment="1">
      <x:alignment horizontal="general" vertical="top" wrapText="1"/>
    </x:xf>
    <x:xf numFmtId="164" fontId="58" fillId="0" borderId="0" xfId="0" applyFont="1" applyBorder="0" applyAlignment="1">
      <x:alignment horizontal="general" vertical="bottom" wrapText="0"/>
    </x:xf>
    <x:xf numFmtId="164" fontId="59" fillId="17" borderId="1" xfId="0" applyFont="1" applyBorder="1" applyAlignment="1">
      <x:alignment horizontal="general" vertical="bottom" wrapText="0"/>
    </x:xf>
    <x:xf numFmtId="164" fontId="60" fillId="0" borderId="0" xfId="0" applyFont="1" applyBorder="0" applyAlignment="1">
      <x:alignment horizontal="general" vertical="bottom" wrapText="0"/>
    </x:xf>
    <x:xf numFmtId="174" fontId="61" fillId="0" borderId="0" xfId="0" applyFont="1" applyBorder="0" applyAlignment="1">
      <x:alignment horizontal="general" vertical="bottom" wrapText="0"/>
    </x:xf>
    <x:xf numFmtId="164" fontId="35" fillId="18" borderId="1" xfId="0" applyFont="1" applyBorder="1" applyAlignment="1">
      <x:alignment horizontal="general" vertical="top" wrapText="1"/>
    </x:xf>
    <x:xf numFmtId="164" fontId="4" fillId="18" borderId="1" xfId="0" applyFont="1" applyBorder="1" applyAlignment="1">
      <x:alignment horizontal="general" vertical="top" wrapText="1"/>
    </x:xf>
    <x:xf numFmtId="164" fontId="35" fillId="0" borderId="1" xfId="0" applyFont="1" applyBorder="1" applyAlignment="1">
      <x:alignment horizontal="general" vertical="top" wrapText="1"/>
    </x:xf>
    <x:xf numFmtId="174" fontId="4" fillId="0" borderId="1" xfId="0" applyFont="1" applyBorder="1" applyAlignment="1">
      <x:alignment horizontal="general" vertical="top" wrapText="1"/>
    </x:xf>
    <x:xf numFmtId="164" fontId="62" fillId="0" borderId="0" xfId="0" applyFont="1" applyBorder="1" applyAlignment="1">
      <x:alignment horizontal="general" vertical="top" wrapText="1"/>
    </x:xf>
    <x:xf numFmtId="164" fontId="35" fillId="0" borderId="1" xfId="0" applyFont="1" applyBorder="1" applyAlignment="1">
      <x:alignment horizontal="general" vertical="bottom" wrapText="0"/>
    </x:xf>
    <x:xf numFmtId="174" fontId="4" fillId="0" borderId="1" xfId="0" applyFont="1" applyBorder="1" applyAlignment="1">
      <x:alignment horizontal="general" vertical="bottom" wrapText="0"/>
    </x:xf>
    <x:xf numFmtId="164" fontId="36" fillId="0" borderId="1" xfId="0" applyFont="1" applyBorder="1" applyAlignment="1">
      <x:alignment horizontal="general" vertical="top" wrapText="1"/>
    </x:xf>
    <x:xf numFmtId="164" fontId="63" fillId="9" borderId="1" xfId="0" applyFont="1" applyBorder="1" applyAlignment="1">
      <x:alignment horizontal="general" vertical="top" wrapText="1"/>
    </x:xf>
    <x:xf numFmtId="174" fontId="58" fillId="9" borderId="1" xfId="0" applyFont="1" applyBorder="1" applyAlignment="1">
      <x:alignment horizontal="general" vertical="top" wrapText="1"/>
    </x:xf>
    <x:xf numFmtId="164" fontId="55" fillId="0" borderId="1" xfId="0" applyFont="1" applyBorder="1" applyAlignment="1">
      <x:alignment horizontal="general" vertical="top" wrapText="1"/>
    </x:xf>
    <x:xf numFmtId="174" fontId="64" fillId="0" borderId="1" xfId="0" applyFont="1" applyBorder="1" applyAlignment="1">
      <x:alignment horizontal="general" vertical="top" wrapText="1"/>
    </x:xf>
    <x:xf numFmtId="164" fontId="65" fillId="8" borderId="0" xfId="0" applyFont="1" applyBorder="0" applyAlignment="1">
      <x:alignment horizontal="general" vertical="center" wrapText="1"/>
    </x:xf>
    <x:xf numFmtId="164" fontId="66" fillId="0" borderId="0" xfId="0" applyFont="1" applyBorder="0" applyAlignment="1">
      <x:alignment horizontal="general" vertical="bottom" wrapText="0"/>
    </x:xf>
    <x:xf numFmtId="174" fontId="66" fillId="5" borderId="0" xfId="0" applyFont="1" applyBorder="0" applyAlignment="1">
      <x:alignment horizontal="general" vertical="bottom" wrapText="0"/>
    </x:xf>
    <x:xf numFmtId="164" fontId="67" fillId="6" borderId="0" xfId="0" applyFont="1" applyBorder="0" applyAlignment="1">
      <x:alignment horizontal="general" vertical="bottom" wrapText="0"/>
    </x:xf>
    <x:xf numFmtId="164" fontId="47" fillId="8" borderId="0" xfId="0" applyFont="1" applyBorder="0" applyAlignment="1">
      <x:alignment horizontal="general" vertical="bottom" wrapText="0"/>
    </x:xf>
    <x:xf numFmtId="164" fontId="11" fillId="10" borderId="0" xfId="0" applyFont="1" applyBorder="0" applyAlignment="1">
      <x:alignment horizontal="general" vertical="bottom" wrapText="0"/>
    </x:xf>
    <x:xf numFmtId="164" fontId="68" fillId="12" borderId="0" xfId="0" applyFont="1" applyBorder="0" applyAlignment="1">
      <x:alignment horizontal="general" vertical="bottom" wrapText="1"/>
    </x:xf>
    <x:xf numFmtId="164" fontId="33" fillId="8" borderId="0" xfId="0" applyFont="1" applyBorder="1" applyAlignment="1">
      <x:alignment horizontal="general" vertical="bottom" wrapText="0"/>
    </x:xf>
    <x:xf numFmtId="164" fontId="39" fillId="8" borderId="0" xfId="0" applyFont="1" applyBorder="0" applyAlignment="1">
      <x:alignment horizontal="general" vertical="bottom" wrapText="1"/>
    </x:xf>
    <x:xf numFmtId="164" fontId="69" fillId="4" borderId="0" xfId="0" applyFont="1" applyBorder="0" applyAlignment="1">
      <x:alignment horizontal="general" vertical="bottom" wrapText="0"/>
    </x:xf>
    <x:xf numFmtId="171" fontId="4" fillId="0" borderId="0" xfId="0" applyFont="1" applyBorder="0" applyAlignment="1">
      <x:alignment horizontal="general" vertical="bottom" wrapText="0"/>
    </x:xf>
    <x:xf numFmtId="171" fontId="4" fillId="5" borderId="0" xfId="0" applyFont="1" applyBorder="0" applyAlignment="1">
      <x:alignment horizontal="general" vertical="bottom" wrapText="0"/>
    </x:xf>
    <x:xf numFmtId="171" fontId="4" fillId="12" borderId="0" xfId="0" applyFont="1" applyBorder="0" applyAlignment="1">
      <x:alignment horizontal="general" vertical="bottom" wrapText="0"/>
    </x:xf>
    <x:xf numFmtId="164" fontId="47" fillId="3" borderId="0" xfId="0" applyFont="1" applyBorder="0" applyAlignment="1">
      <x:alignment horizontal="general" vertical="bottom" wrapText="0"/>
    </x:xf>
    <x:xf numFmtId="164" fontId="4" fillId="7" borderId="0" xfId="0" applyFont="1" applyBorder="0" applyAlignment="1">
      <x:alignment horizontal="general" vertical="bottom" wrapText="0"/>
    </x:xf>
    <x:xf numFmtId="164" fontId="63" fillId="0" borderId="0" xfId="0" applyFont="1" applyBorder="1" applyAlignment="1">
      <x:alignment horizontal="general" vertical="bottom" wrapText="0"/>
    </x:xf>
    <x:xf numFmtId="164" fontId="70" fillId="0" borderId="0" xfId="0" applyFont="1" applyBorder="1" applyAlignment="1">
      <x:alignment horizontal="general" vertical="bottom" wrapText="0"/>
    </x:xf>
    <x:xf numFmtId="164" fontId="71" fillId="0" borderId="1" xfId="0" applyFont="1" applyBorder="1" applyAlignment="1">
      <x:alignment horizontal="general" vertical="bottom" wrapText="0"/>
    </x:xf>
    <x:xf numFmtId="169" fontId="72" fillId="17" borderId="1" xfId="0" applyFont="1" applyBorder="1" applyAlignment="1">
      <x:alignment horizontal="general" vertical="bottom" wrapText="0"/>
    </x:xf>
    <x:xf numFmtId="164" fontId="71" fillId="0" borderId="0" xfId="0" applyFont="1" applyBorder="0" applyAlignment="1">
      <x:alignment horizontal="general" vertical="bottom" wrapText="0"/>
    </x:xf>
    <x:xf numFmtId="170" fontId="73" fillId="0" borderId="1" xfId="0" applyFont="1" applyBorder="1" applyAlignment="1">
      <x:alignment horizontal="general" vertical="bottom" wrapText="0"/>
    </x:xf>
    <x:xf numFmtId="164" fontId="65" fillId="8" borderId="0" xfId="0" applyFont="1" applyBorder="0" applyAlignment="1">
      <x:alignment horizontal="general" vertical="bottom" wrapText="1"/>
    </x:xf>
    <x:xf numFmtId="164" fontId="16" fillId="19" borderId="0" xfId="0" applyFont="1" applyBorder="0" applyAlignment="1">
      <x:alignment horizontal="general" vertical="bottom" wrapText="1"/>
    </x:xf>
    <x:xf numFmtId="164" fontId="31" fillId="5" borderId="0" xfId="0" applyFont="1" applyBorder="0" applyAlignment="1">
      <x:alignment horizontal="general" vertical="bottom" wrapText="0"/>
    </x:xf>
    <x:xf numFmtId="164" fontId="31" fillId="12" borderId="0" xfId="0" applyFont="1" applyBorder="0" applyAlignment="1">
      <x:alignment horizontal="general" vertical="bottom" wrapText="0"/>
    </x:xf>
    <x:xf numFmtId="171" fontId="31" fillId="0" borderId="0" xfId="0" applyFont="1" applyBorder="0" applyAlignment="1">
      <x:alignment horizontal="general" vertical="bottom" wrapText="1"/>
    </x:xf>
    <x:xf numFmtId="164" fontId="31" fillId="20" borderId="0" xfId="0" applyFont="1" applyBorder="0" applyAlignment="1">
      <x:alignment horizontal="general" vertical="bottom" wrapText="0"/>
    </x:xf>
    <x:xf numFmtId="175" fontId="4" fillId="5" borderId="0" xfId="0" applyFont="1" applyBorder="0" applyAlignment="1">
      <x:alignment horizontal="general" vertical="bottom" wrapText="0"/>
    </x:xf>
    <x:xf numFmtId="175" fontId="4" fillId="0" borderId="0" xfId="0" applyFont="1" applyBorder="0" applyAlignment="1">
      <x:alignment horizontal="general" vertical="bottom" wrapText="0"/>
    </x:xf>
    <x:xf numFmtId="173" fontId="31" fillId="20" borderId="0" xfId="0" applyFont="1" applyBorder="0" applyAlignment="1">
      <x:alignment horizontal="general" vertical="bottom" wrapText="0"/>
    </x:xf>
    <x:xf numFmtId="175" fontId="31" fillId="5" borderId="0" xfId="0" applyFont="1" applyBorder="0" applyAlignment="1">
      <x:alignment horizontal="general" vertical="bottom" wrapText="0"/>
    </x:xf>
    <x:xf numFmtId="175" fontId="31" fillId="0" borderId="0" xfId="0" applyFont="1" applyBorder="0" applyAlignment="1">
      <x:alignment horizontal="general" vertical="bottom" wrapText="0"/>
    </x:xf>
    <x:xf numFmtId="164" fontId="74" fillId="0" borderId="0" xfId="0" applyFont="1" applyBorder="1" applyAlignment="1">
      <x:alignment horizontal="general" vertical="bottom" wrapText="0"/>
    </x:xf>
    <x:xf numFmtId="164" fontId="75" fillId="0" borderId="0" xfId="0" applyFont="1" applyBorder="1" applyAlignment="1">
      <x:alignment horizontal="general" vertical="bottom" wrapText="0"/>
    </x:xf>
    <x:xf numFmtId="164" fontId="76" fillId="21" borderId="0" xfId="0" applyFont="1" applyBorder="1" applyAlignment="1">
      <x:alignment horizontal="center" vertical="center" wrapText="1"/>
    </x:xf>
    <x:xf numFmtId="164" fontId="76" fillId="3" borderId="2" xfId="0" applyFont="1" applyBorder="1" applyAlignment="1">
      <x:alignment horizontal="center" vertical="center" wrapText="1"/>
    </x:xf>
    <x:xf numFmtId="164" fontId="76" fillId="22" borderId="2" xfId="0" applyFont="1" applyBorder="1" applyAlignment="1">
      <x:alignment horizontal="center" vertical="center" wrapText="1"/>
    </x:xf>
    <x:xf numFmtId="164" fontId="76" fillId="23" borderId="2" xfId="0" applyFont="1" applyBorder="1" applyAlignment="1">
      <x:alignment horizontal="center" vertical="center" wrapText="1"/>
    </x:xf>
    <x:xf numFmtId="164" fontId="76" fillId="24" borderId="2" xfId="0" applyFont="1" applyBorder="1" applyAlignment="1">
      <x:alignment horizontal="center" vertical="center" wrapText="1"/>
    </x:xf>
    <x:xf numFmtId="164" fontId="77" fillId="3" borderId="3" xfId="0" applyFont="1" applyBorder="1" applyAlignment="1">
      <x:alignment horizontal="center" vertical="center" wrapText="1"/>
    </x:xf>
    <x:xf numFmtId="164" fontId="77" fillId="3" borderId="4" xfId="0" applyFont="1" applyBorder="1" applyAlignment="1">
      <x:alignment horizontal="center" vertical="center" wrapText="1"/>
    </x:xf>
    <x:xf numFmtId="164" fontId="77" fillId="22" borderId="3" xfId="0" applyFont="1" applyBorder="1" applyAlignment="1">
      <x:alignment horizontal="center" vertical="center" wrapText="1"/>
    </x:xf>
    <x:xf numFmtId="164" fontId="77" fillId="22" borderId="4" xfId="0" applyFont="1" applyBorder="1" applyAlignment="1">
      <x:alignment horizontal="center" vertical="center" wrapText="1"/>
    </x:xf>
    <x:xf numFmtId="164" fontId="77" fillId="23" borderId="3" xfId="0" applyFont="1" applyBorder="1" applyAlignment="1">
      <x:alignment horizontal="center" vertical="center" wrapText="1"/>
    </x:xf>
    <x:xf numFmtId="164" fontId="77" fillId="23" borderId="4" xfId="0" applyFont="1" applyBorder="1" applyAlignment="1">
      <x:alignment horizontal="center" vertical="center" wrapText="1"/>
    </x:xf>
    <x:xf numFmtId="164" fontId="77" fillId="24" borderId="3" xfId="0" applyFont="1" applyBorder="1" applyAlignment="1">
      <x:alignment horizontal="center" vertical="center" wrapText="1"/>
    </x:xf>
    <x:xf numFmtId="164" fontId="77" fillId="24" borderId="4" xfId="0" applyFont="1" applyBorder="1" applyAlignment="1">
      <x:alignment horizontal="center" vertical="center" wrapText="1"/>
    </x:xf>
    <x:xf numFmtId="164" fontId="63" fillId="0" borderId="5" xfId="0" applyFont="1" applyBorder="1" applyAlignment="1">
      <x:alignment horizontal="center" vertical="center" wrapText="1"/>
    </x:xf>
    <x:xf numFmtId="165" fontId="36" fillId="0" borderId="1" xfId="0" applyFont="1" applyBorder="1" applyAlignment="1">
      <x:alignment horizontal="general" vertical="bottom" wrapText="0"/>
    </x:xf>
    <x:xf numFmtId="170" fontId="36" fillId="0" borderId="1" xfId="0" applyFont="1" applyBorder="1" applyAlignment="1">
      <x:alignment horizontal="general" vertical="bottom" wrapText="0"/>
    </x:xf>
    <x:xf numFmtId="167" fontId="36" fillId="0" borderId="1" xfId="0" applyFont="1" applyBorder="1" applyAlignment="1">
      <x:alignment horizontal="general" vertical="bottom" wrapText="0"/>
    </x:xf>
    <x:xf numFmtId="167" fontId="36" fillId="0" borderId="6" xfId="0" applyFont="1" applyBorder="1" applyAlignment="1">
      <x:alignment horizontal="general" vertical="bottom" wrapText="0"/>
    </x:xf>
    <x:xf numFmtId="165" fontId="78" fillId="0" borderId="1" xfId="0" applyFont="1" applyBorder="1" applyAlignment="1">
      <x:alignment horizontal="general" vertical="bottom" wrapText="0"/>
    </x:xf>
    <x:xf numFmtId="164" fontId="78" fillId="0" borderId="1" xfId="0" applyFont="1" applyBorder="1" applyAlignment="1">
      <x:alignment horizontal="general" vertical="bottom" wrapText="0"/>
    </x:xf>
    <x:xf numFmtId="167" fontId="78" fillId="0" borderId="1" xfId="0" applyFont="1" applyBorder="1" applyAlignment="1">
      <x:alignment horizontal="general" vertical="bottom" wrapText="0"/>
    </x:xf>
    <x:xf numFmtId="164" fontId="50" fillId="8" borderId="0" xfId="0" applyFont="1" applyBorder="0" applyAlignment="1">
      <x:alignment horizontal="general" vertical="bottom" wrapText="1"/>
    </x:xf>
    <x:xf numFmtId="164" fontId="18" fillId="4" borderId="0" xfId="0" applyFont="1" applyBorder="0" applyAlignment="1">
      <x:alignment horizontal="general" vertical="bottom" wrapText="0"/>
    </x:xf>
    <x:xf numFmtId="173" fontId="18" fillId="5" borderId="0" xfId="0" applyFont="1" applyBorder="0" applyAlignment="1">
      <x:alignment horizontal="general" vertical="bottom" wrapText="0"/>
    </x:xf>
    <x:xf numFmtId="176" fontId="18" fillId="5" borderId="0" xfId="0" applyFont="1" applyBorder="0" applyAlignment="1">
      <x:alignment horizontal="general" vertical="bottom" wrapText="0"/>
    </x:xf>
    <x:xf numFmtId="164" fontId="79" fillId="0" borderId="0" xfId="0" applyFont="1" applyBorder="1" applyAlignment="1">
      <x:alignment horizontal="general" vertical="bottom" wrapText="0"/>
    </x:xf>
    <x:xf numFmtId="164" fontId="50" fillId="3" borderId="1" xfId="0" applyFont="1" applyBorder="1" applyAlignment="1">
      <x:alignment horizontal="general" vertical="top" wrapText="1"/>
    </x:xf>
    <x:xf numFmtId="164" fontId="36" fillId="18" borderId="1" xfId="0" applyFont="1" applyBorder="1" applyAlignment="1">
      <x:alignment horizontal="general" vertical="top" wrapText="1"/>
    </x:xf>
    <x:xf numFmtId="164" fontId="16" fillId="6" borderId="0" xfId="0" applyFont="1" applyBorder="0" applyAlignment="1">
      <x:alignment horizontal="general" vertical="center" wrapText="0"/>
    </x:xf>
    <x:xf numFmtId="164" fontId="50" fillId="8" borderId="0" xfId="0" applyFont="1" applyBorder="0" applyAlignment="1">
      <x:alignment horizontal="center" vertical="center" wrapText="1"/>
    </x:xf>
    <x:xf numFmtId="164" fontId="33" fillId="8" borderId="0" xfId="0" applyFont="1" applyBorder="0" applyAlignment="1">
      <x:alignment horizontal="center" vertical="center" wrapText="1"/>
    </x:xf>
    <x:xf numFmtId="165" fontId="31" fillId="0" borderId="0" xfId="0" applyFont="1" applyBorder="0" applyAlignment="1">
      <x:alignment horizontal="general" vertical="bottom" wrapText="1"/>
    </x:xf>
    <x:xf numFmtId="165" fontId="4" fillId="4" borderId="0" xfId="0" applyFont="1" applyBorder="0" applyAlignment="1">
      <x:alignment horizontal="general" vertical="bottom" wrapText="1"/>
    </x:xf>
    <x:xf numFmtId="165" fontId="11" fillId="7" borderId="0" xfId="0" applyFont="1" applyBorder="0" applyAlignment="1">
      <x:alignment horizontal="general" vertical="bottom" wrapText="1"/>
    </x:xf>
    <x:xf numFmtId="165" fontId="4" fillId="0" borderId="0" xfId="0" applyFont="1" applyBorder="0" applyAlignment="1">
      <x:alignment horizontal="general" vertical="bottom" wrapText="1"/>
    </x:xf>
    <x:xf numFmtId="164" fontId="80" fillId="25" borderId="0" xfId="0" applyFont="1" applyBorder="1" applyAlignment="1">
      <x:alignment horizontal="general" vertical="bottom" wrapText="0"/>
    </x:xf>
    <x:xf numFmtId="164" fontId="81" fillId="4" borderId="0" xfId="0" applyFont="1" applyBorder="1" applyAlignment="1">
      <x:alignment horizontal="general" vertical="top" wrapText="1"/>
    </x:xf>
    <x:xf numFmtId="164" fontId="55" fillId="0" borderId="0" xfId="0" applyFont="1" applyBorder="1" applyAlignment="1">
      <x:alignment horizontal="general" vertical="top" wrapText="1"/>
    </x:xf>
    <x:xf numFmtId="164" fontId="82" fillId="3" borderId="0" xfId="0" applyFont="1" applyBorder="1" applyAlignment="1">
      <x:alignment horizontal="general" vertical="bottom" wrapText="1"/>
    </x:xf>
    <x:xf numFmtId="166" fontId="83" fillId="25" borderId="1" xfId="0" applyFont="1" applyBorder="1" applyAlignment="1">
      <x:alignment horizontal="general" vertical="top" wrapText="1"/>
    </x:xf>
    <x:xf numFmtId="164" fontId="51" fillId="0" borderId="0" xfId="0" applyFont="1" applyBorder="1" applyAlignment="1">
      <x:alignment horizontal="general" vertical="bottom" wrapText="1"/>
    </x:xf>
    <x:xf numFmtId="166" fontId="44" fillId="25" borderId="1" xfId="0" applyFont="1" applyBorder="1" applyAlignment="1">
      <x:alignment horizontal="general" vertical="top" wrapText="1"/>
    </x:xf>
    <x:xf numFmtId="164" fontId="84" fillId="0" borderId="1" xfId="0" applyFont="1" applyBorder="1" applyAlignment="1">
      <x:alignment horizontal="general" vertical="top" wrapText="1"/>
    </x:xf>
    <x:xf numFmtId="166" fontId="84" fillId="7" borderId="1" xfId="0" applyFont="1" applyBorder="1" applyAlignment="1">
      <x:alignment horizontal="center" vertical="top" wrapText="1"/>
    </x:xf>
    <x:xf numFmtId="171" fontId="85" fillId="11" borderId="1" xfId="0" applyFont="1" applyBorder="1" applyAlignment="1">
      <x:alignment horizontal="general" vertical="top" wrapText="1"/>
    </x:xf>
    <x:xf numFmtId="164" fontId="86" fillId="25" borderId="0" xfId="0" applyFont="1" applyBorder="1" applyAlignment="1">
      <x:alignment horizontal="general" vertical="bottom" wrapText="1"/>
    </x:xf>
    <x:xf numFmtId="164" fontId="62" fillId="11" borderId="0" xfId="0" applyFont="1" applyBorder="1" applyAlignment="1">
      <x:alignment horizontal="general" vertical="top" wrapText="1"/>
    </x:xf>
    <x:xf numFmtId="164" fontId="50" fillId="8" borderId="1" xfId="0" applyFont="1" applyBorder="1" applyAlignment="1">
      <x:alignment horizontal="center" vertical="top" wrapText="1"/>
    </x:xf>
    <x:xf numFmtId="164" fontId="63" fillId="0" borderId="0" xfId="0" applyFont="1" applyBorder="0" applyAlignment="1">
      <x:alignment horizontal="general" vertical="bottom" wrapText="0"/>
    </x:xf>
    <x:xf numFmtId="174" fontId="63" fillId="9" borderId="0" xfId="0" applyFont="1" applyBorder="0" applyAlignment="1">
      <x:alignment horizontal="general" vertical="bottom" wrapText="0"/>
    </x:xf>
    <x:xf numFmtId="164" fontId="34" fillId="3" borderId="0" xfId="0" applyFont="1" applyBorder="1" applyAlignment="1">
      <x:alignment horizontal="general" vertical="bottom" wrapText="1"/>
    </x:xf>
    <x:xf numFmtId="164" fontId="36" fillId="0" borderId="0" xfId="0" applyFont="1" applyBorder="0" applyAlignment="1">
      <x:alignment horizontal="general" vertical="bottom" wrapText="1"/>
    </x:xf>
    <x:xf numFmtId="165" fontId="11" fillId="5" borderId="0" xfId="0" applyFont="1" applyBorder="0" applyAlignment="1">
      <x:alignment horizontal="general" vertical="bottom" wrapText="1"/>
    </x:xf>
    <x:xf numFmtId="164" fontId="62" fillId="0" borderId="0" xfId="0" applyFont="1" applyBorder="1" applyAlignment="1">
      <x:alignment horizontal="general" vertical="bottom" wrapText="1"/>
    </x:xf>
    <x:xf numFmtId="164" fontId="32" fillId="4" borderId="0" xfId="0" applyFont="1" applyBorder="1" applyAlignment="1">
      <x:alignment horizontal="general" vertical="top" wrapText="1"/>
    </x:xf>
    <x:xf numFmtId="174" fontId="85" fillId="17" borderId="1" xfId="0" applyFont="1" applyBorder="1" applyAlignment="1">
      <x:alignment horizontal="general" vertical="top" wrapText="1"/>
    </x:xf>
    <x:xf numFmtId="164" fontId="51" fillId="0" borderId="1" xfId="0" applyFont="1" applyBorder="1" applyAlignment="1">
      <x:alignment horizontal="general" vertical="top" wrapText="1"/>
    </x:xf>
    <x:xf numFmtId="164" fontId="43" fillId="6" borderId="0" xfId="0" applyFont="1" applyBorder="1" applyAlignment="1">
      <x:alignment horizontal="general" vertical="bottom" wrapText="1"/>
    </x:xf>
    <x:xf numFmtId="164" fontId="45" fillId="0" borderId="0" xfId="0" applyFont="1" applyBorder="1" applyAlignment="1">
      <x:alignment horizontal="general" vertical="bottom" wrapText="1"/>
    </x:xf>
    <x:xf numFmtId="164" fontId="11" fillId="5" borderId="0" xfId="0" applyFont="1" applyBorder="0" applyAlignment="1">
      <x:alignment horizontal="general" vertical="bottom" wrapText="1"/>
    </x:xf>
    <x:xf numFmtId="164" fontId="11" fillId="7" borderId="0" xfId="0" applyFont="1" applyBorder="0" applyAlignment="1">
      <x:alignment horizontal="general" vertical="bottom" wrapText="1"/>
    </x:xf>
    <x:xf numFmtId="164" fontId="11" fillId="5" borderId="0" xfId="0" applyFont="1" applyBorder="1" applyAlignment="1">
      <x:alignment horizontal="general" vertical="bottom" wrapText="1"/>
    </x:xf>
    <x:xf numFmtId="164" fontId="85" fillId="17" borderId="0" xfId="0" applyFont="1" applyBorder="0" applyAlignment="1">
      <x:alignment horizontal="general" vertical="bottom" wrapText="1"/>
    </x:xf>
    <x:xf numFmtId="164" fontId="87" fillId="12" borderId="0" xfId="0" applyFont="1" applyBorder="1" applyAlignment="1">
      <x:alignment horizontal="general" vertical="bottom" wrapText="1"/>
    </x:xf>
    <x:xf numFmtId="164" fontId="36" fillId="7" borderId="1" xfId="0" applyFont="1" applyBorder="1" applyAlignment="1">
      <x:alignment horizontal="general" vertical="top" wrapText="1"/>
    </x:xf>
    <x:xf numFmtId="164" fontId="85" fillId="17" borderId="0" xfId="0" applyFont="1" applyBorder="0" applyAlignment="1">
      <x:alignment horizontal="general" vertical="bottom" wrapText="0"/>
    </x:xf>
    <x:xf numFmtId="164" fontId="88" fillId="0" borderId="1" xfId="0" applyFont="1" applyBorder="1" applyAlignment="1">
      <x:alignment horizontal="general" vertical="bottom" wrapText="1"/>
    </x:xf>
    <x:xf numFmtId="164" fontId="88" fillId="7" borderId="1" xfId="0" applyFont="1" applyBorder="1" applyAlignment="1">
      <x:alignment horizontal="general" vertical="bottom" wrapText="1"/>
    </x:xf>
    <x:xf numFmtId="164" fontId="88" fillId="0" borderId="1" xfId="0" applyFont="1" applyBorder="1" applyAlignment="1">
      <x:alignment horizontal="general" vertical="bottom" wrapText="0"/>
    </x:xf>
    <x:xf numFmtId="164" fontId="88" fillId="17" borderId="1" xfId="0" applyFont="1" applyBorder="1" applyAlignment="1">
      <x:alignment horizontal="general" vertical="bottom" wrapText="1"/>
    </x:xf>
    <x:xf numFmtId="174" fontId="88" fillId="5" borderId="1" xfId="0" applyFont="1" applyBorder="1" applyAlignment="1">
      <x:alignment horizontal="general" vertical="bottom" wrapText="1"/>
    </x:xf>
    <x:xf numFmtId="164" fontId="27" fillId="4" borderId="0" xfId="0" applyFont="1" applyBorder="1" applyAlignment="1">
      <x:alignment horizontal="general" vertical="bottom" wrapText="1"/>
    </x:xf>
    <x:xf numFmtId="173" fontId="4" fillId="0" borderId="1" xfId="0" applyFont="1" applyBorder="1" applyAlignment="1">
      <x:alignment horizontal="general" vertical="top" wrapText="1"/>
    </x:xf>
    <x:xf numFmtId="164" fontId="54" fillId="0" borderId="1" xfId="0" applyFont="1" applyBorder="1" applyAlignment="1">
      <x:alignment horizontal="general" vertical="bottom" wrapText="0"/>
    </x:xf>
    <x:xf numFmtId="174" fontId="54" fillId="9" borderId="1" xfId="0" applyFont="1" applyBorder="1" applyAlignment="1">
      <x:alignment horizontal="general" vertical="bottom" wrapText="0"/>
    </x:xf>
    <x:xf numFmtId="164" fontId="0" fillId="0" borderId="0" xfId="0" applyFont="0" applyBorder="0" applyAlignment="1">
      <x:alignment horizontal="general" vertical="bottom" wrapText="0"/>
    </x:xf>
    <x:xf numFmtId="164" fontId="89" fillId="6" borderId="0" xfId="0" applyFont="1" applyBorder="1" applyAlignment="1">
      <x:alignment horizontal="general" vertical="bottom" wrapText="0"/>
    </x:xf>
    <x:xf numFmtId="164" fontId="90" fillId="4" borderId="0" xfId="0" applyFont="1" applyBorder="1" applyAlignment="1">
      <x:alignment horizontal="general" vertical="top" wrapText="1"/>
    </x:xf>
    <x:xf numFmtId="164" fontId="91" fillId="0" borderId="0" xfId="0" applyFont="1" applyBorder="1" applyAlignment="1">
      <x:alignment horizontal="general" vertical="bottom" wrapText="1"/>
    </x:xf>
    <x:xf numFmtId="164" fontId="34" fillId="3" borderId="0" xfId="0" applyFont="1" applyBorder="0" applyAlignment="1">
      <x:alignment horizontal="general" vertical="bottom" wrapText="0"/>
    </x:xf>
    <x:xf numFmtId="164" fontId="65" fillId="8" borderId="1" xfId="0" applyFont="1" applyBorder="1" applyAlignment="1">
      <x:alignment horizontal="general" vertical="top" wrapText="1"/>
    </x:xf>
    <x:xf numFmtId="164" fontId="14" fillId="0" borderId="1" xfId="0" applyFont="1" applyBorder="1" applyAlignment="1">
      <x:alignment horizontal="general" vertical="top" wrapText="1"/>
    </x:xf>
    <x:xf numFmtId="165" fontId="14" fillId="0" borderId="1" xfId="0" applyFont="1" applyBorder="1" applyAlignment="1">
      <x:alignment horizontal="general" vertical="top" wrapText="1"/>
    </x:xf>
    <x:xf numFmtId="164" fontId="92" fillId="17" borderId="1" xfId="0" applyFont="1" applyBorder="1" applyAlignment="1">
      <x:alignment horizontal="general" vertical="top" wrapText="1"/>
    </x:xf>
    <x:xf numFmtId="164" fontId="92" fillId="0" borderId="1" xfId="0" applyFont="1" applyBorder="1" applyAlignment="1">
      <x:alignment horizontal="general" vertical="bottom" wrapText="1"/>
    </x:xf>
    <x:xf numFmtId="164" fontId="12" fillId="10" borderId="0" xfId="0" applyFont="1" applyBorder="0" applyAlignment="1">
      <x:alignment horizontal="general" vertical="bottom" wrapText="0"/>
    </x:xf>
    <x:xf numFmtId="165" fontId="0" fillId="0" borderId="1" xfId="0" applyFont="0" applyBorder="1" applyAlignment="1">
      <x:alignment horizontal="general" vertical="bottom" wrapText="0"/>
    </x:xf>
    <x:xf numFmtId="174" fontId="0" fillId="0" borderId="1" xfId="0" applyFont="0" applyBorder="1" applyAlignment="1">
      <x:alignment horizontal="general" vertical="bottom" wrapText="0"/>
    </x:xf>
    <x:xf numFmtId="164" fontId="35" fillId="0" borderId="0" xfId="0" applyFont="1" applyBorder="0" applyAlignment="1">
      <x:alignment horizontal="general" vertical="bottom" wrapText="0"/>
    </x:xf>
    <x:xf numFmtId="164" fontId="90" fillId="4" borderId="0" xfId="0" applyFont="1" applyBorder="1" applyAlignment="1">
      <x:alignment horizontal="general" vertical="bottom" wrapText="0"/>
    </x:xf>
    <x:xf numFmtId="164" fontId="92" fillId="0" borderId="1" xfId="0" applyFont="1" applyBorder="1" applyAlignment="1">
      <x:alignment horizontal="general" vertical="top" wrapText="1"/>
    </x:xf>
    <x:xf numFmtId="164" fontId="93" fillId="0" borderId="1" xfId="0" applyFont="1" applyBorder="1" applyAlignment="1">
      <x:alignment horizontal="general" vertical="top" wrapText="1"/>
    </x:xf>
    <x:xf numFmtId="164" fontId="91" fillId="0" borderId="0" xfId="0" applyFont="1" applyBorder="1" applyAlignment="1">
      <x:alignment horizontal="general" vertical="bottom" wrapText="0"/>
    </x:xf>
    <x:xf numFmtId="164" fontId="65" fillId="8" borderId="1" xfId="0" applyFont="1" applyBorder="1" applyAlignment="1">
      <x:alignment horizontal="general" vertical="bottom" wrapText="0"/>
    </x:xf>
    <x:xf numFmtId="164" fontId="92" fillId="0" borderId="1" xfId="0" applyFont="1" applyBorder="1" applyAlignment="1">
      <x:alignment horizontal="general" vertical="bottom" wrapText="0"/>
    </x:xf>
    <x:xf numFmtId="170" fontId="92" fillId="0" borderId="1" xfId="0" applyFont="1" applyBorder="1" applyAlignment="1">
      <x:alignment horizontal="general" vertical="bottom" wrapText="0"/>
    </x:xf>
    <x:xf numFmtId="165" fontId="92" fillId="0" borderId="1" xfId="0" applyFont="1" applyBorder="1" applyAlignment="1">
      <x:alignment horizontal="general" vertical="bottom" wrapText="0"/>
    </x:xf>
    <x:xf numFmtId="164" fontId="48" fillId="9" borderId="1" xfId="0" applyFont="1" applyBorder="1" applyAlignment="1">
      <x:alignment horizontal="general" vertical="bottom" wrapText="1"/>
    </x:xf>
    <x:xf numFmtId="164" fontId="36" fillId="0" borderId="0" xfId="0" applyFont="1" applyBorder="0" applyAlignment="1">
      <x:alignment horizontal="general" vertical="top" wrapText="1"/>
    </x:xf>
    <x:xf numFmtId="164" fontId="48" fillId="0" borderId="0" xfId="0" applyFont="1" applyBorder="0" applyAlignment="1">
      <x:alignment horizontal="general" vertical="bottom" wrapText="1"/>
    </x:xf>
    <x:xf numFmtId="164" fontId="0" fillId="0" borderId="7" xfId="0" applyNumberFormat="1" applyFont="1" applyFill="1" applyBorder="1" applyAlignment="1">
      <x:alignment horizontal="general" vertical="bottom" wrapText="0"/>
    </x:xf>
    <x:xf numFmtId="164" fontId="5" fillId="2" borderId="7" xfId="0" applyNumberFormat="1" applyFont="1" applyFill="1" applyBorder="1" applyAlignment="1">
      <x:alignment horizontal="general" vertical="center" wrapText="0"/>
    </x:xf>
    <x:xf numFmtId="164" fontId="6" fillId="3" borderId="7" xfId="0" applyNumberFormat="1" applyFont="1" applyFill="1" applyBorder="1" applyAlignment="1">
      <x:alignment horizontal="general" vertical="bottom" wrapText="0"/>
    </x:xf>
    <x:xf numFmtId="164" fontId="7" fillId="2" borderId="7" xfId="0" applyNumberFormat="1" applyFont="1" applyFill="1" applyBorder="1" applyAlignment="1">
      <x:alignment horizontal="general" vertical="bottom" wrapText="0"/>
    </x:xf>
    <x:xf numFmtId="164" fontId="8" fillId="0" borderId="7" xfId="0" applyNumberFormat="1" applyFont="1" applyFill="1" applyBorder="1" applyAlignment="1">
      <x:alignment horizontal="general" vertical="bottom" wrapText="0"/>
    </x:xf>
    <x:xf numFmtId="164" fontId="9" fillId="2" borderId="7" xfId="0" applyNumberFormat="1" applyFont="1" applyFill="1" applyBorder="1" applyAlignment="1">
      <x:alignment horizontal="general" vertical="bottom" wrapText="1"/>
    </x:xf>
    <x:xf numFmtId="164" fontId="10" fillId="0" borderId="7" xfId="0" applyNumberFormat="1" applyFont="1" applyFill="1" applyBorder="1" applyAlignment="1">
      <x:alignment horizontal="general" vertical="bottom" wrapText="0"/>
    </x:xf>
    <x:xf numFmtId="164" fontId="11" fillId="4" borderId="7" xfId="0" applyNumberFormat="1" applyFont="1" applyFill="1" applyBorder="1" applyAlignment="1">
      <x:alignment horizontal="general" vertical="bottom" wrapText="0"/>
    </x:xf>
    <x:xf numFmtId="164" fontId="12" fillId="2" borderId="7" xfId="0" applyNumberFormat="1" applyFont="1" applyFill="1" applyBorder="1" applyAlignment="1">
      <x:alignment horizontal="general" vertical="bottom" wrapText="0"/>
    </x:xf>
    <x:xf numFmtId="164" fontId="13" fillId="0" borderId="7" xfId="0" applyNumberFormat="1" applyFont="1" applyFill="1" applyBorder="1" applyAlignment="1">
      <x:alignment horizontal="general" vertical="bottom" wrapText="0"/>
    </x:xf>
    <x:xf numFmtId="164" fontId="6" fillId="2" borderId="7" xfId="0" applyNumberFormat="1" applyFont="1" applyFill="1" applyBorder="1" applyAlignment="1">
      <x:alignment horizontal="general" vertical="bottom" wrapText="0"/>
    </x:xf>
    <x:xf numFmtId="164" fontId="12" fillId="2" borderId="7" xfId="0" applyNumberFormat="1" applyFont="1" applyFill="1" applyBorder="1" applyAlignment="1">
      <x:alignment horizontal="general" vertical="bottom" wrapText="1"/>
    </x:xf>
    <x:xf numFmtId="164" fontId="14" fillId="2" borderId="7" xfId="0" applyNumberFormat="1" applyFont="1" applyFill="1" applyBorder="1" applyAlignment="1">
      <x:alignment horizontal="general" vertical="bottom" wrapText="1"/>
    </x:xf>
    <x:xf numFmtId="164" fontId="6" fillId="3" borderId="7" xfId="0" applyNumberFormat="1" applyFont="1" applyFill="1" applyBorder="1" applyAlignment="1">
      <x:alignment horizontal="general" vertical="bottom" wrapText="1"/>
    </x:xf>
    <x:xf numFmtId="164" fontId="15" fillId="2" borderId="7" xfId="0" applyNumberFormat="1" applyFont="1" applyFill="1" applyBorder="1" applyAlignment="1">
      <x:alignment horizontal="general" vertical="bottom" wrapText="1"/>
    </x:xf>
    <x:xf numFmtId="164" fontId="16" fillId="2" borderId="7" xfId="0" applyNumberFormat="1" applyFont="1" applyFill="1" applyBorder="1" applyAlignment="1">
      <x:alignment horizontal="general" vertical="bottom" wrapText="1"/>
    </x:xf>
    <x:xf numFmtId="164" fontId="17" fillId="0" borderId="7" xfId="0" applyNumberFormat="1" applyFont="1" applyFill="1" applyBorder="1" applyAlignment="1">
      <x:alignment horizontal="general" vertical="bottom" wrapText="0"/>
    </x:xf>
    <x:xf numFmtId="164" fontId="12" fillId="4" borderId="7" xfId="0" applyNumberFormat="1" applyFont="1" applyFill="1" applyBorder="1" applyAlignment="1">
      <x:alignment horizontal="general" vertical="bottom" wrapText="0"/>
    </x:xf>
    <x:xf numFmtId="165" fontId="18" fillId="5" borderId="7" xfId="0" applyNumberFormat="1" applyFont="1" applyFill="1" applyBorder="1" applyAlignment="1">
      <x:alignment horizontal="right" vertical="bottom" wrapText="0"/>
    </x:xf>
    <x:xf numFmtId="164" fontId="18" fillId="5" borderId="7" xfId="0" applyNumberFormat="1" applyFont="1" applyFill="1" applyBorder="1" applyAlignment="1">
      <x:alignment horizontal="right" vertical="bottom" wrapText="0"/>
    </x:xf>
    <x:xf numFmtId="166" fontId="19" fillId="5" borderId="7" xfId="0" applyNumberFormat="1" applyFont="1" applyFill="1" applyBorder="1" applyAlignment="1">
      <x:alignment horizontal="right" vertical="bottom" wrapText="0"/>
    </x:xf>
    <x:xf numFmtId="164" fontId="20" fillId="2" borderId="7" xfId="0" applyNumberFormat="1" applyFont="1" applyFill="1" applyBorder="1" applyAlignment="1">
      <x:alignment horizontal="general" vertical="bottom" wrapText="1"/>
    </x:xf>
    <x:xf numFmtId="164" fontId="6" fillId="2" borderId="7" xfId="0" applyNumberFormat="1" applyFont="1" applyFill="1" applyBorder="1" applyAlignment="1">
      <x:alignment horizontal="general" vertical="bottom" wrapText="1"/>
    </x:xf>
    <x:xf numFmtId="164" fontId="21" fillId="2" borderId="7" xfId="0" applyNumberFormat="1" applyFont="1" applyFill="1" applyBorder="1" applyAlignment="1">
      <x:alignment horizontal="general" vertical="bottom" wrapText="1"/>
    </x:xf>
    <x:xf numFmtId="164" fontId="22" fillId="2" borderId="7" xfId="0" applyNumberFormat="1" applyFont="1" applyFill="1" applyBorder="1" applyAlignment="1">
      <x:alignment horizontal="general" vertical="bottom" wrapText="1"/>
    </x:xf>
    <x:xf numFmtId="164" fontId="21" fillId="0" borderId="7" xfId="0" applyNumberFormat="1" applyFont="1" applyFill="1" applyBorder="1" applyAlignment="1">
      <x:alignment horizontal="general" vertical="bottom" wrapText="0"/>
    </x:xf>
    <x:xf numFmtId="164" fontId="24" fillId="6" borderId="7" xfId="0" applyNumberFormat="1" applyFont="1" applyFill="1" applyBorder="1" applyAlignment="1">
      <x:alignment horizontal="general" vertical="bottom" wrapText="0"/>
    </x:xf>
    <x:xf numFmtId="164" fontId="25" fillId="2" borderId="7" xfId="0" applyNumberFormat="1" applyFont="1" applyFill="1" applyBorder="1" applyAlignment="1">
      <x:alignment horizontal="general" vertical="bottom" wrapText="0"/>
    </x:xf>
    <x:xf numFmtId="164" fontId="5" fillId="2" borderId="7" xfId="0" applyNumberFormat="1" applyFont="1" applyFill="1" applyBorder="1" applyAlignment="1">
      <x:alignment horizontal="general" vertical="bottom" wrapText="0"/>
    </x:xf>
    <x:xf numFmtId="164" fontId="26" fillId="7" borderId="7" xfId="0" applyNumberFormat="1" applyFont="1" applyFill="1" applyBorder="1" applyAlignment="1">
      <x:alignment horizontal="general" vertical="bottom" wrapText="0"/>
    </x:xf>
    <x:xf numFmtId="164" fontId="27" fillId="0" borderId="7" xfId="0" applyNumberFormat="1" applyFont="1" applyFill="1" applyBorder="1" applyAlignment="1">
      <x:alignment horizontal="general" vertical="bottom" wrapText="0"/>
    </x:xf>
    <x:xf numFmtId="164" fontId="28" fillId="0" borderId="7" xfId="0" applyNumberFormat="1" applyFont="1" applyFill="1" applyBorder="1" applyAlignment="1">
      <x:alignment horizontal="general" vertical="bottom" wrapText="0"/>
    </x:xf>
    <x:xf numFmtId="164" fontId="29" fillId="0" borderId="7" xfId="0" applyNumberFormat="1" applyFont="1" applyFill="1" applyBorder="1" applyAlignment="1">
      <x:alignment horizontal="general" vertical="bottom" wrapText="0"/>
    </x:xf>
    <x:xf numFmtId="164" fontId="30" fillId="0" borderId="7" xfId="0" applyNumberFormat="1" applyFont="1" applyFill="1" applyBorder="1" applyAlignment="1">
      <x:alignment horizontal="general" vertical="bottom" wrapText="0"/>
    </x:xf>
    <x:xf numFmtId="164" fontId="31" fillId="0" borderId="7" xfId="0" applyNumberFormat="1" applyFont="1" applyFill="1" applyBorder="1" applyAlignment="1">
      <x:alignment horizontal="general" vertical="bottom" wrapText="0"/>
    </x:xf>
    <x:xf numFmtId="164" fontId="16" fillId="6" borderId="7" xfId="0" applyNumberFormat="1" applyFont="1" applyFill="1" applyBorder="1" applyAlignment="1">
      <x:alignment horizontal="general" vertical="center" wrapText="0"/>
    </x:xf>
    <x:xf numFmtId="164" fontId="32" fillId="4" borderId="7" xfId="0" applyNumberFormat="1" applyFont="1" applyFill="1" applyBorder="1" applyAlignment="1">
      <x:alignment horizontal="general" vertical="bottom" wrapText="1"/>
    </x:xf>
    <x:xf numFmtId="164" fontId="33" fillId="8" borderId="7" xfId="0" applyNumberFormat="1" applyFont="1" applyFill="1" applyBorder="1" applyAlignment="1">
      <x:alignment horizontal="general" vertical="center" wrapText="1"/>
    </x:xf>
    <x:xf numFmtId="164" fontId="34" fillId="8" borderId="8" xfId="0" applyNumberFormat="1" applyFont="1" applyFill="1" applyBorder="1" applyAlignment="1">
      <x:alignment horizontal="general" vertical="top" wrapText="1"/>
    </x:xf>
    <x:xf numFmtId="164" fontId="35" fillId="9" borderId="8" xfId="0" applyNumberFormat="1" applyFont="1" applyFill="1" applyBorder="1" applyAlignment="1">
      <x:alignment horizontal="general" vertical="top" wrapText="1"/>
    </x:xf>
    <x:xf numFmtId="164" fontId="36" fillId="9" borderId="8" xfId="0" applyNumberFormat="1" applyFont="1" applyFill="1" applyBorder="1" applyAlignment="1">
      <x:alignment horizontal="general" vertical="top" wrapText="1"/>
    </x:xf>
    <x:xf numFmtId="164" fontId="37" fillId="6" borderId="7" xfId="0" applyNumberFormat="1" applyFont="1" applyFill="1" applyBorder="1" applyAlignment="1">
      <x:alignment horizontal="general" vertical="bottom" wrapText="0"/>
    </x:xf>
    <x:xf numFmtId="164" fontId="38" fillId="4" borderId="7" xfId="0" applyNumberFormat="1" applyFont="1" applyFill="1" applyBorder="1" applyAlignment="1">
      <x:alignment horizontal="general" vertical="bottom" wrapText="1"/>
    </x:xf>
    <x:xf numFmtId="164" fontId="39" fillId="8" borderId="7" xfId="0" applyNumberFormat="1" applyFont="1" applyFill="1" applyBorder="1" applyAlignment="1">
      <x:alignment horizontal="general" vertical="bottom" wrapText="0"/>
    </x:xf>
    <x:xf numFmtId="164" fontId="40" fillId="10" borderId="7" xfId="0" applyNumberFormat="1" applyFont="1" applyFill="1" applyBorder="1" applyAlignment="1">
      <x:alignment horizontal="general" vertical="bottom" wrapText="0"/>
    </x:xf>
    <x:xf numFmtId="167" fontId="0" fillId="0" borderId="7" xfId="0" applyNumberFormat="1" applyFont="1" applyFill="1" applyBorder="1" applyAlignment="1">
      <x:alignment horizontal="general" vertical="bottom" wrapText="0"/>
    </x:xf>
    <x:xf numFmtId="165" fontId="0" fillId="0" borderId="7" xfId="0" applyNumberFormat="1" applyFont="1" applyFill="1" applyBorder="1" applyAlignment="1">
      <x:alignment horizontal="general" vertical="bottom" wrapText="0"/>
    </x:xf>
    <x:xf numFmtId="166" fontId="0" fillId="0" borderId="7" xfId="0" applyNumberFormat="1" applyFont="1" applyFill="1" applyBorder="1" applyAlignment="1">
      <x:alignment horizontal="general" vertical="bottom" wrapText="0"/>
    </x:xf>
    <x:xf numFmtId="165" fontId="19" fillId="5" borderId="7" xfId="0" applyNumberFormat="1" applyFont="1" applyFill="1" applyBorder="1" applyAlignment="1">
      <x:alignment horizontal="general" vertical="bottom" wrapText="0"/>
    </x:xf>
    <x:xf numFmtId="164" fontId="19" fillId="5" borderId="7" xfId="0" applyNumberFormat="1" applyFont="1" applyFill="1" applyBorder="1" applyAlignment="1">
      <x:alignment horizontal="general" vertical="bottom" wrapText="0"/>
    </x:xf>
    <x:xf numFmtId="167" fontId="19" fillId="5" borderId="7" xfId="0" applyNumberFormat="1" applyFont="1" applyFill="1" applyBorder="1" applyAlignment="1">
      <x:alignment horizontal="general" vertical="bottom" wrapText="0"/>
    </x:xf>
    <x:xf numFmtId="166" fontId="19" fillId="5" borderId="7" xfId="0" applyNumberFormat="1" applyFont="1" applyFill="1" applyBorder="1" applyAlignment="1">
      <x:alignment horizontal="general" vertical="bottom" wrapText="0"/>
    </x:xf>
    <x:xf numFmtId="168" fontId="19" fillId="5" borderId="7" xfId="0" applyNumberFormat="1" applyFont="1" applyFill="1" applyBorder="1" applyAlignment="1">
      <x:alignment horizontal="general" vertical="bottom" wrapText="0"/>
    </x:xf>
    <x:xf numFmtId="169" fontId="19" fillId="5" borderId="7" xfId="0" applyNumberFormat="1" applyFont="1" applyFill="1" applyBorder="1" applyAlignment="1">
      <x:alignment horizontal="general" vertical="bottom" wrapText="0"/>
    </x:xf>
    <x:xf numFmtId="164" fontId="43" fillId="6" borderId="7" xfId="0" applyNumberFormat="1" applyFont="1" applyFill="1" applyBorder="1" applyAlignment="1">
      <x:alignment horizontal="general" vertical="center" wrapText="0"/>
    </x:xf>
    <x:xf numFmtId="164" fontId="11" fillId="10" borderId="7" xfId="0" applyNumberFormat="1" applyFont="1" applyFill="1" applyBorder="1" applyAlignment="1">
      <x:alignment horizontal="general" vertical="bottom" wrapText="1"/>
    </x:xf>
    <x:xf numFmtId="165" fontId="11" fillId="5" borderId="7" xfId="0" applyNumberFormat="1" applyFont="1" applyFill="1" applyBorder="1" applyAlignment="1">
      <x:alignment horizontal="right" vertical="bottom" wrapText="1"/>
    </x:xf>
    <x:xf numFmtId="164" fontId="44" fillId="11" borderId="7" xfId="0" applyNumberFormat="1" applyFont="1" applyFill="1" applyBorder="1" applyAlignment="1">
      <x:alignment horizontal="general" vertical="bottom" wrapText="1"/>
    </x:xf>
    <x:xf numFmtId="170" fontId="11" fillId="5" borderId="7" xfId="0" applyNumberFormat="1" applyFont="1" applyFill="1" applyBorder="1" applyAlignment="1">
      <x:alignment horizontal="right" vertical="bottom" wrapText="1"/>
    </x:xf>
    <x:xf numFmtId="168" fontId="11" fillId="5" borderId="7" xfId="0" applyNumberFormat="1" applyFont="1" applyFill="1" applyBorder="1" applyAlignment="1">
      <x:alignment horizontal="right" vertical="bottom" wrapText="1"/>
    </x:xf>
    <x:xf numFmtId="166" fontId="11" fillId="5" borderId="7" xfId="0" applyNumberFormat="1" applyFont="1" applyFill="1" applyBorder="1" applyAlignment="1">
      <x:alignment horizontal="right" vertical="bottom" wrapText="1"/>
    </x:xf>
    <x:xf numFmtId="164" fontId="40" fillId="7" borderId="7" xfId="0" applyNumberFormat="1" applyFont="1" applyFill="1" applyBorder="1" applyAlignment="1">
      <x:alignment horizontal="general" vertical="bottom" wrapText="1"/>
    </x:xf>
    <x:xf numFmtId="165" fontId="40" fillId="7" borderId="7" xfId="0" applyNumberFormat="1" applyFont="1" applyFill="1" applyBorder="1" applyAlignment="1">
      <x:alignment horizontal="general" vertical="bottom" wrapText="1"/>
    </x:xf>
    <x:xf numFmtId="164" fontId="45" fillId="12" borderId="7" xfId="0" applyNumberFormat="1" applyFont="1" applyFill="1" applyBorder="1" applyAlignment="1">
      <x:alignment horizontal="general" vertical="bottom" wrapText="1"/>
    </x:xf>
    <x:xf numFmtId="164" fontId="39" fillId="8" borderId="7" xfId="0" applyNumberFormat="1" applyFont="1" applyFill="1" applyBorder="1" applyAlignment="1">
      <x:alignment horizontal="center" vertical="center" wrapText="1"/>
    </x:xf>
    <x:xf numFmtId="165" fontId="39" fillId="8" borderId="7" xfId="0" applyNumberFormat="1" applyFont="1" applyFill="1" applyBorder="1" applyAlignment="1">
      <x:alignment horizontal="center" vertical="center" wrapText="1"/>
    </x:xf>
    <x:xf numFmtId="165" fontId="0" fillId="13" borderId="7" xfId="0" applyNumberFormat="1" applyFont="1" applyFill="1" applyBorder="1" applyAlignment="1">
      <x:alignment horizontal="general" vertical="bottom" wrapText="0"/>
    </x:xf>
    <x:xf numFmtId="165" fontId="0" fillId="12" borderId="7" xfId="0" applyNumberFormat="1" applyFont="1" applyFill="1" applyBorder="1" applyAlignment="1">
      <x:alignment horizontal="general" vertical="bottom" wrapText="0"/>
    </x:xf>
    <x:xf numFmtId="170" fontId="0" fillId="0" borderId="7" xfId="0" applyNumberFormat="1" applyFont="1" applyFill="1" applyBorder="1" applyAlignment="1">
      <x:alignment horizontal="general" vertical="bottom" wrapText="0"/>
    </x:xf>
    <x:xf numFmtId="165" fontId="0" fillId="4" borderId="7" xfId="0" applyNumberFormat="1" applyFont="1" applyFill="1" applyBorder="1" applyAlignment="1">
      <x:alignment horizontal="general" vertical="bottom" wrapText="0"/>
    </x:xf>
    <x:xf numFmtId="165" fontId="11" fillId="4" borderId="7" xfId="0" applyNumberFormat="1" applyFont="1" applyFill="1" applyBorder="1" applyAlignment="1">
      <x:alignment horizontal="general" vertical="bottom" wrapText="0"/>
    </x:xf>
    <x:xf numFmtId="171" fontId="46" fillId="4" borderId="7" xfId="0" applyNumberFormat="1" applyFont="1" applyFill="1" applyBorder="1" applyAlignment="1">
      <x:alignment horizontal="general" vertical="bottom" wrapText="0"/>
    </x:xf>
    <x:xf numFmtId="164" fontId="47" fillId="3" borderId="7" xfId="0" applyNumberFormat="1" applyFont="1" applyFill="1" applyBorder="1" applyAlignment="1">
      <x:alignment horizontal="general" vertical="bottom" wrapText="1"/>
    </x:xf>
    <x:xf numFmtId="164" fontId="11" fillId="0" borderId="7" xfId="0" applyNumberFormat="1" applyFont="1" applyFill="1" applyBorder="1" applyAlignment="1">
      <x:alignment horizontal="general" vertical="bottom" wrapText="1"/>
    </x:xf>
    <x:xf numFmtId="165" fontId="11" fillId="5" borderId="7" xfId="0" applyNumberFormat="1" applyFont="1" applyFill="1" applyBorder="1" applyAlignment="1">
      <x:alignment horizontal="general" vertical="bottom" wrapText="1"/>
    </x:xf>
    <x:xf numFmtId="164" fontId="0" fillId="0" borderId="7" xfId="0" applyNumberFormat="1" applyFont="1" applyFill="1" applyBorder="1" applyAlignment="1">
      <x:alignment horizontal="general" vertical="bottom" wrapText="1"/>
    </x:xf>
    <x:xf numFmtId="164" fontId="11" fillId="7" borderId="7" xfId="0" applyNumberFormat="1" applyFont="1" applyFill="1" applyBorder="1" applyAlignment="1">
      <x:alignment horizontal="general" vertical="bottom" wrapText="1"/>
    </x:xf>
    <x:xf numFmtId="172" fontId="11" fillId="7" borderId="7" xfId="0" applyNumberFormat="1" applyFont="1" applyFill="1" applyBorder="1" applyAlignment="1">
      <x:alignment horizontal="general" vertical="bottom" wrapText="1"/>
    </x:xf>
    <x:xf numFmtId="164" fontId="35" fillId="14" borderId="8" xfId="0" applyNumberFormat="1" applyFont="1" applyFill="1" applyBorder="1" applyAlignment="1">
      <x:alignment horizontal="general" vertical="top" wrapText="1"/>
    </x:xf>
    <x:xf numFmtId="164" fontId="36" fillId="14" borderId="8" xfId="0" applyNumberFormat="1" applyFont="1" applyFill="1" applyBorder="1" applyAlignment="1">
      <x:alignment horizontal="general" vertical="top" wrapText="1"/>
    </x:xf>
    <x:xf numFmtId="164" fontId="35" fillId="15" borderId="8" xfId="0" applyNumberFormat="1" applyFont="1" applyFill="1" applyBorder="1" applyAlignment="1">
      <x:alignment horizontal="general" vertical="top" wrapText="1"/>
    </x:xf>
    <x:xf numFmtId="164" fontId="36" fillId="15" borderId="8" xfId="0" applyNumberFormat="1" applyFont="1" applyFill="1" applyBorder="1" applyAlignment="1">
      <x:alignment horizontal="general" vertical="top" wrapText="1"/>
    </x:xf>
    <x:xf numFmtId="164" fontId="35" fillId="16" borderId="8" xfId="0" applyNumberFormat="1" applyFont="1" applyFill="1" applyBorder="1" applyAlignment="1">
      <x:alignment horizontal="general" vertical="top" wrapText="1"/>
    </x:xf>
    <x:xf numFmtId="164" fontId="36" fillId="16" borderId="8" xfId="0" applyNumberFormat="1" applyFont="1" applyFill="1" applyBorder="1" applyAlignment="1">
      <x:alignment horizontal="general" vertical="top" wrapText="1"/>
    </x:xf>
    <x:xf numFmtId="164" fontId="36" fillId="0" borderId="7" xfId="0" applyNumberFormat="1" applyFont="1" applyFill="1" applyBorder="1" applyAlignment="1">
      <x:alignment horizontal="general" vertical="bottom" wrapText="0"/>
    </x:xf>
    <x:xf numFmtId="164" fontId="49" fillId="0" borderId="7" xfId="0" applyNumberFormat="1" applyFont="1" applyFill="1" applyBorder="1" applyAlignment="1">
      <x:alignment horizontal="general" vertical="top" wrapText="1"/>
    </x:xf>
    <x:xf numFmtId="164" fontId="50" fillId="8" borderId="8" xfId="0" applyNumberFormat="1" applyFont="1" applyFill="1" applyBorder="1" applyAlignment="1">
      <x:alignment horizontal="general" vertical="top" wrapText="1"/>
    </x:xf>
    <x:xf numFmtId="164" fontId="51" fillId="0" borderId="7" xfId="0" applyNumberFormat="1" applyFont="1" applyFill="1" applyBorder="1" applyAlignment="1">
      <x:alignment horizontal="general" vertical="top" wrapText="1"/>
    </x:xf>
    <x:xf numFmtId="164" fontId="50" fillId="8" borderId="7" xfId="0" applyNumberFormat="1" applyFont="1" applyFill="1" applyBorder="1" applyAlignment="1">
      <x:alignment horizontal="general" vertical="center" wrapText="1"/>
    </x:xf>
    <x:xf numFmtId="164" fontId="18" fillId="7" borderId="7" xfId="0" applyNumberFormat="1" applyFont="1" applyFill="1" applyBorder="1" applyAlignment="1">
      <x:alignment horizontal="general" vertical="bottom" wrapText="0"/>
    </x:xf>
    <x:xf numFmtId="170" fontId="18" fillId="17" borderId="7" xfId="0" applyNumberFormat="1" applyFont="1" applyFill="1" applyBorder="1" applyAlignment="1">
      <x:alignment horizontal="general" vertical="bottom" wrapText="0"/>
    </x:xf>
    <x:xf numFmtId="170" fontId="18" fillId="7" borderId="7" xfId="0" applyNumberFormat="1" applyFont="1" applyFill="1" applyBorder="1" applyAlignment="1">
      <x:alignment horizontal="general" vertical="bottom" wrapText="0"/>
    </x:xf>
    <x:xf numFmtId="173" fontId="18" fillId="7" borderId="7" xfId="0" applyNumberFormat="1" applyFont="1" applyFill="1" applyBorder="1" applyAlignment="1">
      <x:alignment horizontal="general" vertical="bottom" wrapText="0"/>
    </x:xf>
    <x:xf numFmtId="173" fontId="31" fillId="0" borderId="7" xfId="0" applyNumberFormat="1" applyFont="1" applyFill="1" applyBorder="1" applyAlignment="1">
      <x:alignment horizontal="general" vertical="bottom" wrapText="0"/>
    </x:xf>
    <x:xf numFmtId="173" fontId="52" fillId="17" borderId="7" xfId="0" applyNumberFormat="1" applyFont="1" applyFill="1" applyBorder="1" applyAlignment="1">
      <x:alignment horizontal="general" vertical="bottom" wrapText="0"/>
    </x:xf>
    <x:xf numFmtId="164" fontId="53" fillId="0" borderId="7" xfId="0" applyNumberFormat="1" applyFont="1" applyFill="1" applyBorder="1" applyAlignment="1">
      <x:alignment horizontal="general" vertical="bottom" wrapText="0"/>
    </x:xf>
    <x:xf numFmtId="164" fontId="54" fillId="0" borderId="7" xfId="0" applyNumberFormat="1" applyFont="1" applyFill="1" applyBorder="1" applyAlignment="1">
      <x:alignment horizontal="general" vertical="bottom" wrapText="0"/>
    </x:xf>
    <x:xf numFmtId="164" fontId="30" fillId="0" borderId="7" xfId="0" applyNumberFormat="1" applyFont="1" applyFill="1" applyBorder="1" applyAlignment="1">
      <x:alignment horizontal="general" vertical="bottom" wrapText="1"/>
    </x:xf>
    <x:xf numFmtId="164" fontId="56" fillId="0" borderId="7" xfId="0" applyNumberFormat="1" applyFont="1" applyFill="1" applyBorder="1" applyAlignment="1">
      <x:alignment horizontal="general" vertical="bottom" wrapText="0"/>
    </x:xf>
    <x:xf numFmtId="173" fontId="0" fillId="0" borderId="7" xfId="0" applyNumberFormat="1" applyFont="1" applyFill="1" applyBorder="1" applyAlignment="1">
      <x:alignment horizontal="general" vertical="bottom" wrapText="0"/>
    </x:xf>
    <x:xf numFmtId="164" fontId="0" fillId="17" borderId="7" xfId="0" applyNumberFormat="1" applyFont="1" applyFill="1" applyBorder="1" applyAlignment="1">
      <x:alignment horizontal="general" vertical="bottom" wrapText="0"/>
    </x:xf>
    <x:xf numFmtId="173" fontId="31" fillId="17" borderId="7" xfId="0" applyNumberFormat="1" applyFont="1" applyFill="1" applyBorder="1" applyAlignment="1">
      <x:alignment horizontal="general" vertical="bottom" wrapText="0"/>
    </x:xf>
    <x:xf numFmtId="164" fontId="31" fillId="17" borderId="7" xfId="0" applyNumberFormat="1" applyFont="1" applyFill="1" applyBorder="1" applyAlignment="1">
      <x:alignment horizontal="general" vertical="bottom" wrapText="0"/>
    </x:xf>
    <x:xf numFmtId="170" fontId="31" fillId="17" borderId="7" xfId="0" applyNumberFormat="1" applyFont="1" applyFill="1" applyBorder="1" applyAlignment="1">
      <x:alignment horizontal="general" vertical="bottom" wrapText="0"/>
    </x:xf>
    <x:xf numFmtId="170" fontId="31" fillId="0" borderId="7" xfId="0" applyNumberFormat="1" applyFont="1" applyFill="1" applyBorder="1" applyAlignment="1">
      <x:alignment horizontal="general" vertical="bottom" wrapText="0"/>
    </x:xf>
    <x:xf numFmtId="164" fontId="49" fillId="0" borderId="7" xfId="0" applyNumberFormat="1" applyFont="1" applyFill="1" applyBorder="1" applyAlignment="1">
      <x:alignment horizontal="general" vertical="bottom" wrapText="1"/>
    </x:xf>
    <x:xf numFmtId="164" fontId="31" fillId="0" borderId="7" xfId="0" applyNumberFormat="1" applyFont="1" applyFill="1" applyBorder="1" applyAlignment="1">
      <x:alignment horizontal="general" vertical="bottom" wrapText="1"/>
    </x:xf>
    <x:xf numFmtId="171" fontId="31" fillId="5" borderId="7" xfId="0" applyNumberFormat="1" applyFont="1" applyFill="1" applyBorder="1" applyAlignment="1">
      <x:alignment horizontal="general" vertical="bottom" wrapText="0"/>
    </x:xf>
    <x:xf numFmtId="164" fontId="5" fillId="6" borderId="7" xfId="0" applyNumberFormat="1" applyFont="1" applyFill="1" applyBorder="1" applyAlignment="1">
      <x:alignment horizontal="general" vertical="center" wrapText="0"/>
    </x:xf>
    <x:xf numFmtId="164" fontId="32" fillId="4" borderId="7" xfId="0" applyNumberFormat="1" applyFont="1" applyFill="1" applyBorder="1" applyAlignment="1">
      <x:alignment horizontal="general" vertical="center" wrapText="1"/>
    </x:xf>
    <x:xf numFmtId="164" fontId="57" fillId="4" borderId="7" xfId="0" applyNumberFormat="1" applyFont="1" applyFill="1" applyBorder="1" applyAlignment="1">
      <x:alignment horizontal="general" vertical="center" wrapText="1"/>
    </x:xf>
    <x:xf numFmtId="164" fontId="35" fillId="5" borderId="8" xfId="0" applyNumberFormat="1" applyFont="1" applyFill="1" applyBorder="1" applyAlignment="1">
      <x:alignment horizontal="general" vertical="top" wrapText="1"/>
    </x:xf>
    <x:xf numFmtId="164" fontId="36" fillId="5" borderId="8" xfId="0" applyNumberFormat="1" applyFont="1" applyFill="1" applyBorder="1" applyAlignment="1">
      <x:alignment horizontal="general" vertical="top" wrapText="1"/>
    </x:xf>
    <x:xf numFmtId="164" fontId="58" fillId="0" borderId="7" xfId="0" applyNumberFormat="1" applyFont="1" applyFill="1" applyBorder="1" applyAlignment="1">
      <x:alignment horizontal="general" vertical="bottom" wrapText="0"/>
    </x:xf>
    <x:xf numFmtId="164" fontId="59" fillId="17" borderId="8" xfId="0" applyNumberFormat="1" applyFont="1" applyFill="1" applyBorder="1" applyAlignment="1">
      <x:alignment horizontal="general" vertical="bottom" wrapText="0"/>
    </x:xf>
    <x:xf numFmtId="164" fontId="60" fillId="0" borderId="7" xfId="0" applyNumberFormat="1" applyFont="1" applyFill="1" applyBorder="1" applyAlignment="1">
      <x:alignment horizontal="general" vertical="bottom" wrapText="0"/>
    </x:xf>
    <x:xf numFmtId="164" fontId="61" fillId="0" borderId="7" xfId="0" applyNumberFormat="1" applyFont="1" applyFill="1" applyBorder="1" applyAlignment="1">
      <x:alignment horizontal="general" vertical="bottom" wrapText="0"/>
    </x:xf>
    <x:xf numFmtId="164" fontId="35" fillId="18" borderId="8" xfId="0" applyNumberFormat="1" applyFont="1" applyFill="1" applyBorder="1" applyAlignment="1">
      <x:alignment horizontal="general" vertical="top" wrapText="1"/>
    </x:xf>
    <x:xf numFmtId="164" fontId="0" fillId="18" borderId="8" xfId="0" applyNumberFormat="1" applyFont="1" applyFill="1" applyBorder="1" applyAlignment="1">
      <x:alignment horizontal="general" vertical="top" wrapText="1"/>
    </x:xf>
    <x:xf numFmtId="164" fontId="35" fillId="0" borderId="8" xfId="0" applyNumberFormat="1" applyFont="1" applyFill="1" applyBorder="1" applyAlignment="1">
      <x:alignment horizontal="general" vertical="top" wrapText="1"/>
    </x:xf>
    <x:xf numFmtId="164" fontId="0" fillId="0" borderId="8" xfId="0" applyNumberFormat="1" applyFont="1" applyFill="1" applyBorder="1" applyAlignment="1">
      <x:alignment horizontal="general" vertical="top" wrapText="1"/>
    </x:xf>
    <x:xf numFmtId="164" fontId="62" fillId="0" borderId="7" xfId="0" applyNumberFormat="1" applyFont="1" applyFill="1" applyBorder="1" applyAlignment="1">
      <x:alignment horizontal="general" vertical="top" wrapText="1"/>
    </x:xf>
    <x:xf numFmtId="164" fontId="35" fillId="0" borderId="8" xfId="0" applyNumberFormat="1" applyFont="1" applyFill="1" applyBorder="1" applyAlignment="1">
      <x:alignment horizontal="general" vertical="bottom" wrapText="0"/>
    </x:xf>
    <x:xf numFmtId="164" fontId="0" fillId="0" borderId="8" xfId="0" applyNumberFormat="1" applyFont="1" applyFill="1" applyBorder="1" applyAlignment="1">
      <x:alignment horizontal="general" vertical="bottom" wrapText="0"/>
    </x:xf>
    <x:xf numFmtId="164" fontId="36" fillId="0" borderId="8" xfId="0" applyNumberFormat="1" applyFont="1" applyFill="1" applyBorder="1" applyAlignment="1">
      <x:alignment horizontal="general" vertical="top" wrapText="1"/>
    </x:xf>
    <x:xf numFmtId="164" fontId="63" fillId="9" borderId="8" xfId="0" applyNumberFormat="1" applyFont="1" applyFill="1" applyBorder="1" applyAlignment="1">
      <x:alignment horizontal="general" vertical="top" wrapText="1"/>
    </x:xf>
    <x:xf numFmtId="164" fontId="58" fillId="9" borderId="8" xfId="0" applyNumberFormat="1" applyFont="1" applyFill="1" applyBorder="1" applyAlignment="1">
      <x:alignment horizontal="general" vertical="top" wrapText="1"/>
    </x:xf>
    <x:xf numFmtId="164" fontId="30" fillId="0" borderId="8" xfId="0" applyNumberFormat="1" applyFont="1" applyFill="1" applyBorder="1" applyAlignment="1">
      <x:alignment horizontal="general" vertical="top" wrapText="1"/>
    </x:xf>
    <x:xf numFmtId="164" fontId="64" fillId="0" borderId="8" xfId="0" applyNumberFormat="1" applyFont="1" applyFill="1" applyBorder="1" applyAlignment="1">
      <x:alignment horizontal="general" vertical="top" wrapText="1"/>
    </x:xf>
    <x:xf numFmtId="164" fontId="65" fillId="8" borderId="7" xfId="0" applyNumberFormat="1" applyFont="1" applyFill="1" applyBorder="1" applyAlignment="1">
      <x:alignment horizontal="general" vertical="center" wrapText="1"/>
    </x:xf>
    <x:xf numFmtId="164" fontId="66" fillId="0" borderId="7" xfId="0" applyNumberFormat="1" applyFont="1" applyFill="1" applyBorder="1" applyAlignment="1">
      <x:alignment horizontal="general" vertical="bottom" wrapText="0"/>
    </x:xf>
    <x:xf numFmtId="164" fontId="66" fillId="5" borderId="7" xfId="0" applyNumberFormat="1" applyFont="1" applyFill="1" applyBorder="1" applyAlignment="1">
      <x:alignment horizontal="general" vertical="bottom" wrapText="0"/>
    </x:xf>
    <x:xf numFmtId="164" fontId="67" fillId="6" borderId="7" xfId="0" applyNumberFormat="1" applyFont="1" applyFill="1" applyBorder="1" applyAlignment="1">
      <x:alignment horizontal="general" vertical="bottom" wrapText="0"/>
    </x:xf>
    <x:xf numFmtId="164" fontId="47" fillId="8" borderId="7" xfId="0" applyNumberFormat="1" applyFont="1" applyFill="1" applyBorder="1" applyAlignment="1">
      <x:alignment horizontal="general" vertical="bottom" wrapText="0"/>
    </x:xf>
    <x:xf numFmtId="164" fontId="11" fillId="10" borderId="7" xfId="0" applyNumberFormat="1" applyFont="1" applyFill="1" applyBorder="1" applyAlignment="1">
      <x:alignment horizontal="general" vertical="bottom" wrapText="0"/>
    </x:xf>
    <x:xf numFmtId="164" fontId="68" fillId="12" borderId="7" xfId="0" applyNumberFormat="1" applyFont="1" applyFill="1" applyBorder="1" applyAlignment="1">
      <x:alignment horizontal="general" vertical="bottom" wrapText="1"/>
    </x:xf>
    <x:xf numFmtId="164" fontId="33" fillId="8" borderId="7" xfId="0" applyNumberFormat="1" applyFont="1" applyFill="1" applyBorder="1" applyAlignment="1">
      <x:alignment horizontal="general" vertical="bottom" wrapText="0"/>
    </x:xf>
    <x:xf numFmtId="164" fontId="39" fillId="8" borderId="7" xfId="0" applyNumberFormat="1" applyFont="1" applyFill="1" applyBorder="1" applyAlignment="1">
      <x:alignment horizontal="general" vertical="bottom" wrapText="1"/>
    </x:xf>
    <x:xf numFmtId="164" fontId="69" fillId="4" borderId="7" xfId="0" applyNumberFormat="1" applyFont="1" applyFill="1" applyBorder="1" applyAlignment="1">
      <x:alignment horizontal="general" vertical="bottom" wrapText="0"/>
    </x:xf>
    <x:xf numFmtId="171" fontId="0" fillId="0" borderId="7" xfId="0" applyNumberFormat="1" applyFont="1" applyFill="1" applyBorder="1" applyAlignment="1">
      <x:alignment horizontal="general" vertical="bottom" wrapText="0"/>
    </x:xf>
    <x:xf numFmtId="171" fontId="0" fillId="5" borderId="7" xfId="0" applyNumberFormat="1" applyFont="1" applyFill="1" applyBorder="1" applyAlignment="1">
      <x:alignment horizontal="general" vertical="bottom" wrapText="0"/>
    </x:xf>
    <x:xf numFmtId="171" fontId="0" fillId="12" borderId="7" xfId="0" applyNumberFormat="1" applyFont="1" applyFill="1" applyBorder="1" applyAlignment="1">
      <x:alignment horizontal="general" vertical="bottom" wrapText="0"/>
    </x:xf>
    <x:xf numFmtId="164" fontId="47" fillId="3" borderId="7" xfId="0" applyNumberFormat="1" applyFont="1" applyFill="1" applyBorder="1" applyAlignment="1">
      <x:alignment horizontal="general" vertical="bottom" wrapText="0"/>
    </x:xf>
    <x:xf numFmtId="164" fontId="0" fillId="7" borderId="7" xfId="0" applyNumberFormat="1" applyFont="1" applyFill="1" applyBorder="1" applyAlignment="1">
      <x:alignment horizontal="general" vertical="bottom" wrapText="0"/>
    </x:xf>
    <x:xf numFmtId="164" fontId="63" fillId="0" borderId="7" xfId="0" applyNumberFormat="1" applyFont="1" applyFill="1" applyBorder="1" applyAlignment="1">
      <x:alignment horizontal="general" vertical="bottom" wrapText="0"/>
    </x:xf>
    <x:xf numFmtId="164" fontId="70" fillId="0" borderId="7" xfId="0" applyNumberFormat="1" applyFont="1" applyFill="1" applyBorder="1" applyAlignment="1">
      <x:alignment horizontal="general" vertical="bottom" wrapText="0"/>
    </x:xf>
    <x:xf numFmtId="169" fontId="72" fillId="17" borderId="8" xfId="0" applyNumberFormat="1" applyFont="1" applyFill="1" applyBorder="1" applyAlignment="1">
      <x:alignment horizontal="general" vertical="bottom" wrapText="0"/>
    </x:xf>
    <x:xf numFmtId="164" fontId="35" fillId="0" borderId="7" xfId="0" applyNumberFormat="1" applyFont="1" applyFill="1" applyBorder="1" applyAlignment="1">
      <x:alignment horizontal="general" vertical="bottom" wrapText="0"/>
    </x:xf>
    <x:xf numFmtId="170" fontId="73" fillId="0" borderId="8" xfId="0" applyNumberFormat="1" applyFont="1" applyFill="1" applyBorder="1" applyAlignment="1">
      <x:alignment horizontal="general" vertical="bottom" wrapText="0"/>
    </x:xf>
    <x:xf numFmtId="164" fontId="65" fillId="8" borderId="7" xfId="0" applyNumberFormat="1" applyFont="1" applyFill="1" applyBorder="1" applyAlignment="1">
      <x:alignment horizontal="general" vertical="bottom" wrapText="1"/>
    </x:xf>
    <x:xf numFmtId="164" fontId="16" fillId="19" borderId="7" xfId="0" applyNumberFormat="1" applyFont="1" applyFill="1" applyBorder="1" applyAlignment="1">
      <x:alignment horizontal="general" vertical="bottom" wrapText="1"/>
    </x:xf>
    <x:xf numFmtId="164" fontId="31" fillId="5" borderId="7" xfId="0" applyNumberFormat="1" applyFont="1" applyFill="1" applyBorder="1" applyAlignment="1">
      <x:alignment horizontal="general" vertical="bottom" wrapText="0"/>
    </x:xf>
    <x:xf numFmtId="164" fontId="31" fillId="12" borderId="7" xfId="0" applyNumberFormat="1" applyFont="1" applyFill="1" applyBorder="1" applyAlignment="1">
      <x:alignment horizontal="general" vertical="bottom" wrapText="0"/>
    </x:xf>
    <x:xf numFmtId="171" fontId="31" fillId="0" borderId="7" xfId="0" applyNumberFormat="1" applyFont="1" applyFill="1" applyBorder="1" applyAlignment="1">
      <x:alignment horizontal="general" vertical="bottom" wrapText="1"/>
    </x:xf>
    <x:xf numFmtId="164" fontId="31" fillId="20" borderId="7" xfId="0" applyNumberFormat="1" applyFont="1" applyFill="1" applyBorder="1" applyAlignment="1">
      <x:alignment horizontal="general" vertical="bottom" wrapText="0"/>
    </x:xf>
    <x:xf numFmtId="175" fontId="0" fillId="5" borderId="7" xfId="0" applyNumberFormat="1" applyFont="1" applyFill="1" applyBorder="1" applyAlignment="1">
      <x:alignment horizontal="general" vertical="bottom" wrapText="0"/>
    </x:xf>
    <x:xf numFmtId="175" fontId="0" fillId="0" borderId="7" xfId="0" applyNumberFormat="1" applyFont="1" applyFill="1" applyBorder="1" applyAlignment="1">
      <x:alignment horizontal="general" vertical="bottom" wrapText="0"/>
    </x:xf>
    <x:xf numFmtId="173" fontId="31" fillId="20" borderId="7" xfId="0" applyNumberFormat="1" applyFont="1" applyFill="1" applyBorder="1" applyAlignment="1">
      <x:alignment horizontal="general" vertical="bottom" wrapText="0"/>
    </x:xf>
    <x:xf numFmtId="175" fontId="31" fillId="5" borderId="7" xfId="0" applyNumberFormat="1" applyFont="1" applyFill="1" applyBorder="1" applyAlignment="1">
      <x:alignment horizontal="general" vertical="bottom" wrapText="0"/>
    </x:xf>
    <x:xf numFmtId="175" fontId="31" fillId="0" borderId="7" xfId="0" applyNumberFormat="1" applyFont="1" applyFill="1" applyBorder="1" applyAlignment="1">
      <x:alignment horizontal="general" vertical="bottom" wrapText="0"/>
    </x:xf>
    <x:xf numFmtId="164" fontId="74" fillId="0" borderId="7" xfId="0" applyNumberFormat="1" applyFont="1" applyFill="1" applyBorder="1" applyAlignment="1">
      <x:alignment horizontal="general" vertical="bottom" wrapText="0"/>
    </x:xf>
    <x:xf numFmtId="164" fontId="75" fillId="0" borderId="7" xfId="0" applyNumberFormat="1" applyFont="1" applyFill="1" applyBorder="1" applyAlignment="1">
      <x:alignment horizontal="general" vertical="bottom" wrapText="0"/>
    </x:xf>
    <x:xf numFmtId="164" fontId="76" fillId="21" borderId="7" xfId="0" applyNumberFormat="1" applyFont="1" applyFill="1" applyBorder="1" applyAlignment="1">
      <x:alignment horizontal="center" vertical="center" wrapText="1"/>
    </x:xf>
    <x:xf numFmtId="164" fontId="76" fillId="3" borderId="9" xfId="0" applyNumberFormat="1" applyFont="1" applyFill="1" applyBorder="1" applyAlignment="1">
      <x:alignment horizontal="center" vertical="center" wrapText="1"/>
    </x:xf>
    <x:xf numFmtId="164" fontId="76" fillId="22" borderId="9" xfId="0" applyNumberFormat="1" applyFont="1" applyFill="1" applyBorder="1" applyAlignment="1">
      <x:alignment horizontal="center" vertical="center" wrapText="1"/>
    </x:xf>
    <x:xf numFmtId="164" fontId="76" fillId="23" borderId="9" xfId="0" applyNumberFormat="1" applyFont="1" applyFill="1" applyBorder="1" applyAlignment="1">
      <x:alignment horizontal="center" vertical="center" wrapText="1"/>
    </x:xf>
    <x:xf numFmtId="164" fontId="76" fillId="24" borderId="9" xfId="0" applyNumberFormat="1" applyFont="1" applyFill="1" applyBorder="1" applyAlignment="1">
      <x:alignment horizontal="center" vertical="center" wrapText="1"/>
    </x:xf>
    <x:xf numFmtId="164" fontId="77" fillId="3" borderId="10" xfId="0" applyNumberFormat="1" applyFont="1" applyFill="1" applyBorder="1" applyAlignment="1">
      <x:alignment horizontal="center" vertical="center" wrapText="1"/>
    </x:xf>
    <x:xf numFmtId="164" fontId="77" fillId="3" borderId="11" xfId="0" applyNumberFormat="1" applyFont="1" applyFill="1" applyBorder="1" applyAlignment="1">
      <x:alignment horizontal="center" vertical="center" wrapText="1"/>
    </x:xf>
    <x:xf numFmtId="164" fontId="77" fillId="22" borderId="10" xfId="0" applyNumberFormat="1" applyFont="1" applyFill="1" applyBorder="1" applyAlignment="1">
      <x:alignment horizontal="center" vertical="center" wrapText="1"/>
    </x:xf>
    <x:xf numFmtId="164" fontId="77" fillId="22" borderId="11" xfId="0" applyNumberFormat="1" applyFont="1" applyFill="1" applyBorder="1" applyAlignment="1">
      <x:alignment horizontal="center" vertical="center" wrapText="1"/>
    </x:xf>
    <x:xf numFmtId="164" fontId="77" fillId="23" borderId="10" xfId="0" applyNumberFormat="1" applyFont="1" applyFill="1" applyBorder="1" applyAlignment="1">
      <x:alignment horizontal="center" vertical="center" wrapText="1"/>
    </x:xf>
    <x:xf numFmtId="164" fontId="77" fillId="23" borderId="11" xfId="0" applyNumberFormat="1" applyFont="1" applyFill="1" applyBorder="1" applyAlignment="1">
      <x:alignment horizontal="center" vertical="center" wrapText="1"/>
    </x:xf>
    <x:xf numFmtId="164" fontId="77" fillId="24" borderId="10" xfId="0" applyNumberFormat="1" applyFont="1" applyFill="1" applyBorder="1" applyAlignment="1">
      <x:alignment horizontal="center" vertical="center" wrapText="1"/>
    </x:xf>
    <x:xf numFmtId="164" fontId="77" fillId="24" borderId="11" xfId="0" applyNumberFormat="1" applyFont="1" applyFill="1" applyBorder="1" applyAlignment="1">
      <x:alignment horizontal="center" vertical="center" wrapText="1"/>
    </x:xf>
    <x:xf numFmtId="164" fontId="63" fillId="0" borderId="12" xfId="0" applyNumberFormat="1" applyFont="1" applyFill="1" applyBorder="1" applyAlignment="1">
      <x:alignment horizontal="center" vertical="center" wrapText="1"/>
    </x:xf>
    <x:xf numFmtId="165" fontId="36" fillId="0" borderId="8" xfId="0" applyNumberFormat="1" applyFont="1" applyFill="1" applyBorder="1" applyAlignment="1">
      <x:alignment horizontal="general" vertical="bottom" wrapText="0"/>
    </x:xf>
    <x:xf numFmtId="170" fontId="36" fillId="0" borderId="8" xfId="0" applyNumberFormat="1" applyFont="1" applyFill="1" applyBorder="1" applyAlignment="1">
      <x:alignment horizontal="general" vertical="bottom" wrapText="0"/>
    </x:xf>
    <x:xf numFmtId="167" fontId="36" fillId="0" borderId="8" xfId="0" applyNumberFormat="1" applyFont="1" applyFill="1" applyBorder="1" applyAlignment="1">
      <x:alignment horizontal="general" vertical="bottom" wrapText="0"/>
    </x:xf>
    <x:xf numFmtId="167" fontId="36" fillId="0" borderId="13" xfId="0" applyNumberFormat="1" applyFont="1" applyFill="1" applyBorder="1" applyAlignment="1">
      <x:alignment horizontal="general" vertical="bottom" wrapText="0"/>
    </x:xf>
    <x:xf numFmtId="165" fontId="29" fillId="0" borderId="8" xfId="0" applyNumberFormat="1" applyFont="1" applyFill="1" applyBorder="1" applyAlignment="1">
      <x:alignment horizontal="general" vertical="bottom" wrapText="0"/>
    </x:xf>
    <x:xf numFmtId="164" fontId="29" fillId="0" borderId="8" xfId="0" applyNumberFormat="1" applyFont="1" applyFill="1" applyBorder="1" applyAlignment="1">
      <x:alignment horizontal="general" vertical="bottom" wrapText="0"/>
    </x:xf>
    <x:xf numFmtId="167" fontId="29" fillId="0" borderId="8" xfId="0" applyNumberFormat="1" applyFont="1" applyFill="1" applyBorder="1" applyAlignment="1">
      <x:alignment horizontal="general" vertical="bottom" wrapText="0"/>
    </x:xf>
    <x:xf numFmtId="164" fontId="50" fillId="8" borderId="7" xfId="0" applyNumberFormat="1" applyFont="1" applyFill="1" applyBorder="1" applyAlignment="1">
      <x:alignment horizontal="general" vertical="bottom" wrapText="1"/>
    </x:xf>
    <x:xf numFmtId="164" fontId="18" fillId="4" borderId="7" xfId="0" applyNumberFormat="1" applyFont="1" applyFill="1" applyBorder="1" applyAlignment="1">
      <x:alignment horizontal="general" vertical="bottom" wrapText="0"/>
    </x:xf>
    <x:xf numFmtId="173" fontId="18" fillId="5" borderId="7" xfId="0" applyNumberFormat="1" applyFont="1" applyFill="1" applyBorder="1" applyAlignment="1">
      <x:alignment horizontal="general" vertical="bottom" wrapText="0"/>
    </x:xf>
    <x:xf numFmtId="176" fontId="18" fillId="5" borderId="7" xfId="0" applyNumberFormat="1" applyFont="1" applyFill="1" applyBorder="1" applyAlignment="1">
      <x:alignment horizontal="general" vertical="bottom" wrapText="0"/>
    </x:xf>
    <x:xf numFmtId="164" fontId="79" fillId="0" borderId="7" xfId="0" applyNumberFormat="1" applyFont="1" applyFill="1" applyBorder="1" applyAlignment="1">
      <x:alignment horizontal="general" vertical="bottom" wrapText="0"/>
    </x:xf>
    <x:xf numFmtId="164" fontId="50" fillId="3" borderId="8" xfId="0" applyNumberFormat="1" applyFont="1" applyFill="1" applyBorder="1" applyAlignment="1">
      <x:alignment horizontal="general" vertical="top" wrapText="1"/>
    </x:xf>
    <x:xf numFmtId="164" fontId="36" fillId="18" borderId="8" xfId="0" applyNumberFormat="1" applyFont="1" applyFill="1" applyBorder="1" applyAlignment="1">
      <x:alignment horizontal="general" vertical="top" wrapText="1"/>
    </x:xf>
    <x:xf numFmtId="164" fontId="50" fillId="8" borderId="7" xfId="0" applyNumberFormat="1" applyFont="1" applyFill="1" applyBorder="1" applyAlignment="1">
      <x:alignment horizontal="center" vertical="center" wrapText="1"/>
    </x:xf>
    <x:xf numFmtId="164" fontId="33" fillId="8" borderId="7" xfId="0" applyNumberFormat="1" applyFont="1" applyFill="1" applyBorder="1" applyAlignment="1">
      <x:alignment horizontal="center" vertical="center" wrapText="1"/>
    </x:xf>
    <x:xf numFmtId="165" fontId="31" fillId="0" borderId="7" xfId="0" applyNumberFormat="1" applyFont="1" applyFill="1" applyBorder="1" applyAlignment="1">
      <x:alignment horizontal="general" vertical="bottom" wrapText="1"/>
    </x:xf>
    <x:xf numFmtId="165" fontId="0" fillId="4" borderId="7" xfId="0" applyNumberFormat="1" applyFont="1" applyFill="1" applyBorder="1" applyAlignment="1">
      <x:alignment horizontal="general" vertical="bottom" wrapText="1"/>
    </x:xf>
    <x:xf numFmtId="165" fontId="11" fillId="7" borderId="7" xfId="0" applyNumberFormat="1" applyFont="1" applyFill="1" applyBorder="1" applyAlignment="1">
      <x:alignment horizontal="general" vertical="bottom" wrapText="1"/>
    </x:xf>
    <x:xf numFmtId="165" fontId="0" fillId="0" borderId="7" xfId="0" applyNumberFormat="1" applyFont="1" applyFill="1" applyBorder="1" applyAlignment="1">
      <x:alignment horizontal="general" vertical="bottom" wrapText="1"/>
    </x:xf>
    <x:xf numFmtId="164" fontId="80" fillId="25" borderId="7" xfId="0" applyNumberFormat="1" applyFont="1" applyFill="1" applyBorder="1" applyAlignment="1">
      <x:alignment horizontal="general" vertical="bottom" wrapText="0"/>
    </x:xf>
    <x:xf numFmtId="164" fontId="81" fillId="4" borderId="7" xfId="0" applyNumberFormat="1" applyFont="1" applyFill="1" applyBorder="1" applyAlignment="1">
      <x:alignment horizontal="general" vertical="top" wrapText="1"/>
    </x:xf>
    <x:xf numFmtId="164" fontId="30" fillId="0" borderId="7" xfId="0" applyNumberFormat="1" applyFont="1" applyFill="1" applyBorder="1" applyAlignment="1">
      <x:alignment horizontal="general" vertical="top" wrapText="1"/>
    </x:xf>
    <x:xf numFmtId="164" fontId="82" fillId="3" borderId="7" xfId="0" applyNumberFormat="1" applyFont="1" applyFill="1" applyBorder="1" applyAlignment="1">
      <x:alignment horizontal="general" vertical="bottom" wrapText="1"/>
    </x:xf>
    <x:xf numFmtId="166" fontId="83" fillId="25" borderId="8" xfId="0" applyNumberFormat="1" applyFont="1" applyFill="1" applyBorder="1" applyAlignment="1">
      <x:alignment horizontal="general" vertical="top" wrapText="1"/>
    </x:xf>
    <x:xf numFmtId="164" fontId="51" fillId="0" borderId="7" xfId="0" applyNumberFormat="1" applyFont="1" applyFill="1" applyBorder="1" applyAlignment="1">
      <x:alignment horizontal="general" vertical="bottom" wrapText="1"/>
    </x:xf>
    <x:xf numFmtId="166" fontId="44" fillId="25" borderId="8" xfId="0" applyNumberFormat="1" applyFont="1" applyFill="1" applyBorder="1" applyAlignment="1">
      <x:alignment horizontal="general" vertical="top" wrapText="1"/>
    </x:xf>
    <x:xf numFmtId="164" fontId="84" fillId="0" borderId="8" xfId="0" applyNumberFormat="1" applyFont="1" applyFill="1" applyBorder="1" applyAlignment="1">
      <x:alignment horizontal="general" vertical="top" wrapText="1"/>
    </x:xf>
    <x:xf numFmtId="166" fontId="84" fillId="7" borderId="8" xfId="0" applyNumberFormat="1" applyFont="1" applyFill="1" applyBorder="1" applyAlignment="1">
      <x:alignment horizontal="center" vertical="top" wrapText="1"/>
    </x:xf>
    <x:xf numFmtId="171" fontId="72" fillId="11" borderId="8" xfId="0" applyNumberFormat="1" applyFont="1" applyFill="1" applyBorder="1" applyAlignment="1">
      <x:alignment horizontal="general" vertical="top" wrapText="1"/>
    </x:xf>
    <x:xf numFmtId="164" fontId="86" fillId="25" borderId="7" xfId="0" applyNumberFormat="1" applyFont="1" applyFill="1" applyBorder="1" applyAlignment="1">
      <x:alignment horizontal="general" vertical="bottom" wrapText="1"/>
    </x:xf>
    <x:xf numFmtId="164" fontId="62" fillId="11" borderId="7" xfId="0" applyNumberFormat="1" applyFont="1" applyFill="1" applyBorder="1" applyAlignment="1">
      <x:alignment horizontal="general" vertical="top" wrapText="1"/>
    </x:xf>
    <x:xf numFmtId="164" fontId="50" fillId="8" borderId="8" xfId="0" applyNumberFormat="1" applyFont="1" applyFill="1" applyBorder="1" applyAlignment="1">
      <x:alignment horizontal="center" vertical="top" wrapText="1"/>
    </x:xf>
    <x:xf numFmtId="164" fontId="63" fillId="9" borderId="7" xfId="0" applyNumberFormat="1" applyFont="1" applyFill="1" applyBorder="1" applyAlignment="1">
      <x:alignment horizontal="general" vertical="bottom" wrapText="0"/>
    </x:xf>
    <x:xf numFmtId="164" fontId="34" fillId="3" borderId="7" xfId="0" applyNumberFormat="1" applyFont="1" applyFill="1" applyBorder="1" applyAlignment="1">
      <x:alignment horizontal="general" vertical="bottom" wrapText="1"/>
    </x:xf>
    <x:xf numFmtId="164" fontId="36" fillId="0" borderId="7" xfId="0" applyNumberFormat="1" applyFont="1" applyFill="1" applyBorder="1" applyAlignment="1">
      <x:alignment horizontal="general" vertical="bottom" wrapText="1"/>
    </x:xf>
    <x:xf numFmtId="164" fontId="62" fillId="0" borderId="7" xfId="0" applyNumberFormat="1" applyFont="1" applyFill="1" applyBorder="1" applyAlignment="1">
      <x:alignment horizontal="general" vertical="bottom" wrapText="1"/>
    </x:xf>
    <x:xf numFmtId="164" fontId="32" fillId="4" borderId="7" xfId="0" applyNumberFormat="1" applyFont="1" applyFill="1" applyBorder="1" applyAlignment="1">
      <x:alignment horizontal="general" vertical="top" wrapText="1"/>
    </x:xf>
    <x:xf numFmtId="164" fontId="72" fillId="17" borderId="8" xfId="0" applyNumberFormat="1" applyFont="1" applyFill="1" applyBorder="1" applyAlignment="1">
      <x:alignment horizontal="general" vertical="top" wrapText="1"/>
    </x:xf>
    <x:xf numFmtId="164" fontId="51" fillId="0" borderId="8" xfId="0" applyNumberFormat="1" applyFont="1" applyFill="1" applyBorder="1" applyAlignment="1">
      <x:alignment horizontal="general" vertical="top" wrapText="1"/>
    </x:xf>
    <x:xf numFmtId="164" fontId="43" fillId="6" borderId="7" xfId="0" applyNumberFormat="1" applyFont="1" applyFill="1" applyBorder="1" applyAlignment="1">
      <x:alignment horizontal="general" vertical="bottom" wrapText="1"/>
    </x:xf>
    <x:xf numFmtId="164" fontId="45" fillId="0" borderId="7" xfId="0" applyNumberFormat="1" applyFont="1" applyFill="1" applyBorder="1" applyAlignment="1">
      <x:alignment horizontal="general" vertical="bottom" wrapText="1"/>
    </x:xf>
    <x:xf numFmtId="164" fontId="11" fillId="5" borderId="7" xfId="0" applyNumberFormat="1" applyFont="1" applyFill="1" applyBorder="1" applyAlignment="1">
      <x:alignment horizontal="general" vertical="bottom" wrapText="1"/>
    </x:xf>
    <x:xf numFmtId="164" fontId="72" fillId="17" borderId="7" xfId="0" applyNumberFormat="1" applyFont="1" applyFill="1" applyBorder="1" applyAlignment="1">
      <x:alignment horizontal="general" vertical="bottom" wrapText="1"/>
    </x:xf>
    <x:xf numFmtId="164" fontId="87" fillId="12" borderId="7" xfId="0" applyNumberFormat="1" applyFont="1" applyFill="1" applyBorder="1" applyAlignment="1">
      <x:alignment horizontal="general" vertical="bottom" wrapText="1"/>
    </x:xf>
    <x:xf numFmtId="164" fontId="36" fillId="7" borderId="8" xfId="0" applyNumberFormat="1" applyFont="1" applyFill="1" applyBorder="1" applyAlignment="1">
      <x:alignment horizontal="general" vertical="top" wrapText="1"/>
    </x:xf>
    <x:xf numFmtId="164" fontId="72" fillId="17" borderId="7" xfId="0" applyNumberFormat="1" applyFont="1" applyFill="1" applyBorder="1" applyAlignment="1">
      <x:alignment horizontal="general" vertical="bottom" wrapText="0"/>
    </x:xf>
    <x:xf numFmtId="164" fontId="66" fillId="0" borderId="8" xfId="0" applyNumberFormat="1" applyFont="1" applyFill="1" applyBorder="1" applyAlignment="1">
      <x:alignment horizontal="general" vertical="bottom" wrapText="1"/>
    </x:xf>
    <x:xf numFmtId="164" fontId="66" fillId="7" borderId="8" xfId="0" applyNumberFormat="1" applyFont="1" applyFill="1" applyBorder="1" applyAlignment="1">
      <x:alignment horizontal="general" vertical="bottom" wrapText="1"/>
    </x:xf>
    <x:xf numFmtId="164" fontId="66" fillId="0" borderId="8" xfId="0" applyNumberFormat="1" applyFont="1" applyFill="1" applyBorder="1" applyAlignment="1">
      <x:alignment horizontal="general" vertical="bottom" wrapText="0"/>
    </x:xf>
    <x:xf numFmtId="164" fontId="66" fillId="17" borderId="8" xfId="0" applyNumberFormat="1" applyFont="1" applyFill="1" applyBorder="1" applyAlignment="1">
      <x:alignment horizontal="general" vertical="bottom" wrapText="1"/>
    </x:xf>
    <x:xf numFmtId="164" fontId="66" fillId="5" borderId="8" xfId="0" applyNumberFormat="1" applyFont="1" applyFill="1" applyBorder="1" applyAlignment="1">
      <x:alignment horizontal="general" vertical="bottom" wrapText="1"/>
    </x:xf>
    <x:xf numFmtId="164" fontId="27" fillId="4" borderId="7" xfId="0" applyNumberFormat="1" applyFont="1" applyFill="1" applyBorder="1" applyAlignment="1">
      <x:alignment horizontal="general" vertical="bottom" wrapText="1"/>
    </x:xf>
    <x:xf numFmtId="173" fontId="0" fillId="0" borderId="8" xfId="0" applyNumberFormat="1" applyFont="1" applyFill="1" applyBorder="1" applyAlignment="1">
      <x:alignment horizontal="general" vertical="top" wrapText="1"/>
    </x:xf>
    <x:xf numFmtId="164" fontId="54" fillId="0" borderId="8" xfId="0" applyNumberFormat="1" applyFont="1" applyFill="1" applyBorder="1" applyAlignment="1">
      <x:alignment horizontal="general" vertical="bottom" wrapText="0"/>
    </x:xf>
    <x:xf numFmtId="164" fontId="54" fillId="9" borderId="8" xfId="0" applyNumberFormat="1" applyFont="1" applyFill="1" applyBorder="1" applyAlignment="1">
      <x:alignment horizontal="general" vertical="bottom" wrapText="0"/>
    </x:xf>
    <x:xf numFmtId="164" fontId="89" fillId="6" borderId="7" xfId="0" applyNumberFormat="1" applyFont="1" applyFill="1" applyBorder="1" applyAlignment="1">
      <x:alignment horizontal="general" vertical="bottom" wrapText="0"/>
    </x:xf>
    <x:xf numFmtId="164" fontId="90" fillId="4" borderId="7" xfId="0" applyNumberFormat="1" applyFont="1" applyFill="1" applyBorder="1" applyAlignment="1">
      <x:alignment horizontal="general" vertical="top" wrapText="1"/>
    </x:xf>
    <x:xf numFmtId="164" fontId="34" fillId="3" borderId="7" xfId="0" applyNumberFormat="1" applyFont="1" applyFill="1" applyBorder="1" applyAlignment="1">
      <x:alignment horizontal="general" vertical="bottom" wrapText="0"/>
    </x:xf>
    <x:xf numFmtId="164" fontId="65" fillId="8" borderId="8" xfId="0" applyNumberFormat="1" applyFont="1" applyFill="1" applyBorder="1" applyAlignment="1">
      <x:alignment horizontal="general" vertical="top" wrapText="1"/>
    </x:xf>
    <x:xf numFmtId="164" fontId="14" fillId="0" borderId="8" xfId="0" applyNumberFormat="1" applyFont="1" applyFill="1" applyBorder="1" applyAlignment="1">
      <x:alignment horizontal="general" vertical="top" wrapText="1"/>
    </x:xf>
    <x:xf numFmtId="165" fontId="14" fillId="0" borderId="8" xfId="0" applyNumberFormat="1" applyFont="1" applyFill="1" applyBorder="1" applyAlignment="1">
      <x:alignment horizontal="general" vertical="top" wrapText="1"/>
    </x:xf>
    <x:xf numFmtId="164" fontId="92" fillId="17" borderId="8" xfId="0" applyNumberFormat="1" applyFont="1" applyFill="1" applyBorder="1" applyAlignment="1">
      <x:alignment horizontal="general" vertical="top" wrapText="1"/>
    </x:xf>
    <x:xf numFmtId="164" fontId="92" fillId="0" borderId="8" xfId="0" applyNumberFormat="1" applyFont="1" applyFill="1" applyBorder="1" applyAlignment="1">
      <x:alignment horizontal="general" vertical="bottom" wrapText="1"/>
    </x:xf>
    <x:xf numFmtId="164" fontId="12" fillId="10" borderId="7" xfId="0" applyNumberFormat="1" applyFont="1" applyFill="1" applyBorder="1" applyAlignment="1">
      <x:alignment horizontal="general" vertical="bottom" wrapText="0"/>
    </x:xf>
    <x:xf numFmtId="165" fontId="0" fillId="0" borderId="8" xfId="0" applyNumberFormat="1" applyFont="1" applyFill="1" applyBorder="1" applyAlignment="1">
      <x:alignment horizontal="general" vertical="bottom" wrapText="0"/>
    </x:xf>
    <x:xf numFmtId="164" fontId="90" fillId="4" borderId="7" xfId="0" applyNumberFormat="1" applyFont="1" applyFill="1" applyBorder="1" applyAlignment="1">
      <x:alignment horizontal="general" vertical="bottom" wrapText="0"/>
    </x:xf>
    <x:xf numFmtId="164" fontId="92" fillId="0" borderId="8" xfId="0" applyNumberFormat="1" applyFont="1" applyFill="1" applyBorder="1" applyAlignment="1">
      <x:alignment horizontal="general" vertical="top" wrapText="1"/>
    </x:xf>
    <x:xf numFmtId="164" fontId="93" fillId="0" borderId="8" xfId="0" applyNumberFormat="1" applyFont="1" applyFill="1" applyBorder="1" applyAlignment="1">
      <x:alignment horizontal="general" vertical="top" wrapText="1"/>
    </x:xf>
    <x:xf numFmtId="164" fontId="62" fillId="0" borderId="7" xfId="0" applyNumberFormat="1" applyFont="1" applyFill="1" applyBorder="1" applyAlignment="1">
      <x:alignment horizontal="general" vertical="bottom" wrapText="0"/>
    </x:xf>
    <x:xf numFmtId="164" fontId="65" fillId="8" borderId="8" xfId="0" applyNumberFormat="1" applyFont="1" applyFill="1" applyBorder="1" applyAlignment="1">
      <x:alignment horizontal="general" vertical="bottom" wrapText="0"/>
    </x:xf>
    <x:xf numFmtId="164" fontId="92" fillId="0" borderId="8" xfId="0" applyNumberFormat="1" applyFont="1" applyFill="1" applyBorder="1" applyAlignment="1">
      <x:alignment horizontal="general" vertical="bottom" wrapText="0"/>
    </x:xf>
    <x:xf numFmtId="170" fontId="92" fillId="0" borderId="8" xfId="0" applyNumberFormat="1" applyFont="1" applyFill="1" applyBorder="1" applyAlignment="1">
      <x:alignment horizontal="general" vertical="bottom" wrapText="0"/>
    </x:xf>
    <x:xf numFmtId="165" fontId="92" fillId="0" borderId="8" xfId="0" applyNumberFormat="1" applyFont="1" applyFill="1" applyBorder="1" applyAlignment="1">
      <x:alignment horizontal="general" vertical="bottom" wrapText="0"/>
    </x:xf>
    <x:xf numFmtId="164" fontId="36" fillId="9" borderId="8" xfId="0" applyNumberFormat="1" applyFont="1" applyFill="1" applyBorder="1" applyAlignment="1">
      <x:alignment horizontal="general" vertical="bottom" wrapText="1"/>
    </x:xf>
    <x:xf numFmtId="164" fontId="36" fillId="0" borderId="7" xfId="0" applyNumberFormat="1" applyFont="1" applyFill="1" applyBorder="1" applyAlignment="1">
      <x:alignment horizontal="general" vertical="top" wrapText="1"/>
    </x:xf>
    <x:xf numFmtId="164" fontId="16" fillId="26" borderId="0" xfId="0" applyNumberFormat="1" applyFont="1" applyFill="1" applyBorder="1" applyAlignment="1">
      <x:alignment horizontal="general" vertical="center" wrapText="0"/>
    </x:xf>
    <x:xf numFmtId="164" fontId="0" fillId="26" borderId="0" xfId="0" applyNumberFormat="1" applyFont="1" applyFill="1" applyBorder="1" applyAlignment="1">
      <x:alignment horizontal="general" vertical="bottom" wrapText="0"/>
    </x:xf>
    <x:xf numFmtId="164" fontId="38" fillId="26" borderId="0" xfId="0" applyNumberFormat="1" applyFont="1" applyFill="1" applyBorder="1" applyAlignment="1">
      <x:alignment horizontal="general" vertical="bottom" wrapText="1"/>
    </x:xf>
    <x:xf numFmtId="164" fontId="50" fillId="26" borderId="0" xfId="0" applyNumberFormat="1" applyFont="1" applyFill="1" applyBorder="1" applyAlignment="1">
      <x:alignment horizontal="general" vertical="center" wrapText="1"/>
    </x:xf>
    <x:xf numFmtId="164" fontId="31" fillId="26" borderId="0" xfId="0" applyNumberFormat="1" applyFont="1" applyFill="1" applyBorder="1" applyAlignment="1">
      <x:alignment horizontal="general" vertical="bottom" wrapText="0"/>
    </x:xf>
    <x:xf numFmtId="173" fontId="31" fillId="26" borderId="0" xfId="0" applyNumberFormat="1" applyFont="1" applyFill="1" applyBorder="1" applyAlignment="1">
      <x:alignment horizontal="general" vertical="bottom" wrapText="0"/>
    </x:xf>
    <x:xf numFmtId="170" fontId="31" fillId="26" borderId="0" xfId="0" applyNumberFormat="1" applyFont="1" applyFill="1" applyBorder="1" applyAlignment="1">
      <x:alignment horizontal="general" vertical="bottom" wrapText="0"/>
    </x:xf>
    <x:xf numFmtId="164" fontId="53" fillId="26" borderId="0" xfId="0" applyNumberFormat="1" applyFont="1" applyFill="1" applyBorder="1" applyAlignment="1">
      <x:alignment horizontal="general" vertical="bottom" wrapText="0"/>
    </x:xf>
    <x:xf numFmtId="164" fontId="49" fillId="26" borderId="0" xfId="0" applyNumberFormat="1" applyFont="1" applyFill="1" applyBorder="1" applyAlignment="1">
      <x:alignment horizontal="general" vertical="top" wrapText="1"/>
    </x:xf>
    <x:xf numFmtId="164" fontId="49" fillId="26" borderId="0" xfId="0" applyNumberFormat="1" applyFont="1" applyFill="1" applyBorder="1" applyAlignment="1">
      <x:alignment horizontal="general" vertical="bottom" wrapText="1"/>
    </x:xf>
    <x:xf numFmtId="164" fontId="16" fillId="26" borderId="7" xfId="0" applyNumberFormat="1" applyFont="1" applyFill="1" applyBorder="1" applyAlignment="1">
      <x:alignment horizontal="general" vertical="center" wrapText="0"/>
    </x:xf>
    <x:xf numFmtId="164" fontId="0" fillId="26" borderId="7" xfId="0" applyNumberFormat="1" applyFont="1" applyFill="1" applyBorder="1" applyAlignment="1">
      <x:alignment horizontal="general" vertical="bottom" wrapText="0"/>
    </x:xf>
    <x:xf numFmtId="164" fontId="38" fillId="26" borderId="7" xfId="0" applyNumberFormat="1" applyFont="1" applyFill="1" applyBorder="1" applyAlignment="1">
      <x:alignment horizontal="general" vertical="bottom" wrapText="1"/>
    </x:xf>
    <x:xf numFmtId="164" fontId="50" fillId="26" borderId="7" xfId="0" applyNumberFormat="1" applyFont="1" applyFill="1" applyBorder="1" applyAlignment="1">
      <x:alignment horizontal="general" vertical="center" wrapText="1"/>
    </x:xf>
    <x:xf numFmtId="164" fontId="31" fillId="26" borderId="7" xfId="0" applyNumberFormat="1" applyFont="1" applyFill="1" applyBorder="1" applyAlignment="1">
      <x:alignment horizontal="general" vertical="bottom" wrapText="0"/>
    </x:xf>
    <x:xf numFmtId="173" fontId="31" fillId="26" borderId="7" xfId="0" applyNumberFormat="1" applyFont="1" applyFill="1" applyBorder="1" applyAlignment="1">
      <x:alignment horizontal="general" vertical="bottom" wrapText="0"/>
    </x:xf>
    <x:xf numFmtId="170" fontId="31" fillId="26" borderId="7" xfId="0" applyNumberFormat="1" applyFont="1" applyFill="1" applyBorder="1" applyAlignment="1">
      <x:alignment horizontal="general" vertical="bottom" wrapText="0"/>
    </x:xf>
    <x:xf numFmtId="164" fontId="53" fillId="26" borderId="7" xfId="0" applyNumberFormat="1" applyFont="1" applyFill="1" applyBorder="1" applyAlignment="1">
      <x:alignment horizontal="general" vertical="bottom" wrapText="0"/>
    </x:xf>
    <x:xf numFmtId="164" fontId="49" fillId="26" borderId="7" xfId="0" applyNumberFormat="1" applyFont="1" applyFill="1" applyBorder="1" applyAlignment="1">
      <x:alignment horizontal="general" vertical="top" wrapText="1"/>
    </x:xf>
    <x:xf numFmtId="164" fontId="49" fillId="26" borderId="7" xfId="0" applyNumberFormat="1" applyFont="1" applyFill="1" applyBorder="1" applyAlignment="1">
      <x:alignment horizontal="general" vertical="bottom" wrapText="1"/>
    </x:xf>
    <x:xf numFmtId="164" fontId="24" fillId="26" borderId="0" xfId="0" applyNumberFormat="1" applyFont="1" applyFill="1" applyBorder="1" applyAlignment="1">
      <x:alignment horizontal="general" vertical="center" wrapText="0"/>
    </x:xf>
    <x:xf numFmtId="164" fontId="6" fillId="26" borderId="0" xfId="0" applyNumberFormat="1" applyFont="1" applyFill="1" applyBorder="1" applyAlignment="1">
      <x:alignment horizontal="general" vertical="bottom" wrapText="0"/>
    </x:xf>
    <x:xf numFmtId="164" fontId="87" fillId="26" borderId="0" xfId="0" applyNumberFormat="1" applyFont="1" applyFill="1" applyBorder="1" applyAlignment="1">
      <x:alignment horizontal="general" vertical="bottom" wrapText="1"/>
    </x:xf>
    <x:xf numFmtId="164" fontId="24" fillId="26" borderId="0" xfId="0" applyNumberFormat="1" applyFont="1" applyFill="1" applyBorder="1" applyAlignment="1">
      <x:alignment horizontal="general" vertical="center" wrapText="1"/>
    </x:xf>
    <x:xf numFmtId="164" fontId="14" fillId="26" borderId="0" xfId="0" applyNumberFormat="1" applyFont="1" applyFill="1" applyBorder="1" applyAlignment="1">
      <x:alignment horizontal="general" vertical="bottom" wrapText="0"/>
    </x:xf>
    <x:xf numFmtId="173" fontId="14" fillId="26" borderId="0" xfId="0" applyNumberFormat="1" applyFont="1" applyFill="1" applyBorder="1" applyAlignment="1">
      <x:alignment horizontal="general" vertical="bottom" wrapText="0"/>
    </x:xf>
    <x:xf numFmtId="170" fontId="14" fillId="26" borderId="0" xfId="0" applyNumberFormat="1" applyFont="1" applyFill="1" applyBorder="1" applyAlignment="1">
      <x:alignment horizontal="general" vertical="bottom" wrapText="0"/>
    </x:xf>
    <x:xf numFmtId="164" fontId="95" fillId="26" borderId="0" xfId="0" applyNumberFormat="1" applyFont="1" applyFill="1" applyBorder="1" applyAlignment="1">
      <x:alignment horizontal="general" vertical="bottom" wrapText="0"/>
    </x:xf>
    <x:xf numFmtId="164" fontId="26" fillId="26" borderId="0" xfId="0" applyNumberFormat="1" applyFont="1" applyFill="1" applyBorder="1" applyAlignment="1">
      <x:alignment horizontal="general" vertical="top" wrapText="1"/>
    </x:xf>
    <x:xf numFmtId="164" fontId="26" fillId="26" borderId="0" xfId="0" applyNumberFormat="1" applyFont="1" applyFill="1" applyBorder="1" applyAlignment="1">
      <x:alignment horizontal="general" vertical="bottom" wrapText="1"/>
    </x:xf>
    <x:xf numFmtId="164" fontId="24" fillId="26" borderId="7" xfId="0" applyNumberFormat="1" applyFont="1" applyFill="1" applyBorder="1" applyAlignment="1">
      <x:alignment horizontal="general" vertical="center" wrapText="0"/>
    </x:xf>
    <x:xf numFmtId="164" fontId="6" fillId="26" borderId="7" xfId="0" applyNumberFormat="1" applyFont="1" applyFill="1" applyBorder="1" applyAlignment="1">
      <x:alignment horizontal="general" vertical="bottom" wrapText="0"/>
    </x:xf>
    <x:xf numFmtId="164" fontId="87" fillId="26" borderId="7" xfId="0" applyNumberFormat="1" applyFont="1" applyFill="1" applyBorder="1" applyAlignment="1">
      <x:alignment horizontal="general" vertical="bottom" wrapText="1"/>
    </x:xf>
    <x:xf numFmtId="164" fontId="24" fillId="26" borderId="7" xfId="0" applyNumberFormat="1" applyFont="1" applyFill="1" applyBorder="1" applyAlignment="1">
      <x:alignment horizontal="general" vertical="center" wrapText="1"/>
    </x:xf>
    <x:xf numFmtId="164" fontId="14" fillId="26" borderId="7" xfId="0" applyNumberFormat="1" applyFont="1" applyFill="1" applyBorder="1" applyAlignment="1">
      <x:alignment horizontal="general" vertical="bottom" wrapText="0"/>
    </x:xf>
    <x:xf numFmtId="173" fontId="14" fillId="26" borderId="7" xfId="0" applyNumberFormat="1" applyFont="1" applyFill="1" applyBorder="1" applyAlignment="1">
      <x:alignment horizontal="general" vertical="bottom" wrapText="0"/>
    </x:xf>
    <x:xf numFmtId="170" fontId="14" fillId="26" borderId="7" xfId="0" applyNumberFormat="1" applyFont="1" applyFill="1" applyBorder="1" applyAlignment="1">
      <x:alignment horizontal="general" vertical="bottom" wrapText="0"/>
    </x:xf>
    <x:xf numFmtId="164" fontId="95" fillId="26" borderId="7" xfId="0" applyNumberFormat="1" applyFont="1" applyFill="1" applyBorder="1" applyAlignment="1">
      <x:alignment horizontal="general" vertical="bottom" wrapText="0"/>
    </x:xf>
    <x:xf numFmtId="164" fontId="26" fillId="26" borderId="7" xfId="0" applyNumberFormat="1" applyFont="1" applyFill="1" applyBorder="1" applyAlignment="1">
      <x:alignment horizontal="general" vertical="top" wrapText="1"/>
    </x:xf>
    <x:xf numFmtId="164" fontId="26" fillId="26" borderId="7" xfId="0" applyNumberFormat="1" applyFont="1" applyFill="1" applyBorder="1" applyAlignment="1">
      <x:alignment horizontal="general" vertical="bottom" wrapText="1"/>
    </x:xf>
    <x:xf numFmtId="164" fontId="24" fillId="27" borderId="0" xfId="0" applyNumberFormat="1" applyFont="1" applyFill="1" applyBorder="1" applyAlignment="1">
      <x:alignment horizontal="general" vertical="center" wrapText="0"/>
    </x:xf>
    <x:xf numFmtId="164" fontId="6" fillId="27" borderId="0" xfId="0" applyNumberFormat="1" applyFont="1" applyFill="1" applyBorder="1" applyAlignment="1">
      <x:alignment horizontal="general" vertical="bottom" wrapText="0"/>
    </x:xf>
    <x:xf numFmtId="164" fontId="24" fillId="27" borderId="7" xfId="0" applyNumberFormat="1" applyFont="1" applyFill="1" applyBorder="1" applyAlignment="1">
      <x:alignment horizontal="general" vertical="center" wrapText="0"/>
    </x:xf>
    <x:xf numFmtId="164" fontId="6" fillId="27" borderId="7" xfId="0" applyNumberFormat="1" applyFont="1" applyFill="1" applyBorder="1" applyAlignment="1">
      <x:alignment horizontal="general" vertical="bottom" wrapText="0"/>
    </x:xf>
    <x:xf numFmtId="164" fontId="96" fillId="27" borderId="0" xfId="0" applyNumberFormat="1" applyFont="1" applyFill="1" applyBorder="1" applyAlignment="1">
      <x:alignment horizontal="general" vertical="center" wrapText="0"/>
    </x:xf>
    <x:xf numFmtId="164" fontId="97" fillId="27" borderId="0" xfId="0" applyNumberFormat="1" applyFont="1" applyFill="1" applyBorder="1" applyAlignment="1">
      <x:alignment horizontal="general" vertical="bottom" wrapText="0"/>
    </x:xf>
    <x:xf numFmtId="164" fontId="96" fillId="27" borderId="7" xfId="0" applyNumberFormat="1" applyFont="1" applyFill="1" applyBorder="1" applyAlignment="1">
      <x:alignment horizontal="general" vertical="center" wrapText="0"/>
    </x:xf>
    <x:xf numFmtId="164" fontId="97" fillId="27" borderId="7" xfId="0" applyNumberFormat="1" applyFont="1" applyFill="1" applyBorder="1" applyAlignment="1">
      <x:alignment horizontal="general" vertical="bottom" wrapText="0"/>
    </x:xf>
    <x:xf numFmtId="164" fontId="87" fillId="28" borderId="0" xfId="0" applyNumberFormat="1" applyFont="1" applyFill="1" applyBorder="1" applyAlignment="1">
      <x:alignment horizontal="general" vertical="bottom" wrapText="1"/>
    </x:xf>
    <x:xf numFmtId="164" fontId="6" fillId="28" borderId="0" xfId="0" applyNumberFormat="1" applyFont="1" applyFill="1" applyBorder="1" applyAlignment="1">
      <x:alignment horizontal="general" vertical="bottom" wrapText="0"/>
    </x:xf>
    <x:xf numFmtId="164" fontId="87" fillId="28" borderId="7" xfId="0" applyNumberFormat="1" applyFont="1" applyFill="1" applyBorder="1" applyAlignment="1">
      <x:alignment horizontal="general" vertical="bottom" wrapText="1"/>
    </x:xf>
    <x:xf numFmtId="164" fontId="6" fillId="28" borderId="7" xfId="0" applyNumberFormat="1" applyFont="1" applyFill="1" applyBorder="1" applyAlignment="1">
      <x:alignment horizontal="general" vertical="bottom" wrapText="0"/>
    </x:xf>
    <x:xf numFmtId="164" fontId="38" fillId="28" borderId="0" xfId="0" applyNumberFormat="1" applyFont="1" applyFill="1" applyBorder="1" applyAlignment="1">
      <x:alignment horizontal="general" vertical="bottom" wrapText="1"/>
    </x:xf>
    <x:xf numFmtId="164" fontId="38" fillId="28" borderId="0" xfId="0" applyNumberFormat="1" applyFont="1" applyFill="1" applyBorder="1" applyAlignment="1">
      <x:alignment horizontal="general" vertical="bottom" wrapText="0"/>
    </x:xf>
    <x:xf numFmtId="164" fontId="38" fillId="28" borderId="7" xfId="0" applyNumberFormat="1" applyFont="1" applyFill="1" applyBorder="1" applyAlignment="1">
      <x:alignment horizontal="general" vertical="bottom" wrapText="1"/>
    </x:xf>
    <x:xf numFmtId="164" fontId="38" fillId="28" borderId="7" xfId="0" applyNumberFormat="1" applyFont="1" applyFill="1" applyBorder="1" applyAlignment="1">
      <x:alignment horizontal="general" vertical="bottom" wrapText="0"/>
    </x:xf>
    <x:xf numFmtId="164" fontId="24" fillId="29" borderId="0" xfId="0" applyNumberFormat="1" applyFont="1" applyFill="1" applyBorder="1" applyAlignment="1">
      <x:alignment horizontal="general" vertical="center" wrapText="1"/>
    </x:xf>
    <x:xf numFmtId="164" fontId="24" fillId="29" borderId="7" xfId="0" applyNumberFormat="1" applyFont="1" applyFill="1" applyBorder="1" applyAlignment="1">
      <x:alignment horizontal="general" vertical="center" wrapText="1"/>
    </x:xf>
    <x:xf numFmtId="164" fontId="50" fillId="29" borderId="0" xfId="0" applyNumberFormat="1" applyFont="1" applyFill="1" applyBorder="1" applyAlignment="1">
      <x:alignment horizontal="general" vertical="center" wrapText="1"/>
    </x:xf>
    <x:xf numFmtId="164" fontId="50" fillId="29" borderId="7" xfId="0" applyNumberFormat="1" applyFont="1" applyFill="1" applyBorder="1" applyAlignment="1">
      <x:alignment horizontal="general" vertical="center" wrapText="1"/>
    </x:xf>
    <x:xf numFmtId="200" fontId="14" fillId="26" borderId="0" xfId="0" applyNumberFormat="1" applyFont="1" applyFill="1" applyBorder="1" applyAlignment="1">
      <x:alignment horizontal="general" vertical="bottom" wrapText="0"/>
    </x:xf>
    <x:xf numFmtId="200" fontId="14" fillId="26" borderId="7" xfId="0" applyNumberFormat="1" applyFont="1" applyFill="1" applyBorder="1" applyAlignment="1">
      <x:alignment horizontal="general" vertical="bottom" wrapText="0"/>
    </x:xf>
    <x:xf numFmtId="201" fontId="14" fillId="26" borderId="0" xfId="0" applyNumberFormat="1" applyFont="1" applyFill="1" applyBorder="1" applyAlignment="1">
      <x:alignment horizontal="general" vertical="bottom" wrapText="0"/>
    </x:xf>
    <x:xf numFmtId="201" fontId="14" fillId="26" borderId="7" xfId="0" applyNumberFormat="1" applyFont="1" applyFill="1" applyBorder="1" applyAlignment="1">
      <x:alignment horizontal="general" vertical="bottom" wrapText="0"/>
    </x:xf>
    <x:xf numFmtId="200" fontId="14" fillId="30" borderId="0" xfId="0" applyNumberFormat="1" applyFont="1" applyFill="1" applyBorder="1" applyAlignment="1">
      <x:alignment horizontal="general" vertical="bottom" wrapText="0"/>
    </x:xf>
    <x:xf numFmtId="164" fontId="14" fillId="30" borderId="0" xfId="0" applyNumberFormat="1" applyFont="1" applyFill="1" applyBorder="1" applyAlignment="1">
      <x:alignment horizontal="general" vertical="bottom" wrapText="0"/>
    </x:xf>
    <x:xf numFmtId="201" fontId="14" fillId="30" borderId="0" xfId="0" applyNumberFormat="1" applyFont="1" applyFill="1" applyBorder="1" applyAlignment="1">
      <x:alignment horizontal="general" vertical="bottom" wrapText="0"/>
    </x:xf>
    <x:xf numFmtId="200" fontId="14" fillId="30" borderId="7" xfId="0" applyNumberFormat="1" applyFont="1" applyFill="1" applyBorder="1" applyAlignment="1">
      <x:alignment horizontal="general" vertical="bottom" wrapText="0"/>
    </x:xf>
    <x:xf numFmtId="164" fontId="14" fillId="30" borderId="7" xfId="0" applyNumberFormat="1" applyFont="1" applyFill="1" applyBorder="1" applyAlignment="1">
      <x:alignment horizontal="general" vertical="bottom" wrapText="0"/>
    </x:xf>
    <x:xf numFmtId="201" fontId="14" fillId="30" borderId="7" xfId="0" applyNumberFormat="1" applyFont="1" applyFill="1" applyBorder="1" applyAlignment="1">
      <x:alignment horizontal="general" vertical="bottom" wrapText="0"/>
    </x:xf>
    <x:xf numFmtId="164" fontId="14" fillId="31" borderId="0" xfId="0" applyNumberFormat="1" applyFont="1" applyFill="1" applyBorder="1" applyAlignment="1">
      <x:alignment horizontal="general" vertical="bottom" wrapText="0"/>
    </x:xf>
    <x:xf numFmtId="164" fontId="14" fillId="31" borderId="7" xfId="0" applyNumberFormat="1" applyFont="1" applyFill="1" applyBorder="1" applyAlignment="1">
      <x:alignment horizontal="general" vertical="bottom" wrapText="0"/>
    </x:xf>
    <x:xf numFmtId="164" fontId="14" fillId="26" borderId="0" xfId="0" applyNumberFormat="1" applyFont="1" applyFill="1" applyBorder="1" applyAlignment="1">
      <x:alignment horizontal="general" vertical="bottom" wrapText="1"/>
    </x:xf>
    <x:xf numFmtId="164" fontId="14" fillId="26" borderId="7" xfId="0" applyNumberFormat="1" applyFont="1" applyFill="1" applyBorder="1" applyAlignment="1">
      <x:alignment horizontal="general" vertical="bottom" wrapText="1"/>
    </x:xf>
    <x:xf numFmtId="164" fontId="6" fillId="32" borderId="0" xfId="0" applyNumberFormat="1" applyFont="1" applyFill="1" applyBorder="1" applyAlignment="1">
      <x:alignment horizontal="general" vertical="bottom" wrapText="0"/>
    </x:xf>
    <x:xf numFmtId="164" fontId="6" fillId="32" borderId="7" xfId="0" applyNumberFormat="1" applyFont="1" applyFill="1" applyBorder="1" applyAlignment="1">
      <x:alignment horizontal="general" vertical="bottom" wrapText="0"/>
    </x:xf>
    <x:xf numFmtId="164" fontId="33" fillId="32" borderId="0" xfId="0" applyNumberFormat="1" applyFont="1" applyFill="1" applyBorder="1" applyAlignment="1">
      <x:alignment horizontal="general" vertical="bottom" wrapText="0"/>
    </x:xf>
    <x:xf numFmtId="164" fontId="33" fillId="32" borderId="7" xfId="0" applyNumberFormat="1" applyFont="1" applyFill="1" applyBorder="1" applyAlignment="1">
      <x:alignment horizontal="general" vertical="bottom" wrapText="0"/>
    </x:xf>
    <x:xf numFmtId="173" fontId="6" fillId="26" borderId="0" xfId="0" applyNumberFormat="1" applyFont="1" applyFill="1" applyBorder="1" applyAlignment="1">
      <x:alignment horizontal="general" vertical="bottom" wrapText="0"/>
    </x:xf>
    <x:xf numFmtId="173" fontId="6" fillId="26" borderId="7" xfId="0" applyNumberFormat="1" applyFont="1" applyFill="1" applyBorder="1" applyAlignment="1">
      <x:alignment horizontal="general" vertical="bottom" wrapText="0"/>
    </x:xf>
    <x:xf numFmtId="201" fontId="6" fillId="26" borderId="0" xfId="0" applyNumberFormat="1" applyFont="1" applyFill="1" applyBorder="1" applyAlignment="1">
      <x:alignment horizontal="general" vertical="bottom" wrapText="0"/>
    </x:xf>
    <x:xf numFmtId="201" fontId="6" fillId="26" borderId="7" xfId="0" applyNumberFormat="1" applyFont="1" applyFill="1" applyBorder="1" applyAlignment="1">
      <x:alignment horizontal="general" vertical="bottom" wrapText="0"/>
    </x:xf>
    <x:xf numFmtId="173" fontId="6" fillId="28" borderId="0" xfId="0" applyNumberFormat="1" applyFont="1" applyFill="1" applyBorder="1" applyAlignment="1">
      <x:alignment horizontal="general" vertical="bottom" wrapText="0"/>
    </x:xf>
    <x:xf numFmtId="201" fontId="6" fillId="28" borderId="0" xfId="0" applyNumberFormat="1" applyFont="1" applyFill="1" applyBorder="1" applyAlignment="1">
      <x:alignment horizontal="general" vertical="bottom" wrapText="0"/>
    </x:xf>
    <x:xf numFmtId="173" fontId="6" fillId="28" borderId="7" xfId="0" applyNumberFormat="1" applyFont="1" applyFill="1" applyBorder="1" applyAlignment="1">
      <x:alignment horizontal="general" vertical="bottom" wrapText="0"/>
    </x:xf>
    <x:xf numFmtId="201" fontId="6" fillId="28" borderId="7" xfId="0" applyNumberFormat="1" applyFont="1" applyFill="1" applyBorder="1" applyAlignment="1">
      <x:alignment horizontal="general" vertical="bottom" wrapText="0"/>
    </x:xf>
    <x:xf numFmtId="164" fontId="26" fillId="27" borderId="0" xfId="0" applyNumberFormat="1" applyFont="1" applyFill="1" applyBorder="1" applyAlignment="1">
      <x:alignment horizontal="general" vertical="top" wrapText="1"/>
    </x:xf>
    <x:xf numFmtId="164" fontId="26" fillId="27" borderId="7" xfId="0" applyNumberFormat="1" applyFont="1" applyFill="1" applyBorder="1" applyAlignment="1">
      <x:alignment horizontal="general" vertical="top" wrapText="1"/>
    </x:xf>
    <x:xf numFmtId="164" fontId="98" fillId="27" borderId="0" xfId="0" applyNumberFormat="1" applyFont="1" applyFill="1" applyBorder="1" applyAlignment="1">
      <x:alignment horizontal="general" vertical="top" wrapText="1"/>
    </x:xf>
    <x:xf numFmtId="164" fontId="98" fillId="27" borderId="7" xfId="0" applyNumberFormat="1" applyFont="1" applyFill="1" applyBorder="1" applyAlignment="1">
      <x:alignment horizontal="general" vertical="top" wrapText="1"/>
    </x:xf>
    <x:xf numFmtId="164" fontId="6" fillId="29" borderId="0" xfId="0" applyNumberFormat="1" applyFont="1" applyFill="1" applyBorder="1" applyAlignment="1">
      <x:alignment horizontal="general" vertical="bottom" wrapText="0"/>
    </x:xf>
    <x:xf numFmtId="164" fontId="6" fillId="29" borderId="7" xfId="0" applyNumberFormat="1" applyFont="1" applyFill="1" applyBorder="1" applyAlignment="1">
      <x:alignment horizontal="general" vertical="bottom" wrapText="0"/>
    </x:xf>
    <x:xf numFmtId="164" fontId="33" fillId="29" borderId="0" xfId="0" applyNumberFormat="1" applyFont="1" applyFill="1" applyBorder="1" applyAlignment="1">
      <x:alignment horizontal="general" vertical="bottom" wrapText="0"/>
    </x:xf>
    <x:xf numFmtId="164" fontId="33" fillId="29" borderId="7" xfId="0" applyNumberFormat="1" applyFont="1" applyFill="1" applyBorder="1" applyAlignment="1">
      <x:alignment horizontal="general" vertical="bottom" wrapText="0"/>
    </x:xf>
    <x:xf numFmtId="164" fontId="6" fillId="30" borderId="0" xfId="0" applyNumberFormat="1" applyFont="1" applyFill="1" applyBorder="1" applyAlignment="1">
      <x:alignment horizontal="general" vertical="bottom" wrapText="0"/>
    </x:xf>
    <x:xf numFmtId="201" fontId="6" fillId="30" borderId="0" xfId="0" applyNumberFormat="1" applyFont="1" applyFill="1" applyBorder="1" applyAlignment="1">
      <x:alignment horizontal="general" vertical="bottom" wrapText="0"/>
    </x:xf>
    <x:xf numFmtId="164" fontId="6" fillId="30" borderId="7" xfId="0" applyNumberFormat="1" applyFont="1" applyFill="1" applyBorder="1" applyAlignment="1">
      <x:alignment horizontal="general" vertical="bottom" wrapText="0"/>
    </x:xf>
    <x:xf numFmtId="201" fontId="6" fillId="30" borderId="7" xfId="0" applyNumberFormat="1" applyFont="1" applyFill="1" applyBorder="1" applyAlignment="1">
      <x:alignment horizontal="general" vertical="bottom" wrapText="0"/>
    </x:xf>
    <x:xf numFmtId="164" fontId="11" fillId="30" borderId="0" xfId="0" applyNumberFormat="1" applyFont="1" applyFill="1" applyBorder="1" applyAlignment="1">
      <x:alignment horizontal="general" vertical="bottom" wrapText="0"/>
    </x:xf>
    <x:xf numFmtId="201" fontId="11" fillId="30" borderId="0" xfId="0" applyNumberFormat="1" applyFont="1" applyFill="1" applyBorder="1" applyAlignment="1">
      <x:alignment horizontal="general" vertical="bottom" wrapText="0"/>
    </x:xf>
    <x:xf numFmtId="164" fontId="11" fillId="30" borderId="7" xfId="0" applyNumberFormat="1" applyFont="1" applyFill="1" applyBorder="1" applyAlignment="1">
      <x:alignment horizontal="general" vertical="bottom" wrapText="0"/>
    </x:xf>
    <x:xf numFmtId="201" fontId="11" fillId="30" borderId="7" xfId="0" applyNumberFormat="1" applyFont="1" applyFill="1" applyBorder="1" applyAlignment="1">
      <x:alignment horizontal="general" vertical="bottom" wrapText="0"/>
    </x:xf>
    <x:xf numFmtId="164" fontId="95" fillId="26" borderId="0" xfId="0" applyNumberFormat="1" applyFont="1" applyFill="1" applyBorder="1" applyAlignment="1">
      <x:alignment horizontal="general" vertical="bottom" wrapText="1"/>
    </x:xf>
    <x:xf numFmtId="164" fontId="6" fillId="26" borderId="0" xfId="0" applyNumberFormat="1" applyFont="1" applyFill="1" applyBorder="1" applyAlignment="1">
      <x:alignment horizontal="general" vertical="bottom" wrapText="1"/>
    </x:xf>
    <x:xf numFmtId="164" fontId="11" fillId="30" borderId="0" xfId="0" applyNumberFormat="1" applyFont="1" applyFill="1" applyBorder="1" applyAlignment="1">
      <x:alignment horizontal="general" vertical="bottom" wrapText="1"/>
    </x:xf>
    <x:xf numFmtId="201" fontId="11" fillId="30" borderId="0" xfId="0" applyNumberFormat="1" applyFont="1" applyFill="1" applyBorder="1" applyAlignment="1">
      <x:alignment horizontal="general" vertical="bottom" wrapText="1"/>
    </x:xf>
    <x:xf numFmtId="164" fontId="95" fillId="26" borderId="7" xfId="0" applyNumberFormat="1" applyFont="1" applyFill="1" applyBorder="1" applyAlignment="1">
      <x:alignment horizontal="general" vertical="bottom" wrapText="1"/>
    </x:xf>
    <x:xf numFmtId="164" fontId="6" fillId="26" borderId="7" xfId="0" applyNumberFormat="1" applyFont="1" applyFill="1" applyBorder="1" applyAlignment="1">
      <x:alignment horizontal="general" vertical="bottom" wrapText="1"/>
    </x:xf>
    <x:xf numFmtId="164" fontId="11" fillId="30" borderId="7" xfId="0" applyNumberFormat="1" applyFont="1" applyFill="1" applyBorder="1" applyAlignment="1">
      <x:alignment horizontal="general" vertical="bottom" wrapText="1"/>
    </x:xf>
    <x:xf numFmtId="201" fontId="11" fillId="30" borderId="7" xfId="0" applyNumberFormat="1" applyFont="1" applyFill="1" applyBorder="1" applyAlignment="1">
      <x:alignment horizontal="general" vertical="bottom" wrapText="1"/>
    </x:xf>
    <x:xf numFmtId="164" fontId="99" fillId="27" borderId="0" xfId="0" applyNumberFormat="1" applyFont="1" applyFill="1" applyBorder="1" applyAlignment="1">
      <x:alignment horizontal="general" vertical="bottom" wrapText="0"/>
    </x:xf>
    <x:xf numFmtId="164" fontId="99" fillId="27" borderId="7" xfId="0" applyNumberFormat="1" applyFont="1" applyFill="1" applyBorder="1" applyAlignment="1">
      <x:alignment horizontal="general" vertical="bottom" wrapText="0"/>
    </x:xf>
    <x:xf numFmtId="164" fontId="0" fillId="27" borderId="0" xfId="0" applyNumberFormat="1" applyFont="1" applyFill="1" applyBorder="1" applyAlignment="1">
      <x:alignment horizontal="general" vertical="bottom" wrapText="0"/>
    </x:xf>
    <x:xf numFmtId="164" fontId="0" fillId="27" borderId="7" xfId="0" applyNumberFormat="1" applyFont="1" applyFill="1" applyBorder="1" applyAlignment="1">
      <x:alignment horizontal="general" vertical="bottom" wrapText="0"/>
    </x:xf>
    <x:xf numFmtId="164" fontId="37" fillId="27" borderId="0" xfId="0" applyNumberFormat="1" applyFont="1" applyFill="1" applyBorder="1" applyAlignment="1">
      <x:alignment horizontal="general" vertical="bottom" wrapText="0"/>
    </x:xf>
    <x:xf numFmtId="164" fontId="37" fillId="27" borderId="7" xfId="0" applyNumberFormat="1" applyFont="1" applyFill="1" applyBorder="1" applyAlignment="1">
      <x:alignment horizontal="general" vertical="bottom" wrapText="0"/>
    </x:xf>
    <x:xf numFmtId="164" fontId="0" fillId="28" borderId="0" xfId="0" applyNumberFormat="1" applyFont="1" applyFill="1" applyBorder="1" applyAlignment="1">
      <x:alignment horizontal="general" vertical="bottom" wrapText="0"/>
    </x:xf>
    <x:xf numFmtId="164" fontId="0" fillId="28" borderId="7" xfId="0" applyNumberFormat="1" applyFont="1" applyFill="1" applyBorder="1" applyAlignment="1">
      <x:alignment horizontal="general" vertical="bottom" wrapText="0"/>
    </x:xf>
    <x:xf numFmtId="164" fontId="0" fillId="28" borderId="0" xfId="0" applyNumberFormat="1" applyFont="1" applyFill="1" applyBorder="1" applyAlignment="1">
      <x:alignment horizontal="general" vertical="bottom" wrapText="1"/>
    </x:xf>
    <x:xf numFmtId="164" fontId="0" fillId="28" borderId="7" xfId="0" applyNumberFormat="1" applyFont="1" applyFill="1" applyBorder="1" applyAlignment="1">
      <x:alignment horizontal="general" vertical="bottom" wrapText="1"/>
    </x:xf>
    <x:xf numFmtId="164" fontId="0" fillId="29" borderId="0" xfId="0" applyNumberFormat="1" applyFont="1" applyFill="1" applyBorder="1" applyAlignment="1">
      <x:alignment horizontal="general" vertical="bottom" wrapText="0"/>
    </x:xf>
    <x:xf numFmtId="164" fontId="0" fillId="29" borderId="7" xfId="0" applyNumberFormat="1" applyFont="1" applyFill="1" applyBorder="1" applyAlignment="1">
      <x:alignment horizontal="general" vertical="bottom" wrapText="0"/>
    </x:xf>
    <x:xf numFmtId="202" fontId="0" fillId="0" borderId="0" xfId="0" applyNumberFormat="1" applyFont="1" applyFill="1" applyBorder="1" applyAlignment="1">
      <x:alignment horizontal="general" vertical="bottom" wrapText="0"/>
    </x:xf>
    <x:xf numFmtId="202" fontId="0" fillId="0" borderId="7" xfId="0" applyNumberFormat="1" applyFont="1" applyFill="1" applyBorder="1" applyAlignment="1">
      <x:alignment horizontal="general" vertical="bottom" wrapText="0"/>
    </x:xf>
    <x:xf numFmtId="200" fontId="0" fillId="0" borderId="0" xfId="0" applyNumberFormat="1" applyFont="1" applyFill="1" applyBorder="1" applyAlignment="1">
      <x:alignment horizontal="general" vertical="bottom" wrapText="0"/>
    </x:xf>
    <x:xf numFmtId="200" fontId="0" fillId="0" borderId="7"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bottom" wrapText="1"/>
    </x:xf>
    <x:xf numFmtId="202" fontId="0" fillId="0" borderId="0" xfId="0" applyNumberFormat="1" applyFont="1" applyFill="1" applyBorder="1" applyAlignment="1">
      <x:alignment horizontal="general" vertical="bottom" wrapText="1"/>
    </x:xf>
    <x:xf numFmtId="200" fontId="0" fillId="0" borderId="0" xfId="0" applyNumberFormat="1" applyFont="1" applyFill="1" applyBorder="1" applyAlignment="1">
      <x:alignment horizontal="general" vertical="bottom" wrapText="1"/>
    </x:xf>
    <x:xf numFmtId="202" fontId="0" fillId="0" borderId="7" xfId="0" applyNumberFormat="1" applyFont="1" applyFill="1" applyBorder="1" applyAlignment="1">
      <x:alignment horizontal="general" vertical="bottom" wrapText="1"/>
    </x:xf>
    <x:xf numFmtId="200" fontId="0" fillId="0" borderId="7" xfId="0" applyNumberFormat="1" applyFont="1" applyFill="1" applyBorder="1" applyAlignment="1">
      <x:alignment horizontal="general" vertical="bottom" wrapText="1"/>
    </x:xf>
    <x:xf numFmtId="164" fontId="47" fillId="29" borderId="0" xfId="0" applyNumberFormat="1" applyFont="1" applyFill="1" applyBorder="1" applyAlignment="1">
      <x:alignment horizontal="general" vertical="bottom" wrapText="0"/>
    </x:xf>
    <x:xf numFmtId="164" fontId="47" fillId="29" borderId="7" xfId="0" applyNumberFormat="1" applyFont="1" applyFill="1" applyBorder="1" applyAlignment="1">
      <x:alignment horizontal="general" vertical="bottom" wrapText="0"/>
    </x:xf>
    <x:xf numFmtId="173" fontId="0" fillId="0" borderId="0" xfId="0" applyNumberFormat="1" applyFont="1" applyFill="1" applyBorder="1" applyAlignment="1">
      <x:alignment horizontal="general" vertical="bottom" wrapText="0"/>
    </x:xf>
    <x:xf numFmtId="164" fontId="0" fillId="31" borderId="0" xfId="0" applyNumberFormat="1" applyFont="1" applyFill="1" applyBorder="1" applyAlignment="1">
      <x:alignment horizontal="general" vertical="bottom" wrapText="0"/>
    </x:xf>
    <x:xf numFmtId="164" fontId="0" fillId="31" borderId="7" xfId="0" applyNumberFormat="1" applyFont="1" applyFill="1" applyBorder="1" applyAlignment="1">
      <x:alignment horizontal="general" vertical="bottom" wrapText="0"/>
    </x:xf>
    <x:xf numFmtId="164" fontId="0" fillId="32" borderId="0" xfId="0" applyNumberFormat="1" applyFont="1" applyFill="1" applyBorder="1" applyAlignment="1">
      <x:alignment horizontal="general" vertical="bottom" wrapText="0"/>
    </x:xf>
    <x:xf numFmtId="164" fontId="0" fillId="32" borderId="7" xfId="0" applyNumberFormat="1" applyFont="1" applyFill="1" applyBorder="1" applyAlignment="1">
      <x:alignment horizontal="general" vertical="bottom" wrapText="0"/>
    </x:xf>
    <x:xf numFmtId="164" fontId="47" fillId="32" borderId="0" xfId="0" applyNumberFormat="1" applyFont="1" applyFill="1" applyBorder="1" applyAlignment="1">
      <x:alignment horizontal="general" vertical="bottom" wrapText="0"/>
    </x:xf>
    <x:xf numFmtId="164" fontId="47" fillId="32" borderId="7" xfId="0" applyNumberFormat="1" applyFont="1" applyFill="1" applyBorder="1" applyAlignment="1">
      <x:alignment horizontal="general" vertical="bottom" wrapText="0"/>
    </x:xf>
    <x:xf numFmtId="201" fontId="0" fillId="0" borderId="0" xfId="0" applyNumberFormat="1" applyFont="1" applyFill="1" applyBorder="1" applyAlignment="1">
      <x:alignment horizontal="general" vertical="bottom" wrapText="0"/>
    </x:xf>
    <x:xf numFmtId="201" fontId="0" fillId="0" borderId="7" xfId="0" applyNumberFormat="1" applyFont="1" applyFill="1" applyBorder="1" applyAlignment="1">
      <x:alignment horizontal="general" vertical="bottom" wrapText="0"/>
    </x:xf>
    <x:xf numFmtId="164" fontId="0" fillId="30" borderId="0" xfId="0" applyNumberFormat="1" applyFont="1" applyFill="1" applyBorder="1" applyAlignment="1">
      <x:alignment horizontal="general" vertical="bottom" wrapText="0"/>
    </x:xf>
    <x:xf numFmtId="173" fontId="0" fillId="30" borderId="0"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bottom" wrapText="0"/>
    </x:xf>
    <x:xf numFmtId="164" fontId="5" fillId="2" borderId="0" xfId="0" applyNumberFormat="1" applyFont="1" applyFill="1" applyBorder="1" applyAlignment="1">
      <x:alignment horizontal="general" vertical="center" wrapText="0"/>
    </x:xf>
    <x:xf numFmtId="164" fontId="6" fillId="3" borderId="0" xfId="0" applyNumberFormat="1" applyFont="1" applyFill="1" applyBorder="1" applyAlignment="1">
      <x:alignment horizontal="general" vertical="bottom" wrapText="0"/>
    </x:xf>
    <x:xf numFmtId="164" fontId="7" fillId="2" borderId="0" xfId="0" applyNumberFormat="1" applyFont="1" applyFill="1" applyBorder="1" applyAlignment="1">
      <x:alignment horizontal="general" vertical="bottom" wrapText="0"/>
    </x:xf>
    <x:xf numFmtId="164" fontId="8" fillId="0" borderId="0" xfId="0" applyNumberFormat="1" applyFont="1" applyFill="1" applyBorder="1" applyAlignment="1">
      <x:alignment horizontal="general" vertical="bottom" wrapText="0"/>
    </x:xf>
    <x:xf numFmtId="164" fontId="9" fillId="2" borderId="0" xfId="0" applyNumberFormat="1" applyFont="1" applyFill="1" applyBorder="1" applyAlignment="1">
      <x:alignment horizontal="general" vertical="bottom" wrapText="1"/>
    </x:xf>
    <x:xf numFmtId="164" fontId="10" fillId="0" borderId="0" xfId="0" applyNumberFormat="1" applyFont="1" applyFill="1" applyBorder="1" applyAlignment="1">
      <x:alignment horizontal="general" vertical="bottom" wrapText="0"/>
    </x:xf>
    <x:xf numFmtId="164" fontId="11" fillId="4" borderId="0" xfId="0" applyNumberFormat="1" applyFont="1" applyFill="1" applyBorder="1" applyAlignment="1">
      <x:alignment horizontal="general" vertical="bottom" wrapText="0"/>
    </x:xf>
    <x:xf numFmtId="164" fontId="12" fillId="2" borderId="0" xfId="0" applyNumberFormat="1" applyFont="1" applyFill="1" applyBorder="1" applyAlignment="1">
      <x:alignment horizontal="general" vertical="bottom" wrapText="0"/>
    </x:xf>
    <x:xf numFmtId="164" fontId="13" fillId="0" borderId="0" xfId="0" applyNumberFormat="1" applyFont="1" applyFill="1" applyBorder="1" applyAlignment="1">
      <x:alignment horizontal="general" vertical="bottom" wrapText="0"/>
    </x:xf>
    <x:xf numFmtId="164" fontId="6" fillId="2" borderId="0" xfId="0" applyNumberFormat="1" applyFont="1" applyFill="1" applyBorder="1" applyAlignment="1">
      <x:alignment horizontal="general" vertical="bottom" wrapText="0"/>
    </x:xf>
    <x:xf numFmtId="164" fontId="12" fillId="2" borderId="0" xfId="0" applyNumberFormat="1" applyFont="1" applyFill="1" applyBorder="1" applyAlignment="1">
      <x:alignment horizontal="general" vertical="bottom" wrapText="1"/>
    </x:xf>
    <x:xf numFmtId="164" fontId="14" fillId="2" borderId="0" xfId="0" applyNumberFormat="1" applyFont="1" applyFill="1" applyBorder="1" applyAlignment="1">
      <x:alignment horizontal="general" vertical="bottom" wrapText="1"/>
    </x:xf>
    <x:xf numFmtId="164" fontId="6" fillId="3" borderId="0" xfId="0" applyNumberFormat="1" applyFont="1" applyFill="1" applyBorder="1" applyAlignment="1">
      <x:alignment horizontal="general" vertical="bottom" wrapText="1"/>
    </x:xf>
    <x:xf numFmtId="164" fontId="15" fillId="2" borderId="0" xfId="0" applyNumberFormat="1" applyFont="1" applyFill="1" applyBorder="1" applyAlignment="1">
      <x:alignment horizontal="general" vertical="bottom" wrapText="1"/>
    </x:xf>
    <x:xf numFmtId="164" fontId="16" fillId="2" borderId="0" xfId="0" applyNumberFormat="1" applyFont="1" applyFill="1" applyBorder="1" applyAlignment="1">
      <x:alignment horizontal="general" vertical="bottom" wrapText="1"/>
    </x:xf>
    <x:xf numFmtId="164" fontId="17" fillId="0" borderId="0" xfId="0" applyNumberFormat="1" applyFont="1" applyFill="1" applyBorder="1" applyAlignment="1">
      <x:alignment horizontal="general" vertical="bottom" wrapText="0"/>
    </x:xf>
    <x:xf numFmtId="164" fontId="12" fillId="4" borderId="0" xfId="0" applyNumberFormat="1" applyFont="1" applyFill="1" applyBorder="1" applyAlignment="1">
      <x:alignment horizontal="general" vertical="bottom" wrapText="0"/>
    </x:xf>
    <x:xf numFmtId="165" fontId="18" fillId="5" borderId="0" xfId="0" applyNumberFormat="1" applyFont="1" applyFill="1" applyBorder="1" applyAlignment="1">
      <x:alignment horizontal="right" vertical="bottom" wrapText="0"/>
    </x:xf>
    <x:xf numFmtId="164" fontId="18" fillId="5" borderId="0" xfId="0" applyNumberFormat="1" applyFont="1" applyFill="1" applyBorder="1" applyAlignment="1">
      <x:alignment horizontal="right" vertical="bottom" wrapText="0"/>
    </x:xf>
    <x:xf numFmtId="166" fontId="19" fillId="5" borderId="0" xfId="0" applyNumberFormat="1" applyFont="1" applyFill="1" applyBorder="1" applyAlignment="1">
      <x:alignment horizontal="right" vertical="bottom" wrapText="0"/>
    </x:xf>
    <x:xf numFmtId="164" fontId="20" fillId="2" borderId="0" xfId="0" applyNumberFormat="1" applyFont="1" applyFill="1" applyBorder="1" applyAlignment="1">
      <x:alignment horizontal="general" vertical="bottom" wrapText="1"/>
    </x:xf>
    <x:xf numFmtId="164" fontId="6" fillId="2" borderId="0" xfId="0" applyNumberFormat="1" applyFont="1" applyFill="1" applyBorder="1" applyAlignment="1">
      <x:alignment horizontal="general" vertical="bottom" wrapText="1"/>
    </x:xf>
    <x:xf numFmtId="164" fontId="21" fillId="2" borderId="0" xfId="0" applyNumberFormat="1" applyFont="1" applyFill="1" applyBorder="1" applyAlignment="1">
      <x:alignment horizontal="general" vertical="bottom" wrapText="1"/>
    </x:xf>
    <x:xf numFmtId="164" fontId="22" fillId="2" borderId="0" xfId="0" applyNumberFormat="1" applyFont="1" applyFill="1" applyBorder="1" applyAlignment="1">
      <x:alignment horizontal="general" vertical="bottom" wrapText="1"/>
    </x:xf>
    <x:xf numFmtId="164" fontId="21" fillId="0" borderId="0" xfId="0" applyNumberFormat="1" applyFont="1" applyFill="1" applyBorder="1" applyAlignment="1">
      <x:alignment horizontal="general" vertical="bottom" wrapText="0"/>
    </x:xf>
    <x:xf numFmtId="164" fontId="24" fillId="6" borderId="0" xfId="0" applyNumberFormat="1" applyFont="1" applyFill="1" applyBorder="1" applyAlignment="1">
      <x:alignment horizontal="general" vertical="bottom" wrapText="0"/>
    </x:xf>
    <x:xf numFmtId="164" fontId="25" fillId="2" borderId="0" xfId="0" applyNumberFormat="1" applyFont="1" applyFill="1" applyBorder="1" applyAlignment="1">
      <x:alignment horizontal="general" vertical="bottom" wrapText="0"/>
    </x:xf>
    <x:xf numFmtId="164" fontId="5" fillId="2" borderId="0" xfId="0" applyNumberFormat="1" applyFont="1" applyFill="1" applyBorder="1" applyAlignment="1">
      <x:alignment horizontal="general" vertical="bottom" wrapText="0"/>
    </x:xf>
    <x:xf numFmtId="164" fontId="26" fillId="7" borderId="0" xfId="0" applyNumberFormat="1" applyFont="1" applyFill="1" applyBorder="1" applyAlignment="1">
      <x:alignment horizontal="general" vertical="bottom" wrapText="0"/>
    </x:xf>
    <x:xf numFmtId="164" fontId="27" fillId="0" borderId="0" xfId="0" applyNumberFormat="1" applyFont="1" applyFill="1" applyBorder="1" applyAlignment="1">
      <x:alignment horizontal="general" vertical="bottom" wrapText="0"/>
    </x:xf>
    <x:xf numFmtId="164" fontId="28" fillId="0" borderId="0" xfId="0" applyNumberFormat="1" applyFont="1" applyFill="1" applyBorder="1" applyAlignment="1">
      <x:alignment horizontal="general" vertical="bottom" wrapText="0"/>
    </x:xf>
    <x:xf numFmtId="164" fontId="29" fillId="0" borderId="0" xfId="0" applyNumberFormat="1" applyFont="1" applyFill="1" applyBorder="1" applyAlignment="1">
      <x:alignment horizontal="general" vertical="bottom" wrapText="0"/>
    </x:xf>
    <x:xf numFmtId="164" fontId="30" fillId="0" borderId="0" xfId="0" applyNumberFormat="1" applyFont="1" applyFill="1" applyBorder="1" applyAlignment="1">
      <x:alignment horizontal="general" vertical="bottom" wrapText="0"/>
    </x:xf>
    <x:xf numFmtId="164" fontId="31" fillId="0" borderId="0" xfId="0" applyNumberFormat="1" applyFont="1" applyFill="1" applyBorder="1" applyAlignment="1">
      <x:alignment horizontal="general" vertical="bottom" wrapText="0"/>
    </x:xf>
    <x:xf numFmtId="164" fontId="16" fillId="6" borderId="0" xfId="0" applyNumberFormat="1" applyFont="1" applyFill="1" applyBorder="1" applyAlignment="1">
      <x:alignment horizontal="general" vertical="center" wrapText="0"/>
    </x:xf>
    <x:xf numFmtId="164" fontId="32" fillId="4" borderId="0" xfId="0" applyNumberFormat="1" applyFont="1" applyFill="1" applyBorder="1" applyAlignment="1">
      <x:alignment horizontal="general" vertical="bottom" wrapText="1"/>
    </x:xf>
    <x:xf numFmtId="164" fontId="33" fillId="8" borderId="0" xfId="0" applyNumberFormat="1" applyFont="1" applyFill="1" applyBorder="1" applyAlignment="1">
      <x:alignment horizontal="general" vertical="center" wrapText="1"/>
    </x:xf>
    <x:xf numFmtId="164" fontId="34" fillId="8" borderId="1" xfId="0" applyNumberFormat="1" applyFont="1" applyFill="1" applyBorder="1" applyAlignment="1">
      <x:alignment horizontal="general" vertical="top" wrapText="1"/>
    </x:xf>
    <x:xf numFmtId="164" fontId="35" fillId="9" borderId="1" xfId="0" applyNumberFormat="1" applyFont="1" applyFill="1" applyBorder="1" applyAlignment="1">
      <x:alignment horizontal="general" vertical="top" wrapText="1"/>
    </x:xf>
    <x:xf numFmtId="164" fontId="36" fillId="9" borderId="1" xfId="0" applyNumberFormat="1" applyFont="1" applyFill="1" applyBorder="1" applyAlignment="1">
      <x:alignment horizontal="general" vertical="top" wrapText="1"/>
    </x:xf>
    <x:xf numFmtId="164" fontId="37" fillId="6" borderId="0" xfId="0" applyNumberFormat="1" applyFont="1" applyFill="1" applyBorder="1" applyAlignment="1">
      <x:alignment horizontal="general" vertical="bottom" wrapText="0"/>
    </x:xf>
    <x:xf numFmtId="164" fontId="38" fillId="4" borderId="0" xfId="0" applyNumberFormat="1" applyFont="1" applyFill="1" applyBorder="1" applyAlignment="1">
      <x:alignment horizontal="general" vertical="bottom" wrapText="1"/>
    </x:xf>
    <x:xf numFmtId="164" fontId="39" fillId="8" borderId="0" xfId="0" applyNumberFormat="1" applyFont="1" applyFill="1" applyBorder="1" applyAlignment="1">
      <x:alignment horizontal="general" vertical="bottom" wrapText="0"/>
    </x:xf>
    <x:xf numFmtId="164" fontId="40" fillId="10" borderId="0" xfId="0" applyNumberFormat="1" applyFont="1" applyFill="1" applyBorder="1" applyAlignment="1">
      <x:alignment horizontal="general" vertical="bottom" wrapText="0"/>
    </x:xf>
    <x:xf numFmtId="167" fontId="0" fillId="0" borderId="0" xfId="0" applyNumberFormat="1" applyFont="1" applyFill="1" applyBorder="1" applyAlignment="1">
      <x:alignment horizontal="general" vertical="bottom" wrapText="0"/>
    </x:xf>
    <x:xf numFmtId="165" fontId="0" fillId="0" borderId="0" xfId="0" applyNumberFormat="1" applyFont="1" applyFill="1" applyBorder="1" applyAlignment="1">
      <x:alignment horizontal="general" vertical="bottom" wrapText="0"/>
    </x:xf>
    <x:xf numFmtId="166" fontId="0" fillId="0" borderId="0" xfId="0" applyNumberFormat="1" applyFont="1" applyFill="1" applyBorder="1" applyAlignment="1">
      <x:alignment horizontal="general" vertical="bottom" wrapText="0"/>
    </x:xf>
    <x:xf numFmtId="165" fontId="19" fillId="5" borderId="0" xfId="0" applyNumberFormat="1" applyFont="1" applyFill="1" applyBorder="1" applyAlignment="1">
      <x:alignment horizontal="general" vertical="bottom" wrapText="0"/>
    </x:xf>
    <x:xf numFmtId="164" fontId="19" fillId="5" borderId="0" xfId="0" applyNumberFormat="1" applyFont="1" applyFill="1" applyBorder="1" applyAlignment="1">
      <x:alignment horizontal="general" vertical="bottom" wrapText="0"/>
    </x:xf>
    <x:xf numFmtId="167" fontId="19" fillId="5" borderId="0" xfId="0" applyNumberFormat="1" applyFont="1" applyFill="1" applyBorder="1" applyAlignment="1">
      <x:alignment horizontal="general" vertical="bottom" wrapText="0"/>
    </x:xf>
    <x:xf numFmtId="166" fontId="19" fillId="5" borderId="0" xfId="0" applyNumberFormat="1" applyFont="1" applyFill="1" applyBorder="1" applyAlignment="1">
      <x:alignment horizontal="general" vertical="bottom" wrapText="0"/>
    </x:xf>
    <x:xf numFmtId="168" fontId="19" fillId="5" borderId="0" xfId="0" applyNumberFormat="1" applyFont="1" applyFill="1" applyBorder="1" applyAlignment="1">
      <x:alignment horizontal="general" vertical="bottom" wrapText="0"/>
    </x:xf>
    <x:xf numFmtId="169" fontId="19" fillId="5" borderId="0" xfId="0" applyNumberFormat="1" applyFont="1" applyFill="1" applyBorder="1" applyAlignment="1">
      <x:alignment horizontal="general" vertical="bottom" wrapText="0"/>
    </x:xf>
    <x:xf numFmtId="164" fontId="43" fillId="6" borderId="0" xfId="0" applyNumberFormat="1" applyFont="1" applyFill="1" applyBorder="1" applyAlignment="1">
      <x:alignment horizontal="general" vertical="center" wrapText="0"/>
    </x:xf>
    <x:xf numFmtId="164" fontId="11" fillId="10" borderId="0" xfId="0" applyNumberFormat="1" applyFont="1" applyFill="1" applyBorder="1" applyAlignment="1">
      <x:alignment horizontal="general" vertical="bottom" wrapText="1"/>
    </x:xf>
    <x:xf numFmtId="165" fontId="11" fillId="5" borderId="0" xfId="0" applyNumberFormat="1" applyFont="1" applyFill="1" applyBorder="1" applyAlignment="1">
      <x:alignment horizontal="right" vertical="bottom" wrapText="1"/>
    </x:xf>
    <x:xf numFmtId="164" fontId="44" fillId="11" borderId="0" xfId="0" applyNumberFormat="1" applyFont="1" applyFill="1" applyBorder="1" applyAlignment="1">
      <x:alignment horizontal="general" vertical="bottom" wrapText="1"/>
    </x:xf>
    <x:xf numFmtId="170" fontId="11" fillId="5" borderId="0" xfId="0" applyNumberFormat="1" applyFont="1" applyFill="1" applyBorder="1" applyAlignment="1">
      <x:alignment horizontal="right" vertical="bottom" wrapText="1"/>
    </x:xf>
    <x:xf numFmtId="168" fontId="11" fillId="5" borderId="0" xfId="0" applyNumberFormat="1" applyFont="1" applyFill="1" applyBorder="1" applyAlignment="1">
      <x:alignment horizontal="right" vertical="bottom" wrapText="1"/>
    </x:xf>
    <x:xf numFmtId="166" fontId="11" fillId="5" borderId="0" xfId="0" applyNumberFormat="1" applyFont="1" applyFill="1" applyBorder="1" applyAlignment="1">
      <x:alignment horizontal="right" vertical="bottom" wrapText="1"/>
    </x:xf>
    <x:xf numFmtId="164" fontId="40" fillId="7" borderId="0" xfId="0" applyNumberFormat="1" applyFont="1" applyFill="1" applyBorder="1" applyAlignment="1">
      <x:alignment horizontal="general" vertical="bottom" wrapText="1"/>
    </x:xf>
    <x:xf numFmtId="165" fontId="40" fillId="7" borderId="0" xfId="0" applyNumberFormat="1" applyFont="1" applyFill="1" applyBorder="1" applyAlignment="1">
      <x:alignment horizontal="general" vertical="bottom" wrapText="1"/>
    </x:xf>
    <x:xf numFmtId="164" fontId="45" fillId="12" borderId="0" xfId="0" applyNumberFormat="1" applyFont="1" applyFill="1" applyBorder="1" applyAlignment="1">
      <x:alignment horizontal="general" vertical="bottom" wrapText="1"/>
    </x:xf>
    <x:xf numFmtId="164" fontId="39" fillId="8" borderId="0" xfId="0" applyNumberFormat="1" applyFont="1" applyFill="1" applyBorder="1" applyAlignment="1">
      <x:alignment horizontal="center" vertical="center" wrapText="1"/>
    </x:xf>
    <x:xf numFmtId="165" fontId="39" fillId="8" borderId="0" xfId="0" applyNumberFormat="1" applyFont="1" applyFill="1" applyBorder="1" applyAlignment="1">
      <x:alignment horizontal="center" vertical="center" wrapText="1"/>
    </x:xf>
    <x:xf numFmtId="165" fontId="0" fillId="13" borderId="0" xfId="0" applyNumberFormat="1" applyFont="1" applyFill="1" applyBorder="1" applyAlignment="1">
      <x:alignment horizontal="general" vertical="bottom" wrapText="0"/>
    </x:xf>
    <x:xf numFmtId="165" fontId="0" fillId="12" borderId="0" xfId="0" applyNumberFormat="1" applyFont="1" applyFill="1" applyBorder="1" applyAlignment="1">
      <x:alignment horizontal="general" vertical="bottom" wrapText="0"/>
    </x:xf>
    <x:xf numFmtId="170" fontId="0" fillId="0" borderId="0" xfId="0" applyNumberFormat="1" applyFont="1" applyFill="1" applyBorder="1" applyAlignment="1">
      <x:alignment horizontal="general" vertical="bottom" wrapText="0"/>
    </x:xf>
    <x:xf numFmtId="165" fontId="0" fillId="4" borderId="0" xfId="0" applyNumberFormat="1" applyFont="1" applyFill="1" applyBorder="1" applyAlignment="1">
      <x:alignment horizontal="general" vertical="bottom" wrapText="0"/>
    </x:xf>
    <x:xf numFmtId="165" fontId="11" fillId="4" borderId="0" xfId="0" applyNumberFormat="1" applyFont="1" applyFill="1" applyBorder="1" applyAlignment="1">
      <x:alignment horizontal="general" vertical="bottom" wrapText="0"/>
    </x:xf>
    <x:xf numFmtId="171" fontId="46" fillId="4" borderId="0" xfId="0" applyNumberFormat="1" applyFont="1" applyFill="1" applyBorder="1" applyAlignment="1">
      <x:alignment horizontal="general" vertical="bottom" wrapText="0"/>
    </x:xf>
    <x:xf numFmtId="164" fontId="47" fillId="3" borderId="0" xfId="0" applyNumberFormat="1" applyFont="1" applyFill="1" applyBorder="1" applyAlignment="1">
      <x:alignment horizontal="general" vertical="bottom" wrapText="1"/>
    </x:xf>
    <x:xf numFmtId="164" fontId="11" fillId="0" borderId="0" xfId="0" applyNumberFormat="1" applyFont="1" applyFill="1" applyBorder="1" applyAlignment="1">
      <x:alignment horizontal="general" vertical="bottom" wrapText="1"/>
    </x:xf>
    <x:xf numFmtId="165" fontId="11" fillId="5" borderId="0" xfId="0" applyNumberFormat="1" applyFont="1" applyFill="1" applyBorder="1" applyAlignment="1">
      <x:alignment horizontal="general" vertical="bottom" wrapText="1"/>
    </x:xf>
    <x:xf numFmtId="164" fontId="11" fillId="7" borderId="0" xfId="0" applyNumberFormat="1" applyFont="1" applyFill="1" applyBorder="1" applyAlignment="1">
      <x:alignment horizontal="general" vertical="bottom" wrapText="1"/>
    </x:xf>
    <x:xf numFmtId="172" fontId="11" fillId="7" borderId="0" xfId="0" applyNumberFormat="1" applyFont="1" applyFill="1" applyBorder="1" applyAlignment="1">
      <x:alignment horizontal="general" vertical="bottom" wrapText="1"/>
    </x:xf>
    <x:xf numFmtId="164" fontId="35" fillId="14" borderId="1" xfId="0" applyNumberFormat="1" applyFont="1" applyFill="1" applyBorder="1" applyAlignment="1">
      <x:alignment horizontal="general" vertical="top" wrapText="1"/>
    </x:xf>
    <x:xf numFmtId="164" fontId="36" fillId="14" borderId="1" xfId="0" applyNumberFormat="1" applyFont="1" applyFill="1" applyBorder="1" applyAlignment="1">
      <x:alignment horizontal="general" vertical="top" wrapText="1"/>
    </x:xf>
    <x:xf numFmtId="164" fontId="35" fillId="15" borderId="1" xfId="0" applyNumberFormat="1" applyFont="1" applyFill="1" applyBorder="1" applyAlignment="1">
      <x:alignment horizontal="general" vertical="top" wrapText="1"/>
    </x:xf>
    <x:xf numFmtId="164" fontId="36" fillId="15" borderId="1" xfId="0" applyNumberFormat="1" applyFont="1" applyFill="1" applyBorder="1" applyAlignment="1">
      <x:alignment horizontal="general" vertical="top" wrapText="1"/>
    </x:xf>
    <x:xf numFmtId="164" fontId="35" fillId="16" borderId="1" xfId="0" applyNumberFormat="1" applyFont="1" applyFill="1" applyBorder="1" applyAlignment="1">
      <x:alignment horizontal="general" vertical="top" wrapText="1"/>
    </x:xf>
    <x:xf numFmtId="164" fontId="36" fillId="16" borderId="1" xfId="0" applyNumberFormat="1" applyFont="1" applyFill="1" applyBorder="1" applyAlignment="1">
      <x:alignment horizontal="general" vertical="top" wrapText="1"/>
    </x:xf>
    <x:xf numFmtId="164" fontId="36" fillId="0" borderId="0" xfId="0" applyNumberFormat="1" applyFont="1" applyFill="1" applyBorder="1" applyAlignment="1">
      <x:alignment horizontal="general" vertical="bottom" wrapText="0"/>
    </x:xf>
    <x:xf numFmtId="164" fontId="49" fillId="0" borderId="0" xfId="0" applyNumberFormat="1" applyFont="1" applyFill="1" applyBorder="1" applyAlignment="1">
      <x:alignment horizontal="general" vertical="top" wrapText="1"/>
    </x:xf>
    <x:xf numFmtId="164" fontId="50" fillId="8" borderId="1" xfId="0" applyNumberFormat="1" applyFont="1" applyFill="1" applyBorder="1" applyAlignment="1">
      <x:alignment horizontal="general" vertical="top" wrapText="1"/>
    </x:xf>
    <x:xf numFmtId="164" fontId="51" fillId="0" borderId="0" xfId="0" applyNumberFormat="1" applyFont="1" applyFill="1" applyBorder="1" applyAlignment="1">
      <x:alignment horizontal="general" vertical="top" wrapText="1"/>
    </x:xf>
    <x:xf numFmtId="164" fontId="50" fillId="8" borderId="0" xfId="0" applyNumberFormat="1" applyFont="1" applyFill="1" applyBorder="1" applyAlignment="1">
      <x:alignment horizontal="general" vertical="center" wrapText="1"/>
    </x:xf>
    <x:xf numFmtId="164" fontId="18" fillId="7" borderId="0" xfId="0" applyNumberFormat="1" applyFont="1" applyFill="1" applyBorder="1" applyAlignment="1">
      <x:alignment horizontal="general" vertical="bottom" wrapText="0"/>
    </x:xf>
    <x:xf numFmtId="170" fontId="18" fillId="17" borderId="0" xfId="0" applyNumberFormat="1" applyFont="1" applyFill="1" applyBorder="1" applyAlignment="1">
      <x:alignment horizontal="general" vertical="bottom" wrapText="0"/>
    </x:xf>
    <x:xf numFmtId="170" fontId="18" fillId="7" borderId="0" xfId="0" applyNumberFormat="1" applyFont="1" applyFill="1" applyBorder="1" applyAlignment="1">
      <x:alignment horizontal="general" vertical="bottom" wrapText="0"/>
    </x:xf>
    <x:xf numFmtId="173" fontId="18" fillId="7" borderId="0" xfId="0" applyNumberFormat="1" applyFont="1" applyFill="1" applyBorder="1" applyAlignment="1">
      <x:alignment horizontal="general" vertical="bottom" wrapText="0"/>
    </x:xf>
    <x:xf numFmtId="173" fontId="31" fillId="0" borderId="0" xfId="0" applyNumberFormat="1" applyFont="1" applyFill="1" applyBorder="1" applyAlignment="1">
      <x:alignment horizontal="general" vertical="bottom" wrapText="0"/>
    </x:xf>
    <x:xf numFmtId="173" fontId="52" fillId="17" borderId="0" xfId="0" applyNumberFormat="1" applyFont="1" applyFill="1" applyBorder="1" applyAlignment="1">
      <x:alignment horizontal="general" vertical="bottom" wrapText="0"/>
    </x:xf>
    <x:xf numFmtId="164" fontId="53" fillId="0" borderId="0" xfId="0" applyNumberFormat="1" applyFont="1" applyFill="1" applyBorder="1" applyAlignment="1">
      <x:alignment horizontal="general" vertical="bottom" wrapText="0"/>
    </x:xf>
    <x:xf numFmtId="164" fontId="54" fillId="0" borderId="0" xfId="0" applyNumberFormat="1" applyFont="1" applyFill="1" applyBorder="1" applyAlignment="1">
      <x:alignment horizontal="general" vertical="bottom" wrapText="0"/>
    </x:xf>
    <x:xf numFmtId="164" fontId="30" fillId="0" borderId="0" xfId="0" applyNumberFormat="1" applyFont="1" applyFill="1" applyBorder="1" applyAlignment="1">
      <x:alignment horizontal="general" vertical="bottom" wrapText="1"/>
    </x:xf>
    <x:xf numFmtId="164" fontId="56" fillId="0" borderId="0" xfId="0" applyNumberFormat="1" applyFont="1" applyFill="1" applyBorder="1" applyAlignment="1">
      <x:alignment horizontal="general" vertical="bottom" wrapText="0"/>
    </x:xf>
    <x:xf numFmtId="164" fontId="0" fillId="17" borderId="0" xfId="0" applyNumberFormat="1" applyFont="1" applyFill="1" applyBorder="1" applyAlignment="1">
      <x:alignment horizontal="general" vertical="bottom" wrapText="0"/>
    </x:xf>
    <x:xf numFmtId="173" fontId="31" fillId="17" borderId="0" xfId="0" applyNumberFormat="1" applyFont="1" applyFill="1" applyBorder="1" applyAlignment="1">
      <x:alignment horizontal="general" vertical="bottom" wrapText="0"/>
    </x:xf>
    <x:xf numFmtId="164" fontId="31" fillId="17" borderId="0" xfId="0" applyNumberFormat="1" applyFont="1" applyFill="1" applyBorder="1" applyAlignment="1">
      <x:alignment horizontal="general" vertical="bottom" wrapText="0"/>
    </x:xf>
    <x:xf numFmtId="170" fontId="31" fillId="17" borderId="0" xfId="0" applyNumberFormat="1" applyFont="1" applyFill="1" applyBorder="1" applyAlignment="1">
      <x:alignment horizontal="general" vertical="bottom" wrapText="0"/>
    </x:xf>
    <x:xf numFmtId="170" fontId="31" fillId="0" borderId="0" xfId="0" applyNumberFormat="1" applyFont="1" applyFill="1" applyBorder="1" applyAlignment="1">
      <x:alignment horizontal="general" vertical="bottom" wrapText="0"/>
    </x:xf>
    <x:xf numFmtId="164" fontId="49" fillId="0" borderId="0" xfId="0" applyNumberFormat="1" applyFont="1" applyFill="1" applyBorder="1" applyAlignment="1">
      <x:alignment horizontal="general" vertical="bottom" wrapText="1"/>
    </x:xf>
    <x:xf numFmtId="164" fontId="31" fillId="0" borderId="0" xfId="0" applyNumberFormat="1" applyFont="1" applyFill="1" applyBorder="1" applyAlignment="1">
      <x:alignment horizontal="general" vertical="bottom" wrapText="1"/>
    </x:xf>
    <x:xf numFmtId="171" fontId="31" fillId="5" borderId="0" xfId="0" applyNumberFormat="1" applyFont="1" applyFill="1" applyBorder="1" applyAlignment="1">
      <x:alignment horizontal="general" vertical="bottom" wrapText="0"/>
    </x:xf>
    <x:xf numFmtId="164" fontId="5" fillId="6" borderId="0" xfId="0" applyNumberFormat="1" applyFont="1" applyFill="1" applyBorder="1" applyAlignment="1">
      <x:alignment horizontal="general" vertical="center" wrapText="0"/>
    </x:xf>
    <x:xf numFmtId="164" fontId="32" fillId="4" borderId="0" xfId="0" applyNumberFormat="1" applyFont="1" applyFill="1" applyBorder="1" applyAlignment="1">
      <x:alignment horizontal="general" vertical="center" wrapText="1"/>
    </x:xf>
    <x:xf numFmtId="164" fontId="57" fillId="4" borderId="0" xfId="0" applyNumberFormat="1" applyFont="1" applyFill="1" applyBorder="1" applyAlignment="1">
      <x:alignment horizontal="general" vertical="center" wrapText="1"/>
    </x:xf>
    <x:xf numFmtId="164" fontId="35" fillId="5" borderId="1" xfId="0" applyNumberFormat="1" applyFont="1" applyFill="1" applyBorder="1" applyAlignment="1">
      <x:alignment horizontal="general" vertical="top" wrapText="1"/>
    </x:xf>
    <x:xf numFmtId="164" fontId="36" fillId="5" borderId="1" xfId="0" applyNumberFormat="1" applyFont="1" applyFill="1" applyBorder="1" applyAlignment="1">
      <x:alignment horizontal="general" vertical="top" wrapText="1"/>
    </x:xf>
    <x:xf numFmtId="164" fontId="58" fillId="0" borderId="0" xfId="0" applyNumberFormat="1" applyFont="1" applyFill="1" applyBorder="1" applyAlignment="1">
      <x:alignment horizontal="general" vertical="bottom" wrapText="0"/>
    </x:xf>
    <x:xf numFmtId="164" fontId="59" fillId="17" borderId="1" xfId="0" applyNumberFormat="1" applyFont="1" applyFill="1" applyBorder="1" applyAlignment="1">
      <x:alignment horizontal="general" vertical="bottom" wrapText="0"/>
    </x:xf>
    <x:xf numFmtId="164" fontId="60" fillId="0" borderId="0" xfId="0" applyNumberFormat="1" applyFont="1" applyFill="1" applyBorder="1" applyAlignment="1">
      <x:alignment horizontal="general" vertical="bottom" wrapText="0"/>
    </x:xf>
    <x:xf numFmtId="164" fontId="61" fillId="0" borderId="0" xfId="0" applyNumberFormat="1" applyFont="1" applyFill="1" applyBorder="1" applyAlignment="1">
      <x:alignment horizontal="general" vertical="bottom" wrapText="0"/>
    </x:xf>
    <x:xf numFmtId="164" fontId="35" fillId="18" borderId="1" xfId="0" applyNumberFormat="1" applyFont="1" applyFill="1" applyBorder="1" applyAlignment="1">
      <x:alignment horizontal="general" vertical="top" wrapText="1"/>
    </x:xf>
    <x:xf numFmtId="164" fontId="0" fillId="18" borderId="1" xfId="0" applyNumberFormat="1" applyFont="1" applyFill="1" applyBorder="1" applyAlignment="1">
      <x:alignment horizontal="general" vertical="top" wrapText="1"/>
    </x:xf>
    <x:xf numFmtId="164" fontId="35" fillId="0" borderId="1" xfId="0" applyNumberFormat="1" applyFont="1" applyFill="1" applyBorder="1" applyAlignment="1">
      <x:alignment horizontal="general" vertical="top" wrapText="1"/>
    </x:xf>
    <x:xf numFmtId="164" fontId="0" fillId="0" borderId="1" xfId="0" applyNumberFormat="1" applyFont="1" applyFill="1" applyBorder="1" applyAlignment="1">
      <x:alignment horizontal="general" vertical="top" wrapText="1"/>
    </x:xf>
    <x:xf numFmtId="164" fontId="62" fillId="0" borderId="0" xfId="0" applyNumberFormat="1" applyFont="1" applyFill="1" applyBorder="1" applyAlignment="1">
      <x:alignment horizontal="general" vertical="top" wrapText="1"/>
    </x:xf>
    <x:xf numFmtId="164" fontId="35" fillId="0" borderId="1" xfId="0" applyNumberFormat="1" applyFont="1" applyFill="1" applyBorder="1" applyAlignment="1">
      <x:alignment horizontal="general" vertical="bottom" wrapText="0"/>
    </x:xf>
    <x:xf numFmtId="164" fontId="0" fillId="0" borderId="1" xfId="0" applyNumberFormat="1" applyFont="1" applyFill="1" applyBorder="1" applyAlignment="1">
      <x:alignment horizontal="general" vertical="bottom" wrapText="0"/>
    </x:xf>
    <x:xf numFmtId="164" fontId="36" fillId="0" borderId="1" xfId="0" applyNumberFormat="1" applyFont="1" applyFill="1" applyBorder="1" applyAlignment="1">
      <x:alignment horizontal="general" vertical="top" wrapText="1"/>
    </x:xf>
    <x:xf numFmtId="164" fontId="63" fillId="9" borderId="1" xfId="0" applyNumberFormat="1" applyFont="1" applyFill="1" applyBorder="1" applyAlignment="1">
      <x:alignment horizontal="general" vertical="top" wrapText="1"/>
    </x:xf>
    <x:xf numFmtId="164" fontId="58" fillId="9" borderId="1" xfId="0" applyNumberFormat="1" applyFont="1" applyFill="1" applyBorder="1" applyAlignment="1">
      <x:alignment horizontal="general" vertical="top" wrapText="1"/>
    </x:xf>
    <x:xf numFmtId="164" fontId="30" fillId="0" borderId="1" xfId="0" applyNumberFormat="1" applyFont="1" applyFill="1" applyBorder="1" applyAlignment="1">
      <x:alignment horizontal="general" vertical="top" wrapText="1"/>
    </x:xf>
    <x:xf numFmtId="164" fontId="64" fillId="0" borderId="1" xfId="0" applyNumberFormat="1" applyFont="1" applyFill="1" applyBorder="1" applyAlignment="1">
      <x:alignment horizontal="general" vertical="top" wrapText="1"/>
    </x:xf>
    <x:xf numFmtId="164" fontId="65" fillId="8" borderId="0" xfId="0" applyNumberFormat="1" applyFont="1" applyFill="1" applyBorder="1" applyAlignment="1">
      <x:alignment horizontal="general" vertical="center" wrapText="1"/>
    </x:xf>
    <x:xf numFmtId="164" fontId="66" fillId="0" borderId="0" xfId="0" applyNumberFormat="1" applyFont="1" applyFill="1" applyBorder="1" applyAlignment="1">
      <x:alignment horizontal="general" vertical="bottom" wrapText="0"/>
    </x:xf>
    <x:xf numFmtId="164" fontId="66" fillId="5" borderId="0" xfId="0" applyNumberFormat="1" applyFont="1" applyFill="1" applyBorder="1" applyAlignment="1">
      <x:alignment horizontal="general" vertical="bottom" wrapText="0"/>
    </x:xf>
    <x:xf numFmtId="164" fontId="67" fillId="6" borderId="0" xfId="0" applyNumberFormat="1" applyFont="1" applyFill="1" applyBorder="1" applyAlignment="1">
      <x:alignment horizontal="general" vertical="bottom" wrapText="0"/>
    </x:xf>
    <x:xf numFmtId="164" fontId="47" fillId="8" borderId="0" xfId="0" applyNumberFormat="1" applyFont="1" applyFill="1" applyBorder="1" applyAlignment="1">
      <x:alignment horizontal="general" vertical="bottom" wrapText="0"/>
    </x:xf>
    <x:xf numFmtId="164" fontId="11" fillId="10" borderId="0" xfId="0" applyNumberFormat="1" applyFont="1" applyFill="1" applyBorder="1" applyAlignment="1">
      <x:alignment horizontal="general" vertical="bottom" wrapText="0"/>
    </x:xf>
    <x:xf numFmtId="164" fontId="68" fillId="12" borderId="0" xfId="0" applyNumberFormat="1" applyFont="1" applyFill="1" applyBorder="1" applyAlignment="1">
      <x:alignment horizontal="general" vertical="bottom" wrapText="1"/>
    </x:xf>
    <x:xf numFmtId="164" fontId="33" fillId="8" borderId="0" xfId="0" applyNumberFormat="1" applyFont="1" applyFill="1" applyBorder="1" applyAlignment="1">
      <x:alignment horizontal="general" vertical="bottom" wrapText="0"/>
    </x:xf>
    <x:xf numFmtId="164" fontId="39" fillId="8" borderId="0" xfId="0" applyNumberFormat="1" applyFont="1" applyFill="1" applyBorder="1" applyAlignment="1">
      <x:alignment horizontal="general" vertical="bottom" wrapText="1"/>
    </x:xf>
    <x:xf numFmtId="164" fontId="69" fillId="4" borderId="0" xfId="0" applyNumberFormat="1" applyFont="1" applyFill="1" applyBorder="1" applyAlignment="1">
      <x:alignment horizontal="general" vertical="bottom" wrapText="0"/>
    </x:xf>
    <x:xf numFmtId="171" fontId="0" fillId="0" borderId="0" xfId="0" applyNumberFormat="1" applyFont="1" applyFill="1" applyBorder="1" applyAlignment="1">
      <x:alignment horizontal="general" vertical="bottom" wrapText="0"/>
    </x:xf>
    <x:xf numFmtId="171" fontId="0" fillId="5" borderId="0" xfId="0" applyNumberFormat="1" applyFont="1" applyFill="1" applyBorder="1" applyAlignment="1">
      <x:alignment horizontal="general" vertical="bottom" wrapText="0"/>
    </x:xf>
    <x:xf numFmtId="171" fontId="0" fillId="12" borderId="0" xfId="0" applyNumberFormat="1" applyFont="1" applyFill="1" applyBorder="1" applyAlignment="1">
      <x:alignment horizontal="general" vertical="bottom" wrapText="0"/>
    </x:xf>
    <x:xf numFmtId="164" fontId="47" fillId="3" borderId="0" xfId="0" applyNumberFormat="1" applyFont="1" applyFill="1" applyBorder="1" applyAlignment="1">
      <x:alignment horizontal="general" vertical="bottom" wrapText="0"/>
    </x:xf>
    <x:xf numFmtId="164" fontId="0" fillId="7" borderId="0" xfId="0" applyNumberFormat="1" applyFont="1" applyFill="1" applyBorder="1" applyAlignment="1">
      <x:alignment horizontal="general" vertical="bottom" wrapText="0"/>
    </x:xf>
    <x:xf numFmtId="164" fontId="63" fillId="0" borderId="0" xfId="0" applyNumberFormat="1" applyFont="1" applyFill="1" applyBorder="1" applyAlignment="1">
      <x:alignment horizontal="general" vertical="bottom" wrapText="0"/>
    </x:xf>
    <x:xf numFmtId="164" fontId="70" fillId="0" borderId="0" xfId="0" applyNumberFormat="1" applyFont="1" applyFill="1" applyBorder="1" applyAlignment="1">
      <x:alignment horizontal="general" vertical="bottom" wrapText="0"/>
    </x:xf>
    <x:xf numFmtId="169" fontId="72" fillId="17" borderId="1" xfId="0" applyNumberFormat="1" applyFont="1" applyFill="1" applyBorder="1" applyAlignment="1">
      <x:alignment horizontal="general" vertical="bottom" wrapText="0"/>
    </x:xf>
    <x:xf numFmtId="164" fontId="35" fillId="0" borderId="0" xfId="0" applyNumberFormat="1" applyFont="1" applyFill="1" applyBorder="1" applyAlignment="1">
      <x:alignment horizontal="general" vertical="bottom" wrapText="0"/>
    </x:xf>
    <x:xf numFmtId="170" fontId="73" fillId="0" borderId="1" xfId="0" applyNumberFormat="1" applyFont="1" applyFill="1" applyBorder="1" applyAlignment="1">
      <x:alignment horizontal="general" vertical="bottom" wrapText="0"/>
    </x:xf>
    <x:xf numFmtId="164" fontId="65" fillId="8" borderId="0" xfId="0" applyNumberFormat="1" applyFont="1" applyFill="1" applyBorder="1" applyAlignment="1">
      <x:alignment horizontal="general" vertical="bottom" wrapText="1"/>
    </x:xf>
    <x:xf numFmtId="164" fontId="16" fillId="19" borderId="0" xfId="0" applyNumberFormat="1" applyFont="1" applyFill="1" applyBorder="1" applyAlignment="1">
      <x:alignment horizontal="general" vertical="bottom" wrapText="1"/>
    </x:xf>
    <x:xf numFmtId="164" fontId="31" fillId="5" borderId="0" xfId="0" applyNumberFormat="1" applyFont="1" applyFill="1" applyBorder="1" applyAlignment="1">
      <x:alignment horizontal="general" vertical="bottom" wrapText="0"/>
    </x:xf>
    <x:xf numFmtId="164" fontId="31" fillId="12" borderId="0" xfId="0" applyNumberFormat="1" applyFont="1" applyFill="1" applyBorder="1" applyAlignment="1">
      <x:alignment horizontal="general" vertical="bottom" wrapText="0"/>
    </x:xf>
    <x:xf numFmtId="171" fontId="31" fillId="0" borderId="0" xfId="0" applyNumberFormat="1" applyFont="1" applyFill="1" applyBorder="1" applyAlignment="1">
      <x:alignment horizontal="general" vertical="bottom" wrapText="1"/>
    </x:xf>
    <x:xf numFmtId="164" fontId="31" fillId="20" borderId="0" xfId="0" applyNumberFormat="1" applyFont="1" applyFill="1" applyBorder="1" applyAlignment="1">
      <x:alignment horizontal="general" vertical="bottom" wrapText="0"/>
    </x:xf>
    <x:xf numFmtId="175" fontId="0" fillId="5" borderId="0" xfId="0" applyNumberFormat="1" applyFont="1" applyFill="1" applyBorder="1" applyAlignment="1">
      <x:alignment horizontal="general" vertical="bottom" wrapText="0"/>
    </x:xf>
    <x:xf numFmtId="175" fontId="0" fillId="0" borderId="0" xfId="0" applyNumberFormat="1" applyFont="1" applyFill="1" applyBorder="1" applyAlignment="1">
      <x:alignment horizontal="general" vertical="bottom" wrapText="0"/>
    </x:xf>
    <x:xf numFmtId="173" fontId="31" fillId="20" borderId="0" xfId="0" applyNumberFormat="1" applyFont="1" applyFill="1" applyBorder="1" applyAlignment="1">
      <x:alignment horizontal="general" vertical="bottom" wrapText="0"/>
    </x:xf>
    <x:xf numFmtId="175" fontId="31" fillId="5" borderId="0" xfId="0" applyNumberFormat="1" applyFont="1" applyFill="1" applyBorder="1" applyAlignment="1">
      <x:alignment horizontal="general" vertical="bottom" wrapText="0"/>
    </x:xf>
    <x:xf numFmtId="175" fontId="31" fillId="0" borderId="0" xfId="0" applyNumberFormat="1" applyFont="1" applyFill="1" applyBorder="1" applyAlignment="1">
      <x:alignment horizontal="general" vertical="bottom" wrapText="0"/>
    </x:xf>
    <x:xf numFmtId="164" fontId="74" fillId="0" borderId="0" xfId="0" applyNumberFormat="1" applyFont="1" applyFill="1" applyBorder="1" applyAlignment="1">
      <x:alignment horizontal="general" vertical="bottom" wrapText="0"/>
    </x:xf>
    <x:xf numFmtId="164" fontId="75" fillId="0" borderId="0" xfId="0" applyNumberFormat="1" applyFont="1" applyFill="1" applyBorder="1" applyAlignment="1">
      <x:alignment horizontal="general" vertical="bottom" wrapText="0"/>
    </x:xf>
    <x:xf numFmtId="164" fontId="76" fillId="21" borderId="0" xfId="0" applyNumberFormat="1" applyFont="1" applyFill="1" applyBorder="1" applyAlignment="1">
      <x:alignment horizontal="center" vertical="center" wrapText="1"/>
    </x:xf>
    <x:xf numFmtId="164" fontId="76" fillId="3" borderId="2" xfId="0" applyNumberFormat="1" applyFont="1" applyFill="1" applyBorder="1" applyAlignment="1">
      <x:alignment horizontal="center" vertical="center" wrapText="1"/>
    </x:xf>
    <x:xf numFmtId="164" fontId="76" fillId="22" borderId="2" xfId="0" applyNumberFormat="1" applyFont="1" applyFill="1" applyBorder="1" applyAlignment="1">
      <x:alignment horizontal="center" vertical="center" wrapText="1"/>
    </x:xf>
    <x:xf numFmtId="164" fontId="76" fillId="23" borderId="2" xfId="0" applyNumberFormat="1" applyFont="1" applyFill="1" applyBorder="1" applyAlignment="1">
      <x:alignment horizontal="center" vertical="center" wrapText="1"/>
    </x:xf>
    <x:xf numFmtId="164" fontId="76" fillId="24" borderId="2" xfId="0" applyNumberFormat="1" applyFont="1" applyFill="1" applyBorder="1" applyAlignment="1">
      <x:alignment horizontal="center" vertical="center" wrapText="1"/>
    </x:xf>
    <x:xf numFmtId="164" fontId="77" fillId="3" borderId="3" xfId="0" applyNumberFormat="1" applyFont="1" applyFill="1" applyBorder="1" applyAlignment="1">
      <x:alignment horizontal="center" vertical="center" wrapText="1"/>
    </x:xf>
    <x:xf numFmtId="164" fontId="77" fillId="3" borderId="4" xfId="0" applyNumberFormat="1" applyFont="1" applyFill="1" applyBorder="1" applyAlignment="1">
      <x:alignment horizontal="center" vertical="center" wrapText="1"/>
    </x:xf>
    <x:xf numFmtId="164" fontId="77" fillId="22" borderId="3" xfId="0" applyNumberFormat="1" applyFont="1" applyFill="1" applyBorder="1" applyAlignment="1">
      <x:alignment horizontal="center" vertical="center" wrapText="1"/>
    </x:xf>
    <x:xf numFmtId="164" fontId="77" fillId="22" borderId="4" xfId="0" applyNumberFormat="1" applyFont="1" applyFill="1" applyBorder="1" applyAlignment="1">
      <x:alignment horizontal="center" vertical="center" wrapText="1"/>
    </x:xf>
    <x:xf numFmtId="164" fontId="77" fillId="23" borderId="3" xfId="0" applyNumberFormat="1" applyFont="1" applyFill="1" applyBorder="1" applyAlignment="1">
      <x:alignment horizontal="center" vertical="center" wrapText="1"/>
    </x:xf>
    <x:xf numFmtId="164" fontId="77" fillId="23" borderId="4" xfId="0" applyNumberFormat="1" applyFont="1" applyFill="1" applyBorder="1" applyAlignment="1">
      <x:alignment horizontal="center" vertical="center" wrapText="1"/>
    </x:xf>
    <x:xf numFmtId="164" fontId="77" fillId="24" borderId="3" xfId="0" applyNumberFormat="1" applyFont="1" applyFill="1" applyBorder="1" applyAlignment="1">
      <x:alignment horizontal="center" vertical="center" wrapText="1"/>
    </x:xf>
    <x:xf numFmtId="164" fontId="77" fillId="24" borderId="4" xfId="0" applyNumberFormat="1" applyFont="1" applyFill="1" applyBorder="1" applyAlignment="1">
      <x:alignment horizontal="center" vertical="center" wrapText="1"/>
    </x:xf>
    <x:xf numFmtId="164" fontId="63" fillId="0" borderId="5" xfId="0" applyNumberFormat="1" applyFont="1" applyFill="1" applyBorder="1" applyAlignment="1">
      <x:alignment horizontal="center" vertical="center" wrapText="1"/>
    </x:xf>
    <x:xf numFmtId="165" fontId="36" fillId="0" borderId="1" xfId="0" applyNumberFormat="1" applyFont="1" applyFill="1" applyBorder="1" applyAlignment="1">
      <x:alignment horizontal="general" vertical="bottom" wrapText="0"/>
    </x:xf>
    <x:xf numFmtId="170" fontId="36" fillId="0" borderId="1" xfId="0" applyNumberFormat="1" applyFont="1" applyFill="1" applyBorder="1" applyAlignment="1">
      <x:alignment horizontal="general" vertical="bottom" wrapText="0"/>
    </x:xf>
    <x:xf numFmtId="167" fontId="36" fillId="0" borderId="1" xfId="0" applyNumberFormat="1" applyFont="1" applyFill="1" applyBorder="1" applyAlignment="1">
      <x:alignment horizontal="general" vertical="bottom" wrapText="0"/>
    </x:xf>
    <x:xf numFmtId="167" fontId="36" fillId="0" borderId="6" xfId="0" applyNumberFormat="1" applyFont="1" applyFill="1" applyBorder="1" applyAlignment="1">
      <x:alignment horizontal="general" vertical="bottom" wrapText="0"/>
    </x:xf>
    <x:xf numFmtId="165" fontId="29" fillId="0" borderId="1" xfId="0" applyNumberFormat="1" applyFont="1" applyFill="1" applyBorder="1" applyAlignment="1">
      <x:alignment horizontal="general" vertical="bottom" wrapText="0"/>
    </x:xf>
    <x:xf numFmtId="164" fontId="29" fillId="0" borderId="1" xfId="0" applyNumberFormat="1" applyFont="1" applyFill="1" applyBorder="1" applyAlignment="1">
      <x:alignment horizontal="general" vertical="bottom" wrapText="0"/>
    </x:xf>
    <x:xf numFmtId="167" fontId="29" fillId="0" borderId="1" xfId="0" applyNumberFormat="1" applyFont="1" applyFill="1" applyBorder="1" applyAlignment="1">
      <x:alignment horizontal="general" vertical="bottom" wrapText="0"/>
    </x:xf>
    <x:xf numFmtId="164" fontId="50" fillId="8" borderId="0" xfId="0" applyNumberFormat="1" applyFont="1" applyFill="1" applyBorder="1" applyAlignment="1">
      <x:alignment horizontal="general" vertical="bottom" wrapText="1"/>
    </x:xf>
    <x:xf numFmtId="164" fontId="18" fillId="4" borderId="0" xfId="0" applyNumberFormat="1" applyFont="1" applyFill="1" applyBorder="1" applyAlignment="1">
      <x:alignment horizontal="general" vertical="bottom" wrapText="0"/>
    </x:xf>
    <x:xf numFmtId="173" fontId="18" fillId="5" borderId="0" xfId="0" applyNumberFormat="1" applyFont="1" applyFill="1" applyBorder="1" applyAlignment="1">
      <x:alignment horizontal="general" vertical="bottom" wrapText="0"/>
    </x:xf>
    <x:xf numFmtId="176" fontId="18" fillId="5" borderId="0" xfId="0" applyNumberFormat="1" applyFont="1" applyFill="1" applyBorder="1" applyAlignment="1">
      <x:alignment horizontal="general" vertical="bottom" wrapText="0"/>
    </x:xf>
    <x:xf numFmtId="164" fontId="79" fillId="0" borderId="0" xfId="0" applyNumberFormat="1" applyFont="1" applyFill="1" applyBorder="1" applyAlignment="1">
      <x:alignment horizontal="general" vertical="bottom" wrapText="0"/>
    </x:xf>
    <x:xf numFmtId="164" fontId="50" fillId="3" borderId="1" xfId="0" applyNumberFormat="1" applyFont="1" applyFill="1" applyBorder="1" applyAlignment="1">
      <x:alignment horizontal="general" vertical="top" wrapText="1"/>
    </x:xf>
    <x:xf numFmtId="164" fontId="36" fillId="18" borderId="1" xfId="0" applyNumberFormat="1" applyFont="1" applyFill="1" applyBorder="1" applyAlignment="1">
      <x:alignment horizontal="general" vertical="top" wrapText="1"/>
    </x:xf>
    <x:xf numFmtId="164" fontId="50" fillId="8" borderId="0" xfId="0" applyNumberFormat="1" applyFont="1" applyFill="1" applyBorder="1" applyAlignment="1">
      <x:alignment horizontal="center" vertical="center" wrapText="1"/>
    </x:xf>
    <x:xf numFmtId="164" fontId="33" fillId="8" borderId="0" xfId="0" applyNumberFormat="1" applyFont="1" applyFill="1" applyBorder="1" applyAlignment="1">
      <x:alignment horizontal="center" vertical="center" wrapText="1"/>
    </x:xf>
    <x:xf numFmtId="165" fontId="31" fillId="0" borderId="0" xfId="0" applyNumberFormat="1" applyFont="1" applyFill="1" applyBorder="1" applyAlignment="1">
      <x:alignment horizontal="general" vertical="bottom" wrapText="1"/>
    </x:xf>
    <x:xf numFmtId="165" fontId="0" fillId="4" borderId="0" xfId="0" applyNumberFormat="1" applyFont="1" applyFill="1" applyBorder="1" applyAlignment="1">
      <x:alignment horizontal="general" vertical="bottom" wrapText="1"/>
    </x:xf>
    <x:xf numFmtId="165" fontId="11" fillId="7" borderId="0" xfId="0" applyNumberFormat="1" applyFont="1" applyFill="1" applyBorder="1" applyAlignment="1">
      <x:alignment horizontal="general" vertical="bottom" wrapText="1"/>
    </x:xf>
    <x:xf numFmtId="165" fontId="0" fillId="0" borderId="0" xfId="0" applyNumberFormat="1" applyFont="1" applyFill="1" applyBorder="1" applyAlignment="1">
      <x:alignment horizontal="general" vertical="bottom" wrapText="1"/>
    </x:xf>
    <x:xf numFmtId="164" fontId="80" fillId="25" borderId="0" xfId="0" applyNumberFormat="1" applyFont="1" applyFill="1" applyBorder="1" applyAlignment="1">
      <x:alignment horizontal="general" vertical="bottom" wrapText="0"/>
    </x:xf>
    <x:xf numFmtId="164" fontId="81" fillId="4" borderId="0" xfId="0" applyNumberFormat="1" applyFont="1" applyFill="1" applyBorder="1" applyAlignment="1">
      <x:alignment horizontal="general" vertical="top" wrapText="1"/>
    </x:xf>
    <x:xf numFmtId="164" fontId="30" fillId="0" borderId="0" xfId="0" applyNumberFormat="1" applyFont="1" applyFill="1" applyBorder="1" applyAlignment="1">
      <x:alignment horizontal="general" vertical="top" wrapText="1"/>
    </x:xf>
    <x:xf numFmtId="164" fontId="82" fillId="3" borderId="0" xfId="0" applyNumberFormat="1" applyFont="1" applyFill="1" applyBorder="1" applyAlignment="1">
      <x:alignment horizontal="general" vertical="bottom" wrapText="1"/>
    </x:xf>
    <x:xf numFmtId="166" fontId="83" fillId="25" borderId="1" xfId="0" applyNumberFormat="1" applyFont="1" applyFill="1" applyBorder="1" applyAlignment="1">
      <x:alignment horizontal="general" vertical="top" wrapText="1"/>
    </x:xf>
    <x:xf numFmtId="164" fontId="51" fillId="0" borderId="0" xfId="0" applyNumberFormat="1" applyFont="1" applyFill="1" applyBorder="1" applyAlignment="1">
      <x:alignment horizontal="general" vertical="bottom" wrapText="1"/>
    </x:xf>
    <x:xf numFmtId="166" fontId="44" fillId="25" borderId="1" xfId="0" applyNumberFormat="1" applyFont="1" applyFill="1" applyBorder="1" applyAlignment="1">
      <x:alignment horizontal="general" vertical="top" wrapText="1"/>
    </x:xf>
    <x:xf numFmtId="164" fontId="84" fillId="0" borderId="1" xfId="0" applyNumberFormat="1" applyFont="1" applyFill="1" applyBorder="1" applyAlignment="1">
      <x:alignment horizontal="general" vertical="top" wrapText="1"/>
    </x:xf>
    <x:xf numFmtId="166" fontId="84" fillId="7" borderId="1" xfId="0" applyNumberFormat="1" applyFont="1" applyFill="1" applyBorder="1" applyAlignment="1">
      <x:alignment horizontal="center" vertical="top" wrapText="1"/>
    </x:xf>
    <x:xf numFmtId="171" fontId="72" fillId="11" borderId="1" xfId="0" applyNumberFormat="1" applyFont="1" applyFill="1" applyBorder="1" applyAlignment="1">
      <x:alignment horizontal="general" vertical="top" wrapText="1"/>
    </x:xf>
    <x:xf numFmtId="164" fontId="86" fillId="25" borderId="0" xfId="0" applyNumberFormat="1" applyFont="1" applyFill="1" applyBorder="1" applyAlignment="1">
      <x:alignment horizontal="general" vertical="bottom" wrapText="1"/>
    </x:xf>
    <x:xf numFmtId="164" fontId="62" fillId="11" borderId="0" xfId="0" applyNumberFormat="1" applyFont="1" applyFill="1" applyBorder="1" applyAlignment="1">
      <x:alignment horizontal="general" vertical="top" wrapText="1"/>
    </x:xf>
    <x:xf numFmtId="164" fontId="50" fillId="8" borderId="1" xfId="0" applyNumberFormat="1" applyFont="1" applyFill="1" applyBorder="1" applyAlignment="1">
      <x:alignment horizontal="center" vertical="top" wrapText="1"/>
    </x:xf>
    <x:xf numFmtId="164" fontId="63" fillId="9" borderId="0" xfId="0" applyNumberFormat="1" applyFont="1" applyFill="1" applyBorder="1" applyAlignment="1">
      <x:alignment horizontal="general" vertical="bottom" wrapText="0"/>
    </x:xf>
    <x:xf numFmtId="164" fontId="34" fillId="3" borderId="0" xfId="0" applyNumberFormat="1" applyFont="1" applyFill="1" applyBorder="1" applyAlignment="1">
      <x:alignment horizontal="general" vertical="bottom" wrapText="1"/>
    </x:xf>
    <x:xf numFmtId="164" fontId="36" fillId="0" borderId="0" xfId="0" applyNumberFormat="1" applyFont="1" applyFill="1" applyBorder="1" applyAlignment="1">
      <x:alignment horizontal="general" vertical="bottom" wrapText="1"/>
    </x:xf>
    <x:xf numFmtId="164" fontId="62" fillId="0" borderId="0" xfId="0" applyNumberFormat="1" applyFont="1" applyFill="1" applyBorder="1" applyAlignment="1">
      <x:alignment horizontal="general" vertical="bottom" wrapText="1"/>
    </x:xf>
    <x:xf numFmtId="164" fontId="32" fillId="4" borderId="0" xfId="0" applyNumberFormat="1" applyFont="1" applyFill="1" applyBorder="1" applyAlignment="1">
      <x:alignment horizontal="general" vertical="top" wrapText="1"/>
    </x:xf>
    <x:xf numFmtId="164" fontId="72" fillId="17" borderId="1" xfId="0" applyNumberFormat="1" applyFont="1" applyFill="1" applyBorder="1" applyAlignment="1">
      <x:alignment horizontal="general" vertical="top" wrapText="1"/>
    </x:xf>
    <x:xf numFmtId="164" fontId="51" fillId="0" borderId="1" xfId="0" applyNumberFormat="1" applyFont="1" applyFill="1" applyBorder="1" applyAlignment="1">
      <x:alignment horizontal="general" vertical="top" wrapText="1"/>
    </x:xf>
    <x:xf numFmtId="164" fontId="43" fillId="6" borderId="0" xfId="0" applyNumberFormat="1" applyFont="1" applyFill="1" applyBorder="1" applyAlignment="1">
      <x:alignment horizontal="general" vertical="bottom" wrapText="1"/>
    </x:xf>
    <x:xf numFmtId="164" fontId="45" fillId="0" borderId="0" xfId="0" applyNumberFormat="1" applyFont="1" applyFill="1" applyBorder="1" applyAlignment="1">
      <x:alignment horizontal="general" vertical="bottom" wrapText="1"/>
    </x:xf>
    <x:xf numFmtId="164" fontId="11" fillId="5" borderId="0" xfId="0" applyNumberFormat="1" applyFont="1" applyFill="1" applyBorder="1" applyAlignment="1">
      <x:alignment horizontal="general" vertical="bottom" wrapText="1"/>
    </x:xf>
    <x:xf numFmtId="164" fontId="72" fillId="17" borderId="0" xfId="0" applyNumberFormat="1" applyFont="1" applyFill="1" applyBorder="1" applyAlignment="1">
      <x:alignment horizontal="general" vertical="bottom" wrapText="1"/>
    </x:xf>
    <x:xf numFmtId="164" fontId="87" fillId="12" borderId="0" xfId="0" applyNumberFormat="1" applyFont="1" applyFill="1" applyBorder="1" applyAlignment="1">
      <x:alignment horizontal="general" vertical="bottom" wrapText="1"/>
    </x:xf>
    <x:xf numFmtId="164" fontId="36" fillId="7" borderId="1" xfId="0" applyNumberFormat="1" applyFont="1" applyFill="1" applyBorder="1" applyAlignment="1">
      <x:alignment horizontal="general" vertical="top" wrapText="1"/>
    </x:xf>
    <x:xf numFmtId="164" fontId="72" fillId="17" borderId="0" xfId="0" applyNumberFormat="1" applyFont="1" applyFill="1" applyBorder="1" applyAlignment="1">
      <x:alignment horizontal="general" vertical="bottom" wrapText="0"/>
    </x:xf>
    <x:xf numFmtId="164" fontId="66" fillId="0" borderId="1" xfId="0" applyNumberFormat="1" applyFont="1" applyFill="1" applyBorder="1" applyAlignment="1">
      <x:alignment horizontal="general" vertical="bottom" wrapText="1"/>
    </x:xf>
    <x:xf numFmtId="164" fontId="66" fillId="7" borderId="1" xfId="0" applyNumberFormat="1" applyFont="1" applyFill="1" applyBorder="1" applyAlignment="1">
      <x:alignment horizontal="general" vertical="bottom" wrapText="1"/>
    </x:xf>
    <x:xf numFmtId="164" fontId="66" fillId="0" borderId="1" xfId="0" applyNumberFormat="1" applyFont="1" applyFill="1" applyBorder="1" applyAlignment="1">
      <x:alignment horizontal="general" vertical="bottom" wrapText="0"/>
    </x:xf>
    <x:xf numFmtId="164" fontId="66" fillId="17" borderId="1" xfId="0" applyNumberFormat="1" applyFont="1" applyFill="1" applyBorder="1" applyAlignment="1">
      <x:alignment horizontal="general" vertical="bottom" wrapText="1"/>
    </x:xf>
    <x:xf numFmtId="164" fontId="66" fillId="5" borderId="1" xfId="0" applyNumberFormat="1" applyFont="1" applyFill="1" applyBorder="1" applyAlignment="1">
      <x:alignment horizontal="general" vertical="bottom" wrapText="1"/>
    </x:xf>
    <x:xf numFmtId="164" fontId="27" fillId="4" borderId="0" xfId="0" applyNumberFormat="1" applyFont="1" applyFill="1" applyBorder="1" applyAlignment="1">
      <x:alignment horizontal="general" vertical="bottom" wrapText="1"/>
    </x:xf>
    <x:xf numFmtId="173" fontId="0" fillId="0" borderId="1" xfId="0" applyNumberFormat="1" applyFont="1" applyFill="1" applyBorder="1" applyAlignment="1">
      <x:alignment horizontal="general" vertical="top" wrapText="1"/>
    </x:xf>
    <x:xf numFmtId="164" fontId="54" fillId="0" borderId="1" xfId="0" applyNumberFormat="1" applyFont="1" applyFill="1" applyBorder="1" applyAlignment="1">
      <x:alignment horizontal="general" vertical="bottom" wrapText="0"/>
    </x:xf>
    <x:xf numFmtId="164" fontId="54" fillId="9" borderId="1" xfId="0" applyNumberFormat="1" applyFont="1" applyFill="1" applyBorder="1" applyAlignment="1">
      <x:alignment horizontal="general" vertical="bottom" wrapText="0"/>
    </x:xf>
    <x:xf numFmtId="164" fontId="89" fillId="6" borderId="0" xfId="0" applyNumberFormat="1" applyFont="1" applyFill="1" applyBorder="1" applyAlignment="1">
      <x:alignment horizontal="general" vertical="bottom" wrapText="0"/>
    </x:xf>
    <x:xf numFmtId="164" fontId="90" fillId="4" borderId="0" xfId="0" applyNumberFormat="1" applyFont="1" applyFill="1" applyBorder="1" applyAlignment="1">
      <x:alignment horizontal="general" vertical="top" wrapText="1"/>
    </x:xf>
    <x:xf numFmtId="164" fontId="34" fillId="3" borderId="0" xfId="0" applyNumberFormat="1" applyFont="1" applyFill="1" applyBorder="1" applyAlignment="1">
      <x:alignment horizontal="general" vertical="bottom" wrapText="0"/>
    </x:xf>
    <x:xf numFmtId="164" fontId="65" fillId="8" borderId="1" xfId="0" applyNumberFormat="1" applyFont="1" applyFill="1" applyBorder="1" applyAlignment="1">
      <x:alignment horizontal="general" vertical="top" wrapText="1"/>
    </x:xf>
    <x:xf numFmtId="164" fontId="14" fillId="0" borderId="1" xfId="0" applyNumberFormat="1" applyFont="1" applyFill="1" applyBorder="1" applyAlignment="1">
      <x:alignment horizontal="general" vertical="top" wrapText="1"/>
    </x:xf>
    <x:xf numFmtId="165" fontId="14" fillId="0" borderId="1" xfId="0" applyNumberFormat="1" applyFont="1" applyFill="1" applyBorder="1" applyAlignment="1">
      <x:alignment horizontal="general" vertical="top" wrapText="1"/>
    </x:xf>
    <x:xf numFmtId="164" fontId="92" fillId="17" borderId="1" xfId="0" applyNumberFormat="1" applyFont="1" applyFill="1" applyBorder="1" applyAlignment="1">
      <x:alignment horizontal="general" vertical="top" wrapText="1"/>
    </x:xf>
    <x:xf numFmtId="164" fontId="92" fillId="0" borderId="1" xfId="0" applyNumberFormat="1" applyFont="1" applyFill="1" applyBorder="1" applyAlignment="1">
      <x:alignment horizontal="general" vertical="bottom" wrapText="1"/>
    </x:xf>
    <x:xf numFmtId="164" fontId="12" fillId="10" borderId="0" xfId="0" applyNumberFormat="1" applyFont="1" applyFill="1" applyBorder="1" applyAlignment="1">
      <x:alignment horizontal="general" vertical="bottom" wrapText="0"/>
    </x:xf>
    <x:xf numFmtId="165" fontId="0" fillId="0" borderId="1" xfId="0" applyNumberFormat="1" applyFont="1" applyFill="1" applyBorder="1" applyAlignment="1">
      <x:alignment horizontal="general" vertical="bottom" wrapText="0"/>
    </x:xf>
    <x:xf numFmtId="164" fontId="90" fillId="4" borderId="0" xfId="0" applyNumberFormat="1" applyFont="1" applyFill="1" applyBorder="1" applyAlignment="1">
      <x:alignment horizontal="general" vertical="bottom" wrapText="0"/>
    </x:xf>
    <x:xf numFmtId="164" fontId="92" fillId="0" borderId="1" xfId="0" applyNumberFormat="1" applyFont="1" applyFill="1" applyBorder="1" applyAlignment="1">
      <x:alignment horizontal="general" vertical="top" wrapText="1"/>
    </x:xf>
    <x:xf numFmtId="164" fontId="93" fillId="0" borderId="1" xfId="0" applyNumberFormat="1" applyFont="1" applyFill="1" applyBorder="1" applyAlignment="1">
      <x:alignment horizontal="general" vertical="top" wrapText="1"/>
    </x:xf>
    <x:xf numFmtId="164" fontId="62" fillId="0" borderId="0" xfId="0" applyNumberFormat="1" applyFont="1" applyFill="1" applyBorder="1" applyAlignment="1">
      <x:alignment horizontal="general" vertical="bottom" wrapText="0"/>
    </x:xf>
    <x:xf numFmtId="164" fontId="65" fillId="8" borderId="1" xfId="0" applyNumberFormat="1" applyFont="1" applyFill="1" applyBorder="1" applyAlignment="1">
      <x:alignment horizontal="general" vertical="bottom" wrapText="0"/>
    </x:xf>
    <x:xf numFmtId="164" fontId="92" fillId="0" borderId="1" xfId="0" applyNumberFormat="1" applyFont="1" applyFill="1" applyBorder="1" applyAlignment="1">
      <x:alignment horizontal="general" vertical="bottom" wrapText="0"/>
    </x:xf>
    <x:xf numFmtId="170" fontId="92" fillId="0" borderId="1" xfId="0" applyNumberFormat="1" applyFont="1" applyFill="1" applyBorder="1" applyAlignment="1">
      <x:alignment horizontal="general" vertical="bottom" wrapText="0"/>
    </x:xf>
    <x:xf numFmtId="165" fontId="92" fillId="0" borderId="1" xfId="0" applyNumberFormat="1" applyFont="1" applyFill="1" applyBorder="1" applyAlignment="1">
      <x:alignment horizontal="general" vertical="bottom" wrapText="0"/>
    </x:xf>
    <x:xf numFmtId="164" fontId="36" fillId="9" borderId="1" xfId="0" applyNumberFormat="1" applyFont="1" applyFill="1" applyBorder="1" applyAlignment="1">
      <x:alignment horizontal="general" vertical="bottom" wrapText="1"/>
    </x:xf>
    <x:xf numFmtId="164" fontId="36" fillId="0" borderId="0" xfId="0" applyNumberFormat="1" applyFont="1" applyFill="1" applyBorder="1" applyAlignment="1">
      <x:alignment horizontal="general" vertical="top" wrapText="1"/>
    </x:xf>
    <x:xf numFmtId="164" fontId="16" fillId="2" borderId="0" xfId="0" applyNumberFormat="1" applyFont="1" applyFill="1" applyBorder="1" applyAlignment="1">
      <x:alignment horizontal="general" vertical="center" wrapText="0"/>
    </x:xf>
    <x:xf numFmtId="164" fontId="0" fillId="2" borderId="0" xfId="0" applyNumberFormat="1" applyFont="1" applyFill="1" applyBorder="1" applyAlignment="1">
      <x:alignment horizontal="general" vertical="bottom" wrapText="0"/>
    </x:xf>
    <x:xf numFmtId="164" fontId="38" fillId="2" borderId="0" xfId="0" applyNumberFormat="1" applyFont="1" applyFill="1" applyBorder="1" applyAlignment="1">
      <x:alignment horizontal="general" vertical="bottom" wrapText="1"/>
    </x:xf>
    <x:xf numFmtId="164" fontId="50" fillId="2" borderId="0" xfId="0" applyNumberFormat="1" applyFont="1" applyFill="1" applyBorder="1" applyAlignment="1">
      <x:alignment horizontal="general" vertical="center" wrapText="1"/>
    </x:xf>
    <x:xf numFmtId="164" fontId="31" fillId="2" borderId="0" xfId="0" applyNumberFormat="1" applyFont="1" applyFill="1" applyBorder="1" applyAlignment="1">
      <x:alignment horizontal="general" vertical="bottom" wrapText="0"/>
    </x:xf>
    <x:xf numFmtId="173" fontId="31" fillId="2" borderId="0" xfId="0" applyNumberFormat="1" applyFont="1" applyFill="1" applyBorder="1" applyAlignment="1">
      <x:alignment horizontal="general" vertical="bottom" wrapText="0"/>
    </x:xf>
    <x:xf numFmtId="170" fontId="31" fillId="2" borderId="0" xfId="0" applyNumberFormat="1" applyFont="1" applyFill="1" applyBorder="1" applyAlignment="1">
      <x:alignment horizontal="general" vertical="bottom" wrapText="0"/>
    </x:xf>
    <x:xf numFmtId="164" fontId="53" fillId="2" borderId="0" xfId="0" applyNumberFormat="1" applyFont="1" applyFill="1" applyBorder="1" applyAlignment="1">
      <x:alignment horizontal="general" vertical="bottom" wrapText="0"/>
    </x:xf>
    <x:xf numFmtId="164" fontId="49" fillId="2" borderId="0" xfId="0" applyNumberFormat="1" applyFont="1" applyFill="1" applyBorder="1" applyAlignment="1">
      <x:alignment horizontal="general" vertical="top" wrapText="1"/>
    </x:xf>
    <x:xf numFmtId="164" fontId="49" fillId="2" borderId="0" xfId="0" applyNumberFormat="1" applyFont="1" applyFill="1" applyBorder="1" applyAlignment="1">
      <x:alignment horizontal="general" vertical="bottom" wrapText="1"/>
    </x:xf>
    <x:xf numFmtId="164" fontId="24" fillId="2" borderId="0" xfId="0" applyNumberFormat="1" applyFont="1" applyFill="1" applyBorder="1" applyAlignment="1">
      <x:alignment horizontal="general" vertical="center" wrapText="0"/>
    </x:xf>
    <x:xf numFmtId="164" fontId="87" fillId="2" borderId="0" xfId="0" applyNumberFormat="1" applyFont="1" applyFill="1" applyBorder="1" applyAlignment="1">
      <x:alignment horizontal="general" vertical="bottom" wrapText="1"/>
    </x:xf>
    <x:xf numFmtId="164" fontId="24" fillId="2" borderId="0" xfId="0" applyNumberFormat="1" applyFont="1" applyFill="1" applyBorder="1" applyAlignment="1">
      <x:alignment horizontal="general" vertical="center" wrapText="1"/>
    </x:xf>
    <x:xf numFmtId="164" fontId="14" fillId="2" borderId="0" xfId="0" applyNumberFormat="1" applyFont="1" applyFill="1" applyBorder="1" applyAlignment="1">
      <x:alignment horizontal="general" vertical="bottom" wrapText="0"/>
    </x:xf>
    <x:xf numFmtId="173" fontId="14" fillId="2" borderId="0" xfId="0" applyNumberFormat="1" applyFont="1" applyFill="1" applyBorder="1" applyAlignment="1">
      <x:alignment horizontal="general" vertical="bottom" wrapText="0"/>
    </x:xf>
    <x:xf numFmtId="170" fontId="14" fillId="2" borderId="0" xfId="0" applyNumberFormat="1" applyFont="1" applyFill="1" applyBorder="1" applyAlignment="1">
      <x:alignment horizontal="general" vertical="bottom" wrapText="0"/>
    </x:xf>
    <x:xf numFmtId="164" fontId="95" fillId="2" borderId="0" xfId="0" applyNumberFormat="1" applyFont="1" applyFill="1" applyBorder="1" applyAlignment="1">
      <x:alignment horizontal="general" vertical="bottom" wrapText="0"/>
    </x:xf>
    <x:xf numFmtId="164" fontId="26" fillId="2" borderId="0" xfId="0" applyNumberFormat="1" applyFont="1" applyFill="1" applyBorder="1" applyAlignment="1">
      <x:alignment horizontal="general" vertical="top" wrapText="1"/>
    </x:xf>
    <x:xf numFmtId="164" fontId="26" fillId="2" borderId="0" xfId="0" applyNumberFormat="1" applyFont="1" applyFill="1" applyBorder="1" applyAlignment="1">
      <x:alignment horizontal="general" vertical="bottom" wrapText="1"/>
    </x:xf>
    <x:xf numFmtId="164" fontId="24" fillId="6" borderId="0" xfId="0" applyNumberFormat="1" applyFont="1" applyFill="1" applyBorder="1" applyAlignment="1">
      <x:alignment horizontal="general" vertical="center" wrapText="0"/>
    </x:xf>
    <x:xf numFmtId="164" fontId="6" fillId="6" borderId="0" xfId="0" applyNumberFormat="1" applyFont="1" applyFill="1" applyBorder="1" applyAlignment="1">
      <x:alignment horizontal="general" vertical="bottom" wrapText="0"/>
    </x:xf>
    <x:xf numFmtId="164" fontId="96" fillId="6" borderId="0" xfId="0" applyNumberFormat="1" applyFont="1" applyFill="1" applyBorder="1" applyAlignment="1">
      <x:alignment horizontal="general" vertical="center" wrapText="0"/>
    </x:xf>
    <x:xf numFmtId="164" fontId="97" fillId="6" borderId="0" xfId="0" applyNumberFormat="1" applyFont="1" applyFill="1" applyBorder="1" applyAlignment="1">
      <x:alignment horizontal="general" vertical="bottom" wrapText="0"/>
    </x:xf>
    <x:xf numFmtId="164" fontId="87" fillId="4" borderId="0" xfId="0" applyNumberFormat="1" applyFont="1" applyFill="1" applyBorder="1" applyAlignment="1">
      <x:alignment horizontal="general" vertical="bottom" wrapText="1"/>
    </x:xf>
    <x:xf numFmtId="164" fontId="6" fillId="4" borderId="0" xfId="0" applyNumberFormat="1" applyFont="1" applyFill="1" applyBorder="1" applyAlignment="1">
      <x:alignment horizontal="general" vertical="bottom" wrapText="0"/>
    </x:xf>
    <x:xf numFmtId="164" fontId="38" fillId="4" borderId="0" xfId="0" applyNumberFormat="1" applyFont="1" applyFill="1" applyBorder="1" applyAlignment="1">
      <x:alignment horizontal="general" vertical="bottom" wrapText="0"/>
    </x:xf>
    <x:xf numFmtId="164" fontId="24" fillId="8" borderId="0" xfId="0" applyNumberFormat="1" applyFont="1" applyFill="1" applyBorder="1" applyAlignment="1">
      <x:alignment horizontal="general" vertical="center" wrapText="1"/>
    </x:xf>
    <x:xf numFmtId="200" fontId="14" fillId="2" borderId="0" xfId="0" applyNumberFormat="1" applyFont="1" applyFill="1" applyBorder="1" applyAlignment="1">
      <x:alignment horizontal="general" vertical="bottom" wrapText="0"/>
    </x:xf>
    <x:xf numFmtId="201" fontId="14" fillId="2" borderId="0" xfId="0" applyNumberFormat="1" applyFont="1" applyFill="1" applyBorder="1" applyAlignment="1">
      <x:alignment horizontal="general" vertical="bottom" wrapText="0"/>
    </x:xf>
    <x:xf numFmtId="200" fontId="14" fillId="5" borderId="0" xfId="0" applyNumberFormat="1" applyFont="1" applyFill="1" applyBorder="1" applyAlignment="1">
      <x:alignment horizontal="general" vertical="bottom" wrapText="0"/>
    </x:xf>
    <x:xf numFmtId="164" fontId="14" fillId="5" borderId="0" xfId="0" applyNumberFormat="1" applyFont="1" applyFill="1" applyBorder="1" applyAlignment="1">
      <x:alignment horizontal="general" vertical="bottom" wrapText="0"/>
    </x:xf>
    <x:xf numFmtId="201" fontId="14" fillId="5" borderId="0" xfId="0" applyNumberFormat="1" applyFont="1" applyFill="1" applyBorder="1" applyAlignment="1">
      <x:alignment horizontal="general" vertical="bottom" wrapText="0"/>
    </x:xf>
    <x:xf numFmtId="164" fontId="33" fillId="3" borderId="0" xfId="0" applyNumberFormat="1" applyFont="1" applyFill="1" applyBorder="1" applyAlignment="1">
      <x:alignment horizontal="general" vertical="bottom" wrapText="0"/>
    </x:xf>
    <x:xf numFmtId="173" fontId="6" fillId="2" borderId="0" xfId="0" applyNumberFormat="1" applyFont="1" applyFill="1" applyBorder="1" applyAlignment="1">
      <x:alignment horizontal="general" vertical="bottom" wrapText="0"/>
    </x:xf>
    <x:xf numFmtId="201" fontId="6" fillId="2" borderId="0" xfId="0" applyNumberFormat="1" applyFont="1" applyFill="1" applyBorder="1" applyAlignment="1">
      <x:alignment horizontal="general" vertical="bottom" wrapText="0"/>
    </x:xf>
    <x:xf numFmtId="173" fontId="6" fillId="4" borderId="0" xfId="0" applyNumberFormat="1" applyFont="1" applyFill="1" applyBorder="1" applyAlignment="1">
      <x:alignment horizontal="general" vertical="bottom" wrapText="0"/>
    </x:xf>
    <x:xf numFmtId="201" fontId="6" fillId="4" borderId="0" xfId="0" applyNumberFormat="1" applyFont="1" applyFill="1" applyBorder="1" applyAlignment="1">
      <x:alignment horizontal="general" vertical="bottom" wrapText="0"/>
    </x:xf>
    <x:xf numFmtId="164" fontId="26" fillId="6" borderId="0" xfId="0" applyNumberFormat="1" applyFont="1" applyFill="1" applyBorder="1" applyAlignment="1">
      <x:alignment horizontal="general" vertical="top" wrapText="1"/>
    </x:xf>
    <x:xf numFmtId="164" fontId="98" fillId="6" borderId="0" xfId="0" applyNumberFormat="1" applyFont="1" applyFill="1" applyBorder="1" applyAlignment="1">
      <x:alignment horizontal="general" vertical="top" wrapText="1"/>
    </x:xf>
    <x:xf numFmtId="164" fontId="6" fillId="8" borderId="0" xfId="0" applyNumberFormat="1" applyFont="1" applyFill="1" applyBorder="1" applyAlignment="1">
      <x:alignment horizontal="general" vertical="bottom" wrapText="0"/>
    </x:xf>
    <x:xf numFmtId="164" fontId="6" fillId="5" borderId="0" xfId="0" applyNumberFormat="1" applyFont="1" applyFill="1" applyBorder="1" applyAlignment="1">
      <x:alignment horizontal="general" vertical="bottom" wrapText="0"/>
    </x:xf>
    <x:xf numFmtId="201" fontId="6" fillId="5" borderId="0" xfId="0" applyNumberFormat="1" applyFont="1" applyFill="1" applyBorder="1" applyAlignment="1">
      <x:alignment horizontal="general" vertical="bottom" wrapText="0"/>
    </x:xf>
    <x:xf numFmtId="164" fontId="11" fillId="5" borderId="0" xfId="0" applyNumberFormat="1" applyFont="1" applyFill="1" applyBorder="1" applyAlignment="1">
      <x:alignment horizontal="general" vertical="bottom" wrapText="0"/>
    </x:xf>
    <x:xf numFmtId="201" fontId="11" fillId="5" borderId="0" xfId="0" applyNumberFormat="1" applyFont="1" applyFill="1" applyBorder="1" applyAlignment="1">
      <x:alignment horizontal="general" vertical="bottom" wrapText="0"/>
    </x:xf>
    <x:xf numFmtId="164" fontId="95" fillId="2" borderId="0" xfId="0" applyNumberFormat="1" applyFont="1" applyFill="1" applyBorder="1" applyAlignment="1">
      <x:alignment horizontal="general" vertical="bottom" wrapText="1"/>
    </x:xf>
    <x:xf numFmtId="201" fontId="11" fillId="5" borderId="0" xfId="0" applyNumberFormat="1" applyFont="1" applyFill="1" applyBorder="1" applyAlignment="1">
      <x:alignment horizontal="general" vertical="bottom" wrapText="1"/>
    </x:xf>
    <x:xf numFmtId="164" fontId="99" fillId="6" borderId="0" xfId="0" applyNumberFormat="1" applyFont="1" applyFill="1" applyBorder="1" applyAlignment="1">
      <x:alignment horizontal="general" vertical="bottom" wrapText="0"/>
    </x:xf>
    <x:xf numFmtId="164" fontId="0" fillId="6" borderId="0" xfId="0" applyNumberFormat="1" applyFont="1" applyFill="1" applyBorder="1" applyAlignment="1">
      <x:alignment horizontal="general" vertical="bottom" wrapText="0"/>
    </x:xf>
    <x:xf numFmtId="164" fontId="0" fillId="4" borderId="0" xfId="0" applyNumberFormat="1" applyFont="1" applyFill="1" applyBorder="1" applyAlignment="1">
      <x:alignment horizontal="general" vertical="bottom" wrapText="0"/>
    </x:xf>
    <x:xf numFmtId="164" fontId="0" fillId="4" borderId="0" xfId="0" applyNumberFormat="1" applyFont="1" applyFill="1" applyBorder="1" applyAlignment="1">
      <x:alignment horizontal="general" vertical="bottom" wrapText="1"/>
    </x:xf>
    <x:xf numFmtId="164" fontId="0" fillId="8" borderId="0" xfId="0" applyNumberFormat="1" applyFont="1" applyFill="1" applyBorder="1" applyAlignment="1">
      <x:alignment horizontal="general" vertical="bottom" wrapText="0"/>
    </x:xf>
    <x:xf numFmtId="164" fontId="0" fillId="3" borderId="0" xfId="0" applyNumberFormat="1" applyFont="1" applyFill="1" applyBorder="1" applyAlignment="1">
      <x:alignment horizontal="general" vertical="bottom" wrapText="0"/>
    </x:xf>
    <x:xf numFmtId="164" fontId="0" fillId="5" borderId="0" xfId="0" applyNumberFormat="1" applyFont="1" applyFill="1" applyBorder="1" applyAlignment="1">
      <x:alignment horizontal="general" vertical="bottom" wrapText="0"/>
    </x:xf>
    <x:xf numFmtId="173" fontId="0" fillId="5" borderId="0" xfId="0" applyNumberFormat="1" applyFont="1" applyFill="1" applyBorder="1" applyAlignment="1">
      <x:alignment horizontal="general" vertical="bottom" wrapText="0"/>
    </x:xf>
    <x:xf numFmtId="164" fontId="0" fillId="33" borderId="0" xfId="0" applyNumberFormat="1" applyFont="1" applyFill="1" applyBorder="1" applyAlignment="1">
      <x:alignment horizontal="general" vertical="bottom" wrapText="0"/>
    </x:xf>
    <x:xf numFmtId="164" fontId="47" fillId="33" borderId="0" xfId="0" applyNumberFormat="1" applyFont="1" applyFill="1" applyBorder="1" applyAlignment="1">
      <x:alignment horizontal="general" vertical="bottom" wrapText="0"/>
    </x:xf>
    <x:xf numFmtId="164" fontId="47" fillId="33" borderId="0" xfId="0" applyNumberFormat="1" applyFont="1" applyFill="1" applyBorder="1" applyAlignment="1">
      <x:alignment horizontal="general" vertical="bottom" wrapText="1"/>
    </x:xf>
    <x:xf numFmtId="164" fontId="0" fillId="34" borderId="0" xfId="0" applyNumberFormat="1" applyFont="1" applyFill="1" applyBorder="1" applyAlignment="1">
      <x:alignment horizontal="general" vertical="bottom" wrapText="1"/>
    </x:xf>
    <x:xf numFmtId="202" fontId="0" fillId="34" borderId="0" xfId="0" applyNumberFormat="1" applyFont="1" applyFill="1" applyBorder="1" applyAlignment="1">
      <x:alignment horizontal="general" vertical="bottom" wrapText="1"/>
    </x:xf>
    <x:xf numFmtId="164" fontId="0" fillId="35" borderId="0" xfId="0" applyNumberFormat="1" applyFont="1" applyFill="1" applyBorder="1" applyAlignment="1">
      <x:alignment horizontal="general" vertical="bottom" wrapText="0"/>
    </x:xf>
    <x:xf numFmtId="164" fontId="0" fillId="34" borderId="0" xfId="0" applyNumberFormat="1" applyFont="1" applyFill="1" applyBorder="1" applyAlignment="1">
      <x:alignment horizontal="general" vertical="bottom" wrapText="0"/>
    </x:xf>
    <x:xf numFmtId="166" fontId="0" fillId="35" borderId="0" xfId="0" applyNumberFormat="1" applyFont="1" applyFill="1" applyBorder="1" applyAlignment="1">
      <x:alignment horizontal="general" vertical="bottom" wrapText="0"/>
    </x:xf>
    <x:xf numFmtId="166" fontId="0" fillId="34" borderId="0" xfId="0" applyNumberFormat="1" applyFont="1" applyFill="1" applyBorder="1" applyAlignment="1">
      <x:alignment horizontal="general" vertical="bottom" wrapText="0"/>
    </x:xf>
    <x:xf numFmtId="202" fontId="0" fillId="34" borderId="0" xfId="0" applyNumberFormat="1" applyFont="1" applyFill="1" applyBorder="1" applyAlignment="1">
      <x:alignment horizontal="general" vertical="bottom" wrapText="0"/>
    </x:xf>
    <x:xf numFmtId="164" fontId="0" fillId="33" borderId="1" xfId="0" applyNumberFormat="1" applyFont="1" applyFill="1" applyBorder="1" applyAlignment="1">
      <x:alignment horizontal="general" vertical="top" wrapText="1"/>
    </x:xf>
    <x:xf numFmtId="164" fontId="47" fillId="33" borderId="1" xfId="0" applyNumberFormat="1" applyFont="1" applyFill="1" applyBorder="1" applyAlignment="1">
      <x:alignment horizontal="general" vertical="top" wrapText="1"/>
    </x:xf>
    <x:xf numFmtId="164" fontId="0" fillId="34" borderId="1" xfId="0" applyNumberFormat="1" applyFont="1" applyFill="1" applyBorder="1" applyAlignment="1">
      <x:alignment horizontal="general" vertical="top" wrapText="1"/>
    </x:xf>
    <x:xf numFmtId="202" fontId="0" fillId="34" borderId="1" xfId="0" applyNumberFormat="1" applyFont="1" applyFill="1" applyBorder="1" applyAlignment="1">
      <x:alignment horizontal="general" vertical="top" wrapText="1"/>
    </x:xf>
    <x:xf numFmtId="166" fontId="0" fillId="34" borderId="1" xfId="0" applyNumberFormat="1" applyFont="1" applyFill="1" applyBorder="1" applyAlignment="1">
      <x:alignment horizontal="general" vertical="top" wrapText="1"/>
    </x:xf>
    <x:xf numFmtId="202" fontId="0" fillId="0" borderId="1" xfId="0" applyNumberFormat="1" applyFont="1" applyFill="1" applyBorder="1" applyAlignment="1">
      <x:alignment horizontal="general" vertical="top" wrapText="1"/>
    </x:xf>
    <x:xf numFmtId="164" fontId="16" fillId="6" borderId="0" xfId="0" applyNumberFormat="1" applyFont="1" applyFill="1" applyBorder="1" applyAlignment="1">
      <x:alignment horizontal="general" vertical="center" wrapText="1"/>
    </x:xf>
    <x:xf numFmtId="164" fontId="0" fillId="36" borderId="0" xfId="0" applyNumberFormat="1" applyFont="1" applyFill="1" applyBorder="1" applyAlignment="1">
      <x:alignment horizontal="general" vertical="bottom" wrapText="0"/>
    </x:xf>
    <x:xf numFmtId="164" fontId="6" fillId="36" borderId="0" xfId="0" applyNumberFormat="1" applyFont="1" applyFill="1" applyBorder="1" applyAlignment="1">
      <x:alignment horizontal="general" vertical="bottom" wrapText="0"/>
    </x:xf>
    <x:xf numFmtId="164" fontId="6" fillId="36" borderId="0" xfId="0" applyNumberFormat="1" applyFont="1" applyFill="1" applyBorder="1" applyAlignment="1">
      <x:alignment horizontal="general" vertical="bottom" wrapText="1"/>
    </x:xf>
    <x:xf numFmtId="166" fontId="0" fillId="34" borderId="0" xfId="0" applyNumberFormat="1" applyFont="1" applyFill="1" applyBorder="1" applyAlignment="1">
      <x:alignment horizontal="general" vertical="bottom" wrapText="1"/>
    </x:xf>
    <x:xf numFmtId="164" fontId="0" fillId="36" borderId="1" xfId="0" applyNumberFormat="1" applyFont="1" applyFill="1" applyBorder="1" applyAlignment="1">
      <x:alignment horizontal="general" vertical="top" wrapText="1"/>
    </x:xf>
    <x:xf numFmtId="164" fontId="0" fillId="36" borderId="0" xfId="0" applyNumberFormat="1" applyFont="1" applyFill="1" applyBorder="1" applyAlignment="1">
      <x:alignment horizontal="general" vertical="bottom" wrapText="1"/>
    </x:xf>
    <x:xf numFmtId="166" fontId="0" fillId="36" borderId="1" xfId="0" applyNumberFormat="1" applyFont="1" applyFill="1" applyBorder="1" applyAlignment="1">
      <x:alignment horizontal="general" vertical="top" wrapText="1"/>
    </x:xf>
    <x:xf numFmtId="166" fontId="0" fillId="36"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dxfs count="1">
    <x:dxf>
      <x:font>
        <x:b/>
      </x:font>
      <x:fill>
        <x:patternFill>
          <x:bgColor rgb="FFF4CCCC"/>
        </x:patternFill>
      </x:fill>
    </x:dxf>
  </x:dxfs>
  <x:colors>
    <x:indexedColors>
      <x:rgbColor rgb="FF000000"/>
      <x:rgbColor rgb="FFFFFFFF"/>
      <x:rgbColor rgb="FFFF0000"/>
      <x:rgbColor rgb="FF00FF00"/>
      <x:rgbColor rgb="FF0000FF"/>
      <x:rgbColor rgb="FFFDEBD0"/>
      <x:rgbColor rgb="FFFF00FF"/>
      <x:rgbColor rgb="FFF3F6F7"/>
      <x:rgbColor rgb="FF7B241C"/>
      <x:rgbColor rgb="FF1A5C38"/>
      <x:rgbColor rgb="FF0F4665"/>
      <x:rgbColor rgb="FF808000"/>
      <x:rgbColor rgb="FF800080"/>
      <x:rgbColor rgb="FF1496A5"/>
      <x:rgbColor rgb="FFBFBFBF"/>
      <x:rgbColor rgb="FF808080"/>
      <x:rgbColor rgb="FFD9D9D9"/>
      <x:rgbColor rgb="FFC0392B"/>
      <x:rgbColor rgb="FFFFF9C4"/>
      <x:rgbColor rgb="FFD8EEF2"/>
      <x:rgbColor rgb="FF660066"/>
      <x:rgbColor rgb="FFF2F2F2"/>
      <x:rgbColor rgb="FF1155CC"/>
      <x:rgbColor rgb="FFCCCCCC"/>
      <x:rgbColor rgb="FF000080"/>
      <x:rgbColor rgb="FFFF00FF"/>
      <x:rgbColor rgb="FFE2F0D9"/>
      <x:rgbColor rgb="FF00FFFF"/>
      <x:rgbColor rgb="FF800080"/>
      <x:rgbColor rgb="FF800000"/>
      <x:rgbColor rgb="FF0F5674"/>
      <x:rgbColor rgb="FF0000FF"/>
      <x:rgbColor rgb="FF00CCFF"/>
      <x:rgbColor rgb="FFEAF5F7"/>
      <x:rgbColor rgb="FFD5F5E3"/>
      <x:rgbColor rgb="FFFFF1BF"/>
      <x:rgbColor rgb="FFB9E2E7"/>
      <x:rgbColor rgb="FFFADBD8"/>
      <x:rgbColor rgb="FFB3B3B3"/>
      <x:rgbColor rgb="FFF4CCCC"/>
      <x:rgbColor rgb="FF2E75B6"/>
      <x:rgbColor rgb="FFF2F3F4"/>
      <x:rgbColor rgb="FFEAF2E3"/>
      <x:rgbColor rgb="FFD9EAD3"/>
      <x:rgbColor rgb="FFC8A22A"/>
      <x:rgbColor rgb="FFFFF8E8"/>
      <x:rgbColor rgb="FF666699"/>
      <x:rgbColor rgb="FFAAAAAA"/>
      <x:rgbColor rgb="FF082C4C"/>
      <x:rgbColor rgb="FF339966"/>
      <x:rgbColor rgb="FF173042"/>
      <x:rgbColor rgb="FF155936"/>
      <x:rgbColor rgb="FF922B21"/>
      <x:rgbColor rgb="FF993366"/>
      <x:rgbColor rgb="FF1F4E78"/>
      <x:rgbColor rgb="FF404040"/>
    </x:indexedColors>
  </x:colors>
</x:styleSheet>
</file>

<file path=xl/_rels/workbook.xml.rels>&#65279;<?xml version="1.0" encoding="utf-8"?><Relationships xmlns="http://schemas.openxmlformats.org/package/2006/relationships"><Relationship Type="http://schemas.openxmlformats.org/officeDocument/2006/relationships/styles" Target="/xl/styles.xml" Id="R53f8c4d2ac6641c2" /><Relationship Type="http://schemas.openxmlformats.org/officeDocument/2006/relationships/theme" Target="/xl/theme/theme1.xml" Id="R0f8dfb6a3a4c41ca" /><Relationship Type="http://schemas.openxmlformats.org/officeDocument/2006/relationships/sharedStrings" Target="/xl/sharedStrings.xml" Id="R1d964c9d8c9549fd" /><Relationship Type="http://schemas.openxmlformats.org/officeDocument/2006/relationships/worksheet" Target="/xl/worksheets/sheet1.xml" Id="Rf7db68b984ac41ba" /><Relationship Type="http://schemas.openxmlformats.org/officeDocument/2006/relationships/worksheet" Target="/xl/worksheets/sheet2.xml" Id="R0e95f78333c34eb3" /><Relationship Type="http://schemas.openxmlformats.org/officeDocument/2006/relationships/worksheet" Target="/xl/worksheets/sheet3.xml" Id="R4fab7b9009164161" /><Relationship Type="http://schemas.openxmlformats.org/officeDocument/2006/relationships/worksheet" Target="/xl/worksheets/sheet4.xml" Id="R6ad65cca57d14942" /><Relationship Type="http://schemas.openxmlformats.org/officeDocument/2006/relationships/worksheet" Target="/xl/worksheets/sheet5.xml" Id="Ra45df99e07454acf" /><Relationship Type="http://schemas.openxmlformats.org/officeDocument/2006/relationships/worksheet" Target="/xl/worksheets/sheet6.xml" Id="R33b01897f50645ff" /><Relationship Type="http://schemas.openxmlformats.org/officeDocument/2006/relationships/worksheet" Target="/xl/worksheets/sheet7.xml" Id="Rda31a5c4539143b5" /><Relationship Type="http://schemas.openxmlformats.org/officeDocument/2006/relationships/worksheet" Target="/xl/worksheets/sheet8.xml" Id="Rc2c9d4b9ca0340be" /><Relationship Type="http://schemas.openxmlformats.org/officeDocument/2006/relationships/worksheet" Target="/xl/worksheets/sheet9.xml" Id="Race3162711444544" /><Relationship Type="http://schemas.openxmlformats.org/officeDocument/2006/relationships/worksheet" Target="/xl/worksheets/sheet10.xml" Id="Rf3bf002bac734f71" /><Relationship Type="http://schemas.openxmlformats.org/officeDocument/2006/relationships/worksheet" Target="/xl/worksheets/sheet11.xml" Id="R17a67a09e47d4dd0" /><Relationship Type="http://schemas.openxmlformats.org/officeDocument/2006/relationships/worksheet" Target="/xl/worksheets/sheet12.xml" Id="Rcd56f316862e4d80" /><Relationship Type="http://schemas.openxmlformats.org/officeDocument/2006/relationships/worksheet" Target="/xl/worksheets/sheet13.xml" Id="R765379b626dc44f5" /><Relationship Type="http://schemas.openxmlformats.org/officeDocument/2006/relationships/worksheet" Target="/xl/worksheets/sheet14.xml" Id="Rec4329c51a9a455e" /><Relationship Type="http://schemas.openxmlformats.org/officeDocument/2006/relationships/worksheet" Target="/xl/worksheets/sheet15.xml" Id="Rc322a1fb8b5f4e09" /><Relationship Type="http://schemas.openxmlformats.org/officeDocument/2006/relationships/worksheet" Target="/xl/worksheets/sheet16.xml" Id="R6eaa10821f9d4221" /><Relationship Type="http://schemas.openxmlformats.org/officeDocument/2006/relationships/worksheet" Target="/xl/worksheets/sheet17.xml" Id="Rd4ce625e3b6c4f00" /><Relationship Type="http://schemas.openxmlformats.org/officeDocument/2006/relationships/worksheet" Target="/xl/worksheets/sheet18.xml" Id="R5e5d7517ba4046a1" /><Relationship Type="http://schemas.openxmlformats.org/officeDocument/2006/relationships/worksheet" Target="/xl/worksheets/sheet19.xml" Id="R08599992016d4471" /><Relationship Type="http://schemas.openxmlformats.org/officeDocument/2006/relationships/worksheet" Target="/xl/worksheets/sheet20.xml" Id="Ra15e972060fc4416" /><Relationship Type="http://schemas.openxmlformats.org/officeDocument/2006/relationships/worksheet" Target="/xl/worksheets/sheet21.xml" Id="Re6d006478f2e45c4" /><Relationship Type="http://schemas.openxmlformats.org/officeDocument/2006/relationships/worksheet" Target="/xl/worksheets/sheet22.xml" Id="R9b0e6dec777a49cb" /><Relationship Type="http://schemas.openxmlformats.org/officeDocument/2006/relationships/worksheet" Target="/xl/worksheets/sheet23.xml" Id="R53e6d19834b247f1" /><Relationship Type="http://schemas.openxmlformats.org/officeDocument/2006/relationships/worksheet" Target="/xl/worksheets/sheet24.xml" Id="R5108f29fdd214bc2" /><Relationship Type="http://schemas.openxmlformats.org/officeDocument/2006/relationships/worksheet" Target="/xl/worksheets/sheet25.xml" Id="Rc4f6425aa41049c5" /><Relationship Type="http://schemas.openxmlformats.org/officeDocument/2006/relationships/worksheet" Target="/xl/worksheets/sheet26.xml" Id="Ref1fc775817f402c" /><Relationship Type="http://schemas.openxmlformats.org/officeDocument/2006/relationships/worksheet" Target="/xl/worksheets/sheet27.xml" Id="R40cdbab1ea20450b" /><Relationship Type="http://schemas.openxmlformats.org/officeDocument/2006/relationships/worksheet" Target="/xl/worksheets/sheet28.xml" Id="Rb8e4c234e821475a" /><Relationship Type="http://schemas.openxmlformats.org/officeDocument/2006/relationships/worksheet" Target="/xl/worksheets/sheet29.xml" Id="Rec010dc8c8604d49" /><Relationship Type="http://schemas.openxmlformats.org/officeDocument/2006/relationships/worksheet" Target="/xl/worksheets/sheet30.xml" Id="Rbcbd5878c2ef43c5" /><Relationship Type="http://schemas.openxmlformats.org/officeDocument/2006/relationships/worksheet" Target="/xl/worksheets/sheet31.xml" Id="Rbc3a854e2a39436d" /><Relationship Type="http://schemas.openxmlformats.org/officeDocument/2006/relationships/worksheet" Target="/xl/worksheets/sheet32.xml" Id="Rada3b3beb1f04597" /><Relationship Type="http://schemas.openxmlformats.org/officeDocument/2006/relationships/worksheet" Target="/xl/worksheets/sheet33.xml" Id="Rffa1784f0da049b8" /><Relationship Type="http://schemas.openxmlformats.org/officeDocument/2006/relationships/worksheet" Target="/xl/worksheets/sheet34.xml" Id="R55fab869fdc443d4" /><Relationship Type="http://schemas.openxmlformats.org/officeDocument/2006/relationships/worksheet" Target="/xl/worksheets/sheet35.xml" Id="Rc4a174a4f5644d29" /><Relationship Type="http://schemas.openxmlformats.org/officeDocument/2006/relationships/worksheet" Target="/xl/worksheets/sheet36.xml" Id="R3ee99374724f4671" /><Relationship Type="http://schemas.openxmlformats.org/officeDocument/2006/relationships/worksheet" Target="/xl/worksheets/sheet37.xml" Id="Reae2b707a2474a0a" /><Relationship Type="http://schemas.openxmlformats.org/officeDocument/2006/relationships/worksheet" Target="/xl/worksheets/sheet38.xml" Id="R7742002304044db4" /><Relationship Type="http://schemas.openxmlformats.org/officeDocument/2006/relationships/worksheet" Target="/xl/worksheets/sheet39.xml" Id="R7f1067a86ad84f81" /><Relationship Type="http://schemas.openxmlformats.org/officeDocument/2006/relationships/worksheet" Target="/xl/worksheets/sheet40.xml" Id="R7be1f06a71d4464a" /><Relationship Type="http://schemas.openxmlformats.org/officeDocument/2006/relationships/worksheet" Target="/xl/worksheets/sheet41.xml" Id="Rd29d69d9722547c5" /><Relationship Type="http://schemas.openxmlformats.org/officeDocument/2006/relationships/worksheet" Target="/xl/worksheets/sheet42.xml" Id="R362f2aa7804e49b8"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c08d123020484b" /><Relationship Type="http://schemas.openxmlformats.org/officeDocument/2006/relationships/chart" Target="/xl/drawings/charts/chart2.xml" Id="R1bd7da4153e7410c" /><Relationship Type="http://schemas.openxmlformats.org/officeDocument/2006/relationships/chart" Target="/xl/drawings/charts/chart3.xml" Id="Rb17bc93d4bdf40ae" /><Relationship Type="http://schemas.openxmlformats.org/officeDocument/2006/relationships/chart" Target="/xl/drawings/charts/chart4.xml" Id="Rb51cb7fb22f84c2d" /><Relationship Type="http://schemas.openxmlformats.org/officeDocument/2006/relationships/chart" Target="/xl/drawings/charts/chart5.xml" Id="R1a204afe96b94bc3" /><Relationship Type="http://schemas.openxmlformats.org/officeDocument/2006/relationships/chart" Target="/xl/drawings/charts/chart6.xml" Id="R2e17772c6dfb4026" /><Relationship Type="http://schemas.openxmlformats.org/officeDocument/2006/relationships/chart" Target="/xl/drawings/charts/chart7.xml" Id="R50670139a61a4207" /><Relationship Type="http://schemas.openxmlformats.org/officeDocument/2006/relationships/chart" Target="/xl/drawings/charts/chart8.xml" Id="R993ae88e357445f0" /></Relationships>
</file>

<file path=xl/drawings/_rels/drawing2.xml.rels>&#65279;<?xml version="1.0" encoding="utf-8"?><Relationships xmlns="http://schemas.openxmlformats.org/package/2006/relationships"><Relationship Type="http://schemas.openxmlformats.org/officeDocument/2006/relationships/image" Target="/xl/media/image.png" Id="R4d8c61d08db24c2b" /><Relationship Type="http://schemas.openxmlformats.org/officeDocument/2006/relationships/image" Target="/xl/media/image2.png" Id="R42024c0ecdab4c70" /><Relationship Type="http://schemas.openxmlformats.org/officeDocument/2006/relationships/image" Target="/xl/media/image3.png" Id="R2fe30e18d1454979" /></Relationships>
</file>

<file path=xl/drawings/_rels/drawing3.xml.rels>&#65279;<?xml version="1.0" encoding="utf-8"?><Relationships xmlns="http://schemas.openxmlformats.org/package/2006/relationships"><Relationship Type="http://schemas.openxmlformats.org/officeDocument/2006/relationships/chart" Target="/xl/drawings/charts/chart9.xml" Id="R16398b5ddad64a84" /></Relationships>
</file>

<file path=xl/drawings/_rels/drawing4.xml.rels>&#65279;<?xml version="1.0" encoding="utf-8"?><Relationships xmlns="http://schemas.openxmlformats.org/package/2006/relationships"><Relationship Type="http://schemas.openxmlformats.org/officeDocument/2006/relationships/chart" Target="/xl/drawings/charts/chart10.xml" Id="R9cba48958a744a58" /></Relationships>
</file>

<file path=xl/drawings/_rels/drawing5.xml.rels>&#65279;<?xml version="1.0" encoding="utf-8"?><Relationships xmlns="http://schemas.openxmlformats.org/package/2006/relationships"><Relationship Type="http://schemas.openxmlformats.org/officeDocument/2006/relationships/chart" Target="/xl/drawings/charts/chart11.xml" Id="R4565fe7afe4b445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Annual Final Net VCU | 2020–2040</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lineChart>
        <c:grouping val="standard"/>
        <c:varyColors val="0"/>
        <c:ser>
          <c:idx val="0"/>
          <c:order val="0"/>
          <c:tx>
            <c:strRef>
              <c:f>label 0</c:f>
              <c:strCache>
                <c:ptCount val="1"/>
                <c:pt idx="0">
                  <c:v>Annual Final VCU</c:v>
                </c:pt>
              </c:strCache>
            </c:strRef>
          </c:tx>
          <c:spPr>
            <a:solidFill xmlns:a="http://schemas.openxmlformats.org/drawingml/2006/main">
              <a:srgbClr val="0F5674"/>
            </a:solidFill>
            <a:ln xmlns:a="http://schemas.openxmlformats.org/drawingml/2006/main" w="19080">
              <a:solidFill>
                <a:srgbClr val="0F5674"/>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categories</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numCache>
            </c:numRef>
          </c:cat>
          <c:val>
            <c:numRef>
              <c:f>0</c:f>
              <c:numCache>
                <c:formatCode>#,##0</c:formatCode>
                <c:ptCount val="21"/>
                <c:pt idx="0">
                  <c:v>0</c:v>
                </c:pt>
                <c:pt idx="1">
                  <c:v>0</c:v>
                </c:pt>
                <c:pt idx="2">
                  <c:v>0</c:v>
                </c:pt>
                <c:pt idx="3">
                  <c:v>1747.81812359689</c:v>
                </c:pt>
                <c:pt idx="4">
                  <c:v>25778.8687453738</c:v>
                </c:pt>
                <c:pt idx="5">
                  <c:v>50440.5598594527</c:v>
                </c:pt>
                <c:pt idx="6">
                  <c:v>62545.7697259482</c:v>
                </c:pt>
                <c:pt idx="7">
                  <c:v>70663.3289369145</c:v>
                </c:pt>
                <c:pt idx="8">
                  <c:v>77337.3938080735</c:v>
                </c:pt>
                <c:pt idx="9">
                  <c:v>80106.0692495886</c:v>
                </c:pt>
                <c:pt idx="10">
                  <c:v>78914.7944238584</c:v>
                </c:pt>
                <c:pt idx="11">
                  <c:v>75779.8587363597</c:v>
                </c:pt>
                <c:pt idx="12">
                  <c:v>71335.7311093313</c:v>
                </c:pt>
                <c:pt idx="13">
                  <c:v>66316.8129035829</c:v>
                </c:pt>
                <c:pt idx="14">
                  <c:v>54624.6940214549</c:v>
                </c:pt>
                <c:pt idx="15">
                  <c:v>1295.99810377434</c:v>
                </c:pt>
                <c:pt idx="16">
                  <c:v>0</c:v>
                </c:pt>
                <c:pt idx="17">
                  <c:v>0</c:v>
                </c:pt>
                <c:pt idx="18">
                  <c:v>0</c:v>
                </c:pt>
                <c:pt idx="19">
                  <c:v>0</c:v>
                </c:pt>
                <c:pt idx="20">
                  <c:v>0</c:v>
                </c:pt>
              </c:numCache>
            </c:numRef>
          </c:val>
        </c:ser>
        <c:axId val="15437905"/>
        <c:axId val="2444520"/>
      </c:lineChart>
      <c:catAx>
        <c:axId val="15437905"/>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444520"/>
        <c:crosses val="autoZero"/>
        <c:lblAlgn val="ctr"/>
        <c:lblOffset val="100"/>
        <c:noMultiLvlLbl val="0"/>
      </c:catAx>
      <c:valAx>
        <c:axId val="2444520"/>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5437905"/>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Cumulative Final VCU</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lineChart>
        <c:grouping val="standard"/>
        <c:varyColors val="0"/>
        <c:ser>
          <c:idx val="0"/>
          <c:order val="0"/>
          <c:tx>
            <c:strRef>
              <c:f>label 0</c:f>
              <c:strCache>
                <c:ptCount val="1"/>
                <c:pt idx="0">
                  <c:v>Cumulative Final VCU</c:v>
                </c:pt>
              </c:strCache>
            </c:strRef>
          </c:tx>
          <c:spPr>
            <a:solidFill xmlns:a="http://schemas.openxmlformats.org/drawingml/2006/main">
              <a:srgbClr val="1496A5"/>
            </a:solidFill>
            <a:ln xmlns:a="http://schemas.openxmlformats.org/drawingml/2006/main" w="19080">
              <a:solidFill>
                <a:srgbClr val="1496A5"/>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categories</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numCache>
            </c:numRef>
          </c:cat>
          <c:val>
            <c:numRef>
              <c:f>0</c:f>
              <c:numCache>
                <c:formatCode>#,##0</c:formatCode>
                <c:ptCount val="21"/>
                <c:pt idx="0">
                  <c:v>0</c:v>
                </c:pt>
                <c:pt idx="1">
                  <c:v>0</c:v>
                </c:pt>
                <c:pt idx="2">
                  <c:v>0</c:v>
                </c:pt>
                <c:pt idx="3">
                  <c:v>1747.81812359689</c:v>
                </c:pt>
                <c:pt idx="4">
                  <c:v>27526.6868689706</c:v>
                </c:pt>
                <c:pt idx="5">
                  <c:v>77967.2467284234</c:v>
                </c:pt>
                <c:pt idx="6">
                  <c:v>140513.016454372</c:v>
                </c:pt>
                <c:pt idx="7">
                  <c:v>211176.345391286</c:v>
                </c:pt>
                <c:pt idx="8">
                  <c:v>288513.73919936</c:v>
                </c:pt>
                <c:pt idx="9">
                  <c:v>368619.808448948</c:v>
                </c:pt>
                <c:pt idx="10">
                  <c:v>447534.602872807</c:v>
                </c:pt>
                <c:pt idx="11">
                  <c:v>523314.461609166</c:v>
                </c:pt>
                <c:pt idx="12">
                  <c:v>594650.192718498</c:v>
                </c:pt>
                <c:pt idx="13">
                  <c:v>660967.00562208</c:v>
                </c:pt>
                <c:pt idx="14">
                  <c:v>715591.699643535</c:v>
                </c:pt>
                <c:pt idx="15">
                  <c:v>716887.69774731</c:v>
                </c:pt>
                <c:pt idx="16">
                  <c:v>716887.69774731</c:v>
                </c:pt>
                <c:pt idx="17">
                  <c:v>716887.69774731</c:v>
                </c:pt>
                <c:pt idx="18">
                  <c:v>716887.69774731</c:v>
                </c:pt>
                <c:pt idx="19">
                  <c:v>716887.69774731</c:v>
                </c:pt>
                <c:pt idx="20">
                  <c:v>716887.69774731</c:v>
                </c:pt>
              </c:numCache>
            </c:numRef>
          </c:val>
        </c:ser>
        <c:axId val="77038919"/>
        <c:axId val="94470182"/>
      </c:lineChart>
      <c:catAx>
        <c:axId val="77038919"/>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94470182"/>
        <c:crosses val="autoZero"/>
        <c:lblAlgn val="ctr"/>
        <c:lblOffset val="100"/>
        <c:noMultiLvlLbl val="0"/>
      </c:catAx>
      <c:valAx>
        <c:axId val="94470182"/>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77038919"/>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Gross vs PB-Adjusted Cumulative Removals</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lineChart>
        <c:grouping val="standard"/>
        <c:varyColors val="0"/>
        <c:ser>
          <c:idx val="0"/>
          <c:order val="0"/>
          <c:tx>
            <c:strRef>
              <c:f>label 0</c:f>
              <c:strCache>
                <c:ptCount val="1"/>
                <c:pt idx="0">
                  <c:v>Gross cumulative</c:v>
                </c:pt>
              </c:strCache>
            </c:strRef>
          </c:tx>
          <c:spPr>
            <a:solidFill xmlns:a="http://schemas.openxmlformats.org/drawingml/2006/main">
              <a:srgbClr val="082C4C"/>
            </a:solidFill>
            <a:ln xmlns:a="http://schemas.openxmlformats.org/drawingml/2006/main" w="19080">
              <a:solidFill>
                <a:srgbClr val="082C4C"/>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categories</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numCache>
            </c:numRef>
          </c:cat>
          <c:val>
            <c:numRef>
              <c:f>0</c:f>
              <c:numCache>
                <c:formatCode>#,##0</c:formatCode>
                <c:ptCount val="21"/>
                <c:pt idx="0">
                  <c:v>0</c:v>
                </c:pt>
                <c:pt idx="1">
                  <c:v>1776.52627478387</c:v>
                </c:pt>
                <c:pt idx="2">
                  <c:v>17454.3142819535</c:v>
                </c:pt>
                <c:pt idx="3">
                  <c:v>60054.4036281996</c:v>
                </c:pt>
                <c:pt idx="4">
                  <c:v>135908.407229425</c:v>
                </c:pt>
                <c:pt idx="5">
                  <c:v>243709.899556193</c:v>
                </c:pt>
                <c:pt idx="6">
                  <c:v>377777.415725923</c:v>
                </c:pt>
                <c:pt idx="7">
                  <c:v>530425.040464094</c:v>
                </c:pt>
                <c:pt idx="8">
                  <c:v>693838.395984504</c:v>
                </c:pt>
                <c:pt idx="9">
                  <c:v>861122.121539252</c:v>
                </c:pt>
                <c:pt idx="10">
                  <c:v>1026739.81846813</c:v>
                </c:pt>
                <c:pt idx="11">
                  <c:v>1186578.40520037</c:v>
                </c:pt>
                <c:pt idx="12">
                  <c:v>1337814.68605709</c:v>
                </c:pt>
                <c:pt idx="13">
                  <c:v>1478699.343541</c:v>
                </c:pt>
                <c:pt idx="14">
                  <c:v>1608325.06252732</c:v>
                </c:pt>
                <c:pt idx="15">
                  <c:v>1726412.88069067</c:v>
                </c:pt>
                <c:pt idx="16">
                  <c:v>1833131.03622015</c:v>
                </c:pt>
                <c:pt idx="17">
                  <c:v>1928949.51100608</c:v>
                </c:pt>
                <c:pt idx="18">
                  <c:v>2014527.88922718</c:v>
                </c:pt>
                <c:pt idx="19">
                  <c:v>2090631.79864126</c:v>
                </c:pt>
                <c:pt idx="20">
                  <c:v>2158072.61687953</c:v>
                </c:pt>
              </c:numCache>
            </c:numRef>
          </c:val>
        </c:ser>
        <c:ser>
          <c:idx val="1"/>
          <c:order val="1"/>
          <c:tx>
            <c:strRef>
              <c:f>label 1</c:f>
              <c:strCache>
                <c:ptCount val="1"/>
                <c:pt idx="0">
                  <c:v>PB-adjusted cumulative</c:v>
                </c:pt>
              </c:strCache>
            </c:strRef>
          </c:tx>
          <c:spPr>
            <a:solidFill xmlns:a="http://schemas.openxmlformats.org/drawingml/2006/main">
              <a:srgbClr val="1496A5"/>
            </a:solidFill>
            <a:ln xmlns:a="http://schemas.openxmlformats.org/drawingml/2006/main" w="19080">
              <a:solidFill>
                <a:srgbClr val="1496A5"/>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categories</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numCache>
            </c:numRef>
          </c:cat>
          <c:val>
            <c:numRef>
              <c:f>1</c:f>
              <c:numCache>
                <c:formatCode>#,##0</c:formatCode>
                <c:ptCount val="21"/>
                <c:pt idx="0">
                  <c:v>0</c:v>
                </c:pt>
                <c:pt idx="1">
                  <c:v>1513.14092876986</c:v>
                </c:pt>
                <c:pt idx="2">
                  <c:v>14874.5970663049</c:v>
                </c:pt>
                <c:pt idx="3">
                  <c:v>51204.97144774</c:v>
                </c:pt>
                <c:pt idx="4">
                  <c:v>115942.086722219</c:v>
                </c:pt>
                <c:pt idx="5">
                  <c:v>208008.056526004</c:v>
                </c:pt>
                <c:pt idx="6">
                  <c:v>322573.322558414</c:v>
                </c:pt>
                <c:pt idx="7">
                  <c:v>453078.443348746</c:v>
                </c:pt>
                <c:pt idx="8">
                  <c:v>592842.230346307</c:v>
                </c:pt>
                <c:pt idx="9">
                  <c:v>735962.202262979</c:v>
                </c:pt>
                <c:pt idx="10">
                  <c:v>877694.697377056</c:v>
                </c:pt>
                <c:pt idx="11">
                  <c:v>1014512.46023775</c:v>
                </c:pt>
                <c:pt idx="12">
                  <c:v>1143991.96853771</c:v>
                </c:pt>
                <c:pt idx="13">
                  <c:v>1264629.37831572</c:v>
                </c:pt>
                <c:pt idx="14">
                  <c:v>1375642.43371576</c:v>
                </c:pt>
                <c:pt idx="15">
                  <c:v>1476787.70810623</c:v>
                </c:pt>
                <c:pt idx="16">
                  <c:v>1568205.51433315</c:v>
                </c:pt>
                <c:pt idx="17">
                  <c:v>1650295.29770994</c:v>
                </c:pt>
                <c:pt idx="18">
                  <c:v>1723619.51916083</c:v>
                </c:pt>
                <c:pt idx="19">
                  <c:v>1788832.00212377</c:v>
                </c:pt>
                <c:pt idx="20">
                  <c:v>1846626.20384933</c:v>
                </c:pt>
              </c:numCache>
            </c:numRef>
          </c:val>
        </c:ser>
        <c:axId val="79164056"/>
        <c:axId val="58861260"/>
      </c:lineChart>
      <c:catAx>
        <c:axId val="79164056"/>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8861260"/>
        <c:crosses val="autoZero"/>
        <c:lblAlgn val="ctr"/>
        <c:lblOffset val="100"/>
        <c:noMultiLvlLbl val="0"/>
      </c:catAx>
      <c:valAx>
        <c:axId val="58861260"/>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79164056"/>
        <c:crosses val="autoZero"/>
        <c:crossBetween val="between"/>
      </c:valAx>
      <c:spPr>
        <a:noFill xmlns:a="http://schemas.openxmlformats.org/drawingml/2006/main"/>
        <a:ln xmlns:a="http://schemas.openxmlformats.org/drawingml/2006/main" w="0">
          <a:noFill/>
        </a:ln>
      </c:spPr>
    </c:plotArea>
    <c:legend>
      <c:legendPos val="b"/>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Annual Deductions | PE + Leakage + Buffer</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stacked"/>
        <c:varyColors val="0"/>
        <c:ser>
          <c:idx val="0"/>
          <c:order val="0"/>
          <c:tx>
            <c:strRef>
              <c:f>label 0</c:f>
              <c:strCache>
                <c:ptCount val="1"/>
                <c:pt idx="0">
                  <c:v>Project emissions</c:v>
                </c:pt>
              </c:strCache>
            </c:strRef>
          </c:tx>
          <c:spPr>
            <a:solidFill xmlns:a="http://schemas.openxmlformats.org/drawingml/2006/main">
              <a:srgbClr val="0F5674"/>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numRef>
              <c:f>categories</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numCache>
            </c:numRef>
          </c:cat>
          <c:val>
            <c:numRef>
              <c:f>0</c:f>
              <c:numCache>
                <c:formatCode>#,##0</c:formatCode>
                <c:ptCount val="21"/>
                <c:pt idx="0">
                  <c:v>930.770721403655</c:v>
                </c:pt>
                <c:pt idx="1">
                  <c:v>2100.01344225981</c:v>
                </c:pt>
                <c:pt idx="2">
                  <c:v>3467.22328848081</c:v>
                </c:pt>
                <c:pt idx="3">
                  <c:v>4868.0785966217</c:v>
                </c:pt>
                <c:pt idx="4">
                  <c:v>5340.52377377028</c:v>
                </c:pt>
                <c:pt idx="5">
                  <c:v>5574.49695146636</c:v>
                </c:pt>
                <c:pt idx="6">
                  <c:v>5610.50300379759</c:v>
                </c:pt>
                <c:pt idx="7">
                  <c:v>5612.86359420894</c:v>
                </c:pt>
                <c:pt idx="8">
                  <c:v>5612.86359420894</c:v>
                </c:pt>
                <c:pt idx="9">
                  <c:v>5612.86359420894</c:v>
                </c:pt>
                <c:pt idx="10">
                  <c:v>5612.86359420894</c:v>
                </c:pt>
                <c:pt idx="11">
                  <c:v>5612.86359420894</c:v>
                </c:pt>
                <c:pt idx="12">
                  <c:v>5612.86359420894</c:v>
                </c:pt>
                <c:pt idx="13">
                  <c:v>5612.86359420894</c:v>
                </c:pt>
                <c:pt idx="14">
                  <c:v>5612.86359420894</c:v>
                </c:pt>
                <c:pt idx="15">
                  <c:v>5612.86359420894</c:v>
                </c:pt>
                <c:pt idx="16">
                  <c:v>5612.86359420894</c:v>
                </c:pt>
                <c:pt idx="17">
                  <c:v>5612.86359420894</c:v>
                </c:pt>
                <c:pt idx="18">
                  <c:v>5612.86359420894</c:v>
                </c:pt>
                <c:pt idx="19">
                  <c:v>5612.86359420894</c:v>
                </c:pt>
                <c:pt idx="20">
                  <c:v>5612.86359420894</c:v>
                </c:pt>
              </c:numCache>
            </c:numRef>
          </c:val>
        </c:ser>
        <c:ser>
          <c:idx val="1"/>
          <c:order val="1"/>
          <c:tx>
            <c:strRef>
              <c:f>label 1</c:f>
              <c:strCache>
                <c:ptCount val="1"/>
                <c:pt idx="0">
                  <c:v>Leakage</c:v>
                </c:pt>
              </c:strCache>
            </c:strRef>
          </c:tx>
          <c:spPr>
            <a:solidFill xmlns:a="http://schemas.openxmlformats.org/drawingml/2006/main">
              <a:srgbClr val="1496A5"/>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numRef>
              <c:f>categories</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numCache>
            </c:numRef>
          </c:cat>
          <c:val>
            <c:numRef>
              <c:f>1</c:f>
              <c:numCache>
                <c:formatCode>#,##0</c:formatCode>
                <c:ptCount val="21"/>
                <c:pt idx="0">
                  <c:v>25830.05236</c:v>
                </c:pt>
                <c:pt idx="1">
                  <c:v>25134.78179</c:v>
                </c:pt>
                <c:pt idx="2">
                  <c:v>25673.94649</c:v>
                </c:pt>
                <c:pt idx="3">
                  <c:v>25783.5931</c:v>
                </c:pt>
                <c:pt idx="4">
                  <c:v>24878.66343</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er>
        <c:ser>
          <c:idx val="2"/>
          <c:order val="2"/>
          <c:tx>
            <c:strRef>
              <c:f>label 2</c:f>
              <c:strCache>
                <c:ptCount val="1"/>
                <c:pt idx="0">
                  <c:v>Buffer withheld</c:v>
                </c:pt>
              </c:strCache>
            </c:strRef>
          </c:tx>
          <c:spPr>
            <a:solidFill xmlns:a="http://schemas.openxmlformats.org/drawingml/2006/main">
              <a:srgbClr val="B9E2E7"/>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ctr"/>
            <c:showLegendKey val="0"/>
            <c:showVal val="0"/>
            <c:showCatName val="0"/>
            <c:showSerName val="0"/>
            <c:showPercent val="0"/>
            <c:separator>; </c:separator>
            <c:showLeaderLines val="1"/>
          </c:dLbls>
          <c:cat>
            <c:numRef>
              <c:f>categories</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numCache>
            </c:numRef>
          </c:cat>
          <c:val>
            <c:numRef>
              <c:f>2</c:f>
              <c:numCache>
                <c:formatCode>#,##0</c:formatCode>
                <c:ptCount val="21"/>
                <c:pt idx="0">
                  <c:v>0</c:v>
                </c:pt>
                <c:pt idx="1">
                  <c:v>0</c:v>
                </c:pt>
                <c:pt idx="2">
                  <c:v>0</c:v>
                </c:pt>
                <c:pt idx="3">
                  <c:v>436.954530899221</c:v>
                </c:pt>
                <c:pt idx="4">
                  <c:v>6444.71718634344</c:v>
                </c:pt>
                <c:pt idx="5">
                  <c:v>12610.1399648632</c:v>
                </c:pt>
                <c:pt idx="6">
                  <c:v>15636.4424314871</c:v>
                </c:pt>
                <c:pt idx="7">
                  <c:v>17665.8322342286</c:v>
                </c:pt>
                <c:pt idx="8">
                  <c:v>19334.3484520184</c:v>
                </c:pt>
                <c:pt idx="9">
                  <c:v>20026.5173123972</c:v>
                </c:pt>
                <c:pt idx="10">
                  <c:v>19728.6986059646</c:v>
                </c:pt>
                <c:pt idx="11">
                  <c:v>18944.9646840899</c:v>
                </c:pt>
                <c:pt idx="12">
                  <c:v>17833.9327773328</c:v>
                </c:pt>
                <c:pt idx="13">
                  <c:v>16579.2032258957</c:v>
                </c:pt>
                <c:pt idx="14">
                  <c:v>13656.1735053637</c:v>
                </c:pt>
                <c:pt idx="15">
                  <c:v>323.999525943585</c:v>
                </c:pt>
                <c:pt idx="16">
                  <c:v>0</c:v>
                </c:pt>
                <c:pt idx="17">
                  <c:v>0</c:v>
                </c:pt>
                <c:pt idx="18">
                  <c:v>0</c:v>
                </c:pt>
                <c:pt idx="19">
                  <c:v>0</c:v>
                </c:pt>
                <c:pt idx="20">
                  <c:v>0</c:v>
                </c:pt>
              </c:numCache>
            </c:numRef>
          </c:val>
        </c:ser>
        <c:gapWidth val="150"/>
        <c:overlap val="100"/>
        <c:axId val="18910150"/>
        <c:axId val="38408839"/>
      </c:barChart>
      <c:catAx>
        <c:axId val="18910150"/>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38408839"/>
        <c:crosses val="autoZero"/>
        <c:lblAlgn val="ctr"/>
        <c:lblOffset val="100"/>
        <c:noMultiLvlLbl val="0"/>
      </c:catAx>
      <c:valAx>
        <c:axId val="38408839"/>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8910150"/>
        <c:crosses val="autoZero"/>
        <c:crossBetween val="between"/>
      </c:valAx>
      <c:spPr>
        <a:noFill xmlns:a="http://schemas.openxmlformats.org/drawingml/2006/main"/>
        <a:ln xmlns:a="http://schemas.openxmlformats.org/drawingml/2006/main" w="0">
          <a:noFill/>
        </a:ln>
      </c:spPr>
    </c:plotArea>
    <c:legend>
      <c:legendPos val="b"/>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Final VCU Contribution by Biome × Model</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bar"/>
        <c:grouping val="clustered"/>
        <c:varyColors val="0"/>
        <c:ser>
          <c:idx val="0"/>
          <c:order val="0"/>
          <c:tx>
            <c:strRef>
              <c:f>label 0</c:f>
              <c:strCache>
                <c:ptCount val="1"/>
                <c:pt idx="0">
                  <c:v>Final VCU</c:v>
                </c:pt>
              </c:strCache>
            </c:strRef>
          </c:tx>
          <c:spPr>
            <a:solidFill xmlns:a="http://schemas.openxmlformats.org/drawingml/2006/main">
              <a:srgbClr val="0F5674"/>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categories</c:f>
              <c:strCache>
                <c:ptCount val="12"/>
                <c:pt idx="0">
                  <c:v>Arid | Fruit Orchard</c:v>
                </c:pt>
                <c:pt idx="1">
                  <c:v>Arid | Horti-Silviculture</c:v>
                </c:pt>
                <c:pt idx="2">
                  <c:v>Arid | Timber Plantation</c:v>
                </c:pt>
                <c:pt idx="3">
                  <c:v>Arid | Mixed Agroforestry</c:v>
                </c:pt>
                <c:pt idx="4">
                  <c:v>Coastal | Fruit Orchard</c:v>
                </c:pt>
                <c:pt idx="5">
                  <c:v>Coastal | Horti-Silviculture</c:v>
                </c:pt>
                <c:pt idx="6">
                  <c:v>Coastal | Timber Plantation</c:v>
                </c:pt>
                <c:pt idx="7">
                  <c:v>Coastal | Mixed Agroforestry</c:v>
                </c:pt>
                <c:pt idx="8">
                  <c:v>Inland | Fruit Orchard</c:v>
                </c:pt>
                <c:pt idx="9">
                  <c:v>Inland | Horti-Silviculture</c:v>
                </c:pt>
                <c:pt idx="10">
                  <c:v>Inland | Timber Plantation</c:v>
                </c:pt>
                <c:pt idx="11">
                  <c:v>Inland | Mixed Agroforestry</c:v>
                </c:pt>
              </c:strCache>
            </c:strRef>
          </c:cat>
          <c:val>
            <c:numRef>
              <c:f>0</c:f>
              <c:numCache>
                <c:formatCode>#,##0.00</c:formatCode>
                <c:ptCount val="12"/>
                <c:pt idx="0">
                  <c:v>5646.257151688</c:v>
                </c:pt>
                <c:pt idx="1">
                  <c:v>1170.7519455767</c:v>
                </c:pt>
                <c:pt idx="2">
                  <c:v>1407.40884999285</c:v>
                </c:pt>
                <c:pt idx="3">
                  <c:v>1763.74698336698</c:v>
                </c:pt>
                <c:pt idx="4">
                  <c:v>0</c:v>
                </c:pt>
                <c:pt idx="5">
                  <c:v>21190.7137241054</c:v>
                </c:pt>
                <c:pt idx="6">
                  <c:v>3059.85981848176</c:v>
                </c:pt>
                <c:pt idx="7">
                  <c:v>18982.0346181401</c:v>
                </c:pt>
                <c:pt idx="8">
                  <c:v>0</c:v>
                </c:pt>
                <c:pt idx="9">
                  <c:v>246307.354992801</c:v>
                </c:pt>
                <c:pt idx="10">
                  <c:v>410518.563745172</c:v>
                </c:pt>
                <c:pt idx="11">
                  <c:v>6841.00591798485</c:v>
                </c:pt>
              </c:numCache>
            </c:numRef>
          </c:val>
        </c:ser>
        <c:gapWidth val="150"/>
        <c:overlap val="0"/>
        <c:axId val="6801916"/>
        <c:axId val="34311065"/>
      </c:barChart>
      <c:catAx>
        <c:axId val="6801916"/>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34311065"/>
        <c:crosses val="autoZero"/>
        <c:lblAlgn val="ctr"/>
        <c:lblOffset val="100"/>
        <c:noMultiLvlLbl val="0"/>
      </c:catAx>
      <c:valAx>
        <c:axId val="34311065"/>
        <c:scaling>
          <c:orientation val="minMax"/>
        </c:scaling>
        <c:delete val="0"/>
        <c:axPos val="b"/>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6801916"/>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VCU/ha/year by Biome × Model</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bar"/>
        <c:grouping val="clustered"/>
        <c:varyColors val="0"/>
        <c:ser>
          <c:idx val="0"/>
          <c:order val="0"/>
          <c:tx>
            <c:strRef>
              <c:f>label 0</c:f>
              <c:strCache>
                <c:ptCount val="1"/>
                <c:pt idx="0">
                  <c:v>VCU/ha/year</c:v>
                </c:pt>
              </c:strCache>
            </c:strRef>
          </c:tx>
          <c:spPr>
            <a:solidFill xmlns:a="http://schemas.openxmlformats.org/drawingml/2006/main">
              <a:srgbClr val="1496A5"/>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categories</c:f>
              <c:strCache>
                <c:ptCount val="12"/>
                <c:pt idx="0">
                  <c:v>Arid | Fruit Orchard</c:v>
                </c:pt>
                <c:pt idx="1">
                  <c:v>Arid | Horti-Silviculture</c:v>
                </c:pt>
                <c:pt idx="2">
                  <c:v>Arid | Timber Plantation</c:v>
                </c:pt>
                <c:pt idx="3">
                  <c:v>Arid | Mixed Agroforestry</c:v>
                </c:pt>
                <c:pt idx="4">
                  <c:v>Coastal | Fruit Orchard</c:v>
                </c:pt>
                <c:pt idx="5">
                  <c:v>Coastal | Horti-Silviculture</c:v>
                </c:pt>
                <c:pt idx="6">
                  <c:v>Coastal | Timber Plantation</c:v>
                </c:pt>
                <c:pt idx="7">
                  <c:v>Coastal | Mixed Agroforestry</c:v>
                </c:pt>
                <c:pt idx="8">
                  <c:v>Inland | Fruit Orchard</c:v>
                </c:pt>
                <c:pt idx="9">
                  <c:v>Inland | Horti-Silviculture</c:v>
                </c:pt>
                <c:pt idx="10">
                  <c:v>Inland | Timber Plantation</c:v>
                </c:pt>
                <c:pt idx="11">
                  <c:v>Inland | Mixed Agroforestry</c:v>
                </c:pt>
              </c:strCache>
            </c:strRef>
          </c:cat>
          <c:val>
            <c:numRef>
              <c:f>0</c:f>
              <c:numCache>
                <c:formatCode>0.00</c:formatCode>
                <c:ptCount val="12"/>
                <c:pt idx="0">
                  <c:v>0.259465040708698</c:v>
                </c:pt>
                <c:pt idx="1">
                  <c:v>4.08468336325691</c:v>
                </c:pt>
                <c:pt idx="2">
                  <c:v>36.8161779322186</c:v>
                </c:pt>
                <c:pt idx="3">
                  <c:v>20.5063013994533</c:v>
                </c:pt>
                <c:pt idx="4">
                  <c:v>0</c:v>
                </c:pt>
                <c:pt idx="5">
                  <c:v>4.63792201974007</c:v>
                </c:pt>
                <c:pt idx="6">
                  <c:v>5.57983693452647</c:v>
                </c:pt>
                <c:pt idx="7">
                  <c:v>97.9707802662172</c:v>
                </c:pt>
                <c:pt idx="8">
                  <c:v>0</c:v>
                </c:pt>
                <c:pt idx="9">
                  <c:v>28.0334917587629</c:v>
                </c:pt>
                <c:pt idx="10">
                  <c:v>39.1781376905613</c:v>
                </c:pt>
                <c:pt idx="11">
                  <c:v>17.9353424202463</c:v>
                </c:pt>
              </c:numCache>
            </c:numRef>
          </c:val>
        </c:ser>
        <c:gapWidth val="150"/>
        <c:overlap val="0"/>
        <c:axId val="56293437"/>
        <c:axId val="79716091"/>
      </c:barChart>
      <c:catAx>
        <c:axId val="56293437"/>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79716091"/>
        <c:crosses val="autoZero"/>
        <c:lblAlgn val="ctr"/>
        <c:lblOffset val="100"/>
        <c:noMultiLvlLbl val="0"/>
      </c:catAx>
      <c:valAx>
        <c:axId val="79716091"/>
        <c:scaling>
          <c:orientation val="minMax"/>
        </c:scaling>
        <c:delete val="0"/>
        <c:axPos val="b"/>
        <c:majorGridlines>
          <c:spPr>
            <a:ln xmlns:a="http://schemas.openxmlformats.org/drawingml/2006/main" w="9360">
              <a:solidFill>
                <a:srgbClr val="CCCCCC"/>
              </a:solidFill>
              <a:prstDash val="dash"/>
            </a:ln>
          </c:spPr>
        </c:majorGridlines>
        <c:numFmt formatCode="0.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6293437"/>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Final VCU by Biome</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label 0</c:f>
              <c:strCache>
                <c:ptCount val="1"/>
                <c:pt idx="0">
                  <c:v>Final VCU</c:v>
                </c:pt>
              </c:strCache>
            </c:strRef>
          </c:tx>
          <c:spPr>
            <a:solidFill xmlns:a="http://schemas.openxmlformats.org/drawingml/2006/main">
              <a:srgbClr val="0F5674"/>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categories</c:f>
              <c:strCache>
                <c:ptCount val="3"/>
                <c:pt idx="0">
                  <c:v>Arid</c:v>
                </c:pt>
                <c:pt idx="1">
                  <c:v>Coastal</c:v>
                </c:pt>
                <c:pt idx="2">
                  <c:v>Inland</c:v>
                </c:pt>
              </c:strCache>
            </c:strRef>
          </c:cat>
          <c:val>
            <c:numRef>
              <c:f>0</c:f>
              <c:numCache>
                <c:formatCode>#,##0.00</c:formatCode>
                <c:ptCount val="3"/>
                <c:pt idx="0">
                  <c:v>9988.16493062453</c:v>
                </c:pt>
                <c:pt idx="1">
                  <c:v>43232.6081607273</c:v>
                </c:pt>
                <c:pt idx="2">
                  <c:v>663666.924655958</c:v>
                </c:pt>
              </c:numCache>
            </c:numRef>
          </c:val>
        </c:ser>
        <c:gapWidth val="150"/>
        <c:overlap val="0"/>
        <c:axId val="4311891"/>
        <c:axId val="62673632"/>
      </c:barChart>
      <c:catAx>
        <c:axId val="4311891"/>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62673632"/>
        <c:crosses val="autoZero"/>
        <c:lblAlgn val="ctr"/>
        <c:lblOffset val="100"/>
        <c:noMultiLvlLbl val="0"/>
      </c:catAx>
      <c:valAx>
        <c:axId val="62673632"/>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4311891"/>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Final VCU by Model</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label 0</c:f>
              <c:strCache>
                <c:ptCount val="1"/>
                <c:pt idx="0">
                  <c:v>Final VCU</c:v>
                </c:pt>
              </c:strCache>
            </c:strRef>
          </c:tx>
          <c:spPr>
            <a:solidFill xmlns:a="http://schemas.openxmlformats.org/drawingml/2006/main">
              <a:srgbClr val="1496A5"/>
            </a:solidFill>
            <a:ln xmlns:a="http://schemas.openxmlformats.org/drawingml/2006/main" w="0">
              <a:noFill/>
            </a:ln>
          </c:spP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categories</c:f>
              <c:strCache>
                <c:ptCount val="4"/>
                <c:pt idx="0">
                  <c:v>Fruit Orchard</c:v>
                </c:pt>
                <c:pt idx="1">
                  <c:v>Horti-Silviculture</c:v>
                </c:pt>
                <c:pt idx="2">
                  <c:v>Timber Plantation</c:v>
                </c:pt>
                <c:pt idx="3">
                  <c:v>Mixed Agroforestry</c:v>
                </c:pt>
              </c:strCache>
            </c:strRef>
          </c:cat>
          <c:val>
            <c:numRef>
              <c:f>0</c:f>
              <c:numCache>
                <c:formatCode>#,##0.00</c:formatCode>
                <c:ptCount val="4"/>
                <c:pt idx="0">
                  <c:v>5646.257151688</c:v>
                </c:pt>
                <c:pt idx="1">
                  <c:v>268668.820662483</c:v>
                </c:pt>
                <c:pt idx="2">
                  <c:v>414985.832413646</c:v>
                </c:pt>
                <c:pt idx="3">
                  <c:v>27586.7875194919</c:v>
                </c:pt>
              </c:numCache>
            </c:numRef>
          </c:val>
        </c:ser>
        <c:gapWidth val="150"/>
        <c:overlap val="0"/>
        <c:axId val="59966754"/>
        <c:axId val="22686775"/>
      </c:barChart>
      <c:catAx>
        <c:axId val="59966754"/>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2686775"/>
        <c:crosses val="autoZero"/>
        <c:lblAlgn val="ctr"/>
        <c:lblOffset val="100"/>
        <c:noMultiLvlLbl val="0"/>
      </c:catAx>
      <c:valAx>
        <c:axId val="22686775"/>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59966754"/>
        <c:crosses val="autoZero"/>
        <c:crossBetween val="between"/>
      </c:valAx>
      <c:spPr>
        <a:noFill xmlns:a="http://schemas.openxmlformats.org/drawingml/2006/main"/>
        <a:ln xmlns:a="http://schemas.openxmlformats.org/drawingml/2006/main" w="0">
          <a:noFill/>
        </a:ln>
      </c:spPr>
    </c:plotArea>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Selected PSP | Chapman–Richards D &amp; H by Age</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lineChart>
        <c:grouping val="standard"/>
        <c:varyColors val="0"/>
        <c:ser>
          <c:idx val="0"/>
          <c:order val="0"/>
          <c:tx>
            <c:strRef>
              <c:f>label 0</c:f>
              <c:strCache>
                <c:ptCount val="1"/>
                <c:pt idx="0">
                  <c:v>Calendar year</c:v>
                </c:pt>
              </c:strCache>
            </c:strRef>
          </c:tx>
          <c:spPr>
            <a:solidFill xmlns:a="http://schemas.openxmlformats.org/drawingml/2006/main">
              <a:srgbClr val="0F5674"/>
            </a:solidFill>
            <a:ln xmlns:a="http://schemas.openxmlformats.org/drawingml/2006/main" w="38160">
              <a:solidFill>
                <a:srgbClr val="0F5674"/>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categories</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0</c:f>
              <c:numCache>
                <c:formatCode>General</c:formatCode>
                <c:ptCount val="21"/>
                <c:pt idx="0">
                  <c:v>2020</c:v>
                </c:pt>
                <c:pt idx="1">
                  <c:v>2021</c:v>
                </c:pt>
                <c:pt idx="2">
                  <c:v>2022</c:v>
                </c:pt>
                <c:pt idx="3">
                  <c:v>2023</c:v>
                </c:pt>
                <c:pt idx="4">
                  <c:v>2024</c:v>
                </c:pt>
                <c:pt idx="5">
                  <c:v>2025</c:v>
                </c:pt>
                <c:pt idx="6">
                  <c:v>2026</c:v>
                </c:pt>
                <c:pt idx="7">
                  <c:v>2027</c:v>
                </c:pt>
                <c:pt idx="8">
                  <c:v>2028</c:v>
                </c:pt>
                <c:pt idx="9">
                  <c:v>2029</c:v>
                </c:pt>
                <c:pt idx="10">
                  <c:v>2030</c:v>
                </c:pt>
                <c:pt idx="11">
                  <c:v>2031</c:v>
                </c:pt>
                <c:pt idx="14">
                  <c:v>2034</c:v>
                </c:pt>
                <c:pt idx="15">
                  <c:v>0.03</c:v>
                </c:pt>
                <c:pt idx="16">
                  <c:v>0.02</c:v>
                </c:pt>
                <c:pt idx="17">
                  <c:v>0.01</c:v>
                </c:pt>
                <c:pt idx="18">
                  <c:v>0</c:v>
                </c:pt>
                <c:pt idx="19">
                  <c:v>2039</c:v>
                </c:pt>
                <c:pt idx="20">
                  <c:v>2040</c:v>
                </c:pt>
              </c:numCache>
            </c:numRef>
          </c:val>
        </c:ser>
        <c:ser>
          <c:idx val="1"/>
          <c:order val="1"/>
          <c:tx>
            <c:strRef>
              <c:f>label 1</c:f>
              <c:strCache>
                <c:ptCount val="1"/>
                <c:pt idx="0">
                  <c:v>Weighted mean D (cm)</c:v>
                </c:pt>
              </c:strCache>
            </c:strRef>
          </c:tx>
          <c:spPr>
            <a:solidFill xmlns:a="http://schemas.openxmlformats.org/drawingml/2006/main">
              <a:srgbClr val="1496A5"/>
            </a:solidFill>
            <a:ln xmlns:a="http://schemas.openxmlformats.org/drawingml/2006/main" w="38160">
              <a:solidFill>
                <a:srgbClr val="1496A5"/>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categories</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1</c:f>
              <c:numCache>
                <c:formatCode>0.000</c:formatCode>
                <c:ptCount val="21"/>
                <c:pt idx="0">
                  <c:v>0</c:v>
                </c:pt>
                <c:pt idx="1">
                  <c:v>1.59808782353441</c:v>
                </c:pt>
                <c:pt idx="2">
                  <c:v>3.9119737614394</c:v>
                </c:pt>
                <c:pt idx="3">
                  <c:v>6.32477566375471</c:v>
                </c:pt>
                <c:pt idx="4">
                  <c:v>8.64400780165106</c:v>
                </c:pt>
                <c:pt idx="5">
                  <c:v>10.7896699599817</c:v>
                </c:pt>
                <c:pt idx="6">
                  <c:v>12.7316735225452</c:v>
                </c:pt>
                <c:pt idx="7">
                  <c:v>14.4649418484383</c:v>
                </c:pt>
                <c:pt idx="8">
                  <c:v>15.9972854837636</c:v>
                </c:pt>
                <c:pt idx="9">
                  <c:v>17.3429142400764</c:v>
                </c:pt>
                <c:pt idx="10">
                  <c:v>18.5188062242111</c:v>
                </c:pt>
                <c:pt idx="11">
                  <c:v>19.5426466605691</c:v>
                </c:pt>
                <c:pt idx="14">
                  <c:v>21.8685817318092</c:v>
                </c:pt>
                <c:pt idx="15">
                  <c:v>22.4445974256121</c:v>
                </c:pt>
                <c:pt idx="16">
                  <c:v>22.9419625042804</c:v>
                </c:pt>
                <c:pt idx="17">
                  <c:v>23.3711505581686</c:v>
                </c:pt>
                <c:pt idx="18">
                  <c:v>23.7413484421044</c:v>
                </c:pt>
                <c:pt idx="19">
                  <c:v>24.0605761026108</c:v>
                </c:pt>
                <c:pt idx="20">
                  <c:v>24.335809371946</c:v>
                </c:pt>
              </c:numCache>
            </c:numRef>
          </c:val>
        </c:ser>
        <c:ser>
          <c:idx val="2"/>
          <c:order val="2"/>
          <c:tx>
            <c:strRef>
              <c:f>label 2</c:f>
              <c:strCache>
                <c:ptCount val="1"/>
                <c:pt idx="0">
                  <c:v>Weighted mean H (m)</c:v>
                </c:pt>
              </c:strCache>
            </c:strRef>
          </c:tx>
          <c:spPr>
            <a:solidFill xmlns:a="http://schemas.openxmlformats.org/drawingml/2006/main">
              <a:srgbClr val="FFFFFF"/>
            </a:solidFill>
            <a:ln xmlns:a="http://schemas.openxmlformats.org/drawingml/2006/main" w="0">
              <a:solidFill>
                <a:srgbClr val="FFFFFF"/>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numRef>
              <c:f>categories</c:f>
              <c:numCache>
                <c:formatCode>General</c:formatCod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numCache>
            </c:numRef>
          </c:cat>
          <c:val>
            <c:numRef>
              <c:f>2</c:f>
              <c:numCache>
                <c:formatCode>0.000</c:formatCode>
                <c:ptCount val="21"/>
                <c:pt idx="0">
                  <c:v>0</c:v>
                </c:pt>
                <c:pt idx="1">
                  <c:v>1.01832449766606</c:v>
                </c:pt>
                <c:pt idx="2">
                  <c:v>2.2515839491238</c:v>
                </c:pt>
                <c:pt idx="3">
                  <c:v>3.39318879122524</c:v>
                </c:pt>
                <c:pt idx="4">
                  <c:v>4.38533035314368</c:v>
                </c:pt>
                <c:pt idx="5">
                  <c:v>5.22300218173036</c:v>
                </c:pt>
                <c:pt idx="6">
                  <c:v>5.91895670604018</c:v>
                </c:pt>
                <c:pt idx="7">
                  <c:v>6.49148349519711</c:v>
                </c:pt>
                <c:pt idx="8">
                  <c:v>6.95946632420968</c:v>
                </c:pt>
                <c:pt idx="9">
                  <c:v>7.34036377423161</c:v>
                </c:pt>
                <c:pt idx="10">
                  <c:v>7.64948739007429</c:v>
                </c:pt>
                <c:pt idx="11">
                  <c:v>7.89987428805819</c:v>
                </c:pt>
                <c:pt idx="14">
                  <c:v>8.3984215176035</c:v>
                </c:pt>
                <c:pt idx="15">
                  <c:v>8.50526897221929</c:v>
                </c:pt>
                <c:pt idx="16">
                  <c:v>8.59157632481393</c:v>
                </c:pt>
                <c:pt idx="17">
                  <c:v>8.66130195858003</c:v>
                </c:pt>
                <c:pt idx="18">
                  <c:v>8.71764576900969</c:v>
                </c:pt>
                <c:pt idx="19">
                  <c:v>8.76319125350264</c:v>
                </c:pt>
                <c:pt idx="20">
                  <c:v>8.80002256231644</c:v>
                </c:pt>
              </c:numCache>
            </c:numRef>
          </c:val>
        </c:ser>
        <c:axId val="12892368"/>
        <c:axId val="13996824"/>
      </c:lineChart>
      <c:catAx>
        <c:axId val="12892368"/>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3996824"/>
        <c:crosses val="autoZero"/>
        <c:lblAlgn val="ctr"/>
        <c:lblOffset val="100"/>
        <c:noMultiLvlLbl val="0"/>
      </c:catAx>
      <c:valAx>
        <c:axId val="13996824"/>
        <c:scaling>
          <c:orientation val="minMax"/>
        </c:scaling>
        <c:delete val="0"/>
        <c:axPos val="l"/>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12892368"/>
        <c:crosses val="autoZero"/>
        <c:crossBetween val="between"/>
      </c:valAx>
      <c:spPr>
        <a:noFill xmlns:a="http://schemas.openxmlformats.org/drawingml/2006/main"/>
        <a:ln xmlns:a="http://schemas.openxmlformats.org/drawingml/2006/main" w="0">
          <a:noFill/>
        </a:ln>
      </c:spPr>
    </c:plotArea>
    <c:legend>
      <c:legendPos val="b"/>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Annual Leakage | VMD0054 vs Legacy vs Final Use</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lineChart>
        <c:grouping val="standard"/>
        <c:varyColors val="0"/>
        <c:ser>
          <c:idx val="0"/>
          <c:order val="0"/>
          <c:tx>
            <c:strRef>
              <c:f>label 0</c:f>
              <c:strCache>
                <c:ptCount val="1"/>
                <c:pt idx="0">
                  <c:v>VMD0054 annual</c:v>
                </c:pt>
              </c:strCache>
            </c:strRef>
          </c:tx>
          <c:spPr>
            <a:solidFill xmlns:a="http://schemas.openxmlformats.org/drawingml/2006/main">
              <a:srgbClr val="1496A5"/>
            </a:solidFill>
            <a:ln xmlns:a="http://schemas.openxmlformats.org/drawingml/2006/main" w="19080">
              <a:solidFill>
                <a:srgbClr val="1496A5"/>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strRef>
              <c:f>categories</c:f>
              <c:strCache>
                <c:ptCount val="21"/>
                <c:pt idx="0">
                  <c:v>None</c:v>
                </c:pt>
                <c:pt idx="1">
                  <c:v>None</c:v>
                </c:pt>
                <c:pt idx="2">
                  <c:v>None</c:v>
                </c:pt>
                <c:pt idx="3">
                  <c:v>None</c:v>
                </c:pt>
                <c:pt idx="4">
                  <c:v>None</c:v>
                </c:pt>
                <c:pt idx="5">
                  <c:v>None</c:v>
                </c:pt>
                <c:pt idx="6">
                  <c:v>None</c:v>
                </c:pt>
                <c:pt idx="7">
                  <c:v>None</c:v>
                </c:pt>
                <c:pt idx="8">
                  <c:v>None</c:v>
                </c:pt>
                <c:pt idx="9">
                  <c:v>None</c:v>
                </c:pt>
                <c:pt idx="10">
                  <c:v>None</c:v>
                </c:pt>
                <c:pt idx="11">
                  <c:v>None</c:v>
                </c:pt>
                <c:pt idx="12">
                  <c:v>None</c:v>
                </c:pt>
                <c:pt idx="13">
                  <c:v>None</c:v>
                </c:pt>
                <c:pt idx="14">
                  <c:v>None</c:v>
                </c:pt>
                <c:pt idx="15">
                  <c:v>None</c:v>
                </c:pt>
                <c:pt idx="16">
                  <c:v>None</c:v>
                </c:pt>
                <c:pt idx="17">
                  <c:v>None</c:v>
                </c:pt>
                <c:pt idx="18">
                  <c:v>None</c:v>
                </c:pt>
                <c:pt idx="19">
                  <c:v>None</c:v>
                </c:pt>
                <c:pt idx="20">
                  <c:v>None</c:v>
                </c:pt>
              </c:strCache>
            </c:strRef>
          </c:cat>
          <c:val>
            <c:numRef>
              <c:f>0</c:f>
              <c:numCache>
                <c:formatCode>General</c:formatCode>
                <c:ptCount val="21"/>
              </c:numCache>
            </c:numRef>
          </c:val>
        </c:ser>
        <c:ser>
          <c:idx val="1"/>
          <c:order val="1"/>
          <c:tx>
            <c:strRef>
              <c:f>label 1</c:f>
              <c:strCache>
                <c:ptCount val="1"/>
                <c:pt idx="0">
                  <c:v>Legacy annual</c:v>
                </c:pt>
              </c:strCache>
            </c:strRef>
          </c:tx>
          <c:spPr>
            <a:solidFill xmlns:a="http://schemas.openxmlformats.org/drawingml/2006/main">
              <a:srgbClr val="B9E2E7"/>
            </a:solidFill>
            <a:ln xmlns:a="http://schemas.openxmlformats.org/drawingml/2006/main" w="19080">
              <a:solidFill>
                <a:srgbClr val="B9E2E7"/>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strRef>
              <c:f>categories</c:f>
              <c:strCache>
                <c:ptCount val="21"/>
                <c:pt idx="0">
                  <c:v>None</c:v>
                </c:pt>
                <c:pt idx="1">
                  <c:v>None</c:v>
                </c:pt>
                <c:pt idx="2">
                  <c:v>None</c:v>
                </c:pt>
                <c:pt idx="3">
                  <c:v>None</c:v>
                </c:pt>
                <c:pt idx="4">
                  <c:v>None</c:v>
                </c:pt>
                <c:pt idx="5">
                  <c:v>None</c:v>
                </c:pt>
                <c:pt idx="6">
                  <c:v>None</c:v>
                </c:pt>
                <c:pt idx="7">
                  <c:v>None</c:v>
                </c:pt>
                <c:pt idx="8">
                  <c:v>None</c:v>
                </c:pt>
                <c:pt idx="9">
                  <c:v>None</c:v>
                </c:pt>
                <c:pt idx="10">
                  <c:v>None</c:v>
                </c:pt>
                <c:pt idx="11">
                  <c:v>None</c:v>
                </c:pt>
                <c:pt idx="12">
                  <c:v>None</c:v>
                </c:pt>
                <c:pt idx="13">
                  <c:v>None</c:v>
                </c:pt>
                <c:pt idx="14">
                  <c:v>None</c:v>
                </c:pt>
                <c:pt idx="15">
                  <c:v>None</c:v>
                </c:pt>
                <c:pt idx="16">
                  <c:v>None</c:v>
                </c:pt>
                <c:pt idx="17">
                  <c:v>None</c:v>
                </c:pt>
                <c:pt idx="18">
                  <c:v>None</c:v>
                </c:pt>
                <c:pt idx="19">
                  <c:v>None</c:v>
                </c:pt>
                <c:pt idx="20">
                  <c:v>None</c:v>
                </c:pt>
              </c:strCache>
            </c:strRef>
          </c:cat>
          <c:val>
            <c:numRef>
              <c:f>1</c:f>
              <c:numCache>
                <c:formatCode>General</c:formatCode>
                <c:ptCount val="21"/>
              </c:numCache>
            </c:numRef>
          </c:val>
        </c:ser>
        <c:ser>
          <c:idx val="2"/>
          <c:order val="2"/>
          <c:tx>
            <c:strRef>
              <c:f>label 2</c:f>
              <c:strCache>
                <c:ptCount val="1"/>
                <c:pt idx="0">
                  <c:v>Final-use annual</c:v>
                </c:pt>
              </c:strCache>
            </c:strRef>
          </c:tx>
          <c:spPr>
            <a:solidFill xmlns:a="http://schemas.openxmlformats.org/drawingml/2006/main">
              <a:srgbClr val="082C4C"/>
            </a:solidFill>
            <a:ln xmlns:a="http://schemas.openxmlformats.org/drawingml/2006/main" w="19080">
              <a:solidFill>
                <a:srgbClr val="082C4C"/>
              </a:solidFill>
            </a:ln>
          </c:spPr>
          <c:marker>
            <c:symbol val="none"/>
          </c:marker>
          <c:dLbls>
            <c:txPr>
              <a:bodyPr xmlns:a="http://schemas.openxmlformats.org/drawingml/2006/main" anchorCtr="1"/>
              <a:lstStyle xmlns:a="http://schemas.openxmlformats.org/drawingml/2006/main"/>
              <a:p xmlns:a="http://schemas.openxmlformats.org/drawingml/2006/main">
                <a:pPr>
                  <a:defRPr sz="1000" b="0">
                    <a:solidFill>
                      <a:srgbClr val="000000"/>
                    </a:solidFill>
                    <a:latin typeface="Arial"/>
                    <a:ea typeface="Arial"/>
                    <a:cs typeface="Arial"/>
                  </a:defRPr>
                </a:pPr>
              </a:p>
            </c:txPr>
            <c:showLegendKey val="0"/>
            <c:showVal val="0"/>
            <c:showCatName val="0"/>
            <c:showSerName val="0"/>
            <c:showPercent val="0"/>
            <c:separator>; </c:separator>
            <c:showLeaderLines val="1"/>
          </c:dLbls>
          <c:cat>
            <c:strRef>
              <c:f>categories</c:f>
              <c:strCache>
                <c:ptCount val="21"/>
                <c:pt idx="0">
                  <c:v>None</c:v>
                </c:pt>
                <c:pt idx="1">
                  <c:v>None</c:v>
                </c:pt>
                <c:pt idx="2">
                  <c:v>None</c:v>
                </c:pt>
                <c:pt idx="3">
                  <c:v>None</c:v>
                </c:pt>
                <c:pt idx="4">
                  <c:v>None</c:v>
                </c:pt>
                <c:pt idx="5">
                  <c:v>None</c:v>
                </c:pt>
                <c:pt idx="6">
                  <c:v>None</c:v>
                </c:pt>
                <c:pt idx="7">
                  <c:v>None</c:v>
                </c:pt>
                <c:pt idx="8">
                  <c:v>None</c:v>
                </c:pt>
                <c:pt idx="9">
                  <c:v>None</c:v>
                </c:pt>
                <c:pt idx="10">
                  <c:v>None</c:v>
                </c:pt>
                <c:pt idx="11">
                  <c:v>None</c:v>
                </c:pt>
                <c:pt idx="12">
                  <c:v>None</c:v>
                </c:pt>
                <c:pt idx="13">
                  <c:v>None</c:v>
                </c:pt>
                <c:pt idx="14">
                  <c:v>None</c:v>
                </c:pt>
                <c:pt idx="15">
                  <c:v>None</c:v>
                </c:pt>
                <c:pt idx="16">
                  <c:v>None</c:v>
                </c:pt>
                <c:pt idx="17">
                  <c:v>None</c:v>
                </c:pt>
                <c:pt idx="18">
                  <c:v>None</c:v>
                </c:pt>
                <c:pt idx="19">
                  <c:v>None</c:v>
                </c:pt>
                <c:pt idx="20">
                  <c:v>None</c:v>
                </c:pt>
              </c:strCache>
            </c:strRef>
          </c:cat>
          <c:val>
            <c:numRef>
              <c:f>2</c:f>
              <c:numCache>
                <c:formatCode>General</c:formatCode>
                <c:ptCount val="21"/>
              </c:numCache>
            </c:numRef>
          </c:val>
        </c:ser>
        <c:axId val="79877176"/>
        <c:axId val="25635686"/>
      </c:lineChart>
      <c:catAx>
        <c:axId val="79877176"/>
        <c:scaling>
          <c:orientation val="minMax"/>
        </c:scaling>
        <c:delete val="0"/>
        <c:axPos val="b"/>
        <c:majorGridlines>
          <c:spPr>
            <a:ln xmlns:a="http://schemas.openxmlformats.org/drawingml/2006/main" w="9360">
              <a:solidFill>
                <a:srgbClr val="CCCCCC"/>
              </a:solidFill>
              <a:prstDash val="dash"/>
            </a:ln>
          </c:spPr>
        </c:majorGridlines>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25635686"/>
        <c:crosses val="autoZero"/>
        <c:lblAlgn val="ctr"/>
        <c:lblOffset val="100"/>
        <c:noMultiLvlLbl val="0"/>
      </c:catAx>
      <c:valAx>
        <c:axId val="25635686"/>
        <c:scaling>
          <c:orientation val="minMax"/>
        </c:scaling>
        <c:delete val="0"/>
        <c:axPos val="l"/>
        <c:majorGridlines>
          <c:spPr>
            <a:ln xmlns:a="http://schemas.openxmlformats.org/drawingml/2006/main" w="9360">
              <a:solidFill>
                <a:srgbClr val="CCCCCC"/>
              </a:solidFill>
              <a:prstDash val="dash"/>
            </a:ln>
          </c:spPr>
        </c:majorGridlines>
        <c:numFmt formatCode="#,##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crossAx val="79877176"/>
        <c:crosses val="autoZero"/>
        <c:crossBetween val="between"/>
      </c:valAx>
      <c:spPr>
        <a:noFill xmlns:a="http://schemas.openxmlformats.org/drawingml/2006/main"/>
        <a:ln xmlns:a="http://schemas.openxmlformats.org/drawingml/2006/main" w="0">
          <a:noFill/>
        </a:ln>
      </c:spPr>
    </c:plotArea>
    <c:legend>
      <c:legendPos val="b"/>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800" b="1">
                <a:solidFill>
                  <a:srgbClr val="000000"/>
                </a:solidFill>
                <a:latin typeface="Calibri"/>
                <a:ea typeface="Calibri"/>
                <a:cs typeface="Calibri"/>
              </a:rPr>
              <a:t>Significance Test - Es by Source, Ranked (Pareto)</a:t>
            </a:r>
          </a:p>
        </c:rich>
      </c:tx>
      <c:txPr>
        <a:bodyPr xmlns:a="http://schemas.openxmlformats.org/drawingml/2006/main" anchorCtr="1"/>
        <a:lstStyle xmlns:a="http://schemas.openxmlformats.org/drawingml/2006/main"/>
        <a:p xmlns:a="http://schemas.openxmlformats.org/drawingml/2006/main">
          <a:pPr>
            <a:defRPr sz="1800" b="1">
              <a:solidFill>
                <a:srgbClr val="000000"/>
              </a:solidFill>
              <a:latin typeface="Calibri"/>
              <a:ea typeface="Calibri"/>
              <a:cs typeface="Calibri"/>
            </a:defRPr>
          </a:pPr>
        </a:p>
      </c:txPr>
    </c:title>
    <c:autoTitleDeleted val="0"/>
    <c:plotArea>
      <c:barChart>
        <c:barDir val="col"/>
        <c:grouping val="clustered"/>
        <c:varyColors val="0"/>
        <c:ser>
          <c:idx val="0"/>
          <c:order val="0"/>
          <c:tx>
            <c:strRef>
              <c:f>S38_Appendix2_Significance_Test!C67</c:f>
              <c:strCache>
                <c:ptCount val="1"/>
                <c:pt idx="0">
                  <c:v>Es (tCO2e)</c:v>
                </c:pt>
              </c:strCache>
            </c:strRef>
          </c:tx>
          <c:spPr>
            <a:solidFill xmlns:a="http://schemas.openxmlformats.org/drawingml/2006/main">
              <a:srgbClr val="0f5674"/>
            </a:solidFill>
            <a:ln xmlns:a="http://schemas.openxmlformats.org/drawingml/2006/main" w="0">
              <a:noFill/>
            </a:ln>
          </c:spPr>
          <c:invertIfNegative val="0"/>
          <c:dLbls>
            <c:txPr>
              <a:bodyPr xmlns:a="http://schemas.openxmlformats.org/drawingml/2006/main" anchorCtr="1"/>
              <a:lstStyle xmlns:a="http://schemas.openxmlformats.org/drawingml/2006/main"/>
              <a:p xmlns:a="http://schemas.openxmlformats.org/drawingml/2006/main">
                <a:pPr>
                  <a:defRPr sz="1000" b="0" spc="-1">
                    <a:solidFill>
                      <a:srgbClr val="000000"/>
                    </a:solidFill>
                    <a:latin typeface="Arial"/>
                    <a:ea typeface="Arial"/>
                    <a:cs typeface="Arial"/>
                  </a:defRPr>
                </a:pPr>
              </a:p>
            </c:txPr>
            <c:dLblPos val="outEnd"/>
            <c:showLegendKey val="0"/>
            <c:showVal val="0"/>
            <c:showCatName val="0"/>
            <c:showSerName val="0"/>
            <c:showPercent val="0"/>
            <c:separator>; </c:separator>
            <c:showLeaderLines val="1"/>
          </c:dLbls>
          <c:cat>
            <c:strRef>
              <c:f>S38_Appendix2_Significance_Test!$B$68:$B$74</c:f>
              <c:strCache>
                <c:ptCount val="7"/>
                <c:pt idx="0">
                  <c:v>Leakage (VMD0054)</c:v>
                </c:pt>
                <c:pt idx="1">
                  <c:v>Fertilizer N2O project emissions</c:v>
                </c:pt>
                <c:pt idx="2">
                  <c:v>Biomass-burning CH4 + N2O project emissions</c:v>
                </c:pt>
                <c:pt idx="3">
                  <c:v>Above- + belowground non-woody biomass decrease</c:v>
                </c:pt>
                <c:pt idx="4">
                  <c:v>Dead wood decrease</c:v>
                </c:pt>
                <c:pt idx="5">
                  <c:v>Litter decrease</c:v>
                </c:pt>
                <c:pt idx="6">
                  <c:v>Soil organic carbon decrease (only where SOC is optional)</c:v>
                </c:pt>
              </c:strCache>
            </c:strRef>
          </c:cat>
          <c:val>
            <c:numRef>
              <c:f>S38_Appendix2_Significance_Test!$C$68:$C$74</c:f>
              <c:numCache>
                <c:formatCode>General</c:formatCode>
                <c:ptCount val="7"/>
                <c:pt idx="0">
                  <c:v>127301.03717</c:v>
                </c:pt>
                <c:pt idx="1">
                  <c:v>106471.700096725</c:v>
                </c:pt>
                <c:pt idx="2">
                  <c:v>0</c:v>
                </c:pt>
                <c:pt idx="3">
                  <c:v>0</c:v>
                </c:pt>
                <c:pt idx="4">
                  <c:v>0</c:v>
                </c:pt>
                <c:pt idx="5">
                  <c:v>0</c:v>
                </c:pt>
                <c:pt idx="6">
                  <c:v>0</c:v>
                </c:pt>
              </c:numCache>
            </c:numRef>
          </c:val>
        </c:ser>
        <c:gapWidth val="150"/>
        <c:overlap val="0"/>
        <c:axId val="87781214"/>
        <c:axId val="97355109"/>
      </c:barChart>
      <c:lineChart>
        <c:grouping val="standard"/>
        <c:varyColors val="0"/>
        <c:ser>
          <c:idx val="1"/>
          <c:order val="1"/>
          <c:tx>
            <c:strRef>
              <c:f>S38_Appendix2_Significance_Test!D67</c:f>
              <c:strCache>
                <c:ptCount val="1"/>
                <c:pt idx="0">
                  <c:v>Cumulative RC</c:v>
                </c:pt>
              </c:strCache>
            </c:strRef>
          </c:tx>
          <c:spPr>
            <a:solidFill xmlns:a="http://schemas.openxmlformats.org/drawingml/2006/main">
              <a:srgbClr val="c0392b"/>
            </a:solidFill>
            <a:ln xmlns:a="http://schemas.openxmlformats.org/drawingml/2006/main" w="20160">
              <a:solidFill>
                <a:srgbClr val="c0392b"/>
              </a:solidFill>
            </a:ln>
          </c:spPr>
          <c:marker>
            <c:symbol val="none"/>
          </c:marker>
          <c:dLbls>
            <c:txPr>
              <a:bodyPr xmlns:a="http://schemas.openxmlformats.org/drawingml/2006/main" anchorCtr="1"/>
              <a:lstStyle xmlns:a="http://schemas.openxmlformats.org/drawingml/2006/main"/>
              <a:p xmlns:a="http://schemas.openxmlformats.org/drawingml/2006/main">
                <a:pPr>
                  <a:defRPr sz="1000" b="0" spc="-1">
                    <a:solidFill>
                      <a:srgbClr val="000000"/>
                    </a:solidFill>
                    <a:latin typeface="Arial"/>
                    <a:ea typeface="Arial"/>
                    <a:cs typeface="Arial"/>
                  </a:defRPr>
                </a:pPr>
              </a:p>
            </c:txPr>
            <c:showLegendKey val="0"/>
            <c:showVal val="0"/>
            <c:showCatName val="0"/>
            <c:showSerName val="0"/>
            <c:showPercent val="0"/>
            <c:separator>; </c:separator>
            <c:showLeaderLines val="1"/>
          </c:dLbls>
          <c:cat>
            <c:strRef>
              <c:f>S38_Appendix2_Significance_Test!$B$68:$B$74</c:f>
              <c:strCache>
                <c:ptCount val="7"/>
                <c:pt idx="0">
                  <c:v>Leakage (VMD0054)</c:v>
                </c:pt>
                <c:pt idx="1">
                  <c:v>Fertilizer N2O project emissions</c:v>
                </c:pt>
                <c:pt idx="2">
                  <c:v>Biomass-burning CH4 + N2O project emissions</c:v>
                </c:pt>
                <c:pt idx="3">
                  <c:v>Above- + belowground non-woody biomass decrease</c:v>
                </c:pt>
                <c:pt idx="4">
                  <c:v>Dead wood decrease</c:v>
                </c:pt>
                <c:pt idx="5">
                  <c:v>Litter decrease</c:v>
                </c:pt>
                <c:pt idx="6">
                  <c:v>Soil organic carbon decrease (only where SOC is optional)</c:v>
                </c:pt>
              </c:strCache>
            </c:strRef>
          </c:cat>
          <c:val>
            <c:numRef>
              <c:f>S38_Appendix2_Significance_Test!$D$68:$D$74</c:f>
              <c:numCache>
                <c:formatCode>0.0%</c:formatCode>
                <c:ptCount val="7"/>
                <c:pt idx="0">
                  <c:v>0.544550398213264</c:v>
                </c:pt>
                <c:pt idx="1">
                  <c:v>1</c:v>
                </c:pt>
                <c:pt idx="2">
                  <c:v>1</c:v>
                </c:pt>
                <c:pt idx="3">
                  <c:v>1</c:v>
                </c:pt>
                <c:pt idx="4">
                  <c:v>1</c:v>
                </c:pt>
                <c:pt idx="5">
                  <c:v>1</c:v>
                </c:pt>
                <c:pt idx="6">
                  <c:v>1</c:v>
                </c:pt>
              </c:numCache>
            </c:numRef>
          </c:val>
          <c:smooth val="0"/>
        </c:ser>
        <c:axId val="94762457"/>
        <c:axId val="99232245"/>
      </c:lineChart>
      <c:catAx>
        <c:axId val="87781214"/>
        <c:scaling>
          <c:orientation val="minMax"/>
        </c:scaling>
        <c:delete val="0"/>
        <c:axPos val="b"/>
        <c:title>
          <c:tx>
            <c:rich>
              <a:bodyPr xmlns:a="http://schemas.openxmlformats.org/drawingml/2006/main"/>
              <a:lstStyle xmlns:a="http://schemas.openxmlformats.org/drawingml/2006/main"/>
              <a:p xmlns:a="http://schemas.openxmlformats.org/drawingml/2006/main">
                <a:pPr>
                  <a:buNone/>
                  <a:defRPr sz="1000" b="1" spc="-1">
                    <a:solidFill>
                      <a:srgbClr val="000000"/>
                    </a:solidFill>
                    <a:latin typeface="Calibri"/>
                    <a:ea typeface="Calibri"/>
                    <a:cs typeface="Calibri"/>
                  </a:defRPr>
                </a:pPr>
                <a:r>
                  <a:rPr sz="1000" b="1" spc="-1">
                    <a:solidFill>
                      <a:srgbClr val="000000"/>
                    </a:solidFill>
                    <a:latin typeface="Calibri"/>
                    <a:ea typeface="Calibri"/>
                    <a:cs typeface="Calibri"/>
                  </a:rPr>
                  <a:t>Source / pool (rank order)</a:t>
                </a:r>
              </a:p>
            </c:rich>
          </c:tx>
          <c:txPr>
            <a:bodyPr xmlns:a="http://schemas.openxmlformats.org/drawingml/2006/main" anchorCtr="1"/>
            <a:lstStyle xmlns:a="http://schemas.openxmlformats.org/drawingml/2006/main"/>
            <a:p xmlns:a="http://schemas.openxmlformats.org/drawingml/2006/main">
              <a:pPr>
                <a:defRPr sz="1000" b="1" spc="-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crossAx val="97355109"/>
        <c:crosses val="autoZero"/>
        <c:lblAlgn val="ctr"/>
        <c:lblOffset val="100"/>
        <c:noMultiLvlLbl val="0"/>
      </c:catAx>
      <c:valAx>
        <c:axId val="97355109"/>
        <c:scaling>
          <c:orientation val="minMax"/>
        </c:scaling>
        <c:delete val="0"/>
        <c:axPos val="l"/>
        <c:majorGridlines>
          <c:spPr>
            <a:ln xmlns:a="http://schemas.openxmlformats.org/drawingml/2006/main" w="0">
              <a:solidFill>
                <a:srgbClr val="b3b3b3"/>
              </a:solidFill>
            </a:ln>
          </c:spPr>
        </c:majorGridlines>
        <c:title>
          <c:tx>
            <c:rich>
              <a:bodyPr xmlns:a="http://schemas.openxmlformats.org/drawingml/2006/main"/>
              <a:lstStyle xmlns:a="http://schemas.openxmlformats.org/drawingml/2006/main"/>
              <a:p xmlns:a="http://schemas.openxmlformats.org/drawingml/2006/main">
                <a:pPr>
                  <a:buNone/>
                  <a:defRPr sz="1000" b="1" spc="-1">
                    <a:solidFill>
                      <a:srgbClr val="000000"/>
                    </a:solidFill>
                    <a:latin typeface="Calibri"/>
                    <a:ea typeface="Calibri"/>
                    <a:cs typeface="Calibri"/>
                  </a:defRPr>
                </a:pPr>
                <a:r>
                  <a:rPr sz="1000" b="1" spc="-1">
                    <a:solidFill>
                      <a:srgbClr val="000000"/>
                    </a:solidFill>
                    <a:latin typeface="Calibri"/>
                    <a:ea typeface="Calibri"/>
                    <a:cs typeface="Calibri"/>
                  </a:rPr>
                  <a:t>Es (tCO2e)</a:t>
                </a:r>
              </a:p>
            </c:rich>
          </c:tx>
          <c:txPr>
            <a:bodyPr xmlns:a="http://schemas.openxmlformats.org/drawingml/2006/main" anchorCtr="1"/>
            <a:lstStyle xmlns:a="http://schemas.openxmlformats.org/drawingml/2006/main"/>
            <a:p xmlns:a="http://schemas.openxmlformats.org/drawingml/2006/main">
              <a:pPr>
                <a:defRPr sz="1000" b="1" spc="-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crossAx val="87781214"/>
        <c:crosses val="autoZero"/>
        <c:crossBetween val="between"/>
      </c:valAx>
      <c:catAx>
        <c:axId val="94762457"/>
        <c:scaling>
          <c:orientation val="minMax"/>
        </c:scaling>
        <c:delete val="0"/>
        <c:axPos val="t"/>
        <c:title>
          <c:tx>
            <c:rich>
              <a:bodyPr xmlns:a="http://schemas.openxmlformats.org/drawingml/2006/main"/>
              <a:lstStyle xmlns:a="http://schemas.openxmlformats.org/drawingml/2006/main"/>
              <a:p xmlns:a="http://schemas.openxmlformats.org/drawingml/2006/main">
                <a:pPr>
                  <a:buNone/>
                  <a:defRPr sz="1000" b="1" spc="-1">
                    <a:solidFill>
                      <a:srgbClr val="000000"/>
                    </a:solidFill>
                    <a:latin typeface="Calibri"/>
                    <a:ea typeface="Calibri"/>
                    <a:cs typeface="Calibri"/>
                  </a:defRPr>
                </a:pPr>
                <a:r>
                  <a:rPr sz="1000" b="1" spc="-1">
                    <a:solidFill>
                      <a:srgbClr val="000000"/>
                    </a:solidFill>
                    <a:latin typeface="Calibri"/>
                    <a:ea typeface="Calibri"/>
                    <a:cs typeface="Calibri"/>
                  </a:rPr>
                  <a:t>Source / pool (rank order)</a:t>
                </a:r>
              </a:p>
            </c:rich>
          </c:tx>
          <c:txPr>
            <a:bodyPr xmlns:a="http://schemas.openxmlformats.org/drawingml/2006/main" anchorCtr="1"/>
            <a:lstStyle xmlns:a="http://schemas.openxmlformats.org/drawingml/2006/main"/>
            <a:p xmlns:a="http://schemas.openxmlformats.org/drawingml/2006/main">
              <a:pPr>
                <a:defRPr sz="1000" b="1" spc="-1">
                  <a:solidFill>
                    <a:srgbClr val="000000"/>
                  </a:solidFill>
                  <a:latin typeface="Calibri"/>
                  <a:ea typeface="Calibri"/>
                  <a:cs typeface="Calibri"/>
                </a:defRPr>
              </a:pPr>
            </a:p>
          </c:txPr>
        </c:title>
        <c:numFmt formatCode="General"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crossAx val="99232245"/>
        <c:crosses val="autoZero"/>
        <c:lblAlgn val="ctr"/>
        <c:lblOffset val="100"/>
        <c:noMultiLvlLbl val="0"/>
      </c:catAx>
      <c:valAx>
        <c:axId val="99232245"/>
        <c:scaling>
          <c:orientation val="minMax"/>
        </c:scaling>
        <c:delete val="0"/>
        <c:axPos val="r"/>
        <c:title>
          <c:tx>
            <c:rich>
              <a:bodyPr xmlns:a="http://schemas.openxmlformats.org/drawingml/2006/main"/>
              <a:lstStyle xmlns:a="http://schemas.openxmlformats.org/drawingml/2006/main"/>
              <a:p xmlns:a="http://schemas.openxmlformats.org/drawingml/2006/main">
                <a:pPr>
                  <a:buNone/>
                  <a:defRPr sz="1000" b="1" spc="-1">
                    <a:solidFill>
                      <a:srgbClr val="000000"/>
                    </a:solidFill>
                    <a:latin typeface="Calibri"/>
                    <a:ea typeface="Calibri"/>
                    <a:cs typeface="Calibri"/>
                  </a:defRPr>
                </a:pPr>
                <a:r>
                  <a:rPr sz="1000" b="1" spc="-1">
                    <a:solidFill>
                      <a:srgbClr val="000000"/>
                    </a:solidFill>
                    <a:latin typeface="Calibri"/>
                    <a:ea typeface="Calibri"/>
                    <a:cs typeface="Calibri"/>
                  </a:rPr>
                  <a:t>Cumulative RC</a:t>
                </a:r>
              </a:p>
            </c:rich>
          </c:tx>
          <c:txPr>
            <a:bodyPr xmlns:a="http://schemas.openxmlformats.org/drawingml/2006/main" anchorCtr="1"/>
            <a:lstStyle xmlns:a="http://schemas.openxmlformats.org/drawingml/2006/main"/>
            <a:p xmlns:a="http://schemas.openxmlformats.org/drawingml/2006/main">
              <a:pPr>
                <a:defRPr sz="1000" b="1" spc="-1">
                  <a:solidFill>
                    <a:srgbClr val="000000"/>
                  </a:solidFill>
                  <a:latin typeface="Calibri"/>
                  <a:ea typeface="Calibri"/>
                  <a:cs typeface="Calibri"/>
                </a:defRPr>
              </a:pPr>
            </a:p>
          </c:txPr>
        </c:title>
        <c:numFmt formatCode="0.0%" sourceLinked="0"/>
        <c:majorTickMark val="none"/>
        <c:minorTickMark val="none"/>
        <c:tickLblPos val="nextTo"/>
        <c:spPr>
          <a:ln xmlns:a="http://schemas.openxmlformats.org/drawingml/2006/main" w="0">
            <a:solidFill>
              <a:srgbClr val="b3b3b3"/>
            </a:solidFill>
          </a:ln>
        </c:spPr>
        <c:txPr>
          <a:bodyPr xmlns:a="http://schemas.openxmlformats.org/drawingml/2006/main" anchorCtr="1"/>
          <a:lstStyle xmlns:a="http://schemas.openxmlformats.org/drawingml/2006/main"/>
          <a:p xmlns:a="http://schemas.openxmlformats.org/drawingml/2006/main">
            <a:pPr>
              <a:defRPr sz="1000" b="0" spc="-1">
                <a:solidFill>
                  <a:srgbClr val="000000"/>
                </a:solidFill>
                <a:latin typeface="Calibri"/>
                <a:ea typeface="Calibri"/>
                <a:cs typeface="Calibri"/>
              </a:defRPr>
            </a:pPr>
          </a:p>
        </c:txPr>
        <c:crossAx val="94762457"/>
        <c:crosses val="max"/>
        <c:crossBetween val="between"/>
      </c:valAx>
      <c:spPr>
        <a:noFill xmlns:a="http://schemas.openxmlformats.org/drawingml/2006/main"/>
        <a:ln xmlns:a="http://schemas.openxmlformats.org/drawingml/2006/main" w="0">
          <a:noFill/>
        </a:ln>
      </c:spPr>
    </c:plotArea>
    <c:legend>
      <c:legendPos val="r"/>
      <c:overlay val="0"/>
      <c:spPr>
        <a:noFill xmlns:a="http://schemas.openxmlformats.org/drawingml/2006/main"/>
      </c:spPr>
      <c:txPr>
        <a:bodyPr xmlns:a="http://schemas.openxmlformats.org/drawingml/2006/main" anchorCtr="1"/>
        <a:lstStyle xmlns:a="http://schemas.openxmlformats.org/drawingml/2006/main"/>
        <a:p xmlns:a="http://schemas.openxmlformats.org/drawingml/2006/main">
          <a:pPr>
            <a:defRPr sz="1000" b="0">
              <a:solidFill>
                <a:srgbClr val="000000"/>
              </a:solidFill>
              <a:latin typeface="Calibri"/>
              <a:ea typeface="Calibri"/>
              <a:cs typeface="Calibri"/>
            </a:defRPr>
          </a:pPr>
        </a:p>
      </c:txPr>
    </c:legend>
    <c:plotVisOnly val="1"/>
  </c:chart>
  <c:spPr>
    <a:solidFill xmlns:a="http://schemas.openxmlformats.org/drawingml/2006/main">
      <a:srgbClr val="FFFFFF"/>
    </a:solidFill>
    <a:ln xmlns:a="http://schemas.openxmlformats.org/drawingml/2006/main" w="9360">
      <a:solidFill>
        <a:srgbClr val="D9D9D9"/>
      </a:solidFill>
    </a:ln>
  </c:spPr>
</c:chartSpace>
</file>

<file path=xl/drawings/drawing1.xml><?xml version="1.0" encoding="utf-8"?>
<xdr:wsDr xmlns:xdr="http://schemas.openxmlformats.org/drawingml/2006/spreadsheetDrawing">
  <xdr:twoCellAnchor>
    <xdr:from>
      <xdr:col>0</xdr:col>
      <xdr:colOff>0</xdr:colOff>
      <xdr:row>6</xdr:row>
      <xdr:rowOff>0</xdr:rowOff>
    </xdr:from>
    <xdr:to>
      <xdr:col>7</xdr:col>
      <xdr:colOff>766440</xdr:colOff>
      <xdr:row>20</xdr:row>
      <xdr:rowOff>181440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c08d123020484b"/>
        </a:graphicData>
      </a:graphic>
    </xdr:graphicFrame>
    <xdr:clientData/>
  </xdr:twoCellAnchor>
  <xdr:twoCellAnchor>
    <xdr:from>
      <xdr:col>9</xdr:col>
      <xdr:colOff>0</xdr:colOff>
      <xdr:row>6</xdr:row>
      <xdr:rowOff>0</xdr:rowOff>
    </xdr:from>
    <xdr:to>
      <xdr:col>16</xdr:col>
      <xdr:colOff>766440</xdr:colOff>
      <xdr:row>20</xdr:row>
      <xdr:rowOff>181440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bd7da4153e7410c"/>
        </a:graphicData>
      </a:graphic>
    </xdr:graphicFrame>
    <xdr:clientData/>
  </xdr:twoCellAnchor>
  <xdr:twoCellAnchor>
    <xdr:from>
      <xdr:col>0</xdr:col>
      <xdr:colOff>0</xdr:colOff>
      <xdr:row>22</xdr:row>
      <xdr:rowOff>0</xdr:rowOff>
    </xdr:from>
    <xdr:to>
      <xdr:col>7</xdr:col>
      <xdr:colOff>766440</xdr:colOff>
      <xdr:row>36</xdr:row>
      <xdr:rowOff>181440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7bc93d4bdf40ae"/>
        </a:graphicData>
      </a:graphic>
    </xdr:graphicFrame>
    <xdr:clientData/>
  </xdr:twoCellAnchor>
  <xdr:twoCellAnchor>
    <xdr:from>
      <xdr:col>9</xdr:col>
      <xdr:colOff>0</xdr:colOff>
      <xdr:row>22</xdr:row>
      <xdr:rowOff>0</xdr:rowOff>
    </xdr:from>
    <xdr:to>
      <xdr:col>16</xdr:col>
      <xdr:colOff>766440</xdr:colOff>
      <xdr:row>36</xdr:row>
      <xdr:rowOff>181440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1cb7fb22f84c2d"/>
        </a:graphicData>
      </a:graphic>
    </xdr:graphicFrame>
    <xdr:clientData/>
  </xdr:twoCellAnchor>
  <xdr:twoCellAnchor>
    <xdr:from>
      <xdr:col>0</xdr:col>
      <xdr:colOff>0</xdr:colOff>
      <xdr:row>38</xdr:row>
      <xdr:rowOff>0</xdr:rowOff>
    </xdr:from>
    <xdr:to>
      <xdr:col>7</xdr:col>
      <xdr:colOff>766440</xdr:colOff>
      <xdr:row>58</xdr:row>
      <xdr:rowOff>181440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a204afe96b94bc3"/>
        </a:graphicData>
      </a:graphic>
    </xdr:graphicFrame>
    <xdr:clientData/>
  </xdr:twoCellAnchor>
  <xdr:twoCellAnchor>
    <xdr:from>
      <xdr:col>9</xdr:col>
      <xdr:colOff>0</xdr:colOff>
      <xdr:row>38</xdr:row>
      <xdr:rowOff>0</xdr:rowOff>
    </xdr:from>
    <xdr:to>
      <xdr:col>16</xdr:col>
      <xdr:colOff>766440</xdr:colOff>
      <xdr:row>58</xdr:row>
      <xdr:rowOff>181440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17772c6dfb4026"/>
        </a:graphicData>
      </a:graphic>
    </xdr:graphicFrame>
    <xdr:clientData/>
  </xdr:twoCellAnchor>
  <xdr:twoCellAnchor>
    <xdr:from>
      <xdr:col>9</xdr:col>
      <xdr:colOff>0</xdr:colOff>
      <xdr:row>60</xdr:row>
      <xdr:rowOff>0</xdr:rowOff>
    </xdr:from>
    <xdr:to>
      <xdr:col>16</xdr:col>
      <xdr:colOff>766440</xdr:colOff>
      <xdr:row>77</xdr:row>
      <xdr:rowOff>181800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0670139a61a4207"/>
        </a:graphicData>
      </a:graphic>
    </xdr:graphicFrame>
    <xdr:clientData/>
  </xdr:twoCellAnchor>
  <xdr:twoCellAnchor>
    <xdr:from>
      <xdr:col>0</xdr:col>
      <xdr:colOff>0</xdr:colOff>
      <xdr:row>60</xdr:row>
      <xdr:rowOff>0</xdr:rowOff>
    </xdr:from>
    <xdr:to>
      <xdr:col>7</xdr:col>
      <xdr:colOff>766440</xdr:colOff>
      <xdr:row>77</xdr:row>
      <xdr:rowOff>181800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93ae88e357445f0"/>
        </a:graphicData>
      </a:graphic>
    </xdr:graphicFrame>
    <xdr:clientData/>
  </xdr:twoCellAnchor>
</xdr:wsDr>
</file>

<file path=xl/drawings/drawing2.xml><?xml version="1.0" encoding="utf-8"?>
<xdr:wsDr xmlns:xdr="http://schemas.openxmlformats.org/drawingml/2006/spreadsheetDrawing">
  <xdr:oneCellAnchor>
    <xdr:from>
      <xdr:col>10</xdr:col>
      <xdr:colOff>0</xdr:colOff>
      <xdr:row>18</xdr:row>
      <xdr:rowOff>0</xdr:rowOff>
    </xdr:from>
    <xdr:ext cx="5372100" cy="3190875"/>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4d8c61d08db24c2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36</xdr:row>
      <xdr:rowOff>0</xdr:rowOff>
    </xdr:from>
    <xdr:ext cx="5372100" cy="3190875"/>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42024c0ecdab4c7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54</xdr:row>
      <xdr:rowOff>0</xdr:rowOff>
    </xdr:from>
    <xdr:ext cx="5372100" cy="3190875"/>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2fe30e18d1454979"/>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twoCellAnchor>
    <xdr:from>
      <xdr:col>6</xdr:col>
      <xdr:colOff>0</xdr:colOff>
      <xdr:row>75</xdr:row>
      <xdr:rowOff>26280</xdr:rowOff>
    </xdr:from>
    <xdr:to>
      <xdr:col>13</xdr:col>
      <xdr:colOff>907200</xdr:colOff>
      <xdr:row>100</xdr:row>
      <xdr:rowOff>17280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398b5ddad64a84"/>
        </a:graphicData>
      </a:graphic>
    </xdr:graphicFrame>
    <xdr:clientData/>
  </xdr:twoCellAnchor>
</xdr:wsDr>
</file>

<file path=xl/drawings/drawing4.xml><?xml version="1.0" encoding="utf-8"?>
<xdr:wsDr xmlns:xdr="http://schemas.openxmlformats.org/drawingml/2006/spreadsheetDrawing">
  <xdr:twoCellAnchor>
    <xdr:from>
      <xdr:col>15</xdr:col>
      <xdr:colOff>0</xdr:colOff>
      <xdr:row>117</xdr:row>
      <xdr:rowOff>55800</xdr:rowOff>
    </xdr:from>
    <xdr:to>
      <xdr:col>23</xdr:col>
      <xdr:colOff>602640</xdr:colOff>
      <xdr:row>133</xdr:row>
      <xdr:rowOff>134640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ba48958a744a58"/>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65</xdr:row>
      <xdr:rowOff>0</xdr:rowOff>
    </xdr:from>
    <xdr:to>
      <xdr:col>16</xdr:col>
      <xdr:colOff>394200</xdr:colOff>
      <xdr:row>83</xdr:row>
      <xdr:rowOff>170280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65fe7afe4b4454"/>
        </a:graphicData>
      </a:graphic>
    </xdr:graphicFrame>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SP_VCS4713_v2.xlsx" TargetMode="External" Id="R8c33a3b7ba0543d2" /><Relationship Type="http://schemas.openxmlformats.org/officeDocument/2006/relationships/hyperlink" Target="SP_VCS4713_v2.xlsx" TargetMode="External" Id="R358db87b6c0f49d8" /><Relationship Type="http://schemas.openxmlformats.org/officeDocument/2006/relationships/hyperlink" Target="SP_VCS4713_v2.xlsx" TargetMode="External" Id="R81339ea8522f4c2d" /><Relationship Type="http://schemas.openxmlformats.org/officeDocument/2006/relationships/hyperlink" Target="SP_VCS4713_v2.xlsx" TargetMode="External" Id="R7a9e173dc00841ee" /><Relationship Type="http://schemas.openxmlformats.org/officeDocument/2006/relationships/hyperlink" Target="SP_VCS4713_v2.xlsx" TargetMode="External" Id="R8cb09ebc48e24cda" /><Relationship Type="http://schemas.openxmlformats.org/officeDocument/2006/relationships/hyperlink" Target="SP_VCS4713_v2.xlsx" TargetMode="External" Id="R583af0fd210a490f" /><Relationship Type="http://schemas.openxmlformats.org/officeDocument/2006/relationships/hyperlink" Target="SP_VCS4713_v2.xlsx" TargetMode="External" Id="Recef96fd13af48b6" /><Relationship Type="http://schemas.openxmlformats.org/officeDocument/2006/relationships/hyperlink" Target="SP_VCS4713_v2.xlsx" TargetMode="External" Id="Ra765f05455c3432a" /><Relationship Type="http://schemas.openxmlformats.org/officeDocument/2006/relationships/hyperlink" Target="SP_VCS4713_v2.xlsx" TargetMode="External" Id="Ra2a49887b54b43ea" /><Relationship Type="http://schemas.openxmlformats.org/officeDocument/2006/relationships/hyperlink" Target="SP_VCS4713_v2.xlsx" TargetMode="External" Id="R1c755f7d3ca548ce" /><Relationship Type="http://schemas.openxmlformats.org/officeDocument/2006/relationships/hyperlink" Target="SP_VCS4713_v2.xlsx" TargetMode="External" Id="R85bbf588b7d944f3" /><Relationship Type="http://schemas.openxmlformats.org/officeDocument/2006/relationships/hyperlink" Target="SP_VCS4713_v2.xlsx" TargetMode="External" Id="R6cfaad23f8c14109" /><Relationship Type="http://schemas.openxmlformats.org/officeDocument/2006/relationships/hyperlink" Target="SP_VCS4713_v2.xlsx" TargetMode="External" Id="R8c274e58413c4387" /><Relationship Type="http://schemas.openxmlformats.org/officeDocument/2006/relationships/hyperlink" Target="SP_VCS4713_v2.xlsx" TargetMode="External" Id="R1285752ecfaa4e34" /><Relationship Type="http://schemas.openxmlformats.org/officeDocument/2006/relationships/hyperlink" Target="SP_VCS4713_v2.xlsx" TargetMode="External" Id="Rc4966e6ca70343c6" /></Relationships>
</file>

<file path=xl/worksheets/_rels/sheet3.xml.rels>&#65279;<?xml version="1.0" encoding="utf-8"?><Relationships xmlns="http://schemas.openxmlformats.org/package/2006/relationships"><Relationship Type="http://schemas.openxmlformats.org/officeDocument/2006/relationships/drawing" Target="/xl/drawings/drawing1.xml" Id="R062ddd333e11469c" /></Relationships>
</file>

<file path=xl/worksheets/_rels/sheet9.xml.rels>&#65279;<?xml version="1.0" encoding="utf-8"?><Relationships xmlns="http://schemas.openxmlformats.org/package/2006/relationships"><Relationship Type="http://schemas.openxmlformats.org/officeDocument/2006/relationships/drawing" Target="/xl/drawings/drawing2.xml" Id="Rcbdce92c4c2c46c6" /></Relationships>
</file>

<file path=xl/worksheets/_rels/sheet14.xml.rels>&#65279;<?xml version="1.0" encoding="utf-8"?><Relationships xmlns="http://schemas.openxmlformats.org/package/2006/relationships"><Relationship Type="http://schemas.openxmlformats.org/officeDocument/2006/relationships/drawing" Target="/xl/drawings/drawing3.xml" Id="Rf6a1bbc95ff94f3f" /></Relationships>
</file>

<file path=xl/worksheets/_rels/sheet36.xml.rels>&#65279;<?xml version="1.0" encoding="utf-8"?><Relationships xmlns="http://schemas.openxmlformats.org/package/2006/relationships"><Relationship Type="http://schemas.openxmlformats.org/officeDocument/2006/relationships/drawing" Target="/xl/drawings/drawing4.xml" Id="R7db0fba687c84175" /></Relationships>
</file>

<file path=xl/worksheets/_rels/sheet38.xml.rels>&#65279;<?xml version="1.0" encoding="utf-8"?><Relationships xmlns="http://schemas.openxmlformats.org/package/2006/relationships"><Relationship Type="http://schemas.openxmlformats.org/officeDocument/2006/relationships/drawing" Target="/xl/drawings/drawing5.xml" Id="Rdae44bc25a3b4056" /></Relationships>
</file>

<file path=xl/worksheets/sheet1.xml><?xml version="1.0" encoding="utf-8"?>
<x:worksheet xmlns:x="http://schemas.openxmlformats.org/spreadsheetml/2006/main">
  <x:sheetPr>
    <x:tabColor rgb="FF1A5C38"/>
  </x:sheetPr>
  <x:sheetViews>
    <x:sheetView showGridLines="0" workbookViewId="0"/>
  </x:sheetViews>
  <x:sheetFormatPr defaultColWidth="8.6796875" defaultRowHeight="15"/>
  <x:cols>
    <x:col min="1" max="1" width="3" style="1" hidden="0" customWidth="1"/>
    <x:col min="2" max="2" width="38" style="1" hidden="0" customWidth="1"/>
    <x:col min="3" max="3" width="32" style="1" hidden="0" customWidth="1"/>
    <x:col min="4" max="4" width="70" style="1" hidden="0" customWidth="1"/>
    <x:col min="5" max="8" width="10" style="1" hidden="0" customWidth="1"/>
  </x:cols>
  <x:sheetData>
    <x:row r="1" ht="24" hidden="0" customHeight="1">
      <x:c r="A1" s="2"/>
      <x:c r="B1" s="2"/>
      <x:c r="C1" s="2"/>
      <x:c r="D1" s="2"/>
    </x:row>
    <x:row r="2" ht="30" hidden="0" customHeight="1">
      <x:c r="A2" s="3"/>
      <x:c r="B2" s="4" t="s">
        <x:v>0</x:v>
      </x:c>
      <x:c r="C2" s="4"/>
      <x:c r="D2" s="4"/>
      <x:c r="E2" s="5"/>
      <x:c r="F2" s="5"/>
      <x:c r="G2" s="5"/>
      <x:c r="H2" s="5"/>
    </x:row>
    <x:row r="3" ht="24" hidden="0" customHeight="1">
      <x:c r="A3" s="3"/>
      <x:c r="B3" s="6" t="str">
        <x:v>Fresh 67-PSP Population | Biome-Specific Performance Benchmark | LTA-Capped | VM0047 v1.1 (Area-Based Approach)</x:v>
      </x:c>
      <x:c r="C3" s="6"/>
      <x:c r="D3" s="6"/>
      <x:c r="E3" s="7"/>
      <x:c r="F3" s="7"/>
      <x:c r="G3" s="7"/>
      <x:c r="H3" s="7"/>
    </x:row>
    <x:row r="4" ht="24" hidden="0" customHeight="1">
      <x:c r="A4" s="3"/>
      <x:c r="B4" s="8" t="s">
        <x:v>1</x:v>
      </x:c>
      <x:c r="C4" s="8"/>
      <x:c r="D4" s="8"/>
    </x:row>
    <x:row r="5" ht="15" hidden="0" customHeight="1">
      <x:c r="A5" s="3"/>
      <x:c r="B5" s="9" t="s">
        <x:v>2</x:v>
      </x:c>
      <x:c r="C5" s="9"/>
      <x:c r="D5" s="9"/>
      <x:c r="E5" s="10"/>
      <x:c r="F5" s="10"/>
      <x:c r="G5" s="10"/>
      <x:c r="H5" s="10"/>
    </x:row>
    <x:row r="6" ht="27.75" hidden="0" customHeight="1">
      <x:c r="A6" s="11"/>
      <x:c r="B6" s="12" t="s">
        <x:v>3</x:v>
      </x:c>
      <x:c r="C6" s="13" t="s">
        <x:v>4</x:v>
      </x:c>
      <x:c r="D6" s="13"/>
    </x:row>
    <x:row r="7" ht="27.75" hidden="0" customHeight="1">
      <x:c r="A7" s="11"/>
      <x:c r="B7" s="12" t="s">
        <x:v>5</x:v>
      </x:c>
      <x:c r="C7" s="13" t="s">
        <x:v>6</x:v>
      </x:c>
      <x:c r="D7" s="13"/>
    </x:row>
    <x:row r="8" ht="27.75" hidden="0" customHeight="1">
      <x:c r="A8" s="11"/>
      <x:c r="B8" s="12" t="s">
        <x:v>7</x:v>
      </x:c>
      <x:c r="C8" s="13" t="s">
        <x:v>8</x:v>
      </x:c>
      <x:c r="D8" s="13"/>
    </x:row>
    <x:row r="9" ht="15" hidden="0" customHeight="1">
      <x:c r="A9" s="11"/>
      <x:c r="B9" s="11"/>
      <x:c r="C9" s="11"/>
      <x:c r="D9" s="11"/>
    </x:row>
    <x:row r="10" ht="21.75" hidden="0" customHeight="1">
      <x:c r="A10" s="14"/>
      <x:c r="B10" s="15" t="s">
        <x:v>9</x:v>
      </x:c>
      <x:c r="C10" s="16"/>
      <x:c r="D10" s="16"/>
      <x:c r="E10" s="17"/>
      <x:c r="F10" s="17"/>
      <x:c r="G10" s="17"/>
      <x:c r="H10" s="17"/>
    </x:row>
    <x:row r="11" ht="21.75" hidden="0" customHeight="1">
      <x:c r="A11" s="11"/>
      <x:c r="B11" s="18" t="s">
        <x:v>10</x:v>
      </x:c>
      <x:c r="C11" s="11"/>
      <x:c r="D11" s="19" t="n">
        <x:f aca="0">S04_Final_ERR!B3</x:f>
        <x:v>2851.798533508701</x:v>
      </x:c>
    </x:row>
    <x:row r="12" ht="21.75" hidden="0" customHeight="1">
      <x:c r="A12" s="11"/>
      <x:c r="B12" s="18" t="s">
        <x:v>11</x:v>
      </x:c>
      <x:c r="C12" s="11"/>
      <x:c r="D12" s="20" t="str">
        <x:f aca="0">COUNTA(S10_PSP_Register!B4:B70)&amp;" / "&amp;COUNTIF(S10_PSP_Register!G4:G70,"Included")</x:f>
        <x:v>67 / 66</x:v>
      </x:c>
    </x:row>
    <x:row r="13" ht="21.75" hidden="0" customHeight="1">
      <x:c r="A13" s="11"/>
      <x:c r="B13" s="18" t="s">
        <x:v>12</x:v>
      </x:c>
      <x:c r="C13" s="11"/>
      <x:c r="D13" s="19" t="n">
        <x:f aca="0">S04_Final_ERR!K3</x:f>
        <x:v>793637.4461812804</x:v>
      </x:c>
    </x:row>
    <x:row r="14" ht="21.75" hidden="0" customHeight="1">
      <x:c r="A14" s="11"/>
      <x:c r="B14" s="18" t="s">
        <x:v>13</x:v>
      </x:c>
      <x:c r="C14" s="11"/>
      <x:c r="D14" s="19" t="n">
        <x:f aca="0">IF(S08_Defaults!$B$13=0,0,S04_Final_ERR!K3/S08_Defaults!$B$13)</x:f>
        <x:v>39681.87230906402</x:v>
      </x:c>
    </x:row>
    <x:row r="15" ht="21.75" hidden="0" customHeight="1">
      <x:c r="A15" s="11"/>
      <x:c r="B15" s="21" t="s">
        <x:v>14</x:v>
      </x:c>
      <x:c r="C15" s="11"/>
      <x:c r="D15" s="22" t="n">
        <x:f aca="0">S04_Final_ERR!S3</x:f>
        <x:v>13.914682907225412</x:v>
      </x:c>
    </x:row>
    <x:row r="16" ht="21.75" hidden="0" customHeight="1">
      <x:c r="A16" s="14"/>
      <x:c r="B16" s="15" t="s">
        <x:v>15</x:v>
      </x:c>
      <x:c r="C16" s="16"/>
      <x:c r="D16" s="16"/>
      <x:c r="E16" s="17"/>
      <x:c r="F16" s="17"/>
      <x:c r="G16" s="17"/>
      <x:c r="H16" s="17"/>
    </x:row>
    <x:row r="17" ht="15" hidden="0" customHeight="1">
      <x:c r="A17" s="11"/>
      <x:c r="B17" s="23" t="s">
        <x:v>16</x:v>
      </x:c>
      <x:c r="C17" s="24"/>
      <x:c r="D17" s="25" t="s">
        <x:v>17</x:v>
      </x:c>
      <x:c r="E17" s="25"/>
      <x:c r="F17" s="25"/>
      <x:c r="G17" s="25"/>
      <x:c r="H17" s="25"/>
    </x:row>
    <x:row r="18" ht="15" hidden="0" customHeight="1">
      <x:c r="A18" s="11" t="str">
        <x:v>Biome reporting classification</x:v>
      </x:c>
      <x:c r="B18" s="23" t="str">
        <x:v>Biomes: Deserts &amp; Xeric Shrublands; Tropical &amp; Subtropical Moist Broadleaf Forests; Tropical &amp; Subtropical Dry Broadleaf Forests.</x:v>
      </x:c>
      <x:c r="C18" s="24"/>
      <x:c r="D18" s="25" t="str">
        <x:v>Portfolio charts: annual/cumulative VCU, gross vs PB-adjusted removals, deductions, and Biome/Model contribution.</x:v>
      </x:c>
      <x:c r="E18" s="25"/>
      <x:c r="F18" s="25"/>
      <x:c r="G18" s="25"/>
      <x:c r="H18" s="25"/>
    </x:row>
    <x:row r="19" ht="15" hidden="0" customHeight="1">
      <x:c r="A19" s="11"/>
      <x:c r="B19" s="23" t="s">
        <x:v>18</x:v>
      </x:c>
      <x:c r="C19" s="24"/>
      <x:c r="D19" s="25" t="s">
        <x:v>19</x:v>
      </x:c>
      <x:c r="E19" s="25"/>
      <x:c r="F19" s="25"/>
      <x:c r="G19" s="25"/>
      <x:c r="H19" s="25"/>
    </x:row>
    <x:row r="20" ht="15" hidden="0" customHeight="1">
      <x:c r="A20" s="11"/>
      <x:c r="B20" s="23" t="s">
        <x:v>20</x:v>
      </x:c>
      <x:c r="C20" s="24"/>
      <x:c r="D20" s="25" t="s">
        <x:v>21</x:v>
      </x:c>
      <x:c r="E20" s="25"/>
      <x:c r="F20" s="25"/>
      <x:c r="G20" s="25"/>
      <x:c r="H20" s="25"/>
    </x:row>
    <x:row r="21" ht="15" hidden="0" customHeight="1">
      <x:c r="A21" s="11"/>
      <x:c r="B21" s="23" t="s">
        <x:v>22</x:v>
      </x:c>
      <x:c r="C21" s="24"/>
      <x:c r="D21" s="25" t="s">
        <x:v>23</x:v>
      </x:c>
      <x:c r="E21" s="25"/>
      <x:c r="F21" s="25"/>
      <x:c r="G21" s="25"/>
      <x:c r="H21" s="25"/>
    </x:row>
    <x:row r="22" ht="15" hidden="0" customHeight="1">
      <x:c r="A22" s="11"/>
      <x:c r="B22" s="23" t="s">
        <x:v>24</x:v>
      </x:c>
      <x:c r="C22" s="24"/>
      <x:c r="D22" s="25" t="s">
        <x:v>25</x:v>
      </x:c>
      <x:c r="E22" s="25"/>
      <x:c r="F22" s="25"/>
      <x:c r="G22" s="25"/>
      <x:c r="H22" s="25"/>
    </x:row>
    <x:row r="23" ht="15" hidden="0" customHeight="1">
      <x:c r="A23" s="11"/>
      <x:c r="B23" s="23" t="s">
        <x:v>26</x:v>
      </x:c>
      <x:c r="C23" s="24"/>
      <x:c r="D23" s="25" t="s">
        <x:v>27</x:v>
      </x:c>
      <x:c r="E23" s="25"/>
      <x:c r="F23" s="25"/>
      <x:c r="G23" s="25"/>
      <x:c r="H23" s="25"/>
    </x:row>
    <x:row r="24" ht="15" hidden="0" customHeight="1">
      <x:c r="A24" s="11"/>
      <x:c r="B24" s="23" t="s">
        <x:v>28</x:v>
      </x:c>
      <x:c r="C24" s="24"/>
      <x:c r="D24" s="25" t="s">
        <x:v>29</x:v>
      </x:c>
      <x:c r="E24" s="25"/>
      <x:c r="F24" s="25"/>
      <x:c r="G24" s="25"/>
      <x:c r="H24" s="25"/>
    </x:row>
    <x:row r="25" ht="15" hidden="0" customHeight="1">
      <x:c r="A25" s="11"/>
      <x:c r="B25" s="23" t="s">
        <x:v>30</x:v>
      </x:c>
      <x:c r="C25" s="24"/>
      <x:c r="D25" s="25" t="s">
        <x:v>31</x:v>
      </x:c>
      <x:c r="E25" s="25"/>
      <x:c r="F25" s="25"/>
      <x:c r="G25" s="25"/>
      <x:c r="H25" s="25"/>
    </x:row>
    <x:row r="26" ht="15" hidden="0" customHeight="1">
      <x:c r="A26" s="11"/>
      <x:c r="B26" s="23" t="s">
        <x:v>32</x:v>
      </x:c>
      <x:c r="C26" s="24"/>
      <x:c r="D26" s="25" t="s">
        <x:v>33</x:v>
      </x:c>
      <x:c r="E26" s="25"/>
      <x:c r="F26" s="25"/>
      <x:c r="G26" s="25"/>
      <x:c r="H26" s="25"/>
    </x:row>
    <x:row r="27" ht="15" hidden="0" customHeight="1">
      <x:c r="A27" s="11"/>
      <x:c r="B27" s="23" t="s">
        <x:v>34</x:v>
      </x:c>
      <x:c r="C27" s="24"/>
      <x:c r="D27" s="25" t="s">
        <x:v>35</x:v>
      </x:c>
      <x:c r="E27" s="25"/>
      <x:c r="F27" s="25"/>
      <x:c r="G27" s="25"/>
      <x:c r="H27" s="25"/>
    </x:row>
    <x:row r="28" ht="15" hidden="0" customHeight="1">
      <x:c r="A28" s="11"/>
      <x:c r="B28" s="23" t="str">
        <x:v>S18_Deserts_Xeric_ER</x:v>
      </x:c>
      <x:c r="C28" s="24"/>
      <x:c r="D28" s="25" t="str">
        <x:v>All 4 models for a biome, aligned by cohort, side by side, below the calculation engine (also Tropical &amp; Subtropical Moist Broadleaf Forests/Tropical &amp; Subtropical Dry Broadleaf Forests).</x:v>
      </x:c>
      <x:c r="E28" s="25"/>
      <x:c r="F28" s="25"/>
      <x:c r="G28" s="25"/>
      <x:c r="H28" s="25"/>
    </x:row>
    <x:row r="29" ht="15" hidden="0" customHeight="1">
      <x:c r="A29" s="11"/>
      <x:c r="B29" s="23" t="s">
        <x:v>36</x:v>
      </x:c>
      <x:c r="C29" s="24"/>
      <x:c r="D29" s="25" t="s">
        <x:v>37</x:v>
      </x:c>
      <x:c r="E29" s="25"/>
      <x:c r="F29" s="25"/>
      <x:c r="G29" s="25"/>
      <x:c r="H29" s="25"/>
    </x:row>
    <x:row r="30" ht="15" hidden="0" customHeight="1">
      <x:c r="A30" s="11"/>
      <x:c r="B30" s="23" t="s">
        <x:v>38</x:v>
      </x:c>
      <x:c r="C30" s="24"/>
      <x:c r="D30" s="25" t="s">
        <x:v>39</x:v>
      </x:c>
      <x:c r="E30" s="25"/>
      <x:c r="F30" s="25"/>
      <x:c r="G30" s="25"/>
      <x:c r="H30" s="25"/>
    </x:row>
    <x:row r="31" ht="15" hidden="0" customHeight="1">
      <x:c r="A31" s="11"/>
      <x:c r="B31" s="23" t="s">
        <x:v>40</x:v>
      </x:c>
      <x:c r="C31" s="24"/>
      <x:c r="D31" s="25" t="s">
        <x:v>41</x:v>
      </x:c>
      <x:c r="E31" s="25"/>
      <x:c r="F31" s="25"/>
      <x:c r="G31" s="25"/>
      <x:c r="H31" s="25"/>
    </x:row>
    <x:row r="32" ht="15" hidden="0" customHeight="1">
      <x:c r="A32" s="11"/>
      <x:c r="B32" s="26"/>
      <x:c r="C32" s="24"/>
      <x:c r="D32" s="27"/>
      <x:c r="E32" s="28"/>
      <x:c r="F32" s="28"/>
      <x:c r="G32" s="28"/>
      <x:c r="H32" s="28"/>
    </x:row>
    <x:row r="33" ht="15" hidden="0" customHeight="1">
      <x:c r="A33" s="11"/>
      <x:c r="B33" s="11"/>
      <x:c r="C33" s="11"/>
      <x:c r="D33" s="11"/>
    </x:row>
    <x:row r="34" ht="21.75" hidden="0" customHeight="1">
      <x:c r="A34" s="29" t="s">
        <x:v>42</x:v>
      </x:c>
      <x:c r="B34" s="30" t="s">
        <x:v>43</x:v>
      </x:c>
      <x:c r="C34" s="31"/>
      <x:c r="D34" s="31"/>
    </x:row>
    <x:row r="35" ht="15" hidden="0" customHeight="1">
      <x:c r="A35" s="32" t="s">
        <x:v>44</x:v>
      </x:c>
      <x:c r="B35" s="32"/>
      <x:c r="C35" s="32"/>
      <x:c r="D35" s="32"/>
      <x:c r="E35" s="33"/>
      <x:c r="F35" s="33"/>
      <x:c r="G35" s="33"/>
      <x:c r="H35" s="33"/>
    </x:row>
    <x:row r="37" ht="15" hidden="0" customHeight="1">
      <x:c r="A37" s="34" t="s">
        <x:v>45</x:v>
      </x:c>
      <x:c r="B37" s="35" t="s">
        <x:v>46</x:v>
      </x:c>
      <x:c r="C37" s="36" t="s">
        <x:v>47</x:v>
      </x:c>
      <x:c r="D37" s="35" t="s">
        <x:v>48</x:v>
      </x:c>
      <x:c r="E37" s="36" t="s">
        <x:v>49</x:v>
      </x:c>
      <x:c r="F37" s="35" t="s">
        <x:v>50</x:v>
      </x:c>
      <x:c r="G37" s="36" t="s">
        <x:v>51</x:v>
      </x:c>
      <x:c r="H37" s="35" t="s">
        <x:v>52</x:v>
      </x:c>
      <x:c r="I37" s="36" t="s">
        <x:v>53</x:v>
      </x:c>
    </x:row>
  </x:sheetData>
  <x:mergeCells>
    <x:mergeCell ref="B2:D2"/>
    <x:mergeCell ref="B3:D3"/>
    <x:mergeCell ref="B4:D4"/>
    <x:mergeCell ref="B5:D5"/>
    <x:mergeCell ref="C6:D6"/>
    <x:mergeCell ref="C7:D7"/>
    <x:mergeCell ref="C8:D8"/>
    <x:mergeCell ref="D17:H17"/>
    <x:mergeCell ref="D18:H18"/>
    <x:mergeCell ref="D19:H19"/>
    <x:mergeCell ref="D20:H20"/>
    <x:mergeCell ref="D21:H21"/>
    <x:mergeCell ref="D22:H22"/>
    <x:mergeCell ref="D23:H23"/>
    <x:mergeCell ref="D24:H24"/>
    <x:mergeCell ref="D25:H25"/>
    <x:mergeCell ref="D26:H26"/>
    <x:mergeCell ref="D27:H27"/>
    <x:mergeCell ref="D28:H28"/>
    <x:mergeCell ref="D29:H29"/>
    <x:mergeCell ref="D30:H30"/>
    <x:mergeCell ref="D31:H31"/>
  </x:mergeCells>
  <x:hyperlinks>
    <x:hyperlink xmlns:r="http://schemas.openxmlformats.org/officeDocument/2006/relationships" ref="B17" r:id="R8c33a3b7ba0543d2"/>
    <x:hyperlink xmlns:r="http://schemas.openxmlformats.org/officeDocument/2006/relationships" ref="B18" r:id="R358db87b6c0f49d8"/>
    <x:hyperlink xmlns:r="http://schemas.openxmlformats.org/officeDocument/2006/relationships" ref="B19" r:id="R81339ea8522f4c2d"/>
    <x:hyperlink xmlns:r="http://schemas.openxmlformats.org/officeDocument/2006/relationships" ref="B20" r:id="R7a9e173dc00841ee"/>
    <x:hyperlink xmlns:r="http://schemas.openxmlformats.org/officeDocument/2006/relationships" ref="B21" r:id="R8cb09ebc48e24cda"/>
    <x:hyperlink xmlns:r="http://schemas.openxmlformats.org/officeDocument/2006/relationships" ref="B22" r:id="R583af0fd210a490f"/>
    <x:hyperlink xmlns:r="http://schemas.openxmlformats.org/officeDocument/2006/relationships" ref="B23" r:id="Recef96fd13af48b6"/>
    <x:hyperlink xmlns:r="http://schemas.openxmlformats.org/officeDocument/2006/relationships" ref="B24" r:id="Ra765f05455c3432a"/>
    <x:hyperlink xmlns:r="http://schemas.openxmlformats.org/officeDocument/2006/relationships" ref="B25" r:id="Ra2a49887b54b43ea"/>
    <x:hyperlink xmlns:r="http://schemas.openxmlformats.org/officeDocument/2006/relationships" ref="B26" r:id="R1c755f7d3ca548ce"/>
    <x:hyperlink xmlns:r="http://schemas.openxmlformats.org/officeDocument/2006/relationships" ref="B27" r:id="R85bbf588b7d944f3"/>
    <x:hyperlink xmlns:r="http://schemas.openxmlformats.org/officeDocument/2006/relationships" ref="B28" r:id="R6cfaad23f8c14109"/>
    <x:hyperlink xmlns:r="http://schemas.openxmlformats.org/officeDocument/2006/relationships" ref="B29" r:id="R8c274e58413c4387"/>
    <x:hyperlink xmlns:r="http://schemas.openxmlformats.org/officeDocument/2006/relationships" ref="B30" r:id="R1285752ecfaa4e34"/>
    <x:hyperlink xmlns:r="http://schemas.openxmlformats.org/officeDocument/2006/relationships" ref="B31" r:id="Rc4966e6ca70343c6"/>
  </x:hyperlinks>
  <x:pageMargins left="0.7" right="0.7" top="0.75" bottom="0.75" header="0.3" footer="0.3"/>
</x:worksheet>
</file>

<file path=xl/worksheets/sheet2.xml><?xml version="1.0" encoding="utf-8"?>
<x:worksheet xmlns:x="http://schemas.openxmlformats.org/spreadsheetml/2006/main">
  <x:sheetPr>
    <x:tabColor rgb="FF1A5C38"/>
  </x:sheetPr>
  <x:sheetViews>
    <x:sheetView showGridLines="1" workbookViewId="0"/>
  </x:sheetViews>
  <x:sheetFormatPr defaultColWidth="8.6796875" defaultRowHeight="15"/>
  <x:cols>
    <x:col min="1" max="1" width="16" style="37" hidden="0" customWidth="1"/>
    <x:col min="2" max="2" width="30" style="37" hidden="0" customWidth="1"/>
    <x:col min="3" max="3" width="55" style="37" hidden="0" customWidth="1"/>
    <x:col min="4" max="4" width="34" style="37" hidden="0" customWidth="1"/>
    <x:col min="5" max="5" width="30" style="37" hidden="0" customWidth="1"/>
  </x:cols>
  <x:sheetData>
    <x:row r="1" ht="24" hidden="0" customHeight="1">
      <x:c r="A1" s="38" t="s">
        <x:v>54</x:v>
      </x:c>
      <x:c r="B1" s="38"/>
      <x:c r="C1" s="38"/>
      <x:c r="D1" s="38"/>
      <x:c r="E1" s="38"/>
    </x:row>
    <x:row r="2" ht="15" hidden="0" customHeight="1">
      <x:c r="A2" s="39" t="s">
        <x:v>55</x:v>
      </x:c>
      <x:c r="B2" s="39"/>
      <x:c r="C2" s="39"/>
      <x:c r="D2" s="39"/>
      <x:c r="E2" s="39"/>
    </x:row>
    <x:row r="3" ht="15" hidden="0" customHeight="1">
      <x:c r="A3" s="40"/>
      <x:c r="B3" s="40"/>
      <x:c r="C3" s="40"/>
      <x:c r="D3" s="40"/>
      <x:c r="E3" s="40"/>
    </x:row>
    <x:row r="4" ht="69.75" hidden="0" customHeight="1">
      <x:c r="A4" s="41" t="s">
        <x:v>56</x:v>
      </x:c>
      <x:c r="B4" s="41" t="s">
        <x:v>57</x:v>
      </x:c>
      <x:c r="C4" s="41" t="s">
        <x:v>58</x:v>
      </x:c>
      <x:c r="D4" s="41" t="s">
        <x:v>59</x:v>
      </x:c>
      <x:c r="E4" s="41" t="s">
        <x:v>60</x:v>
      </x:c>
    </x:row>
    <x:row r="5" ht="69.75" hidden="0" customHeight="1">
      <x:c r="A5" s="42" t="s">
        <x:v>61</x:v>
      </x:c>
      <x:c r="B5" s="43" t="s">
        <x:v>62</x:v>
      </x:c>
      <x:c r="C5" s="43" t="str">
        <x:v>Source parcel species counts are normalized to a fixed 30 m x 30 m (0.09 ha) PSP. The normalized species counts feed Chapman-Richards D/H growth and Chave tree AGB; summed plot biomass is divided by 0.09 ha to produce PSP AGB/ha.</x:v>
      </x:c>
      <x:c r="D5" s="43" t="s">
        <x:v>63</x:v>
      </x:c>
      <x:c r="E5" s="43" t="s">
        <x:v>64</x:v>
      </x:c>
    </x:row>
    <x:row r="6" ht="69.75" hidden="0" customHeight="1">
      <x:c r="A6" s="42" t="s">
        <x:v>65</x:v>
      </x:c>
      <x:c r="B6" s="43" t="s">
        <x:v>66</x:v>
      </x:c>
      <x:c r="C6" s="43" t="str">
        <x:v>Stratum curves are averaged from exact PSPs or pooled Model×Density/Model PSP age curves. The 2026 conservative anchor is the selected formula-derived PSP mean at age (2026 - cohort) × the 0.75 conservativeness factor, then converted to total woody carbon stock.</x:v>
      </x:c>
      <x:c r="D6" s="43" t="s">
        <x:v>67</x:v>
      </x:c>
      <x:c r="E6" s="43" t="s">
        <x:v>68</x:v>
      </x:c>
    </x:row>
    <x:row r="7" ht="69.75" hidden="0" customHeight="1">
      <x:c r="A7" s="42" t="s">
        <x:v>69</x:v>
      </x:c>
      <x:c r="B7" s="43" t="str">
        <x:v>S17_Biome_Strata</x:v>
      </x:c>
      <x:c r="C7" s="43" t="str">
        <x:v>The 92-row master matrix: every Biome × Model × Density × Cohort combination with its ELIGIBLE AREA (ha) and record count, matched to its biological source stratum from Step 2 via the 'Biological Source Key'. This is where the area-based scaling actually happens - area (ha) is multiplied by the per-ha stock curve.</x:v>
      </x:c>
      <x:c r="D7" s="43" t="s">
        <x:v>70</x:v>
      </x:c>
      <x:c r="E7" s="43" t="str">
        <x:v>Step 4 - summed by Biome into the Biome×Model ER sheets</x:v>
      </x:c>
    </x:row>
    <x:row r="8" ht="69.75" hidden="0" customHeight="1">
      <x:c r="A8" s="42" t="str">
        <x:v>4. Biome-level roll-up &amp; performance benchmark</x:v>
      </x:c>
      <x:c r="B8" s="43" t="str">
        <x:v>S18_Deserts_Xeric_ER, S19_Moist_Broadleaf_ER, S20_Dry_Broadleaf_ER</x:v>
      </x:c>
      <x:c r="C8" s="43" t="str">
        <x:v>Strata sharing a Biome+Model+Cohort are summed into a 'Gross ΔCWP' curve, then the dynamic performance benchmark (PB, from S09_PB_Input) is applied to produce a 'PB-adjusted ΔCWP' curve for each Biome×Model×Cohort combination. Each of these three sheets also has an aligned-view section beneath the calculation engine (from row 21/25 down), showing all 4 models side by side, one row per cohort, for easy visual comparison.</x:v>
      </x:c>
      <x:c r="D8" s="43" t="s">
        <x:v>71</x:v>
      </x:c>
      <x:c r="E8" s="43" t="str">
        <x:v>Step 5 - summed into the 12 Biome×Model sheets and carried through Eq.(32)</x:v>
      </x:c>
    </x:row>
    <x:row r="9" ht="69.75" hidden="0" customHeight="1">
      <x:c r="A9" s="42" t="str">
        <x:v>5. Biome×Model ERR + LTA + buffer</x:v>
      </x:c>
      <x:c r="B9" s="43" t="str">
        <x:v>12 sheets: Deserts &amp; Xeric Shrublands/Tropical &amp; Subtropical Moist Broadleaf Forests/Tropical &amp; Subtropical Dry Broadleaf Forests_Fruit Orchard/Horti-Silviculture/Timber Plantation/Mixed Agroforestry</x:v>
      </x:c>
      <x:c r="C9" s="43" t="str">
        <x:v>For each of the 12 Biome×Model combinations: applies uncertainty deduction, subtracts project emissions and leakage, computes annual and cumulative creditable removals, computes the VCS long-term average (LTA) cap where harvesting applies, and withholds the non-permanence buffer to arrive at a Final VCU figure for that Biome×Model.</x:v>
      </x:c>
      <x:c r="D9" s="43" t="str">
        <x:v>20% flat ex-ante uncertainty deduction per VM0047 §8.7(3); Eq.(12), Eq.(32), Eq.(34); VCS Standard v4.7 §3.2.28-30 (LTA)</x:v>
      </x:c>
      <x:c r="E9" s="43" t="s">
        <x:v>72</x:v>
      </x:c>
    </x:row>
    <x:row r="10" ht="69.75" hidden="0" customHeight="1">
      <x:c r="A10" s="42" t="s">
        <x:v>73</x:v>
      </x:c>
      <x:c r="B10" s="43" t="s">
        <x:v>16</x:v>
      </x:c>
      <x:c r="C10" s="43" t="str">
        <x:v>Final portfolio output is shown vertically by year (2020-2040): gross and PB-adjusted cumulative stock change, annual fertilizer/burning project emissions, leakage, Eq.(32) cumulative net removals, Eq.(34) annual CR, model-specific LTA-capped cumulative eligibility, annual buffer withholding, annual Final Net VCU and cumulative Final Net VCU. The table reconciles to the 12 Biome×Model sheets.</x:v>
      </x:c>
      <x:c r="D10" s="43" t="s">
        <x:v>74</x:v>
      </x:c>
      <x:c r="E10" s="43" t="s">
        <x:v>75</x:v>
      </x:c>
    </x:row>
    <x:row r="11" ht="69.75" hidden="0" customHeight="1">
      <x:c r="A11" s="42" t="s">
        <x:v>76</x:v>
      </x:c>
      <x:c r="B11" s="43" t="s">
        <x:v>77</x:v>
      </x:c>
      <x:c r="C11" s="43" t="s">
        <x:v>78</x:v>
      </x:c>
      <x:c r="D11" s="43" t="s">
        <x:v>79</x:v>
      </x:c>
      <x:c r="E11" s="43" t="s">
        <x:v>16</x:v>
      </x:c>
    </x:row>
    <x:row r="12" ht="69.75" hidden="0" customHeight="1">
      <x:c r="A12" s="42" t="s">
        <x:v>80</x:v>
      </x:c>
      <x:c r="B12" s="43" t="s">
        <x:v>81</x:v>
      </x:c>
      <x:c r="C12" s="43" t="s">
        <x:v>82</x:v>
      </x:c>
      <x:c r="D12" s="43" t="s">
        <x:v>83</x:v>
      </x:c>
      <x:c r="E12" s="43" t="s">
        <x:v>84</x:v>
      </x:c>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Pr>
    <x:tabColor rgb="FF1A5C38"/>
  </x:sheetPr>
  <x:sheetViews>
    <x:sheetView showGridLines="1" workbookViewId="0"/>
  </x:sheetViews>
  <x:sheetFormatPr defaultColWidth="8.6796875" defaultRowHeight="15"/>
  <x:cols>
    <x:col min="1" max="17" width="11" style="1" hidden="0" customWidth="1"/>
    <x:col min="19" max="19" width="10" style="1" hidden="0" customWidth="1"/>
    <x:col min="20" max="20" width="16" style="1" hidden="0" customWidth="1"/>
    <x:col min="21" max="21" width="18" style="1" hidden="0" customWidth="1"/>
    <x:col min="22" max="24" width="14" style="1" hidden="0" customWidth="1"/>
    <x:col min="25" max="25" width="16" style="1" hidden="0" customWidth="1"/>
    <x:col min="26" max="26" width="18" style="1" hidden="0" customWidth="1"/>
    <x:col min="28" max="28" width="30" style="1" hidden="0" customWidth="1"/>
    <x:col min="29" max="29" width="12" style="1" hidden="0" customWidth="1"/>
    <x:col min="30" max="30" width="14" style="1" hidden="0" customWidth="1"/>
    <x:col min="31" max="31" width="12" style="1" hidden="0" customWidth="1"/>
    <x:col min="33" max="33" width="24" style="1" hidden="0" customWidth="1"/>
    <x:col min="34" max="34" width="12" style="1" hidden="0" customWidth="1"/>
    <x:col min="35" max="35" width="14" style="1" hidden="0" customWidth="1"/>
    <x:col min="36" max="36" width="12" style="1" hidden="0" customWidth="1"/>
    <x:col min="38" max="39" width="12" style="1" hidden="0" customWidth="1"/>
    <x:col min="40" max="40" width="14" style="1" hidden="0" customWidth="1"/>
  </x:cols>
  <x:sheetData>
    <x:row r="1" ht="27.75" hidden="0" customHeight="1">
      <x:c r="A1" s="44" t="s">
        <x:v>85</x:v>
      </x:c>
      <x:c r="B1" s="44"/>
      <x:c r="C1" s="44"/>
      <x:c r="D1" s="44"/>
      <x:c r="E1" s="44"/>
      <x:c r="F1" s="44"/>
      <x:c r="G1" s="44"/>
      <x:c r="H1" s="44"/>
      <x:c r="I1" s="44"/>
      <x:c r="J1" s="44"/>
      <x:c r="K1" s="44"/>
      <x:c r="L1" s="44"/>
      <x:c r="M1" s="44"/>
      <x:c r="N1" s="44"/>
      <x:c r="O1" s="44"/>
      <x:c r="P1" s="44"/>
      <x:c r="Q1" s="44"/>
    </x:row>
    <x:row r="2" ht="27.75" hidden="0" customHeight="1">
      <x:c r="A2" s="45" t="str">
        <x:v>Live charts linked to S04_Final_ERR and the 12 Biome × Model sheets. They update automatically when PB, fertilizer, leakage, area or other calculation inputs change.</x:v>
      </x:c>
      <x:c r="B2" s="45"/>
      <x:c r="C2" s="45"/>
      <x:c r="D2" s="45"/>
      <x:c r="E2" s="45"/>
      <x:c r="F2" s="45"/>
      <x:c r="G2" s="45"/>
      <x:c r="H2" s="45"/>
      <x:c r="I2" s="45"/>
      <x:c r="J2" s="45"/>
      <x:c r="K2" s="45"/>
      <x:c r="L2" s="45"/>
      <x:c r="M2" s="45"/>
      <x:c r="N2" s="45"/>
      <x:c r="O2" s="45"/>
      <x:c r="P2" s="45"/>
      <x:c r="Q2" s="45"/>
    </x:row>
    <x:row r="3" ht="15" hidden="0" customHeight="1">
      <x:c r="S3" s="46" t="s">
        <x:v>86</x:v>
      </x:c>
      <x:c r="T3" s="46" t="s">
        <x:v>87</x:v>
      </x:c>
      <x:c r="U3" s="46" t="s">
        <x:v>88</x:v>
      </x:c>
      <x:c r="V3" s="46" t="s">
        <x:v>89</x:v>
      </x:c>
      <x:c r="W3" s="46" t="s">
        <x:v>90</x:v>
      </x:c>
      <x:c r="X3" s="46" t="s">
        <x:v>91</x:v>
      </x:c>
      <x:c r="Y3" s="46" t="s">
        <x:v>92</x:v>
      </x:c>
      <x:c r="Z3" s="46" t="s">
        <x:v>93</x:v>
      </x:c>
      <x:c r="AB3" s="46" t="str">
        <x:v>Biome × Model</x:v>
      </x:c>
      <x:c r="AC3" s="46" t="s">
        <x:v>94</x:v>
      </x:c>
      <x:c r="AD3" s="46" t="s">
        <x:v>95</x:v>
      </x:c>
      <x:c r="AE3" s="46" t="s">
        <x:v>96</x:v>
      </x:c>
      <x:c r="AG3" s="46" t="s">
        <x:v>97</x:v>
      </x:c>
      <x:c r="AH3" s="46" t="s">
        <x:v>94</x:v>
      </x:c>
      <x:c r="AI3" s="46" t="s">
        <x:v>95</x:v>
      </x:c>
      <x:c r="AJ3" s="46" t="s">
        <x:v>96</x:v>
      </x:c>
      <x:c r="AL3" s="46" t="str">
        <x:v>Biome</x:v>
      </x:c>
      <x:c r="AM3" s="46" t="s">
        <x:v>94</x:v>
      </x:c>
      <x:c r="AN3" s="46" t="s">
        <x:v>95</x:v>
      </x:c>
      <x:c r="AP3" s="46" t="s">
        <x:v>86</x:v>
      </x:c>
      <x:c r="AQ3" s="46" t="s">
        <x:v>98</x:v>
      </x:c>
      <x:c r="AS3" s="46" t="s">
        <x:v>86</x:v>
      </x:c>
      <x:c r="AT3" s="46" t="s">
        <x:v>99</x:v>
      </x:c>
      <x:c r="AV3" s="46" t="s">
        <x:v>86</x:v>
      </x:c>
      <x:c r="AW3" s="46" t="s">
        <x:v>100</x:v>
      </x:c>
      <x:c r="AX3" s="46" t="s">
        <x:v>101</x:v>
      </x:c>
      <x:c r="AY3" s="46" t="s">
        <x:v>102</x:v>
      </x:c>
      <x:c r="BA3" s="46" t="str">
        <x:v>Biome × Model</x:v>
      </x:c>
      <x:c r="BB3" s="46" t="s">
        <x:v>95</x:v>
      </x:c>
      <x:c r="BD3" s="46" t="str">
        <x:v>Biome × Model</x:v>
      </x:c>
      <x:c r="BE3" s="46" t="s">
        <x:v>103</x:v>
      </x:c>
      <x:c r="BG3" s="46" t="s">
        <x:v>97</x:v>
      </x:c>
      <x:c r="BH3" s="46" t="s">
        <x:v>95</x:v>
      </x:c>
      <x:c r="BJ3" s="46" t="str">
        <x:v>Biome</x:v>
      </x:c>
      <x:c r="BK3" s="46" t="s">
        <x:v>95</x:v>
      </x:c>
    </x:row>
    <x:row r="4" ht="15" hidden="0" customHeight="1">
      <x:c r="A4" s="47" t="s">
        <x:v>104</x:v>
      </x:c>
      <x:c r="B4" s="47"/>
      <x:c r="C4" s="47" t="s">
        <x:v>95</x:v>
      </x:c>
      <x:c r="D4" s="47"/>
      <x:c r="E4" s="47" t="s">
        <x:v>105</x:v>
      </x:c>
      <x:c r="F4" s="47"/>
      <x:c r="G4" s="47" t="s">
        <x:v>106</x:v>
      </x:c>
      <x:c r="H4" s="47"/>
      <x:c r="I4" s="47" t="s">
        <x:v>107</x:v>
      </x:c>
      <x:c r="J4" s="47"/>
      <x:c r="K4" s="47" t="s">
        <x:v>108</x:v>
      </x:c>
      <x:c r="L4" s="47"/>
      <x:c r="M4" s="47" t="s">
        <x:v>109</x:v>
      </x:c>
      <x:c r="N4" s="47"/>
      <x:c r="O4" s="47" t="s">
        <x:v>110</x:v>
      </x:c>
      <x:c r="P4" s="47"/>
      <x:c r="S4" s="1" t="n">
        <x:f aca="0">S04_Final_ERR!A6</x:f>
        <x:v>2020</x:v>
      </x:c>
      <x:c r="T4" s="48" t="n">
        <x:f aca="0">S04_Final_ERR!B6</x:f>
        <x:v>0</x:v>
      </x:c>
      <x:c r="U4" s="48" t="n">
        <x:f aca="0">S04_Final_ERR!C6</x:f>
        <x:v>0</x:v>
      </x:c>
      <x:c r="V4" s="48" t="n">
        <x:f aca="0">S04_Final_ERR!F6</x:f>
        <x:v>930.7707214036548</x:v>
      </x:c>
      <x:c r="W4" s="48" t="n">
        <x:f aca="0">S04_Final_ERR!H6</x:f>
        <x:v>4259.0475397939235</x:v>
      </x:c>
      <x:c r="X4" s="48" t="n">
        <x:f aca="0">S04_Final_ERR!O6</x:f>
        <x:v>0</x:v>
      </x:c>
      <x:c r="Y4" s="48" t="n">
        <x:f aca="0">S04_Final_ERR!P6</x:f>
        <x:v>0</x:v>
      </x:c>
      <x:c r="Z4" s="48" t="n">
        <x:f aca="0">S04_Final_ERR!Q6</x:f>
        <x:v>0</x:v>
      </x:c>
      <x:c r="AB4" s="1" t="str">
        <x:v>Deserts &amp; Xeric Shrublands | Fruit Orchard</x:v>
      </x:c>
      <x:c r="AC4" s="49" t="n">
        <x:f aca="0">S21_Deserts_Xeric_Fruit!B4</x:f>
        <x:v>1088.0574000000001</x:v>
      </x:c>
      <x:c r="AD4" s="49" t="n">
        <x:f aca="0">S21_Deserts_Xeric_Fruit!B12</x:f>
        <x:v>36159.491583574425</x:v>
      </x:c>
      <x:c r="AE4" s="50" t="n">
        <x:f aca="0">S21_Deserts_Xeric_Fruit!B14</x:f>
        <x:v>1.6616536767074248</x:v>
      </x:c>
      <x:c r="AG4" s="1" t="s">
        <x:v>111</x:v>
      </x:c>
      <x:c r="AH4" s="49" t="n">
        <x:f aca="0">S21_Deserts_Xeric_Fruit!B4+S25_Moist_Broadleaf_Fruit!B4+S29_Dry_Broadleaf_Fruit!B4</x:f>
        <x:v>1583.4054165520038</x:v>
      </x:c>
      <x:c r="AI4" s="49" t="n">
        <x:f aca="0">S21_Deserts_Xeric_Fruit!B12+S25_Moist_Broadleaf_Fruit!B12+S29_Dry_Broadleaf_Fruit!B12</x:f>
        <x:v>46937.41952724403</x:v>
      </x:c>
      <x:c r="AJ4" s="50" t="n">
        <x:f aca="0">IF(AH4=0,0,AI4/AH4/S04_Final_ERR!H3)</x:f>
        <x:v>1.4821668233728207</x:v>
      </x:c>
      <x:c r="AL4" s="1" t="str">
        <x:v>Deserts &amp; Xeric Shrublands</x:v>
      </x:c>
      <x:c r="AM4" s="49" t="n">
        <x:f aca="0">S21_Deserts_Xeric_Fruit!B4+S22_Deserts_Xeric_Horti!B4+S23_Deserts_Xeric_Timber!B4+S24_Deserts_Xeric_Mixed!B4</x:f>
        <x:v>1108.6003</x:v>
      </x:c>
      <x:c r="AN4" s="49" t="n">
        <x:f aca="0">S21_Deserts_Xeric_Fruit!B12+S22_Deserts_Xeric_Horti!B12+S23_Deserts_Xeric_Timber!B12+S24_Deserts_Xeric_Mixed!B12</x:f>
        <x:v>41077.49978112012</x:v>
      </x:c>
      <x:c r="AP4" s="1" t="n">
        <x:f aca="0">S4</x:f>
        <x:v>2020</x:v>
      </x:c>
      <x:c r="AQ4" s="48" t="n">
        <x:f aca="0">Y4</x:f>
        <x:v>0</x:v>
      </x:c>
      <x:c r="AS4" s="1" t="n">
        <x:f aca="0">S4</x:f>
        <x:v>2020</x:v>
      </x:c>
      <x:c r="AT4" s="48" t="n">
        <x:f aca="0">Z4</x:f>
        <x:v>0</x:v>
      </x:c>
      <x:c r="AV4" s="1" t="n">
        <x:f aca="0">S4</x:f>
        <x:v>2020</x:v>
      </x:c>
      <x:c r="AW4" s="48" t="n">
        <x:f aca="0">V4</x:f>
        <x:v>930.7707214036548</x:v>
      </x:c>
      <x:c r="AX4" s="48" t="n">
        <x:f aca="0">W4</x:f>
        <x:v>4259.0475397939235</x:v>
      </x:c>
      <x:c r="AY4" s="48" t="n">
        <x:f aca="0">X4</x:f>
        <x:v>0</x:v>
      </x:c>
      <x:c r="BA4" s="1" t="str">
        <x:f aca="0">AB4</x:f>
        <x:v>Deserts &amp; Xeric Shrublands | Fruit Orchard</x:v>
      </x:c>
      <x:c r="BB4" s="49" t="n">
        <x:f aca="0">AD4</x:f>
        <x:v>36159.491583574425</x:v>
      </x:c>
      <x:c r="BD4" s="1" t="str">
        <x:f aca="0">AB4</x:f>
        <x:v>Deserts &amp; Xeric Shrublands | Fruit Orchard</x:v>
      </x:c>
      <x:c r="BE4" s="50" t="n">
        <x:f aca="0">AE4</x:f>
        <x:v>1.6616536767074248</x:v>
      </x:c>
      <x:c r="BG4" s="1" t="str">
        <x:f aca="0">AG4</x:f>
        <x:v>Fruit Orchard</x:v>
      </x:c>
      <x:c r="BH4" s="49" t="n">
        <x:f aca="0">AI4</x:f>
        <x:v>46937.41952724403</x:v>
      </x:c>
      <x:c r="BJ4" s="1" t="str">
        <x:f aca="0">AL4</x:f>
        <x:v>Deserts &amp; Xeric Shrublands</x:v>
      </x:c>
      <x:c r="BK4" s="49" t="n">
        <x:f aca="0">AN4</x:f>
        <x:v>41077.49978112012</x:v>
      </x:c>
    </x:row>
    <x:row r="5" ht="15" hidden="0" customHeight="1">
      <x:c r="A5" s="51" t="n">
        <x:f aca="0">S04_Final_ERR!B3</x:f>
        <x:v>2851.798533508701</x:v>
      </x:c>
      <x:c r="B5" s="52"/>
      <x:c r="C5" s="53" t="n">
        <x:f aca="0">S04_Final_ERR!K3</x:f>
        <x:v>793637.4461812804</x:v>
      </x:c>
      <x:c r="D5" s="52"/>
      <x:c r="E5" s="54" t="n">
        <x:f aca="0">S04_Final_ERR!S3</x:f>
        <x:v>13.914682907225412</x:v>
      </x:c>
      <x:c r="F5" s="52"/>
      <x:c r="G5" s="53" t="n">
        <x:f aca="0">SUM(S04_Final_ERR!F6:F26)</x:f>
        <x:v>106471.70009672528</x:v>
      </x:c>
      <x:c r="H5" s="53"/>
      <x:c r="I5" s="53" t="n">
        <x:f aca="0">SUM(S04_Final_ERR!H6:H26)</x:f>
        <x:v>20990.32404640868</x:v>
      </x:c>
      <x:c r="J5" s="52"/>
      <x:c r="K5" s="53" t="n">
        <x:f aca="0">MAX(S04_Final_ERR!P6:P26)</x:f>
        <x:v>81728.50828533903</x:v>
      </x:c>
      <x:c r="L5" s="52"/>
      <x:c r="M5" s="55" t="n">
        <x:f aca="0">S04_Final_ERR!H3</x:f>
        <x:v>20</x:v>
      </x:c>
      <x:c r="N5" s="52"/>
      <x:c r="O5" s="56" t="n">
        <x:f aca="0">S04_Final_ERR!E3</x:f>
        <x:v>0.2</x:v>
      </x:c>
      <x:c r="P5" s="52"/>
      <x:c r="S5" s="1" t="n">
        <x:f aca="0">S04_Final_ERR!A7</x:f>
        <x:v>2021</x:v>
      </x:c>
      <x:c r="T5" s="48" t="n">
        <x:f aca="0">S04_Final_ERR!B7</x:f>
        <x:v>1776.526274783871</x:v>
      </x:c>
      <x:c r="U5" s="48" t="n">
        <x:f aca="0">S04_Final_ERR!C7</x:f>
        <x:v>1434.1659311938954</x:v>
      </x:c>
      <x:c r="V5" s="48" t="n">
        <x:f aca="0">S04_Final_ERR!F7</x:f>
        <x:v>2100.0134422598094</x:v>
      </x:c>
      <x:c r="W5" s="48" t="n">
        <x:f aca="0">S04_Final_ERR!H7</x:f>
        <x:v>4144.406254155832</x:v>
      </x:c>
      <x:c r="X5" s="48" t="n">
        <x:f aca="0">S04_Final_ERR!O7</x:f>
        <x:v>0</x:v>
      </x:c>
      <x:c r="Y5" s="48" t="n">
        <x:f aca="0">S04_Final_ERR!P7</x:f>
        <x:v>0</x:v>
      </x:c>
      <x:c r="Z5" s="48" t="n">
        <x:f aca="0">S04_Final_ERR!Q7</x:f>
        <x:v>0</x:v>
      </x:c>
      <x:c r="AB5" s="1" t="str">
        <x:v>Deserts &amp; Xeric Shrublands | Horti-Silviculture</x:v>
      </x:c>
      <x:c r="AC5" s="49" t="n">
        <x:f aca="0">S22_Deserts_Xeric_Horti!B4</x:f>
        <x:v>14.331</x:v>
      </x:c>
      <x:c r="AD5" s="49" t="n">
        <x:f aca="0">S22_Deserts_Xeric_Horti!B12</x:f>
        <x:v>1572.647252426651</x:v>
      </x:c>
      <x:c r="AE5" s="50" t="n">
        <x:f aca="0">S22_Deserts_Xeric_Horti!B14</x:f>
        <x:v>5.486871999255639</x:v>
      </x:c>
      <x:c r="AG5" s="1" t="s">
        <x:v>112</x:v>
      </x:c>
      <x:c r="AH5" s="49" t="n">
        <x:f aca="0">S22_Deserts_Xeric_Horti!B4+S26_Moist_Broadleaf_Horti!B4+S30_Dry_Broadleaf_Horti!B4</x:f>
        <x:v>682.0906074868475</x:v>
      </x:c>
      <x:c r="AI5" s="49" t="n">
        <x:f aca="0">S22_Deserts_Xeric_Horti!B12+S26_Moist_Broadleaf_Horti!B12+S30_Dry_Broadleaf_Horti!B12</x:f>
        <x:v>287797.21463327383</x:v>
      </x:c>
      <x:c r="AJ5" s="50" t="n">
        <x:f aca="0">IF(AH5=0,0,AI5/AH5/S04_Final_ERR!H3)</x:f>
        <x:v>21.096699725397066</x:v>
      </x:c>
      <x:c r="AL5" s="1" t="str">
        <x:v>Tropical &amp; Subtropical Moist Broadleaf Forests</x:v>
      </x:c>
      <x:c r="AM5" s="49" t="n">
        <x:f aca="0">S25_Moist_Broadleaf_Fruit!B4+S26_Moist_Broadleaf_Horti!B4+S27_Moist_Broadleaf_Timber!B4+S28_Moist_Broadleaf_Mixed!B4</x:f>
        <x:v>342.4471610279241</x:v>
      </x:c>
      <x:c r="AN5" s="49" t="n">
        <x:f aca="0">S25_Moist_Broadleaf_Fruit!B12+S26_Moist_Broadleaf_Horti!B12+S27_Moist_Broadleaf_Timber!B12+S28_Moist_Broadleaf_Mixed!B12</x:f>
        <x:v>52344.43397384661</x:v>
      </x:c>
      <x:c r="AP5" s="1" t="n">
        <x:f aca="0">S5</x:f>
        <x:v>2021</x:v>
      </x:c>
      <x:c r="AQ5" s="48" t="n">
        <x:f aca="0">Y5</x:f>
        <x:v>0</x:v>
      </x:c>
      <x:c r="AS5" s="1" t="n">
        <x:f aca="0">S5</x:f>
        <x:v>2021</x:v>
      </x:c>
      <x:c r="AT5" s="48" t="n">
        <x:f aca="0">Z5</x:f>
        <x:v>0</x:v>
      </x:c>
      <x:c r="AV5" s="1" t="n">
        <x:f aca="0">S5</x:f>
        <x:v>2021</x:v>
      </x:c>
      <x:c r="AW5" s="48" t="n">
        <x:f aca="0">V5</x:f>
        <x:v>2100.0134422598094</x:v>
      </x:c>
      <x:c r="AX5" s="48" t="n">
        <x:f aca="0">W5</x:f>
        <x:v>4144.406254155832</x:v>
      </x:c>
      <x:c r="AY5" s="48" t="n">
        <x:f aca="0">X5</x:f>
        <x:v>0</x:v>
      </x:c>
      <x:c r="BA5" s="1" t="str">
        <x:f aca="0">AB5</x:f>
        <x:v>Deserts &amp; Xeric Shrublands | Horti-Silviculture</x:v>
      </x:c>
      <x:c r="BB5" s="49" t="n">
        <x:f aca="0">AD5</x:f>
        <x:v>1572.647252426651</x:v>
      </x:c>
      <x:c r="BD5" s="1" t="str">
        <x:f aca="0">AB5</x:f>
        <x:v>Deserts &amp; Xeric Shrublands | Horti-Silviculture</x:v>
      </x:c>
      <x:c r="BE5" s="50" t="n">
        <x:f aca="0">AE5</x:f>
        <x:v>5.486871999255639</x:v>
      </x:c>
      <x:c r="BG5" s="1" t="str">
        <x:f aca="0">AG5</x:f>
        <x:v>Horti-Silviculture</x:v>
      </x:c>
      <x:c r="BH5" s="49" t="n">
        <x:f aca="0">AI5</x:f>
        <x:v>287797.21463327383</x:v>
      </x:c>
      <x:c r="BJ5" s="1" t="str">
        <x:f aca="0">AL5</x:f>
        <x:v>Tropical &amp; Subtropical Moist Broadleaf Forests</x:v>
      </x:c>
      <x:c r="BK5" s="49" t="n">
        <x:f aca="0">AN5</x:f>
        <x:v>52344.43397384661</x:v>
      </x:c>
    </x:row>
    <x:row r="6" ht="15" hidden="0" customHeight="1">
      <x:c r="S6" s="1" t="n">
        <x:f aca="0">S04_Final_ERR!A8</x:f>
        <x:v>2022</x:v>
      </x:c>
      <x:c r="T6" s="48" t="n">
        <x:f aca="0">S04_Final_ERR!B8</x:f>
        <x:v>17454.31428195348</x:v>
      </x:c>
      <x:c r="U6" s="48" t="n">
        <x:f aca="0">S04_Final_ERR!C8</x:f>
        <x:v>14106.546706339686</x:v>
      </x:c>
      <x:c r="V6" s="48" t="n">
        <x:f aca="0">S04_Final_ERR!F8</x:f>
        <x:v>3467.2232884808136</x:v>
      </x:c>
      <x:c r="W6" s="48" t="n">
        <x:f aca="0">S04_Final_ERR!H8</x:f>
        <x:v>4233.307664694</x:v>
      </x:c>
      <x:c r="X6" s="48" t="n">
        <x:f aca="0">S04_Final_ERR!O8</x:f>
        <x:v>775.9691700035534</x:v>
      </x:c>
      <x:c r="Y6" s="48" t="n">
        <x:f aca="0">S04_Final_ERR!P8</x:f>
        <x:v>3103.8766800142134</x:v>
      </x:c>
      <x:c r="Z6" s="48" t="n">
        <x:f aca="0">S04_Final_ERR!Q8</x:f>
        <x:v>3103.8766800142134</x:v>
      </x:c>
      <x:c r="AB6" s="1" t="str">
        <x:v>Deserts &amp; Xeric Shrublands | Timber Plantation</x:v>
      </x:c>
      <x:c r="AC6" s="49" t="n">
        <x:f aca="0">S23_Deserts_Xeric_Timber!B4</x:f>
        <x:v>1.9114</x:v>
      </x:c>
      <x:c r="AD6" s="49" t="n">
        <x:f aca="0">S23_Deserts_Xeric_Timber!B12</x:f>
        <x:v>1461.0117171698123</x:v>
      </x:c>
      <x:c r="AE6" s="50" t="n">
        <x:f aca="0">S23_Deserts_Xeric_Timber!B14</x:f>
        <x:v>38.218366568217334</x:v>
      </x:c>
      <x:c r="AG6" s="1" t="s">
        <x:v>113</x:v>
      </x:c>
      <x:c r="AH6" s="49" t="n">
        <x:f aca="0">S23_Deserts_Xeric_Timber!B4+S27_Moist_Broadleaf_Timber!B4+S31_Dry_Broadleaf_Timber!B4</x:f>
        <x:v>553.2431094698502</x:v>
      </x:c>
      <x:c r="AI6" s="49" t="n">
        <x:f aca="0">S23_Deserts_Xeric_Timber!B12+S27_Moist_Broadleaf_Timber!B12+S31_Dry_Broadleaf_Timber!B12</x:f>
        <x:v>430500.8564345109</x:v>
      </x:c>
      <x:c r="AJ6" s="50" t="n">
        <x:f aca="0">IF(AH6=0,0,AI6/AH6/S04_Final_ERR!H3)</x:f>
        <x:v>38.90702378987078</x:v>
      </x:c>
      <x:c r="AL6" s="1" t="str">
        <x:v>Tropical &amp; Subtropical Dry Broadleaf Forests</x:v>
      </x:c>
      <x:c r="AM6" s="49" t="n">
        <x:f aca="0">S29_Dry_Broadleaf_Fruit!B4+S30_Dry_Broadleaf_Horti!B4+S31_Dry_Broadleaf_Timber!B4+S32_Dry_Broadleaf_Mixed!B4</x:f>
        <x:v>1400.751072480777</x:v>
      </x:c>
      <x:c r="AN6" s="49" t="n">
        <x:f aca="0">S29_Dry_Broadleaf_Fruit!B12+S30_Dry_Broadleaf_Horti!B12+S31_Dry_Broadleaf_Timber!B12+S32_Dry_Broadleaf_Mixed!B12</x:f>
        <x:v>700327.4546594127</x:v>
      </x:c>
      <x:c r="AP6" s="1" t="n">
        <x:f aca="0">S6</x:f>
        <x:v>2022</x:v>
      </x:c>
      <x:c r="AQ6" s="48" t="n">
        <x:f aca="0">Y6</x:f>
        <x:v>3103.8766800142134</x:v>
      </x:c>
      <x:c r="AS6" s="1" t="n">
        <x:f aca="0">S6</x:f>
        <x:v>2022</x:v>
      </x:c>
      <x:c r="AT6" s="48" t="n">
        <x:f aca="0">Z6</x:f>
        <x:v>3103.8766800142134</x:v>
      </x:c>
      <x:c r="AV6" s="1" t="n">
        <x:f aca="0">S6</x:f>
        <x:v>2022</x:v>
      </x:c>
      <x:c r="AW6" s="48" t="n">
        <x:f aca="0">V6</x:f>
        <x:v>3467.2232884808136</x:v>
      </x:c>
      <x:c r="AX6" s="48" t="n">
        <x:f aca="0">W6</x:f>
        <x:v>4233.307664694</x:v>
      </x:c>
      <x:c r="AY6" s="48" t="n">
        <x:f aca="0">X6</x:f>
        <x:v>775.9691700035534</x:v>
      </x:c>
      <x:c r="BA6" s="1" t="str">
        <x:f aca="0">AB6</x:f>
        <x:v>Deserts &amp; Xeric Shrublands | Timber Plantation</x:v>
      </x:c>
      <x:c r="BB6" s="49" t="n">
        <x:f aca="0">AD6</x:f>
        <x:v>1461.0117171698123</x:v>
      </x:c>
      <x:c r="BD6" s="1" t="str">
        <x:f aca="0">AB6</x:f>
        <x:v>Deserts &amp; Xeric Shrublands | Timber Plantation</x:v>
      </x:c>
      <x:c r="BE6" s="50" t="n">
        <x:f aca="0">AE6</x:f>
        <x:v>38.218366568217334</x:v>
      </x:c>
      <x:c r="BG6" s="1" t="str">
        <x:f aca="0">AG6</x:f>
        <x:v>Timber Plantation</x:v>
      </x:c>
      <x:c r="BH6" s="49" t="n">
        <x:f aca="0">AI6</x:f>
        <x:v>430500.8564345109</x:v>
      </x:c>
      <x:c r="BJ6" s="1" t="str">
        <x:f aca="0">AL6</x:f>
        <x:v>Tropical &amp; Subtropical Dry Broadleaf Forests</x:v>
      </x:c>
      <x:c r="BK6" s="49" t="n">
        <x:f aca="0">AN6</x:f>
        <x:v>700327.4546594127</x:v>
      </x:c>
    </x:row>
    <x:row r="7" ht="15" hidden="0" customHeight="1">
      <x:c r="S7" s="1" t="n">
        <x:f aca="0">S04_Final_ERR!A9</x:f>
        <x:v>2023</x:v>
      </x:c>
      <x:c r="T7" s="48" t="n">
        <x:f aca="0">S04_Final_ERR!B9</x:f>
        <x:v>60054.40362819965</x:v>
      </x:c>
      <x:c r="U7" s="48" t="n">
        <x:f aca="0">S04_Final_ERR!C9</x:f>
        <x:v>48584.14426856018</x:v>
      </x:c>
      <x:c r="V7" s="48" t="n">
        <x:f aca="0">S04_Final_ERR!F9</x:f>
        <x:v>4868.078596621696</x:v>
      </x:c>
      <x:c r="W7" s="48" t="n">
        <x:f aca="0">S04_Final_ERR!H9</x:f>
        <x:v>4251.386997947324</x:v>
      </x:c>
      <x:c r="X7" s="48" t="n">
        <x:f aca="0">S04_Final_ERR!O9</x:f>
        <x:v>4399.245476769447</x:v>
      </x:c>
      <x:c r="Y7" s="48" t="n">
        <x:f aca="0">S04_Final_ERR!P9</x:f>
        <x:v>17596.98190707779</x:v>
      </x:c>
      <x:c r="Z7" s="48" t="n">
        <x:f aca="0">S04_Final_ERR!Q9</x:f>
        <x:v>20700.858587092003</x:v>
      </x:c>
      <x:c r="AB7" s="1" t="str">
        <x:v>Deserts &amp; Xeric Shrublands | Mixed Agroforestry</x:v>
      </x:c>
      <x:c r="AC7" s="49" t="n">
        <x:f aca="0">S24_Deserts_Xeric_Mixed!B4</x:f>
        <x:v>4.3005</x:v>
      </x:c>
      <x:c r="AD7" s="49" t="n">
        <x:f aca="0">S24_Deserts_Xeric_Mixed!B12</x:f>
        <x:v>1884.3492279492282</x:v>
      </x:c>
      <x:c r="AE7" s="50" t="n">
        <x:f aca="0">S24_Deserts_Xeric_Mixed!B14</x:f>
        <x:v>21.908490035452015</x:v>
      </x:c>
      <x:c r="AG7" s="1" t="s">
        <x:v>114</x:v>
      </x:c>
      <x:c r="AH7" s="49" t="n">
        <x:f aca="0">S24_Deserts_Xeric_Mixed!B4+S28_Moist_Broadleaf_Mixed!B4+S32_Dry_Broadleaf_Mixed!B4</x:f>
        <x:v>33.0594</x:v>
      </x:c>
      <x:c r="AI7" s="49" t="n">
        <x:f aca="0">S24_Deserts_Xeric_Mixed!B12+S28_Moist_Broadleaf_Mixed!B12+S32_Dry_Broadleaf_Mixed!B12</x:f>
        <x:v>28513.89781935067</x:v>
      </x:c>
      <x:c r="AJ7" s="50" t="n">
        <x:f aca="0">IF(AH7=0,0,AI7/AH7/S04_Final_ERR!H3)</x:f>
        <x:v>43.12525003380381</x:v>
      </x:c>
      <x:c r="AP7" s="1" t="n">
        <x:f aca="0">S7</x:f>
        <x:v>2023</x:v>
      </x:c>
      <x:c r="AQ7" s="48" t="n">
        <x:f aca="0">Y7</x:f>
        <x:v>17596.98190707779</x:v>
      </x:c>
      <x:c r="AS7" s="1" t="n">
        <x:f aca="0">S7</x:f>
        <x:v>2023</x:v>
      </x:c>
      <x:c r="AT7" s="48" t="n">
        <x:f aca="0">Z7</x:f>
        <x:v>20700.858587092003</x:v>
      </x:c>
      <x:c r="AV7" s="1" t="n">
        <x:f aca="0">S7</x:f>
        <x:v>2023</x:v>
      </x:c>
      <x:c r="AW7" s="48" t="n">
        <x:f aca="0">V7</x:f>
        <x:v>4868.078596621696</x:v>
      </x:c>
      <x:c r="AX7" s="48" t="n">
        <x:f aca="0">W7</x:f>
        <x:v>4251.386997947324</x:v>
      </x:c>
      <x:c r="AY7" s="48" t="n">
        <x:f aca="0">X7</x:f>
        <x:v>4399.245476769447</x:v>
      </x:c>
      <x:c r="BA7" s="1" t="str">
        <x:f aca="0">AB7</x:f>
        <x:v>Deserts &amp; Xeric Shrublands | Mixed Agroforestry</x:v>
      </x:c>
      <x:c r="BB7" s="49" t="n">
        <x:f aca="0">AD7</x:f>
        <x:v>1884.3492279492282</x:v>
      </x:c>
      <x:c r="BD7" s="1" t="str">
        <x:f aca="0">AB7</x:f>
        <x:v>Deserts &amp; Xeric Shrublands | Mixed Agroforestry</x:v>
      </x:c>
      <x:c r="BE7" s="50" t="n">
        <x:f aca="0">AE7</x:f>
        <x:v>21.908490035452015</x:v>
      </x:c>
      <x:c r="BG7" s="1" t="str">
        <x:f aca="0">AG7</x:f>
        <x:v>Mixed Agroforestry</x:v>
      </x:c>
      <x:c r="BH7" s="49" t="n">
        <x:f aca="0">AI7</x:f>
        <x:v>28513.89781935067</x:v>
      </x:c>
    </x:row>
    <x:row r="8" ht="15" hidden="0" customHeight="1">
      <x:c r="S8" s="1" t="n">
        <x:f aca="0">S04_Final_ERR!A10</x:f>
        <x:v>2024</x:v>
      </x:c>
      <x:c r="T8" s="48" t="n">
        <x:f aca="0">S04_Final_ERR!B10</x:f>
        <x:v>135908.40722942544</x:v>
      </x:c>
      <x:c r="U8" s="48" t="n">
        <x:f aca="0">S04_Final_ERR!C10</x:f>
        <x:v>110059.45291706845</x:v>
      </x:c>
      <x:c r="V8" s="48" t="n">
        <x:f aca="0">S04_Final_ERR!F10</x:f>
        <x:v>5340.523773770276</x:v>
      </x:c>
      <x:c r="W8" s="48" t="n">
        <x:f aca="0">S04_Final_ERR!H10</x:f>
        <x:v>4102.1755898176025</x:v>
      </x:c>
      <x:c r="X8" s="48" t="n">
        <x:f aca="0">S04_Final_ERR!O10</x:f>
        <x:v>8185.656106880028</x:v>
      </x:c>
      <x:c r="Y8" s="48" t="n">
        <x:f aca="0">S04_Final_ERR!P10</x:f>
        <x:v>32742.62442752011</x:v>
      </x:c>
      <x:c r="Z8" s="48" t="n">
        <x:f aca="0">S04_Final_ERR!Q10</x:f>
        <x:v>53443.48301461211</x:v>
      </x:c>
      <x:c r="AB8" s="1" t="str">
        <x:v>Tropical &amp; Subtropical Moist Broadleaf Forests | Fruit Orchard</x:v>
      </x:c>
      <x:c r="AC8" s="49" t="n">
        <x:f aca="0">S25_Moist_Broadleaf_Fruit!B4</x:f>
        <x:v>76.8901433832457</x:v>
      </x:c>
      <x:c r="AD8" s="49" t="n">
        <x:f aca="0">S25_Moist_Broadleaf_Fruit!B12</x:f>
        <x:v>1664.60516609765</x:v>
      </x:c>
      <x:c r="AE8" s="50" t="n">
        <x:f aca="0">S25_Moist_Broadleaf_Fruit!B14</x:f>
        <x:v>1.0824567967058611</x:v>
      </x:c>
      <x:c r="AP8" s="1" t="n">
        <x:f aca="0">S8</x:f>
        <x:v>2024</x:v>
      </x:c>
      <x:c r="AQ8" s="48" t="n">
        <x:f aca="0">Y8</x:f>
        <x:v>32742.62442752011</x:v>
      </x:c>
      <x:c r="AS8" s="1" t="n">
        <x:f aca="0">S8</x:f>
        <x:v>2024</x:v>
      </x:c>
      <x:c r="AT8" s="48" t="n">
        <x:f aca="0">Z8</x:f>
        <x:v>53443.48301461211</x:v>
      </x:c>
      <x:c r="AV8" s="1" t="n">
        <x:f aca="0">S8</x:f>
        <x:v>2024</x:v>
      </x:c>
      <x:c r="AW8" s="48" t="n">
        <x:f aca="0">V8</x:f>
        <x:v>5340.523773770276</x:v>
      </x:c>
      <x:c r="AX8" s="48" t="n">
        <x:f aca="0">W8</x:f>
        <x:v>4102.1755898176025</x:v>
      </x:c>
      <x:c r="AY8" s="48" t="n">
        <x:f aca="0">X8</x:f>
        <x:v>8185.656106880028</x:v>
      </x:c>
      <x:c r="BA8" s="1" t="str">
        <x:f aca="0">AB8</x:f>
        <x:v>Tropical &amp; Subtropical Moist Broadleaf Forests | Fruit Orchard</x:v>
      </x:c>
      <x:c r="BB8" s="49" t="n">
        <x:f aca="0">AD8</x:f>
        <x:v>1664.60516609765</x:v>
      </x:c>
      <x:c r="BD8" s="1" t="str">
        <x:f aca="0">AB8</x:f>
        <x:v>Tropical &amp; Subtropical Moist Broadleaf Forests | Fruit Orchard</x:v>
      </x:c>
      <x:c r="BE8" s="50" t="n">
        <x:f aca="0">AE8</x:f>
        <x:v>1.0824567967058611</x:v>
      </x:c>
    </x:row>
    <x:row r="9" ht="15" hidden="0" customHeight="1">
      <x:c r="S9" s="1" t="n">
        <x:f aca="0">S04_Final_ERR!A11</x:f>
        <x:v>2025</x:v>
      </x:c>
      <x:c r="T9" s="48" t="n">
        <x:f aca="0">S04_Final_ERR!B11</x:f>
        <x:v>243709.89955619336</x:v>
      </x:c>
      <x:c r="U9" s="48" t="n">
        <x:f aca="0">S04_Final_ERR!C11</x:f>
        <x:v>197536.4202022626</x:v>
      </x:c>
      <x:c r="V9" s="48" t="n">
        <x:f aca="0">S04_Final_ERR!F11</x:f>
        <x:v>5574.496951466356</x:v>
      </x:c>
      <x:c r="W9" s="48" t="n">
        <x:f aca="0">S04_Final_ERR!H11</x:f>
        <x:v>0</x:v>
      </x:c>
      <x:c r="X9" s="48" t="n">
        <x:f aca="0">S04_Final_ERR!O11</x:f>
        <x:v>12090.459985094736</x:v>
      </x:c>
      <x:c r="Y9" s="48" t="n">
        <x:f aca="0">S04_Final_ERR!P11</x:f>
        <x:v>48361.839940378944</x:v>
      </x:c>
      <x:c r="Z9" s="48" t="n">
        <x:f aca="0">S04_Final_ERR!Q11</x:f>
        <x:v>101805.32295499105</x:v>
      </x:c>
      <x:c r="AB9" s="1" t="str">
        <x:v>Tropical &amp; Subtropical Moist Broadleaf Forests | Horti-Silviculture</x:v>
      </x:c>
      <x:c r="AC9" s="49" t="n">
        <x:f aca="0">S26_Moist_Broadleaf_Horti!B4</x:f>
        <x:v>228.4505176446784</x:v>
      </x:c>
      <x:c r="AD9" s="49" t="n">
        <x:f aca="0">S26_Moist_Broadleaf_Horti!B12</x:f>
        <x:v>27597.328118693345</x:v>
      </x:c>
      <x:c r="AE9" s="50" t="n">
        <x:f aca="0">S26_Moist_Broadleaf_Horti!B14</x:f>
        <x:v>6.040110655738802</x:v>
      </x:c>
      <x:c r="AP9" s="1" t="n">
        <x:f aca="0">S9</x:f>
        <x:v>2025</x:v>
      </x:c>
      <x:c r="AQ9" s="48" t="n">
        <x:f aca="0">Y9</x:f>
        <x:v>48361.839940378944</x:v>
      </x:c>
      <x:c r="AS9" s="1" t="n">
        <x:f aca="0">S9</x:f>
        <x:v>2025</x:v>
      </x:c>
      <x:c r="AT9" s="48" t="n">
        <x:f aca="0">Z9</x:f>
        <x:v>101805.32295499105</x:v>
      </x:c>
      <x:c r="AV9" s="1" t="n">
        <x:f aca="0">S9</x:f>
        <x:v>2025</x:v>
      </x:c>
      <x:c r="AW9" s="48" t="n">
        <x:f aca="0">V9</x:f>
        <x:v>5574.496951466356</x:v>
      </x:c>
      <x:c r="AX9" s="48" t="n">
        <x:f aca="0">W9</x:f>
        <x:v>0</x:v>
      </x:c>
      <x:c r="AY9" s="48" t="n">
        <x:f aca="0">X9</x:f>
        <x:v>12090.459985094736</x:v>
      </x:c>
      <x:c r="BA9" s="1" t="str">
        <x:f aca="0">AB9</x:f>
        <x:v>Tropical &amp; Subtropical Moist Broadleaf Forests | Horti-Silviculture</x:v>
      </x:c>
      <x:c r="BB9" s="49" t="n">
        <x:f aca="0">AD9</x:f>
        <x:v>27597.328118693345</x:v>
      </x:c>
      <x:c r="BD9" s="1" t="str">
        <x:f aca="0">AB9</x:f>
        <x:v>Tropical &amp; Subtropical Moist Broadleaf Forests | Horti-Silviculture</x:v>
      </x:c>
      <x:c r="BE9" s="50" t="n">
        <x:f aca="0">AE9</x:f>
        <x:v>6.040110655738802</x:v>
      </x:c>
    </x:row>
    <x:row r="10" ht="15" hidden="0" customHeight="1">
      <x:c r="S10" s="1" t="n">
        <x:f aca="0">S04_Final_ERR!A12</x:f>
        <x:v>2026</x:v>
      </x:c>
      <x:c r="T10" s="48" t="n">
        <x:f aca="0">S04_Final_ERR!B12</x:f>
        <x:v>377777.4157259231</x:v>
      </x:c>
      <x:c r="U10" s="48" t="n">
        <x:f aca="0">S04_Final_ERR!C12</x:f>
        <x:v>306440.3095190803</x:v>
      </x:c>
      <x:c r="V10" s="48" t="n">
        <x:f aca="0">S04_Final_ERR!F12</x:f>
        <x:v>5610.503003797587</x:v>
      </x:c>
      <x:c r="W10" s="48" t="n">
        <x:f aca="0">S04_Final_ERR!H12</x:f>
        <x:v>0</x:v>
      </x:c>
      <x:c r="X10" s="48" t="n">
        <x:f aca="0">S04_Final_ERR!O12</x:f>
        <x:v>15296.125770463455</x:v>
      </x:c>
      <x:c r="Y10" s="48" t="n">
        <x:f aca="0">S04_Final_ERR!P12</x:f>
        <x:v>61184.503081853814</x:v>
      </x:c>
      <x:c r="Z10" s="48" t="n">
        <x:f aca="0">S04_Final_ERR!Q12</x:f>
        <x:v>162989.82603684487</x:v>
      </x:c>
      <x:c r="AB10" s="1" t="str">
        <x:v>Tropical &amp; Subtropical Moist Broadleaf Forests | Timber Plantation</x:v>
      </x:c>
      <x:c r="AC10" s="49" t="n">
        <x:f aca="0">S27_Moist_Broadleaf_Timber!B4</x:f>
        <x:v>27.4189</x:v>
      </x:c>
      <x:c r="AD10" s="49" t="n">
        <x:f aca="0">S27_Moist_Broadleaf_Timber!B12</x:f>
        <x:v>3828.7892183134695</x:v>
      </x:c>
      <x:c r="AE10" s="50" t="n">
        <x:f aca="0">S27_Moist_Broadleaf_Timber!B14</x:f>
        <x:v>6.982025570525202</x:v>
      </x:c>
      <x:c r="AP10" s="1" t="n">
        <x:f aca="0">S10</x:f>
        <x:v>2026</x:v>
      </x:c>
      <x:c r="AQ10" s="48" t="n">
        <x:f aca="0">Y10</x:f>
        <x:v>61184.503081853814</x:v>
      </x:c>
      <x:c r="AS10" s="1" t="n">
        <x:f aca="0">S10</x:f>
        <x:v>2026</x:v>
      </x:c>
      <x:c r="AT10" s="48" t="n">
        <x:f aca="0">Z10</x:f>
        <x:v>162989.82603684487</x:v>
      </x:c>
      <x:c r="AV10" s="1" t="n">
        <x:f aca="0">S10</x:f>
        <x:v>2026</x:v>
      </x:c>
      <x:c r="AW10" s="48" t="n">
        <x:f aca="0">V10</x:f>
        <x:v>5610.503003797587</x:v>
      </x:c>
      <x:c r="AX10" s="48" t="n">
        <x:f aca="0">W10</x:f>
        <x:v>0</x:v>
      </x:c>
      <x:c r="AY10" s="48" t="n">
        <x:f aca="0">X10</x:f>
        <x:v>15296.125770463455</x:v>
      </x:c>
      <x:c r="BA10" s="1" t="str">
        <x:f aca="0">AB10</x:f>
        <x:v>Tropical &amp; Subtropical Moist Broadleaf Forests | Timber Plantation</x:v>
      </x:c>
      <x:c r="BB10" s="49" t="n">
        <x:f aca="0">AD10</x:f>
        <x:v>3828.7892183134695</x:v>
      </x:c>
      <x:c r="BD10" s="1" t="str">
        <x:f aca="0">AB10</x:f>
        <x:v>Tropical &amp; Subtropical Moist Broadleaf Forests | Timber Plantation</x:v>
      </x:c>
      <x:c r="BE10" s="50" t="n">
        <x:f aca="0">AE10</x:f>
        <x:v>6.982025570525202</x:v>
      </x:c>
    </x:row>
    <x:row r="11" ht="15" hidden="0" customHeight="1">
      <x:c r="S11" s="1" t="n">
        <x:f aca="0">S04_Final_ERR!A13</x:f>
        <x:v>2027</x:v>
      </x:c>
      <x:c r="T11" s="48" t="n">
        <x:f aca="0">S04_Final_ERR!B13</x:f>
        <x:v>530425.0404640944</x:v>
      </x:c>
      <x:c r="U11" s="48" t="n">
        <x:f aca="0">S04_Final_ERR!C13</x:f>
        <x:v>430539.0153215298</x:v>
      </x:c>
      <x:c r="V11" s="48" t="n">
        <x:f aca="0">S04_Final_ERR!F13</x:f>
        <x:v>5612.863594208937</x:v>
      </x:c>
      <x:c r="W11" s="48" t="n">
        <x:f aca="0">S04_Final_ERR!H13</x:f>
        <x:v>0</x:v>
      </x:c>
      <x:c r="X11" s="48" t="n">
        <x:f aca="0">S04_Final_ERR!O13</x:f>
        <x:v>17833.67743443196</x:v>
      </x:c>
      <x:c r="Y11" s="48" t="n">
        <x:f aca="0">S04_Final_ERR!P13</x:f>
        <x:v>71334.70973772784</x:v>
      </x:c>
      <x:c r="Z11" s="48" t="n">
        <x:f aca="0">S04_Final_ERR!Q13</x:f>
        <x:v>234324.5357745727</x:v>
      </x:c>
      <x:c r="AB11" s="1" t="str">
        <x:v>Tropical &amp; Subtropical Moist Broadleaf Forests | Mixed Agroforestry</x:v>
      </x:c>
      <x:c r="AC11" s="49" t="n">
        <x:f aca="0">S28_Moist_Broadleaf_Mixed!B4</x:f>
        <x:v>9.6876</x:v>
      </x:c>
      <x:c r="AD11" s="49" t="n">
        <x:f aca="0">S28_Moist_Broadleaf_Mixed!B12</x:f>
        <x:v>19253.71147074214</x:v>
      </x:c>
      <x:c r="AE11" s="50" t="n">
        <x:f aca="0">S28_Moist_Broadleaf_Mixed!B14</x:f>
        <x:v>99.37296890221592</x:v>
      </x:c>
      <x:c r="AP11" s="1" t="n">
        <x:f aca="0">S11</x:f>
        <x:v>2027</x:v>
      </x:c>
      <x:c r="AQ11" s="48" t="n">
        <x:f aca="0">Y11</x:f>
        <x:v>71334.70973772784</x:v>
      </x:c>
      <x:c r="AS11" s="1" t="n">
        <x:f aca="0">S11</x:f>
        <x:v>2027</x:v>
      </x:c>
      <x:c r="AT11" s="48" t="n">
        <x:f aca="0">Z11</x:f>
        <x:v>234324.5357745727</x:v>
      </x:c>
      <x:c r="AV11" s="1" t="n">
        <x:f aca="0">S11</x:f>
        <x:v>2027</x:v>
      </x:c>
      <x:c r="AW11" s="48" t="n">
        <x:f aca="0">V11</x:f>
        <x:v>5612.863594208937</x:v>
      </x:c>
      <x:c r="AX11" s="48" t="n">
        <x:f aca="0">W11</x:f>
        <x:v>0</x:v>
      </x:c>
      <x:c r="AY11" s="48" t="n">
        <x:f aca="0">X11</x:f>
        <x:v>17833.67743443196</x:v>
      </x:c>
      <x:c r="BA11" s="1" t="str">
        <x:f aca="0">AB11</x:f>
        <x:v>Tropical &amp; Subtropical Moist Broadleaf Forests | Mixed Agroforestry</x:v>
      </x:c>
      <x:c r="BB11" s="49" t="n">
        <x:f aca="0">AD11</x:f>
        <x:v>19253.71147074214</x:v>
      </x:c>
      <x:c r="BD11" s="1" t="str">
        <x:f aca="0">AB11</x:f>
        <x:v>Tropical &amp; Subtropical Moist Broadleaf Forests | Mixed Agroforestry</x:v>
      </x:c>
      <x:c r="BE11" s="50" t="n">
        <x:f aca="0">AE11</x:f>
        <x:v>99.37296890221592</x:v>
      </x:c>
    </x:row>
    <x:row r="12" ht="15" hidden="0" customHeight="1">
      <x:c r="S12" s="1" t="n">
        <x:f aca="0">S04_Final_ERR!A14</x:f>
        <x:v>2028</x:v>
      </x:c>
      <x:c r="T12" s="48" t="n">
        <x:f aca="0">S04_Final_ERR!B14</x:f>
        <x:v>693838.3959845038</x:v>
      </x:c>
      <x:c r="U12" s="48" t="n">
        <x:f aca="0">S04_Final_ERR!C14</x:f>
        <x:v>563477.1157893491</x:v>
      </x:c>
      <x:c r="V12" s="48" t="n">
        <x:f aca="0">S04_Final_ERR!F14</x:f>
        <x:v>5612.863594208937</x:v>
      </x:c>
      <x:c r="W12" s="48" t="n">
        <x:f aca="0">S04_Final_ERR!H14</x:f>
        <x:v>0</x:v>
      </x:c>
      <x:c r="X12" s="48" t="n">
        <x:f aca="0">S04_Final_ERR!O14</x:f>
        <x:v>19838.334925567964</x:v>
      </x:c>
      <x:c r="Y12" s="48" t="n">
        <x:f aca="0">S04_Final_ERR!P14</x:f>
        <x:v>79353.33970227186</x:v>
      </x:c>
      <x:c r="Z12" s="48" t="n">
        <x:f aca="0">S04_Final_ERR!Q14</x:f>
        <x:v>313677.87547684455</x:v>
      </x:c>
      <x:c r="AB12" s="1" t="str">
        <x:v>Tropical &amp; Subtropical Dry Broadleaf Forests | Fruit Orchard</x:v>
      </x:c>
      <x:c r="AC12" s="49" t="n">
        <x:f aca="0">S29_Dry_Broadleaf_Fruit!B4</x:f>
        <x:v>418.4578731687578</x:v>
      </x:c>
      <x:c r="AD12" s="49" t="n">
        <x:f aca="0">S29_Dry_Broadleaf_Fruit!B12</x:f>
        <x:v>9113.322777571953</x:v>
      </x:c>
      <x:c r="AE12" s="50" t="n">
        <x:f aca="0">S29_Dry_Broadleaf_Fruit!B14</x:f>
        <x:v>1.088917590265614</x:v>
      </x:c>
      <x:c r="AP12" s="1" t="n">
        <x:f aca="0">S12</x:f>
        <x:v>2028</x:v>
      </x:c>
      <x:c r="AQ12" s="48" t="n">
        <x:f aca="0">Y12</x:f>
        <x:v>79353.33970227186</x:v>
      </x:c>
      <x:c r="AS12" s="1" t="n">
        <x:f aca="0">S12</x:f>
        <x:v>2028</x:v>
      </x:c>
      <x:c r="AT12" s="48" t="n">
        <x:f aca="0">Z12</x:f>
        <x:v>313677.87547684455</x:v>
      </x:c>
      <x:c r="AV12" s="1" t="n">
        <x:f aca="0">S12</x:f>
        <x:v>2028</x:v>
      </x:c>
      <x:c r="AW12" s="48" t="n">
        <x:f aca="0">V12</x:f>
        <x:v>5612.863594208937</x:v>
      </x:c>
      <x:c r="AX12" s="48" t="n">
        <x:f aca="0">W12</x:f>
        <x:v>0</x:v>
      </x:c>
      <x:c r="AY12" s="48" t="n">
        <x:f aca="0">X12</x:f>
        <x:v>19838.334925567964</x:v>
      </x:c>
      <x:c r="BA12" s="1" t="str">
        <x:f aca="0">AB12</x:f>
        <x:v>Tropical &amp; Subtropical Dry Broadleaf Forests | Fruit Orchard</x:v>
      </x:c>
      <x:c r="BB12" s="49" t="n">
        <x:f aca="0">AD12</x:f>
        <x:v>9113.322777571953</x:v>
      </x:c>
      <x:c r="BD12" s="1" t="str">
        <x:f aca="0">AB12</x:f>
        <x:v>Tropical &amp; Subtropical Dry Broadleaf Forests | Fruit Orchard</x:v>
      </x:c>
      <x:c r="BE12" s="50" t="n">
        <x:f aca="0">AE12</x:f>
        <x:v>1.088917590265614</x:v>
      </x:c>
    </x:row>
    <x:row r="13" ht="15" hidden="0" customHeight="1">
      <x:c r="S13" s="1" t="n">
        <x:f aca="0">S04_Final_ERR!A15</x:f>
        <x:v>2029</x:v>
      </x:c>
      <x:c r="T13" s="48" t="n">
        <x:f aca="0">S04_Final_ERR!B15</x:f>
        <x:v>861122.1215392523</x:v>
      </x:c>
      <x:c r="U13" s="48" t="n">
        <x:f aca="0">S04_Final_ERR!C15</x:f>
        <x:v>699635.4077058065</x:v>
      </x:c>
      <x:c r="V13" s="48" t="n">
        <x:f aca="0">S04_Final_ERR!F15</x:f>
        <x:v>5612.863594208937</x:v>
      </x:c>
      <x:c r="W13" s="48" t="n">
        <x:f aca="0">S04_Final_ERR!H15</x:f>
        <x:v>0</x:v>
      </x:c>
      <x:c r="X13" s="48" t="n">
        <x:f aca="0">S04_Final_ERR!O15</x:f>
        <x:v>20400.97538556068</x:v>
      </x:c>
      <x:c r="Y13" s="48" t="n">
        <x:f aca="0">S04_Final_ERR!P15</x:f>
        <x:v>81603.9015422427</x:v>
      </x:c>
      <x:c r="Z13" s="48" t="n">
        <x:f aca="0">S04_Final_ERR!Q15</x:f>
        <x:v>395281.7770190872</x:v>
      </x:c>
      <x:c r="AB13" s="1" t="str">
        <x:v>Tropical &amp; Subtropical Dry Broadleaf Forests | Horti-Silviculture</x:v>
      </x:c>
      <x:c r="AC13" s="49" t="n">
        <x:f aca="0">S30_Dry_Broadleaf_Horti!B4</x:f>
        <x:v>439.3090898421691</x:v>
      </x:c>
      <x:c r="AD13" s="49" t="n">
        <x:f aca="0">S30_Dry_Broadleaf_Horti!B12</x:f>
        <x:v>258627.23926215386</x:v>
      </x:c>
      <x:c r="AE13" s="50" t="n">
        <x:f aca="0">S30_Dry_Broadleaf_Horti!B14</x:f>
        <x:v>29.435680394761583</x:v>
      </x:c>
      <x:c r="AP13" s="1" t="n">
        <x:f aca="0">S13</x:f>
        <x:v>2029</x:v>
      </x:c>
      <x:c r="AQ13" s="48" t="n">
        <x:f aca="0">Y13</x:f>
        <x:v>81603.9015422427</x:v>
      </x:c>
      <x:c r="AS13" s="1" t="n">
        <x:f aca="0">S13</x:f>
        <x:v>2029</x:v>
      </x:c>
      <x:c r="AT13" s="48" t="n">
        <x:f aca="0">Z13</x:f>
        <x:v>395281.7770190872</x:v>
      </x:c>
      <x:c r="AV13" s="1" t="n">
        <x:f aca="0">S13</x:f>
        <x:v>2029</x:v>
      </x:c>
      <x:c r="AW13" s="48" t="n">
        <x:f aca="0">V13</x:f>
        <x:v>5612.863594208937</x:v>
      </x:c>
      <x:c r="AX13" s="48" t="n">
        <x:f aca="0">W13</x:f>
        <x:v>0</x:v>
      </x:c>
      <x:c r="AY13" s="48" t="n">
        <x:f aca="0">X13</x:f>
        <x:v>20400.97538556068</x:v>
      </x:c>
      <x:c r="BA13" s="1" t="str">
        <x:f aca="0">AB13</x:f>
        <x:v>Tropical &amp; Subtropical Dry Broadleaf Forests | Horti-Silviculture</x:v>
      </x:c>
      <x:c r="BB13" s="49" t="n">
        <x:f aca="0">AD13</x:f>
        <x:v>258627.23926215386</x:v>
      </x:c>
      <x:c r="BD13" s="1" t="str">
        <x:f aca="0">AB13</x:f>
        <x:v>Tropical &amp; Subtropical Dry Broadleaf Forests | Horti-Silviculture</x:v>
      </x:c>
      <x:c r="BE13" s="50" t="n">
        <x:f aca="0">AE13</x:f>
        <x:v>29.435680394761583</x:v>
      </x:c>
    </x:row>
    <x:row r="14" ht="15" hidden="0" customHeight="1">
      <x:c r="S14" s="1" t="n">
        <x:f aca="0">S04_Final_ERR!A16</x:f>
        <x:v>2030</x:v>
      </x:c>
      <x:c r="T14" s="48" t="n">
        <x:f aca="0">S04_Final_ERR!B16</x:f>
        <x:v>1026739.8184681323</x:v>
      </x:c>
      <x:c r="U14" s="48" t="n">
        <x:f aca="0">S04_Final_ERR!C16</x:f>
        <x:v>834495.3060394719</x:v>
      </x:c>
      <x:c r="V14" s="48" t="n">
        <x:f aca="0">S04_Final_ERR!F16</x:f>
        <x:v>5612.863594208937</x:v>
      </x:c>
      <x:c r="W14" s="48" t="n">
        <x:f aca="0">S04_Final_ERR!H16</x:f>
        <x:v>0</x:v>
      </x:c>
      <x:c r="X14" s="48" t="n">
        <x:f aca="0">S04_Final_ERR!O16</x:f>
        <x:v>20432.127071334762</x:v>
      </x:c>
      <x:c r="Y14" s="48" t="n">
        <x:f aca="0">S04_Final_ERR!P16</x:f>
        <x:v>81728.50828533903</x:v>
      </x:c>
      <x:c r="Z14" s="48" t="n">
        <x:f aca="0">S04_Final_ERR!Q16</x:f>
        <x:v>477010.2853044263</x:v>
      </x:c>
      <x:c r="AB14" s="1" t="str">
        <x:v>Tropical &amp; Subtropical Dry Broadleaf Forests | Timber Plantation</x:v>
      </x:c>
      <x:c r="AC14" s="49" t="n">
        <x:f aca="0">S31_Dry_Broadleaf_Timber!B4</x:f>
        <x:v>523.9128094698502</x:v>
      </x:c>
      <x:c r="AD14" s="49" t="n">
        <x:f aca="0">S31_Dry_Broadleaf_Timber!B12</x:f>
        <x:v>425211.0554990276</x:v>
      </x:c>
      <x:c r="AE14" s="50" t="n">
        <x:f aca="0">S31_Dry_Broadleaf_Timber!B14</x:f>
        <x:v>40.580326326560005</x:v>
      </x:c>
      <x:c r="AP14" s="1" t="n">
        <x:f aca="0">S14</x:f>
        <x:v>2030</x:v>
      </x:c>
      <x:c r="AQ14" s="48" t="n">
        <x:f aca="0">Y14</x:f>
        <x:v>81728.50828533903</x:v>
      </x:c>
      <x:c r="AS14" s="1" t="n">
        <x:f aca="0">S14</x:f>
        <x:v>2030</x:v>
      </x:c>
      <x:c r="AT14" s="48" t="n">
        <x:f aca="0">Z14</x:f>
        <x:v>477010.2853044263</x:v>
      </x:c>
      <x:c r="AV14" s="1" t="n">
        <x:f aca="0">S14</x:f>
        <x:v>2030</x:v>
      </x:c>
      <x:c r="AW14" s="48" t="n">
        <x:f aca="0">V14</x:f>
        <x:v>5612.863594208937</x:v>
      </x:c>
      <x:c r="AX14" s="48" t="n">
        <x:f aca="0">W14</x:f>
        <x:v>0</x:v>
      </x:c>
      <x:c r="AY14" s="48" t="n">
        <x:f aca="0">X14</x:f>
        <x:v>20432.127071334762</x:v>
      </x:c>
      <x:c r="BA14" s="1" t="str">
        <x:f aca="0">AB14</x:f>
        <x:v>Tropical &amp; Subtropical Dry Broadleaf Forests | Timber Plantation</x:v>
      </x:c>
      <x:c r="BB14" s="49" t="n">
        <x:f aca="0">AD14</x:f>
        <x:v>425211.0554990276</x:v>
      </x:c>
      <x:c r="BD14" s="1" t="str">
        <x:f aca="0">AB14</x:f>
        <x:v>Tropical &amp; Subtropical Dry Broadleaf Forests | Timber Plantation</x:v>
      </x:c>
      <x:c r="BE14" s="50" t="n">
        <x:f aca="0">AE14</x:f>
        <x:v>40.580326326560005</x:v>
      </x:c>
    </x:row>
    <x:row r="15" ht="15" hidden="0" customHeight="1">
      <x:c r="S15" s="1" t="n">
        <x:f aca="0">S04_Final_ERR!A17</x:f>
        <x:v>2031</x:v>
      </x:c>
      <x:c r="T15" s="48" t="n">
        <x:f aca="0">S04_Final_ERR!B17</x:f>
        <x:v>1186578.405200374</x:v>
      </x:c>
      <x:c r="U15" s="48" t="n">
        <x:f aca="0">S04_Final_ERR!C17</x:f>
        <x:v>964695.2763339588</x:v>
      </x:c>
      <x:c r="V15" s="48" t="n">
        <x:f aca="0">S04_Final_ERR!F17</x:f>
        <x:v>5612.863594208937</x:v>
      </x:c>
      <x:c r="W15" s="48" t="n">
        <x:f aca="0">S04_Final_ERR!H17</x:f>
        <x:v>0</x:v>
      </x:c>
      <x:c r="X15" s="48" t="n">
        <x:f aca="0">S04_Final_ERR!O17</x:f>
        <x:v>19709.422528276104</x:v>
      </x:c>
      <x:c r="Y15" s="48" t="n">
        <x:f aca="0">S04_Final_ERR!P17</x:f>
        <x:v>78837.69011310441</x:v>
      </x:c>
      <x:c r="Z15" s="48" t="n">
        <x:f aca="0">S04_Final_ERR!Q17</x:f>
        <x:v>555847.9754175306</x:v>
      </x:c>
      <x:c r="AB15" s="1" t="str">
        <x:v>Tropical &amp; Subtropical Dry Broadleaf Forests | Mixed Agroforestry</x:v>
      </x:c>
      <x:c r="AC15" s="49" t="n">
        <x:f aca="0">S32_Dry_Broadleaf_Mixed!B4</x:f>
        <x:v>19.071299999999997</x:v>
      </x:c>
      <x:c r="AD15" s="49" t="n">
        <x:f aca="0">S32_Dry_Broadleaf_Mixed!B12</x:f>
        <x:v>7375.837120659303</x:v>
      </x:c>
      <x:c r="AE15" s="50" t="n">
        <x:f aca="0">S32_Dry_Broadleaf_Mixed!B14</x:f>
        <x:v>19.337531056244995</x:v>
      </x:c>
      <x:c r="AP15" s="1" t="n">
        <x:f aca="0">S15</x:f>
        <x:v>2031</x:v>
      </x:c>
      <x:c r="AQ15" s="48" t="n">
        <x:f aca="0">Y15</x:f>
        <x:v>78837.69011310441</x:v>
      </x:c>
      <x:c r="AS15" s="1" t="n">
        <x:f aca="0">S15</x:f>
        <x:v>2031</x:v>
      </x:c>
      <x:c r="AT15" s="48" t="n">
        <x:f aca="0">Z15</x:f>
        <x:v>555847.9754175306</x:v>
      </x:c>
      <x:c r="AV15" s="1" t="n">
        <x:f aca="0">S15</x:f>
        <x:v>2031</x:v>
      </x:c>
      <x:c r="AW15" s="48" t="n">
        <x:f aca="0">V15</x:f>
        <x:v>5612.863594208937</x:v>
      </x:c>
      <x:c r="AX15" s="48" t="n">
        <x:f aca="0">W15</x:f>
        <x:v>0</x:v>
      </x:c>
      <x:c r="AY15" s="48" t="n">
        <x:f aca="0">X15</x:f>
        <x:v>19709.422528276104</x:v>
      </x:c>
      <x:c r="BA15" s="1" t="str">
        <x:f aca="0">AB15</x:f>
        <x:v>Tropical &amp; Subtropical Dry Broadleaf Forests | Mixed Agroforestry</x:v>
      </x:c>
      <x:c r="BB15" s="49" t="n">
        <x:f aca="0">AD15</x:f>
        <x:v>7375.837120659303</x:v>
      </x:c>
      <x:c r="BD15" s="1" t="str">
        <x:f aca="0">AB15</x:f>
        <x:v>Tropical &amp; Subtropical Dry Broadleaf Forests | Mixed Agroforestry</x:v>
      </x:c>
      <x:c r="BE15" s="50" t="n">
        <x:f aca="0">AE15</x:f>
        <x:v>19.337531056244995</x:v>
      </x:c>
    </x:row>
    <x:row r="16" ht="15" hidden="0" customHeight="1">
      <x:c r="S16" s="1" t="n">
        <x:f aca="0">S04_Final_ERR!A18</x:f>
        <x:v>2032</x:v>
      </x:c>
      <x:c r="T16" s="48" t="n">
        <x:f aca="0">S04_Final_ERR!B18</x:f>
        <x:v>1337814.6860570905</x:v>
      </x:c>
      <x:c r="U16" s="48" t="n">
        <x:f aca="0">S04_Final_ERR!C18</x:f>
        <x:v>1087924.4730775938</x:v>
      </x:c>
      <x:c r="V16" s="48" t="n">
        <x:f aca="0">S04_Final_ERR!F18</x:f>
        <x:v>5612.863594208937</x:v>
      </x:c>
      <x:c r="W16" s="48" t="n">
        <x:f aca="0">S04_Final_ERR!H18</x:f>
        <x:v>0</x:v>
      </x:c>
      <x:c r="X16" s="48" t="n">
        <x:f aca="0">S04_Final_ERR!O18</x:f>
        <x:v>18594.09876013985</x:v>
      </x:c>
      <x:c r="Y16" s="48" t="n">
        <x:f aca="0">S04_Final_ERR!P18</x:f>
        <x:v>74376.3950405594</x:v>
      </x:c>
      <x:c r="Z16" s="48" t="n">
        <x:f aca="0">S04_Final_ERR!Q18</x:f>
        <x:v>630224.37045809</x:v>
      </x:c>
      <x:c r="AP16" s="1" t="n">
        <x:f aca="0">S16</x:f>
        <x:v>2032</x:v>
      </x:c>
      <x:c r="AQ16" s="48" t="n">
        <x:f aca="0">Y16</x:f>
        <x:v>74376.3950405594</x:v>
      </x:c>
      <x:c r="AS16" s="1" t="n">
        <x:f aca="0">S16</x:f>
        <x:v>2032</x:v>
      </x:c>
      <x:c r="AT16" s="48" t="n">
        <x:f aca="0">Z16</x:f>
        <x:v>630224.37045809</x:v>
      </x:c>
      <x:c r="AV16" s="1" t="n">
        <x:f aca="0">S16</x:f>
        <x:v>2032</x:v>
      </x:c>
      <x:c r="AW16" s="48" t="n">
        <x:f aca="0">V16</x:f>
        <x:v>5612.863594208937</x:v>
      </x:c>
      <x:c r="AX16" s="48" t="n">
        <x:f aca="0">W16</x:f>
        <x:v>0</x:v>
      </x:c>
      <x:c r="AY16" s="48" t="n">
        <x:f aca="0">X16</x:f>
        <x:v>18594.09876013985</x:v>
      </x:c>
    </x:row>
    <x:row r="17" ht="15" hidden="0" customHeight="1">
      <x:c r="S17" s="1" t="n">
        <x:f aca="0">S04_Final_ERR!A19</x:f>
        <x:v>2033</x:v>
      </x:c>
      <x:c r="T17" s="48" t="n">
        <x:f aca="0">S04_Final_ERR!B19</x:f>
        <x:v>1478699.3435410024</x:v>
      </x:c>
      <x:c r="U17" s="48" t="n">
        <x:f aca="0">S04_Final_ERR!C19</x:f>
        <x:v>1202747.948874856</x:v>
      </x:c>
      <x:c r="V17" s="48" t="n">
        <x:f aca="0">S04_Final_ERR!F19</x:f>
        <x:v>5612.863594208937</x:v>
      </x:c>
      <x:c r="W17" s="48" t="n">
        <x:f aca="0">S04_Final_ERR!H19</x:f>
        <x:v>0</x:v>
      </x:c>
      <x:c r="X17" s="48" t="n">
        <x:f aca="0">S04_Final_ERR!O19</x:f>
        <x:v>16909.32482529669</x:v>
      </x:c>
      <x:c r="Y17" s="48" t="n">
        <x:f aca="0">S04_Final_ERR!P19</x:f>
        <x:v>67637.29930118677</x:v>
      </x:c>
      <x:c r="Z17" s="48" t="n">
        <x:f aca="0">S04_Final_ERR!Q19</x:f>
        <x:v>697861.6697592768</x:v>
      </x:c>
      <x:c r="AP17" s="1" t="n">
        <x:f aca="0">S17</x:f>
        <x:v>2033</x:v>
      </x:c>
      <x:c r="AQ17" s="48" t="n">
        <x:f aca="0">Y17</x:f>
        <x:v>67637.29930118677</x:v>
      </x:c>
      <x:c r="AS17" s="1" t="n">
        <x:f aca="0">S17</x:f>
        <x:v>2033</x:v>
      </x:c>
      <x:c r="AT17" s="48" t="n">
        <x:f aca="0">Z17</x:f>
        <x:v>697861.6697592768</x:v>
      </x:c>
      <x:c r="AV17" s="1" t="n">
        <x:f aca="0">S17</x:f>
        <x:v>2033</x:v>
      </x:c>
      <x:c r="AW17" s="48" t="n">
        <x:f aca="0">V17</x:f>
        <x:v>5612.863594208937</x:v>
      </x:c>
      <x:c r="AX17" s="48" t="n">
        <x:f aca="0">W17</x:f>
        <x:v>0</x:v>
      </x:c>
      <x:c r="AY17" s="48" t="n">
        <x:f aca="0">X17</x:f>
        <x:v>16909.32482529669</x:v>
      </x:c>
    </x:row>
    <x:row r="18" ht="15" hidden="0" customHeight="1">
      <x:c r="S18" s="1" t="n">
        <x:f aca="0">S04_Final_ERR!A20</x:f>
        <x:v>2034</x:v>
      </x:c>
      <x:c r="T18" s="48" t="n">
        <x:f aca="0">S04_Final_ERR!B20</x:f>
        <x:v>1608325.0625273234</x:v>
      </x:c>
      <x:c r="U18" s="48" t="n">
        <x:f aca="0">S04_Final_ERR!C20</x:f>
        <x:v>1308418.2250192335</x:v>
      </x:c>
      <x:c r="V18" s="48" t="n">
        <x:f aca="0">S04_Final_ERR!F20</x:f>
        <x:v>5612.863594208937</x:v>
      </x:c>
      <x:c r="W18" s="48" t="n">
        <x:f aca="0">S04_Final_ERR!H20</x:f>
        <x:v>0</x:v>
      </x:c>
      <x:c r="X18" s="48" t="n">
        <x:f aca="0">S04_Final_ERR!O20</x:f>
        <x:v>14344.339521992115</x:v>
      </x:c>
      <x:c r="Y18" s="48" t="n">
        <x:f aca="0">S04_Final_ERR!P20</x:f>
        <x:v>57377.35808796845</x:v>
      </x:c>
      <x:c r="Z18" s="48" t="n">
        <x:f aca="0">S04_Final_ERR!Q20</x:f>
        <x:v>755239.0278472452</x:v>
      </x:c>
      <x:c r="AP18" s="1" t="n">
        <x:f aca="0">S18</x:f>
        <x:v>2034</x:v>
      </x:c>
      <x:c r="AQ18" s="48" t="n">
        <x:f aca="0">Y18</x:f>
        <x:v>57377.35808796845</x:v>
      </x:c>
      <x:c r="AS18" s="1" t="n">
        <x:f aca="0">S18</x:f>
        <x:v>2034</x:v>
      </x:c>
      <x:c r="AT18" s="48" t="n">
        <x:f aca="0">Z18</x:f>
        <x:v>755239.0278472452</x:v>
      </x:c>
      <x:c r="AV18" s="1" t="n">
        <x:f aca="0">S18</x:f>
        <x:v>2034</x:v>
      </x:c>
      <x:c r="AW18" s="48" t="n">
        <x:f aca="0">V18</x:f>
        <x:v>5612.863594208937</x:v>
      </x:c>
      <x:c r="AX18" s="48" t="n">
        <x:f aca="0">W18</x:f>
        <x:v>0</x:v>
      </x:c>
      <x:c r="AY18" s="48" t="n">
        <x:f aca="0">X18</x:f>
        <x:v>14344.339521992115</x:v>
      </x:c>
    </x:row>
    <x:row r="19" ht="15" hidden="0" customHeight="1">
      <x:c r="S19" s="1" t="n">
        <x:f aca="0">S04_Final_ERR!A21</x:f>
        <x:v>2035</x:v>
      </x:c>
      <x:c r="T19" s="48" t="n">
        <x:f aca="0">S04_Final_ERR!B21</x:f>
        <x:v>1726412.8806906652</x:v>
      </x:c>
      <x:c r="U19" s="48" t="n">
        <x:f aca="0">S04_Final_ERR!C21</x:f>
        <x:v>1404701.31379754</x:v>
      </x:c>
      <x:c r="V19" s="48" t="n">
        <x:f aca="0">S04_Final_ERR!F21</x:f>
        <x:v>5612.863594208937</x:v>
      </x:c>
      <x:c r="W19" s="48" t="n">
        <x:f aca="0">S04_Final_ERR!H21</x:f>
        <x:v>0</x:v>
      </x:c>
      <x:c r="X19" s="48" t="n">
        <x:f aca="0">S04_Final_ERR!O21</x:f>
        <x:v>7266.636395223904</x:v>
      </x:c>
      <x:c r="Y19" s="48" t="n">
        <x:f aca="0">S04_Final_ERR!P21</x:f>
        <x:v>29066.545580895618</x:v>
      </x:c>
      <x:c r="Z19" s="48" t="n">
        <x:f aca="0">S04_Final_ERR!Q21</x:f>
        <x:v>784305.5734281408</x:v>
      </x:c>
      <x:c r="AP19" s="1" t="n">
        <x:f aca="0">S19</x:f>
        <x:v>2035</x:v>
      </x:c>
      <x:c r="AQ19" s="48" t="n">
        <x:f aca="0">Y19</x:f>
        <x:v>29066.545580895618</x:v>
      </x:c>
      <x:c r="AS19" s="1" t="n">
        <x:f aca="0">S19</x:f>
        <x:v>2035</x:v>
      </x:c>
      <x:c r="AT19" s="48" t="n">
        <x:f aca="0">Z19</x:f>
        <x:v>784305.5734281408</x:v>
      </x:c>
      <x:c r="AV19" s="1" t="n">
        <x:f aca="0">S19</x:f>
        <x:v>2035</x:v>
      </x:c>
      <x:c r="AW19" s="48" t="n">
        <x:f aca="0">V19</x:f>
        <x:v>5612.863594208937</x:v>
      </x:c>
      <x:c r="AX19" s="48" t="n">
        <x:f aca="0">W19</x:f>
        <x:v>0</x:v>
      </x:c>
      <x:c r="AY19" s="48" t="n">
        <x:f aca="0">X19</x:f>
        <x:v>7266.636395223904</x:v>
      </x:c>
    </x:row>
    <x:row r="20" ht="15" hidden="0" customHeight="1">
      <x:c r="S20" s="1" t="n">
        <x:f aca="0">S04_Final_ERR!A22</x:f>
        <x:v>2036</x:v>
      </x:c>
      <x:c r="T20" s="48" t="n">
        <x:f aca="0">S04_Final_ERR!B22</x:f>
        <x:v>1833131.0362201498</x:v>
      </x:c>
      <x:c r="U20" s="48" t="n">
        <x:f aca="0">S04_Final_ERR!C22</x:f>
        <x:v>1491729.0175934634</x:v>
      </x:c>
      <x:c r="V20" s="48" t="n">
        <x:f aca="0">S04_Final_ERR!F22</x:f>
        <x:v>5612.863594208937</x:v>
      </x:c>
      <x:c r="W20" s="48" t="n">
        <x:f aca="0">S04_Final_ERR!H22</x:f>
        <x:v>0</x:v>
      </x:c>
      <x:c r="X20" s="48" t="n">
        <x:f aca="0">S04_Final_ERR!O22</x:f>
        <x:v>1039.7476069526747</x:v>
      </x:c>
      <x:c r="Y20" s="48" t="n">
        <x:f aca="0">S04_Final_ERR!P22</x:f>
        <x:v>4158.990427810699</x:v>
      </x:c>
      <x:c r="Z20" s="48" t="n">
        <x:f aca="0">S04_Final_ERR!Q22</x:f>
        <x:v>788464.5638559515</x:v>
      </x:c>
      <x:c r="AP20" s="1" t="n">
        <x:f aca="0">S20</x:f>
        <x:v>2036</x:v>
      </x:c>
      <x:c r="AQ20" s="48" t="n">
        <x:f aca="0">Y20</x:f>
        <x:v>4158.990427810699</x:v>
      </x:c>
      <x:c r="AS20" s="1" t="n">
        <x:f aca="0">S20</x:f>
        <x:v>2036</x:v>
      </x:c>
      <x:c r="AT20" s="48" t="n">
        <x:f aca="0">Z20</x:f>
        <x:v>788464.5638559515</x:v>
      </x:c>
      <x:c r="AV20" s="1" t="n">
        <x:f aca="0">S20</x:f>
        <x:v>2036</x:v>
      </x:c>
      <x:c r="AW20" s="48" t="n">
        <x:f aca="0">V20</x:f>
        <x:v>5612.863594208937</x:v>
      </x:c>
      <x:c r="AX20" s="48" t="n">
        <x:f aca="0">W20</x:f>
        <x:v>0</x:v>
      </x:c>
      <x:c r="AY20" s="48" t="n">
        <x:f aca="0">X20</x:f>
        <x:v>1039.7476069526747</x:v>
      </x:c>
    </x:row>
    <x:row r="21" ht="15" hidden="0" customHeight="1">
      <x:c r="S21" s="1" t="n">
        <x:f aca="0">S04_Final_ERR!A23</x:f>
        <x:v>2037</x:v>
      </x:c>
      <x:c r="T21" s="48" t="n">
        <x:f aca="0">S04_Final_ERR!B23</x:f>
        <x:v>1928949.5110060757</x:v>
      </x:c>
      <x:c r="U21" s="48" t="n">
        <x:f aca="0">S04_Final_ERR!C23</x:f>
        <x:v>1569880.2265014371</x:v>
      </x:c>
      <x:c r="V21" s="48" t="n">
        <x:f aca="0">S04_Final_ERR!F23</x:f>
        <x:v>5612.863594208937</x:v>
      </x:c>
      <x:c r="W21" s="48" t="n">
        <x:f aca="0">S04_Final_ERR!H23</x:f>
        <x:v>0</x:v>
      </x:c>
      <x:c r="X21" s="48" t="n">
        <x:f aca="0">S04_Final_ERR!O23</x:f>
        <x:v>896.8376428515418</x:v>
      </x:c>
      <x:c r="Y21" s="48" t="n">
        <x:f aca="0">S04_Final_ERR!P23</x:f>
        <x:v>3587.350571406167</x:v>
      </x:c>
      <x:c r="Z21" s="48" t="n">
        <x:f aca="0">S04_Final_ERR!Q23</x:f>
        <x:v>792051.9144273577</x:v>
      </x:c>
      <x:c r="AP21" s="1" t="n">
        <x:f aca="0">S21</x:f>
        <x:v>2037</x:v>
      </x:c>
      <x:c r="AQ21" s="48" t="n">
        <x:f aca="0">Y21</x:f>
        <x:v>3587.350571406167</x:v>
      </x:c>
      <x:c r="AS21" s="1" t="n">
        <x:f aca="0">S21</x:f>
        <x:v>2037</x:v>
      </x:c>
      <x:c r="AT21" s="48" t="n">
        <x:f aca="0">Z21</x:f>
        <x:v>792051.9144273577</x:v>
      </x:c>
      <x:c r="AV21" s="1" t="n">
        <x:f aca="0">S21</x:f>
        <x:v>2037</x:v>
      </x:c>
      <x:c r="AW21" s="48" t="n">
        <x:f aca="0">V21</x:f>
        <x:v>5612.863594208937</x:v>
      </x:c>
      <x:c r="AX21" s="48" t="n">
        <x:f aca="0">W21</x:f>
        <x:v>0</x:v>
      </x:c>
      <x:c r="AY21" s="48" t="n">
        <x:f aca="0">X21</x:f>
        <x:v>896.8376428515418</x:v>
      </x:c>
    </x:row>
    <x:row r="22" ht="15" hidden="0" customHeight="1">
      <x:c r="S22" s="1" t="n">
        <x:f aca="0">S04_Final_ERR!A24</x:f>
        <x:v>2038</x:v>
      </x:c>
      <x:c r="T22" s="48" t="n">
        <x:f aca="0">S04_Final_ERR!B24</x:f>
        <x:v>2014527.8892271793</x:v>
      </x:c>
      <x:c r="U22" s="48" t="n">
        <x:f aca="0">S04_Final_ERR!C24</x:f>
        <x:v>1639689.3386854364</x:v>
      </x:c>
      <x:c r="V22" s="48" t="n">
        <x:f aca="0">S04_Final_ERR!F24</x:f>
        <x:v>5612.863594208937</x:v>
      </x:c>
      <x:c r="W22" s="48" t="n">
        <x:f aca="0">S04_Final_ERR!H24</x:f>
        <x:v>0</x:v>
      </x:c>
      <x:c r="X22" s="48" t="n">
        <x:f aca="0">S04_Final_ERR!O24</x:f>
        <x:v>362.71691822775176</x:v>
      </x:c>
      <x:c r="Y22" s="48" t="n">
        <x:f aca="0">S04_Final_ERR!P24</x:f>
        <x:v>1450.867672911007</x:v>
      </x:c>
      <x:c r="Z22" s="48" t="n">
        <x:f aca="0">S04_Final_ERR!Q24</x:f>
        <x:v>793502.7821002688</x:v>
      </x:c>
      <x:c r="AP22" s="1" t="n">
        <x:f aca="0">S22</x:f>
        <x:v>2038</x:v>
      </x:c>
      <x:c r="AQ22" s="48" t="n">
        <x:f aca="0">Y22</x:f>
        <x:v>1450.867672911007</x:v>
      </x:c>
      <x:c r="AS22" s="1" t="n">
        <x:f aca="0">S22</x:f>
        <x:v>2038</x:v>
      </x:c>
      <x:c r="AT22" s="48" t="n">
        <x:f aca="0">Z22</x:f>
        <x:v>793502.7821002688</x:v>
      </x:c>
      <x:c r="AV22" s="1" t="n">
        <x:f aca="0">S22</x:f>
        <x:v>2038</x:v>
      </x:c>
      <x:c r="AW22" s="48" t="n">
        <x:f aca="0">V22</x:f>
        <x:v>5612.863594208937</x:v>
      </x:c>
      <x:c r="AX22" s="48" t="n">
        <x:f aca="0">W22</x:f>
        <x:v>0</x:v>
      </x:c>
      <x:c r="AY22" s="48" t="n">
        <x:f aca="0">X22</x:f>
        <x:v>362.71691822775176</x:v>
      </x:c>
    </x:row>
    <x:row r="23" ht="15" hidden="0" customHeight="1">
      <x:c r="S23" s="1" t="n">
        <x:f aca="0">S04_Final_ERR!A25</x:f>
        <x:v>2039</x:v>
      </x:c>
      <x:c r="T23" s="48" t="n">
        <x:f aca="0">S04_Final_ERR!B25</x:f>
        <x:v>2090631.7986412642</x:v>
      </x:c>
      <x:c r="U23" s="48" t="n">
        <x:f aca="0">S04_Final_ERR!C25</x:f>
        <x:v>1701777.9792767486</x:v>
      </x:c>
      <x:c r="V23" s="48" t="n">
        <x:f aca="0">S04_Final_ERR!F25</x:f>
        <x:v>5612.863594208937</x:v>
      </x:c>
      <x:c r="W23" s="48" t="n">
        <x:f aca="0">S04_Final_ERR!H25</x:f>
        <x:v>0</x:v>
      </x:c>
      <x:c r="X23" s="48" t="n">
        <x:f aca="0">S04_Final_ERR!O25</x:f>
        <x:v>19.233320179907608</x:v>
      </x:c>
      <x:c r="Y23" s="48" t="n">
        <x:f aca="0">S04_Final_ERR!P25</x:f>
        <x:v>76.93328071963042</x:v>
      </x:c>
      <x:c r="Z23" s="48" t="n">
        <x:f aca="0">S04_Final_ERR!Q25</x:f>
        <x:v>793579.7153809884</x:v>
      </x:c>
      <x:c r="AP23" s="1" t="n">
        <x:f aca="0">S23</x:f>
        <x:v>2039</x:v>
      </x:c>
      <x:c r="AQ23" s="48" t="n">
        <x:f aca="0">Y23</x:f>
        <x:v>76.93328071963042</x:v>
      </x:c>
      <x:c r="AS23" s="1" t="n">
        <x:f aca="0">S23</x:f>
        <x:v>2039</x:v>
      </x:c>
      <x:c r="AT23" s="48" t="n">
        <x:f aca="0">Z23</x:f>
        <x:v>793579.7153809884</x:v>
      </x:c>
      <x:c r="AV23" s="1" t="n">
        <x:f aca="0">S23</x:f>
        <x:v>2039</x:v>
      </x:c>
      <x:c r="AW23" s="48" t="n">
        <x:f aca="0">V23</x:f>
        <x:v>5612.863594208937</x:v>
      </x:c>
      <x:c r="AX23" s="48" t="n">
        <x:f aca="0">W23</x:f>
        <x:v>0</x:v>
      </x:c>
      <x:c r="AY23" s="48" t="n">
        <x:f aca="0">X23</x:f>
        <x:v>19.233320179907608</x:v>
      </x:c>
    </x:row>
    <x:row r="24" ht="15" hidden="0" customHeight="1">
      <x:c r="S24" s="1" t="n">
        <x:f aca="0">S04_Final_ERR!A26</x:f>
        <x:v>2040</x:v>
      </x:c>
      <x:c r="T24" s="48" t="n">
        <x:f aca="0">S04_Final_ERR!B26</x:f>
        <x:v>2158072.616879533</x:v>
      </x:c>
      <x:c r="U24" s="48" t="n">
        <x:f aca="0">S04_Final_ERR!C26</x:f>
        <x:v>1756805.69893885</x:v>
      </x:c>
      <x:c r="V24" s="48" t="n">
        <x:f aca="0">S04_Final_ERR!F26</x:f>
        <x:v>5612.863594208937</x:v>
      </x:c>
      <x:c r="W24" s="48" t="n">
        <x:f aca="0">S04_Final_ERR!H26</x:f>
        <x:v>0</x:v>
      </x:c>
      <x:c r="X24" s="48" t="n">
        <x:f aca="0">S04_Final_ERR!O26</x:f>
        <x:v>14.43270007299725</x:v>
      </x:c>
      <x:c r="Y24" s="48" t="n">
        <x:f aca="0">S04_Final_ERR!P26</x:f>
        <x:v>57.730800291989</x:v>
      </x:c>
      <x:c r="Z24" s="48" t="n">
        <x:f aca="0">S04_Final_ERR!Q26</x:f>
        <x:v>793637.4461812804</x:v>
      </x:c>
      <x:c r="AP24" s="1" t="n">
        <x:f aca="0">S24</x:f>
        <x:v>2040</x:v>
      </x:c>
      <x:c r="AQ24" s="48" t="n">
        <x:f aca="0">Y24</x:f>
        <x:v>57.730800291989</x:v>
      </x:c>
      <x:c r="AS24" s="1" t="n">
        <x:f aca="0">S24</x:f>
        <x:v>2040</x:v>
      </x:c>
      <x:c r="AT24" s="48" t="n">
        <x:f aca="0">Z24</x:f>
        <x:v>793637.4461812804</x:v>
      </x:c>
      <x:c r="AV24" s="1" t="n">
        <x:f aca="0">S24</x:f>
        <x:v>2040</x:v>
      </x:c>
      <x:c r="AW24" s="48" t="n">
        <x:f aca="0">V24</x:f>
        <x:v>5612.863594208937</x:v>
      </x:c>
      <x:c r="AX24" s="48" t="n">
        <x:f aca="0">W24</x:f>
        <x:v>0</x:v>
      </x:c>
      <x:c r="AY24" s="48" t="n">
        <x:f aca="0">X24</x:f>
        <x:v>14.43270007299725</x:v>
      </x:c>
    </x:row>
  </x:sheetData>
  <x:pageMargins left="0.7" right="0.7" top="0.75" bottom="0.75" header="0.3" footer="0.3"/>
  <x:drawing xmlns:r="http://schemas.openxmlformats.org/officeDocument/2006/relationships" r:id="R062ddd333e11469c"/>
</x:worksheet>
</file>

<file path=xl/worksheets/sheet4.xml><?xml version="1.0" encoding="utf-8"?>
<x:worksheet xmlns:x="http://schemas.openxmlformats.org/spreadsheetml/2006/main">
  <x:sheetPr>
    <x:tabColor rgb="FF1A5C38"/>
  </x:sheetPr>
  <x:sheetViews>
    <x:sheetView showGridLines="1" workbookViewId="0"/>
  </x:sheetViews>
  <x:sheetFormatPr defaultColWidth="8.6796875" defaultRowHeight="15"/>
  <x:cols>
    <x:col min="1" max="1" width="9" style="1" hidden="0" customWidth="1"/>
    <x:col min="2" max="2" width="16" style="1" hidden="0" customWidth="1"/>
    <x:col min="3" max="3" width="17" style="1" hidden="0" customWidth="1"/>
    <x:col min="4" max="9" width="14" style="1" hidden="0" customWidth="1"/>
    <x:col min="10" max="10" width="12" style="1" hidden="0" customWidth="1"/>
    <x:col min="11" max="11" width="17" style="1" hidden="0" customWidth="1"/>
    <x:col min="12" max="12" width="15" style="1" hidden="0" customWidth="1"/>
    <x:col min="13" max="13" width="17" style="1" hidden="0" customWidth="1"/>
    <x:col min="14" max="14" width="16" style="1" hidden="0" customWidth="1"/>
    <x:col min="15" max="15" width="15" style="1" hidden="0" customWidth="1"/>
    <x:col min="16" max="16" width="16" style="1" hidden="0" customWidth="1"/>
    <x:col min="17" max="17" width="17" style="1" hidden="0" customWidth="1"/>
    <x:col min="18" max="18" width="12" style="1" hidden="0" customWidth="1"/>
    <x:col min="19" max="19" width="20" style="1" hidden="0" customWidth="1"/>
  </x:cols>
  <x:sheetData>
    <x:row r="1" ht="24" hidden="0" customHeight="1">
      <x:c r="A1" s="57" t="str">
        <x:v>Ex-Ante ERR - Year-wise Final Portfolio | VM0047 v1.1 Area-Based | Fresh 67 PSP | Biome-Specific PB | LTA-Capped</x:v>
      </x:c>
      <x:c r="B1" s="57"/>
      <x:c r="C1" s="57"/>
      <x:c r="D1" s="57"/>
      <x:c r="E1" s="57"/>
      <x:c r="F1" s="57"/>
      <x:c r="G1" s="57"/>
      <x:c r="H1" s="57"/>
      <x:c r="I1" s="57"/>
      <x:c r="J1" s="57"/>
      <x:c r="K1" s="57"/>
      <x:c r="L1" s="57"/>
      <x:c r="M1" s="57"/>
      <x:c r="N1" s="57"/>
      <x:c r="O1" s="57"/>
      <x:c r="P1" s="57"/>
      <x:c r="Q1" s="57"/>
      <x:c r="R1" s="57"/>
      <x:c r="S1" s="57"/>
    </x:row>
    <x:row r="2" ht="42" hidden="0" customHeight="1">
      <x:c r="A2" s="58" t="str">
        <x:v>Vertical annual portfolio view. Performance benchmarks are report-derived and applied by biome. Fertilizer project emissions and final-use leakage are reconciled to the same credited ERR area before VM0047 Eq.(32), LTA and non-permanence buffer calculations. Gross ΔCWP is the biomass term; SOC is not included.</x:v>
      </x:c>
      <x:c r="B2" s="58"/>
      <x:c r="C2" s="58"/>
      <x:c r="D2" s="58"/>
      <x:c r="E2" s="58"/>
      <x:c r="F2" s="58"/>
      <x:c r="G2" s="58"/>
      <x:c r="H2" s="58"/>
      <x:c r="I2" s="58"/>
      <x:c r="J2" s="58"/>
      <x:c r="K2" s="58"/>
      <x:c r="L2" s="58"/>
      <x:c r="M2" s="58"/>
      <x:c r="N2" s="58"/>
      <x:c r="O2" s="58"/>
      <x:c r="P2" s="58"/>
      <x:c r="Q2" s="58"/>
      <x:c r="R2" s="58"/>
      <x:c r="S2" s="58"/>
    </x:row>
    <x:row r="3" ht="33.75" hidden="0" customHeight="1">
      <x:c r="A3" s="59" t="s">
        <x:v>115</x:v>
      </x:c>
      <x:c r="B3" s="60" t="n">
        <x:f aca="0">S08_Defaults!$B$14</x:f>
        <x:v>2851.798533508701</x:v>
      </x:c>
      <x:c r="C3" s="61"/>
      <x:c r="D3" s="59" t="s">
        <x:v>116</x:v>
      </x:c>
      <x:c r="E3" s="62" t="n">
        <x:f aca="0">S08_Defaults!$B$10</x:f>
        <x:v>0.2</x:v>
      </x:c>
      <x:c r="F3" s="61"/>
      <x:c r="G3" s="59" t="s">
        <x:v>109</x:v>
      </x:c>
      <x:c r="H3" s="63" t="n">
        <x:f aca="0">S08_Defaults!$B$13</x:f>
        <x:v>20</x:v>
      </x:c>
      <x:c r="I3" s="61"/>
      <x:c r="J3" s="59" t="s">
        <x:v>117</x:v>
      </x:c>
      <x:c r="K3" s="60" t="n">
        <x:f aca="0">Q26</x:f>
        <x:v>793637.4461812804</x:v>
      </x:c>
      <x:c r="L3" s="61"/>
      <x:c r="M3" s="59" t="s">
        <x:v>118</x:v>
      </x:c>
      <x:c r="N3" s="64" t="n">
        <x:f aca="0">IF(B3=0,0,K3/B3)</x:f>
        <x:v>278.29365814450824</x:v>
      </x:c>
      <x:c r="O3" s="61"/>
      <x:c r="P3" s="59" t="s">
        <x:v>119</x:v>
      </x:c>
      <x:c r="Q3" s="60" t="n">
        <x:f aca="0">SUM(S33_Project_Deductions!$H$4:$H$24)</x:f>
        <x:v>106471.70009672528</x:v>
      </x:c>
      <x:c r="R3" s="59" t="s">
        <x:v>120</x:v>
      </x:c>
      <x:c r="S3" s="64" t="n">
        <x:f aca="0">IF(OR($B$3=0,$H$3=0),0,$K$3/$B$3/$H$3)</x:f>
        <x:v>13.914682907225412</x:v>
      </x:c>
    </x:row>
    <x:row r="4" ht="39.75" hidden="0" customHeight="1">
      <x:c r="A4" s="65" t="s">
        <x:v>121</x:v>
      </x:c>
      <x:c r="B4" s="66" t="s">
        <x:v>122</x:v>
      </x:c>
      <x:c r="C4" s="67"/>
      <x:c r="D4" s="65" t="s">
        <x:v>123</x:v>
      </x:c>
      <x:c r="E4" s="65" t="s">
        <x:v>124</x:v>
      </x:c>
      <x:c r="F4" s="67"/>
      <x:c r="G4" s="67" t="s">
        <x:v>125</x:v>
      </x:c>
      <x:c r="H4" s="67" t="s">
        <x:v>126</x:v>
      </x:c>
      <x:c r="I4" s="67"/>
      <x:c r="J4" s="67" t="s">
        <x:v>127</x:v>
      </x:c>
      <x:c r="K4" s="67" t="s">
        <x:v>128</x:v>
      </x:c>
      <x:c r="L4" s="67"/>
      <x:c r="M4" s="67" t="s">
        <x:v>129</x:v>
      </x:c>
      <x:c r="N4" s="67" t="s">
        <x:v>38</x:v>
      </x:c>
      <x:c r="O4" s="67"/>
      <x:c r="P4" s="67" t="s">
        <x:v>130</x:v>
      </x:c>
      <x:c r="Q4" s="67" t="s">
        <x:v>131</x:v>
      </x:c>
      <x:c r="R4" s="67"/>
      <x:c r="S4" s="67"/>
    </x:row>
    <x:row r="5" ht="42" hidden="0" customHeight="1">
      <x:c r="A5" s="68" t="s">
        <x:v>86</x:v>
      </x:c>
      <x:c r="B5" s="69" t="s">
        <x:v>132</x:v>
      </x:c>
      <x:c r="C5" s="68" t="s">
        <x:v>133</x:v>
      </x:c>
      <x:c r="D5" s="68" t="s">
        <x:v>134</x:v>
      </x:c>
      <x:c r="E5" s="68" t="s">
        <x:v>135</x:v>
      </x:c>
      <x:c r="F5" s="68" t="s">
        <x:v>136</x:v>
      </x:c>
      <x:c r="G5" s="68" t="s">
        <x:v>137</x:v>
      </x:c>
      <x:c r="H5" s="68" t="s">
        <x:v>138</x:v>
      </x:c>
      <x:c r="I5" s="68" t="s">
        <x:v>139</x:v>
      </x:c>
      <x:c r="J5" s="68" t="s">
        <x:v>140</x:v>
      </x:c>
      <x:c r="K5" s="68" t="s">
        <x:v>141</x:v>
      </x:c>
      <x:c r="L5" s="68" t="s">
        <x:v>142</x:v>
      </x:c>
      <x:c r="M5" s="68" t="s">
        <x:v>143</x:v>
      </x:c>
      <x:c r="N5" s="68" t="s">
        <x:v>144</x:v>
      </x:c>
      <x:c r="O5" s="68" t="s">
        <x:v>145</x:v>
      </x:c>
      <x:c r="P5" s="68" t="s">
        <x:v>146</x:v>
      </x:c>
      <x:c r="Q5" s="68" t="s">
        <x:v>147</x:v>
      </x:c>
      <x:c r="R5" s="68" t="s">
        <x:v>103</x:v>
      </x:c>
      <x:c r="S5" s="68" t="s">
        <x:v>148</x:v>
      </x:c>
    </x:row>
    <x:row r="6" ht="21" hidden="0" customHeight="1">
      <x:c r="A6" s="1" t="n">
        <x:v>2020</x:v>
      </x:c>
      <x:c r="B6" s="49" t="n">
        <x:f aca="0">SUM(S21_Deserts_Xeric_Fruit!B20,S22_Deserts_Xeric_Horti!B20,S23_Deserts_Xeric_Timber!B20,S24_Deserts_Xeric_Mixed!B20,S25_Moist_Broadleaf_Fruit!B20,S26_Moist_Broadleaf_Horti!B20,S27_Moist_Broadleaf_Timber!B20,S28_Moist_Broadleaf_Mixed!B20,S29_Dry_Broadleaf_Fruit!B20,S30_Dry_Broadleaf_Horti!B20,S31_Dry_Broadleaf_Timber!B20,S32_Dry_Broadleaf_Mixed!B20)</x:f>
        <x:v>0</x:v>
      </x:c>
      <x:c r="C6" s="49" t="n">
        <x:f aca="0">SUM(S21_Deserts_Xeric_Fruit!C20,S22_Deserts_Xeric_Horti!C20,S23_Deserts_Xeric_Timber!C20,S24_Deserts_Xeric_Mixed!C20,S25_Moist_Broadleaf_Fruit!C20,S26_Moist_Broadleaf_Horti!C20,S27_Moist_Broadleaf_Timber!C20,S28_Moist_Broadleaf_Mixed!C20,S29_Dry_Broadleaf_Fruit!C20,S30_Dry_Broadleaf_Horti!C20,S31_Dry_Broadleaf_Timber!C20,S32_Dry_Broadleaf_Mixed!C20)</x:f>
        <x:v>0</x:v>
      </x:c>
      <x:c r="D6" s="70" t="n">
        <x:f aca="0">S33_Project_Deductions!H4</x:f>
        <x:v>930.7707214036548</x:v>
      </x:c>
      <x:c r="E6" s="70" t="n">
        <x:f aca="0">S33_Project_Deductions!I4</x:f>
        <x:v>0</x:v>
      </x:c>
      <x:c r="F6" s="70" t="n">
        <x:f aca="0">S33_Project_Deductions!B4</x:f>
        <x:v>930.7707214036548</x:v>
      </x:c>
      <x:c r="G6" s="71" t="n">
        <x:f aca="0">S33_Project_Deductions!D4</x:f>
        <x:v>930.7707214036548</x:v>
      </x:c>
      <x:c r="H6" s="71" t="n">
        <x:f aca="0">S33_Project_Deductions!C4</x:f>
        <x:v>4259.0475397939235</x:v>
      </x:c>
      <x:c r="I6" s="71" t="n">
        <x:f aca="0">S33_Project_Deductions!E4</x:f>
        <x:v>4259.0475397939235</x:v>
      </x:c>
      <x:c r="J6" s="72" t="n">
        <x:f aca="0">S08_Defaults!$B$9</x:f>
        <x:v>0.2</x:v>
      </x:c>
      <x:c r="K6" s="49" t="n">
        <x:f aca="0">SUM(S21_Deserts_Xeric_Fruit!G20,S22_Deserts_Xeric_Horti!G20,S23_Deserts_Xeric_Timber!G20,S24_Deserts_Xeric_Mixed!G20,S25_Moist_Broadleaf_Fruit!G20,S26_Moist_Broadleaf_Horti!G20,S27_Moist_Broadleaf_Timber!G20,S28_Moist_Broadleaf_Mixed!G20,S29_Dry_Broadleaf_Fruit!G20,S30_Dry_Broadleaf_Horti!G20,S31_Dry_Broadleaf_Timber!G20,S32_Dry_Broadleaf_Mixed!G20)</x:f>
        <x:v>-5189.81826119758</x:v>
      </x:c>
      <x:c r="L6" s="49" t="n">
        <x:f aca="0">SUM(S21_Deserts_Xeric_Fruit!H20,S22_Deserts_Xeric_Horti!H20,S23_Deserts_Xeric_Timber!H20,S24_Deserts_Xeric_Mixed!H20,S25_Moist_Broadleaf_Fruit!H20,S26_Moist_Broadleaf_Horti!H20,S27_Moist_Broadleaf_Timber!H20,S28_Moist_Broadleaf_Mixed!H20,S29_Dry_Broadleaf_Fruit!H20,S30_Dry_Broadleaf_Horti!H20,S31_Dry_Broadleaf_Timber!H20,S32_Dry_Broadleaf_Mixed!H20)</x:f>
        <x:v>-5189.81826119758</x:v>
      </x:c>
      <x:c r="M6" s="49" t="n">
        <x:f aca="0">MAX(0,MIN(S21_Deserts_Xeric_Fruit!G20,S21_Deserts_Xeric_Fruit!$B$8))+MAX(0,MIN(S22_Deserts_Xeric_Horti!G20,S22_Deserts_Xeric_Horti!$B$8))+MAX(0,MIN(S23_Deserts_Xeric_Timber!G20,S23_Deserts_Xeric_Timber!$B$8))+MAX(0,MIN(S24_Deserts_Xeric_Mixed!G20,S24_Deserts_Xeric_Mixed!$B$8))+MAX(0,MIN(S25_Moist_Broadleaf_Fruit!G20,S25_Moist_Broadleaf_Fruit!$B$8))+MAX(0,MIN(S26_Moist_Broadleaf_Horti!G20,S26_Moist_Broadleaf_Horti!$B$8))+MAX(0,MIN(S27_Moist_Broadleaf_Timber!G20,S27_Moist_Broadleaf_Timber!$B$8))+MAX(0,MIN(S28_Moist_Broadleaf_Mixed!G20,S28_Moist_Broadleaf_Mixed!$B$8))+MAX(0,MIN(S29_Dry_Broadleaf_Fruit!G20,S29_Dry_Broadleaf_Fruit!$B$8))+MAX(0,MIN(S30_Dry_Broadleaf_Horti!G20,S30_Dry_Broadleaf_Horti!$B$8))+MAX(0,MIN(S31_Dry_Broadleaf_Timber!G20,S31_Dry_Broadleaf_Timber!$B$8))+MAX(0,MIN(S32_Dry_Broadleaf_Mixed!G20,S32_Dry_Broadleaf_Mixed!$B$8))</x:f>
        <x:v>0</x:v>
      </x:c>
      <x:c r="N6" s="49" t="n">
        <x:f aca="0">MAX(0,M6)</x:f>
        <x:v>0</x:v>
      </x:c>
      <x:c r="O6" s="49" t="n">
        <x:f aca="0">N6*S08_Defaults!$B$10</x:f>
        <x:v>0</x:v>
      </x:c>
      <x:c r="P6" s="73" t="n">
        <x:f aca="0">MAX(0,N6-O6)</x:f>
        <x:v>0</x:v>
      </x:c>
      <x:c r="Q6" s="74" t="n">
        <x:f aca="0">P6</x:f>
        <x:v>0</x:v>
      </x:c>
      <x:c r="R6" s="75" t="n">
        <x:f aca="0">IF(S08_Defaults!$B$14=0,0,P6/S08_Defaults!$B$14)</x:f>
        <x:v>0</x:v>
      </x:c>
      <x:c r="S6" s="1" t="s">
        <x:v>149</x:v>
      </x:c>
    </x:row>
    <x:row r="7" ht="21" hidden="0" customHeight="1">
      <x:c r="A7" s="1" t="n">
        <x:v>2021</x:v>
      </x:c>
      <x:c r="B7" s="49" t="n">
        <x:f aca="0">SUM(S21_Deserts_Xeric_Fruit!B21,S22_Deserts_Xeric_Horti!B21,S23_Deserts_Xeric_Timber!B21,S24_Deserts_Xeric_Mixed!B21,S25_Moist_Broadleaf_Fruit!B21,S26_Moist_Broadleaf_Horti!B21,S27_Moist_Broadleaf_Timber!B21,S28_Moist_Broadleaf_Mixed!B21,S29_Dry_Broadleaf_Fruit!B21,S30_Dry_Broadleaf_Horti!B21,S31_Dry_Broadleaf_Timber!B21,S32_Dry_Broadleaf_Mixed!B21)</x:f>
        <x:v>1776.526274783871</x:v>
      </x:c>
      <x:c r="C7" s="49" t="n">
        <x:f aca="0">SUM(S21_Deserts_Xeric_Fruit!C21,S22_Deserts_Xeric_Horti!C21,S23_Deserts_Xeric_Timber!C21,S24_Deserts_Xeric_Mixed!C21,S25_Moist_Broadleaf_Fruit!C21,S26_Moist_Broadleaf_Horti!C21,S27_Moist_Broadleaf_Timber!C21,S28_Moist_Broadleaf_Mixed!C21,S29_Dry_Broadleaf_Fruit!C21,S30_Dry_Broadleaf_Horti!C21,S31_Dry_Broadleaf_Timber!C21,S32_Dry_Broadleaf_Mixed!C21)</x:f>
        <x:v>1434.1659311938954</x:v>
      </x:c>
      <x:c r="D7" s="70" t="n">
        <x:f aca="0">S33_Project_Deductions!H5</x:f>
        <x:v>2100.0134422598094</x:v>
      </x:c>
      <x:c r="E7" s="70" t="n">
        <x:f aca="0">S33_Project_Deductions!I5</x:f>
        <x:v>0</x:v>
      </x:c>
      <x:c r="F7" s="70" t="n">
        <x:f aca="0">S33_Project_Deductions!B5</x:f>
        <x:v>2100.0134422598094</x:v>
      </x:c>
      <x:c r="G7" s="71" t="n">
        <x:f aca="0">S33_Project_Deductions!D5</x:f>
        <x:v>3030.784163663464</x:v>
      </x:c>
      <x:c r="H7" s="71" t="n">
        <x:f aca="0">S33_Project_Deductions!C5</x:f>
        <x:v>4144.406254155832</x:v>
      </x:c>
      <x:c r="I7" s="71" t="n">
        <x:f aca="0">S33_Project_Deductions!E5</x:f>
        <x:v>8403.453793949757</x:v>
      </x:c>
      <x:c r="J7" s="72" t="n">
        <x:f aca="0">S08_Defaults!$B$9</x:f>
        <x:v>0.2</x:v>
      </x:c>
      <x:c r="K7" s="49" t="n">
        <x:f aca="0">SUM(S21_Deserts_Xeric_Fruit!G21,S22_Deserts_Xeric_Horti!G21,S23_Deserts_Xeric_Timber!G21,S24_Deserts_Xeric_Mixed!G21,S25_Moist_Broadleaf_Fruit!G21,S26_Moist_Broadleaf_Horti!G21,S27_Moist_Broadleaf_Timber!G21,S28_Moist_Broadleaf_Mixed!G21,S29_Dry_Broadleaf_Fruit!G21,S30_Dry_Broadleaf_Horti!G21,S31_Dry_Broadleaf_Timber!G21,S32_Dry_Broadleaf_Mixed!G21)</x:f>
        <x:v>-10286.905212658105</x:v>
      </x:c>
      <x:c r="L7" s="49" t="n">
        <x:f aca="0">SUM(S21_Deserts_Xeric_Fruit!H21,S22_Deserts_Xeric_Horti!H21,S23_Deserts_Xeric_Timber!H21,S24_Deserts_Xeric_Mixed!H21,S25_Moist_Broadleaf_Fruit!H21,S26_Moist_Broadleaf_Horti!H21,S27_Moist_Broadleaf_Timber!H21,S28_Moist_Broadleaf_Mixed!H21,S29_Dry_Broadleaf_Fruit!H21,S30_Dry_Broadleaf_Horti!H21,S31_Dry_Broadleaf_Timber!H21,S32_Dry_Broadleaf_Mixed!H21)</x:f>
        <x:v>-5097.0869514605265</x:v>
      </x:c>
      <x:c r="M7" s="49" t="n">
        <x:f aca="0">MAX(0,MIN(S21_Deserts_Xeric_Fruit!G21,S21_Deserts_Xeric_Fruit!$B$8))+MAX(0,MIN(S22_Deserts_Xeric_Horti!G21,S22_Deserts_Xeric_Horti!$B$8))+MAX(0,MIN(S23_Deserts_Xeric_Timber!G21,S23_Deserts_Xeric_Timber!$B$8))+MAX(0,MIN(S24_Deserts_Xeric_Mixed!G21,S24_Deserts_Xeric_Mixed!$B$8))+MAX(0,MIN(S25_Moist_Broadleaf_Fruit!G21,S25_Moist_Broadleaf_Fruit!$B$8))+MAX(0,MIN(S26_Moist_Broadleaf_Horti!G21,S26_Moist_Broadleaf_Horti!$B$8))+MAX(0,MIN(S27_Moist_Broadleaf_Timber!G21,S27_Moist_Broadleaf_Timber!$B$8))+MAX(0,MIN(S28_Moist_Broadleaf_Mixed!G21,S28_Moist_Broadleaf_Mixed!$B$8))+MAX(0,MIN(S29_Dry_Broadleaf_Fruit!G21,S29_Dry_Broadleaf_Fruit!$B$8))+MAX(0,MIN(S30_Dry_Broadleaf_Horti!G21,S30_Dry_Broadleaf_Horti!$B$8))+MAX(0,MIN(S31_Dry_Broadleaf_Timber!G21,S31_Dry_Broadleaf_Timber!$B$8))+MAX(0,MIN(S32_Dry_Broadleaf_Mixed!G21,S32_Dry_Broadleaf_Mixed!$B$8))</x:f>
        <x:v>0</x:v>
      </x:c>
      <x:c r="N7" s="49" t="n">
        <x:f aca="0">MAX(0,M7-M6)</x:f>
        <x:v>0</x:v>
      </x:c>
      <x:c r="O7" s="49" t="n">
        <x:f aca="0">N7*S08_Defaults!$B$10</x:f>
        <x:v>0</x:v>
      </x:c>
      <x:c r="P7" s="73" t="n">
        <x:f aca="0">MAX(0,N7-O7)</x:f>
        <x:v>0</x:v>
      </x:c>
      <x:c r="Q7" s="74" t="n">
        <x:f aca="0">Q6+P7</x:f>
        <x:v>0</x:v>
      </x:c>
      <x:c r="R7" s="75" t="n">
        <x:f aca="0">IF(S08_Defaults!$B$14=0,0,P7/S08_Defaults!$B$14)</x:f>
        <x:v>0</x:v>
      </x:c>
      <x:c r="S7" s="1" t="s">
        <x:v>149</x:v>
      </x:c>
    </x:row>
    <x:row r="8" ht="21" hidden="0" customHeight="1">
      <x:c r="A8" s="1" t="n">
        <x:v>2022</x:v>
      </x:c>
      <x:c r="B8" s="49" t="n">
        <x:f aca="0">SUM(S21_Deserts_Xeric_Fruit!B22,S22_Deserts_Xeric_Horti!B22,S23_Deserts_Xeric_Timber!B22,S24_Deserts_Xeric_Mixed!B22,S25_Moist_Broadleaf_Fruit!B22,S26_Moist_Broadleaf_Horti!B22,S27_Moist_Broadleaf_Timber!B22,S28_Moist_Broadleaf_Mixed!B22,S29_Dry_Broadleaf_Fruit!B22,S30_Dry_Broadleaf_Horti!B22,S31_Dry_Broadleaf_Timber!B22,S32_Dry_Broadleaf_Mixed!B22)</x:f>
        <x:v>17454.31428195348</x:v>
      </x:c>
      <x:c r="C8" s="49" t="n">
        <x:f aca="0">SUM(S21_Deserts_Xeric_Fruit!C22,S22_Deserts_Xeric_Horti!C22,S23_Deserts_Xeric_Timber!C22,S24_Deserts_Xeric_Mixed!C22,S25_Moist_Broadleaf_Fruit!C22,S26_Moist_Broadleaf_Horti!C22,S27_Moist_Broadleaf_Timber!C22,S28_Moist_Broadleaf_Mixed!C22,S29_Dry_Broadleaf_Fruit!C22,S30_Dry_Broadleaf_Horti!C22,S31_Dry_Broadleaf_Timber!C22,S32_Dry_Broadleaf_Mixed!C22)</x:f>
        <x:v>14106.546706339686</x:v>
      </x:c>
      <x:c r="D8" s="70" t="n">
        <x:f aca="0">S33_Project_Deductions!H6</x:f>
        <x:v>3467.2232884808136</x:v>
      </x:c>
      <x:c r="E8" s="70" t="n">
        <x:f aca="0">S33_Project_Deductions!I6</x:f>
        <x:v>0</x:v>
      </x:c>
      <x:c r="F8" s="70" t="n">
        <x:f aca="0">S33_Project_Deductions!B6</x:f>
        <x:v>3467.2232884808136</x:v>
      </x:c>
      <x:c r="G8" s="71" t="n">
        <x:f aca="0">S33_Project_Deductions!D6</x:f>
        <x:v>6498.0074521442775</x:v>
      </x:c>
      <x:c r="H8" s="71" t="n">
        <x:f aca="0">S33_Project_Deductions!C6</x:f>
        <x:v>4233.307664694</x:v>
      </x:c>
      <x:c r="I8" s="71" t="n">
        <x:f aca="0">S33_Project_Deductions!E6</x:f>
        <x:v>12636.761458643756</x:v>
      </x:c>
      <x:c r="J8" s="72" t="n">
        <x:f aca="0">S08_Defaults!$B$9</x:f>
        <x:v>0.2</x:v>
      </x:c>
      <x:c r="K8" s="49" t="n">
        <x:f aca="0">SUM(S21_Deserts_Xeric_Fruit!G22,S22_Deserts_Xeric_Horti!G22,S23_Deserts_Xeric_Timber!G22,S24_Deserts_Xeric_Mixed!G22,S25_Moist_Broadleaf_Fruit!G22,S26_Moist_Broadleaf_Horti!G22,S27_Moist_Broadleaf_Timber!G22,S28_Moist_Broadleaf_Mixed!G22,S29_Dry_Broadleaf_Fruit!G22,S30_Dry_Broadleaf_Horti!G22,S31_Dry_Broadleaf_Timber!G22,S32_Dry_Broadleaf_Mixed!G22)</x:f>
        <x:v>-7849.531545716285</x:v>
      </x:c>
      <x:c r="L8" s="49" t="n">
        <x:f aca="0">SUM(S21_Deserts_Xeric_Fruit!H22,S22_Deserts_Xeric_Horti!H22,S23_Deserts_Xeric_Timber!H22,S24_Deserts_Xeric_Mixed!H22,S25_Moist_Broadleaf_Fruit!H22,S26_Moist_Broadleaf_Horti!H22,S27_Moist_Broadleaf_Timber!H22,S28_Moist_Broadleaf_Mixed!H22,S29_Dry_Broadleaf_Fruit!H22,S30_Dry_Broadleaf_Horti!H22,S31_Dry_Broadleaf_Timber!H22,S32_Dry_Broadleaf_Mixed!H22)</x:f>
        <x:v>2437.3736669418186</x:v>
      </x:c>
      <x:c r="M8" s="49" t="n">
        <x:f aca="0">MAX(0,MIN(S21_Deserts_Xeric_Fruit!G22,S21_Deserts_Xeric_Fruit!$B$8))+MAX(0,MIN(S22_Deserts_Xeric_Horti!G22,S22_Deserts_Xeric_Horti!$B$8))+MAX(0,MIN(S23_Deserts_Xeric_Timber!G22,S23_Deserts_Xeric_Timber!$B$8))+MAX(0,MIN(S24_Deserts_Xeric_Mixed!G22,S24_Deserts_Xeric_Mixed!$B$8))+MAX(0,MIN(S25_Moist_Broadleaf_Fruit!G22,S25_Moist_Broadleaf_Fruit!$B$8))+MAX(0,MIN(S26_Moist_Broadleaf_Horti!G22,S26_Moist_Broadleaf_Horti!$B$8))+MAX(0,MIN(S27_Moist_Broadleaf_Timber!G22,S27_Moist_Broadleaf_Timber!$B$8))+MAX(0,MIN(S28_Moist_Broadleaf_Mixed!G22,S28_Moist_Broadleaf_Mixed!$B$8))+MAX(0,MIN(S29_Dry_Broadleaf_Fruit!G22,S29_Dry_Broadleaf_Fruit!$B$8))+MAX(0,MIN(S30_Dry_Broadleaf_Horti!G22,S30_Dry_Broadleaf_Horti!$B$8))+MAX(0,MIN(S31_Dry_Broadleaf_Timber!G22,S31_Dry_Broadleaf_Timber!$B$8))+MAX(0,MIN(S32_Dry_Broadleaf_Mixed!G22,S32_Dry_Broadleaf_Mixed!$B$8))</x:f>
        <x:v>3879.8458500177667</x:v>
      </x:c>
      <x:c r="N8" s="49" t="n">
        <x:f aca="0">MAX(0,M8-M7)</x:f>
        <x:v>3879.8458500177667</x:v>
      </x:c>
      <x:c r="O8" s="49" t="n">
        <x:f aca="0">N8*S08_Defaults!$B$10</x:f>
        <x:v>775.9691700035534</x:v>
      </x:c>
      <x:c r="P8" s="73" t="n">
        <x:f aca="0">MAX(0,N8-O8)</x:f>
        <x:v>3103.8766800142134</x:v>
      </x:c>
      <x:c r="Q8" s="74" t="n">
        <x:f aca="0">Q7+P8</x:f>
        <x:v>3103.8766800142134</x:v>
      </x:c>
      <x:c r="R8" s="75" t="n">
        <x:f aca="0">IF(S08_Defaults!$B$14=0,0,P8/S08_Defaults!$B$14)</x:f>
        <x:v>1.0883926909785486</x:v>
      </x:c>
      <x:c r="S8" s="1" t="s">
        <x:v>149</x:v>
      </x:c>
    </x:row>
    <x:row r="9" ht="21" hidden="0" customHeight="1">
      <x:c r="A9" s="1" t="n">
        <x:v>2023</x:v>
      </x:c>
      <x:c r="B9" s="49" t="n">
        <x:f aca="0">SUM(S21_Deserts_Xeric_Fruit!B23,S22_Deserts_Xeric_Horti!B23,S23_Deserts_Xeric_Timber!B23,S24_Deserts_Xeric_Mixed!B23,S25_Moist_Broadleaf_Fruit!B23,S26_Moist_Broadleaf_Horti!B23,S27_Moist_Broadleaf_Timber!B23,S28_Moist_Broadleaf_Mixed!B23,S29_Dry_Broadleaf_Fruit!B23,S30_Dry_Broadleaf_Horti!B23,S31_Dry_Broadleaf_Timber!B23,S32_Dry_Broadleaf_Mixed!B23)</x:f>
        <x:v>60054.40362819965</x:v>
      </x:c>
      <x:c r="C9" s="49" t="n">
        <x:f aca="0">SUM(S21_Deserts_Xeric_Fruit!C23,S22_Deserts_Xeric_Horti!C23,S23_Deserts_Xeric_Timber!C23,S24_Deserts_Xeric_Mixed!C23,S25_Moist_Broadleaf_Fruit!C23,S26_Moist_Broadleaf_Horti!C23,S27_Moist_Broadleaf_Timber!C23,S28_Moist_Broadleaf_Mixed!C23,S29_Dry_Broadleaf_Fruit!C23,S30_Dry_Broadleaf_Horti!C23,S31_Dry_Broadleaf_Timber!C23,S32_Dry_Broadleaf_Mixed!C23)</x:f>
        <x:v>48584.14426856018</x:v>
      </x:c>
      <x:c r="D9" s="70" t="n">
        <x:f aca="0">S33_Project_Deductions!H7</x:f>
        <x:v>4868.078596621696</x:v>
      </x:c>
      <x:c r="E9" s="70" t="n">
        <x:f aca="0">S33_Project_Deductions!I7</x:f>
        <x:v>0</x:v>
      </x:c>
      <x:c r="F9" s="70" t="n">
        <x:f aca="0">S33_Project_Deductions!B7</x:f>
        <x:v>4868.078596621696</x:v>
      </x:c>
      <x:c r="G9" s="71" t="n">
        <x:f aca="0">S33_Project_Deductions!D7</x:f>
        <x:v>11366.086048765974</x:v>
      </x:c>
      <x:c r="H9" s="71" t="n">
        <x:f aca="0">S33_Project_Deductions!C7</x:f>
        <x:v>4251.386997947324</x:v>
      </x:c>
      <x:c r="I9" s="71" t="n">
        <x:f aca="0">S33_Project_Deductions!E7</x:f>
        <x:v>16888.14845659108</x:v>
      </x:c>
      <x:c r="J9" s="72" t="n">
        <x:f aca="0">S08_Defaults!$B$9</x:f>
        <x:v>0.2</x:v>
      </x:c>
      <x:c r="K9" s="49" t="n">
        <x:f aca="0">SUM(S21_Deserts_Xeric_Fruit!G23,S22_Deserts_Xeric_Horti!G23,S23_Deserts_Xeric_Timber!G23,S24_Deserts_Xeric_Mixed!G23,S25_Moist_Broadleaf_Fruit!G23,S26_Moist_Broadleaf_Horti!G23,S27_Moist_Broadleaf_Timber!G23,S28_Moist_Broadleaf_Mixed!G23,S29_Dry_Broadleaf_Fruit!G23,S30_Dry_Broadleaf_Horti!G23,S31_Dry_Broadleaf_Timber!G23,S32_Dry_Broadleaf_Mixed!G23)</x:f>
        <x:v>10613.08090949109</x:v>
      </x:c>
      <x:c r="L9" s="49" t="n">
        <x:f aca="0">SUM(S21_Deserts_Xeric_Fruit!H23,S22_Deserts_Xeric_Horti!H23,S23_Deserts_Xeric_Timber!H23,S24_Deserts_Xeric_Mixed!H23,S25_Moist_Broadleaf_Fruit!H23,S26_Moist_Broadleaf_Horti!H23,S27_Moist_Broadleaf_Timber!H23,S28_Moist_Broadleaf_Mixed!H23,S29_Dry_Broadleaf_Fruit!H23,S30_Dry_Broadleaf_Horti!H23,S31_Dry_Broadleaf_Timber!H23,S32_Dry_Broadleaf_Mixed!H23)</x:f>
        <x:v>18462.61245520737</x:v>
      </x:c>
      <x:c r="M9" s="49" t="n">
        <x:f aca="0">MAX(0,MIN(S21_Deserts_Xeric_Fruit!G23,S21_Deserts_Xeric_Fruit!$B$8))+MAX(0,MIN(S22_Deserts_Xeric_Horti!G23,S22_Deserts_Xeric_Horti!$B$8))+MAX(0,MIN(S23_Deserts_Xeric_Timber!G23,S23_Deserts_Xeric_Timber!$B$8))+MAX(0,MIN(S24_Deserts_Xeric_Mixed!G23,S24_Deserts_Xeric_Mixed!$B$8))+MAX(0,MIN(S25_Moist_Broadleaf_Fruit!G23,S25_Moist_Broadleaf_Fruit!$B$8))+MAX(0,MIN(S26_Moist_Broadleaf_Horti!G23,S26_Moist_Broadleaf_Horti!$B$8))+MAX(0,MIN(S27_Moist_Broadleaf_Timber!G23,S27_Moist_Broadleaf_Timber!$B$8))+MAX(0,MIN(S28_Moist_Broadleaf_Mixed!G23,S28_Moist_Broadleaf_Mixed!$B$8))+MAX(0,MIN(S29_Dry_Broadleaf_Fruit!G23,S29_Dry_Broadleaf_Fruit!$B$8))+MAX(0,MIN(S30_Dry_Broadleaf_Horti!G23,S30_Dry_Broadleaf_Horti!$B$8))+MAX(0,MIN(S31_Dry_Broadleaf_Timber!G23,S31_Dry_Broadleaf_Timber!$B$8))+MAX(0,MIN(S32_Dry_Broadleaf_Mixed!G23,S32_Dry_Broadleaf_Mixed!$B$8))</x:f>
        <x:v>25876.073233865</x:v>
      </x:c>
      <x:c r="N9" s="49" t="n">
        <x:f aca="0">MAX(0,M9-M8)</x:f>
        <x:v>21996.227383847236</x:v>
      </x:c>
      <x:c r="O9" s="49" t="n">
        <x:f aca="0">N9*S08_Defaults!$B$10</x:f>
        <x:v>4399.245476769447</x:v>
      </x:c>
      <x:c r="P9" s="73" t="n">
        <x:f aca="0">MAX(0,N9-O9)</x:f>
        <x:v>17596.98190707779</x:v>
      </x:c>
      <x:c r="Q9" s="74" t="n">
        <x:f aca="0">Q8+P9</x:f>
        <x:v>20700.858587092003</x:v>
      </x:c>
      <x:c r="R9" s="75" t="n">
        <x:f aca="0">IF(S08_Defaults!$B$14=0,0,P9/S08_Defaults!$B$14)</x:f>
        <x:v>6.170485642766426</x:v>
      </x:c>
      <x:c r="S9" s="1" t="s">
        <x:v>149</x:v>
      </x:c>
    </x:row>
    <x:row r="10" ht="21" hidden="0" customHeight="1">
      <x:c r="A10" s="1" t="n">
        <x:v>2024</x:v>
      </x:c>
      <x:c r="B10" s="49" t="n">
        <x:f aca="0">SUM(S21_Deserts_Xeric_Fruit!B24,S22_Deserts_Xeric_Horti!B24,S23_Deserts_Xeric_Timber!B24,S24_Deserts_Xeric_Mixed!B24,S25_Moist_Broadleaf_Fruit!B24,S26_Moist_Broadleaf_Horti!B24,S27_Moist_Broadleaf_Timber!B24,S28_Moist_Broadleaf_Mixed!B24,S29_Dry_Broadleaf_Fruit!B24,S30_Dry_Broadleaf_Horti!B24,S31_Dry_Broadleaf_Timber!B24,S32_Dry_Broadleaf_Mixed!B24)</x:f>
        <x:v>135908.40722942544</x:v>
      </x:c>
      <x:c r="C10" s="49" t="n">
        <x:f aca="0">SUM(S21_Deserts_Xeric_Fruit!C24,S22_Deserts_Xeric_Horti!C24,S23_Deserts_Xeric_Timber!C24,S24_Deserts_Xeric_Mixed!C24,S25_Moist_Broadleaf_Fruit!C24,S26_Moist_Broadleaf_Horti!C24,S27_Moist_Broadleaf_Timber!C24,S28_Moist_Broadleaf_Mixed!C24,S29_Dry_Broadleaf_Fruit!C24,S30_Dry_Broadleaf_Horti!C24,S31_Dry_Broadleaf_Timber!C24,S32_Dry_Broadleaf_Mixed!C24)</x:f>
        <x:v>110059.45291706845</x:v>
      </x:c>
      <x:c r="D10" s="70" t="n">
        <x:f aca="0">S33_Project_Deductions!H8</x:f>
        <x:v>5340.523773770276</x:v>
      </x:c>
      <x:c r="E10" s="70" t="n">
        <x:f aca="0">S33_Project_Deductions!I8</x:f>
        <x:v>0</x:v>
      </x:c>
      <x:c r="F10" s="70" t="n">
        <x:f aca="0">S33_Project_Deductions!B8</x:f>
        <x:v>5340.523773770276</x:v>
      </x:c>
      <x:c r="G10" s="71" t="n">
        <x:f aca="0">S33_Project_Deductions!D8</x:f>
        <x:v>16706.60982253625</x:v>
      </x:c>
      <x:c r="H10" s="71" t="n">
        <x:f aca="0">S33_Project_Deductions!C8</x:f>
        <x:v>4102.1755898176025</x:v>
      </x:c>
      <x:c r="I10" s="71" t="n">
        <x:f aca="0">S33_Project_Deductions!E8</x:f>
        <x:v>20990.32404640868</x:v>
      </x:c>
      <x:c r="J10" s="72" t="n">
        <x:f aca="0">S08_Defaults!$B$9</x:f>
        <x:v>0.2</x:v>
      </x:c>
      <x:c r="K10" s="49" t="n">
        <x:f aca="0">SUM(S21_Deserts_Xeric_Fruit!G24,S22_Deserts_Xeric_Horti!G24,S23_Deserts_Xeric_Timber!G24,S24_Deserts_Xeric_Mixed!G24,S25_Moist_Broadleaf_Fruit!G24,S26_Moist_Broadleaf_Horti!G24,S27_Moist_Broadleaf_Timber!G24,S28_Moist_Broadleaf_Mixed!G24,S29_Dry_Broadleaf_Fruit!G24,S30_Dry_Broadleaf_Horti!G24,S31_Dry_Broadleaf_Timber!G24,S32_Dry_Broadleaf_Mixed!G24)</x:f>
        <x:v>50350.62846470983</x:v>
      </x:c>
      <x:c r="L10" s="49" t="n">
        <x:f aca="0">SUM(S21_Deserts_Xeric_Fruit!H24,S22_Deserts_Xeric_Horti!H24,S23_Deserts_Xeric_Timber!H24,S24_Deserts_Xeric_Mixed!H24,S25_Moist_Broadleaf_Fruit!H24,S26_Moist_Broadleaf_Horti!H24,S27_Moist_Broadleaf_Timber!H24,S28_Moist_Broadleaf_Mixed!H24,S29_Dry_Broadleaf_Fruit!H24,S30_Dry_Broadleaf_Horti!H24,S31_Dry_Broadleaf_Timber!H24,S32_Dry_Broadleaf_Mixed!H24)</x:f>
        <x:v>39737.547555218734</x:v>
      </x:c>
      <x:c r="M10" s="49" t="n">
        <x:f aca="0">MAX(0,MIN(S21_Deserts_Xeric_Fruit!G24,S21_Deserts_Xeric_Fruit!$B$8))+MAX(0,MIN(S22_Deserts_Xeric_Horti!G24,S22_Deserts_Xeric_Horti!$B$8))+MAX(0,MIN(S23_Deserts_Xeric_Timber!G24,S23_Deserts_Xeric_Timber!$B$8))+MAX(0,MIN(S24_Deserts_Xeric_Mixed!G24,S24_Deserts_Xeric_Mixed!$B$8))+MAX(0,MIN(S25_Moist_Broadleaf_Fruit!G24,S25_Moist_Broadleaf_Fruit!$B$8))+MAX(0,MIN(S26_Moist_Broadleaf_Horti!G24,S26_Moist_Broadleaf_Horti!$B$8))+MAX(0,MIN(S27_Moist_Broadleaf_Timber!G24,S27_Moist_Broadleaf_Timber!$B$8))+MAX(0,MIN(S28_Moist_Broadleaf_Mixed!G24,S28_Moist_Broadleaf_Mixed!$B$8))+MAX(0,MIN(S29_Dry_Broadleaf_Fruit!G24,S29_Dry_Broadleaf_Fruit!$B$8))+MAX(0,MIN(S30_Dry_Broadleaf_Horti!G24,S30_Dry_Broadleaf_Horti!$B$8))+MAX(0,MIN(S31_Dry_Broadleaf_Timber!G24,S31_Dry_Broadleaf_Timber!$B$8))+MAX(0,MIN(S32_Dry_Broadleaf_Mixed!G24,S32_Dry_Broadleaf_Mixed!$B$8))</x:f>
        <x:v>66804.35376826514</x:v>
      </x:c>
      <x:c r="N10" s="49" t="n">
        <x:f aca="0">MAX(0,M10-M9)</x:f>
        <x:v>40928.28053440014</x:v>
      </x:c>
      <x:c r="O10" s="49" t="n">
        <x:f aca="0">N10*S08_Defaults!$B$10</x:f>
        <x:v>8185.656106880028</x:v>
      </x:c>
      <x:c r="P10" s="73" t="n">
        <x:f aca="0">MAX(0,N10-O10)</x:f>
        <x:v>32742.62442752011</x:v>
      </x:c>
      <x:c r="Q10" s="74" t="n">
        <x:f aca="0">Q9+P10</x:f>
        <x:v>53443.48301461211</x:v>
      </x:c>
      <x:c r="R10" s="75" t="n">
        <x:f aca="0">IF(S08_Defaults!$B$14=0,0,P10/S08_Defaults!$B$14)</x:f>
        <x:v>11.481394650706735</x:v>
      </x:c>
      <x:c r="S10" s="1" t="s">
        <x:v>149</x:v>
      </x:c>
    </x:row>
    <x:row r="11" ht="21" hidden="0" customHeight="1">
      <x:c r="A11" s="1" t="n">
        <x:v>2025</x:v>
      </x:c>
      <x:c r="B11" s="49" t="n">
        <x:f aca="0">SUM(S21_Deserts_Xeric_Fruit!B25,S22_Deserts_Xeric_Horti!B25,S23_Deserts_Xeric_Timber!B25,S24_Deserts_Xeric_Mixed!B25,S25_Moist_Broadleaf_Fruit!B25,S26_Moist_Broadleaf_Horti!B25,S27_Moist_Broadleaf_Timber!B25,S28_Moist_Broadleaf_Mixed!B25,S29_Dry_Broadleaf_Fruit!B25,S30_Dry_Broadleaf_Horti!B25,S31_Dry_Broadleaf_Timber!B25,S32_Dry_Broadleaf_Mixed!B25)</x:f>
        <x:v>243709.89955619336</x:v>
      </x:c>
      <x:c r="C11" s="49" t="n">
        <x:f aca="0">SUM(S21_Deserts_Xeric_Fruit!C25,S22_Deserts_Xeric_Horti!C25,S23_Deserts_Xeric_Timber!C25,S24_Deserts_Xeric_Mixed!C25,S25_Moist_Broadleaf_Fruit!C25,S26_Moist_Broadleaf_Horti!C25,S27_Moist_Broadleaf_Timber!C25,S28_Moist_Broadleaf_Mixed!C25,S29_Dry_Broadleaf_Fruit!C25,S30_Dry_Broadleaf_Horti!C25,S31_Dry_Broadleaf_Timber!C25,S32_Dry_Broadleaf_Mixed!C25)</x:f>
        <x:v>197536.4202022626</x:v>
      </x:c>
      <x:c r="D11" s="70" t="n">
        <x:f aca="0">S33_Project_Deductions!H9</x:f>
        <x:v>5574.496951466356</x:v>
      </x:c>
      <x:c r="E11" s="70" t="n">
        <x:f aca="0">S33_Project_Deductions!I9</x:f>
        <x:v>0</x:v>
      </x:c>
      <x:c r="F11" s="70" t="n">
        <x:f aca="0">S33_Project_Deductions!B9</x:f>
        <x:v>5574.496951466356</x:v>
      </x:c>
      <x:c r="G11" s="71" t="n">
        <x:f aca="0">S33_Project_Deductions!D9</x:f>
        <x:v>22281.10677400261</x:v>
      </x:c>
      <x:c r="H11" s="71" t="n">
        <x:f aca="0">S33_Project_Deductions!C9</x:f>
        <x:v>0</x:v>
      </x:c>
      <x:c r="I11" s="71" t="n">
        <x:f aca="0">S33_Project_Deductions!E9</x:f>
        <x:v>20990.32404640868</x:v>
      </x:c>
      <x:c r="J11" s="72" t="n">
        <x:f aca="0">S08_Defaults!$B$9</x:f>
        <x:v>0.2</x:v>
      </x:c>
      <x:c r="K11" s="49" t="n">
        <x:f aca="0">SUM(S21_Deserts_Xeric_Fruit!G25,S22_Deserts_Xeric_Horti!G25,S23_Deserts_Xeric_Timber!G25,S24_Deserts_Xeric_Mixed!G25,S25_Moist_Broadleaf_Fruit!G25,S26_Moist_Broadleaf_Horti!G25,S27_Moist_Broadleaf_Timber!G25,S28_Moist_Broadleaf_Mixed!G25,S29_Dry_Broadleaf_Fruit!G25,S30_Dry_Broadleaf_Horti!G25,S31_Dry_Broadleaf_Timber!G25,S32_Dry_Broadleaf_Mixed!G25)</x:f>
        <x:v>114757.7053413988</x:v>
      </x:c>
      <x:c r="L11" s="49" t="n">
        <x:f aca="0">SUM(S21_Deserts_Xeric_Fruit!H25,S22_Deserts_Xeric_Horti!H25,S23_Deserts_Xeric_Timber!H25,S24_Deserts_Xeric_Mixed!H25,S25_Moist_Broadleaf_Fruit!H25,S26_Moist_Broadleaf_Horti!H25,S27_Moist_Broadleaf_Timber!H25,S28_Moist_Broadleaf_Mixed!H25,S29_Dry_Broadleaf_Fruit!H25,S30_Dry_Broadleaf_Horti!H25,S31_Dry_Broadleaf_Timber!H25,S32_Dry_Broadleaf_Mixed!H25)</x:f>
        <x:v>64407.076876688974</x:v>
      </x:c>
      <x:c r="M11" s="49" t="n">
        <x:f aca="0">MAX(0,MIN(S21_Deserts_Xeric_Fruit!G25,S21_Deserts_Xeric_Fruit!$B$8))+MAX(0,MIN(S22_Deserts_Xeric_Horti!G25,S22_Deserts_Xeric_Horti!$B$8))+MAX(0,MIN(S23_Deserts_Xeric_Timber!G25,S23_Deserts_Xeric_Timber!$B$8))+MAX(0,MIN(S24_Deserts_Xeric_Mixed!G25,S24_Deserts_Xeric_Mixed!$B$8))+MAX(0,MIN(S25_Moist_Broadleaf_Fruit!G25,S25_Moist_Broadleaf_Fruit!$B$8))+MAX(0,MIN(S26_Moist_Broadleaf_Horti!G25,S26_Moist_Broadleaf_Horti!$B$8))+MAX(0,MIN(S27_Moist_Broadleaf_Timber!G25,S27_Moist_Broadleaf_Timber!$B$8))+MAX(0,MIN(S28_Moist_Broadleaf_Mixed!G25,S28_Moist_Broadleaf_Mixed!$B$8))+MAX(0,MIN(S29_Dry_Broadleaf_Fruit!G25,S29_Dry_Broadleaf_Fruit!$B$8))+MAX(0,MIN(S30_Dry_Broadleaf_Horti!G25,S30_Dry_Broadleaf_Horti!$B$8))+MAX(0,MIN(S31_Dry_Broadleaf_Timber!G25,S31_Dry_Broadleaf_Timber!$B$8))+MAX(0,MIN(S32_Dry_Broadleaf_Mixed!G25,S32_Dry_Broadleaf_Mixed!$B$8))</x:f>
        <x:v>127256.65369373882</x:v>
      </x:c>
      <x:c r="N11" s="49" t="n">
        <x:f aca="0">MAX(0,M11-M10)</x:f>
        <x:v>60452.29992547368</x:v>
      </x:c>
      <x:c r="O11" s="49" t="n">
        <x:f aca="0">N11*S08_Defaults!$B$10</x:f>
        <x:v>12090.459985094736</x:v>
      </x:c>
      <x:c r="P11" s="73" t="n">
        <x:f aca="0">MAX(0,N11-O11)</x:f>
        <x:v>48361.839940378944</x:v>
      </x:c>
      <x:c r="Q11" s="74" t="n">
        <x:f aca="0">Q10+P11</x:f>
        <x:v>101805.32295499105</x:v>
      </x:c>
      <x:c r="R11" s="75" t="n">
        <x:f aca="0">IF(S08_Defaults!$B$14=0,0,P11/S08_Defaults!$B$14)</x:f>
        <x:v>16.958364825609582</x:v>
      </x:c>
      <x:c r="S11" s="1" t="s">
        <x:v>149</x:v>
      </x:c>
    </x:row>
    <x:row r="12" ht="21" hidden="0" customHeight="1">
      <x:c r="A12" s="1" t="n">
        <x:v>2026</x:v>
      </x:c>
      <x:c r="B12" s="49" t="n">
        <x:f aca="0">SUM(S21_Deserts_Xeric_Fruit!B26,S22_Deserts_Xeric_Horti!B26,S23_Deserts_Xeric_Timber!B26,S24_Deserts_Xeric_Mixed!B26,S25_Moist_Broadleaf_Fruit!B26,S26_Moist_Broadleaf_Horti!B26,S27_Moist_Broadleaf_Timber!B26,S28_Moist_Broadleaf_Mixed!B26,S29_Dry_Broadleaf_Fruit!B26,S30_Dry_Broadleaf_Horti!B26,S31_Dry_Broadleaf_Timber!B26,S32_Dry_Broadleaf_Mixed!B26)</x:f>
        <x:v>377777.4157259231</x:v>
      </x:c>
      <x:c r="C12" s="49" t="n">
        <x:f aca="0">SUM(S21_Deserts_Xeric_Fruit!C26,S22_Deserts_Xeric_Horti!C26,S23_Deserts_Xeric_Timber!C26,S24_Deserts_Xeric_Mixed!C26,S25_Moist_Broadleaf_Fruit!C26,S26_Moist_Broadleaf_Horti!C26,S27_Moist_Broadleaf_Timber!C26,S28_Moist_Broadleaf_Mixed!C26,S29_Dry_Broadleaf_Fruit!C26,S30_Dry_Broadleaf_Horti!C26,S31_Dry_Broadleaf_Timber!C26,S32_Dry_Broadleaf_Mixed!C26)</x:f>
        <x:v>306440.3095190803</x:v>
      </x:c>
      <x:c r="D12" s="70" t="n">
        <x:f aca="0">S33_Project_Deductions!H10</x:f>
        <x:v>5610.503003797587</x:v>
      </x:c>
      <x:c r="E12" s="70" t="n">
        <x:f aca="0">S33_Project_Deductions!I10</x:f>
        <x:v>0</x:v>
      </x:c>
      <x:c r="F12" s="70" t="n">
        <x:f aca="0">S33_Project_Deductions!B10</x:f>
        <x:v>5610.503003797587</x:v>
      </x:c>
      <x:c r="G12" s="71" t="n">
        <x:f aca="0">S33_Project_Deductions!D10</x:f>
        <x:v>27891.609777800193</x:v>
      </x:c>
      <x:c r="H12" s="71" t="n">
        <x:f aca="0">S33_Project_Deductions!C10</x:f>
        <x:v>0</x:v>
      </x:c>
      <x:c r="I12" s="71" t="n">
        <x:f aca="0">S33_Project_Deductions!E10</x:f>
        <x:v>20990.32404640868</x:v>
      </x:c>
      <x:c r="J12" s="72" t="n">
        <x:f aca="0">S08_Defaults!$B$9</x:f>
        <x:v>0.2</x:v>
      </x:c>
      <x:c r="K12" s="49" t="n">
        <x:f aca="0">SUM(S21_Deserts_Xeric_Fruit!G26,S22_Deserts_Xeric_Horti!G26,S23_Deserts_Xeric_Timber!G26,S24_Deserts_Xeric_Mixed!G26,S25_Moist_Broadleaf_Fruit!G26,S26_Moist_Broadleaf_Horti!G26,S27_Moist_Broadleaf_Timber!G26,S28_Moist_Broadleaf_Mixed!G26,S29_Dry_Broadleaf_Fruit!G26,S30_Dry_Broadleaf_Horti!G26,S31_Dry_Broadleaf_Timber!G26,S32_Dry_Broadleaf_Mixed!G26)</x:f>
        <x:v>196270.3137910554</x:v>
      </x:c>
      <x:c r="L12" s="49" t="n">
        <x:f aca="0">SUM(S21_Deserts_Xeric_Fruit!H26,S22_Deserts_Xeric_Horti!H26,S23_Deserts_Xeric_Timber!H26,S24_Deserts_Xeric_Mixed!H26,S25_Moist_Broadleaf_Fruit!H26,S26_Moist_Broadleaf_Horti!H26,S27_Moist_Broadleaf_Timber!H26,S28_Moist_Broadleaf_Mixed!H26,S29_Dry_Broadleaf_Fruit!H26,S30_Dry_Broadleaf_Horti!H26,S31_Dry_Broadleaf_Timber!H26,S32_Dry_Broadleaf_Mixed!H26)</x:f>
        <x:v>81512.60844965663</x:v>
      </x:c>
      <x:c r="M12" s="49" t="n">
        <x:f aca="0">MAX(0,MIN(S21_Deserts_Xeric_Fruit!G26,S21_Deserts_Xeric_Fruit!$B$8))+MAX(0,MIN(S22_Deserts_Xeric_Horti!G26,S22_Deserts_Xeric_Horti!$B$8))+MAX(0,MIN(S23_Deserts_Xeric_Timber!G26,S23_Deserts_Xeric_Timber!$B$8))+MAX(0,MIN(S24_Deserts_Xeric_Mixed!G26,S24_Deserts_Xeric_Mixed!$B$8))+MAX(0,MIN(S25_Moist_Broadleaf_Fruit!G26,S25_Moist_Broadleaf_Fruit!$B$8))+MAX(0,MIN(S26_Moist_Broadleaf_Horti!G26,S26_Moist_Broadleaf_Horti!$B$8))+MAX(0,MIN(S27_Moist_Broadleaf_Timber!G26,S27_Moist_Broadleaf_Timber!$B$8))+MAX(0,MIN(S28_Moist_Broadleaf_Mixed!G26,S28_Moist_Broadleaf_Mixed!$B$8))+MAX(0,MIN(S29_Dry_Broadleaf_Fruit!G26,S29_Dry_Broadleaf_Fruit!$B$8))+MAX(0,MIN(S30_Dry_Broadleaf_Horti!G26,S30_Dry_Broadleaf_Horti!$B$8))+MAX(0,MIN(S31_Dry_Broadleaf_Timber!G26,S31_Dry_Broadleaf_Timber!$B$8))+MAX(0,MIN(S32_Dry_Broadleaf_Mixed!G26,S32_Dry_Broadleaf_Mixed!$B$8))</x:f>
        <x:v>203737.28254605609</x:v>
      </x:c>
      <x:c r="N12" s="49" t="n">
        <x:f aca="0">MAX(0,M12-M11)</x:f>
        <x:v>76480.62885231727</x:v>
      </x:c>
      <x:c r="O12" s="49" t="n">
        <x:f aca="0">N12*S08_Defaults!$B$10</x:f>
        <x:v>15296.125770463455</x:v>
      </x:c>
      <x:c r="P12" s="73" t="n">
        <x:f aca="0">MAX(0,N12-O12)</x:f>
        <x:v>61184.503081853814</x:v>
      </x:c>
      <x:c r="Q12" s="74" t="n">
        <x:f aca="0">Q11+P12</x:f>
        <x:v>162989.82603684487</x:v>
      </x:c>
      <x:c r="R12" s="75" t="n">
        <x:f aca="0">IF(S08_Defaults!$B$14=0,0,P12/S08_Defaults!$B$14)</x:f>
        <x:v>21.45470739357442</x:v>
      </x:c>
      <x:c r="S12" s="1" t="s">
        <x:v>149</x:v>
      </x:c>
    </x:row>
    <x:row r="13" ht="21" hidden="0" customHeight="1">
      <x:c r="A13" s="1" t="n">
        <x:v>2027</x:v>
      </x:c>
      <x:c r="B13" s="49" t="n">
        <x:f aca="0">SUM(S21_Deserts_Xeric_Fruit!B27,S22_Deserts_Xeric_Horti!B27,S23_Deserts_Xeric_Timber!B27,S24_Deserts_Xeric_Mixed!B27,S25_Moist_Broadleaf_Fruit!B27,S26_Moist_Broadleaf_Horti!B27,S27_Moist_Broadleaf_Timber!B27,S28_Moist_Broadleaf_Mixed!B27,S29_Dry_Broadleaf_Fruit!B27,S30_Dry_Broadleaf_Horti!B27,S31_Dry_Broadleaf_Timber!B27,S32_Dry_Broadleaf_Mixed!B27)</x:f>
        <x:v>530425.0404640944</x:v>
      </x:c>
      <x:c r="C13" s="49" t="n">
        <x:f aca="0">SUM(S21_Deserts_Xeric_Fruit!C27,S22_Deserts_Xeric_Horti!C27,S23_Deserts_Xeric_Timber!C27,S24_Deserts_Xeric_Mixed!C27,S25_Moist_Broadleaf_Fruit!C27,S26_Moist_Broadleaf_Horti!C27,S27_Moist_Broadleaf_Timber!C27,S28_Moist_Broadleaf_Mixed!C27,S29_Dry_Broadleaf_Fruit!C27,S30_Dry_Broadleaf_Horti!C27,S31_Dry_Broadleaf_Timber!C27,S32_Dry_Broadleaf_Mixed!C27)</x:f>
        <x:v>430539.0153215298</x:v>
      </x:c>
      <x:c r="D13" s="70" t="n">
        <x:f aca="0">S33_Project_Deductions!H11</x:f>
        <x:v>5612.863594208937</x:v>
      </x:c>
      <x:c r="E13" s="70" t="n">
        <x:f aca="0">S33_Project_Deductions!I11</x:f>
        <x:v>0</x:v>
      </x:c>
      <x:c r="F13" s="70" t="n">
        <x:f aca="0">S33_Project_Deductions!B11</x:f>
        <x:v>5612.863594208937</x:v>
      </x:c>
      <x:c r="G13" s="71" t="n">
        <x:f aca="0">S33_Project_Deductions!D11</x:f>
        <x:v>33504.47337200913</x:v>
      </x:c>
      <x:c r="H13" s="71" t="n">
        <x:f aca="0">S33_Project_Deductions!C11</x:f>
        <x:v>0</x:v>
      </x:c>
      <x:c r="I13" s="71" t="n">
        <x:f aca="0">S33_Project_Deductions!E11</x:f>
        <x:v>20990.32404640868</x:v>
      </x:c>
      <x:c r="J13" s="72" t="n">
        <x:f aca="0">S08_Defaults!$B$9</x:f>
        <x:v>0.2</x:v>
      </x:c>
      <x:c r="K13" s="49" t="n">
        <x:f aca="0">SUM(S21_Deserts_Xeric_Fruit!G27,S22_Deserts_Xeric_Horti!G27,S23_Deserts_Xeric_Timber!G27,S24_Deserts_Xeric_Mixed!G27,S25_Moist_Broadleaf_Fruit!G27,S26_Moist_Broadleaf_Horti!G27,S27_Moist_Broadleaf_Timber!G27,S28_Moist_Broadleaf_Mixed!G27,S29_Dry_Broadleaf_Fruit!G27,S30_Dry_Broadleaf_Horti!G27,S31_Dry_Broadleaf_Timber!G27,S32_Dry_Broadleaf_Mixed!G27)</x:f>
        <x:v>289936.4148388061</x:v>
      </x:c>
      <x:c r="L13" s="49" t="n">
        <x:f aca="0">SUM(S21_Deserts_Xeric_Fruit!H27,S22_Deserts_Xeric_Horti!H27,S23_Deserts_Xeric_Timber!H27,S24_Deserts_Xeric_Mixed!H27,S25_Moist_Broadleaf_Fruit!H27,S26_Moist_Broadleaf_Horti!H27,S27_Moist_Broadleaf_Timber!H27,S28_Moist_Broadleaf_Mixed!H27,S29_Dry_Broadleaf_Fruit!H27,S30_Dry_Broadleaf_Horti!H27,S31_Dry_Broadleaf_Timber!H27,S32_Dry_Broadleaf_Mixed!H27)</x:f>
        <x:v>93666.10104775064</x:v>
      </x:c>
      <x:c r="M13" s="49" t="n">
        <x:f aca="0">MAX(0,MIN(S21_Deserts_Xeric_Fruit!G27,S21_Deserts_Xeric_Fruit!$B$8))+MAX(0,MIN(S22_Deserts_Xeric_Horti!G27,S22_Deserts_Xeric_Horti!$B$8))+MAX(0,MIN(S23_Deserts_Xeric_Timber!G27,S23_Deserts_Xeric_Timber!$B$8))+MAX(0,MIN(S24_Deserts_Xeric_Mixed!G27,S24_Deserts_Xeric_Mixed!$B$8))+MAX(0,MIN(S25_Moist_Broadleaf_Fruit!G27,S25_Moist_Broadleaf_Fruit!$B$8))+MAX(0,MIN(S26_Moist_Broadleaf_Horti!G27,S26_Moist_Broadleaf_Horti!$B$8))+MAX(0,MIN(S27_Moist_Broadleaf_Timber!G27,S27_Moist_Broadleaf_Timber!$B$8))+MAX(0,MIN(S28_Moist_Broadleaf_Mixed!G27,S28_Moist_Broadleaf_Mixed!$B$8))+MAX(0,MIN(S29_Dry_Broadleaf_Fruit!G27,S29_Dry_Broadleaf_Fruit!$B$8))+MAX(0,MIN(S30_Dry_Broadleaf_Horti!G27,S30_Dry_Broadleaf_Horti!$B$8))+MAX(0,MIN(S31_Dry_Broadleaf_Timber!G27,S31_Dry_Broadleaf_Timber!$B$8))+MAX(0,MIN(S32_Dry_Broadleaf_Mixed!G27,S32_Dry_Broadleaf_Mixed!$B$8))</x:f>
        <x:v>292905.6697182159</x:v>
      </x:c>
      <x:c r="N13" s="49" t="n">
        <x:f aca="0">MAX(0,M13-M12)</x:f>
        <x:v>89168.3871721598</x:v>
      </x:c>
      <x:c r="O13" s="49" t="n">
        <x:f aca="0">N13*S08_Defaults!$B$10</x:f>
        <x:v>17833.67743443196</x:v>
      </x:c>
      <x:c r="P13" s="73" t="n">
        <x:f aca="0">MAX(0,N13-O13)</x:f>
        <x:v>71334.70973772784</x:v>
      </x:c>
      <x:c r="Q13" s="74" t="n">
        <x:f aca="0">Q12+P13</x:f>
        <x:v>234324.5357745727</x:v>
      </x:c>
      <x:c r="R13" s="75" t="n">
        <x:f aca="0">IF(S08_Defaults!$B$14=0,0,P13/S08_Defaults!$B$14)</x:f>
        <x:v>25.013937309926803</x:v>
      </x:c>
      <x:c r="S13" s="1" t="s">
        <x:v>149</x:v>
      </x:c>
    </x:row>
    <x:row r="14" ht="21" hidden="0" customHeight="1">
      <x:c r="A14" s="1" t="n">
        <x:v>2028</x:v>
      </x:c>
      <x:c r="B14" s="49" t="n">
        <x:f aca="0">SUM(S21_Deserts_Xeric_Fruit!B28,S22_Deserts_Xeric_Horti!B28,S23_Deserts_Xeric_Timber!B28,S24_Deserts_Xeric_Mixed!B28,S25_Moist_Broadleaf_Fruit!B28,S26_Moist_Broadleaf_Horti!B28,S27_Moist_Broadleaf_Timber!B28,S28_Moist_Broadleaf_Mixed!B28,S29_Dry_Broadleaf_Fruit!B28,S30_Dry_Broadleaf_Horti!B28,S31_Dry_Broadleaf_Timber!B28,S32_Dry_Broadleaf_Mixed!B28)</x:f>
        <x:v>693838.3959845038</x:v>
      </x:c>
      <x:c r="C14" s="49" t="n">
        <x:f aca="0">SUM(S21_Deserts_Xeric_Fruit!C28,S22_Deserts_Xeric_Horti!C28,S23_Deserts_Xeric_Timber!C28,S24_Deserts_Xeric_Mixed!C28,S25_Moist_Broadleaf_Fruit!C28,S26_Moist_Broadleaf_Horti!C28,S27_Moist_Broadleaf_Timber!C28,S28_Moist_Broadleaf_Mixed!C28,S29_Dry_Broadleaf_Fruit!C28,S30_Dry_Broadleaf_Horti!C28,S31_Dry_Broadleaf_Timber!C28,S32_Dry_Broadleaf_Mixed!C28)</x:f>
        <x:v>563477.1157893491</x:v>
      </x:c>
      <x:c r="D14" s="70" t="n">
        <x:f aca="0">S33_Project_Deductions!H12</x:f>
        <x:v>5612.863594208937</x:v>
      </x:c>
      <x:c r="E14" s="70" t="n">
        <x:f aca="0">S33_Project_Deductions!I12</x:f>
        <x:v>0</x:v>
      </x:c>
      <x:c r="F14" s="70" t="n">
        <x:f aca="0">S33_Project_Deductions!B12</x:f>
        <x:v>5612.863594208937</x:v>
      </x:c>
      <x:c r="G14" s="71" t="n">
        <x:f aca="0">S33_Project_Deductions!D12</x:f>
        <x:v>39117.33696621807</x:v>
      </x:c>
      <x:c r="H14" s="71" t="n">
        <x:f aca="0">S33_Project_Deductions!C12</x:f>
        <x:v>0</x:v>
      </x:c>
      <x:c r="I14" s="71" t="n">
        <x:f aca="0">S33_Project_Deductions!E12</x:f>
        <x:v>20990.32404640868</x:v>
      </x:c>
      <x:c r="J14" s="72" t="n">
        <x:f aca="0">S08_Defaults!$B$9</x:f>
        <x:v>0.2</x:v>
      </x:c>
      <x:c r="K14" s="49" t="n">
        <x:f aca="0">SUM(S21_Deserts_Xeric_Fruit!G28,S22_Deserts_Xeric_Horti!G28,S23_Deserts_Xeric_Timber!G28,S24_Deserts_Xeric_Mixed!G28,S25_Moist_Broadleaf_Fruit!G28,S26_Moist_Broadleaf_Horti!G28,S27_Moist_Broadleaf_Timber!G28,S28_Moist_Broadleaf_Mixed!G28,S29_Dry_Broadleaf_Fruit!G28,S30_Dry_Broadleaf_Horti!G28,S31_Dry_Broadleaf_Timber!G28,S32_Dry_Broadleaf_Mixed!G28)</x:f>
        <x:v>390674.03161885246</x:v>
      </x:c>
      <x:c r="L14" s="49" t="n">
        <x:f aca="0">SUM(S21_Deserts_Xeric_Fruit!H28,S22_Deserts_Xeric_Horti!H28,S23_Deserts_Xeric_Timber!H28,S24_Deserts_Xeric_Mixed!H28,S25_Moist_Broadleaf_Fruit!H28,S26_Moist_Broadleaf_Horti!H28,S27_Moist_Broadleaf_Timber!H28,S28_Moist_Broadleaf_Mixed!H28,S29_Dry_Broadleaf_Fruit!H28,S30_Dry_Broadleaf_Horti!H28,S31_Dry_Broadleaf_Timber!H28,S32_Dry_Broadleaf_Mixed!H28)</x:f>
        <x:v>100737.61678004637</x:v>
      </x:c>
      <x:c r="M14" s="49" t="n">
        <x:f aca="0">MAX(0,MIN(S21_Deserts_Xeric_Fruit!G28,S21_Deserts_Xeric_Fruit!$B$8))+MAX(0,MIN(S22_Deserts_Xeric_Horti!G28,S22_Deserts_Xeric_Horti!$B$8))+MAX(0,MIN(S23_Deserts_Xeric_Timber!G28,S23_Deserts_Xeric_Timber!$B$8))+MAX(0,MIN(S24_Deserts_Xeric_Mixed!G28,S24_Deserts_Xeric_Mixed!$B$8))+MAX(0,MIN(S25_Moist_Broadleaf_Fruit!G28,S25_Moist_Broadleaf_Fruit!$B$8))+MAX(0,MIN(S26_Moist_Broadleaf_Horti!G28,S26_Moist_Broadleaf_Horti!$B$8))+MAX(0,MIN(S27_Moist_Broadleaf_Timber!G28,S27_Moist_Broadleaf_Timber!$B$8))+MAX(0,MIN(S28_Moist_Broadleaf_Mixed!G28,S28_Moist_Broadleaf_Mixed!$B$8))+MAX(0,MIN(S29_Dry_Broadleaf_Fruit!G28,S29_Dry_Broadleaf_Fruit!$B$8))+MAX(0,MIN(S30_Dry_Broadleaf_Horti!G28,S30_Dry_Broadleaf_Horti!$B$8))+MAX(0,MIN(S31_Dry_Broadleaf_Timber!G28,S31_Dry_Broadleaf_Timber!$B$8))+MAX(0,MIN(S32_Dry_Broadleaf_Mixed!G28,S32_Dry_Broadleaf_Mixed!$B$8))</x:f>
        <x:v>392097.3443460557</x:v>
      </x:c>
      <x:c r="N14" s="49" t="n">
        <x:f aca="0">MAX(0,M14-M13)</x:f>
        <x:v>99191.67462783982</x:v>
      </x:c>
      <x:c r="O14" s="49" t="n">
        <x:f aca="0">N14*S08_Defaults!$B$10</x:f>
        <x:v>19838.334925567964</x:v>
      </x:c>
      <x:c r="P14" s="73" t="n">
        <x:f aca="0">MAX(0,N14-O14)</x:f>
        <x:v>79353.33970227186</x:v>
      </x:c>
      <x:c r="Q14" s="74" t="n">
        <x:f aca="0">Q13+P14</x:f>
        <x:v>313677.87547684455</x:v>
      </x:c>
      <x:c r="R14" s="75" t="n">
        <x:f aca="0">IF(S08_Defaults!$B$14=0,0,P14/S08_Defaults!$B$14)</x:f>
        <x:v>27.825717269248937</x:v>
      </x:c>
      <x:c r="S14" s="1" t="s">
        <x:v>149</x:v>
      </x:c>
    </x:row>
    <x:row r="15" ht="21" hidden="0" customHeight="1">
      <x:c r="A15" s="1" t="n">
        <x:v>2029</x:v>
      </x:c>
      <x:c r="B15" s="49" t="n">
        <x:f aca="0">SUM(S21_Deserts_Xeric_Fruit!B29,S22_Deserts_Xeric_Horti!B29,S23_Deserts_Xeric_Timber!B29,S24_Deserts_Xeric_Mixed!B29,S25_Moist_Broadleaf_Fruit!B29,S26_Moist_Broadleaf_Horti!B29,S27_Moist_Broadleaf_Timber!B29,S28_Moist_Broadleaf_Mixed!B29,S29_Dry_Broadleaf_Fruit!B29,S30_Dry_Broadleaf_Horti!B29,S31_Dry_Broadleaf_Timber!B29,S32_Dry_Broadleaf_Mixed!B29)</x:f>
        <x:v>861122.1215392523</x:v>
      </x:c>
      <x:c r="C15" s="49" t="n">
        <x:f aca="0">SUM(S21_Deserts_Xeric_Fruit!C29,S22_Deserts_Xeric_Horti!C29,S23_Deserts_Xeric_Timber!C29,S24_Deserts_Xeric_Mixed!C29,S25_Moist_Broadleaf_Fruit!C29,S26_Moist_Broadleaf_Horti!C29,S27_Moist_Broadleaf_Timber!C29,S28_Moist_Broadleaf_Mixed!C29,S29_Dry_Broadleaf_Fruit!C29,S30_Dry_Broadleaf_Horti!C29,S31_Dry_Broadleaf_Timber!C29,S32_Dry_Broadleaf_Mixed!C29)</x:f>
        <x:v>699635.4077058065</x:v>
      </x:c>
      <x:c r="D15" s="70" t="n">
        <x:f aca="0">S33_Project_Deductions!H13</x:f>
        <x:v>5612.863594208937</x:v>
      </x:c>
      <x:c r="E15" s="70" t="n">
        <x:f aca="0">S33_Project_Deductions!I13</x:f>
        <x:v>0</x:v>
      </x:c>
      <x:c r="F15" s="70" t="n">
        <x:f aca="0">S33_Project_Deductions!B13</x:f>
        <x:v>5612.863594208937</x:v>
      </x:c>
      <x:c r="G15" s="71" t="n">
        <x:f aca="0">S33_Project_Deductions!D13</x:f>
        <x:v>44730.20056042701</x:v>
      </x:c>
      <x:c r="H15" s="71" t="n">
        <x:f aca="0">S33_Project_Deductions!C13</x:f>
        <x:v>0</x:v>
      </x:c>
      <x:c r="I15" s="71" t="n">
        <x:f aca="0">S33_Project_Deductions!E13</x:f>
        <x:v>20990.32404640868</x:v>
      </x:c>
      <x:c r="J15" s="72" t="n">
        <x:f aca="0">S08_Defaults!$B$9</x:f>
        <x:v>0.2</x:v>
      </x:c>
      <x:c r="K15" s="49" t="n">
        <x:f aca="0">SUM(S21_Deserts_Xeric_Fruit!G29,S22_Deserts_Xeric_Horti!G29,S23_Deserts_Xeric_Timber!G29,S24_Deserts_Xeric_Mixed!G29,S25_Moist_Broadleaf_Fruit!G29,S26_Moist_Broadleaf_Horti!G29,S27_Moist_Broadleaf_Timber!G29,S28_Moist_Broadleaf_Mixed!G29,S29_Dry_Broadleaf_Fruit!G29,S30_Dry_Broadleaf_Horti!G29,S31_Dry_Broadleaf_Timber!G29,S32_Dry_Broadleaf_Mixed!G29)</x:f>
        <x:v>493987.8015578096</x:v>
      </x:c>
      <x:c r="L15" s="49" t="n">
        <x:f aca="0">SUM(S21_Deserts_Xeric_Fruit!H29,S22_Deserts_Xeric_Horti!H29,S23_Deserts_Xeric_Timber!H29,S24_Deserts_Xeric_Mixed!H29,S25_Moist_Broadleaf_Fruit!H29,S26_Moist_Broadleaf_Horti!H29,S27_Moist_Broadleaf_Timber!H29,S28_Moist_Broadleaf_Mixed!H29,S29_Dry_Broadleaf_Fruit!H29,S30_Dry_Broadleaf_Horti!H29,S31_Dry_Broadleaf_Timber!H29,S32_Dry_Broadleaf_Mixed!H29)</x:f>
        <x:v>103313.76993895718</x:v>
      </x:c>
      <x:c r="M15" s="49" t="n">
        <x:f aca="0">MAX(0,MIN(S21_Deserts_Xeric_Fruit!G29,S21_Deserts_Xeric_Fruit!$B$8))+MAX(0,MIN(S22_Deserts_Xeric_Horti!G29,S22_Deserts_Xeric_Horti!$B$8))+MAX(0,MIN(S23_Deserts_Xeric_Timber!G29,S23_Deserts_Xeric_Timber!$B$8))+MAX(0,MIN(S24_Deserts_Xeric_Mixed!G29,S24_Deserts_Xeric_Mixed!$B$8))+MAX(0,MIN(S25_Moist_Broadleaf_Fruit!G29,S25_Moist_Broadleaf_Fruit!$B$8))+MAX(0,MIN(S26_Moist_Broadleaf_Horti!G29,S26_Moist_Broadleaf_Horti!$B$8))+MAX(0,MIN(S27_Moist_Broadleaf_Timber!G29,S27_Moist_Broadleaf_Timber!$B$8))+MAX(0,MIN(S28_Moist_Broadleaf_Mixed!G29,S28_Moist_Broadleaf_Mixed!$B$8))+MAX(0,MIN(S29_Dry_Broadleaf_Fruit!G29,S29_Dry_Broadleaf_Fruit!$B$8))+MAX(0,MIN(S30_Dry_Broadleaf_Horti!G29,S30_Dry_Broadleaf_Horti!$B$8))+MAX(0,MIN(S31_Dry_Broadleaf_Timber!G29,S31_Dry_Broadleaf_Timber!$B$8))+MAX(0,MIN(S32_Dry_Broadleaf_Mixed!G29,S32_Dry_Broadleaf_Mixed!$B$8))</x:f>
        <x:v>494102.2212738591</x:v>
      </x:c>
      <x:c r="N15" s="49" t="n">
        <x:f aca="0">MAX(0,M15-M14)</x:f>
        <x:v>102004.87692780339</x:v>
      </x:c>
      <x:c r="O15" s="49" t="n">
        <x:f aca="0">N15*S08_Defaults!$B$10</x:f>
        <x:v>20400.97538556068</x:v>
      </x:c>
      <x:c r="P15" s="73" t="n">
        <x:f aca="0">MAX(0,N15-O15)</x:f>
        <x:v>81603.9015422427</x:v>
      </x:c>
      <x:c r="Q15" s="74" t="n">
        <x:f aca="0">Q14+P15</x:f>
        <x:v>395281.7770190872</x:v>
      </x:c>
      <x:c r="R15" s="75" t="n">
        <x:f aca="0">IF(S08_Defaults!$B$14=0,0,P15/S08_Defaults!$B$14)</x:f>
        <x:v>28.614890071439095</x:v>
      </x:c>
      <x:c r="S15" s="1" t="s">
        <x:v>149</x:v>
      </x:c>
    </x:row>
    <x:row r="16" ht="21" hidden="0" customHeight="1">
      <x:c r="A16" s="1" t="n">
        <x:v>2030</x:v>
      </x:c>
      <x:c r="B16" s="49" t="n">
        <x:f aca="0">SUM(S21_Deserts_Xeric_Fruit!B30,S22_Deserts_Xeric_Horti!B30,S23_Deserts_Xeric_Timber!B30,S24_Deserts_Xeric_Mixed!B30,S25_Moist_Broadleaf_Fruit!B30,S26_Moist_Broadleaf_Horti!B30,S27_Moist_Broadleaf_Timber!B30,S28_Moist_Broadleaf_Mixed!B30,S29_Dry_Broadleaf_Fruit!B30,S30_Dry_Broadleaf_Horti!B30,S31_Dry_Broadleaf_Timber!B30,S32_Dry_Broadleaf_Mixed!B30)</x:f>
        <x:v>1026739.8184681323</x:v>
      </x:c>
      <x:c r="C16" s="49" t="n">
        <x:f aca="0">SUM(S21_Deserts_Xeric_Fruit!C30,S22_Deserts_Xeric_Horti!C30,S23_Deserts_Xeric_Timber!C30,S24_Deserts_Xeric_Mixed!C30,S25_Moist_Broadleaf_Fruit!C30,S26_Moist_Broadleaf_Horti!C30,S27_Moist_Broadleaf_Timber!C30,S28_Moist_Broadleaf_Mixed!C30,S29_Dry_Broadleaf_Fruit!C30,S30_Dry_Broadleaf_Horti!C30,S31_Dry_Broadleaf_Timber!C30,S32_Dry_Broadleaf_Mixed!C30)</x:f>
        <x:v>834495.3060394719</x:v>
      </x:c>
      <x:c r="D16" s="70" t="n">
        <x:f aca="0">S33_Project_Deductions!H14</x:f>
        <x:v>5612.863594208937</x:v>
      </x:c>
      <x:c r="E16" s="70" t="n">
        <x:f aca="0">S33_Project_Deductions!I14</x:f>
        <x:v>0</x:v>
      </x:c>
      <x:c r="F16" s="70" t="n">
        <x:f aca="0">S33_Project_Deductions!B14</x:f>
        <x:v>5612.863594208937</x:v>
      </x:c>
      <x:c r="G16" s="71" t="n">
        <x:f aca="0">S33_Project_Deductions!D14</x:f>
        <x:v>50343.06415463595</x:v>
      </x:c>
      <x:c r="H16" s="71" t="n">
        <x:f aca="0">S33_Project_Deductions!C14</x:f>
        <x:v>0</x:v>
      </x:c>
      <x:c r="I16" s="71" t="n">
        <x:f aca="0">S33_Project_Deductions!E14</x:f>
        <x:v>20990.32404640868</x:v>
      </x:c>
      <x:c r="J16" s="72" t="n">
        <x:f aca="0">S08_Defaults!$B$9</x:f>
        <x:v>0.2</x:v>
      </x:c>
      <x:c r="K16" s="49" t="n">
        <x:f aca="0">SUM(S21_Deserts_Xeric_Fruit!G30,S22_Deserts_Xeric_Horti!G30,S23_Deserts_Xeric_Timber!G30,S24_Deserts_Xeric_Mixed!G30,S25_Moist_Broadleaf_Fruit!G30,S26_Moist_Broadleaf_Horti!G30,S27_Moist_Broadleaf_Timber!G30,S28_Moist_Broadleaf_Mixed!G30,S29_Dry_Broadleaf_Fruit!G30,S30_Dry_Broadleaf_Horti!G30,S31_Dry_Broadleaf_Timber!G30,S32_Dry_Broadleaf_Mixed!G30)</x:f>
        <x:v>596262.8566305329</x:v>
      </x:c>
      <x:c r="L16" s="49" t="n">
        <x:f aca="0">SUM(S21_Deserts_Xeric_Fruit!H30,S22_Deserts_Xeric_Horti!H30,S23_Deserts_Xeric_Timber!H30,S24_Deserts_Xeric_Mixed!H30,S25_Moist_Broadleaf_Fruit!H30,S26_Moist_Broadleaf_Horti!H30,S27_Moist_Broadleaf_Timber!H30,S28_Moist_Broadleaf_Mixed!H30,S29_Dry_Broadleaf_Fruit!H30,S30_Dry_Broadleaf_Horti!H30,S31_Dry_Broadleaf_Timber!H30,S32_Dry_Broadleaf_Mixed!H30)</x:f>
        <x:v>102275.05507272326</x:v>
      </x:c>
      <x:c r="M16" s="49" t="n">
        <x:f aca="0">MAX(0,MIN(S21_Deserts_Xeric_Fruit!G30,S21_Deserts_Xeric_Fruit!$B$8))+MAX(0,MIN(S22_Deserts_Xeric_Horti!G30,S22_Deserts_Xeric_Horti!$B$8))+MAX(0,MIN(S23_Deserts_Xeric_Timber!G30,S23_Deserts_Xeric_Timber!$B$8))+MAX(0,MIN(S24_Deserts_Xeric_Mixed!G30,S24_Deserts_Xeric_Mixed!$B$8))+MAX(0,MIN(S25_Moist_Broadleaf_Fruit!G30,S25_Moist_Broadleaf_Fruit!$B$8))+MAX(0,MIN(S26_Moist_Broadleaf_Horti!G30,S26_Moist_Broadleaf_Horti!$B$8))+MAX(0,MIN(S27_Moist_Broadleaf_Timber!G30,S27_Moist_Broadleaf_Timber!$B$8))+MAX(0,MIN(S28_Moist_Broadleaf_Mixed!G30,S28_Moist_Broadleaf_Mixed!$B$8))+MAX(0,MIN(S29_Dry_Broadleaf_Fruit!G30,S29_Dry_Broadleaf_Fruit!$B$8))+MAX(0,MIN(S30_Dry_Broadleaf_Horti!G30,S30_Dry_Broadleaf_Horti!$B$8))+MAX(0,MIN(S31_Dry_Broadleaf_Timber!G30,S31_Dry_Broadleaf_Timber!$B$8))+MAX(0,MIN(S32_Dry_Broadleaf_Mixed!G30,S32_Dry_Broadleaf_Mixed!$B$8))</x:f>
        <x:v>596262.8566305329</x:v>
      </x:c>
      <x:c r="N16" s="49" t="n">
        <x:f aca="0">MAX(0,M16-M15)</x:f>
        <x:v>102160.6353566738</x:v>
      </x:c>
      <x:c r="O16" s="49" t="n">
        <x:f aca="0">N16*S08_Defaults!$B$10</x:f>
        <x:v>20432.127071334762</x:v>
      </x:c>
      <x:c r="P16" s="73" t="n">
        <x:f aca="0">MAX(0,N16-O16)</x:f>
        <x:v>81728.50828533903</x:v>
      </x:c>
      <x:c r="Q16" s="74" t="n">
        <x:f aca="0">Q15+P16</x:f>
        <x:v>477010.2853044263</x:v>
      </x:c>
      <x:c r="R16" s="75" t="n">
        <x:f aca="0">IF(S08_Defaults!$B$14=0,0,P16/S08_Defaults!$B$14)</x:f>
        <x:v>28.658584161898922</x:v>
      </x:c>
      <x:c r="S16" s="1" t="s">
        <x:v>149</x:v>
      </x:c>
    </x:row>
    <x:row r="17" ht="21" hidden="0" customHeight="1">
      <x:c r="A17" s="1" t="n">
        <x:v>2031</x:v>
      </x:c>
      <x:c r="B17" s="49" t="n">
        <x:f aca="0">SUM(S21_Deserts_Xeric_Fruit!B31,S22_Deserts_Xeric_Horti!B31,S23_Deserts_Xeric_Timber!B31,S24_Deserts_Xeric_Mixed!B31,S25_Moist_Broadleaf_Fruit!B31,S26_Moist_Broadleaf_Horti!B31,S27_Moist_Broadleaf_Timber!B31,S28_Moist_Broadleaf_Mixed!B31,S29_Dry_Broadleaf_Fruit!B31,S30_Dry_Broadleaf_Horti!B31,S31_Dry_Broadleaf_Timber!B31,S32_Dry_Broadleaf_Mixed!B31)</x:f>
        <x:v>1186578.405200374</x:v>
      </x:c>
      <x:c r="C17" s="49" t="n">
        <x:f aca="0">SUM(S21_Deserts_Xeric_Fruit!C31,S22_Deserts_Xeric_Horti!C31,S23_Deserts_Xeric_Timber!C31,S24_Deserts_Xeric_Mixed!C31,S25_Moist_Broadleaf_Fruit!C31,S26_Moist_Broadleaf_Horti!C31,S27_Moist_Broadleaf_Timber!C31,S28_Moist_Broadleaf_Mixed!C31,S29_Dry_Broadleaf_Fruit!C31,S30_Dry_Broadleaf_Horti!C31,S31_Dry_Broadleaf_Timber!C31,S32_Dry_Broadleaf_Mixed!C31)</x:f>
        <x:v>964695.2763339588</x:v>
      </x:c>
      <x:c r="D17" s="70" t="n">
        <x:f aca="0">S33_Project_Deductions!H15</x:f>
        <x:v>5612.863594208937</x:v>
      </x:c>
      <x:c r="E17" s="70" t="n">
        <x:f aca="0">S33_Project_Deductions!I15</x:f>
        <x:v>0</x:v>
      </x:c>
      <x:c r="F17" s="70" t="n">
        <x:f aca="0">S33_Project_Deductions!B15</x:f>
        <x:v>5612.863594208937</x:v>
      </x:c>
      <x:c r="G17" s="71" t="n">
        <x:f aca="0">S33_Project_Deductions!D15</x:f>
        <x:v>55955.927748844886</x:v>
      </x:c>
      <x:c r="H17" s="71" t="n">
        <x:f aca="0">S33_Project_Deductions!C15</x:f>
        <x:v>0</x:v>
      </x:c>
      <x:c r="I17" s="71" t="n">
        <x:f aca="0">S33_Project_Deductions!E15</x:f>
        <x:v>20990.32404640868</x:v>
      </x:c>
      <x:c r="J17" s="72" t="n">
        <x:f aca="0">S08_Defaults!$B$9</x:f>
        <x:v>0.2</x:v>
      </x:c>
      <x:c r="K17" s="49" t="n">
        <x:f aca="0">SUM(S21_Deserts_Xeric_Fruit!G31,S22_Deserts_Xeric_Horti!G31,S23_Deserts_Xeric_Timber!G31,S24_Deserts_Xeric_Mixed!G31,S25_Moist_Broadleaf_Fruit!G31,S26_Moist_Broadleaf_Horti!G31,S27_Moist_Broadleaf_Timber!G31,S28_Moist_Broadleaf_Mixed!G31,S29_Dry_Broadleaf_Fruit!G31,S30_Dry_Broadleaf_Horti!G31,S31_Dry_Broadleaf_Timber!G31,S32_Dry_Broadleaf_Mixed!G31)</x:f>
        <x:v>694809.9692719134</x:v>
      </x:c>
      <x:c r="L17" s="49" t="n">
        <x:f aca="0">SUM(S21_Deserts_Xeric_Fruit!H31,S22_Deserts_Xeric_Horti!H31,S23_Deserts_Xeric_Timber!H31,S24_Deserts_Xeric_Mixed!H31,S25_Moist_Broadleaf_Fruit!H31,S26_Moist_Broadleaf_Horti!H31,S27_Moist_Broadleaf_Timber!H31,S28_Moist_Broadleaf_Mixed!H31,S29_Dry_Broadleaf_Fruit!H31,S30_Dry_Broadleaf_Horti!H31,S31_Dry_Broadleaf_Timber!H31,S32_Dry_Broadleaf_Mixed!H31)</x:f>
        <x:v>98547.11264138059</x:v>
      </x:c>
      <x:c r="M17" s="49" t="n">
        <x:f aca="0">MAX(0,MIN(S21_Deserts_Xeric_Fruit!G31,S21_Deserts_Xeric_Fruit!$B$8))+MAX(0,MIN(S22_Deserts_Xeric_Horti!G31,S22_Deserts_Xeric_Horti!$B$8))+MAX(0,MIN(S23_Deserts_Xeric_Timber!G31,S23_Deserts_Xeric_Timber!$B$8))+MAX(0,MIN(S24_Deserts_Xeric_Mixed!G31,S24_Deserts_Xeric_Mixed!$B$8))+MAX(0,MIN(S25_Moist_Broadleaf_Fruit!G31,S25_Moist_Broadleaf_Fruit!$B$8))+MAX(0,MIN(S26_Moist_Broadleaf_Horti!G31,S26_Moist_Broadleaf_Horti!$B$8))+MAX(0,MIN(S27_Moist_Broadleaf_Timber!G31,S27_Moist_Broadleaf_Timber!$B$8))+MAX(0,MIN(S28_Moist_Broadleaf_Mixed!G31,S28_Moist_Broadleaf_Mixed!$B$8))+MAX(0,MIN(S29_Dry_Broadleaf_Fruit!G31,S29_Dry_Broadleaf_Fruit!$B$8))+MAX(0,MIN(S30_Dry_Broadleaf_Horti!G31,S30_Dry_Broadleaf_Horti!$B$8))+MAX(0,MIN(S31_Dry_Broadleaf_Timber!G31,S31_Dry_Broadleaf_Timber!$B$8))+MAX(0,MIN(S32_Dry_Broadleaf_Mixed!G31,S32_Dry_Broadleaf_Mixed!$B$8))</x:f>
        <x:v>694809.9692719134</x:v>
      </x:c>
      <x:c r="N17" s="49" t="n">
        <x:f aca="0">MAX(0,M17-M16)</x:f>
        <x:v>98547.11264138052</x:v>
      </x:c>
      <x:c r="O17" s="49" t="n">
        <x:f aca="0">N17*S08_Defaults!$B$10</x:f>
        <x:v>19709.422528276104</x:v>
      </x:c>
      <x:c r="P17" s="73" t="n">
        <x:f aca="0">MAX(0,N17-O17)</x:f>
        <x:v>78837.69011310441</x:v>
      </x:c>
      <x:c r="Q17" s="74" t="n">
        <x:f aca="0">Q16+P17</x:f>
        <x:v>555847.9754175306</x:v>
      </x:c>
      <x:c r="R17" s="75" t="n">
        <x:f aca="0">IF(S08_Defaults!$B$14=0,0,P17/S08_Defaults!$B$14)</x:f>
        <x:v>27.644901695109127</x:v>
      </x:c>
      <x:c r="S17" s="1" t="s">
        <x:v>149</x:v>
      </x:c>
    </x:row>
    <x:row r="18" ht="21" hidden="0" customHeight="1">
      <x:c r="A18" s="1" t="n">
        <x:v>2032</x:v>
      </x:c>
      <x:c r="B18" s="49" t="n">
        <x:f aca="0">SUM(S21_Deserts_Xeric_Fruit!B32,S22_Deserts_Xeric_Horti!B32,S23_Deserts_Xeric_Timber!B32,S24_Deserts_Xeric_Mixed!B32,S25_Moist_Broadleaf_Fruit!B32,S26_Moist_Broadleaf_Horti!B32,S27_Moist_Broadleaf_Timber!B32,S28_Moist_Broadleaf_Mixed!B32,S29_Dry_Broadleaf_Fruit!B32,S30_Dry_Broadleaf_Horti!B32,S31_Dry_Broadleaf_Timber!B32,S32_Dry_Broadleaf_Mixed!B32)</x:f>
        <x:v>1337814.6860570905</x:v>
      </x:c>
      <x:c r="C18" s="49" t="n">
        <x:f aca="0">SUM(S21_Deserts_Xeric_Fruit!C32,S22_Deserts_Xeric_Horti!C32,S23_Deserts_Xeric_Timber!C32,S24_Deserts_Xeric_Mixed!C32,S25_Moist_Broadleaf_Fruit!C32,S26_Moist_Broadleaf_Horti!C32,S27_Moist_Broadleaf_Timber!C32,S28_Moist_Broadleaf_Mixed!C32,S29_Dry_Broadleaf_Fruit!C32,S30_Dry_Broadleaf_Horti!C32,S31_Dry_Broadleaf_Timber!C32,S32_Dry_Broadleaf_Mixed!C32)</x:f>
        <x:v>1087924.4730775938</x:v>
      </x:c>
      <x:c r="D18" s="70" t="n">
        <x:f aca="0">S33_Project_Deductions!H16</x:f>
        <x:v>5612.863594208937</x:v>
      </x:c>
      <x:c r="E18" s="70" t="n">
        <x:f aca="0">S33_Project_Deductions!I16</x:f>
        <x:v>0</x:v>
      </x:c>
      <x:c r="F18" s="70" t="n">
        <x:f aca="0">S33_Project_Deductions!B16</x:f>
        <x:v>5612.863594208937</x:v>
      </x:c>
      <x:c r="G18" s="71" t="n">
        <x:f aca="0">S33_Project_Deductions!D16</x:f>
        <x:v>61568.791343053825</x:v>
      </x:c>
      <x:c r="H18" s="71" t="n">
        <x:f aca="0">S33_Project_Deductions!C16</x:f>
        <x:v>0</x:v>
      </x:c>
      <x:c r="I18" s="71" t="n">
        <x:f aca="0">S33_Project_Deductions!E16</x:f>
        <x:v>20990.32404640868</x:v>
      </x:c>
      <x:c r="J18" s="72" t="n">
        <x:f aca="0">S08_Defaults!$B$9</x:f>
        <x:v>0.2</x:v>
      </x:c>
      <x:c r="K18" s="49" t="n">
        <x:f aca="0">SUM(S21_Deserts_Xeric_Fruit!G32,S22_Deserts_Xeric_Horti!G32,S23_Deserts_Xeric_Timber!G32,S24_Deserts_Xeric_Mixed!G32,S25_Moist_Broadleaf_Fruit!G32,S26_Moist_Broadleaf_Horti!G32,S27_Moist_Broadleaf_Timber!G32,S28_Moist_Broadleaf_Mixed!G32,S29_Dry_Broadleaf_Fruit!G32,S30_Dry_Broadleaf_Horti!G32,S31_Dry_Broadleaf_Timber!G32,S32_Dry_Broadleaf_Mixed!G32)</x:f>
        <x:v>787780.4630726126</x:v>
      </x:c>
      <x:c r="L18" s="49" t="n">
        <x:f aca="0">SUM(S21_Deserts_Xeric_Fruit!H32,S22_Deserts_Xeric_Horti!H32,S23_Deserts_Xeric_Timber!H32,S24_Deserts_Xeric_Mixed!H32,S25_Moist_Broadleaf_Fruit!H32,S26_Moist_Broadleaf_Horti!H32,S27_Moist_Broadleaf_Timber!H32,S28_Moist_Broadleaf_Mixed!H32,S29_Dry_Broadleaf_Fruit!H32,S30_Dry_Broadleaf_Horti!H32,S31_Dry_Broadleaf_Timber!H32,S32_Dry_Broadleaf_Mixed!H32)</x:f>
        <x:v>92970.4938006992</x:v>
      </x:c>
      <x:c r="M18" s="49" t="n">
        <x:f aca="0">MAX(0,MIN(S21_Deserts_Xeric_Fruit!G32,S21_Deserts_Xeric_Fruit!$B$8))+MAX(0,MIN(S22_Deserts_Xeric_Horti!G32,S22_Deserts_Xeric_Horti!$B$8))+MAX(0,MIN(S23_Deserts_Xeric_Timber!G32,S23_Deserts_Xeric_Timber!$B$8))+MAX(0,MIN(S24_Deserts_Xeric_Mixed!G32,S24_Deserts_Xeric_Mixed!$B$8))+MAX(0,MIN(S25_Moist_Broadleaf_Fruit!G32,S25_Moist_Broadleaf_Fruit!$B$8))+MAX(0,MIN(S26_Moist_Broadleaf_Horti!G32,S26_Moist_Broadleaf_Horti!$B$8))+MAX(0,MIN(S27_Moist_Broadleaf_Timber!G32,S27_Moist_Broadleaf_Timber!$B$8))+MAX(0,MIN(S28_Moist_Broadleaf_Mixed!G32,S28_Moist_Broadleaf_Mixed!$B$8))+MAX(0,MIN(S29_Dry_Broadleaf_Fruit!G32,S29_Dry_Broadleaf_Fruit!$B$8))+MAX(0,MIN(S30_Dry_Broadleaf_Horti!G32,S30_Dry_Broadleaf_Horti!$B$8))+MAX(0,MIN(S31_Dry_Broadleaf_Timber!G32,S31_Dry_Broadleaf_Timber!$B$8))+MAX(0,MIN(S32_Dry_Broadleaf_Mixed!G32,S32_Dry_Broadleaf_Mixed!$B$8))</x:f>
        <x:v>787780.4630726126</x:v>
      </x:c>
      <x:c r="N18" s="49" t="n">
        <x:f aca="0">MAX(0,M18-M17)</x:f>
        <x:v>92970.49380069925</x:v>
      </x:c>
      <x:c r="O18" s="49" t="n">
        <x:f aca="0">N18*S08_Defaults!$B$10</x:f>
        <x:v>18594.09876013985</x:v>
      </x:c>
      <x:c r="P18" s="73" t="n">
        <x:f aca="0">MAX(0,N18-O18)</x:f>
        <x:v>74376.3950405594</x:v>
      </x:c>
      <x:c r="Q18" s="74" t="n">
        <x:f aca="0">Q17+P18</x:f>
        <x:v>630224.37045809</x:v>
      </x:c>
      <x:c r="R18" s="75" t="n">
        <x:f aca="0">IF(S08_Defaults!$B$14=0,0,P18/S08_Defaults!$B$14)</x:f>
        <x:v>26.0805222271612</x:v>
      </x:c>
      <x:c r="S18" s="1" t="s">
        <x:v>149</x:v>
      </x:c>
    </x:row>
    <x:row r="19" ht="21" hidden="0" customHeight="1">
      <x:c r="A19" s="1" t="n">
        <x:v>2033</x:v>
      </x:c>
      <x:c r="B19" s="49" t="n">
        <x:f aca="0">SUM(S21_Deserts_Xeric_Fruit!B33,S22_Deserts_Xeric_Horti!B33,S23_Deserts_Xeric_Timber!B33,S24_Deserts_Xeric_Mixed!B33,S25_Moist_Broadleaf_Fruit!B33,S26_Moist_Broadleaf_Horti!B33,S27_Moist_Broadleaf_Timber!B33,S28_Moist_Broadleaf_Mixed!B33,S29_Dry_Broadleaf_Fruit!B33,S30_Dry_Broadleaf_Horti!B33,S31_Dry_Broadleaf_Timber!B33,S32_Dry_Broadleaf_Mixed!B33)</x:f>
        <x:v>1478699.3435410024</x:v>
      </x:c>
      <x:c r="C19" s="49" t="n">
        <x:f aca="0">SUM(S21_Deserts_Xeric_Fruit!C33,S22_Deserts_Xeric_Horti!C33,S23_Deserts_Xeric_Timber!C33,S24_Deserts_Xeric_Mixed!C33,S25_Moist_Broadleaf_Fruit!C33,S26_Moist_Broadleaf_Horti!C33,S27_Moist_Broadleaf_Timber!C33,S28_Moist_Broadleaf_Mixed!C33,S29_Dry_Broadleaf_Fruit!C33,S30_Dry_Broadleaf_Horti!C33,S31_Dry_Broadleaf_Timber!C33,S32_Dry_Broadleaf_Mixed!C33)</x:f>
        <x:v>1202747.948874856</x:v>
      </x:c>
      <x:c r="D19" s="70" t="n">
        <x:f aca="0">S33_Project_Deductions!H17</x:f>
        <x:v>5612.863594208937</x:v>
      </x:c>
      <x:c r="E19" s="70" t="n">
        <x:f aca="0">S33_Project_Deductions!I17</x:f>
        <x:v>0</x:v>
      </x:c>
      <x:c r="F19" s="70" t="n">
        <x:f aca="0">S33_Project_Deductions!B17</x:f>
        <x:v>5612.863594208937</x:v>
      </x:c>
      <x:c r="G19" s="71" t="n">
        <x:f aca="0">S33_Project_Deductions!D17</x:f>
        <x:v>67181.65493726276</x:v>
      </x:c>
      <x:c r="H19" s="71" t="n">
        <x:f aca="0">S33_Project_Deductions!C17</x:f>
        <x:v>0</x:v>
      </x:c>
      <x:c r="I19" s="71" t="n">
        <x:f aca="0">S33_Project_Deductions!E17</x:f>
        <x:v>20990.32404640868</x:v>
      </x:c>
      <x:c r="J19" s="72" t="n">
        <x:f aca="0">S08_Defaults!$B$9</x:f>
        <x:v>0.2</x:v>
      </x:c>
      <x:c r="K19" s="49" t="n">
        <x:f aca="0">SUM(S21_Deserts_Xeric_Fruit!G33,S22_Deserts_Xeric_Horti!G33,S23_Deserts_Xeric_Timber!G33,S24_Deserts_Xeric_Mixed!G33,S25_Moist_Broadleaf_Fruit!G33,S26_Moist_Broadleaf_Horti!G33,S27_Moist_Broadleaf_Timber!G33,S28_Moist_Broadleaf_Mixed!G33,S29_Dry_Broadleaf_Fruit!G33,S30_Dry_Broadleaf_Horti!G33,S31_Dry_Broadleaf_Timber!G33,S32_Dry_Broadleaf_Mixed!G33)</x:f>
        <x:v>874026.3801162137</x:v>
      </x:c>
      <x:c r="L19" s="49" t="n">
        <x:f aca="0">SUM(S21_Deserts_Xeric_Fruit!H33,S22_Deserts_Xeric_Horti!H33,S23_Deserts_Xeric_Timber!H33,S24_Deserts_Xeric_Mixed!H33,S25_Moist_Broadleaf_Fruit!H33,S26_Moist_Broadleaf_Horti!H33,S27_Moist_Broadleaf_Timber!H33,S28_Moist_Broadleaf_Mixed!H33,S29_Dry_Broadleaf_Fruit!H33,S30_Dry_Broadleaf_Horti!H33,S31_Dry_Broadleaf_Timber!H33,S32_Dry_Broadleaf_Mixed!H33)</x:f>
        <x:v>86245.91704360097</x:v>
      </x:c>
      <x:c r="M19" s="49" t="n">
        <x:f aca="0">MAX(0,MIN(S21_Deserts_Xeric_Fruit!G33,S21_Deserts_Xeric_Fruit!$B$8))+MAX(0,MIN(S22_Deserts_Xeric_Horti!G33,S22_Deserts_Xeric_Horti!$B$8))+MAX(0,MIN(S23_Deserts_Xeric_Timber!G33,S23_Deserts_Xeric_Timber!$B$8))+MAX(0,MIN(S24_Deserts_Xeric_Mixed!G33,S24_Deserts_Xeric_Mixed!$B$8))+MAX(0,MIN(S25_Moist_Broadleaf_Fruit!G33,S25_Moist_Broadleaf_Fruit!$B$8))+MAX(0,MIN(S26_Moist_Broadleaf_Horti!G33,S26_Moist_Broadleaf_Horti!$B$8))+MAX(0,MIN(S27_Moist_Broadleaf_Timber!G33,S27_Moist_Broadleaf_Timber!$B$8))+MAX(0,MIN(S28_Moist_Broadleaf_Mixed!G33,S28_Moist_Broadleaf_Mixed!$B$8))+MAX(0,MIN(S29_Dry_Broadleaf_Fruit!G33,S29_Dry_Broadleaf_Fruit!$B$8))+MAX(0,MIN(S30_Dry_Broadleaf_Horti!G33,S30_Dry_Broadleaf_Horti!$B$8))+MAX(0,MIN(S31_Dry_Broadleaf_Timber!G33,S31_Dry_Broadleaf_Timber!$B$8))+MAX(0,MIN(S32_Dry_Broadleaf_Mixed!G33,S32_Dry_Broadleaf_Mixed!$B$8))</x:f>
        <x:v>872327.0871990961</x:v>
      </x:c>
      <x:c r="N19" s="49" t="n">
        <x:f aca="0">MAX(0,M19-M18)</x:f>
        <x:v>84546.62412648345</x:v>
      </x:c>
      <x:c r="O19" s="49" t="n">
        <x:f aca="0">N19*S08_Defaults!$B$10</x:f>
        <x:v>16909.32482529669</x:v>
      </x:c>
      <x:c r="P19" s="73" t="n">
        <x:f aca="0">MAX(0,N19-O19)</x:f>
        <x:v>67637.29930118677</x:v>
      </x:c>
      <x:c r="Q19" s="74" t="n">
        <x:f aca="0">Q18+P19</x:f>
        <x:v>697861.6697592768</x:v>
      </x:c>
      <x:c r="R19" s="75" t="n">
        <x:f aca="0">IF(S08_Defaults!$B$14=0,0,P19/S08_Defaults!$B$14)</x:f>
        <x:v>23.717418501498926</x:v>
      </x:c>
      <x:c r="S19" s="1" t="s">
        <x:v>149</x:v>
      </x:c>
    </x:row>
    <x:row r="20" ht="21" hidden="0" customHeight="1">
      <x:c r="A20" s="1" t="n">
        <x:v>2034</x:v>
      </x:c>
      <x:c r="B20" s="49" t="n">
        <x:f aca="0">SUM(S21_Deserts_Xeric_Fruit!B34,S22_Deserts_Xeric_Horti!B34,S23_Deserts_Xeric_Timber!B34,S24_Deserts_Xeric_Mixed!B34,S25_Moist_Broadleaf_Fruit!B34,S26_Moist_Broadleaf_Horti!B34,S27_Moist_Broadleaf_Timber!B34,S28_Moist_Broadleaf_Mixed!B34,S29_Dry_Broadleaf_Fruit!B34,S30_Dry_Broadleaf_Horti!B34,S31_Dry_Broadleaf_Timber!B34,S32_Dry_Broadleaf_Mixed!B34)</x:f>
        <x:v>1608325.0625273234</x:v>
      </x:c>
      <x:c r="C20" s="49" t="n">
        <x:f aca="0">SUM(S21_Deserts_Xeric_Fruit!C34,S22_Deserts_Xeric_Horti!C34,S23_Deserts_Xeric_Timber!C34,S24_Deserts_Xeric_Mixed!C34,S25_Moist_Broadleaf_Fruit!C34,S26_Moist_Broadleaf_Horti!C34,S27_Moist_Broadleaf_Timber!C34,S28_Moist_Broadleaf_Mixed!C34,S29_Dry_Broadleaf_Fruit!C34,S30_Dry_Broadleaf_Horti!C34,S31_Dry_Broadleaf_Timber!C34,S32_Dry_Broadleaf_Mixed!C34)</x:f>
        <x:v>1308418.2250192335</x:v>
      </x:c>
      <x:c r="D20" s="70" t="n">
        <x:f aca="0">S33_Project_Deductions!H18</x:f>
        <x:v>5612.863594208937</x:v>
      </x:c>
      <x:c r="E20" s="70" t="n">
        <x:f aca="0">S33_Project_Deductions!I18</x:f>
        <x:v>0</x:v>
      </x:c>
      <x:c r="F20" s="70" t="n">
        <x:f aca="0">S33_Project_Deductions!B18</x:f>
        <x:v>5612.863594208937</x:v>
      </x:c>
      <x:c r="G20" s="71" t="n">
        <x:f aca="0">S33_Project_Deductions!D18</x:f>
        <x:v>72794.5185314717</x:v>
      </x:c>
      <x:c r="H20" s="71" t="n">
        <x:f aca="0">S33_Project_Deductions!C18</x:f>
        <x:v>0</x:v>
      </x:c>
      <x:c r="I20" s="71" t="n">
        <x:f aca="0">S33_Project_Deductions!E18</x:f>
        <x:v>20990.32404640868</x:v>
      </x:c>
      <x:c r="J20" s="72" t="n">
        <x:f aca="0">S08_Defaults!$B$9</x:f>
        <x:v>0.2</x:v>
      </x:c>
      <x:c r="K20" s="49" t="n">
        <x:f aca="0">SUM(S21_Deserts_Xeric_Fruit!G34,S22_Deserts_Xeric_Horti!G34,S23_Deserts_Xeric_Timber!G34,S24_Deserts_Xeric_Mixed!G34,S25_Moist_Broadleaf_Fruit!G34,S26_Moist_Broadleaf_Horti!G34,S27_Moist_Broadleaf_Timber!G34,S28_Moist_Broadleaf_Mixed!G34,S29_Dry_Broadleaf_Fruit!G34,S30_Dry_Broadleaf_Horti!G34,S31_Dry_Broadleaf_Timber!G34,S32_Dry_Broadleaf_Mixed!G34)</x:f>
        <x:v>952949.7374375063</x:v>
      </x:c>
      <x:c r="L20" s="49" t="n">
        <x:f aca="0">SUM(S21_Deserts_Xeric_Fruit!H34,S22_Deserts_Xeric_Horti!H34,S23_Deserts_Xeric_Timber!H34,S24_Deserts_Xeric_Mixed!H34,S25_Moist_Broadleaf_Fruit!H34,S26_Moist_Broadleaf_Horti!H34,S27_Moist_Broadleaf_Timber!H34,S28_Moist_Broadleaf_Mixed!H34,S29_Dry_Broadleaf_Fruit!H34,S30_Dry_Broadleaf_Horti!H34,S31_Dry_Broadleaf_Timber!H34,S32_Dry_Broadleaf_Mixed!H34)</x:f>
        <x:v>78923.35732129277</x:v>
      </x:c>
      <x:c r="M20" s="49" t="n">
        <x:f aca="0">MAX(0,MIN(S21_Deserts_Xeric_Fruit!G34,S21_Deserts_Xeric_Fruit!$B$8))+MAX(0,MIN(S22_Deserts_Xeric_Horti!G34,S22_Deserts_Xeric_Horti!$B$8))+MAX(0,MIN(S23_Deserts_Xeric_Timber!G34,S23_Deserts_Xeric_Timber!$B$8))+MAX(0,MIN(S24_Deserts_Xeric_Mixed!G34,S24_Deserts_Xeric_Mixed!$B$8))+MAX(0,MIN(S25_Moist_Broadleaf_Fruit!G34,S25_Moist_Broadleaf_Fruit!$B$8))+MAX(0,MIN(S26_Moist_Broadleaf_Horti!G34,S26_Moist_Broadleaf_Horti!$B$8))+MAX(0,MIN(S27_Moist_Broadleaf_Timber!G34,S27_Moist_Broadleaf_Timber!$B$8))+MAX(0,MIN(S28_Moist_Broadleaf_Mixed!G34,S28_Moist_Broadleaf_Mixed!$B$8))+MAX(0,MIN(S29_Dry_Broadleaf_Fruit!G34,S29_Dry_Broadleaf_Fruit!$B$8))+MAX(0,MIN(S30_Dry_Broadleaf_Horti!G34,S30_Dry_Broadleaf_Horti!$B$8))+MAX(0,MIN(S31_Dry_Broadleaf_Timber!G34,S31_Dry_Broadleaf_Timber!$B$8))+MAX(0,MIN(S32_Dry_Broadleaf_Mixed!G34,S32_Dry_Broadleaf_Mixed!$B$8))</x:f>
        <x:v>944048.7848090567</x:v>
      </x:c>
      <x:c r="N20" s="49" t="n">
        <x:f aca="0">MAX(0,M20-M19)</x:f>
        <x:v>71721.69760996057</x:v>
      </x:c>
      <x:c r="O20" s="49" t="n">
        <x:f aca="0">N20*S08_Defaults!$B$10</x:f>
        <x:v>14344.339521992115</x:v>
      </x:c>
      <x:c r="P20" s="73" t="n">
        <x:f aca="0">MAX(0,N20-O20)</x:f>
        <x:v>57377.35808796845</x:v>
      </x:c>
      <x:c r="Q20" s="74" t="n">
        <x:f aca="0">Q19+P20</x:f>
        <x:v>755239.0278472452</x:v>
      </x:c>
      <x:c r="R20" s="75" t="n">
        <x:f aca="0">IF(S08_Defaults!$B$14=0,0,P20/S08_Defaults!$B$14)</x:f>
        <x:v>20.119709514463636</x:v>
      </x:c>
      <x:c r="S20" s="1" t="s">
        <x:v>149</x:v>
      </x:c>
    </x:row>
    <x:row r="21" ht="21" hidden="0" customHeight="1">
      <x:c r="A21" s="1" t="n">
        <x:v>2035</x:v>
      </x:c>
      <x:c r="B21" s="49" t="n">
        <x:f aca="0">SUM(S21_Deserts_Xeric_Fruit!B35,S22_Deserts_Xeric_Horti!B35,S23_Deserts_Xeric_Timber!B35,S24_Deserts_Xeric_Mixed!B35,S25_Moist_Broadleaf_Fruit!B35,S26_Moist_Broadleaf_Horti!B35,S27_Moist_Broadleaf_Timber!B35,S28_Moist_Broadleaf_Mixed!B35,S29_Dry_Broadleaf_Fruit!B35,S30_Dry_Broadleaf_Horti!B35,S31_Dry_Broadleaf_Timber!B35,S32_Dry_Broadleaf_Mixed!B35)</x:f>
        <x:v>1726412.8806906652</x:v>
      </x:c>
      <x:c r="C21" s="49" t="n">
        <x:f aca="0">SUM(S21_Deserts_Xeric_Fruit!C35,S22_Deserts_Xeric_Horti!C35,S23_Deserts_Xeric_Timber!C35,S24_Deserts_Xeric_Mixed!C35,S25_Moist_Broadleaf_Fruit!C35,S26_Moist_Broadleaf_Horti!C35,S27_Moist_Broadleaf_Timber!C35,S28_Moist_Broadleaf_Mixed!C35,S29_Dry_Broadleaf_Fruit!C35,S30_Dry_Broadleaf_Horti!C35,S31_Dry_Broadleaf_Timber!C35,S32_Dry_Broadleaf_Mixed!C35)</x:f>
        <x:v>1404701.31379754</x:v>
      </x:c>
      <x:c r="D21" s="70" t="n">
        <x:f aca="0">S33_Project_Deductions!H19</x:f>
        <x:v>5612.863594208937</x:v>
      </x:c>
      <x:c r="E21" s="70" t="n">
        <x:f aca="0">S33_Project_Deductions!I19</x:f>
        <x:v>0</x:v>
      </x:c>
      <x:c r="F21" s="70" t="n">
        <x:f aca="0">S33_Project_Deductions!B19</x:f>
        <x:v>5612.863594208937</x:v>
      </x:c>
      <x:c r="G21" s="71" t="n">
        <x:f aca="0">S33_Project_Deductions!D19</x:f>
        <x:v>78407.38212568063</x:v>
      </x:c>
      <x:c r="H21" s="71" t="n">
        <x:f aca="0">S33_Project_Deductions!C19</x:f>
        <x:v>0</x:v>
      </x:c>
      <x:c r="I21" s="71" t="n">
        <x:f aca="0">S33_Project_Deductions!E19</x:f>
        <x:v>20990.32404640868</x:v>
      </x:c>
      <x:c r="J21" s="72" t="n">
        <x:f aca="0">S08_Defaults!$B$9</x:f>
        <x:v>0.2</x:v>
      </x:c>
      <x:c r="K21" s="49" t="n">
        <x:f aca="0">SUM(S21_Deserts_Xeric_Fruit!G35,S22_Deserts_Xeric_Horti!G35,S23_Deserts_Xeric_Timber!G35,S24_Deserts_Xeric_Mixed!G35,S25_Moist_Broadleaf_Fruit!G35,S26_Moist_Broadleaf_Horti!G35,S27_Moist_Broadleaf_Timber!G35,S28_Moist_Broadleaf_Mixed!G35,S29_Dry_Broadleaf_Fruit!G35,S30_Dry_Broadleaf_Horti!G35,S31_Dry_Broadleaf_Timber!G35,S32_Dry_Broadleaf_Mixed!G35)</x:f>
        <x:v>1024363.3448659428</x:v>
      </x:c>
      <x:c r="L21" s="49" t="n">
        <x:f aca="0">SUM(S21_Deserts_Xeric_Fruit!H35,S22_Deserts_Xeric_Horti!H35,S23_Deserts_Xeric_Timber!H35,S24_Deserts_Xeric_Mixed!H35,S25_Moist_Broadleaf_Fruit!H35,S26_Moist_Broadleaf_Horti!H35,S27_Moist_Broadleaf_Timber!H35,S28_Moist_Broadleaf_Mixed!H35,S29_Dry_Broadleaf_Fruit!H35,S30_Dry_Broadleaf_Horti!H35,S31_Dry_Broadleaf_Timber!H35,S32_Dry_Broadleaf_Mixed!H35)</x:f>
        <x:v>71413.60742843636</x:v>
      </x:c>
      <x:c r="M21" s="49" t="n">
        <x:f aca="0">MAX(0,MIN(S21_Deserts_Xeric_Fruit!G35,S21_Deserts_Xeric_Fruit!$B$8))+MAX(0,MIN(S22_Deserts_Xeric_Horti!G35,S22_Deserts_Xeric_Horti!$B$8))+MAX(0,MIN(S23_Deserts_Xeric_Timber!G35,S23_Deserts_Xeric_Timber!$B$8))+MAX(0,MIN(S24_Deserts_Xeric_Mixed!G35,S24_Deserts_Xeric_Mixed!$B$8))+MAX(0,MIN(S25_Moist_Broadleaf_Fruit!G35,S25_Moist_Broadleaf_Fruit!$B$8))+MAX(0,MIN(S26_Moist_Broadleaf_Horti!G35,S26_Moist_Broadleaf_Horti!$B$8))+MAX(0,MIN(S27_Moist_Broadleaf_Timber!G35,S27_Moist_Broadleaf_Timber!$B$8))+MAX(0,MIN(S28_Moist_Broadleaf_Mixed!G35,S28_Moist_Broadleaf_Mixed!$B$8))+MAX(0,MIN(S29_Dry_Broadleaf_Fruit!G35,S29_Dry_Broadleaf_Fruit!$B$8))+MAX(0,MIN(S30_Dry_Broadleaf_Horti!G35,S30_Dry_Broadleaf_Horti!$B$8))+MAX(0,MIN(S31_Dry_Broadleaf_Timber!G35,S31_Dry_Broadleaf_Timber!$B$8))+MAX(0,MIN(S32_Dry_Broadleaf_Mixed!G35,S32_Dry_Broadleaf_Mixed!$B$8))</x:f>
        <x:v>980381.9667851762</x:v>
      </x:c>
      <x:c r="N21" s="49" t="n">
        <x:f aca="0">MAX(0,M21-M20)</x:f>
        <x:v>36333.18197611952</x:v>
      </x:c>
      <x:c r="O21" s="49" t="n">
        <x:f aca="0">N21*S08_Defaults!$B$10</x:f>
        <x:v>7266.636395223904</x:v>
      </x:c>
      <x:c r="P21" s="73" t="n">
        <x:f aca="0">MAX(0,N21-O21)</x:f>
        <x:v>29066.545580895618</x:v>
      </x:c>
      <x:c r="Q21" s="74" t="n">
        <x:f aca="0">Q20+P21</x:f>
        <x:v>784305.5734281408</x:v>
      </x:c>
      <x:c r="R21" s="75" t="n">
        <x:f aca="0">IF(S08_Defaults!$B$14=0,0,P21/S08_Defaults!$B$14)</x:f>
        <x:v>10.192355890278717</x:v>
      </x:c>
      <x:c r="S21" s="1" t="s">
        <x:v>149</x:v>
      </x:c>
    </x:row>
    <x:row r="22" ht="21" hidden="0" customHeight="1">
      <x:c r="A22" s="1" t="n">
        <x:v>2036</x:v>
      </x:c>
      <x:c r="B22" s="49" t="n">
        <x:f aca="0">SUM(S21_Deserts_Xeric_Fruit!B36,S22_Deserts_Xeric_Horti!B36,S23_Deserts_Xeric_Timber!B36,S24_Deserts_Xeric_Mixed!B36,S25_Moist_Broadleaf_Fruit!B36,S26_Moist_Broadleaf_Horti!B36,S27_Moist_Broadleaf_Timber!B36,S28_Moist_Broadleaf_Mixed!B36,S29_Dry_Broadleaf_Fruit!B36,S30_Dry_Broadleaf_Horti!B36,S31_Dry_Broadleaf_Timber!B36,S32_Dry_Broadleaf_Mixed!B36)</x:f>
        <x:v>1833131.0362201498</x:v>
      </x:c>
      <x:c r="C22" s="49" t="n">
        <x:f aca="0">SUM(S21_Deserts_Xeric_Fruit!C36,S22_Deserts_Xeric_Horti!C36,S23_Deserts_Xeric_Timber!C36,S24_Deserts_Xeric_Mixed!C36,S25_Moist_Broadleaf_Fruit!C36,S26_Moist_Broadleaf_Horti!C36,S27_Moist_Broadleaf_Timber!C36,S28_Moist_Broadleaf_Mixed!C36,S29_Dry_Broadleaf_Fruit!C36,S30_Dry_Broadleaf_Horti!C36,S31_Dry_Broadleaf_Timber!C36,S32_Dry_Broadleaf_Mixed!C36)</x:f>
        <x:v>1491729.0175934634</x:v>
      </x:c>
      <x:c r="D22" s="70" t="n">
        <x:f aca="0">S33_Project_Deductions!H20</x:f>
        <x:v>5612.863594208937</x:v>
      </x:c>
      <x:c r="E22" s="70" t="n">
        <x:f aca="0">S33_Project_Deductions!I20</x:f>
        <x:v>0</x:v>
      </x:c>
      <x:c r="F22" s="70" t="n">
        <x:f aca="0">S33_Project_Deductions!B20</x:f>
        <x:v>5612.863594208937</x:v>
      </x:c>
      <x:c r="G22" s="71" t="n">
        <x:f aca="0">S33_Project_Deductions!D20</x:f>
        <x:v>84020.24571988956</x:v>
      </x:c>
      <x:c r="H22" s="71" t="n">
        <x:f aca="0">S33_Project_Deductions!C20</x:f>
        <x:v>0</x:v>
      </x:c>
      <x:c r="I22" s="71" t="n">
        <x:f aca="0">S33_Project_Deductions!E20</x:f>
        <x:v>20990.32404640868</x:v>
      </x:c>
      <x:c r="J22" s="72" t="n">
        <x:f aca="0">S08_Defaults!$B$9</x:f>
        <x:v>0.2</x:v>
      </x:c>
      <x:c r="K22" s="49" t="n">
        <x:f aca="0">SUM(S21_Deserts_Xeric_Fruit!G36,S22_Deserts_Xeric_Horti!G36,S23_Deserts_Xeric_Timber!G36,S24_Deserts_Xeric_Mixed!G36,S25_Moist_Broadleaf_Fruit!G36,S26_Moist_Broadleaf_Horti!G36,S27_Moist_Broadleaf_Timber!G36,S28_Moist_Broadleaf_Mixed!G36,S29_Dry_Broadleaf_Fruit!G36,S30_Dry_Broadleaf_Horti!G36,S31_Dry_Broadleaf_Timber!G36,S32_Dry_Broadleaf_Mixed!G36)</x:f>
        <x:v>1088372.6443084725</x:v>
      </x:c>
      <x:c r="L22" s="49" t="n">
        <x:f aca="0">SUM(S21_Deserts_Xeric_Fruit!H36,S22_Deserts_Xeric_Horti!H36,S23_Deserts_Xeric_Timber!H36,S24_Deserts_Xeric_Mixed!H36,S25_Moist_Broadleaf_Fruit!H36,S26_Moist_Broadleaf_Horti!H36,S27_Moist_Broadleaf_Timber!H36,S28_Moist_Broadleaf_Mixed!H36,S29_Dry_Broadleaf_Fruit!H36,S30_Dry_Broadleaf_Horti!H36,S31_Dry_Broadleaf_Timber!H36,S32_Dry_Broadleaf_Mixed!H36)</x:f>
        <x:v>64009.29944252972</x:v>
      </x:c>
      <x:c r="M22" s="49" t="n">
        <x:f aca="0">MAX(0,MIN(S21_Deserts_Xeric_Fruit!G36,S21_Deserts_Xeric_Fruit!$B$8))+MAX(0,MIN(S22_Deserts_Xeric_Horti!G36,S22_Deserts_Xeric_Horti!$B$8))+MAX(0,MIN(S23_Deserts_Xeric_Timber!G36,S23_Deserts_Xeric_Timber!$B$8))+MAX(0,MIN(S24_Deserts_Xeric_Mixed!G36,S24_Deserts_Xeric_Mixed!$B$8))+MAX(0,MIN(S25_Moist_Broadleaf_Fruit!G36,S25_Moist_Broadleaf_Fruit!$B$8))+MAX(0,MIN(S26_Moist_Broadleaf_Horti!G36,S26_Moist_Broadleaf_Horti!$B$8))+MAX(0,MIN(S27_Moist_Broadleaf_Timber!G36,S27_Moist_Broadleaf_Timber!$B$8))+MAX(0,MIN(S28_Moist_Broadleaf_Mixed!G36,S28_Moist_Broadleaf_Mixed!$B$8))+MAX(0,MIN(S29_Dry_Broadleaf_Fruit!G36,S29_Dry_Broadleaf_Fruit!$B$8))+MAX(0,MIN(S30_Dry_Broadleaf_Horti!G36,S30_Dry_Broadleaf_Horti!$B$8))+MAX(0,MIN(S31_Dry_Broadleaf_Timber!G36,S31_Dry_Broadleaf_Timber!$B$8))+MAX(0,MIN(S32_Dry_Broadleaf_Mixed!G36,S32_Dry_Broadleaf_Mixed!$B$8))</x:f>
        <x:v>985580.7048199396</x:v>
      </x:c>
      <x:c r="N22" s="49" t="n">
        <x:f aca="0">MAX(0,M22-M21)</x:f>
        <x:v>5198.738034763373</x:v>
      </x:c>
      <x:c r="O22" s="49" t="n">
        <x:f aca="0">N22*S08_Defaults!$B$10</x:f>
        <x:v>1039.7476069526747</x:v>
      </x:c>
      <x:c r="P22" s="73" t="n">
        <x:f aca="0">MAX(0,N22-O22)</x:f>
        <x:v>4158.990427810699</x:v>
      </x:c>
      <x:c r="Q22" s="74" t="n">
        <x:f aca="0">Q21+P22</x:f>
        <x:v>788464.5638559515</x:v>
      </x:c>
      <x:c r="R22" s="75" t="n">
        <x:f aca="0">IF(S08_Defaults!$B$14=0,0,P22/S08_Defaults!$B$14)</x:f>
        <x:v>1.4583745587012764</x:v>
      </x:c>
      <x:c r="S22" s="1" t="s">
        <x:v>149</x:v>
      </x:c>
    </x:row>
    <x:row r="23" ht="21" hidden="0" customHeight="1">
      <x:c r="A23" s="1" t="n">
        <x:v>2037</x:v>
      </x:c>
      <x:c r="B23" s="49" t="n">
        <x:f aca="0">SUM(S21_Deserts_Xeric_Fruit!B37,S22_Deserts_Xeric_Horti!B37,S23_Deserts_Xeric_Timber!B37,S24_Deserts_Xeric_Mixed!B37,S25_Moist_Broadleaf_Fruit!B37,S26_Moist_Broadleaf_Horti!B37,S27_Moist_Broadleaf_Timber!B37,S28_Moist_Broadleaf_Mixed!B37,S29_Dry_Broadleaf_Fruit!B37,S30_Dry_Broadleaf_Horti!B37,S31_Dry_Broadleaf_Timber!B37,S32_Dry_Broadleaf_Mixed!B37)</x:f>
        <x:v>1928949.5110060757</x:v>
      </x:c>
      <x:c r="C23" s="49" t="n">
        <x:f aca="0">SUM(S21_Deserts_Xeric_Fruit!C37,S22_Deserts_Xeric_Horti!C37,S23_Deserts_Xeric_Timber!C37,S24_Deserts_Xeric_Mixed!C37,S25_Moist_Broadleaf_Fruit!C37,S26_Moist_Broadleaf_Horti!C37,S27_Moist_Broadleaf_Timber!C37,S28_Moist_Broadleaf_Mixed!C37,S29_Dry_Broadleaf_Fruit!C37,S30_Dry_Broadleaf_Horti!C37,S31_Dry_Broadleaf_Timber!C37,S32_Dry_Broadleaf_Mixed!C37)</x:f>
        <x:v>1569880.2265014371</x:v>
      </x:c>
      <x:c r="D23" s="70" t="n">
        <x:f aca="0">S33_Project_Deductions!H21</x:f>
        <x:v>5612.863594208937</x:v>
      </x:c>
      <x:c r="E23" s="70" t="n">
        <x:f aca="0">S33_Project_Deductions!I21</x:f>
        <x:v>0</x:v>
      </x:c>
      <x:c r="F23" s="70" t="n">
        <x:f aca="0">S33_Project_Deductions!B21</x:f>
        <x:v>5612.863594208937</x:v>
      </x:c>
      <x:c r="G23" s="71" t="n">
        <x:f aca="0">S33_Project_Deductions!D21</x:f>
        <x:v>89633.10931409849</x:v>
      </x:c>
      <x:c r="H23" s="71" t="n">
        <x:f aca="0">S33_Project_Deductions!C21</x:f>
        <x:v>0</x:v>
      </x:c>
      <x:c r="I23" s="71" t="n">
        <x:f aca="0">S33_Project_Deductions!E21</x:f>
        <x:v>20990.32404640868</x:v>
      </x:c>
      <x:c r="J23" s="72" t="n">
        <x:f aca="0">S08_Defaults!$B$9</x:f>
        <x:v>0.2</x:v>
      </x:c>
      <x:c r="K23" s="49" t="n">
        <x:f aca="0">SUM(S21_Deserts_Xeric_Fruit!G37,S22_Deserts_Xeric_Horti!G37,S23_Deserts_Xeric_Timber!G37,S24_Deserts_Xeric_Mixed!G37,S25_Moist_Broadleaf_Fruit!G37,S26_Moist_Broadleaf_Horti!G37,S27_Moist_Broadleaf_Timber!G37,S28_Moist_Broadleaf_Mixed!G37,S29_Dry_Broadleaf_Fruit!G37,S30_Dry_Broadleaf_Horti!G37,S31_Dry_Broadleaf_Timber!G37,S32_Dry_Broadleaf_Mixed!G37)</x:f>
        <x:v>1145280.7478406427</x:v>
      </x:c>
      <x:c r="L23" s="49" t="n">
        <x:f aca="0">SUM(S21_Deserts_Xeric_Fruit!H37,S22_Deserts_Xeric_Horti!H37,S23_Deserts_Xeric_Timber!H37,S24_Deserts_Xeric_Mixed!H37,S25_Moist_Broadleaf_Fruit!H37,S26_Moist_Broadleaf_Horti!H37,S27_Moist_Broadleaf_Timber!H37,S28_Moist_Broadleaf_Mixed!H37,S29_Dry_Broadleaf_Fruit!H37,S30_Dry_Broadleaf_Horti!H37,S31_Dry_Broadleaf_Timber!H37,S32_Dry_Broadleaf_Mixed!H37)</x:f>
        <x:v>56908.1035321702</x:v>
      </x:c>
      <x:c r="M23" s="49" t="n">
        <x:f aca="0">MAX(0,MIN(S21_Deserts_Xeric_Fruit!G37,S21_Deserts_Xeric_Fruit!$B$8))+MAX(0,MIN(S22_Deserts_Xeric_Horti!G37,S22_Deserts_Xeric_Horti!$B$8))+MAX(0,MIN(S23_Deserts_Xeric_Timber!G37,S23_Deserts_Xeric_Timber!$B$8))+MAX(0,MIN(S24_Deserts_Xeric_Mixed!G37,S24_Deserts_Xeric_Mixed!$B$8))+MAX(0,MIN(S25_Moist_Broadleaf_Fruit!G37,S25_Moist_Broadleaf_Fruit!$B$8))+MAX(0,MIN(S26_Moist_Broadleaf_Horti!G37,S26_Moist_Broadleaf_Horti!$B$8))+MAX(0,MIN(S27_Moist_Broadleaf_Timber!G37,S27_Moist_Broadleaf_Timber!$B$8))+MAX(0,MIN(S28_Moist_Broadleaf_Mixed!G37,S28_Moist_Broadleaf_Mixed!$B$8))+MAX(0,MIN(S29_Dry_Broadleaf_Fruit!G37,S29_Dry_Broadleaf_Fruit!$B$8))+MAX(0,MIN(S30_Dry_Broadleaf_Horti!G37,S30_Dry_Broadleaf_Horti!$B$8))+MAX(0,MIN(S31_Dry_Broadleaf_Timber!G37,S31_Dry_Broadleaf_Timber!$B$8))+MAX(0,MIN(S32_Dry_Broadleaf_Mixed!G37,S32_Dry_Broadleaf_Mixed!$B$8))</x:f>
        <x:v>990064.8930341973</x:v>
      </x:c>
      <x:c r="N23" s="49" t="n">
        <x:f aca="0">MAX(0,M23-M22)</x:f>
        <x:v>4484.188214257709</x:v>
      </x:c>
      <x:c r="O23" s="49" t="n">
        <x:f aca="0">N23*S08_Defaults!$B$10</x:f>
        <x:v>896.8376428515418</x:v>
      </x:c>
      <x:c r="P23" s="73" t="n">
        <x:f aca="0">MAX(0,N23-O23)</x:f>
        <x:v>3587.350571406167</x:v>
      </x:c>
      <x:c r="Q23" s="74" t="n">
        <x:f aca="0">Q22+P23</x:f>
        <x:v>792051.9144273577</x:v>
      </x:c>
      <x:c r="R23" s="75" t="n">
        <x:f aca="0">IF(S08_Defaults!$B$14=0,0,P23/S08_Defaults!$B$14)</x:f>
        <x:v>1.2579256666467535</x:v>
      </x:c>
      <x:c r="S23" s="1" t="s">
        <x:v>149</x:v>
      </x:c>
    </x:row>
    <x:row r="24" ht="21" hidden="0" customHeight="1">
      <x:c r="A24" s="1" t="n">
        <x:v>2038</x:v>
      </x:c>
      <x:c r="B24" s="49" t="n">
        <x:f aca="0">SUM(S21_Deserts_Xeric_Fruit!B38,S22_Deserts_Xeric_Horti!B38,S23_Deserts_Xeric_Timber!B38,S24_Deserts_Xeric_Mixed!B38,S25_Moist_Broadleaf_Fruit!B38,S26_Moist_Broadleaf_Horti!B38,S27_Moist_Broadleaf_Timber!B38,S28_Moist_Broadleaf_Mixed!B38,S29_Dry_Broadleaf_Fruit!B38,S30_Dry_Broadleaf_Horti!B38,S31_Dry_Broadleaf_Timber!B38,S32_Dry_Broadleaf_Mixed!B38)</x:f>
        <x:v>2014527.8892271793</x:v>
      </x:c>
      <x:c r="C24" s="49" t="n">
        <x:f aca="0">SUM(S21_Deserts_Xeric_Fruit!C38,S22_Deserts_Xeric_Horti!C38,S23_Deserts_Xeric_Timber!C38,S24_Deserts_Xeric_Mixed!C38,S25_Moist_Broadleaf_Fruit!C38,S26_Moist_Broadleaf_Horti!C38,S27_Moist_Broadleaf_Timber!C38,S28_Moist_Broadleaf_Mixed!C38,S29_Dry_Broadleaf_Fruit!C38,S30_Dry_Broadleaf_Horti!C38,S31_Dry_Broadleaf_Timber!C38,S32_Dry_Broadleaf_Mixed!C38)</x:f>
        <x:v>1639689.3386854364</x:v>
      </x:c>
      <x:c r="D24" s="70" t="n">
        <x:f aca="0">S33_Project_Deductions!H22</x:f>
        <x:v>5612.863594208937</x:v>
      </x:c>
      <x:c r="E24" s="70" t="n">
        <x:f aca="0">S33_Project_Deductions!I22</x:f>
        <x:v>0</x:v>
      </x:c>
      <x:c r="F24" s="70" t="n">
        <x:f aca="0">S33_Project_Deductions!B22</x:f>
        <x:v>5612.863594208937</x:v>
      </x:c>
      <x:c r="G24" s="71" t="n">
        <x:f aca="0">S33_Project_Deductions!D22</x:f>
        <x:v>95245.97290830742</x:v>
      </x:c>
      <x:c r="H24" s="71" t="n">
        <x:f aca="0">S33_Project_Deductions!C22</x:f>
        <x:v>0</x:v>
      </x:c>
      <x:c r="I24" s="71" t="n">
        <x:f aca="0">S33_Project_Deductions!E22</x:f>
        <x:v>20990.32404640868</x:v>
      </x:c>
      <x:c r="J24" s="72" t="n">
        <x:f aca="0">S08_Defaults!$B$9</x:f>
        <x:v>0.2</x:v>
      </x:c>
      <x:c r="K24" s="49" t="n">
        <x:f aca="0">SUM(S21_Deserts_Xeric_Fruit!G38,S22_Deserts_Xeric_Horti!G38,S23_Deserts_Xeric_Timber!G38,S24_Deserts_Xeric_Mixed!G38,S25_Moist_Broadleaf_Fruit!G38,S26_Moist_Broadleaf_Horti!G38,S27_Moist_Broadleaf_Timber!G38,S28_Moist_Broadleaf_Mixed!G38,S29_Dry_Broadleaf_Fruit!G38,S30_Dry_Broadleaf_Horti!G38,S31_Dry_Broadleaf_Timber!G38,S32_Dry_Broadleaf_Mixed!G38)</x:f>
        <x:v>1195515.173993633</x:v>
      </x:c>
      <x:c r="L24" s="49" t="n">
        <x:f aca="0">SUM(S21_Deserts_Xeric_Fruit!H38,S22_Deserts_Xeric_Horti!H38,S23_Deserts_Xeric_Timber!H38,S24_Deserts_Xeric_Mixed!H38,S25_Moist_Broadleaf_Fruit!H38,S26_Moist_Broadleaf_Horti!H38,S27_Moist_Broadleaf_Timber!H38,S28_Moist_Broadleaf_Mixed!H38,S29_Dry_Broadleaf_Fruit!H38,S30_Dry_Broadleaf_Horti!H38,S31_Dry_Broadleaf_Timber!H38,S32_Dry_Broadleaf_Mixed!H38)</x:f>
        <x:v>50234.42615299041</x:v>
      </x:c>
      <x:c r="M24" s="49" t="n">
        <x:f aca="0">MAX(0,MIN(S21_Deserts_Xeric_Fruit!G38,S21_Deserts_Xeric_Fruit!$B$8))+MAX(0,MIN(S22_Deserts_Xeric_Horti!G38,S22_Deserts_Xeric_Horti!$B$8))+MAX(0,MIN(S23_Deserts_Xeric_Timber!G38,S23_Deserts_Xeric_Timber!$B$8))+MAX(0,MIN(S24_Deserts_Xeric_Mixed!G38,S24_Deserts_Xeric_Mixed!$B$8))+MAX(0,MIN(S25_Moist_Broadleaf_Fruit!G38,S25_Moist_Broadleaf_Fruit!$B$8))+MAX(0,MIN(S26_Moist_Broadleaf_Horti!G38,S26_Moist_Broadleaf_Horti!$B$8))+MAX(0,MIN(S27_Moist_Broadleaf_Timber!G38,S27_Moist_Broadleaf_Timber!$B$8))+MAX(0,MIN(S28_Moist_Broadleaf_Mixed!G38,S28_Moist_Broadleaf_Mixed!$B$8))+MAX(0,MIN(S29_Dry_Broadleaf_Fruit!G38,S29_Dry_Broadleaf_Fruit!$B$8))+MAX(0,MIN(S30_Dry_Broadleaf_Horti!G38,S30_Dry_Broadleaf_Horti!$B$8))+MAX(0,MIN(S31_Dry_Broadleaf_Timber!G38,S31_Dry_Broadleaf_Timber!$B$8))+MAX(0,MIN(S32_Dry_Broadleaf_Mixed!G38,S32_Dry_Broadleaf_Mixed!$B$8))</x:f>
        <x:v>991878.477625336</x:v>
      </x:c>
      <x:c r="N24" s="49" t="n">
        <x:f aca="0">MAX(0,M24-M23)</x:f>
        <x:v>1813.5845911387587</x:v>
      </x:c>
      <x:c r="O24" s="49" t="n">
        <x:f aca="0">N24*S08_Defaults!$B$10</x:f>
        <x:v>362.71691822775176</x:v>
      </x:c>
      <x:c r="P24" s="73" t="n">
        <x:f aca="0">MAX(0,N24-O24)</x:f>
        <x:v>1450.867672911007</x:v>
      </x:c>
      <x:c r="Q24" s="74" t="n">
        <x:f aca="0">Q23+P24</x:f>
        <x:v>793502.7821002688</x:v>
      </x:c>
      <x:c r="R24" s="75" t="n">
        <x:f aca="0">IF(S08_Defaults!$B$14=0,0,P24/S08_Defaults!$B$14)</x:f>
        <x:v>0.508755319095398</x:v>
      </x:c>
      <x:c r="S24" s="1" t="s">
        <x:v>149</x:v>
      </x:c>
    </x:row>
    <x:row r="25" ht="21" hidden="0" customHeight="1">
      <x:c r="A25" s="1" t="n">
        <x:v>2039</x:v>
      </x:c>
      <x:c r="B25" s="49" t="n">
        <x:f aca="0">SUM(S21_Deserts_Xeric_Fruit!B39,S22_Deserts_Xeric_Horti!B39,S23_Deserts_Xeric_Timber!B39,S24_Deserts_Xeric_Mixed!B39,S25_Moist_Broadleaf_Fruit!B39,S26_Moist_Broadleaf_Horti!B39,S27_Moist_Broadleaf_Timber!B39,S28_Moist_Broadleaf_Mixed!B39,S29_Dry_Broadleaf_Fruit!B39,S30_Dry_Broadleaf_Horti!B39,S31_Dry_Broadleaf_Timber!B39,S32_Dry_Broadleaf_Mixed!B39)</x:f>
        <x:v>2090631.7986412642</x:v>
      </x:c>
      <x:c r="C25" s="49" t="n">
        <x:f aca="0">SUM(S21_Deserts_Xeric_Fruit!C39,S22_Deserts_Xeric_Horti!C39,S23_Deserts_Xeric_Timber!C39,S24_Deserts_Xeric_Mixed!C39,S25_Moist_Broadleaf_Fruit!C39,S26_Moist_Broadleaf_Horti!C39,S27_Moist_Broadleaf_Timber!C39,S28_Moist_Broadleaf_Mixed!C39,S29_Dry_Broadleaf_Fruit!C39,S30_Dry_Broadleaf_Horti!C39,S31_Dry_Broadleaf_Timber!C39,S32_Dry_Broadleaf_Mixed!C39)</x:f>
        <x:v>1701777.9792767486</x:v>
      </x:c>
      <x:c r="D25" s="70" t="n">
        <x:f aca="0">S33_Project_Deductions!H23</x:f>
        <x:v>5612.863594208937</x:v>
      </x:c>
      <x:c r="E25" s="70" t="n">
        <x:f aca="0">S33_Project_Deductions!I23</x:f>
        <x:v>0</x:v>
      </x:c>
      <x:c r="F25" s="70" t="n">
        <x:f aca="0">S33_Project_Deductions!B23</x:f>
        <x:v>5612.863594208937</x:v>
      </x:c>
      <x:c r="G25" s="71" t="n">
        <x:f aca="0">S33_Project_Deductions!D23</x:f>
        <x:v>100858.83650251635</x:v>
      </x:c>
      <x:c r="H25" s="71" t="n">
        <x:f aca="0">S33_Project_Deductions!C23</x:f>
        <x:v>0</x:v>
      </x:c>
      <x:c r="I25" s="71" t="n">
        <x:f aca="0">S33_Project_Deductions!E23</x:f>
        <x:v>20990.32404640868</x:v>
      </x:c>
      <x:c r="J25" s="72" t="n">
        <x:f aca="0">S08_Defaults!$B$9</x:f>
        <x:v>0.2</x:v>
      </x:c>
      <x:c r="K25" s="49" t="n">
        <x:f aca="0">SUM(S21_Deserts_Xeric_Fruit!G39,S22_Deserts_Xeric_Horti!G39,S23_Deserts_Xeric_Timber!G39,S24_Deserts_Xeric_Mixed!G39,S25_Moist_Broadleaf_Fruit!G39,S26_Moist_Broadleaf_Horti!G39,S27_Moist_Broadleaf_Timber!G39,S28_Moist_Broadleaf_Mixed!G39,S29_Dry_Broadleaf_Fruit!G39,S30_Dry_Broadleaf_Horti!G39,S31_Dry_Broadleaf_Timber!G39,S32_Dry_Broadleaf_Mixed!G39)</x:f>
        <x:v>1239573.2228724738</x:v>
      </x:c>
      <x:c r="L25" s="49" t="n">
        <x:f aca="0">SUM(S21_Deserts_Xeric_Fruit!H39,S22_Deserts_Xeric_Horti!H39,S23_Deserts_Xeric_Timber!H39,S24_Deserts_Xeric_Mixed!H39,S25_Moist_Broadleaf_Fruit!H39,S26_Moist_Broadleaf_Horti!H39,S27_Moist_Broadleaf_Timber!H39,S28_Moist_Broadleaf_Mixed!H39,S29_Dry_Broadleaf_Fruit!H39,S30_Dry_Broadleaf_Horti!H39,S31_Dry_Broadleaf_Timber!H39,S32_Dry_Broadleaf_Mixed!H39)</x:f>
        <x:v>44058.0488788409</x:v>
      </x:c>
      <x:c r="M25" s="49" t="n">
        <x:f aca="0">MAX(0,MIN(S21_Deserts_Xeric_Fruit!G39,S21_Deserts_Xeric_Fruit!$B$8))+MAX(0,MIN(S22_Deserts_Xeric_Horti!G39,S22_Deserts_Xeric_Horti!$B$8))+MAX(0,MIN(S23_Deserts_Xeric_Timber!G39,S23_Deserts_Xeric_Timber!$B$8))+MAX(0,MIN(S24_Deserts_Xeric_Mixed!G39,S24_Deserts_Xeric_Mixed!$B$8))+MAX(0,MIN(S25_Moist_Broadleaf_Fruit!G39,S25_Moist_Broadleaf_Fruit!$B$8))+MAX(0,MIN(S26_Moist_Broadleaf_Horti!G39,S26_Moist_Broadleaf_Horti!$B$8))+MAX(0,MIN(S27_Moist_Broadleaf_Timber!G39,S27_Moist_Broadleaf_Timber!$B$8))+MAX(0,MIN(S28_Moist_Broadleaf_Mixed!G39,S28_Moist_Broadleaf_Mixed!$B$8))+MAX(0,MIN(S29_Dry_Broadleaf_Fruit!G39,S29_Dry_Broadleaf_Fruit!$B$8))+MAX(0,MIN(S30_Dry_Broadleaf_Horti!G39,S30_Dry_Broadleaf_Horti!$B$8))+MAX(0,MIN(S31_Dry_Broadleaf_Timber!G39,S31_Dry_Broadleaf_Timber!$B$8))+MAX(0,MIN(S32_Dry_Broadleaf_Mixed!G39,S32_Dry_Broadleaf_Mixed!$B$8))</x:f>
        <x:v>991974.6442262356</x:v>
      </x:c>
      <x:c r="N25" s="49" t="n">
        <x:f aca="0">MAX(0,M25-M24)</x:f>
        <x:v>96.16660089953803</x:v>
      </x:c>
      <x:c r="O25" s="49" t="n">
        <x:f aca="0">N25*S08_Defaults!$B$10</x:f>
        <x:v>19.233320179907608</x:v>
      </x:c>
      <x:c r="P25" s="73" t="n">
        <x:f aca="0">MAX(0,N25-O25)</x:f>
        <x:v>76.93328071963042</x:v>
      </x:c>
      <x:c r="Q25" s="74" t="n">
        <x:f aca="0">Q24+P25</x:f>
        <x:v>793579.7153809884</x:v>
      </x:c>
      <x:c r="R25" s="75" t="n">
        <x:f aca="0">IF(S08_Defaults!$B$14=0,0,P25/S08_Defaults!$B$14)</x:f>
        <x:v>0.02697710929284188</x:v>
      </x:c>
      <x:c r="S25" s="1" t="s">
        <x:v>149</x:v>
      </x:c>
    </x:row>
    <x:row r="26" ht="21" hidden="0" customHeight="1">
      <x:c r="A26" s="1" t="n">
        <x:v>2040</x:v>
      </x:c>
      <x:c r="B26" s="49" t="n">
        <x:f aca="0">SUM(S21_Deserts_Xeric_Fruit!B40,S22_Deserts_Xeric_Horti!B40,S23_Deserts_Xeric_Timber!B40,S24_Deserts_Xeric_Mixed!B40,S25_Moist_Broadleaf_Fruit!B40,S26_Moist_Broadleaf_Horti!B40,S27_Moist_Broadleaf_Timber!B40,S28_Moist_Broadleaf_Mixed!B40,S29_Dry_Broadleaf_Fruit!B40,S30_Dry_Broadleaf_Horti!B40,S31_Dry_Broadleaf_Timber!B40,S32_Dry_Broadleaf_Mixed!B40)</x:f>
        <x:v>2158072.616879533</x:v>
      </x:c>
      <x:c r="C26" s="49" t="n">
        <x:f aca="0">SUM(S21_Deserts_Xeric_Fruit!C40,S22_Deserts_Xeric_Horti!C40,S23_Deserts_Xeric_Timber!C40,S24_Deserts_Xeric_Mixed!C40,S25_Moist_Broadleaf_Fruit!C40,S26_Moist_Broadleaf_Horti!C40,S27_Moist_Broadleaf_Timber!C40,S28_Moist_Broadleaf_Mixed!C40,S29_Dry_Broadleaf_Fruit!C40,S30_Dry_Broadleaf_Horti!C40,S31_Dry_Broadleaf_Timber!C40,S32_Dry_Broadleaf_Mixed!C40)</x:f>
        <x:v>1756805.69893885</x:v>
      </x:c>
      <x:c r="D26" s="70" t="n">
        <x:f aca="0">S33_Project_Deductions!H24</x:f>
        <x:v>5612.863594208937</x:v>
      </x:c>
      <x:c r="E26" s="70" t="n">
        <x:f aca="0">S33_Project_Deductions!I24</x:f>
        <x:v>0</x:v>
      </x:c>
      <x:c r="F26" s="70" t="n">
        <x:f aca="0">S33_Project_Deductions!B24</x:f>
        <x:v>5612.863594208937</x:v>
      </x:c>
      <x:c r="G26" s="71" t="n">
        <x:f aca="0">S33_Project_Deductions!D24</x:f>
        <x:v>106471.70009672528</x:v>
      </x:c>
      <x:c r="H26" s="71" t="n">
        <x:f aca="0">S33_Project_Deductions!C24</x:f>
        <x:v>0</x:v>
      </x:c>
      <x:c r="I26" s="71" t="n">
        <x:f aca="0">S33_Project_Deductions!E24</x:f>
        <x:v>20990.32404640868</x:v>
      </x:c>
      <x:c r="J26" s="72" t="n">
        <x:f aca="0">S08_Defaults!$B$9</x:f>
        <x:v>0.2</x:v>
      </x:c>
      <x:c r="K26" s="49" t="n">
        <x:f aca="0">SUM(S21_Deserts_Xeric_Fruit!G40,S22_Deserts_Xeric_Horti!G40,S23_Deserts_Xeric_Timber!G40,S24_Deserts_Xeric_Mixed!G40,S25_Moist_Broadleaf_Fruit!G40,S26_Moist_Broadleaf_Horti!G40,S27_Moist_Broadleaf_Timber!G40,S28_Moist_Broadleaf_Mixed!G40,S29_Dry_Broadleaf_Fruit!G40,S30_Dry_Broadleaf_Horti!G40,S31_Dry_Broadleaf_Timber!G40,S32_Dry_Broadleaf_Mixed!G40)</x:f>
        <x:v>1277982.535007946</x:v>
      </x:c>
      <x:c r="L26" s="49" t="n">
        <x:f aca="0">SUM(S21_Deserts_Xeric_Fruit!H40,S22_Deserts_Xeric_Horti!H40,S23_Deserts_Xeric_Timber!H40,S24_Deserts_Xeric_Mixed!H40,S25_Moist_Broadleaf_Fruit!H40,S26_Moist_Broadleaf_Horti!H40,S27_Moist_Broadleaf_Timber!H40,S28_Moist_Broadleaf_Mixed!H40,S29_Dry_Broadleaf_Fruit!H40,S30_Dry_Broadleaf_Horti!H40,S31_Dry_Broadleaf_Timber!H40,S32_Dry_Broadleaf_Mixed!H40)</x:f>
        <x:v>38409.312135472064</x:v>
      </x:c>
      <x:c r="M26" s="49" t="n">
        <x:f aca="0">MAX(0,MIN(S21_Deserts_Xeric_Fruit!G40,S21_Deserts_Xeric_Fruit!$B$8))+MAX(0,MIN(S22_Deserts_Xeric_Horti!G40,S22_Deserts_Xeric_Horti!$B$8))+MAX(0,MIN(S23_Deserts_Xeric_Timber!G40,S23_Deserts_Xeric_Timber!$B$8))+MAX(0,MIN(S24_Deserts_Xeric_Mixed!G40,S24_Deserts_Xeric_Mixed!$B$8))+MAX(0,MIN(S25_Moist_Broadleaf_Fruit!G40,S25_Moist_Broadleaf_Fruit!$B$8))+MAX(0,MIN(S26_Moist_Broadleaf_Horti!G40,S26_Moist_Broadleaf_Horti!$B$8))+MAX(0,MIN(S27_Moist_Broadleaf_Timber!G40,S27_Moist_Broadleaf_Timber!$B$8))+MAX(0,MIN(S28_Moist_Broadleaf_Mixed!G40,S28_Moist_Broadleaf_Mixed!$B$8))+MAX(0,MIN(S29_Dry_Broadleaf_Fruit!G40,S29_Dry_Broadleaf_Fruit!$B$8))+MAX(0,MIN(S30_Dry_Broadleaf_Horti!G40,S30_Dry_Broadleaf_Horti!$B$8))+MAX(0,MIN(S31_Dry_Broadleaf_Timber!G40,S31_Dry_Broadleaf_Timber!$B$8))+MAX(0,MIN(S32_Dry_Broadleaf_Mixed!G40,S32_Dry_Broadleaf_Mixed!$B$8))</x:f>
        <x:v>992046.8077266006</x:v>
      </x:c>
      <x:c r="N26" s="49" t="n">
        <x:f aca="0">MAX(0,M26-M25)</x:f>
        <x:v>72.16350036498625</x:v>
      </x:c>
      <x:c r="O26" s="49" t="n">
        <x:f aca="0">N26*S08_Defaults!$B$10</x:f>
        <x:v>14.43270007299725</x:v>
      </x:c>
      <x:c r="P26" s="73" t="n">
        <x:f aca="0">MAX(0,N26-O26)</x:f>
        <x:v>57.730800291989</x:v>
      </x:c>
      <x:c r="Q26" s="74" t="n">
        <x:f aca="0">Q25+P26</x:f>
        <x:v>793637.4461812804</x:v>
      </x:c>
      <x:c r="R26" s="75" t="n">
        <x:f aca="0">IF(S08_Defaults!$B$14=0,0,P26/S08_Defaults!$B$14)</x:f>
        <x:v>0.02024364611091938</x:v>
      </x:c>
      <x:c r="S26" s="1" t="s">
        <x:v>149</x:v>
      </x:c>
    </x:row>
    <x:row r="27" ht="15" hidden="0" customHeight="1">
      <x:c r="A27" s="76"/>
      <x:c r="B27" s="76"/>
      <x:c r="C27" s="76"/>
      <x:c r="D27" s="76"/>
      <x:c r="E27" s="76"/>
      <x:c r="F27" s="76"/>
      <x:c r="G27" s="76"/>
      <x:c r="H27" s="76"/>
      <x:c r="I27" s="76"/>
      <x:c r="J27" s="76"/>
      <x:c r="K27" s="76"/>
      <x:c r="L27" s="76"/>
      <x:c r="M27" s="76"/>
      <x:c r="N27" s="76"/>
      <x:c r="O27" s="76"/>
      <x:c r="P27" s="76"/>
      <x:c r="Q27" s="76"/>
    </x:row>
    <x:row r="28" ht="21.75" hidden="0" customHeight="1">
      <x:c r="A28" s="77" t="s">
        <x:v>150</x:v>
      </x:c>
      <x:c r="B28" s="77"/>
      <x:c r="C28" s="77"/>
      <x:c r="D28" s="77"/>
      <x:c r="E28" s="77"/>
      <x:c r="F28" s="77"/>
      <x:c r="G28" s="77"/>
      <x:c r="H28" s="77"/>
      <x:c r="I28" s="77"/>
      <x:c r="J28" s="77"/>
      <x:c r="K28" s="77"/>
      <x:c r="L28" s="77"/>
      <x:c r="M28" s="77"/>
      <x:c r="N28" s="77"/>
      <x:c r="O28" s="77"/>
      <x:c r="P28" s="77"/>
      <x:c r="Q28" s="77"/>
      <x:c r="R28" s="77"/>
      <x:c r="S28" s="77"/>
    </x:row>
    <x:row r="29" ht="21.75" hidden="0" customHeight="1">
      <x:c r="A29" s="78" t="str">
        <x:v>Final VCU from 12 Biome×Model sheets</x:v>
      </x:c>
      <x:c r="B29" s="78"/>
      <x:c r="C29" s="78"/>
      <x:c r="D29" s="79" t="n">
        <x:f aca="0">SUM(S21_Deserts_Xeric_Fruit!B12,S22_Deserts_Xeric_Horti!B12,S23_Deserts_Xeric_Timber!B12,S24_Deserts_Xeric_Mixed!B12,S25_Moist_Broadleaf_Fruit!B12,S26_Moist_Broadleaf_Horti!B12,S27_Moist_Broadleaf_Timber!B12,S28_Moist_Broadleaf_Mixed!B12,S29_Dry_Broadleaf_Fruit!B12,S30_Dry_Broadleaf_Horti!B12,S31_Dry_Broadleaf_Timber!B12,S32_Dry_Broadleaf_Mixed!B12)</x:f>
        <x:v>793749.3884143794</x:v>
      </x:c>
      <x:c r="E29" s="79"/>
      <x:c r="F29" s="80" t="s">
        <x:v>151</x:v>
      </x:c>
      <x:c r="G29" s="81" t="str">
        <x:v>Σ each Biome×Model Final VCU (cell B12).</x:v>
      </x:c>
      <x:c r="H29" s="81"/>
      <x:c r="I29" s="81"/>
      <x:c r="J29" s="81"/>
      <x:c r="K29" s="81"/>
      <x:c r="L29" s="81"/>
      <x:c r="M29" s="81"/>
      <x:c r="N29" s="81"/>
      <x:c r="O29" s="81"/>
      <x:c r="P29" s="81"/>
      <x:c r="Q29" s="81"/>
      <x:c r="R29" s="81"/>
      <x:c r="S29" s="81"/>
    </x:row>
    <x:row r="30" ht="21.75" hidden="0" customHeight="1">
      <x:c r="A30" s="78" t="s">
        <x:v>152</x:v>
      </x:c>
      <x:c r="B30" s="78"/>
      <x:c r="C30" s="78"/>
      <x:c r="D30" s="79" t="n">
        <x:f aca="0">Q26</x:f>
        <x:v>793637.4461812804</x:v>
      </x:c>
      <x:c r="E30" s="79"/>
      <x:c r="F30" s="80" t="s">
        <x:v>151</x:v>
      </x:c>
      <x:c r="G30" s="81" t="s">
        <x:v>153</x:v>
      </x:c>
      <x:c r="H30" s="81"/>
      <x:c r="I30" s="81"/>
      <x:c r="J30" s="81"/>
      <x:c r="K30" s="81"/>
      <x:c r="L30" s="81"/>
      <x:c r="M30" s="81"/>
      <x:c r="N30" s="81"/>
      <x:c r="O30" s="81"/>
      <x:c r="P30" s="81"/>
      <x:c r="Q30" s="81"/>
      <x:c r="R30" s="81"/>
      <x:c r="S30" s="81"/>
    </x:row>
    <x:row r="31" ht="21.75" hidden="0" customHeight="1">
      <x:c r="A31" s="78" t="s">
        <x:v>154</x:v>
      </x:c>
      <x:c r="B31" s="78"/>
      <x:c r="C31" s="78"/>
      <x:c r="D31" s="79" t="n">
        <x:f aca="0">D30-D29</x:f>
        <x:v>-111.94223309902009</x:v>
      </x:c>
      <x:c r="E31" s="79"/>
      <x:c r="F31" s="80" t="s">
        <x:v>151</x:v>
      </x:c>
      <x:c r="G31" s="81" t="s">
        <x:v>155</x:v>
      </x:c>
      <x:c r="H31" s="81"/>
      <x:c r="I31" s="81"/>
      <x:c r="J31" s="81"/>
      <x:c r="K31" s="81"/>
      <x:c r="L31" s="81"/>
      <x:c r="M31" s="81"/>
      <x:c r="N31" s="81"/>
      <x:c r="O31" s="81"/>
      <x:c r="P31" s="81"/>
      <x:c r="Q31" s="81"/>
      <x:c r="R31" s="81"/>
      <x:c r="S31" s="81"/>
    </x:row>
    <x:row r="32" ht="21.75" hidden="0" customHeight="1">
      <x:c r="A32" s="78" t="s">
        <x:v>156</x:v>
      </x:c>
      <x:c r="B32" s="78"/>
      <x:c r="C32" s="78"/>
      <x:c r="D32" s="79" t="n">
        <x:f aca="0">SUM(S33_Project_Deductions!$H$4:$H$24)</x:f>
        <x:v>106471.70009672528</x:v>
      </x:c>
      <x:c r="E32" s="79"/>
      <x:c r="F32" s="80" t="s">
        <x:v>151</x:v>
      </x:c>
      <x:c r="G32" s="81" t="s">
        <x:v>157</x:v>
      </x:c>
      <x:c r="H32" s="81"/>
      <x:c r="I32" s="81"/>
      <x:c r="J32" s="81"/>
      <x:c r="K32" s="81"/>
      <x:c r="L32" s="81"/>
      <x:c r="M32" s="81"/>
      <x:c r="N32" s="81"/>
      <x:c r="O32" s="81"/>
      <x:c r="P32" s="81"/>
      <x:c r="Q32" s="81"/>
      <x:c r="R32" s="81"/>
      <x:c r="S32" s="81"/>
    </x:row>
    <x:row r="33" ht="21.75" hidden="0" customHeight="1">
      <x:c r="A33" s="78" t="s">
        <x:v>158</x:v>
      </x:c>
      <x:c r="B33" s="78"/>
      <x:c r="C33" s="78"/>
      <x:c r="D33" s="79" t="n">
        <x:f aca="0">SUM(S33_Project_Deductions!$I$4:$I$24)</x:f>
        <x:v>0</x:v>
      </x:c>
      <x:c r="E33" s="79"/>
      <x:c r="F33" s="80" t="s">
        <x:v>151</x:v>
      </x:c>
      <x:c r="G33" s="81" t="s">
        <x:v>159</x:v>
      </x:c>
      <x:c r="H33" s="81"/>
      <x:c r="I33" s="81"/>
      <x:c r="J33" s="81"/>
      <x:c r="K33" s="81"/>
      <x:c r="L33" s="81"/>
      <x:c r="M33" s="81"/>
      <x:c r="N33" s="81"/>
      <x:c r="O33" s="81"/>
      <x:c r="P33" s="81"/>
      <x:c r="Q33" s="81"/>
      <x:c r="R33" s="81"/>
      <x:c r="S33" s="81"/>
    </x:row>
    <x:row r="34" ht="21.75" hidden="0" customHeight="1">
      <x:c r="A34" s="78" t="s">
        <x:v>160</x:v>
      </x:c>
      <x:c r="B34" s="78"/>
      <x:c r="C34" s="78"/>
      <x:c r="D34" s="79" t="n">
        <x:f aca="0">SUM(S33_Project_Deductions!$B$4:$B$24)</x:f>
        <x:v>106471.70009672528</x:v>
      </x:c>
      <x:c r="E34" s="79"/>
      <x:c r="F34" s="80" t="s">
        <x:v>151</x:v>
      </x:c>
      <x:c r="G34" s="81" t="s">
        <x:v>161</x:v>
      </x:c>
      <x:c r="H34" s="81"/>
      <x:c r="I34" s="81"/>
      <x:c r="J34" s="81"/>
      <x:c r="K34" s="81"/>
      <x:c r="L34" s="81"/>
      <x:c r="M34" s="81"/>
      <x:c r="N34" s="81"/>
      <x:c r="O34" s="81"/>
      <x:c r="P34" s="81"/>
      <x:c r="Q34" s="81"/>
      <x:c r="R34" s="81"/>
      <x:c r="S34" s="81"/>
    </x:row>
    <x:row r="35" ht="21.75" hidden="0" customHeight="1">
      <x:c r="A35" s="78" t="s">
        <x:v>162</x:v>
      </x:c>
      <x:c r="B35" s="78"/>
      <x:c r="C35" s="78"/>
      <x:c r="D35" s="79" t="n">
        <x:f aca="0">SUM(S33_Project_Deductions!$C$4:$C$24)</x:f>
        <x:v>20990.32404640868</x:v>
      </x:c>
      <x:c r="E35" s="79"/>
      <x:c r="F35" s="80" t="s">
        <x:v>151</x:v>
      </x:c>
      <x:c r="G35" s="81" t="s">
        <x:v>163</x:v>
      </x:c>
      <x:c r="H35" s="81"/>
      <x:c r="I35" s="81"/>
      <x:c r="J35" s="81"/>
      <x:c r="K35" s="81"/>
      <x:c r="L35" s="81"/>
      <x:c r="M35" s="81"/>
      <x:c r="N35" s="81"/>
      <x:c r="O35" s="81"/>
      <x:c r="P35" s="81"/>
      <x:c r="Q35" s="81"/>
      <x:c r="R35" s="81"/>
      <x:c r="S35" s="81"/>
    </x:row>
    <x:row r="36" ht="21.75" hidden="0" customHeight="1">
      <x:c r="A36" s="82" t="s">
        <x:v>164</x:v>
      </x:c>
      <x:c r="B36" s="82"/>
      <x:c r="C36" s="82"/>
      <x:c r="D36" s="83" t="s">
        <x:v>165</x:v>
      </x:c>
      <x:c r="E36" s="83"/>
      <x:c r="F36" s="80"/>
      <x:c r="G36" s="81" t="str">
        <x:v>S35_PE_Leakage_Derivation!B8:B11. Changes flow automatically to S33_Project_Deductions, all 12 Biome×Model sheets, and S04_Final_ERR.</x:v>
      </x:c>
      <x:c r="H36" s="81"/>
      <x:c r="I36" s="81"/>
      <x:c r="J36" s="81"/>
      <x:c r="K36" s="81"/>
      <x:c r="L36" s="81"/>
      <x:c r="M36" s="81"/>
      <x:c r="N36" s="81"/>
      <x:c r="O36" s="81"/>
      <x:c r="P36" s="81"/>
      <x:c r="Q36" s="81"/>
      <x:c r="R36" s="81"/>
      <x:c r="S36" s="81"/>
    </x:row>
  </x:sheetData>
  <x:mergeCells>
    <x:mergeCell ref="A1:S1"/>
    <x:mergeCell ref="A2:S2"/>
    <x:mergeCell ref="A27:Q27"/>
    <x:mergeCell ref="A28:S28"/>
    <x:mergeCell ref="A29:C29"/>
    <x:mergeCell ref="D29:E29"/>
    <x:mergeCell ref="G29:S29"/>
    <x:mergeCell ref="A30:C30"/>
    <x:mergeCell ref="D30:E30"/>
    <x:mergeCell ref="G30:S30"/>
    <x:mergeCell ref="A31:C31"/>
    <x:mergeCell ref="D31:E31"/>
    <x:mergeCell ref="G31:S31"/>
    <x:mergeCell ref="A32:C32"/>
    <x:mergeCell ref="D32:E32"/>
    <x:mergeCell ref="G32:S32"/>
    <x:mergeCell ref="A33:C33"/>
    <x:mergeCell ref="D33:E33"/>
    <x:mergeCell ref="G33:S33"/>
    <x:mergeCell ref="A34:C34"/>
    <x:mergeCell ref="D34:E34"/>
    <x:mergeCell ref="G34:S34"/>
    <x:mergeCell ref="A35:C35"/>
    <x:mergeCell ref="D35:E35"/>
    <x:mergeCell ref="G35:S35"/>
    <x:mergeCell ref="A36:C36"/>
    <x:mergeCell ref="D36:E36"/>
    <x:mergeCell ref="G36:S36"/>
  </x:mergeCells>
  <x:conditionalFormatting sqref="B31:B31">
    <x:cfRule type="expression" dxfId="0" priority="2" aboveAverage="0" percent="0" bottom="0" rank="0" equalAverage="0">
      <x:formula>ABS(B31)&gt;0.01</x:formula>
    </x:cfRule>
  </x:conditionalFormatting>
  <x:conditionalFormatting sqref="D31:E31">
    <x:cfRule type="expression" dxfId="0" priority="3" aboveAverage="0" percent="0" bottom="0" rank="0" equalAverage="0">
      <x:formula>ABS(D31)&gt;0.01</x:formula>
    </x:cfRule>
  </x:conditionalFormatting>
  <x:pageMargins left="0.7" right="0.7" top="0.75" bottom="0.75" header="0.3" footer="0.3"/>
</x:worksheet>
</file>

<file path=xl/worksheets/sheet5.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10" style="37" hidden="0" customWidth="1"/>
    <x:col min="2" max="2" width="14" style="37" hidden="0" customWidth="1"/>
    <x:col min="3" max="3" width="26" style="37" hidden="0" customWidth="1"/>
    <x:col min="4" max="4" width="42" style="37" hidden="0" customWidth="1"/>
    <x:col min="5" max="5" width="22" style="37" hidden="0" customWidth="1"/>
    <x:col min="6" max="6" width="14" style="37" hidden="0" customWidth="1"/>
    <x:col min="7" max="7" width="26" style="37" hidden="0" customWidth="1"/>
    <x:col min="8" max="8" width="55" style="37" hidden="0" customWidth="1"/>
  </x:cols>
  <x:sheetData>
    <x:row r="1" ht="24" hidden="0" customHeight="1">
      <x:c r="A1" s="38" t="s">
        <x:v>166</x:v>
      </x:c>
      <x:c r="B1" s="38"/>
      <x:c r="C1" s="38"/>
      <x:c r="D1" s="38"/>
      <x:c r="E1" s="38"/>
      <x:c r="F1" s="38"/>
      <x:c r="G1" s="38"/>
      <x:c r="H1" s="38"/>
    </x:row>
    <x:row r="2" ht="15" hidden="0" customHeight="1">
      <x:c r="A2" s="39" t="s">
        <x:v>167</x:v>
      </x:c>
      <x:c r="B2" s="39"/>
      <x:c r="C2" s="39"/>
      <x:c r="D2" s="39"/>
      <x:c r="E2" s="39"/>
      <x:c r="F2" s="39"/>
      <x:c r="G2" s="39"/>
      <x:c r="H2" s="39"/>
    </x:row>
    <x:row r="3" ht="15" hidden="0" customHeight="1">
      <x:c r="A3" s="40"/>
      <x:c r="B3" s="40"/>
      <x:c r="C3" s="40"/>
      <x:c r="D3" s="40"/>
      <x:c r="E3" s="40"/>
      <x:c r="F3" s="40"/>
      <x:c r="G3" s="40"/>
      <x:c r="H3" s="40"/>
    </x:row>
    <x:row r="4" ht="23.25" hidden="0" customHeight="1">
      <x:c r="A4" s="41" t="s">
        <x:v>168</x:v>
      </x:c>
      <x:c r="B4" s="41" t="s">
        <x:v>169</x:v>
      </x:c>
      <x:c r="C4" s="41" t="s">
        <x:v>170</x:v>
      </x:c>
      <x:c r="D4" s="41" t="s">
        <x:v>171</x:v>
      </x:c>
      <x:c r="E4" s="41" t="s">
        <x:v>172</x:v>
      </x:c>
      <x:c r="F4" s="41" t="s">
        <x:v>173</x:v>
      </x:c>
      <x:c r="G4" s="41" t="s">
        <x:v>174</x:v>
      </x:c>
      <x:c r="H4" s="41" t="s">
        <x:v>175</x:v>
      </x:c>
    </x:row>
    <x:row r="5" ht="23.25" hidden="0" customHeight="1">
      <x:c r="A5" s="42" t="s">
        <x:v>176</x:v>
      </x:c>
      <x:c r="B5" s="43" t="s">
        <x:v>177</x:v>
      </x:c>
      <x:c r="C5" s="43" t="s">
        <x:v>178</x:v>
      </x:c>
      <x:c r="D5" s="43" t="s">
        <x:v>179</x:v>
      </x:c>
      <x:c r="E5" s="43" t="s">
        <x:v>180</x:v>
      </x:c>
      <x:c r="F5" s="43" t="s">
        <x:v>181</x:v>
      </x:c>
      <x:c r="G5" s="43" t="str">
        <x:v>Biome_ER sheets 'Gross ΔCWP'; S04_Final_ERR row 21+</x:v>
      </x:c>
      <x:c r="H5" s="43" t="s">
        <x:v>182</x:v>
      </x:c>
    </x:row>
    <x:row r="6" ht="34.5" hidden="0" customHeight="1">
      <x:c r="A6" s="84" t="s">
        <x:v>183</x:v>
      </x:c>
      <x:c r="B6" s="85" t="s">
        <x:v>177</x:v>
      </x:c>
      <x:c r="C6" s="85" t="s">
        <x:v>184</x:v>
      </x:c>
      <x:c r="D6" s="85" t="s">
        <x:v>185</x:v>
      </x:c>
      <x:c r="E6" s="85" t="s">
        <x:v>186</x:v>
      </x:c>
      <x:c r="F6" s="85" t="s">
        <x:v>187</x:v>
      </x:c>
      <x:c r="G6" s="85" t="str">
        <x:v>S17_Biome_Strata → S15_Source_Strata</x:v>
      </x:c>
      <x:c r="H6" s="85" t="s">
        <x:v>188</x:v>
      </x:c>
    </x:row>
    <x:row r="7" ht="34.5" hidden="0" customHeight="1">
      <x:c r="A7" s="42" t="s">
        <x:v>189</x:v>
      </x:c>
      <x:c r="B7" s="43" t="s">
        <x:v>190</x:v>
      </x:c>
      <x:c r="C7" s="43" t="s">
        <x:v>191</x:v>
      </x:c>
      <x:c r="D7" s="43" t="s">
        <x:v>192</x:v>
      </x:c>
      <x:c r="E7" s="43" t="s">
        <x:v>193</x:v>
      </x:c>
      <x:c r="F7" s="43" t="s">
        <x:v>181</x:v>
      </x:c>
      <x:c r="G7" s="43" t="str">
        <x:v>S17_Biome_Strata col F 'Area ha' × Biome_ER stock; explicit trace text in S17_Biome_Strata col K</x:v>
      </x:c>
      <x:c r="H7" s="43" t="str">
        <x:v>Confirmed area-based throughout - no planting-unit (N) or per-tree scaling is used anywhere in the 92-row strata matrix or the Biome×Model sheets.</x:v>
      </x:c>
    </x:row>
    <x:row r="8" ht="45.75" hidden="0" customHeight="1">
      <x:c r="A8" s="42" t="s">
        <x:v>194</x:v>
      </x:c>
      <x:c r="B8" s="43" t="s">
        <x:v>190</x:v>
      </x:c>
      <x:c r="C8" s="43" t="s">
        <x:v>195</x:v>
      </x:c>
      <x:c r="D8" s="43" t="s">
        <x:v>196</x:v>
      </x:c>
      <x:c r="E8" s="43" t="s">
        <x:v>197</x:v>
      </x:c>
      <x:c r="F8" s="43" t="s">
        <x:v>181</x:v>
      </x:c>
      <x:c r="G8" s="43" t="s">
        <x:v>198</x:v>
      </x:c>
      <x:c r="H8" s="43" t="s">
        <x:v>199</x:v>
      </x:c>
    </x:row>
    <x:row r="9" ht="23.25" hidden="0" customHeight="1">
      <x:c r="A9" s="86" t="s">
        <x:v>200</x:v>
      </x:c>
      <x:c r="B9" s="87" t="s">
        <x:v>201</x:v>
      </x:c>
      <x:c r="C9" s="87" t="s">
        <x:v>202</x:v>
      </x:c>
      <x:c r="D9" s="87" t="s">
        <x:v>203</x:v>
      </x:c>
      <x:c r="E9" s="87" t="s">
        <x:v>204</x:v>
      </x:c>
      <x:c r="F9" s="87" t="s">
        <x:v>205</x:v>
      </x:c>
      <x:c r="G9" s="87" t="s">
        <x:v>206</x:v>
      </x:c>
      <x:c r="H9" s="87" t="s">
        <x:v>207</x:v>
      </x:c>
    </x:row>
    <x:row r="10" ht="34.5" hidden="0" customHeight="1">
      <x:c r="A10" s="86" t="s">
        <x:v>208</x:v>
      </x:c>
      <x:c r="B10" s="87" t="s">
        <x:v>209</x:v>
      </x:c>
      <x:c r="C10" s="87" t="s">
        <x:v>210</x:v>
      </x:c>
      <x:c r="D10" s="87" t="s">
        <x:v>211</x:v>
      </x:c>
      <x:c r="E10" s="87" t="s">
        <x:v>210</x:v>
      </x:c>
      <x:c r="F10" s="87" t="s">
        <x:v>205</x:v>
      </x:c>
      <x:c r="G10" s="87" t="s">
        <x:v>206</x:v>
      </x:c>
      <x:c r="H10" s="87" t="s">
        <x:v>212</x:v>
      </x:c>
    </x:row>
    <x:row r="11" ht="23.25" hidden="0" customHeight="1">
      <x:c r="A11" s="86" t="s">
        <x:v>213</x:v>
      </x:c>
      <x:c r="B11" s="87" t="s">
        <x:v>214</x:v>
      </x:c>
      <x:c r="C11" s="87" t="s">
        <x:v>215</x:v>
      </x:c>
      <x:c r="D11" s="87" t="s">
        <x:v>216</x:v>
      </x:c>
      <x:c r="E11" s="87" t="s">
        <x:v>215</x:v>
      </x:c>
      <x:c r="F11" s="87" t="s">
        <x:v>205</x:v>
      </x:c>
      <x:c r="G11" s="87" t="s">
        <x:v>206</x:v>
      </x:c>
      <x:c r="H11" s="87" t="s">
        <x:v>217</x:v>
      </x:c>
    </x:row>
    <x:row r="12" ht="68.25" hidden="0" customHeight="1">
      <x:c r="A12" s="86" t="s">
        <x:v>218</x:v>
      </x:c>
      <x:c r="B12" s="87" t="s">
        <x:v>219</x:v>
      </x:c>
      <x:c r="C12" s="87" t="s">
        <x:v>220</x:v>
      </x:c>
      <x:c r="D12" s="87" t="s">
        <x:v>221</x:v>
      </x:c>
      <x:c r="E12" s="87" t="s">
        <x:v>222</x:v>
      </x:c>
      <x:c r="F12" s="87" t="s">
        <x:v>205</x:v>
      </x:c>
      <x:c r="G12" s="87" t="s">
        <x:v>223</x:v>
      </x:c>
      <x:c r="H12" s="87" t="str">
        <x:v>Excluded pool - confirmed zero external references from S37_SOC_Pool into S04_Final_ERR or any Biome x Model sheet. Table 1 requires inclusion if soil disturbance (i) occurs more than once in the crediting period, (ii) involves harvesting, or (iii) involves inversion &gt;25cm. Several project models here plan harvesting (Timber Plantation, Fruit Orchard - see LTA application), so SOC inclusion should be re-examined against the actual site-preparation and harvest plan. See S38_Appendix2_Significance_Test rows 53-55 for the live trigger test (currently Unknown on all three questions).</x:v>
      </x:c>
    </x:row>
    <x:row r="13" ht="45.75" hidden="0" customHeight="1">
      <x:c r="A13" s="42" t="s">
        <x:v>224</x:v>
      </x:c>
      <x:c r="B13" s="43" t="s">
        <x:v>225</x:v>
      </x:c>
      <x:c r="C13" s="43" t="s">
        <x:v>226</x:v>
      </x:c>
      <x:c r="D13" s="43" t="s">
        <x:v>227</x:v>
      </x:c>
      <x:c r="E13" s="43" t="s">
        <x:v>228</x:v>
      </x:c>
      <x:c r="F13" s="43" t="s">
        <x:v>229</x:v>
      </x:c>
      <x:c r="G13" s="43" t="s">
        <x:v>230</x:v>
      </x:c>
      <x:c r="H13" s="43" t="s">
        <x:v>231</x:v>
      </x:c>
    </x:row>
    <x:row r="14" ht="34.5" hidden="0" customHeight="1">
      <x:c r="A14" s="86" t="s">
        <x:v>232</x:v>
      </x:c>
      <x:c r="B14" s="87" t="s">
        <x:v>233</x:v>
      </x:c>
      <x:c r="C14" s="87" t="s">
        <x:v>234</x:v>
      </x:c>
      <x:c r="D14" s="87" t="s">
        <x:v>235</x:v>
      </x:c>
      <x:c r="E14" s="87" t="s">
        <x:v>236</x:v>
      </x:c>
      <x:c r="F14" s="87" t="s">
        <x:v>237</x:v>
      </x:c>
      <x:c r="G14" s="87" t="s">
        <x:v>238</x:v>
      </x:c>
      <x:c r="H14" s="87" t="s">
        <x:v>239</x:v>
      </x:c>
    </x:row>
    <x:row r="15" ht="34.5" hidden="0" customHeight="1">
      <x:c r="A15" s="86" t="s">
        <x:v>240</x:v>
      </x:c>
      <x:c r="B15" s="87" t="s">
        <x:v>241</x:v>
      </x:c>
      <x:c r="C15" s="87" t="s">
        <x:v>242</x:v>
      </x:c>
      <x:c r="D15" s="87" t="s">
        <x:v>243</x:v>
      </x:c>
      <x:c r="E15" s="87" t="s">
        <x:v>244</x:v>
      </x:c>
      <x:c r="F15" s="87" t="s">
        <x:v>229</x:v>
      </x:c>
      <x:c r="G15" s="87" t="s">
        <x:v>245</x:v>
      </x:c>
      <x:c r="H15" s="87" t="s">
        <x:v>246</x:v>
      </x:c>
    </x:row>
    <x:row r="16" ht="34.5" hidden="0" customHeight="1">
      <x:c r="A16" s="88" t="s">
        <x:v>247</x:v>
      </x:c>
      <x:c r="B16" s="89" t="s">
        <x:v>248</x:v>
      </x:c>
      <x:c r="C16" s="89" t="s">
        <x:v>249</x:v>
      </x:c>
      <x:c r="D16" s="89" t="s">
        <x:v>250</x:v>
      </x:c>
      <x:c r="E16" s="89" t="s">
        <x:v>251</x:v>
      </x:c>
      <x:c r="F16" s="89" t="s">
        <x:v>252</x:v>
      </x:c>
      <x:c r="G16" s="89" t="s">
        <x:v>206</x:v>
      </x:c>
      <x:c r="H16" s="89" t="s">
        <x:v>253</x:v>
      </x:c>
    </x:row>
    <x:row r="17" ht="15" hidden="0" customHeight="1">
      <x:c r="A17" s="88" t="s">
        <x:v>254</x:v>
      </x:c>
      <x:c r="B17" s="89" t="s">
        <x:v>255</x:v>
      </x:c>
      <x:c r="C17" s="89" t="s">
        <x:v>256</x:v>
      </x:c>
      <x:c r="D17" s="89" t="s">
        <x:v>250</x:v>
      </x:c>
      <x:c r="E17" s="89" t="s">
        <x:v>206</x:v>
      </x:c>
      <x:c r="F17" s="89" t="s">
        <x:v>252</x:v>
      </x:c>
      <x:c r="G17" s="89" t="s">
        <x:v>206</x:v>
      </x:c>
      <x:c r="H17" s="89" t="s">
        <x:v>257</x:v>
      </x:c>
    </x:row>
    <x:row r="18" ht="68.25" hidden="0" customHeight="1">
      <x:c r="A18" s="84" t="s">
        <x:v>258</x:v>
      </x:c>
      <x:c r="B18" s="85" t="s">
        <x:v>259</x:v>
      </x:c>
      <x:c r="C18" s="85" t="s">
        <x:v>260</x:v>
      </x:c>
      <x:c r="D18" s="85" t="s">
        <x:v>261</x:v>
      </x:c>
      <x:c r="E18" s="85" t="s">
        <x:v>262</x:v>
      </x:c>
      <x:c r="F18" s="85" t="s">
        <x:v>263</x:v>
      </x:c>
      <x:c r="G18" s="85" t="str">
        <x:v>S08_Defaults!B9 = 20% flat ex-ante deduction</x:v>
      </x:c>
      <x:c r="H18" s="85" t="str">
        <x:v>The workbook applies a 20% conservative ex-ante deduction under VM0047 §8.7(3), not the ex-post statistical Eq.(28) formula. Replace with the actual Eq.(28) calculation using field SE/correlation data at verification.</x:v>
      </x:c>
    </x:row>
    <x:row r="19" ht="34.5" hidden="0" customHeight="1">
      <x:c r="A19" s="88" t="s">
        <x:v>264</x:v>
      </x:c>
      <x:c r="B19" s="89" t="s">
        <x:v>265</x:v>
      </x:c>
      <x:c r="C19" s="89" t="s">
        <x:v>266</x:v>
      </x:c>
      <x:c r="D19" s="89" t="s">
        <x:v>250</x:v>
      </x:c>
      <x:c r="E19" s="89" t="s">
        <x:v>206</x:v>
      </x:c>
      <x:c r="F19" s="89" t="s">
        <x:v>252</x:v>
      </x:c>
      <x:c r="G19" s="89" t="s">
        <x:v>206</x:v>
      </x:c>
      <x:c r="H19" s="89" t="s">
        <x:v>257</x:v>
      </x:c>
    </x:row>
    <x:row r="20" ht="34.5" hidden="0" customHeight="1">
      <x:c r="A20" s="42" t="s">
        <x:v>267</x:v>
      </x:c>
      <x:c r="B20" s="43" t="s">
        <x:v>268</x:v>
      </x:c>
      <x:c r="C20" s="43" t="s">
        <x:v>269</x:v>
      </x:c>
      <x:c r="D20" s="43" t="s">
        <x:v>270</x:v>
      </x:c>
      <x:c r="E20" s="43" t="s">
        <x:v>271</x:v>
      </x:c>
      <x:c r="F20" s="43" t="s">
        <x:v>181</x:v>
      </x:c>
      <x:c r="G20" s="43" t="str">
        <x:v>Biome×Model sheets col G/H; S04_Final_ERR rows 21-41</x:v>
      </x:c>
      <x:c r="H20" s="43" t="s">
        <x:v>272</x:v>
      </x:c>
    </x:row>
    <x:row r="21" ht="15" hidden="0" customHeight="1">
      <x:c r="A21" s="88" t="s">
        <x:v>273</x:v>
      </x:c>
      <x:c r="B21" s="89" t="s">
        <x:v>274</x:v>
      </x:c>
      <x:c r="C21" s="89" t="s">
        <x:v>275</x:v>
      </x:c>
      <x:c r="D21" s="89" t="s">
        <x:v>250</x:v>
      </x:c>
      <x:c r="E21" s="89" t="s">
        <x:v>206</x:v>
      </x:c>
      <x:c r="F21" s="89" t="s">
        <x:v>252</x:v>
      </x:c>
      <x:c r="G21" s="89" t="s">
        <x:v>206</x:v>
      </x:c>
      <x:c r="H21" s="89" t="s">
        <x:v>257</x:v>
      </x:c>
    </x:row>
    <x:row r="22" ht="23.25" hidden="0" customHeight="1">
      <x:c r="A22" s="42" t="s">
        <x:v>276</x:v>
      </x:c>
      <x:c r="B22" s="43" t="s">
        <x:v>277</x:v>
      </x:c>
      <x:c r="C22" s="43" t="s">
        <x:v>278</x:v>
      </x:c>
      <x:c r="D22" s="43" t="s">
        <x:v>279</x:v>
      </x:c>
      <x:c r="E22" s="43" t="s">
        <x:v>206</x:v>
      </x:c>
      <x:c r="F22" s="43" t="s">
        <x:v>181</x:v>
      </x:c>
      <x:c r="G22" s="43" t="str">
        <x:v>Biome×Model sheets col I; x=1 (annual rows)</x:v>
      </x:c>
      <x:c r="H22" s="43" t="s">
        <x:v>280</x:v>
      </x:c>
    </x:row>
    <x:row r="23" ht="102" hidden="0" customHeight="1">
      <x:c r="A23" s="84" t="s">
        <x:v>281</x:v>
      </x:c>
      <x:c r="B23" s="85" t="s">
        <x:v>282</x:v>
      </x:c>
      <x:c r="C23" s="85" t="s">
        <x:v>283</x:v>
      </x:c>
      <x:c r="D23" s="85" t="s">
        <x:v>284</x:v>
      </x:c>
      <x:c r="E23" s="85" t="s">
        <x:v>285</x:v>
      </x:c>
      <x:c r="F23" s="85" t="str">
        <x:v>Report-derived</x:v>
      </x:c>
      <x:c r="G23" s="85" t="str">
        <x:v>S09_PB_Input: 1.2188% / 31.2330% / 19.1613%</x:v>
      </x:c>
      <x:c r="H23" s="85" t="str">
        <x:v>PB is derived from the supplied TCARI Stocking Index performance-benchmark report. Appendix 1 Z-tests are significant, and PB_t is applied biome-wise from S09_PB_Input rather than from the retired 8%/15%/15% assumptions.</x:v>
      </x:c>
    </x:row>
    <x:row r="24" ht="45.75" hidden="0" customHeight="1">
      <x:c r="A24" s="86" t="s">
        <x:v>286</x:v>
      </x:c>
      <x:c r="B24" s="87" t="s">
        <x:v>287</x:v>
      </x:c>
      <x:c r="C24" s="87" t="s">
        <x:v>288</x:v>
      </x:c>
      <x:c r="D24" s="87" t="s">
        <x:v>289</x:v>
      </x:c>
      <x:c r="E24" s="87" t="s">
        <x:v>290</x:v>
      </x:c>
      <x:c r="F24" s="87" t="str">
        <x:v>Implemented</x:v>
      </x:c>
      <x:c r="G24" s="87" t="str">
        <x:v>S09_PB_Input: Z = 11.3533 / 4.4943 / 7.4816</x:v>
      </x:c>
      <x:c r="H24" s="87" t="str">
        <x:v>Appendix 1 Z-tests are integrated from the supplied PB report and are significant for Deserts &amp; Xeric Shrublands, Tropical &amp; Subtropical Moist Broadleaf Forests, and Tropical &amp; Subtropical Dry Broadleaf Forests.</x:v>
      </x:c>
    </x:row>
    <x:row r="25" ht="34.5" hidden="0" customHeight="1">
      <x:c r="A25" s="86" t="s">
        <x:v>291</x:v>
      </x:c>
      <x:c r="B25" s="87" t="s">
        <x:v>292</x:v>
      </x:c>
      <x:c r="C25" s="87" t="s">
        <x:v>293</x:v>
      </x:c>
      <x:c r="D25" s="87" t="s">
        <x:v>294</x:v>
      </x:c>
      <x:c r="E25" s="87" t="s">
        <x:v>295</x:v>
      </x:c>
      <x:c r="F25" s="87" t="s">
        <x:v>296</x:v>
      </x:c>
      <x:c r="G25" s="87" t="s">
        <x:v>34</x:v>
      </x:c>
      <x:c r="H25" s="87" t="s">
        <x:v>297</x:v>
      </x:c>
    </x:row>
    <x:row r="26" ht="90.75" hidden="0" customHeight="1">
      <x:c r="A26" s="86" t="s">
        <x:v>298</x:v>
      </x:c>
      <x:c r="B26" s="87" t="s">
        <x:v>299</x:v>
      </x:c>
      <x:c r="C26" s="87" t="s">
        <x:v>300</x:v>
      </x:c>
      <x:c r="D26" s="87" t="s">
        <x:v>301</x:v>
      </x:c>
      <x:c r="E26" s="87" t="s">
        <x:v>302</x:v>
      </x:c>
      <x:c r="F26" s="87" t="s">
        <x:v>303</x:v>
      </x:c>
      <x:c r="G26" s="87" t="s">
        <x:v>304</x:v>
      </x:c>
      <x:c r="H26" s="87" t="s">
        <x:v>305</x:v>
      </x:c>
    </x:row>
    <x:row r="27" ht="45.75" hidden="0" customHeight="1">
      <x:c r="A27" s="42" t="s">
        <x:v>306</x:v>
      </x:c>
      <x:c r="B27" s="43" t="s">
        <x:v>206</x:v>
      </x:c>
      <x:c r="C27" s="43" t="s">
        <x:v>307</x:v>
      </x:c>
      <x:c r="D27" s="43" t="s">
        <x:v>308</x:v>
      </x:c>
      <x:c r="E27" s="43" t="s">
        <x:v>309</x:v>
      </x:c>
      <x:c r="F27" s="43" t="s">
        <x:v>181</x:v>
      </x:c>
      <x:c r="G27" s="43" t="str">
        <x:v>Biome×Model sheets cols J-N; S04_Final_ERR rows 43-56</x:v>
      </x:c>
      <x:c r="H27" s="43" t="s">
        <x:v>310</x:v>
      </x:c>
    </x:row>
    <x:row r="28" ht="15" hidden="0" customHeight="1">
      <x:c r="A28" s="90" t="s">
        <x:v>311</x:v>
      </x:c>
      <x:c r="B28" s="90" t="s">
        <x:v>312</x:v>
      </x:c>
      <x:c r="C28" s="90" t="s">
        <x:v>313</x:v>
      </x:c>
      <x:c r="D28" s="90" t="s">
        <x:v>314</x:v>
      </x:c>
      <x:c r="E28" s="90" t="s">
        <x:v>315</x:v>
      </x:c>
      <x:c r="F28" s="90" t="s">
        <x:v>181</x:v>
      </x:c>
      <x:c r="G28" s="90" t="s">
        <x:v>316</x:v>
      </x:c>
      <x:c r="H28" s="90" t="s">
        <x:v>317</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26" style="37" hidden="0" customWidth="1"/>
    <x:col min="2" max="2" width="34" style="37" hidden="0" customWidth="1"/>
    <x:col min="3" max="3" width="16" style="37" hidden="0" customWidth="1"/>
    <x:col min="4" max="4" width="34" style="37" hidden="0" customWidth="1"/>
    <x:col min="5" max="5" width="16" style="37" hidden="0" customWidth="1"/>
    <x:col min="6" max="6" width="50" style="37" hidden="0" customWidth="1"/>
  </x:cols>
  <x:sheetData>
    <x:row r="1" ht="24" hidden="0" customHeight="1">
      <x:c r="A1" s="38" t="s">
        <x:v>318</x:v>
      </x:c>
      <x:c r="B1" s="38"/>
      <x:c r="C1" s="38"/>
      <x:c r="D1" s="38"/>
      <x:c r="E1" s="38"/>
      <x:c r="F1" s="38"/>
    </x:row>
    <x:row r="2" ht="15" hidden="0" customHeight="1">
      <x:c r="A2" s="39" t="s">
        <x:v>319</x:v>
      </x:c>
      <x:c r="B2" s="39"/>
      <x:c r="C2" s="39"/>
      <x:c r="D2" s="39"/>
      <x:c r="E2" s="39"/>
      <x:c r="F2" s="39"/>
    </x:row>
    <x:row r="3" ht="15" hidden="0" customHeight="1">
      <x:c r="A3" s="40"/>
      <x:c r="B3" s="40"/>
      <x:c r="C3" s="40"/>
      <x:c r="D3" s="40"/>
      <x:c r="E3" s="40"/>
      <x:c r="F3" s="40"/>
    </x:row>
    <x:row r="4" ht="23.25" hidden="0" customHeight="1">
      <x:c r="A4" s="41" t="s">
        <x:v>320</x:v>
      </x:c>
      <x:c r="B4" s="41" t="s">
        <x:v>321</x:v>
      </x:c>
      <x:c r="C4" s="41" t="s">
        <x:v>322</x:v>
      </x:c>
      <x:c r="D4" s="41" t="s">
        <x:v>323</x:v>
      </x:c>
      <x:c r="E4" s="41" t="s">
        <x:v>324</x:v>
      </x:c>
      <x:c r="F4" s="41" t="s">
        <x:v>325</x:v>
      </x:c>
    </x:row>
    <x:row r="5" ht="23.25" hidden="0" customHeight="1">
      <x:c r="A5" s="42" t="s">
        <x:v>326</x:v>
      </x:c>
      <x:c r="B5" s="43" t="s">
        <x:v>327</x:v>
      </x:c>
      <x:c r="C5" s="43" t="s">
        <x:v>181</x:v>
      </x:c>
      <x:c r="D5" s="43" t="s">
        <x:v>328</x:v>
      </x:c>
      <x:c r="E5" s="43" t="s">
        <x:v>329</x:v>
      </x:c>
      <x:c r="F5" s="43"/>
    </x:row>
    <x:row r="6" ht="34.5" hidden="0" customHeight="1">
      <x:c r="A6" s="42" t="s">
        <x:v>330</x:v>
      </x:c>
      <x:c r="B6" s="43" t="s">
        <x:v>327</x:v>
      </x:c>
      <x:c r="C6" s="43" t="s">
        <x:v>181</x:v>
      </x:c>
      <x:c r="D6" s="43" t="s">
        <x:v>331</x:v>
      </x:c>
      <x:c r="E6" s="43" t="s">
        <x:v>329</x:v>
      </x:c>
      <x:c r="F6" s="43" t="s">
        <x:v>332</x:v>
      </x:c>
    </x:row>
    <x:row r="7" ht="45.75" hidden="0" customHeight="1">
      <x:c r="A7" s="86" t="s">
        <x:v>333</x:v>
      </x:c>
      <x:c r="B7" s="87" t="s">
        <x:v>334</x:v>
      </x:c>
      <x:c r="C7" s="87" t="s">
        <x:v>335</x:v>
      </x:c>
      <x:c r="D7" s="87" t="s">
        <x:v>336</x:v>
      </x:c>
      <x:c r="E7" s="87" t="s">
        <x:v>337</x:v>
      </x:c>
      <x:c r="F7" s="87" t="s">
        <x:v>338</x:v>
      </x:c>
    </x:row>
    <x:row r="8" ht="23.25" hidden="0" customHeight="1">
      <x:c r="A8" s="86" t="s">
        <x:v>339</x:v>
      </x:c>
      <x:c r="B8" s="87" t="s">
        <x:v>340</x:v>
      </x:c>
      <x:c r="C8" s="87" t="s">
        <x:v>335</x:v>
      </x:c>
      <x:c r="D8" s="87" t="s">
        <x:v>341</x:v>
      </x:c>
      <x:c r="E8" s="87" t="s">
        <x:v>337</x:v>
      </x:c>
      <x:c r="F8" s="87" t="s">
        <x:v>342</x:v>
      </x:c>
    </x:row>
    <x:row r="9" ht="57" hidden="0" customHeight="1">
      <x:c r="A9" s="86" t="s">
        <x:v>210</x:v>
      </x:c>
      <x:c r="B9" s="87" t="s">
        <x:v>343</x:v>
      </x:c>
      <x:c r="C9" s="87" t="s">
        <x:v>335</x:v>
      </x:c>
      <x:c r="D9" s="87" t="s">
        <x:v>344</x:v>
      </x:c>
      <x:c r="E9" s="87" t="s">
        <x:v>337</x:v>
      </x:c>
      <x:c r="F9" s="87" t="s">
        <x:v>345</x:v>
      </x:c>
    </x:row>
    <x:row r="10" ht="23.25" hidden="0" customHeight="1">
      <x:c r="A10" s="86" t="s">
        <x:v>215</x:v>
      </x:c>
      <x:c r="B10" s="87" t="s">
        <x:v>346</x:v>
      </x:c>
      <x:c r="C10" s="87" t="s">
        <x:v>335</x:v>
      </x:c>
      <x:c r="D10" s="87" t="s">
        <x:v>347</x:v>
      </x:c>
      <x:c r="E10" s="87" t="s">
        <x:v>337</x:v>
      </x:c>
      <x:c r="F10" s="87" t="s">
        <x:v>348</x:v>
      </x:c>
    </x:row>
    <x:row r="11" ht="57" hidden="0" customHeight="1">
      <x:c r="A11" s="86" t="s">
        <x:v>349</x:v>
      </x:c>
      <x:c r="B11" s="87" t="s">
        <x:v>350</x:v>
      </x:c>
      <x:c r="C11" s="87" t="s">
        <x:v>335</x:v>
      </x:c>
      <x:c r="D11" s="87" t="s">
        <x:v>351</x:v>
      </x:c>
      <x:c r="E11" s="87" t="s">
        <x:v>352</x:v>
      </x:c>
      <x:c r="F11" s="87" t="str">
        <x:v>S38_Appendix2_Significance_Test rows 53-55 test all three VM0047 SOC triggers (Unknown). If any resolves Yes, SOC must be quantified in S37_SOC_Pool AND that result added into each Biome x Model sheet Gross ΔCWP before Eq.(32) - see S37 integration note.</x:v>
      </x:c>
    </x:row>
    <x:row r="12" ht="23.25" hidden="0" customHeight="1">
      <x:c r="A12" s="42" t="s">
        <x:v>353</x:v>
      </x:c>
      <x:c r="B12" s="43" t="s">
        <x:v>354</x:v>
      </x:c>
      <x:c r="C12" s="43" t="s">
        <x:v>355</x:v>
      </x:c>
      <x:c r="D12" s="43" t="s">
        <x:v>356</x:v>
      </x:c>
      <x:c r="E12" s="43" t="s">
        <x:v>329</x:v>
      </x:c>
      <x:c r="F12" s="43"/>
    </x:row>
    <x:row r="14" ht="23.25" hidden="0" customHeight="1">
      <x:c r="A14" s="91" t="s">
        <x:v>357</x:v>
      </x:c>
      <x:c r="B14" s="91"/>
      <x:c r="C14" s="91"/>
      <x:c r="D14" s="91"/>
      <x:c r="E14" s="91"/>
      <x:c r="F14" s="91"/>
    </x:row>
  </x:sheetData>
  <x:mergeCells>
    <x:mergeCell ref="A1:F1"/>
    <x:mergeCell ref="A2:F2"/>
    <x:mergeCell ref="A14:F14"/>
  </x:mergeCells>
  <x:pageMargins left="0.7" right="0.7" top="0.75" bottom="0.75" header="0.3" footer="0.3"/>
</x:worksheet>
</file>

<file path=xl/worksheets/sheet7.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26" style="1" hidden="0" customWidth="1"/>
    <x:col min="2" max="2" width="32" style="1" hidden="0" customWidth="1"/>
    <x:col min="3" max="3" width="14" style="1" hidden="0" customWidth="1"/>
    <x:col min="4" max="4" width="16" style="1" hidden="0" customWidth="1"/>
    <x:col min="5" max="5" width="22" style="1" hidden="0" customWidth="1"/>
    <x:col min="6" max="6" width="26" style="1" hidden="0" customWidth="1"/>
    <x:col min="7" max="7" width="30" style="1" hidden="0" customWidth="1"/>
    <x:col min="8" max="8" width="40" style="1" hidden="0" customWidth="1"/>
  </x:cols>
  <x:sheetData>
    <x:row r="1" ht="24" hidden="0" customHeight="1">
      <x:c r="A1" s="38" t="s">
        <x:v>358</x:v>
      </x:c>
      <x:c r="B1" s="38"/>
      <x:c r="C1" s="38"/>
      <x:c r="D1" s="38"/>
      <x:c r="E1" s="38"/>
      <x:c r="F1" s="38"/>
      <x:c r="G1" s="38"/>
      <x:c r="H1" s="38"/>
    </x:row>
    <x:row r="2" ht="15" hidden="0" customHeight="1">
      <x:c r="A2" s="39" t="s">
        <x:v>359</x:v>
      </x:c>
      <x:c r="B2" s="39"/>
      <x:c r="C2" s="39"/>
      <x:c r="D2" s="39"/>
      <x:c r="E2" s="39"/>
      <x:c r="F2" s="39"/>
      <x:c r="G2" s="39"/>
      <x:c r="H2" s="39"/>
    </x:row>
    <x:row r="3" ht="15" hidden="0" customHeight="1">
      <x:c r="A3" s="40"/>
      <x:c r="B3" s="40"/>
      <x:c r="C3" s="40"/>
      <x:c r="D3" s="40"/>
      <x:c r="E3" s="40"/>
      <x:c r="F3" s="40"/>
      <x:c r="G3" s="40"/>
      <x:c r="H3" s="40"/>
    </x:row>
    <x:row r="4" ht="15" hidden="0" customHeight="1">
      <x:c r="A4" s="92" t="s">
        <x:v>360</x:v>
      </x:c>
      <x:c r="B4" s="92" t="s">
        <x:v>361</x:v>
      </x:c>
      <x:c r="C4" s="92" t="s">
        <x:v>362</x:v>
      </x:c>
      <x:c r="D4" s="92" t="s">
        <x:v>363</x:v>
      </x:c>
      <x:c r="E4" s="92" t="s">
        <x:v>364</x:v>
      </x:c>
      <x:c r="F4" s="92" t="s">
        <x:v>365</x:v>
      </x:c>
      <x:c r="G4" s="92" t="s">
        <x:v>366</x:v>
      </x:c>
      <x:c r="H4" s="92" t="s">
        <x:v>367</x:v>
      </x:c>
    </x:row>
    <x:row r="5" ht="15" hidden="0" customHeight="1">
      <x:c r="A5" s="93" t="s">
        <x:v>368</x:v>
      </x:c>
      <x:c r="B5" s="93"/>
      <x:c r="C5" s="93"/>
      <x:c r="D5" s="93"/>
      <x:c r="E5" s="93"/>
      <x:c r="F5" s="93"/>
      <x:c r="G5" s="93"/>
      <x:c r="H5" s="93"/>
    </x:row>
    <x:row r="6" ht="15" hidden="0" customHeight="1">
      <x:c r="A6" s="43" t="s">
        <x:v>369</x:v>
      </x:c>
      <x:c r="B6" s="43" t="s">
        <x:v>370</x:v>
      </x:c>
      <x:c r="C6" s="43" t="s">
        <x:v>371</x:v>
      </x:c>
      <x:c r="D6" s="43" t="s">
        <x:v>372</x:v>
      </x:c>
      <x:c r="E6" s="43" t="s">
        <x:v>373</x:v>
      </x:c>
      <x:c r="F6" s="43" t="s">
        <x:v>374</x:v>
      </x:c>
      <x:c r="G6" s="43" t="str">
        <x:v>S08_Defaults!B14; S17_Biome_Strata col F</x:v>
      </x:c>
      <x:c r="H6" s="43" t="s">
        <x:v>375</x:v>
      </x:c>
    </x:row>
    <x:row r="7" ht="21.75" hidden="0" customHeight="1">
      <x:c r="A7" s="43" t="s">
        <x:v>376</x:v>
      </x:c>
      <x:c r="B7" s="43" t="s">
        <x:v>377</x:v>
      </x:c>
      <x:c r="C7" s="43" t="s">
        <x:v>378</x:v>
      </x:c>
      <x:c r="D7" s="43" t="s">
        <x:v>379</x:v>
      </x:c>
      <x:c r="E7" s="43" t="s">
        <x:v>373</x:v>
      </x:c>
      <x:c r="F7" s="43" t="s">
        <x:v>374</x:v>
      </x:c>
      <x:c r="G7" s="43" t="s">
        <x:v>380</x:v>
      </x:c>
      <x:c r="H7" s="43" t="s">
        <x:v>381</x:v>
      </x:c>
    </x:row>
    <x:row r="8" ht="15" hidden="0" customHeight="1">
      <x:c r="A8" s="43" t="s">
        <x:v>382</x:v>
      </x:c>
      <x:c r="B8" s="43" t="s">
        <x:v>383</x:v>
      </x:c>
      <x:c r="C8" s="43" t="s">
        <x:v>384</x:v>
      </x:c>
      <x:c r="D8" s="43" t="s">
        <x:v>385</x:v>
      </x:c>
      <x:c r="E8" s="43" t="s">
        <x:v>373</x:v>
      </x:c>
      <x:c r="F8" s="43" t="s">
        <x:v>374</x:v>
      </x:c>
      <x:c r="G8" s="43" t="s">
        <x:v>386</x:v>
      </x:c>
      <x:c r="H8" s="43" t="s">
        <x:v>387</x:v>
      </x:c>
    </x:row>
    <x:row r="9" ht="21.75" hidden="0" customHeight="1">
      <x:c r="A9" s="87" t="s">
        <x:v>388</x:v>
      </x:c>
      <x:c r="B9" s="87" t="s">
        <x:v>389</x:v>
      </x:c>
      <x:c r="C9" s="87" t="s">
        <x:v>378</x:v>
      </x:c>
      <x:c r="D9" s="87" t="s">
        <x:v>390</x:v>
      </x:c>
      <x:c r="E9" s="87" t="s">
        <x:v>373</x:v>
      </x:c>
      <x:c r="F9" s="87" t="s">
        <x:v>391</x:v>
      </x:c>
      <x:c r="G9" s="87" t="s">
        <x:v>392</x:v>
      </x:c>
      <x:c r="H9" s="87" t="s">
        <x:v>393</x:v>
      </x:c>
    </x:row>
    <x:row r="10" ht="15" hidden="0" customHeight="1">
      <x:c r="A10" s="87" t="s">
        <x:v>394</x:v>
      </x:c>
      <x:c r="B10" s="87" t="s">
        <x:v>395</x:v>
      </x:c>
      <x:c r="C10" s="87" t="s">
        <x:v>396</x:v>
      </x:c>
      <x:c r="D10" s="87" t="s">
        <x:v>390</x:v>
      </x:c>
      <x:c r="E10" s="87" t="s">
        <x:v>373</x:v>
      </x:c>
      <x:c r="F10" s="87" t="s">
        <x:v>391</x:v>
      </x:c>
      <x:c r="G10" s="87" t="s">
        <x:v>392</x:v>
      </x:c>
      <x:c r="H10" s="87" t="s">
        <x:v>340</x:v>
      </x:c>
    </x:row>
    <x:row r="11" ht="21.75" hidden="0" customHeight="1">
      <x:c r="A11" s="87" t="s">
        <x:v>397</x:v>
      </x:c>
      <x:c r="B11" s="87" t="s">
        <x:v>398</x:v>
      </x:c>
      <x:c r="C11" s="87" t="s">
        <x:v>378</x:v>
      </x:c>
      <x:c r="D11" s="87" t="s">
        <x:v>399</x:v>
      </x:c>
      <x:c r="E11" s="87" t="s">
        <x:v>373</x:v>
      </x:c>
      <x:c r="F11" s="87" t="s">
        <x:v>391</x:v>
      </x:c>
      <x:c r="G11" s="87" t="s">
        <x:v>392</x:v>
      </x:c>
      <x:c r="H11" s="87" t="s">
        <x:v>400</x:v>
      </x:c>
    </x:row>
    <x:row r="12" ht="21.75" hidden="0" customHeight="1">
      <x:c r="A12" s="87" t="s">
        <x:v>401</x:v>
      </x:c>
      <x:c r="B12" s="87" t="s">
        <x:v>402</x:v>
      </x:c>
      <x:c r="C12" s="87" t="s">
        <x:v>403</x:v>
      </x:c>
      <x:c r="D12" s="87" t="s">
        <x:v>404</x:v>
      </x:c>
      <x:c r="E12" s="87" t="s">
        <x:v>373</x:v>
      </x:c>
      <x:c r="F12" s="87" t="s">
        <x:v>391</x:v>
      </x:c>
      <x:c r="G12" s="87" t="s">
        <x:v>392</x:v>
      </x:c>
      <x:c r="H12" s="87" t="s">
        <x:v>405</x:v>
      </x:c>
    </x:row>
    <x:row r="13" ht="21.75" hidden="0" customHeight="1">
      <x:c r="A13" s="89" t="s">
        <x:v>406</x:v>
      </x:c>
      <x:c r="B13" s="89" t="s">
        <x:v>407</x:v>
      </x:c>
      <x:c r="C13" s="89" t="s">
        <x:v>408</x:v>
      </x:c>
      <x:c r="D13" s="89" t="s">
        <x:v>409</x:v>
      </x:c>
      <x:c r="E13" s="89" t="s">
        <x:v>373</x:v>
      </x:c>
      <x:c r="F13" s="89" t="s">
        <x:v>250</x:v>
      </x:c>
      <x:c r="G13" s="89" t="s">
        <x:v>392</x:v>
      </x:c>
      <x:c r="H13" s="89" t="s">
        <x:v>410</x:v>
      </x:c>
    </x:row>
    <x:row r="14" ht="15" hidden="0" customHeight="1">
      <x:c r="A14" s="93" t="s">
        <x:v>411</x:v>
      </x:c>
      <x:c r="B14" s="93"/>
      <x:c r="C14" s="93"/>
      <x:c r="D14" s="93"/>
      <x:c r="E14" s="93"/>
      <x:c r="F14" s="93"/>
      <x:c r="G14" s="93"/>
      <x:c r="H14" s="93"/>
    </x:row>
    <x:row r="15" ht="21.75" hidden="0" customHeight="1">
      <x:c r="A15" s="43" t="s">
        <x:v>412</x:v>
      </x:c>
      <x:c r="B15" s="43" t="s">
        <x:v>413</x:v>
      </x:c>
      <x:c r="C15" s="43" t="s">
        <x:v>414</x:v>
      </x:c>
      <x:c r="D15" s="43" t="s">
        <x:v>415</x:v>
      </x:c>
      <x:c r="E15" s="43" t="s">
        <x:v>416</x:v>
      </x:c>
      <x:c r="F15" s="43" t="s">
        <x:v>374</x:v>
      </x:c>
      <x:c r="G15" s="43" t="s">
        <x:v>417</x:v>
      </x:c>
      <x:c r="H15" s="43" t="s">
        <x:v>418</x:v>
      </x:c>
    </x:row>
    <x:row r="16" ht="21.75" hidden="0" customHeight="1">
      <x:c r="A16" s="87" t="s">
        <x:v>419</x:v>
      </x:c>
      <x:c r="B16" s="87" t="s">
        <x:v>420</x:v>
      </x:c>
      <x:c r="C16" s="87" t="s">
        <x:v>421</x:v>
      </x:c>
      <x:c r="D16" s="87" t="s">
        <x:v>422</x:v>
      </x:c>
      <x:c r="E16" s="87" t="s">
        <x:v>416</x:v>
      </x:c>
      <x:c r="F16" s="87" t="s">
        <x:v>423</x:v>
      </x:c>
      <x:c r="G16" s="87" t="s">
        <x:v>392</x:v>
      </x:c>
      <x:c r="H16" s="87" t="s">
        <x:v>424</x:v>
      </x:c>
    </x:row>
    <x:row r="17" ht="21.75" hidden="0" customHeight="1">
      <x:c r="A17" s="87" t="s">
        <x:v>425</x:v>
      </x:c>
      <x:c r="B17" s="87" t="s">
        <x:v>426</x:v>
      </x:c>
      <x:c r="C17" s="87" t="s">
        <x:v>421</x:v>
      </x:c>
      <x:c r="D17" s="87" t="s">
        <x:v>427</x:v>
      </x:c>
      <x:c r="E17" s="87" t="s">
        <x:v>416</x:v>
      </x:c>
      <x:c r="F17" s="87" t="s">
        <x:v>423</x:v>
      </x:c>
      <x:c r="G17" s="87" t="s">
        <x:v>392</x:v>
      </x:c>
      <x:c r="H17" s="87" t="s">
        <x:v>428</x:v>
      </x:c>
    </x:row>
    <x:row r="18" ht="21.75" hidden="0" customHeight="1">
      <x:c r="A18" s="87" t="s">
        <x:v>429</x:v>
      </x:c>
      <x:c r="B18" s="87" t="s">
        <x:v>430</x:v>
      </x:c>
      <x:c r="C18" s="87" t="s">
        <x:v>421</x:v>
      </x:c>
      <x:c r="D18" s="87" t="s">
        <x:v>427</x:v>
      </x:c>
      <x:c r="E18" s="87" t="s">
        <x:v>416</x:v>
      </x:c>
      <x:c r="F18" s="87" t="s">
        <x:v>423</x:v>
      </x:c>
      <x:c r="G18" s="87" t="s">
        <x:v>392</x:v>
      </x:c>
      <x:c r="H18" s="87" t="s">
        <x:v>428</x:v>
      </x:c>
    </x:row>
    <x:row r="19" ht="21.75" hidden="0" customHeight="1">
      <x:c r="A19" s="87" t="s">
        <x:v>431</x:v>
      </x:c>
      <x:c r="B19" s="87" t="s">
        <x:v>432</x:v>
      </x:c>
      <x:c r="C19" s="87" t="s">
        <x:v>421</x:v>
      </x:c>
      <x:c r="D19" s="87" t="s">
        <x:v>433</x:v>
      </x:c>
      <x:c r="E19" s="87" t="s">
        <x:v>434</x:v>
      </x:c>
      <x:c r="F19" s="87" t="s">
        <x:v>423</x:v>
      </x:c>
      <x:c r="G19" s="87" t="s">
        <x:v>392</x:v>
      </x:c>
      <x:c r="H19" s="87" t="s">
        <x:v>435</x:v>
      </x:c>
    </x:row>
    <x:row r="20" ht="32.25" hidden="0" customHeight="1">
      <x:c r="A20" s="85" t="s">
        <x:v>436</x:v>
      </x:c>
      <x:c r="B20" s="85" t="s">
        <x:v>437</x:v>
      </x:c>
      <x:c r="C20" s="85" t="s">
        <x:v>414</x:v>
      </x:c>
      <x:c r="D20" s="85" t="s">
        <x:v>218</x:v>
      </x:c>
      <x:c r="E20" s="85" t="s">
        <x:v>438</x:v>
      </x:c>
      <x:c r="F20" s="85" t="s">
        <x:v>439</x:v>
      </x:c>
      <x:c r="G20" s="85" t="s">
        <x:v>32</x:v>
      </x:c>
      <x:c r="H20" s="85" t="s">
        <x:v>440</x:v>
      </x:c>
    </x:row>
    <x:row r="21" ht="21.75" hidden="0" customHeight="1">
      <x:c r="A21" s="87" t="s">
        <x:v>441</x:v>
      </x:c>
      <x:c r="B21" s="87" t="s">
        <x:v>442</x:v>
      </x:c>
      <x:c r="C21" s="87" t="s">
        <x:v>371</x:v>
      </x:c>
      <x:c r="D21" s="87" t="s">
        <x:v>443</x:v>
      </x:c>
      <x:c r="E21" s="87" t="s">
        <x:v>416</x:v>
      </x:c>
      <x:c r="F21" s="87" t="s">
        <x:v>391</x:v>
      </x:c>
      <x:c r="G21" s="87" t="s">
        <x:v>392</x:v>
      </x:c>
      <x:c r="H21" s="87" t="s">
        <x:v>444</x:v>
      </x:c>
    </x:row>
    <x:row r="22" ht="21.75" hidden="0" customHeight="1">
      <x:c r="A22" s="87" t="s">
        <x:v>445</x:v>
      </x:c>
      <x:c r="B22" s="87" t="s">
        <x:v>446</x:v>
      </x:c>
      <x:c r="C22" s="87" t="s">
        <x:v>447</x:v>
      </x:c>
      <x:c r="D22" s="87" t="s">
        <x:v>448</x:v>
      </x:c>
      <x:c r="E22" s="87" t="s">
        <x:v>416</x:v>
      </x:c>
      <x:c r="F22" s="87" t="s">
        <x:v>391</x:v>
      </x:c>
      <x:c r="G22" s="87" t="s">
        <x:v>392</x:v>
      </x:c>
      <x:c r="H22" s="87" t="s">
        <x:v>449</x:v>
      </x:c>
    </x:row>
    <x:row r="23" ht="21.75" hidden="0" customHeight="1">
      <x:c r="A23" s="87" t="s">
        <x:v>450</x:v>
      </x:c>
      <x:c r="B23" s="87" t="s">
        <x:v>451</x:v>
      </x:c>
      <x:c r="C23" s="87" t="s">
        <x:v>452</x:v>
      </x:c>
      <x:c r="D23" s="87" t="s">
        <x:v>453</x:v>
      </x:c>
      <x:c r="E23" s="87" t="s">
        <x:v>416</x:v>
      </x:c>
      <x:c r="F23" s="87" t="s">
        <x:v>391</x:v>
      </x:c>
      <x:c r="G23" s="87" t="s">
        <x:v>392</x:v>
      </x:c>
      <x:c r="H23" s="87" t="s">
        <x:v>454</x:v>
      </x:c>
    </x:row>
    <x:row r="24" ht="21.75" hidden="0" customHeight="1">
      <x:c r="A24" s="87" t="s">
        <x:v>455</x:v>
      </x:c>
      <x:c r="B24" s="87" t="s">
        <x:v>456</x:v>
      </x:c>
      <x:c r="C24" s="87" t="s">
        <x:v>452</x:v>
      </x:c>
      <x:c r="D24" s="87" t="s">
        <x:v>457</x:v>
      </x:c>
      <x:c r="E24" s="87" t="s">
        <x:v>416</x:v>
      </x:c>
      <x:c r="F24" s="87" t="s">
        <x:v>391</x:v>
      </x:c>
      <x:c r="G24" s="87" t="s">
        <x:v>392</x:v>
      </x:c>
      <x:c r="H24" s="87" t="s">
        <x:v>458</x:v>
      </x:c>
    </x:row>
    <x:row r="25" ht="15" hidden="0" customHeight="1">
      <x:c r="A25" s="89" t="s">
        <x:v>459</x:v>
      </x:c>
      <x:c r="B25" s="89" t="s">
        <x:v>460</x:v>
      </x:c>
      <x:c r="C25" s="89" t="s">
        <x:v>408</x:v>
      </x:c>
      <x:c r="D25" s="89" t="s">
        <x:v>461</x:v>
      </x:c>
      <x:c r="E25" s="89" t="s">
        <x:v>462</x:v>
      </x:c>
      <x:c r="F25" s="89" t="s">
        <x:v>250</x:v>
      </x:c>
      <x:c r="G25" s="89" t="s">
        <x:v>392</x:v>
      </x:c>
      <x:c r="H25" s="89" t="s">
        <x:v>463</x:v>
      </x:c>
    </x:row>
    <x:row r="26" ht="21.75" hidden="0" customHeight="1">
      <x:c r="A26" s="89" t="s">
        <x:v>464</x:v>
      </x:c>
      <x:c r="B26" s="89" t="s">
        <x:v>465</x:v>
      </x:c>
      <x:c r="C26" s="89" t="s">
        <x:v>466</x:v>
      </x:c>
      <x:c r="D26" s="89" t="s">
        <x:v>467</x:v>
      </x:c>
      <x:c r="E26" s="89" t="s">
        <x:v>416</x:v>
      </x:c>
      <x:c r="F26" s="89" t="s">
        <x:v>250</x:v>
      </x:c>
      <x:c r="G26" s="89" t="s">
        <x:v>392</x:v>
      </x:c>
      <x:c r="H26" s="89" t="s">
        <x:v>463</x:v>
      </x:c>
    </x:row>
    <x:row r="27" ht="21.75" hidden="0" customHeight="1">
      <x:c r="A27" s="89" t="s">
        <x:v>468</x:v>
      </x:c>
      <x:c r="B27" s="89" t="s">
        <x:v>469</x:v>
      </x:c>
      <x:c r="C27" s="89" t="s">
        <x:v>470</x:v>
      </x:c>
      <x:c r="D27" s="89" t="s">
        <x:v>471</x:v>
      </x:c>
      <x:c r="E27" s="89" t="s">
        <x:v>416</x:v>
      </x:c>
      <x:c r="F27" s="89" t="s">
        <x:v>250</x:v>
      </x:c>
      <x:c r="G27" s="89" t="s">
        <x:v>392</x:v>
      </x:c>
      <x:c r="H27" s="89" t="s">
        <x:v>463</x:v>
      </x:c>
    </x:row>
    <x:row r="28" ht="21.75" hidden="0" customHeight="1">
      <x:c r="A28" s="89" t="s">
        <x:v>472</x:v>
      </x:c>
      <x:c r="B28" s="89" t="s">
        <x:v>473</x:v>
      </x:c>
      <x:c r="C28" s="89" t="s">
        <x:v>408</x:v>
      </x:c>
      <x:c r="D28" s="89" t="s">
        <x:v>474</x:v>
      </x:c>
      <x:c r="E28" s="89" t="s">
        <x:v>416</x:v>
      </x:c>
      <x:c r="F28" s="89" t="s">
        <x:v>250</x:v>
      </x:c>
      <x:c r="G28" s="89" t="s">
        <x:v>392</x:v>
      </x:c>
      <x:c r="H28" s="89" t="s">
        <x:v>463</x:v>
      </x:c>
    </x:row>
    <x:row r="29" ht="32.25" hidden="0" customHeight="1">
      <x:c r="A29" s="87" t="s">
        <x:v>475</x:v>
      </x:c>
      <x:c r="B29" s="87" t="s">
        <x:v>476</x:v>
      </x:c>
      <x:c r="C29" s="87" t="s">
        <x:v>151</x:v>
      </x:c>
      <x:c r="D29" s="87" t="s">
        <x:v>477</x:v>
      </x:c>
      <x:c r="E29" s="87" t="s">
        <x:v>416</x:v>
      </x:c>
      <x:c r="F29" s="87" t="str">
        <x:v>Not available ex-ante</x:v>
      </x:c>
      <x:c r="G29" s="87" t="s">
        <x:v>392</x:v>
      </x:c>
      <x:c r="H29" s="87" t="str">
        <x:v>Ex-ante uncertainty is a flat 20% conservative deduction (S08_Defaults!B9) rather than the ex-post field standard-error calculation; populate SEp,t at verification and apply Eq.(28).</x:v>
      </x:c>
    </x:row>
    <x:row r="31" ht="15" hidden="0" customHeight="1">
      <x:c r="A31" s="94" t="s">
        <x:v>478</x:v>
      </x:c>
      <x:c r="B31" s="94"/>
      <x:c r="C31" s="94"/>
      <x:c r="D31" s="94"/>
      <x:c r="E31" s="94"/>
      <x:c r="F31" s="94"/>
      <x:c r="G31" s="94"/>
      <x:c r="H31" s="94"/>
    </x:row>
  </x:sheetData>
  <x:mergeCells>
    <x:mergeCell ref="A1:H1"/>
    <x:mergeCell ref="A2:H2"/>
    <x:mergeCell ref="A5:H5"/>
    <x:mergeCell ref="A14:H14"/>
    <x:mergeCell ref="A31:H31"/>
  </x:mergeCells>
  <x:pageMargins left="0.7" right="0.7" top="0.75" bottom="0.75" header="0.3" footer="0.3"/>
</x:worksheet>
</file>

<file path=xl/worksheets/sheet8.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9" style="37" hidden="0" customWidth="1"/>
    <x:col min="2" max="2" width="18" style="37" hidden="0" customWidth="1"/>
    <x:col min="3" max="3" width="16" style="37" hidden="0" customWidth="1"/>
    <x:col min="4" max="4" width="58" style="37" hidden="0" customWidth="1"/>
  </x:cols>
  <x:sheetData>
    <x:row r="1" ht="24" hidden="0" customHeight="1">
      <x:c r="A1" s="38" t="s">
        <x:v>479</x:v>
      </x:c>
      <x:c r="B1" s="38"/>
      <x:c r="C1" s="38"/>
      <x:c r="D1" s="38"/>
    </x:row>
    <x:row r="2" ht="15" hidden="0" customHeight="1">
      <x:c r="A2" s="45"/>
      <x:c r="B2" s="45"/>
      <x:c r="C2" s="45"/>
      <x:c r="D2" s="45"/>
    </x:row>
    <x:row r="3" ht="15" hidden="0" customHeight="1">
      <x:c r="A3" s="95" t="s">
        <x:v>360</x:v>
      </x:c>
      <x:c r="B3" s="95" t="s">
        <x:v>480</x:v>
      </x:c>
      <x:c r="C3" s="95" t="s">
        <x:v>362</x:v>
      </x:c>
      <x:c r="D3" s="95" t="s">
        <x:v>481</x:v>
      </x:c>
    </x:row>
    <x:row r="4" ht="15" hidden="0" customHeight="1">
      <x:c r="A4" s="37" t="s">
        <x:v>482</x:v>
      </x:c>
      <x:c r="B4" s="96" t="n">
        <x:v>2026</x:v>
      </x:c>
      <x:c r="C4" s="37" t="s">
        <x:v>483</x:v>
      </x:c>
      <x:c r="D4" s="37" t="s">
        <x:v>484</x:v>
      </x:c>
    </x:row>
    <x:row r="5" ht="15" hidden="0" customHeight="1">
      <x:c r="A5" s="37" t="s">
        <x:v>485</x:v>
      </x:c>
      <x:c r="B5" s="97" t="n">
        <x:v>0.75</x:v>
      </x:c>
      <x:c r="C5" s="37" t="s">
        <x:v>486</x:v>
      </x:c>
      <x:c r="D5" s="37" t="s">
        <x:v>487</x:v>
      </x:c>
    </x:row>
    <x:row r="6" ht="15" hidden="0" customHeight="1">
      <x:c r="A6" s="37" t="s">
        <x:v>488</x:v>
      </x:c>
      <x:c r="B6" s="98" t="n">
        <x:v>0.47</x:v>
      </x:c>
      <x:c r="C6" s="37" t="s">
        <x:v>489</x:v>
      </x:c>
      <x:c r="D6" s="37" t="s">
        <x:v>490</x:v>
      </x:c>
    </x:row>
    <x:row r="7" ht="15" hidden="0" customHeight="1">
      <x:c r="A7" s="37" t="s">
        <x:v>491</x:v>
      </x:c>
      <x:c r="B7" s="98" t="n">
        <x:v>0.24</x:v>
      </x:c>
      <x:c r="C7" s="37" t="s">
        <x:v>492</x:v>
      </x:c>
      <x:c r="D7" s="37" t="s">
        <x:v>493</x:v>
      </x:c>
    </x:row>
    <x:row r="8" ht="15" hidden="0" customHeight="1">
      <x:c r="A8" s="37" t="s">
        <x:v>494</x:v>
      </x:c>
      <x:c r="B8" s="98" t="n">
        <x:v>3.66666666666667</x:v>
      </x:c>
      <x:c r="C8" s="37" t="s">
        <x:v>495</x:v>
      </x:c>
      <x:c r="D8" s="37" t="s">
        <x:v>496</x:v>
      </x:c>
    </x:row>
    <x:row r="9" ht="15" hidden="0" customHeight="1">
      <x:c r="A9" s="37" t="s">
        <x:v>497</x:v>
      </x:c>
      <x:c r="B9" s="97" t="n">
        <x:v>0.2</x:v>
      </x:c>
      <x:c r="C9" s="37" t="s">
        <x:v>486</x:v>
      </x:c>
      <x:c r="D9" s="37" t="s">
        <x:v>498</x:v>
      </x:c>
    </x:row>
    <x:row r="10" ht="15" hidden="0" customHeight="1">
      <x:c r="A10" s="37" t="s">
        <x:v>116</x:v>
      </x:c>
      <x:c r="B10" s="96" t="n">
        <x:v>0.2</x:v>
      </x:c>
      <x:c r="C10" s="37" t="s">
        <x:v>486</x:v>
      </x:c>
      <x:c r="D10" s="37" t="s">
        <x:v>499</x:v>
      </x:c>
    </x:row>
    <x:row r="11" ht="15" hidden="0" customHeight="1">
      <x:c r="A11" s="37" t="s">
        <x:v>500</x:v>
      </x:c>
      <x:c r="B11" s="96" t="n">
        <x:v>2021</x:v>
      </x:c>
      <x:c r="C11" s="37" t="s">
        <x:v>483</x:v>
      </x:c>
      <x:c r="D11" s="37" t="s">
        <x:v>501</x:v>
      </x:c>
    </x:row>
    <x:row r="12" ht="15" hidden="0" customHeight="1">
      <x:c r="A12" s="37" t="s">
        <x:v>502</x:v>
      </x:c>
      <x:c r="B12" s="96" t="n">
        <x:v>2040</x:v>
      </x:c>
      <x:c r="C12" s="37" t="s">
        <x:v>483</x:v>
      </x:c>
      <x:c r="D12" s="37" t="s">
        <x:v>503</x:v>
      </x:c>
    </x:row>
    <x:row r="13" ht="15" hidden="0" customHeight="1">
      <x:c r="A13" s="37" t="s">
        <x:v>504</x:v>
      </x:c>
      <x:c r="B13" s="96" t="n">
        <x:f aca="0">B12-B11+1</x:f>
        <x:v>20</x:v>
      </x:c>
      <x:c r="C13" s="37" t="s">
        <x:v>505</x:v>
      </x:c>
      <x:c r="D13" s="37" t="s">
        <x:v>506</x:v>
      </x:c>
    </x:row>
    <x:row r="14" ht="15" hidden="0" customHeight="1">
      <x:c r="A14" s="37" t="s">
        <x:v>507</x:v>
      </x:c>
      <x:c r="B14" s="99" t="n">
        <x:f aca="0">SUM(S17_Biome_Strata!F4:F95)</x:f>
        <x:v>2851.798533508701</x:v>
      </x:c>
      <x:c r="C14" s="37" t="s">
        <x:v>371</x:v>
      </x:c>
      <x:c r="D14" s="37" t="s">
        <x:v>508</x:v>
      </x:c>
    </x:row>
    <x:row r="15" ht="15" hidden="0" customHeight="1">
      <x:c r="A15" s="37" t="s">
        <x:v>509</x:v>
      </x:c>
      <x:c r="B15" s="100" t="n">
        <x:f aca="0">SUM(S17_Biome_Strata!E4:E95)</x:f>
        <x:v>3118</x:v>
      </x:c>
      <x:c r="C15" s="37" t="s">
        <x:v>510</x:v>
      </x:c>
      <x:c r="D15" s="37" t="s">
        <x:v>508</x:v>
      </x:c>
    </x:row>
    <x:row r="16" ht="15" hidden="0" customHeight="1">
      <x:c r="A16" s="37" t="str">
        <x:v>Tropical &amp; Subtropical Dry Broadleaf Forests Timber ERR area</x:v>
      </x:c>
      <x:c r="B16" s="100" t="n">
        <x:f aca="0">SUMIFS(S17_Biome_Strata!F4:F95,S17_Biome_Strata!A4:A95,"Tropical &amp; Subtropical Dry Broadleaf Forests",S17_Biome_Strata!B4:B95,"Timber Plantation")</x:f>
        <x:v>523.9128094698502</x:v>
      </x:c>
      <x:c r="C16" s="37" t="s">
        <x:v>371</x:v>
      </x:c>
      <x:c r="D16" s="37" t="s">
        <x:v>511</x:v>
      </x:c>
    </x:row>
    <x:row r="17" ht="15" hidden="0" customHeight="1">
      <x:c r="A17" s="37" t="str">
        <x:v>Tropical &amp; Subtropical Dry Broadleaf Forests Timber ERR records</x:v>
      </x:c>
      <x:c r="B17" s="100" t="n">
        <x:f aca="0">SUMIFS(S17_Biome_Strata!E4:E95,S17_Biome_Strata!A4:A95,"Tropical &amp; Subtropical Dry Broadleaf Forests",S17_Biome_Strata!B4:B95,"Timber Plantation")</x:f>
        <x:v>691</x:v>
      </x:c>
      <x:c r="C17" s="37" t="s">
        <x:v>510</x:v>
      </x:c>
      <x:c r="D17" s="37" t="s">
        <x:v>512</x:v>
      </x:c>
    </x:row>
    <x:row r="18" ht="15" hidden="0" customHeight="1">
      <x:c r="A18" s="37" t="str">
        <x:v>Tropical &amp; Subtropical Dry Broadleaf Forests Timber excluded area</x:v>
      </x:c>
      <x:c r="B18" s="101" t="n">
        <x:v>4.8403</x:v>
      </x:c>
      <x:c r="C18" s="37" t="s">
        <x:v>371</x:v>
      </x:c>
      <x:c r="D18" s="37" t="s">
        <x:v>513</x:v>
      </x:c>
    </x:row>
    <x:row r="19" ht="15" hidden="0" customHeight="1">
      <x:c r="A19" s="37" t="str">
        <x:v>Tropical &amp; Subtropical Dry Broadleaf Forests Timber raw area</x:v>
      </x:c>
      <x:c r="B19" s="101" t="n">
        <x:v>528.75310946985</x:v>
      </x:c>
      <x:c r="C19" s="37" t="s">
        <x:v>371</x:v>
      </x:c>
      <x:c r="D19" s="37" t="s">
        <x:v>514</x:v>
      </x:c>
    </x:row>
    <x:row r="20" ht="15" hidden="0" customHeight="1">
      <x:c r="A20" s="1"/>
      <x:c r="B20" s="1"/>
      <x:c r="C20" s="1"/>
      <x:c r="D20" s="1"/>
    </x:row>
    <x:row r="21" ht="15" hidden="0" customHeight="1">
      <x:c r="A21" s="102" t="s">
        <x:v>515</x:v>
      </x:c>
      <x:c r="B21" s="1"/>
      <x:c r="C21" s="1"/>
      <x:c r="D21" s="1"/>
    </x:row>
    <x:row r="22" ht="23.25" hidden="0" customHeight="1">
      <x:c r="A22" s="91" t="str">
        <x:v>B9 (20% uncertainty): this is a flat ex-ante conservative deduction under VM0047 Section 8.7(3), which permits a minimum 10% deduction and allows a higher conservative value. It is NOT the ex-post statistical Eq.(28) calculation (which requires field standard-error data SEp,t); Eq.(28) applies from verification once field variance data are available.</x:v>
      </x:c>
      <x:c r="B22" s="91"/>
      <x:c r="C22" s="91"/>
      <x:c r="D22" s="91"/>
    </x:row>
    <x:row r="23" ht="23.25" hidden="0" customHeight="1">
      <x:c r="A23" s="91" t="s">
        <x:v>516</x:v>
      </x:c>
      <x:c r="B23" s="91"/>
      <x:c r="C23" s="91"/>
      <x:c r="D23" s="91"/>
    </x:row>
    <x:row r="25" ht="15" hidden="0" customHeight="1">
      <x:c r="A25" s="103" t="s">
        <x:v>517</x:v>
      </x:c>
    </x:row>
    <x:row r="26" ht="60" hidden="0" customHeight="1">
      <x:c r="A26" s="104" t="s">
        <x:v>518</x:v>
      </x:c>
      <x:c r="B26" s="104"/>
      <x:c r="C26" s="104"/>
      <x:c r="D26" s="104"/>
    </x:row>
    <x:row r="27" ht="30" hidden="0" customHeight="1">
      <x:c r="A27" s="104" t="s">
        <x:v>519</x:v>
      </x:c>
      <x:c r="B27" s="104"/>
      <x:c r="C27" s="104"/>
      <x:c r="D27" s="104"/>
    </x:row>
    <x:row r="29" ht="15" hidden="0" customHeight="1">
      <x:c r="A29" s="103" t="s">
        <x:v>520</x:v>
      </x:c>
    </x:row>
    <x:row r="30" ht="15" hidden="0" customHeight="1">
      <x:c r="A30" s="105" t="s">
        <x:v>521</x:v>
      </x:c>
      <x:c r="B30" s="106" t="n">
        <x:f aca="0">B14</x:f>
        <x:v>2851.798533508701</x:v>
      </x:c>
    </x:row>
    <x:row r="31" ht="15" hidden="0" customHeight="1">
      <x:c r="A31" s="105" t="s">
        <x:v>522</x:v>
      </x:c>
      <x:c r="B31" s="107" t="n">
        <x:v>17295.441</x:v>
      </x:c>
    </x:row>
    <x:row r="32" ht="15" hidden="0" customHeight="1">
      <x:c r="A32" s="105" t="s">
        <x:v>523</x:v>
      </x:c>
      <x:c r="B32" s="108" t="n">
        <x:f aca="0">B30/B31</x:f>
        <x:v>0.16488729795954327</x:v>
      </x:c>
    </x:row>
    <x:row r="33" ht="45" hidden="0" customHeight="1">
      <x:c r="A33" s="104" t="s">
        <x:v>524</x:v>
      </x:c>
      <x:c r="B33" s="104"/>
      <x:c r="C33" s="104"/>
      <x:c r="D33" s="104"/>
    </x:row>
    <x:row r="34">
      <x:c r="A34" s="973" t="str">
        <x:v>PSP sampling geometry (30 m x 30 m)</x:v>
      </x:c>
      <x:c r="B34" s="973"/>
      <x:c r="C34" s="973"/>
      <x:c r="D34" s="973"/>
    </x:row>
    <x:row r="35">
      <x:c r="A35" s="649" t="str">
        <x:v>PSP plot length</x:v>
      </x:c>
      <x:c r="B35" s="974" t="n">
        <x:v>30</x:v>
      </x:c>
      <x:c r="C35" s="649" t="str">
        <x:v>m</x:v>
      </x:c>
      <x:c r="D35" s="649" t="str">
        <x:v>Fixed field-plot dimension for ex-ante PSP normalization.</x:v>
      </x:c>
    </x:row>
    <x:row r="36">
      <x:c r="A36" s="649" t="str">
        <x:v>PSP plot width</x:v>
      </x:c>
      <x:c r="B36" s="974" t="n">
        <x:v>30</x:v>
      </x:c>
      <x:c r="C36" s="649" t="str">
        <x:v>m</x:v>
      </x:c>
      <x:c r="D36" s="649" t="str">
        <x:v>Fixed field-plot dimension for ex-ante PSP normalization.</x:v>
      </x:c>
    </x:row>
    <x:row r="37">
      <x:c r="A37" s="649" t="str">
        <x:v>PSP plot area</x:v>
      </x:c>
      <x:c r="B37" s="975" t="n">
        <x:f>B35*B36/10000</x:f>
        <x:v>0.09</x:v>
      </x:c>
      <x:c r="C37" s="649" t="str">
        <x:v>ha</x:v>
      </x:c>
      <x:c r="D37" s="649" t="str">
        <x:v>Calculated as length x width / 10,000. This is the sampling-unit area, not the project accounting area.</x:v>
      </x:c>
    </x:row>
    <x:row r="38">
      <x:c r="A38" s="649" t="str">
        <x:v>Credited PSP count</x:v>
      </x:c>
      <x:c r="B38" s="975" t="n">
        <x:f>COUNTIF('S10_PSP_Register'!$G$4:$G$70,"Included")</x:f>
        <x:v>66</x:v>
      </x:c>
      <x:c r="C38" s="649" t="str">
        <x:v>plots</x:v>
      </x:c>
      <x:c r="D38" s="649" t="str">
        <x:v>PSPs with ERR Status = Included in S10_PSP_Register.</x:v>
      </x:c>
    </x:row>
    <x:row r="39">
      <x:c r="A39" s="649" t="str">
        <x:v>Credited PSP sample area</x:v>
      </x:c>
      <x:c r="B39" s="975" t="n">
        <x:f>B38*B37</x:f>
        <x:v>5.9399999999999995</x:v>
      </x:c>
      <x:c r="C39" s="649" t="str">
        <x:v>ha</x:v>
      </x:c>
      <x:c r="D39" s="649" t="str">
        <x:v>Credited PSP count x 0.09 ha.</x:v>
      </x:c>
    </x:row>
    <x:row r="40">
      <x:c r="A40" s="649" t="str">
        <x:v>Expected tree equivalents in credited PSP sample</x:v>
      </x:c>
      <x:c r="B40" s="975" t="n">
        <x:f>SUMIF('S10_PSP_Register'!$G$4:$G$70,"Included",'S10_PSP_Register'!$S$4:$S$70)</x:f>
        <x:v>7253.313082172281</x:v>
      </x:c>
      <x:c r="C40" s="649" t="str">
        <x:v>trees</x:v>
      </x:c>
      <x:c r="D40" s="649" t="str">
        <x:v>Sum of normalized 30m x 30m species counts across credited PSPs; fractional values are expected ex-ante equivalents, not field-census integers.</x:v>
      </x:c>
    </x:row>
    <x:row r="41">
      <x:c r="A41" s="649" t="str">
        <x:v>All established PSP count</x:v>
      </x:c>
      <x:c r="B41" s="975" t="n">
        <x:f>COUNTA('S10_PSP_Register'!$B$4:$B$70)</x:f>
        <x:v>67</x:v>
      </x:c>
      <x:c r="C41" s="649" t="str">
        <x:v>plots</x:v>
      </x:c>
      <x:c r="D41" s="649" t="str">
        <x:v>All 67 established PSP records including the unconfirmed/excluded PSP.</x:v>
      </x:c>
    </x:row>
    <x:row r="42">
      <x:c r="A42" s="649" t="str">
        <x:v>All established PSP sample area</x:v>
      </x:c>
      <x:c r="B42" s="975" t="n">
        <x:f>B41*B37</x:f>
        <x:v>6.029999999999999</x:v>
      </x:c>
      <x:c r="C42" s="649" t="str">
        <x:v>ha</x:v>
      </x:c>
      <x:c r="D42" s="649" t="str">
        <x:v>All established PSP count x 0.09 ha.</x:v>
      </x:c>
    </x:row>
    <x:row r="43">
      <x:c r="A43" s="649" t="str">
        <x:v>Expected tree equivalents in all established PSPs</x:v>
      </x:c>
      <x:c r="B43" s="975" t="n">
        <x:f>SUM('S10_PSP_Register'!$S$4:$S$70)</x:f>
        <x:v>7268.880382172281</x:v>
      </x:c>
      <x:c r="C43" s="649" t="str">
        <x:v>trees</x:v>
      </x:c>
      <x:c r="D43" s="649" t="str">
        <x:v>Sum of normalized 30m x 30m species counts across all 67 PSPs.</x:v>
      </x:c>
    </x:row>
    <x:row r="44">
      <x:c r="A44" s="649" t="str">
        <x:v>Expected trees from density in credited PSP sample</x:v>
      </x:c>
      <x:c r="B44" s="991" t="n">
        <x:f>SUMIF('S10_PSP_Register'!$G$4:$G$70,"Included",'S10_PSP_Register'!$T$4:$T$70)</x:f>
        <x:v>7362.2420999999995</x:v>
      </x:c>
      <x:c r="C44" s="649" t="str">
        <x:v>trees</x:v>
      </x:c>
      <x:c r="D44" s="649" t="str">
        <x:v>Independent cross-check: Σ(tree density/ha × 0.09 ha) across credited PSPs.</x:v>
      </x:c>
    </x:row>
    <x:row r="45">
      <x:c r="A45" s="649" t="str">
        <x:v>Species-count basis minus density basis</x:v>
      </x:c>
      <x:c r="B45" s="991" t="n">
        <x:f>B40-B44</x:f>
        <x:v>-108.92901782771878</x:v>
      </x:c>
      <x:c r="C45" s="649" t="str">
        <x:v>trees</x:v>
      </x:c>
      <x:c r="D45" s="649" t="str">
        <x:v>Non-zero value indicates source count/density inconsistencies; review flagged PSPs in S13_PSP_Species_Support.</x:v>
      </x:c>
    </x:row>
  </x:sheetData>
  <x:mergeCells>
    <x:mergeCell ref="A1:D1"/>
    <x:mergeCell ref="A22:D22"/>
    <x:mergeCell ref="A23:D23"/>
    <x:mergeCell ref="A26:D26"/>
    <x:mergeCell ref="A27:D27"/>
    <x:mergeCell ref="A33:D33"/>
  </x:mergeCells>
  <x:pageMargins left="0.7" right="0.7" top="0.75" bottom="0.75" header="0.3" footer="0.3"/>
</x:worksheet>
</file>

<file path=xl/worksheets/sheet9.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5" style="37" hidden="0" customWidth="1"/>
    <x:col min="2" max="2" width="34" style="37" hidden="0" customWidth="1"/>
    <x:col min="3" max="3" width="11" style="37" hidden="0" customWidth="1"/>
    <x:col min="4" max="5" width="16" style="37" hidden="0" customWidth="1"/>
    <x:col min="6" max="7" width="14" style="37" hidden="0" customWidth="1"/>
    <x:col min="8" max="8" width="15" style="37" hidden="0" customWidth="1"/>
    <x:col min="9" max="9" width="48" style="37" hidden="0" customWidth="1"/>
    <x:col min="4" max="4" width="18" hidden="0" customWidth="1"/>
    <x:col min="5" max="5" width="18" hidden="0" customWidth="1"/>
    <x:col min="6" max="6" width="13" hidden="0" customWidth="1"/>
    <x:col min="7" max="7" width="15" hidden="0" customWidth="1"/>
    <x:col min="11" max="11" width="34" hidden="0" customWidth="1"/>
    <x:col min="12" max="12" width="18" hidden="0" customWidth="1"/>
    <x:col min="13" max="13" width="14" hidden="0" customWidth="1"/>
    <x:col min="14" max="14" width="16" hidden="0" customWidth="1"/>
  </x:cols>
  <x:sheetData>
    <x:row r="1" ht="28" hidden="0" customHeight="1">
      <x:c r="A1" s="567" t="str">
        <x:v>Performance Benchmark | VM0047 v1.1 Appendix 1 | Biome-Specific Report Results</x:v>
      </x:c>
      <x:c r="B1" s="567"/>
      <x:c r="C1" s="567"/>
      <x:c r="D1" s="567"/>
      <x:c r="E1" s="567"/>
      <x:c r="F1" s="567"/>
      <x:c r="G1" s="567"/>
      <x:c r="H1" s="567"/>
      <x:c r="I1" s="567"/>
      <x:c r="J1" s="568"/>
      <x:c r="K1" s="568"/>
      <x:c r="L1" s="568"/>
      <x:c r="M1" s="568"/>
      <x:c r="N1" s="568"/>
      <x:c r="O1" s="568"/>
      <x:c r="P1" s="568"/>
      <x:c r="Q1" s="568"/>
      <x:c r="R1" s="568"/>
      <x:c r="S1" s="568"/>
    </x:row>
    <x:row r="2" ht="32" hidden="0" customHeight="1">
      <x:c r="A2" s="575" t="str">
        <x:v>The supplied TCARI Stocking Index PB report is integrated here. The three previous biome-wide PB assumptions are retired. PB values, significance statistics and the source SI graph are shown together for each biome.</x:v>
      </x:c>
      <x:c r="B2" s="575"/>
      <x:c r="C2" s="575"/>
      <x:c r="D2" s="575"/>
      <x:c r="E2" s="575"/>
      <x:c r="F2" s="575"/>
      <x:c r="G2" s="575"/>
      <x:c r="H2" s="575"/>
      <x:c r="I2" s="575"/>
      <x:c r="J2" s="575"/>
      <x:c r="K2" s="575"/>
      <x:c r="L2" s="575"/>
      <x:c r="M2" s="575"/>
      <x:c r="N2" s="575"/>
      <x:c r="O2" s="575"/>
      <x:c r="P2" s="575"/>
      <x:c r="Q2" s="575"/>
      <x:c r="R2" s="575"/>
      <x:c r="S2" s="575"/>
    </x:row>
    <x:row r="3" ht="15" hidden="0" customHeight="1">
      <x:c r="A3" s="581" t="str">
        <x:v>PB Key</x:v>
      </x:c>
      <x:c r="B3" s="581" t="str">
        <x:v>Biome</x:v>
      </x:c>
      <x:c r="C3" s="581" t="str">
        <x:v>Cohort</x:v>
      </x:c>
      <x:c r="D3" s="581" t="str">
        <x:v>ΔSI control</x:v>
      </x:c>
      <x:c r="E3" s="581" t="str">
        <x:v>ΔSI project</x:v>
      </x:c>
      <x:c r="F3" s="581" t="str">
        <x:v>Significant?</x:v>
      </x:c>
      <x:c r="G3" s="581" t="str">
        <x:v>PB_t (Eq. A8)</x:v>
      </x:c>
      <x:c r="H3" s="581" t="str">
        <x:v>PB used</x:v>
      </x:c>
      <x:c r="I3" s="581" t="str">
        <x:v>Equation / report trace</x:v>
      </x:c>
      <x:c r="J3" s="544"/>
      <x:c r="K3" s="599" t="str">
        <x:v>Biome</x:v>
      </x:c>
      <x:c r="L3" s="599" t="str">
        <x:v>Current ERR area ha</x:v>
      </x:c>
      <x:c r="M3" s="599" t="str">
        <x:v>PB_t</x:v>
      </x:c>
      <x:c r="N3" s="599" t="str">
        <x:v>Z-test</x:v>
      </x:c>
      <x:c r="O3" s="544"/>
      <x:c r="P3" s="544"/>
      <x:c r="Q3" s="544"/>
      <x:c r="R3" s="544"/>
      <x:c r="S3" s="544"/>
    </x:row>
    <x:row r="4" ht="15" hidden="0" customHeight="1">
      <x:c r="A4" s="547" t="str">
        <x:v>Deserts &amp; Xeric Shrublands|2020</x:v>
      </x:c>
      <x:c r="B4" s="547" t="str">
        <x:v>Deserts &amp; Xeric Shrublands</x:v>
      </x:c>
      <x:c r="C4" s="547" t="n">
        <x:v>2020</x:v>
      </x:c>
      <x:c r="D4" s="587" t="n">
        <x:v>0.000203529287309659</x:v>
      </x:c>
      <x:c r="E4" s="587" t="n">
        <x:v>0.0166997419243997</x:v>
      </x:c>
      <x:c r="F4" s="593" t="str">
        <x:v>Yes</x:v>
      </x:c>
      <x:c r="G4" s="589" t="n">
        <x:v>0.0121875708158272</x:v>
      </x:c>
      <x:c r="H4" s="589" t="n">
        <x:f aca="0">IF(F4="Yes",MAX(0,MIN(1,D4/E4)),G4)</x:f>
        <x:v>0.012187570815827156</x:v>
      </x:c>
      <x:c r="I4" s="595" t="str">
        <x:v>VM0047 v1.1 Appendix 1: Z-test significant; PB_t = ΔSI_control / ΔSI_wp (Eq. A8). Source: 20260814_304027_GKF_ProjectPlots_PB.xlsx.</x:v>
      </x:c>
      <x:c r="J4" s="544"/>
      <x:c r="K4" s="572" t="str">
        <x:v>Deserts &amp; Xeric Shrublands</x:v>
      </x:c>
      <x:c r="L4" s="605" t="n">
        <x:f>SUMIF(S17_Biome_Strata!$A$4:$A$95,"Deserts &amp; Xeric Shrublands",S17_Biome_Strata!$F$4:$F$95)</x:f>
        <x:v>1108.6002999999998</x:v>
      </x:c>
      <x:c r="M4" s="606" t="n">
        <x:v>0.0121875708158272</x:v>
      </x:c>
      <x:c r="N4" s="572" t="str">
        <x:v>Significant</x:v>
      </x:c>
      <x:c r="O4" s="544"/>
      <x:c r="P4" s="544"/>
      <x:c r="Q4" s="544"/>
      <x:c r="R4" s="544"/>
      <x:c r="S4" s="544"/>
    </x:row>
    <x:row r="5" ht="15" hidden="0" customHeight="1">
      <x:c r="A5" s="547" t="str">
        <x:v>Deserts &amp; Xeric Shrublands|2021</x:v>
      </x:c>
      <x:c r="B5" s="547" t="str">
        <x:v>Deserts &amp; Xeric Shrublands</x:v>
      </x:c>
      <x:c r="C5" s="547" t="n">
        <x:v>2021</x:v>
      </x:c>
      <x:c r="D5" s="587" t="n">
        <x:v>0.000203529287309659</x:v>
      </x:c>
      <x:c r="E5" s="587" t="n">
        <x:v>0.0166997419243997</x:v>
      </x:c>
      <x:c r="F5" s="593" t="str">
        <x:v>Yes</x:v>
      </x:c>
      <x:c r="G5" s="589" t="n">
        <x:v>0.0121875708158272</x:v>
      </x:c>
      <x:c r="H5" s="589" t="n">
        <x:f aca="0">IF(F5="Yes",MAX(0,MIN(1,D5/E5)),G5)</x:f>
        <x:v>0.012187570815827156</x:v>
      </x:c>
      <x:c r="I5" s="595" t="str">
        <x:v>VM0047 v1.1 Appendix 1: Z-test significant; PB_t = ΔSI_control / ΔSI_wp (Eq. A8). Source: 20260814_304027_GKF_ProjectPlots_PB.xlsx.</x:v>
      </x:c>
      <x:c r="J5" s="544"/>
      <x:c r="K5" s="572" t="str">
        <x:v>Tropical &amp; Subtropical Moist Broadleaf Forests</x:v>
      </x:c>
      <x:c r="L5" s="605" t="n">
        <x:f>SUMIF(S17_Biome_Strata!$A$4:$A$95,"Tropical &amp; Subtropical Moist Broadleaf Forests",S17_Biome_Strata!$F$4:$F$95)</x:f>
        <x:v>342.44716102792415</x:v>
      </x:c>
      <x:c r="M5" s="606" t="n">
        <x:v>0.3123295517</x:v>
      </x:c>
      <x:c r="N5" s="572" t="str">
        <x:v>Significant</x:v>
      </x:c>
      <x:c r="O5" s="544"/>
      <x:c r="P5" s="544"/>
      <x:c r="Q5" s="544"/>
      <x:c r="R5" s="544"/>
      <x:c r="S5" s="544"/>
    </x:row>
    <x:row r="6" ht="15" hidden="0" customHeight="1">
      <x:c r="A6" s="547" t="str">
        <x:v>Deserts &amp; Xeric Shrublands|2022</x:v>
      </x:c>
      <x:c r="B6" s="547" t="str">
        <x:v>Deserts &amp; Xeric Shrublands</x:v>
      </x:c>
      <x:c r="C6" s="547" t="n">
        <x:v>2022</x:v>
      </x:c>
      <x:c r="D6" s="587" t="n">
        <x:v>0.000203529287309659</x:v>
      </x:c>
      <x:c r="E6" s="587" t="n">
        <x:v>0.0166997419243997</x:v>
      </x:c>
      <x:c r="F6" s="593" t="str">
        <x:v>Yes</x:v>
      </x:c>
      <x:c r="G6" s="589" t="n">
        <x:v>0.0121875708158272</x:v>
      </x:c>
      <x:c r="H6" s="589" t="n">
        <x:f aca="0">IF(F6="Yes",MAX(0,MIN(1,D6/E6)),G6)</x:f>
        <x:v>0.012187570815827156</x:v>
      </x:c>
      <x:c r="I6" s="595" t="str">
        <x:v>VM0047 v1.1 Appendix 1: Z-test significant; PB_t = ΔSI_control / ΔSI_wp (Eq. A8). Source: 20260814_304027_GKF_ProjectPlots_PB.xlsx.</x:v>
      </x:c>
      <x:c r="J6" s="544"/>
      <x:c r="K6" s="572" t="str">
        <x:v>Tropical &amp; Subtropical Dry Broadleaf Forests</x:v>
      </x:c>
      <x:c r="L6" s="605" t="n">
        <x:f>SUMIF(S17_Biome_Strata!$A$4:$A$95,"Tropical &amp; Subtropical Dry Broadleaf Forests",S17_Biome_Strata!$F$4:$F$95)</x:f>
        <x:v>1400.7510724807769</x:v>
      </x:c>
      <x:c r="M6" s="606" t="n">
        <x:v>0.1916130042</x:v>
      </x:c>
      <x:c r="N6" s="572" t="str">
        <x:v>Significant</x:v>
      </x:c>
      <x:c r="O6" s="544"/>
      <x:c r="P6" s="544"/>
      <x:c r="Q6" s="544"/>
      <x:c r="R6" s="544"/>
      <x:c r="S6" s="544"/>
    </x:row>
    <x:row r="7" ht="15" hidden="0" customHeight="1">
      <x:c r="A7" s="547" t="str">
        <x:v>Deserts &amp; Xeric Shrublands|2023</x:v>
      </x:c>
      <x:c r="B7" s="547" t="str">
        <x:v>Deserts &amp; Xeric Shrublands</x:v>
      </x:c>
      <x:c r="C7" s="547" t="n">
        <x:v>2023</x:v>
      </x:c>
      <x:c r="D7" s="587" t="n">
        <x:v>0.000203529287309659</x:v>
      </x:c>
      <x:c r="E7" s="587" t="n">
        <x:v>0.0166997419243997</x:v>
      </x:c>
      <x:c r="F7" s="593" t="str">
        <x:v>Yes</x:v>
      </x:c>
      <x:c r="G7" s="589" t="n">
        <x:v>0.0121875708158272</x:v>
      </x:c>
      <x:c r="H7" s="589" t="n">
        <x:f aca="0">IF(F7="Yes",MAX(0,MIN(1,D7/E7)),G7)</x:f>
        <x:v>0.012187570815827156</x:v>
      </x:c>
      <x:c r="I7" s="595" t="str">
        <x:v>VM0047 v1.1 Appendix 1: Z-test significant; PB_t = ΔSI_control / ΔSI_wp (Eq. A8). Source: 20260814_304027_GKF_ProjectPlots_PB.xlsx.</x:v>
      </x:c>
      <x:c r="J7" s="544"/>
      <x:c r="K7" s="544"/>
      <x:c r="L7" s="544"/>
      <x:c r="M7" s="544"/>
      <x:c r="N7" s="544"/>
      <x:c r="O7" s="544"/>
      <x:c r="P7" s="544"/>
      <x:c r="Q7" s="544"/>
      <x:c r="R7" s="544"/>
      <x:c r="S7" s="544"/>
    </x:row>
    <x:row r="8" ht="15" hidden="0" customHeight="1">
      <x:c r="A8" s="547" t="str">
        <x:v>Tropical &amp; Subtropical Moist Broadleaf Forests|2020</x:v>
      </x:c>
      <x:c r="B8" s="547" t="str">
        <x:v>Tropical &amp; Subtropical Moist Broadleaf Forests</x:v>
      </x:c>
      <x:c r="C8" s="547" t="n">
        <x:v>2020</x:v>
      </x:c>
      <x:c r="D8" s="587" t="n">
        <x:v>0.0031827</x:v>
      </x:c>
      <x:c r="E8" s="587" t="n">
        <x:v>0.01019</x:v>
      </x:c>
      <x:c r="F8" s="593" t="str">
        <x:v>Yes</x:v>
      </x:c>
      <x:c r="G8" s="589" t="n">
        <x:v>0.3123295517</x:v>
      </x:c>
      <x:c r="H8" s="589" t="n">
        <x:f aca="0">IF(F8="Yes",MAX(0,MIN(1,D8/E8)),G8)</x:f>
        <x:v>0.3123356231599608</x:v>
      </x:c>
      <x:c r="I8" s="595" t="str">
        <x:v>VM0047 v1.1 Appendix 1: Z-test significant; PB_t = ΔSI_control / ΔSI_wp (Eq. A8). Source: 20260814_304027_GKF_ProjectPlots_PB.xlsx.</x:v>
      </x:c>
      <x:c r="J8" s="544"/>
      <x:c r="K8" s="544"/>
      <x:c r="L8" s="544"/>
      <x:c r="M8" s="544"/>
      <x:c r="N8" s="544"/>
      <x:c r="O8" s="544"/>
      <x:c r="P8" s="544"/>
      <x:c r="Q8" s="544"/>
      <x:c r="R8" s="544"/>
      <x:c r="S8" s="544"/>
    </x:row>
    <x:row r="9" ht="15" hidden="0" customHeight="1">
      <x:c r="A9" s="547" t="str">
        <x:v>Tropical &amp; Subtropical Moist Broadleaf Forests|2021</x:v>
      </x:c>
      <x:c r="B9" s="547" t="str">
        <x:v>Tropical &amp; Subtropical Moist Broadleaf Forests</x:v>
      </x:c>
      <x:c r="C9" s="547" t="n">
        <x:v>2021</x:v>
      </x:c>
      <x:c r="D9" s="587" t="n">
        <x:v>0.0031827</x:v>
      </x:c>
      <x:c r="E9" s="587" t="n">
        <x:v>0.01019</x:v>
      </x:c>
      <x:c r="F9" s="593" t="str">
        <x:v>Yes</x:v>
      </x:c>
      <x:c r="G9" s="589" t="n">
        <x:v>0.3123295517</x:v>
      </x:c>
      <x:c r="H9" s="589" t="n">
        <x:f aca="0">IF(F9="Yes",MAX(0,MIN(1,D9/E9)),G9)</x:f>
        <x:v>0.3123356231599608</x:v>
      </x:c>
      <x:c r="I9" s="595" t="str">
        <x:v>VM0047 v1.1 Appendix 1: Z-test significant; PB_t = ΔSI_control / ΔSI_wp (Eq. A8). Source: 20260814_304027_GKF_ProjectPlots_PB.xlsx.</x:v>
      </x:c>
      <x:c r="J9" s="544"/>
      <x:c r="K9" s="544"/>
      <x:c r="L9" s="544"/>
      <x:c r="M9" s="544"/>
      <x:c r="N9" s="544"/>
      <x:c r="O9" s="544"/>
      <x:c r="P9" s="544"/>
      <x:c r="Q9" s="544"/>
      <x:c r="R9" s="544"/>
      <x:c r="S9" s="544"/>
    </x:row>
    <x:row r="10" ht="15" hidden="0" customHeight="1">
      <x:c r="A10" s="547" t="str">
        <x:v>Tropical &amp; Subtropical Moist Broadleaf Forests|2022</x:v>
      </x:c>
      <x:c r="B10" s="547" t="str">
        <x:v>Tropical &amp; Subtropical Moist Broadleaf Forests</x:v>
      </x:c>
      <x:c r="C10" s="547" t="n">
        <x:v>2022</x:v>
      </x:c>
      <x:c r="D10" s="587" t="n">
        <x:v>0.0031827</x:v>
      </x:c>
      <x:c r="E10" s="587" t="n">
        <x:v>0.01019</x:v>
      </x:c>
      <x:c r="F10" s="593" t="str">
        <x:v>Yes</x:v>
      </x:c>
      <x:c r="G10" s="589" t="n">
        <x:v>0.3123295517</x:v>
      </x:c>
      <x:c r="H10" s="589" t="n">
        <x:f aca="0">IF(F10="Yes",MAX(0,MIN(1,D10/E10)),G10)</x:f>
        <x:v>0.3123356231599608</x:v>
      </x:c>
      <x:c r="I10" s="595" t="str">
        <x:v>VM0047 v1.1 Appendix 1: Z-test significant; PB_t = ΔSI_control / ΔSI_wp (Eq. A8). Source: 20260814_304027_GKF_ProjectPlots_PB.xlsx.</x:v>
      </x:c>
      <x:c r="J10" s="544"/>
      <x:c r="K10" s="544"/>
      <x:c r="L10" s="544"/>
      <x:c r="M10" s="544"/>
      <x:c r="N10" s="544"/>
      <x:c r="O10" s="544"/>
      <x:c r="P10" s="544"/>
      <x:c r="Q10" s="544"/>
      <x:c r="R10" s="544"/>
      <x:c r="S10" s="544"/>
    </x:row>
    <x:row r="11" ht="15" hidden="0" customHeight="1">
      <x:c r="A11" s="547" t="str">
        <x:v>Tropical &amp; Subtropical Moist Broadleaf Forests|2023</x:v>
      </x:c>
      <x:c r="B11" s="547" t="str">
        <x:v>Tropical &amp; Subtropical Moist Broadleaf Forests</x:v>
      </x:c>
      <x:c r="C11" s="547" t="n">
        <x:v>2023</x:v>
      </x:c>
      <x:c r="D11" s="587" t="n">
        <x:v>0.0031827</x:v>
      </x:c>
      <x:c r="E11" s="587" t="n">
        <x:v>0.01019</x:v>
      </x:c>
      <x:c r="F11" s="593" t="str">
        <x:v>Yes</x:v>
      </x:c>
      <x:c r="G11" s="589" t="n">
        <x:v>0.3123295517</x:v>
      </x:c>
      <x:c r="H11" s="589" t="n">
        <x:f aca="0">IF(F11="Yes",MAX(0,MIN(1,D11/E11)),G11)</x:f>
        <x:v>0.3123356231599608</x:v>
      </x:c>
      <x:c r="I11" s="595" t="str">
        <x:v>VM0047 v1.1 Appendix 1: Z-test significant; PB_t = ΔSI_control / ΔSI_wp (Eq. A8). Source: 20260814_304027_GKF_ProjectPlots_PB.xlsx.</x:v>
      </x:c>
      <x:c r="J11" s="544"/>
      <x:c r="K11" s="544"/>
      <x:c r="L11" s="544"/>
      <x:c r="M11" s="544"/>
      <x:c r="N11" s="544"/>
      <x:c r="O11" s="544"/>
      <x:c r="P11" s="544"/>
      <x:c r="Q11" s="544"/>
      <x:c r="R11" s="544"/>
      <x:c r="S11" s="544"/>
    </x:row>
    <x:row r="12" ht="15" hidden="0" customHeight="1">
      <x:c r="A12" s="547" t="str">
        <x:v>Tropical &amp; Subtropical Dry Broadleaf Forests|2020</x:v>
      </x:c>
      <x:c r="B12" s="547" t="str">
        <x:v>Tropical &amp; Subtropical Dry Broadleaf Forests</x:v>
      </x:c>
      <x:c r="C12" s="547" t="n">
        <x:v>2020</x:v>
      </x:c>
      <x:c r="D12" s="587" t="n">
        <x:v>0.003083580245</x:v>
      </x:c>
      <x:c r="E12" s="587" t="n">
        <x:v>0.01609275037</x:v>
      </x:c>
      <x:c r="F12" s="593" t="str">
        <x:v>Yes</x:v>
      </x:c>
      <x:c r="G12" s="589" t="n">
        <x:v>0.1916130042</x:v>
      </x:c>
      <x:c r="H12" s="589" t="n">
        <x:f aca="0">IF(F12="Yes",MAX(0,MIN(1,D12/E12)),G12)</x:f>
        <x:v>0.19161300424745234</x:v>
      </x:c>
      <x:c r="I12" s="595" t="str">
        <x:v>VM0047 v1.1 Appendix 1: Z-test significant; PB_t = ΔSI_control / ΔSI_wp (Eq. A8). Source: 20260814_304027_GKF_ProjectPlots_PB.xlsx.</x:v>
      </x:c>
      <x:c r="J12" s="544"/>
      <x:c r="K12" s="544"/>
      <x:c r="L12" s="544"/>
      <x:c r="M12" s="544"/>
      <x:c r="N12" s="544"/>
      <x:c r="O12" s="544"/>
      <x:c r="P12" s="544"/>
      <x:c r="Q12" s="544"/>
      <x:c r="R12" s="544"/>
      <x:c r="S12" s="544"/>
    </x:row>
    <x:row r="13" ht="15" hidden="0" customHeight="1">
      <x:c r="A13" s="547" t="str">
        <x:v>Tropical &amp; Subtropical Dry Broadleaf Forests|2021</x:v>
      </x:c>
      <x:c r="B13" s="547" t="str">
        <x:v>Tropical &amp; Subtropical Dry Broadleaf Forests</x:v>
      </x:c>
      <x:c r="C13" s="547" t="n">
        <x:v>2021</x:v>
      </x:c>
      <x:c r="D13" s="587" t="n">
        <x:v>0.003083580245</x:v>
      </x:c>
      <x:c r="E13" s="587" t="n">
        <x:v>0.01609275037</x:v>
      </x:c>
      <x:c r="F13" s="593" t="str">
        <x:v>Yes</x:v>
      </x:c>
      <x:c r="G13" s="589" t="n">
        <x:v>0.1916130042</x:v>
      </x:c>
      <x:c r="H13" s="589" t="n">
        <x:f aca="0">IF(F13="Yes",MAX(0,MIN(1,D13/E13)),G13)</x:f>
        <x:v>0.19161300424745234</x:v>
      </x:c>
      <x:c r="I13" s="595" t="str">
        <x:v>VM0047 v1.1 Appendix 1: Z-test significant; PB_t = ΔSI_control / ΔSI_wp (Eq. A8). Source: 20260814_304027_GKF_ProjectPlots_PB.xlsx.</x:v>
      </x:c>
      <x:c r="J13" s="544"/>
      <x:c r="K13" s="544"/>
      <x:c r="L13" s="544"/>
      <x:c r="M13" s="544"/>
      <x:c r="N13" s="544"/>
      <x:c r="O13" s="544"/>
      <x:c r="P13" s="544"/>
      <x:c r="Q13" s="544"/>
      <x:c r="R13" s="544"/>
      <x:c r="S13" s="544"/>
    </x:row>
    <x:row r="14" ht="15" hidden="0" customHeight="1">
      <x:c r="A14" s="547" t="str">
        <x:v>Tropical &amp; Subtropical Dry Broadleaf Forests|2022</x:v>
      </x:c>
      <x:c r="B14" s="547" t="str">
        <x:v>Tropical &amp; Subtropical Dry Broadleaf Forests</x:v>
      </x:c>
      <x:c r="C14" s="547" t="n">
        <x:v>2022</x:v>
      </x:c>
      <x:c r="D14" s="587" t="n">
        <x:v>0.003083580245</x:v>
      </x:c>
      <x:c r="E14" s="587" t="n">
        <x:v>0.01609275037</x:v>
      </x:c>
      <x:c r="F14" s="593" t="str">
        <x:v>Yes</x:v>
      </x:c>
      <x:c r="G14" s="589" t="n">
        <x:v>0.1916130042</x:v>
      </x:c>
      <x:c r="H14" s="589" t="n">
        <x:f aca="0">IF(F14="Yes",MAX(0,MIN(1,D14/E14)),G14)</x:f>
        <x:v>0.19161300424745234</x:v>
      </x:c>
      <x:c r="I14" s="595" t="str">
        <x:v>VM0047 v1.1 Appendix 1: Z-test significant; PB_t = ΔSI_control / ΔSI_wp (Eq. A8). Source: 20260814_304027_GKF_ProjectPlots_PB.xlsx.</x:v>
      </x:c>
      <x:c r="J14" s="544"/>
      <x:c r="K14" s="544"/>
      <x:c r="L14" s="544"/>
      <x:c r="M14" s="544"/>
      <x:c r="N14" s="544"/>
      <x:c r="O14" s="544"/>
      <x:c r="P14" s="544"/>
      <x:c r="Q14" s="544"/>
      <x:c r="R14" s="544"/>
      <x:c r="S14" s="544"/>
    </x:row>
    <x:row r="15" ht="15" hidden="0" customHeight="1">
      <x:c r="A15" s="547" t="str">
        <x:v>Tropical &amp; Subtropical Dry Broadleaf Forests|2023</x:v>
      </x:c>
      <x:c r="B15" s="547" t="str">
        <x:v>Tropical &amp; Subtropical Dry Broadleaf Forests</x:v>
      </x:c>
      <x:c r="C15" s="547" t="n">
        <x:v>2023</x:v>
      </x:c>
      <x:c r="D15" s="587" t="n">
        <x:v>0.003083580245</x:v>
      </x:c>
      <x:c r="E15" s="587" t="n">
        <x:v>0.01609275037</x:v>
      </x:c>
      <x:c r="F15" s="593" t="str">
        <x:v>Yes</x:v>
      </x:c>
      <x:c r="G15" s="589" t="n">
        <x:v>0.1916130042</x:v>
      </x:c>
      <x:c r="H15" s="589" t="n">
        <x:f aca="0">IF(F15="Yes",MAX(0,MIN(1,D15/E15)),G15)</x:f>
        <x:v>0.19161300424745234</x:v>
      </x:c>
      <x:c r="I15" s="595" t="str">
        <x:v>VM0047 v1.1 Appendix 1: Z-test significant; PB_t = ΔSI_control / ΔSI_wp (Eq. A8). Source: 20260814_304027_GKF_ProjectPlots_PB.xlsx.</x:v>
      </x:c>
      <x:c r="J15" s="544"/>
      <x:c r="K15" s="544"/>
      <x:c r="L15" s="544"/>
      <x:c r="M15" s="544"/>
      <x:c r="N15" s="544"/>
      <x:c r="O15" s="544"/>
      <x:c r="P15" s="544"/>
      <x:c r="Q15" s="544"/>
      <x:c r="R15" s="544"/>
      <x:c r="S15" s="544"/>
    </x:row>
    <x:row r="16" ht="15" hidden="0" customHeight="1">
      <x:c r="A16" s="547" t="str">
        <x:v>Tropical &amp; Subtropical Dry Broadleaf Forests|2024</x:v>
      </x:c>
      <x:c r="B16" s="547" t="str">
        <x:v>Tropical &amp; Subtropical Dry Broadleaf Forests</x:v>
      </x:c>
      <x:c r="C16" s="547" t="n">
        <x:v>2024</x:v>
      </x:c>
      <x:c r="D16" s="587" t="n">
        <x:v>0.003083580245</x:v>
      </x:c>
      <x:c r="E16" s="587" t="n">
        <x:v>0.01609275037</x:v>
      </x:c>
      <x:c r="F16" s="593" t="str">
        <x:v>Yes</x:v>
      </x:c>
      <x:c r="G16" s="589" t="n">
        <x:v>0.1916130042</x:v>
      </x:c>
      <x:c r="H16" s="589" t="n">
        <x:f aca="0">IF(F16="Yes",MAX(0,MIN(1,D16/E16)),G16)</x:f>
        <x:v>0.19161300424745234</x:v>
      </x:c>
      <x:c r="I16" s="595" t="str">
        <x:v>VM0047 v1.1 Appendix 1: Z-test significant; PB_t = ΔSI_control / ΔSI_wp (Eq. A8). Source: 20260814_304027_GKF_ProjectPlots_PB.xlsx.</x:v>
      </x:c>
      <x:c r="J16" s="544"/>
      <x:c r="K16" s="544"/>
      <x:c r="L16" s="544"/>
      <x:c r="M16" s="544"/>
      <x:c r="N16" s="544"/>
      <x:c r="O16" s="544"/>
      <x:c r="P16" s="544"/>
      <x:c r="Q16" s="544"/>
      <x:c r="R16" s="544"/>
      <x:c r="S16" s="544"/>
    </x:row>
    <x:row r="17">
      <x:c r="A17" s="544"/>
      <x:c r="B17" s="544"/>
      <x:c r="C17" s="544"/>
      <x:c r="D17" s="544"/>
      <x:c r="E17" s="544"/>
      <x:c r="F17" s="544"/>
      <x:c r="G17" s="544"/>
      <x:c r="H17" s="544"/>
      <x:c r="I17" s="544"/>
      <x:c r="J17" s="544"/>
      <x:c r="K17" s="544"/>
      <x:c r="L17" s="544"/>
      <x:c r="M17" s="544"/>
      <x:c r="N17" s="544"/>
      <x:c r="O17" s="544"/>
      <x:c r="P17" s="544"/>
      <x:c r="Q17" s="544"/>
      <x:c r="R17" s="544"/>
      <x:c r="S17" s="544"/>
    </x:row>
    <x:row r="18" ht="15" hidden="0" customHeight="1">
      <x:c r="A18" s="550"/>
      <x:c r="B18" s="544"/>
      <x:c r="C18" s="544"/>
      <x:c r="D18" s="544"/>
      <x:c r="E18" s="544"/>
      <x:c r="F18" s="544"/>
      <x:c r="G18" s="544"/>
      <x:c r="H18" s="544"/>
      <x:c r="I18" s="544"/>
      <x:c r="J18" s="544"/>
      <x:c r="K18" s="544"/>
      <x:c r="L18" s="544"/>
      <x:c r="M18" s="544"/>
      <x:c r="N18" s="544"/>
      <x:c r="O18" s="544"/>
      <x:c r="P18" s="544"/>
      <x:c r="Q18" s="544"/>
      <x:c r="R18" s="544"/>
      <x:c r="S18" s="544"/>
    </x:row>
    <x:row r="19" ht="34.5" hidden="0" customHeight="1">
      <x:c r="A19" s="611" t="str">
        <x:v>Deserts &amp; Xeric Shrublands</x:v>
      </x:c>
      <x:c r="B19" s="611"/>
      <x:c r="C19" s="611"/>
      <x:c r="D19" s="611"/>
      <x:c r="E19" s="611"/>
      <x:c r="F19" s="611"/>
      <x:c r="G19" s="611"/>
      <x:c r="H19" s="611"/>
      <x:c r="I19" s="611"/>
      <x:c r="J19" s="544"/>
      <x:c r="K19" s="544"/>
      <x:c r="L19" s="544"/>
      <x:c r="M19" s="544"/>
      <x:c r="N19" s="544"/>
      <x:c r="O19" s="544"/>
      <x:c r="P19" s="544"/>
      <x:c r="Q19" s="544"/>
      <x:c r="R19" s="544"/>
      <x:c r="S19" s="544"/>
    </x:row>
    <x:row r="20">
      <x:c r="A20" s="615" t="str">
        <x:v>Metric</x:v>
      </x:c>
      <x:c r="B20" s="615" t="str">
        <x:v>Value</x:v>
      </x:c>
      <x:c r="C20" s="615" t="str">
        <x:v>Unit</x:v>
      </x:c>
      <x:c r="D20" s="615" t="str">
        <x:v>Basis / source</x:v>
      </x:c>
      <x:c r="E20" s="544"/>
      <x:c r="F20" s="544"/>
      <x:c r="G20" s="544"/>
      <x:c r="H20" s="544"/>
      <x:c r="I20" s="544"/>
      <x:c r="J20" s="544"/>
      <x:c r="K20" s="544"/>
      <x:c r="L20" s="544"/>
      <x:c r="M20" s="544"/>
      <x:c r="N20" s="544"/>
      <x:c r="O20" s="544"/>
      <x:c r="P20" s="544"/>
      <x:c r="Q20" s="544"/>
      <x:c r="R20" s="544"/>
      <x:c r="S20" s="544"/>
    </x:row>
    <x:row r="21" ht="15" hidden="0" customHeight="1">
      <x:c r="A21" s="625" t="str">
        <x:v>Accounting area</x:v>
      </x:c>
      <x:c r="B21" s="626" t="n">
        <x:f>SUMIF(S17_Biome_Strata!$A$4:$A$95,"Deserts &amp; Xeric Shrublands",S17_Biome_Strata!$F$4:$F$95)</x:f>
        <x:v>1108.6002999999998</x:v>
      </x:c>
      <x:c r="C21" s="626" t="str">
        <x:v>ha</x:v>
      </x:c>
      <x:c r="D21" s="626" t="str">
        <x:v>Current ERR accounting scope</x:v>
      </x:c>
      <x:c r="E21" s="544"/>
      <x:c r="F21" s="544"/>
      <x:c r="G21" s="544"/>
      <x:c r="H21" s="544"/>
      <x:c r="I21" s="544"/>
      <x:c r="J21" s="544"/>
      <x:c r="K21" s="544"/>
      <x:c r="L21" s="544"/>
      <x:c r="M21" s="544"/>
      <x:c r="N21" s="544"/>
      <x:c r="O21" s="544"/>
      <x:c r="P21" s="544"/>
      <x:c r="Q21" s="544"/>
      <x:c r="R21" s="544"/>
      <x:c r="S21" s="544"/>
    </x:row>
    <x:row r="22" ht="34.5" hidden="0" customHeight="1">
      <x:c r="A22" s="552" t="str">
        <x:v>Accounting records</x:v>
      </x:c>
      <x:c r="B22" s="552" t="n">
        <x:f>SUMIF(S17_Biome_Strata!$A$4:$A$95,"Deserts &amp; Xeric Shrublands",S17_Biome_Strata!$E$4:$E$95)</x:f>
        <x:v>890</x:v>
      </x:c>
      <x:c r="C22" s="552" t="str">
        <x:v>records</x:v>
      </x:c>
      <x:c r="D22" s="552" t="str">
        <x:v>Current eligible ERR population</x:v>
      </x:c>
      <x:c r="E22" s="552"/>
      <x:c r="F22" s="552"/>
      <x:c r="G22" s="552"/>
      <x:c r="H22" s="552"/>
      <x:c r="I22" s="552"/>
      <x:c r="J22" s="544"/>
      <x:c r="K22" s="544"/>
      <x:c r="L22" s="544"/>
      <x:c r="M22" s="544"/>
      <x:c r="N22" s="544"/>
      <x:c r="O22" s="544"/>
      <x:c r="P22" s="544"/>
      <x:c r="Q22" s="544"/>
      <x:c r="R22" s="544"/>
      <x:c r="S22" s="544"/>
    </x:row>
    <x:row r="23">
      <x:c r="A23" s="626" t="str">
        <x:v>Project plots</x:v>
      </x:c>
      <x:c r="B23" s="626" t="n">
        <x:v>30</x:v>
      </x:c>
      <x:c r="C23" s="626" t="str">
        <x:v>plots</x:v>
      </x:c>
      <x:c r="D23" s="626" t="str">
        <x:v>Supplied PB report</x:v>
      </x:c>
      <x:c r="E23" s="544"/>
      <x:c r="F23" s="544"/>
      <x:c r="G23" s="544"/>
      <x:c r="H23" s="544"/>
      <x:c r="I23" s="544"/>
      <x:c r="J23" s="544"/>
      <x:c r="K23" s="544"/>
      <x:c r="L23" s="544"/>
      <x:c r="M23" s="544"/>
      <x:c r="N23" s="544"/>
      <x:c r="O23" s="544"/>
      <x:c r="P23" s="544"/>
      <x:c r="Q23" s="544"/>
      <x:c r="R23" s="544"/>
      <x:c r="S23" s="544"/>
    </x:row>
    <x:row r="24">
      <x:c r="A24" s="626" t="str">
        <x:v>Control plots</x:v>
      </x:c>
      <x:c r="B24" s="626" t="n">
        <x:v>150</x:v>
      </x:c>
      <x:c r="C24" s="626" t="str">
        <x:v>plots</x:v>
      </x:c>
      <x:c r="D24" s="626" t="str">
        <x:v>Supplied PB report</x:v>
      </x:c>
      <x:c r="E24" s="544"/>
      <x:c r="F24" s="544"/>
      <x:c r="G24" s="544"/>
      <x:c r="H24" s="544"/>
      <x:c r="I24" s="544"/>
      <x:c r="J24" s="544"/>
      <x:c r="K24" s="544"/>
      <x:c r="L24" s="544"/>
      <x:c r="M24" s="544"/>
      <x:c r="N24" s="544"/>
      <x:c r="O24" s="544"/>
      <x:c r="P24" s="544"/>
      <x:c r="Q24" s="544"/>
      <x:c r="R24" s="544"/>
      <x:c r="S24" s="544"/>
    </x:row>
    <x:row r="25">
      <x:c r="A25" s="626" t="str">
        <x:v>Plot size</x:v>
      </x:c>
      <x:c r="B25" s="626" t="str">
        <x:v>30×30</x:v>
      </x:c>
      <x:c r="C25" s="626" t="str">
        <x:v>m</x:v>
      </x:c>
      <x:c r="D25" s="626" t="str">
        <x:v>Supplied PB report</x:v>
      </x:c>
      <x:c r="E25" s="544"/>
      <x:c r="F25" s="544"/>
      <x:c r="G25" s="544"/>
      <x:c r="H25" s="544"/>
      <x:c r="I25" s="544"/>
      <x:c r="J25" s="544"/>
      <x:c r="K25" s="544"/>
      <x:c r="L25" s="544"/>
      <x:c r="M25" s="544"/>
      <x:c r="N25" s="544"/>
      <x:c r="O25" s="544"/>
      <x:c r="P25" s="544"/>
      <x:c r="Q25" s="544"/>
      <x:c r="R25" s="544"/>
      <x:c r="S25" s="544"/>
    </x:row>
    <x:row r="26">
      <x:c r="A26" s="626" t="str">
        <x:v>Stocking Index</x:v>
      </x:c>
      <x:c r="B26" s="626" t="str">
        <x:v>TCARI</x:v>
      </x:c>
      <x:c r="C26" s="626" t="str"/>
      <x:c r="D26" s="626" t="str">
        <x:v>Supplied PB report</x:v>
      </x:c>
      <x:c r="E26" s="544"/>
      <x:c r="F26" s="544"/>
      <x:c r="G26" s="544"/>
      <x:c r="H26" s="544"/>
      <x:c r="I26" s="544"/>
      <x:c r="J26" s="544"/>
      <x:c r="K26" s="544"/>
      <x:c r="L26" s="544"/>
      <x:c r="M26" s="544"/>
      <x:c r="N26" s="544"/>
      <x:c r="O26" s="544"/>
      <x:c r="P26" s="544"/>
      <x:c r="Q26" s="544"/>
      <x:c r="R26" s="544"/>
      <x:c r="S26" s="544"/>
    </x:row>
    <x:row r="27">
      <x:c r="A27" s="626" t="str">
        <x:v>ΔSI_wp</x:v>
      </x:c>
      <x:c r="B27" s="626" t="n">
        <x:v>0.0166997419243997</x:v>
      </x:c>
      <x:c r="C27" s="626" t="str">
        <x:v>SI/year</x:v>
      </x:c>
      <x:c r="D27" s="626" t="str">
        <x:v>Project trend</x:v>
      </x:c>
      <x:c r="E27" s="544"/>
      <x:c r="F27" s="544"/>
      <x:c r="G27" s="544"/>
      <x:c r="H27" s="544"/>
      <x:c r="I27" s="544"/>
      <x:c r="J27" s="544"/>
      <x:c r="K27" s="544"/>
      <x:c r="L27" s="544"/>
      <x:c r="M27" s="544"/>
      <x:c r="N27" s="544"/>
      <x:c r="O27" s="544"/>
      <x:c r="P27" s="544"/>
      <x:c r="Q27" s="544"/>
      <x:c r="R27" s="544"/>
      <x:c r="S27" s="544"/>
    </x:row>
    <x:row r="28">
      <x:c r="A28" s="626" t="str">
        <x:v>ΔSI_control</x:v>
      </x:c>
      <x:c r="B28" s="626" t="n">
        <x:v>0.000203529287309659</x:v>
      </x:c>
      <x:c r="C28" s="626" t="str">
        <x:v>SI/year</x:v>
      </x:c>
      <x:c r="D28" s="626" t="str">
        <x:v>Control trend</x:v>
      </x:c>
      <x:c r="E28" s="544"/>
      <x:c r="F28" s="544"/>
      <x:c r="G28" s="544"/>
      <x:c r="H28" s="544"/>
      <x:c r="I28" s="544"/>
      <x:c r="J28" s="544"/>
      <x:c r="K28" s="544"/>
      <x:c r="L28" s="544"/>
      <x:c r="M28" s="544"/>
      <x:c r="N28" s="544"/>
      <x:c r="O28" s="544"/>
      <x:c r="P28" s="544"/>
      <x:c r="Q28" s="544"/>
      <x:c r="R28" s="544"/>
      <x:c r="S28" s="544"/>
    </x:row>
    <x:row r="29">
      <x:c r="A29" s="626" t="str">
        <x:v>SE_wp</x:v>
      </x:c>
      <x:c r="B29" s="626" t="n">
        <x:v>0.00122555319055404</x:v>
      </x:c>
      <x:c r="C29" s="626" t="str"/>
      <x:c r="D29" s="626" t="str">
        <x:v>Supplied PB report</x:v>
      </x:c>
      <x:c r="E29" s="544"/>
      <x:c r="F29" s="544"/>
      <x:c r="G29" s="544"/>
      <x:c r="H29" s="544"/>
      <x:c r="I29" s="544"/>
      <x:c r="J29" s="544"/>
      <x:c r="K29" s="544"/>
      <x:c r="L29" s="544"/>
      <x:c r="M29" s="544"/>
      <x:c r="N29" s="544"/>
      <x:c r="O29" s="544"/>
      <x:c r="P29" s="544"/>
      <x:c r="Q29" s="544"/>
      <x:c r="R29" s="544"/>
      <x:c r="S29" s="544"/>
    </x:row>
    <x:row r="30">
      <x:c r="A30" s="626" t="str">
        <x:v>SE_control</x:v>
      </x:c>
      <x:c r="B30" s="626" t="n">
        <x:v>0.000780503810343969</x:v>
      </x:c>
      <x:c r="C30" s="626" t="str"/>
      <x:c r="D30" s="626" t="str">
        <x:v>Supplied PB report</x:v>
      </x:c>
      <x:c r="E30" s="544"/>
      <x:c r="F30" s="544"/>
      <x:c r="G30" s="544"/>
      <x:c r="H30" s="544"/>
      <x:c r="I30" s="544"/>
      <x:c r="J30" s="544"/>
      <x:c r="K30" s="544"/>
      <x:c r="L30" s="544"/>
      <x:c r="M30" s="544"/>
      <x:c r="N30" s="544"/>
      <x:c r="O30" s="544"/>
      <x:c r="P30" s="544"/>
      <x:c r="Q30" s="544"/>
      <x:c r="R30" s="544"/>
      <x:c r="S30" s="544"/>
    </x:row>
    <x:row r="31">
      <x:c r="A31" s="626" t="str">
        <x:v>Z-score</x:v>
      </x:c>
      <x:c r="B31" s="626" t="n">
        <x:v>11.3533223852761</x:v>
      </x:c>
      <x:c r="C31" s="626" t="str"/>
      <x:c r="D31" s="626" t="str">
        <x:v>Appendix 1 significance test</x:v>
      </x:c>
      <x:c r="E31" s="544"/>
      <x:c r="F31" s="544"/>
      <x:c r="G31" s="544"/>
      <x:c r="H31" s="544"/>
      <x:c r="I31" s="544"/>
      <x:c r="J31" s="544"/>
      <x:c r="K31" s="544"/>
      <x:c r="L31" s="544"/>
      <x:c r="M31" s="544"/>
      <x:c r="N31" s="544"/>
      <x:c r="O31" s="544"/>
      <x:c r="P31" s="544"/>
      <x:c r="Q31" s="544"/>
      <x:c r="R31" s="544"/>
      <x:c r="S31" s="544"/>
    </x:row>
    <x:row r="32">
      <x:c r="A32" s="626" t="str">
        <x:v>p-value</x:v>
      </x:c>
      <x:c r="B32" s="626" t="n">
        <x:v>0</x:v>
      </x:c>
      <x:c r="C32" s="626" t="str"/>
      <x:c r="D32" s="626" t="str">
        <x:v>Supplied PB report</x:v>
      </x:c>
      <x:c r="E32" s="544"/>
      <x:c r="F32" s="544"/>
      <x:c r="G32" s="544"/>
      <x:c r="H32" s="544"/>
      <x:c r="I32" s="544"/>
      <x:c r="J32" s="544"/>
      <x:c r="K32" s="544"/>
      <x:c r="L32" s="544"/>
      <x:c r="M32" s="544"/>
      <x:c r="N32" s="544"/>
      <x:c r="O32" s="544"/>
      <x:c r="P32" s="544"/>
      <x:c r="Q32" s="544"/>
      <x:c r="R32" s="544"/>
      <x:c r="S32" s="544"/>
    </x:row>
    <x:row r="33">
      <x:c r="A33" s="626" t="str">
        <x:v>Significant?</x:v>
      </x:c>
      <x:c r="B33" s="626" t="str">
        <x:v>Yes</x:v>
      </x:c>
      <x:c r="C33" s="626" t="str"/>
      <x:c r="D33" s="626" t="str">
        <x:v>Z-test result</x:v>
      </x:c>
      <x:c r="E33" s="544"/>
      <x:c r="F33" s="544"/>
      <x:c r="G33" s="544"/>
      <x:c r="H33" s="544"/>
      <x:c r="I33" s="544"/>
      <x:c r="J33" s="544"/>
      <x:c r="K33" s="544"/>
      <x:c r="L33" s="544"/>
      <x:c r="M33" s="544"/>
      <x:c r="N33" s="544"/>
      <x:c r="O33" s="544"/>
      <x:c r="P33" s="544"/>
      <x:c r="Q33" s="544"/>
      <x:c r="R33" s="544"/>
      <x:c r="S33" s="544"/>
    </x:row>
    <x:row r="34">
      <x:c r="A34" s="627" t="str">
        <x:v>PB_t</x:v>
      </x:c>
      <x:c r="B34" s="628" t="n">
        <x:v>0.0121875708158272</x:v>
      </x:c>
      <x:c r="C34" s="627" t="str">
        <x:v>ratio</x:v>
      </x:c>
      <x:c r="D34" s="627" t="str">
        <x:v>Eq. A8 = ΔSI_control / ΔSI_wp</x:v>
      </x:c>
      <x:c r="E34" s="544"/>
      <x:c r="F34" s="544"/>
      <x:c r="G34" s="544"/>
      <x:c r="H34" s="544"/>
      <x:c r="I34" s="544"/>
      <x:c r="J34" s="544"/>
      <x:c r="K34" s="544"/>
      <x:c r="L34" s="544"/>
      <x:c r="M34" s="544"/>
      <x:c r="N34" s="544"/>
      <x:c r="O34" s="544"/>
      <x:c r="P34" s="544"/>
      <x:c r="Q34" s="544"/>
      <x:c r="R34" s="544"/>
      <x:c r="S34" s="544"/>
    </x:row>
    <x:row r="35">
      <x:c r="A35" s="544"/>
      <x:c r="B35" s="544"/>
      <x:c r="C35" s="544"/>
      <x:c r="D35" s="544"/>
      <x:c r="E35" s="544"/>
      <x:c r="F35" s="544"/>
      <x:c r="G35" s="544"/>
      <x:c r="H35" s="544"/>
      <x:c r="I35" s="544"/>
      <x:c r="J35" s="544"/>
      <x:c r="K35" s="544"/>
      <x:c r="L35" s="544"/>
      <x:c r="M35" s="544"/>
      <x:c r="N35" s="544"/>
      <x:c r="O35" s="544"/>
      <x:c r="P35" s="544"/>
      <x:c r="Q35" s="544"/>
      <x:c r="R35" s="544"/>
      <x:c r="S35" s="544"/>
    </x:row>
    <x:row r="36">
      <x:c r="A36" s="544"/>
      <x:c r="B36" s="544"/>
      <x:c r="C36" s="544"/>
      <x:c r="D36" s="544"/>
      <x:c r="E36" s="544"/>
      <x:c r="F36" s="544"/>
      <x:c r="G36" s="544"/>
      <x:c r="H36" s="544"/>
      <x:c r="I36" s="544"/>
      <x:c r="J36" s="544"/>
      <x:c r="K36" s="544"/>
      <x:c r="L36" s="544"/>
      <x:c r="M36" s="544"/>
      <x:c r="N36" s="544"/>
      <x:c r="O36" s="544"/>
      <x:c r="P36" s="544"/>
      <x:c r="Q36" s="544"/>
      <x:c r="R36" s="544"/>
      <x:c r="S36" s="544"/>
    </x:row>
    <x:row r="37">
      <x:c r="A37" s="633" t="str">
        <x:v>Tropical &amp; Subtropical Moist Broadleaf Forests</x:v>
      </x:c>
      <x:c r="B37" s="633"/>
      <x:c r="C37" s="633"/>
      <x:c r="D37" s="633"/>
      <x:c r="E37" s="633"/>
      <x:c r="F37" s="633"/>
      <x:c r="G37" s="633"/>
      <x:c r="H37" s="633"/>
      <x:c r="I37" s="633"/>
      <x:c r="J37" s="544"/>
      <x:c r="K37" s="544"/>
      <x:c r="L37" s="544"/>
      <x:c r="M37" s="544"/>
      <x:c r="N37" s="544"/>
      <x:c r="O37" s="544"/>
      <x:c r="P37" s="544"/>
      <x:c r="Q37" s="544"/>
      <x:c r="R37" s="544"/>
      <x:c r="S37" s="544"/>
    </x:row>
    <x:row r="38">
      <x:c r="A38" s="615" t="str">
        <x:v>Metric</x:v>
      </x:c>
      <x:c r="B38" s="615" t="str">
        <x:v>Value</x:v>
      </x:c>
      <x:c r="C38" s="615" t="str">
        <x:v>Unit</x:v>
      </x:c>
      <x:c r="D38" s="615" t="str">
        <x:v>Basis / source</x:v>
      </x:c>
      <x:c r="E38" s="544"/>
      <x:c r="F38" s="544"/>
      <x:c r="G38" s="544"/>
      <x:c r="H38" s="544"/>
      <x:c r="I38" s="544"/>
      <x:c r="J38" s="544"/>
      <x:c r="K38" s="544"/>
      <x:c r="L38" s="544"/>
      <x:c r="M38" s="544"/>
      <x:c r="N38" s="544"/>
      <x:c r="O38" s="544"/>
      <x:c r="P38" s="544"/>
      <x:c r="Q38" s="544"/>
      <x:c r="R38" s="544"/>
      <x:c r="S38" s="544"/>
    </x:row>
    <x:row r="39">
      <x:c r="A39" s="626" t="str">
        <x:v>Accounting area</x:v>
      </x:c>
      <x:c r="B39" s="626" t="n">
        <x:f>SUMIF(S17_Biome_Strata!$A$4:$A$95,"Tropical &amp; Subtropical Moist Broadleaf Forests",S17_Biome_Strata!$F$4:$F$95)</x:f>
        <x:v>342.44716102792415</x:v>
      </x:c>
      <x:c r="C39" s="626" t="str">
        <x:v>ha</x:v>
      </x:c>
      <x:c r="D39" s="626" t="str">
        <x:v>Current ERR accounting scope</x:v>
      </x:c>
      <x:c r="E39" s="544"/>
      <x:c r="F39" s="544"/>
      <x:c r="G39" s="544"/>
      <x:c r="H39" s="544"/>
      <x:c r="I39" s="544"/>
      <x:c r="J39" s="544"/>
      <x:c r="K39" s="544"/>
      <x:c r="L39" s="544"/>
      <x:c r="M39" s="544"/>
      <x:c r="N39" s="544"/>
      <x:c r="O39" s="544"/>
      <x:c r="P39" s="544"/>
      <x:c r="Q39" s="544"/>
      <x:c r="R39" s="544"/>
      <x:c r="S39" s="544"/>
    </x:row>
    <x:row r="40">
      <x:c r="A40" s="626" t="str">
        <x:v>Accounting records</x:v>
      </x:c>
      <x:c r="B40" s="626" t="n">
        <x:f>SUMIF(S17_Biome_Strata!$A$4:$A$95,"Tropical &amp; Subtropical Moist Broadleaf Forests",S17_Biome_Strata!$E$4:$E$95)</x:f>
        <x:v>452</x:v>
      </x:c>
      <x:c r="C40" s="626" t="str">
        <x:v>records</x:v>
      </x:c>
      <x:c r="D40" s="626" t="str">
        <x:v>Current eligible ERR population</x:v>
      </x:c>
      <x:c r="E40" s="544"/>
      <x:c r="F40" s="544"/>
      <x:c r="G40" s="544"/>
      <x:c r="H40" s="544"/>
      <x:c r="I40" s="544"/>
      <x:c r="J40" s="544"/>
      <x:c r="K40" s="544"/>
      <x:c r="L40" s="544"/>
      <x:c r="M40" s="544"/>
      <x:c r="N40" s="544"/>
      <x:c r="O40" s="544"/>
      <x:c r="P40" s="544"/>
      <x:c r="Q40" s="544"/>
      <x:c r="R40" s="544"/>
      <x:c r="S40" s="544"/>
    </x:row>
    <x:row r="41">
      <x:c r="A41" s="626" t="str">
        <x:v>Project plots</x:v>
      </x:c>
      <x:c r="B41" s="626" t="n">
        <x:v>30</x:v>
      </x:c>
      <x:c r="C41" s="626" t="str">
        <x:v>plots</x:v>
      </x:c>
      <x:c r="D41" s="626" t="str">
        <x:v>Supplied PB report</x:v>
      </x:c>
      <x:c r="E41" s="544"/>
      <x:c r="F41" s="544"/>
      <x:c r="G41" s="544"/>
      <x:c r="H41" s="544"/>
      <x:c r="I41" s="544"/>
      <x:c r="J41" s="544"/>
      <x:c r="K41" s="544"/>
      <x:c r="L41" s="544"/>
      <x:c r="M41" s="544"/>
      <x:c r="N41" s="544"/>
      <x:c r="O41" s="544"/>
      <x:c r="P41" s="544"/>
      <x:c r="Q41" s="544"/>
      <x:c r="R41" s="544"/>
      <x:c r="S41" s="544"/>
    </x:row>
    <x:row r="42">
      <x:c r="A42" s="626" t="str">
        <x:v>Control plots</x:v>
      </x:c>
      <x:c r="B42" s="626" t="n">
        <x:v>150</x:v>
      </x:c>
      <x:c r="C42" s="626" t="str">
        <x:v>plots</x:v>
      </x:c>
      <x:c r="D42" s="626" t="str">
        <x:v>Supplied PB report</x:v>
      </x:c>
      <x:c r="E42" s="544"/>
      <x:c r="F42" s="544"/>
      <x:c r="G42" s="544"/>
      <x:c r="H42" s="544"/>
      <x:c r="I42" s="544"/>
      <x:c r="J42" s="544"/>
      <x:c r="K42" s="544"/>
      <x:c r="L42" s="544"/>
      <x:c r="M42" s="544"/>
      <x:c r="N42" s="544"/>
      <x:c r="O42" s="544"/>
      <x:c r="P42" s="544"/>
      <x:c r="Q42" s="544"/>
      <x:c r="R42" s="544"/>
      <x:c r="S42" s="544"/>
    </x:row>
    <x:row r="43">
      <x:c r="A43" s="626" t="str">
        <x:v>Plot size</x:v>
      </x:c>
      <x:c r="B43" s="626" t="str">
        <x:v>30×30</x:v>
      </x:c>
      <x:c r="C43" s="626" t="str">
        <x:v>m</x:v>
      </x:c>
      <x:c r="D43" s="626" t="str">
        <x:v>Supplied PB report</x:v>
      </x:c>
      <x:c r="E43" s="544"/>
      <x:c r="F43" s="544"/>
      <x:c r="G43" s="544"/>
      <x:c r="H43" s="544"/>
      <x:c r="I43" s="544"/>
      <x:c r="J43" s="544"/>
      <x:c r="K43" s="544"/>
      <x:c r="L43" s="544"/>
      <x:c r="M43" s="544"/>
      <x:c r="N43" s="544"/>
      <x:c r="O43" s="544"/>
      <x:c r="P43" s="544"/>
      <x:c r="Q43" s="544"/>
      <x:c r="R43" s="544"/>
      <x:c r="S43" s="544"/>
    </x:row>
    <x:row r="44">
      <x:c r="A44" s="626" t="str">
        <x:v>Stocking Index</x:v>
      </x:c>
      <x:c r="B44" s="626" t="str">
        <x:v>TCARI</x:v>
      </x:c>
      <x:c r="C44" s="626" t="str"/>
      <x:c r="D44" s="626" t="str">
        <x:v>Supplied PB report</x:v>
      </x:c>
      <x:c r="E44" s="544"/>
      <x:c r="F44" s="544"/>
      <x:c r="G44" s="544"/>
      <x:c r="H44" s="544"/>
      <x:c r="I44" s="544"/>
      <x:c r="J44" s="544"/>
      <x:c r="K44" s="544"/>
      <x:c r="L44" s="544"/>
      <x:c r="M44" s="544"/>
      <x:c r="N44" s="544"/>
      <x:c r="O44" s="544"/>
      <x:c r="P44" s="544"/>
      <x:c r="Q44" s="544"/>
      <x:c r="R44" s="544"/>
      <x:c r="S44" s="544"/>
    </x:row>
    <x:row r="45">
      <x:c r="A45" s="626" t="str">
        <x:v>ΔSI_wp</x:v>
      </x:c>
      <x:c r="B45" s="626" t="n">
        <x:v>0.01019</x:v>
      </x:c>
      <x:c r="C45" s="626" t="str">
        <x:v>SI/year</x:v>
      </x:c>
      <x:c r="D45" s="626" t="str">
        <x:v>Project trend</x:v>
      </x:c>
      <x:c r="E45" s="544"/>
      <x:c r="F45" s="544"/>
      <x:c r="G45" s="544"/>
      <x:c r="H45" s="544"/>
      <x:c r="I45" s="544"/>
      <x:c r="J45" s="544"/>
      <x:c r="K45" s="544"/>
      <x:c r="L45" s="544"/>
      <x:c r="M45" s="544"/>
      <x:c r="N45" s="544"/>
      <x:c r="O45" s="544"/>
      <x:c r="P45" s="544"/>
      <x:c r="Q45" s="544"/>
      <x:c r="R45" s="544"/>
      <x:c r="S45" s="544"/>
    </x:row>
    <x:row r="46">
      <x:c r="A46" s="626" t="str">
        <x:v>ΔSI_control</x:v>
      </x:c>
      <x:c r="B46" s="626" t="n">
        <x:v>0.0031827</x:v>
      </x:c>
      <x:c r="C46" s="626" t="str">
        <x:v>SI/year</x:v>
      </x:c>
      <x:c r="D46" s="626" t="str">
        <x:v>Control trend</x:v>
      </x:c>
      <x:c r="E46" s="544"/>
      <x:c r="F46" s="544"/>
      <x:c r="G46" s="544"/>
      <x:c r="H46" s="544"/>
      <x:c r="I46" s="544"/>
      <x:c r="J46" s="544"/>
      <x:c r="K46" s="544"/>
      <x:c r="L46" s="544"/>
      <x:c r="M46" s="544"/>
      <x:c r="N46" s="544"/>
      <x:c r="O46" s="544"/>
      <x:c r="P46" s="544"/>
      <x:c r="Q46" s="544"/>
      <x:c r="R46" s="544"/>
      <x:c r="S46" s="544"/>
    </x:row>
    <x:row r="47">
      <x:c r="A47" s="626" t="str">
        <x:v>SE_wp</x:v>
      </x:c>
      <x:c r="B47" s="626" t="n">
        <x:v>0.0013985</x:v>
      </x:c>
      <x:c r="C47" s="626" t="str"/>
      <x:c r="D47" s="626" t="str">
        <x:v>Supplied PB report</x:v>
      </x:c>
      <x:c r="E47" s="544"/>
      <x:c r="F47" s="544"/>
      <x:c r="G47" s="544"/>
      <x:c r="H47" s="544"/>
      <x:c r="I47" s="544"/>
      <x:c r="J47" s="544"/>
      <x:c r="K47" s="544"/>
      <x:c r="L47" s="544"/>
      <x:c r="M47" s="544"/>
      <x:c r="N47" s="544"/>
      <x:c r="O47" s="544"/>
      <x:c r="P47" s="544"/>
      <x:c r="Q47" s="544"/>
      <x:c r="R47" s="544"/>
      <x:c r="S47" s="544"/>
    </x:row>
    <x:row r="48">
      <x:c r="A48" s="626" t="str">
        <x:v>SE_control</x:v>
      </x:c>
      <x:c r="B48" s="626" t="n">
        <x:v>0.0006894</x:v>
      </x:c>
      <x:c r="C48" s="626" t="str"/>
      <x:c r="D48" s="626" t="str">
        <x:v>Supplied PB report</x:v>
      </x:c>
      <x:c r="E48" s="544"/>
      <x:c r="F48" s="544"/>
      <x:c r="G48" s="544"/>
      <x:c r="H48" s="544"/>
      <x:c r="I48" s="544"/>
      <x:c r="J48" s="544"/>
      <x:c r="K48" s="544"/>
      <x:c r="L48" s="544"/>
      <x:c r="M48" s="544"/>
      <x:c r="N48" s="544"/>
      <x:c r="O48" s="544"/>
      <x:c r="P48" s="544"/>
      <x:c r="Q48" s="544"/>
      <x:c r="R48" s="544"/>
      <x:c r="S48" s="544"/>
    </x:row>
    <x:row r="49">
      <x:c r="A49" s="626" t="str">
        <x:v>Z-score</x:v>
      </x:c>
      <x:c r="B49" s="626" t="n">
        <x:v>4.4942607</x:v>
      </x:c>
      <x:c r="C49" s="626" t="str"/>
      <x:c r="D49" s="626" t="str">
        <x:v>Appendix 1 significance test</x:v>
      </x:c>
      <x:c r="E49" s="544"/>
      <x:c r="F49" s="544"/>
      <x:c r="G49" s="544"/>
      <x:c r="H49" s="544"/>
      <x:c r="I49" s="544"/>
      <x:c r="J49" s="544"/>
      <x:c r="K49" s="544"/>
      <x:c r="L49" s="544"/>
      <x:c r="M49" s="544"/>
      <x:c r="N49" s="544"/>
      <x:c r="O49" s="544"/>
      <x:c r="P49" s="544"/>
      <x:c r="Q49" s="544"/>
      <x:c r="R49" s="544"/>
      <x:c r="S49" s="544"/>
    </x:row>
    <x:row r="50">
      <x:c r="A50" s="626" t="str">
        <x:v>p-value</x:v>
      </x:c>
      <x:c r="B50" s="626" t="n">
        <x:v>0.00000698</x:v>
      </x:c>
      <x:c r="C50" s="626" t="str"/>
      <x:c r="D50" s="626" t="str">
        <x:v>Supplied PB report</x:v>
      </x:c>
      <x:c r="E50" s="544"/>
      <x:c r="F50" s="544"/>
      <x:c r="G50" s="544"/>
      <x:c r="H50" s="544"/>
      <x:c r="I50" s="544"/>
      <x:c r="J50" s="544"/>
      <x:c r="K50" s="544"/>
      <x:c r="L50" s="544"/>
      <x:c r="M50" s="544"/>
      <x:c r="N50" s="544"/>
      <x:c r="O50" s="544"/>
      <x:c r="P50" s="544"/>
      <x:c r="Q50" s="544"/>
      <x:c r="R50" s="544"/>
      <x:c r="S50" s="544"/>
    </x:row>
    <x:row r="51">
      <x:c r="A51" s="626" t="str">
        <x:v>Significant?</x:v>
      </x:c>
      <x:c r="B51" s="626" t="str">
        <x:v>Yes</x:v>
      </x:c>
      <x:c r="C51" s="626" t="str"/>
      <x:c r="D51" s="626" t="str">
        <x:v>Z-test result</x:v>
      </x:c>
      <x:c r="E51" s="544"/>
      <x:c r="F51" s="544"/>
      <x:c r="G51" s="544"/>
      <x:c r="H51" s="544"/>
      <x:c r="I51" s="544"/>
      <x:c r="J51" s="544"/>
      <x:c r="K51" s="544"/>
      <x:c r="L51" s="544"/>
      <x:c r="M51" s="544"/>
      <x:c r="N51" s="544"/>
      <x:c r="O51" s="544"/>
      <x:c r="P51" s="544"/>
      <x:c r="Q51" s="544"/>
      <x:c r="R51" s="544"/>
      <x:c r="S51" s="544"/>
    </x:row>
    <x:row r="52">
      <x:c r="A52" s="627" t="str">
        <x:v>PB_t</x:v>
      </x:c>
      <x:c r="B52" s="628" t="n">
        <x:v>0.3123295517</x:v>
      </x:c>
      <x:c r="C52" s="627" t="str">
        <x:v>ratio</x:v>
      </x:c>
      <x:c r="D52" s="627" t="str">
        <x:v>Eq. A8 = ΔSI_control / ΔSI_wp</x:v>
      </x:c>
      <x:c r="E52" s="544"/>
      <x:c r="F52" s="544"/>
      <x:c r="G52" s="544"/>
      <x:c r="H52" s="544"/>
      <x:c r="I52" s="544"/>
      <x:c r="J52" s="544"/>
      <x:c r="K52" s="544"/>
      <x:c r="L52" s="544"/>
      <x:c r="M52" s="544"/>
      <x:c r="N52" s="544"/>
      <x:c r="O52" s="544"/>
      <x:c r="P52" s="544"/>
      <x:c r="Q52" s="544"/>
      <x:c r="R52" s="544"/>
      <x:c r="S52" s="544"/>
    </x:row>
    <x:row r="53">
      <x:c r="A53" s="544"/>
      <x:c r="B53" s="544"/>
      <x:c r="C53" s="544"/>
      <x:c r="D53" s="544"/>
      <x:c r="E53" s="544"/>
      <x:c r="F53" s="544"/>
      <x:c r="G53" s="544"/>
      <x:c r="H53" s="544"/>
      <x:c r="I53" s="544"/>
      <x:c r="J53" s="544"/>
      <x:c r="K53" s="544"/>
      <x:c r="L53" s="544"/>
      <x:c r="M53" s="544"/>
      <x:c r="N53" s="544"/>
      <x:c r="O53" s="544"/>
      <x:c r="P53" s="544"/>
      <x:c r="Q53" s="544"/>
      <x:c r="R53" s="544"/>
      <x:c r="S53" s="544"/>
    </x:row>
    <x:row r="54">
      <x:c r="A54" s="544"/>
      <x:c r="B54" s="544"/>
      <x:c r="C54" s="544"/>
      <x:c r="D54" s="544"/>
      <x:c r="E54" s="544"/>
      <x:c r="F54" s="544"/>
      <x:c r="G54" s="544"/>
      <x:c r="H54" s="544"/>
      <x:c r="I54" s="544"/>
      <x:c r="J54" s="544"/>
      <x:c r="K54" s="544"/>
      <x:c r="L54" s="544"/>
      <x:c r="M54" s="544"/>
      <x:c r="N54" s="544"/>
      <x:c r="O54" s="544"/>
      <x:c r="P54" s="544"/>
      <x:c r="Q54" s="544"/>
      <x:c r="R54" s="544"/>
      <x:c r="S54" s="544"/>
    </x:row>
    <x:row r="55">
      <x:c r="A55" s="633" t="str">
        <x:v>Tropical &amp; Subtropical Dry Broadleaf Forests</x:v>
      </x:c>
      <x:c r="B55" s="633"/>
      <x:c r="C55" s="633"/>
      <x:c r="D55" s="633"/>
      <x:c r="E55" s="633"/>
      <x:c r="F55" s="633"/>
      <x:c r="G55" s="633"/>
      <x:c r="H55" s="633"/>
      <x:c r="I55" s="633"/>
      <x:c r="J55" s="544"/>
      <x:c r="K55" s="544"/>
      <x:c r="L55" s="544"/>
      <x:c r="M55" s="544"/>
      <x:c r="N55" s="544"/>
      <x:c r="O55" s="544"/>
      <x:c r="P55" s="544"/>
      <x:c r="Q55" s="544"/>
      <x:c r="R55" s="544"/>
      <x:c r="S55" s="544"/>
    </x:row>
    <x:row r="56">
      <x:c r="A56" s="615" t="str">
        <x:v>Metric</x:v>
      </x:c>
      <x:c r="B56" s="615" t="str">
        <x:v>Value</x:v>
      </x:c>
      <x:c r="C56" s="615" t="str">
        <x:v>Unit</x:v>
      </x:c>
      <x:c r="D56" s="615" t="str">
        <x:v>Basis / source</x:v>
      </x:c>
      <x:c r="E56" s="544"/>
      <x:c r="F56" s="544"/>
      <x:c r="G56" s="544"/>
      <x:c r="H56" s="544"/>
      <x:c r="I56" s="544"/>
      <x:c r="J56" s="544"/>
      <x:c r="K56" s="544"/>
      <x:c r="L56" s="544"/>
      <x:c r="M56" s="544"/>
      <x:c r="N56" s="544"/>
      <x:c r="O56" s="544"/>
      <x:c r="P56" s="544"/>
      <x:c r="Q56" s="544"/>
      <x:c r="R56" s="544"/>
      <x:c r="S56" s="544"/>
    </x:row>
    <x:row r="57">
      <x:c r="A57" s="626" t="str">
        <x:v>Accounting area</x:v>
      </x:c>
      <x:c r="B57" s="626" t="n">
        <x:f>SUMIF(S17_Biome_Strata!$A$4:$A$95,"Tropical &amp; Subtropical Dry Broadleaf Forests",S17_Biome_Strata!$F$4:$F$95)</x:f>
        <x:v>1400.7510724807769</x:v>
      </x:c>
      <x:c r="C57" s="626" t="str">
        <x:v>ha</x:v>
      </x:c>
      <x:c r="D57" s="626" t="str">
        <x:v>Current ERR accounting scope</x:v>
      </x:c>
      <x:c r="E57" s="544"/>
      <x:c r="F57" s="544"/>
      <x:c r="G57" s="544"/>
      <x:c r="H57" s="544"/>
      <x:c r="I57" s="544"/>
      <x:c r="J57" s="544"/>
      <x:c r="K57" s="544"/>
      <x:c r="L57" s="544"/>
      <x:c r="M57" s="544"/>
      <x:c r="N57" s="544"/>
      <x:c r="O57" s="544"/>
      <x:c r="P57" s="544"/>
      <x:c r="Q57" s="544"/>
      <x:c r="R57" s="544"/>
      <x:c r="S57" s="544"/>
    </x:row>
    <x:row r="58">
      <x:c r="A58" s="626" t="str">
        <x:v>Accounting records</x:v>
      </x:c>
      <x:c r="B58" s="626" t="n">
        <x:f>SUMIF(S17_Biome_Strata!$A$4:$A$95,"Tropical &amp; Subtropical Dry Broadleaf Forests",S17_Biome_Strata!$E$4:$E$95)</x:f>
        <x:v>1776</x:v>
      </x:c>
      <x:c r="C58" s="626" t="str">
        <x:v>records</x:v>
      </x:c>
      <x:c r="D58" s="626" t="str">
        <x:v>Current eligible ERR population</x:v>
      </x:c>
      <x:c r="E58" s="544"/>
      <x:c r="F58" s="544"/>
      <x:c r="G58" s="544"/>
      <x:c r="H58" s="544"/>
      <x:c r="I58" s="544"/>
      <x:c r="J58" s="544"/>
      <x:c r="K58" s="544"/>
      <x:c r="L58" s="544"/>
      <x:c r="M58" s="544"/>
      <x:c r="N58" s="544"/>
      <x:c r="O58" s="544"/>
      <x:c r="P58" s="544"/>
      <x:c r="Q58" s="544"/>
      <x:c r="R58" s="544"/>
      <x:c r="S58" s="544"/>
    </x:row>
    <x:row r="59">
      <x:c r="A59" s="626" t="str">
        <x:v>Project plots</x:v>
      </x:c>
      <x:c r="B59" s="626" t="n">
        <x:v>30</x:v>
      </x:c>
      <x:c r="C59" s="626" t="str">
        <x:v>plots</x:v>
      </x:c>
      <x:c r="D59" s="626" t="str">
        <x:v>Supplied PB report</x:v>
      </x:c>
      <x:c r="E59" s="544"/>
      <x:c r="F59" s="544"/>
      <x:c r="G59" s="544"/>
      <x:c r="H59" s="544"/>
      <x:c r="I59" s="544"/>
      <x:c r="J59" s="544"/>
      <x:c r="K59" s="544"/>
      <x:c r="L59" s="544"/>
      <x:c r="M59" s="544"/>
      <x:c r="N59" s="544"/>
      <x:c r="O59" s="544"/>
      <x:c r="P59" s="544"/>
      <x:c r="Q59" s="544"/>
      <x:c r="R59" s="544"/>
      <x:c r="S59" s="544"/>
    </x:row>
    <x:row r="60">
      <x:c r="A60" s="626" t="str">
        <x:v>Control plots</x:v>
      </x:c>
      <x:c r="B60" s="626" t="n">
        <x:v>150</x:v>
      </x:c>
      <x:c r="C60" s="626" t="str">
        <x:v>plots</x:v>
      </x:c>
      <x:c r="D60" s="626" t="str">
        <x:v>Supplied PB report</x:v>
      </x:c>
      <x:c r="E60" s="544"/>
      <x:c r="F60" s="544"/>
      <x:c r="G60" s="544"/>
      <x:c r="H60" s="544"/>
      <x:c r="I60" s="544"/>
      <x:c r="J60" s="544"/>
      <x:c r="K60" s="544"/>
      <x:c r="L60" s="544"/>
      <x:c r="M60" s="544"/>
      <x:c r="N60" s="544"/>
      <x:c r="O60" s="544"/>
      <x:c r="P60" s="544"/>
      <x:c r="Q60" s="544"/>
      <x:c r="R60" s="544"/>
      <x:c r="S60" s="544"/>
    </x:row>
    <x:row r="61">
      <x:c r="A61" s="626" t="str">
        <x:v>Plot size</x:v>
      </x:c>
      <x:c r="B61" s="626" t="str">
        <x:v>30×30</x:v>
      </x:c>
      <x:c r="C61" s="626" t="str">
        <x:v>m</x:v>
      </x:c>
      <x:c r="D61" s="626" t="str">
        <x:v>Supplied PB report</x:v>
      </x:c>
      <x:c r="E61" s="544"/>
      <x:c r="F61" s="544"/>
      <x:c r="G61" s="544"/>
      <x:c r="H61" s="544"/>
      <x:c r="I61" s="544"/>
      <x:c r="J61" s="544"/>
      <x:c r="K61" s="544"/>
      <x:c r="L61" s="544"/>
      <x:c r="M61" s="544"/>
      <x:c r="N61" s="544"/>
      <x:c r="O61" s="544"/>
      <x:c r="P61" s="544"/>
      <x:c r="Q61" s="544"/>
      <x:c r="R61" s="544"/>
      <x:c r="S61" s="544"/>
    </x:row>
    <x:row r="62">
      <x:c r="A62" s="626" t="str">
        <x:v>Stocking Index</x:v>
      </x:c>
      <x:c r="B62" s="626" t="str">
        <x:v>TCARI</x:v>
      </x:c>
      <x:c r="C62" s="626" t="str"/>
      <x:c r="D62" s="626" t="str">
        <x:v>Supplied PB report</x:v>
      </x:c>
      <x:c r="E62" s="544"/>
      <x:c r="F62" s="544"/>
      <x:c r="G62" s="544"/>
      <x:c r="H62" s="544"/>
      <x:c r="I62" s="544"/>
      <x:c r="J62" s="544"/>
      <x:c r="K62" s="544"/>
      <x:c r="L62" s="544"/>
      <x:c r="M62" s="544"/>
      <x:c r="N62" s="544"/>
      <x:c r="O62" s="544"/>
      <x:c r="P62" s="544"/>
      <x:c r="Q62" s="544"/>
      <x:c r="R62" s="544"/>
      <x:c r="S62" s="544"/>
    </x:row>
    <x:row r="63">
      <x:c r="A63" s="626" t="str">
        <x:v>ΔSI_wp</x:v>
      </x:c>
      <x:c r="B63" s="626" t="n">
        <x:v>0.01609275037</x:v>
      </x:c>
      <x:c r="C63" s="626" t="str">
        <x:v>SI/year</x:v>
      </x:c>
      <x:c r="D63" s="626" t="str">
        <x:v>Project trend</x:v>
      </x:c>
      <x:c r="E63" s="544"/>
      <x:c r="F63" s="544"/>
      <x:c r="G63" s="544"/>
      <x:c r="H63" s="544"/>
      <x:c r="I63" s="544"/>
      <x:c r="J63" s="544"/>
      <x:c r="K63" s="544"/>
      <x:c r="L63" s="544"/>
      <x:c r="M63" s="544"/>
      <x:c r="N63" s="544"/>
      <x:c r="O63" s="544"/>
      <x:c r="P63" s="544"/>
      <x:c r="Q63" s="544"/>
      <x:c r="R63" s="544"/>
      <x:c r="S63" s="544"/>
    </x:row>
    <x:row r="64">
      <x:c r="A64" s="626" t="str">
        <x:v>ΔSI_control</x:v>
      </x:c>
      <x:c r="B64" s="626" t="n">
        <x:v>0.003083580245</x:v>
      </x:c>
      <x:c r="C64" s="626" t="str">
        <x:v>SI/year</x:v>
      </x:c>
      <x:c r="D64" s="626" t="str">
        <x:v>Control trend</x:v>
      </x:c>
      <x:c r="E64" s="544"/>
      <x:c r="F64" s="544"/>
      <x:c r="G64" s="544"/>
      <x:c r="H64" s="544"/>
      <x:c r="I64" s="544"/>
      <x:c r="J64" s="544"/>
      <x:c r="K64" s="544"/>
      <x:c r="L64" s="544"/>
      <x:c r="M64" s="544"/>
      <x:c r="N64" s="544"/>
      <x:c r="O64" s="544"/>
      <x:c r="P64" s="544"/>
      <x:c r="Q64" s="544"/>
      <x:c r="R64" s="544"/>
      <x:c r="S64" s="544"/>
    </x:row>
    <x:row r="65">
      <x:c r="A65" s="626" t="str">
        <x:v>SE_wp</x:v>
      </x:c>
      <x:c r="B65" s="626" t="n">
        <x:v>0.001561123565</x:v>
      </x:c>
      <x:c r="C65" s="626" t="str"/>
      <x:c r="D65" s="626" t="str">
        <x:v>Supplied PB report</x:v>
      </x:c>
      <x:c r="E65" s="544"/>
      <x:c r="F65" s="544"/>
      <x:c r="G65" s="544"/>
      <x:c r="H65" s="544"/>
      <x:c r="I65" s="544"/>
      <x:c r="J65" s="544"/>
      <x:c r="K65" s="544"/>
      <x:c r="L65" s="544"/>
      <x:c r="M65" s="544"/>
      <x:c r="N65" s="544"/>
      <x:c r="O65" s="544"/>
      <x:c r="P65" s="544"/>
      <x:c r="Q65" s="544"/>
      <x:c r="R65" s="544"/>
      <x:c r="S65" s="544"/>
    </x:row>
    <x:row r="66">
      <x:c r="A66" s="626" t="str">
        <x:v>SE_control</x:v>
      </x:c>
      <x:c r="B66" s="626" t="n">
        <x:v>0.0007657828513</x:v>
      </x:c>
      <x:c r="C66" s="626" t="str"/>
      <x:c r="D66" s="626" t="str">
        <x:v>Supplied PB report</x:v>
      </x:c>
      <x:c r="E66" s="544"/>
      <x:c r="F66" s="544"/>
      <x:c r="G66" s="544"/>
      <x:c r="H66" s="544"/>
      <x:c r="I66" s="544"/>
      <x:c r="J66" s="544"/>
      <x:c r="K66" s="544"/>
      <x:c r="L66" s="544"/>
      <x:c r="M66" s="544"/>
      <x:c r="N66" s="544"/>
      <x:c r="O66" s="544"/>
      <x:c r="P66" s="544"/>
      <x:c r="Q66" s="544"/>
      <x:c r="R66" s="544"/>
      <x:c r="S66" s="544"/>
    </x:row>
    <x:row r="67">
      <x:c r="A67" s="626" t="str">
        <x:v>Z-score</x:v>
      </x:c>
      <x:c r="B67" s="626" t="n">
        <x:v>7.481564781</x:v>
      </x:c>
      <x:c r="C67" s="626" t="str"/>
      <x:c r="D67" s="626" t="str">
        <x:v>Appendix 1 significance test</x:v>
      </x:c>
      <x:c r="E67" s="544"/>
      <x:c r="F67" s="544"/>
      <x:c r="G67" s="544"/>
      <x:c r="H67" s="544"/>
      <x:c r="I67" s="544"/>
      <x:c r="J67" s="544"/>
      <x:c r="K67" s="544"/>
      <x:c r="L67" s="544"/>
      <x:c r="M67" s="544"/>
      <x:c r="N67" s="544"/>
      <x:c r="O67" s="544"/>
      <x:c r="P67" s="544"/>
      <x:c r="Q67" s="544"/>
      <x:c r="R67" s="544"/>
      <x:c r="S67" s="544"/>
    </x:row>
    <x:row r="68">
      <x:c r="A68" s="626" t="str">
        <x:v>p-value</x:v>
      </x:c>
      <x:c r="B68" s="626" t="n">
        <x:v>7.35e-14</x:v>
      </x:c>
      <x:c r="C68" s="626" t="str"/>
      <x:c r="D68" s="626" t="str">
        <x:v>Supplied PB report</x:v>
      </x:c>
      <x:c r="E68" s="544"/>
      <x:c r="F68" s="544"/>
      <x:c r="G68" s="544"/>
      <x:c r="H68" s="544"/>
      <x:c r="I68" s="544"/>
      <x:c r="J68" s="544"/>
      <x:c r="K68" s="544"/>
      <x:c r="L68" s="544"/>
      <x:c r="M68" s="544"/>
      <x:c r="N68" s="544"/>
      <x:c r="O68" s="544"/>
      <x:c r="P68" s="544"/>
      <x:c r="Q68" s="544"/>
      <x:c r="R68" s="544"/>
      <x:c r="S68" s="544"/>
    </x:row>
    <x:row r="69">
      <x:c r="A69" s="626" t="str">
        <x:v>Significant?</x:v>
      </x:c>
      <x:c r="B69" s="626" t="str">
        <x:v>Yes</x:v>
      </x:c>
      <x:c r="C69" s="626" t="str"/>
      <x:c r="D69" s="626" t="str">
        <x:v>Z-test result</x:v>
      </x:c>
      <x:c r="E69" s="544"/>
      <x:c r="F69" s="544"/>
      <x:c r="G69" s="544"/>
      <x:c r="H69" s="544"/>
      <x:c r="I69" s="544"/>
      <x:c r="J69" s="544"/>
      <x:c r="K69" s="544"/>
      <x:c r="L69" s="544"/>
      <x:c r="M69" s="544"/>
      <x:c r="N69" s="544"/>
      <x:c r="O69" s="544"/>
      <x:c r="P69" s="544"/>
      <x:c r="Q69" s="544"/>
      <x:c r="R69" s="544"/>
      <x:c r="S69" s="544"/>
    </x:row>
    <x:row r="70">
      <x:c r="A70" s="627" t="str">
        <x:v>PB_t</x:v>
      </x:c>
      <x:c r="B70" s="628" t="n">
        <x:v>0.1916130042</x:v>
      </x:c>
      <x:c r="C70" s="627" t="str">
        <x:v>ratio</x:v>
      </x:c>
      <x:c r="D70" s="627" t="str">
        <x:v>Eq. A8 = ΔSI_control / ΔSI_wp</x:v>
      </x:c>
      <x:c r="E70" s="544"/>
      <x:c r="F70" s="544"/>
      <x:c r="G70" s="544"/>
      <x:c r="H70" s="544"/>
      <x:c r="I70" s="544"/>
      <x:c r="J70" s="544"/>
      <x:c r="K70" s="544"/>
      <x:c r="L70" s="544"/>
      <x:c r="M70" s="544"/>
      <x:c r="N70" s="544"/>
      <x:c r="O70" s="544"/>
      <x:c r="P70" s="544"/>
      <x:c r="Q70" s="544"/>
      <x:c r="R70" s="544"/>
      <x:c r="S70" s="544"/>
    </x:row>
    <x:row r="71">
      <x:c r="A71" s="544"/>
      <x:c r="B71" s="544"/>
      <x:c r="C71" s="544"/>
      <x:c r="D71" s="544"/>
      <x:c r="E71" s="544"/>
      <x:c r="F71" s="544"/>
      <x:c r="G71" s="544"/>
      <x:c r="H71" s="544"/>
      <x:c r="I71" s="544"/>
      <x:c r="J71" s="544"/>
      <x:c r="K71" s="544"/>
      <x:c r="L71" s="544"/>
      <x:c r="M71" s="544"/>
      <x:c r="N71" s="544"/>
      <x:c r="O71" s="544"/>
      <x:c r="P71" s="544"/>
      <x:c r="Q71" s="544"/>
      <x:c r="R71" s="544"/>
      <x:c r="S71" s="544"/>
    </x:row>
    <x:row r="72">
      <x:c r="A72" s="575" t="str">
        <x:v>Application note: the report provides one significant PB_t for each biome from the 2020–2024 SI evolution. The ex-ante ERR applies that biome PB_t to every cohort represented within the same biome. PB itself is dimensionless; its application area is the current eligible ERR accounting scope.</x:v>
      </x:c>
      <x:c r="B72" s="575"/>
      <x:c r="C72" s="575"/>
      <x:c r="D72" s="575"/>
      <x:c r="E72" s="575"/>
      <x:c r="F72" s="575"/>
      <x:c r="G72" s="575"/>
      <x:c r="H72" s="575"/>
      <x:c r="I72" s="575"/>
      <x:c r="J72" s="575"/>
      <x:c r="K72" s="575"/>
      <x:c r="L72" s="575"/>
      <x:c r="M72" s="575"/>
      <x:c r="N72" s="575"/>
      <x:c r="O72" s="575"/>
      <x:c r="P72" s="575"/>
      <x:c r="Q72" s="575"/>
      <x:c r="R72" s="575"/>
      <x:c r="S72" s="575"/>
    </x:row>
    <x:row r="73">
      <x:c r="A73" s="575"/>
      <x:c r="B73" s="575"/>
      <x:c r="C73" s="575"/>
      <x:c r="D73" s="575"/>
      <x:c r="E73" s="575"/>
      <x:c r="F73" s="575"/>
      <x:c r="G73" s="575"/>
      <x:c r="H73" s="575"/>
      <x:c r="I73" s="575"/>
      <x:c r="J73" s="575"/>
      <x:c r="K73" s="575"/>
      <x:c r="L73" s="575"/>
      <x:c r="M73" s="575"/>
      <x:c r="N73" s="575"/>
      <x:c r="O73" s="575"/>
      <x:c r="P73" s="575"/>
      <x:c r="Q73" s="575"/>
      <x:c r="R73" s="575"/>
      <x:c r="S73" s="575"/>
    </x:row>
    <x:row r="74">
      <x:c r="A74" s="544"/>
      <x:c r="B74" s="544"/>
      <x:c r="C74" s="544"/>
      <x:c r="D74" s="544"/>
      <x:c r="E74" s="544"/>
      <x:c r="F74" s="544"/>
      <x:c r="G74" s="544"/>
      <x:c r="H74" s="544"/>
      <x:c r="I74" s="544"/>
      <x:c r="J74" s="544"/>
      <x:c r="K74" s="544"/>
      <x:c r="L74" s="544"/>
      <x:c r="M74" s="544"/>
      <x:c r="N74" s="544"/>
      <x:c r="O74" s="544"/>
      <x:c r="P74" s="544"/>
      <x:c r="Q74" s="544"/>
      <x:c r="R74" s="544"/>
      <x:c r="S74" s="544"/>
    </x:row>
    <x:row r="75">
      <x:c r="A75" s="544"/>
      <x:c r="B75" s="544"/>
      <x:c r="C75" s="544"/>
      <x:c r="D75" s="544"/>
      <x:c r="E75" s="544"/>
      <x:c r="F75" s="544"/>
      <x:c r="G75" s="544"/>
      <x:c r="H75" s="544"/>
      <x:c r="I75" s="544"/>
      <x:c r="J75" s="544"/>
      <x:c r="K75" s="544"/>
      <x:c r="L75" s="544"/>
      <x:c r="M75" s="544"/>
      <x:c r="N75" s="544"/>
      <x:c r="O75" s="544"/>
      <x:c r="P75" s="544"/>
      <x:c r="Q75" s="544"/>
      <x:c r="R75" s="544"/>
      <x:c r="S75" s="544"/>
    </x:row>
    <x:row r="76">
      <x:c r="A76" s="544"/>
      <x:c r="B76" s="544"/>
      <x:c r="C76" s="544"/>
      <x:c r="D76" s="544"/>
      <x:c r="E76" s="544"/>
      <x:c r="F76" s="544"/>
      <x:c r="G76" s="544"/>
      <x:c r="H76" s="544"/>
      <x:c r="I76" s="544"/>
      <x:c r="J76" s="544"/>
      <x:c r="K76" s="544"/>
      <x:c r="L76" s="544"/>
      <x:c r="M76" s="544"/>
      <x:c r="N76" s="544"/>
      <x:c r="O76" s="544"/>
      <x:c r="P76" s="544"/>
      <x:c r="Q76" s="544"/>
      <x:c r="R76" s="544"/>
      <x:c r="S76" s="544"/>
    </x:row>
  </x:sheetData>
  <x:mergeCells>
    <x:mergeCell ref="A19:I19"/>
    <x:mergeCell ref="A22:I22"/>
    <x:mergeCell ref="A1:S1"/>
    <x:mergeCell ref="A2:S2"/>
    <x:mergeCell ref="A37:I37"/>
    <x:mergeCell ref="A55:I55"/>
    <x:mergeCell ref="A72:S73"/>
  </x:mergeCells>
  <x:pageMargins left="0.7" right="0.7" top="0.75" bottom="0.75" header="0.3" footer="0.3"/>
  <x:drawing xmlns:r="http://schemas.openxmlformats.org/officeDocument/2006/relationships" r:id="Rcbdce92c4c2c46c6"/>
</x:worksheet>
</file>

<file path=xl/worksheets/sheet10.xml><?xml version="1.0" encoding="utf-8"?>
<x:worksheet xmlns:x="http://schemas.openxmlformats.org/spreadsheetml/2006/main">
  <x:sheetPr>
    <x:tabColor rgb="FF2E75B6"/>
  </x:sheetPr>
  <x:sheetViews>
    <x:sheetView showGridLines="1" workbookViewId="0"/>
  </x:sheetViews>
  <x:sheetFormatPr defaultColWidth="8.6796875" defaultRowHeight="15"/>
  <x:cols>
    <x:col min="1" max="1" width="11" style="37" hidden="0" customWidth="1"/>
    <x:col min="2" max="2" width="16" style="37" hidden="0" customWidth="1"/>
    <x:col min="3" max="3" width="14" style="37" hidden="0" customWidth="1"/>
    <x:col min="4" max="4" width="24" style="37" hidden="0" customWidth="1"/>
    <x:col min="5" max="5" width="13" style="37" hidden="0" customWidth="1"/>
    <x:col min="6" max="6" width="10" style="37" hidden="0" customWidth="1"/>
    <x:col min="7" max="7" width="14" style="37" hidden="0" customWidth="1"/>
    <x:col min="8" max="8" width="13" style="37" hidden="0" customWidth="1"/>
    <x:col min="9" max="9" width="16" style="37" hidden="0" customWidth="1"/>
    <x:col min="10" max="10" width="34" style="37" hidden="0" customWidth="1"/>
    <x:col min="11" max="12" width="13" style="37" hidden="0" customWidth="1"/>
    <x:col min="13" max="13" width="19" style="37" hidden="0" customWidth="1"/>
    <x:col min="14" max="14" width="24" style="37" hidden="0" customWidth="1"/>
    <x:col min="15" max="15" width="25" style="37" hidden="0" customWidth="1"/>
    <x:col min="16" max="16" width="38" style="37" hidden="0" customWidth="1"/>
    <x:col min="17" max="17" width="60" style="37" hidden="0" customWidth="1"/>
    <x:col min="18" max="18" width="18" hidden="0" customWidth="1"/>
    <x:col min="19" max="19" width="18" hidden="0" customWidth="1"/>
    <x:col min="20" max="20" width="18" hidden="0" customWidth="1"/>
    <x:col min="21" max="21" width="18" hidden="0" customWidth="1"/>
  </x:cols>
  <x:sheetData>
    <x:row r="1" ht="24" hidden="0" customHeight="1">
      <x:c r="A1" s="38" t="s">
        <x:v>525</x:v>
      </x:c>
      <x:c r="B1" s="38"/>
      <x:c r="C1" s="38"/>
      <x:c r="D1" s="38"/>
      <x:c r="E1" s="38"/>
      <x:c r="F1" s="38"/>
      <x:c r="G1" s="38"/>
      <x:c r="H1" s="38"/>
      <x:c r="I1" s="38"/>
      <x:c r="J1" s="38"/>
      <x:c r="K1" s="38"/>
      <x:c r="L1" s="38"/>
      <x:c r="M1" s="38"/>
      <x:c r="N1" s="38"/>
      <x:c r="O1" s="38"/>
      <x:c r="P1" s="38"/>
      <x:c r="Q1" s="38"/>
    </x:row>
    <x:row r="2" ht="15" hidden="0" customHeight="1">
      <x:c r="A2" s="709" t="str">
        <x:v>PSP sampling basis: each established plot is normalized to 30 m x 30 m = 0.09 ha. Expected plot tree count = source species count x 0.09 / source parcel area; this plot-level biomass is converted to t/ha before area-based extrapolation to the eligible project area.</x:v>
      </x:c>
      <x:c r="B2" s="709"/>
      <x:c r="C2" s="709"/>
      <x:c r="D2" s="709"/>
      <x:c r="E2" s="709"/>
      <x:c r="F2" s="709"/>
      <x:c r="G2" s="709"/>
      <x:c r="H2" s="709"/>
      <x:c r="I2" s="709"/>
      <x:c r="J2" s="709"/>
      <x:c r="K2" s="709"/>
      <x:c r="L2" s="709"/>
      <x:c r="M2" s="709"/>
      <x:c r="N2" s="709"/>
      <x:c r="O2" s="709"/>
      <x:c r="P2" s="709"/>
      <x:c r="Q2" s="709"/>
      <x:c r="R2" s="649"/>
      <x:c r="S2" s="649"/>
    </x:row>
    <x:row r="3" ht="27.75" hidden="0" customHeight="1">
      <x:c r="A3" s="95" t="str">
        <x:v>Biome</x:v>
      </x:c>
      <x:c r="B3" s="95" t="s">
        <x:v>526</x:v>
      </x:c>
      <x:c r="C3" s="95" t="s">
        <x:v>527</x:v>
      </x:c>
      <x:c r="D3" s="95" t="s">
        <x:v>97</x:v>
      </x:c>
      <x:c r="E3" s="95" t="s">
        <x:v>528</x:v>
      </x:c>
      <x:c r="F3" s="95" t="s">
        <x:v>529</x:v>
      </x:c>
      <x:c r="G3" s="95" t="s">
        <x:v>530</x:v>
      </x:c>
      <x:c r="H3" s="95" t="str">
        <x:v>Source Parcel Area ha</x:v>
      </x:c>
      <x:c r="I3" s="95" t="s">
        <x:v>531</x:v>
      </x:c>
      <x:c r="J3" s="95" t="s">
        <x:v>532</x:v>
      </x:c>
      <x:c r="K3" s="95" t="s">
        <x:v>533</x:v>
      </x:c>
      <x:c r="L3" s="95" t="s">
        <x:v>534</x:v>
      </x:c>
      <x:c r="M3" s="95" t="s">
        <x:v>535</x:v>
      </x:c>
      <x:c r="N3" s="95" t="s">
        <x:v>536</x:v>
      </x:c>
      <x:c r="O3" s="95" t="s">
        <x:v>537</x:v>
      </x:c>
      <x:c r="P3" s="95" t="s">
        <x:v>538</x:v>
      </x:c>
      <x:c r="Q3" s="95" t="s">
        <x:v>539</x:v>
      </x:c>
      <x:c r="R3" s="973" t="str">
        <x:v>PSP Area ha (30m x 30m)</x:v>
      </x:c>
      <x:c r="S3" s="973" t="str">
        <x:v>Expected Trees in 30m x 30m PSP</x:v>
      </x:c>
      <x:c r="T3" s="973" t="str">
        <x:v>Trees from density x 0.09</x:v>
      </x:c>
      <x:c r="U3" s="973" t="str">
        <x:v>Tree-count QA difference</x:v>
      </x:c>
    </x:row>
    <x:row r="4" ht="27.75" hidden="0" customHeight="1">
      <x:c r="A4" s="37" t="str">
        <x:v>Tropical &amp; Subtropical Dry Broadleaf Forests</x:v>
      </x:c>
      <x:c r="B4" s="37" t="s">
        <x:v>540</x:v>
      </x:c>
      <x:c r="C4" s="37" t="n">
        <x:v>5457</x:v>
      </x:c>
      <x:c r="D4" s="114" t="s">
        <x:v>541</x:v>
      </x:c>
      <x:c r="E4" s="37" t="s">
        <x:v>542</x:v>
      </x:c>
      <x:c r="F4" s="37" t="n">
        <x:v>2020</x:v>
      </x:c>
      <x:c r="G4" s="37" t="s">
        <x:v>543</x:v>
      </x:c>
      <x:c r="H4" s="100" t="n">
        <x:v>2.5834</x:v>
      </x:c>
      <x:c r="I4" s="100" t="n">
        <x:v>615.86</x:v>
      </x:c>
      <x:c r="J4" s="100" t="s">
        <x:v>544</x:v>
      </x:c>
      <x:c r="K4" s="100" t="n">
        <x:v>18.01691</x:v>
      </x:c>
      <x:c r="L4" s="100" t="n">
        <x:v>82.75768</x:v>
      </x:c>
      <x:c r="M4" s="115" t="n">
        <x:f aca="0">IF($F4="Unconfirmed","",IFERROR(INDEX(S14_Growth_Model_ExAnte!$AJ$15:$AJ$81,MATCH($B4,S14_Growth_Model_ExAnte!$A$15:$A$81,0)),""))</x:f>
        <x:v>19.247454115427963</x:v>
      </x:c>
      <x:c r="N4" s="115" t="n">
        <x:f aca="0">IF($F4="Unconfirmed","",IFERROR(SUMIF(S15_Source_Strata!$B$4:$B$49,$P4,S15_Source_Strata!$N$4:$N$49),""))</x:f>
        <x:v>10.899226373527062</x:v>
      </x:c>
      <x:c r="O4" s="115" t="n">
        <x:f aca="0">IF($F4="Unconfirmed","",IFERROR(SUMIF(S15_Source_Strata!$B$4:$B$49,$P4,S15_Source_Strata!$X$4:$X$49),""))</x:f>
        <x:v>23.290920145135782</x:v>
      </x:c>
      <x:c r="P4" s="37" t="s">
        <x:v>545</x:v>
      </x:c>
      <x:c r="Q4" s="114" t="str">
        <x:v>Source parcel species counts → normalized 0.09-ha PSP species counts → Chapman-Richards D/H → Chave AGB/tree → PSP AGB/ha; stratum accounting links through S15_Source_Strata.</x:v>
      </x:c>
      <x:c r="R4" s="980" t="n">
        <x:f>'S13_PSP_Species_Support'!DJ2</x:f>
        <x:v>0.09</x:v>
      </x:c>
      <x:c r="S4" s="979" t="n">
        <x:f>'S13_PSP_Species_Support'!DK2</x:f>
        <x:v>55.42695672369745</x:v>
      </x:c>
      <x:c r="T4" s="979" t="n">
        <x:f>'S13_PSP_Species_Support'!DL2</x:f>
        <x:v>55.4274</x:v>
      </x:c>
      <x:c r="U4" s="979" t="n">
        <x:f>'S13_PSP_Species_Support'!DM2</x:f>
        <x:v>-0.00044327630254770156</x:v>
      </x:c>
    </x:row>
    <x:row r="5" ht="27.75" hidden="0" customHeight="1">
      <x:c r="A5" s="37" t="str">
        <x:v>Deserts &amp; Xeric Shrublands</x:v>
      </x:c>
      <x:c r="B5" s="37" t="s">
        <x:v>546</x:v>
      </x:c>
      <x:c r="C5" s="37" t="n">
        <x:v>36</x:v>
      </x:c>
      <x:c r="D5" s="114" t="s">
        <x:v>541</x:v>
      </x:c>
      <x:c r="E5" s="37" t="s">
        <x:v>542</x:v>
      </x:c>
      <x:c r="F5" s="37" t="n">
        <x:v>2020</x:v>
      </x:c>
      <x:c r="G5" s="37" t="s">
        <x:v>543</x:v>
      </x:c>
      <x:c r="H5" s="100" t="n">
        <x:v>2.18</x:v>
      </x:c>
      <x:c r="I5" s="100" t="n">
        <x:v>495.41</x:v>
      </x:c>
      <x:c r="J5" s="100" t="s">
        <x:v>547</x:v>
      </x:c>
      <x:c r="K5" s="100" t="n">
        <x:v>14.69473</x:v>
      </x:c>
      <x:c r="L5" s="100" t="n">
        <x:v>77.68182</x:v>
      </x:c>
      <x:c r="M5" s="115" t="n">
        <x:f aca="0">IF($F5="Unconfirmed","",IFERROR(INDEX(S14_Growth_Model_ExAnte!$AJ$15:$AJ$81,MATCH($B5,S14_Growth_Model_ExAnte!$A$15:$A$81,0)),""))</x:f>
        <x:v>9.817149547310867</x:v>
      </x:c>
      <x:c r="N5" s="115" t="n">
        <x:f aca="0">IF($F5="Unconfirmed","",IFERROR(SUMIF(S15_Source_Strata!$B$4:$B$49,$P5,S15_Source_Strata!$N$4:$N$49),""))</x:f>
        <x:v>10.899226373527062</x:v>
      </x:c>
      <x:c r="O5" s="115" t="n">
        <x:f aca="0">IF($F5="Unconfirmed","",IFERROR(SUMIF(S15_Source_Strata!$B$4:$B$49,$P5,S15_Source_Strata!$X$4:$X$49),""))</x:f>
        <x:v>23.290920145135782</x:v>
      </x:c>
      <x:c r="P5" s="37" t="s">
        <x:v>545</x:v>
      </x:c>
      <x:c r="Q5" s="114" t="str">
        <x:v>Source parcel species counts → normalized 0.09-ha PSP species counts → Chapman-Richards D/H → Chave AGB/tree → PSP AGB/ha; stratum accounting links through S15_Source_Strata.</x:v>
      </x:c>
      <x:c r="R5" s="980" t="n">
        <x:f>'S13_PSP_Species_Support'!DJ3</x:f>
        <x:v>0.09</x:v>
      </x:c>
      <x:c r="S5" s="979" t="n">
        <x:f>'S13_PSP_Species_Support'!DK3</x:f>
        <x:v>44.58715596330275</x:v>
      </x:c>
      <x:c r="T5" s="979" t="n">
        <x:f>'S13_PSP_Species_Support'!DL3</x:f>
        <x:v>44.5869</x:v>
      </x:c>
      <x:c r="U5" s="979" t="n">
        <x:f>'S13_PSP_Species_Support'!DM3</x:f>
        <x:v>0.0002559633027487962</x:v>
      </x:c>
    </x:row>
    <x:row r="6" ht="27.75" hidden="0" customHeight="1">
      <x:c r="A6" s="37" t="str">
        <x:v>Tropical &amp; Subtropical Dry Broadleaf Forests</x:v>
      </x:c>
      <x:c r="B6" s="37" t="s">
        <x:v>548</x:v>
      </x:c>
      <x:c r="C6" s="37" t="n">
        <x:v>5038</x:v>
      </x:c>
      <x:c r="D6" s="114" t="s">
        <x:v>541</x:v>
      </x:c>
      <x:c r="E6" s="37" t="s">
        <x:v>549</x:v>
      </x:c>
      <x:c r="F6" s="37" t="n">
        <x:v>2020</x:v>
      </x:c>
      <x:c r="G6" s="37" t="s">
        <x:v>543</x:v>
      </x:c>
      <x:c r="H6" s="100" t="n">
        <x:v>0.7405</x:v>
      </x:c>
      <x:c r="I6" s="100" t="n">
        <x:v>135.04</x:v>
      </x:c>
      <x:c r="J6" s="100" t="s">
        <x:v>550</x:v>
      </x:c>
      <x:c r="K6" s="100" t="n">
        <x:v>17.66912</x:v>
      </x:c>
      <x:c r="L6" s="100" t="n">
        <x:v>82.31298</x:v>
      </x:c>
      <x:c r="M6" s="115" t="n">
        <x:f aca="0">IF($F6="Unconfirmed","",IFERROR(INDEX(S14_Growth_Model_ExAnte!$AJ$15:$AJ$81,MATCH($B6,S14_Growth_Model_ExAnte!$A$15:$A$81,0)),""))</x:f>
        <x:v>7.7082787873668845</x:v>
      </x:c>
      <x:c r="N6" s="115" t="n">
        <x:f aca="0">IF($F6="Unconfirmed","",IFERROR(SUMIF(S15_Source_Strata!$B$4:$B$49,$P6,S15_Source_Strata!$N$4:$N$49),""))</x:f>
        <x:v>6.61589708446535</x:v>
      </x:c>
      <x:c r="O6" s="115" t="n">
        <x:f aca="0">IF($F6="Unconfirmed","",IFERROR(SUMIF(S15_Source_Strata!$B$4:$B$49,$P6,S15_Source_Strata!$X$4:$X$49),""))</x:f>
        <x:v>14.137731009696834</x:v>
      </x:c>
      <x:c r="P6" s="37" t="s">
        <x:v>551</x:v>
      </x:c>
      <x:c r="Q6" s="114" t="str">
        <x:v>Source parcel species counts → normalized 0.09-ha PSP species counts → Chapman-Richards D/H → Chave AGB/tree → PSP AGB/ha; stratum accounting links through S15_Source_Strata.</x:v>
      </x:c>
      <x:c r="R6" s="980" t="n">
        <x:f>'S13_PSP_Species_Support'!DJ4</x:f>
        <x:v>0.09</x:v>
      </x:c>
      <x:c r="S6" s="979" t="n">
        <x:f>'S13_PSP_Species_Support'!DK4</x:f>
        <x:v>12.153950033760971</x:v>
      </x:c>
      <x:c r="T6" s="979" t="n">
        <x:f>'S13_PSP_Species_Support'!DL4</x:f>
        <x:v>12.153599999999999</x:v>
      </x:c>
      <x:c r="U6" s="979" t="n">
        <x:f>'S13_PSP_Species_Support'!DM4</x:f>
        <x:v>0.00035003376097186845</x:v>
      </x:c>
    </x:row>
    <x:row r="7" ht="27.75" hidden="0" customHeight="1">
      <x:c r="A7" s="37" t="str">
        <x:v>Deserts &amp; Xeric Shrublands</x:v>
      </x:c>
      <x:c r="B7" s="37" t="s">
        <x:v>552</x:v>
      </x:c>
      <x:c r="C7" s="37" t="n">
        <x:v>1204</x:v>
      </x:c>
      <x:c r="D7" s="114" t="s">
        <x:v>541</x:v>
      </x:c>
      <x:c r="E7" s="37" t="s">
        <x:v>553</x:v>
      </x:c>
      <x:c r="F7" s="37" t="n">
        <x:v>2020</x:v>
      </x:c>
      <x:c r="G7" s="37" t="s">
        <x:v>543</x:v>
      </x:c>
      <x:c r="H7" s="100" t="n">
        <x:v>0.674</x:v>
      </x:c>
      <x:c r="I7" s="100" t="n">
        <x:v>274.48</x:v>
      </x:c>
      <x:c r="J7" s="100" t="s">
        <x:v>554</x:v>
      </x:c>
      <x:c r="K7" s="100" t="n">
        <x:v>14.67991</x:v>
      </x:c>
      <x:c r="L7" s="100" t="n">
        <x:v>77.66167</x:v>
      </x:c>
      <x:c r="M7" s="115" t="n">
        <x:f aca="0">IF($F7="Unconfirmed","",IFERROR(INDEX(S14_Growth_Model_ExAnte!$AJ$15:$AJ$81,MATCH($B7,S14_Growth_Model_ExAnte!$A$15:$A$81,0)),""))</x:f>
        <x:v>21.178407580370965</x:v>
      </x:c>
      <x:c r="N7" s="115" t="n">
        <x:f aca="0">IF($F7="Unconfirmed","",IFERROR(SUMIF(S15_Source_Strata!$B$4:$B$49,$P7,S15_Source_Strata!$N$4:$N$49),""))</x:f>
        <x:v>11.0222962797247</x:v>
      </x:c>
      <x:c r="O7" s="115" t="n">
        <x:f aca="0">IF($F7="Unconfirmed","",IFERROR(SUMIF(S15_Source_Strata!$B$4:$B$49,$P7,S15_Source_Strata!$X$4:$X$49),""))</x:f>
        <x:v>23.55391233001972</x:v>
      </x:c>
      <x:c r="P7" s="37" t="s">
        <x:v>555</x:v>
      </x:c>
      <x:c r="Q7" s="114" t="str">
        <x:v>Source parcel species counts → normalized 0.09-ha PSP species counts → Chapman-Richards D/H → Chave AGB/tree → PSP AGB/ha; stratum accounting links through S15_Source_Strata.</x:v>
      </x:c>
      <x:c r="R7" s="980" t="n">
        <x:f>'S13_PSP_Species_Support'!DJ5</x:f>
        <x:v>0.09</x:v>
      </x:c>
      <x:c r="S7" s="979" t="n">
        <x:f>'S13_PSP_Species_Support'!DK5</x:f>
        <x:v>25.771513353115722</x:v>
      </x:c>
      <x:c r="T7" s="979" t="n">
        <x:f>'S13_PSP_Species_Support'!DL5</x:f>
        <x:v>24.703200000000002</x:v>
      </x:c>
      <x:c r="U7" s="979" t="n">
        <x:f>'S13_PSP_Species_Support'!DM5</x:f>
        <x:v>1.0683133531157196</x:v>
      </x:c>
    </x:row>
    <x:row r="8" ht="27.75" hidden="0" customHeight="1">
      <x:c r="A8" s="37" t="str">
        <x:v>Tropical &amp; Subtropical Dry Broadleaf Forests</x:v>
      </x:c>
      <x:c r="B8" s="37" t="s">
        <x:v>556</x:v>
      </x:c>
      <x:c r="C8" s="37" t="n">
        <x:v>9339</x:v>
      </x:c>
      <x:c r="D8" s="114" t="s">
        <x:v>541</x:v>
      </x:c>
      <x:c r="E8" s="37" t="s">
        <x:v>553</x:v>
      </x:c>
      <x:c r="F8" s="37" t="n">
        <x:v>2020</x:v>
      </x:c>
      <x:c r="G8" s="37" t="s">
        <x:v>543</x:v>
      </x:c>
      <x:c r="H8" s="100" t="n">
        <x:v>2.0024</x:v>
      </x:c>
      <x:c r="I8" s="100" t="n">
        <x:v>199.76</x:v>
      </x:c>
      <x:c r="J8" s="100" t="s">
        <x:v>557</x:v>
      </x:c>
      <x:c r="K8" s="100" t="n">
        <x:v>18.17254</x:v>
      </x:c>
      <x:c r="L8" s="100" t="n">
        <x:v>83.03651</x:v>
      </x:c>
      <x:c r="M8" s="115" t="n">
        <x:f aca="0">IF($F8="Unconfirmed","",IFERROR(INDEX(S14_Growth_Model_ExAnte!$AJ$15:$AJ$81,MATCH($B8,S14_Growth_Model_ExAnte!$A$15:$A$81,0)),""))</x:f>
        <x:v>8.2143824988949</x:v>
      </x:c>
      <x:c r="N8" s="115" t="n">
        <x:f aca="0">IF($F8="Unconfirmed","",IFERROR(SUMIF(S15_Source_Strata!$B$4:$B$49,$P8,S15_Source_Strata!$N$4:$N$49),""))</x:f>
        <x:v>11.0222962797247</x:v>
      </x:c>
      <x:c r="O8" s="115" t="n">
        <x:f aca="0">IF($F8="Unconfirmed","",IFERROR(SUMIF(S15_Source_Strata!$B$4:$B$49,$P8,S15_Source_Strata!$X$4:$X$49),""))</x:f>
        <x:v>23.55391233001972</x:v>
      </x:c>
      <x:c r="P8" s="37" t="s">
        <x:v>555</x:v>
      </x:c>
      <x:c r="Q8" s="114" t="str">
        <x:v>Source parcel species counts → normalized 0.09-ha PSP species counts → Chapman-Richards D/H → Chave AGB/tree → PSP AGB/ha; stratum accounting links through S15_Source_Strata.</x:v>
      </x:c>
      <x:c r="R8" s="980" t="n">
        <x:f>'S13_PSP_Species_Support'!DJ6</x:f>
        <x:v>0.09</x:v>
      </x:c>
      <x:c r="S8" s="979" t="n">
        <x:f>'S13_PSP_Species_Support'!DK6</x:f>
        <x:v>17.978425888933277</x:v>
      </x:c>
      <x:c r="T8" s="979" t="n">
        <x:f>'S13_PSP_Species_Support'!DL6</x:f>
        <x:v>17.978399999999997</x:v>
      </x:c>
      <x:c r="U8" s="979" t="n">
        <x:f>'S13_PSP_Species_Support'!DM6</x:f>
        <x:v>0.00002588893327981623</x:v>
      </x:c>
    </x:row>
    <x:row r="9" ht="27.75" hidden="0" customHeight="1">
      <x:c r="A9" s="37" t="str">
        <x:v>Deserts &amp; Xeric Shrublands</x:v>
      </x:c>
      <x:c r="B9" s="37" t="s">
        <x:v>558</x:v>
      </x:c>
      <x:c r="C9" s="37" t="n">
        <x:v>517</x:v>
      </x:c>
      <x:c r="D9" s="114" t="s">
        <x:v>541</x:v>
      </x:c>
      <x:c r="E9" s="37" t="s">
        <x:v>553</x:v>
      </x:c>
      <x:c r="F9" s="37" t="n">
        <x:v>2021</x:v>
      </x:c>
      <x:c r="G9" s="37" t="s">
        <x:v>543</x:v>
      </x:c>
      <x:c r="H9" s="100" t="n">
        <x:v>2.0529</x:v>
      </x:c>
      <x:c r="I9" s="100" t="n">
        <x:v>268.89</x:v>
      </x:c>
      <x:c r="J9" s="100" t="s">
        <x:v>559</x:v>
      </x:c>
      <x:c r="K9" s="100" t="n">
        <x:v>14.75141</x:v>
      </x:c>
      <x:c r="L9" s="100" t="n">
        <x:v>77.72001</x:v>
      </x:c>
      <x:c r="M9" s="115" t="n">
        <x:f aca="0">IF($F9="Unconfirmed","",IFERROR(INDEX(S14_Growth_Model_ExAnte!$AJ$15:$AJ$81,MATCH($B9,S14_Growth_Model_ExAnte!$A$15:$A$81,0)),""))</x:f>
        <x:v>16.412448260200513</x:v>
      </x:c>
      <x:c r="N9" s="115" t="n">
        <x:f aca="0">IF($F9="Unconfirmed","",IFERROR(SUMIF(S15_Source_Strata!$B$4:$B$49,$P9,S15_Source_Strata!$N$4:$N$49),""))</x:f>
        <x:v>8.01146844693456</x:v>
      </x:c>
      <x:c r="O9" s="115" t="n">
        <x:f aca="0">IF($F9="Unconfirmed","",IFERROR(SUMIF(S15_Source_Strata!$B$4:$B$49,$P9,S15_Source_Strata!$X$4:$X$49),""))</x:f>
        <x:v>17.119973973202708</x:v>
      </x:c>
      <x:c r="P9" s="37" t="s">
        <x:v>560</x:v>
      </x:c>
      <x:c r="Q9" s="114" t="str">
        <x:v>Source parcel species counts → normalized 0.09-ha PSP species counts → Chapman-Richards D/H → Chave AGB/tree → PSP AGB/ha; stratum accounting links through S15_Source_Strata.</x:v>
      </x:c>
      <x:c r="R9" s="980" t="n">
        <x:f>'S13_PSP_Species_Support'!DJ7</x:f>
        <x:v>0.09</x:v>
      </x:c>
      <x:c r="S9" s="979" t="n">
        <x:f>'S13_PSP_Species_Support'!DK7</x:f>
        <x:v>30.77597544936431</x:v>
      </x:c>
      <x:c r="T9" s="979" t="n">
        <x:f>'S13_PSP_Species_Support'!DL7</x:f>
        <x:v>24.2001</x:v>
      </x:c>
      <x:c r="U9" s="979" t="n">
        <x:f>'S13_PSP_Species_Support'!DM7</x:f>
        <x:v>6.575875449364311</x:v>
      </x:c>
    </x:row>
    <x:row r="10" ht="27.75" hidden="0" customHeight="1">
      <x:c r="A10" s="37" t="str">
        <x:v>Tropical &amp; Subtropical Dry Broadleaf Forests</x:v>
      </x:c>
      <x:c r="B10" s="37" t="s">
        <x:v>561</x:v>
      </x:c>
      <x:c r="C10" s="37" t="n">
        <x:v>9639</x:v>
      </x:c>
      <x:c r="D10" s="114" t="s">
        <x:v>541</x:v>
      </x:c>
      <x:c r="E10" s="37" t="s">
        <x:v>553</x:v>
      </x:c>
      <x:c r="F10" s="37" t="n">
        <x:v>2021</x:v>
      </x:c>
      <x:c r="G10" s="37" t="s">
        <x:v>543</x:v>
      </x:c>
      <x:c r="H10" s="100" t="n">
        <x:v>0.4429</x:v>
      </x:c>
      <x:c r="I10" s="100" t="n">
        <x:v>203.21</x:v>
      </x:c>
      <x:c r="J10" s="100" t="s">
        <x:v>562</x:v>
      </x:c>
      <x:c r="K10" s="100" t="n">
        <x:v>18.16747</x:v>
      </x:c>
      <x:c r="L10" s="100" t="n">
        <x:v>82.89434</x:v>
      </x:c>
      <x:c r="M10" s="115" t="n">
        <x:f aca="0">IF($F10="Unconfirmed","",IFERROR(INDEX(S14_Growth_Model_ExAnte!$AJ$15:$AJ$81,MATCH($B10,S14_Growth_Model_ExAnte!$A$15:$A$81,0)),""))</x:f>
        <x:v>4.951467598291647</x:v>
      </x:c>
      <x:c r="N10" s="115" t="n">
        <x:f aca="0">IF($F10="Unconfirmed","",IFERROR(SUMIF(S15_Source_Strata!$B$4:$B$49,$P10,S15_Source_Strata!$N$4:$N$49),""))</x:f>
        <x:v>8.01146844693456</x:v>
      </x:c>
      <x:c r="O10" s="115" t="n">
        <x:f aca="0">IF($F10="Unconfirmed","",IFERROR(SUMIF(S15_Source_Strata!$B$4:$B$49,$P10,S15_Source_Strata!$X$4:$X$49),""))</x:f>
        <x:v>17.119973973202708</x:v>
      </x:c>
      <x:c r="P10" s="37" t="s">
        <x:v>560</x:v>
      </x:c>
      <x:c r="Q10" s="114" t="str">
        <x:v>Source parcel species counts → normalized 0.09-ha PSP species counts → Chapman-Richards D/H → Chave AGB/tree → PSP AGB/ha; stratum accounting links through S15_Source_Strata.</x:v>
      </x:c>
      <x:c r="R10" s="980" t="n">
        <x:f>'S13_PSP_Species_Support'!DJ8</x:f>
        <x:v>0.09</x:v>
      </x:c>
      <x:c r="S10" s="979" t="n">
        <x:f>'S13_PSP_Species_Support'!DK8</x:f>
        <x:v>18.288552720704445</x:v>
      </x:c>
      <x:c r="T10" s="979" t="n">
        <x:f>'S13_PSP_Species_Support'!DL8</x:f>
        <x:v>18.2889</x:v>
      </x:c>
      <x:c r="U10" s="979" t="n">
        <x:f>'S13_PSP_Species_Support'!DM8</x:f>
        <x:v>-0.00034727929555700143</x:v>
      </x:c>
    </x:row>
    <x:row r="11" ht="27.75" hidden="0" customHeight="1">
      <x:c r="A11" s="37" t="str">
        <x:v>Deserts &amp; Xeric Shrublands</x:v>
      </x:c>
      <x:c r="B11" s="37" t="s">
        <x:v>563</x:v>
      </x:c>
      <x:c r="C11" s="37" t="n">
        <x:v>1154</x:v>
      </x:c>
      <x:c r="D11" s="114" t="s">
        <x:v>541</x:v>
      </x:c>
      <x:c r="E11" s="37" t="s">
        <x:v>542</x:v>
      </x:c>
      <x:c r="F11" s="37" t="n">
        <x:v>2022</x:v>
      </x:c>
      <x:c r="G11" s="37" t="s">
        <x:v>543</x:v>
      </x:c>
      <x:c r="H11" s="100" t="n">
        <x:v>0.7879</x:v>
      </x:c>
      <x:c r="I11" s="100" t="n">
        <x:v>654.91</x:v>
      </x:c>
      <x:c r="J11" s="100" t="s">
        <x:v>564</x:v>
      </x:c>
      <x:c r="K11" s="100" t="n">
        <x:v>14.67648</x:v>
      </x:c>
      <x:c r="L11" s="100" t="n">
        <x:v>77.65421</x:v>
      </x:c>
      <x:c r="M11" s="115" t="n">
        <x:f aca="0">IF($F11="Unconfirmed","",IFERROR(INDEX(S14_Growth_Model_ExAnte!$AJ$15:$AJ$81,MATCH($B11,S14_Growth_Model_ExAnte!$A$15:$A$81,0)),""))</x:f>
        <x:v>8.198531857990798</x:v>
      </x:c>
      <x:c r="N11" s="115" t="n">
        <x:f aca="0">IF($F11="Unconfirmed","",IFERROR(SUMIF(S15_Source_Strata!$B$4:$B$49,$P11,S15_Source_Strata!$N$4:$N$49),""))</x:f>
        <x:v>4.599757357566662</x:v>
      </x:c>
      <x:c r="O11" s="115" t="n">
        <x:f aca="0">IF($F11="Unconfirmed","",IFERROR(SUMIF(S15_Source_Strata!$B$4:$B$49,$P11,S15_Source_Strata!$X$4:$X$49),""))</x:f>
        <x:v>9.829374822629461</x:v>
      </x:c>
      <x:c r="P11" s="37" t="s">
        <x:v>565</x:v>
      </x:c>
      <x:c r="Q11" s="114" t="str">
        <x:v>Source parcel species counts → normalized 0.09-ha PSP species counts → Chapman-Richards D/H → Chave AGB/tree → PSP AGB/ha; stratum accounting links through S15_Source_Strata.</x:v>
      </x:c>
      <x:c r="R11" s="980" t="n">
        <x:f>'S13_PSP_Species_Support'!DJ9</x:f>
        <x:v>0.09</x:v>
      </x:c>
      <x:c r="S11" s="979" t="n">
        <x:f>'S13_PSP_Species_Support'!DK9</x:f>
        <x:v>59.62685620002539</x:v>
      </x:c>
      <x:c r="T11" s="979" t="n">
        <x:f>'S13_PSP_Species_Support'!DL9</x:f>
        <x:v>58.9419</x:v>
      </x:c>
      <x:c r="U11" s="979" t="n">
        <x:f>'S13_PSP_Species_Support'!DM9</x:f>
        <x:v>0.6849562000253897</x:v>
      </x:c>
    </x:row>
    <x:row r="12" ht="27.75" hidden="0" customHeight="1">
      <x:c r="A12" s="37" t="str">
        <x:v>Deserts &amp; Xeric Shrublands</x:v>
      </x:c>
      <x:c r="B12" s="37" t="s">
        <x:v>566</x:v>
      </x:c>
      <x:c r="C12" s="37" t="n">
        <x:v>76</x:v>
      </x:c>
      <x:c r="D12" s="114" t="s">
        <x:v>541</x:v>
      </x:c>
      <x:c r="E12" s="37" t="s">
        <x:v>553</x:v>
      </x:c>
      <x:c r="F12" s="37" t="n">
        <x:v>2022</x:v>
      </x:c>
      <x:c r="G12" s="37" t="s">
        <x:v>543</x:v>
      </x:c>
      <x:c r="H12" s="100" t="n">
        <x:v>1.5855</x:v>
      </x:c>
      <x:c r="I12" s="100" t="n">
        <x:v>283.82</x:v>
      </x:c>
      <x:c r="J12" s="100" t="s">
        <x:v>567</x:v>
      </x:c>
      <x:c r="K12" s="100" t="n">
        <x:v>14.76346</x:v>
      </x:c>
      <x:c r="L12" s="100" t="n">
        <x:v>77.71799</x:v>
      </x:c>
      <x:c r="M12" s="115" t="n">
        <x:f aca="0">IF($F12="Unconfirmed","",IFERROR(INDEX(S14_Growth_Model_ExAnte!$AJ$15:$AJ$81,MATCH($B12,S14_Growth_Model_ExAnte!$A$15:$A$81,0)),""))</x:f>
        <x:v>4.940778075420637</x:v>
      </x:c>
      <x:c r="N12" s="115" t="n">
        <x:f aca="0">IF($F12="Unconfirmed","",IFERROR(SUMIF(S15_Source_Strata!$B$4:$B$49,$P12,S15_Source_Strata!$N$4:$N$49),""))</x:f>
        <x:v>3.4095521424550745</x:v>
      </x:c>
      <x:c r="O12" s="115" t="n">
        <x:f aca="0">IF($F12="Unconfirmed","",IFERROR(SUMIF(S15_Source_Strata!$B$4:$B$49,$P12,S15_Source_Strata!$X$4:$X$49),""))</x:f>
        <x:v>7.285985624950337</x:v>
      </x:c>
      <x:c r="P12" s="37" t="s">
        <x:v>568</x:v>
      </x:c>
      <x:c r="Q12" s="114" t="str">
        <x:v>Source parcel species counts → normalized 0.09-ha PSP species counts → Chapman-Richards D/H → Chave AGB/tree → PSP AGB/ha; stratum accounting links through S15_Source_Strata.</x:v>
      </x:c>
      <x:c r="R12" s="980" t="n">
        <x:f>'S13_PSP_Species_Support'!DJ10</x:f>
        <x:v>0.09</x:v>
      </x:c>
      <x:c r="S12" s="979" t="n">
        <x:f>'S13_PSP_Species_Support'!DK10</x:f>
        <x:v>30.085146641438033</x:v>
      </x:c>
      <x:c r="T12" s="979" t="n">
        <x:f>'S13_PSP_Species_Support'!DL10</x:f>
        <x:v>25.543799999999997</x:v>
      </x:c>
      <x:c r="U12" s="979" t="n">
        <x:f>'S13_PSP_Species_Support'!DM10</x:f>
        <x:v>4.541346641438036</x:v>
      </x:c>
    </x:row>
    <x:row r="13" ht="27.75" hidden="0" customHeight="1">
      <x:c r="A13" s="37" t="str">
        <x:v>Tropical &amp; Subtropical Moist Broadleaf Forests</x:v>
      </x:c>
      <x:c r="B13" s="37" t="s">
        <x:v>569</x:v>
      </x:c>
      <x:c r="C13" s="37" t="n">
        <x:v>8010</x:v>
      </x:c>
      <x:c r="D13" s="114" t="s">
        <x:v>541</x:v>
      </x:c>
      <x:c r="E13" s="37" t="s">
        <x:v>553</x:v>
      </x:c>
      <x:c r="F13" s="37" t="n">
        <x:v>2022</x:v>
      </x:c>
      <x:c r="G13" s="37" t="s">
        <x:v>543</x:v>
      </x:c>
      <x:c r="H13" s="100" t="n">
        <x:v>0.8609</x:v>
      </x:c>
      <x:c r="I13" s="100" t="n">
        <x:v>238.12</x:v>
      </x:c>
      <x:c r="J13" s="100" t="s">
        <x:v>570</x:v>
      </x:c>
      <x:c r="K13" s="100" t="n">
        <x:v>18.24074</x:v>
      </x:c>
      <x:c r="L13" s="100" t="n">
        <x:v>83.68391</x:v>
      </x:c>
      <x:c r="M13" s="115" t="n">
        <x:f aca="0">IF($F13="Unconfirmed","",IFERROR(INDEX(S14_Growth_Model_ExAnte!$AJ$15:$AJ$81,MATCH($B13,S14_Growth_Model_ExAnte!$A$15:$A$81,0)),""))</x:f>
        <x:v>4.151360971126229</x:v>
      </x:c>
      <x:c r="N13" s="115" t="n">
        <x:f aca="0">IF($F13="Unconfirmed","",IFERROR(SUMIF(S15_Source_Strata!$B$4:$B$49,$P13,S15_Source_Strata!$N$4:$N$49),""))</x:f>
        <x:v>3.4095521424550745</x:v>
      </x:c>
      <x:c r="O13" s="115" t="n">
        <x:f aca="0">IF($F13="Unconfirmed","",IFERROR(SUMIF(S15_Source_Strata!$B$4:$B$49,$P13,S15_Source_Strata!$X$4:$X$49),""))</x:f>
        <x:v>7.285985624950337</x:v>
      </x:c>
      <x:c r="P13" s="37" t="s">
        <x:v>568</x:v>
      </x:c>
      <x:c r="Q13" s="114" t="str">
        <x:v>Source parcel species counts → normalized 0.09-ha PSP species counts → Chapman-Richards D/H → Chave AGB/tree → PSP AGB/ha; stratum accounting links through S15_Source_Strata.</x:v>
      </x:c>
      <x:c r="R13" s="980" t="n">
        <x:f>'S13_PSP_Species_Support'!DJ11</x:f>
        <x:v>0.09</x:v>
      </x:c>
      <x:c r="S13" s="979" t="n">
        <x:f>'S13_PSP_Species_Support'!DK11</x:f>
        <x:v>21.43106051806249</x:v>
      </x:c>
      <x:c r="T13" s="979" t="n">
        <x:f>'S13_PSP_Species_Support'!DL11</x:f>
        <x:v>21.430799999999998</x:v>
      </x:c>
      <x:c r="U13" s="979" t="n">
        <x:f>'S13_PSP_Species_Support'!DM11</x:f>
        <x:v>0.0002605180624932757</x:v>
      </x:c>
    </x:row>
    <x:row r="14" ht="27.75" hidden="0" customHeight="1">
      <x:c r="A14" s="37" t="str">
        <x:v>Tropical &amp; Subtropical Dry Broadleaf Forests</x:v>
      </x:c>
      <x:c r="B14" s="37" t="s">
        <x:v>571</x:v>
      </x:c>
      <x:c r="C14" s="37" t="n">
        <x:v>9213</x:v>
      </x:c>
      <x:c r="D14" s="114" t="s">
        <x:v>541</x:v>
      </x:c>
      <x:c r="E14" s="37" t="s">
        <x:v>549</x:v>
      </x:c>
      <x:c r="F14" s="37" t="n">
        <x:v>2023</x:v>
      </x:c>
      <x:c r="G14" s="37" t="s">
        <x:v>543</x:v>
      </x:c>
      <x:c r="H14" s="100" t="n">
        <x:v>0.8069</x:v>
      </x:c>
      <x:c r="I14" s="100" t="n">
        <x:v>99.14</x:v>
      </x:c>
      <x:c r="J14" s="100" t="s">
        <x:v>557</x:v>
      </x:c>
      <x:c r="K14" s="100" t="n">
        <x:v>18.16529</x:v>
      </x:c>
      <x:c r="L14" s="100" t="n">
        <x:v>82.95601</x:v>
      </x:c>
      <x:c r="M14" s="115" t="n">
        <x:f aca="0">IF($F14="Unconfirmed","",IFERROR(INDEX(S14_Growth_Model_ExAnte!$AJ$15:$AJ$81,MATCH($B14,S14_Growth_Model_ExAnte!$A$15:$A$81,0)),""))</x:f>
        <x:v>0.6515596979386512</x:v>
      </x:c>
      <x:c r="N14" s="115" t="n">
        <x:f aca="0">IF($F14="Unconfirmed","",IFERROR(SUMIF(S15_Source_Strata!$B$4:$B$49,$P14,S15_Source_Strata!$N$4:$N$49),""))</x:f>
        <x:v>0.8966323654248021</x:v>
      </x:c>
      <x:c r="O14" s="115" t="n">
        <x:f aca="0">IF($F14="Unconfirmed","",IFERROR(SUMIF(S15_Source_Strata!$B$4:$B$49,$P14,S15_Source_Strata!$X$4:$X$49),""))</x:f>
        <x:v>1.9160435894217756</x:v>
      </x:c>
      <x:c r="P14" s="37" t="s">
        <x:v>572</x:v>
      </x:c>
      <x:c r="Q14" s="114" t="str">
        <x:v>Source parcel species counts → normalized 0.09-ha PSP species counts → Chapman-Richards D/H → Chave AGB/tree → PSP AGB/ha; stratum accounting links through S15_Source_Strata.</x:v>
      </x:c>
      <x:c r="R14" s="980" t="n">
        <x:f>'S13_PSP_Species_Support'!DJ12</x:f>
        <x:v>0.09</x:v>
      </x:c>
      <x:c r="S14" s="979" t="n">
        <x:f>'S13_PSP_Species_Support'!DK12</x:f>
        <x:v>8.92303879043252</x:v>
      </x:c>
      <x:c r="T14" s="979" t="n">
        <x:f>'S13_PSP_Species_Support'!DL12</x:f>
        <x:v>8.9226</x:v>
      </x:c>
      <x:c r="U14" s="979" t="n">
        <x:f>'S13_PSP_Species_Support'!DM12</x:f>
        <x:v>0.00043879043252026406</x:v>
      </x:c>
    </x:row>
    <x:row r="15" ht="27.75" hidden="0" customHeight="1">
      <x:c r="A15" s="37" t="str">
        <x:v>Tropical &amp; Subtropical Dry Broadleaf Forests</x:v>
      </x:c>
      <x:c r="B15" s="37" t="s">
        <x:v>573</x:v>
      </x:c>
      <x:c r="C15" s="37" t="n">
        <x:v>9282</x:v>
      </x:c>
      <x:c r="D15" s="114" t="s">
        <x:v>541</x:v>
      </x:c>
      <x:c r="E15" s="37" t="s">
        <x:v>553</x:v>
      </x:c>
      <x:c r="F15" s="37" t="n">
        <x:v>2024</x:v>
      </x:c>
      <x:c r="G15" s="37" t="s">
        <x:v>543</x:v>
      </x:c>
      <x:c r="H15" s="100" t="n">
        <x:v>0.3289</x:v>
      </x:c>
      <x:c r="I15" s="100" t="n">
        <x:v>304.04</x:v>
      </x:c>
      <x:c r="J15" s="100" t="s">
        <x:v>574</x:v>
      </x:c>
      <x:c r="K15" s="100" t="n">
        <x:v>18.17385</x:v>
      </x:c>
      <x:c r="L15" s="100" t="n">
        <x:v>82.91266</x:v>
      </x:c>
      <x:c r="M15" s="115" t="n">
        <x:f aca="0">IF($F15="Unconfirmed","",IFERROR(INDEX(S14_Growth_Model_ExAnte!$AJ$15:$AJ$81,MATCH($B15,S14_Growth_Model_ExAnte!$A$15:$A$81,0)),""))</x:f>
        <x:v>0.5101849303240866</x:v>
      </x:c>
      <x:c r="N15" s="115" t="n">
        <x:f aca="0">IF($F15="Unconfirmed","",IFERROR(SUMIF(S15_Source_Strata!$B$4:$B$49,$P15,S15_Source_Strata!$N$4:$N$49),""))</x:f>
        <x:v>0.4044750640584225</x:v>
      </x:c>
      <x:c r="O15" s="115" t="n">
        <x:f aca="0">IF($F15="Unconfirmed","",IFERROR(SUMIF(S15_Source_Strata!$B$4:$B$49,$P15,S15_Source_Strata!$X$4:$X$49),""))</x:f>
        <x:v>0.864336246888579</x:v>
      </x:c>
      <x:c r="P15" s="37" t="s">
        <x:v>575</x:v>
      </x:c>
      <x:c r="Q15" s="114" t="str">
        <x:v>Source parcel species counts → normalized 0.09-ha PSP species counts → Chapman-Richards D/H → Chave AGB/tree → PSP AGB/ha; stratum accounting links through S15_Source_Strata.</x:v>
      </x:c>
      <x:c r="R15" s="980" t="n">
        <x:f>'S13_PSP_Species_Support'!DJ13</x:f>
        <x:v>0.09</x:v>
      </x:c>
      <x:c r="S15" s="979" t="n">
        <x:f>'S13_PSP_Species_Support'!DK13</x:f>
        <x:v>27.363940407418664</x:v>
      </x:c>
      <x:c r="T15" s="979" t="n">
        <x:f>'S13_PSP_Species_Support'!DL13</x:f>
        <x:v>27.3636</x:v>
      </x:c>
      <x:c r="U15" s="979" t="n">
        <x:f>'S13_PSP_Species_Support'!DM13</x:f>
        <x:v>0.0003404074186619255</x:v>
      </x:c>
    </x:row>
    <x:row r="16" ht="27.75" hidden="0" customHeight="1">
      <x:c r="A16" s="37" t="str">
        <x:v>Tropical &amp; Subtropical Dry Broadleaf Forests</x:v>
      </x:c>
      <x:c r="B16" s="37" t="s">
        <x:v>576</x:v>
      </x:c>
      <x:c r="C16" s="37" t="n">
        <x:v>10059</x:v>
      </x:c>
      <x:c r="D16" s="114" t="s">
        <x:v>541</x:v>
      </x:c>
      <x:c r="E16" s="37" t="s">
        <x:v>549</x:v>
      </x:c>
      <x:c r="F16" s="37" t="s">
        <x:v>577</x:v>
      </x:c>
      <x:c r="G16" s="37" t="s">
        <x:v>578</x:v>
      </x:c>
      <x:c r="H16" s="100" t="n">
        <x:v>1.78065560501821</x:v>
      </x:c>
      <x:c r="I16" s="100" t="n">
        <x:v>172.97</x:v>
      </x:c>
      <x:c r="J16" s="100" t="s">
        <x:v>579</x:v>
      </x:c>
      <x:c r="K16" s="100" t="n">
        <x:v>17.25769</x:v>
      </x:c>
      <x:c r="L16" s="100" t="n">
        <x:v>79.83186</x:v>
      </x:c>
      <x:c r="M16" s="115" t="str">
        <x:f aca="0">IF($F16="Unconfirmed","",IFERROR(INDEX(S14_Growth_Model_ExAnte!$AJ$15:$AJ$81,MATCH($B16,S14_Growth_Model_ExAnte!$A$15:$A$81,0)),""))</x:f>
      </x:c>
      <x:c r="N16" s="115" t="str">
        <x:f aca="0">IF($F16="Unconfirmed","",IFERROR(SUMIF(S15_Source_Strata!$B$4:$B$49,$P16,S15_Source_Strata!$N$4:$N$49),""))</x:f>
      </x:c>
      <x:c r="O16" s="115" t="str">
        <x:f aca="0">IF($F16="Unconfirmed","",IFERROR(SUMIF(S15_Source_Strata!$B$4:$B$49,$P16,S15_Source_Strata!$X$4:$X$49),""))</x:f>
      </x:c>
      <x:c r="P16" s="37" t="s">
        <x:v>580</x:v>
      </x:c>
      <x:c r="Q16" s="114" t="str">
        <x:v>Source parcel species counts → normalized 0.09-ha PSP species counts → Chapman-Richards D/H → Chave AGB/tree → PSP AGB/ha; stratum accounting links through S15_Source_Strata.</x:v>
      </x:c>
      <x:c r="R16" s="980" t="n">
        <x:f>'S13_PSP_Species_Support'!DJ14</x:f>
        <x:v>0.09</x:v>
      </x:c>
      <x:c r="S16" s="979" t="n">
        <x:f>'S13_PSP_Species_Support'!DK14</x:f>
        <x:v>15.56730000000001</x:v>
      </x:c>
      <x:c r="T16" s="979" t="n">
        <x:f>'S13_PSP_Species_Support'!DL14</x:f>
        <x:v>15.5673</x:v>
      </x:c>
      <x:c r="U16" s="979" t="n">
        <x:f>'S13_PSP_Species_Support'!DM14</x:f>
        <x:v>1.0658141036401503e-14</x:v>
      </x:c>
    </x:row>
    <x:row r="17" ht="27.75" hidden="0" customHeight="1">
      <x:c r="A17" s="37" t="str">
        <x:v>Tropical &amp; Subtropical Dry Broadleaf Forests</x:v>
      </x:c>
      <x:c r="B17" s="37" t="s">
        <x:v>581</x:v>
      </x:c>
      <x:c r="C17" s="37" t="n">
        <x:v>3764</x:v>
      </x:c>
      <x:c r="D17" s="114" t="s">
        <x:v>582</x:v>
      </x:c>
      <x:c r="E17" s="37" t="s">
        <x:v>542</x:v>
      </x:c>
      <x:c r="F17" s="37" t="n">
        <x:v>2020</x:v>
      </x:c>
      <x:c r="G17" s="37" t="s">
        <x:v>543</x:v>
      </x:c>
      <x:c r="H17" s="100" t="n">
        <x:v>0.494</x:v>
      </x:c>
      <x:c r="I17" s="100" t="n">
        <x:v>2530.36</x:v>
      </x:c>
      <x:c r="J17" s="100" t="s">
        <x:v>583</x:v>
      </x:c>
      <x:c r="K17" s="100" t="n">
        <x:v>17.97656</x:v>
      </x:c>
      <x:c r="L17" s="100" t="n">
        <x:v>82.71843</x:v>
      </x:c>
      <x:c r="M17" s="115" t="n">
        <x:f aca="0">IF($F17="Unconfirmed","",IFERROR(INDEX(S14_Growth_Model_ExAnte!$AJ$15:$AJ$81,MATCH($B17,S14_Growth_Model_ExAnte!$A$15:$A$81,0)),""))</x:f>
        <x:v>612.2277134023492</x:v>
      </x:c>
      <x:c r="N17" s="115" t="n">
        <x:f aca="0">IF($F17="Unconfirmed","",IFERROR(SUMIF(S15_Source_Strata!$B$4:$B$49,$P17,S15_Source_Strata!$N$4:$N$49),""))</x:f>
        <x:v>458.68338464354326</x:v>
      </x:c>
      <x:c r="O17" s="115" t="n">
        <x:f aca="0">IF($F17="Unconfirmed","",IFERROR(SUMIF(S15_Source_Strata!$B$4:$B$49,$P17,S15_Source_Strata!$X$4:$X$49),""))</x:f>
        <x:v>980.1758140909432</x:v>
      </x:c>
      <x:c r="P17" s="37" t="s">
        <x:v>584</x:v>
      </x:c>
      <x:c r="Q17" s="114" t="str">
        <x:v>Source parcel species counts → normalized 0.09-ha PSP species counts → Chapman-Richards D/H → Chave AGB/tree → PSP AGB/ha; stratum accounting links through S15_Source_Strata.</x:v>
      </x:c>
      <x:c r="R17" s="980" t="n">
        <x:f>'S13_PSP_Species_Support'!DJ15</x:f>
        <x:v>0.09</x:v>
      </x:c>
      <x:c r="S17" s="979" t="n">
        <x:f>'S13_PSP_Species_Support'!DK15</x:f>
        <x:v>227.7327935222672</x:v>
      </x:c>
      <x:c r="T17" s="979" t="n">
        <x:f>'S13_PSP_Species_Support'!DL15</x:f>
        <x:v>227.7324</x:v>
      </x:c>
      <x:c r="U17" s="979" t="n">
        <x:f>'S13_PSP_Species_Support'!DM15</x:f>
        <x:v>0.00039352226718847305</x:v>
      </x:c>
    </x:row>
    <x:row r="18" ht="27.75" hidden="0" customHeight="1">
      <x:c r="A18" s="37" t="str">
        <x:v>Tropical &amp; Subtropical Moist Broadleaf Forests</x:v>
      </x:c>
      <x:c r="B18" s="37" t="s">
        <x:v>585</x:v>
      </x:c>
      <x:c r="C18" s="37" t="n">
        <x:v>6468</x:v>
      </x:c>
      <x:c r="D18" s="114" t="s">
        <x:v>582</x:v>
      </x:c>
      <x:c r="E18" s="37" t="s">
        <x:v>542</x:v>
      </x:c>
      <x:c r="F18" s="37" t="n">
        <x:v>2020</x:v>
      </x:c>
      <x:c r="G18" s="37" t="s">
        <x:v>543</x:v>
      </x:c>
      <x:c r="H18" s="100" t="n">
        <x:v>0.806</x:v>
      </x:c>
      <x:c r="I18" s="100" t="n">
        <x:v>3411.91</x:v>
      </x:c>
      <x:c r="J18" s="100" t="s">
        <x:v>586</x:v>
      </x:c>
      <x:c r="K18" s="100" t="n">
        <x:v>18.25578</x:v>
      </x:c>
      <x:c r="L18" s="100" t="n">
        <x:v>83.84291</x:v>
      </x:c>
      <x:c r="M18" s="115" t="n">
        <x:f aca="0">IF($F18="Unconfirmed","",IFERROR(INDEX(S14_Growth_Model_ExAnte!$AJ$15:$AJ$81,MATCH($B18,S14_Growth_Model_ExAnte!$A$15:$A$81,0)),""))</x:f>
        <x:v>453.78132789299747</x:v>
      </x:c>
      <x:c r="N18" s="115" t="n">
        <x:f aca="0">IF($F18="Unconfirmed","",IFERROR(SUMIF(S15_Source_Strata!$B$4:$B$49,$P18,S15_Source_Strata!$N$4:$N$49),""))</x:f>
        <x:v>458.68338464354326</x:v>
      </x:c>
      <x:c r="O18" s="115" t="n">
        <x:f aca="0">IF($F18="Unconfirmed","",IFERROR(SUMIF(S15_Source_Strata!$B$4:$B$49,$P18,S15_Source_Strata!$X$4:$X$49),""))</x:f>
        <x:v>980.1758140909432</x:v>
      </x:c>
      <x:c r="P18" s="37" t="s">
        <x:v>584</x:v>
      </x:c>
      <x:c r="Q18" s="114" t="str">
        <x:v>Source parcel species counts → normalized 0.09-ha PSP species counts → Chapman-Richards D/H → Chave AGB/tree → PSP AGB/ha; stratum accounting links through S15_Source_Strata.</x:v>
      </x:c>
      <x:c r="R18" s="980" t="n">
        <x:f>'S13_PSP_Species_Support'!DJ16</x:f>
        <x:v>0.09</x:v>
      </x:c>
      <x:c r="S18" s="979" t="n">
        <x:f>'S13_PSP_Species_Support'!DK16</x:f>
        <x:v>307.07196029776674</x:v>
      </x:c>
      <x:c r="T18" s="979" t="n">
        <x:f>'S13_PSP_Species_Support'!DL16</x:f>
        <x:v>307.07189999999997</x:v>
      </x:c>
      <x:c r="U18" s="979" t="n">
        <x:f>'S13_PSP_Species_Support'!DM16</x:f>
        <x:v>0.00006029776676541587</x:v>
      </x:c>
    </x:row>
    <x:row r="19" ht="27.75" hidden="0" customHeight="1">
      <x:c r="A19" s="37" t="str">
        <x:v>Tropical &amp; Subtropical Dry Broadleaf Forests</x:v>
      </x:c>
      <x:c r="B19" s="37" t="s">
        <x:v>587</x:v>
      </x:c>
      <x:c r="C19" s="37" t="n">
        <x:v>9410</x:v>
      </x:c>
      <x:c r="D19" s="114" t="s">
        <x:v>582</x:v>
      </x:c>
      <x:c r="E19" s="37" t="s">
        <x:v>542</x:v>
      </x:c>
      <x:c r="F19" s="37" t="n">
        <x:v>2020</x:v>
      </x:c>
      <x:c r="G19" s="37" t="s">
        <x:v>543</x:v>
      </x:c>
      <x:c r="H19" s="100" t="n">
        <x:v>0.462</x:v>
      </x:c>
      <x:c r="I19" s="100" t="n">
        <x:v>1915.58</x:v>
      </x:c>
      <x:c r="J19" s="100" t="s">
        <x:v>588</x:v>
      </x:c>
      <x:c r="K19" s="100" t="n">
        <x:v>18.4001</x:v>
      </x:c>
      <x:c r="L19" s="100" t="n">
        <x:v>82.84306</x:v>
      </x:c>
      <x:c r="M19" s="115" t="n">
        <x:f aca="0">IF($F19="Unconfirmed","",IFERROR(INDEX(S14_Growth_Model_ExAnte!$AJ$15:$AJ$81,MATCH($B19,S14_Growth_Model_ExAnte!$A$15:$A$81,0)),""))</x:f>
        <x:v>0</x:v>
      </x:c>
      <x:c r="N19" s="115" t="n">
        <x:f aca="0">IF($F19="Unconfirmed","",IFERROR(SUMIF(S15_Source_Strata!$B$4:$B$49,$P19,S15_Source_Strata!$N$4:$N$49),""))</x:f>
        <x:v>458.68338464354326</x:v>
      </x:c>
      <x:c r="O19" s="115" t="n">
        <x:f aca="0">IF($F19="Unconfirmed","",IFERROR(SUMIF(S15_Source_Strata!$B$4:$B$49,$P19,S15_Source_Strata!$X$4:$X$49),""))</x:f>
        <x:v>980.1758140909432</x:v>
      </x:c>
      <x:c r="P19" s="37" t="s">
        <x:v>584</x:v>
      </x:c>
      <x:c r="Q19" s="114" t="str">
        <x:v>Source parcel species counts → normalized 0.09-ha PSP species counts → Chapman-Richards D/H → Chave AGB/tree → PSP AGB/ha; stratum accounting links through S15_Source_Strata.</x:v>
      </x:c>
      <x:c r="R19" s="980" t="n">
        <x:f>'S13_PSP_Species_Support'!DJ17</x:f>
        <x:v>0.09</x:v>
      </x:c>
      <x:c r="S19" s="979" t="n">
        <x:f>'S13_PSP_Species_Support'!DK17</x:f>
        <x:v>8.766233766233766</x:v>
      </x:c>
      <x:c r="T19" s="979" t="n">
        <x:f>'S13_PSP_Species_Support'!DL17</x:f>
        <x:v>172.4022</x:v>
      </x:c>
      <x:c r="U19" s="979" t="n">
        <x:f>'S13_PSP_Species_Support'!DM17</x:f>
        <x:v>-163.63596623376623</x:v>
      </x:c>
    </x:row>
    <x:row r="20" ht="27.75" hidden="0" customHeight="1">
      <x:c r="A20" s="37" t="str">
        <x:v>Tropical &amp; Subtropical Dry Broadleaf Forests</x:v>
      </x:c>
      <x:c r="B20" s="37" t="s">
        <x:v>589</x:v>
      </x:c>
      <x:c r="C20" s="37" t="n">
        <x:v>3463</x:v>
      </x:c>
      <x:c r="D20" s="114" t="s">
        <x:v>582</x:v>
      </x:c>
      <x:c r="E20" s="37" t="s">
        <x:v>542</x:v>
      </x:c>
      <x:c r="F20" s="37" t="n">
        <x:v>2020</x:v>
      </x:c>
      <x:c r="G20" s="37" t="s">
        <x:v>543</x:v>
      </x:c>
      <x:c r="H20" s="100" t="n">
        <x:v>0.2749</x:v>
      </x:c>
      <x:c r="I20" s="100" t="n">
        <x:v>4728.99</x:v>
      </x:c>
      <x:c r="J20" s="100" t="s">
        <x:v>590</x:v>
      </x:c>
      <x:c r="K20" s="100" t="n">
        <x:v>18.21149</x:v>
      </x:c>
      <x:c r="L20" s="100" t="n">
        <x:v>82.66148</x:v>
      </x:c>
      <x:c r="M20" s="115" t="n">
        <x:f aca="0">IF($F20="Unconfirmed","",IFERROR(INDEX(S14_Growth_Model_ExAnte!$AJ$15:$AJ$81,MATCH($B20,S14_Growth_Model_ExAnte!$A$15:$A$81,0)),""))</x:f>
        <x:v>1611.3212867598238</x:v>
      </x:c>
      <x:c r="N20" s="115" t="n">
        <x:f aca="0">IF($F20="Unconfirmed","",IFERROR(SUMIF(S15_Source_Strata!$B$4:$B$49,$P20,S15_Source_Strata!$N$4:$N$49),""))</x:f>
        <x:v>458.68338464354326</x:v>
      </x:c>
      <x:c r="O20" s="115" t="n">
        <x:f aca="0">IF($F20="Unconfirmed","",IFERROR(SUMIF(S15_Source_Strata!$B$4:$B$49,$P20,S15_Source_Strata!$X$4:$X$49),""))</x:f>
        <x:v>980.1758140909432</x:v>
      </x:c>
      <x:c r="P20" s="37" t="s">
        <x:v>584</x:v>
      </x:c>
      <x:c r="Q20" s="114" t="str">
        <x:v>Source parcel species counts → normalized 0.09-ha PSP species counts → Chapman-Richards D/H → Chave AGB/tree → PSP AGB/ha; stratum accounting links through S15_Source_Strata.</x:v>
      </x:c>
      <x:c r="R20" s="980" t="n">
        <x:f>'S13_PSP_Species_Support'!DJ18</x:f>
        <x:v>0.09</x:v>
      </x:c>
      <x:c r="S20" s="979" t="n">
        <x:f>'S13_PSP_Species_Support'!DK18</x:f>
        <x:v>425.60931247726444</x:v>
      </x:c>
      <x:c r="T20" s="979" t="n">
        <x:f>'S13_PSP_Species_Support'!DL18</x:f>
        <x:v>425.60909999999996</x:v>
      </x:c>
      <x:c r="U20" s="979" t="n">
        <x:f>'S13_PSP_Species_Support'!DM18</x:f>
        <x:v>0.00021247726448336834</x:v>
      </x:c>
    </x:row>
    <x:row r="21" ht="27.75" hidden="0" customHeight="1">
      <x:c r="A21" s="37" t="str">
        <x:v>Tropical &amp; Subtropical Dry Broadleaf Forests</x:v>
      </x:c>
      <x:c r="B21" s="37" t="s">
        <x:v>591</x:v>
      </x:c>
      <x:c r="C21" s="37" t="n">
        <x:v>2769</x:v>
      </x:c>
      <x:c r="D21" s="114" t="s">
        <x:v>582</x:v>
      </x:c>
      <x:c r="E21" s="37" t="s">
        <x:v>542</x:v>
      </x:c>
      <x:c r="F21" s="37" t="n">
        <x:v>2020</x:v>
      </x:c>
      <x:c r="G21" s="37" t="s">
        <x:v>543</x:v>
      </x:c>
      <x:c r="H21" s="100" t="n">
        <x:v>0.1863</x:v>
      </x:c>
      <x:c r="I21" s="100" t="n">
        <x:v>5850.78</x:v>
      </x:c>
      <x:c r="J21" s="100" t="s">
        <x:v>592</x:v>
      </x:c>
      <x:c r="K21" s="100" t="n">
        <x:v>18.16451</x:v>
      </x:c>
      <x:c r="L21" s="100" t="n">
        <x:v>82.5767</x:v>
      </x:c>
      <x:c r="M21" s="115" t="n">
        <x:f aca="0">IF($F21="Unconfirmed","",IFERROR(INDEX(S14_Growth_Model_ExAnte!$AJ$15:$AJ$81,MATCH($B21,S14_Growth_Model_ExAnte!$A$15:$A$81,0)),""))</x:f>
        <x:v>308.1639177579222</x:v>
      </x:c>
      <x:c r="N21" s="115" t="n">
        <x:f aca="0">IF($F21="Unconfirmed","",IFERROR(SUMIF(S15_Source_Strata!$B$4:$B$49,$P21,S15_Source_Strata!$N$4:$N$49),""))</x:f>
        <x:v>458.68338464354326</x:v>
      </x:c>
      <x:c r="O21" s="115" t="n">
        <x:f aca="0">IF($F21="Unconfirmed","",IFERROR(SUMIF(S15_Source_Strata!$B$4:$B$49,$P21,S15_Source_Strata!$X$4:$X$49),""))</x:f>
        <x:v>980.1758140909432</x:v>
      </x:c>
      <x:c r="P21" s="37" t="s">
        <x:v>584</x:v>
      </x:c>
      <x:c r="Q21" s="114" t="str">
        <x:v>Source parcel species counts → normalized 0.09-ha PSP species counts → Chapman-Richards D/H → Chave AGB/tree → PSP AGB/ha; stratum accounting links through S15_Source_Strata.</x:v>
      </x:c>
      <x:c r="R21" s="980" t="n">
        <x:f>'S13_PSP_Species_Support'!DJ19</x:f>
        <x:v>0.09</x:v>
      </x:c>
      <x:c r="S21" s="979" t="n">
        <x:f>'S13_PSP_Species_Support'!DK19</x:f>
        <x:v>526.5700483091788</x:v>
      </x:c>
      <x:c r="T21" s="979" t="n">
        <x:f>'S13_PSP_Species_Support'!DL19</x:f>
        <x:v>526.5702</x:v>
      </x:c>
      <x:c r="U21" s="979" t="n">
        <x:f>'S13_PSP_Species_Support'!DM19</x:f>
        <x:v>-0.00015169082121246902</x:v>
      </x:c>
    </x:row>
    <x:row r="22" ht="27.75" hidden="0" customHeight="1">
      <x:c r="A22" s="37" t="str">
        <x:v>Tropical &amp; Subtropical Dry Broadleaf Forests</x:v>
      </x:c>
      <x:c r="B22" s="37" t="s">
        <x:v>593</x:v>
      </x:c>
      <x:c r="C22" s="37" t="n">
        <x:v>5274</x:v>
      </x:c>
      <x:c r="D22" s="114" t="s">
        <x:v>582</x:v>
      </x:c>
      <x:c r="E22" s="37" t="s">
        <x:v>542</x:v>
      </x:c>
      <x:c r="F22" s="37" t="n">
        <x:v>2020</x:v>
      </x:c>
      <x:c r="G22" s="37" t="s">
        <x:v>543</x:v>
      </x:c>
      <x:c r="H22" s="100" t="n">
        <x:v>0.6113</x:v>
      </x:c>
      <x:c r="I22" s="100" t="n">
        <x:v>1717.65</x:v>
      </x:c>
      <x:c r="J22" s="100" t="s">
        <x:v>594</x:v>
      </x:c>
      <x:c r="K22" s="100" t="n">
        <x:v>17.85441</x:v>
      </x:c>
      <x:c r="L22" s="100" t="n">
        <x:v>83.08763</x:v>
      </x:c>
      <x:c r="M22" s="115" t="n">
        <x:f aca="0">IF($F22="Unconfirmed","",IFERROR(INDEX(S14_Growth_Model_ExAnte!$AJ$15:$AJ$81,MATCH($B22,S14_Growth_Model_ExAnte!$A$15:$A$81,0)),""))</x:f>
        <x:v>683.9728313352537</x:v>
      </x:c>
      <x:c r="N22" s="115" t="n">
        <x:f aca="0">IF($F22="Unconfirmed","",IFERROR(SUMIF(S15_Source_Strata!$B$4:$B$49,$P22,S15_Source_Strata!$N$4:$N$49),""))</x:f>
        <x:v>458.68338464354326</x:v>
      </x:c>
      <x:c r="O22" s="115" t="n">
        <x:f aca="0">IF($F22="Unconfirmed","",IFERROR(SUMIF(S15_Source_Strata!$B$4:$B$49,$P22,S15_Source_Strata!$X$4:$X$49),""))</x:f>
        <x:v>980.1758140909432</x:v>
      </x:c>
      <x:c r="P22" s="37" t="s">
        <x:v>584</x:v>
      </x:c>
      <x:c r="Q22" s="114" t="str">
        <x:v>Source parcel species counts → normalized 0.09-ha PSP species counts → Chapman-Richards D/H → Chave AGB/tree → PSP AGB/ha; stratum accounting links through S15_Source_Strata.</x:v>
      </x:c>
      <x:c r="R22" s="980" t="n">
        <x:f>'S13_PSP_Species_Support'!DJ20</x:f>
        <x:v>0.09</x:v>
      </x:c>
      <x:c r="S22" s="979" t="n">
        <x:f>'S13_PSP_Species_Support'!DK20</x:f>
        <x:v>154.58858171110748</x:v>
      </x:c>
      <x:c r="T22" s="979" t="n">
        <x:f>'S13_PSP_Species_Support'!DL20</x:f>
        <x:v>154.5885</x:v>
      </x:c>
      <x:c r="U22" s="979" t="n">
        <x:f>'S13_PSP_Species_Support'!DM20</x:f>
        <x:v>0.00008171110746957311</x:v>
      </x:c>
    </x:row>
    <x:row r="23" ht="27.75" hidden="0" customHeight="1">
      <x:c r="A23" s="37" t="str">
        <x:v>Tropical &amp; Subtropical Dry Broadleaf Forests</x:v>
      </x:c>
      <x:c r="B23" s="37" t="s">
        <x:v>595</x:v>
      </x:c>
      <x:c r="C23" s="37" t="n">
        <x:v>5827</x:v>
      </x:c>
      <x:c r="D23" s="114" t="s">
        <x:v>582</x:v>
      </x:c>
      <x:c r="E23" s="37" t="s">
        <x:v>549</x:v>
      </x:c>
      <x:c r="F23" s="37" t="n">
        <x:v>2020</x:v>
      </x:c>
      <x:c r="G23" s="37" t="s">
        <x:v>543</x:v>
      </x:c>
      <x:c r="H23" s="100" t="n">
        <x:v>1.7963</x:v>
      </x:c>
      <x:c r="I23" s="100" t="n">
        <x:v>169.79</x:v>
      </x:c>
      <x:c r="J23" s="100" t="s">
        <x:v>596</x:v>
      </x:c>
      <x:c r="K23" s="100" t="n">
        <x:v>17.53056</x:v>
      </x:c>
      <x:c r="L23" s="100" t="n">
        <x:v>81.99023</x:v>
      </x:c>
      <x:c r="M23" s="115" t="n">
        <x:f aca="0">IF($F23="Unconfirmed","",IFERROR(INDEX(S14_Growth_Model_ExAnte!$AJ$15:$AJ$81,MATCH($B23,S14_Growth_Model_ExAnte!$A$15:$A$81,0)),""))</x:f>
        <x:v>9.084256090489998</x:v>
      </x:c>
      <x:c r="N23" s="115" t="n">
        <x:f aca="0">IF($F23="Unconfirmed","",IFERROR(SUMIF(S15_Source_Strata!$B$4:$B$49,$P23,S15_Source_Strata!$N$4:$N$49),""))</x:f>
        <x:v>19.718798418047335</x:v>
      </x:c>
      <x:c r="O23" s="115" t="n">
        <x:f aca="0">IF($F23="Unconfirmed","",IFERROR(SUMIF(S15_Source_Strata!$B$4:$B$49,$P23,S15_Source_Strata!$X$4:$X$49),""))</x:f>
        <x:v>42.13775763280599</x:v>
      </x:c>
      <x:c r="P23" s="37" t="s">
        <x:v>597</x:v>
      </x:c>
      <x:c r="Q23" s="114" t="str">
        <x:v>Source parcel species counts → normalized 0.09-ha PSP species counts → Chapman-Richards D/H → Chave AGB/tree → PSP AGB/ha; stratum accounting links through S15_Source_Strata.</x:v>
      </x:c>
      <x:c r="R23" s="980" t="n">
        <x:f>'S13_PSP_Species_Support'!DJ21</x:f>
        <x:v>0.09</x:v>
      </x:c>
      <x:c r="S23" s="979" t="n">
        <x:f>'S13_PSP_Species_Support'!DK21</x:f>
        <x:v>15.531926738295386</x:v>
      </x:c>
      <x:c r="T23" s="979" t="n">
        <x:f>'S13_PSP_Species_Support'!DL21</x:f>
        <x:v>15.281099999999999</x:v>
      </x:c>
      <x:c r="U23" s="979" t="n">
        <x:f>'S13_PSP_Species_Support'!DM21</x:f>
        <x:v>0.2508267382953875</x:v>
      </x:c>
    </x:row>
    <x:row r="24" ht="27.75" hidden="0" customHeight="1">
      <x:c r="A24" s="37" t="str">
        <x:v>Tropical &amp; Subtropical Dry Broadleaf Forests</x:v>
      </x:c>
      <x:c r="B24" s="37" t="s">
        <x:v>598</x:v>
      </x:c>
      <x:c r="C24" s="37" t="n">
        <x:v>8282</x:v>
      </x:c>
      <x:c r="D24" s="114" t="s">
        <x:v>582</x:v>
      </x:c>
      <x:c r="E24" s="37" t="s">
        <x:v>553</x:v>
      </x:c>
      <x:c r="F24" s="37" t="n">
        <x:v>2020</x:v>
      </x:c>
      <x:c r="G24" s="37" t="s">
        <x:v>543</x:v>
      </x:c>
      <x:c r="H24" s="100" t="n">
        <x:v>0.4699</x:v>
      </x:c>
      <x:c r="I24" s="100" t="n">
        <x:v>744.84</x:v>
      </x:c>
      <x:c r="J24" s="100" t="s">
        <x:v>599</x:v>
      </x:c>
      <x:c r="K24" s="100" t="n">
        <x:v>18.23017</x:v>
      </x:c>
      <x:c r="L24" s="100" t="n">
        <x:v>82.99605</x:v>
      </x:c>
      <x:c r="M24" s="115" t="n">
        <x:f aca="0">IF($F24="Unconfirmed","",IFERROR(INDEX(S14_Growth_Model_ExAnte!$AJ$15:$AJ$81,MATCH($B24,S14_Growth_Model_ExAnte!$A$15:$A$81,0)),""))</x:f>
        <x:v>57.81267670949894</x:v>
      </x:c>
      <x:c r="N24" s="115" t="n">
        <x:f aca="0">IF($F24="Unconfirmed","",IFERROR(SUMIF(S15_Source_Strata!$B$4:$B$49,$P24,S15_Source_Strata!$N$4:$N$49),""))</x:f>
        <x:v>76.53422194252656</x:v>
      </x:c>
      <x:c r="O24" s="115" t="n">
        <x:f aca="0">IF($F24="Unconfirmed","",IFERROR(SUMIF(S15_Source_Strata!$B$4:$B$49,$P24,S15_Source_Strata!$X$4:$X$49),""))</x:f>
        <x:v>163.54853000971656</x:v>
      </x:c>
      <x:c r="P24" s="37" t="s">
        <x:v>600</x:v>
      </x:c>
      <x:c r="Q24" s="114" t="str">
        <x:v>Source parcel species counts → normalized 0.09-ha PSP species counts → Chapman-Richards D/H → Chave AGB/tree → PSP AGB/ha; stratum accounting links through S15_Source_Strata.</x:v>
      </x:c>
      <x:c r="R24" s="980" t="n">
        <x:f>'S13_PSP_Species_Support'!DJ22</x:f>
        <x:v>0.09</x:v>
      </x:c>
      <x:c r="S24" s="979" t="n">
        <x:f>'S13_PSP_Species_Support'!DK22</x:f>
        <x:v>67.03553947648436</x:v>
      </x:c>
      <x:c r="T24" s="979" t="n">
        <x:f>'S13_PSP_Species_Support'!DL22</x:f>
        <x:v>67.0356</x:v>
      </x:c>
      <x:c r="U24" s="979" t="n">
        <x:f>'S13_PSP_Species_Support'!DM22</x:f>
        <x:v>-0.00006052351564278524</x:v>
      </x:c>
    </x:row>
    <x:row r="25" ht="27.75" hidden="0" customHeight="1">
      <x:c r="A25" s="37" t="str">
        <x:v>Tropical &amp; Subtropical Dry Broadleaf Forests</x:v>
      </x:c>
      <x:c r="B25" s="37" t="s">
        <x:v>601</x:v>
      </x:c>
      <x:c r="C25" s="37" t="n">
        <x:v>1527</x:v>
      </x:c>
      <x:c r="D25" s="114" t="s">
        <x:v>582</x:v>
      </x:c>
      <x:c r="E25" s="37" t="s">
        <x:v>553</x:v>
      </x:c>
      <x:c r="F25" s="37" t="n">
        <x:v>2020</x:v>
      </x:c>
      <x:c r="G25" s="37" t="s">
        <x:v>543</x:v>
      </x:c>
      <x:c r="H25" s="100" t="n">
        <x:v>0.4639</x:v>
      </x:c>
      <x:c r="I25" s="100" t="n">
        <x:v>1569.3</x:v>
      </x:c>
      <x:c r="J25" s="100" t="s">
        <x:v>602</x:v>
      </x:c>
      <x:c r="K25" s="100" t="n">
        <x:v>18.3892</x:v>
      </x:c>
      <x:c r="L25" s="100" t="n">
        <x:v>78.76984</x:v>
      </x:c>
      <x:c r="M25" s="115" t="n">
        <x:f aca="0">IF($F25="Unconfirmed","",IFERROR(INDEX(S14_Growth_Model_ExAnte!$AJ$15:$AJ$81,MATCH($B25,S14_Growth_Model_ExAnte!$A$15:$A$81,0)),""))</x:f>
        <x:v>461.20481770026754</x:v>
      </x:c>
      <x:c r="N25" s="115" t="n">
        <x:f aca="0">IF($F25="Unconfirmed","",IFERROR(SUMIF(S15_Source_Strata!$B$4:$B$49,$P25,S15_Source_Strata!$N$4:$N$49),""))</x:f>
        <x:v>76.53422194252656</x:v>
      </x:c>
      <x:c r="O25" s="115" t="n">
        <x:f aca="0">IF($F25="Unconfirmed","",IFERROR(SUMIF(S15_Source_Strata!$B$4:$B$49,$P25,S15_Source_Strata!$X$4:$X$49),""))</x:f>
        <x:v>163.54853000971656</x:v>
      </x:c>
      <x:c r="P25" s="37" t="s">
        <x:v>600</x:v>
      </x:c>
      <x:c r="Q25" s="114" t="str">
        <x:v>Source parcel species counts → normalized 0.09-ha PSP species counts → Chapman-Richards D/H → Chave AGB/tree → PSP AGB/ha; stratum accounting links through S15_Source_Strata.</x:v>
      </x:c>
      <x:c r="R25" s="980" t="n">
        <x:f>'S13_PSP_Species_Support'!DJ23</x:f>
        <x:v>0.09</x:v>
      </x:c>
      <x:c r="S25" s="979" t="n">
        <x:f>'S13_PSP_Species_Support'!DK23</x:f>
        <x:v>141.23733563267945</x:v>
      </x:c>
      <x:c r="T25" s="979" t="n">
        <x:f>'S13_PSP_Species_Support'!DL23</x:f>
        <x:v>141.237</x:v>
      </x:c>
      <x:c r="U25" s="979" t="n">
        <x:f>'S13_PSP_Species_Support'!DM23</x:f>
        <x:v>0.00033563267945169173</x:v>
      </x:c>
    </x:row>
    <x:row r="26" ht="27.75" hidden="0" customHeight="1">
      <x:c r="A26" s="37" t="str">
        <x:v>Tropical &amp; Subtropical Moist Broadleaf Forests</x:v>
      </x:c>
      <x:c r="B26" s="37" t="s">
        <x:v>603</x:v>
      </x:c>
      <x:c r="C26" s="37" t="n">
        <x:v>4085</x:v>
      </x:c>
      <x:c r="D26" s="114" t="s">
        <x:v>582</x:v>
      </x:c>
      <x:c r="E26" s="37" t="s">
        <x:v>553</x:v>
      </x:c>
      <x:c r="F26" s="37" t="n">
        <x:v>2020</x:v>
      </x:c>
      <x:c r="G26" s="37" t="s">
        <x:v>543</x:v>
      </x:c>
      <x:c r="H26" s="100" t="n">
        <x:v>1.2205</x:v>
      </x:c>
      <x:c r="I26" s="100" t="n">
        <x:v>270.38</x:v>
      </x:c>
      <x:c r="J26" s="100" t="s">
        <x:v>604</x:v>
      </x:c>
      <x:c r="K26" s="100" t="n">
        <x:v>17.44976</x:v>
      </x:c>
      <x:c r="L26" s="100" t="n">
        <x:v>82.41684</x:v>
      </x:c>
      <x:c r="M26" s="115" t="n">
        <x:f aca="0">IF($F26="Unconfirmed","",IFERROR(INDEX(S14_Growth_Model_ExAnte!$AJ$15:$AJ$81,MATCH($B26,S14_Growth_Model_ExAnte!$A$15:$A$81,0)),""))</x:f>
        <x:v>15.357312881265186</x:v>
      </x:c>
      <x:c r="N26" s="115" t="n">
        <x:f aca="0">IF($F26="Unconfirmed","",IFERROR(SUMIF(S15_Source_Strata!$B$4:$B$49,$P26,S15_Source_Strata!$N$4:$N$49),""))</x:f>
        <x:v>76.53422194252656</x:v>
      </x:c>
      <x:c r="O26" s="115" t="n">
        <x:f aca="0">IF($F26="Unconfirmed","",IFERROR(SUMIF(S15_Source_Strata!$B$4:$B$49,$P26,S15_Source_Strata!$X$4:$X$49),""))</x:f>
        <x:v>163.54853000971656</x:v>
      </x:c>
      <x:c r="P26" s="37" t="s">
        <x:v>600</x:v>
      </x:c>
      <x:c r="Q26" s="114" t="str">
        <x:v>Source parcel species counts → normalized 0.09-ha PSP species counts → Chapman-Richards D/H → Chave AGB/tree → PSP AGB/ha; stratum accounting links through S15_Source_Strata.</x:v>
      </x:c>
      <x:c r="R26" s="980" t="n">
        <x:f>'S13_PSP_Species_Support'!DJ24</x:f>
        <x:v>0.09</x:v>
      </x:c>
      <x:c r="S26" s="979" t="n">
        <x:f>'S13_PSP_Species_Support'!DK24</x:f>
        <x:v>24.334289225727158</x:v>
      </x:c>
      <x:c r="T26" s="979" t="n">
        <x:f>'S13_PSP_Species_Support'!DL24</x:f>
        <x:v>24.3342</x:v>
      </x:c>
      <x:c r="U26" s="979" t="n">
        <x:f>'S13_PSP_Species_Support'!DM24</x:f>
        <x:v>0.00008922572715874821</x:v>
      </x:c>
    </x:row>
    <x:row r="27" ht="27.75" hidden="0" customHeight="1">
      <x:c r="A27" s="37" t="str">
        <x:v>Tropical &amp; Subtropical Dry Broadleaf Forests</x:v>
      </x:c>
      <x:c r="B27" s="37" t="s">
        <x:v>605</x:v>
      </x:c>
      <x:c r="C27" s="37" t="n">
        <x:v>7183</x:v>
      </x:c>
      <x:c r="D27" s="114" t="s">
        <x:v>582</x:v>
      </x:c>
      <x:c r="E27" s="37" t="s">
        <x:v>553</x:v>
      </x:c>
      <x:c r="F27" s="37" t="n">
        <x:v>2020</x:v>
      </x:c>
      <x:c r="G27" s="37" t="s">
        <x:v>543</x:v>
      </x:c>
      <x:c r="H27" s="100" t="n">
        <x:v>0.7053</x:v>
      </x:c>
      <x:c r="I27" s="100" t="n">
        <x:v>439.53</x:v>
      </x:c>
      <x:c r="J27" s="100" t="s">
        <x:v>606</x:v>
      </x:c>
      <x:c r="K27" s="100" t="n">
        <x:v>17.34644</x:v>
      </x:c>
      <x:c r="L27" s="100" t="n">
        <x:v>80.35279</x:v>
      </x:c>
      <x:c r="M27" s="115" t="n">
        <x:f aca="0">IF($F27="Unconfirmed","",IFERROR(INDEX(S14_Growth_Model_ExAnte!$AJ$15:$AJ$81,MATCH($B27,S14_Growth_Model_ExAnte!$A$15:$A$81,0)),""))</x:f>
        <x:v>26.15700617218386</x:v>
      </x:c>
      <x:c r="N27" s="115" t="n">
        <x:f aca="0">IF($F27="Unconfirmed","",IFERROR(SUMIF(S15_Source_Strata!$B$4:$B$49,$P27,S15_Source_Strata!$N$4:$N$49),""))</x:f>
        <x:v>76.53422194252656</x:v>
      </x:c>
      <x:c r="O27" s="115" t="n">
        <x:f aca="0">IF($F27="Unconfirmed","",IFERROR(SUMIF(S15_Source_Strata!$B$4:$B$49,$P27,S15_Source_Strata!$X$4:$X$49),""))</x:f>
        <x:v>163.54853000971656</x:v>
      </x:c>
      <x:c r="P27" s="37" t="s">
        <x:v>600</x:v>
      </x:c>
      <x:c r="Q27" s="114" t="str">
        <x:v>Source parcel species counts → normalized 0.09-ha PSP species counts → Chapman-Richards D/H → Chave AGB/tree → PSP AGB/ha; stratum accounting links through S15_Source_Strata.</x:v>
      </x:c>
      <x:c r="R27" s="980" t="n">
        <x:f>'S13_PSP_Species_Support'!DJ25</x:f>
        <x:v>0.09</x:v>
      </x:c>
      <x:c r="S27" s="979" t="n">
        <x:f>'S13_PSP_Species_Support'!DK25</x:f>
        <x:v>39.55763504891535</x:v>
      </x:c>
      <x:c r="T27" s="979" t="n">
        <x:f>'S13_PSP_Species_Support'!DL25</x:f>
        <x:v>39.5577</x:v>
      </x:c>
      <x:c r="U27" s="979" t="n">
        <x:f>'S13_PSP_Species_Support'!DM25</x:f>
        <x:v>-0.00006495108464577015</x:v>
      </x:c>
    </x:row>
    <x:row r="28" ht="27.75" hidden="0" customHeight="1">
      <x:c r="A28" s="37" t="str">
        <x:v>Tropical &amp; Subtropical Dry Broadleaf Forests</x:v>
      </x:c>
      <x:c r="B28" s="37" t="s">
        <x:v>607</x:v>
      </x:c>
      <x:c r="C28" s="37" t="n">
        <x:v>1554</x:v>
      </x:c>
      <x:c r="D28" s="114" t="s">
        <x:v>582</x:v>
      </x:c>
      <x:c r="E28" s="37" t="s">
        <x:v>553</x:v>
      </x:c>
      <x:c r="F28" s="37" t="n">
        <x:v>2020</x:v>
      </x:c>
      <x:c r="G28" s="37" t="s">
        <x:v>543</x:v>
      </x:c>
      <x:c r="H28" s="100" t="n">
        <x:v>1.19</x:v>
      </x:c>
      <x:c r="I28" s="100" t="n">
        <x:v>344.54</x:v>
      </x:c>
      <x:c r="J28" s="100" t="s">
        <x:v>608</x:v>
      </x:c>
      <x:c r="K28" s="100" t="n">
        <x:v>18.89937</x:v>
      </x:c>
      <x:c r="L28" s="100" t="n">
        <x:v>79.52427</x:v>
      </x:c>
      <x:c r="M28" s="115" t="n">
        <x:f aca="0">IF($F28="Unconfirmed","",IFERROR(INDEX(S14_Growth_Model_ExAnte!$AJ$15:$AJ$81,MATCH($B28,S14_Growth_Model_ExAnte!$A$15:$A$81,0)),""))</x:f>
        <x:v>29.385269998399743</x:v>
      </x:c>
      <x:c r="N28" s="115" t="n">
        <x:f aca="0">IF($F28="Unconfirmed","",IFERROR(SUMIF(S15_Source_Strata!$B$4:$B$49,$P28,S15_Source_Strata!$N$4:$N$49),""))</x:f>
        <x:v>76.53422194252656</x:v>
      </x:c>
      <x:c r="O28" s="115" t="n">
        <x:f aca="0">IF($F28="Unconfirmed","",IFERROR(SUMIF(S15_Source_Strata!$B$4:$B$49,$P28,S15_Source_Strata!$X$4:$X$49),""))</x:f>
        <x:v>163.54853000971656</x:v>
      </x:c>
      <x:c r="P28" s="37" t="s">
        <x:v>600</x:v>
      </x:c>
      <x:c r="Q28" s="114" t="str">
        <x:v>Source parcel species counts → normalized 0.09-ha PSP species counts → Chapman-Richards D/H → Chave AGB/tree → PSP AGB/ha; stratum accounting links through S15_Source_Strata.</x:v>
      </x:c>
      <x:c r="R28" s="980" t="n">
        <x:f>'S13_PSP_Species_Support'!DJ26</x:f>
        <x:v>0.09</x:v>
      </x:c>
      <x:c r="S28" s="979" t="n">
        <x:f>'S13_PSP_Species_Support'!DK26</x:f>
        <x:v>31.764705882352942</x:v>
      </x:c>
      <x:c r="T28" s="979" t="n">
        <x:f>'S13_PSP_Species_Support'!DL26</x:f>
        <x:v>31.0086</x:v>
      </x:c>
      <x:c r="U28" s="979" t="n">
        <x:f>'S13_PSP_Species_Support'!DM26</x:f>
        <x:v>0.7561058823529407</x:v>
      </x:c>
    </x:row>
    <x:row r="29" ht="27.75" hidden="0" customHeight="1">
      <x:c r="A29" s="37" t="str">
        <x:v>Tropical &amp; Subtropical Dry Broadleaf Forests</x:v>
      </x:c>
      <x:c r="B29" s="37" t="s">
        <x:v>609</x:v>
      </x:c>
      <x:c r="C29" s="37" t="n">
        <x:v>8687</x:v>
      </x:c>
      <x:c r="D29" s="114" t="s">
        <x:v>582</x:v>
      </x:c>
      <x:c r="E29" s="37" t="s">
        <x:v>553</x:v>
      </x:c>
      <x:c r="F29" s="37" t="n">
        <x:v>2020</x:v>
      </x:c>
      <x:c r="G29" s="37" t="s">
        <x:v>543</x:v>
      </x:c>
      <x:c r="H29" s="100" t="n">
        <x:v>0.3598</x:v>
      </x:c>
      <x:c r="I29" s="100" t="n">
        <x:v>500.28</x:v>
      </x:c>
      <x:c r="J29" s="100" t="s">
        <x:v>610</x:v>
      </x:c>
      <x:c r="K29" s="100" t="n">
        <x:v>17.28633</x:v>
      </x:c>
      <x:c r="L29" s="100" t="n">
        <x:v>79.20475</x:v>
      </x:c>
      <x:c r="M29" s="115" t="n">
        <x:f aca="0">IF($F29="Unconfirmed","",IFERROR(INDEX(S14_Growth_Model_ExAnte!$AJ$15:$AJ$81,MATCH($B29,S14_Growth_Model_ExAnte!$A$15:$A$81,0)),""))</x:f>
        <x:v>22.356692078597067</x:v>
      </x:c>
      <x:c r="N29" s="115" t="n">
        <x:f aca="0">IF($F29="Unconfirmed","",IFERROR(SUMIF(S15_Source_Strata!$B$4:$B$49,$P29,S15_Source_Strata!$N$4:$N$49),""))</x:f>
        <x:v>76.53422194252656</x:v>
      </x:c>
      <x:c r="O29" s="115" t="n">
        <x:f aca="0">IF($F29="Unconfirmed","",IFERROR(SUMIF(S15_Source_Strata!$B$4:$B$49,$P29,S15_Source_Strata!$X$4:$X$49),""))</x:f>
        <x:v>163.54853000971656</x:v>
      </x:c>
      <x:c r="P29" s="37" t="s">
        <x:v>600</x:v>
      </x:c>
      <x:c r="Q29" s="114" t="str">
        <x:v>Source parcel species counts → normalized 0.09-ha PSP species counts → Chapman-Richards D/H → Chave AGB/tree → PSP AGB/ha; stratum accounting links through S15_Source_Strata.</x:v>
      </x:c>
      <x:c r="R29" s="980" t="n">
        <x:f>'S13_PSP_Species_Support'!DJ27</x:f>
        <x:v>0.09</x:v>
      </x:c>
      <x:c r="S29" s="979" t="n">
        <x:f>'S13_PSP_Species_Support'!DK27</x:f>
        <x:v>45.02501389660922</x:v>
      </x:c>
      <x:c r="T29" s="979" t="n">
        <x:f>'S13_PSP_Species_Support'!DL27</x:f>
        <x:v>45.0252</x:v>
      </x:c>
      <x:c r="U29" s="979" t="n">
        <x:f>'S13_PSP_Species_Support'!DM27</x:f>
        <x:v>-0.00018610339078151128</x:v>
      </x:c>
    </x:row>
    <x:row r="30" ht="27.75" hidden="0" customHeight="1">
      <x:c r="A30" s="37" t="str">
        <x:v>Tropical &amp; Subtropical Dry Broadleaf Forests</x:v>
      </x:c>
      <x:c r="B30" s="37" t="s">
        <x:v>611</x:v>
      </x:c>
      <x:c r="C30" s="37" t="n">
        <x:v>9507</x:v>
      </x:c>
      <x:c r="D30" s="114" t="s">
        <x:v>582</x:v>
      </x:c>
      <x:c r="E30" s="37" t="s">
        <x:v>549</x:v>
      </x:c>
      <x:c r="F30" s="37" t="n">
        <x:v>2021</x:v>
      </x:c>
      <x:c r="G30" s="37" t="s">
        <x:v>543</x:v>
      </x:c>
      <x:c r="H30" s="100" t="n">
        <x:v>0.857</x:v>
      </x:c>
      <x:c r="I30" s="100" t="n">
        <x:v>162.19</x:v>
      </x:c>
      <x:c r="J30" s="100" t="s">
        <x:v>612</x:v>
      </x:c>
      <x:c r="K30" s="100" t="n">
        <x:v>18.17936</x:v>
      </x:c>
      <x:c r="L30" s="100" t="n">
        <x:v>82.89658</x:v>
      </x:c>
      <x:c r="M30" s="115" t="n">
        <x:f aca="0">IF($F30="Unconfirmed","",IFERROR(INDEX(S14_Growth_Model_ExAnte!$AJ$15:$AJ$81,MATCH($B30,S14_Growth_Model_ExAnte!$A$15:$A$81,0)),""))</x:f>
        <x:v>33.858813419141335</x:v>
      </x:c>
      <x:c r="N30" s="115" t="n">
        <x:f aca="0">IF($F30="Unconfirmed","",IFERROR(SUMIF(S15_Source_Strata!$B$4:$B$49,$P30,S15_Source_Strata!$N$4:$N$49),""))</x:f>
        <x:v>12.577553926576257</x:v>
      </x:c>
      <x:c r="O30" s="115" t="n">
        <x:f aca="0">IF($F30="Unconfirmed","",IFERROR(SUMIF(S15_Source_Strata!$B$4:$B$49,$P30,S15_Source_Strata!$X$4:$X$49),""))</x:f>
        <x:v>26.87739423749838</x:v>
      </x:c>
      <x:c r="P30" s="37" t="s">
        <x:v>613</x:v>
      </x:c>
      <x:c r="Q30" s="114" t="str">
        <x:v>Source parcel species counts → normalized 0.09-ha PSP species counts → Chapman-Richards D/H → Chave AGB/tree → PSP AGB/ha; stratum accounting links through S15_Source_Strata.</x:v>
      </x:c>
      <x:c r="R30" s="980" t="n">
        <x:f>'S13_PSP_Species_Support'!DJ28</x:f>
        <x:v>0.09</x:v>
      </x:c>
      <x:c r="S30" s="979" t="n">
        <x:f>'S13_PSP_Species_Support'!DK28</x:f>
        <x:v>14.597432905484247</x:v>
      </x:c>
      <x:c r="T30" s="979" t="n">
        <x:f>'S13_PSP_Species_Support'!DL28</x:f>
        <x:v>14.5971</x:v>
      </x:c>
      <x:c r="U30" s="979" t="n">
        <x:f>'S13_PSP_Species_Support'!DM28</x:f>
        <x:v>0.000332905484247803</x:v>
      </x:c>
    </x:row>
    <x:row r="31" ht="27.75" hidden="0" customHeight="1">
      <x:c r="A31" s="37" t="str">
        <x:v>Deserts &amp; Xeric Shrublands</x:v>
      </x:c>
      <x:c r="B31" s="37" t="s">
        <x:v>614</x:v>
      </x:c>
      <x:c r="C31" s="37" t="n">
        <x:v>604</x:v>
      </x:c>
      <x:c r="D31" s="114" t="s">
        <x:v>582</x:v>
      </x:c>
      <x:c r="E31" s="37" t="s">
        <x:v>553</x:v>
      </x:c>
      <x:c r="F31" s="37" t="n">
        <x:v>2021</x:v>
      </x:c>
      <x:c r="G31" s="37" t="s">
        <x:v>543</x:v>
      </x:c>
      <x:c r="H31" s="100" t="n">
        <x:v>2.023</x:v>
      </x:c>
      <x:c r="I31" s="100" t="n">
        <x:v>449.83</x:v>
      </x:c>
      <x:c r="J31" s="100" t="s">
        <x:v>615</x:v>
      </x:c>
      <x:c r="K31" s="100" t="n">
        <x:v>14.66799</x:v>
      </x:c>
      <x:c r="L31" s="100" t="n">
        <x:v>77.66967</x:v>
      </x:c>
      <x:c r="M31" s="115" t="n">
        <x:f aca="0">IF($F31="Unconfirmed","",IFERROR(INDEX(S14_Growth_Model_ExAnte!$AJ$15:$AJ$81,MATCH($B31,S14_Growth_Model_ExAnte!$A$15:$A$81,0)),""))</x:f>
        <x:v>10.839945055518589</x:v>
      </x:c>
      <x:c r="N31" s="115" t="n">
        <x:f aca="0">IF($F31="Unconfirmed","",IFERROR(SUMIF(S15_Source_Strata!$B$4:$B$49,$P31,S15_Source_Strata!$N$4:$N$49),""))</x:f>
        <x:v>12.059696418087736</x:v>
      </x:c>
      <x:c r="O31" s="115" t="n">
        <x:f aca="0">IF($F31="Unconfirmed","",IFERROR(SUMIF(S15_Source_Strata!$B$4:$B$49,$P31,S15_Source_Strata!$X$4:$X$49),""))</x:f>
        <x:v>25.770767265692307</x:v>
      </x:c>
      <x:c r="P31" s="37" t="s">
        <x:v>616</x:v>
      </x:c>
      <x:c r="Q31" s="114" t="str">
        <x:v>Source parcel species counts → normalized 0.09-ha PSP species counts → Chapman-Richards D/H → Chave AGB/tree → PSP AGB/ha; stratum accounting links through S15_Source_Strata.</x:v>
      </x:c>
      <x:c r="R31" s="980" t="n">
        <x:f>'S13_PSP_Species_Support'!DJ29</x:f>
        <x:v>0.09</x:v>
      </x:c>
      <x:c r="S31" s="979" t="n">
        <x:f>'S13_PSP_Species_Support'!DK29</x:f>
        <x:v>41.81908057340583</x:v>
      </x:c>
      <x:c r="T31" s="979" t="n">
        <x:f>'S13_PSP_Species_Support'!DL29</x:f>
        <x:v>40.4847</x:v>
      </x:c>
      <x:c r="U31" s="979" t="n">
        <x:f>'S13_PSP_Species_Support'!DM29</x:f>
        <x:v>1.3343805734058307</x:v>
      </x:c>
    </x:row>
    <x:row r="32" ht="27.75" hidden="0" customHeight="1">
      <x:c r="A32" s="37" t="str">
        <x:v>Tropical &amp; Subtropical Dry Broadleaf Forests</x:v>
      </x:c>
      <x:c r="B32" s="37" t="s">
        <x:v>617</x:v>
      </x:c>
      <x:c r="C32" s="37" t="n">
        <x:v>1517</x:v>
      </x:c>
      <x:c r="D32" s="114" t="s">
        <x:v>582</x:v>
      </x:c>
      <x:c r="E32" s="37" t="s">
        <x:v>553</x:v>
      </x:c>
      <x:c r="F32" s="37" t="n">
        <x:v>2021</x:v>
      </x:c>
      <x:c r="G32" s="37" t="s">
        <x:v>543</x:v>
      </x:c>
      <x:c r="H32" s="100" t="n">
        <x:v>2.288</x:v>
      </x:c>
      <x:c r="I32" s="100" t="n">
        <x:v>629.37</x:v>
      </x:c>
      <x:c r="J32" s="100" t="s">
        <x:v>618</x:v>
      </x:c>
      <x:c r="K32" s="100" t="n">
        <x:v>18.32946</x:v>
      </x:c>
      <x:c r="L32" s="100" t="n">
        <x:v>78.97733</x:v>
      </x:c>
      <x:c r="M32" s="115" t="n">
        <x:f aca="0">IF($F32="Unconfirmed","",IFERROR(INDEX(S14_Growth_Model_ExAnte!$AJ$15:$AJ$81,MATCH($B32,S14_Growth_Model_ExAnte!$A$15:$A$81,0)),""))</x:f>
        <x:v>21.319245392715377</x:v>
      </x:c>
      <x:c r="N32" s="115" t="n">
        <x:f aca="0">IF($F32="Unconfirmed","",IFERROR(SUMIF(S15_Source_Strata!$B$4:$B$49,$P32,S15_Source_Strata!$N$4:$N$49),""))</x:f>
        <x:v>12.059696418087736</x:v>
      </x:c>
      <x:c r="O32" s="115" t="n">
        <x:f aca="0">IF($F32="Unconfirmed","",IFERROR(SUMIF(S15_Source_Strata!$B$4:$B$49,$P32,S15_Source_Strata!$X$4:$X$49),""))</x:f>
        <x:v>25.770767265692307</x:v>
      </x:c>
      <x:c r="P32" s="37" t="s">
        <x:v>616</x:v>
      </x:c>
      <x:c r="Q32" s="114" t="str">
        <x:v>Source parcel species counts → normalized 0.09-ha PSP species counts → Chapman-Richards D/H → Chave AGB/tree → PSP AGB/ha; stratum accounting links through S15_Source_Strata.</x:v>
      </x:c>
      <x:c r="R32" s="980" t="n">
        <x:f>'S13_PSP_Species_Support'!DJ30</x:f>
        <x:v>0.09</x:v>
      </x:c>
      <x:c r="S32" s="979" t="n">
        <x:f>'S13_PSP_Species_Support'!DK30</x:f>
        <x:v>56.643356643356654</x:v>
      </x:c>
      <x:c r="T32" s="979" t="n">
        <x:f>'S13_PSP_Species_Support'!DL30</x:f>
        <x:v>56.643299999999996</x:v>
      </x:c>
      <x:c r="U32" s="979" t="n">
        <x:f>'S13_PSP_Species_Support'!DM30</x:f>
        <x:v>0.00005664335665755971</x:v>
      </x:c>
    </x:row>
    <x:row r="33" ht="27.75" hidden="0" customHeight="1">
      <x:c r="A33" s="37" t="str">
        <x:v>Tropical &amp; Subtropical Moist Broadleaf Forests</x:v>
      </x:c>
      <x:c r="B33" s="37" t="s">
        <x:v>619</x:v>
      </x:c>
      <x:c r="C33" s="37" t="n">
        <x:v>8151</x:v>
      </x:c>
      <x:c r="D33" s="114" t="s">
        <x:v>582</x:v>
      </x:c>
      <x:c r="E33" s="37" t="s">
        <x:v>549</x:v>
      </x:c>
      <x:c r="F33" s="37" t="n">
        <x:v>2022</x:v>
      </x:c>
      <x:c r="G33" s="37" t="s">
        <x:v>543</x:v>
      </x:c>
      <x:c r="H33" s="100" t="n">
        <x:v>1.3742</x:v>
      </x:c>
      <x:c r="I33" s="100" t="n">
        <x:v>207.39</x:v>
      </x:c>
      <x:c r="J33" s="100" t="s">
        <x:v>620</x:v>
      </x:c>
      <x:c r="K33" s="100" t="n">
        <x:v>18.23063</x:v>
      </x:c>
      <x:c r="L33" s="100" t="n">
        <x:v>83.85617</x:v>
      </x:c>
      <x:c r="M33" s="115" t="n">
        <x:f aca="0">IF($F33="Unconfirmed","",IFERROR(INDEX(S14_Growth_Model_ExAnte!$AJ$15:$AJ$81,MATCH($B33,S14_Growth_Model_ExAnte!$A$15:$A$81,0)),""))</x:f>
        <x:v>8.097154077875066</x:v>
      </x:c>
      <x:c r="N33" s="115" t="n">
        <x:f aca="0">IF($F33="Unconfirmed","",IFERROR(SUMIF(S15_Source_Strata!$B$4:$B$49,$P33,S15_Source_Strata!$N$4:$N$49),""))</x:f>
        <x:v>6.919674089030574</x:v>
      </x:c>
      <x:c r="O33" s="115" t="n">
        <x:f aca="0">IF($F33="Unconfirmed","",IFERROR(SUMIF(S15_Source_Strata!$B$4:$B$49,$P33,S15_Source_Strata!$X$4:$X$49),""))</x:f>
        <x:v>14.786882216652412</x:v>
      </x:c>
      <x:c r="P33" s="37" t="s">
        <x:v>621</x:v>
      </x:c>
      <x:c r="Q33" s="114" t="str">
        <x:v>Source parcel species counts → normalized 0.09-ha PSP species counts → Chapman-Richards D/H → Chave AGB/tree → PSP AGB/ha; stratum accounting links through S15_Source_Strata.</x:v>
      </x:c>
      <x:c r="R33" s="980" t="n">
        <x:f>'S13_PSP_Species_Support'!DJ31</x:f>
        <x:v>0.09</x:v>
      </x:c>
      <x:c r="S33" s="979" t="n">
        <x:f>'S13_PSP_Species_Support'!DK31</x:f>
        <x:v>18.665405326735552</x:v>
      </x:c>
      <x:c r="T33" s="979" t="n">
        <x:f>'S13_PSP_Species_Support'!DL31</x:f>
        <x:v>18.6651</x:v>
      </x:c>
      <x:c r="U33" s="979" t="n">
        <x:f>'S13_PSP_Species_Support'!DM31</x:f>
        <x:v>0.0003053267355532796</x:v>
      </x:c>
    </x:row>
    <x:row r="34" ht="27.75" hidden="0" customHeight="1">
      <x:c r="A34" s="37" t="str">
        <x:v>Tropical &amp; Subtropical Moist Broadleaf Forests</x:v>
      </x:c>
      <x:c r="B34" s="37" t="s">
        <x:v>622</x:v>
      </x:c>
      <x:c r="C34" s="37" t="n">
        <x:v>8150</x:v>
      </x:c>
      <x:c r="D34" s="114" t="s">
        <x:v>582</x:v>
      </x:c>
      <x:c r="E34" s="37" t="s">
        <x:v>553</x:v>
      </x:c>
      <x:c r="F34" s="37" t="n">
        <x:v>2023</x:v>
      </x:c>
      <x:c r="G34" s="37" t="s">
        <x:v>543</x:v>
      </x:c>
      <x:c r="H34" s="100" t="n">
        <x:v>0.607</x:v>
      </x:c>
      <x:c r="I34" s="100" t="n">
        <x:v>345.96</x:v>
      </x:c>
      <x:c r="J34" s="100" t="s">
        <x:v>620</x:v>
      </x:c>
      <x:c r="K34" s="100" t="n">
        <x:v>18.22784</x:v>
      </x:c>
      <x:c r="L34" s="100" t="n">
        <x:v>83.86043</x:v>
      </x:c>
      <x:c r="M34" s="115" t="n">
        <x:f aca="0">IF($F34="Unconfirmed","",IFERROR(INDEX(S14_Growth_Model_ExAnte!$AJ$15:$AJ$81,MATCH($B34,S14_Growth_Model_ExAnte!$A$15:$A$81,0)),""))</x:f>
        <x:v>3.795123214501784</x:v>
      </x:c>
      <x:c r="N34" s="115" t="n">
        <x:f aca="0">IF($F34="Unconfirmed","",IFERROR(SUMIF(S15_Source_Strata!$B$4:$B$49,$P34,S15_Source_Strata!$N$4:$N$49),""))</x:f>
        <x:v>9.890607767065589</x:v>
      </x:c>
      <x:c r="O34" s="115" t="n">
        <x:f aca="0">IF($F34="Unconfirmed","",IFERROR(SUMIF(S15_Source_Strata!$B$4:$B$49,$P34,S15_Source_Strata!$X$4:$X$49),""))</x:f>
        <x:v>21.135569424368043</x:v>
      </x:c>
      <x:c r="P34" s="37" t="s">
        <x:v>623</x:v>
      </x:c>
      <x:c r="Q34" s="114" t="str">
        <x:v>Source parcel species counts → normalized 0.09-ha PSP species counts → Chapman-Richards D/H → Chave AGB/tree → PSP AGB/ha; stratum accounting links through S15_Source_Strata.</x:v>
      </x:c>
      <x:c r="R34" s="980" t="n">
        <x:f>'S13_PSP_Species_Support'!DJ32</x:f>
        <x:v>0.09</x:v>
      </x:c>
      <x:c r="S34" s="979" t="n">
        <x:f>'S13_PSP_Species_Support'!DK32</x:f>
        <x:v>31.13673805601318</x:v>
      </x:c>
      <x:c r="T34" s="979" t="n">
        <x:f>'S13_PSP_Species_Support'!DL32</x:f>
        <x:v>31.1364</x:v>
      </x:c>
      <x:c r="U34" s="979" t="n">
        <x:f>'S13_PSP_Species_Support'!DM32</x:f>
        <x:v>0.0003380560131809318</x:v>
      </x:c>
    </x:row>
    <x:row r="35" ht="27.75" hidden="0" customHeight="1">
      <x:c r="A35" s="37" t="str">
        <x:v>Tropical &amp; Subtropical Dry Broadleaf Forests</x:v>
      </x:c>
      <x:c r="B35" s="37" t="s">
        <x:v>624</x:v>
      </x:c>
      <x:c r="C35" s="37" t="n">
        <x:v>8887</x:v>
      </x:c>
      <x:c r="D35" s="114" t="s">
        <x:v>582</x:v>
      </x:c>
      <x:c r="E35" s="37" t="s">
        <x:v>549</x:v>
      </x:c>
      <x:c r="F35" s="37" t="n">
        <x:v>2024</x:v>
      </x:c>
      <x:c r="G35" s="37" t="s">
        <x:v>543</x:v>
      </x:c>
      <x:c r="H35" s="100" t="n">
        <x:v>1.6662</x:v>
      </x:c>
      <x:c r="I35" s="100" t="n">
        <x:v>225.06</x:v>
      </x:c>
      <x:c r="J35" s="100" t="s">
        <x:v>625</x:v>
      </x:c>
      <x:c r="K35" s="100" t="n">
        <x:v>17.18782</x:v>
      </x:c>
      <x:c r="L35" s="100" t="n">
        <x:v>80.66737</x:v>
      </x:c>
      <x:c r="M35" s="115" t="n">
        <x:f aca="0">IF($F35="Unconfirmed","",IFERROR(INDEX(S14_Growth_Model_ExAnte!$AJ$15:$AJ$81,MATCH($B35,S14_Growth_Model_ExAnte!$A$15:$A$81,0)),""))</x:f>
        <x:v>0.6553539580283798</x:v>
      </x:c>
      <x:c r="N35" s="115" t="n">
        <x:f aca="0">IF($F35="Unconfirmed","",IFERROR(SUMIF(S15_Source_Strata!$B$4:$B$49,$P35,S15_Source_Strata!$N$4:$N$49),""))</x:f>
        <x:v>0.8462120774073998</x:v>
      </x:c>
      <x:c r="O35" s="115" t="n">
        <x:f aca="0">IF($F35="Unconfirmed","",IFERROR(SUMIF(S15_Source_Strata!$B$4:$B$49,$P35,S15_Source_Strata!$X$4:$X$49),""))</x:f>
        <x:v>1.808298795281121</x:v>
      </x:c>
      <x:c r="P35" s="37" t="s">
        <x:v>626</x:v>
      </x:c>
      <x:c r="Q35" s="114" t="str">
        <x:v>Source parcel species counts → normalized 0.09-ha PSP species counts → Chapman-Richards D/H → Chave AGB/tree → PSP AGB/ha; stratum accounting links through S15_Source_Strata.</x:v>
      </x:c>
      <x:c r="R35" s="980" t="n">
        <x:f>'S13_PSP_Species_Support'!DJ33</x:f>
        <x:v>0.09</x:v>
      </x:c>
      <x:c r="S35" s="979" t="n">
        <x:f>'S13_PSP_Species_Support'!DK33</x:f>
        <x:v>20.255671588044653</x:v>
      </x:c>
      <x:c r="T35" s="979" t="n">
        <x:f>'S13_PSP_Species_Support'!DL33</x:f>
        <x:v>20.255399999999998</x:v>
      </x:c>
      <x:c r="U35" s="979" t="n">
        <x:f>'S13_PSP_Species_Support'!DM33</x:f>
        <x:v>0.0002715880446544361</x:v>
      </x:c>
    </x:row>
    <x:row r="36" ht="27.75" hidden="0" customHeight="1">
      <x:c r="A36" s="37" t="str">
        <x:v>Tropical &amp; Subtropical Dry Broadleaf Forests</x:v>
      </x:c>
      <x:c r="B36" s="37" t="s">
        <x:v>627</x:v>
      </x:c>
      <x:c r="C36" s="37" t="n">
        <x:v>2810</x:v>
      </x:c>
      <x:c r="D36" s="114" t="s">
        <x:v>628</x:v>
      </x:c>
      <x:c r="E36" s="37" t="s">
        <x:v>542</x:v>
      </x:c>
      <x:c r="F36" s="37" t="n">
        <x:v>2020</x:v>
      </x:c>
      <x:c r="G36" s="37" t="s">
        <x:v>543</x:v>
      </x:c>
      <x:c r="H36" s="100" t="n">
        <x:v>0.4281</x:v>
      </x:c>
      <x:c r="I36" s="100" t="n">
        <x:v>2779.72</x:v>
      </x:c>
      <x:c r="J36" s="100" t="s">
        <x:v>629</x:v>
      </x:c>
      <x:c r="K36" s="100" t="n">
        <x:v>18.00964</x:v>
      </x:c>
      <x:c r="L36" s="100" t="n">
        <x:v>82.66046</x:v>
      </x:c>
      <x:c r="M36" s="115" t="n">
        <x:f aca="0">IF($F36="Unconfirmed","",IFERROR(INDEX(S14_Growth_Model_ExAnte!$AJ$15:$AJ$81,MATCH($B36,S14_Growth_Model_ExAnte!$A$15:$A$81,0)),""))</x:f>
        <x:v>963.0007554701642</x:v>
      </x:c>
      <x:c r="N36" s="115" t="n">
        <x:f aca="0">IF($F36="Unconfirmed","",IFERROR(SUMIF(S15_Source_Strata!$B$4:$B$49,$P36,S15_Source_Strata!$N$4:$N$49),""))</x:f>
        <x:v>655.8617575265778</x:v>
      </x:c>
      <x:c r="O36" s="115" t="n">
        <x:f aca="0">IF($F36="Unconfirmed","",IFERROR(SUMIF(S15_Source_Strata!$B$4:$B$49,$P36,S15_Source_Strata!$X$4:$X$49),""))</x:f>
        <x:v>1401.5328517171295</x:v>
      </x:c>
      <x:c r="P36" s="37" t="s">
        <x:v>630</x:v>
      </x:c>
      <x:c r="Q36" s="114" t="str">
        <x:v>Source parcel species counts → normalized 0.09-ha PSP species counts → Chapman-Richards D/H → Chave AGB/tree → PSP AGB/ha; stratum accounting links through S15_Source_Strata.</x:v>
      </x:c>
      <x:c r="R36" s="980" t="n">
        <x:f>'S13_PSP_Species_Support'!DJ34</x:f>
        <x:v>0.09</x:v>
      </x:c>
      <x:c r="S36" s="979" t="n">
        <x:f>'S13_PSP_Species_Support'!DK34</x:f>
        <x:v>250.1751927119832</x:v>
      </x:c>
      <x:c r="T36" s="979" t="n">
        <x:f>'S13_PSP_Species_Support'!DL34</x:f>
        <x:v>250.17479999999998</x:v>
      </x:c>
      <x:c r="U36" s="979" t="n">
        <x:f>'S13_PSP_Species_Support'!DM34</x:f>
        <x:v>0.0003927119832098924</x:v>
      </x:c>
    </x:row>
    <x:row r="37" ht="27.75" hidden="0" customHeight="1">
      <x:c r="A37" s="37" t="str">
        <x:v>Tropical &amp; Subtropical Moist Broadleaf Forests</x:v>
      </x:c>
      <x:c r="B37" s="37" t="s">
        <x:v>631</x:v>
      </x:c>
      <x:c r="C37" s="37" t="n">
        <x:v>7425</x:v>
      </x:c>
      <x:c r="D37" s="114" t="s">
        <x:v>628</x:v>
      </x:c>
      <x:c r="E37" s="37" t="s">
        <x:v>542</x:v>
      </x:c>
      <x:c r="F37" s="37" t="n">
        <x:v>2020</x:v>
      </x:c>
      <x:c r="G37" s="37" t="s">
        <x:v>543</x:v>
      </x:c>
      <x:c r="H37" s="100" t="n">
        <x:v>0.4444</x:v>
      </x:c>
      <x:c r="I37" s="100" t="n">
        <x:v>5603.06</x:v>
      </x:c>
      <x:c r="J37" s="100" t="s">
        <x:v>632</x:v>
      </x:c>
      <x:c r="K37" s="100" t="n">
        <x:v>16.36405</x:v>
      </x:c>
      <x:c r="L37" s="100" t="n">
        <x:v>81.47762</x:v>
      </x:c>
      <x:c r="M37" s="115" t="n">
        <x:f aca="0">IF($F37="Unconfirmed","",IFERROR(INDEX(S14_Growth_Model_ExAnte!$AJ$15:$AJ$81,MATCH($B37,S14_Growth_Model_ExAnte!$A$15:$A$81,0)),""))</x:f>
        <x:v>785.9639312673766</x:v>
      </x:c>
      <x:c r="N37" s="115" t="n">
        <x:f aca="0">IF($F37="Unconfirmed","",IFERROR(SUMIF(S15_Source_Strata!$B$4:$B$49,$P37,S15_Source_Strata!$N$4:$N$49),""))</x:f>
        <x:v>655.8617575265778</x:v>
      </x:c>
      <x:c r="O37" s="115" t="n">
        <x:f aca="0">IF($F37="Unconfirmed","",IFERROR(SUMIF(S15_Source_Strata!$B$4:$B$49,$P37,S15_Source_Strata!$X$4:$X$49),""))</x:f>
        <x:v>1401.5328517171295</x:v>
      </x:c>
      <x:c r="P37" s="37" t="s">
        <x:v>630</x:v>
      </x:c>
      <x:c r="Q37" s="114" t="str">
        <x:v>Source parcel species counts → normalized 0.09-ha PSP species counts → Chapman-Richards D/H → Chave AGB/tree → PSP AGB/ha; stratum accounting links through S15_Source_Strata.</x:v>
      </x:c>
      <x:c r="R37" s="980" t="n">
        <x:f>'S13_PSP_Species_Support'!DJ35</x:f>
        <x:v>0.09</x:v>
      </x:c>
      <x:c r="S37" s="979" t="n">
        <x:f>'S13_PSP_Species_Support'!DK35</x:f>
        <x:v>513.3888388838884</x:v>
      </x:c>
      <x:c r="T37" s="979" t="n">
        <x:f>'S13_PSP_Species_Support'!DL35</x:f>
        <x:v>504.2754</x:v>
      </x:c>
      <x:c r="U37" s="979" t="n">
        <x:f>'S13_PSP_Species_Support'!DM35</x:f>
        <x:v>9.11343888388842</x:v>
      </x:c>
    </x:row>
    <x:row r="38" ht="27.75" hidden="0" customHeight="1">
      <x:c r="A38" s="37" t="str">
        <x:v>Deserts &amp; Xeric Shrublands</x:v>
      </x:c>
      <x:c r="B38" s="37" t="s">
        <x:v>633</x:v>
      </x:c>
      <x:c r="C38" s="37" t="n">
        <x:v>531</x:v>
      </x:c>
      <x:c r="D38" s="114" t="s">
        <x:v>628</x:v>
      </x:c>
      <x:c r="E38" s="37" t="s">
        <x:v>549</x:v>
      </x:c>
      <x:c r="F38" s="37" t="n">
        <x:v>2020</x:v>
      </x:c>
      <x:c r="G38" s="37" t="s">
        <x:v>543</x:v>
      </x:c>
      <x:c r="H38" s="100" t="n">
        <x:v>1.8785</x:v>
      </x:c>
      <x:c r="I38" s="100" t="n">
        <x:v>139.47</x:v>
      </x:c>
      <x:c r="J38" s="100" t="s">
        <x:v>634</x:v>
      </x:c>
      <x:c r="K38" s="100" t="n">
        <x:v>14.70749</x:v>
      </x:c>
      <x:c r="L38" s="100" t="n">
        <x:v>77.72533</x:v>
      </x:c>
      <x:c r="M38" s="115" t="n">
        <x:f aca="0">IF($F38="Unconfirmed","",IFERROR(INDEX(S14_Growth_Model_ExAnte!$AJ$15:$AJ$81,MATCH($B38,S14_Growth_Model_ExAnte!$A$15:$A$81,0)),""))</x:f>
        <x:v>11.336155831697205</x:v>
      </x:c>
      <x:c r="N38" s="115" t="n">
        <x:f aca="0">IF($F38="Unconfirmed","",IFERROR(SUMIF(S15_Source_Strata!$B$4:$B$49,$P38,S15_Source_Strata!$N$4:$N$49),""))</x:f>
        <x:v>7.452424804670056</x:v>
      </x:c>
      <x:c r="O38" s="115" t="n">
        <x:f aca="0">IF($F38="Unconfirmed","",IFERROR(SUMIF(S15_Source_Strata!$B$4:$B$49,$P38,S15_Source_Strata!$X$4:$X$49),""))</x:f>
        <x:v>15.925334979259612</x:v>
      </x:c>
      <x:c r="P38" s="37" t="s">
        <x:v>635</x:v>
      </x:c>
      <x:c r="Q38" s="114" t="str">
        <x:v>Source parcel species counts → normalized 0.09-ha PSP species counts → Chapman-Richards D/H → Chave AGB/tree → PSP AGB/ha; stratum accounting links through S15_Source_Strata.</x:v>
      </x:c>
      <x:c r="R38" s="980" t="n">
        <x:f>'S13_PSP_Species_Support'!DJ36</x:f>
        <x:v>0.09</x:v>
      </x:c>
      <x:c r="S38" s="979" t="n">
        <x:f>'S13_PSP_Species_Support'!DK36</x:f>
        <x:v>12.552568538727709</x:v>
      </x:c>
      <x:c r="T38" s="979" t="n">
        <x:f>'S13_PSP_Species_Support'!DL36</x:f>
        <x:v>12.552299999999999</x:v>
      </x:c>
      <x:c r="U38" s="979" t="n">
        <x:f>'S13_PSP_Species_Support'!DM36</x:f>
        <x:v>0.00026853872770971066</x:v>
      </x:c>
    </x:row>
    <x:row r="39" ht="27.75" hidden="0" customHeight="1">
      <x:c r="A39" s="37" t="str">
        <x:v>Tropical &amp; Subtropical Dry Broadleaf Forests</x:v>
      </x:c>
      <x:c r="B39" s="37" t="s">
        <x:v>636</x:v>
      </x:c>
      <x:c r="C39" s="37" t="n">
        <x:v>3044</x:v>
      </x:c>
      <x:c r="D39" s="114" t="s">
        <x:v>628</x:v>
      </x:c>
      <x:c r="E39" s="37" t="s">
        <x:v>553</x:v>
      </x:c>
      <x:c r="F39" s="37" t="n">
        <x:v>2020</x:v>
      </x:c>
      <x:c r="G39" s="37" t="s">
        <x:v>543</x:v>
      </x:c>
      <x:c r="H39" s="100" t="n">
        <x:v>1.193</x:v>
      </x:c>
      <x:c r="I39" s="100" t="n">
        <x:v>893.55</x:v>
      </x:c>
      <x:c r="J39" s="100" t="s">
        <x:v>637</x:v>
      </x:c>
      <x:c r="K39" s="100" t="n">
        <x:v>17.98059</x:v>
      </x:c>
      <x:c r="L39" s="100" t="n">
        <x:v>82.69269</x:v>
      </x:c>
      <x:c r="M39" s="115" t="n">
        <x:f aca="0">IF($F39="Unconfirmed","",IFERROR(INDEX(S14_Growth_Model_ExAnte!$AJ$15:$AJ$81,MATCH($B39,S14_Growth_Model_ExAnte!$A$15:$A$81,0)),""))</x:f>
        <x:v>32.315040565160594</x:v>
      </x:c>
      <x:c r="N39" s="115" t="n">
        <x:f aca="0">IF($F39="Unconfirmed","",IFERROR(SUMIF(S15_Source_Strata!$B$4:$B$49,$P39,S15_Source_Strata!$N$4:$N$49),""))</x:f>
        <x:v>42.50793397569459</x:v>
      </x:c>
      <x:c r="O39" s="115" t="n">
        <x:f aca="0">IF($F39="Unconfirmed","",IFERROR(SUMIF(S15_Source_Strata!$B$4:$B$49,$P39,S15_Source_Strata!$X$4:$X$49),""))</x:f>
        <x:v>90.83662104379438</x:v>
      </x:c>
      <x:c r="P39" s="37" t="s">
        <x:v>638</x:v>
      </x:c>
      <x:c r="Q39" s="114" t="str">
        <x:v>Source parcel species counts → normalized 0.09-ha PSP species counts → Chapman-Richards D/H → Chave AGB/tree → PSP AGB/ha; stratum accounting links through S15_Source_Strata.</x:v>
      </x:c>
      <x:c r="R39" s="980" t="n">
        <x:f>'S13_PSP_Species_Support'!DJ37</x:f>
        <x:v>0.09</x:v>
      </x:c>
      <x:c r="S39" s="979" t="n">
        <x:f>'S13_PSP_Species_Support'!DK37</x:f>
        <x:v>80.41911148365466</x:v>
      </x:c>
      <x:c r="T39" s="979" t="n">
        <x:f>'S13_PSP_Species_Support'!DL37</x:f>
        <x:v>80.4195</x:v>
      </x:c>
      <x:c r="U39" s="979" t="n">
        <x:f>'S13_PSP_Species_Support'!DM37</x:f>
        <x:v>-0.00038851634533898505</x:v>
      </x:c>
    </x:row>
    <x:row r="40" ht="27.75" hidden="0" customHeight="1">
      <x:c r="A40" s="37" t="str">
        <x:v>Tropical &amp; Subtropical Dry Broadleaf Forests</x:v>
      </x:c>
      <x:c r="B40" s="37" t="s">
        <x:v>639</x:v>
      </x:c>
      <x:c r="C40" s="37" t="n">
        <x:v>1518</x:v>
      </x:c>
      <x:c r="D40" s="114" t="s">
        <x:v>628</x:v>
      </x:c>
      <x:c r="E40" s="37" t="s">
        <x:v>553</x:v>
      </x:c>
      <x:c r="F40" s="37" t="n">
        <x:v>2021</x:v>
      </x:c>
      <x:c r="G40" s="37" t="s">
        <x:v>543</x:v>
      </x:c>
      <x:c r="H40" s="100" t="n">
        <x:v>0.8151</x:v>
      </x:c>
      <x:c r="I40" s="100" t="n">
        <x:v>1232.98</x:v>
      </x:c>
      <x:c r="J40" s="100" t="s">
        <x:v>640</x:v>
      </x:c>
      <x:c r="K40" s="100" t="n">
        <x:v>18.89443</x:v>
      </x:c>
      <x:c r="L40" s="100" t="n">
        <x:v>79.52872</x:v>
      </x:c>
      <x:c r="M40" s="115" t="n">
        <x:f aca="0">IF($F40="Unconfirmed","",IFERROR(INDEX(S14_Growth_Model_ExAnte!$AJ$15:$AJ$81,MATCH($B40,S14_Growth_Model_ExAnte!$A$15:$A$81,0)),""))</x:f>
        <x:v>56.4108624286688</x:v>
      </x:c>
      <x:c r="N40" s="115" t="n">
        <x:f aca="0">IF($F40="Unconfirmed","",IFERROR(SUMIF(S15_Source_Strata!$B$4:$B$49,$P40,S15_Source_Strata!$N$4:$N$49),""))</x:f>
        <x:v>26.423500445571058</x:v>
      </x:c>
      <x:c r="O40" s="115" t="n">
        <x:f aca="0">IF($F40="Unconfirmed","",IFERROR(SUMIF(S15_Source_Strata!$B$4:$B$49,$P40,S15_Source_Strata!$X$4:$X$49),""))</x:f>
        <x:v>56.46525888548903</x:v>
      </x:c>
      <x:c r="P40" s="37" t="s">
        <x:v>641</x:v>
      </x:c>
      <x:c r="Q40" s="114" t="str">
        <x:v>Source parcel species counts → normalized 0.09-ha PSP species counts → Chapman-Richards D/H → Chave AGB/tree → PSP AGB/ha; stratum accounting links through S15_Source_Strata.</x:v>
      </x:c>
      <x:c r="R40" s="980" t="n">
        <x:f>'S13_PSP_Species_Support'!DJ38</x:f>
        <x:v>0.09</x:v>
      </x:c>
      <x:c r="S40" s="979" t="n">
        <x:f>'S13_PSP_Species_Support'!DK38</x:f>
        <x:v>110.96797938903202</x:v>
      </x:c>
      <x:c r="T40" s="979" t="n">
        <x:f>'S13_PSP_Species_Support'!DL38</x:f>
        <x:v>110.9682</x:v>
      </x:c>
      <x:c r="U40" s="979" t="n">
        <x:f>'S13_PSP_Species_Support'!DM38</x:f>
        <x:v>-0.0002206109679718793</x:v>
      </x:c>
    </x:row>
    <x:row r="41" ht="27.75" hidden="0" customHeight="1">
      <x:c r="A41" s="37" t="str">
        <x:v>Deserts &amp; Xeric Shrublands</x:v>
      </x:c>
      <x:c r="B41" s="37" t="s">
        <x:v>642</x:v>
      </x:c>
      <x:c r="C41" s="37" t="n">
        <x:v>1039</x:v>
      </x:c>
      <x:c r="D41" s="114" t="s">
        <x:v>628</x:v>
      </x:c>
      <x:c r="E41" s="37" t="s">
        <x:v>542</x:v>
      </x:c>
      <x:c r="F41" s="37" t="n">
        <x:v>2022</x:v>
      </x:c>
      <x:c r="G41" s="37" t="s">
        <x:v>543</x:v>
      </x:c>
      <x:c r="H41" s="100" t="n">
        <x:v>0.869</x:v>
      </x:c>
      <x:c r="I41" s="100" t="n">
        <x:v>2071.35</x:v>
      </x:c>
      <x:c r="J41" s="100" t="s">
        <x:v>643</x:v>
      </x:c>
      <x:c r="K41" s="100" t="n">
        <x:v>14.78984</x:v>
      </x:c>
      <x:c r="L41" s="100" t="n">
        <x:v>77.64413</x:v>
      </x:c>
      <x:c r="M41" s="115" t="n">
        <x:f aca="0">IF($F41="Unconfirmed","",IFERROR(INDEX(S14_Growth_Model_ExAnte!$AJ$15:$AJ$81,MATCH($B41,S14_Growth_Model_ExAnte!$A$15:$A$81,0)),""))</x:f>
        <x:v>13.725526639976016</x:v>
      </x:c>
      <x:c r="N41" s="115" t="n">
        <x:f aca="0">IF($F41="Unconfirmed","",IFERROR(SUMIF(S15_Source_Strata!$B$4:$B$49,$P41,S15_Source_Strata!$N$4:$N$49),""))</x:f>
        <x:v>158.82318847355575</x:v>
      </x:c>
      <x:c r="O41" s="115" t="n">
        <x:f aca="0">IF($F41="Unconfirmed","",IFERROR(SUMIF(S15_Source_Strata!$B$4:$B$49,$P41,S15_Source_Strata!$X$4:$X$49),""))</x:f>
        <x:v>339.39456555542404</x:v>
      </x:c>
      <x:c r="P41" s="37" t="s">
        <x:v>644</x:v>
      </x:c>
      <x:c r="Q41" s="114" t="str">
        <x:v>Source parcel species counts → normalized 0.09-ha PSP species counts → Chapman-Richards D/H → Chave AGB/tree → PSP AGB/ha; stratum accounting links through S15_Source_Strata.</x:v>
      </x:c>
      <x:c r="R41" s="980" t="n">
        <x:f>'S13_PSP_Species_Support'!DJ39</x:f>
        <x:v>0.09</x:v>
      </x:c>
      <x:c r="S41" s="979" t="n">
        <x:f>'S13_PSP_Species_Support'!DK39</x:f>
        <x:v>190.04602991944765</x:v>
      </x:c>
      <x:c r="T41" s="979" t="n">
        <x:f>'S13_PSP_Species_Support'!DL39</x:f>
        <x:v>186.42149999999998</x:v>
      </x:c>
      <x:c r="U41" s="979" t="n">
        <x:f>'S13_PSP_Species_Support'!DM39</x:f>
        <x:v>3.6245299194476672</x:v>
      </x:c>
    </x:row>
    <x:row r="42" ht="27.75" hidden="0" customHeight="1">
      <x:c r="A42" s="37" t="str">
        <x:v>Tropical &amp; Subtropical Dry Broadleaf Forests</x:v>
      </x:c>
      <x:c r="B42" s="37" t="s">
        <x:v>645</x:v>
      </x:c>
      <x:c r="C42" s="37" t="n">
        <x:v>1549</x:v>
      </x:c>
      <x:c r="D42" s="114" t="s">
        <x:v>628</x:v>
      </x:c>
      <x:c r="E42" s="37" t="s">
        <x:v>553</x:v>
      </x:c>
      <x:c r="F42" s="37" t="n">
        <x:v>2023</x:v>
      </x:c>
      <x:c r="G42" s="37" t="s">
        <x:v>543</x:v>
      </x:c>
      <x:c r="H42" s="100" t="n">
        <x:v>1.6105</x:v>
      </x:c>
      <x:c r="I42" s="100" t="n">
        <x:v>340.27</x:v>
      </x:c>
      <x:c r="J42" s="100" t="s">
        <x:v>646</x:v>
      </x:c>
      <x:c r="K42" s="100" t="n">
        <x:v>18.90812</x:v>
      </x:c>
      <x:c r="L42" s="100" t="n">
        <x:v>79.52203</x:v>
      </x:c>
      <x:c r="M42" s="115" t="n">
        <x:f aca="0">IF($F42="Unconfirmed","",IFERROR(INDEX(S14_Growth_Model_ExAnte!$AJ$15:$AJ$81,MATCH($B42,S14_Growth_Model_ExAnte!$A$15:$A$81,0)),""))</x:f>
        <x:v>6.280964278325986</x:v>
      </x:c>
      <x:c r="N42" s="115" t="n">
        <x:f aca="0">IF($F42="Unconfirmed","",IFERROR(SUMIF(S15_Source_Strata!$B$4:$B$49,$P42,S15_Source_Strata!$N$4:$N$49),""))</x:f>
        <x:v>5.804577846465022</x:v>
      </x:c>
      <x:c r="O42" s="115" t="n">
        <x:f aca="0">IF($F42="Unconfirmed","",IFERROR(SUMIF(S15_Source_Strata!$B$4:$B$49,$P42,S15_Source_Strata!$X$4:$X$49),""))</x:f>
        <x:v>12.403995886039331</x:v>
      </x:c>
      <x:c r="P42" s="37" t="s">
        <x:v>647</x:v>
      </x:c>
      <x:c r="Q42" s="114" t="str">
        <x:v>Source parcel species counts → normalized 0.09-ha PSP species counts → Chapman-Richards D/H → Chave AGB/tree → PSP AGB/ha; stratum accounting links through S15_Source_Strata.</x:v>
      </x:c>
      <x:c r="R42" s="980" t="n">
        <x:f>'S13_PSP_Species_Support'!DJ40</x:f>
        <x:v>0.09</x:v>
      </x:c>
      <x:c r="S42" s="979" t="n">
        <x:f>'S13_PSP_Species_Support'!DK40</x:f>
        <x:v>41.91244954982924</x:v>
      </x:c>
      <x:c r="T42" s="979" t="n">
        <x:f>'S13_PSP_Species_Support'!DL40</x:f>
        <x:v>30.624299999999998</x:v>
      </x:c>
      <x:c r="U42" s="979" t="n">
        <x:f>'S13_PSP_Species_Support'!DM40</x:f>
        <x:v>11.288149549829242</x:v>
      </x:c>
    </x:row>
    <x:row r="43" ht="27.75" hidden="0" customHeight="1">
      <x:c r="A43" s="37" t="str">
        <x:v>Tropical &amp; Subtropical Dry Broadleaf Forests</x:v>
      </x:c>
      <x:c r="B43" s="37" t="s">
        <x:v>648</x:v>
      </x:c>
      <x:c r="C43" s="37" t="n">
        <x:v>9284</x:v>
      </x:c>
      <x:c r="D43" s="114" t="s">
        <x:v>628</x:v>
      </x:c>
      <x:c r="E43" s="37" t="s">
        <x:v>549</x:v>
      </x:c>
      <x:c r="F43" s="37" t="n">
        <x:v>2024</x:v>
      </x:c>
      <x:c r="G43" s="37" t="s">
        <x:v>543</x:v>
      </x:c>
      <x:c r="H43" s="100" t="n">
        <x:v>0.646</x:v>
      </x:c>
      <x:c r="I43" s="100" t="n">
        <x:v>170.28</x:v>
      </x:c>
      <x:c r="J43" s="100" t="s">
        <x:v>649</x:v>
      </x:c>
      <x:c r="K43" s="100" t="n">
        <x:v>18.17343</x:v>
      </x:c>
      <x:c r="L43" s="100" t="n">
        <x:v>82.91185</x:v>
      </x:c>
      <x:c r="M43" s="115" t="n">
        <x:f aca="0">IF($F43="Unconfirmed","",IFERROR(INDEX(S14_Growth_Model_ExAnte!$AJ$15:$AJ$81,MATCH($B43,S14_Growth_Model_ExAnte!$A$15:$A$81,0)),""))</x:f>
        <x:v>0.3124628051096665</x:v>
      </x:c>
      <x:c r="N43" s="115" t="n">
        <x:f aca="0">IF($F43="Unconfirmed","",IFERROR(SUMIF(S15_Source_Strata!$B$4:$B$49,$P43,S15_Source_Strata!$N$4:$N$49),""))</x:f>
        <x:v>0.26195833769411936</x:v>
      </x:c>
      <x:c r="O43" s="115" t="n">
        <x:f aca="0">IF($F43="Unconfirmed","",IFERROR(SUMIF(S15_Source_Strata!$B$4:$B$49,$P43,S15_Source_Strata!$X$4:$X$49),""))</x:f>
        <x:v>0.559787503763154</x:v>
      </x:c>
      <x:c r="P43" s="37" t="s">
        <x:v>650</x:v>
      </x:c>
      <x:c r="Q43" s="114" t="str">
        <x:v>Source parcel species counts → normalized 0.09-ha PSP species counts → Chapman-Richards D/H → Chave AGB/tree → PSP AGB/ha; stratum accounting links through S15_Source_Strata.</x:v>
      </x:c>
      <x:c r="R43" s="980" t="n">
        <x:f>'S13_PSP_Species_Support'!DJ41</x:f>
        <x:v>0.09</x:v>
      </x:c>
      <x:c r="S43" s="979" t="n">
        <x:f>'S13_PSP_Species_Support'!DK41</x:f>
        <x:v>15.325077399380802</x:v>
      </x:c>
      <x:c r="T43" s="979" t="n">
        <x:f>'S13_PSP_Species_Support'!DL41</x:f>
        <x:v>15.325199999999999</x:v>
      </x:c>
      <x:c r="U43" s="979" t="n">
        <x:f>'S13_PSP_Species_Support'!DM41</x:f>
        <x:v>-0.00012260061919633358</x:v>
      </x:c>
    </x:row>
    <x:row r="44" ht="27.75" hidden="0" customHeight="1">
      <x:c r="A44" s="37" t="str">
        <x:v>Tropical &amp; Subtropical Dry Broadleaf Forests</x:v>
      </x:c>
      <x:c r="B44" s="37" t="s">
        <x:v>651</x:v>
      </x:c>
      <x:c r="C44" s="37" t="n">
        <x:v>1748</x:v>
      </x:c>
      <x:c r="D44" s="114" t="s">
        <x:v>652</x:v>
      </x:c>
      <x:c r="E44" s="37" t="s">
        <x:v>542</x:v>
      </x:c>
      <x:c r="F44" s="37" t="n">
        <x:v>2020</x:v>
      </x:c>
      <x:c r="G44" s="37" t="s">
        <x:v>543</x:v>
      </x:c>
      <x:c r="H44" s="100" t="n">
        <x:v>0.368</x:v>
      </x:c>
      <x:c r="I44" s="100" t="n">
        <x:v>2785.33</x:v>
      </x:c>
      <x:c r="J44" s="100" t="s">
        <x:v>653</x:v>
      </x:c>
      <x:c r="K44" s="100" t="n">
        <x:v>17.87017</x:v>
      </x:c>
      <x:c r="L44" s="100" t="n">
        <x:v>82.36266</x:v>
      </x:c>
      <x:c r="M44" s="115" t="n">
        <x:f aca="0">IF($F44="Unconfirmed","",IFERROR(INDEX(S14_Growth_Model_ExAnte!$AJ$15:$AJ$81,MATCH($B44,S14_Growth_Model_ExAnte!$A$15:$A$81,0)),""))</x:f>
        <x:v>1137.3423528284031</x:v>
      </x:c>
      <x:c r="N44" s="115" t="n">
        <x:f aca="0">IF($F44="Unconfirmed","",IFERROR(SUMIF(S15_Source_Strata!$B$4:$B$49,$P44,S15_Source_Strata!$N$4:$N$49),""))</x:f>
        <x:v>770.2653396727304</x:v>
      </x:c>
      <x:c r="O44" s="115" t="n">
        <x:f aca="0">IF($F44="Unconfirmed","",IFERROR(SUMIF(S15_Source_Strata!$B$4:$B$49,$P44,S15_Source_Strata!$X$4:$X$49),""))</x:f>
        <x:v>1646.0056798579817</x:v>
      </x:c>
      <x:c r="P44" s="37" t="s">
        <x:v>654</x:v>
      </x:c>
      <x:c r="Q44" s="114" t="str">
        <x:v>Source parcel species counts → normalized 0.09-ha PSP species counts → Chapman-Richards D/H → Chave AGB/tree → PSP AGB/ha; stratum accounting links through S15_Source_Strata.</x:v>
      </x:c>
      <x:c r="R44" s="980" t="n">
        <x:f>'S13_PSP_Species_Support'!DJ42</x:f>
        <x:v>0.09</x:v>
      </x:c>
      <x:c r="S44" s="979" t="n">
        <x:f>'S13_PSP_Species_Support'!DK42</x:f>
        <x:v>250.67934782608694</x:v>
      </x:c>
      <x:c r="T44" s="979" t="n">
        <x:f>'S13_PSP_Species_Support'!DL42</x:f>
        <x:v>250.6797</x:v>
      </x:c>
      <x:c r="U44" s="979" t="n">
        <x:f>'S13_PSP_Species_Support'!DM42</x:f>
        <x:v>-0.0003521739130576407</x:v>
      </x:c>
    </x:row>
    <x:row r="45" ht="27.75" hidden="0" customHeight="1">
      <x:c r="A45" s="37" t="str">
        <x:v>Tropical &amp; Subtropical Dry Broadleaf Forests</x:v>
      </x:c>
      <x:c r="B45" s="37" t="s">
        <x:v>655</x:v>
      </x:c>
      <x:c r="C45" s="37" t="n">
        <x:v>7210</x:v>
      </x:c>
      <x:c r="D45" s="114" t="s">
        <x:v>652</x:v>
      </x:c>
      <x:c r="E45" s="37" t="s">
        <x:v>542</x:v>
      </x:c>
      <x:c r="F45" s="37" t="n">
        <x:v>2020</x:v>
      </x:c>
      <x:c r="G45" s="37" t="s">
        <x:v>543</x:v>
      </x:c>
      <x:c r="H45" s="100" t="n">
        <x:v>0.6444</x:v>
      </x:c>
      <x:c r="I45" s="100" t="n">
        <x:v>2172.56</x:v>
      </x:c>
      <x:c r="J45" s="100" t="s">
        <x:v>656</x:v>
      </x:c>
      <x:c r="K45" s="100" t="n">
        <x:v>17.34609</x:v>
      </x:c>
      <x:c r="L45" s="100" t="n">
        <x:v>80.34874</x:v>
      </x:c>
      <x:c r="M45" s="115" t="n">
        <x:f aca="0">IF($F45="Unconfirmed","",IFERROR(INDEX(S14_Growth_Model_ExAnte!$AJ$15:$AJ$81,MATCH($B45,S14_Growth_Model_ExAnte!$A$15:$A$81,0)),""))</x:f>
        <x:v>28.271183104061542</x:v>
      </x:c>
      <x:c r="N45" s="115" t="n">
        <x:f aca="0">IF($F45="Unconfirmed","",IFERROR(SUMIF(S15_Source_Strata!$B$4:$B$49,$P45,S15_Source_Strata!$N$4:$N$49),""))</x:f>
        <x:v>770.2653396727304</x:v>
      </x:c>
      <x:c r="O45" s="115" t="n">
        <x:f aca="0">IF($F45="Unconfirmed","",IFERROR(SUMIF(S15_Source_Strata!$B$4:$B$49,$P45,S15_Source_Strata!$X$4:$X$49),""))</x:f>
        <x:v>1646.0056798579817</x:v>
      </x:c>
      <x:c r="P45" s="37" t="s">
        <x:v>654</x:v>
      </x:c>
      <x:c r="Q45" s="114" t="str">
        <x:v>Source parcel species counts → normalized 0.09-ha PSP species counts → Chapman-Richards D/H → Chave AGB/tree → PSP AGB/ha; stratum accounting links through S15_Source_Strata.</x:v>
      </x:c>
      <x:c r="R45" s="980" t="n">
        <x:f>'S13_PSP_Species_Support'!DJ43</x:f>
        <x:v>0.09</x:v>
      </x:c>
      <x:c r="S45" s="979" t="n">
        <x:f>'S13_PSP_Species_Support'!DK43</x:f>
        <x:v>195.53072625698326</x:v>
      </x:c>
      <x:c r="T45" s="979" t="n">
        <x:f>'S13_PSP_Species_Support'!DL43</x:f>
        <x:v>195.5304</x:v>
      </x:c>
      <x:c r="U45" s="979" t="n">
        <x:f>'S13_PSP_Species_Support'!DM43</x:f>
        <x:v>0.000326256983271378</x:v>
      </x:c>
    </x:row>
    <x:row r="46" ht="27.75" hidden="0" customHeight="1">
      <x:c r="A46" s="37" t="str">
        <x:v>Tropical &amp; Subtropical Dry Broadleaf Forests</x:v>
      </x:c>
      <x:c r="B46" s="37" t="s">
        <x:v>657</x:v>
      </x:c>
      <x:c r="C46" s="37" t="n">
        <x:v>12140</x:v>
      </x:c>
      <x:c r="D46" s="114" t="s">
        <x:v>652</x:v>
      </x:c>
      <x:c r="E46" s="37" t="s">
        <x:v>542</x:v>
      </x:c>
      <x:c r="F46" s="37" t="n">
        <x:v>2020</x:v>
      </x:c>
      <x:c r="G46" s="37" t="s">
        <x:v>543</x:v>
      </x:c>
      <x:c r="H46" s="100" t="n">
        <x:v>1.2846</x:v>
      </x:c>
      <x:c r="I46" s="100" t="n">
        <x:v>2671.65</x:v>
      </x:c>
      <x:c r="J46" s="100" t="s">
        <x:v>658</x:v>
      </x:c>
      <x:c r="K46" s="100" t="n">
        <x:v>17.77334</x:v>
      </x:c>
      <x:c r="L46" s="100" t="n">
        <x:v>80.67402</x:v>
      </x:c>
      <x:c r="M46" s="115" t="n">
        <x:f aca="0">IF($F46="Unconfirmed","",IFERROR(INDEX(S14_Growth_Model_ExAnte!$AJ$15:$AJ$81,MATCH($B46,S14_Growth_Model_ExAnte!$A$15:$A$81,0)),""))</x:f>
        <x:v>1086.9411058029489</x:v>
      </x:c>
      <x:c r="N46" s="115" t="n">
        <x:f aca="0">IF($F46="Unconfirmed","",IFERROR(SUMIF(S15_Source_Strata!$B$4:$B$49,$P46,S15_Source_Strata!$N$4:$N$49),""))</x:f>
        <x:v>770.2653396727304</x:v>
      </x:c>
      <x:c r="O46" s="115" t="n">
        <x:f aca="0">IF($F46="Unconfirmed","",IFERROR(SUMIF(S15_Source_Strata!$B$4:$B$49,$P46,S15_Source_Strata!$X$4:$X$49),""))</x:f>
        <x:v>1646.0056798579817</x:v>
      </x:c>
      <x:c r="P46" s="37" t="s">
        <x:v>654</x:v>
      </x:c>
      <x:c r="Q46" s="114" t="str">
        <x:v>Source parcel species counts → normalized 0.09-ha PSP species counts → Chapman-Richards D/H → Chave AGB/tree → PSP AGB/ha; stratum accounting links through S15_Source_Strata.</x:v>
      </x:c>
      <x:c r="R46" s="980" t="n">
        <x:f>'S13_PSP_Species_Support'!DJ44</x:f>
        <x:v>0.09</x:v>
      </x:c>
      <x:c r="S46" s="979" t="n">
        <x:f>'S13_PSP_Species_Support'!DK44</x:f>
        <x:v>240.44838860345632</x:v>
      </x:c>
      <x:c r="T46" s="979" t="n">
        <x:f>'S13_PSP_Species_Support'!DL44</x:f>
        <x:v>240.4485</x:v>
      </x:c>
      <x:c r="U46" s="979" t="n">
        <x:f>'S13_PSP_Species_Support'!DM44</x:f>
        <x:v>-0.00011139654367298135</x:v>
      </x:c>
    </x:row>
    <x:row r="47" ht="27.75" hidden="0" customHeight="1">
      <x:c r="A47" s="37" t="str">
        <x:v>Tropical &amp; Subtropical Dry Broadleaf Forests</x:v>
      </x:c>
      <x:c r="B47" s="37" t="s">
        <x:v>659</x:v>
      </x:c>
      <x:c r="C47" s="37" t="n">
        <x:v>4313</x:v>
      </x:c>
      <x:c r="D47" s="114" t="s">
        <x:v>652</x:v>
      </x:c>
      <x:c r="E47" s="37" t="s">
        <x:v>542</x:v>
      </x:c>
      <x:c r="F47" s="37" t="n">
        <x:v>2020</x:v>
      </x:c>
      <x:c r="G47" s="37" t="s">
        <x:v>543</x:v>
      </x:c>
      <x:c r="H47" s="100" t="n">
        <x:v>0.3445</x:v>
      </x:c>
      <x:c r="I47" s="100" t="n">
        <x:v>5224.96</x:v>
      </x:c>
      <x:c r="J47" s="100" t="s">
        <x:v>660</x:v>
      </x:c>
      <x:c r="K47" s="100" t="n">
        <x:v>18.314</x:v>
      </x:c>
      <x:c r="L47" s="100" t="n">
        <x:v>83.03036</x:v>
      </x:c>
      <x:c r="M47" s="115" t="n">
        <x:f aca="0">IF($F47="Unconfirmed","",IFERROR(INDEX(S14_Growth_Model_ExAnte!$AJ$15:$AJ$81,MATCH($B47,S14_Growth_Model_ExAnte!$A$15:$A$81,0)),""))</x:f>
        <x:v>2168.421737306732</x:v>
      </x:c>
      <x:c r="N47" s="115" t="n">
        <x:f aca="0">IF($F47="Unconfirmed","",IFERROR(SUMIF(S15_Source_Strata!$B$4:$B$49,$P47,S15_Source_Strata!$N$4:$N$49),""))</x:f>
        <x:v>770.2653396727304</x:v>
      </x:c>
      <x:c r="O47" s="115" t="n">
        <x:f aca="0">IF($F47="Unconfirmed","",IFERROR(SUMIF(S15_Source_Strata!$B$4:$B$49,$P47,S15_Source_Strata!$X$4:$X$49),""))</x:f>
        <x:v>1646.0056798579817</x:v>
      </x:c>
      <x:c r="P47" s="37" t="s">
        <x:v>654</x:v>
      </x:c>
      <x:c r="Q47" s="114" t="str">
        <x:v>Source parcel species counts → normalized 0.09-ha PSP species counts → Chapman-Richards D/H → Chave AGB/tree → PSP AGB/ha; stratum accounting links through S15_Source_Strata.</x:v>
      </x:c>
      <x:c r="R47" s="980" t="n">
        <x:f>'S13_PSP_Species_Support'!DJ45</x:f>
        <x:v>0.09</x:v>
      </x:c>
      <x:c r="S47" s="979" t="n">
        <x:f>'S13_PSP_Species_Support'!DK45</x:f>
        <x:v>470.2467343976778</x:v>
      </x:c>
      <x:c r="T47" s="979" t="n">
        <x:f>'S13_PSP_Species_Support'!DL45</x:f>
        <x:v>470.2464</x:v>
      </x:c>
      <x:c r="U47" s="979" t="n">
        <x:f>'S13_PSP_Species_Support'!DM45</x:f>
        <x:v>0.0003343976778182878</x:v>
      </x:c>
    </x:row>
    <x:row r="48" ht="27.75" hidden="0" customHeight="1">
      <x:c r="A48" s="37" t="str">
        <x:v>Tropical &amp; Subtropical Dry Broadleaf Forests</x:v>
      </x:c>
      <x:c r="B48" s="37" t="s">
        <x:v>661</x:v>
      </x:c>
      <x:c r="C48" s="37" t="n">
        <x:v>2231</x:v>
      </x:c>
      <x:c r="D48" s="114" t="s">
        <x:v>652</x:v>
      </x:c>
      <x:c r="E48" s="37" t="s">
        <x:v>542</x:v>
      </x:c>
      <x:c r="F48" s="37" t="n">
        <x:v>2020</x:v>
      </x:c>
      <x:c r="G48" s="37" t="s">
        <x:v>543</x:v>
      </x:c>
      <x:c r="H48" s="100" t="n">
        <x:v>0.2411</x:v>
      </x:c>
      <x:c r="I48" s="100" t="n">
        <x:v>2073.83</x:v>
      </x:c>
      <x:c r="J48" s="100" t="s">
        <x:v>660</x:v>
      </x:c>
      <x:c r="K48" s="100" t="n">
        <x:v>18.35654</x:v>
      </x:c>
      <x:c r="L48" s="100" t="n">
        <x:v>82.50412</x:v>
      </x:c>
      <x:c r="M48" s="115" t="n">
        <x:f aca="0">IF($F48="Unconfirmed","",IFERROR(INDEX(S14_Growth_Model_ExAnte!$AJ$15:$AJ$81,MATCH($B48,S14_Growth_Model_ExAnte!$A$15:$A$81,0)),""))</x:f>
        <x:v>860.6632661668383</x:v>
      </x:c>
      <x:c r="N48" s="115" t="n">
        <x:f aca="0">IF($F48="Unconfirmed","",IFERROR(SUMIF(S15_Source_Strata!$B$4:$B$49,$P48,S15_Source_Strata!$N$4:$N$49),""))</x:f>
        <x:v>770.2653396727304</x:v>
      </x:c>
      <x:c r="O48" s="115" t="n">
        <x:f aca="0">IF($F48="Unconfirmed","",IFERROR(SUMIF(S15_Source_Strata!$B$4:$B$49,$P48,S15_Source_Strata!$X$4:$X$49),""))</x:f>
        <x:v>1646.0056798579817</x:v>
      </x:c>
      <x:c r="P48" s="37" t="s">
        <x:v>654</x:v>
      </x:c>
      <x:c r="Q48" s="114" t="str">
        <x:v>Source parcel species counts → normalized 0.09-ha PSP species counts → Chapman-Richards D/H → Chave AGB/tree → PSP AGB/ha; stratum accounting links through S15_Source_Strata.</x:v>
      </x:c>
      <x:c r="R48" s="980" t="n">
        <x:f>'S13_PSP_Species_Support'!DJ46</x:f>
        <x:v>0.09</x:v>
      </x:c>
      <x:c r="S48" s="979" t="n">
        <x:f>'S13_PSP_Species_Support'!DK46</x:f>
        <x:v>186.64454583160514</x:v>
      </x:c>
      <x:c r="T48" s="979" t="n">
        <x:f>'S13_PSP_Species_Support'!DL46</x:f>
        <x:v>186.6447</x:v>
      </x:c>
      <x:c r="U48" s="979" t="n">
        <x:f>'S13_PSP_Species_Support'!DM46</x:f>
        <x:v>-0.0001541683948573791</x:v>
      </x:c>
    </x:row>
    <x:row r="49" ht="27.75" hidden="0" customHeight="1">
      <x:c r="A49" s="37" t="str">
        <x:v>Tropical &amp; Subtropical Dry Broadleaf Forests</x:v>
      </x:c>
      <x:c r="B49" s="37" t="s">
        <x:v>662</x:v>
      </x:c>
      <x:c r="C49" s="37" t="n">
        <x:v>4921</x:v>
      </x:c>
      <x:c r="D49" s="114" t="s">
        <x:v>652</x:v>
      </x:c>
      <x:c r="E49" s="37" t="s">
        <x:v>542</x:v>
      </x:c>
      <x:c r="F49" s="37" t="n">
        <x:v>2020</x:v>
      </x:c>
      <x:c r="G49" s="37" t="s">
        <x:v>543</x:v>
      </x:c>
      <x:c r="H49" s="100" t="n">
        <x:v>0.123</x:v>
      </x:c>
      <x:c r="I49" s="100" t="n">
        <x:v>2439.02</x:v>
      </x:c>
      <x:c r="J49" s="100" t="s">
        <x:v>660</x:v>
      </x:c>
      <x:c r="K49" s="100" t="n">
        <x:v>17.8682</x:v>
      </x:c>
      <x:c r="L49" s="100" t="n">
        <x:v>83.07388</x:v>
      </x:c>
      <x:c r="M49" s="115" t="n">
        <x:f aca="0">IF($F49="Unconfirmed","",IFERROR(INDEX(S14_Growth_Model_ExAnte!$AJ$15:$AJ$81,MATCH($B49,S14_Growth_Model_ExAnte!$A$15:$A$81,0)),""))</x:f>
        <x:v>1012.2239681601206</x:v>
      </x:c>
      <x:c r="N49" s="115" t="n">
        <x:f aca="0">IF($F49="Unconfirmed","",IFERROR(SUMIF(S15_Source_Strata!$B$4:$B$49,$P49,S15_Source_Strata!$N$4:$N$49),""))</x:f>
        <x:v>770.2653396727304</x:v>
      </x:c>
      <x:c r="O49" s="115" t="n">
        <x:f aca="0">IF($F49="Unconfirmed","",IFERROR(SUMIF(S15_Source_Strata!$B$4:$B$49,$P49,S15_Source_Strata!$X$4:$X$49),""))</x:f>
        <x:v>1646.0056798579817</x:v>
      </x:c>
      <x:c r="P49" s="37" t="s">
        <x:v>654</x:v>
      </x:c>
      <x:c r="Q49" s="114" t="str">
        <x:v>Source parcel species counts → normalized 0.09-ha PSP species counts → Chapman-Richards D/H → Chave AGB/tree → PSP AGB/ha; stratum accounting links through S15_Source_Strata.</x:v>
      </x:c>
      <x:c r="R49" s="980" t="n">
        <x:f>'S13_PSP_Species_Support'!DJ47</x:f>
        <x:v>0.09</x:v>
      </x:c>
      <x:c r="S49" s="979" t="n">
        <x:f>'S13_PSP_Species_Support'!DK47</x:f>
        <x:v>219.51219512195124</x:v>
      </x:c>
      <x:c r="T49" s="979" t="n">
        <x:f>'S13_PSP_Species_Support'!DL47</x:f>
        <x:v>219.5118</x:v>
      </x:c>
      <x:c r="U49" s="979" t="n">
        <x:f>'S13_PSP_Species_Support'!DM47</x:f>
        <x:v>0.00039512195124302707</x:v>
      </x:c>
    </x:row>
    <x:row r="50" ht="27.75" hidden="0" customHeight="1">
      <x:c r="A50" s="37" t="str">
        <x:v>Tropical &amp; Subtropical Dry Broadleaf Forests</x:v>
      </x:c>
      <x:c r="B50" s="37" t="s">
        <x:v>663</x:v>
      </x:c>
      <x:c r="C50" s="37" t="n">
        <x:v>5421</x:v>
      </x:c>
      <x:c r="D50" s="114" t="s">
        <x:v>652</x:v>
      </x:c>
      <x:c r="E50" s="37" t="s">
        <x:v>542</x:v>
      </x:c>
      <x:c r="F50" s="37" t="n">
        <x:v>2020</x:v>
      </x:c>
      <x:c r="G50" s="37" t="s">
        <x:v>543</x:v>
      </x:c>
      <x:c r="H50" s="100" t="n">
        <x:v>0.4483</x:v>
      </x:c>
      <x:c r="I50" s="100" t="n">
        <x:v>2239.57</x:v>
      </x:c>
      <x:c r="J50" s="100" t="s">
        <x:v>660</x:v>
      </x:c>
      <x:c r="K50" s="100" t="n">
        <x:v>18.05729</x:v>
      </x:c>
      <x:c r="L50" s="100" t="n">
        <x:v>82.73344</x:v>
      </x:c>
      <x:c r="M50" s="115" t="n">
        <x:f aca="0">IF($F50="Unconfirmed","",IFERROR(INDEX(S14_Growth_Model_ExAnte!$AJ$15:$AJ$81,MATCH($B50,S14_Growth_Model_ExAnte!$A$15:$A$81,0)),""))</x:f>
        <x:v>929.4487491711626</x:v>
      </x:c>
      <x:c r="N50" s="115" t="n">
        <x:f aca="0">IF($F50="Unconfirmed","",IFERROR(SUMIF(S15_Source_Strata!$B$4:$B$49,$P50,S15_Source_Strata!$N$4:$N$49),""))</x:f>
        <x:v>770.2653396727304</x:v>
      </x:c>
      <x:c r="O50" s="115" t="n">
        <x:f aca="0">IF($F50="Unconfirmed","",IFERROR(SUMIF(S15_Source_Strata!$B$4:$B$49,$P50,S15_Source_Strata!$X$4:$X$49),""))</x:f>
        <x:v>1646.0056798579817</x:v>
      </x:c>
      <x:c r="P50" s="37" t="s">
        <x:v>654</x:v>
      </x:c>
      <x:c r="Q50" s="114" t="str">
        <x:v>Source parcel species counts → normalized 0.09-ha PSP species counts → Chapman-Richards D/H → Chave AGB/tree → PSP AGB/ha; stratum accounting links through S15_Source_Strata.</x:v>
      </x:c>
      <x:c r="R50" s="980" t="n">
        <x:f>'S13_PSP_Species_Support'!DJ48</x:f>
        <x:v>0.09</x:v>
      </x:c>
      <x:c r="S50" s="979" t="n">
        <x:f>'S13_PSP_Species_Support'!DK48</x:f>
        <x:v>201.56145438322554</x:v>
      </x:c>
      <x:c r="T50" s="979" t="n">
        <x:f>'S13_PSP_Species_Support'!DL48</x:f>
        <x:v>201.56130000000002</x:v>
      </x:c>
      <x:c r="U50" s="979" t="n">
        <x:f>'S13_PSP_Species_Support'!DM48</x:f>
        <x:v>0.00015438322552085992</x:v>
      </x:c>
    </x:row>
    <x:row r="51" ht="27.75" hidden="0" customHeight="1">
      <x:c r="A51" s="37" t="str">
        <x:v>Tropical &amp; Subtropical Dry Broadleaf Forests</x:v>
      </x:c>
      <x:c r="B51" s="37" t="s">
        <x:v>664</x:v>
      </x:c>
      <x:c r="C51" s="37" t="n">
        <x:v>3390</x:v>
      </x:c>
      <x:c r="D51" s="114" t="s">
        <x:v>652</x:v>
      </x:c>
      <x:c r="E51" s="37" t="s">
        <x:v>542</x:v>
      </x:c>
      <x:c r="F51" s="37" t="n">
        <x:v>2020</x:v>
      </x:c>
      <x:c r="G51" s="37" t="s">
        <x:v>543</x:v>
      </x:c>
      <x:c r="H51" s="100" t="n">
        <x:v>0.5852</x:v>
      </x:c>
      <x:c r="I51" s="100" t="n">
        <x:v>2392.34</x:v>
      </x:c>
      <x:c r="J51" s="100" t="s">
        <x:v>660</x:v>
      </x:c>
      <x:c r="K51" s="100" t="n">
        <x:v>18.4922</x:v>
      </x:c>
      <x:c r="L51" s="100" t="n">
        <x:v>83.33691</x:v>
      </x:c>
      <x:c r="M51" s="115" t="n">
        <x:f aca="0">IF($F51="Unconfirmed","",IFERROR(INDEX(S14_Growth_Model_ExAnte!$AJ$15:$AJ$81,MATCH($B51,S14_Growth_Model_ExAnte!$A$15:$A$81,0)),""))</x:f>
        <x:v>992.8512606355249</x:v>
      </x:c>
      <x:c r="N51" s="115" t="n">
        <x:f aca="0">IF($F51="Unconfirmed","",IFERROR(SUMIF(S15_Source_Strata!$B$4:$B$49,$P51,S15_Source_Strata!$N$4:$N$49),""))</x:f>
        <x:v>770.2653396727304</x:v>
      </x:c>
      <x:c r="O51" s="115" t="n">
        <x:f aca="0">IF($F51="Unconfirmed","",IFERROR(SUMIF(S15_Source_Strata!$B$4:$B$49,$P51,S15_Source_Strata!$X$4:$X$49),""))</x:f>
        <x:v>1646.0056798579817</x:v>
      </x:c>
      <x:c r="P51" s="37" t="s">
        <x:v>654</x:v>
      </x:c>
      <x:c r="Q51" s="114" t="str">
        <x:v>Source parcel species counts → normalized 0.09-ha PSP species counts → Chapman-Richards D/H → Chave AGB/tree → PSP AGB/ha; stratum accounting links through S15_Source_Strata.</x:v>
      </x:c>
      <x:c r="R51" s="980" t="n">
        <x:f>'S13_PSP_Species_Support'!DJ49</x:f>
        <x:v>0.09</x:v>
      </x:c>
      <x:c r="S51" s="979" t="n">
        <x:f>'S13_PSP_Species_Support'!DK49</x:f>
        <x:v>215.31100478468898</x:v>
      </x:c>
      <x:c r="T51" s="979" t="n">
        <x:f>'S13_PSP_Species_Support'!DL49</x:f>
        <x:v>215.3106</x:v>
      </x:c>
      <x:c r="U51" s="979" t="n">
        <x:f>'S13_PSP_Species_Support'!DM49</x:f>
        <x:v>0.00040478468898186293</x:v>
      </x:c>
    </x:row>
    <x:row r="52" ht="27.75" hidden="0" customHeight="1">
      <x:c r="A52" s="37" t="str">
        <x:v>Tropical &amp; Subtropical Dry Broadleaf Forests</x:v>
      </x:c>
      <x:c r="B52" s="37" t="s">
        <x:v>665</x:v>
      </x:c>
      <x:c r="C52" s="37" t="n">
        <x:v>2184</x:v>
      </x:c>
      <x:c r="D52" s="114" t="s">
        <x:v>652</x:v>
      </x:c>
      <x:c r="E52" s="37" t="s">
        <x:v>549</x:v>
      </x:c>
      <x:c r="F52" s="37" t="n">
        <x:v>2020</x:v>
      </x:c>
      <x:c r="G52" s="37" t="s">
        <x:v>543</x:v>
      </x:c>
      <x:c r="H52" s="100" t="n">
        <x:v>1.4569</x:v>
      </x:c>
      <x:c r="I52" s="100" t="n">
        <x:v>343.19</x:v>
      </x:c>
      <x:c r="J52" s="100" t="s">
        <x:v>653</x:v>
      </x:c>
      <x:c r="K52" s="100" t="n">
        <x:v>17.90028</x:v>
      </x:c>
      <x:c r="L52" s="100" t="n">
        <x:v>82.42964</x:v>
      </x:c>
      <x:c r="M52" s="115" t="n">
        <x:f aca="0">IF($F52="Unconfirmed","",IFERROR(INDEX(S14_Growth_Model_ExAnte!$AJ$15:$AJ$81,MATCH($B52,S14_Growth_Model_ExAnte!$A$15:$A$81,0)),""))</x:f>
        <x:v>104.84234967761554</x:v>
      </x:c>
      <x:c r="N52" s="115" t="n">
        <x:f aca="0">IF($F52="Unconfirmed","",IFERROR(SUMIF(S15_Source_Strata!$B$4:$B$49,$P52,S15_Source_Strata!$N$4:$N$49),""))</x:f>
        <x:v>32.68901085224561</x:v>
      </x:c>
      <x:c r="O52" s="115" t="n">
        <x:f aca="0">IF($F52="Unconfirmed","",IFERROR(SUMIF(S15_Source_Strata!$B$4:$B$49,$P52,S15_Source_Strata!$X$4:$X$49),""))</x:f>
        <x:v>69.85423692385878</x:v>
      </x:c>
      <x:c r="P52" s="37" t="s">
        <x:v>666</x:v>
      </x:c>
      <x:c r="Q52" s="114" t="str">
        <x:v>Source parcel species counts → normalized 0.09-ha PSP species counts → Chapman-Richards D/H → Chave AGB/tree → PSP AGB/ha; stratum accounting links through S15_Source_Strata.</x:v>
      </x:c>
      <x:c r="R52" s="980" t="n">
        <x:f>'S13_PSP_Species_Support'!DJ50</x:f>
        <x:v>0.09</x:v>
      </x:c>
      <x:c r="S52" s="979" t="n">
        <x:f>'S13_PSP_Species_Support'!DK50</x:f>
        <x:v>30.887500857986133</x:v>
      </x:c>
      <x:c r="T52" s="979" t="n">
        <x:f>'S13_PSP_Species_Support'!DL50</x:f>
        <x:v>30.8871</x:v>
      </x:c>
      <x:c r="U52" s="979" t="n">
        <x:f>'S13_PSP_Species_Support'!DM50</x:f>
        <x:v>0.00040085798613276324</x:v>
      </x:c>
    </x:row>
    <x:row r="53" ht="27.75" hidden="0" customHeight="1">
      <x:c r="A53" s="37" t="str">
        <x:v>Tropical &amp; Subtropical Dry Broadleaf Forests</x:v>
      </x:c>
      <x:c r="B53" s="37" t="s">
        <x:v>667</x:v>
      </x:c>
      <x:c r="C53" s="37" t="n">
        <x:v>2955</x:v>
      </x:c>
      <x:c r="D53" s="114" t="s">
        <x:v>652</x:v>
      </x:c>
      <x:c r="E53" s="37" t="s">
        <x:v>549</x:v>
      </x:c>
      <x:c r="F53" s="37" t="n">
        <x:v>2020</x:v>
      </x:c>
      <x:c r="G53" s="37" t="s">
        <x:v>543</x:v>
      </x:c>
      <x:c r="H53" s="100" t="n">
        <x:v>0.873</x:v>
      </x:c>
      <x:c r="I53" s="100" t="n">
        <x:v>400.92</x:v>
      </x:c>
      <x:c r="J53" s="100" t="s">
        <x:v>668</x:v>
      </x:c>
      <x:c r="K53" s="100" t="n">
        <x:v>17.64479</x:v>
      </x:c>
      <x:c r="L53" s="100" t="n">
        <x:v>80.72457</x:v>
      </x:c>
      <x:c r="M53" s="115" t="n">
        <x:f aca="0">IF($F53="Unconfirmed","",IFERROR(INDEX(S14_Growth_Model_ExAnte!$AJ$15:$AJ$81,MATCH($B53,S14_Growth_Model_ExAnte!$A$15:$A$81,0)),""))</x:f>
        <x:v>7.452933395621526</x:v>
      </x:c>
      <x:c r="N53" s="115" t="n">
        <x:f aca="0">IF($F53="Unconfirmed","",IFERROR(SUMIF(S15_Source_Strata!$B$4:$B$49,$P53,S15_Source_Strata!$N$4:$N$49),""))</x:f>
        <x:v>32.68901085224561</x:v>
      </x:c>
      <x:c r="O53" s="115" t="n">
        <x:f aca="0">IF($F53="Unconfirmed","",IFERROR(SUMIF(S15_Source_Strata!$B$4:$B$49,$P53,S15_Source_Strata!$X$4:$X$49),""))</x:f>
        <x:v>69.85423692385878</x:v>
      </x:c>
      <x:c r="P53" s="37" t="s">
        <x:v>666</x:v>
      </x:c>
      <x:c r="Q53" s="114" t="str">
        <x:v>Source parcel species counts → normalized 0.09-ha PSP species counts → Chapman-Richards D/H → Chave AGB/tree → PSP AGB/ha; stratum accounting links through S15_Source_Strata.</x:v>
      </x:c>
      <x:c r="R53" s="980" t="n">
        <x:f>'S13_PSP_Species_Support'!DJ51</x:f>
        <x:v>0.09</x:v>
      </x:c>
      <x:c r="S53" s="979" t="n">
        <x:f>'S13_PSP_Species_Support'!DK51</x:f>
        <x:v>51.54639175257732</x:v>
      </x:c>
      <x:c r="T53" s="979" t="n">
        <x:f>'S13_PSP_Species_Support'!DL51</x:f>
        <x:v>36.0828</x:v>
      </x:c>
      <x:c r="U53" s="979" t="n">
        <x:f>'S13_PSP_Species_Support'!DM51</x:f>
        <x:v>15.463591752577322</x:v>
      </x:c>
    </x:row>
    <x:row r="54" ht="27.75" hidden="0" customHeight="1">
      <x:c r="A54" s="37" t="str">
        <x:v>Tropical &amp; Subtropical Moist Broadleaf Forests</x:v>
      </x:c>
      <x:c r="B54" s="37" t="s">
        <x:v>669</x:v>
      </x:c>
      <x:c r="C54" s="37" t="n">
        <x:v>6405</x:v>
      </x:c>
      <x:c r="D54" s="114" t="s">
        <x:v>652</x:v>
      </x:c>
      <x:c r="E54" s="37" t="s">
        <x:v>549</x:v>
      </x:c>
      <x:c r="F54" s="37" t="n">
        <x:v>2020</x:v>
      </x:c>
      <x:c r="G54" s="37" t="s">
        <x:v>543</x:v>
      </x:c>
      <x:c r="H54" s="100" t="n">
        <x:v>0.7649</x:v>
      </x:c>
      <x:c r="I54" s="100" t="n">
        <x:v>130.74</x:v>
      </x:c>
      <x:c r="J54" s="100" t="s">
        <x:v>670</x:v>
      </x:c>
      <x:c r="K54" s="100" t="n">
        <x:v>18.20288</x:v>
      </x:c>
      <x:c r="L54" s="100" t="n">
        <x:v>83.81397</x:v>
      </x:c>
      <x:c r="M54" s="115" t="n">
        <x:f aca="0">IF($F54="Unconfirmed","",IFERROR(INDEX(S14_Growth_Model_ExAnte!$AJ$15:$AJ$81,MATCH($B54,S14_Growth_Model_ExAnte!$A$15:$A$81,0)),""))</x:f>
        <x:v>18.460760335745363</x:v>
      </x:c>
      <x:c r="N54" s="115" t="n">
        <x:f aca="0">IF($F54="Unconfirmed","",IFERROR(SUMIF(S15_Source_Strata!$B$4:$B$49,$P54,S15_Source_Strata!$N$4:$N$49),""))</x:f>
        <x:v>32.68901085224561</x:v>
      </x:c>
      <x:c r="O54" s="115" t="n">
        <x:f aca="0">IF($F54="Unconfirmed","",IFERROR(SUMIF(S15_Source_Strata!$B$4:$B$49,$P54,S15_Source_Strata!$X$4:$X$49),""))</x:f>
        <x:v>69.85423692385878</x:v>
      </x:c>
      <x:c r="P54" s="37" t="s">
        <x:v>666</x:v>
      </x:c>
      <x:c r="Q54" s="114" t="str">
        <x:v>Source parcel species counts → normalized 0.09-ha PSP species counts → Chapman-Richards D/H → Chave AGB/tree → PSP AGB/ha; stratum accounting links through S15_Source_Strata.</x:v>
      </x:c>
      <x:c r="R54" s="980" t="n">
        <x:f>'S13_PSP_Species_Support'!DJ52</x:f>
        <x:v>0.09</x:v>
      </x:c>
      <x:c r="S54" s="979" t="n">
        <x:f>'S13_PSP_Species_Support'!DK52</x:f>
        <x:v>11.766243953457968</x:v>
      </x:c>
      <x:c r="T54" s="979" t="n">
        <x:f>'S13_PSP_Species_Support'!DL52</x:f>
        <x:v>11.7666</x:v>
      </x:c>
      <x:c r="U54" s="979" t="n">
        <x:f>'S13_PSP_Species_Support'!DM52</x:f>
        <x:v>-0.0003560465420324732</x:v>
      </x:c>
    </x:row>
    <x:row r="55" ht="27.75" hidden="0" customHeight="1">
      <x:c r="A55" s="37" t="str">
        <x:v>Tropical &amp; Subtropical Dry Broadleaf Forests</x:v>
      </x:c>
      <x:c r="B55" s="37" t="s">
        <x:v>671</x:v>
      </x:c>
      <x:c r="C55" s="37" t="n">
        <x:v>5057</x:v>
      </x:c>
      <x:c r="D55" s="114" t="s">
        <x:v>652</x:v>
      </x:c>
      <x:c r="E55" s="37" t="s">
        <x:v>553</x:v>
      </x:c>
      <x:c r="F55" s="37" t="n">
        <x:v>2020</x:v>
      </x:c>
      <x:c r="G55" s="37" t="s">
        <x:v>543</x:v>
      </x:c>
      <x:c r="H55" s="100" t="n">
        <x:v>0.618</x:v>
      </x:c>
      <x:c r="I55" s="100" t="n">
        <x:v>736.25</x:v>
      </x:c>
      <x:c r="J55" s="100" t="s">
        <x:v>672</x:v>
      </x:c>
      <x:c r="K55" s="100" t="n">
        <x:v>18.14501</x:v>
      </x:c>
      <x:c r="L55" s="100" t="n">
        <x:v>82.70373</x:v>
      </x:c>
      <x:c r="M55" s="115" t="n">
        <x:f aca="0">IF($F55="Unconfirmed","",IFERROR(INDEX(S14_Growth_Model_ExAnte!$AJ$15:$AJ$81,MATCH($B55,S14_Growth_Model_ExAnte!$A$15:$A$81,0)),""))</x:f>
        <x:v>270.6576569024902</x:v>
      </x:c>
      <x:c r="N55" s="115" t="n">
        <x:f aca="0">IF($F55="Unconfirmed","",IFERROR(SUMIF(S15_Source_Strata!$B$4:$B$49,$P55,S15_Source_Strata!$N$4:$N$49),""))</x:f>
        <x:v>161.9353913406287</x:v>
      </x:c>
      <x:c r="O55" s="115" t="n">
        <x:f aca="0">IF($F55="Unconfirmed","",IFERROR(SUMIF(S15_Source_Strata!$B$4:$B$49,$P55,S15_Source_Strata!$X$4:$X$49),""))</x:f>
        <x:v>346.0451356021678</x:v>
      </x:c>
      <x:c r="P55" s="37" t="s">
        <x:v>673</x:v>
      </x:c>
      <x:c r="Q55" s="114" t="str">
        <x:v>Source parcel species counts → normalized 0.09-ha PSP species counts → Chapman-Richards D/H → Chave AGB/tree → PSP AGB/ha; stratum accounting links through S15_Source_Strata.</x:v>
      </x:c>
      <x:c r="R55" s="980" t="n">
        <x:f>'S13_PSP_Species_Support'!DJ53</x:f>
        <x:v>0.09</x:v>
      </x:c>
      <x:c r="S55" s="979" t="n">
        <x:f>'S13_PSP_Species_Support'!DK53</x:f>
        <x:v>66.26213592233009</x:v>
      </x:c>
      <x:c r="T55" s="979" t="n">
        <x:f>'S13_PSP_Species_Support'!DL53</x:f>
        <x:v>66.2625</x:v>
      </x:c>
      <x:c r="U55" s="979" t="n">
        <x:f>'S13_PSP_Species_Support'!DM53</x:f>
        <x:v>-0.0003640776699143089</x:v>
      </x:c>
    </x:row>
    <x:row r="56" ht="27.75" hidden="0" customHeight="1">
      <x:c r="A56" s="37" t="str">
        <x:v>Deserts &amp; Xeric Shrublands</x:v>
      </x:c>
      <x:c r="B56" s="37" t="s">
        <x:v>674</x:v>
      </x:c>
      <x:c r="C56" s="37" t="n">
        <x:v>669</x:v>
      </x:c>
      <x:c r="D56" s="114" t="s">
        <x:v>652</x:v>
      </x:c>
      <x:c r="E56" s="37" t="s">
        <x:v>553</x:v>
      </x:c>
      <x:c r="F56" s="37" t="n">
        <x:v>2020</x:v>
      </x:c>
      <x:c r="G56" s="37" t="s">
        <x:v>543</x:v>
      </x:c>
      <x:c r="H56" s="100" t="n">
        <x:v>1.0504</x:v>
      </x:c>
      <x:c r="I56" s="100" t="n">
        <x:v>952.02</x:v>
      </x:c>
      <x:c r="J56" s="100" t="s">
        <x:v>675</x:v>
      </x:c>
      <x:c r="K56" s="100" t="n">
        <x:v>14.74897</x:v>
      </x:c>
      <x:c r="L56" s="100" t="n">
        <x:v>78.0469</x:v>
      </x:c>
      <x:c r="M56" s="115" t="n">
        <x:f aca="0">IF($F56="Unconfirmed","",IFERROR(INDEX(S14_Growth_Model_ExAnte!$AJ$15:$AJ$81,MATCH($B56,S14_Growth_Model_ExAnte!$A$15:$A$81,0)),""))</x:f>
        <x:v>91.77747214042424</x:v>
      </x:c>
      <x:c r="N56" s="115" t="n">
        <x:f aca="0">IF($F56="Unconfirmed","",IFERROR(SUMIF(S15_Source_Strata!$B$4:$B$49,$P56,S15_Source_Strata!$N$4:$N$49),""))</x:f>
        <x:v>161.9353913406287</x:v>
      </x:c>
      <x:c r="O56" s="115" t="n">
        <x:f aca="0">IF($F56="Unconfirmed","",IFERROR(SUMIF(S15_Source_Strata!$B$4:$B$49,$P56,S15_Source_Strata!$X$4:$X$49),""))</x:f>
        <x:v>346.0451356021678</x:v>
      </x:c>
      <x:c r="P56" s="37" t="s">
        <x:v>673</x:v>
      </x:c>
      <x:c r="Q56" s="114" t="str">
        <x:v>Source parcel species counts → normalized 0.09-ha PSP species counts → Chapman-Richards D/H → Chave AGB/tree → PSP AGB/ha; stratum accounting links through S15_Source_Strata.</x:v>
      </x:c>
      <x:c r="R56" s="980" t="n">
        <x:f>'S13_PSP_Species_Support'!DJ54</x:f>
        <x:v>0.09</x:v>
      </x:c>
      <x:c r="S56" s="979" t="n">
        <x:f>'S13_PSP_Species_Support'!DK54</x:f>
        <x:v>85.68164508758568</x:v>
      </x:c>
      <x:c r="T56" s="979" t="n">
        <x:f>'S13_PSP_Species_Support'!DL54</x:f>
        <x:v>85.6818</x:v>
      </x:c>
      <x:c r="U56" s="979" t="n">
        <x:f>'S13_PSP_Species_Support'!DM54</x:f>
        <x:v>-0.00015491241431675462</x:v>
      </x:c>
    </x:row>
    <x:row r="57" ht="27.75" hidden="0" customHeight="1">
      <x:c r="A57" s="37" t="str">
        <x:v>Tropical &amp; Subtropical Dry Broadleaf Forests</x:v>
      </x:c>
      <x:c r="B57" s="37" t="s">
        <x:v>676</x:v>
      </x:c>
      <x:c r="C57" s="37" t="n">
        <x:v>8630</x:v>
      </x:c>
      <x:c r="D57" s="114" t="s">
        <x:v>652</x:v>
      </x:c>
      <x:c r="E57" s="37" t="s">
        <x:v>553</x:v>
      </x:c>
      <x:c r="F57" s="37" t="n">
        <x:v>2020</x:v>
      </x:c>
      <x:c r="G57" s="37" t="s">
        <x:v>543</x:v>
      </x:c>
      <x:c r="H57" s="100" t="n">
        <x:v>0.5772</x:v>
      </x:c>
      <x:c r="I57" s="100" t="n">
        <x:v>1732.5</x:v>
      </x:c>
      <x:c r="J57" s="100" t="s">
        <x:v>670</x:v>
      </x:c>
      <x:c r="K57" s="100" t="n">
        <x:v>16.83036</x:v>
      </x:c>
      <x:c r="L57" s="100" t="n">
        <x:v>80.49353</x:v>
      </x:c>
      <x:c r="M57" s="115" t="n">
        <x:f aca="0">IF($F57="Unconfirmed","",IFERROR(INDEX(S14_Growth_Model_ExAnte!$AJ$15:$AJ$81,MATCH($B57,S14_Growth_Model_ExAnte!$A$15:$A$81,0)),""))</x:f>
        <x:v>244.6402560778175</x:v>
      </x:c>
      <x:c r="N57" s="115" t="n">
        <x:f aca="0">IF($F57="Unconfirmed","",IFERROR(SUMIF(S15_Source_Strata!$B$4:$B$49,$P57,S15_Source_Strata!$N$4:$N$49),""))</x:f>
        <x:v>161.9353913406287</x:v>
      </x:c>
      <x:c r="O57" s="115" t="n">
        <x:f aca="0">IF($F57="Unconfirmed","",IFERROR(SUMIF(S15_Source_Strata!$B$4:$B$49,$P57,S15_Source_Strata!$X$4:$X$49),""))</x:f>
        <x:v>346.0451356021678</x:v>
      </x:c>
      <x:c r="P57" s="37" t="s">
        <x:v>673</x:v>
      </x:c>
      <x:c r="Q57" s="114" t="str">
        <x:v>Source parcel species counts → normalized 0.09-ha PSP species counts → Chapman-Richards D/H → Chave AGB/tree → PSP AGB/ha; stratum accounting links through S15_Source_Strata.</x:v>
      </x:c>
      <x:c r="R57" s="980" t="n">
        <x:f>'S13_PSP_Species_Support'!DJ55</x:f>
        <x:v>0.09</x:v>
      </x:c>
      <x:c r="S57" s="979" t="n">
        <x:f>'S13_PSP_Species_Support'!DK55</x:f>
        <x:v>155.9251559251559</x:v>
      </x:c>
      <x:c r="T57" s="979" t="n">
        <x:f>'S13_PSP_Species_Support'!DL55</x:f>
        <x:v>155.92499999999998</x:v>
      </x:c>
      <x:c r="U57" s="979" t="n">
        <x:f>'S13_PSP_Species_Support'!DM55</x:f>
        <x:v>0.00015592515592288692</x:v>
      </x:c>
    </x:row>
    <x:row r="58" ht="27.75" hidden="0" customHeight="1">
      <x:c r="A58" s="37" t="str">
        <x:v>Tropical &amp; Subtropical Dry Broadleaf Forests</x:v>
      </x:c>
      <x:c r="B58" s="37" t="s">
        <x:v>677</x:v>
      </x:c>
      <x:c r="C58" s="37" t="n">
        <x:v>12130</x:v>
      </x:c>
      <x:c r="D58" s="114" t="s">
        <x:v>652</x:v>
      </x:c>
      <x:c r="E58" s="37" t="s">
        <x:v>553</x:v>
      </x:c>
      <x:c r="F58" s="37" t="n">
        <x:v>2020</x:v>
      </x:c>
      <x:c r="G58" s="37" t="s">
        <x:v>543</x:v>
      </x:c>
      <x:c r="H58" s="100" t="n">
        <x:v>1.9606</x:v>
      </x:c>
      <x:c r="I58" s="100" t="n">
        <x:v>751.81</x:v>
      </x:c>
      <x:c r="J58" s="100" t="s">
        <x:v>656</x:v>
      </x:c>
      <x:c r="K58" s="100" t="n">
        <x:v>17.79229</x:v>
      </x:c>
      <x:c r="L58" s="100" t="n">
        <x:v>80.89153</x:v>
      </x:c>
      <x:c r="M58" s="115" t="n">
        <x:f aca="0">IF($F58="Unconfirmed","",IFERROR(INDEX(S14_Growth_Model_ExAnte!$AJ$15:$AJ$81,MATCH($B58,S14_Growth_Model_ExAnte!$A$15:$A$81,0)),""))</x:f>
        <x:v>9.78317821009137</x:v>
      </x:c>
      <x:c r="N58" s="115" t="n">
        <x:f aca="0">IF($F58="Unconfirmed","",IFERROR(SUMIF(S15_Source_Strata!$B$4:$B$49,$P58,S15_Source_Strata!$N$4:$N$49),""))</x:f>
        <x:v>161.9353913406287</x:v>
      </x:c>
      <x:c r="O58" s="115" t="n">
        <x:f aca="0">IF($F58="Unconfirmed","",IFERROR(SUMIF(S15_Source_Strata!$B$4:$B$49,$P58,S15_Source_Strata!$X$4:$X$49),""))</x:f>
        <x:v>346.0451356021678</x:v>
      </x:c>
      <x:c r="P58" s="37" t="s">
        <x:v>673</x:v>
      </x:c>
      <x:c r="Q58" s="114" t="str">
        <x:v>Source parcel species counts → normalized 0.09-ha PSP species counts → Chapman-Richards D/H → Chave AGB/tree → PSP AGB/ha; stratum accounting links through S15_Source_Strata.</x:v>
      </x:c>
      <x:c r="R58" s="980" t="n">
        <x:f>'S13_PSP_Species_Support'!DJ56</x:f>
        <x:v>0.09</x:v>
      </x:c>
      <x:c r="S58" s="979" t="n">
        <x:f>'S13_PSP_Species_Support'!DK56</x:f>
        <x:v>67.66296031826992</x:v>
      </x:c>
      <x:c r="T58" s="979" t="n">
        <x:f>'S13_PSP_Species_Support'!DL56</x:f>
        <x:v>67.6629</x:v>
      </x:c>
      <x:c r="U58" s="979" t="n">
        <x:f>'S13_PSP_Species_Support'!DM56</x:f>
        <x:v>0.00006031826993080358</x:v>
      </x:c>
    </x:row>
    <x:row r="59" ht="27.75" hidden="0" customHeight="1">
      <x:c r="A59" s="37" t="str">
        <x:v>Tropical &amp; Subtropical Dry Broadleaf Forests</x:v>
      </x:c>
      <x:c r="B59" s="37" t="s">
        <x:v>678</x:v>
      </x:c>
      <x:c r="C59" s="37" t="n">
        <x:v>7286</x:v>
      </x:c>
      <x:c r="D59" s="114" t="s">
        <x:v>652</x:v>
      </x:c>
      <x:c r="E59" s="37" t="s">
        <x:v>553</x:v>
      </x:c>
      <x:c r="F59" s="37" t="n">
        <x:v>2020</x:v>
      </x:c>
      <x:c r="G59" s="37" t="s">
        <x:v>543</x:v>
      </x:c>
      <x:c r="H59" s="100" t="n">
        <x:v>0.4278</x:v>
      </x:c>
      <x:c r="I59" s="100" t="n">
        <x:v>748.01</x:v>
      </x:c>
      <x:c r="J59" s="100" t="s">
        <x:v>670</x:v>
      </x:c>
      <x:c r="K59" s="100" t="n">
        <x:v>18.0708</x:v>
      </x:c>
      <x:c r="L59" s="100" t="n">
        <x:v>79.25782</x:v>
      </x:c>
      <x:c r="M59" s="115" t="n">
        <x:f aca="0">IF($F59="Unconfirmed","",IFERROR(INDEX(S14_Growth_Model_ExAnte!$AJ$15:$AJ$81,MATCH($B59,S14_Growth_Model_ExAnte!$A$15:$A$81,0)),""))</x:f>
        <x:v>105.62420256801592</x:v>
      </x:c>
      <x:c r="N59" s="115" t="n">
        <x:f aca="0">IF($F59="Unconfirmed","",IFERROR(SUMIF(S15_Source_Strata!$B$4:$B$49,$P59,S15_Source_Strata!$N$4:$N$49),""))</x:f>
        <x:v>161.9353913406287</x:v>
      </x:c>
      <x:c r="O59" s="115" t="n">
        <x:f aca="0">IF($F59="Unconfirmed","",IFERROR(SUMIF(S15_Source_Strata!$B$4:$B$49,$P59,S15_Source_Strata!$X$4:$X$49),""))</x:f>
        <x:v>346.0451356021678</x:v>
      </x:c>
      <x:c r="P59" s="37" t="s">
        <x:v>673</x:v>
      </x:c>
      <x:c r="Q59" s="114" t="str">
        <x:v>Source parcel species counts → normalized 0.09-ha PSP species counts → Chapman-Richards D/H → Chave AGB/tree → PSP AGB/ha; stratum accounting links through S15_Source_Strata.</x:v>
      </x:c>
      <x:c r="R59" s="980" t="n">
        <x:f>'S13_PSP_Species_Support'!DJ57</x:f>
        <x:v>0.09</x:v>
      </x:c>
      <x:c r="S59" s="979" t="n">
        <x:f>'S13_PSP_Species_Support'!DK57</x:f>
        <x:v>67.3211781206171</x:v>
      </x:c>
      <x:c r="T59" s="979" t="n">
        <x:f>'S13_PSP_Species_Support'!DL57</x:f>
        <x:v>67.3209</x:v>
      </x:c>
      <x:c r="U59" s="979" t="n">
        <x:f>'S13_PSP_Species_Support'!DM57</x:f>
        <x:v>0.0002781206171107442</x:v>
      </x:c>
    </x:row>
    <x:row r="60" ht="27.75" hidden="0" customHeight="1">
      <x:c r="A60" s="37" t="str">
        <x:v>Tropical &amp; Subtropical Dry Broadleaf Forests</x:v>
      </x:c>
      <x:c r="B60" s="37" t="s">
        <x:v>679</x:v>
      </x:c>
      <x:c r="C60" s="37" t="n">
        <x:v>3387</x:v>
      </x:c>
      <x:c r="D60" s="114" t="s">
        <x:v>652</x:v>
      </x:c>
      <x:c r="E60" s="37" t="s">
        <x:v>553</x:v>
      </x:c>
      <x:c r="F60" s="37" t="n">
        <x:v>2020</x:v>
      </x:c>
      <x:c r="G60" s="37" t="s">
        <x:v>543</x:v>
      </x:c>
      <x:c r="H60" s="100" t="n">
        <x:v>2.0202</x:v>
      </x:c>
      <x:c r="I60" s="100" t="n">
        <x:v>792</x:v>
      </x:c>
      <x:c r="J60" s="100" t="s">
        <x:v>660</x:v>
      </x:c>
      <x:c r="K60" s="100" t="n">
        <x:v>18.49157</x:v>
      </x:c>
      <x:c r="L60" s="100" t="n">
        <x:v>83.35694</x:v>
      </x:c>
      <x:c r="M60" s="115" t="n">
        <x:f aca="0">IF($F60="Unconfirmed","",IFERROR(INDEX(S14_Growth_Model_ExAnte!$AJ$15:$AJ$81,MATCH($B60,S14_Growth_Model_ExAnte!$A$15:$A$81,0)),""))</x:f>
        <x:v>328.6896956306501</x:v>
      </x:c>
      <x:c r="N60" s="115" t="n">
        <x:f aca="0">IF($F60="Unconfirmed","",IFERROR(SUMIF(S15_Source_Strata!$B$4:$B$49,$P60,S15_Source_Strata!$N$4:$N$49),""))</x:f>
        <x:v>161.9353913406287</x:v>
      </x:c>
      <x:c r="O60" s="115" t="n">
        <x:f aca="0">IF($F60="Unconfirmed","",IFERROR(SUMIF(S15_Source_Strata!$B$4:$B$49,$P60,S15_Source_Strata!$X$4:$X$49),""))</x:f>
        <x:v>346.0451356021678</x:v>
      </x:c>
      <x:c r="P60" s="37" t="s">
        <x:v>673</x:v>
      </x:c>
      <x:c r="Q60" s="114" t="str">
        <x:v>Source parcel species counts → normalized 0.09-ha PSP species counts → Chapman-Richards D/H → Chave AGB/tree → PSP AGB/ha; stratum accounting links through S15_Source_Strata.</x:v>
      </x:c>
      <x:c r="R60" s="980" t="n">
        <x:f>'S13_PSP_Species_Support'!DJ58</x:f>
        <x:v>0.09</x:v>
      </x:c>
      <x:c r="S60" s="979" t="n">
        <x:f>'S13_PSP_Species_Support'!DK58</x:f>
        <x:v>71.28007128007128</x:v>
      </x:c>
      <x:c r="T60" s="979" t="n">
        <x:f>'S13_PSP_Species_Support'!DL58</x:f>
        <x:v>71.28</x:v>
      </x:c>
      <x:c r="U60" s="979" t="n">
        <x:f>'S13_PSP_Species_Support'!DM58</x:f>
        <x:v>0.00007128007128187619</x:v>
      </x:c>
    </x:row>
    <x:row r="61" ht="27.75" hidden="0" customHeight="1">
      <x:c r="A61" s="37" t="str">
        <x:v>Tropical &amp; Subtropical Dry Broadleaf Forests</x:v>
      </x:c>
      <x:c r="B61" s="37" t="s">
        <x:v>680</x:v>
      </x:c>
      <x:c r="C61" s="37" t="n">
        <x:v>1510</x:v>
      </x:c>
      <x:c r="D61" s="114" t="s">
        <x:v>652</x:v>
      </x:c>
      <x:c r="E61" s="37" t="s">
        <x:v>553</x:v>
      </x:c>
      <x:c r="F61" s="37" t="n">
        <x:v>2020</x:v>
      </x:c>
      <x:c r="G61" s="37" t="s">
        <x:v>543</x:v>
      </x:c>
      <x:c r="H61" s="100" t="n">
        <x:v>0.1095</x:v>
      </x:c>
      <x:c r="I61" s="100" t="n">
        <x:v>913.24</x:v>
      </x:c>
      <x:c r="J61" s="100" t="s">
        <x:v>670</x:v>
      </x:c>
      <x:c r="K61" s="100" t="n">
        <x:v>18.29521</x:v>
      </x:c>
      <x:c r="L61" s="100" t="n">
        <x:v>78.93884</x:v>
      </x:c>
      <x:c r="M61" s="115" t="n">
        <x:f aca="0">IF($F61="Unconfirmed","",IFERROR(INDEX(S14_Growth_Model_ExAnte!$AJ$15:$AJ$81,MATCH($B61,S14_Growth_Model_ExAnte!$A$15:$A$81,0)),""))</x:f>
        <x:v>128.9555760804715</x:v>
      </x:c>
      <x:c r="N61" s="115" t="n">
        <x:f aca="0">IF($F61="Unconfirmed","",IFERROR(SUMIF(S15_Source_Strata!$B$4:$B$49,$P61,S15_Source_Strata!$N$4:$N$49),""))</x:f>
        <x:v>161.9353913406287</x:v>
      </x:c>
      <x:c r="O61" s="115" t="n">
        <x:f aca="0">IF($F61="Unconfirmed","",IFERROR(SUMIF(S15_Source_Strata!$B$4:$B$49,$P61,S15_Source_Strata!$X$4:$X$49),""))</x:f>
        <x:v>346.0451356021678</x:v>
      </x:c>
      <x:c r="P61" s="37" t="s">
        <x:v>673</x:v>
      </x:c>
      <x:c r="Q61" s="114" t="str">
        <x:v>Source parcel species counts → normalized 0.09-ha PSP species counts → Chapman-Richards D/H → Chave AGB/tree → PSP AGB/ha; stratum accounting links through S15_Source_Strata.</x:v>
      </x:c>
      <x:c r="R61" s="980" t="n">
        <x:f>'S13_PSP_Species_Support'!DJ59</x:f>
        <x:v>0.09</x:v>
      </x:c>
      <x:c r="S61" s="979" t="n">
        <x:f>'S13_PSP_Species_Support'!DK59</x:f>
        <x:v>82.1917808219178</x:v>
      </x:c>
      <x:c r="T61" s="979" t="n">
        <x:f>'S13_PSP_Species_Support'!DL59</x:f>
        <x:v>82.1916</x:v>
      </x:c>
      <x:c r="U61" s="979" t="n">
        <x:f>'S13_PSP_Species_Support'!DM59</x:f>
        <x:v>0.0001808219178087711</x:v>
      </x:c>
    </x:row>
    <x:row r="62" ht="27.75" hidden="0" customHeight="1">
      <x:c r="A62" s="37" t="str">
        <x:v>Tropical &amp; Subtropical Dry Broadleaf Forests</x:v>
      </x:c>
      <x:c r="B62" s="37" t="s">
        <x:v>681</x:v>
      </x:c>
      <x:c r="C62" s="37" t="n">
        <x:v>7207</x:v>
      </x:c>
      <x:c r="D62" s="114" t="s">
        <x:v>652</x:v>
      </x:c>
      <x:c r="E62" s="37" t="s">
        <x:v>553</x:v>
      </x:c>
      <x:c r="F62" s="37" t="n">
        <x:v>2020</x:v>
      </x:c>
      <x:c r="G62" s="37" t="s">
        <x:v>543</x:v>
      </x:c>
      <x:c r="H62" s="100" t="n">
        <x:v>0.5831</x:v>
      </x:c>
      <x:c r="I62" s="100" t="n">
        <x:v>1543.47</x:v>
      </x:c>
      <x:c r="J62" s="100" t="s">
        <x:v>656</x:v>
      </x:c>
      <x:c r="K62" s="100" t="n">
        <x:v>17.34545</x:v>
      </x:c>
      <x:c r="L62" s="100" t="n">
        <x:v>80.35123</x:v>
      </x:c>
      <x:c r="M62" s="115" t="n">
        <x:f aca="0">IF($F62="Unconfirmed","",IFERROR(INDEX(S14_Growth_Model_ExAnte!$AJ$15:$AJ$81,MATCH($B62,S14_Growth_Model_ExAnte!$A$15:$A$81,0)),""))</x:f>
        <x:v>20.08495890564168</x:v>
      </x:c>
      <x:c r="N62" s="115" t="n">
        <x:f aca="0">IF($F62="Unconfirmed","",IFERROR(SUMIF(S15_Source_Strata!$B$4:$B$49,$P62,S15_Source_Strata!$N$4:$N$49),""))</x:f>
        <x:v>161.9353913406287</x:v>
      </x:c>
      <x:c r="O62" s="115" t="n">
        <x:f aca="0">IF($F62="Unconfirmed","",IFERROR(SUMIF(S15_Source_Strata!$B$4:$B$49,$P62,S15_Source_Strata!$X$4:$X$49),""))</x:f>
        <x:v>346.0451356021678</x:v>
      </x:c>
      <x:c r="P62" s="37" t="s">
        <x:v>673</x:v>
      </x:c>
      <x:c r="Q62" s="114" t="str">
        <x:v>Source parcel species counts → normalized 0.09-ha PSP species counts → Chapman-Richards D/H → Chave AGB/tree → PSP AGB/ha; stratum accounting links through S15_Source_Strata.</x:v>
      </x:c>
      <x:c r="R62" s="980" t="n">
        <x:f>'S13_PSP_Species_Support'!DJ60</x:f>
        <x:v>0.09</x:v>
      </x:c>
      <x:c r="S62" s="979" t="n">
        <x:f>'S13_PSP_Species_Support'!DK60</x:f>
        <x:v>138.912707940319</x:v>
      </x:c>
      <x:c r="T62" s="979" t="n">
        <x:f>'S13_PSP_Species_Support'!DL60</x:f>
        <x:v>138.9123</x:v>
      </x:c>
      <x:c r="U62" s="979" t="n">
        <x:f>'S13_PSP_Species_Support'!DM60</x:f>
        <x:v>0.00040794031900759364</x:v>
      </x:c>
    </x:row>
    <x:row r="63" ht="27.75" hidden="0" customHeight="1">
      <x:c r="A63" s="37" t="str">
        <x:v>Tropical &amp; Subtropical Dry Broadleaf Forests</x:v>
      </x:c>
      <x:c r="B63" s="37" t="s">
        <x:v>682</x:v>
      </x:c>
      <x:c r="C63" s="37" t="n">
        <x:v>1803</x:v>
      </x:c>
      <x:c r="D63" s="114" t="s">
        <x:v>652</x:v>
      </x:c>
      <x:c r="E63" s="37" t="s">
        <x:v>553</x:v>
      </x:c>
      <x:c r="F63" s="37" t="n">
        <x:v>2020</x:v>
      </x:c>
      <x:c r="G63" s="37" t="s">
        <x:v>543</x:v>
      </x:c>
      <x:c r="H63" s="100" t="n">
        <x:v>0.4842</x:v>
      </x:c>
      <x:c r="I63" s="100" t="n">
        <x:v>1445.68</x:v>
      </x:c>
      <x:c r="J63" s="100" t="s">
        <x:v>683</x:v>
      </x:c>
      <x:c r="K63" s="100" t="n">
        <x:v>17.85284</x:v>
      </x:c>
      <x:c r="L63" s="100" t="n">
        <x:v>82.35177</x:v>
      </x:c>
      <x:c r="M63" s="115" t="n">
        <x:f aca="0">IF($F63="Unconfirmed","",IFERROR(INDEX(S14_Growth_Model_ExAnte!$AJ$15:$AJ$81,MATCH($B63,S14_Growth_Model_ExAnte!$A$15:$A$81,0)),""))</x:f>
        <x:v>373.78374722623164</x:v>
      </x:c>
      <x:c r="N63" s="115" t="n">
        <x:f aca="0">IF($F63="Unconfirmed","",IFERROR(SUMIF(S15_Source_Strata!$B$4:$B$49,$P63,S15_Source_Strata!$N$4:$N$49),""))</x:f>
        <x:v>161.9353913406287</x:v>
      </x:c>
      <x:c r="O63" s="115" t="n">
        <x:f aca="0">IF($F63="Unconfirmed","",IFERROR(SUMIF(S15_Source_Strata!$B$4:$B$49,$P63,S15_Source_Strata!$X$4:$X$49),""))</x:f>
        <x:v>346.0451356021678</x:v>
      </x:c>
      <x:c r="P63" s="37" t="s">
        <x:v>673</x:v>
      </x:c>
      <x:c r="Q63" s="114" t="str">
        <x:v>Source parcel species counts → normalized 0.09-ha PSP species counts → Chapman-Richards D/H → Chave AGB/tree → PSP AGB/ha; stratum accounting links through S15_Source_Strata.</x:v>
      </x:c>
      <x:c r="R63" s="980" t="n">
        <x:f>'S13_PSP_Species_Support'!DJ61</x:f>
        <x:v>0.09</x:v>
      </x:c>
      <x:c r="S63" s="979" t="n">
        <x:f>'S13_PSP_Species_Support'!DK61</x:f>
        <x:v>130.11152416356876</x:v>
      </x:c>
      <x:c r="T63" s="979" t="n">
        <x:f>'S13_PSP_Species_Support'!DL61</x:f>
        <x:v>130.1112</x:v>
      </x:c>
      <x:c r="U63" s="979" t="n">
        <x:f>'S13_PSP_Species_Support'!DM61</x:f>
        <x:v>0.0003241635687629696</x:v>
      </x:c>
    </x:row>
    <x:row r="64" ht="27.75" hidden="0" customHeight="1">
      <x:c r="A64" s="37" t="str">
        <x:v>Tropical &amp; Subtropical Dry Broadleaf Forests</x:v>
      </x:c>
      <x:c r="B64" s="37" t="s">
        <x:v>684</x:v>
      </x:c>
      <x:c r="C64" s="37" t="n">
        <x:v>4922</x:v>
      </x:c>
      <x:c r="D64" s="114" t="s">
        <x:v>652</x:v>
      </x:c>
      <x:c r="E64" s="37" t="s">
        <x:v>553</x:v>
      </x:c>
      <x:c r="F64" s="37" t="n">
        <x:v>2020</x:v>
      </x:c>
      <x:c r="G64" s="37" t="s">
        <x:v>543</x:v>
      </x:c>
      <x:c r="H64" s="100" t="n">
        <x:v>0.2837</x:v>
      </x:c>
      <x:c r="I64" s="100" t="n">
        <x:v>1409.94</x:v>
      </x:c>
      <x:c r="J64" s="100" t="s">
        <x:v>660</x:v>
      </x:c>
      <x:c r="K64" s="100" t="n">
        <x:v>17.85492</x:v>
      </x:c>
      <x:c r="L64" s="100" t="n">
        <x:v>83.08836</x:v>
      </x:c>
      <x:c r="M64" s="115" t="n">
        <x:f aca="0">IF($F64="Unconfirmed","",IFERROR(INDEX(S14_Growth_Model_ExAnte!$AJ$15:$AJ$81,MATCH($B64,S14_Growth_Model_ExAnte!$A$15:$A$81,0)),""))</x:f>
        <x:v>585.1418074665485</x:v>
      </x:c>
      <x:c r="N64" s="115" t="n">
        <x:f aca="0">IF($F64="Unconfirmed","",IFERROR(SUMIF(S15_Source_Strata!$B$4:$B$49,$P64,S15_Source_Strata!$N$4:$N$49),""))</x:f>
        <x:v>161.9353913406287</x:v>
      </x:c>
      <x:c r="O64" s="115" t="n">
        <x:f aca="0">IF($F64="Unconfirmed","",IFERROR(SUMIF(S15_Source_Strata!$B$4:$B$49,$P64,S15_Source_Strata!$X$4:$X$49),""))</x:f>
        <x:v>346.0451356021678</x:v>
      </x:c>
      <x:c r="P64" s="37" t="s">
        <x:v>673</x:v>
      </x:c>
      <x:c r="Q64" s="114" t="str">
        <x:v>Source parcel species counts → normalized 0.09-ha PSP species counts → Chapman-Richards D/H → Chave AGB/tree → PSP AGB/ha; stratum accounting links through S15_Source_Strata.</x:v>
      </x:c>
      <x:c r="R64" s="980" t="n">
        <x:f>'S13_PSP_Species_Support'!DJ62</x:f>
        <x:v>0.09</x:v>
      </x:c>
      <x:c r="S64" s="979" t="n">
        <x:f>'S13_PSP_Species_Support'!DK62</x:f>
        <x:v>126.89460697920337</x:v>
      </x:c>
      <x:c r="T64" s="979" t="n">
        <x:f>'S13_PSP_Species_Support'!DL62</x:f>
        <x:v>126.8946</x:v>
      </x:c>
      <x:c r="U64" s="979" t="n">
        <x:f>'S13_PSP_Species_Support'!DM62</x:f>
        <x:v>0.000006979203376999976</x:v>
      </x:c>
    </x:row>
    <x:row r="65" ht="27.75" hidden="0" customHeight="1">
      <x:c r="A65" s="37" t="str">
        <x:v>Tropical &amp; Subtropical Moist Broadleaf Forests</x:v>
      </x:c>
      <x:c r="B65" s="37" t="s">
        <x:v>685</x:v>
      </x:c>
      <x:c r="C65" s="37" t="n">
        <x:v>6602</x:v>
      </x:c>
      <x:c r="D65" s="114" t="s">
        <x:v>652</x:v>
      </x:c>
      <x:c r="E65" s="37" t="s">
        <x:v>549</x:v>
      </x:c>
      <x:c r="F65" s="37" t="n">
        <x:v>2021</x:v>
      </x:c>
      <x:c r="G65" s="37" t="s">
        <x:v>543</x:v>
      </x:c>
      <x:c r="H65" s="100" t="n">
        <x:v>0.5126</x:v>
      </x:c>
      <x:c r="I65" s="100" t="n">
        <x:v>234.1</x:v>
      </x:c>
      <x:c r="J65" s="100" t="s">
        <x:v>686</x:v>
      </x:c>
      <x:c r="K65" s="100" t="n">
        <x:v>18.23166</x:v>
      </x:c>
      <x:c r="L65" s="100" t="n">
        <x:v>83.63004</x:v>
      </x:c>
      <x:c r="M65" s="115" t="n">
        <x:f aca="0">IF($F65="Unconfirmed","",IFERROR(INDEX(S14_Growth_Model_ExAnte!$AJ$15:$AJ$81,MATCH($B65,S14_Growth_Model_ExAnte!$A$15:$A$81,0)),""))</x:f>
        <x:v>20.02661350201846</x:v>
      </x:c>
      <x:c r="N65" s="115" t="n">
        <x:f aca="0">IF($F65="Unconfirmed","",IFERROR(SUMIF(S15_Source_Strata!$B$4:$B$49,$P65,S15_Source_Strata!$N$4:$N$49),""))</x:f>
        <x:v>18.798292104400318</x:v>
      </x:c>
      <x:c r="O65" s="115" t="n">
        <x:f aca="0">IF($F65="Unconfirmed","",IFERROR(SUMIF(S15_Source_Strata!$B$4:$B$49,$P65,S15_Source_Strata!$X$4:$X$49),""))</x:f>
        <x:v>40.17069700762988</x:v>
      </x:c>
      <x:c r="P65" s="37" t="s">
        <x:v>687</x:v>
      </x:c>
      <x:c r="Q65" s="114" t="str">
        <x:v>Source parcel species counts → normalized 0.09-ha PSP species counts → Chapman-Richards D/H → Chave AGB/tree → PSP AGB/ha; stratum accounting links through S15_Source_Strata.</x:v>
      </x:c>
      <x:c r="R65" s="980" t="n">
        <x:f>'S13_PSP_Species_Support'!DJ63</x:f>
        <x:v>0.09</x:v>
      </x:c>
      <x:c r="S65" s="979" t="n">
        <x:f>'S13_PSP_Species_Support'!DK63</x:f>
        <x:v>21.06905969566914</x:v>
      </x:c>
      <x:c r="T65" s="979" t="n">
        <x:f>'S13_PSP_Species_Support'!DL63</x:f>
        <x:v>21.069</x:v>
      </x:c>
      <x:c r="U65" s="979" t="n">
        <x:f>'S13_PSP_Species_Support'!DM63</x:f>
        <x:v>0.00005969566914032498</x:v>
      </x:c>
    </x:row>
    <x:row r="66" ht="27.75" hidden="0" customHeight="1">
      <x:c r="A66" s="37" t="str">
        <x:v>Tropical &amp; Subtropical Dry Broadleaf Forests</x:v>
      </x:c>
      <x:c r="B66" s="37" t="s">
        <x:v>688</x:v>
      </x:c>
      <x:c r="C66" s="37" t="n">
        <x:v>3436</x:v>
      </x:c>
      <x:c r="D66" s="114" t="s">
        <x:v>652</x:v>
      </x:c>
      <x:c r="E66" s="37" t="s">
        <x:v>553</x:v>
      </x:c>
      <x:c r="F66" s="37" t="n">
        <x:v>2021</x:v>
      </x:c>
      <x:c r="G66" s="37" t="s">
        <x:v>543</x:v>
      </x:c>
      <x:c r="H66" s="100" t="n">
        <x:v>0.4698</x:v>
      </x:c>
      <x:c r="I66" s="100" t="n">
        <x:v>1596.42</x:v>
      </x:c>
      <x:c r="J66" s="100" t="s">
        <x:v>689</x:v>
      </x:c>
      <x:c r="K66" s="100" t="n">
        <x:v>18.0978</x:v>
      </x:c>
      <x:c r="L66" s="100" t="n">
        <x:v>82.79981</x:v>
      </x:c>
      <x:c r="M66" s="115" t="n">
        <x:f aca="0">IF($F66="Unconfirmed","",IFERROR(INDEX(S14_Growth_Model_ExAnte!$AJ$15:$AJ$81,MATCH($B66,S14_Growth_Model_ExAnte!$A$15:$A$81,0)),""))</x:f>
        <x:v>411.814117431424</x:v>
      </x:c>
      <x:c r="N66" s="115" t="n">
        <x:f aca="0">IF($F66="Unconfirmed","",IFERROR(SUMIF(S15_Source_Strata!$B$4:$B$49,$P66,S15_Source_Strata!$N$4:$N$49),""))</x:f>
        <x:v>136.26854057398646</x:v>
      </x:c>
      <x:c r="O66" s="115" t="n">
        <x:f aca="0">IF($F66="Unconfirmed","",IFERROR(SUMIF(S15_Source_Strata!$B$4:$B$49,$P66,S15_Source_Strata!$X$4:$X$49),""))</x:f>
        <x:v>291.19678663723766</x:v>
      </x:c>
      <x:c r="P66" s="37" t="s">
        <x:v>690</x:v>
      </x:c>
      <x:c r="Q66" s="114" t="str">
        <x:v>Source parcel species counts → normalized 0.09-ha PSP species counts → Chapman-Richards D/H → Chave AGB/tree → PSP AGB/ha; stratum accounting links through S15_Source_Strata.</x:v>
      </x:c>
      <x:c r="R66" s="980" t="n">
        <x:f>'S13_PSP_Species_Support'!DJ64</x:f>
        <x:v>0.09</x:v>
      </x:c>
      <x:c r="S66" s="979" t="n">
        <x:f>'S13_PSP_Species_Support'!DK64</x:f>
        <x:v>143.67816091954023</x:v>
      </x:c>
      <x:c r="T66" s="979" t="n">
        <x:f>'S13_PSP_Species_Support'!DL64</x:f>
        <x:v>143.6778</x:v>
      </x:c>
      <x:c r="U66" s="979" t="n">
        <x:f>'S13_PSP_Species_Support'!DM64</x:f>
        <x:v>0.00036091954024186634</x:v>
      </x:c>
    </x:row>
    <x:row r="67" ht="27.75" hidden="0" customHeight="1">
      <x:c r="A67" s="37" t="str">
        <x:v>Tropical &amp; Subtropical Moist Broadleaf Forests</x:v>
      </x:c>
      <x:c r="B67" s="37" t="s">
        <x:v>691</x:v>
      </x:c>
      <x:c r="C67" s="37" t="n">
        <x:v>8104</x:v>
      </x:c>
      <x:c r="D67" s="114" t="s">
        <x:v>652</x:v>
      </x:c>
      <x:c r="E67" s="37" t="s">
        <x:v>549</x:v>
      </x:c>
      <x:c r="F67" s="37" t="n">
        <x:v>2022</x:v>
      </x:c>
      <x:c r="G67" s="37" t="s">
        <x:v>543</x:v>
      </x:c>
      <x:c r="H67" s="100" t="n">
        <x:v>0.4222</x:v>
      </x:c>
      <x:c r="I67" s="100" t="n">
        <x:v>454.76</x:v>
      </x:c>
      <x:c r="J67" s="100" t="s">
        <x:v>692</x:v>
      </x:c>
      <x:c r="K67" s="100" t="n">
        <x:v>18.3822</x:v>
      </x:c>
      <x:c r="L67" s="100" t="n">
        <x:v>83.66743</x:v>
      </x:c>
      <x:c r="M67" s="115" t="n">
        <x:f aca="0">IF($F67="Unconfirmed","",IFERROR(INDEX(S14_Growth_Model_ExAnte!$AJ$15:$AJ$81,MATCH($B67,S14_Growth_Model_ExAnte!$A$15:$A$81,0)),""))</x:f>
        <x:v>6.428743971671681</x:v>
      </x:c>
      <x:c r="N67" s="115" t="n">
        <x:f aca="0">IF($F67="Unconfirmed","",IFERROR(SUMIF(S15_Source_Strata!$B$4:$B$49,$P67,S15_Source_Strata!$N$4:$N$49),""))</x:f>
        <x:v>10.125099466713309</x:v>
      </x:c>
      <x:c r="O67" s="115" t="n">
        <x:f aca="0">IF($F67="Unconfirmed","",IFERROR(SUMIF(S15_Source_Strata!$B$4:$B$49,$P67,S15_Source_Strata!$X$4:$X$49),""))</x:f>
        <x:v>21.636662553735242</x:v>
      </x:c>
      <x:c r="P67" s="37" t="s">
        <x:v>693</x:v>
      </x:c>
      <x:c r="Q67" s="114" t="str">
        <x:v>Source parcel species counts → normalized 0.09-ha PSP species counts → Chapman-Richards D/H → Chave AGB/tree → PSP AGB/ha; stratum accounting links through S15_Source_Strata.</x:v>
      </x:c>
      <x:c r="R67" s="980" t="n">
        <x:f>'S13_PSP_Species_Support'!DJ65</x:f>
        <x:v>0.09</x:v>
      </x:c>
      <x:c r="S67" s="979" t="n">
        <x:f>'S13_PSP_Species_Support'!DK65</x:f>
        <x:v>40.92846991946944</x:v>
      </x:c>
      <x:c r="T67" s="979" t="n">
        <x:f>'S13_PSP_Species_Support'!DL65</x:f>
        <x:v>40.928399999999996</x:v>
      </x:c>
      <x:c r="U67" s="979" t="n">
        <x:f>'S13_PSP_Species_Support'!DM65</x:f>
        <x:v>0.0000699194694462335</x:v>
      </x:c>
    </x:row>
    <x:row r="68" ht="27.75" hidden="0" customHeight="1">
      <x:c r="A68" s="37" t="str">
        <x:v>Tropical &amp; Subtropical Dry Broadleaf Forests</x:v>
      </x:c>
      <x:c r="B68" s="37" t="s">
        <x:v>694</x:v>
      </x:c>
      <x:c r="C68" s="37" t="n">
        <x:v>6944</x:v>
      </x:c>
      <x:c r="D68" s="114" t="s">
        <x:v>652</x:v>
      </x:c>
      <x:c r="E68" s="37" t="s">
        <x:v>553</x:v>
      </x:c>
      <x:c r="F68" s="37" t="n">
        <x:v>2022</x:v>
      </x:c>
      <x:c r="G68" s="37" t="s">
        <x:v>543</x:v>
      </x:c>
      <x:c r="H68" s="100" t="n">
        <x:v>0.746</x:v>
      </x:c>
      <x:c r="I68" s="100" t="n">
        <x:v>1072.39</x:v>
      </x:c>
      <x:c r="J68" s="100" t="s">
        <x:v>660</x:v>
      </x:c>
      <x:c r="K68" s="100" t="n">
        <x:v>18.33752</x:v>
      </x:c>
      <x:c r="L68" s="100" t="n">
        <x:v>82.95356</x:v>
      </x:c>
      <x:c r="M68" s="115" t="n">
        <x:f aca="0">IF($F68="Unconfirmed","",IFERROR(INDEX(S14_Growth_Model_ExAnte!$AJ$15:$AJ$81,MATCH($B68,S14_Growth_Model_ExAnte!$A$15:$A$81,0)),""))</x:f>
        <x:v>171.1833180385724</x:v>
      </x:c>
      <x:c r="N68" s="115" t="n">
        <x:f aca="0">IF($F68="Unconfirmed","",IFERROR(SUMIF(S15_Source_Strata!$B$4:$B$49,$P68,S15_Source_Strata!$N$4:$N$49),""))</x:f>
        <x:v>77.21594179654588</x:v>
      </x:c>
      <x:c r="O68" s="115" t="n">
        <x:f aca="0">IF($F68="Unconfirmed","",IFERROR(SUMIF(S15_Source_Strata!$B$4:$B$49,$P68,S15_Source_Strata!$X$4:$X$49),""))</x:f>
        <x:v>165.0053198897656</x:v>
      </x:c>
      <x:c r="P68" s="37" t="s">
        <x:v>695</x:v>
      </x:c>
      <x:c r="Q68" s="114" t="str">
        <x:v>Source parcel species counts → normalized 0.09-ha PSP species counts → Chapman-Richards D/H → Chave AGB/tree → PSP AGB/ha; stratum accounting links through S15_Source_Strata.</x:v>
      </x:c>
      <x:c r="R68" s="980" t="n">
        <x:f>'S13_PSP_Species_Support'!DJ66</x:f>
        <x:v>0.09</x:v>
      </x:c>
      <x:c r="S68" s="979" t="n">
        <x:f>'S13_PSP_Species_Support'!DK66</x:f>
        <x:v>96.51474530831099</x:v>
      </x:c>
      <x:c r="T68" s="979" t="n">
        <x:f>'S13_PSP_Species_Support'!DL66</x:f>
        <x:v>96.5151</x:v>
      </x:c>
      <x:c r="U68" s="979" t="n">
        <x:f>'S13_PSP_Species_Support'!DM66</x:f>
        <x:v>-0.0003546916890115881</x:v>
      </x:c>
    </x:row>
    <x:row r="69" ht="27.75" hidden="0" customHeight="1">
      <x:c r="A69" s="37" t="str">
        <x:v>Tropical &amp; Subtropical Moist Broadleaf Forests</x:v>
      </x:c>
      <x:c r="B69" s="37" t="s">
        <x:v>696</x:v>
      </x:c>
      <x:c r="C69" s="37" t="n">
        <x:v>8236</x:v>
      </x:c>
      <x:c r="D69" s="114" t="s">
        <x:v>652</x:v>
      </x:c>
      <x:c r="E69" s="37" t="s">
        <x:v>549</x:v>
      </x:c>
      <x:c r="F69" s="37" t="n">
        <x:v>2023</x:v>
      </x:c>
      <x:c r="G69" s="37" t="s">
        <x:v>543</x:v>
      </x:c>
      <x:c r="H69" s="100" t="n">
        <x:v>2.7937</x:v>
      </x:c>
      <x:c r="I69" s="100" t="n">
        <x:v>393.74</x:v>
      </x:c>
      <x:c r="J69" s="100" t="s">
        <x:v>670</x:v>
      </x:c>
      <x:c r="K69" s="100" t="n">
        <x:v>18.52249</x:v>
      </x:c>
      <x:c r="L69" s="100" t="n">
        <x:v>83.87287</x:v>
      </x:c>
      <x:c r="M69" s="115" t="n">
        <x:f aca="0">IF($F69="Unconfirmed","",IFERROR(INDEX(S14_Growth_Model_ExAnte!$AJ$15:$AJ$81,MATCH($B69,S14_Growth_Model_ExAnte!$A$15:$A$81,0)),""))</x:f>
        <x:v>7.000407885650638</x:v>
      </x:c>
      <x:c r="N69" s="115" t="n">
        <x:f aca="0">IF($F69="Unconfirmed","",IFERROR(SUMIF(S15_Source_Strata!$B$4:$B$49,$P69,S15_Source_Strata!$N$4:$N$49),""))</x:f>
        <x:v>4.289254918559658</x:v>
      </x:c>
      <x:c r="O69" s="115" t="n">
        <x:f aca="0">IF($F69="Unconfirmed","",IFERROR(SUMIF(S15_Source_Strata!$B$4:$B$49,$P69,S15_Source_Strata!$X$4:$X$49),""))</x:f>
        <x:v>9.165851810634095</x:v>
      </x:c>
      <x:c r="P69" s="37" t="s">
        <x:v>697</x:v>
      </x:c>
      <x:c r="Q69" s="114" t="str">
        <x:v>Source parcel species counts → normalized 0.09-ha PSP species counts → Chapman-Richards D/H → Chave AGB/tree → PSP AGB/ha; stratum accounting links through S15_Source_Strata.</x:v>
      </x:c>
      <x:c r="R69" s="980" t="n">
        <x:f>'S13_PSP_Species_Support'!DJ67</x:f>
        <x:v>0.09</x:v>
      </x:c>
      <x:c r="S69" s="979" t="n">
        <x:f>'S13_PSP_Species_Support'!DK67</x:f>
        <x:v>35.43687582775531</x:v>
      </x:c>
      <x:c r="T69" s="979" t="n">
        <x:f>'S13_PSP_Species_Support'!DL67</x:f>
        <x:v>35.4366</x:v>
      </x:c>
      <x:c r="U69" s="979" t="n">
        <x:f>'S13_PSP_Species_Support'!DM67</x:f>
        <x:v>0.00027582775530987647</x:v>
      </x:c>
    </x:row>
    <x:row r="70" ht="27.75" hidden="0" customHeight="1">
      <x:c r="A70" s="37" t="str">
        <x:v>Tropical &amp; Subtropical Dry Broadleaf Forests</x:v>
      </x:c>
      <x:c r="B70" s="37" t="s">
        <x:v>698</x:v>
      </x:c>
      <x:c r="C70" s="37" t="n">
        <x:v>9632</x:v>
      </x:c>
      <x:c r="D70" s="114" t="s">
        <x:v>652</x:v>
      </x:c>
      <x:c r="E70" s="37" t="s">
        <x:v>553</x:v>
      </x:c>
      <x:c r="F70" s="37" t="n">
        <x:v>2024</x:v>
      </x:c>
      <x:c r="G70" s="37" t="s">
        <x:v>543</x:v>
      </x:c>
      <x:c r="H70" s="100" t="n">
        <x:v>0.6416</x:v>
      </x:c>
      <x:c r="I70" s="100" t="n">
        <x:v>935.16</x:v>
      </x:c>
      <x:c r="J70" s="100" t="s">
        <x:v>660</x:v>
      </x:c>
      <x:c r="K70" s="100" t="n">
        <x:v>18.17115</x:v>
      </x:c>
      <x:c r="L70" s="100" t="n">
        <x:v>82.8879</x:v>
      </x:c>
      <x:c r="M70" s="115" t="n">
        <x:f aca="0">IF($F70="Unconfirmed","",IFERROR(INDEX(S14_Growth_Model_ExAnte!$AJ$15:$AJ$81,MATCH($B70,S14_Growth_Model_ExAnte!$A$15:$A$81,0)),""))</x:f>
        <x:v>20.692316414331078</x:v>
      </x:c>
      <x:c r="N70" s="115" t="n">
        <x:f aca="0">IF($F70="Unconfirmed","",IFERROR(SUMIF(S15_Source_Strata!$B$4:$B$49,$P70,S15_Source_Strata!$N$4:$N$49),""))</x:f>
        <x:v>10.240973851684613</x:v>
      </x:c>
      <x:c r="O70" s="115" t="n">
        <x:f aca="0">IF($F70="Unconfirmed","",IFERROR(SUMIF(S15_Source_Strata!$B$4:$B$49,$P70,S15_Source_Strata!$X$4:$X$49),""))</x:f>
        <x:v>21.884278389459922</x:v>
      </x:c>
      <x:c r="P70" s="37" t="s">
        <x:v>699</x:v>
      </x:c>
      <x:c r="Q70" s="114" t="str">
        <x:v>Source parcel species counts → normalized 0.09-ha PSP species counts → Chapman-Richards D/H → Chave AGB/tree → PSP AGB/ha; stratum accounting links through S15_Source_Strata.</x:v>
      </x:c>
      <x:c r="R70" s="980" t="n">
        <x:f>'S13_PSP_Species_Support'!DJ68</x:f>
        <x:v>0.09</x:v>
      </x:c>
      <x:c r="S70" s="979" t="n">
        <x:f>'S13_PSP_Species_Support'!DK68</x:f>
        <x:v>84.16458852867831</x:v>
      </x:c>
      <x:c r="T70" s="979" t="n">
        <x:f>'S13_PSP_Species_Support'!DL68</x:f>
        <x:v>84.1644</x:v>
      </x:c>
      <x:c r="U70" s="979" t="n">
        <x:f>'S13_PSP_Species_Support'!DM68</x:f>
        <x:v>0.00018852867830787545</x:v>
      </x:c>
    </x:row>
  </x:sheetData>
  <x:mergeCells>
    <x:mergeCell ref="A1:Q1"/>
  </x:mergeCells>
  <x:pageMargins left="0.7" right="0.7" top="0.75" bottom="0.75" header="0.3" footer="0.3"/>
</x:worksheet>
</file>

<file path=xl/worksheets/sheet11.xml><?xml version="1.0" encoding="utf-8"?>
<x:worksheet xmlns:x="http://schemas.openxmlformats.org/spreadsheetml/2006/main">
  <x:sheetPr>
    <x:tabColor rgb="FF2E75B6"/>
  </x:sheetPr>
  <x:sheetViews>
    <x:sheetView showGridLines="1" workbookViewId="0"/>
  </x:sheetViews>
  <x:sheetFormatPr defaultColWidth="8.6796875" defaultRowHeight="15"/>
  <x:cols>
    <x:col min="1" max="1" width="12" style="37" hidden="0" customWidth="1"/>
    <x:col min="2" max="2" width="8" style="37" hidden="0" customWidth="1"/>
    <x:col min="3" max="3" width="15" style="37" hidden="0" customWidth="1"/>
    <x:col min="4" max="4" width="9" style="37" hidden="0" customWidth="1"/>
    <x:col min="5" max="5" width="8" style="37" hidden="0" customWidth="1"/>
    <x:col min="6" max="7" width="10" style="37" hidden="0" customWidth="1"/>
    <x:col min="8" max="8" width="26" style="37" hidden="0" customWidth="1"/>
    <x:col min="9" max="9" width="10" style="37" hidden="0" customWidth="1"/>
    <x:col min="10" max="11" width="12" style="37" hidden="0" customWidth="1"/>
    <x:col min="12" max="12" width="10" style="37" hidden="0" customWidth="1"/>
    <x:col min="13" max="13" width="8" style="37" hidden="0" customWidth="1"/>
    <x:col min="14" max="14" width="12" style="37" hidden="0" customWidth="1"/>
    <x:col min="15" max="15" width="10" style="37" hidden="0" customWidth="1"/>
    <x:col min="16" max="17" width="11" style="37" hidden="0" customWidth="1"/>
    <x:col min="18" max="18" width="60" style="37" hidden="0" customWidth="1"/>
    <x:col min="19" max="19" width="16" style="1" hidden="0" customWidth="1"/>
    <x:col min="20" max="20" width="18" hidden="0" customWidth="1"/>
    <x:col min="21" max="21" width="18" hidden="0" customWidth="1"/>
  </x:cols>
  <x:sheetData>
    <x:row r="1" ht="24" hidden="0" customHeight="1">
      <x:c r="A1" s="38" t="s">
        <x:v>700</x:v>
      </x:c>
      <x:c r="B1" s="38"/>
      <x:c r="C1" s="38"/>
      <x:c r="D1" s="38"/>
      <x:c r="E1" s="38"/>
      <x:c r="F1" s="38"/>
      <x:c r="G1" s="38"/>
      <x:c r="H1" s="38"/>
      <x:c r="I1" s="38"/>
      <x:c r="J1" s="38"/>
      <x:c r="K1" s="38"/>
      <x:c r="L1" s="38"/>
      <x:c r="M1" s="38"/>
      <x:c r="N1" s="38"/>
      <x:c r="O1" s="38"/>
      <x:c r="P1" s="38"/>
      <x:c r="Q1" s="38"/>
      <x:c r="R1" s="38"/>
      <x:c r="S1" s="116"/>
    </x:row>
    <x:row r="2" ht="15" hidden="0" customHeight="1">
      <x:c r="A2" s="39" t="str">
        <x:v>One row per established PSP (sole biological data source for this ERR). Each plot is matched by its Biological Source Key to the Model x Density x Cohort stratum it helped anchor in S15_Source_Strata - the columns to the right show exactly which population statistics and conservative anchor that plot contributed to, and the resulting per-ha stock curve used in S17_Biome_Strata / the Biome x Model sheets.</x:v>
      </x:c>
      <x:c r="B2" s="39"/>
      <x:c r="C2" s="39"/>
      <x:c r="D2" s="39"/>
      <x:c r="E2" s="39"/>
      <x:c r="F2" s="39"/>
      <x:c r="G2" s="39"/>
      <x:c r="H2" s="39"/>
      <x:c r="I2" s="39"/>
      <x:c r="J2" s="39"/>
      <x:c r="K2" s="39"/>
      <x:c r="L2" s="39"/>
      <x:c r="M2" s="39"/>
      <x:c r="N2" s="39"/>
      <x:c r="O2" s="39"/>
      <x:c r="P2" s="39"/>
      <x:c r="Q2" s="39"/>
      <x:c r="R2" s="39"/>
      <x:c r="S2" s="45"/>
    </x:row>
    <x:row r="3" ht="99.75" hidden="0" customHeight="1">
      <x:c r="A3" s="117" t="str">
        <x:v>TRACEABILITY NOTE: no biomass/stock value in this register is pasted. Source parcel species counts are normalized to a fixed 30 m x 30 m (0.09 ha) PSP before Chapman-Richards + Chave calculation; stratum mean, SD, CV, anchor and stock are calculated in S15_Source_Strata. Population records/area are linked from S17_Biome_Strata.</x:v>
      </x:c>
      <x:c r="B3" s="117"/>
      <x:c r="C3" s="117"/>
      <x:c r="D3" s="117"/>
      <x:c r="E3" s="117"/>
      <x:c r="F3" s="117"/>
      <x:c r="G3" s="117"/>
      <x:c r="H3" s="117"/>
      <x:c r="I3" s="117"/>
      <x:c r="J3" s="117"/>
      <x:c r="K3" s="117"/>
      <x:c r="L3" s="117"/>
      <x:c r="M3" s="117"/>
      <x:c r="N3" s="117"/>
      <x:c r="O3" s="117"/>
      <x:c r="P3" s="117"/>
      <x:c r="Q3" s="117"/>
      <x:c r="R3" s="117"/>
      <x:c r="S3" s="118"/>
    </x:row>
    <x:row r="4" ht="34.5" hidden="0" customHeight="1"/>
    <x:row r="5" ht="63.75" hidden="0" customHeight="1"/>
    <x:row r="6" ht="63.75" hidden="0" customHeight="1">
      <x:c r="A6" s="41" t="s">
        <x:v>526</x:v>
      </x:c>
      <x:c r="B6" s="41" t="str">
        <x:v>Biome</x:v>
      </x:c>
      <x:c r="C6" s="41" t="s">
        <x:v>97</x:v>
      </x:c>
      <x:c r="D6" s="41" t="s">
        <x:v>528</x:v>
      </x:c>
      <x:c r="E6" s="41" t="s">
        <x:v>529</x:v>
      </x:c>
      <x:c r="F6" s="41" t="str">
        <x:v>Source parcel area ha</x:v>
      </x:c>
      <x:c r="G6" s="41" t="s">
        <x:v>701</x:v>
      </x:c>
      <x:c r="H6" s="41" t="s">
        <x:v>702</x:v>
      </x:c>
      <x:c r="I6" s="41" t="s">
        <x:v>703</x:v>
      </x:c>
      <x:c r="J6" s="41" t="s">
        <x:v>704</x:v>
      </x:c>
      <x:c r="K6" s="41" t="s">
        <x:v>705</x:v>
      </x:c>
      <x:c r="L6" s="41" t="s">
        <x:v>706</x:v>
      </x:c>
      <x:c r="M6" s="41" t="s">
        <x:v>707</x:v>
      </x:c>
      <x:c r="N6" s="41" t="s">
        <x:v>708</x:v>
      </x:c>
      <x:c r="O6" s="41" t="s">
        <x:v>709</x:v>
      </x:c>
      <x:c r="P6" s="41" t="s">
        <x:v>710</x:v>
      </x:c>
      <x:c r="Q6" s="41" t="s">
        <x:v>711</x:v>
      </x:c>
      <x:c r="R6" s="41" t="s">
        <x:v>712</x:v>
      </x:c>
      <x:c r="S6" s="92" t="s">
        <x:v>713</x:v>
      </x:c>
      <x:c r="T6" s="973" t="str">
        <x:v>PSP Area ha (30m x 30m)</x:v>
      </x:c>
      <x:c r="U6" s="973" t="str">
        <x:v>Expected Trees in 30m x 30m PSP</x:v>
      </x:c>
    </x:row>
    <x:row r="7" ht="63.75" hidden="0" customHeight="1">
      <x:c r="A7" s="119" t="str">
        <x:f aca="0">S13_PSP_Species_Support!A2</x:f>
        <x:v>PSP-FO-001</x:v>
      </x:c>
      <x:c r="B7" s="120" t="str">
        <x:f aca="0">S13_PSP_Species_Support!B2</x:f>
        <x:v>Tropical &amp; Subtropical Dry Broadleaf Forests</x:v>
      </x:c>
      <x:c r="C7" s="120" t="str">
        <x:f aca="0">S13_PSP_Species_Support!C2</x:f>
        <x:v>Fruit Orchard (Block)</x:v>
      </x:c>
      <x:c r="D7" s="120" t="str">
        <x:f aca="0">S13_PSP_Species_Support!D2</x:f>
        <x:v>High</x:v>
      </x:c>
      <x:c r="E7" s="120" t="n">
        <x:f aca="0">S13_PSP_Species_Support!E2</x:f>
        <x:v>2020</x:v>
      </x:c>
      <x:c r="F7" s="120" t="n">
        <x:f aca="0">S13_PSP_Species_Support!F2</x:f>
        <x:v>2.5834</x:v>
      </x:c>
      <x:c r="G7" s="120" t="n">
        <x:f aca="0">S13_PSP_Species_Support!G2</x:f>
        <x:v>615.86</x:v>
      </x:c>
      <x:c r="H7" s="120" t="str">
        <x:f aca="0">S13_PSP_Species_Support!H2</x:f>
        <x:v>CASHEW: 511; MANGO: 80; CUSTARD APPLE: 1000</x:v>
      </x:c>
      <x:c r="I7" s="120" t="str">
        <x:f aca="0">S15_Source_Strata!A7</x:f>
        <x:v>S04</x:v>
      </x:c>
      <x:c r="J7" s="120" t="str">
        <x:f aca="0">IF(S13_PSP_Species_Support!$E2="Unconfirmed","",S13_PSP_Species_Support!Q2)</x:f>
        <x:v>2/3</x:v>
      </x:c>
      <x:c r="K7" s="120" t="n">
        <x:f aca="0">IF(S13_PSP_Species_Support!$E2="Unconfirmed","",S13_PSP_Species_Support!J2)</x:f>
        <x:v>14.532301831369416</x:v>
      </x:c>
      <x:c r="L7" s="120" t="n">
        <x:f aca="0">IF(S13_PSP_Species_Support!$E2="Unconfirmed","",S13_PSP_Species_Support!K2)</x:f>
        <x:v>6.668232308770073</x:v>
      </x:c>
      <x:c r="M7" s="120" t="n">
        <x:f aca="0">IF(S13_PSP_Species_Support!$E2="Unconfirmed","",S13_PSP_Species_Support!L2)</x:f>
        <x:v>0.45885589125158627</x:v>
      </x:c>
      <x:c r="N7" s="120" t="n">
        <x:f aca="0">IF(S13_PSP_Species_Support!$E2="Unconfirmed","",S13_PSP_Species_Support!M2)</x:f>
        <x:v>10.899226373527062</x:v>
      </x:c>
      <x:c r="O7" s="120" t="n">
        <x:f aca="0">IF(S13_PSP_Species_Support!$E2="Unconfirmed","",S13_PSP_Species_Support!N2)</x:f>
        <x:v>0.75</x:v>
      </x:c>
      <x:c r="P7" s="120" t="n">
        <x:f aca="0">IF(S13_PSP_Species_Support!$E2="Unconfirmed","",S13_PSP_Species_Support!O2)</x:f>
        <x:v>23.290920145135782</x:v>
      </x:c>
      <x:c r="Q7" s="120" t="n">
        <x:f aca="0">IF(S13_PSP_Species_Support!$E2="Unconfirmed","",S13_PSP_Species_Support!P2)</x:f>
        <x:v>122.1687170856391</x:v>
      </x:c>
      <x:c r="R7"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7" s="120" t="n">
        <x:f aca="0">IF(S13_PSP_Species_Support!$E2="Unconfirmed","",SUMIF(S15_Source_Strata!$B$4:$B$49,S13_PSP_Species_Support!$I2,S15_Source_Strata!$F$4:$F$49))</x:f>
        <x:v>167</x:v>
      </x:c>
      <x:c r="T7" s="980" t="n">
        <x:f>'S13_PSP_Species_Support'!DJ2</x:f>
        <x:v>0.09</x:v>
      </x:c>
      <x:c r="U7" s="979" t="n">
        <x:f>'S13_PSP_Species_Support'!DK2</x:f>
        <x:v>55.42695672369745</x:v>
      </x:c>
    </x:row>
    <x:row r="8" ht="63.75" hidden="0" customHeight="1">
      <x:c r="A8" s="119" t="str">
        <x:f aca="0">S13_PSP_Species_Support!A3</x:f>
        <x:v>PSP-FO-002</x:v>
      </x:c>
      <x:c r="B8" s="120" t="str">
        <x:f aca="0">S13_PSP_Species_Support!B3</x:f>
        <x:v>Deserts &amp; Xeric Shrublands</x:v>
      </x:c>
      <x:c r="C8" s="120" t="str">
        <x:f aca="0">S13_PSP_Species_Support!C3</x:f>
        <x:v>Fruit Orchard (Block)</x:v>
      </x:c>
      <x:c r="D8" s="120" t="str">
        <x:f aca="0">S13_PSP_Species_Support!D3</x:f>
        <x:v>High</x:v>
      </x:c>
      <x:c r="E8" s="120" t="n">
        <x:f aca="0">S13_PSP_Species_Support!E3</x:f>
        <x:v>2020</x:v>
      </x:c>
      <x:c r="F8" s="120" t="n">
        <x:f aca="0">S13_PSP_Species_Support!F3</x:f>
        <x:v>2.18</x:v>
      </x:c>
      <x:c r="G8" s="120" t="n">
        <x:f aca="0">S13_PSP_Species_Support!G3</x:f>
        <x:v>495.41</x:v>
      </x:c>
      <x:c r="H8" s="120" t="str">
        <x:f aca="0">S13_PSP_Species_Support!H3</x:f>
        <x:v>POMEGRANATE: 900; MOSAMBI: 180</x:v>
      </x:c>
      <x:c r="I8" s="120" t="str">
        <x:f aca="0">S15_Source_Strata!A7</x:f>
        <x:v>S04</x:v>
      </x:c>
      <x:c r="J8" s="120" t="str">
        <x:f aca="0">IF(S13_PSP_Species_Support!$E3="Unconfirmed","",S13_PSP_Species_Support!Q3)</x:f>
        <x:v>2/3</x:v>
      </x:c>
      <x:c r="K8" s="120" t="n">
        <x:f aca="0">IF(S13_PSP_Species_Support!$E3="Unconfirmed","",S13_PSP_Species_Support!J3)</x:f>
        <x:v>14.532301831369416</x:v>
      </x:c>
      <x:c r="L8" s="120" t="n">
        <x:f aca="0">IF(S13_PSP_Species_Support!$E3="Unconfirmed","",S13_PSP_Species_Support!K3)</x:f>
        <x:v>6.668232308770073</x:v>
      </x:c>
      <x:c r="M8" s="120" t="n">
        <x:f aca="0">IF(S13_PSP_Species_Support!$E3="Unconfirmed","",S13_PSP_Species_Support!L3)</x:f>
        <x:v>0.45885589125158627</x:v>
      </x:c>
      <x:c r="N8" s="120" t="n">
        <x:f aca="0">IF(S13_PSP_Species_Support!$E3="Unconfirmed","",S13_PSP_Species_Support!M3)</x:f>
        <x:v>10.899226373527062</x:v>
      </x:c>
      <x:c r="O8" s="120" t="n">
        <x:f aca="0">IF(S13_PSP_Species_Support!$E3="Unconfirmed","",S13_PSP_Species_Support!N3)</x:f>
        <x:v>0.75</x:v>
      </x:c>
      <x:c r="P8" s="120" t="n">
        <x:f aca="0">IF(S13_PSP_Species_Support!$E3="Unconfirmed","",S13_PSP_Species_Support!O3)</x:f>
        <x:v>23.290920145135782</x:v>
      </x:c>
      <x:c r="Q8" s="120" t="n">
        <x:f aca="0">IF(S13_PSP_Species_Support!$E3="Unconfirmed","",S13_PSP_Species_Support!P3)</x:f>
        <x:v>122.1687170856391</x:v>
      </x:c>
      <x:c r="R8"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8" s="120" t="n">
        <x:f aca="0">IF(S13_PSP_Species_Support!$E3="Unconfirmed","",SUMIF(S15_Source_Strata!$B$4:$B$49,S13_PSP_Species_Support!$I3,S15_Source_Strata!$F$4:$F$49))</x:f>
        <x:v>167</x:v>
      </x:c>
      <x:c r="T8" s="980" t="n">
        <x:f>'S13_PSP_Species_Support'!DJ3</x:f>
        <x:v>0.09</x:v>
      </x:c>
      <x:c r="U8" s="979" t="n">
        <x:f>'S13_PSP_Species_Support'!DK3</x:f>
        <x:v>44.58715596330275</x:v>
      </x:c>
    </x:row>
    <x:row r="9" ht="63.75" hidden="0" customHeight="1">
      <x:c r="A9" s="119" t="str">
        <x:f aca="0">S13_PSP_Species_Support!A4</x:f>
        <x:v>PSP-FO-003</x:v>
      </x:c>
      <x:c r="B9" s="120" t="str">
        <x:f aca="0">S13_PSP_Species_Support!B4</x:f>
        <x:v>Tropical &amp; Subtropical Dry Broadleaf Forests</x:v>
      </x:c>
      <x:c r="C9" s="120" t="str">
        <x:f aca="0">S13_PSP_Species_Support!C4</x:f>
        <x:v>Fruit Orchard (Block)</x:v>
      </x:c>
      <x:c r="D9" s="120" t="str">
        <x:f aca="0">S13_PSP_Species_Support!D4</x:f>
        <x:v>Low</x:v>
      </x:c>
      <x:c r="E9" s="120" t="n">
        <x:f aca="0">S13_PSP_Species_Support!E4</x:f>
        <x:v>2020</x:v>
      </x:c>
      <x:c r="F9" s="120" t="n">
        <x:f aca="0">S13_PSP_Species_Support!F4</x:f>
        <x:v>0.7405</x:v>
      </x:c>
      <x:c r="G9" s="120" t="n">
        <x:f aca="0">S13_PSP_Species_Support!G4</x:f>
        <x:v>135.04</x:v>
      </x:c>
      <x:c r="H9" s="120" t="str">
        <x:f aca="0">S13_PSP_Species_Support!H4</x:f>
        <x:v>MANGO: 15; CASHEW: 75; GUAVA: 10</x:v>
      </x:c>
      <x:c r="I9" s="120" t="str">
        <x:f aca="0">S15_Source_Strata!A8</x:f>
        <x:v>S05</x:v>
      </x:c>
      <x:c r="J9" s="120" t="str">
        <x:f aca="0">IF(S13_PSP_Species_Support!$E4="Unconfirmed","",S13_PSP_Species_Support!Q4)</x:f>
        <x:v>1/3</x:v>
      </x:c>
      <x:c r="K9" s="120" t="n">
        <x:f aca="0">IF(S13_PSP_Species_Support!$E4="Unconfirmed","",S13_PSP_Species_Support!J4)</x:f>
        <x:v>8.821196112620466</x:v>
      </x:c>
      <x:c r="L9" s="120" t="n">
        <x:f aca="0">IF(S13_PSP_Species_Support!$E4="Unconfirmed","",S13_PSP_Species_Support!K4)</x:f>
        <x:v>4.798207319356463</x:v>
      </x:c>
      <x:c r="M9" s="120" t="n">
        <x:f aca="0">IF(S13_PSP_Species_Support!$E4="Unconfirmed","",S13_PSP_Species_Support!L4)</x:f>
        <x:v>0.5439406695075828</x:v>
      </x:c>
      <x:c r="N9" s="120" t="n">
        <x:f aca="0">IF(S13_PSP_Species_Support!$E4="Unconfirmed","",S13_PSP_Species_Support!M4)</x:f>
        <x:v>6.61589708446535</x:v>
      </x:c>
      <x:c r="O9" s="120" t="n">
        <x:f aca="0">IF(S13_PSP_Species_Support!$E4="Unconfirmed","",S13_PSP_Species_Support!N4)</x:f>
        <x:v>0.75</x:v>
      </x:c>
      <x:c r="P9" s="120" t="n">
        <x:f aca="0">IF(S13_PSP_Species_Support!$E4="Unconfirmed","",S13_PSP_Species_Support!O4)</x:f>
        <x:v>14.137731009696834</x:v>
      </x:c>
      <x:c r="Q9" s="120" t="n">
        <x:f aca="0">IF(S13_PSP_Species_Support!$E4="Unconfirmed","",S13_PSP_Species_Support!P4)</x:f>
        <x:v>102.12711804116768</x:v>
      </x:c>
      <x:c r="R9"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9" s="120" t="n">
        <x:f aca="0">IF(S13_PSP_Species_Support!$E4="Unconfirmed","",SUMIF(S15_Source_Strata!$B$4:$B$49,S13_PSP_Species_Support!$I4,S15_Source_Strata!$F$4:$F$49))</x:f>
        <x:v>188</x:v>
      </x:c>
      <x:c r="T9" s="980" t="n">
        <x:f>'S13_PSP_Species_Support'!DJ4</x:f>
        <x:v>0.09</x:v>
      </x:c>
      <x:c r="U9" s="979" t="n">
        <x:f>'S13_PSP_Species_Support'!DK4</x:f>
        <x:v>12.153950033760971</x:v>
      </x:c>
    </x:row>
    <x:row r="10" ht="63.75" hidden="0" customHeight="1">
      <x:c r="A10" s="119" t="str">
        <x:f aca="0">S13_PSP_Species_Support!A5</x:f>
        <x:v>PSP-FO-004</x:v>
      </x:c>
      <x:c r="B10" s="120" t="str">
        <x:f aca="0">S13_PSP_Species_Support!B5</x:f>
        <x:v>Deserts &amp; Xeric Shrublands</x:v>
      </x:c>
      <x:c r="C10" s="120" t="str">
        <x:f aca="0">S13_PSP_Species_Support!C5</x:f>
        <x:v>Fruit Orchard (Block)</x:v>
      </x:c>
      <x:c r="D10" s="120" t="str">
        <x:f aca="0">S13_PSP_Species_Support!D5</x:f>
        <x:v>Medium</x:v>
      </x:c>
      <x:c r="E10" s="120" t="n">
        <x:f aca="0">S13_PSP_Species_Support!E5</x:f>
        <x:v>2020</x:v>
      </x:c>
      <x:c r="F10" s="120" t="n">
        <x:f aca="0">S13_PSP_Species_Support!F5</x:f>
        <x:v>0.674</x:v>
      </x:c>
      <x:c r="G10" s="120" t="n">
        <x:f aca="0">S13_PSP_Species_Support!G5</x:f>
        <x:v>274.48</x:v>
      </x:c>
      <x:c r="H10" s="120" t="str">
        <x:f aca="0">S13_PSP_Species_Support!H5</x:f>
        <x:v>MANGO: 95; GUAVA: 80; ZAPOTA: 18</x:v>
      </x:c>
      <x:c r="I10" s="120" t="str">
        <x:f aca="0">S15_Source_Strata!A13</x:f>
        <x:v>S10</x:v>
      </x:c>
      <x:c r="J10" s="120" t="str">
        <x:f aca="0">IF(S13_PSP_Species_Support!$E5="Unconfirmed","",S13_PSP_Species_Support!Q5)</x:f>
        <x:v>2/7</x:v>
      </x:c>
      <x:c r="K10" s="120" t="n">
        <x:f aca="0">IF(S13_PSP_Species_Support!$E5="Unconfirmed","",S13_PSP_Species_Support!J5)</x:f>
        <x:v>14.696395039632932</x:v>
      </x:c>
      <x:c r="L10" s="120" t="n">
        <x:f aca="0">IF(S13_PSP_Species_Support!$E5="Unconfirmed","",S13_PSP_Species_Support!K5)</x:f>
        <x:v>9.166950046584212</x:v>
      </x:c>
      <x:c r="M10" s="120" t="n">
        <x:f aca="0">IF(S13_PSP_Species_Support!$E5="Unconfirmed","",S13_PSP_Species_Support!L5)</x:f>
        <x:v>0.6237550107943459</x:v>
      </x:c>
      <x:c r="N10" s="120" t="n">
        <x:f aca="0">IF(S13_PSP_Species_Support!$E5="Unconfirmed","",S13_PSP_Species_Support!M5)</x:f>
        <x:v>11.0222962797247</x:v>
      </x:c>
      <x:c r="O10" s="120" t="n">
        <x:f aca="0">IF(S13_PSP_Species_Support!$E5="Unconfirmed","",S13_PSP_Species_Support!N5)</x:f>
        <x:v>0.75</x:v>
      </x:c>
      <x:c r="P10" s="120" t="n">
        <x:f aca="0">IF(S13_PSP_Species_Support!$E5="Unconfirmed","",S13_PSP_Species_Support!O5)</x:f>
        <x:v>23.55391233001972</x:v>
      </x:c>
      <x:c r="Q10" s="120" t="n">
        <x:f aca="0">IF(S13_PSP_Species_Support!$E5="Unconfirmed","",S13_PSP_Species_Support!P5)</x:f>
        <x:v>166.58302893091556</x:v>
      </x:c>
      <x:c r="R10"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0" s="120" t="n">
        <x:f aca="0">IF(S13_PSP_Species_Support!$E5="Unconfirmed","",SUMIF(S15_Source_Strata!$B$4:$B$49,S13_PSP_Species_Support!$I5,S15_Source_Strata!$F$4:$F$49))</x:f>
        <x:v>441</x:v>
      </x:c>
      <x:c r="T10" s="980" t="n">
        <x:f>'S13_PSP_Species_Support'!DJ5</x:f>
        <x:v>0.09</x:v>
      </x:c>
      <x:c r="U10" s="979" t="n">
        <x:f>'S13_PSP_Species_Support'!DK5</x:f>
        <x:v>25.771513353115722</x:v>
      </x:c>
    </x:row>
    <x:row r="11" ht="63.75" hidden="0" customHeight="1">
      <x:c r="A11" s="119" t="str">
        <x:f aca="0">S13_PSP_Species_Support!A6</x:f>
        <x:v>PSP-FO-005</x:v>
      </x:c>
      <x:c r="B11" s="120" t="str">
        <x:f aca="0">S13_PSP_Species_Support!B6</x:f>
        <x:v>Tropical &amp; Subtropical Dry Broadleaf Forests</x:v>
      </x:c>
      <x:c r="C11" s="120" t="str">
        <x:f aca="0">S13_PSP_Species_Support!C6</x:f>
        <x:v>Fruit Orchard (Block)</x:v>
      </x:c>
      <x:c r="D11" s="120" t="str">
        <x:f aca="0">S13_PSP_Species_Support!D6</x:f>
        <x:v>Medium</x:v>
      </x:c>
      <x:c r="E11" s="120" t="n">
        <x:f aca="0">S13_PSP_Species_Support!E6</x:f>
        <x:v>2020</x:v>
      </x:c>
      <x:c r="F11" s="120" t="n">
        <x:f aca="0">S13_PSP_Species_Support!F6</x:f>
        <x:v>2.0024</x:v>
      </x:c>
      <x:c r="G11" s="120" t="n">
        <x:f aca="0">S13_PSP_Species_Support!G6</x:f>
        <x:v>199.76</x:v>
      </x:c>
      <x:c r="H11" s="120" t="str">
        <x:f aca="0">S13_PSP_Species_Support!H6</x:f>
        <x:v>MANGO: 100; CUSTARD APPLE: 100; LEMON: 100; MOSAMBI: 100</x:v>
      </x:c>
      <x:c r="I11" s="120" t="str">
        <x:f aca="0">S15_Source_Strata!A13</x:f>
        <x:v>S10</x:v>
      </x:c>
      <x:c r="J11" s="120" t="str">
        <x:f aca="0">IF(S13_PSP_Species_Support!$E6="Unconfirmed","",S13_PSP_Species_Support!Q6)</x:f>
        <x:v>2/7</x:v>
      </x:c>
      <x:c r="K11" s="120" t="n">
        <x:f aca="0">IF(S13_PSP_Species_Support!$E6="Unconfirmed","",S13_PSP_Species_Support!J6)</x:f>
        <x:v>14.696395039632932</x:v>
      </x:c>
      <x:c r="L11" s="120" t="n">
        <x:f aca="0">IF(S13_PSP_Species_Support!$E6="Unconfirmed","",S13_PSP_Species_Support!K6)</x:f>
        <x:v>9.166950046584212</x:v>
      </x:c>
      <x:c r="M11" s="120" t="n">
        <x:f aca="0">IF(S13_PSP_Species_Support!$E6="Unconfirmed","",S13_PSP_Species_Support!L6)</x:f>
        <x:v>0.6237550107943459</x:v>
      </x:c>
      <x:c r="N11" s="120" t="n">
        <x:f aca="0">IF(S13_PSP_Species_Support!$E6="Unconfirmed","",S13_PSP_Species_Support!M6)</x:f>
        <x:v>11.0222962797247</x:v>
      </x:c>
      <x:c r="O11" s="120" t="n">
        <x:f aca="0">IF(S13_PSP_Species_Support!$E6="Unconfirmed","",S13_PSP_Species_Support!N6)</x:f>
        <x:v>0.75</x:v>
      </x:c>
      <x:c r="P11" s="120" t="n">
        <x:f aca="0">IF(S13_PSP_Species_Support!$E6="Unconfirmed","",S13_PSP_Species_Support!O6)</x:f>
        <x:v>23.55391233001972</x:v>
      </x:c>
      <x:c r="Q11" s="120" t="n">
        <x:f aca="0">IF(S13_PSP_Species_Support!$E6="Unconfirmed","",S13_PSP_Species_Support!P6)</x:f>
        <x:v>166.58302893091556</x:v>
      </x:c>
      <x:c r="R11"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1" s="120" t="n">
        <x:f aca="0">IF(S13_PSP_Species_Support!$E6="Unconfirmed","",SUMIF(S15_Source_Strata!$B$4:$B$49,S13_PSP_Species_Support!$I6,S15_Source_Strata!$F$4:$F$49))</x:f>
        <x:v>441</x:v>
      </x:c>
      <x:c r="T11" s="980" t="n">
        <x:f>'S13_PSP_Species_Support'!DJ6</x:f>
        <x:v>0.09</x:v>
      </x:c>
      <x:c r="U11" s="979" t="n">
        <x:f>'S13_PSP_Species_Support'!DK6</x:f>
        <x:v>17.978425888933277</x:v>
      </x:c>
    </x:row>
    <x:row r="12" ht="63.75" hidden="0" customHeight="1">
      <x:c r="A12" s="119" t="str">
        <x:f aca="0">S13_PSP_Species_Support!A7</x:f>
        <x:v>PSP-FO-006</x:v>
      </x:c>
      <x:c r="B12" s="120" t="str">
        <x:f aca="0">S13_PSP_Species_Support!B7</x:f>
        <x:v>Deserts &amp; Xeric Shrublands</x:v>
      </x:c>
      <x:c r="C12" s="120" t="str">
        <x:f aca="0">S13_PSP_Species_Support!C7</x:f>
        <x:v>Fruit Orchard (Block)</x:v>
      </x:c>
      <x:c r="D12" s="120" t="str">
        <x:f aca="0">S13_PSP_Species_Support!D7</x:f>
        <x:v>Medium</x:v>
      </x:c>
      <x:c r="E12" s="120" t="n">
        <x:f aca="0">S13_PSP_Species_Support!E7</x:f>
        <x:v>2021</x:v>
      </x:c>
      <x:c r="F12" s="120" t="n">
        <x:f aca="0">S13_PSP_Species_Support!F7</x:f>
        <x:v>2.0529</x:v>
      </x:c>
      <x:c r="G12" s="120" t="n">
        <x:f aca="0">S13_PSP_Species_Support!G7</x:f>
        <x:v>268.89</x:v>
      </x:c>
      <x:c r="H12" s="120" t="str">
        <x:f aca="0">S13_PSP_Species_Support!H7</x:f>
        <x:v>MANGO: 540; JAMUN: 150; TAMARIND: 12</x:v>
      </x:c>
      <x:c r="I12" s="120" t="str">
        <x:f aca="0">S15_Source_Strata!A21</x:f>
        <x:v>S18</x:v>
      </x:c>
      <x:c r="J12" s="120" t="str">
        <x:f aca="0">IF(S13_PSP_Species_Support!$E7="Unconfirmed","",S13_PSP_Species_Support!Q7)</x:f>
        <x:v>2/7</x:v>
      </x:c>
      <x:c r="K12" s="120" t="n">
        <x:f aca="0">IF(S13_PSP_Species_Support!$E7="Unconfirmed","",S13_PSP_Species_Support!J7)</x:f>
        <x:v>10.68195792924608</x:v>
      </x:c>
      <x:c r="L12" s="120" t="n">
        <x:f aca="0">IF(S13_PSP_Species_Support!$E7="Unconfirmed","",S13_PSP_Species_Support!K7)</x:f>
        <x:v>8.104137145083643</x:v>
      </x:c>
      <x:c r="M12" s="120" t="n">
        <x:f aca="0">IF(S13_PSP_Species_Support!$E7="Unconfirmed","",S13_PSP_Species_Support!L7)</x:f>
        <x:v>0.7586752539902226</x:v>
      </x:c>
      <x:c r="N12" s="120" t="n">
        <x:f aca="0">IF(S13_PSP_Species_Support!$E7="Unconfirmed","",S13_PSP_Species_Support!M7)</x:f>
        <x:v>8.01146844693456</x:v>
      </x:c>
      <x:c r="O12" s="120" t="n">
        <x:f aca="0">IF(S13_PSP_Species_Support!$E7="Unconfirmed","",S13_PSP_Species_Support!N7)</x:f>
        <x:v>0.75</x:v>
      </x:c>
      <x:c r="P12" s="120" t="n">
        <x:f aca="0">IF(S13_PSP_Species_Support!$E7="Unconfirmed","",S13_PSP_Species_Support!O7)</x:f>
        <x:v>17.119973973202708</x:v>
      </x:c>
      <x:c r="Q12" s="120" t="n">
        <x:f aca="0">IF(S13_PSP_Species_Support!$E7="Unconfirmed","",S13_PSP_Species_Support!P7)</x:f>
        <x:v>193.2481367498435</x:v>
      </x:c>
      <x:c r="R12"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2" s="120" t="n">
        <x:f aca="0">IF(S13_PSP_Species_Support!$E7="Unconfirmed","",SUMIF(S15_Source_Strata!$B$4:$B$49,S13_PSP_Species_Support!$I7,S15_Source_Strata!$F$4:$F$49))</x:f>
        <x:v>153</x:v>
      </x:c>
      <x:c r="T12" s="980" t="n">
        <x:f>'S13_PSP_Species_Support'!DJ7</x:f>
        <x:v>0.09</x:v>
      </x:c>
      <x:c r="U12" s="979" t="n">
        <x:f>'S13_PSP_Species_Support'!DK7</x:f>
        <x:v>30.77597544936431</x:v>
      </x:c>
    </x:row>
    <x:row r="13" ht="63.75" hidden="0" customHeight="1">
      <x:c r="A13" s="119" t="str">
        <x:f aca="0">S13_PSP_Species_Support!A8</x:f>
        <x:v>PSP-FO-007</x:v>
      </x:c>
      <x:c r="B13" s="120" t="str">
        <x:f aca="0">S13_PSP_Species_Support!B8</x:f>
        <x:v>Tropical &amp; Subtropical Dry Broadleaf Forests</x:v>
      </x:c>
      <x:c r="C13" s="120" t="str">
        <x:f aca="0">S13_PSP_Species_Support!C8</x:f>
        <x:v>Fruit Orchard (Block)</x:v>
      </x:c>
      <x:c r="D13" s="120" t="str">
        <x:f aca="0">S13_PSP_Species_Support!D8</x:f>
        <x:v>Medium</x:v>
      </x:c>
      <x:c r="E13" s="120" t="n">
        <x:f aca="0">S13_PSP_Species_Support!E8</x:f>
        <x:v>2021</x:v>
      </x:c>
      <x:c r="F13" s="120" t="n">
        <x:f aca="0">S13_PSP_Species_Support!F8</x:f>
        <x:v>0.4429</x:v>
      </x:c>
      <x:c r="G13" s="120" t="n">
        <x:f aca="0">S13_PSP_Species_Support!G8</x:f>
        <x:v>203.21</x:v>
      </x:c>
      <x:c r="H13" s="120" t="str">
        <x:f aca="0">S13_PSP_Species_Support!H8</x:f>
        <x:v>LEMON: 30; MANGO: 20; CUSTARD APPLE: 30; ORANGE: 10</x:v>
      </x:c>
      <x:c r="I13" s="120" t="str">
        <x:f aca="0">S15_Source_Strata!A21</x:f>
        <x:v>S18</x:v>
      </x:c>
      <x:c r="J13" s="120" t="str">
        <x:f aca="0">IF(S13_PSP_Species_Support!$E8="Unconfirmed","",S13_PSP_Species_Support!Q8)</x:f>
        <x:v>2/7</x:v>
      </x:c>
      <x:c r="K13" s="120" t="n">
        <x:f aca="0">IF(S13_PSP_Species_Support!$E8="Unconfirmed","",S13_PSP_Species_Support!J8)</x:f>
        <x:v>10.68195792924608</x:v>
      </x:c>
      <x:c r="L13" s="120" t="n">
        <x:f aca="0">IF(S13_PSP_Species_Support!$E8="Unconfirmed","",S13_PSP_Species_Support!K8)</x:f>
        <x:v>8.104137145083643</x:v>
      </x:c>
      <x:c r="M13" s="120" t="n">
        <x:f aca="0">IF(S13_PSP_Species_Support!$E8="Unconfirmed","",S13_PSP_Species_Support!L8)</x:f>
        <x:v>0.7586752539902226</x:v>
      </x:c>
      <x:c r="N13" s="120" t="n">
        <x:f aca="0">IF(S13_PSP_Species_Support!$E8="Unconfirmed","",S13_PSP_Species_Support!M8)</x:f>
        <x:v>8.01146844693456</x:v>
      </x:c>
      <x:c r="O13" s="120" t="n">
        <x:f aca="0">IF(S13_PSP_Species_Support!$E8="Unconfirmed","",S13_PSP_Species_Support!N8)</x:f>
        <x:v>0.75</x:v>
      </x:c>
      <x:c r="P13" s="120" t="n">
        <x:f aca="0">IF(S13_PSP_Species_Support!$E8="Unconfirmed","",S13_PSP_Species_Support!O8)</x:f>
        <x:v>17.119973973202708</x:v>
      </x:c>
      <x:c r="Q13" s="120" t="n">
        <x:f aca="0">IF(S13_PSP_Species_Support!$E8="Unconfirmed","",S13_PSP_Species_Support!P8)</x:f>
        <x:v>193.2481367498435</x:v>
      </x:c>
      <x:c r="R13"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3" s="120" t="n">
        <x:f aca="0">IF(S13_PSP_Species_Support!$E8="Unconfirmed","",SUMIF(S15_Source_Strata!$B$4:$B$49,S13_PSP_Species_Support!$I8,S15_Source_Strata!$F$4:$F$49))</x:f>
        <x:v>153</x:v>
      </x:c>
      <x:c r="T13" s="980" t="n">
        <x:f>'S13_PSP_Species_Support'!DJ8</x:f>
        <x:v>0.09</x:v>
      </x:c>
      <x:c r="U13" s="979" t="n">
        <x:f>'S13_PSP_Species_Support'!DK8</x:f>
        <x:v>18.288552720704445</x:v>
      </x:c>
    </x:row>
    <x:row r="14" ht="63.75" hidden="0" customHeight="1">
      <x:c r="A14" s="119" t="str">
        <x:f aca="0">S13_PSP_Species_Support!A9</x:f>
        <x:v>PSP-FO-008</x:v>
      </x:c>
      <x:c r="B14" s="120" t="str">
        <x:f aca="0">S13_PSP_Species_Support!B9</x:f>
        <x:v>Deserts &amp; Xeric Shrublands</x:v>
      </x:c>
      <x:c r="C14" s="120" t="str">
        <x:f aca="0">S13_PSP_Species_Support!C9</x:f>
        <x:v>Fruit Orchard (Block)</x:v>
      </x:c>
      <x:c r="D14" s="120" t="str">
        <x:f aca="0">S13_PSP_Species_Support!D9</x:f>
        <x:v>High</x:v>
      </x:c>
      <x:c r="E14" s="120" t="n">
        <x:f aca="0">S13_PSP_Species_Support!E9</x:f>
        <x:v>2022</x:v>
      </x:c>
      <x:c r="F14" s="120" t="n">
        <x:f aca="0">S13_PSP_Species_Support!F9</x:f>
        <x:v>0.7879</x:v>
      </x:c>
      <x:c r="G14" s="120" t="n">
        <x:f aca="0">S13_PSP_Species_Support!G9</x:f>
        <x:v>654.91</x:v>
      </x:c>
      <x:c r="H14" s="120" t="str">
        <x:f aca="0">S13_PSP_Species_Support!H9</x:f>
        <x:v>MOSAMBI: 500; JAMUN: 8; MANGO: 8; TAMARIND: 6</x:v>
      </x:c>
      <x:c r="I14" s="120" t="str">
        <x:f aca="0">S15_Source_Strata!A34</x:f>
        <x:v>S31</x:v>
      </x:c>
      <x:c r="J14" s="120" t="str">
        <x:f aca="0">IF(S13_PSP_Species_Support!$E9="Unconfirmed","",S13_PSP_Species_Support!Q9)</x:f>
        <x:v>1/3</x:v>
      </x:c>
      <x:c r="K14" s="120" t="n">
        <x:f aca="0">IF(S13_PSP_Species_Support!$E9="Unconfirmed","",S13_PSP_Species_Support!J9)</x:f>
        <x:v>6.133009810088883</x:v>
      </x:c>
      <x:c r="L14" s="120" t="n">
        <x:f aca="0">IF(S13_PSP_Species_Support!$E9="Unconfirmed","",S13_PSP_Species_Support!K9)</x:f>
        <x:v>2.3733326523359404</x:v>
      </x:c>
      <x:c r="M14" s="120" t="n">
        <x:f aca="0">IF(S13_PSP_Species_Support!$E9="Unconfirmed","",S13_PSP_Species_Support!L9)</x:f>
        <x:v>0.3869768230978168</x:v>
      </x:c>
      <x:c r="N14" s="120" t="n">
        <x:f aca="0">IF(S13_PSP_Species_Support!$E9="Unconfirmed","",S13_PSP_Species_Support!M9)</x:f>
        <x:v>4.599757357566662</x:v>
      </x:c>
      <x:c r="O14" s="120" t="n">
        <x:f aca="0">IF(S13_PSP_Species_Support!$E9="Unconfirmed","",S13_PSP_Species_Support!N9)</x:f>
        <x:v>0.75</x:v>
      </x:c>
      <x:c r="P14" s="120" t="n">
        <x:f aca="0">IF(S13_PSP_Species_Support!$E9="Unconfirmed","",S13_PSP_Species_Support!O9)</x:f>
        <x:v>9.829374822629461</x:v>
      </x:c>
      <x:c r="Q14" s="120" t="n">
        <x:f aca="0">IF(S13_PSP_Species_Support!$E9="Unconfirmed","",S13_PSP_Species_Support!P9)</x:f>
        <x:v>130.62168649784536</x:v>
      </x:c>
      <x:c r="R14"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4" s="120" t="n">
        <x:f aca="0">IF(S13_PSP_Species_Support!$E9="Unconfirmed","",SUMIF(S15_Source_Strata!$B$4:$B$49,S13_PSP_Species_Support!$I9,S15_Source_Strata!$F$4:$F$49))</x:f>
        <x:v>86</x:v>
      </x:c>
      <x:c r="T14" s="980" t="n">
        <x:f>'S13_PSP_Species_Support'!DJ9</x:f>
        <x:v>0.09</x:v>
      </x:c>
      <x:c r="U14" s="979" t="n">
        <x:f>'S13_PSP_Species_Support'!DK9</x:f>
        <x:v>59.62685620002539</x:v>
      </x:c>
    </x:row>
    <x:row r="15" ht="63.75" hidden="0" customHeight="1">
      <x:c r="A15" s="119" t="str">
        <x:f aca="0">S13_PSP_Species_Support!A10</x:f>
        <x:v>PSP-FO-009</x:v>
      </x:c>
      <x:c r="B15" s="120" t="str">
        <x:f aca="0">S13_PSP_Species_Support!B10</x:f>
        <x:v>Deserts &amp; Xeric Shrublands</x:v>
      </x:c>
      <x:c r="C15" s="120" t="str">
        <x:f aca="0">S13_PSP_Species_Support!C10</x:f>
        <x:v>Fruit Orchard (Block)</x:v>
      </x:c>
      <x:c r="D15" s="120" t="str">
        <x:f aca="0">S13_PSP_Species_Support!D10</x:f>
        <x:v>Medium</x:v>
      </x:c>
      <x:c r="E15" s="120" t="n">
        <x:f aca="0">S13_PSP_Species_Support!E10</x:f>
        <x:v>2022</x:v>
      </x:c>
      <x:c r="F15" s="120" t="n">
        <x:f aca="0">S13_PSP_Species_Support!F10</x:f>
        <x:v>1.5855</x:v>
      </x:c>
      <x:c r="G15" s="120" t="n">
        <x:f aca="0">S13_PSP_Species_Support!G10</x:f>
        <x:v>283.82</x:v>
      </x:c>
      <x:c r="H15" s="120" t="str">
        <x:f aca="0">S13_PSP_Species_Support!H10</x:f>
        <x:v>MANGO: 100; JAMUN: 10; MOSAMBI: 420</x:v>
      </x:c>
      <x:c r="I15" s="120" t="str">
        <x:f aca="0">S15_Source_Strata!A28</x:f>
        <x:v>S25</x:v>
      </x:c>
      <x:c r="J15" s="120" t="str">
        <x:f aca="0">IF(S13_PSP_Species_Support!$E10="Unconfirmed","",S13_PSP_Species_Support!Q10)</x:f>
        <x:v>2/7</x:v>
      </x:c>
      <x:c r="K15" s="120" t="n">
        <x:f aca="0">IF(S13_PSP_Species_Support!$E10="Unconfirmed","",S13_PSP_Species_Support!J10)</x:f>
        <x:v>4.546069523273433</x:v>
      </x:c>
      <x:c r="L15" s="120" t="n">
        <x:f aca="0">IF(S13_PSP_Species_Support!$E10="Unconfirmed","",S13_PSP_Species_Support!K10)</x:f>
        <x:v>0.558202187631231</x:v>
      </x:c>
      <x:c r="M15" s="120" t="n">
        <x:f aca="0">IF(S13_PSP_Species_Support!$E10="Unconfirmed","",S13_PSP_Species_Support!L10)</x:f>
        <x:v>0.12278786867942423</x:v>
      </x:c>
      <x:c r="N15" s="120" t="n">
        <x:f aca="0">IF(S13_PSP_Species_Support!$E10="Unconfirmed","",S13_PSP_Species_Support!M10)</x:f>
        <x:v>3.4095521424550745</x:v>
      </x:c>
      <x:c r="O15" s="120" t="n">
        <x:f aca="0">IF(S13_PSP_Species_Support!$E10="Unconfirmed","",S13_PSP_Species_Support!N10)</x:f>
        <x:v>0.75</x:v>
      </x:c>
      <x:c r="P15" s="120" t="n">
        <x:f aca="0">IF(S13_PSP_Species_Support!$E10="Unconfirmed","",S13_PSP_Species_Support!O10)</x:f>
        <x:v>7.285985624950337</x:v>
      </x:c>
      <x:c r="Q15" s="120" t="n">
        <x:f aca="0">IF(S13_PSP_Species_Support!$E10="Unconfirmed","",S13_PSP_Species_Support!P10)</x:f>
        <x:v>115.74500348381126</x:v>
      </x:c>
      <x:c r="R15"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5" s="120" t="n">
        <x:f aca="0">IF(S13_PSP_Species_Support!$E10="Unconfirmed","",SUMIF(S15_Source_Strata!$B$4:$B$49,S13_PSP_Species_Support!$I10,S15_Source_Strata!$F$4:$F$49))</x:f>
        <x:v>117</x:v>
      </x:c>
      <x:c r="T15" s="980" t="n">
        <x:f>'S13_PSP_Species_Support'!DJ10</x:f>
        <x:v>0.09</x:v>
      </x:c>
      <x:c r="U15" s="979" t="n">
        <x:f>'S13_PSP_Species_Support'!DK10</x:f>
        <x:v>30.085146641438033</x:v>
      </x:c>
    </x:row>
    <x:row r="16" ht="63.75" hidden="0" customHeight="1">
      <x:c r="A16" s="119" t="str">
        <x:f aca="0">S13_PSP_Species_Support!A11</x:f>
        <x:v>PSP-FO-010</x:v>
      </x:c>
      <x:c r="B16" s="120" t="str">
        <x:f aca="0">S13_PSP_Species_Support!B11</x:f>
        <x:v>Tropical &amp; Subtropical Moist Broadleaf Forests</x:v>
      </x:c>
      <x:c r="C16" s="120" t="str">
        <x:f aca="0">S13_PSP_Species_Support!C11</x:f>
        <x:v>Fruit Orchard (Block)</x:v>
      </x:c>
      <x:c r="D16" s="120" t="str">
        <x:f aca="0">S13_PSP_Species_Support!D11</x:f>
        <x:v>Medium</x:v>
      </x:c>
      <x:c r="E16" s="120" t="n">
        <x:f aca="0">S13_PSP_Species_Support!E11</x:f>
        <x:v>2022</x:v>
      </x:c>
      <x:c r="F16" s="120" t="n">
        <x:f aca="0">S13_PSP_Species_Support!F11</x:f>
        <x:v>0.8609</x:v>
      </x:c>
      <x:c r="G16" s="120" t="n">
        <x:f aca="0">S13_PSP_Species_Support!G11</x:f>
        <x:v>238.12</x:v>
      </x:c>
      <x:c r="H16" s="120" t="str">
        <x:f aca="0">S13_PSP_Species_Support!H11</x:f>
        <x:v>CASHEW: 205</x:v>
      </x:c>
      <x:c r="I16" s="120" t="str">
        <x:f aca="0">S15_Source_Strata!A28</x:f>
        <x:v>S25</x:v>
      </x:c>
      <x:c r="J16" s="120" t="str">
        <x:f aca="0">IF(S13_PSP_Species_Support!$E11="Unconfirmed","",S13_PSP_Species_Support!Q11)</x:f>
        <x:v>2/7</x:v>
      </x:c>
      <x:c r="K16" s="120" t="n">
        <x:f aca="0">IF(S13_PSP_Species_Support!$E11="Unconfirmed","",S13_PSP_Species_Support!J11)</x:f>
        <x:v>4.546069523273433</x:v>
      </x:c>
      <x:c r="L16" s="120" t="n">
        <x:f aca="0">IF(S13_PSP_Species_Support!$E11="Unconfirmed","",S13_PSP_Species_Support!K11)</x:f>
        <x:v>0.558202187631231</x:v>
      </x:c>
      <x:c r="M16" s="120" t="n">
        <x:f aca="0">IF(S13_PSP_Species_Support!$E11="Unconfirmed","",S13_PSP_Species_Support!L11)</x:f>
        <x:v>0.12278786867942423</x:v>
      </x:c>
      <x:c r="N16" s="120" t="n">
        <x:f aca="0">IF(S13_PSP_Species_Support!$E11="Unconfirmed","",S13_PSP_Species_Support!M11)</x:f>
        <x:v>3.4095521424550745</x:v>
      </x:c>
      <x:c r="O16" s="120" t="n">
        <x:f aca="0">IF(S13_PSP_Species_Support!$E11="Unconfirmed","",S13_PSP_Species_Support!N11)</x:f>
        <x:v>0.75</x:v>
      </x:c>
      <x:c r="P16" s="120" t="n">
        <x:f aca="0">IF(S13_PSP_Species_Support!$E11="Unconfirmed","",S13_PSP_Species_Support!O11)</x:f>
        <x:v>7.285985624950337</x:v>
      </x:c>
      <x:c r="Q16" s="120" t="n">
        <x:f aca="0">IF(S13_PSP_Species_Support!$E11="Unconfirmed","",S13_PSP_Species_Support!P11)</x:f>
        <x:v>115.74500348381126</x:v>
      </x:c>
      <x:c r="R16"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6" s="120" t="n">
        <x:f aca="0">IF(S13_PSP_Species_Support!$E11="Unconfirmed","",SUMIF(S15_Source_Strata!$B$4:$B$49,S13_PSP_Species_Support!$I11,S15_Source_Strata!$F$4:$F$49))</x:f>
        <x:v>117</x:v>
      </x:c>
      <x:c r="T16" s="980" t="n">
        <x:f>'S13_PSP_Species_Support'!DJ11</x:f>
        <x:v>0.09</x:v>
      </x:c>
      <x:c r="U16" s="979" t="n">
        <x:f>'S13_PSP_Species_Support'!DK11</x:f>
        <x:v>21.43106051806249</x:v>
      </x:c>
    </x:row>
    <x:row r="17" ht="53.25" hidden="0" customHeight="1">
      <x:c r="A17" s="119" t="str">
        <x:f aca="0">S13_PSP_Species_Support!A12</x:f>
        <x:v>PSP-FO-011</x:v>
      </x:c>
      <x:c r="B17" s="120" t="str">
        <x:f aca="0">S13_PSP_Species_Support!B12</x:f>
        <x:v>Tropical &amp; Subtropical Dry Broadleaf Forests</x:v>
      </x:c>
      <x:c r="C17" s="120" t="str">
        <x:f aca="0">S13_PSP_Species_Support!C12</x:f>
        <x:v>Fruit Orchard (Block)</x:v>
      </x:c>
      <x:c r="D17" s="120" t="str">
        <x:f aca="0">S13_PSP_Species_Support!D12</x:f>
        <x:v>Low</x:v>
      </x:c>
      <x:c r="E17" s="120" t="n">
        <x:f aca="0">S13_PSP_Species_Support!E12</x:f>
        <x:v>2023</x:v>
      </x:c>
      <x:c r="F17" s="120" t="n">
        <x:f aca="0">S13_PSP_Species_Support!F12</x:f>
        <x:v>0.8069</x:v>
      </x:c>
      <x:c r="G17" s="120" t="n">
        <x:f aca="0">S13_PSP_Species_Support!G12</x:f>
        <x:v>99.14</x:v>
      </x:c>
      <x:c r="H17" s="120" t="str">
        <x:f aca="0">S13_PSP_Species_Support!H12</x:f>
        <x:v>MANGO: 30; CUSTARD APPLE: 20; LEMON: 20; MOSAMBI: 10</x:v>
      </x:c>
      <x:c r="I17" s="120" t="str">
        <x:f aca="0">S15_Source_Strata!A41</x:f>
        <x:v>S38</x:v>
      </x:c>
      <x:c r="J17" s="120" t="str">
        <x:f aca="0">IF(S13_PSP_Species_Support!$E12="Unconfirmed","",S13_PSP_Species_Support!Q12)</x:f>
        <x:v>1/3</x:v>
      </x:c>
      <x:c r="K17" s="120" t="n">
        <x:f aca="0">IF(S13_PSP_Species_Support!$E12="Unconfirmed","",S13_PSP_Species_Support!J12)</x:f>
        <x:v>1.1955098205664028</x:v>
      </x:c>
      <x:c r="L17" s="120" t="n">
        <x:f aca="0">IF(S13_PSP_Species_Support!$E12="Unconfirmed","",S13_PSP_Species_Support!K12)</x:f>
        <x:v>0.6073833746315868</x:v>
      </x:c>
      <x:c r="M17" s="120" t="n">
        <x:f aca="0">IF(S13_PSP_Species_Support!$E12="Unconfirmed","",S13_PSP_Species_Support!L12)</x:f>
        <x:v>0.5080538563404052</x:v>
      </x:c>
      <x:c r="N17" s="120" t="n">
        <x:f aca="0">IF(S13_PSP_Species_Support!$E12="Unconfirmed","",S13_PSP_Species_Support!M12)</x:f>
        <x:v>0.8966323654248021</x:v>
      </x:c>
      <x:c r="O17" s="120" t="n">
        <x:f aca="0">IF(S13_PSP_Species_Support!$E12="Unconfirmed","",S13_PSP_Species_Support!N12)</x:f>
        <x:v>0.75</x:v>
      </x:c>
      <x:c r="P17" s="120" t="n">
        <x:f aca="0">IF(S13_PSP_Species_Support!$E12="Unconfirmed","",S13_PSP_Species_Support!O12)</x:f>
        <x:v>1.9160435894217756</x:v>
      </x:c>
      <x:c r="Q17" s="120" t="n">
        <x:f aca="0">IF(S13_PSP_Species_Support!$E12="Unconfirmed","",S13_PSP_Species_Support!P12)</x:f>
        <x:v>88.99557408183094</x:v>
      </x:c>
      <x:c r="R17"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7" s="120" t="n">
        <x:f aca="0">IF(S13_PSP_Species_Support!$E12="Unconfirmed","",SUMIF(S15_Source_Strata!$B$4:$B$49,S13_PSP_Species_Support!$I12,S15_Source_Strata!$F$4:$F$49))</x:f>
        <x:v>18</x:v>
      </x:c>
      <x:c r="T17" s="980" t="n">
        <x:f>'S13_PSP_Species_Support'!DJ12</x:f>
        <x:v>0.09</x:v>
      </x:c>
      <x:c r="U17" s="979" t="n">
        <x:f>'S13_PSP_Species_Support'!DK12</x:f>
        <x:v>8.92303879043252</x:v>
      </x:c>
    </x:row>
    <x:row r="18" ht="63.75" hidden="0" customHeight="1">
      <x:c r="A18" s="119" t="str">
        <x:f aca="0">S13_PSP_Species_Support!A13</x:f>
        <x:v>PSP-FO-012</x:v>
      </x:c>
      <x:c r="B18" s="120" t="str">
        <x:f aca="0">S13_PSP_Species_Support!B13</x:f>
        <x:v>Tropical &amp; Subtropical Dry Broadleaf Forests</x:v>
      </x:c>
      <x:c r="C18" s="120" t="str">
        <x:f aca="0">S13_PSP_Species_Support!C13</x:f>
        <x:v>Fruit Orchard (Block)</x:v>
      </x:c>
      <x:c r="D18" s="120" t="str">
        <x:f aca="0">S13_PSP_Species_Support!D13</x:f>
        <x:v>Medium</x:v>
      </x:c>
      <x:c r="E18" s="120" t="n">
        <x:f aca="0">S13_PSP_Species_Support!E13</x:f>
        <x:v>2024</x:v>
      </x:c>
      <x:c r="F18" s="120" t="n">
        <x:f aca="0">S13_PSP_Species_Support!F13</x:f>
        <x:v>0.3289</x:v>
      </x:c>
      <x:c r="G18" s="120" t="n">
        <x:f aca="0">S13_PSP_Species_Support!G13</x:f>
        <x:v>304.04</x:v>
      </x:c>
      <x:c r="H18" s="120" t="str">
        <x:f aca="0">S13_PSP_Species_Support!H13</x:f>
        <x:v>MANGO: 30; GUAVA: 10; CUSTARD APPLE: 30; LEMON: 20; MOSAMBI: 10</x:v>
      </x:c>
      <x:c r="I18" s="120" t="str">
        <x:f aca="0">S15_Source_Strata!A46</x:f>
        <x:v>S43</x:v>
      </x:c>
      <x:c r="J18" s="120" t="str">
        <x:f aca="0">IF(S13_PSP_Species_Support!$E13="Unconfirmed","",S13_PSP_Species_Support!Q13)</x:f>
        <x:v>1/7</x:v>
      </x:c>
      <x:c r="K18" s="120" t="n">
        <x:f aca="0">IF(S13_PSP_Species_Support!$E13="Unconfirmed","",S13_PSP_Species_Support!J13)</x:f>
        <x:v>0.53930008541123</x:v>
      </x:c>
      <x:c r="L18" s="120" t="n">
        <x:f aca="0">IF(S13_PSP_Species_Support!$E13="Unconfirmed","",S13_PSP_Species_Support!K13)</x:f>
        <x:v>0.22439991230786968</x:v>
      </x:c>
      <x:c r="M18" s="120" t="n">
        <x:f aca="0">IF(S13_PSP_Species_Support!$E13="Unconfirmed","",S13_PSP_Species_Support!L13)</x:f>
        <x:v>0.41609470938013865</x:v>
      </x:c>
      <x:c r="N18" s="120" t="n">
        <x:f aca="0">IF(S13_PSP_Species_Support!$E13="Unconfirmed","",S13_PSP_Species_Support!M13)</x:f>
        <x:v>0.4044750640584225</x:v>
      </x:c>
      <x:c r="O18" s="120" t="n">
        <x:f aca="0">IF(S13_PSP_Species_Support!$E13="Unconfirmed","",S13_PSP_Species_Support!N13)</x:f>
        <x:v>0.75</x:v>
      </x:c>
      <x:c r="P18" s="120" t="n">
        <x:f aca="0">IF(S13_PSP_Species_Support!$E13="Unconfirmed","",S13_PSP_Species_Support!O13)</x:f>
        <x:v>0.864336246888579</x:v>
      </x:c>
      <x:c r="Q18" s="120" t="n">
        <x:f aca="0">IF(S13_PSP_Species_Support!$E13="Unconfirmed","",S13_PSP_Species_Support!P13)</x:f>
        <x:v>133.81788409296183</x:v>
      </x:c>
      <x:c r="R18"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8" s="120" t="n">
        <x:f aca="0">IF(S13_PSP_Species_Support!$E13="Unconfirmed","",SUMIF(S15_Source_Strata!$B$4:$B$49,S13_PSP_Species_Support!$I13,S15_Source_Strata!$F$4:$F$49))</x:f>
        <x:v>1</x:v>
      </x:c>
      <x:c r="T18" s="980" t="n">
        <x:f>'S13_PSP_Species_Support'!DJ13</x:f>
        <x:v>0.09</x:v>
      </x:c>
      <x:c r="U18" s="979" t="n">
        <x:f>'S13_PSP_Species_Support'!DK13</x:f>
        <x:v>27.363940407418664</x:v>
      </x:c>
    </x:row>
    <x:row r="19" ht="63.75" hidden="0" customHeight="1">
      <x:c r="A19" s="119" t="str">
        <x:f aca="0">S13_PSP_Species_Support!A14</x:f>
        <x:v>PSP-FO-013</x:v>
      </x:c>
      <x:c r="B19" s="120" t="str">
        <x:f aca="0">S13_PSP_Species_Support!B14</x:f>
        <x:v>Tropical &amp; Subtropical Dry Broadleaf Forests</x:v>
      </x:c>
      <x:c r="C19" s="120" t="str">
        <x:f aca="0">S13_PSP_Species_Support!C14</x:f>
        <x:v>Fruit Orchard (Block)</x:v>
      </x:c>
      <x:c r="D19" s="120" t="str">
        <x:f aca="0">S13_PSP_Species_Support!D14</x:f>
        <x:v>Low</x:v>
      </x:c>
      <x:c r="E19" s="120" t="str">
        <x:f aca="0">S13_PSP_Species_Support!E14</x:f>
        <x:v>Unconfirmed</x:v>
      </x:c>
      <x:c r="F19" s="120" t="n">
        <x:f aca="0">S13_PSP_Species_Support!F14</x:f>
        <x:v>1.78065560501821</x:v>
      </x:c>
      <x:c r="G19" s="120" t="n">
        <x:f aca="0">S13_PSP_Species_Support!G14</x:f>
        <x:v>172.97</x:v>
      </x:c>
      <x:c r="H19" s="120" t="str">
        <x:f aca="0">S13_PSP_Species_Support!H14</x:f>
        <x:v>MANGO: 308</x:v>
      </x:c>
      <x:c r="I19" s="120" t="str">
        <x:f aca="0">""</x:f>
      </x:c>
      <x:c r="J19" s="120" t="str">
        <x:f aca="0">IF(S13_PSP_Species_Support!$E14="Unconfirmed","",S13_PSP_Species_Support!Q14)</x:f>
      </x:c>
      <x:c r="K19" s="120" t="str">
        <x:f aca="0">IF(S13_PSP_Species_Support!$E14="Unconfirmed","",S13_PSP_Species_Support!J14)</x:f>
      </x:c>
      <x:c r="L19" s="120" t="str">
        <x:f aca="0">IF(S13_PSP_Species_Support!$E14="Unconfirmed","",S13_PSP_Species_Support!K14)</x:f>
      </x:c>
      <x:c r="M19" s="120" t="str">
        <x:f aca="0">IF(S13_PSP_Species_Support!$E14="Unconfirmed","",S13_PSP_Species_Support!L14)</x:f>
      </x:c>
      <x:c r="N19" s="120" t="str">
        <x:f aca="0">IF(S13_PSP_Species_Support!$E14="Unconfirmed","",S13_PSP_Species_Support!M14)</x:f>
      </x:c>
      <x:c r="O19" s="120" t="str">
        <x:f aca="0">IF(S13_PSP_Species_Support!$E14="Unconfirmed","",S13_PSP_Species_Support!N14)</x:f>
      </x:c>
      <x:c r="P19" s="120" t="str">
        <x:f aca="0">IF(S13_PSP_Species_Support!$E14="Unconfirmed","",S13_PSP_Species_Support!O14)</x:f>
      </x:c>
      <x:c r="Q19" s="120" t="str">
        <x:f aca="0">IF(S13_PSP_Species_Support!$E14="Unconfirmed","",S13_PSP_Species_Support!P14)</x:f>
      </x:c>
      <x:c r="R19" s="85"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19" s="120" t="str">
        <x:f aca="0">IF(S13_PSP_Species_Support!$E14="Unconfirmed","",SUMIF(S15_Source_Strata!$B$4:$B$49,S13_PSP_Species_Support!$I14,S15_Source_Strata!$F$4:$F$49))</x:f>
      </x:c>
      <x:c r="T19" s="980" t="n">
        <x:f>'S13_PSP_Species_Support'!DJ14</x:f>
        <x:v>0.09</x:v>
      </x:c>
      <x:c r="U19" s="979" t="n">
        <x:f>'S13_PSP_Species_Support'!DK14</x:f>
        <x:v>15.56730000000001</x:v>
      </x:c>
    </x:row>
    <x:row r="20" ht="63.75" hidden="0" customHeight="1">
      <x:c r="A20" s="119" t="str">
        <x:f aca="0">S13_PSP_Species_Support!A15</x:f>
        <x:v>PSP-HS-001</x:v>
      </x:c>
      <x:c r="B20" s="120" t="str">
        <x:f aca="0">S13_PSP_Species_Support!B15</x:f>
        <x:v>Tropical &amp; Subtropical Dry Broadleaf Forests</x:v>
      </x:c>
      <x:c r="C20" s="120" t="str">
        <x:f aca="0">S13_PSP_Species_Support!C15</x:f>
        <x:v>Horti-Silviculture</x:v>
      </x:c>
      <x:c r="D20" s="120" t="str">
        <x:f aca="0">S13_PSP_Species_Support!D15</x:f>
        <x:v>High</x:v>
      </x:c>
      <x:c r="E20" s="120" t="n">
        <x:f aca="0">S13_PSP_Species_Support!E15</x:f>
        <x:v>2020</x:v>
      </x:c>
      <x:c r="F20" s="120" t="n">
        <x:f aca="0">S13_PSP_Species_Support!F15</x:f>
        <x:v>0.494</x:v>
      </x:c>
      <x:c r="G20" s="120" t="n">
        <x:f aca="0">S13_PSP_Species_Support!G15</x:f>
        <x:v>2530.36</x:v>
      </x:c>
      <x:c r="H20" s="120" t="str">
        <x:f aca="0">S13_PSP_Species_Support!H15</x:f>
        <x:v>SILVER OAK: 700; CUSTARD APPLE: 500; TAMARIND: 50</x:v>
      </x:c>
      <x:c r="I20" s="120" t="str">
        <x:f aca="0">S15_Source_Strata!A12</x:f>
        <x:v>S09</x:v>
      </x:c>
      <x:c r="J20" s="120" t="str">
        <x:f aca="0">IF(S13_PSP_Species_Support!$E15="Unconfirmed","",S13_PSP_Species_Support!Q15)</x:f>
        <x:v>6/6</x:v>
      </x:c>
      <x:c r="K20" s="120" t="n">
        <x:f aca="0">IF(S13_PSP_Species_Support!$E15="Unconfirmed","",S13_PSP_Species_Support!J15)</x:f>
        <x:v>611.577846191391</x:v>
      </x:c>
      <x:c r="L20" s="120" t="n">
        <x:f aca="0">IF(S13_PSP_Species_Support!$E15="Unconfirmed","",S13_PSP_Species_Support!K15)</x:f>
        <x:v>546.9397806463899</x:v>
      </x:c>
      <x:c r="M20" s="120" t="n">
        <x:f aca="0">IF(S13_PSP_Species_Support!$E15="Unconfirmed","",S13_PSP_Species_Support!L15)</x:f>
        <x:v>0.8943093410797406</x:v>
      </x:c>
      <x:c r="N20" s="120" t="n">
        <x:f aca="0">IF(S13_PSP_Species_Support!$E15="Unconfirmed","",S13_PSP_Species_Support!M15)</x:f>
        <x:v>458.68338464354326</x:v>
      </x:c>
      <x:c r="O20" s="120" t="n">
        <x:f aca="0">IF(S13_PSP_Species_Support!$E15="Unconfirmed","",S13_PSP_Species_Support!N15)</x:f>
        <x:v>0.75</x:v>
      </x:c>
      <x:c r="P20" s="120" t="n">
        <x:f aca="0">IF(S13_PSP_Species_Support!$E15="Unconfirmed","",S13_PSP_Species_Support!O15)</x:f>
        <x:v>980.1758140909432</x:v>
      </x:c>
      <x:c r="Q20" s="120" t="n">
        <x:f aca="0">IF(S13_PSP_Species_Support!$E15="Unconfirmed","",S13_PSP_Species_Support!P15)</x:f>
        <x:v>5245.530021136775</x:v>
      </x:c>
      <x:c r="R20"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0" s="120" t="n">
        <x:f aca="0">IF(S13_PSP_Species_Support!$E15="Unconfirmed","",SUMIF(S15_Source_Strata!$B$4:$B$49,S13_PSP_Species_Support!$I15,S15_Source_Strata!$F$4:$F$49))</x:f>
        <x:v>214</x:v>
      </x:c>
      <x:c r="T20" s="980" t="n">
        <x:f>'S13_PSP_Species_Support'!DJ15</x:f>
        <x:v>0.09</x:v>
      </x:c>
      <x:c r="U20" s="979" t="n">
        <x:f>'S13_PSP_Species_Support'!DK15</x:f>
        <x:v>227.7327935222672</x:v>
      </x:c>
    </x:row>
    <x:row r="21" ht="63.75" hidden="0" customHeight="1">
      <x:c r="A21" s="119" t="str">
        <x:f aca="0">S13_PSP_Species_Support!A16</x:f>
        <x:v>PSP-HS-002</x:v>
      </x:c>
      <x:c r="B21" s="120" t="str">
        <x:f aca="0">S13_PSP_Species_Support!B16</x:f>
        <x:v>Tropical &amp; Subtropical Moist Broadleaf Forests</x:v>
      </x:c>
      <x:c r="C21" s="120" t="str">
        <x:f aca="0">S13_PSP_Species_Support!C16</x:f>
        <x:v>Horti-Silviculture</x:v>
      </x:c>
      <x:c r="D21" s="120" t="str">
        <x:f aca="0">S13_PSP_Species_Support!D16</x:f>
        <x:v>High</x:v>
      </x:c>
      <x:c r="E21" s="120" t="n">
        <x:f aca="0">S13_PSP_Species_Support!E16</x:f>
        <x:v>2020</x:v>
      </x:c>
      <x:c r="F21" s="120" t="n">
        <x:f aca="0">S13_PSP_Species_Support!F16</x:f>
        <x:v>0.806</x:v>
      </x:c>
      <x:c r="G21" s="120" t="n">
        <x:f aca="0">S13_PSP_Species_Support!G16</x:f>
        <x:v>3411.91</x:v>
      </x:c>
      <x:c r="H21" s="120" t="str">
        <x:f aca="0">S13_PSP_Species_Support!H16</x:f>
        <x:v>CASHEW: 250; TEAK: 2500</x:v>
      </x:c>
      <x:c r="I21" s="120" t="str">
        <x:f aca="0">S15_Source_Strata!A12</x:f>
        <x:v>S09</x:v>
      </x:c>
      <x:c r="J21" s="120" t="str">
        <x:f aca="0">IF(S13_PSP_Species_Support!$E16="Unconfirmed","",S13_PSP_Species_Support!Q16)</x:f>
        <x:v>6/6</x:v>
      </x:c>
      <x:c r="K21" s="120" t="n">
        <x:f aca="0">IF(S13_PSP_Species_Support!$E16="Unconfirmed","",S13_PSP_Species_Support!J16)</x:f>
        <x:v>611.577846191391</x:v>
      </x:c>
      <x:c r="L21" s="120" t="n">
        <x:f aca="0">IF(S13_PSP_Species_Support!$E16="Unconfirmed","",S13_PSP_Species_Support!K16)</x:f>
        <x:v>546.9397806463899</x:v>
      </x:c>
      <x:c r="M21" s="120" t="n">
        <x:f aca="0">IF(S13_PSP_Species_Support!$E16="Unconfirmed","",S13_PSP_Species_Support!L16)</x:f>
        <x:v>0.8943093410797406</x:v>
      </x:c>
      <x:c r="N21" s="120" t="n">
        <x:f aca="0">IF(S13_PSP_Species_Support!$E16="Unconfirmed","",S13_PSP_Species_Support!M16)</x:f>
        <x:v>458.68338464354326</x:v>
      </x:c>
      <x:c r="O21" s="120" t="n">
        <x:f aca="0">IF(S13_PSP_Species_Support!$E16="Unconfirmed","",S13_PSP_Species_Support!N16)</x:f>
        <x:v>0.75</x:v>
      </x:c>
      <x:c r="P21" s="120" t="n">
        <x:f aca="0">IF(S13_PSP_Species_Support!$E16="Unconfirmed","",S13_PSP_Species_Support!O16)</x:f>
        <x:v>980.1758140909432</x:v>
      </x:c>
      <x:c r="Q21" s="120" t="n">
        <x:f aca="0">IF(S13_PSP_Species_Support!$E16="Unconfirmed","",S13_PSP_Species_Support!P16)</x:f>
        <x:v>5245.530021136775</x:v>
      </x:c>
      <x:c r="R21"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1" s="120" t="n">
        <x:f aca="0">IF(S13_PSP_Species_Support!$E16="Unconfirmed","",SUMIF(S15_Source_Strata!$B$4:$B$49,S13_PSP_Species_Support!$I16,S15_Source_Strata!$F$4:$F$49))</x:f>
        <x:v>214</x:v>
      </x:c>
      <x:c r="T21" s="980" t="n">
        <x:f>'S13_PSP_Species_Support'!DJ16</x:f>
        <x:v>0.09</x:v>
      </x:c>
      <x:c r="U21" s="979" t="n">
        <x:f>'S13_PSP_Species_Support'!DK16</x:f>
        <x:v>307.07196029776674</x:v>
      </x:c>
    </x:row>
    <x:row r="22" ht="63.75" hidden="0" customHeight="1">
      <x:c r="A22" s="119" t="str">
        <x:f aca="0">S13_PSP_Species_Support!A17</x:f>
        <x:v>PSP-HS-003</x:v>
      </x:c>
      <x:c r="B22" s="120" t="str">
        <x:f aca="0">S13_PSP_Species_Support!B17</x:f>
        <x:v>Tropical &amp; Subtropical Dry Broadleaf Forests</x:v>
      </x:c>
      <x:c r="C22" s="120" t="str">
        <x:f aca="0">S13_PSP_Species_Support!C17</x:f>
        <x:v>Horti-Silviculture</x:v>
      </x:c>
      <x:c r="D22" s="120" t="str">
        <x:f aca="0">S13_PSP_Species_Support!D17</x:f>
        <x:v>High</x:v>
      </x:c>
      <x:c r="E22" s="120" t="n">
        <x:f aca="0">S13_PSP_Species_Support!E17</x:f>
        <x:v>2020</x:v>
      </x:c>
      <x:c r="F22" s="120" t="n">
        <x:f aca="0">S13_PSP_Species_Support!F17</x:f>
        <x:v>0.462</x:v>
      </x:c>
      <x:c r="G22" s="120" t="n">
        <x:f aca="0">S13_PSP_Species_Support!G17</x:f>
        <x:v>1915.58</x:v>
      </x:c>
      <x:c r="H22" s="120" t="str">
        <x:f aca="0">S13_PSP_Species_Support!H17</x:f>
        <x:v>Species: SAPOTA / SILVER OAK | Recorded plant counts: 45</x:v>
      </x:c>
      <x:c r="I22" s="120" t="str">
        <x:f aca="0">S15_Source_Strata!A12</x:f>
        <x:v>S09</x:v>
      </x:c>
      <x:c r="J22" s="120" t="str">
        <x:f aca="0">IF(S13_PSP_Species_Support!$E17="Unconfirmed","",S13_PSP_Species_Support!Q17)</x:f>
        <x:v>6/6</x:v>
      </x:c>
      <x:c r="K22" s="120" t="n">
        <x:f aca="0">IF(S13_PSP_Species_Support!$E17="Unconfirmed","",S13_PSP_Species_Support!J17)</x:f>
        <x:v>611.577846191391</x:v>
      </x:c>
      <x:c r="L22" s="120" t="n">
        <x:f aca="0">IF(S13_PSP_Species_Support!$E17="Unconfirmed","",S13_PSP_Species_Support!K17)</x:f>
        <x:v>546.9397806463899</x:v>
      </x:c>
      <x:c r="M22" s="120" t="n">
        <x:f aca="0">IF(S13_PSP_Species_Support!$E17="Unconfirmed","",S13_PSP_Species_Support!L17)</x:f>
        <x:v>0.8943093410797406</x:v>
      </x:c>
      <x:c r="N22" s="120" t="n">
        <x:f aca="0">IF(S13_PSP_Species_Support!$E17="Unconfirmed","",S13_PSP_Species_Support!M17)</x:f>
        <x:v>458.68338464354326</x:v>
      </x:c>
      <x:c r="O22" s="120" t="n">
        <x:f aca="0">IF(S13_PSP_Species_Support!$E17="Unconfirmed","",S13_PSP_Species_Support!N17)</x:f>
        <x:v>0.75</x:v>
      </x:c>
      <x:c r="P22" s="120" t="n">
        <x:f aca="0">IF(S13_PSP_Species_Support!$E17="Unconfirmed","",S13_PSP_Species_Support!O17)</x:f>
        <x:v>980.1758140909432</x:v>
      </x:c>
      <x:c r="Q22" s="120" t="n">
        <x:f aca="0">IF(S13_PSP_Species_Support!$E17="Unconfirmed","",S13_PSP_Species_Support!P17)</x:f>
        <x:v>5245.530021136775</x:v>
      </x:c>
      <x:c r="R22"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2" s="120" t="n">
        <x:f aca="0">IF(S13_PSP_Species_Support!$E17="Unconfirmed","",SUMIF(S15_Source_Strata!$B$4:$B$49,S13_PSP_Species_Support!$I17,S15_Source_Strata!$F$4:$F$49))</x:f>
        <x:v>214</x:v>
      </x:c>
      <x:c r="T22" s="980" t="n">
        <x:f>'S13_PSP_Species_Support'!DJ17</x:f>
        <x:v>0.09</x:v>
      </x:c>
      <x:c r="U22" s="979" t="n">
        <x:f>'S13_PSP_Species_Support'!DK17</x:f>
        <x:v>8.766233766233766</x:v>
      </x:c>
    </x:row>
    <x:row r="23" ht="63.75" hidden="0" customHeight="1">
      <x:c r="A23" s="119" t="str">
        <x:f aca="0">S13_PSP_Species_Support!A18</x:f>
        <x:v>PSP-HS-004</x:v>
      </x:c>
      <x:c r="B23" s="120" t="str">
        <x:f aca="0">S13_PSP_Species_Support!B18</x:f>
        <x:v>Tropical &amp; Subtropical Dry Broadleaf Forests</x:v>
      </x:c>
      <x:c r="C23" s="120" t="str">
        <x:f aca="0">S13_PSP_Species_Support!C18</x:f>
        <x:v>Horti-Silviculture</x:v>
      </x:c>
      <x:c r="D23" s="120" t="str">
        <x:f aca="0">S13_PSP_Species_Support!D18</x:f>
        <x:v>High</x:v>
      </x:c>
      <x:c r="E23" s="120" t="n">
        <x:f aca="0">S13_PSP_Species_Support!E18</x:f>
        <x:v>2020</x:v>
      </x:c>
      <x:c r="F23" s="120" t="n">
        <x:f aca="0">S13_PSP_Species_Support!F18</x:f>
        <x:v>0.2749</x:v>
      </x:c>
      <x:c r="G23" s="120" t="n">
        <x:f aca="0">S13_PSP_Species_Support!G18</x:f>
        <x:v>4728.99</x:v>
      </x:c>
      <x:c r="H23" s="120" t="str">
        <x:f aca="0">S13_PSP_Species_Support!H18</x:f>
        <x:v>SILVER OAK: 1000; TERMINALIA ARJUNA: 100; JAMUN: 100; AMLA: 50; MANGO: 50</x:v>
      </x:c>
      <x:c r="I23" s="120" t="str">
        <x:f aca="0">S15_Source_Strata!A12</x:f>
        <x:v>S09</x:v>
      </x:c>
      <x:c r="J23" s="120" t="str">
        <x:f aca="0">IF(S13_PSP_Species_Support!$E18="Unconfirmed","",S13_PSP_Species_Support!Q18)</x:f>
        <x:v>6/6</x:v>
      </x:c>
      <x:c r="K23" s="120" t="n">
        <x:f aca="0">IF(S13_PSP_Species_Support!$E18="Unconfirmed","",S13_PSP_Species_Support!J18)</x:f>
        <x:v>611.577846191391</x:v>
      </x:c>
      <x:c r="L23" s="120" t="n">
        <x:f aca="0">IF(S13_PSP_Species_Support!$E18="Unconfirmed","",S13_PSP_Species_Support!K18)</x:f>
        <x:v>546.9397806463899</x:v>
      </x:c>
      <x:c r="M23" s="120" t="n">
        <x:f aca="0">IF(S13_PSP_Species_Support!$E18="Unconfirmed","",S13_PSP_Species_Support!L18)</x:f>
        <x:v>0.8943093410797406</x:v>
      </x:c>
      <x:c r="N23" s="120" t="n">
        <x:f aca="0">IF(S13_PSP_Species_Support!$E18="Unconfirmed","",S13_PSP_Species_Support!M18)</x:f>
        <x:v>458.68338464354326</x:v>
      </x:c>
      <x:c r="O23" s="120" t="n">
        <x:f aca="0">IF(S13_PSP_Species_Support!$E18="Unconfirmed","",S13_PSP_Species_Support!N18)</x:f>
        <x:v>0.75</x:v>
      </x:c>
      <x:c r="P23" s="120" t="n">
        <x:f aca="0">IF(S13_PSP_Species_Support!$E18="Unconfirmed","",S13_PSP_Species_Support!O18)</x:f>
        <x:v>980.1758140909432</x:v>
      </x:c>
      <x:c r="Q23" s="120" t="n">
        <x:f aca="0">IF(S13_PSP_Species_Support!$E18="Unconfirmed","",S13_PSP_Species_Support!P18)</x:f>
        <x:v>5245.530021136775</x:v>
      </x:c>
      <x:c r="R23"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3" s="120" t="n">
        <x:f aca="0">IF(S13_PSP_Species_Support!$E18="Unconfirmed","",SUMIF(S15_Source_Strata!$B$4:$B$49,S13_PSP_Species_Support!$I18,S15_Source_Strata!$F$4:$F$49))</x:f>
        <x:v>214</x:v>
      </x:c>
      <x:c r="T23" s="980" t="n">
        <x:f>'S13_PSP_Species_Support'!DJ18</x:f>
        <x:v>0.09</x:v>
      </x:c>
      <x:c r="U23" s="979" t="n">
        <x:f>'S13_PSP_Species_Support'!DK18</x:f>
        <x:v>425.60931247726444</x:v>
      </x:c>
    </x:row>
    <x:row r="24" ht="63.75" hidden="0" customHeight="1">
      <x:c r="A24" s="119" t="str">
        <x:f aca="0">S13_PSP_Species_Support!A19</x:f>
        <x:v>PSP-HS-005</x:v>
      </x:c>
      <x:c r="B24" s="120" t="str">
        <x:f aca="0">S13_PSP_Species_Support!B19</x:f>
        <x:v>Tropical &amp; Subtropical Dry Broadleaf Forests</x:v>
      </x:c>
      <x:c r="C24" s="120" t="str">
        <x:f aca="0">S13_PSP_Species_Support!C19</x:f>
        <x:v>Horti-Silviculture</x:v>
      </x:c>
      <x:c r="D24" s="120" t="str">
        <x:f aca="0">S13_PSP_Species_Support!D19</x:f>
        <x:v>High</x:v>
      </x:c>
      <x:c r="E24" s="120" t="n">
        <x:f aca="0">S13_PSP_Species_Support!E19</x:f>
        <x:v>2020</x:v>
      </x:c>
      <x:c r="F24" s="120" t="n">
        <x:f aca="0">S13_PSP_Species_Support!F19</x:f>
        <x:v>0.1863</x:v>
      </x:c>
      <x:c r="G24" s="120" t="n">
        <x:f aca="0">S13_PSP_Species_Support!G19</x:f>
        <x:v>5850.78</x:v>
      </x:c>
      <x:c r="H24" s="120" t="str">
        <x:f aca="0">S13_PSP_Species_Support!H19</x:f>
        <x:v>JAMUN: 340; FOREST PLANTS: 230; GUAVA: 520</x:v>
      </x:c>
      <x:c r="I24" s="120" t="str">
        <x:f aca="0">S15_Source_Strata!A12</x:f>
        <x:v>S09</x:v>
      </x:c>
      <x:c r="J24" s="120" t="str">
        <x:f aca="0">IF(S13_PSP_Species_Support!$E19="Unconfirmed","",S13_PSP_Species_Support!Q19)</x:f>
        <x:v>6/6</x:v>
      </x:c>
      <x:c r="K24" s="120" t="n">
        <x:f aca="0">IF(S13_PSP_Species_Support!$E19="Unconfirmed","",S13_PSP_Species_Support!J19)</x:f>
        <x:v>611.577846191391</x:v>
      </x:c>
      <x:c r="L24" s="120" t="n">
        <x:f aca="0">IF(S13_PSP_Species_Support!$E19="Unconfirmed","",S13_PSP_Species_Support!K19)</x:f>
        <x:v>546.9397806463899</x:v>
      </x:c>
      <x:c r="M24" s="120" t="n">
        <x:f aca="0">IF(S13_PSP_Species_Support!$E19="Unconfirmed","",S13_PSP_Species_Support!L19)</x:f>
        <x:v>0.8943093410797406</x:v>
      </x:c>
      <x:c r="N24" s="120" t="n">
        <x:f aca="0">IF(S13_PSP_Species_Support!$E19="Unconfirmed","",S13_PSP_Species_Support!M19)</x:f>
        <x:v>458.68338464354326</x:v>
      </x:c>
      <x:c r="O24" s="120" t="n">
        <x:f aca="0">IF(S13_PSP_Species_Support!$E19="Unconfirmed","",S13_PSP_Species_Support!N19)</x:f>
        <x:v>0.75</x:v>
      </x:c>
      <x:c r="P24" s="120" t="n">
        <x:f aca="0">IF(S13_PSP_Species_Support!$E19="Unconfirmed","",S13_PSP_Species_Support!O19)</x:f>
        <x:v>980.1758140909432</x:v>
      </x:c>
      <x:c r="Q24" s="120" t="n">
        <x:f aca="0">IF(S13_PSP_Species_Support!$E19="Unconfirmed","",S13_PSP_Species_Support!P19)</x:f>
        <x:v>5245.530021136775</x:v>
      </x:c>
      <x:c r="R24"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4" s="120" t="n">
        <x:f aca="0">IF(S13_PSP_Species_Support!$E19="Unconfirmed","",SUMIF(S15_Source_Strata!$B$4:$B$49,S13_PSP_Species_Support!$I19,S15_Source_Strata!$F$4:$F$49))</x:f>
        <x:v>214</x:v>
      </x:c>
      <x:c r="T24" s="980" t="n">
        <x:f>'S13_PSP_Species_Support'!DJ19</x:f>
        <x:v>0.09</x:v>
      </x:c>
      <x:c r="U24" s="979" t="n">
        <x:f>'S13_PSP_Species_Support'!DK19</x:f>
        <x:v>526.5700483091788</x:v>
      </x:c>
    </x:row>
    <x:row r="25" ht="63.75" hidden="0" customHeight="1">
      <x:c r="A25" s="119" t="str">
        <x:f aca="0">S13_PSP_Species_Support!A20</x:f>
        <x:v>PSP-HS-006</x:v>
      </x:c>
      <x:c r="B25" s="120" t="str">
        <x:f aca="0">S13_PSP_Species_Support!B20</x:f>
        <x:v>Tropical &amp; Subtropical Dry Broadleaf Forests</x:v>
      </x:c>
      <x:c r="C25" s="120" t="str">
        <x:f aca="0">S13_PSP_Species_Support!C20</x:f>
        <x:v>Horti-Silviculture</x:v>
      </x:c>
      <x:c r="D25" s="120" t="str">
        <x:f aca="0">S13_PSP_Species_Support!D20</x:f>
        <x:v>High</x:v>
      </x:c>
      <x:c r="E25" s="120" t="n">
        <x:f aca="0">S13_PSP_Species_Support!E20</x:f>
        <x:v>2020</x:v>
      </x:c>
      <x:c r="F25" s="120" t="n">
        <x:f aca="0">S13_PSP_Species_Support!F20</x:f>
        <x:v>0.6113</x:v>
      </x:c>
      <x:c r="G25" s="120" t="n">
        <x:f aca="0">S13_PSP_Species_Support!G20</x:f>
        <x:v>1717.65</x:v>
      </x:c>
      <x:c r="H25" s="120" t="str">
        <x:f aca="0">S13_PSP_Species_Support!H20</x:f>
        <x:v>SILVER OAK: 1000; MANGO: 30; LEMON: 20</x:v>
      </x:c>
      <x:c r="I25" s="120" t="str">
        <x:f aca="0">S15_Source_Strata!A12</x:f>
        <x:v>S09</x:v>
      </x:c>
      <x:c r="J25" s="120" t="str">
        <x:f aca="0">IF(S13_PSP_Species_Support!$E20="Unconfirmed","",S13_PSP_Species_Support!Q20)</x:f>
        <x:v>6/6</x:v>
      </x:c>
      <x:c r="K25" s="120" t="n">
        <x:f aca="0">IF(S13_PSP_Species_Support!$E20="Unconfirmed","",S13_PSP_Species_Support!J20)</x:f>
        <x:v>611.577846191391</x:v>
      </x:c>
      <x:c r="L25" s="120" t="n">
        <x:f aca="0">IF(S13_PSP_Species_Support!$E20="Unconfirmed","",S13_PSP_Species_Support!K20)</x:f>
        <x:v>546.9397806463899</x:v>
      </x:c>
      <x:c r="M25" s="120" t="n">
        <x:f aca="0">IF(S13_PSP_Species_Support!$E20="Unconfirmed","",S13_PSP_Species_Support!L20)</x:f>
        <x:v>0.8943093410797406</x:v>
      </x:c>
      <x:c r="N25" s="120" t="n">
        <x:f aca="0">IF(S13_PSP_Species_Support!$E20="Unconfirmed","",S13_PSP_Species_Support!M20)</x:f>
        <x:v>458.68338464354326</x:v>
      </x:c>
      <x:c r="O25" s="120" t="n">
        <x:f aca="0">IF(S13_PSP_Species_Support!$E20="Unconfirmed","",S13_PSP_Species_Support!N20)</x:f>
        <x:v>0.75</x:v>
      </x:c>
      <x:c r="P25" s="120" t="n">
        <x:f aca="0">IF(S13_PSP_Species_Support!$E20="Unconfirmed","",S13_PSP_Species_Support!O20)</x:f>
        <x:v>980.1758140909432</x:v>
      </x:c>
      <x:c r="Q25" s="120" t="n">
        <x:f aca="0">IF(S13_PSP_Species_Support!$E20="Unconfirmed","",S13_PSP_Species_Support!P20)</x:f>
        <x:v>5245.530021136775</x:v>
      </x:c>
      <x:c r="R25"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5" s="120" t="n">
        <x:f aca="0">IF(S13_PSP_Species_Support!$E20="Unconfirmed","",SUMIF(S15_Source_Strata!$B$4:$B$49,S13_PSP_Species_Support!$I20,S15_Source_Strata!$F$4:$F$49))</x:f>
        <x:v>214</x:v>
      </x:c>
      <x:c r="T25" s="980" t="n">
        <x:f>'S13_PSP_Species_Support'!DJ20</x:f>
        <x:v>0.09</x:v>
      </x:c>
      <x:c r="U25" s="979" t="n">
        <x:f>'S13_PSP_Species_Support'!DK20</x:f>
        <x:v>154.58858171110748</x:v>
      </x:c>
    </x:row>
    <x:row r="26" ht="63.75" hidden="0" customHeight="1">
      <x:c r="A26" s="119" t="str">
        <x:f aca="0">S13_PSP_Species_Support!A21</x:f>
        <x:v>PSP-HS-007</x:v>
      </x:c>
      <x:c r="B26" s="120" t="str">
        <x:f aca="0">S13_PSP_Species_Support!B21</x:f>
        <x:v>Tropical &amp; Subtropical Dry Broadleaf Forests</x:v>
      </x:c>
      <x:c r="C26" s="120" t="str">
        <x:f aca="0">S13_PSP_Species_Support!C21</x:f>
        <x:v>Horti-Silviculture</x:v>
      </x:c>
      <x:c r="D26" s="120" t="str">
        <x:f aca="0">S13_PSP_Species_Support!D21</x:f>
        <x:v>Low</x:v>
      </x:c>
      <x:c r="E26" s="120" t="n">
        <x:f aca="0">S13_PSP_Species_Support!E21</x:f>
        <x:v>2020</x:v>
      </x:c>
      <x:c r="F26" s="120" t="n">
        <x:f aca="0">S13_PSP_Species_Support!F21</x:f>
        <x:v>1.7963</x:v>
      </x:c>
      <x:c r="G26" s="120" t="n">
        <x:f aca="0">S13_PSP_Species_Support!G21</x:f>
        <x:v>169.79</x:v>
      </x:c>
      <x:c r="H26" s="120" t="str">
        <x:f aca="0">S13_PSP_Species_Support!H21</x:f>
        <x:v>CASHEW: 300; JACKFRUIT: 5; TEAK: 5</x:v>
      </x:c>
      <x:c r="I26" s="120" t="str">
        <x:f aca="0">S15_Source_Strata!A9</x:f>
        <x:v>S06</x:v>
      </x:c>
      <x:c r="J26" s="120" t="str">
        <x:f aca="0">IF(S13_PSP_Species_Support!$E21="Unconfirmed","",S13_PSP_Species_Support!Q21)</x:f>
        <x:v>1/4</x:v>
      </x:c>
      <x:c r="K26" s="120" t="n">
        <x:f aca="0">IF(S13_PSP_Species_Support!$E21="Unconfirmed","",S13_PSP_Species_Support!J21)</x:f>
        <x:v>26.291731224063113</x:v>
      </x:c>
      <x:c r="L26" s="120" t="n">
        <x:f aca="0">IF(S13_PSP_Species_Support!$E21="Unconfirmed","",S13_PSP_Species_Support!K21)</x:f>
        <x:v>17.83728488368482</x:v>
      </x:c>
      <x:c r="M26" s="120" t="n">
        <x:f aca="0">IF(S13_PSP_Species_Support!$E21="Unconfirmed","",S13_PSP_Species_Support!L21)</x:f>
        <x:v>0.6784370618911361</x:v>
      </x:c>
      <x:c r="N26" s="120" t="n">
        <x:f aca="0">IF(S13_PSP_Species_Support!$E21="Unconfirmed","",S13_PSP_Species_Support!M21)</x:f>
        <x:v>19.718798418047335</x:v>
      </x:c>
      <x:c r="O26" s="120" t="n">
        <x:f aca="0">IF(S13_PSP_Species_Support!$E21="Unconfirmed","",S13_PSP_Species_Support!N21)</x:f>
        <x:v>0.75</x:v>
      </x:c>
      <x:c r="P26" s="120" t="n">
        <x:f aca="0">IF(S13_PSP_Species_Support!$E21="Unconfirmed","",S13_PSP_Species_Support!O21)</x:f>
        <x:v>42.13775763280599</x:v>
      </x:c>
      <x:c r="Q26" s="120" t="n">
        <x:f aca="0">IF(S13_PSP_Species_Support!$E21="Unconfirmed","",S13_PSP_Species_Support!P21)</x:f>
        <x:v>267.01020723603096</x:v>
      </x:c>
      <x:c r="R26"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6" s="120" t="n">
        <x:f aca="0">IF(S13_PSP_Species_Support!$E21="Unconfirmed","",SUMIF(S15_Source_Strata!$B$4:$B$49,S13_PSP_Species_Support!$I21,S15_Source_Strata!$F$4:$F$49))</x:f>
        <x:v>146</x:v>
      </x:c>
      <x:c r="T26" s="980" t="n">
        <x:f>'S13_PSP_Species_Support'!DJ21</x:f>
        <x:v>0.09</x:v>
      </x:c>
      <x:c r="U26" s="979" t="n">
        <x:f>'S13_PSP_Species_Support'!DK21</x:f>
        <x:v>15.531926738295386</x:v>
      </x:c>
    </x:row>
    <x:row r="27" ht="63.75" hidden="0" customHeight="1">
      <x:c r="A27" s="119" t="str">
        <x:f aca="0">S13_PSP_Species_Support!A22</x:f>
        <x:v>PSP-HS-008</x:v>
      </x:c>
      <x:c r="B27" s="120" t="str">
        <x:f aca="0">S13_PSP_Species_Support!B22</x:f>
        <x:v>Tropical &amp; Subtropical Dry Broadleaf Forests</x:v>
      </x:c>
      <x:c r="C27" s="120" t="str">
        <x:f aca="0">S13_PSP_Species_Support!C22</x:f>
        <x:v>Horti-Silviculture</x:v>
      </x:c>
      <x:c r="D27" s="120" t="str">
        <x:f aca="0">S13_PSP_Species_Support!D22</x:f>
        <x:v>Medium</x:v>
      </x:c>
      <x:c r="E27" s="120" t="n">
        <x:f aca="0">S13_PSP_Species_Support!E22</x:f>
        <x:v>2020</x:v>
      </x:c>
      <x:c r="F27" s="120" t="n">
        <x:f aca="0">S13_PSP_Species_Support!F22</x:f>
        <x:v>0.4699</x:v>
      </x:c>
      <x:c r="G27" s="120" t="n">
        <x:f aca="0">S13_PSP_Species_Support!G22</x:f>
        <x:v>744.84</x:v>
      </x:c>
      <x:c r="H27" s="120" t="str">
        <x:f aca="0">S13_PSP_Species_Support!H22</x:f>
        <x:v>LEMON: 100; JAMUN: 150; NALLAMADDI: 100</x:v>
      </x:c>
      <x:c r="I27" s="120" t="str">
        <x:f aca="0">S15_Source_Strata!A4</x:f>
        <x:v>S01</x:v>
      </x:c>
      <x:c r="J27" s="120" t="str">
        <x:f aca="0">IF(S13_PSP_Species_Support!$E22="Unconfirmed","",S13_PSP_Species_Support!Q22)</x:f>
        <x:v>6/9</x:v>
      </x:c>
      <x:c r="K27" s="120" t="n">
        <x:f aca="0">IF(S13_PSP_Species_Support!$E22="Unconfirmed","",S13_PSP_Species_Support!J22)</x:f>
        <x:v>102.04562925670207</x:v>
      </x:c>
      <x:c r="L27" s="120" t="n">
        <x:f aca="0">IF(S13_PSP_Species_Support!$E22="Unconfirmed","",S13_PSP_Species_Support!K22)</x:f>
        <x:v>176.55349249464146</x:v>
      </x:c>
      <x:c r="M27" s="120" t="n">
        <x:f aca="0">IF(S13_PSP_Species_Support!$E22="Unconfirmed","",S13_PSP_Species_Support!L22)</x:f>
        <x:v>1.730142621302381</x:v>
      </x:c>
      <x:c r="N27" s="120" t="n">
        <x:f aca="0">IF(S13_PSP_Species_Support!$E22="Unconfirmed","",S13_PSP_Species_Support!M22)</x:f>
        <x:v>76.53422194252656</x:v>
      </x:c>
      <x:c r="O27" s="120" t="n">
        <x:f aca="0">IF(S13_PSP_Species_Support!$E22="Unconfirmed","",S13_PSP_Species_Support!N22)</x:f>
        <x:v>0.75</x:v>
      </x:c>
      <x:c r="P27" s="120" t="n">
        <x:f aca="0">IF(S13_PSP_Species_Support!$E22="Unconfirmed","",S13_PSP_Species_Support!O22)</x:f>
        <x:v>163.54853000971656</x:v>
      </x:c>
      <x:c r="Q27" s="120" t="n">
        <x:f aca="0">IF(S13_PSP_Species_Support!$E22="Unconfirmed","",S13_PSP_Species_Support!P22)</x:f>
        <x:v>766.9597276855819</x:v>
      </x:c>
      <x:c r="R27"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7" s="120" t="n">
        <x:f aca="0">IF(S13_PSP_Species_Support!$E22="Unconfirmed","",SUMIF(S15_Source_Strata!$B$4:$B$49,S13_PSP_Species_Support!$I22,S15_Source_Strata!$F$4:$F$49))</x:f>
        <x:v>325</x:v>
      </x:c>
      <x:c r="T27" s="980" t="n">
        <x:f>'S13_PSP_Species_Support'!DJ22</x:f>
        <x:v>0.09</x:v>
      </x:c>
      <x:c r="U27" s="979" t="n">
        <x:f>'S13_PSP_Species_Support'!DK22</x:f>
        <x:v>67.03553947648436</x:v>
      </x:c>
    </x:row>
    <x:row r="28" ht="63.75" hidden="0" customHeight="1">
      <x:c r="A28" s="119" t="str">
        <x:f aca="0">S13_PSP_Species_Support!A23</x:f>
        <x:v>PSP-HS-009</x:v>
      </x:c>
      <x:c r="B28" s="120" t="str">
        <x:f aca="0">S13_PSP_Species_Support!B23</x:f>
        <x:v>Tropical &amp; Subtropical Dry Broadleaf Forests</x:v>
      </x:c>
      <x:c r="C28" s="120" t="str">
        <x:f aca="0">S13_PSP_Species_Support!C23</x:f>
        <x:v>Horti-Silviculture</x:v>
      </x:c>
      <x:c r="D28" s="120" t="str">
        <x:f aca="0">S13_PSP_Species_Support!D23</x:f>
        <x:v>Medium</x:v>
      </x:c>
      <x:c r="E28" s="120" t="n">
        <x:f aca="0">S13_PSP_Species_Support!E23</x:f>
        <x:v>2020</x:v>
      </x:c>
      <x:c r="F28" s="120" t="n">
        <x:f aca="0">S13_PSP_Species_Support!F23</x:f>
        <x:v>0.4639</x:v>
      </x:c>
      <x:c r="G28" s="120" t="n">
        <x:f aca="0">S13_PSP_Species_Support!G23</x:f>
        <x:v>1569.3</x:v>
      </x:c>
      <x:c r="H28" s="120" t="str">
        <x:f aca="0">S13_PSP_Species_Support!H23</x:f>
        <x:v>LEMON: 100; MALABAR NEEM: 500; POMEGRANATE: 45; MANGO: 63; GUAVA: 20</x:v>
      </x:c>
      <x:c r="I28" s="120" t="str">
        <x:f aca="0">S15_Source_Strata!A4</x:f>
        <x:v>S01</x:v>
      </x:c>
      <x:c r="J28" s="120" t="str">
        <x:f aca="0">IF(S13_PSP_Species_Support!$E23="Unconfirmed","",S13_PSP_Species_Support!Q23)</x:f>
        <x:v>6/9</x:v>
      </x:c>
      <x:c r="K28" s="120" t="n">
        <x:f aca="0">IF(S13_PSP_Species_Support!$E23="Unconfirmed","",S13_PSP_Species_Support!J23)</x:f>
        <x:v>102.04562925670207</x:v>
      </x:c>
      <x:c r="L28" s="120" t="n">
        <x:f aca="0">IF(S13_PSP_Species_Support!$E23="Unconfirmed","",S13_PSP_Species_Support!K23)</x:f>
        <x:v>176.55349249464146</x:v>
      </x:c>
      <x:c r="M28" s="120" t="n">
        <x:f aca="0">IF(S13_PSP_Species_Support!$E23="Unconfirmed","",S13_PSP_Species_Support!L23)</x:f>
        <x:v>1.730142621302381</x:v>
      </x:c>
      <x:c r="N28" s="120" t="n">
        <x:f aca="0">IF(S13_PSP_Species_Support!$E23="Unconfirmed","",S13_PSP_Species_Support!M23)</x:f>
        <x:v>76.53422194252656</x:v>
      </x:c>
      <x:c r="O28" s="120" t="n">
        <x:f aca="0">IF(S13_PSP_Species_Support!$E23="Unconfirmed","",S13_PSP_Species_Support!N23)</x:f>
        <x:v>0.75</x:v>
      </x:c>
      <x:c r="P28" s="120" t="n">
        <x:f aca="0">IF(S13_PSP_Species_Support!$E23="Unconfirmed","",S13_PSP_Species_Support!O23)</x:f>
        <x:v>163.54853000971656</x:v>
      </x:c>
      <x:c r="Q28" s="120" t="n">
        <x:f aca="0">IF(S13_PSP_Species_Support!$E23="Unconfirmed","",S13_PSP_Species_Support!P23)</x:f>
        <x:v>766.9597276855819</x:v>
      </x:c>
      <x:c r="R28"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8" s="120" t="n">
        <x:f aca="0">IF(S13_PSP_Species_Support!$E23="Unconfirmed","",SUMIF(S15_Source_Strata!$B$4:$B$49,S13_PSP_Species_Support!$I23,S15_Source_Strata!$F$4:$F$49))</x:f>
        <x:v>325</x:v>
      </x:c>
      <x:c r="T28" s="980" t="n">
        <x:f>'S13_PSP_Species_Support'!DJ23</x:f>
        <x:v>0.09</x:v>
      </x:c>
      <x:c r="U28" s="979" t="n">
        <x:f>'S13_PSP_Species_Support'!DK23</x:f>
        <x:v>141.23733563267945</x:v>
      </x:c>
    </x:row>
    <x:row r="29" ht="63.75" hidden="0" customHeight="1">
      <x:c r="A29" s="119" t="str">
        <x:f aca="0">S13_PSP_Species_Support!A24</x:f>
        <x:v>PSP-HS-010</x:v>
      </x:c>
      <x:c r="B29" s="120" t="str">
        <x:f aca="0">S13_PSP_Species_Support!B24</x:f>
        <x:v>Tropical &amp; Subtropical Moist Broadleaf Forests</x:v>
      </x:c>
      <x:c r="C29" s="120" t="str">
        <x:f aca="0">S13_PSP_Species_Support!C24</x:f>
        <x:v>Horti-Silviculture</x:v>
      </x:c>
      <x:c r="D29" s="120" t="str">
        <x:f aca="0">S13_PSP_Species_Support!D24</x:f>
        <x:v>Medium</x:v>
      </x:c>
      <x:c r="E29" s="120" t="n">
        <x:f aca="0">S13_PSP_Species_Support!E24</x:f>
        <x:v>2020</x:v>
      </x:c>
      <x:c r="F29" s="120" t="n">
        <x:f aca="0">S13_PSP_Species_Support!F24</x:f>
        <x:v>1.2205</x:v>
      </x:c>
      <x:c r="G29" s="120" t="n">
        <x:f aca="0">S13_PSP_Species_Support!G24</x:f>
        <x:v>270.38</x:v>
      </x:c>
      <x:c r="H29" s="120" t="str">
        <x:f aca="0">S13_PSP_Species_Support!H24</x:f>
        <x:v>CASHEW: 300; JAMUN: 10; NEEM: 10; TEAK: 10</x:v>
      </x:c>
      <x:c r="I29" s="120" t="str">
        <x:f aca="0">S15_Source_Strata!A4</x:f>
        <x:v>S01</x:v>
      </x:c>
      <x:c r="J29" s="120" t="str">
        <x:f aca="0">IF(S13_PSP_Species_Support!$E24="Unconfirmed","",S13_PSP_Species_Support!Q24)</x:f>
        <x:v>6/9</x:v>
      </x:c>
      <x:c r="K29" s="120" t="n">
        <x:f aca="0">IF(S13_PSP_Species_Support!$E24="Unconfirmed","",S13_PSP_Species_Support!J24)</x:f>
        <x:v>102.04562925670207</x:v>
      </x:c>
      <x:c r="L29" s="120" t="n">
        <x:f aca="0">IF(S13_PSP_Species_Support!$E24="Unconfirmed","",S13_PSP_Species_Support!K24)</x:f>
        <x:v>176.55349249464146</x:v>
      </x:c>
      <x:c r="M29" s="120" t="n">
        <x:f aca="0">IF(S13_PSP_Species_Support!$E24="Unconfirmed","",S13_PSP_Species_Support!L24)</x:f>
        <x:v>1.730142621302381</x:v>
      </x:c>
      <x:c r="N29" s="120" t="n">
        <x:f aca="0">IF(S13_PSP_Species_Support!$E24="Unconfirmed","",S13_PSP_Species_Support!M24)</x:f>
        <x:v>76.53422194252656</x:v>
      </x:c>
      <x:c r="O29" s="120" t="n">
        <x:f aca="0">IF(S13_PSP_Species_Support!$E24="Unconfirmed","",S13_PSP_Species_Support!N24)</x:f>
        <x:v>0.75</x:v>
      </x:c>
      <x:c r="P29" s="120" t="n">
        <x:f aca="0">IF(S13_PSP_Species_Support!$E24="Unconfirmed","",S13_PSP_Species_Support!O24)</x:f>
        <x:v>163.54853000971656</x:v>
      </x:c>
      <x:c r="Q29" s="120" t="n">
        <x:f aca="0">IF(S13_PSP_Species_Support!$E24="Unconfirmed","",S13_PSP_Species_Support!P24)</x:f>
        <x:v>766.9597276855819</x:v>
      </x:c>
      <x:c r="R29"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29" s="120" t="n">
        <x:f aca="0">IF(S13_PSP_Species_Support!$E24="Unconfirmed","",SUMIF(S15_Source_Strata!$B$4:$B$49,S13_PSP_Species_Support!$I24,S15_Source_Strata!$F$4:$F$49))</x:f>
        <x:v>325</x:v>
      </x:c>
      <x:c r="T29" s="980" t="n">
        <x:f>'S13_PSP_Species_Support'!DJ24</x:f>
        <x:v>0.09</x:v>
      </x:c>
      <x:c r="U29" s="979" t="n">
        <x:f>'S13_PSP_Species_Support'!DK24</x:f>
        <x:v>24.334289225727158</x:v>
      </x:c>
    </x:row>
    <x:row r="30" ht="63.75" hidden="0" customHeight="1">
      <x:c r="A30" s="119" t="str">
        <x:f aca="0">S13_PSP_Species_Support!A25</x:f>
        <x:v>PSP-HS-011</x:v>
      </x:c>
      <x:c r="B30" s="120" t="str">
        <x:f aca="0">S13_PSP_Species_Support!B25</x:f>
        <x:v>Tropical &amp; Subtropical Dry Broadleaf Forests</x:v>
      </x:c>
      <x:c r="C30" s="120" t="str">
        <x:f aca="0">S13_PSP_Species_Support!C25</x:f>
        <x:v>Horti-Silviculture</x:v>
      </x:c>
      <x:c r="D30" s="120" t="str">
        <x:f aca="0">S13_PSP_Species_Support!D25</x:f>
        <x:v>Medium</x:v>
      </x:c>
      <x:c r="E30" s="120" t="n">
        <x:f aca="0">S13_PSP_Species_Support!E25</x:f>
        <x:v>2020</x:v>
      </x:c>
      <x:c r="F30" s="120" t="n">
        <x:f aca="0">S13_PSP_Species_Support!F25</x:f>
        <x:v>0.7053</x:v>
      </x:c>
      <x:c r="G30" s="120" t="n">
        <x:f aca="0">S13_PSP_Species_Support!G25</x:f>
        <x:v>439.53</x:v>
      </x:c>
      <x:c r="H30" s="120" t="str">
        <x:f aca="0">S13_PSP_Species_Support!H25</x:f>
        <x:v>TEAK: 100; SANDALWOOD: 130; LEMON: 80</x:v>
      </x:c>
      <x:c r="I30" s="120" t="str">
        <x:f aca="0">S15_Source_Strata!A4</x:f>
        <x:v>S01</x:v>
      </x:c>
      <x:c r="J30" s="120" t="str">
        <x:f aca="0">IF(S13_PSP_Species_Support!$E25="Unconfirmed","",S13_PSP_Species_Support!Q25)</x:f>
        <x:v>6/9</x:v>
      </x:c>
      <x:c r="K30" s="120" t="n">
        <x:f aca="0">IF(S13_PSP_Species_Support!$E25="Unconfirmed","",S13_PSP_Species_Support!J25)</x:f>
        <x:v>102.04562925670207</x:v>
      </x:c>
      <x:c r="L30" s="120" t="n">
        <x:f aca="0">IF(S13_PSP_Species_Support!$E25="Unconfirmed","",S13_PSP_Species_Support!K25)</x:f>
        <x:v>176.55349249464146</x:v>
      </x:c>
      <x:c r="M30" s="120" t="n">
        <x:f aca="0">IF(S13_PSP_Species_Support!$E25="Unconfirmed","",S13_PSP_Species_Support!L25)</x:f>
        <x:v>1.730142621302381</x:v>
      </x:c>
      <x:c r="N30" s="120" t="n">
        <x:f aca="0">IF(S13_PSP_Species_Support!$E25="Unconfirmed","",S13_PSP_Species_Support!M25)</x:f>
        <x:v>76.53422194252656</x:v>
      </x:c>
      <x:c r="O30" s="120" t="n">
        <x:f aca="0">IF(S13_PSP_Species_Support!$E25="Unconfirmed","",S13_PSP_Species_Support!N25)</x:f>
        <x:v>0.75</x:v>
      </x:c>
      <x:c r="P30" s="120" t="n">
        <x:f aca="0">IF(S13_PSP_Species_Support!$E25="Unconfirmed","",S13_PSP_Species_Support!O25)</x:f>
        <x:v>163.54853000971656</x:v>
      </x:c>
      <x:c r="Q30" s="120" t="n">
        <x:f aca="0">IF(S13_PSP_Species_Support!$E25="Unconfirmed","",S13_PSP_Species_Support!P25)</x:f>
        <x:v>766.9597276855819</x:v>
      </x:c>
      <x:c r="R30"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0" s="120" t="n">
        <x:f aca="0">IF(S13_PSP_Species_Support!$E25="Unconfirmed","",SUMIF(S15_Source_Strata!$B$4:$B$49,S13_PSP_Species_Support!$I25,S15_Source_Strata!$F$4:$F$49))</x:f>
        <x:v>325</x:v>
      </x:c>
      <x:c r="T30" s="980" t="n">
        <x:f>'S13_PSP_Species_Support'!DJ25</x:f>
        <x:v>0.09</x:v>
      </x:c>
      <x:c r="U30" s="979" t="n">
        <x:f>'S13_PSP_Species_Support'!DK25</x:f>
        <x:v>39.55763504891535</x:v>
      </x:c>
    </x:row>
    <x:row r="31" ht="63.75" hidden="0" customHeight="1">
      <x:c r="A31" s="119" t="str">
        <x:f aca="0">S13_PSP_Species_Support!A26</x:f>
        <x:v>PSP-HS-012</x:v>
      </x:c>
      <x:c r="B31" s="120" t="str">
        <x:f aca="0">S13_PSP_Species_Support!B26</x:f>
        <x:v>Tropical &amp; Subtropical Dry Broadleaf Forests</x:v>
      </x:c>
      <x:c r="C31" s="120" t="str">
        <x:f aca="0">S13_PSP_Species_Support!C26</x:f>
        <x:v>Horti-Silviculture</x:v>
      </x:c>
      <x:c r="D31" s="120" t="str">
        <x:f aca="0">S13_PSP_Species_Support!D26</x:f>
        <x:v>Medium</x:v>
      </x:c>
      <x:c r="E31" s="120" t="n">
        <x:f aca="0">S13_PSP_Species_Support!E26</x:f>
        <x:v>2020</x:v>
      </x:c>
      <x:c r="F31" s="120" t="n">
        <x:f aca="0">S13_PSP_Species_Support!F26</x:f>
        <x:v>1.19</x:v>
      </x:c>
      <x:c r="G31" s="120" t="n">
        <x:f aca="0">S13_PSP_Species_Support!G26</x:f>
        <x:v>344.54</x:v>
      </x:c>
      <x:c r="H31" s="120" t="str">
        <x:f aca="0">S13_PSP_Species_Support!H26</x:f>
        <x:v>MANGO: 400; ZAPOTA: 5; NEEM: 15</x:v>
      </x:c>
      <x:c r="I31" s="120" t="str">
        <x:f aca="0">S15_Source_Strata!A4</x:f>
        <x:v>S01</x:v>
      </x:c>
      <x:c r="J31" s="120" t="str">
        <x:f aca="0">IF(S13_PSP_Species_Support!$E26="Unconfirmed","",S13_PSP_Species_Support!Q26)</x:f>
        <x:v>6/9</x:v>
      </x:c>
      <x:c r="K31" s="120" t="n">
        <x:f aca="0">IF(S13_PSP_Species_Support!$E26="Unconfirmed","",S13_PSP_Species_Support!J26)</x:f>
        <x:v>102.04562925670207</x:v>
      </x:c>
      <x:c r="L31" s="120" t="n">
        <x:f aca="0">IF(S13_PSP_Species_Support!$E26="Unconfirmed","",S13_PSP_Species_Support!K26)</x:f>
        <x:v>176.55349249464146</x:v>
      </x:c>
      <x:c r="M31" s="120" t="n">
        <x:f aca="0">IF(S13_PSP_Species_Support!$E26="Unconfirmed","",S13_PSP_Species_Support!L26)</x:f>
        <x:v>1.730142621302381</x:v>
      </x:c>
      <x:c r="N31" s="120" t="n">
        <x:f aca="0">IF(S13_PSP_Species_Support!$E26="Unconfirmed","",S13_PSP_Species_Support!M26)</x:f>
        <x:v>76.53422194252656</x:v>
      </x:c>
      <x:c r="O31" s="120" t="n">
        <x:f aca="0">IF(S13_PSP_Species_Support!$E26="Unconfirmed","",S13_PSP_Species_Support!N26)</x:f>
        <x:v>0.75</x:v>
      </x:c>
      <x:c r="P31" s="120" t="n">
        <x:f aca="0">IF(S13_PSP_Species_Support!$E26="Unconfirmed","",S13_PSP_Species_Support!O26)</x:f>
        <x:v>163.54853000971656</x:v>
      </x:c>
      <x:c r="Q31" s="120" t="n">
        <x:f aca="0">IF(S13_PSP_Species_Support!$E26="Unconfirmed","",S13_PSP_Species_Support!P26)</x:f>
        <x:v>766.9597276855819</x:v>
      </x:c>
      <x:c r="R31"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1" s="120" t="n">
        <x:f aca="0">IF(S13_PSP_Species_Support!$E26="Unconfirmed","",SUMIF(S15_Source_Strata!$B$4:$B$49,S13_PSP_Species_Support!$I26,S15_Source_Strata!$F$4:$F$49))</x:f>
        <x:v>325</x:v>
      </x:c>
      <x:c r="T31" s="980" t="n">
        <x:f>'S13_PSP_Species_Support'!DJ26</x:f>
        <x:v>0.09</x:v>
      </x:c>
      <x:c r="U31" s="979" t="n">
        <x:f>'S13_PSP_Species_Support'!DK26</x:f>
        <x:v>31.764705882352942</x:v>
      </x:c>
    </x:row>
    <x:row r="32" ht="63.75" hidden="0" customHeight="1">
      <x:c r="A32" s="119" t="str">
        <x:f aca="0">S13_PSP_Species_Support!A27</x:f>
        <x:v>PSP-HS-013</x:v>
      </x:c>
      <x:c r="B32" s="120" t="str">
        <x:f aca="0">S13_PSP_Species_Support!B27</x:f>
        <x:v>Tropical &amp; Subtropical Dry Broadleaf Forests</x:v>
      </x:c>
      <x:c r="C32" s="120" t="str">
        <x:f aca="0">S13_PSP_Species_Support!C27</x:f>
        <x:v>Horti-Silviculture</x:v>
      </x:c>
      <x:c r="D32" s="120" t="str">
        <x:f aca="0">S13_PSP_Species_Support!D27</x:f>
        <x:v>Medium</x:v>
      </x:c>
      <x:c r="E32" s="120" t="n">
        <x:f aca="0">S13_PSP_Species_Support!E27</x:f>
        <x:v>2020</x:v>
      </x:c>
      <x:c r="F32" s="120" t="n">
        <x:f aca="0">S13_PSP_Species_Support!F27</x:f>
        <x:v>0.3598</x:v>
      </x:c>
      <x:c r="G32" s="120" t="n">
        <x:f aca="0">S13_PSP_Species_Support!G27</x:f>
        <x:v>500.28</x:v>
      </x:c>
      <x:c r="H32" s="120" t="str">
        <x:f aca="0">S13_PSP_Species_Support!H27</x:f>
        <x:v>LEMON: 160; NEEM: 20</x:v>
      </x:c>
      <x:c r="I32" s="120" t="str">
        <x:f aca="0">S15_Source_Strata!A4</x:f>
        <x:v>S01</x:v>
      </x:c>
      <x:c r="J32" s="120" t="str">
        <x:f aca="0">IF(S13_PSP_Species_Support!$E27="Unconfirmed","",S13_PSP_Species_Support!Q27)</x:f>
        <x:v>6/9</x:v>
      </x:c>
      <x:c r="K32" s="120" t="n">
        <x:f aca="0">IF(S13_PSP_Species_Support!$E27="Unconfirmed","",S13_PSP_Species_Support!J27)</x:f>
        <x:v>102.04562925670207</x:v>
      </x:c>
      <x:c r="L32" s="120" t="n">
        <x:f aca="0">IF(S13_PSP_Species_Support!$E27="Unconfirmed","",S13_PSP_Species_Support!K27)</x:f>
        <x:v>176.55349249464146</x:v>
      </x:c>
      <x:c r="M32" s="120" t="n">
        <x:f aca="0">IF(S13_PSP_Species_Support!$E27="Unconfirmed","",S13_PSP_Species_Support!L27)</x:f>
        <x:v>1.730142621302381</x:v>
      </x:c>
      <x:c r="N32" s="120" t="n">
        <x:f aca="0">IF(S13_PSP_Species_Support!$E27="Unconfirmed","",S13_PSP_Species_Support!M27)</x:f>
        <x:v>76.53422194252656</x:v>
      </x:c>
      <x:c r="O32" s="120" t="n">
        <x:f aca="0">IF(S13_PSP_Species_Support!$E27="Unconfirmed","",S13_PSP_Species_Support!N27)</x:f>
        <x:v>0.75</x:v>
      </x:c>
      <x:c r="P32" s="120" t="n">
        <x:f aca="0">IF(S13_PSP_Species_Support!$E27="Unconfirmed","",S13_PSP_Species_Support!O27)</x:f>
        <x:v>163.54853000971656</x:v>
      </x:c>
      <x:c r="Q32" s="120" t="n">
        <x:f aca="0">IF(S13_PSP_Species_Support!$E27="Unconfirmed","",S13_PSP_Species_Support!P27)</x:f>
        <x:v>766.9597276855819</x:v>
      </x:c>
      <x:c r="R32"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2" s="120" t="n">
        <x:f aca="0">IF(S13_PSP_Species_Support!$E27="Unconfirmed","",SUMIF(S15_Source_Strata!$B$4:$B$49,S13_PSP_Species_Support!$I27,S15_Source_Strata!$F$4:$F$49))</x:f>
        <x:v>325</x:v>
      </x:c>
      <x:c r="T32" s="980" t="n">
        <x:f>'S13_PSP_Species_Support'!DJ27</x:f>
        <x:v>0.09</x:v>
      </x:c>
      <x:c r="U32" s="979" t="n">
        <x:f>'S13_PSP_Species_Support'!DK27</x:f>
        <x:v>45.02501389660922</x:v>
      </x:c>
    </x:row>
    <x:row r="33" ht="63.75" hidden="0" customHeight="1">
      <x:c r="A33" s="119" t="str">
        <x:f aca="0">S13_PSP_Species_Support!A28</x:f>
        <x:v>PSP-HS-014</x:v>
      </x:c>
      <x:c r="B33" s="120" t="str">
        <x:f aca="0">S13_PSP_Species_Support!B28</x:f>
        <x:v>Tropical &amp; Subtropical Dry Broadleaf Forests</x:v>
      </x:c>
      <x:c r="C33" s="120" t="str">
        <x:f aca="0">S13_PSP_Species_Support!C28</x:f>
        <x:v>Horti-Silviculture</x:v>
      </x:c>
      <x:c r="D33" s="120" t="str">
        <x:f aca="0">S13_PSP_Species_Support!D28</x:f>
        <x:v>Low</x:v>
      </x:c>
      <x:c r="E33" s="120" t="n">
        <x:f aca="0">S13_PSP_Species_Support!E28</x:f>
        <x:v>2021</x:v>
      </x:c>
      <x:c r="F33" s="120" t="n">
        <x:f aca="0">S13_PSP_Species_Support!F28</x:f>
        <x:v>0.857</x:v>
      </x:c>
      <x:c r="G33" s="120" t="n">
        <x:f aca="0">S13_PSP_Species_Support!G28</x:f>
        <x:v>162.19</x:v>
      </x:c>
      <x:c r="H33" s="120" t="str">
        <x:f aca="0">S13_PSP_Species_Support!H28</x:f>
        <x:v>MANGO: 19; LEMON: 20; SILVER OAK: 100</x:v>
      </x:c>
      <x:c r="I33" s="120" t="str">
        <x:f aca="0">S15_Source_Strata!A16</x:f>
        <x:v>S13</x:v>
      </x:c>
      <x:c r="J33" s="120" t="str">
        <x:f aca="0">IF(S13_PSP_Species_Support!$E28="Unconfirmed","",S13_PSP_Species_Support!Q28)</x:f>
        <x:v>1/4</x:v>
      </x:c>
      <x:c r="K33" s="120" t="n">
        <x:f aca="0">IF(S13_PSP_Species_Support!$E28="Unconfirmed","",S13_PSP_Species_Support!J28)</x:f>
        <x:v>16.770071902101677</x:v>
      </x:c>
      <x:c r="L33" s="120" t="n">
        <x:f aca="0">IF(S13_PSP_Species_Support!$E28="Unconfirmed","",S13_PSP_Species_Support!K28)</x:f>
        <x:v>12.0982342788048</x:v>
      </x:c>
      <x:c r="M33" s="120" t="n">
        <x:f aca="0">IF(S13_PSP_Species_Support!$E28="Unconfirmed","",S13_PSP_Species_Support!L28)</x:f>
        <x:v>0.721418151897644</x:v>
      </x:c>
      <x:c r="N33" s="120" t="n">
        <x:f aca="0">IF(S13_PSP_Species_Support!$E28="Unconfirmed","",S13_PSP_Species_Support!M28)</x:f>
        <x:v>12.577553926576257</x:v>
      </x:c>
      <x:c r="O33" s="120" t="n">
        <x:f aca="0">IF(S13_PSP_Species_Support!$E28="Unconfirmed","",S13_PSP_Species_Support!N28)</x:f>
        <x:v>0.75</x:v>
      </x:c>
      <x:c r="P33" s="120" t="n">
        <x:f aca="0">IF(S13_PSP_Species_Support!$E28="Unconfirmed","",S13_PSP_Species_Support!O28)</x:f>
        <x:v>26.87739423749838</x:v>
      </x:c>
      <x:c r="Q33" s="120" t="n">
        <x:f aca="0">IF(S13_PSP_Species_Support!$E28="Unconfirmed","",S13_PSP_Species_Support!P28)</x:f>
        <x:v>257.53545652664155</x:v>
      </x:c>
      <x:c r="R33"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3" s="120" t="n">
        <x:f aca="0">IF(S13_PSP_Species_Support!$E28="Unconfirmed","",SUMIF(S15_Source_Strata!$B$4:$B$49,S13_PSP_Species_Support!$I28,S15_Source_Strata!$F$4:$F$49))</x:f>
        <x:v>51</x:v>
      </x:c>
      <x:c r="T33" s="980" t="n">
        <x:f>'S13_PSP_Species_Support'!DJ28</x:f>
        <x:v>0.09</x:v>
      </x:c>
      <x:c r="U33" s="979" t="n">
        <x:f>'S13_PSP_Species_Support'!DK28</x:f>
        <x:v>14.597432905484247</x:v>
      </x:c>
    </x:row>
    <x:row r="34" ht="63.75" hidden="0" customHeight="1">
      <x:c r="A34" s="119" t="str">
        <x:f aca="0">S13_PSP_Species_Support!A29</x:f>
        <x:v>PSP-HS-015</x:v>
      </x:c>
      <x:c r="B34" s="120" t="str">
        <x:f aca="0">S13_PSP_Species_Support!B29</x:f>
        <x:v>Deserts &amp; Xeric Shrublands</x:v>
      </x:c>
      <x:c r="C34" s="120" t="str">
        <x:f aca="0">S13_PSP_Species_Support!C29</x:f>
        <x:v>Horti-Silviculture</x:v>
      </x:c>
      <x:c r="D34" s="120" t="str">
        <x:f aca="0">S13_PSP_Species_Support!D29</x:f>
        <x:v>Medium</x:v>
      </x:c>
      <x:c r="E34" s="120" t="n">
        <x:f aca="0">S13_PSP_Species_Support!E29</x:f>
        <x:v>2021</x:v>
      </x:c>
      <x:c r="F34" s="120" t="n">
        <x:f aca="0">S13_PSP_Species_Support!F29</x:f>
        <x:v>2.023</x:v>
      </x:c>
      <x:c r="G34" s="120" t="n">
        <x:f aca="0">S13_PSP_Species_Support!G29</x:f>
        <x:v>449.83</x:v>
      </x:c>
      <x:c r="H34" s="120" t="str">
        <x:f aca="0">S13_PSP_Species_Support!H29</x:f>
        <x:v>MOSAMBI: 900; TEAK: 20; GUAVA: 10; MANGO: 10</x:v>
      </x:c>
      <x:c r="I34" s="120" t="str">
        <x:f aca="0">S15_Source_Strata!A17</x:f>
        <x:v>S14</x:v>
      </x:c>
      <x:c r="J34" s="120" t="str">
        <x:f aca="0">IF(S13_PSP_Species_Support!$E29="Unconfirmed","",S13_PSP_Species_Support!Q29)</x:f>
        <x:v>2/9</x:v>
      </x:c>
      <x:c r="K34" s="120" t="n">
        <x:f aca="0">IF(S13_PSP_Species_Support!$E29="Unconfirmed","",S13_PSP_Species_Support!J29)</x:f>
        <x:v>16.079595224116982</x:v>
      </x:c>
      <x:c r="L34" s="120" t="n">
        <x:f aca="0">IF(S13_PSP_Species_Support!$E29="Unconfirmed","",S13_PSP_Species_Support!K29)</x:f>
        <x:v>7.409984330522331</x:v>
      </x:c>
      <x:c r="M34" s="120" t="n">
        <x:f aca="0">IF(S13_PSP_Species_Support!$E29="Unconfirmed","",S13_PSP_Species_Support!L29)</x:f>
        <x:v>0.4608315213935526</x:v>
      </x:c>
      <x:c r="N34" s="120" t="n">
        <x:f aca="0">IF(S13_PSP_Species_Support!$E29="Unconfirmed","",S13_PSP_Species_Support!M29)</x:f>
        <x:v>12.059696418087736</x:v>
      </x:c>
      <x:c r="O34" s="120" t="n">
        <x:f aca="0">IF(S13_PSP_Species_Support!$E29="Unconfirmed","",S13_PSP_Species_Support!N29)</x:f>
        <x:v>0.75</x:v>
      </x:c>
      <x:c r="P34" s="120" t="n">
        <x:f aca="0">IF(S13_PSP_Species_Support!$E29="Unconfirmed","",S13_PSP_Species_Support!O29)</x:f>
        <x:v>25.770767265692307</x:v>
      </x:c>
      <x:c r="Q34" s="120" t="n">
        <x:f aca="0">IF(S13_PSP_Species_Support!$E29="Unconfirmed","",S13_PSP_Species_Support!P29)</x:f>
        <x:v>258.94448483826704</x:v>
      </x:c>
      <x:c r="R34"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4" s="120" t="n">
        <x:f aca="0">IF(S13_PSP_Species_Support!$E29="Unconfirmed","",SUMIF(S15_Source_Strata!$B$4:$B$49,S13_PSP_Species_Support!$I29,S15_Source_Strata!$F$4:$F$49))</x:f>
        <x:v>85</x:v>
      </x:c>
      <x:c r="T34" s="980" t="n">
        <x:f>'S13_PSP_Species_Support'!DJ29</x:f>
        <x:v>0.09</x:v>
      </x:c>
      <x:c r="U34" s="979" t="n">
        <x:f>'S13_PSP_Species_Support'!DK29</x:f>
        <x:v>41.81908057340583</x:v>
      </x:c>
    </x:row>
    <x:row r="35" ht="63.75" hidden="0" customHeight="1">
      <x:c r="A35" s="119" t="str">
        <x:f aca="0">S13_PSP_Species_Support!A30</x:f>
        <x:v>PSP-HS-016</x:v>
      </x:c>
      <x:c r="B35" s="120" t="str">
        <x:f aca="0">S13_PSP_Species_Support!B30</x:f>
        <x:v>Tropical &amp; Subtropical Dry Broadleaf Forests</x:v>
      </x:c>
      <x:c r="C35" s="120" t="str">
        <x:f aca="0">S13_PSP_Species_Support!C30</x:f>
        <x:v>Horti-Silviculture</x:v>
      </x:c>
      <x:c r="D35" s="120" t="str">
        <x:f aca="0">S13_PSP_Species_Support!D30</x:f>
        <x:v>Medium</x:v>
      </x:c>
      <x:c r="E35" s="120" t="n">
        <x:f aca="0">S13_PSP_Species_Support!E30</x:f>
        <x:v>2021</x:v>
      </x:c>
      <x:c r="F35" s="120" t="n">
        <x:f aca="0">S13_PSP_Species_Support!F30</x:f>
        <x:v>2.288</x:v>
      </x:c>
      <x:c r="G35" s="120" t="n">
        <x:f aca="0">S13_PSP_Species_Support!G30</x:f>
        <x:v>629.37</x:v>
      </x:c>
      <x:c r="H35" s="120" t="str">
        <x:f aca="0">S13_PSP_Species_Support!H30</x:f>
        <x:v>SANDALWOOD: 300; MANGO: 40; GUAVA: 1000; LEMON: 50; ZAPOTA: 50</x:v>
      </x:c>
      <x:c r="I35" s="120" t="str">
        <x:f aca="0">S15_Source_Strata!A17</x:f>
        <x:v>S14</x:v>
      </x:c>
      <x:c r="J35" s="120" t="str">
        <x:f aca="0">IF(S13_PSP_Species_Support!$E30="Unconfirmed","",S13_PSP_Species_Support!Q30)</x:f>
        <x:v>2/9</x:v>
      </x:c>
      <x:c r="K35" s="120" t="n">
        <x:f aca="0">IF(S13_PSP_Species_Support!$E30="Unconfirmed","",S13_PSP_Species_Support!J30)</x:f>
        <x:v>16.079595224116982</x:v>
      </x:c>
      <x:c r="L35" s="120" t="n">
        <x:f aca="0">IF(S13_PSP_Species_Support!$E30="Unconfirmed","",S13_PSP_Species_Support!K30)</x:f>
        <x:v>7.409984330522331</x:v>
      </x:c>
      <x:c r="M35" s="120" t="n">
        <x:f aca="0">IF(S13_PSP_Species_Support!$E30="Unconfirmed","",S13_PSP_Species_Support!L30)</x:f>
        <x:v>0.4608315213935526</x:v>
      </x:c>
      <x:c r="N35" s="120" t="n">
        <x:f aca="0">IF(S13_PSP_Species_Support!$E30="Unconfirmed","",S13_PSP_Species_Support!M30)</x:f>
        <x:v>12.059696418087736</x:v>
      </x:c>
      <x:c r="O35" s="120" t="n">
        <x:f aca="0">IF(S13_PSP_Species_Support!$E30="Unconfirmed","",S13_PSP_Species_Support!N30)</x:f>
        <x:v>0.75</x:v>
      </x:c>
      <x:c r="P35" s="120" t="n">
        <x:f aca="0">IF(S13_PSP_Species_Support!$E30="Unconfirmed","",S13_PSP_Species_Support!O30)</x:f>
        <x:v>25.770767265692307</x:v>
      </x:c>
      <x:c r="Q35" s="120" t="n">
        <x:f aca="0">IF(S13_PSP_Species_Support!$E30="Unconfirmed","",S13_PSP_Species_Support!P30)</x:f>
        <x:v>258.94448483826704</x:v>
      </x:c>
      <x:c r="R35"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5" s="120" t="n">
        <x:f aca="0">IF(S13_PSP_Species_Support!$E30="Unconfirmed","",SUMIF(S15_Source_Strata!$B$4:$B$49,S13_PSP_Species_Support!$I30,S15_Source_Strata!$F$4:$F$49))</x:f>
        <x:v>85</x:v>
      </x:c>
      <x:c r="T35" s="980" t="n">
        <x:f>'S13_PSP_Species_Support'!DJ30</x:f>
        <x:v>0.09</x:v>
      </x:c>
      <x:c r="U35" s="979" t="n">
        <x:f>'S13_PSP_Species_Support'!DK30</x:f>
        <x:v>56.643356643356654</x:v>
      </x:c>
    </x:row>
    <x:row r="36" ht="63.75" hidden="0" customHeight="1">
      <x:c r="A36" s="119" t="str">
        <x:f aca="0">S13_PSP_Species_Support!A31</x:f>
        <x:v>PSP-HS-017</x:v>
      </x:c>
      <x:c r="B36" s="120" t="str">
        <x:f aca="0">S13_PSP_Species_Support!B31</x:f>
        <x:v>Tropical &amp; Subtropical Moist Broadleaf Forests</x:v>
      </x:c>
      <x:c r="C36" s="120" t="str">
        <x:f aca="0">S13_PSP_Species_Support!C31</x:f>
        <x:v>Horti-Silviculture</x:v>
      </x:c>
      <x:c r="D36" s="120" t="str">
        <x:f aca="0">S13_PSP_Species_Support!D31</x:f>
        <x:v>Low</x:v>
      </x:c>
      <x:c r="E36" s="120" t="n">
        <x:f aca="0">S13_PSP_Species_Support!E31</x:f>
        <x:v>2022</x:v>
      </x:c>
      <x:c r="F36" s="120" t="n">
        <x:f aca="0">S13_PSP_Species_Support!F31</x:f>
        <x:v>1.3742</x:v>
      </x:c>
      <x:c r="G36" s="120" t="n">
        <x:f aca="0">S13_PSP_Species_Support!G31</x:f>
        <x:v>207.39</x:v>
      </x:c>
      <x:c r="H36" s="120" t="str">
        <x:f aca="0">S13_PSP_Species_Support!H31</x:f>
        <x:v>CASHEW: 15; MANGO: 60; TEAK: 210</x:v>
      </x:c>
      <x:c r="I36" s="120" t="str">
        <x:f aca="0">S15_Source_Strata!A27</x:f>
        <x:v>S24</x:v>
      </x:c>
      <x:c r="J36" s="120" t="str">
        <x:f aca="0">IF(S13_PSP_Species_Support!$E31="Unconfirmed","",S13_PSP_Species_Support!Q31)</x:f>
        <x:v>1/4</x:v>
      </x:c>
      <x:c r="K36" s="120" t="n">
        <x:f aca="0">IF(S13_PSP_Species_Support!$E31="Unconfirmed","",S13_PSP_Species_Support!J31)</x:f>
        <x:v>9.226232118707431</x:v>
      </x:c>
      <x:c r="L36" s="120" t="n">
        <x:f aca="0">IF(S13_PSP_Species_Support!$E31="Unconfirmed","",S13_PSP_Species_Support!K31)</x:f>
        <x:v>7.143725476008843</x:v>
      </x:c>
      <x:c r="M36" s="120" t="n">
        <x:f aca="0">IF(S13_PSP_Species_Support!$E31="Unconfirmed","",S13_PSP_Species_Support!L31)</x:f>
        <x:v>0.7742841697559262</x:v>
      </x:c>
      <x:c r="N36" s="120" t="n">
        <x:f aca="0">IF(S13_PSP_Species_Support!$E31="Unconfirmed","",S13_PSP_Species_Support!M31)</x:f>
        <x:v>6.919674089030574</x:v>
      </x:c>
      <x:c r="O36" s="120" t="n">
        <x:f aca="0">IF(S13_PSP_Species_Support!$E31="Unconfirmed","",S13_PSP_Species_Support!N31)</x:f>
        <x:v>0.75</x:v>
      </x:c>
      <x:c r="P36" s="120" t="n">
        <x:f aca="0">IF(S13_PSP_Species_Support!$E31="Unconfirmed","",S13_PSP_Species_Support!O31)</x:f>
        <x:v>14.786882216652412</x:v>
      </x:c>
      <x:c r="Q36" s="120" t="n">
        <x:f aca="0">IF(S13_PSP_Species_Support!$E31="Unconfirmed","",S13_PSP_Species_Support!P31)</x:f>
        <x:v>246.97333409785028</x:v>
      </x:c>
      <x:c r="R36"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6" s="120" t="n">
        <x:f aca="0">IF(S13_PSP_Species_Support!$E31="Unconfirmed","",SUMIF(S15_Source_Strata!$B$4:$B$49,S13_PSP_Species_Support!$I31,S15_Source_Strata!$F$4:$F$49))</x:f>
        <x:v>30</x:v>
      </x:c>
      <x:c r="T36" s="980" t="n">
        <x:f>'S13_PSP_Species_Support'!DJ31</x:f>
        <x:v>0.09</x:v>
      </x:c>
      <x:c r="U36" s="979" t="n">
        <x:f>'S13_PSP_Species_Support'!DK31</x:f>
        <x:v>18.665405326735552</x:v>
      </x:c>
    </x:row>
    <x:row r="37" ht="63.75" hidden="0" customHeight="1">
      <x:c r="A37" s="119" t="str">
        <x:f aca="0">S13_PSP_Species_Support!A32</x:f>
        <x:v>PSP-HS-018</x:v>
      </x:c>
      <x:c r="B37" s="120" t="str">
        <x:f aca="0">S13_PSP_Species_Support!B32</x:f>
        <x:v>Tropical &amp; Subtropical Moist Broadleaf Forests</x:v>
      </x:c>
      <x:c r="C37" s="120" t="str">
        <x:f aca="0">S13_PSP_Species_Support!C32</x:f>
        <x:v>Horti-Silviculture</x:v>
      </x:c>
      <x:c r="D37" s="120" t="str">
        <x:f aca="0">S13_PSP_Species_Support!D32</x:f>
        <x:v>Medium</x:v>
      </x:c>
      <x:c r="E37" s="120" t="n">
        <x:f aca="0">S13_PSP_Species_Support!E32</x:f>
        <x:v>2023</x:v>
      </x:c>
      <x:c r="F37" s="120" t="n">
        <x:f aca="0">S13_PSP_Species_Support!F32</x:f>
        <x:v>0.607</x:v>
      </x:c>
      <x:c r="G37" s="120" t="n">
        <x:f aca="0">S13_PSP_Species_Support!G32</x:f>
        <x:v>345.96</x:v>
      </x:c>
      <x:c r="H37" s="120" t="str">
        <x:f aca="0">S13_PSP_Species_Support!H32</x:f>
        <x:v>CASHEW: 110; MANGO: 40; TEAK: 60</x:v>
      </x:c>
      <x:c r="I37" s="120" t="str">
        <x:f aca="0">S15_Source_Strata!A39</x:f>
        <x:v>S36</x:v>
      </x:c>
      <x:c r="J37" s="120" t="str">
        <x:f aca="0">IF(S13_PSP_Species_Support!$E32="Unconfirmed","",S13_PSP_Species_Support!Q32)</x:f>
        <x:v>1/9</x:v>
      </x:c>
      <x:c r="K37" s="120" t="n">
        <x:f aca="0">IF(S13_PSP_Species_Support!$E32="Unconfirmed","",S13_PSP_Species_Support!J32)</x:f>
        <x:v>13.18747702275412</x:v>
      </x:c>
      <x:c r="L37" s="120" t="n">
        <x:f aca="0">IF(S13_PSP_Species_Support!$E32="Unconfirmed","",S13_PSP_Species_Support!K32)</x:f>
        <x:v>27.78345651803168</x:v>
      </x:c>
      <x:c r="M37" s="120" t="n">
        <x:f aca="0">IF(S13_PSP_Species_Support!$E32="Unconfirmed","",S13_PSP_Species_Support!L32)</x:f>
        <x:v>2.1068060607873034</x:v>
      </x:c>
      <x:c r="N37" s="120" t="n">
        <x:f aca="0">IF(S13_PSP_Species_Support!$E32="Unconfirmed","",S13_PSP_Species_Support!M32)</x:f>
        <x:v>9.890607767065589</x:v>
      </x:c>
      <x:c r="O37" s="120" t="n">
        <x:f aca="0">IF(S13_PSP_Species_Support!$E32="Unconfirmed","",S13_PSP_Species_Support!N32)</x:f>
        <x:v>0.7499999999999999</x:v>
      </x:c>
      <x:c r="P37" s="120" t="n">
        <x:f aca="0">IF(S13_PSP_Species_Support!$E32="Unconfirmed","",S13_PSP_Species_Support!O32)</x:f>
        <x:v>21.135569424368043</x:v>
      </x:c>
      <x:c r="Q37" s="120" t="n">
        <x:f aca="0">IF(S13_PSP_Species_Support!$E32="Unconfirmed","",S13_PSP_Species_Support!P32)</x:f>
        <x:v>551.9644413483702</x:v>
      </x:c>
      <x:c r="R37"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7" s="120" t="n">
        <x:f aca="0">IF(S13_PSP_Species_Support!$E32="Unconfirmed","",SUMIF(S15_Source_Strata!$B$4:$B$49,S13_PSP_Species_Support!$I32,S15_Source_Strata!$F$4:$F$49))</x:f>
        <x:v>12</x:v>
      </x:c>
      <x:c r="T37" s="980" t="n">
        <x:f>'S13_PSP_Species_Support'!DJ32</x:f>
        <x:v>0.09</x:v>
      </x:c>
      <x:c r="U37" s="979" t="n">
        <x:f>'S13_PSP_Species_Support'!DK32</x:f>
        <x:v>31.13673805601318</x:v>
      </x:c>
    </x:row>
    <x:row r="38" ht="63.75" hidden="0" customHeight="1">
      <x:c r="A38" s="119" t="str">
        <x:f aca="0">S13_PSP_Species_Support!A33</x:f>
        <x:v>PSP-HS-019</x:v>
      </x:c>
      <x:c r="B38" s="120" t="str">
        <x:f aca="0">S13_PSP_Species_Support!B33</x:f>
        <x:v>Tropical &amp; Subtropical Dry Broadleaf Forests</x:v>
      </x:c>
      <x:c r="C38" s="120" t="str">
        <x:f aca="0">S13_PSP_Species_Support!C33</x:f>
        <x:v>Horti-Silviculture</x:v>
      </x:c>
      <x:c r="D38" s="120" t="str">
        <x:f aca="0">S13_PSP_Species_Support!D33</x:f>
        <x:v>Low</x:v>
      </x:c>
      <x:c r="E38" s="120" t="n">
        <x:f aca="0">S13_PSP_Species_Support!E33</x:f>
        <x:v>2024</x:v>
      </x:c>
      <x:c r="F38" s="120" t="n">
        <x:f aca="0">S13_PSP_Species_Support!F33</x:f>
        <x:v>1.6662</x:v>
      </x:c>
      <x:c r="G38" s="120" t="n">
        <x:f aca="0">S13_PSP_Species_Support!G33</x:f>
        <x:v>225.06</x:v>
      </x:c>
      <x:c r="H38" s="120" t="str">
        <x:f aca="0">S13_PSP_Species_Support!H33</x:f>
        <x:v>MANGO: 345; TEAK: 30</x:v>
      </x:c>
      <x:c r="I38" s="120" t="str">
        <x:f aca="0">S15_Source_Strata!A49</x:f>
        <x:v>S46</x:v>
      </x:c>
      <x:c r="J38" s="120" t="str">
        <x:f aca="0">IF(S13_PSP_Species_Support!$E33="Unconfirmed","",S13_PSP_Species_Support!Q33)</x:f>
        <x:v>1/4</x:v>
      </x:c>
      <x:c r="K38" s="120" t="n">
        <x:f aca="0">IF(S13_PSP_Species_Support!$E33="Unconfirmed","",S13_PSP_Species_Support!J33)</x:f>
        <x:v>1.128282769876533</x:v>
      </x:c>
      <x:c r="L38" s="120" t="n">
        <x:f aca="0">IF(S13_PSP_Species_Support!$E33="Unconfirmed","",S13_PSP_Species_Support!K33)</x:f>
        <x:v>1.0501470960451422</x:v>
      </x:c>
      <x:c r="M38" s="120" t="n">
        <x:f aca="0">IF(S13_PSP_Species_Support!$E33="Unconfirmed","",S13_PSP_Species_Support!L33)</x:f>
        <x:v>0.9307481458394148</x:v>
      </x:c>
      <x:c r="N38" s="120" t="n">
        <x:f aca="0">IF(S13_PSP_Species_Support!$E33="Unconfirmed","",S13_PSP_Species_Support!M33)</x:f>
        <x:v>0.8462120774073998</x:v>
      </x:c>
      <x:c r="O38" s="120" t="n">
        <x:f aca="0">IF(S13_PSP_Species_Support!$E33="Unconfirmed","",S13_PSP_Species_Support!N33)</x:f>
        <x:v>0.75</x:v>
      </x:c>
      <x:c r="P38" s="120" t="n">
        <x:f aca="0">IF(S13_PSP_Species_Support!$E33="Unconfirmed","",S13_PSP_Species_Support!O33)</x:f>
        <x:v>1.808298795281121</x:v>
      </x:c>
      <x:c r="Q38" s="120" t="n">
        <x:f aca="0">IF(S13_PSP_Species_Support!$E33="Unconfirmed","",S13_PSP_Species_Support!P33)</x:f>
        <x:v>222.2899602891645</x:v>
      </x:c>
      <x:c r="R38"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8" s="120" t="n">
        <x:f aca="0">IF(S13_PSP_Species_Support!$E33="Unconfirmed","",SUMIF(S15_Source_Strata!$B$4:$B$49,S13_PSP_Species_Support!$I33,S15_Source_Strata!$F$4:$F$49))</x:f>
        <x:v>1</x:v>
      </x:c>
      <x:c r="T38" s="980" t="n">
        <x:f>'S13_PSP_Species_Support'!DJ33</x:f>
        <x:v>0.09</x:v>
      </x:c>
      <x:c r="U38" s="979" t="n">
        <x:f>'S13_PSP_Species_Support'!DK33</x:f>
        <x:v>20.255671588044653</x:v>
      </x:c>
    </x:row>
    <x:row r="39" ht="63.75" hidden="0" customHeight="1">
      <x:c r="A39" s="119" t="str">
        <x:f aca="0">S13_PSP_Species_Support!A34</x:f>
        <x:v>PSP-MA-001</x:v>
      </x:c>
      <x:c r="B39" s="120" t="str">
        <x:f aca="0">S13_PSP_Species_Support!B34</x:f>
        <x:v>Tropical &amp; Subtropical Dry Broadleaf Forests</x:v>
      </x:c>
      <x:c r="C39" s="120" t="str">
        <x:f aca="0">S13_PSP_Species_Support!C34</x:f>
        <x:v>Mixed Agroforestry Model</x:v>
      </x:c>
      <x:c r="D39" s="120" t="str">
        <x:f aca="0">S13_PSP_Species_Support!D34</x:f>
        <x:v>High</x:v>
      </x:c>
      <x:c r="E39" s="120" t="n">
        <x:f aca="0">S13_PSP_Species_Support!E34</x:f>
        <x:v>2020</x:v>
      </x:c>
      <x:c r="F39" s="120" t="n">
        <x:f aca="0">S13_PSP_Species_Support!F34</x:f>
        <x:v>0.4281</x:v>
      </x:c>
      <x:c r="G39" s="120" t="n">
        <x:f aca="0">S13_PSP_Species_Support!G34</x:f>
        <x:v>2779.72</x:v>
      </x:c>
      <x:c r="H39" s="120" t="str">
        <x:f aca="0">S13_PSP_Species_Support!H34</x:f>
        <x:v>SILVER OAK: 900; JACKFRUIT: 20; PONGAMIA: 20; ARJUN TREE: 250</x:v>
      </x:c>
      <x:c r="I39" s="120" t="str">
        <x:f aca="0">S15_Source_Strata!A14</x:f>
        <x:v>S11</x:v>
      </x:c>
      <x:c r="J39" s="120" t="str">
        <x:f aca="0">IF(S13_PSP_Species_Support!$E34="Unconfirmed","",S13_PSP_Species_Support!Q34)</x:f>
        <x:v>2/3</x:v>
      </x:c>
      <x:c r="K39" s="120" t="n">
        <x:f aca="0">IF(S13_PSP_Species_Support!$E34="Unconfirmed","",S13_PSP_Species_Support!J34)</x:f>
        <x:v>874.4823433687704</x:v>
      </x:c>
      <x:c r="L39" s="120" t="n">
        <x:f aca="0">IF(S13_PSP_Species_Support!$E34="Unconfirmed","",S13_PSP_Species_Support!K34)</x:f>
        <x:v>125.18393891352072</x:v>
      </x:c>
      <x:c r="M39" s="120" t="n">
        <x:f aca="0">IF(S13_PSP_Species_Support!$E34="Unconfirmed","",S13_PSP_Species_Support!L34)</x:f>
        <x:v>0.14315204859514297</x:v>
      </x:c>
      <x:c r="N39" s="120" t="n">
        <x:f aca="0">IF(S13_PSP_Species_Support!$E34="Unconfirmed","",S13_PSP_Species_Support!M34)</x:f>
        <x:v>655.8617575265778</x:v>
      </x:c>
      <x:c r="O39" s="120" t="n">
        <x:f aca="0">IF(S13_PSP_Species_Support!$E34="Unconfirmed","",S13_PSP_Species_Support!N34)</x:f>
        <x:v>0.7499999999999999</x:v>
      </x:c>
      <x:c r="P39" s="120" t="n">
        <x:f aca="0">IF(S13_PSP_Species_Support!$E34="Unconfirmed","",S13_PSP_Species_Support!O34)</x:f>
        <x:v>1401.5328517171295</x:v>
      </x:c>
      <x:c r="Q39" s="120" t="n">
        <x:f aca="0">IF(S13_PSP_Species_Support!$E34="Unconfirmed","",S13_PSP_Species_Support!P34)</x:f>
        <x:v>8325.068852688742</x:v>
      </x:c>
      <x:c r="R39"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39" s="120" t="n">
        <x:f aca="0">IF(S13_PSP_Species_Support!$E34="Unconfirmed","",SUMIF(S15_Source_Strata!$B$4:$B$49,S13_PSP_Species_Support!$I34,S15_Source_Strata!$F$4:$F$49))</x:f>
        <x:v>8</x:v>
      </x:c>
      <x:c r="T39" s="980" t="n">
        <x:f>'S13_PSP_Species_Support'!DJ34</x:f>
        <x:v>0.09</x:v>
      </x:c>
      <x:c r="U39" s="979" t="n">
        <x:f>'S13_PSP_Species_Support'!DK34</x:f>
        <x:v>250.1751927119832</x:v>
      </x:c>
    </x:row>
    <x:row r="40" ht="63.75" hidden="0" customHeight="1">
      <x:c r="A40" s="119" t="str">
        <x:f aca="0">S13_PSP_Species_Support!A35</x:f>
        <x:v>PSP-MA-002</x:v>
      </x:c>
      <x:c r="B40" s="120" t="str">
        <x:f aca="0">S13_PSP_Species_Support!B35</x:f>
        <x:v>Tropical &amp; Subtropical Moist Broadleaf Forests</x:v>
      </x:c>
      <x:c r="C40" s="120" t="str">
        <x:f aca="0">S13_PSP_Species_Support!C35</x:f>
        <x:v>Mixed Agroforestry Model</x:v>
      </x:c>
      <x:c r="D40" s="120" t="str">
        <x:f aca="0">S13_PSP_Species_Support!D35</x:f>
        <x:v>High</x:v>
      </x:c>
      <x:c r="E40" s="120" t="n">
        <x:f aca="0">S13_PSP_Species_Support!E35</x:f>
        <x:v>2020</x:v>
      </x:c>
      <x:c r="F40" s="120" t="n">
        <x:f aca="0">S13_PSP_Species_Support!F35</x:f>
        <x:v>0.4444</x:v>
      </x:c>
      <x:c r="G40" s="120" t="n">
        <x:f aca="0">S13_PSP_Species_Support!G35</x:f>
        <x:v>5603.06</x:v>
      </x:c>
      <x:c r="H40" s="120" t="str">
        <x:f aca="0">S13_PSP_Species_Support!H35</x:f>
        <x:v>MANGO: 35; SARVI: 2500</x:v>
      </x:c>
      <x:c r="I40" s="120" t="str">
        <x:f aca="0">S15_Source_Strata!A14</x:f>
        <x:v>S11</x:v>
      </x:c>
      <x:c r="J40" s="120" t="str">
        <x:f aca="0">IF(S13_PSP_Species_Support!$E35="Unconfirmed","",S13_PSP_Species_Support!Q35)</x:f>
        <x:v>2/3</x:v>
      </x:c>
      <x:c r="K40" s="120" t="n">
        <x:f aca="0">IF(S13_PSP_Species_Support!$E35="Unconfirmed","",S13_PSP_Species_Support!J35)</x:f>
        <x:v>874.4823433687704</x:v>
      </x:c>
      <x:c r="L40" s="120" t="n">
        <x:f aca="0">IF(S13_PSP_Species_Support!$E35="Unconfirmed","",S13_PSP_Species_Support!K35)</x:f>
        <x:v>125.18393891352072</x:v>
      </x:c>
      <x:c r="M40" s="120" t="n">
        <x:f aca="0">IF(S13_PSP_Species_Support!$E35="Unconfirmed","",S13_PSP_Species_Support!L35)</x:f>
        <x:v>0.14315204859514297</x:v>
      </x:c>
      <x:c r="N40" s="120" t="n">
        <x:f aca="0">IF(S13_PSP_Species_Support!$E35="Unconfirmed","",S13_PSP_Species_Support!M35)</x:f>
        <x:v>655.8617575265778</x:v>
      </x:c>
      <x:c r="O40" s="120" t="n">
        <x:f aca="0">IF(S13_PSP_Species_Support!$E35="Unconfirmed","",S13_PSP_Species_Support!N35)</x:f>
        <x:v>0.7499999999999999</x:v>
      </x:c>
      <x:c r="P40" s="120" t="n">
        <x:f aca="0">IF(S13_PSP_Species_Support!$E35="Unconfirmed","",S13_PSP_Species_Support!O35)</x:f>
        <x:v>1401.5328517171295</x:v>
      </x:c>
      <x:c r="Q40" s="120" t="n">
        <x:f aca="0">IF(S13_PSP_Species_Support!$E35="Unconfirmed","",S13_PSP_Species_Support!P35)</x:f>
        <x:v>8325.068852688742</x:v>
      </x:c>
      <x:c r="R40"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0" s="120" t="n">
        <x:f aca="0">IF(S13_PSP_Species_Support!$E35="Unconfirmed","",SUMIF(S15_Source_Strata!$B$4:$B$49,S13_PSP_Species_Support!$I35,S15_Source_Strata!$F$4:$F$49))</x:f>
        <x:v>8</x:v>
      </x:c>
      <x:c r="T40" s="980" t="n">
        <x:f>'S13_PSP_Species_Support'!DJ35</x:f>
        <x:v>0.09</x:v>
      </x:c>
      <x:c r="U40" s="979" t="n">
        <x:f>'S13_PSP_Species_Support'!DK35</x:f>
        <x:v>513.3888388838884</x:v>
      </x:c>
    </x:row>
    <x:row r="41" ht="63.75" hidden="0" customHeight="1">
      <x:c r="A41" s="119" t="str">
        <x:f aca="0">S13_PSP_Species_Support!A36</x:f>
        <x:v>PSP-MA-003</x:v>
      </x:c>
      <x:c r="B41" s="120" t="str">
        <x:f aca="0">S13_PSP_Species_Support!B36</x:f>
        <x:v>Deserts &amp; Xeric Shrublands</x:v>
      </x:c>
      <x:c r="C41" s="120" t="str">
        <x:f aca="0">S13_PSP_Species_Support!C36</x:f>
        <x:v>Mixed Agroforestry Model</x:v>
      </x:c>
      <x:c r="D41" s="120" t="str">
        <x:f aca="0">S13_PSP_Species_Support!D36</x:f>
        <x:v>Low</x:v>
      </x:c>
      <x:c r="E41" s="120" t="n">
        <x:f aca="0">S13_PSP_Species_Support!E36</x:f>
        <x:v>2020</x:v>
      </x:c>
      <x:c r="F41" s="120" t="n">
        <x:f aca="0">S13_PSP_Species_Support!F36</x:f>
        <x:v>1.8785</x:v>
      </x:c>
      <x:c r="G41" s="120" t="n">
        <x:f aca="0">S13_PSP_Species_Support!G36</x:f>
        <x:v>139.47</x:v>
      </x:c>
      <x:c r="H41" s="120" t="str">
        <x:f aca="0">S13_PSP_Species_Support!H36</x:f>
        <x:v>MANGO: 260; JACKFRUIT: 1; SAPOTA: 1</x:v>
      </x:c>
      <x:c r="I41" s="120" t="str">
        <x:f aca="0">S15_Source_Strata!A15</x:f>
        <x:v>S12</x:v>
      </x:c>
      <x:c r="J41" s="120" t="str">
        <x:f aca="0">IF(S13_PSP_Species_Support!$E36="Unconfirmed","",S13_PSP_Species_Support!Q36)</x:f>
        <x:v>1/2</x:v>
      </x:c>
      <x:c r="K41" s="120" t="n">
        <x:f aca="0">IF(S13_PSP_Species_Support!$E36="Unconfirmed","",S13_PSP_Species_Support!J36)</x:f>
        <x:v>9.93656640622674</x:v>
      </x:c>
      <x:c r="L41" s="120" t="n">
        <x:f aca="0">IF(S13_PSP_Species_Support!$E36="Unconfirmed","",S13_PSP_Species_Support!K36)</x:f>
        <x:v>1.9793183472542992</x:v>
      </x:c>
      <x:c r="M41" s="120" t="n">
        <x:f aca="0">IF(S13_PSP_Species_Support!$E36="Unconfirmed","",S13_PSP_Species_Support!L36)</x:f>
        <x:v>0.1991954027513932</x:v>
      </x:c>
      <x:c r="N41" s="120" t="n">
        <x:f aca="0">IF(S13_PSP_Species_Support!$E36="Unconfirmed","",S13_PSP_Species_Support!M36)</x:f>
        <x:v>7.452424804670056</x:v>
      </x:c>
      <x:c r="O41" s="120" t="n">
        <x:f aca="0">IF(S13_PSP_Species_Support!$E36="Unconfirmed","",S13_PSP_Species_Support!N36)</x:f>
        <x:v>0.75</x:v>
      </x:c>
      <x:c r="P41" s="120" t="n">
        <x:f aca="0">IF(S13_PSP_Species_Support!$E36="Unconfirmed","",S13_PSP_Species_Support!O36)</x:f>
        <x:v>15.925334979259612</x:v>
      </x:c>
      <x:c r="Q41" s="120" t="n">
        <x:f aca="0">IF(S13_PSP_Species_Support!$E36="Unconfirmed","",S13_PSP_Species_Support!P36)</x:f>
        <x:v>114.88037132308999</x:v>
      </x:c>
      <x:c r="R41"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1" s="120" t="n">
        <x:f aca="0">IF(S13_PSP_Species_Support!$E36="Unconfirmed","",SUMIF(S15_Source_Strata!$B$4:$B$49,S13_PSP_Species_Support!$I36,S15_Source_Strata!$F$4:$F$49))</x:f>
        <x:v>4</x:v>
      </x:c>
      <x:c r="T41" s="980" t="n">
        <x:f>'S13_PSP_Species_Support'!DJ36</x:f>
        <x:v>0.09</x:v>
      </x:c>
      <x:c r="U41" s="979" t="n">
        <x:f>'S13_PSP_Species_Support'!DK36</x:f>
        <x:v>12.552568538727709</x:v>
      </x:c>
    </x:row>
    <x:row r="42" ht="63.75" hidden="0" customHeight="1">
      <x:c r="A42" s="119" t="str">
        <x:f aca="0">S13_PSP_Species_Support!A37</x:f>
        <x:v>PSP-MA-004</x:v>
      </x:c>
      <x:c r="B42" s="120" t="str">
        <x:f aca="0">S13_PSP_Species_Support!B37</x:f>
        <x:v>Tropical &amp; Subtropical Dry Broadleaf Forests</x:v>
      </x:c>
      <x:c r="C42" s="120" t="str">
        <x:f aca="0">S13_PSP_Species_Support!C37</x:f>
        <x:v>Mixed Agroforestry Model</x:v>
      </x:c>
      <x:c r="D42" s="120" t="str">
        <x:f aca="0">S13_PSP_Species_Support!D37</x:f>
        <x:v>Medium</x:v>
      </x:c>
      <x:c r="E42" s="120" t="n">
        <x:f aca="0">S13_PSP_Species_Support!E37</x:f>
        <x:v>2020</x:v>
      </x:c>
      <x:c r="F42" s="120" t="n">
        <x:f aca="0">S13_PSP_Species_Support!F37</x:f>
        <x:v>1.193</x:v>
      </x:c>
      <x:c r="G42" s="120" t="n">
        <x:f aca="0">S13_PSP_Species_Support!G37</x:f>
        <x:v>893.55</x:v>
      </x:c>
      <x:c r="H42" s="120" t="str">
        <x:f aca="0">S13_PSP_Species_Support!H37</x:f>
        <x:v>CASHEW: 500; CUSTARD APPLE: 500; TAMARIND: 50; JACKFRUIT: 10; MANGO: 6</x:v>
      </x:c>
      <x:c r="I42" s="120" t="str">
        <x:f aca="0">S15_Source_Strata!A11</x:f>
        <x:v>S08</x:v>
      </x:c>
      <x:c r="J42" s="120" t="str">
        <x:f aca="0">IF(S13_PSP_Species_Support!$E37="Unconfirmed","",S13_PSP_Species_Support!Q37)</x:f>
        <x:v>1/3</x:v>
      </x:c>
      <x:c r="K42" s="120" t="n">
        <x:f aca="0">IF(S13_PSP_Species_Support!$E37="Unconfirmed","",S13_PSP_Species_Support!J37)</x:f>
        <x:v>56.677245300926124</x:v>
      </x:c>
      <x:c r="L42" s="120" t="n">
        <x:f aca="0">IF(S13_PSP_Species_Support!$E37="Unconfirmed","",S13_PSP_Species_Support!K37)</x:f>
        <x:v>30.82719081503409</x:v>
      </x:c>
      <x:c r="M42" s="120" t="n">
        <x:f aca="0">IF(S13_PSP_Species_Support!$E37="Unconfirmed","",S13_PSP_Species_Support!L37)</x:f>
        <x:v>0.5439077120166664</x:v>
      </x:c>
      <x:c r="N42" s="120" t="n">
        <x:f aca="0">IF(S13_PSP_Species_Support!$E37="Unconfirmed","",S13_PSP_Species_Support!M37)</x:f>
        <x:v>42.50793397569459</x:v>
      </x:c>
      <x:c r="O42" s="120" t="n">
        <x:f aca="0">IF(S13_PSP_Species_Support!$E37="Unconfirmed","",S13_PSP_Species_Support!N37)</x:f>
        <x:v>0.75</x:v>
      </x:c>
      <x:c r="P42" s="120" t="n">
        <x:f aca="0">IF(S13_PSP_Species_Support!$E37="Unconfirmed","",S13_PSP_Species_Support!O37)</x:f>
        <x:v>90.83662104379438</x:v>
      </x:c>
      <x:c r="Q42" s="120" t="n">
        <x:f aca="0">IF(S13_PSP_Species_Support!$E37="Unconfirmed","",S13_PSP_Species_Support!P37)</x:f>
        <x:v>637.105212789708</x:v>
      </x:c>
      <x:c r="R42"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2" s="120" t="n">
        <x:f aca="0">IF(S13_PSP_Species_Support!$E37="Unconfirmed","",SUMIF(S15_Source_Strata!$B$4:$B$49,S13_PSP_Species_Support!$I37,S15_Source_Strata!$F$4:$F$49))</x:f>
        <x:v>10</x:v>
      </x:c>
      <x:c r="T42" s="980" t="n">
        <x:f>'S13_PSP_Species_Support'!DJ37</x:f>
        <x:v>0.09</x:v>
      </x:c>
      <x:c r="U42" s="979" t="n">
        <x:f>'S13_PSP_Species_Support'!DK37</x:f>
        <x:v>80.41911148365466</x:v>
      </x:c>
    </x:row>
    <x:row r="43" ht="63.75" hidden="0" customHeight="1">
      <x:c r="A43" s="119" t="str">
        <x:f aca="0">S13_PSP_Species_Support!A38</x:f>
        <x:v>PSP-MA-005</x:v>
      </x:c>
      <x:c r="B43" s="120" t="str">
        <x:f aca="0">S13_PSP_Species_Support!B38</x:f>
        <x:v>Tropical &amp; Subtropical Dry Broadleaf Forests</x:v>
      </x:c>
      <x:c r="C43" s="120" t="str">
        <x:f aca="0">S13_PSP_Species_Support!C38</x:f>
        <x:v>Mixed Agroforestry Model</x:v>
      </x:c>
      <x:c r="D43" s="120" t="str">
        <x:f aca="0">S13_PSP_Species_Support!D38</x:f>
        <x:v>Medium</x:v>
      </x:c>
      <x:c r="E43" s="120" t="n">
        <x:f aca="0">S13_PSP_Species_Support!E38</x:f>
        <x:v>2021</x:v>
      </x:c>
      <x:c r="F43" s="120" t="n">
        <x:f aca="0">S13_PSP_Species_Support!F38</x:f>
        <x:v>0.8151</x:v>
      </x:c>
      <x:c r="G43" s="120" t="n">
        <x:f aca="0">S13_PSP_Species_Support!G38</x:f>
        <x:v>1232.98</x:v>
      </x:c>
      <x:c r="H43" s="120" t="str">
        <x:f aca="0">S13_PSP_Species_Support!H38</x:f>
        <x:v>MANGO: 380; GUAVA: 600; MUNAGA: 25</x:v>
      </x:c>
      <x:c r="I43" s="120" t="str">
        <x:f aca="0">S15_Source_Strata!A26</x:f>
        <x:v>S23</x:v>
      </x:c>
      <x:c r="J43" s="120" t="str">
        <x:f aca="0">IF(S13_PSP_Species_Support!$E38="Unconfirmed","",S13_PSP_Species_Support!Q38)</x:f>
        <x:v>1/3</x:v>
      </x:c>
      <x:c r="K43" s="120" t="n">
        <x:f aca="0">IF(S13_PSP_Species_Support!$E38="Unconfirmed","",S13_PSP_Species_Support!J38)</x:f>
        <x:v>35.231333927428075</x:v>
      </x:c>
      <x:c r="L43" s="120" t="n">
        <x:f aca="0">IF(S13_PSP_Species_Support!$E38="Unconfirmed","",S13_PSP_Species_Support!K38)</x:f>
        <x:v>18.799810537369435</x:v>
      </x:c>
      <x:c r="M43" s="120" t="n">
        <x:f aca="0">IF(S13_PSP_Species_Support!$E38="Unconfirmed","",S13_PSP_Species_Support!L38)</x:f>
        <x:v>0.5336105234077875</x:v>
      </x:c>
      <x:c r="N43" s="120" t="n">
        <x:f aca="0">IF(S13_PSP_Species_Support!$E38="Unconfirmed","",S13_PSP_Species_Support!M38)</x:f>
        <x:v>26.423500445571058</x:v>
      </x:c>
      <x:c r="O43" s="120" t="n">
        <x:f aca="0">IF(S13_PSP_Species_Support!$E38="Unconfirmed","",S13_PSP_Species_Support!N38)</x:f>
        <x:v>0.75</x:v>
      </x:c>
      <x:c r="P43" s="120" t="n">
        <x:f aca="0">IF(S13_PSP_Species_Support!$E38="Unconfirmed","",S13_PSP_Species_Support!O38)</x:f>
        <x:v>56.46525888548903</x:v>
      </x:c>
      <x:c r="Q43" s="120" t="n">
        <x:f aca="0">IF(S13_PSP_Species_Support!$E38="Unconfirmed","",S13_PSP_Species_Support!P38)</x:f>
        <x:v>613.4679951072424</x:v>
      </x:c>
      <x:c r="R43"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3" s="120" t="n">
        <x:f aca="0">IF(S13_PSP_Species_Support!$E38="Unconfirmed","",SUMIF(S15_Source_Strata!$B$4:$B$49,S13_PSP_Species_Support!$I38,S15_Source_Strata!$F$4:$F$49))</x:f>
        <x:v>5</x:v>
      </x:c>
      <x:c r="T43" s="980" t="n">
        <x:f>'S13_PSP_Species_Support'!DJ38</x:f>
        <x:v>0.09</x:v>
      </x:c>
      <x:c r="U43" s="979" t="n">
        <x:f>'S13_PSP_Species_Support'!DK38</x:f>
        <x:v>110.96797938903202</x:v>
      </x:c>
    </x:row>
    <x:row r="44" ht="63.75" hidden="0" customHeight="1">
      <x:c r="A44" s="119" t="str">
        <x:f aca="0">S13_PSP_Species_Support!A39</x:f>
        <x:v>PSP-MA-006</x:v>
      </x:c>
      <x:c r="B44" s="120" t="str">
        <x:f aca="0">S13_PSP_Species_Support!B39</x:f>
        <x:v>Deserts &amp; Xeric Shrublands</x:v>
      </x:c>
      <x:c r="C44" s="120" t="str">
        <x:f aca="0">S13_PSP_Species_Support!C39</x:f>
        <x:v>Mixed Agroforestry Model</x:v>
      </x:c>
      <x:c r="D44" s="120" t="str">
        <x:f aca="0">S13_PSP_Species_Support!D39</x:f>
        <x:v>High</x:v>
      </x:c>
      <x:c r="E44" s="120" t="n">
        <x:f aca="0">S13_PSP_Species_Support!E39</x:f>
        <x:v>2022</x:v>
      </x:c>
      <x:c r="F44" s="120" t="n">
        <x:f aca="0">S13_PSP_Species_Support!F39</x:f>
        <x:v>0.869</x:v>
      </x:c>
      <x:c r="G44" s="120" t="n">
        <x:f aca="0">S13_PSP_Species_Support!G39</x:f>
        <x:v>2071.35</x:v>
      </x:c>
      <x:c r="H44" s="120" t="str">
        <x:f aca="0">S13_PSP_Species_Support!H39</x:f>
        <x:v>POMEGRANATE: 1800; JAMUN: 10; JACKFRUIT: 15; FIG: 10</x:v>
      </x:c>
      <x:c r="I44" s="120" t="str">
        <x:f aca="0">S15_Source_Strata!A36</x:f>
        <x:v>S33</x:v>
      </x:c>
      <x:c r="J44" s="120" t="str">
        <x:f aca="0">IF(S13_PSP_Species_Support!$E39="Unconfirmed","",S13_PSP_Species_Support!Q39)</x:f>
        <x:v>1/3</x:v>
      </x:c>
      <x:c r="K44" s="120" t="n">
        <x:f aca="0">IF(S13_PSP_Species_Support!$E39="Unconfirmed","",S13_PSP_Species_Support!J39)</x:f>
        <x:v>211.76425129807433</x:v>
      </x:c>
      <x:c r="L44" s="120" t="n">
        <x:f aca="0">IF(S13_PSP_Species_Support!$E39="Unconfirmed","",S13_PSP_Species_Support!K39)</x:f>
        <x:v>179.91226003184036</x:v>
      </x:c>
      <x:c r="M44" s="120" t="n">
        <x:f aca="0">IF(S13_PSP_Species_Support!$E39="Unconfirmed","",S13_PSP_Species_Support!L39)</x:f>
        <x:v>0.8495874961378639</x:v>
      </x:c>
      <x:c r="N44" s="120" t="n">
        <x:f aca="0">IF(S13_PSP_Species_Support!$E39="Unconfirmed","",S13_PSP_Species_Support!M39)</x:f>
        <x:v>158.82318847355575</x:v>
      </x:c>
      <x:c r="O44" s="120" t="n">
        <x:f aca="0">IF(S13_PSP_Species_Support!$E39="Unconfirmed","",S13_PSP_Species_Support!N39)</x:f>
        <x:v>0.75</x:v>
      </x:c>
      <x:c r="P44" s="120" t="n">
        <x:f aca="0">IF(S13_PSP_Species_Support!$E39="Unconfirmed","",S13_PSP_Species_Support!O39)</x:f>
        <x:v>339.39456555542404</x:v>
      </x:c>
      <x:c r="Q44" s="120" t="n">
        <x:f aca="0">IF(S13_PSP_Species_Support!$E39="Unconfirmed","",S13_PSP_Species_Support!P39)</x:f>
        <x:v>5256.134146966479</x:v>
      </x:c>
      <x:c r="R44"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4" s="120" t="n">
        <x:f aca="0">IF(S13_PSP_Species_Support!$E39="Unconfirmed","",SUMIF(S15_Source_Strata!$B$4:$B$49,S13_PSP_Species_Support!$I39,S15_Source_Strata!$F$4:$F$49))</x:f>
        <x:v>1</x:v>
      </x:c>
      <x:c r="T44" s="980" t="n">
        <x:f>'S13_PSP_Species_Support'!DJ39</x:f>
        <x:v>0.09</x:v>
      </x:c>
      <x:c r="U44" s="979" t="n">
        <x:f>'S13_PSP_Species_Support'!DK39</x:f>
        <x:v>190.04602991944765</x:v>
      </x:c>
    </x:row>
    <x:row r="45" ht="63.75" hidden="0" customHeight="1">
      <x:c r="A45" s="119" t="str">
        <x:f aca="0">S13_PSP_Species_Support!A40</x:f>
        <x:v>PSP-MA-007</x:v>
      </x:c>
      <x:c r="B45" s="120" t="str">
        <x:f aca="0">S13_PSP_Species_Support!B40</x:f>
        <x:v>Tropical &amp; Subtropical Dry Broadleaf Forests</x:v>
      </x:c>
      <x:c r="C45" s="120" t="str">
        <x:f aca="0">S13_PSP_Species_Support!C40</x:f>
        <x:v>Mixed Agroforestry Model</x:v>
      </x:c>
      <x:c r="D45" s="120" t="str">
        <x:f aca="0">S13_PSP_Species_Support!D40</x:f>
        <x:v>Medium</x:v>
      </x:c>
      <x:c r="E45" s="120" t="n">
        <x:f aca="0">S13_PSP_Species_Support!E40</x:f>
        <x:v>2023</x:v>
      </x:c>
      <x:c r="F45" s="120" t="n">
        <x:f aca="0">S13_PSP_Species_Support!F40</x:f>
        <x:v>1.6105</x:v>
      </x:c>
      <x:c r="G45" s="120" t="n">
        <x:f aca="0">S13_PSP_Species_Support!G40</x:f>
        <x:v>340.27</x:v>
      </x:c>
      <x:c r="H45" s="120" t="str">
        <x:f aca="0">S13_PSP_Species_Support!H40</x:f>
        <x:v>MANGO: 130; LEMON: 200; REGU: 400; MUNAGA: 12; POMEGRANATE: 2; JACKFRUIT: 2; ZAPOTA: 4; MOSAMBI: 0</x:v>
      </x:c>
      <x:c r="I45" s="120" t="str">
        <x:f aca="0">S15_Source_Strata!A45</x:f>
        <x:v>S42</x:v>
      </x:c>
      <x:c r="J45" s="120" t="str">
        <x:f aca="0">IF(S13_PSP_Species_Support!$E40="Unconfirmed","",S13_PSP_Species_Support!Q40)</x:f>
        <x:v>1/3</x:v>
      </x:c>
      <x:c r="K45" s="120" t="n">
        <x:f aca="0">IF(S13_PSP_Species_Support!$E40="Unconfirmed","",S13_PSP_Species_Support!J40)</x:f>
        <x:v>7.739437128620029</x:v>
      </x:c>
      <x:c r="L45" s="120" t="n">
        <x:f aca="0">IF(S13_PSP_Species_Support!$E40="Unconfirmed","",S13_PSP_Species_Support!K40)</x:f>
        <x:v>3.9756425093886825</x:v>
      </x:c>
      <x:c r="M45" s="120" t="n">
        <x:f aca="0">IF(S13_PSP_Species_Support!$E40="Unconfirmed","",S13_PSP_Species_Support!L40)</x:f>
        <x:v>0.5136862595196965</x:v>
      </x:c>
      <x:c r="N45" s="120" t="n">
        <x:f aca="0">IF(S13_PSP_Species_Support!$E40="Unconfirmed","",S13_PSP_Species_Support!M40)</x:f>
        <x:v>5.804577846465022</x:v>
      </x:c>
      <x:c r="O45" s="120" t="n">
        <x:f aca="0">IF(S13_PSP_Species_Support!$E40="Unconfirmed","",S13_PSP_Species_Support!N40)</x:f>
        <x:v>0.75</x:v>
      </x:c>
      <x:c r="P45" s="120" t="n">
        <x:f aca="0">IF(S13_PSP_Species_Support!$E40="Unconfirmed","",S13_PSP_Species_Support!O40)</x:f>
        <x:v>12.403995886039331</x:v>
      </x:c>
      <x:c r="Q45" s="120" t="n">
        <x:f aca="0">IF(S13_PSP_Species_Support!$E40="Unconfirmed","",S13_PSP_Species_Support!P40)</x:f>
        <x:v>557.9246430745985</x:v>
      </x:c>
      <x:c r="R45"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5" s="120" t="n">
        <x:f aca="0">IF(S13_PSP_Species_Support!$E40="Unconfirmed","",SUMIF(S15_Source_Strata!$B$4:$B$49,S13_PSP_Species_Support!$I40,S15_Source_Strata!$F$4:$F$49))</x:f>
        <x:v>1</x:v>
      </x:c>
      <x:c r="T45" s="980" t="n">
        <x:f>'S13_PSP_Species_Support'!DJ40</x:f>
        <x:v>0.09</x:v>
      </x:c>
      <x:c r="U45" s="979" t="n">
        <x:f>'S13_PSP_Species_Support'!DK40</x:f>
        <x:v>41.91244954982924</x:v>
      </x:c>
    </x:row>
    <x:row r="46" ht="63.75" hidden="0" customHeight="1">
      <x:c r="A46" s="119" t="str">
        <x:f aca="0">S13_PSP_Species_Support!A41</x:f>
        <x:v>PSP-MA-008</x:v>
      </x:c>
      <x:c r="B46" s="120" t="str">
        <x:f aca="0">S13_PSP_Species_Support!B41</x:f>
        <x:v>Tropical &amp; Subtropical Dry Broadleaf Forests</x:v>
      </x:c>
      <x:c r="C46" s="120" t="str">
        <x:f aca="0">S13_PSP_Species_Support!C41</x:f>
        <x:v>Mixed Agroforestry Model</x:v>
      </x:c>
      <x:c r="D46" s="120" t="str">
        <x:f aca="0">S13_PSP_Species_Support!D41</x:f>
        <x:v>Low</x:v>
      </x:c>
      <x:c r="E46" s="120" t="n">
        <x:f aca="0">S13_PSP_Species_Support!E41</x:f>
        <x:v>2024</x:v>
      </x:c>
      <x:c r="F46" s="120" t="n">
        <x:f aca="0">S13_PSP_Species_Support!F41</x:f>
        <x:v>0.646</x:v>
      </x:c>
      <x:c r="G46" s="120" t="n">
        <x:f aca="0">S13_PSP_Species_Support!G41</x:f>
        <x:v>170.28</x:v>
      </x:c>
      <x:c r="H46" s="120" t="str">
        <x:f aca="0">S13_PSP_Species_Support!H41</x:f>
        <x:v>MANGO: 20; ALLAM NEREDU: 10; GUAVA: 10; CUSTARD APPLE: 30; LEMON: 30; MOSAMBI: 10</x:v>
      </x:c>
      <x:c r="I46" s="120" t="str">
        <x:f aca="0">S15_Source_Strata!A47</x:f>
        <x:v>S44</x:v>
      </x:c>
      <x:c r="J46" s="120" t="str">
        <x:f aca="0">IF(S13_PSP_Species_Support!$E41="Unconfirmed","",S13_PSP_Species_Support!Q41)</x:f>
        <x:v>1/2</x:v>
      </x:c>
      <x:c r="K46" s="120" t="n">
        <x:f aca="0">IF(S13_PSP_Species_Support!$E41="Unconfirmed","",S13_PSP_Species_Support!J41)</x:f>
        <x:v>0.34927778359215916</x:v>
      </x:c>
      <x:c r="L46" s="120" t="n">
        <x:f aca="0">IF(S13_PSP_Species_Support!$E41="Unconfirmed","",S13_PSP_Species_Support!K41)</x:f>
        <x:v>0.052064241868414914</x:v>
      </x:c>
      <x:c r="M46" s="120" t="n">
        <x:f aca="0">IF(S13_PSP_Species_Support!$E41="Unconfirmed","",S13_PSP_Species_Support!L41)</x:f>
        <x:v>0.14906256370776996</x:v>
      </x:c>
      <x:c r="N46" s="120" t="n">
        <x:f aca="0">IF(S13_PSP_Species_Support!$E41="Unconfirmed","",S13_PSP_Species_Support!M41)</x:f>
        <x:v>0.26195833769411936</x:v>
      </x:c>
      <x:c r="O46" s="120" t="n">
        <x:f aca="0">IF(S13_PSP_Species_Support!$E41="Unconfirmed","",S13_PSP_Species_Support!N41)</x:f>
        <x:v>0.75</x:v>
      </x:c>
      <x:c r="P46" s="120" t="n">
        <x:f aca="0">IF(S13_PSP_Species_Support!$E41="Unconfirmed","",S13_PSP_Species_Support!O41)</x:f>
        <x:v>0.559787503763154</x:v>
      </x:c>
      <x:c r="Q46" s="120" t="n">
        <x:f aca="0">IF(S13_PSP_Species_Support!$E41="Unconfirmed","",S13_PSP_Species_Support!P41)</x:f>
        <x:v>94.13475185567395</x:v>
      </x:c>
      <x:c r="R46"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6" s="120" t="n">
        <x:f aca="0">IF(S13_PSP_Species_Support!$E41="Unconfirmed","",SUMIF(S15_Source_Strata!$B$4:$B$49,S13_PSP_Species_Support!$I41,S15_Source_Strata!$F$4:$F$49))</x:f>
        <x:v>3</x:v>
      </x:c>
      <x:c r="T46" s="980" t="n">
        <x:f>'S13_PSP_Species_Support'!DJ41</x:f>
        <x:v>0.09</x:v>
      </x:c>
      <x:c r="U46" s="979" t="n">
        <x:f>'S13_PSP_Species_Support'!DK41</x:f>
        <x:v>15.325077399380802</x:v>
      </x:c>
    </x:row>
    <x:row r="47" ht="63.75" hidden="0" customHeight="1">
      <x:c r="A47" s="119" t="str">
        <x:f aca="0">S13_PSP_Species_Support!A42</x:f>
        <x:v>PSP-TP-001</x:v>
      </x:c>
      <x:c r="B47" s="120" t="str">
        <x:f aca="0">S13_PSP_Species_Support!B42</x:f>
        <x:v>Tropical &amp; Subtropical Dry Broadleaf Forests</x:v>
      </x:c>
      <x:c r="C47" s="120" t="str">
        <x:f aca="0">S13_PSP_Species_Support!C42</x:f>
        <x:v>Timber Plantation</x:v>
      </x:c>
      <x:c r="D47" s="120" t="str">
        <x:f aca="0">S13_PSP_Species_Support!D42</x:f>
        <x:v>High</x:v>
      </x:c>
      <x:c r="E47" s="120" t="n">
        <x:f aca="0">S13_PSP_Species_Support!E42</x:f>
        <x:v>2020</x:v>
      </x:c>
      <x:c r="F47" s="120" t="n">
        <x:f aca="0">S13_PSP_Species_Support!F42</x:f>
        <x:v>0.368</x:v>
      </x:c>
      <x:c r="G47" s="120" t="n">
        <x:f aca="0">S13_PSP_Species_Support!G42</x:f>
        <x:v>2785.33</x:v>
      </x:c>
      <x:c r="H47" s="120" t="str">
        <x:f aca="0">S13_PSP_Species_Support!H42</x:f>
        <x:v>TEAK: 25; SILVER OAK: 1000</x:v>
      </x:c>
      <x:c r="I47" s="120" t="str">
        <x:f aca="0">S15_Source_Strata!A10</x:f>
        <x:v>S07</x:v>
      </x:c>
      <x:c r="J47" s="120" t="str">
        <x:f aca="0">IF(S13_PSP_Species_Support!$E42="Unconfirmed","",S13_PSP_Species_Support!Q42)</x:f>
        <x:v>8/8</x:v>
      </x:c>
      <x:c r="K47" s="120" t="n">
        <x:f aca="0">IF(S13_PSP_Species_Support!$E42="Unconfirmed","",S13_PSP_Species_Support!J42)</x:f>
        <x:v>1027.020452896974</x:v>
      </x:c>
      <x:c r="L47" s="120" t="n">
        <x:f aca="0">IF(S13_PSP_Species_Support!$E42="Unconfirmed","",S13_PSP_Species_Support!K42)</x:f>
        <x:v>579.9802734106408</x:v>
      </x:c>
      <x:c r="M47" s="120" t="n">
        <x:f aca="0">IF(S13_PSP_Species_Support!$E42="Unconfirmed","",S13_PSP_Species_Support!L42)</x:f>
        <x:v>0.5647212494889057</x:v>
      </x:c>
      <x:c r="N47" s="120" t="n">
        <x:f aca="0">IF(S13_PSP_Species_Support!$E42="Unconfirmed","",S13_PSP_Species_Support!M42)</x:f>
        <x:v>770.2653396727304</x:v>
      </x:c>
      <x:c r="O47" s="120" t="n">
        <x:f aca="0">IF(S13_PSP_Species_Support!$E42="Unconfirmed","",S13_PSP_Species_Support!N42)</x:f>
        <x:v>0.75</x:v>
      </x:c>
      <x:c r="P47" s="120" t="n">
        <x:f aca="0">IF(S13_PSP_Species_Support!$E42="Unconfirmed","",S13_PSP_Species_Support!O42)</x:f>
        <x:v>1646.0056798579817</x:v>
      </x:c>
      <x:c r="Q47" s="120" t="n">
        <x:f aca="0">IF(S13_PSP_Species_Support!$E42="Unconfirmed","",S13_PSP_Species_Support!P42)</x:f>
        <x:v>7396.124911459077</x:v>
      </x:c>
      <x:c r="R47"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7" s="120" t="n">
        <x:f aca="0">IF(S13_PSP_Species_Support!$E42="Unconfirmed","",SUMIF(S15_Source_Strata!$B$4:$B$49,S13_PSP_Species_Support!$I42,S15_Source_Strata!$F$4:$F$49))</x:f>
        <x:v>175</x:v>
      </x:c>
      <x:c r="T47" s="980" t="n">
        <x:f>'S13_PSP_Species_Support'!DJ42</x:f>
        <x:v>0.09</x:v>
      </x:c>
      <x:c r="U47" s="979" t="n">
        <x:f>'S13_PSP_Species_Support'!DK42</x:f>
        <x:v>250.67934782608694</x:v>
      </x:c>
    </x:row>
    <x:row r="48" ht="63.75" hidden="0" customHeight="1">
      <x:c r="A48" s="119" t="str">
        <x:f aca="0">S13_PSP_Species_Support!A43</x:f>
        <x:v>PSP-TP-002</x:v>
      </x:c>
      <x:c r="B48" s="120" t="str">
        <x:f aca="0">S13_PSP_Species_Support!B43</x:f>
        <x:v>Tropical &amp; Subtropical Dry Broadleaf Forests</x:v>
      </x:c>
      <x:c r="C48" s="120" t="str">
        <x:f aca="0">S13_PSP_Species_Support!C43</x:f>
        <x:v>Timber Plantation</x:v>
      </x:c>
      <x:c r="D48" s="120" t="str">
        <x:f aca="0">S13_PSP_Species_Support!D43</x:f>
        <x:v>High</x:v>
      </x:c>
      <x:c r="E48" s="120" t="n">
        <x:f aca="0">S13_PSP_Species_Support!E43</x:f>
        <x:v>2020</x:v>
      </x:c>
      <x:c r="F48" s="120" t="n">
        <x:f aca="0">S13_PSP_Species_Support!F43</x:f>
        <x:v>0.6444</x:v>
      </x:c>
      <x:c r="G48" s="120" t="n">
        <x:f aca="0">S13_PSP_Species_Support!G43</x:f>
        <x:v>2172.56</x:v>
      </x:c>
      <x:c r="H48" s="120" t="str">
        <x:f aca="0">S13_PSP_Species_Support!H43</x:f>
        <x:v>SANDALWOOD: 1400</x:v>
      </x:c>
      <x:c r="I48" s="120" t="str">
        <x:f aca="0">S15_Source_Strata!A10</x:f>
        <x:v>S07</x:v>
      </x:c>
      <x:c r="J48" s="120" t="str">
        <x:f aca="0">IF(S13_PSP_Species_Support!$E43="Unconfirmed","",S13_PSP_Species_Support!Q43)</x:f>
        <x:v>8/8</x:v>
      </x:c>
      <x:c r="K48" s="120" t="n">
        <x:f aca="0">IF(S13_PSP_Species_Support!$E43="Unconfirmed","",S13_PSP_Species_Support!J43)</x:f>
        <x:v>1027.020452896974</x:v>
      </x:c>
      <x:c r="L48" s="120" t="n">
        <x:f aca="0">IF(S13_PSP_Species_Support!$E43="Unconfirmed","",S13_PSP_Species_Support!K43)</x:f>
        <x:v>579.9802734106408</x:v>
      </x:c>
      <x:c r="M48" s="120" t="n">
        <x:f aca="0">IF(S13_PSP_Species_Support!$E43="Unconfirmed","",S13_PSP_Species_Support!L43)</x:f>
        <x:v>0.5647212494889057</x:v>
      </x:c>
      <x:c r="N48" s="120" t="n">
        <x:f aca="0">IF(S13_PSP_Species_Support!$E43="Unconfirmed","",S13_PSP_Species_Support!M43)</x:f>
        <x:v>770.2653396727304</x:v>
      </x:c>
      <x:c r="O48" s="120" t="n">
        <x:f aca="0">IF(S13_PSP_Species_Support!$E43="Unconfirmed","",S13_PSP_Species_Support!N43)</x:f>
        <x:v>0.75</x:v>
      </x:c>
      <x:c r="P48" s="120" t="n">
        <x:f aca="0">IF(S13_PSP_Species_Support!$E43="Unconfirmed","",S13_PSP_Species_Support!O43)</x:f>
        <x:v>1646.0056798579817</x:v>
      </x:c>
      <x:c r="Q48" s="120" t="n">
        <x:f aca="0">IF(S13_PSP_Species_Support!$E43="Unconfirmed","",S13_PSP_Species_Support!P43)</x:f>
        <x:v>7396.124911459077</x:v>
      </x:c>
      <x:c r="R48"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8" s="120" t="n">
        <x:f aca="0">IF(S13_PSP_Species_Support!$E43="Unconfirmed","",SUMIF(S15_Source_Strata!$B$4:$B$49,S13_PSP_Species_Support!$I43,S15_Source_Strata!$F$4:$F$49))</x:f>
        <x:v>175</x:v>
      </x:c>
      <x:c r="T48" s="980" t="n">
        <x:f>'S13_PSP_Species_Support'!DJ43</x:f>
        <x:v>0.09</x:v>
      </x:c>
      <x:c r="U48" s="979" t="n">
        <x:f>'S13_PSP_Species_Support'!DK43</x:f>
        <x:v>195.53072625698326</x:v>
      </x:c>
    </x:row>
    <x:row r="49" ht="63.75" hidden="0" customHeight="1">
      <x:c r="A49" s="119" t="str">
        <x:f aca="0">S13_PSP_Species_Support!A44</x:f>
        <x:v>PSP-TP-003</x:v>
      </x:c>
      <x:c r="B49" s="120" t="str">
        <x:f aca="0">S13_PSP_Species_Support!B44</x:f>
        <x:v>Tropical &amp; Subtropical Dry Broadleaf Forests</x:v>
      </x:c>
      <x:c r="C49" s="120" t="str">
        <x:f aca="0">S13_PSP_Species_Support!C44</x:f>
        <x:v>Timber Plantation</x:v>
      </x:c>
      <x:c r="D49" s="120" t="str">
        <x:f aca="0">S13_PSP_Species_Support!D44</x:f>
        <x:v>High</x:v>
      </x:c>
      <x:c r="E49" s="120" t="n">
        <x:f aca="0">S13_PSP_Species_Support!E44</x:f>
        <x:v>2020</x:v>
      </x:c>
      <x:c r="F49" s="120" t="n">
        <x:f aca="0">S13_PSP_Species_Support!F44</x:f>
        <x:v>1.2846</x:v>
      </x:c>
      <x:c r="G49" s="120" t="n">
        <x:f aca="0">S13_PSP_Species_Support!G44</x:f>
        <x:v>2671.65</x:v>
      </x:c>
      <x:c r="H49" s="120" t="str">
        <x:f aca="0">S13_PSP_Species_Support!H44</x:f>
        <x:v>MALABAR NEEM: 3432</x:v>
      </x:c>
      <x:c r="I49" s="120" t="str">
        <x:f aca="0">S15_Source_Strata!A10</x:f>
        <x:v>S07</x:v>
      </x:c>
      <x:c r="J49" s="120" t="str">
        <x:f aca="0">IF(S13_PSP_Species_Support!$E44="Unconfirmed","",S13_PSP_Species_Support!Q44)</x:f>
        <x:v>8/8</x:v>
      </x:c>
      <x:c r="K49" s="120" t="n">
        <x:f aca="0">IF(S13_PSP_Species_Support!$E44="Unconfirmed","",S13_PSP_Species_Support!J44)</x:f>
        <x:v>1027.020452896974</x:v>
      </x:c>
      <x:c r="L49" s="120" t="n">
        <x:f aca="0">IF(S13_PSP_Species_Support!$E44="Unconfirmed","",S13_PSP_Species_Support!K44)</x:f>
        <x:v>579.9802734106408</x:v>
      </x:c>
      <x:c r="M49" s="120" t="n">
        <x:f aca="0">IF(S13_PSP_Species_Support!$E44="Unconfirmed","",S13_PSP_Species_Support!L44)</x:f>
        <x:v>0.5647212494889057</x:v>
      </x:c>
      <x:c r="N49" s="120" t="n">
        <x:f aca="0">IF(S13_PSP_Species_Support!$E44="Unconfirmed","",S13_PSP_Species_Support!M44)</x:f>
        <x:v>770.2653396727304</x:v>
      </x:c>
      <x:c r="O49" s="120" t="n">
        <x:f aca="0">IF(S13_PSP_Species_Support!$E44="Unconfirmed","",S13_PSP_Species_Support!N44)</x:f>
        <x:v>0.75</x:v>
      </x:c>
      <x:c r="P49" s="120" t="n">
        <x:f aca="0">IF(S13_PSP_Species_Support!$E44="Unconfirmed","",S13_PSP_Species_Support!O44)</x:f>
        <x:v>1646.0056798579817</x:v>
      </x:c>
      <x:c r="Q49" s="120" t="n">
        <x:f aca="0">IF(S13_PSP_Species_Support!$E44="Unconfirmed","",S13_PSP_Species_Support!P44)</x:f>
        <x:v>7396.124911459077</x:v>
      </x:c>
      <x:c r="R49"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49" s="120" t="n">
        <x:f aca="0">IF(S13_PSP_Species_Support!$E44="Unconfirmed","",SUMIF(S15_Source_Strata!$B$4:$B$49,S13_PSP_Species_Support!$I44,S15_Source_Strata!$F$4:$F$49))</x:f>
        <x:v>175</x:v>
      </x:c>
      <x:c r="T49" s="980" t="n">
        <x:f>'S13_PSP_Species_Support'!DJ44</x:f>
        <x:v>0.09</x:v>
      </x:c>
      <x:c r="U49" s="979" t="n">
        <x:f>'S13_PSP_Species_Support'!DK44</x:f>
        <x:v>240.44838860345632</x:v>
      </x:c>
    </x:row>
    <x:row r="50" ht="63.75" hidden="0" customHeight="1">
      <x:c r="A50" s="119" t="str">
        <x:f aca="0">S13_PSP_Species_Support!A45</x:f>
        <x:v>PSP-TP-004</x:v>
      </x:c>
      <x:c r="B50" s="120" t="str">
        <x:f aca="0">S13_PSP_Species_Support!B45</x:f>
        <x:v>Tropical &amp; Subtropical Dry Broadleaf Forests</x:v>
      </x:c>
      <x:c r="C50" s="120" t="str">
        <x:f aca="0">S13_PSP_Species_Support!C45</x:f>
        <x:v>Timber Plantation</x:v>
      </x:c>
      <x:c r="D50" s="120" t="str">
        <x:f aca="0">S13_PSP_Species_Support!D45</x:f>
        <x:v>High</x:v>
      </x:c>
      <x:c r="E50" s="120" t="n">
        <x:f aca="0">S13_PSP_Species_Support!E45</x:f>
        <x:v>2020</x:v>
      </x:c>
      <x:c r="F50" s="120" t="n">
        <x:f aca="0">S13_PSP_Species_Support!F45</x:f>
        <x:v>0.3445</x:v>
      </x:c>
      <x:c r="G50" s="120" t="n">
        <x:f aca="0">S13_PSP_Species_Support!G45</x:f>
        <x:v>5224.96</x:v>
      </x:c>
      <x:c r="H50" s="120" t="str">
        <x:f aca="0">S13_PSP_Species_Support!H45</x:f>
        <x:v>SILVER OAK: 1800</x:v>
      </x:c>
      <x:c r="I50" s="120" t="str">
        <x:f aca="0">S15_Source_Strata!A10</x:f>
        <x:v>S07</x:v>
      </x:c>
      <x:c r="J50" s="120" t="str">
        <x:f aca="0">IF(S13_PSP_Species_Support!$E45="Unconfirmed","",S13_PSP_Species_Support!Q45)</x:f>
        <x:v>8/8</x:v>
      </x:c>
      <x:c r="K50" s="120" t="n">
        <x:f aca="0">IF(S13_PSP_Species_Support!$E45="Unconfirmed","",S13_PSP_Species_Support!J45)</x:f>
        <x:v>1027.020452896974</x:v>
      </x:c>
      <x:c r="L50" s="120" t="n">
        <x:f aca="0">IF(S13_PSP_Species_Support!$E45="Unconfirmed","",S13_PSP_Species_Support!K45)</x:f>
        <x:v>579.9802734106408</x:v>
      </x:c>
      <x:c r="M50" s="120" t="n">
        <x:f aca="0">IF(S13_PSP_Species_Support!$E45="Unconfirmed","",S13_PSP_Species_Support!L45)</x:f>
        <x:v>0.5647212494889057</x:v>
      </x:c>
      <x:c r="N50" s="120" t="n">
        <x:f aca="0">IF(S13_PSP_Species_Support!$E45="Unconfirmed","",S13_PSP_Species_Support!M45)</x:f>
        <x:v>770.2653396727304</x:v>
      </x:c>
      <x:c r="O50" s="120" t="n">
        <x:f aca="0">IF(S13_PSP_Species_Support!$E45="Unconfirmed","",S13_PSP_Species_Support!N45)</x:f>
        <x:v>0.75</x:v>
      </x:c>
      <x:c r="P50" s="120" t="n">
        <x:f aca="0">IF(S13_PSP_Species_Support!$E45="Unconfirmed","",S13_PSP_Species_Support!O45)</x:f>
        <x:v>1646.0056798579817</x:v>
      </x:c>
      <x:c r="Q50" s="120" t="n">
        <x:f aca="0">IF(S13_PSP_Species_Support!$E45="Unconfirmed","",S13_PSP_Species_Support!P45)</x:f>
        <x:v>7396.124911459077</x:v>
      </x:c>
      <x:c r="R50"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0" s="120" t="n">
        <x:f aca="0">IF(S13_PSP_Species_Support!$E45="Unconfirmed","",SUMIF(S15_Source_Strata!$B$4:$B$49,S13_PSP_Species_Support!$I45,S15_Source_Strata!$F$4:$F$49))</x:f>
        <x:v>175</x:v>
      </x:c>
      <x:c r="T50" s="980" t="n">
        <x:f>'S13_PSP_Species_Support'!DJ45</x:f>
        <x:v>0.09</x:v>
      </x:c>
      <x:c r="U50" s="979" t="n">
        <x:f>'S13_PSP_Species_Support'!DK45</x:f>
        <x:v>470.2467343976778</x:v>
      </x:c>
    </x:row>
    <x:row r="51" ht="63.75" hidden="0" customHeight="1">
      <x:c r="A51" s="119" t="str">
        <x:f aca="0">S13_PSP_Species_Support!A46</x:f>
        <x:v>PSP-TP-005</x:v>
      </x:c>
      <x:c r="B51" s="120" t="str">
        <x:f aca="0">S13_PSP_Species_Support!B46</x:f>
        <x:v>Tropical &amp; Subtropical Dry Broadleaf Forests</x:v>
      </x:c>
      <x:c r="C51" s="120" t="str">
        <x:f aca="0">S13_PSP_Species_Support!C46</x:f>
        <x:v>Timber Plantation</x:v>
      </x:c>
      <x:c r="D51" s="120" t="str">
        <x:f aca="0">S13_PSP_Species_Support!D46</x:f>
        <x:v>High</x:v>
      </x:c>
      <x:c r="E51" s="120" t="n">
        <x:f aca="0">S13_PSP_Species_Support!E46</x:f>
        <x:v>2020</x:v>
      </x:c>
      <x:c r="F51" s="120" t="n">
        <x:f aca="0">S13_PSP_Species_Support!F46</x:f>
        <x:v>0.2411</x:v>
      </x:c>
      <x:c r="G51" s="120" t="n">
        <x:f aca="0">S13_PSP_Species_Support!G46</x:f>
        <x:v>2073.83</x:v>
      </x:c>
      <x:c r="H51" s="120" t="str">
        <x:f aca="0">S13_PSP_Species_Support!H46</x:f>
        <x:v>SILVER OAK: 500</x:v>
      </x:c>
      <x:c r="I51" s="120" t="str">
        <x:f aca="0">S15_Source_Strata!A10</x:f>
        <x:v>S07</x:v>
      </x:c>
      <x:c r="J51" s="120" t="str">
        <x:f aca="0">IF(S13_PSP_Species_Support!$E46="Unconfirmed","",S13_PSP_Species_Support!Q46)</x:f>
        <x:v>8/8</x:v>
      </x:c>
      <x:c r="K51" s="120" t="n">
        <x:f aca="0">IF(S13_PSP_Species_Support!$E46="Unconfirmed","",S13_PSP_Species_Support!J46)</x:f>
        <x:v>1027.020452896974</x:v>
      </x:c>
      <x:c r="L51" s="120" t="n">
        <x:f aca="0">IF(S13_PSP_Species_Support!$E46="Unconfirmed","",S13_PSP_Species_Support!K46)</x:f>
        <x:v>579.9802734106408</x:v>
      </x:c>
      <x:c r="M51" s="120" t="n">
        <x:f aca="0">IF(S13_PSP_Species_Support!$E46="Unconfirmed","",S13_PSP_Species_Support!L46)</x:f>
        <x:v>0.5647212494889057</x:v>
      </x:c>
      <x:c r="N51" s="120" t="n">
        <x:f aca="0">IF(S13_PSP_Species_Support!$E46="Unconfirmed","",S13_PSP_Species_Support!M46)</x:f>
        <x:v>770.2653396727304</x:v>
      </x:c>
      <x:c r="O51" s="120" t="n">
        <x:f aca="0">IF(S13_PSP_Species_Support!$E46="Unconfirmed","",S13_PSP_Species_Support!N46)</x:f>
        <x:v>0.75</x:v>
      </x:c>
      <x:c r="P51" s="120" t="n">
        <x:f aca="0">IF(S13_PSP_Species_Support!$E46="Unconfirmed","",S13_PSP_Species_Support!O46)</x:f>
        <x:v>1646.0056798579817</x:v>
      </x:c>
      <x:c r="Q51" s="120" t="n">
        <x:f aca="0">IF(S13_PSP_Species_Support!$E46="Unconfirmed","",S13_PSP_Species_Support!P46)</x:f>
        <x:v>7396.124911459077</x:v>
      </x:c>
      <x:c r="R51"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1" s="120" t="n">
        <x:f aca="0">IF(S13_PSP_Species_Support!$E46="Unconfirmed","",SUMIF(S15_Source_Strata!$B$4:$B$49,S13_PSP_Species_Support!$I46,S15_Source_Strata!$F$4:$F$49))</x:f>
        <x:v>175</x:v>
      </x:c>
      <x:c r="T51" s="980" t="n">
        <x:f>'S13_PSP_Species_Support'!DJ46</x:f>
        <x:v>0.09</x:v>
      </x:c>
      <x:c r="U51" s="979" t="n">
        <x:f>'S13_PSP_Species_Support'!DK46</x:f>
        <x:v>186.64454583160514</x:v>
      </x:c>
    </x:row>
    <x:row r="52" ht="63.75" hidden="0" customHeight="1">
      <x:c r="A52" s="119" t="str">
        <x:f aca="0">S13_PSP_Species_Support!A47</x:f>
        <x:v>PSP-TP-006</x:v>
      </x:c>
      <x:c r="B52" s="120" t="str">
        <x:f aca="0">S13_PSP_Species_Support!B47</x:f>
        <x:v>Tropical &amp; Subtropical Dry Broadleaf Forests</x:v>
      </x:c>
      <x:c r="C52" s="120" t="str">
        <x:f aca="0">S13_PSP_Species_Support!C47</x:f>
        <x:v>Timber Plantation</x:v>
      </x:c>
      <x:c r="D52" s="120" t="str">
        <x:f aca="0">S13_PSP_Species_Support!D47</x:f>
        <x:v>High</x:v>
      </x:c>
      <x:c r="E52" s="120" t="n">
        <x:f aca="0">S13_PSP_Species_Support!E47</x:f>
        <x:v>2020</x:v>
      </x:c>
      <x:c r="F52" s="120" t="n">
        <x:f aca="0">S13_PSP_Species_Support!F47</x:f>
        <x:v>0.123</x:v>
      </x:c>
      <x:c r="G52" s="120" t="n">
        <x:f aca="0">S13_PSP_Species_Support!G47</x:f>
        <x:v>2439.02</x:v>
      </x:c>
      <x:c r="H52" s="120" t="str">
        <x:f aca="0">S13_PSP_Species_Support!H47</x:f>
        <x:v>SILVER OAK: 300</x:v>
      </x:c>
      <x:c r="I52" s="120" t="str">
        <x:f aca="0">S15_Source_Strata!A10</x:f>
        <x:v>S07</x:v>
      </x:c>
      <x:c r="J52" s="120" t="str">
        <x:f aca="0">IF(S13_PSP_Species_Support!$E47="Unconfirmed","",S13_PSP_Species_Support!Q47)</x:f>
        <x:v>8/8</x:v>
      </x:c>
      <x:c r="K52" s="120" t="n">
        <x:f aca="0">IF(S13_PSP_Species_Support!$E47="Unconfirmed","",S13_PSP_Species_Support!J47)</x:f>
        <x:v>1027.020452896974</x:v>
      </x:c>
      <x:c r="L52" s="120" t="n">
        <x:f aca="0">IF(S13_PSP_Species_Support!$E47="Unconfirmed","",S13_PSP_Species_Support!K47)</x:f>
        <x:v>579.9802734106408</x:v>
      </x:c>
      <x:c r="M52" s="120" t="n">
        <x:f aca="0">IF(S13_PSP_Species_Support!$E47="Unconfirmed","",S13_PSP_Species_Support!L47)</x:f>
        <x:v>0.5647212494889057</x:v>
      </x:c>
      <x:c r="N52" s="120" t="n">
        <x:f aca="0">IF(S13_PSP_Species_Support!$E47="Unconfirmed","",S13_PSP_Species_Support!M47)</x:f>
        <x:v>770.2653396727304</x:v>
      </x:c>
      <x:c r="O52" s="120" t="n">
        <x:f aca="0">IF(S13_PSP_Species_Support!$E47="Unconfirmed","",S13_PSP_Species_Support!N47)</x:f>
        <x:v>0.75</x:v>
      </x:c>
      <x:c r="P52" s="120" t="n">
        <x:f aca="0">IF(S13_PSP_Species_Support!$E47="Unconfirmed","",S13_PSP_Species_Support!O47)</x:f>
        <x:v>1646.0056798579817</x:v>
      </x:c>
      <x:c r="Q52" s="120" t="n">
        <x:f aca="0">IF(S13_PSP_Species_Support!$E47="Unconfirmed","",S13_PSP_Species_Support!P47)</x:f>
        <x:v>7396.124911459077</x:v>
      </x:c>
      <x:c r="R52"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2" s="120" t="n">
        <x:f aca="0">IF(S13_PSP_Species_Support!$E47="Unconfirmed","",SUMIF(S15_Source_Strata!$B$4:$B$49,S13_PSP_Species_Support!$I47,S15_Source_Strata!$F$4:$F$49))</x:f>
        <x:v>175</x:v>
      </x:c>
      <x:c r="T52" s="980" t="n">
        <x:f>'S13_PSP_Species_Support'!DJ47</x:f>
        <x:v>0.09</x:v>
      </x:c>
      <x:c r="U52" s="979" t="n">
        <x:f>'S13_PSP_Species_Support'!DK47</x:f>
        <x:v>219.51219512195124</x:v>
      </x:c>
    </x:row>
    <x:row r="53" ht="63.75" hidden="0" customHeight="1">
      <x:c r="A53" s="119" t="str">
        <x:f aca="0">S13_PSP_Species_Support!A48</x:f>
        <x:v>PSP-TP-007</x:v>
      </x:c>
      <x:c r="B53" s="120" t="str">
        <x:f aca="0">S13_PSP_Species_Support!B48</x:f>
        <x:v>Tropical &amp; Subtropical Dry Broadleaf Forests</x:v>
      </x:c>
      <x:c r="C53" s="120" t="str">
        <x:f aca="0">S13_PSP_Species_Support!C48</x:f>
        <x:v>Timber Plantation</x:v>
      </x:c>
      <x:c r="D53" s="120" t="str">
        <x:f aca="0">S13_PSP_Species_Support!D48</x:f>
        <x:v>High</x:v>
      </x:c>
      <x:c r="E53" s="120" t="n">
        <x:f aca="0">S13_PSP_Species_Support!E48</x:f>
        <x:v>2020</x:v>
      </x:c>
      <x:c r="F53" s="120" t="n">
        <x:f aca="0">S13_PSP_Species_Support!F48</x:f>
        <x:v>0.4483</x:v>
      </x:c>
      <x:c r="G53" s="120" t="n">
        <x:f aca="0">S13_PSP_Species_Support!G48</x:f>
        <x:v>2239.57</x:v>
      </x:c>
      <x:c r="H53" s="120" t="str">
        <x:f aca="0">S13_PSP_Species_Support!H48</x:f>
        <x:v>SILVER OAK: 1004</x:v>
      </x:c>
      <x:c r="I53" s="120" t="str">
        <x:f aca="0">S15_Source_Strata!A10</x:f>
        <x:v>S07</x:v>
      </x:c>
      <x:c r="J53" s="120" t="str">
        <x:f aca="0">IF(S13_PSP_Species_Support!$E48="Unconfirmed","",S13_PSP_Species_Support!Q48)</x:f>
        <x:v>8/8</x:v>
      </x:c>
      <x:c r="K53" s="120" t="n">
        <x:f aca="0">IF(S13_PSP_Species_Support!$E48="Unconfirmed","",S13_PSP_Species_Support!J48)</x:f>
        <x:v>1027.020452896974</x:v>
      </x:c>
      <x:c r="L53" s="120" t="n">
        <x:f aca="0">IF(S13_PSP_Species_Support!$E48="Unconfirmed","",S13_PSP_Species_Support!K48)</x:f>
        <x:v>579.9802734106408</x:v>
      </x:c>
      <x:c r="M53" s="120" t="n">
        <x:f aca="0">IF(S13_PSP_Species_Support!$E48="Unconfirmed","",S13_PSP_Species_Support!L48)</x:f>
        <x:v>0.5647212494889057</x:v>
      </x:c>
      <x:c r="N53" s="120" t="n">
        <x:f aca="0">IF(S13_PSP_Species_Support!$E48="Unconfirmed","",S13_PSP_Species_Support!M48)</x:f>
        <x:v>770.2653396727304</x:v>
      </x:c>
      <x:c r="O53" s="120" t="n">
        <x:f aca="0">IF(S13_PSP_Species_Support!$E48="Unconfirmed","",S13_PSP_Species_Support!N48)</x:f>
        <x:v>0.75</x:v>
      </x:c>
      <x:c r="P53" s="120" t="n">
        <x:f aca="0">IF(S13_PSP_Species_Support!$E48="Unconfirmed","",S13_PSP_Species_Support!O48)</x:f>
        <x:v>1646.0056798579817</x:v>
      </x:c>
      <x:c r="Q53" s="120" t="n">
        <x:f aca="0">IF(S13_PSP_Species_Support!$E48="Unconfirmed","",S13_PSP_Species_Support!P48)</x:f>
        <x:v>7396.124911459077</x:v>
      </x:c>
      <x:c r="R53"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3" s="120" t="n">
        <x:f aca="0">IF(S13_PSP_Species_Support!$E48="Unconfirmed","",SUMIF(S15_Source_Strata!$B$4:$B$49,S13_PSP_Species_Support!$I48,S15_Source_Strata!$F$4:$F$49))</x:f>
        <x:v>175</x:v>
      </x:c>
      <x:c r="T53" s="980" t="n">
        <x:f>'S13_PSP_Species_Support'!DJ48</x:f>
        <x:v>0.09</x:v>
      </x:c>
      <x:c r="U53" s="979" t="n">
        <x:f>'S13_PSP_Species_Support'!DK48</x:f>
        <x:v>201.56145438322554</x:v>
      </x:c>
    </x:row>
    <x:row r="54" ht="63.75" hidden="0" customHeight="1">
      <x:c r="A54" s="119" t="str">
        <x:f aca="0">S13_PSP_Species_Support!A49</x:f>
        <x:v>PSP-TP-008</x:v>
      </x:c>
      <x:c r="B54" s="120" t="str">
        <x:f aca="0">S13_PSP_Species_Support!B49</x:f>
        <x:v>Tropical &amp; Subtropical Dry Broadleaf Forests</x:v>
      </x:c>
      <x:c r="C54" s="120" t="str">
        <x:f aca="0">S13_PSP_Species_Support!C49</x:f>
        <x:v>Timber Plantation</x:v>
      </x:c>
      <x:c r="D54" s="120" t="str">
        <x:f aca="0">S13_PSP_Species_Support!D49</x:f>
        <x:v>High</x:v>
      </x:c>
      <x:c r="E54" s="120" t="n">
        <x:f aca="0">S13_PSP_Species_Support!E49</x:f>
        <x:v>2020</x:v>
      </x:c>
      <x:c r="F54" s="120" t="n">
        <x:f aca="0">S13_PSP_Species_Support!F49</x:f>
        <x:v>0.5852</x:v>
      </x:c>
      <x:c r="G54" s="120" t="n">
        <x:f aca="0">S13_PSP_Species_Support!G49</x:f>
        <x:v>2392.34</x:v>
      </x:c>
      <x:c r="H54" s="120" t="str">
        <x:f aca="0">S13_PSP_Species_Support!H49</x:f>
        <x:v>SILVER OAK: 1400</x:v>
      </x:c>
      <x:c r="I54" s="120" t="str">
        <x:f aca="0">S15_Source_Strata!A10</x:f>
        <x:v>S07</x:v>
      </x:c>
      <x:c r="J54" s="120" t="str">
        <x:f aca="0">IF(S13_PSP_Species_Support!$E49="Unconfirmed","",S13_PSP_Species_Support!Q49)</x:f>
        <x:v>8/8</x:v>
      </x:c>
      <x:c r="K54" s="120" t="n">
        <x:f aca="0">IF(S13_PSP_Species_Support!$E49="Unconfirmed","",S13_PSP_Species_Support!J49)</x:f>
        <x:v>1027.020452896974</x:v>
      </x:c>
      <x:c r="L54" s="120" t="n">
        <x:f aca="0">IF(S13_PSP_Species_Support!$E49="Unconfirmed","",S13_PSP_Species_Support!K49)</x:f>
        <x:v>579.9802734106408</x:v>
      </x:c>
      <x:c r="M54" s="120" t="n">
        <x:f aca="0">IF(S13_PSP_Species_Support!$E49="Unconfirmed","",S13_PSP_Species_Support!L49)</x:f>
        <x:v>0.5647212494889057</x:v>
      </x:c>
      <x:c r="N54" s="120" t="n">
        <x:f aca="0">IF(S13_PSP_Species_Support!$E49="Unconfirmed","",S13_PSP_Species_Support!M49)</x:f>
        <x:v>770.2653396727304</x:v>
      </x:c>
      <x:c r="O54" s="120" t="n">
        <x:f aca="0">IF(S13_PSP_Species_Support!$E49="Unconfirmed","",S13_PSP_Species_Support!N49)</x:f>
        <x:v>0.75</x:v>
      </x:c>
      <x:c r="P54" s="120" t="n">
        <x:f aca="0">IF(S13_PSP_Species_Support!$E49="Unconfirmed","",S13_PSP_Species_Support!O49)</x:f>
        <x:v>1646.0056798579817</x:v>
      </x:c>
      <x:c r="Q54" s="120" t="n">
        <x:f aca="0">IF(S13_PSP_Species_Support!$E49="Unconfirmed","",S13_PSP_Species_Support!P49)</x:f>
        <x:v>7396.124911459077</x:v>
      </x:c>
      <x:c r="R54"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4" s="120" t="n">
        <x:f aca="0">IF(S13_PSP_Species_Support!$E49="Unconfirmed","",SUMIF(S15_Source_Strata!$B$4:$B$49,S13_PSP_Species_Support!$I49,S15_Source_Strata!$F$4:$F$49))</x:f>
        <x:v>175</x:v>
      </x:c>
      <x:c r="T54" s="980" t="n">
        <x:f>'S13_PSP_Species_Support'!DJ49</x:f>
        <x:v>0.09</x:v>
      </x:c>
      <x:c r="U54" s="979" t="n">
        <x:f>'S13_PSP_Species_Support'!DK49</x:f>
        <x:v>215.31100478468898</x:v>
      </x:c>
    </x:row>
    <x:row r="55" ht="63.75" hidden="0" customHeight="1">
      <x:c r="A55" s="119" t="str">
        <x:f aca="0">S13_PSP_Species_Support!A50</x:f>
        <x:v>PSP-TP-009</x:v>
      </x:c>
      <x:c r="B55" s="120" t="str">
        <x:f aca="0">S13_PSP_Species_Support!B50</x:f>
        <x:v>Tropical &amp; Subtropical Dry Broadleaf Forests</x:v>
      </x:c>
      <x:c r="C55" s="120" t="str">
        <x:f aca="0">S13_PSP_Species_Support!C50</x:f>
        <x:v>Timber Plantation</x:v>
      </x:c>
      <x:c r="D55" s="120" t="str">
        <x:f aca="0">S13_PSP_Species_Support!D50</x:f>
        <x:v>Low</x:v>
      </x:c>
      <x:c r="E55" s="120" t="n">
        <x:f aca="0">S13_PSP_Species_Support!E50</x:f>
        <x:v>2020</x:v>
      </x:c>
      <x:c r="F55" s="120" t="n">
        <x:f aca="0">S13_PSP_Species_Support!F50</x:f>
        <x:v>1.4569</x:v>
      </x:c>
      <x:c r="G55" s="120" t="n">
        <x:f aca="0">S13_PSP_Species_Support!G50</x:f>
        <x:v>343.19</x:v>
      </x:c>
      <x:c r="H55" s="120" t="str">
        <x:f aca="0">S13_PSP_Species_Support!H50</x:f>
        <x:v>TEAK: 200; SILVER OAK: 300</x:v>
      </x:c>
      <x:c r="I55" s="120" t="str">
        <x:f aca="0">S15_Source_Strata!A5</x:f>
        <x:v>S02</x:v>
      </x:c>
      <x:c r="J55" s="120" t="str">
        <x:f aca="0">IF(S13_PSP_Species_Support!$E50="Unconfirmed","",S13_PSP_Species_Support!Q50)</x:f>
        <x:v>3/6</x:v>
      </x:c>
      <x:c r="K55" s="120" t="n">
        <x:f aca="0">IF(S13_PSP_Species_Support!$E50="Unconfirmed","",S13_PSP_Species_Support!J50)</x:f>
        <x:v>43.58534780299414</x:v>
      </x:c>
      <x:c r="L55" s="120" t="n">
        <x:f aca="0">IF(S13_PSP_Species_Support!$E50="Unconfirmed","",S13_PSP_Species_Support!K50)</x:f>
        <x:v>53.33486919911265</x:v>
      </x:c>
      <x:c r="M55" s="120" t="n">
        <x:f aca="0">IF(S13_PSP_Species_Support!$E50="Unconfirmed","",S13_PSP_Species_Support!L50)</x:f>
        <x:v>1.2236880485659163</x:v>
      </x:c>
      <x:c r="N55" s="120" t="n">
        <x:f aca="0">IF(S13_PSP_Species_Support!$E50="Unconfirmed","",S13_PSP_Species_Support!M50)</x:f>
        <x:v>32.68901085224561</x:v>
      </x:c>
      <x:c r="O55" s="120" t="n">
        <x:f aca="0">IF(S13_PSP_Species_Support!$E50="Unconfirmed","",S13_PSP_Species_Support!N50)</x:f>
        <x:v>0.75</x:v>
      </x:c>
      <x:c r="P55" s="120" t="n">
        <x:f aca="0">IF(S13_PSP_Species_Support!$E50="Unconfirmed","",S13_PSP_Species_Support!O50)</x:f>
        <x:v>69.85423692385878</x:v>
      </x:c>
      <x:c r="Q55" s="120" t="n">
        <x:f aca="0">IF(S13_PSP_Species_Support!$E50="Unconfirmed","",S13_PSP_Species_Support!P50)</x:f>
        <x:v>436.6777316802021</x:v>
      </x:c>
      <x:c r="R55"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5" s="120" t="n">
        <x:f aca="0">IF(S13_PSP_Species_Support!$E50="Unconfirmed","",SUMIF(S15_Source_Strata!$B$4:$B$49,S13_PSP_Species_Support!$I50,S15_Source_Strata!$F$4:$F$49))</x:f>
        <x:v>130</x:v>
      </x:c>
      <x:c r="T55" s="980" t="n">
        <x:f>'S13_PSP_Species_Support'!DJ50</x:f>
        <x:v>0.09</x:v>
      </x:c>
      <x:c r="U55" s="979" t="n">
        <x:f>'S13_PSP_Species_Support'!DK50</x:f>
        <x:v>30.887500857986133</x:v>
      </x:c>
    </x:row>
    <x:row r="56" ht="63.75" hidden="0" customHeight="1">
      <x:c r="A56" s="119" t="str">
        <x:f aca="0">S13_PSP_Species_Support!A51</x:f>
        <x:v>PSP-TP-010</x:v>
      </x:c>
      <x:c r="B56" s="120" t="str">
        <x:f aca="0">S13_PSP_Species_Support!B51</x:f>
        <x:v>Tropical &amp; Subtropical Dry Broadleaf Forests</x:v>
      </x:c>
      <x:c r="C56" s="120" t="str">
        <x:f aca="0">S13_PSP_Species_Support!C51</x:f>
        <x:v>Timber Plantation</x:v>
      </x:c>
      <x:c r="D56" s="120" t="str">
        <x:f aca="0">S13_PSP_Species_Support!D51</x:f>
        <x:v>Low</x:v>
      </x:c>
      <x:c r="E56" s="120" t="n">
        <x:f aca="0">S13_PSP_Species_Support!E51</x:f>
        <x:v>2020</x:v>
      </x:c>
      <x:c r="F56" s="120" t="n">
        <x:f aca="0">S13_PSP_Species_Support!F51</x:f>
        <x:v>0.873</x:v>
      </x:c>
      <x:c r="G56" s="120" t="n">
        <x:f aca="0">S13_PSP_Species_Support!G51</x:f>
        <x:v>400.92</x:v>
      </x:c>
      <x:c r="H56" s="120" t="str">
        <x:f aca="0">S13_PSP_Species_Support!H51</x:f>
        <x:v>RED SANDALWOOD: 500</x:v>
      </x:c>
      <x:c r="I56" s="120" t="str">
        <x:f aca="0">S15_Source_Strata!A5</x:f>
        <x:v>S02</x:v>
      </x:c>
      <x:c r="J56" s="120" t="str">
        <x:f aca="0">IF(S13_PSP_Species_Support!$E51="Unconfirmed","",S13_PSP_Species_Support!Q51)</x:f>
        <x:v>3/6</x:v>
      </x:c>
      <x:c r="K56" s="120" t="n">
        <x:f aca="0">IF(S13_PSP_Species_Support!$E51="Unconfirmed","",S13_PSP_Species_Support!J51)</x:f>
        <x:v>43.58534780299414</x:v>
      </x:c>
      <x:c r="L56" s="120" t="n">
        <x:f aca="0">IF(S13_PSP_Species_Support!$E51="Unconfirmed","",S13_PSP_Species_Support!K51)</x:f>
        <x:v>53.33486919911265</x:v>
      </x:c>
      <x:c r="M56" s="120" t="n">
        <x:f aca="0">IF(S13_PSP_Species_Support!$E51="Unconfirmed","",S13_PSP_Species_Support!L51)</x:f>
        <x:v>1.2236880485659163</x:v>
      </x:c>
      <x:c r="N56" s="120" t="n">
        <x:f aca="0">IF(S13_PSP_Species_Support!$E51="Unconfirmed","",S13_PSP_Species_Support!M51)</x:f>
        <x:v>32.68901085224561</x:v>
      </x:c>
      <x:c r="O56" s="120" t="n">
        <x:f aca="0">IF(S13_PSP_Species_Support!$E51="Unconfirmed","",S13_PSP_Species_Support!N51)</x:f>
        <x:v>0.75</x:v>
      </x:c>
      <x:c r="P56" s="120" t="n">
        <x:f aca="0">IF(S13_PSP_Species_Support!$E51="Unconfirmed","",S13_PSP_Species_Support!O51)</x:f>
        <x:v>69.85423692385878</x:v>
      </x:c>
      <x:c r="Q56" s="120" t="n">
        <x:f aca="0">IF(S13_PSP_Species_Support!$E51="Unconfirmed","",S13_PSP_Species_Support!P51)</x:f>
        <x:v>436.6777316802021</x:v>
      </x:c>
      <x:c r="R56"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6" s="120" t="n">
        <x:f aca="0">IF(S13_PSP_Species_Support!$E51="Unconfirmed","",SUMIF(S15_Source_Strata!$B$4:$B$49,S13_PSP_Species_Support!$I51,S15_Source_Strata!$F$4:$F$49))</x:f>
        <x:v>130</x:v>
      </x:c>
      <x:c r="T56" s="980" t="n">
        <x:f>'S13_PSP_Species_Support'!DJ51</x:f>
        <x:v>0.09</x:v>
      </x:c>
      <x:c r="U56" s="979" t="n">
        <x:f>'S13_PSP_Species_Support'!DK51</x:f>
        <x:v>51.54639175257732</x:v>
      </x:c>
    </x:row>
    <x:row r="57" ht="63.75" hidden="0" customHeight="1">
      <x:c r="A57" s="119" t="str">
        <x:f aca="0">S13_PSP_Species_Support!A52</x:f>
        <x:v>PSP-TP-011</x:v>
      </x:c>
      <x:c r="B57" s="120" t="str">
        <x:f aca="0">S13_PSP_Species_Support!B52</x:f>
        <x:v>Tropical &amp; Subtropical Moist Broadleaf Forests</x:v>
      </x:c>
      <x:c r="C57" s="120" t="str">
        <x:f aca="0">S13_PSP_Species_Support!C52</x:f>
        <x:v>Timber Plantation</x:v>
      </x:c>
      <x:c r="D57" s="120" t="str">
        <x:f aca="0">S13_PSP_Species_Support!D52</x:f>
        <x:v>Low</x:v>
      </x:c>
      <x:c r="E57" s="120" t="n">
        <x:f aca="0">S13_PSP_Species_Support!E52</x:f>
        <x:v>2020</x:v>
      </x:c>
      <x:c r="F57" s="120" t="n">
        <x:f aca="0">S13_PSP_Species_Support!F52</x:f>
        <x:v>0.7649</x:v>
      </x:c>
      <x:c r="G57" s="120" t="n">
        <x:f aca="0">S13_PSP_Species_Support!G52</x:f>
        <x:v>130.74</x:v>
      </x:c>
      <x:c r="H57" s="120" t="str">
        <x:f aca="0">S13_PSP_Species_Support!H52</x:f>
        <x:v>TEAK: 100</x:v>
      </x:c>
      <x:c r="I57" s="120" t="str">
        <x:f aca="0">S15_Source_Strata!A5</x:f>
        <x:v>S02</x:v>
      </x:c>
      <x:c r="J57" s="120" t="str">
        <x:f aca="0">IF(S13_PSP_Species_Support!$E52="Unconfirmed","",S13_PSP_Species_Support!Q52)</x:f>
        <x:v>3/6</x:v>
      </x:c>
      <x:c r="K57" s="120" t="n">
        <x:f aca="0">IF(S13_PSP_Species_Support!$E52="Unconfirmed","",S13_PSP_Species_Support!J52)</x:f>
        <x:v>43.58534780299414</x:v>
      </x:c>
      <x:c r="L57" s="120" t="n">
        <x:f aca="0">IF(S13_PSP_Species_Support!$E52="Unconfirmed","",S13_PSP_Species_Support!K52)</x:f>
        <x:v>53.33486919911265</x:v>
      </x:c>
      <x:c r="M57" s="120" t="n">
        <x:f aca="0">IF(S13_PSP_Species_Support!$E52="Unconfirmed","",S13_PSP_Species_Support!L52)</x:f>
        <x:v>1.2236880485659163</x:v>
      </x:c>
      <x:c r="N57" s="120" t="n">
        <x:f aca="0">IF(S13_PSP_Species_Support!$E52="Unconfirmed","",S13_PSP_Species_Support!M52)</x:f>
        <x:v>32.68901085224561</x:v>
      </x:c>
      <x:c r="O57" s="120" t="n">
        <x:f aca="0">IF(S13_PSP_Species_Support!$E52="Unconfirmed","",S13_PSP_Species_Support!N52)</x:f>
        <x:v>0.75</x:v>
      </x:c>
      <x:c r="P57" s="120" t="n">
        <x:f aca="0">IF(S13_PSP_Species_Support!$E52="Unconfirmed","",S13_PSP_Species_Support!O52)</x:f>
        <x:v>69.85423692385878</x:v>
      </x:c>
      <x:c r="Q57" s="120" t="n">
        <x:f aca="0">IF(S13_PSP_Species_Support!$E52="Unconfirmed","",S13_PSP_Species_Support!P52)</x:f>
        <x:v>436.6777316802021</x:v>
      </x:c>
      <x:c r="R57"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7" s="120" t="n">
        <x:f aca="0">IF(S13_PSP_Species_Support!$E52="Unconfirmed","",SUMIF(S15_Source_Strata!$B$4:$B$49,S13_PSP_Species_Support!$I52,S15_Source_Strata!$F$4:$F$49))</x:f>
        <x:v>130</x:v>
      </x:c>
      <x:c r="T57" s="980" t="n">
        <x:f>'S13_PSP_Species_Support'!DJ52</x:f>
        <x:v>0.09</x:v>
      </x:c>
      <x:c r="U57" s="979" t="n">
        <x:f>'S13_PSP_Species_Support'!DK52</x:f>
        <x:v>11.766243953457968</x:v>
      </x:c>
    </x:row>
    <x:row r="58" ht="63.75" hidden="0" customHeight="1">
      <x:c r="A58" s="119" t="str">
        <x:f aca="0">S13_PSP_Species_Support!A53</x:f>
        <x:v>PSP-TP-012</x:v>
      </x:c>
      <x:c r="B58" s="120" t="str">
        <x:f aca="0">S13_PSP_Species_Support!B53</x:f>
        <x:v>Tropical &amp; Subtropical Dry Broadleaf Forests</x:v>
      </x:c>
      <x:c r="C58" s="120" t="str">
        <x:f aca="0">S13_PSP_Species_Support!C53</x:f>
        <x:v>Timber Plantation</x:v>
      </x:c>
      <x:c r="D58" s="120" t="str">
        <x:f aca="0">S13_PSP_Species_Support!D53</x:f>
        <x:v>Medium</x:v>
      </x:c>
      <x:c r="E58" s="120" t="n">
        <x:f aca="0">S13_PSP_Species_Support!E53</x:f>
        <x:v>2020</x:v>
      </x:c>
      <x:c r="F58" s="120" t="n">
        <x:f aca="0">S13_PSP_Species_Support!F53</x:f>
        <x:v>0.618</x:v>
      </x:c>
      <x:c r="G58" s="120" t="n">
        <x:f aca="0">S13_PSP_Species_Support!G53</x:f>
        <x:v>736.25</x:v>
      </x:c>
      <x:c r="H58" s="120" t="str">
        <x:f aca="0">S13_PSP_Species_Support!H53</x:f>
        <x:v>MALABAR NEEM: 100; SILVER OAK: 300; BAMBOO: 40; NEEM: 15</x:v>
      </x:c>
      <x:c r="I58" s="120" t="str">
        <x:f aca="0">S15_Source_Strata!A6</x:f>
        <x:v>S03</x:v>
      </x:c>
      <x:c r="J58" s="120" t="str">
        <x:f aca="0">IF(S13_PSP_Species_Support!$E53="Unconfirmed","",S13_PSP_Species_Support!Q53)</x:f>
        <x:v>10/13</x:v>
      </x:c>
      <x:c r="K58" s="120" t="n">
        <x:f aca="0">IF(S13_PSP_Species_Support!$E53="Unconfirmed","",S13_PSP_Species_Support!J53)</x:f>
        <x:v>215.91385512083826</x:v>
      </x:c>
      <x:c r="L58" s="120" t="n">
        <x:f aca="0">IF(S13_PSP_Species_Support!$E53="Unconfirmed","",S13_PSP_Species_Support!K53)</x:f>
        <x:v>180.66754848026147</x:v>
      </x:c>
      <x:c r="M58" s="120" t="n">
        <x:f aca="0">IF(S13_PSP_Species_Support!$E53="Unconfirmed","",S13_PSP_Species_Support!L53)</x:f>
        <x:v>0.8367575502699868</x:v>
      </x:c>
      <x:c r="N58" s="120" t="n">
        <x:f aca="0">IF(S13_PSP_Species_Support!$E53="Unconfirmed","",S13_PSP_Species_Support!M53)</x:f>
        <x:v>161.9353913406287</x:v>
      </x:c>
      <x:c r="O58" s="120" t="n">
        <x:f aca="0">IF(S13_PSP_Species_Support!$E53="Unconfirmed","",S13_PSP_Species_Support!N53)</x:f>
        <x:v>0.7500000000000001</x:v>
      </x:c>
      <x:c r="P58" s="120" t="n">
        <x:f aca="0">IF(S13_PSP_Species_Support!$E53="Unconfirmed","",S13_PSP_Species_Support!O53)</x:f>
        <x:v>346.0451356021678</x:v>
      </x:c>
      <x:c r="Q58" s="120" t="n">
        <x:f aca="0">IF(S13_PSP_Species_Support!$E53="Unconfirmed","",S13_PSP_Species_Support!P53)</x:f>
        <x:v>2052.665482410992</x:v>
      </x:c>
      <x:c r="R58"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8" s="120" t="n">
        <x:f aca="0">IF(S13_PSP_Species_Support!$E53="Unconfirmed","",SUMIF(S15_Source_Strata!$B$4:$B$49,S13_PSP_Species_Support!$I53,S15_Source_Strata!$F$4:$F$49))</x:f>
        <x:v>318</x:v>
      </x:c>
      <x:c r="T58" s="980" t="n">
        <x:f>'S13_PSP_Species_Support'!DJ53</x:f>
        <x:v>0.09</x:v>
      </x:c>
      <x:c r="U58" s="979" t="n">
        <x:f>'S13_PSP_Species_Support'!DK53</x:f>
        <x:v>66.26213592233009</x:v>
      </x:c>
    </x:row>
    <x:row r="59" ht="63.75" hidden="0" customHeight="1">
      <x:c r="A59" s="119" t="str">
        <x:f aca="0">S13_PSP_Species_Support!A54</x:f>
        <x:v>PSP-TP-013</x:v>
      </x:c>
      <x:c r="B59" s="120" t="str">
        <x:f aca="0">S13_PSP_Species_Support!B54</x:f>
        <x:v>Deserts &amp; Xeric Shrublands</x:v>
      </x:c>
      <x:c r="C59" s="120" t="str">
        <x:f aca="0">S13_PSP_Species_Support!C54</x:f>
        <x:v>Timber Plantation</x:v>
      </x:c>
      <x:c r="D59" s="120" t="str">
        <x:f aca="0">S13_PSP_Species_Support!D54</x:f>
        <x:v>Medium</x:v>
      </x:c>
      <x:c r="E59" s="120" t="n">
        <x:f aca="0">S13_PSP_Species_Support!E54</x:f>
        <x:v>2020</x:v>
      </x:c>
      <x:c r="F59" s="120" t="n">
        <x:f aca="0">S13_PSP_Species_Support!F54</x:f>
        <x:v>1.0504</x:v>
      </x:c>
      <x:c r="G59" s="120" t="n">
        <x:f aca="0">S13_PSP_Species_Support!G54</x:f>
        <x:v>952.02</x:v>
      </x:c>
      <x:c r="H59" s="120" t="str">
        <x:f aca="0">S13_PSP_Species_Support!H54</x:f>
        <x:v>SANDALWOOD: 500; MAHOGANY: 500</x:v>
      </x:c>
      <x:c r="I59" s="120" t="str">
        <x:f aca="0">S15_Source_Strata!A6</x:f>
        <x:v>S03</x:v>
      </x:c>
      <x:c r="J59" s="120" t="str">
        <x:f aca="0">IF(S13_PSP_Species_Support!$E54="Unconfirmed","",S13_PSP_Species_Support!Q54)</x:f>
        <x:v>10/13</x:v>
      </x:c>
      <x:c r="K59" s="120" t="n">
        <x:f aca="0">IF(S13_PSP_Species_Support!$E54="Unconfirmed","",S13_PSP_Species_Support!J54)</x:f>
        <x:v>215.91385512083826</x:v>
      </x:c>
      <x:c r="L59" s="120" t="n">
        <x:f aca="0">IF(S13_PSP_Species_Support!$E54="Unconfirmed","",S13_PSP_Species_Support!K54)</x:f>
        <x:v>180.66754848026147</x:v>
      </x:c>
      <x:c r="M59" s="120" t="n">
        <x:f aca="0">IF(S13_PSP_Species_Support!$E54="Unconfirmed","",S13_PSP_Species_Support!L54)</x:f>
        <x:v>0.8367575502699868</x:v>
      </x:c>
      <x:c r="N59" s="120" t="n">
        <x:f aca="0">IF(S13_PSP_Species_Support!$E54="Unconfirmed","",S13_PSP_Species_Support!M54)</x:f>
        <x:v>161.9353913406287</x:v>
      </x:c>
      <x:c r="O59" s="120" t="n">
        <x:f aca="0">IF(S13_PSP_Species_Support!$E54="Unconfirmed","",S13_PSP_Species_Support!N54)</x:f>
        <x:v>0.7500000000000001</x:v>
      </x:c>
      <x:c r="P59" s="120" t="n">
        <x:f aca="0">IF(S13_PSP_Species_Support!$E54="Unconfirmed","",S13_PSP_Species_Support!O54)</x:f>
        <x:v>346.0451356021678</x:v>
      </x:c>
      <x:c r="Q59" s="120" t="n">
        <x:f aca="0">IF(S13_PSP_Species_Support!$E54="Unconfirmed","",S13_PSP_Species_Support!P54)</x:f>
        <x:v>2052.665482410992</x:v>
      </x:c>
      <x:c r="R59"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59" s="120" t="n">
        <x:f aca="0">IF(S13_PSP_Species_Support!$E54="Unconfirmed","",SUMIF(S15_Source_Strata!$B$4:$B$49,S13_PSP_Species_Support!$I54,S15_Source_Strata!$F$4:$F$49))</x:f>
        <x:v>318</x:v>
      </x:c>
      <x:c r="T59" s="980" t="n">
        <x:f>'S13_PSP_Species_Support'!DJ54</x:f>
        <x:v>0.09</x:v>
      </x:c>
      <x:c r="U59" s="979" t="n">
        <x:f>'S13_PSP_Species_Support'!DK54</x:f>
        <x:v>85.68164508758568</x:v>
      </x:c>
    </x:row>
    <x:row r="60" ht="63.75" hidden="0" customHeight="1">
      <x:c r="A60" s="119" t="str">
        <x:f aca="0">S13_PSP_Species_Support!A55</x:f>
        <x:v>PSP-TP-014</x:v>
      </x:c>
      <x:c r="B60" s="120" t="str">
        <x:f aca="0">S13_PSP_Species_Support!B55</x:f>
        <x:v>Tropical &amp; Subtropical Dry Broadleaf Forests</x:v>
      </x:c>
      <x:c r="C60" s="120" t="str">
        <x:f aca="0">S13_PSP_Species_Support!C55</x:f>
        <x:v>Timber Plantation</x:v>
      </x:c>
      <x:c r="D60" s="120" t="str">
        <x:f aca="0">S13_PSP_Species_Support!D55</x:f>
        <x:v>Medium</x:v>
      </x:c>
      <x:c r="E60" s="120" t="n">
        <x:f aca="0">S13_PSP_Species_Support!E55</x:f>
        <x:v>2020</x:v>
      </x:c>
      <x:c r="F60" s="120" t="n">
        <x:f aca="0">S13_PSP_Species_Support!F55</x:f>
        <x:v>0.5772</x:v>
      </x:c>
      <x:c r="G60" s="120" t="n">
        <x:f aca="0">S13_PSP_Species_Support!G55</x:f>
        <x:v>1732.5</x:v>
      </x:c>
      <x:c r="H60" s="120" t="str">
        <x:f aca="0">S13_PSP_Species_Support!H55</x:f>
        <x:v>TEAK: 1000</x:v>
      </x:c>
      <x:c r="I60" s="120" t="str">
        <x:f aca="0">S15_Source_Strata!A6</x:f>
        <x:v>S03</x:v>
      </x:c>
      <x:c r="J60" s="120" t="str">
        <x:f aca="0">IF(S13_PSP_Species_Support!$E55="Unconfirmed","",S13_PSP_Species_Support!Q55)</x:f>
        <x:v>10/13</x:v>
      </x:c>
      <x:c r="K60" s="120" t="n">
        <x:f aca="0">IF(S13_PSP_Species_Support!$E55="Unconfirmed","",S13_PSP_Species_Support!J55)</x:f>
        <x:v>215.91385512083826</x:v>
      </x:c>
      <x:c r="L60" s="120" t="n">
        <x:f aca="0">IF(S13_PSP_Species_Support!$E55="Unconfirmed","",S13_PSP_Species_Support!K55)</x:f>
        <x:v>180.66754848026147</x:v>
      </x:c>
      <x:c r="M60" s="120" t="n">
        <x:f aca="0">IF(S13_PSP_Species_Support!$E55="Unconfirmed","",S13_PSP_Species_Support!L55)</x:f>
        <x:v>0.8367575502699868</x:v>
      </x:c>
      <x:c r="N60" s="120" t="n">
        <x:f aca="0">IF(S13_PSP_Species_Support!$E55="Unconfirmed","",S13_PSP_Species_Support!M55)</x:f>
        <x:v>161.9353913406287</x:v>
      </x:c>
      <x:c r="O60" s="120" t="n">
        <x:f aca="0">IF(S13_PSP_Species_Support!$E55="Unconfirmed","",S13_PSP_Species_Support!N55)</x:f>
        <x:v>0.7500000000000001</x:v>
      </x:c>
      <x:c r="P60" s="120" t="n">
        <x:f aca="0">IF(S13_PSP_Species_Support!$E55="Unconfirmed","",S13_PSP_Species_Support!O55)</x:f>
        <x:v>346.0451356021678</x:v>
      </x:c>
      <x:c r="Q60" s="120" t="n">
        <x:f aca="0">IF(S13_PSP_Species_Support!$E55="Unconfirmed","",S13_PSP_Species_Support!P55)</x:f>
        <x:v>2052.665482410992</x:v>
      </x:c>
      <x:c r="R60"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0" s="120" t="n">
        <x:f aca="0">IF(S13_PSP_Species_Support!$E55="Unconfirmed","",SUMIF(S15_Source_Strata!$B$4:$B$49,S13_PSP_Species_Support!$I55,S15_Source_Strata!$F$4:$F$49))</x:f>
        <x:v>318</x:v>
      </x:c>
      <x:c r="T60" s="980" t="n">
        <x:f>'S13_PSP_Species_Support'!DJ55</x:f>
        <x:v>0.09</x:v>
      </x:c>
      <x:c r="U60" s="979" t="n">
        <x:f>'S13_PSP_Species_Support'!DK55</x:f>
        <x:v>155.9251559251559</x:v>
      </x:c>
    </x:row>
    <x:row r="61" ht="63.75" hidden="0" customHeight="1">
      <x:c r="A61" s="119" t="str">
        <x:f aca="0">S13_PSP_Species_Support!A56</x:f>
        <x:v>PSP-TP-015</x:v>
      </x:c>
      <x:c r="B61" s="120" t="str">
        <x:f aca="0">S13_PSP_Species_Support!B56</x:f>
        <x:v>Tropical &amp; Subtropical Dry Broadleaf Forests</x:v>
      </x:c>
      <x:c r="C61" s="120" t="str">
        <x:f aca="0">S13_PSP_Species_Support!C56</x:f>
        <x:v>Timber Plantation</x:v>
      </x:c>
      <x:c r="D61" s="120" t="str">
        <x:f aca="0">S13_PSP_Species_Support!D56</x:f>
        <x:v>Medium</x:v>
      </x:c>
      <x:c r="E61" s="120" t="n">
        <x:f aca="0">S13_PSP_Species_Support!E56</x:f>
        <x:v>2020</x:v>
      </x:c>
      <x:c r="F61" s="120" t="n">
        <x:f aca="0">S13_PSP_Species_Support!F56</x:f>
        <x:v>1.9606</x:v>
      </x:c>
      <x:c r="G61" s="120" t="n">
        <x:f aca="0">S13_PSP_Species_Support!G56</x:f>
        <x:v>751.81</x:v>
      </x:c>
      <x:c r="H61" s="120" t="str">
        <x:f aca="0">S13_PSP_Species_Support!H56</x:f>
        <x:v>SANDALWOOD: 1474</x:v>
      </x:c>
      <x:c r="I61" s="120" t="str">
        <x:f aca="0">S15_Source_Strata!A6</x:f>
        <x:v>S03</x:v>
      </x:c>
      <x:c r="J61" s="120" t="str">
        <x:f aca="0">IF(S13_PSP_Species_Support!$E56="Unconfirmed","",S13_PSP_Species_Support!Q56)</x:f>
        <x:v>10/13</x:v>
      </x:c>
      <x:c r="K61" s="120" t="n">
        <x:f aca="0">IF(S13_PSP_Species_Support!$E56="Unconfirmed","",S13_PSP_Species_Support!J56)</x:f>
        <x:v>215.91385512083826</x:v>
      </x:c>
      <x:c r="L61" s="120" t="n">
        <x:f aca="0">IF(S13_PSP_Species_Support!$E56="Unconfirmed","",S13_PSP_Species_Support!K56)</x:f>
        <x:v>180.66754848026147</x:v>
      </x:c>
      <x:c r="M61" s="120" t="n">
        <x:f aca="0">IF(S13_PSP_Species_Support!$E56="Unconfirmed","",S13_PSP_Species_Support!L56)</x:f>
        <x:v>0.8367575502699868</x:v>
      </x:c>
      <x:c r="N61" s="120" t="n">
        <x:f aca="0">IF(S13_PSP_Species_Support!$E56="Unconfirmed","",S13_PSP_Species_Support!M56)</x:f>
        <x:v>161.9353913406287</x:v>
      </x:c>
      <x:c r="O61" s="120" t="n">
        <x:f aca="0">IF(S13_PSP_Species_Support!$E56="Unconfirmed","",S13_PSP_Species_Support!N56)</x:f>
        <x:v>0.7500000000000001</x:v>
      </x:c>
      <x:c r="P61" s="120" t="n">
        <x:f aca="0">IF(S13_PSP_Species_Support!$E56="Unconfirmed","",S13_PSP_Species_Support!O56)</x:f>
        <x:v>346.0451356021678</x:v>
      </x:c>
      <x:c r="Q61" s="120" t="n">
        <x:f aca="0">IF(S13_PSP_Species_Support!$E56="Unconfirmed","",S13_PSP_Species_Support!P56)</x:f>
        <x:v>2052.665482410992</x:v>
      </x:c>
      <x:c r="R61"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1" s="120" t="n">
        <x:f aca="0">IF(S13_PSP_Species_Support!$E56="Unconfirmed","",SUMIF(S15_Source_Strata!$B$4:$B$49,S13_PSP_Species_Support!$I56,S15_Source_Strata!$F$4:$F$49))</x:f>
        <x:v>318</x:v>
      </x:c>
      <x:c r="T61" s="980" t="n">
        <x:f>'S13_PSP_Species_Support'!DJ56</x:f>
        <x:v>0.09</x:v>
      </x:c>
      <x:c r="U61" s="979" t="n">
        <x:f>'S13_PSP_Species_Support'!DK56</x:f>
        <x:v>67.66296031826992</x:v>
      </x:c>
    </x:row>
    <x:row r="62" ht="63.75" hidden="0" customHeight="1">
      <x:c r="A62" s="119" t="str">
        <x:f aca="0">S13_PSP_Species_Support!A57</x:f>
        <x:v>PSP-TP-016</x:v>
      </x:c>
      <x:c r="B62" s="120" t="str">
        <x:f aca="0">S13_PSP_Species_Support!B57</x:f>
        <x:v>Tropical &amp; Subtropical Dry Broadleaf Forests</x:v>
      </x:c>
      <x:c r="C62" s="120" t="str">
        <x:f aca="0">S13_PSP_Species_Support!C57</x:f>
        <x:v>Timber Plantation</x:v>
      </x:c>
      <x:c r="D62" s="120" t="str">
        <x:f aca="0">S13_PSP_Species_Support!D57</x:f>
        <x:v>Medium</x:v>
      </x:c>
      <x:c r="E62" s="120" t="n">
        <x:f aca="0">S13_PSP_Species_Support!E57</x:f>
        <x:v>2020</x:v>
      </x:c>
      <x:c r="F62" s="120" t="n">
        <x:f aca="0">S13_PSP_Species_Support!F57</x:f>
        <x:v>0.4278</x:v>
      </x:c>
      <x:c r="G62" s="120" t="n">
        <x:f aca="0">S13_PSP_Species_Support!G57</x:f>
        <x:v>748.01</x:v>
      </x:c>
      <x:c r="H62" s="120" t="str">
        <x:f aca="0">S13_PSP_Species_Support!H57</x:f>
        <x:v>TEAK: 320</x:v>
      </x:c>
      <x:c r="I62" s="120" t="str">
        <x:f aca="0">S15_Source_Strata!A6</x:f>
        <x:v>S03</x:v>
      </x:c>
      <x:c r="J62" s="120" t="str">
        <x:f aca="0">IF(S13_PSP_Species_Support!$E57="Unconfirmed","",S13_PSP_Species_Support!Q57)</x:f>
        <x:v>10/13</x:v>
      </x:c>
      <x:c r="K62" s="120" t="n">
        <x:f aca="0">IF(S13_PSP_Species_Support!$E57="Unconfirmed","",S13_PSP_Species_Support!J57)</x:f>
        <x:v>215.91385512083826</x:v>
      </x:c>
      <x:c r="L62" s="120" t="n">
        <x:f aca="0">IF(S13_PSP_Species_Support!$E57="Unconfirmed","",S13_PSP_Species_Support!K57)</x:f>
        <x:v>180.66754848026147</x:v>
      </x:c>
      <x:c r="M62" s="120" t="n">
        <x:f aca="0">IF(S13_PSP_Species_Support!$E57="Unconfirmed","",S13_PSP_Species_Support!L57)</x:f>
        <x:v>0.8367575502699868</x:v>
      </x:c>
      <x:c r="N62" s="120" t="n">
        <x:f aca="0">IF(S13_PSP_Species_Support!$E57="Unconfirmed","",S13_PSP_Species_Support!M57)</x:f>
        <x:v>161.9353913406287</x:v>
      </x:c>
      <x:c r="O62" s="120" t="n">
        <x:f aca="0">IF(S13_PSP_Species_Support!$E57="Unconfirmed","",S13_PSP_Species_Support!N57)</x:f>
        <x:v>0.7500000000000001</x:v>
      </x:c>
      <x:c r="P62" s="120" t="n">
        <x:f aca="0">IF(S13_PSP_Species_Support!$E57="Unconfirmed","",S13_PSP_Species_Support!O57)</x:f>
        <x:v>346.0451356021678</x:v>
      </x:c>
      <x:c r="Q62" s="120" t="n">
        <x:f aca="0">IF(S13_PSP_Species_Support!$E57="Unconfirmed","",S13_PSP_Species_Support!P57)</x:f>
        <x:v>2052.665482410992</x:v>
      </x:c>
      <x:c r="R62"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2" s="120" t="n">
        <x:f aca="0">IF(S13_PSP_Species_Support!$E57="Unconfirmed","",SUMIF(S15_Source_Strata!$B$4:$B$49,S13_PSP_Species_Support!$I57,S15_Source_Strata!$F$4:$F$49))</x:f>
        <x:v>318</x:v>
      </x:c>
      <x:c r="T62" s="980" t="n">
        <x:f>'S13_PSP_Species_Support'!DJ57</x:f>
        <x:v>0.09</x:v>
      </x:c>
      <x:c r="U62" s="979" t="n">
        <x:f>'S13_PSP_Species_Support'!DK57</x:f>
        <x:v>67.3211781206171</x:v>
      </x:c>
    </x:row>
    <x:row r="63" ht="63.75" hidden="0" customHeight="1">
      <x:c r="A63" s="119" t="str">
        <x:f aca="0">S13_PSP_Species_Support!A58</x:f>
        <x:v>PSP-TP-017</x:v>
      </x:c>
      <x:c r="B63" s="120" t="str">
        <x:f aca="0">S13_PSP_Species_Support!B58</x:f>
        <x:v>Tropical &amp; Subtropical Dry Broadleaf Forests</x:v>
      </x:c>
      <x:c r="C63" s="120" t="str">
        <x:f aca="0">S13_PSP_Species_Support!C58</x:f>
        <x:v>Timber Plantation</x:v>
      </x:c>
      <x:c r="D63" s="120" t="str">
        <x:f aca="0">S13_PSP_Species_Support!D58</x:f>
        <x:v>Medium</x:v>
      </x:c>
      <x:c r="E63" s="120" t="n">
        <x:f aca="0">S13_PSP_Species_Support!E58</x:f>
        <x:v>2020</x:v>
      </x:c>
      <x:c r="F63" s="120" t="n">
        <x:f aca="0">S13_PSP_Species_Support!F58</x:f>
        <x:v>2.0202</x:v>
      </x:c>
      <x:c r="G63" s="120" t="n">
        <x:f aca="0">S13_PSP_Species_Support!G58</x:f>
        <x:v>792</x:v>
      </x:c>
      <x:c r="H63" s="120" t="str">
        <x:f aca="0">S13_PSP_Species_Support!H58</x:f>
        <x:v>SILVER OAK: 1600</x:v>
      </x:c>
      <x:c r="I63" s="120" t="str">
        <x:f aca="0">S15_Source_Strata!A6</x:f>
        <x:v>S03</x:v>
      </x:c>
      <x:c r="J63" s="120" t="str">
        <x:f aca="0">IF(S13_PSP_Species_Support!$E58="Unconfirmed","",S13_PSP_Species_Support!Q58)</x:f>
        <x:v>10/13</x:v>
      </x:c>
      <x:c r="K63" s="120" t="n">
        <x:f aca="0">IF(S13_PSP_Species_Support!$E58="Unconfirmed","",S13_PSP_Species_Support!J58)</x:f>
        <x:v>215.91385512083826</x:v>
      </x:c>
      <x:c r="L63" s="120" t="n">
        <x:f aca="0">IF(S13_PSP_Species_Support!$E58="Unconfirmed","",S13_PSP_Species_Support!K58)</x:f>
        <x:v>180.66754848026147</x:v>
      </x:c>
      <x:c r="M63" s="120" t="n">
        <x:f aca="0">IF(S13_PSP_Species_Support!$E58="Unconfirmed","",S13_PSP_Species_Support!L58)</x:f>
        <x:v>0.8367575502699868</x:v>
      </x:c>
      <x:c r="N63" s="120" t="n">
        <x:f aca="0">IF(S13_PSP_Species_Support!$E58="Unconfirmed","",S13_PSP_Species_Support!M58)</x:f>
        <x:v>161.9353913406287</x:v>
      </x:c>
      <x:c r="O63" s="120" t="n">
        <x:f aca="0">IF(S13_PSP_Species_Support!$E58="Unconfirmed","",S13_PSP_Species_Support!N58)</x:f>
        <x:v>0.7500000000000001</x:v>
      </x:c>
      <x:c r="P63" s="120" t="n">
        <x:f aca="0">IF(S13_PSP_Species_Support!$E58="Unconfirmed","",S13_PSP_Species_Support!O58)</x:f>
        <x:v>346.0451356021678</x:v>
      </x:c>
      <x:c r="Q63" s="120" t="n">
        <x:f aca="0">IF(S13_PSP_Species_Support!$E58="Unconfirmed","",S13_PSP_Species_Support!P58)</x:f>
        <x:v>2052.665482410992</x:v>
      </x:c>
      <x:c r="R63"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3" s="120" t="n">
        <x:f aca="0">IF(S13_PSP_Species_Support!$E58="Unconfirmed","",SUMIF(S15_Source_Strata!$B$4:$B$49,S13_PSP_Species_Support!$I58,S15_Source_Strata!$F$4:$F$49))</x:f>
        <x:v>318</x:v>
      </x:c>
      <x:c r="T63" s="980" t="n">
        <x:f>'S13_PSP_Species_Support'!DJ58</x:f>
        <x:v>0.09</x:v>
      </x:c>
      <x:c r="U63" s="979" t="n">
        <x:f>'S13_PSP_Species_Support'!DK58</x:f>
        <x:v>71.28007128007128</x:v>
      </x:c>
    </x:row>
    <x:row r="64" ht="63.75" hidden="0" customHeight="1">
      <x:c r="A64" s="119" t="str">
        <x:f aca="0">S13_PSP_Species_Support!A59</x:f>
        <x:v>PSP-TP-018</x:v>
      </x:c>
      <x:c r="B64" s="120" t="str">
        <x:f aca="0">S13_PSP_Species_Support!B59</x:f>
        <x:v>Tropical &amp; Subtropical Dry Broadleaf Forests</x:v>
      </x:c>
      <x:c r="C64" s="120" t="str">
        <x:f aca="0">S13_PSP_Species_Support!C59</x:f>
        <x:v>Timber Plantation</x:v>
      </x:c>
      <x:c r="D64" s="120" t="str">
        <x:f aca="0">S13_PSP_Species_Support!D59</x:f>
        <x:v>Medium</x:v>
      </x:c>
      <x:c r="E64" s="120" t="n">
        <x:f aca="0">S13_PSP_Species_Support!E59</x:f>
        <x:v>2020</x:v>
      </x:c>
      <x:c r="F64" s="120" t="n">
        <x:f aca="0">S13_PSP_Species_Support!F59</x:f>
        <x:v>0.1095</x:v>
      </x:c>
      <x:c r="G64" s="120" t="n">
        <x:f aca="0">S13_PSP_Species_Support!G59</x:f>
        <x:v>913.24</x:v>
      </x:c>
      <x:c r="H64" s="120" t="str">
        <x:f aca="0">S13_PSP_Species_Support!H59</x:f>
        <x:v>TEAK: 100</x:v>
      </x:c>
      <x:c r="I64" s="120" t="str">
        <x:f aca="0">S15_Source_Strata!A6</x:f>
        <x:v>S03</x:v>
      </x:c>
      <x:c r="J64" s="120" t="str">
        <x:f aca="0">IF(S13_PSP_Species_Support!$E59="Unconfirmed","",S13_PSP_Species_Support!Q59)</x:f>
        <x:v>10/13</x:v>
      </x:c>
      <x:c r="K64" s="120" t="n">
        <x:f aca="0">IF(S13_PSP_Species_Support!$E59="Unconfirmed","",S13_PSP_Species_Support!J59)</x:f>
        <x:v>215.91385512083826</x:v>
      </x:c>
      <x:c r="L64" s="120" t="n">
        <x:f aca="0">IF(S13_PSP_Species_Support!$E59="Unconfirmed","",S13_PSP_Species_Support!K59)</x:f>
        <x:v>180.66754848026147</x:v>
      </x:c>
      <x:c r="M64" s="120" t="n">
        <x:f aca="0">IF(S13_PSP_Species_Support!$E59="Unconfirmed","",S13_PSP_Species_Support!L59)</x:f>
        <x:v>0.8367575502699868</x:v>
      </x:c>
      <x:c r="N64" s="120" t="n">
        <x:f aca="0">IF(S13_PSP_Species_Support!$E59="Unconfirmed","",S13_PSP_Species_Support!M59)</x:f>
        <x:v>161.9353913406287</x:v>
      </x:c>
      <x:c r="O64" s="120" t="n">
        <x:f aca="0">IF(S13_PSP_Species_Support!$E59="Unconfirmed","",S13_PSP_Species_Support!N59)</x:f>
        <x:v>0.7500000000000001</x:v>
      </x:c>
      <x:c r="P64" s="120" t="n">
        <x:f aca="0">IF(S13_PSP_Species_Support!$E59="Unconfirmed","",S13_PSP_Species_Support!O59)</x:f>
        <x:v>346.0451356021678</x:v>
      </x:c>
      <x:c r="Q64" s="120" t="n">
        <x:f aca="0">IF(S13_PSP_Species_Support!$E59="Unconfirmed","",S13_PSP_Species_Support!P59)</x:f>
        <x:v>2052.665482410992</x:v>
      </x:c>
      <x:c r="R64"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4" s="120" t="n">
        <x:f aca="0">IF(S13_PSP_Species_Support!$E59="Unconfirmed","",SUMIF(S15_Source_Strata!$B$4:$B$49,S13_PSP_Species_Support!$I59,S15_Source_Strata!$F$4:$F$49))</x:f>
        <x:v>318</x:v>
      </x:c>
      <x:c r="T64" s="980" t="n">
        <x:f>'S13_PSP_Species_Support'!DJ59</x:f>
        <x:v>0.09</x:v>
      </x:c>
      <x:c r="U64" s="979" t="n">
        <x:f>'S13_PSP_Species_Support'!DK59</x:f>
        <x:v>82.1917808219178</x:v>
      </x:c>
    </x:row>
    <x:row r="65" ht="63.75" hidden="0" customHeight="1">
      <x:c r="A65" s="119" t="str">
        <x:f aca="0">S13_PSP_Species_Support!A60</x:f>
        <x:v>PSP-TP-019</x:v>
      </x:c>
      <x:c r="B65" s="120" t="str">
        <x:f aca="0">S13_PSP_Species_Support!B60</x:f>
        <x:v>Tropical &amp; Subtropical Dry Broadleaf Forests</x:v>
      </x:c>
      <x:c r="C65" s="120" t="str">
        <x:f aca="0">S13_PSP_Species_Support!C60</x:f>
        <x:v>Timber Plantation</x:v>
      </x:c>
      <x:c r="D65" s="120" t="str">
        <x:f aca="0">S13_PSP_Species_Support!D60</x:f>
        <x:v>Medium</x:v>
      </x:c>
      <x:c r="E65" s="120" t="n">
        <x:f aca="0">S13_PSP_Species_Support!E60</x:f>
        <x:v>2020</x:v>
      </x:c>
      <x:c r="F65" s="120" t="n">
        <x:f aca="0">S13_PSP_Species_Support!F60</x:f>
        <x:v>0.5831</x:v>
      </x:c>
      <x:c r="G65" s="120" t="n">
        <x:f aca="0">S13_PSP_Species_Support!G60</x:f>
        <x:v>1543.47</x:v>
      </x:c>
      <x:c r="H65" s="120" t="str">
        <x:f aca="0">S13_PSP_Species_Support!H60</x:f>
        <x:v>SANDALWOOD: 900</x:v>
      </x:c>
      <x:c r="I65" s="120" t="str">
        <x:f aca="0">S15_Source_Strata!A6</x:f>
        <x:v>S03</x:v>
      </x:c>
      <x:c r="J65" s="120" t="str">
        <x:f aca="0">IF(S13_PSP_Species_Support!$E60="Unconfirmed","",S13_PSP_Species_Support!Q60)</x:f>
        <x:v>10/13</x:v>
      </x:c>
      <x:c r="K65" s="120" t="n">
        <x:f aca="0">IF(S13_PSP_Species_Support!$E60="Unconfirmed","",S13_PSP_Species_Support!J60)</x:f>
        <x:v>215.91385512083826</x:v>
      </x:c>
      <x:c r="L65" s="120" t="n">
        <x:f aca="0">IF(S13_PSP_Species_Support!$E60="Unconfirmed","",S13_PSP_Species_Support!K60)</x:f>
        <x:v>180.66754848026147</x:v>
      </x:c>
      <x:c r="M65" s="120" t="n">
        <x:f aca="0">IF(S13_PSP_Species_Support!$E60="Unconfirmed","",S13_PSP_Species_Support!L60)</x:f>
        <x:v>0.8367575502699868</x:v>
      </x:c>
      <x:c r="N65" s="120" t="n">
        <x:f aca="0">IF(S13_PSP_Species_Support!$E60="Unconfirmed","",S13_PSP_Species_Support!M60)</x:f>
        <x:v>161.9353913406287</x:v>
      </x:c>
      <x:c r="O65" s="120" t="n">
        <x:f aca="0">IF(S13_PSP_Species_Support!$E60="Unconfirmed","",S13_PSP_Species_Support!N60)</x:f>
        <x:v>0.7500000000000001</x:v>
      </x:c>
      <x:c r="P65" s="120" t="n">
        <x:f aca="0">IF(S13_PSP_Species_Support!$E60="Unconfirmed","",S13_PSP_Species_Support!O60)</x:f>
        <x:v>346.0451356021678</x:v>
      </x:c>
      <x:c r="Q65" s="120" t="n">
        <x:f aca="0">IF(S13_PSP_Species_Support!$E60="Unconfirmed","",S13_PSP_Species_Support!P60)</x:f>
        <x:v>2052.665482410992</x:v>
      </x:c>
      <x:c r="R65"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5" s="120" t="n">
        <x:f aca="0">IF(S13_PSP_Species_Support!$E60="Unconfirmed","",SUMIF(S15_Source_Strata!$B$4:$B$49,S13_PSP_Species_Support!$I60,S15_Source_Strata!$F$4:$F$49))</x:f>
        <x:v>318</x:v>
      </x:c>
      <x:c r="T65" s="980" t="n">
        <x:f>'S13_PSP_Species_Support'!DJ60</x:f>
        <x:v>0.09</x:v>
      </x:c>
      <x:c r="U65" s="979" t="n">
        <x:f>'S13_PSP_Species_Support'!DK60</x:f>
        <x:v>138.912707940319</x:v>
      </x:c>
    </x:row>
    <x:row r="66" ht="63.75" hidden="0" customHeight="1">
      <x:c r="A66" s="119" t="str">
        <x:f aca="0">S13_PSP_Species_Support!A61</x:f>
        <x:v>PSP-TP-020</x:v>
      </x:c>
      <x:c r="B66" s="120" t="str">
        <x:f aca="0">S13_PSP_Species_Support!B61</x:f>
        <x:v>Tropical &amp; Subtropical Dry Broadleaf Forests</x:v>
      </x:c>
      <x:c r="C66" s="120" t="str">
        <x:f aca="0">S13_PSP_Species_Support!C61</x:f>
        <x:v>Timber Plantation</x:v>
      </x:c>
      <x:c r="D66" s="120" t="str">
        <x:f aca="0">S13_PSP_Species_Support!D61</x:f>
        <x:v>Medium</x:v>
      </x:c>
      <x:c r="E66" s="120" t="n">
        <x:f aca="0">S13_PSP_Species_Support!E61</x:f>
        <x:v>2020</x:v>
      </x:c>
      <x:c r="F66" s="120" t="n">
        <x:f aca="0">S13_PSP_Species_Support!F61</x:f>
        <x:v>0.4842</x:v>
      </x:c>
      <x:c r="G66" s="120" t="n">
        <x:f aca="0">S13_PSP_Species_Support!G61</x:f>
        <x:v>1445.68</x:v>
      </x:c>
      <x:c r="H66" s="120" t="str">
        <x:f aca="0">S13_PSP_Species_Support!H61</x:f>
        <x:v>SILVER OAK: 300; TEAK: 400</x:v>
      </x:c>
      <x:c r="I66" s="120" t="str">
        <x:f aca="0">S15_Source_Strata!A6</x:f>
        <x:v>S03</x:v>
      </x:c>
      <x:c r="J66" s="120" t="str">
        <x:f aca="0">IF(S13_PSP_Species_Support!$E61="Unconfirmed","",S13_PSP_Species_Support!Q61)</x:f>
        <x:v>10/13</x:v>
      </x:c>
      <x:c r="K66" s="120" t="n">
        <x:f aca="0">IF(S13_PSP_Species_Support!$E61="Unconfirmed","",S13_PSP_Species_Support!J61)</x:f>
        <x:v>215.91385512083826</x:v>
      </x:c>
      <x:c r="L66" s="120" t="n">
        <x:f aca="0">IF(S13_PSP_Species_Support!$E61="Unconfirmed","",S13_PSP_Species_Support!K61)</x:f>
        <x:v>180.66754848026147</x:v>
      </x:c>
      <x:c r="M66" s="120" t="n">
        <x:f aca="0">IF(S13_PSP_Species_Support!$E61="Unconfirmed","",S13_PSP_Species_Support!L61)</x:f>
        <x:v>0.8367575502699868</x:v>
      </x:c>
      <x:c r="N66" s="120" t="n">
        <x:f aca="0">IF(S13_PSP_Species_Support!$E61="Unconfirmed","",S13_PSP_Species_Support!M61)</x:f>
        <x:v>161.9353913406287</x:v>
      </x:c>
      <x:c r="O66" s="120" t="n">
        <x:f aca="0">IF(S13_PSP_Species_Support!$E61="Unconfirmed","",S13_PSP_Species_Support!N61)</x:f>
        <x:v>0.7500000000000001</x:v>
      </x:c>
      <x:c r="P66" s="120" t="n">
        <x:f aca="0">IF(S13_PSP_Species_Support!$E61="Unconfirmed","",S13_PSP_Species_Support!O61)</x:f>
        <x:v>346.0451356021678</x:v>
      </x:c>
      <x:c r="Q66" s="120" t="n">
        <x:f aca="0">IF(S13_PSP_Species_Support!$E61="Unconfirmed","",S13_PSP_Species_Support!P61)</x:f>
        <x:v>2052.665482410992</x:v>
      </x:c>
      <x:c r="R66"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6" s="120" t="n">
        <x:f aca="0">IF(S13_PSP_Species_Support!$E61="Unconfirmed","",SUMIF(S15_Source_Strata!$B$4:$B$49,S13_PSP_Species_Support!$I61,S15_Source_Strata!$F$4:$F$49))</x:f>
        <x:v>318</x:v>
      </x:c>
      <x:c r="T66" s="980" t="n">
        <x:f>'S13_PSP_Species_Support'!DJ61</x:f>
        <x:v>0.09</x:v>
      </x:c>
      <x:c r="U66" s="979" t="n">
        <x:f>'S13_PSP_Species_Support'!DK61</x:f>
        <x:v>130.11152416356876</x:v>
      </x:c>
    </x:row>
    <x:row r="67" ht="63.75" hidden="0" customHeight="1">
      <x:c r="A67" s="119" t="str">
        <x:f aca="0">S13_PSP_Species_Support!A62</x:f>
        <x:v>PSP-TP-021</x:v>
      </x:c>
      <x:c r="B67" s="120" t="str">
        <x:f aca="0">S13_PSP_Species_Support!B62</x:f>
        <x:v>Tropical &amp; Subtropical Dry Broadleaf Forests</x:v>
      </x:c>
      <x:c r="C67" s="120" t="str">
        <x:f aca="0">S13_PSP_Species_Support!C62</x:f>
        <x:v>Timber Plantation</x:v>
      </x:c>
      <x:c r="D67" s="120" t="str">
        <x:f aca="0">S13_PSP_Species_Support!D62</x:f>
        <x:v>Medium</x:v>
      </x:c>
      <x:c r="E67" s="120" t="n">
        <x:f aca="0">S13_PSP_Species_Support!E62</x:f>
        <x:v>2020</x:v>
      </x:c>
      <x:c r="F67" s="120" t="n">
        <x:f aca="0">S13_PSP_Species_Support!F62</x:f>
        <x:v>0.2837</x:v>
      </x:c>
      <x:c r="G67" s="120" t="n">
        <x:f aca="0">S13_PSP_Species_Support!G62</x:f>
        <x:v>1409.94</x:v>
      </x:c>
      <x:c r="H67" s="120" t="str">
        <x:f aca="0">S13_PSP_Species_Support!H62</x:f>
        <x:v>SILVER OAK: 400</x:v>
      </x:c>
      <x:c r="I67" s="120" t="str">
        <x:f aca="0">S15_Source_Strata!A6</x:f>
        <x:v>S03</x:v>
      </x:c>
      <x:c r="J67" s="120" t="str">
        <x:f aca="0">IF(S13_PSP_Species_Support!$E62="Unconfirmed","",S13_PSP_Species_Support!Q62)</x:f>
        <x:v>10/13</x:v>
      </x:c>
      <x:c r="K67" s="120" t="n">
        <x:f aca="0">IF(S13_PSP_Species_Support!$E62="Unconfirmed","",S13_PSP_Species_Support!J62)</x:f>
        <x:v>215.91385512083826</x:v>
      </x:c>
      <x:c r="L67" s="120" t="n">
        <x:f aca="0">IF(S13_PSP_Species_Support!$E62="Unconfirmed","",S13_PSP_Species_Support!K62)</x:f>
        <x:v>180.66754848026147</x:v>
      </x:c>
      <x:c r="M67" s="120" t="n">
        <x:f aca="0">IF(S13_PSP_Species_Support!$E62="Unconfirmed","",S13_PSP_Species_Support!L62)</x:f>
        <x:v>0.8367575502699868</x:v>
      </x:c>
      <x:c r="N67" s="120" t="n">
        <x:f aca="0">IF(S13_PSP_Species_Support!$E62="Unconfirmed","",S13_PSP_Species_Support!M62)</x:f>
        <x:v>161.9353913406287</x:v>
      </x:c>
      <x:c r="O67" s="120" t="n">
        <x:f aca="0">IF(S13_PSP_Species_Support!$E62="Unconfirmed","",S13_PSP_Species_Support!N62)</x:f>
        <x:v>0.7500000000000001</x:v>
      </x:c>
      <x:c r="P67" s="120" t="n">
        <x:f aca="0">IF(S13_PSP_Species_Support!$E62="Unconfirmed","",S13_PSP_Species_Support!O62)</x:f>
        <x:v>346.0451356021678</x:v>
      </x:c>
      <x:c r="Q67" s="120" t="n">
        <x:f aca="0">IF(S13_PSP_Species_Support!$E62="Unconfirmed","",S13_PSP_Species_Support!P62)</x:f>
        <x:v>2052.665482410992</x:v>
      </x:c>
      <x:c r="R67"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7" s="120" t="n">
        <x:f aca="0">IF(S13_PSP_Species_Support!$E62="Unconfirmed","",SUMIF(S15_Source_Strata!$B$4:$B$49,S13_PSP_Species_Support!$I62,S15_Source_Strata!$F$4:$F$49))</x:f>
        <x:v>318</x:v>
      </x:c>
      <x:c r="T67" s="980" t="n">
        <x:f>'S13_PSP_Species_Support'!DJ62</x:f>
        <x:v>0.09</x:v>
      </x:c>
      <x:c r="U67" s="979" t="n">
        <x:f>'S13_PSP_Species_Support'!DK62</x:f>
        <x:v>126.89460697920337</x:v>
      </x:c>
    </x:row>
    <x:row r="68" ht="63.75" hidden="0" customHeight="1">
      <x:c r="A68" s="119" t="str">
        <x:f aca="0">S13_PSP_Species_Support!A63</x:f>
        <x:v>PSP-TP-022</x:v>
      </x:c>
      <x:c r="B68" s="120" t="str">
        <x:f aca="0">S13_PSP_Species_Support!B63</x:f>
        <x:v>Tropical &amp; Subtropical Moist Broadleaf Forests</x:v>
      </x:c>
      <x:c r="C68" s="120" t="str">
        <x:f aca="0">S13_PSP_Species_Support!C63</x:f>
        <x:v>Timber Plantation</x:v>
      </x:c>
      <x:c r="D68" s="120" t="str">
        <x:f aca="0">S13_PSP_Species_Support!D63</x:f>
        <x:v>Low</x:v>
      </x:c>
      <x:c r="E68" s="120" t="n">
        <x:f aca="0">S13_PSP_Species_Support!E63</x:f>
        <x:v>2021</x:v>
      </x:c>
      <x:c r="F68" s="120" t="n">
        <x:f aca="0">S13_PSP_Species_Support!F63</x:f>
        <x:v>0.5126</x:v>
      </x:c>
      <x:c r="G68" s="120" t="n">
        <x:f aca="0">S13_PSP_Species_Support!G63</x:f>
        <x:v>234.1</x:v>
      </x:c>
      <x:c r="H68" s="120" t="str">
        <x:f aca="0">S13_PSP_Species_Support!H63</x:f>
        <x:v>TEAK: 100; NEEM: 20</x:v>
      </x:c>
      <x:c r="I68" s="120" t="str">
        <x:f aca="0">S15_Source_Strata!A22</x:f>
        <x:v>S19</x:v>
      </x:c>
      <x:c r="J68" s="120" t="str">
        <x:f aca="0">IF(S13_PSP_Species_Support!$E63="Unconfirmed","",S13_PSP_Species_Support!Q63)</x:f>
        <x:v>1/6</x:v>
      </x:c>
      <x:c r="K68" s="120" t="n">
        <x:f aca="0">IF(S13_PSP_Species_Support!$E63="Unconfirmed","",S13_PSP_Species_Support!J63)</x:f>
        <x:v>25.064389472533758</x:v>
      </x:c>
      <x:c r="L68" s="120" t="n">
        <x:f aca="0">IF(S13_PSP_Species_Support!$E63="Unconfirmed","",S13_PSP_Species_Support!K63)</x:f>
        <x:v>23.585996062171414</x:v>
      </x:c>
      <x:c r="M68" s="120" t="n">
        <x:f aca="0">IF(S13_PSP_Species_Support!$E63="Unconfirmed","",S13_PSP_Species_Support!L63)</x:f>
        <x:v>0.9410161810650761</x:v>
      </x:c>
      <x:c r="N68" s="120" t="n">
        <x:f aca="0">IF(S13_PSP_Species_Support!$E63="Unconfirmed","",S13_PSP_Species_Support!M63)</x:f>
        <x:v>18.798292104400318</x:v>
      </x:c>
      <x:c r="O68" s="120" t="n">
        <x:f aca="0">IF(S13_PSP_Species_Support!$E63="Unconfirmed","",S13_PSP_Species_Support!N63)</x:f>
        <x:v>0.75</x:v>
      </x:c>
      <x:c r="P68" s="120" t="n">
        <x:f aca="0">IF(S13_PSP_Species_Support!$E63="Unconfirmed","",S13_PSP_Species_Support!O63)</x:f>
        <x:v>40.17069700762988</x:v>
      </x:c>
      <x:c r="Q68" s="120" t="n">
        <x:f aca="0">IF(S13_PSP_Species_Support!$E63="Unconfirmed","",S13_PSP_Species_Support!P63)</x:f>
        <x:v>456.21173326317256</x:v>
      </x:c>
      <x:c r="R68"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8" s="120" t="n">
        <x:f aca="0">IF(S13_PSP_Species_Support!$E63="Unconfirmed","",SUMIF(S15_Source_Strata!$B$4:$B$49,S13_PSP_Species_Support!$I63,S15_Source_Strata!$F$4:$F$49))</x:f>
        <x:v>35</x:v>
      </x:c>
      <x:c r="T68" s="980" t="n">
        <x:f>'S13_PSP_Species_Support'!DJ63</x:f>
        <x:v>0.09</x:v>
      </x:c>
      <x:c r="U68" s="979" t="n">
        <x:f>'S13_PSP_Species_Support'!DK63</x:f>
        <x:v>21.06905969566914</x:v>
      </x:c>
    </x:row>
    <x:row r="69" ht="63.75" hidden="0" customHeight="1">
      <x:c r="A69" s="119" t="str">
        <x:f aca="0">S13_PSP_Species_Support!A64</x:f>
        <x:v>PSP-TP-023</x:v>
      </x:c>
      <x:c r="B69" s="120" t="str">
        <x:f aca="0">S13_PSP_Species_Support!B64</x:f>
        <x:v>Tropical &amp; Subtropical Dry Broadleaf Forests</x:v>
      </x:c>
      <x:c r="C69" s="120" t="str">
        <x:f aca="0">S13_PSP_Species_Support!C64</x:f>
        <x:v>Timber Plantation</x:v>
      </x:c>
      <x:c r="D69" s="120" t="str">
        <x:f aca="0">S13_PSP_Species_Support!D64</x:f>
        <x:v>Medium</x:v>
      </x:c>
      <x:c r="E69" s="120" t="n">
        <x:f aca="0">S13_PSP_Species_Support!E64</x:f>
        <x:v>2021</x:v>
      </x:c>
      <x:c r="F69" s="120" t="n">
        <x:f aca="0">S13_PSP_Species_Support!F64</x:f>
        <x:v>0.4698</x:v>
      </x:c>
      <x:c r="G69" s="120" t="n">
        <x:f aca="0">S13_PSP_Species_Support!G64</x:f>
        <x:v>1596.42</x:v>
      </x:c>
      <x:c r="H69" s="120" t="str">
        <x:f aca="0">S13_PSP_Species_Support!H64</x:f>
        <x:v>SILVER OAK: 700; FOREST PLANTS: 50</x:v>
      </x:c>
      <x:c r="I69" s="120" t="str">
        <x:f aca="0">S15_Source_Strata!A19</x:f>
        <x:v>S16</x:v>
      </x:c>
      <x:c r="J69" s="120" t="str">
        <x:f aca="0">IF(S13_PSP_Species_Support!$E64="Unconfirmed","",S13_PSP_Species_Support!Q64)</x:f>
        <x:v>1/13</x:v>
      </x:c>
      <x:c r="K69" s="120" t="n">
        <x:f aca="0">IF(S13_PSP_Species_Support!$E64="Unconfirmed","",S13_PSP_Species_Support!J64)</x:f>
        <x:v>181.69138743198195</x:v>
      </x:c>
      <x:c r="L69" s="120" t="n">
        <x:f aca="0">IF(S13_PSP_Species_Support!$E64="Unconfirmed","",S13_PSP_Species_Support!K64)</x:f>
        <x:v>135.92638306000833</x:v>
      </x:c>
      <x:c r="M69" s="120" t="n">
        <x:f aca="0">IF(S13_PSP_Species_Support!$E64="Unconfirmed","",S13_PSP_Species_Support!L64)</x:f>
        <x:v>0.7481168204018134</x:v>
      </x:c>
      <x:c r="N69" s="120" t="n">
        <x:f aca="0">IF(S13_PSP_Species_Support!$E64="Unconfirmed","",S13_PSP_Species_Support!M64)</x:f>
        <x:v>136.26854057398646</x:v>
      </x:c>
      <x:c r="O69" s="120" t="n">
        <x:f aca="0">IF(S13_PSP_Species_Support!$E64="Unconfirmed","",S13_PSP_Species_Support!N64)</x:f>
        <x:v>0.75</x:v>
      </x:c>
      <x:c r="P69" s="120" t="n">
        <x:f aca="0">IF(S13_PSP_Species_Support!$E64="Unconfirmed","",S13_PSP_Species_Support!O64)</x:f>
        <x:v>291.19678663723766</x:v>
      </x:c>
      <x:c r="Q69" s="120" t="n">
        <x:f aca="0">IF(S13_PSP_Species_Support!$E64="Unconfirmed","",S13_PSP_Species_Support!P64)</x:f>
        <x:v>2322.3214964356107</x:v>
      </x:c>
      <x:c r="R69"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69" s="120" t="n">
        <x:f aca="0">IF(S13_PSP_Species_Support!$E64="Unconfirmed","",SUMIF(S15_Source_Strata!$B$4:$B$49,S13_PSP_Species_Support!$I64,S15_Source_Strata!$F$4:$F$49))</x:f>
        <x:v>17</x:v>
      </x:c>
      <x:c r="T69" s="980" t="n">
        <x:f>'S13_PSP_Species_Support'!DJ64</x:f>
        <x:v>0.09</x:v>
      </x:c>
      <x:c r="U69" s="979" t="n">
        <x:f>'S13_PSP_Species_Support'!DK64</x:f>
        <x:v>143.67816091954023</x:v>
      </x:c>
    </x:row>
    <x:row r="70" ht="63.75" hidden="0" customHeight="1">
      <x:c r="A70" s="119" t="str">
        <x:f aca="0">S13_PSP_Species_Support!A65</x:f>
        <x:v>PSP-TP-024</x:v>
      </x:c>
      <x:c r="B70" s="120" t="str">
        <x:f aca="0">S13_PSP_Species_Support!B65</x:f>
        <x:v>Tropical &amp; Subtropical Moist Broadleaf Forests</x:v>
      </x:c>
      <x:c r="C70" s="120" t="str">
        <x:f aca="0">S13_PSP_Species_Support!C65</x:f>
        <x:v>Timber Plantation</x:v>
      </x:c>
      <x:c r="D70" s="120" t="str">
        <x:f aca="0">S13_PSP_Species_Support!D65</x:f>
        <x:v>Low</x:v>
      </x:c>
      <x:c r="E70" s="120" t="n">
        <x:f aca="0">S13_PSP_Species_Support!E65</x:f>
        <x:v>2022</x:v>
      </x:c>
      <x:c r="F70" s="120" t="n">
        <x:f aca="0">S13_PSP_Species_Support!F65</x:f>
        <x:v>0.4222</x:v>
      </x:c>
      <x:c r="G70" s="120" t="n">
        <x:f aca="0">S13_PSP_Species_Support!G65</x:f>
        <x:v>454.76</x:v>
      </x:c>
      <x:c r="H70" s="120" t="str">
        <x:f aca="0">S13_PSP_Species_Support!H65</x:f>
        <x:v>SANDALWOOD: 26; RED SANDALWOOD: 116; TEAK: 50</x:v>
      </x:c>
      <x:c r="I70" s="120" t="str">
        <x:f aca="0">S15_Source_Strata!A31</x:f>
        <x:v>S28</x:v>
      </x:c>
      <x:c r="J70" s="120" t="str">
        <x:f aca="0">IF(S13_PSP_Species_Support!$E65="Unconfirmed","",S13_PSP_Species_Support!Q65)</x:f>
        <x:v>1/6</x:v>
      </x:c>
      <x:c r="K70" s="120" t="n">
        <x:f aca="0">IF(S13_PSP_Species_Support!$E65="Unconfirmed","",S13_PSP_Species_Support!J65)</x:f>
        <x:v>13.500132622284411</x:v>
      </x:c>
      <x:c r="L70" s="120" t="n">
        <x:f aca="0">IF(S13_PSP_Species_Support!$E65="Unconfirmed","",S13_PSP_Species_Support!K65)</x:f>
        <x:v>13.517879909009919</x:v>
      </x:c>
      <x:c r="M70" s="120" t="n">
        <x:f aca="0">IF(S13_PSP_Species_Support!$E65="Unconfirmed","",S13_PSP_Species_Support!L65)</x:f>
        <x:v>1.0013146009170466</x:v>
      </x:c>
      <x:c r="N70" s="120" t="n">
        <x:f aca="0">IF(S13_PSP_Species_Support!$E65="Unconfirmed","",S13_PSP_Species_Support!M65)</x:f>
        <x:v>10.125099466713309</x:v>
      </x:c>
      <x:c r="O70" s="120" t="n">
        <x:f aca="0">IF(S13_PSP_Species_Support!$E65="Unconfirmed","",S13_PSP_Species_Support!N65)</x:f>
        <x:v>0.75</x:v>
      </x:c>
      <x:c r="P70" s="120" t="n">
        <x:f aca="0">IF(S13_PSP_Species_Support!$E65="Unconfirmed","",S13_PSP_Species_Support!O65)</x:f>
        <x:v>21.636662553735242</x:v>
      </x:c>
      <x:c r="Q70" s="120" t="n">
        <x:f aca="0">IF(S13_PSP_Species_Support!$E65="Unconfirmed","",S13_PSP_Species_Support!P65)</x:f>
        <x:v>434.6215869347765</x:v>
      </x:c>
      <x:c r="R70"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70" s="120" t="n">
        <x:f aca="0">IF(S13_PSP_Species_Support!$E65="Unconfirmed","",SUMIF(S15_Source_Strata!$B$4:$B$49,S13_PSP_Species_Support!$I65,S15_Source_Strata!$F$4:$F$49))</x:f>
        <x:v>15</x:v>
      </x:c>
      <x:c r="T70" s="980" t="n">
        <x:f>'S13_PSP_Species_Support'!DJ65</x:f>
        <x:v>0.09</x:v>
      </x:c>
      <x:c r="U70" s="979" t="n">
        <x:f>'S13_PSP_Species_Support'!DK65</x:f>
        <x:v>40.92846991946944</x:v>
      </x:c>
    </x:row>
    <x:row r="71" ht="63.75" hidden="0" customHeight="1">
      <x:c r="A71" s="119" t="str">
        <x:f aca="0">S13_PSP_Species_Support!A66</x:f>
        <x:v>PSP-TP-025</x:v>
      </x:c>
      <x:c r="B71" s="120" t="str">
        <x:f aca="0">S13_PSP_Species_Support!B66</x:f>
        <x:v>Tropical &amp; Subtropical Dry Broadleaf Forests</x:v>
      </x:c>
      <x:c r="C71" s="120" t="str">
        <x:f aca="0">S13_PSP_Species_Support!C66</x:f>
        <x:v>Timber Plantation</x:v>
      </x:c>
      <x:c r="D71" s="120" t="str">
        <x:f aca="0">S13_PSP_Species_Support!D66</x:f>
        <x:v>Medium</x:v>
      </x:c>
      <x:c r="E71" s="120" t="n">
        <x:f aca="0">S13_PSP_Species_Support!E66</x:f>
        <x:v>2022</x:v>
      </x:c>
      <x:c r="F71" s="120" t="n">
        <x:f aca="0">S13_PSP_Species_Support!F66</x:f>
        <x:v>0.746</x:v>
      </x:c>
      <x:c r="G71" s="120" t="n">
        <x:f aca="0">S13_PSP_Species_Support!G66</x:f>
        <x:v>1072.39</x:v>
      </x:c>
      <x:c r="H71" s="120" t="str">
        <x:f aca="0">S13_PSP_Species_Support!H66</x:f>
        <x:v>SILVER OAK: 800</x:v>
      </x:c>
      <x:c r="I71" s="120" t="str">
        <x:f aca="0">S15_Source_Strata!A32</x:f>
        <x:v>S29</x:v>
      </x:c>
      <x:c r="J71" s="120" t="str">
        <x:f aca="0">IF(S13_PSP_Species_Support!$E66="Unconfirmed","",S13_PSP_Species_Support!Q66)</x:f>
        <x:v>1/13</x:v>
      </x:c>
      <x:c r="K71" s="120" t="n">
        <x:f aca="0">IF(S13_PSP_Species_Support!$E66="Unconfirmed","",S13_PSP_Species_Support!J66)</x:f>
        <x:v>102.95458906206116</x:v>
      </x:c>
      <x:c r="L71" s="120" t="n">
        <x:f aca="0">IF(S13_PSP_Species_Support!$E66="Unconfirmed","",S13_PSP_Species_Support!K66)</x:f>
        <x:v>79.55578599294107</x:v>
      </x:c>
      <x:c r="M71" s="120" t="n">
        <x:f aca="0">IF(S13_PSP_Species_Support!$E66="Unconfirmed","",S13_PSP_Species_Support!L66)</x:f>
        <x:v>0.7727269538707472</x:v>
      </x:c>
      <x:c r="N71" s="120" t="n">
        <x:f aca="0">IF(S13_PSP_Species_Support!$E66="Unconfirmed","",S13_PSP_Species_Support!M66)</x:f>
        <x:v>77.21594179654588</x:v>
      </x:c>
      <x:c r="O71" s="120" t="n">
        <x:f aca="0">IF(S13_PSP_Species_Support!$E66="Unconfirmed","",S13_PSP_Species_Support!N66)</x:f>
        <x:v>0.7500000000000001</x:v>
      </x:c>
      <x:c r="P71" s="120" t="n">
        <x:f aca="0">IF(S13_PSP_Species_Support!$E66="Unconfirmed","",S13_PSP_Species_Support!O66)</x:f>
        <x:v>165.0053198897656</x:v>
      </x:c>
      <x:c r="Q71" s="120" t="n">
        <x:f aca="0">IF(S13_PSP_Species_Support!$E66="Unconfirmed","",S13_PSP_Species_Support!P66)</x:f>
        <x:v>2240.22174056176</x:v>
      </x:c>
      <x:c r="R71"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71" s="120" t="n">
        <x:f aca="0">IF(S13_PSP_Species_Support!$E66="Unconfirmed","",SUMIF(S15_Source_Strata!$B$4:$B$49,S13_PSP_Species_Support!$I66,S15_Source_Strata!$F$4:$F$49))</x:f>
        <x:v>20</x:v>
      </x:c>
      <x:c r="T71" s="980" t="n">
        <x:f>'S13_PSP_Species_Support'!DJ66</x:f>
        <x:v>0.09</x:v>
      </x:c>
      <x:c r="U71" s="979" t="n">
        <x:f>'S13_PSP_Species_Support'!DK66</x:f>
        <x:v>96.51474530831099</x:v>
      </x:c>
    </x:row>
    <x:row r="72" ht="63.75" hidden="0" customHeight="1">
      <x:c r="A72" s="119" t="str">
        <x:f aca="0">S13_PSP_Species_Support!A67</x:f>
        <x:v>PSP-TP-026</x:v>
      </x:c>
      <x:c r="B72" s="120" t="str">
        <x:f aca="0">S13_PSP_Species_Support!B67</x:f>
        <x:v>Tropical &amp; Subtropical Moist Broadleaf Forests</x:v>
      </x:c>
      <x:c r="C72" s="120" t="str">
        <x:f aca="0">S13_PSP_Species_Support!C67</x:f>
        <x:v>Timber Plantation</x:v>
      </x:c>
      <x:c r="D72" s="120" t="str">
        <x:f aca="0">S13_PSP_Species_Support!D67</x:f>
        <x:v>Low</x:v>
      </x:c>
      <x:c r="E72" s="120" t="n">
        <x:f aca="0">S13_PSP_Species_Support!E67</x:f>
        <x:v>2023</x:v>
      </x:c>
      <x:c r="F72" s="120" t="n">
        <x:f aca="0">S13_PSP_Species_Support!F67</x:f>
        <x:v>2.7937</x:v>
      </x:c>
      <x:c r="G72" s="120" t="n">
        <x:f aca="0">S13_PSP_Species_Support!G67</x:f>
        <x:v>393.74</x:v>
      </x:c>
      <x:c r="H72" s="120" t="str">
        <x:f aca="0">S13_PSP_Species_Support!H67</x:f>
        <x:v>TEAK: 1100</x:v>
      </x:c>
      <x:c r="I72" s="120" t="str">
        <x:f aca="0">S15_Source_Strata!A43</x:f>
        <x:v>S40</x:v>
      </x:c>
      <x:c r="J72" s="120" t="str">
        <x:f aca="0">IF(S13_PSP_Species_Support!$E67="Unconfirmed","",S13_PSP_Species_Support!Q67)</x:f>
        <x:v>1/6</x:v>
      </x:c>
      <x:c r="K72" s="120" t="n">
        <x:f aca="0">IF(S13_PSP_Species_Support!$E67="Unconfirmed","",S13_PSP_Species_Support!J67)</x:f>
        <x:v>5.719006558079545</x:v>
      </x:c>
      <x:c r="L72" s="120" t="n">
        <x:f aca="0">IF(S13_PSP_Species_Support!$E67="Unconfirmed","",S13_PSP_Species_Support!K67)</x:f>
        <x:v>6.159454744970722</x:v>
      </x:c>
      <x:c r="M72" s="120" t="n">
        <x:f aca="0">IF(S13_PSP_Species_Support!$E67="Unconfirmed","",S13_PSP_Species_Support!L67)</x:f>
        <x:v>1.0770148071029806</x:v>
      </x:c>
      <x:c r="N72" s="120" t="n">
        <x:f aca="0">IF(S13_PSP_Species_Support!$E67="Unconfirmed","",S13_PSP_Species_Support!M67)</x:f>
        <x:v>4.289254918559658</x:v>
      </x:c>
      <x:c r="O72" s="120" t="n">
        <x:f aca="0">IF(S13_PSP_Species_Support!$E67="Unconfirmed","",S13_PSP_Species_Support!N67)</x:f>
        <x:v>0.75</x:v>
      </x:c>
      <x:c r="P72" s="120" t="n">
        <x:f aca="0">IF(S13_PSP_Species_Support!$E67="Unconfirmed","",S13_PSP_Species_Support!O67)</x:f>
        <x:v>9.165851810634095</x:v>
      </x:c>
      <x:c r="Q72" s="120" t="n">
        <x:f aca="0">IF(S13_PSP_Species_Support!$E67="Unconfirmed","",S13_PSP_Species_Support!P67)</x:f>
        <x:v>411.0039323904602</x:v>
      </x:c>
      <x:c r="R72"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72" s="120" t="n">
        <x:f aca="0">IF(S13_PSP_Species_Support!$E67="Unconfirmed","",SUMIF(S15_Source_Strata!$B$4:$B$49,S13_PSP_Species_Support!$I67,S15_Source_Strata!$F$4:$F$49))</x:f>
        <x:v>3</x:v>
      </x:c>
      <x:c r="T72" s="980" t="n">
        <x:f>'S13_PSP_Species_Support'!DJ67</x:f>
        <x:v>0.09</x:v>
      </x:c>
      <x:c r="U72" s="979" t="n">
        <x:f>'S13_PSP_Species_Support'!DK67</x:f>
        <x:v>35.43687582775531</x:v>
      </x:c>
    </x:row>
    <x:row r="73" ht="63.75" hidden="0" customHeight="1">
      <x:c r="A73" s="119" t="str">
        <x:f aca="0">S13_PSP_Species_Support!A68</x:f>
        <x:v>PSP-TP-027</x:v>
      </x:c>
      <x:c r="B73" s="120" t="str">
        <x:f aca="0">S13_PSP_Species_Support!B68</x:f>
        <x:v>Tropical &amp; Subtropical Dry Broadleaf Forests</x:v>
      </x:c>
      <x:c r="C73" s="120" t="str">
        <x:f aca="0">S13_PSP_Species_Support!C68</x:f>
        <x:v>Timber Plantation</x:v>
      </x:c>
      <x:c r="D73" s="120" t="str">
        <x:f aca="0">S13_PSP_Species_Support!D68</x:f>
        <x:v>Medium</x:v>
      </x:c>
      <x:c r="E73" s="120" t="n">
        <x:f aca="0">S13_PSP_Species_Support!E68</x:f>
        <x:v>2024</x:v>
      </x:c>
      <x:c r="F73" s="120" t="n">
        <x:f aca="0">S13_PSP_Species_Support!F68</x:f>
        <x:v>0.6416</x:v>
      </x:c>
      <x:c r="G73" s="120" t="n">
        <x:f aca="0">S13_PSP_Species_Support!G68</x:f>
        <x:v>935.16</x:v>
      </x:c>
      <x:c r="H73" s="120" t="str">
        <x:f aca="0">S13_PSP_Species_Support!H68</x:f>
        <x:v>SILVER OAK: 600</x:v>
      </x:c>
      <x:c r="I73" s="120" t="str">
        <x:f aca="0">S15_Source_Strata!A48</x:f>
        <x:v>S45</x:v>
      </x:c>
      <x:c r="J73" s="120" t="str">
        <x:f aca="0">IF(S13_PSP_Species_Support!$E68="Unconfirmed","",S13_PSP_Species_Support!Q68)</x:f>
        <x:v>1/13</x:v>
      </x:c>
      <x:c r="K73" s="120" t="n">
        <x:f aca="0">IF(S13_PSP_Species_Support!$E68="Unconfirmed","",S13_PSP_Species_Support!J68)</x:f>
        <x:v>13.65463180224615</x:v>
      </x:c>
      <x:c r="L73" s="120" t="n">
        <x:f aca="0">IF(S13_PSP_Species_Support!$E68="Unconfirmed","",S13_PSP_Species_Support!K68)</x:f>
        <x:v>11.395156852308371</x:v>
      </x:c>
      <x:c r="M73" s="120" t="n">
        <x:f aca="0">IF(S13_PSP_Species_Support!$E68="Unconfirmed","",S13_PSP_Species_Support!L68)</x:f>
        <x:v>0.8345268490091324</x:v>
      </x:c>
      <x:c r="N73" s="120" t="n">
        <x:f aca="0">IF(S13_PSP_Species_Support!$E68="Unconfirmed","",S13_PSP_Species_Support!M68)</x:f>
        <x:v>10.240973851684613</x:v>
      </x:c>
      <x:c r="O73" s="120" t="n">
        <x:f aca="0">IF(S13_PSP_Species_Support!$E68="Unconfirmed","",S13_PSP_Species_Support!N68)</x:f>
        <x:v>0.75</x:v>
      </x:c>
      <x:c r="P73" s="120" t="n">
        <x:f aca="0">IF(S13_PSP_Species_Support!$E68="Unconfirmed","",S13_PSP_Species_Support!O68)</x:f>
        <x:v>21.884278389459922</x:v>
      </x:c>
      <x:c r="Q73" s="120" t="n">
        <x:f aca="0">IF(S13_PSP_Species_Support!$E68="Unconfirmed","",S13_PSP_Species_Support!P68)</x:f>
        <x:v>2044.3965731837293</x:v>
      </x:c>
      <x:c r="R73" s="43" t="str">
        <x:v>Ex-ante derivation: recorded species composition + tree counts → species wood density + Chapman-Richards D(age), H(age) → Chave AGB/tree → PSP AGB/ha in S14_Growth_Model_ExAnte → calendar-aligned stratum curve in S15_Source_Strata → conservative 2026 calibration → CF × (1+R) × 44/12 → S17_Biome_Strata area-weighted stock → Biome/Model ERR.</x:v>
      </x:c>
      <x:c r="S73" s="120" t="n">
        <x:f aca="0">IF(S13_PSP_Species_Support!$E68="Unconfirmed","",SUMIF(S15_Source_Strata!$B$4:$B$49,S13_PSP_Species_Support!$I68,S15_Source_Strata!$F$4:$F$49))</x:f>
        <x:v>2</x:v>
      </x:c>
      <x:c r="T73" s="980" t="n">
        <x:f>'S13_PSP_Species_Support'!DJ68</x:f>
        <x:v>0.09</x:v>
      </x:c>
      <x:c r="U73" s="979" t="n">
        <x:f>'S13_PSP_Species_Support'!DK68</x:f>
        <x:v>84.16458852867831</x:v>
      </x:c>
    </x:row>
  </x:sheetData>
  <x:mergeCells>
    <x:mergeCell ref="A1:R1"/>
    <x:mergeCell ref="A2:R2"/>
    <x:mergeCell ref="A3:R3"/>
  </x:mergeCells>
  <x:pageMargins left="0.7" right="0.7" top="0.75" bottom="0.75" header="0.3" footer="0.3"/>
</x:worksheet>
</file>

<file path=xl/worksheets/sheet12.xml><?xml version="1.0" encoding="utf-8"?>
<x:worksheet xmlns:x="http://schemas.openxmlformats.org/spreadsheetml/2006/main">
  <x:sheetPr>
    <x:tabColor rgb="FF2E75B6"/>
  </x:sheetPr>
  <x:sheetViews>
    <x:sheetView showGridLines="1" workbookViewId="0"/>
  </x:sheetViews>
  <x:sheetFormatPr defaultColWidth="8.6796875" defaultRowHeight="15"/>
  <x:cols>
    <x:col min="1" max="1" width="42" style="1" hidden="0" customWidth="1"/>
    <x:col min="2" max="2" width="20" style="1" hidden="0" customWidth="1"/>
    <x:col min="3" max="3" width="22" style="1" hidden="0" customWidth="1"/>
    <x:col min="4" max="4" width="16" style="1" hidden="0" customWidth="1"/>
    <x:col min="5" max="5" width="14" style="1" hidden="0" customWidth="1"/>
    <x:col min="6" max="8" width="12" style="1" hidden="0" customWidth="1"/>
    <x:col min="9" max="9" width="14" style="1" hidden="0" customWidth="1"/>
    <x:col min="10" max="10" width="20" style="1" hidden="0" customWidth="1"/>
    <x:col min="7" max="7" width="24" hidden="0" customWidth="1"/>
    <x:col min="8" max="8" width="14" hidden="0" customWidth="1"/>
  </x:cols>
  <x:sheetData>
    <x:row r="1" ht="24" hidden="0" customHeight="1">
      <x:c r="A1" s="38" t="s">
        <x:v>714</x:v>
      </x:c>
      <x:c r="B1" s="38"/>
      <x:c r="C1" s="38"/>
      <x:c r="D1" s="38"/>
      <x:c r="E1" s="38"/>
      <x:c r="F1" s="38"/>
      <x:c r="G1" s="38"/>
      <x:c r="H1" s="38"/>
      <x:c r="I1" s="38"/>
      <x:c r="J1" s="38"/>
    </x:row>
    <x:row r="2" ht="15" hidden="0" customHeight="1">
      <x:c r="A2" s="39" t="s">
        <x:v>715</x:v>
      </x:c>
      <x:c r="B2" s="39"/>
      <x:c r="C2" s="39"/>
      <x:c r="D2" s="39"/>
      <x:c r="E2" s="39"/>
      <x:c r="F2" s="39"/>
      <x:c r="G2" s="39"/>
      <x:c r="H2" s="39"/>
      <x:c r="I2" s="39"/>
      <x:c r="J2" s="39"/>
    </x:row>
    <x:row r="3" ht="15" hidden="0" customHeight="1">
      <x:c r="A3" s="40"/>
      <x:c r="B3" s="40"/>
      <x:c r="C3" s="40"/>
      <x:c r="D3" s="40"/>
      <x:c r="E3" s="40"/>
      <x:c r="F3" s="40"/>
      <x:c r="G3" s="40"/>
      <x:c r="H3" s="40"/>
      <x:c r="I3" s="40"/>
      <x:c r="J3" s="40"/>
    </x:row>
    <x:row r="4" ht="15" hidden="0" customHeight="1">
      <x:c r="A4" s="121" t="s">
        <x:v>716</x:v>
      </x:c>
      <x:c r="B4" s="122" t="s">
        <x:v>540</x:v>
      </x:c>
      <x:c r="C4" s="122"/>
    </x:row>
    <x:row r="5" ht="15" hidden="0" customHeight="1">
      <x:c r="A5" s="123" t="s">
        <x:v>717</x:v>
      </x:c>
      <x:c r="B5" s="124" t="n">
        <x:f aca="0">MATCH(B4,S13_PSP_Species_Support!$A:$A,0)</x:f>
        <x:v>2</x:v>
      </x:c>
    </x:row>
    <x:row r="7" ht="15" hidden="0" customHeight="1">
      <x:c r="A7" s="125" t="str">
        <x:v>Biome</x:v>
      </x:c>
      <x:c r="B7" s="126" t="str">
        <x:f aca="0">INDEX(S13_PSP_Species_Support!B:B,$B$5)</x:f>
        <x:v>Tropical &amp; Subtropical Dry Broadleaf Forests</x:v>
      </x:c>
      <x:c r="C7" s="126"/>
      <x:c r="D7" s="126"/>
      <x:c r="E7" s="126"/>
      <x:c r="F7" s="126"/>
    </x:row>
    <x:row r="8" ht="15" hidden="0" customHeight="1">
      <x:c r="A8" s="125" t="s">
        <x:v>97</x:v>
      </x:c>
      <x:c r="B8" s="126" t="str">
        <x:f aca="0">INDEX(S13_PSP_Species_Support!C:C,$B$5)</x:f>
        <x:v>Fruit Orchard (Block)</x:v>
      </x:c>
      <x:c r="C8" s="126"/>
      <x:c r="D8" s="126"/>
      <x:c r="E8" s="126"/>
      <x:c r="F8" s="126"/>
    </x:row>
    <x:row r="9" ht="15" hidden="0" customHeight="1">
      <x:c r="A9" s="125" t="s">
        <x:v>718</x:v>
      </x:c>
      <x:c r="B9" s="126" t="str">
        <x:f aca="0">INDEX(S13_PSP_Species_Support!D:D,$B$5)</x:f>
        <x:v>High</x:v>
      </x:c>
      <x:c r="C9" s="126"/>
      <x:c r="D9" s="126"/>
      <x:c r="E9" s="126"/>
      <x:c r="F9" s="126"/>
    </x:row>
    <x:row r="10" ht="15" hidden="0" customHeight="1">
      <x:c r="A10" s="125" t="s">
        <x:v>719</x:v>
      </x:c>
      <x:c r="B10" s="126" t="n">
        <x:f aca="0">INDEX(S13_PSP_Species_Support!E:E,$B$5)</x:f>
        <x:v>2020</x:v>
      </x:c>
      <x:c r="C10" s="126"/>
      <x:c r="D10" s="982"/>
      <x:c r="E10" s="982"/>
      <x:c r="F10" s="126"/>
      <x:c r="G10" s="973" t="str">
        <x:v>30m x 30m PSP basis</x:v>
      </x:c>
      <x:c r="H10" s="973"/>
    </x:row>
    <x:row r="11" ht="15" hidden="0" customHeight="1">
      <x:c r="A11" s="125" t="str">
        <x:v>Source parcel area (ha)</x:v>
      </x:c>
      <x:c r="B11" s="126" t="n">
        <x:f aca="0">INDEX(S13_PSP_Species_Support!F:F,$B$5)</x:f>
        <x:v>2.5834</x:v>
      </x:c>
      <x:c r="C11" s="126"/>
      <x:c r="D11" s="983"/>
      <x:c r="E11" s="984"/>
      <x:c r="F11" s="126"/>
      <x:c r="G11" s="974" t="str">
        <x:v>PSP area (ha)</x:v>
      </x:c>
      <x:c r="H11" s="975" t="n">
        <x:f>INDEX('S13_PSP_Species_Support'!DJ:DJ,$B$5)</x:f>
        <x:v>0.09</x:v>
      </x:c>
    </x:row>
    <x:row r="12" ht="15" hidden="0" customHeight="1">
      <x:c r="A12" s="125" t="s">
        <x:v>720</x:v>
      </x:c>
      <x:c r="B12" s="126" t="n">
        <x:f aca="0">INDEX(S13_PSP_Species_Support!G:G,$B$5)</x:f>
        <x:v>615.86</x:v>
      </x:c>
      <x:c r="C12" s="126"/>
      <x:c r="D12" s="983"/>
      <x:c r="E12" s="985"/>
      <x:c r="F12" s="126"/>
      <x:c r="G12" s="974" t="str">
        <x:v>Expected trees from species counts</x:v>
      </x:c>
      <x:c r="H12" s="991" t="n">
        <x:f>INDEX('S13_PSP_Species_Support'!DK:DK,$B$5)</x:f>
        <x:v>55.42695672369745</x:v>
      </x:c>
    </x:row>
    <x:row r="13" ht="15" hidden="0" customHeight="1">
      <x:c r="A13" s="125" t="s">
        <x:v>721</x:v>
      </x:c>
      <x:c r="B13" s="126" t="str">
        <x:f aca="0">INDEX(S13_PSP_Species_Support!H:H,$B$5)</x:f>
        <x:v>CASHEW: 511; MANGO: 80; CUSTARD APPLE: 1000</x:v>
      </x:c>
      <x:c r="C13" s="126"/>
      <x:c r="D13" s="983"/>
      <x:c r="E13" s="983"/>
      <x:c r="F13" s="126"/>
      <x:c r="G13" s="974" t="str">
        <x:v>Count basis</x:v>
      </x:c>
      <x:c r="H13" s="991" t="str">
        <x:v>Source parcel species counts normalized to 0.09 ha</x:v>
      </x:c>
    </x:row>
    <x:row r="14" ht="15" hidden="0" customHeight="1">
      <x:c r="A14" s="125" t="s">
        <x:v>722</x:v>
      </x:c>
      <x:c r="B14" s="126" t="str">
        <x:f aca="0">INDEX(S13_PSP_Species_Support!I:I,$B$5)</x:f>
        <x:v>Fruit Orchard|High|2020</x:v>
      </x:c>
      <x:c r="C14" s="126"/>
      <x:c r="D14" s="992"/>
      <x:c r="E14" s="994"/>
      <x:c r="F14" s="126"/>
      <x:c r="G14" s="974" t="str">
        <x:v>Trees from density x 0.09</x:v>
      </x:c>
      <x:c r="H14" s="991" t="n">
        <x:f>INDEX('S13_PSP_Species_Support'!DL:DL,$B$5)</x:f>
        <x:v>55.4274</x:v>
      </x:c>
    </x:row>
    <x:row r="15">
      <x:c r="D15" s="993"/>
      <x:c r="E15" s="995"/>
      <x:c r="G15" s="974" t="str">
        <x:v>Species-count minus density</x:v>
      </x:c>
      <x:c r="H15" s="991" t="n">
        <x:f>INDEX('S13_PSP_Species_Support'!DM:DM,$B$5)</x:f>
        <x:v>-0.00044327630254770156</x:v>
      </x:c>
    </x:row>
    <x:row r="16" ht="15" hidden="0" customHeight="1">
      <x:c r="A16" s="103" t="s">
        <x:v>723</x:v>
      </x:c>
    </x:row>
    <x:row r="17" ht="15" hidden="0" customHeight="1">
      <x:c r="A17" s="127" t="s">
        <x:v>724</x:v>
      </x:c>
      <x:c r="B17" s="128" t="n">
        <x:f aca="0">IFERROR(INDEX(S13_PSP_Species_Support!J:J,$B$5),"n/a - excluded PSP")</x:f>
        <x:v>14.532301831369416</x:v>
      </x:c>
    </x:row>
    <x:row r="18" ht="15" hidden="0" customHeight="1">
      <x:c r="A18" s="127" t="s">
        <x:v>725</x:v>
      </x:c>
      <x:c r="B18" s="128" t="n">
        <x:f aca="0">IFERROR(INDEX(S13_PSP_Species_Support!K:K,$B$5),"n/a - excluded PSP")</x:f>
        <x:v>6.668232308770073</x:v>
      </x:c>
    </x:row>
    <x:row r="19" ht="15" hidden="0" customHeight="1">
      <x:c r="A19" s="127" t="s">
        <x:v>707</x:v>
      </x:c>
      <x:c r="B19" s="128" t="n">
        <x:f aca="0">IFERROR(INDEX(S13_PSP_Species_Support!L:L,$B$5),"n/a - excluded PSP")</x:f>
        <x:v>0.45885589125158627</x:v>
      </x:c>
    </x:row>
    <x:row r="20" ht="15" hidden="0" customHeight="1">
      <x:c r="A20" s="127" t="s">
        <x:v>726</x:v>
      </x:c>
      <x:c r="B20" s="128" t="n">
        <x:f aca="0">IFERROR(INDEX(S13_PSP_Species_Support!M:M,$B$5),"n/a - excluded PSP")</x:f>
        <x:v>10.899226373527062</x:v>
      </x:c>
    </x:row>
    <x:row r="21" ht="15" hidden="0" customHeight="1">
      <x:c r="A21" s="127" t="s">
        <x:v>727</x:v>
      </x:c>
      <x:c r="B21" s="128" t="n">
        <x:f aca="0">IFERROR(INDEX(S13_PSP_Species_Support!N:N,$B$5),"n/a - excluded PSP")</x:f>
        <x:v>0.75</x:v>
      </x:c>
    </x:row>
    <x:row r="22" ht="15" hidden="0" customHeight="1">
      <x:c r="A22" s="127" t="s">
        <x:v>728</x:v>
      </x:c>
      <x:c r="B22" s="128" t="n">
        <x:f aca="0">IFERROR(INDEX(S13_PSP_Species_Support!O:O,$B$5),"n/a - excluded PSP")</x:f>
        <x:v>23.290920145135782</x:v>
      </x:c>
    </x:row>
    <x:row r="23" ht="15" hidden="0" customHeight="1">
      <x:c r="A23" s="127" t="s">
        <x:v>729</x:v>
      </x:c>
      <x:c r="B23" s="128" t="n">
        <x:f aca="0">IFERROR(INDEX(S13_PSP_Species_Support!P:P,$B$5),"n/a - excluded PSP")</x:f>
        <x:v>122.1687170856391</x:v>
      </x:c>
    </x:row>
    <x:row r="24" ht="15" hidden="0" customHeight="1">
      <x:c r="A24" s="127" t="s">
        <x:v>730</x:v>
      </x:c>
      <x:c r="B24" s="128" t="str">
        <x:f aca="0">IFERROR(INDEX(S13_PSP_Species_Support!Q:Q,$B$5),"n/a - excluded PSP")</x:f>
        <x:v>2/3</x:v>
      </x:c>
    </x:row>
    <x:row r="26" ht="48" hidden="0" customHeight="1">
      <x:c r="A26" s="129" t="str">
        <x:v>Species coefficients, source parcel tree counts and wood density are ex-ante model inputs. Source counts are normalized to the fixed 0.09-ha PSP before biomass is summed. Diameter and height are generated by Chapman-Richards at the selected cohort age and converted to AGB with Chave et al. (2014).</x:v>
      </x:c>
      <x:c r="B26" s="129"/>
      <x:c r="C26" s="129"/>
      <x:c r="D26" s="129"/>
      <x:c r="E26" s="129"/>
      <x:c r="F26" s="129"/>
      <x:c r="G26" s="129"/>
      <x:c r="H26" s="129"/>
      <x:c r="I26" s="129"/>
      <x:c r="J26" s="129"/>
    </x:row>
    <x:row r="28" ht="15" hidden="0" customHeight="1">
      <x:c r="A28" s="130" t="s">
        <x:v>719</x:v>
      </x:c>
      <x:c r="B28" s="131" t="n">
        <x:f aca="0">IFERROR(VALUE(INDEX(S13_PSP_Species_Support!E:E,$B$5)),"n/a")</x:f>
        <x:v>2020</x:v>
      </x:c>
    </x:row>
    <x:row r="29" ht="15" hidden="0" customHeight="1">
      <x:c r="A29" s="130" t="s">
        <x:v>731</x:v>
      </x:c>
      <x:c r="B29" s="131" t="n">
        <x:f aca="0">S08_Defaults!$B$4</x:f>
        <x:v>2026</x:v>
      </x:c>
    </x:row>
    <x:row r="30" ht="15" hidden="0" customHeight="1">
      <x:c r="A30" s="130" t="s">
        <x:v>732</x:v>
      </x:c>
      <x:c r="B30" s="131" t="n">
        <x:f aca="0">IFERROR(B29-B28,"n/a")</x:f>
        <x:v>6</x:v>
      </x:c>
    </x:row>
    <x:row r="32" ht="23.25" hidden="0" customHeight="1">
      <x:c r="A32" s="92" t="s">
        <x:v>733</x:v>
      </x:c>
      <x:c r="B32" s="92" t="s">
        <x:v>734</x:v>
      </x:c>
      <x:c r="C32" s="92" t="s">
        <x:v>735</x:v>
      </x:c>
      <x:c r="D32" s="92" t="s">
        <x:v>736</x:v>
      </x:c>
      <x:c r="E32" s="92" t="str">
        <x:v>Trees in 30m x 30m PSP (expected)</x:v>
      </x:c>
      <x:c r="F32" s="92" t="s">
        <x:v>737</x:v>
      </x:c>
      <x:c r="G32" s="92" t="s">
        <x:v>738</x:v>
      </x:c>
      <x:c r="H32" s="92" t="s">
        <x:v>739</x:v>
      </x:c>
      <x:c r="I32" s="92" t="s">
        <x:v>740</x:v>
      </x:c>
      <x:c r="J32" s="92" t="s">
        <x:v>741</x:v>
      </x:c>
    </x:row>
    <x:row r="33" ht="15" hidden="0" customHeight="1">
      <x:c r="A33" s="128" t="n">
        <x:v>1</x:v>
      </x:c>
      <x:c r="B33" s="132" t="str">
        <x:f aca="0">IFERROR(INDEX(S13_PSP_Species_Support!R:R,$B$5),"")</x:f>
        <x:v>CASHEW</x:v>
      </x:c>
      <x:c r="C33" s="132" t="str">
        <x:f aca="0">IFERROR(INDEX(S13_PSP_Species_Support!S:S,$B$5),"")</x:f>
        <x:v>Cashew</x:v>
      </x:c>
      <x:c r="D33" s="132" t="str">
        <x:f aca="0">IFERROR(INDEX(S13_PSP_Species_Support!T:T,$B$5),"")</x:f>
        <x:v>Exact match</x:v>
      </x:c>
      <x:c r="E33" s="132" t="n">
        <x:f aca="0">IFERROR(INDEX(S13_PSP_Species_Support!U:U,$B$5),0)</x:f>
        <x:v>17.802121235581016</x:v>
      </x:c>
      <x:c r="F33" s="132" t="n">
        <x:f aca="0">IFERROR(INDEX(S13_PSP_Species_Support!V:V,$B$5),"")</x:f>
        <x:v>0.5</x:v>
      </x:c>
      <x:c r="G33" s="132" t="n">
        <x:f aca="0">IFERROR(INDEX(S13_PSP_Species_Support!W:W,$B$5)*(1-EXP(-INDEX(S13_PSP_Species_Support!X:X,$B$5)*$B$30))^INDEX(S13_PSP_Species_Support!Y:Y,$B$5),"")</x:f>
        <x:v>15.86592890591268</x:v>
      </x:c>
      <x:c r="H33" s="132" t="n">
        <x:f aca="0">IFERROR(INDEX(S13_PSP_Species_Support!Z:Z,$B$5)*(1-EXP(-INDEX(S13_PSP_Species_Support!AA:AA,$B$5)*$B$30))^INDEX(S13_PSP_Species_Support!AB:AB,$B$5),"")</x:f>
        <x:v>7.530861968956579</x:v>
      </x:c>
      <x:c r="I33" s="132" t="n">
        <x:f aca="0">IFERROR(0.0673*(F33*G33^2*H33)^0.976,"")</x:f>
        <x:v>54.11515007625288</x:v>
      </x:c>
      <x:c r="J33" s="132" t="n">
        <x:f aca="0">IFERROR(IF(ISNUMBER(I33),I33*E33,0),0)</x:f>
        <x:v>963.364462339115</x:v>
      </x:c>
    </x:row>
    <x:row r="34" ht="15" hidden="0" customHeight="1">
      <x:c r="A34" s="128" t="n">
        <x:v>2</x:v>
      </x:c>
      <x:c r="B34" s="132" t="str">
        <x:f aca="0">IFERROR(INDEX(S13_PSP_Species_Support!AC:AC,$B$5),"")</x:f>
        <x:v>MANGO</x:v>
      </x:c>
      <x:c r="C34" s="132" t="str">
        <x:f aca="0">IFERROR(INDEX(S13_PSP_Species_Support!AD:AD,$B$5),"")</x:f>
        <x:v>Mango</x:v>
      </x:c>
      <x:c r="D34" s="132" t="str">
        <x:f aca="0">IFERROR(INDEX(S13_PSP_Species_Support!AE:AE,$B$5),"")</x:f>
        <x:v>Exact match</x:v>
      </x:c>
      <x:c r="E34" s="132" t="n">
        <x:f aca="0">IFERROR(INDEX(S13_PSP_Species_Support!AF:AF,$B$5),0)</x:f>
        <x:v>2.7870248509715876</x:v>
      </x:c>
      <x:c r="F34" s="132" t="n">
        <x:f aca="0">IFERROR(INDEX(S13_PSP_Species_Support!AG:AG,$B$5),"")</x:f>
        <x:v>0.6</x:v>
      </x:c>
      <x:c r="G34" s="132" t="n">
        <x:f aca="0">IFERROR(INDEX(S13_PSP_Species_Support!AH:AH,$B$5)*(1-EXP(-INDEX(S13_PSP_Species_Support!AI:AI,$B$5)*$B$30))^INDEX(S13_PSP_Species_Support!AJ:AJ,$B$5),"")</x:f>
        <x:v>17.68766004465175</x:v>
      </x:c>
      <x:c r="H34" s="132" t="n">
        <x:f aca="0">IFERROR(INDEX(S13_PSP_Species_Support!AK:AK,$B$5)*(1-EXP(-INDEX(S13_PSP_Species_Support!AL:AL,$B$5)*$B$30))^INDEX(S13_PSP_Species_Support!AM:AM,$B$5),"")</x:f>
        <x:v>8.163587364365883</x:v>
      </x:c>
      <x:c r="I34" s="132" t="n">
        <x:f aca="0">IFERROR(0.0673*(F34*G34^2*H34)^0.976,"")</x:f>
        <x:v>86.4846776559388</x:v>
      </x:c>
      <x:c r="J34" s="132" t="n">
        <x:f aca="0">IFERROR(IF(ISNUMBER(I34),I34*E34,0),0)</x:f>
        <x:v>241.03494585536862</x:v>
      </x:c>
    </x:row>
    <x:row r="35" ht="15" hidden="0" customHeight="1">
      <x:c r="A35" s="128" t="n">
        <x:v>3</x:v>
      </x:c>
      <x:c r="B35" s="132" t="str">
        <x:f aca="0">IFERROR(INDEX(S13_PSP_Species_Support!AN:AN,$B$5),"")</x:f>
        <x:v>CUSTARD APPLE</x:v>
      </x:c>
      <x:c r="C35" s="132" t="str">
        <x:f aca="0">IFERROR(INDEX(S13_PSP_Species_Support!AO:AO,$B$5),"")</x:f>
        <x:v>Custard Apple</x:v>
      </x:c>
      <x:c r="D35" s="132" t="str">
        <x:f aca="0">IFERROR(INDEX(S13_PSP_Species_Support!AP:AP,$B$5),"")</x:f>
        <x:v>Exact match</x:v>
      </x:c>
      <x:c r="E35" s="132" t="n">
        <x:f aca="0">IFERROR(INDEX(S13_PSP_Species_Support!AQ:AQ,$B$5),0)</x:f>
        <x:v>34.83781063714485</x:v>
      </x:c>
      <x:c r="F35" s="132" t="n">
        <x:f aca="0">IFERROR(INDEX(S13_PSP_Species_Support!AR:AR,$B$5),"")</x:f>
        <x:v>0.55</x:v>
      </x:c>
      <x:c r="G35" s="132" t="n">
        <x:f aca="0">IFERROR(INDEX(S13_PSP_Species_Support!AS:AS,$B$5)*(1-EXP(-INDEX(S13_PSP_Species_Support!AT:AT,$B$5)*$B$30))^INDEX(S13_PSP_Species_Support!AU:AU,$B$5),"")</x:f>
        <x:v>10.733590099875867</x:v>
      </x:c>
      <x:c r="H35" s="132" t="n">
        <x:f aca="0">IFERROR(INDEX(S13_PSP_Species_Support!AV:AV,$B$5)*(1-EXP(-INDEX(S13_PSP_Species_Support!AW:AW,$B$5)*$B$30))^INDEX(S13_PSP_Species_Support!AX:AX,$B$5),"")</x:f>
        <x:v>4.915702664023847</x:v>
      </x:c>
      <x:c r="I35" s="132" t="n">
        <x:f aca="0">IFERROR(0.0673*(F35*G35^2*H35)^0.976,"")</x:f>
        <x:v>18.26462889641898</x:v>
      </x:c>
      <x:c r="J35" s="132" t="n">
        <x:f aca="0">IFERROR(IF(ISNUMBER(I35),I35*E35,0),0)</x:f>
        <x:v>636.2996828511683</x:v>
      </x:c>
    </x:row>
    <x:row r="36" ht="15" hidden="0" customHeight="1">
      <x:c r="A36" s="128" t="n">
        <x:v>4</x:v>
      </x:c>
      <x:c r="B36" s="132" t="str">
        <x:f aca="0">IFERROR(INDEX(S13_PSP_Species_Support!AY:AY,$B$5),"")</x:f>
      </x:c>
      <x:c r="C36" s="132" t="str">
        <x:f aca="0">IFERROR(INDEX(S13_PSP_Species_Support!AZ:AZ,$B$5),"")</x:f>
      </x:c>
      <x:c r="D36" s="132" t="str">
        <x:f aca="0">IFERROR(INDEX(S13_PSP_Species_Support!BA:BA,$B$5),"")</x:f>
      </x:c>
      <x:c r="E36" s="132" t="n">
        <x:f aca="0">IFERROR(INDEX(S13_PSP_Species_Support!BB:BB,$B$5),0)</x:f>
        <x:v>0</x:v>
      </x:c>
      <x:c r="F36" s="132" t="str">
        <x:f aca="0">IFERROR(INDEX(S13_PSP_Species_Support!BC:BC,$B$5),"")</x:f>
      </x:c>
      <x:c r="G36" s="132" t="n">
        <x:f aca="0">IFERROR(INDEX(S13_PSP_Species_Support!BD:BD,$B$5)*(1-EXP(-INDEX(S13_PSP_Species_Support!BE:BE,$B$5)*$B$30))^INDEX(S13_PSP_Species_Support!BF:BF,$B$5),"")</x:f>
        <x:v>0</x:v>
      </x:c>
      <x:c r="H36" s="132" t="n">
        <x:f aca="0">IFERROR(INDEX(S13_PSP_Species_Support!BG:BG,$B$5)*(1-EXP(-INDEX(S13_PSP_Species_Support!BH:BH,$B$5)*$B$30))^INDEX(S13_PSP_Species_Support!BI:BI,$B$5),"")</x:f>
        <x:v>0</x:v>
      </x:c>
      <x:c r="I36" s="132" t="n">
        <x:f aca="0">IFERROR(0.0673*(F36*G36^2*H36)^0.976,"")</x:f>
        <x:v>0</x:v>
      </x:c>
      <x:c r="J36" s="132" t="n">
        <x:f aca="0">IFERROR(IF(ISNUMBER(I36),I36*E36,0),0)</x:f>
        <x:v>0</x:v>
      </x:c>
    </x:row>
    <x:row r="37" ht="15" hidden="0" customHeight="1">
      <x:c r="A37" s="128" t="n">
        <x:v>5</x:v>
      </x:c>
      <x:c r="B37" s="132" t="str">
        <x:f aca="0">IFERROR(INDEX(S13_PSP_Species_Support!BJ:BJ,$B$5),"")</x:f>
      </x:c>
      <x:c r="C37" s="132" t="str">
        <x:f aca="0">IFERROR(INDEX(S13_PSP_Species_Support!BK:BK,$B$5),"")</x:f>
      </x:c>
      <x:c r="D37" s="132" t="str">
        <x:f aca="0">IFERROR(INDEX(S13_PSP_Species_Support!BL:BL,$B$5),"")</x:f>
      </x:c>
      <x:c r="E37" s="132" t="n">
        <x:f aca="0">IFERROR(INDEX(S13_PSP_Species_Support!BM:BM,$B$5),0)</x:f>
        <x:v>0</x:v>
      </x:c>
      <x:c r="F37" s="132" t="str">
        <x:f aca="0">IFERROR(INDEX(S13_PSP_Species_Support!BN:BN,$B$5),"")</x:f>
      </x:c>
      <x:c r="G37" s="132" t="n">
        <x:f aca="0">IFERROR(INDEX(S13_PSP_Species_Support!BO:BO,$B$5)*(1-EXP(-INDEX(S13_PSP_Species_Support!BP:BP,$B$5)*$B$30))^INDEX(S13_PSP_Species_Support!BQ:BQ,$B$5),"")</x:f>
        <x:v>0</x:v>
      </x:c>
      <x:c r="H37" s="132" t="n">
        <x:f aca="0">IFERROR(INDEX(S13_PSP_Species_Support!BR:BR,$B$5)*(1-EXP(-INDEX(S13_PSP_Species_Support!BS:BS,$B$5)*$B$30))^INDEX(S13_PSP_Species_Support!BT:BT,$B$5),"")</x:f>
        <x:v>0</x:v>
      </x:c>
      <x:c r="I37" s="132" t="n">
        <x:f aca="0">IFERROR(0.0673*(F37*G37^2*H37)^0.976,"")</x:f>
        <x:v>0</x:v>
      </x:c>
      <x:c r="J37" s="132" t="n">
        <x:f aca="0">IFERROR(IF(ISNUMBER(I37),I37*E37,0),0)</x:f>
        <x:v>0</x:v>
      </x:c>
    </x:row>
    <x:row r="38" ht="15" hidden="0" customHeight="1">
      <x:c r="A38" s="128" t="n">
        <x:v>6</x:v>
      </x:c>
      <x:c r="B38" s="132" t="str">
        <x:f aca="0">IFERROR(INDEX(S13_PSP_Species_Support!BU:BU,$B$5),"")</x:f>
      </x:c>
      <x:c r="C38" s="132" t="str">
        <x:f aca="0">IFERROR(INDEX(S13_PSP_Species_Support!BV:BV,$B$5),"")</x:f>
      </x:c>
      <x:c r="D38" s="132" t="str">
        <x:f aca="0">IFERROR(INDEX(S13_PSP_Species_Support!BW:BW,$B$5),"")</x:f>
      </x:c>
      <x:c r="E38" s="132" t="n">
        <x:f aca="0">IFERROR(INDEX(S13_PSP_Species_Support!BX:BX,$B$5),0)</x:f>
        <x:v>0</x:v>
      </x:c>
      <x:c r="F38" s="132" t="str">
        <x:f aca="0">IFERROR(INDEX(S13_PSP_Species_Support!BY:BY,$B$5),"")</x:f>
      </x:c>
      <x:c r="G38" s="132" t="n">
        <x:f aca="0">IFERROR(INDEX(S13_PSP_Species_Support!BZ:BZ,$B$5)*(1-EXP(-INDEX(S13_PSP_Species_Support!CA:CA,$B$5)*$B$30))^INDEX(S13_PSP_Species_Support!CB:CB,$B$5),"")</x:f>
        <x:v>0</x:v>
      </x:c>
      <x:c r="H38" s="132" t="n">
        <x:f aca="0">IFERROR(INDEX(S13_PSP_Species_Support!CC:CC,$B$5)*(1-EXP(-INDEX(S13_PSP_Species_Support!CD:CD,$B$5)*$B$30))^INDEX(S13_PSP_Species_Support!CE:CE,$B$5),"")</x:f>
        <x:v>0</x:v>
      </x:c>
      <x:c r="I38" s="132" t="n">
        <x:f aca="0">IFERROR(0.0673*(F38*G38^2*H38)^0.976,"")</x:f>
        <x:v>0</x:v>
      </x:c>
      <x:c r="J38" s="132" t="n">
        <x:f aca="0">IFERROR(IF(ISNUMBER(I38),I38*E38,0),0)</x:f>
        <x:v>0</x:v>
      </x:c>
    </x:row>
    <x:row r="39" ht="15" hidden="0" customHeight="1">
      <x:c r="A39" s="128" t="n">
        <x:v>7</x:v>
      </x:c>
      <x:c r="B39" s="132" t="str">
        <x:f aca="0">IFERROR(INDEX(S13_PSP_Species_Support!CF:CF,$B$5),"")</x:f>
      </x:c>
      <x:c r="C39" s="132" t="str">
        <x:f aca="0">IFERROR(INDEX(S13_PSP_Species_Support!CG:CG,$B$5),"")</x:f>
      </x:c>
      <x:c r="D39" s="132" t="str">
        <x:f aca="0">IFERROR(INDEX(S13_PSP_Species_Support!CH:CH,$B$5),"")</x:f>
      </x:c>
      <x:c r="E39" s="132" t="n">
        <x:f aca="0">IFERROR(INDEX(S13_PSP_Species_Support!CI:CI,$B$5),0)</x:f>
        <x:v>0</x:v>
      </x:c>
      <x:c r="F39" s="132" t="str">
        <x:f aca="0">IFERROR(INDEX(S13_PSP_Species_Support!CJ:CJ,$B$5),"")</x:f>
      </x:c>
      <x:c r="G39" s="132" t="n">
        <x:f aca="0">IFERROR(INDEX(S13_PSP_Species_Support!CK:CK,$B$5)*(1-EXP(-INDEX(S13_PSP_Species_Support!CL:CL,$B$5)*$B$30))^INDEX(S13_PSP_Species_Support!CM:CM,$B$5),"")</x:f>
        <x:v>0</x:v>
      </x:c>
      <x:c r="H39" s="132" t="n">
        <x:f aca="0">IFERROR(INDEX(S13_PSP_Species_Support!CN:CN,$B$5)*(1-EXP(-INDEX(S13_PSP_Species_Support!CO:CO,$B$5)*$B$30))^INDEX(S13_PSP_Species_Support!CP:CP,$B$5),"")</x:f>
        <x:v>0</x:v>
      </x:c>
      <x:c r="I39" s="132" t="n">
        <x:f aca="0">IFERROR(0.0673*(F39*G39^2*H39)^0.976,"")</x:f>
        <x:v>0</x:v>
      </x:c>
      <x:c r="J39" s="132" t="n">
        <x:f aca="0">IFERROR(IF(ISNUMBER(I39),I39*E39,0),0)</x:f>
        <x:v>0</x:v>
      </x:c>
    </x:row>
    <x:row r="40" ht="15" hidden="0" customHeight="1">
      <x:c r="A40" s="128" t="n">
        <x:v>8</x:v>
      </x:c>
      <x:c r="B40" s="132" t="str">
        <x:f aca="0">IFERROR(INDEX(S13_PSP_Species_Support!CQ:CQ,$B$5),"")</x:f>
      </x:c>
      <x:c r="C40" s="132" t="str">
        <x:f aca="0">IFERROR(INDEX(S13_PSP_Species_Support!CR:CR,$B$5),"")</x:f>
      </x:c>
      <x:c r="D40" s="132" t="str">
        <x:f aca="0">IFERROR(INDEX(S13_PSP_Species_Support!CS:CS,$B$5),"")</x:f>
      </x:c>
      <x:c r="E40" s="132" t="n">
        <x:f aca="0">IFERROR(INDEX(S13_PSP_Species_Support!CT:CT,$B$5),0)</x:f>
        <x:v>0</x:v>
      </x:c>
      <x:c r="F40" s="132" t="str">
        <x:f aca="0">IFERROR(INDEX(S13_PSP_Species_Support!CU:CU,$B$5),"")</x:f>
      </x:c>
      <x:c r="G40" s="132" t="n">
        <x:f aca="0">IFERROR(INDEX(S13_PSP_Species_Support!CV:CV,$B$5)*(1-EXP(-INDEX(S13_PSP_Species_Support!CW:CW,$B$5)*$B$30))^INDEX(S13_PSP_Species_Support!CX:CX,$B$5),"")</x:f>
        <x:v>0</x:v>
      </x:c>
      <x:c r="H40" s="132" t="n">
        <x:f aca="0">IFERROR(INDEX(S13_PSP_Species_Support!CY:CY,$B$5)*(1-EXP(-INDEX(S13_PSP_Species_Support!CZ:CZ,$B$5)*$B$30))^INDEX(S13_PSP_Species_Support!DA:DA,$B$5),"")</x:f>
        <x:v>0</x:v>
      </x:c>
      <x:c r="I40" s="132" t="n">
        <x:f aca="0">IFERROR(0.0673*(F40*G40^2*H40)^0.976,"")</x:f>
        <x:v>0</x:v>
      </x:c>
      <x:c r="J40" s="132" t="n">
        <x:f aca="0">IFERROR(IF(ISNUMBER(I40),I40*E40,0),0)</x:f>
        <x:v>0</x:v>
      </x:c>
    </x:row>
    <x:row r="42" ht="15" hidden="0" customHeight="1">
      <x:c r="A42" s="127" t="s">
        <x:v>742</x:v>
      </x:c>
      <x:c r="B42" s="128" t="n">
        <x:f aca="0">SUM(J33:J40)</x:f>
        <x:v>1840.699091045652</x:v>
      </x:c>
    </x:row>
    <x:row r="43" ht="15" hidden="0" customHeight="1">
      <x:c r="A43" s="127" t="s">
        <x:v>743</x:v>
      </x:c>
      <x:c r="B43" s="128" t="n">
        <x:f aca="0">B42/1000</x:f>
        <x:v>1.840699091045652</x:v>
      </x:c>
    </x:row>
    <x:row r="44" ht="15" hidden="0" customHeight="1">
      <x:c r="A44" s="127" t="str">
        <x:v>PSP plot area (ha) = 30m x 30m</x:v>
      </x:c>
      <x:c r="B44" s="986" t="n">
        <x:f aca="0">'S08_Defaults'!$B$37</x:f>
        <x:v>0.09</x:v>
      </x:c>
    </x:row>
    <x:row r="45" ht="15" hidden="0" customHeight="1">
      <x:c r="A45" s="127" t="s">
        <x:v>744</x:v>
      </x:c>
      <x:c r="B45" s="128" t="n">
        <x:f aca="0">IFERROR(B43/B44,"n/a")</x:f>
        <x:v>20.452212122729467</x:v>
      </x:c>
    </x:row>
    <x:row r="46" ht="15" hidden="0" customHeight="1">
      <x:c r="A46" s="127" t="s">
        <x:v>745</x:v>
      </x:c>
      <x:c r="B46" s="128" t="n">
        <x:f aca="0">IFERROR(B45*S08_Defaults!$B$6,"n/a")</x:f>
        <x:v>9.612539697682848</x:v>
      </x:c>
    </x:row>
    <x:row r="47" ht="15" hidden="0" customHeight="1">
      <x:c r="A47" s="127" t="s">
        <x:v>746</x:v>
      </x:c>
      <x:c r="B47" s="128" t="n">
        <x:f aca="0">IFERROR(B46*(1+S08_Defaults!$B$7),"n/a")</x:f>
        <x:v>11.919549225126731</x:v>
      </x:c>
    </x:row>
    <x:row r="48" ht="27.75" hidden="0" customHeight="1">
      <x:c r="A48" s="133" t="s">
        <x:v>747</x:v>
      </x:c>
      <x:c r="B48" s="134" t="n">
        <x:f aca="0">IFERROR(B47*S08_Defaults!$B$8,"n/a")</x:f>
        <x:v>43.705013825464725</x:v>
      </x:c>
    </x:row>
    <x:row r="49" ht="15" hidden="0" customHeight="1">
      <x:c r="A49" s="135" t="s">
        <x:v>748</x:v>
      </x:c>
      <x:c r="B49" s="136" t="n">
        <x:f aca="0">B22</x:f>
        <x:v>23.290920145135782</x:v>
      </x:c>
    </x:row>
  </x:sheetData>
  <x:mergeCells>
    <x:mergeCell ref="A1:J1"/>
    <x:mergeCell ref="A2:J2"/>
    <x:mergeCell ref="B4:C4"/>
    <x:mergeCell ref="B7:F7"/>
    <x:mergeCell ref="B8:F8"/>
    <x:mergeCell ref="B9:F9"/>
    <x:mergeCell ref="B10:F10"/>
    <x:mergeCell ref="B11:F11"/>
    <x:mergeCell ref="B12:F12"/>
    <x:mergeCell ref="B13:F13"/>
    <x:mergeCell ref="B14:F14"/>
    <x:mergeCell ref="A26:J26"/>
  </x:mergeCells>
  <x:dataValidations count="1">
    <x:dataValidation type="list" errorStyle="stop" operator="between" allowBlank="0" showDropDown="0" showInputMessage="1" showErrorMessage="1" errorTitle="Invalid PSP ID" error="Choose a PSP ID from the list." promptTitle="PSP selector" prompt="Select one of the 67 established PSPs" sqref="B4">
      <x:formula1>PSP_ID_LIST</x:formula1>
      <x:formula2>0</x:formula2>
    </x:dataValidation>
  </x:dataValidations>
  <x:pageMargins left="0.7" right="0.7" top="0.75" bottom="0.75" header="0.3" footer="0.3"/>
</x:worksheet>
</file>

<file path=xl/worksheets/sheet13.xml><?xml version="1.0" encoding="utf-8"?>
<x:worksheet xmlns:x="http://schemas.openxmlformats.org/spreadsheetml/2006/main">
  <x:sheetPr>
    <x:tabColor rgb="FF2E75B6"/>
  </x:sheetPr>
  <x:sheetViews>
    <x:sheetView showGridLines="1" workbookViewId="0"/>
  </x:sheetViews>
  <x:sheetFormatPr defaultColWidth="8.6796875" defaultRowHeight="15"/>
  <x:cols>
    <x:col min="1" max="105" width="12" style="1" hidden="0" customWidth="1"/>
    <x:col min="106" max="106" width="16" hidden="0" customWidth="1"/>
    <x:col min="107" max="107" width="16" hidden="0" customWidth="1"/>
    <x:col min="108" max="108" width="16" hidden="0" customWidth="1"/>
    <x:col min="109" max="109" width="16" hidden="0" customWidth="1"/>
    <x:col min="110" max="110" width="16" hidden="0" customWidth="1"/>
    <x:col min="111" max="111" width="16" hidden="0" customWidth="1"/>
    <x:col min="112" max="112" width="16" hidden="0" customWidth="1"/>
    <x:col min="113" max="113" width="16" hidden="0" customWidth="1"/>
    <x:col min="114" max="114" width="16" hidden="0" customWidth="1"/>
    <x:col min="115" max="115" width="16" hidden="0" customWidth="1"/>
    <x:col min="116" max="116" width="16" hidden="0" customWidth="1"/>
    <x:col min="117" max="117" width="16" hidden="0" customWidth="1"/>
    <x:col min="118" max="118" width="16" hidden="0" customWidth="1"/>
  </x:cols>
  <x:sheetData>
    <x:row r="1" ht="33.75" hidden="0" customHeight="1">
      <x:c r="A1" s="137" t="s">
        <x:v>526</x:v>
      </x:c>
      <x:c r="B1" s="137" t="str">
        <x:v>Biome</x:v>
      </x:c>
      <x:c r="C1" s="137" t="s">
        <x:v>97</x:v>
      </x:c>
      <x:c r="D1" s="137" t="s">
        <x:v>528</x:v>
      </x:c>
      <x:c r="E1" s="137" t="s">
        <x:v>529</x:v>
      </x:c>
      <x:c r="F1" s="137" t="str">
        <x:v>Source parcel area ha</x:v>
      </x:c>
      <x:c r="G1" s="137" t="str">
        <x:v>Source tree density per ha</x:v>
      </x:c>
      <x:c r="H1" s="137" t="s">
        <x:v>749</x:v>
      </x:c>
      <x:c r="I1" s="137" t="s">
        <x:v>750</x:v>
      </x:c>
      <x:c r="J1" s="137" t="s">
        <x:v>751</x:v>
      </x:c>
      <x:c r="K1" s="137" t="s">
        <x:v>752</x:v>
      </x:c>
      <x:c r="L1" s="137" t="s">
        <x:v>707</x:v>
      </x:c>
      <x:c r="M1" s="137" t="s">
        <x:v>753</x:v>
      </x:c>
      <x:c r="N1" s="137" t="s">
        <x:v>754</x:v>
      </x:c>
      <x:c r="O1" s="137" t="s">
        <x:v>755</x:v>
      </x:c>
      <x:c r="P1" s="137" t="s">
        <x:v>756</x:v>
      </x:c>
      <x:c r="Q1" s="137" t="s">
        <x:v>757</x:v>
      </x:c>
      <x:c r="R1" s="137" t="s">
        <x:v>758</x:v>
      </x:c>
      <x:c r="S1" s="137" t="s">
        <x:v>759</x:v>
      </x:c>
      <x:c r="T1" s="137" t="s">
        <x:v>760</x:v>
      </x:c>
      <x:c r="U1" s="137" t="str">
        <x:v>S1_Plot_Count_0.09ha</x:v>
      </x:c>
      <x:c r="V1" s="137" t="s">
        <x:v>761</x:v>
      </x:c>
      <x:c r="W1" s="137" t="s">
        <x:v>762</x:v>
      </x:c>
      <x:c r="X1" s="137" t="s">
        <x:v>763</x:v>
      </x:c>
      <x:c r="Y1" s="137" t="s">
        <x:v>764</x:v>
      </x:c>
      <x:c r="Z1" s="137" t="s">
        <x:v>765</x:v>
      </x:c>
      <x:c r="AA1" s="137" t="s">
        <x:v>766</x:v>
      </x:c>
      <x:c r="AB1" s="137" t="s">
        <x:v>767</x:v>
      </x:c>
      <x:c r="AC1" s="137" t="s">
        <x:v>768</x:v>
      </x:c>
      <x:c r="AD1" s="137" t="s">
        <x:v>769</x:v>
      </x:c>
      <x:c r="AE1" s="137" t="s">
        <x:v>770</x:v>
      </x:c>
      <x:c r="AF1" s="137" t="str">
        <x:v>S2_Plot_Count_0.09ha</x:v>
      </x:c>
      <x:c r="AG1" s="137" t="s">
        <x:v>771</x:v>
      </x:c>
      <x:c r="AH1" s="137" t="s">
        <x:v>772</x:v>
      </x:c>
      <x:c r="AI1" s="137" t="s">
        <x:v>773</x:v>
      </x:c>
      <x:c r="AJ1" s="137" t="s">
        <x:v>774</x:v>
      </x:c>
      <x:c r="AK1" s="137" t="s">
        <x:v>775</x:v>
      </x:c>
      <x:c r="AL1" s="137" t="s">
        <x:v>776</x:v>
      </x:c>
      <x:c r="AM1" s="137" t="s">
        <x:v>777</x:v>
      </x:c>
      <x:c r="AN1" s="137" t="s">
        <x:v>778</x:v>
      </x:c>
      <x:c r="AO1" s="137" t="s">
        <x:v>779</x:v>
      </x:c>
      <x:c r="AP1" s="137" t="s">
        <x:v>780</x:v>
      </x:c>
      <x:c r="AQ1" s="137" t="str">
        <x:v>S3_Plot_Count_0.09ha</x:v>
      </x:c>
      <x:c r="AR1" s="137" t="s">
        <x:v>781</x:v>
      </x:c>
      <x:c r="AS1" s="137" t="s">
        <x:v>782</x:v>
      </x:c>
      <x:c r="AT1" s="137" t="s">
        <x:v>783</x:v>
      </x:c>
      <x:c r="AU1" s="137" t="s">
        <x:v>784</x:v>
      </x:c>
      <x:c r="AV1" s="137" t="s">
        <x:v>785</x:v>
      </x:c>
      <x:c r="AW1" s="137" t="s">
        <x:v>786</x:v>
      </x:c>
      <x:c r="AX1" s="137" t="s">
        <x:v>787</x:v>
      </x:c>
      <x:c r="AY1" s="137" t="s">
        <x:v>788</x:v>
      </x:c>
      <x:c r="AZ1" s="137" t="s">
        <x:v>789</x:v>
      </x:c>
      <x:c r="BA1" s="137" t="s">
        <x:v>790</x:v>
      </x:c>
      <x:c r="BB1" s="137" t="str">
        <x:v>S4_Plot_Count_0.09ha</x:v>
      </x:c>
      <x:c r="BC1" s="137" t="s">
        <x:v>791</x:v>
      </x:c>
      <x:c r="BD1" s="137" t="s">
        <x:v>792</x:v>
      </x:c>
      <x:c r="BE1" s="137" t="s">
        <x:v>793</x:v>
      </x:c>
      <x:c r="BF1" s="137" t="s">
        <x:v>794</x:v>
      </x:c>
      <x:c r="BG1" s="137" t="s">
        <x:v>795</x:v>
      </x:c>
      <x:c r="BH1" s="137" t="s">
        <x:v>796</x:v>
      </x:c>
      <x:c r="BI1" s="137" t="s">
        <x:v>797</x:v>
      </x:c>
      <x:c r="BJ1" s="137" t="s">
        <x:v>798</x:v>
      </x:c>
      <x:c r="BK1" s="137" t="s">
        <x:v>799</x:v>
      </x:c>
      <x:c r="BL1" s="137" t="s">
        <x:v>800</x:v>
      </x:c>
      <x:c r="BM1" s="137" t="str">
        <x:v>S5_Plot_Count_0.09ha</x:v>
      </x:c>
      <x:c r="BN1" s="137" t="s">
        <x:v>801</x:v>
      </x:c>
      <x:c r="BO1" s="137" t="s">
        <x:v>802</x:v>
      </x:c>
      <x:c r="BP1" s="137" t="s">
        <x:v>803</x:v>
      </x:c>
      <x:c r="BQ1" s="137" t="s">
        <x:v>804</x:v>
      </x:c>
      <x:c r="BR1" s="137" t="s">
        <x:v>805</x:v>
      </x:c>
      <x:c r="BS1" s="137" t="s">
        <x:v>806</x:v>
      </x:c>
      <x:c r="BT1" s="137" t="s">
        <x:v>807</x:v>
      </x:c>
      <x:c r="BU1" s="137" t="s">
        <x:v>808</x:v>
      </x:c>
      <x:c r="BV1" s="137" t="s">
        <x:v>809</x:v>
      </x:c>
      <x:c r="BW1" s="137" t="s">
        <x:v>810</x:v>
      </x:c>
      <x:c r="BX1" s="137" t="str">
        <x:v>S6_Plot_Count_0.09ha</x:v>
      </x:c>
      <x:c r="BY1" s="137" t="s">
        <x:v>811</x:v>
      </x:c>
      <x:c r="BZ1" s="137" t="s">
        <x:v>812</x:v>
      </x:c>
      <x:c r="CA1" s="137" t="s">
        <x:v>813</x:v>
      </x:c>
      <x:c r="CB1" s="137" t="s">
        <x:v>814</x:v>
      </x:c>
      <x:c r="CC1" s="137" t="s">
        <x:v>815</x:v>
      </x:c>
      <x:c r="CD1" s="137" t="s">
        <x:v>816</x:v>
      </x:c>
      <x:c r="CE1" s="137" t="s">
        <x:v>817</x:v>
      </x:c>
      <x:c r="CF1" s="137" t="s">
        <x:v>818</x:v>
      </x:c>
      <x:c r="CG1" s="137" t="s">
        <x:v>819</x:v>
      </x:c>
      <x:c r="CH1" s="137" t="s">
        <x:v>820</x:v>
      </x:c>
      <x:c r="CI1" s="137" t="str">
        <x:v>S7_Plot_Count_0.09ha</x:v>
      </x:c>
      <x:c r="CJ1" s="137" t="s">
        <x:v>821</x:v>
      </x:c>
      <x:c r="CK1" s="137" t="s">
        <x:v>822</x:v>
      </x:c>
      <x:c r="CL1" s="137" t="s">
        <x:v>823</x:v>
      </x:c>
      <x:c r="CM1" s="137" t="s">
        <x:v>824</x:v>
      </x:c>
      <x:c r="CN1" s="137" t="s">
        <x:v>825</x:v>
      </x:c>
      <x:c r="CO1" s="137" t="s">
        <x:v>826</x:v>
      </x:c>
      <x:c r="CP1" s="137" t="s">
        <x:v>827</x:v>
      </x:c>
      <x:c r="CQ1" s="137" t="s">
        <x:v>828</x:v>
      </x:c>
      <x:c r="CR1" s="137" t="s">
        <x:v>829</x:v>
      </x:c>
      <x:c r="CS1" s="137" t="s">
        <x:v>830</x:v>
      </x:c>
      <x:c r="CT1" s="137" t="str">
        <x:v>S8_Plot_Count_0.09ha</x:v>
      </x:c>
      <x:c r="CU1" s="137" t="s">
        <x:v>831</x:v>
      </x:c>
      <x:c r="CV1" s="137" t="s">
        <x:v>832</x:v>
      </x:c>
      <x:c r="CW1" s="137" t="s">
        <x:v>833</x:v>
      </x:c>
      <x:c r="CX1" s="137" t="s">
        <x:v>834</x:v>
      </x:c>
      <x:c r="CY1" s="137" t="s">
        <x:v>835</x:v>
      </x:c>
      <x:c r="CZ1" s="137" t="s">
        <x:v>836</x:v>
      </x:c>
      <x:c r="DA1" s="137" t="s">
        <x:v>837</x:v>
      </x:c>
      <x:c r="DB1" s="973" t="str">
        <x:v>S1_Source_Parcel_Count</x:v>
      </x:c>
      <x:c r="DC1" s="973" t="str">
        <x:v>S2_Source_Parcel_Count</x:v>
      </x:c>
      <x:c r="DD1" s="973" t="str">
        <x:v>S3_Source_Parcel_Count</x:v>
      </x:c>
      <x:c r="DE1" s="973" t="str">
        <x:v>S4_Source_Parcel_Count</x:v>
      </x:c>
      <x:c r="DF1" s="973" t="str">
        <x:v>S5_Source_Parcel_Count</x:v>
      </x:c>
      <x:c r="DG1" s="973" t="str">
        <x:v>S6_Source_Parcel_Count</x:v>
      </x:c>
      <x:c r="DH1" s="973" t="str">
        <x:v>S7_Source_Parcel_Count</x:v>
      </x:c>
      <x:c r="DI1" s="973" t="str">
        <x:v>S8_Source_Parcel_Count</x:v>
      </x:c>
      <x:c r="DJ1" s="973" t="str">
        <x:v>PSP_Plot_Area_ha</x:v>
      </x:c>
      <x:c r="DK1" s="973" t="str">
        <x:v>PSP_Trees_From_Species_Counts</x:v>
      </x:c>
      <x:c r="DL1" s="973" t="str">
        <x:v>PSP_Trees_From_Density</x:v>
      </x:c>
      <x:c r="DM1" s="973" t="str">
        <x:v>Tree_Count_QA_Difference</x:v>
      </x:c>
      <x:c r="DN1" s="973" t="str">
        <x:v>Tree_Count_QA_Status</x:v>
      </x:c>
    </x:row>
    <x:row r="2" ht="15" hidden="0" customHeight="1">
      <x:c r="A2" s="138" t="s">
        <x:v>540</x:v>
      </x:c>
      <x:c r="B2" s="138" t="str">
        <x:v>Tropical &amp; Subtropical Dry Broadleaf Forests</x:v>
      </x:c>
      <x:c r="C2" s="138" t="s">
        <x:v>838</x:v>
      </x:c>
      <x:c r="D2" s="138" t="s">
        <x:v>542</x:v>
      </x:c>
      <x:c r="E2" s="138" t="n">
        <x:v>2020</x:v>
      </x:c>
      <x:c r="F2" s="138" t="n">
        <x:v>2.5834</x:v>
      </x:c>
      <x:c r="G2" s="138" t="n">
        <x:v>615.86</x:v>
      </x:c>
      <x:c r="H2" s="138" t="s">
        <x:v>839</x:v>
      </x:c>
      <x:c r="I2" s="138" t="s">
        <x:v>545</x:v>
      </x:c>
      <x:c r="J2" s="139" t="n">
        <x:f aca="0">IF($E2="Unconfirmed","",IFERROR(SUMIF(S15_Source_Strata!$B$4:$B$49,$I2,S15_Source_Strata!$H$4:$H$49),""))</x:f>
        <x:v>14.532301831369416</x:v>
      </x:c>
      <x:c r="K2" s="139" t="n">
        <x:f aca="0">IF($E2="Unconfirmed","",IFERROR(SUMIF(S15_Source_Strata!$B$4:$B$49,$I2,S15_Source_Strata!$I$4:$I$49),""))</x:f>
        <x:v>6.668232308770073</x:v>
      </x:c>
      <x:c r="L2" s="139" t="n">
        <x:f aca="0">IF($E2="Unconfirmed","",IFERROR(SUMIF(S15_Source_Strata!$B$4:$B$49,$I2,S15_Source_Strata!$J$4:$J$49),""))</x:f>
        <x:v>0.45885589125158627</x:v>
      </x:c>
      <x:c r="M2" s="139" t="n">
        <x:f aca="0">IF($E2="Unconfirmed","",IFERROR(SUMIF(S15_Source_Strata!$B$4:$B$49,$I2,S15_Source_Strata!$N$4:$N$49),""))</x:f>
        <x:v>10.899226373527062</x:v>
      </x:c>
      <x:c r="N2" s="139" t="n">
        <x:f aca="0">IF($E2="Unconfirmed","",IFERROR(SUMIF(S15_Source_Strata!$B$4:$B$49,$I2,S15_Source_Strata!$O$4:$O$49),""))</x:f>
        <x:v>0.75</x:v>
      </x:c>
      <x:c r="O2" s="139" t="n">
        <x:f aca="0">IF($E2="Unconfirmed","",IFERROR(SUMIF(S15_Source_Strata!$B$4:$B$49,$I2,S15_Source_Strata!$X$4:$X$49),""))</x:f>
        <x:v>23.290920145135782</x:v>
      </x:c>
      <x:c r="P2" s="139" t="n">
        <x:f aca="0">IF($E2="Unconfirmed","",IFERROR(SUMIF(S15_Source_Strata!$B$4:$B$49,$I2,S15_Source_Strata!$AL$4:$AL$49),""))</x:f>
        <x:v>122.1687170856391</x:v>
      </x:c>
      <x:c r="Q2" s="139" t="str">
        <x:f aca="0">IF($E2="Unconfirmed","",IFERROR(SUMIF(S15_Source_Strata!$B$4:$B$49,$I2,S15_Source_Strata!$K$4:$K$49)&amp;"/"&amp;SUMIF(S15_Source_Strata!$B$4:$B$49,$I2,S15_Source_Strata!$L$4:$L$49),""))</x:f>
        <x:v>2/3</x:v>
      </x:c>
      <x:c r="R2" s="138" t="s">
        <x:v>570</x:v>
      </x:c>
      <x:c r="S2" s="138" t="s">
        <x:v>840</x:v>
      </x:c>
      <x:c r="T2" s="138" t="s">
        <x:v>841</x:v>
      </x:c>
      <x:c r="U2" s="138" t="n">
        <x:f>IFERROR(DB2*$DJ2/$F2,0)</x:f>
        <x:v>17.802121235581016</x:v>
      </x:c>
      <x:c r="V2" s="138" t="n">
        <x:v>0.5</x:v>
      </x:c>
      <x:c r="W2" s="138" t="n">
        <x:v>35</x:v>
      </x:c>
      <x:c r="X2" s="138" t="n">
        <x:v>0.14</x:v>
      </x:c>
      <x:c r="Y2" s="138" t="n">
        <x:v>1.4</x:v>
      </x:c>
      <x:c r="Z2" s="138" t="n">
        <x:v>12</x:v>
      </x:c>
      <x:c r="AA2" s="138" t="n">
        <x:v>0.2</x:v>
      </x:c>
      <x:c r="AB2" s="138" t="n">
        <x:v>1.3</x:v>
      </x:c>
      <x:c r="AC2" s="138" t="s">
        <x:v>579</x:v>
      </x:c>
      <x:c r="AD2" s="138" t="s">
        <x:v>842</x:v>
      </x:c>
      <x:c r="AE2" s="138" t="s">
        <x:v>841</x:v>
      </x:c>
      <x:c r="AF2" s="138" t="n">
        <x:f>IFERROR(DC2*$DJ2/$F2,0)</x:f>
        <x:v>2.7870248509715876</x:v>
      </x:c>
      <x:c r="AG2" s="138" t="n">
        <x:v>0.6</x:v>
      </x:c>
      <x:c r="AH2" s="138" t="n">
        <x:v>45</x:v>
      </x:c>
      <x:c r="AI2" s="138" t="n">
        <x:v>0.12</x:v>
      </x:c>
      <x:c r="AJ2" s="138" t="n">
        <x:v>1.4</x:v>
      </x:c>
      <x:c r="AK2" s="138" t="n">
        <x:v>14</x:v>
      </x:c>
      <x:c r="AL2" s="138" t="n">
        <x:v>0.18</x:v>
      </x:c>
      <x:c r="AM2" s="138" t="n">
        <x:v>1.3</x:v>
      </x:c>
      <x:c r="AN2" s="138" t="s">
        <x:v>843</x:v>
      </x:c>
      <x:c r="AO2" s="138" t="s">
        <x:v>844</x:v>
      </x:c>
      <x:c r="AP2" s="138" t="s">
        <x:v>841</x:v>
      </x:c>
      <x:c r="AQ2" s="138" t="n">
        <x:f>IFERROR(DD2*$DJ2/$F2,0)</x:f>
        <x:v>34.83781063714485</x:v>
      </x:c>
      <x:c r="AR2" s="138" t="n">
        <x:v>0.55</x:v>
      </x:c>
      <x:c r="AS2" s="138" t="n">
        <x:v>20</x:v>
      </x:c>
      <x:c r="AT2" s="138" t="n">
        <x:v>0.18</x:v>
      </x:c>
      <x:c r="AU2" s="138" t="n">
        <x:v>1.5</x:v>
      </x:c>
      <x:c r="AV2" s="138" t="n">
        <x:v>7</x:v>
      </x:c>
      <x:c r="AW2" s="138" t="n">
        <x:v>0.25</x:v>
      </x:c>
      <x:c r="AX2" s="138" t="n">
        <x:v>1.4</x:v>
      </x:c>
      <x:c r="AY2" s="138"/>
      <x:c r="AZ2" s="138"/>
      <x:c r="BA2" s="138"/>
      <x:c r="BB2" s="138" t="n">
        <x:f>IFERROR(DE2*$DJ2/$F2,0)</x:f>
        <x:v>0</x:v>
      </x:c>
      <x:c r="BC2" s="138"/>
      <x:c r="BD2" s="138"/>
      <x:c r="BE2" s="138"/>
      <x:c r="BF2" s="138"/>
      <x:c r="BG2" s="138"/>
      <x:c r="BH2" s="138"/>
      <x:c r="BI2" s="138"/>
      <x:c r="BJ2" s="138"/>
      <x:c r="BK2" s="138"/>
      <x:c r="BL2" s="138"/>
      <x:c r="BM2" s="138" t="n">
        <x:f>IFERROR(DF2*$DJ2/$F2,0)</x:f>
        <x:v>0</x:v>
      </x:c>
      <x:c r="BN2" s="138"/>
      <x:c r="BO2" s="138"/>
      <x:c r="BP2" s="138"/>
      <x:c r="BQ2" s="138"/>
      <x:c r="BR2" s="138"/>
      <x:c r="BS2" s="138"/>
      <x:c r="BT2" s="138"/>
      <x:c r="BU2" s="138"/>
      <x:c r="BV2" s="138"/>
      <x:c r="BW2" s="138"/>
      <x:c r="BX2" s="138" t="n">
        <x:f>IFERROR(DG2*$DJ2/$F2,0)</x:f>
        <x:v>0</x:v>
      </x:c>
      <x:c r="BY2" s="138"/>
      <x:c r="BZ2" s="138"/>
      <x:c r="CA2" s="138"/>
      <x:c r="CB2" s="138"/>
      <x:c r="CC2" s="138"/>
      <x:c r="CD2" s="138"/>
      <x:c r="CE2" s="138"/>
      <x:c r="CF2" s="138"/>
      <x:c r="CG2" s="138"/>
      <x:c r="CH2" s="138"/>
      <x:c r="CI2" s="138" t="n">
        <x:f>IFERROR(DH2*$DJ2/$F2,0)</x:f>
        <x:v>0</x:v>
      </x:c>
      <x:c r="CJ2" s="138"/>
      <x:c r="CK2" s="138"/>
      <x:c r="CL2" s="138"/>
      <x:c r="CM2" s="138"/>
      <x:c r="CN2" s="138"/>
      <x:c r="CO2" s="138"/>
      <x:c r="CP2" s="138"/>
      <x:c r="CQ2" s="138"/>
      <x:c r="CR2" s="138"/>
      <x:c r="CS2" s="138"/>
      <x:c r="CT2" s="138" t="n">
        <x:f>IFERROR(DI2*$DJ2/$F2,0)</x:f>
        <x:v>0</x:v>
      </x:c>
      <x:c r="CU2" s="138"/>
      <x:c r="CV2" s="138"/>
      <x:c r="CW2" s="138"/>
      <x:c r="CX2" s="138"/>
      <x:c r="CY2" s="138"/>
      <x:c r="CZ2" s="138"/>
      <x:c r="DA2" s="138"/>
      <x:c r="DB2" s="978" t="n">
        <x:v>511</x:v>
      </x:c>
      <x:c r="DC2" s="978" t="n">
        <x:v>80</x:v>
      </x:c>
      <x:c r="DD2" s="978" t="n">
        <x:v>1000</x:v>
      </x:c>
      <x:c r="DE2" s="978"/>
      <x:c r="DF2" s="978"/>
      <x:c r="DG2" s="978"/>
      <x:c r="DH2" s="978"/>
      <x:c r="DI2" s="978"/>
      <x:c r="DJ2" s="980" t="n">
        <x:f>'S08_Defaults'!$B$37</x:f>
        <x:v>0.09</x:v>
      </x:c>
      <x:c r="DK2" s="979" t="n">
        <x:f>SUM(U2,AF2,AQ2,BB2,BM2,BX2,CI2,CT2)</x:f>
        <x:v>55.42695672369745</x:v>
      </x:c>
      <x:c r="DL2" s="979" t="n">
        <x:f>G2*DJ2</x:f>
        <x:v>55.4274</x:v>
      </x:c>
      <x:c r="DM2" s="979" t="n">
        <x:f>DK2-DL2</x:f>
        <x:v>-0.00044327630254770156</x:v>
      </x:c>
      <x:c r="DN2" s="977" t="str">
        <x:f>IF(ABS(DM2)&lt;=MAX(0.5,0.05*ABS(DL2)),"OK","REVIEW")</x:f>
        <x:v>OK</x:v>
      </x:c>
    </x:row>
    <x:row r="3" ht="15" hidden="0" customHeight="1">
      <x:c r="A3" s="138" t="s">
        <x:v>546</x:v>
      </x:c>
      <x:c r="B3" s="138" t="str">
        <x:v>Deserts &amp; Xeric Shrublands</x:v>
      </x:c>
      <x:c r="C3" s="138" t="s">
        <x:v>838</x:v>
      </x:c>
      <x:c r="D3" s="138" t="s">
        <x:v>542</x:v>
      </x:c>
      <x:c r="E3" s="138" t="n">
        <x:v>2020</x:v>
      </x:c>
      <x:c r="F3" s="138" t="n">
        <x:v>2.18</x:v>
      </x:c>
      <x:c r="G3" s="138" t="n">
        <x:v>495.41</x:v>
      </x:c>
      <x:c r="H3" s="138" t="s">
        <x:v>845</x:v>
      </x:c>
      <x:c r="I3" s="138" t="s">
        <x:v>545</x:v>
      </x:c>
      <x:c r="J3" s="139" t="n">
        <x:f aca="0">IF($E3="Unconfirmed","",IFERROR(SUMIF(S15_Source_Strata!$B$4:$B$49,$I3,S15_Source_Strata!$H$4:$H$49),""))</x:f>
        <x:v>14.532301831369416</x:v>
      </x:c>
      <x:c r="K3" s="139" t="n">
        <x:f aca="0">IF($E3="Unconfirmed","",IFERROR(SUMIF(S15_Source_Strata!$B$4:$B$49,$I3,S15_Source_Strata!$I$4:$I$49),""))</x:f>
        <x:v>6.668232308770073</x:v>
      </x:c>
      <x:c r="L3" s="139" t="n">
        <x:f aca="0">IF($E3="Unconfirmed","",IFERROR(SUMIF(S15_Source_Strata!$B$4:$B$49,$I3,S15_Source_Strata!$J$4:$J$49),""))</x:f>
        <x:v>0.45885589125158627</x:v>
      </x:c>
      <x:c r="M3" s="139" t="n">
        <x:f aca="0">IF($E3="Unconfirmed","",IFERROR(SUMIF(S15_Source_Strata!$B$4:$B$49,$I3,S15_Source_Strata!$N$4:$N$49),""))</x:f>
        <x:v>10.899226373527062</x:v>
      </x:c>
      <x:c r="N3" s="139" t="n">
        <x:f aca="0">IF($E3="Unconfirmed","",IFERROR(SUMIF(S15_Source_Strata!$B$4:$B$49,$I3,S15_Source_Strata!$O$4:$O$49),""))</x:f>
        <x:v>0.75</x:v>
      </x:c>
      <x:c r="O3" s="139" t="n">
        <x:f aca="0">IF($E3="Unconfirmed","",IFERROR(SUMIF(S15_Source_Strata!$B$4:$B$49,$I3,S15_Source_Strata!$X$4:$X$49),""))</x:f>
        <x:v>23.290920145135782</x:v>
      </x:c>
      <x:c r="P3" s="139" t="n">
        <x:f aca="0">IF($E3="Unconfirmed","",IFERROR(SUMIF(S15_Source_Strata!$B$4:$B$49,$I3,S15_Source_Strata!$AL$4:$AL$49),""))</x:f>
        <x:v>122.1687170856391</x:v>
      </x:c>
      <x:c r="Q3" s="139" t="str">
        <x:f aca="0">IF($E3="Unconfirmed","",IFERROR(SUMIF(S15_Source_Strata!$B$4:$B$49,$I3,S15_Source_Strata!$K$4:$K$49)&amp;"/"&amp;SUMIF(S15_Source_Strata!$B$4:$B$49,$I3,S15_Source_Strata!$L$4:$L$49),""))</x:f>
        <x:v>2/3</x:v>
      </x:c>
      <x:c r="R3" s="138" t="s">
        <x:v>846</x:v>
      </x:c>
      <x:c r="S3" s="138" t="s">
        <x:v>847</x:v>
      </x:c>
      <x:c r="T3" s="138" t="s">
        <x:v>841</x:v>
      </x:c>
      <x:c r="U3" s="138" t="n">
        <x:f>IFERROR(DB3*$DJ3/$F3,0)</x:f>
        <x:v>37.15596330275229</x:v>
      </x:c>
      <x:c r="V3" s="138" t="n">
        <x:v>0.55</x:v>
      </x:c>
      <x:c r="W3" s="138" t="n">
        <x:v>20</x:v>
      </x:c>
      <x:c r="X3" s="138" t="n">
        <x:v>0.18</x:v>
      </x:c>
      <x:c r="Y3" s="138" t="n">
        <x:v>1.5</x:v>
      </x:c>
      <x:c r="Z3" s="138" t="n">
        <x:v>7</x:v>
      </x:c>
      <x:c r="AA3" s="138" t="n">
        <x:v>0.25</x:v>
      </x:c>
      <x:c r="AB3" s="138" t="n">
        <x:v>1.4</x:v>
      </x:c>
      <x:c r="AC3" s="138" t="s">
        <x:v>848</x:v>
      </x:c>
      <x:c r="AD3" s="138" t="s">
        <x:v>849</x:v>
      </x:c>
      <x:c r="AE3" s="138" t="s">
        <x:v>841</x:v>
      </x:c>
      <x:c r="AF3" s="138" t="n">
        <x:f>IFERROR(DC3*$DJ3/$F3,0)</x:f>
        <x:v>7.431192660550458</x:v>
      </x:c>
      <x:c r="AG3" s="138" t="n">
        <x:v>0.6</x:v>
      </x:c>
      <x:c r="AH3" s="138" t="n">
        <x:v>25</x:v>
      </x:c>
      <x:c r="AI3" s="138" t="n">
        <x:v>0.18</x:v>
      </x:c>
      <x:c r="AJ3" s="138" t="n">
        <x:v>1.5</x:v>
      </x:c>
      <x:c r="AK3" s="138" t="n">
        <x:v>8</x:v>
      </x:c>
      <x:c r="AL3" s="138" t="n">
        <x:v>0.25</x:v>
      </x:c>
      <x:c r="AM3" s="138" t="n">
        <x:v>1.4</x:v>
      </x:c>
      <x:c r="AN3" s="138"/>
      <x:c r="AO3" s="138"/>
      <x:c r="AP3" s="138"/>
      <x:c r="AQ3" s="138" t="n">
        <x:f>IFERROR(DD3*$DJ3/$F3,0)</x:f>
        <x:v>0</x:v>
      </x:c>
      <x:c r="AR3" s="138"/>
      <x:c r="AS3" s="138"/>
      <x:c r="AT3" s="138"/>
      <x:c r="AU3" s="138"/>
      <x:c r="AV3" s="138"/>
      <x:c r="AW3" s="138"/>
      <x:c r="AX3" s="138"/>
      <x:c r="AY3" s="138"/>
      <x:c r="AZ3" s="138"/>
      <x:c r="BA3" s="138"/>
      <x:c r="BB3" s="138" t="n">
        <x:f>IFERROR(DE3*$DJ3/$F3,0)</x:f>
        <x:v>0</x:v>
      </x:c>
      <x:c r="BC3" s="138"/>
      <x:c r="BD3" s="138"/>
      <x:c r="BE3" s="138"/>
      <x:c r="BF3" s="138"/>
      <x:c r="BG3" s="138"/>
      <x:c r="BH3" s="138"/>
      <x:c r="BI3" s="138"/>
      <x:c r="BJ3" s="138"/>
      <x:c r="BK3" s="138"/>
      <x:c r="BL3" s="138"/>
      <x:c r="BM3" s="138" t="n">
        <x:f>IFERROR(DF3*$DJ3/$F3,0)</x:f>
        <x:v>0</x:v>
      </x:c>
      <x:c r="BN3" s="138"/>
      <x:c r="BO3" s="138"/>
      <x:c r="BP3" s="138"/>
      <x:c r="BQ3" s="138"/>
      <x:c r="BR3" s="138"/>
      <x:c r="BS3" s="138"/>
      <x:c r="BT3" s="138"/>
      <x:c r="BU3" s="138"/>
      <x:c r="BV3" s="138"/>
      <x:c r="BW3" s="138"/>
      <x:c r="BX3" s="138" t="n">
        <x:f>IFERROR(DG3*$DJ3/$F3,0)</x:f>
        <x:v>0</x:v>
      </x:c>
      <x:c r="BY3" s="138"/>
      <x:c r="BZ3" s="138"/>
      <x:c r="CA3" s="138"/>
      <x:c r="CB3" s="138"/>
      <x:c r="CC3" s="138"/>
      <x:c r="CD3" s="138"/>
      <x:c r="CE3" s="138"/>
      <x:c r="CF3" s="138"/>
      <x:c r="CG3" s="138"/>
      <x:c r="CH3" s="138"/>
      <x:c r="CI3" s="138" t="n">
        <x:f>IFERROR(DH3*$DJ3/$F3,0)</x:f>
        <x:v>0</x:v>
      </x:c>
      <x:c r="CJ3" s="138"/>
      <x:c r="CK3" s="138"/>
      <x:c r="CL3" s="138"/>
      <x:c r="CM3" s="138"/>
      <x:c r="CN3" s="138"/>
      <x:c r="CO3" s="138"/>
      <x:c r="CP3" s="138"/>
      <x:c r="CQ3" s="138"/>
      <x:c r="CR3" s="138"/>
      <x:c r="CS3" s="138"/>
      <x:c r="CT3" s="138" t="n">
        <x:f>IFERROR(DI3*$DJ3/$F3,0)</x:f>
        <x:v>0</x:v>
      </x:c>
      <x:c r="CU3" s="138"/>
      <x:c r="CV3" s="138"/>
      <x:c r="CW3" s="138"/>
      <x:c r="CX3" s="138"/>
      <x:c r="CY3" s="138"/>
      <x:c r="CZ3" s="138"/>
      <x:c r="DA3" s="138"/>
      <x:c r="DB3" s="978" t="n">
        <x:v>900</x:v>
      </x:c>
      <x:c r="DC3" s="978" t="n">
        <x:v>180</x:v>
      </x:c>
      <x:c r="DD3" s="978"/>
      <x:c r="DE3" s="978"/>
      <x:c r="DF3" s="978"/>
      <x:c r="DG3" s="978"/>
      <x:c r="DH3" s="978"/>
      <x:c r="DI3" s="978"/>
      <x:c r="DJ3" s="980" t="n">
        <x:f>'S08_Defaults'!$B$37</x:f>
        <x:v>0.09</x:v>
      </x:c>
      <x:c r="DK3" s="979" t="n">
        <x:f>SUM(U3,AF3,AQ3,BB3,BM3,BX3,CI3,CT3)</x:f>
        <x:v>44.58715596330275</x:v>
      </x:c>
      <x:c r="DL3" s="979" t="n">
        <x:f>G3*DJ3</x:f>
        <x:v>44.5869</x:v>
      </x:c>
      <x:c r="DM3" s="979" t="n">
        <x:f>DK3-DL3</x:f>
        <x:v>0.0002559633027487962</x:v>
      </x:c>
      <x:c r="DN3" s="977" t="str">
        <x:f>IF(ABS(DM3)&lt;=MAX(0.5,0.05*ABS(DL3)),"OK","REVIEW")</x:f>
        <x:v>OK</x:v>
      </x:c>
    </x:row>
    <x:row r="4" ht="15" hidden="0" customHeight="1">
      <x:c r="A4" s="138" t="s">
        <x:v>548</x:v>
      </x:c>
      <x:c r="B4" s="138" t="str">
        <x:v>Tropical &amp; Subtropical Dry Broadleaf Forests</x:v>
      </x:c>
      <x:c r="C4" s="138" t="s">
        <x:v>838</x:v>
      </x:c>
      <x:c r="D4" s="138" t="s">
        <x:v>549</x:v>
      </x:c>
      <x:c r="E4" s="138" t="n">
        <x:v>2020</x:v>
      </x:c>
      <x:c r="F4" s="138" t="n">
        <x:v>0.7405</x:v>
      </x:c>
      <x:c r="G4" s="138" t="n">
        <x:v>135.04</x:v>
      </x:c>
      <x:c r="H4" s="138" t="s">
        <x:v>850</x:v>
      </x:c>
      <x:c r="I4" s="138" t="s">
        <x:v>551</x:v>
      </x:c>
      <x:c r="J4" s="139" t="n">
        <x:f aca="0">IF($E4="Unconfirmed","",IFERROR(SUMIF(S15_Source_Strata!$B$4:$B$49,$I4,S15_Source_Strata!$H$4:$H$49),""))</x:f>
        <x:v>8.821196112620466</x:v>
      </x:c>
      <x:c r="K4" s="139" t="n">
        <x:f aca="0">IF($E4="Unconfirmed","",IFERROR(SUMIF(S15_Source_Strata!$B$4:$B$49,$I4,S15_Source_Strata!$I$4:$I$49),""))</x:f>
        <x:v>4.798207319356463</x:v>
      </x:c>
      <x:c r="L4" s="139" t="n">
        <x:f aca="0">IF($E4="Unconfirmed","",IFERROR(SUMIF(S15_Source_Strata!$B$4:$B$49,$I4,S15_Source_Strata!$J$4:$J$49),""))</x:f>
        <x:v>0.5439406695075828</x:v>
      </x:c>
      <x:c r="M4" s="139" t="n">
        <x:f aca="0">IF($E4="Unconfirmed","",IFERROR(SUMIF(S15_Source_Strata!$B$4:$B$49,$I4,S15_Source_Strata!$N$4:$N$49),""))</x:f>
        <x:v>6.61589708446535</x:v>
      </x:c>
      <x:c r="N4" s="139" t="n">
        <x:f aca="0">IF($E4="Unconfirmed","",IFERROR(SUMIF(S15_Source_Strata!$B$4:$B$49,$I4,S15_Source_Strata!$O$4:$O$49),""))</x:f>
        <x:v>0.75</x:v>
      </x:c>
      <x:c r="O4" s="139" t="n">
        <x:f aca="0">IF($E4="Unconfirmed","",IFERROR(SUMIF(S15_Source_Strata!$B$4:$B$49,$I4,S15_Source_Strata!$X$4:$X$49),""))</x:f>
        <x:v>14.137731009696834</x:v>
      </x:c>
      <x:c r="P4" s="139" t="n">
        <x:f aca="0">IF($E4="Unconfirmed","",IFERROR(SUMIF(S15_Source_Strata!$B$4:$B$49,$I4,S15_Source_Strata!$AL$4:$AL$49),""))</x:f>
        <x:v>102.12711804116768</x:v>
      </x:c>
      <x:c r="Q4" s="139" t="str">
        <x:f aca="0">IF($E4="Unconfirmed","",IFERROR(SUMIF(S15_Source_Strata!$B$4:$B$49,$I4,S15_Source_Strata!$K$4:$K$49)&amp;"/"&amp;SUMIF(S15_Source_Strata!$B$4:$B$49,$I4,S15_Source_Strata!$L$4:$L$49),""))</x:f>
        <x:v>1/3</x:v>
      </x:c>
      <x:c r="R4" s="138" t="s">
        <x:v>579</x:v>
      </x:c>
      <x:c r="S4" s="138" t="s">
        <x:v>842</x:v>
      </x:c>
      <x:c r="T4" s="138" t="s">
        <x:v>841</x:v>
      </x:c>
      <x:c r="U4" s="138" t="n">
        <x:f>IFERROR(DB4*$DJ4/$F4,0)</x:f>
        <x:v>1.8230925050641456</x:v>
      </x:c>
      <x:c r="V4" s="138" t="n">
        <x:v>0.6</x:v>
      </x:c>
      <x:c r="W4" s="138" t="n">
        <x:v>45</x:v>
      </x:c>
      <x:c r="X4" s="138" t="n">
        <x:v>0.12</x:v>
      </x:c>
      <x:c r="Y4" s="138" t="n">
        <x:v>1.4</x:v>
      </x:c>
      <x:c r="Z4" s="138" t="n">
        <x:v>14</x:v>
      </x:c>
      <x:c r="AA4" s="138" t="n">
        <x:v>0.18</x:v>
      </x:c>
      <x:c r="AB4" s="138" t="n">
        <x:v>1.3</x:v>
      </x:c>
      <x:c r="AC4" s="138" t="s">
        <x:v>570</x:v>
      </x:c>
      <x:c r="AD4" s="138" t="s">
        <x:v>840</x:v>
      </x:c>
      <x:c r="AE4" s="138" t="s">
        <x:v>841</x:v>
      </x:c>
      <x:c r="AF4" s="138" t="n">
        <x:f>IFERROR(DC4*$DJ4/$F4,0)</x:f>
        <x:v>9.115462525320728</x:v>
      </x:c>
      <x:c r="AG4" s="138" t="n">
        <x:v>0.5</x:v>
      </x:c>
      <x:c r="AH4" s="138" t="n">
        <x:v>35</x:v>
      </x:c>
      <x:c r="AI4" s="138" t="n">
        <x:v>0.14</x:v>
      </x:c>
      <x:c r="AJ4" s="138" t="n">
        <x:v>1.4</x:v>
      </x:c>
      <x:c r="AK4" s="138" t="n">
        <x:v>12</x:v>
      </x:c>
      <x:c r="AL4" s="138" t="n">
        <x:v>0.2</x:v>
      </x:c>
      <x:c r="AM4" s="138" t="n">
        <x:v>1.3</x:v>
      </x:c>
      <x:c r="AN4" s="138" t="s">
        <x:v>851</x:v>
      </x:c>
      <x:c r="AO4" s="138" t="s">
        <x:v>852</x:v>
      </x:c>
      <x:c r="AP4" s="138" t="s">
        <x:v>841</x:v>
      </x:c>
      <x:c r="AQ4" s="138" t="n">
        <x:f>IFERROR(DD4*$DJ4/$F4,0)</x:f>
        <x:v>1.215395003376097</x:v>
      </x:c>
      <x:c r="AR4" s="138" t="n">
        <x:v>0.65</x:v>
      </x:c>
      <x:c r="AS4" s="138" t="n">
        <x:v>35</x:v>
      </x:c>
      <x:c r="AT4" s="138" t="n">
        <x:v>0.13</x:v>
      </x:c>
      <x:c r="AU4" s="138" t="n">
        <x:v>1.4</x:v>
      </x:c>
      <x:c r="AV4" s="138" t="n">
        <x:v>15</x:v>
      </x:c>
      <x:c r="AW4" s="138" t="n">
        <x:v>0.18</x:v>
      </x:c>
      <x:c r="AX4" s="138" t="n">
        <x:v>1.3</x:v>
      </x:c>
      <x:c r="AY4" s="138"/>
      <x:c r="AZ4" s="138"/>
      <x:c r="BA4" s="138"/>
      <x:c r="BB4" s="138" t="n">
        <x:f>IFERROR(DE4*$DJ4/$F4,0)</x:f>
        <x:v>0</x:v>
      </x:c>
      <x:c r="BC4" s="138"/>
      <x:c r="BD4" s="138"/>
      <x:c r="BE4" s="138"/>
      <x:c r="BF4" s="138"/>
      <x:c r="BG4" s="138"/>
      <x:c r="BH4" s="138"/>
      <x:c r="BI4" s="138"/>
      <x:c r="BJ4" s="138"/>
      <x:c r="BK4" s="138"/>
      <x:c r="BL4" s="138"/>
      <x:c r="BM4" s="138" t="n">
        <x:f>IFERROR(DF4*$DJ4/$F4,0)</x:f>
        <x:v>0</x:v>
      </x:c>
      <x:c r="BN4" s="138"/>
      <x:c r="BO4" s="138"/>
      <x:c r="BP4" s="138"/>
      <x:c r="BQ4" s="138"/>
      <x:c r="BR4" s="138"/>
      <x:c r="BS4" s="138"/>
      <x:c r="BT4" s="138"/>
      <x:c r="BU4" s="138"/>
      <x:c r="BV4" s="138"/>
      <x:c r="BW4" s="138"/>
      <x:c r="BX4" s="138" t="n">
        <x:f>IFERROR(DG4*$DJ4/$F4,0)</x:f>
        <x:v>0</x:v>
      </x:c>
      <x:c r="BY4" s="138"/>
      <x:c r="BZ4" s="138"/>
      <x:c r="CA4" s="138"/>
      <x:c r="CB4" s="138"/>
      <x:c r="CC4" s="138"/>
      <x:c r="CD4" s="138"/>
      <x:c r="CE4" s="138"/>
      <x:c r="CF4" s="138"/>
      <x:c r="CG4" s="138"/>
      <x:c r="CH4" s="138"/>
      <x:c r="CI4" s="138" t="n">
        <x:f>IFERROR(DH4*$DJ4/$F4,0)</x:f>
        <x:v>0</x:v>
      </x:c>
      <x:c r="CJ4" s="138"/>
      <x:c r="CK4" s="138"/>
      <x:c r="CL4" s="138"/>
      <x:c r="CM4" s="138"/>
      <x:c r="CN4" s="138"/>
      <x:c r="CO4" s="138"/>
      <x:c r="CP4" s="138"/>
      <x:c r="CQ4" s="138"/>
      <x:c r="CR4" s="138"/>
      <x:c r="CS4" s="138"/>
      <x:c r="CT4" s="138" t="n">
        <x:f>IFERROR(DI4*$DJ4/$F4,0)</x:f>
        <x:v>0</x:v>
      </x:c>
      <x:c r="CU4" s="138"/>
      <x:c r="CV4" s="138"/>
      <x:c r="CW4" s="138"/>
      <x:c r="CX4" s="138"/>
      <x:c r="CY4" s="138"/>
      <x:c r="CZ4" s="138"/>
      <x:c r="DA4" s="138"/>
      <x:c r="DB4" s="978" t="n">
        <x:v>15</x:v>
      </x:c>
      <x:c r="DC4" s="978" t="n">
        <x:v>75</x:v>
      </x:c>
      <x:c r="DD4" s="978" t="n">
        <x:v>10</x:v>
      </x:c>
      <x:c r="DE4" s="978"/>
      <x:c r="DF4" s="978"/>
      <x:c r="DG4" s="978"/>
      <x:c r="DH4" s="978"/>
      <x:c r="DI4" s="978"/>
      <x:c r="DJ4" s="980" t="n">
        <x:f>'S08_Defaults'!$B$37</x:f>
        <x:v>0.09</x:v>
      </x:c>
      <x:c r="DK4" s="979" t="n">
        <x:f>SUM(U4,AF4,AQ4,BB4,BM4,BX4,CI4,CT4)</x:f>
        <x:v>12.153950033760971</x:v>
      </x:c>
      <x:c r="DL4" s="979" t="n">
        <x:f>G4*DJ4</x:f>
        <x:v>12.153599999999999</x:v>
      </x:c>
      <x:c r="DM4" s="979" t="n">
        <x:f>DK4-DL4</x:f>
        <x:v>0.00035003376097186845</x:v>
      </x:c>
      <x:c r="DN4" s="977" t="str">
        <x:f>IF(ABS(DM4)&lt;=MAX(0.5,0.05*ABS(DL4)),"OK","REVIEW")</x:f>
        <x:v>OK</x:v>
      </x:c>
    </x:row>
    <x:row r="5" ht="15" hidden="0" customHeight="1">
      <x:c r="A5" s="138" t="s">
        <x:v>552</x:v>
      </x:c>
      <x:c r="B5" s="138" t="str">
        <x:v>Deserts &amp; Xeric Shrublands</x:v>
      </x:c>
      <x:c r="C5" s="138" t="s">
        <x:v>838</x:v>
      </x:c>
      <x:c r="D5" s="138" t="s">
        <x:v>553</x:v>
      </x:c>
      <x:c r="E5" s="138" t="n">
        <x:v>2020</x:v>
      </x:c>
      <x:c r="F5" s="138" t="n">
        <x:v>0.674</x:v>
      </x:c>
      <x:c r="G5" s="138" t="n">
        <x:v>274.48</x:v>
      </x:c>
      <x:c r="H5" s="138" t="s">
        <x:v>853</x:v>
      </x:c>
      <x:c r="I5" s="138" t="s">
        <x:v>555</x:v>
      </x:c>
      <x:c r="J5" s="139" t="n">
        <x:f aca="0">IF($E5="Unconfirmed","",IFERROR(SUMIF(S15_Source_Strata!$B$4:$B$49,$I5,S15_Source_Strata!$H$4:$H$49),""))</x:f>
        <x:v>14.696395039632932</x:v>
      </x:c>
      <x:c r="K5" s="139" t="n">
        <x:f aca="0">IF($E5="Unconfirmed","",IFERROR(SUMIF(S15_Source_Strata!$B$4:$B$49,$I5,S15_Source_Strata!$I$4:$I$49),""))</x:f>
        <x:v>9.166950046584212</x:v>
      </x:c>
      <x:c r="L5" s="139" t="n">
        <x:f aca="0">IF($E5="Unconfirmed","",IFERROR(SUMIF(S15_Source_Strata!$B$4:$B$49,$I5,S15_Source_Strata!$J$4:$J$49),""))</x:f>
        <x:v>0.6237550107943459</x:v>
      </x:c>
      <x:c r="M5" s="139" t="n">
        <x:f aca="0">IF($E5="Unconfirmed","",IFERROR(SUMIF(S15_Source_Strata!$B$4:$B$49,$I5,S15_Source_Strata!$N$4:$N$49),""))</x:f>
        <x:v>11.0222962797247</x:v>
      </x:c>
      <x:c r="N5" s="139" t="n">
        <x:f aca="0">IF($E5="Unconfirmed","",IFERROR(SUMIF(S15_Source_Strata!$B$4:$B$49,$I5,S15_Source_Strata!$O$4:$O$49),""))</x:f>
        <x:v>0.75</x:v>
      </x:c>
      <x:c r="O5" s="139" t="n">
        <x:f aca="0">IF($E5="Unconfirmed","",IFERROR(SUMIF(S15_Source_Strata!$B$4:$B$49,$I5,S15_Source_Strata!$X$4:$X$49),""))</x:f>
        <x:v>23.55391233001972</x:v>
      </x:c>
      <x:c r="P5" s="139" t="n">
        <x:f aca="0">IF($E5="Unconfirmed","",IFERROR(SUMIF(S15_Source_Strata!$B$4:$B$49,$I5,S15_Source_Strata!$AL$4:$AL$49),""))</x:f>
        <x:v>166.58302893091556</x:v>
      </x:c>
      <x:c r="Q5" s="139" t="str">
        <x:f aca="0">IF($E5="Unconfirmed","",IFERROR(SUMIF(S15_Source_Strata!$B$4:$B$49,$I5,S15_Source_Strata!$K$4:$K$49)&amp;"/"&amp;SUMIF(S15_Source_Strata!$B$4:$B$49,$I5,S15_Source_Strata!$L$4:$L$49),""))</x:f>
        <x:v>2/7</x:v>
      </x:c>
      <x:c r="R5" s="138" t="s">
        <x:v>579</x:v>
      </x:c>
      <x:c r="S5" s="138" t="s">
        <x:v>842</x:v>
      </x:c>
      <x:c r="T5" s="138" t="s">
        <x:v>841</x:v>
      </x:c>
      <x:c r="U5" s="138" t="n">
        <x:f>IFERROR(DB5*$DJ5/$F5,0)</x:f>
        <x:v>12.685459940652816</x:v>
      </x:c>
      <x:c r="V5" s="138" t="n">
        <x:v>0.6</x:v>
      </x:c>
      <x:c r="W5" s="138" t="n">
        <x:v>45</x:v>
      </x:c>
      <x:c r="X5" s="138" t="n">
        <x:v>0.12</x:v>
      </x:c>
      <x:c r="Y5" s="138" t="n">
        <x:v>1.4</x:v>
      </x:c>
      <x:c r="Z5" s="138" t="n">
        <x:v>14</x:v>
      </x:c>
      <x:c r="AA5" s="138" t="n">
        <x:v>0.18</x:v>
      </x:c>
      <x:c r="AB5" s="138" t="n">
        <x:v>1.3</x:v>
      </x:c>
      <x:c r="AC5" s="138" t="s">
        <x:v>851</x:v>
      </x:c>
      <x:c r="AD5" s="138" t="s">
        <x:v>852</x:v>
      </x:c>
      <x:c r="AE5" s="138" t="s">
        <x:v>841</x:v>
      </x:c>
      <x:c r="AF5" s="138" t="n">
        <x:f>IFERROR(DC5*$DJ5/$F5,0)</x:f>
        <x:v>10.682492581602371</x:v>
      </x:c>
      <x:c r="AG5" s="138" t="n">
        <x:v>0.65</x:v>
      </x:c>
      <x:c r="AH5" s="138" t="n">
        <x:v>35</x:v>
      </x:c>
      <x:c r="AI5" s="138" t="n">
        <x:v>0.13</x:v>
      </x:c>
      <x:c r="AJ5" s="138" t="n">
        <x:v>1.4</x:v>
      </x:c>
      <x:c r="AK5" s="138" t="n">
        <x:v>15</x:v>
      </x:c>
      <x:c r="AL5" s="138" t="n">
        <x:v>0.18</x:v>
      </x:c>
      <x:c r="AM5" s="138" t="n">
        <x:v>1.3</x:v>
      </x:c>
      <x:c r="AN5" s="138" t="s">
        <x:v>854</x:v>
      </x:c>
      <x:c r="AO5" s="138" t="s">
        <x:v>855</x:v>
      </x:c>
      <x:c r="AP5" s="138" t="s">
        <x:v>856</x:v>
      </x:c>
      <x:c r="AQ5" s="138" t="n">
        <x:f>IFERROR(DD5*$DJ5/$F5,0)</x:f>
        <x:v>2.403560830860534</x:v>
      </x:c>
      <x:c r="AR5" s="138" t="n">
        <x:v>0.65</x:v>
      </x:c>
      <x:c r="AS5" s="138" t="n">
        <x:v>35</x:v>
      </x:c>
      <x:c r="AT5" s="138" t="n">
        <x:v>0.13</x:v>
      </x:c>
      <x:c r="AU5" s="138" t="n">
        <x:v>1.4</x:v>
      </x:c>
      <x:c r="AV5" s="138" t="n">
        <x:v>15</x:v>
      </x:c>
      <x:c r="AW5" s="138" t="n">
        <x:v>0.18</x:v>
      </x:c>
      <x:c r="AX5" s="138" t="n">
        <x:v>1.3</x:v>
      </x:c>
      <x:c r="AY5" s="138"/>
      <x:c r="AZ5" s="138"/>
      <x:c r="BA5" s="138"/>
      <x:c r="BB5" s="138" t="n">
        <x:f>IFERROR(DE5*$DJ5/$F5,0)</x:f>
        <x:v>0</x:v>
      </x:c>
      <x:c r="BC5" s="138"/>
      <x:c r="BD5" s="138"/>
      <x:c r="BE5" s="138"/>
      <x:c r="BF5" s="138"/>
      <x:c r="BG5" s="138"/>
      <x:c r="BH5" s="138"/>
      <x:c r="BI5" s="138"/>
      <x:c r="BJ5" s="138"/>
      <x:c r="BK5" s="138"/>
      <x:c r="BL5" s="138"/>
      <x:c r="BM5" s="138" t="n">
        <x:f>IFERROR(DF5*$DJ5/$F5,0)</x:f>
        <x:v>0</x:v>
      </x:c>
      <x:c r="BN5" s="138"/>
      <x:c r="BO5" s="138"/>
      <x:c r="BP5" s="138"/>
      <x:c r="BQ5" s="138"/>
      <x:c r="BR5" s="138"/>
      <x:c r="BS5" s="138"/>
      <x:c r="BT5" s="138"/>
      <x:c r="BU5" s="138"/>
      <x:c r="BV5" s="138"/>
      <x:c r="BW5" s="138"/>
      <x:c r="BX5" s="138" t="n">
        <x:f>IFERROR(DG5*$DJ5/$F5,0)</x:f>
        <x:v>0</x:v>
      </x:c>
      <x:c r="BY5" s="138"/>
      <x:c r="BZ5" s="138"/>
      <x:c r="CA5" s="138"/>
      <x:c r="CB5" s="138"/>
      <x:c r="CC5" s="138"/>
      <x:c r="CD5" s="138"/>
      <x:c r="CE5" s="138"/>
      <x:c r="CF5" s="138"/>
      <x:c r="CG5" s="138"/>
      <x:c r="CH5" s="138"/>
      <x:c r="CI5" s="138" t="n">
        <x:f>IFERROR(DH5*$DJ5/$F5,0)</x:f>
        <x:v>0</x:v>
      </x:c>
      <x:c r="CJ5" s="138"/>
      <x:c r="CK5" s="138"/>
      <x:c r="CL5" s="138"/>
      <x:c r="CM5" s="138"/>
      <x:c r="CN5" s="138"/>
      <x:c r="CO5" s="138"/>
      <x:c r="CP5" s="138"/>
      <x:c r="CQ5" s="138"/>
      <x:c r="CR5" s="138"/>
      <x:c r="CS5" s="138"/>
      <x:c r="CT5" s="138" t="n">
        <x:f>IFERROR(DI5*$DJ5/$F5,0)</x:f>
        <x:v>0</x:v>
      </x:c>
      <x:c r="CU5" s="138"/>
      <x:c r="CV5" s="138"/>
      <x:c r="CW5" s="138"/>
      <x:c r="CX5" s="138"/>
      <x:c r="CY5" s="138"/>
      <x:c r="CZ5" s="138"/>
      <x:c r="DA5" s="138"/>
      <x:c r="DB5" s="978" t="n">
        <x:v>95</x:v>
      </x:c>
      <x:c r="DC5" s="978" t="n">
        <x:v>80</x:v>
      </x:c>
      <x:c r="DD5" s="978" t="n">
        <x:v>18</x:v>
      </x:c>
      <x:c r="DE5" s="978"/>
      <x:c r="DF5" s="978"/>
      <x:c r="DG5" s="978"/>
      <x:c r="DH5" s="978"/>
      <x:c r="DI5" s="978"/>
      <x:c r="DJ5" s="980" t="n">
        <x:f>'S08_Defaults'!$B$37</x:f>
        <x:v>0.09</x:v>
      </x:c>
      <x:c r="DK5" s="979" t="n">
        <x:f>SUM(U5,AF5,AQ5,BB5,BM5,BX5,CI5,CT5)</x:f>
        <x:v>25.771513353115722</x:v>
      </x:c>
      <x:c r="DL5" s="979" t="n">
        <x:f>G5*DJ5</x:f>
        <x:v>24.703200000000002</x:v>
      </x:c>
      <x:c r="DM5" s="979" t="n">
        <x:f>DK5-DL5</x:f>
        <x:v>1.0683133531157196</x:v>
      </x:c>
      <x:c r="DN5" s="977" t="str">
        <x:f>IF(ABS(DM5)&lt;=MAX(0.5,0.05*ABS(DL5)),"OK","REVIEW")</x:f>
        <x:v>OK</x:v>
      </x:c>
    </x:row>
    <x:row r="6" ht="15" hidden="0" customHeight="1">
      <x:c r="A6" s="138" t="s">
        <x:v>556</x:v>
      </x:c>
      <x:c r="B6" s="138" t="str">
        <x:v>Tropical &amp; Subtropical Dry Broadleaf Forests</x:v>
      </x:c>
      <x:c r="C6" s="138" t="s">
        <x:v>838</x:v>
      </x:c>
      <x:c r="D6" s="138" t="s">
        <x:v>553</x:v>
      </x:c>
      <x:c r="E6" s="138" t="n">
        <x:v>2020</x:v>
      </x:c>
      <x:c r="F6" s="138" t="n">
        <x:v>2.0024</x:v>
      </x:c>
      <x:c r="G6" s="138" t="n">
        <x:v>199.76</x:v>
      </x:c>
      <x:c r="H6" s="138" t="s">
        <x:v>857</x:v>
      </x:c>
      <x:c r="I6" s="138" t="s">
        <x:v>555</x:v>
      </x:c>
      <x:c r="J6" s="139" t="n">
        <x:f aca="0">IF($E6="Unconfirmed","",IFERROR(SUMIF(S15_Source_Strata!$B$4:$B$49,$I6,S15_Source_Strata!$H$4:$H$49),""))</x:f>
        <x:v>14.696395039632932</x:v>
      </x:c>
      <x:c r="K6" s="139" t="n">
        <x:f aca="0">IF($E6="Unconfirmed","",IFERROR(SUMIF(S15_Source_Strata!$B$4:$B$49,$I6,S15_Source_Strata!$I$4:$I$49),""))</x:f>
        <x:v>9.166950046584212</x:v>
      </x:c>
      <x:c r="L6" s="139" t="n">
        <x:f aca="0">IF($E6="Unconfirmed","",IFERROR(SUMIF(S15_Source_Strata!$B$4:$B$49,$I6,S15_Source_Strata!$J$4:$J$49),""))</x:f>
        <x:v>0.6237550107943459</x:v>
      </x:c>
      <x:c r="M6" s="139" t="n">
        <x:f aca="0">IF($E6="Unconfirmed","",IFERROR(SUMIF(S15_Source_Strata!$B$4:$B$49,$I6,S15_Source_Strata!$N$4:$N$49),""))</x:f>
        <x:v>11.0222962797247</x:v>
      </x:c>
      <x:c r="N6" s="139" t="n">
        <x:f aca="0">IF($E6="Unconfirmed","",IFERROR(SUMIF(S15_Source_Strata!$B$4:$B$49,$I6,S15_Source_Strata!$O$4:$O$49),""))</x:f>
        <x:v>0.75</x:v>
      </x:c>
      <x:c r="O6" s="139" t="n">
        <x:f aca="0">IF($E6="Unconfirmed","",IFERROR(SUMIF(S15_Source_Strata!$B$4:$B$49,$I6,S15_Source_Strata!$X$4:$X$49),""))</x:f>
        <x:v>23.55391233001972</x:v>
      </x:c>
      <x:c r="P6" s="139" t="n">
        <x:f aca="0">IF($E6="Unconfirmed","",IFERROR(SUMIF(S15_Source_Strata!$B$4:$B$49,$I6,S15_Source_Strata!$AL$4:$AL$49),""))</x:f>
        <x:v>166.58302893091556</x:v>
      </x:c>
      <x:c r="Q6" s="139" t="str">
        <x:f aca="0">IF($E6="Unconfirmed","",IFERROR(SUMIF(S15_Source_Strata!$B$4:$B$49,$I6,S15_Source_Strata!$K$4:$K$49)&amp;"/"&amp;SUMIF(S15_Source_Strata!$B$4:$B$49,$I6,S15_Source_Strata!$L$4:$L$49),""))</x:f>
        <x:v>2/7</x:v>
      </x:c>
      <x:c r="R6" s="138" t="s">
        <x:v>579</x:v>
      </x:c>
      <x:c r="S6" s="138" t="s">
        <x:v>842</x:v>
      </x:c>
      <x:c r="T6" s="138" t="s">
        <x:v>841</x:v>
      </x:c>
      <x:c r="U6" s="138" t="n">
        <x:f>IFERROR(DB6*$DJ6/$F6,0)</x:f>
        <x:v>4.494606472233319</x:v>
      </x:c>
      <x:c r="V6" s="138" t="n">
        <x:v>0.6</x:v>
      </x:c>
      <x:c r="W6" s="138" t="n">
        <x:v>45</x:v>
      </x:c>
      <x:c r="X6" s="138" t="n">
        <x:v>0.12</x:v>
      </x:c>
      <x:c r="Y6" s="138" t="n">
        <x:v>1.4</x:v>
      </x:c>
      <x:c r="Z6" s="138" t="n">
        <x:v>14</x:v>
      </x:c>
      <x:c r="AA6" s="138" t="n">
        <x:v>0.18</x:v>
      </x:c>
      <x:c r="AB6" s="138" t="n">
        <x:v>1.3</x:v>
      </x:c>
      <x:c r="AC6" s="138" t="s">
        <x:v>843</x:v>
      </x:c>
      <x:c r="AD6" s="138" t="s">
        <x:v>844</x:v>
      </x:c>
      <x:c r="AE6" s="138" t="s">
        <x:v>841</x:v>
      </x:c>
      <x:c r="AF6" s="138" t="n">
        <x:f>IFERROR(DC6*$DJ6/$F6,0)</x:f>
        <x:v>4.494606472233319</x:v>
      </x:c>
      <x:c r="AG6" s="138" t="n">
        <x:v>0.55</x:v>
      </x:c>
      <x:c r="AH6" s="138" t="n">
        <x:v>20</x:v>
      </x:c>
      <x:c r="AI6" s="138" t="n">
        <x:v>0.18</x:v>
      </x:c>
      <x:c r="AJ6" s="138" t="n">
        <x:v>1.5</x:v>
      </x:c>
      <x:c r="AK6" s="138" t="n">
        <x:v>7</x:v>
      </x:c>
      <x:c r="AL6" s="138" t="n">
        <x:v>0.25</x:v>
      </x:c>
      <x:c r="AM6" s="138" t="n">
        <x:v>1.4</x:v>
      </x:c>
      <x:c r="AN6" s="138" t="s">
        <x:v>858</x:v>
      </x:c>
      <x:c r="AO6" s="138" t="s">
        <x:v>859</x:v>
      </x:c>
      <x:c r="AP6" s="138" t="s">
        <x:v>841</x:v>
      </x:c>
      <x:c r="AQ6" s="138" t="n">
        <x:f>IFERROR(DD6*$DJ6/$F6,0)</x:f>
        <x:v>4.494606472233319</x:v>
      </x:c>
      <x:c r="AR6" s="138" t="n">
        <x:v>0.6</x:v>
      </x:c>
      <x:c r="AS6" s="138" t="n">
        <x:v>25</x:v>
      </x:c>
      <x:c r="AT6" s="138" t="n">
        <x:v>0.18</x:v>
      </x:c>
      <x:c r="AU6" s="138" t="n">
        <x:v>1.5</x:v>
      </x:c>
      <x:c r="AV6" s="138" t="n">
        <x:v>8</x:v>
      </x:c>
      <x:c r="AW6" s="138" t="n">
        <x:v>0.25</x:v>
      </x:c>
      <x:c r="AX6" s="138" t="n">
        <x:v>1.4</x:v>
      </x:c>
      <x:c r="AY6" s="138" t="s">
        <x:v>848</x:v>
      </x:c>
      <x:c r="AZ6" s="138" t="s">
        <x:v>849</x:v>
      </x:c>
      <x:c r="BA6" s="138" t="s">
        <x:v>841</x:v>
      </x:c>
      <x:c r="BB6" s="138" t="n">
        <x:f>IFERROR(DE6*$DJ6/$F6,0)</x:f>
        <x:v>4.494606472233319</x:v>
      </x:c>
      <x:c r="BC6" s="138" t="n">
        <x:v>0.6</x:v>
      </x:c>
      <x:c r="BD6" s="138" t="n">
        <x:v>25</x:v>
      </x:c>
      <x:c r="BE6" s="138" t="n">
        <x:v>0.18</x:v>
      </x:c>
      <x:c r="BF6" s="138" t="n">
        <x:v>1.5</x:v>
      </x:c>
      <x:c r="BG6" s="138" t="n">
        <x:v>8</x:v>
      </x:c>
      <x:c r="BH6" s="138" t="n">
        <x:v>0.25</x:v>
      </x:c>
      <x:c r="BI6" s="138" t="n">
        <x:v>1.4</x:v>
      </x:c>
      <x:c r="BJ6" s="138"/>
      <x:c r="BK6" s="138"/>
      <x:c r="BL6" s="138"/>
      <x:c r="BM6" s="138" t="n">
        <x:f>IFERROR(DF6*$DJ6/$F6,0)</x:f>
        <x:v>0</x:v>
      </x:c>
      <x:c r="BN6" s="138"/>
      <x:c r="BO6" s="138"/>
      <x:c r="BP6" s="138"/>
      <x:c r="BQ6" s="138"/>
      <x:c r="BR6" s="138"/>
      <x:c r="BS6" s="138"/>
      <x:c r="BT6" s="138"/>
      <x:c r="BU6" s="138"/>
      <x:c r="BV6" s="138"/>
      <x:c r="BW6" s="138"/>
      <x:c r="BX6" s="138" t="n">
        <x:f>IFERROR(DG6*$DJ6/$F6,0)</x:f>
        <x:v>0</x:v>
      </x:c>
      <x:c r="BY6" s="138"/>
      <x:c r="BZ6" s="138"/>
      <x:c r="CA6" s="138"/>
      <x:c r="CB6" s="138"/>
      <x:c r="CC6" s="138"/>
      <x:c r="CD6" s="138"/>
      <x:c r="CE6" s="138"/>
      <x:c r="CF6" s="138"/>
      <x:c r="CG6" s="138"/>
      <x:c r="CH6" s="138"/>
      <x:c r="CI6" s="138" t="n">
        <x:f>IFERROR(DH6*$DJ6/$F6,0)</x:f>
        <x:v>0</x:v>
      </x:c>
      <x:c r="CJ6" s="138"/>
      <x:c r="CK6" s="138"/>
      <x:c r="CL6" s="138"/>
      <x:c r="CM6" s="138"/>
      <x:c r="CN6" s="138"/>
      <x:c r="CO6" s="138"/>
      <x:c r="CP6" s="138"/>
      <x:c r="CQ6" s="138"/>
      <x:c r="CR6" s="138"/>
      <x:c r="CS6" s="138"/>
      <x:c r="CT6" s="138" t="n">
        <x:f>IFERROR(DI6*$DJ6/$F6,0)</x:f>
        <x:v>0</x:v>
      </x:c>
      <x:c r="CU6" s="138"/>
      <x:c r="CV6" s="138"/>
      <x:c r="CW6" s="138"/>
      <x:c r="CX6" s="138"/>
      <x:c r="CY6" s="138"/>
      <x:c r="CZ6" s="138"/>
      <x:c r="DA6" s="138"/>
      <x:c r="DB6" s="978" t="n">
        <x:v>100</x:v>
      </x:c>
      <x:c r="DC6" s="978" t="n">
        <x:v>100</x:v>
      </x:c>
      <x:c r="DD6" s="978" t="n">
        <x:v>100</x:v>
      </x:c>
      <x:c r="DE6" s="978" t="n">
        <x:v>100</x:v>
      </x:c>
      <x:c r="DF6" s="978"/>
      <x:c r="DG6" s="978"/>
      <x:c r="DH6" s="978"/>
      <x:c r="DI6" s="978"/>
      <x:c r="DJ6" s="980" t="n">
        <x:f>'S08_Defaults'!$B$37</x:f>
        <x:v>0.09</x:v>
      </x:c>
      <x:c r="DK6" s="979" t="n">
        <x:f>SUM(U6,AF6,AQ6,BB6,BM6,BX6,CI6,CT6)</x:f>
        <x:v>17.978425888933277</x:v>
      </x:c>
      <x:c r="DL6" s="979" t="n">
        <x:f>G6*DJ6</x:f>
        <x:v>17.978399999999997</x:v>
      </x:c>
      <x:c r="DM6" s="979" t="n">
        <x:f>DK6-DL6</x:f>
        <x:v>0.00002588893327981623</x:v>
      </x:c>
      <x:c r="DN6" s="977" t="str">
        <x:f>IF(ABS(DM6)&lt;=MAX(0.5,0.05*ABS(DL6)),"OK","REVIEW")</x:f>
        <x:v>OK</x:v>
      </x:c>
    </x:row>
    <x:row r="7" ht="15" hidden="0" customHeight="1">
      <x:c r="A7" s="138" t="s">
        <x:v>558</x:v>
      </x:c>
      <x:c r="B7" s="138" t="str">
        <x:v>Deserts &amp; Xeric Shrublands</x:v>
      </x:c>
      <x:c r="C7" s="138" t="s">
        <x:v>838</x:v>
      </x:c>
      <x:c r="D7" s="138" t="s">
        <x:v>553</x:v>
      </x:c>
      <x:c r="E7" s="138" t="n">
        <x:v>2021</x:v>
      </x:c>
      <x:c r="F7" s="138" t="n">
        <x:v>2.0529</x:v>
      </x:c>
      <x:c r="G7" s="138" t="n">
        <x:v>268.89</x:v>
      </x:c>
      <x:c r="H7" s="138" t="s">
        <x:v>860</x:v>
      </x:c>
      <x:c r="I7" s="138" t="s">
        <x:v>560</x:v>
      </x:c>
      <x:c r="J7" s="139" t="n">
        <x:f aca="0">IF($E7="Unconfirmed","",IFERROR(SUMIF(S15_Source_Strata!$B$4:$B$49,$I7,S15_Source_Strata!$H$4:$H$49),""))</x:f>
        <x:v>10.68195792924608</x:v>
      </x:c>
      <x:c r="K7" s="139" t="n">
        <x:f aca="0">IF($E7="Unconfirmed","",IFERROR(SUMIF(S15_Source_Strata!$B$4:$B$49,$I7,S15_Source_Strata!$I$4:$I$49),""))</x:f>
        <x:v>8.104137145083643</x:v>
      </x:c>
      <x:c r="L7" s="139" t="n">
        <x:f aca="0">IF($E7="Unconfirmed","",IFERROR(SUMIF(S15_Source_Strata!$B$4:$B$49,$I7,S15_Source_Strata!$J$4:$J$49),""))</x:f>
        <x:v>0.7586752539902226</x:v>
      </x:c>
      <x:c r="M7" s="139" t="n">
        <x:f aca="0">IF($E7="Unconfirmed","",IFERROR(SUMIF(S15_Source_Strata!$B$4:$B$49,$I7,S15_Source_Strata!$N$4:$N$49),""))</x:f>
        <x:v>8.01146844693456</x:v>
      </x:c>
      <x:c r="N7" s="139" t="n">
        <x:f aca="0">IF($E7="Unconfirmed","",IFERROR(SUMIF(S15_Source_Strata!$B$4:$B$49,$I7,S15_Source_Strata!$O$4:$O$49),""))</x:f>
        <x:v>0.75</x:v>
      </x:c>
      <x:c r="O7" s="139" t="n">
        <x:f aca="0">IF($E7="Unconfirmed","",IFERROR(SUMIF(S15_Source_Strata!$B$4:$B$49,$I7,S15_Source_Strata!$X$4:$X$49),""))</x:f>
        <x:v>17.119973973202708</x:v>
      </x:c>
      <x:c r="P7" s="139" t="n">
        <x:f aca="0">IF($E7="Unconfirmed","",IFERROR(SUMIF(S15_Source_Strata!$B$4:$B$49,$I7,S15_Source_Strata!$AL$4:$AL$49),""))</x:f>
        <x:v>193.2481367498435</x:v>
      </x:c>
      <x:c r="Q7" s="139" t="str">
        <x:f aca="0">IF($E7="Unconfirmed","",IFERROR(SUMIF(S15_Source_Strata!$B$4:$B$49,$I7,S15_Source_Strata!$K$4:$K$49)&amp;"/"&amp;SUMIF(S15_Source_Strata!$B$4:$B$49,$I7,S15_Source_Strata!$L$4:$L$49),""))</x:f>
        <x:v>2/7</x:v>
      </x:c>
      <x:c r="R7" s="138" t="s">
        <x:v>579</x:v>
      </x:c>
      <x:c r="S7" s="138" t="s">
        <x:v>842</x:v>
      </x:c>
      <x:c r="T7" s="138" t="s">
        <x:v>841</x:v>
      </x:c>
      <x:c r="U7" s="138" t="n">
        <x:f>IFERROR(DB7*$DJ7/$F7,0)</x:f>
        <x:v>23.67382726874178</x:v>
      </x:c>
      <x:c r="V7" s="138" t="n">
        <x:v>0.6</x:v>
      </x:c>
      <x:c r="W7" s="138" t="n">
        <x:v>45</x:v>
      </x:c>
      <x:c r="X7" s="138" t="n">
        <x:v>0.12</x:v>
      </x:c>
      <x:c r="Y7" s="138" t="n">
        <x:v>1.4</x:v>
      </x:c>
      <x:c r="Z7" s="138" t="n">
        <x:v>14</x:v>
      </x:c>
      <x:c r="AA7" s="138" t="n">
        <x:v>0.18</x:v>
      </x:c>
      <x:c r="AB7" s="138" t="n">
        <x:v>1.3</x:v>
      </x:c>
      <x:c r="AC7" s="138" t="s">
        <x:v>861</x:v>
      </x:c>
      <x:c r="AD7" s="138" t="s">
        <x:v>862</x:v>
      </x:c>
      <x:c r="AE7" s="138" t="s">
        <x:v>841</x:v>
      </x:c>
      <x:c r="AF7" s="138" t="n">
        <x:f>IFERROR(DC7*$DJ7/$F7,0)</x:f>
        <x:v>6.576063130206049</x:v>
      </x:c>
      <x:c r="AG7" s="138" t="n">
        <x:v>0.65</x:v>
      </x:c>
      <x:c r="AH7" s="138" t="n">
        <x:v>35</x:v>
      </x:c>
      <x:c r="AI7" s="138" t="n">
        <x:v>0.13</x:v>
      </x:c>
      <x:c r="AJ7" s="138" t="n">
        <x:v>1.4</x:v>
      </x:c>
      <x:c r="AK7" s="138" t="n">
        <x:v>15</x:v>
      </x:c>
      <x:c r="AL7" s="138" t="n">
        <x:v>0.18</x:v>
      </x:c>
      <x:c r="AM7" s="138" t="n">
        <x:v>1.3</x:v>
      </x:c>
      <x:c r="AN7" s="138" t="s">
        <x:v>863</x:v>
      </x:c>
      <x:c r="AO7" s="138" t="s">
        <x:v>864</x:v>
      </x:c>
      <x:c r="AP7" s="138" t="s">
        <x:v>841</x:v>
      </x:c>
      <x:c r="AQ7" s="138" t="n">
        <x:f>IFERROR(DD7*$DJ7/$F7,0)</x:f>
        <x:v>0.526085050416484</x:v>
      </x:c>
      <x:c r="AR7" s="138" t="n">
        <x:v>0.65</x:v>
      </x:c>
      <x:c r="AS7" s="138" t="n">
        <x:v>35</x:v>
      </x:c>
      <x:c r="AT7" s="138" t="n">
        <x:v>0.13</x:v>
      </x:c>
      <x:c r="AU7" s="138" t="n">
        <x:v>1.4</x:v>
      </x:c>
      <x:c r="AV7" s="138" t="n">
        <x:v>15</x:v>
      </x:c>
      <x:c r="AW7" s="138" t="n">
        <x:v>0.18</x:v>
      </x:c>
      <x:c r="AX7" s="138" t="n">
        <x:v>1.3</x:v>
      </x:c>
      <x:c r="AY7" s="138"/>
      <x:c r="AZ7" s="138"/>
      <x:c r="BA7" s="138"/>
      <x:c r="BB7" s="138" t="n">
        <x:f>IFERROR(DE7*$DJ7/$F7,0)</x:f>
        <x:v>0</x:v>
      </x:c>
      <x:c r="BC7" s="138"/>
      <x:c r="BD7" s="138"/>
      <x:c r="BE7" s="138"/>
      <x:c r="BF7" s="138"/>
      <x:c r="BG7" s="138"/>
      <x:c r="BH7" s="138"/>
      <x:c r="BI7" s="138"/>
      <x:c r="BJ7" s="138"/>
      <x:c r="BK7" s="138"/>
      <x:c r="BL7" s="138"/>
      <x:c r="BM7" s="138" t="n">
        <x:f>IFERROR(DF7*$DJ7/$F7,0)</x:f>
        <x:v>0</x:v>
      </x:c>
      <x:c r="BN7" s="138"/>
      <x:c r="BO7" s="138"/>
      <x:c r="BP7" s="138"/>
      <x:c r="BQ7" s="138"/>
      <x:c r="BR7" s="138"/>
      <x:c r="BS7" s="138"/>
      <x:c r="BT7" s="138"/>
      <x:c r="BU7" s="138"/>
      <x:c r="BV7" s="138"/>
      <x:c r="BW7" s="138"/>
      <x:c r="BX7" s="138" t="n">
        <x:f>IFERROR(DG7*$DJ7/$F7,0)</x:f>
        <x:v>0</x:v>
      </x:c>
      <x:c r="BY7" s="138"/>
      <x:c r="BZ7" s="138"/>
      <x:c r="CA7" s="138"/>
      <x:c r="CB7" s="138"/>
      <x:c r="CC7" s="138"/>
      <x:c r="CD7" s="138"/>
      <x:c r="CE7" s="138"/>
      <x:c r="CF7" s="138"/>
      <x:c r="CG7" s="138"/>
      <x:c r="CH7" s="138"/>
      <x:c r="CI7" s="138" t="n">
        <x:f>IFERROR(DH7*$DJ7/$F7,0)</x:f>
        <x:v>0</x:v>
      </x:c>
      <x:c r="CJ7" s="138"/>
      <x:c r="CK7" s="138"/>
      <x:c r="CL7" s="138"/>
      <x:c r="CM7" s="138"/>
      <x:c r="CN7" s="138"/>
      <x:c r="CO7" s="138"/>
      <x:c r="CP7" s="138"/>
      <x:c r="CQ7" s="138"/>
      <x:c r="CR7" s="138"/>
      <x:c r="CS7" s="138"/>
      <x:c r="CT7" s="138" t="n">
        <x:f>IFERROR(DI7*$DJ7/$F7,0)</x:f>
        <x:v>0</x:v>
      </x:c>
      <x:c r="CU7" s="138"/>
      <x:c r="CV7" s="138"/>
      <x:c r="CW7" s="138"/>
      <x:c r="CX7" s="138"/>
      <x:c r="CY7" s="138"/>
      <x:c r="CZ7" s="138"/>
      <x:c r="DA7" s="138"/>
      <x:c r="DB7" s="978" t="n">
        <x:v>540</x:v>
      </x:c>
      <x:c r="DC7" s="978" t="n">
        <x:v>150</x:v>
      </x:c>
      <x:c r="DD7" s="978" t="n">
        <x:v>12</x:v>
      </x:c>
      <x:c r="DE7" s="978"/>
      <x:c r="DF7" s="978"/>
      <x:c r="DG7" s="978"/>
      <x:c r="DH7" s="978"/>
      <x:c r="DI7" s="978"/>
      <x:c r="DJ7" s="980" t="n">
        <x:f>'S08_Defaults'!$B$37</x:f>
        <x:v>0.09</x:v>
      </x:c>
      <x:c r="DK7" s="979" t="n">
        <x:f>SUM(U7,AF7,AQ7,BB7,BM7,BX7,CI7,CT7)</x:f>
        <x:v>30.77597544936431</x:v>
      </x:c>
      <x:c r="DL7" s="979" t="n">
        <x:f>G7*DJ7</x:f>
        <x:v>24.2001</x:v>
      </x:c>
      <x:c r="DM7" s="979" t="n">
        <x:f>DK7-DL7</x:f>
        <x:v>6.575875449364311</x:v>
      </x:c>
      <x:c r="DN7" s="977" t="str">
        <x:f>IF(ABS(DM7)&lt;=MAX(0.5,0.05*ABS(DL7)),"OK","REVIEW")</x:f>
        <x:v>REVIEW</x:v>
      </x:c>
    </x:row>
    <x:row r="8" ht="15" hidden="0" customHeight="1">
      <x:c r="A8" s="138" t="s">
        <x:v>561</x:v>
      </x:c>
      <x:c r="B8" s="138" t="str">
        <x:v>Tropical &amp; Subtropical Dry Broadleaf Forests</x:v>
      </x:c>
      <x:c r="C8" s="138" t="s">
        <x:v>838</x:v>
      </x:c>
      <x:c r="D8" s="138" t="s">
        <x:v>553</x:v>
      </x:c>
      <x:c r="E8" s="138" t="n">
        <x:v>2021</x:v>
      </x:c>
      <x:c r="F8" s="138" t="n">
        <x:v>0.4429</x:v>
      </x:c>
      <x:c r="G8" s="138" t="n">
        <x:v>203.21</x:v>
      </x:c>
      <x:c r="H8" s="138" t="s">
        <x:v>865</x:v>
      </x:c>
      <x:c r="I8" s="138" t="s">
        <x:v>560</x:v>
      </x:c>
      <x:c r="J8" s="139" t="n">
        <x:f aca="0">IF($E8="Unconfirmed","",IFERROR(SUMIF(S15_Source_Strata!$B$4:$B$49,$I8,S15_Source_Strata!$H$4:$H$49),""))</x:f>
        <x:v>10.68195792924608</x:v>
      </x:c>
      <x:c r="K8" s="139" t="n">
        <x:f aca="0">IF($E8="Unconfirmed","",IFERROR(SUMIF(S15_Source_Strata!$B$4:$B$49,$I8,S15_Source_Strata!$I$4:$I$49),""))</x:f>
        <x:v>8.104137145083643</x:v>
      </x:c>
      <x:c r="L8" s="139" t="n">
        <x:f aca="0">IF($E8="Unconfirmed","",IFERROR(SUMIF(S15_Source_Strata!$B$4:$B$49,$I8,S15_Source_Strata!$J$4:$J$49),""))</x:f>
        <x:v>0.7586752539902226</x:v>
      </x:c>
      <x:c r="M8" s="139" t="n">
        <x:f aca="0">IF($E8="Unconfirmed","",IFERROR(SUMIF(S15_Source_Strata!$B$4:$B$49,$I8,S15_Source_Strata!$N$4:$N$49),""))</x:f>
        <x:v>8.01146844693456</x:v>
      </x:c>
      <x:c r="N8" s="139" t="n">
        <x:f aca="0">IF($E8="Unconfirmed","",IFERROR(SUMIF(S15_Source_Strata!$B$4:$B$49,$I8,S15_Source_Strata!$O$4:$O$49),""))</x:f>
        <x:v>0.75</x:v>
      </x:c>
      <x:c r="O8" s="139" t="n">
        <x:f aca="0">IF($E8="Unconfirmed","",IFERROR(SUMIF(S15_Source_Strata!$B$4:$B$49,$I8,S15_Source_Strata!$X$4:$X$49),""))</x:f>
        <x:v>17.119973973202708</x:v>
      </x:c>
      <x:c r="P8" s="139" t="n">
        <x:f aca="0">IF($E8="Unconfirmed","",IFERROR(SUMIF(S15_Source_Strata!$B$4:$B$49,$I8,S15_Source_Strata!$AL$4:$AL$49),""))</x:f>
        <x:v>193.2481367498435</x:v>
      </x:c>
      <x:c r="Q8" s="139" t="str">
        <x:f aca="0">IF($E8="Unconfirmed","",IFERROR(SUMIF(S15_Source_Strata!$B$4:$B$49,$I8,S15_Source_Strata!$K$4:$K$49)&amp;"/"&amp;SUMIF(S15_Source_Strata!$B$4:$B$49,$I8,S15_Source_Strata!$L$4:$L$49),""))</x:f>
        <x:v>2/7</x:v>
      </x:c>
      <x:c r="R8" s="138" t="s">
        <x:v>858</x:v>
      </x:c>
      <x:c r="S8" s="138" t="s">
        <x:v>859</x:v>
      </x:c>
      <x:c r="T8" s="138" t="s">
        <x:v>841</x:v>
      </x:c>
      <x:c r="U8" s="138" t="n">
        <x:f>IFERROR(DB8*$DJ8/$F8,0)</x:f>
        <x:v>6.096184240234815</x:v>
      </x:c>
      <x:c r="V8" s="138" t="n">
        <x:v>0.6</x:v>
      </x:c>
      <x:c r="W8" s="138" t="n">
        <x:v>25</x:v>
      </x:c>
      <x:c r="X8" s="138" t="n">
        <x:v>0.18</x:v>
      </x:c>
      <x:c r="Y8" s="138" t="n">
        <x:v>1.5</x:v>
      </x:c>
      <x:c r="Z8" s="138" t="n">
        <x:v>8</x:v>
      </x:c>
      <x:c r="AA8" s="138" t="n">
        <x:v>0.25</x:v>
      </x:c>
      <x:c r="AB8" s="138" t="n">
        <x:v>1.4</x:v>
      </x:c>
      <x:c r="AC8" s="138" t="s">
        <x:v>579</x:v>
      </x:c>
      <x:c r="AD8" s="138" t="s">
        <x:v>842</x:v>
      </x:c>
      <x:c r="AE8" s="138" t="s">
        <x:v>841</x:v>
      </x:c>
      <x:c r="AF8" s="138" t="n">
        <x:f>IFERROR(DC8*$DJ8/$F8,0)</x:f>
        <x:v>4.06412282682321</x:v>
      </x:c>
      <x:c r="AG8" s="138" t="n">
        <x:v>0.6</x:v>
      </x:c>
      <x:c r="AH8" s="138" t="n">
        <x:v>45</x:v>
      </x:c>
      <x:c r="AI8" s="138" t="n">
        <x:v>0.12</x:v>
      </x:c>
      <x:c r="AJ8" s="138" t="n">
        <x:v>1.4</x:v>
      </x:c>
      <x:c r="AK8" s="138" t="n">
        <x:v>14</x:v>
      </x:c>
      <x:c r="AL8" s="138" t="n">
        <x:v>0.18</x:v>
      </x:c>
      <x:c r="AM8" s="138" t="n">
        <x:v>1.3</x:v>
      </x:c>
      <x:c r="AN8" s="138" t="s">
        <x:v>843</x:v>
      </x:c>
      <x:c r="AO8" s="138" t="s">
        <x:v>844</x:v>
      </x:c>
      <x:c r="AP8" s="138" t="s">
        <x:v>841</x:v>
      </x:c>
      <x:c r="AQ8" s="138" t="n">
        <x:f>IFERROR(DD8*$DJ8/$F8,0)</x:f>
        <x:v>6.096184240234815</x:v>
      </x:c>
      <x:c r="AR8" s="138" t="n">
        <x:v>0.55</x:v>
      </x:c>
      <x:c r="AS8" s="138" t="n">
        <x:v>20</x:v>
      </x:c>
      <x:c r="AT8" s="138" t="n">
        <x:v>0.18</x:v>
      </x:c>
      <x:c r="AU8" s="138" t="n">
        <x:v>1.5</x:v>
      </x:c>
      <x:c r="AV8" s="138" t="n">
        <x:v>7</x:v>
      </x:c>
      <x:c r="AW8" s="138" t="n">
        <x:v>0.25</x:v>
      </x:c>
      <x:c r="AX8" s="138" t="n">
        <x:v>1.4</x:v>
      </x:c>
      <x:c r="AY8" s="138" t="s">
        <x:v>866</x:v>
      </x:c>
      <x:c r="AZ8" s="138" t="s">
        <x:v>867</x:v>
      </x:c>
      <x:c r="BA8" s="138" t="s">
        <x:v>841</x:v>
      </x:c>
      <x:c r="BB8" s="138" t="n">
        <x:f>IFERROR(DE8*$DJ8/$F8,0)</x:f>
        <x:v>2.032061413411605</x:v>
      </x:c>
      <x:c r="BC8" s="138" t="n">
        <x:v>0.6</x:v>
      </x:c>
      <x:c r="BD8" s="138" t="n">
        <x:v>25</x:v>
      </x:c>
      <x:c r="BE8" s="138" t="n">
        <x:v>0.18</x:v>
      </x:c>
      <x:c r="BF8" s="138" t="n">
        <x:v>1.5</x:v>
      </x:c>
      <x:c r="BG8" s="138" t="n">
        <x:v>8</x:v>
      </x:c>
      <x:c r="BH8" s="138" t="n">
        <x:v>0.25</x:v>
      </x:c>
      <x:c r="BI8" s="138" t="n">
        <x:v>1.4</x:v>
      </x:c>
      <x:c r="BJ8" s="138"/>
      <x:c r="BK8" s="138"/>
      <x:c r="BL8" s="138"/>
      <x:c r="BM8" s="138" t="n">
        <x:f>IFERROR(DF8*$DJ8/$F8,0)</x:f>
        <x:v>0</x:v>
      </x:c>
      <x:c r="BN8" s="138"/>
      <x:c r="BO8" s="138"/>
      <x:c r="BP8" s="138"/>
      <x:c r="BQ8" s="138"/>
      <x:c r="BR8" s="138"/>
      <x:c r="BS8" s="138"/>
      <x:c r="BT8" s="138"/>
      <x:c r="BU8" s="138"/>
      <x:c r="BV8" s="138"/>
      <x:c r="BW8" s="138"/>
      <x:c r="BX8" s="138" t="n">
        <x:f>IFERROR(DG8*$DJ8/$F8,0)</x:f>
        <x:v>0</x:v>
      </x:c>
      <x:c r="BY8" s="138"/>
      <x:c r="BZ8" s="138"/>
      <x:c r="CA8" s="138"/>
      <x:c r="CB8" s="138"/>
      <x:c r="CC8" s="138"/>
      <x:c r="CD8" s="138"/>
      <x:c r="CE8" s="138"/>
      <x:c r="CF8" s="138"/>
      <x:c r="CG8" s="138"/>
      <x:c r="CH8" s="138"/>
      <x:c r="CI8" s="138" t="n">
        <x:f>IFERROR(DH8*$DJ8/$F8,0)</x:f>
        <x:v>0</x:v>
      </x:c>
      <x:c r="CJ8" s="138"/>
      <x:c r="CK8" s="138"/>
      <x:c r="CL8" s="138"/>
      <x:c r="CM8" s="138"/>
      <x:c r="CN8" s="138"/>
      <x:c r="CO8" s="138"/>
      <x:c r="CP8" s="138"/>
      <x:c r="CQ8" s="138"/>
      <x:c r="CR8" s="138"/>
      <x:c r="CS8" s="138"/>
      <x:c r="CT8" s="138" t="n">
        <x:f>IFERROR(DI8*$DJ8/$F8,0)</x:f>
        <x:v>0</x:v>
      </x:c>
      <x:c r="CU8" s="138"/>
      <x:c r="CV8" s="138"/>
      <x:c r="CW8" s="138"/>
      <x:c r="CX8" s="138"/>
      <x:c r="CY8" s="138"/>
      <x:c r="CZ8" s="138"/>
      <x:c r="DA8" s="138"/>
      <x:c r="DB8" s="978" t="n">
        <x:v>30</x:v>
      </x:c>
      <x:c r="DC8" s="978" t="n">
        <x:v>20</x:v>
      </x:c>
      <x:c r="DD8" s="978" t="n">
        <x:v>30</x:v>
      </x:c>
      <x:c r="DE8" s="978" t="n">
        <x:v>10</x:v>
      </x:c>
      <x:c r="DF8" s="978"/>
      <x:c r="DG8" s="978"/>
      <x:c r="DH8" s="978"/>
      <x:c r="DI8" s="978"/>
      <x:c r="DJ8" s="980" t="n">
        <x:f>'S08_Defaults'!$B$37</x:f>
        <x:v>0.09</x:v>
      </x:c>
      <x:c r="DK8" s="979" t="n">
        <x:f>SUM(U8,AF8,AQ8,BB8,BM8,BX8,CI8,CT8)</x:f>
        <x:v>18.288552720704445</x:v>
      </x:c>
      <x:c r="DL8" s="979" t="n">
        <x:f>G8*DJ8</x:f>
        <x:v>18.2889</x:v>
      </x:c>
      <x:c r="DM8" s="979" t="n">
        <x:f>DK8-DL8</x:f>
        <x:v>-0.00034727929555700143</x:v>
      </x:c>
      <x:c r="DN8" s="977" t="str">
        <x:f>IF(ABS(DM8)&lt;=MAX(0.5,0.05*ABS(DL8)),"OK","REVIEW")</x:f>
        <x:v>OK</x:v>
      </x:c>
    </x:row>
    <x:row r="9" ht="15" hidden="0" customHeight="1">
      <x:c r="A9" s="138" t="s">
        <x:v>563</x:v>
      </x:c>
      <x:c r="B9" s="138" t="str">
        <x:v>Deserts &amp; Xeric Shrublands</x:v>
      </x:c>
      <x:c r="C9" s="138" t="s">
        <x:v>838</x:v>
      </x:c>
      <x:c r="D9" s="138" t="s">
        <x:v>542</x:v>
      </x:c>
      <x:c r="E9" s="138" t="n">
        <x:v>2022</x:v>
      </x:c>
      <x:c r="F9" s="138" t="n">
        <x:v>0.7879</x:v>
      </x:c>
      <x:c r="G9" s="138" t="n">
        <x:v>654.91</x:v>
      </x:c>
      <x:c r="H9" s="138" t="s">
        <x:v>868</x:v>
      </x:c>
      <x:c r="I9" s="138" t="s">
        <x:v>565</x:v>
      </x:c>
      <x:c r="J9" s="139" t="n">
        <x:f aca="0">IF($E9="Unconfirmed","",IFERROR(SUMIF(S15_Source_Strata!$B$4:$B$49,$I9,S15_Source_Strata!$H$4:$H$49),""))</x:f>
        <x:v>6.133009810088883</x:v>
      </x:c>
      <x:c r="K9" s="139" t="n">
        <x:f aca="0">IF($E9="Unconfirmed","",IFERROR(SUMIF(S15_Source_Strata!$B$4:$B$49,$I9,S15_Source_Strata!$I$4:$I$49),""))</x:f>
        <x:v>2.3733326523359404</x:v>
      </x:c>
      <x:c r="L9" s="139" t="n">
        <x:f aca="0">IF($E9="Unconfirmed","",IFERROR(SUMIF(S15_Source_Strata!$B$4:$B$49,$I9,S15_Source_Strata!$J$4:$J$49),""))</x:f>
        <x:v>0.3869768230978168</x:v>
      </x:c>
      <x:c r="M9" s="139" t="n">
        <x:f aca="0">IF($E9="Unconfirmed","",IFERROR(SUMIF(S15_Source_Strata!$B$4:$B$49,$I9,S15_Source_Strata!$N$4:$N$49),""))</x:f>
        <x:v>4.599757357566662</x:v>
      </x:c>
      <x:c r="N9" s="139" t="n">
        <x:f aca="0">IF($E9="Unconfirmed","",IFERROR(SUMIF(S15_Source_Strata!$B$4:$B$49,$I9,S15_Source_Strata!$O$4:$O$49),""))</x:f>
        <x:v>0.75</x:v>
      </x:c>
      <x:c r="O9" s="139" t="n">
        <x:f aca="0">IF($E9="Unconfirmed","",IFERROR(SUMIF(S15_Source_Strata!$B$4:$B$49,$I9,S15_Source_Strata!$X$4:$X$49),""))</x:f>
        <x:v>9.829374822629461</x:v>
      </x:c>
      <x:c r="P9" s="139" t="n">
        <x:f aca="0">IF($E9="Unconfirmed","",IFERROR(SUMIF(S15_Source_Strata!$B$4:$B$49,$I9,S15_Source_Strata!$AL$4:$AL$49),""))</x:f>
        <x:v>130.62168649784536</x:v>
      </x:c>
      <x:c r="Q9" s="139" t="str">
        <x:f aca="0">IF($E9="Unconfirmed","",IFERROR(SUMIF(S15_Source_Strata!$B$4:$B$49,$I9,S15_Source_Strata!$K$4:$K$49)&amp;"/"&amp;SUMIF(S15_Source_Strata!$B$4:$B$49,$I9,S15_Source_Strata!$L$4:$L$49),""))</x:f>
        <x:v>1/3</x:v>
      </x:c>
      <x:c r="R9" s="138" t="s">
        <x:v>848</x:v>
      </x:c>
      <x:c r="S9" s="138" t="s">
        <x:v>849</x:v>
      </x:c>
      <x:c r="T9" s="138" t="s">
        <x:v>841</x:v>
      </x:c>
      <x:c r="U9" s="138" t="n">
        <x:f>IFERROR(DB9*$DJ9/$F9,0)</x:f>
        <x:v>57.11384693489021</x:v>
      </x:c>
      <x:c r="V9" s="138" t="n">
        <x:v>0.6</x:v>
      </x:c>
      <x:c r="W9" s="138" t="n">
        <x:v>25</x:v>
      </x:c>
      <x:c r="X9" s="138" t="n">
        <x:v>0.18</x:v>
      </x:c>
      <x:c r="Y9" s="138" t="n">
        <x:v>1.5</x:v>
      </x:c>
      <x:c r="Z9" s="138" t="n">
        <x:v>8</x:v>
      </x:c>
      <x:c r="AA9" s="138" t="n">
        <x:v>0.25</x:v>
      </x:c>
      <x:c r="AB9" s="138" t="n">
        <x:v>1.4</x:v>
      </x:c>
      <x:c r="AC9" s="138" t="s">
        <x:v>861</x:v>
      </x:c>
      <x:c r="AD9" s="138" t="s">
        <x:v>862</x:v>
      </x:c>
      <x:c r="AE9" s="138" t="s">
        <x:v>841</x:v>
      </x:c>
      <x:c r="AF9" s="138" t="n">
        <x:f>IFERROR(DC9*$DJ9/$F9,0)</x:f>
        <x:v>0.9138215509582434</x:v>
      </x:c>
      <x:c r="AG9" s="138" t="n">
        <x:v>0.65</x:v>
      </x:c>
      <x:c r="AH9" s="138" t="n">
        <x:v>35</x:v>
      </x:c>
      <x:c r="AI9" s="138" t="n">
        <x:v>0.13</x:v>
      </x:c>
      <x:c r="AJ9" s="138" t="n">
        <x:v>1.4</x:v>
      </x:c>
      <x:c r="AK9" s="138" t="n">
        <x:v>15</x:v>
      </x:c>
      <x:c r="AL9" s="138" t="n">
        <x:v>0.18</x:v>
      </x:c>
      <x:c r="AM9" s="138" t="n">
        <x:v>1.3</x:v>
      </x:c>
      <x:c r="AN9" s="138" t="s">
        <x:v>579</x:v>
      </x:c>
      <x:c r="AO9" s="138" t="s">
        <x:v>842</x:v>
      </x:c>
      <x:c r="AP9" s="138" t="s">
        <x:v>841</x:v>
      </x:c>
      <x:c r="AQ9" s="138" t="n">
        <x:f>IFERROR(DD9*$DJ9/$F9,0)</x:f>
        <x:v>0.9138215509582434</x:v>
      </x:c>
      <x:c r="AR9" s="138" t="n">
        <x:v>0.6</x:v>
      </x:c>
      <x:c r="AS9" s="138" t="n">
        <x:v>45</x:v>
      </x:c>
      <x:c r="AT9" s="138" t="n">
        <x:v>0.12</x:v>
      </x:c>
      <x:c r="AU9" s="138" t="n">
        <x:v>1.4</x:v>
      </x:c>
      <x:c r="AV9" s="138" t="n">
        <x:v>14</x:v>
      </x:c>
      <x:c r="AW9" s="138" t="n">
        <x:v>0.18</x:v>
      </x:c>
      <x:c r="AX9" s="138" t="n">
        <x:v>1.3</x:v>
      </x:c>
      <x:c r="AY9" s="138" t="s">
        <x:v>863</x:v>
      </x:c>
      <x:c r="AZ9" s="138" t="s">
        <x:v>864</x:v>
      </x:c>
      <x:c r="BA9" s="138" t="s">
        <x:v>841</x:v>
      </x:c>
      <x:c r="BB9" s="138" t="n">
        <x:f>IFERROR(DE9*$DJ9/$F9,0)</x:f>
        <x:v>0.6853661632186826</x:v>
      </x:c>
      <x:c r="BC9" s="138" t="n">
        <x:v>0.65</x:v>
      </x:c>
      <x:c r="BD9" s="138" t="n">
        <x:v>35</x:v>
      </x:c>
      <x:c r="BE9" s="138" t="n">
        <x:v>0.13</x:v>
      </x:c>
      <x:c r="BF9" s="138" t="n">
        <x:v>1.4</x:v>
      </x:c>
      <x:c r="BG9" s="138" t="n">
        <x:v>15</x:v>
      </x:c>
      <x:c r="BH9" s="138" t="n">
        <x:v>0.18</x:v>
      </x:c>
      <x:c r="BI9" s="138" t="n">
        <x:v>1.3</x:v>
      </x:c>
      <x:c r="BJ9" s="138"/>
      <x:c r="BK9" s="138"/>
      <x:c r="BL9" s="138"/>
      <x:c r="BM9" s="138" t="n">
        <x:f>IFERROR(DF9*$DJ9/$F9,0)</x:f>
        <x:v>0</x:v>
      </x:c>
      <x:c r="BN9" s="138"/>
      <x:c r="BO9" s="138"/>
      <x:c r="BP9" s="138"/>
      <x:c r="BQ9" s="138"/>
      <x:c r="BR9" s="138"/>
      <x:c r="BS9" s="138"/>
      <x:c r="BT9" s="138"/>
      <x:c r="BU9" s="138"/>
      <x:c r="BV9" s="138"/>
      <x:c r="BW9" s="138"/>
      <x:c r="BX9" s="138" t="n">
        <x:f>IFERROR(DG9*$DJ9/$F9,0)</x:f>
        <x:v>0</x:v>
      </x:c>
      <x:c r="BY9" s="138"/>
      <x:c r="BZ9" s="138"/>
      <x:c r="CA9" s="138"/>
      <x:c r="CB9" s="138"/>
      <x:c r="CC9" s="138"/>
      <x:c r="CD9" s="138"/>
      <x:c r="CE9" s="138"/>
      <x:c r="CF9" s="138"/>
      <x:c r="CG9" s="138"/>
      <x:c r="CH9" s="138"/>
      <x:c r="CI9" s="138" t="n">
        <x:f>IFERROR(DH9*$DJ9/$F9,0)</x:f>
        <x:v>0</x:v>
      </x:c>
      <x:c r="CJ9" s="138"/>
      <x:c r="CK9" s="138"/>
      <x:c r="CL9" s="138"/>
      <x:c r="CM9" s="138"/>
      <x:c r="CN9" s="138"/>
      <x:c r="CO9" s="138"/>
      <x:c r="CP9" s="138"/>
      <x:c r="CQ9" s="138"/>
      <x:c r="CR9" s="138"/>
      <x:c r="CS9" s="138"/>
      <x:c r="CT9" s="138" t="n">
        <x:f>IFERROR(DI9*$DJ9/$F9,0)</x:f>
        <x:v>0</x:v>
      </x:c>
      <x:c r="CU9" s="138"/>
      <x:c r="CV9" s="138"/>
      <x:c r="CW9" s="138"/>
      <x:c r="CX9" s="138"/>
      <x:c r="CY9" s="138"/>
      <x:c r="CZ9" s="138"/>
      <x:c r="DA9" s="138"/>
      <x:c r="DB9" s="978" t="n">
        <x:v>500</x:v>
      </x:c>
      <x:c r="DC9" s="978" t="n">
        <x:v>8</x:v>
      </x:c>
      <x:c r="DD9" s="978" t="n">
        <x:v>8</x:v>
      </x:c>
      <x:c r="DE9" s="978" t="n">
        <x:v>6</x:v>
      </x:c>
      <x:c r="DF9" s="978"/>
      <x:c r="DG9" s="978"/>
      <x:c r="DH9" s="978"/>
      <x:c r="DI9" s="978"/>
      <x:c r="DJ9" s="980" t="n">
        <x:f>'S08_Defaults'!$B$37</x:f>
        <x:v>0.09</x:v>
      </x:c>
      <x:c r="DK9" s="979" t="n">
        <x:f>SUM(U9,AF9,AQ9,BB9,BM9,BX9,CI9,CT9)</x:f>
        <x:v>59.62685620002539</x:v>
      </x:c>
      <x:c r="DL9" s="979" t="n">
        <x:f>G9*DJ9</x:f>
        <x:v>58.9419</x:v>
      </x:c>
      <x:c r="DM9" s="979" t="n">
        <x:f>DK9-DL9</x:f>
        <x:v>0.6849562000253897</x:v>
      </x:c>
      <x:c r="DN9" s="977" t="str">
        <x:f>IF(ABS(DM9)&lt;=MAX(0.5,0.05*ABS(DL9)),"OK","REVIEW")</x:f>
        <x:v>OK</x:v>
      </x:c>
    </x:row>
    <x:row r="10" ht="15" hidden="0" customHeight="1">
      <x:c r="A10" s="138" t="s">
        <x:v>566</x:v>
      </x:c>
      <x:c r="B10" s="138" t="str">
        <x:v>Deserts &amp; Xeric Shrublands</x:v>
      </x:c>
      <x:c r="C10" s="138" t="s">
        <x:v>838</x:v>
      </x:c>
      <x:c r="D10" s="138" t="s">
        <x:v>553</x:v>
      </x:c>
      <x:c r="E10" s="138" t="n">
        <x:v>2022</x:v>
      </x:c>
      <x:c r="F10" s="138" t="n">
        <x:v>1.5855</x:v>
      </x:c>
      <x:c r="G10" s="138" t="n">
        <x:v>283.82</x:v>
      </x:c>
      <x:c r="H10" s="138" t="s">
        <x:v>869</x:v>
      </x:c>
      <x:c r="I10" s="138" t="s">
        <x:v>568</x:v>
      </x:c>
      <x:c r="J10" s="139" t="n">
        <x:f aca="0">IF($E10="Unconfirmed","",IFERROR(SUMIF(S15_Source_Strata!$B$4:$B$49,$I10,S15_Source_Strata!$H$4:$H$49),""))</x:f>
        <x:v>4.546069523273433</x:v>
      </x:c>
      <x:c r="K10" s="139" t="n">
        <x:f aca="0">IF($E10="Unconfirmed","",IFERROR(SUMIF(S15_Source_Strata!$B$4:$B$49,$I10,S15_Source_Strata!$I$4:$I$49),""))</x:f>
        <x:v>0.558202187631231</x:v>
      </x:c>
      <x:c r="L10" s="139" t="n">
        <x:f aca="0">IF($E10="Unconfirmed","",IFERROR(SUMIF(S15_Source_Strata!$B$4:$B$49,$I10,S15_Source_Strata!$J$4:$J$49),""))</x:f>
        <x:v>0.12278786867942423</x:v>
      </x:c>
      <x:c r="M10" s="139" t="n">
        <x:f aca="0">IF($E10="Unconfirmed","",IFERROR(SUMIF(S15_Source_Strata!$B$4:$B$49,$I10,S15_Source_Strata!$N$4:$N$49),""))</x:f>
        <x:v>3.4095521424550745</x:v>
      </x:c>
      <x:c r="N10" s="139" t="n">
        <x:f aca="0">IF($E10="Unconfirmed","",IFERROR(SUMIF(S15_Source_Strata!$B$4:$B$49,$I10,S15_Source_Strata!$O$4:$O$49),""))</x:f>
        <x:v>0.75</x:v>
      </x:c>
      <x:c r="O10" s="139" t="n">
        <x:f aca="0">IF($E10="Unconfirmed","",IFERROR(SUMIF(S15_Source_Strata!$B$4:$B$49,$I10,S15_Source_Strata!$X$4:$X$49),""))</x:f>
        <x:v>7.285985624950337</x:v>
      </x:c>
      <x:c r="P10" s="139" t="n">
        <x:f aca="0">IF($E10="Unconfirmed","",IFERROR(SUMIF(S15_Source_Strata!$B$4:$B$49,$I10,S15_Source_Strata!$AL$4:$AL$49),""))</x:f>
        <x:v>115.74500348381126</x:v>
      </x:c>
      <x:c r="Q10" s="139" t="str">
        <x:f aca="0">IF($E10="Unconfirmed","",IFERROR(SUMIF(S15_Source_Strata!$B$4:$B$49,$I10,S15_Source_Strata!$K$4:$K$49)&amp;"/"&amp;SUMIF(S15_Source_Strata!$B$4:$B$49,$I10,S15_Source_Strata!$L$4:$L$49),""))</x:f>
        <x:v>2/7</x:v>
      </x:c>
      <x:c r="R10" s="138" t="s">
        <x:v>579</x:v>
      </x:c>
      <x:c r="S10" s="138" t="s">
        <x:v>842</x:v>
      </x:c>
      <x:c r="T10" s="138" t="s">
        <x:v>841</x:v>
      </x:c>
      <x:c r="U10" s="138" t="n">
        <x:f>IFERROR(DB10*$DJ10/$F10,0)</x:f>
        <x:v>5.676442762535478</x:v>
      </x:c>
      <x:c r="V10" s="138" t="n">
        <x:v>0.6</x:v>
      </x:c>
      <x:c r="W10" s="138" t="n">
        <x:v>45</x:v>
      </x:c>
      <x:c r="X10" s="138" t="n">
        <x:v>0.12</x:v>
      </x:c>
      <x:c r="Y10" s="138" t="n">
        <x:v>1.4</x:v>
      </x:c>
      <x:c r="Z10" s="138" t="n">
        <x:v>14</x:v>
      </x:c>
      <x:c r="AA10" s="138" t="n">
        <x:v>0.18</x:v>
      </x:c>
      <x:c r="AB10" s="138" t="n">
        <x:v>1.3</x:v>
      </x:c>
      <x:c r="AC10" s="138" t="s">
        <x:v>861</x:v>
      </x:c>
      <x:c r="AD10" s="138" t="s">
        <x:v>862</x:v>
      </x:c>
      <x:c r="AE10" s="138" t="s">
        <x:v>841</x:v>
      </x:c>
      <x:c r="AF10" s="138" t="n">
        <x:f>IFERROR(DC10*$DJ10/$F10,0)</x:f>
        <x:v>0.5676442762535477</x:v>
      </x:c>
      <x:c r="AG10" s="138" t="n">
        <x:v>0.65</x:v>
      </x:c>
      <x:c r="AH10" s="138" t="n">
        <x:v>35</x:v>
      </x:c>
      <x:c r="AI10" s="138" t="n">
        <x:v>0.13</x:v>
      </x:c>
      <x:c r="AJ10" s="138" t="n">
        <x:v>1.4</x:v>
      </x:c>
      <x:c r="AK10" s="138" t="n">
        <x:v>15</x:v>
      </x:c>
      <x:c r="AL10" s="138" t="n">
        <x:v>0.18</x:v>
      </x:c>
      <x:c r="AM10" s="138" t="n">
        <x:v>1.3</x:v>
      </x:c>
      <x:c r="AN10" s="138" t="s">
        <x:v>848</x:v>
      </x:c>
      <x:c r="AO10" s="138" t="s">
        <x:v>849</x:v>
      </x:c>
      <x:c r="AP10" s="138" t="s">
        <x:v>841</x:v>
      </x:c>
      <x:c r="AQ10" s="138" t="n">
        <x:f>IFERROR(DD10*$DJ10/$F10,0)</x:f>
        <x:v>23.841059602649008</x:v>
      </x:c>
      <x:c r="AR10" s="138" t="n">
        <x:v>0.6</x:v>
      </x:c>
      <x:c r="AS10" s="138" t="n">
        <x:v>25</x:v>
      </x:c>
      <x:c r="AT10" s="138" t="n">
        <x:v>0.18</x:v>
      </x:c>
      <x:c r="AU10" s="138" t="n">
        <x:v>1.5</x:v>
      </x:c>
      <x:c r="AV10" s="138" t="n">
        <x:v>8</x:v>
      </x:c>
      <x:c r="AW10" s="138" t="n">
        <x:v>0.25</x:v>
      </x:c>
      <x:c r="AX10" s="138" t="n">
        <x:v>1.4</x:v>
      </x:c>
      <x:c r="AY10" s="138"/>
      <x:c r="AZ10" s="138"/>
      <x:c r="BA10" s="138"/>
      <x:c r="BB10" s="138" t="n">
        <x:f>IFERROR(DE10*$DJ10/$F10,0)</x:f>
        <x:v>0</x:v>
      </x:c>
      <x:c r="BC10" s="138"/>
      <x:c r="BD10" s="138"/>
      <x:c r="BE10" s="138"/>
      <x:c r="BF10" s="138"/>
      <x:c r="BG10" s="138"/>
      <x:c r="BH10" s="138"/>
      <x:c r="BI10" s="138"/>
      <x:c r="BJ10" s="138"/>
      <x:c r="BK10" s="138"/>
      <x:c r="BL10" s="138"/>
      <x:c r="BM10" s="138" t="n">
        <x:f>IFERROR(DF10*$DJ10/$F10,0)</x:f>
        <x:v>0</x:v>
      </x:c>
      <x:c r="BN10" s="138"/>
      <x:c r="BO10" s="138"/>
      <x:c r="BP10" s="138"/>
      <x:c r="BQ10" s="138"/>
      <x:c r="BR10" s="138"/>
      <x:c r="BS10" s="138"/>
      <x:c r="BT10" s="138"/>
      <x:c r="BU10" s="138"/>
      <x:c r="BV10" s="138"/>
      <x:c r="BW10" s="138"/>
      <x:c r="BX10" s="138" t="n">
        <x:f>IFERROR(DG10*$DJ10/$F10,0)</x:f>
        <x:v>0</x:v>
      </x:c>
      <x:c r="BY10" s="138"/>
      <x:c r="BZ10" s="138"/>
      <x:c r="CA10" s="138"/>
      <x:c r="CB10" s="138"/>
      <x:c r="CC10" s="138"/>
      <x:c r="CD10" s="138"/>
      <x:c r="CE10" s="138"/>
      <x:c r="CF10" s="138"/>
      <x:c r="CG10" s="138"/>
      <x:c r="CH10" s="138"/>
      <x:c r="CI10" s="138" t="n">
        <x:f>IFERROR(DH10*$DJ10/$F10,0)</x:f>
        <x:v>0</x:v>
      </x:c>
      <x:c r="CJ10" s="138"/>
      <x:c r="CK10" s="138"/>
      <x:c r="CL10" s="138"/>
      <x:c r="CM10" s="138"/>
      <x:c r="CN10" s="138"/>
      <x:c r="CO10" s="138"/>
      <x:c r="CP10" s="138"/>
      <x:c r="CQ10" s="138"/>
      <x:c r="CR10" s="138"/>
      <x:c r="CS10" s="138"/>
      <x:c r="CT10" s="138" t="n">
        <x:f>IFERROR(DI10*$DJ10/$F10,0)</x:f>
        <x:v>0</x:v>
      </x:c>
      <x:c r="CU10" s="138"/>
      <x:c r="CV10" s="138"/>
      <x:c r="CW10" s="138"/>
      <x:c r="CX10" s="138"/>
      <x:c r="CY10" s="138"/>
      <x:c r="CZ10" s="138"/>
      <x:c r="DA10" s="138"/>
      <x:c r="DB10" s="978" t="n">
        <x:v>100</x:v>
      </x:c>
      <x:c r="DC10" s="978" t="n">
        <x:v>10</x:v>
      </x:c>
      <x:c r="DD10" s="978" t="n">
        <x:v>420</x:v>
      </x:c>
      <x:c r="DE10" s="978"/>
      <x:c r="DF10" s="978"/>
      <x:c r="DG10" s="978"/>
      <x:c r="DH10" s="978"/>
      <x:c r="DI10" s="978"/>
      <x:c r="DJ10" s="980" t="n">
        <x:f>'S08_Defaults'!$B$37</x:f>
        <x:v>0.09</x:v>
      </x:c>
      <x:c r="DK10" s="979" t="n">
        <x:f>SUM(U10,AF10,AQ10,BB10,BM10,BX10,CI10,CT10)</x:f>
        <x:v>30.085146641438033</x:v>
      </x:c>
      <x:c r="DL10" s="979" t="n">
        <x:f>G10*DJ10</x:f>
        <x:v>25.543799999999997</x:v>
      </x:c>
      <x:c r="DM10" s="979" t="n">
        <x:f>DK10-DL10</x:f>
        <x:v>4.541346641438036</x:v>
      </x:c>
      <x:c r="DN10" s="977" t="str">
        <x:f>IF(ABS(DM10)&lt;=MAX(0.5,0.05*ABS(DL10)),"OK","REVIEW")</x:f>
        <x:v>REVIEW</x:v>
      </x:c>
    </x:row>
    <x:row r="11" ht="15" hidden="0" customHeight="1">
      <x:c r="A11" s="138" t="s">
        <x:v>569</x:v>
      </x:c>
      <x:c r="B11" s="138" t="str">
        <x:v>Tropical &amp; Subtropical Moist Broadleaf Forests</x:v>
      </x:c>
      <x:c r="C11" s="138" t="s">
        <x:v>838</x:v>
      </x:c>
      <x:c r="D11" s="138" t="s">
        <x:v>553</x:v>
      </x:c>
      <x:c r="E11" s="138" t="n">
        <x:v>2022</x:v>
      </x:c>
      <x:c r="F11" s="138" t="n">
        <x:v>0.8609</x:v>
      </x:c>
      <x:c r="G11" s="138" t="n">
        <x:v>238.12</x:v>
      </x:c>
      <x:c r="H11" s="138" t="s">
        <x:v>870</x:v>
      </x:c>
      <x:c r="I11" s="138" t="s">
        <x:v>568</x:v>
      </x:c>
      <x:c r="J11" s="139" t="n">
        <x:f aca="0">IF($E11="Unconfirmed","",IFERROR(SUMIF(S15_Source_Strata!$B$4:$B$49,$I11,S15_Source_Strata!$H$4:$H$49),""))</x:f>
        <x:v>4.546069523273433</x:v>
      </x:c>
      <x:c r="K11" s="139" t="n">
        <x:f aca="0">IF($E11="Unconfirmed","",IFERROR(SUMIF(S15_Source_Strata!$B$4:$B$49,$I11,S15_Source_Strata!$I$4:$I$49),""))</x:f>
        <x:v>0.558202187631231</x:v>
      </x:c>
      <x:c r="L11" s="139" t="n">
        <x:f aca="0">IF($E11="Unconfirmed","",IFERROR(SUMIF(S15_Source_Strata!$B$4:$B$49,$I11,S15_Source_Strata!$J$4:$J$49),""))</x:f>
        <x:v>0.12278786867942423</x:v>
      </x:c>
      <x:c r="M11" s="139" t="n">
        <x:f aca="0">IF($E11="Unconfirmed","",IFERROR(SUMIF(S15_Source_Strata!$B$4:$B$49,$I11,S15_Source_Strata!$N$4:$N$49),""))</x:f>
        <x:v>3.4095521424550745</x:v>
      </x:c>
      <x:c r="N11" s="139" t="n">
        <x:f aca="0">IF($E11="Unconfirmed","",IFERROR(SUMIF(S15_Source_Strata!$B$4:$B$49,$I11,S15_Source_Strata!$O$4:$O$49),""))</x:f>
        <x:v>0.75</x:v>
      </x:c>
      <x:c r="O11" s="139" t="n">
        <x:f aca="0">IF($E11="Unconfirmed","",IFERROR(SUMIF(S15_Source_Strata!$B$4:$B$49,$I11,S15_Source_Strata!$X$4:$X$49),""))</x:f>
        <x:v>7.285985624950337</x:v>
      </x:c>
      <x:c r="P11" s="139" t="n">
        <x:f aca="0">IF($E11="Unconfirmed","",IFERROR(SUMIF(S15_Source_Strata!$B$4:$B$49,$I11,S15_Source_Strata!$AL$4:$AL$49),""))</x:f>
        <x:v>115.74500348381126</x:v>
      </x:c>
      <x:c r="Q11" s="139" t="str">
        <x:f aca="0">IF($E11="Unconfirmed","",IFERROR(SUMIF(S15_Source_Strata!$B$4:$B$49,$I11,S15_Source_Strata!$K$4:$K$49)&amp;"/"&amp;SUMIF(S15_Source_Strata!$B$4:$B$49,$I11,S15_Source_Strata!$L$4:$L$49),""))</x:f>
        <x:v>2/7</x:v>
      </x:c>
      <x:c r="R11" s="138" t="s">
        <x:v>570</x:v>
      </x:c>
      <x:c r="S11" s="138" t="s">
        <x:v>840</x:v>
      </x:c>
      <x:c r="T11" s="138" t="s">
        <x:v>841</x:v>
      </x:c>
      <x:c r="U11" s="138" t="n">
        <x:f>IFERROR(DB11*$DJ11/$F11,0)</x:f>
        <x:v>21.43106051806249</x:v>
      </x:c>
      <x:c r="V11" s="138" t="n">
        <x:v>0.5</x:v>
      </x:c>
      <x:c r="W11" s="138" t="n">
        <x:v>35</x:v>
      </x:c>
      <x:c r="X11" s="138" t="n">
        <x:v>0.14</x:v>
      </x:c>
      <x:c r="Y11" s="138" t="n">
        <x:v>1.4</x:v>
      </x:c>
      <x:c r="Z11" s="138" t="n">
        <x:v>12</x:v>
      </x:c>
      <x:c r="AA11" s="138" t="n">
        <x:v>0.2</x:v>
      </x:c>
      <x:c r="AB11" s="138" t="n">
        <x:v>1.3</x:v>
      </x:c>
      <x:c r="AC11" s="138"/>
      <x:c r="AD11" s="138"/>
      <x:c r="AE11" s="138"/>
      <x:c r="AF11" s="138" t="n">
        <x:f>IFERROR(DC11*$DJ11/$F11,0)</x:f>
        <x:v>0</x:v>
      </x:c>
      <x:c r="AG11" s="138"/>
      <x:c r="AH11" s="138"/>
      <x:c r="AI11" s="138"/>
      <x:c r="AJ11" s="138"/>
      <x:c r="AK11" s="138"/>
      <x:c r="AL11" s="138"/>
      <x:c r="AM11" s="138"/>
      <x:c r="AN11" s="138"/>
      <x:c r="AO11" s="138"/>
      <x:c r="AP11" s="138"/>
      <x:c r="AQ11" s="138" t="n">
        <x:f>IFERROR(DD11*$DJ11/$F11,0)</x:f>
        <x:v>0</x:v>
      </x:c>
      <x:c r="AR11" s="138"/>
      <x:c r="AS11" s="138"/>
      <x:c r="AT11" s="138"/>
      <x:c r="AU11" s="138"/>
      <x:c r="AV11" s="138"/>
      <x:c r="AW11" s="138"/>
      <x:c r="AX11" s="138"/>
      <x:c r="AY11" s="138"/>
      <x:c r="AZ11" s="138"/>
      <x:c r="BA11" s="138"/>
      <x:c r="BB11" s="138" t="n">
        <x:f>IFERROR(DE11*$DJ11/$F11,0)</x:f>
        <x:v>0</x:v>
      </x:c>
      <x:c r="BC11" s="138"/>
      <x:c r="BD11" s="138"/>
      <x:c r="BE11" s="138"/>
      <x:c r="BF11" s="138"/>
      <x:c r="BG11" s="138"/>
      <x:c r="BH11" s="138"/>
      <x:c r="BI11" s="138"/>
      <x:c r="BJ11" s="138"/>
      <x:c r="BK11" s="138"/>
      <x:c r="BL11" s="138"/>
      <x:c r="BM11" s="138" t="n">
        <x:f>IFERROR(DF11*$DJ11/$F11,0)</x:f>
        <x:v>0</x:v>
      </x:c>
      <x:c r="BN11" s="138"/>
      <x:c r="BO11" s="138"/>
      <x:c r="BP11" s="138"/>
      <x:c r="BQ11" s="138"/>
      <x:c r="BR11" s="138"/>
      <x:c r="BS11" s="138"/>
      <x:c r="BT11" s="138"/>
      <x:c r="BU11" s="138"/>
      <x:c r="BV11" s="138"/>
      <x:c r="BW11" s="138"/>
      <x:c r="BX11" s="138" t="n">
        <x:f>IFERROR(DG11*$DJ11/$F11,0)</x:f>
        <x:v>0</x:v>
      </x:c>
      <x:c r="BY11" s="138"/>
      <x:c r="BZ11" s="138"/>
      <x:c r="CA11" s="138"/>
      <x:c r="CB11" s="138"/>
      <x:c r="CC11" s="138"/>
      <x:c r="CD11" s="138"/>
      <x:c r="CE11" s="138"/>
      <x:c r="CF11" s="138"/>
      <x:c r="CG11" s="138"/>
      <x:c r="CH11" s="138"/>
      <x:c r="CI11" s="138" t="n">
        <x:f>IFERROR(DH11*$DJ11/$F11,0)</x:f>
        <x:v>0</x:v>
      </x:c>
      <x:c r="CJ11" s="138"/>
      <x:c r="CK11" s="138"/>
      <x:c r="CL11" s="138"/>
      <x:c r="CM11" s="138"/>
      <x:c r="CN11" s="138"/>
      <x:c r="CO11" s="138"/>
      <x:c r="CP11" s="138"/>
      <x:c r="CQ11" s="138"/>
      <x:c r="CR11" s="138"/>
      <x:c r="CS11" s="138"/>
      <x:c r="CT11" s="138" t="n">
        <x:f>IFERROR(DI11*$DJ11/$F11,0)</x:f>
        <x:v>0</x:v>
      </x:c>
      <x:c r="CU11" s="138"/>
      <x:c r="CV11" s="138"/>
      <x:c r="CW11" s="138"/>
      <x:c r="CX11" s="138"/>
      <x:c r="CY11" s="138"/>
      <x:c r="CZ11" s="138"/>
      <x:c r="DA11" s="138"/>
      <x:c r="DB11" s="978" t="n">
        <x:v>205</x:v>
      </x:c>
      <x:c r="DC11" s="978"/>
      <x:c r="DD11" s="978"/>
      <x:c r="DE11" s="978"/>
      <x:c r="DF11" s="978"/>
      <x:c r="DG11" s="978"/>
      <x:c r="DH11" s="978"/>
      <x:c r="DI11" s="978"/>
      <x:c r="DJ11" s="980" t="n">
        <x:f>'S08_Defaults'!$B$37</x:f>
        <x:v>0.09</x:v>
      </x:c>
      <x:c r="DK11" s="979" t="n">
        <x:f>SUM(U11,AF11,AQ11,BB11,BM11,BX11,CI11,CT11)</x:f>
        <x:v>21.43106051806249</x:v>
      </x:c>
      <x:c r="DL11" s="979" t="n">
        <x:f>G11*DJ11</x:f>
        <x:v>21.430799999999998</x:v>
      </x:c>
      <x:c r="DM11" s="979" t="n">
        <x:f>DK11-DL11</x:f>
        <x:v>0.0002605180624932757</x:v>
      </x:c>
      <x:c r="DN11" s="977" t="str">
        <x:f>IF(ABS(DM11)&lt;=MAX(0.5,0.05*ABS(DL11)),"OK","REVIEW")</x:f>
        <x:v>OK</x:v>
      </x:c>
    </x:row>
    <x:row r="12" ht="15" hidden="0" customHeight="1">
      <x:c r="A12" s="138" t="s">
        <x:v>571</x:v>
      </x:c>
      <x:c r="B12" s="138" t="str">
        <x:v>Tropical &amp; Subtropical Dry Broadleaf Forests</x:v>
      </x:c>
      <x:c r="C12" s="138" t="s">
        <x:v>838</x:v>
      </x:c>
      <x:c r="D12" s="138" t="s">
        <x:v>549</x:v>
      </x:c>
      <x:c r="E12" s="138" t="n">
        <x:v>2023</x:v>
      </x:c>
      <x:c r="F12" s="138" t="n">
        <x:v>0.8069</x:v>
      </x:c>
      <x:c r="G12" s="138" t="n">
        <x:v>99.14</x:v>
      </x:c>
      <x:c r="H12" s="138" t="s">
        <x:v>871</x:v>
      </x:c>
      <x:c r="I12" s="138" t="s">
        <x:v>572</x:v>
      </x:c>
      <x:c r="J12" s="139" t="n">
        <x:f aca="0">IF($E12="Unconfirmed","",IFERROR(SUMIF(S15_Source_Strata!$B$4:$B$49,$I12,S15_Source_Strata!$H$4:$H$49),""))</x:f>
        <x:v>1.1955098205664028</x:v>
      </x:c>
      <x:c r="K12" s="139" t="n">
        <x:f aca="0">IF($E12="Unconfirmed","",IFERROR(SUMIF(S15_Source_Strata!$B$4:$B$49,$I12,S15_Source_Strata!$I$4:$I$49),""))</x:f>
        <x:v>0.6073833746315868</x:v>
      </x:c>
      <x:c r="L12" s="139" t="n">
        <x:f aca="0">IF($E12="Unconfirmed","",IFERROR(SUMIF(S15_Source_Strata!$B$4:$B$49,$I12,S15_Source_Strata!$J$4:$J$49),""))</x:f>
        <x:v>0.5080538563404052</x:v>
      </x:c>
      <x:c r="M12" s="139" t="n">
        <x:f aca="0">IF($E12="Unconfirmed","",IFERROR(SUMIF(S15_Source_Strata!$B$4:$B$49,$I12,S15_Source_Strata!$N$4:$N$49),""))</x:f>
        <x:v>0.8966323654248021</x:v>
      </x:c>
      <x:c r="N12" s="139" t="n">
        <x:f aca="0">IF($E12="Unconfirmed","",IFERROR(SUMIF(S15_Source_Strata!$B$4:$B$49,$I12,S15_Source_Strata!$O$4:$O$49),""))</x:f>
        <x:v>0.75</x:v>
      </x:c>
      <x:c r="O12" s="139" t="n">
        <x:f aca="0">IF($E12="Unconfirmed","",IFERROR(SUMIF(S15_Source_Strata!$B$4:$B$49,$I12,S15_Source_Strata!$X$4:$X$49),""))</x:f>
        <x:v>1.9160435894217756</x:v>
      </x:c>
      <x:c r="P12" s="139" t="n">
        <x:f aca="0">IF($E12="Unconfirmed","",IFERROR(SUMIF(S15_Source_Strata!$B$4:$B$49,$I12,S15_Source_Strata!$AL$4:$AL$49),""))</x:f>
        <x:v>88.99557408183094</x:v>
      </x:c>
      <x:c r="Q12" s="139" t="str">
        <x:f aca="0">IF($E12="Unconfirmed","",IFERROR(SUMIF(S15_Source_Strata!$B$4:$B$49,$I12,S15_Source_Strata!$K$4:$K$49)&amp;"/"&amp;SUMIF(S15_Source_Strata!$B$4:$B$49,$I12,S15_Source_Strata!$L$4:$L$49),""))</x:f>
        <x:v>1/3</x:v>
      </x:c>
      <x:c r="R12" s="138" t="s">
        <x:v>579</x:v>
      </x:c>
      <x:c r="S12" s="138" t="s">
        <x:v>842</x:v>
      </x:c>
      <x:c r="T12" s="138" t="s">
        <x:v>841</x:v>
      </x:c>
      <x:c r="U12" s="138" t="n">
        <x:f>IFERROR(DB12*$DJ12/$F12,0)</x:f>
        <x:v>3.3461395464121946</x:v>
      </x:c>
      <x:c r="V12" s="138" t="n">
        <x:v>0.6</x:v>
      </x:c>
      <x:c r="W12" s="138" t="n">
        <x:v>45</x:v>
      </x:c>
      <x:c r="X12" s="138" t="n">
        <x:v>0.12</x:v>
      </x:c>
      <x:c r="Y12" s="138" t="n">
        <x:v>1.4</x:v>
      </x:c>
      <x:c r="Z12" s="138" t="n">
        <x:v>14</x:v>
      </x:c>
      <x:c r="AA12" s="138" t="n">
        <x:v>0.18</x:v>
      </x:c>
      <x:c r="AB12" s="138" t="n">
        <x:v>1.3</x:v>
      </x:c>
      <x:c r="AC12" s="138" t="s">
        <x:v>843</x:v>
      </x:c>
      <x:c r="AD12" s="138" t="s">
        <x:v>844</x:v>
      </x:c>
      <x:c r="AE12" s="138" t="s">
        <x:v>841</x:v>
      </x:c>
      <x:c r="AF12" s="138" t="n">
        <x:f>IFERROR(DC12*$DJ12/$F12,0)</x:f>
        <x:v>2.23075969760813</x:v>
      </x:c>
      <x:c r="AG12" s="138" t="n">
        <x:v>0.55</x:v>
      </x:c>
      <x:c r="AH12" s="138" t="n">
        <x:v>20</x:v>
      </x:c>
      <x:c r="AI12" s="138" t="n">
        <x:v>0.18</x:v>
      </x:c>
      <x:c r="AJ12" s="138" t="n">
        <x:v>1.5</x:v>
      </x:c>
      <x:c r="AK12" s="138" t="n">
        <x:v>7</x:v>
      </x:c>
      <x:c r="AL12" s="138" t="n">
        <x:v>0.25</x:v>
      </x:c>
      <x:c r="AM12" s="138" t="n">
        <x:v>1.4</x:v>
      </x:c>
      <x:c r="AN12" s="138" t="s">
        <x:v>858</x:v>
      </x:c>
      <x:c r="AO12" s="138" t="s">
        <x:v>859</x:v>
      </x:c>
      <x:c r="AP12" s="138" t="s">
        <x:v>841</x:v>
      </x:c>
      <x:c r="AQ12" s="138" t="n">
        <x:f>IFERROR(DD12*$DJ12/$F12,0)</x:f>
        <x:v>2.23075969760813</x:v>
      </x:c>
      <x:c r="AR12" s="138" t="n">
        <x:v>0.6</x:v>
      </x:c>
      <x:c r="AS12" s="138" t="n">
        <x:v>25</x:v>
      </x:c>
      <x:c r="AT12" s="138" t="n">
        <x:v>0.18</x:v>
      </x:c>
      <x:c r="AU12" s="138" t="n">
        <x:v>1.5</x:v>
      </x:c>
      <x:c r="AV12" s="138" t="n">
        <x:v>8</x:v>
      </x:c>
      <x:c r="AW12" s="138" t="n">
        <x:v>0.25</x:v>
      </x:c>
      <x:c r="AX12" s="138" t="n">
        <x:v>1.4</x:v>
      </x:c>
      <x:c r="AY12" s="138" t="s">
        <x:v>848</x:v>
      </x:c>
      <x:c r="AZ12" s="138" t="s">
        <x:v>849</x:v>
      </x:c>
      <x:c r="BA12" s="138" t="s">
        <x:v>841</x:v>
      </x:c>
      <x:c r="BB12" s="138" t="n">
        <x:f>IFERROR(DE12*$DJ12/$F12,0)</x:f>
        <x:v>1.115379848804065</x:v>
      </x:c>
      <x:c r="BC12" s="138" t="n">
        <x:v>0.6</x:v>
      </x:c>
      <x:c r="BD12" s="138" t="n">
        <x:v>25</x:v>
      </x:c>
      <x:c r="BE12" s="138" t="n">
        <x:v>0.18</x:v>
      </x:c>
      <x:c r="BF12" s="138" t="n">
        <x:v>1.5</x:v>
      </x:c>
      <x:c r="BG12" s="138" t="n">
        <x:v>8</x:v>
      </x:c>
      <x:c r="BH12" s="138" t="n">
        <x:v>0.25</x:v>
      </x:c>
      <x:c r="BI12" s="138" t="n">
        <x:v>1.4</x:v>
      </x:c>
      <x:c r="BJ12" s="138"/>
      <x:c r="BK12" s="138"/>
      <x:c r="BL12" s="138"/>
      <x:c r="BM12" s="138" t="n">
        <x:f>IFERROR(DF12*$DJ12/$F12,0)</x:f>
        <x:v>0</x:v>
      </x:c>
      <x:c r="BN12" s="138"/>
      <x:c r="BO12" s="138"/>
      <x:c r="BP12" s="138"/>
      <x:c r="BQ12" s="138"/>
      <x:c r="BR12" s="138"/>
      <x:c r="BS12" s="138"/>
      <x:c r="BT12" s="138"/>
      <x:c r="BU12" s="138"/>
      <x:c r="BV12" s="138"/>
      <x:c r="BW12" s="138"/>
      <x:c r="BX12" s="138" t="n">
        <x:f>IFERROR(DG12*$DJ12/$F12,0)</x:f>
        <x:v>0</x:v>
      </x:c>
      <x:c r="BY12" s="138"/>
      <x:c r="BZ12" s="138"/>
      <x:c r="CA12" s="138"/>
      <x:c r="CB12" s="138"/>
      <x:c r="CC12" s="138"/>
      <x:c r="CD12" s="138"/>
      <x:c r="CE12" s="138"/>
      <x:c r="CF12" s="138"/>
      <x:c r="CG12" s="138"/>
      <x:c r="CH12" s="138"/>
      <x:c r="CI12" s="138" t="n">
        <x:f>IFERROR(DH12*$DJ12/$F12,0)</x:f>
        <x:v>0</x:v>
      </x:c>
      <x:c r="CJ12" s="138"/>
      <x:c r="CK12" s="138"/>
      <x:c r="CL12" s="138"/>
      <x:c r="CM12" s="138"/>
      <x:c r="CN12" s="138"/>
      <x:c r="CO12" s="138"/>
      <x:c r="CP12" s="138"/>
      <x:c r="CQ12" s="138"/>
      <x:c r="CR12" s="138"/>
      <x:c r="CS12" s="138"/>
      <x:c r="CT12" s="138" t="n">
        <x:f>IFERROR(DI12*$DJ12/$F12,0)</x:f>
        <x:v>0</x:v>
      </x:c>
      <x:c r="CU12" s="138"/>
      <x:c r="CV12" s="138"/>
      <x:c r="CW12" s="138"/>
      <x:c r="CX12" s="138"/>
      <x:c r="CY12" s="138"/>
      <x:c r="CZ12" s="138"/>
      <x:c r="DA12" s="138"/>
      <x:c r="DB12" s="978" t="n">
        <x:v>30</x:v>
      </x:c>
      <x:c r="DC12" s="978" t="n">
        <x:v>20</x:v>
      </x:c>
      <x:c r="DD12" s="978" t="n">
        <x:v>20</x:v>
      </x:c>
      <x:c r="DE12" s="978" t="n">
        <x:v>10</x:v>
      </x:c>
      <x:c r="DF12" s="978"/>
      <x:c r="DG12" s="978"/>
      <x:c r="DH12" s="978"/>
      <x:c r="DI12" s="978"/>
      <x:c r="DJ12" s="980" t="n">
        <x:f>'S08_Defaults'!$B$37</x:f>
        <x:v>0.09</x:v>
      </x:c>
      <x:c r="DK12" s="979" t="n">
        <x:f>SUM(U12,AF12,AQ12,BB12,BM12,BX12,CI12,CT12)</x:f>
        <x:v>8.92303879043252</x:v>
      </x:c>
      <x:c r="DL12" s="979" t="n">
        <x:f>G12*DJ12</x:f>
        <x:v>8.9226</x:v>
      </x:c>
      <x:c r="DM12" s="979" t="n">
        <x:f>DK12-DL12</x:f>
        <x:v>0.00043879043252026406</x:v>
      </x:c>
      <x:c r="DN12" s="977" t="str">
        <x:f>IF(ABS(DM12)&lt;=MAX(0.5,0.05*ABS(DL12)),"OK","REVIEW")</x:f>
        <x:v>OK</x:v>
      </x:c>
    </x:row>
    <x:row r="13" ht="15" hidden="0" customHeight="1">
      <x:c r="A13" s="138" t="s">
        <x:v>573</x:v>
      </x:c>
      <x:c r="B13" s="138" t="str">
        <x:v>Tropical &amp; Subtropical Dry Broadleaf Forests</x:v>
      </x:c>
      <x:c r="C13" s="138" t="s">
        <x:v>838</x:v>
      </x:c>
      <x:c r="D13" s="138" t="s">
        <x:v>553</x:v>
      </x:c>
      <x:c r="E13" s="138" t="n">
        <x:v>2024</x:v>
      </x:c>
      <x:c r="F13" s="138" t="n">
        <x:v>0.3289</x:v>
      </x:c>
      <x:c r="G13" s="138" t="n">
        <x:v>304.04</x:v>
      </x:c>
      <x:c r="H13" s="138" t="s">
        <x:v>872</x:v>
      </x:c>
      <x:c r="I13" s="138" t="s">
        <x:v>575</x:v>
      </x:c>
      <x:c r="J13" s="139" t="n">
        <x:f aca="0">IF($E13="Unconfirmed","",IFERROR(SUMIF(S15_Source_Strata!$B$4:$B$49,$I13,S15_Source_Strata!$H$4:$H$49),""))</x:f>
        <x:v>0.53930008541123</x:v>
      </x:c>
      <x:c r="K13" s="139" t="n">
        <x:f aca="0">IF($E13="Unconfirmed","",IFERROR(SUMIF(S15_Source_Strata!$B$4:$B$49,$I13,S15_Source_Strata!$I$4:$I$49),""))</x:f>
        <x:v>0.22439991230786968</x:v>
      </x:c>
      <x:c r="L13" s="139" t="n">
        <x:f aca="0">IF($E13="Unconfirmed","",IFERROR(SUMIF(S15_Source_Strata!$B$4:$B$49,$I13,S15_Source_Strata!$J$4:$J$49),""))</x:f>
        <x:v>0.41609470938013865</x:v>
      </x:c>
      <x:c r="M13" s="139" t="n">
        <x:f aca="0">IF($E13="Unconfirmed","",IFERROR(SUMIF(S15_Source_Strata!$B$4:$B$49,$I13,S15_Source_Strata!$N$4:$N$49),""))</x:f>
        <x:v>0.4044750640584225</x:v>
      </x:c>
      <x:c r="N13" s="139" t="n">
        <x:f aca="0">IF($E13="Unconfirmed","",IFERROR(SUMIF(S15_Source_Strata!$B$4:$B$49,$I13,S15_Source_Strata!$O$4:$O$49),""))</x:f>
        <x:v>0.75</x:v>
      </x:c>
      <x:c r="O13" s="139" t="n">
        <x:f aca="0">IF($E13="Unconfirmed","",IFERROR(SUMIF(S15_Source_Strata!$B$4:$B$49,$I13,S15_Source_Strata!$X$4:$X$49),""))</x:f>
        <x:v>0.864336246888579</x:v>
      </x:c>
      <x:c r="P13" s="139" t="n">
        <x:f aca="0">IF($E13="Unconfirmed","",IFERROR(SUMIF(S15_Source_Strata!$B$4:$B$49,$I13,S15_Source_Strata!$AL$4:$AL$49),""))</x:f>
        <x:v>133.81788409296183</x:v>
      </x:c>
      <x:c r="Q13" s="139" t="str">
        <x:f aca="0">IF($E13="Unconfirmed","",IFERROR(SUMIF(S15_Source_Strata!$B$4:$B$49,$I13,S15_Source_Strata!$K$4:$K$49)&amp;"/"&amp;SUMIF(S15_Source_Strata!$B$4:$B$49,$I13,S15_Source_Strata!$L$4:$L$49),""))</x:f>
        <x:v>1/7</x:v>
      </x:c>
      <x:c r="R13" s="138" t="s">
        <x:v>579</x:v>
      </x:c>
      <x:c r="S13" s="138" t="s">
        <x:v>842</x:v>
      </x:c>
      <x:c r="T13" s="138" t="s">
        <x:v>841</x:v>
      </x:c>
      <x:c r="U13" s="138" t="n">
        <x:f>IFERROR(DB13*$DJ13/$F13,0)</x:f>
        <x:v>8.209182122225599</x:v>
      </x:c>
      <x:c r="V13" s="138" t="n">
        <x:v>0.6</x:v>
      </x:c>
      <x:c r="W13" s="138" t="n">
        <x:v>45</x:v>
      </x:c>
      <x:c r="X13" s="138" t="n">
        <x:v>0.12</x:v>
      </x:c>
      <x:c r="Y13" s="138" t="n">
        <x:v>1.4</x:v>
      </x:c>
      <x:c r="Z13" s="138" t="n">
        <x:v>14</x:v>
      </x:c>
      <x:c r="AA13" s="138" t="n">
        <x:v>0.18</x:v>
      </x:c>
      <x:c r="AB13" s="138" t="n">
        <x:v>1.3</x:v>
      </x:c>
      <x:c r="AC13" s="138" t="s">
        <x:v>851</x:v>
      </x:c>
      <x:c r="AD13" s="138" t="s">
        <x:v>852</x:v>
      </x:c>
      <x:c r="AE13" s="138" t="s">
        <x:v>841</x:v>
      </x:c>
      <x:c r="AF13" s="138" t="n">
        <x:f>IFERROR(DC13*$DJ13/$F13,0)</x:f>
        <x:v>2.7363940407418665</x:v>
      </x:c>
      <x:c r="AG13" s="138" t="n">
        <x:v>0.65</x:v>
      </x:c>
      <x:c r="AH13" s="138" t="n">
        <x:v>35</x:v>
      </x:c>
      <x:c r="AI13" s="138" t="n">
        <x:v>0.13</x:v>
      </x:c>
      <x:c r="AJ13" s="138" t="n">
        <x:v>1.4</x:v>
      </x:c>
      <x:c r="AK13" s="138" t="n">
        <x:v>15</x:v>
      </x:c>
      <x:c r="AL13" s="138" t="n">
        <x:v>0.18</x:v>
      </x:c>
      <x:c r="AM13" s="138" t="n">
        <x:v>1.3</x:v>
      </x:c>
      <x:c r="AN13" s="138" t="s">
        <x:v>843</x:v>
      </x:c>
      <x:c r="AO13" s="138" t="s">
        <x:v>844</x:v>
      </x:c>
      <x:c r="AP13" s="138" t="s">
        <x:v>841</x:v>
      </x:c>
      <x:c r="AQ13" s="138" t="n">
        <x:f>IFERROR(DD13*$DJ13/$F13,0)</x:f>
        <x:v>8.209182122225599</x:v>
      </x:c>
      <x:c r="AR13" s="138" t="n">
        <x:v>0.55</x:v>
      </x:c>
      <x:c r="AS13" s="138" t="n">
        <x:v>20</x:v>
      </x:c>
      <x:c r="AT13" s="138" t="n">
        <x:v>0.18</x:v>
      </x:c>
      <x:c r="AU13" s="138" t="n">
        <x:v>1.5</x:v>
      </x:c>
      <x:c r="AV13" s="138" t="n">
        <x:v>7</x:v>
      </x:c>
      <x:c r="AW13" s="138" t="n">
        <x:v>0.25</x:v>
      </x:c>
      <x:c r="AX13" s="138" t="n">
        <x:v>1.4</x:v>
      </x:c>
      <x:c r="AY13" s="138" t="s">
        <x:v>858</x:v>
      </x:c>
      <x:c r="AZ13" s="138" t="s">
        <x:v>859</x:v>
      </x:c>
      <x:c r="BA13" s="138" t="s">
        <x:v>841</x:v>
      </x:c>
      <x:c r="BB13" s="138" t="n">
        <x:f>IFERROR(DE13*$DJ13/$F13,0)</x:f>
        <x:v>5.472788081483733</x:v>
      </x:c>
      <x:c r="BC13" s="138" t="n">
        <x:v>0.6</x:v>
      </x:c>
      <x:c r="BD13" s="138" t="n">
        <x:v>25</x:v>
      </x:c>
      <x:c r="BE13" s="138" t="n">
        <x:v>0.18</x:v>
      </x:c>
      <x:c r="BF13" s="138" t="n">
        <x:v>1.5</x:v>
      </x:c>
      <x:c r="BG13" s="138" t="n">
        <x:v>8</x:v>
      </x:c>
      <x:c r="BH13" s="138" t="n">
        <x:v>0.25</x:v>
      </x:c>
      <x:c r="BI13" s="138" t="n">
        <x:v>1.4</x:v>
      </x:c>
      <x:c r="BJ13" s="138" t="s">
        <x:v>848</x:v>
      </x:c>
      <x:c r="BK13" s="138" t="s">
        <x:v>849</x:v>
      </x:c>
      <x:c r="BL13" s="138" t="s">
        <x:v>841</x:v>
      </x:c>
      <x:c r="BM13" s="138" t="n">
        <x:f>IFERROR(DF13*$DJ13/$F13,0)</x:f>
        <x:v>2.7363940407418665</x:v>
      </x:c>
      <x:c r="BN13" s="138" t="n">
        <x:v>0.6</x:v>
      </x:c>
      <x:c r="BO13" s="138" t="n">
        <x:v>25</x:v>
      </x:c>
      <x:c r="BP13" s="138" t="n">
        <x:v>0.18</x:v>
      </x:c>
      <x:c r="BQ13" s="138" t="n">
        <x:v>1.5</x:v>
      </x:c>
      <x:c r="BR13" s="138" t="n">
        <x:v>8</x:v>
      </x:c>
      <x:c r="BS13" s="138" t="n">
        <x:v>0.25</x:v>
      </x:c>
      <x:c r="BT13" s="138" t="n">
        <x:v>1.4</x:v>
      </x:c>
      <x:c r="BU13" s="138"/>
      <x:c r="BV13" s="138"/>
      <x:c r="BW13" s="138"/>
      <x:c r="BX13" s="138" t="n">
        <x:f>IFERROR(DG13*$DJ13/$F13,0)</x:f>
        <x:v>0</x:v>
      </x:c>
      <x:c r="BY13" s="138"/>
      <x:c r="BZ13" s="138"/>
      <x:c r="CA13" s="138"/>
      <x:c r="CB13" s="138"/>
      <x:c r="CC13" s="138"/>
      <x:c r="CD13" s="138"/>
      <x:c r="CE13" s="138"/>
      <x:c r="CF13" s="138"/>
      <x:c r="CG13" s="138"/>
      <x:c r="CH13" s="138"/>
      <x:c r="CI13" s="138" t="n">
        <x:f>IFERROR(DH13*$DJ13/$F13,0)</x:f>
        <x:v>0</x:v>
      </x:c>
      <x:c r="CJ13" s="138"/>
      <x:c r="CK13" s="138"/>
      <x:c r="CL13" s="138"/>
      <x:c r="CM13" s="138"/>
      <x:c r="CN13" s="138"/>
      <x:c r="CO13" s="138"/>
      <x:c r="CP13" s="138"/>
      <x:c r="CQ13" s="138"/>
      <x:c r="CR13" s="138"/>
      <x:c r="CS13" s="138"/>
      <x:c r="CT13" s="138" t="n">
        <x:f>IFERROR(DI13*$DJ13/$F13,0)</x:f>
        <x:v>0</x:v>
      </x:c>
      <x:c r="CU13" s="138"/>
      <x:c r="CV13" s="138"/>
      <x:c r="CW13" s="138"/>
      <x:c r="CX13" s="138"/>
      <x:c r="CY13" s="138"/>
      <x:c r="CZ13" s="138"/>
      <x:c r="DA13" s="138"/>
      <x:c r="DB13" s="978" t="n">
        <x:v>30</x:v>
      </x:c>
      <x:c r="DC13" s="978" t="n">
        <x:v>10</x:v>
      </x:c>
      <x:c r="DD13" s="978" t="n">
        <x:v>30</x:v>
      </x:c>
      <x:c r="DE13" s="978" t="n">
        <x:v>20</x:v>
      </x:c>
      <x:c r="DF13" s="978" t="n">
        <x:v>10</x:v>
      </x:c>
      <x:c r="DG13" s="978"/>
      <x:c r="DH13" s="978"/>
      <x:c r="DI13" s="978"/>
      <x:c r="DJ13" s="980" t="n">
        <x:f>'S08_Defaults'!$B$37</x:f>
        <x:v>0.09</x:v>
      </x:c>
      <x:c r="DK13" s="979" t="n">
        <x:f>SUM(U13,AF13,AQ13,BB13,BM13,BX13,CI13,CT13)</x:f>
        <x:v>27.363940407418664</x:v>
      </x:c>
      <x:c r="DL13" s="979" t="n">
        <x:f>G13*DJ13</x:f>
        <x:v>27.3636</x:v>
      </x:c>
      <x:c r="DM13" s="979" t="n">
        <x:f>DK13-DL13</x:f>
        <x:v>0.0003404074186619255</x:v>
      </x:c>
      <x:c r="DN13" s="977" t="str">
        <x:f>IF(ABS(DM13)&lt;=MAX(0.5,0.05*ABS(DL13)),"OK","REVIEW")</x:f>
        <x:v>OK</x:v>
      </x:c>
    </x:row>
    <x:row r="14" ht="15" hidden="0" customHeight="1">
      <x:c r="A14" s="138" t="s">
        <x:v>576</x:v>
      </x:c>
      <x:c r="B14" s="138" t="str">
        <x:v>Tropical &amp; Subtropical Dry Broadleaf Forests</x:v>
      </x:c>
      <x:c r="C14" s="138" t="s">
        <x:v>838</x:v>
      </x:c>
      <x:c r="D14" s="138" t="s">
        <x:v>549</x:v>
      </x:c>
      <x:c r="E14" s="138" t="s">
        <x:v>577</x:v>
      </x:c>
      <x:c r="F14" s="138" t="n">
        <x:v>1.78065560501821</x:v>
      </x:c>
      <x:c r="G14" s="138" t="n">
        <x:v>172.97</x:v>
      </x:c>
      <x:c r="H14" s="138" t="s">
        <x:v>873</x:v>
      </x:c>
      <x:c r="I14" s="138" t="s">
        <x:v>580</x:v>
      </x:c>
      <x:c r="J14" s="139" t="str">
        <x:f aca="0">IF($E14="Unconfirmed","",IFERROR(SUMIF(S15_Source_Strata!$B$4:$B$49,$I14,S15_Source_Strata!$H$4:$H$49),""))</x:f>
      </x:c>
      <x:c r="K14" s="139" t="str">
        <x:f aca="0">IF($E14="Unconfirmed","",IFERROR(SUMIF(S15_Source_Strata!$B$4:$B$49,$I14,S15_Source_Strata!$I$4:$I$49),""))</x:f>
      </x:c>
      <x:c r="L14" s="139" t="str">
        <x:f aca="0">IF($E14="Unconfirmed","",IFERROR(SUMIF(S15_Source_Strata!$B$4:$B$49,$I14,S15_Source_Strata!$J$4:$J$49),""))</x:f>
      </x:c>
      <x:c r="M14" s="139" t="str">
        <x:f aca="0">IF($E14="Unconfirmed","",IFERROR(SUMIF(S15_Source_Strata!$B$4:$B$49,$I14,S15_Source_Strata!$N$4:$N$49),""))</x:f>
      </x:c>
      <x:c r="N14" s="139" t="str">
        <x:f aca="0">IF($E14="Unconfirmed","",IFERROR(SUMIF(S15_Source_Strata!$B$4:$B$49,$I14,S15_Source_Strata!$O$4:$O$49),""))</x:f>
      </x:c>
      <x:c r="O14" s="139" t="str">
        <x:f aca="0">IF($E14="Unconfirmed","",IFERROR(SUMIF(S15_Source_Strata!$B$4:$B$49,$I14,S15_Source_Strata!$X$4:$X$49),""))</x:f>
      </x:c>
      <x:c r="P14" s="139" t="str">
        <x:f aca="0">IF($E14="Unconfirmed","",IFERROR(SUMIF(S15_Source_Strata!$B$4:$B$49,$I14,S15_Source_Strata!$AL$4:$AL$49),""))</x:f>
      </x:c>
      <x:c r="Q14" s="139" t="str">
        <x:f aca="0">IF($E14="Unconfirmed","",IFERROR(SUMIF(S15_Source_Strata!$B$4:$B$49,$I14,S15_Source_Strata!$K$4:$K$49)&amp;"/"&amp;SUMIF(S15_Source_Strata!$B$4:$B$49,$I14,S15_Source_Strata!$L$4:$L$49),""))</x:f>
      </x:c>
      <x:c r="R14" s="138" t="s">
        <x:v>579</x:v>
      </x:c>
      <x:c r="S14" s="138" t="s">
        <x:v>842</x:v>
      </x:c>
      <x:c r="T14" s="138" t="s">
        <x:v>841</x:v>
      </x:c>
      <x:c r="U14" s="138" t="n">
        <x:f>IFERROR(DB14*$DJ14/$F14,0)</x:f>
        <x:v>15.56730000000001</x:v>
      </x:c>
      <x:c r="V14" s="138" t="n">
        <x:v>0.6</x:v>
      </x:c>
      <x:c r="W14" s="138" t="n">
        <x:v>45</x:v>
      </x:c>
      <x:c r="X14" s="138" t="n">
        <x:v>0.12</x:v>
      </x:c>
      <x:c r="Y14" s="138" t="n">
        <x:v>1.4</x:v>
      </x:c>
      <x:c r="Z14" s="138" t="n">
        <x:v>14</x:v>
      </x:c>
      <x:c r="AA14" s="138" t="n">
        <x:v>0.18</x:v>
      </x:c>
      <x:c r="AB14" s="138" t="n">
        <x:v>1.3</x:v>
      </x:c>
      <x:c r="AC14" s="138"/>
      <x:c r="AD14" s="138"/>
      <x:c r="AE14" s="138"/>
      <x:c r="AF14" s="138" t="n">
        <x:f>IFERROR(DC14*$DJ14/$F14,0)</x:f>
        <x:v>0</x:v>
      </x:c>
      <x:c r="AG14" s="138"/>
      <x:c r="AH14" s="138"/>
      <x:c r="AI14" s="138"/>
      <x:c r="AJ14" s="138"/>
      <x:c r="AK14" s="138"/>
      <x:c r="AL14" s="138"/>
      <x:c r="AM14" s="138"/>
      <x:c r="AN14" s="138"/>
      <x:c r="AO14" s="138"/>
      <x:c r="AP14" s="138"/>
      <x:c r="AQ14" s="138" t="n">
        <x:f>IFERROR(DD14*$DJ14/$F14,0)</x:f>
        <x:v>0</x:v>
      </x:c>
      <x:c r="AR14" s="138"/>
      <x:c r="AS14" s="138"/>
      <x:c r="AT14" s="138"/>
      <x:c r="AU14" s="138"/>
      <x:c r="AV14" s="138"/>
      <x:c r="AW14" s="138"/>
      <x:c r="AX14" s="138"/>
      <x:c r="AY14" s="138"/>
      <x:c r="AZ14" s="138"/>
      <x:c r="BA14" s="138"/>
      <x:c r="BB14" s="138" t="n">
        <x:f>IFERROR(DE14*$DJ14/$F14,0)</x:f>
        <x:v>0</x:v>
      </x:c>
      <x:c r="BC14" s="138"/>
      <x:c r="BD14" s="138"/>
      <x:c r="BE14" s="138"/>
      <x:c r="BF14" s="138"/>
      <x:c r="BG14" s="138"/>
      <x:c r="BH14" s="138"/>
      <x:c r="BI14" s="138"/>
      <x:c r="BJ14" s="138"/>
      <x:c r="BK14" s="138"/>
      <x:c r="BL14" s="138"/>
      <x:c r="BM14" s="138" t="n">
        <x:f>IFERROR(DF14*$DJ14/$F14,0)</x:f>
        <x:v>0</x:v>
      </x:c>
      <x:c r="BN14" s="138"/>
      <x:c r="BO14" s="138"/>
      <x:c r="BP14" s="138"/>
      <x:c r="BQ14" s="138"/>
      <x:c r="BR14" s="138"/>
      <x:c r="BS14" s="138"/>
      <x:c r="BT14" s="138"/>
      <x:c r="BU14" s="138"/>
      <x:c r="BV14" s="138"/>
      <x:c r="BW14" s="138"/>
      <x:c r="BX14" s="138" t="n">
        <x:f>IFERROR(DG14*$DJ14/$F14,0)</x:f>
        <x:v>0</x:v>
      </x:c>
      <x:c r="BY14" s="138"/>
      <x:c r="BZ14" s="138"/>
      <x:c r="CA14" s="138"/>
      <x:c r="CB14" s="138"/>
      <x:c r="CC14" s="138"/>
      <x:c r="CD14" s="138"/>
      <x:c r="CE14" s="138"/>
      <x:c r="CF14" s="138"/>
      <x:c r="CG14" s="138"/>
      <x:c r="CH14" s="138"/>
      <x:c r="CI14" s="138" t="n">
        <x:f>IFERROR(DH14*$DJ14/$F14,0)</x:f>
        <x:v>0</x:v>
      </x:c>
      <x:c r="CJ14" s="138"/>
      <x:c r="CK14" s="138"/>
      <x:c r="CL14" s="138"/>
      <x:c r="CM14" s="138"/>
      <x:c r="CN14" s="138"/>
      <x:c r="CO14" s="138"/>
      <x:c r="CP14" s="138"/>
      <x:c r="CQ14" s="138"/>
      <x:c r="CR14" s="138"/>
      <x:c r="CS14" s="138"/>
      <x:c r="CT14" s="138" t="n">
        <x:f>IFERROR(DI14*$DJ14/$F14,0)</x:f>
        <x:v>0</x:v>
      </x:c>
      <x:c r="CU14" s="138"/>
      <x:c r="CV14" s="138"/>
      <x:c r="CW14" s="138"/>
      <x:c r="CX14" s="138"/>
      <x:c r="CY14" s="138"/>
      <x:c r="CZ14" s="138"/>
      <x:c r="DA14" s="138"/>
      <x:c r="DB14" s="978" t="n">
        <x:v>308</x:v>
      </x:c>
      <x:c r="DC14" s="978"/>
      <x:c r="DD14" s="978"/>
      <x:c r="DE14" s="978"/>
      <x:c r="DF14" s="978"/>
      <x:c r="DG14" s="978"/>
      <x:c r="DH14" s="978"/>
      <x:c r="DI14" s="978"/>
      <x:c r="DJ14" s="980" t="n">
        <x:f>'S08_Defaults'!$B$37</x:f>
        <x:v>0.09</x:v>
      </x:c>
      <x:c r="DK14" s="979" t="n">
        <x:f>SUM(U14,AF14,AQ14,BB14,BM14,BX14,CI14,CT14)</x:f>
        <x:v>15.56730000000001</x:v>
      </x:c>
      <x:c r="DL14" s="979" t="n">
        <x:f>G14*DJ14</x:f>
        <x:v>15.5673</x:v>
      </x:c>
      <x:c r="DM14" s="979" t="n">
        <x:f>DK14-DL14</x:f>
        <x:v>1.0658141036401503e-14</x:v>
      </x:c>
      <x:c r="DN14" s="977" t="str">
        <x:f>IF(ABS(DM14)&lt;=MAX(0.5,0.05*ABS(DL14)),"OK","REVIEW")</x:f>
        <x:v>OK</x:v>
      </x:c>
    </x:row>
    <x:row r="15" ht="15" hidden="0" customHeight="1">
      <x:c r="A15" s="138" t="s">
        <x:v>581</x:v>
      </x:c>
      <x:c r="B15" s="138" t="str">
        <x:v>Tropical &amp; Subtropical Dry Broadleaf Forests</x:v>
      </x:c>
      <x:c r="C15" s="138" t="s">
        <x:v>112</x:v>
      </x:c>
      <x:c r="D15" s="138" t="s">
        <x:v>542</x:v>
      </x:c>
      <x:c r="E15" s="138" t="n">
        <x:v>2020</x:v>
      </x:c>
      <x:c r="F15" s="138" t="n">
        <x:v>0.494</x:v>
      </x:c>
      <x:c r="G15" s="138" t="n">
        <x:v>2530.36</x:v>
      </x:c>
      <x:c r="H15" s="138" t="s">
        <x:v>874</x:v>
      </x:c>
      <x:c r="I15" s="138" t="s">
        <x:v>584</x:v>
      </x:c>
      <x:c r="J15" s="139" t="n">
        <x:f aca="0">IF($E15="Unconfirmed","",IFERROR(SUMIF(S15_Source_Strata!$B$4:$B$49,$I15,S15_Source_Strata!$H$4:$H$49),""))</x:f>
        <x:v>611.577846191391</x:v>
      </x:c>
      <x:c r="K15" s="139" t="n">
        <x:f aca="0">IF($E15="Unconfirmed","",IFERROR(SUMIF(S15_Source_Strata!$B$4:$B$49,$I15,S15_Source_Strata!$I$4:$I$49),""))</x:f>
        <x:v>546.9397806463899</x:v>
      </x:c>
      <x:c r="L15" s="139" t="n">
        <x:f aca="0">IF($E15="Unconfirmed","",IFERROR(SUMIF(S15_Source_Strata!$B$4:$B$49,$I15,S15_Source_Strata!$J$4:$J$49),""))</x:f>
        <x:v>0.8943093410797406</x:v>
      </x:c>
      <x:c r="M15" s="139" t="n">
        <x:f aca="0">IF($E15="Unconfirmed","",IFERROR(SUMIF(S15_Source_Strata!$B$4:$B$49,$I15,S15_Source_Strata!$N$4:$N$49),""))</x:f>
        <x:v>458.68338464354326</x:v>
      </x:c>
      <x:c r="N15" s="139" t="n">
        <x:f aca="0">IF($E15="Unconfirmed","",IFERROR(SUMIF(S15_Source_Strata!$B$4:$B$49,$I15,S15_Source_Strata!$O$4:$O$49),""))</x:f>
        <x:v>0.75</x:v>
      </x:c>
      <x:c r="O15" s="139" t="n">
        <x:f aca="0">IF($E15="Unconfirmed","",IFERROR(SUMIF(S15_Source_Strata!$B$4:$B$49,$I15,S15_Source_Strata!$X$4:$X$49),""))</x:f>
        <x:v>980.1758140909432</x:v>
      </x:c>
      <x:c r="P15" s="139" t="n">
        <x:f aca="0">IF($E15="Unconfirmed","",IFERROR(SUMIF(S15_Source_Strata!$B$4:$B$49,$I15,S15_Source_Strata!$AL$4:$AL$49),""))</x:f>
        <x:v>5245.530021136775</x:v>
      </x:c>
      <x:c r="Q15" s="139" t="str">
        <x:f aca="0">IF($E15="Unconfirmed","",IFERROR(SUMIF(S15_Source_Strata!$B$4:$B$49,$I15,S15_Source_Strata!$K$4:$K$49)&amp;"/"&amp;SUMIF(S15_Source_Strata!$B$4:$B$49,$I15,S15_Source_Strata!$L$4:$L$49),""))</x:f>
        <x:v>6/6</x:v>
      </x:c>
      <x:c r="R15" s="138" t="s">
        <x:v>660</x:v>
      </x:c>
      <x:c r="S15" s="138" t="s">
        <x:v>875</x:v>
      </x:c>
      <x:c r="T15" s="138" t="s">
        <x:v>841</x:v>
      </x:c>
      <x:c r="U15" s="138" t="n">
        <x:f>IFERROR(DB15*$DJ15/$F15,0)</x:f>
        <x:v>127.53036437246963</x:v>
      </x:c>
      <x:c r="V15" s="138" t="n">
        <x:v>0.58</x:v>
      </x:c>
      <x:c r="W15" s="138" t="n">
        <x:v>55</x:v>
      </x:c>
      <x:c r="X15" s="138" t="n">
        <x:v>0.16</x:v>
      </x:c>
      <x:c r="Y15" s="138" t="n">
        <x:v>1.3</x:v>
      </x:c>
      <x:c r="Z15" s="138" t="n">
        <x:v>25</x:v>
      </x:c>
      <x:c r="AA15" s="138" t="n">
        <x:v>0.2</x:v>
      </x:c>
      <x:c r="AB15" s="138" t="n">
        <x:v>1.2</x:v>
      </x:c>
      <x:c r="AC15" s="138" t="s">
        <x:v>843</x:v>
      </x:c>
      <x:c r="AD15" s="138" t="s">
        <x:v>844</x:v>
      </x:c>
      <x:c r="AE15" s="138" t="s">
        <x:v>841</x:v>
      </x:c>
      <x:c r="AF15" s="138" t="n">
        <x:f>IFERROR(DC15*$DJ15/$F15,0)</x:f>
        <x:v>91.09311740890688</x:v>
      </x:c>
      <x:c r="AG15" s="138" t="n">
        <x:v>0.55</x:v>
      </x:c>
      <x:c r="AH15" s="138" t="n">
        <x:v>20</x:v>
      </x:c>
      <x:c r="AI15" s="138" t="n">
        <x:v>0.18</x:v>
      </x:c>
      <x:c r="AJ15" s="138" t="n">
        <x:v>1.5</x:v>
      </x:c>
      <x:c r="AK15" s="138" t="n">
        <x:v>7</x:v>
      </x:c>
      <x:c r="AL15" s="138" t="n">
        <x:v>0.25</x:v>
      </x:c>
      <x:c r="AM15" s="138" t="n">
        <x:v>1.4</x:v>
      </x:c>
      <x:c r="AN15" s="138" t="s">
        <x:v>863</x:v>
      </x:c>
      <x:c r="AO15" s="138" t="s">
        <x:v>864</x:v>
      </x:c>
      <x:c r="AP15" s="138" t="s">
        <x:v>841</x:v>
      </x:c>
      <x:c r="AQ15" s="138" t="n">
        <x:f>IFERROR(DD15*$DJ15/$F15,0)</x:f>
        <x:v>9.10931174089069</x:v>
      </x:c>
      <x:c r="AR15" s="138" t="n">
        <x:v>0.65</x:v>
      </x:c>
      <x:c r="AS15" s="138" t="n">
        <x:v>35</x:v>
      </x:c>
      <x:c r="AT15" s="138" t="n">
        <x:v>0.13</x:v>
      </x:c>
      <x:c r="AU15" s="138" t="n">
        <x:v>1.4</x:v>
      </x:c>
      <x:c r="AV15" s="138" t="n">
        <x:v>15</x:v>
      </x:c>
      <x:c r="AW15" s="138" t="n">
        <x:v>0.18</x:v>
      </x:c>
      <x:c r="AX15" s="138" t="n">
        <x:v>1.3</x:v>
      </x:c>
      <x:c r="AY15" s="138"/>
      <x:c r="AZ15" s="138"/>
      <x:c r="BA15" s="138"/>
      <x:c r="BB15" s="138" t="n">
        <x:f>IFERROR(DE15*$DJ15/$F15,0)</x:f>
        <x:v>0</x:v>
      </x:c>
      <x:c r="BC15" s="138"/>
      <x:c r="BD15" s="138"/>
      <x:c r="BE15" s="138"/>
      <x:c r="BF15" s="138"/>
      <x:c r="BG15" s="138"/>
      <x:c r="BH15" s="138"/>
      <x:c r="BI15" s="138"/>
      <x:c r="BJ15" s="138"/>
      <x:c r="BK15" s="138"/>
      <x:c r="BL15" s="138"/>
      <x:c r="BM15" s="138" t="n">
        <x:f>IFERROR(DF15*$DJ15/$F15,0)</x:f>
        <x:v>0</x:v>
      </x:c>
      <x:c r="BN15" s="138"/>
      <x:c r="BO15" s="138"/>
      <x:c r="BP15" s="138"/>
      <x:c r="BQ15" s="138"/>
      <x:c r="BR15" s="138"/>
      <x:c r="BS15" s="138"/>
      <x:c r="BT15" s="138"/>
      <x:c r="BU15" s="138"/>
      <x:c r="BV15" s="138"/>
      <x:c r="BW15" s="138"/>
      <x:c r="BX15" s="138" t="n">
        <x:f>IFERROR(DG15*$DJ15/$F15,0)</x:f>
        <x:v>0</x:v>
      </x:c>
      <x:c r="BY15" s="138"/>
      <x:c r="BZ15" s="138"/>
      <x:c r="CA15" s="138"/>
      <x:c r="CB15" s="138"/>
      <x:c r="CC15" s="138"/>
      <x:c r="CD15" s="138"/>
      <x:c r="CE15" s="138"/>
      <x:c r="CF15" s="138"/>
      <x:c r="CG15" s="138"/>
      <x:c r="CH15" s="138"/>
      <x:c r="CI15" s="138" t="n">
        <x:f>IFERROR(DH15*$DJ15/$F15,0)</x:f>
        <x:v>0</x:v>
      </x:c>
      <x:c r="CJ15" s="138"/>
      <x:c r="CK15" s="138"/>
      <x:c r="CL15" s="138"/>
      <x:c r="CM15" s="138"/>
      <x:c r="CN15" s="138"/>
      <x:c r="CO15" s="138"/>
      <x:c r="CP15" s="138"/>
      <x:c r="CQ15" s="138"/>
      <x:c r="CR15" s="138"/>
      <x:c r="CS15" s="138"/>
      <x:c r="CT15" s="138" t="n">
        <x:f>IFERROR(DI15*$DJ15/$F15,0)</x:f>
        <x:v>0</x:v>
      </x:c>
      <x:c r="CU15" s="138"/>
      <x:c r="CV15" s="138"/>
      <x:c r="CW15" s="138"/>
      <x:c r="CX15" s="138"/>
      <x:c r="CY15" s="138"/>
      <x:c r="CZ15" s="138"/>
      <x:c r="DA15" s="138"/>
      <x:c r="DB15" s="978" t="n">
        <x:v>700</x:v>
      </x:c>
      <x:c r="DC15" s="978" t="n">
        <x:v>500</x:v>
      </x:c>
      <x:c r="DD15" s="978" t="n">
        <x:v>50</x:v>
      </x:c>
      <x:c r="DE15" s="978"/>
      <x:c r="DF15" s="978"/>
      <x:c r="DG15" s="978"/>
      <x:c r="DH15" s="978"/>
      <x:c r="DI15" s="978"/>
      <x:c r="DJ15" s="980" t="n">
        <x:f>'S08_Defaults'!$B$37</x:f>
        <x:v>0.09</x:v>
      </x:c>
      <x:c r="DK15" s="979" t="n">
        <x:f>SUM(U15,AF15,AQ15,BB15,BM15,BX15,CI15,CT15)</x:f>
        <x:v>227.7327935222672</x:v>
      </x:c>
      <x:c r="DL15" s="979" t="n">
        <x:f>G15*DJ15</x:f>
        <x:v>227.7324</x:v>
      </x:c>
      <x:c r="DM15" s="979" t="n">
        <x:f>DK15-DL15</x:f>
        <x:v>0.00039352226718847305</x:v>
      </x:c>
      <x:c r="DN15" s="977" t="str">
        <x:f>IF(ABS(DM15)&lt;=MAX(0.5,0.05*ABS(DL15)),"OK","REVIEW")</x:f>
        <x:v>OK</x:v>
      </x:c>
    </x:row>
    <x:row r="16" ht="15" hidden="0" customHeight="1">
      <x:c r="A16" s="138" t="s">
        <x:v>585</x:v>
      </x:c>
      <x:c r="B16" s="138" t="str">
        <x:v>Tropical &amp; Subtropical Moist Broadleaf Forests</x:v>
      </x:c>
      <x:c r="C16" s="138" t="s">
        <x:v>112</x:v>
      </x:c>
      <x:c r="D16" s="138" t="s">
        <x:v>542</x:v>
      </x:c>
      <x:c r="E16" s="138" t="n">
        <x:v>2020</x:v>
      </x:c>
      <x:c r="F16" s="138" t="n">
        <x:v>0.806</x:v>
      </x:c>
      <x:c r="G16" s="138" t="n">
        <x:v>3411.91</x:v>
      </x:c>
      <x:c r="H16" s="138" t="s">
        <x:v>876</x:v>
      </x:c>
      <x:c r="I16" s="138" t="s">
        <x:v>584</x:v>
      </x:c>
      <x:c r="J16" s="139" t="n">
        <x:f aca="0">IF($E16="Unconfirmed","",IFERROR(SUMIF(S15_Source_Strata!$B$4:$B$49,$I16,S15_Source_Strata!$H$4:$H$49),""))</x:f>
        <x:v>611.577846191391</x:v>
      </x:c>
      <x:c r="K16" s="139" t="n">
        <x:f aca="0">IF($E16="Unconfirmed","",IFERROR(SUMIF(S15_Source_Strata!$B$4:$B$49,$I16,S15_Source_Strata!$I$4:$I$49),""))</x:f>
        <x:v>546.9397806463899</x:v>
      </x:c>
      <x:c r="L16" s="139" t="n">
        <x:f aca="0">IF($E16="Unconfirmed","",IFERROR(SUMIF(S15_Source_Strata!$B$4:$B$49,$I16,S15_Source_Strata!$J$4:$J$49),""))</x:f>
        <x:v>0.8943093410797406</x:v>
      </x:c>
      <x:c r="M16" s="139" t="n">
        <x:f aca="0">IF($E16="Unconfirmed","",IFERROR(SUMIF(S15_Source_Strata!$B$4:$B$49,$I16,S15_Source_Strata!$N$4:$N$49),""))</x:f>
        <x:v>458.68338464354326</x:v>
      </x:c>
      <x:c r="N16" s="139" t="n">
        <x:f aca="0">IF($E16="Unconfirmed","",IFERROR(SUMIF(S15_Source_Strata!$B$4:$B$49,$I16,S15_Source_Strata!$O$4:$O$49),""))</x:f>
        <x:v>0.75</x:v>
      </x:c>
      <x:c r="O16" s="139" t="n">
        <x:f aca="0">IF($E16="Unconfirmed","",IFERROR(SUMIF(S15_Source_Strata!$B$4:$B$49,$I16,S15_Source_Strata!$X$4:$X$49),""))</x:f>
        <x:v>980.1758140909432</x:v>
      </x:c>
      <x:c r="P16" s="139" t="n">
        <x:f aca="0">IF($E16="Unconfirmed","",IFERROR(SUMIF(S15_Source_Strata!$B$4:$B$49,$I16,S15_Source_Strata!$AL$4:$AL$49),""))</x:f>
        <x:v>5245.530021136775</x:v>
      </x:c>
      <x:c r="Q16" s="139" t="str">
        <x:f aca="0">IF($E16="Unconfirmed","",IFERROR(SUMIF(S15_Source_Strata!$B$4:$B$49,$I16,S15_Source_Strata!$K$4:$K$49)&amp;"/"&amp;SUMIF(S15_Source_Strata!$B$4:$B$49,$I16,S15_Source_Strata!$L$4:$L$49),""))</x:f>
        <x:v>6/6</x:v>
      </x:c>
      <x:c r="R16" s="138" t="s">
        <x:v>570</x:v>
      </x:c>
      <x:c r="S16" s="138" t="s">
        <x:v>840</x:v>
      </x:c>
      <x:c r="T16" s="138" t="s">
        <x:v>841</x:v>
      </x:c>
      <x:c r="U16" s="138" t="n">
        <x:f>IFERROR(DB16*$DJ16/$F16,0)</x:f>
        <x:v>27.91563275434243</x:v>
      </x:c>
      <x:c r="V16" s="138" t="n">
        <x:v>0.5</x:v>
      </x:c>
      <x:c r="W16" s="138" t="n">
        <x:v>35</x:v>
      </x:c>
      <x:c r="X16" s="138" t="n">
        <x:v>0.14</x:v>
      </x:c>
      <x:c r="Y16" s="138" t="n">
        <x:v>1.4</x:v>
      </x:c>
      <x:c r="Z16" s="138" t="n">
        <x:v>12</x:v>
      </x:c>
      <x:c r="AA16" s="138" t="n">
        <x:v>0.2</x:v>
      </x:c>
      <x:c r="AB16" s="138" t="n">
        <x:v>1.3</x:v>
      </x:c>
      <x:c r="AC16" s="138" t="s">
        <x:v>670</x:v>
      </x:c>
      <x:c r="AD16" s="138" t="s">
        <x:v>877</x:v>
      </x:c>
      <x:c r="AE16" s="138" t="s">
        <x:v>841</x:v>
      </x:c>
      <x:c r="AF16" s="138" t="n">
        <x:f>IFERROR(DC16*$DJ16/$F16,0)</x:f>
        <x:v>279.1563275434243</x:v>
      </x:c>
      <x:c r="AG16" s="138" t="n">
        <x:v>0.55</x:v>
      </x:c>
      <x:c r="AH16" s="138" t="n">
        <x:v>50</x:v>
      </x:c>
      <x:c r="AI16" s="138" t="n">
        <x:v>0.12</x:v>
      </x:c>
      <x:c r="AJ16" s="138" t="n">
        <x:v>1.4</x:v>
      </x:c>
      <x:c r="AK16" s="138" t="n">
        <x:v>25</x:v>
      </x:c>
      <x:c r="AL16" s="138" t="n">
        <x:v>0.15</x:v>
      </x:c>
      <x:c r="AM16" s="138" t="n">
        <x:v>1.3</x:v>
      </x:c>
      <x:c r="AN16" s="138"/>
      <x:c r="AO16" s="138"/>
      <x:c r="AP16" s="138"/>
      <x:c r="AQ16" s="138" t="n">
        <x:f>IFERROR(DD16*$DJ16/$F16,0)</x:f>
        <x:v>0</x:v>
      </x:c>
      <x:c r="AR16" s="138"/>
      <x:c r="AS16" s="138"/>
      <x:c r="AT16" s="138"/>
      <x:c r="AU16" s="138"/>
      <x:c r="AV16" s="138"/>
      <x:c r="AW16" s="138"/>
      <x:c r="AX16" s="138"/>
      <x:c r="AY16" s="138"/>
      <x:c r="AZ16" s="138"/>
      <x:c r="BA16" s="138"/>
      <x:c r="BB16" s="138" t="n">
        <x:f>IFERROR(DE16*$DJ16/$F16,0)</x:f>
        <x:v>0</x:v>
      </x:c>
      <x:c r="BC16" s="138"/>
      <x:c r="BD16" s="138"/>
      <x:c r="BE16" s="138"/>
      <x:c r="BF16" s="138"/>
      <x:c r="BG16" s="138"/>
      <x:c r="BH16" s="138"/>
      <x:c r="BI16" s="138"/>
      <x:c r="BJ16" s="138"/>
      <x:c r="BK16" s="138"/>
      <x:c r="BL16" s="138"/>
      <x:c r="BM16" s="138" t="n">
        <x:f>IFERROR(DF16*$DJ16/$F16,0)</x:f>
        <x:v>0</x:v>
      </x:c>
      <x:c r="BN16" s="138"/>
      <x:c r="BO16" s="138"/>
      <x:c r="BP16" s="138"/>
      <x:c r="BQ16" s="138"/>
      <x:c r="BR16" s="138"/>
      <x:c r="BS16" s="138"/>
      <x:c r="BT16" s="138"/>
      <x:c r="BU16" s="138"/>
      <x:c r="BV16" s="138"/>
      <x:c r="BW16" s="138"/>
      <x:c r="BX16" s="138" t="n">
        <x:f>IFERROR(DG16*$DJ16/$F16,0)</x:f>
        <x:v>0</x:v>
      </x:c>
      <x:c r="BY16" s="138"/>
      <x:c r="BZ16" s="138"/>
      <x:c r="CA16" s="138"/>
      <x:c r="CB16" s="138"/>
      <x:c r="CC16" s="138"/>
      <x:c r="CD16" s="138"/>
      <x:c r="CE16" s="138"/>
      <x:c r="CF16" s="138"/>
      <x:c r="CG16" s="138"/>
      <x:c r="CH16" s="138"/>
      <x:c r="CI16" s="138" t="n">
        <x:f>IFERROR(DH16*$DJ16/$F16,0)</x:f>
        <x:v>0</x:v>
      </x:c>
      <x:c r="CJ16" s="138"/>
      <x:c r="CK16" s="138"/>
      <x:c r="CL16" s="138"/>
      <x:c r="CM16" s="138"/>
      <x:c r="CN16" s="138"/>
      <x:c r="CO16" s="138"/>
      <x:c r="CP16" s="138"/>
      <x:c r="CQ16" s="138"/>
      <x:c r="CR16" s="138"/>
      <x:c r="CS16" s="138"/>
      <x:c r="CT16" s="138" t="n">
        <x:f>IFERROR(DI16*$DJ16/$F16,0)</x:f>
        <x:v>0</x:v>
      </x:c>
      <x:c r="CU16" s="138"/>
      <x:c r="CV16" s="138"/>
      <x:c r="CW16" s="138"/>
      <x:c r="CX16" s="138"/>
      <x:c r="CY16" s="138"/>
      <x:c r="CZ16" s="138"/>
      <x:c r="DA16" s="138"/>
      <x:c r="DB16" s="978" t="n">
        <x:v>250</x:v>
      </x:c>
      <x:c r="DC16" s="978" t="n">
        <x:v>2500</x:v>
      </x:c>
      <x:c r="DD16" s="978"/>
      <x:c r="DE16" s="978"/>
      <x:c r="DF16" s="978"/>
      <x:c r="DG16" s="978"/>
      <x:c r="DH16" s="978"/>
      <x:c r="DI16" s="978"/>
      <x:c r="DJ16" s="980" t="n">
        <x:f>'S08_Defaults'!$B$37</x:f>
        <x:v>0.09</x:v>
      </x:c>
      <x:c r="DK16" s="979" t="n">
        <x:f>SUM(U16,AF16,AQ16,BB16,BM16,BX16,CI16,CT16)</x:f>
        <x:v>307.07196029776674</x:v>
      </x:c>
      <x:c r="DL16" s="979" t="n">
        <x:f>G16*DJ16</x:f>
        <x:v>307.07189999999997</x:v>
      </x:c>
      <x:c r="DM16" s="979" t="n">
        <x:f>DK16-DL16</x:f>
        <x:v>0.00006029776676541587</x:v>
      </x:c>
      <x:c r="DN16" s="977" t="str">
        <x:f>IF(ABS(DM16)&lt;=MAX(0.5,0.05*ABS(DL16)),"OK","REVIEW")</x:f>
        <x:v>OK</x:v>
      </x:c>
    </x:row>
    <x:row r="17" ht="15" hidden="0" customHeight="1">
      <x:c r="A17" s="138" t="s">
        <x:v>587</x:v>
      </x:c>
      <x:c r="B17" s="138" t="str">
        <x:v>Tropical &amp; Subtropical Dry Broadleaf Forests</x:v>
      </x:c>
      <x:c r="C17" s="138" t="s">
        <x:v>112</x:v>
      </x:c>
      <x:c r="D17" s="138" t="s">
        <x:v>542</x:v>
      </x:c>
      <x:c r="E17" s="138" t="n">
        <x:v>2020</x:v>
      </x:c>
      <x:c r="F17" s="138" t="n">
        <x:v>0.462</x:v>
      </x:c>
      <x:c r="G17" s="138" t="n">
        <x:v>1915.58</x:v>
      </x:c>
      <x:c r="H17" s="138" t="s">
        <x:v>878</x:v>
      </x:c>
      <x:c r="I17" s="138" t="s">
        <x:v>584</x:v>
      </x:c>
      <x:c r="J17" s="139" t="n">
        <x:f aca="0">IF($E17="Unconfirmed","",IFERROR(SUMIF(S15_Source_Strata!$B$4:$B$49,$I17,S15_Source_Strata!$H$4:$H$49),""))</x:f>
        <x:v>611.577846191391</x:v>
      </x:c>
      <x:c r="K17" s="139" t="n">
        <x:f aca="0">IF($E17="Unconfirmed","",IFERROR(SUMIF(S15_Source_Strata!$B$4:$B$49,$I17,S15_Source_Strata!$I$4:$I$49),""))</x:f>
        <x:v>546.9397806463899</x:v>
      </x:c>
      <x:c r="L17" s="139" t="n">
        <x:f aca="0">IF($E17="Unconfirmed","",IFERROR(SUMIF(S15_Source_Strata!$B$4:$B$49,$I17,S15_Source_Strata!$J$4:$J$49),""))</x:f>
        <x:v>0.8943093410797406</x:v>
      </x:c>
      <x:c r="M17" s="139" t="n">
        <x:f aca="0">IF($E17="Unconfirmed","",IFERROR(SUMIF(S15_Source_Strata!$B$4:$B$49,$I17,S15_Source_Strata!$N$4:$N$49),""))</x:f>
        <x:v>458.68338464354326</x:v>
      </x:c>
      <x:c r="N17" s="139" t="n">
        <x:f aca="0">IF($E17="Unconfirmed","",IFERROR(SUMIF(S15_Source_Strata!$B$4:$B$49,$I17,S15_Source_Strata!$O$4:$O$49),""))</x:f>
        <x:v>0.75</x:v>
      </x:c>
      <x:c r="O17" s="139" t="n">
        <x:f aca="0">IF($E17="Unconfirmed","",IFERROR(SUMIF(S15_Source_Strata!$B$4:$B$49,$I17,S15_Source_Strata!$X$4:$X$49),""))</x:f>
        <x:v>980.1758140909432</x:v>
      </x:c>
      <x:c r="P17" s="139" t="n">
        <x:f aca="0">IF($E17="Unconfirmed","",IFERROR(SUMIF(S15_Source_Strata!$B$4:$B$49,$I17,S15_Source_Strata!$AL$4:$AL$49),""))</x:f>
        <x:v>5245.530021136775</x:v>
      </x:c>
      <x:c r="Q17" s="139" t="str">
        <x:f aca="0">IF($E17="Unconfirmed","",IFERROR(SUMIF(S15_Source_Strata!$B$4:$B$49,$I17,S15_Source_Strata!$K$4:$K$49)&amp;"/"&amp;SUMIF(S15_Source_Strata!$B$4:$B$49,$I17,S15_Source_Strata!$L$4:$L$49),""))</x:f>
        <x:v>6/6</x:v>
      </x:c>
      <x:c r="R17" s="138" t="s">
        <x:v>879</x:v>
      </x:c>
      <x:c r="S17" s="138" t="s">
        <x:v>879</x:v>
      </x:c>
      <x:c r="T17" s="138" t="s">
        <x:v>880</x:v>
      </x:c>
      <x:c r="U17" s="138" t="n">
        <x:f>IFERROR(DB17*$DJ17/$F17,0)</x:f>
        <x:v>8.766233766233766</x:v>
      </x:c>
      <x:c r="V17" s="138"/>
      <x:c r="W17" s="138"/>
      <x:c r="X17" s="138"/>
      <x:c r="Y17" s="138"/>
      <x:c r="Z17" s="138"/>
      <x:c r="AA17" s="138"/>
      <x:c r="AB17" s="138"/>
      <x:c r="AC17" s="138"/>
      <x:c r="AD17" s="138"/>
      <x:c r="AE17" s="138"/>
      <x:c r="AF17" s="138" t="n">
        <x:f>IFERROR(DC17*$DJ17/$F17,0)</x:f>
        <x:v>0</x:v>
      </x:c>
      <x:c r="AG17" s="138"/>
      <x:c r="AH17" s="138"/>
      <x:c r="AI17" s="138"/>
      <x:c r="AJ17" s="138"/>
      <x:c r="AK17" s="138"/>
      <x:c r="AL17" s="138"/>
      <x:c r="AM17" s="138"/>
      <x:c r="AN17" s="138"/>
      <x:c r="AO17" s="138"/>
      <x:c r="AP17" s="138"/>
      <x:c r="AQ17" s="138" t="n">
        <x:f>IFERROR(DD17*$DJ17/$F17,0)</x:f>
        <x:v>0</x:v>
      </x:c>
      <x:c r="AR17" s="138"/>
      <x:c r="AS17" s="138"/>
      <x:c r="AT17" s="138"/>
      <x:c r="AU17" s="138"/>
      <x:c r="AV17" s="138"/>
      <x:c r="AW17" s="138"/>
      <x:c r="AX17" s="138"/>
      <x:c r="AY17" s="138"/>
      <x:c r="AZ17" s="138"/>
      <x:c r="BA17" s="138"/>
      <x:c r="BB17" s="138" t="n">
        <x:f>IFERROR(DE17*$DJ17/$F17,0)</x:f>
        <x:v>0</x:v>
      </x:c>
      <x:c r="BC17" s="138"/>
      <x:c r="BD17" s="138"/>
      <x:c r="BE17" s="138"/>
      <x:c r="BF17" s="138"/>
      <x:c r="BG17" s="138"/>
      <x:c r="BH17" s="138"/>
      <x:c r="BI17" s="138"/>
      <x:c r="BJ17" s="138"/>
      <x:c r="BK17" s="138"/>
      <x:c r="BL17" s="138"/>
      <x:c r="BM17" s="138" t="n">
        <x:f>IFERROR(DF17*$DJ17/$F17,0)</x:f>
        <x:v>0</x:v>
      </x:c>
      <x:c r="BN17" s="138"/>
      <x:c r="BO17" s="138"/>
      <x:c r="BP17" s="138"/>
      <x:c r="BQ17" s="138"/>
      <x:c r="BR17" s="138"/>
      <x:c r="BS17" s="138"/>
      <x:c r="BT17" s="138"/>
      <x:c r="BU17" s="138"/>
      <x:c r="BV17" s="138"/>
      <x:c r="BW17" s="138"/>
      <x:c r="BX17" s="138" t="n">
        <x:f>IFERROR(DG17*$DJ17/$F17,0)</x:f>
        <x:v>0</x:v>
      </x:c>
      <x:c r="BY17" s="138"/>
      <x:c r="BZ17" s="138"/>
      <x:c r="CA17" s="138"/>
      <x:c r="CB17" s="138"/>
      <x:c r="CC17" s="138"/>
      <x:c r="CD17" s="138"/>
      <x:c r="CE17" s="138"/>
      <x:c r="CF17" s="138"/>
      <x:c r="CG17" s="138"/>
      <x:c r="CH17" s="138"/>
      <x:c r="CI17" s="138" t="n">
        <x:f>IFERROR(DH17*$DJ17/$F17,0)</x:f>
        <x:v>0</x:v>
      </x:c>
      <x:c r="CJ17" s="138"/>
      <x:c r="CK17" s="138"/>
      <x:c r="CL17" s="138"/>
      <x:c r="CM17" s="138"/>
      <x:c r="CN17" s="138"/>
      <x:c r="CO17" s="138"/>
      <x:c r="CP17" s="138"/>
      <x:c r="CQ17" s="138"/>
      <x:c r="CR17" s="138"/>
      <x:c r="CS17" s="138"/>
      <x:c r="CT17" s="138" t="n">
        <x:f>IFERROR(DI17*$DJ17/$F17,0)</x:f>
        <x:v>0</x:v>
      </x:c>
      <x:c r="CU17" s="138"/>
      <x:c r="CV17" s="138"/>
      <x:c r="CW17" s="138"/>
      <x:c r="CX17" s="138"/>
      <x:c r="CY17" s="138"/>
      <x:c r="CZ17" s="138"/>
      <x:c r="DA17" s="138"/>
      <x:c r="DB17" s="978" t="n">
        <x:v>45</x:v>
      </x:c>
      <x:c r="DC17" s="978"/>
      <x:c r="DD17" s="978"/>
      <x:c r="DE17" s="978"/>
      <x:c r="DF17" s="978"/>
      <x:c r="DG17" s="978"/>
      <x:c r="DH17" s="978"/>
      <x:c r="DI17" s="978"/>
      <x:c r="DJ17" s="980" t="n">
        <x:f>'S08_Defaults'!$B$37</x:f>
        <x:v>0.09</x:v>
      </x:c>
      <x:c r="DK17" s="979" t="n">
        <x:f>SUM(U17,AF17,AQ17,BB17,BM17,BX17,CI17,CT17)</x:f>
        <x:v>8.766233766233766</x:v>
      </x:c>
      <x:c r="DL17" s="979" t="n">
        <x:f>G17*DJ17</x:f>
        <x:v>172.4022</x:v>
      </x:c>
      <x:c r="DM17" s="979" t="n">
        <x:f>DK17-DL17</x:f>
        <x:v>-163.63596623376623</x:v>
      </x:c>
      <x:c r="DN17" s="977" t="str">
        <x:f>IF(ABS(DM17)&lt;=MAX(0.5,0.05*ABS(DL17)),"OK","REVIEW")</x:f>
        <x:v>REVIEW</x:v>
      </x:c>
    </x:row>
    <x:row r="18" ht="15" hidden="0" customHeight="1">
      <x:c r="A18" s="138" t="s">
        <x:v>589</x:v>
      </x:c>
      <x:c r="B18" s="138" t="str">
        <x:v>Tropical &amp; Subtropical Dry Broadleaf Forests</x:v>
      </x:c>
      <x:c r="C18" s="138" t="s">
        <x:v>112</x:v>
      </x:c>
      <x:c r="D18" s="138" t="s">
        <x:v>542</x:v>
      </x:c>
      <x:c r="E18" s="138" t="n">
        <x:v>2020</x:v>
      </x:c>
      <x:c r="F18" s="138" t="n">
        <x:v>0.2749</x:v>
      </x:c>
      <x:c r="G18" s="138" t="n">
        <x:v>4728.99</x:v>
      </x:c>
      <x:c r="H18" s="138" t="s">
        <x:v>881</x:v>
      </x:c>
      <x:c r="I18" s="138" t="s">
        <x:v>584</x:v>
      </x:c>
      <x:c r="J18" s="139" t="n">
        <x:f aca="0">IF($E18="Unconfirmed","",IFERROR(SUMIF(S15_Source_Strata!$B$4:$B$49,$I18,S15_Source_Strata!$H$4:$H$49),""))</x:f>
        <x:v>611.577846191391</x:v>
      </x:c>
      <x:c r="K18" s="139" t="n">
        <x:f aca="0">IF($E18="Unconfirmed","",IFERROR(SUMIF(S15_Source_Strata!$B$4:$B$49,$I18,S15_Source_Strata!$I$4:$I$49),""))</x:f>
        <x:v>546.9397806463899</x:v>
      </x:c>
      <x:c r="L18" s="139" t="n">
        <x:f aca="0">IF($E18="Unconfirmed","",IFERROR(SUMIF(S15_Source_Strata!$B$4:$B$49,$I18,S15_Source_Strata!$J$4:$J$49),""))</x:f>
        <x:v>0.8943093410797406</x:v>
      </x:c>
      <x:c r="M18" s="139" t="n">
        <x:f aca="0">IF($E18="Unconfirmed","",IFERROR(SUMIF(S15_Source_Strata!$B$4:$B$49,$I18,S15_Source_Strata!$N$4:$N$49),""))</x:f>
        <x:v>458.68338464354326</x:v>
      </x:c>
      <x:c r="N18" s="139" t="n">
        <x:f aca="0">IF($E18="Unconfirmed","",IFERROR(SUMIF(S15_Source_Strata!$B$4:$B$49,$I18,S15_Source_Strata!$O$4:$O$49),""))</x:f>
        <x:v>0.75</x:v>
      </x:c>
      <x:c r="O18" s="139" t="n">
        <x:f aca="0">IF($E18="Unconfirmed","",IFERROR(SUMIF(S15_Source_Strata!$B$4:$B$49,$I18,S15_Source_Strata!$X$4:$X$49),""))</x:f>
        <x:v>980.1758140909432</x:v>
      </x:c>
      <x:c r="P18" s="139" t="n">
        <x:f aca="0">IF($E18="Unconfirmed","",IFERROR(SUMIF(S15_Source_Strata!$B$4:$B$49,$I18,S15_Source_Strata!$AL$4:$AL$49),""))</x:f>
        <x:v>5245.530021136775</x:v>
      </x:c>
      <x:c r="Q18" s="139" t="str">
        <x:f aca="0">IF($E18="Unconfirmed","",IFERROR(SUMIF(S15_Source_Strata!$B$4:$B$49,$I18,S15_Source_Strata!$K$4:$K$49)&amp;"/"&amp;SUMIF(S15_Source_Strata!$B$4:$B$49,$I18,S15_Source_Strata!$L$4:$L$49),""))</x:f>
        <x:v>6/6</x:v>
      </x:c>
      <x:c r="R18" s="138" t="s">
        <x:v>660</x:v>
      </x:c>
      <x:c r="S18" s="138" t="s">
        <x:v>875</x:v>
      </x:c>
      <x:c r="T18" s="138" t="s">
        <x:v>841</x:v>
      </x:c>
      <x:c r="U18" s="138" t="n">
        <x:f>IFERROR(DB18*$DJ18/$F18,0)</x:f>
        <x:v>327.391778828665</x:v>
      </x:c>
      <x:c r="V18" s="138" t="n">
        <x:v>0.58</x:v>
      </x:c>
      <x:c r="W18" s="138" t="n">
        <x:v>55</x:v>
      </x:c>
      <x:c r="X18" s="138" t="n">
        <x:v>0.16</x:v>
      </x:c>
      <x:c r="Y18" s="138" t="n">
        <x:v>1.3</x:v>
      </x:c>
      <x:c r="Z18" s="138" t="n">
        <x:v>25</x:v>
      </x:c>
      <x:c r="AA18" s="138" t="n">
        <x:v>0.2</x:v>
      </x:c>
      <x:c r="AB18" s="138" t="n">
        <x:v>1.2</x:v>
      </x:c>
      <x:c r="AC18" s="138" t="s">
        <x:v>882</x:v>
      </x:c>
      <x:c r="AD18" s="138" t="s">
        <x:v>883</x:v>
      </x:c>
      <x:c r="AE18" s="138" t="s">
        <x:v>884</x:v>
      </x:c>
      <x:c r="AF18" s="138" t="n">
        <x:f>IFERROR(DC18*$DJ18/$F18,0)</x:f>
        <x:v>32.7391778828665</x:v>
      </x:c>
      <x:c r="AG18" s="138" t="n">
        <x:v>0.65</x:v>
      </x:c>
      <x:c r="AH18" s="138" t="n">
        <x:v>45</x:v>
      </x:c>
      <x:c r="AI18" s="138" t="n">
        <x:v>0.13</x:v>
      </x:c>
      <x:c r="AJ18" s="138" t="n">
        <x:v>1.4</x:v>
      </x:c>
      <x:c r="AK18" s="138" t="n">
        <x:v>20</x:v>
      </x:c>
      <x:c r="AL18" s="138" t="n">
        <x:v>0.17</x:v>
      </x:c>
      <x:c r="AM18" s="138" t="n">
        <x:v>1.3</x:v>
      </x:c>
      <x:c r="AN18" s="138" t="s">
        <x:v>861</x:v>
      </x:c>
      <x:c r="AO18" s="138" t="s">
        <x:v>862</x:v>
      </x:c>
      <x:c r="AP18" s="138" t="s">
        <x:v>841</x:v>
      </x:c>
      <x:c r="AQ18" s="138" t="n">
        <x:f>IFERROR(DD18*$DJ18/$F18,0)</x:f>
        <x:v>32.7391778828665</x:v>
      </x:c>
      <x:c r="AR18" s="138" t="n">
        <x:v>0.65</x:v>
      </x:c>
      <x:c r="AS18" s="138" t="n">
        <x:v>35</x:v>
      </x:c>
      <x:c r="AT18" s="138" t="n">
        <x:v>0.13</x:v>
      </x:c>
      <x:c r="AU18" s="138" t="n">
        <x:v>1.4</x:v>
      </x:c>
      <x:c r="AV18" s="138" t="n">
        <x:v>15</x:v>
      </x:c>
      <x:c r="AW18" s="138" t="n">
        <x:v>0.18</x:v>
      </x:c>
      <x:c r="AX18" s="138" t="n">
        <x:v>1.3</x:v>
      </x:c>
      <x:c r="AY18" s="138" t="s">
        <x:v>885</x:v>
      </x:c>
      <x:c r="AZ18" s="138" t="s">
        <x:v>886</x:v>
      </x:c>
      <x:c r="BA18" s="138" t="s">
        <x:v>841</x:v>
      </x:c>
      <x:c r="BB18" s="138" t="n">
        <x:f>IFERROR(DE18*$DJ18/$F18,0)</x:f>
        <x:v>16.36958894143325</x:v>
      </x:c>
      <x:c r="BC18" s="138" t="n">
        <x:v>0.65</x:v>
      </x:c>
      <x:c r="BD18" s="138" t="n">
        <x:v>35</x:v>
      </x:c>
      <x:c r="BE18" s="138" t="n">
        <x:v>0.13</x:v>
      </x:c>
      <x:c r="BF18" s="138" t="n">
        <x:v>1.4</x:v>
      </x:c>
      <x:c r="BG18" s="138" t="n">
        <x:v>15</x:v>
      </x:c>
      <x:c r="BH18" s="138" t="n">
        <x:v>0.18</x:v>
      </x:c>
      <x:c r="BI18" s="138" t="n">
        <x:v>1.3</x:v>
      </x:c>
      <x:c r="BJ18" s="138" t="s">
        <x:v>579</x:v>
      </x:c>
      <x:c r="BK18" s="138" t="s">
        <x:v>842</x:v>
      </x:c>
      <x:c r="BL18" s="138" t="s">
        <x:v>841</x:v>
      </x:c>
      <x:c r="BM18" s="138" t="n">
        <x:f>IFERROR(DF18*$DJ18/$F18,0)</x:f>
        <x:v>16.36958894143325</x:v>
      </x:c>
      <x:c r="BN18" s="138" t="n">
        <x:v>0.6</x:v>
      </x:c>
      <x:c r="BO18" s="138" t="n">
        <x:v>45</x:v>
      </x:c>
      <x:c r="BP18" s="138" t="n">
        <x:v>0.12</x:v>
      </x:c>
      <x:c r="BQ18" s="138" t="n">
        <x:v>1.4</x:v>
      </x:c>
      <x:c r="BR18" s="138" t="n">
        <x:v>14</x:v>
      </x:c>
      <x:c r="BS18" s="138" t="n">
        <x:v>0.18</x:v>
      </x:c>
      <x:c r="BT18" s="138" t="n">
        <x:v>1.3</x:v>
      </x:c>
      <x:c r="BU18" s="138"/>
      <x:c r="BV18" s="138"/>
      <x:c r="BW18" s="138"/>
      <x:c r="BX18" s="138" t="n">
        <x:f>IFERROR(DG18*$DJ18/$F18,0)</x:f>
        <x:v>0</x:v>
      </x:c>
      <x:c r="BY18" s="138"/>
      <x:c r="BZ18" s="138"/>
      <x:c r="CA18" s="138"/>
      <x:c r="CB18" s="138"/>
      <x:c r="CC18" s="138"/>
      <x:c r="CD18" s="138"/>
      <x:c r="CE18" s="138"/>
      <x:c r="CF18" s="138"/>
      <x:c r="CG18" s="138"/>
      <x:c r="CH18" s="138"/>
      <x:c r="CI18" s="138" t="n">
        <x:f>IFERROR(DH18*$DJ18/$F18,0)</x:f>
        <x:v>0</x:v>
      </x:c>
      <x:c r="CJ18" s="138"/>
      <x:c r="CK18" s="138"/>
      <x:c r="CL18" s="138"/>
      <x:c r="CM18" s="138"/>
      <x:c r="CN18" s="138"/>
      <x:c r="CO18" s="138"/>
      <x:c r="CP18" s="138"/>
      <x:c r="CQ18" s="138"/>
      <x:c r="CR18" s="138"/>
      <x:c r="CS18" s="138"/>
      <x:c r="CT18" s="138" t="n">
        <x:f>IFERROR(DI18*$DJ18/$F18,0)</x:f>
        <x:v>0</x:v>
      </x:c>
      <x:c r="CU18" s="138"/>
      <x:c r="CV18" s="138"/>
      <x:c r="CW18" s="138"/>
      <x:c r="CX18" s="138"/>
      <x:c r="CY18" s="138"/>
      <x:c r="CZ18" s="138"/>
      <x:c r="DA18" s="138"/>
      <x:c r="DB18" s="978" t="n">
        <x:v>1000</x:v>
      </x:c>
      <x:c r="DC18" s="978" t="n">
        <x:v>100</x:v>
      </x:c>
      <x:c r="DD18" s="978" t="n">
        <x:v>100</x:v>
      </x:c>
      <x:c r="DE18" s="978" t="n">
        <x:v>50</x:v>
      </x:c>
      <x:c r="DF18" s="978" t="n">
        <x:v>50</x:v>
      </x:c>
      <x:c r="DG18" s="978"/>
      <x:c r="DH18" s="978"/>
      <x:c r="DI18" s="978"/>
      <x:c r="DJ18" s="980" t="n">
        <x:f>'S08_Defaults'!$B$37</x:f>
        <x:v>0.09</x:v>
      </x:c>
      <x:c r="DK18" s="979" t="n">
        <x:f>SUM(U18,AF18,AQ18,BB18,BM18,BX18,CI18,CT18)</x:f>
        <x:v>425.60931247726444</x:v>
      </x:c>
      <x:c r="DL18" s="979" t="n">
        <x:f>G18*DJ18</x:f>
        <x:v>425.60909999999996</x:v>
      </x:c>
      <x:c r="DM18" s="979" t="n">
        <x:f>DK18-DL18</x:f>
        <x:v>0.00021247726448336834</x:v>
      </x:c>
      <x:c r="DN18" s="977" t="str">
        <x:f>IF(ABS(DM18)&lt;=MAX(0.5,0.05*ABS(DL18)),"OK","REVIEW")</x:f>
        <x:v>OK</x:v>
      </x:c>
    </x:row>
    <x:row r="19" ht="15" hidden="0" customHeight="1">
      <x:c r="A19" s="138" t="s">
        <x:v>591</x:v>
      </x:c>
      <x:c r="B19" s="138" t="str">
        <x:v>Tropical &amp; Subtropical Dry Broadleaf Forests</x:v>
      </x:c>
      <x:c r="C19" s="138" t="s">
        <x:v>112</x:v>
      </x:c>
      <x:c r="D19" s="138" t="s">
        <x:v>542</x:v>
      </x:c>
      <x:c r="E19" s="138" t="n">
        <x:v>2020</x:v>
      </x:c>
      <x:c r="F19" s="138" t="n">
        <x:v>0.1863</x:v>
      </x:c>
      <x:c r="G19" s="138" t="n">
        <x:v>5850.78</x:v>
      </x:c>
      <x:c r="H19" s="138" t="s">
        <x:v>887</x:v>
      </x:c>
      <x:c r="I19" s="138" t="s">
        <x:v>584</x:v>
      </x:c>
      <x:c r="J19" s="139" t="n">
        <x:f aca="0">IF($E19="Unconfirmed","",IFERROR(SUMIF(S15_Source_Strata!$B$4:$B$49,$I19,S15_Source_Strata!$H$4:$H$49),""))</x:f>
        <x:v>611.577846191391</x:v>
      </x:c>
      <x:c r="K19" s="139" t="n">
        <x:f aca="0">IF($E19="Unconfirmed","",IFERROR(SUMIF(S15_Source_Strata!$B$4:$B$49,$I19,S15_Source_Strata!$I$4:$I$49),""))</x:f>
        <x:v>546.9397806463899</x:v>
      </x:c>
      <x:c r="L19" s="139" t="n">
        <x:f aca="0">IF($E19="Unconfirmed","",IFERROR(SUMIF(S15_Source_Strata!$B$4:$B$49,$I19,S15_Source_Strata!$J$4:$J$49),""))</x:f>
        <x:v>0.8943093410797406</x:v>
      </x:c>
      <x:c r="M19" s="139" t="n">
        <x:f aca="0">IF($E19="Unconfirmed","",IFERROR(SUMIF(S15_Source_Strata!$B$4:$B$49,$I19,S15_Source_Strata!$N$4:$N$49),""))</x:f>
        <x:v>458.68338464354326</x:v>
      </x:c>
      <x:c r="N19" s="139" t="n">
        <x:f aca="0">IF($E19="Unconfirmed","",IFERROR(SUMIF(S15_Source_Strata!$B$4:$B$49,$I19,S15_Source_Strata!$O$4:$O$49),""))</x:f>
        <x:v>0.75</x:v>
      </x:c>
      <x:c r="O19" s="139" t="n">
        <x:f aca="0">IF($E19="Unconfirmed","",IFERROR(SUMIF(S15_Source_Strata!$B$4:$B$49,$I19,S15_Source_Strata!$X$4:$X$49),""))</x:f>
        <x:v>980.1758140909432</x:v>
      </x:c>
      <x:c r="P19" s="139" t="n">
        <x:f aca="0">IF($E19="Unconfirmed","",IFERROR(SUMIF(S15_Source_Strata!$B$4:$B$49,$I19,S15_Source_Strata!$AL$4:$AL$49),""))</x:f>
        <x:v>5245.530021136775</x:v>
      </x:c>
      <x:c r="Q19" s="139" t="str">
        <x:f aca="0">IF($E19="Unconfirmed","",IFERROR(SUMIF(S15_Source_Strata!$B$4:$B$49,$I19,S15_Source_Strata!$K$4:$K$49)&amp;"/"&amp;SUMIF(S15_Source_Strata!$B$4:$B$49,$I19,S15_Source_Strata!$L$4:$L$49),""))</x:f>
        <x:v>6/6</x:v>
      </x:c>
      <x:c r="R19" s="138" t="s">
        <x:v>861</x:v>
      </x:c>
      <x:c r="S19" s="138" t="s">
        <x:v>862</x:v>
      </x:c>
      <x:c r="T19" s="138" t="s">
        <x:v>841</x:v>
      </x:c>
      <x:c r="U19" s="138" t="n">
        <x:f>IFERROR(DB19*$DJ19/$F19,0)</x:f>
        <x:v>164.2512077294686</x:v>
      </x:c>
      <x:c r="V19" s="138" t="n">
        <x:v>0.65</x:v>
      </x:c>
      <x:c r="W19" s="138" t="n">
        <x:v>35</x:v>
      </x:c>
      <x:c r="X19" s="138" t="n">
        <x:v>0.13</x:v>
      </x:c>
      <x:c r="Y19" s="138" t="n">
        <x:v>1.4</x:v>
      </x:c>
      <x:c r="Z19" s="138" t="n">
        <x:v>15</x:v>
      </x:c>
      <x:c r="AA19" s="138" t="n">
        <x:v>0.18</x:v>
      </x:c>
      <x:c r="AB19" s="138" t="n">
        <x:v>1.3</x:v>
      </x:c>
      <x:c r="AC19" s="138" t="s">
        <x:v>888</x:v>
      </x:c>
      <x:c r="AD19" s="138" t="s">
        <x:v>888</x:v>
      </x:c>
      <x:c r="AE19" s="138" t="s">
        <x:v>880</x:v>
      </x:c>
      <x:c r="AF19" s="138" t="n">
        <x:f>IFERROR(DC19*$DJ19/$F19,0)</x:f>
        <x:v>111.11111111111111</x:v>
      </x:c>
      <x:c r="AG19" s="138"/>
      <x:c r="AH19" s="138"/>
      <x:c r="AI19" s="138"/>
      <x:c r="AJ19" s="138"/>
      <x:c r="AK19" s="138"/>
      <x:c r="AL19" s="138"/>
      <x:c r="AM19" s="138"/>
      <x:c r="AN19" s="138" t="s">
        <x:v>851</x:v>
      </x:c>
      <x:c r="AO19" s="138" t="s">
        <x:v>852</x:v>
      </x:c>
      <x:c r="AP19" s="138" t="s">
        <x:v>841</x:v>
      </x:c>
      <x:c r="AQ19" s="138" t="n">
        <x:f>IFERROR(DD19*$DJ19/$F19,0)</x:f>
        <x:v>251.20772946859904</x:v>
      </x:c>
      <x:c r="AR19" s="138" t="n">
        <x:v>0.65</x:v>
      </x:c>
      <x:c r="AS19" s="138" t="n">
        <x:v>35</x:v>
      </x:c>
      <x:c r="AT19" s="138" t="n">
        <x:v>0.13</x:v>
      </x:c>
      <x:c r="AU19" s="138" t="n">
        <x:v>1.4</x:v>
      </x:c>
      <x:c r="AV19" s="138" t="n">
        <x:v>15</x:v>
      </x:c>
      <x:c r="AW19" s="138" t="n">
        <x:v>0.18</x:v>
      </x:c>
      <x:c r="AX19" s="138" t="n">
        <x:v>1.3</x:v>
      </x:c>
      <x:c r="AY19" s="138"/>
      <x:c r="AZ19" s="138"/>
      <x:c r="BA19" s="138"/>
      <x:c r="BB19" s="138" t="n">
        <x:f>IFERROR(DE19*$DJ19/$F19,0)</x:f>
        <x:v>0</x:v>
      </x:c>
      <x:c r="BC19" s="138"/>
      <x:c r="BD19" s="138"/>
      <x:c r="BE19" s="138"/>
      <x:c r="BF19" s="138"/>
      <x:c r="BG19" s="138"/>
      <x:c r="BH19" s="138"/>
      <x:c r="BI19" s="138"/>
      <x:c r="BJ19" s="138"/>
      <x:c r="BK19" s="138"/>
      <x:c r="BL19" s="138"/>
      <x:c r="BM19" s="138" t="n">
        <x:f>IFERROR(DF19*$DJ19/$F19,0)</x:f>
        <x:v>0</x:v>
      </x:c>
      <x:c r="BN19" s="138"/>
      <x:c r="BO19" s="138"/>
      <x:c r="BP19" s="138"/>
      <x:c r="BQ19" s="138"/>
      <x:c r="BR19" s="138"/>
      <x:c r="BS19" s="138"/>
      <x:c r="BT19" s="138"/>
      <x:c r="BU19" s="138"/>
      <x:c r="BV19" s="138"/>
      <x:c r="BW19" s="138"/>
      <x:c r="BX19" s="138" t="n">
        <x:f>IFERROR(DG19*$DJ19/$F19,0)</x:f>
        <x:v>0</x:v>
      </x:c>
      <x:c r="BY19" s="138"/>
      <x:c r="BZ19" s="138"/>
      <x:c r="CA19" s="138"/>
      <x:c r="CB19" s="138"/>
      <x:c r="CC19" s="138"/>
      <x:c r="CD19" s="138"/>
      <x:c r="CE19" s="138"/>
      <x:c r="CF19" s="138"/>
      <x:c r="CG19" s="138"/>
      <x:c r="CH19" s="138"/>
      <x:c r="CI19" s="138" t="n">
        <x:f>IFERROR(DH19*$DJ19/$F19,0)</x:f>
        <x:v>0</x:v>
      </x:c>
      <x:c r="CJ19" s="138"/>
      <x:c r="CK19" s="138"/>
      <x:c r="CL19" s="138"/>
      <x:c r="CM19" s="138"/>
      <x:c r="CN19" s="138"/>
      <x:c r="CO19" s="138"/>
      <x:c r="CP19" s="138"/>
      <x:c r="CQ19" s="138"/>
      <x:c r="CR19" s="138"/>
      <x:c r="CS19" s="138"/>
      <x:c r="CT19" s="138" t="n">
        <x:f>IFERROR(DI19*$DJ19/$F19,0)</x:f>
        <x:v>0</x:v>
      </x:c>
      <x:c r="CU19" s="138"/>
      <x:c r="CV19" s="138"/>
      <x:c r="CW19" s="138"/>
      <x:c r="CX19" s="138"/>
      <x:c r="CY19" s="138"/>
      <x:c r="CZ19" s="138"/>
      <x:c r="DA19" s="138"/>
      <x:c r="DB19" s="978" t="n">
        <x:v>340</x:v>
      </x:c>
      <x:c r="DC19" s="978" t="n">
        <x:v>230</x:v>
      </x:c>
      <x:c r="DD19" s="978" t="n">
        <x:v>520</x:v>
      </x:c>
      <x:c r="DE19" s="978"/>
      <x:c r="DF19" s="978"/>
      <x:c r="DG19" s="978"/>
      <x:c r="DH19" s="978"/>
      <x:c r="DI19" s="978"/>
      <x:c r="DJ19" s="980" t="n">
        <x:f>'S08_Defaults'!$B$37</x:f>
        <x:v>0.09</x:v>
      </x:c>
      <x:c r="DK19" s="979" t="n">
        <x:f>SUM(U19,AF19,AQ19,BB19,BM19,BX19,CI19,CT19)</x:f>
        <x:v>526.5700483091788</x:v>
      </x:c>
      <x:c r="DL19" s="979" t="n">
        <x:f>G19*DJ19</x:f>
        <x:v>526.5702</x:v>
      </x:c>
      <x:c r="DM19" s="979" t="n">
        <x:f>DK19-DL19</x:f>
        <x:v>-0.00015169082121246902</x:v>
      </x:c>
      <x:c r="DN19" s="977" t="str">
        <x:f>IF(ABS(DM19)&lt;=MAX(0.5,0.05*ABS(DL19)),"OK","REVIEW")</x:f>
        <x:v>OK</x:v>
      </x:c>
    </x:row>
    <x:row r="20" ht="15" hidden="0" customHeight="1">
      <x:c r="A20" s="138" t="s">
        <x:v>593</x:v>
      </x:c>
      <x:c r="B20" s="138" t="str">
        <x:v>Tropical &amp; Subtropical Dry Broadleaf Forests</x:v>
      </x:c>
      <x:c r="C20" s="138" t="s">
        <x:v>112</x:v>
      </x:c>
      <x:c r="D20" s="138" t="s">
        <x:v>542</x:v>
      </x:c>
      <x:c r="E20" s="138" t="n">
        <x:v>2020</x:v>
      </x:c>
      <x:c r="F20" s="138" t="n">
        <x:v>0.6113</x:v>
      </x:c>
      <x:c r="G20" s="138" t="n">
        <x:v>1717.65</x:v>
      </x:c>
      <x:c r="H20" s="138" t="s">
        <x:v>889</x:v>
      </x:c>
      <x:c r="I20" s="138" t="s">
        <x:v>584</x:v>
      </x:c>
      <x:c r="J20" s="139" t="n">
        <x:f aca="0">IF($E20="Unconfirmed","",IFERROR(SUMIF(S15_Source_Strata!$B$4:$B$49,$I20,S15_Source_Strata!$H$4:$H$49),""))</x:f>
        <x:v>611.577846191391</x:v>
      </x:c>
      <x:c r="K20" s="139" t="n">
        <x:f aca="0">IF($E20="Unconfirmed","",IFERROR(SUMIF(S15_Source_Strata!$B$4:$B$49,$I20,S15_Source_Strata!$I$4:$I$49),""))</x:f>
        <x:v>546.9397806463899</x:v>
      </x:c>
      <x:c r="L20" s="139" t="n">
        <x:f aca="0">IF($E20="Unconfirmed","",IFERROR(SUMIF(S15_Source_Strata!$B$4:$B$49,$I20,S15_Source_Strata!$J$4:$J$49),""))</x:f>
        <x:v>0.8943093410797406</x:v>
      </x:c>
      <x:c r="M20" s="139" t="n">
        <x:f aca="0">IF($E20="Unconfirmed","",IFERROR(SUMIF(S15_Source_Strata!$B$4:$B$49,$I20,S15_Source_Strata!$N$4:$N$49),""))</x:f>
        <x:v>458.68338464354326</x:v>
      </x:c>
      <x:c r="N20" s="139" t="n">
        <x:f aca="0">IF($E20="Unconfirmed","",IFERROR(SUMIF(S15_Source_Strata!$B$4:$B$49,$I20,S15_Source_Strata!$O$4:$O$49),""))</x:f>
        <x:v>0.75</x:v>
      </x:c>
      <x:c r="O20" s="139" t="n">
        <x:f aca="0">IF($E20="Unconfirmed","",IFERROR(SUMIF(S15_Source_Strata!$B$4:$B$49,$I20,S15_Source_Strata!$X$4:$X$49),""))</x:f>
        <x:v>980.1758140909432</x:v>
      </x:c>
      <x:c r="P20" s="139" t="n">
        <x:f aca="0">IF($E20="Unconfirmed","",IFERROR(SUMIF(S15_Source_Strata!$B$4:$B$49,$I20,S15_Source_Strata!$AL$4:$AL$49),""))</x:f>
        <x:v>5245.530021136775</x:v>
      </x:c>
      <x:c r="Q20" s="139" t="str">
        <x:f aca="0">IF($E20="Unconfirmed","",IFERROR(SUMIF(S15_Source_Strata!$B$4:$B$49,$I20,S15_Source_Strata!$K$4:$K$49)&amp;"/"&amp;SUMIF(S15_Source_Strata!$B$4:$B$49,$I20,S15_Source_Strata!$L$4:$L$49),""))</x:f>
        <x:v>6/6</x:v>
      </x:c>
      <x:c r="R20" s="138" t="s">
        <x:v>660</x:v>
      </x:c>
      <x:c r="S20" s="138" t="s">
        <x:v>875</x:v>
      </x:c>
      <x:c r="T20" s="138" t="s">
        <x:v>841</x:v>
      </x:c>
      <x:c r="U20" s="138" t="n">
        <x:f>IFERROR(DB20*$DJ20/$F20,0)</x:f>
        <x:v>147.2272206772452</x:v>
      </x:c>
      <x:c r="V20" s="138" t="n">
        <x:v>0.58</x:v>
      </x:c>
      <x:c r="W20" s="138" t="n">
        <x:v>55</x:v>
      </x:c>
      <x:c r="X20" s="138" t="n">
        <x:v>0.16</x:v>
      </x:c>
      <x:c r="Y20" s="138" t="n">
        <x:v>1.3</x:v>
      </x:c>
      <x:c r="Z20" s="138" t="n">
        <x:v>25</x:v>
      </x:c>
      <x:c r="AA20" s="138" t="n">
        <x:v>0.2</x:v>
      </x:c>
      <x:c r="AB20" s="138" t="n">
        <x:v>1.2</x:v>
      </x:c>
      <x:c r="AC20" s="138" t="s">
        <x:v>579</x:v>
      </x:c>
      <x:c r="AD20" s="138" t="s">
        <x:v>842</x:v>
      </x:c>
      <x:c r="AE20" s="138" t="s">
        <x:v>841</x:v>
      </x:c>
      <x:c r="AF20" s="138" t="n">
        <x:f>IFERROR(DC20*$DJ20/$F20,0)</x:f>
        <x:v>4.4168166203173564</x:v>
      </x:c>
      <x:c r="AG20" s="138" t="n">
        <x:v>0.6</x:v>
      </x:c>
      <x:c r="AH20" s="138" t="n">
        <x:v>45</x:v>
      </x:c>
      <x:c r="AI20" s="138" t="n">
        <x:v>0.12</x:v>
      </x:c>
      <x:c r="AJ20" s="138" t="n">
        <x:v>1.4</x:v>
      </x:c>
      <x:c r="AK20" s="138" t="n">
        <x:v>14</x:v>
      </x:c>
      <x:c r="AL20" s="138" t="n">
        <x:v>0.18</x:v>
      </x:c>
      <x:c r="AM20" s="138" t="n">
        <x:v>1.3</x:v>
      </x:c>
      <x:c r="AN20" s="138" t="s">
        <x:v>858</x:v>
      </x:c>
      <x:c r="AO20" s="138" t="s">
        <x:v>859</x:v>
      </x:c>
      <x:c r="AP20" s="138" t="s">
        <x:v>841</x:v>
      </x:c>
      <x:c r="AQ20" s="138" t="n">
        <x:f>IFERROR(DD20*$DJ20/$F20,0)</x:f>
        <x:v>2.944544413544904</x:v>
      </x:c>
      <x:c r="AR20" s="138" t="n">
        <x:v>0.6</x:v>
      </x:c>
      <x:c r="AS20" s="138" t="n">
        <x:v>25</x:v>
      </x:c>
      <x:c r="AT20" s="138" t="n">
        <x:v>0.18</x:v>
      </x:c>
      <x:c r="AU20" s="138" t="n">
        <x:v>1.5</x:v>
      </x:c>
      <x:c r="AV20" s="138" t="n">
        <x:v>8</x:v>
      </x:c>
      <x:c r="AW20" s="138" t="n">
        <x:v>0.25</x:v>
      </x:c>
      <x:c r="AX20" s="138" t="n">
        <x:v>1.4</x:v>
      </x:c>
      <x:c r="AY20" s="138"/>
      <x:c r="AZ20" s="138"/>
      <x:c r="BA20" s="138"/>
      <x:c r="BB20" s="138" t="n">
        <x:f>IFERROR(DE20*$DJ20/$F20,0)</x:f>
        <x:v>0</x:v>
      </x:c>
      <x:c r="BC20" s="138"/>
      <x:c r="BD20" s="138"/>
      <x:c r="BE20" s="138"/>
      <x:c r="BF20" s="138"/>
      <x:c r="BG20" s="138"/>
      <x:c r="BH20" s="138"/>
      <x:c r="BI20" s="138"/>
      <x:c r="BJ20" s="138"/>
      <x:c r="BK20" s="138"/>
      <x:c r="BL20" s="138"/>
      <x:c r="BM20" s="138" t="n">
        <x:f>IFERROR(DF20*$DJ20/$F20,0)</x:f>
        <x:v>0</x:v>
      </x:c>
      <x:c r="BN20" s="138"/>
      <x:c r="BO20" s="138"/>
      <x:c r="BP20" s="138"/>
      <x:c r="BQ20" s="138"/>
      <x:c r="BR20" s="138"/>
      <x:c r="BS20" s="138"/>
      <x:c r="BT20" s="138"/>
      <x:c r="BU20" s="138"/>
      <x:c r="BV20" s="138"/>
      <x:c r="BW20" s="138"/>
      <x:c r="BX20" s="138" t="n">
        <x:f>IFERROR(DG20*$DJ20/$F20,0)</x:f>
        <x:v>0</x:v>
      </x:c>
      <x:c r="BY20" s="138"/>
      <x:c r="BZ20" s="138"/>
      <x:c r="CA20" s="138"/>
      <x:c r="CB20" s="138"/>
      <x:c r="CC20" s="138"/>
      <x:c r="CD20" s="138"/>
      <x:c r="CE20" s="138"/>
      <x:c r="CF20" s="138"/>
      <x:c r="CG20" s="138"/>
      <x:c r="CH20" s="138"/>
      <x:c r="CI20" s="138" t="n">
        <x:f>IFERROR(DH20*$DJ20/$F20,0)</x:f>
        <x:v>0</x:v>
      </x:c>
      <x:c r="CJ20" s="138"/>
      <x:c r="CK20" s="138"/>
      <x:c r="CL20" s="138"/>
      <x:c r="CM20" s="138"/>
      <x:c r="CN20" s="138"/>
      <x:c r="CO20" s="138"/>
      <x:c r="CP20" s="138"/>
      <x:c r="CQ20" s="138"/>
      <x:c r="CR20" s="138"/>
      <x:c r="CS20" s="138"/>
      <x:c r="CT20" s="138" t="n">
        <x:f>IFERROR(DI20*$DJ20/$F20,0)</x:f>
        <x:v>0</x:v>
      </x:c>
      <x:c r="CU20" s="138"/>
      <x:c r="CV20" s="138"/>
      <x:c r="CW20" s="138"/>
      <x:c r="CX20" s="138"/>
      <x:c r="CY20" s="138"/>
      <x:c r="CZ20" s="138"/>
      <x:c r="DA20" s="138"/>
      <x:c r="DB20" s="978" t="n">
        <x:v>1000</x:v>
      </x:c>
      <x:c r="DC20" s="978" t="n">
        <x:v>30</x:v>
      </x:c>
      <x:c r="DD20" s="978" t="n">
        <x:v>20</x:v>
      </x:c>
      <x:c r="DE20" s="978"/>
      <x:c r="DF20" s="978"/>
      <x:c r="DG20" s="978"/>
      <x:c r="DH20" s="978"/>
      <x:c r="DI20" s="978"/>
      <x:c r="DJ20" s="980" t="n">
        <x:f>'S08_Defaults'!$B$37</x:f>
        <x:v>0.09</x:v>
      </x:c>
      <x:c r="DK20" s="979" t="n">
        <x:f>SUM(U20,AF20,AQ20,BB20,BM20,BX20,CI20,CT20)</x:f>
        <x:v>154.58858171110748</x:v>
      </x:c>
      <x:c r="DL20" s="979" t="n">
        <x:f>G20*DJ20</x:f>
        <x:v>154.5885</x:v>
      </x:c>
      <x:c r="DM20" s="979" t="n">
        <x:f>DK20-DL20</x:f>
        <x:v>0.00008171110746957311</x:v>
      </x:c>
      <x:c r="DN20" s="977" t="str">
        <x:f>IF(ABS(DM20)&lt;=MAX(0.5,0.05*ABS(DL20)),"OK","REVIEW")</x:f>
        <x:v>OK</x:v>
      </x:c>
    </x:row>
    <x:row r="21" ht="15" hidden="0" customHeight="1">
      <x:c r="A21" s="138" t="s">
        <x:v>595</x:v>
      </x:c>
      <x:c r="B21" s="138" t="str">
        <x:v>Tropical &amp; Subtropical Dry Broadleaf Forests</x:v>
      </x:c>
      <x:c r="C21" s="138" t="s">
        <x:v>112</x:v>
      </x:c>
      <x:c r="D21" s="138" t="s">
        <x:v>549</x:v>
      </x:c>
      <x:c r="E21" s="138" t="n">
        <x:v>2020</x:v>
      </x:c>
      <x:c r="F21" s="138" t="n">
        <x:v>1.7963</x:v>
      </x:c>
      <x:c r="G21" s="138" t="n">
        <x:v>169.79</x:v>
      </x:c>
      <x:c r="H21" s="138" t="s">
        <x:v>890</x:v>
      </x:c>
      <x:c r="I21" s="138" t="s">
        <x:v>597</x:v>
      </x:c>
      <x:c r="J21" s="139" t="n">
        <x:f aca="0">IF($E21="Unconfirmed","",IFERROR(SUMIF(S15_Source_Strata!$B$4:$B$49,$I21,S15_Source_Strata!$H$4:$H$49),""))</x:f>
        <x:v>26.291731224063113</x:v>
      </x:c>
      <x:c r="K21" s="139" t="n">
        <x:f aca="0">IF($E21="Unconfirmed","",IFERROR(SUMIF(S15_Source_Strata!$B$4:$B$49,$I21,S15_Source_Strata!$I$4:$I$49),""))</x:f>
        <x:v>17.83728488368482</x:v>
      </x:c>
      <x:c r="L21" s="139" t="n">
        <x:f aca="0">IF($E21="Unconfirmed","",IFERROR(SUMIF(S15_Source_Strata!$B$4:$B$49,$I21,S15_Source_Strata!$J$4:$J$49),""))</x:f>
        <x:v>0.6784370618911361</x:v>
      </x:c>
      <x:c r="M21" s="139" t="n">
        <x:f aca="0">IF($E21="Unconfirmed","",IFERROR(SUMIF(S15_Source_Strata!$B$4:$B$49,$I21,S15_Source_Strata!$N$4:$N$49),""))</x:f>
        <x:v>19.718798418047335</x:v>
      </x:c>
      <x:c r="N21" s="139" t="n">
        <x:f aca="0">IF($E21="Unconfirmed","",IFERROR(SUMIF(S15_Source_Strata!$B$4:$B$49,$I21,S15_Source_Strata!$O$4:$O$49),""))</x:f>
        <x:v>0.75</x:v>
      </x:c>
      <x:c r="O21" s="139" t="n">
        <x:f aca="0">IF($E21="Unconfirmed","",IFERROR(SUMIF(S15_Source_Strata!$B$4:$B$49,$I21,S15_Source_Strata!$X$4:$X$49),""))</x:f>
        <x:v>42.13775763280599</x:v>
      </x:c>
      <x:c r="P21" s="139" t="n">
        <x:f aca="0">IF($E21="Unconfirmed","",IFERROR(SUMIF(S15_Source_Strata!$B$4:$B$49,$I21,S15_Source_Strata!$AL$4:$AL$49),""))</x:f>
        <x:v>267.01020723603096</x:v>
      </x:c>
      <x:c r="Q21" s="139" t="str">
        <x:f aca="0">IF($E21="Unconfirmed","",IFERROR(SUMIF(S15_Source_Strata!$B$4:$B$49,$I21,S15_Source_Strata!$K$4:$K$49)&amp;"/"&amp;SUMIF(S15_Source_Strata!$B$4:$B$49,$I21,S15_Source_Strata!$L$4:$L$49),""))</x:f>
        <x:v>1/4</x:v>
      </x:c>
      <x:c r="R21" s="138" t="s">
        <x:v>570</x:v>
      </x:c>
      <x:c r="S21" s="138" t="s">
        <x:v>840</x:v>
      </x:c>
      <x:c r="T21" s="138" t="s">
        <x:v>841</x:v>
      </x:c>
      <x:c r="U21" s="138" t="n">
        <x:f>IFERROR(DB21*$DJ21/$F21,0)</x:f>
        <x:v>15.030896843511663</x:v>
      </x:c>
      <x:c r="V21" s="138" t="n">
        <x:v>0.5</x:v>
      </x:c>
      <x:c r="W21" s="138" t="n">
        <x:v>35</x:v>
      </x:c>
      <x:c r="X21" s="138" t="n">
        <x:v>0.14</x:v>
      </x:c>
      <x:c r="Y21" s="138" t="n">
        <x:v>1.4</x:v>
      </x:c>
      <x:c r="Z21" s="138" t="n">
        <x:v>12</x:v>
      </x:c>
      <x:c r="AA21" s="138" t="n">
        <x:v>0.2</x:v>
      </x:c>
      <x:c r="AB21" s="138" t="n">
        <x:v>1.3</x:v>
      </x:c>
      <x:c r="AC21" s="138" t="s">
        <x:v>891</x:v>
      </x:c>
      <x:c r="AD21" s="138" t="s">
        <x:v>892</x:v>
      </x:c>
      <x:c r="AE21" s="138" t="s">
        <x:v>841</x:v>
      </x:c>
      <x:c r="AF21" s="138" t="n">
        <x:f>IFERROR(DC21*$DJ21/$F21,0)</x:f>
        <x:v>0.25051494739186103</x:v>
      </x:c>
      <x:c r="AG21" s="138" t="n">
        <x:v>0.65</x:v>
      </x:c>
      <x:c r="AH21" s="138" t="n">
        <x:v>35</x:v>
      </x:c>
      <x:c r="AI21" s="138" t="n">
        <x:v>0.13</x:v>
      </x:c>
      <x:c r="AJ21" s="138" t="n">
        <x:v>1.4</x:v>
      </x:c>
      <x:c r="AK21" s="138" t="n">
        <x:v>15</x:v>
      </x:c>
      <x:c r="AL21" s="138" t="n">
        <x:v>0.18</x:v>
      </x:c>
      <x:c r="AM21" s="138" t="n">
        <x:v>1.3</x:v>
      </x:c>
      <x:c r="AN21" s="138" t="s">
        <x:v>670</x:v>
      </x:c>
      <x:c r="AO21" s="138" t="s">
        <x:v>877</x:v>
      </x:c>
      <x:c r="AP21" s="138" t="s">
        <x:v>841</x:v>
      </x:c>
      <x:c r="AQ21" s="138" t="n">
        <x:f>IFERROR(DD21*$DJ21/$F21,0)</x:f>
        <x:v>0.25051494739186103</x:v>
      </x:c>
      <x:c r="AR21" s="138" t="n">
        <x:v>0.55</x:v>
      </x:c>
      <x:c r="AS21" s="138" t="n">
        <x:v>50</x:v>
      </x:c>
      <x:c r="AT21" s="138" t="n">
        <x:v>0.12</x:v>
      </x:c>
      <x:c r="AU21" s="138" t="n">
        <x:v>1.4</x:v>
      </x:c>
      <x:c r="AV21" s="138" t="n">
        <x:v>25</x:v>
      </x:c>
      <x:c r="AW21" s="138" t="n">
        <x:v>0.15</x:v>
      </x:c>
      <x:c r="AX21" s="138" t="n">
        <x:v>1.3</x:v>
      </x:c>
      <x:c r="AY21" s="138"/>
      <x:c r="AZ21" s="138"/>
      <x:c r="BA21" s="138"/>
      <x:c r="BB21" s="138" t="n">
        <x:f>IFERROR(DE21*$DJ21/$F21,0)</x:f>
        <x:v>0</x:v>
      </x:c>
      <x:c r="BC21" s="138"/>
      <x:c r="BD21" s="138"/>
      <x:c r="BE21" s="138"/>
      <x:c r="BF21" s="138"/>
      <x:c r="BG21" s="138"/>
      <x:c r="BH21" s="138"/>
      <x:c r="BI21" s="138"/>
      <x:c r="BJ21" s="138"/>
      <x:c r="BK21" s="138"/>
      <x:c r="BL21" s="138"/>
      <x:c r="BM21" s="138" t="n">
        <x:f>IFERROR(DF21*$DJ21/$F21,0)</x:f>
        <x:v>0</x:v>
      </x:c>
      <x:c r="BN21" s="138"/>
      <x:c r="BO21" s="138"/>
      <x:c r="BP21" s="138"/>
      <x:c r="BQ21" s="138"/>
      <x:c r="BR21" s="138"/>
      <x:c r="BS21" s="138"/>
      <x:c r="BT21" s="138"/>
      <x:c r="BU21" s="138"/>
      <x:c r="BV21" s="138"/>
      <x:c r="BW21" s="138"/>
      <x:c r="BX21" s="138" t="n">
        <x:f>IFERROR(DG21*$DJ21/$F21,0)</x:f>
        <x:v>0</x:v>
      </x:c>
      <x:c r="BY21" s="138"/>
      <x:c r="BZ21" s="138"/>
      <x:c r="CA21" s="138"/>
      <x:c r="CB21" s="138"/>
      <x:c r="CC21" s="138"/>
      <x:c r="CD21" s="138"/>
      <x:c r="CE21" s="138"/>
      <x:c r="CF21" s="138"/>
      <x:c r="CG21" s="138"/>
      <x:c r="CH21" s="138"/>
      <x:c r="CI21" s="138" t="n">
        <x:f>IFERROR(DH21*$DJ21/$F21,0)</x:f>
        <x:v>0</x:v>
      </x:c>
      <x:c r="CJ21" s="138"/>
      <x:c r="CK21" s="138"/>
      <x:c r="CL21" s="138"/>
      <x:c r="CM21" s="138"/>
      <x:c r="CN21" s="138"/>
      <x:c r="CO21" s="138"/>
      <x:c r="CP21" s="138"/>
      <x:c r="CQ21" s="138"/>
      <x:c r="CR21" s="138"/>
      <x:c r="CS21" s="138"/>
      <x:c r="CT21" s="138" t="n">
        <x:f>IFERROR(DI21*$DJ21/$F21,0)</x:f>
        <x:v>0</x:v>
      </x:c>
      <x:c r="CU21" s="138"/>
      <x:c r="CV21" s="138"/>
      <x:c r="CW21" s="138"/>
      <x:c r="CX21" s="138"/>
      <x:c r="CY21" s="138"/>
      <x:c r="CZ21" s="138"/>
      <x:c r="DA21" s="138"/>
      <x:c r="DB21" s="978" t="n">
        <x:v>300</x:v>
      </x:c>
      <x:c r="DC21" s="978" t="n">
        <x:v>5</x:v>
      </x:c>
      <x:c r="DD21" s="978" t="n">
        <x:v>5</x:v>
      </x:c>
      <x:c r="DE21" s="978"/>
      <x:c r="DF21" s="978"/>
      <x:c r="DG21" s="978"/>
      <x:c r="DH21" s="978"/>
      <x:c r="DI21" s="978"/>
      <x:c r="DJ21" s="980" t="n">
        <x:f>'S08_Defaults'!$B$37</x:f>
        <x:v>0.09</x:v>
      </x:c>
      <x:c r="DK21" s="979" t="n">
        <x:f>SUM(U21,AF21,AQ21,BB21,BM21,BX21,CI21,CT21)</x:f>
        <x:v>15.531926738295386</x:v>
      </x:c>
      <x:c r="DL21" s="979" t="n">
        <x:f>G21*DJ21</x:f>
        <x:v>15.281099999999999</x:v>
      </x:c>
      <x:c r="DM21" s="979" t="n">
        <x:f>DK21-DL21</x:f>
        <x:v>0.2508267382953875</x:v>
      </x:c>
      <x:c r="DN21" s="977" t="str">
        <x:f>IF(ABS(DM21)&lt;=MAX(0.5,0.05*ABS(DL21)),"OK","REVIEW")</x:f>
        <x:v>OK</x:v>
      </x:c>
    </x:row>
    <x:row r="22" ht="15" hidden="0" customHeight="1">
      <x:c r="A22" s="138" t="s">
        <x:v>598</x:v>
      </x:c>
      <x:c r="B22" s="138" t="str">
        <x:v>Tropical &amp; Subtropical Dry Broadleaf Forests</x:v>
      </x:c>
      <x:c r="C22" s="138" t="s">
        <x:v>112</x:v>
      </x:c>
      <x:c r="D22" s="138" t="s">
        <x:v>553</x:v>
      </x:c>
      <x:c r="E22" s="138" t="n">
        <x:v>2020</x:v>
      </x:c>
      <x:c r="F22" s="138" t="n">
        <x:v>0.4699</x:v>
      </x:c>
      <x:c r="G22" s="138" t="n">
        <x:v>744.84</x:v>
      </x:c>
      <x:c r="H22" s="138" t="s">
        <x:v>893</x:v>
      </x:c>
      <x:c r="I22" s="138" t="s">
        <x:v>600</x:v>
      </x:c>
      <x:c r="J22" s="139" t="n">
        <x:f aca="0">IF($E22="Unconfirmed","",IFERROR(SUMIF(S15_Source_Strata!$B$4:$B$49,$I22,S15_Source_Strata!$H$4:$H$49),""))</x:f>
        <x:v>102.04562925670207</x:v>
      </x:c>
      <x:c r="K22" s="139" t="n">
        <x:f aca="0">IF($E22="Unconfirmed","",IFERROR(SUMIF(S15_Source_Strata!$B$4:$B$49,$I22,S15_Source_Strata!$I$4:$I$49),""))</x:f>
        <x:v>176.55349249464146</x:v>
      </x:c>
      <x:c r="L22" s="139" t="n">
        <x:f aca="0">IF($E22="Unconfirmed","",IFERROR(SUMIF(S15_Source_Strata!$B$4:$B$49,$I22,S15_Source_Strata!$J$4:$J$49),""))</x:f>
        <x:v>1.730142621302381</x:v>
      </x:c>
      <x:c r="M22" s="139" t="n">
        <x:f aca="0">IF($E22="Unconfirmed","",IFERROR(SUMIF(S15_Source_Strata!$B$4:$B$49,$I22,S15_Source_Strata!$N$4:$N$49),""))</x:f>
        <x:v>76.53422194252656</x:v>
      </x:c>
      <x:c r="N22" s="139" t="n">
        <x:f aca="0">IF($E22="Unconfirmed","",IFERROR(SUMIF(S15_Source_Strata!$B$4:$B$49,$I22,S15_Source_Strata!$O$4:$O$49),""))</x:f>
        <x:v>0.75</x:v>
      </x:c>
      <x:c r="O22" s="139" t="n">
        <x:f aca="0">IF($E22="Unconfirmed","",IFERROR(SUMIF(S15_Source_Strata!$B$4:$B$49,$I22,S15_Source_Strata!$X$4:$X$49),""))</x:f>
        <x:v>163.54853000971656</x:v>
      </x:c>
      <x:c r="P22" s="139" t="n">
        <x:f aca="0">IF($E22="Unconfirmed","",IFERROR(SUMIF(S15_Source_Strata!$B$4:$B$49,$I22,S15_Source_Strata!$AL$4:$AL$49),""))</x:f>
        <x:v>766.9597276855819</x:v>
      </x:c>
      <x:c r="Q22" s="139" t="str">
        <x:f aca="0">IF($E22="Unconfirmed","",IFERROR(SUMIF(S15_Source_Strata!$B$4:$B$49,$I22,S15_Source_Strata!$K$4:$K$49)&amp;"/"&amp;SUMIF(S15_Source_Strata!$B$4:$B$49,$I22,S15_Source_Strata!$L$4:$L$49),""))</x:f>
        <x:v>6/9</x:v>
      </x:c>
      <x:c r="R22" s="138" t="s">
        <x:v>858</x:v>
      </x:c>
      <x:c r="S22" s="138" t="s">
        <x:v>859</x:v>
      </x:c>
      <x:c r="T22" s="138" t="s">
        <x:v>841</x:v>
      </x:c>
      <x:c r="U22" s="138" t="n">
        <x:f>IFERROR(DB22*$DJ22/$F22,0)</x:f>
        <x:v>19.153011278995532</x:v>
      </x:c>
      <x:c r="V22" s="138" t="n">
        <x:v>0.6</x:v>
      </x:c>
      <x:c r="W22" s="138" t="n">
        <x:v>25</x:v>
      </x:c>
      <x:c r="X22" s="138" t="n">
        <x:v>0.18</x:v>
      </x:c>
      <x:c r="Y22" s="138" t="n">
        <x:v>1.5</x:v>
      </x:c>
      <x:c r="Z22" s="138" t="n">
        <x:v>8</x:v>
      </x:c>
      <x:c r="AA22" s="138" t="n">
        <x:v>0.25</x:v>
      </x:c>
      <x:c r="AB22" s="138" t="n">
        <x:v>1.4</x:v>
      </x:c>
      <x:c r="AC22" s="138" t="s">
        <x:v>861</x:v>
      </x:c>
      <x:c r="AD22" s="138" t="s">
        <x:v>862</x:v>
      </x:c>
      <x:c r="AE22" s="138" t="s">
        <x:v>841</x:v>
      </x:c>
      <x:c r="AF22" s="138" t="n">
        <x:f>IFERROR(DC22*$DJ22/$F22,0)</x:f>
        <x:v>28.729516918493296</x:v>
      </x:c>
      <x:c r="AG22" s="138" t="n">
        <x:v>0.65</x:v>
      </x:c>
      <x:c r="AH22" s="138" t="n">
        <x:v>35</x:v>
      </x:c>
      <x:c r="AI22" s="138" t="n">
        <x:v>0.13</x:v>
      </x:c>
      <x:c r="AJ22" s="138" t="n">
        <x:v>1.4</x:v>
      </x:c>
      <x:c r="AK22" s="138" t="n">
        <x:v>15</x:v>
      </x:c>
      <x:c r="AL22" s="138" t="n">
        <x:v>0.18</x:v>
      </x:c>
      <x:c r="AM22" s="138" t="n">
        <x:v>1.3</x:v>
      </x:c>
      <x:c r="AN22" s="138" t="s">
        <x:v>894</x:v>
      </x:c>
      <x:c r="AO22" s="138" t="s">
        <x:v>895</x:v>
      </x:c>
      <x:c r="AP22" s="138" t="s">
        <x:v>896</x:v>
      </x:c>
      <x:c r="AQ22" s="138" t="n">
        <x:f>IFERROR(DD22*$DJ22/$F22,0)</x:f>
        <x:v>19.153011278995532</x:v>
      </x:c>
      <x:c r="AR22" s="138" t="n">
        <x:v>0.65</x:v>
      </x:c>
      <x:c r="AS22" s="138" t="n">
        <x:v>45</x:v>
      </x:c>
      <x:c r="AT22" s="138" t="n">
        <x:v>0.13</x:v>
      </x:c>
      <x:c r="AU22" s="138" t="n">
        <x:v>1.4</x:v>
      </x:c>
      <x:c r="AV22" s="138" t="n">
        <x:v>20</x:v>
      </x:c>
      <x:c r="AW22" s="138" t="n">
        <x:v>0.17</x:v>
      </x:c>
      <x:c r="AX22" s="138" t="n">
        <x:v>1.3</x:v>
      </x:c>
      <x:c r="AY22" s="138"/>
      <x:c r="AZ22" s="138"/>
      <x:c r="BA22" s="138"/>
      <x:c r="BB22" s="138" t="n">
        <x:f>IFERROR(DE22*$DJ22/$F22,0)</x:f>
        <x:v>0</x:v>
      </x:c>
      <x:c r="BC22" s="138"/>
      <x:c r="BD22" s="138"/>
      <x:c r="BE22" s="138"/>
      <x:c r="BF22" s="138"/>
      <x:c r="BG22" s="138"/>
      <x:c r="BH22" s="138"/>
      <x:c r="BI22" s="138"/>
      <x:c r="BJ22" s="138"/>
      <x:c r="BK22" s="138"/>
      <x:c r="BL22" s="138"/>
      <x:c r="BM22" s="138" t="n">
        <x:f>IFERROR(DF22*$DJ22/$F22,0)</x:f>
        <x:v>0</x:v>
      </x:c>
      <x:c r="BN22" s="138"/>
      <x:c r="BO22" s="138"/>
      <x:c r="BP22" s="138"/>
      <x:c r="BQ22" s="138"/>
      <x:c r="BR22" s="138"/>
      <x:c r="BS22" s="138"/>
      <x:c r="BT22" s="138"/>
      <x:c r="BU22" s="138"/>
      <x:c r="BV22" s="138"/>
      <x:c r="BW22" s="138"/>
      <x:c r="BX22" s="138" t="n">
        <x:f>IFERROR(DG22*$DJ22/$F22,0)</x:f>
        <x:v>0</x:v>
      </x:c>
      <x:c r="BY22" s="138"/>
      <x:c r="BZ22" s="138"/>
      <x:c r="CA22" s="138"/>
      <x:c r="CB22" s="138"/>
      <x:c r="CC22" s="138"/>
      <x:c r="CD22" s="138"/>
      <x:c r="CE22" s="138"/>
      <x:c r="CF22" s="138"/>
      <x:c r="CG22" s="138"/>
      <x:c r="CH22" s="138"/>
      <x:c r="CI22" s="138" t="n">
        <x:f>IFERROR(DH22*$DJ22/$F22,0)</x:f>
        <x:v>0</x:v>
      </x:c>
      <x:c r="CJ22" s="138"/>
      <x:c r="CK22" s="138"/>
      <x:c r="CL22" s="138"/>
      <x:c r="CM22" s="138"/>
      <x:c r="CN22" s="138"/>
      <x:c r="CO22" s="138"/>
      <x:c r="CP22" s="138"/>
      <x:c r="CQ22" s="138"/>
      <x:c r="CR22" s="138"/>
      <x:c r="CS22" s="138"/>
      <x:c r="CT22" s="138" t="n">
        <x:f>IFERROR(DI22*$DJ22/$F22,0)</x:f>
        <x:v>0</x:v>
      </x:c>
      <x:c r="CU22" s="138"/>
      <x:c r="CV22" s="138"/>
      <x:c r="CW22" s="138"/>
      <x:c r="CX22" s="138"/>
      <x:c r="CY22" s="138"/>
      <x:c r="CZ22" s="138"/>
      <x:c r="DA22" s="138"/>
      <x:c r="DB22" s="978" t="n">
        <x:v>100</x:v>
      </x:c>
      <x:c r="DC22" s="978" t="n">
        <x:v>150</x:v>
      </x:c>
      <x:c r="DD22" s="978" t="n">
        <x:v>100</x:v>
      </x:c>
      <x:c r="DE22" s="978"/>
      <x:c r="DF22" s="978"/>
      <x:c r="DG22" s="978"/>
      <x:c r="DH22" s="978"/>
      <x:c r="DI22" s="978"/>
      <x:c r="DJ22" s="980" t="n">
        <x:f>'S08_Defaults'!$B$37</x:f>
        <x:v>0.09</x:v>
      </x:c>
      <x:c r="DK22" s="979" t="n">
        <x:f>SUM(U22,AF22,AQ22,BB22,BM22,BX22,CI22,CT22)</x:f>
        <x:v>67.03553947648436</x:v>
      </x:c>
      <x:c r="DL22" s="979" t="n">
        <x:f>G22*DJ22</x:f>
        <x:v>67.0356</x:v>
      </x:c>
      <x:c r="DM22" s="979" t="n">
        <x:f>DK22-DL22</x:f>
        <x:v>-0.00006052351564278524</x:v>
      </x:c>
      <x:c r="DN22" s="977" t="str">
        <x:f>IF(ABS(DM22)&lt;=MAX(0.5,0.05*ABS(DL22)),"OK","REVIEW")</x:f>
        <x:v>OK</x:v>
      </x:c>
    </x:row>
    <x:row r="23" ht="15" hidden="0" customHeight="1">
      <x:c r="A23" s="138" t="s">
        <x:v>601</x:v>
      </x:c>
      <x:c r="B23" s="138" t="str">
        <x:v>Tropical &amp; Subtropical Dry Broadleaf Forests</x:v>
      </x:c>
      <x:c r="C23" s="138" t="s">
        <x:v>112</x:v>
      </x:c>
      <x:c r="D23" s="138" t="s">
        <x:v>553</x:v>
      </x:c>
      <x:c r="E23" s="138" t="n">
        <x:v>2020</x:v>
      </x:c>
      <x:c r="F23" s="138" t="n">
        <x:v>0.4639</x:v>
      </x:c>
      <x:c r="G23" s="138" t="n">
        <x:v>1569.3</x:v>
      </x:c>
      <x:c r="H23" s="138" t="s">
        <x:v>897</x:v>
      </x:c>
      <x:c r="I23" s="138" t="s">
        <x:v>600</x:v>
      </x:c>
      <x:c r="J23" s="139" t="n">
        <x:f aca="0">IF($E23="Unconfirmed","",IFERROR(SUMIF(S15_Source_Strata!$B$4:$B$49,$I23,S15_Source_Strata!$H$4:$H$49),""))</x:f>
        <x:v>102.04562925670207</x:v>
      </x:c>
      <x:c r="K23" s="139" t="n">
        <x:f aca="0">IF($E23="Unconfirmed","",IFERROR(SUMIF(S15_Source_Strata!$B$4:$B$49,$I23,S15_Source_Strata!$I$4:$I$49),""))</x:f>
        <x:v>176.55349249464146</x:v>
      </x:c>
      <x:c r="L23" s="139" t="n">
        <x:f aca="0">IF($E23="Unconfirmed","",IFERROR(SUMIF(S15_Source_Strata!$B$4:$B$49,$I23,S15_Source_Strata!$J$4:$J$49),""))</x:f>
        <x:v>1.730142621302381</x:v>
      </x:c>
      <x:c r="M23" s="139" t="n">
        <x:f aca="0">IF($E23="Unconfirmed","",IFERROR(SUMIF(S15_Source_Strata!$B$4:$B$49,$I23,S15_Source_Strata!$N$4:$N$49),""))</x:f>
        <x:v>76.53422194252656</x:v>
      </x:c>
      <x:c r="N23" s="139" t="n">
        <x:f aca="0">IF($E23="Unconfirmed","",IFERROR(SUMIF(S15_Source_Strata!$B$4:$B$49,$I23,S15_Source_Strata!$O$4:$O$49),""))</x:f>
        <x:v>0.75</x:v>
      </x:c>
      <x:c r="O23" s="139" t="n">
        <x:f aca="0">IF($E23="Unconfirmed","",IFERROR(SUMIF(S15_Source_Strata!$B$4:$B$49,$I23,S15_Source_Strata!$X$4:$X$49),""))</x:f>
        <x:v>163.54853000971656</x:v>
      </x:c>
      <x:c r="P23" s="139" t="n">
        <x:f aca="0">IF($E23="Unconfirmed","",IFERROR(SUMIF(S15_Source_Strata!$B$4:$B$49,$I23,S15_Source_Strata!$AL$4:$AL$49),""))</x:f>
        <x:v>766.9597276855819</x:v>
      </x:c>
      <x:c r="Q23" s="139" t="str">
        <x:f aca="0">IF($E23="Unconfirmed","",IFERROR(SUMIF(S15_Source_Strata!$B$4:$B$49,$I23,S15_Source_Strata!$K$4:$K$49)&amp;"/"&amp;SUMIF(S15_Source_Strata!$B$4:$B$49,$I23,S15_Source_Strata!$L$4:$L$49),""))</x:f>
        <x:v>6/9</x:v>
      </x:c>
      <x:c r="R23" s="138" t="s">
        <x:v>858</x:v>
      </x:c>
      <x:c r="S23" s="138" t="s">
        <x:v>859</x:v>
      </x:c>
      <x:c r="T23" s="138" t="s">
        <x:v>841</x:v>
      </x:c>
      <x:c r="U23" s="138" t="n">
        <x:f>IFERROR(DB23*$DJ23/$F23,0)</x:f>
        <x:v>19.40073291657685</x:v>
      </x:c>
      <x:c r="V23" s="138" t="n">
        <x:v>0.6</x:v>
      </x:c>
      <x:c r="W23" s="138" t="n">
        <x:v>25</x:v>
      </x:c>
      <x:c r="X23" s="138" t="n">
        <x:v>0.18</x:v>
      </x:c>
      <x:c r="Y23" s="138" t="n">
        <x:v>1.5</x:v>
      </x:c>
      <x:c r="Z23" s="138" t="n">
        <x:v>8</x:v>
      </x:c>
      <x:c r="AA23" s="138" t="n">
        <x:v>0.25</x:v>
      </x:c>
      <x:c r="AB23" s="138" t="n">
        <x:v>1.4</x:v>
      </x:c>
      <x:c r="AC23" s="138" t="s">
        <x:v>658</x:v>
      </x:c>
      <x:c r="AD23" s="138" t="s">
        <x:v>898</x:v>
      </x:c>
      <x:c r="AE23" s="138" t="s">
        <x:v>841</x:v>
      </x:c>
      <x:c r="AF23" s="138" t="n">
        <x:f>IFERROR(DC23*$DJ23/$F23,0)</x:f>
        <x:v>97.00366458288424</x:v>
      </x:c>
      <x:c r="AG23" s="138" t="n">
        <x:v>0.45</x:v>
      </x:c>
      <x:c r="AH23" s="138" t="n">
        <x:v>55</x:v>
      </x:c>
      <x:c r="AI23" s="138" t="n">
        <x:v>0.18</x:v>
      </x:c>
      <x:c r="AJ23" s="138" t="n">
        <x:v>1.3</x:v>
      </x:c>
      <x:c r="AK23" s="138" t="n">
        <x:v>25</x:v>
      </x:c>
      <x:c r="AL23" s="138" t="n">
        <x:v>0.22</x:v>
      </x:c>
      <x:c r="AM23" s="138" t="n">
        <x:v>1.2</x:v>
      </x:c>
      <x:c r="AN23" s="138" t="s">
        <x:v>846</x:v>
      </x:c>
      <x:c r="AO23" s="138" t="s">
        <x:v>847</x:v>
      </x:c>
      <x:c r="AP23" s="138" t="s">
        <x:v>841</x:v>
      </x:c>
      <x:c r="AQ23" s="138" t="n">
        <x:f>IFERROR(DD23*$DJ23/$F23,0)</x:f>
        <x:v>8.730329812459582</x:v>
      </x:c>
      <x:c r="AR23" s="138" t="n">
        <x:v>0.55</x:v>
      </x:c>
      <x:c r="AS23" s="138" t="n">
        <x:v>20</x:v>
      </x:c>
      <x:c r="AT23" s="138" t="n">
        <x:v>0.18</x:v>
      </x:c>
      <x:c r="AU23" s="138" t="n">
        <x:v>1.5</x:v>
      </x:c>
      <x:c r="AV23" s="138" t="n">
        <x:v>7</x:v>
      </x:c>
      <x:c r="AW23" s="138" t="n">
        <x:v>0.25</x:v>
      </x:c>
      <x:c r="AX23" s="138" t="n">
        <x:v>1.4</x:v>
      </x:c>
      <x:c r="AY23" s="138" t="s">
        <x:v>579</x:v>
      </x:c>
      <x:c r="AZ23" s="138" t="s">
        <x:v>842</x:v>
      </x:c>
      <x:c r="BA23" s="138" t="s">
        <x:v>841</x:v>
      </x:c>
      <x:c r="BB23" s="138" t="n">
        <x:f>IFERROR(DE23*$DJ23/$F23,0)</x:f>
        <x:v>12.222461737443416</x:v>
      </x:c>
      <x:c r="BC23" s="138" t="n">
        <x:v>0.6</x:v>
      </x:c>
      <x:c r="BD23" s="138" t="n">
        <x:v>45</x:v>
      </x:c>
      <x:c r="BE23" s="138" t="n">
        <x:v>0.12</x:v>
      </x:c>
      <x:c r="BF23" s="138" t="n">
        <x:v>1.4</x:v>
      </x:c>
      <x:c r="BG23" s="138" t="n">
        <x:v>14</x:v>
      </x:c>
      <x:c r="BH23" s="138" t="n">
        <x:v>0.18</x:v>
      </x:c>
      <x:c r="BI23" s="138" t="n">
        <x:v>1.3</x:v>
      </x:c>
      <x:c r="BJ23" s="138" t="s">
        <x:v>851</x:v>
      </x:c>
      <x:c r="BK23" s="138" t="s">
        <x:v>852</x:v>
      </x:c>
      <x:c r="BL23" s="138" t="s">
        <x:v>841</x:v>
      </x:c>
      <x:c r="BM23" s="138" t="n">
        <x:f>IFERROR(DF23*$DJ23/$F23,0)</x:f>
        <x:v>3.8801465833153697</x:v>
      </x:c>
      <x:c r="BN23" s="138" t="n">
        <x:v>0.65</x:v>
      </x:c>
      <x:c r="BO23" s="138" t="n">
        <x:v>35</x:v>
      </x:c>
      <x:c r="BP23" s="138" t="n">
        <x:v>0.13</x:v>
      </x:c>
      <x:c r="BQ23" s="138" t="n">
        <x:v>1.4</x:v>
      </x:c>
      <x:c r="BR23" s="138" t="n">
        <x:v>15</x:v>
      </x:c>
      <x:c r="BS23" s="138" t="n">
        <x:v>0.18</x:v>
      </x:c>
      <x:c r="BT23" s="138" t="n">
        <x:v>1.3</x:v>
      </x:c>
      <x:c r="BU23" s="138"/>
      <x:c r="BV23" s="138"/>
      <x:c r="BW23" s="138"/>
      <x:c r="BX23" s="138" t="n">
        <x:f>IFERROR(DG23*$DJ23/$F23,0)</x:f>
        <x:v>0</x:v>
      </x:c>
      <x:c r="BY23" s="138"/>
      <x:c r="BZ23" s="138"/>
      <x:c r="CA23" s="138"/>
      <x:c r="CB23" s="138"/>
      <x:c r="CC23" s="138"/>
      <x:c r="CD23" s="138"/>
      <x:c r="CE23" s="138"/>
      <x:c r="CF23" s="138"/>
      <x:c r="CG23" s="138"/>
      <x:c r="CH23" s="138"/>
      <x:c r="CI23" s="138" t="n">
        <x:f>IFERROR(DH23*$DJ23/$F23,0)</x:f>
        <x:v>0</x:v>
      </x:c>
      <x:c r="CJ23" s="138"/>
      <x:c r="CK23" s="138"/>
      <x:c r="CL23" s="138"/>
      <x:c r="CM23" s="138"/>
      <x:c r="CN23" s="138"/>
      <x:c r="CO23" s="138"/>
      <x:c r="CP23" s="138"/>
      <x:c r="CQ23" s="138"/>
      <x:c r="CR23" s="138"/>
      <x:c r="CS23" s="138"/>
      <x:c r="CT23" s="138" t="n">
        <x:f>IFERROR(DI23*$DJ23/$F23,0)</x:f>
        <x:v>0</x:v>
      </x:c>
      <x:c r="CU23" s="138"/>
      <x:c r="CV23" s="138"/>
      <x:c r="CW23" s="138"/>
      <x:c r="CX23" s="138"/>
      <x:c r="CY23" s="138"/>
      <x:c r="CZ23" s="138"/>
      <x:c r="DA23" s="138"/>
      <x:c r="DB23" s="978" t="n">
        <x:v>100</x:v>
      </x:c>
      <x:c r="DC23" s="978" t="n">
        <x:v>500</x:v>
      </x:c>
      <x:c r="DD23" s="978" t="n">
        <x:v>45</x:v>
      </x:c>
      <x:c r="DE23" s="978" t="n">
        <x:v>63</x:v>
      </x:c>
      <x:c r="DF23" s="978" t="n">
        <x:v>20</x:v>
      </x:c>
      <x:c r="DG23" s="978"/>
      <x:c r="DH23" s="978"/>
      <x:c r="DI23" s="978"/>
      <x:c r="DJ23" s="980" t="n">
        <x:f>'S08_Defaults'!$B$37</x:f>
        <x:v>0.09</x:v>
      </x:c>
      <x:c r="DK23" s="979" t="n">
        <x:f>SUM(U23,AF23,AQ23,BB23,BM23,BX23,CI23,CT23)</x:f>
        <x:v>141.23733563267945</x:v>
      </x:c>
      <x:c r="DL23" s="979" t="n">
        <x:f>G23*DJ23</x:f>
        <x:v>141.237</x:v>
      </x:c>
      <x:c r="DM23" s="979" t="n">
        <x:f>DK23-DL23</x:f>
        <x:v>0.00033563267945169173</x:v>
      </x:c>
      <x:c r="DN23" s="977" t="str">
        <x:f>IF(ABS(DM23)&lt;=MAX(0.5,0.05*ABS(DL23)),"OK","REVIEW")</x:f>
        <x:v>OK</x:v>
      </x:c>
    </x:row>
    <x:row r="24" ht="15" hidden="0" customHeight="1">
      <x:c r="A24" s="138" t="s">
        <x:v>603</x:v>
      </x:c>
      <x:c r="B24" s="138" t="str">
        <x:v>Tropical &amp; Subtropical Moist Broadleaf Forests</x:v>
      </x:c>
      <x:c r="C24" s="138" t="s">
        <x:v>112</x:v>
      </x:c>
      <x:c r="D24" s="138" t="s">
        <x:v>553</x:v>
      </x:c>
      <x:c r="E24" s="138" t="n">
        <x:v>2020</x:v>
      </x:c>
      <x:c r="F24" s="138" t="n">
        <x:v>1.2205</x:v>
      </x:c>
      <x:c r="G24" s="138" t="n">
        <x:v>270.38</x:v>
      </x:c>
      <x:c r="H24" s="138" t="s">
        <x:v>899</x:v>
      </x:c>
      <x:c r="I24" s="138" t="s">
        <x:v>600</x:v>
      </x:c>
      <x:c r="J24" s="139" t="n">
        <x:f aca="0">IF($E24="Unconfirmed","",IFERROR(SUMIF(S15_Source_Strata!$B$4:$B$49,$I24,S15_Source_Strata!$H$4:$H$49),""))</x:f>
        <x:v>102.04562925670207</x:v>
      </x:c>
      <x:c r="K24" s="139" t="n">
        <x:f aca="0">IF($E24="Unconfirmed","",IFERROR(SUMIF(S15_Source_Strata!$B$4:$B$49,$I24,S15_Source_Strata!$I$4:$I$49),""))</x:f>
        <x:v>176.55349249464146</x:v>
      </x:c>
      <x:c r="L24" s="139" t="n">
        <x:f aca="0">IF($E24="Unconfirmed","",IFERROR(SUMIF(S15_Source_Strata!$B$4:$B$49,$I24,S15_Source_Strata!$J$4:$J$49),""))</x:f>
        <x:v>1.730142621302381</x:v>
      </x:c>
      <x:c r="M24" s="139" t="n">
        <x:f aca="0">IF($E24="Unconfirmed","",IFERROR(SUMIF(S15_Source_Strata!$B$4:$B$49,$I24,S15_Source_Strata!$N$4:$N$49),""))</x:f>
        <x:v>76.53422194252656</x:v>
      </x:c>
      <x:c r="N24" s="139" t="n">
        <x:f aca="0">IF($E24="Unconfirmed","",IFERROR(SUMIF(S15_Source_Strata!$B$4:$B$49,$I24,S15_Source_Strata!$O$4:$O$49),""))</x:f>
        <x:v>0.75</x:v>
      </x:c>
      <x:c r="O24" s="139" t="n">
        <x:f aca="0">IF($E24="Unconfirmed","",IFERROR(SUMIF(S15_Source_Strata!$B$4:$B$49,$I24,S15_Source_Strata!$X$4:$X$49),""))</x:f>
        <x:v>163.54853000971656</x:v>
      </x:c>
      <x:c r="P24" s="139" t="n">
        <x:f aca="0">IF($E24="Unconfirmed","",IFERROR(SUMIF(S15_Source_Strata!$B$4:$B$49,$I24,S15_Source_Strata!$AL$4:$AL$49),""))</x:f>
        <x:v>766.9597276855819</x:v>
      </x:c>
      <x:c r="Q24" s="139" t="str">
        <x:f aca="0">IF($E24="Unconfirmed","",IFERROR(SUMIF(S15_Source_Strata!$B$4:$B$49,$I24,S15_Source_Strata!$K$4:$K$49)&amp;"/"&amp;SUMIF(S15_Source_Strata!$B$4:$B$49,$I24,S15_Source_Strata!$L$4:$L$49),""))</x:f>
        <x:v>6/9</x:v>
      </x:c>
      <x:c r="R24" s="138" t="s">
        <x:v>570</x:v>
      </x:c>
      <x:c r="S24" s="138" t="s">
        <x:v>840</x:v>
      </x:c>
      <x:c r="T24" s="138" t="s">
        <x:v>841</x:v>
      </x:c>
      <x:c r="U24" s="138" t="n">
        <x:f>IFERROR(DB24*$DJ24/$F24,0)</x:f>
        <x:v>22.12208111429742</x:v>
      </x:c>
      <x:c r="V24" s="138" t="n">
        <x:v>0.5</x:v>
      </x:c>
      <x:c r="W24" s="138" t="n">
        <x:v>35</x:v>
      </x:c>
      <x:c r="X24" s="138" t="n">
        <x:v>0.14</x:v>
      </x:c>
      <x:c r="Y24" s="138" t="n">
        <x:v>1.4</x:v>
      </x:c>
      <x:c r="Z24" s="138" t="n">
        <x:v>12</x:v>
      </x:c>
      <x:c r="AA24" s="138" t="n">
        <x:v>0.2</x:v>
      </x:c>
      <x:c r="AB24" s="138" t="n">
        <x:v>1.3</x:v>
      </x:c>
      <x:c r="AC24" s="138" t="s">
        <x:v>861</x:v>
      </x:c>
      <x:c r="AD24" s="138" t="s">
        <x:v>862</x:v>
      </x:c>
      <x:c r="AE24" s="138" t="s">
        <x:v>841</x:v>
      </x:c>
      <x:c r="AF24" s="138" t="n">
        <x:f>IFERROR(DC24*$DJ24/$F24,0)</x:f>
        <x:v>0.7374027038099139</x:v>
      </x:c>
      <x:c r="AG24" s="138" t="n">
        <x:v>0.65</x:v>
      </x:c>
      <x:c r="AH24" s="138" t="n">
        <x:v>35</x:v>
      </x:c>
      <x:c r="AI24" s="138" t="n">
        <x:v>0.13</x:v>
      </x:c>
      <x:c r="AJ24" s="138" t="n">
        <x:v>1.4</x:v>
      </x:c>
      <x:c r="AK24" s="138" t="n">
        <x:v>15</x:v>
      </x:c>
      <x:c r="AL24" s="138" t="n">
        <x:v>0.18</x:v>
      </x:c>
      <x:c r="AM24" s="138" t="n">
        <x:v>1.3</x:v>
      </x:c>
      <x:c r="AN24" s="138" t="s">
        <x:v>900</x:v>
      </x:c>
      <x:c r="AO24" s="138" t="s">
        <x:v>901</x:v>
      </x:c>
      <x:c r="AP24" s="138" t="s">
        <x:v>841</x:v>
      </x:c>
      <x:c r="AQ24" s="138" t="n">
        <x:f>IFERROR(DD24*$DJ24/$F24,0)</x:f>
        <x:v>0.7374027038099139</x:v>
      </x:c>
      <x:c r="AR24" s="138" t="n">
        <x:v>0.65</x:v>
      </x:c>
      <x:c r="AS24" s="138" t="n">
        <x:v>45</x:v>
      </x:c>
      <x:c r="AT24" s="138" t="n">
        <x:v>0.13</x:v>
      </x:c>
      <x:c r="AU24" s="138" t="n">
        <x:v>1.4</x:v>
      </x:c>
      <x:c r="AV24" s="138" t="n">
        <x:v>20</x:v>
      </x:c>
      <x:c r="AW24" s="138" t="n">
        <x:v>0.17</x:v>
      </x:c>
      <x:c r="AX24" s="138" t="n">
        <x:v>1.3</x:v>
      </x:c>
      <x:c r="AY24" s="138" t="s">
        <x:v>670</x:v>
      </x:c>
      <x:c r="AZ24" s="138" t="s">
        <x:v>877</x:v>
      </x:c>
      <x:c r="BA24" s="138" t="s">
        <x:v>841</x:v>
      </x:c>
      <x:c r="BB24" s="138" t="n">
        <x:f>IFERROR(DE24*$DJ24/$F24,0)</x:f>
        <x:v>0.7374027038099139</x:v>
      </x:c>
      <x:c r="BC24" s="138" t="n">
        <x:v>0.55</x:v>
      </x:c>
      <x:c r="BD24" s="138" t="n">
        <x:v>50</x:v>
      </x:c>
      <x:c r="BE24" s="138" t="n">
        <x:v>0.12</x:v>
      </x:c>
      <x:c r="BF24" s="138" t="n">
        <x:v>1.4</x:v>
      </x:c>
      <x:c r="BG24" s="138" t="n">
        <x:v>25</x:v>
      </x:c>
      <x:c r="BH24" s="138" t="n">
        <x:v>0.15</x:v>
      </x:c>
      <x:c r="BI24" s="138" t="n">
        <x:v>1.3</x:v>
      </x:c>
      <x:c r="BJ24" s="138"/>
      <x:c r="BK24" s="138"/>
      <x:c r="BL24" s="138"/>
      <x:c r="BM24" s="138" t="n">
        <x:f>IFERROR(DF24*$DJ24/$F24,0)</x:f>
        <x:v>0</x:v>
      </x:c>
      <x:c r="BN24" s="138"/>
      <x:c r="BO24" s="138"/>
      <x:c r="BP24" s="138"/>
      <x:c r="BQ24" s="138"/>
      <x:c r="BR24" s="138"/>
      <x:c r="BS24" s="138"/>
      <x:c r="BT24" s="138"/>
      <x:c r="BU24" s="138"/>
      <x:c r="BV24" s="138"/>
      <x:c r="BW24" s="138"/>
      <x:c r="BX24" s="138" t="n">
        <x:f>IFERROR(DG24*$DJ24/$F24,0)</x:f>
        <x:v>0</x:v>
      </x:c>
      <x:c r="BY24" s="138"/>
      <x:c r="BZ24" s="138"/>
      <x:c r="CA24" s="138"/>
      <x:c r="CB24" s="138"/>
      <x:c r="CC24" s="138"/>
      <x:c r="CD24" s="138"/>
      <x:c r="CE24" s="138"/>
      <x:c r="CF24" s="138"/>
      <x:c r="CG24" s="138"/>
      <x:c r="CH24" s="138"/>
      <x:c r="CI24" s="138" t="n">
        <x:f>IFERROR(DH24*$DJ24/$F24,0)</x:f>
        <x:v>0</x:v>
      </x:c>
      <x:c r="CJ24" s="138"/>
      <x:c r="CK24" s="138"/>
      <x:c r="CL24" s="138"/>
      <x:c r="CM24" s="138"/>
      <x:c r="CN24" s="138"/>
      <x:c r="CO24" s="138"/>
      <x:c r="CP24" s="138"/>
      <x:c r="CQ24" s="138"/>
      <x:c r="CR24" s="138"/>
      <x:c r="CS24" s="138"/>
      <x:c r="CT24" s="138" t="n">
        <x:f>IFERROR(DI24*$DJ24/$F24,0)</x:f>
        <x:v>0</x:v>
      </x:c>
      <x:c r="CU24" s="138"/>
      <x:c r="CV24" s="138"/>
      <x:c r="CW24" s="138"/>
      <x:c r="CX24" s="138"/>
      <x:c r="CY24" s="138"/>
      <x:c r="CZ24" s="138"/>
      <x:c r="DA24" s="138"/>
      <x:c r="DB24" s="978" t="n">
        <x:v>300</x:v>
      </x:c>
      <x:c r="DC24" s="978" t="n">
        <x:v>10</x:v>
      </x:c>
      <x:c r="DD24" s="978" t="n">
        <x:v>10</x:v>
      </x:c>
      <x:c r="DE24" s="978" t="n">
        <x:v>10</x:v>
      </x:c>
      <x:c r="DF24" s="978"/>
      <x:c r="DG24" s="978"/>
      <x:c r="DH24" s="978"/>
      <x:c r="DI24" s="978"/>
      <x:c r="DJ24" s="980" t="n">
        <x:f>'S08_Defaults'!$B$37</x:f>
        <x:v>0.09</x:v>
      </x:c>
      <x:c r="DK24" s="979" t="n">
        <x:f>SUM(U24,AF24,AQ24,BB24,BM24,BX24,CI24,CT24)</x:f>
        <x:v>24.334289225727158</x:v>
      </x:c>
      <x:c r="DL24" s="979" t="n">
        <x:f>G24*DJ24</x:f>
        <x:v>24.3342</x:v>
      </x:c>
      <x:c r="DM24" s="979" t="n">
        <x:f>DK24-DL24</x:f>
        <x:v>0.00008922572715874821</x:v>
      </x:c>
      <x:c r="DN24" s="977" t="str">
        <x:f>IF(ABS(DM24)&lt;=MAX(0.5,0.05*ABS(DL24)),"OK","REVIEW")</x:f>
        <x:v>OK</x:v>
      </x:c>
    </x:row>
    <x:row r="25" ht="15" hidden="0" customHeight="1">
      <x:c r="A25" s="138" t="s">
        <x:v>605</x:v>
      </x:c>
      <x:c r="B25" s="138" t="str">
        <x:v>Tropical &amp; Subtropical Dry Broadleaf Forests</x:v>
      </x:c>
      <x:c r="C25" s="138" t="s">
        <x:v>112</x:v>
      </x:c>
      <x:c r="D25" s="138" t="s">
        <x:v>553</x:v>
      </x:c>
      <x:c r="E25" s="138" t="n">
        <x:v>2020</x:v>
      </x:c>
      <x:c r="F25" s="138" t="n">
        <x:v>0.7053</x:v>
      </x:c>
      <x:c r="G25" s="138" t="n">
        <x:v>439.53</x:v>
      </x:c>
      <x:c r="H25" s="138" t="s">
        <x:v>902</x:v>
      </x:c>
      <x:c r="I25" s="138" t="s">
        <x:v>600</x:v>
      </x:c>
      <x:c r="J25" s="139" t="n">
        <x:f aca="0">IF($E25="Unconfirmed","",IFERROR(SUMIF(S15_Source_Strata!$B$4:$B$49,$I25,S15_Source_Strata!$H$4:$H$49),""))</x:f>
        <x:v>102.04562925670207</x:v>
      </x:c>
      <x:c r="K25" s="139" t="n">
        <x:f aca="0">IF($E25="Unconfirmed","",IFERROR(SUMIF(S15_Source_Strata!$B$4:$B$49,$I25,S15_Source_Strata!$I$4:$I$49),""))</x:f>
        <x:v>176.55349249464146</x:v>
      </x:c>
      <x:c r="L25" s="139" t="n">
        <x:f aca="0">IF($E25="Unconfirmed","",IFERROR(SUMIF(S15_Source_Strata!$B$4:$B$49,$I25,S15_Source_Strata!$J$4:$J$49),""))</x:f>
        <x:v>1.730142621302381</x:v>
      </x:c>
      <x:c r="M25" s="139" t="n">
        <x:f aca="0">IF($E25="Unconfirmed","",IFERROR(SUMIF(S15_Source_Strata!$B$4:$B$49,$I25,S15_Source_Strata!$N$4:$N$49),""))</x:f>
        <x:v>76.53422194252656</x:v>
      </x:c>
      <x:c r="N25" s="139" t="n">
        <x:f aca="0">IF($E25="Unconfirmed","",IFERROR(SUMIF(S15_Source_Strata!$B$4:$B$49,$I25,S15_Source_Strata!$O$4:$O$49),""))</x:f>
        <x:v>0.75</x:v>
      </x:c>
      <x:c r="O25" s="139" t="n">
        <x:f aca="0">IF($E25="Unconfirmed","",IFERROR(SUMIF(S15_Source_Strata!$B$4:$B$49,$I25,S15_Source_Strata!$X$4:$X$49),""))</x:f>
        <x:v>163.54853000971656</x:v>
      </x:c>
      <x:c r="P25" s="139" t="n">
        <x:f aca="0">IF($E25="Unconfirmed","",IFERROR(SUMIF(S15_Source_Strata!$B$4:$B$49,$I25,S15_Source_Strata!$AL$4:$AL$49),""))</x:f>
        <x:v>766.9597276855819</x:v>
      </x:c>
      <x:c r="Q25" s="139" t="str">
        <x:f aca="0">IF($E25="Unconfirmed","",IFERROR(SUMIF(S15_Source_Strata!$B$4:$B$49,$I25,S15_Source_Strata!$K$4:$K$49)&amp;"/"&amp;SUMIF(S15_Source_Strata!$B$4:$B$49,$I25,S15_Source_Strata!$L$4:$L$49),""))</x:f>
        <x:v>6/9</x:v>
      </x:c>
      <x:c r="R25" s="138" t="s">
        <x:v>670</x:v>
      </x:c>
      <x:c r="S25" s="138" t="s">
        <x:v>877</x:v>
      </x:c>
      <x:c r="T25" s="138" t="s">
        <x:v>841</x:v>
      </x:c>
      <x:c r="U25" s="138" t="n">
        <x:f>IFERROR(DB25*$DJ25/$F25,0)</x:f>
        <x:v>12.760527435133985</x:v>
      </x:c>
      <x:c r="V25" s="138" t="n">
        <x:v>0.55</x:v>
      </x:c>
      <x:c r="W25" s="138" t="n">
        <x:v>50</x:v>
      </x:c>
      <x:c r="X25" s="138" t="n">
        <x:v>0.12</x:v>
      </x:c>
      <x:c r="Y25" s="138" t="n">
        <x:v>1.4</x:v>
      </x:c>
      <x:c r="Z25" s="138" t="n">
        <x:v>25</x:v>
      </x:c>
      <x:c r="AA25" s="138" t="n">
        <x:v>0.15</x:v>
      </x:c>
      <x:c r="AB25" s="138" t="n">
        <x:v>1.3</x:v>
      </x:c>
      <x:c r="AC25" s="138" t="s">
        <x:v>656</x:v>
      </x:c>
      <x:c r="AD25" s="138" t="s">
        <x:v>903</x:v>
      </x:c>
      <x:c r="AE25" s="138" t="s">
        <x:v>841</x:v>
      </x:c>
      <x:c r="AF25" s="138" t="n">
        <x:f>IFERROR(DC25*$DJ25/$F25,0)</x:f>
        <x:v>16.58868566567418</x:v>
      </x:c>
      <x:c r="AG25" s="138" t="n">
        <x:v>0.75</x:v>
      </x:c>
      <x:c r="AH25" s="138" t="n">
        <x:v>25</x:v>
      </x:c>
      <x:c r="AI25" s="138" t="n">
        <x:v>0.1</x:v>
      </x:c>
      <x:c r="AJ25" s="138" t="n">
        <x:v>1.5</x:v>
      </x:c>
      <x:c r="AK25" s="138" t="n">
        <x:v>12</x:v>
      </x:c>
      <x:c r="AL25" s="138" t="n">
        <x:v>0.14</x:v>
      </x:c>
      <x:c r="AM25" s="138" t="n">
        <x:v>1.4</x:v>
      </x:c>
      <x:c r="AN25" s="138" t="s">
        <x:v>858</x:v>
      </x:c>
      <x:c r="AO25" s="138" t="s">
        <x:v>859</x:v>
      </x:c>
      <x:c r="AP25" s="138" t="s">
        <x:v>841</x:v>
      </x:c>
      <x:c r="AQ25" s="138" t="n">
        <x:f>IFERROR(DD25*$DJ25/$F25,0)</x:f>
        <x:v>10.208421948107187</x:v>
      </x:c>
      <x:c r="AR25" s="138" t="n">
        <x:v>0.6</x:v>
      </x:c>
      <x:c r="AS25" s="138" t="n">
        <x:v>25</x:v>
      </x:c>
      <x:c r="AT25" s="138" t="n">
        <x:v>0.18</x:v>
      </x:c>
      <x:c r="AU25" s="138" t="n">
        <x:v>1.5</x:v>
      </x:c>
      <x:c r="AV25" s="138" t="n">
        <x:v>8</x:v>
      </x:c>
      <x:c r="AW25" s="138" t="n">
        <x:v>0.25</x:v>
      </x:c>
      <x:c r="AX25" s="138" t="n">
        <x:v>1.4</x:v>
      </x:c>
      <x:c r="AY25" s="138"/>
      <x:c r="AZ25" s="138"/>
      <x:c r="BA25" s="138"/>
      <x:c r="BB25" s="138" t="n">
        <x:f>IFERROR(DE25*$DJ25/$F25,0)</x:f>
        <x:v>0</x:v>
      </x:c>
      <x:c r="BC25" s="138"/>
      <x:c r="BD25" s="138"/>
      <x:c r="BE25" s="138"/>
      <x:c r="BF25" s="138"/>
      <x:c r="BG25" s="138"/>
      <x:c r="BH25" s="138"/>
      <x:c r="BI25" s="138"/>
      <x:c r="BJ25" s="138"/>
      <x:c r="BK25" s="138"/>
      <x:c r="BL25" s="138"/>
      <x:c r="BM25" s="138" t="n">
        <x:f>IFERROR(DF25*$DJ25/$F25,0)</x:f>
        <x:v>0</x:v>
      </x:c>
      <x:c r="BN25" s="138"/>
      <x:c r="BO25" s="138"/>
      <x:c r="BP25" s="138"/>
      <x:c r="BQ25" s="138"/>
      <x:c r="BR25" s="138"/>
      <x:c r="BS25" s="138"/>
      <x:c r="BT25" s="138"/>
      <x:c r="BU25" s="138"/>
      <x:c r="BV25" s="138"/>
      <x:c r="BW25" s="138"/>
      <x:c r="BX25" s="138" t="n">
        <x:f>IFERROR(DG25*$DJ25/$F25,0)</x:f>
        <x:v>0</x:v>
      </x:c>
      <x:c r="BY25" s="138"/>
      <x:c r="BZ25" s="138"/>
      <x:c r="CA25" s="138"/>
      <x:c r="CB25" s="138"/>
      <x:c r="CC25" s="138"/>
      <x:c r="CD25" s="138"/>
      <x:c r="CE25" s="138"/>
      <x:c r="CF25" s="138"/>
      <x:c r="CG25" s="138"/>
      <x:c r="CH25" s="138"/>
      <x:c r="CI25" s="138" t="n">
        <x:f>IFERROR(DH25*$DJ25/$F25,0)</x:f>
        <x:v>0</x:v>
      </x:c>
      <x:c r="CJ25" s="138"/>
      <x:c r="CK25" s="138"/>
      <x:c r="CL25" s="138"/>
      <x:c r="CM25" s="138"/>
      <x:c r="CN25" s="138"/>
      <x:c r="CO25" s="138"/>
      <x:c r="CP25" s="138"/>
      <x:c r="CQ25" s="138"/>
      <x:c r="CR25" s="138"/>
      <x:c r="CS25" s="138"/>
      <x:c r="CT25" s="138" t="n">
        <x:f>IFERROR(DI25*$DJ25/$F25,0)</x:f>
        <x:v>0</x:v>
      </x:c>
      <x:c r="CU25" s="138"/>
      <x:c r="CV25" s="138"/>
      <x:c r="CW25" s="138"/>
      <x:c r="CX25" s="138"/>
      <x:c r="CY25" s="138"/>
      <x:c r="CZ25" s="138"/>
      <x:c r="DA25" s="138"/>
      <x:c r="DB25" s="978" t="n">
        <x:v>100</x:v>
      </x:c>
      <x:c r="DC25" s="978" t="n">
        <x:v>130</x:v>
      </x:c>
      <x:c r="DD25" s="978" t="n">
        <x:v>80</x:v>
      </x:c>
      <x:c r="DE25" s="978"/>
      <x:c r="DF25" s="978"/>
      <x:c r="DG25" s="978"/>
      <x:c r="DH25" s="978"/>
      <x:c r="DI25" s="978"/>
      <x:c r="DJ25" s="980" t="n">
        <x:f>'S08_Defaults'!$B$37</x:f>
        <x:v>0.09</x:v>
      </x:c>
      <x:c r="DK25" s="979" t="n">
        <x:f>SUM(U25,AF25,AQ25,BB25,BM25,BX25,CI25,CT25)</x:f>
        <x:v>39.55763504891535</x:v>
      </x:c>
      <x:c r="DL25" s="979" t="n">
        <x:f>G25*DJ25</x:f>
        <x:v>39.5577</x:v>
      </x:c>
      <x:c r="DM25" s="979" t="n">
        <x:f>DK25-DL25</x:f>
        <x:v>-0.00006495108464577015</x:v>
      </x:c>
      <x:c r="DN25" s="977" t="str">
        <x:f>IF(ABS(DM25)&lt;=MAX(0.5,0.05*ABS(DL25)),"OK","REVIEW")</x:f>
        <x:v>OK</x:v>
      </x:c>
    </x:row>
    <x:row r="26" ht="15" hidden="0" customHeight="1">
      <x:c r="A26" s="138" t="s">
        <x:v>607</x:v>
      </x:c>
      <x:c r="B26" s="138" t="str">
        <x:v>Tropical &amp; Subtropical Dry Broadleaf Forests</x:v>
      </x:c>
      <x:c r="C26" s="138" t="s">
        <x:v>112</x:v>
      </x:c>
      <x:c r="D26" s="138" t="s">
        <x:v>553</x:v>
      </x:c>
      <x:c r="E26" s="138" t="n">
        <x:v>2020</x:v>
      </x:c>
      <x:c r="F26" s="138" t="n">
        <x:v>1.19</x:v>
      </x:c>
      <x:c r="G26" s="138" t="n">
        <x:v>344.54</x:v>
      </x:c>
      <x:c r="H26" s="138" t="s">
        <x:v>904</x:v>
      </x:c>
      <x:c r="I26" s="138" t="s">
        <x:v>600</x:v>
      </x:c>
      <x:c r="J26" s="139" t="n">
        <x:f aca="0">IF($E26="Unconfirmed","",IFERROR(SUMIF(S15_Source_Strata!$B$4:$B$49,$I26,S15_Source_Strata!$H$4:$H$49),""))</x:f>
        <x:v>102.04562925670207</x:v>
      </x:c>
      <x:c r="K26" s="139" t="n">
        <x:f aca="0">IF($E26="Unconfirmed","",IFERROR(SUMIF(S15_Source_Strata!$B$4:$B$49,$I26,S15_Source_Strata!$I$4:$I$49),""))</x:f>
        <x:v>176.55349249464146</x:v>
      </x:c>
      <x:c r="L26" s="139" t="n">
        <x:f aca="0">IF($E26="Unconfirmed","",IFERROR(SUMIF(S15_Source_Strata!$B$4:$B$49,$I26,S15_Source_Strata!$J$4:$J$49),""))</x:f>
        <x:v>1.730142621302381</x:v>
      </x:c>
      <x:c r="M26" s="139" t="n">
        <x:f aca="0">IF($E26="Unconfirmed","",IFERROR(SUMIF(S15_Source_Strata!$B$4:$B$49,$I26,S15_Source_Strata!$N$4:$N$49),""))</x:f>
        <x:v>76.53422194252656</x:v>
      </x:c>
      <x:c r="N26" s="139" t="n">
        <x:f aca="0">IF($E26="Unconfirmed","",IFERROR(SUMIF(S15_Source_Strata!$B$4:$B$49,$I26,S15_Source_Strata!$O$4:$O$49),""))</x:f>
        <x:v>0.75</x:v>
      </x:c>
      <x:c r="O26" s="139" t="n">
        <x:f aca="0">IF($E26="Unconfirmed","",IFERROR(SUMIF(S15_Source_Strata!$B$4:$B$49,$I26,S15_Source_Strata!$X$4:$X$49),""))</x:f>
        <x:v>163.54853000971656</x:v>
      </x:c>
      <x:c r="P26" s="139" t="n">
        <x:f aca="0">IF($E26="Unconfirmed","",IFERROR(SUMIF(S15_Source_Strata!$B$4:$B$49,$I26,S15_Source_Strata!$AL$4:$AL$49),""))</x:f>
        <x:v>766.9597276855819</x:v>
      </x:c>
      <x:c r="Q26" s="139" t="str">
        <x:f aca="0">IF($E26="Unconfirmed","",IFERROR(SUMIF(S15_Source_Strata!$B$4:$B$49,$I26,S15_Source_Strata!$K$4:$K$49)&amp;"/"&amp;SUMIF(S15_Source_Strata!$B$4:$B$49,$I26,S15_Source_Strata!$L$4:$L$49),""))</x:f>
        <x:v>6/9</x:v>
      </x:c>
      <x:c r="R26" s="138" t="s">
        <x:v>579</x:v>
      </x:c>
      <x:c r="S26" s="138" t="s">
        <x:v>842</x:v>
      </x:c>
      <x:c r="T26" s="138" t="s">
        <x:v>841</x:v>
      </x:c>
      <x:c r="U26" s="138" t="n">
        <x:f>IFERROR(DB26*$DJ26/$F26,0)</x:f>
        <x:v>30.252100840336137</x:v>
      </x:c>
      <x:c r="V26" s="138" t="n">
        <x:v>0.6</x:v>
      </x:c>
      <x:c r="W26" s="138" t="n">
        <x:v>45</x:v>
      </x:c>
      <x:c r="X26" s="138" t="n">
        <x:v>0.12</x:v>
      </x:c>
      <x:c r="Y26" s="138" t="n">
        <x:v>1.4</x:v>
      </x:c>
      <x:c r="Z26" s="138" t="n">
        <x:v>14</x:v>
      </x:c>
      <x:c r="AA26" s="138" t="n">
        <x:v>0.18</x:v>
      </x:c>
      <x:c r="AB26" s="138" t="n">
        <x:v>1.3</x:v>
      </x:c>
      <x:c r="AC26" s="138" t="s">
        <x:v>854</x:v>
      </x:c>
      <x:c r="AD26" s="138" t="s">
        <x:v>855</x:v>
      </x:c>
      <x:c r="AE26" s="138" t="s">
        <x:v>856</x:v>
      </x:c>
      <x:c r="AF26" s="138" t="n">
        <x:f>IFERROR(DC26*$DJ26/$F26,0)</x:f>
        <x:v>0.37815126050420167</x:v>
      </x:c>
      <x:c r="AG26" s="138" t="n">
        <x:v>0.65</x:v>
      </x:c>
      <x:c r="AH26" s="138" t="n">
        <x:v>35</x:v>
      </x:c>
      <x:c r="AI26" s="138" t="n">
        <x:v>0.13</x:v>
      </x:c>
      <x:c r="AJ26" s="138" t="n">
        <x:v>1.4</x:v>
      </x:c>
      <x:c r="AK26" s="138" t="n">
        <x:v>15</x:v>
      </x:c>
      <x:c r="AL26" s="138" t="n">
        <x:v>0.18</x:v>
      </x:c>
      <x:c r="AM26" s="138" t="n">
        <x:v>1.3</x:v>
      </x:c>
      <x:c r="AN26" s="138" t="s">
        <x:v>900</x:v>
      </x:c>
      <x:c r="AO26" s="138" t="s">
        <x:v>901</x:v>
      </x:c>
      <x:c r="AP26" s="138" t="s">
        <x:v>841</x:v>
      </x:c>
      <x:c r="AQ26" s="138" t="n">
        <x:f>IFERROR(DD26*$DJ26/$F26,0)</x:f>
        <x:v>1.134453781512605</x:v>
      </x:c>
      <x:c r="AR26" s="138" t="n">
        <x:v>0.65</x:v>
      </x:c>
      <x:c r="AS26" s="138" t="n">
        <x:v>45</x:v>
      </x:c>
      <x:c r="AT26" s="138" t="n">
        <x:v>0.13</x:v>
      </x:c>
      <x:c r="AU26" s="138" t="n">
        <x:v>1.4</x:v>
      </x:c>
      <x:c r="AV26" s="138" t="n">
        <x:v>20</x:v>
      </x:c>
      <x:c r="AW26" s="138" t="n">
        <x:v>0.17</x:v>
      </x:c>
      <x:c r="AX26" s="138" t="n">
        <x:v>1.3</x:v>
      </x:c>
      <x:c r="AY26" s="138"/>
      <x:c r="AZ26" s="138"/>
      <x:c r="BA26" s="138"/>
      <x:c r="BB26" s="138" t="n">
        <x:f>IFERROR(DE26*$DJ26/$F26,0)</x:f>
        <x:v>0</x:v>
      </x:c>
      <x:c r="BC26" s="138"/>
      <x:c r="BD26" s="138"/>
      <x:c r="BE26" s="138"/>
      <x:c r="BF26" s="138"/>
      <x:c r="BG26" s="138"/>
      <x:c r="BH26" s="138"/>
      <x:c r="BI26" s="138"/>
      <x:c r="BJ26" s="138"/>
      <x:c r="BK26" s="138"/>
      <x:c r="BL26" s="138"/>
      <x:c r="BM26" s="138" t="n">
        <x:f>IFERROR(DF26*$DJ26/$F26,0)</x:f>
        <x:v>0</x:v>
      </x:c>
      <x:c r="BN26" s="138"/>
      <x:c r="BO26" s="138"/>
      <x:c r="BP26" s="138"/>
      <x:c r="BQ26" s="138"/>
      <x:c r="BR26" s="138"/>
      <x:c r="BS26" s="138"/>
      <x:c r="BT26" s="138"/>
      <x:c r="BU26" s="138"/>
      <x:c r="BV26" s="138"/>
      <x:c r="BW26" s="138"/>
      <x:c r="BX26" s="138" t="n">
        <x:f>IFERROR(DG26*$DJ26/$F26,0)</x:f>
        <x:v>0</x:v>
      </x:c>
      <x:c r="BY26" s="138"/>
      <x:c r="BZ26" s="138"/>
      <x:c r="CA26" s="138"/>
      <x:c r="CB26" s="138"/>
      <x:c r="CC26" s="138"/>
      <x:c r="CD26" s="138"/>
      <x:c r="CE26" s="138"/>
      <x:c r="CF26" s="138"/>
      <x:c r="CG26" s="138"/>
      <x:c r="CH26" s="138"/>
      <x:c r="CI26" s="138" t="n">
        <x:f>IFERROR(DH26*$DJ26/$F26,0)</x:f>
        <x:v>0</x:v>
      </x:c>
      <x:c r="CJ26" s="138"/>
      <x:c r="CK26" s="138"/>
      <x:c r="CL26" s="138"/>
      <x:c r="CM26" s="138"/>
      <x:c r="CN26" s="138"/>
      <x:c r="CO26" s="138"/>
      <x:c r="CP26" s="138"/>
      <x:c r="CQ26" s="138"/>
      <x:c r="CR26" s="138"/>
      <x:c r="CS26" s="138"/>
      <x:c r="CT26" s="138" t="n">
        <x:f>IFERROR(DI26*$DJ26/$F26,0)</x:f>
        <x:v>0</x:v>
      </x:c>
      <x:c r="CU26" s="138"/>
      <x:c r="CV26" s="138"/>
      <x:c r="CW26" s="138"/>
      <x:c r="CX26" s="138"/>
      <x:c r="CY26" s="138"/>
      <x:c r="CZ26" s="138"/>
      <x:c r="DA26" s="138"/>
      <x:c r="DB26" s="978" t="n">
        <x:v>400</x:v>
      </x:c>
      <x:c r="DC26" s="978" t="n">
        <x:v>5</x:v>
      </x:c>
      <x:c r="DD26" s="978" t="n">
        <x:v>15</x:v>
      </x:c>
      <x:c r="DE26" s="978"/>
      <x:c r="DF26" s="978"/>
      <x:c r="DG26" s="978"/>
      <x:c r="DH26" s="978"/>
      <x:c r="DI26" s="978"/>
      <x:c r="DJ26" s="980" t="n">
        <x:f>'S08_Defaults'!$B$37</x:f>
        <x:v>0.09</x:v>
      </x:c>
      <x:c r="DK26" s="979" t="n">
        <x:f>SUM(U26,AF26,AQ26,BB26,BM26,BX26,CI26,CT26)</x:f>
        <x:v>31.764705882352942</x:v>
      </x:c>
      <x:c r="DL26" s="979" t="n">
        <x:f>G26*DJ26</x:f>
        <x:v>31.0086</x:v>
      </x:c>
      <x:c r="DM26" s="979" t="n">
        <x:f>DK26-DL26</x:f>
        <x:v>0.7561058823529407</x:v>
      </x:c>
      <x:c r="DN26" s="977" t="str">
        <x:f>IF(ABS(DM26)&lt;=MAX(0.5,0.05*ABS(DL26)),"OK","REVIEW")</x:f>
        <x:v>OK</x:v>
      </x:c>
    </x:row>
    <x:row r="27" ht="15" hidden="0" customHeight="1">
      <x:c r="A27" s="138" t="s">
        <x:v>609</x:v>
      </x:c>
      <x:c r="B27" s="138" t="str">
        <x:v>Tropical &amp; Subtropical Dry Broadleaf Forests</x:v>
      </x:c>
      <x:c r="C27" s="138" t="s">
        <x:v>112</x:v>
      </x:c>
      <x:c r="D27" s="138" t="s">
        <x:v>553</x:v>
      </x:c>
      <x:c r="E27" s="138" t="n">
        <x:v>2020</x:v>
      </x:c>
      <x:c r="F27" s="138" t="n">
        <x:v>0.3598</x:v>
      </x:c>
      <x:c r="G27" s="138" t="n">
        <x:v>500.28</x:v>
      </x:c>
      <x:c r="H27" s="138" t="s">
        <x:v>905</x:v>
      </x:c>
      <x:c r="I27" s="138" t="s">
        <x:v>600</x:v>
      </x:c>
      <x:c r="J27" s="139" t="n">
        <x:f aca="0">IF($E27="Unconfirmed","",IFERROR(SUMIF(S15_Source_Strata!$B$4:$B$49,$I27,S15_Source_Strata!$H$4:$H$49),""))</x:f>
        <x:v>102.04562925670207</x:v>
      </x:c>
      <x:c r="K27" s="139" t="n">
        <x:f aca="0">IF($E27="Unconfirmed","",IFERROR(SUMIF(S15_Source_Strata!$B$4:$B$49,$I27,S15_Source_Strata!$I$4:$I$49),""))</x:f>
        <x:v>176.55349249464146</x:v>
      </x:c>
      <x:c r="L27" s="139" t="n">
        <x:f aca="0">IF($E27="Unconfirmed","",IFERROR(SUMIF(S15_Source_Strata!$B$4:$B$49,$I27,S15_Source_Strata!$J$4:$J$49),""))</x:f>
        <x:v>1.730142621302381</x:v>
      </x:c>
      <x:c r="M27" s="139" t="n">
        <x:f aca="0">IF($E27="Unconfirmed","",IFERROR(SUMIF(S15_Source_Strata!$B$4:$B$49,$I27,S15_Source_Strata!$N$4:$N$49),""))</x:f>
        <x:v>76.53422194252656</x:v>
      </x:c>
      <x:c r="N27" s="139" t="n">
        <x:f aca="0">IF($E27="Unconfirmed","",IFERROR(SUMIF(S15_Source_Strata!$B$4:$B$49,$I27,S15_Source_Strata!$O$4:$O$49),""))</x:f>
        <x:v>0.75</x:v>
      </x:c>
      <x:c r="O27" s="139" t="n">
        <x:f aca="0">IF($E27="Unconfirmed","",IFERROR(SUMIF(S15_Source_Strata!$B$4:$B$49,$I27,S15_Source_Strata!$X$4:$X$49),""))</x:f>
        <x:v>163.54853000971656</x:v>
      </x:c>
      <x:c r="P27" s="139" t="n">
        <x:f aca="0">IF($E27="Unconfirmed","",IFERROR(SUMIF(S15_Source_Strata!$B$4:$B$49,$I27,S15_Source_Strata!$AL$4:$AL$49),""))</x:f>
        <x:v>766.9597276855819</x:v>
      </x:c>
      <x:c r="Q27" s="139" t="str">
        <x:f aca="0">IF($E27="Unconfirmed","",IFERROR(SUMIF(S15_Source_Strata!$B$4:$B$49,$I27,S15_Source_Strata!$K$4:$K$49)&amp;"/"&amp;SUMIF(S15_Source_Strata!$B$4:$B$49,$I27,S15_Source_Strata!$L$4:$L$49),""))</x:f>
        <x:v>6/9</x:v>
      </x:c>
      <x:c r="R27" s="138" t="s">
        <x:v>858</x:v>
      </x:c>
      <x:c r="S27" s="138" t="s">
        <x:v>859</x:v>
      </x:c>
      <x:c r="T27" s="138" t="s">
        <x:v>841</x:v>
      </x:c>
      <x:c r="U27" s="138" t="n">
        <x:f>IFERROR(DB27*$DJ27/$F27,0)</x:f>
        <x:v>40.02223457476375</x:v>
      </x:c>
      <x:c r="V27" s="138" t="n">
        <x:v>0.6</x:v>
      </x:c>
      <x:c r="W27" s="138" t="n">
        <x:v>25</x:v>
      </x:c>
      <x:c r="X27" s="138" t="n">
        <x:v>0.18</x:v>
      </x:c>
      <x:c r="Y27" s="138" t="n">
        <x:v>1.5</x:v>
      </x:c>
      <x:c r="Z27" s="138" t="n">
        <x:v>8</x:v>
      </x:c>
      <x:c r="AA27" s="138" t="n">
        <x:v>0.25</x:v>
      </x:c>
      <x:c r="AB27" s="138" t="n">
        <x:v>1.4</x:v>
      </x:c>
      <x:c r="AC27" s="138" t="s">
        <x:v>900</x:v>
      </x:c>
      <x:c r="AD27" s="138" t="s">
        <x:v>901</x:v>
      </x:c>
      <x:c r="AE27" s="138" t="s">
        <x:v>841</x:v>
      </x:c>
      <x:c r="AF27" s="138" t="n">
        <x:f>IFERROR(DC27*$DJ27/$F27,0)</x:f>
        <x:v>5.002779321845469</x:v>
      </x:c>
      <x:c r="AG27" s="138" t="n">
        <x:v>0.65</x:v>
      </x:c>
      <x:c r="AH27" s="138" t="n">
        <x:v>45</x:v>
      </x:c>
      <x:c r="AI27" s="138" t="n">
        <x:v>0.13</x:v>
      </x:c>
      <x:c r="AJ27" s="138" t="n">
        <x:v>1.4</x:v>
      </x:c>
      <x:c r="AK27" s="138" t="n">
        <x:v>20</x:v>
      </x:c>
      <x:c r="AL27" s="138" t="n">
        <x:v>0.17</x:v>
      </x:c>
      <x:c r="AM27" s="138" t="n">
        <x:v>1.3</x:v>
      </x:c>
      <x:c r="AN27" s="138"/>
      <x:c r="AO27" s="138"/>
      <x:c r="AP27" s="138"/>
      <x:c r="AQ27" s="138" t="n">
        <x:f>IFERROR(DD27*$DJ27/$F27,0)</x:f>
        <x:v>0</x:v>
      </x:c>
      <x:c r="AR27" s="138"/>
      <x:c r="AS27" s="138"/>
      <x:c r="AT27" s="138"/>
      <x:c r="AU27" s="138"/>
      <x:c r="AV27" s="138"/>
      <x:c r="AW27" s="138"/>
      <x:c r="AX27" s="138"/>
      <x:c r="AY27" s="138"/>
      <x:c r="AZ27" s="138"/>
      <x:c r="BA27" s="138"/>
      <x:c r="BB27" s="138" t="n">
        <x:f>IFERROR(DE27*$DJ27/$F27,0)</x:f>
        <x:v>0</x:v>
      </x:c>
      <x:c r="BC27" s="138"/>
      <x:c r="BD27" s="138"/>
      <x:c r="BE27" s="138"/>
      <x:c r="BF27" s="138"/>
      <x:c r="BG27" s="138"/>
      <x:c r="BH27" s="138"/>
      <x:c r="BI27" s="138"/>
      <x:c r="BJ27" s="138"/>
      <x:c r="BK27" s="138"/>
      <x:c r="BL27" s="138"/>
      <x:c r="BM27" s="138" t="n">
        <x:f>IFERROR(DF27*$DJ27/$F27,0)</x:f>
        <x:v>0</x:v>
      </x:c>
      <x:c r="BN27" s="138"/>
      <x:c r="BO27" s="138"/>
      <x:c r="BP27" s="138"/>
      <x:c r="BQ27" s="138"/>
      <x:c r="BR27" s="138"/>
      <x:c r="BS27" s="138"/>
      <x:c r="BT27" s="138"/>
      <x:c r="BU27" s="138"/>
      <x:c r="BV27" s="138"/>
      <x:c r="BW27" s="138"/>
      <x:c r="BX27" s="138" t="n">
        <x:f>IFERROR(DG27*$DJ27/$F27,0)</x:f>
        <x:v>0</x:v>
      </x:c>
      <x:c r="BY27" s="138"/>
      <x:c r="BZ27" s="138"/>
      <x:c r="CA27" s="138"/>
      <x:c r="CB27" s="138"/>
      <x:c r="CC27" s="138"/>
      <x:c r="CD27" s="138"/>
      <x:c r="CE27" s="138"/>
      <x:c r="CF27" s="138"/>
      <x:c r="CG27" s="138"/>
      <x:c r="CH27" s="138"/>
      <x:c r="CI27" s="138" t="n">
        <x:f>IFERROR(DH27*$DJ27/$F27,0)</x:f>
        <x:v>0</x:v>
      </x:c>
      <x:c r="CJ27" s="138"/>
      <x:c r="CK27" s="138"/>
      <x:c r="CL27" s="138"/>
      <x:c r="CM27" s="138"/>
      <x:c r="CN27" s="138"/>
      <x:c r="CO27" s="138"/>
      <x:c r="CP27" s="138"/>
      <x:c r="CQ27" s="138"/>
      <x:c r="CR27" s="138"/>
      <x:c r="CS27" s="138"/>
      <x:c r="CT27" s="138" t="n">
        <x:f>IFERROR(DI27*$DJ27/$F27,0)</x:f>
        <x:v>0</x:v>
      </x:c>
      <x:c r="CU27" s="138"/>
      <x:c r="CV27" s="138"/>
      <x:c r="CW27" s="138"/>
      <x:c r="CX27" s="138"/>
      <x:c r="CY27" s="138"/>
      <x:c r="CZ27" s="138"/>
      <x:c r="DA27" s="138"/>
      <x:c r="DB27" s="978" t="n">
        <x:v>160</x:v>
      </x:c>
      <x:c r="DC27" s="978" t="n">
        <x:v>20</x:v>
      </x:c>
      <x:c r="DD27" s="978"/>
      <x:c r="DE27" s="978"/>
      <x:c r="DF27" s="978"/>
      <x:c r="DG27" s="978"/>
      <x:c r="DH27" s="978"/>
      <x:c r="DI27" s="978"/>
      <x:c r="DJ27" s="980" t="n">
        <x:f>'S08_Defaults'!$B$37</x:f>
        <x:v>0.09</x:v>
      </x:c>
      <x:c r="DK27" s="979" t="n">
        <x:f>SUM(U27,AF27,AQ27,BB27,BM27,BX27,CI27,CT27)</x:f>
        <x:v>45.02501389660922</x:v>
      </x:c>
      <x:c r="DL27" s="979" t="n">
        <x:f>G27*DJ27</x:f>
        <x:v>45.0252</x:v>
      </x:c>
      <x:c r="DM27" s="979" t="n">
        <x:f>DK27-DL27</x:f>
        <x:v>-0.00018610339078151128</x:v>
      </x:c>
      <x:c r="DN27" s="977" t="str">
        <x:f>IF(ABS(DM27)&lt;=MAX(0.5,0.05*ABS(DL27)),"OK","REVIEW")</x:f>
        <x:v>OK</x:v>
      </x:c>
    </x:row>
    <x:row r="28" ht="15" hidden="0" customHeight="1">
      <x:c r="A28" s="138" t="s">
        <x:v>611</x:v>
      </x:c>
      <x:c r="B28" s="138" t="str">
        <x:v>Tropical &amp; Subtropical Dry Broadleaf Forests</x:v>
      </x:c>
      <x:c r="C28" s="138" t="s">
        <x:v>112</x:v>
      </x:c>
      <x:c r="D28" s="138" t="s">
        <x:v>549</x:v>
      </x:c>
      <x:c r="E28" s="138" t="n">
        <x:v>2021</x:v>
      </x:c>
      <x:c r="F28" s="138" t="n">
        <x:v>0.857</x:v>
      </x:c>
      <x:c r="G28" s="138" t="n">
        <x:v>162.19</x:v>
      </x:c>
      <x:c r="H28" s="138" t="s">
        <x:v>906</x:v>
      </x:c>
      <x:c r="I28" s="138" t="s">
        <x:v>613</x:v>
      </x:c>
      <x:c r="J28" s="139" t="n">
        <x:f aca="0">IF($E28="Unconfirmed","",IFERROR(SUMIF(S15_Source_Strata!$B$4:$B$49,$I28,S15_Source_Strata!$H$4:$H$49),""))</x:f>
        <x:v>16.770071902101677</x:v>
      </x:c>
      <x:c r="K28" s="139" t="n">
        <x:f aca="0">IF($E28="Unconfirmed","",IFERROR(SUMIF(S15_Source_Strata!$B$4:$B$49,$I28,S15_Source_Strata!$I$4:$I$49),""))</x:f>
        <x:v>12.0982342788048</x:v>
      </x:c>
      <x:c r="L28" s="139" t="n">
        <x:f aca="0">IF($E28="Unconfirmed","",IFERROR(SUMIF(S15_Source_Strata!$B$4:$B$49,$I28,S15_Source_Strata!$J$4:$J$49),""))</x:f>
        <x:v>0.721418151897644</x:v>
      </x:c>
      <x:c r="M28" s="139" t="n">
        <x:f aca="0">IF($E28="Unconfirmed","",IFERROR(SUMIF(S15_Source_Strata!$B$4:$B$49,$I28,S15_Source_Strata!$N$4:$N$49),""))</x:f>
        <x:v>12.577553926576257</x:v>
      </x:c>
      <x:c r="N28" s="139" t="n">
        <x:f aca="0">IF($E28="Unconfirmed","",IFERROR(SUMIF(S15_Source_Strata!$B$4:$B$49,$I28,S15_Source_Strata!$O$4:$O$49),""))</x:f>
        <x:v>0.75</x:v>
      </x:c>
      <x:c r="O28" s="139" t="n">
        <x:f aca="0">IF($E28="Unconfirmed","",IFERROR(SUMIF(S15_Source_Strata!$B$4:$B$49,$I28,S15_Source_Strata!$X$4:$X$49),""))</x:f>
        <x:v>26.87739423749838</x:v>
      </x:c>
      <x:c r="P28" s="139" t="n">
        <x:f aca="0">IF($E28="Unconfirmed","",IFERROR(SUMIF(S15_Source_Strata!$B$4:$B$49,$I28,S15_Source_Strata!$AL$4:$AL$49),""))</x:f>
        <x:v>257.53545652664155</x:v>
      </x:c>
      <x:c r="Q28" s="139" t="str">
        <x:f aca="0">IF($E28="Unconfirmed","",IFERROR(SUMIF(S15_Source_Strata!$B$4:$B$49,$I28,S15_Source_Strata!$K$4:$K$49)&amp;"/"&amp;SUMIF(S15_Source_Strata!$B$4:$B$49,$I28,S15_Source_Strata!$L$4:$L$49),""))</x:f>
        <x:v>1/4</x:v>
      </x:c>
      <x:c r="R28" s="138" t="s">
        <x:v>579</x:v>
      </x:c>
      <x:c r="S28" s="138" t="s">
        <x:v>842</x:v>
      </x:c>
      <x:c r="T28" s="138" t="s">
        <x:v>841</x:v>
      </x:c>
      <x:c r="U28" s="138" t="n">
        <x:f>IFERROR(DB28*$DJ28/$F28,0)</x:f>
        <x:v>1.9953325554259043</x:v>
      </x:c>
      <x:c r="V28" s="138" t="n">
        <x:v>0.6</x:v>
      </x:c>
      <x:c r="W28" s="138" t="n">
        <x:v>45</x:v>
      </x:c>
      <x:c r="X28" s="138" t="n">
        <x:v>0.12</x:v>
      </x:c>
      <x:c r="Y28" s="138" t="n">
        <x:v>1.4</x:v>
      </x:c>
      <x:c r="Z28" s="138" t="n">
        <x:v>14</x:v>
      </x:c>
      <x:c r="AA28" s="138" t="n">
        <x:v>0.18</x:v>
      </x:c>
      <x:c r="AB28" s="138" t="n">
        <x:v>1.3</x:v>
      </x:c>
      <x:c r="AC28" s="138" t="s">
        <x:v>858</x:v>
      </x:c>
      <x:c r="AD28" s="138" t="s">
        <x:v>859</x:v>
      </x:c>
      <x:c r="AE28" s="138" t="s">
        <x:v>841</x:v>
      </x:c>
      <x:c r="AF28" s="138" t="n">
        <x:f>IFERROR(DC28*$DJ28/$F28,0)</x:f>
        <x:v>2.100350058343057</x:v>
      </x:c>
      <x:c r="AG28" s="138" t="n">
        <x:v>0.6</x:v>
      </x:c>
      <x:c r="AH28" s="138" t="n">
        <x:v>25</x:v>
      </x:c>
      <x:c r="AI28" s="138" t="n">
        <x:v>0.18</x:v>
      </x:c>
      <x:c r="AJ28" s="138" t="n">
        <x:v>1.5</x:v>
      </x:c>
      <x:c r="AK28" s="138" t="n">
        <x:v>8</x:v>
      </x:c>
      <x:c r="AL28" s="138" t="n">
        <x:v>0.25</x:v>
      </x:c>
      <x:c r="AM28" s="138" t="n">
        <x:v>1.4</x:v>
      </x:c>
      <x:c r="AN28" s="138" t="s">
        <x:v>660</x:v>
      </x:c>
      <x:c r="AO28" s="138" t="s">
        <x:v>875</x:v>
      </x:c>
      <x:c r="AP28" s="138" t="s">
        <x:v>841</x:v>
      </x:c>
      <x:c r="AQ28" s="138" t="n">
        <x:f>IFERROR(DD28*$DJ28/$F28,0)</x:f>
        <x:v>10.501750291715286</x:v>
      </x:c>
      <x:c r="AR28" s="138" t="n">
        <x:v>0.58</x:v>
      </x:c>
      <x:c r="AS28" s="138" t="n">
        <x:v>55</x:v>
      </x:c>
      <x:c r="AT28" s="138" t="n">
        <x:v>0.16</x:v>
      </x:c>
      <x:c r="AU28" s="138" t="n">
        <x:v>1.3</x:v>
      </x:c>
      <x:c r="AV28" s="138" t="n">
        <x:v>25</x:v>
      </x:c>
      <x:c r="AW28" s="138" t="n">
        <x:v>0.2</x:v>
      </x:c>
      <x:c r="AX28" s="138" t="n">
        <x:v>1.2</x:v>
      </x:c>
      <x:c r="AY28" s="138"/>
      <x:c r="AZ28" s="138"/>
      <x:c r="BA28" s="138"/>
      <x:c r="BB28" s="138" t="n">
        <x:f>IFERROR(DE28*$DJ28/$F28,0)</x:f>
        <x:v>0</x:v>
      </x:c>
      <x:c r="BC28" s="138"/>
      <x:c r="BD28" s="138"/>
      <x:c r="BE28" s="138"/>
      <x:c r="BF28" s="138"/>
      <x:c r="BG28" s="138"/>
      <x:c r="BH28" s="138"/>
      <x:c r="BI28" s="138"/>
      <x:c r="BJ28" s="138"/>
      <x:c r="BK28" s="138"/>
      <x:c r="BL28" s="138"/>
      <x:c r="BM28" s="138" t="n">
        <x:f>IFERROR(DF28*$DJ28/$F28,0)</x:f>
        <x:v>0</x:v>
      </x:c>
      <x:c r="BN28" s="138"/>
      <x:c r="BO28" s="138"/>
      <x:c r="BP28" s="138"/>
      <x:c r="BQ28" s="138"/>
      <x:c r="BR28" s="138"/>
      <x:c r="BS28" s="138"/>
      <x:c r="BT28" s="138"/>
      <x:c r="BU28" s="138"/>
      <x:c r="BV28" s="138"/>
      <x:c r="BW28" s="138"/>
      <x:c r="BX28" s="138" t="n">
        <x:f>IFERROR(DG28*$DJ28/$F28,0)</x:f>
        <x:v>0</x:v>
      </x:c>
      <x:c r="BY28" s="138"/>
      <x:c r="BZ28" s="138"/>
      <x:c r="CA28" s="138"/>
      <x:c r="CB28" s="138"/>
      <x:c r="CC28" s="138"/>
      <x:c r="CD28" s="138"/>
      <x:c r="CE28" s="138"/>
      <x:c r="CF28" s="138"/>
      <x:c r="CG28" s="138"/>
      <x:c r="CH28" s="138"/>
      <x:c r="CI28" s="138" t="n">
        <x:f>IFERROR(DH28*$DJ28/$F28,0)</x:f>
        <x:v>0</x:v>
      </x:c>
      <x:c r="CJ28" s="138"/>
      <x:c r="CK28" s="138"/>
      <x:c r="CL28" s="138"/>
      <x:c r="CM28" s="138"/>
      <x:c r="CN28" s="138"/>
      <x:c r="CO28" s="138"/>
      <x:c r="CP28" s="138"/>
      <x:c r="CQ28" s="138"/>
      <x:c r="CR28" s="138"/>
      <x:c r="CS28" s="138"/>
      <x:c r="CT28" s="138" t="n">
        <x:f>IFERROR(DI28*$DJ28/$F28,0)</x:f>
        <x:v>0</x:v>
      </x:c>
      <x:c r="CU28" s="138"/>
      <x:c r="CV28" s="138"/>
      <x:c r="CW28" s="138"/>
      <x:c r="CX28" s="138"/>
      <x:c r="CY28" s="138"/>
      <x:c r="CZ28" s="138"/>
      <x:c r="DA28" s="138"/>
      <x:c r="DB28" s="978" t="n">
        <x:v>19</x:v>
      </x:c>
      <x:c r="DC28" s="978" t="n">
        <x:v>20</x:v>
      </x:c>
      <x:c r="DD28" s="978" t="n">
        <x:v>100</x:v>
      </x:c>
      <x:c r="DE28" s="978"/>
      <x:c r="DF28" s="978"/>
      <x:c r="DG28" s="978"/>
      <x:c r="DH28" s="978"/>
      <x:c r="DI28" s="978"/>
      <x:c r="DJ28" s="980" t="n">
        <x:f>'S08_Defaults'!$B$37</x:f>
        <x:v>0.09</x:v>
      </x:c>
      <x:c r="DK28" s="979" t="n">
        <x:f>SUM(U28,AF28,AQ28,BB28,BM28,BX28,CI28,CT28)</x:f>
        <x:v>14.597432905484247</x:v>
      </x:c>
      <x:c r="DL28" s="979" t="n">
        <x:f>G28*DJ28</x:f>
        <x:v>14.5971</x:v>
      </x:c>
      <x:c r="DM28" s="979" t="n">
        <x:f>DK28-DL28</x:f>
        <x:v>0.000332905484247803</x:v>
      </x:c>
      <x:c r="DN28" s="977" t="str">
        <x:f>IF(ABS(DM28)&lt;=MAX(0.5,0.05*ABS(DL28)),"OK","REVIEW")</x:f>
        <x:v>OK</x:v>
      </x:c>
    </x:row>
    <x:row r="29" ht="15" hidden="0" customHeight="1">
      <x:c r="A29" s="138" t="s">
        <x:v>614</x:v>
      </x:c>
      <x:c r="B29" s="138" t="str">
        <x:v>Deserts &amp; Xeric Shrublands</x:v>
      </x:c>
      <x:c r="C29" s="138" t="s">
        <x:v>112</x:v>
      </x:c>
      <x:c r="D29" s="138" t="s">
        <x:v>553</x:v>
      </x:c>
      <x:c r="E29" s="138" t="n">
        <x:v>2021</x:v>
      </x:c>
      <x:c r="F29" s="138" t="n">
        <x:v>2.023</x:v>
      </x:c>
      <x:c r="G29" s="138" t="n">
        <x:v>449.83</x:v>
      </x:c>
      <x:c r="H29" s="138" t="s">
        <x:v>907</x:v>
      </x:c>
      <x:c r="I29" s="138" t="s">
        <x:v>616</x:v>
      </x:c>
      <x:c r="J29" s="139" t="n">
        <x:f aca="0">IF($E29="Unconfirmed","",IFERROR(SUMIF(S15_Source_Strata!$B$4:$B$49,$I29,S15_Source_Strata!$H$4:$H$49),""))</x:f>
        <x:v>16.079595224116982</x:v>
      </x:c>
      <x:c r="K29" s="139" t="n">
        <x:f aca="0">IF($E29="Unconfirmed","",IFERROR(SUMIF(S15_Source_Strata!$B$4:$B$49,$I29,S15_Source_Strata!$I$4:$I$49),""))</x:f>
        <x:v>7.409984330522331</x:v>
      </x:c>
      <x:c r="L29" s="139" t="n">
        <x:f aca="0">IF($E29="Unconfirmed","",IFERROR(SUMIF(S15_Source_Strata!$B$4:$B$49,$I29,S15_Source_Strata!$J$4:$J$49),""))</x:f>
        <x:v>0.4608315213935526</x:v>
      </x:c>
      <x:c r="M29" s="139" t="n">
        <x:f aca="0">IF($E29="Unconfirmed","",IFERROR(SUMIF(S15_Source_Strata!$B$4:$B$49,$I29,S15_Source_Strata!$N$4:$N$49),""))</x:f>
        <x:v>12.059696418087736</x:v>
      </x:c>
      <x:c r="N29" s="139" t="n">
        <x:f aca="0">IF($E29="Unconfirmed","",IFERROR(SUMIF(S15_Source_Strata!$B$4:$B$49,$I29,S15_Source_Strata!$O$4:$O$49),""))</x:f>
        <x:v>0.75</x:v>
      </x:c>
      <x:c r="O29" s="139" t="n">
        <x:f aca="0">IF($E29="Unconfirmed","",IFERROR(SUMIF(S15_Source_Strata!$B$4:$B$49,$I29,S15_Source_Strata!$X$4:$X$49),""))</x:f>
        <x:v>25.770767265692307</x:v>
      </x:c>
      <x:c r="P29" s="139" t="n">
        <x:f aca="0">IF($E29="Unconfirmed","",IFERROR(SUMIF(S15_Source_Strata!$B$4:$B$49,$I29,S15_Source_Strata!$AL$4:$AL$49),""))</x:f>
        <x:v>258.94448483826704</x:v>
      </x:c>
      <x:c r="Q29" s="139" t="str">
        <x:f aca="0">IF($E29="Unconfirmed","",IFERROR(SUMIF(S15_Source_Strata!$B$4:$B$49,$I29,S15_Source_Strata!$K$4:$K$49)&amp;"/"&amp;SUMIF(S15_Source_Strata!$B$4:$B$49,$I29,S15_Source_Strata!$L$4:$L$49),""))</x:f>
        <x:v>2/9</x:v>
      </x:c>
      <x:c r="R29" s="138" t="s">
        <x:v>848</x:v>
      </x:c>
      <x:c r="S29" s="138" t="s">
        <x:v>849</x:v>
      </x:c>
      <x:c r="T29" s="138" t="s">
        <x:v>841</x:v>
      </x:c>
      <x:c r="U29" s="138" t="n">
        <x:f>IFERROR(DB29*$DJ29/$F29,0)</x:f>
        <x:v>40.03954522985664</x:v>
      </x:c>
      <x:c r="V29" s="138" t="n">
        <x:v>0.6</x:v>
      </x:c>
      <x:c r="W29" s="138" t="n">
        <x:v>25</x:v>
      </x:c>
      <x:c r="X29" s="138" t="n">
        <x:v>0.18</x:v>
      </x:c>
      <x:c r="Y29" s="138" t="n">
        <x:v>1.5</x:v>
      </x:c>
      <x:c r="Z29" s="138" t="n">
        <x:v>8</x:v>
      </x:c>
      <x:c r="AA29" s="138" t="n">
        <x:v>0.25</x:v>
      </x:c>
      <x:c r="AB29" s="138" t="n">
        <x:v>1.4</x:v>
      </x:c>
      <x:c r="AC29" s="138" t="s">
        <x:v>670</x:v>
      </x:c>
      <x:c r="AD29" s="138" t="s">
        <x:v>877</x:v>
      </x:c>
      <x:c r="AE29" s="138" t="s">
        <x:v>841</x:v>
      </x:c>
      <x:c r="AF29" s="138" t="n">
        <x:f>IFERROR(DC29*$DJ29/$F29,0)</x:f>
        <x:v>0.889767671774592</x:v>
      </x:c>
      <x:c r="AG29" s="138" t="n">
        <x:v>0.55</x:v>
      </x:c>
      <x:c r="AH29" s="138" t="n">
        <x:v>50</x:v>
      </x:c>
      <x:c r="AI29" s="138" t="n">
        <x:v>0.12</x:v>
      </x:c>
      <x:c r="AJ29" s="138" t="n">
        <x:v>1.4</x:v>
      </x:c>
      <x:c r="AK29" s="138" t="n">
        <x:v>25</x:v>
      </x:c>
      <x:c r="AL29" s="138" t="n">
        <x:v>0.15</x:v>
      </x:c>
      <x:c r="AM29" s="138" t="n">
        <x:v>1.3</x:v>
      </x:c>
      <x:c r="AN29" s="138" t="s">
        <x:v>851</x:v>
      </x:c>
      <x:c r="AO29" s="138" t="s">
        <x:v>852</x:v>
      </x:c>
      <x:c r="AP29" s="138" t="s">
        <x:v>841</x:v>
      </x:c>
      <x:c r="AQ29" s="138" t="n">
        <x:f>IFERROR(DD29*$DJ29/$F29,0)</x:f>
        <x:v>0.444883835887296</x:v>
      </x:c>
      <x:c r="AR29" s="138" t="n">
        <x:v>0.65</x:v>
      </x:c>
      <x:c r="AS29" s="138" t="n">
        <x:v>35</x:v>
      </x:c>
      <x:c r="AT29" s="138" t="n">
        <x:v>0.13</x:v>
      </x:c>
      <x:c r="AU29" s="138" t="n">
        <x:v>1.4</x:v>
      </x:c>
      <x:c r="AV29" s="138" t="n">
        <x:v>15</x:v>
      </x:c>
      <x:c r="AW29" s="138" t="n">
        <x:v>0.18</x:v>
      </x:c>
      <x:c r="AX29" s="138" t="n">
        <x:v>1.3</x:v>
      </x:c>
      <x:c r="AY29" s="138" t="s">
        <x:v>579</x:v>
      </x:c>
      <x:c r="AZ29" s="138" t="s">
        <x:v>842</x:v>
      </x:c>
      <x:c r="BA29" s="138" t="s">
        <x:v>841</x:v>
      </x:c>
      <x:c r="BB29" s="138" t="n">
        <x:f>IFERROR(DE29*$DJ29/$F29,0)</x:f>
        <x:v>0.444883835887296</x:v>
      </x:c>
      <x:c r="BC29" s="138" t="n">
        <x:v>0.6</x:v>
      </x:c>
      <x:c r="BD29" s="138" t="n">
        <x:v>45</x:v>
      </x:c>
      <x:c r="BE29" s="138" t="n">
        <x:v>0.12</x:v>
      </x:c>
      <x:c r="BF29" s="138" t="n">
        <x:v>1.4</x:v>
      </x:c>
      <x:c r="BG29" s="138" t="n">
        <x:v>14</x:v>
      </x:c>
      <x:c r="BH29" s="138" t="n">
        <x:v>0.18</x:v>
      </x:c>
      <x:c r="BI29" s="138" t="n">
        <x:v>1.3</x:v>
      </x:c>
      <x:c r="BJ29" s="138"/>
      <x:c r="BK29" s="138"/>
      <x:c r="BL29" s="138"/>
      <x:c r="BM29" s="138" t="n">
        <x:f>IFERROR(DF29*$DJ29/$F29,0)</x:f>
        <x:v>0</x:v>
      </x:c>
      <x:c r="BN29" s="138"/>
      <x:c r="BO29" s="138"/>
      <x:c r="BP29" s="138"/>
      <x:c r="BQ29" s="138"/>
      <x:c r="BR29" s="138"/>
      <x:c r="BS29" s="138"/>
      <x:c r="BT29" s="138"/>
      <x:c r="BU29" s="138"/>
      <x:c r="BV29" s="138"/>
      <x:c r="BW29" s="138"/>
      <x:c r="BX29" s="138" t="n">
        <x:f>IFERROR(DG29*$DJ29/$F29,0)</x:f>
        <x:v>0</x:v>
      </x:c>
      <x:c r="BY29" s="138"/>
      <x:c r="BZ29" s="138"/>
      <x:c r="CA29" s="138"/>
      <x:c r="CB29" s="138"/>
      <x:c r="CC29" s="138"/>
      <x:c r="CD29" s="138"/>
      <x:c r="CE29" s="138"/>
      <x:c r="CF29" s="138"/>
      <x:c r="CG29" s="138"/>
      <x:c r="CH29" s="138"/>
      <x:c r="CI29" s="138" t="n">
        <x:f>IFERROR(DH29*$DJ29/$F29,0)</x:f>
        <x:v>0</x:v>
      </x:c>
      <x:c r="CJ29" s="138"/>
      <x:c r="CK29" s="138"/>
      <x:c r="CL29" s="138"/>
      <x:c r="CM29" s="138"/>
      <x:c r="CN29" s="138"/>
      <x:c r="CO29" s="138"/>
      <x:c r="CP29" s="138"/>
      <x:c r="CQ29" s="138"/>
      <x:c r="CR29" s="138"/>
      <x:c r="CS29" s="138"/>
      <x:c r="CT29" s="138" t="n">
        <x:f>IFERROR(DI29*$DJ29/$F29,0)</x:f>
        <x:v>0</x:v>
      </x:c>
      <x:c r="CU29" s="138"/>
      <x:c r="CV29" s="138"/>
      <x:c r="CW29" s="138"/>
      <x:c r="CX29" s="138"/>
      <x:c r="CY29" s="138"/>
      <x:c r="CZ29" s="138"/>
      <x:c r="DA29" s="138"/>
      <x:c r="DB29" s="978" t="n">
        <x:v>900</x:v>
      </x:c>
      <x:c r="DC29" s="978" t="n">
        <x:v>20</x:v>
      </x:c>
      <x:c r="DD29" s="978" t="n">
        <x:v>10</x:v>
      </x:c>
      <x:c r="DE29" s="978" t="n">
        <x:v>10</x:v>
      </x:c>
      <x:c r="DF29" s="978"/>
      <x:c r="DG29" s="978"/>
      <x:c r="DH29" s="978"/>
      <x:c r="DI29" s="978"/>
      <x:c r="DJ29" s="980" t="n">
        <x:f>'S08_Defaults'!$B$37</x:f>
        <x:v>0.09</x:v>
      </x:c>
      <x:c r="DK29" s="979" t="n">
        <x:f>SUM(U29,AF29,AQ29,BB29,BM29,BX29,CI29,CT29)</x:f>
        <x:v>41.81908057340583</x:v>
      </x:c>
      <x:c r="DL29" s="979" t="n">
        <x:f>G29*DJ29</x:f>
        <x:v>40.4847</x:v>
      </x:c>
      <x:c r="DM29" s="979" t="n">
        <x:f>DK29-DL29</x:f>
        <x:v>1.3343805734058307</x:v>
      </x:c>
      <x:c r="DN29" s="977" t="str">
        <x:f>IF(ABS(DM29)&lt;=MAX(0.5,0.05*ABS(DL29)),"OK","REVIEW")</x:f>
        <x:v>OK</x:v>
      </x:c>
    </x:row>
    <x:row r="30" ht="15" hidden="0" customHeight="1">
      <x:c r="A30" s="138" t="s">
        <x:v>617</x:v>
      </x:c>
      <x:c r="B30" s="138" t="str">
        <x:v>Tropical &amp; Subtropical Dry Broadleaf Forests</x:v>
      </x:c>
      <x:c r="C30" s="138" t="s">
        <x:v>112</x:v>
      </x:c>
      <x:c r="D30" s="138" t="s">
        <x:v>553</x:v>
      </x:c>
      <x:c r="E30" s="138" t="n">
        <x:v>2021</x:v>
      </x:c>
      <x:c r="F30" s="138" t="n">
        <x:v>2.288</x:v>
      </x:c>
      <x:c r="G30" s="138" t="n">
        <x:v>629.37</x:v>
      </x:c>
      <x:c r="H30" s="138" t="s">
        <x:v>908</x:v>
      </x:c>
      <x:c r="I30" s="138" t="s">
        <x:v>616</x:v>
      </x:c>
      <x:c r="J30" s="139" t="n">
        <x:f aca="0">IF($E30="Unconfirmed","",IFERROR(SUMIF(S15_Source_Strata!$B$4:$B$49,$I30,S15_Source_Strata!$H$4:$H$49),""))</x:f>
        <x:v>16.079595224116982</x:v>
      </x:c>
      <x:c r="K30" s="139" t="n">
        <x:f aca="0">IF($E30="Unconfirmed","",IFERROR(SUMIF(S15_Source_Strata!$B$4:$B$49,$I30,S15_Source_Strata!$I$4:$I$49),""))</x:f>
        <x:v>7.409984330522331</x:v>
      </x:c>
      <x:c r="L30" s="139" t="n">
        <x:f aca="0">IF($E30="Unconfirmed","",IFERROR(SUMIF(S15_Source_Strata!$B$4:$B$49,$I30,S15_Source_Strata!$J$4:$J$49),""))</x:f>
        <x:v>0.4608315213935526</x:v>
      </x:c>
      <x:c r="M30" s="139" t="n">
        <x:f aca="0">IF($E30="Unconfirmed","",IFERROR(SUMIF(S15_Source_Strata!$B$4:$B$49,$I30,S15_Source_Strata!$N$4:$N$49),""))</x:f>
        <x:v>12.059696418087736</x:v>
      </x:c>
      <x:c r="N30" s="139" t="n">
        <x:f aca="0">IF($E30="Unconfirmed","",IFERROR(SUMIF(S15_Source_Strata!$B$4:$B$49,$I30,S15_Source_Strata!$O$4:$O$49),""))</x:f>
        <x:v>0.75</x:v>
      </x:c>
      <x:c r="O30" s="139" t="n">
        <x:f aca="0">IF($E30="Unconfirmed","",IFERROR(SUMIF(S15_Source_Strata!$B$4:$B$49,$I30,S15_Source_Strata!$X$4:$X$49),""))</x:f>
        <x:v>25.770767265692307</x:v>
      </x:c>
      <x:c r="P30" s="139" t="n">
        <x:f aca="0">IF($E30="Unconfirmed","",IFERROR(SUMIF(S15_Source_Strata!$B$4:$B$49,$I30,S15_Source_Strata!$AL$4:$AL$49),""))</x:f>
        <x:v>258.94448483826704</x:v>
      </x:c>
      <x:c r="Q30" s="139" t="str">
        <x:f aca="0">IF($E30="Unconfirmed","",IFERROR(SUMIF(S15_Source_Strata!$B$4:$B$49,$I30,S15_Source_Strata!$K$4:$K$49)&amp;"/"&amp;SUMIF(S15_Source_Strata!$B$4:$B$49,$I30,S15_Source_Strata!$L$4:$L$49),""))</x:f>
        <x:v>2/9</x:v>
      </x:c>
      <x:c r="R30" s="138" t="s">
        <x:v>656</x:v>
      </x:c>
      <x:c r="S30" s="138" t="s">
        <x:v>903</x:v>
      </x:c>
      <x:c r="T30" s="138" t="s">
        <x:v>841</x:v>
      </x:c>
      <x:c r="U30" s="138" t="n">
        <x:f>IFERROR(DB30*$DJ30/$F30,0)</x:f>
        <x:v>11.800699300699302</x:v>
      </x:c>
      <x:c r="V30" s="138" t="n">
        <x:v>0.75</x:v>
      </x:c>
      <x:c r="W30" s="138" t="n">
        <x:v>25</x:v>
      </x:c>
      <x:c r="X30" s="138" t="n">
        <x:v>0.1</x:v>
      </x:c>
      <x:c r="Y30" s="138" t="n">
        <x:v>1.5</x:v>
      </x:c>
      <x:c r="Z30" s="138" t="n">
        <x:v>12</x:v>
      </x:c>
      <x:c r="AA30" s="138" t="n">
        <x:v>0.14</x:v>
      </x:c>
      <x:c r="AB30" s="138" t="n">
        <x:v>1.4</x:v>
      </x:c>
      <x:c r="AC30" s="138" t="s">
        <x:v>579</x:v>
      </x:c>
      <x:c r="AD30" s="138" t="s">
        <x:v>842</x:v>
      </x:c>
      <x:c r="AE30" s="138" t="s">
        <x:v>841</x:v>
      </x:c>
      <x:c r="AF30" s="138" t="n">
        <x:f>IFERROR(DC30*$DJ30/$F30,0)</x:f>
        <x:v>1.5734265734265733</x:v>
      </x:c>
      <x:c r="AG30" s="138" t="n">
        <x:v>0.6</x:v>
      </x:c>
      <x:c r="AH30" s="138" t="n">
        <x:v>45</x:v>
      </x:c>
      <x:c r="AI30" s="138" t="n">
        <x:v>0.12</x:v>
      </x:c>
      <x:c r="AJ30" s="138" t="n">
        <x:v>1.4</x:v>
      </x:c>
      <x:c r="AK30" s="138" t="n">
        <x:v>14</x:v>
      </x:c>
      <x:c r="AL30" s="138" t="n">
        <x:v>0.18</x:v>
      </x:c>
      <x:c r="AM30" s="138" t="n">
        <x:v>1.3</x:v>
      </x:c>
      <x:c r="AN30" s="138" t="s">
        <x:v>851</x:v>
      </x:c>
      <x:c r="AO30" s="138" t="s">
        <x:v>852</x:v>
      </x:c>
      <x:c r="AP30" s="138" t="s">
        <x:v>841</x:v>
      </x:c>
      <x:c r="AQ30" s="138" t="n">
        <x:f>IFERROR(DD30*$DJ30/$F30,0)</x:f>
        <x:v>39.33566433566434</x:v>
      </x:c>
      <x:c r="AR30" s="138" t="n">
        <x:v>0.65</x:v>
      </x:c>
      <x:c r="AS30" s="138" t="n">
        <x:v>35</x:v>
      </x:c>
      <x:c r="AT30" s="138" t="n">
        <x:v>0.13</x:v>
      </x:c>
      <x:c r="AU30" s="138" t="n">
        <x:v>1.4</x:v>
      </x:c>
      <x:c r="AV30" s="138" t="n">
        <x:v>15</x:v>
      </x:c>
      <x:c r="AW30" s="138" t="n">
        <x:v>0.18</x:v>
      </x:c>
      <x:c r="AX30" s="138" t="n">
        <x:v>1.3</x:v>
      </x:c>
      <x:c r="AY30" s="138" t="s">
        <x:v>858</x:v>
      </x:c>
      <x:c r="AZ30" s="138" t="s">
        <x:v>859</x:v>
      </x:c>
      <x:c r="BA30" s="138" t="s">
        <x:v>841</x:v>
      </x:c>
      <x:c r="BB30" s="138" t="n">
        <x:f>IFERROR(DE30*$DJ30/$F30,0)</x:f>
        <x:v>1.9667832167832169</x:v>
      </x:c>
      <x:c r="BC30" s="138" t="n">
        <x:v>0.6</x:v>
      </x:c>
      <x:c r="BD30" s="138" t="n">
        <x:v>25</x:v>
      </x:c>
      <x:c r="BE30" s="138" t="n">
        <x:v>0.18</x:v>
      </x:c>
      <x:c r="BF30" s="138" t="n">
        <x:v>1.5</x:v>
      </x:c>
      <x:c r="BG30" s="138" t="n">
        <x:v>8</x:v>
      </x:c>
      <x:c r="BH30" s="138" t="n">
        <x:v>0.25</x:v>
      </x:c>
      <x:c r="BI30" s="138" t="n">
        <x:v>1.4</x:v>
      </x:c>
      <x:c r="BJ30" s="138" t="s">
        <x:v>854</x:v>
      </x:c>
      <x:c r="BK30" s="138" t="s">
        <x:v>855</x:v>
      </x:c>
      <x:c r="BL30" s="138" t="s">
        <x:v>856</x:v>
      </x:c>
      <x:c r="BM30" s="138" t="n">
        <x:f>IFERROR(DF30*$DJ30/$F30,0)</x:f>
        <x:v>1.9667832167832169</x:v>
      </x:c>
      <x:c r="BN30" s="138" t="n">
        <x:v>0.65</x:v>
      </x:c>
      <x:c r="BO30" s="138" t="n">
        <x:v>35</x:v>
      </x:c>
      <x:c r="BP30" s="138" t="n">
        <x:v>0.13</x:v>
      </x:c>
      <x:c r="BQ30" s="138" t="n">
        <x:v>1.4</x:v>
      </x:c>
      <x:c r="BR30" s="138" t="n">
        <x:v>15</x:v>
      </x:c>
      <x:c r="BS30" s="138" t="n">
        <x:v>0.18</x:v>
      </x:c>
      <x:c r="BT30" s="138" t="n">
        <x:v>1.3</x:v>
      </x:c>
      <x:c r="BU30" s="138"/>
      <x:c r="BV30" s="138"/>
      <x:c r="BW30" s="138"/>
      <x:c r="BX30" s="138" t="n">
        <x:f>IFERROR(DG30*$DJ30/$F30,0)</x:f>
        <x:v>0</x:v>
      </x:c>
      <x:c r="BY30" s="138"/>
      <x:c r="BZ30" s="138"/>
      <x:c r="CA30" s="138"/>
      <x:c r="CB30" s="138"/>
      <x:c r="CC30" s="138"/>
      <x:c r="CD30" s="138"/>
      <x:c r="CE30" s="138"/>
      <x:c r="CF30" s="138"/>
      <x:c r="CG30" s="138"/>
      <x:c r="CH30" s="138"/>
      <x:c r="CI30" s="138" t="n">
        <x:f>IFERROR(DH30*$DJ30/$F30,0)</x:f>
        <x:v>0</x:v>
      </x:c>
      <x:c r="CJ30" s="138"/>
      <x:c r="CK30" s="138"/>
      <x:c r="CL30" s="138"/>
      <x:c r="CM30" s="138"/>
      <x:c r="CN30" s="138"/>
      <x:c r="CO30" s="138"/>
      <x:c r="CP30" s="138"/>
      <x:c r="CQ30" s="138"/>
      <x:c r="CR30" s="138"/>
      <x:c r="CS30" s="138"/>
      <x:c r="CT30" s="138" t="n">
        <x:f>IFERROR(DI30*$DJ30/$F30,0)</x:f>
        <x:v>0</x:v>
      </x:c>
      <x:c r="CU30" s="138"/>
      <x:c r="CV30" s="138"/>
      <x:c r="CW30" s="138"/>
      <x:c r="CX30" s="138"/>
      <x:c r="CY30" s="138"/>
      <x:c r="CZ30" s="138"/>
      <x:c r="DA30" s="138"/>
      <x:c r="DB30" s="978" t="n">
        <x:v>300</x:v>
      </x:c>
      <x:c r="DC30" s="978" t="n">
        <x:v>40</x:v>
      </x:c>
      <x:c r="DD30" s="978" t="n">
        <x:v>1000</x:v>
      </x:c>
      <x:c r="DE30" s="978" t="n">
        <x:v>50</x:v>
      </x:c>
      <x:c r="DF30" s="978" t="n">
        <x:v>50</x:v>
      </x:c>
      <x:c r="DG30" s="978"/>
      <x:c r="DH30" s="978"/>
      <x:c r="DI30" s="978"/>
      <x:c r="DJ30" s="980" t="n">
        <x:f>'S08_Defaults'!$B$37</x:f>
        <x:v>0.09</x:v>
      </x:c>
      <x:c r="DK30" s="979" t="n">
        <x:f>SUM(U30,AF30,AQ30,BB30,BM30,BX30,CI30,CT30)</x:f>
        <x:v>56.643356643356654</x:v>
      </x:c>
      <x:c r="DL30" s="979" t="n">
        <x:f>G30*DJ30</x:f>
        <x:v>56.643299999999996</x:v>
      </x:c>
      <x:c r="DM30" s="979" t="n">
        <x:f>DK30-DL30</x:f>
        <x:v>0.00005664335665755971</x:v>
      </x:c>
      <x:c r="DN30" s="977" t="str">
        <x:f>IF(ABS(DM30)&lt;=MAX(0.5,0.05*ABS(DL30)),"OK","REVIEW")</x:f>
        <x:v>OK</x:v>
      </x:c>
    </x:row>
    <x:row r="31" ht="15" hidden="0" customHeight="1">
      <x:c r="A31" s="138" t="s">
        <x:v>619</x:v>
      </x:c>
      <x:c r="B31" s="138" t="str">
        <x:v>Tropical &amp; Subtropical Moist Broadleaf Forests</x:v>
      </x:c>
      <x:c r="C31" s="138" t="s">
        <x:v>112</x:v>
      </x:c>
      <x:c r="D31" s="138" t="s">
        <x:v>549</x:v>
      </x:c>
      <x:c r="E31" s="138" t="n">
        <x:v>2022</x:v>
      </x:c>
      <x:c r="F31" s="138" t="n">
        <x:v>1.3742</x:v>
      </x:c>
      <x:c r="G31" s="138" t="n">
        <x:v>207.39</x:v>
      </x:c>
      <x:c r="H31" s="138" t="s">
        <x:v>909</x:v>
      </x:c>
      <x:c r="I31" s="138" t="s">
        <x:v>621</x:v>
      </x:c>
      <x:c r="J31" s="139" t="n">
        <x:f aca="0">IF($E31="Unconfirmed","",IFERROR(SUMIF(S15_Source_Strata!$B$4:$B$49,$I31,S15_Source_Strata!$H$4:$H$49),""))</x:f>
        <x:v>9.226232118707431</x:v>
      </x:c>
      <x:c r="K31" s="139" t="n">
        <x:f aca="0">IF($E31="Unconfirmed","",IFERROR(SUMIF(S15_Source_Strata!$B$4:$B$49,$I31,S15_Source_Strata!$I$4:$I$49),""))</x:f>
        <x:v>7.143725476008843</x:v>
      </x:c>
      <x:c r="L31" s="139" t="n">
        <x:f aca="0">IF($E31="Unconfirmed","",IFERROR(SUMIF(S15_Source_Strata!$B$4:$B$49,$I31,S15_Source_Strata!$J$4:$J$49),""))</x:f>
        <x:v>0.7742841697559262</x:v>
      </x:c>
      <x:c r="M31" s="139" t="n">
        <x:f aca="0">IF($E31="Unconfirmed","",IFERROR(SUMIF(S15_Source_Strata!$B$4:$B$49,$I31,S15_Source_Strata!$N$4:$N$49),""))</x:f>
        <x:v>6.919674089030574</x:v>
      </x:c>
      <x:c r="N31" s="139" t="n">
        <x:f aca="0">IF($E31="Unconfirmed","",IFERROR(SUMIF(S15_Source_Strata!$B$4:$B$49,$I31,S15_Source_Strata!$O$4:$O$49),""))</x:f>
        <x:v>0.75</x:v>
      </x:c>
      <x:c r="O31" s="139" t="n">
        <x:f aca="0">IF($E31="Unconfirmed","",IFERROR(SUMIF(S15_Source_Strata!$B$4:$B$49,$I31,S15_Source_Strata!$X$4:$X$49),""))</x:f>
        <x:v>14.786882216652412</x:v>
      </x:c>
      <x:c r="P31" s="139" t="n">
        <x:f aca="0">IF($E31="Unconfirmed","",IFERROR(SUMIF(S15_Source_Strata!$B$4:$B$49,$I31,S15_Source_Strata!$AL$4:$AL$49),""))</x:f>
        <x:v>246.97333409785028</x:v>
      </x:c>
      <x:c r="Q31" s="139" t="str">
        <x:f aca="0">IF($E31="Unconfirmed","",IFERROR(SUMIF(S15_Source_Strata!$B$4:$B$49,$I31,S15_Source_Strata!$K$4:$K$49)&amp;"/"&amp;SUMIF(S15_Source_Strata!$B$4:$B$49,$I31,S15_Source_Strata!$L$4:$L$49),""))</x:f>
        <x:v>1/4</x:v>
      </x:c>
      <x:c r="R31" s="138" t="s">
        <x:v>570</x:v>
      </x:c>
      <x:c r="S31" s="138" t="s">
        <x:v>840</x:v>
      </x:c>
      <x:c r="T31" s="138" t="s">
        <x:v>841</x:v>
      </x:c>
      <x:c r="U31" s="138" t="n">
        <x:f>IFERROR(DB31*$DJ31/$F31,0)</x:f>
        <x:v>0.9823897540387133</x:v>
      </x:c>
      <x:c r="V31" s="138" t="n">
        <x:v>0.5</x:v>
      </x:c>
      <x:c r="W31" s="138" t="n">
        <x:v>35</x:v>
      </x:c>
      <x:c r="X31" s="138" t="n">
        <x:v>0.14</x:v>
      </x:c>
      <x:c r="Y31" s="138" t="n">
        <x:v>1.4</x:v>
      </x:c>
      <x:c r="Z31" s="138" t="n">
        <x:v>12</x:v>
      </x:c>
      <x:c r="AA31" s="138" t="n">
        <x:v>0.2</x:v>
      </x:c>
      <x:c r="AB31" s="138" t="n">
        <x:v>1.3</x:v>
      </x:c>
      <x:c r="AC31" s="138" t="s">
        <x:v>579</x:v>
      </x:c>
      <x:c r="AD31" s="138" t="s">
        <x:v>842</x:v>
      </x:c>
      <x:c r="AE31" s="138" t="s">
        <x:v>841</x:v>
      </x:c>
      <x:c r="AF31" s="138" t="n">
        <x:f>IFERROR(DC31*$DJ31/$F31,0)</x:f>
        <x:v>3.9295590161548533</x:v>
      </x:c>
      <x:c r="AG31" s="138" t="n">
        <x:v>0.6</x:v>
      </x:c>
      <x:c r="AH31" s="138" t="n">
        <x:v>45</x:v>
      </x:c>
      <x:c r="AI31" s="138" t="n">
        <x:v>0.12</x:v>
      </x:c>
      <x:c r="AJ31" s="138" t="n">
        <x:v>1.4</x:v>
      </x:c>
      <x:c r="AK31" s="138" t="n">
        <x:v>14</x:v>
      </x:c>
      <x:c r="AL31" s="138" t="n">
        <x:v>0.18</x:v>
      </x:c>
      <x:c r="AM31" s="138" t="n">
        <x:v>1.3</x:v>
      </x:c>
      <x:c r="AN31" s="138" t="s">
        <x:v>670</x:v>
      </x:c>
      <x:c r="AO31" s="138" t="s">
        <x:v>877</x:v>
      </x:c>
      <x:c r="AP31" s="138" t="s">
        <x:v>841</x:v>
      </x:c>
      <x:c r="AQ31" s="138" t="n">
        <x:f>IFERROR(DD31*$DJ31/$F31,0)</x:f>
        <x:v>13.753456556541986</x:v>
      </x:c>
      <x:c r="AR31" s="138" t="n">
        <x:v>0.55</x:v>
      </x:c>
      <x:c r="AS31" s="138" t="n">
        <x:v>50</x:v>
      </x:c>
      <x:c r="AT31" s="138" t="n">
        <x:v>0.12</x:v>
      </x:c>
      <x:c r="AU31" s="138" t="n">
        <x:v>1.4</x:v>
      </x:c>
      <x:c r="AV31" s="138" t="n">
        <x:v>25</x:v>
      </x:c>
      <x:c r="AW31" s="138" t="n">
        <x:v>0.15</x:v>
      </x:c>
      <x:c r="AX31" s="138" t="n">
        <x:v>1.3</x:v>
      </x:c>
      <x:c r="AY31" s="138"/>
      <x:c r="AZ31" s="138"/>
      <x:c r="BA31" s="138"/>
      <x:c r="BB31" s="138" t="n">
        <x:f>IFERROR(DE31*$DJ31/$F31,0)</x:f>
        <x:v>0</x:v>
      </x:c>
      <x:c r="BC31" s="138"/>
      <x:c r="BD31" s="138"/>
      <x:c r="BE31" s="138"/>
      <x:c r="BF31" s="138"/>
      <x:c r="BG31" s="138"/>
      <x:c r="BH31" s="138"/>
      <x:c r="BI31" s="138"/>
      <x:c r="BJ31" s="138"/>
      <x:c r="BK31" s="138"/>
      <x:c r="BL31" s="138"/>
      <x:c r="BM31" s="138" t="n">
        <x:f>IFERROR(DF31*$DJ31/$F31,0)</x:f>
        <x:v>0</x:v>
      </x:c>
      <x:c r="BN31" s="138"/>
      <x:c r="BO31" s="138"/>
      <x:c r="BP31" s="138"/>
      <x:c r="BQ31" s="138"/>
      <x:c r="BR31" s="138"/>
      <x:c r="BS31" s="138"/>
      <x:c r="BT31" s="138"/>
      <x:c r="BU31" s="138"/>
      <x:c r="BV31" s="138"/>
      <x:c r="BW31" s="138"/>
      <x:c r="BX31" s="138" t="n">
        <x:f>IFERROR(DG31*$DJ31/$F31,0)</x:f>
        <x:v>0</x:v>
      </x:c>
      <x:c r="BY31" s="138"/>
      <x:c r="BZ31" s="138"/>
      <x:c r="CA31" s="138"/>
      <x:c r="CB31" s="138"/>
      <x:c r="CC31" s="138"/>
      <x:c r="CD31" s="138"/>
      <x:c r="CE31" s="138"/>
      <x:c r="CF31" s="138"/>
      <x:c r="CG31" s="138"/>
      <x:c r="CH31" s="138"/>
      <x:c r="CI31" s="138" t="n">
        <x:f>IFERROR(DH31*$DJ31/$F31,0)</x:f>
        <x:v>0</x:v>
      </x:c>
      <x:c r="CJ31" s="138"/>
      <x:c r="CK31" s="138"/>
      <x:c r="CL31" s="138"/>
      <x:c r="CM31" s="138"/>
      <x:c r="CN31" s="138"/>
      <x:c r="CO31" s="138"/>
      <x:c r="CP31" s="138"/>
      <x:c r="CQ31" s="138"/>
      <x:c r="CR31" s="138"/>
      <x:c r="CS31" s="138"/>
      <x:c r="CT31" s="138" t="n">
        <x:f>IFERROR(DI31*$DJ31/$F31,0)</x:f>
        <x:v>0</x:v>
      </x:c>
      <x:c r="CU31" s="138"/>
      <x:c r="CV31" s="138"/>
      <x:c r="CW31" s="138"/>
      <x:c r="CX31" s="138"/>
      <x:c r="CY31" s="138"/>
      <x:c r="CZ31" s="138"/>
      <x:c r="DA31" s="138"/>
      <x:c r="DB31" s="978" t="n">
        <x:v>15</x:v>
      </x:c>
      <x:c r="DC31" s="978" t="n">
        <x:v>60</x:v>
      </x:c>
      <x:c r="DD31" s="978" t="n">
        <x:v>210</x:v>
      </x:c>
      <x:c r="DE31" s="978"/>
      <x:c r="DF31" s="978"/>
      <x:c r="DG31" s="978"/>
      <x:c r="DH31" s="978"/>
      <x:c r="DI31" s="978"/>
      <x:c r="DJ31" s="980" t="n">
        <x:f>'S08_Defaults'!$B$37</x:f>
        <x:v>0.09</x:v>
      </x:c>
      <x:c r="DK31" s="979" t="n">
        <x:f>SUM(U31,AF31,AQ31,BB31,BM31,BX31,CI31,CT31)</x:f>
        <x:v>18.665405326735552</x:v>
      </x:c>
      <x:c r="DL31" s="979" t="n">
        <x:f>G31*DJ31</x:f>
        <x:v>18.6651</x:v>
      </x:c>
      <x:c r="DM31" s="979" t="n">
        <x:f>DK31-DL31</x:f>
        <x:v>0.0003053267355532796</x:v>
      </x:c>
      <x:c r="DN31" s="977" t="str">
        <x:f>IF(ABS(DM31)&lt;=MAX(0.5,0.05*ABS(DL31)),"OK","REVIEW")</x:f>
        <x:v>OK</x:v>
      </x:c>
    </x:row>
    <x:row r="32" ht="15" hidden="0" customHeight="1">
      <x:c r="A32" s="138" t="s">
        <x:v>622</x:v>
      </x:c>
      <x:c r="B32" s="138" t="str">
        <x:v>Tropical &amp; Subtropical Moist Broadleaf Forests</x:v>
      </x:c>
      <x:c r="C32" s="138" t="s">
        <x:v>112</x:v>
      </x:c>
      <x:c r="D32" s="138" t="s">
        <x:v>553</x:v>
      </x:c>
      <x:c r="E32" s="138" t="n">
        <x:v>2023</x:v>
      </x:c>
      <x:c r="F32" s="138" t="n">
        <x:v>0.607</x:v>
      </x:c>
      <x:c r="G32" s="138" t="n">
        <x:v>345.96</x:v>
      </x:c>
      <x:c r="H32" s="138" t="s">
        <x:v>910</x:v>
      </x:c>
      <x:c r="I32" s="138" t="s">
        <x:v>623</x:v>
      </x:c>
      <x:c r="J32" s="139" t="n">
        <x:f aca="0">IF($E32="Unconfirmed","",IFERROR(SUMIF(S15_Source_Strata!$B$4:$B$49,$I32,S15_Source_Strata!$H$4:$H$49),""))</x:f>
        <x:v>13.18747702275412</x:v>
      </x:c>
      <x:c r="K32" s="139" t="n">
        <x:f aca="0">IF($E32="Unconfirmed","",IFERROR(SUMIF(S15_Source_Strata!$B$4:$B$49,$I32,S15_Source_Strata!$I$4:$I$49),""))</x:f>
        <x:v>27.78345651803168</x:v>
      </x:c>
      <x:c r="L32" s="139" t="n">
        <x:f aca="0">IF($E32="Unconfirmed","",IFERROR(SUMIF(S15_Source_Strata!$B$4:$B$49,$I32,S15_Source_Strata!$J$4:$J$49),""))</x:f>
        <x:v>2.1068060607873034</x:v>
      </x:c>
      <x:c r="M32" s="139" t="n">
        <x:f aca="0">IF($E32="Unconfirmed","",IFERROR(SUMIF(S15_Source_Strata!$B$4:$B$49,$I32,S15_Source_Strata!$N$4:$N$49),""))</x:f>
        <x:v>9.890607767065589</x:v>
      </x:c>
      <x:c r="N32" s="139" t="n">
        <x:f aca="0">IF($E32="Unconfirmed","",IFERROR(SUMIF(S15_Source_Strata!$B$4:$B$49,$I32,S15_Source_Strata!$O$4:$O$49),""))</x:f>
        <x:v>0.7499999999999999</x:v>
      </x:c>
      <x:c r="O32" s="139" t="n">
        <x:f aca="0">IF($E32="Unconfirmed","",IFERROR(SUMIF(S15_Source_Strata!$B$4:$B$49,$I32,S15_Source_Strata!$X$4:$X$49),""))</x:f>
        <x:v>21.135569424368043</x:v>
      </x:c>
      <x:c r="P32" s="139" t="n">
        <x:f aca="0">IF($E32="Unconfirmed","",IFERROR(SUMIF(S15_Source_Strata!$B$4:$B$49,$I32,S15_Source_Strata!$AL$4:$AL$49),""))</x:f>
        <x:v>551.9644413483702</x:v>
      </x:c>
      <x:c r="Q32" s="139" t="str">
        <x:f aca="0">IF($E32="Unconfirmed","",IFERROR(SUMIF(S15_Source_Strata!$B$4:$B$49,$I32,S15_Source_Strata!$K$4:$K$49)&amp;"/"&amp;SUMIF(S15_Source_Strata!$B$4:$B$49,$I32,S15_Source_Strata!$L$4:$L$49),""))</x:f>
        <x:v>1/9</x:v>
      </x:c>
      <x:c r="R32" s="138" t="s">
        <x:v>570</x:v>
      </x:c>
      <x:c r="S32" s="138" t="s">
        <x:v>840</x:v>
      </x:c>
      <x:c r="T32" s="138" t="s">
        <x:v>841</x:v>
      </x:c>
      <x:c r="U32" s="138" t="n">
        <x:f>IFERROR(DB32*$DJ32/$F32,0)</x:f>
        <x:v>16.309719934102144</x:v>
      </x:c>
      <x:c r="V32" s="138" t="n">
        <x:v>0.5</x:v>
      </x:c>
      <x:c r="W32" s="138" t="n">
        <x:v>35</x:v>
      </x:c>
      <x:c r="X32" s="138" t="n">
        <x:v>0.14</x:v>
      </x:c>
      <x:c r="Y32" s="138" t="n">
        <x:v>1.4</x:v>
      </x:c>
      <x:c r="Z32" s="138" t="n">
        <x:v>12</x:v>
      </x:c>
      <x:c r="AA32" s="138" t="n">
        <x:v>0.2</x:v>
      </x:c>
      <x:c r="AB32" s="138" t="n">
        <x:v>1.3</x:v>
      </x:c>
      <x:c r="AC32" s="138" t="s">
        <x:v>579</x:v>
      </x:c>
      <x:c r="AD32" s="138" t="s">
        <x:v>842</x:v>
      </x:c>
      <x:c r="AE32" s="138" t="s">
        <x:v>841</x:v>
      </x:c>
      <x:c r="AF32" s="138" t="n">
        <x:f>IFERROR(DC32*$DJ32/$F32,0)</x:f>
        <x:v>5.930807248764415</x:v>
      </x:c>
      <x:c r="AG32" s="138" t="n">
        <x:v>0.6</x:v>
      </x:c>
      <x:c r="AH32" s="138" t="n">
        <x:v>45</x:v>
      </x:c>
      <x:c r="AI32" s="138" t="n">
        <x:v>0.12</x:v>
      </x:c>
      <x:c r="AJ32" s="138" t="n">
        <x:v>1.4</x:v>
      </x:c>
      <x:c r="AK32" s="138" t="n">
        <x:v>14</x:v>
      </x:c>
      <x:c r="AL32" s="138" t="n">
        <x:v>0.18</x:v>
      </x:c>
      <x:c r="AM32" s="138" t="n">
        <x:v>1.3</x:v>
      </x:c>
      <x:c r="AN32" s="138" t="s">
        <x:v>670</x:v>
      </x:c>
      <x:c r="AO32" s="138" t="s">
        <x:v>877</x:v>
      </x:c>
      <x:c r="AP32" s="138" t="s">
        <x:v>841</x:v>
      </x:c>
      <x:c r="AQ32" s="138" t="n">
        <x:f>IFERROR(DD32*$DJ32/$F32,0)</x:f>
        <x:v>8.896210873146622</x:v>
      </x:c>
      <x:c r="AR32" s="138" t="n">
        <x:v>0.55</x:v>
      </x:c>
      <x:c r="AS32" s="138" t="n">
        <x:v>50</x:v>
      </x:c>
      <x:c r="AT32" s="138" t="n">
        <x:v>0.12</x:v>
      </x:c>
      <x:c r="AU32" s="138" t="n">
        <x:v>1.4</x:v>
      </x:c>
      <x:c r="AV32" s="138" t="n">
        <x:v>25</x:v>
      </x:c>
      <x:c r="AW32" s="138" t="n">
        <x:v>0.15</x:v>
      </x:c>
      <x:c r="AX32" s="138" t="n">
        <x:v>1.3</x:v>
      </x:c>
      <x:c r="AY32" s="138"/>
      <x:c r="AZ32" s="138"/>
      <x:c r="BA32" s="138"/>
      <x:c r="BB32" s="138" t="n">
        <x:f>IFERROR(DE32*$DJ32/$F32,0)</x:f>
        <x:v>0</x:v>
      </x:c>
      <x:c r="BC32" s="138"/>
      <x:c r="BD32" s="138"/>
      <x:c r="BE32" s="138"/>
      <x:c r="BF32" s="138"/>
      <x:c r="BG32" s="138"/>
      <x:c r="BH32" s="138"/>
      <x:c r="BI32" s="138"/>
      <x:c r="BJ32" s="138"/>
      <x:c r="BK32" s="138"/>
      <x:c r="BL32" s="138"/>
      <x:c r="BM32" s="138" t="n">
        <x:f>IFERROR(DF32*$DJ32/$F32,0)</x:f>
        <x:v>0</x:v>
      </x:c>
      <x:c r="BN32" s="138"/>
      <x:c r="BO32" s="138"/>
      <x:c r="BP32" s="138"/>
      <x:c r="BQ32" s="138"/>
      <x:c r="BR32" s="138"/>
      <x:c r="BS32" s="138"/>
      <x:c r="BT32" s="138"/>
      <x:c r="BU32" s="138"/>
      <x:c r="BV32" s="138"/>
      <x:c r="BW32" s="138"/>
      <x:c r="BX32" s="138" t="n">
        <x:f>IFERROR(DG32*$DJ32/$F32,0)</x:f>
        <x:v>0</x:v>
      </x:c>
      <x:c r="BY32" s="138"/>
      <x:c r="BZ32" s="138"/>
      <x:c r="CA32" s="138"/>
      <x:c r="CB32" s="138"/>
      <x:c r="CC32" s="138"/>
      <x:c r="CD32" s="138"/>
      <x:c r="CE32" s="138"/>
      <x:c r="CF32" s="138"/>
      <x:c r="CG32" s="138"/>
      <x:c r="CH32" s="138"/>
      <x:c r="CI32" s="138" t="n">
        <x:f>IFERROR(DH32*$DJ32/$F32,0)</x:f>
        <x:v>0</x:v>
      </x:c>
      <x:c r="CJ32" s="138"/>
      <x:c r="CK32" s="138"/>
      <x:c r="CL32" s="138"/>
      <x:c r="CM32" s="138"/>
      <x:c r="CN32" s="138"/>
      <x:c r="CO32" s="138"/>
      <x:c r="CP32" s="138"/>
      <x:c r="CQ32" s="138"/>
      <x:c r="CR32" s="138"/>
      <x:c r="CS32" s="138"/>
      <x:c r="CT32" s="138" t="n">
        <x:f>IFERROR(DI32*$DJ32/$F32,0)</x:f>
        <x:v>0</x:v>
      </x:c>
      <x:c r="CU32" s="138"/>
      <x:c r="CV32" s="138"/>
      <x:c r="CW32" s="138"/>
      <x:c r="CX32" s="138"/>
      <x:c r="CY32" s="138"/>
      <x:c r="CZ32" s="138"/>
      <x:c r="DA32" s="138"/>
      <x:c r="DB32" s="978" t="n">
        <x:v>110</x:v>
      </x:c>
      <x:c r="DC32" s="978" t="n">
        <x:v>40</x:v>
      </x:c>
      <x:c r="DD32" s="978" t="n">
        <x:v>60</x:v>
      </x:c>
      <x:c r="DE32" s="978"/>
      <x:c r="DF32" s="978"/>
      <x:c r="DG32" s="978"/>
      <x:c r="DH32" s="978"/>
      <x:c r="DI32" s="978"/>
      <x:c r="DJ32" s="980" t="n">
        <x:f>'S08_Defaults'!$B$37</x:f>
        <x:v>0.09</x:v>
      </x:c>
      <x:c r="DK32" s="979" t="n">
        <x:f>SUM(U32,AF32,AQ32,BB32,BM32,BX32,CI32,CT32)</x:f>
        <x:v>31.13673805601318</x:v>
      </x:c>
      <x:c r="DL32" s="979" t="n">
        <x:f>G32*DJ32</x:f>
        <x:v>31.1364</x:v>
      </x:c>
      <x:c r="DM32" s="979" t="n">
        <x:f>DK32-DL32</x:f>
        <x:v>0.0003380560131809318</x:v>
      </x:c>
      <x:c r="DN32" s="977" t="str">
        <x:f>IF(ABS(DM32)&lt;=MAX(0.5,0.05*ABS(DL32)),"OK","REVIEW")</x:f>
        <x:v>OK</x:v>
      </x:c>
    </x:row>
    <x:row r="33" ht="15" hidden="0" customHeight="1">
      <x:c r="A33" s="138" t="s">
        <x:v>624</x:v>
      </x:c>
      <x:c r="B33" s="138" t="str">
        <x:v>Tropical &amp; Subtropical Dry Broadleaf Forests</x:v>
      </x:c>
      <x:c r="C33" s="138" t="s">
        <x:v>112</x:v>
      </x:c>
      <x:c r="D33" s="138" t="s">
        <x:v>549</x:v>
      </x:c>
      <x:c r="E33" s="138" t="n">
        <x:v>2024</x:v>
      </x:c>
      <x:c r="F33" s="138" t="n">
        <x:v>1.6662</x:v>
      </x:c>
      <x:c r="G33" s="138" t="n">
        <x:v>225.06</x:v>
      </x:c>
      <x:c r="H33" s="138" t="s">
        <x:v>911</x:v>
      </x:c>
      <x:c r="I33" s="138" t="s">
        <x:v>626</x:v>
      </x:c>
      <x:c r="J33" s="139" t="n">
        <x:f aca="0">IF($E33="Unconfirmed","",IFERROR(SUMIF(S15_Source_Strata!$B$4:$B$49,$I33,S15_Source_Strata!$H$4:$H$49),""))</x:f>
        <x:v>1.128282769876533</x:v>
      </x:c>
      <x:c r="K33" s="139" t="n">
        <x:f aca="0">IF($E33="Unconfirmed","",IFERROR(SUMIF(S15_Source_Strata!$B$4:$B$49,$I33,S15_Source_Strata!$I$4:$I$49),""))</x:f>
        <x:v>1.0501470960451422</x:v>
      </x:c>
      <x:c r="L33" s="139" t="n">
        <x:f aca="0">IF($E33="Unconfirmed","",IFERROR(SUMIF(S15_Source_Strata!$B$4:$B$49,$I33,S15_Source_Strata!$J$4:$J$49),""))</x:f>
        <x:v>0.9307481458394148</x:v>
      </x:c>
      <x:c r="M33" s="139" t="n">
        <x:f aca="0">IF($E33="Unconfirmed","",IFERROR(SUMIF(S15_Source_Strata!$B$4:$B$49,$I33,S15_Source_Strata!$N$4:$N$49),""))</x:f>
        <x:v>0.8462120774073998</x:v>
      </x:c>
      <x:c r="N33" s="139" t="n">
        <x:f aca="0">IF($E33="Unconfirmed","",IFERROR(SUMIF(S15_Source_Strata!$B$4:$B$49,$I33,S15_Source_Strata!$O$4:$O$49),""))</x:f>
        <x:v>0.75</x:v>
      </x:c>
      <x:c r="O33" s="139" t="n">
        <x:f aca="0">IF($E33="Unconfirmed","",IFERROR(SUMIF(S15_Source_Strata!$B$4:$B$49,$I33,S15_Source_Strata!$X$4:$X$49),""))</x:f>
        <x:v>1.808298795281121</x:v>
      </x:c>
      <x:c r="P33" s="139" t="n">
        <x:f aca="0">IF($E33="Unconfirmed","",IFERROR(SUMIF(S15_Source_Strata!$B$4:$B$49,$I33,S15_Source_Strata!$AL$4:$AL$49),""))</x:f>
        <x:v>222.2899602891645</x:v>
      </x:c>
      <x:c r="Q33" s="139" t="str">
        <x:f aca="0">IF($E33="Unconfirmed","",IFERROR(SUMIF(S15_Source_Strata!$B$4:$B$49,$I33,S15_Source_Strata!$K$4:$K$49)&amp;"/"&amp;SUMIF(S15_Source_Strata!$B$4:$B$49,$I33,S15_Source_Strata!$L$4:$L$49),""))</x:f>
        <x:v>1/4</x:v>
      </x:c>
      <x:c r="R33" s="138" t="s">
        <x:v>579</x:v>
      </x:c>
      <x:c r="S33" s="138" t="s">
        <x:v>842</x:v>
      </x:c>
      <x:c r="T33" s="138" t="s">
        <x:v>841</x:v>
      </x:c>
      <x:c r="U33" s="138" t="n">
        <x:f>IFERROR(DB33*$DJ33/$F33,0)</x:f>
        <x:v>18.63521786100108</x:v>
      </x:c>
      <x:c r="V33" s="138" t="n">
        <x:v>0.6</x:v>
      </x:c>
      <x:c r="W33" s="138" t="n">
        <x:v>45</x:v>
      </x:c>
      <x:c r="X33" s="138" t="n">
        <x:v>0.12</x:v>
      </x:c>
      <x:c r="Y33" s="138" t="n">
        <x:v>1.4</x:v>
      </x:c>
      <x:c r="Z33" s="138" t="n">
        <x:v>14</x:v>
      </x:c>
      <x:c r="AA33" s="138" t="n">
        <x:v>0.18</x:v>
      </x:c>
      <x:c r="AB33" s="138" t="n">
        <x:v>1.3</x:v>
      </x:c>
      <x:c r="AC33" s="138" t="s">
        <x:v>670</x:v>
      </x:c>
      <x:c r="AD33" s="138" t="s">
        <x:v>877</x:v>
      </x:c>
      <x:c r="AE33" s="138" t="s">
        <x:v>841</x:v>
      </x:c>
      <x:c r="AF33" s="138" t="n">
        <x:f>IFERROR(DC33*$DJ33/$F33,0)</x:f>
        <x:v>1.6204537270435722</x:v>
      </x:c>
      <x:c r="AG33" s="138" t="n">
        <x:v>0.55</x:v>
      </x:c>
      <x:c r="AH33" s="138" t="n">
        <x:v>50</x:v>
      </x:c>
      <x:c r="AI33" s="138" t="n">
        <x:v>0.12</x:v>
      </x:c>
      <x:c r="AJ33" s="138" t="n">
        <x:v>1.4</x:v>
      </x:c>
      <x:c r="AK33" s="138" t="n">
        <x:v>25</x:v>
      </x:c>
      <x:c r="AL33" s="138" t="n">
        <x:v>0.15</x:v>
      </x:c>
      <x:c r="AM33" s="138" t="n">
        <x:v>1.3</x:v>
      </x:c>
      <x:c r="AN33" s="138"/>
      <x:c r="AO33" s="138"/>
      <x:c r="AP33" s="138"/>
      <x:c r="AQ33" s="138" t="n">
        <x:f>IFERROR(DD33*$DJ33/$F33,0)</x:f>
        <x:v>0</x:v>
      </x:c>
      <x:c r="AR33" s="138"/>
      <x:c r="AS33" s="138"/>
      <x:c r="AT33" s="138"/>
      <x:c r="AU33" s="138"/>
      <x:c r="AV33" s="138"/>
      <x:c r="AW33" s="138"/>
      <x:c r="AX33" s="138"/>
      <x:c r="AY33" s="138"/>
      <x:c r="AZ33" s="138"/>
      <x:c r="BA33" s="138"/>
      <x:c r="BB33" s="138" t="n">
        <x:f>IFERROR(DE33*$DJ33/$F33,0)</x:f>
        <x:v>0</x:v>
      </x:c>
      <x:c r="BC33" s="138"/>
      <x:c r="BD33" s="138"/>
      <x:c r="BE33" s="138"/>
      <x:c r="BF33" s="138"/>
      <x:c r="BG33" s="138"/>
      <x:c r="BH33" s="138"/>
      <x:c r="BI33" s="138"/>
      <x:c r="BJ33" s="138"/>
      <x:c r="BK33" s="138"/>
      <x:c r="BL33" s="138"/>
      <x:c r="BM33" s="138" t="n">
        <x:f>IFERROR(DF33*$DJ33/$F33,0)</x:f>
        <x:v>0</x:v>
      </x:c>
      <x:c r="BN33" s="138"/>
      <x:c r="BO33" s="138"/>
      <x:c r="BP33" s="138"/>
      <x:c r="BQ33" s="138"/>
      <x:c r="BR33" s="138"/>
      <x:c r="BS33" s="138"/>
      <x:c r="BT33" s="138"/>
      <x:c r="BU33" s="138"/>
      <x:c r="BV33" s="138"/>
      <x:c r="BW33" s="138"/>
      <x:c r="BX33" s="138" t="n">
        <x:f>IFERROR(DG33*$DJ33/$F33,0)</x:f>
        <x:v>0</x:v>
      </x:c>
      <x:c r="BY33" s="138"/>
      <x:c r="BZ33" s="138"/>
      <x:c r="CA33" s="138"/>
      <x:c r="CB33" s="138"/>
      <x:c r="CC33" s="138"/>
      <x:c r="CD33" s="138"/>
      <x:c r="CE33" s="138"/>
      <x:c r="CF33" s="138"/>
      <x:c r="CG33" s="138"/>
      <x:c r="CH33" s="138"/>
      <x:c r="CI33" s="138" t="n">
        <x:f>IFERROR(DH33*$DJ33/$F33,0)</x:f>
        <x:v>0</x:v>
      </x:c>
      <x:c r="CJ33" s="138"/>
      <x:c r="CK33" s="138"/>
      <x:c r="CL33" s="138"/>
      <x:c r="CM33" s="138"/>
      <x:c r="CN33" s="138"/>
      <x:c r="CO33" s="138"/>
      <x:c r="CP33" s="138"/>
      <x:c r="CQ33" s="138"/>
      <x:c r="CR33" s="138"/>
      <x:c r="CS33" s="138"/>
      <x:c r="CT33" s="138" t="n">
        <x:f>IFERROR(DI33*$DJ33/$F33,0)</x:f>
        <x:v>0</x:v>
      </x:c>
      <x:c r="CU33" s="138"/>
      <x:c r="CV33" s="138"/>
      <x:c r="CW33" s="138"/>
      <x:c r="CX33" s="138"/>
      <x:c r="CY33" s="138"/>
      <x:c r="CZ33" s="138"/>
      <x:c r="DA33" s="138"/>
      <x:c r="DB33" s="978" t="n">
        <x:v>345</x:v>
      </x:c>
      <x:c r="DC33" s="978" t="n">
        <x:v>30</x:v>
      </x:c>
      <x:c r="DD33" s="978"/>
      <x:c r="DE33" s="978"/>
      <x:c r="DF33" s="978"/>
      <x:c r="DG33" s="978"/>
      <x:c r="DH33" s="978"/>
      <x:c r="DI33" s="978"/>
      <x:c r="DJ33" s="980" t="n">
        <x:f>'S08_Defaults'!$B$37</x:f>
        <x:v>0.09</x:v>
      </x:c>
      <x:c r="DK33" s="979" t="n">
        <x:f>SUM(U33,AF33,AQ33,BB33,BM33,BX33,CI33,CT33)</x:f>
        <x:v>20.255671588044653</x:v>
      </x:c>
      <x:c r="DL33" s="979" t="n">
        <x:f>G33*DJ33</x:f>
        <x:v>20.255399999999998</x:v>
      </x:c>
      <x:c r="DM33" s="979" t="n">
        <x:f>DK33-DL33</x:f>
        <x:v>0.0002715880446544361</x:v>
      </x:c>
      <x:c r="DN33" s="977" t="str">
        <x:f>IF(ABS(DM33)&lt;=MAX(0.5,0.05*ABS(DL33)),"OK","REVIEW")</x:f>
        <x:v>OK</x:v>
      </x:c>
    </x:row>
    <x:row r="34" ht="15" hidden="0" customHeight="1">
      <x:c r="A34" s="138" t="s">
        <x:v>627</x:v>
      </x:c>
      <x:c r="B34" s="138" t="str">
        <x:v>Tropical &amp; Subtropical Dry Broadleaf Forests</x:v>
      </x:c>
      <x:c r="C34" s="138" t="s">
        <x:v>912</x:v>
      </x:c>
      <x:c r="D34" s="138" t="s">
        <x:v>542</x:v>
      </x:c>
      <x:c r="E34" s="138" t="n">
        <x:v>2020</x:v>
      </x:c>
      <x:c r="F34" s="138" t="n">
        <x:v>0.4281</x:v>
      </x:c>
      <x:c r="G34" s="138" t="n">
        <x:v>2779.72</x:v>
      </x:c>
      <x:c r="H34" s="138" t="s">
        <x:v>913</x:v>
      </x:c>
      <x:c r="I34" s="138" t="s">
        <x:v>630</x:v>
      </x:c>
      <x:c r="J34" s="139" t="n">
        <x:f aca="0">IF($E34="Unconfirmed","",IFERROR(SUMIF(S15_Source_Strata!$B$4:$B$49,$I34,S15_Source_Strata!$H$4:$H$49),""))</x:f>
        <x:v>874.4823433687704</x:v>
      </x:c>
      <x:c r="K34" s="139" t="n">
        <x:f aca="0">IF($E34="Unconfirmed","",IFERROR(SUMIF(S15_Source_Strata!$B$4:$B$49,$I34,S15_Source_Strata!$I$4:$I$49),""))</x:f>
        <x:v>125.18393891352072</x:v>
      </x:c>
      <x:c r="L34" s="139" t="n">
        <x:f aca="0">IF($E34="Unconfirmed","",IFERROR(SUMIF(S15_Source_Strata!$B$4:$B$49,$I34,S15_Source_Strata!$J$4:$J$49),""))</x:f>
        <x:v>0.14315204859514297</x:v>
      </x:c>
      <x:c r="M34" s="139" t="n">
        <x:f aca="0">IF($E34="Unconfirmed","",IFERROR(SUMIF(S15_Source_Strata!$B$4:$B$49,$I34,S15_Source_Strata!$N$4:$N$49),""))</x:f>
        <x:v>655.8617575265778</x:v>
      </x:c>
      <x:c r="N34" s="139" t="n">
        <x:f aca="0">IF($E34="Unconfirmed","",IFERROR(SUMIF(S15_Source_Strata!$B$4:$B$49,$I34,S15_Source_Strata!$O$4:$O$49),""))</x:f>
        <x:v>0.7499999999999999</x:v>
      </x:c>
      <x:c r="O34" s="139" t="n">
        <x:f aca="0">IF($E34="Unconfirmed","",IFERROR(SUMIF(S15_Source_Strata!$B$4:$B$49,$I34,S15_Source_Strata!$X$4:$X$49),""))</x:f>
        <x:v>1401.5328517171295</x:v>
      </x:c>
      <x:c r="P34" s="139" t="n">
        <x:f aca="0">IF($E34="Unconfirmed","",IFERROR(SUMIF(S15_Source_Strata!$B$4:$B$49,$I34,S15_Source_Strata!$AL$4:$AL$49),""))</x:f>
        <x:v>8325.068852688742</x:v>
      </x:c>
      <x:c r="Q34" s="139" t="str">
        <x:f aca="0">IF($E34="Unconfirmed","",IFERROR(SUMIF(S15_Source_Strata!$B$4:$B$49,$I34,S15_Source_Strata!$K$4:$K$49)&amp;"/"&amp;SUMIF(S15_Source_Strata!$B$4:$B$49,$I34,S15_Source_Strata!$L$4:$L$49),""))</x:f>
        <x:v>2/3</x:v>
      </x:c>
      <x:c r="R34" s="138" t="s">
        <x:v>660</x:v>
      </x:c>
      <x:c r="S34" s="138" t="s">
        <x:v>875</x:v>
      </x:c>
      <x:c r="T34" s="138" t="s">
        <x:v>841</x:v>
      </x:c>
      <x:c r="U34" s="138" t="n">
        <x:f>IFERROR(DB34*$DJ34/$F34,0)</x:f>
        <x:v>189.20812894183604</x:v>
      </x:c>
      <x:c r="V34" s="138" t="n">
        <x:v>0.58</x:v>
      </x:c>
      <x:c r="W34" s="138" t="n">
        <x:v>55</x:v>
      </x:c>
      <x:c r="X34" s="138" t="n">
        <x:v>0.16</x:v>
      </x:c>
      <x:c r="Y34" s="138" t="n">
        <x:v>1.3</x:v>
      </x:c>
      <x:c r="Z34" s="138" t="n">
        <x:v>25</x:v>
      </x:c>
      <x:c r="AA34" s="138" t="n">
        <x:v>0.2</x:v>
      </x:c>
      <x:c r="AB34" s="138" t="n">
        <x:v>1.2</x:v>
      </x:c>
      <x:c r="AC34" s="138" t="s">
        <x:v>891</x:v>
      </x:c>
      <x:c r="AD34" s="138" t="s">
        <x:v>892</x:v>
      </x:c>
      <x:c r="AE34" s="138" t="s">
        <x:v>841</x:v>
      </x:c>
      <x:c r="AF34" s="138" t="n">
        <x:f>IFERROR(DC34*$DJ34/$F34,0)</x:f>
        <x:v>4.204625087596356</x:v>
      </x:c>
      <x:c r="AG34" s="138" t="n">
        <x:v>0.65</x:v>
      </x:c>
      <x:c r="AH34" s="138" t="n">
        <x:v>35</x:v>
      </x:c>
      <x:c r="AI34" s="138" t="n">
        <x:v>0.13</x:v>
      </x:c>
      <x:c r="AJ34" s="138" t="n">
        <x:v>1.4</x:v>
      </x:c>
      <x:c r="AK34" s="138" t="n">
        <x:v>15</x:v>
      </x:c>
      <x:c r="AL34" s="138" t="n">
        <x:v>0.18</x:v>
      </x:c>
      <x:c r="AM34" s="138" t="n">
        <x:v>1.3</x:v>
      </x:c>
      <x:c r="AN34" s="138" t="s">
        <x:v>914</x:v>
      </x:c>
      <x:c r="AO34" s="138" t="s">
        <x:v>915</x:v>
      </x:c>
      <x:c r="AP34" s="138" t="s">
        <x:v>841</x:v>
      </x:c>
      <x:c r="AQ34" s="138" t="n">
        <x:f>IFERROR(DD34*$DJ34/$F34,0)</x:f>
        <x:v>4.204625087596356</x:v>
      </x:c>
      <x:c r="AR34" s="138" t="n">
        <x:v>0.65</x:v>
      </x:c>
      <x:c r="AS34" s="138" t="n">
        <x:v>45</x:v>
      </x:c>
      <x:c r="AT34" s="138" t="n">
        <x:v>0.13</x:v>
      </x:c>
      <x:c r="AU34" s="138" t="n">
        <x:v>1.4</x:v>
      </x:c>
      <x:c r="AV34" s="138" t="n">
        <x:v>20</x:v>
      </x:c>
      <x:c r="AW34" s="138" t="n">
        <x:v>0.17</x:v>
      </x:c>
      <x:c r="AX34" s="138" t="n">
        <x:v>1.3</x:v>
      </x:c>
      <x:c r="AY34" s="138" t="s">
        <x:v>916</x:v>
      </x:c>
      <x:c r="AZ34" s="138" t="s">
        <x:v>883</x:v>
      </x:c>
      <x:c r="BA34" s="138" t="s">
        <x:v>884</x:v>
      </x:c>
      <x:c r="BB34" s="138" t="n">
        <x:f>IFERROR(DE34*$DJ34/$F34,0)</x:f>
        <x:v>52.55781359495445</x:v>
      </x:c>
      <x:c r="BC34" s="138" t="n">
        <x:v>0.65</x:v>
      </x:c>
      <x:c r="BD34" s="138" t="n">
        <x:v>45</x:v>
      </x:c>
      <x:c r="BE34" s="138" t="n">
        <x:v>0.13</x:v>
      </x:c>
      <x:c r="BF34" s="138" t="n">
        <x:v>1.4</x:v>
      </x:c>
      <x:c r="BG34" s="138" t="n">
        <x:v>20</x:v>
      </x:c>
      <x:c r="BH34" s="138" t="n">
        <x:v>0.17</x:v>
      </x:c>
      <x:c r="BI34" s="138" t="n">
        <x:v>1.3</x:v>
      </x:c>
      <x:c r="BJ34" s="138"/>
      <x:c r="BK34" s="138"/>
      <x:c r="BL34" s="138"/>
      <x:c r="BM34" s="138" t="n">
        <x:f>IFERROR(DF34*$DJ34/$F34,0)</x:f>
        <x:v>0</x:v>
      </x:c>
      <x:c r="BN34" s="138"/>
      <x:c r="BO34" s="138"/>
      <x:c r="BP34" s="138"/>
      <x:c r="BQ34" s="138"/>
      <x:c r="BR34" s="138"/>
      <x:c r="BS34" s="138"/>
      <x:c r="BT34" s="138"/>
      <x:c r="BU34" s="138"/>
      <x:c r="BV34" s="138"/>
      <x:c r="BW34" s="138"/>
      <x:c r="BX34" s="138" t="n">
        <x:f>IFERROR(DG34*$DJ34/$F34,0)</x:f>
        <x:v>0</x:v>
      </x:c>
      <x:c r="BY34" s="138"/>
      <x:c r="BZ34" s="138"/>
      <x:c r="CA34" s="138"/>
      <x:c r="CB34" s="138"/>
      <x:c r="CC34" s="138"/>
      <x:c r="CD34" s="138"/>
      <x:c r="CE34" s="138"/>
      <x:c r="CF34" s="138"/>
      <x:c r="CG34" s="138"/>
      <x:c r="CH34" s="138"/>
      <x:c r="CI34" s="138" t="n">
        <x:f>IFERROR(DH34*$DJ34/$F34,0)</x:f>
        <x:v>0</x:v>
      </x:c>
      <x:c r="CJ34" s="138"/>
      <x:c r="CK34" s="138"/>
      <x:c r="CL34" s="138"/>
      <x:c r="CM34" s="138"/>
      <x:c r="CN34" s="138"/>
      <x:c r="CO34" s="138"/>
      <x:c r="CP34" s="138"/>
      <x:c r="CQ34" s="138"/>
      <x:c r="CR34" s="138"/>
      <x:c r="CS34" s="138"/>
      <x:c r="CT34" s="138" t="n">
        <x:f>IFERROR(DI34*$DJ34/$F34,0)</x:f>
        <x:v>0</x:v>
      </x:c>
      <x:c r="CU34" s="138"/>
      <x:c r="CV34" s="138"/>
      <x:c r="CW34" s="138"/>
      <x:c r="CX34" s="138"/>
      <x:c r="CY34" s="138"/>
      <x:c r="CZ34" s="138"/>
      <x:c r="DA34" s="138"/>
      <x:c r="DB34" s="978" t="n">
        <x:v>900</x:v>
      </x:c>
      <x:c r="DC34" s="978" t="n">
        <x:v>20</x:v>
      </x:c>
      <x:c r="DD34" s="978" t="n">
        <x:v>20</x:v>
      </x:c>
      <x:c r="DE34" s="978" t="n">
        <x:v>250</x:v>
      </x:c>
      <x:c r="DF34" s="978"/>
      <x:c r="DG34" s="978"/>
      <x:c r="DH34" s="978"/>
      <x:c r="DI34" s="978"/>
      <x:c r="DJ34" s="980" t="n">
        <x:f>'S08_Defaults'!$B$37</x:f>
        <x:v>0.09</x:v>
      </x:c>
      <x:c r="DK34" s="979" t="n">
        <x:f>SUM(U34,AF34,AQ34,BB34,BM34,BX34,CI34,CT34)</x:f>
        <x:v>250.1751927119832</x:v>
      </x:c>
      <x:c r="DL34" s="979" t="n">
        <x:f>G34*DJ34</x:f>
        <x:v>250.17479999999998</x:v>
      </x:c>
      <x:c r="DM34" s="979" t="n">
        <x:f>DK34-DL34</x:f>
        <x:v>0.0003927119832098924</x:v>
      </x:c>
      <x:c r="DN34" s="977" t="str">
        <x:f>IF(ABS(DM34)&lt;=MAX(0.5,0.05*ABS(DL34)),"OK","REVIEW")</x:f>
        <x:v>OK</x:v>
      </x:c>
    </x:row>
    <x:row r="35" ht="15" hidden="0" customHeight="1">
      <x:c r="A35" s="138" t="s">
        <x:v>631</x:v>
      </x:c>
      <x:c r="B35" s="138" t="str">
        <x:v>Tropical &amp; Subtropical Moist Broadleaf Forests</x:v>
      </x:c>
      <x:c r="C35" s="138" t="s">
        <x:v>912</x:v>
      </x:c>
      <x:c r="D35" s="138" t="s">
        <x:v>542</x:v>
      </x:c>
      <x:c r="E35" s="138" t="n">
        <x:v>2020</x:v>
      </x:c>
      <x:c r="F35" s="138" t="n">
        <x:v>0.4444</x:v>
      </x:c>
      <x:c r="G35" s="138" t="n">
        <x:v>5603.06</x:v>
      </x:c>
      <x:c r="H35" s="138" t="s">
        <x:v>917</x:v>
      </x:c>
      <x:c r="I35" s="138" t="s">
        <x:v>630</x:v>
      </x:c>
      <x:c r="J35" s="139" t="n">
        <x:f aca="0">IF($E35="Unconfirmed","",IFERROR(SUMIF(S15_Source_Strata!$B$4:$B$49,$I35,S15_Source_Strata!$H$4:$H$49),""))</x:f>
        <x:v>874.4823433687704</x:v>
      </x:c>
      <x:c r="K35" s="139" t="n">
        <x:f aca="0">IF($E35="Unconfirmed","",IFERROR(SUMIF(S15_Source_Strata!$B$4:$B$49,$I35,S15_Source_Strata!$I$4:$I$49),""))</x:f>
        <x:v>125.18393891352072</x:v>
      </x:c>
      <x:c r="L35" s="139" t="n">
        <x:f aca="0">IF($E35="Unconfirmed","",IFERROR(SUMIF(S15_Source_Strata!$B$4:$B$49,$I35,S15_Source_Strata!$J$4:$J$49),""))</x:f>
        <x:v>0.14315204859514297</x:v>
      </x:c>
      <x:c r="M35" s="139" t="n">
        <x:f aca="0">IF($E35="Unconfirmed","",IFERROR(SUMIF(S15_Source_Strata!$B$4:$B$49,$I35,S15_Source_Strata!$N$4:$N$49),""))</x:f>
        <x:v>655.8617575265778</x:v>
      </x:c>
      <x:c r="N35" s="139" t="n">
        <x:f aca="0">IF($E35="Unconfirmed","",IFERROR(SUMIF(S15_Source_Strata!$B$4:$B$49,$I35,S15_Source_Strata!$O$4:$O$49),""))</x:f>
        <x:v>0.7499999999999999</x:v>
      </x:c>
      <x:c r="O35" s="139" t="n">
        <x:f aca="0">IF($E35="Unconfirmed","",IFERROR(SUMIF(S15_Source_Strata!$B$4:$B$49,$I35,S15_Source_Strata!$X$4:$X$49),""))</x:f>
        <x:v>1401.5328517171295</x:v>
      </x:c>
      <x:c r="P35" s="139" t="n">
        <x:f aca="0">IF($E35="Unconfirmed","",IFERROR(SUMIF(S15_Source_Strata!$B$4:$B$49,$I35,S15_Source_Strata!$AL$4:$AL$49),""))</x:f>
        <x:v>8325.068852688742</x:v>
      </x:c>
      <x:c r="Q35" s="139" t="str">
        <x:f aca="0">IF($E35="Unconfirmed","",IFERROR(SUMIF(S15_Source_Strata!$B$4:$B$49,$I35,S15_Source_Strata!$K$4:$K$49)&amp;"/"&amp;SUMIF(S15_Source_Strata!$B$4:$B$49,$I35,S15_Source_Strata!$L$4:$L$49),""))</x:f>
        <x:v>2/3</x:v>
      </x:c>
      <x:c r="R35" s="138" t="s">
        <x:v>579</x:v>
      </x:c>
      <x:c r="S35" s="138" t="s">
        <x:v>842</x:v>
      </x:c>
      <x:c r="T35" s="138" t="s">
        <x:v>841</x:v>
      </x:c>
      <x:c r="U35" s="138" t="n">
        <x:f>IFERROR(DB35*$DJ35/$F35,0)</x:f>
        <x:v>7.0882088208820875</x:v>
      </x:c>
      <x:c r="V35" s="138" t="n">
        <x:v>0.6</x:v>
      </x:c>
      <x:c r="W35" s="138" t="n">
        <x:v>45</x:v>
      </x:c>
      <x:c r="X35" s="138" t="n">
        <x:v>0.12</x:v>
      </x:c>
      <x:c r="Y35" s="138" t="n">
        <x:v>1.4</x:v>
      </x:c>
      <x:c r="Z35" s="138" t="n">
        <x:v>14</x:v>
      </x:c>
      <x:c r="AA35" s="138" t="n">
        <x:v>0.18</x:v>
      </x:c>
      <x:c r="AB35" s="138" t="n">
        <x:v>1.3</x:v>
      </x:c>
      <x:c r="AC35" s="138" t="s">
        <x:v>918</x:v>
      </x:c>
      <x:c r="AD35" s="138" t="s">
        <x:v>919</x:v>
      </x:c>
      <x:c r="AE35" s="138" t="s">
        <x:v>841</x:v>
      </x:c>
      <x:c r="AF35" s="138" t="n">
        <x:f>IFERROR(DC35*$DJ35/$F35,0)</x:f>
        <x:v>506.3006300630063</x:v>
      </x:c>
      <x:c r="AG35" s="138" t="n">
        <x:v>0.65</x:v>
      </x:c>
      <x:c r="AH35" s="138" t="n">
        <x:v>45</x:v>
      </x:c>
      <x:c r="AI35" s="138" t="n">
        <x:v>0.13</x:v>
      </x:c>
      <x:c r="AJ35" s="138" t="n">
        <x:v>1.4</x:v>
      </x:c>
      <x:c r="AK35" s="138" t="n">
        <x:v>20</x:v>
      </x:c>
      <x:c r="AL35" s="138" t="n">
        <x:v>0.17</x:v>
      </x:c>
      <x:c r="AM35" s="138" t="n">
        <x:v>1.3</x:v>
      </x:c>
      <x:c r="AN35" s="138"/>
      <x:c r="AO35" s="138"/>
      <x:c r="AP35" s="138"/>
      <x:c r="AQ35" s="138" t="n">
        <x:f>IFERROR(DD35*$DJ35/$F35,0)</x:f>
        <x:v>0</x:v>
      </x:c>
      <x:c r="AR35" s="138"/>
      <x:c r="AS35" s="138"/>
      <x:c r="AT35" s="138"/>
      <x:c r="AU35" s="138"/>
      <x:c r="AV35" s="138"/>
      <x:c r="AW35" s="138"/>
      <x:c r="AX35" s="138"/>
      <x:c r="AY35" s="138"/>
      <x:c r="AZ35" s="138"/>
      <x:c r="BA35" s="138"/>
      <x:c r="BB35" s="138" t="n">
        <x:f>IFERROR(DE35*$DJ35/$F35,0)</x:f>
        <x:v>0</x:v>
      </x:c>
      <x:c r="BC35" s="138"/>
      <x:c r="BD35" s="138"/>
      <x:c r="BE35" s="138"/>
      <x:c r="BF35" s="138"/>
      <x:c r="BG35" s="138"/>
      <x:c r="BH35" s="138"/>
      <x:c r="BI35" s="138"/>
      <x:c r="BJ35" s="138"/>
      <x:c r="BK35" s="138"/>
      <x:c r="BL35" s="138"/>
      <x:c r="BM35" s="138" t="n">
        <x:f>IFERROR(DF35*$DJ35/$F35,0)</x:f>
        <x:v>0</x:v>
      </x:c>
      <x:c r="BN35" s="138"/>
      <x:c r="BO35" s="138"/>
      <x:c r="BP35" s="138"/>
      <x:c r="BQ35" s="138"/>
      <x:c r="BR35" s="138"/>
      <x:c r="BS35" s="138"/>
      <x:c r="BT35" s="138"/>
      <x:c r="BU35" s="138"/>
      <x:c r="BV35" s="138"/>
      <x:c r="BW35" s="138"/>
      <x:c r="BX35" s="138" t="n">
        <x:f>IFERROR(DG35*$DJ35/$F35,0)</x:f>
        <x:v>0</x:v>
      </x:c>
      <x:c r="BY35" s="138"/>
      <x:c r="BZ35" s="138"/>
      <x:c r="CA35" s="138"/>
      <x:c r="CB35" s="138"/>
      <x:c r="CC35" s="138"/>
      <x:c r="CD35" s="138"/>
      <x:c r="CE35" s="138"/>
      <x:c r="CF35" s="138"/>
      <x:c r="CG35" s="138"/>
      <x:c r="CH35" s="138"/>
      <x:c r="CI35" s="138" t="n">
        <x:f>IFERROR(DH35*$DJ35/$F35,0)</x:f>
        <x:v>0</x:v>
      </x:c>
      <x:c r="CJ35" s="138"/>
      <x:c r="CK35" s="138"/>
      <x:c r="CL35" s="138"/>
      <x:c r="CM35" s="138"/>
      <x:c r="CN35" s="138"/>
      <x:c r="CO35" s="138"/>
      <x:c r="CP35" s="138"/>
      <x:c r="CQ35" s="138"/>
      <x:c r="CR35" s="138"/>
      <x:c r="CS35" s="138"/>
      <x:c r="CT35" s="138" t="n">
        <x:f>IFERROR(DI35*$DJ35/$F35,0)</x:f>
        <x:v>0</x:v>
      </x:c>
      <x:c r="CU35" s="138"/>
      <x:c r="CV35" s="138"/>
      <x:c r="CW35" s="138"/>
      <x:c r="CX35" s="138"/>
      <x:c r="CY35" s="138"/>
      <x:c r="CZ35" s="138"/>
      <x:c r="DA35" s="138"/>
      <x:c r="DB35" s="978" t="n">
        <x:v>35</x:v>
      </x:c>
      <x:c r="DC35" s="978" t="n">
        <x:v>2500</x:v>
      </x:c>
      <x:c r="DD35" s="978"/>
      <x:c r="DE35" s="978"/>
      <x:c r="DF35" s="978"/>
      <x:c r="DG35" s="978"/>
      <x:c r="DH35" s="978"/>
      <x:c r="DI35" s="978"/>
      <x:c r="DJ35" s="980" t="n">
        <x:f>'S08_Defaults'!$B$37</x:f>
        <x:v>0.09</x:v>
      </x:c>
      <x:c r="DK35" s="979" t="n">
        <x:f>SUM(U35,AF35,AQ35,BB35,BM35,BX35,CI35,CT35)</x:f>
        <x:v>513.3888388838884</x:v>
      </x:c>
      <x:c r="DL35" s="979" t="n">
        <x:f>G35*DJ35</x:f>
        <x:v>504.2754</x:v>
      </x:c>
      <x:c r="DM35" s="979" t="n">
        <x:f>DK35-DL35</x:f>
        <x:v>9.11343888388842</x:v>
      </x:c>
      <x:c r="DN35" s="977" t="str">
        <x:f>IF(ABS(DM35)&lt;=MAX(0.5,0.05*ABS(DL35)),"OK","REVIEW")</x:f>
        <x:v>OK</x:v>
      </x:c>
    </x:row>
    <x:row r="36" ht="15" hidden="0" customHeight="1">
      <x:c r="A36" s="138" t="s">
        <x:v>633</x:v>
      </x:c>
      <x:c r="B36" s="138" t="str">
        <x:v>Deserts &amp; Xeric Shrublands</x:v>
      </x:c>
      <x:c r="C36" s="138" t="s">
        <x:v>912</x:v>
      </x:c>
      <x:c r="D36" s="138" t="s">
        <x:v>549</x:v>
      </x:c>
      <x:c r="E36" s="138" t="n">
        <x:v>2020</x:v>
      </x:c>
      <x:c r="F36" s="138" t="n">
        <x:v>1.8785</x:v>
      </x:c>
      <x:c r="G36" s="138" t="n">
        <x:v>139.47</x:v>
      </x:c>
      <x:c r="H36" s="138" t="s">
        <x:v>920</x:v>
      </x:c>
      <x:c r="I36" s="138" t="s">
        <x:v>635</x:v>
      </x:c>
      <x:c r="J36" s="139" t="n">
        <x:f aca="0">IF($E36="Unconfirmed","",IFERROR(SUMIF(S15_Source_Strata!$B$4:$B$49,$I36,S15_Source_Strata!$H$4:$H$49),""))</x:f>
        <x:v>9.93656640622674</x:v>
      </x:c>
      <x:c r="K36" s="139" t="n">
        <x:f aca="0">IF($E36="Unconfirmed","",IFERROR(SUMIF(S15_Source_Strata!$B$4:$B$49,$I36,S15_Source_Strata!$I$4:$I$49),""))</x:f>
        <x:v>1.9793183472542992</x:v>
      </x:c>
      <x:c r="L36" s="139" t="n">
        <x:f aca="0">IF($E36="Unconfirmed","",IFERROR(SUMIF(S15_Source_Strata!$B$4:$B$49,$I36,S15_Source_Strata!$J$4:$J$49),""))</x:f>
        <x:v>0.1991954027513932</x:v>
      </x:c>
      <x:c r="M36" s="139" t="n">
        <x:f aca="0">IF($E36="Unconfirmed","",IFERROR(SUMIF(S15_Source_Strata!$B$4:$B$49,$I36,S15_Source_Strata!$N$4:$N$49),""))</x:f>
        <x:v>7.452424804670056</x:v>
      </x:c>
      <x:c r="N36" s="139" t="n">
        <x:f aca="0">IF($E36="Unconfirmed","",IFERROR(SUMIF(S15_Source_Strata!$B$4:$B$49,$I36,S15_Source_Strata!$O$4:$O$49),""))</x:f>
        <x:v>0.75</x:v>
      </x:c>
      <x:c r="O36" s="139" t="n">
        <x:f aca="0">IF($E36="Unconfirmed","",IFERROR(SUMIF(S15_Source_Strata!$B$4:$B$49,$I36,S15_Source_Strata!$X$4:$X$49),""))</x:f>
        <x:v>15.925334979259612</x:v>
      </x:c>
      <x:c r="P36" s="139" t="n">
        <x:f aca="0">IF($E36="Unconfirmed","",IFERROR(SUMIF(S15_Source_Strata!$B$4:$B$49,$I36,S15_Source_Strata!$AL$4:$AL$49),""))</x:f>
        <x:v>114.88037132308999</x:v>
      </x:c>
      <x:c r="Q36" s="139" t="str">
        <x:f aca="0">IF($E36="Unconfirmed","",IFERROR(SUMIF(S15_Source_Strata!$B$4:$B$49,$I36,S15_Source_Strata!$K$4:$K$49)&amp;"/"&amp;SUMIF(S15_Source_Strata!$B$4:$B$49,$I36,S15_Source_Strata!$L$4:$L$49),""))</x:f>
        <x:v>1/2</x:v>
      </x:c>
      <x:c r="R36" s="138" t="s">
        <x:v>579</x:v>
      </x:c>
      <x:c r="S36" s="138" t="s">
        <x:v>842</x:v>
      </x:c>
      <x:c r="T36" s="138" t="s">
        <x:v>841</x:v>
      </x:c>
      <x:c r="U36" s="138" t="n">
        <x:f>IFERROR(DB36*$DJ36/$F36,0)</x:f>
        <x:v>12.45674740484429</x:v>
      </x:c>
      <x:c r="V36" s="138" t="n">
        <x:v>0.6</x:v>
      </x:c>
      <x:c r="W36" s="138" t="n">
        <x:v>45</x:v>
      </x:c>
      <x:c r="X36" s="138" t="n">
        <x:v>0.12</x:v>
      </x:c>
      <x:c r="Y36" s="138" t="n">
        <x:v>1.4</x:v>
      </x:c>
      <x:c r="Z36" s="138" t="n">
        <x:v>14</x:v>
      </x:c>
      <x:c r="AA36" s="138" t="n">
        <x:v>0.18</x:v>
      </x:c>
      <x:c r="AB36" s="138" t="n">
        <x:v>1.3</x:v>
      </x:c>
      <x:c r="AC36" s="138" t="s">
        <x:v>891</x:v>
      </x:c>
      <x:c r="AD36" s="138" t="s">
        <x:v>892</x:v>
      </x:c>
      <x:c r="AE36" s="138" t="s">
        <x:v>841</x:v>
      </x:c>
      <x:c r="AF36" s="138" t="n">
        <x:f>IFERROR(DC36*$DJ36/$F36,0)</x:f>
        <x:v>0.04791056694170881</x:v>
      </x:c>
      <x:c r="AG36" s="138" t="n">
        <x:v>0.65</x:v>
      </x:c>
      <x:c r="AH36" s="138" t="n">
        <x:v>35</x:v>
      </x:c>
      <x:c r="AI36" s="138" t="n">
        <x:v>0.13</x:v>
      </x:c>
      <x:c r="AJ36" s="138" t="n">
        <x:v>1.4</x:v>
      </x:c>
      <x:c r="AK36" s="138" t="n">
        <x:v>15</x:v>
      </x:c>
      <x:c r="AL36" s="138" t="n">
        <x:v>0.18</x:v>
      </x:c>
      <x:c r="AM36" s="138" t="n">
        <x:v>1.3</x:v>
      </x:c>
      <x:c r="AN36" s="138" t="s">
        <x:v>921</x:v>
      </x:c>
      <x:c r="AO36" s="138" t="s">
        <x:v>855</x:v>
      </x:c>
      <x:c r="AP36" s="138" t="s">
        <x:v>856</x:v>
      </x:c>
      <x:c r="AQ36" s="138" t="n">
        <x:f>IFERROR(DD36*$DJ36/$F36,0)</x:f>
        <x:v>0.04791056694170881</x:v>
      </x:c>
      <x:c r="AR36" s="138" t="n">
        <x:v>0.65</x:v>
      </x:c>
      <x:c r="AS36" s="138" t="n">
        <x:v>35</x:v>
      </x:c>
      <x:c r="AT36" s="138" t="n">
        <x:v>0.13</x:v>
      </x:c>
      <x:c r="AU36" s="138" t="n">
        <x:v>1.4</x:v>
      </x:c>
      <x:c r="AV36" s="138" t="n">
        <x:v>15</x:v>
      </x:c>
      <x:c r="AW36" s="138" t="n">
        <x:v>0.18</x:v>
      </x:c>
      <x:c r="AX36" s="138" t="n">
        <x:v>1.3</x:v>
      </x:c>
      <x:c r="AY36" s="138"/>
      <x:c r="AZ36" s="138"/>
      <x:c r="BA36" s="138"/>
      <x:c r="BB36" s="138" t="n">
        <x:f>IFERROR(DE36*$DJ36/$F36,0)</x:f>
        <x:v>0</x:v>
      </x:c>
      <x:c r="BC36" s="138"/>
      <x:c r="BD36" s="138"/>
      <x:c r="BE36" s="138"/>
      <x:c r="BF36" s="138"/>
      <x:c r="BG36" s="138"/>
      <x:c r="BH36" s="138"/>
      <x:c r="BI36" s="138"/>
      <x:c r="BJ36" s="138"/>
      <x:c r="BK36" s="138"/>
      <x:c r="BL36" s="138"/>
      <x:c r="BM36" s="138" t="n">
        <x:f>IFERROR(DF36*$DJ36/$F36,0)</x:f>
        <x:v>0</x:v>
      </x:c>
      <x:c r="BN36" s="138"/>
      <x:c r="BO36" s="138"/>
      <x:c r="BP36" s="138"/>
      <x:c r="BQ36" s="138"/>
      <x:c r="BR36" s="138"/>
      <x:c r="BS36" s="138"/>
      <x:c r="BT36" s="138"/>
      <x:c r="BU36" s="138"/>
      <x:c r="BV36" s="138"/>
      <x:c r="BW36" s="138"/>
      <x:c r="BX36" s="138" t="n">
        <x:f>IFERROR(DG36*$DJ36/$F36,0)</x:f>
        <x:v>0</x:v>
      </x:c>
      <x:c r="BY36" s="138"/>
      <x:c r="BZ36" s="138"/>
      <x:c r="CA36" s="138"/>
      <x:c r="CB36" s="138"/>
      <x:c r="CC36" s="138"/>
      <x:c r="CD36" s="138"/>
      <x:c r="CE36" s="138"/>
      <x:c r="CF36" s="138"/>
      <x:c r="CG36" s="138"/>
      <x:c r="CH36" s="138"/>
      <x:c r="CI36" s="138" t="n">
        <x:f>IFERROR(DH36*$DJ36/$F36,0)</x:f>
        <x:v>0</x:v>
      </x:c>
      <x:c r="CJ36" s="138"/>
      <x:c r="CK36" s="138"/>
      <x:c r="CL36" s="138"/>
      <x:c r="CM36" s="138"/>
      <x:c r="CN36" s="138"/>
      <x:c r="CO36" s="138"/>
      <x:c r="CP36" s="138"/>
      <x:c r="CQ36" s="138"/>
      <x:c r="CR36" s="138"/>
      <x:c r="CS36" s="138"/>
      <x:c r="CT36" s="138" t="n">
        <x:f>IFERROR(DI36*$DJ36/$F36,0)</x:f>
        <x:v>0</x:v>
      </x:c>
      <x:c r="CU36" s="138"/>
      <x:c r="CV36" s="138"/>
      <x:c r="CW36" s="138"/>
      <x:c r="CX36" s="138"/>
      <x:c r="CY36" s="138"/>
      <x:c r="CZ36" s="138"/>
      <x:c r="DA36" s="138"/>
      <x:c r="DB36" s="978" t="n">
        <x:v>260</x:v>
      </x:c>
      <x:c r="DC36" s="978" t="n">
        <x:v>1</x:v>
      </x:c>
      <x:c r="DD36" s="978" t="n">
        <x:v>1</x:v>
      </x:c>
      <x:c r="DE36" s="978"/>
      <x:c r="DF36" s="978"/>
      <x:c r="DG36" s="978"/>
      <x:c r="DH36" s="978"/>
      <x:c r="DI36" s="978"/>
      <x:c r="DJ36" s="980" t="n">
        <x:f>'S08_Defaults'!$B$37</x:f>
        <x:v>0.09</x:v>
      </x:c>
      <x:c r="DK36" s="979" t="n">
        <x:f>SUM(U36,AF36,AQ36,BB36,BM36,BX36,CI36,CT36)</x:f>
        <x:v>12.552568538727709</x:v>
      </x:c>
      <x:c r="DL36" s="979" t="n">
        <x:f>G36*DJ36</x:f>
        <x:v>12.552299999999999</x:v>
      </x:c>
      <x:c r="DM36" s="979" t="n">
        <x:f>DK36-DL36</x:f>
        <x:v>0.00026853872770971066</x:v>
      </x:c>
      <x:c r="DN36" s="977" t="str">
        <x:f>IF(ABS(DM36)&lt;=MAX(0.5,0.05*ABS(DL36)),"OK","REVIEW")</x:f>
        <x:v>OK</x:v>
      </x:c>
    </x:row>
    <x:row r="37" ht="15" hidden="0" customHeight="1">
      <x:c r="A37" s="138" t="s">
        <x:v>636</x:v>
      </x:c>
      <x:c r="B37" s="138" t="str">
        <x:v>Tropical &amp; Subtropical Dry Broadleaf Forests</x:v>
      </x:c>
      <x:c r="C37" s="138" t="s">
        <x:v>912</x:v>
      </x:c>
      <x:c r="D37" s="138" t="s">
        <x:v>553</x:v>
      </x:c>
      <x:c r="E37" s="138" t="n">
        <x:v>2020</x:v>
      </x:c>
      <x:c r="F37" s="138" t="n">
        <x:v>1.193</x:v>
      </x:c>
      <x:c r="G37" s="138" t="n">
        <x:v>893.55</x:v>
      </x:c>
      <x:c r="H37" s="138" t="s">
        <x:v>922</x:v>
      </x:c>
      <x:c r="I37" s="138" t="s">
        <x:v>638</x:v>
      </x:c>
      <x:c r="J37" s="139" t="n">
        <x:f aca="0">IF($E37="Unconfirmed","",IFERROR(SUMIF(S15_Source_Strata!$B$4:$B$49,$I37,S15_Source_Strata!$H$4:$H$49),""))</x:f>
        <x:v>56.677245300926124</x:v>
      </x:c>
      <x:c r="K37" s="139" t="n">
        <x:f aca="0">IF($E37="Unconfirmed","",IFERROR(SUMIF(S15_Source_Strata!$B$4:$B$49,$I37,S15_Source_Strata!$I$4:$I$49),""))</x:f>
        <x:v>30.82719081503409</x:v>
      </x:c>
      <x:c r="L37" s="139" t="n">
        <x:f aca="0">IF($E37="Unconfirmed","",IFERROR(SUMIF(S15_Source_Strata!$B$4:$B$49,$I37,S15_Source_Strata!$J$4:$J$49),""))</x:f>
        <x:v>0.5439077120166664</x:v>
      </x:c>
      <x:c r="M37" s="139" t="n">
        <x:f aca="0">IF($E37="Unconfirmed","",IFERROR(SUMIF(S15_Source_Strata!$B$4:$B$49,$I37,S15_Source_Strata!$N$4:$N$49),""))</x:f>
        <x:v>42.50793397569459</x:v>
      </x:c>
      <x:c r="N37" s="139" t="n">
        <x:f aca="0">IF($E37="Unconfirmed","",IFERROR(SUMIF(S15_Source_Strata!$B$4:$B$49,$I37,S15_Source_Strata!$O$4:$O$49),""))</x:f>
        <x:v>0.75</x:v>
      </x:c>
      <x:c r="O37" s="139" t="n">
        <x:f aca="0">IF($E37="Unconfirmed","",IFERROR(SUMIF(S15_Source_Strata!$B$4:$B$49,$I37,S15_Source_Strata!$X$4:$X$49),""))</x:f>
        <x:v>90.83662104379438</x:v>
      </x:c>
      <x:c r="P37" s="139" t="n">
        <x:f aca="0">IF($E37="Unconfirmed","",IFERROR(SUMIF(S15_Source_Strata!$B$4:$B$49,$I37,S15_Source_Strata!$AL$4:$AL$49),""))</x:f>
        <x:v>637.105212789708</x:v>
      </x:c>
      <x:c r="Q37" s="139" t="str">
        <x:f aca="0">IF($E37="Unconfirmed","",IFERROR(SUMIF(S15_Source_Strata!$B$4:$B$49,$I37,S15_Source_Strata!$K$4:$K$49)&amp;"/"&amp;SUMIF(S15_Source_Strata!$B$4:$B$49,$I37,S15_Source_Strata!$L$4:$L$49),""))</x:f>
        <x:v>1/3</x:v>
      </x:c>
      <x:c r="R37" s="138" t="s">
        <x:v>570</x:v>
      </x:c>
      <x:c r="S37" s="138" t="s">
        <x:v>840</x:v>
      </x:c>
      <x:c r="T37" s="138" t="s">
        <x:v>841</x:v>
      </x:c>
      <x:c r="U37" s="138" t="n">
        <x:f>IFERROR(DB37*$DJ37/$F37,0)</x:f>
        <x:v>37.72003352891869</x:v>
      </x:c>
      <x:c r="V37" s="138" t="n">
        <x:v>0.5</x:v>
      </x:c>
      <x:c r="W37" s="138" t="n">
        <x:v>35</x:v>
      </x:c>
      <x:c r="X37" s="138" t="n">
        <x:v>0.14</x:v>
      </x:c>
      <x:c r="Y37" s="138" t="n">
        <x:v>1.4</x:v>
      </x:c>
      <x:c r="Z37" s="138" t="n">
        <x:v>12</x:v>
      </x:c>
      <x:c r="AA37" s="138" t="n">
        <x:v>0.2</x:v>
      </x:c>
      <x:c r="AB37" s="138" t="n">
        <x:v>1.3</x:v>
      </x:c>
      <x:c r="AC37" s="138" t="s">
        <x:v>843</x:v>
      </x:c>
      <x:c r="AD37" s="138" t="s">
        <x:v>844</x:v>
      </x:c>
      <x:c r="AE37" s="138" t="s">
        <x:v>841</x:v>
      </x:c>
      <x:c r="AF37" s="138" t="n">
        <x:f>IFERROR(DC37*$DJ37/$F37,0)</x:f>
        <x:v>37.72003352891869</x:v>
      </x:c>
      <x:c r="AG37" s="138" t="n">
        <x:v>0.55</x:v>
      </x:c>
      <x:c r="AH37" s="138" t="n">
        <x:v>20</x:v>
      </x:c>
      <x:c r="AI37" s="138" t="n">
        <x:v>0.18</x:v>
      </x:c>
      <x:c r="AJ37" s="138" t="n">
        <x:v>1.5</x:v>
      </x:c>
      <x:c r="AK37" s="138" t="n">
        <x:v>7</x:v>
      </x:c>
      <x:c r="AL37" s="138" t="n">
        <x:v>0.25</x:v>
      </x:c>
      <x:c r="AM37" s="138" t="n">
        <x:v>1.4</x:v>
      </x:c>
      <x:c r="AN37" s="138" t="s">
        <x:v>863</x:v>
      </x:c>
      <x:c r="AO37" s="138" t="s">
        <x:v>864</x:v>
      </x:c>
      <x:c r="AP37" s="138" t="s">
        <x:v>841</x:v>
      </x:c>
      <x:c r="AQ37" s="138" t="n">
        <x:f>IFERROR(DD37*$DJ37/$F37,0)</x:f>
        <x:v>3.772003352891869</x:v>
      </x:c>
      <x:c r="AR37" s="138" t="n">
        <x:v>0.65</x:v>
      </x:c>
      <x:c r="AS37" s="138" t="n">
        <x:v>35</x:v>
      </x:c>
      <x:c r="AT37" s="138" t="n">
        <x:v>0.13</x:v>
      </x:c>
      <x:c r="AU37" s="138" t="n">
        <x:v>1.4</x:v>
      </x:c>
      <x:c r="AV37" s="138" t="n">
        <x:v>15</x:v>
      </x:c>
      <x:c r="AW37" s="138" t="n">
        <x:v>0.18</x:v>
      </x:c>
      <x:c r="AX37" s="138" t="n">
        <x:v>1.3</x:v>
      </x:c>
      <x:c r="AY37" s="138" t="s">
        <x:v>891</x:v>
      </x:c>
      <x:c r="AZ37" s="138" t="s">
        <x:v>892</x:v>
      </x:c>
      <x:c r="BA37" s="138" t="s">
        <x:v>841</x:v>
      </x:c>
      <x:c r="BB37" s="138" t="n">
        <x:f>IFERROR(DE37*$DJ37/$F37,0)</x:f>
        <x:v>0.7544006705783738</x:v>
      </x:c>
      <x:c r="BC37" s="138" t="n">
        <x:v>0.65</x:v>
      </x:c>
      <x:c r="BD37" s="138" t="n">
        <x:v>35</x:v>
      </x:c>
      <x:c r="BE37" s="138" t="n">
        <x:v>0.13</x:v>
      </x:c>
      <x:c r="BF37" s="138" t="n">
        <x:v>1.4</x:v>
      </x:c>
      <x:c r="BG37" s="138" t="n">
        <x:v>15</x:v>
      </x:c>
      <x:c r="BH37" s="138" t="n">
        <x:v>0.18</x:v>
      </x:c>
      <x:c r="BI37" s="138" t="n">
        <x:v>1.3</x:v>
      </x:c>
      <x:c r="BJ37" s="138" t="s">
        <x:v>579</x:v>
      </x:c>
      <x:c r="BK37" s="138" t="s">
        <x:v>842</x:v>
      </x:c>
      <x:c r="BL37" s="138" t="s">
        <x:v>841</x:v>
      </x:c>
      <x:c r="BM37" s="138" t="n">
        <x:f>IFERROR(DF37*$DJ37/$F37,0)</x:f>
        <x:v>0.4526404023470243</x:v>
      </x:c>
      <x:c r="BN37" s="138" t="n">
        <x:v>0.6</x:v>
      </x:c>
      <x:c r="BO37" s="138" t="n">
        <x:v>45</x:v>
      </x:c>
      <x:c r="BP37" s="138" t="n">
        <x:v>0.12</x:v>
      </x:c>
      <x:c r="BQ37" s="138" t="n">
        <x:v>1.4</x:v>
      </x:c>
      <x:c r="BR37" s="138" t="n">
        <x:v>14</x:v>
      </x:c>
      <x:c r="BS37" s="138" t="n">
        <x:v>0.18</x:v>
      </x:c>
      <x:c r="BT37" s="138" t="n">
        <x:v>1.3</x:v>
      </x:c>
      <x:c r="BU37" s="138"/>
      <x:c r="BV37" s="138"/>
      <x:c r="BW37" s="138"/>
      <x:c r="BX37" s="138" t="n">
        <x:f>IFERROR(DG37*$DJ37/$F37,0)</x:f>
        <x:v>0</x:v>
      </x:c>
      <x:c r="BY37" s="138"/>
      <x:c r="BZ37" s="138"/>
      <x:c r="CA37" s="138"/>
      <x:c r="CB37" s="138"/>
      <x:c r="CC37" s="138"/>
      <x:c r="CD37" s="138"/>
      <x:c r="CE37" s="138"/>
      <x:c r="CF37" s="138"/>
      <x:c r="CG37" s="138"/>
      <x:c r="CH37" s="138"/>
      <x:c r="CI37" s="138" t="n">
        <x:f>IFERROR(DH37*$DJ37/$F37,0)</x:f>
        <x:v>0</x:v>
      </x:c>
      <x:c r="CJ37" s="138"/>
      <x:c r="CK37" s="138"/>
      <x:c r="CL37" s="138"/>
      <x:c r="CM37" s="138"/>
      <x:c r="CN37" s="138"/>
      <x:c r="CO37" s="138"/>
      <x:c r="CP37" s="138"/>
      <x:c r="CQ37" s="138"/>
      <x:c r="CR37" s="138"/>
      <x:c r="CS37" s="138"/>
      <x:c r="CT37" s="138" t="n">
        <x:f>IFERROR(DI37*$DJ37/$F37,0)</x:f>
        <x:v>0</x:v>
      </x:c>
      <x:c r="CU37" s="138"/>
      <x:c r="CV37" s="138"/>
      <x:c r="CW37" s="138"/>
      <x:c r="CX37" s="138"/>
      <x:c r="CY37" s="138"/>
      <x:c r="CZ37" s="138"/>
      <x:c r="DA37" s="138"/>
      <x:c r="DB37" s="978" t="n">
        <x:v>500</x:v>
      </x:c>
      <x:c r="DC37" s="978" t="n">
        <x:v>500</x:v>
      </x:c>
      <x:c r="DD37" s="978" t="n">
        <x:v>50</x:v>
      </x:c>
      <x:c r="DE37" s="978" t="n">
        <x:v>10</x:v>
      </x:c>
      <x:c r="DF37" s="978" t="n">
        <x:v>6</x:v>
      </x:c>
      <x:c r="DG37" s="978"/>
      <x:c r="DH37" s="978"/>
      <x:c r="DI37" s="978"/>
      <x:c r="DJ37" s="980" t="n">
        <x:f>'S08_Defaults'!$B$37</x:f>
        <x:v>0.09</x:v>
      </x:c>
      <x:c r="DK37" s="979" t="n">
        <x:f>SUM(U37,AF37,AQ37,BB37,BM37,BX37,CI37,CT37)</x:f>
        <x:v>80.41911148365466</x:v>
      </x:c>
      <x:c r="DL37" s="979" t="n">
        <x:f>G37*DJ37</x:f>
        <x:v>80.4195</x:v>
      </x:c>
      <x:c r="DM37" s="979" t="n">
        <x:f>DK37-DL37</x:f>
        <x:v>-0.00038851634533898505</x:v>
      </x:c>
      <x:c r="DN37" s="977" t="str">
        <x:f>IF(ABS(DM37)&lt;=MAX(0.5,0.05*ABS(DL37)),"OK","REVIEW")</x:f>
        <x:v>OK</x:v>
      </x:c>
    </x:row>
    <x:row r="38" ht="15" hidden="0" customHeight="1">
      <x:c r="A38" s="138" t="s">
        <x:v>639</x:v>
      </x:c>
      <x:c r="B38" s="138" t="str">
        <x:v>Tropical &amp; Subtropical Dry Broadleaf Forests</x:v>
      </x:c>
      <x:c r="C38" s="138" t="s">
        <x:v>912</x:v>
      </x:c>
      <x:c r="D38" s="138" t="s">
        <x:v>553</x:v>
      </x:c>
      <x:c r="E38" s="138" t="n">
        <x:v>2021</x:v>
      </x:c>
      <x:c r="F38" s="138" t="n">
        <x:v>0.8151</x:v>
      </x:c>
      <x:c r="G38" s="138" t="n">
        <x:v>1232.98</x:v>
      </x:c>
      <x:c r="H38" s="138" t="s">
        <x:v>923</x:v>
      </x:c>
      <x:c r="I38" s="138" t="s">
        <x:v>641</x:v>
      </x:c>
      <x:c r="J38" s="139" t="n">
        <x:f aca="0">IF($E38="Unconfirmed","",IFERROR(SUMIF(S15_Source_Strata!$B$4:$B$49,$I38,S15_Source_Strata!$H$4:$H$49),""))</x:f>
        <x:v>35.231333927428075</x:v>
      </x:c>
      <x:c r="K38" s="139" t="n">
        <x:f aca="0">IF($E38="Unconfirmed","",IFERROR(SUMIF(S15_Source_Strata!$B$4:$B$49,$I38,S15_Source_Strata!$I$4:$I$49),""))</x:f>
        <x:v>18.799810537369435</x:v>
      </x:c>
      <x:c r="L38" s="139" t="n">
        <x:f aca="0">IF($E38="Unconfirmed","",IFERROR(SUMIF(S15_Source_Strata!$B$4:$B$49,$I38,S15_Source_Strata!$J$4:$J$49),""))</x:f>
        <x:v>0.5336105234077875</x:v>
      </x:c>
      <x:c r="M38" s="139" t="n">
        <x:f aca="0">IF($E38="Unconfirmed","",IFERROR(SUMIF(S15_Source_Strata!$B$4:$B$49,$I38,S15_Source_Strata!$N$4:$N$49),""))</x:f>
        <x:v>26.423500445571058</x:v>
      </x:c>
      <x:c r="N38" s="139" t="n">
        <x:f aca="0">IF($E38="Unconfirmed","",IFERROR(SUMIF(S15_Source_Strata!$B$4:$B$49,$I38,S15_Source_Strata!$O$4:$O$49),""))</x:f>
        <x:v>0.75</x:v>
      </x:c>
      <x:c r="O38" s="139" t="n">
        <x:f aca="0">IF($E38="Unconfirmed","",IFERROR(SUMIF(S15_Source_Strata!$B$4:$B$49,$I38,S15_Source_Strata!$X$4:$X$49),""))</x:f>
        <x:v>56.46525888548903</x:v>
      </x:c>
      <x:c r="P38" s="139" t="n">
        <x:f aca="0">IF($E38="Unconfirmed","",IFERROR(SUMIF(S15_Source_Strata!$B$4:$B$49,$I38,S15_Source_Strata!$AL$4:$AL$49),""))</x:f>
        <x:v>613.4679951072424</x:v>
      </x:c>
      <x:c r="Q38" s="139" t="str">
        <x:f aca="0">IF($E38="Unconfirmed","",IFERROR(SUMIF(S15_Source_Strata!$B$4:$B$49,$I38,S15_Source_Strata!$K$4:$K$49)&amp;"/"&amp;SUMIF(S15_Source_Strata!$B$4:$B$49,$I38,S15_Source_Strata!$L$4:$L$49),""))</x:f>
        <x:v>1/3</x:v>
      </x:c>
      <x:c r="R38" s="138" t="s">
        <x:v>579</x:v>
      </x:c>
      <x:c r="S38" s="138" t="s">
        <x:v>842</x:v>
      </x:c>
      <x:c r="T38" s="138" t="s">
        <x:v>841</x:v>
      </x:c>
      <x:c r="U38" s="138" t="n">
        <x:f>IFERROR(DB38*$DJ38/$F38,0)</x:f>
        <x:v>41.95804195804195</x:v>
      </x:c>
      <x:c r="V38" s="138" t="n">
        <x:v>0.6</x:v>
      </x:c>
      <x:c r="W38" s="138" t="n">
        <x:v>45</x:v>
      </x:c>
      <x:c r="X38" s="138" t="n">
        <x:v>0.12</x:v>
      </x:c>
      <x:c r="Y38" s="138" t="n">
        <x:v>1.4</x:v>
      </x:c>
      <x:c r="Z38" s="138" t="n">
        <x:v>14</x:v>
      </x:c>
      <x:c r="AA38" s="138" t="n">
        <x:v>0.18</x:v>
      </x:c>
      <x:c r="AB38" s="138" t="n">
        <x:v>1.3</x:v>
      </x:c>
      <x:c r="AC38" s="138" t="s">
        <x:v>851</x:v>
      </x:c>
      <x:c r="AD38" s="138" t="s">
        <x:v>852</x:v>
      </x:c>
      <x:c r="AE38" s="138" t="s">
        <x:v>841</x:v>
      </x:c>
      <x:c r="AF38" s="138" t="n">
        <x:f>IFERROR(DC38*$DJ38/$F38,0)</x:f>
        <x:v>66.24953993375046</x:v>
      </x:c>
      <x:c r="AG38" s="138" t="n">
        <x:v>0.65</x:v>
      </x:c>
      <x:c r="AH38" s="138" t="n">
        <x:v>35</x:v>
      </x:c>
      <x:c r="AI38" s="138" t="n">
        <x:v>0.13</x:v>
      </x:c>
      <x:c r="AJ38" s="138" t="n">
        <x:v>1.4</x:v>
      </x:c>
      <x:c r="AK38" s="138" t="n">
        <x:v>15</x:v>
      </x:c>
      <x:c r="AL38" s="138" t="n">
        <x:v>0.18</x:v>
      </x:c>
      <x:c r="AM38" s="138" t="n">
        <x:v>1.3</x:v>
      </x:c>
      <x:c r="AN38" s="138" t="s">
        <x:v>924</x:v>
      </x:c>
      <x:c r="AO38" s="138" t="s">
        <x:v>925</x:v>
      </x:c>
      <x:c r="AP38" s="138" t="s">
        <x:v>841</x:v>
      </x:c>
      <x:c r="AQ38" s="138" t="n">
        <x:f>IFERROR(DD38*$DJ38/$F38,0)</x:f>
        <x:v>2.760397497239602</x:v>
      </x:c>
      <x:c r="AR38" s="138" t="n">
        <x:v>0.65</x:v>
      </x:c>
      <x:c r="AS38" s="138" t="n">
        <x:v>45</x:v>
      </x:c>
      <x:c r="AT38" s="138" t="n">
        <x:v>0.13</x:v>
      </x:c>
      <x:c r="AU38" s="138" t="n">
        <x:v>1.4</x:v>
      </x:c>
      <x:c r="AV38" s="138" t="n">
        <x:v>20</x:v>
      </x:c>
      <x:c r="AW38" s="138" t="n">
        <x:v>0.17</x:v>
      </x:c>
      <x:c r="AX38" s="138" t="n">
        <x:v>1.3</x:v>
      </x:c>
      <x:c r="AY38" s="138"/>
      <x:c r="AZ38" s="138"/>
      <x:c r="BA38" s="138"/>
      <x:c r="BB38" s="138" t="n">
        <x:f>IFERROR(DE38*$DJ38/$F38,0)</x:f>
        <x:v>0</x:v>
      </x:c>
      <x:c r="BC38" s="138"/>
      <x:c r="BD38" s="138"/>
      <x:c r="BE38" s="138"/>
      <x:c r="BF38" s="138"/>
      <x:c r="BG38" s="138"/>
      <x:c r="BH38" s="138"/>
      <x:c r="BI38" s="138"/>
      <x:c r="BJ38" s="138"/>
      <x:c r="BK38" s="138"/>
      <x:c r="BL38" s="138"/>
      <x:c r="BM38" s="138" t="n">
        <x:f>IFERROR(DF38*$DJ38/$F38,0)</x:f>
        <x:v>0</x:v>
      </x:c>
      <x:c r="BN38" s="138"/>
      <x:c r="BO38" s="138"/>
      <x:c r="BP38" s="138"/>
      <x:c r="BQ38" s="138"/>
      <x:c r="BR38" s="138"/>
      <x:c r="BS38" s="138"/>
      <x:c r="BT38" s="138"/>
      <x:c r="BU38" s="138"/>
      <x:c r="BV38" s="138"/>
      <x:c r="BW38" s="138"/>
      <x:c r="BX38" s="138" t="n">
        <x:f>IFERROR(DG38*$DJ38/$F38,0)</x:f>
        <x:v>0</x:v>
      </x:c>
      <x:c r="BY38" s="138"/>
      <x:c r="BZ38" s="138"/>
      <x:c r="CA38" s="138"/>
      <x:c r="CB38" s="138"/>
      <x:c r="CC38" s="138"/>
      <x:c r="CD38" s="138"/>
      <x:c r="CE38" s="138"/>
      <x:c r="CF38" s="138"/>
      <x:c r="CG38" s="138"/>
      <x:c r="CH38" s="138"/>
      <x:c r="CI38" s="138" t="n">
        <x:f>IFERROR(DH38*$DJ38/$F38,0)</x:f>
        <x:v>0</x:v>
      </x:c>
      <x:c r="CJ38" s="138"/>
      <x:c r="CK38" s="138"/>
      <x:c r="CL38" s="138"/>
      <x:c r="CM38" s="138"/>
      <x:c r="CN38" s="138"/>
      <x:c r="CO38" s="138"/>
      <x:c r="CP38" s="138"/>
      <x:c r="CQ38" s="138"/>
      <x:c r="CR38" s="138"/>
      <x:c r="CS38" s="138"/>
      <x:c r="CT38" s="138" t="n">
        <x:f>IFERROR(DI38*$DJ38/$F38,0)</x:f>
        <x:v>0</x:v>
      </x:c>
      <x:c r="CU38" s="138"/>
      <x:c r="CV38" s="138"/>
      <x:c r="CW38" s="138"/>
      <x:c r="CX38" s="138"/>
      <x:c r="CY38" s="138"/>
      <x:c r="CZ38" s="138"/>
      <x:c r="DA38" s="138"/>
      <x:c r="DB38" s="978" t="n">
        <x:v>380</x:v>
      </x:c>
      <x:c r="DC38" s="978" t="n">
        <x:v>600</x:v>
      </x:c>
      <x:c r="DD38" s="978" t="n">
        <x:v>25</x:v>
      </x:c>
      <x:c r="DE38" s="978"/>
      <x:c r="DF38" s="978"/>
      <x:c r="DG38" s="978"/>
      <x:c r="DH38" s="978"/>
      <x:c r="DI38" s="978"/>
      <x:c r="DJ38" s="980" t="n">
        <x:f>'S08_Defaults'!$B$37</x:f>
        <x:v>0.09</x:v>
      </x:c>
      <x:c r="DK38" s="979" t="n">
        <x:f>SUM(U38,AF38,AQ38,BB38,BM38,BX38,CI38,CT38)</x:f>
        <x:v>110.96797938903202</x:v>
      </x:c>
      <x:c r="DL38" s="979" t="n">
        <x:f>G38*DJ38</x:f>
        <x:v>110.9682</x:v>
      </x:c>
      <x:c r="DM38" s="979" t="n">
        <x:f>DK38-DL38</x:f>
        <x:v>-0.0002206109679718793</x:v>
      </x:c>
      <x:c r="DN38" s="977" t="str">
        <x:f>IF(ABS(DM38)&lt;=MAX(0.5,0.05*ABS(DL38)),"OK","REVIEW")</x:f>
        <x:v>OK</x:v>
      </x:c>
    </x:row>
    <x:row r="39" ht="15" hidden="0" customHeight="1">
      <x:c r="A39" s="138" t="s">
        <x:v>642</x:v>
      </x:c>
      <x:c r="B39" s="138" t="str">
        <x:v>Deserts &amp; Xeric Shrublands</x:v>
      </x:c>
      <x:c r="C39" s="138" t="s">
        <x:v>912</x:v>
      </x:c>
      <x:c r="D39" s="138" t="s">
        <x:v>542</x:v>
      </x:c>
      <x:c r="E39" s="138" t="n">
        <x:v>2022</x:v>
      </x:c>
      <x:c r="F39" s="138" t="n">
        <x:v>0.869</x:v>
      </x:c>
      <x:c r="G39" s="138" t="n">
        <x:v>2071.35</x:v>
      </x:c>
      <x:c r="H39" s="138" t="s">
        <x:v>926</x:v>
      </x:c>
      <x:c r="I39" s="138" t="s">
        <x:v>644</x:v>
      </x:c>
      <x:c r="J39" s="139" t="n">
        <x:f aca="0">IF($E39="Unconfirmed","",IFERROR(SUMIF(S15_Source_Strata!$B$4:$B$49,$I39,S15_Source_Strata!$H$4:$H$49),""))</x:f>
        <x:v>211.76425129807433</x:v>
      </x:c>
      <x:c r="K39" s="139" t="n">
        <x:f aca="0">IF($E39="Unconfirmed","",IFERROR(SUMIF(S15_Source_Strata!$B$4:$B$49,$I39,S15_Source_Strata!$I$4:$I$49),""))</x:f>
        <x:v>179.91226003184036</x:v>
      </x:c>
      <x:c r="L39" s="139" t="n">
        <x:f aca="0">IF($E39="Unconfirmed","",IFERROR(SUMIF(S15_Source_Strata!$B$4:$B$49,$I39,S15_Source_Strata!$J$4:$J$49),""))</x:f>
        <x:v>0.8495874961378639</x:v>
      </x:c>
      <x:c r="M39" s="139" t="n">
        <x:f aca="0">IF($E39="Unconfirmed","",IFERROR(SUMIF(S15_Source_Strata!$B$4:$B$49,$I39,S15_Source_Strata!$N$4:$N$49),""))</x:f>
        <x:v>158.82318847355575</x:v>
      </x:c>
      <x:c r="N39" s="139" t="n">
        <x:f aca="0">IF($E39="Unconfirmed","",IFERROR(SUMIF(S15_Source_Strata!$B$4:$B$49,$I39,S15_Source_Strata!$O$4:$O$49),""))</x:f>
        <x:v>0.75</x:v>
      </x:c>
      <x:c r="O39" s="139" t="n">
        <x:f aca="0">IF($E39="Unconfirmed","",IFERROR(SUMIF(S15_Source_Strata!$B$4:$B$49,$I39,S15_Source_Strata!$X$4:$X$49),""))</x:f>
        <x:v>339.39456555542404</x:v>
      </x:c>
      <x:c r="P39" s="139" t="n">
        <x:f aca="0">IF($E39="Unconfirmed","",IFERROR(SUMIF(S15_Source_Strata!$B$4:$B$49,$I39,S15_Source_Strata!$AL$4:$AL$49),""))</x:f>
        <x:v>5256.134146966479</x:v>
      </x:c>
      <x:c r="Q39" s="139" t="str">
        <x:f aca="0">IF($E39="Unconfirmed","",IFERROR(SUMIF(S15_Source_Strata!$B$4:$B$49,$I39,S15_Source_Strata!$K$4:$K$49)&amp;"/"&amp;SUMIF(S15_Source_Strata!$B$4:$B$49,$I39,S15_Source_Strata!$L$4:$L$49),""))</x:f>
        <x:v>1/3</x:v>
      </x:c>
      <x:c r="R39" s="138" t="s">
        <x:v>846</x:v>
      </x:c>
      <x:c r="S39" s="138" t="s">
        <x:v>847</x:v>
      </x:c>
      <x:c r="T39" s="138" t="s">
        <x:v>841</x:v>
      </x:c>
      <x:c r="U39" s="138" t="n">
        <x:f>IFERROR(DB39*$DJ39/$F39,0)</x:f>
        <x:v>186.42117376294593</x:v>
      </x:c>
      <x:c r="V39" s="138" t="n">
        <x:v>0.55</x:v>
      </x:c>
      <x:c r="W39" s="138" t="n">
        <x:v>20</x:v>
      </x:c>
      <x:c r="X39" s="138" t="n">
        <x:v>0.18</x:v>
      </x:c>
      <x:c r="Y39" s="138" t="n">
        <x:v>1.5</x:v>
      </x:c>
      <x:c r="Z39" s="138" t="n">
        <x:v>7</x:v>
      </x:c>
      <x:c r="AA39" s="138" t="n">
        <x:v>0.25</x:v>
      </x:c>
      <x:c r="AB39" s="138" t="n">
        <x:v>1.4</x:v>
      </x:c>
      <x:c r="AC39" s="138" t="s">
        <x:v>861</x:v>
      </x:c>
      <x:c r="AD39" s="138" t="s">
        <x:v>862</x:v>
      </x:c>
      <x:c r="AE39" s="138" t="s">
        <x:v>841</x:v>
      </x:c>
      <x:c r="AF39" s="138" t="n">
        <x:f>IFERROR(DC39*$DJ39/$F39,0)</x:f>
        <x:v>1.0356731875719216</x:v>
      </x:c>
      <x:c r="AG39" s="138" t="n">
        <x:v>0.65</x:v>
      </x:c>
      <x:c r="AH39" s="138" t="n">
        <x:v>35</x:v>
      </x:c>
      <x:c r="AI39" s="138" t="n">
        <x:v>0.13</x:v>
      </x:c>
      <x:c r="AJ39" s="138" t="n">
        <x:v>1.4</x:v>
      </x:c>
      <x:c r="AK39" s="138" t="n">
        <x:v>15</x:v>
      </x:c>
      <x:c r="AL39" s="138" t="n">
        <x:v>0.18</x:v>
      </x:c>
      <x:c r="AM39" s="138" t="n">
        <x:v>1.3</x:v>
      </x:c>
      <x:c r="AN39" s="138" t="s">
        <x:v>891</x:v>
      </x:c>
      <x:c r="AO39" s="138" t="s">
        <x:v>892</x:v>
      </x:c>
      <x:c r="AP39" s="138" t="s">
        <x:v>841</x:v>
      </x:c>
      <x:c r="AQ39" s="138" t="n">
        <x:f>IFERROR(DD39*$DJ39/$F39,0)</x:f>
        <x:v>1.5535097813578824</x:v>
      </x:c>
      <x:c r="AR39" s="138" t="n">
        <x:v>0.65</x:v>
      </x:c>
      <x:c r="AS39" s="138" t="n">
        <x:v>35</x:v>
      </x:c>
      <x:c r="AT39" s="138" t="n">
        <x:v>0.13</x:v>
      </x:c>
      <x:c r="AU39" s="138" t="n">
        <x:v>1.4</x:v>
      </x:c>
      <x:c r="AV39" s="138" t="n">
        <x:v>15</x:v>
      </x:c>
      <x:c r="AW39" s="138" t="n">
        <x:v>0.18</x:v>
      </x:c>
      <x:c r="AX39" s="138" t="n">
        <x:v>1.3</x:v>
      </x:c>
      <x:c r="AY39" s="138" t="s">
        <x:v>927</x:v>
      </x:c>
      <x:c r="AZ39" s="138" t="s">
        <x:v>928</x:v>
      </x:c>
      <x:c r="BA39" s="138" t="s">
        <x:v>841</x:v>
      </x:c>
      <x:c r="BB39" s="138" t="n">
        <x:f>IFERROR(DE39*$DJ39/$F39,0)</x:f>
        <x:v>1.0356731875719216</x:v>
      </x:c>
      <x:c r="BC39" s="138" t="n">
        <x:v>0.65</x:v>
      </x:c>
      <x:c r="BD39" s="138" t="n">
        <x:v>35</x:v>
      </x:c>
      <x:c r="BE39" s="138" t="n">
        <x:v>0.13</x:v>
      </x:c>
      <x:c r="BF39" s="138" t="n">
        <x:v>1.4</x:v>
      </x:c>
      <x:c r="BG39" s="138" t="n">
        <x:v>15</x:v>
      </x:c>
      <x:c r="BH39" s="138" t="n">
        <x:v>0.18</x:v>
      </x:c>
      <x:c r="BI39" s="138" t="n">
        <x:v>1.3</x:v>
      </x:c>
      <x:c r="BJ39" s="138"/>
      <x:c r="BK39" s="138"/>
      <x:c r="BL39" s="138"/>
      <x:c r="BM39" s="138" t="n">
        <x:f>IFERROR(DF39*$DJ39/$F39,0)</x:f>
        <x:v>0</x:v>
      </x:c>
      <x:c r="BN39" s="138"/>
      <x:c r="BO39" s="138"/>
      <x:c r="BP39" s="138"/>
      <x:c r="BQ39" s="138"/>
      <x:c r="BR39" s="138"/>
      <x:c r="BS39" s="138"/>
      <x:c r="BT39" s="138"/>
      <x:c r="BU39" s="138"/>
      <x:c r="BV39" s="138"/>
      <x:c r="BW39" s="138"/>
      <x:c r="BX39" s="138" t="n">
        <x:f>IFERROR(DG39*$DJ39/$F39,0)</x:f>
        <x:v>0</x:v>
      </x:c>
      <x:c r="BY39" s="138"/>
      <x:c r="BZ39" s="138"/>
      <x:c r="CA39" s="138"/>
      <x:c r="CB39" s="138"/>
      <x:c r="CC39" s="138"/>
      <x:c r="CD39" s="138"/>
      <x:c r="CE39" s="138"/>
      <x:c r="CF39" s="138"/>
      <x:c r="CG39" s="138"/>
      <x:c r="CH39" s="138"/>
      <x:c r="CI39" s="138" t="n">
        <x:f>IFERROR(DH39*$DJ39/$F39,0)</x:f>
        <x:v>0</x:v>
      </x:c>
      <x:c r="CJ39" s="138"/>
      <x:c r="CK39" s="138"/>
      <x:c r="CL39" s="138"/>
      <x:c r="CM39" s="138"/>
      <x:c r="CN39" s="138"/>
      <x:c r="CO39" s="138"/>
      <x:c r="CP39" s="138"/>
      <x:c r="CQ39" s="138"/>
      <x:c r="CR39" s="138"/>
      <x:c r="CS39" s="138"/>
      <x:c r="CT39" s="138" t="n">
        <x:f>IFERROR(DI39*$DJ39/$F39,0)</x:f>
        <x:v>0</x:v>
      </x:c>
      <x:c r="CU39" s="138"/>
      <x:c r="CV39" s="138"/>
      <x:c r="CW39" s="138"/>
      <x:c r="CX39" s="138"/>
      <x:c r="CY39" s="138"/>
      <x:c r="CZ39" s="138"/>
      <x:c r="DA39" s="138"/>
      <x:c r="DB39" s="978" t="n">
        <x:v>1800</x:v>
      </x:c>
      <x:c r="DC39" s="978" t="n">
        <x:v>10</x:v>
      </x:c>
      <x:c r="DD39" s="978" t="n">
        <x:v>15</x:v>
      </x:c>
      <x:c r="DE39" s="978" t="n">
        <x:v>10</x:v>
      </x:c>
      <x:c r="DF39" s="978"/>
      <x:c r="DG39" s="978"/>
      <x:c r="DH39" s="978"/>
      <x:c r="DI39" s="978"/>
      <x:c r="DJ39" s="980" t="n">
        <x:f>'S08_Defaults'!$B$37</x:f>
        <x:v>0.09</x:v>
      </x:c>
      <x:c r="DK39" s="979" t="n">
        <x:f>SUM(U39,AF39,AQ39,BB39,BM39,BX39,CI39,CT39)</x:f>
        <x:v>190.04602991944765</x:v>
      </x:c>
      <x:c r="DL39" s="979" t="n">
        <x:f>G39*DJ39</x:f>
        <x:v>186.42149999999998</x:v>
      </x:c>
      <x:c r="DM39" s="979" t="n">
        <x:f>DK39-DL39</x:f>
        <x:v>3.6245299194476672</x:v>
      </x:c>
      <x:c r="DN39" s="977" t="str">
        <x:f>IF(ABS(DM39)&lt;=MAX(0.5,0.05*ABS(DL39)),"OK","REVIEW")</x:f>
        <x:v>OK</x:v>
      </x:c>
    </x:row>
    <x:row r="40" ht="15" hidden="0" customHeight="1">
      <x:c r="A40" s="138" t="s">
        <x:v>645</x:v>
      </x:c>
      <x:c r="B40" s="138" t="str">
        <x:v>Tropical &amp; Subtropical Dry Broadleaf Forests</x:v>
      </x:c>
      <x:c r="C40" s="138" t="s">
        <x:v>912</x:v>
      </x:c>
      <x:c r="D40" s="138" t="s">
        <x:v>553</x:v>
      </x:c>
      <x:c r="E40" s="138" t="n">
        <x:v>2023</x:v>
      </x:c>
      <x:c r="F40" s="138" t="n">
        <x:v>1.6105</x:v>
      </x:c>
      <x:c r="G40" s="138" t="n">
        <x:v>340.27</x:v>
      </x:c>
      <x:c r="H40" s="138" t="s">
        <x:v>929</x:v>
      </x:c>
      <x:c r="I40" s="138" t="s">
        <x:v>647</x:v>
      </x:c>
      <x:c r="J40" s="139" t="n">
        <x:f aca="0">IF($E40="Unconfirmed","",IFERROR(SUMIF(S15_Source_Strata!$B$4:$B$49,$I40,S15_Source_Strata!$H$4:$H$49),""))</x:f>
        <x:v>7.739437128620029</x:v>
      </x:c>
      <x:c r="K40" s="139" t="n">
        <x:f aca="0">IF($E40="Unconfirmed","",IFERROR(SUMIF(S15_Source_Strata!$B$4:$B$49,$I40,S15_Source_Strata!$I$4:$I$49),""))</x:f>
        <x:v>3.9756425093886825</x:v>
      </x:c>
      <x:c r="L40" s="139" t="n">
        <x:f aca="0">IF($E40="Unconfirmed","",IFERROR(SUMIF(S15_Source_Strata!$B$4:$B$49,$I40,S15_Source_Strata!$J$4:$J$49),""))</x:f>
        <x:v>0.5136862595196965</x:v>
      </x:c>
      <x:c r="M40" s="139" t="n">
        <x:f aca="0">IF($E40="Unconfirmed","",IFERROR(SUMIF(S15_Source_Strata!$B$4:$B$49,$I40,S15_Source_Strata!$N$4:$N$49),""))</x:f>
        <x:v>5.804577846465022</x:v>
      </x:c>
      <x:c r="N40" s="139" t="n">
        <x:f aca="0">IF($E40="Unconfirmed","",IFERROR(SUMIF(S15_Source_Strata!$B$4:$B$49,$I40,S15_Source_Strata!$O$4:$O$49),""))</x:f>
        <x:v>0.75</x:v>
      </x:c>
      <x:c r="O40" s="139" t="n">
        <x:f aca="0">IF($E40="Unconfirmed","",IFERROR(SUMIF(S15_Source_Strata!$B$4:$B$49,$I40,S15_Source_Strata!$X$4:$X$49),""))</x:f>
        <x:v>12.403995886039331</x:v>
      </x:c>
      <x:c r="P40" s="139" t="n">
        <x:f aca="0">IF($E40="Unconfirmed","",IFERROR(SUMIF(S15_Source_Strata!$B$4:$B$49,$I40,S15_Source_Strata!$AL$4:$AL$49),""))</x:f>
        <x:v>557.9246430745985</x:v>
      </x:c>
      <x:c r="Q40" s="139" t="str">
        <x:f aca="0">IF($E40="Unconfirmed","",IFERROR(SUMIF(S15_Source_Strata!$B$4:$B$49,$I40,S15_Source_Strata!$K$4:$K$49)&amp;"/"&amp;SUMIF(S15_Source_Strata!$B$4:$B$49,$I40,S15_Source_Strata!$L$4:$L$49),""))</x:f>
        <x:v>1/3</x:v>
      </x:c>
      <x:c r="R40" s="138" t="s">
        <x:v>579</x:v>
      </x:c>
      <x:c r="S40" s="138" t="s">
        <x:v>842</x:v>
      </x:c>
      <x:c r="T40" s="138" t="s">
        <x:v>841</x:v>
      </x:c>
      <x:c r="U40" s="138" t="n">
        <x:f>IFERROR(DB40*$DJ40/$F40,0)</x:f>
        <x:v>7.264824588637069</x:v>
      </x:c>
      <x:c r="V40" s="138" t="n">
        <x:v>0.6</x:v>
      </x:c>
      <x:c r="W40" s="138" t="n">
        <x:v>45</x:v>
      </x:c>
      <x:c r="X40" s="138" t="n">
        <x:v>0.12</x:v>
      </x:c>
      <x:c r="Y40" s="138" t="n">
        <x:v>1.4</x:v>
      </x:c>
      <x:c r="Z40" s="138" t="n">
        <x:v>14</x:v>
      </x:c>
      <x:c r="AA40" s="138" t="n">
        <x:v>0.18</x:v>
      </x:c>
      <x:c r="AB40" s="138" t="n">
        <x:v>1.3</x:v>
      </x:c>
      <x:c r="AC40" s="138" t="s">
        <x:v>858</x:v>
      </x:c>
      <x:c r="AD40" s="138" t="s">
        <x:v>859</x:v>
      </x:c>
      <x:c r="AE40" s="138" t="s">
        <x:v>841</x:v>
      </x:c>
      <x:c r="AF40" s="138" t="n">
        <x:f>IFERROR(DC40*$DJ40/$F40,0)</x:f>
        <x:v>11.176653213287798</x:v>
      </x:c>
      <x:c r="AG40" s="138" t="n">
        <x:v>0.6</x:v>
      </x:c>
      <x:c r="AH40" s="138" t="n">
        <x:v>25</x:v>
      </x:c>
      <x:c r="AI40" s="138" t="n">
        <x:v>0.18</x:v>
      </x:c>
      <x:c r="AJ40" s="138" t="n">
        <x:v>1.5</x:v>
      </x:c>
      <x:c r="AK40" s="138" t="n">
        <x:v>8</x:v>
      </x:c>
      <x:c r="AL40" s="138" t="n">
        <x:v>0.25</x:v>
      </x:c>
      <x:c r="AM40" s="138" t="n">
        <x:v>1.4</x:v>
      </x:c>
      <x:c r="AN40" s="138" t="s">
        <x:v>930</x:v>
      </x:c>
      <x:c r="AO40" s="138" t="s">
        <x:v>931</x:v>
      </x:c>
      <x:c r="AP40" s="138" t="s">
        <x:v>841</x:v>
      </x:c>
      <x:c r="AQ40" s="138" t="n">
        <x:f>IFERROR(DD40*$DJ40/$F40,0)</x:f>
        <x:v>22.353306426575596</x:v>
      </x:c>
      <x:c r="AR40" s="138" t="n">
        <x:v>0.65</x:v>
      </x:c>
      <x:c r="AS40" s="138" t="n">
        <x:v>45</x:v>
      </x:c>
      <x:c r="AT40" s="138" t="n">
        <x:v>0.13</x:v>
      </x:c>
      <x:c r="AU40" s="138" t="n">
        <x:v>1.4</x:v>
      </x:c>
      <x:c r="AV40" s="138" t="n">
        <x:v>20</x:v>
      </x:c>
      <x:c r="AW40" s="138" t="n">
        <x:v>0.17</x:v>
      </x:c>
      <x:c r="AX40" s="138" t="n">
        <x:v>1.3</x:v>
      </x:c>
      <x:c r="AY40" s="138" t="s">
        <x:v>924</x:v>
      </x:c>
      <x:c r="AZ40" s="138" t="s">
        <x:v>925</x:v>
      </x:c>
      <x:c r="BA40" s="138" t="s">
        <x:v>841</x:v>
      </x:c>
      <x:c r="BB40" s="138" t="n">
        <x:f>IFERROR(DE40*$DJ40/$F40,0)</x:f>
        <x:v>0.670599192797268</x:v>
      </x:c>
      <x:c r="BC40" s="138" t="n">
        <x:v>0.65</x:v>
      </x:c>
      <x:c r="BD40" s="138" t="n">
        <x:v>45</x:v>
      </x:c>
      <x:c r="BE40" s="138" t="n">
        <x:v>0.13</x:v>
      </x:c>
      <x:c r="BF40" s="138" t="n">
        <x:v>1.4</x:v>
      </x:c>
      <x:c r="BG40" s="138" t="n">
        <x:v>20</x:v>
      </x:c>
      <x:c r="BH40" s="138" t="n">
        <x:v>0.17</x:v>
      </x:c>
      <x:c r="BI40" s="138" t="n">
        <x:v>1.3</x:v>
      </x:c>
      <x:c r="BJ40" s="138" t="s">
        <x:v>846</x:v>
      </x:c>
      <x:c r="BK40" s="138" t="s">
        <x:v>847</x:v>
      </x:c>
      <x:c r="BL40" s="138" t="s">
        <x:v>841</x:v>
      </x:c>
      <x:c r="BM40" s="138" t="n">
        <x:f>IFERROR(DF40*$DJ40/$F40,0)</x:f>
        <x:v>0.11176653213287797</x:v>
      </x:c>
      <x:c r="BN40" s="138" t="n">
        <x:v>0.55</x:v>
      </x:c>
      <x:c r="BO40" s="138" t="n">
        <x:v>20</x:v>
      </x:c>
      <x:c r="BP40" s="138" t="n">
        <x:v>0.18</x:v>
      </x:c>
      <x:c r="BQ40" s="138" t="n">
        <x:v>1.5</x:v>
      </x:c>
      <x:c r="BR40" s="138" t="n">
        <x:v>7</x:v>
      </x:c>
      <x:c r="BS40" s="138" t="n">
        <x:v>0.25</x:v>
      </x:c>
      <x:c r="BT40" s="138" t="n">
        <x:v>1.4</x:v>
      </x:c>
      <x:c r="BU40" s="138" t="s">
        <x:v>891</x:v>
      </x:c>
      <x:c r="BV40" s="138" t="s">
        <x:v>892</x:v>
      </x:c>
      <x:c r="BW40" s="138" t="s">
        <x:v>841</x:v>
      </x:c>
      <x:c r="BX40" s="138" t="n">
        <x:f>IFERROR(DG40*$DJ40/$F40,0)</x:f>
        <x:v>0.11176653213287797</x:v>
      </x:c>
      <x:c r="BY40" s="138" t="n">
        <x:v>0.65</x:v>
      </x:c>
      <x:c r="BZ40" s="138" t="n">
        <x:v>35</x:v>
      </x:c>
      <x:c r="CA40" s="138" t="n">
        <x:v>0.13</x:v>
      </x:c>
      <x:c r="CB40" s="138" t="n">
        <x:v>1.4</x:v>
      </x:c>
      <x:c r="CC40" s="138" t="n">
        <x:v>15</x:v>
      </x:c>
      <x:c r="CD40" s="138" t="n">
        <x:v>0.18</x:v>
      </x:c>
      <x:c r="CE40" s="138" t="n">
        <x:v>1.3</x:v>
      </x:c>
      <x:c r="CF40" s="138" t="s">
        <x:v>854</x:v>
      </x:c>
      <x:c r="CG40" s="138" t="s">
        <x:v>855</x:v>
      </x:c>
      <x:c r="CH40" s="138" t="s">
        <x:v>856</x:v>
      </x:c>
      <x:c r="CI40" s="138" t="n">
        <x:f>IFERROR(DH40*$DJ40/$F40,0)</x:f>
        <x:v>0.22353306426575595</x:v>
      </x:c>
      <x:c r="CJ40" s="138" t="n">
        <x:v>0.65</x:v>
      </x:c>
      <x:c r="CK40" s="138" t="n">
        <x:v>35</x:v>
      </x:c>
      <x:c r="CL40" s="138" t="n">
        <x:v>0.13</x:v>
      </x:c>
      <x:c r="CM40" s="138" t="n">
        <x:v>1.4</x:v>
      </x:c>
      <x:c r="CN40" s="138" t="n">
        <x:v>15</x:v>
      </x:c>
      <x:c r="CO40" s="138" t="n">
        <x:v>0.18</x:v>
      </x:c>
      <x:c r="CP40" s="138" t="n">
        <x:v>1.3</x:v>
      </x:c>
      <x:c r="CQ40" s="138" t="s">
        <x:v>848</x:v>
      </x:c>
      <x:c r="CR40" s="138" t="s">
        <x:v>849</x:v>
      </x:c>
      <x:c r="CS40" s="138" t="s">
        <x:v>841</x:v>
      </x:c>
      <x:c r="CT40" s="138" t="n">
        <x:f>IFERROR(DI40*$DJ40/$F40,0)</x:f>
        <x:v>0</x:v>
      </x:c>
      <x:c r="CU40" s="138" t="n">
        <x:v>0.6</x:v>
      </x:c>
      <x:c r="CV40" s="138" t="n">
        <x:v>25</x:v>
      </x:c>
      <x:c r="CW40" s="138" t="n">
        <x:v>0.18</x:v>
      </x:c>
      <x:c r="CX40" s="138" t="n">
        <x:v>1.5</x:v>
      </x:c>
      <x:c r="CY40" s="138" t="n">
        <x:v>8</x:v>
      </x:c>
      <x:c r="CZ40" s="138" t="n">
        <x:v>0.25</x:v>
      </x:c>
      <x:c r="DA40" s="138" t="n">
        <x:v>1.4</x:v>
      </x:c>
      <x:c r="DB40" s="978" t="n">
        <x:v>130</x:v>
      </x:c>
      <x:c r="DC40" s="978" t="n">
        <x:v>200</x:v>
      </x:c>
      <x:c r="DD40" s="978" t="n">
        <x:v>400</x:v>
      </x:c>
      <x:c r="DE40" s="978" t="n">
        <x:v>12</x:v>
      </x:c>
      <x:c r="DF40" s="978" t="n">
        <x:v>2</x:v>
      </x:c>
      <x:c r="DG40" s="978" t="n">
        <x:v>2</x:v>
      </x:c>
      <x:c r="DH40" s="978" t="n">
        <x:v>4</x:v>
      </x:c>
      <x:c r="DI40" s="978" t="n">
        <x:v>0</x:v>
      </x:c>
      <x:c r="DJ40" s="980" t="n">
        <x:f>'S08_Defaults'!$B$37</x:f>
        <x:v>0.09</x:v>
      </x:c>
      <x:c r="DK40" s="979" t="n">
        <x:f>SUM(U40,AF40,AQ40,BB40,BM40,BX40,CI40,CT40)</x:f>
        <x:v>41.91244954982924</x:v>
      </x:c>
      <x:c r="DL40" s="979" t="n">
        <x:f>G40*DJ40</x:f>
        <x:v>30.624299999999998</x:v>
      </x:c>
      <x:c r="DM40" s="979" t="n">
        <x:f>DK40-DL40</x:f>
        <x:v>11.288149549829242</x:v>
      </x:c>
      <x:c r="DN40" s="977" t="str">
        <x:f>IF(ABS(DM40)&lt;=MAX(0.5,0.05*ABS(DL40)),"OK","REVIEW")</x:f>
        <x:v>REVIEW</x:v>
      </x:c>
    </x:row>
    <x:row r="41" ht="15" hidden="0" customHeight="1">
      <x:c r="A41" s="138" t="s">
        <x:v>648</x:v>
      </x:c>
      <x:c r="B41" s="138" t="str">
        <x:v>Tropical &amp; Subtropical Dry Broadleaf Forests</x:v>
      </x:c>
      <x:c r="C41" s="138" t="s">
        <x:v>912</x:v>
      </x:c>
      <x:c r="D41" s="138" t="s">
        <x:v>549</x:v>
      </x:c>
      <x:c r="E41" s="138" t="n">
        <x:v>2024</x:v>
      </x:c>
      <x:c r="F41" s="138" t="n">
        <x:v>0.646</x:v>
      </x:c>
      <x:c r="G41" s="138" t="n">
        <x:v>170.28</x:v>
      </x:c>
      <x:c r="H41" s="138" t="s">
        <x:v>932</x:v>
      </x:c>
      <x:c r="I41" s="138" t="s">
        <x:v>650</x:v>
      </x:c>
      <x:c r="J41" s="139" t="n">
        <x:f aca="0">IF($E41="Unconfirmed","",IFERROR(SUMIF(S15_Source_Strata!$B$4:$B$49,$I41,S15_Source_Strata!$H$4:$H$49),""))</x:f>
        <x:v>0.34927778359215916</x:v>
      </x:c>
      <x:c r="K41" s="139" t="n">
        <x:f aca="0">IF($E41="Unconfirmed","",IFERROR(SUMIF(S15_Source_Strata!$B$4:$B$49,$I41,S15_Source_Strata!$I$4:$I$49),""))</x:f>
        <x:v>0.052064241868414914</x:v>
      </x:c>
      <x:c r="L41" s="139" t="n">
        <x:f aca="0">IF($E41="Unconfirmed","",IFERROR(SUMIF(S15_Source_Strata!$B$4:$B$49,$I41,S15_Source_Strata!$J$4:$J$49),""))</x:f>
        <x:v>0.14906256370776996</x:v>
      </x:c>
      <x:c r="M41" s="139" t="n">
        <x:f aca="0">IF($E41="Unconfirmed","",IFERROR(SUMIF(S15_Source_Strata!$B$4:$B$49,$I41,S15_Source_Strata!$N$4:$N$49),""))</x:f>
        <x:v>0.26195833769411936</x:v>
      </x:c>
      <x:c r="N41" s="139" t="n">
        <x:f aca="0">IF($E41="Unconfirmed","",IFERROR(SUMIF(S15_Source_Strata!$B$4:$B$49,$I41,S15_Source_Strata!$O$4:$O$49),""))</x:f>
        <x:v>0.75</x:v>
      </x:c>
      <x:c r="O41" s="139" t="n">
        <x:f aca="0">IF($E41="Unconfirmed","",IFERROR(SUMIF(S15_Source_Strata!$B$4:$B$49,$I41,S15_Source_Strata!$X$4:$X$49),""))</x:f>
        <x:v>0.559787503763154</x:v>
      </x:c>
      <x:c r="P41" s="139" t="n">
        <x:f aca="0">IF($E41="Unconfirmed","",IFERROR(SUMIF(S15_Source_Strata!$B$4:$B$49,$I41,S15_Source_Strata!$AL$4:$AL$49),""))</x:f>
        <x:v>94.13475185567395</x:v>
      </x:c>
      <x:c r="Q41" s="139" t="str">
        <x:f aca="0">IF($E41="Unconfirmed","",IFERROR(SUMIF(S15_Source_Strata!$B$4:$B$49,$I41,S15_Source_Strata!$K$4:$K$49)&amp;"/"&amp;SUMIF(S15_Source_Strata!$B$4:$B$49,$I41,S15_Source_Strata!$L$4:$L$49),""))</x:f>
        <x:v>1/2</x:v>
      </x:c>
      <x:c r="R41" s="138" t="s">
        <x:v>579</x:v>
      </x:c>
      <x:c r="S41" s="138" t="s">
        <x:v>842</x:v>
      </x:c>
      <x:c r="T41" s="138" t="s">
        <x:v>841</x:v>
      </x:c>
      <x:c r="U41" s="138" t="n">
        <x:f>IFERROR(DB41*$DJ41/$F41,0)</x:f>
        <x:v>2.786377708978328</x:v>
      </x:c>
      <x:c r="V41" s="138" t="n">
        <x:v>0.6</x:v>
      </x:c>
      <x:c r="W41" s="138" t="n">
        <x:v>45</x:v>
      </x:c>
      <x:c r="X41" s="138" t="n">
        <x:v>0.12</x:v>
      </x:c>
      <x:c r="Y41" s="138" t="n">
        <x:v>1.4</x:v>
      </x:c>
      <x:c r="Z41" s="138" t="n">
        <x:v>14</x:v>
      </x:c>
      <x:c r="AA41" s="138" t="n">
        <x:v>0.18</x:v>
      </x:c>
      <x:c r="AB41" s="138" t="n">
        <x:v>1.3</x:v>
      </x:c>
      <x:c r="AC41" s="138" t="s">
        <x:v>933</x:v>
      </x:c>
      <x:c r="AD41" s="138" t="s">
        <x:v>934</x:v>
      </x:c>
      <x:c r="AE41" s="138" t="s">
        <x:v>841</x:v>
      </x:c>
      <x:c r="AF41" s="138" t="n">
        <x:f>IFERROR(DC41*$DJ41/$F41,0)</x:f>
        <x:v>1.393188854489164</x:v>
      </x:c>
      <x:c r="AG41" s="138" t="n">
        <x:v>0.65</x:v>
      </x:c>
      <x:c r="AH41" s="138" t="n">
        <x:v>45</x:v>
      </x:c>
      <x:c r="AI41" s="138" t="n">
        <x:v>0.13</x:v>
      </x:c>
      <x:c r="AJ41" s="138" t="n">
        <x:v>1.4</x:v>
      </x:c>
      <x:c r="AK41" s="138" t="n">
        <x:v>20</x:v>
      </x:c>
      <x:c r="AL41" s="138" t="n">
        <x:v>0.17</x:v>
      </x:c>
      <x:c r="AM41" s="138" t="n">
        <x:v>1.3</x:v>
      </x:c>
      <x:c r="AN41" s="138" t="s">
        <x:v>851</x:v>
      </x:c>
      <x:c r="AO41" s="138" t="s">
        <x:v>852</x:v>
      </x:c>
      <x:c r="AP41" s="138" t="s">
        <x:v>841</x:v>
      </x:c>
      <x:c r="AQ41" s="138" t="n">
        <x:f>IFERROR(DD41*$DJ41/$F41,0)</x:f>
        <x:v>1.393188854489164</x:v>
      </x:c>
      <x:c r="AR41" s="138" t="n">
        <x:v>0.65</x:v>
      </x:c>
      <x:c r="AS41" s="138" t="n">
        <x:v>35</x:v>
      </x:c>
      <x:c r="AT41" s="138" t="n">
        <x:v>0.13</x:v>
      </x:c>
      <x:c r="AU41" s="138" t="n">
        <x:v>1.4</x:v>
      </x:c>
      <x:c r="AV41" s="138" t="n">
        <x:v>15</x:v>
      </x:c>
      <x:c r="AW41" s="138" t="n">
        <x:v>0.18</x:v>
      </x:c>
      <x:c r="AX41" s="138" t="n">
        <x:v>1.3</x:v>
      </x:c>
      <x:c r="AY41" s="138" t="s">
        <x:v>843</x:v>
      </x:c>
      <x:c r="AZ41" s="138" t="s">
        <x:v>844</x:v>
      </x:c>
      <x:c r="BA41" s="138" t="s">
        <x:v>841</x:v>
      </x:c>
      <x:c r="BB41" s="138" t="n">
        <x:f>IFERROR(DE41*$DJ41/$F41,0)</x:f>
        <x:v>4.179566563467492</x:v>
      </x:c>
      <x:c r="BC41" s="138" t="n">
        <x:v>0.55</x:v>
      </x:c>
      <x:c r="BD41" s="138" t="n">
        <x:v>20</x:v>
      </x:c>
      <x:c r="BE41" s="138" t="n">
        <x:v>0.18</x:v>
      </x:c>
      <x:c r="BF41" s="138" t="n">
        <x:v>1.5</x:v>
      </x:c>
      <x:c r="BG41" s="138" t="n">
        <x:v>7</x:v>
      </x:c>
      <x:c r="BH41" s="138" t="n">
        <x:v>0.25</x:v>
      </x:c>
      <x:c r="BI41" s="138" t="n">
        <x:v>1.4</x:v>
      </x:c>
      <x:c r="BJ41" s="138" t="s">
        <x:v>858</x:v>
      </x:c>
      <x:c r="BK41" s="138" t="s">
        <x:v>859</x:v>
      </x:c>
      <x:c r="BL41" s="138" t="s">
        <x:v>841</x:v>
      </x:c>
      <x:c r="BM41" s="138" t="n">
        <x:f>IFERROR(DF41*$DJ41/$F41,0)</x:f>
        <x:v>4.179566563467492</x:v>
      </x:c>
      <x:c r="BN41" s="138" t="n">
        <x:v>0.6</x:v>
      </x:c>
      <x:c r="BO41" s="138" t="n">
        <x:v>25</x:v>
      </x:c>
      <x:c r="BP41" s="138" t="n">
        <x:v>0.18</x:v>
      </x:c>
      <x:c r="BQ41" s="138" t="n">
        <x:v>1.5</x:v>
      </x:c>
      <x:c r="BR41" s="138" t="n">
        <x:v>8</x:v>
      </x:c>
      <x:c r="BS41" s="138" t="n">
        <x:v>0.25</x:v>
      </x:c>
      <x:c r="BT41" s="138" t="n">
        <x:v>1.4</x:v>
      </x:c>
      <x:c r="BU41" s="138" t="s">
        <x:v>848</x:v>
      </x:c>
      <x:c r="BV41" s="138" t="s">
        <x:v>849</x:v>
      </x:c>
      <x:c r="BW41" s="138" t="s">
        <x:v>841</x:v>
      </x:c>
      <x:c r="BX41" s="138" t="n">
        <x:f>IFERROR(DG41*$DJ41/$F41,0)</x:f>
        <x:v>1.393188854489164</x:v>
      </x:c>
      <x:c r="BY41" s="138" t="n">
        <x:v>0.6</x:v>
      </x:c>
      <x:c r="BZ41" s="138" t="n">
        <x:v>25</x:v>
      </x:c>
      <x:c r="CA41" s="138" t="n">
        <x:v>0.18</x:v>
      </x:c>
      <x:c r="CB41" s="138" t="n">
        <x:v>1.5</x:v>
      </x:c>
      <x:c r="CC41" s="138" t="n">
        <x:v>8</x:v>
      </x:c>
      <x:c r="CD41" s="138" t="n">
        <x:v>0.25</x:v>
      </x:c>
      <x:c r="CE41" s="138" t="n">
        <x:v>1.4</x:v>
      </x:c>
      <x:c r="CF41" s="138"/>
      <x:c r="CG41" s="138"/>
      <x:c r="CH41" s="138"/>
      <x:c r="CI41" s="138" t="n">
        <x:f>IFERROR(DH41*$DJ41/$F41,0)</x:f>
        <x:v>0</x:v>
      </x:c>
      <x:c r="CJ41" s="138"/>
      <x:c r="CK41" s="138"/>
      <x:c r="CL41" s="138"/>
      <x:c r="CM41" s="138"/>
      <x:c r="CN41" s="138"/>
      <x:c r="CO41" s="138"/>
      <x:c r="CP41" s="138"/>
      <x:c r="CQ41" s="138"/>
      <x:c r="CR41" s="138"/>
      <x:c r="CS41" s="138"/>
      <x:c r="CT41" s="138" t="n">
        <x:f>IFERROR(DI41*$DJ41/$F41,0)</x:f>
        <x:v>0</x:v>
      </x:c>
      <x:c r="CU41" s="138"/>
      <x:c r="CV41" s="138"/>
      <x:c r="CW41" s="138"/>
      <x:c r="CX41" s="138"/>
      <x:c r="CY41" s="138"/>
      <x:c r="CZ41" s="138"/>
      <x:c r="DA41" s="138"/>
      <x:c r="DB41" s="978" t="n">
        <x:v>20</x:v>
      </x:c>
      <x:c r="DC41" s="978" t="n">
        <x:v>10</x:v>
      </x:c>
      <x:c r="DD41" s="978" t="n">
        <x:v>10</x:v>
      </x:c>
      <x:c r="DE41" s="978" t="n">
        <x:v>30</x:v>
      </x:c>
      <x:c r="DF41" s="978" t="n">
        <x:v>30</x:v>
      </x:c>
      <x:c r="DG41" s="978" t="n">
        <x:v>10</x:v>
      </x:c>
      <x:c r="DH41" s="978"/>
      <x:c r="DI41" s="978"/>
      <x:c r="DJ41" s="980" t="n">
        <x:f>'S08_Defaults'!$B$37</x:f>
        <x:v>0.09</x:v>
      </x:c>
      <x:c r="DK41" s="979" t="n">
        <x:f>SUM(U41,AF41,AQ41,BB41,BM41,BX41,CI41,CT41)</x:f>
        <x:v>15.325077399380802</x:v>
      </x:c>
      <x:c r="DL41" s="979" t="n">
        <x:f>G41*DJ41</x:f>
        <x:v>15.325199999999999</x:v>
      </x:c>
      <x:c r="DM41" s="979" t="n">
        <x:f>DK41-DL41</x:f>
        <x:v>-0.00012260061919633358</x:v>
      </x:c>
      <x:c r="DN41" s="977" t="str">
        <x:f>IF(ABS(DM41)&lt;=MAX(0.5,0.05*ABS(DL41)),"OK","REVIEW")</x:f>
        <x:v>OK</x:v>
      </x:c>
    </x:row>
    <x:row r="42" ht="15" hidden="0" customHeight="1">
      <x:c r="A42" s="138" t="s">
        <x:v>651</x:v>
      </x:c>
      <x:c r="B42" s="138" t="str">
        <x:v>Tropical &amp; Subtropical Dry Broadleaf Forests</x:v>
      </x:c>
      <x:c r="C42" s="138" t="s">
        <x:v>113</x:v>
      </x:c>
      <x:c r="D42" s="138" t="s">
        <x:v>542</x:v>
      </x:c>
      <x:c r="E42" s="138" t="n">
        <x:v>2020</x:v>
      </x:c>
      <x:c r="F42" s="138" t="n">
        <x:v>0.368</x:v>
      </x:c>
      <x:c r="G42" s="138" t="n">
        <x:v>2785.33</x:v>
      </x:c>
      <x:c r="H42" s="138" t="s">
        <x:v>935</x:v>
      </x:c>
      <x:c r="I42" s="138" t="s">
        <x:v>654</x:v>
      </x:c>
      <x:c r="J42" s="139" t="n">
        <x:f aca="0">IF($E42="Unconfirmed","",IFERROR(SUMIF(S15_Source_Strata!$B$4:$B$49,$I42,S15_Source_Strata!$H$4:$H$49),""))</x:f>
        <x:v>1027.020452896974</x:v>
      </x:c>
      <x:c r="K42" s="139" t="n">
        <x:f aca="0">IF($E42="Unconfirmed","",IFERROR(SUMIF(S15_Source_Strata!$B$4:$B$49,$I42,S15_Source_Strata!$I$4:$I$49),""))</x:f>
        <x:v>579.9802734106408</x:v>
      </x:c>
      <x:c r="L42" s="139" t="n">
        <x:f aca="0">IF($E42="Unconfirmed","",IFERROR(SUMIF(S15_Source_Strata!$B$4:$B$49,$I42,S15_Source_Strata!$J$4:$J$49),""))</x:f>
        <x:v>0.5647212494889057</x:v>
      </x:c>
      <x:c r="M42" s="139" t="n">
        <x:f aca="0">IF($E42="Unconfirmed","",IFERROR(SUMIF(S15_Source_Strata!$B$4:$B$49,$I42,S15_Source_Strata!$N$4:$N$49),""))</x:f>
        <x:v>770.2653396727304</x:v>
      </x:c>
      <x:c r="N42" s="139" t="n">
        <x:f aca="0">IF($E42="Unconfirmed","",IFERROR(SUMIF(S15_Source_Strata!$B$4:$B$49,$I42,S15_Source_Strata!$O$4:$O$49),""))</x:f>
        <x:v>0.75</x:v>
      </x:c>
      <x:c r="O42" s="139" t="n">
        <x:f aca="0">IF($E42="Unconfirmed","",IFERROR(SUMIF(S15_Source_Strata!$B$4:$B$49,$I42,S15_Source_Strata!$X$4:$X$49),""))</x:f>
        <x:v>1646.0056798579817</x:v>
      </x:c>
      <x:c r="P42" s="139" t="n">
        <x:f aca="0">IF($E42="Unconfirmed","",IFERROR(SUMIF(S15_Source_Strata!$B$4:$B$49,$I42,S15_Source_Strata!$AL$4:$AL$49),""))</x:f>
        <x:v>7396.124911459077</x:v>
      </x:c>
      <x:c r="Q42" s="139" t="str">
        <x:f aca="0">IF($E42="Unconfirmed","",IFERROR(SUMIF(S15_Source_Strata!$B$4:$B$49,$I42,S15_Source_Strata!$K$4:$K$49)&amp;"/"&amp;SUMIF(S15_Source_Strata!$B$4:$B$49,$I42,S15_Source_Strata!$L$4:$L$49),""))</x:f>
        <x:v>8/8</x:v>
      </x:c>
      <x:c r="R42" s="138" t="s">
        <x:v>670</x:v>
      </x:c>
      <x:c r="S42" s="138" t="s">
        <x:v>877</x:v>
      </x:c>
      <x:c r="T42" s="138" t="s">
        <x:v>841</x:v>
      </x:c>
      <x:c r="U42" s="138" t="n">
        <x:f>IFERROR(DB42*$DJ42/$F42,0)</x:f>
        <x:v>6.114130434782608</x:v>
      </x:c>
      <x:c r="V42" s="138" t="n">
        <x:v>0.55</x:v>
      </x:c>
      <x:c r="W42" s="138" t="n">
        <x:v>50</x:v>
      </x:c>
      <x:c r="X42" s="138" t="n">
        <x:v>0.12</x:v>
      </x:c>
      <x:c r="Y42" s="138" t="n">
        <x:v>1.4</x:v>
      </x:c>
      <x:c r="Z42" s="138" t="n">
        <x:v>25</x:v>
      </x:c>
      <x:c r="AA42" s="138" t="n">
        <x:v>0.15</x:v>
      </x:c>
      <x:c r="AB42" s="138" t="n">
        <x:v>1.3</x:v>
      </x:c>
      <x:c r="AC42" s="138" t="s">
        <x:v>660</x:v>
      </x:c>
      <x:c r="AD42" s="138" t="s">
        <x:v>875</x:v>
      </x:c>
      <x:c r="AE42" s="138" t="s">
        <x:v>841</x:v>
      </x:c>
      <x:c r="AF42" s="138" t="n">
        <x:f>IFERROR(DC42*$DJ42/$F42,0)</x:f>
        <x:v>244.56521739130434</x:v>
      </x:c>
      <x:c r="AG42" s="138" t="n">
        <x:v>0.58</x:v>
      </x:c>
      <x:c r="AH42" s="138" t="n">
        <x:v>55</x:v>
      </x:c>
      <x:c r="AI42" s="138" t="n">
        <x:v>0.16</x:v>
      </x:c>
      <x:c r="AJ42" s="138" t="n">
        <x:v>1.3</x:v>
      </x:c>
      <x:c r="AK42" s="138" t="n">
        <x:v>25</x:v>
      </x:c>
      <x:c r="AL42" s="138" t="n">
        <x:v>0.2</x:v>
      </x:c>
      <x:c r="AM42" s="138" t="n">
        <x:v>1.2</x:v>
      </x:c>
      <x:c r="AN42" s="138"/>
      <x:c r="AO42" s="138"/>
      <x:c r="AP42" s="138"/>
      <x:c r="AQ42" s="138" t="n">
        <x:f>IFERROR(DD42*$DJ42/$F42,0)</x:f>
        <x:v>0</x:v>
      </x:c>
      <x:c r="AR42" s="138"/>
      <x:c r="AS42" s="138"/>
      <x:c r="AT42" s="138"/>
      <x:c r="AU42" s="138"/>
      <x:c r="AV42" s="138"/>
      <x:c r="AW42" s="138"/>
      <x:c r="AX42" s="138"/>
      <x:c r="AY42" s="138"/>
      <x:c r="AZ42" s="138"/>
      <x:c r="BA42" s="138"/>
      <x:c r="BB42" s="138" t="n">
        <x:f>IFERROR(DE42*$DJ42/$F42,0)</x:f>
        <x:v>0</x:v>
      </x:c>
      <x:c r="BC42" s="138"/>
      <x:c r="BD42" s="138"/>
      <x:c r="BE42" s="138"/>
      <x:c r="BF42" s="138"/>
      <x:c r="BG42" s="138"/>
      <x:c r="BH42" s="138"/>
      <x:c r="BI42" s="138"/>
      <x:c r="BJ42" s="138"/>
      <x:c r="BK42" s="138"/>
      <x:c r="BL42" s="138"/>
      <x:c r="BM42" s="138" t="n">
        <x:f>IFERROR(DF42*$DJ42/$F42,0)</x:f>
        <x:v>0</x:v>
      </x:c>
      <x:c r="BN42" s="138"/>
      <x:c r="BO42" s="138"/>
      <x:c r="BP42" s="138"/>
      <x:c r="BQ42" s="138"/>
      <x:c r="BR42" s="138"/>
      <x:c r="BS42" s="138"/>
      <x:c r="BT42" s="138"/>
      <x:c r="BU42" s="138"/>
      <x:c r="BV42" s="138"/>
      <x:c r="BW42" s="138"/>
      <x:c r="BX42" s="138" t="n">
        <x:f>IFERROR(DG42*$DJ42/$F42,0)</x:f>
        <x:v>0</x:v>
      </x:c>
      <x:c r="BY42" s="138"/>
      <x:c r="BZ42" s="138"/>
      <x:c r="CA42" s="138"/>
      <x:c r="CB42" s="138"/>
      <x:c r="CC42" s="138"/>
      <x:c r="CD42" s="138"/>
      <x:c r="CE42" s="138"/>
      <x:c r="CF42" s="138"/>
      <x:c r="CG42" s="138"/>
      <x:c r="CH42" s="138"/>
      <x:c r="CI42" s="138" t="n">
        <x:f>IFERROR(DH42*$DJ42/$F42,0)</x:f>
        <x:v>0</x:v>
      </x:c>
      <x:c r="CJ42" s="138"/>
      <x:c r="CK42" s="138"/>
      <x:c r="CL42" s="138"/>
      <x:c r="CM42" s="138"/>
      <x:c r="CN42" s="138"/>
      <x:c r="CO42" s="138"/>
      <x:c r="CP42" s="138"/>
      <x:c r="CQ42" s="138"/>
      <x:c r="CR42" s="138"/>
      <x:c r="CS42" s="138"/>
      <x:c r="CT42" s="138" t="n">
        <x:f>IFERROR(DI42*$DJ42/$F42,0)</x:f>
        <x:v>0</x:v>
      </x:c>
      <x:c r="CU42" s="138"/>
      <x:c r="CV42" s="138"/>
      <x:c r="CW42" s="138"/>
      <x:c r="CX42" s="138"/>
      <x:c r="CY42" s="138"/>
      <x:c r="CZ42" s="138"/>
      <x:c r="DA42" s="138"/>
      <x:c r="DB42" s="978" t="n">
        <x:v>25</x:v>
      </x:c>
      <x:c r="DC42" s="978" t="n">
        <x:v>1000</x:v>
      </x:c>
      <x:c r="DD42" s="978"/>
      <x:c r="DE42" s="978"/>
      <x:c r="DF42" s="978"/>
      <x:c r="DG42" s="978"/>
      <x:c r="DH42" s="978"/>
      <x:c r="DI42" s="978"/>
      <x:c r="DJ42" s="980" t="n">
        <x:f>'S08_Defaults'!$B$37</x:f>
        <x:v>0.09</x:v>
      </x:c>
      <x:c r="DK42" s="979" t="n">
        <x:f>SUM(U42,AF42,AQ42,BB42,BM42,BX42,CI42,CT42)</x:f>
        <x:v>250.67934782608694</x:v>
      </x:c>
      <x:c r="DL42" s="979" t="n">
        <x:f>G42*DJ42</x:f>
        <x:v>250.6797</x:v>
      </x:c>
      <x:c r="DM42" s="979" t="n">
        <x:f>DK42-DL42</x:f>
        <x:v>-0.0003521739130576407</x:v>
      </x:c>
      <x:c r="DN42" s="977" t="str">
        <x:f>IF(ABS(DM42)&lt;=MAX(0.5,0.05*ABS(DL42)),"OK","REVIEW")</x:f>
        <x:v>OK</x:v>
      </x:c>
    </x:row>
    <x:row r="43" ht="15" hidden="0" customHeight="1">
      <x:c r="A43" s="138" t="s">
        <x:v>655</x:v>
      </x:c>
      <x:c r="B43" s="138" t="str">
        <x:v>Tropical &amp; Subtropical Dry Broadleaf Forests</x:v>
      </x:c>
      <x:c r="C43" s="138" t="s">
        <x:v>113</x:v>
      </x:c>
      <x:c r="D43" s="138" t="s">
        <x:v>542</x:v>
      </x:c>
      <x:c r="E43" s="138" t="n">
        <x:v>2020</x:v>
      </x:c>
      <x:c r="F43" s="138" t="n">
        <x:v>0.6444</x:v>
      </x:c>
      <x:c r="G43" s="138" t="n">
        <x:v>2172.56</x:v>
      </x:c>
      <x:c r="H43" s="138" t="s">
        <x:v>936</x:v>
      </x:c>
      <x:c r="I43" s="138" t="s">
        <x:v>654</x:v>
      </x:c>
      <x:c r="J43" s="139" t="n">
        <x:f aca="0">IF($E43="Unconfirmed","",IFERROR(SUMIF(S15_Source_Strata!$B$4:$B$49,$I43,S15_Source_Strata!$H$4:$H$49),""))</x:f>
        <x:v>1027.020452896974</x:v>
      </x:c>
      <x:c r="K43" s="139" t="n">
        <x:f aca="0">IF($E43="Unconfirmed","",IFERROR(SUMIF(S15_Source_Strata!$B$4:$B$49,$I43,S15_Source_Strata!$I$4:$I$49),""))</x:f>
        <x:v>579.9802734106408</x:v>
      </x:c>
      <x:c r="L43" s="139" t="n">
        <x:f aca="0">IF($E43="Unconfirmed","",IFERROR(SUMIF(S15_Source_Strata!$B$4:$B$49,$I43,S15_Source_Strata!$J$4:$J$49),""))</x:f>
        <x:v>0.5647212494889057</x:v>
      </x:c>
      <x:c r="M43" s="139" t="n">
        <x:f aca="0">IF($E43="Unconfirmed","",IFERROR(SUMIF(S15_Source_Strata!$B$4:$B$49,$I43,S15_Source_Strata!$N$4:$N$49),""))</x:f>
        <x:v>770.2653396727304</x:v>
      </x:c>
      <x:c r="N43" s="139" t="n">
        <x:f aca="0">IF($E43="Unconfirmed","",IFERROR(SUMIF(S15_Source_Strata!$B$4:$B$49,$I43,S15_Source_Strata!$O$4:$O$49),""))</x:f>
        <x:v>0.75</x:v>
      </x:c>
      <x:c r="O43" s="139" t="n">
        <x:f aca="0">IF($E43="Unconfirmed","",IFERROR(SUMIF(S15_Source_Strata!$B$4:$B$49,$I43,S15_Source_Strata!$X$4:$X$49),""))</x:f>
        <x:v>1646.0056798579817</x:v>
      </x:c>
      <x:c r="P43" s="139" t="n">
        <x:f aca="0">IF($E43="Unconfirmed","",IFERROR(SUMIF(S15_Source_Strata!$B$4:$B$49,$I43,S15_Source_Strata!$AL$4:$AL$49),""))</x:f>
        <x:v>7396.124911459077</x:v>
      </x:c>
      <x:c r="Q43" s="139" t="str">
        <x:f aca="0">IF($E43="Unconfirmed","",IFERROR(SUMIF(S15_Source_Strata!$B$4:$B$49,$I43,S15_Source_Strata!$K$4:$K$49)&amp;"/"&amp;SUMIF(S15_Source_Strata!$B$4:$B$49,$I43,S15_Source_Strata!$L$4:$L$49),""))</x:f>
        <x:v>8/8</x:v>
      </x:c>
      <x:c r="R43" s="138" t="s">
        <x:v>656</x:v>
      </x:c>
      <x:c r="S43" s="138" t="s">
        <x:v>903</x:v>
      </x:c>
      <x:c r="T43" s="138" t="s">
        <x:v>841</x:v>
      </x:c>
      <x:c r="U43" s="138" t="n">
        <x:f>IFERROR(DB43*$DJ43/$F43,0)</x:f>
        <x:v>195.53072625698326</x:v>
      </x:c>
      <x:c r="V43" s="138" t="n">
        <x:v>0.75</x:v>
      </x:c>
      <x:c r="W43" s="138" t="n">
        <x:v>25</x:v>
      </x:c>
      <x:c r="X43" s="138" t="n">
        <x:v>0.1</x:v>
      </x:c>
      <x:c r="Y43" s="138" t="n">
        <x:v>1.5</x:v>
      </x:c>
      <x:c r="Z43" s="138" t="n">
        <x:v>12</x:v>
      </x:c>
      <x:c r="AA43" s="138" t="n">
        <x:v>0.14</x:v>
      </x:c>
      <x:c r="AB43" s="138" t="n">
        <x:v>1.4</x:v>
      </x:c>
      <x:c r="AC43" s="138"/>
      <x:c r="AD43" s="138"/>
      <x:c r="AE43" s="138"/>
      <x:c r="AF43" s="138" t="n">
        <x:f>IFERROR(DC43*$DJ43/$F43,0)</x:f>
        <x:v>0</x:v>
      </x:c>
      <x:c r="AG43" s="138"/>
      <x:c r="AH43" s="138"/>
      <x:c r="AI43" s="138"/>
      <x:c r="AJ43" s="138"/>
      <x:c r="AK43" s="138"/>
      <x:c r="AL43" s="138"/>
      <x:c r="AM43" s="138"/>
      <x:c r="AN43" s="138"/>
      <x:c r="AO43" s="138"/>
      <x:c r="AP43" s="138"/>
      <x:c r="AQ43" s="138" t="n">
        <x:f>IFERROR(DD43*$DJ43/$F43,0)</x:f>
        <x:v>0</x:v>
      </x:c>
      <x:c r="AR43" s="138"/>
      <x:c r="AS43" s="138"/>
      <x:c r="AT43" s="138"/>
      <x:c r="AU43" s="138"/>
      <x:c r="AV43" s="138"/>
      <x:c r="AW43" s="138"/>
      <x:c r="AX43" s="138"/>
      <x:c r="AY43" s="138"/>
      <x:c r="AZ43" s="138"/>
      <x:c r="BA43" s="138"/>
      <x:c r="BB43" s="138" t="n">
        <x:f>IFERROR(DE43*$DJ43/$F43,0)</x:f>
        <x:v>0</x:v>
      </x:c>
      <x:c r="BC43" s="138"/>
      <x:c r="BD43" s="138"/>
      <x:c r="BE43" s="138"/>
      <x:c r="BF43" s="138"/>
      <x:c r="BG43" s="138"/>
      <x:c r="BH43" s="138"/>
      <x:c r="BI43" s="138"/>
      <x:c r="BJ43" s="138"/>
      <x:c r="BK43" s="138"/>
      <x:c r="BL43" s="138"/>
      <x:c r="BM43" s="138" t="n">
        <x:f>IFERROR(DF43*$DJ43/$F43,0)</x:f>
        <x:v>0</x:v>
      </x:c>
      <x:c r="BN43" s="138"/>
      <x:c r="BO43" s="138"/>
      <x:c r="BP43" s="138"/>
      <x:c r="BQ43" s="138"/>
      <x:c r="BR43" s="138"/>
      <x:c r="BS43" s="138"/>
      <x:c r="BT43" s="138"/>
      <x:c r="BU43" s="138"/>
      <x:c r="BV43" s="138"/>
      <x:c r="BW43" s="138"/>
      <x:c r="BX43" s="138" t="n">
        <x:f>IFERROR(DG43*$DJ43/$F43,0)</x:f>
        <x:v>0</x:v>
      </x:c>
      <x:c r="BY43" s="138"/>
      <x:c r="BZ43" s="138"/>
      <x:c r="CA43" s="138"/>
      <x:c r="CB43" s="138"/>
      <x:c r="CC43" s="138"/>
      <x:c r="CD43" s="138"/>
      <x:c r="CE43" s="138"/>
      <x:c r="CF43" s="138"/>
      <x:c r="CG43" s="138"/>
      <x:c r="CH43" s="138"/>
      <x:c r="CI43" s="138" t="n">
        <x:f>IFERROR(DH43*$DJ43/$F43,0)</x:f>
        <x:v>0</x:v>
      </x:c>
      <x:c r="CJ43" s="138"/>
      <x:c r="CK43" s="138"/>
      <x:c r="CL43" s="138"/>
      <x:c r="CM43" s="138"/>
      <x:c r="CN43" s="138"/>
      <x:c r="CO43" s="138"/>
      <x:c r="CP43" s="138"/>
      <x:c r="CQ43" s="138"/>
      <x:c r="CR43" s="138"/>
      <x:c r="CS43" s="138"/>
      <x:c r="CT43" s="138" t="n">
        <x:f>IFERROR(DI43*$DJ43/$F43,0)</x:f>
        <x:v>0</x:v>
      </x:c>
      <x:c r="CU43" s="138"/>
      <x:c r="CV43" s="138"/>
      <x:c r="CW43" s="138"/>
      <x:c r="CX43" s="138"/>
      <x:c r="CY43" s="138"/>
      <x:c r="CZ43" s="138"/>
      <x:c r="DA43" s="138"/>
      <x:c r="DB43" s="978" t="n">
        <x:v>1400</x:v>
      </x:c>
      <x:c r="DC43" s="978"/>
      <x:c r="DD43" s="978"/>
      <x:c r="DE43" s="978"/>
      <x:c r="DF43" s="978"/>
      <x:c r="DG43" s="978"/>
      <x:c r="DH43" s="978"/>
      <x:c r="DI43" s="978"/>
      <x:c r="DJ43" s="980" t="n">
        <x:f>'S08_Defaults'!$B$37</x:f>
        <x:v>0.09</x:v>
      </x:c>
      <x:c r="DK43" s="979" t="n">
        <x:f>SUM(U43,AF43,AQ43,BB43,BM43,BX43,CI43,CT43)</x:f>
        <x:v>195.53072625698326</x:v>
      </x:c>
      <x:c r="DL43" s="979" t="n">
        <x:f>G43*DJ43</x:f>
        <x:v>195.5304</x:v>
      </x:c>
      <x:c r="DM43" s="979" t="n">
        <x:f>DK43-DL43</x:f>
        <x:v>0.000326256983271378</x:v>
      </x:c>
      <x:c r="DN43" s="977" t="str">
        <x:f>IF(ABS(DM43)&lt;=MAX(0.5,0.05*ABS(DL43)),"OK","REVIEW")</x:f>
        <x:v>OK</x:v>
      </x:c>
    </x:row>
    <x:row r="44" ht="15" hidden="0" customHeight="1">
      <x:c r="A44" s="138" t="s">
        <x:v>657</x:v>
      </x:c>
      <x:c r="B44" s="138" t="str">
        <x:v>Tropical &amp; Subtropical Dry Broadleaf Forests</x:v>
      </x:c>
      <x:c r="C44" s="138" t="s">
        <x:v>113</x:v>
      </x:c>
      <x:c r="D44" s="138" t="s">
        <x:v>542</x:v>
      </x:c>
      <x:c r="E44" s="138" t="n">
        <x:v>2020</x:v>
      </x:c>
      <x:c r="F44" s="138" t="n">
        <x:v>1.2846</x:v>
      </x:c>
      <x:c r="G44" s="138" t="n">
        <x:v>2671.65</x:v>
      </x:c>
      <x:c r="H44" s="138" t="s">
        <x:v>937</x:v>
      </x:c>
      <x:c r="I44" s="138" t="s">
        <x:v>654</x:v>
      </x:c>
      <x:c r="J44" s="139" t="n">
        <x:f aca="0">IF($E44="Unconfirmed","",IFERROR(SUMIF(S15_Source_Strata!$B$4:$B$49,$I44,S15_Source_Strata!$H$4:$H$49),""))</x:f>
        <x:v>1027.020452896974</x:v>
      </x:c>
      <x:c r="K44" s="139" t="n">
        <x:f aca="0">IF($E44="Unconfirmed","",IFERROR(SUMIF(S15_Source_Strata!$B$4:$B$49,$I44,S15_Source_Strata!$I$4:$I$49),""))</x:f>
        <x:v>579.9802734106408</x:v>
      </x:c>
      <x:c r="L44" s="139" t="n">
        <x:f aca="0">IF($E44="Unconfirmed","",IFERROR(SUMIF(S15_Source_Strata!$B$4:$B$49,$I44,S15_Source_Strata!$J$4:$J$49),""))</x:f>
        <x:v>0.5647212494889057</x:v>
      </x:c>
      <x:c r="M44" s="139" t="n">
        <x:f aca="0">IF($E44="Unconfirmed","",IFERROR(SUMIF(S15_Source_Strata!$B$4:$B$49,$I44,S15_Source_Strata!$N$4:$N$49),""))</x:f>
        <x:v>770.2653396727304</x:v>
      </x:c>
      <x:c r="N44" s="139" t="n">
        <x:f aca="0">IF($E44="Unconfirmed","",IFERROR(SUMIF(S15_Source_Strata!$B$4:$B$49,$I44,S15_Source_Strata!$O$4:$O$49),""))</x:f>
        <x:v>0.75</x:v>
      </x:c>
      <x:c r="O44" s="139" t="n">
        <x:f aca="0">IF($E44="Unconfirmed","",IFERROR(SUMIF(S15_Source_Strata!$B$4:$B$49,$I44,S15_Source_Strata!$X$4:$X$49),""))</x:f>
        <x:v>1646.0056798579817</x:v>
      </x:c>
      <x:c r="P44" s="139" t="n">
        <x:f aca="0">IF($E44="Unconfirmed","",IFERROR(SUMIF(S15_Source_Strata!$B$4:$B$49,$I44,S15_Source_Strata!$AL$4:$AL$49),""))</x:f>
        <x:v>7396.124911459077</x:v>
      </x:c>
      <x:c r="Q44" s="139" t="str">
        <x:f aca="0">IF($E44="Unconfirmed","",IFERROR(SUMIF(S15_Source_Strata!$B$4:$B$49,$I44,S15_Source_Strata!$K$4:$K$49)&amp;"/"&amp;SUMIF(S15_Source_Strata!$B$4:$B$49,$I44,S15_Source_Strata!$L$4:$L$49),""))</x:f>
        <x:v>8/8</x:v>
      </x:c>
      <x:c r="R44" s="138" t="s">
        <x:v>658</x:v>
      </x:c>
      <x:c r="S44" s="138" t="s">
        <x:v>898</x:v>
      </x:c>
      <x:c r="T44" s="138" t="s">
        <x:v>841</x:v>
      </x:c>
      <x:c r="U44" s="138" t="n">
        <x:f>IFERROR(DB44*$DJ44/$F44,0)</x:f>
        <x:v>240.44838860345632</x:v>
      </x:c>
      <x:c r="V44" s="138" t="n">
        <x:v>0.45</x:v>
      </x:c>
      <x:c r="W44" s="138" t="n">
        <x:v>55</x:v>
      </x:c>
      <x:c r="X44" s="138" t="n">
        <x:v>0.18</x:v>
      </x:c>
      <x:c r="Y44" s="138" t="n">
        <x:v>1.3</x:v>
      </x:c>
      <x:c r="Z44" s="138" t="n">
        <x:v>25</x:v>
      </x:c>
      <x:c r="AA44" s="138" t="n">
        <x:v>0.22</x:v>
      </x:c>
      <x:c r="AB44" s="138" t="n">
        <x:v>1.2</x:v>
      </x:c>
      <x:c r="AC44" s="138"/>
      <x:c r="AD44" s="138"/>
      <x:c r="AE44" s="138"/>
      <x:c r="AF44" s="138" t="n">
        <x:f>IFERROR(DC44*$DJ44/$F44,0)</x:f>
        <x:v>0</x:v>
      </x:c>
      <x:c r="AG44" s="138"/>
      <x:c r="AH44" s="138"/>
      <x:c r="AI44" s="138"/>
      <x:c r="AJ44" s="138"/>
      <x:c r="AK44" s="138"/>
      <x:c r="AL44" s="138"/>
      <x:c r="AM44" s="138"/>
      <x:c r="AN44" s="138"/>
      <x:c r="AO44" s="138"/>
      <x:c r="AP44" s="138"/>
      <x:c r="AQ44" s="138" t="n">
        <x:f>IFERROR(DD44*$DJ44/$F44,0)</x:f>
        <x:v>0</x:v>
      </x:c>
      <x:c r="AR44" s="138"/>
      <x:c r="AS44" s="138"/>
      <x:c r="AT44" s="138"/>
      <x:c r="AU44" s="138"/>
      <x:c r="AV44" s="138"/>
      <x:c r="AW44" s="138"/>
      <x:c r="AX44" s="138"/>
      <x:c r="AY44" s="138"/>
      <x:c r="AZ44" s="138"/>
      <x:c r="BA44" s="138"/>
      <x:c r="BB44" s="138" t="n">
        <x:f>IFERROR(DE44*$DJ44/$F44,0)</x:f>
        <x:v>0</x:v>
      </x:c>
      <x:c r="BC44" s="138"/>
      <x:c r="BD44" s="138"/>
      <x:c r="BE44" s="138"/>
      <x:c r="BF44" s="138"/>
      <x:c r="BG44" s="138"/>
      <x:c r="BH44" s="138"/>
      <x:c r="BI44" s="138"/>
      <x:c r="BJ44" s="138"/>
      <x:c r="BK44" s="138"/>
      <x:c r="BL44" s="138"/>
      <x:c r="BM44" s="138" t="n">
        <x:f>IFERROR(DF44*$DJ44/$F44,0)</x:f>
        <x:v>0</x:v>
      </x:c>
      <x:c r="BN44" s="138"/>
      <x:c r="BO44" s="138"/>
      <x:c r="BP44" s="138"/>
      <x:c r="BQ44" s="138"/>
      <x:c r="BR44" s="138"/>
      <x:c r="BS44" s="138"/>
      <x:c r="BT44" s="138"/>
      <x:c r="BU44" s="138"/>
      <x:c r="BV44" s="138"/>
      <x:c r="BW44" s="138"/>
      <x:c r="BX44" s="138" t="n">
        <x:f>IFERROR(DG44*$DJ44/$F44,0)</x:f>
        <x:v>0</x:v>
      </x:c>
      <x:c r="BY44" s="138"/>
      <x:c r="BZ44" s="138"/>
      <x:c r="CA44" s="138"/>
      <x:c r="CB44" s="138"/>
      <x:c r="CC44" s="138"/>
      <x:c r="CD44" s="138"/>
      <x:c r="CE44" s="138"/>
      <x:c r="CF44" s="138"/>
      <x:c r="CG44" s="138"/>
      <x:c r="CH44" s="138"/>
      <x:c r="CI44" s="138" t="n">
        <x:f>IFERROR(DH44*$DJ44/$F44,0)</x:f>
        <x:v>0</x:v>
      </x:c>
      <x:c r="CJ44" s="138"/>
      <x:c r="CK44" s="138"/>
      <x:c r="CL44" s="138"/>
      <x:c r="CM44" s="138"/>
      <x:c r="CN44" s="138"/>
      <x:c r="CO44" s="138"/>
      <x:c r="CP44" s="138"/>
      <x:c r="CQ44" s="138"/>
      <x:c r="CR44" s="138"/>
      <x:c r="CS44" s="138"/>
      <x:c r="CT44" s="138" t="n">
        <x:f>IFERROR(DI44*$DJ44/$F44,0)</x:f>
        <x:v>0</x:v>
      </x:c>
      <x:c r="CU44" s="138"/>
      <x:c r="CV44" s="138"/>
      <x:c r="CW44" s="138"/>
      <x:c r="CX44" s="138"/>
      <x:c r="CY44" s="138"/>
      <x:c r="CZ44" s="138"/>
      <x:c r="DA44" s="138"/>
      <x:c r="DB44" s="978" t="n">
        <x:v>3432</x:v>
      </x:c>
      <x:c r="DC44" s="978"/>
      <x:c r="DD44" s="978"/>
      <x:c r="DE44" s="978"/>
      <x:c r="DF44" s="978"/>
      <x:c r="DG44" s="978"/>
      <x:c r="DH44" s="978"/>
      <x:c r="DI44" s="978"/>
      <x:c r="DJ44" s="980" t="n">
        <x:f>'S08_Defaults'!$B$37</x:f>
        <x:v>0.09</x:v>
      </x:c>
      <x:c r="DK44" s="979" t="n">
        <x:f>SUM(U44,AF44,AQ44,BB44,BM44,BX44,CI44,CT44)</x:f>
        <x:v>240.44838860345632</x:v>
      </x:c>
      <x:c r="DL44" s="979" t="n">
        <x:f>G44*DJ44</x:f>
        <x:v>240.4485</x:v>
      </x:c>
      <x:c r="DM44" s="979" t="n">
        <x:f>DK44-DL44</x:f>
        <x:v>-0.00011139654367298135</x:v>
      </x:c>
      <x:c r="DN44" s="977" t="str">
        <x:f>IF(ABS(DM44)&lt;=MAX(0.5,0.05*ABS(DL44)),"OK","REVIEW")</x:f>
        <x:v>OK</x:v>
      </x:c>
    </x:row>
    <x:row r="45" ht="15" hidden="0" customHeight="1">
      <x:c r="A45" s="138" t="s">
        <x:v>659</x:v>
      </x:c>
      <x:c r="B45" s="138" t="str">
        <x:v>Tropical &amp; Subtropical Dry Broadleaf Forests</x:v>
      </x:c>
      <x:c r="C45" s="138" t="s">
        <x:v>113</x:v>
      </x:c>
      <x:c r="D45" s="138" t="s">
        <x:v>542</x:v>
      </x:c>
      <x:c r="E45" s="138" t="n">
        <x:v>2020</x:v>
      </x:c>
      <x:c r="F45" s="138" t="n">
        <x:v>0.3445</x:v>
      </x:c>
      <x:c r="G45" s="138" t="n">
        <x:v>5224.96</x:v>
      </x:c>
      <x:c r="H45" s="138" t="s">
        <x:v>938</x:v>
      </x:c>
      <x:c r="I45" s="138" t="s">
        <x:v>654</x:v>
      </x:c>
      <x:c r="J45" s="139" t="n">
        <x:f aca="0">IF($E45="Unconfirmed","",IFERROR(SUMIF(S15_Source_Strata!$B$4:$B$49,$I45,S15_Source_Strata!$H$4:$H$49),""))</x:f>
        <x:v>1027.020452896974</x:v>
      </x:c>
      <x:c r="K45" s="139" t="n">
        <x:f aca="0">IF($E45="Unconfirmed","",IFERROR(SUMIF(S15_Source_Strata!$B$4:$B$49,$I45,S15_Source_Strata!$I$4:$I$49),""))</x:f>
        <x:v>579.9802734106408</x:v>
      </x:c>
      <x:c r="L45" s="139" t="n">
        <x:f aca="0">IF($E45="Unconfirmed","",IFERROR(SUMIF(S15_Source_Strata!$B$4:$B$49,$I45,S15_Source_Strata!$J$4:$J$49),""))</x:f>
        <x:v>0.5647212494889057</x:v>
      </x:c>
      <x:c r="M45" s="139" t="n">
        <x:f aca="0">IF($E45="Unconfirmed","",IFERROR(SUMIF(S15_Source_Strata!$B$4:$B$49,$I45,S15_Source_Strata!$N$4:$N$49),""))</x:f>
        <x:v>770.2653396727304</x:v>
      </x:c>
      <x:c r="N45" s="139" t="n">
        <x:f aca="0">IF($E45="Unconfirmed","",IFERROR(SUMIF(S15_Source_Strata!$B$4:$B$49,$I45,S15_Source_Strata!$O$4:$O$49),""))</x:f>
        <x:v>0.75</x:v>
      </x:c>
      <x:c r="O45" s="139" t="n">
        <x:f aca="0">IF($E45="Unconfirmed","",IFERROR(SUMIF(S15_Source_Strata!$B$4:$B$49,$I45,S15_Source_Strata!$X$4:$X$49),""))</x:f>
        <x:v>1646.0056798579817</x:v>
      </x:c>
      <x:c r="P45" s="139" t="n">
        <x:f aca="0">IF($E45="Unconfirmed","",IFERROR(SUMIF(S15_Source_Strata!$B$4:$B$49,$I45,S15_Source_Strata!$AL$4:$AL$49),""))</x:f>
        <x:v>7396.124911459077</x:v>
      </x:c>
      <x:c r="Q45" s="139" t="str">
        <x:f aca="0">IF($E45="Unconfirmed","",IFERROR(SUMIF(S15_Source_Strata!$B$4:$B$49,$I45,S15_Source_Strata!$K$4:$K$49)&amp;"/"&amp;SUMIF(S15_Source_Strata!$B$4:$B$49,$I45,S15_Source_Strata!$L$4:$L$49),""))</x:f>
        <x:v>8/8</x:v>
      </x:c>
      <x:c r="R45" s="138" t="s">
        <x:v>660</x:v>
      </x:c>
      <x:c r="S45" s="138" t="s">
        <x:v>875</x:v>
      </x:c>
      <x:c r="T45" s="138" t="s">
        <x:v>841</x:v>
      </x:c>
      <x:c r="U45" s="138" t="n">
        <x:f>IFERROR(DB45*$DJ45/$F45,0)</x:f>
        <x:v>470.2467343976778</x:v>
      </x:c>
      <x:c r="V45" s="138" t="n">
        <x:v>0.58</x:v>
      </x:c>
      <x:c r="W45" s="138" t="n">
        <x:v>55</x:v>
      </x:c>
      <x:c r="X45" s="138" t="n">
        <x:v>0.16</x:v>
      </x:c>
      <x:c r="Y45" s="138" t="n">
        <x:v>1.3</x:v>
      </x:c>
      <x:c r="Z45" s="138" t="n">
        <x:v>25</x:v>
      </x:c>
      <x:c r="AA45" s="138" t="n">
        <x:v>0.2</x:v>
      </x:c>
      <x:c r="AB45" s="138" t="n">
        <x:v>1.2</x:v>
      </x:c>
      <x:c r="AC45" s="138"/>
      <x:c r="AD45" s="138"/>
      <x:c r="AE45" s="138"/>
      <x:c r="AF45" s="138" t="n">
        <x:f>IFERROR(DC45*$DJ45/$F45,0)</x:f>
        <x:v>0</x:v>
      </x:c>
      <x:c r="AG45" s="138"/>
      <x:c r="AH45" s="138"/>
      <x:c r="AI45" s="138"/>
      <x:c r="AJ45" s="138"/>
      <x:c r="AK45" s="138"/>
      <x:c r="AL45" s="138"/>
      <x:c r="AM45" s="138"/>
      <x:c r="AN45" s="138"/>
      <x:c r="AO45" s="138"/>
      <x:c r="AP45" s="138"/>
      <x:c r="AQ45" s="138" t="n">
        <x:f>IFERROR(DD45*$DJ45/$F45,0)</x:f>
        <x:v>0</x:v>
      </x:c>
      <x:c r="AR45" s="138"/>
      <x:c r="AS45" s="138"/>
      <x:c r="AT45" s="138"/>
      <x:c r="AU45" s="138"/>
      <x:c r="AV45" s="138"/>
      <x:c r="AW45" s="138"/>
      <x:c r="AX45" s="138"/>
      <x:c r="AY45" s="138"/>
      <x:c r="AZ45" s="138"/>
      <x:c r="BA45" s="138"/>
      <x:c r="BB45" s="138" t="n">
        <x:f>IFERROR(DE45*$DJ45/$F45,0)</x:f>
        <x:v>0</x:v>
      </x:c>
      <x:c r="BC45" s="138"/>
      <x:c r="BD45" s="138"/>
      <x:c r="BE45" s="138"/>
      <x:c r="BF45" s="138"/>
      <x:c r="BG45" s="138"/>
      <x:c r="BH45" s="138"/>
      <x:c r="BI45" s="138"/>
      <x:c r="BJ45" s="138"/>
      <x:c r="BK45" s="138"/>
      <x:c r="BL45" s="138"/>
      <x:c r="BM45" s="138" t="n">
        <x:f>IFERROR(DF45*$DJ45/$F45,0)</x:f>
        <x:v>0</x:v>
      </x:c>
      <x:c r="BN45" s="138"/>
      <x:c r="BO45" s="138"/>
      <x:c r="BP45" s="138"/>
      <x:c r="BQ45" s="138"/>
      <x:c r="BR45" s="138"/>
      <x:c r="BS45" s="138"/>
      <x:c r="BT45" s="138"/>
      <x:c r="BU45" s="138"/>
      <x:c r="BV45" s="138"/>
      <x:c r="BW45" s="138"/>
      <x:c r="BX45" s="138" t="n">
        <x:f>IFERROR(DG45*$DJ45/$F45,0)</x:f>
        <x:v>0</x:v>
      </x:c>
      <x:c r="BY45" s="138"/>
      <x:c r="BZ45" s="138"/>
      <x:c r="CA45" s="138"/>
      <x:c r="CB45" s="138"/>
      <x:c r="CC45" s="138"/>
      <x:c r="CD45" s="138"/>
      <x:c r="CE45" s="138"/>
      <x:c r="CF45" s="138"/>
      <x:c r="CG45" s="138"/>
      <x:c r="CH45" s="138"/>
      <x:c r="CI45" s="138" t="n">
        <x:f>IFERROR(DH45*$DJ45/$F45,0)</x:f>
        <x:v>0</x:v>
      </x:c>
      <x:c r="CJ45" s="138"/>
      <x:c r="CK45" s="138"/>
      <x:c r="CL45" s="138"/>
      <x:c r="CM45" s="138"/>
      <x:c r="CN45" s="138"/>
      <x:c r="CO45" s="138"/>
      <x:c r="CP45" s="138"/>
      <x:c r="CQ45" s="138"/>
      <x:c r="CR45" s="138"/>
      <x:c r="CS45" s="138"/>
      <x:c r="CT45" s="138" t="n">
        <x:f>IFERROR(DI45*$DJ45/$F45,0)</x:f>
        <x:v>0</x:v>
      </x:c>
      <x:c r="CU45" s="138"/>
      <x:c r="CV45" s="138"/>
      <x:c r="CW45" s="138"/>
      <x:c r="CX45" s="138"/>
      <x:c r="CY45" s="138"/>
      <x:c r="CZ45" s="138"/>
      <x:c r="DA45" s="138"/>
      <x:c r="DB45" s="978" t="n">
        <x:v>1800</x:v>
      </x:c>
      <x:c r="DC45" s="978"/>
      <x:c r="DD45" s="978"/>
      <x:c r="DE45" s="978"/>
      <x:c r="DF45" s="978"/>
      <x:c r="DG45" s="978"/>
      <x:c r="DH45" s="978"/>
      <x:c r="DI45" s="978"/>
      <x:c r="DJ45" s="980" t="n">
        <x:f>'S08_Defaults'!$B$37</x:f>
        <x:v>0.09</x:v>
      </x:c>
      <x:c r="DK45" s="979" t="n">
        <x:f>SUM(U45,AF45,AQ45,BB45,BM45,BX45,CI45,CT45)</x:f>
        <x:v>470.2467343976778</x:v>
      </x:c>
      <x:c r="DL45" s="979" t="n">
        <x:f>G45*DJ45</x:f>
        <x:v>470.2464</x:v>
      </x:c>
      <x:c r="DM45" s="979" t="n">
        <x:f>DK45-DL45</x:f>
        <x:v>0.0003343976778182878</x:v>
      </x:c>
      <x:c r="DN45" s="977" t="str">
        <x:f>IF(ABS(DM45)&lt;=MAX(0.5,0.05*ABS(DL45)),"OK","REVIEW")</x:f>
        <x:v>OK</x:v>
      </x:c>
    </x:row>
    <x:row r="46" ht="15" hidden="0" customHeight="1">
      <x:c r="A46" s="138" t="s">
        <x:v>661</x:v>
      </x:c>
      <x:c r="B46" s="138" t="str">
        <x:v>Tropical &amp; Subtropical Dry Broadleaf Forests</x:v>
      </x:c>
      <x:c r="C46" s="138" t="s">
        <x:v>113</x:v>
      </x:c>
      <x:c r="D46" s="138" t="s">
        <x:v>542</x:v>
      </x:c>
      <x:c r="E46" s="138" t="n">
        <x:v>2020</x:v>
      </x:c>
      <x:c r="F46" s="138" t="n">
        <x:v>0.2411</x:v>
      </x:c>
      <x:c r="G46" s="138" t="n">
        <x:v>2073.83</x:v>
      </x:c>
      <x:c r="H46" s="138" t="s">
        <x:v>939</x:v>
      </x:c>
      <x:c r="I46" s="138" t="s">
        <x:v>654</x:v>
      </x:c>
      <x:c r="J46" s="139" t="n">
        <x:f aca="0">IF($E46="Unconfirmed","",IFERROR(SUMIF(S15_Source_Strata!$B$4:$B$49,$I46,S15_Source_Strata!$H$4:$H$49),""))</x:f>
        <x:v>1027.020452896974</x:v>
      </x:c>
      <x:c r="K46" s="139" t="n">
        <x:f aca="0">IF($E46="Unconfirmed","",IFERROR(SUMIF(S15_Source_Strata!$B$4:$B$49,$I46,S15_Source_Strata!$I$4:$I$49),""))</x:f>
        <x:v>579.9802734106408</x:v>
      </x:c>
      <x:c r="L46" s="139" t="n">
        <x:f aca="0">IF($E46="Unconfirmed","",IFERROR(SUMIF(S15_Source_Strata!$B$4:$B$49,$I46,S15_Source_Strata!$J$4:$J$49),""))</x:f>
        <x:v>0.5647212494889057</x:v>
      </x:c>
      <x:c r="M46" s="139" t="n">
        <x:f aca="0">IF($E46="Unconfirmed","",IFERROR(SUMIF(S15_Source_Strata!$B$4:$B$49,$I46,S15_Source_Strata!$N$4:$N$49),""))</x:f>
        <x:v>770.2653396727304</x:v>
      </x:c>
      <x:c r="N46" s="139" t="n">
        <x:f aca="0">IF($E46="Unconfirmed","",IFERROR(SUMIF(S15_Source_Strata!$B$4:$B$49,$I46,S15_Source_Strata!$O$4:$O$49),""))</x:f>
        <x:v>0.75</x:v>
      </x:c>
      <x:c r="O46" s="139" t="n">
        <x:f aca="0">IF($E46="Unconfirmed","",IFERROR(SUMIF(S15_Source_Strata!$B$4:$B$49,$I46,S15_Source_Strata!$X$4:$X$49),""))</x:f>
        <x:v>1646.0056798579817</x:v>
      </x:c>
      <x:c r="P46" s="139" t="n">
        <x:f aca="0">IF($E46="Unconfirmed","",IFERROR(SUMIF(S15_Source_Strata!$B$4:$B$49,$I46,S15_Source_Strata!$AL$4:$AL$49),""))</x:f>
        <x:v>7396.124911459077</x:v>
      </x:c>
      <x:c r="Q46" s="139" t="str">
        <x:f aca="0">IF($E46="Unconfirmed","",IFERROR(SUMIF(S15_Source_Strata!$B$4:$B$49,$I46,S15_Source_Strata!$K$4:$K$49)&amp;"/"&amp;SUMIF(S15_Source_Strata!$B$4:$B$49,$I46,S15_Source_Strata!$L$4:$L$49),""))</x:f>
        <x:v>8/8</x:v>
      </x:c>
      <x:c r="R46" s="138" t="s">
        <x:v>660</x:v>
      </x:c>
      <x:c r="S46" s="138" t="s">
        <x:v>875</x:v>
      </x:c>
      <x:c r="T46" s="138" t="s">
        <x:v>841</x:v>
      </x:c>
      <x:c r="U46" s="138" t="n">
        <x:f>IFERROR(DB46*$DJ46/$F46,0)</x:f>
        <x:v>186.64454583160514</x:v>
      </x:c>
      <x:c r="V46" s="138" t="n">
        <x:v>0.58</x:v>
      </x:c>
      <x:c r="W46" s="138" t="n">
        <x:v>55</x:v>
      </x:c>
      <x:c r="X46" s="138" t="n">
        <x:v>0.16</x:v>
      </x:c>
      <x:c r="Y46" s="138" t="n">
        <x:v>1.3</x:v>
      </x:c>
      <x:c r="Z46" s="138" t="n">
        <x:v>25</x:v>
      </x:c>
      <x:c r="AA46" s="138" t="n">
        <x:v>0.2</x:v>
      </x:c>
      <x:c r="AB46" s="138" t="n">
        <x:v>1.2</x:v>
      </x:c>
      <x:c r="AC46" s="138"/>
      <x:c r="AD46" s="138"/>
      <x:c r="AE46" s="138"/>
      <x:c r="AF46" s="138" t="n">
        <x:f>IFERROR(DC46*$DJ46/$F46,0)</x:f>
        <x:v>0</x:v>
      </x:c>
      <x:c r="AG46" s="138"/>
      <x:c r="AH46" s="138"/>
      <x:c r="AI46" s="138"/>
      <x:c r="AJ46" s="138"/>
      <x:c r="AK46" s="138"/>
      <x:c r="AL46" s="138"/>
      <x:c r="AM46" s="138"/>
      <x:c r="AN46" s="138"/>
      <x:c r="AO46" s="138"/>
      <x:c r="AP46" s="138"/>
      <x:c r="AQ46" s="138" t="n">
        <x:f>IFERROR(DD46*$DJ46/$F46,0)</x:f>
        <x:v>0</x:v>
      </x:c>
      <x:c r="AR46" s="138"/>
      <x:c r="AS46" s="138"/>
      <x:c r="AT46" s="138"/>
      <x:c r="AU46" s="138"/>
      <x:c r="AV46" s="138"/>
      <x:c r="AW46" s="138"/>
      <x:c r="AX46" s="138"/>
      <x:c r="AY46" s="138"/>
      <x:c r="AZ46" s="138"/>
      <x:c r="BA46" s="138"/>
      <x:c r="BB46" s="138" t="n">
        <x:f>IFERROR(DE46*$DJ46/$F46,0)</x:f>
        <x:v>0</x:v>
      </x:c>
      <x:c r="BC46" s="138"/>
      <x:c r="BD46" s="138"/>
      <x:c r="BE46" s="138"/>
      <x:c r="BF46" s="138"/>
      <x:c r="BG46" s="138"/>
      <x:c r="BH46" s="138"/>
      <x:c r="BI46" s="138"/>
      <x:c r="BJ46" s="138"/>
      <x:c r="BK46" s="138"/>
      <x:c r="BL46" s="138"/>
      <x:c r="BM46" s="138" t="n">
        <x:f>IFERROR(DF46*$DJ46/$F46,0)</x:f>
        <x:v>0</x:v>
      </x:c>
      <x:c r="BN46" s="138"/>
      <x:c r="BO46" s="138"/>
      <x:c r="BP46" s="138"/>
      <x:c r="BQ46" s="138"/>
      <x:c r="BR46" s="138"/>
      <x:c r="BS46" s="138"/>
      <x:c r="BT46" s="138"/>
      <x:c r="BU46" s="138"/>
      <x:c r="BV46" s="138"/>
      <x:c r="BW46" s="138"/>
      <x:c r="BX46" s="138" t="n">
        <x:f>IFERROR(DG46*$DJ46/$F46,0)</x:f>
        <x:v>0</x:v>
      </x:c>
      <x:c r="BY46" s="138"/>
      <x:c r="BZ46" s="138"/>
      <x:c r="CA46" s="138"/>
      <x:c r="CB46" s="138"/>
      <x:c r="CC46" s="138"/>
      <x:c r="CD46" s="138"/>
      <x:c r="CE46" s="138"/>
      <x:c r="CF46" s="138"/>
      <x:c r="CG46" s="138"/>
      <x:c r="CH46" s="138"/>
      <x:c r="CI46" s="138" t="n">
        <x:f>IFERROR(DH46*$DJ46/$F46,0)</x:f>
        <x:v>0</x:v>
      </x:c>
      <x:c r="CJ46" s="138"/>
      <x:c r="CK46" s="138"/>
      <x:c r="CL46" s="138"/>
      <x:c r="CM46" s="138"/>
      <x:c r="CN46" s="138"/>
      <x:c r="CO46" s="138"/>
      <x:c r="CP46" s="138"/>
      <x:c r="CQ46" s="138"/>
      <x:c r="CR46" s="138"/>
      <x:c r="CS46" s="138"/>
      <x:c r="CT46" s="138" t="n">
        <x:f>IFERROR(DI46*$DJ46/$F46,0)</x:f>
        <x:v>0</x:v>
      </x:c>
      <x:c r="CU46" s="138"/>
      <x:c r="CV46" s="138"/>
      <x:c r="CW46" s="138"/>
      <x:c r="CX46" s="138"/>
      <x:c r="CY46" s="138"/>
      <x:c r="CZ46" s="138"/>
      <x:c r="DA46" s="138"/>
      <x:c r="DB46" s="978" t="n">
        <x:v>500</x:v>
      </x:c>
      <x:c r="DC46" s="978"/>
      <x:c r="DD46" s="978"/>
      <x:c r="DE46" s="978"/>
      <x:c r="DF46" s="978"/>
      <x:c r="DG46" s="978"/>
      <x:c r="DH46" s="978"/>
      <x:c r="DI46" s="978"/>
      <x:c r="DJ46" s="980" t="n">
        <x:f>'S08_Defaults'!$B$37</x:f>
        <x:v>0.09</x:v>
      </x:c>
      <x:c r="DK46" s="979" t="n">
        <x:f>SUM(U46,AF46,AQ46,BB46,BM46,BX46,CI46,CT46)</x:f>
        <x:v>186.64454583160514</x:v>
      </x:c>
      <x:c r="DL46" s="979" t="n">
        <x:f>G46*DJ46</x:f>
        <x:v>186.6447</x:v>
      </x:c>
      <x:c r="DM46" s="979" t="n">
        <x:f>DK46-DL46</x:f>
        <x:v>-0.0001541683948573791</x:v>
      </x:c>
      <x:c r="DN46" s="977" t="str">
        <x:f>IF(ABS(DM46)&lt;=MAX(0.5,0.05*ABS(DL46)),"OK","REVIEW")</x:f>
        <x:v>OK</x:v>
      </x:c>
    </x:row>
    <x:row r="47" ht="15" hidden="0" customHeight="1">
      <x:c r="A47" s="138" t="s">
        <x:v>662</x:v>
      </x:c>
      <x:c r="B47" s="138" t="str">
        <x:v>Tropical &amp; Subtropical Dry Broadleaf Forests</x:v>
      </x:c>
      <x:c r="C47" s="138" t="s">
        <x:v>113</x:v>
      </x:c>
      <x:c r="D47" s="138" t="s">
        <x:v>542</x:v>
      </x:c>
      <x:c r="E47" s="138" t="n">
        <x:v>2020</x:v>
      </x:c>
      <x:c r="F47" s="138" t="n">
        <x:v>0.123</x:v>
      </x:c>
      <x:c r="G47" s="138" t="n">
        <x:v>2439.02</x:v>
      </x:c>
      <x:c r="H47" s="138" t="s">
        <x:v>940</x:v>
      </x:c>
      <x:c r="I47" s="138" t="s">
        <x:v>654</x:v>
      </x:c>
      <x:c r="J47" s="139" t="n">
        <x:f aca="0">IF($E47="Unconfirmed","",IFERROR(SUMIF(S15_Source_Strata!$B$4:$B$49,$I47,S15_Source_Strata!$H$4:$H$49),""))</x:f>
        <x:v>1027.020452896974</x:v>
      </x:c>
      <x:c r="K47" s="139" t="n">
        <x:f aca="0">IF($E47="Unconfirmed","",IFERROR(SUMIF(S15_Source_Strata!$B$4:$B$49,$I47,S15_Source_Strata!$I$4:$I$49),""))</x:f>
        <x:v>579.9802734106408</x:v>
      </x:c>
      <x:c r="L47" s="139" t="n">
        <x:f aca="0">IF($E47="Unconfirmed","",IFERROR(SUMIF(S15_Source_Strata!$B$4:$B$49,$I47,S15_Source_Strata!$J$4:$J$49),""))</x:f>
        <x:v>0.5647212494889057</x:v>
      </x:c>
      <x:c r="M47" s="139" t="n">
        <x:f aca="0">IF($E47="Unconfirmed","",IFERROR(SUMIF(S15_Source_Strata!$B$4:$B$49,$I47,S15_Source_Strata!$N$4:$N$49),""))</x:f>
        <x:v>770.2653396727304</x:v>
      </x:c>
      <x:c r="N47" s="139" t="n">
        <x:f aca="0">IF($E47="Unconfirmed","",IFERROR(SUMIF(S15_Source_Strata!$B$4:$B$49,$I47,S15_Source_Strata!$O$4:$O$49),""))</x:f>
        <x:v>0.75</x:v>
      </x:c>
      <x:c r="O47" s="139" t="n">
        <x:f aca="0">IF($E47="Unconfirmed","",IFERROR(SUMIF(S15_Source_Strata!$B$4:$B$49,$I47,S15_Source_Strata!$X$4:$X$49),""))</x:f>
        <x:v>1646.0056798579817</x:v>
      </x:c>
      <x:c r="P47" s="139" t="n">
        <x:f aca="0">IF($E47="Unconfirmed","",IFERROR(SUMIF(S15_Source_Strata!$B$4:$B$49,$I47,S15_Source_Strata!$AL$4:$AL$49),""))</x:f>
        <x:v>7396.124911459077</x:v>
      </x:c>
      <x:c r="Q47" s="139" t="str">
        <x:f aca="0">IF($E47="Unconfirmed","",IFERROR(SUMIF(S15_Source_Strata!$B$4:$B$49,$I47,S15_Source_Strata!$K$4:$K$49)&amp;"/"&amp;SUMIF(S15_Source_Strata!$B$4:$B$49,$I47,S15_Source_Strata!$L$4:$L$49),""))</x:f>
        <x:v>8/8</x:v>
      </x:c>
      <x:c r="R47" s="138" t="s">
        <x:v>660</x:v>
      </x:c>
      <x:c r="S47" s="138" t="s">
        <x:v>875</x:v>
      </x:c>
      <x:c r="T47" s="138" t="s">
        <x:v>841</x:v>
      </x:c>
      <x:c r="U47" s="138" t="n">
        <x:f>IFERROR(DB47*$DJ47/$F47,0)</x:f>
        <x:v>219.51219512195124</x:v>
      </x:c>
      <x:c r="V47" s="138" t="n">
        <x:v>0.58</x:v>
      </x:c>
      <x:c r="W47" s="138" t="n">
        <x:v>55</x:v>
      </x:c>
      <x:c r="X47" s="138" t="n">
        <x:v>0.16</x:v>
      </x:c>
      <x:c r="Y47" s="138" t="n">
        <x:v>1.3</x:v>
      </x:c>
      <x:c r="Z47" s="138" t="n">
        <x:v>25</x:v>
      </x:c>
      <x:c r="AA47" s="138" t="n">
        <x:v>0.2</x:v>
      </x:c>
      <x:c r="AB47" s="138" t="n">
        <x:v>1.2</x:v>
      </x:c>
      <x:c r="AC47" s="138"/>
      <x:c r="AD47" s="138"/>
      <x:c r="AE47" s="138"/>
      <x:c r="AF47" s="138" t="n">
        <x:f>IFERROR(DC47*$DJ47/$F47,0)</x:f>
        <x:v>0</x:v>
      </x:c>
      <x:c r="AG47" s="138"/>
      <x:c r="AH47" s="138"/>
      <x:c r="AI47" s="138"/>
      <x:c r="AJ47" s="138"/>
      <x:c r="AK47" s="138"/>
      <x:c r="AL47" s="138"/>
      <x:c r="AM47" s="138"/>
      <x:c r="AN47" s="138"/>
      <x:c r="AO47" s="138"/>
      <x:c r="AP47" s="138"/>
      <x:c r="AQ47" s="138" t="n">
        <x:f>IFERROR(DD47*$DJ47/$F47,0)</x:f>
        <x:v>0</x:v>
      </x:c>
      <x:c r="AR47" s="138"/>
      <x:c r="AS47" s="138"/>
      <x:c r="AT47" s="138"/>
      <x:c r="AU47" s="138"/>
      <x:c r="AV47" s="138"/>
      <x:c r="AW47" s="138"/>
      <x:c r="AX47" s="138"/>
      <x:c r="AY47" s="138"/>
      <x:c r="AZ47" s="138"/>
      <x:c r="BA47" s="138"/>
      <x:c r="BB47" s="138" t="n">
        <x:f>IFERROR(DE47*$DJ47/$F47,0)</x:f>
        <x:v>0</x:v>
      </x:c>
      <x:c r="BC47" s="138"/>
      <x:c r="BD47" s="138"/>
      <x:c r="BE47" s="138"/>
      <x:c r="BF47" s="138"/>
      <x:c r="BG47" s="138"/>
      <x:c r="BH47" s="138"/>
      <x:c r="BI47" s="138"/>
      <x:c r="BJ47" s="138"/>
      <x:c r="BK47" s="138"/>
      <x:c r="BL47" s="138"/>
      <x:c r="BM47" s="138" t="n">
        <x:f>IFERROR(DF47*$DJ47/$F47,0)</x:f>
        <x:v>0</x:v>
      </x:c>
      <x:c r="BN47" s="138"/>
      <x:c r="BO47" s="138"/>
      <x:c r="BP47" s="138"/>
      <x:c r="BQ47" s="138"/>
      <x:c r="BR47" s="138"/>
      <x:c r="BS47" s="138"/>
      <x:c r="BT47" s="138"/>
      <x:c r="BU47" s="138"/>
      <x:c r="BV47" s="138"/>
      <x:c r="BW47" s="138"/>
      <x:c r="BX47" s="138" t="n">
        <x:f>IFERROR(DG47*$DJ47/$F47,0)</x:f>
        <x:v>0</x:v>
      </x:c>
      <x:c r="BY47" s="138"/>
      <x:c r="BZ47" s="138"/>
      <x:c r="CA47" s="138"/>
      <x:c r="CB47" s="138"/>
      <x:c r="CC47" s="138"/>
      <x:c r="CD47" s="138"/>
      <x:c r="CE47" s="138"/>
      <x:c r="CF47" s="138"/>
      <x:c r="CG47" s="138"/>
      <x:c r="CH47" s="138"/>
      <x:c r="CI47" s="138" t="n">
        <x:f>IFERROR(DH47*$DJ47/$F47,0)</x:f>
        <x:v>0</x:v>
      </x:c>
      <x:c r="CJ47" s="138"/>
      <x:c r="CK47" s="138"/>
      <x:c r="CL47" s="138"/>
      <x:c r="CM47" s="138"/>
      <x:c r="CN47" s="138"/>
      <x:c r="CO47" s="138"/>
      <x:c r="CP47" s="138"/>
      <x:c r="CQ47" s="138"/>
      <x:c r="CR47" s="138"/>
      <x:c r="CS47" s="138"/>
      <x:c r="CT47" s="138" t="n">
        <x:f>IFERROR(DI47*$DJ47/$F47,0)</x:f>
        <x:v>0</x:v>
      </x:c>
      <x:c r="CU47" s="138"/>
      <x:c r="CV47" s="138"/>
      <x:c r="CW47" s="138"/>
      <x:c r="CX47" s="138"/>
      <x:c r="CY47" s="138"/>
      <x:c r="CZ47" s="138"/>
      <x:c r="DA47" s="138"/>
      <x:c r="DB47" s="978" t="n">
        <x:v>300</x:v>
      </x:c>
      <x:c r="DC47" s="978"/>
      <x:c r="DD47" s="978"/>
      <x:c r="DE47" s="978"/>
      <x:c r="DF47" s="978"/>
      <x:c r="DG47" s="978"/>
      <x:c r="DH47" s="978"/>
      <x:c r="DI47" s="978"/>
      <x:c r="DJ47" s="980" t="n">
        <x:f>'S08_Defaults'!$B$37</x:f>
        <x:v>0.09</x:v>
      </x:c>
      <x:c r="DK47" s="979" t="n">
        <x:f>SUM(U47,AF47,AQ47,BB47,BM47,BX47,CI47,CT47)</x:f>
        <x:v>219.51219512195124</x:v>
      </x:c>
      <x:c r="DL47" s="979" t="n">
        <x:f>G47*DJ47</x:f>
        <x:v>219.5118</x:v>
      </x:c>
      <x:c r="DM47" s="979" t="n">
        <x:f>DK47-DL47</x:f>
        <x:v>0.00039512195124302707</x:v>
      </x:c>
      <x:c r="DN47" s="977" t="str">
        <x:f>IF(ABS(DM47)&lt;=MAX(0.5,0.05*ABS(DL47)),"OK","REVIEW")</x:f>
        <x:v>OK</x:v>
      </x:c>
    </x:row>
    <x:row r="48" ht="15" hidden="0" customHeight="1">
      <x:c r="A48" s="138" t="s">
        <x:v>663</x:v>
      </x:c>
      <x:c r="B48" s="138" t="str">
        <x:v>Tropical &amp; Subtropical Dry Broadleaf Forests</x:v>
      </x:c>
      <x:c r="C48" s="138" t="s">
        <x:v>113</x:v>
      </x:c>
      <x:c r="D48" s="138" t="s">
        <x:v>542</x:v>
      </x:c>
      <x:c r="E48" s="138" t="n">
        <x:v>2020</x:v>
      </x:c>
      <x:c r="F48" s="138" t="n">
        <x:v>0.4483</x:v>
      </x:c>
      <x:c r="G48" s="138" t="n">
        <x:v>2239.57</x:v>
      </x:c>
      <x:c r="H48" s="138" t="s">
        <x:v>941</x:v>
      </x:c>
      <x:c r="I48" s="138" t="s">
        <x:v>654</x:v>
      </x:c>
      <x:c r="J48" s="139" t="n">
        <x:f aca="0">IF($E48="Unconfirmed","",IFERROR(SUMIF(S15_Source_Strata!$B$4:$B$49,$I48,S15_Source_Strata!$H$4:$H$49),""))</x:f>
        <x:v>1027.020452896974</x:v>
      </x:c>
      <x:c r="K48" s="139" t="n">
        <x:f aca="0">IF($E48="Unconfirmed","",IFERROR(SUMIF(S15_Source_Strata!$B$4:$B$49,$I48,S15_Source_Strata!$I$4:$I$49),""))</x:f>
        <x:v>579.9802734106408</x:v>
      </x:c>
      <x:c r="L48" s="139" t="n">
        <x:f aca="0">IF($E48="Unconfirmed","",IFERROR(SUMIF(S15_Source_Strata!$B$4:$B$49,$I48,S15_Source_Strata!$J$4:$J$49),""))</x:f>
        <x:v>0.5647212494889057</x:v>
      </x:c>
      <x:c r="M48" s="139" t="n">
        <x:f aca="0">IF($E48="Unconfirmed","",IFERROR(SUMIF(S15_Source_Strata!$B$4:$B$49,$I48,S15_Source_Strata!$N$4:$N$49),""))</x:f>
        <x:v>770.2653396727304</x:v>
      </x:c>
      <x:c r="N48" s="139" t="n">
        <x:f aca="0">IF($E48="Unconfirmed","",IFERROR(SUMIF(S15_Source_Strata!$B$4:$B$49,$I48,S15_Source_Strata!$O$4:$O$49),""))</x:f>
        <x:v>0.75</x:v>
      </x:c>
      <x:c r="O48" s="139" t="n">
        <x:f aca="0">IF($E48="Unconfirmed","",IFERROR(SUMIF(S15_Source_Strata!$B$4:$B$49,$I48,S15_Source_Strata!$X$4:$X$49),""))</x:f>
        <x:v>1646.0056798579817</x:v>
      </x:c>
      <x:c r="P48" s="139" t="n">
        <x:f aca="0">IF($E48="Unconfirmed","",IFERROR(SUMIF(S15_Source_Strata!$B$4:$B$49,$I48,S15_Source_Strata!$AL$4:$AL$49),""))</x:f>
        <x:v>7396.124911459077</x:v>
      </x:c>
      <x:c r="Q48" s="139" t="str">
        <x:f aca="0">IF($E48="Unconfirmed","",IFERROR(SUMIF(S15_Source_Strata!$B$4:$B$49,$I48,S15_Source_Strata!$K$4:$K$49)&amp;"/"&amp;SUMIF(S15_Source_Strata!$B$4:$B$49,$I48,S15_Source_Strata!$L$4:$L$49),""))</x:f>
        <x:v>8/8</x:v>
      </x:c>
      <x:c r="R48" s="138" t="s">
        <x:v>660</x:v>
      </x:c>
      <x:c r="S48" s="138" t="s">
        <x:v>875</x:v>
      </x:c>
      <x:c r="T48" s="138" t="s">
        <x:v>841</x:v>
      </x:c>
      <x:c r="U48" s="138" t="n">
        <x:f>IFERROR(DB48*$DJ48/$F48,0)</x:f>
        <x:v>201.56145438322554</x:v>
      </x:c>
      <x:c r="V48" s="138" t="n">
        <x:v>0.58</x:v>
      </x:c>
      <x:c r="W48" s="138" t="n">
        <x:v>55</x:v>
      </x:c>
      <x:c r="X48" s="138" t="n">
        <x:v>0.16</x:v>
      </x:c>
      <x:c r="Y48" s="138" t="n">
        <x:v>1.3</x:v>
      </x:c>
      <x:c r="Z48" s="138" t="n">
        <x:v>25</x:v>
      </x:c>
      <x:c r="AA48" s="138" t="n">
        <x:v>0.2</x:v>
      </x:c>
      <x:c r="AB48" s="138" t="n">
        <x:v>1.2</x:v>
      </x:c>
      <x:c r="AC48" s="138"/>
      <x:c r="AD48" s="138"/>
      <x:c r="AE48" s="138"/>
      <x:c r="AF48" s="138" t="n">
        <x:f>IFERROR(DC48*$DJ48/$F48,0)</x:f>
        <x:v>0</x:v>
      </x:c>
      <x:c r="AG48" s="138"/>
      <x:c r="AH48" s="138"/>
      <x:c r="AI48" s="138"/>
      <x:c r="AJ48" s="138"/>
      <x:c r="AK48" s="138"/>
      <x:c r="AL48" s="138"/>
      <x:c r="AM48" s="138"/>
      <x:c r="AN48" s="138"/>
      <x:c r="AO48" s="138"/>
      <x:c r="AP48" s="138"/>
      <x:c r="AQ48" s="138" t="n">
        <x:f>IFERROR(DD48*$DJ48/$F48,0)</x:f>
        <x:v>0</x:v>
      </x:c>
      <x:c r="AR48" s="138"/>
      <x:c r="AS48" s="138"/>
      <x:c r="AT48" s="138"/>
      <x:c r="AU48" s="138"/>
      <x:c r="AV48" s="138"/>
      <x:c r="AW48" s="138"/>
      <x:c r="AX48" s="138"/>
      <x:c r="AY48" s="138"/>
      <x:c r="AZ48" s="138"/>
      <x:c r="BA48" s="138"/>
      <x:c r="BB48" s="138" t="n">
        <x:f>IFERROR(DE48*$DJ48/$F48,0)</x:f>
        <x:v>0</x:v>
      </x:c>
      <x:c r="BC48" s="138"/>
      <x:c r="BD48" s="138"/>
      <x:c r="BE48" s="138"/>
      <x:c r="BF48" s="138"/>
      <x:c r="BG48" s="138"/>
      <x:c r="BH48" s="138"/>
      <x:c r="BI48" s="138"/>
      <x:c r="BJ48" s="138"/>
      <x:c r="BK48" s="138"/>
      <x:c r="BL48" s="138"/>
      <x:c r="BM48" s="138" t="n">
        <x:f>IFERROR(DF48*$DJ48/$F48,0)</x:f>
        <x:v>0</x:v>
      </x:c>
      <x:c r="BN48" s="138"/>
      <x:c r="BO48" s="138"/>
      <x:c r="BP48" s="138"/>
      <x:c r="BQ48" s="138"/>
      <x:c r="BR48" s="138"/>
      <x:c r="BS48" s="138"/>
      <x:c r="BT48" s="138"/>
      <x:c r="BU48" s="138"/>
      <x:c r="BV48" s="138"/>
      <x:c r="BW48" s="138"/>
      <x:c r="BX48" s="138" t="n">
        <x:f>IFERROR(DG48*$DJ48/$F48,0)</x:f>
        <x:v>0</x:v>
      </x:c>
      <x:c r="BY48" s="138"/>
      <x:c r="BZ48" s="138"/>
      <x:c r="CA48" s="138"/>
      <x:c r="CB48" s="138"/>
      <x:c r="CC48" s="138"/>
      <x:c r="CD48" s="138"/>
      <x:c r="CE48" s="138"/>
      <x:c r="CF48" s="138"/>
      <x:c r="CG48" s="138"/>
      <x:c r="CH48" s="138"/>
      <x:c r="CI48" s="138" t="n">
        <x:f>IFERROR(DH48*$DJ48/$F48,0)</x:f>
        <x:v>0</x:v>
      </x:c>
      <x:c r="CJ48" s="138"/>
      <x:c r="CK48" s="138"/>
      <x:c r="CL48" s="138"/>
      <x:c r="CM48" s="138"/>
      <x:c r="CN48" s="138"/>
      <x:c r="CO48" s="138"/>
      <x:c r="CP48" s="138"/>
      <x:c r="CQ48" s="138"/>
      <x:c r="CR48" s="138"/>
      <x:c r="CS48" s="138"/>
      <x:c r="CT48" s="138" t="n">
        <x:f>IFERROR(DI48*$DJ48/$F48,0)</x:f>
        <x:v>0</x:v>
      </x:c>
      <x:c r="CU48" s="138"/>
      <x:c r="CV48" s="138"/>
      <x:c r="CW48" s="138"/>
      <x:c r="CX48" s="138"/>
      <x:c r="CY48" s="138"/>
      <x:c r="CZ48" s="138"/>
      <x:c r="DA48" s="138"/>
      <x:c r="DB48" s="978" t="n">
        <x:v>1004</x:v>
      </x:c>
      <x:c r="DC48" s="978"/>
      <x:c r="DD48" s="978"/>
      <x:c r="DE48" s="978"/>
      <x:c r="DF48" s="978"/>
      <x:c r="DG48" s="978"/>
      <x:c r="DH48" s="978"/>
      <x:c r="DI48" s="978"/>
      <x:c r="DJ48" s="980" t="n">
        <x:f>'S08_Defaults'!$B$37</x:f>
        <x:v>0.09</x:v>
      </x:c>
      <x:c r="DK48" s="979" t="n">
        <x:f>SUM(U48,AF48,AQ48,BB48,BM48,BX48,CI48,CT48)</x:f>
        <x:v>201.56145438322554</x:v>
      </x:c>
      <x:c r="DL48" s="979" t="n">
        <x:f>G48*DJ48</x:f>
        <x:v>201.56130000000002</x:v>
      </x:c>
      <x:c r="DM48" s="979" t="n">
        <x:f>DK48-DL48</x:f>
        <x:v>0.00015438322552085992</x:v>
      </x:c>
      <x:c r="DN48" s="977" t="str">
        <x:f>IF(ABS(DM48)&lt;=MAX(0.5,0.05*ABS(DL48)),"OK","REVIEW")</x:f>
        <x:v>OK</x:v>
      </x:c>
    </x:row>
    <x:row r="49" ht="15" hidden="0" customHeight="1">
      <x:c r="A49" s="138" t="s">
        <x:v>664</x:v>
      </x:c>
      <x:c r="B49" s="138" t="str">
        <x:v>Tropical &amp; Subtropical Dry Broadleaf Forests</x:v>
      </x:c>
      <x:c r="C49" s="138" t="s">
        <x:v>113</x:v>
      </x:c>
      <x:c r="D49" s="138" t="s">
        <x:v>542</x:v>
      </x:c>
      <x:c r="E49" s="138" t="n">
        <x:v>2020</x:v>
      </x:c>
      <x:c r="F49" s="138" t="n">
        <x:v>0.5852</x:v>
      </x:c>
      <x:c r="G49" s="138" t="n">
        <x:v>2392.34</x:v>
      </x:c>
      <x:c r="H49" s="138" t="s">
        <x:v>942</x:v>
      </x:c>
      <x:c r="I49" s="138" t="s">
        <x:v>654</x:v>
      </x:c>
      <x:c r="J49" s="139" t="n">
        <x:f aca="0">IF($E49="Unconfirmed","",IFERROR(SUMIF(S15_Source_Strata!$B$4:$B$49,$I49,S15_Source_Strata!$H$4:$H$49),""))</x:f>
        <x:v>1027.020452896974</x:v>
      </x:c>
      <x:c r="K49" s="139" t="n">
        <x:f aca="0">IF($E49="Unconfirmed","",IFERROR(SUMIF(S15_Source_Strata!$B$4:$B$49,$I49,S15_Source_Strata!$I$4:$I$49),""))</x:f>
        <x:v>579.9802734106408</x:v>
      </x:c>
      <x:c r="L49" s="139" t="n">
        <x:f aca="0">IF($E49="Unconfirmed","",IFERROR(SUMIF(S15_Source_Strata!$B$4:$B$49,$I49,S15_Source_Strata!$J$4:$J$49),""))</x:f>
        <x:v>0.5647212494889057</x:v>
      </x:c>
      <x:c r="M49" s="139" t="n">
        <x:f aca="0">IF($E49="Unconfirmed","",IFERROR(SUMIF(S15_Source_Strata!$B$4:$B$49,$I49,S15_Source_Strata!$N$4:$N$49),""))</x:f>
        <x:v>770.2653396727304</x:v>
      </x:c>
      <x:c r="N49" s="139" t="n">
        <x:f aca="0">IF($E49="Unconfirmed","",IFERROR(SUMIF(S15_Source_Strata!$B$4:$B$49,$I49,S15_Source_Strata!$O$4:$O$49),""))</x:f>
        <x:v>0.75</x:v>
      </x:c>
      <x:c r="O49" s="139" t="n">
        <x:f aca="0">IF($E49="Unconfirmed","",IFERROR(SUMIF(S15_Source_Strata!$B$4:$B$49,$I49,S15_Source_Strata!$X$4:$X$49),""))</x:f>
        <x:v>1646.0056798579817</x:v>
      </x:c>
      <x:c r="P49" s="139" t="n">
        <x:f aca="0">IF($E49="Unconfirmed","",IFERROR(SUMIF(S15_Source_Strata!$B$4:$B$49,$I49,S15_Source_Strata!$AL$4:$AL$49),""))</x:f>
        <x:v>7396.124911459077</x:v>
      </x:c>
      <x:c r="Q49" s="139" t="str">
        <x:f aca="0">IF($E49="Unconfirmed","",IFERROR(SUMIF(S15_Source_Strata!$B$4:$B$49,$I49,S15_Source_Strata!$K$4:$K$49)&amp;"/"&amp;SUMIF(S15_Source_Strata!$B$4:$B$49,$I49,S15_Source_Strata!$L$4:$L$49),""))</x:f>
        <x:v>8/8</x:v>
      </x:c>
      <x:c r="R49" s="138" t="s">
        <x:v>660</x:v>
      </x:c>
      <x:c r="S49" s="138" t="s">
        <x:v>875</x:v>
      </x:c>
      <x:c r="T49" s="138" t="s">
        <x:v>841</x:v>
      </x:c>
      <x:c r="U49" s="138" t="n">
        <x:f>IFERROR(DB49*$DJ49/$F49,0)</x:f>
        <x:v>215.31100478468898</x:v>
      </x:c>
      <x:c r="V49" s="138" t="n">
        <x:v>0.58</x:v>
      </x:c>
      <x:c r="W49" s="138" t="n">
        <x:v>55</x:v>
      </x:c>
      <x:c r="X49" s="138" t="n">
        <x:v>0.16</x:v>
      </x:c>
      <x:c r="Y49" s="138" t="n">
        <x:v>1.3</x:v>
      </x:c>
      <x:c r="Z49" s="138" t="n">
        <x:v>25</x:v>
      </x:c>
      <x:c r="AA49" s="138" t="n">
        <x:v>0.2</x:v>
      </x:c>
      <x:c r="AB49" s="138" t="n">
        <x:v>1.2</x:v>
      </x:c>
      <x:c r="AC49" s="138"/>
      <x:c r="AD49" s="138"/>
      <x:c r="AE49" s="138"/>
      <x:c r="AF49" s="138" t="n">
        <x:f>IFERROR(DC49*$DJ49/$F49,0)</x:f>
        <x:v>0</x:v>
      </x:c>
      <x:c r="AG49" s="138"/>
      <x:c r="AH49" s="138"/>
      <x:c r="AI49" s="138"/>
      <x:c r="AJ49" s="138"/>
      <x:c r="AK49" s="138"/>
      <x:c r="AL49" s="138"/>
      <x:c r="AM49" s="138"/>
      <x:c r="AN49" s="138"/>
      <x:c r="AO49" s="138"/>
      <x:c r="AP49" s="138"/>
      <x:c r="AQ49" s="138" t="n">
        <x:f>IFERROR(DD49*$DJ49/$F49,0)</x:f>
        <x:v>0</x:v>
      </x:c>
      <x:c r="AR49" s="138"/>
      <x:c r="AS49" s="138"/>
      <x:c r="AT49" s="138"/>
      <x:c r="AU49" s="138"/>
      <x:c r="AV49" s="138"/>
      <x:c r="AW49" s="138"/>
      <x:c r="AX49" s="138"/>
      <x:c r="AY49" s="138"/>
      <x:c r="AZ49" s="138"/>
      <x:c r="BA49" s="138"/>
      <x:c r="BB49" s="138" t="n">
        <x:f>IFERROR(DE49*$DJ49/$F49,0)</x:f>
        <x:v>0</x:v>
      </x:c>
      <x:c r="BC49" s="138"/>
      <x:c r="BD49" s="138"/>
      <x:c r="BE49" s="138"/>
      <x:c r="BF49" s="138"/>
      <x:c r="BG49" s="138"/>
      <x:c r="BH49" s="138"/>
      <x:c r="BI49" s="138"/>
      <x:c r="BJ49" s="138"/>
      <x:c r="BK49" s="138"/>
      <x:c r="BL49" s="138"/>
      <x:c r="BM49" s="138" t="n">
        <x:f>IFERROR(DF49*$DJ49/$F49,0)</x:f>
        <x:v>0</x:v>
      </x:c>
      <x:c r="BN49" s="138"/>
      <x:c r="BO49" s="138"/>
      <x:c r="BP49" s="138"/>
      <x:c r="BQ49" s="138"/>
      <x:c r="BR49" s="138"/>
      <x:c r="BS49" s="138"/>
      <x:c r="BT49" s="138"/>
      <x:c r="BU49" s="138"/>
      <x:c r="BV49" s="138"/>
      <x:c r="BW49" s="138"/>
      <x:c r="BX49" s="138" t="n">
        <x:f>IFERROR(DG49*$DJ49/$F49,0)</x:f>
        <x:v>0</x:v>
      </x:c>
      <x:c r="BY49" s="138"/>
      <x:c r="BZ49" s="138"/>
      <x:c r="CA49" s="138"/>
      <x:c r="CB49" s="138"/>
      <x:c r="CC49" s="138"/>
      <x:c r="CD49" s="138"/>
      <x:c r="CE49" s="138"/>
      <x:c r="CF49" s="138"/>
      <x:c r="CG49" s="138"/>
      <x:c r="CH49" s="138"/>
      <x:c r="CI49" s="138" t="n">
        <x:f>IFERROR(DH49*$DJ49/$F49,0)</x:f>
        <x:v>0</x:v>
      </x:c>
      <x:c r="CJ49" s="138"/>
      <x:c r="CK49" s="138"/>
      <x:c r="CL49" s="138"/>
      <x:c r="CM49" s="138"/>
      <x:c r="CN49" s="138"/>
      <x:c r="CO49" s="138"/>
      <x:c r="CP49" s="138"/>
      <x:c r="CQ49" s="138"/>
      <x:c r="CR49" s="138"/>
      <x:c r="CS49" s="138"/>
      <x:c r="CT49" s="138" t="n">
        <x:f>IFERROR(DI49*$DJ49/$F49,0)</x:f>
        <x:v>0</x:v>
      </x:c>
      <x:c r="CU49" s="138"/>
      <x:c r="CV49" s="138"/>
      <x:c r="CW49" s="138"/>
      <x:c r="CX49" s="138"/>
      <x:c r="CY49" s="138"/>
      <x:c r="CZ49" s="138"/>
      <x:c r="DA49" s="138"/>
      <x:c r="DB49" s="978" t="n">
        <x:v>1400</x:v>
      </x:c>
      <x:c r="DC49" s="978"/>
      <x:c r="DD49" s="978"/>
      <x:c r="DE49" s="978"/>
      <x:c r="DF49" s="978"/>
      <x:c r="DG49" s="978"/>
      <x:c r="DH49" s="978"/>
      <x:c r="DI49" s="978"/>
      <x:c r="DJ49" s="980" t="n">
        <x:f>'S08_Defaults'!$B$37</x:f>
        <x:v>0.09</x:v>
      </x:c>
      <x:c r="DK49" s="979" t="n">
        <x:f>SUM(U49,AF49,AQ49,BB49,BM49,BX49,CI49,CT49)</x:f>
        <x:v>215.31100478468898</x:v>
      </x:c>
      <x:c r="DL49" s="979" t="n">
        <x:f>G49*DJ49</x:f>
        <x:v>215.3106</x:v>
      </x:c>
      <x:c r="DM49" s="979" t="n">
        <x:f>DK49-DL49</x:f>
        <x:v>0.00040478468898186293</x:v>
      </x:c>
      <x:c r="DN49" s="977" t="str">
        <x:f>IF(ABS(DM49)&lt;=MAX(0.5,0.05*ABS(DL49)),"OK","REVIEW")</x:f>
        <x:v>OK</x:v>
      </x:c>
    </x:row>
    <x:row r="50" ht="15" hidden="0" customHeight="1">
      <x:c r="A50" s="138" t="s">
        <x:v>665</x:v>
      </x:c>
      <x:c r="B50" s="138" t="str">
        <x:v>Tropical &amp; Subtropical Dry Broadleaf Forests</x:v>
      </x:c>
      <x:c r="C50" s="138" t="s">
        <x:v>113</x:v>
      </x:c>
      <x:c r="D50" s="138" t="s">
        <x:v>549</x:v>
      </x:c>
      <x:c r="E50" s="138" t="n">
        <x:v>2020</x:v>
      </x:c>
      <x:c r="F50" s="138" t="n">
        <x:v>1.4569</x:v>
      </x:c>
      <x:c r="G50" s="138" t="n">
        <x:v>343.19</x:v>
      </x:c>
      <x:c r="H50" s="138" t="s">
        <x:v>943</x:v>
      </x:c>
      <x:c r="I50" s="138" t="s">
        <x:v>666</x:v>
      </x:c>
      <x:c r="J50" s="139" t="n">
        <x:f aca="0">IF($E50="Unconfirmed","",IFERROR(SUMIF(S15_Source_Strata!$B$4:$B$49,$I50,S15_Source_Strata!$H$4:$H$49),""))</x:f>
        <x:v>43.58534780299414</x:v>
      </x:c>
      <x:c r="K50" s="139" t="n">
        <x:f aca="0">IF($E50="Unconfirmed","",IFERROR(SUMIF(S15_Source_Strata!$B$4:$B$49,$I50,S15_Source_Strata!$I$4:$I$49),""))</x:f>
        <x:v>53.33486919911265</x:v>
      </x:c>
      <x:c r="L50" s="139" t="n">
        <x:f aca="0">IF($E50="Unconfirmed","",IFERROR(SUMIF(S15_Source_Strata!$B$4:$B$49,$I50,S15_Source_Strata!$J$4:$J$49),""))</x:f>
        <x:v>1.2236880485659163</x:v>
      </x:c>
      <x:c r="M50" s="139" t="n">
        <x:f aca="0">IF($E50="Unconfirmed","",IFERROR(SUMIF(S15_Source_Strata!$B$4:$B$49,$I50,S15_Source_Strata!$N$4:$N$49),""))</x:f>
        <x:v>32.68901085224561</x:v>
      </x:c>
      <x:c r="N50" s="139" t="n">
        <x:f aca="0">IF($E50="Unconfirmed","",IFERROR(SUMIF(S15_Source_Strata!$B$4:$B$49,$I50,S15_Source_Strata!$O$4:$O$49),""))</x:f>
        <x:v>0.75</x:v>
      </x:c>
      <x:c r="O50" s="139" t="n">
        <x:f aca="0">IF($E50="Unconfirmed","",IFERROR(SUMIF(S15_Source_Strata!$B$4:$B$49,$I50,S15_Source_Strata!$X$4:$X$49),""))</x:f>
        <x:v>69.85423692385878</x:v>
      </x:c>
      <x:c r="P50" s="139" t="n">
        <x:f aca="0">IF($E50="Unconfirmed","",IFERROR(SUMIF(S15_Source_Strata!$B$4:$B$49,$I50,S15_Source_Strata!$AL$4:$AL$49),""))</x:f>
        <x:v>436.6777316802021</x:v>
      </x:c>
      <x:c r="Q50" s="139" t="str">
        <x:f aca="0">IF($E50="Unconfirmed","",IFERROR(SUMIF(S15_Source_Strata!$B$4:$B$49,$I50,S15_Source_Strata!$K$4:$K$49)&amp;"/"&amp;SUMIF(S15_Source_Strata!$B$4:$B$49,$I50,S15_Source_Strata!$L$4:$L$49),""))</x:f>
        <x:v>3/6</x:v>
      </x:c>
      <x:c r="R50" s="138" t="s">
        <x:v>670</x:v>
      </x:c>
      <x:c r="S50" s="138" t="s">
        <x:v>877</x:v>
      </x:c>
      <x:c r="T50" s="138" t="s">
        <x:v>841</x:v>
      </x:c>
      <x:c r="U50" s="138" t="n">
        <x:f>IFERROR(DB50*$DJ50/$F50,0)</x:f>
        <x:v>12.355000343194453</x:v>
      </x:c>
      <x:c r="V50" s="138" t="n">
        <x:v>0.55</x:v>
      </x:c>
      <x:c r="W50" s="138" t="n">
        <x:v>50</x:v>
      </x:c>
      <x:c r="X50" s="138" t="n">
        <x:v>0.12</x:v>
      </x:c>
      <x:c r="Y50" s="138" t="n">
        <x:v>1.4</x:v>
      </x:c>
      <x:c r="Z50" s="138" t="n">
        <x:v>25</x:v>
      </x:c>
      <x:c r="AA50" s="138" t="n">
        <x:v>0.15</x:v>
      </x:c>
      <x:c r="AB50" s="138" t="n">
        <x:v>1.3</x:v>
      </x:c>
      <x:c r="AC50" s="138" t="s">
        <x:v>660</x:v>
      </x:c>
      <x:c r="AD50" s="138" t="s">
        <x:v>875</x:v>
      </x:c>
      <x:c r="AE50" s="138" t="s">
        <x:v>841</x:v>
      </x:c>
      <x:c r="AF50" s="138" t="n">
        <x:f>IFERROR(DC50*$DJ50/$F50,0)</x:f>
        <x:v>18.53250051479168</x:v>
      </x:c>
      <x:c r="AG50" s="138" t="n">
        <x:v>0.58</x:v>
      </x:c>
      <x:c r="AH50" s="138" t="n">
        <x:v>55</x:v>
      </x:c>
      <x:c r="AI50" s="138" t="n">
        <x:v>0.16</x:v>
      </x:c>
      <x:c r="AJ50" s="138" t="n">
        <x:v>1.3</x:v>
      </x:c>
      <x:c r="AK50" s="138" t="n">
        <x:v>25</x:v>
      </x:c>
      <x:c r="AL50" s="138" t="n">
        <x:v>0.2</x:v>
      </x:c>
      <x:c r="AM50" s="138" t="n">
        <x:v>1.2</x:v>
      </x:c>
      <x:c r="AN50" s="138"/>
      <x:c r="AO50" s="138"/>
      <x:c r="AP50" s="138"/>
      <x:c r="AQ50" s="138" t="n">
        <x:f>IFERROR(DD50*$DJ50/$F50,0)</x:f>
        <x:v>0</x:v>
      </x:c>
      <x:c r="AR50" s="138"/>
      <x:c r="AS50" s="138"/>
      <x:c r="AT50" s="138"/>
      <x:c r="AU50" s="138"/>
      <x:c r="AV50" s="138"/>
      <x:c r="AW50" s="138"/>
      <x:c r="AX50" s="138"/>
      <x:c r="AY50" s="138"/>
      <x:c r="AZ50" s="138"/>
      <x:c r="BA50" s="138"/>
      <x:c r="BB50" s="138" t="n">
        <x:f>IFERROR(DE50*$DJ50/$F50,0)</x:f>
        <x:v>0</x:v>
      </x:c>
      <x:c r="BC50" s="138"/>
      <x:c r="BD50" s="138"/>
      <x:c r="BE50" s="138"/>
      <x:c r="BF50" s="138"/>
      <x:c r="BG50" s="138"/>
      <x:c r="BH50" s="138"/>
      <x:c r="BI50" s="138"/>
      <x:c r="BJ50" s="138"/>
      <x:c r="BK50" s="138"/>
      <x:c r="BL50" s="138"/>
      <x:c r="BM50" s="138" t="n">
        <x:f>IFERROR(DF50*$DJ50/$F50,0)</x:f>
        <x:v>0</x:v>
      </x:c>
      <x:c r="BN50" s="138"/>
      <x:c r="BO50" s="138"/>
      <x:c r="BP50" s="138"/>
      <x:c r="BQ50" s="138"/>
      <x:c r="BR50" s="138"/>
      <x:c r="BS50" s="138"/>
      <x:c r="BT50" s="138"/>
      <x:c r="BU50" s="138"/>
      <x:c r="BV50" s="138"/>
      <x:c r="BW50" s="138"/>
      <x:c r="BX50" s="138" t="n">
        <x:f>IFERROR(DG50*$DJ50/$F50,0)</x:f>
        <x:v>0</x:v>
      </x:c>
      <x:c r="BY50" s="138"/>
      <x:c r="BZ50" s="138"/>
      <x:c r="CA50" s="138"/>
      <x:c r="CB50" s="138"/>
      <x:c r="CC50" s="138"/>
      <x:c r="CD50" s="138"/>
      <x:c r="CE50" s="138"/>
      <x:c r="CF50" s="138"/>
      <x:c r="CG50" s="138"/>
      <x:c r="CH50" s="138"/>
      <x:c r="CI50" s="138" t="n">
        <x:f>IFERROR(DH50*$DJ50/$F50,0)</x:f>
        <x:v>0</x:v>
      </x:c>
      <x:c r="CJ50" s="138"/>
      <x:c r="CK50" s="138"/>
      <x:c r="CL50" s="138"/>
      <x:c r="CM50" s="138"/>
      <x:c r="CN50" s="138"/>
      <x:c r="CO50" s="138"/>
      <x:c r="CP50" s="138"/>
      <x:c r="CQ50" s="138"/>
      <x:c r="CR50" s="138"/>
      <x:c r="CS50" s="138"/>
      <x:c r="CT50" s="138" t="n">
        <x:f>IFERROR(DI50*$DJ50/$F50,0)</x:f>
        <x:v>0</x:v>
      </x:c>
      <x:c r="CU50" s="138"/>
      <x:c r="CV50" s="138"/>
      <x:c r="CW50" s="138"/>
      <x:c r="CX50" s="138"/>
      <x:c r="CY50" s="138"/>
      <x:c r="CZ50" s="138"/>
      <x:c r="DA50" s="138"/>
      <x:c r="DB50" s="978" t="n">
        <x:v>200</x:v>
      </x:c>
      <x:c r="DC50" s="978" t="n">
        <x:v>300</x:v>
      </x:c>
      <x:c r="DD50" s="978"/>
      <x:c r="DE50" s="978"/>
      <x:c r="DF50" s="978"/>
      <x:c r="DG50" s="978"/>
      <x:c r="DH50" s="978"/>
      <x:c r="DI50" s="978"/>
      <x:c r="DJ50" s="980" t="n">
        <x:f>'S08_Defaults'!$B$37</x:f>
        <x:v>0.09</x:v>
      </x:c>
      <x:c r="DK50" s="979" t="n">
        <x:f>SUM(U50,AF50,AQ50,BB50,BM50,BX50,CI50,CT50)</x:f>
        <x:v>30.887500857986133</x:v>
      </x:c>
      <x:c r="DL50" s="979" t="n">
        <x:f>G50*DJ50</x:f>
        <x:v>30.8871</x:v>
      </x:c>
      <x:c r="DM50" s="979" t="n">
        <x:f>DK50-DL50</x:f>
        <x:v>0.00040085798613276324</x:v>
      </x:c>
      <x:c r="DN50" s="977" t="str">
        <x:f>IF(ABS(DM50)&lt;=MAX(0.5,0.05*ABS(DL50)),"OK","REVIEW")</x:f>
        <x:v>OK</x:v>
      </x:c>
    </x:row>
    <x:row r="51" ht="15" hidden="0" customHeight="1">
      <x:c r="A51" s="138" t="s">
        <x:v>667</x:v>
      </x:c>
      <x:c r="B51" s="138" t="str">
        <x:v>Tropical &amp; Subtropical Dry Broadleaf Forests</x:v>
      </x:c>
      <x:c r="C51" s="138" t="s">
        <x:v>113</x:v>
      </x:c>
      <x:c r="D51" s="138" t="s">
        <x:v>549</x:v>
      </x:c>
      <x:c r="E51" s="138" t="n">
        <x:v>2020</x:v>
      </x:c>
      <x:c r="F51" s="138" t="n">
        <x:v>0.873</x:v>
      </x:c>
      <x:c r="G51" s="138" t="n">
        <x:v>400.92</x:v>
      </x:c>
      <x:c r="H51" s="138" t="s">
        <x:v>944</x:v>
      </x:c>
      <x:c r="I51" s="138" t="s">
        <x:v>666</x:v>
      </x:c>
      <x:c r="J51" s="139" t="n">
        <x:f aca="0">IF($E51="Unconfirmed","",IFERROR(SUMIF(S15_Source_Strata!$B$4:$B$49,$I51,S15_Source_Strata!$H$4:$H$49),""))</x:f>
        <x:v>43.58534780299414</x:v>
      </x:c>
      <x:c r="K51" s="139" t="n">
        <x:f aca="0">IF($E51="Unconfirmed","",IFERROR(SUMIF(S15_Source_Strata!$B$4:$B$49,$I51,S15_Source_Strata!$I$4:$I$49),""))</x:f>
        <x:v>53.33486919911265</x:v>
      </x:c>
      <x:c r="L51" s="139" t="n">
        <x:f aca="0">IF($E51="Unconfirmed","",IFERROR(SUMIF(S15_Source_Strata!$B$4:$B$49,$I51,S15_Source_Strata!$J$4:$J$49),""))</x:f>
        <x:v>1.2236880485659163</x:v>
      </x:c>
      <x:c r="M51" s="139" t="n">
        <x:f aca="0">IF($E51="Unconfirmed","",IFERROR(SUMIF(S15_Source_Strata!$B$4:$B$49,$I51,S15_Source_Strata!$N$4:$N$49),""))</x:f>
        <x:v>32.68901085224561</x:v>
      </x:c>
      <x:c r="N51" s="139" t="n">
        <x:f aca="0">IF($E51="Unconfirmed","",IFERROR(SUMIF(S15_Source_Strata!$B$4:$B$49,$I51,S15_Source_Strata!$O$4:$O$49),""))</x:f>
        <x:v>0.75</x:v>
      </x:c>
      <x:c r="O51" s="139" t="n">
        <x:f aca="0">IF($E51="Unconfirmed","",IFERROR(SUMIF(S15_Source_Strata!$B$4:$B$49,$I51,S15_Source_Strata!$X$4:$X$49),""))</x:f>
        <x:v>69.85423692385878</x:v>
      </x:c>
      <x:c r="P51" s="139" t="n">
        <x:f aca="0">IF($E51="Unconfirmed","",IFERROR(SUMIF(S15_Source_Strata!$B$4:$B$49,$I51,S15_Source_Strata!$AL$4:$AL$49),""))</x:f>
        <x:v>436.6777316802021</x:v>
      </x:c>
      <x:c r="Q51" s="139" t="str">
        <x:f aca="0">IF($E51="Unconfirmed","",IFERROR(SUMIF(S15_Source_Strata!$B$4:$B$49,$I51,S15_Source_Strata!$K$4:$K$49)&amp;"/"&amp;SUMIF(S15_Source_Strata!$B$4:$B$49,$I51,S15_Source_Strata!$L$4:$L$49),""))</x:f>
        <x:v>3/6</x:v>
      </x:c>
      <x:c r="R51" s="138" t="s">
        <x:v>668</x:v>
      </x:c>
      <x:c r="S51" s="138" t="s">
        <x:v>903</x:v>
      </x:c>
      <x:c r="T51" s="138" t="s">
        <x:v>945</x:v>
      </x:c>
      <x:c r="U51" s="138" t="n">
        <x:f>IFERROR(DB51*$DJ51/$F51,0)</x:f>
        <x:v>51.54639175257732</x:v>
      </x:c>
      <x:c r="V51" s="138" t="n">
        <x:v>0.75</x:v>
      </x:c>
      <x:c r="W51" s="138" t="n">
        <x:v>25</x:v>
      </x:c>
      <x:c r="X51" s="138" t="n">
        <x:v>0.1</x:v>
      </x:c>
      <x:c r="Y51" s="138" t="n">
        <x:v>1.5</x:v>
      </x:c>
      <x:c r="Z51" s="138" t="n">
        <x:v>12</x:v>
      </x:c>
      <x:c r="AA51" s="138" t="n">
        <x:v>0.14</x:v>
      </x:c>
      <x:c r="AB51" s="138" t="n">
        <x:v>1.4</x:v>
      </x:c>
      <x:c r="AC51" s="138"/>
      <x:c r="AD51" s="138"/>
      <x:c r="AE51" s="138"/>
      <x:c r="AF51" s="138" t="n">
        <x:f>IFERROR(DC51*$DJ51/$F51,0)</x:f>
        <x:v>0</x:v>
      </x:c>
      <x:c r="AG51" s="138"/>
      <x:c r="AH51" s="138"/>
      <x:c r="AI51" s="138"/>
      <x:c r="AJ51" s="138"/>
      <x:c r="AK51" s="138"/>
      <x:c r="AL51" s="138"/>
      <x:c r="AM51" s="138"/>
      <x:c r="AN51" s="138"/>
      <x:c r="AO51" s="138"/>
      <x:c r="AP51" s="138"/>
      <x:c r="AQ51" s="138" t="n">
        <x:f>IFERROR(DD51*$DJ51/$F51,0)</x:f>
        <x:v>0</x:v>
      </x:c>
      <x:c r="AR51" s="138"/>
      <x:c r="AS51" s="138"/>
      <x:c r="AT51" s="138"/>
      <x:c r="AU51" s="138"/>
      <x:c r="AV51" s="138"/>
      <x:c r="AW51" s="138"/>
      <x:c r="AX51" s="138"/>
      <x:c r="AY51" s="138"/>
      <x:c r="AZ51" s="138"/>
      <x:c r="BA51" s="138"/>
      <x:c r="BB51" s="138" t="n">
        <x:f>IFERROR(DE51*$DJ51/$F51,0)</x:f>
        <x:v>0</x:v>
      </x:c>
      <x:c r="BC51" s="138"/>
      <x:c r="BD51" s="138"/>
      <x:c r="BE51" s="138"/>
      <x:c r="BF51" s="138"/>
      <x:c r="BG51" s="138"/>
      <x:c r="BH51" s="138"/>
      <x:c r="BI51" s="138"/>
      <x:c r="BJ51" s="138"/>
      <x:c r="BK51" s="138"/>
      <x:c r="BL51" s="138"/>
      <x:c r="BM51" s="138" t="n">
        <x:f>IFERROR(DF51*$DJ51/$F51,0)</x:f>
        <x:v>0</x:v>
      </x:c>
      <x:c r="BN51" s="138"/>
      <x:c r="BO51" s="138"/>
      <x:c r="BP51" s="138"/>
      <x:c r="BQ51" s="138"/>
      <x:c r="BR51" s="138"/>
      <x:c r="BS51" s="138"/>
      <x:c r="BT51" s="138"/>
      <x:c r="BU51" s="138"/>
      <x:c r="BV51" s="138"/>
      <x:c r="BW51" s="138"/>
      <x:c r="BX51" s="138" t="n">
        <x:f>IFERROR(DG51*$DJ51/$F51,0)</x:f>
        <x:v>0</x:v>
      </x:c>
      <x:c r="BY51" s="138"/>
      <x:c r="BZ51" s="138"/>
      <x:c r="CA51" s="138"/>
      <x:c r="CB51" s="138"/>
      <x:c r="CC51" s="138"/>
      <x:c r="CD51" s="138"/>
      <x:c r="CE51" s="138"/>
      <x:c r="CF51" s="138"/>
      <x:c r="CG51" s="138"/>
      <x:c r="CH51" s="138"/>
      <x:c r="CI51" s="138" t="n">
        <x:f>IFERROR(DH51*$DJ51/$F51,0)</x:f>
        <x:v>0</x:v>
      </x:c>
      <x:c r="CJ51" s="138"/>
      <x:c r="CK51" s="138"/>
      <x:c r="CL51" s="138"/>
      <x:c r="CM51" s="138"/>
      <x:c r="CN51" s="138"/>
      <x:c r="CO51" s="138"/>
      <x:c r="CP51" s="138"/>
      <x:c r="CQ51" s="138"/>
      <x:c r="CR51" s="138"/>
      <x:c r="CS51" s="138"/>
      <x:c r="CT51" s="138" t="n">
        <x:f>IFERROR(DI51*$DJ51/$F51,0)</x:f>
        <x:v>0</x:v>
      </x:c>
      <x:c r="CU51" s="138"/>
      <x:c r="CV51" s="138"/>
      <x:c r="CW51" s="138"/>
      <x:c r="CX51" s="138"/>
      <x:c r="CY51" s="138"/>
      <x:c r="CZ51" s="138"/>
      <x:c r="DA51" s="138"/>
      <x:c r="DB51" s="978" t="n">
        <x:v>500</x:v>
      </x:c>
      <x:c r="DC51" s="978"/>
      <x:c r="DD51" s="978"/>
      <x:c r="DE51" s="978"/>
      <x:c r="DF51" s="978"/>
      <x:c r="DG51" s="978"/>
      <x:c r="DH51" s="978"/>
      <x:c r="DI51" s="978"/>
      <x:c r="DJ51" s="980" t="n">
        <x:f>'S08_Defaults'!$B$37</x:f>
        <x:v>0.09</x:v>
      </x:c>
      <x:c r="DK51" s="979" t="n">
        <x:f>SUM(U51,AF51,AQ51,BB51,BM51,BX51,CI51,CT51)</x:f>
        <x:v>51.54639175257732</x:v>
      </x:c>
      <x:c r="DL51" s="979" t="n">
        <x:f>G51*DJ51</x:f>
        <x:v>36.0828</x:v>
      </x:c>
      <x:c r="DM51" s="979" t="n">
        <x:f>DK51-DL51</x:f>
        <x:v>15.463591752577322</x:v>
      </x:c>
      <x:c r="DN51" s="977" t="str">
        <x:f>IF(ABS(DM51)&lt;=MAX(0.5,0.05*ABS(DL51)),"OK","REVIEW")</x:f>
        <x:v>REVIEW</x:v>
      </x:c>
    </x:row>
    <x:row r="52" ht="15" hidden="0" customHeight="1">
      <x:c r="A52" s="138" t="s">
        <x:v>669</x:v>
      </x:c>
      <x:c r="B52" s="138" t="str">
        <x:v>Tropical &amp; Subtropical Moist Broadleaf Forests</x:v>
      </x:c>
      <x:c r="C52" s="138" t="s">
        <x:v>113</x:v>
      </x:c>
      <x:c r="D52" s="138" t="s">
        <x:v>549</x:v>
      </x:c>
      <x:c r="E52" s="138" t="n">
        <x:v>2020</x:v>
      </x:c>
      <x:c r="F52" s="138" t="n">
        <x:v>0.7649</x:v>
      </x:c>
      <x:c r="G52" s="138" t="n">
        <x:v>130.74</x:v>
      </x:c>
      <x:c r="H52" s="138" t="s">
        <x:v>946</x:v>
      </x:c>
      <x:c r="I52" s="138" t="s">
        <x:v>666</x:v>
      </x:c>
      <x:c r="J52" s="139" t="n">
        <x:f aca="0">IF($E52="Unconfirmed","",IFERROR(SUMIF(S15_Source_Strata!$B$4:$B$49,$I52,S15_Source_Strata!$H$4:$H$49),""))</x:f>
        <x:v>43.58534780299414</x:v>
      </x:c>
      <x:c r="K52" s="139" t="n">
        <x:f aca="0">IF($E52="Unconfirmed","",IFERROR(SUMIF(S15_Source_Strata!$B$4:$B$49,$I52,S15_Source_Strata!$I$4:$I$49),""))</x:f>
        <x:v>53.33486919911265</x:v>
      </x:c>
      <x:c r="L52" s="139" t="n">
        <x:f aca="0">IF($E52="Unconfirmed","",IFERROR(SUMIF(S15_Source_Strata!$B$4:$B$49,$I52,S15_Source_Strata!$J$4:$J$49),""))</x:f>
        <x:v>1.2236880485659163</x:v>
      </x:c>
      <x:c r="M52" s="139" t="n">
        <x:f aca="0">IF($E52="Unconfirmed","",IFERROR(SUMIF(S15_Source_Strata!$B$4:$B$49,$I52,S15_Source_Strata!$N$4:$N$49),""))</x:f>
        <x:v>32.68901085224561</x:v>
      </x:c>
      <x:c r="N52" s="139" t="n">
        <x:f aca="0">IF($E52="Unconfirmed","",IFERROR(SUMIF(S15_Source_Strata!$B$4:$B$49,$I52,S15_Source_Strata!$O$4:$O$49),""))</x:f>
        <x:v>0.75</x:v>
      </x:c>
      <x:c r="O52" s="139" t="n">
        <x:f aca="0">IF($E52="Unconfirmed","",IFERROR(SUMIF(S15_Source_Strata!$B$4:$B$49,$I52,S15_Source_Strata!$X$4:$X$49),""))</x:f>
        <x:v>69.85423692385878</x:v>
      </x:c>
      <x:c r="P52" s="139" t="n">
        <x:f aca="0">IF($E52="Unconfirmed","",IFERROR(SUMIF(S15_Source_Strata!$B$4:$B$49,$I52,S15_Source_Strata!$AL$4:$AL$49),""))</x:f>
        <x:v>436.6777316802021</x:v>
      </x:c>
      <x:c r="Q52" s="139" t="str">
        <x:f aca="0">IF($E52="Unconfirmed","",IFERROR(SUMIF(S15_Source_Strata!$B$4:$B$49,$I52,S15_Source_Strata!$K$4:$K$49)&amp;"/"&amp;SUMIF(S15_Source_Strata!$B$4:$B$49,$I52,S15_Source_Strata!$L$4:$L$49),""))</x:f>
        <x:v>3/6</x:v>
      </x:c>
      <x:c r="R52" s="138" t="s">
        <x:v>670</x:v>
      </x:c>
      <x:c r="S52" s="138" t="s">
        <x:v>877</x:v>
      </x:c>
      <x:c r="T52" s="138" t="s">
        <x:v>841</x:v>
      </x:c>
      <x:c r="U52" s="138" t="n">
        <x:f>IFERROR(DB52*$DJ52/$F52,0)</x:f>
        <x:v>11.766243953457968</x:v>
      </x:c>
      <x:c r="V52" s="138" t="n">
        <x:v>0.55</x:v>
      </x:c>
      <x:c r="W52" s="138" t="n">
        <x:v>50</x:v>
      </x:c>
      <x:c r="X52" s="138" t="n">
        <x:v>0.12</x:v>
      </x:c>
      <x:c r="Y52" s="138" t="n">
        <x:v>1.4</x:v>
      </x:c>
      <x:c r="Z52" s="138" t="n">
        <x:v>25</x:v>
      </x:c>
      <x:c r="AA52" s="138" t="n">
        <x:v>0.15</x:v>
      </x:c>
      <x:c r="AB52" s="138" t="n">
        <x:v>1.3</x:v>
      </x:c>
      <x:c r="AC52" s="138"/>
      <x:c r="AD52" s="138"/>
      <x:c r="AE52" s="138"/>
      <x:c r="AF52" s="138" t="n">
        <x:f>IFERROR(DC52*$DJ52/$F52,0)</x:f>
        <x:v>0</x:v>
      </x:c>
      <x:c r="AG52" s="138"/>
      <x:c r="AH52" s="138"/>
      <x:c r="AI52" s="138"/>
      <x:c r="AJ52" s="138"/>
      <x:c r="AK52" s="138"/>
      <x:c r="AL52" s="138"/>
      <x:c r="AM52" s="138"/>
      <x:c r="AN52" s="138"/>
      <x:c r="AO52" s="138"/>
      <x:c r="AP52" s="138"/>
      <x:c r="AQ52" s="138" t="n">
        <x:f>IFERROR(DD52*$DJ52/$F52,0)</x:f>
        <x:v>0</x:v>
      </x:c>
      <x:c r="AR52" s="138"/>
      <x:c r="AS52" s="138"/>
      <x:c r="AT52" s="138"/>
      <x:c r="AU52" s="138"/>
      <x:c r="AV52" s="138"/>
      <x:c r="AW52" s="138"/>
      <x:c r="AX52" s="138"/>
      <x:c r="AY52" s="138"/>
      <x:c r="AZ52" s="138"/>
      <x:c r="BA52" s="138"/>
      <x:c r="BB52" s="138" t="n">
        <x:f>IFERROR(DE52*$DJ52/$F52,0)</x:f>
        <x:v>0</x:v>
      </x:c>
      <x:c r="BC52" s="138"/>
      <x:c r="BD52" s="138"/>
      <x:c r="BE52" s="138"/>
      <x:c r="BF52" s="138"/>
      <x:c r="BG52" s="138"/>
      <x:c r="BH52" s="138"/>
      <x:c r="BI52" s="138"/>
      <x:c r="BJ52" s="138"/>
      <x:c r="BK52" s="138"/>
      <x:c r="BL52" s="138"/>
      <x:c r="BM52" s="138" t="n">
        <x:f>IFERROR(DF52*$DJ52/$F52,0)</x:f>
        <x:v>0</x:v>
      </x:c>
      <x:c r="BN52" s="138"/>
      <x:c r="BO52" s="138"/>
      <x:c r="BP52" s="138"/>
      <x:c r="BQ52" s="138"/>
      <x:c r="BR52" s="138"/>
      <x:c r="BS52" s="138"/>
      <x:c r="BT52" s="138"/>
      <x:c r="BU52" s="138"/>
      <x:c r="BV52" s="138"/>
      <x:c r="BW52" s="138"/>
      <x:c r="BX52" s="138" t="n">
        <x:f>IFERROR(DG52*$DJ52/$F52,0)</x:f>
        <x:v>0</x:v>
      </x:c>
      <x:c r="BY52" s="138"/>
      <x:c r="BZ52" s="138"/>
      <x:c r="CA52" s="138"/>
      <x:c r="CB52" s="138"/>
      <x:c r="CC52" s="138"/>
      <x:c r="CD52" s="138"/>
      <x:c r="CE52" s="138"/>
      <x:c r="CF52" s="138"/>
      <x:c r="CG52" s="138"/>
      <x:c r="CH52" s="138"/>
      <x:c r="CI52" s="138" t="n">
        <x:f>IFERROR(DH52*$DJ52/$F52,0)</x:f>
        <x:v>0</x:v>
      </x:c>
      <x:c r="CJ52" s="138"/>
      <x:c r="CK52" s="138"/>
      <x:c r="CL52" s="138"/>
      <x:c r="CM52" s="138"/>
      <x:c r="CN52" s="138"/>
      <x:c r="CO52" s="138"/>
      <x:c r="CP52" s="138"/>
      <x:c r="CQ52" s="138"/>
      <x:c r="CR52" s="138"/>
      <x:c r="CS52" s="138"/>
      <x:c r="CT52" s="138" t="n">
        <x:f>IFERROR(DI52*$DJ52/$F52,0)</x:f>
        <x:v>0</x:v>
      </x:c>
      <x:c r="CU52" s="138"/>
      <x:c r="CV52" s="138"/>
      <x:c r="CW52" s="138"/>
      <x:c r="CX52" s="138"/>
      <x:c r="CY52" s="138"/>
      <x:c r="CZ52" s="138"/>
      <x:c r="DA52" s="138"/>
      <x:c r="DB52" s="978" t="n">
        <x:v>100</x:v>
      </x:c>
      <x:c r="DC52" s="978"/>
      <x:c r="DD52" s="978"/>
      <x:c r="DE52" s="978"/>
      <x:c r="DF52" s="978"/>
      <x:c r="DG52" s="978"/>
      <x:c r="DH52" s="978"/>
      <x:c r="DI52" s="978"/>
      <x:c r="DJ52" s="980" t="n">
        <x:f>'S08_Defaults'!$B$37</x:f>
        <x:v>0.09</x:v>
      </x:c>
      <x:c r="DK52" s="979" t="n">
        <x:f>SUM(U52,AF52,AQ52,BB52,BM52,BX52,CI52,CT52)</x:f>
        <x:v>11.766243953457968</x:v>
      </x:c>
      <x:c r="DL52" s="979" t="n">
        <x:f>G52*DJ52</x:f>
        <x:v>11.7666</x:v>
      </x:c>
      <x:c r="DM52" s="979" t="n">
        <x:f>DK52-DL52</x:f>
        <x:v>-0.0003560465420324732</x:v>
      </x:c>
      <x:c r="DN52" s="977" t="str">
        <x:f>IF(ABS(DM52)&lt;=MAX(0.5,0.05*ABS(DL52)),"OK","REVIEW")</x:f>
        <x:v>OK</x:v>
      </x:c>
    </x:row>
    <x:row r="53" ht="15" hidden="0" customHeight="1">
      <x:c r="A53" s="138" t="s">
        <x:v>671</x:v>
      </x:c>
      <x:c r="B53" s="138" t="str">
        <x:v>Tropical &amp; Subtropical Dry Broadleaf Forests</x:v>
      </x:c>
      <x:c r="C53" s="138" t="s">
        <x:v>113</x:v>
      </x:c>
      <x:c r="D53" s="138" t="s">
        <x:v>553</x:v>
      </x:c>
      <x:c r="E53" s="138" t="n">
        <x:v>2020</x:v>
      </x:c>
      <x:c r="F53" s="138" t="n">
        <x:v>0.618</x:v>
      </x:c>
      <x:c r="G53" s="138" t="n">
        <x:v>736.25</x:v>
      </x:c>
      <x:c r="H53" s="138" t="s">
        <x:v>947</x:v>
      </x:c>
      <x:c r="I53" s="138" t="s">
        <x:v>673</x:v>
      </x:c>
      <x:c r="J53" s="139" t="n">
        <x:f aca="0">IF($E53="Unconfirmed","",IFERROR(SUMIF(S15_Source_Strata!$B$4:$B$49,$I53,S15_Source_Strata!$H$4:$H$49),""))</x:f>
        <x:v>215.91385512083826</x:v>
      </x:c>
      <x:c r="K53" s="139" t="n">
        <x:f aca="0">IF($E53="Unconfirmed","",IFERROR(SUMIF(S15_Source_Strata!$B$4:$B$49,$I53,S15_Source_Strata!$I$4:$I$49),""))</x:f>
        <x:v>180.66754848026147</x:v>
      </x:c>
      <x:c r="L53" s="139" t="n">
        <x:f aca="0">IF($E53="Unconfirmed","",IFERROR(SUMIF(S15_Source_Strata!$B$4:$B$49,$I53,S15_Source_Strata!$J$4:$J$49),""))</x:f>
        <x:v>0.8367575502699868</x:v>
      </x:c>
      <x:c r="M53" s="139" t="n">
        <x:f aca="0">IF($E53="Unconfirmed","",IFERROR(SUMIF(S15_Source_Strata!$B$4:$B$49,$I53,S15_Source_Strata!$N$4:$N$49),""))</x:f>
        <x:v>161.9353913406287</x:v>
      </x:c>
      <x:c r="N53" s="139" t="n">
        <x:f aca="0">IF($E53="Unconfirmed","",IFERROR(SUMIF(S15_Source_Strata!$B$4:$B$49,$I53,S15_Source_Strata!$O$4:$O$49),""))</x:f>
        <x:v>0.7500000000000001</x:v>
      </x:c>
      <x:c r="O53" s="139" t="n">
        <x:f aca="0">IF($E53="Unconfirmed","",IFERROR(SUMIF(S15_Source_Strata!$B$4:$B$49,$I53,S15_Source_Strata!$X$4:$X$49),""))</x:f>
        <x:v>346.0451356021678</x:v>
      </x:c>
      <x:c r="P53" s="139" t="n">
        <x:f aca="0">IF($E53="Unconfirmed","",IFERROR(SUMIF(S15_Source_Strata!$B$4:$B$49,$I53,S15_Source_Strata!$AL$4:$AL$49),""))</x:f>
        <x:v>2052.665482410992</x:v>
      </x:c>
      <x:c r="Q53" s="139" t="str">
        <x:f aca="0">IF($E53="Unconfirmed","",IFERROR(SUMIF(S15_Source_Strata!$B$4:$B$49,$I53,S15_Source_Strata!$K$4:$K$49)&amp;"/"&amp;SUMIF(S15_Source_Strata!$B$4:$B$49,$I53,S15_Source_Strata!$L$4:$L$49),""))</x:f>
        <x:v>10/13</x:v>
      </x:c>
      <x:c r="R53" s="138" t="s">
        <x:v>658</x:v>
      </x:c>
      <x:c r="S53" s="138" t="s">
        <x:v>898</x:v>
      </x:c>
      <x:c r="T53" s="138" t="s">
        <x:v>841</x:v>
      </x:c>
      <x:c r="U53" s="138" t="n">
        <x:f>IFERROR(DB53*$DJ53/$F53,0)</x:f>
        <x:v>14.563106796116505</x:v>
      </x:c>
      <x:c r="V53" s="138" t="n">
        <x:v>0.45</x:v>
      </x:c>
      <x:c r="W53" s="138" t="n">
        <x:v>55</x:v>
      </x:c>
      <x:c r="X53" s="138" t="n">
        <x:v>0.18</x:v>
      </x:c>
      <x:c r="Y53" s="138" t="n">
        <x:v>1.3</x:v>
      </x:c>
      <x:c r="Z53" s="138" t="n">
        <x:v>25</x:v>
      </x:c>
      <x:c r="AA53" s="138" t="n">
        <x:v>0.22</x:v>
      </x:c>
      <x:c r="AB53" s="138" t="n">
        <x:v>1.2</x:v>
      </x:c>
      <x:c r="AC53" s="138" t="s">
        <x:v>660</x:v>
      </x:c>
      <x:c r="AD53" s="138" t="s">
        <x:v>875</x:v>
      </x:c>
      <x:c r="AE53" s="138" t="s">
        <x:v>841</x:v>
      </x:c>
      <x:c r="AF53" s="138" t="n">
        <x:f>IFERROR(DC53*$DJ53/$F53,0)</x:f>
        <x:v>43.689320388349515</x:v>
      </x:c>
      <x:c r="AG53" s="138" t="n">
        <x:v>0.58</x:v>
      </x:c>
      <x:c r="AH53" s="138" t="n">
        <x:v>55</x:v>
      </x:c>
      <x:c r="AI53" s="138" t="n">
        <x:v>0.16</x:v>
      </x:c>
      <x:c r="AJ53" s="138" t="n">
        <x:v>1.3</x:v>
      </x:c>
      <x:c r="AK53" s="138" t="n">
        <x:v>25</x:v>
      </x:c>
      <x:c r="AL53" s="138" t="n">
        <x:v>0.2</x:v>
      </x:c>
      <x:c r="AM53" s="138" t="n">
        <x:v>1.2</x:v>
      </x:c>
      <x:c r="AN53" s="138" t="s">
        <x:v>948</x:v>
      </x:c>
      <x:c r="AO53" s="138" t="s">
        <x:v>948</x:v>
      </x:c>
      <x:c r="AP53" s="138" t="s">
        <x:v>949</x:v>
      </x:c>
      <x:c r="AQ53" s="138" t="n">
        <x:f>IFERROR(DD53*$DJ53/$F53,0)</x:f>
        <x:v>5.825242718446601</x:v>
      </x:c>
      <x:c r="AR53" s="138"/>
      <x:c r="AS53" s="138"/>
      <x:c r="AT53" s="138"/>
      <x:c r="AU53" s="138"/>
      <x:c r="AV53" s="138"/>
      <x:c r="AW53" s="138"/>
      <x:c r="AX53" s="138"/>
      <x:c r="AY53" s="138" t="s">
        <x:v>900</x:v>
      </x:c>
      <x:c r="AZ53" s="138" t="s">
        <x:v>901</x:v>
      </x:c>
      <x:c r="BA53" s="138" t="s">
        <x:v>841</x:v>
      </x:c>
      <x:c r="BB53" s="138" t="n">
        <x:f>IFERROR(DE53*$DJ53/$F53,0)</x:f>
        <x:v>2.1844660194174756</x:v>
      </x:c>
      <x:c r="BC53" s="138" t="n">
        <x:v>0.65</x:v>
      </x:c>
      <x:c r="BD53" s="138" t="n">
        <x:v>45</x:v>
      </x:c>
      <x:c r="BE53" s="138" t="n">
        <x:v>0.13</x:v>
      </x:c>
      <x:c r="BF53" s="138" t="n">
        <x:v>1.4</x:v>
      </x:c>
      <x:c r="BG53" s="138" t="n">
        <x:v>20</x:v>
      </x:c>
      <x:c r="BH53" s="138" t="n">
        <x:v>0.17</x:v>
      </x:c>
      <x:c r="BI53" s="138" t="n">
        <x:v>1.3</x:v>
      </x:c>
      <x:c r="BJ53" s="138"/>
      <x:c r="BK53" s="138"/>
      <x:c r="BL53" s="138"/>
      <x:c r="BM53" s="138" t="n">
        <x:f>IFERROR(DF53*$DJ53/$F53,0)</x:f>
        <x:v>0</x:v>
      </x:c>
      <x:c r="BN53" s="138"/>
      <x:c r="BO53" s="138"/>
      <x:c r="BP53" s="138"/>
      <x:c r="BQ53" s="138"/>
      <x:c r="BR53" s="138"/>
      <x:c r="BS53" s="138"/>
      <x:c r="BT53" s="138"/>
      <x:c r="BU53" s="138"/>
      <x:c r="BV53" s="138"/>
      <x:c r="BW53" s="138"/>
      <x:c r="BX53" s="138" t="n">
        <x:f>IFERROR(DG53*$DJ53/$F53,0)</x:f>
        <x:v>0</x:v>
      </x:c>
      <x:c r="BY53" s="138"/>
      <x:c r="BZ53" s="138"/>
      <x:c r="CA53" s="138"/>
      <x:c r="CB53" s="138"/>
      <x:c r="CC53" s="138"/>
      <x:c r="CD53" s="138"/>
      <x:c r="CE53" s="138"/>
      <x:c r="CF53" s="138"/>
      <x:c r="CG53" s="138"/>
      <x:c r="CH53" s="138"/>
      <x:c r="CI53" s="138" t="n">
        <x:f>IFERROR(DH53*$DJ53/$F53,0)</x:f>
        <x:v>0</x:v>
      </x:c>
      <x:c r="CJ53" s="138"/>
      <x:c r="CK53" s="138"/>
      <x:c r="CL53" s="138"/>
      <x:c r="CM53" s="138"/>
      <x:c r="CN53" s="138"/>
      <x:c r="CO53" s="138"/>
      <x:c r="CP53" s="138"/>
      <x:c r="CQ53" s="138"/>
      <x:c r="CR53" s="138"/>
      <x:c r="CS53" s="138"/>
      <x:c r="CT53" s="138" t="n">
        <x:f>IFERROR(DI53*$DJ53/$F53,0)</x:f>
        <x:v>0</x:v>
      </x:c>
      <x:c r="CU53" s="138"/>
      <x:c r="CV53" s="138"/>
      <x:c r="CW53" s="138"/>
      <x:c r="CX53" s="138"/>
      <x:c r="CY53" s="138"/>
      <x:c r="CZ53" s="138"/>
      <x:c r="DA53" s="138"/>
      <x:c r="DB53" s="978" t="n">
        <x:v>100</x:v>
      </x:c>
      <x:c r="DC53" s="978" t="n">
        <x:v>300</x:v>
      </x:c>
      <x:c r="DD53" s="978" t="n">
        <x:v>40</x:v>
      </x:c>
      <x:c r="DE53" s="978" t="n">
        <x:v>15</x:v>
      </x:c>
      <x:c r="DF53" s="978"/>
      <x:c r="DG53" s="978"/>
      <x:c r="DH53" s="978"/>
      <x:c r="DI53" s="978"/>
      <x:c r="DJ53" s="980" t="n">
        <x:f>'S08_Defaults'!$B$37</x:f>
        <x:v>0.09</x:v>
      </x:c>
      <x:c r="DK53" s="979" t="n">
        <x:f>SUM(U53,AF53,AQ53,BB53,BM53,BX53,CI53,CT53)</x:f>
        <x:v>66.26213592233009</x:v>
      </x:c>
      <x:c r="DL53" s="979" t="n">
        <x:f>G53*DJ53</x:f>
        <x:v>66.2625</x:v>
      </x:c>
      <x:c r="DM53" s="979" t="n">
        <x:f>DK53-DL53</x:f>
        <x:v>-0.0003640776699143089</x:v>
      </x:c>
      <x:c r="DN53" s="977" t="str">
        <x:f>IF(ABS(DM53)&lt;=MAX(0.5,0.05*ABS(DL53)),"OK","REVIEW")</x:f>
        <x:v>OK</x:v>
      </x:c>
    </x:row>
    <x:row r="54" ht="15" hidden="0" customHeight="1">
      <x:c r="A54" s="138" t="s">
        <x:v>674</x:v>
      </x:c>
      <x:c r="B54" s="138" t="str">
        <x:v>Deserts &amp; Xeric Shrublands</x:v>
      </x:c>
      <x:c r="C54" s="138" t="s">
        <x:v>113</x:v>
      </x:c>
      <x:c r="D54" s="138" t="s">
        <x:v>553</x:v>
      </x:c>
      <x:c r="E54" s="138" t="n">
        <x:v>2020</x:v>
      </x:c>
      <x:c r="F54" s="138" t="n">
        <x:v>1.0504</x:v>
      </x:c>
      <x:c r="G54" s="138" t="n">
        <x:v>952.02</x:v>
      </x:c>
      <x:c r="H54" s="138" t="s">
        <x:v>950</x:v>
      </x:c>
      <x:c r="I54" s="138" t="s">
        <x:v>673</x:v>
      </x:c>
      <x:c r="J54" s="139" t="n">
        <x:f aca="0">IF($E54="Unconfirmed","",IFERROR(SUMIF(S15_Source_Strata!$B$4:$B$49,$I54,S15_Source_Strata!$H$4:$H$49),""))</x:f>
        <x:v>215.91385512083826</x:v>
      </x:c>
      <x:c r="K54" s="139" t="n">
        <x:f aca="0">IF($E54="Unconfirmed","",IFERROR(SUMIF(S15_Source_Strata!$B$4:$B$49,$I54,S15_Source_Strata!$I$4:$I$49),""))</x:f>
        <x:v>180.66754848026147</x:v>
      </x:c>
      <x:c r="L54" s="139" t="n">
        <x:f aca="0">IF($E54="Unconfirmed","",IFERROR(SUMIF(S15_Source_Strata!$B$4:$B$49,$I54,S15_Source_Strata!$J$4:$J$49),""))</x:f>
        <x:v>0.8367575502699868</x:v>
      </x:c>
      <x:c r="M54" s="139" t="n">
        <x:f aca="0">IF($E54="Unconfirmed","",IFERROR(SUMIF(S15_Source_Strata!$B$4:$B$49,$I54,S15_Source_Strata!$N$4:$N$49),""))</x:f>
        <x:v>161.9353913406287</x:v>
      </x:c>
      <x:c r="N54" s="139" t="n">
        <x:f aca="0">IF($E54="Unconfirmed","",IFERROR(SUMIF(S15_Source_Strata!$B$4:$B$49,$I54,S15_Source_Strata!$O$4:$O$49),""))</x:f>
        <x:v>0.7500000000000001</x:v>
      </x:c>
      <x:c r="O54" s="139" t="n">
        <x:f aca="0">IF($E54="Unconfirmed","",IFERROR(SUMIF(S15_Source_Strata!$B$4:$B$49,$I54,S15_Source_Strata!$X$4:$X$49),""))</x:f>
        <x:v>346.0451356021678</x:v>
      </x:c>
      <x:c r="P54" s="139" t="n">
        <x:f aca="0">IF($E54="Unconfirmed","",IFERROR(SUMIF(S15_Source_Strata!$B$4:$B$49,$I54,S15_Source_Strata!$AL$4:$AL$49),""))</x:f>
        <x:v>2052.665482410992</x:v>
      </x:c>
      <x:c r="Q54" s="139" t="str">
        <x:f aca="0">IF($E54="Unconfirmed","",IFERROR(SUMIF(S15_Source_Strata!$B$4:$B$49,$I54,S15_Source_Strata!$K$4:$K$49)&amp;"/"&amp;SUMIF(S15_Source_Strata!$B$4:$B$49,$I54,S15_Source_Strata!$L$4:$L$49),""))</x:f>
        <x:v>10/13</x:v>
      </x:c>
      <x:c r="R54" s="138" t="s">
        <x:v>656</x:v>
      </x:c>
      <x:c r="S54" s="138" t="s">
        <x:v>903</x:v>
      </x:c>
      <x:c r="T54" s="138" t="s">
        <x:v>841</x:v>
      </x:c>
      <x:c r="U54" s="138" t="n">
        <x:f>IFERROR(DB54*$DJ54/$F54,0)</x:f>
        <x:v>42.84082254379284</x:v>
      </x:c>
      <x:c r="V54" s="138" t="n">
        <x:v>0.75</x:v>
      </x:c>
      <x:c r="W54" s="138" t="n">
        <x:v>25</x:v>
      </x:c>
      <x:c r="X54" s="138" t="n">
        <x:v>0.1</x:v>
      </x:c>
      <x:c r="Y54" s="138" t="n">
        <x:v>1.5</x:v>
      </x:c>
      <x:c r="Z54" s="138" t="n">
        <x:v>12</x:v>
      </x:c>
      <x:c r="AA54" s="138" t="n">
        <x:v>0.14</x:v>
      </x:c>
      <x:c r="AB54" s="138" t="n">
        <x:v>1.4</x:v>
      </x:c>
      <x:c r="AC54" s="138" t="s">
        <x:v>951</x:v>
      </x:c>
      <x:c r="AD54" s="138" t="s">
        <x:v>952</x:v>
      </x:c>
      <x:c r="AE54" s="138" t="s">
        <x:v>841</x:v>
      </x:c>
      <x:c r="AF54" s="138" t="n">
        <x:f>IFERROR(DC54*$DJ54/$F54,0)</x:f>
        <x:v>42.84082254379284</x:v>
      </x:c>
      <x:c r="AG54" s="138" t="n">
        <x:v>0.55</x:v>
      </x:c>
      <x:c r="AH54" s="138" t="n">
        <x:v>50</x:v>
      </x:c>
      <x:c r="AI54" s="138" t="n">
        <x:v>0.13</x:v>
      </x:c>
      <x:c r="AJ54" s="138" t="n">
        <x:v>1.4</x:v>
      </x:c>
      <x:c r="AK54" s="138" t="n">
        <x:v>25</x:v>
      </x:c>
      <x:c r="AL54" s="138" t="n">
        <x:v>0.17</x:v>
      </x:c>
      <x:c r="AM54" s="138" t="n">
        <x:v>1.3</x:v>
      </x:c>
      <x:c r="AN54" s="138"/>
      <x:c r="AO54" s="138"/>
      <x:c r="AP54" s="138"/>
      <x:c r="AQ54" s="138" t="n">
        <x:f>IFERROR(DD54*$DJ54/$F54,0)</x:f>
        <x:v>0</x:v>
      </x:c>
      <x:c r="AR54" s="138"/>
      <x:c r="AS54" s="138"/>
      <x:c r="AT54" s="138"/>
      <x:c r="AU54" s="138"/>
      <x:c r="AV54" s="138"/>
      <x:c r="AW54" s="138"/>
      <x:c r="AX54" s="138"/>
      <x:c r="AY54" s="138"/>
      <x:c r="AZ54" s="138"/>
      <x:c r="BA54" s="138"/>
      <x:c r="BB54" s="138" t="n">
        <x:f>IFERROR(DE54*$DJ54/$F54,0)</x:f>
        <x:v>0</x:v>
      </x:c>
      <x:c r="BC54" s="138"/>
      <x:c r="BD54" s="138"/>
      <x:c r="BE54" s="138"/>
      <x:c r="BF54" s="138"/>
      <x:c r="BG54" s="138"/>
      <x:c r="BH54" s="138"/>
      <x:c r="BI54" s="138"/>
      <x:c r="BJ54" s="138"/>
      <x:c r="BK54" s="138"/>
      <x:c r="BL54" s="138"/>
      <x:c r="BM54" s="138" t="n">
        <x:f>IFERROR(DF54*$DJ54/$F54,0)</x:f>
        <x:v>0</x:v>
      </x:c>
      <x:c r="BN54" s="138"/>
      <x:c r="BO54" s="138"/>
      <x:c r="BP54" s="138"/>
      <x:c r="BQ54" s="138"/>
      <x:c r="BR54" s="138"/>
      <x:c r="BS54" s="138"/>
      <x:c r="BT54" s="138"/>
      <x:c r="BU54" s="138"/>
      <x:c r="BV54" s="138"/>
      <x:c r="BW54" s="138"/>
      <x:c r="BX54" s="138" t="n">
        <x:f>IFERROR(DG54*$DJ54/$F54,0)</x:f>
        <x:v>0</x:v>
      </x:c>
      <x:c r="BY54" s="138"/>
      <x:c r="BZ54" s="138"/>
      <x:c r="CA54" s="138"/>
      <x:c r="CB54" s="138"/>
      <x:c r="CC54" s="138"/>
      <x:c r="CD54" s="138"/>
      <x:c r="CE54" s="138"/>
      <x:c r="CF54" s="138"/>
      <x:c r="CG54" s="138"/>
      <x:c r="CH54" s="138"/>
      <x:c r="CI54" s="138" t="n">
        <x:f>IFERROR(DH54*$DJ54/$F54,0)</x:f>
        <x:v>0</x:v>
      </x:c>
      <x:c r="CJ54" s="138"/>
      <x:c r="CK54" s="138"/>
      <x:c r="CL54" s="138"/>
      <x:c r="CM54" s="138"/>
      <x:c r="CN54" s="138"/>
      <x:c r="CO54" s="138"/>
      <x:c r="CP54" s="138"/>
      <x:c r="CQ54" s="138"/>
      <x:c r="CR54" s="138"/>
      <x:c r="CS54" s="138"/>
      <x:c r="CT54" s="138" t="n">
        <x:f>IFERROR(DI54*$DJ54/$F54,0)</x:f>
        <x:v>0</x:v>
      </x:c>
      <x:c r="CU54" s="138"/>
      <x:c r="CV54" s="138"/>
      <x:c r="CW54" s="138"/>
      <x:c r="CX54" s="138"/>
      <x:c r="CY54" s="138"/>
      <x:c r="CZ54" s="138"/>
      <x:c r="DA54" s="138"/>
      <x:c r="DB54" s="978" t="n">
        <x:v>500</x:v>
      </x:c>
      <x:c r="DC54" s="978" t="n">
        <x:v>500</x:v>
      </x:c>
      <x:c r="DD54" s="978"/>
      <x:c r="DE54" s="978"/>
      <x:c r="DF54" s="978"/>
      <x:c r="DG54" s="978"/>
      <x:c r="DH54" s="978"/>
      <x:c r="DI54" s="978"/>
      <x:c r="DJ54" s="980" t="n">
        <x:f>'S08_Defaults'!$B$37</x:f>
        <x:v>0.09</x:v>
      </x:c>
      <x:c r="DK54" s="979" t="n">
        <x:f>SUM(U54,AF54,AQ54,BB54,BM54,BX54,CI54,CT54)</x:f>
        <x:v>85.68164508758568</x:v>
      </x:c>
      <x:c r="DL54" s="979" t="n">
        <x:f>G54*DJ54</x:f>
        <x:v>85.6818</x:v>
      </x:c>
      <x:c r="DM54" s="979" t="n">
        <x:f>DK54-DL54</x:f>
        <x:v>-0.00015491241431675462</x:v>
      </x:c>
      <x:c r="DN54" s="977" t="str">
        <x:f>IF(ABS(DM54)&lt;=MAX(0.5,0.05*ABS(DL54)),"OK","REVIEW")</x:f>
        <x:v>OK</x:v>
      </x:c>
    </x:row>
    <x:row r="55" ht="15" hidden="0" customHeight="1">
      <x:c r="A55" s="138" t="s">
        <x:v>676</x:v>
      </x:c>
      <x:c r="B55" s="138" t="str">
        <x:v>Tropical &amp; Subtropical Dry Broadleaf Forests</x:v>
      </x:c>
      <x:c r="C55" s="138" t="s">
        <x:v>113</x:v>
      </x:c>
      <x:c r="D55" s="138" t="s">
        <x:v>553</x:v>
      </x:c>
      <x:c r="E55" s="138" t="n">
        <x:v>2020</x:v>
      </x:c>
      <x:c r="F55" s="138" t="n">
        <x:v>0.5772</x:v>
      </x:c>
      <x:c r="G55" s="138" t="n">
        <x:v>1732.5</x:v>
      </x:c>
      <x:c r="H55" s="138" t="s">
        <x:v>953</x:v>
      </x:c>
      <x:c r="I55" s="138" t="s">
        <x:v>673</x:v>
      </x:c>
      <x:c r="J55" s="139" t="n">
        <x:f aca="0">IF($E55="Unconfirmed","",IFERROR(SUMIF(S15_Source_Strata!$B$4:$B$49,$I55,S15_Source_Strata!$H$4:$H$49),""))</x:f>
        <x:v>215.91385512083826</x:v>
      </x:c>
      <x:c r="K55" s="139" t="n">
        <x:f aca="0">IF($E55="Unconfirmed","",IFERROR(SUMIF(S15_Source_Strata!$B$4:$B$49,$I55,S15_Source_Strata!$I$4:$I$49),""))</x:f>
        <x:v>180.66754848026147</x:v>
      </x:c>
      <x:c r="L55" s="139" t="n">
        <x:f aca="0">IF($E55="Unconfirmed","",IFERROR(SUMIF(S15_Source_Strata!$B$4:$B$49,$I55,S15_Source_Strata!$J$4:$J$49),""))</x:f>
        <x:v>0.8367575502699868</x:v>
      </x:c>
      <x:c r="M55" s="139" t="n">
        <x:f aca="0">IF($E55="Unconfirmed","",IFERROR(SUMIF(S15_Source_Strata!$B$4:$B$49,$I55,S15_Source_Strata!$N$4:$N$49),""))</x:f>
        <x:v>161.9353913406287</x:v>
      </x:c>
      <x:c r="N55" s="139" t="n">
        <x:f aca="0">IF($E55="Unconfirmed","",IFERROR(SUMIF(S15_Source_Strata!$B$4:$B$49,$I55,S15_Source_Strata!$O$4:$O$49),""))</x:f>
        <x:v>0.7500000000000001</x:v>
      </x:c>
      <x:c r="O55" s="139" t="n">
        <x:f aca="0">IF($E55="Unconfirmed","",IFERROR(SUMIF(S15_Source_Strata!$B$4:$B$49,$I55,S15_Source_Strata!$X$4:$X$49),""))</x:f>
        <x:v>346.0451356021678</x:v>
      </x:c>
      <x:c r="P55" s="139" t="n">
        <x:f aca="0">IF($E55="Unconfirmed","",IFERROR(SUMIF(S15_Source_Strata!$B$4:$B$49,$I55,S15_Source_Strata!$AL$4:$AL$49),""))</x:f>
        <x:v>2052.665482410992</x:v>
      </x:c>
      <x:c r="Q55" s="139" t="str">
        <x:f aca="0">IF($E55="Unconfirmed","",IFERROR(SUMIF(S15_Source_Strata!$B$4:$B$49,$I55,S15_Source_Strata!$K$4:$K$49)&amp;"/"&amp;SUMIF(S15_Source_Strata!$B$4:$B$49,$I55,S15_Source_Strata!$L$4:$L$49),""))</x:f>
        <x:v>10/13</x:v>
      </x:c>
      <x:c r="R55" s="138" t="s">
        <x:v>670</x:v>
      </x:c>
      <x:c r="S55" s="138" t="s">
        <x:v>877</x:v>
      </x:c>
      <x:c r="T55" s="138" t="s">
        <x:v>841</x:v>
      </x:c>
      <x:c r="U55" s="138" t="n">
        <x:f>IFERROR(DB55*$DJ55/$F55,0)</x:f>
        <x:v>155.9251559251559</x:v>
      </x:c>
      <x:c r="V55" s="138" t="n">
        <x:v>0.55</x:v>
      </x:c>
      <x:c r="W55" s="138" t="n">
        <x:v>50</x:v>
      </x:c>
      <x:c r="X55" s="138" t="n">
        <x:v>0.12</x:v>
      </x:c>
      <x:c r="Y55" s="138" t="n">
        <x:v>1.4</x:v>
      </x:c>
      <x:c r="Z55" s="138" t="n">
        <x:v>25</x:v>
      </x:c>
      <x:c r="AA55" s="138" t="n">
        <x:v>0.15</x:v>
      </x:c>
      <x:c r="AB55" s="138" t="n">
        <x:v>1.3</x:v>
      </x:c>
      <x:c r="AC55" s="138"/>
      <x:c r="AD55" s="138"/>
      <x:c r="AE55" s="138"/>
      <x:c r="AF55" s="138" t="n">
        <x:f>IFERROR(DC55*$DJ55/$F55,0)</x:f>
        <x:v>0</x:v>
      </x:c>
      <x:c r="AG55" s="138"/>
      <x:c r="AH55" s="138"/>
      <x:c r="AI55" s="138"/>
      <x:c r="AJ55" s="138"/>
      <x:c r="AK55" s="138"/>
      <x:c r="AL55" s="138"/>
      <x:c r="AM55" s="138"/>
      <x:c r="AN55" s="138"/>
      <x:c r="AO55" s="138"/>
      <x:c r="AP55" s="138"/>
      <x:c r="AQ55" s="138" t="n">
        <x:f>IFERROR(DD55*$DJ55/$F55,0)</x:f>
        <x:v>0</x:v>
      </x:c>
      <x:c r="AR55" s="138"/>
      <x:c r="AS55" s="138"/>
      <x:c r="AT55" s="138"/>
      <x:c r="AU55" s="138"/>
      <x:c r="AV55" s="138"/>
      <x:c r="AW55" s="138"/>
      <x:c r="AX55" s="138"/>
      <x:c r="AY55" s="138"/>
      <x:c r="AZ55" s="138"/>
      <x:c r="BA55" s="138"/>
      <x:c r="BB55" s="138" t="n">
        <x:f>IFERROR(DE55*$DJ55/$F55,0)</x:f>
        <x:v>0</x:v>
      </x:c>
      <x:c r="BC55" s="138"/>
      <x:c r="BD55" s="138"/>
      <x:c r="BE55" s="138"/>
      <x:c r="BF55" s="138"/>
      <x:c r="BG55" s="138"/>
      <x:c r="BH55" s="138"/>
      <x:c r="BI55" s="138"/>
      <x:c r="BJ55" s="138"/>
      <x:c r="BK55" s="138"/>
      <x:c r="BL55" s="138"/>
      <x:c r="BM55" s="138" t="n">
        <x:f>IFERROR(DF55*$DJ55/$F55,0)</x:f>
        <x:v>0</x:v>
      </x:c>
      <x:c r="BN55" s="138"/>
      <x:c r="BO55" s="138"/>
      <x:c r="BP55" s="138"/>
      <x:c r="BQ55" s="138"/>
      <x:c r="BR55" s="138"/>
      <x:c r="BS55" s="138"/>
      <x:c r="BT55" s="138"/>
      <x:c r="BU55" s="138"/>
      <x:c r="BV55" s="138"/>
      <x:c r="BW55" s="138"/>
      <x:c r="BX55" s="138" t="n">
        <x:f>IFERROR(DG55*$DJ55/$F55,0)</x:f>
        <x:v>0</x:v>
      </x:c>
      <x:c r="BY55" s="138"/>
      <x:c r="BZ55" s="138"/>
      <x:c r="CA55" s="138"/>
      <x:c r="CB55" s="138"/>
      <x:c r="CC55" s="138"/>
      <x:c r="CD55" s="138"/>
      <x:c r="CE55" s="138"/>
      <x:c r="CF55" s="138"/>
      <x:c r="CG55" s="138"/>
      <x:c r="CH55" s="138"/>
      <x:c r="CI55" s="138" t="n">
        <x:f>IFERROR(DH55*$DJ55/$F55,0)</x:f>
        <x:v>0</x:v>
      </x:c>
      <x:c r="CJ55" s="138"/>
      <x:c r="CK55" s="138"/>
      <x:c r="CL55" s="138"/>
      <x:c r="CM55" s="138"/>
      <x:c r="CN55" s="138"/>
      <x:c r="CO55" s="138"/>
      <x:c r="CP55" s="138"/>
      <x:c r="CQ55" s="138"/>
      <x:c r="CR55" s="138"/>
      <x:c r="CS55" s="138"/>
      <x:c r="CT55" s="138" t="n">
        <x:f>IFERROR(DI55*$DJ55/$F55,0)</x:f>
        <x:v>0</x:v>
      </x:c>
      <x:c r="CU55" s="138"/>
      <x:c r="CV55" s="138"/>
      <x:c r="CW55" s="138"/>
      <x:c r="CX55" s="138"/>
      <x:c r="CY55" s="138"/>
      <x:c r="CZ55" s="138"/>
      <x:c r="DA55" s="138"/>
      <x:c r="DB55" s="978" t="n">
        <x:v>1000</x:v>
      </x:c>
      <x:c r="DC55" s="978"/>
      <x:c r="DD55" s="978"/>
      <x:c r="DE55" s="978"/>
      <x:c r="DF55" s="978"/>
      <x:c r="DG55" s="978"/>
      <x:c r="DH55" s="978"/>
      <x:c r="DI55" s="978"/>
      <x:c r="DJ55" s="980" t="n">
        <x:f>'S08_Defaults'!$B$37</x:f>
        <x:v>0.09</x:v>
      </x:c>
      <x:c r="DK55" s="979" t="n">
        <x:f>SUM(U55,AF55,AQ55,BB55,BM55,BX55,CI55,CT55)</x:f>
        <x:v>155.9251559251559</x:v>
      </x:c>
      <x:c r="DL55" s="979" t="n">
        <x:f>G55*DJ55</x:f>
        <x:v>155.92499999999998</x:v>
      </x:c>
      <x:c r="DM55" s="979" t="n">
        <x:f>DK55-DL55</x:f>
        <x:v>0.00015592515592288692</x:v>
      </x:c>
      <x:c r="DN55" s="977" t="str">
        <x:f>IF(ABS(DM55)&lt;=MAX(0.5,0.05*ABS(DL55)),"OK","REVIEW")</x:f>
        <x:v>OK</x:v>
      </x:c>
    </x:row>
    <x:row r="56" ht="15" hidden="0" customHeight="1">
      <x:c r="A56" s="138" t="s">
        <x:v>677</x:v>
      </x:c>
      <x:c r="B56" s="138" t="str">
        <x:v>Tropical &amp; Subtropical Dry Broadleaf Forests</x:v>
      </x:c>
      <x:c r="C56" s="138" t="s">
        <x:v>113</x:v>
      </x:c>
      <x:c r="D56" s="138" t="s">
        <x:v>553</x:v>
      </x:c>
      <x:c r="E56" s="138" t="n">
        <x:v>2020</x:v>
      </x:c>
      <x:c r="F56" s="138" t="n">
        <x:v>1.9606</x:v>
      </x:c>
      <x:c r="G56" s="138" t="n">
        <x:v>751.81</x:v>
      </x:c>
      <x:c r="H56" s="138" t="s">
        <x:v>954</x:v>
      </x:c>
      <x:c r="I56" s="138" t="s">
        <x:v>673</x:v>
      </x:c>
      <x:c r="J56" s="139" t="n">
        <x:f aca="0">IF($E56="Unconfirmed","",IFERROR(SUMIF(S15_Source_Strata!$B$4:$B$49,$I56,S15_Source_Strata!$H$4:$H$49),""))</x:f>
        <x:v>215.91385512083826</x:v>
      </x:c>
      <x:c r="K56" s="139" t="n">
        <x:f aca="0">IF($E56="Unconfirmed","",IFERROR(SUMIF(S15_Source_Strata!$B$4:$B$49,$I56,S15_Source_Strata!$I$4:$I$49),""))</x:f>
        <x:v>180.66754848026147</x:v>
      </x:c>
      <x:c r="L56" s="139" t="n">
        <x:f aca="0">IF($E56="Unconfirmed","",IFERROR(SUMIF(S15_Source_Strata!$B$4:$B$49,$I56,S15_Source_Strata!$J$4:$J$49),""))</x:f>
        <x:v>0.8367575502699868</x:v>
      </x:c>
      <x:c r="M56" s="139" t="n">
        <x:f aca="0">IF($E56="Unconfirmed","",IFERROR(SUMIF(S15_Source_Strata!$B$4:$B$49,$I56,S15_Source_Strata!$N$4:$N$49),""))</x:f>
        <x:v>161.9353913406287</x:v>
      </x:c>
      <x:c r="N56" s="139" t="n">
        <x:f aca="0">IF($E56="Unconfirmed","",IFERROR(SUMIF(S15_Source_Strata!$B$4:$B$49,$I56,S15_Source_Strata!$O$4:$O$49),""))</x:f>
        <x:v>0.7500000000000001</x:v>
      </x:c>
      <x:c r="O56" s="139" t="n">
        <x:f aca="0">IF($E56="Unconfirmed","",IFERROR(SUMIF(S15_Source_Strata!$B$4:$B$49,$I56,S15_Source_Strata!$X$4:$X$49),""))</x:f>
        <x:v>346.0451356021678</x:v>
      </x:c>
      <x:c r="P56" s="139" t="n">
        <x:f aca="0">IF($E56="Unconfirmed","",IFERROR(SUMIF(S15_Source_Strata!$B$4:$B$49,$I56,S15_Source_Strata!$AL$4:$AL$49),""))</x:f>
        <x:v>2052.665482410992</x:v>
      </x:c>
      <x:c r="Q56" s="139" t="str">
        <x:f aca="0">IF($E56="Unconfirmed","",IFERROR(SUMIF(S15_Source_Strata!$B$4:$B$49,$I56,S15_Source_Strata!$K$4:$K$49)&amp;"/"&amp;SUMIF(S15_Source_Strata!$B$4:$B$49,$I56,S15_Source_Strata!$L$4:$L$49),""))</x:f>
        <x:v>10/13</x:v>
      </x:c>
      <x:c r="R56" s="138" t="s">
        <x:v>656</x:v>
      </x:c>
      <x:c r="S56" s="138" t="s">
        <x:v>903</x:v>
      </x:c>
      <x:c r="T56" s="138" t="s">
        <x:v>841</x:v>
      </x:c>
      <x:c r="U56" s="138" t="n">
        <x:f>IFERROR(DB56*$DJ56/$F56,0)</x:f>
        <x:v>67.66296031826992</x:v>
      </x:c>
      <x:c r="V56" s="138" t="n">
        <x:v>0.75</x:v>
      </x:c>
      <x:c r="W56" s="138" t="n">
        <x:v>25</x:v>
      </x:c>
      <x:c r="X56" s="138" t="n">
        <x:v>0.1</x:v>
      </x:c>
      <x:c r="Y56" s="138" t="n">
        <x:v>1.5</x:v>
      </x:c>
      <x:c r="Z56" s="138" t="n">
        <x:v>12</x:v>
      </x:c>
      <x:c r="AA56" s="138" t="n">
        <x:v>0.14</x:v>
      </x:c>
      <x:c r="AB56" s="138" t="n">
        <x:v>1.4</x:v>
      </x:c>
      <x:c r="AC56" s="138"/>
      <x:c r="AD56" s="138"/>
      <x:c r="AE56" s="138"/>
      <x:c r="AF56" s="138" t="n">
        <x:f>IFERROR(DC56*$DJ56/$F56,0)</x:f>
        <x:v>0</x:v>
      </x:c>
      <x:c r="AG56" s="138"/>
      <x:c r="AH56" s="138"/>
      <x:c r="AI56" s="138"/>
      <x:c r="AJ56" s="138"/>
      <x:c r="AK56" s="138"/>
      <x:c r="AL56" s="138"/>
      <x:c r="AM56" s="138"/>
      <x:c r="AN56" s="138"/>
      <x:c r="AO56" s="138"/>
      <x:c r="AP56" s="138"/>
      <x:c r="AQ56" s="138" t="n">
        <x:f>IFERROR(DD56*$DJ56/$F56,0)</x:f>
        <x:v>0</x:v>
      </x:c>
      <x:c r="AR56" s="138"/>
      <x:c r="AS56" s="138"/>
      <x:c r="AT56" s="138"/>
      <x:c r="AU56" s="138"/>
      <x:c r="AV56" s="138"/>
      <x:c r="AW56" s="138"/>
      <x:c r="AX56" s="138"/>
      <x:c r="AY56" s="138"/>
      <x:c r="AZ56" s="138"/>
      <x:c r="BA56" s="138"/>
      <x:c r="BB56" s="138" t="n">
        <x:f>IFERROR(DE56*$DJ56/$F56,0)</x:f>
        <x:v>0</x:v>
      </x:c>
      <x:c r="BC56" s="138"/>
      <x:c r="BD56" s="138"/>
      <x:c r="BE56" s="138"/>
      <x:c r="BF56" s="138"/>
      <x:c r="BG56" s="138"/>
      <x:c r="BH56" s="138"/>
      <x:c r="BI56" s="138"/>
      <x:c r="BJ56" s="138"/>
      <x:c r="BK56" s="138"/>
      <x:c r="BL56" s="138"/>
      <x:c r="BM56" s="138" t="n">
        <x:f>IFERROR(DF56*$DJ56/$F56,0)</x:f>
        <x:v>0</x:v>
      </x:c>
      <x:c r="BN56" s="138"/>
      <x:c r="BO56" s="138"/>
      <x:c r="BP56" s="138"/>
      <x:c r="BQ56" s="138"/>
      <x:c r="BR56" s="138"/>
      <x:c r="BS56" s="138"/>
      <x:c r="BT56" s="138"/>
      <x:c r="BU56" s="138"/>
      <x:c r="BV56" s="138"/>
      <x:c r="BW56" s="138"/>
      <x:c r="BX56" s="138" t="n">
        <x:f>IFERROR(DG56*$DJ56/$F56,0)</x:f>
        <x:v>0</x:v>
      </x:c>
      <x:c r="BY56" s="138"/>
      <x:c r="BZ56" s="138"/>
      <x:c r="CA56" s="138"/>
      <x:c r="CB56" s="138"/>
      <x:c r="CC56" s="138"/>
      <x:c r="CD56" s="138"/>
      <x:c r="CE56" s="138"/>
      <x:c r="CF56" s="138"/>
      <x:c r="CG56" s="138"/>
      <x:c r="CH56" s="138"/>
      <x:c r="CI56" s="138" t="n">
        <x:f>IFERROR(DH56*$DJ56/$F56,0)</x:f>
        <x:v>0</x:v>
      </x:c>
      <x:c r="CJ56" s="138"/>
      <x:c r="CK56" s="138"/>
      <x:c r="CL56" s="138"/>
      <x:c r="CM56" s="138"/>
      <x:c r="CN56" s="138"/>
      <x:c r="CO56" s="138"/>
      <x:c r="CP56" s="138"/>
      <x:c r="CQ56" s="138"/>
      <x:c r="CR56" s="138"/>
      <x:c r="CS56" s="138"/>
      <x:c r="CT56" s="138" t="n">
        <x:f>IFERROR(DI56*$DJ56/$F56,0)</x:f>
        <x:v>0</x:v>
      </x:c>
      <x:c r="CU56" s="138"/>
      <x:c r="CV56" s="138"/>
      <x:c r="CW56" s="138"/>
      <x:c r="CX56" s="138"/>
      <x:c r="CY56" s="138"/>
      <x:c r="CZ56" s="138"/>
      <x:c r="DA56" s="138"/>
      <x:c r="DB56" s="978" t="n">
        <x:v>1474</x:v>
      </x:c>
      <x:c r="DC56" s="978"/>
      <x:c r="DD56" s="978"/>
      <x:c r="DE56" s="978"/>
      <x:c r="DF56" s="978"/>
      <x:c r="DG56" s="978"/>
      <x:c r="DH56" s="978"/>
      <x:c r="DI56" s="978"/>
      <x:c r="DJ56" s="980" t="n">
        <x:f>'S08_Defaults'!$B$37</x:f>
        <x:v>0.09</x:v>
      </x:c>
      <x:c r="DK56" s="979" t="n">
        <x:f>SUM(U56,AF56,AQ56,BB56,BM56,BX56,CI56,CT56)</x:f>
        <x:v>67.66296031826992</x:v>
      </x:c>
      <x:c r="DL56" s="979" t="n">
        <x:f>G56*DJ56</x:f>
        <x:v>67.6629</x:v>
      </x:c>
      <x:c r="DM56" s="979" t="n">
        <x:f>DK56-DL56</x:f>
        <x:v>0.00006031826993080358</x:v>
      </x:c>
      <x:c r="DN56" s="977" t="str">
        <x:f>IF(ABS(DM56)&lt;=MAX(0.5,0.05*ABS(DL56)),"OK","REVIEW")</x:f>
        <x:v>OK</x:v>
      </x:c>
    </x:row>
    <x:row r="57" ht="15" hidden="0" customHeight="1">
      <x:c r="A57" s="138" t="s">
        <x:v>678</x:v>
      </x:c>
      <x:c r="B57" s="138" t="str">
        <x:v>Tropical &amp; Subtropical Dry Broadleaf Forests</x:v>
      </x:c>
      <x:c r="C57" s="138" t="s">
        <x:v>113</x:v>
      </x:c>
      <x:c r="D57" s="138" t="s">
        <x:v>553</x:v>
      </x:c>
      <x:c r="E57" s="138" t="n">
        <x:v>2020</x:v>
      </x:c>
      <x:c r="F57" s="138" t="n">
        <x:v>0.4278</x:v>
      </x:c>
      <x:c r="G57" s="138" t="n">
        <x:v>748.01</x:v>
      </x:c>
      <x:c r="H57" s="138" t="s">
        <x:v>955</x:v>
      </x:c>
      <x:c r="I57" s="138" t="s">
        <x:v>673</x:v>
      </x:c>
      <x:c r="J57" s="139" t="n">
        <x:f aca="0">IF($E57="Unconfirmed","",IFERROR(SUMIF(S15_Source_Strata!$B$4:$B$49,$I57,S15_Source_Strata!$H$4:$H$49),""))</x:f>
        <x:v>215.91385512083826</x:v>
      </x:c>
      <x:c r="K57" s="139" t="n">
        <x:f aca="0">IF($E57="Unconfirmed","",IFERROR(SUMIF(S15_Source_Strata!$B$4:$B$49,$I57,S15_Source_Strata!$I$4:$I$49),""))</x:f>
        <x:v>180.66754848026147</x:v>
      </x:c>
      <x:c r="L57" s="139" t="n">
        <x:f aca="0">IF($E57="Unconfirmed","",IFERROR(SUMIF(S15_Source_Strata!$B$4:$B$49,$I57,S15_Source_Strata!$J$4:$J$49),""))</x:f>
        <x:v>0.8367575502699868</x:v>
      </x:c>
      <x:c r="M57" s="139" t="n">
        <x:f aca="0">IF($E57="Unconfirmed","",IFERROR(SUMIF(S15_Source_Strata!$B$4:$B$49,$I57,S15_Source_Strata!$N$4:$N$49),""))</x:f>
        <x:v>161.9353913406287</x:v>
      </x:c>
      <x:c r="N57" s="139" t="n">
        <x:f aca="0">IF($E57="Unconfirmed","",IFERROR(SUMIF(S15_Source_Strata!$B$4:$B$49,$I57,S15_Source_Strata!$O$4:$O$49),""))</x:f>
        <x:v>0.7500000000000001</x:v>
      </x:c>
      <x:c r="O57" s="139" t="n">
        <x:f aca="0">IF($E57="Unconfirmed","",IFERROR(SUMIF(S15_Source_Strata!$B$4:$B$49,$I57,S15_Source_Strata!$X$4:$X$49),""))</x:f>
        <x:v>346.0451356021678</x:v>
      </x:c>
      <x:c r="P57" s="139" t="n">
        <x:f aca="0">IF($E57="Unconfirmed","",IFERROR(SUMIF(S15_Source_Strata!$B$4:$B$49,$I57,S15_Source_Strata!$AL$4:$AL$49),""))</x:f>
        <x:v>2052.665482410992</x:v>
      </x:c>
      <x:c r="Q57" s="139" t="str">
        <x:f aca="0">IF($E57="Unconfirmed","",IFERROR(SUMIF(S15_Source_Strata!$B$4:$B$49,$I57,S15_Source_Strata!$K$4:$K$49)&amp;"/"&amp;SUMIF(S15_Source_Strata!$B$4:$B$49,$I57,S15_Source_Strata!$L$4:$L$49),""))</x:f>
        <x:v>10/13</x:v>
      </x:c>
      <x:c r="R57" s="138" t="s">
        <x:v>670</x:v>
      </x:c>
      <x:c r="S57" s="138" t="s">
        <x:v>877</x:v>
      </x:c>
      <x:c r="T57" s="138" t="s">
        <x:v>841</x:v>
      </x:c>
      <x:c r="U57" s="138" t="n">
        <x:f>IFERROR(DB57*$DJ57/$F57,0)</x:f>
        <x:v>67.3211781206171</x:v>
      </x:c>
      <x:c r="V57" s="138" t="n">
        <x:v>0.55</x:v>
      </x:c>
      <x:c r="W57" s="138" t="n">
        <x:v>50</x:v>
      </x:c>
      <x:c r="X57" s="138" t="n">
        <x:v>0.12</x:v>
      </x:c>
      <x:c r="Y57" s="138" t="n">
        <x:v>1.4</x:v>
      </x:c>
      <x:c r="Z57" s="138" t="n">
        <x:v>25</x:v>
      </x:c>
      <x:c r="AA57" s="138" t="n">
        <x:v>0.15</x:v>
      </x:c>
      <x:c r="AB57" s="138" t="n">
        <x:v>1.3</x:v>
      </x:c>
      <x:c r="AC57" s="138"/>
      <x:c r="AD57" s="138"/>
      <x:c r="AE57" s="138"/>
      <x:c r="AF57" s="138" t="n">
        <x:f>IFERROR(DC57*$DJ57/$F57,0)</x:f>
        <x:v>0</x:v>
      </x:c>
      <x:c r="AG57" s="138"/>
      <x:c r="AH57" s="138"/>
      <x:c r="AI57" s="138"/>
      <x:c r="AJ57" s="138"/>
      <x:c r="AK57" s="138"/>
      <x:c r="AL57" s="138"/>
      <x:c r="AM57" s="138"/>
      <x:c r="AN57" s="138"/>
      <x:c r="AO57" s="138"/>
      <x:c r="AP57" s="138"/>
      <x:c r="AQ57" s="138" t="n">
        <x:f>IFERROR(DD57*$DJ57/$F57,0)</x:f>
        <x:v>0</x:v>
      </x:c>
      <x:c r="AR57" s="138"/>
      <x:c r="AS57" s="138"/>
      <x:c r="AT57" s="138"/>
      <x:c r="AU57" s="138"/>
      <x:c r="AV57" s="138"/>
      <x:c r="AW57" s="138"/>
      <x:c r="AX57" s="138"/>
      <x:c r="AY57" s="138"/>
      <x:c r="AZ57" s="138"/>
      <x:c r="BA57" s="138"/>
      <x:c r="BB57" s="138" t="n">
        <x:f>IFERROR(DE57*$DJ57/$F57,0)</x:f>
        <x:v>0</x:v>
      </x:c>
      <x:c r="BC57" s="138"/>
      <x:c r="BD57" s="138"/>
      <x:c r="BE57" s="138"/>
      <x:c r="BF57" s="138"/>
      <x:c r="BG57" s="138"/>
      <x:c r="BH57" s="138"/>
      <x:c r="BI57" s="138"/>
      <x:c r="BJ57" s="138"/>
      <x:c r="BK57" s="138"/>
      <x:c r="BL57" s="138"/>
      <x:c r="BM57" s="138" t="n">
        <x:f>IFERROR(DF57*$DJ57/$F57,0)</x:f>
        <x:v>0</x:v>
      </x:c>
      <x:c r="BN57" s="138"/>
      <x:c r="BO57" s="138"/>
      <x:c r="BP57" s="138"/>
      <x:c r="BQ57" s="138"/>
      <x:c r="BR57" s="138"/>
      <x:c r="BS57" s="138"/>
      <x:c r="BT57" s="138"/>
      <x:c r="BU57" s="138"/>
      <x:c r="BV57" s="138"/>
      <x:c r="BW57" s="138"/>
      <x:c r="BX57" s="138" t="n">
        <x:f>IFERROR(DG57*$DJ57/$F57,0)</x:f>
        <x:v>0</x:v>
      </x:c>
      <x:c r="BY57" s="138"/>
      <x:c r="BZ57" s="138"/>
      <x:c r="CA57" s="138"/>
      <x:c r="CB57" s="138"/>
      <x:c r="CC57" s="138"/>
      <x:c r="CD57" s="138"/>
      <x:c r="CE57" s="138"/>
      <x:c r="CF57" s="138"/>
      <x:c r="CG57" s="138"/>
      <x:c r="CH57" s="138"/>
      <x:c r="CI57" s="138" t="n">
        <x:f>IFERROR(DH57*$DJ57/$F57,0)</x:f>
        <x:v>0</x:v>
      </x:c>
      <x:c r="CJ57" s="138"/>
      <x:c r="CK57" s="138"/>
      <x:c r="CL57" s="138"/>
      <x:c r="CM57" s="138"/>
      <x:c r="CN57" s="138"/>
      <x:c r="CO57" s="138"/>
      <x:c r="CP57" s="138"/>
      <x:c r="CQ57" s="138"/>
      <x:c r="CR57" s="138"/>
      <x:c r="CS57" s="138"/>
      <x:c r="CT57" s="138" t="n">
        <x:f>IFERROR(DI57*$DJ57/$F57,0)</x:f>
        <x:v>0</x:v>
      </x:c>
      <x:c r="CU57" s="138"/>
      <x:c r="CV57" s="138"/>
      <x:c r="CW57" s="138"/>
      <x:c r="CX57" s="138"/>
      <x:c r="CY57" s="138"/>
      <x:c r="CZ57" s="138"/>
      <x:c r="DA57" s="138"/>
      <x:c r="DB57" s="978" t="n">
        <x:v>320</x:v>
      </x:c>
      <x:c r="DC57" s="978"/>
      <x:c r="DD57" s="978"/>
      <x:c r="DE57" s="978"/>
      <x:c r="DF57" s="978"/>
      <x:c r="DG57" s="978"/>
      <x:c r="DH57" s="978"/>
      <x:c r="DI57" s="978"/>
      <x:c r="DJ57" s="980" t="n">
        <x:f>'S08_Defaults'!$B$37</x:f>
        <x:v>0.09</x:v>
      </x:c>
      <x:c r="DK57" s="979" t="n">
        <x:f>SUM(U57,AF57,AQ57,BB57,BM57,BX57,CI57,CT57)</x:f>
        <x:v>67.3211781206171</x:v>
      </x:c>
      <x:c r="DL57" s="979" t="n">
        <x:f>G57*DJ57</x:f>
        <x:v>67.3209</x:v>
      </x:c>
      <x:c r="DM57" s="979" t="n">
        <x:f>DK57-DL57</x:f>
        <x:v>0.0002781206171107442</x:v>
      </x:c>
      <x:c r="DN57" s="977" t="str">
        <x:f>IF(ABS(DM57)&lt;=MAX(0.5,0.05*ABS(DL57)),"OK","REVIEW")</x:f>
        <x:v>OK</x:v>
      </x:c>
    </x:row>
    <x:row r="58" ht="15" hidden="0" customHeight="1">
      <x:c r="A58" s="138" t="s">
        <x:v>679</x:v>
      </x:c>
      <x:c r="B58" s="138" t="str">
        <x:v>Tropical &amp; Subtropical Dry Broadleaf Forests</x:v>
      </x:c>
      <x:c r="C58" s="138" t="s">
        <x:v>113</x:v>
      </x:c>
      <x:c r="D58" s="138" t="s">
        <x:v>553</x:v>
      </x:c>
      <x:c r="E58" s="138" t="n">
        <x:v>2020</x:v>
      </x:c>
      <x:c r="F58" s="138" t="n">
        <x:v>2.0202</x:v>
      </x:c>
      <x:c r="G58" s="138" t="n">
        <x:v>792</x:v>
      </x:c>
      <x:c r="H58" s="138" t="s">
        <x:v>956</x:v>
      </x:c>
      <x:c r="I58" s="138" t="s">
        <x:v>673</x:v>
      </x:c>
      <x:c r="J58" s="139" t="n">
        <x:f aca="0">IF($E58="Unconfirmed","",IFERROR(SUMIF(S15_Source_Strata!$B$4:$B$49,$I58,S15_Source_Strata!$H$4:$H$49),""))</x:f>
        <x:v>215.91385512083826</x:v>
      </x:c>
      <x:c r="K58" s="139" t="n">
        <x:f aca="0">IF($E58="Unconfirmed","",IFERROR(SUMIF(S15_Source_Strata!$B$4:$B$49,$I58,S15_Source_Strata!$I$4:$I$49),""))</x:f>
        <x:v>180.66754848026147</x:v>
      </x:c>
      <x:c r="L58" s="139" t="n">
        <x:f aca="0">IF($E58="Unconfirmed","",IFERROR(SUMIF(S15_Source_Strata!$B$4:$B$49,$I58,S15_Source_Strata!$J$4:$J$49),""))</x:f>
        <x:v>0.8367575502699868</x:v>
      </x:c>
      <x:c r="M58" s="139" t="n">
        <x:f aca="0">IF($E58="Unconfirmed","",IFERROR(SUMIF(S15_Source_Strata!$B$4:$B$49,$I58,S15_Source_Strata!$N$4:$N$49),""))</x:f>
        <x:v>161.9353913406287</x:v>
      </x:c>
      <x:c r="N58" s="139" t="n">
        <x:f aca="0">IF($E58="Unconfirmed","",IFERROR(SUMIF(S15_Source_Strata!$B$4:$B$49,$I58,S15_Source_Strata!$O$4:$O$49),""))</x:f>
        <x:v>0.7500000000000001</x:v>
      </x:c>
      <x:c r="O58" s="139" t="n">
        <x:f aca="0">IF($E58="Unconfirmed","",IFERROR(SUMIF(S15_Source_Strata!$B$4:$B$49,$I58,S15_Source_Strata!$X$4:$X$49),""))</x:f>
        <x:v>346.0451356021678</x:v>
      </x:c>
      <x:c r="P58" s="139" t="n">
        <x:f aca="0">IF($E58="Unconfirmed","",IFERROR(SUMIF(S15_Source_Strata!$B$4:$B$49,$I58,S15_Source_Strata!$AL$4:$AL$49),""))</x:f>
        <x:v>2052.665482410992</x:v>
      </x:c>
      <x:c r="Q58" s="139" t="str">
        <x:f aca="0">IF($E58="Unconfirmed","",IFERROR(SUMIF(S15_Source_Strata!$B$4:$B$49,$I58,S15_Source_Strata!$K$4:$K$49)&amp;"/"&amp;SUMIF(S15_Source_Strata!$B$4:$B$49,$I58,S15_Source_Strata!$L$4:$L$49),""))</x:f>
        <x:v>10/13</x:v>
      </x:c>
      <x:c r="R58" s="138" t="s">
        <x:v>660</x:v>
      </x:c>
      <x:c r="S58" s="138" t="s">
        <x:v>875</x:v>
      </x:c>
      <x:c r="T58" s="138" t="s">
        <x:v>841</x:v>
      </x:c>
      <x:c r="U58" s="138" t="n">
        <x:f>IFERROR(DB58*$DJ58/$F58,0)</x:f>
        <x:v>71.28007128007128</x:v>
      </x:c>
      <x:c r="V58" s="138" t="n">
        <x:v>0.58</x:v>
      </x:c>
      <x:c r="W58" s="138" t="n">
        <x:v>55</x:v>
      </x:c>
      <x:c r="X58" s="138" t="n">
        <x:v>0.16</x:v>
      </x:c>
      <x:c r="Y58" s="138" t="n">
        <x:v>1.3</x:v>
      </x:c>
      <x:c r="Z58" s="138" t="n">
        <x:v>25</x:v>
      </x:c>
      <x:c r="AA58" s="138" t="n">
        <x:v>0.2</x:v>
      </x:c>
      <x:c r="AB58" s="138" t="n">
        <x:v>1.2</x:v>
      </x:c>
      <x:c r="AC58" s="138"/>
      <x:c r="AD58" s="138"/>
      <x:c r="AE58" s="138"/>
      <x:c r="AF58" s="138" t="n">
        <x:f>IFERROR(DC58*$DJ58/$F58,0)</x:f>
        <x:v>0</x:v>
      </x:c>
      <x:c r="AG58" s="138"/>
      <x:c r="AH58" s="138"/>
      <x:c r="AI58" s="138"/>
      <x:c r="AJ58" s="138"/>
      <x:c r="AK58" s="138"/>
      <x:c r="AL58" s="138"/>
      <x:c r="AM58" s="138"/>
      <x:c r="AN58" s="138"/>
      <x:c r="AO58" s="138"/>
      <x:c r="AP58" s="138"/>
      <x:c r="AQ58" s="138" t="n">
        <x:f>IFERROR(DD58*$DJ58/$F58,0)</x:f>
        <x:v>0</x:v>
      </x:c>
      <x:c r="AR58" s="138"/>
      <x:c r="AS58" s="138"/>
      <x:c r="AT58" s="138"/>
      <x:c r="AU58" s="138"/>
      <x:c r="AV58" s="138"/>
      <x:c r="AW58" s="138"/>
      <x:c r="AX58" s="138"/>
      <x:c r="AY58" s="138"/>
      <x:c r="AZ58" s="138"/>
      <x:c r="BA58" s="138"/>
      <x:c r="BB58" s="138" t="n">
        <x:f>IFERROR(DE58*$DJ58/$F58,0)</x:f>
        <x:v>0</x:v>
      </x:c>
      <x:c r="BC58" s="138"/>
      <x:c r="BD58" s="138"/>
      <x:c r="BE58" s="138"/>
      <x:c r="BF58" s="138"/>
      <x:c r="BG58" s="138"/>
      <x:c r="BH58" s="138"/>
      <x:c r="BI58" s="138"/>
      <x:c r="BJ58" s="138"/>
      <x:c r="BK58" s="138"/>
      <x:c r="BL58" s="138"/>
      <x:c r="BM58" s="138" t="n">
        <x:f>IFERROR(DF58*$DJ58/$F58,0)</x:f>
        <x:v>0</x:v>
      </x:c>
      <x:c r="BN58" s="138"/>
      <x:c r="BO58" s="138"/>
      <x:c r="BP58" s="138"/>
      <x:c r="BQ58" s="138"/>
      <x:c r="BR58" s="138"/>
      <x:c r="BS58" s="138"/>
      <x:c r="BT58" s="138"/>
      <x:c r="BU58" s="138"/>
      <x:c r="BV58" s="138"/>
      <x:c r="BW58" s="138"/>
      <x:c r="BX58" s="138" t="n">
        <x:f>IFERROR(DG58*$DJ58/$F58,0)</x:f>
        <x:v>0</x:v>
      </x:c>
      <x:c r="BY58" s="138"/>
      <x:c r="BZ58" s="138"/>
      <x:c r="CA58" s="138"/>
      <x:c r="CB58" s="138"/>
      <x:c r="CC58" s="138"/>
      <x:c r="CD58" s="138"/>
      <x:c r="CE58" s="138"/>
      <x:c r="CF58" s="138"/>
      <x:c r="CG58" s="138"/>
      <x:c r="CH58" s="138"/>
      <x:c r="CI58" s="138" t="n">
        <x:f>IFERROR(DH58*$DJ58/$F58,0)</x:f>
        <x:v>0</x:v>
      </x:c>
      <x:c r="CJ58" s="138"/>
      <x:c r="CK58" s="138"/>
      <x:c r="CL58" s="138"/>
      <x:c r="CM58" s="138"/>
      <x:c r="CN58" s="138"/>
      <x:c r="CO58" s="138"/>
      <x:c r="CP58" s="138"/>
      <x:c r="CQ58" s="138"/>
      <x:c r="CR58" s="138"/>
      <x:c r="CS58" s="138"/>
      <x:c r="CT58" s="138" t="n">
        <x:f>IFERROR(DI58*$DJ58/$F58,0)</x:f>
        <x:v>0</x:v>
      </x:c>
      <x:c r="CU58" s="138"/>
      <x:c r="CV58" s="138"/>
      <x:c r="CW58" s="138"/>
      <x:c r="CX58" s="138"/>
      <x:c r="CY58" s="138"/>
      <x:c r="CZ58" s="138"/>
      <x:c r="DA58" s="138"/>
      <x:c r="DB58" s="978" t="n">
        <x:v>1600</x:v>
      </x:c>
      <x:c r="DC58" s="978"/>
      <x:c r="DD58" s="978"/>
      <x:c r="DE58" s="978"/>
      <x:c r="DF58" s="978"/>
      <x:c r="DG58" s="978"/>
      <x:c r="DH58" s="978"/>
      <x:c r="DI58" s="978"/>
      <x:c r="DJ58" s="980" t="n">
        <x:f>'S08_Defaults'!$B$37</x:f>
        <x:v>0.09</x:v>
      </x:c>
      <x:c r="DK58" s="979" t="n">
        <x:f>SUM(U58,AF58,AQ58,BB58,BM58,BX58,CI58,CT58)</x:f>
        <x:v>71.28007128007128</x:v>
      </x:c>
      <x:c r="DL58" s="979" t="n">
        <x:f>G58*DJ58</x:f>
        <x:v>71.28</x:v>
      </x:c>
      <x:c r="DM58" s="979" t="n">
        <x:f>DK58-DL58</x:f>
        <x:v>0.00007128007128187619</x:v>
      </x:c>
      <x:c r="DN58" s="977" t="str">
        <x:f>IF(ABS(DM58)&lt;=MAX(0.5,0.05*ABS(DL58)),"OK","REVIEW")</x:f>
        <x:v>OK</x:v>
      </x:c>
    </x:row>
    <x:row r="59" ht="15" hidden="0" customHeight="1">
      <x:c r="A59" s="138" t="s">
        <x:v>680</x:v>
      </x:c>
      <x:c r="B59" s="138" t="str">
        <x:v>Tropical &amp; Subtropical Dry Broadleaf Forests</x:v>
      </x:c>
      <x:c r="C59" s="138" t="s">
        <x:v>113</x:v>
      </x:c>
      <x:c r="D59" s="138" t="s">
        <x:v>553</x:v>
      </x:c>
      <x:c r="E59" s="138" t="n">
        <x:v>2020</x:v>
      </x:c>
      <x:c r="F59" s="138" t="n">
        <x:v>0.1095</x:v>
      </x:c>
      <x:c r="G59" s="138" t="n">
        <x:v>913.24</x:v>
      </x:c>
      <x:c r="H59" s="138" t="s">
        <x:v>946</x:v>
      </x:c>
      <x:c r="I59" s="138" t="s">
        <x:v>673</x:v>
      </x:c>
      <x:c r="J59" s="139" t="n">
        <x:f aca="0">IF($E59="Unconfirmed","",IFERROR(SUMIF(S15_Source_Strata!$B$4:$B$49,$I59,S15_Source_Strata!$H$4:$H$49),""))</x:f>
        <x:v>215.91385512083826</x:v>
      </x:c>
      <x:c r="K59" s="139" t="n">
        <x:f aca="0">IF($E59="Unconfirmed","",IFERROR(SUMIF(S15_Source_Strata!$B$4:$B$49,$I59,S15_Source_Strata!$I$4:$I$49),""))</x:f>
        <x:v>180.66754848026147</x:v>
      </x:c>
      <x:c r="L59" s="139" t="n">
        <x:f aca="0">IF($E59="Unconfirmed","",IFERROR(SUMIF(S15_Source_Strata!$B$4:$B$49,$I59,S15_Source_Strata!$J$4:$J$49),""))</x:f>
        <x:v>0.8367575502699868</x:v>
      </x:c>
      <x:c r="M59" s="139" t="n">
        <x:f aca="0">IF($E59="Unconfirmed","",IFERROR(SUMIF(S15_Source_Strata!$B$4:$B$49,$I59,S15_Source_Strata!$N$4:$N$49),""))</x:f>
        <x:v>161.9353913406287</x:v>
      </x:c>
      <x:c r="N59" s="139" t="n">
        <x:f aca="0">IF($E59="Unconfirmed","",IFERROR(SUMIF(S15_Source_Strata!$B$4:$B$49,$I59,S15_Source_Strata!$O$4:$O$49),""))</x:f>
        <x:v>0.7500000000000001</x:v>
      </x:c>
      <x:c r="O59" s="139" t="n">
        <x:f aca="0">IF($E59="Unconfirmed","",IFERROR(SUMIF(S15_Source_Strata!$B$4:$B$49,$I59,S15_Source_Strata!$X$4:$X$49),""))</x:f>
        <x:v>346.0451356021678</x:v>
      </x:c>
      <x:c r="P59" s="139" t="n">
        <x:f aca="0">IF($E59="Unconfirmed","",IFERROR(SUMIF(S15_Source_Strata!$B$4:$B$49,$I59,S15_Source_Strata!$AL$4:$AL$49),""))</x:f>
        <x:v>2052.665482410992</x:v>
      </x:c>
      <x:c r="Q59" s="139" t="str">
        <x:f aca="0">IF($E59="Unconfirmed","",IFERROR(SUMIF(S15_Source_Strata!$B$4:$B$49,$I59,S15_Source_Strata!$K$4:$K$49)&amp;"/"&amp;SUMIF(S15_Source_Strata!$B$4:$B$49,$I59,S15_Source_Strata!$L$4:$L$49),""))</x:f>
        <x:v>10/13</x:v>
      </x:c>
      <x:c r="R59" s="138" t="s">
        <x:v>670</x:v>
      </x:c>
      <x:c r="S59" s="138" t="s">
        <x:v>877</x:v>
      </x:c>
      <x:c r="T59" s="138" t="s">
        <x:v>841</x:v>
      </x:c>
      <x:c r="U59" s="138" t="n">
        <x:f>IFERROR(DB59*$DJ59/$F59,0)</x:f>
        <x:v>82.1917808219178</x:v>
      </x:c>
      <x:c r="V59" s="138" t="n">
        <x:v>0.55</x:v>
      </x:c>
      <x:c r="W59" s="138" t="n">
        <x:v>50</x:v>
      </x:c>
      <x:c r="X59" s="138" t="n">
        <x:v>0.12</x:v>
      </x:c>
      <x:c r="Y59" s="138" t="n">
        <x:v>1.4</x:v>
      </x:c>
      <x:c r="Z59" s="138" t="n">
        <x:v>25</x:v>
      </x:c>
      <x:c r="AA59" s="138" t="n">
        <x:v>0.15</x:v>
      </x:c>
      <x:c r="AB59" s="138" t="n">
        <x:v>1.3</x:v>
      </x:c>
      <x:c r="AC59" s="138"/>
      <x:c r="AD59" s="138"/>
      <x:c r="AE59" s="138"/>
      <x:c r="AF59" s="138" t="n">
        <x:f>IFERROR(DC59*$DJ59/$F59,0)</x:f>
        <x:v>0</x:v>
      </x:c>
      <x:c r="AG59" s="138"/>
      <x:c r="AH59" s="138"/>
      <x:c r="AI59" s="138"/>
      <x:c r="AJ59" s="138"/>
      <x:c r="AK59" s="138"/>
      <x:c r="AL59" s="138"/>
      <x:c r="AM59" s="138"/>
      <x:c r="AN59" s="138"/>
      <x:c r="AO59" s="138"/>
      <x:c r="AP59" s="138"/>
      <x:c r="AQ59" s="138" t="n">
        <x:f>IFERROR(DD59*$DJ59/$F59,0)</x:f>
        <x:v>0</x:v>
      </x:c>
      <x:c r="AR59" s="138"/>
      <x:c r="AS59" s="138"/>
      <x:c r="AT59" s="138"/>
      <x:c r="AU59" s="138"/>
      <x:c r="AV59" s="138"/>
      <x:c r="AW59" s="138"/>
      <x:c r="AX59" s="138"/>
      <x:c r="AY59" s="138"/>
      <x:c r="AZ59" s="138"/>
      <x:c r="BA59" s="138"/>
      <x:c r="BB59" s="138" t="n">
        <x:f>IFERROR(DE59*$DJ59/$F59,0)</x:f>
        <x:v>0</x:v>
      </x:c>
      <x:c r="BC59" s="138"/>
      <x:c r="BD59" s="138"/>
      <x:c r="BE59" s="138"/>
      <x:c r="BF59" s="138"/>
      <x:c r="BG59" s="138"/>
      <x:c r="BH59" s="138"/>
      <x:c r="BI59" s="138"/>
      <x:c r="BJ59" s="138"/>
      <x:c r="BK59" s="138"/>
      <x:c r="BL59" s="138"/>
      <x:c r="BM59" s="138" t="n">
        <x:f>IFERROR(DF59*$DJ59/$F59,0)</x:f>
        <x:v>0</x:v>
      </x:c>
      <x:c r="BN59" s="138"/>
      <x:c r="BO59" s="138"/>
      <x:c r="BP59" s="138"/>
      <x:c r="BQ59" s="138"/>
      <x:c r="BR59" s="138"/>
      <x:c r="BS59" s="138"/>
      <x:c r="BT59" s="138"/>
      <x:c r="BU59" s="138"/>
      <x:c r="BV59" s="138"/>
      <x:c r="BW59" s="138"/>
      <x:c r="BX59" s="138" t="n">
        <x:f>IFERROR(DG59*$DJ59/$F59,0)</x:f>
        <x:v>0</x:v>
      </x:c>
      <x:c r="BY59" s="138"/>
      <x:c r="BZ59" s="138"/>
      <x:c r="CA59" s="138"/>
      <x:c r="CB59" s="138"/>
      <x:c r="CC59" s="138"/>
      <x:c r="CD59" s="138"/>
      <x:c r="CE59" s="138"/>
      <x:c r="CF59" s="138"/>
      <x:c r="CG59" s="138"/>
      <x:c r="CH59" s="138"/>
      <x:c r="CI59" s="138" t="n">
        <x:f>IFERROR(DH59*$DJ59/$F59,0)</x:f>
        <x:v>0</x:v>
      </x:c>
      <x:c r="CJ59" s="138"/>
      <x:c r="CK59" s="138"/>
      <x:c r="CL59" s="138"/>
      <x:c r="CM59" s="138"/>
      <x:c r="CN59" s="138"/>
      <x:c r="CO59" s="138"/>
      <x:c r="CP59" s="138"/>
      <x:c r="CQ59" s="138"/>
      <x:c r="CR59" s="138"/>
      <x:c r="CS59" s="138"/>
      <x:c r="CT59" s="138" t="n">
        <x:f>IFERROR(DI59*$DJ59/$F59,0)</x:f>
        <x:v>0</x:v>
      </x:c>
      <x:c r="CU59" s="138"/>
      <x:c r="CV59" s="138"/>
      <x:c r="CW59" s="138"/>
      <x:c r="CX59" s="138"/>
      <x:c r="CY59" s="138"/>
      <x:c r="CZ59" s="138"/>
      <x:c r="DA59" s="138"/>
      <x:c r="DB59" s="978" t="n">
        <x:v>100</x:v>
      </x:c>
      <x:c r="DC59" s="978"/>
      <x:c r="DD59" s="978"/>
      <x:c r="DE59" s="978"/>
      <x:c r="DF59" s="978"/>
      <x:c r="DG59" s="978"/>
      <x:c r="DH59" s="978"/>
      <x:c r="DI59" s="978"/>
      <x:c r="DJ59" s="980" t="n">
        <x:f>'S08_Defaults'!$B$37</x:f>
        <x:v>0.09</x:v>
      </x:c>
      <x:c r="DK59" s="979" t="n">
        <x:f>SUM(U59,AF59,AQ59,BB59,BM59,BX59,CI59,CT59)</x:f>
        <x:v>82.1917808219178</x:v>
      </x:c>
      <x:c r="DL59" s="979" t="n">
        <x:f>G59*DJ59</x:f>
        <x:v>82.1916</x:v>
      </x:c>
      <x:c r="DM59" s="979" t="n">
        <x:f>DK59-DL59</x:f>
        <x:v>0.0001808219178087711</x:v>
      </x:c>
      <x:c r="DN59" s="977" t="str">
        <x:f>IF(ABS(DM59)&lt;=MAX(0.5,0.05*ABS(DL59)),"OK","REVIEW")</x:f>
        <x:v>OK</x:v>
      </x:c>
    </x:row>
    <x:row r="60" ht="15" hidden="0" customHeight="1">
      <x:c r="A60" s="138" t="s">
        <x:v>681</x:v>
      </x:c>
      <x:c r="B60" s="138" t="str">
        <x:v>Tropical &amp; Subtropical Dry Broadleaf Forests</x:v>
      </x:c>
      <x:c r="C60" s="138" t="s">
        <x:v>113</x:v>
      </x:c>
      <x:c r="D60" s="138" t="s">
        <x:v>553</x:v>
      </x:c>
      <x:c r="E60" s="138" t="n">
        <x:v>2020</x:v>
      </x:c>
      <x:c r="F60" s="138" t="n">
        <x:v>0.5831</x:v>
      </x:c>
      <x:c r="G60" s="138" t="n">
        <x:v>1543.47</x:v>
      </x:c>
      <x:c r="H60" s="138" t="s">
        <x:v>957</x:v>
      </x:c>
      <x:c r="I60" s="138" t="s">
        <x:v>673</x:v>
      </x:c>
      <x:c r="J60" s="139" t="n">
        <x:f aca="0">IF($E60="Unconfirmed","",IFERROR(SUMIF(S15_Source_Strata!$B$4:$B$49,$I60,S15_Source_Strata!$H$4:$H$49),""))</x:f>
        <x:v>215.91385512083826</x:v>
      </x:c>
      <x:c r="K60" s="139" t="n">
        <x:f aca="0">IF($E60="Unconfirmed","",IFERROR(SUMIF(S15_Source_Strata!$B$4:$B$49,$I60,S15_Source_Strata!$I$4:$I$49),""))</x:f>
        <x:v>180.66754848026147</x:v>
      </x:c>
      <x:c r="L60" s="139" t="n">
        <x:f aca="0">IF($E60="Unconfirmed","",IFERROR(SUMIF(S15_Source_Strata!$B$4:$B$49,$I60,S15_Source_Strata!$J$4:$J$49),""))</x:f>
        <x:v>0.8367575502699868</x:v>
      </x:c>
      <x:c r="M60" s="139" t="n">
        <x:f aca="0">IF($E60="Unconfirmed","",IFERROR(SUMIF(S15_Source_Strata!$B$4:$B$49,$I60,S15_Source_Strata!$N$4:$N$49),""))</x:f>
        <x:v>161.9353913406287</x:v>
      </x:c>
      <x:c r="N60" s="139" t="n">
        <x:f aca="0">IF($E60="Unconfirmed","",IFERROR(SUMIF(S15_Source_Strata!$B$4:$B$49,$I60,S15_Source_Strata!$O$4:$O$49),""))</x:f>
        <x:v>0.7500000000000001</x:v>
      </x:c>
      <x:c r="O60" s="139" t="n">
        <x:f aca="0">IF($E60="Unconfirmed","",IFERROR(SUMIF(S15_Source_Strata!$B$4:$B$49,$I60,S15_Source_Strata!$X$4:$X$49),""))</x:f>
        <x:v>346.0451356021678</x:v>
      </x:c>
      <x:c r="P60" s="139" t="n">
        <x:f aca="0">IF($E60="Unconfirmed","",IFERROR(SUMIF(S15_Source_Strata!$B$4:$B$49,$I60,S15_Source_Strata!$AL$4:$AL$49),""))</x:f>
        <x:v>2052.665482410992</x:v>
      </x:c>
      <x:c r="Q60" s="139" t="str">
        <x:f aca="0">IF($E60="Unconfirmed","",IFERROR(SUMIF(S15_Source_Strata!$B$4:$B$49,$I60,S15_Source_Strata!$K$4:$K$49)&amp;"/"&amp;SUMIF(S15_Source_Strata!$B$4:$B$49,$I60,S15_Source_Strata!$L$4:$L$49),""))</x:f>
        <x:v>10/13</x:v>
      </x:c>
      <x:c r="R60" s="138" t="s">
        <x:v>656</x:v>
      </x:c>
      <x:c r="S60" s="138" t="s">
        <x:v>903</x:v>
      </x:c>
      <x:c r="T60" s="138" t="s">
        <x:v>841</x:v>
      </x:c>
      <x:c r="U60" s="138" t="n">
        <x:f>IFERROR(DB60*$DJ60/$F60,0)</x:f>
        <x:v>138.912707940319</x:v>
      </x:c>
      <x:c r="V60" s="138" t="n">
        <x:v>0.75</x:v>
      </x:c>
      <x:c r="W60" s="138" t="n">
        <x:v>25</x:v>
      </x:c>
      <x:c r="X60" s="138" t="n">
        <x:v>0.1</x:v>
      </x:c>
      <x:c r="Y60" s="138" t="n">
        <x:v>1.5</x:v>
      </x:c>
      <x:c r="Z60" s="138" t="n">
        <x:v>12</x:v>
      </x:c>
      <x:c r="AA60" s="138" t="n">
        <x:v>0.14</x:v>
      </x:c>
      <x:c r="AB60" s="138" t="n">
        <x:v>1.4</x:v>
      </x:c>
      <x:c r="AC60" s="138"/>
      <x:c r="AD60" s="138"/>
      <x:c r="AE60" s="138"/>
      <x:c r="AF60" s="138" t="n">
        <x:f>IFERROR(DC60*$DJ60/$F60,0)</x:f>
        <x:v>0</x:v>
      </x:c>
      <x:c r="AG60" s="138"/>
      <x:c r="AH60" s="138"/>
      <x:c r="AI60" s="138"/>
      <x:c r="AJ60" s="138"/>
      <x:c r="AK60" s="138"/>
      <x:c r="AL60" s="138"/>
      <x:c r="AM60" s="138"/>
      <x:c r="AN60" s="138"/>
      <x:c r="AO60" s="138"/>
      <x:c r="AP60" s="138"/>
      <x:c r="AQ60" s="138" t="n">
        <x:f>IFERROR(DD60*$DJ60/$F60,0)</x:f>
        <x:v>0</x:v>
      </x:c>
      <x:c r="AR60" s="138"/>
      <x:c r="AS60" s="138"/>
      <x:c r="AT60" s="138"/>
      <x:c r="AU60" s="138"/>
      <x:c r="AV60" s="138"/>
      <x:c r="AW60" s="138"/>
      <x:c r="AX60" s="138"/>
      <x:c r="AY60" s="138"/>
      <x:c r="AZ60" s="138"/>
      <x:c r="BA60" s="138"/>
      <x:c r="BB60" s="138" t="n">
        <x:f>IFERROR(DE60*$DJ60/$F60,0)</x:f>
        <x:v>0</x:v>
      </x:c>
      <x:c r="BC60" s="138"/>
      <x:c r="BD60" s="138"/>
      <x:c r="BE60" s="138"/>
      <x:c r="BF60" s="138"/>
      <x:c r="BG60" s="138"/>
      <x:c r="BH60" s="138"/>
      <x:c r="BI60" s="138"/>
      <x:c r="BJ60" s="138"/>
      <x:c r="BK60" s="138"/>
      <x:c r="BL60" s="138"/>
      <x:c r="BM60" s="138" t="n">
        <x:f>IFERROR(DF60*$DJ60/$F60,0)</x:f>
        <x:v>0</x:v>
      </x:c>
      <x:c r="BN60" s="138"/>
      <x:c r="BO60" s="138"/>
      <x:c r="BP60" s="138"/>
      <x:c r="BQ60" s="138"/>
      <x:c r="BR60" s="138"/>
      <x:c r="BS60" s="138"/>
      <x:c r="BT60" s="138"/>
      <x:c r="BU60" s="138"/>
      <x:c r="BV60" s="138"/>
      <x:c r="BW60" s="138"/>
      <x:c r="BX60" s="138" t="n">
        <x:f>IFERROR(DG60*$DJ60/$F60,0)</x:f>
        <x:v>0</x:v>
      </x:c>
      <x:c r="BY60" s="138"/>
      <x:c r="BZ60" s="138"/>
      <x:c r="CA60" s="138"/>
      <x:c r="CB60" s="138"/>
      <x:c r="CC60" s="138"/>
      <x:c r="CD60" s="138"/>
      <x:c r="CE60" s="138"/>
      <x:c r="CF60" s="138"/>
      <x:c r="CG60" s="138"/>
      <x:c r="CH60" s="138"/>
      <x:c r="CI60" s="138" t="n">
        <x:f>IFERROR(DH60*$DJ60/$F60,0)</x:f>
        <x:v>0</x:v>
      </x:c>
      <x:c r="CJ60" s="138"/>
      <x:c r="CK60" s="138"/>
      <x:c r="CL60" s="138"/>
      <x:c r="CM60" s="138"/>
      <x:c r="CN60" s="138"/>
      <x:c r="CO60" s="138"/>
      <x:c r="CP60" s="138"/>
      <x:c r="CQ60" s="138"/>
      <x:c r="CR60" s="138"/>
      <x:c r="CS60" s="138"/>
      <x:c r="CT60" s="138" t="n">
        <x:f>IFERROR(DI60*$DJ60/$F60,0)</x:f>
        <x:v>0</x:v>
      </x:c>
      <x:c r="CU60" s="138"/>
      <x:c r="CV60" s="138"/>
      <x:c r="CW60" s="138"/>
      <x:c r="CX60" s="138"/>
      <x:c r="CY60" s="138"/>
      <x:c r="CZ60" s="138"/>
      <x:c r="DA60" s="138"/>
      <x:c r="DB60" s="978" t="n">
        <x:v>900</x:v>
      </x:c>
      <x:c r="DC60" s="978"/>
      <x:c r="DD60" s="978"/>
      <x:c r="DE60" s="978"/>
      <x:c r="DF60" s="978"/>
      <x:c r="DG60" s="978"/>
      <x:c r="DH60" s="978"/>
      <x:c r="DI60" s="978"/>
      <x:c r="DJ60" s="980" t="n">
        <x:f>'S08_Defaults'!$B$37</x:f>
        <x:v>0.09</x:v>
      </x:c>
      <x:c r="DK60" s="979" t="n">
        <x:f>SUM(U60,AF60,AQ60,BB60,BM60,BX60,CI60,CT60)</x:f>
        <x:v>138.912707940319</x:v>
      </x:c>
      <x:c r="DL60" s="979" t="n">
        <x:f>G60*DJ60</x:f>
        <x:v>138.9123</x:v>
      </x:c>
      <x:c r="DM60" s="979" t="n">
        <x:f>DK60-DL60</x:f>
        <x:v>0.00040794031900759364</x:v>
      </x:c>
      <x:c r="DN60" s="977" t="str">
        <x:f>IF(ABS(DM60)&lt;=MAX(0.5,0.05*ABS(DL60)),"OK","REVIEW")</x:f>
        <x:v>OK</x:v>
      </x:c>
    </x:row>
    <x:row r="61" ht="15" hidden="0" customHeight="1">
      <x:c r="A61" s="138" t="s">
        <x:v>682</x:v>
      </x:c>
      <x:c r="B61" s="138" t="str">
        <x:v>Tropical &amp; Subtropical Dry Broadleaf Forests</x:v>
      </x:c>
      <x:c r="C61" s="138" t="s">
        <x:v>113</x:v>
      </x:c>
      <x:c r="D61" s="138" t="s">
        <x:v>553</x:v>
      </x:c>
      <x:c r="E61" s="138" t="n">
        <x:v>2020</x:v>
      </x:c>
      <x:c r="F61" s="138" t="n">
        <x:v>0.4842</x:v>
      </x:c>
      <x:c r="G61" s="138" t="n">
        <x:v>1445.68</x:v>
      </x:c>
      <x:c r="H61" s="138" t="s">
        <x:v>958</x:v>
      </x:c>
      <x:c r="I61" s="138" t="s">
        <x:v>673</x:v>
      </x:c>
      <x:c r="J61" s="139" t="n">
        <x:f aca="0">IF($E61="Unconfirmed","",IFERROR(SUMIF(S15_Source_Strata!$B$4:$B$49,$I61,S15_Source_Strata!$H$4:$H$49),""))</x:f>
        <x:v>215.91385512083826</x:v>
      </x:c>
      <x:c r="K61" s="139" t="n">
        <x:f aca="0">IF($E61="Unconfirmed","",IFERROR(SUMIF(S15_Source_Strata!$B$4:$B$49,$I61,S15_Source_Strata!$I$4:$I$49),""))</x:f>
        <x:v>180.66754848026147</x:v>
      </x:c>
      <x:c r="L61" s="139" t="n">
        <x:f aca="0">IF($E61="Unconfirmed","",IFERROR(SUMIF(S15_Source_Strata!$B$4:$B$49,$I61,S15_Source_Strata!$J$4:$J$49),""))</x:f>
        <x:v>0.8367575502699868</x:v>
      </x:c>
      <x:c r="M61" s="139" t="n">
        <x:f aca="0">IF($E61="Unconfirmed","",IFERROR(SUMIF(S15_Source_Strata!$B$4:$B$49,$I61,S15_Source_Strata!$N$4:$N$49),""))</x:f>
        <x:v>161.9353913406287</x:v>
      </x:c>
      <x:c r="N61" s="139" t="n">
        <x:f aca="0">IF($E61="Unconfirmed","",IFERROR(SUMIF(S15_Source_Strata!$B$4:$B$49,$I61,S15_Source_Strata!$O$4:$O$49),""))</x:f>
        <x:v>0.7500000000000001</x:v>
      </x:c>
      <x:c r="O61" s="139" t="n">
        <x:f aca="0">IF($E61="Unconfirmed","",IFERROR(SUMIF(S15_Source_Strata!$B$4:$B$49,$I61,S15_Source_Strata!$X$4:$X$49),""))</x:f>
        <x:v>346.0451356021678</x:v>
      </x:c>
      <x:c r="P61" s="139" t="n">
        <x:f aca="0">IF($E61="Unconfirmed","",IFERROR(SUMIF(S15_Source_Strata!$B$4:$B$49,$I61,S15_Source_Strata!$AL$4:$AL$49),""))</x:f>
        <x:v>2052.665482410992</x:v>
      </x:c>
      <x:c r="Q61" s="139" t="str">
        <x:f aca="0">IF($E61="Unconfirmed","",IFERROR(SUMIF(S15_Source_Strata!$B$4:$B$49,$I61,S15_Source_Strata!$K$4:$K$49)&amp;"/"&amp;SUMIF(S15_Source_Strata!$B$4:$B$49,$I61,S15_Source_Strata!$L$4:$L$49),""))</x:f>
        <x:v>10/13</x:v>
      </x:c>
      <x:c r="R61" s="138" t="s">
        <x:v>660</x:v>
      </x:c>
      <x:c r="S61" s="138" t="s">
        <x:v>875</x:v>
      </x:c>
      <x:c r="T61" s="138" t="s">
        <x:v>841</x:v>
      </x:c>
      <x:c r="U61" s="138" t="n">
        <x:f>IFERROR(DB61*$DJ61/$F61,0)</x:f>
        <x:v>55.762081784386616</x:v>
      </x:c>
      <x:c r="V61" s="138" t="n">
        <x:v>0.58</x:v>
      </x:c>
      <x:c r="W61" s="138" t="n">
        <x:v>55</x:v>
      </x:c>
      <x:c r="X61" s="138" t="n">
        <x:v>0.16</x:v>
      </x:c>
      <x:c r="Y61" s="138" t="n">
        <x:v>1.3</x:v>
      </x:c>
      <x:c r="Z61" s="138" t="n">
        <x:v>25</x:v>
      </x:c>
      <x:c r="AA61" s="138" t="n">
        <x:v>0.2</x:v>
      </x:c>
      <x:c r="AB61" s="138" t="n">
        <x:v>1.2</x:v>
      </x:c>
      <x:c r="AC61" s="138" t="s">
        <x:v>670</x:v>
      </x:c>
      <x:c r="AD61" s="138" t="s">
        <x:v>877</x:v>
      </x:c>
      <x:c r="AE61" s="138" t="s">
        <x:v>841</x:v>
      </x:c>
      <x:c r="AF61" s="138" t="n">
        <x:f>IFERROR(DC61*$DJ61/$F61,0)</x:f>
        <x:v>74.34944237918215</x:v>
      </x:c>
      <x:c r="AG61" s="138" t="n">
        <x:v>0.55</x:v>
      </x:c>
      <x:c r="AH61" s="138" t="n">
        <x:v>50</x:v>
      </x:c>
      <x:c r="AI61" s="138" t="n">
        <x:v>0.12</x:v>
      </x:c>
      <x:c r="AJ61" s="138" t="n">
        <x:v>1.4</x:v>
      </x:c>
      <x:c r="AK61" s="138" t="n">
        <x:v>25</x:v>
      </x:c>
      <x:c r="AL61" s="138" t="n">
        <x:v>0.15</x:v>
      </x:c>
      <x:c r="AM61" s="138" t="n">
        <x:v>1.3</x:v>
      </x:c>
      <x:c r="AN61" s="138"/>
      <x:c r="AO61" s="138"/>
      <x:c r="AP61" s="138"/>
      <x:c r="AQ61" s="138" t="n">
        <x:f>IFERROR(DD61*$DJ61/$F61,0)</x:f>
        <x:v>0</x:v>
      </x:c>
      <x:c r="AR61" s="138"/>
      <x:c r="AS61" s="138"/>
      <x:c r="AT61" s="138"/>
      <x:c r="AU61" s="138"/>
      <x:c r="AV61" s="138"/>
      <x:c r="AW61" s="138"/>
      <x:c r="AX61" s="138"/>
      <x:c r="AY61" s="138"/>
      <x:c r="AZ61" s="138"/>
      <x:c r="BA61" s="138"/>
      <x:c r="BB61" s="138" t="n">
        <x:f>IFERROR(DE61*$DJ61/$F61,0)</x:f>
        <x:v>0</x:v>
      </x:c>
      <x:c r="BC61" s="138"/>
      <x:c r="BD61" s="138"/>
      <x:c r="BE61" s="138"/>
      <x:c r="BF61" s="138"/>
      <x:c r="BG61" s="138"/>
      <x:c r="BH61" s="138"/>
      <x:c r="BI61" s="138"/>
      <x:c r="BJ61" s="138"/>
      <x:c r="BK61" s="138"/>
      <x:c r="BL61" s="138"/>
      <x:c r="BM61" s="138" t="n">
        <x:f>IFERROR(DF61*$DJ61/$F61,0)</x:f>
        <x:v>0</x:v>
      </x:c>
      <x:c r="BN61" s="138"/>
      <x:c r="BO61" s="138"/>
      <x:c r="BP61" s="138"/>
      <x:c r="BQ61" s="138"/>
      <x:c r="BR61" s="138"/>
      <x:c r="BS61" s="138"/>
      <x:c r="BT61" s="138"/>
      <x:c r="BU61" s="138"/>
      <x:c r="BV61" s="138"/>
      <x:c r="BW61" s="138"/>
      <x:c r="BX61" s="138" t="n">
        <x:f>IFERROR(DG61*$DJ61/$F61,0)</x:f>
        <x:v>0</x:v>
      </x:c>
      <x:c r="BY61" s="138"/>
      <x:c r="BZ61" s="138"/>
      <x:c r="CA61" s="138"/>
      <x:c r="CB61" s="138"/>
      <x:c r="CC61" s="138"/>
      <x:c r="CD61" s="138"/>
      <x:c r="CE61" s="138"/>
      <x:c r="CF61" s="138"/>
      <x:c r="CG61" s="138"/>
      <x:c r="CH61" s="138"/>
      <x:c r="CI61" s="138" t="n">
        <x:f>IFERROR(DH61*$DJ61/$F61,0)</x:f>
        <x:v>0</x:v>
      </x:c>
      <x:c r="CJ61" s="138"/>
      <x:c r="CK61" s="138"/>
      <x:c r="CL61" s="138"/>
      <x:c r="CM61" s="138"/>
      <x:c r="CN61" s="138"/>
      <x:c r="CO61" s="138"/>
      <x:c r="CP61" s="138"/>
      <x:c r="CQ61" s="138"/>
      <x:c r="CR61" s="138"/>
      <x:c r="CS61" s="138"/>
      <x:c r="CT61" s="138" t="n">
        <x:f>IFERROR(DI61*$DJ61/$F61,0)</x:f>
        <x:v>0</x:v>
      </x:c>
      <x:c r="CU61" s="138"/>
      <x:c r="CV61" s="138"/>
      <x:c r="CW61" s="138"/>
      <x:c r="CX61" s="138"/>
      <x:c r="CY61" s="138"/>
      <x:c r="CZ61" s="138"/>
      <x:c r="DA61" s="138"/>
      <x:c r="DB61" s="978" t="n">
        <x:v>300</x:v>
      </x:c>
      <x:c r="DC61" s="978" t="n">
        <x:v>400</x:v>
      </x:c>
      <x:c r="DD61" s="978"/>
      <x:c r="DE61" s="978"/>
      <x:c r="DF61" s="978"/>
      <x:c r="DG61" s="978"/>
      <x:c r="DH61" s="978"/>
      <x:c r="DI61" s="978"/>
      <x:c r="DJ61" s="980" t="n">
        <x:f>'S08_Defaults'!$B$37</x:f>
        <x:v>0.09</x:v>
      </x:c>
      <x:c r="DK61" s="979" t="n">
        <x:f>SUM(U61,AF61,AQ61,BB61,BM61,BX61,CI61,CT61)</x:f>
        <x:v>130.11152416356876</x:v>
      </x:c>
      <x:c r="DL61" s="979" t="n">
        <x:f>G61*DJ61</x:f>
        <x:v>130.1112</x:v>
      </x:c>
      <x:c r="DM61" s="979" t="n">
        <x:f>DK61-DL61</x:f>
        <x:v>0.0003241635687629696</x:v>
      </x:c>
      <x:c r="DN61" s="977" t="str">
        <x:f>IF(ABS(DM61)&lt;=MAX(0.5,0.05*ABS(DL61)),"OK","REVIEW")</x:f>
        <x:v>OK</x:v>
      </x:c>
    </x:row>
    <x:row r="62" ht="15" hidden="0" customHeight="1">
      <x:c r="A62" s="138" t="s">
        <x:v>684</x:v>
      </x:c>
      <x:c r="B62" s="138" t="str">
        <x:v>Tropical &amp; Subtropical Dry Broadleaf Forests</x:v>
      </x:c>
      <x:c r="C62" s="138" t="s">
        <x:v>113</x:v>
      </x:c>
      <x:c r="D62" s="138" t="s">
        <x:v>553</x:v>
      </x:c>
      <x:c r="E62" s="138" t="n">
        <x:v>2020</x:v>
      </x:c>
      <x:c r="F62" s="138" t="n">
        <x:v>0.2837</x:v>
      </x:c>
      <x:c r="G62" s="138" t="n">
        <x:v>1409.94</x:v>
      </x:c>
      <x:c r="H62" s="138" t="s">
        <x:v>959</x:v>
      </x:c>
      <x:c r="I62" s="138" t="s">
        <x:v>673</x:v>
      </x:c>
      <x:c r="J62" s="139" t="n">
        <x:f aca="0">IF($E62="Unconfirmed","",IFERROR(SUMIF(S15_Source_Strata!$B$4:$B$49,$I62,S15_Source_Strata!$H$4:$H$49),""))</x:f>
        <x:v>215.91385512083826</x:v>
      </x:c>
      <x:c r="K62" s="139" t="n">
        <x:f aca="0">IF($E62="Unconfirmed","",IFERROR(SUMIF(S15_Source_Strata!$B$4:$B$49,$I62,S15_Source_Strata!$I$4:$I$49),""))</x:f>
        <x:v>180.66754848026147</x:v>
      </x:c>
      <x:c r="L62" s="139" t="n">
        <x:f aca="0">IF($E62="Unconfirmed","",IFERROR(SUMIF(S15_Source_Strata!$B$4:$B$49,$I62,S15_Source_Strata!$J$4:$J$49),""))</x:f>
        <x:v>0.8367575502699868</x:v>
      </x:c>
      <x:c r="M62" s="139" t="n">
        <x:f aca="0">IF($E62="Unconfirmed","",IFERROR(SUMIF(S15_Source_Strata!$B$4:$B$49,$I62,S15_Source_Strata!$N$4:$N$49),""))</x:f>
        <x:v>161.9353913406287</x:v>
      </x:c>
      <x:c r="N62" s="139" t="n">
        <x:f aca="0">IF($E62="Unconfirmed","",IFERROR(SUMIF(S15_Source_Strata!$B$4:$B$49,$I62,S15_Source_Strata!$O$4:$O$49),""))</x:f>
        <x:v>0.7500000000000001</x:v>
      </x:c>
      <x:c r="O62" s="139" t="n">
        <x:f aca="0">IF($E62="Unconfirmed","",IFERROR(SUMIF(S15_Source_Strata!$B$4:$B$49,$I62,S15_Source_Strata!$X$4:$X$49),""))</x:f>
        <x:v>346.0451356021678</x:v>
      </x:c>
      <x:c r="P62" s="139" t="n">
        <x:f aca="0">IF($E62="Unconfirmed","",IFERROR(SUMIF(S15_Source_Strata!$B$4:$B$49,$I62,S15_Source_Strata!$AL$4:$AL$49),""))</x:f>
        <x:v>2052.665482410992</x:v>
      </x:c>
      <x:c r="Q62" s="139" t="str">
        <x:f aca="0">IF($E62="Unconfirmed","",IFERROR(SUMIF(S15_Source_Strata!$B$4:$B$49,$I62,S15_Source_Strata!$K$4:$K$49)&amp;"/"&amp;SUMIF(S15_Source_Strata!$B$4:$B$49,$I62,S15_Source_Strata!$L$4:$L$49),""))</x:f>
        <x:v>10/13</x:v>
      </x:c>
      <x:c r="R62" s="138" t="s">
        <x:v>660</x:v>
      </x:c>
      <x:c r="S62" s="138" t="s">
        <x:v>875</x:v>
      </x:c>
      <x:c r="T62" s="138" t="s">
        <x:v>841</x:v>
      </x:c>
      <x:c r="U62" s="138" t="n">
        <x:f>IFERROR(DB62*$DJ62/$F62,0)</x:f>
        <x:v>126.89460697920337</x:v>
      </x:c>
      <x:c r="V62" s="138" t="n">
        <x:v>0.58</x:v>
      </x:c>
      <x:c r="W62" s="138" t="n">
        <x:v>55</x:v>
      </x:c>
      <x:c r="X62" s="138" t="n">
        <x:v>0.16</x:v>
      </x:c>
      <x:c r="Y62" s="138" t="n">
        <x:v>1.3</x:v>
      </x:c>
      <x:c r="Z62" s="138" t="n">
        <x:v>25</x:v>
      </x:c>
      <x:c r="AA62" s="138" t="n">
        <x:v>0.2</x:v>
      </x:c>
      <x:c r="AB62" s="138" t="n">
        <x:v>1.2</x:v>
      </x:c>
      <x:c r="AC62" s="138"/>
      <x:c r="AD62" s="138"/>
      <x:c r="AE62" s="138"/>
      <x:c r="AF62" s="138" t="n">
        <x:f>IFERROR(DC62*$DJ62/$F62,0)</x:f>
        <x:v>0</x:v>
      </x:c>
      <x:c r="AG62" s="138"/>
      <x:c r="AH62" s="138"/>
      <x:c r="AI62" s="138"/>
      <x:c r="AJ62" s="138"/>
      <x:c r="AK62" s="138"/>
      <x:c r="AL62" s="138"/>
      <x:c r="AM62" s="138"/>
      <x:c r="AN62" s="138"/>
      <x:c r="AO62" s="138"/>
      <x:c r="AP62" s="138"/>
      <x:c r="AQ62" s="138" t="n">
        <x:f>IFERROR(DD62*$DJ62/$F62,0)</x:f>
        <x:v>0</x:v>
      </x:c>
      <x:c r="AR62" s="138"/>
      <x:c r="AS62" s="138"/>
      <x:c r="AT62" s="138"/>
      <x:c r="AU62" s="138"/>
      <x:c r="AV62" s="138"/>
      <x:c r="AW62" s="138"/>
      <x:c r="AX62" s="138"/>
      <x:c r="AY62" s="138"/>
      <x:c r="AZ62" s="138"/>
      <x:c r="BA62" s="138"/>
      <x:c r="BB62" s="138" t="n">
        <x:f>IFERROR(DE62*$DJ62/$F62,0)</x:f>
        <x:v>0</x:v>
      </x:c>
      <x:c r="BC62" s="138"/>
      <x:c r="BD62" s="138"/>
      <x:c r="BE62" s="138"/>
      <x:c r="BF62" s="138"/>
      <x:c r="BG62" s="138"/>
      <x:c r="BH62" s="138"/>
      <x:c r="BI62" s="138"/>
      <x:c r="BJ62" s="138"/>
      <x:c r="BK62" s="138"/>
      <x:c r="BL62" s="138"/>
      <x:c r="BM62" s="138" t="n">
        <x:f>IFERROR(DF62*$DJ62/$F62,0)</x:f>
        <x:v>0</x:v>
      </x:c>
      <x:c r="BN62" s="138"/>
      <x:c r="BO62" s="138"/>
      <x:c r="BP62" s="138"/>
      <x:c r="BQ62" s="138"/>
      <x:c r="BR62" s="138"/>
      <x:c r="BS62" s="138"/>
      <x:c r="BT62" s="138"/>
      <x:c r="BU62" s="138"/>
      <x:c r="BV62" s="138"/>
      <x:c r="BW62" s="138"/>
      <x:c r="BX62" s="138" t="n">
        <x:f>IFERROR(DG62*$DJ62/$F62,0)</x:f>
        <x:v>0</x:v>
      </x:c>
      <x:c r="BY62" s="138"/>
      <x:c r="BZ62" s="138"/>
      <x:c r="CA62" s="138"/>
      <x:c r="CB62" s="138"/>
      <x:c r="CC62" s="138"/>
      <x:c r="CD62" s="138"/>
      <x:c r="CE62" s="138"/>
      <x:c r="CF62" s="138"/>
      <x:c r="CG62" s="138"/>
      <x:c r="CH62" s="138"/>
      <x:c r="CI62" s="138" t="n">
        <x:f>IFERROR(DH62*$DJ62/$F62,0)</x:f>
        <x:v>0</x:v>
      </x:c>
      <x:c r="CJ62" s="138"/>
      <x:c r="CK62" s="138"/>
      <x:c r="CL62" s="138"/>
      <x:c r="CM62" s="138"/>
      <x:c r="CN62" s="138"/>
      <x:c r="CO62" s="138"/>
      <x:c r="CP62" s="138"/>
      <x:c r="CQ62" s="138"/>
      <x:c r="CR62" s="138"/>
      <x:c r="CS62" s="138"/>
      <x:c r="CT62" s="138" t="n">
        <x:f>IFERROR(DI62*$DJ62/$F62,0)</x:f>
        <x:v>0</x:v>
      </x:c>
      <x:c r="CU62" s="138"/>
      <x:c r="CV62" s="138"/>
      <x:c r="CW62" s="138"/>
      <x:c r="CX62" s="138"/>
      <x:c r="CY62" s="138"/>
      <x:c r="CZ62" s="138"/>
      <x:c r="DA62" s="138"/>
      <x:c r="DB62" s="978" t="n">
        <x:v>400</x:v>
      </x:c>
      <x:c r="DC62" s="978"/>
      <x:c r="DD62" s="978"/>
      <x:c r="DE62" s="978"/>
      <x:c r="DF62" s="978"/>
      <x:c r="DG62" s="978"/>
      <x:c r="DH62" s="978"/>
      <x:c r="DI62" s="978"/>
      <x:c r="DJ62" s="980" t="n">
        <x:f>'S08_Defaults'!$B$37</x:f>
        <x:v>0.09</x:v>
      </x:c>
      <x:c r="DK62" s="979" t="n">
        <x:f>SUM(U62,AF62,AQ62,BB62,BM62,BX62,CI62,CT62)</x:f>
        <x:v>126.89460697920337</x:v>
      </x:c>
      <x:c r="DL62" s="979" t="n">
        <x:f>G62*DJ62</x:f>
        <x:v>126.8946</x:v>
      </x:c>
      <x:c r="DM62" s="979" t="n">
        <x:f>DK62-DL62</x:f>
        <x:v>0.000006979203376999976</x:v>
      </x:c>
      <x:c r="DN62" s="977" t="str">
        <x:f>IF(ABS(DM62)&lt;=MAX(0.5,0.05*ABS(DL62)),"OK","REVIEW")</x:f>
        <x:v>OK</x:v>
      </x:c>
    </x:row>
    <x:row r="63" ht="15" hidden="0" customHeight="1">
      <x:c r="A63" s="138" t="s">
        <x:v>685</x:v>
      </x:c>
      <x:c r="B63" s="138" t="str">
        <x:v>Tropical &amp; Subtropical Moist Broadleaf Forests</x:v>
      </x:c>
      <x:c r="C63" s="138" t="s">
        <x:v>113</x:v>
      </x:c>
      <x:c r="D63" s="138" t="s">
        <x:v>549</x:v>
      </x:c>
      <x:c r="E63" s="138" t="n">
        <x:v>2021</x:v>
      </x:c>
      <x:c r="F63" s="138" t="n">
        <x:v>0.5126</x:v>
      </x:c>
      <x:c r="G63" s="138" t="n">
        <x:v>234.1</x:v>
      </x:c>
      <x:c r="H63" s="138" t="s">
        <x:v>960</x:v>
      </x:c>
      <x:c r="I63" s="138" t="s">
        <x:v>687</x:v>
      </x:c>
      <x:c r="J63" s="139" t="n">
        <x:f aca="0">IF($E63="Unconfirmed","",IFERROR(SUMIF(S15_Source_Strata!$B$4:$B$49,$I63,S15_Source_Strata!$H$4:$H$49),""))</x:f>
        <x:v>25.064389472533758</x:v>
      </x:c>
      <x:c r="K63" s="139" t="n">
        <x:f aca="0">IF($E63="Unconfirmed","",IFERROR(SUMIF(S15_Source_Strata!$B$4:$B$49,$I63,S15_Source_Strata!$I$4:$I$49),""))</x:f>
        <x:v>23.585996062171414</x:v>
      </x:c>
      <x:c r="L63" s="139" t="n">
        <x:f aca="0">IF($E63="Unconfirmed","",IFERROR(SUMIF(S15_Source_Strata!$B$4:$B$49,$I63,S15_Source_Strata!$J$4:$J$49),""))</x:f>
        <x:v>0.9410161810650761</x:v>
      </x:c>
      <x:c r="M63" s="139" t="n">
        <x:f aca="0">IF($E63="Unconfirmed","",IFERROR(SUMIF(S15_Source_Strata!$B$4:$B$49,$I63,S15_Source_Strata!$N$4:$N$49),""))</x:f>
        <x:v>18.798292104400318</x:v>
      </x:c>
      <x:c r="N63" s="139" t="n">
        <x:f aca="0">IF($E63="Unconfirmed","",IFERROR(SUMIF(S15_Source_Strata!$B$4:$B$49,$I63,S15_Source_Strata!$O$4:$O$49),""))</x:f>
        <x:v>0.75</x:v>
      </x:c>
      <x:c r="O63" s="139" t="n">
        <x:f aca="0">IF($E63="Unconfirmed","",IFERROR(SUMIF(S15_Source_Strata!$B$4:$B$49,$I63,S15_Source_Strata!$X$4:$X$49),""))</x:f>
        <x:v>40.17069700762988</x:v>
      </x:c>
      <x:c r="P63" s="139" t="n">
        <x:f aca="0">IF($E63="Unconfirmed","",IFERROR(SUMIF(S15_Source_Strata!$B$4:$B$49,$I63,S15_Source_Strata!$AL$4:$AL$49),""))</x:f>
        <x:v>456.21173326317256</x:v>
      </x:c>
      <x:c r="Q63" s="139" t="str">
        <x:f aca="0">IF($E63="Unconfirmed","",IFERROR(SUMIF(S15_Source_Strata!$B$4:$B$49,$I63,S15_Source_Strata!$K$4:$K$49)&amp;"/"&amp;SUMIF(S15_Source_Strata!$B$4:$B$49,$I63,S15_Source_Strata!$L$4:$L$49),""))</x:f>
        <x:v>1/6</x:v>
      </x:c>
      <x:c r="R63" s="138" t="s">
        <x:v>670</x:v>
      </x:c>
      <x:c r="S63" s="138" t="s">
        <x:v>877</x:v>
      </x:c>
      <x:c r="T63" s="138" t="s">
        <x:v>841</x:v>
      </x:c>
      <x:c r="U63" s="138" t="n">
        <x:f>IFERROR(DB63*$DJ63/$F63,0)</x:f>
        <x:v>17.55754974639095</x:v>
      </x:c>
      <x:c r="V63" s="138" t="n">
        <x:v>0.55</x:v>
      </x:c>
      <x:c r="W63" s="138" t="n">
        <x:v>50</x:v>
      </x:c>
      <x:c r="X63" s="138" t="n">
        <x:v>0.12</x:v>
      </x:c>
      <x:c r="Y63" s="138" t="n">
        <x:v>1.4</x:v>
      </x:c>
      <x:c r="Z63" s="138" t="n">
        <x:v>25</x:v>
      </x:c>
      <x:c r="AA63" s="138" t="n">
        <x:v>0.15</x:v>
      </x:c>
      <x:c r="AB63" s="138" t="n">
        <x:v>1.3</x:v>
      </x:c>
      <x:c r="AC63" s="138" t="s">
        <x:v>900</x:v>
      </x:c>
      <x:c r="AD63" s="138" t="s">
        <x:v>901</x:v>
      </x:c>
      <x:c r="AE63" s="138" t="s">
        <x:v>841</x:v>
      </x:c>
      <x:c r="AF63" s="138" t="n">
        <x:f>IFERROR(DC63*$DJ63/$F63,0)</x:f>
        <x:v>3.5115099492781896</x:v>
      </x:c>
      <x:c r="AG63" s="138" t="n">
        <x:v>0.65</x:v>
      </x:c>
      <x:c r="AH63" s="138" t="n">
        <x:v>45</x:v>
      </x:c>
      <x:c r="AI63" s="138" t="n">
        <x:v>0.13</x:v>
      </x:c>
      <x:c r="AJ63" s="138" t="n">
        <x:v>1.4</x:v>
      </x:c>
      <x:c r="AK63" s="138" t="n">
        <x:v>20</x:v>
      </x:c>
      <x:c r="AL63" s="138" t="n">
        <x:v>0.17</x:v>
      </x:c>
      <x:c r="AM63" s="138" t="n">
        <x:v>1.3</x:v>
      </x:c>
      <x:c r="AN63" s="138"/>
      <x:c r="AO63" s="138"/>
      <x:c r="AP63" s="138"/>
      <x:c r="AQ63" s="138" t="n">
        <x:f>IFERROR(DD63*$DJ63/$F63,0)</x:f>
        <x:v>0</x:v>
      </x:c>
      <x:c r="AR63" s="138"/>
      <x:c r="AS63" s="138"/>
      <x:c r="AT63" s="138"/>
      <x:c r="AU63" s="138"/>
      <x:c r="AV63" s="138"/>
      <x:c r="AW63" s="138"/>
      <x:c r="AX63" s="138"/>
      <x:c r="AY63" s="138"/>
      <x:c r="AZ63" s="138"/>
      <x:c r="BA63" s="138"/>
      <x:c r="BB63" s="138" t="n">
        <x:f>IFERROR(DE63*$DJ63/$F63,0)</x:f>
        <x:v>0</x:v>
      </x:c>
      <x:c r="BC63" s="138"/>
      <x:c r="BD63" s="138"/>
      <x:c r="BE63" s="138"/>
      <x:c r="BF63" s="138"/>
      <x:c r="BG63" s="138"/>
      <x:c r="BH63" s="138"/>
      <x:c r="BI63" s="138"/>
      <x:c r="BJ63" s="138"/>
      <x:c r="BK63" s="138"/>
      <x:c r="BL63" s="138"/>
      <x:c r="BM63" s="138" t="n">
        <x:f>IFERROR(DF63*$DJ63/$F63,0)</x:f>
        <x:v>0</x:v>
      </x:c>
      <x:c r="BN63" s="138"/>
      <x:c r="BO63" s="138"/>
      <x:c r="BP63" s="138"/>
      <x:c r="BQ63" s="138"/>
      <x:c r="BR63" s="138"/>
      <x:c r="BS63" s="138"/>
      <x:c r="BT63" s="138"/>
      <x:c r="BU63" s="138"/>
      <x:c r="BV63" s="138"/>
      <x:c r="BW63" s="138"/>
      <x:c r="BX63" s="138" t="n">
        <x:f>IFERROR(DG63*$DJ63/$F63,0)</x:f>
        <x:v>0</x:v>
      </x:c>
      <x:c r="BY63" s="138"/>
      <x:c r="BZ63" s="138"/>
      <x:c r="CA63" s="138"/>
      <x:c r="CB63" s="138"/>
      <x:c r="CC63" s="138"/>
      <x:c r="CD63" s="138"/>
      <x:c r="CE63" s="138"/>
      <x:c r="CF63" s="138"/>
      <x:c r="CG63" s="138"/>
      <x:c r="CH63" s="138"/>
      <x:c r="CI63" s="138" t="n">
        <x:f>IFERROR(DH63*$DJ63/$F63,0)</x:f>
        <x:v>0</x:v>
      </x:c>
      <x:c r="CJ63" s="138"/>
      <x:c r="CK63" s="138"/>
      <x:c r="CL63" s="138"/>
      <x:c r="CM63" s="138"/>
      <x:c r="CN63" s="138"/>
      <x:c r="CO63" s="138"/>
      <x:c r="CP63" s="138"/>
      <x:c r="CQ63" s="138"/>
      <x:c r="CR63" s="138"/>
      <x:c r="CS63" s="138"/>
      <x:c r="CT63" s="138" t="n">
        <x:f>IFERROR(DI63*$DJ63/$F63,0)</x:f>
        <x:v>0</x:v>
      </x:c>
      <x:c r="CU63" s="138"/>
      <x:c r="CV63" s="138"/>
      <x:c r="CW63" s="138"/>
      <x:c r="CX63" s="138"/>
      <x:c r="CY63" s="138"/>
      <x:c r="CZ63" s="138"/>
      <x:c r="DA63" s="138"/>
      <x:c r="DB63" s="978" t="n">
        <x:v>100</x:v>
      </x:c>
      <x:c r="DC63" s="978" t="n">
        <x:v>20</x:v>
      </x:c>
      <x:c r="DD63" s="978"/>
      <x:c r="DE63" s="978"/>
      <x:c r="DF63" s="978"/>
      <x:c r="DG63" s="978"/>
      <x:c r="DH63" s="978"/>
      <x:c r="DI63" s="978"/>
      <x:c r="DJ63" s="980" t="n">
        <x:f>'S08_Defaults'!$B$37</x:f>
        <x:v>0.09</x:v>
      </x:c>
      <x:c r="DK63" s="979" t="n">
        <x:f>SUM(U63,AF63,AQ63,BB63,BM63,BX63,CI63,CT63)</x:f>
        <x:v>21.06905969566914</x:v>
      </x:c>
      <x:c r="DL63" s="979" t="n">
        <x:f>G63*DJ63</x:f>
        <x:v>21.069</x:v>
      </x:c>
      <x:c r="DM63" s="979" t="n">
        <x:f>DK63-DL63</x:f>
        <x:v>0.00005969566914032498</x:v>
      </x:c>
      <x:c r="DN63" s="977" t="str">
        <x:f>IF(ABS(DM63)&lt;=MAX(0.5,0.05*ABS(DL63)),"OK","REVIEW")</x:f>
        <x:v>OK</x:v>
      </x:c>
    </x:row>
    <x:row r="64" ht="15" hidden="0" customHeight="1">
      <x:c r="A64" s="138" t="s">
        <x:v>688</x:v>
      </x:c>
      <x:c r="B64" s="138" t="str">
        <x:v>Tropical &amp; Subtropical Dry Broadleaf Forests</x:v>
      </x:c>
      <x:c r="C64" s="138" t="s">
        <x:v>113</x:v>
      </x:c>
      <x:c r="D64" s="138" t="s">
        <x:v>553</x:v>
      </x:c>
      <x:c r="E64" s="138" t="n">
        <x:v>2021</x:v>
      </x:c>
      <x:c r="F64" s="138" t="n">
        <x:v>0.4698</x:v>
      </x:c>
      <x:c r="G64" s="138" t="n">
        <x:v>1596.42</x:v>
      </x:c>
      <x:c r="H64" s="138" t="s">
        <x:v>961</x:v>
      </x:c>
      <x:c r="I64" s="138" t="s">
        <x:v>690</x:v>
      </x:c>
      <x:c r="J64" s="139" t="n">
        <x:f aca="0">IF($E64="Unconfirmed","",IFERROR(SUMIF(S15_Source_Strata!$B$4:$B$49,$I64,S15_Source_Strata!$H$4:$H$49),""))</x:f>
        <x:v>181.69138743198195</x:v>
      </x:c>
      <x:c r="K64" s="139" t="n">
        <x:f aca="0">IF($E64="Unconfirmed","",IFERROR(SUMIF(S15_Source_Strata!$B$4:$B$49,$I64,S15_Source_Strata!$I$4:$I$49),""))</x:f>
        <x:v>135.92638306000833</x:v>
      </x:c>
      <x:c r="L64" s="139" t="n">
        <x:f aca="0">IF($E64="Unconfirmed","",IFERROR(SUMIF(S15_Source_Strata!$B$4:$B$49,$I64,S15_Source_Strata!$J$4:$J$49),""))</x:f>
        <x:v>0.7481168204018134</x:v>
      </x:c>
      <x:c r="M64" s="139" t="n">
        <x:f aca="0">IF($E64="Unconfirmed","",IFERROR(SUMIF(S15_Source_Strata!$B$4:$B$49,$I64,S15_Source_Strata!$N$4:$N$49),""))</x:f>
        <x:v>136.26854057398646</x:v>
      </x:c>
      <x:c r="N64" s="139" t="n">
        <x:f aca="0">IF($E64="Unconfirmed","",IFERROR(SUMIF(S15_Source_Strata!$B$4:$B$49,$I64,S15_Source_Strata!$O$4:$O$49),""))</x:f>
        <x:v>0.75</x:v>
      </x:c>
      <x:c r="O64" s="139" t="n">
        <x:f aca="0">IF($E64="Unconfirmed","",IFERROR(SUMIF(S15_Source_Strata!$B$4:$B$49,$I64,S15_Source_Strata!$X$4:$X$49),""))</x:f>
        <x:v>291.19678663723766</x:v>
      </x:c>
      <x:c r="P64" s="139" t="n">
        <x:f aca="0">IF($E64="Unconfirmed","",IFERROR(SUMIF(S15_Source_Strata!$B$4:$B$49,$I64,S15_Source_Strata!$AL$4:$AL$49),""))</x:f>
        <x:v>2322.3214964356107</x:v>
      </x:c>
      <x:c r="Q64" s="139" t="str">
        <x:f aca="0">IF($E64="Unconfirmed","",IFERROR(SUMIF(S15_Source_Strata!$B$4:$B$49,$I64,S15_Source_Strata!$K$4:$K$49)&amp;"/"&amp;SUMIF(S15_Source_Strata!$B$4:$B$49,$I64,S15_Source_Strata!$L$4:$L$49),""))</x:f>
        <x:v>1/13</x:v>
      </x:c>
      <x:c r="R64" s="138" t="s">
        <x:v>660</x:v>
      </x:c>
      <x:c r="S64" s="138" t="s">
        <x:v>875</x:v>
      </x:c>
      <x:c r="T64" s="138" t="s">
        <x:v>841</x:v>
      </x:c>
      <x:c r="U64" s="138" t="n">
        <x:f>IFERROR(DB64*$DJ64/$F64,0)</x:f>
        <x:v>134.09961685823754</x:v>
      </x:c>
      <x:c r="V64" s="138" t="n">
        <x:v>0.58</x:v>
      </x:c>
      <x:c r="W64" s="138" t="n">
        <x:v>55</x:v>
      </x:c>
      <x:c r="X64" s="138" t="n">
        <x:v>0.16</x:v>
      </x:c>
      <x:c r="Y64" s="138" t="n">
        <x:v>1.3</x:v>
      </x:c>
      <x:c r="Z64" s="138" t="n">
        <x:v>25</x:v>
      </x:c>
      <x:c r="AA64" s="138" t="n">
        <x:v>0.2</x:v>
      </x:c>
      <x:c r="AB64" s="138" t="n">
        <x:v>1.2</x:v>
      </x:c>
      <x:c r="AC64" s="138" t="s">
        <x:v>888</x:v>
      </x:c>
      <x:c r="AD64" s="138" t="s">
        <x:v>888</x:v>
      </x:c>
      <x:c r="AE64" s="138" t="s">
        <x:v>880</x:v>
      </x:c>
      <x:c r="AF64" s="138" t="n">
        <x:f>IFERROR(DC64*$DJ64/$F64,0)</x:f>
        <x:v>9.578544061302683</x:v>
      </x:c>
      <x:c r="AG64" s="138"/>
      <x:c r="AH64" s="138"/>
      <x:c r="AI64" s="138"/>
      <x:c r="AJ64" s="138"/>
      <x:c r="AK64" s="138"/>
      <x:c r="AL64" s="138"/>
      <x:c r="AM64" s="138"/>
      <x:c r="AN64" s="138"/>
      <x:c r="AO64" s="138"/>
      <x:c r="AP64" s="138"/>
      <x:c r="AQ64" s="138" t="n">
        <x:f>IFERROR(DD64*$DJ64/$F64,0)</x:f>
        <x:v>0</x:v>
      </x:c>
      <x:c r="AR64" s="138"/>
      <x:c r="AS64" s="138"/>
      <x:c r="AT64" s="138"/>
      <x:c r="AU64" s="138"/>
      <x:c r="AV64" s="138"/>
      <x:c r="AW64" s="138"/>
      <x:c r="AX64" s="138"/>
      <x:c r="AY64" s="138"/>
      <x:c r="AZ64" s="138"/>
      <x:c r="BA64" s="138"/>
      <x:c r="BB64" s="138" t="n">
        <x:f>IFERROR(DE64*$DJ64/$F64,0)</x:f>
        <x:v>0</x:v>
      </x:c>
      <x:c r="BC64" s="138"/>
      <x:c r="BD64" s="138"/>
      <x:c r="BE64" s="138"/>
      <x:c r="BF64" s="138"/>
      <x:c r="BG64" s="138"/>
      <x:c r="BH64" s="138"/>
      <x:c r="BI64" s="138"/>
      <x:c r="BJ64" s="138"/>
      <x:c r="BK64" s="138"/>
      <x:c r="BL64" s="138"/>
      <x:c r="BM64" s="138" t="n">
        <x:f>IFERROR(DF64*$DJ64/$F64,0)</x:f>
        <x:v>0</x:v>
      </x:c>
      <x:c r="BN64" s="138"/>
      <x:c r="BO64" s="138"/>
      <x:c r="BP64" s="138"/>
      <x:c r="BQ64" s="138"/>
      <x:c r="BR64" s="138"/>
      <x:c r="BS64" s="138"/>
      <x:c r="BT64" s="138"/>
      <x:c r="BU64" s="138"/>
      <x:c r="BV64" s="138"/>
      <x:c r="BW64" s="138"/>
      <x:c r="BX64" s="138" t="n">
        <x:f>IFERROR(DG64*$DJ64/$F64,0)</x:f>
        <x:v>0</x:v>
      </x:c>
      <x:c r="BY64" s="138"/>
      <x:c r="BZ64" s="138"/>
      <x:c r="CA64" s="138"/>
      <x:c r="CB64" s="138"/>
      <x:c r="CC64" s="138"/>
      <x:c r="CD64" s="138"/>
      <x:c r="CE64" s="138"/>
      <x:c r="CF64" s="138"/>
      <x:c r="CG64" s="138"/>
      <x:c r="CH64" s="138"/>
      <x:c r="CI64" s="138" t="n">
        <x:f>IFERROR(DH64*$DJ64/$F64,0)</x:f>
        <x:v>0</x:v>
      </x:c>
      <x:c r="CJ64" s="138"/>
      <x:c r="CK64" s="138"/>
      <x:c r="CL64" s="138"/>
      <x:c r="CM64" s="138"/>
      <x:c r="CN64" s="138"/>
      <x:c r="CO64" s="138"/>
      <x:c r="CP64" s="138"/>
      <x:c r="CQ64" s="138"/>
      <x:c r="CR64" s="138"/>
      <x:c r="CS64" s="138"/>
      <x:c r="CT64" s="138" t="n">
        <x:f>IFERROR(DI64*$DJ64/$F64,0)</x:f>
        <x:v>0</x:v>
      </x:c>
      <x:c r="CU64" s="138"/>
      <x:c r="CV64" s="138"/>
      <x:c r="CW64" s="138"/>
      <x:c r="CX64" s="138"/>
      <x:c r="CY64" s="138"/>
      <x:c r="CZ64" s="138"/>
      <x:c r="DA64" s="138"/>
      <x:c r="DB64" s="978" t="n">
        <x:v>700</x:v>
      </x:c>
      <x:c r="DC64" s="978" t="n">
        <x:v>50</x:v>
      </x:c>
      <x:c r="DD64" s="978"/>
      <x:c r="DE64" s="978"/>
      <x:c r="DF64" s="978"/>
      <x:c r="DG64" s="978"/>
      <x:c r="DH64" s="978"/>
      <x:c r="DI64" s="978"/>
      <x:c r="DJ64" s="980" t="n">
        <x:f>'S08_Defaults'!$B$37</x:f>
        <x:v>0.09</x:v>
      </x:c>
      <x:c r="DK64" s="979" t="n">
        <x:f>SUM(U64,AF64,AQ64,BB64,BM64,BX64,CI64,CT64)</x:f>
        <x:v>143.67816091954023</x:v>
      </x:c>
      <x:c r="DL64" s="979" t="n">
        <x:f>G64*DJ64</x:f>
        <x:v>143.6778</x:v>
      </x:c>
      <x:c r="DM64" s="979" t="n">
        <x:f>DK64-DL64</x:f>
        <x:v>0.00036091954024186634</x:v>
      </x:c>
      <x:c r="DN64" s="977" t="str">
        <x:f>IF(ABS(DM64)&lt;=MAX(0.5,0.05*ABS(DL64)),"OK","REVIEW")</x:f>
        <x:v>OK</x:v>
      </x:c>
    </x:row>
    <x:row r="65" ht="15" hidden="0" customHeight="1">
      <x:c r="A65" s="138" t="s">
        <x:v>691</x:v>
      </x:c>
      <x:c r="B65" s="138" t="str">
        <x:v>Tropical &amp; Subtropical Moist Broadleaf Forests</x:v>
      </x:c>
      <x:c r="C65" s="138" t="s">
        <x:v>113</x:v>
      </x:c>
      <x:c r="D65" s="138" t="s">
        <x:v>549</x:v>
      </x:c>
      <x:c r="E65" s="138" t="n">
        <x:v>2022</x:v>
      </x:c>
      <x:c r="F65" s="138" t="n">
        <x:v>0.4222</x:v>
      </x:c>
      <x:c r="G65" s="138" t="n">
        <x:v>454.76</x:v>
      </x:c>
      <x:c r="H65" s="138" t="s">
        <x:v>962</x:v>
      </x:c>
      <x:c r="I65" s="138" t="s">
        <x:v>693</x:v>
      </x:c>
      <x:c r="J65" s="139" t="n">
        <x:f aca="0">IF($E65="Unconfirmed","",IFERROR(SUMIF(S15_Source_Strata!$B$4:$B$49,$I65,S15_Source_Strata!$H$4:$H$49),""))</x:f>
        <x:v>13.500132622284411</x:v>
      </x:c>
      <x:c r="K65" s="139" t="n">
        <x:f aca="0">IF($E65="Unconfirmed","",IFERROR(SUMIF(S15_Source_Strata!$B$4:$B$49,$I65,S15_Source_Strata!$I$4:$I$49),""))</x:f>
        <x:v>13.517879909009919</x:v>
      </x:c>
      <x:c r="L65" s="139" t="n">
        <x:f aca="0">IF($E65="Unconfirmed","",IFERROR(SUMIF(S15_Source_Strata!$B$4:$B$49,$I65,S15_Source_Strata!$J$4:$J$49),""))</x:f>
        <x:v>1.0013146009170466</x:v>
      </x:c>
      <x:c r="M65" s="139" t="n">
        <x:f aca="0">IF($E65="Unconfirmed","",IFERROR(SUMIF(S15_Source_Strata!$B$4:$B$49,$I65,S15_Source_Strata!$N$4:$N$49),""))</x:f>
        <x:v>10.125099466713309</x:v>
      </x:c>
      <x:c r="N65" s="139" t="n">
        <x:f aca="0">IF($E65="Unconfirmed","",IFERROR(SUMIF(S15_Source_Strata!$B$4:$B$49,$I65,S15_Source_Strata!$O$4:$O$49),""))</x:f>
        <x:v>0.75</x:v>
      </x:c>
      <x:c r="O65" s="139" t="n">
        <x:f aca="0">IF($E65="Unconfirmed","",IFERROR(SUMIF(S15_Source_Strata!$B$4:$B$49,$I65,S15_Source_Strata!$X$4:$X$49),""))</x:f>
        <x:v>21.636662553735242</x:v>
      </x:c>
      <x:c r="P65" s="139" t="n">
        <x:f aca="0">IF($E65="Unconfirmed","",IFERROR(SUMIF(S15_Source_Strata!$B$4:$B$49,$I65,S15_Source_Strata!$AL$4:$AL$49),""))</x:f>
        <x:v>434.6215869347765</x:v>
      </x:c>
      <x:c r="Q65" s="139" t="str">
        <x:f aca="0">IF($E65="Unconfirmed","",IFERROR(SUMIF(S15_Source_Strata!$B$4:$B$49,$I65,S15_Source_Strata!$K$4:$K$49)&amp;"/"&amp;SUMIF(S15_Source_Strata!$B$4:$B$49,$I65,S15_Source_Strata!$L$4:$L$49),""))</x:f>
        <x:v>1/6</x:v>
      </x:c>
      <x:c r="R65" s="138" t="s">
        <x:v>656</x:v>
      </x:c>
      <x:c r="S65" s="138" t="s">
        <x:v>903</x:v>
      </x:c>
      <x:c r="T65" s="138" t="s">
        <x:v>841</x:v>
      </x:c>
      <x:c r="U65" s="138" t="n">
        <x:f>IFERROR(DB65*$DJ65/$F65,0)</x:f>
        <x:v>5.542396968261487</x:v>
      </x:c>
      <x:c r="V65" s="138" t="n">
        <x:v>0.75</x:v>
      </x:c>
      <x:c r="W65" s="138" t="n">
        <x:v>25</x:v>
      </x:c>
      <x:c r="X65" s="138" t="n">
        <x:v>0.1</x:v>
      </x:c>
      <x:c r="Y65" s="138" t="n">
        <x:v>1.5</x:v>
      </x:c>
      <x:c r="Z65" s="138" t="n">
        <x:v>12</x:v>
      </x:c>
      <x:c r="AA65" s="138" t="n">
        <x:v>0.14</x:v>
      </x:c>
      <x:c r="AB65" s="138" t="n">
        <x:v>1.4</x:v>
      </x:c>
      <x:c r="AC65" s="138" t="s">
        <x:v>668</x:v>
      </x:c>
      <x:c r="AD65" s="138" t="s">
        <x:v>903</x:v>
      </x:c>
      <x:c r="AE65" s="138" t="s">
        <x:v>945</x:v>
      </x:c>
      <x:c r="AF65" s="138" t="n">
        <x:f>IFERROR(DC65*$DJ65/$F65,0)</x:f>
        <x:v>24.727617243012787</x:v>
      </x:c>
      <x:c r="AG65" s="138" t="n">
        <x:v>0.75</x:v>
      </x:c>
      <x:c r="AH65" s="138" t="n">
        <x:v>25</x:v>
      </x:c>
      <x:c r="AI65" s="138" t="n">
        <x:v>0.1</x:v>
      </x:c>
      <x:c r="AJ65" s="138" t="n">
        <x:v>1.5</x:v>
      </x:c>
      <x:c r="AK65" s="138" t="n">
        <x:v>12</x:v>
      </x:c>
      <x:c r="AL65" s="138" t="n">
        <x:v>0.14</x:v>
      </x:c>
      <x:c r="AM65" s="138" t="n">
        <x:v>1.4</x:v>
      </x:c>
      <x:c r="AN65" s="138" t="s">
        <x:v>670</x:v>
      </x:c>
      <x:c r="AO65" s="138" t="s">
        <x:v>877</x:v>
      </x:c>
      <x:c r="AP65" s="138" t="s">
        <x:v>841</x:v>
      </x:c>
      <x:c r="AQ65" s="138" t="n">
        <x:f>IFERROR(DD65*$DJ65/$F65,0)</x:f>
        <x:v>10.658455708195168</x:v>
      </x:c>
      <x:c r="AR65" s="138" t="n">
        <x:v>0.55</x:v>
      </x:c>
      <x:c r="AS65" s="138" t="n">
        <x:v>50</x:v>
      </x:c>
      <x:c r="AT65" s="138" t="n">
        <x:v>0.12</x:v>
      </x:c>
      <x:c r="AU65" s="138" t="n">
        <x:v>1.4</x:v>
      </x:c>
      <x:c r="AV65" s="138" t="n">
        <x:v>25</x:v>
      </x:c>
      <x:c r="AW65" s="138" t="n">
        <x:v>0.15</x:v>
      </x:c>
      <x:c r="AX65" s="138" t="n">
        <x:v>1.3</x:v>
      </x:c>
      <x:c r="AY65" s="138"/>
      <x:c r="AZ65" s="138"/>
      <x:c r="BA65" s="138"/>
      <x:c r="BB65" s="138" t="n">
        <x:f>IFERROR(DE65*$DJ65/$F65,0)</x:f>
        <x:v>0</x:v>
      </x:c>
      <x:c r="BC65" s="138"/>
      <x:c r="BD65" s="138"/>
      <x:c r="BE65" s="138"/>
      <x:c r="BF65" s="138"/>
      <x:c r="BG65" s="138"/>
      <x:c r="BH65" s="138"/>
      <x:c r="BI65" s="138"/>
      <x:c r="BJ65" s="138"/>
      <x:c r="BK65" s="138"/>
      <x:c r="BL65" s="138"/>
      <x:c r="BM65" s="138" t="n">
        <x:f>IFERROR(DF65*$DJ65/$F65,0)</x:f>
        <x:v>0</x:v>
      </x:c>
      <x:c r="BN65" s="138"/>
      <x:c r="BO65" s="138"/>
      <x:c r="BP65" s="138"/>
      <x:c r="BQ65" s="138"/>
      <x:c r="BR65" s="138"/>
      <x:c r="BS65" s="138"/>
      <x:c r="BT65" s="138"/>
      <x:c r="BU65" s="138"/>
      <x:c r="BV65" s="138"/>
      <x:c r="BW65" s="138"/>
      <x:c r="BX65" s="138" t="n">
        <x:f>IFERROR(DG65*$DJ65/$F65,0)</x:f>
        <x:v>0</x:v>
      </x:c>
      <x:c r="BY65" s="138"/>
      <x:c r="BZ65" s="138"/>
      <x:c r="CA65" s="138"/>
      <x:c r="CB65" s="138"/>
      <x:c r="CC65" s="138"/>
      <x:c r="CD65" s="138"/>
      <x:c r="CE65" s="138"/>
      <x:c r="CF65" s="138"/>
      <x:c r="CG65" s="138"/>
      <x:c r="CH65" s="138"/>
      <x:c r="CI65" s="138" t="n">
        <x:f>IFERROR(DH65*$DJ65/$F65,0)</x:f>
        <x:v>0</x:v>
      </x:c>
      <x:c r="CJ65" s="138"/>
      <x:c r="CK65" s="138"/>
      <x:c r="CL65" s="138"/>
      <x:c r="CM65" s="138"/>
      <x:c r="CN65" s="138"/>
      <x:c r="CO65" s="138"/>
      <x:c r="CP65" s="138"/>
      <x:c r="CQ65" s="138"/>
      <x:c r="CR65" s="138"/>
      <x:c r="CS65" s="138"/>
      <x:c r="CT65" s="138" t="n">
        <x:f>IFERROR(DI65*$DJ65/$F65,0)</x:f>
        <x:v>0</x:v>
      </x:c>
      <x:c r="CU65" s="138"/>
      <x:c r="CV65" s="138"/>
      <x:c r="CW65" s="138"/>
      <x:c r="CX65" s="138"/>
      <x:c r="CY65" s="138"/>
      <x:c r="CZ65" s="138"/>
      <x:c r="DA65" s="138"/>
      <x:c r="DB65" s="978" t="n">
        <x:v>26</x:v>
      </x:c>
      <x:c r="DC65" s="978" t="n">
        <x:v>116</x:v>
      </x:c>
      <x:c r="DD65" s="978" t="n">
        <x:v>50</x:v>
      </x:c>
      <x:c r="DE65" s="978"/>
      <x:c r="DF65" s="978"/>
      <x:c r="DG65" s="978"/>
      <x:c r="DH65" s="978"/>
      <x:c r="DI65" s="978"/>
      <x:c r="DJ65" s="980" t="n">
        <x:f>'S08_Defaults'!$B$37</x:f>
        <x:v>0.09</x:v>
      </x:c>
      <x:c r="DK65" s="979" t="n">
        <x:f>SUM(U65,AF65,AQ65,BB65,BM65,BX65,CI65,CT65)</x:f>
        <x:v>40.92846991946944</x:v>
      </x:c>
      <x:c r="DL65" s="979" t="n">
        <x:f>G65*DJ65</x:f>
        <x:v>40.928399999999996</x:v>
      </x:c>
      <x:c r="DM65" s="979" t="n">
        <x:f>DK65-DL65</x:f>
        <x:v>0.0000699194694462335</x:v>
      </x:c>
      <x:c r="DN65" s="977" t="str">
        <x:f>IF(ABS(DM65)&lt;=MAX(0.5,0.05*ABS(DL65)),"OK","REVIEW")</x:f>
        <x:v>OK</x:v>
      </x:c>
    </x:row>
    <x:row r="66" ht="15" hidden="0" customHeight="1">
      <x:c r="A66" s="138" t="s">
        <x:v>694</x:v>
      </x:c>
      <x:c r="B66" s="138" t="str">
        <x:v>Tropical &amp; Subtropical Dry Broadleaf Forests</x:v>
      </x:c>
      <x:c r="C66" s="138" t="s">
        <x:v>113</x:v>
      </x:c>
      <x:c r="D66" s="138" t="s">
        <x:v>553</x:v>
      </x:c>
      <x:c r="E66" s="138" t="n">
        <x:v>2022</x:v>
      </x:c>
      <x:c r="F66" s="138" t="n">
        <x:v>0.746</x:v>
      </x:c>
      <x:c r="G66" s="138" t="n">
        <x:v>1072.39</x:v>
      </x:c>
      <x:c r="H66" s="138" t="s">
        <x:v>963</x:v>
      </x:c>
      <x:c r="I66" s="138" t="s">
        <x:v>695</x:v>
      </x:c>
      <x:c r="J66" s="139" t="n">
        <x:f aca="0">IF($E66="Unconfirmed","",IFERROR(SUMIF(S15_Source_Strata!$B$4:$B$49,$I66,S15_Source_Strata!$H$4:$H$49),""))</x:f>
        <x:v>102.95458906206116</x:v>
      </x:c>
      <x:c r="K66" s="139" t="n">
        <x:f aca="0">IF($E66="Unconfirmed","",IFERROR(SUMIF(S15_Source_Strata!$B$4:$B$49,$I66,S15_Source_Strata!$I$4:$I$49),""))</x:f>
        <x:v>79.55578599294107</x:v>
      </x:c>
      <x:c r="L66" s="139" t="n">
        <x:f aca="0">IF($E66="Unconfirmed","",IFERROR(SUMIF(S15_Source_Strata!$B$4:$B$49,$I66,S15_Source_Strata!$J$4:$J$49),""))</x:f>
        <x:v>0.7727269538707472</x:v>
      </x:c>
      <x:c r="M66" s="139" t="n">
        <x:f aca="0">IF($E66="Unconfirmed","",IFERROR(SUMIF(S15_Source_Strata!$B$4:$B$49,$I66,S15_Source_Strata!$N$4:$N$49),""))</x:f>
        <x:v>77.21594179654588</x:v>
      </x:c>
      <x:c r="N66" s="139" t="n">
        <x:f aca="0">IF($E66="Unconfirmed","",IFERROR(SUMIF(S15_Source_Strata!$B$4:$B$49,$I66,S15_Source_Strata!$O$4:$O$49),""))</x:f>
        <x:v>0.7500000000000001</x:v>
      </x:c>
      <x:c r="O66" s="139" t="n">
        <x:f aca="0">IF($E66="Unconfirmed","",IFERROR(SUMIF(S15_Source_Strata!$B$4:$B$49,$I66,S15_Source_Strata!$X$4:$X$49),""))</x:f>
        <x:v>165.0053198897656</x:v>
      </x:c>
      <x:c r="P66" s="139" t="n">
        <x:f aca="0">IF($E66="Unconfirmed","",IFERROR(SUMIF(S15_Source_Strata!$B$4:$B$49,$I66,S15_Source_Strata!$AL$4:$AL$49),""))</x:f>
        <x:v>2240.22174056176</x:v>
      </x:c>
      <x:c r="Q66" s="139" t="str">
        <x:f aca="0">IF($E66="Unconfirmed","",IFERROR(SUMIF(S15_Source_Strata!$B$4:$B$49,$I66,S15_Source_Strata!$K$4:$K$49)&amp;"/"&amp;SUMIF(S15_Source_Strata!$B$4:$B$49,$I66,S15_Source_Strata!$L$4:$L$49),""))</x:f>
        <x:v>1/13</x:v>
      </x:c>
      <x:c r="R66" s="138" t="s">
        <x:v>660</x:v>
      </x:c>
      <x:c r="S66" s="138" t="s">
        <x:v>875</x:v>
      </x:c>
      <x:c r="T66" s="138" t="s">
        <x:v>841</x:v>
      </x:c>
      <x:c r="U66" s="138" t="n">
        <x:f>IFERROR(DB66*$DJ66/$F66,0)</x:f>
        <x:v>96.51474530831099</x:v>
      </x:c>
      <x:c r="V66" s="138" t="n">
        <x:v>0.58</x:v>
      </x:c>
      <x:c r="W66" s="138" t="n">
        <x:v>55</x:v>
      </x:c>
      <x:c r="X66" s="138" t="n">
        <x:v>0.16</x:v>
      </x:c>
      <x:c r="Y66" s="138" t="n">
        <x:v>1.3</x:v>
      </x:c>
      <x:c r="Z66" s="138" t="n">
        <x:v>25</x:v>
      </x:c>
      <x:c r="AA66" s="138" t="n">
        <x:v>0.2</x:v>
      </x:c>
      <x:c r="AB66" s="138" t="n">
        <x:v>1.2</x:v>
      </x:c>
      <x:c r="AC66" s="138"/>
      <x:c r="AD66" s="138"/>
      <x:c r="AE66" s="138"/>
      <x:c r="AF66" s="138" t="n">
        <x:f>IFERROR(DC66*$DJ66/$F66,0)</x:f>
        <x:v>0</x:v>
      </x:c>
      <x:c r="AG66" s="138"/>
      <x:c r="AH66" s="138"/>
      <x:c r="AI66" s="138"/>
      <x:c r="AJ66" s="138"/>
      <x:c r="AK66" s="138"/>
      <x:c r="AL66" s="138"/>
      <x:c r="AM66" s="138"/>
      <x:c r="AN66" s="138"/>
      <x:c r="AO66" s="138"/>
      <x:c r="AP66" s="138"/>
      <x:c r="AQ66" s="138" t="n">
        <x:f>IFERROR(DD66*$DJ66/$F66,0)</x:f>
        <x:v>0</x:v>
      </x:c>
      <x:c r="AR66" s="138"/>
      <x:c r="AS66" s="138"/>
      <x:c r="AT66" s="138"/>
      <x:c r="AU66" s="138"/>
      <x:c r="AV66" s="138"/>
      <x:c r="AW66" s="138"/>
      <x:c r="AX66" s="138"/>
      <x:c r="AY66" s="138"/>
      <x:c r="AZ66" s="138"/>
      <x:c r="BA66" s="138"/>
      <x:c r="BB66" s="138" t="n">
        <x:f>IFERROR(DE66*$DJ66/$F66,0)</x:f>
        <x:v>0</x:v>
      </x:c>
      <x:c r="BC66" s="138"/>
      <x:c r="BD66" s="138"/>
      <x:c r="BE66" s="138"/>
      <x:c r="BF66" s="138"/>
      <x:c r="BG66" s="138"/>
      <x:c r="BH66" s="138"/>
      <x:c r="BI66" s="138"/>
      <x:c r="BJ66" s="138"/>
      <x:c r="BK66" s="138"/>
      <x:c r="BL66" s="138"/>
      <x:c r="BM66" s="138" t="n">
        <x:f>IFERROR(DF66*$DJ66/$F66,0)</x:f>
        <x:v>0</x:v>
      </x:c>
      <x:c r="BN66" s="138"/>
      <x:c r="BO66" s="138"/>
      <x:c r="BP66" s="138"/>
      <x:c r="BQ66" s="138"/>
      <x:c r="BR66" s="138"/>
      <x:c r="BS66" s="138"/>
      <x:c r="BT66" s="138"/>
      <x:c r="BU66" s="138"/>
      <x:c r="BV66" s="138"/>
      <x:c r="BW66" s="138"/>
      <x:c r="BX66" s="138" t="n">
        <x:f>IFERROR(DG66*$DJ66/$F66,0)</x:f>
        <x:v>0</x:v>
      </x:c>
      <x:c r="BY66" s="138"/>
      <x:c r="BZ66" s="138"/>
      <x:c r="CA66" s="138"/>
      <x:c r="CB66" s="138"/>
      <x:c r="CC66" s="138"/>
      <x:c r="CD66" s="138"/>
      <x:c r="CE66" s="138"/>
      <x:c r="CF66" s="138"/>
      <x:c r="CG66" s="138"/>
      <x:c r="CH66" s="138"/>
      <x:c r="CI66" s="138" t="n">
        <x:f>IFERROR(DH66*$DJ66/$F66,0)</x:f>
        <x:v>0</x:v>
      </x:c>
      <x:c r="CJ66" s="138"/>
      <x:c r="CK66" s="138"/>
      <x:c r="CL66" s="138"/>
      <x:c r="CM66" s="138"/>
      <x:c r="CN66" s="138"/>
      <x:c r="CO66" s="138"/>
      <x:c r="CP66" s="138"/>
      <x:c r="CQ66" s="138"/>
      <x:c r="CR66" s="138"/>
      <x:c r="CS66" s="138"/>
      <x:c r="CT66" s="138" t="n">
        <x:f>IFERROR(DI66*$DJ66/$F66,0)</x:f>
        <x:v>0</x:v>
      </x:c>
      <x:c r="CU66" s="138"/>
      <x:c r="CV66" s="138"/>
      <x:c r="CW66" s="138"/>
      <x:c r="CX66" s="138"/>
      <x:c r="CY66" s="138"/>
      <x:c r="CZ66" s="138"/>
      <x:c r="DA66" s="138"/>
      <x:c r="DB66" s="978" t="n">
        <x:v>800</x:v>
      </x:c>
      <x:c r="DC66" s="978"/>
      <x:c r="DD66" s="978"/>
      <x:c r="DE66" s="978"/>
      <x:c r="DF66" s="978"/>
      <x:c r="DG66" s="978"/>
      <x:c r="DH66" s="978"/>
      <x:c r="DI66" s="978"/>
      <x:c r="DJ66" s="980" t="n">
        <x:f>'S08_Defaults'!$B$37</x:f>
        <x:v>0.09</x:v>
      </x:c>
      <x:c r="DK66" s="979" t="n">
        <x:f>SUM(U66,AF66,AQ66,BB66,BM66,BX66,CI66,CT66)</x:f>
        <x:v>96.51474530831099</x:v>
      </x:c>
      <x:c r="DL66" s="979" t="n">
        <x:f>G66*DJ66</x:f>
        <x:v>96.5151</x:v>
      </x:c>
      <x:c r="DM66" s="979" t="n">
        <x:f>DK66-DL66</x:f>
        <x:v>-0.0003546916890115881</x:v>
      </x:c>
      <x:c r="DN66" s="977" t="str">
        <x:f>IF(ABS(DM66)&lt;=MAX(0.5,0.05*ABS(DL66)),"OK","REVIEW")</x:f>
        <x:v>OK</x:v>
      </x:c>
    </x:row>
    <x:row r="67" ht="15" hidden="0" customHeight="1">
      <x:c r="A67" s="138" t="s">
        <x:v>696</x:v>
      </x:c>
      <x:c r="B67" s="138" t="str">
        <x:v>Tropical &amp; Subtropical Moist Broadleaf Forests</x:v>
      </x:c>
      <x:c r="C67" s="138" t="s">
        <x:v>113</x:v>
      </x:c>
      <x:c r="D67" s="138" t="s">
        <x:v>549</x:v>
      </x:c>
      <x:c r="E67" s="138" t="n">
        <x:v>2023</x:v>
      </x:c>
      <x:c r="F67" s="138" t="n">
        <x:v>2.7937</x:v>
      </x:c>
      <x:c r="G67" s="138" t="n">
        <x:v>393.74</x:v>
      </x:c>
      <x:c r="H67" s="138" t="s">
        <x:v>964</x:v>
      </x:c>
      <x:c r="I67" s="138" t="s">
        <x:v>697</x:v>
      </x:c>
      <x:c r="J67" s="139" t="n">
        <x:f aca="0">IF($E67="Unconfirmed","",IFERROR(SUMIF(S15_Source_Strata!$B$4:$B$49,$I67,S15_Source_Strata!$H$4:$H$49),""))</x:f>
        <x:v>5.719006558079545</x:v>
      </x:c>
      <x:c r="K67" s="139" t="n">
        <x:f aca="0">IF($E67="Unconfirmed","",IFERROR(SUMIF(S15_Source_Strata!$B$4:$B$49,$I67,S15_Source_Strata!$I$4:$I$49),""))</x:f>
        <x:v>6.159454744970722</x:v>
      </x:c>
      <x:c r="L67" s="139" t="n">
        <x:f aca="0">IF($E67="Unconfirmed","",IFERROR(SUMIF(S15_Source_Strata!$B$4:$B$49,$I67,S15_Source_Strata!$J$4:$J$49),""))</x:f>
        <x:v>1.0770148071029806</x:v>
      </x:c>
      <x:c r="M67" s="139" t="n">
        <x:f aca="0">IF($E67="Unconfirmed","",IFERROR(SUMIF(S15_Source_Strata!$B$4:$B$49,$I67,S15_Source_Strata!$N$4:$N$49),""))</x:f>
        <x:v>4.289254918559658</x:v>
      </x:c>
      <x:c r="N67" s="139" t="n">
        <x:f aca="0">IF($E67="Unconfirmed","",IFERROR(SUMIF(S15_Source_Strata!$B$4:$B$49,$I67,S15_Source_Strata!$O$4:$O$49),""))</x:f>
        <x:v>0.75</x:v>
      </x:c>
      <x:c r="O67" s="139" t="n">
        <x:f aca="0">IF($E67="Unconfirmed","",IFERROR(SUMIF(S15_Source_Strata!$B$4:$B$49,$I67,S15_Source_Strata!$X$4:$X$49),""))</x:f>
        <x:v>9.165851810634095</x:v>
      </x:c>
      <x:c r="P67" s="139" t="n">
        <x:f aca="0">IF($E67="Unconfirmed","",IFERROR(SUMIF(S15_Source_Strata!$B$4:$B$49,$I67,S15_Source_Strata!$AL$4:$AL$49),""))</x:f>
        <x:v>411.0039323904602</x:v>
      </x:c>
      <x:c r="Q67" s="139" t="str">
        <x:f aca="0">IF($E67="Unconfirmed","",IFERROR(SUMIF(S15_Source_Strata!$B$4:$B$49,$I67,S15_Source_Strata!$K$4:$K$49)&amp;"/"&amp;SUMIF(S15_Source_Strata!$B$4:$B$49,$I67,S15_Source_Strata!$L$4:$L$49),""))</x:f>
        <x:v>1/6</x:v>
      </x:c>
      <x:c r="R67" s="138" t="s">
        <x:v>670</x:v>
      </x:c>
      <x:c r="S67" s="138" t="s">
        <x:v>877</x:v>
      </x:c>
      <x:c r="T67" s="138" t="s">
        <x:v>841</x:v>
      </x:c>
      <x:c r="U67" s="138" t="n">
        <x:f>IFERROR(DB67*$DJ67/$F67,0)</x:f>
        <x:v>35.43687582775531</x:v>
      </x:c>
      <x:c r="V67" s="138" t="n">
        <x:v>0.55</x:v>
      </x:c>
      <x:c r="W67" s="138" t="n">
        <x:v>50</x:v>
      </x:c>
      <x:c r="X67" s="138" t="n">
        <x:v>0.12</x:v>
      </x:c>
      <x:c r="Y67" s="138" t="n">
        <x:v>1.4</x:v>
      </x:c>
      <x:c r="Z67" s="138" t="n">
        <x:v>25</x:v>
      </x:c>
      <x:c r="AA67" s="138" t="n">
        <x:v>0.15</x:v>
      </x:c>
      <x:c r="AB67" s="138" t="n">
        <x:v>1.3</x:v>
      </x:c>
      <x:c r="AC67" s="138"/>
      <x:c r="AD67" s="138"/>
      <x:c r="AE67" s="138"/>
      <x:c r="AF67" s="138" t="n">
        <x:f>IFERROR(DC67*$DJ67/$F67,0)</x:f>
        <x:v>0</x:v>
      </x:c>
      <x:c r="AG67" s="138"/>
      <x:c r="AH67" s="138"/>
      <x:c r="AI67" s="138"/>
      <x:c r="AJ67" s="138"/>
      <x:c r="AK67" s="138"/>
      <x:c r="AL67" s="138"/>
      <x:c r="AM67" s="138"/>
      <x:c r="AN67" s="138"/>
      <x:c r="AO67" s="138"/>
      <x:c r="AP67" s="138"/>
      <x:c r="AQ67" s="138" t="n">
        <x:f>IFERROR(DD67*$DJ67/$F67,0)</x:f>
        <x:v>0</x:v>
      </x:c>
      <x:c r="AR67" s="138"/>
      <x:c r="AS67" s="138"/>
      <x:c r="AT67" s="138"/>
      <x:c r="AU67" s="138"/>
      <x:c r="AV67" s="138"/>
      <x:c r="AW67" s="138"/>
      <x:c r="AX67" s="138"/>
      <x:c r="AY67" s="138"/>
      <x:c r="AZ67" s="138"/>
      <x:c r="BA67" s="138"/>
      <x:c r="BB67" s="138" t="n">
        <x:f>IFERROR(DE67*$DJ67/$F67,0)</x:f>
        <x:v>0</x:v>
      </x:c>
      <x:c r="BC67" s="138"/>
      <x:c r="BD67" s="138"/>
      <x:c r="BE67" s="138"/>
      <x:c r="BF67" s="138"/>
      <x:c r="BG67" s="138"/>
      <x:c r="BH67" s="138"/>
      <x:c r="BI67" s="138"/>
      <x:c r="BJ67" s="138"/>
      <x:c r="BK67" s="138"/>
      <x:c r="BL67" s="138"/>
      <x:c r="BM67" s="138" t="n">
        <x:f>IFERROR(DF67*$DJ67/$F67,0)</x:f>
        <x:v>0</x:v>
      </x:c>
      <x:c r="BN67" s="138"/>
      <x:c r="BO67" s="138"/>
      <x:c r="BP67" s="138"/>
      <x:c r="BQ67" s="138"/>
      <x:c r="BR67" s="138"/>
      <x:c r="BS67" s="138"/>
      <x:c r="BT67" s="138"/>
      <x:c r="BU67" s="138"/>
      <x:c r="BV67" s="138"/>
      <x:c r="BW67" s="138"/>
      <x:c r="BX67" s="138" t="n">
        <x:f>IFERROR(DG67*$DJ67/$F67,0)</x:f>
        <x:v>0</x:v>
      </x:c>
      <x:c r="BY67" s="138"/>
      <x:c r="BZ67" s="138"/>
      <x:c r="CA67" s="138"/>
      <x:c r="CB67" s="138"/>
      <x:c r="CC67" s="138"/>
      <x:c r="CD67" s="138"/>
      <x:c r="CE67" s="138"/>
      <x:c r="CF67" s="138"/>
      <x:c r="CG67" s="138"/>
      <x:c r="CH67" s="138"/>
      <x:c r="CI67" s="138" t="n">
        <x:f>IFERROR(DH67*$DJ67/$F67,0)</x:f>
        <x:v>0</x:v>
      </x:c>
      <x:c r="CJ67" s="138"/>
      <x:c r="CK67" s="138"/>
      <x:c r="CL67" s="138"/>
      <x:c r="CM67" s="138"/>
      <x:c r="CN67" s="138"/>
      <x:c r="CO67" s="138"/>
      <x:c r="CP67" s="138"/>
      <x:c r="CQ67" s="138"/>
      <x:c r="CR67" s="138"/>
      <x:c r="CS67" s="138"/>
      <x:c r="CT67" s="138" t="n">
        <x:f>IFERROR(DI67*$DJ67/$F67,0)</x:f>
        <x:v>0</x:v>
      </x:c>
      <x:c r="CU67" s="138"/>
      <x:c r="CV67" s="138"/>
      <x:c r="CW67" s="138"/>
      <x:c r="CX67" s="138"/>
      <x:c r="CY67" s="138"/>
      <x:c r="CZ67" s="138"/>
      <x:c r="DA67" s="138"/>
      <x:c r="DB67" s="978" t="n">
        <x:v>1100</x:v>
      </x:c>
      <x:c r="DC67" s="978"/>
      <x:c r="DD67" s="978"/>
      <x:c r="DE67" s="978"/>
      <x:c r="DF67" s="978"/>
      <x:c r="DG67" s="978"/>
      <x:c r="DH67" s="978"/>
      <x:c r="DI67" s="978"/>
      <x:c r="DJ67" s="980" t="n">
        <x:f>'S08_Defaults'!$B$37</x:f>
        <x:v>0.09</x:v>
      </x:c>
      <x:c r="DK67" s="979" t="n">
        <x:f>SUM(U67,AF67,AQ67,BB67,BM67,BX67,CI67,CT67)</x:f>
        <x:v>35.43687582775531</x:v>
      </x:c>
      <x:c r="DL67" s="979" t="n">
        <x:f>G67*DJ67</x:f>
        <x:v>35.4366</x:v>
      </x:c>
      <x:c r="DM67" s="979" t="n">
        <x:f>DK67-DL67</x:f>
        <x:v>0.00027582775530987647</x:v>
      </x:c>
      <x:c r="DN67" s="977" t="str">
        <x:f>IF(ABS(DM67)&lt;=MAX(0.5,0.05*ABS(DL67)),"OK","REVIEW")</x:f>
        <x:v>OK</x:v>
      </x:c>
    </x:row>
    <x:row r="68" ht="15" hidden="0" customHeight="1">
      <x:c r="A68" s="138" t="s">
        <x:v>698</x:v>
      </x:c>
      <x:c r="B68" s="138" t="str">
        <x:v>Tropical &amp; Subtropical Dry Broadleaf Forests</x:v>
      </x:c>
      <x:c r="C68" s="138" t="s">
        <x:v>113</x:v>
      </x:c>
      <x:c r="D68" s="138" t="s">
        <x:v>553</x:v>
      </x:c>
      <x:c r="E68" s="138" t="n">
        <x:v>2024</x:v>
      </x:c>
      <x:c r="F68" s="138" t="n">
        <x:v>0.6416</x:v>
      </x:c>
      <x:c r="G68" s="138" t="n">
        <x:v>935.16</x:v>
      </x:c>
      <x:c r="H68" s="138" t="s">
        <x:v>965</x:v>
      </x:c>
      <x:c r="I68" s="138" t="s">
        <x:v>699</x:v>
      </x:c>
      <x:c r="J68" s="139" t="n">
        <x:f aca="0">IF($E68="Unconfirmed","",IFERROR(SUMIF(S15_Source_Strata!$B$4:$B$49,$I68,S15_Source_Strata!$H$4:$H$49),""))</x:f>
        <x:v>13.65463180224615</x:v>
      </x:c>
      <x:c r="K68" s="139" t="n">
        <x:f aca="0">IF($E68="Unconfirmed","",IFERROR(SUMIF(S15_Source_Strata!$B$4:$B$49,$I68,S15_Source_Strata!$I$4:$I$49),""))</x:f>
        <x:v>11.395156852308371</x:v>
      </x:c>
      <x:c r="L68" s="139" t="n">
        <x:f aca="0">IF($E68="Unconfirmed","",IFERROR(SUMIF(S15_Source_Strata!$B$4:$B$49,$I68,S15_Source_Strata!$J$4:$J$49),""))</x:f>
        <x:v>0.8345268490091324</x:v>
      </x:c>
      <x:c r="M68" s="139" t="n">
        <x:f aca="0">IF($E68="Unconfirmed","",IFERROR(SUMIF(S15_Source_Strata!$B$4:$B$49,$I68,S15_Source_Strata!$N$4:$N$49),""))</x:f>
        <x:v>10.240973851684613</x:v>
      </x:c>
      <x:c r="N68" s="139" t="n">
        <x:f aca="0">IF($E68="Unconfirmed","",IFERROR(SUMIF(S15_Source_Strata!$B$4:$B$49,$I68,S15_Source_Strata!$O$4:$O$49),""))</x:f>
        <x:v>0.75</x:v>
      </x:c>
      <x:c r="O68" s="139" t="n">
        <x:f aca="0">IF($E68="Unconfirmed","",IFERROR(SUMIF(S15_Source_Strata!$B$4:$B$49,$I68,S15_Source_Strata!$X$4:$X$49),""))</x:f>
        <x:v>21.884278389459922</x:v>
      </x:c>
      <x:c r="P68" s="139" t="n">
        <x:f aca="0">IF($E68="Unconfirmed","",IFERROR(SUMIF(S15_Source_Strata!$B$4:$B$49,$I68,S15_Source_Strata!$AL$4:$AL$49),""))</x:f>
        <x:v>2044.3965731837293</x:v>
      </x:c>
      <x:c r="Q68" s="139" t="str">
        <x:f aca="0">IF($E68="Unconfirmed","",IFERROR(SUMIF(S15_Source_Strata!$B$4:$B$49,$I68,S15_Source_Strata!$K$4:$K$49)&amp;"/"&amp;SUMIF(S15_Source_Strata!$B$4:$B$49,$I68,S15_Source_Strata!$L$4:$L$49),""))</x:f>
        <x:v>1/13</x:v>
      </x:c>
      <x:c r="R68" s="138" t="s">
        <x:v>660</x:v>
      </x:c>
      <x:c r="S68" s="138" t="s">
        <x:v>875</x:v>
      </x:c>
      <x:c r="T68" s="138" t="s">
        <x:v>841</x:v>
      </x:c>
      <x:c r="U68" s="138" t="n">
        <x:f>IFERROR(DB68*$DJ68/$F68,0)</x:f>
        <x:v>84.16458852867831</x:v>
      </x:c>
      <x:c r="V68" s="138" t="n">
        <x:v>0.58</x:v>
      </x:c>
      <x:c r="W68" s="138" t="n">
        <x:v>55</x:v>
      </x:c>
      <x:c r="X68" s="138" t="n">
        <x:v>0.16</x:v>
      </x:c>
      <x:c r="Y68" s="138" t="n">
        <x:v>1.3</x:v>
      </x:c>
      <x:c r="Z68" s="138" t="n">
        <x:v>25</x:v>
      </x:c>
      <x:c r="AA68" s="138" t="n">
        <x:v>0.2</x:v>
      </x:c>
      <x:c r="AB68" s="138" t="n">
        <x:v>1.2</x:v>
      </x:c>
      <x:c r="AC68" s="138"/>
      <x:c r="AD68" s="138"/>
      <x:c r="AE68" s="138"/>
      <x:c r="AF68" s="138" t="n">
        <x:f>IFERROR(DC68*$DJ68/$F68,0)</x:f>
        <x:v>0</x:v>
      </x:c>
      <x:c r="AG68" s="138"/>
      <x:c r="AH68" s="138"/>
      <x:c r="AI68" s="138"/>
      <x:c r="AJ68" s="138"/>
      <x:c r="AK68" s="138"/>
      <x:c r="AL68" s="138"/>
      <x:c r="AM68" s="138"/>
      <x:c r="AN68" s="138"/>
      <x:c r="AO68" s="138"/>
      <x:c r="AP68" s="138"/>
      <x:c r="AQ68" s="138" t="n">
        <x:f>IFERROR(DD68*$DJ68/$F68,0)</x:f>
        <x:v>0</x:v>
      </x:c>
      <x:c r="AR68" s="138"/>
      <x:c r="AS68" s="138"/>
      <x:c r="AT68" s="138"/>
      <x:c r="AU68" s="138"/>
      <x:c r="AV68" s="138"/>
      <x:c r="AW68" s="138"/>
      <x:c r="AX68" s="138"/>
      <x:c r="AY68" s="138"/>
      <x:c r="AZ68" s="138"/>
      <x:c r="BA68" s="138"/>
      <x:c r="BB68" s="138" t="n">
        <x:f>IFERROR(DE68*$DJ68/$F68,0)</x:f>
        <x:v>0</x:v>
      </x:c>
      <x:c r="BC68" s="138"/>
      <x:c r="BD68" s="138"/>
      <x:c r="BE68" s="138"/>
      <x:c r="BF68" s="138"/>
      <x:c r="BG68" s="138"/>
      <x:c r="BH68" s="138"/>
      <x:c r="BI68" s="138"/>
      <x:c r="BJ68" s="138"/>
      <x:c r="BK68" s="138"/>
      <x:c r="BL68" s="138"/>
      <x:c r="BM68" s="138" t="n">
        <x:f>IFERROR(DF68*$DJ68/$F68,0)</x:f>
        <x:v>0</x:v>
      </x:c>
      <x:c r="BN68" s="138"/>
      <x:c r="BO68" s="138"/>
      <x:c r="BP68" s="138"/>
      <x:c r="BQ68" s="138"/>
      <x:c r="BR68" s="138"/>
      <x:c r="BS68" s="138"/>
      <x:c r="BT68" s="138"/>
      <x:c r="BU68" s="138"/>
      <x:c r="BV68" s="138"/>
      <x:c r="BW68" s="138"/>
      <x:c r="BX68" s="138" t="n">
        <x:f>IFERROR(DG68*$DJ68/$F68,0)</x:f>
        <x:v>0</x:v>
      </x:c>
      <x:c r="BY68" s="138"/>
      <x:c r="BZ68" s="138"/>
      <x:c r="CA68" s="138"/>
      <x:c r="CB68" s="138"/>
      <x:c r="CC68" s="138"/>
      <x:c r="CD68" s="138"/>
      <x:c r="CE68" s="138"/>
      <x:c r="CF68" s="138"/>
      <x:c r="CG68" s="138"/>
      <x:c r="CH68" s="138"/>
      <x:c r="CI68" s="138" t="n">
        <x:f>IFERROR(DH68*$DJ68/$F68,0)</x:f>
        <x:v>0</x:v>
      </x:c>
      <x:c r="CJ68" s="138"/>
      <x:c r="CK68" s="138"/>
      <x:c r="CL68" s="138"/>
      <x:c r="CM68" s="138"/>
      <x:c r="CN68" s="138"/>
      <x:c r="CO68" s="138"/>
      <x:c r="CP68" s="138"/>
      <x:c r="CQ68" s="138"/>
      <x:c r="CR68" s="138"/>
      <x:c r="CS68" s="138"/>
      <x:c r="CT68" s="138" t="n">
        <x:f>IFERROR(DI68*$DJ68/$F68,0)</x:f>
        <x:v>0</x:v>
      </x:c>
      <x:c r="CU68" s="138"/>
      <x:c r="CV68" s="138"/>
      <x:c r="CW68" s="138"/>
      <x:c r="CX68" s="138"/>
      <x:c r="CY68" s="138"/>
      <x:c r="CZ68" s="138"/>
      <x:c r="DA68" s="138"/>
      <x:c r="DB68" s="978" t="n">
        <x:v>600</x:v>
      </x:c>
      <x:c r="DC68" s="978"/>
      <x:c r="DD68" s="978"/>
      <x:c r="DE68" s="978"/>
      <x:c r="DF68" s="978"/>
      <x:c r="DG68" s="978"/>
      <x:c r="DH68" s="978"/>
      <x:c r="DI68" s="978"/>
      <x:c r="DJ68" s="980" t="n">
        <x:f>'S08_Defaults'!$B$37</x:f>
        <x:v>0.09</x:v>
      </x:c>
      <x:c r="DK68" s="979" t="n">
        <x:f>SUM(U68,AF68,AQ68,BB68,BM68,BX68,CI68,CT68)</x:f>
        <x:v>84.16458852867831</x:v>
      </x:c>
      <x:c r="DL68" s="979" t="n">
        <x:f>G68*DJ68</x:f>
        <x:v>84.1644</x:v>
      </x:c>
      <x:c r="DM68" s="979" t="n">
        <x:f>DK68-DL68</x:f>
        <x:v>0.00018852867830787545</x:v>
      </x:c>
      <x:c r="DN68" s="977" t="str">
        <x:f>IF(ABS(DM68)&lt;=MAX(0.5,0.05*ABS(DL68)),"OK","REVIEW")</x:f>
        <x:v>OK</x:v>
      </x:c>
    </x:row>
  </x:sheetData>
  <x:pageMargins left="0.7" right="0.7" top="0.75" bottom="0.75" header="0.3" footer="0.3"/>
</x:worksheet>
</file>

<file path=xl/worksheets/sheet14.xml><?xml version="1.0" encoding="utf-8"?>
<x:worksheet xmlns:x="http://schemas.openxmlformats.org/spreadsheetml/2006/main">
  <x:sheetPr>
    <x:tabColor rgb="FF2E75B6"/>
  </x:sheetPr>
  <x:sheetViews>
    <x:sheetView showGridLines="1" workbookViewId="0"/>
  </x:sheetViews>
  <x:sheetFormatPr defaultColWidth="8.6796875" defaultRowHeight="15"/>
  <x:cols>
    <x:col min="1" max="1" width="14" style="1" hidden="0" customWidth="1"/>
    <x:col min="2" max="2" width="13" style="1" hidden="0" customWidth="1"/>
    <x:col min="3" max="3" width="30" style="1" hidden="0" customWidth="1"/>
    <x:col min="4" max="4" width="20" style="1" hidden="0" customWidth="1"/>
    <x:col min="5" max="5" width="12" style="1" hidden="0" customWidth="1"/>
    <x:col min="6" max="6" width="10" style="1" hidden="0" customWidth="1"/>
    <x:col min="7" max="8" width="12" style="1" hidden="0" customWidth="1"/>
    <x:col min="9" max="29" width="13" style="1" hidden="0" customWidth="1"/>
    <x:col min="30" max="52" width="12" style="1" hidden="0" customWidth="1"/>
  </x:cols>
  <x:sheetData>
    <x:row r="1" ht="27.75" hidden="0" customHeight="1">
      <x:c r="A1" s="140" t="s">
        <x:v>966</x:v>
      </x:c>
      <x:c r="B1" s="140"/>
      <x:c r="C1" s="140"/>
      <x:c r="D1" s="140"/>
      <x:c r="E1" s="140"/>
      <x:c r="F1" s="140"/>
      <x:c r="G1" s="140"/>
      <x:c r="H1" s="140"/>
      <x:c r="I1" s="140"/>
      <x:c r="J1" s="140"/>
      <x:c r="K1" s="140"/>
      <x:c r="L1" s="140"/>
      <x:c r="M1" s="140"/>
      <x:c r="N1" s="140"/>
      <x:c r="O1" s="140"/>
      <x:c r="P1" s="140"/>
      <x:c r="Q1" s="140"/>
      <x:c r="R1" s="140"/>
      <x:c r="S1" s="140"/>
      <x:c r="T1" s="140"/>
      <x:c r="U1" s="140"/>
      <x:c r="V1" s="140"/>
      <x:c r="W1" s="140"/>
      <x:c r="X1" s="140"/>
      <x:c r="Y1" s="140"/>
      <x:c r="Z1" s="140"/>
      <x:c r="AA1" s="140"/>
      <x:c r="AB1" s="140"/>
      <x:c r="AC1" s="140"/>
    </x:row>
    <x:row r="2" ht="37.5" hidden="0" customHeight="1">
      <x:c r="A2" s="45" t="s">
        <x:v>967</x:v>
      </x:c>
      <x:c r="B2" s="45"/>
      <x:c r="C2" s="45" t="str">
        <x:v>Core biological engine for the ex-ante ERR. Source parcel species counts are normalized to a fixed 30 m x 30 m (0.09 ha) PSP, species-level diameter and height are projected by age using Chapman-Richards, tree AGB is calculated with Chave et al. (2014), and plot AGB is divided by 0.09 ha to derive t d.m./ha. S15_Source_Strata then aggregates these formula-driven PSP age curves.</x:v>
      </x:c>
      <x:c r="D2" s="45"/>
      <x:c r="E2" s="45"/>
      <x:c r="F2" s="45"/>
      <x:c r="G2" s="45"/>
      <x:c r="H2" s="45"/>
      <x:c r="I2" s="45"/>
      <x:c r="J2" s="45"/>
      <x:c r="K2" s="45"/>
      <x:c r="L2" s="45"/>
      <x:c r="M2" s="45"/>
      <x:c r="N2" s="45"/>
      <x:c r="O2" s="45"/>
      <x:c r="P2" s="45"/>
      <x:c r="Q2" s="45"/>
      <x:c r="R2" s="45"/>
      <x:c r="S2" s="45"/>
      <x:c r="T2" s="45"/>
      <x:c r="U2" s="45"/>
      <x:c r="V2" s="45"/>
      <x:c r="W2" s="45"/>
      <x:c r="X2" s="45"/>
      <x:c r="Y2" s="45"/>
      <x:c r="Z2" s="45"/>
      <x:c r="AA2" s="45"/>
      <x:c r="AB2" s="45"/>
      <x:c r="AC2" s="45"/>
    </x:row>
    <x:row r="4" ht="15" hidden="0" customHeight="1">
      <x:c r="A4" s="141" t="s">
        <x:v>56</x:v>
      </x:c>
      <x:c r="B4" s="141" t="s">
        <x:v>968</x:v>
      </x:c>
      <x:c r="C4" s="141" t="s">
        <x:v>969</x:v>
      </x:c>
      <x:c r="D4" s="141" t="s">
        <x:v>970</x:v>
      </x:c>
    </x:row>
    <x:row r="5" ht="34.5" hidden="0" customHeight="1">
      <x:c r="A5" s="142" t="s">
        <x:v>971</x:v>
      </x:c>
      <x:c r="B5" s="80" t="s">
        <x:v>972</x:v>
      </x:c>
      <x:c r="C5" s="80" t="s">
        <x:v>973</x:v>
      </x:c>
      <x:c r="D5" s="80" t="s">
        <x:v>505</x:v>
      </x:c>
    </x:row>
    <x:row r="6" ht="34.5" hidden="0" customHeight="1">
      <x:c r="A6" s="142" t="s">
        <x:v>974</x:v>
      </x:c>
      <x:c r="B6" s="80" t="s">
        <x:v>975</x:v>
      </x:c>
      <x:c r="C6" s="80" t="s">
        <x:v>976</x:v>
      </x:c>
      <x:c r="D6" s="80" t="s">
        <x:v>977</x:v>
      </x:c>
    </x:row>
    <x:row r="7" ht="34.5" hidden="0" customHeight="1">
      <x:c r="A7" s="142" t="s">
        <x:v>978</x:v>
      </x:c>
      <x:c r="B7" s="80" t="s">
        <x:v>979</x:v>
      </x:c>
      <x:c r="C7" s="80" t="s">
        <x:v>980</x:v>
      </x:c>
      <x:c r="D7" s="80" t="s">
        <x:v>981</x:v>
      </x:c>
    </x:row>
    <x:row r="8" ht="34.5" hidden="0" customHeight="1">
      <x:c r="A8" s="142" t="s">
        <x:v>982</x:v>
      </x:c>
      <x:c r="B8" s="80" t="s">
        <x:v>983</x:v>
      </x:c>
      <x:c r="C8" s="80" t="s">
        <x:v>984</x:v>
      </x:c>
      <x:c r="D8" s="80" t="s">
        <x:v>985</x:v>
      </x:c>
    </x:row>
    <x:row r="9" ht="23.25" hidden="0" customHeight="1">
      <x:c r="A9" s="142" t="s">
        <x:v>986</x:v>
      </x:c>
      <x:c r="B9" s="80" t="str">
        <x:v>PSP AGB per ha</x:v>
      </x:c>
      <x:c r="C9" s="80" t="str">
        <x:v>Σ(AGBtree × normalized species count in 0.09-ha PSP) / 1000 / 0.09</x:v>
      </x:c>
      <x:c r="D9" s="80" t="str">
        <x:v>t d.m./ha</x:v>
      </x:c>
    </x:row>
    <x:row r="10" ht="34.5" hidden="0" customHeight="1">
      <x:c r="A10" s="142" t="s">
        <x:v>987</x:v>
      </x:c>
      <x:c r="B10" s="80" t="s">
        <x:v>988</x:v>
      </x:c>
      <x:c r="C10" s="80" t="s">
        <x:v>989</x:v>
      </x:c>
      <x:c r="D10" s="80" t="s">
        <x:v>421</x:v>
      </x:c>
    </x:row>
    <x:row r="11" ht="23.25" hidden="0" customHeight="1">
      <x:c r="A11" s="142" t="s">
        <x:v>990</x:v>
      </x:c>
      <x:c r="B11" s="80" t="s">
        <x:v>991</x:v>
      </x:c>
      <x:c r="C11" s="80" t="s">
        <x:v>992</x:v>
      </x:c>
      <x:c r="D11" s="80" t="s">
        <x:v>993</x:v>
      </x:c>
    </x:row>
    <x:row r="12" ht="33.75" hidden="0" customHeight="1">
      <x:c r="A12" s="143" t="str">
        <x:v>Dmax, kD, mD, Hmax, kH, mH, wood density (ρ), source parcel species counts and the conservativeness factor are model inputs. Source counts are normalized to the 30 m x 30 m PSP area before biomass calculation. Biomass means, SDs, CVs, anchors and annual stock curves are calculated outputs.</x:v>
      </x:c>
      <x:c r="B12" s="143"/>
      <x:c r="C12" s="143"/>
      <x:c r="D12" s="143"/>
      <x:c r="E12" s="143"/>
      <x:c r="F12" s="143"/>
      <x:c r="G12" s="143"/>
      <x:c r="H12" s="143"/>
      <x:c r="I12" s="143"/>
      <x:c r="J12" s="143"/>
      <x:c r="K12" s="143"/>
      <x:c r="L12" s="143"/>
      <x:c r="M12" s="143"/>
      <x:c r="N12" s="143"/>
      <x:c r="O12" s="143"/>
      <x:c r="P12" s="143"/>
      <x:c r="Q12" s="143"/>
      <x:c r="R12" s="143"/>
      <x:c r="S12" s="143"/>
      <x:c r="T12" s="143"/>
      <x:c r="U12" s="143"/>
      <x:c r="V12" s="143"/>
      <x:c r="W12" s="143"/>
      <x:c r="X12" s="143"/>
      <x:c r="Y12" s="143"/>
      <x:c r="Z12" s="143"/>
      <x:c r="AA12" s="143"/>
      <x:c r="AB12" s="143"/>
      <x:c r="AC12" s="143"/>
    </x:row>
    <x:row r="13" ht="15" hidden="0" customHeight="1">
      <x:c r="AD13" s="144" t="s">
        <x:v>994</x:v>
      </x:c>
      <x:c r="AE13" s="144"/>
      <x:c r="AF13" s="144"/>
      <x:c r="AG13" s="144"/>
      <x:c r="AH13" s="144"/>
      <x:c r="AI13" s="144"/>
      <x:c r="AJ13" s="144"/>
      <x:c r="AK13" s="144"/>
      <x:c r="AL13" s="144"/>
      <x:c r="AM13" s="144"/>
      <x:c r="AN13" s="144"/>
      <x:c r="AO13" s="144"/>
      <x:c r="AP13" s="144"/>
      <x:c r="AQ13" s="144"/>
      <x:c r="AR13" s="144"/>
      <x:c r="AS13" s="144"/>
      <x:c r="AT13" s="144"/>
      <x:c r="AU13" s="144"/>
      <x:c r="AV13" s="144"/>
      <x:c r="AW13" s="144"/>
      <x:c r="AX13" s="144"/>
      <x:c r="BA13" s="144" t="s">
        <x:v>995</x:v>
      </x:c>
      <x:c r="BB13" s="144"/>
      <x:c r="BC13" s="144"/>
      <x:c r="BD13" s="144"/>
      <x:c r="BE13" s="144"/>
      <x:c r="BF13" s="144"/>
      <x:c r="BG13" s="144"/>
      <x:c r="BH13" s="144"/>
      <x:c r="BI13" s="144"/>
      <x:c r="BJ13" s="144"/>
      <x:c r="BK13" s="144"/>
      <x:c r="BL13" s="144"/>
      <x:c r="BM13" s="144"/>
      <x:c r="BN13" s="144"/>
      <x:c r="BO13" s="144"/>
      <x:c r="BP13" s="144"/>
      <x:c r="BQ13" s="144"/>
      <x:c r="BR13" s="144"/>
      <x:c r="BS13" s="144"/>
      <x:c r="BT13" s="144"/>
      <x:c r="BU13" s="144"/>
    </x:row>
    <x:row r="14" ht="37.5" hidden="0" customHeight="1">
      <x:c r="A14" s="145" t="s">
        <x:v>526</x:v>
      </x:c>
      <x:c r="B14" s="145" t="s">
        <x:v>996</x:v>
      </x:c>
      <x:c r="C14" s="145" t="s">
        <x:v>750</x:v>
      </x:c>
      <x:c r="D14" s="145" t="s">
        <x:v>97</x:v>
      </x:c>
      <x:c r="E14" s="145" t="s">
        <x:v>528</x:v>
      </x:c>
      <x:c r="F14" s="145" t="s">
        <x:v>529</x:v>
      </x:c>
      <x:c r="G14" s="145" t="str">
        <x:v>PSP area ha (30m x 30m)</x:v>
      </x:c>
      <x:c r="H14" s="145" t="str">
        <x:v>Expected trees / PSP</x:v>
      </x:c>
      <x:c r="I14" s="145" t="s">
        <x:v>997</x:v>
      </x:c>
      <x:c r="J14" s="145" t="s">
        <x:v>998</x:v>
      </x:c>
      <x:c r="K14" s="145" t="s">
        <x:v>999</x:v>
      </x:c>
      <x:c r="L14" s="145" t="s">
        <x:v>1000</x:v>
      </x:c>
      <x:c r="M14" s="145" t="s">
        <x:v>1001</x:v>
      </x:c>
      <x:c r="N14" s="145" t="s">
        <x:v>1002</x:v>
      </x:c>
      <x:c r="O14" s="145" t="s">
        <x:v>1003</x:v>
      </x:c>
      <x:c r="P14" s="145" t="s">
        <x:v>1004</x:v>
      </x:c>
      <x:c r="Q14" s="145" t="s">
        <x:v>1005</x:v>
      </x:c>
      <x:c r="R14" s="145" t="s">
        <x:v>1006</x:v>
      </x:c>
      <x:c r="S14" s="145" t="s">
        <x:v>1007</x:v>
      </x:c>
      <x:c r="T14" s="145" t="s">
        <x:v>1008</x:v>
      </x:c>
      <x:c r="U14" s="145" t="s">
        <x:v>1009</x:v>
      </x:c>
      <x:c r="V14" s="145" t="s">
        <x:v>1010</x:v>
      </x:c>
      <x:c r="W14" s="145" t="s">
        <x:v>1011</x:v>
      </x:c>
      <x:c r="X14" s="145" t="s">
        <x:v>1012</x:v>
      </x:c>
      <x:c r="Y14" s="145" t="s">
        <x:v>1013</x:v>
      </x:c>
      <x:c r="Z14" s="145" t="s">
        <x:v>1014</x:v>
      </x:c>
      <x:c r="AA14" s="145" t="s">
        <x:v>1015</x:v>
      </x:c>
      <x:c r="AB14" s="145" t="s">
        <x:v>1016</x:v>
      </x:c>
      <x:c r="AC14" s="145" t="s">
        <x:v>1017</x:v>
      </x:c>
      <x:c r="AD14" s="146" t="n">
        <x:v>2020</x:v>
      </x:c>
      <x:c r="AE14" s="146" t="n">
        <x:v>2021</x:v>
      </x:c>
      <x:c r="AF14" s="146" t="n">
        <x:v>2022</x:v>
      </x:c>
      <x:c r="AG14" s="146" t="n">
        <x:v>2023</x:v>
      </x:c>
      <x:c r="AH14" s="146" t="n">
        <x:v>2024</x:v>
      </x:c>
      <x:c r="AI14" s="146" t="n">
        <x:v>2025</x:v>
      </x:c>
      <x:c r="AJ14" s="146" t="n">
        <x:v>2026</x:v>
      </x:c>
      <x:c r="AK14" s="146" t="n">
        <x:v>2027</x:v>
      </x:c>
      <x:c r="AL14" s="146" t="n">
        <x:v>2028</x:v>
      </x:c>
      <x:c r="AM14" s="146" t="n">
        <x:v>2029</x:v>
      </x:c>
      <x:c r="AN14" s="146" t="n">
        <x:v>2030</x:v>
      </x:c>
      <x:c r="AO14" s="146" t="n">
        <x:v>2031</x:v>
      </x:c>
      <x:c r="AP14" s="146" t="n">
        <x:v>2032</x:v>
      </x:c>
      <x:c r="AQ14" s="146" t="n">
        <x:v>2033</x:v>
      </x:c>
      <x:c r="AR14" s="146" t="n">
        <x:v>2034</x:v>
      </x:c>
      <x:c r="AS14" s="146" t="n">
        <x:v>2035</x:v>
      </x:c>
      <x:c r="AT14" s="146" t="n">
        <x:v>2036</x:v>
      </x:c>
      <x:c r="AU14" s="146" t="n">
        <x:v>2037</x:v>
      </x:c>
      <x:c r="AV14" s="146" t="n">
        <x:v>2038</x:v>
      </x:c>
      <x:c r="AW14" s="146" t="n">
        <x:v>2039</x:v>
      </x:c>
      <x:c r="AX14" s="146" t="n">
        <x:v>2040</x:v>
      </x:c>
      <x:c r="AY14" s="146" t="s">
        <x:v>1018</x:v>
      </x:c>
      <x:c r="AZ14" s="146" t="s">
        <x:v>1019</x:v>
      </x:c>
      <x:c r="BA14" s="146" t="s">
        <x:v>1020</x:v>
      </x:c>
      <x:c r="BB14" s="146" t="s">
        <x:v>1021</x:v>
      </x:c>
      <x:c r="BC14" s="146" t="s">
        <x:v>1022</x:v>
      </x:c>
      <x:c r="BD14" s="146" t="s">
        <x:v>1023</x:v>
      </x:c>
      <x:c r="BE14" s="146" t="s">
        <x:v>1024</x:v>
      </x:c>
      <x:c r="BF14" s="146" t="s">
        <x:v>1025</x:v>
      </x:c>
      <x:c r="BG14" s="146" t="s">
        <x:v>1026</x:v>
      </x:c>
      <x:c r="BH14" s="146" t="s">
        <x:v>1027</x:v>
      </x:c>
      <x:c r="BI14" s="146" t="s">
        <x:v>1028</x:v>
      </x:c>
      <x:c r="BJ14" s="146" t="s">
        <x:v>1029</x:v>
      </x:c>
      <x:c r="BK14" s="146" t="s">
        <x:v>1030</x:v>
      </x:c>
      <x:c r="BL14" s="146" t="s">
        <x:v>1031</x:v>
      </x:c>
      <x:c r="BM14" s="146" t="s">
        <x:v>1032</x:v>
      </x:c>
      <x:c r="BN14" s="146" t="s">
        <x:v>1033</x:v>
      </x:c>
      <x:c r="BO14" s="146" t="s">
        <x:v>1034</x:v>
      </x:c>
      <x:c r="BP14" s="146" t="s">
        <x:v>1035</x:v>
      </x:c>
      <x:c r="BQ14" s="146" t="s">
        <x:v>1036</x:v>
      </x:c>
      <x:c r="BR14" s="146" t="s">
        <x:v>1037</x:v>
      </x:c>
      <x:c r="BS14" s="146" t="s">
        <x:v>1038</x:v>
      </x:c>
      <x:c r="BT14" s="146" t="s">
        <x:v>1039</x:v>
      </x:c>
      <x:c r="BU14" s="146" t="s">
        <x:v>1040</x:v>
      </x:c>
    </x:row>
    <x:row r="15" ht="15" hidden="0" customHeight="1">
      <x:c r="A15" s="1" t="str">
        <x:f aca="0">S13_PSP_Species_Support!A2</x:f>
        <x:v>PSP-FO-001</x:v>
      </x:c>
      <x:c r="B15" s="1" t="n">
        <x:f aca="0">2</x:f>
        <x:v>2</x:v>
      </x:c>
      <x:c r="C15" s="1" t="str">
        <x:f aca="0">S13_PSP_Species_Support!I2</x:f>
        <x:v>Fruit Orchard|High|2020</x:v>
      </x:c>
      <x:c r="D15" s="1" t="str">
        <x:f aca="0">S13_PSP_Species_Support!C2</x:f>
        <x:v>Fruit Orchard (Block)</x:v>
      </x:c>
      <x:c r="E15" s="1" t="str">
        <x:f aca="0">S13_PSP_Species_Support!D2</x:f>
        <x:v>High</x:v>
      </x:c>
      <x:c r="F15" s="1" t="n">
        <x:f aca="0">S13_PSP_Species_Support!E2</x:f>
        <x:v>2020</x:v>
      </x:c>
      <x:c r="G15" s="645" t="n">
        <x:f aca="0">'S13_PSP_Species_Support'!DJ2</x:f>
        <x:v>0.09</x:v>
      </x:c>
      <x:c r="H15" s="714" t="n">
        <x:f aca="0">'S13_PSP_Species_Support'!DK2</x:f>
        <x:v>55.42695672369745</x:v>
      </x:c>
      <x:c r="I15" s="147" t="n">
        <x:f aca="0">IFERROR((IFERROR(S13_PSP_Species_Support!U2*0.0673*(S13_PSP_Species_Support!V2*(S13_PSP_Species_Support!W2*(1-EXP(-S13_PSP_Species_Support!X2*0))^S13_PSP_Species_Support!Y2)^2*(S13_PSP_Species_Support!Z2*(1-EXP(-S13_PSP_Species_Support!AA2*0))^S13_PSP_Species_Support!AB2))^0.976,0)+IFERROR(S13_PSP_Species_Support!AF2*0.0673*(S13_PSP_Species_Support!AG2*(S13_PSP_Species_Support!AH2*(1-EXP(-S13_PSP_Species_Support!AI2*0))^S13_PSP_Species_Support!AJ2)^2*(S13_PSP_Species_Support!AK2*(1-EXP(-S13_PSP_Species_Support!AL2*0))^S13_PSP_Species_Support!AM2))^0.976,0)+IFERROR(S13_PSP_Species_Support!AQ2*0.0673*(S13_PSP_Species_Support!AR2*(S13_PSP_Species_Support!AS2*(1-EXP(-S13_PSP_Species_Support!AT2*0))^S13_PSP_Species_Support!AU2)^2*(S13_PSP_Species_Support!AV2*(1-EXP(-S13_PSP_Species_Support!AW2*0))^S13_PSP_Species_Support!AX2))^0.976,0)+IFERROR(S13_PSP_Species_Support!BB2*0.0673*(S13_PSP_Species_Support!BC2*(S13_PSP_Species_Support!BD2*(1-EXP(-S13_PSP_Species_Support!BE2*0))^S13_PSP_Species_Support!BF2)^2*(S13_PSP_Species_Support!BG2*(1-EXP(-S13_PSP_Species_Support!BH2*0))^S13_PSP_Species_Support!BI2))^0.976,0)+IFERROR(S13_PSP_Species_Support!BM2*0.0673*(S13_PSP_Species_Support!BN2*(S13_PSP_Species_Support!BO2*(1-EXP(-S13_PSP_Species_Support!BP2*0))^S13_PSP_Species_Support!BQ2)^2*(S13_PSP_Species_Support!BR2*(1-EXP(-S13_PSP_Species_Support!BS2*0))^S13_PSP_Species_Support!BT2))^0.976,0)+IFERROR(S13_PSP_Species_Support!BX2*0.0673*(S13_PSP_Species_Support!BY2*(S13_PSP_Species_Support!BZ2*(1-EXP(-S13_PSP_Species_Support!CA2*0))^S13_PSP_Species_Support!CB2)^2*(S13_PSP_Species_Support!CC2*(1-EXP(-S13_PSP_Species_Support!CD2*0))^S13_PSP_Species_Support!CE2))^0.976,0)+IFERROR(S13_PSP_Species_Support!CI2*0.0673*(S13_PSP_Species_Support!CJ2*(S13_PSP_Species_Support!CK2*(1-EXP(-S13_PSP_Species_Support!CL2*0))^S13_PSP_Species_Support!CM2)^2*(S13_PSP_Species_Support!CN2*(1-EXP(-S13_PSP_Species_Support!CO2*0))^S13_PSP_Species_Support!CP2))^0.976,0)+IFERROR(S13_PSP_Species_Support!CT2*0.0673*(S13_PSP_Species_Support!CU2*(S13_PSP_Species_Support!CV2*(1-EXP(-S13_PSP_Species_Support!CW2*0))^S13_PSP_Species_Support!CX2)^2*(S13_PSP_Species_Support!CY2*(1-EXP(-S13_PSP_Species_Support!CZ2*0))^S13_PSP_Species_Support!DA2))^0.976,0))/1000/$G15*I$108,0)</x:f>
        <x:v>0</x:v>
      </x:c>
      <x:c r="J15" s="147" t="n">
        <x:f aca="0">IFERROR((IFERROR(S13_PSP_Species_Support!U2*0.0673*(S13_PSP_Species_Support!V2*(S13_PSP_Species_Support!W2*(1-EXP(-S13_PSP_Species_Support!X2*1))^S13_PSP_Species_Support!Y2)^2*(S13_PSP_Species_Support!Z2*(1-EXP(-S13_PSP_Species_Support!AA2*1))^S13_PSP_Species_Support!AB2))^0.976,0)+IFERROR(S13_PSP_Species_Support!AF2*0.0673*(S13_PSP_Species_Support!AG2*(S13_PSP_Species_Support!AH2*(1-EXP(-S13_PSP_Species_Support!AI2*1))^S13_PSP_Species_Support!AJ2)^2*(S13_PSP_Species_Support!AK2*(1-EXP(-S13_PSP_Species_Support!AL2*1))^S13_PSP_Species_Support!AM2))^0.976,0)+IFERROR(S13_PSP_Species_Support!AQ2*0.0673*(S13_PSP_Species_Support!AR2*(S13_PSP_Species_Support!AS2*(1-EXP(-S13_PSP_Species_Support!AT2*1))^S13_PSP_Species_Support!AU2)^2*(S13_PSP_Species_Support!AV2*(1-EXP(-S13_PSP_Species_Support!AW2*1))^S13_PSP_Species_Support!AX2))^0.976,0)+IFERROR(S13_PSP_Species_Support!BB2*0.0673*(S13_PSP_Species_Support!BC2*(S13_PSP_Species_Support!BD2*(1-EXP(-S13_PSP_Species_Support!BE2*1))^S13_PSP_Species_Support!BF2)^2*(S13_PSP_Species_Support!BG2*(1-EXP(-S13_PSP_Species_Support!BH2*1))^S13_PSP_Species_Support!BI2))^0.976,0)+IFERROR(S13_PSP_Species_Support!BM2*0.0673*(S13_PSP_Species_Support!BN2*(S13_PSP_Species_Support!BO2*(1-EXP(-S13_PSP_Species_Support!BP2*1))^S13_PSP_Species_Support!BQ2)^2*(S13_PSP_Species_Support!BR2*(1-EXP(-S13_PSP_Species_Support!BS2*1))^S13_PSP_Species_Support!BT2))^0.976,0)+IFERROR(S13_PSP_Species_Support!BX2*0.0673*(S13_PSP_Species_Support!BY2*(S13_PSP_Species_Support!BZ2*(1-EXP(-S13_PSP_Species_Support!CA2*1))^S13_PSP_Species_Support!CB2)^2*(S13_PSP_Species_Support!CC2*(1-EXP(-S13_PSP_Species_Support!CD2*1))^S13_PSP_Species_Support!CE2))^0.976,0)+IFERROR(S13_PSP_Species_Support!CI2*0.0673*(S13_PSP_Species_Support!CJ2*(S13_PSP_Species_Support!CK2*(1-EXP(-S13_PSP_Species_Support!CL2*1))^S13_PSP_Species_Support!CM2)^2*(S13_PSP_Species_Support!CN2*(1-EXP(-S13_PSP_Species_Support!CO2*1))^S13_PSP_Species_Support!CP2))^0.976,0)+IFERROR(S13_PSP_Species_Support!CT2*0.0673*(S13_PSP_Species_Support!CU2*(S13_PSP_Species_Support!CV2*(1-EXP(-S13_PSP_Species_Support!CW2*1))^S13_PSP_Species_Support!CX2)^2*(S13_PSP_Species_Support!CY2*(1-EXP(-S13_PSP_Species_Support!CZ2*1))^S13_PSP_Species_Support!DA2))^0.976,0))/1000/$G15*J$108,0)</x:f>
        <x:v>0.06200581938748004</x:v>
      </x:c>
      <x:c r="K15" s="147" t="n">
        <x:f aca="0">IFERROR((IFERROR(S13_PSP_Species_Support!U2*0.0673*(S13_PSP_Species_Support!V2*(S13_PSP_Species_Support!W2*(1-EXP(-S13_PSP_Species_Support!X2*2))^S13_PSP_Species_Support!Y2)^2*(S13_PSP_Species_Support!Z2*(1-EXP(-S13_PSP_Species_Support!AA2*2))^S13_PSP_Species_Support!AB2))^0.976,0)+IFERROR(S13_PSP_Species_Support!AF2*0.0673*(S13_PSP_Species_Support!AG2*(S13_PSP_Species_Support!AH2*(1-EXP(-S13_PSP_Species_Support!AI2*2))^S13_PSP_Species_Support!AJ2)^2*(S13_PSP_Species_Support!AK2*(1-EXP(-S13_PSP_Species_Support!AL2*2))^S13_PSP_Species_Support!AM2))^0.976,0)+IFERROR(S13_PSP_Species_Support!AQ2*0.0673*(S13_PSP_Species_Support!AR2*(S13_PSP_Species_Support!AS2*(1-EXP(-S13_PSP_Species_Support!AT2*2))^S13_PSP_Species_Support!AU2)^2*(S13_PSP_Species_Support!AV2*(1-EXP(-S13_PSP_Species_Support!AW2*2))^S13_PSP_Species_Support!AX2))^0.976,0)+IFERROR(S13_PSP_Species_Support!BB2*0.0673*(S13_PSP_Species_Support!BC2*(S13_PSP_Species_Support!BD2*(1-EXP(-S13_PSP_Species_Support!BE2*2))^S13_PSP_Species_Support!BF2)^2*(S13_PSP_Species_Support!BG2*(1-EXP(-S13_PSP_Species_Support!BH2*2))^S13_PSP_Species_Support!BI2))^0.976,0)+IFERROR(S13_PSP_Species_Support!BM2*0.0673*(S13_PSP_Species_Support!BN2*(S13_PSP_Species_Support!BO2*(1-EXP(-S13_PSP_Species_Support!BP2*2))^S13_PSP_Species_Support!BQ2)^2*(S13_PSP_Species_Support!BR2*(1-EXP(-S13_PSP_Species_Support!BS2*2))^S13_PSP_Species_Support!BT2))^0.976,0)+IFERROR(S13_PSP_Species_Support!BX2*0.0673*(S13_PSP_Species_Support!BY2*(S13_PSP_Species_Support!BZ2*(1-EXP(-S13_PSP_Species_Support!CA2*2))^S13_PSP_Species_Support!CB2)^2*(S13_PSP_Species_Support!CC2*(1-EXP(-S13_PSP_Species_Support!CD2*2))^S13_PSP_Species_Support!CE2))^0.976,0)+IFERROR(S13_PSP_Species_Support!CI2*0.0673*(S13_PSP_Species_Support!CJ2*(S13_PSP_Species_Support!CK2*(1-EXP(-S13_PSP_Species_Support!CL2*2))^S13_PSP_Species_Support!CM2)^2*(S13_PSP_Species_Support!CN2*(1-EXP(-S13_PSP_Species_Support!CO2*2))^S13_PSP_Species_Support!CP2))^0.976,0)+IFERROR(S13_PSP_Species_Support!CT2*0.0673*(S13_PSP_Species_Support!CU2*(S13_PSP_Species_Support!CV2*(1-EXP(-S13_PSP_Species_Support!CW2*2))^S13_PSP_Species_Support!CX2)^2*(S13_PSP_Species_Support!CY2*(1-EXP(-S13_PSP_Species_Support!CZ2*2))^S13_PSP_Species_Support!DA2))^0.976,0))/1000/$G15*K$108,0)</x:f>
        <x:v>0.7451886051772845</x:v>
      </x:c>
      <x:c r="L15" s="147" t="n">
        <x:f aca="0">IFERROR((IFERROR(S13_PSP_Species_Support!U2*0.0673*(S13_PSP_Species_Support!V2*(S13_PSP_Species_Support!W2*(1-EXP(-S13_PSP_Species_Support!X2*3))^S13_PSP_Species_Support!Y2)^2*(S13_PSP_Species_Support!Z2*(1-EXP(-S13_PSP_Species_Support!AA2*3))^S13_PSP_Species_Support!AB2))^0.976,0)+IFERROR(S13_PSP_Species_Support!AF2*0.0673*(S13_PSP_Species_Support!AG2*(S13_PSP_Species_Support!AH2*(1-EXP(-S13_PSP_Species_Support!AI2*3))^S13_PSP_Species_Support!AJ2)^2*(S13_PSP_Species_Support!AK2*(1-EXP(-S13_PSP_Species_Support!AL2*3))^S13_PSP_Species_Support!AM2))^0.976,0)+IFERROR(S13_PSP_Species_Support!AQ2*0.0673*(S13_PSP_Species_Support!AR2*(S13_PSP_Species_Support!AS2*(1-EXP(-S13_PSP_Species_Support!AT2*3))^S13_PSP_Species_Support!AU2)^2*(S13_PSP_Species_Support!AV2*(1-EXP(-S13_PSP_Species_Support!AW2*3))^S13_PSP_Species_Support!AX2))^0.976,0)+IFERROR(S13_PSP_Species_Support!BB2*0.0673*(S13_PSP_Species_Support!BC2*(S13_PSP_Species_Support!BD2*(1-EXP(-S13_PSP_Species_Support!BE2*3))^S13_PSP_Species_Support!BF2)^2*(S13_PSP_Species_Support!BG2*(1-EXP(-S13_PSP_Species_Support!BH2*3))^S13_PSP_Species_Support!BI2))^0.976,0)+IFERROR(S13_PSP_Species_Support!BM2*0.0673*(S13_PSP_Species_Support!BN2*(S13_PSP_Species_Support!BO2*(1-EXP(-S13_PSP_Species_Support!BP2*3))^S13_PSP_Species_Support!BQ2)^2*(S13_PSP_Species_Support!BR2*(1-EXP(-S13_PSP_Species_Support!BS2*3))^S13_PSP_Species_Support!BT2))^0.976,0)+IFERROR(S13_PSP_Species_Support!BX2*0.0673*(S13_PSP_Species_Support!BY2*(S13_PSP_Species_Support!BZ2*(1-EXP(-S13_PSP_Species_Support!CA2*3))^S13_PSP_Species_Support!CB2)^2*(S13_PSP_Species_Support!CC2*(1-EXP(-S13_PSP_Species_Support!CD2*3))^S13_PSP_Species_Support!CE2))^0.976,0)+IFERROR(S13_PSP_Species_Support!CI2*0.0673*(S13_PSP_Species_Support!CJ2*(S13_PSP_Species_Support!CK2*(1-EXP(-S13_PSP_Species_Support!CL2*3))^S13_PSP_Species_Support!CM2)^2*(S13_PSP_Species_Support!CN2*(1-EXP(-S13_PSP_Species_Support!CO2*3))^S13_PSP_Species_Support!CP2))^0.976,0)+IFERROR(S13_PSP_Species_Support!CT2*0.0673*(S13_PSP_Species_Support!CU2*(S13_PSP_Species_Support!CV2*(1-EXP(-S13_PSP_Species_Support!CW2*3))^S13_PSP_Species_Support!CX2)^2*(S13_PSP_Species_Support!CY2*(1-EXP(-S13_PSP_Species_Support!CZ2*3))^S13_PSP_Species_Support!DA2))^0.976,0))/1000/$G15*L$108,0)</x:f>
        <x:v>2.808208636119083</x:v>
      </x:c>
      <x:c r="M15" s="147" t="n">
        <x:f aca="0">IFERROR((IFERROR(S13_PSP_Species_Support!U2*0.0673*(S13_PSP_Species_Support!V2*(S13_PSP_Species_Support!W2*(1-EXP(-S13_PSP_Species_Support!X2*4))^S13_PSP_Species_Support!Y2)^2*(S13_PSP_Species_Support!Z2*(1-EXP(-S13_PSP_Species_Support!AA2*4))^S13_PSP_Species_Support!AB2))^0.976,0)+IFERROR(S13_PSP_Species_Support!AF2*0.0673*(S13_PSP_Species_Support!AG2*(S13_PSP_Species_Support!AH2*(1-EXP(-S13_PSP_Species_Support!AI2*4))^S13_PSP_Species_Support!AJ2)^2*(S13_PSP_Species_Support!AK2*(1-EXP(-S13_PSP_Species_Support!AL2*4))^S13_PSP_Species_Support!AM2))^0.976,0)+IFERROR(S13_PSP_Species_Support!AQ2*0.0673*(S13_PSP_Species_Support!AR2*(S13_PSP_Species_Support!AS2*(1-EXP(-S13_PSP_Species_Support!AT2*4))^S13_PSP_Species_Support!AU2)^2*(S13_PSP_Species_Support!AV2*(1-EXP(-S13_PSP_Species_Support!AW2*4))^S13_PSP_Species_Support!AX2))^0.976,0)+IFERROR(S13_PSP_Species_Support!BB2*0.0673*(S13_PSP_Species_Support!BC2*(S13_PSP_Species_Support!BD2*(1-EXP(-S13_PSP_Species_Support!BE2*4))^S13_PSP_Species_Support!BF2)^2*(S13_PSP_Species_Support!BG2*(1-EXP(-S13_PSP_Species_Support!BH2*4))^S13_PSP_Species_Support!BI2))^0.976,0)+IFERROR(S13_PSP_Species_Support!BM2*0.0673*(S13_PSP_Species_Support!BN2*(S13_PSP_Species_Support!BO2*(1-EXP(-S13_PSP_Species_Support!BP2*4))^S13_PSP_Species_Support!BQ2)^2*(S13_PSP_Species_Support!BR2*(1-EXP(-S13_PSP_Species_Support!BS2*4))^S13_PSP_Species_Support!BT2))^0.976,0)+IFERROR(S13_PSP_Species_Support!BX2*0.0673*(S13_PSP_Species_Support!BY2*(S13_PSP_Species_Support!BZ2*(1-EXP(-S13_PSP_Species_Support!CA2*4))^S13_PSP_Species_Support!CB2)^2*(S13_PSP_Species_Support!CC2*(1-EXP(-S13_PSP_Species_Support!CD2*4))^S13_PSP_Species_Support!CE2))^0.976,0)+IFERROR(S13_PSP_Species_Support!CI2*0.0673*(S13_PSP_Species_Support!CJ2*(S13_PSP_Species_Support!CK2*(1-EXP(-S13_PSP_Species_Support!CL2*4))^S13_PSP_Species_Support!CM2)^2*(S13_PSP_Species_Support!CN2*(1-EXP(-S13_PSP_Species_Support!CO2*4))^S13_PSP_Species_Support!CP2))^0.976,0)+IFERROR(S13_PSP_Species_Support!CT2*0.0673*(S13_PSP_Species_Support!CU2*(S13_PSP_Species_Support!CV2*(1-EXP(-S13_PSP_Species_Support!CW2*4))^S13_PSP_Species_Support!CX2)^2*(S13_PSP_Species_Support!CY2*(1-EXP(-S13_PSP_Species_Support!CZ2*4))^S13_PSP_Species_Support!DA2))^0.976,0))/1000/$G15*M$108,0)</x:f>
        <x:v>6.660031425119159</x:v>
      </x:c>
      <x:c r="N15" s="147" t="n">
        <x:f aca="0">IFERROR((IFERROR(S13_PSP_Species_Support!U2*0.0673*(S13_PSP_Species_Support!V2*(S13_PSP_Species_Support!W2*(1-EXP(-S13_PSP_Species_Support!X2*5))^S13_PSP_Species_Support!Y2)^2*(S13_PSP_Species_Support!Z2*(1-EXP(-S13_PSP_Species_Support!AA2*5))^S13_PSP_Species_Support!AB2))^0.976,0)+IFERROR(S13_PSP_Species_Support!AF2*0.0673*(S13_PSP_Species_Support!AG2*(S13_PSP_Species_Support!AH2*(1-EXP(-S13_PSP_Species_Support!AI2*5))^S13_PSP_Species_Support!AJ2)^2*(S13_PSP_Species_Support!AK2*(1-EXP(-S13_PSP_Species_Support!AL2*5))^S13_PSP_Species_Support!AM2))^0.976,0)+IFERROR(S13_PSP_Species_Support!AQ2*0.0673*(S13_PSP_Species_Support!AR2*(S13_PSP_Species_Support!AS2*(1-EXP(-S13_PSP_Species_Support!AT2*5))^S13_PSP_Species_Support!AU2)^2*(S13_PSP_Species_Support!AV2*(1-EXP(-S13_PSP_Species_Support!AW2*5))^S13_PSP_Species_Support!AX2))^0.976,0)+IFERROR(S13_PSP_Species_Support!BB2*0.0673*(S13_PSP_Species_Support!BC2*(S13_PSP_Species_Support!BD2*(1-EXP(-S13_PSP_Species_Support!BE2*5))^S13_PSP_Species_Support!BF2)^2*(S13_PSP_Species_Support!BG2*(1-EXP(-S13_PSP_Species_Support!BH2*5))^S13_PSP_Species_Support!BI2))^0.976,0)+IFERROR(S13_PSP_Species_Support!BM2*0.0673*(S13_PSP_Species_Support!BN2*(S13_PSP_Species_Support!BO2*(1-EXP(-S13_PSP_Species_Support!BP2*5))^S13_PSP_Species_Support!BQ2)^2*(S13_PSP_Species_Support!BR2*(1-EXP(-S13_PSP_Species_Support!BS2*5))^S13_PSP_Species_Support!BT2))^0.976,0)+IFERROR(S13_PSP_Species_Support!BX2*0.0673*(S13_PSP_Species_Support!BY2*(S13_PSP_Species_Support!BZ2*(1-EXP(-S13_PSP_Species_Support!CA2*5))^S13_PSP_Species_Support!CB2)^2*(S13_PSP_Species_Support!CC2*(1-EXP(-S13_PSP_Species_Support!CD2*5))^S13_PSP_Species_Support!CE2))^0.976,0)+IFERROR(S13_PSP_Species_Support!CI2*0.0673*(S13_PSP_Species_Support!CJ2*(S13_PSP_Species_Support!CK2*(1-EXP(-S13_PSP_Species_Support!CL2*5))^S13_PSP_Species_Support!CM2)^2*(S13_PSP_Species_Support!CN2*(1-EXP(-S13_PSP_Species_Support!CO2*5))^S13_PSP_Species_Support!CP2))^0.976,0)+IFERROR(S13_PSP_Species_Support!CT2*0.0673*(S13_PSP_Species_Support!CU2*(S13_PSP_Species_Support!CV2*(1-EXP(-S13_PSP_Species_Support!CW2*5))^S13_PSP_Species_Support!CX2)^2*(S13_PSP_Species_Support!CY2*(1-EXP(-S13_PSP_Species_Support!CZ2*5))^S13_PSP_Species_Support!DA2))^0.976,0))/1000/$G15*N$108,0)</x:f>
        <x:v>12.246972137348669</x:v>
      </x:c>
      <x:c r="O15" s="147" t="n">
        <x:f aca="0">IFERROR((IFERROR(S13_PSP_Species_Support!U2*0.0673*(S13_PSP_Species_Support!V2*(S13_PSP_Species_Support!W2*(1-EXP(-S13_PSP_Species_Support!X2*6))^S13_PSP_Species_Support!Y2)^2*(S13_PSP_Species_Support!Z2*(1-EXP(-S13_PSP_Species_Support!AA2*6))^S13_PSP_Species_Support!AB2))^0.976,0)+IFERROR(S13_PSP_Species_Support!AF2*0.0673*(S13_PSP_Species_Support!AG2*(S13_PSP_Species_Support!AH2*(1-EXP(-S13_PSP_Species_Support!AI2*6))^S13_PSP_Species_Support!AJ2)^2*(S13_PSP_Species_Support!AK2*(1-EXP(-S13_PSP_Species_Support!AL2*6))^S13_PSP_Species_Support!AM2))^0.976,0)+IFERROR(S13_PSP_Species_Support!AQ2*0.0673*(S13_PSP_Species_Support!AR2*(S13_PSP_Species_Support!AS2*(1-EXP(-S13_PSP_Species_Support!AT2*6))^S13_PSP_Species_Support!AU2)^2*(S13_PSP_Species_Support!AV2*(1-EXP(-S13_PSP_Species_Support!AW2*6))^S13_PSP_Species_Support!AX2))^0.976,0)+IFERROR(S13_PSP_Species_Support!BB2*0.0673*(S13_PSP_Species_Support!BC2*(S13_PSP_Species_Support!BD2*(1-EXP(-S13_PSP_Species_Support!BE2*6))^S13_PSP_Species_Support!BF2)^2*(S13_PSP_Species_Support!BG2*(1-EXP(-S13_PSP_Species_Support!BH2*6))^S13_PSP_Species_Support!BI2))^0.976,0)+IFERROR(S13_PSP_Species_Support!BM2*0.0673*(S13_PSP_Species_Support!BN2*(S13_PSP_Species_Support!BO2*(1-EXP(-S13_PSP_Species_Support!BP2*6))^S13_PSP_Species_Support!BQ2)^2*(S13_PSP_Species_Support!BR2*(1-EXP(-S13_PSP_Species_Support!BS2*6))^S13_PSP_Species_Support!BT2))^0.976,0)+IFERROR(S13_PSP_Species_Support!BX2*0.0673*(S13_PSP_Species_Support!BY2*(S13_PSP_Species_Support!BZ2*(1-EXP(-S13_PSP_Species_Support!CA2*6))^S13_PSP_Species_Support!CB2)^2*(S13_PSP_Species_Support!CC2*(1-EXP(-S13_PSP_Species_Support!CD2*6))^S13_PSP_Species_Support!CE2))^0.976,0)+IFERROR(S13_PSP_Species_Support!CI2*0.0673*(S13_PSP_Species_Support!CJ2*(S13_PSP_Species_Support!CK2*(1-EXP(-S13_PSP_Species_Support!CL2*6))^S13_PSP_Species_Support!CM2)^2*(S13_PSP_Species_Support!CN2*(1-EXP(-S13_PSP_Species_Support!CO2*6))^S13_PSP_Species_Support!CP2))^0.976,0)+IFERROR(S13_PSP_Species_Support!CT2*0.0673*(S13_PSP_Species_Support!CU2*(S13_PSP_Species_Support!CV2*(1-EXP(-S13_PSP_Species_Support!CW2*6))^S13_PSP_Species_Support!CX2)^2*(S13_PSP_Species_Support!CY2*(1-EXP(-S13_PSP_Species_Support!CZ2*6))^S13_PSP_Species_Support!DA2))^0.976,0))/1000/$G15*O$108,0)</x:f>
        <x:v>19.247454115427963</x:v>
      </x:c>
      <x:c r="P15" s="147" t="n">
        <x:f aca="0">IFERROR((IFERROR(S13_PSP_Species_Support!U2*0.0673*(S13_PSP_Species_Support!V2*(S13_PSP_Species_Support!W2*(1-EXP(-S13_PSP_Species_Support!X2*7))^S13_PSP_Species_Support!Y2)^2*(S13_PSP_Species_Support!Z2*(1-EXP(-S13_PSP_Species_Support!AA2*7))^S13_PSP_Species_Support!AB2))^0.976,0)+IFERROR(S13_PSP_Species_Support!AF2*0.0673*(S13_PSP_Species_Support!AG2*(S13_PSP_Species_Support!AH2*(1-EXP(-S13_PSP_Species_Support!AI2*7))^S13_PSP_Species_Support!AJ2)^2*(S13_PSP_Species_Support!AK2*(1-EXP(-S13_PSP_Species_Support!AL2*7))^S13_PSP_Species_Support!AM2))^0.976,0)+IFERROR(S13_PSP_Species_Support!AQ2*0.0673*(S13_PSP_Species_Support!AR2*(S13_PSP_Species_Support!AS2*(1-EXP(-S13_PSP_Species_Support!AT2*7))^S13_PSP_Species_Support!AU2)^2*(S13_PSP_Species_Support!AV2*(1-EXP(-S13_PSP_Species_Support!AW2*7))^S13_PSP_Species_Support!AX2))^0.976,0)+IFERROR(S13_PSP_Species_Support!BB2*0.0673*(S13_PSP_Species_Support!BC2*(S13_PSP_Species_Support!BD2*(1-EXP(-S13_PSP_Species_Support!BE2*7))^S13_PSP_Species_Support!BF2)^2*(S13_PSP_Species_Support!BG2*(1-EXP(-S13_PSP_Species_Support!BH2*7))^S13_PSP_Species_Support!BI2))^0.976,0)+IFERROR(S13_PSP_Species_Support!BM2*0.0673*(S13_PSP_Species_Support!BN2*(S13_PSP_Species_Support!BO2*(1-EXP(-S13_PSP_Species_Support!BP2*7))^S13_PSP_Species_Support!BQ2)^2*(S13_PSP_Species_Support!BR2*(1-EXP(-S13_PSP_Species_Support!BS2*7))^S13_PSP_Species_Support!BT2))^0.976,0)+IFERROR(S13_PSP_Species_Support!BX2*0.0673*(S13_PSP_Species_Support!BY2*(S13_PSP_Species_Support!BZ2*(1-EXP(-S13_PSP_Species_Support!CA2*7))^S13_PSP_Species_Support!CB2)^2*(S13_PSP_Species_Support!CC2*(1-EXP(-S13_PSP_Species_Support!CD2*7))^S13_PSP_Species_Support!CE2))^0.976,0)+IFERROR(S13_PSP_Species_Support!CI2*0.0673*(S13_PSP_Species_Support!CJ2*(S13_PSP_Species_Support!CK2*(1-EXP(-S13_PSP_Species_Support!CL2*7))^S13_PSP_Species_Support!CM2)^2*(S13_PSP_Species_Support!CN2*(1-EXP(-S13_PSP_Species_Support!CO2*7))^S13_PSP_Species_Support!CP2))^0.976,0)+IFERROR(S13_PSP_Species_Support!CT2*0.0673*(S13_PSP_Species_Support!CU2*(S13_PSP_Species_Support!CV2*(1-EXP(-S13_PSP_Species_Support!CW2*7))^S13_PSP_Species_Support!CX2)^2*(S13_PSP_Species_Support!CY2*(1-EXP(-S13_PSP_Species_Support!CZ2*7))^S13_PSP_Species_Support!DA2))^0.976,0))/1000/$G15*P$108,0)</x:f>
        <x:v>27.22742998293558</x:v>
      </x:c>
      <x:c r="Q15" s="147" t="n">
        <x:f aca="0">IFERROR((IFERROR(S13_PSP_Species_Support!U2*0.0673*(S13_PSP_Species_Support!V2*(S13_PSP_Species_Support!W2*(1-EXP(-S13_PSP_Species_Support!X2*8))^S13_PSP_Species_Support!Y2)^2*(S13_PSP_Species_Support!Z2*(1-EXP(-S13_PSP_Species_Support!AA2*8))^S13_PSP_Species_Support!AB2))^0.976,0)+IFERROR(S13_PSP_Species_Support!AF2*0.0673*(S13_PSP_Species_Support!AG2*(S13_PSP_Species_Support!AH2*(1-EXP(-S13_PSP_Species_Support!AI2*8))^S13_PSP_Species_Support!AJ2)^2*(S13_PSP_Species_Support!AK2*(1-EXP(-S13_PSP_Species_Support!AL2*8))^S13_PSP_Species_Support!AM2))^0.976,0)+IFERROR(S13_PSP_Species_Support!AQ2*0.0673*(S13_PSP_Species_Support!AR2*(S13_PSP_Species_Support!AS2*(1-EXP(-S13_PSP_Species_Support!AT2*8))^S13_PSP_Species_Support!AU2)^2*(S13_PSP_Species_Support!AV2*(1-EXP(-S13_PSP_Species_Support!AW2*8))^S13_PSP_Species_Support!AX2))^0.976,0)+IFERROR(S13_PSP_Species_Support!BB2*0.0673*(S13_PSP_Species_Support!BC2*(S13_PSP_Species_Support!BD2*(1-EXP(-S13_PSP_Species_Support!BE2*8))^S13_PSP_Species_Support!BF2)^2*(S13_PSP_Species_Support!BG2*(1-EXP(-S13_PSP_Species_Support!BH2*8))^S13_PSP_Species_Support!BI2))^0.976,0)+IFERROR(S13_PSP_Species_Support!BM2*0.0673*(S13_PSP_Species_Support!BN2*(S13_PSP_Species_Support!BO2*(1-EXP(-S13_PSP_Species_Support!BP2*8))^S13_PSP_Species_Support!BQ2)^2*(S13_PSP_Species_Support!BR2*(1-EXP(-S13_PSP_Species_Support!BS2*8))^S13_PSP_Species_Support!BT2))^0.976,0)+IFERROR(S13_PSP_Species_Support!BX2*0.0673*(S13_PSP_Species_Support!BY2*(S13_PSP_Species_Support!BZ2*(1-EXP(-S13_PSP_Species_Support!CA2*8))^S13_PSP_Species_Support!CB2)^2*(S13_PSP_Species_Support!CC2*(1-EXP(-S13_PSP_Species_Support!CD2*8))^S13_PSP_Species_Support!CE2))^0.976,0)+IFERROR(S13_PSP_Species_Support!CI2*0.0673*(S13_PSP_Species_Support!CJ2*(S13_PSP_Species_Support!CK2*(1-EXP(-S13_PSP_Species_Support!CL2*8))^S13_PSP_Species_Support!CM2)^2*(S13_PSP_Species_Support!CN2*(1-EXP(-S13_PSP_Species_Support!CO2*8))^S13_PSP_Species_Support!CP2))^0.976,0)+IFERROR(S13_PSP_Species_Support!CT2*0.0673*(S13_PSP_Species_Support!CU2*(S13_PSP_Species_Support!CV2*(1-EXP(-S13_PSP_Species_Support!CW2*8))^S13_PSP_Species_Support!CX2)^2*(S13_PSP_Species_Support!CY2*(1-EXP(-S13_PSP_Species_Support!CZ2*8))^S13_PSP_Species_Support!DA2))^0.976,0))/1000/$G15*Q$108,0)</x:f>
        <x:v>35.751261543107276</x:v>
      </x:c>
      <x:c r="R15" s="147" t="n">
        <x:f aca="0">IFERROR((IFERROR(S13_PSP_Species_Support!U2*0.0673*(S13_PSP_Species_Support!V2*(S13_PSP_Species_Support!W2*(1-EXP(-S13_PSP_Species_Support!X2*9))^S13_PSP_Species_Support!Y2)^2*(S13_PSP_Species_Support!Z2*(1-EXP(-S13_PSP_Species_Support!AA2*9))^S13_PSP_Species_Support!AB2))^0.976,0)+IFERROR(S13_PSP_Species_Support!AF2*0.0673*(S13_PSP_Species_Support!AG2*(S13_PSP_Species_Support!AH2*(1-EXP(-S13_PSP_Species_Support!AI2*9))^S13_PSP_Species_Support!AJ2)^2*(S13_PSP_Species_Support!AK2*(1-EXP(-S13_PSP_Species_Support!AL2*9))^S13_PSP_Species_Support!AM2))^0.976,0)+IFERROR(S13_PSP_Species_Support!AQ2*0.0673*(S13_PSP_Species_Support!AR2*(S13_PSP_Species_Support!AS2*(1-EXP(-S13_PSP_Species_Support!AT2*9))^S13_PSP_Species_Support!AU2)^2*(S13_PSP_Species_Support!AV2*(1-EXP(-S13_PSP_Species_Support!AW2*9))^S13_PSP_Species_Support!AX2))^0.976,0)+IFERROR(S13_PSP_Species_Support!BB2*0.0673*(S13_PSP_Species_Support!BC2*(S13_PSP_Species_Support!BD2*(1-EXP(-S13_PSP_Species_Support!BE2*9))^S13_PSP_Species_Support!BF2)^2*(S13_PSP_Species_Support!BG2*(1-EXP(-S13_PSP_Species_Support!BH2*9))^S13_PSP_Species_Support!BI2))^0.976,0)+IFERROR(S13_PSP_Species_Support!BM2*0.0673*(S13_PSP_Species_Support!BN2*(S13_PSP_Species_Support!BO2*(1-EXP(-S13_PSP_Species_Support!BP2*9))^S13_PSP_Species_Support!BQ2)^2*(S13_PSP_Species_Support!BR2*(1-EXP(-S13_PSP_Species_Support!BS2*9))^S13_PSP_Species_Support!BT2))^0.976,0)+IFERROR(S13_PSP_Species_Support!BX2*0.0673*(S13_PSP_Species_Support!BY2*(S13_PSP_Species_Support!BZ2*(1-EXP(-S13_PSP_Species_Support!CA2*9))^S13_PSP_Species_Support!CB2)^2*(S13_PSP_Species_Support!CC2*(1-EXP(-S13_PSP_Species_Support!CD2*9))^S13_PSP_Species_Support!CE2))^0.976,0)+IFERROR(S13_PSP_Species_Support!CI2*0.0673*(S13_PSP_Species_Support!CJ2*(S13_PSP_Species_Support!CK2*(1-EXP(-S13_PSP_Species_Support!CL2*9))^S13_PSP_Species_Support!CM2)^2*(S13_PSP_Species_Support!CN2*(1-EXP(-S13_PSP_Species_Support!CO2*9))^S13_PSP_Species_Support!CP2))^0.976,0)+IFERROR(S13_PSP_Species_Support!CT2*0.0673*(S13_PSP_Species_Support!CU2*(S13_PSP_Species_Support!CV2*(1-EXP(-S13_PSP_Species_Support!CW2*9))^S13_PSP_Species_Support!CX2)^2*(S13_PSP_Species_Support!CY2*(1-EXP(-S13_PSP_Species_Support!CZ2*9))^S13_PSP_Species_Support!DA2))^0.976,0))/1000/$G15*R$108,0)</x:f>
        <x:v>44.441022662285384</x:v>
      </x:c>
      <x:c r="S15" s="147" t="n">
        <x:f aca="0">IFERROR((IFERROR(S13_PSP_Species_Support!U2*0.0673*(S13_PSP_Species_Support!V2*(S13_PSP_Species_Support!W2*(1-EXP(-S13_PSP_Species_Support!X2*10))^S13_PSP_Species_Support!Y2)^2*(S13_PSP_Species_Support!Z2*(1-EXP(-S13_PSP_Species_Support!AA2*10))^S13_PSP_Species_Support!AB2))^0.976,0)+IFERROR(S13_PSP_Species_Support!AF2*0.0673*(S13_PSP_Species_Support!AG2*(S13_PSP_Species_Support!AH2*(1-EXP(-S13_PSP_Species_Support!AI2*10))^S13_PSP_Species_Support!AJ2)^2*(S13_PSP_Species_Support!AK2*(1-EXP(-S13_PSP_Species_Support!AL2*10))^S13_PSP_Species_Support!AM2))^0.976,0)+IFERROR(S13_PSP_Species_Support!AQ2*0.0673*(S13_PSP_Species_Support!AR2*(S13_PSP_Species_Support!AS2*(1-EXP(-S13_PSP_Species_Support!AT2*10))^S13_PSP_Species_Support!AU2)^2*(S13_PSP_Species_Support!AV2*(1-EXP(-S13_PSP_Species_Support!AW2*10))^S13_PSP_Species_Support!AX2))^0.976,0)+IFERROR(S13_PSP_Species_Support!BB2*0.0673*(S13_PSP_Species_Support!BC2*(S13_PSP_Species_Support!BD2*(1-EXP(-S13_PSP_Species_Support!BE2*10))^S13_PSP_Species_Support!BF2)^2*(S13_PSP_Species_Support!BG2*(1-EXP(-S13_PSP_Species_Support!BH2*10))^S13_PSP_Species_Support!BI2))^0.976,0)+IFERROR(S13_PSP_Species_Support!BM2*0.0673*(S13_PSP_Species_Support!BN2*(S13_PSP_Species_Support!BO2*(1-EXP(-S13_PSP_Species_Support!BP2*10))^S13_PSP_Species_Support!BQ2)^2*(S13_PSP_Species_Support!BR2*(1-EXP(-S13_PSP_Species_Support!BS2*10))^S13_PSP_Species_Support!BT2))^0.976,0)+IFERROR(S13_PSP_Species_Support!BX2*0.0673*(S13_PSP_Species_Support!BY2*(S13_PSP_Species_Support!BZ2*(1-EXP(-S13_PSP_Species_Support!CA2*10))^S13_PSP_Species_Support!CB2)^2*(S13_PSP_Species_Support!CC2*(1-EXP(-S13_PSP_Species_Support!CD2*10))^S13_PSP_Species_Support!CE2))^0.976,0)+IFERROR(S13_PSP_Species_Support!CI2*0.0673*(S13_PSP_Species_Support!CJ2*(S13_PSP_Species_Support!CK2*(1-EXP(-S13_PSP_Species_Support!CL2*10))^S13_PSP_Species_Support!CM2)^2*(S13_PSP_Species_Support!CN2*(1-EXP(-S13_PSP_Species_Support!CO2*10))^S13_PSP_Species_Support!CP2))^0.976,0)+IFERROR(S13_PSP_Species_Support!CT2*0.0673*(S13_PSP_Species_Support!CU2*(S13_PSP_Species_Support!CV2*(1-EXP(-S13_PSP_Species_Support!CW2*10))^S13_PSP_Species_Support!CX2)^2*(S13_PSP_Species_Support!CY2*(1-EXP(-S13_PSP_Species_Support!CZ2*10))^S13_PSP_Species_Support!DA2))^0.976,0))/1000/$G15*S$108,0)</x:f>
        <x:v>52.99934651707644</x:v>
      </x:c>
      <x:c r="T15" s="147" t="n">
        <x:f aca="0">IFERROR((IFERROR(S13_PSP_Species_Support!U2*0.0673*(S13_PSP_Species_Support!V2*(S13_PSP_Species_Support!W2*(1-EXP(-S13_PSP_Species_Support!X2*11))^S13_PSP_Species_Support!Y2)^2*(S13_PSP_Species_Support!Z2*(1-EXP(-S13_PSP_Species_Support!AA2*11))^S13_PSP_Species_Support!AB2))^0.976,0)+IFERROR(S13_PSP_Species_Support!AF2*0.0673*(S13_PSP_Species_Support!AG2*(S13_PSP_Species_Support!AH2*(1-EXP(-S13_PSP_Species_Support!AI2*11))^S13_PSP_Species_Support!AJ2)^2*(S13_PSP_Species_Support!AK2*(1-EXP(-S13_PSP_Species_Support!AL2*11))^S13_PSP_Species_Support!AM2))^0.976,0)+IFERROR(S13_PSP_Species_Support!AQ2*0.0673*(S13_PSP_Species_Support!AR2*(S13_PSP_Species_Support!AS2*(1-EXP(-S13_PSP_Species_Support!AT2*11))^S13_PSP_Species_Support!AU2)^2*(S13_PSP_Species_Support!AV2*(1-EXP(-S13_PSP_Species_Support!AW2*11))^S13_PSP_Species_Support!AX2))^0.976,0)+IFERROR(S13_PSP_Species_Support!BB2*0.0673*(S13_PSP_Species_Support!BC2*(S13_PSP_Species_Support!BD2*(1-EXP(-S13_PSP_Species_Support!BE2*11))^S13_PSP_Species_Support!BF2)^2*(S13_PSP_Species_Support!BG2*(1-EXP(-S13_PSP_Species_Support!BH2*11))^S13_PSP_Species_Support!BI2))^0.976,0)+IFERROR(S13_PSP_Species_Support!BM2*0.0673*(S13_PSP_Species_Support!BN2*(S13_PSP_Species_Support!BO2*(1-EXP(-S13_PSP_Species_Support!BP2*11))^S13_PSP_Species_Support!BQ2)^2*(S13_PSP_Species_Support!BR2*(1-EXP(-S13_PSP_Species_Support!BS2*11))^S13_PSP_Species_Support!BT2))^0.976,0)+IFERROR(S13_PSP_Species_Support!BX2*0.0673*(S13_PSP_Species_Support!BY2*(S13_PSP_Species_Support!BZ2*(1-EXP(-S13_PSP_Species_Support!CA2*11))^S13_PSP_Species_Support!CB2)^2*(S13_PSP_Species_Support!CC2*(1-EXP(-S13_PSP_Species_Support!CD2*11))^S13_PSP_Species_Support!CE2))^0.976,0)+IFERROR(S13_PSP_Species_Support!CI2*0.0673*(S13_PSP_Species_Support!CJ2*(S13_PSP_Species_Support!CK2*(1-EXP(-S13_PSP_Species_Support!CL2*11))^S13_PSP_Species_Support!CM2)^2*(S13_PSP_Species_Support!CN2*(1-EXP(-S13_PSP_Species_Support!CO2*11))^S13_PSP_Species_Support!CP2))^0.976,0)+IFERROR(S13_PSP_Species_Support!CT2*0.0673*(S13_PSP_Species_Support!CU2*(S13_PSP_Species_Support!CV2*(1-EXP(-S13_PSP_Species_Support!CW2*11))^S13_PSP_Species_Support!CX2)^2*(S13_PSP_Species_Support!CY2*(1-EXP(-S13_PSP_Species_Support!CZ2*11))^S13_PSP_Species_Support!DA2))^0.976,0))/1000/$G15*T$108,0)</x:f>
        <x:v>61.21072190679821</x:v>
      </x:c>
      <x:c r="U15" s="147" t="n">
        <x:f aca="0">IFERROR((IFERROR(S13_PSP_Species_Support!U2*0.0673*(S13_PSP_Species_Support!V2*(S13_PSP_Species_Support!W2*(1-EXP(-S13_PSP_Species_Support!X2*12))^S13_PSP_Species_Support!Y2)^2*(S13_PSP_Species_Support!Z2*(1-EXP(-S13_PSP_Species_Support!AA2*12))^S13_PSP_Species_Support!AB2))^0.976,0)+IFERROR(S13_PSP_Species_Support!AF2*0.0673*(S13_PSP_Species_Support!AG2*(S13_PSP_Species_Support!AH2*(1-EXP(-S13_PSP_Species_Support!AI2*12))^S13_PSP_Species_Support!AJ2)^2*(S13_PSP_Species_Support!AK2*(1-EXP(-S13_PSP_Species_Support!AL2*12))^S13_PSP_Species_Support!AM2))^0.976,0)+IFERROR(S13_PSP_Species_Support!AQ2*0.0673*(S13_PSP_Species_Support!AR2*(S13_PSP_Species_Support!AS2*(1-EXP(-S13_PSP_Species_Support!AT2*12))^S13_PSP_Species_Support!AU2)^2*(S13_PSP_Species_Support!AV2*(1-EXP(-S13_PSP_Species_Support!AW2*12))^S13_PSP_Species_Support!AX2))^0.976,0)+IFERROR(S13_PSP_Species_Support!BB2*0.0673*(S13_PSP_Species_Support!BC2*(S13_PSP_Species_Support!BD2*(1-EXP(-S13_PSP_Species_Support!BE2*12))^S13_PSP_Species_Support!BF2)^2*(S13_PSP_Species_Support!BG2*(1-EXP(-S13_PSP_Species_Support!BH2*12))^S13_PSP_Species_Support!BI2))^0.976,0)+IFERROR(S13_PSP_Species_Support!BM2*0.0673*(S13_PSP_Species_Support!BN2*(S13_PSP_Species_Support!BO2*(1-EXP(-S13_PSP_Species_Support!BP2*12))^S13_PSP_Species_Support!BQ2)^2*(S13_PSP_Species_Support!BR2*(1-EXP(-S13_PSP_Species_Support!BS2*12))^S13_PSP_Species_Support!BT2))^0.976,0)+IFERROR(S13_PSP_Species_Support!BX2*0.0673*(S13_PSP_Species_Support!BY2*(S13_PSP_Species_Support!BZ2*(1-EXP(-S13_PSP_Species_Support!CA2*12))^S13_PSP_Species_Support!CB2)^2*(S13_PSP_Species_Support!CC2*(1-EXP(-S13_PSP_Species_Support!CD2*12))^S13_PSP_Species_Support!CE2))^0.976,0)+IFERROR(S13_PSP_Species_Support!CI2*0.0673*(S13_PSP_Species_Support!CJ2*(S13_PSP_Species_Support!CK2*(1-EXP(-S13_PSP_Species_Support!CL2*12))^S13_PSP_Species_Support!CM2)^2*(S13_PSP_Species_Support!CN2*(1-EXP(-S13_PSP_Species_Support!CO2*12))^S13_PSP_Species_Support!CP2))^0.976,0)+IFERROR(S13_PSP_Species_Support!CT2*0.0673*(S13_PSP_Species_Support!CU2*(S13_PSP_Species_Support!CV2*(1-EXP(-S13_PSP_Species_Support!CW2*12))^S13_PSP_Species_Support!CX2)^2*(S13_PSP_Species_Support!CY2*(1-EXP(-S13_PSP_Species_Support!CZ2*12))^S13_PSP_Species_Support!DA2))^0.976,0))/1000/$G15*U$108,0)</x:f>
        <x:v>68.93203612404557</x:v>
      </x:c>
      <x:c r="V15" s="147" t="n">
        <x:f aca="0">IFERROR((IFERROR(S13_PSP_Species_Support!U2*0.0673*(S13_PSP_Species_Support!V2*(S13_PSP_Species_Support!W2*(1-EXP(-S13_PSP_Species_Support!X2*13))^S13_PSP_Species_Support!Y2)^2*(S13_PSP_Species_Support!Z2*(1-EXP(-S13_PSP_Species_Support!AA2*13))^S13_PSP_Species_Support!AB2))^0.976,0)+IFERROR(S13_PSP_Species_Support!AF2*0.0673*(S13_PSP_Species_Support!AG2*(S13_PSP_Species_Support!AH2*(1-EXP(-S13_PSP_Species_Support!AI2*13))^S13_PSP_Species_Support!AJ2)^2*(S13_PSP_Species_Support!AK2*(1-EXP(-S13_PSP_Species_Support!AL2*13))^S13_PSP_Species_Support!AM2))^0.976,0)+IFERROR(S13_PSP_Species_Support!AQ2*0.0673*(S13_PSP_Species_Support!AR2*(S13_PSP_Species_Support!AS2*(1-EXP(-S13_PSP_Species_Support!AT2*13))^S13_PSP_Species_Support!AU2)^2*(S13_PSP_Species_Support!AV2*(1-EXP(-S13_PSP_Species_Support!AW2*13))^S13_PSP_Species_Support!AX2))^0.976,0)+IFERROR(S13_PSP_Species_Support!BB2*0.0673*(S13_PSP_Species_Support!BC2*(S13_PSP_Species_Support!BD2*(1-EXP(-S13_PSP_Species_Support!BE2*13))^S13_PSP_Species_Support!BF2)^2*(S13_PSP_Species_Support!BG2*(1-EXP(-S13_PSP_Species_Support!BH2*13))^S13_PSP_Species_Support!BI2))^0.976,0)+IFERROR(S13_PSP_Species_Support!BM2*0.0673*(S13_PSP_Species_Support!BN2*(S13_PSP_Species_Support!BO2*(1-EXP(-S13_PSP_Species_Support!BP2*13))^S13_PSP_Species_Support!BQ2)^2*(S13_PSP_Species_Support!BR2*(1-EXP(-S13_PSP_Species_Support!BS2*13))^S13_PSP_Species_Support!BT2))^0.976,0)+IFERROR(S13_PSP_Species_Support!BX2*0.0673*(S13_PSP_Species_Support!BY2*(S13_PSP_Species_Support!BZ2*(1-EXP(-S13_PSP_Species_Support!CA2*13))^S13_PSP_Species_Support!CB2)^2*(S13_PSP_Species_Support!CC2*(1-EXP(-S13_PSP_Species_Support!CD2*13))^S13_PSP_Species_Support!CE2))^0.976,0)+IFERROR(S13_PSP_Species_Support!CI2*0.0673*(S13_PSP_Species_Support!CJ2*(S13_PSP_Species_Support!CK2*(1-EXP(-S13_PSP_Species_Support!CL2*13))^S13_PSP_Species_Support!CM2)^2*(S13_PSP_Species_Support!CN2*(1-EXP(-S13_PSP_Species_Support!CO2*13))^S13_PSP_Species_Support!CP2))^0.976,0)+IFERROR(S13_PSP_Species_Support!CT2*0.0673*(S13_PSP_Species_Support!CU2*(S13_PSP_Species_Support!CV2*(1-EXP(-S13_PSP_Species_Support!CW2*13))^S13_PSP_Species_Support!CX2)^2*(S13_PSP_Species_Support!CY2*(1-EXP(-S13_PSP_Species_Support!CZ2*13))^S13_PSP_Species_Support!DA2))^0.976,0))/1000/$G15*V$108,0)</x:f>
        <x:v>76.07909142385046</x:v>
      </x:c>
      <x:c r="W15" s="147" t="n">
        <x:f aca="0">IFERROR((IFERROR(S13_PSP_Species_Support!U2*0.0673*(S13_PSP_Species_Support!V2*(S13_PSP_Species_Support!W2*(1-EXP(-S13_PSP_Species_Support!X2*14))^S13_PSP_Species_Support!Y2)^2*(S13_PSP_Species_Support!Z2*(1-EXP(-S13_PSP_Species_Support!AA2*14))^S13_PSP_Species_Support!AB2))^0.976,0)+IFERROR(S13_PSP_Species_Support!AF2*0.0673*(S13_PSP_Species_Support!AG2*(S13_PSP_Species_Support!AH2*(1-EXP(-S13_PSP_Species_Support!AI2*14))^S13_PSP_Species_Support!AJ2)^2*(S13_PSP_Species_Support!AK2*(1-EXP(-S13_PSP_Species_Support!AL2*14))^S13_PSP_Species_Support!AM2))^0.976,0)+IFERROR(S13_PSP_Species_Support!AQ2*0.0673*(S13_PSP_Species_Support!AR2*(S13_PSP_Species_Support!AS2*(1-EXP(-S13_PSP_Species_Support!AT2*14))^S13_PSP_Species_Support!AU2)^2*(S13_PSP_Species_Support!AV2*(1-EXP(-S13_PSP_Species_Support!AW2*14))^S13_PSP_Species_Support!AX2))^0.976,0)+IFERROR(S13_PSP_Species_Support!BB2*0.0673*(S13_PSP_Species_Support!BC2*(S13_PSP_Species_Support!BD2*(1-EXP(-S13_PSP_Species_Support!BE2*14))^S13_PSP_Species_Support!BF2)^2*(S13_PSP_Species_Support!BG2*(1-EXP(-S13_PSP_Species_Support!BH2*14))^S13_PSP_Species_Support!BI2))^0.976,0)+IFERROR(S13_PSP_Species_Support!BM2*0.0673*(S13_PSP_Species_Support!BN2*(S13_PSP_Species_Support!BO2*(1-EXP(-S13_PSP_Species_Support!BP2*14))^S13_PSP_Species_Support!BQ2)^2*(S13_PSP_Species_Support!BR2*(1-EXP(-S13_PSP_Species_Support!BS2*14))^S13_PSP_Species_Support!BT2))^0.976,0)+IFERROR(S13_PSP_Species_Support!BX2*0.0673*(S13_PSP_Species_Support!BY2*(S13_PSP_Species_Support!BZ2*(1-EXP(-S13_PSP_Species_Support!CA2*14))^S13_PSP_Species_Support!CB2)^2*(S13_PSP_Species_Support!CC2*(1-EXP(-S13_PSP_Species_Support!CD2*14))^S13_PSP_Species_Support!CE2))^0.976,0)+IFERROR(S13_PSP_Species_Support!CI2*0.0673*(S13_PSP_Species_Support!CJ2*(S13_PSP_Species_Support!CK2*(1-EXP(-S13_PSP_Species_Support!CL2*14))^S13_PSP_Species_Support!CM2)^2*(S13_PSP_Species_Support!CN2*(1-EXP(-S13_PSP_Species_Support!CO2*14))^S13_PSP_Species_Support!CP2))^0.976,0)+IFERROR(S13_PSP_Species_Support!CT2*0.0673*(S13_PSP_Species_Support!CU2*(S13_PSP_Species_Support!CV2*(1-EXP(-S13_PSP_Species_Support!CW2*14))^S13_PSP_Species_Support!CX2)^2*(S13_PSP_Species_Support!CY2*(1-EXP(-S13_PSP_Species_Support!CZ2*14))^S13_PSP_Species_Support!DA2))^0.976,0))/1000/$G15*W$108,0)</x:f>
        <x:v>82.61281789550847</x:v>
      </x:c>
      <x:c r="X15" s="147" t="n">
        <x:f aca="0">IFERROR((IFERROR(S13_PSP_Species_Support!U2*0.0673*(S13_PSP_Species_Support!V2*(S13_PSP_Species_Support!W2*(1-EXP(-S13_PSP_Species_Support!X2*15))^S13_PSP_Species_Support!Y2)^2*(S13_PSP_Species_Support!Z2*(1-EXP(-S13_PSP_Species_Support!AA2*15))^S13_PSP_Species_Support!AB2))^0.976,0)+IFERROR(S13_PSP_Species_Support!AF2*0.0673*(S13_PSP_Species_Support!AG2*(S13_PSP_Species_Support!AH2*(1-EXP(-S13_PSP_Species_Support!AI2*15))^S13_PSP_Species_Support!AJ2)^2*(S13_PSP_Species_Support!AK2*(1-EXP(-S13_PSP_Species_Support!AL2*15))^S13_PSP_Species_Support!AM2))^0.976,0)+IFERROR(S13_PSP_Species_Support!AQ2*0.0673*(S13_PSP_Species_Support!AR2*(S13_PSP_Species_Support!AS2*(1-EXP(-S13_PSP_Species_Support!AT2*15))^S13_PSP_Species_Support!AU2)^2*(S13_PSP_Species_Support!AV2*(1-EXP(-S13_PSP_Species_Support!AW2*15))^S13_PSP_Species_Support!AX2))^0.976,0)+IFERROR(S13_PSP_Species_Support!BB2*0.0673*(S13_PSP_Species_Support!BC2*(S13_PSP_Species_Support!BD2*(1-EXP(-S13_PSP_Species_Support!BE2*15))^S13_PSP_Species_Support!BF2)^2*(S13_PSP_Species_Support!BG2*(1-EXP(-S13_PSP_Species_Support!BH2*15))^S13_PSP_Species_Support!BI2))^0.976,0)+IFERROR(S13_PSP_Species_Support!BM2*0.0673*(S13_PSP_Species_Support!BN2*(S13_PSP_Species_Support!BO2*(1-EXP(-S13_PSP_Species_Support!BP2*15))^S13_PSP_Species_Support!BQ2)^2*(S13_PSP_Species_Support!BR2*(1-EXP(-S13_PSP_Species_Support!BS2*15))^S13_PSP_Species_Support!BT2))^0.976,0)+IFERROR(S13_PSP_Species_Support!BX2*0.0673*(S13_PSP_Species_Support!BY2*(S13_PSP_Species_Support!BZ2*(1-EXP(-S13_PSP_Species_Support!CA2*15))^S13_PSP_Species_Support!CB2)^2*(S13_PSP_Species_Support!CC2*(1-EXP(-S13_PSP_Species_Support!CD2*15))^S13_PSP_Species_Support!CE2))^0.976,0)+IFERROR(S13_PSP_Species_Support!CI2*0.0673*(S13_PSP_Species_Support!CJ2*(S13_PSP_Species_Support!CK2*(1-EXP(-S13_PSP_Species_Support!CL2*15))^S13_PSP_Species_Support!CM2)^2*(S13_PSP_Species_Support!CN2*(1-EXP(-S13_PSP_Species_Support!CO2*15))^S13_PSP_Species_Support!CP2))^0.976,0)+IFERROR(S13_PSP_Species_Support!CT2*0.0673*(S13_PSP_Species_Support!CU2*(S13_PSP_Species_Support!CV2*(1-EXP(-S13_PSP_Species_Support!CW2*15))^S13_PSP_Species_Support!CX2)^2*(S13_PSP_Species_Support!CY2*(1-EXP(-S13_PSP_Species_Support!CZ2*15))^S13_PSP_Species_Support!DA2))^0.976,0))/1000/$G15*X$108,0)</x:f>
        <x:v>88.52697176885067</x:v>
      </x:c>
      <x:c r="Y15" s="147" t="n">
        <x:f aca="0">IFERROR((IFERROR(S13_PSP_Species_Support!U2*0.0673*(S13_PSP_Species_Support!V2*(S13_PSP_Species_Support!W2*(1-EXP(-S13_PSP_Species_Support!X2*16))^S13_PSP_Species_Support!Y2)^2*(S13_PSP_Species_Support!Z2*(1-EXP(-S13_PSP_Species_Support!AA2*16))^S13_PSP_Species_Support!AB2))^0.976,0)+IFERROR(S13_PSP_Species_Support!AF2*0.0673*(S13_PSP_Species_Support!AG2*(S13_PSP_Species_Support!AH2*(1-EXP(-S13_PSP_Species_Support!AI2*16))^S13_PSP_Species_Support!AJ2)^2*(S13_PSP_Species_Support!AK2*(1-EXP(-S13_PSP_Species_Support!AL2*16))^S13_PSP_Species_Support!AM2))^0.976,0)+IFERROR(S13_PSP_Species_Support!AQ2*0.0673*(S13_PSP_Species_Support!AR2*(S13_PSP_Species_Support!AS2*(1-EXP(-S13_PSP_Species_Support!AT2*16))^S13_PSP_Species_Support!AU2)^2*(S13_PSP_Species_Support!AV2*(1-EXP(-S13_PSP_Species_Support!AW2*16))^S13_PSP_Species_Support!AX2))^0.976,0)+IFERROR(S13_PSP_Species_Support!BB2*0.0673*(S13_PSP_Species_Support!BC2*(S13_PSP_Species_Support!BD2*(1-EXP(-S13_PSP_Species_Support!BE2*16))^S13_PSP_Species_Support!BF2)^2*(S13_PSP_Species_Support!BG2*(1-EXP(-S13_PSP_Species_Support!BH2*16))^S13_PSP_Species_Support!BI2))^0.976,0)+IFERROR(S13_PSP_Species_Support!BM2*0.0673*(S13_PSP_Species_Support!BN2*(S13_PSP_Species_Support!BO2*(1-EXP(-S13_PSP_Species_Support!BP2*16))^S13_PSP_Species_Support!BQ2)^2*(S13_PSP_Species_Support!BR2*(1-EXP(-S13_PSP_Species_Support!BS2*16))^S13_PSP_Species_Support!BT2))^0.976,0)+IFERROR(S13_PSP_Species_Support!BX2*0.0673*(S13_PSP_Species_Support!BY2*(S13_PSP_Species_Support!BZ2*(1-EXP(-S13_PSP_Species_Support!CA2*16))^S13_PSP_Species_Support!CB2)^2*(S13_PSP_Species_Support!CC2*(1-EXP(-S13_PSP_Species_Support!CD2*16))^S13_PSP_Species_Support!CE2))^0.976,0)+IFERROR(S13_PSP_Species_Support!CI2*0.0673*(S13_PSP_Species_Support!CJ2*(S13_PSP_Species_Support!CK2*(1-EXP(-S13_PSP_Species_Support!CL2*16))^S13_PSP_Species_Support!CM2)^2*(S13_PSP_Species_Support!CN2*(1-EXP(-S13_PSP_Species_Support!CO2*16))^S13_PSP_Species_Support!CP2))^0.976,0)+IFERROR(S13_PSP_Species_Support!CT2*0.0673*(S13_PSP_Species_Support!CU2*(S13_PSP_Species_Support!CV2*(1-EXP(-S13_PSP_Species_Support!CW2*16))^S13_PSP_Species_Support!CX2)^2*(S13_PSP_Species_Support!CY2*(1-EXP(-S13_PSP_Species_Support!CZ2*16))^S13_PSP_Species_Support!DA2))^0.976,0))/1000/$G15*Y$108,0)</x:f>
        <x:v>93.83797689607961</x:v>
      </x:c>
      <x:c r="Z15" s="147" t="n">
        <x:f aca="0">IFERROR((IFERROR(S13_PSP_Species_Support!U2*0.0673*(S13_PSP_Species_Support!V2*(S13_PSP_Species_Support!W2*(1-EXP(-S13_PSP_Species_Support!X2*17))^S13_PSP_Species_Support!Y2)^2*(S13_PSP_Species_Support!Z2*(1-EXP(-S13_PSP_Species_Support!AA2*17))^S13_PSP_Species_Support!AB2))^0.976,0)+IFERROR(S13_PSP_Species_Support!AF2*0.0673*(S13_PSP_Species_Support!AG2*(S13_PSP_Species_Support!AH2*(1-EXP(-S13_PSP_Species_Support!AI2*17))^S13_PSP_Species_Support!AJ2)^2*(S13_PSP_Species_Support!AK2*(1-EXP(-S13_PSP_Species_Support!AL2*17))^S13_PSP_Species_Support!AM2))^0.976,0)+IFERROR(S13_PSP_Species_Support!AQ2*0.0673*(S13_PSP_Species_Support!AR2*(S13_PSP_Species_Support!AS2*(1-EXP(-S13_PSP_Species_Support!AT2*17))^S13_PSP_Species_Support!AU2)^2*(S13_PSP_Species_Support!AV2*(1-EXP(-S13_PSP_Species_Support!AW2*17))^S13_PSP_Species_Support!AX2))^0.976,0)+IFERROR(S13_PSP_Species_Support!BB2*0.0673*(S13_PSP_Species_Support!BC2*(S13_PSP_Species_Support!BD2*(1-EXP(-S13_PSP_Species_Support!BE2*17))^S13_PSP_Species_Support!BF2)^2*(S13_PSP_Species_Support!BG2*(1-EXP(-S13_PSP_Species_Support!BH2*17))^S13_PSP_Species_Support!BI2))^0.976,0)+IFERROR(S13_PSP_Species_Support!BM2*0.0673*(S13_PSP_Species_Support!BN2*(S13_PSP_Species_Support!BO2*(1-EXP(-S13_PSP_Species_Support!BP2*17))^S13_PSP_Species_Support!BQ2)^2*(S13_PSP_Species_Support!BR2*(1-EXP(-S13_PSP_Species_Support!BS2*17))^S13_PSP_Species_Support!BT2))^0.976,0)+IFERROR(S13_PSP_Species_Support!BX2*0.0673*(S13_PSP_Species_Support!BY2*(S13_PSP_Species_Support!BZ2*(1-EXP(-S13_PSP_Species_Support!CA2*17))^S13_PSP_Species_Support!CB2)^2*(S13_PSP_Species_Support!CC2*(1-EXP(-S13_PSP_Species_Support!CD2*17))^S13_PSP_Species_Support!CE2))^0.976,0)+IFERROR(S13_PSP_Species_Support!CI2*0.0673*(S13_PSP_Species_Support!CJ2*(S13_PSP_Species_Support!CK2*(1-EXP(-S13_PSP_Species_Support!CL2*17))^S13_PSP_Species_Support!CM2)^2*(S13_PSP_Species_Support!CN2*(1-EXP(-S13_PSP_Species_Support!CO2*17))^S13_PSP_Species_Support!CP2))^0.976,0)+IFERROR(S13_PSP_Species_Support!CT2*0.0673*(S13_PSP_Species_Support!CU2*(S13_PSP_Species_Support!CV2*(1-EXP(-S13_PSP_Species_Support!CW2*17))^S13_PSP_Species_Support!CX2)^2*(S13_PSP_Species_Support!CY2*(1-EXP(-S13_PSP_Species_Support!CZ2*17))^S13_PSP_Species_Support!DA2))^0.976,0))/1000/$G15*Z$108,0)</x:f>
        <x:v>98.57696421408018</x:v>
      </x:c>
      <x:c r="AA15" s="147" t="n">
        <x:f aca="0">IFERROR((IFERROR(S13_PSP_Species_Support!U2*0.0673*(S13_PSP_Species_Support!V2*(S13_PSP_Species_Support!W2*(1-EXP(-S13_PSP_Species_Support!X2*18))^S13_PSP_Species_Support!Y2)^2*(S13_PSP_Species_Support!Z2*(1-EXP(-S13_PSP_Species_Support!AA2*18))^S13_PSP_Species_Support!AB2))^0.976,0)+IFERROR(S13_PSP_Species_Support!AF2*0.0673*(S13_PSP_Species_Support!AG2*(S13_PSP_Species_Support!AH2*(1-EXP(-S13_PSP_Species_Support!AI2*18))^S13_PSP_Species_Support!AJ2)^2*(S13_PSP_Species_Support!AK2*(1-EXP(-S13_PSP_Species_Support!AL2*18))^S13_PSP_Species_Support!AM2))^0.976,0)+IFERROR(S13_PSP_Species_Support!AQ2*0.0673*(S13_PSP_Species_Support!AR2*(S13_PSP_Species_Support!AS2*(1-EXP(-S13_PSP_Species_Support!AT2*18))^S13_PSP_Species_Support!AU2)^2*(S13_PSP_Species_Support!AV2*(1-EXP(-S13_PSP_Species_Support!AW2*18))^S13_PSP_Species_Support!AX2))^0.976,0)+IFERROR(S13_PSP_Species_Support!BB2*0.0673*(S13_PSP_Species_Support!BC2*(S13_PSP_Species_Support!BD2*(1-EXP(-S13_PSP_Species_Support!BE2*18))^S13_PSP_Species_Support!BF2)^2*(S13_PSP_Species_Support!BG2*(1-EXP(-S13_PSP_Species_Support!BH2*18))^S13_PSP_Species_Support!BI2))^0.976,0)+IFERROR(S13_PSP_Species_Support!BM2*0.0673*(S13_PSP_Species_Support!BN2*(S13_PSP_Species_Support!BO2*(1-EXP(-S13_PSP_Species_Support!BP2*18))^S13_PSP_Species_Support!BQ2)^2*(S13_PSP_Species_Support!BR2*(1-EXP(-S13_PSP_Species_Support!BS2*18))^S13_PSP_Species_Support!BT2))^0.976,0)+IFERROR(S13_PSP_Species_Support!BX2*0.0673*(S13_PSP_Species_Support!BY2*(S13_PSP_Species_Support!BZ2*(1-EXP(-S13_PSP_Species_Support!CA2*18))^S13_PSP_Species_Support!CB2)^2*(S13_PSP_Species_Support!CC2*(1-EXP(-S13_PSP_Species_Support!CD2*18))^S13_PSP_Species_Support!CE2))^0.976,0)+IFERROR(S13_PSP_Species_Support!CI2*0.0673*(S13_PSP_Species_Support!CJ2*(S13_PSP_Species_Support!CK2*(1-EXP(-S13_PSP_Species_Support!CL2*18))^S13_PSP_Species_Support!CM2)^2*(S13_PSP_Species_Support!CN2*(1-EXP(-S13_PSP_Species_Support!CO2*18))^S13_PSP_Species_Support!CP2))^0.976,0)+IFERROR(S13_PSP_Species_Support!CT2*0.0673*(S13_PSP_Species_Support!CU2*(S13_PSP_Species_Support!CV2*(1-EXP(-S13_PSP_Species_Support!CW2*18))^S13_PSP_Species_Support!CX2)^2*(S13_PSP_Species_Support!CY2*(1-EXP(-S13_PSP_Species_Support!CZ2*18))^S13_PSP_Species_Support!DA2))^0.976,0))/1000/$G15*AA$108,0)</x:f>
        <x:v>102.7837810062324</x:v>
      </x:c>
      <x:c r="AB15" s="147" t="n">
        <x:f aca="0">IFERROR((IFERROR(S13_PSP_Species_Support!U2*0.0673*(S13_PSP_Species_Support!V2*(S13_PSP_Species_Support!W2*(1-EXP(-S13_PSP_Species_Support!X2*19))^S13_PSP_Species_Support!Y2)^2*(S13_PSP_Species_Support!Z2*(1-EXP(-S13_PSP_Species_Support!AA2*19))^S13_PSP_Species_Support!AB2))^0.976,0)+IFERROR(S13_PSP_Species_Support!AF2*0.0673*(S13_PSP_Species_Support!AG2*(S13_PSP_Species_Support!AH2*(1-EXP(-S13_PSP_Species_Support!AI2*19))^S13_PSP_Species_Support!AJ2)^2*(S13_PSP_Species_Support!AK2*(1-EXP(-S13_PSP_Species_Support!AL2*19))^S13_PSP_Species_Support!AM2))^0.976,0)+IFERROR(S13_PSP_Species_Support!AQ2*0.0673*(S13_PSP_Species_Support!AR2*(S13_PSP_Species_Support!AS2*(1-EXP(-S13_PSP_Species_Support!AT2*19))^S13_PSP_Species_Support!AU2)^2*(S13_PSP_Species_Support!AV2*(1-EXP(-S13_PSP_Species_Support!AW2*19))^S13_PSP_Species_Support!AX2))^0.976,0)+IFERROR(S13_PSP_Species_Support!BB2*0.0673*(S13_PSP_Species_Support!BC2*(S13_PSP_Species_Support!BD2*(1-EXP(-S13_PSP_Species_Support!BE2*19))^S13_PSP_Species_Support!BF2)^2*(S13_PSP_Species_Support!BG2*(1-EXP(-S13_PSP_Species_Support!BH2*19))^S13_PSP_Species_Support!BI2))^0.976,0)+IFERROR(S13_PSP_Species_Support!BM2*0.0673*(S13_PSP_Species_Support!BN2*(S13_PSP_Species_Support!BO2*(1-EXP(-S13_PSP_Species_Support!BP2*19))^S13_PSP_Species_Support!BQ2)^2*(S13_PSP_Species_Support!BR2*(1-EXP(-S13_PSP_Species_Support!BS2*19))^S13_PSP_Species_Support!BT2))^0.976,0)+IFERROR(S13_PSP_Species_Support!BX2*0.0673*(S13_PSP_Species_Support!BY2*(S13_PSP_Species_Support!BZ2*(1-EXP(-S13_PSP_Species_Support!CA2*19))^S13_PSP_Species_Support!CB2)^2*(S13_PSP_Species_Support!CC2*(1-EXP(-S13_PSP_Species_Support!CD2*19))^S13_PSP_Species_Support!CE2))^0.976,0)+IFERROR(S13_PSP_Species_Support!CI2*0.0673*(S13_PSP_Species_Support!CJ2*(S13_PSP_Species_Support!CK2*(1-EXP(-S13_PSP_Species_Support!CL2*19))^S13_PSP_Species_Support!CM2)^2*(S13_PSP_Species_Support!CN2*(1-EXP(-S13_PSP_Species_Support!CO2*19))^S13_PSP_Species_Support!CP2))^0.976,0)+IFERROR(S13_PSP_Species_Support!CT2*0.0673*(S13_PSP_Species_Support!CU2*(S13_PSP_Species_Support!CV2*(1-EXP(-S13_PSP_Species_Support!CW2*19))^S13_PSP_Species_Support!CX2)^2*(S13_PSP_Species_Support!CY2*(1-EXP(-S13_PSP_Species_Support!CZ2*19))^S13_PSP_Species_Support!DA2))^0.976,0))/1000/$G15*AB$108,0)</x:f>
        <x:v>106.50263918557809</x:v>
      </x:c>
      <x:c r="AC15" s="147" t="n">
        <x:f aca="0">IFERROR((IFERROR(S13_PSP_Species_Support!U2*0.0673*(S13_PSP_Species_Support!V2*(S13_PSP_Species_Support!W2*(1-EXP(-S13_PSP_Species_Support!X2*20))^S13_PSP_Species_Support!Y2)^2*(S13_PSP_Species_Support!Z2*(1-EXP(-S13_PSP_Species_Support!AA2*20))^S13_PSP_Species_Support!AB2))^0.976,0)+IFERROR(S13_PSP_Species_Support!AF2*0.0673*(S13_PSP_Species_Support!AG2*(S13_PSP_Species_Support!AH2*(1-EXP(-S13_PSP_Species_Support!AI2*20))^S13_PSP_Species_Support!AJ2)^2*(S13_PSP_Species_Support!AK2*(1-EXP(-S13_PSP_Species_Support!AL2*20))^S13_PSP_Species_Support!AM2))^0.976,0)+IFERROR(S13_PSP_Species_Support!AQ2*0.0673*(S13_PSP_Species_Support!AR2*(S13_PSP_Species_Support!AS2*(1-EXP(-S13_PSP_Species_Support!AT2*20))^S13_PSP_Species_Support!AU2)^2*(S13_PSP_Species_Support!AV2*(1-EXP(-S13_PSP_Species_Support!AW2*20))^S13_PSP_Species_Support!AX2))^0.976,0)+IFERROR(S13_PSP_Species_Support!BB2*0.0673*(S13_PSP_Species_Support!BC2*(S13_PSP_Species_Support!BD2*(1-EXP(-S13_PSP_Species_Support!BE2*20))^S13_PSP_Species_Support!BF2)^2*(S13_PSP_Species_Support!BG2*(1-EXP(-S13_PSP_Species_Support!BH2*20))^S13_PSP_Species_Support!BI2))^0.976,0)+IFERROR(S13_PSP_Species_Support!BM2*0.0673*(S13_PSP_Species_Support!BN2*(S13_PSP_Species_Support!BO2*(1-EXP(-S13_PSP_Species_Support!BP2*20))^S13_PSP_Species_Support!BQ2)^2*(S13_PSP_Species_Support!BR2*(1-EXP(-S13_PSP_Species_Support!BS2*20))^S13_PSP_Species_Support!BT2))^0.976,0)+IFERROR(S13_PSP_Species_Support!BX2*0.0673*(S13_PSP_Species_Support!BY2*(S13_PSP_Species_Support!BZ2*(1-EXP(-S13_PSP_Species_Support!CA2*20))^S13_PSP_Species_Support!CB2)^2*(S13_PSP_Species_Support!CC2*(1-EXP(-S13_PSP_Species_Support!CD2*20))^S13_PSP_Species_Support!CE2))^0.976,0)+IFERROR(S13_PSP_Species_Support!CI2*0.0673*(S13_PSP_Species_Support!CJ2*(S13_PSP_Species_Support!CK2*(1-EXP(-S13_PSP_Species_Support!CL2*20))^S13_PSP_Species_Support!CM2)^2*(S13_PSP_Species_Support!CN2*(1-EXP(-S13_PSP_Species_Support!CO2*20))^S13_PSP_Species_Support!CP2))^0.976,0)+IFERROR(S13_PSP_Species_Support!CT2*0.0673*(S13_PSP_Species_Support!CU2*(S13_PSP_Species_Support!CV2*(1-EXP(-S13_PSP_Species_Support!CW2*20))^S13_PSP_Species_Support!CX2)^2*(S13_PSP_Species_Support!CY2*(1-EXP(-S13_PSP_Species_Support!CZ2*20))^S13_PSP_Species_Support!DA2))^0.976,0))/1000/$G15*AC$108,0)</x:f>
        <x:v>109.77906308830816</x:v>
      </x:c>
      <x:c r="AD15" s="148" t="n">
        <x:f aca="0">IF(2020&lt;$F15,0,INDEX($I15:$AC15,1,2020-$F15+1))</x:f>
        <x:v>0</x:v>
      </x:c>
      <x:c r="AE15" s="148" t="n">
        <x:f aca="0">IF(2021&lt;$F15,0,INDEX($I15:$AC15,1,2021-$F15+1))</x:f>
        <x:v>0.06200581938748004</x:v>
      </x:c>
      <x:c r="AF15" s="148" t="n">
        <x:f aca="0">IF(2022&lt;$F15,0,INDEX($I15:$AC15,1,2022-$F15+1))</x:f>
        <x:v>0.7451886051772845</x:v>
      </x:c>
      <x:c r="AG15" s="148" t="n">
        <x:f aca="0">IF(2023&lt;$F15,0,INDEX($I15:$AC15,1,2023-$F15+1))</x:f>
        <x:v>2.808208636119083</x:v>
      </x:c>
      <x:c r="AH15" s="148" t="n">
        <x:f aca="0">IF(2024&lt;$F15,0,INDEX($I15:$AC15,1,2024-$F15+1))</x:f>
        <x:v>6.660031425119159</x:v>
      </x:c>
      <x:c r="AI15" s="148" t="n">
        <x:f aca="0">IF(2025&lt;$F15,0,INDEX($I15:$AC15,1,2025-$F15+1))</x:f>
        <x:v>12.246972137348669</x:v>
      </x:c>
      <x:c r="AJ15" s="148" t="n">
        <x:f aca="0">IF(2026&lt;$F15,0,INDEX($I15:$AC15,1,2026-$F15+1))</x:f>
        <x:v>19.247454115427963</x:v>
      </x:c>
      <x:c r="AK15" s="148" t="n">
        <x:f aca="0">IF(2027&lt;$F15,0,INDEX($I15:$AC15,1,2027-$F15+1))</x:f>
        <x:v>27.22742998293558</x:v>
      </x:c>
      <x:c r="AL15" s="148" t="n">
        <x:f aca="0">IF(2028&lt;$F15,0,INDEX($I15:$AC15,1,2028-$F15+1))</x:f>
        <x:v>35.751261543107276</x:v>
      </x:c>
      <x:c r="AM15" s="148" t="n">
        <x:f aca="0">IF(2029&lt;$F15,0,INDEX($I15:$AC15,1,2029-$F15+1))</x:f>
        <x:v>44.441022662285384</x:v>
      </x:c>
      <x:c r="AN15" s="148" t="n">
        <x:f aca="0">IF(2030&lt;$F15,0,INDEX($I15:$AC15,1,2030-$F15+1))</x:f>
        <x:v>52.99934651707644</x:v>
      </x:c>
      <x:c r="AO15" s="148" t="n">
        <x:f aca="0">IF(2031&lt;$F15,0,INDEX($I15:$AC15,1,2031-$F15+1))</x:f>
        <x:v>61.21072190679821</x:v>
      </x:c>
      <x:c r="AP15" s="148" t="n">
        <x:f aca="0">IF(2032&lt;$F15,0,INDEX($I15:$AC15,1,2032-$F15+1))</x:f>
        <x:v>68.93203612404557</x:v>
      </x:c>
      <x:c r="AQ15" s="148" t="n">
        <x:f aca="0">IF(2033&lt;$F15,0,INDEX($I15:$AC15,1,2033-$F15+1))</x:f>
        <x:v>76.07909142385046</x:v>
      </x:c>
      <x:c r="AR15" s="148" t="n">
        <x:f aca="0">IF(2034&lt;$F15,0,INDEX($I15:$AC15,1,2034-$F15+1))</x:f>
        <x:v>82.61281789550847</x:v>
      </x:c>
      <x:c r="AS15" s="148" t="n">
        <x:f aca="0">IF(2035&lt;$F15,0,INDEX($I15:$AC15,1,2035-$F15+1))</x:f>
        <x:v>88.52697176885067</x:v>
      </x:c>
      <x:c r="AT15" s="148" t="n">
        <x:f aca="0">IF(2036&lt;$F15,0,INDEX($I15:$AC15,1,2036-$F15+1))</x:f>
        <x:v>93.83797689607961</x:v>
      </x:c>
      <x:c r="AU15" s="148" t="n">
        <x:f aca="0">IF(2037&lt;$F15,0,INDEX($I15:$AC15,1,2037-$F15+1))</x:f>
        <x:v>98.57696421408018</x:v>
      </x:c>
      <x:c r="AV15" s="148" t="n">
        <x:f aca="0">IF(2038&lt;$F15,0,INDEX($I15:$AC15,1,2038-$F15+1))</x:f>
        <x:v>102.7837810062324</x:v>
      </x:c>
      <x:c r="AW15" s="148" t="n">
        <x:f aca="0">IF(2039&lt;$F15,0,INDEX($I15:$AC15,1,2039-$F15+1))</x:f>
        <x:v>106.50263918557809</x:v>
      </x:c>
      <x:c r="AX15" s="148" t="n">
        <x:f aca="0">IF(2040&lt;$F15,0,INDEX($I15:$AC15,1,2040-$F15+1))</x:f>
        <x:v>109.77906308830816</x:v>
      </x:c>
      <x:c r="AY15" s="1" t="str">
        <x:f aca="0">LEFT($C15,FIND("@",SUBSTITUTE($C15,"|","@",2))-1)</x:f>
        <x:v>Fruit Orchard|High</x:v>
      </x:c>
      <x:c r="AZ15" s="1" t="str">
        <x:f aca="0">LEFT($C15,FIND("|",$C15)-1)</x:f>
        <x:v>Fruit Orchard</x:v>
      </x:c>
      <x:c r="BA15" s="149" t="n">
        <x:f aca="0">I15*I15</x:f>
        <x:v>0</x:v>
      </x:c>
      <x:c r="BB15" s="149" t="n">
        <x:f aca="0">J15*J15</x:f>
        <x:v>0.0038447216379127952</x:v>
      </x:c>
      <x:c r="BC15" s="149" t="n">
        <x:f aca="0">K15*K15</x:f>
        <x:v>0.5553060572860667</x:v>
      </x:c>
      <x:c r="BD15" s="149" t="n">
        <x:f aca="0">L15*L15</x:f>
        <x:v>7.886035743973799</x:v>
      </x:c>
      <x:c r="BE15" s="149" t="n">
        <x:f aca="0">M15*M15</x:f>
        <x:v>44.35601858357473</x:v>
      </x:c>
      <x:c r="BF15" s="149" t="n">
        <x:f aca="0">N15*N15</x:f>
        <x:v>149.98832653299462</x:v>
      </x:c>
      <x:c r="BG15" s="149" t="n">
        <x:f aca="0">O15*O15</x:f>
        <x:v>370.46448992550484</x:v>
      </x:c>
      <x:c r="BH15" s="149" t="n">
        <x:f aca="0">P15*P15</x:f>
        <x:v>741.3329434756594</x:v>
      </x:c>
      <x:c r="BI15" s="149" t="n">
        <x:f aca="0">Q15*Q15</x:f>
        <x:v>1278.1527019236612</x:v>
      </x:c>
      <x:c r="BJ15" s="149" t="n">
        <x:f aca="0">R15*R15</x:f>
        <x:v>1975.004495269763</x:v>
      </x:c>
      <x:c r="BK15" s="149" t="n">
        <x:f aca="0">S15*S15</x:f>
        <x:v>2808.9307312371425</x:v>
      </x:c>
      <x:c r="BL15" s="149" t="n">
        <x:f aca="0">T15*T15</x:f>
        <x:v>3746.7524763513866</x:v>
      </x:c>
      <x:c r="BM15" s="149" t="n">
        <x:f aca="0">U15*U15</x:f>
        <x:v>4751.6256042067225</x:v>
      </x:c>
      <x:c r="BN15" s="149" t="n">
        <x:f aca="0">V15*V15</x:f>
        <x:v>5788.028151878596</x:v>
      </x:c>
      <x:c r="BO15" s="149" t="n">
        <x:f aca="0">W15*W15</x:f>
        <x:v>6824.877680636445</x:v>
      </x:c>
      <x:c r="BP15" s="149" t="n">
        <x:f aca="0">X15*X15</x:f>
        <x:v>7837.024730562884</x:v>
      </x:c>
      <x:c r="BQ15" s="149" t="n">
        <x:f aca="0">Y15*Y15</x:f>
        <x:v>8805.56590794917</x:v>
      </x:c>
      <x:c r="BR15" s="149" t="n">
        <x:f aca="0">Z15*Z15</x:f>
        <x:v>9717.417873664044</x:v>
      </x:c>
      <x:c r="BS15" s="149" t="n">
        <x:f aca="0">AA15*AA15</x:f>
        <x:v>10564.50563793714</x:v>
      </x:c>
      <x:c r="BT15" s="149" t="n">
        <x:f aca="0">AB15*AB15</x:f>
        <x:v>11342.812153493434</x:v>
      </x:c>
      <x:c r="BU15" s="149" t="n">
        <x:f aca="0">AC15*AC15</x:f>
        <x:v>12051.442692546743</x:v>
      </x:c>
    </x:row>
    <x:row r="16" ht="15" hidden="0" customHeight="1">
      <x:c r="A16" s="1" t="str">
        <x:f aca="0">S13_PSP_Species_Support!A3</x:f>
        <x:v>PSP-FO-002</x:v>
      </x:c>
      <x:c r="B16" s="1" t="n">
        <x:f aca="0">3</x:f>
        <x:v>3</x:v>
      </x:c>
      <x:c r="C16" s="1" t="str">
        <x:f aca="0">S13_PSP_Species_Support!I3</x:f>
        <x:v>Fruit Orchard|High|2020</x:v>
      </x:c>
      <x:c r="D16" s="1" t="str">
        <x:f aca="0">S13_PSP_Species_Support!C3</x:f>
        <x:v>Fruit Orchard (Block)</x:v>
      </x:c>
      <x:c r="E16" s="1" t="str">
        <x:f aca="0">S13_PSP_Species_Support!D3</x:f>
        <x:v>High</x:v>
      </x:c>
      <x:c r="F16" s="1" t="n">
        <x:f aca="0">S13_PSP_Species_Support!E3</x:f>
        <x:v>2020</x:v>
      </x:c>
      <x:c r="G16" s="645" t="n">
        <x:f aca="0">'S13_PSP_Species_Support'!DJ3</x:f>
        <x:v>0.09</x:v>
      </x:c>
      <x:c r="H16" s="714" t="n">
        <x:f aca="0">'S13_PSP_Species_Support'!DK3</x:f>
        <x:v>44.58715596330275</x:v>
      </x:c>
      <x:c r="I16" s="147" t="n">
        <x:f aca="0">IFERROR((IFERROR(S13_PSP_Species_Support!U3*0.0673*(S13_PSP_Species_Support!V3*(S13_PSP_Species_Support!W3*(1-EXP(-S13_PSP_Species_Support!X3*0))^S13_PSP_Species_Support!Y3)^2*(S13_PSP_Species_Support!Z3*(1-EXP(-S13_PSP_Species_Support!AA3*0))^S13_PSP_Species_Support!AB3))^0.976,0)+IFERROR(S13_PSP_Species_Support!AF3*0.0673*(S13_PSP_Species_Support!AG3*(S13_PSP_Species_Support!AH3*(1-EXP(-S13_PSP_Species_Support!AI3*0))^S13_PSP_Species_Support!AJ3)^2*(S13_PSP_Species_Support!AK3*(1-EXP(-S13_PSP_Species_Support!AL3*0))^S13_PSP_Species_Support!AM3))^0.976,0)+IFERROR(S13_PSP_Species_Support!AQ3*0.0673*(S13_PSP_Species_Support!AR3*(S13_PSP_Species_Support!AS3*(1-EXP(-S13_PSP_Species_Support!AT3*0))^S13_PSP_Species_Support!AU3)^2*(S13_PSP_Species_Support!AV3*(1-EXP(-S13_PSP_Species_Support!AW3*0))^S13_PSP_Species_Support!AX3))^0.976,0)+IFERROR(S13_PSP_Species_Support!BB3*0.0673*(S13_PSP_Species_Support!BC3*(S13_PSP_Species_Support!BD3*(1-EXP(-S13_PSP_Species_Support!BE3*0))^S13_PSP_Species_Support!BF3)^2*(S13_PSP_Species_Support!BG3*(1-EXP(-S13_PSP_Species_Support!BH3*0))^S13_PSP_Species_Support!BI3))^0.976,0)+IFERROR(S13_PSP_Species_Support!BM3*0.0673*(S13_PSP_Species_Support!BN3*(S13_PSP_Species_Support!BO3*(1-EXP(-S13_PSP_Species_Support!BP3*0))^S13_PSP_Species_Support!BQ3)^2*(S13_PSP_Species_Support!BR3*(1-EXP(-S13_PSP_Species_Support!BS3*0))^S13_PSP_Species_Support!BT3))^0.976,0)+IFERROR(S13_PSP_Species_Support!BX3*0.0673*(S13_PSP_Species_Support!BY3*(S13_PSP_Species_Support!BZ3*(1-EXP(-S13_PSP_Species_Support!CA3*0))^S13_PSP_Species_Support!CB3)^2*(S13_PSP_Species_Support!CC3*(1-EXP(-S13_PSP_Species_Support!CD3*0))^S13_PSP_Species_Support!CE3))^0.976,0)+IFERROR(S13_PSP_Species_Support!CI3*0.0673*(S13_PSP_Species_Support!CJ3*(S13_PSP_Species_Support!CK3*(1-EXP(-S13_PSP_Species_Support!CL3*0))^S13_PSP_Species_Support!CM3)^2*(S13_PSP_Species_Support!CN3*(1-EXP(-S13_PSP_Species_Support!CO3*0))^S13_PSP_Species_Support!CP3))^0.976,0)+IFERROR(S13_PSP_Species_Support!CT3*0.0673*(S13_PSP_Species_Support!CU3*(S13_PSP_Species_Support!CV3*(1-EXP(-S13_PSP_Species_Support!CW3*0))^S13_PSP_Species_Support!CX3)^2*(S13_PSP_Species_Support!CY3*(1-EXP(-S13_PSP_Species_Support!CZ3*0))^S13_PSP_Species_Support!DA3))^0.976,0))/1000/$G16*I$108,0)</x:f>
        <x:v>0</x:v>
      </x:c>
      <x:c r="J16" s="147" t="n">
        <x:f aca="0">IFERROR((IFERROR(S13_PSP_Species_Support!U3*0.0673*(S13_PSP_Species_Support!V3*(S13_PSP_Species_Support!W3*(1-EXP(-S13_PSP_Species_Support!X3*1))^S13_PSP_Species_Support!Y3)^2*(S13_PSP_Species_Support!Z3*(1-EXP(-S13_PSP_Species_Support!AA3*1))^S13_PSP_Species_Support!AB3))^0.976,0)+IFERROR(S13_PSP_Species_Support!AF3*0.0673*(S13_PSP_Species_Support!AG3*(S13_PSP_Species_Support!AH3*(1-EXP(-S13_PSP_Species_Support!AI3*1))^S13_PSP_Species_Support!AJ3)^2*(S13_PSP_Species_Support!AK3*(1-EXP(-S13_PSP_Species_Support!AL3*1))^S13_PSP_Species_Support!AM3))^0.976,0)+IFERROR(S13_PSP_Species_Support!AQ3*0.0673*(S13_PSP_Species_Support!AR3*(S13_PSP_Species_Support!AS3*(1-EXP(-S13_PSP_Species_Support!AT3*1))^S13_PSP_Species_Support!AU3)^2*(S13_PSP_Species_Support!AV3*(1-EXP(-S13_PSP_Species_Support!AW3*1))^S13_PSP_Species_Support!AX3))^0.976,0)+IFERROR(S13_PSP_Species_Support!BB3*0.0673*(S13_PSP_Species_Support!BC3*(S13_PSP_Species_Support!BD3*(1-EXP(-S13_PSP_Species_Support!BE3*1))^S13_PSP_Species_Support!BF3)^2*(S13_PSP_Species_Support!BG3*(1-EXP(-S13_PSP_Species_Support!BH3*1))^S13_PSP_Species_Support!BI3))^0.976,0)+IFERROR(S13_PSP_Species_Support!BM3*0.0673*(S13_PSP_Species_Support!BN3*(S13_PSP_Species_Support!BO3*(1-EXP(-S13_PSP_Species_Support!BP3*1))^S13_PSP_Species_Support!BQ3)^2*(S13_PSP_Species_Support!BR3*(1-EXP(-S13_PSP_Species_Support!BS3*1))^S13_PSP_Species_Support!BT3))^0.976,0)+IFERROR(S13_PSP_Species_Support!BX3*0.0673*(S13_PSP_Species_Support!BY3*(S13_PSP_Species_Support!BZ3*(1-EXP(-S13_PSP_Species_Support!CA3*1))^S13_PSP_Species_Support!CB3)^2*(S13_PSP_Species_Support!CC3*(1-EXP(-S13_PSP_Species_Support!CD3*1))^S13_PSP_Species_Support!CE3))^0.976,0)+IFERROR(S13_PSP_Species_Support!CI3*0.0673*(S13_PSP_Species_Support!CJ3*(S13_PSP_Species_Support!CK3*(1-EXP(-S13_PSP_Species_Support!CL3*1))^S13_PSP_Species_Support!CM3)^2*(S13_PSP_Species_Support!CN3*(1-EXP(-S13_PSP_Species_Support!CO3*1))^S13_PSP_Species_Support!CP3))^0.976,0)+IFERROR(S13_PSP_Species_Support!CT3*0.0673*(S13_PSP_Species_Support!CU3*(S13_PSP_Species_Support!CV3*(1-EXP(-S13_PSP_Species_Support!CW3*1))^S13_PSP_Species_Support!CX3)^2*(S13_PSP_Species_Support!CY3*(1-EXP(-S13_PSP_Species_Support!CZ3*1))^S13_PSP_Species_Support!DA3))^0.976,0))/1000/$G16*J$108,0)</x:f>
        <x:v>0.0311867193088395</x:v>
      </x:c>
      <x:c r="K16" s="147" t="n">
        <x:f aca="0">IFERROR((IFERROR(S13_PSP_Species_Support!U3*0.0673*(S13_PSP_Species_Support!V3*(S13_PSP_Species_Support!W3*(1-EXP(-S13_PSP_Species_Support!X3*2))^S13_PSP_Species_Support!Y3)^2*(S13_PSP_Species_Support!Z3*(1-EXP(-S13_PSP_Species_Support!AA3*2))^S13_PSP_Species_Support!AB3))^0.976,0)+IFERROR(S13_PSP_Species_Support!AF3*0.0673*(S13_PSP_Species_Support!AG3*(S13_PSP_Species_Support!AH3*(1-EXP(-S13_PSP_Species_Support!AI3*2))^S13_PSP_Species_Support!AJ3)^2*(S13_PSP_Species_Support!AK3*(1-EXP(-S13_PSP_Species_Support!AL3*2))^S13_PSP_Species_Support!AM3))^0.976,0)+IFERROR(S13_PSP_Species_Support!AQ3*0.0673*(S13_PSP_Species_Support!AR3*(S13_PSP_Species_Support!AS3*(1-EXP(-S13_PSP_Species_Support!AT3*2))^S13_PSP_Species_Support!AU3)^2*(S13_PSP_Species_Support!AV3*(1-EXP(-S13_PSP_Species_Support!AW3*2))^S13_PSP_Species_Support!AX3))^0.976,0)+IFERROR(S13_PSP_Species_Support!BB3*0.0673*(S13_PSP_Species_Support!BC3*(S13_PSP_Species_Support!BD3*(1-EXP(-S13_PSP_Species_Support!BE3*2))^S13_PSP_Species_Support!BF3)^2*(S13_PSP_Species_Support!BG3*(1-EXP(-S13_PSP_Species_Support!BH3*2))^S13_PSP_Species_Support!BI3))^0.976,0)+IFERROR(S13_PSP_Species_Support!BM3*0.0673*(S13_PSP_Species_Support!BN3*(S13_PSP_Species_Support!BO3*(1-EXP(-S13_PSP_Species_Support!BP3*2))^S13_PSP_Species_Support!BQ3)^2*(S13_PSP_Species_Support!BR3*(1-EXP(-S13_PSP_Species_Support!BS3*2))^S13_PSP_Species_Support!BT3))^0.976,0)+IFERROR(S13_PSP_Species_Support!BX3*0.0673*(S13_PSP_Species_Support!BY3*(S13_PSP_Species_Support!BZ3*(1-EXP(-S13_PSP_Species_Support!CA3*2))^S13_PSP_Species_Support!CB3)^2*(S13_PSP_Species_Support!CC3*(1-EXP(-S13_PSP_Species_Support!CD3*2))^S13_PSP_Species_Support!CE3))^0.976,0)+IFERROR(S13_PSP_Species_Support!CI3*0.0673*(S13_PSP_Species_Support!CJ3*(S13_PSP_Species_Support!CK3*(1-EXP(-S13_PSP_Species_Support!CL3*2))^S13_PSP_Species_Support!CM3)^2*(S13_PSP_Species_Support!CN3*(1-EXP(-S13_PSP_Species_Support!CO3*2))^S13_PSP_Species_Support!CP3))^0.976,0)+IFERROR(S13_PSP_Species_Support!CT3*0.0673*(S13_PSP_Species_Support!CU3*(S13_PSP_Species_Support!CV3*(1-EXP(-S13_PSP_Species_Support!CW3*2))^S13_PSP_Species_Support!CX3)^2*(S13_PSP_Species_Support!CY3*(1-EXP(-S13_PSP_Species_Support!CZ3*2))^S13_PSP_Species_Support!DA3))^0.976,0))/1000/$G16*K$108,0)</x:f>
        <x:v>0.3972678059142509</x:v>
      </x:c>
      <x:c r="L16" s="147" t="n">
        <x:f aca="0">IFERROR((IFERROR(S13_PSP_Species_Support!U3*0.0673*(S13_PSP_Species_Support!V3*(S13_PSP_Species_Support!W3*(1-EXP(-S13_PSP_Species_Support!X3*3))^S13_PSP_Species_Support!Y3)^2*(S13_PSP_Species_Support!Z3*(1-EXP(-S13_PSP_Species_Support!AA3*3))^S13_PSP_Species_Support!AB3))^0.976,0)+IFERROR(S13_PSP_Species_Support!AF3*0.0673*(S13_PSP_Species_Support!AG3*(S13_PSP_Species_Support!AH3*(1-EXP(-S13_PSP_Species_Support!AI3*3))^S13_PSP_Species_Support!AJ3)^2*(S13_PSP_Species_Support!AK3*(1-EXP(-S13_PSP_Species_Support!AL3*3))^S13_PSP_Species_Support!AM3))^0.976,0)+IFERROR(S13_PSP_Species_Support!AQ3*0.0673*(S13_PSP_Species_Support!AR3*(S13_PSP_Species_Support!AS3*(1-EXP(-S13_PSP_Species_Support!AT3*3))^S13_PSP_Species_Support!AU3)^2*(S13_PSP_Species_Support!AV3*(1-EXP(-S13_PSP_Species_Support!AW3*3))^S13_PSP_Species_Support!AX3))^0.976,0)+IFERROR(S13_PSP_Species_Support!BB3*0.0673*(S13_PSP_Species_Support!BC3*(S13_PSP_Species_Support!BD3*(1-EXP(-S13_PSP_Species_Support!BE3*3))^S13_PSP_Species_Support!BF3)^2*(S13_PSP_Species_Support!BG3*(1-EXP(-S13_PSP_Species_Support!BH3*3))^S13_PSP_Species_Support!BI3))^0.976,0)+IFERROR(S13_PSP_Species_Support!BM3*0.0673*(S13_PSP_Species_Support!BN3*(S13_PSP_Species_Support!BO3*(1-EXP(-S13_PSP_Species_Support!BP3*3))^S13_PSP_Species_Support!BQ3)^2*(S13_PSP_Species_Support!BR3*(1-EXP(-S13_PSP_Species_Support!BS3*3))^S13_PSP_Species_Support!BT3))^0.976,0)+IFERROR(S13_PSP_Species_Support!BX3*0.0673*(S13_PSP_Species_Support!BY3*(S13_PSP_Species_Support!BZ3*(1-EXP(-S13_PSP_Species_Support!CA3*3))^S13_PSP_Species_Support!CB3)^2*(S13_PSP_Species_Support!CC3*(1-EXP(-S13_PSP_Species_Support!CD3*3))^S13_PSP_Species_Support!CE3))^0.976,0)+IFERROR(S13_PSP_Species_Support!CI3*0.0673*(S13_PSP_Species_Support!CJ3*(S13_PSP_Species_Support!CK3*(1-EXP(-S13_PSP_Species_Support!CL3*3))^S13_PSP_Species_Support!CM3)^2*(S13_PSP_Species_Support!CN3*(1-EXP(-S13_PSP_Species_Support!CO3*3))^S13_PSP_Species_Support!CP3))^0.976,0)+IFERROR(S13_PSP_Species_Support!CT3*0.0673*(S13_PSP_Species_Support!CU3*(S13_PSP_Species_Support!CV3*(1-EXP(-S13_PSP_Species_Support!CW3*3))^S13_PSP_Species_Support!CX3)^2*(S13_PSP_Species_Support!CY3*(1-EXP(-S13_PSP_Species_Support!CZ3*3))^S13_PSP_Species_Support!DA3))^0.976,0))/1000/$G16*L$108,0)</x:f>
        <x:v>1.5084487057249976</x:v>
      </x:c>
      <x:c r="M16" s="147" t="n">
        <x:f aca="0">IFERROR((IFERROR(S13_PSP_Species_Support!U3*0.0673*(S13_PSP_Species_Support!V3*(S13_PSP_Species_Support!W3*(1-EXP(-S13_PSP_Species_Support!X3*4))^S13_PSP_Species_Support!Y3)^2*(S13_PSP_Species_Support!Z3*(1-EXP(-S13_PSP_Species_Support!AA3*4))^S13_PSP_Species_Support!AB3))^0.976,0)+IFERROR(S13_PSP_Species_Support!AF3*0.0673*(S13_PSP_Species_Support!AG3*(S13_PSP_Species_Support!AH3*(1-EXP(-S13_PSP_Species_Support!AI3*4))^S13_PSP_Species_Support!AJ3)^2*(S13_PSP_Species_Support!AK3*(1-EXP(-S13_PSP_Species_Support!AL3*4))^S13_PSP_Species_Support!AM3))^0.976,0)+IFERROR(S13_PSP_Species_Support!AQ3*0.0673*(S13_PSP_Species_Support!AR3*(S13_PSP_Species_Support!AS3*(1-EXP(-S13_PSP_Species_Support!AT3*4))^S13_PSP_Species_Support!AU3)^2*(S13_PSP_Species_Support!AV3*(1-EXP(-S13_PSP_Species_Support!AW3*4))^S13_PSP_Species_Support!AX3))^0.976,0)+IFERROR(S13_PSP_Species_Support!BB3*0.0673*(S13_PSP_Species_Support!BC3*(S13_PSP_Species_Support!BD3*(1-EXP(-S13_PSP_Species_Support!BE3*4))^S13_PSP_Species_Support!BF3)^2*(S13_PSP_Species_Support!BG3*(1-EXP(-S13_PSP_Species_Support!BH3*4))^S13_PSP_Species_Support!BI3))^0.976,0)+IFERROR(S13_PSP_Species_Support!BM3*0.0673*(S13_PSP_Species_Support!BN3*(S13_PSP_Species_Support!BO3*(1-EXP(-S13_PSP_Species_Support!BP3*4))^S13_PSP_Species_Support!BQ3)^2*(S13_PSP_Species_Support!BR3*(1-EXP(-S13_PSP_Species_Support!BS3*4))^S13_PSP_Species_Support!BT3))^0.976,0)+IFERROR(S13_PSP_Species_Support!BX3*0.0673*(S13_PSP_Species_Support!BY3*(S13_PSP_Species_Support!BZ3*(1-EXP(-S13_PSP_Species_Support!CA3*4))^S13_PSP_Species_Support!CB3)^2*(S13_PSP_Species_Support!CC3*(1-EXP(-S13_PSP_Species_Support!CD3*4))^S13_PSP_Species_Support!CE3))^0.976,0)+IFERROR(S13_PSP_Species_Support!CI3*0.0673*(S13_PSP_Species_Support!CJ3*(S13_PSP_Species_Support!CK3*(1-EXP(-S13_PSP_Species_Support!CL3*4))^S13_PSP_Species_Support!CM3)^2*(S13_PSP_Species_Support!CN3*(1-EXP(-S13_PSP_Species_Support!CO3*4))^S13_PSP_Species_Support!CP3))^0.976,0)+IFERROR(S13_PSP_Species_Support!CT3*0.0673*(S13_PSP_Species_Support!CU3*(S13_PSP_Species_Support!CV3*(1-EXP(-S13_PSP_Species_Support!CW3*4))^S13_PSP_Species_Support!CX3)^2*(S13_PSP_Species_Support!CY3*(1-EXP(-S13_PSP_Species_Support!CZ3*4))^S13_PSP_Species_Support!DA3))^0.976,0))/1000/$G16*M$108,0)</x:f>
        <x:v>3.5404661471566916</x:v>
      </x:c>
      <x:c r="N16" s="147" t="n">
        <x:f aca="0">IFERROR((IFERROR(S13_PSP_Species_Support!U3*0.0673*(S13_PSP_Species_Support!V3*(S13_PSP_Species_Support!W3*(1-EXP(-S13_PSP_Species_Support!X3*5))^S13_PSP_Species_Support!Y3)^2*(S13_PSP_Species_Support!Z3*(1-EXP(-S13_PSP_Species_Support!AA3*5))^S13_PSP_Species_Support!AB3))^0.976,0)+IFERROR(S13_PSP_Species_Support!AF3*0.0673*(S13_PSP_Species_Support!AG3*(S13_PSP_Species_Support!AH3*(1-EXP(-S13_PSP_Species_Support!AI3*5))^S13_PSP_Species_Support!AJ3)^2*(S13_PSP_Species_Support!AK3*(1-EXP(-S13_PSP_Species_Support!AL3*5))^S13_PSP_Species_Support!AM3))^0.976,0)+IFERROR(S13_PSP_Species_Support!AQ3*0.0673*(S13_PSP_Species_Support!AR3*(S13_PSP_Species_Support!AS3*(1-EXP(-S13_PSP_Species_Support!AT3*5))^S13_PSP_Species_Support!AU3)^2*(S13_PSP_Species_Support!AV3*(1-EXP(-S13_PSP_Species_Support!AW3*5))^S13_PSP_Species_Support!AX3))^0.976,0)+IFERROR(S13_PSP_Species_Support!BB3*0.0673*(S13_PSP_Species_Support!BC3*(S13_PSP_Species_Support!BD3*(1-EXP(-S13_PSP_Species_Support!BE3*5))^S13_PSP_Species_Support!BF3)^2*(S13_PSP_Species_Support!BG3*(1-EXP(-S13_PSP_Species_Support!BH3*5))^S13_PSP_Species_Support!BI3))^0.976,0)+IFERROR(S13_PSP_Species_Support!BM3*0.0673*(S13_PSP_Species_Support!BN3*(S13_PSP_Species_Support!BO3*(1-EXP(-S13_PSP_Species_Support!BP3*5))^S13_PSP_Species_Support!BQ3)^2*(S13_PSP_Species_Support!BR3*(1-EXP(-S13_PSP_Species_Support!BS3*5))^S13_PSP_Species_Support!BT3))^0.976,0)+IFERROR(S13_PSP_Species_Support!BX3*0.0673*(S13_PSP_Species_Support!BY3*(S13_PSP_Species_Support!BZ3*(1-EXP(-S13_PSP_Species_Support!CA3*5))^S13_PSP_Species_Support!CB3)^2*(S13_PSP_Species_Support!CC3*(1-EXP(-S13_PSP_Species_Support!CD3*5))^S13_PSP_Species_Support!CE3))^0.976,0)+IFERROR(S13_PSP_Species_Support!CI3*0.0673*(S13_PSP_Species_Support!CJ3*(S13_PSP_Species_Support!CK3*(1-EXP(-S13_PSP_Species_Support!CL3*5))^S13_PSP_Species_Support!CM3)^2*(S13_PSP_Species_Support!CN3*(1-EXP(-S13_PSP_Species_Support!CO3*5))^S13_PSP_Species_Support!CP3))^0.976,0)+IFERROR(S13_PSP_Species_Support!CT3*0.0673*(S13_PSP_Species_Support!CU3*(S13_PSP_Species_Support!CV3*(1-EXP(-S13_PSP_Species_Support!CW3*5))^S13_PSP_Species_Support!CX3)^2*(S13_PSP_Species_Support!CY3*(1-EXP(-S13_PSP_Species_Support!CZ3*5))^S13_PSP_Species_Support!DA3))^0.976,0))/1000/$G16*N$108,0)</x:f>
        <x:v>6.39013453152919</x:v>
      </x:c>
      <x:c r="O16" s="147" t="n">
        <x:f aca="0">IFERROR((IFERROR(S13_PSP_Species_Support!U3*0.0673*(S13_PSP_Species_Support!V3*(S13_PSP_Species_Support!W3*(1-EXP(-S13_PSP_Species_Support!X3*6))^S13_PSP_Species_Support!Y3)^2*(S13_PSP_Species_Support!Z3*(1-EXP(-S13_PSP_Species_Support!AA3*6))^S13_PSP_Species_Support!AB3))^0.976,0)+IFERROR(S13_PSP_Species_Support!AF3*0.0673*(S13_PSP_Species_Support!AG3*(S13_PSP_Species_Support!AH3*(1-EXP(-S13_PSP_Species_Support!AI3*6))^S13_PSP_Species_Support!AJ3)^2*(S13_PSP_Species_Support!AK3*(1-EXP(-S13_PSP_Species_Support!AL3*6))^S13_PSP_Species_Support!AM3))^0.976,0)+IFERROR(S13_PSP_Species_Support!AQ3*0.0673*(S13_PSP_Species_Support!AR3*(S13_PSP_Species_Support!AS3*(1-EXP(-S13_PSP_Species_Support!AT3*6))^S13_PSP_Species_Support!AU3)^2*(S13_PSP_Species_Support!AV3*(1-EXP(-S13_PSP_Species_Support!AW3*6))^S13_PSP_Species_Support!AX3))^0.976,0)+IFERROR(S13_PSP_Species_Support!BB3*0.0673*(S13_PSP_Species_Support!BC3*(S13_PSP_Species_Support!BD3*(1-EXP(-S13_PSP_Species_Support!BE3*6))^S13_PSP_Species_Support!BF3)^2*(S13_PSP_Species_Support!BG3*(1-EXP(-S13_PSP_Species_Support!BH3*6))^S13_PSP_Species_Support!BI3))^0.976,0)+IFERROR(S13_PSP_Species_Support!BM3*0.0673*(S13_PSP_Species_Support!BN3*(S13_PSP_Species_Support!BO3*(1-EXP(-S13_PSP_Species_Support!BP3*6))^S13_PSP_Species_Support!BQ3)^2*(S13_PSP_Species_Support!BR3*(1-EXP(-S13_PSP_Species_Support!BS3*6))^S13_PSP_Species_Support!BT3))^0.976,0)+IFERROR(S13_PSP_Species_Support!BX3*0.0673*(S13_PSP_Species_Support!BY3*(S13_PSP_Species_Support!BZ3*(1-EXP(-S13_PSP_Species_Support!CA3*6))^S13_PSP_Species_Support!CB3)^2*(S13_PSP_Species_Support!CC3*(1-EXP(-S13_PSP_Species_Support!CD3*6))^S13_PSP_Species_Support!CE3))^0.976,0)+IFERROR(S13_PSP_Species_Support!CI3*0.0673*(S13_PSP_Species_Support!CJ3*(S13_PSP_Species_Support!CK3*(1-EXP(-S13_PSP_Species_Support!CL3*6))^S13_PSP_Species_Support!CM3)^2*(S13_PSP_Species_Support!CN3*(1-EXP(-S13_PSP_Species_Support!CO3*6))^S13_PSP_Species_Support!CP3))^0.976,0)+IFERROR(S13_PSP_Species_Support!CT3*0.0673*(S13_PSP_Species_Support!CU3*(S13_PSP_Species_Support!CV3*(1-EXP(-S13_PSP_Species_Support!CW3*6))^S13_PSP_Species_Support!CX3)^2*(S13_PSP_Species_Support!CY3*(1-EXP(-S13_PSP_Species_Support!CZ3*6))^S13_PSP_Species_Support!DA3))^0.976,0))/1000/$G16*O$108,0)</x:f>
        <x:v>9.817149547310867</x:v>
      </x:c>
      <x:c r="P16" s="147" t="n">
        <x:f aca="0">IFERROR((IFERROR(S13_PSP_Species_Support!U3*0.0673*(S13_PSP_Species_Support!V3*(S13_PSP_Species_Support!W3*(1-EXP(-S13_PSP_Species_Support!X3*7))^S13_PSP_Species_Support!Y3)^2*(S13_PSP_Species_Support!Z3*(1-EXP(-S13_PSP_Species_Support!AA3*7))^S13_PSP_Species_Support!AB3))^0.976,0)+IFERROR(S13_PSP_Species_Support!AF3*0.0673*(S13_PSP_Species_Support!AG3*(S13_PSP_Species_Support!AH3*(1-EXP(-S13_PSP_Species_Support!AI3*7))^S13_PSP_Species_Support!AJ3)^2*(S13_PSP_Species_Support!AK3*(1-EXP(-S13_PSP_Species_Support!AL3*7))^S13_PSP_Species_Support!AM3))^0.976,0)+IFERROR(S13_PSP_Species_Support!AQ3*0.0673*(S13_PSP_Species_Support!AR3*(S13_PSP_Species_Support!AS3*(1-EXP(-S13_PSP_Species_Support!AT3*7))^S13_PSP_Species_Support!AU3)^2*(S13_PSP_Species_Support!AV3*(1-EXP(-S13_PSP_Species_Support!AW3*7))^S13_PSP_Species_Support!AX3))^0.976,0)+IFERROR(S13_PSP_Species_Support!BB3*0.0673*(S13_PSP_Species_Support!BC3*(S13_PSP_Species_Support!BD3*(1-EXP(-S13_PSP_Species_Support!BE3*7))^S13_PSP_Species_Support!BF3)^2*(S13_PSP_Species_Support!BG3*(1-EXP(-S13_PSP_Species_Support!BH3*7))^S13_PSP_Species_Support!BI3))^0.976,0)+IFERROR(S13_PSP_Species_Support!BM3*0.0673*(S13_PSP_Species_Support!BN3*(S13_PSP_Species_Support!BO3*(1-EXP(-S13_PSP_Species_Support!BP3*7))^S13_PSP_Species_Support!BQ3)^2*(S13_PSP_Species_Support!BR3*(1-EXP(-S13_PSP_Species_Support!BS3*7))^S13_PSP_Species_Support!BT3))^0.976,0)+IFERROR(S13_PSP_Species_Support!BX3*0.0673*(S13_PSP_Species_Support!BY3*(S13_PSP_Species_Support!BZ3*(1-EXP(-S13_PSP_Species_Support!CA3*7))^S13_PSP_Species_Support!CB3)^2*(S13_PSP_Species_Support!CC3*(1-EXP(-S13_PSP_Species_Support!CD3*7))^S13_PSP_Species_Support!CE3))^0.976,0)+IFERROR(S13_PSP_Species_Support!CI3*0.0673*(S13_PSP_Species_Support!CJ3*(S13_PSP_Species_Support!CK3*(1-EXP(-S13_PSP_Species_Support!CL3*7))^S13_PSP_Species_Support!CM3)^2*(S13_PSP_Species_Support!CN3*(1-EXP(-S13_PSP_Species_Support!CO3*7))^S13_PSP_Species_Support!CP3))^0.976,0)+IFERROR(S13_PSP_Species_Support!CT3*0.0673*(S13_PSP_Species_Support!CU3*(S13_PSP_Species_Support!CV3*(1-EXP(-S13_PSP_Species_Support!CW3*7))^S13_PSP_Species_Support!CX3)^2*(S13_PSP_Species_Support!CY3*(1-EXP(-S13_PSP_Species_Support!CZ3*7))^S13_PSP_Species_Support!DA3))^0.976,0))/1000/$G16*P$108,0)</x:f>
        <x:v>13.549815768769633</x:v>
      </x:c>
      <x:c r="Q16" s="147" t="n">
        <x:f aca="0">IFERROR((IFERROR(S13_PSP_Species_Support!U3*0.0673*(S13_PSP_Species_Support!V3*(S13_PSP_Species_Support!W3*(1-EXP(-S13_PSP_Species_Support!X3*8))^S13_PSP_Species_Support!Y3)^2*(S13_PSP_Species_Support!Z3*(1-EXP(-S13_PSP_Species_Support!AA3*8))^S13_PSP_Species_Support!AB3))^0.976,0)+IFERROR(S13_PSP_Species_Support!AF3*0.0673*(S13_PSP_Species_Support!AG3*(S13_PSP_Species_Support!AH3*(1-EXP(-S13_PSP_Species_Support!AI3*8))^S13_PSP_Species_Support!AJ3)^2*(S13_PSP_Species_Support!AK3*(1-EXP(-S13_PSP_Species_Support!AL3*8))^S13_PSP_Species_Support!AM3))^0.976,0)+IFERROR(S13_PSP_Species_Support!AQ3*0.0673*(S13_PSP_Species_Support!AR3*(S13_PSP_Species_Support!AS3*(1-EXP(-S13_PSP_Species_Support!AT3*8))^S13_PSP_Species_Support!AU3)^2*(S13_PSP_Species_Support!AV3*(1-EXP(-S13_PSP_Species_Support!AW3*8))^S13_PSP_Species_Support!AX3))^0.976,0)+IFERROR(S13_PSP_Species_Support!BB3*0.0673*(S13_PSP_Species_Support!BC3*(S13_PSP_Species_Support!BD3*(1-EXP(-S13_PSP_Species_Support!BE3*8))^S13_PSP_Species_Support!BF3)^2*(S13_PSP_Species_Support!BG3*(1-EXP(-S13_PSP_Species_Support!BH3*8))^S13_PSP_Species_Support!BI3))^0.976,0)+IFERROR(S13_PSP_Species_Support!BM3*0.0673*(S13_PSP_Species_Support!BN3*(S13_PSP_Species_Support!BO3*(1-EXP(-S13_PSP_Species_Support!BP3*8))^S13_PSP_Species_Support!BQ3)^2*(S13_PSP_Species_Support!BR3*(1-EXP(-S13_PSP_Species_Support!BS3*8))^S13_PSP_Species_Support!BT3))^0.976,0)+IFERROR(S13_PSP_Species_Support!BX3*0.0673*(S13_PSP_Species_Support!BY3*(S13_PSP_Species_Support!BZ3*(1-EXP(-S13_PSP_Species_Support!CA3*8))^S13_PSP_Species_Support!CB3)^2*(S13_PSP_Species_Support!CC3*(1-EXP(-S13_PSP_Species_Support!CD3*8))^S13_PSP_Species_Support!CE3))^0.976,0)+IFERROR(S13_PSP_Species_Support!CI3*0.0673*(S13_PSP_Species_Support!CJ3*(S13_PSP_Species_Support!CK3*(1-EXP(-S13_PSP_Species_Support!CL3*8))^S13_PSP_Species_Support!CM3)^2*(S13_PSP_Species_Support!CN3*(1-EXP(-S13_PSP_Species_Support!CO3*8))^S13_PSP_Species_Support!CP3))^0.976,0)+IFERROR(S13_PSP_Species_Support!CT3*0.0673*(S13_PSP_Species_Support!CU3*(S13_PSP_Species_Support!CV3*(1-EXP(-S13_PSP_Species_Support!CW3*8))^S13_PSP_Species_Support!CX3)^2*(S13_PSP_Species_Support!CY3*(1-EXP(-S13_PSP_Species_Support!CZ3*8))^S13_PSP_Species_Support!DA3))^0.976,0))/1000/$G16*Q$108,0)</x:f>
        <x:v>17.34885548348755</x:v>
      </x:c>
      <x:c r="R16" s="147" t="n">
        <x:f aca="0">IFERROR((IFERROR(S13_PSP_Species_Support!U3*0.0673*(S13_PSP_Species_Support!V3*(S13_PSP_Species_Support!W3*(1-EXP(-S13_PSP_Species_Support!X3*9))^S13_PSP_Species_Support!Y3)^2*(S13_PSP_Species_Support!Z3*(1-EXP(-S13_PSP_Species_Support!AA3*9))^S13_PSP_Species_Support!AB3))^0.976,0)+IFERROR(S13_PSP_Species_Support!AF3*0.0673*(S13_PSP_Species_Support!AG3*(S13_PSP_Species_Support!AH3*(1-EXP(-S13_PSP_Species_Support!AI3*9))^S13_PSP_Species_Support!AJ3)^2*(S13_PSP_Species_Support!AK3*(1-EXP(-S13_PSP_Species_Support!AL3*9))^S13_PSP_Species_Support!AM3))^0.976,0)+IFERROR(S13_PSP_Species_Support!AQ3*0.0673*(S13_PSP_Species_Support!AR3*(S13_PSP_Species_Support!AS3*(1-EXP(-S13_PSP_Species_Support!AT3*9))^S13_PSP_Species_Support!AU3)^2*(S13_PSP_Species_Support!AV3*(1-EXP(-S13_PSP_Species_Support!AW3*9))^S13_PSP_Species_Support!AX3))^0.976,0)+IFERROR(S13_PSP_Species_Support!BB3*0.0673*(S13_PSP_Species_Support!BC3*(S13_PSP_Species_Support!BD3*(1-EXP(-S13_PSP_Species_Support!BE3*9))^S13_PSP_Species_Support!BF3)^2*(S13_PSP_Species_Support!BG3*(1-EXP(-S13_PSP_Species_Support!BH3*9))^S13_PSP_Species_Support!BI3))^0.976,0)+IFERROR(S13_PSP_Species_Support!BM3*0.0673*(S13_PSP_Species_Support!BN3*(S13_PSP_Species_Support!BO3*(1-EXP(-S13_PSP_Species_Support!BP3*9))^S13_PSP_Species_Support!BQ3)^2*(S13_PSP_Species_Support!BR3*(1-EXP(-S13_PSP_Species_Support!BS3*9))^S13_PSP_Species_Support!BT3))^0.976,0)+IFERROR(S13_PSP_Species_Support!BX3*0.0673*(S13_PSP_Species_Support!BY3*(S13_PSP_Species_Support!BZ3*(1-EXP(-S13_PSP_Species_Support!CA3*9))^S13_PSP_Species_Support!CB3)^2*(S13_PSP_Species_Support!CC3*(1-EXP(-S13_PSP_Species_Support!CD3*9))^S13_PSP_Species_Support!CE3))^0.976,0)+IFERROR(S13_PSP_Species_Support!CI3*0.0673*(S13_PSP_Species_Support!CJ3*(S13_PSP_Species_Support!CK3*(1-EXP(-S13_PSP_Species_Support!CL3*9))^S13_PSP_Species_Support!CM3)^2*(S13_PSP_Species_Support!CN3*(1-EXP(-S13_PSP_Species_Support!CO3*9))^S13_PSP_Species_Support!CP3))^0.976,0)+IFERROR(S13_PSP_Species_Support!CT3*0.0673*(S13_PSP_Species_Support!CU3*(S13_PSP_Species_Support!CV3*(1-EXP(-S13_PSP_Species_Support!CW3*9))^S13_PSP_Species_Support!CX3)^2*(S13_PSP_Species_Support!CY3*(1-EXP(-S13_PSP_Species_Support!CZ3*9))^S13_PSP_Species_Support!DA3))^0.976,0))/1000/$G16*R$108,0)</x:f>
        <x:v>21.032903783660363</x:v>
      </x:c>
      <x:c r="S16" s="147" t="n">
        <x:f aca="0">IFERROR((IFERROR(S13_PSP_Species_Support!U3*0.0673*(S13_PSP_Species_Support!V3*(S13_PSP_Species_Support!W3*(1-EXP(-S13_PSP_Species_Support!X3*10))^S13_PSP_Species_Support!Y3)^2*(S13_PSP_Species_Support!Z3*(1-EXP(-S13_PSP_Species_Support!AA3*10))^S13_PSP_Species_Support!AB3))^0.976,0)+IFERROR(S13_PSP_Species_Support!AF3*0.0673*(S13_PSP_Species_Support!AG3*(S13_PSP_Species_Support!AH3*(1-EXP(-S13_PSP_Species_Support!AI3*10))^S13_PSP_Species_Support!AJ3)^2*(S13_PSP_Species_Support!AK3*(1-EXP(-S13_PSP_Species_Support!AL3*10))^S13_PSP_Species_Support!AM3))^0.976,0)+IFERROR(S13_PSP_Species_Support!AQ3*0.0673*(S13_PSP_Species_Support!AR3*(S13_PSP_Species_Support!AS3*(1-EXP(-S13_PSP_Species_Support!AT3*10))^S13_PSP_Species_Support!AU3)^2*(S13_PSP_Species_Support!AV3*(1-EXP(-S13_PSP_Species_Support!AW3*10))^S13_PSP_Species_Support!AX3))^0.976,0)+IFERROR(S13_PSP_Species_Support!BB3*0.0673*(S13_PSP_Species_Support!BC3*(S13_PSP_Species_Support!BD3*(1-EXP(-S13_PSP_Species_Support!BE3*10))^S13_PSP_Species_Support!BF3)^2*(S13_PSP_Species_Support!BG3*(1-EXP(-S13_PSP_Species_Support!BH3*10))^S13_PSP_Species_Support!BI3))^0.976,0)+IFERROR(S13_PSP_Species_Support!BM3*0.0673*(S13_PSP_Species_Support!BN3*(S13_PSP_Species_Support!BO3*(1-EXP(-S13_PSP_Species_Support!BP3*10))^S13_PSP_Species_Support!BQ3)^2*(S13_PSP_Species_Support!BR3*(1-EXP(-S13_PSP_Species_Support!BS3*10))^S13_PSP_Species_Support!BT3))^0.976,0)+IFERROR(S13_PSP_Species_Support!BX3*0.0673*(S13_PSP_Species_Support!BY3*(S13_PSP_Species_Support!BZ3*(1-EXP(-S13_PSP_Species_Support!CA3*10))^S13_PSP_Species_Support!CB3)^2*(S13_PSP_Species_Support!CC3*(1-EXP(-S13_PSP_Species_Support!CD3*10))^S13_PSP_Species_Support!CE3))^0.976,0)+IFERROR(S13_PSP_Species_Support!CI3*0.0673*(S13_PSP_Species_Support!CJ3*(S13_PSP_Species_Support!CK3*(1-EXP(-S13_PSP_Species_Support!CL3*10))^S13_PSP_Species_Support!CM3)^2*(S13_PSP_Species_Support!CN3*(1-EXP(-S13_PSP_Species_Support!CO3*10))^S13_PSP_Species_Support!CP3))^0.976,0)+IFERROR(S13_PSP_Species_Support!CT3*0.0673*(S13_PSP_Species_Support!CU3*(S13_PSP_Species_Support!CV3*(1-EXP(-S13_PSP_Species_Support!CW3*10))^S13_PSP_Species_Support!CX3)^2*(S13_PSP_Species_Support!CY3*(1-EXP(-S13_PSP_Species_Support!CZ3*10))^S13_PSP_Species_Support!DA3))^0.976,0))/1000/$G16*S$108,0)</x:f>
        <x:v>24.480815342915957</x:v>
      </x:c>
      <x:c r="T16" s="147" t="n">
        <x:f aca="0">IFERROR((IFERROR(S13_PSP_Species_Support!U3*0.0673*(S13_PSP_Species_Support!V3*(S13_PSP_Species_Support!W3*(1-EXP(-S13_PSP_Species_Support!X3*11))^S13_PSP_Species_Support!Y3)^2*(S13_PSP_Species_Support!Z3*(1-EXP(-S13_PSP_Species_Support!AA3*11))^S13_PSP_Species_Support!AB3))^0.976,0)+IFERROR(S13_PSP_Species_Support!AF3*0.0673*(S13_PSP_Species_Support!AG3*(S13_PSP_Species_Support!AH3*(1-EXP(-S13_PSP_Species_Support!AI3*11))^S13_PSP_Species_Support!AJ3)^2*(S13_PSP_Species_Support!AK3*(1-EXP(-S13_PSP_Species_Support!AL3*11))^S13_PSP_Species_Support!AM3))^0.976,0)+IFERROR(S13_PSP_Species_Support!AQ3*0.0673*(S13_PSP_Species_Support!AR3*(S13_PSP_Species_Support!AS3*(1-EXP(-S13_PSP_Species_Support!AT3*11))^S13_PSP_Species_Support!AU3)^2*(S13_PSP_Species_Support!AV3*(1-EXP(-S13_PSP_Species_Support!AW3*11))^S13_PSP_Species_Support!AX3))^0.976,0)+IFERROR(S13_PSP_Species_Support!BB3*0.0673*(S13_PSP_Species_Support!BC3*(S13_PSP_Species_Support!BD3*(1-EXP(-S13_PSP_Species_Support!BE3*11))^S13_PSP_Species_Support!BF3)^2*(S13_PSP_Species_Support!BG3*(1-EXP(-S13_PSP_Species_Support!BH3*11))^S13_PSP_Species_Support!BI3))^0.976,0)+IFERROR(S13_PSP_Species_Support!BM3*0.0673*(S13_PSP_Species_Support!BN3*(S13_PSP_Species_Support!BO3*(1-EXP(-S13_PSP_Species_Support!BP3*11))^S13_PSP_Species_Support!BQ3)^2*(S13_PSP_Species_Support!BR3*(1-EXP(-S13_PSP_Species_Support!BS3*11))^S13_PSP_Species_Support!BT3))^0.976,0)+IFERROR(S13_PSP_Species_Support!BX3*0.0673*(S13_PSP_Species_Support!BY3*(S13_PSP_Species_Support!BZ3*(1-EXP(-S13_PSP_Species_Support!CA3*11))^S13_PSP_Species_Support!CB3)^2*(S13_PSP_Species_Support!CC3*(1-EXP(-S13_PSP_Species_Support!CD3*11))^S13_PSP_Species_Support!CE3))^0.976,0)+IFERROR(S13_PSP_Species_Support!CI3*0.0673*(S13_PSP_Species_Support!CJ3*(S13_PSP_Species_Support!CK3*(1-EXP(-S13_PSP_Species_Support!CL3*11))^S13_PSP_Species_Support!CM3)^2*(S13_PSP_Species_Support!CN3*(1-EXP(-S13_PSP_Species_Support!CO3*11))^S13_PSP_Species_Support!CP3))^0.976,0)+IFERROR(S13_PSP_Species_Support!CT3*0.0673*(S13_PSP_Species_Support!CU3*(S13_PSP_Species_Support!CV3*(1-EXP(-S13_PSP_Species_Support!CW3*11))^S13_PSP_Species_Support!CX3)^2*(S13_PSP_Species_Support!CY3*(1-EXP(-S13_PSP_Species_Support!CZ3*11))^S13_PSP_Species_Support!DA3))^0.976,0))/1000/$G16*T$108,0)</x:f>
        <x:v>27.622948110485197</x:v>
      </x:c>
      <x:c r="U16" s="147" t="n">
        <x:f aca="0">IFERROR((IFERROR(S13_PSP_Species_Support!U3*0.0673*(S13_PSP_Species_Support!V3*(S13_PSP_Species_Support!W3*(1-EXP(-S13_PSP_Species_Support!X3*12))^S13_PSP_Species_Support!Y3)^2*(S13_PSP_Species_Support!Z3*(1-EXP(-S13_PSP_Species_Support!AA3*12))^S13_PSP_Species_Support!AB3))^0.976,0)+IFERROR(S13_PSP_Species_Support!AF3*0.0673*(S13_PSP_Species_Support!AG3*(S13_PSP_Species_Support!AH3*(1-EXP(-S13_PSP_Species_Support!AI3*12))^S13_PSP_Species_Support!AJ3)^2*(S13_PSP_Species_Support!AK3*(1-EXP(-S13_PSP_Species_Support!AL3*12))^S13_PSP_Species_Support!AM3))^0.976,0)+IFERROR(S13_PSP_Species_Support!AQ3*0.0673*(S13_PSP_Species_Support!AR3*(S13_PSP_Species_Support!AS3*(1-EXP(-S13_PSP_Species_Support!AT3*12))^S13_PSP_Species_Support!AU3)^2*(S13_PSP_Species_Support!AV3*(1-EXP(-S13_PSP_Species_Support!AW3*12))^S13_PSP_Species_Support!AX3))^0.976,0)+IFERROR(S13_PSP_Species_Support!BB3*0.0673*(S13_PSP_Species_Support!BC3*(S13_PSP_Species_Support!BD3*(1-EXP(-S13_PSP_Species_Support!BE3*12))^S13_PSP_Species_Support!BF3)^2*(S13_PSP_Species_Support!BG3*(1-EXP(-S13_PSP_Species_Support!BH3*12))^S13_PSP_Species_Support!BI3))^0.976,0)+IFERROR(S13_PSP_Species_Support!BM3*0.0673*(S13_PSP_Species_Support!BN3*(S13_PSP_Species_Support!BO3*(1-EXP(-S13_PSP_Species_Support!BP3*12))^S13_PSP_Species_Support!BQ3)^2*(S13_PSP_Species_Support!BR3*(1-EXP(-S13_PSP_Species_Support!BS3*12))^S13_PSP_Species_Support!BT3))^0.976,0)+IFERROR(S13_PSP_Species_Support!BX3*0.0673*(S13_PSP_Species_Support!BY3*(S13_PSP_Species_Support!BZ3*(1-EXP(-S13_PSP_Species_Support!CA3*12))^S13_PSP_Species_Support!CB3)^2*(S13_PSP_Species_Support!CC3*(1-EXP(-S13_PSP_Species_Support!CD3*12))^S13_PSP_Species_Support!CE3))^0.976,0)+IFERROR(S13_PSP_Species_Support!CI3*0.0673*(S13_PSP_Species_Support!CJ3*(S13_PSP_Species_Support!CK3*(1-EXP(-S13_PSP_Species_Support!CL3*12))^S13_PSP_Species_Support!CM3)^2*(S13_PSP_Species_Support!CN3*(1-EXP(-S13_PSP_Species_Support!CO3*12))^S13_PSP_Species_Support!CP3))^0.976,0)+IFERROR(S13_PSP_Species_Support!CT3*0.0673*(S13_PSP_Species_Support!CU3*(S13_PSP_Species_Support!CV3*(1-EXP(-S13_PSP_Species_Support!CW3*12))^S13_PSP_Species_Support!CX3)^2*(S13_PSP_Species_Support!CY3*(1-EXP(-S13_PSP_Species_Support!CZ3*12))^S13_PSP_Species_Support!DA3))^0.976,0))/1000/$G16*U$108,0)</x:f>
        <x:v>30.42895440799189</x:v>
      </x:c>
      <x:c r="V16" s="147" t="n">
        <x:f aca="0">IFERROR((IFERROR(S13_PSP_Species_Support!U3*0.0673*(S13_PSP_Species_Support!V3*(S13_PSP_Species_Support!W3*(1-EXP(-S13_PSP_Species_Support!X3*13))^S13_PSP_Species_Support!Y3)^2*(S13_PSP_Species_Support!Z3*(1-EXP(-S13_PSP_Species_Support!AA3*13))^S13_PSP_Species_Support!AB3))^0.976,0)+IFERROR(S13_PSP_Species_Support!AF3*0.0673*(S13_PSP_Species_Support!AG3*(S13_PSP_Species_Support!AH3*(1-EXP(-S13_PSP_Species_Support!AI3*13))^S13_PSP_Species_Support!AJ3)^2*(S13_PSP_Species_Support!AK3*(1-EXP(-S13_PSP_Species_Support!AL3*13))^S13_PSP_Species_Support!AM3))^0.976,0)+IFERROR(S13_PSP_Species_Support!AQ3*0.0673*(S13_PSP_Species_Support!AR3*(S13_PSP_Species_Support!AS3*(1-EXP(-S13_PSP_Species_Support!AT3*13))^S13_PSP_Species_Support!AU3)^2*(S13_PSP_Species_Support!AV3*(1-EXP(-S13_PSP_Species_Support!AW3*13))^S13_PSP_Species_Support!AX3))^0.976,0)+IFERROR(S13_PSP_Species_Support!BB3*0.0673*(S13_PSP_Species_Support!BC3*(S13_PSP_Species_Support!BD3*(1-EXP(-S13_PSP_Species_Support!BE3*13))^S13_PSP_Species_Support!BF3)^2*(S13_PSP_Species_Support!BG3*(1-EXP(-S13_PSP_Species_Support!BH3*13))^S13_PSP_Species_Support!BI3))^0.976,0)+IFERROR(S13_PSP_Species_Support!BM3*0.0673*(S13_PSP_Species_Support!BN3*(S13_PSP_Species_Support!BO3*(1-EXP(-S13_PSP_Species_Support!BP3*13))^S13_PSP_Species_Support!BQ3)^2*(S13_PSP_Species_Support!BR3*(1-EXP(-S13_PSP_Species_Support!BS3*13))^S13_PSP_Species_Support!BT3))^0.976,0)+IFERROR(S13_PSP_Species_Support!BX3*0.0673*(S13_PSP_Species_Support!BY3*(S13_PSP_Species_Support!BZ3*(1-EXP(-S13_PSP_Species_Support!CA3*13))^S13_PSP_Species_Support!CB3)^2*(S13_PSP_Species_Support!CC3*(1-EXP(-S13_PSP_Species_Support!CD3*13))^S13_PSP_Species_Support!CE3))^0.976,0)+IFERROR(S13_PSP_Species_Support!CI3*0.0673*(S13_PSP_Species_Support!CJ3*(S13_PSP_Species_Support!CK3*(1-EXP(-S13_PSP_Species_Support!CL3*13))^S13_PSP_Species_Support!CM3)^2*(S13_PSP_Species_Support!CN3*(1-EXP(-S13_PSP_Species_Support!CO3*13))^S13_PSP_Species_Support!CP3))^0.976,0)+IFERROR(S13_PSP_Species_Support!CT3*0.0673*(S13_PSP_Species_Support!CU3*(S13_PSP_Species_Support!CV3*(1-EXP(-S13_PSP_Species_Support!CW3*13))^S13_PSP_Species_Support!CX3)^2*(S13_PSP_Species_Support!CY3*(1-EXP(-S13_PSP_Species_Support!CZ3*13))^S13_PSP_Species_Support!DA3))^0.976,0))/1000/$G16*V$108,0)</x:f>
        <x:v>32.895970033210745</x:v>
      </x:c>
      <x:c r="W16" s="147" t="n">
        <x:f aca="0">IFERROR((IFERROR(S13_PSP_Species_Support!U3*0.0673*(S13_PSP_Species_Support!V3*(S13_PSP_Species_Support!W3*(1-EXP(-S13_PSP_Species_Support!X3*14))^S13_PSP_Species_Support!Y3)^2*(S13_PSP_Species_Support!Z3*(1-EXP(-S13_PSP_Species_Support!AA3*14))^S13_PSP_Species_Support!AB3))^0.976,0)+IFERROR(S13_PSP_Species_Support!AF3*0.0673*(S13_PSP_Species_Support!AG3*(S13_PSP_Species_Support!AH3*(1-EXP(-S13_PSP_Species_Support!AI3*14))^S13_PSP_Species_Support!AJ3)^2*(S13_PSP_Species_Support!AK3*(1-EXP(-S13_PSP_Species_Support!AL3*14))^S13_PSP_Species_Support!AM3))^0.976,0)+IFERROR(S13_PSP_Species_Support!AQ3*0.0673*(S13_PSP_Species_Support!AR3*(S13_PSP_Species_Support!AS3*(1-EXP(-S13_PSP_Species_Support!AT3*14))^S13_PSP_Species_Support!AU3)^2*(S13_PSP_Species_Support!AV3*(1-EXP(-S13_PSP_Species_Support!AW3*14))^S13_PSP_Species_Support!AX3))^0.976,0)+IFERROR(S13_PSP_Species_Support!BB3*0.0673*(S13_PSP_Species_Support!BC3*(S13_PSP_Species_Support!BD3*(1-EXP(-S13_PSP_Species_Support!BE3*14))^S13_PSP_Species_Support!BF3)^2*(S13_PSP_Species_Support!BG3*(1-EXP(-S13_PSP_Species_Support!BH3*14))^S13_PSP_Species_Support!BI3))^0.976,0)+IFERROR(S13_PSP_Species_Support!BM3*0.0673*(S13_PSP_Species_Support!BN3*(S13_PSP_Species_Support!BO3*(1-EXP(-S13_PSP_Species_Support!BP3*14))^S13_PSP_Species_Support!BQ3)^2*(S13_PSP_Species_Support!BR3*(1-EXP(-S13_PSP_Species_Support!BS3*14))^S13_PSP_Species_Support!BT3))^0.976,0)+IFERROR(S13_PSP_Species_Support!BX3*0.0673*(S13_PSP_Species_Support!BY3*(S13_PSP_Species_Support!BZ3*(1-EXP(-S13_PSP_Species_Support!CA3*14))^S13_PSP_Species_Support!CB3)^2*(S13_PSP_Species_Support!CC3*(1-EXP(-S13_PSP_Species_Support!CD3*14))^S13_PSP_Species_Support!CE3))^0.976,0)+IFERROR(S13_PSP_Species_Support!CI3*0.0673*(S13_PSP_Species_Support!CJ3*(S13_PSP_Species_Support!CK3*(1-EXP(-S13_PSP_Species_Support!CL3*14))^S13_PSP_Species_Support!CM3)^2*(S13_PSP_Species_Support!CN3*(1-EXP(-S13_PSP_Species_Support!CO3*14))^S13_PSP_Species_Support!CP3))^0.976,0)+IFERROR(S13_PSP_Species_Support!CT3*0.0673*(S13_PSP_Species_Support!CU3*(S13_PSP_Species_Support!CV3*(1-EXP(-S13_PSP_Species_Support!CW3*14))^S13_PSP_Species_Support!CX3)^2*(S13_PSP_Species_Support!CY3*(1-EXP(-S13_PSP_Species_Support!CZ3*14))^S13_PSP_Species_Support!DA3))^0.976,0))/1000/$G16*W$108,0)</x:f>
        <x:v>35.03880689851544</x:v>
      </x:c>
      <x:c r="X16" s="147" t="n">
        <x:f aca="0">IFERROR((IFERROR(S13_PSP_Species_Support!U3*0.0673*(S13_PSP_Species_Support!V3*(S13_PSP_Species_Support!W3*(1-EXP(-S13_PSP_Species_Support!X3*15))^S13_PSP_Species_Support!Y3)^2*(S13_PSP_Species_Support!Z3*(1-EXP(-S13_PSP_Species_Support!AA3*15))^S13_PSP_Species_Support!AB3))^0.976,0)+IFERROR(S13_PSP_Species_Support!AF3*0.0673*(S13_PSP_Species_Support!AG3*(S13_PSP_Species_Support!AH3*(1-EXP(-S13_PSP_Species_Support!AI3*15))^S13_PSP_Species_Support!AJ3)^2*(S13_PSP_Species_Support!AK3*(1-EXP(-S13_PSP_Species_Support!AL3*15))^S13_PSP_Species_Support!AM3))^0.976,0)+IFERROR(S13_PSP_Species_Support!AQ3*0.0673*(S13_PSP_Species_Support!AR3*(S13_PSP_Species_Support!AS3*(1-EXP(-S13_PSP_Species_Support!AT3*15))^S13_PSP_Species_Support!AU3)^2*(S13_PSP_Species_Support!AV3*(1-EXP(-S13_PSP_Species_Support!AW3*15))^S13_PSP_Species_Support!AX3))^0.976,0)+IFERROR(S13_PSP_Species_Support!BB3*0.0673*(S13_PSP_Species_Support!BC3*(S13_PSP_Species_Support!BD3*(1-EXP(-S13_PSP_Species_Support!BE3*15))^S13_PSP_Species_Support!BF3)^2*(S13_PSP_Species_Support!BG3*(1-EXP(-S13_PSP_Species_Support!BH3*15))^S13_PSP_Species_Support!BI3))^0.976,0)+IFERROR(S13_PSP_Species_Support!BM3*0.0673*(S13_PSP_Species_Support!BN3*(S13_PSP_Species_Support!BO3*(1-EXP(-S13_PSP_Species_Support!BP3*15))^S13_PSP_Species_Support!BQ3)^2*(S13_PSP_Species_Support!BR3*(1-EXP(-S13_PSP_Species_Support!BS3*15))^S13_PSP_Species_Support!BT3))^0.976,0)+IFERROR(S13_PSP_Species_Support!BX3*0.0673*(S13_PSP_Species_Support!BY3*(S13_PSP_Species_Support!BZ3*(1-EXP(-S13_PSP_Species_Support!CA3*15))^S13_PSP_Species_Support!CB3)^2*(S13_PSP_Species_Support!CC3*(1-EXP(-S13_PSP_Species_Support!CD3*15))^S13_PSP_Species_Support!CE3))^0.976,0)+IFERROR(S13_PSP_Species_Support!CI3*0.0673*(S13_PSP_Species_Support!CJ3*(S13_PSP_Species_Support!CK3*(1-EXP(-S13_PSP_Species_Support!CL3*15))^S13_PSP_Species_Support!CM3)^2*(S13_PSP_Species_Support!CN3*(1-EXP(-S13_PSP_Species_Support!CO3*15))^S13_PSP_Species_Support!CP3))^0.976,0)+IFERROR(S13_PSP_Species_Support!CT3*0.0673*(S13_PSP_Species_Support!CU3*(S13_PSP_Species_Support!CV3*(1-EXP(-S13_PSP_Species_Support!CW3*15))^S13_PSP_Species_Support!CX3)^2*(S13_PSP_Species_Support!CY3*(1-EXP(-S13_PSP_Species_Support!CZ3*15))^S13_PSP_Species_Support!DA3))^0.976,0))/1000/$G16*X$108,0)</x:f>
        <x:v>36.88251598197151</x:v>
      </x:c>
      <x:c r="Y16" s="147" t="n">
        <x:f aca="0">IFERROR((IFERROR(S13_PSP_Species_Support!U3*0.0673*(S13_PSP_Species_Support!V3*(S13_PSP_Species_Support!W3*(1-EXP(-S13_PSP_Species_Support!X3*16))^S13_PSP_Species_Support!Y3)^2*(S13_PSP_Species_Support!Z3*(1-EXP(-S13_PSP_Species_Support!AA3*16))^S13_PSP_Species_Support!AB3))^0.976,0)+IFERROR(S13_PSP_Species_Support!AF3*0.0673*(S13_PSP_Species_Support!AG3*(S13_PSP_Species_Support!AH3*(1-EXP(-S13_PSP_Species_Support!AI3*16))^S13_PSP_Species_Support!AJ3)^2*(S13_PSP_Species_Support!AK3*(1-EXP(-S13_PSP_Species_Support!AL3*16))^S13_PSP_Species_Support!AM3))^0.976,0)+IFERROR(S13_PSP_Species_Support!AQ3*0.0673*(S13_PSP_Species_Support!AR3*(S13_PSP_Species_Support!AS3*(1-EXP(-S13_PSP_Species_Support!AT3*16))^S13_PSP_Species_Support!AU3)^2*(S13_PSP_Species_Support!AV3*(1-EXP(-S13_PSP_Species_Support!AW3*16))^S13_PSP_Species_Support!AX3))^0.976,0)+IFERROR(S13_PSP_Species_Support!BB3*0.0673*(S13_PSP_Species_Support!BC3*(S13_PSP_Species_Support!BD3*(1-EXP(-S13_PSP_Species_Support!BE3*16))^S13_PSP_Species_Support!BF3)^2*(S13_PSP_Species_Support!BG3*(1-EXP(-S13_PSP_Species_Support!BH3*16))^S13_PSP_Species_Support!BI3))^0.976,0)+IFERROR(S13_PSP_Species_Support!BM3*0.0673*(S13_PSP_Species_Support!BN3*(S13_PSP_Species_Support!BO3*(1-EXP(-S13_PSP_Species_Support!BP3*16))^S13_PSP_Species_Support!BQ3)^2*(S13_PSP_Species_Support!BR3*(1-EXP(-S13_PSP_Species_Support!BS3*16))^S13_PSP_Species_Support!BT3))^0.976,0)+IFERROR(S13_PSP_Species_Support!BX3*0.0673*(S13_PSP_Species_Support!BY3*(S13_PSP_Species_Support!BZ3*(1-EXP(-S13_PSP_Species_Support!CA3*16))^S13_PSP_Species_Support!CB3)^2*(S13_PSP_Species_Support!CC3*(1-EXP(-S13_PSP_Species_Support!CD3*16))^S13_PSP_Species_Support!CE3))^0.976,0)+IFERROR(S13_PSP_Species_Support!CI3*0.0673*(S13_PSP_Species_Support!CJ3*(S13_PSP_Species_Support!CK3*(1-EXP(-S13_PSP_Species_Support!CL3*16))^S13_PSP_Species_Support!CM3)^2*(S13_PSP_Species_Support!CN3*(1-EXP(-S13_PSP_Species_Support!CO3*16))^S13_PSP_Species_Support!CP3))^0.976,0)+IFERROR(S13_PSP_Species_Support!CT3*0.0673*(S13_PSP_Species_Support!CU3*(S13_PSP_Species_Support!CV3*(1-EXP(-S13_PSP_Species_Support!CW3*16))^S13_PSP_Species_Support!CX3)^2*(S13_PSP_Species_Support!CY3*(1-EXP(-S13_PSP_Species_Support!CZ3*16))^S13_PSP_Species_Support!DA3))^0.976,0))/1000/$G16*Y$108,0)</x:f>
        <x:v>38.457111611019656</x:v>
      </x:c>
      <x:c r="Z16" s="147" t="n">
        <x:f aca="0">IFERROR((IFERROR(S13_PSP_Species_Support!U3*0.0673*(S13_PSP_Species_Support!V3*(S13_PSP_Species_Support!W3*(1-EXP(-S13_PSP_Species_Support!X3*17))^S13_PSP_Species_Support!Y3)^2*(S13_PSP_Species_Support!Z3*(1-EXP(-S13_PSP_Species_Support!AA3*17))^S13_PSP_Species_Support!AB3))^0.976,0)+IFERROR(S13_PSP_Species_Support!AF3*0.0673*(S13_PSP_Species_Support!AG3*(S13_PSP_Species_Support!AH3*(1-EXP(-S13_PSP_Species_Support!AI3*17))^S13_PSP_Species_Support!AJ3)^2*(S13_PSP_Species_Support!AK3*(1-EXP(-S13_PSP_Species_Support!AL3*17))^S13_PSP_Species_Support!AM3))^0.976,0)+IFERROR(S13_PSP_Species_Support!AQ3*0.0673*(S13_PSP_Species_Support!AR3*(S13_PSP_Species_Support!AS3*(1-EXP(-S13_PSP_Species_Support!AT3*17))^S13_PSP_Species_Support!AU3)^2*(S13_PSP_Species_Support!AV3*(1-EXP(-S13_PSP_Species_Support!AW3*17))^S13_PSP_Species_Support!AX3))^0.976,0)+IFERROR(S13_PSP_Species_Support!BB3*0.0673*(S13_PSP_Species_Support!BC3*(S13_PSP_Species_Support!BD3*(1-EXP(-S13_PSP_Species_Support!BE3*17))^S13_PSP_Species_Support!BF3)^2*(S13_PSP_Species_Support!BG3*(1-EXP(-S13_PSP_Species_Support!BH3*17))^S13_PSP_Species_Support!BI3))^0.976,0)+IFERROR(S13_PSP_Species_Support!BM3*0.0673*(S13_PSP_Species_Support!BN3*(S13_PSP_Species_Support!BO3*(1-EXP(-S13_PSP_Species_Support!BP3*17))^S13_PSP_Species_Support!BQ3)^2*(S13_PSP_Species_Support!BR3*(1-EXP(-S13_PSP_Species_Support!BS3*17))^S13_PSP_Species_Support!BT3))^0.976,0)+IFERROR(S13_PSP_Species_Support!BX3*0.0673*(S13_PSP_Species_Support!BY3*(S13_PSP_Species_Support!BZ3*(1-EXP(-S13_PSP_Species_Support!CA3*17))^S13_PSP_Species_Support!CB3)^2*(S13_PSP_Species_Support!CC3*(1-EXP(-S13_PSP_Species_Support!CD3*17))^S13_PSP_Species_Support!CE3))^0.976,0)+IFERROR(S13_PSP_Species_Support!CI3*0.0673*(S13_PSP_Species_Support!CJ3*(S13_PSP_Species_Support!CK3*(1-EXP(-S13_PSP_Species_Support!CL3*17))^S13_PSP_Species_Support!CM3)^2*(S13_PSP_Species_Support!CN3*(1-EXP(-S13_PSP_Species_Support!CO3*17))^S13_PSP_Species_Support!CP3))^0.976,0)+IFERROR(S13_PSP_Species_Support!CT3*0.0673*(S13_PSP_Species_Support!CU3*(S13_PSP_Species_Support!CV3*(1-EXP(-S13_PSP_Species_Support!CW3*17))^S13_PSP_Species_Support!CX3)^2*(S13_PSP_Species_Support!CY3*(1-EXP(-S13_PSP_Species_Support!CZ3*17))^S13_PSP_Species_Support!DA3))^0.976,0))/1000/$G16*Z$108,0)</x:f>
        <x:v>39.79404298783693</x:v>
      </x:c>
      <x:c r="AA16" s="147" t="n">
        <x:f aca="0">IFERROR((IFERROR(S13_PSP_Species_Support!U3*0.0673*(S13_PSP_Species_Support!V3*(S13_PSP_Species_Support!W3*(1-EXP(-S13_PSP_Species_Support!X3*18))^S13_PSP_Species_Support!Y3)^2*(S13_PSP_Species_Support!Z3*(1-EXP(-S13_PSP_Species_Support!AA3*18))^S13_PSP_Species_Support!AB3))^0.976,0)+IFERROR(S13_PSP_Species_Support!AF3*0.0673*(S13_PSP_Species_Support!AG3*(S13_PSP_Species_Support!AH3*(1-EXP(-S13_PSP_Species_Support!AI3*18))^S13_PSP_Species_Support!AJ3)^2*(S13_PSP_Species_Support!AK3*(1-EXP(-S13_PSP_Species_Support!AL3*18))^S13_PSP_Species_Support!AM3))^0.976,0)+IFERROR(S13_PSP_Species_Support!AQ3*0.0673*(S13_PSP_Species_Support!AR3*(S13_PSP_Species_Support!AS3*(1-EXP(-S13_PSP_Species_Support!AT3*18))^S13_PSP_Species_Support!AU3)^2*(S13_PSP_Species_Support!AV3*(1-EXP(-S13_PSP_Species_Support!AW3*18))^S13_PSP_Species_Support!AX3))^0.976,0)+IFERROR(S13_PSP_Species_Support!BB3*0.0673*(S13_PSP_Species_Support!BC3*(S13_PSP_Species_Support!BD3*(1-EXP(-S13_PSP_Species_Support!BE3*18))^S13_PSP_Species_Support!BF3)^2*(S13_PSP_Species_Support!BG3*(1-EXP(-S13_PSP_Species_Support!BH3*18))^S13_PSP_Species_Support!BI3))^0.976,0)+IFERROR(S13_PSP_Species_Support!BM3*0.0673*(S13_PSP_Species_Support!BN3*(S13_PSP_Species_Support!BO3*(1-EXP(-S13_PSP_Species_Support!BP3*18))^S13_PSP_Species_Support!BQ3)^2*(S13_PSP_Species_Support!BR3*(1-EXP(-S13_PSP_Species_Support!BS3*18))^S13_PSP_Species_Support!BT3))^0.976,0)+IFERROR(S13_PSP_Species_Support!BX3*0.0673*(S13_PSP_Species_Support!BY3*(S13_PSP_Species_Support!BZ3*(1-EXP(-S13_PSP_Species_Support!CA3*18))^S13_PSP_Species_Support!CB3)^2*(S13_PSP_Species_Support!CC3*(1-EXP(-S13_PSP_Species_Support!CD3*18))^S13_PSP_Species_Support!CE3))^0.976,0)+IFERROR(S13_PSP_Species_Support!CI3*0.0673*(S13_PSP_Species_Support!CJ3*(S13_PSP_Species_Support!CK3*(1-EXP(-S13_PSP_Species_Support!CL3*18))^S13_PSP_Species_Support!CM3)^2*(S13_PSP_Species_Support!CN3*(1-EXP(-S13_PSP_Species_Support!CO3*18))^S13_PSP_Species_Support!CP3))^0.976,0)+IFERROR(S13_PSP_Species_Support!CT3*0.0673*(S13_PSP_Species_Support!CU3*(S13_PSP_Species_Support!CV3*(1-EXP(-S13_PSP_Species_Support!CW3*18))^S13_PSP_Species_Support!CX3)^2*(S13_PSP_Species_Support!CY3*(1-EXP(-S13_PSP_Species_Support!CZ3*18))^S13_PSP_Species_Support!DA3))^0.976,0))/1000/$G16*AA$108,0)</x:f>
        <x:v>40.923977990278644</x:v>
      </x:c>
      <x:c r="AB16" s="147" t="n">
        <x:f aca="0">IFERROR((IFERROR(S13_PSP_Species_Support!U3*0.0673*(S13_PSP_Species_Support!V3*(S13_PSP_Species_Support!W3*(1-EXP(-S13_PSP_Species_Support!X3*19))^S13_PSP_Species_Support!Y3)^2*(S13_PSP_Species_Support!Z3*(1-EXP(-S13_PSP_Species_Support!AA3*19))^S13_PSP_Species_Support!AB3))^0.976,0)+IFERROR(S13_PSP_Species_Support!AF3*0.0673*(S13_PSP_Species_Support!AG3*(S13_PSP_Species_Support!AH3*(1-EXP(-S13_PSP_Species_Support!AI3*19))^S13_PSP_Species_Support!AJ3)^2*(S13_PSP_Species_Support!AK3*(1-EXP(-S13_PSP_Species_Support!AL3*19))^S13_PSP_Species_Support!AM3))^0.976,0)+IFERROR(S13_PSP_Species_Support!AQ3*0.0673*(S13_PSP_Species_Support!AR3*(S13_PSP_Species_Support!AS3*(1-EXP(-S13_PSP_Species_Support!AT3*19))^S13_PSP_Species_Support!AU3)^2*(S13_PSP_Species_Support!AV3*(1-EXP(-S13_PSP_Species_Support!AW3*19))^S13_PSP_Species_Support!AX3))^0.976,0)+IFERROR(S13_PSP_Species_Support!BB3*0.0673*(S13_PSP_Species_Support!BC3*(S13_PSP_Species_Support!BD3*(1-EXP(-S13_PSP_Species_Support!BE3*19))^S13_PSP_Species_Support!BF3)^2*(S13_PSP_Species_Support!BG3*(1-EXP(-S13_PSP_Species_Support!BH3*19))^S13_PSP_Species_Support!BI3))^0.976,0)+IFERROR(S13_PSP_Species_Support!BM3*0.0673*(S13_PSP_Species_Support!BN3*(S13_PSP_Species_Support!BO3*(1-EXP(-S13_PSP_Species_Support!BP3*19))^S13_PSP_Species_Support!BQ3)^2*(S13_PSP_Species_Support!BR3*(1-EXP(-S13_PSP_Species_Support!BS3*19))^S13_PSP_Species_Support!BT3))^0.976,0)+IFERROR(S13_PSP_Species_Support!BX3*0.0673*(S13_PSP_Species_Support!BY3*(S13_PSP_Species_Support!BZ3*(1-EXP(-S13_PSP_Species_Support!CA3*19))^S13_PSP_Species_Support!CB3)^2*(S13_PSP_Species_Support!CC3*(1-EXP(-S13_PSP_Species_Support!CD3*19))^S13_PSP_Species_Support!CE3))^0.976,0)+IFERROR(S13_PSP_Species_Support!CI3*0.0673*(S13_PSP_Species_Support!CJ3*(S13_PSP_Species_Support!CK3*(1-EXP(-S13_PSP_Species_Support!CL3*19))^S13_PSP_Species_Support!CM3)^2*(S13_PSP_Species_Support!CN3*(1-EXP(-S13_PSP_Species_Support!CO3*19))^S13_PSP_Species_Support!CP3))^0.976,0)+IFERROR(S13_PSP_Species_Support!CT3*0.0673*(S13_PSP_Species_Support!CU3*(S13_PSP_Species_Support!CV3*(1-EXP(-S13_PSP_Species_Support!CW3*19))^S13_PSP_Species_Support!CX3)^2*(S13_PSP_Species_Support!CY3*(1-EXP(-S13_PSP_Species_Support!CZ3*19))^S13_PSP_Species_Support!DA3))^0.976,0))/1000/$G16*AB$108,0)</x:f>
        <x:v>41.87552121512546</x:v>
      </x:c>
      <x:c r="AC16" s="147" t="n">
        <x:f aca="0">IFERROR((IFERROR(S13_PSP_Species_Support!U3*0.0673*(S13_PSP_Species_Support!V3*(S13_PSP_Species_Support!W3*(1-EXP(-S13_PSP_Species_Support!X3*20))^S13_PSP_Species_Support!Y3)^2*(S13_PSP_Species_Support!Z3*(1-EXP(-S13_PSP_Species_Support!AA3*20))^S13_PSP_Species_Support!AB3))^0.976,0)+IFERROR(S13_PSP_Species_Support!AF3*0.0673*(S13_PSP_Species_Support!AG3*(S13_PSP_Species_Support!AH3*(1-EXP(-S13_PSP_Species_Support!AI3*20))^S13_PSP_Species_Support!AJ3)^2*(S13_PSP_Species_Support!AK3*(1-EXP(-S13_PSP_Species_Support!AL3*20))^S13_PSP_Species_Support!AM3))^0.976,0)+IFERROR(S13_PSP_Species_Support!AQ3*0.0673*(S13_PSP_Species_Support!AR3*(S13_PSP_Species_Support!AS3*(1-EXP(-S13_PSP_Species_Support!AT3*20))^S13_PSP_Species_Support!AU3)^2*(S13_PSP_Species_Support!AV3*(1-EXP(-S13_PSP_Species_Support!AW3*20))^S13_PSP_Species_Support!AX3))^0.976,0)+IFERROR(S13_PSP_Species_Support!BB3*0.0673*(S13_PSP_Species_Support!BC3*(S13_PSP_Species_Support!BD3*(1-EXP(-S13_PSP_Species_Support!BE3*20))^S13_PSP_Species_Support!BF3)^2*(S13_PSP_Species_Support!BG3*(1-EXP(-S13_PSP_Species_Support!BH3*20))^S13_PSP_Species_Support!BI3))^0.976,0)+IFERROR(S13_PSP_Species_Support!BM3*0.0673*(S13_PSP_Species_Support!BN3*(S13_PSP_Species_Support!BO3*(1-EXP(-S13_PSP_Species_Support!BP3*20))^S13_PSP_Species_Support!BQ3)^2*(S13_PSP_Species_Support!BR3*(1-EXP(-S13_PSP_Species_Support!BS3*20))^S13_PSP_Species_Support!BT3))^0.976,0)+IFERROR(S13_PSP_Species_Support!BX3*0.0673*(S13_PSP_Species_Support!BY3*(S13_PSP_Species_Support!BZ3*(1-EXP(-S13_PSP_Species_Support!CA3*20))^S13_PSP_Species_Support!CB3)^2*(S13_PSP_Species_Support!CC3*(1-EXP(-S13_PSP_Species_Support!CD3*20))^S13_PSP_Species_Support!CE3))^0.976,0)+IFERROR(S13_PSP_Species_Support!CI3*0.0673*(S13_PSP_Species_Support!CJ3*(S13_PSP_Species_Support!CK3*(1-EXP(-S13_PSP_Species_Support!CL3*20))^S13_PSP_Species_Support!CM3)^2*(S13_PSP_Species_Support!CN3*(1-EXP(-S13_PSP_Species_Support!CO3*20))^S13_PSP_Species_Support!CP3))^0.976,0)+IFERROR(S13_PSP_Species_Support!CT3*0.0673*(S13_PSP_Species_Support!CU3*(S13_PSP_Species_Support!CV3*(1-EXP(-S13_PSP_Species_Support!CW3*20))^S13_PSP_Species_Support!CX3)^2*(S13_PSP_Species_Support!CY3*(1-EXP(-S13_PSP_Species_Support!CZ3*20))^S13_PSP_Species_Support!DA3))^0.976,0))/1000/$G16*AC$108,0)</x:f>
        <x:v>42.67456776667283</x:v>
      </x:c>
      <x:c r="AD16" s="148" t="n">
        <x:f aca="0">IF(2020&lt;$F16,0,INDEX($I16:$AC16,1,2020-$F16+1))</x:f>
        <x:v>0</x:v>
      </x:c>
      <x:c r="AE16" s="148" t="n">
        <x:f aca="0">IF(2021&lt;$F16,0,INDEX($I16:$AC16,1,2021-$F16+1))</x:f>
        <x:v>0.0311867193088395</x:v>
      </x:c>
      <x:c r="AF16" s="148" t="n">
        <x:f aca="0">IF(2022&lt;$F16,0,INDEX($I16:$AC16,1,2022-$F16+1))</x:f>
        <x:v>0.3972678059142509</x:v>
      </x:c>
      <x:c r="AG16" s="148" t="n">
        <x:f aca="0">IF(2023&lt;$F16,0,INDEX($I16:$AC16,1,2023-$F16+1))</x:f>
        <x:v>1.5084487057249976</x:v>
      </x:c>
      <x:c r="AH16" s="148" t="n">
        <x:f aca="0">IF(2024&lt;$F16,0,INDEX($I16:$AC16,1,2024-$F16+1))</x:f>
        <x:v>3.5404661471566916</x:v>
      </x:c>
      <x:c r="AI16" s="148" t="n">
        <x:f aca="0">IF(2025&lt;$F16,0,INDEX($I16:$AC16,1,2025-$F16+1))</x:f>
        <x:v>6.39013453152919</x:v>
      </x:c>
      <x:c r="AJ16" s="148" t="n">
        <x:f aca="0">IF(2026&lt;$F16,0,INDEX($I16:$AC16,1,2026-$F16+1))</x:f>
        <x:v>9.817149547310867</x:v>
      </x:c>
      <x:c r="AK16" s="148" t="n">
        <x:f aca="0">IF(2027&lt;$F16,0,INDEX($I16:$AC16,1,2027-$F16+1))</x:f>
        <x:v>13.549815768769633</x:v>
      </x:c>
      <x:c r="AL16" s="148" t="n">
        <x:f aca="0">IF(2028&lt;$F16,0,INDEX($I16:$AC16,1,2028-$F16+1))</x:f>
        <x:v>17.34885548348755</x:v>
      </x:c>
      <x:c r="AM16" s="148" t="n">
        <x:f aca="0">IF(2029&lt;$F16,0,INDEX($I16:$AC16,1,2029-$F16+1))</x:f>
        <x:v>21.032903783660363</x:v>
      </x:c>
      <x:c r="AN16" s="148" t="n">
        <x:f aca="0">IF(2030&lt;$F16,0,INDEX($I16:$AC16,1,2030-$F16+1))</x:f>
        <x:v>24.480815342915957</x:v>
      </x:c>
      <x:c r="AO16" s="148" t="n">
        <x:f aca="0">IF(2031&lt;$F16,0,INDEX($I16:$AC16,1,2031-$F16+1))</x:f>
        <x:v>27.622948110485197</x:v>
      </x:c>
      <x:c r="AP16" s="148" t="n">
        <x:f aca="0">IF(2032&lt;$F16,0,INDEX($I16:$AC16,1,2032-$F16+1))</x:f>
        <x:v>30.42895440799189</x:v>
      </x:c>
      <x:c r="AQ16" s="148" t="n">
        <x:f aca="0">IF(2033&lt;$F16,0,INDEX($I16:$AC16,1,2033-$F16+1))</x:f>
        <x:v>32.895970033210745</x:v>
      </x:c>
      <x:c r="AR16" s="148" t="n">
        <x:f aca="0">IF(2034&lt;$F16,0,INDEX($I16:$AC16,1,2034-$F16+1))</x:f>
        <x:v>35.03880689851544</x:v>
      </x:c>
      <x:c r="AS16" s="148" t="n">
        <x:f aca="0">IF(2035&lt;$F16,0,INDEX($I16:$AC16,1,2035-$F16+1))</x:f>
        <x:v>36.88251598197151</x:v>
      </x:c>
      <x:c r="AT16" s="148" t="n">
        <x:f aca="0">IF(2036&lt;$F16,0,INDEX($I16:$AC16,1,2036-$F16+1))</x:f>
        <x:v>38.457111611019656</x:v>
      </x:c>
      <x:c r="AU16" s="148" t="n">
        <x:f aca="0">IF(2037&lt;$F16,0,INDEX($I16:$AC16,1,2037-$F16+1))</x:f>
        <x:v>39.79404298783693</x:v>
      </x:c>
      <x:c r="AV16" s="148" t="n">
        <x:f aca="0">IF(2038&lt;$F16,0,INDEX($I16:$AC16,1,2038-$F16+1))</x:f>
        <x:v>40.923977990278644</x:v>
      </x:c>
      <x:c r="AW16" s="148" t="n">
        <x:f aca="0">IF(2039&lt;$F16,0,INDEX($I16:$AC16,1,2039-$F16+1))</x:f>
        <x:v>41.87552121512546</x:v>
      </x:c>
      <x:c r="AX16" s="148" t="n">
        <x:f aca="0">IF(2040&lt;$F16,0,INDEX($I16:$AC16,1,2040-$F16+1))</x:f>
        <x:v>42.67456776667283</x:v>
      </x:c>
      <x:c r="AY16" s="1" t="str">
        <x:f aca="0">LEFT($C16,FIND("@",SUBSTITUTE($C16,"|","@",2))-1)</x:f>
        <x:v>Fruit Orchard|High</x:v>
      </x:c>
      <x:c r="AZ16" s="1" t="str">
        <x:f aca="0">LEFT($C16,FIND("|",$C16)-1)</x:f>
        <x:v>Fruit Orchard</x:v>
      </x:c>
      <x:c r="BA16" s="149" t="n">
        <x:f aca="0">I16*I16</x:f>
        <x:v>0</x:v>
      </x:c>
      <x:c r="BB16" s="149" t="n">
        <x:f aca="0">J16*J16</x:f>
        <x:v>0.0009726114612483425</x:v>
      </x:c>
      <x:c r="BC16" s="149" t="n">
        <x:f aca="0">K16*K16</x:f>
        <x:v>0.15782170961592296</x:v>
      </x:c>
      <x:c r="BD16" s="149" t="n">
        <x:f aca="0">L16*L16</x:f>
        <x:v>2.2754174978034203</x:v>
      </x:c>
      <x:c r="BE16" s="149" t="n">
        <x:f aca="0">M16*M16</x:f>
        <x:v>12.534900539162548</x:v>
      </x:c>
      <x:c r="BF16" s="149" t="n">
        <x:f aca="0">N16*N16</x:f>
        <x:v>40.83381933104178</x:v>
      </x:c>
      <x:c r="BG16" s="149" t="n">
        <x:f aca="0">O16*O16</x:f>
        <x:v>96.37642523426597</x:v>
      </x:c>
      <x:c r="BH16" s="149" t="n">
        <x:f aca="0">P16*P16</x:f>
        <x:v>183.5975073675982</x:v>
      </x:c>
      <x:c r="BI16" s="149" t="n">
        <x:f aca="0">Q16*Q16</x:f>
        <x:v>300.9827865869361</x:v>
      </x:c>
      <x:c r="BJ16" s="149" t="n">
        <x:f aca="0">R16*R16</x:f>
        <x:v>442.3830415727144</x:v>
      </x:c>
      <x:c r="BK16" s="149" t="n">
        <x:f aca="0">S16*S16</x:f>
        <x:v>599.3103198539493</x:v>
      </x:c>
      <x:c r="BL16" s="149" t="n">
        <x:f aca="0">T16*T16</x:f>
        <x:v>763.0272623145577</x:v>
      </x:c>
      <x:c r="BM16" s="149" t="n">
        <x:f aca="0">U16*U16</x:f>
        <x:v>925.921266363649</x:v>
      </x:c>
      <x:c r="BN16" s="149" t="n">
        <x:f aca="0">V16*V16</x:f>
        <x:v>1082.1448444258992</x:v>
      </x:c>
      <x:c r="BO16" s="149" t="n">
        <x:f aca="0">W16*W16</x:f>
        <x:v>1227.7179888714531</x:v>
      </x:c>
      <x:c r="BP16" s="149" t="n">
        <x:f aca="0">X16*X16</x:f>
        <x:v>1360.3199851603838</x:v>
      </x:c>
      <x:c r="BQ16" s="149" t="n">
        <x:f aca="0">Y16*Y16</x:f>
        <x:v>1478.9494334624228</x:v>
      </x:c>
      <x:c r="BR16" s="149" t="n">
        <x:f aca="0">Z16*Z16</x:f>
        <x:v>1583.5658573178137</x:v>
      </x:c>
      <x:c r="BS16" s="149" t="n">
        <x:f aca="0">AA16*AA16</x:f>
        <x:v>1674.771974548811</x:v>
      </x:c>
      <x:c r="BT16" s="149" t="n">
        <x:f aca="0">AB16*AB16</x:f>
        <x:v>1753.5592770384224</x:v>
      </x:c>
      <x:c r="BU16" s="149" t="n">
        <x:f aca="0">AC16*AC16</x:f>
        <x:v>1821.1187340723516</x:v>
      </x:c>
    </x:row>
    <x:row r="17" ht="15" hidden="0" customHeight="1">
      <x:c r="A17" s="1" t="str">
        <x:f aca="0">S13_PSP_Species_Support!A4</x:f>
        <x:v>PSP-FO-003</x:v>
      </x:c>
      <x:c r="B17" s="1" t="n">
        <x:f aca="0">4</x:f>
        <x:v>4</x:v>
      </x:c>
      <x:c r="C17" s="1" t="str">
        <x:f aca="0">S13_PSP_Species_Support!I4</x:f>
        <x:v>Fruit Orchard|Low|2020</x:v>
      </x:c>
      <x:c r="D17" s="1" t="str">
        <x:f aca="0">S13_PSP_Species_Support!C4</x:f>
        <x:v>Fruit Orchard (Block)</x:v>
      </x:c>
      <x:c r="E17" s="1" t="str">
        <x:f aca="0">S13_PSP_Species_Support!D4</x:f>
        <x:v>Low</x:v>
      </x:c>
      <x:c r="F17" s="1" t="n">
        <x:f aca="0">S13_PSP_Species_Support!E4</x:f>
        <x:v>2020</x:v>
      </x:c>
      <x:c r="G17" s="645" t="n">
        <x:f aca="0">'S13_PSP_Species_Support'!DJ4</x:f>
        <x:v>0.09</x:v>
      </x:c>
      <x:c r="H17" s="714" t="n">
        <x:f aca="0">'S13_PSP_Species_Support'!DK4</x:f>
        <x:v>12.153950033760971</x:v>
      </x:c>
      <x:c r="I17" s="147" t="n">
        <x:f aca="0">IFERROR((IFERROR(S13_PSP_Species_Support!U4*0.0673*(S13_PSP_Species_Support!V4*(S13_PSP_Species_Support!W4*(1-EXP(-S13_PSP_Species_Support!X4*0))^S13_PSP_Species_Support!Y4)^2*(S13_PSP_Species_Support!Z4*(1-EXP(-S13_PSP_Species_Support!AA4*0))^S13_PSP_Species_Support!AB4))^0.976,0)+IFERROR(S13_PSP_Species_Support!AF4*0.0673*(S13_PSP_Species_Support!AG4*(S13_PSP_Species_Support!AH4*(1-EXP(-S13_PSP_Species_Support!AI4*0))^S13_PSP_Species_Support!AJ4)^2*(S13_PSP_Species_Support!AK4*(1-EXP(-S13_PSP_Species_Support!AL4*0))^S13_PSP_Species_Support!AM4))^0.976,0)+IFERROR(S13_PSP_Species_Support!AQ4*0.0673*(S13_PSP_Species_Support!AR4*(S13_PSP_Species_Support!AS4*(1-EXP(-S13_PSP_Species_Support!AT4*0))^S13_PSP_Species_Support!AU4)^2*(S13_PSP_Species_Support!AV4*(1-EXP(-S13_PSP_Species_Support!AW4*0))^S13_PSP_Species_Support!AX4))^0.976,0)+IFERROR(S13_PSP_Species_Support!BB4*0.0673*(S13_PSP_Species_Support!BC4*(S13_PSP_Species_Support!BD4*(1-EXP(-S13_PSP_Species_Support!BE4*0))^S13_PSP_Species_Support!BF4)^2*(S13_PSP_Species_Support!BG4*(1-EXP(-S13_PSP_Species_Support!BH4*0))^S13_PSP_Species_Support!BI4))^0.976,0)+IFERROR(S13_PSP_Species_Support!BM4*0.0673*(S13_PSP_Species_Support!BN4*(S13_PSP_Species_Support!BO4*(1-EXP(-S13_PSP_Species_Support!BP4*0))^S13_PSP_Species_Support!BQ4)^2*(S13_PSP_Species_Support!BR4*(1-EXP(-S13_PSP_Species_Support!BS4*0))^S13_PSP_Species_Support!BT4))^0.976,0)+IFERROR(S13_PSP_Species_Support!BX4*0.0673*(S13_PSP_Species_Support!BY4*(S13_PSP_Species_Support!BZ4*(1-EXP(-S13_PSP_Species_Support!CA4*0))^S13_PSP_Species_Support!CB4)^2*(S13_PSP_Species_Support!CC4*(1-EXP(-S13_PSP_Species_Support!CD4*0))^S13_PSP_Species_Support!CE4))^0.976,0)+IFERROR(S13_PSP_Species_Support!CI4*0.0673*(S13_PSP_Species_Support!CJ4*(S13_PSP_Species_Support!CK4*(1-EXP(-S13_PSP_Species_Support!CL4*0))^S13_PSP_Species_Support!CM4)^2*(S13_PSP_Species_Support!CN4*(1-EXP(-S13_PSP_Species_Support!CO4*0))^S13_PSP_Species_Support!CP4))^0.976,0)+IFERROR(S13_PSP_Species_Support!CT4*0.0673*(S13_PSP_Species_Support!CU4*(S13_PSP_Species_Support!CV4*(1-EXP(-S13_PSP_Species_Support!CW4*0))^S13_PSP_Species_Support!CX4)^2*(S13_PSP_Species_Support!CY4*(1-EXP(-S13_PSP_Species_Support!CZ4*0))^S13_PSP_Species_Support!DA4))^0.976,0))/1000/$G17*I$108,0)</x:f>
        <x:v>0</x:v>
      </x:c>
      <x:c r="J17" s="147" t="n">
        <x:f aca="0">IFERROR((IFERROR(S13_PSP_Species_Support!U4*0.0673*(S13_PSP_Species_Support!V4*(S13_PSP_Species_Support!W4*(1-EXP(-S13_PSP_Species_Support!X4*1))^S13_PSP_Species_Support!Y4)^2*(S13_PSP_Species_Support!Z4*(1-EXP(-S13_PSP_Species_Support!AA4*1))^S13_PSP_Species_Support!AB4))^0.976,0)+IFERROR(S13_PSP_Species_Support!AF4*0.0673*(S13_PSP_Species_Support!AG4*(S13_PSP_Species_Support!AH4*(1-EXP(-S13_PSP_Species_Support!AI4*1))^S13_PSP_Species_Support!AJ4)^2*(S13_PSP_Species_Support!AK4*(1-EXP(-S13_PSP_Species_Support!AL4*1))^S13_PSP_Species_Support!AM4))^0.976,0)+IFERROR(S13_PSP_Species_Support!AQ4*0.0673*(S13_PSP_Species_Support!AR4*(S13_PSP_Species_Support!AS4*(1-EXP(-S13_PSP_Species_Support!AT4*1))^S13_PSP_Species_Support!AU4)^2*(S13_PSP_Species_Support!AV4*(1-EXP(-S13_PSP_Species_Support!AW4*1))^S13_PSP_Species_Support!AX4))^0.976,0)+IFERROR(S13_PSP_Species_Support!BB4*0.0673*(S13_PSP_Species_Support!BC4*(S13_PSP_Species_Support!BD4*(1-EXP(-S13_PSP_Species_Support!BE4*1))^S13_PSP_Species_Support!BF4)^2*(S13_PSP_Species_Support!BG4*(1-EXP(-S13_PSP_Species_Support!BH4*1))^S13_PSP_Species_Support!BI4))^0.976,0)+IFERROR(S13_PSP_Species_Support!BM4*0.0673*(S13_PSP_Species_Support!BN4*(S13_PSP_Species_Support!BO4*(1-EXP(-S13_PSP_Species_Support!BP4*1))^S13_PSP_Species_Support!BQ4)^2*(S13_PSP_Species_Support!BR4*(1-EXP(-S13_PSP_Species_Support!BS4*1))^S13_PSP_Species_Support!BT4))^0.976,0)+IFERROR(S13_PSP_Species_Support!BX4*0.0673*(S13_PSP_Species_Support!BY4*(S13_PSP_Species_Support!BZ4*(1-EXP(-S13_PSP_Species_Support!CA4*1))^S13_PSP_Species_Support!CB4)^2*(S13_PSP_Species_Support!CC4*(1-EXP(-S13_PSP_Species_Support!CD4*1))^S13_PSP_Species_Support!CE4))^0.976,0)+IFERROR(S13_PSP_Species_Support!CI4*0.0673*(S13_PSP_Species_Support!CJ4*(S13_PSP_Species_Support!CK4*(1-EXP(-S13_PSP_Species_Support!CL4*1))^S13_PSP_Species_Support!CM4)^2*(S13_PSP_Species_Support!CN4*(1-EXP(-S13_PSP_Species_Support!CO4*1))^S13_PSP_Species_Support!CP4))^0.976,0)+IFERROR(S13_PSP_Species_Support!CT4*0.0673*(S13_PSP_Species_Support!CU4*(S13_PSP_Species_Support!CV4*(1-EXP(-S13_PSP_Species_Support!CW4*1))^S13_PSP_Species_Support!CX4)^2*(S13_PSP_Species_Support!CY4*(1-EXP(-S13_PSP_Species_Support!CZ4*1))^S13_PSP_Species_Support!DA4))^0.976,0))/1000/$G17*J$108,0)</x:f>
        <x:v>0.024653065043035546</x:v>
      </x:c>
      <x:c r="K17" s="147" t="n">
        <x:f aca="0">IFERROR((IFERROR(S13_PSP_Species_Support!U4*0.0673*(S13_PSP_Species_Support!V4*(S13_PSP_Species_Support!W4*(1-EXP(-S13_PSP_Species_Support!X4*2))^S13_PSP_Species_Support!Y4)^2*(S13_PSP_Species_Support!Z4*(1-EXP(-S13_PSP_Species_Support!AA4*2))^S13_PSP_Species_Support!AB4))^0.976,0)+IFERROR(S13_PSP_Species_Support!AF4*0.0673*(S13_PSP_Species_Support!AG4*(S13_PSP_Species_Support!AH4*(1-EXP(-S13_PSP_Species_Support!AI4*2))^S13_PSP_Species_Support!AJ4)^2*(S13_PSP_Species_Support!AK4*(1-EXP(-S13_PSP_Species_Support!AL4*2))^S13_PSP_Species_Support!AM4))^0.976,0)+IFERROR(S13_PSP_Species_Support!AQ4*0.0673*(S13_PSP_Species_Support!AR4*(S13_PSP_Species_Support!AS4*(1-EXP(-S13_PSP_Species_Support!AT4*2))^S13_PSP_Species_Support!AU4)^2*(S13_PSP_Species_Support!AV4*(1-EXP(-S13_PSP_Species_Support!AW4*2))^S13_PSP_Species_Support!AX4))^0.976,0)+IFERROR(S13_PSP_Species_Support!BB4*0.0673*(S13_PSP_Species_Support!BC4*(S13_PSP_Species_Support!BD4*(1-EXP(-S13_PSP_Species_Support!BE4*2))^S13_PSP_Species_Support!BF4)^2*(S13_PSP_Species_Support!BG4*(1-EXP(-S13_PSP_Species_Support!BH4*2))^S13_PSP_Species_Support!BI4))^0.976,0)+IFERROR(S13_PSP_Species_Support!BM4*0.0673*(S13_PSP_Species_Support!BN4*(S13_PSP_Species_Support!BO4*(1-EXP(-S13_PSP_Species_Support!BP4*2))^S13_PSP_Species_Support!BQ4)^2*(S13_PSP_Species_Support!BR4*(1-EXP(-S13_PSP_Species_Support!BS4*2))^S13_PSP_Species_Support!BT4))^0.976,0)+IFERROR(S13_PSP_Species_Support!BX4*0.0673*(S13_PSP_Species_Support!BY4*(S13_PSP_Species_Support!BZ4*(1-EXP(-S13_PSP_Species_Support!CA4*2))^S13_PSP_Species_Support!CB4)^2*(S13_PSP_Species_Support!CC4*(1-EXP(-S13_PSP_Species_Support!CD4*2))^S13_PSP_Species_Support!CE4))^0.976,0)+IFERROR(S13_PSP_Species_Support!CI4*0.0673*(S13_PSP_Species_Support!CJ4*(S13_PSP_Species_Support!CK4*(1-EXP(-S13_PSP_Species_Support!CL4*2))^S13_PSP_Species_Support!CM4)^2*(S13_PSP_Species_Support!CN4*(1-EXP(-S13_PSP_Species_Support!CO4*2))^S13_PSP_Species_Support!CP4))^0.976,0)+IFERROR(S13_PSP_Species_Support!CT4*0.0673*(S13_PSP_Species_Support!CU4*(S13_PSP_Species_Support!CV4*(1-EXP(-S13_PSP_Species_Support!CW4*2))^S13_PSP_Species_Support!CX4)^2*(S13_PSP_Species_Support!CY4*(1-EXP(-S13_PSP_Species_Support!CZ4*2))^S13_PSP_Species_Support!DA4))^0.976,0))/1000/$G17*K$108,0)</x:f>
        <x:v>0.2880254452855429</x:v>
      </x:c>
      <x:c r="L17" s="147" t="n">
        <x:f aca="0">IFERROR((IFERROR(S13_PSP_Species_Support!U4*0.0673*(S13_PSP_Species_Support!V4*(S13_PSP_Species_Support!W4*(1-EXP(-S13_PSP_Species_Support!X4*3))^S13_PSP_Species_Support!Y4)^2*(S13_PSP_Species_Support!Z4*(1-EXP(-S13_PSP_Species_Support!AA4*3))^S13_PSP_Species_Support!AB4))^0.976,0)+IFERROR(S13_PSP_Species_Support!AF4*0.0673*(S13_PSP_Species_Support!AG4*(S13_PSP_Species_Support!AH4*(1-EXP(-S13_PSP_Species_Support!AI4*3))^S13_PSP_Species_Support!AJ4)^2*(S13_PSP_Species_Support!AK4*(1-EXP(-S13_PSP_Species_Support!AL4*3))^S13_PSP_Species_Support!AM4))^0.976,0)+IFERROR(S13_PSP_Species_Support!AQ4*0.0673*(S13_PSP_Species_Support!AR4*(S13_PSP_Species_Support!AS4*(1-EXP(-S13_PSP_Species_Support!AT4*3))^S13_PSP_Species_Support!AU4)^2*(S13_PSP_Species_Support!AV4*(1-EXP(-S13_PSP_Species_Support!AW4*3))^S13_PSP_Species_Support!AX4))^0.976,0)+IFERROR(S13_PSP_Species_Support!BB4*0.0673*(S13_PSP_Species_Support!BC4*(S13_PSP_Species_Support!BD4*(1-EXP(-S13_PSP_Species_Support!BE4*3))^S13_PSP_Species_Support!BF4)^2*(S13_PSP_Species_Support!BG4*(1-EXP(-S13_PSP_Species_Support!BH4*3))^S13_PSP_Species_Support!BI4))^0.976,0)+IFERROR(S13_PSP_Species_Support!BM4*0.0673*(S13_PSP_Species_Support!BN4*(S13_PSP_Species_Support!BO4*(1-EXP(-S13_PSP_Species_Support!BP4*3))^S13_PSP_Species_Support!BQ4)^2*(S13_PSP_Species_Support!BR4*(1-EXP(-S13_PSP_Species_Support!BS4*3))^S13_PSP_Species_Support!BT4))^0.976,0)+IFERROR(S13_PSP_Species_Support!BX4*0.0673*(S13_PSP_Species_Support!BY4*(S13_PSP_Species_Support!BZ4*(1-EXP(-S13_PSP_Species_Support!CA4*3))^S13_PSP_Species_Support!CB4)^2*(S13_PSP_Species_Support!CC4*(1-EXP(-S13_PSP_Species_Support!CD4*3))^S13_PSP_Species_Support!CE4))^0.976,0)+IFERROR(S13_PSP_Species_Support!CI4*0.0673*(S13_PSP_Species_Support!CJ4*(S13_PSP_Species_Support!CK4*(1-EXP(-S13_PSP_Species_Support!CL4*3))^S13_PSP_Species_Support!CM4)^2*(S13_PSP_Species_Support!CN4*(1-EXP(-S13_PSP_Species_Support!CO4*3))^S13_PSP_Species_Support!CP4))^0.976,0)+IFERROR(S13_PSP_Species_Support!CT4*0.0673*(S13_PSP_Species_Support!CU4*(S13_PSP_Species_Support!CV4*(1-EXP(-S13_PSP_Species_Support!CW4*3))^S13_PSP_Species_Support!CX4)^2*(S13_PSP_Species_Support!CY4*(1-EXP(-S13_PSP_Species_Support!CZ4*3))^S13_PSP_Species_Support!DA4))^0.976,0))/1000/$G17*L$108,0)</x:f>
        <x:v>1.0840748378689158</x:v>
      </x:c>
      <x:c r="M17" s="147" t="n">
        <x:f aca="0">IFERROR((IFERROR(S13_PSP_Species_Support!U4*0.0673*(S13_PSP_Species_Support!V4*(S13_PSP_Species_Support!W4*(1-EXP(-S13_PSP_Species_Support!X4*4))^S13_PSP_Species_Support!Y4)^2*(S13_PSP_Species_Support!Z4*(1-EXP(-S13_PSP_Species_Support!AA4*4))^S13_PSP_Species_Support!AB4))^0.976,0)+IFERROR(S13_PSP_Species_Support!AF4*0.0673*(S13_PSP_Species_Support!AG4*(S13_PSP_Species_Support!AH4*(1-EXP(-S13_PSP_Species_Support!AI4*4))^S13_PSP_Species_Support!AJ4)^2*(S13_PSP_Species_Support!AK4*(1-EXP(-S13_PSP_Species_Support!AL4*4))^S13_PSP_Species_Support!AM4))^0.976,0)+IFERROR(S13_PSP_Species_Support!AQ4*0.0673*(S13_PSP_Species_Support!AR4*(S13_PSP_Species_Support!AS4*(1-EXP(-S13_PSP_Species_Support!AT4*4))^S13_PSP_Species_Support!AU4)^2*(S13_PSP_Species_Support!AV4*(1-EXP(-S13_PSP_Species_Support!AW4*4))^S13_PSP_Species_Support!AX4))^0.976,0)+IFERROR(S13_PSP_Species_Support!BB4*0.0673*(S13_PSP_Species_Support!BC4*(S13_PSP_Species_Support!BD4*(1-EXP(-S13_PSP_Species_Support!BE4*4))^S13_PSP_Species_Support!BF4)^2*(S13_PSP_Species_Support!BG4*(1-EXP(-S13_PSP_Species_Support!BH4*4))^S13_PSP_Species_Support!BI4))^0.976,0)+IFERROR(S13_PSP_Species_Support!BM4*0.0673*(S13_PSP_Species_Support!BN4*(S13_PSP_Species_Support!BO4*(1-EXP(-S13_PSP_Species_Support!BP4*4))^S13_PSP_Species_Support!BQ4)^2*(S13_PSP_Species_Support!BR4*(1-EXP(-S13_PSP_Species_Support!BS4*4))^S13_PSP_Species_Support!BT4))^0.976,0)+IFERROR(S13_PSP_Species_Support!BX4*0.0673*(S13_PSP_Species_Support!BY4*(S13_PSP_Species_Support!BZ4*(1-EXP(-S13_PSP_Species_Support!CA4*4))^S13_PSP_Species_Support!CB4)^2*(S13_PSP_Species_Support!CC4*(1-EXP(-S13_PSP_Species_Support!CD4*4))^S13_PSP_Species_Support!CE4))^0.976,0)+IFERROR(S13_PSP_Species_Support!CI4*0.0673*(S13_PSP_Species_Support!CJ4*(S13_PSP_Species_Support!CK4*(1-EXP(-S13_PSP_Species_Support!CL4*4))^S13_PSP_Species_Support!CM4)^2*(S13_PSP_Species_Support!CN4*(1-EXP(-S13_PSP_Species_Support!CO4*4))^S13_PSP_Species_Support!CP4))^0.976,0)+IFERROR(S13_PSP_Species_Support!CT4*0.0673*(S13_PSP_Species_Support!CU4*(S13_PSP_Species_Support!CV4*(1-EXP(-S13_PSP_Species_Support!CW4*4))^S13_PSP_Species_Support!CX4)^2*(S13_PSP_Species_Support!CY4*(1-EXP(-S13_PSP_Species_Support!CZ4*4))^S13_PSP_Species_Support!DA4))^0.976,0))/1000/$G17*M$108,0)</x:f>
        <x:v>2.5937977927420692</x:v>
      </x:c>
      <x:c r="N17" s="147" t="n">
        <x:f aca="0">IFERROR((IFERROR(S13_PSP_Species_Support!U4*0.0673*(S13_PSP_Species_Support!V4*(S13_PSP_Species_Support!W4*(1-EXP(-S13_PSP_Species_Support!X4*5))^S13_PSP_Species_Support!Y4)^2*(S13_PSP_Species_Support!Z4*(1-EXP(-S13_PSP_Species_Support!AA4*5))^S13_PSP_Species_Support!AB4))^0.976,0)+IFERROR(S13_PSP_Species_Support!AF4*0.0673*(S13_PSP_Species_Support!AG4*(S13_PSP_Species_Support!AH4*(1-EXP(-S13_PSP_Species_Support!AI4*5))^S13_PSP_Species_Support!AJ4)^2*(S13_PSP_Species_Support!AK4*(1-EXP(-S13_PSP_Species_Support!AL4*5))^S13_PSP_Species_Support!AM4))^0.976,0)+IFERROR(S13_PSP_Species_Support!AQ4*0.0673*(S13_PSP_Species_Support!AR4*(S13_PSP_Species_Support!AS4*(1-EXP(-S13_PSP_Species_Support!AT4*5))^S13_PSP_Species_Support!AU4)^2*(S13_PSP_Species_Support!AV4*(1-EXP(-S13_PSP_Species_Support!AW4*5))^S13_PSP_Species_Support!AX4))^0.976,0)+IFERROR(S13_PSP_Species_Support!BB4*0.0673*(S13_PSP_Species_Support!BC4*(S13_PSP_Species_Support!BD4*(1-EXP(-S13_PSP_Species_Support!BE4*5))^S13_PSP_Species_Support!BF4)^2*(S13_PSP_Species_Support!BG4*(1-EXP(-S13_PSP_Species_Support!BH4*5))^S13_PSP_Species_Support!BI4))^0.976,0)+IFERROR(S13_PSP_Species_Support!BM4*0.0673*(S13_PSP_Species_Support!BN4*(S13_PSP_Species_Support!BO4*(1-EXP(-S13_PSP_Species_Support!BP4*5))^S13_PSP_Species_Support!BQ4)^2*(S13_PSP_Species_Support!BR4*(1-EXP(-S13_PSP_Species_Support!BS4*5))^S13_PSP_Species_Support!BT4))^0.976,0)+IFERROR(S13_PSP_Species_Support!BX4*0.0673*(S13_PSP_Species_Support!BY4*(S13_PSP_Species_Support!BZ4*(1-EXP(-S13_PSP_Species_Support!CA4*5))^S13_PSP_Species_Support!CB4)^2*(S13_PSP_Species_Support!CC4*(1-EXP(-S13_PSP_Species_Support!CD4*5))^S13_PSP_Species_Support!CE4))^0.976,0)+IFERROR(S13_PSP_Species_Support!CI4*0.0673*(S13_PSP_Species_Support!CJ4*(S13_PSP_Species_Support!CK4*(1-EXP(-S13_PSP_Species_Support!CL4*5))^S13_PSP_Species_Support!CM4)^2*(S13_PSP_Species_Support!CN4*(1-EXP(-S13_PSP_Species_Support!CO4*5))^S13_PSP_Species_Support!CP4))^0.976,0)+IFERROR(S13_PSP_Species_Support!CT4*0.0673*(S13_PSP_Species_Support!CU4*(S13_PSP_Species_Support!CV4*(1-EXP(-S13_PSP_Species_Support!CW4*5))^S13_PSP_Species_Support!CX4)^2*(S13_PSP_Species_Support!CY4*(1-EXP(-S13_PSP_Species_Support!CZ4*5))^S13_PSP_Species_Support!DA4))^0.976,0))/1000/$G17*N$108,0)</x:f>
        <x:v>4.8326095747250015</x:v>
      </x:c>
      <x:c r="O17" s="147" t="n">
        <x:f aca="0">IFERROR((IFERROR(S13_PSP_Species_Support!U4*0.0673*(S13_PSP_Species_Support!V4*(S13_PSP_Species_Support!W4*(1-EXP(-S13_PSP_Species_Support!X4*6))^S13_PSP_Species_Support!Y4)^2*(S13_PSP_Species_Support!Z4*(1-EXP(-S13_PSP_Species_Support!AA4*6))^S13_PSP_Species_Support!AB4))^0.976,0)+IFERROR(S13_PSP_Species_Support!AF4*0.0673*(S13_PSP_Species_Support!AG4*(S13_PSP_Species_Support!AH4*(1-EXP(-S13_PSP_Species_Support!AI4*6))^S13_PSP_Species_Support!AJ4)^2*(S13_PSP_Species_Support!AK4*(1-EXP(-S13_PSP_Species_Support!AL4*6))^S13_PSP_Species_Support!AM4))^0.976,0)+IFERROR(S13_PSP_Species_Support!AQ4*0.0673*(S13_PSP_Species_Support!AR4*(S13_PSP_Species_Support!AS4*(1-EXP(-S13_PSP_Species_Support!AT4*6))^S13_PSP_Species_Support!AU4)^2*(S13_PSP_Species_Support!AV4*(1-EXP(-S13_PSP_Species_Support!AW4*6))^S13_PSP_Species_Support!AX4))^0.976,0)+IFERROR(S13_PSP_Species_Support!BB4*0.0673*(S13_PSP_Species_Support!BC4*(S13_PSP_Species_Support!BD4*(1-EXP(-S13_PSP_Species_Support!BE4*6))^S13_PSP_Species_Support!BF4)^2*(S13_PSP_Species_Support!BG4*(1-EXP(-S13_PSP_Species_Support!BH4*6))^S13_PSP_Species_Support!BI4))^0.976,0)+IFERROR(S13_PSP_Species_Support!BM4*0.0673*(S13_PSP_Species_Support!BN4*(S13_PSP_Species_Support!BO4*(1-EXP(-S13_PSP_Species_Support!BP4*6))^S13_PSP_Species_Support!BQ4)^2*(S13_PSP_Species_Support!BR4*(1-EXP(-S13_PSP_Species_Support!BS4*6))^S13_PSP_Species_Support!BT4))^0.976,0)+IFERROR(S13_PSP_Species_Support!BX4*0.0673*(S13_PSP_Species_Support!BY4*(S13_PSP_Species_Support!BZ4*(1-EXP(-S13_PSP_Species_Support!CA4*6))^S13_PSP_Species_Support!CB4)^2*(S13_PSP_Species_Support!CC4*(1-EXP(-S13_PSP_Species_Support!CD4*6))^S13_PSP_Species_Support!CE4))^0.976,0)+IFERROR(S13_PSP_Species_Support!CI4*0.0673*(S13_PSP_Species_Support!CJ4*(S13_PSP_Species_Support!CK4*(1-EXP(-S13_PSP_Species_Support!CL4*6))^S13_PSP_Species_Support!CM4)^2*(S13_PSP_Species_Support!CN4*(1-EXP(-S13_PSP_Species_Support!CO4*6))^S13_PSP_Species_Support!CP4))^0.976,0)+IFERROR(S13_PSP_Species_Support!CT4*0.0673*(S13_PSP_Species_Support!CU4*(S13_PSP_Species_Support!CV4*(1-EXP(-S13_PSP_Species_Support!CW4*6))^S13_PSP_Species_Support!CX4)^2*(S13_PSP_Species_Support!CY4*(1-EXP(-S13_PSP_Species_Support!CZ4*6))^S13_PSP_Species_Support!DA4))^0.976,0))/1000/$G17*O$108,0)</x:f>
        <x:v>7.7082787873668845</x:v>
      </x:c>
      <x:c r="P17" s="147" t="n">
        <x:f aca="0">IFERROR((IFERROR(S13_PSP_Species_Support!U4*0.0673*(S13_PSP_Species_Support!V4*(S13_PSP_Species_Support!W4*(1-EXP(-S13_PSP_Species_Support!X4*7))^S13_PSP_Species_Support!Y4)^2*(S13_PSP_Species_Support!Z4*(1-EXP(-S13_PSP_Species_Support!AA4*7))^S13_PSP_Species_Support!AB4))^0.976,0)+IFERROR(S13_PSP_Species_Support!AF4*0.0673*(S13_PSP_Species_Support!AG4*(S13_PSP_Species_Support!AH4*(1-EXP(-S13_PSP_Species_Support!AI4*7))^S13_PSP_Species_Support!AJ4)^2*(S13_PSP_Species_Support!AK4*(1-EXP(-S13_PSP_Species_Support!AL4*7))^S13_PSP_Species_Support!AM4))^0.976,0)+IFERROR(S13_PSP_Species_Support!AQ4*0.0673*(S13_PSP_Species_Support!AR4*(S13_PSP_Species_Support!AS4*(1-EXP(-S13_PSP_Species_Support!AT4*7))^S13_PSP_Species_Support!AU4)^2*(S13_PSP_Species_Support!AV4*(1-EXP(-S13_PSP_Species_Support!AW4*7))^S13_PSP_Species_Support!AX4))^0.976,0)+IFERROR(S13_PSP_Species_Support!BB4*0.0673*(S13_PSP_Species_Support!BC4*(S13_PSP_Species_Support!BD4*(1-EXP(-S13_PSP_Species_Support!BE4*7))^S13_PSP_Species_Support!BF4)^2*(S13_PSP_Species_Support!BG4*(1-EXP(-S13_PSP_Species_Support!BH4*7))^S13_PSP_Species_Support!BI4))^0.976,0)+IFERROR(S13_PSP_Species_Support!BM4*0.0673*(S13_PSP_Species_Support!BN4*(S13_PSP_Species_Support!BO4*(1-EXP(-S13_PSP_Species_Support!BP4*7))^S13_PSP_Species_Support!BQ4)^2*(S13_PSP_Species_Support!BR4*(1-EXP(-S13_PSP_Species_Support!BS4*7))^S13_PSP_Species_Support!BT4))^0.976,0)+IFERROR(S13_PSP_Species_Support!BX4*0.0673*(S13_PSP_Species_Support!BY4*(S13_PSP_Species_Support!BZ4*(1-EXP(-S13_PSP_Species_Support!CA4*7))^S13_PSP_Species_Support!CB4)^2*(S13_PSP_Species_Support!CC4*(1-EXP(-S13_PSP_Species_Support!CD4*7))^S13_PSP_Species_Support!CE4))^0.976,0)+IFERROR(S13_PSP_Species_Support!CI4*0.0673*(S13_PSP_Species_Support!CJ4*(S13_PSP_Species_Support!CK4*(1-EXP(-S13_PSP_Species_Support!CL4*7))^S13_PSP_Species_Support!CM4)^2*(S13_PSP_Species_Support!CN4*(1-EXP(-S13_PSP_Species_Support!CO4*7))^S13_PSP_Species_Support!CP4))^0.976,0)+IFERROR(S13_PSP_Species_Support!CT4*0.0673*(S13_PSP_Species_Support!CU4*(S13_PSP_Species_Support!CV4*(1-EXP(-S13_PSP_Species_Support!CW4*7))^S13_PSP_Species_Support!CX4)^2*(S13_PSP_Species_Support!CY4*(1-EXP(-S13_PSP_Species_Support!CZ4*7))^S13_PSP_Species_Support!DA4))^0.976,0))/1000/$G17*P$108,0)</x:f>
        <x:v>11.071007981421294</x:v>
      </x:c>
      <x:c r="Q17" s="147" t="n">
        <x:f aca="0">IFERROR((IFERROR(S13_PSP_Species_Support!U4*0.0673*(S13_PSP_Species_Support!V4*(S13_PSP_Species_Support!W4*(1-EXP(-S13_PSP_Species_Support!X4*8))^S13_PSP_Species_Support!Y4)^2*(S13_PSP_Species_Support!Z4*(1-EXP(-S13_PSP_Species_Support!AA4*8))^S13_PSP_Species_Support!AB4))^0.976,0)+IFERROR(S13_PSP_Species_Support!AF4*0.0673*(S13_PSP_Species_Support!AG4*(S13_PSP_Species_Support!AH4*(1-EXP(-S13_PSP_Species_Support!AI4*8))^S13_PSP_Species_Support!AJ4)^2*(S13_PSP_Species_Support!AK4*(1-EXP(-S13_PSP_Species_Support!AL4*8))^S13_PSP_Species_Support!AM4))^0.976,0)+IFERROR(S13_PSP_Species_Support!AQ4*0.0673*(S13_PSP_Species_Support!AR4*(S13_PSP_Species_Support!AS4*(1-EXP(-S13_PSP_Species_Support!AT4*8))^S13_PSP_Species_Support!AU4)^2*(S13_PSP_Species_Support!AV4*(1-EXP(-S13_PSP_Species_Support!AW4*8))^S13_PSP_Species_Support!AX4))^0.976,0)+IFERROR(S13_PSP_Species_Support!BB4*0.0673*(S13_PSP_Species_Support!BC4*(S13_PSP_Species_Support!BD4*(1-EXP(-S13_PSP_Species_Support!BE4*8))^S13_PSP_Species_Support!BF4)^2*(S13_PSP_Species_Support!BG4*(1-EXP(-S13_PSP_Species_Support!BH4*8))^S13_PSP_Species_Support!BI4))^0.976,0)+IFERROR(S13_PSP_Species_Support!BM4*0.0673*(S13_PSP_Species_Support!BN4*(S13_PSP_Species_Support!BO4*(1-EXP(-S13_PSP_Species_Support!BP4*8))^S13_PSP_Species_Support!BQ4)^2*(S13_PSP_Species_Support!BR4*(1-EXP(-S13_PSP_Species_Support!BS4*8))^S13_PSP_Species_Support!BT4))^0.976,0)+IFERROR(S13_PSP_Species_Support!BX4*0.0673*(S13_PSP_Species_Support!BY4*(S13_PSP_Species_Support!BZ4*(1-EXP(-S13_PSP_Species_Support!CA4*8))^S13_PSP_Species_Support!CB4)^2*(S13_PSP_Species_Support!CC4*(1-EXP(-S13_PSP_Species_Support!CD4*8))^S13_PSP_Species_Support!CE4))^0.976,0)+IFERROR(S13_PSP_Species_Support!CI4*0.0673*(S13_PSP_Species_Support!CJ4*(S13_PSP_Species_Support!CK4*(1-EXP(-S13_PSP_Species_Support!CL4*8))^S13_PSP_Species_Support!CM4)^2*(S13_PSP_Species_Support!CN4*(1-EXP(-S13_PSP_Species_Support!CO4*8))^S13_PSP_Species_Support!CP4))^0.976,0)+IFERROR(S13_PSP_Species_Support!CT4*0.0673*(S13_PSP_Species_Support!CU4*(S13_PSP_Species_Support!CV4*(1-EXP(-S13_PSP_Species_Support!CW4*8))^S13_PSP_Species_Support!CX4)^2*(S13_PSP_Species_Support!CY4*(1-EXP(-S13_PSP_Species_Support!CZ4*8))^S13_PSP_Species_Support!DA4))^0.976,0))/1000/$G17*Q$108,0)</x:f>
        <x:v>14.754556332335133</x:v>
      </x:c>
      <x:c r="R17" s="147" t="n">
        <x:f aca="0">IFERROR((IFERROR(S13_PSP_Species_Support!U4*0.0673*(S13_PSP_Species_Support!V4*(S13_PSP_Species_Support!W4*(1-EXP(-S13_PSP_Species_Support!X4*9))^S13_PSP_Species_Support!Y4)^2*(S13_PSP_Species_Support!Z4*(1-EXP(-S13_PSP_Species_Support!AA4*9))^S13_PSP_Species_Support!AB4))^0.976,0)+IFERROR(S13_PSP_Species_Support!AF4*0.0673*(S13_PSP_Species_Support!AG4*(S13_PSP_Species_Support!AH4*(1-EXP(-S13_PSP_Species_Support!AI4*9))^S13_PSP_Species_Support!AJ4)^2*(S13_PSP_Species_Support!AK4*(1-EXP(-S13_PSP_Species_Support!AL4*9))^S13_PSP_Species_Support!AM4))^0.976,0)+IFERROR(S13_PSP_Species_Support!AQ4*0.0673*(S13_PSP_Species_Support!AR4*(S13_PSP_Species_Support!AS4*(1-EXP(-S13_PSP_Species_Support!AT4*9))^S13_PSP_Species_Support!AU4)^2*(S13_PSP_Species_Support!AV4*(1-EXP(-S13_PSP_Species_Support!AW4*9))^S13_PSP_Species_Support!AX4))^0.976,0)+IFERROR(S13_PSP_Species_Support!BB4*0.0673*(S13_PSP_Species_Support!BC4*(S13_PSP_Species_Support!BD4*(1-EXP(-S13_PSP_Species_Support!BE4*9))^S13_PSP_Species_Support!BF4)^2*(S13_PSP_Species_Support!BG4*(1-EXP(-S13_PSP_Species_Support!BH4*9))^S13_PSP_Species_Support!BI4))^0.976,0)+IFERROR(S13_PSP_Species_Support!BM4*0.0673*(S13_PSP_Species_Support!BN4*(S13_PSP_Species_Support!BO4*(1-EXP(-S13_PSP_Species_Support!BP4*9))^S13_PSP_Species_Support!BQ4)^2*(S13_PSP_Species_Support!BR4*(1-EXP(-S13_PSP_Species_Support!BS4*9))^S13_PSP_Species_Support!BT4))^0.976,0)+IFERROR(S13_PSP_Species_Support!BX4*0.0673*(S13_PSP_Species_Support!BY4*(S13_PSP_Species_Support!BZ4*(1-EXP(-S13_PSP_Species_Support!CA4*9))^S13_PSP_Species_Support!CB4)^2*(S13_PSP_Species_Support!CC4*(1-EXP(-S13_PSP_Species_Support!CD4*9))^S13_PSP_Species_Support!CE4))^0.976,0)+IFERROR(S13_PSP_Species_Support!CI4*0.0673*(S13_PSP_Species_Support!CJ4*(S13_PSP_Species_Support!CK4*(1-EXP(-S13_PSP_Species_Support!CL4*9))^S13_PSP_Species_Support!CM4)^2*(S13_PSP_Species_Support!CN4*(1-EXP(-S13_PSP_Species_Support!CO4*9))^S13_PSP_Species_Support!CP4))^0.976,0)+IFERROR(S13_PSP_Species_Support!CT4*0.0673*(S13_PSP_Species_Support!CU4*(S13_PSP_Species_Support!CV4*(1-EXP(-S13_PSP_Species_Support!CW4*9))^S13_PSP_Species_Support!CX4)^2*(S13_PSP_Species_Support!CY4*(1-EXP(-S13_PSP_Species_Support!CZ4*9))^S13_PSP_Species_Support!DA4))^0.976,0))/1000/$G17*R$108,0)</x:f>
        <x:v>18.602242601732215</x:v>
      </x:c>
      <x:c r="S17" s="147" t="n">
        <x:f aca="0">IFERROR((IFERROR(S13_PSP_Species_Support!U4*0.0673*(S13_PSP_Species_Support!V4*(S13_PSP_Species_Support!W4*(1-EXP(-S13_PSP_Species_Support!X4*10))^S13_PSP_Species_Support!Y4)^2*(S13_PSP_Species_Support!Z4*(1-EXP(-S13_PSP_Species_Support!AA4*10))^S13_PSP_Species_Support!AB4))^0.976,0)+IFERROR(S13_PSP_Species_Support!AF4*0.0673*(S13_PSP_Species_Support!AG4*(S13_PSP_Species_Support!AH4*(1-EXP(-S13_PSP_Species_Support!AI4*10))^S13_PSP_Species_Support!AJ4)^2*(S13_PSP_Species_Support!AK4*(1-EXP(-S13_PSP_Species_Support!AL4*10))^S13_PSP_Species_Support!AM4))^0.976,0)+IFERROR(S13_PSP_Species_Support!AQ4*0.0673*(S13_PSP_Species_Support!AR4*(S13_PSP_Species_Support!AS4*(1-EXP(-S13_PSP_Species_Support!AT4*10))^S13_PSP_Species_Support!AU4)^2*(S13_PSP_Species_Support!AV4*(1-EXP(-S13_PSP_Species_Support!AW4*10))^S13_PSP_Species_Support!AX4))^0.976,0)+IFERROR(S13_PSP_Species_Support!BB4*0.0673*(S13_PSP_Species_Support!BC4*(S13_PSP_Species_Support!BD4*(1-EXP(-S13_PSP_Species_Support!BE4*10))^S13_PSP_Species_Support!BF4)^2*(S13_PSP_Species_Support!BG4*(1-EXP(-S13_PSP_Species_Support!BH4*10))^S13_PSP_Species_Support!BI4))^0.976,0)+IFERROR(S13_PSP_Species_Support!BM4*0.0673*(S13_PSP_Species_Support!BN4*(S13_PSP_Species_Support!BO4*(1-EXP(-S13_PSP_Species_Support!BP4*10))^S13_PSP_Species_Support!BQ4)^2*(S13_PSP_Species_Support!BR4*(1-EXP(-S13_PSP_Species_Support!BS4*10))^S13_PSP_Species_Support!BT4))^0.976,0)+IFERROR(S13_PSP_Species_Support!BX4*0.0673*(S13_PSP_Species_Support!BY4*(S13_PSP_Species_Support!BZ4*(1-EXP(-S13_PSP_Species_Support!CA4*10))^S13_PSP_Species_Support!CB4)^2*(S13_PSP_Species_Support!CC4*(1-EXP(-S13_PSP_Species_Support!CD4*10))^S13_PSP_Species_Support!CE4))^0.976,0)+IFERROR(S13_PSP_Species_Support!CI4*0.0673*(S13_PSP_Species_Support!CJ4*(S13_PSP_Species_Support!CK4*(1-EXP(-S13_PSP_Species_Support!CL4*10))^S13_PSP_Species_Support!CM4)^2*(S13_PSP_Species_Support!CN4*(1-EXP(-S13_PSP_Species_Support!CO4*10))^S13_PSP_Species_Support!CP4))^0.976,0)+IFERROR(S13_PSP_Species_Support!CT4*0.0673*(S13_PSP_Species_Support!CU4*(S13_PSP_Species_Support!CV4*(1-EXP(-S13_PSP_Species_Support!CW4*10))^S13_PSP_Species_Support!CX4)^2*(S13_PSP_Species_Support!CY4*(1-EXP(-S13_PSP_Species_Support!CZ4*10))^S13_PSP_Species_Support!DA4))^0.976,0))/1000/$G17*S$108,0)</x:f>
        <x:v>22.480476967744</x:v>
      </x:c>
      <x:c r="T17" s="147" t="n">
        <x:f aca="0">IFERROR((IFERROR(S13_PSP_Species_Support!U4*0.0673*(S13_PSP_Species_Support!V4*(S13_PSP_Species_Support!W4*(1-EXP(-S13_PSP_Species_Support!X4*11))^S13_PSP_Species_Support!Y4)^2*(S13_PSP_Species_Support!Z4*(1-EXP(-S13_PSP_Species_Support!AA4*11))^S13_PSP_Species_Support!AB4))^0.976,0)+IFERROR(S13_PSP_Species_Support!AF4*0.0673*(S13_PSP_Species_Support!AG4*(S13_PSP_Species_Support!AH4*(1-EXP(-S13_PSP_Species_Support!AI4*11))^S13_PSP_Species_Support!AJ4)^2*(S13_PSP_Species_Support!AK4*(1-EXP(-S13_PSP_Species_Support!AL4*11))^S13_PSP_Species_Support!AM4))^0.976,0)+IFERROR(S13_PSP_Species_Support!AQ4*0.0673*(S13_PSP_Species_Support!AR4*(S13_PSP_Species_Support!AS4*(1-EXP(-S13_PSP_Species_Support!AT4*11))^S13_PSP_Species_Support!AU4)^2*(S13_PSP_Species_Support!AV4*(1-EXP(-S13_PSP_Species_Support!AW4*11))^S13_PSP_Species_Support!AX4))^0.976,0)+IFERROR(S13_PSP_Species_Support!BB4*0.0673*(S13_PSP_Species_Support!BC4*(S13_PSP_Species_Support!BD4*(1-EXP(-S13_PSP_Species_Support!BE4*11))^S13_PSP_Species_Support!BF4)^2*(S13_PSP_Species_Support!BG4*(1-EXP(-S13_PSP_Species_Support!BH4*11))^S13_PSP_Species_Support!BI4))^0.976,0)+IFERROR(S13_PSP_Species_Support!BM4*0.0673*(S13_PSP_Species_Support!BN4*(S13_PSP_Species_Support!BO4*(1-EXP(-S13_PSP_Species_Support!BP4*11))^S13_PSP_Species_Support!BQ4)^2*(S13_PSP_Species_Support!BR4*(1-EXP(-S13_PSP_Species_Support!BS4*11))^S13_PSP_Species_Support!BT4))^0.976,0)+IFERROR(S13_PSP_Species_Support!BX4*0.0673*(S13_PSP_Species_Support!BY4*(S13_PSP_Species_Support!BZ4*(1-EXP(-S13_PSP_Species_Support!CA4*11))^S13_PSP_Species_Support!CB4)^2*(S13_PSP_Species_Support!CC4*(1-EXP(-S13_PSP_Species_Support!CD4*11))^S13_PSP_Species_Support!CE4))^0.976,0)+IFERROR(S13_PSP_Species_Support!CI4*0.0673*(S13_PSP_Species_Support!CJ4*(S13_PSP_Species_Support!CK4*(1-EXP(-S13_PSP_Species_Support!CL4*11))^S13_PSP_Species_Support!CM4)^2*(S13_PSP_Species_Support!CN4*(1-EXP(-S13_PSP_Species_Support!CO4*11))^S13_PSP_Species_Support!CP4))^0.976,0)+IFERROR(S13_PSP_Species_Support!CT4*0.0673*(S13_PSP_Species_Support!CU4*(S13_PSP_Species_Support!CV4*(1-EXP(-S13_PSP_Species_Support!CW4*11))^S13_PSP_Species_Support!CX4)^2*(S13_PSP_Species_Support!CY4*(1-EXP(-S13_PSP_Species_Support!CZ4*11))^S13_PSP_Species_Support!DA4))^0.976,0))/1000/$G17*T$108,0)</x:f>
        <x:v>26.283691339432277</x:v>
      </x:c>
      <x:c r="U17" s="147" t="n">
        <x:f aca="0">IFERROR((IFERROR(S13_PSP_Species_Support!U4*0.0673*(S13_PSP_Species_Support!V4*(S13_PSP_Species_Support!W4*(1-EXP(-S13_PSP_Species_Support!X4*12))^S13_PSP_Species_Support!Y4)^2*(S13_PSP_Species_Support!Z4*(1-EXP(-S13_PSP_Species_Support!AA4*12))^S13_PSP_Species_Support!AB4))^0.976,0)+IFERROR(S13_PSP_Species_Support!AF4*0.0673*(S13_PSP_Species_Support!AG4*(S13_PSP_Species_Support!AH4*(1-EXP(-S13_PSP_Species_Support!AI4*12))^S13_PSP_Species_Support!AJ4)^2*(S13_PSP_Species_Support!AK4*(1-EXP(-S13_PSP_Species_Support!AL4*12))^S13_PSP_Species_Support!AM4))^0.976,0)+IFERROR(S13_PSP_Species_Support!AQ4*0.0673*(S13_PSP_Species_Support!AR4*(S13_PSP_Species_Support!AS4*(1-EXP(-S13_PSP_Species_Support!AT4*12))^S13_PSP_Species_Support!AU4)^2*(S13_PSP_Species_Support!AV4*(1-EXP(-S13_PSP_Species_Support!AW4*12))^S13_PSP_Species_Support!AX4))^0.976,0)+IFERROR(S13_PSP_Species_Support!BB4*0.0673*(S13_PSP_Species_Support!BC4*(S13_PSP_Species_Support!BD4*(1-EXP(-S13_PSP_Species_Support!BE4*12))^S13_PSP_Species_Support!BF4)^2*(S13_PSP_Species_Support!BG4*(1-EXP(-S13_PSP_Species_Support!BH4*12))^S13_PSP_Species_Support!BI4))^0.976,0)+IFERROR(S13_PSP_Species_Support!BM4*0.0673*(S13_PSP_Species_Support!BN4*(S13_PSP_Species_Support!BO4*(1-EXP(-S13_PSP_Species_Support!BP4*12))^S13_PSP_Species_Support!BQ4)^2*(S13_PSP_Species_Support!BR4*(1-EXP(-S13_PSP_Species_Support!BS4*12))^S13_PSP_Species_Support!BT4))^0.976,0)+IFERROR(S13_PSP_Species_Support!BX4*0.0673*(S13_PSP_Species_Support!BY4*(S13_PSP_Species_Support!BZ4*(1-EXP(-S13_PSP_Species_Support!CA4*12))^S13_PSP_Species_Support!CB4)^2*(S13_PSP_Species_Support!CC4*(1-EXP(-S13_PSP_Species_Support!CD4*12))^S13_PSP_Species_Support!CE4))^0.976,0)+IFERROR(S13_PSP_Species_Support!CI4*0.0673*(S13_PSP_Species_Support!CJ4*(S13_PSP_Species_Support!CK4*(1-EXP(-S13_PSP_Species_Support!CL4*12))^S13_PSP_Species_Support!CM4)^2*(S13_PSP_Species_Support!CN4*(1-EXP(-S13_PSP_Species_Support!CO4*12))^S13_PSP_Species_Support!CP4))^0.976,0)+IFERROR(S13_PSP_Species_Support!CT4*0.0673*(S13_PSP_Species_Support!CU4*(S13_PSP_Species_Support!CV4*(1-EXP(-S13_PSP_Species_Support!CW4*12))^S13_PSP_Species_Support!CX4)^2*(S13_PSP_Species_Support!CY4*(1-EXP(-S13_PSP_Species_Support!CZ4*12))^S13_PSP_Species_Support!DA4))^0.976,0))/1000/$G17*U$108,0)</x:f>
        <x:v>29.934051840835707</x:v>
      </x:c>
      <x:c r="V17" s="147" t="n">
        <x:f aca="0">IFERROR((IFERROR(S13_PSP_Species_Support!U4*0.0673*(S13_PSP_Species_Support!V4*(S13_PSP_Species_Support!W4*(1-EXP(-S13_PSP_Species_Support!X4*13))^S13_PSP_Species_Support!Y4)^2*(S13_PSP_Species_Support!Z4*(1-EXP(-S13_PSP_Species_Support!AA4*13))^S13_PSP_Species_Support!AB4))^0.976,0)+IFERROR(S13_PSP_Species_Support!AF4*0.0673*(S13_PSP_Species_Support!AG4*(S13_PSP_Species_Support!AH4*(1-EXP(-S13_PSP_Species_Support!AI4*13))^S13_PSP_Species_Support!AJ4)^2*(S13_PSP_Species_Support!AK4*(1-EXP(-S13_PSP_Species_Support!AL4*13))^S13_PSP_Species_Support!AM4))^0.976,0)+IFERROR(S13_PSP_Species_Support!AQ4*0.0673*(S13_PSP_Species_Support!AR4*(S13_PSP_Species_Support!AS4*(1-EXP(-S13_PSP_Species_Support!AT4*13))^S13_PSP_Species_Support!AU4)^2*(S13_PSP_Species_Support!AV4*(1-EXP(-S13_PSP_Species_Support!AW4*13))^S13_PSP_Species_Support!AX4))^0.976,0)+IFERROR(S13_PSP_Species_Support!BB4*0.0673*(S13_PSP_Species_Support!BC4*(S13_PSP_Species_Support!BD4*(1-EXP(-S13_PSP_Species_Support!BE4*13))^S13_PSP_Species_Support!BF4)^2*(S13_PSP_Species_Support!BG4*(1-EXP(-S13_PSP_Species_Support!BH4*13))^S13_PSP_Species_Support!BI4))^0.976,0)+IFERROR(S13_PSP_Species_Support!BM4*0.0673*(S13_PSP_Species_Support!BN4*(S13_PSP_Species_Support!BO4*(1-EXP(-S13_PSP_Species_Support!BP4*13))^S13_PSP_Species_Support!BQ4)^2*(S13_PSP_Species_Support!BR4*(1-EXP(-S13_PSP_Species_Support!BS4*13))^S13_PSP_Species_Support!BT4))^0.976,0)+IFERROR(S13_PSP_Species_Support!BX4*0.0673*(S13_PSP_Species_Support!BY4*(S13_PSP_Species_Support!BZ4*(1-EXP(-S13_PSP_Species_Support!CA4*13))^S13_PSP_Species_Support!CB4)^2*(S13_PSP_Species_Support!CC4*(1-EXP(-S13_PSP_Species_Support!CD4*13))^S13_PSP_Species_Support!CE4))^0.976,0)+IFERROR(S13_PSP_Species_Support!CI4*0.0673*(S13_PSP_Species_Support!CJ4*(S13_PSP_Species_Support!CK4*(1-EXP(-S13_PSP_Species_Support!CL4*13))^S13_PSP_Species_Support!CM4)^2*(S13_PSP_Species_Support!CN4*(1-EXP(-S13_PSP_Species_Support!CO4*13))^S13_PSP_Species_Support!CP4))^0.976,0)+IFERROR(S13_PSP_Species_Support!CT4*0.0673*(S13_PSP_Species_Support!CU4*(S13_PSP_Species_Support!CV4*(1-EXP(-S13_PSP_Species_Support!CW4*13))^S13_PSP_Species_Support!CX4)^2*(S13_PSP_Species_Support!CY4*(1-EXP(-S13_PSP_Species_Support!CZ4*13))^S13_PSP_Species_Support!DA4))^0.976,0))/1000/$G17*V$108,0)</x:f>
        <x:v>33.37842399801708</x:v>
      </x:c>
      <x:c r="W17" s="147" t="n">
        <x:f aca="0">IFERROR((IFERROR(S13_PSP_Species_Support!U4*0.0673*(S13_PSP_Species_Support!V4*(S13_PSP_Species_Support!W4*(1-EXP(-S13_PSP_Species_Support!X4*14))^S13_PSP_Species_Support!Y4)^2*(S13_PSP_Species_Support!Z4*(1-EXP(-S13_PSP_Species_Support!AA4*14))^S13_PSP_Species_Support!AB4))^0.976,0)+IFERROR(S13_PSP_Species_Support!AF4*0.0673*(S13_PSP_Species_Support!AG4*(S13_PSP_Species_Support!AH4*(1-EXP(-S13_PSP_Species_Support!AI4*14))^S13_PSP_Species_Support!AJ4)^2*(S13_PSP_Species_Support!AK4*(1-EXP(-S13_PSP_Species_Support!AL4*14))^S13_PSP_Species_Support!AM4))^0.976,0)+IFERROR(S13_PSP_Species_Support!AQ4*0.0673*(S13_PSP_Species_Support!AR4*(S13_PSP_Species_Support!AS4*(1-EXP(-S13_PSP_Species_Support!AT4*14))^S13_PSP_Species_Support!AU4)^2*(S13_PSP_Species_Support!AV4*(1-EXP(-S13_PSP_Species_Support!AW4*14))^S13_PSP_Species_Support!AX4))^0.976,0)+IFERROR(S13_PSP_Species_Support!BB4*0.0673*(S13_PSP_Species_Support!BC4*(S13_PSP_Species_Support!BD4*(1-EXP(-S13_PSP_Species_Support!BE4*14))^S13_PSP_Species_Support!BF4)^2*(S13_PSP_Species_Support!BG4*(1-EXP(-S13_PSP_Species_Support!BH4*14))^S13_PSP_Species_Support!BI4))^0.976,0)+IFERROR(S13_PSP_Species_Support!BM4*0.0673*(S13_PSP_Species_Support!BN4*(S13_PSP_Species_Support!BO4*(1-EXP(-S13_PSP_Species_Support!BP4*14))^S13_PSP_Species_Support!BQ4)^2*(S13_PSP_Species_Support!BR4*(1-EXP(-S13_PSP_Species_Support!BS4*14))^S13_PSP_Species_Support!BT4))^0.976,0)+IFERROR(S13_PSP_Species_Support!BX4*0.0673*(S13_PSP_Species_Support!BY4*(S13_PSP_Species_Support!BZ4*(1-EXP(-S13_PSP_Species_Support!CA4*14))^S13_PSP_Species_Support!CB4)^2*(S13_PSP_Species_Support!CC4*(1-EXP(-S13_PSP_Species_Support!CD4*14))^S13_PSP_Species_Support!CE4))^0.976,0)+IFERROR(S13_PSP_Species_Support!CI4*0.0673*(S13_PSP_Species_Support!CJ4*(S13_PSP_Species_Support!CK4*(1-EXP(-S13_PSP_Species_Support!CL4*14))^S13_PSP_Species_Support!CM4)^2*(S13_PSP_Species_Support!CN4*(1-EXP(-S13_PSP_Species_Support!CO4*14))^S13_PSP_Species_Support!CP4))^0.976,0)+IFERROR(S13_PSP_Species_Support!CT4*0.0673*(S13_PSP_Species_Support!CU4*(S13_PSP_Species_Support!CV4*(1-EXP(-S13_PSP_Species_Support!CW4*14))^S13_PSP_Species_Support!CX4)^2*(S13_PSP_Species_Support!CY4*(1-EXP(-S13_PSP_Species_Support!CZ4*14))^S13_PSP_Species_Support!DA4))^0.976,0))/1000/$G17*W$108,0)</x:f>
        <x:v>36.58420738989088</x:v>
      </x:c>
      <x:c r="X17" s="147" t="n">
        <x:f aca="0">IFERROR((IFERROR(S13_PSP_Species_Support!U4*0.0673*(S13_PSP_Species_Support!V4*(S13_PSP_Species_Support!W4*(1-EXP(-S13_PSP_Species_Support!X4*15))^S13_PSP_Species_Support!Y4)^2*(S13_PSP_Species_Support!Z4*(1-EXP(-S13_PSP_Species_Support!AA4*15))^S13_PSP_Species_Support!AB4))^0.976,0)+IFERROR(S13_PSP_Species_Support!AF4*0.0673*(S13_PSP_Species_Support!AG4*(S13_PSP_Species_Support!AH4*(1-EXP(-S13_PSP_Species_Support!AI4*15))^S13_PSP_Species_Support!AJ4)^2*(S13_PSP_Species_Support!AK4*(1-EXP(-S13_PSP_Species_Support!AL4*15))^S13_PSP_Species_Support!AM4))^0.976,0)+IFERROR(S13_PSP_Species_Support!AQ4*0.0673*(S13_PSP_Species_Support!AR4*(S13_PSP_Species_Support!AS4*(1-EXP(-S13_PSP_Species_Support!AT4*15))^S13_PSP_Species_Support!AU4)^2*(S13_PSP_Species_Support!AV4*(1-EXP(-S13_PSP_Species_Support!AW4*15))^S13_PSP_Species_Support!AX4))^0.976,0)+IFERROR(S13_PSP_Species_Support!BB4*0.0673*(S13_PSP_Species_Support!BC4*(S13_PSP_Species_Support!BD4*(1-EXP(-S13_PSP_Species_Support!BE4*15))^S13_PSP_Species_Support!BF4)^2*(S13_PSP_Species_Support!BG4*(1-EXP(-S13_PSP_Species_Support!BH4*15))^S13_PSP_Species_Support!BI4))^0.976,0)+IFERROR(S13_PSP_Species_Support!BM4*0.0673*(S13_PSP_Species_Support!BN4*(S13_PSP_Species_Support!BO4*(1-EXP(-S13_PSP_Species_Support!BP4*15))^S13_PSP_Species_Support!BQ4)^2*(S13_PSP_Species_Support!BR4*(1-EXP(-S13_PSP_Species_Support!BS4*15))^S13_PSP_Species_Support!BT4))^0.976,0)+IFERROR(S13_PSP_Species_Support!BX4*0.0673*(S13_PSP_Species_Support!BY4*(S13_PSP_Species_Support!BZ4*(1-EXP(-S13_PSP_Species_Support!CA4*15))^S13_PSP_Species_Support!CB4)^2*(S13_PSP_Species_Support!CC4*(1-EXP(-S13_PSP_Species_Support!CD4*15))^S13_PSP_Species_Support!CE4))^0.976,0)+IFERROR(S13_PSP_Species_Support!CI4*0.0673*(S13_PSP_Species_Support!CJ4*(S13_PSP_Species_Support!CK4*(1-EXP(-S13_PSP_Species_Support!CL4*15))^S13_PSP_Species_Support!CM4)^2*(S13_PSP_Species_Support!CN4*(1-EXP(-S13_PSP_Species_Support!CO4*15))^S13_PSP_Species_Support!CP4))^0.976,0)+IFERROR(S13_PSP_Species_Support!CT4*0.0673*(S13_PSP_Species_Support!CU4*(S13_PSP_Species_Support!CV4*(1-EXP(-S13_PSP_Species_Support!CW4*15))^S13_PSP_Species_Support!CX4)^2*(S13_PSP_Species_Support!CY4*(1-EXP(-S13_PSP_Species_Support!CZ4*15))^S13_PSP_Species_Support!DA4))^0.976,0))/1000/$G17*X$108,0)</x:f>
        <x:v>39.535002991559544</x:v>
      </x:c>
      <x:c r="Y17" s="147" t="n">
        <x:f aca="0">IFERROR((IFERROR(S13_PSP_Species_Support!U4*0.0673*(S13_PSP_Species_Support!V4*(S13_PSP_Species_Support!W4*(1-EXP(-S13_PSP_Species_Support!X4*16))^S13_PSP_Species_Support!Y4)^2*(S13_PSP_Species_Support!Z4*(1-EXP(-S13_PSP_Species_Support!AA4*16))^S13_PSP_Species_Support!AB4))^0.976,0)+IFERROR(S13_PSP_Species_Support!AF4*0.0673*(S13_PSP_Species_Support!AG4*(S13_PSP_Species_Support!AH4*(1-EXP(-S13_PSP_Species_Support!AI4*16))^S13_PSP_Species_Support!AJ4)^2*(S13_PSP_Species_Support!AK4*(1-EXP(-S13_PSP_Species_Support!AL4*16))^S13_PSP_Species_Support!AM4))^0.976,0)+IFERROR(S13_PSP_Species_Support!AQ4*0.0673*(S13_PSP_Species_Support!AR4*(S13_PSP_Species_Support!AS4*(1-EXP(-S13_PSP_Species_Support!AT4*16))^S13_PSP_Species_Support!AU4)^2*(S13_PSP_Species_Support!AV4*(1-EXP(-S13_PSP_Species_Support!AW4*16))^S13_PSP_Species_Support!AX4))^0.976,0)+IFERROR(S13_PSP_Species_Support!BB4*0.0673*(S13_PSP_Species_Support!BC4*(S13_PSP_Species_Support!BD4*(1-EXP(-S13_PSP_Species_Support!BE4*16))^S13_PSP_Species_Support!BF4)^2*(S13_PSP_Species_Support!BG4*(1-EXP(-S13_PSP_Species_Support!BH4*16))^S13_PSP_Species_Support!BI4))^0.976,0)+IFERROR(S13_PSP_Species_Support!BM4*0.0673*(S13_PSP_Species_Support!BN4*(S13_PSP_Species_Support!BO4*(1-EXP(-S13_PSP_Species_Support!BP4*16))^S13_PSP_Species_Support!BQ4)^2*(S13_PSP_Species_Support!BR4*(1-EXP(-S13_PSP_Species_Support!BS4*16))^S13_PSP_Species_Support!BT4))^0.976,0)+IFERROR(S13_PSP_Species_Support!BX4*0.0673*(S13_PSP_Species_Support!BY4*(S13_PSP_Species_Support!BZ4*(1-EXP(-S13_PSP_Species_Support!CA4*16))^S13_PSP_Species_Support!CB4)^2*(S13_PSP_Species_Support!CC4*(1-EXP(-S13_PSP_Species_Support!CD4*16))^S13_PSP_Species_Support!CE4))^0.976,0)+IFERROR(S13_PSP_Species_Support!CI4*0.0673*(S13_PSP_Species_Support!CJ4*(S13_PSP_Species_Support!CK4*(1-EXP(-S13_PSP_Species_Support!CL4*16))^S13_PSP_Species_Support!CM4)^2*(S13_PSP_Species_Support!CN4*(1-EXP(-S13_PSP_Species_Support!CO4*16))^S13_PSP_Species_Support!CP4))^0.976,0)+IFERROR(S13_PSP_Species_Support!CT4*0.0673*(S13_PSP_Species_Support!CU4*(S13_PSP_Species_Support!CV4*(1-EXP(-S13_PSP_Species_Support!CW4*16))^S13_PSP_Species_Support!CX4)^2*(S13_PSP_Species_Support!CY4*(1-EXP(-S13_PSP_Species_Support!CZ4*16))^S13_PSP_Species_Support!DA4))^0.976,0))/1000/$G17*Y$108,0)</x:f>
        <x:v>42.226626944948855</x:v>
      </x:c>
      <x:c r="Z17" s="147" t="n">
        <x:f aca="0">IFERROR((IFERROR(S13_PSP_Species_Support!U4*0.0673*(S13_PSP_Species_Support!V4*(S13_PSP_Species_Support!W4*(1-EXP(-S13_PSP_Species_Support!X4*17))^S13_PSP_Species_Support!Y4)^2*(S13_PSP_Species_Support!Z4*(1-EXP(-S13_PSP_Species_Support!AA4*17))^S13_PSP_Species_Support!AB4))^0.976,0)+IFERROR(S13_PSP_Species_Support!AF4*0.0673*(S13_PSP_Species_Support!AG4*(S13_PSP_Species_Support!AH4*(1-EXP(-S13_PSP_Species_Support!AI4*17))^S13_PSP_Species_Support!AJ4)^2*(S13_PSP_Species_Support!AK4*(1-EXP(-S13_PSP_Species_Support!AL4*17))^S13_PSP_Species_Support!AM4))^0.976,0)+IFERROR(S13_PSP_Species_Support!AQ4*0.0673*(S13_PSP_Species_Support!AR4*(S13_PSP_Species_Support!AS4*(1-EXP(-S13_PSP_Species_Support!AT4*17))^S13_PSP_Species_Support!AU4)^2*(S13_PSP_Species_Support!AV4*(1-EXP(-S13_PSP_Species_Support!AW4*17))^S13_PSP_Species_Support!AX4))^0.976,0)+IFERROR(S13_PSP_Species_Support!BB4*0.0673*(S13_PSP_Species_Support!BC4*(S13_PSP_Species_Support!BD4*(1-EXP(-S13_PSP_Species_Support!BE4*17))^S13_PSP_Species_Support!BF4)^2*(S13_PSP_Species_Support!BG4*(1-EXP(-S13_PSP_Species_Support!BH4*17))^S13_PSP_Species_Support!BI4))^0.976,0)+IFERROR(S13_PSP_Species_Support!BM4*0.0673*(S13_PSP_Species_Support!BN4*(S13_PSP_Species_Support!BO4*(1-EXP(-S13_PSP_Species_Support!BP4*17))^S13_PSP_Species_Support!BQ4)^2*(S13_PSP_Species_Support!BR4*(1-EXP(-S13_PSP_Species_Support!BS4*17))^S13_PSP_Species_Support!BT4))^0.976,0)+IFERROR(S13_PSP_Species_Support!BX4*0.0673*(S13_PSP_Species_Support!BY4*(S13_PSP_Species_Support!BZ4*(1-EXP(-S13_PSP_Species_Support!CA4*17))^S13_PSP_Species_Support!CB4)^2*(S13_PSP_Species_Support!CC4*(1-EXP(-S13_PSP_Species_Support!CD4*17))^S13_PSP_Species_Support!CE4))^0.976,0)+IFERROR(S13_PSP_Species_Support!CI4*0.0673*(S13_PSP_Species_Support!CJ4*(S13_PSP_Species_Support!CK4*(1-EXP(-S13_PSP_Species_Support!CL4*17))^S13_PSP_Species_Support!CM4)^2*(S13_PSP_Species_Support!CN4*(1-EXP(-S13_PSP_Species_Support!CO4*17))^S13_PSP_Species_Support!CP4))^0.976,0)+IFERROR(S13_PSP_Species_Support!CT4*0.0673*(S13_PSP_Species_Support!CU4*(S13_PSP_Species_Support!CV4*(1-EXP(-S13_PSP_Species_Support!CW4*17))^S13_PSP_Species_Support!CX4)^2*(S13_PSP_Species_Support!CY4*(1-EXP(-S13_PSP_Species_Support!CZ4*17))^S13_PSP_Species_Support!DA4))^0.976,0))/1000/$G17*Z$108,0)</x:f>
        <x:v>44.66369858568528</x:v>
      </x:c>
      <x:c r="AA17" s="147" t="n">
        <x:f aca="0">IFERROR((IFERROR(S13_PSP_Species_Support!U4*0.0673*(S13_PSP_Species_Support!V4*(S13_PSP_Species_Support!W4*(1-EXP(-S13_PSP_Species_Support!X4*18))^S13_PSP_Species_Support!Y4)^2*(S13_PSP_Species_Support!Z4*(1-EXP(-S13_PSP_Species_Support!AA4*18))^S13_PSP_Species_Support!AB4))^0.976,0)+IFERROR(S13_PSP_Species_Support!AF4*0.0673*(S13_PSP_Species_Support!AG4*(S13_PSP_Species_Support!AH4*(1-EXP(-S13_PSP_Species_Support!AI4*18))^S13_PSP_Species_Support!AJ4)^2*(S13_PSP_Species_Support!AK4*(1-EXP(-S13_PSP_Species_Support!AL4*18))^S13_PSP_Species_Support!AM4))^0.976,0)+IFERROR(S13_PSP_Species_Support!AQ4*0.0673*(S13_PSP_Species_Support!AR4*(S13_PSP_Species_Support!AS4*(1-EXP(-S13_PSP_Species_Support!AT4*18))^S13_PSP_Species_Support!AU4)^2*(S13_PSP_Species_Support!AV4*(1-EXP(-S13_PSP_Species_Support!AW4*18))^S13_PSP_Species_Support!AX4))^0.976,0)+IFERROR(S13_PSP_Species_Support!BB4*0.0673*(S13_PSP_Species_Support!BC4*(S13_PSP_Species_Support!BD4*(1-EXP(-S13_PSP_Species_Support!BE4*18))^S13_PSP_Species_Support!BF4)^2*(S13_PSP_Species_Support!BG4*(1-EXP(-S13_PSP_Species_Support!BH4*18))^S13_PSP_Species_Support!BI4))^0.976,0)+IFERROR(S13_PSP_Species_Support!BM4*0.0673*(S13_PSP_Species_Support!BN4*(S13_PSP_Species_Support!BO4*(1-EXP(-S13_PSP_Species_Support!BP4*18))^S13_PSP_Species_Support!BQ4)^2*(S13_PSP_Species_Support!BR4*(1-EXP(-S13_PSP_Species_Support!BS4*18))^S13_PSP_Species_Support!BT4))^0.976,0)+IFERROR(S13_PSP_Species_Support!BX4*0.0673*(S13_PSP_Species_Support!BY4*(S13_PSP_Species_Support!BZ4*(1-EXP(-S13_PSP_Species_Support!CA4*18))^S13_PSP_Species_Support!CB4)^2*(S13_PSP_Species_Support!CC4*(1-EXP(-S13_PSP_Species_Support!CD4*18))^S13_PSP_Species_Support!CE4))^0.976,0)+IFERROR(S13_PSP_Species_Support!CI4*0.0673*(S13_PSP_Species_Support!CJ4*(S13_PSP_Species_Support!CK4*(1-EXP(-S13_PSP_Species_Support!CL4*18))^S13_PSP_Species_Support!CM4)^2*(S13_PSP_Species_Support!CN4*(1-EXP(-S13_PSP_Species_Support!CO4*18))^S13_PSP_Species_Support!CP4))^0.976,0)+IFERROR(S13_PSP_Species_Support!CT4*0.0673*(S13_PSP_Species_Support!CU4*(S13_PSP_Species_Support!CV4*(1-EXP(-S13_PSP_Species_Support!CW4*18))^S13_PSP_Species_Support!CX4)^2*(S13_PSP_Species_Support!CY4*(1-EXP(-S13_PSP_Species_Support!CZ4*18))^S13_PSP_Species_Support!DA4))^0.976,0))/1000/$G17*AA$108,0)</x:f>
        <x:v>46.8568616779242</x:v>
      </x:c>
      <x:c r="AB17" s="147" t="n">
        <x:f aca="0">IFERROR((IFERROR(S13_PSP_Species_Support!U4*0.0673*(S13_PSP_Species_Support!V4*(S13_PSP_Species_Support!W4*(1-EXP(-S13_PSP_Species_Support!X4*19))^S13_PSP_Species_Support!Y4)^2*(S13_PSP_Species_Support!Z4*(1-EXP(-S13_PSP_Species_Support!AA4*19))^S13_PSP_Species_Support!AB4))^0.976,0)+IFERROR(S13_PSP_Species_Support!AF4*0.0673*(S13_PSP_Species_Support!AG4*(S13_PSP_Species_Support!AH4*(1-EXP(-S13_PSP_Species_Support!AI4*19))^S13_PSP_Species_Support!AJ4)^2*(S13_PSP_Species_Support!AK4*(1-EXP(-S13_PSP_Species_Support!AL4*19))^S13_PSP_Species_Support!AM4))^0.976,0)+IFERROR(S13_PSP_Species_Support!AQ4*0.0673*(S13_PSP_Species_Support!AR4*(S13_PSP_Species_Support!AS4*(1-EXP(-S13_PSP_Species_Support!AT4*19))^S13_PSP_Species_Support!AU4)^2*(S13_PSP_Species_Support!AV4*(1-EXP(-S13_PSP_Species_Support!AW4*19))^S13_PSP_Species_Support!AX4))^0.976,0)+IFERROR(S13_PSP_Species_Support!BB4*0.0673*(S13_PSP_Species_Support!BC4*(S13_PSP_Species_Support!BD4*(1-EXP(-S13_PSP_Species_Support!BE4*19))^S13_PSP_Species_Support!BF4)^2*(S13_PSP_Species_Support!BG4*(1-EXP(-S13_PSP_Species_Support!BH4*19))^S13_PSP_Species_Support!BI4))^0.976,0)+IFERROR(S13_PSP_Species_Support!BM4*0.0673*(S13_PSP_Species_Support!BN4*(S13_PSP_Species_Support!BO4*(1-EXP(-S13_PSP_Species_Support!BP4*19))^S13_PSP_Species_Support!BQ4)^2*(S13_PSP_Species_Support!BR4*(1-EXP(-S13_PSP_Species_Support!BS4*19))^S13_PSP_Species_Support!BT4))^0.976,0)+IFERROR(S13_PSP_Species_Support!BX4*0.0673*(S13_PSP_Species_Support!BY4*(S13_PSP_Species_Support!BZ4*(1-EXP(-S13_PSP_Species_Support!CA4*19))^S13_PSP_Species_Support!CB4)^2*(S13_PSP_Species_Support!CC4*(1-EXP(-S13_PSP_Species_Support!CD4*19))^S13_PSP_Species_Support!CE4))^0.976,0)+IFERROR(S13_PSP_Species_Support!CI4*0.0673*(S13_PSP_Species_Support!CJ4*(S13_PSP_Species_Support!CK4*(1-EXP(-S13_PSP_Species_Support!CL4*19))^S13_PSP_Species_Support!CM4)^2*(S13_PSP_Species_Support!CN4*(1-EXP(-S13_PSP_Species_Support!CO4*19))^S13_PSP_Species_Support!CP4))^0.976,0)+IFERROR(S13_PSP_Species_Support!CT4*0.0673*(S13_PSP_Species_Support!CU4*(S13_PSP_Species_Support!CV4*(1-EXP(-S13_PSP_Species_Support!CW4*19))^S13_PSP_Species_Support!CX4)^2*(S13_PSP_Species_Support!CY4*(1-EXP(-S13_PSP_Species_Support!CZ4*19))^S13_PSP_Species_Support!DA4))^0.976,0))/1000/$G17*AB$108,0)</x:f>
        <x:v>48.8206066695703</x:v>
      </x:c>
      <x:c r="AC17" s="147" t="n">
        <x:f aca="0">IFERROR((IFERROR(S13_PSP_Species_Support!U4*0.0673*(S13_PSP_Species_Support!V4*(S13_PSP_Species_Support!W4*(1-EXP(-S13_PSP_Species_Support!X4*20))^S13_PSP_Species_Support!Y4)^2*(S13_PSP_Species_Support!Z4*(1-EXP(-S13_PSP_Species_Support!AA4*20))^S13_PSP_Species_Support!AB4))^0.976,0)+IFERROR(S13_PSP_Species_Support!AF4*0.0673*(S13_PSP_Species_Support!AG4*(S13_PSP_Species_Support!AH4*(1-EXP(-S13_PSP_Species_Support!AI4*20))^S13_PSP_Species_Support!AJ4)^2*(S13_PSP_Species_Support!AK4*(1-EXP(-S13_PSP_Species_Support!AL4*20))^S13_PSP_Species_Support!AM4))^0.976,0)+IFERROR(S13_PSP_Species_Support!AQ4*0.0673*(S13_PSP_Species_Support!AR4*(S13_PSP_Species_Support!AS4*(1-EXP(-S13_PSP_Species_Support!AT4*20))^S13_PSP_Species_Support!AU4)^2*(S13_PSP_Species_Support!AV4*(1-EXP(-S13_PSP_Species_Support!AW4*20))^S13_PSP_Species_Support!AX4))^0.976,0)+IFERROR(S13_PSP_Species_Support!BB4*0.0673*(S13_PSP_Species_Support!BC4*(S13_PSP_Species_Support!BD4*(1-EXP(-S13_PSP_Species_Support!BE4*20))^S13_PSP_Species_Support!BF4)^2*(S13_PSP_Species_Support!BG4*(1-EXP(-S13_PSP_Species_Support!BH4*20))^S13_PSP_Species_Support!BI4))^0.976,0)+IFERROR(S13_PSP_Species_Support!BM4*0.0673*(S13_PSP_Species_Support!BN4*(S13_PSP_Species_Support!BO4*(1-EXP(-S13_PSP_Species_Support!BP4*20))^S13_PSP_Species_Support!BQ4)^2*(S13_PSP_Species_Support!BR4*(1-EXP(-S13_PSP_Species_Support!BS4*20))^S13_PSP_Species_Support!BT4))^0.976,0)+IFERROR(S13_PSP_Species_Support!BX4*0.0673*(S13_PSP_Species_Support!BY4*(S13_PSP_Species_Support!BZ4*(1-EXP(-S13_PSP_Species_Support!CA4*20))^S13_PSP_Species_Support!CB4)^2*(S13_PSP_Species_Support!CC4*(1-EXP(-S13_PSP_Species_Support!CD4*20))^S13_PSP_Species_Support!CE4))^0.976,0)+IFERROR(S13_PSP_Species_Support!CI4*0.0673*(S13_PSP_Species_Support!CJ4*(S13_PSP_Species_Support!CK4*(1-EXP(-S13_PSP_Species_Support!CL4*20))^S13_PSP_Species_Support!CM4)^2*(S13_PSP_Species_Support!CN4*(1-EXP(-S13_PSP_Species_Support!CO4*20))^S13_PSP_Species_Support!CP4))^0.976,0)+IFERROR(S13_PSP_Species_Support!CT4*0.0673*(S13_PSP_Species_Support!CU4*(S13_PSP_Species_Support!CV4*(1-EXP(-S13_PSP_Species_Support!CW4*20))^S13_PSP_Species_Support!CX4)^2*(S13_PSP_Species_Support!CY4*(1-EXP(-S13_PSP_Species_Support!CZ4*20))^S13_PSP_Species_Support!DA4))^0.976,0))/1000/$G17*AC$108,0)</x:f>
        <x:v>50.57161924527775</x:v>
      </x:c>
      <x:c r="AD17" s="148" t="n">
        <x:f aca="0">IF(2020&lt;$F17,0,INDEX($I17:$AC17,1,2020-$F17+1))</x:f>
        <x:v>0</x:v>
      </x:c>
      <x:c r="AE17" s="148" t="n">
        <x:f aca="0">IF(2021&lt;$F17,0,INDEX($I17:$AC17,1,2021-$F17+1))</x:f>
        <x:v>0.024653065043035546</x:v>
      </x:c>
      <x:c r="AF17" s="148" t="n">
        <x:f aca="0">IF(2022&lt;$F17,0,INDEX($I17:$AC17,1,2022-$F17+1))</x:f>
        <x:v>0.2880254452855429</x:v>
      </x:c>
      <x:c r="AG17" s="148" t="n">
        <x:f aca="0">IF(2023&lt;$F17,0,INDEX($I17:$AC17,1,2023-$F17+1))</x:f>
        <x:v>1.0840748378689158</x:v>
      </x:c>
      <x:c r="AH17" s="148" t="n">
        <x:f aca="0">IF(2024&lt;$F17,0,INDEX($I17:$AC17,1,2024-$F17+1))</x:f>
        <x:v>2.5937977927420692</x:v>
      </x:c>
      <x:c r="AI17" s="148" t="n">
        <x:f aca="0">IF(2025&lt;$F17,0,INDEX($I17:$AC17,1,2025-$F17+1))</x:f>
        <x:v>4.8326095747250015</x:v>
      </x:c>
      <x:c r="AJ17" s="148" t="n">
        <x:f aca="0">IF(2026&lt;$F17,0,INDEX($I17:$AC17,1,2026-$F17+1))</x:f>
        <x:v>7.7082787873668845</x:v>
      </x:c>
      <x:c r="AK17" s="148" t="n">
        <x:f aca="0">IF(2027&lt;$F17,0,INDEX($I17:$AC17,1,2027-$F17+1))</x:f>
        <x:v>11.071007981421294</x:v>
      </x:c>
      <x:c r="AL17" s="148" t="n">
        <x:f aca="0">IF(2028&lt;$F17,0,INDEX($I17:$AC17,1,2028-$F17+1))</x:f>
        <x:v>14.754556332335133</x:v>
      </x:c>
      <x:c r="AM17" s="148" t="n">
        <x:f aca="0">IF(2029&lt;$F17,0,INDEX($I17:$AC17,1,2029-$F17+1))</x:f>
        <x:v>18.602242601732215</x:v>
      </x:c>
      <x:c r="AN17" s="148" t="n">
        <x:f aca="0">IF(2030&lt;$F17,0,INDEX($I17:$AC17,1,2030-$F17+1))</x:f>
        <x:v>22.480476967744</x:v>
      </x:c>
      <x:c r="AO17" s="148" t="n">
        <x:f aca="0">IF(2031&lt;$F17,0,INDEX($I17:$AC17,1,2031-$F17+1))</x:f>
        <x:v>26.283691339432277</x:v>
      </x:c>
      <x:c r="AP17" s="148" t="n">
        <x:f aca="0">IF(2032&lt;$F17,0,INDEX($I17:$AC17,1,2032-$F17+1))</x:f>
        <x:v>29.934051840835707</x:v>
      </x:c>
      <x:c r="AQ17" s="148" t="n">
        <x:f aca="0">IF(2033&lt;$F17,0,INDEX($I17:$AC17,1,2033-$F17+1))</x:f>
        <x:v>33.37842399801708</x:v>
      </x:c>
      <x:c r="AR17" s="148" t="n">
        <x:f aca="0">IF(2034&lt;$F17,0,INDEX($I17:$AC17,1,2034-$F17+1))</x:f>
        <x:v>36.58420738989088</x:v>
      </x:c>
      <x:c r="AS17" s="148" t="n">
        <x:f aca="0">IF(2035&lt;$F17,0,INDEX($I17:$AC17,1,2035-$F17+1))</x:f>
        <x:v>39.535002991559544</x:v>
      </x:c>
      <x:c r="AT17" s="148" t="n">
        <x:f aca="0">IF(2036&lt;$F17,0,INDEX($I17:$AC17,1,2036-$F17+1))</x:f>
        <x:v>42.226626944948855</x:v>
      </x:c>
      <x:c r="AU17" s="148" t="n">
        <x:f aca="0">IF(2037&lt;$F17,0,INDEX($I17:$AC17,1,2037-$F17+1))</x:f>
        <x:v>44.66369858568528</x:v>
      </x:c>
      <x:c r="AV17" s="148" t="n">
        <x:f aca="0">IF(2038&lt;$F17,0,INDEX($I17:$AC17,1,2038-$F17+1))</x:f>
        <x:v>46.8568616779242</x:v>
      </x:c>
      <x:c r="AW17" s="148" t="n">
        <x:f aca="0">IF(2039&lt;$F17,0,INDEX($I17:$AC17,1,2039-$F17+1))</x:f>
        <x:v>48.8206066695703</x:v>
      </x:c>
      <x:c r="AX17" s="148" t="n">
        <x:f aca="0">IF(2040&lt;$F17,0,INDEX($I17:$AC17,1,2040-$F17+1))</x:f>
        <x:v>50.57161924527775</x:v>
      </x:c>
      <x:c r="AY17" s="1" t="str">
        <x:f aca="0">LEFT($C17,FIND("@",SUBSTITUTE($C17,"|","@",2))-1)</x:f>
        <x:v>Fruit Orchard|Low</x:v>
      </x:c>
      <x:c r="AZ17" s="1" t="str">
        <x:f aca="0">LEFT($C17,FIND("|",$C17)-1)</x:f>
        <x:v>Fruit Orchard</x:v>
      </x:c>
      <x:c r="BA17" s="149" t="n">
        <x:f aca="0">I17*I17</x:f>
        <x:v>0</x:v>
      </x:c>
      <x:c r="BB17" s="149" t="n">
        <x:f aca="0">J17*J17</x:f>
        <x:v>0.0006077736160161412</x:v>
      </x:c>
      <x:c r="BC17" s="149" t="n">
        <x:f aca="0">K17*K17</x:f>
        <x:v>0.08295865713193527</x:v>
      </x:c>
      <x:c r="BD17" s="149" t="n">
        <x:f aca="0">L17*L17</x:f>
        <x:v>1.175218254100516</x:v>
      </x:c>
      <x:c r="BE17" s="149" t="n">
        <x:f aca="0">M17*M17</x:f>
        <x:v>6.72778698963363</x:v>
      </x:c>
      <x:c r="BF17" s="149" t="n">
        <x:f aca="0">N17*N17</x:f>
        <x:v>23.35411530172376</x:v>
      </x:c>
      <x:c r="BG17" s="149" t="n">
        <x:f aca="0">O17*O17</x:f>
        <x:v>59.41756186377029</x:v>
      </x:c>
      <x:c r="BH17" s="149" t="n">
        <x:f aca="0">P17*P17</x:f>
        <x:v>122.567217724694</x:v>
      </x:c>
      <x:c r="BI17" s="149" t="n">
        <x:f aca="0">Q17*Q17</x:f>
        <x:v>217.69693256405077</x:v>
      </x:c>
      <x:c r="BJ17" s="149" t="n">
        <x:f aca="0">R17*R17</x:f>
        <x:v>346.0434298137009</x:v>
      </x:c>
      <x:c r="BK17" s="149" t="n">
        <x:f aca="0">S17*S17</x:f>
        <x:v>505.37184469726844</x:v>
      </x:c>
      <x:c r="BL17" s="149" t="n">
        <x:f aca="0">T17*T17</x:f>
        <x:v>690.8324304265473</x:v>
      </x:c>
      <x:c r="BM17" s="149" t="n">
        <x:f aca="0">U17*U17</x:f>
        <x:v>896.0474596098396</x:v>
      </x:c>
      <x:c r="BN17" s="149" t="n">
        <x:f aca="0">V17*V17</x:f>
        <x:v>1114.1191885914022</x:v>
      </x:c>
      <x:c r="BO17" s="149" t="n">
        <x:f aca="0">W17*W17</x:f>
        <x:v>1338.4042303465462</x:v>
      </x:c>
      <x:c r="BP17" s="149" t="n">
        <x:f aca="0">X17*X17</x:f>
        <x:v>1563.0164615426222</x:v>
      </x:c>
      <x:c r="BQ17" s="149" t="n">
        <x:f aca="0">Y17*Y17</x:f>
        <x:v>1783.0880231478807</x:v>
      </x:c>
      <x:c r="BR17" s="149" t="n">
        <x:f aca="0">Z17*Z17</x:f>
        <x:v>1994.8459713529455</x:v>
      </x:c>
      <x:c r="BS17" s="149" t="n">
        <x:f aca="0">AA17*AA17</x:f>
        <x:v>2195.5654863041214</x:v>
      </x:c>
      <x:c r="BT17" s="149" t="n">
        <x:f aca="0">AB17*AB17</x:f>
        <x:v>2383.4516355848923</x:v>
      </x:c>
      <x:c r="BU17" s="149" t="n">
        <x:f aca="0">AC17*AC17</x:f>
        <x:v>2557.4886730893472</x:v>
      </x:c>
    </x:row>
    <x:row r="18" ht="15" hidden="0" customHeight="1">
      <x:c r="A18" s="1" t="str">
        <x:f aca="0">S13_PSP_Species_Support!A5</x:f>
        <x:v>PSP-FO-004</x:v>
      </x:c>
      <x:c r="B18" s="1" t="n">
        <x:f aca="0">5</x:f>
        <x:v>5</x:v>
      </x:c>
      <x:c r="C18" s="1" t="str">
        <x:f aca="0">S13_PSP_Species_Support!I5</x:f>
        <x:v>Fruit Orchard|Medium|2020</x:v>
      </x:c>
      <x:c r="D18" s="1" t="str">
        <x:f aca="0">S13_PSP_Species_Support!C5</x:f>
        <x:v>Fruit Orchard (Block)</x:v>
      </x:c>
      <x:c r="E18" s="1" t="str">
        <x:f aca="0">S13_PSP_Species_Support!D5</x:f>
        <x:v>Medium</x:v>
      </x:c>
      <x:c r="F18" s="1" t="n">
        <x:f aca="0">S13_PSP_Species_Support!E5</x:f>
        <x:v>2020</x:v>
      </x:c>
      <x:c r="G18" s="645" t="n">
        <x:f aca="0">'S13_PSP_Species_Support'!DJ5</x:f>
        <x:v>0.09</x:v>
      </x:c>
      <x:c r="H18" s="714" t="n">
        <x:f aca="0">'S13_PSP_Species_Support'!DK5</x:f>
        <x:v>25.771513353115722</x:v>
      </x:c>
      <x:c r="I18" s="147" t="n">
        <x:f aca="0">IFERROR((IFERROR(S13_PSP_Species_Support!U5*0.0673*(S13_PSP_Species_Support!V5*(S13_PSP_Species_Support!W5*(1-EXP(-S13_PSP_Species_Support!X5*0))^S13_PSP_Species_Support!Y5)^2*(S13_PSP_Species_Support!Z5*(1-EXP(-S13_PSP_Species_Support!AA5*0))^S13_PSP_Species_Support!AB5))^0.976,0)+IFERROR(S13_PSP_Species_Support!AF5*0.0673*(S13_PSP_Species_Support!AG5*(S13_PSP_Species_Support!AH5*(1-EXP(-S13_PSP_Species_Support!AI5*0))^S13_PSP_Species_Support!AJ5)^2*(S13_PSP_Species_Support!AK5*(1-EXP(-S13_PSP_Species_Support!AL5*0))^S13_PSP_Species_Support!AM5))^0.976,0)+IFERROR(S13_PSP_Species_Support!AQ5*0.0673*(S13_PSP_Species_Support!AR5*(S13_PSP_Species_Support!AS5*(1-EXP(-S13_PSP_Species_Support!AT5*0))^S13_PSP_Species_Support!AU5)^2*(S13_PSP_Species_Support!AV5*(1-EXP(-S13_PSP_Species_Support!AW5*0))^S13_PSP_Species_Support!AX5))^0.976,0)+IFERROR(S13_PSP_Species_Support!BB5*0.0673*(S13_PSP_Species_Support!BC5*(S13_PSP_Species_Support!BD5*(1-EXP(-S13_PSP_Species_Support!BE5*0))^S13_PSP_Species_Support!BF5)^2*(S13_PSP_Species_Support!BG5*(1-EXP(-S13_PSP_Species_Support!BH5*0))^S13_PSP_Species_Support!BI5))^0.976,0)+IFERROR(S13_PSP_Species_Support!BM5*0.0673*(S13_PSP_Species_Support!BN5*(S13_PSP_Species_Support!BO5*(1-EXP(-S13_PSP_Species_Support!BP5*0))^S13_PSP_Species_Support!BQ5)^2*(S13_PSP_Species_Support!BR5*(1-EXP(-S13_PSP_Species_Support!BS5*0))^S13_PSP_Species_Support!BT5))^0.976,0)+IFERROR(S13_PSP_Species_Support!BX5*0.0673*(S13_PSP_Species_Support!BY5*(S13_PSP_Species_Support!BZ5*(1-EXP(-S13_PSP_Species_Support!CA5*0))^S13_PSP_Species_Support!CB5)^2*(S13_PSP_Species_Support!CC5*(1-EXP(-S13_PSP_Species_Support!CD5*0))^S13_PSP_Species_Support!CE5))^0.976,0)+IFERROR(S13_PSP_Species_Support!CI5*0.0673*(S13_PSP_Species_Support!CJ5*(S13_PSP_Species_Support!CK5*(1-EXP(-S13_PSP_Species_Support!CL5*0))^S13_PSP_Species_Support!CM5)^2*(S13_PSP_Species_Support!CN5*(1-EXP(-S13_PSP_Species_Support!CO5*0))^S13_PSP_Species_Support!CP5))^0.976,0)+IFERROR(S13_PSP_Species_Support!CT5*0.0673*(S13_PSP_Species_Support!CU5*(S13_PSP_Species_Support!CV5*(1-EXP(-S13_PSP_Species_Support!CW5*0))^S13_PSP_Species_Support!CX5)^2*(S13_PSP_Species_Support!CY5*(1-EXP(-S13_PSP_Species_Support!CZ5*0))^S13_PSP_Species_Support!DA5))^0.976,0))/1000/$G18*I$108,0)</x:f>
        <x:v>0</x:v>
      </x:c>
      <x:c r="J18" s="147" t="n">
        <x:f aca="0">IFERROR((IFERROR(S13_PSP_Species_Support!U5*0.0673*(S13_PSP_Species_Support!V5*(S13_PSP_Species_Support!W5*(1-EXP(-S13_PSP_Species_Support!X5*1))^S13_PSP_Species_Support!Y5)^2*(S13_PSP_Species_Support!Z5*(1-EXP(-S13_PSP_Species_Support!AA5*1))^S13_PSP_Species_Support!AB5))^0.976,0)+IFERROR(S13_PSP_Species_Support!AF5*0.0673*(S13_PSP_Species_Support!AG5*(S13_PSP_Species_Support!AH5*(1-EXP(-S13_PSP_Species_Support!AI5*1))^S13_PSP_Species_Support!AJ5)^2*(S13_PSP_Species_Support!AK5*(1-EXP(-S13_PSP_Species_Support!AL5*1))^S13_PSP_Species_Support!AM5))^0.976,0)+IFERROR(S13_PSP_Species_Support!AQ5*0.0673*(S13_PSP_Species_Support!AR5*(S13_PSP_Species_Support!AS5*(1-EXP(-S13_PSP_Species_Support!AT5*1))^S13_PSP_Species_Support!AU5)^2*(S13_PSP_Species_Support!AV5*(1-EXP(-S13_PSP_Species_Support!AW5*1))^S13_PSP_Species_Support!AX5))^0.976,0)+IFERROR(S13_PSP_Species_Support!BB5*0.0673*(S13_PSP_Species_Support!BC5*(S13_PSP_Species_Support!BD5*(1-EXP(-S13_PSP_Species_Support!BE5*1))^S13_PSP_Species_Support!BF5)^2*(S13_PSP_Species_Support!BG5*(1-EXP(-S13_PSP_Species_Support!BH5*1))^S13_PSP_Species_Support!BI5))^0.976,0)+IFERROR(S13_PSP_Species_Support!BM5*0.0673*(S13_PSP_Species_Support!BN5*(S13_PSP_Species_Support!BO5*(1-EXP(-S13_PSP_Species_Support!BP5*1))^S13_PSP_Species_Support!BQ5)^2*(S13_PSP_Species_Support!BR5*(1-EXP(-S13_PSP_Species_Support!BS5*1))^S13_PSP_Species_Support!BT5))^0.976,0)+IFERROR(S13_PSP_Species_Support!BX5*0.0673*(S13_PSP_Species_Support!BY5*(S13_PSP_Species_Support!BZ5*(1-EXP(-S13_PSP_Species_Support!CA5*1))^S13_PSP_Species_Support!CB5)^2*(S13_PSP_Species_Support!CC5*(1-EXP(-S13_PSP_Species_Support!CD5*1))^S13_PSP_Species_Support!CE5))^0.976,0)+IFERROR(S13_PSP_Species_Support!CI5*0.0673*(S13_PSP_Species_Support!CJ5*(S13_PSP_Species_Support!CK5*(1-EXP(-S13_PSP_Species_Support!CL5*1))^S13_PSP_Species_Support!CM5)^2*(S13_PSP_Species_Support!CN5*(1-EXP(-S13_PSP_Species_Support!CO5*1))^S13_PSP_Species_Support!CP5))^0.976,0)+IFERROR(S13_PSP_Species_Support!CT5*0.0673*(S13_PSP_Species_Support!CU5*(S13_PSP_Species_Support!CV5*(1-EXP(-S13_PSP_Species_Support!CW5*1))^S13_PSP_Species_Support!CX5)^2*(S13_PSP_Species_Support!CY5*(1-EXP(-S13_PSP_Species_Support!CZ5*1))^S13_PSP_Species_Support!DA5))^0.976,0))/1000/$G18*J$108,0)</x:f>
        <x:v>0.06171957999899135</x:v>
      </x:c>
      <x:c r="K18" s="147" t="n">
        <x:f aca="0">IFERROR((IFERROR(S13_PSP_Species_Support!U5*0.0673*(S13_PSP_Species_Support!V5*(S13_PSP_Species_Support!W5*(1-EXP(-S13_PSP_Species_Support!X5*2))^S13_PSP_Species_Support!Y5)^2*(S13_PSP_Species_Support!Z5*(1-EXP(-S13_PSP_Species_Support!AA5*2))^S13_PSP_Species_Support!AB5))^0.976,0)+IFERROR(S13_PSP_Species_Support!AF5*0.0673*(S13_PSP_Species_Support!AG5*(S13_PSP_Species_Support!AH5*(1-EXP(-S13_PSP_Species_Support!AI5*2))^S13_PSP_Species_Support!AJ5)^2*(S13_PSP_Species_Support!AK5*(1-EXP(-S13_PSP_Species_Support!AL5*2))^S13_PSP_Species_Support!AM5))^0.976,0)+IFERROR(S13_PSP_Species_Support!AQ5*0.0673*(S13_PSP_Species_Support!AR5*(S13_PSP_Species_Support!AS5*(1-EXP(-S13_PSP_Species_Support!AT5*2))^S13_PSP_Species_Support!AU5)^2*(S13_PSP_Species_Support!AV5*(1-EXP(-S13_PSP_Species_Support!AW5*2))^S13_PSP_Species_Support!AX5))^0.976,0)+IFERROR(S13_PSP_Species_Support!BB5*0.0673*(S13_PSP_Species_Support!BC5*(S13_PSP_Species_Support!BD5*(1-EXP(-S13_PSP_Species_Support!BE5*2))^S13_PSP_Species_Support!BF5)^2*(S13_PSP_Species_Support!BG5*(1-EXP(-S13_PSP_Species_Support!BH5*2))^S13_PSP_Species_Support!BI5))^0.976,0)+IFERROR(S13_PSP_Species_Support!BM5*0.0673*(S13_PSP_Species_Support!BN5*(S13_PSP_Species_Support!BO5*(1-EXP(-S13_PSP_Species_Support!BP5*2))^S13_PSP_Species_Support!BQ5)^2*(S13_PSP_Species_Support!BR5*(1-EXP(-S13_PSP_Species_Support!BS5*2))^S13_PSP_Species_Support!BT5))^0.976,0)+IFERROR(S13_PSP_Species_Support!BX5*0.0673*(S13_PSP_Species_Support!BY5*(S13_PSP_Species_Support!BZ5*(1-EXP(-S13_PSP_Species_Support!CA5*2))^S13_PSP_Species_Support!CB5)^2*(S13_PSP_Species_Support!CC5*(1-EXP(-S13_PSP_Species_Support!CD5*2))^S13_PSP_Species_Support!CE5))^0.976,0)+IFERROR(S13_PSP_Species_Support!CI5*0.0673*(S13_PSP_Species_Support!CJ5*(S13_PSP_Species_Support!CK5*(1-EXP(-S13_PSP_Species_Support!CL5*2))^S13_PSP_Species_Support!CM5)^2*(S13_PSP_Species_Support!CN5*(1-EXP(-S13_PSP_Species_Support!CO5*2))^S13_PSP_Species_Support!CP5))^0.976,0)+IFERROR(S13_PSP_Species_Support!CT5*0.0673*(S13_PSP_Species_Support!CU5*(S13_PSP_Species_Support!CV5*(1-EXP(-S13_PSP_Species_Support!CW5*2))^S13_PSP_Species_Support!CX5)^2*(S13_PSP_Species_Support!CY5*(1-EXP(-S13_PSP_Species_Support!CZ5*2))^S13_PSP_Species_Support!DA5))^0.976,0))/1000/$G18*K$108,0)</x:f>
        <x:v>0.7365275432826124</x:v>
      </x:c>
      <x:c r="L18" s="147" t="n">
        <x:f aca="0">IFERROR((IFERROR(S13_PSP_Species_Support!U5*0.0673*(S13_PSP_Species_Support!V5*(S13_PSP_Species_Support!W5*(1-EXP(-S13_PSP_Species_Support!X5*3))^S13_PSP_Species_Support!Y5)^2*(S13_PSP_Species_Support!Z5*(1-EXP(-S13_PSP_Species_Support!AA5*3))^S13_PSP_Species_Support!AB5))^0.976,0)+IFERROR(S13_PSP_Species_Support!AF5*0.0673*(S13_PSP_Species_Support!AG5*(S13_PSP_Species_Support!AH5*(1-EXP(-S13_PSP_Species_Support!AI5*3))^S13_PSP_Species_Support!AJ5)^2*(S13_PSP_Species_Support!AK5*(1-EXP(-S13_PSP_Species_Support!AL5*3))^S13_PSP_Species_Support!AM5))^0.976,0)+IFERROR(S13_PSP_Species_Support!AQ5*0.0673*(S13_PSP_Species_Support!AR5*(S13_PSP_Species_Support!AS5*(1-EXP(-S13_PSP_Species_Support!AT5*3))^S13_PSP_Species_Support!AU5)^2*(S13_PSP_Species_Support!AV5*(1-EXP(-S13_PSP_Species_Support!AW5*3))^S13_PSP_Species_Support!AX5))^0.976,0)+IFERROR(S13_PSP_Species_Support!BB5*0.0673*(S13_PSP_Species_Support!BC5*(S13_PSP_Species_Support!BD5*(1-EXP(-S13_PSP_Species_Support!BE5*3))^S13_PSP_Species_Support!BF5)^2*(S13_PSP_Species_Support!BG5*(1-EXP(-S13_PSP_Species_Support!BH5*3))^S13_PSP_Species_Support!BI5))^0.976,0)+IFERROR(S13_PSP_Species_Support!BM5*0.0673*(S13_PSP_Species_Support!BN5*(S13_PSP_Species_Support!BO5*(1-EXP(-S13_PSP_Species_Support!BP5*3))^S13_PSP_Species_Support!BQ5)^2*(S13_PSP_Species_Support!BR5*(1-EXP(-S13_PSP_Species_Support!BS5*3))^S13_PSP_Species_Support!BT5))^0.976,0)+IFERROR(S13_PSP_Species_Support!BX5*0.0673*(S13_PSP_Species_Support!BY5*(S13_PSP_Species_Support!BZ5*(1-EXP(-S13_PSP_Species_Support!CA5*3))^S13_PSP_Species_Support!CB5)^2*(S13_PSP_Species_Support!CC5*(1-EXP(-S13_PSP_Species_Support!CD5*3))^S13_PSP_Species_Support!CE5))^0.976,0)+IFERROR(S13_PSP_Species_Support!CI5*0.0673*(S13_PSP_Species_Support!CJ5*(S13_PSP_Species_Support!CK5*(1-EXP(-S13_PSP_Species_Support!CL5*3))^S13_PSP_Species_Support!CM5)^2*(S13_PSP_Species_Support!CN5*(1-EXP(-S13_PSP_Species_Support!CO5*3))^S13_PSP_Species_Support!CP5))^0.976,0)+IFERROR(S13_PSP_Species_Support!CT5*0.0673*(S13_PSP_Species_Support!CU5*(S13_PSP_Species_Support!CV5*(1-EXP(-S13_PSP_Species_Support!CW5*3))^S13_PSP_Species_Support!CX5)^2*(S13_PSP_Species_Support!CY5*(1-EXP(-S13_PSP_Species_Support!CZ5*3))^S13_PSP_Species_Support!DA5))^0.976,0))/1000/$G18*L$108,0)</x:f>
        <x:v>2.8277395884039946</x:v>
      </x:c>
      <x:c r="M18" s="147" t="n">
        <x:f aca="0">IFERROR((IFERROR(S13_PSP_Species_Support!U5*0.0673*(S13_PSP_Species_Support!V5*(S13_PSP_Species_Support!W5*(1-EXP(-S13_PSP_Species_Support!X5*4))^S13_PSP_Species_Support!Y5)^2*(S13_PSP_Species_Support!Z5*(1-EXP(-S13_PSP_Species_Support!AA5*4))^S13_PSP_Species_Support!AB5))^0.976,0)+IFERROR(S13_PSP_Species_Support!AF5*0.0673*(S13_PSP_Species_Support!AG5*(S13_PSP_Species_Support!AH5*(1-EXP(-S13_PSP_Species_Support!AI5*4))^S13_PSP_Species_Support!AJ5)^2*(S13_PSP_Species_Support!AK5*(1-EXP(-S13_PSP_Species_Support!AL5*4))^S13_PSP_Species_Support!AM5))^0.976,0)+IFERROR(S13_PSP_Species_Support!AQ5*0.0673*(S13_PSP_Species_Support!AR5*(S13_PSP_Species_Support!AS5*(1-EXP(-S13_PSP_Species_Support!AT5*4))^S13_PSP_Species_Support!AU5)^2*(S13_PSP_Species_Support!AV5*(1-EXP(-S13_PSP_Species_Support!AW5*4))^S13_PSP_Species_Support!AX5))^0.976,0)+IFERROR(S13_PSP_Species_Support!BB5*0.0673*(S13_PSP_Species_Support!BC5*(S13_PSP_Species_Support!BD5*(1-EXP(-S13_PSP_Species_Support!BE5*4))^S13_PSP_Species_Support!BF5)^2*(S13_PSP_Species_Support!BG5*(1-EXP(-S13_PSP_Species_Support!BH5*4))^S13_PSP_Species_Support!BI5))^0.976,0)+IFERROR(S13_PSP_Species_Support!BM5*0.0673*(S13_PSP_Species_Support!BN5*(S13_PSP_Species_Support!BO5*(1-EXP(-S13_PSP_Species_Support!BP5*4))^S13_PSP_Species_Support!BQ5)^2*(S13_PSP_Species_Support!BR5*(1-EXP(-S13_PSP_Species_Support!BS5*4))^S13_PSP_Species_Support!BT5))^0.976,0)+IFERROR(S13_PSP_Species_Support!BX5*0.0673*(S13_PSP_Species_Support!BY5*(S13_PSP_Species_Support!BZ5*(1-EXP(-S13_PSP_Species_Support!CA5*4))^S13_PSP_Species_Support!CB5)^2*(S13_PSP_Species_Support!CC5*(1-EXP(-S13_PSP_Species_Support!CD5*4))^S13_PSP_Species_Support!CE5))^0.976,0)+IFERROR(S13_PSP_Species_Support!CI5*0.0673*(S13_PSP_Species_Support!CJ5*(S13_PSP_Species_Support!CK5*(1-EXP(-S13_PSP_Species_Support!CL5*4))^S13_PSP_Species_Support!CM5)^2*(S13_PSP_Species_Support!CN5*(1-EXP(-S13_PSP_Species_Support!CO5*4))^S13_PSP_Species_Support!CP5))^0.976,0)+IFERROR(S13_PSP_Species_Support!CT5*0.0673*(S13_PSP_Species_Support!CU5*(S13_PSP_Species_Support!CV5*(1-EXP(-S13_PSP_Species_Support!CW5*4))^S13_PSP_Species_Support!CX5)^2*(S13_PSP_Species_Support!CY5*(1-EXP(-S13_PSP_Species_Support!CZ5*4))^S13_PSP_Species_Support!DA5))^0.976,0))/1000/$G18*M$108,0)</x:f>
        <x:v>6.8924361774292295</x:v>
      </x:c>
      <x:c r="N18" s="147" t="n">
        <x:f aca="0">IFERROR((IFERROR(S13_PSP_Species_Support!U5*0.0673*(S13_PSP_Species_Support!V5*(S13_PSP_Species_Support!W5*(1-EXP(-S13_PSP_Species_Support!X5*5))^S13_PSP_Species_Support!Y5)^2*(S13_PSP_Species_Support!Z5*(1-EXP(-S13_PSP_Species_Support!AA5*5))^S13_PSP_Species_Support!AB5))^0.976,0)+IFERROR(S13_PSP_Species_Support!AF5*0.0673*(S13_PSP_Species_Support!AG5*(S13_PSP_Species_Support!AH5*(1-EXP(-S13_PSP_Species_Support!AI5*5))^S13_PSP_Species_Support!AJ5)^2*(S13_PSP_Species_Support!AK5*(1-EXP(-S13_PSP_Species_Support!AL5*5))^S13_PSP_Species_Support!AM5))^0.976,0)+IFERROR(S13_PSP_Species_Support!AQ5*0.0673*(S13_PSP_Species_Support!AR5*(S13_PSP_Species_Support!AS5*(1-EXP(-S13_PSP_Species_Support!AT5*5))^S13_PSP_Species_Support!AU5)^2*(S13_PSP_Species_Support!AV5*(1-EXP(-S13_PSP_Species_Support!AW5*5))^S13_PSP_Species_Support!AX5))^0.976,0)+IFERROR(S13_PSP_Species_Support!BB5*0.0673*(S13_PSP_Species_Support!BC5*(S13_PSP_Species_Support!BD5*(1-EXP(-S13_PSP_Species_Support!BE5*5))^S13_PSP_Species_Support!BF5)^2*(S13_PSP_Species_Support!BG5*(1-EXP(-S13_PSP_Species_Support!BH5*5))^S13_PSP_Species_Support!BI5))^0.976,0)+IFERROR(S13_PSP_Species_Support!BM5*0.0673*(S13_PSP_Species_Support!BN5*(S13_PSP_Species_Support!BO5*(1-EXP(-S13_PSP_Species_Support!BP5*5))^S13_PSP_Species_Support!BQ5)^2*(S13_PSP_Species_Support!BR5*(1-EXP(-S13_PSP_Species_Support!BS5*5))^S13_PSP_Species_Support!BT5))^0.976,0)+IFERROR(S13_PSP_Species_Support!BX5*0.0673*(S13_PSP_Species_Support!BY5*(S13_PSP_Species_Support!BZ5*(1-EXP(-S13_PSP_Species_Support!CA5*5))^S13_PSP_Species_Support!CB5)^2*(S13_PSP_Species_Support!CC5*(1-EXP(-S13_PSP_Species_Support!CD5*5))^S13_PSP_Species_Support!CE5))^0.976,0)+IFERROR(S13_PSP_Species_Support!CI5*0.0673*(S13_PSP_Species_Support!CJ5*(S13_PSP_Species_Support!CK5*(1-EXP(-S13_PSP_Species_Support!CL5*5))^S13_PSP_Species_Support!CM5)^2*(S13_PSP_Species_Support!CN5*(1-EXP(-S13_PSP_Species_Support!CO5*5))^S13_PSP_Species_Support!CP5))^0.976,0)+IFERROR(S13_PSP_Species_Support!CT5*0.0673*(S13_PSP_Species_Support!CU5*(S13_PSP_Species_Support!CV5*(1-EXP(-S13_PSP_Species_Support!CW5*5))^S13_PSP_Species_Support!CX5)^2*(S13_PSP_Species_Support!CY5*(1-EXP(-S13_PSP_Species_Support!CZ5*5))^S13_PSP_Species_Support!DA5))^0.976,0))/1000/$G18*N$108,0)</x:f>
        <x:v>13.065608925997779</x:v>
      </x:c>
      <x:c r="O18" s="147" t="n">
        <x:f aca="0">IFERROR((IFERROR(S13_PSP_Species_Support!U5*0.0673*(S13_PSP_Species_Support!V5*(S13_PSP_Species_Support!W5*(1-EXP(-S13_PSP_Species_Support!X5*6))^S13_PSP_Species_Support!Y5)^2*(S13_PSP_Species_Support!Z5*(1-EXP(-S13_PSP_Species_Support!AA5*6))^S13_PSP_Species_Support!AB5))^0.976,0)+IFERROR(S13_PSP_Species_Support!AF5*0.0673*(S13_PSP_Species_Support!AG5*(S13_PSP_Species_Support!AH5*(1-EXP(-S13_PSP_Species_Support!AI5*6))^S13_PSP_Species_Support!AJ5)^2*(S13_PSP_Species_Support!AK5*(1-EXP(-S13_PSP_Species_Support!AL5*6))^S13_PSP_Species_Support!AM5))^0.976,0)+IFERROR(S13_PSP_Species_Support!AQ5*0.0673*(S13_PSP_Species_Support!AR5*(S13_PSP_Species_Support!AS5*(1-EXP(-S13_PSP_Species_Support!AT5*6))^S13_PSP_Species_Support!AU5)^2*(S13_PSP_Species_Support!AV5*(1-EXP(-S13_PSP_Species_Support!AW5*6))^S13_PSP_Species_Support!AX5))^0.976,0)+IFERROR(S13_PSP_Species_Support!BB5*0.0673*(S13_PSP_Species_Support!BC5*(S13_PSP_Species_Support!BD5*(1-EXP(-S13_PSP_Species_Support!BE5*6))^S13_PSP_Species_Support!BF5)^2*(S13_PSP_Species_Support!BG5*(1-EXP(-S13_PSP_Species_Support!BH5*6))^S13_PSP_Species_Support!BI5))^0.976,0)+IFERROR(S13_PSP_Species_Support!BM5*0.0673*(S13_PSP_Species_Support!BN5*(S13_PSP_Species_Support!BO5*(1-EXP(-S13_PSP_Species_Support!BP5*6))^S13_PSP_Species_Support!BQ5)^2*(S13_PSP_Species_Support!BR5*(1-EXP(-S13_PSP_Species_Support!BS5*6))^S13_PSP_Species_Support!BT5))^0.976,0)+IFERROR(S13_PSP_Species_Support!BX5*0.0673*(S13_PSP_Species_Support!BY5*(S13_PSP_Species_Support!BZ5*(1-EXP(-S13_PSP_Species_Support!CA5*6))^S13_PSP_Species_Support!CB5)^2*(S13_PSP_Species_Support!CC5*(1-EXP(-S13_PSP_Species_Support!CD5*6))^S13_PSP_Species_Support!CE5))^0.976,0)+IFERROR(S13_PSP_Species_Support!CI5*0.0673*(S13_PSP_Species_Support!CJ5*(S13_PSP_Species_Support!CK5*(1-EXP(-S13_PSP_Species_Support!CL5*6))^S13_PSP_Species_Support!CM5)^2*(S13_PSP_Species_Support!CN5*(1-EXP(-S13_PSP_Species_Support!CO5*6))^S13_PSP_Species_Support!CP5))^0.976,0)+IFERROR(S13_PSP_Species_Support!CT5*0.0673*(S13_PSP_Species_Support!CU5*(S13_PSP_Species_Support!CV5*(1-EXP(-S13_PSP_Species_Support!CW5*6))^S13_PSP_Species_Support!CX5)^2*(S13_PSP_Species_Support!CY5*(1-EXP(-S13_PSP_Species_Support!CZ5*6))^S13_PSP_Species_Support!DA5))^0.976,0))/1000/$G18*O$108,0)</x:f>
        <x:v>21.178407580370965</x:v>
      </x:c>
      <x:c r="P18" s="147" t="n">
        <x:f aca="0">IFERROR((IFERROR(S13_PSP_Species_Support!U5*0.0673*(S13_PSP_Species_Support!V5*(S13_PSP_Species_Support!W5*(1-EXP(-S13_PSP_Species_Support!X5*7))^S13_PSP_Species_Support!Y5)^2*(S13_PSP_Species_Support!Z5*(1-EXP(-S13_PSP_Species_Support!AA5*7))^S13_PSP_Species_Support!AB5))^0.976,0)+IFERROR(S13_PSP_Species_Support!AF5*0.0673*(S13_PSP_Species_Support!AG5*(S13_PSP_Species_Support!AH5*(1-EXP(-S13_PSP_Species_Support!AI5*7))^S13_PSP_Species_Support!AJ5)^2*(S13_PSP_Species_Support!AK5*(1-EXP(-S13_PSP_Species_Support!AL5*7))^S13_PSP_Species_Support!AM5))^0.976,0)+IFERROR(S13_PSP_Species_Support!AQ5*0.0673*(S13_PSP_Species_Support!AR5*(S13_PSP_Species_Support!AS5*(1-EXP(-S13_PSP_Species_Support!AT5*7))^S13_PSP_Species_Support!AU5)^2*(S13_PSP_Species_Support!AV5*(1-EXP(-S13_PSP_Species_Support!AW5*7))^S13_PSP_Species_Support!AX5))^0.976,0)+IFERROR(S13_PSP_Species_Support!BB5*0.0673*(S13_PSP_Species_Support!BC5*(S13_PSP_Species_Support!BD5*(1-EXP(-S13_PSP_Species_Support!BE5*7))^S13_PSP_Species_Support!BF5)^2*(S13_PSP_Species_Support!BG5*(1-EXP(-S13_PSP_Species_Support!BH5*7))^S13_PSP_Species_Support!BI5))^0.976,0)+IFERROR(S13_PSP_Species_Support!BM5*0.0673*(S13_PSP_Species_Support!BN5*(S13_PSP_Species_Support!BO5*(1-EXP(-S13_PSP_Species_Support!BP5*7))^S13_PSP_Species_Support!BQ5)^2*(S13_PSP_Species_Support!BR5*(1-EXP(-S13_PSP_Species_Support!BS5*7))^S13_PSP_Species_Support!BT5))^0.976,0)+IFERROR(S13_PSP_Species_Support!BX5*0.0673*(S13_PSP_Species_Support!BY5*(S13_PSP_Species_Support!BZ5*(1-EXP(-S13_PSP_Species_Support!CA5*7))^S13_PSP_Species_Support!CB5)^2*(S13_PSP_Species_Support!CC5*(1-EXP(-S13_PSP_Species_Support!CD5*7))^S13_PSP_Species_Support!CE5))^0.976,0)+IFERROR(S13_PSP_Species_Support!CI5*0.0673*(S13_PSP_Species_Support!CJ5*(S13_PSP_Species_Support!CK5*(1-EXP(-S13_PSP_Species_Support!CL5*7))^S13_PSP_Species_Support!CM5)^2*(S13_PSP_Species_Support!CN5*(1-EXP(-S13_PSP_Species_Support!CO5*7))^S13_PSP_Species_Support!CP5))^0.976,0)+IFERROR(S13_PSP_Species_Support!CT5*0.0673*(S13_PSP_Species_Support!CU5*(S13_PSP_Species_Support!CV5*(1-EXP(-S13_PSP_Species_Support!CW5*7))^S13_PSP_Species_Support!CX5)^2*(S13_PSP_Species_Support!CY5*(1-EXP(-S13_PSP_Species_Support!CZ5*7))^S13_PSP_Species_Support!DA5))^0.976,0))/1000/$G18*P$108,0)</x:f>
        <x:v>30.87525923655322</x:v>
      </x:c>
      <x:c r="Q18" s="147" t="n">
        <x:f aca="0">IFERROR((IFERROR(S13_PSP_Species_Support!U5*0.0673*(S13_PSP_Species_Support!V5*(S13_PSP_Species_Support!W5*(1-EXP(-S13_PSP_Species_Support!X5*8))^S13_PSP_Species_Support!Y5)^2*(S13_PSP_Species_Support!Z5*(1-EXP(-S13_PSP_Species_Support!AA5*8))^S13_PSP_Species_Support!AB5))^0.976,0)+IFERROR(S13_PSP_Species_Support!AF5*0.0673*(S13_PSP_Species_Support!AG5*(S13_PSP_Species_Support!AH5*(1-EXP(-S13_PSP_Species_Support!AI5*8))^S13_PSP_Species_Support!AJ5)^2*(S13_PSP_Species_Support!AK5*(1-EXP(-S13_PSP_Species_Support!AL5*8))^S13_PSP_Species_Support!AM5))^0.976,0)+IFERROR(S13_PSP_Species_Support!AQ5*0.0673*(S13_PSP_Species_Support!AR5*(S13_PSP_Species_Support!AS5*(1-EXP(-S13_PSP_Species_Support!AT5*8))^S13_PSP_Species_Support!AU5)^2*(S13_PSP_Species_Support!AV5*(1-EXP(-S13_PSP_Species_Support!AW5*8))^S13_PSP_Species_Support!AX5))^0.976,0)+IFERROR(S13_PSP_Species_Support!BB5*0.0673*(S13_PSP_Species_Support!BC5*(S13_PSP_Species_Support!BD5*(1-EXP(-S13_PSP_Species_Support!BE5*8))^S13_PSP_Species_Support!BF5)^2*(S13_PSP_Species_Support!BG5*(1-EXP(-S13_PSP_Species_Support!BH5*8))^S13_PSP_Species_Support!BI5))^0.976,0)+IFERROR(S13_PSP_Species_Support!BM5*0.0673*(S13_PSP_Species_Support!BN5*(S13_PSP_Species_Support!BO5*(1-EXP(-S13_PSP_Species_Support!BP5*8))^S13_PSP_Species_Support!BQ5)^2*(S13_PSP_Species_Support!BR5*(1-EXP(-S13_PSP_Species_Support!BS5*8))^S13_PSP_Species_Support!BT5))^0.976,0)+IFERROR(S13_PSP_Species_Support!BX5*0.0673*(S13_PSP_Species_Support!BY5*(S13_PSP_Species_Support!BZ5*(1-EXP(-S13_PSP_Species_Support!CA5*8))^S13_PSP_Species_Support!CB5)^2*(S13_PSP_Species_Support!CC5*(1-EXP(-S13_PSP_Species_Support!CD5*8))^S13_PSP_Species_Support!CE5))^0.976,0)+IFERROR(S13_PSP_Species_Support!CI5*0.0673*(S13_PSP_Species_Support!CJ5*(S13_PSP_Species_Support!CK5*(1-EXP(-S13_PSP_Species_Support!CL5*8))^S13_PSP_Species_Support!CM5)^2*(S13_PSP_Species_Support!CN5*(1-EXP(-S13_PSP_Species_Support!CO5*8))^S13_PSP_Species_Support!CP5))^0.976,0)+IFERROR(S13_PSP_Species_Support!CT5*0.0673*(S13_PSP_Species_Support!CU5*(S13_PSP_Species_Support!CV5*(1-EXP(-S13_PSP_Species_Support!CW5*8))^S13_PSP_Species_Support!CX5)^2*(S13_PSP_Species_Support!CY5*(1-EXP(-S13_PSP_Species_Support!CZ5*8))^S13_PSP_Species_Support!DA5))^0.976,0))/1000/$G18*Q$108,0)</x:f>
        <x:v>41.721567524644186</x:v>
      </x:c>
      <x:c r="R18" s="147" t="n">
        <x:f aca="0">IFERROR((IFERROR(S13_PSP_Species_Support!U5*0.0673*(S13_PSP_Species_Support!V5*(S13_PSP_Species_Support!W5*(1-EXP(-S13_PSP_Species_Support!X5*9))^S13_PSP_Species_Support!Y5)^2*(S13_PSP_Species_Support!Z5*(1-EXP(-S13_PSP_Species_Support!AA5*9))^S13_PSP_Species_Support!AB5))^0.976,0)+IFERROR(S13_PSP_Species_Support!AF5*0.0673*(S13_PSP_Species_Support!AG5*(S13_PSP_Species_Support!AH5*(1-EXP(-S13_PSP_Species_Support!AI5*9))^S13_PSP_Species_Support!AJ5)^2*(S13_PSP_Species_Support!AK5*(1-EXP(-S13_PSP_Species_Support!AL5*9))^S13_PSP_Species_Support!AM5))^0.976,0)+IFERROR(S13_PSP_Species_Support!AQ5*0.0673*(S13_PSP_Species_Support!AR5*(S13_PSP_Species_Support!AS5*(1-EXP(-S13_PSP_Species_Support!AT5*9))^S13_PSP_Species_Support!AU5)^2*(S13_PSP_Species_Support!AV5*(1-EXP(-S13_PSP_Species_Support!AW5*9))^S13_PSP_Species_Support!AX5))^0.976,0)+IFERROR(S13_PSP_Species_Support!BB5*0.0673*(S13_PSP_Species_Support!BC5*(S13_PSP_Species_Support!BD5*(1-EXP(-S13_PSP_Species_Support!BE5*9))^S13_PSP_Species_Support!BF5)^2*(S13_PSP_Species_Support!BG5*(1-EXP(-S13_PSP_Species_Support!BH5*9))^S13_PSP_Species_Support!BI5))^0.976,0)+IFERROR(S13_PSP_Species_Support!BM5*0.0673*(S13_PSP_Species_Support!BN5*(S13_PSP_Species_Support!BO5*(1-EXP(-S13_PSP_Species_Support!BP5*9))^S13_PSP_Species_Support!BQ5)^2*(S13_PSP_Species_Support!BR5*(1-EXP(-S13_PSP_Species_Support!BS5*9))^S13_PSP_Species_Support!BT5))^0.976,0)+IFERROR(S13_PSP_Species_Support!BX5*0.0673*(S13_PSP_Species_Support!BY5*(S13_PSP_Species_Support!BZ5*(1-EXP(-S13_PSP_Species_Support!CA5*9))^S13_PSP_Species_Support!CB5)^2*(S13_PSP_Species_Support!CC5*(1-EXP(-S13_PSP_Species_Support!CD5*9))^S13_PSP_Species_Support!CE5))^0.976,0)+IFERROR(S13_PSP_Species_Support!CI5*0.0673*(S13_PSP_Species_Support!CJ5*(S13_PSP_Species_Support!CK5*(1-EXP(-S13_PSP_Species_Support!CL5*9))^S13_PSP_Species_Support!CM5)^2*(S13_PSP_Species_Support!CN5*(1-EXP(-S13_PSP_Species_Support!CO5*9))^S13_PSP_Species_Support!CP5))^0.976,0)+IFERROR(S13_PSP_Species_Support!CT5*0.0673*(S13_PSP_Species_Support!CU5*(S13_PSP_Species_Support!CV5*(1-EXP(-S13_PSP_Species_Support!CW5*9))^S13_PSP_Species_Support!CX5)^2*(S13_PSP_Species_Support!CY5*(1-EXP(-S13_PSP_Species_Support!CZ5*9))^S13_PSP_Species_Support!DA5))^0.976,0))/1000/$G18*R$108,0)</x:f>
        <x:v>53.279314206032346</x:v>
      </x:c>
      <x:c r="S18" s="147" t="n">
        <x:f aca="0">IFERROR((IFERROR(S13_PSP_Species_Support!U5*0.0673*(S13_PSP_Species_Support!V5*(S13_PSP_Species_Support!W5*(1-EXP(-S13_PSP_Species_Support!X5*10))^S13_PSP_Species_Support!Y5)^2*(S13_PSP_Species_Support!Z5*(1-EXP(-S13_PSP_Species_Support!AA5*10))^S13_PSP_Species_Support!AB5))^0.976,0)+IFERROR(S13_PSP_Species_Support!AF5*0.0673*(S13_PSP_Species_Support!AG5*(S13_PSP_Species_Support!AH5*(1-EXP(-S13_PSP_Species_Support!AI5*10))^S13_PSP_Species_Support!AJ5)^2*(S13_PSP_Species_Support!AK5*(1-EXP(-S13_PSP_Species_Support!AL5*10))^S13_PSP_Species_Support!AM5))^0.976,0)+IFERROR(S13_PSP_Species_Support!AQ5*0.0673*(S13_PSP_Species_Support!AR5*(S13_PSP_Species_Support!AS5*(1-EXP(-S13_PSP_Species_Support!AT5*10))^S13_PSP_Species_Support!AU5)^2*(S13_PSP_Species_Support!AV5*(1-EXP(-S13_PSP_Species_Support!AW5*10))^S13_PSP_Species_Support!AX5))^0.976,0)+IFERROR(S13_PSP_Species_Support!BB5*0.0673*(S13_PSP_Species_Support!BC5*(S13_PSP_Species_Support!BD5*(1-EXP(-S13_PSP_Species_Support!BE5*10))^S13_PSP_Species_Support!BF5)^2*(S13_PSP_Species_Support!BG5*(1-EXP(-S13_PSP_Species_Support!BH5*10))^S13_PSP_Species_Support!BI5))^0.976,0)+IFERROR(S13_PSP_Species_Support!BM5*0.0673*(S13_PSP_Species_Support!BN5*(S13_PSP_Species_Support!BO5*(1-EXP(-S13_PSP_Species_Support!BP5*10))^S13_PSP_Species_Support!BQ5)^2*(S13_PSP_Species_Support!BR5*(1-EXP(-S13_PSP_Species_Support!BS5*10))^S13_PSP_Species_Support!BT5))^0.976,0)+IFERROR(S13_PSP_Species_Support!BX5*0.0673*(S13_PSP_Species_Support!BY5*(S13_PSP_Species_Support!BZ5*(1-EXP(-S13_PSP_Species_Support!CA5*10))^S13_PSP_Species_Support!CB5)^2*(S13_PSP_Species_Support!CC5*(1-EXP(-S13_PSP_Species_Support!CD5*10))^S13_PSP_Species_Support!CE5))^0.976,0)+IFERROR(S13_PSP_Species_Support!CI5*0.0673*(S13_PSP_Species_Support!CJ5*(S13_PSP_Species_Support!CK5*(1-EXP(-S13_PSP_Species_Support!CL5*10))^S13_PSP_Species_Support!CM5)^2*(S13_PSP_Species_Support!CN5*(1-EXP(-S13_PSP_Species_Support!CO5*10))^S13_PSP_Species_Support!CP5))^0.976,0)+IFERROR(S13_PSP_Species_Support!CT5*0.0673*(S13_PSP_Species_Support!CU5*(S13_PSP_Species_Support!CV5*(1-EXP(-S13_PSP_Species_Support!CW5*10))^S13_PSP_Species_Support!CX5)^2*(S13_PSP_Species_Support!CY5*(1-EXP(-S13_PSP_Species_Support!CZ5*10))^S13_PSP_Species_Support!DA5))^0.976,0))/1000/$G18*S$108,0)</x:f>
        <x:v>65.15237039305856</x:v>
      </x:c>
      <x:c r="T18" s="147" t="n">
        <x:f aca="0">IFERROR((IFERROR(S13_PSP_Species_Support!U5*0.0673*(S13_PSP_Species_Support!V5*(S13_PSP_Species_Support!W5*(1-EXP(-S13_PSP_Species_Support!X5*11))^S13_PSP_Species_Support!Y5)^2*(S13_PSP_Species_Support!Z5*(1-EXP(-S13_PSP_Species_Support!AA5*11))^S13_PSP_Species_Support!AB5))^0.976,0)+IFERROR(S13_PSP_Species_Support!AF5*0.0673*(S13_PSP_Species_Support!AG5*(S13_PSP_Species_Support!AH5*(1-EXP(-S13_PSP_Species_Support!AI5*11))^S13_PSP_Species_Support!AJ5)^2*(S13_PSP_Species_Support!AK5*(1-EXP(-S13_PSP_Species_Support!AL5*11))^S13_PSP_Species_Support!AM5))^0.976,0)+IFERROR(S13_PSP_Species_Support!AQ5*0.0673*(S13_PSP_Species_Support!AR5*(S13_PSP_Species_Support!AS5*(1-EXP(-S13_PSP_Species_Support!AT5*11))^S13_PSP_Species_Support!AU5)^2*(S13_PSP_Species_Support!AV5*(1-EXP(-S13_PSP_Species_Support!AW5*11))^S13_PSP_Species_Support!AX5))^0.976,0)+IFERROR(S13_PSP_Species_Support!BB5*0.0673*(S13_PSP_Species_Support!BC5*(S13_PSP_Species_Support!BD5*(1-EXP(-S13_PSP_Species_Support!BE5*11))^S13_PSP_Species_Support!BF5)^2*(S13_PSP_Species_Support!BG5*(1-EXP(-S13_PSP_Species_Support!BH5*11))^S13_PSP_Species_Support!BI5))^0.976,0)+IFERROR(S13_PSP_Species_Support!BM5*0.0673*(S13_PSP_Species_Support!BN5*(S13_PSP_Species_Support!BO5*(1-EXP(-S13_PSP_Species_Support!BP5*11))^S13_PSP_Species_Support!BQ5)^2*(S13_PSP_Species_Support!BR5*(1-EXP(-S13_PSP_Species_Support!BS5*11))^S13_PSP_Species_Support!BT5))^0.976,0)+IFERROR(S13_PSP_Species_Support!BX5*0.0673*(S13_PSP_Species_Support!BY5*(S13_PSP_Species_Support!BZ5*(1-EXP(-S13_PSP_Species_Support!CA5*11))^S13_PSP_Species_Support!CB5)^2*(S13_PSP_Species_Support!CC5*(1-EXP(-S13_PSP_Species_Support!CD5*11))^S13_PSP_Species_Support!CE5))^0.976,0)+IFERROR(S13_PSP_Species_Support!CI5*0.0673*(S13_PSP_Species_Support!CJ5*(S13_PSP_Species_Support!CK5*(1-EXP(-S13_PSP_Species_Support!CL5*11))^S13_PSP_Species_Support!CM5)^2*(S13_PSP_Species_Support!CN5*(1-EXP(-S13_PSP_Species_Support!CO5*11))^S13_PSP_Species_Support!CP5))^0.976,0)+IFERROR(S13_PSP_Species_Support!CT5*0.0673*(S13_PSP_Species_Support!CU5*(S13_PSP_Species_Support!CV5*(1-EXP(-S13_PSP_Species_Support!CW5*11))^S13_PSP_Species_Support!CX5)^2*(S13_PSP_Species_Support!CY5*(1-EXP(-S13_PSP_Species_Support!CZ5*11))^S13_PSP_Species_Support!DA5))^0.976,0))/1000/$G18*T$108,0)</x:f>
        <x:v>77.00867336414703</x:v>
      </x:c>
      <x:c r="U18" s="147" t="n">
        <x:f aca="0">IFERROR((IFERROR(S13_PSP_Species_Support!U5*0.0673*(S13_PSP_Species_Support!V5*(S13_PSP_Species_Support!W5*(1-EXP(-S13_PSP_Species_Support!X5*12))^S13_PSP_Species_Support!Y5)^2*(S13_PSP_Species_Support!Z5*(1-EXP(-S13_PSP_Species_Support!AA5*12))^S13_PSP_Species_Support!AB5))^0.976,0)+IFERROR(S13_PSP_Species_Support!AF5*0.0673*(S13_PSP_Species_Support!AG5*(S13_PSP_Species_Support!AH5*(1-EXP(-S13_PSP_Species_Support!AI5*12))^S13_PSP_Species_Support!AJ5)^2*(S13_PSP_Species_Support!AK5*(1-EXP(-S13_PSP_Species_Support!AL5*12))^S13_PSP_Species_Support!AM5))^0.976,0)+IFERROR(S13_PSP_Species_Support!AQ5*0.0673*(S13_PSP_Species_Support!AR5*(S13_PSP_Species_Support!AS5*(1-EXP(-S13_PSP_Species_Support!AT5*12))^S13_PSP_Species_Support!AU5)^2*(S13_PSP_Species_Support!AV5*(1-EXP(-S13_PSP_Species_Support!AW5*12))^S13_PSP_Species_Support!AX5))^0.976,0)+IFERROR(S13_PSP_Species_Support!BB5*0.0673*(S13_PSP_Species_Support!BC5*(S13_PSP_Species_Support!BD5*(1-EXP(-S13_PSP_Species_Support!BE5*12))^S13_PSP_Species_Support!BF5)^2*(S13_PSP_Species_Support!BG5*(1-EXP(-S13_PSP_Species_Support!BH5*12))^S13_PSP_Species_Support!BI5))^0.976,0)+IFERROR(S13_PSP_Species_Support!BM5*0.0673*(S13_PSP_Species_Support!BN5*(S13_PSP_Species_Support!BO5*(1-EXP(-S13_PSP_Species_Support!BP5*12))^S13_PSP_Species_Support!BQ5)^2*(S13_PSP_Species_Support!BR5*(1-EXP(-S13_PSP_Species_Support!BS5*12))^S13_PSP_Species_Support!BT5))^0.976,0)+IFERROR(S13_PSP_Species_Support!BX5*0.0673*(S13_PSP_Species_Support!BY5*(S13_PSP_Species_Support!BZ5*(1-EXP(-S13_PSP_Species_Support!CA5*12))^S13_PSP_Species_Support!CB5)^2*(S13_PSP_Species_Support!CC5*(1-EXP(-S13_PSP_Species_Support!CD5*12))^S13_PSP_Species_Support!CE5))^0.976,0)+IFERROR(S13_PSP_Species_Support!CI5*0.0673*(S13_PSP_Species_Support!CJ5*(S13_PSP_Species_Support!CK5*(1-EXP(-S13_PSP_Species_Support!CL5*12))^S13_PSP_Species_Support!CM5)^2*(S13_PSP_Species_Support!CN5*(1-EXP(-S13_PSP_Species_Support!CO5*12))^S13_PSP_Species_Support!CP5))^0.976,0)+IFERROR(S13_PSP_Species_Support!CT5*0.0673*(S13_PSP_Species_Support!CU5*(S13_PSP_Species_Support!CV5*(1-EXP(-S13_PSP_Species_Support!CW5*12))^S13_PSP_Species_Support!CX5)^2*(S13_PSP_Species_Support!CY5*(1-EXP(-S13_PSP_Species_Support!CZ5*12))^S13_PSP_Species_Support!DA5))^0.976,0))/1000/$G18*U$108,0)</x:f>
        <x:v>88.58680845789678</x:v>
      </x:c>
      <x:c r="V18" s="147" t="n">
        <x:f aca="0">IFERROR((IFERROR(S13_PSP_Species_Support!U5*0.0673*(S13_PSP_Species_Support!V5*(S13_PSP_Species_Support!W5*(1-EXP(-S13_PSP_Species_Support!X5*13))^S13_PSP_Species_Support!Y5)^2*(S13_PSP_Species_Support!Z5*(1-EXP(-S13_PSP_Species_Support!AA5*13))^S13_PSP_Species_Support!AB5))^0.976,0)+IFERROR(S13_PSP_Species_Support!AF5*0.0673*(S13_PSP_Species_Support!AG5*(S13_PSP_Species_Support!AH5*(1-EXP(-S13_PSP_Species_Support!AI5*13))^S13_PSP_Species_Support!AJ5)^2*(S13_PSP_Species_Support!AK5*(1-EXP(-S13_PSP_Species_Support!AL5*13))^S13_PSP_Species_Support!AM5))^0.976,0)+IFERROR(S13_PSP_Species_Support!AQ5*0.0673*(S13_PSP_Species_Support!AR5*(S13_PSP_Species_Support!AS5*(1-EXP(-S13_PSP_Species_Support!AT5*13))^S13_PSP_Species_Support!AU5)^2*(S13_PSP_Species_Support!AV5*(1-EXP(-S13_PSP_Species_Support!AW5*13))^S13_PSP_Species_Support!AX5))^0.976,0)+IFERROR(S13_PSP_Species_Support!BB5*0.0673*(S13_PSP_Species_Support!BC5*(S13_PSP_Species_Support!BD5*(1-EXP(-S13_PSP_Species_Support!BE5*13))^S13_PSP_Species_Support!BF5)^2*(S13_PSP_Species_Support!BG5*(1-EXP(-S13_PSP_Species_Support!BH5*13))^S13_PSP_Species_Support!BI5))^0.976,0)+IFERROR(S13_PSP_Species_Support!BM5*0.0673*(S13_PSP_Species_Support!BN5*(S13_PSP_Species_Support!BO5*(1-EXP(-S13_PSP_Species_Support!BP5*13))^S13_PSP_Species_Support!BQ5)^2*(S13_PSP_Species_Support!BR5*(1-EXP(-S13_PSP_Species_Support!BS5*13))^S13_PSP_Species_Support!BT5))^0.976,0)+IFERROR(S13_PSP_Species_Support!BX5*0.0673*(S13_PSP_Species_Support!BY5*(S13_PSP_Species_Support!BZ5*(1-EXP(-S13_PSP_Species_Support!CA5*13))^S13_PSP_Species_Support!CB5)^2*(S13_PSP_Species_Support!CC5*(1-EXP(-S13_PSP_Species_Support!CD5*13))^S13_PSP_Species_Support!CE5))^0.976,0)+IFERROR(S13_PSP_Species_Support!CI5*0.0673*(S13_PSP_Species_Support!CJ5*(S13_PSP_Species_Support!CK5*(1-EXP(-S13_PSP_Species_Support!CL5*13))^S13_PSP_Species_Support!CM5)^2*(S13_PSP_Species_Support!CN5*(1-EXP(-S13_PSP_Species_Support!CO5*13))^S13_PSP_Species_Support!CP5))^0.976,0)+IFERROR(S13_PSP_Species_Support!CT5*0.0673*(S13_PSP_Species_Support!CU5*(S13_PSP_Species_Support!CV5*(1-EXP(-S13_PSP_Species_Support!CW5*13))^S13_PSP_Species_Support!CX5)^2*(S13_PSP_Species_Support!CY5*(1-EXP(-S13_PSP_Species_Support!CZ5*13))^S13_PSP_Species_Support!DA5))^0.976,0))/1000/$G18*V$108,0)</x:f>
        <x:v>99.69316456356731</x:v>
      </x:c>
      <x:c r="W18" s="147" t="n">
        <x:f aca="0">IFERROR((IFERROR(S13_PSP_Species_Support!U5*0.0673*(S13_PSP_Species_Support!V5*(S13_PSP_Species_Support!W5*(1-EXP(-S13_PSP_Species_Support!X5*14))^S13_PSP_Species_Support!Y5)^2*(S13_PSP_Species_Support!Z5*(1-EXP(-S13_PSP_Species_Support!AA5*14))^S13_PSP_Species_Support!AB5))^0.976,0)+IFERROR(S13_PSP_Species_Support!AF5*0.0673*(S13_PSP_Species_Support!AG5*(S13_PSP_Species_Support!AH5*(1-EXP(-S13_PSP_Species_Support!AI5*14))^S13_PSP_Species_Support!AJ5)^2*(S13_PSP_Species_Support!AK5*(1-EXP(-S13_PSP_Species_Support!AL5*14))^S13_PSP_Species_Support!AM5))^0.976,0)+IFERROR(S13_PSP_Species_Support!AQ5*0.0673*(S13_PSP_Species_Support!AR5*(S13_PSP_Species_Support!AS5*(1-EXP(-S13_PSP_Species_Support!AT5*14))^S13_PSP_Species_Support!AU5)^2*(S13_PSP_Species_Support!AV5*(1-EXP(-S13_PSP_Species_Support!AW5*14))^S13_PSP_Species_Support!AX5))^0.976,0)+IFERROR(S13_PSP_Species_Support!BB5*0.0673*(S13_PSP_Species_Support!BC5*(S13_PSP_Species_Support!BD5*(1-EXP(-S13_PSP_Species_Support!BE5*14))^S13_PSP_Species_Support!BF5)^2*(S13_PSP_Species_Support!BG5*(1-EXP(-S13_PSP_Species_Support!BH5*14))^S13_PSP_Species_Support!BI5))^0.976,0)+IFERROR(S13_PSP_Species_Support!BM5*0.0673*(S13_PSP_Species_Support!BN5*(S13_PSP_Species_Support!BO5*(1-EXP(-S13_PSP_Species_Support!BP5*14))^S13_PSP_Species_Support!BQ5)^2*(S13_PSP_Species_Support!BR5*(1-EXP(-S13_PSP_Species_Support!BS5*14))^S13_PSP_Species_Support!BT5))^0.976,0)+IFERROR(S13_PSP_Species_Support!BX5*0.0673*(S13_PSP_Species_Support!BY5*(S13_PSP_Species_Support!BZ5*(1-EXP(-S13_PSP_Species_Support!CA5*14))^S13_PSP_Species_Support!CB5)^2*(S13_PSP_Species_Support!CC5*(1-EXP(-S13_PSP_Species_Support!CD5*14))^S13_PSP_Species_Support!CE5))^0.976,0)+IFERROR(S13_PSP_Species_Support!CI5*0.0673*(S13_PSP_Species_Support!CJ5*(S13_PSP_Species_Support!CK5*(1-EXP(-S13_PSP_Species_Support!CL5*14))^S13_PSP_Species_Support!CM5)^2*(S13_PSP_Species_Support!CN5*(1-EXP(-S13_PSP_Species_Support!CO5*14))^S13_PSP_Species_Support!CP5))^0.976,0)+IFERROR(S13_PSP_Species_Support!CT5*0.0673*(S13_PSP_Species_Support!CU5*(S13_PSP_Species_Support!CV5*(1-EXP(-S13_PSP_Species_Support!CW5*14))^S13_PSP_Species_Support!CX5)^2*(S13_PSP_Species_Support!CY5*(1-EXP(-S13_PSP_Species_Support!CZ5*14))^S13_PSP_Species_Support!DA5))^0.976,0))/1000/$G18*W$108,0)</x:f>
        <x:v>110.19411942880234</x:v>
      </x:c>
      <x:c r="X18" s="147" t="n">
        <x:f aca="0">IFERROR((IFERROR(S13_PSP_Species_Support!U5*0.0673*(S13_PSP_Species_Support!V5*(S13_PSP_Species_Support!W5*(1-EXP(-S13_PSP_Species_Support!X5*15))^S13_PSP_Species_Support!Y5)^2*(S13_PSP_Species_Support!Z5*(1-EXP(-S13_PSP_Species_Support!AA5*15))^S13_PSP_Species_Support!AB5))^0.976,0)+IFERROR(S13_PSP_Species_Support!AF5*0.0673*(S13_PSP_Species_Support!AG5*(S13_PSP_Species_Support!AH5*(1-EXP(-S13_PSP_Species_Support!AI5*15))^S13_PSP_Species_Support!AJ5)^2*(S13_PSP_Species_Support!AK5*(1-EXP(-S13_PSP_Species_Support!AL5*15))^S13_PSP_Species_Support!AM5))^0.976,0)+IFERROR(S13_PSP_Species_Support!AQ5*0.0673*(S13_PSP_Species_Support!AR5*(S13_PSP_Species_Support!AS5*(1-EXP(-S13_PSP_Species_Support!AT5*15))^S13_PSP_Species_Support!AU5)^2*(S13_PSP_Species_Support!AV5*(1-EXP(-S13_PSP_Species_Support!AW5*15))^S13_PSP_Species_Support!AX5))^0.976,0)+IFERROR(S13_PSP_Species_Support!BB5*0.0673*(S13_PSP_Species_Support!BC5*(S13_PSP_Species_Support!BD5*(1-EXP(-S13_PSP_Species_Support!BE5*15))^S13_PSP_Species_Support!BF5)^2*(S13_PSP_Species_Support!BG5*(1-EXP(-S13_PSP_Species_Support!BH5*15))^S13_PSP_Species_Support!BI5))^0.976,0)+IFERROR(S13_PSP_Species_Support!BM5*0.0673*(S13_PSP_Species_Support!BN5*(S13_PSP_Species_Support!BO5*(1-EXP(-S13_PSP_Species_Support!BP5*15))^S13_PSP_Species_Support!BQ5)^2*(S13_PSP_Species_Support!BR5*(1-EXP(-S13_PSP_Species_Support!BS5*15))^S13_PSP_Species_Support!BT5))^0.976,0)+IFERROR(S13_PSP_Species_Support!BX5*0.0673*(S13_PSP_Species_Support!BY5*(S13_PSP_Species_Support!BZ5*(1-EXP(-S13_PSP_Species_Support!CA5*15))^S13_PSP_Species_Support!CB5)^2*(S13_PSP_Species_Support!CC5*(1-EXP(-S13_PSP_Species_Support!CD5*15))^S13_PSP_Species_Support!CE5))^0.976,0)+IFERROR(S13_PSP_Species_Support!CI5*0.0673*(S13_PSP_Species_Support!CJ5*(S13_PSP_Species_Support!CK5*(1-EXP(-S13_PSP_Species_Support!CL5*15))^S13_PSP_Species_Support!CM5)^2*(S13_PSP_Species_Support!CN5*(1-EXP(-S13_PSP_Species_Support!CO5*15))^S13_PSP_Species_Support!CP5))^0.976,0)+IFERROR(S13_PSP_Species_Support!CT5*0.0673*(S13_PSP_Species_Support!CU5*(S13_PSP_Species_Support!CV5*(1-EXP(-S13_PSP_Species_Support!CW5*15))^S13_PSP_Species_Support!CX5)^2*(S13_PSP_Species_Support!CY5*(1-EXP(-S13_PSP_Species_Support!CZ5*15))^S13_PSP_Species_Support!DA5))^0.976,0))/1000/$G18*X$108,0)</x:f>
        <x:v>120.00620385597819</x:v>
      </x:c>
      <x:c r="Y18" s="147" t="n">
        <x:f aca="0">IFERROR((IFERROR(S13_PSP_Species_Support!U5*0.0673*(S13_PSP_Species_Support!V5*(S13_PSP_Species_Support!W5*(1-EXP(-S13_PSP_Species_Support!X5*16))^S13_PSP_Species_Support!Y5)^2*(S13_PSP_Species_Support!Z5*(1-EXP(-S13_PSP_Species_Support!AA5*16))^S13_PSP_Species_Support!AB5))^0.976,0)+IFERROR(S13_PSP_Species_Support!AF5*0.0673*(S13_PSP_Species_Support!AG5*(S13_PSP_Species_Support!AH5*(1-EXP(-S13_PSP_Species_Support!AI5*16))^S13_PSP_Species_Support!AJ5)^2*(S13_PSP_Species_Support!AK5*(1-EXP(-S13_PSP_Species_Support!AL5*16))^S13_PSP_Species_Support!AM5))^0.976,0)+IFERROR(S13_PSP_Species_Support!AQ5*0.0673*(S13_PSP_Species_Support!AR5*(S13_PSP_Species_Support!AS5*(1-EXP(-S13_PSP_Species_Support!AT5*16))^S13_PSP_Species_Support!AU5)^2*(S13_PSP_Species_Support!AV5*(1-EXP(-S13_PSP_Species_Support!AW5*16))^S13_PSP_Species_Support!AX5))^0.976,0)+IFERROR(S13_PSP_Species_Support!BB5*0.0673*(S13_PSP_Species_Support!BC5*(S13_PSP_Species_Support!BD5*(1-EXP(-S13_PSP_Species_Support!BE5*16))^S13_PSP_Species_Support!BF5)^2*(S13_PSP_Species_Support!BG5*(1-EXP(-S13_PSP_Species_Support!BH5*16))^S13_PSP_Species_Support!BI5))^0.976,0)+IFERROR(S13_PSP_Species_Support!BM5*0.0673*(S13_PSP_Species_Support!BN5*(S13_PSP_Species_Support!BO5*(1-EXP(-S13_PSP_Species_Support!BP5*16))^S13_PSP_Species_Support!BQ5)^2*(S13_PSP_Species_Support!BR5*(1-EXP(-S13_PSP_Species_Support!BS5*16))^S13_PSP_Species_Support!BT5))^0.976,0)+IFERROR(S13_PSP_Species_Support!BX5*0.0673*(S13_PSP_Species_Support!BY5*(S13_PSP_Species_Support!BZ5*(1-EXP(-S13_PSP_Species_Support!CA5*16))^S13_PSP_Species_Support!CB5)^2*(S13_PSP_Species_Support!CC5*(1-EXP(-S13_PSP_Species_Support!CD5*16))^S13_PSP_Species_Support!CE5))^0.976,0)+IFERROR(S13_PSP_Species_Support!CI5*0.0673*(S13_PSP_Species_Support!CJ5*(S13_PSP_Species_Support!CK5*(1-EXP(-S13_PSP_Species_Support!CL5*16))^S13_PSP_Species_Support!CM5)^2*(S13_PSP_Species_Support!CN5*(1-EXP(-S13_PSP_Species_Support!CO5*16))^S13_PSP_Species_Support!CP5))^0.976,0)+IFERROR(S13_PSP_Species_Support!CT5*0.0673*(S13_PSP_Species_Support!CU5*(S13_PSP_Species_Support!CV5*(1-EXP(-S13_PSP_Species_Support!CW5*16))^S13_PSP_Species_Support!CX5)^2*(S13_PSP_Species_Support!CY5*(1-EXP(-S13_PSP_Species_Support!CZ5*16))^S13_PSP_Species_Support!DA5))^0.976,0))/1000/$G18*Y$108,0)</x:f>
        <x:v>129.08604325859065</x:v>
      </x:c>
      <x:c r="Z18" s="147" t="n">
        <x:f aca="0">IFERROR((IFERROR(S13_PSP_Species_Support!U5*0.0673*(S13_PSP_Species_Support!V5*(S13_PSP_Species_Support!W5*(1-EXP(-S13_PSP_Species_Support!X5*17))^S13_PSP_Species_Support!Y5)^2*(S13_PSP_Species_Support!Z5*(1-EXP(-S13_PSP_Species_Support!AA5*17))^S13_PSP_Species_Support!AB5))^0.976,0)+IFERROR(S13_PSP_Species_Support!AF5*0.0673*(S13_PSP_Species_Support!AG5*(S13_PSP_Species_Support!AH5*(1-EXP(-S13_PSP_Species_Support!AI5*17))^S13_PSP_Species_Support!AJ5)^2*(S13_PSP_Species_Support!AK5*(1-EXP(-S13_PSP_Species_Support!AL5*17))^S13_PSP_Species_Support!AM5))^0.976,0)+IFERROR(S13_PSP_Species_Support!AQ5*0.0673*(S13_PSP_Species_Support!AR5*(S13_PSP_Species_Support!AS5*(1-EXP(-S13_PSP_Species_Support!AT5*17))^S13_PSP_Species_Support!AU5)^2*(S13_PSP_Species_Support!AV5*(1-EXP(-S13_PSP_Species_Support!AW5*17))^S13_PSP_Species_Support!AX5))^0.976,0)+IFERROR(S13_PSP_Species_Support!BB5*0.0673*(S13_PSP_Species_Support!BC5*(S13_PSP_Species_Support!BD5*(1-EXP(-S13_PSP_Species_Support!BE5*17))^S13_PSP_Species_Support!BF5)^2*(S13_PSP_Species_Support!BG5*(1-EXP(-S13_PSP_Species_Support!BH5*17))^S13_PSP_Species_Support!BI5))^0.976,0)+IFERROR(S13_PSP_Species_Support!BM5*0.0673*(S13_PSP_Species_Support!BN5*(S13_PSP_Species_Support!BO5*(1-EXP(-S13_PSP_Species_Support!BP5*17))^S13_PSP_Species_Support!BQ5)^2*(S13_PSP_Species_Support!BR5*(1-EXP(-S13_PSP_Species_Support!BS5*17))^S13_PSP_Species_Support!BT5))^0.976,0)+IFERROR(S13_PSP_Species_Support!BX5*0.0673*(S13_PSP_Species_Support!BY5*(S13_PSP_Species_Support!BZ5*(1-EXP(-S13_PSP_Species_Support!CA5*17))^S13_PSP_Species_Support!CB5)^2*(S13_PSP_Species_Support!CC5*(1-EXP(-S13_PSP_Species_Support!CD5*17))^S13_PSP_Species_Support!CE5))^0.976,0)+IFERROR(S13_PSP_Species_Support!CI5*0.0673*(S13_PSP_Species_Support!CJ5*(S13_PSP_Species_Support!CK5*(1-EXP(-S13_PSP_Species_Support!CL5*17))^S13_PSP_Species_Support!CM5)^2*(S13_PSP_Species_Support!CN5*(1-EXP(-S13_PSP_Species_Support!CO5*17))^S13_PSP_Species_Support!CP5))^0.976,0)+IFERROR(S13_PSP_Species_Support!CT5*0.0673*(S13_PSP_Species_Support!CU5*(S13_PSP_Species_Support!CV5*(1-EXP(-S13_PSP_Species_Support!CW5*17))^S13_PSP_Species_Support!CX5)^2*(S13_PSP_Species_Support!CY5*(1-EXP(-S13_PSP_Species_Support!CZ5*17))^S13_PSP_Species_Support!DA5))^0.976,0))/1000/$G18*Z$108,0)</x:f>
        <x:v>137.42106897055436</x:v>
      </x:c>
      <x:c r="AA18" s="147" t="n">
        <x:f aca="0">IFERROR((IFERROR(S13_PSP_Species_Support!U5*0.0673*(S13_PSP_Species_Support!V5*(S13_PSP_Species_Support!W5*(1-EXP(-S13_PSP_Species_Support!X5*18))^S13_PSP_Species_Support!Y5)^2*(S13_PSP_Species_Support!Z5*(1-EXP(-S13_PSP_Species_Support!AA5*18))^S13_PSP_Species_Support!AB5))^0.976,0)+IFERROR(S13_PSP_Species_Support!AF5*0.0673*(S13_PSP_Species_Support!AG5*(S13_PSP_Species_Support!AH5*(1-EXP(-S13_PSP_Species_Support!AI5*18))^S13_PSP_Species_Support!AJ5)^2*(S13_PSP_Species_Support!AK5*(1-EXP(-S13_PSP_Species_Support!AL5*18))^S13_PSP_Species_Support!AM5))^0.976,0)+IFERROR(S13_PSP_Species_Support!AQ5*0.0673*(S13_PSP_Species_Support!AR5*(S13_PSP_Species_Support!AS5*(1-EXP(-S13_PSP_Species_Support!AT5*18))^S13_PSP_Species_Support!AU5)^2*(S13_PSP_Species_Support!AV5*(1-EXP(-S13_PSP_Species_Support!AW5*18))^S13_PSP_Species_Support!AX5))^0.976,0)+IFERROR(S13_PSP_Species_Support!BB5*0.0673*(S13_PSP_Species_Support!BC5*(S13_PSP_Species_Support!BD5*(1-EXP(-S13_PSP_Species_Support!BE5*18))^S13_PSP_Species_Support!BF5)^2*(S13_PSP_Species_Support!BG5*(1-EXP(-S13_PSP_Species_Support!BH5*18))^S13_PSP_Species_Support!BI5))^0.976,0)+IFERROR(S13_PSP_Species_Support!BM5*0.0673*(S13_PSP_Species_Support!BN5*(S13_PSP_Species_Support!BO5*(1-EXP(-S13_PSP_Species_Support!BP5*18))^S13_PSP_Species_Support!BQ5)^2*(S13_PSP_Species_Support!BR5*(1-EXP(-S13_PSP_Species_Support!BS5*18))^S13_PSP_Species_Support!BT5))^0.976,0)+IFERROR(S13_PSP_Species_Support!BX5*0.0673*(S13_PSP_Species_Support!BY5*(S13_PSP_Species_Support!BZ5*(1-EXP(-S13_PSP_Species_Support!CA5*18))^S13_PSP_Species_Support!CB5)^2*(S13_PSP_Species_Support!CC5*(1-EXP(-S13_PSP_Species_Support!CD5*18))^S13_PSP_Species_Support!CE5))^0.976,0)+IFERROR(S13_PSP_Species_Support!CI5*0.0673*(S13_PSP_Species_Support!CJ5*(S13_PSP_Species_Support!CK5*(1-EXP(-S13_PSP_Species_Support!CL5*18))^S13_PSP_Species_Support!CM5)^2*(S13_PSP_Species_Support!CN5*(1-EXP(-S13_PSP_Species_Support!CO5*18))^S13_PSP_Species_Support!CP5))^0.976,0)+IFERROR(S13_PSP_Species_Support!CT5*0.0673*(S13_PSP_Species_Support!CU5*(S13_PSP_Species_Support!CV5*(1-EXP(-S13_PSP_Species_Support!CW5*18))^S13_PSP_Species_Support!CX5)^2*(S13_PSP_Species_Support!CY5*(1-EXP(-S13_PSP_Species_Support!CZ5*18))^S13_PSP_Species_Support!DA5))^0.976,0))/1000/$G18*AA$108,0)</x:f>
        <x:v>145.02146339200226</x:v>
      </x:c>
      <x:c r="AB18" s="147" t="n">
        <x:f aca="0">IFERROR((IFERROR(S13_PSP_Species_Support!U5*0.0673*(S13_PSP_Species_Support!V5*(S13_PSP_Species_Support!W5*(1-EXP(-S13_PSP_Species_Support!X5*19))^S13_PSP_Species_Support!Y5)^2*(S13_PSP_Species_Support!Z5*(1-EXP(-S13_PSP_Species_Support!AA5*19))^S13_PSP_Species_Support!AB5))^0.976,0)+IFERROR(S13_PSP_Species_Support!AF5*0.0673*(S13_PSP_Species_Support!AG5*(S13_PSP_Species_Support!AH5*(1-EXP(-S13_PSP_Species_Support!AI5*19))^S13_PSP_Species_Support!AJ5)^2*(S13_PSP_Species_Support!AK5*(1-EXP(-S13_PSP_Species_Support!AL5*19))^S13_PSP_Species_Support!AM5))^0.976,0)+IFERROR(S13_PSP_Species_Support!AQ5*0.0673*(S13_PSP_Species_Support!AR5*(S13_PSP_Species_Support!AS5*(1-EXP(-S13_PSP_Species_Support!AT5*19))^S13_PSP_Species_Support!AU5)^2*(S13_PSP_Species_Support!AV5*(1-EXP(-S13_PSP_Species_Support!AW5*19))^S13_PSP_Species_Support!AX5))^0.976,0)+IFERROR(S13_PSP_Species_Support!BB5*0.0673*(S13_PSP_Species_Support!BC5*(S13_PSP_Species_Support!BD5*(1-EXP(-S13_PSP_Species_Support!BE5*19))^S13_PSP_Species_Support!BF5)^2*(S13_PSP_Species_Support!BG5*(1-EXP(-S13_PSP_Species_Support!BH5*19))^S13_PSP_Species_Support!BI5))^0.976,0)+IFERROR(S13_PSP_Species_Support!BM5*0.0673*(S13_PSP_Species_Support!BN5*(S13_PSP_Species_Support!BO5*(1-EXP(-S13_PSP_Species_Support!BP5*19))^S13_PSP_Species_Support!BQ5)^2*(S13_PSP_Species_Support!BR5*(1-EXP(-S13_PSP_Species_Support!BS5*19))^S13_PSP_Species_Support!BT5))^0.976,0)+IFERROR(S13_PSP_Species_Support!BX5*0.0673*(S13_PSP_Species_Support!BY5*(S13_PSP_Species_Support!BZ5*(1-EXP(-S13_PSP_Species_Support!CA5*19))^S13_PSP_Species_Support!CB5)^2*(S13_PSP_Species_Support!CC5*(1-EXP(-S13_PSP_Species_Support!CD5*19))^S13_PSP_Species_Support!CE5))^0.976,0)+IFERROR(S13_PSP_Species_Support!CI5*0.0673*(S13_PSP_Species_Support!CJ5*(S13_PSP_Species_Support!CK5*(1-EXP(-S13_PSP_Species_Support!CL5*19))^S13_PSP_Species_Support!CM5)^2*(S13_PSP_Species_Support!CN5*(1-EXP(-S13_PSP_Species_Support!CO5*19))^S13_PSP_Species_Support!CP5))^0.976,0)+IFERROR(S13_PSP_Species_Support!CT5*0.0673*(S13_PSP_Species_Support!CU5*(S13_PSP_Species_Support!CV5*(1-EXP(-S13_PSP_Species_Support!CW5*19))^S13_PSP_Species_Support!CX5)^2*(S13_PSP_Species_Support!CY5*(1-EXP(-S13_PSP_Species_Support!CZ5*19))^S13_PSP_Species_Support!DA5))^0.976,0))/1000/$G18*AB$108,0)</x:f>
        <x:v>151.91347838091187</x:v>
      </x:c>
      <x:c r="AC18" s="147" t="n">
        <x:f aca="0">IFERROR((IFERROR(S13_PSP_Species_Support!U5*0.0673*(S13_PSP_Species_Support!V5*(S13_PSP_Species_Support!W5*(1-EXP(-S13_PSP_Species_Support!X5*20))^S13_PSP_Species_Support!Y5)^2*(S13_PSP_Species_Support!Z5*(1-EXP(-S13_PSP_Species_Support!AA5*20))^S13_PSP_Species_Support!AB5))^0.976,0)+IFERROR(S13_PSP_Species_Support!AF5*0.0673*(S13_PSP_Species_Support!AG5*(S13_PSP_Species_Support!AH5*(1-EXP(-S13_PSP_Species_Support!AI5*20))^S13_PSP_Species_Support!AJ5)^2*(S13_PSP_Species_Support!AK5*(1-EXP(-S13_PSP_Species_Support!AL5*20))^S13_PSP_Species_Support!AM5))^0.976,0)+IFERROR(S13_PSP_Species_Support!AQ5*0.0673*(S13_PSP_Species_Support!AR5*(S13_PSP_Species_Support!AS5*(1-EXP(-S13_PSP_Species_Support!AT5*20))^S13_PSP_Species_Support!AU5)^2*(S13_PSP_Species_Support!AV5*(1-EXP(-S13_PSP_Species_Support!AW5*20))^S13_PSP_Species_Support!AX5))^0.976,0)+IFERROR(S13_PSP_Species_Support!BB5*0.0673*(S13_PSP_Species_Support!BC5*(S13_PSP_Species_Support!BD5*(1-EXP(-S13_PSP_Species_Support!BE5*20))^S13_PSP_Species_Support!BF5)^2*(S13_PSP_Species_Support!BG5*(1-EXP(-S13_PSP_Species_Support!BH5*20))^S13_PSP_Species_Support!BI5))^0.976,0)+IFERROR(S13_PSP_Species_Support!BM5*0.0673*(S13_PSP_Species_Support!BN5*(S13_PSP_Species_Support!BO5*(1-EXP(-S13_PSP_Species_Support!BP5*20))^S13_PSP_Species_Support!BQ5)^2*(S13_PSP_Species_Support!BR5*(1-EXP(-S13_PSP_Species_Support!BS5*20))^S13_PSP_Species_Support!BT5))^0.976,0)+IFERROR(S13_PSP_Species_Support!BX5*0.0673*(S13_PSP_Species_Support!BY5*(S13_PSP_Species_Support!BZ5*(1-EXP(-S13_PSP_Species_Support!CA5*20))^S13_PSP_Species_Support!CB5)^2*(S13_PSP_Species_Support!CC5*(1-EXP(-S13_PSP_Species_Support!CD5*20))^S13_PSP_Species_Support!CE5))^0.976,0)+IFERROR(S13_PSP_Species_Support!CI5*0.0673*(S13_PSP_Species_Support!CJ5*(S13_PSP_Species_Support!CK5*(1-EXP(-S13_PSP_Species_Support!CL5*20))^S13_PSP_Species_Support!CM5)^2*(S13_PSP_Species_Support!CN5*(1-EXP(-S13_PSP_Species_Support!CO5*20))^S13_PSP_Species_Support!CP5))^0.976,0)+IFERROR(S13_PSP_Species_Support!CT5*0.0673*(S13_PSP_Species_Support!CU5*(S13_PSP_Species_Support!CV5*(1-EXP(-S13_PSP_Species_Support!CW5*20))^S13_PSP_Species_Support!CX5)^2*(S13_PSP_Species_Support!CY5*(1-EXP(-S13_PSP_Species_Support!CZ5*20))^S13_PSP_Species_Support!DA5))^0.976,0))/1000/$G18*AC$108,0)</x:f>
        <x:v>158.1340815875133</x:v>
      </x:c>
      <x:c r="AD18" s="148" t="n">
        <x:f aca="0">IF(2020&lt;$F18,0,INDEX($I18:$AC18,1,2020-$F18+1))</x:f>
        <x:v>0</x:v>
      </x:c>
      <x:c r="AE18" s="148" t="n">
        <x:f aca="0">IF(2021&lt;$F18,0,INDEX($I18:$AC18,1,2021-$F18+1))</x:f>
        <x:v>0.06171957999899135</x:v>
      </x:c>
      <x:c r="AF18" s="148" t="n">
        <x:f aca="0">IF(2022&lt;$F18,0,INDEX($I18:$AC18,1,2022-$F18+1))</x:f>
        <x:v>0.7365275432826124</x:v>
      </x:c>
      <x:c r="AG18" s="148" t="n">
        <x:f aca="0">IF(2023&lt;$F18,0,INDEX($I18:$AC18,1,2023-$F18+1))</x:f>
        <x:v>2.8277395884039946</x:v>
      </x:c>
      <x:c r="AH18" s="148" t="n">
        <x:f aca="0">IF(2024&lt;$F18,0,INDEX($I18:$AC18,1,2024-$F18+1))</x:f>
        <x:v>6.8924361774292295</x:v>
      </x:c>
      <x:c r="AI18" s="148" t="n">
        <x:f aca="0">IF(2025&lt;$F18,0,INDEX($I18:$AC18,1,2025-$F18+1))</x:f>
        <x:v>13.065608925997779</x:v>
      </x:c>
      <x:c r="AJ18" s="148" t="n">
        <x:f aca="0">IF(2026&lt;$F18,0,INDEX($I18:$AC18,1,2026-$F18+1))</x:f>
        <x:v>21.178407580370965</x:v>
      </x:c>
      <x:c r="AK18" s="148" t="n">
        <x:f aca="0">IF(2027&lt;$F18,0,INDEX($I18:$AC18,1,2027-$F18+1))</x:f>
        <x:v>30.87525923655322</x:v>
      </x:c>
      <x:c r="AL18" s="148" t="n">
        <x:f aca="0">IF(2028&lt;$F18,0,INDEX($I18:$AC18,1,2028-$F18+1))</x:f>
        <x:v>41.721567524644186</x:v>
      </x:c>
      <x:c r="AM18" s="148" t="n">
        <x:f aca="0">IF(2029&lt;$F18,0,INDEX($I18:$AC18,1,2029-$F18+1))</x:f>
        <x:v>53.279314206032346</x:v>
      </x:c>
      <x:c r="AN18" s="148" t="n">
        <x:f aca="0">IF(2030&lt;$F18,0,INDEX($I18:$AC18,1,2030-$F18+1))</x:f>
        <x:v>65.15237039305856</x:v>
      </x:c>
      <x:c r="AO18" s="148" t="n">
        <x:f aca="0">IF(2031&lt;$F18,0,INDEX($I18:$AC18,1,2031-$F18+1))</x:f>
        <x:v>77.00867336414703</x:v>
      </x:c>
      <x:c r="AP18" s="148" t="n">
        <x:f aca="0">IF(2032&lt;$F18,0,INDEX($I18:$AC18,1,2032-$F18+1))</x:f>
        <x:v>88.58680845789678</x:v>
      </x:c>
      <x:c r="AQ18" s="148" t="n">
        <x:f aca="0">IF(2033&lt;$F18,0,INDEX($I18:$AC18,1,2033-$F18+1))</x:f>
        <x:v>99.69316456356731</x:v>
      </x:c>
      <x:c r="AR18" s="148" t="n">
        <x:f aca="0">IF(2034&lt;$F18,0,INDEX($I18:$AC18,1,2034-$F18+1))</x:f>
        <x:v>110.19411942880234</x:v>
      </x:c>
      <x:c r="AS18" s="148" t="n">
        <x:f aca="0">IF(2035&lt;$F18,0,INDEX($I18:$AC18,1,2035-$F18+1))</x:f>
        <x:v>120.00620385597819</x:v>
      </x:c>
      <x:c r="AT18" s="148" t="n">
        <x:f aca="0">IF(2036&lt;$F18,0,INDEX($I18:$AC18,1,2036-$F18+1))</x:f>
        <x:v>129.08604325859065</x:v>
      </x:c>
      <x:c r="AU18" s="148" t="n">
        <x:f aca="0">IF(2037&lt;$F18,0,INDEX($I18:$AC18,1,2037-$F18+1))</x:f>
        <x:v>137.42106897055436</x:v>
      </x:c>
      <x:c r="AV18" s="148" t="n">
        <x:f aca="0">IF(2038&lt;$F18,0,INDEX($I18:$AC18,1,2038-$F18+1))</x:f>
        <x:v>145.02146339200226</x:v>
      </x:c>
      <x:c r="AW18" s="148" t="n">
        <x:f aca="0">IF(2039&lt;$F18,0,INDEX($I18:$AC18,1,2039-$F18+1))</x:f>
        <x:v>151.91347838091187</x:v>
      </x:c>
      <x:c r="AX18" s="148" t="n">
        <x:f aca="0">IF(2040&lt;$F18,0,INDEX($I18:$AC18,1,2040-$F18+1))</x:f>
        <x:v>158.1340815875133</x:v>
      </x:c>
      <x:c r="AY18" s="1" t="str">
        <x:f aca="0">LEFT($C18,FIND("@",SUBSTITUTE($C18,"|","@",2))-1)</x:f>
        <x:v>Fruit Orchard|Medium</x:v>
      </x:c>
      <x:c r="AZ18" s="1" t="str">
        <x:f aca="0">LEFT($C18,FIND("|",$C18)-1)</x:f>
        <x:v>Fruit Orchard</x:v>
      </x:c>
      <x:c r="BA18" s="149" t="n">
        <x:f aca="0">I18*I18</x:f>
        <x:v>0</x:v>
      </x:c>
      <x:c r="BB18" s="149" t="n">
        <x:f aca="0">J18*J18</x:f>
        <x:v>0.0038093065552518932</x:v>
      </x:c>
      <x:c r="BC18" s="149" t="n">
        <x:f aca="0">K18*K18</x:f>
        <x:v>0.5424728220139204</x:v>
      </x:c>
      <x:c r="BD18" s="149" t="n">
        <x:f aca="0">L18*L18</x:f>
        <x:v>7.996111179827193</x:v>
      </x:c>
      <x:c r="BE18" s="149" t="n">
        <x:f aca="0">M18*M18</x:f>
        <x:v>47.50567645993525</x:v>
      </x:c>
      <x:c r="BF18" s="149" t="n">
        <x:f aca="0">N18*N18</x:f>
        <x:v>170.71013660711284</x:v>
      </x:c>
      <x:c r="BG18" s="149" t="n">
        <x:f aca="0">O18*O18</x:f>
        <x:v>448.5249476403144</x:v>
      </x:c>
      <x:c r="BH18" s="149" t="n">
        <x:f aca="0">P18*P18</x:f>
        <x:v>953.2816329243649</x:v>
      </x:c>
      <x:c r="BI18" s="149" t="n">
        <x:f aca="0">Q18*Q18</x:f>
        <x:v>1740.6891967134445</x:v>
      </x:c>
      <x:c r="BJ18" s="149" t="n">
        <x:f aca="0">R18*R18</x:f>
        <x:v>2838.6853222651202</x:v>
      </x:c>
      <x:c r="BK18" s="149" t="n">
        <x:f aca="0">S18*S18</x:f>
        <x:v>4244.831367834294</x:v>
      </x:c>
      <x:c r="BL18" s="149" t="n">
        <x:f aca="0">T18*T18</x:f>
        <x:v>5930.335773305888</x:v>
      </x:c>
      <x:c r="BM18" s="149" t="n">
        <x:f aca="0">U18*U18</x:f>
        <x:v>7847.622632756093</x:v>
      </x:c>
      <x:c r="BN18" s="149" t="n">
        <x:f aca="0">V18*V18</x:f>
        <x:v>9938.727060698513</x:v>
      </x:c>
      <x:c r="BO18" s="149" t="n">
        <x:f aca="0">W18*W18</x:f>
        <x:v>12142.743956689153</x:v>
      </x:c>
      <x:c r="BP18" s="149" t="n">
        <x:f aca="0">X18*X18</x:f>
        <x:v>14401.488963922593</x:v>
      </x:c>
      <x:c r="BQ18" s="149" t="n">
        <x:f aca="0">Y18*Y18</x:f>
        <x:v>16663.206564158736</x:v>
      </x:c>
      <x:c r="BR18" s="149" t="n">
        <x:f aca="0">Z18*Z18</x:f>
        <x:v>18884.55019700986</x:v>
      </x:c>
      <x:c r="BS18" s="149" t="n">
        <x:f aca="0">AA18*AA18</x:f>
        <x:v>21031.22484435785</x:v>
      </x:c>
      <x:c r="BT18" s="149" t="n">
        <x:f aca="0">AB18*AB18</x:f>
        <x:v>23077.704913787777</x:v>
      </x:c>
      <x:c r="BU18" s="149" t="n">
        <x:f aca="0">AC18*AC18</x:f>
        <x:v>25006.38775952631</x:v>
      </x:c>
    </x:row>
    <x:row r="19" ht="15" hidden="0" customHeight="1">
      <x:c r="A19" s="1" t="str">
        <x:f aca="0">S13_PSP_Species_Support!A6</x:f>
        <x:v>PSP-FO-005</x:v>
      </x:c>
      <x:c r="B19" s="1" t="n">
        <x:f aca="0">6</x:f>
        <x:v>6</x:v>
      </x:c>
      <x:c r="C19" s="1" t="str">
        <x:f aca="0">S13_PSP_Species_Support!I6</x:f>
        <x:v>Fruit Orchard|Medium|2020</x:v>
      </x:c>
      <x:c r="D19" s="1" t="str">
        <x:f aca="0">S13_PSP_Species_Support!C6</x:f>
        <x:v>Fruit Orchard (Block)</x:v>
      </x:c>
      <x:c r="E19" s="1" t="str">
        <x:f aca="0">S13_PSP_Species_Support!D6</x:f>
        <x:v>Medium</x:v>
      </x:c>
      <x:c r="F19" s="1" t="n">
        <x:f aca="0">S13_PSP_Species_Support!E6</x:f>
        <x:v>2020</x:v>
      </x:c>
      <x:c r="G19" s="645" t="n">
        <x:f aca="0">'S13_PSP_Species_Support'!DJ6</x:f>
        <x:v>0.09</x:v>
      </x:c>
      <x:c r="H19" s="714" t="n">
        <x:f aca="0">'S13_PSP_Species_Support'!DK6</x:f>
        <x:v>17.978425888933277</x:v>
      </x:c>
      <x:c r="I19" s="147" t="n">
        <x:f aca="0">IFERROR((IFERROR(S13_PSP_Species_Support!U6*0.0673*(S13_PSP_Species_Support!V6*(S13_PSP_Species_Support!W6*(1-EXP(-S13_PSP_Species_Support!X6*0))^S13_PSP_Species_Support!Y6)^2*(S13_PSP_Species_Support!Z6*(1-EXP(-S13_PSP_Species_Support!AA6*0))^S13_PSP_Species_Support!AB6))^0.976,0)+IFERROR(S13_PSP_Species_Support!AF6*0.0673*(S13_PSP_Species_Support!AG6*(S13_PSP_Species_Support!AH6*(1-EXP(-S13_PSP_Species_Support!AI6*0))^S13_PSP_Species_Support!AJ6)^2*(S13_PSP_Species_Support!AK6*(1-EXP(-S13_PSP_Species_Support!AL6*0))^S13_PSP_Species_Support!AM6))^0.976,0)+IFERROR(S13_PSP_Species_Support!AQ6*0.0673*(S13_PSP_Species_Support!AR6*(S13_PSP_Species_Support!AS6*(1-EXP(-S13_PSP_Species_Support!AT6*0))^S13_PSP_Species_Support!AU6)^2*(S13_PSP_Species_Support!AV6*(1-EXP(-S13_PSP_Species_Support!AW6*0))^S13_PSP_Species_Support!AX6))^0.976,0)+IFERROR(S13_PSP_Species_Support!BB6*0.0673*(S13_PSP_Species_Support!BC6*(S13_PSP_Species_Support!BD6*(1-EXP(-S13_PSP_Species_Support!BE6*0))^S13_PSP_Species_Support!BF6)^2*(S13_PSP_Species_Support!BG6*(1-EXP(-S13_PSP_Species_Support!BH6*0))^S13_PSP_Species_Support!BI6))^0.976,0)+IFERROR(S13_PSP_Species_Support!BM6*0.0673*(S13_PSP_Species_Support!BN6*(S13_PSP_Species_Support!BO6*(1-EXP(-S13_PSP_Species_Support!BP6*0))^S13_PSP_Species_Support!BQ6)^2*(S13_PSP_Species_Support!BR6*(1-EXP(-S13_PSP_Species_Support!BS6*0))^S13_PSP_Species_Support!BT6))^0.976,0)+IFERROR(S13_PSP_Species_Support!BX6*0.0673*(S13_PSP_Species_Support!BY6*(S13_PSP_Species_Support!BZ6*(1-EXP(-S13_PSP_Species_Support!CA6*0))^S13_PSP_Species_Support!CB6)^2*(S13_PSP_Species_Support!CC6*(1-EXP(-S13_PSP_Species_Support!CD6*0))^S13_PSP_Species_Support!CE6))^0.976,0)+IFERROR(S13_PSP_Species_Support!CI6*0.0673*(S13_PSP_Species_Support!CJ6*(S13_PSP_Species_Support!CK6*(1-EXP(-S13_PSP_Species_Support!CL6*0))^S13_PSP_Species_Support!CM6)^2*(S13_PSP_Species_Support!CN6*(1-EXP(-S13_PSP_Species_Support!CO6*0))^S13_PSP_Species_Support!CP6))^0.976,0)+IFERROR(S13_PSP_Species_Support!CT6*0.0673*(S13_PSP_Species_Support!CU6*(S13_PSP_Species_Support!CV6*(1-EXP(-S13_PSP_Species_Support!CW6*0))^S13_PSP_Species_Support!CX6)^2*(S13_PSP_Species_Support!CY6*(1-EXP(-S13_PSP_Species_Support!CZ6*0))^S13_PSP_Species_Support!DA6))^0.976,0))/1000/$G19*I$108,0)</x:f>
        <x:v>0</x:v>
      </x:c>
      <x:c r="J19" s="147" t="n">
        <x:f aca="0">IFERROR((IFERROR(S13_PSP_Species_Support!U6*0.0673*(S13_PSP_Species_Support!V6*(S13_PSP_Species_Support!W6*(1-EXP(-S13_PSP_Species_Support!X6*1))^S13_PSP_Species_Support!Y6)^2*(S13_PSP_Species_Support!Z6*(1-EXP(-S13_PSP_Species_Support!AA6*1))^S13_PSP_Species_Support!AB6))^0.976,0)+IFERROR(S13_PSP_Species_Support!AF6*0.0673*(S13_PSP_Species_Support!AG6*(S13_PSP_Species_Support!AH6*(1-EXP(-S13_PSP_Species_Support!AI6*1))^S13_PSP_Species_Support!AJ6)^2*(S13_PSP_Species_Support!AK6*(1-EXP(-S13_PSP_Species_Support!AL6*1))^S13_PSP_Species_Support!AM6))^0.976,0)+IFERROR(S13_PSP_Species_Support!AQ6*0.0673*(S13_PSP_Species_Support!AR6*(S13_PSP_Species_Support!AS6*(1-EXP(-S13_PSP_Species_Support!AT6*1))^S13_PSP_Species_Support!AU6)^2*(S13_PSP_Species_Support!AV6*(1-EXP(-S13_PSP_Species_Support!AW6*1))^S13_PSP_Species_Support!AX6))^0.976,0)+IFERROR(S13_PSP_Species_Support!BB6*0.0673*(S13_PSP_Species_Support!BC6*(S13_PSP_Species_Support!BD6*(1-EXP(-S13_PSP_Species_Support!BE6*1))^S13_PSP_Species_Support!BF6)^2*(S13_PSP_Species_Support!BG6*(1-EXP(-S13_PSP_Species_Support!BH6*1))^S13_PSP_Species_Support!BI6))^0.976,0)+IFERROR(S13_PSP_Species_Support!BM6*0.0673*(S13_PSP_Species_Support!BN6*(S13_PSP_Species_Support!BO6*(1-EXP(-S13_PSP_Species_Support!BP6*1))^S13_PSP_Species_Support!BQ6)^2*(S13_PSP_Species_Support!BR6*(1-EXP(-S13_PSP_Species_Support!BS6*1))^S13_PSP_Species_Support!BT6))^0.976,0)+IFERROR(S13_PSP_Species_Support!BX6*0.0673*(S13_PSP_Species_Support!BY6*(S13_PSP_Species_Support!BZ6*(1-EXP(-S13_PSP_Species_Support!CA6*1))^S13_PSP_Species_Support!CB6)^2*(S13_PSP_Species_Support!CC6*(1-EXP(-S13_PSP_Species_Support!CD6*1))^S13_PSP_Species_Support!CE6))^0.976,0)+IFERROR(S13_PSP_Species_Support!CI6*0.0673*(S13_PSP_Species_Support!CJ6*(S13_PSP_Species_Support!CK6*(1-EXP(-S13_PSP_Species_Support!CL6*1))^S13_PSP_Species_Support!CM6)^2*(S13_PSP_Species_Support!CN6*(1-EXP(-S13_PSP_Species_Support!CO6*1))^S13_PSP_Species_Support!CP6))^0.976,0)+IFERROR(S13_PSP_Species_Support!CT6*0.0673*(S13_PSP_Species_Support!CU6*(S13_PSP_Species_Support!CV6*(1-EXP(-S13_PSP_Species_Support!CW6*1))^S13_PSP_Species_Support!CX6)^2*(S13_PSP_Species_Support!CY6*(1-EXP(-S13_PSP_Species_Support!CZ6*1))^S13_PSP_Species_Support!DA6))^0.976,0))/1000/$G19*J$108,0)</x:f>
        <x:v>0.024710171295364416</x:v>
      </x:c>
      <x:c r="K19" s="147" t="n">
        <x:f aca="0">IFERROR((IFERROR(S13_PSP_Species_Support!U6*0.0673*(S13_PSP_Species_Support!V6*(S13_PSP_Species_Support!W6*(1-EXP(-S13_PSP_Species_Support!X6*2))^S13_PSP_Species_Support!Y6)^2*(S13_PSP_Species_Support!Z6*(1-EXP(-S13_PSP_Species_Support!AA6*2))^S13_PSP_Species_Support!AB6))^0.976,0)+IFERROR(S13_PSP_Species_Support!AF6*0.0673*(S13_PSP_Species_Support!AG6*(S13_PSP_Species_Support!AH6*(1-EXP(-S13_PSP_Species_Support!AI6*2))^S13_PSP_Species_Support!AJ6)^2*(S13_PSP_Species_Support!AK6*(1-EXP(-S13_PSP_Species_Support!AL6*2))^S13_PSP_Species_Support!AM6))^0.976,0)+IFERROR(S13_PSP_Species_Support!AQ6*0.0673*(S13_PSP_Species_Support!AR6*(S13_PSP_Species_Support!AS6*(1-EXP(-S13_PSP_Species_Support!AT6*2))^S13_PSP_Species_Support!AU6)^2*(S13_PSP_Species_Support!AV6*(1-EXP(-S13_PSP_Species_Support!AW6*2))^S13_PSP_Species_Support!AX6))^0.976,0)+IFERROR(S13_PSP_Species_Support!BB6*0.0673*(S13_PSP_Species_Support!BC6*(S13_PSP_Species_Support!BD6*(1-EXP(-S13_PSP_Species_Support!BE6*2))^S13_PSP_Species_Support!BF6)^2*(S13_PSP_Species_Support!BG6*(1-EXP(-S13_PSP_Species_Support!BH6*2))^S13_PSP_Species_Support!BI6))^0.976,0)+IFERROR(S13_PSP_Species_Support!BM6*0.0673*(S13_PSP_Species_Support!BN6*(S13_PSP_Species_Support!BO6*(1-EXP(-S13_PSP_Species_Support!BP6*2))^S13_PSP_Species_Support!BQ6)^2*(S13_PSP_Species_Support!BR6*(1-EXP(-S13_PSP_Species_Support!BS6*2))^S13_PSP_Species_Support!BT6))^0.976,0)+IFERROR(S13_PSP_Species_Support!BX6*0.0673*(S13_PSP_Species_Support!BY6*(S13_PSP_Species_Support!BZ6*(1-EXP(-S13_PSP_Species_Support!CA6*2))^S13_PSP_Species_Support!CB6)^2*(S13_PSP_Species_Support!CC6*(1-EXP(-S13_PSP_Species_Support!CD6*2))^S13_PSP_Species_Support!CE6))^0.976,0)+IFERROR(S13_PSP_Species_Support!CI6*0.0673*(S13_PSP_Species_Support!CJ6*(S13_PSP_Species_Support!CK6*(1-EXP(-S13_PSP_Species_Support!CL6*2))^S13_PSP_Species_Support!CM6)^2*(S13_PSP_Species_Support!CN6*(1-EXP(-S13_PSP_Species_Support!CO6*2))^S13_PSP_Species_Support!CP6))^0.976,0)+IFERROR(S13_PSP_Species_Support!CT6*0.0673*(S13_PSP_Species_Support!CU6*(S13_PSP_Species_Support!CV6*(1-EXP(-S13_PSP_Species_Support!CW6*2))^S13_PSP_Species_Support!CX6)^2*(S13_PSP_Species_Support!CY6*(1-EXP(-S13_PSP_Species_Support!CZ6*2))^S13_PSP_Species_Support!DA6))^0.976,0))/1000/$G19*K$108,0)</x:f>
        <x:v>0.3063216261202225</x:v>
      </x:c>
      <x:c r="L19" s="147" t="n">
        <x:f aca="0">IFERROR((IFERROR(S13_PSP_Species_Support!U6*0.0673*(S13_PSP_Species_Support!V6*(S13_PSP_Species_Support!W6*(1-EXP(-S13_PSP_Species_Support!X6*3))^S13_PSP_Species_Support!Y6)^2*(S13_PSP_Species_Support!Z6*(1-EXP(-S13_PSP_Species_Support!AA6*3))^S13_PSP_Species_Support!AB6))^0.976,0)+IFERROR(S13_PSP_Species_Support!AF6*0.0673*(S13_PSP_Species_Support!AG6*(S13_PSP_Species_Support!AH6*(1-EXP(-S13_PSP_Species_Support!AI6*3))^S13_PSP_Species_Support!AJ6)^2*(S13_PSP_Species_Support!AK6*(1-EXP(-S13_PSP_Species_Support!AL6*3))^S13_PSP_Species_Support!AM6))^0.976,0)+IFERROR(S13_PSP_Species_Support!AQ6*0.0673*(S13_PSP_Species_Support!AR6*(S13_PSP_Species_Support!AS6*(1-EXP(-S13_PSP_Species_Support!AT6*3))^S13_PSP_Species_Support!AU6)^2*(S13_PSP_Species_Support!AV6*(1-EXP(-S13_PSP_Species_Support!AW6*3))^S13_PSP_Species_Support!AX6))^0.976,0)+IFERROR(S13_PSP_Species_Support!BB6*0.0673*(S13_PSP_Species_Support!BC6*(S13_PSP_Species_Support!BD6*(1-EXP(-S13_PSP_Species_Support!BE6*3))^S13_PSP_Species_Support!BF6)^2*(S13_PSP_Species_Support!BG6*(1-EXP(-S13_PSP_Species_Support!BH6*3))^S13_PSP_Species_Support!BI6))^0.976,0)+IFERROR(S13_PSP_Species_Support!BM6*0.0673*(S13_PSP_Species_Support!BN6*(S13_PSP_Species_Support!BO6*(1-EXP(-S13_PSP_Species_Support!BP6*3))^S13_PSP_Species_Support!BQ6)^2*(S13_PSP_Species_Support!BR6*(1-EXP(-S13_PSP_Species_Support!BS6*3))^S13_PSP_Species_Support!BT6))^0.976,0)+IFERROR(S13_PSP_Species_Support!BX6*0.0673*(S13_PSP_Species_Support!BY6*(S13_PSP_Species_Support!BZ6*(1-EXP(-S13_PSP_Species_Support!CA6*3))^S13_PSP_Species_Support!CB6)^2*(S13_PSP_Species_Support!CC6*(1-EXP(-S13_PSP_Species_Support!CD6*3))^S13_PSP_Species_Support!CE6))^0.976,0)+IFERROR(S13_PSP_Species_Support!CI6*0.0673*(S13_PSP_Species_Support!CJ6*(S13_PSP_Species_Support!CK6*(1-EXP(-S13_PSP_Species_Support!CL6*3))^S13_PSP_Species_Support!CM6)^2*(S13_PSP_Species_Support!CN6*(1-EXP(-S13_PSP_Species_Support!CO6*3))^S13_PSP_Species_Support!CP6))^0.976,0)+IFERROR(S13_PSP_Species_Support!CT6*0.0673*(S13_PSP_Species_Support!CU6*(S13_PSP_Species_Support!CV6*(1-EXP(-S13_PSP_Species_Support!CW6*3))^S13_PSP_Species_Support!CX6)^2*(S13_PSP_Species_Support!CY6*(1-EXP(-S13_PSP_Species_Support!CZ6*3))^S13_PSP_Species_Support!DA6))^0.976,0))/1000/$G19*L$108,0)</x:f>
        <x:v>1.172019712677315</x:v>
      </x:c>
      <x:c r="M19" s="147" t="n">
        <x:f aca="0">IFERROR((IFERROR(S13_PSP_Species_Support!U6*0.0673*(S13_PSP_Species_Support!V6*(S13_PSP_Species_Support!W6*(1-EXP(-S13_PSP_Species_Support!X6*4))^S13_PSP_Species_Support!Y6)^2*(S13_PSP_Species_Support!Z6*(1-EXP(-S13_PSP_Species_Support!AA6*4))^S13_PSP_Species_Support!AB6))^0.976,0)+IFERROR(S13_PSP_Species_Support!AF6*0.0673*(S13_PSP_Species_Support!AG6*(S13_PSP_Species_Support!AH6*(1-EXP(-S13_PSP_Species_Support!AI6*4))^S13_PSP_Species_Support!AJ6)^2*(S13_PSP_Species_Support!AK6*(1-EXP(-S13_PSP_Species_Support!AL6*4))^S13_PSP_Species_Support!AM6))^0.976,0)+IFERROR(S13_PSP_Species_Support!AQ6*0.0673*(S13_PSP_Species_Support!AR6*(S13_PSP_Species_Support!AS6*(1-EXP(-S13_PSP_Species_Support!AT6*4))^S13_PSP_Species_Support!AU6)^2*(S13_PSP_Species_Support!AV6*(1-EXP(-S13_PSP_Species_Support!AW6*4))^S13_PSP_Species_Support!AX6))^0.976,0)+IFERROR(S13_PSP_Species_Support!BB6*0.0673*(S13_PSP_Species_Support!BC6*(S13_PSP_Species_Support!BD6*(1-EXP(-S13_PSP_Species_Support!BE6*4))^S13_PSP_Species_Support!BF6)^2*(S13_PSP_Species_Support!BG6*(1-EXP(-S13_PSP_Species_Support!BH6*4))^S13_PSP_Species_Support!BI6))^0.976,0)+IFERROR(S13_PSP_Species_Support!BM6*0.0673*(S13_PSP_Species_Support!BN6*(S13_PSP_Species_Support!BO6*(1-EXP(-S13_PSP_Species_Support!BP6*4))^S13_PSP_Species_Support!BQ6)^2*(S13_PSP_Species_Support!BR6*(1-EXP(-S13_PSP_Species_Support!BS6*4))^S13_PSP_Species_Support!BT6))^0.976,0)+IFERROR(S13_PSP_Species_Support!BX6*0.0673*(S13_PSP_Species_Support!BY6*(S13_PSP_Species_Support!BZ6*(1-EXP(-S13_PSP_Species_Support!CA6*4))^S13_PSP_Species_Support!CB6)^2*(S13_PSP_Species_Support!CC6*(1-EXP(-S13_PSP_Species_Support!CD6*4))^S13_PSP_Species_Support!CE6))^0.976,0)+IFERROR(S13_PSP_Species_Support!CI6*0.0673*(S13_PSP_Species_Support!CJ6*(S13_PSP_Species_Support!CK6*(1-EXP(-S13_PSP_Species_Support!CL6*4))^S13_PSP_Species_Support!CM6)^2*(S13_PSP_Species_Support!CN6*(1-EXP(-S13_PSP_Species_Support!CO6*4))^S13_PSP_Species_Support!CP6))^0.976,0)+IFERROR(S13_PSP_Species_Support!CT6*0.0673*(S13_PSP_Species_Support!CU6*(S13_PSP_Species_Support!CV6*(1-EXP(-S13_PSP_Species_Support!CW6*4))^S13_PSP_Species_Support!CX6)^2*(S13_PSP_Species_Support!CY6*(1-EXP(-S13_PSP_Species_Support!CZ6*4))^S13_PSP_Species_Support!DA6))^0.976,0))/1000/$G19*M$108,0)</x:f>
        <x:v>2.8062156400200853</x:v>
      </x:c>
      <x:c r="N19" s="147" t="n">
        <x:f aca="0">IFERROR((IFERROR(S13_PSP_Species_Support!U6*0.0673*(S13_PSP_Species_Support!V6*(S13_PSP_Species_Support!W6*(1-EXP(-S13_PSP_Species_Support!X6*5))^S13_PSP_Species_Support!Y6)^2*(S13_PSP_Species_Support!Z6*(1-EXP(-S13_PSP_Species_Support!AA6*5))^S13_PSP_Species_Support!AB6))^0.976,0)+IFERROR(S13_PSP_Species_Support!AF6*0.0673*(S13_PSP_Species_Support!AG6*(S13_PSP_Species_Support!AH6*(1-EXP(-S13_PSP_Species_Support!AI6*5))^S13_PSP_Species_Support!AJ6)^2*(S13_PSP_Species_Support!AK6*(1-EXP(-S13_PSP_Species_Support!AL6*5))^S13_PSP_Species_Support!AM6))^0.976,0)+IFERROR(S13_PSP_Species_Support!AQ6*0.0673*(S13_PSP_Species_Support!AR6*(S13_PSP_Species_Support!AS6*(1-EXP(-S13_PSP_Species_Support!AT6*5))^S13_PSP_Species_Support!AU6)^2*(S13_PSP_Species_Support!AV6*(1-EXP(-S13_PSP_Species_Support!AW6*5))^S13_PSP_Species_Support!AX6))^0.976,0)+IFERROR(S13_PSP_Species_Support!BB6*0.0673*(S13_PSP_Species_Support!BC6*(S13_PSP_Species_Support!BD6*(1-EXP(-S13_PSP_Species_Support!BE6*5))^S13_PSP_Species_Support!BF6)^2*(S13_PSP_Species_Support!BG6*(1-EXP(-S13_PSP_Species_Support!BH6*5))^S13_PSP_Species_Support!BI6))^0.976,0)+IFERROR(S13_PSP_Species_Support!BM6*0.0673*(S13_PSP_Species_Support!BN6*(S13_PSP_Species_Support!BO6*(1-EXP(-S13_PSP_Species_Support!BP6*5))^S13_PSP_Species_Support!BQ6)^2*(S13_PSP_Species_Support!BR6*(1-EXP(-S13_PSP_Species_Support!BS6*5))^S13_PSP_Species_Support!BT6))^0.976,0)+IFERROR(S13_PSP_Species_Support!BX6*0.0673*(S13_PSP_Species_Support!BY6*(S13_PSP_Species_Support!BZ6*(1-EXP(-S13_PSP_Species_Support!CA6*5))^S13_PSP_Species_Support!CB6)^2*(S13_PSP_Species_Support!CC6*(1-EXP(-S13_PSP_Species_Support!CD6*5))^S13_PSP_Species_Support!CE6))^0.976,0)+IFERROR(S13_PSP_Species_Support!CI6*0.0673*(S13_PSP_Species_Support!CJ6*(S13_PSP_Species_Support!CK6*(1-EXP(-S13_PSP_Species_Support!CL6*5))^S13_PSP_Species_Support!CM6)^2*(S13_PSP_Species_Support!CN6*(1-EXP(-S13_PSP_Species_Support!CO6*5))^S13_PSP_Species_Support!CP6))^0.976,0)+IFERROR(S13_PSP_Species_Support!CT6*0.0673*(S13_PSP_Species_Support!CU6*(S13_PSP_Species_Support!CV6*(1-EXP(-S13_PSP_Species_Support!CW6*5))^S13_PSP_Species_Support!CX6)^2*(S13_PSP_Species_Support!CY6*(1-EXP(-S13_PSP_Species_Support!CZ6*5))^S13_PSP_Species_Support!DA6))^0.976,0))/1000/$G19*N$108,0)</x:f>
        <x:v>5.196566317696589</x:v>
      </x:c>
      <x:c r="O19" s="147" t="n">
        <x:f aca="0">IFERROR((IFERROR(S13_PSP_Species_Support!U6*0.0673*(S13_PSP_Species_Support!V6*(S13_PSP_Species_Support!W6*(1-EXP(-S13_PSP_Species_Support!X6*6))^S13_PSP_Species_Support!Y6)^2*(S13_PSP_Species_Support!Z6*(1-EXP(-S13_PSP_Species_Support!AA6*6))^S13_PSP_Species_Support!AB6))^0.976,0)+IFERROR(S13_PSP_Species_Support!AF6*0.0673*(S13_PSP_Species_Support!AG6*(S13_PSP_Species_Support!AH6*(1-EXP(-S13_PSP_Species_Support!AI6*6))^S13_PSP_Species_Support!AJ6)^2*(S13_PSP_Species_Support!AK6*(1-EXP(-S13_PSP_Species_Support!AL6*6))^S13_PSP_Species_Support!AM6))^0.976,0)+IFERROR(S13_PSP_Species_Support!AQ6*0.0673*(S13_PSP_Species_Support!AR6*(S13_PSP_Species_Support!AS6*(1-EXP(-S13_PSP_Species_Support!AT6*6))^S13_PSP_Species_Support!AU6)^2*(S13_PSP_Species_Support!AV6*(1-EXP(-S13_PSP_Species_Support!AW6*6))^S13_PSP_Species_Support!AX6))^0.976,0)+IFERROR(S13_PSP_Species_Support!BB6*0.0673*(S13_PSP_Species_Support!BC6*(S13_PSP_Species_Support!BD6*(1-EXP(-S13_PSP_Species_Support!BE6*6))^S13_PSP_Species_Support!BF6)^2*(S13_PSP_Species_Support!BG6*(1-EXP(-S13_PSP_Species_Support!BH6*6))^S13_PSP_Species_Support!BI6))^0.976,0)+IFERROR(S13_PSP_Species_Support!BM6*0.0673*(S13_PSP_Species_Support!BN6*(S13_PSP_Species_Support!BO6*(1-EXP(-S13_PSP_Species_Support!BP6*6))^S13_PSP_Species_Support!BQ6)^2*(S13_PSP_Species_Support!BR6*(1-EXP(-S13_PSP_Species_Support!BS6*6))^S13_PSP_Species_Support!BT6))^0.976,0)+IFERROR(S13_PSP_Species_Support!BX6*0.0673*(S13_PSP_Species_Support!BY6*(S13_PSP_Species_Support!BZ6*(1-EXP(-S13_PSP_Species_Support!CA6*6))^S13_PSP_Species_Support!CB6)^2*(S13_PSP_Species_Support!CC6*(1-EXP(-S13_PSP_Species_Support!CD6*6))^S13_PSP_Species_Support!CE6))^0.976,0)+IFERROR(S13_PSP_Species_Support!CI6*0.0673*(S13_PSP_Species_Support!CJ6*(S13_PSP_Species_Support!CK6*(1-EXP(-S13_PSP_Species_Support!CL6*6))^S13_PSP_Species_Support!CM6)^2*(S13_PSP_Species_Support!CN6*(1-EXP(-S13_PSP_Species_Support!CO6*6))^S13_PSP_Species_Support!CP6))^0.976,0)+IFERROR(S13_PSP_Species_Support!CT6*0.0673*(S13_PSP_Species_Support!CU6*(S13_PSP_Species_Support!CV6*(1-EXP(-S13_PSP_Species_Support!CW6*6))^S13_PSP_Species_Support!CX6)^2*(S13_PSP_Species_Support!CY6*(1-EXP(-S13_PSP_Species_Support!CZ6*6))^S13_PSP_Species_Support!DA6))^0.976,0))/1000/$G19*O$108,0)</x:f>
        <x:v>8.2143824988949</x:v>
      </x:c>
      <x:c r="P19" s="147" t="n">
        <x:f aca="0">IFERROR((IFERROR(S13_PSP_Species_Support!U6*0.0673*(S13_PSP_Species_Support!V6*(S13_PSP_Species_Support!W6*(1-EXP(-S13_PSP_Species_Support!X6*7))^S13_PSP_Species_Support!Y6)^2*(S13_PSP_Species_Support!Z6*(1-EXP(-S13_PSP_Species_Support!AA6*7))^S13_PSP_Species_Support!AB6))^0.976,0)+IFERROR(S13_PSP_Species_Support!AF6*0.0673*(S13_PSP_Species_Support!AG6*(S13_PSP_Species_Support!AH6*(1-EXP(-S13_PSP_Species_Support!AI6*7))^S13_PSP_Species_Support!AJ6)^2*(S13_PSP_Species_Support!AK6*(1-EXP(-S13_PSP_Species_Support!AL6*7))^S13_PSP_Species_Support!AM6))^0.976,0)+IFERROR(S13_PSP_Species_Support!AQ6*0.0673*(S13_PSP_Species_Support!AR6*(S13_PSP_Species_Support!AS6*(1-EXP(-S13_PSP_Species_Support!AT6*7))^S13_PSP_Species_Support!AU6)^2*(S13_PSP_Species_Support!AV6*(1-EXP(-S13_PSP_Species_Support!AW6*7))^S13_PSP_Species_Support!AX6))^0.976,0)+IFERROR(S13_PSP_Species_Support!BB6*0.0673*(S13_PSP_Species_Support!BC6*(S13_PSP_Species_Support!BD6*(1-EXP(-S13_PSP_Species_Support!BE6*7))^S13_PSP_Species_Support!BF6)^2*(S13_PSP_Species_Support!BG6*(1-EXP(-S13_PSP_Species_Support!BH6*7))^S13_PSP_Species_Support!BI6))^0.976,0)+IFERROR(S13_PSP_Species_Support!BM6*0.0673*(S13_PSP_Species_Support!BN6*(S13_PSP_Species_Support!BO6*(1-EXP(-S13_PSP_Species_Support!BP6*7))^S13_PSP_Species_Support!BQ6)^2*(S13_PSP_Species_Support!BR6*(1-EXP(-S13_PSP_Species_Support!BS6*7))^S13_PSP_Species_Support!BT6))^0.976,0)+IFERROR(S13_PSP_Species_Support!BX6*0.0673*(S13_PSP_Species_Support!BY6*(S13_PSP_Species_Support!BZ6*(1-EXP(-S13_PSP_Species_Support!CA6*7))^S13_PSP_Species_Support!CB6)^2*(S13_PSP_Species_Support!CC6*(1-EXP(-S13_PSP_Species_Support!CD6*7))^S13_PSP_Species_Support!CE6))^0.976,0)+IFERROR(S13_PSP_Species_Support!CI6*0.0673*(S13_PSP_Species_Support!CJ6*(S13_PSP_Species_Support!CK6*(1-EXP(-S13_PSP_Species_Support!CL6*7))^S13_PSP_Species_Support!CM6)^2*(S13_PSP_Species_Support!CN6*(1-EXP(-S13_PSP_Species_Support!CO6*7))^S13_PSP_Species_Support!CP6))^0.976,0)+IFERROR(S13_PSP_Species_Support!CT6*0.0673*(S13_PSP_Species_Support!CU6*(S13_PSP_Species_Support!CV6*(1-EXP(-S13_PSP_Species_Support!CW6*7))^S13_PSP_Species_Support!CX6)^2*(S13_PSP_Species_Support!CY6*(1-EXP(-S13_PSP_Species_Support!CZ6*7))^S13_PSP_Species_Support!DA6))^0.976,0))/1000/$G19*P$108,0)</x:f>
        <x:v>11.68051406547641</x:v>
      </x:c>
      <x:c r="Q19" s="147" t="n">
        <x:f aca="0">IFERROR((IFERROR(S13_PSP_Species_Support!U6*0.0673*(S13_PSP_Species_Support!V6*(S13_PSP_Species_Support!W6*(1-EXP(-S13_PSP_Species_Support!X6*8))^S13_PSP_Species_Support!Y6)^2*(S13_PSP_Species_Support!Z6*(1-EXP(-S13_PSP_Species_Support!AA6*8))^S13_PSP_Species_Support!AB6))^0.976,0)+IFERROR(S13_PSP_Species_Support!AF6*0.0673*(S13_PSP_Species_Support!AG6*(S13_PSP_Species_Support!AH6*(1-EXP(-S13_PSP_Species_Support!AI6*8))^S13_PSP_Species_Support!AJ6)^2*(S13_PSP_Species_Support!AK6*(1-EXP(-S13_PSP_Species_Support!AL6*8))^S13_PSP_Species_Support!AM6))^0.976,0)+IFERROR(S13_PSP_Species_Support!AQ6*0.0673*(S13_PSP_Species_Support!AR6*(S13_PSP_Species_Support!AS6*(1-EXP(-S13_PSP_Species_Support!AT6*8))^S13_PSP_Species_Support!AU6)^2*(S13_PSP_Species_Support!AV6*(1-EXP(-S13_PSP_Species_Support!AW6*8))^S13_PSP_Species_Support!AX6))^0.976,0)+IFERROR(S13_PSP_Species_Support!BB6*0.0673*(S13_PSP_Species_Support!BC6*(S13_PSP_Species_Support!BD6*(1-EXP(-S13_PSP_Species_Support!BE6*8))^S13_PSP_Species_Support!BF6)^2*(S13_PSP_Species_Support!BG6*(1-EXP(-S13_PSP_Species_Support!BH6*8))^S13_PSP_Species_Support!BI6))^0.976,0)+IFERROR(S13_PSP_Species_Support!BM6*0.0673*(S13_PSP_Species_Support!BN6*(S13_PSP_Species_Support!BO6*(1-EXP(-S13_PSP_Species_Support!BP6*8))^S13_PSP_Species_Support!BQ6)^2*(S13_PSP_Species_Support!BR6*(1-EXP(-S13_PSP_Species_Support!BS6*8))^S13_PSP_Species_Support!BT6))^0.976,0)+IFERROR(S13_PSP_Species_Support!BX6*0.0673*(S13_PSP_Species_Support!BY6*(S13_PSP_Species_Support!BZ6*(1-EXP(-S13_PSP_Species_Support!CA6*8))^S13_PSP_Species_Support!CB6)^2*(S13_PSP_Species_Support!CC6*(1-EXP(-S13_PSP_Species_Support!CD6*8))^S13_PSP_Species_Support!CE6))^0.976,0)+IFERROR(S13_PSP_Species_Support!CI6*0.0673*(S13_PSP_Species_Support!CJ6*(S13_PSP_Species_Support!CK6*(1-EXP(-S13_PSP_Species_Support!CL6*8))^S13_PSP_Species_Support!CM6)^2*(S13_PSP_Species_Support!CN6*(1-EXP(-S13_PSP_Species_Support!CO6*8))^S13_PSP_Species_Support!CP6))^0.976,0)+IFERROR(S13_PSP_Species_Support!CT6*0.0673*(S13_PSP_Species_Support!CU6*(S13_PSP_Species_Support!CV6*(1-EXP(-S13_PSP_Species_Support!CW6*8))^S13_PSP_Species_Support!CX6)^2*(S13_PSP_Species_Support!CY6*(1-EXP(-S13_PSP_Species_Support!CZ6*8))^S13_PSP_Species_Support!DA6))^0.976,0))/1000/$G19*Q$108,0)</x:f>
        <x:v>15.412500604052568</x:v>
      </x:c>
      <x:c r="R19" s="147" t="n">
        <x:f aca="0">IFERROR((IFERROR(S13_PSP_Species_Support!U6*0.0673*(S13_PSP_Species_Support!V6*(S13_PSP_Species_Support!W6*(1-EXP(-S13_PSP_Species_Support!X6*9))^S13_PSP_Species_Support!Y6)^2*(S13_PSP_Species_Support!Z6*(1-EXP(-S13_PSP_Species_Support!AA6*9))^S13_PSP_Species_Support!AB6))^0.976,0)+IFERROR(S13_PSP_Species_Support!AF6*0.0673*(S13_PSP_Species_Support!AG6*(S13_PSP_Species_Support!AH6*(1-EXP(-S13_PSP_Species_Support!AI6*9))^S13_PSP_Species_Support!AJ6)^2*(S13_PSP_Species_Support!AK6*(1-EXP(-S13_PSP_Species_Support!AL6*9))^S13_PSP_Species_Support!AM6))^0.976,0)+IFERROR(S13_PSP_Species_Support!AQ6*0.0673*(S13_PSP_Species_Support!AR6*(S13_PSP_Species_Support!AS6*(1-EXP(-S13_PSP_Species_Support!AT6*9))^S13_PSP_Species_Support!AU6)^2*(S13_PSP_Species_Support!AV6*(1-EXP(-S13_PSP_Species_Support!AW6*9))^S13_PSP_Species_Support!AX6))^0.976,0)+IFERROR(S13_PSP_Species_Support!BB6*0.0673*(S13_PSP_Species_Support!BC6*(S13_PSP_Species_Support!BD6*(1-EXP(-S13_PSP_Species_Support!BE6*9))^S13_PSP_Species_Support!BF6)^2*(S13_PSP_Species_Support!BG6*(1-EXP(-S13_PSP_Species_Support!BH6*9))^S13_PSP_Species_Support!BI6))^0.976,0)+IFERROR(S13_PSP_Species_Support!BM6*0.0673*(S13_PSP_Species_Support!BN6*(S13_PSP_Species_Support!BO6*(1-EXP(-S13_PSP_Species_Support!BP6*9))^S13_PSP_Species_Support!BQ6)^2*(S13_PSP_Species_Support!BR6*(1-EXP(-S13_PSP_Species_Support!BS6*9))^S13_PSP_Species_Support!BT6))^0.976,0)+IFERROR(S13_PSP_Species_Support!BX6*0.0673*(S13_PSP_Species_Support!BY6*(S13_PSP_Species_Support!BZ6*(1-EXP(-S13_PSP_Species_Support!CA6*9))^S13_PSP_Species_Support!CB6)^2*(S13_PSP_Species_Support!CC6*(1-EXP(-S13_PSP_Species_Support!CD6*9))^S13_PSP_Species_Support!CE6))^0.976,0)+IFERROR(S13_PSP_Species_Support!CI6*0.0673*(S13_PSP_Species_Support!CJ6*(S13_PSP_Species_Support!CK6*(1-EXP(-S13_PSP_Species_Support!CL6*9))^S13_PSP_Species_Support!CM6)^2*(S13_PSP_Species_Support!CN6*(1-EXP(-S13_PSP_Species_Support!CO6*9))^S13_PSP_Species_Support!CP6))^0.976,0)+IFERROR(S13_PSP_Species_Support!CT6*0.0673*(S13_PSP_Species_Support!CU6*(S13_PSP_Species_Support!CV6*(1-EXP(-S13_PSP_Species_Support!CW6*9))^S13_PSP_Species_Support!CX6)^2*(S13_PSP_Species_Support!CY6*(1-EXP(-S13_PSP_Species_Support!CZ6*9))^S13_PSP_Species_Support!DA6))^0.976,0))/1000/$G19*R$108,0)</x:f>
        <x:v>19.24992468965635</x:v>
      </x:c>
      <x:c r="S19" s="147" t="n">
        <x:f aca="0">IFERROR((IFERROR(S13_PSP_Species_Support!U6*0.0673*(S13_PSP_Species_Support!V6*(S13_PSP_Species_Support!W6*(1-EXP(-S13_PSP_Species_Support!X6*10))^S13_PSP_Species_Support!Y6)^2*(S13_PSP_Species_Support!Z6*(1-EXP(-S13_PSP_Species_Support!AA6*10))^S13_PSP_Species_Support!AB6))^0.976,0)+IFERROR(S13_PSP_Species_Support!AF6*0.0673*(S13_PSP_Species_Support!AG6*(S13_PSP_Species_Support!AH6*(1-EXP(-S13_PSP_Species_Support!AI6*10))^S13_PSP_Species_Support!AJ6)^2*(S13_PSP_Species_Support!AK6*(1-EXP(-S13_PSP_Species_Support!AL6*10))^S13_PSP_Species_Support!AM6))^0.976,0)+IFERROR(S13_PSP_Species_Support!AQ6*0.0673*(S13_PSP_Species_Support!AR6*(S13_PSP_Species_Support!AS6*(1-EXP(-S13_PSP_Species_Support!AT6*10))^S13_PSP_Species_Support!AU6)^2*(S13_PSP_Species_Support!AV6*(1-EXP(-S13_PSP_Species_Support!AW6*10))^S13_PSP_Species_Support!AX6))^0.976,0)+IFERROR(S13_PSP_Species_Support!BB6*0.0673*(S13_PSP_Species_Support!BC6*(S13_PSP_Species_Support!BD6*(1-EXP(-S13_PSP_Species_Support!BE6*10))^S13_PSP_Species_Support!BF6)^2*(S13_PSP_Species_Support!BG6*(1-EXP(-S13_PSP_Species_Support!BH6*10))^S13_PSP_Species_Support!BI6))^0.976,0)+IFERROR(S13_PSP_Species_Support!BM6*0.0673*(S13_PSP_Species_Support!BN6*(S13_PSP_Species_Support!BO6*(1-EXP(-S13_PSP_Species_Support!BP6*10))^S13_PSP_Species_Support!BQ6)^2*(S13_PSP_Species_Support!BR6*(1-EXP(-S13_PSP_Species_Support!BS6*10))^S13_PSP_Species_Support!BT6))^0.976,0)+IFERROR(S13_PSP_Species_Support!BX6*0.0673*(S13_PSP_Species_Support!BY6*(S13_PSP_Species_Support!BZ6*(1-EXP(-S13_PSP_Species_Support!CA6*10))^S13_PSP_Species_Support!CB6)^2*(S13_PSP_Species_Support!CC6*(1-EXP(-S13_PSP_Species_Support!CD6*10))^S13_PSP_Species_Support!CE6))^0.976,0)+IFERROR(S13_PSP_Species_Support!CI6*0.0673*(S13_PSP_Species_Support!CJ6*(S13_PSP_Species_Support!CK6*(1-EXP(-S13_PSP_Species_Support!CL6*10))^S13_PSP_Species_Support!CM6)^2*(S13_PSP_Species_Support!CN6*(1-EXP(-S13_PSP_Species_Support!CO6*10))^S13_PSP_Species_Support!CP6))^0.976,0)+IFERROR(S13_PSP_Species_Support!CT6*0.0673*(S13_PSP_Species_Support!CU6*(S13_PSP_Species_Support!CV6*(1-EXP(-S13_PSP_Species_Support!CW6*10))^S13_PSP_Species_Support!CX6)^2*(S13_PSP_Species_Support!CY6*(1-EXP(-S13_PSP_Species_Support!CZ6*10))^S13_PSP_Species_Support!DA6))^0.976,0))/1000/$G19*S$108,0)</x:f>
        <x:v>23.064436229709788</x:v>
      </x:c>
      <x:c r="T19" s="147" t="n">
        <x:f aca="0">IFERROR((IFERROR(S13_PSP_Species_Support!U6*0.0673*(S13_PSP_Species_Support!V6*(S13_PSP_Species_Support!W6*(1-EXP(-S13_PSP_Species_Support!X6*11))^S13_PSP_Species_Support!Y6)^2*(S13_PSP_Species_Support!Z6*(1-EXP(-S13_PSP_Species_Support!AA6*11))^S13_PSP_Species_Support!AB6))^0.976,0)+IFERROR(S13_PSP_Species_Support!AF6*0.0673*(S13_PSP_Species_Support!AG6*(S13_PSP_Species_Support!AH6*(1-EXP(-S13_PSP_Species_Support!AI6*11))^S13_PSP_Species_Support!AJ6)^2*(S13_PSP_Species_Support!AK6*(1-EXP(-S13_PSP_Species_Support!AL6*11))^S13_PSP_Species_Support!AM6))^0.976,0)+IFERROR(S13_PSP_Species_Support!AQ6*0.0673*(S13_PSP_Species_Support!AR6*(S13_PSP_Species_Support!AS6*(1-EXP(-S13_PSP_Species_Support!AT6*11))^S13_PSP_Species_Support!AU6)^2*(S13_PSP_Species_Support!AV6*(1-EXP(-S13_PSP_Species_Support!AW6*11))^S13_PSP_Species_Support!AX6))^0.976,0)+IFERROR(S13_PSP_Species_Support!BB6*0.0673*(S13_PSP_Species_Support!BC6*(S13_PSP_Species_Support!BD6*(1-EXP(-S13_PSP_Species_Support!BE6*11))^S13_PSP_Species_Support!BF6)^2*(S13_PSP_Species_Support!BG6*(1-EXP(-S13_PSP_Species_Support!BH6*11))^S13_PSP_Species_Support!BI6))^0.976,0)+IFERROR(S13_PSP_Species_Support!BM6*0.0673*(S13_PSP_Species_Support!BN6*(S13_PSP_Species_Support!BO6*(1-EXP(-S13_PSP_Species_Support!BP6*11))^S13_PSP_Species_Support!BQ6)^2*(S13_PSP_Species_Support!BR6*(1-EXP(-S13_PSP_Species_Support!BS6*11))^S13_PSP_Species_Support!BT6))^0.976,0)+IFERROR(S13_PSP_Species_Support!BX6*0.0673*(S13_PSP_Species_Support!BY6*(S13_PSP_Species_Support!BZ6*(1-EXP(-S13_PSP_Species_Support!CA6*11))^S13_PSP_Species_Support!CB6)^2*(S13_PSP_Species_Support!CC6*(1-EXP(-S13_PSP_Species_Support!CD6*11))^S13_PSP_Species_Support!CE6))^0.976,0)+IFERROR(S13_PSP_Species_Support!CI6*0.0673*(S13_PSP_Species_Support!CJ6*(S13_PSP_Species_Support!CK6*(1-EXP(-S13_PSP_Species_Support!CL6*11))^S13_PSP_Species_Support!CM6)^2*(S13_PSP_Species_Support!CN6*(1-EXP(-S13_PSP_Species_Support!CO6*11))^S13_PSP_Species_Support!CP6))^0.976,0)+IFERROR(S13_PSP_Species_Support!CT6*0.0673*(S13_PSP_Species_Support!CU6*(S13_PSP_Species_Support!CV6*(1-EXP(-S13_PSP_Species_Support!CW6*11))^S13_PSP_Species_Support!CX6)^2*(S13_PSP_Species_Support!CY6*(1-EXP(-S13_PSP_Species_Support!CZ6*11))^S13_PSP_Species_Support!DA6))^0.976,0))/1000/$G19*T$108,0)</x:f>
        <x:v>26.76076874055706</x:v>
      </x:c>
      <x:c r="U19" s="147" t="n">
        <x:f aca="0">IFERROR((IFERROR(S13_PSP_Species_Support!U6*0.0673*(S13_PSP_Species_Support!V6*(S13_PSP_Species_Support!W6*(1-EXP(-S13_PSP_Species_Support!X6*12))^S13_PSP_Species_Support!Y6)^2*(S13_PSP_Species_Support!Z6*(1-EXP(-S13_PSP_Species_Support!AA6*12))^S13_PSP_Species_Support!AB6))^0.976,0)+IFERROR(S13_PSP_Species_Support!AF6*0.0673*(S13_PSP_Species_Support!AG6*(S13_PSP_Species_Support!AH6*(1-EXP(-S13_PSP_Species_Support!AI6*12))^S13_PSP_Species_Support!AJ6)^2*(S13_PSP_Species_Support!AK6*(1-EXP(-S13_PSP_Species_Support!AL6*12))^S13_PSP_Species_Support!AM6))^0.976,0)+IFERROR(S13_PSP_Species_Support!AQ6*0.0673*(S13_PSP_Species_Support!AR6*(S13_PSP_Species_Support!AS6*(1-EXP(-S13_PSP_Species_Support!AT6*12))^S13_PSP_Species_Support!AU6)^2*(S13_PSP_Species_Support!AV6*(1-EXP(-S13_PSP_Species_Support!AW6*12))^S13_PSP_Species_Support!AX6))^0.976,0)+IFERROR(S13_PSP_Species_Support!BB6*0.0673*(S13_PSP_Species_Support!BC6*(S13_PSP_Species_Support!BD6*(1-EXP(-S13_PSP_Species_Support!BE6*12))^S13_PSP_Species_Support!BF6)^2*(S13_PSP_Species_Support!BG6*(1-EXP(-S13_PSP_Species_Support!BH6*12))^S13_PSP_Species_Support!BI6))^0.976,0)+IFERROR(S13_PSP_Species_Support!BM6*0.0673*(S13_PSP_Species_Support!BN6*(S13_PSP_Species_Support!BO6*(1-EXP(-S13_PSP_Species_Support!BP6*12))^S13_PSP_Species_Support!BQ6)^2*(S13_PSP_Species_Support!BR6*(1-EXP(-S13_PSP_Species_Support!BS6*12))^S13_PSP_Species_Support!BT6))^0.976,0)+IFERROR(S13_PSP_Species_Support!BX6*0.0673*(S13_PSP_Species_Support!BY6*(S13_PSP_Species_Support!BZ6*(1-EXP(-S13_PSP_Species_Support!CA6*12))^S13_PSP_Species_Support!CB6)^2*(S13_PSP_Species_Support!CC6*(1-EXP(-S13_PSP_Species_Support!CD6*12))^S13_PSP_Species_Support!CE6))^0.976,0)+IFERROR(S13_PSP_Species_Support!CI6*0.0673*(S13_PSP_Species_Support!CJ6*(S13_PSP_Species_Support!CK6*(1-EXP(-S13_PSP_Species_Support!CL6*12))^S13_PSP_Species_Support!CM6)^2*(S13_PSP_Species_Support!CN6*(1-EXP(-S13_PSP_Species_Support!CO6*12))^S13_PSP_Species_Support!CP6))^0.976,0)+IFERROR(S13_PSP_Species_Support!CT6*0.0673*(S13_PSP_Species_Support!CU6*(S13_PSP_Species_Support!CV6*(1-EXP(-S13_PSP_Species_Support!CW6*12))^S13_PSP_Species_Support!CX6)^2*(S13_PSP_Species_Support!CY6*(1-EXP(-S13_PSP_Species_Support!CZ6*12))^S13_PSP_Species_Support!DA6))^0.976,0))/1000/$G19*U$108,0)</x:f>
        <x:v>30.2732638781193</x:v>
      </x:c>
      <x:c r="V19" s="147" t="n">
        <x:f aca="0">IFERROR((IFERROR(S13_PSP_Species_Support!U6*0.0673*(S13_PSP_Species_Support!V6*(S13_PSP_Species_Support!W6*(1-EXP(-S13_PSP_Species_Support!X6*13))^S13_PSP_Species_Support!Y6)^2*(S13_PSP_Species_Support!Z6*(1-EXP(-S13_PSP_Species_Support!AA6*13))^S13_PSP_Species_Support!AB6))^0.976,0)+IFERROR(S13_PSP_Species_Support!AF6*0.0673*(S13_PSP_Species_Support!AG6*(S13_PSP_Species_Support!AH6*(1-EXP(-S13_PSP_Species_Support!AI6*13))^S13_PSP_Species_Support!AJ6)^2*(S13_PSP_Species_Support!AK6*(1-EXP(-S13_PSP_Species_Support!AL6*13))^S13_PSP_Species_Support!AM6))^0.976,0)+IFERROR(S13_PSP_Species_Support!AQ6*0.0673*(S13_PSP_Species_Support!AR6*(S13_PSP_Species_Support!AS6*(1-EXP(-S13_PSP_Species_Support!AT6*13))^S13_PSP_Species_Support!AU6)^2*(S13_PSP_Species_Support!AV6*(1-EXP(-S13_PSP_Species_Support!AW6*13))^S13_PSP_Species_Support!AX6))^0.976,0)+IFERROR(S13_PSP_Species_Support!BB6*0.0673*(S13_PSP_Species_Support!BC6*(S13_PSP_Species_Support!BD6*(1-EXP(-S13_PSP_Species_Support!BE6*13))^S13_PSP_Species_Support!BF6)^2*(S13_PSP_Species_Support!BG6*(1-EXP(-S13_PSP_Species_Support!BH6*13))^S13_PSP_Species_Support!BI6))^0.976,0)+IFERROR(S13_PSP_Species_Support!BM6*0.0673*(S13_PSP_Species_Support!BN6*(S13_PSP_Species_Support!BO6*(1-EXP(-S13_PSP_Species_Support!BP6*13))^S13_PSP_Species_Support!BQ6)^2*(S13_PSP_Species_Support!BR6*(1-EXP(-S13_PSP_Species_Support!BS6*13))^S13_PSP_Species_Support!BT6))^0.976,0)+IFERROR(S13_PSP_Species_Support!BX6*0.0673*(S13_PSP_Species_Support!BY6*(S13_PSP_Species_Support!BZ6*(1-EXP(-S13_PSP_Species_Support!CA6*13))^S13_PSP_Species_Support!CB6)^2*(S13_PSP_Species_Support!CC6*(1-EXP(-S13_PSP_Species_Support!CD6*13))^S13_PSP_Species_Support!CE6))^0.976,0)+IFERROR(S13_PSP_Species_Support!CI6*0.0673*(S13_PSP_Species_Support!CJ6*(S13_PSP_Species_Support!CK6*(1-EXP(-S13_PSP_Species_Support!CL6*13))^S13_PSP_Species_Support!CM6)^2*(S13_PSP_Species_Support!CN6*(1-EXP(-S13_PSP_Species_Support!CO6*13))^S13_PSP_Species_Support!CP6))^0.976,0)+IFERROR(S13_PSP_Species_Support!CT6*0.0673*(S13_PSP_Species_Support!CU6*(S13_PSP_Species_Support!CV6*(1-EXP(-S13_PSP_Species_Support!CW6*13))^S13_PSP_Species_Support!CX6)^2*(S13_PSP_Species_Support!CY6*(1-EXP(-S13_PSP_Species_Support!CZ6*13))^S13_PSP_Species_Support!DA6))^0.976,0))/1000/$G19*V$108,0)</x:f>
        <x:v>33.56067933197738</x:v>
      </x:c>
      <x:c r="W19" s="147" t="n">
        <x:f aca="0">IFERROR((IFERROR(S13_PSP_Species_Support!U6*0.0673*(S13_PSP_Species_Support!V6*(S13_PSP_Species_Support!W6*(1-EXP(-S13_PSP_Species_Support!X6*14))^S13_PSP_Species_Support!Y6)^2*(S13_PSP_Species_Support!Z6*(1-EXP(-S13_PSP_Species_Support!AA6*14))^S13_PSP_Species_Support!AB6))^0.976,0)+IFERROR(S13_PSP_Species_Support!AF6*0.0673*(S13_PSP_Species_Support!AG6*(S13_PSP_Species_Support!AH6*(1-EXP(-S13_PSP_Species_Support!AI6*14))^S13_PSP_Species_Support!AJ6)^2*(S13_PSP_Species_Support!AK6*(1-EXP(-S13_PSP_Species_Support!AL6*14))^S13_PSP_Species_Support!AM6))^0.976,0)+IFERROR(S13_PSP_Species_Support!AQ6*0.0673*(S13_PSP_Species_Support!AR6*(S13_PSP_Species_Support!AS6*(1-EXP(-S13_PSP_Species_Support!AT6*14))^S13_PSP_Species_Support!AU6)^2*(S13_PSP_Species_Support!AV6*(1-EXP(-S13_PSP_Species_Support!AW6*14))^S13_PSP_Species_Support!AX6))^0.976,0)+IFERROR(S13_PSP_Species_Support!BB6*0.0673*(S13_PSP_Species_Support!BC6*(S13_PSP_Species_Support!BD6*(1-EXP(-S13_PSP_Species_Support!BE6*14))^S13_PSP_Species_Support!BF6)^2*(S13_PSP_Species_Support!BG6*(1-EXP(-S13_PSP_Species_Support!BH6*14))^S13_PSP_Species_Support!BI6))^0.976,0)+IFERROR(S13_PSP_Species_Support!BM6*0.0673*(S13_PSP_Species_Support!BN6*(S13_PSP_Species_Support!BO6*(1-EXP(-S13_PSP_Species_Support!BP6*14))^S13_PSP_Species_Support!BQ6)^2*(S13_PSP_Species_Support!BR6*(1-EXP(-S13_PSP_Species_Support!BS6*14))^S13_PSP_Species_Support!BT6))^0.976,0)+IFERROR(S13_PSP_Species_Support!BX6*0.0673*(S13_PSP_Species_Support!BY6*(S13_PSP_Species_Support!BZ6*(1-EXP(-S13_PSP_Species_Support!CA6*14))^S13_PSP_Species_Support!CB6)^2*(S13_PSP_Species_Support!CC6*(1-EXP(-S13_PSP_Species_Support!CD6*14))^S13_PSP_Species_Support!CE6))^0.976,0)+IFERROR(S13_PSP_Species_Support!CI6*0.0673*(S13_PSP_Species_Support!CJ6*(S13_PSP_Species_Support!CK6*(1-EXP(-S13_PSP_Species_Support!CL6*14))^S13_PSP_Species_Support!CM6)^2*(S13_PSP_Species_Support!CN6*(1-EXP(-S13_PSP_Species_Support!CO6*14))^S13_PSP_Species_Support!CP6))^0.976,0)+IFERROR(S13_PSP_Species_Support!CT6*0.0673*(S13_PSP_Species_Support!CU6*(S13_PSP_Species_Support!CV6*(1-EXP(-S13_PSP_Species_Support!CW6*14))^S13_PSP_Species_Support!CX6)^2*(S13_PSP_Species_Support!CY6*(1-EXP(-S13_PSP_Species_Support!CZ6*14))^S13_PSP_Species_Support!DA6))^0.976,0))/1000/$G19*W$108,0)</x:f>
        <x:v>36.60079875847622</x:v>
      </x:c>
      <x:c r="X19" s="147" t="n">
        <x:f aca="0">IFERROR((IFERROR(S13_PSP_Species_Support!U6*0.0673*(S13_PSP_Species_Support!V6*(S13_PSP_Species_Support!W6*(1-EXP(-S13_PSP_Species_Support!X6*15))^S13_PSP_Species_Support!Y6)^2*(S13_PSP_Species_Support!Z6*(1-EXP(-S13_PSP_Species_Support!AA6*15))^S13_PSP_Species_Support!AB6))^0.976,0)+IFERROR(S13_PSP_Species_Support!AF6*0.0673*(S13_PSP_Species_Support!AG6*(S13_PSP_Species_Support!AH6*(1-EXP(-S13_PSP_Species_Support!AI6*15))^S13_PSP_Species_Support!AJ6)^2*(S13_PSP_Species_Support!AK6*(1-EXP(-S13_PSP_Species_Support!AL6*15))^S13_PSP_Species_Support!AM6))^0.976,0)+IFERROR(S13_PSP_Species_Support!AQ6*0.0673*(S13_PSP_Species_Support!AR6*(S13_PSP_Species_Support!AS6*(1-EXP(-S13_PSP_Species_Support!AT6*15))^S13_PSP_Species_Support!AU6)^2*(S13_PSP_Species_Support!AV6*(1-EXP(-S13_PSP_Species_Support!AW6*15))^S13_PSP_Species_Support!AX6))^0.976,0)+IFERROR(S13_PSP_Species_Support!BB6*0.0673*(S13_PSP_Species_Support!BC6*(S13_PSP_Species_Support!BD6*(1-EXP(-S13_PSP_Species_Support!BE6*15))^S13_PSP_Species_Support!BF6)^2*(S13_PSP_Species_Support!BG6*(1-EXP(-S13_PSP_Species_Support!BH6*15))^S13_PSP_Species_Support!BI6))^0.976,0)+IFERROR(S13_PSP_Species_Support!BM6*0.0673*(S13_PSP_Species_Support!BN6*(S13_PSP_Species_Support!BO6*(1-EXP(-S13_PSP_Species_Support!BP6*15))^S13_PSP_Species_Support!BQ6)^2*(S13_PSP_Species_Support!BR6*(1-EXP(-S13_PSP_Species_Support!BS6*15))^S13_PSP_Species_Support!BT6))^0.976,0)+IFERROR(S13_PSP_Species_Support!BX6*0.0673*(S13_PSP_Species_Support!BY6*(S13_PSP_Species_Support!BZ6*(1-EXP(-S13_PSP_Species_Support!CA6*15))^S13_PSP_Species_Support!CB6)^2*(S13_PSP_Species_Support!CC6*(1-EXP(-S13_PSP_Species_Support!CD6*15))^S13_PSP_Species_Support!CE6))^0.976,0)+IFERROR(S13_PSP_Species_Support!CI6*0.0673*(S13_PSP_Species_Support!CJ6*(S13_PSP_Species_Support!CK6*(1-EXP(-S13_PSP_Species_Support!CL6*15))^S13_PSP_Species_Support!CM6)^2*(S13_PSP_Species_Support!CN6*(1-EXP(-S13_PSP_Species_Support!CO6*15))^S13_PSP_Species_Support!CP6))^0.976,0)+IFERROR(S13_PSP_Species_Support!CT6*0.0673*(S13_PSP_Species_Support!CU6*(S13_PSP_Species_Support!CV6*(1-EXP(-S13_PSP_Species_Support!CW6*15))^S13_PSP_Species_Support!CX6)^2*(S13_PSP_Species_Support!CY6*(1-EXP(-S13_PSP_Species_Support!CZ6*15))^S13_PSP_Species_Support!DA6))^0.976,0))/1000/$G19*X$108,0)</x:f>
        <x:v>39.385570259853225</x:v>
      </x:c>
      <x:c r="Y19" s="147" t="n">
        <x:f aca="0">IFERROR((IFERROR(S13_PSP_Species_Support!U6*0.0673*(S13_PSP_Species_Support!V6*(S13_PSP_Species_Support!W6*(1-EXP(-S13_PSP_Species_Support!X6*16))^S13_PSP_Species_Support!Y6)^2*(S13_PSP_Species_Support!Z6*(1-EXP(-S13_PSP_Species_Support!AA6*16))^S13_PSP_Species_Support!AB6))^0.976,0)+IFERROR(S13_PSP_Species_Support!AF6*0.0673*(S13_PSP_Species_Support!AG6*(S13_PSP_Species_Support!AH6*(1-EXP(-S13_PSP_Species_Support!AI6*16))^S13_PSP_Species_Support!AJ6)^2*(S13_PSP_Species_Support!AK6*(1-EXP(-S13_PSP_Species_Support!AL6*16))^S13_PSP_Species_Support!AM6))^0.976,0)+IFERROR(S13_PSP_Species_Support!AQ6*0.0673*(S13_PSP_Species_Support!AR6*(S13_PSP_Species_Support!AS6*(1-EXP(-S13_PSP_Species_Support!AT6*16))^S13_PSP_Species_Support!AU6)^2*(S13_PSP_Species_Support!AV6*(1-EXP(-S13_PSP_Species_Support!AW6*16))^S13_PSP_Species_Support!AX6))^0.976,0)+IFERROR(S13_PSP_Species_Support!BB6*0.0673*(S13_PSP_Species_Support!BC6*(S13_PSP_Species_Support!BD6*(1-EXP(-S13_PSP_Species_Support!BE6*16))^S13_PSP_Species_Support!BF6)^2*(S13_PSP_Species_Support!BG6*(1-EXP(-S13_PSP_Species_Support!BH6*16))^S13_PSP_Species_Support!BI6))^0.976,0)+IFERROR(S13_PSP_Species_Support!BM6*0.0673*(S13_PSP_Species_Support!BN6*(S13_PSP_Species_Support!BO6*(1-EXP(-S13_PSP_Species_Support!BP6*16))^S13_PSP_Species_Support!BQ6)^2*(S13_PSP_Species_Support!BR6*(1-EXP(-S13_PSP_Species_Support!BS6*16))^S13_PSP_Species_Support!BT6))^0.976,0)+IFERROR(S13_PSP_Species_Support!BX6*0.0673*(S13_PSP_Species_Support!BY6*(S13_PSP_Species_Support!BZ6*(1-EXP(-S13_PSP_Species_Support!CA6*16))^S13_PSP_Species_Support!CB6)^2*(S13_PSP_Species_Support!CC6*(1-EXP(-S13_PSP_Species_Support!CD6*16))^S13_PSP_Species_Support!CE6))^0.976,0)+IFERROR(S13_PSP_Species_Support!CI6*0.0673*(S13_PSP_Species_Support!CJ6*(S13_PSP_Species_Support!CK6*(1-EXP(-S13_PSP_Species_Support!CL6*16))^S13_PSP_Species_Support!CM6)^2*(S13_PSP_Species_Support!CN6*(1-EXP(-S13_PSP_Species_Support!CO6*16))^S13_PSP_Species_Support!CP6))^0.976,0)+IFERROR(S13_PSP_Species_Support!CT6*0.0673*(S13_PSP_Species_Support!CU6*(S13_PSP_Species_Support!CV6*(1-EXP(-S13_PSP_Species_Support!CW6*16))^S13_PSP_Species_Support!CX6)^2*(S13_PSP_Species_Support!CY6*(1-EXP(-S13_PSP_Species_Support!CZ6*16))^S13_PSP_Species_Support!DA6))^0.976,0))/1000/$G19*Y$108,0)</x:f>
        <x:v>41.917044892235424</x:v>
      </x:c>
      <x:c r="Z19" s="147" t="n">
        <x:f aca="0">IFERROR((IFERROR(S13_PSP_Species_Support!U6*0.0673*(S13_PSP_Species_Support!V6*(S13_PSP_Species_Support!W6*(1-EXP(-S13_PSP_Species_Support!X6*17))^S13_PSP_Species_Support!Y6)^2*(S13_PSP_Species_Support!Z6*(1-EXP(-S13_PSP_Species_Support!AA6*17))^S13_PSP_Species_Support!AB6))^0.976,0)+IFERROR(S13_PSP_Species_Support!AF6*0.0673*(S13_PSP_Species_Support!AG6*(S13_PSP_Species_Support!AH6*(1-EXP(-S13_PSP_Species_Support!AI6*17))^S13_PSP_Species_Support!AJ6)^2*(S13_PSP_Species_Support!AK6*(1-EXP(-S13_PSP_Species_Support!AL6*17))^S13_PSP_Species_Support!AM6))^0.976,0)+IFERROR(S13_PSP_Species_Support!AQ6*0.0673*(S13_PSP_Species_Support!AR6*(S13_PSP_Species_Support!AS6*(1-EXP(-S13_PSP_Species_Support!AT6*17))^S13_PSP_Species_Support!AU6)^2*(S13_PSP_Species_Support!AV6*(1-EXP(-S13_PSP_Species_Support!AW6*17))^S13_PSP_Species_Support!AX6))^0.976,0)+IFERROR(S13_PSP_Species_Support!BB6*0.0673*(S13_PSP_Species_Support!BC6*(S13_PSP_Species_Support!BD6*(1-EXP(-S13_PSP_Species_Support!BE6*17))^S13_PSP_Species_Support!BF6)^2*(S13_PSP_Species_Support!BG6*(1-EXP(-S13_PSP_Species_Support!BH6*17))^S13_PSP_Species_Support!BI6))^0.976,0)+IFERROR(S13_PSP_Species_Support!BM6*0.0673*(S13_PSP_Species_Support!BN6*(S13_PSP_Species_Support!BO6*(1-EXP(-S13_PSP_Species_Support!BP6*17))^S13_PSP_Species_Support!BQ6)^2*(S13_PSP_Species_Support!BR6*(1-EXP(-S13_PSP_Species_Support!BS6*17))^S13_PSP_Species_Support!BT6))^0.976,0)+IFERROR(S13_PSP_Species_Support!BX6*0.0673*(S13_PSP_Species_Support!BY6*(S13_PSP_Species_Support!BZ6*(1-EXP(-S13_PSP_Species_Support!CA6*17))^S13_PSP_Species_Support!CB6)^2*(S13_PSP_Species_Support!CC6*(1-EXP(-S13_PSP_Species_Support!CD6*17))^S13_PSP_Species_Support!CE6))^0.976,0)+IFERROR(S13_PSP_Species_Support!CI6*0.0673*(S13_PSP_Species_Support!CJ6*(S13_PSP_Species_Support!CK6*(1-EXP(-S13_PSP_Species_Support!CL6*17))^S13_PSP_Species_Support!CM6)^2*(S13_PSP_Species_Support!CN6*(1-EXP(-S13_PSP_Species_Support!CO6*17))^S13_PSP_Species_Support!CP6))^0.976,0)+IFERROR(S13_PSP_Species_Support!CT6*0.0673*(S13_PSP_Species_Support!CU6*(S13_PSP_Species_Support!CV6*(1-EXP(-S13_PSP_Species_Support!CW6*17))^S13_PSP_Species_Support!CX6)^2*(S13_PSP_Species_Support!CY6*(1-EXP(-S13_PSP_Species_Support!CZ6*17))^S13_PSP_Species_Support!DA6))^0.976,0))/1000/$G19*Z$108,0)</x:f>
        <x:v>44.20414765379376</x:v>
      </x:c>
      <x:c r="AA19" s="147" t="n">
        <x:f aca="0">IFERROR((IFERROR(S13_PSP_Species_Support!U6*0.0673*(S13_PSP_Species_Support!V6*(S13_PSP_Species_Support!W6*(1-EXP(-S13_PSP_Species_Support!X6*18))^S13_PSP_Species_Support!Y6)^2*(S13_PSP_Species_Support!Z6*(1-EXP(-S13_PSP_Species_Support!AA6*18))^S13_PSP_Species_Support!AB6))^0.976,0)+IFERROR(S13_PSP_Species_Support!AF6*0.0673*(S13_PSP_Species_Support!AG6*(S13_PSP_Species_Support!AH6*(1-EXP(-S13_PSP_Species_Support!AI6*18))^S13_PSP_Species_Support!AJ6)^2*(S13_PSP_Species_Support!AK6*(1-EXP(-S13_PSP_Species_Support!AL6*18))^S13_PSP_Species_Support!AM6))^0.976,0)+IFERROR(S13_PSP_Species_Support!AQ6*0.0673*(S13_PSP_Species_Support!AR6*(S13_PSP_Species_Support!AS6*(1-EXP(-S13_PSP_Species_Support!AT6*18))^S13_PSP_Species_Support!AU6)^2*(S13_PSP_Species_Support!AV6*(1-EXP(-S13_PSP_Species_Support!AW6*18))^S13_PSP_Species_Support!AX6))^0.976,0)+IFERROR(S13_PSP_Species_Support!BB6*0.0673*(S13_PSP_Species_Support!BC6*(S13_PSP_Species_Support!BD6*(1-EXP(-S13_PSP_Species_Support!BE6*18))^S13_PSP_Species_Support!BF6)^2*(S13_PSP_Species_Support!BG6*(1-EXP(-S13_PSP_Species_Support!BH6*18))^S13_PSP_Species_Support!BI6))^0.976,0)+IFERROR(S13_PSP_Species_Support!BM6*0.0673*(S13_PSP_Species_Support!BN6*(S13_PSP_Species_Support!BO6*(1-EXP(-S13_PSP_Species_Support!BP6*18))^S13_PSP_Species_Support!BQ6)^2*(S13_PSP_Species_Support!BR6*(1-EXP(-S13_PSP_Species_Support!BS6*18))^S13_PSP_Species_Support!BT6))^0.976,0)+IFERROR(S13_PSP_Species_Support!BX6*0.0673*(S13_PSP_Species_Support!BY6*(S13_PSP_Species_Support!BZ6*(1-EXP(-S13_PSP_Species_Support!CA6*18))^S13_PSP_Species_Support!CB6)^2*(S13_PSP_Species_Support!CC6*(1-EXP(-S13_PSP_Species_Support!CD6*18))^S13_PSP_Species_Support!CE6))^0.976,0)+IFERROR(S13_PSP_Species_Support!CI6*0.0673*(S13_PSP_Species_Support!CJ6*(S13_PSP_Species_Support!CK6*(1-EXP(-S13_PSP_Species_Support!CL6*18))^S13_PSP_Species_Support!CM6)^2*(S13_PSP_Species_Support!CN6*(1-EXP(-S13_PSP_Species_Support!CO6*18))^S13_PSP_Species_Support!CP6))^0.976,0)+IFERROR(S13_PSP_Species_Support!CT6*0.0673*(S13_PSP_Species_Support!CU6*(S13_PSP_Species_Support!CV6*(1-EXP(-S13_PSP_Species_Support!CW6*18))^S13_PSP_Species_Support!CX6)^2*(S13_PSP_Species_Support!CY6*(1-EXP(-S13_PSP_Species_Support!CZ6*18))^S13_PSP_Species_Support!DA6))^0.976,0))/1000/$G19*AA$108,0)</x:f>
        <x:v>46.26020202448015</x:v>
      </x:c>
      <x:c r="AB19" s="147" t="n">
        <x:f aca="0">IFERROR((IFERROR(S13_PSP_Species_Support!U6*0.0673*(S13_PSP_Species_Support!V6*(S13_PSP_Species_Support!W6*(1-EXP(-S13_PSP_Species_Support!X6*19))^S13_PSP_Species_Support!Y6)^2*(S13_PSP_Species_Support!Z6*(1-EXP(-S13_PSP_Species_Support!AA6*19))^S13_PSP_Species_Support!AB6))^0.976,0)+IFERROR(S13_PSP_Species_Support!AF6*0.0673*(S13_PSP_Species_Support!AG6*(S13_PSP_Species_Support!AH6*(1-EXP(-S13_PSP_Species_Support!AI6*19))^S13_PSP_Species_Support!AJ6)^2*(S13_PSP_Species_Support!AK6*(1-EXP(-S13_PSP_Species_Support!AL6*19))^S13_PSP_Species_Support!AM6))^0.976,0)+IFERROR(S13_PSP_Species_Support!AQ6*0.0673*(S13_PSP_Species_Support!AR6*(S13_PSP_Species_Support!AS6*(1-EXP(-S13_PSP_Species_Support!AT6*19))^S13_PSP_Species_Support!AU6)^2*(S13_PSP_Species_Support!AV6*(1-EXP(-S13_PSP_Species_Support!AW6*19))^S13_PSP_Species_Support!AX6))^0.976,0)+IFERROR(S13_PSP_Species_Support!BB6*0.0673*(S13_PSP_Species_Support!BC6*(S13_PSP_Species_Support!BD6*(1-EXP(-S13_PSP_Species_Support!BE6*19))^S13_PSP_Species_Support!BF6)^2*(S13_PSP_Species_Support!BG6*(1-EXP(-S13_PSP_Species_Support!BH6*19))^S13_PSP_Species_Support!BI6))^0.976,0)+IFERROR(S13_PSP_Species_Support!BM6*0.0673*(S13_PSP_Species_Support!BN6*(S13_PSP_Species_Support!BO6*(1-EXP(-S13_PSP_Species_Support!BP6*19))^S13_PSP_Species_Support!BQ6)^2*(S13_PSP_Species_Support!BR6*(1-EXP(-S13_PSP_Species_Support!BS6*19))^S13_PSP_Species_Support!BT6))^0.976,0)+IFERROR(S13_PSP_Species_Support!BX6*0.0673*(S13_PSP_Species_Support!BY6*(S13_PSP_Species_Support!BZ6*(1-EXP(-S13_PSP_Species_Support!CA6*19))^S13_PSP_Species_Support!CB6)^2*(S13_PSP_Species_Support!CC6*(1-EXP(-S13_PSP_Species_Support!CD6*19))^S13_PSP_Species_Support!CE6))^0.976,0)+IFERROR(S13_PSP_Species_Support!CI6*0.0673*(S13_PSP_Species_Support!CJ6*(S13_PSP_Species_Support!CK6*(1-EXP(-S13_PSP_Species_Support!CL6*19))^S13_PSP_Species_Support!CM6)^2*(S13_PSP_Species_Support!CN6*(1-EXP(-S13_PSP_Species_Support!CO6*19))^S13_PSP_Species_Support!CP6))^0.976,0)+IFERROR(S13_PSP_Species_Support!CT6*0.0673*(S13_PSP_Species_Support!CU6*(S13_PSP_Species_Support!CV6*(1-EXP(-S13_PSP_Species_Support!CW6*19))^S13_PSP_Species_Support!CX6)^2*(S13_PSP_Species_Support!CY6*(1-EXP(-S13_PSP_Species_Support!CZ6*19))^S13_PSP_Species_Support!DA6))^0.976,0))/1000/$G19*AB$108,0)</x:f>
        <x:v>48.101088218427186</x:v>
      </x:c>
      <x:c r="AC19" s="147" t="n">
        <x:f aca="0">IFERROR((IFERROR(S13_PSP_Species_Support!U6*0.0673*(S13_PSP_Species_Support!V6*(S13_PSP_Species_Support!W6*(1-EXP(-S13_PSP_Species_Support!X6*20))^S13_PSP_Species_Support!Y6)^2*(S13_PSP_Species_Support!Z6*(1-EXP(-S13_PSP_Species_Support!AA6*20))^S13_PSP_Species_Support!AB6))^0.976,0)+IFERROR(S13_PSP_Species_Support!AF6*0.0673*(S13_PSP_Species_Support!AG6*(S13_PSP_Species_Support!AH6*(1-EXP(-S13_PSP_Species_Support!AI6*20))^S13_PSP_Species_Support!AJ6)^2*(S13_PSP_Species_Support!AK6*(1-EXP(-S13_PSP_Species_Support!AL6*20))^S13_PSP_Species_Support!AM6))^0.976,0)+IFERROR(S13_PSP_Species_Support!AQ6*0.0673*(S13_PSP_Species_Support!AR6*(S13_PSP_Species_Support!AS6*(1-EXP(-S13_PSP_Species_Support!AT6*20))^S13_PSP_Species_Support!AU6)^2*(S13_PSP_Species_Support!AV6*(1-EXP(-S13_PSP_Species_Support!AW6*20))^S13_PSP_Species_Support!AX6))^0.976,0)+IFERROR(S13_PSP_Species_Support!BB6*0.0673*(S13_PSP_Species_Support!BC6*(S13_PSP_Species_Support!BD6*(1-EXP(-S13_PSP_Species_Support!BE6*20))^S13_PSP_Species_Support!BF6)^2*(S13_PSP_Species_Support!BG6*(1-EXP(-S13_PSP_Species_Support!BH6*20))^S13_PSP_Species_Support!BI6))^0.976,0)+IFERROR(S13_PSP_Species_Support!BM6*0.0673*(S13_PSP_Species_Support!BN6*(S13_PSP_Species_Support!BO6*(1-EXP(-S13_PSP_Species_Support!BP6*20))^S13_PSP_Species_Support!BQ6)^2*(S13_PSP_Species_Support!BR6*(1-EXP(-S13_PSP_Species_Support!BS6*20))^S13_PSP_Species_Support!BT6))^0.976,0)+IFERROR(S13_PSP_Species_Support!BX6*0.0673*(S13_PSP_Species_Support!BY6*(S13_PSP_Species_Support!BZ6*(1-EXP(-S13_PSP_Species_Support!CA6*20))^S13_PSP_Species_Support!CB6)^2*(S13_PSP_Species_Support!CC6*(1-EXP(-S13_PSP_Species_Support!CD6*20))^S13_PSP_Species_Support!CE6))^0.976,0)+IFERROR(S13_PSP_Species_Support!CI6*0.0673*(S13_PSP_Species_Support!CJ6*(S13_PSP_Species_Support!CK6*(1-EXP(-S13_PSP_Species_Support!CL6*20))^S13_PSP_Species_Support!CM6)^2*(S13_PSP_Species_Support!CN6*(1-EXP(-S13_PSP_Species_Support!CO6*20))^S13_PSP_Species_Support!CP6))^0.976,0)+IFERROR(S13_PSP_Species_Support!CT6*0.0673*(S13_PSP_Species_Support!CU6*(S13_PSP_Species_Support!CV6*(1-EXP(-S13_PSP_Species_Support!CW6*20))^S13_PSP_Species_Support!CX6)^2*(S13_PSP_Species_Support!CY6*(1-EXP(-S13_PSP_Species_Support!CZ6*20))^S13_PSP_Species_Support!DA6))^0.976,0))/1000/$G19*AC$108,0)</x:f>
        <x:v>49.743910464543156</x:v>
      </x:c>
      <x:c r="AD19" s="148" t="n">
        <x:f aca="0">IF(2020&lt;$F19,0,INDEX($I19:$AC19,1,2020-$F19+1))</x:f>
        <x:v>0</x:v>
      </x:c>
      <x:c r="AE19" s="148" t="n">
        <x:f aca="0">IF(2021&lt;$F19,0,INDEX($I19:$AC19,1,2021-$F19+1))</x:f>
        <x:v>0.024710171295364416</x:v>
      </x:c>
      <x:c r="AF19" s="148" t="n">
        <x:f aca="0">IF(2022&lt;$F19,0,INDEX($I19:$AC19,1,2022-$F19+1))</x:f>
        <x:v>0.3063216261202225</x:v>
      </x:c>
      <x:c r="AG19" s="148" t="n">
        <x:f aca="0">IF(2023&lt;$F19,0,INDEX($I19:$AC19,1,2023-$F19+1))</x:f>
        <x:v>1.172019712677315</x:v>
      </x:c>
      <x:c r="AH19" s="148" t="n">
        <x:f aca="0">IF(2024&lt;$F19,0,INDEX($I19:$AC19,1,2024-$F19+1))</x:f>
        <x:v>2.8062156400200853</x:v>
      </x:c>
      <x:c r="AI19" s="148" t="n">
        <x:f aca="0">IF(2025&lt;$F19,0,INDEX($I19:$AC19,1,2025-$F19+1))</x:f>
        <x:v>5.196566317696589</x:v>
      </x:c>
      <x:c r="AJ19" s="148" t="n">
        <x:f aca="0">IF(2026&lt;$F19,0,INDEX($I19:$AC19,1,2026-$F19+1))</x:f>
        <x:v>8.2143824988949</x:v>
      </x:c>
      <x:c r="AK19" s="148" t="n">
        <x:f aca="0">IF(2027&lt;$F19,0,INDEX($I19:$AC19,1,2027-$F19+1))</x:f>
        <x:v>11.68051406547641</x:v>
      </x:c>
      <x:c r="AL19" s="148" t="n">
        <x:f aca="0">IF(2028&lt;$F19,0,INDEX($I19:$AC19,1,2028-$F19+1))</x:f>
        <x:v>15.412500604052568</x:v>
      </x:c>
      <x:c r="AM19" s="148" t="n">
        <x:f aca="0">IF(2029&lt;$F19,0,INDEX($I19:$AC19,1,2029-$F19+1))</x:f>
        <x:v>19.24992468965635</x:v>
      </x:c>
      <x:c r="AN19" s="148" t="n">
        <x:f aca="0">IF(2030&lt;$F19,0,INDEX($I19:$AC19,1,2030-$F19+1))</x:f>
        <x:v>23.064436229709788</x:v>
      </x:c>
      <x:c r="AO19" s="148" t="n">
        <x:f aca="0">IF(2031&lt;$F19,0,INDEX($I19:$AC19,1,2031-$F19+1))</x:f>
        <x:v>26.76076874055706</x:v>
      </x:c>
      <x:c r="AP19" s="148" t="n">
        <x:f aca="0">IF(2032&lt;$F19,0,INDEX($I19:$AC19,1,2032-$F19+1))</x:f>
        <x:v>30.2732638781193</x:v>
      </x:c>
      <x:c r="AQ19" s="148" t="n">
        <x:f aca="0">IF(2033&lt;$F19,0,INDEX($I19:$AC19,1,2033-$F19+1))</x:f>
        <x:v>33.56067933197738</x:v>
      </x:c>
      <x:c r="AR19" s="148" t="n">
        <x:f aca="0">IF(2034&lt;$F19,0,INDEX($I19:$AC19,1,2034-$F19+1))</x:f>
        <x:v>36.60079875847622</x:v>
      </x:c>
      <x:c r="AS19" s="148" t="n">
        <x:f aca="0">IF(2035&lt;$F19,0,INDEX($I19:$AC19,1,2035-$F19+1))</x:f>
        <x:v>39.385570259853225</x:v>
      </x:c>
      <x:c r="AT19" s="148" t="n">
        <x:f aca="0">IF(2036&lt;$F19,0,INDEX($I19:$AC19,1,2036-$F19+1))</x:f>
        <x:v>41.917044892235424</x:v>
      </x:c>
      <x:c r="AU19" s="148" t="n">
        <x:f aca="0">IF(2037&lt;$F19,0,INDEX($I19:$AC19,1,2037-$F19+1))</x:f>
        <x:v>44.20414765379376</x:v>
      </x:c>
      <x:c r="AV19" s="148" t="n">
        <x:f aca="0">IF(2038&lt;$F19,0,INDEX($I19:$AC19,1,2038-$F19+1))</x:f>
        <x:v>46.26020202448015</x:v>
      </x:c>
      <x:c r="AW19" s="148" t="n">
        <x:f aca="0">IF(2039&lt;$F19,0,INDEX($I19:$AC19,1,2039-$F19+1))</x:f>
        <x:v>48.101088218427186</x:v>
      </x:c>
      <x:c r="AX19" s="148" t="n">
        <x:f aca="0">IF(2040&lt;$F19,0,INDEX($I19:$AC19,1,2040-$F19+1))</x:f>
        <x:v>49.743910464543156</x:v>
      </x:c>
      <x:c r="AY19" s="1" t="str">
        <x:f aca="0">LEFT($C19,FIND("@",SUBSTITUTE($C19,"|","@",2))-1)</x:f>
        <x:v>Fruit Orchard|Medium</x:v>
      </x:c>
      <x:c r="AZ19" s="1" t="str">
        <x:f aca="0">LEFT($C19,FIND("|",$C19)-1)</x:f>
        <x:v>Fruit Orchard</x:v>
      </x:c>
      <x:c r="BA19" s="149" t="n">
        <x:f aca="0">I19*I19</x:f>
        <x:v>0</x:v>
      </x:c>
      <x:c r="BB19" s="149" t="n">
        <x:f aca="0">J19*J19</x:f>
        <x:v>0.0006105925654462515</x:v>
      </x:c>
      <x:c r="BC19" s="149" t="n">
        <x:f aca="0">K19*K19</x:f>
        <x:v>0.09383293862893739</x:v>
      </x:c>
      <x:c r="BD19" s="149" t="n">
        <x:f aca="0">L19*L19</x:f>
        <x:v>1.3736302069042161</x:v>
      </x:c>
      <x:c r="BE19" s="149" t="n">
        <x:f aca="0">M19*M19</x:f>
        <x:v>7.874846218293337</x:v>
      </x:c>
      <x:c r="BF19" s="149" t="n">
        <x:f aca="0">N19*N19</x:f>
        <x:v>27.004301494218684</x:v>
      </x:c>
      <x:c r="BG19" s="149" t="n">
        <x:f aca="0">O19*O19</x:f>
        <x:v>67.47607983815081</x:v>
      </x:c>
      <x:c r="BH19" s="149" t="n">
        <x:f aca="0">P19*P19</x:f>
        <x:v>136.43440883379228</x:v>
      </x:c>
      <x:c r="BI19" s="149" t="n">
        <x:f aca="0">Q19*Q19</x:f>
        <x:v>237.54517486992077</x:v>
      </x:c>
      <x:c r="BJ19" s="149" t="n">
        <x:f aca="0">R19*R19</x:f>
        <x:v>370.5596005574411</x:v>
      </x:c>
      <x:c r="BK19" s="149" t="n">
        <x:f aca="0">S19*S19</x:f>
        <x:v>531.9682185943494</x:v>
      </x:c>
      <x:c r="BL19" s="149" t="n">
        <x:f aca="0">T19*T19</x:f>
        <x:v>716.138743585576</x:v>
      </x:c>
      <x:c r="BM19" s="149" t="n">
        <x:f aca="0">U19*U19</x:f>
        <x:v>916.4705058342429</x:v>
      </x:c>
      <x:c r="BN19" s="149" t="n">
        <x:f aca="0">V19*V19</x:f>
        <x:v>1126.319197223814</x:v>
      </x:c>
      <x:c r="BO19" s="149" t="n">
        <x:f aca="0">W19*W19</x:f>
        <x:v>1339.6184697584747</x:v>
      </x:c>
      <x:c r="BP19" s="149" t="n">
        <x:f aca="0">X19*X19</x:f>
        <x:v>1551.223144693835</x:v>
      </x:c>
      <x:c r="BQ19" s="149" t="n">
        <x:f aca="0">Y19*Y19</x:f>
        <x:v>1757.0386524976798</x:v>
      </x:c>
      <x:c r="BR19" s="149" t="n">
        <x:f aca="0">Z19*Z19</x:f>
        <x:v>1954.0066697984005</x:v>
      </x:c>
      <x:c r="BS19" s="149" t="n">
        <x:f aca="0">AA19*AA19</x:f>
        <x:v>2140.0062913457173</x:v>
      </x:c>
      <x:c r="BT19" s="149" t="n">
        <x:f aca="0">AB19*AB19</x:f>
        <x:v>2313.714687796915</x:v>
      </x:c>
      <x:c r="BU19" s="149" t="n">
        <x:f aca="0">AC19*AC19</x:f>
        <x:v>2474.456628304486</x:v>
      </x:c>
    </x:row>
    <x:row r="20" ht="15" hidden="0" customHeight="1">
      <x:c r="A20" s="1" t="str">
        <x:f aca="0">S13_PSP_Species_Support!A7</x:f>
        <x:v>PSP-FO-006</x:v>
      </x:c>
      <x:c r="B20" s="1" t="n">
        <x:f aca="0">7</x:f>
        <x:v>7</x:v>
      </x:c>
      <x:c r="C20" s="1" t="str">
        <x:f aca="0">S13_PSP_Species_Support!I7</x:f>
        <x:v>Fruit Orchard|Medium|2021</x:v>
      </x:c>
      <x:c r="D20" s="1" t="str">
        <x:f aca="0">S13_PSP_Species_Support!C7</x:f>
        <x:v>Fruit Orchard (Block)</x:v>
      </x:c>
      <x:c r="E20" s="1" t="str">
        <x:f aca="0">S13_PSP_Species_Support!D7</x:f>
        <x:v>Medium</x:v>
      </x:c>
      <x:c r="F20" s="1" t="n">
        <x:f aca="0">S13_PSP_Species_Support!E7</x:f>
        <x:v>2021</x:v>
      </x:c>
      <x:c r="G20" s="645" t="n">
        <x:f aca="0">'S13_PSP_Species_Support'!DJ7</x:f>
        <x:v>0.09</x:v>
      </x:c>
      <x:c r="H20" s="714" t="n">
        <x:f aca="0">'S13_PSP_Species_Support'!DK7</x:f>
        <x:v>30.77597544936431</x:v>
      </x:c>
      <x:c r="I20" s="147" t="n">
        <x:f aca="0">IFERROR((IFERROR(S13_PSP_Species_Support!U7*0.0673*(S13_PSP_Species_Support!V7*(S13_PSP_Species_Support!W7*(1-EXP(-S13_PSP_Species_Support!X7*0))^S13_PSP_Species_Support!Y7)^2*(S13_PSP_Species_Support!Z7*(1-EXP(-S13_PSP_Species_Support!AA7*0))^S13_PSP_Species_Support!AB7))^0.976,0)+IFERROR(S13_PSP_Species_Support!AF7*0.0673*(S13_PSP_Species_Support!AG7*(S13_PSP_Species_Support!AH7*(1-EXP(-S13_PSP_Species_Support!AI7*0))^S13_PSP_Species_Support!AJ7)^2*(S13_PSP_Species_Support!AK7*(1-EXP(-S13_PSP_Species_Support!AL7*0))^S13_PSP_Species_Support!AM7))^0.976,0)+IFERROR(S13_PSP_Species_Support!AQ7*0.0673*(S13_PSP_Species_Support!AR7*(S13_PSP_Species_Support!AS7*(1-EXP(-S13_PSP_Species_Support!AT7*0))^S13_PSP_Species_Support!AU7)^2*(S13_PSP_Species_Support!AV7*(1-EXP(-S13_PSP_Species_Support!AW7*0))^S13_PSP_Species_Support!AX7))^0.976,0)+IFERROR(S13_PSP_Species_Support!BB7*0.0673*(S13_PSP_Species_Support!BC7*(S13_PSP_Species_Support!BD7*(1-EXP(-S13_PSP_Species_Support!BE7*0))^S13_PSP_Species_Support!BF7)^2*(S13_PSP_Species_Support!BG7*(1-EXP(-S13_PSP_Species_Support!BH7*0))^S13_PSP_Species_Support!BI7))^0.976,0)+IFERROR(S13_PSP_Species_Support!BM7*0.0673*(S13_PSP_Species_Support!BN7*(S13_PSP_Species_Support!BO7*(1-EXP(-S13_PSP_Species_Support!BP7*0))^S13_PSP_Species_Support!BQ7)^2*(S13_PSP_Species_Support!BR7*(1-EXP(-S13_PSP_Species_Support!BS7*0))^S13_PSP_Species_Support!BT7))^0.976,0)+IFERROR(S13_PSP_Species_Support!BX7*0.0673*(S13_PSP_Species_Support!BY7*(S13_PSP_Species_Support!BZ7*(1-EXP(-S13_PSP_Species_Support!CA7*0))^S13_PSP_Species_Support!CB7)^2*(S13_PSP_Species_Support!CC7*(1-EXP(-S13_PSP_Species_Support!CD7*0))^S13_PSP_Species_Support!CE7))^0.976,0)+IFERROR(S13_PSP_Species_Support!CI7*0.0673*(S13_PSP_Species_Support!CJ7*(S13_PSP_Species_Support!CK7*(1-EXP(-S13_PSP_Species_Support!CL7*0))^S13_PSP_Species_Support!CM7)^2*(S13_PSP_Species_Support!CN7*(1-EXP(-S13_PSP_Species_Support!CO7*0))^S13_PSP_Species_Support!CP7))^0.976,0)+IFERROR(S13_PSP_Species_Support!CT7*0.0673*(S13_PSP_Species_Support!CU7*(S13_PSP_Species_Support!CV7*(1-EXP(-S13_PSP_Species_Support!CW7*0))^S13_PSP_Species_Support!CX7)^2*(S13_PSP_Species_Support!CY7*(1-EXP(-S13_PSP_Species_Support!CZ7*0))^S13_PSP_Species_Support!DA7))^0.976,0))/1000/$G20*I$108,0)</x:f>
        <x:v>0</x:v>
      </x:c>
      <x:c r="J20" s="147" t="n">
        <x:f aca="0">IFERROR((IFERROR(S13_PSP_Species_Support!U7*0.0673*(S13_PSP_Species_Support!V7*(S13_PSP_Species_Support!W7*(1-EXP(-S13_PSP_Species_Support!X7*1))^S13_PSP_Species_Support!Y7)^2*(S13_PSP_Species_Support!Z7*(1-EXP(-S13_PSP_Species_Support!AA7*1))^S13_PSP_Species_Support!AB7))^0.976,0)+IFERROR(S13_PSP_Species_Support!AF7*0.0673*(S13_PSP_Species_Support!AG7*(S13_PSP_Species_Support!AH7*(1-EXP(-S13_PSP_Species_Support!AI7*1))^S13_PSP_Species_Support!AJ7)^2*(S13_PSP_Species_Support!AK7*(1-EXP(-S13_PSP_Species_Support!AL7*1))^S13_PSP_Species_Support!AM7))^0.976,0)+IFERROR(S13_PSP_Species_Support!AQ7*0.0673*(S13_PSP_Species_Support!AR7*(S13_PSP_Species_Support!AS7*(1-EXP(-S13_PSP_Species_Support!AT7*1))^S13_PSP_Species_Support!AU7)^2*(S13_PSP_Species_Support!AV7*(1-EXP(-S13_PSP_Species_Support!AW7*1))^S13_PSP_Species_Support!AX7))^0.976,0)+IFERROR(S13_PSP_Species_Support!BB7*0.0673*(S13_PSP_Species_Support!BC7*(S13_PSP_Species_Support!BD7*(1-EXP(-S13_PSP_Species_Support!BE7*1))^S13_PSP_Species_Support!BF7)^2*(S13_PSP_Species_Support!BG7*(1-EXP(-S13_PSP_Species_Support!BH7*1))^S13_PSP_Species_Support!BI7))^0.976,0)+IFERROR(S13_PSP_Species_Support!BM7*0.0673*(S13_PSP_Species_Support!BN7*(S13_PSP_Species_Support!BO7*(1-EXP(-S13_PSP_Species_Support!BP7*1))^S13_PSP_Species_Support!BQ7)^2*(S13_PSP_Species_Support!BR7*(1-EXP(-S13_PSP_Species_Support!BS7*1))^S13_PSP_Species_Support!BT7))^0.976,0)+IFERROR(S13_PSP_Species_Support!BX7*0.0673*(S13_PSP_Species_Support!BY7*(S13_PSP_Species_Support!BZ7*(1-EXP(-S13_PSP_Species_Support!CA7*1))^S13_PSP_Species_Support!CB7)^2*(S13_PSP_Species_Support!CC7*(1-EXP(-S13_PSP_Species_Support!CD7*1))^S13_PSP_Species_Support!CE7))^0.976,0)+IFERROR(S13_PSP_Species_Support!CI7*0.0673*(S13_PSP_Species_Support!CJ7*(S13_PSP_Species_Support!CK7*(1-EXP(-S13_PSP_Species_Support!CL7*1))^S13_PSP_Species_Support!CM7)^2*(S13_PSP_Species_Support!CN7*(1-EXP(-S13_PSP_Species_Support!CO7*1))^S13_PSP_Species_Support!CP7))^0.976,0)+IFERROR(S13_PSP_Species_Support!CT7*0.0673*(S13_PSP_Species_Support!CU7*(S13_PSP_Species_Support!CV7*(1-EXP(-S13_PSP_Species_Support!CW7*1))^S13_PSP_Species_Support!CX7)^2*(S13_PSP_Species_Support!CY7*(1-EXP(-S13_PSP_Species_Support!CZ7*1))^S13_PSP_Species_Support!DA7))^0.976,0))/1000/$G20*J$108,0)</x:f>
        <x:v>0.0765562081554228</x:v>
      </x:c>
      <x:c r="K20" s="147" t="n">
        <x:f aca="0">IFERROR((IFERROR(S13_PSP_Species_Support!U7*0.0673*(S13_PSP_Species_Support!V7*(S13_PSP_Species_Support!W7*(1-EXP(-S13_PSP_Species_Support!X7*2))^S13_PSP_Species_Support!Y7)^2*(S13_PSP_Species_Support!Z7*(1-EXP(-S13_PSP_Species_Support!AA7*2))^S13_PSP_Species_Support!AB7))^0.976,0)+IFERROR(S13_PSP_Species_Support!AF7*0.0673*(S13_PSP_Species_Support!AG7*(S13_PSP_Species_Support!AH7*(1-EXP(-S13_PSP_Species_Support!AI7*2))^S13_PSP_Species_Support!AJ7)^2*(S13_PSP_Species_Support!AK7*(1-EXP(-S13_PSP_Species_Support!AL7*2))^S13_PSP_Species_Support!AM7))^0.976,0)+IFERROR(S13_PSP_Species_Support!AQ7*0.0673*(S13_PSP_Species_Support!AR7*(S13_PSP_Species_Support!AS7*(1-EXP(-S13_PSP_Species_Support!AT7*2))^S13_PSP_Species_Support!AU7)^2*(S13_PSP_Species_Support!AV7*(1-EXP(-S13_PSP_Species_Support!AW7*2))^S13_PSP_Species_Support!AX7))^0.976,0)+IFERROR(S13_PSP_Species_Support!BB7*0.0673*(S13_PSP_Species_Support!BC7*(S13_PSP_Species_Support!BD7*(1-EXP(-S13_PSP_Species_Support!BE7*2))^S13_PSP_Species_Support!BF7)^2*(S13_PSP_Species_Support!BG7*(1-EXP(-S13_PSP_Species_Support!BH7*2))^S13_PSP_Species_Support!BI7))^0.976,0)+IFERROR(S13_PSP_Species_Support!BM7*0.0673*(S13_PSP_Species_Support!BN7*(S13_PSP_Species_Support!BO7*(1-EXP(-S13_PSP_Species_Support!BP7*2))^S13_PSP_Species_Support!BQ7)^2*(S13_PSP_Species_Support!BR7*(1-EXP(-S13_PSP_Species_Support!BS7*2))^S13_PSP_Species_Support!BT7))^0.976,0)+IFERROR(S13_PSP_Species_Support!BX7*0.0673*(S13_PSP_Species_Support!BY7*(S13_PSP_Species_Support!BZ7*(1-EXP(-S13_PSP_Species_Support!CA7*2))^S13_PSP_Species_Support!CB7)^2*(S13_PSP_Species_Support!CC7*(1-EXP(-S13_PSP_Species_Support!CD7*2))^S13_PSP_Species_Support!CE7))^0.976,0)+IFERROR(S13_PSP_Species_Support!CI7*0.0673*(S13_PSP_Species_Support!CJ7*(S13_PSP_Species_Support!CK7*(1-EXP(-S13_PSP_Species_Support!CL7*2))^S13_PSP_Species_Support!CM7)^2*(S13_PSP_Species_Support!CN7*(1-EXP(-S13_PSP_Species_Support!CO7*2))^S13_PSP_Species_Support!CP7))^0.976,0)+IFERROR(S13_PSP_Species_Support!CT7*0.0673*(S13_PSP_Species_Support!CU7*(S13_PSP_Species_Support!CV7*(1-EXP(-S13_PSP_Species_Support!CW7*2))^S13_PSP_Species_Support!CX7)^2*(S13_PSP_Species_Support!CY7*(1-EXP(-S13_PSP_Species_Support!CZ7*2))^S13_PSP_Species_Support!DA7))^0.976,0))/1000/$G20*K$108,0)</x:f>
        <x:v>0.9166914159554822</x:v>
      </x:c>
      <x:c r="L20" s="147" t="n">
        <x:f aca="0">IFERROR((IFERROR(S13_PSP_Species_Support!U7*0.0673*(S13_PSP_Species_Support!V7*(S13_PSP_Species_Support!W7*(1-EXP(-S13_PSP_Species_Support!X7*3))^S13_PSP_Species_Support!Y7)^2*(S13_PSP_Species_Support!Z7*(1-EXP(-S13_PSP_Species_Support!AA7*3))^S13_PSP_Species_Support!AB7))^0.976,0)+IFERROR(S13_PSP_Species_Support!AF7*0.0673*(S13_PSP_Species_Support!AG7*(S13_PSP_Species_Support!AH7*(1-EXP(-S13_PSP_Species_Support!AI7*3))^S13_PSP_Species_Support!AJ7)^2*(S13_PSP_Species_Support!AK7*(1-EXP(-S13_PSP_Species_Support!AL7*3))^S13_PSP_Species_Support!AM7))^0.976,0)+IFERROR(S13_PSP_Species_Support!AQ7*0.0673*(S13_PSP_Species_Support!AR7*(S13_PSP_Species_Support!AS7*(1-EXP(-S13_PSP_Species_Support!AT7*3))^S13_PSP_Species_Support!AU7)^2*(S13_PSP_Species_Support!AV7*(1-EXP(-S13_PSP_Species_Support!AW7*3))^S13_PSP_Species_Support!AX7))^0.976,0)+IFERROR(S13_PSP_Species_Support!BB7*0.0673*(S13_PSP_Species_Support!BC7*(S13_PSP_Species_Support!BD7*(1-EXP(-S13_PSP_Species_Support!BE7*3))^S13_PSP_Species_Support!BF7)^2*(S13_PSP_Species_Support!BG7*(1-EXP(-S13_PSP_Species_Support!BH7*3))^S13_PSP_Species_Support!BI7))^0.976,0)+IFERROR(S13_PSP_Species_Support!BM7*0.0673*(S13_PSP_Species_Support!BN7*(S13_PSP_Species_Support!BO7*(1-EXP(-S13_PSP_Species_Support!BP7*3))^S13_PSP_Species_Support!BQ7)^2*(S13_PSP_Species_Support!BR7*(1-EXP(-S13_PSP_Species_Support!BS7*3))^S13_PSP_Species_Support!BT7))^0.976,0)+IFERROR(S13_PSP_Species_Support!BX7*0.0673*(S13_PSP_Species_Support!BY7*(S13_PSP_Species_Support!BZ7*(1-EXP(-S13_PSP_Species_Support!CA7*3))^S13_PSP_Species_Support!CB7)^2*(S13_PSP_Species_Support!CC7*(1-EXP(-S13_PSP_Species_Support!CD7*3))^S13_PSP_Species_Support!CE7))^0.976,0)+IFERROR(S13_PSP_Species_Support!CI7*0.0673*(S13_PSP_Species_Support!CJ7*(S13_PSP_Species_Support!CK7*(1-EXP(-S13_PSP_Species_Support!CL7*3))^S13_PSP_Species_Support!CM7)^2*(S13_PSP_Species_Support!CN7*(1-EXP(-S13_PSP_Species_Support!CO7*3))^S13_PSP_Species_Support!CP7))^0.976,0)+IFERROR(S13_PSP_Species_Support!CT7*0.0673*(S13_PSP_Species_Support!CU7*(S13_PSP_Species_Support!CV7*(1-EXP(-S13_PSP_Species_Support!CW7*3))^S13_PSP_Species_Support!CX7)^2*(S13_PSP_Species_Support!CY7*(1-EXP(-S13_PSP_Species_Support!CZ7*3))^S13_PSP_Species_Support!DA7))^0.976,0))/1000/$G20*L$108,0)</x:f>
        <x:v>3.5308507481596814</x:v>
      </x:c>
      <x:c r="M20" s="147" t="n">
        <x:f aca="0">IFERROR((IFERROR(S13_PSP_Species_Support!U7*0.0673*(S13_PSP_Species_Support!V7*(S13_PSP_Species_Support!W7*(1-EXP(-S13_PSP_Species_Support!X7*4))^S13_PSP_Species_Support!Y7)^2*(S13_PSP_Species_Support!Z7*(1-EXP(-S13_PSP_Species_Support!AA7*4))^S13_PSP_Species_Support!AB7))^0.976,0)+IFERROR(S13_PSP_Species_Support!AF7*0.0673*(S13_PSP_Species_Support!AG7*(S13_PSP_Species_Support!AH7*(1-EXP(-S13_PSP_Species_Support!AI7*4))^S13_PSP_Species_Support!AJ7)^2*(S13_PSP_Species_Support!AK7*(1-EXP(-S13_PSP_Species_Support!AL7*4))^S13_PSP_Species_Support!AM7))^0.976,0)+IFERROR(S13_PSP_Species_Support!AQ7*0.0673*(S13_PSP_Species_Support!AR7*(S13_PSP_Species_Support!AS7*(1-EXP(-S13_PSP_Species_Support!AT7*4))^S13_PSP_Species_Support!AU7)^2*(S13_PSP_Species_Support!AV7*(1-EXP(-S13_PSP_Species_Support!AW7*4))^S13_PSP_Species_Support!AX7))^0.976,0)+IFERROR(S13_PSP_Species_Support!BB7*0.0673*(S13_PSP_Species_Support!BC7*(S13_PSP_Species_Support!BD7*(1-EXP(-S13_PSP_Species_Support!BE7*4))^S13_PSP_Species_Support!BF7)^2*(S13_PSP_Species_Support!BG7*(1-EXP(-S13_PSP_Species_Support!BH7*4))^S13_PSP_Species_Support!BI7))^0.976,0)+IFERROR(S13_PSP_Species_Support!BM7*0.0673*(S13_PSP_Species_Support!BN7*(S13_PSP_Species_Support!BO7*(1-EXP(-S13_PSP_Species_Support!BP7*4))^S13_PSP_Species_Support!BQ7)^2*(S13_PSP_Species_Support!BR7*(1-EXP(-S13_PSP_Species_Support!BS7*4))^S13_PSP_Species_Support!BT7))^0.976,0)+IFERROR(S13_PSP_Species_Support!BX7*0.0673*(S13_PSP_Species_Support!BY7*(S13_PSP_Species_Support!BZ7*(1-EXP(-S13_PSP_Species_Support!CA7*4))^S13_PSP_Species_Support!CB7)^2*(S13_PSP_Species_Support!CC7*(1-EXP(-S13_PSP_Species_Support!CD7*4))^S13_PSP_Species_Support!CE7))^0.976,0)+IFERROR(S13_PSP_Species_Support!CI7*0.0673*(S13_PSP_Species_Support!CJ7*(S13_PSP_Species_Support!CK7*(1-EXP(-S13_PSP_Species_Support!CL7*4))^S13_PSP_Species_Support!CM7)^2*(S13_PSP_Species_Support!CN7*(1-EXP(-S13_PSP_Species_Support!CO7*4))^S13_PSP_Species_Support!CP7))^0.976,0)+IFERROR(S13_PSP_Species_Support!CT7*0.0673*(S13_PSP_Species_Support!CU7*(S13_PSP_Species_Support!CV7*(1-EXP(-S13_PSP_Species_Support!CW7*4))^S13_PSP_Species_Support!CX7)^2*(S13_PSP_Species_Support!CY7*(1-EXP(-S13_PSP_Species_Support!CZ7*4))^S13_PSP_Species_Support!DA7))^0.976,0))/1000/$G20*M$108,0)</x:f>
        <x:v>8.632741836530373</x:v>
      </x:c>
      <x:c r="N20" s="147" t="n">
        <x:f aca="0">IFERROR((IFERROR(S13_PSP_Species_Support!U7*0.0673*(S13_PSP_Species_Support!V7*(S13_PSP_Species_Support!W7*(1-EXP(-S13_PSP_Species_Support!X7*5))^S13_PSP_Species_Support!Y7)^2*(S13_PSP_Species_Support!Z7*(1-EXP(-S13_PSP_Species_Support!AA7*5))^S13_PSP_Species_Support!AB7))^0.976,0)+IFERROR(S13_PSP_Species_Support!AF7*0.0673*(S13_PSP_Species_Support!AG7*(S13_PSP_Species_Support!AH7*(1-EXP(-S13_PSP_Species_Support!AI7*5))^S13_PSP_Species_Support!AJ7)^2*(S13_PSP_Species_Support!AK7*(1-EXP(-S13_PSP_Species_Support!AL7*5))^S13_PSP_Species_Support!AM7))^0.976,0)+IFERROR(S13_PSP_Species_Support!AQ7*0.0673*(S13_PSP_Species_Support!AR7*(S13_PSP_Species_Support!AS7*(1-EXP(-S13_PSP_Species_Support!AT7*5))^S13_PSP_Species_Support!AU7)^2*(S13_PSP_Species_Support!AV7*(1-EXP(-S13_PSP_Species_Support!AW7*5))^S13_PSP_Species_Support!AX7))^0.976,0)+IFERROR(S13_PSP_Species_Support!BB7*0.0673*(S13_PSP_Species_Support!BC7*(S13_PSP_Species_Support!BD7*(1-EXP(-S13_PSP_Species_Support!BE7*5))^S13_PSP_Species_Support!BF7)^2*(S13_PSP_Species_Support!BG7*(1-EXP(-S13_PSP_Species_Support!BH7*5))^S13_PSP_Species_Support!BI7))^0.976,0)+IFERROR(S13_PSP_Species_Support!BM7*0.0673*(S13_PSP_Species_Support!BN7*(S13_PSP_Species_Support!BO7*(1-EXP(-S13_PSP_Species_Support!BP7*5))^S13_PSP_Species_Support!BQ7)^2*(S13_PSP_Species_Support!BR7*(1-EXP(-S13_PSP_Species_Support!BS7*5))^S13_PSP_Species_Support!BT7))^0.976,0)+IFERROR(S13_PSP_Species_Support!BX7*0.0673*(S13_PSP_Species_Support!BY7*(S13_PSP_Species_Support!BZ7*(1-EXP(-S13_PSP_Species_Support!CA7*5))^S13_PSP_Species_Support!CB7)^2*(S13_PSP_Species_Support!CC7*(1-EXP(-S13_PSP_Species_Support!CD7*5))^S13_PSP_Species_Support!CE7))^0.976,0)+IFERROR(S13_PSP_Species_Support!CI7*0.0673*(S13_PSP_Species_Support!CJ7*(S13_PSP_Species_Support!CK7*(1-EXP(-S13_PSP_Species_Support!CL7*5))^S13_PSP_Species_Support!CM7)^2*(S13_PSP_Species_Support!CN7*(1-EXP(-S13_PSP_Species_Support!CO7*5))^S13_PSP_Species_Support!CP7))^0.976,0)+IFERROR(S13_PSP_Species_Support!CT7*0.0673*(S13_PSP_Species_Support!CU7*(S13_PSP_Species_Support!CV7*(1-EXP(-S13_PSP_Species_Support!CW7*5))^S13_PSP_Species_Support!CX7)^2*(S13_PSP_Species_Support!CY7*(1-EXP(-S13_PSP_Species_Support!CZ7*5))^S13_PSP_Species_Support!DA7))^0.976,0))/1000/$G20*N$108,0)</x:f>
        <x:v>16.412448260200513</x:v>
      </x:c>
      <x:c r="O20" s="147" t="n">
        <x:f aca="0">IFERROR((IFERROR(S13_PSP_Species_Support!U7*0.0673*(S13_PSP_Species_Support!V7*(S13_PSP_Species_Support!W7*(1-EXP(-S13_PSP_Species_Support!X7*6))^S13_PSP_Species_Support!Y7)^2*(S13_PSP_Species_Support!Z7*(1-EXP(-S13_PSP_Species_Support!AA7*6))^S13_PSP_Species_Support!AB7))^0.976,0)+IFERROR(S13_PSP_Species_Support!AF7*0.0673*(S13_PSP_Species_Support!AG7*(S13_PSP_Species_Support!AH7*(1-EXP(-S13_PSP_Species_Support!AI7*6))^S13_PSP_Species_Support!AJ7)^2*(S13_PSP_Species_Support!AK7*(1-EXP(-S13_PSP_Species_Support!AL7*6))^S13_PSP_Species_Support!AM7))^0.976,0)+IFERROR(S13_PSP_Species_Support!AQ7*0.0673*(S13_PSP_Species_Support!AR7*(S13_PSP_Species_Support!AS7*(1-EXP(-S13_PSP_Species_Support!AT7*6))^S13_PSP_Species_Support!AU7)^2*(S13_PSP_Species_Support!AV7*(1-EXP(-S13_PSP_Species_Support!AW7*6))^S13_PSP_Species_Support!AX7))^0.976,0)+IFERROR(S13_PSP_Species_Support!BB7*0.0673*(S13_PSP_Species_Support!BC7*(S13_PSP_Species_Support!BD7*(1-EXP(-S13_PSP_Species_Support!BE7*6))^S13_PSP_Species_Support!BF7)^2*(S13_PSP_Species_Support!BG7*(1-EXP(-S13_PSP_Species_Support!BH7*6))^S13_PSP_Species_Support!BI7))^0.976,0)+IFERROR(S13_PSP_Species_Support!BM7*0.0673*(S13_PSP_Species_Support!BN7*(S13_PSP_Species_Support!BO7*(1-EXP(-S13_PSP_Species_Support!BP7*6))^S13_PSP_Species_Support!BQ7)^2*(S13_PSP_Species_Support!BR7*(1-EXP(-S13_PSP_Species_Support!BS7*6))^S13_PSP_Species_Support!BT7))^0.976,0)+IFERROR(S13_PSP_Species_Support!BX7*0.0673*(S13_PSP_Species_Support!BY7*(S13_PSP_Species_Support!BZ7*(1-EXP(-S13_PSP_Species_Support!CA7*6))^S13_PSP_Species_Support!CB7)^2*(S13_PSP_Species_Support!CC7*(1-EXP(-S13_PSP_Species_Support!CD7*6))^S13_PSP_Species_Support!CE7))^0.976,0)+IFERROR(S13_PSP_Species_Support!CI7*0.0673*(S13_PSP_Species_Support!CJ7*(S13_PSP_Species_Support!CK7*(1-EXP(-S13_PSP_Species_Support!CL7*6))^S13_PSP_Species_Support!CM7)^2*(S13_PSP_Species_Support!CN7*(1-EXP(-S13_PSP_Species_Support!CO7*6))^S13_PSP_Species_Support!CP7))^0.976,0)+IFERROR(S13_PSP_Species_Support!CT7*0.0673*(S13_PSP_Species_Support!CU7*(S13_PSP_Species_Support!CV7*(1-EXP(-S13_PSP_Species_Support!CW7*6))^S13_PSP_Species_Support!CX7)^2*(S13_PSP_Species_Support!CY7*(1-EXP(-S13_PSP_Species_Support!CZ7*6))^S13_PSP_Species_Support!DA7))^0.976,0))/1000/$G20*O$108,0)</x:f>
        <x:v>26.677058111398612</x:v>
      </x:c>
      <x:c r="P20" s="147" t="n">
        <x:f aca="0">IFERROR((IFERROR(S13_PSP_Species_Support!U7*0.0673*(S13_PSP_Species_Support!V7*(S13_PSP_Species_Support!W7*(1-EXP(-S13_PSP_Species_Support!X7*7))^S13_PSP_Species_Support!Y7)^2*(S13_PSP_Species_Support!Z7*(1-EXP(-S13_PSP_Species_Support!AA7*7))^S13_PSP_Species_Support!AB7))^0.976,0)+IFERROR(S13_PSP_Species_Support!AF7*0.0673*(S13_PSP_Species_Support!AG7*(S13_PSP_Species_Support!AH7*(1-EXP(-S13_PSP_Species_Support!AI7*7))^S13_PSP_Species_Support!AJ7)^2*(S13_PSP_Species_Support!AK7*(1-EXP(-S13_PSP_Species_Support!AL7*7))^S13_PSP_Species_Support!AM7))^0.976,0)+IFERROR(S13_PSP_Species_Support!AQ7*0.0673*(S13_PSP_Species_Support!AR7*(S13_PSP_Species_Support!AS7*(1-EXP(-S13_PSP_Species_Support!AT7*7))^S13_PSP_Species_Support!AU7)^2*(S13_PSP_Species_Support!AV7*(1-EXP(-S13_PSP_Species_Support!AW7*7))^S13_PSP_Species_Support!AX7))^0.976,0)+IFERROR(S13_PSP_Species_Support!BB7*0.0673*(S13_PSP_Species_Support!BC7*(S13_PSP_Species_Support!BD7*(1-EXP(-S13_PSP_Species_Support!BE7*7))^S13_PSP_Species_Support!BF7)^2*(S13_PSP_Species_Support!BG7*(1-EXP(-S13_PSP_Species_Support!BH7*7))^S13_PSP_Species_Support!BI7))^0.976,0)+IFERROR(S13_PSP_Species_Support!BM7*0.0673*(S13_PSP_Species_Support!BN7*(S13_PSP_Species_Support!BO7*(1-EXP(-S13_PSP_Species_Support!BP7*7))^S13_PSP_Species_Support!BQ7)^2*(S13_PSP_Species_Support!BR7*(1-EXP(-S13_PSP_Species_Support!BS7*7))^S13_PSP_Species_Support!BT7))^0.976,0)+IFERROR(S13_PSP_Species_Support!BX7*0.0673*(S13_PSP_Species_Support!BY7*(S13_PSP_Species_Support!BZ7*(1-EXP(-S13_PSP_Species_Support!CA7*7))^S13_PSP_Species_Support!CB7)^2*(S13_PSP_Species_Support!CC7*(1-EXP(-S13_PSP_Species_Support!CD7*7))^S13_PSP_Species_Support!CE7))^0.976,0)+IFERROR(S13_PSP_Species_Support!CI7*0.0673*(S13_PSP_Species_Support!CJ7*(S13_PSP_Species_Support!CK7*(1-EXP(-S13_PSP_Species_Support!CL7*7))^S13_PSP_Species_Support!CM7)^2*(S13_PSP_Species_Support!CN7*(1-EXP(-S13_PSP_Species_Support!CO7*7))^S13_PSP_Species_Support!CP7))^0.976,0)+IFERROR(S13_PSP_Species_Support!CT7*0.0673*(S13_PSP_Species_Support!CU7*(S13_PSP_Species_Support!CV7*(1-EXP(-S13_PSP_Species_Support!CW7*7))^S13_PSP_Species_Support!CX7)^2*(S13_PSP_Species_Support!CY7*(1-EXP(-S13_PSP_Species_Support!CZ7*7))^S13_PSP_Species_Support!DA7))^0.976,0))/1000/$G20*P$108,0)</x:f>
        <x:v>38.99339471125798</x:v>
      </x:c>
      <x:c r="Q20" s="147" t="n">
        <x:f aca="0">IFERROR((IFERROR(S13_PSP_Species_Support!U7*0.0673*(S13_PSP_Species_Support!V7*(S13_PSP_Species_Support!W7*(1-EXP(-S13_PSP_Species_Support!X7*8))^S13_PSP_Species_Support!Y7)^2*(S13_PSP_Species_Support!Z7*(1-EXP(-S13_PSP_Species_Support!AA7*8))^S13_PSP_Species_Support!AB7))^0.976,0)+IFERROR(S13_PSP_Species_Support!AF7*0.0673*(S13_PSP_Species_Support!AG7*(S13_PSP_Species_Support!AH7*(1-EXP(-S13_PSP_Species_Support!AI7*8))^S13_PSP_Species_Support!AJ7)^2*(S13_PSP_Species_Support!AK7*(1-EXP(-S13_PSP_Species_Support!AL7*8))^S13_PSP_Species_Support!AM7))^0.976,0)+IFERROR(S13_PSP_Species_Support!AQ7*0.0673*(S13_PSP_Species_Support!AR7*(S13_PSP_Species_Support!AS7*(1-EXP(-S13_PSP_Species_Support!AT7*8))^S13_PSP_Species_Support!AU7)^2*(S13_PSP_Species_Support!AV7*(1-EXP(-S13_PSP_Species_Support!AW7*8))^S13_PSP_Species_Support!AX7))^0.976,0)+IFERROR(S13_PSP_Species_Support!BB7*0.0673*(S13_PSP_Species_Support!BC7*(S13_PSP_Species_Support!BD7*(1-EXP(-S13_PSP_Species_Support!BE7*8))^S13_PSP_Species_Support!BF7)^2*(S13_PSP_Species_Support!BG7*(1-EXP(-S13_PSP_Species_Support!BH7*8))^S13_PSP_Species_Support!BI7))^0.976,0)+IFERROR(S13_PSP_Species_Support!BM7*0.0673*(S13_PSP_Species_Support!BN7*(S13_PSP_Species_Support!BO7*(1-EXP(-S13_PSP_Species_Support!BP7*8))^S13_PSP_Species_Support!BQ7)^2*(S13_PSP_Species_Support!BR7*(1-EXP(-S13_PSP_Species_Support!BS7*8))^S13_PSP_Species_Support!BT7))^0.976,0)+IFERROR(S13_PSP_Species_Support!BX7*0.0673*(S13_PSP_Species_Support!BY7*(S13_PSP_Species_Support!BZ7*(1-EXP(-S13_PSP_Species_Support!CA7*8))^S13_PSP_Species_Support!CB7)^2*(S13_PSP_Species_Support!CC7*(1-EXP(-S13_PSP_Species_Support!CD7*8))^S13_PSP_Species_Support!CE7))^0.976,0)+IFERROR(S13_PSP_Species_Support!CI7*0.0673*(S13_PSP_Species_Support!CJ7*(S13_PSP_Species_Support!CK7*(1-EXP(-S13_PSP_Species_Support!CL7*8))^S13_PSP_Species_Support!CM7)^2*(S13_PSP_Species_Support!CN7*(1-EXP(-S13_PSP_Species_Support!CO7*8))^S13_PSP_Species_Support!CP7))^0.976,0)+IFERROR(S13_PSP_Species_Support!CT7*0.0673*(S13_PSP_Species_Support!CU7*(S13_PSP_Species_Support!CV7*(1-EXP(-S13_PSP_Species_Support!CW7*8))^S13_PSP_Species_Support!CX7)^2*(S13_PSP_Species_Support!CY7*(1-EXP(-S13_PSP_Species_Support!CZ7*8))^S13_PSP_Species_Support!DA7))^0.976,0))/1000/$G20*Q$108,0)</x:f>
        <x:v>52.821841642834805</x:v>
      </x:c>
      <x:c r="R20" s="147" t="n">
        <x:f aca="0">IFERROR((IFERROR(S13_PSP_Species_Support!U7*0.0673*(S13_PSP_Species_Support!V7*(S13_PSP_Species_Support!W7*(1-EXP(-S13_PSP_Species_Support!X7*9))^S13_PSP_Species_Support!Y7)^2*(S13_PSP_Species_Support!Z7*(1-EXP(-S13_PSP_Species_Support!AA7*9))^S13_PSP_Species_Support!AB7))^0.976,0)+IFERROR(S13_PSP_Species_Support!AF7*0.0673*(S13_PSP_Species_Support!AG7*(S13_PSP_Species_Support!AH7*(1-EXP(-S13_PSP_Species_Support!AI7*9))^S13_PSP_Species_Support!AJ7)^2*(S13_PSP_Species_Support!AK7*(1-EXP(-S13_PSP_Species_Support!AL7*9))^S13_PSP_Species_Support!AM7))^0.976,0)+IFERROR(S13_PSP_Species_Support!AQ7*0.0673*(S13_PSP_Species_Support!AR7*(S13_PSP_Species_Support!AS7*(1-EXP(-S13_PSP_Species_Support!AT7*9))^S13_PSP_Species_Support!AU7)^2*(S13_PSP_Species_Support!AV7*(1-EXP(-S13_PSP_Species_Support!AW7*9))^S13_PSP_Species_Support!AX7))^0.976,0)+IFERROR(S13_PSP_Species_Support!BB7*0.0673*(S13_PSP_Species_Support!BC7*(S13_PSP_Species_Support!BD7*(1-EXP(-S13_PSP_Species_Support!BE7*9))^S13_PSP_Species_Support!BF7)^2*(S13_PSP_Species_Support!BG7*(1-EXP(-S13_PSP_Species_Support!BH7*9))^S13_PSP_Species_Support!BI7))^0.976,0)+IFERROR(S13_PSP_Species_Support!BM7*0.0673*(S13_PSP_Species_Support!BN7*(S13_PSP_Species_Support!BO7*(1-EXP(-S13_PSP_Species_Support!BP7*9))^S13_PSP_Species_Support!BQ7)^2*(S13_PSP_Species_Support!BR7*(1-EXP(-S13_PSP_Species_Support!BS7*9))^S13_PSP_Species_Support!BT7))^0.976,0)+IFERROR(S13_PSP_Species_Support!BX7*0.0673*(S13_PSP_Species_Support!BY7*(S13_PSP_Species_Support!BZ7*(1-EXP(-S13_PSP_Species_Support!CA7*9))^S13_PSP_Species_Support!CB7)^2*(S13_PSP_Species_Support!CC7*(1-EXP(-S13_PSP_Species_Support!CD7*9))^S13_PSP_Species_Support!CE7))^0.976,0)+IFERROR(S13_PSP_Species_Support!CI7*0.0673*(S13_PSP_Species_Support!CJ7*(S13_PSP_Species_Support!CK7*(1-EXP(-S13_PSP_Species_Support!CL7*9))^S13_PSP_Species_Support!CM7)^2*(S13_PSP_Species_Support!CN7*(1-EXP(-S13_PSP_Species_Support!CO7*9))^S13_PSP_Species_Support!CP7))^0.976,0)+IFERROR(S13_PSP_Species_Support!CT7*0.0673*(S13_PSP_Species_Support!CU7*(S13_PSP_Species_Support!CV7*(1-EXP(-S13_PSP_Species_Support!CW7*9))^S13_PSP_Species_Support!CX7)^2*(S13_PSP_Species_Support!CY7*(1-EXP(-S13_PSP_Species_Support!CZ7*9))^S13_PSP_Species_Support!DA7))^0.976,0))/1000/$G20*R$108,0)</x:f>
        <x:v>67.61182224240645</x:v>
      </x:c>
      <x:c r="S20" s="147" t="n">
        <x:f aca="0">IFERROR((IFERROR(S13_PSP_Species_Support!U7*0.0673*(S13_PSP_Species_Support!V7*(S13_PSP_Species_Support!W7*(1-EXP(-S13_PSP_Species_Support!X7*10))^S13_PSP_Species_Support!Y7)^2*(S13_PSP_Species_Support!Z7*(1-EXP(-S13_PSP_Species_Support!AA7*10))^S13_PSP_Species_Support!AB7))^0.976,0)+IFERROR(S13_PSP_Species_Support!AF7*0.0673*(S13_PSP_Species_Support!AG7*(S13_PSP_Species_Support!AH7*(1-EXP(-S13_PSP_Species_Support!AI7*10))^S13_PSP_Species_Support!AJ7)^2*(S13_PSP_Species_Support!AK7*(1-EXP(-S13_PSP_Species_Support!AL7*10))^S13_PSP_Species_Support!AM7))^0.976,0)+IFERROR(S13_PSP_Species_Support!AQ7*0.0673*(S13_PSP_Species_Support!AR7*(S13_PSP_Species_Support!AS7*(1-EXP(-S13_PSP_Species_Support!AT7*10))^S13_PSP_Species_Support!AU7)^2*(S13_PSP_Species_Support!AV7*(1-EXP(-S13_PSP_Species_Support!AW7*10))^S13_PSP_Species_Support!AX7))^0.976,0)+IFERROR(S13_PSP_Species_Support!BB7*0.0673*(S13_PSP_Species_Support!BC7*(S13_PSP_Species_Support!BD7*(1-EXP(-S13_PSP_Species_Support!BE7*10))^S13_PSP_Species_Support!BF7)^2*(S13_PSP_Species_Support!BG7*(1-EXP(-S13_PSP_Species_Support!BH7*10))^S13_PSP_Species_Support!BI7))^0.976,0)+IFERROR(S13_PSP_Species_Support!BM7*0.0673*(S13_PSP_Species_Support!BN7*(S13_PSP_Species_Support!BO7*(1-EXP(-S13_PSP_Species_Support!BP7*10))^S13_PSP_Species_Support!BQ7)^2*(S13_PSP_Species_Support!BR7*(1-EXP(-S13_PSP_Species_Support!BS7*10))^S13_PSP_Species_Support!BT7))^0.976,0)+IFERROR(S13_PSP_Species_Support!BX7*0.0673*(S13_PSP_Species_Support!BY7*(S13_PSP_Species_Support!BZ7*(1-EXP(-S13_PSP_Species_Support!CA7*10))^S13_PSP_Species_Support!CB7)^2*(S13_PSP_Species_Support!CC7*(1-EXP(-S13_PSP_Species_Support!CD7*10))^S13_PSP_Species_Support!CE7))^0.976,0)+IFERROR(S13_PSP_Species_Support!CI7*0.0673*(S13_PSP_Species_Support!CJ7*(S13_PSP_Species_Support!CK7*(1-EXP(-S13_PSP_Species_Support!CL7*10))^S13_PSP_Species_Support!CM7)^2*(S13_PSP_Species_Support!CN7*(1-EXP(-S13_PSP_Species_Support!CO7*10))^S13_PSP_Species_Support!CP7))^0.976,0)+IFERROR(S13_PSP_Species_Support!CT7*0.0673*(S13_PSP_Species_Support!CU7*(S13_PSP_Species_Support!CV7*(1-EXP(-S13_PSP_Species_Support!CW7*10))^S13_PSP_Species_Support!CX7)^2*(S13_PSP_Species_Support!CY7*(1-EXP(-S13_PSP_Species_Support!CZ7*10))^S13_PSP_Species_Support!DA7))^0.976,0))/1000/$G20*S$108,0)</x:f>
        <x:v>82.86019368208771</x:v>
      </x:c>
      <x:c r="T20" s="147" t="n">
        <x:f aca="0">IFERROR((IFERROR(S13_PSP_Species_Support!U7*0.0673*(S13_PSP_Species_Support!V7*(S13_PSP_Species_Support!W7*(1-EXP(-S13_PSP_Species_Support!X7*11))^S13_PSP_Species_Support!Y7)^2*(S13_PSP_Species_Support!Z7*(1-EXP(-S13_PSP_Species_Support!AA7*11))^S13_PSP_Species_Support!AB7))^0.976,0)+IFERROR(S13_PSP_Species_Support!AF7*0.0673*(S13_PSP_Species_Support!AG7*(S13_PSP_Species_Support!AH7*(1-EXP(-S13_PSP_Species_Support!AI7*11))^S13_PSP_Species_Support!AJ7)^2*(S13_PSP_Species_Support!AK7*(1-EXP(-S13_PSP_Species_Support!AL7*11))^S13_PSP_Species_Support!AM7))^0.976,0)+IFERROR(S13_PSP_Species_Support!AQ7*0.0673*(S13_PSP_Species_Support!AR7*(S13_PSP_Species_Support!AS7*(1-EXP(-S13_PSP_Species_Support!AT7*11))^S13_PSP_Species_Support!AU7)^2*(S13_PSP_Species_Support!AV7*(1-EXP(-S13_PSP_Species_Support!AW7*11))^S13_PSP_Species_Support!AX7))^0.976,0)+IFERROR(S13_PSP_Species_Support!BB7*0.0673*(S13_PSP_Species_Support!BC7*(S13_PSP_Species_Support!BD7*(1-EXP(-S13_PSP_Species_Support!BE7*11))^S13_PSP_Species_Support!BF7)^2*(S13_PSP_Species_Support!BG7*(1-EXP(-S13_PSP_Species_Support!BH7*11))^S13_PSP_Species_Support!BI7))^0.976,0)+IFERROR(S13_PSP_Species_Support!BM7*0.0673*(S13_PSP_Species_Support!BN7*(S13_PSP_Species_Support!BO7*(1-EXP(-S13_PSP_Species_Support!BP7*11))^S13_PSP_Species_Support!BQ7)^2*(S13_PSP_Species_Support!BR7*(1-EXP(-S13_PSP_Species_Support!BS7*11))^S13_PSP_Species_Support!BT7))^0.976,0)+IFERROR(S13_PSP_Species_Support!BX7*0.0673*(S13_PSP_Species_Support!BY7*(S13_PSP_Species_Support!BZ7*(1-EXP(-S13_PSP_Species_Support!CA7*11))^S13_PSP_Species_Support!CB7)^2*(S13_PSP_Species_Support!CC7*(1-EXP(-S13_PSP_Species_Support!CD7*11))^S13_PSP_Species_Support!CE7))^0.976,0)+IFERROR(S13_PSP_Species_Support!CI7*0.0673*(S13_PSP_Species_Support!CJ7*(S13_PSP_Species_Support!CK7*(1-EXP(-S13_PSP_Species_Support!CL7*11))^S13_PSP_Species_Support!CM7)^2*(S13_PSP_Species_Support!CN7*(1-EXP(-S13_PSP_Species_Support!CO7*11))^S13_PSP_Species_Support!CP7))^0.976,0)+IFERROR(S13_PSP_Species_Support!CT7*0.0673*(S13_PSP_Species_Support!CU7*(S13_PSP_Species_Support!CV7*(1-EXP(-S13_PSP_Species_Support!CW7*11))^S13_PSP_Species_Support!CX7)^2*(S13_PSP_Species_Support!CY7*(1-EXP(-S13_PSP_Species_Support!CZ7*11))^S13_PSP_Species_Support!DA7))^0.976,0))/1000/$G20*T$108,0)</x:f>
        <x:v>98.14084182700066</x:v>
      </x:c>
      <x:c r="U20" s="147" t="n">
        <x:f aca="0">IFERROR((IFERROR(S13_PSP_Species_Support!U7*0.0673*(S13_PSP_Species_Support!V7*(S13_PSP_Species_Support!W7*(1-EXP(-S13_PSP_Species_Support!X7*12))^S13_PSP_Species_Support!Y7)^2*(S13_PSP_Species_Support!Z7*(1-EXP(-S13_PSP_Species_Support!AA7*12))^S13_PSP_Species_Support!AB7))^0.976,0)+IFERROR(S13_PSP_Species_Support!AF7*0.0673*(S13_PSP_Species_Support!AG7*(S13_PSP_Species_Support!AH7*(1-EXP(-S13_PSP_Species_Support!AI7*12))^S13_PSP_Species_Support!AJ7)^2*(S13_PSP_Species_Support!AK7*(1-EXP(-S13_PSP_Species_Support!AL7*12))^S13_PSP_Species_Support!AM7))^0.976,0)+IFERROR(S13_PSP_Species_Support!AQ7*0.0673*(S13_PSP_Species_Support!AR7*(S13_PSP_Species_Support!AS7*(1-EXP(-S13_PSP_Species_Support!AT7*12))^S13_PSP_Species_Support!AU7)^2*(S13_PSP_Species_Support!AV7*(1-EXP(-S13_PSP_Species_Support!AW7*12))^S13_PSP_Species_Support!AX7))^0.976,0)+IFERROR(S13_PSP_Species_Support!BB7*0.0673*(S13_PSP_Species_Support!BC7*(S13_PSP_Species_Support!BD7*(1-EXP(-S13_PSP_Species_Support!BE7*12))^S13_PSP_Species_Support!BF7)^2*(S13_PSP_Species_Support!BG7*(1-EXP(-S13_PSP_Species_Support!BH7*12))^S13_PSP_Species_Support!BI7))^0.976,0)+IFERROR(S13_PSP_Species_Support!BM7*0.0673*(S13_PSP_Species_Support!BN7*(S13_PSP_Species_Support!BO7*(1-EXP(-S13_PSP_Species_Support!BP7*12))^S13_PSP_Species_Support!BQ7)^2*(S13_PSP_Species_Support!BR7*(1-EXP(-S13_PSP_Species_Support!BS7*12))^S13_PSP_Species_Support!BT7))^0.976,0)+IFERROR(S13_PSP_Species_Support!BX7*0.0673*(S13_PSP_Species_Support!BY7*(S13_PSP_Species_Support!BZ7*(1-EXP(-S13_PSP_Species_Support!CA7*12))^S13_PSP_Species_Support!CB7)^2*(S13_PSP_Species_Support!CC7*(1-EXP(-S13_PSP_Species_Support!CD7*12))^S13_PSP_Species_Support!CE7))^0.976,0)+IFERROR(S13_PSP_Species_Support!CI7*0.0673*(S13_PSP_Species_Support!CJ7*(S13_PSP_Species_Support!CK7*(1-EXP(-S13_PSP_Species_Support!CL7*12))^S13_PSP_Species_Support!CM7)^2*(S13_PSP_Species_Support!CN7*(1-EXP(-S13_PSP_Species_Support!CO7*12))^S13_PSP_Species_Support!CP7))^0.976,0)+IFERROR(S13_PSP_Species_Support!CT7*0.0673*(S13_PSP_Species_Support!CU7*(S13_PSP_Species_Support!CV7*(1-EXP(-S13_PSP_Species_Support!CW7*12))^S13_PSP_Species_Support!CX7)^2*(S13_PSP_Species_Support!CY7*(1-EXP(-S13_PSP_Species_Support!CZ7*12))^S13_PSP_Species_Support!DA7))^0.976,0))/1000/$G20*U$108,0)</x:f>
        <x:v>113.1145485916044</x:v>
      </x:c>
      <x:c r="V20" s="147" t="n">
        <x:f aca="0">IFERROR((IFERROR(S13_PSP_Species_Support!U7*0.0673*(S13_PSP_Species_Support!V7*(S13_PSP_Species_Support!W7*(1-EXP(-S13_PSP_Species_Support!X7*13))^S13_PSP_Species_Support!Y7)^2*(S13_PSP_Species_Support!Z7*(1-EXP(-S13_PSP_Species_Support!AA7*13))^S13_PSP_Species_Support!AB7))^0.976,0)+IFERROR(S13_PSP_Species_Support!AF7*0.0673*(S13_PSP_Species_Support!AG7*(S13_PSP_Species_Support!AH7*(1-EXP(-S13_PSP_Species_Support!AI7*13))^S13_PSP_Species_Support!AJ7)^2*(S13_PSP_Species_Support!AK7*(1-EXP(-S13_PSP_Species_Support!AL7*13))^S13_PSP_Species_Support!AM7))^0.976,0)+IFERROR(S13_PSP_Species_Support!AQ7*0.0673*(S13_PSP_Species_Support!AR7*(S13_PSP_Species_Support!AS7*(1-EXP(-S13_PSP_Species_Support!AT7*13))^S13_PSP_Species_Support!AU7)^2*(S13_PSP_Species_Support!AV7*(1-EXP(-S13_PSP_Species_Support!AW7*13))^S13_PSP_Species_Support!AX7))^0.976,0)+IFERROR(S13_PSP_Species_Support!BB7*0.0673*(S13_PSP_Species_Support!BC7*(S13_PSP_Species_Support!BD7*(1-EXP(-S13_PSP_Species_Support!BE7*13))^S13_PSP_Species_Support!BF7)^2*(S13_PSP_Species_Support!BG7*(1-EXP(-S13_PSP_Species_Support!BH7*13))^S13_PSP_Species_Support!BI7))^0.976,0)+IFERROR(S13_PSP_Species_Support!BM7*0.0673*(S13_PSP_Species_Support!BN7*(S13_PSP_Species_Support!BO7*(1-EXP(-S13_PSP_Species_Support!BP7*13))^S13_PSP_Species_Support!BQ7)^2*(S13_PSP_Species_Support!BR7*(1-EXP(-S13_PSP_Species_Support!BS7*13))^S13_PSP_Species_Support!BT7))^0.976,0)+IFERROR(S13_PSP_Species_Support!BX7*0.0673*(S13_PSP_Species_Support!BY7*(S13_PSP_Species_Support!BZ7*(1-EXP(-S13_PSP_Species_Support!CA7*13))^S13_PSP_Species_Support!CB7)^2*(S13_PSP_Species_Support!CC7*(1-EXP(-S13_PSP_Species_Support!CD7*13))^S13_PSP_Species_Support!CE7))^0.976,0)+IFERROR(S13_PSP_Species_Support!CI7*0.0673*(S13_PSP_Species_Support!CJ7*(S13_PSP_Species_Support!CK7*(1-EXP(-S13_PSP_Species_Support!CL7*13))^S13_PSP_Species_Support!CM7)^2*(S13_PSP_Species_Support!CN7*(1-EXP(-S13_PSP_Species_Support!CO7*13))^S13_PSP_Species_Support!CP7))^0.976,0)+IFERROR(S13_PSP_Species_Support!CT7*0.0673*(S13_PSP_Species_Support!CU7*(S13_PSP_Species_Support!CV7*(1-EXP(-S13_PSP_Species_Support!CW7*13))^S13_PSP_Species_Support!CX7)^2*(S13_PSP_Species_Support!CY7*(1-EXP(-S13_PSP_Species_Support!CZ7*13))^S13_PSP_Species_Support!DA7))^0.976,0))/1000/$G20*V$108,0)</x:f>
        <x:v>127.52670259761864</x:v>
      </x:c>
      <x:c r="W20" s="147" t="n">
        <x:f aca="0">IFERROR((IFERROR(S13_PSP_Species_Support!U7*0.0673*(S13_PSP_Species_Support!V7*(S13_PSP_Species_Support!W7*(1-EXP(-S13_PSP_Species_Support!X7*14))^S13_PSP_Species_Support!Y7)^2*(S13_PSP_Species_Support!Z7*(1-EXP(-S13_PSP_Species_Support!AA7*14))^S13_PSP_Species_Support!AB7))^0.976,0)+IFERROR(S13_PSP_Species_Support!AF7*0.0673*(S13_PSP_Species_Support!AG7*(S13_PSP_Species_Support!AH7*(1-EXP(-S13_PSP_Species_Support!AI7*14))^S13_PSP_Species_Support!AJ7)^2*(S13_PSP_Species_Support!AK7*(1-EXP(-S13_PSP_Species_Support!AL7*14))^S13_PSP_Species_Support!AM7))^0.976,0)+IFERROR(S13_PSP_Species_Support!AQ7*0.0673*(S13_PSP_Species_Support!AR7*(S13_PSP_Species_Support!AS7*(1-EXP(-S13_PSP_Species_Support!AT7*14))^S13_PSP_Species_Support!AU7)^2*(S13_PSP_Species_Support!AV7*(1-EXP(-S13_PSP_Species_Support!AW7*14))^S13_PSP_Species_Support!AX7))^0.976,0)+IFERROR(S13_PSP_Species_Support!BB7*0.0673*(S13_PSP_Species_Support!BC7*(S13_PSP_Species_Support!BD7*(1-EXP(-S13_PSP_Species_Support!BE7*14))^S13_PSP_Species_Support!BF7)^2*(S13_PSP_Species_Support!BG7*(1-EXP(-S13_PSP_Species_Support!BH7*14))^S13_PSP_Species_Support!BI7))^0.976,0)+IFERROR(S13_PSP_Species_Support!BM7*0.0673*(S13_PSP_Species_Support!BN7*(S13_PSP_Species_Support!BO7*(1-EXP(-S13_PSP_Species_Support!BP7*14))^S13_PSP_Species_Support!BQ7)^2*(S13_PSP_Species_Support!BR7*(1-EXP(-S13_PSP_Species_Support!BS7*14))^S13_PSP_Species_Support!BT7))^0.976,0)+IFERROR(S13_PSP_Species_Support!BX7*0.0673*(S13_PSP_Species_Support!BY7*(S13_PSP_Species_Support!BZ7*(1-EXP(-S13_PSP_Species_Support!CA7*14))^S13_PSP_Species_Support!CB7)^2*(S13_PSP_Species_Support!CC7*(1-EXP(-S13_PSP_Species_Support!CD7*14))^S13_PSP_Species_Support!CE7))^0.976,0)+IFERROR(S13_PSP_Species_Support!CI7*0.0673*(S13_PSP_Species_Support!CJ7*(S13_PSP_Species_Support!CK7*(1-EXP(-S13_PSP_Species_Support!CL7*14))^S13_PSP_Species_Support!CM7)^2*(S13_PSP_Species_Support!CN7*(1-EXP(-S13_PSP_Species_Support!CO7*14))^S13_PSP_Species_Support!CP7))^0.976,0)+IFERROR(S13_PSP_Species_Support!CT7*0.0673*(S13_PSP_Species_Support!CU7*(S13_PSP_Species_Support!CV7*(1-EXP(-S13_PSP_Species_Support!CW7*14))^S13_PSP_Species_Support!CX7)^2*(S13_PSP_Species_Support!CY7*(1-EXP(-S13_PSP_Species_Support!CZ7*14))^S13_PSP_Species_Support!DA7))^0.976,0))/1000/$G20*W$108,0)</x:f>
        <x:v>141.19840941370921</x:v>
      </x:c>
      <x:c r="X20" s="147" t="n">
        <x:f aca="0">IFERROR((IFERROR(S13_PSP_Species_Support!U7*0.0673*(S13_PSP_Species_Support!V7*(S13_PSP_Species_Support!W7*(1-EXP(-S13_PSP_Species_Support!X7*15))^S13_PSP_Species_Support!Y7)^2*(S13_PSP_Species_Support!Z7*(1-EXP(-S13_PSP_Species_Support!AA7*15))^S13_PSP_Species_Support!AB7))^0.976,0)+IFERROR(S13_PSP_Species_Support!AF7*0.0673*(S13_PSP_Species_Support!AG7*(S13_PSP_Species_Support!AH7*(1-EXP(-S13_PSP_Species_Support!AI7*15))^S13_PSP_Species_Support!AJ7)^2*(S13_PSP_Species_Support!AK7*(1-EXP(-S13_PSP_Species_Support!AL7*15))^S13_PSP_Species_Support!AM7))^0.976,0)+IFERROR(S13_PSP_Species_Support!AQ7*0.0673*(S13_PSP_Species_Support!AR7*(S13_PSP_Species_Support!AS7*(1-EXP(-S13_PSP_Species_Support!AT7*15))^S13_PSP_Species_Support!AU7)^2*(S13_PSP_Species_Support!AV7*(1-EXP(-S13_PSP_Species_Support!AW7*15))^S13_PSP_Species_Support!AX7))^0.976,0)+IFERROR(S13_PSP_Species_Support!BB7*0.0673*(S13_PSP_Species_Support!BC7*(S13_PSP_Species_Support!BD7*(1-EXP(-S13_PSP_Species_Support!BE7*15))^S13_PSP_Species_Support!BF7)^2*(S13_PSP_Species_Support!BG7*(1-EXP(-S13_PSP_Species_Support!BH7*15))^S13_PSP_Species_Support!BI7))^0.976,0)+IFERROR(S13_PSP_Species_Support!BM7*0.0673*(S13_PSP_Species_Support!BN7*(S13_PSP_Species_Support!BO7*(1-EXP(-S13_PSP_Species_Support!BP7*15))^S13_PSP_Species_Support!BQ7)^2*(S13_PSP_Species_Support!BR7*(1-EXP(-S13_PSP_Species_Support!BS7*15))^S13_PSP_Species_Support!BT7))^0.976,0)+IFERROR(S13_PSP_Species_Support!BX7*0.0673*(S13_PSP_Species_Support!BY7*(S13_PSP_Species_Support!BZ7*(1-EXP(-S13_PSP_Species_Support!CA7*15))^S13_PSP_Species_Support!CB7)^2*(S13_PSP_Species_Support!CC7*(1-EXP(-S13_PSP_Species_Support!CD7*15))^S13_PSP_Species_Support!CE7))^0.976,0)+IFERROR(S13_PSP_Species_Support!CI7*0.0673*(S13_PSP_Species_Support!CJ7*(S13_PSP_Species_Support!CK7*(1-EXP(-S13_PSP_Species_Support!CL7*15))^S13_PSP_Species_Support!CM7)^2*(S13_PSP_Species_Support!CN7*(1-EXP(-S13_PSP_Species_Support!CO7*15))^S13_PSP_Species_Support!CP7))^0.976,0)+IFERROR(S13_PSP_Species_Support!CT7*0.0673*(S13_PSP_Species_Support!CU7*(S13_PSP_Species_Support!CV7*(1-EXP(-S13_PSP_Species_Support!CW7*15))^S13_PSP_Species_Support!CX7)^2*(S13_PSP_Species_Support!CY7*(1-EXP(-S13_PSP_Species_Support!CZ7*15))^S13_PSP_Species_Support!DA7))^0.976,0))/1000/$G20*X$108,0)</x:f>
        <x:v>154.01473657164684</x:v>
      </x:c>
      <x:c r="Y20" s="147" t="n">
        <x:f aca="0">IFERROR((IFERROR(S13_PSP_Species_Support!U7*0.0673*(S13_PSP_Species_Support!V7*(S13_PSP_Species_Support!W7*(1-EXP(-S13_PSP_Species_Support!X7*16))^S13_PSP_Species_Support!Y7)^2*(S13_PSP_Species_Support!Z7*(1-EXP(-S13_PSP_Species_Support!AA7*16))^S13_PSP_Species_Support!AB7))^0.976,0)+IFERROR(S13_PSP_Species_Support!AF7*0.0673*(S13_PSP_Species_Support!AG7*(S13_PSP_Species_Support!AH7*(1-EXP(-S13_PSP_Species_Support!AI7*16))^S13_PSP_Species_Support!AJ7)^2*(S13_PSP_Species_Support!AK7*(1-EXP(-S13_PSP_Species_Support!AL7*16))^S13_PSP_Species_Support!AM7))^0.976,0)+IFERROR(S13_PSP_Species_Support!AQ7*0.0673*(S13_PSP_Species_Support!AR7*(S13_PSP_Species_Support!AS7*(1-EXP(-S13_PSP_Species_Support!AT7*16))^S13_PSP_Species_Support!AU7)^2*(S13_PSP_Species_Support!AV7*(1-EXP(-S13_PSP_Species_Support!AW7*16))^S13_PSP_Species_Support!AX7))^0.976,0)+IFERROR(S13_PSP_Species_Support!BB7*0.0673*(S13_PSP_Species_Support!BC7*(S13_PSP_Species_Support!BD7*(1-EXP(-S13_PSP_Species_Support!BE7*16))^S13_PSP_Species_Support!BF7)^2*(S13_PSP_Species_Support!BG7*(1-EXP(-S13_PSP_Species_Support!BH7*16))^S13_PSP_Species_Support!BI7))^0.976,0)+IFERROR(S13_PSP_Species_Support!BM7*0.0673*(S13_PSP_Species_Support!BN7*(S13_PSP_Species_Support!BO7*(1-EXP(-S13_PSP_Species_Support!BP7*16))^S13_PSP_Species_Support!BQ7)^2*(S13_PSP_Species_Support!BR7*(1-EXP(-S13_PSP_Species_Support!BS7*16))^S13_PSP_Species_Support!BT7))^0.976,0)+IFERROR(S13_PSP_Species_Support!BX7*0.0673*(S13_PSP_Species_Support!BY7*(S13_PSP_Species_Support!BZ7*(1-EXP(-S13_PSP_Species_Support!CA7*16))^S13_PSP_Species_Support!CB7)^2*(S13_PSP_Species_Support!CC7*(1-EXP(-S13_PSP_Species_Support!CD7*16))^S13_PSP_Species_Support!CE7))^0.976,0)+IFERROR(S13_PSP_Species_Support!CI7*0.0673*(S13_PSP_Species_Support!CJ7*(S13_PSP_Species_Support!CK7*(1-EXP(-S13_PSP_Species_Support!CL7*16))^S13_PSP_Species_Support!CM7)^2*(S13_PSP_Species_Support!CN7*(1-EXP(-S13_PSP_Species_Support!CO7*16))^S13_PSP_Species_Support!CP7))^0.976,0)+IFERROR(S13_PSP_Species_Support!CT7*0.0673*(S13_PSP_Species_Support!CU7*(S13_PSP_Species_Support!CV7*(1-EXP(-S13_PSP_Species_Support!CW7*16))^S13_PSP_Species_Support!CX7)^2*(S13_PSP_Species_Support!CY7*(1-EXP(-S13_PSP_Species_Support!CZ7*16))^S13_PSP_Species_Support!DA7))^0.976,0))/1000/$G20*Y$108,0)</x:f>
        <x:v>165.9124135021979</x:v>
      </x:c>
      <x:c r="Z20" s="147" t="n">
        <x:f aca="0">IFERROR((IFERROR(S13_PSP_Species_Support!U7*0.0673*(S13_PSP_Species_Support!V7*(S13_PSP_Species_Support!W7*(1-EXP(-S13_PSP_Species_Support!X7*17))^S13_PSP_Species_Support!Y7)^2*(S13_PSP_Species_Support!Z7*(1-EXP(-S13_PSP_Species_Support!AA7*17))^S13_PSP_Species_Support!AB7))^0.976,0)+IFERROR(S13_PSP_Species_Support!AF7*0.0673*(S13_PSP_Species_Support!AG7*(S13_PSP_Species_Support!AH7*(1-EXP(-S13_PSP_Species_Support!AI7*17))^S13_PSP_Species_Support!AJ7)^2*(S13_PSP_Species_Support!AK7*(1-EXP(-S13_PSP_Species_Support!AL7*17))^S13_PSP_Species_Support!AM7))^0.976,0)+IFERROR(S13_PSP_Species_Support!AQ7*0.0673*(S13_PSP_Species_Support!AR7*(S13_PSP_Species_Support!AS7*(1-EXP(-S13_PSP_Species_Support!AT7*17))^S13_PSP_Species_Support!AU7)^2*(S13_PSP_Species_Support!AV7*(1-EXP(-S13_PSP_Species_Support!AW7*17))^S13_PSP_Species_Support!AX7))^0.976,0)+IFERROR(S13_PSP_Species_Support!BB7*0.0673*(S13_PSP_Species_Support!BC7*(S13_PSP_Species_Support!BD7*(1-EXP(-S13_PSP_Species_Support!BE7*17))^S13_PSP_Species_Support!BF7)^2*(S13_PSP_Species_Support!BG7*(1-EXP(-S13_PSP_Species_Support!BH7*17))^S13_PSP_Species_Support!BI7))^0.976,0)+IFERROR(S13_PSP_Species_Support!BM7*0.0673*(S13_PSP_Species_Support!BN7*(S13_PSP_Species_Support!BO7*(1-EXP(-S13_PSP_Species_Support!BP7*17))^S13_PSP_Species_Support!BQ7)^2*(S13_PSP_Species_Support!BR7*(1-EXP(-S13_PSP_Species_Support!BS7*17))^S13_PSP_Species_Support!BT7))^0.976,0)+IFERROR(S13_PSP_Species_Support!BX7*0.0673*(S13_PSP_Species_Support!BY7*(S13_PSP_Species_Support!BZ7*(1-EXP(-S13_PSP_Species_Support!CA7*17))^S13_PSP_Species_Support!CB7)^2*(S13_PSP_Species_Support!CC7*(1-EXP(-S13_PSP_Species_Support!CD7*17))^S13_PSP_Species_Support!CE7))^0.976,0)+IFERROR(S13_PSP_Species_Support!CI7*0.0673*(S13_PSP_Species_Support!CJ7*(S13_PSP_Species_Support!CK7*(1-EXP(-S13_PSP_Species_Support!CL7*17))^S13_PSP_Species_Support!CM7)^2*(S13_PSP_Species_Support!CN7*(1-EXP(-S13_PSP_Species_Support!CO7*17))^S13_PSP_Species_Support!CP7))^0.976,0)+IFERROR(S13_PSP_Species_Support!CT7*0.0673*(S13_PSP_Species_Support!CU7*(S13_PSP_Species_Support!CV7*(1-EXP(-S13_PSP_Species_Support!CW7*17))^S13_PSP_Species_Support!CX7)^2*(S13_PSP_Species_Support!CY7*(1-EXP(-S13_PSP_Species_Support!CZ7*17))^S13_PSP_Species_Support!DA7))^0.976,0))/1000/$G20*Z$108,0)</x:f>
        <x:v>176.86830004108072</x:v>
      </x:c>
      <x:c r="AA20" s="147" t="n">
        <x:f aca="0">IFERROR((IFERROR(S13_PSP_Species_Support!U7*0.0673*(S13_PSP_Species_Support!V7*(S13_PSP_Species_Support!W7*(1-EXP(-S13_PSP_Species_Support!X7*18))^S13_PSP_Species_Support!Y7)^2*(S13_PSP_Species_Support!Z7*(1-EXP(-S13_PSP_Species_Support!AA7*18))^S13_PSP_Species_Support!AB7))^0.976,0)+IFERROR(S13_PSP_Species_Support!AF7*0.0673*(S13_PSP_Species_Support!AG7*(S13_PSP_Species_Support!AH7*(1-EXP(-S13_PSP_Species_Support!AI7*18))^S13_PSP_Species_Support!AJ7)^2*(S13_PSP_Species_Support!AK7*(1-EXP(-S13_PSP_Species_Support!AL7*18))^S13_PSP_Species_Support!AM7))^0.976,0)+IFERROR(S13_PSP_Species_Support!AQ7*0.0673*(S13_PSP_Species_Support!AR7*(S13_PSP_Species_Support!AS7*(1-EXP(-S13_PSP_Species_Support!AT7*18))^S13_PSP_Species_Support!AU7)^2*(S13_PSP_Species_Support!AV7*(1-EXP(-S13_PSP_Species_Support!AW7*18))^S13_PSP_Species_Support!AX7))^0.976,0)+IFERROR(S13_PSP_Species_Support!BB7*0.0673*(S13_PSP_Species_Support!BC7*(S13_PSP_Species_Support!BD7*(1-EXP(-S13_PSP_Species_Support!BE7*18))^S13_PSP_Species_Support!BF7)^2*(S13_PSP_Species_Support!BG7*(1-EXP(-S13_PSP_Species_Support!BH7*18))^S13_PSP_Species_Support!BI7))^0.976,0)+IFERROR(S13_PSP_Species_Support!BM7*0.0673*(S13_PSP_Species_Support!BN7*(S13_PSP_Species_Support!BO7*(1-EXP(-S13_PSP_Species_Support!BP7*18))^S13_PSP_Species_Support!BQ7)^2*(S13_PSP_Species_Support!BR7*(1-EXP(-S13_PSP_Species_Support!BS7*18))^S13_PSP_Species_Support!BT7))^0.976,0)+IFERROR(S13_PSP_Species_Support!BX7*0.0673*(S13_PSP_Species_Support!BY7*(S13_PSP_Species_Support!BZ7*(1-EXP(-S13_PSP_Species_Support!CA7*18))^S13_PSP_Species_Support!CB7)^2*(S13_PSP_Species_Support!CC7*(1-EXP(-S13_PSP_Species_Support!CD7*18))^S13_PSP_Species_Support!CE7))^0.976,0)+IFERROR(S13_PSP_Species_Support!CI7*0.0673*(S13_PSP_Species_Support!CJ7*(S13_PSP_Species_Support!CK7*(1-EXP(-S13_PSP_Species_Support!CL7*18))^S13_PSP_Species_Support!CM7)^2*(S13_PSP_Species_Support!CN7*(1-EXP(-S13_PSP_Species_Support!CO7*18))^S13_PSP_Species_Support!CP7))^0.976,0)+IFERROR(S13_PSP_Species_Support!CT7*0.0673*(S13_PSP_Species_Support!CU7*(S13_PSP_Species_Support!CV7*(1-EXP(-S13_PSP_Species_Support!CW7*18))^S13_PSP_Species_Support!CX7)^2*(S13_PSP_Species_Support!CY7*(1-EXP(-S13_PSP_Species_Support!CZ7*18))^S13_PSP_Species_Support!DA7))^0.976,0))/1000/$G20*AA$108,0)</x:f>
        <x:v>186.889267342191</x:v>
      </x:c>
      <x:c r="AB20" s="147" t="n">
        <x:f aca="0">IFERROR((IFERROR(S13_PSP_Species_Support!U7*0.0673*(S13_PSP_Species_Support!V7*(S13_PSP_Species_Support!W7*(1-EXP(-S13_PSP_Species_Support!X7*19))^S13_PSP_Species_Support!Y7)^2*(S13_PSP_Species_Support!Z7*(1-EXP(-S13_PSP_Species_Support!AA7*19))^S13_PSP_Species_Support!AB7))^0.976,0)+IFERROR(S13_PSP_Species_Support!AF7*0.0673*(S13_PSP_Species_Support!AG7*(S13_PSP_Species_Support!AH7*(1-EXP(-S13_PSP_Species_Support!AI7*19))^S13_PSP_Species_Support!AJ7)^2*(S13_PSP_Species_Support!AK7*(1-EXP(-S13_PSP_Species_Support!AL7*19))^S13_PSP_Species_Support!AM7))^0.976,0)+IFERROR(S13_PSP_Species_Support!AQ7*0.0673*(S13_PSP_Species_Support!AR7*(S13_PSP_Species_Support!AS7*(1-EXP(-S13_PSP_Species_Support!AT7*19))^S13_PSP_Species_Support!AU7)^2*(S13_PSP_Species_Support!AV7*(1-EXP(-S13_PSP_Species_Support!AW7*19))^S13_PSP_Species_Support!AX7))^0.976,0)+IFERROR(S13_PSP_Species_Support!BB7*0.0673*(S13_PSP_Species_Support!BC7*(S13_PSP_Species_Support!BD7*(1-EXP(-S13_PSP_Species_Support!BE7*19))^S13_PSP_Species_Support!BF7)^2*(S13_PSP_Species_Support!BG7*(1-EXP(-S13_PSP_Species_Support!BH7*19))^S13_PSP_Species_Support!BI7))^0.976,0)+IFERROR(S13_PSP_Species_Support!BM7*0.0673*(S13_PSP_Species_Support!BN7*(S13_PSP_Species_Support!BO7*(1-EXP(-S13_PSP_Species_Support!BP7*19))^S13_PSP_Species_Support!BQ7)^2*(S13_PSP_Species_Support!BR7*(1-EXP(-S13_PSP_Species_Support!BS7*19))^S13_PSP_Species_Support!BT7))^0.976,0)+IFERROR(S13_PSP_Species_Support!BX7*0.0673*(S13_PSP_Species_Support!BY7*(S13_PSP_Species_Support!BZ7*(1-EXP(-S13_PSP_Species_Support!CA7*19))^S13_PSP_Species_Support!CB7)^2*(S13_PSP_Species_Support!CC7*(1-EXP(-S13_PSP_Species_Support!CD7*19))^S13_PSP_Species_Support!CE7))^0.976,0)+IFERROR(S13_PSP_Species_Support!CI7*0.0673*(S13_PSP_Species_Support!CJ7*(S13_PSP_Species_Support!CK7*(1-EXP(-S13_PSP_Species_Support!CL7*19))^S13_PSP_Species_Support!CM7)^2*(S13_PSP_Species_Support!CN7*(1-EXP(-S13_PSP_Species_Support!CO7*19))^S13_PSP_Species_Support!CP7))^0.976,0)+IFERROR(S13_PSP_Species_Support!CT7*0.0673*(S13_PSP_Species_Support!CU7*(S13_PSP_Species_Support!CV7*(1-EXP(-S13_PSP_Species_Support!CW7*19))^S13_PSP_Species_Support!CX7)^2*(S13_PSP_Species_Support!CY7*(1-EXP(-S13_PSP_Species_Support!CZ7*19))^S13_PSP_Species_Support!DA7))^0.976,0))/1000/$G20*AB$108,0)</x:f>
        <x:v>196.00371611519012</x:v>
      </x:c>
      <x:c r="AC20" s="147" t="n">
        <x:f aca="0">IFERROR((IFERROR(S13_PSP_Species_Support!U7*0.0673*(S13_PSP_Species_Support!V7*(S13_PSP_Species_Support!W7*(1-EXP(-S13_PSP_Species_Support!X7*20))^S13_PSP_Species_Support!Y7)^2*(S13_PSP_Species_Support!Z7*(1-EXP(-S13_PSP_Species_Support!AA7*20))^S13_PSP_Species_Support!AB7))^0.976,0)+IFERROR(S13_PSP_Species_Support!AF7*0.0673*(S13_PSP_Species_Support!AG7*(S13_PSP_Species_Support!AH7*(1-EXP(-S13_PSP_Species_Support!AI7*20))^S13_PSP_Species_Support!AJ7)^2*(S13_PSP_Species_Support!AK7*(1-EXP(-S13_PSP_Species_Support!AL7*20))^S13_PSP_Species_Support!AM7))^0.976,0)+IFERROR(S13_PSP_Species_Support!AQ7*0.0673*(S13_PSP_Species_Support!AR7*(S13_PSP_Species_Support!AS7*(1-EXP(-S13_PSP_Species_Support!AT7*20))^S13_PSP_Species_Support!AU7)^2*(S13_PSP_Species_Support!AV7*(1-EXP(-S13_PSP_Species_Support!AW7*20))^S13_PSP_Species_Support!AX7))^0.976,0)+IFERROR(S13_PSP_Species_Support!BB7*0.0673*(S13_PSP_Species_Support!BC7*(S13_PSP_Species_Support!BD7*(1-EXP(-S13_PSP_Species_Support!BE7*20))^S13_PSP_Species_Support!BF7)^2*(S13_PSP_Species_Support!BG7*(1-EXP(-S13_PSP_Species_Support!BH7*20))^S13_PSP_Species_Support!BI7))^0.976,0)+IFERROR(S13_PSP_Species_Support!BM7*0.0673*(S13_PSP_Species_Support!BN7*(S13_PSP_Species_Support!BO7*(1-EXP(-S13_PSP_Species_Support!BP7*20))^S13_PSP_Species_Support!BQ7)^2*(S13_PSP_Species_Support!BR7*(1-EXP(-S13_PSP_Species_Support!BS7*20))^S13_PSP_Species_Support!BT7))^0.976,0)+IFERROR(S13_PSP_Species_Support!BX7*0.0673*(S13_PSP_Species_Support!BY7*(S13_PSP_Species_Support!BZ7*(1-EXP(-S13_PSP_Species_Support!CA7*20))^S13_PSP_Species_Support!CB7)^2*(S13_PSP_Species_Support!CC7*(1-EXP(-S13_PSP_Species_Support!CD7*20))^S13_PSP_Species_Support!CE7))^0.976,0)+IFERROR(S13_PSP_Species_Support!CI7*0.0673*(S13_PSP_Species_Support!CJ7*(S13_PSP_Species_Support!CK7*(1-EXP(-S13_PSP_Species_Support!CL7*20))^S13_PSP_Species_Support!CM7)^2*(S13_PSP_Species_Support!CN7*(1-EXP(-S13_PSP_Species_Support!CO7*20))^S13_PSP_Species_Support!CP7))^0.976,0)+IFERROR(S13_PSP_Species_Support!CT7*0.0673*(S13_PSP_Species_Support!CU7*(S13_PSP_Species_Support!CV7*(1-EXP(-S13_PSP_Species_Support!CW7*20))^S13_PSP_Species_Support!CX7)^2*(S13_PSP_Species_Support!CY7*(1-EXP(-S13_PSP_Species_Support!CZ7*20))^S13_PSP_Species_Support!DA7))^0.976,0))/1000/$G20*AC$108,0)</x:f>
        <x:v>204.2547131713468</x:v>
      </x:c>
      <x:c r="AD20" s="148" t="n">
        <x:f aca="0">IF(2020&lt;$F20,0,INDEX($I20:$AC20,1,2020-$F20+1))</x:f>
        <x:v>0</x:v>
      </x:c>
      <x:c r="AE20" s="148" t="n">
        <x:f aca="0">IF(2021&lt;$F20,0,INDEX($I20:$AC20,1,2021-$F20+1))</x:f>
        <x:v>0</x:v>
      </x:c>
      <x:c r="AF20" s="148" t="n">
        <x:f aca="0">IF(2022&lt;$F20,0,INDEX($I20:$AC20,1,2022-$F20+1))</x:f>
        <x:v>0.0765562081554228</x:v>
      </x:c>
      <x:c r="AG20" s="148" t="n">
        <x:f aca="0">IF(2023&lt;$F20,0,INDEX($I20:$AC20,1,2023-$F20+1))</x:f>
        <x:v>0.9166914159554822</x:v>
      </x:c>
      <x:c r="AH20" s="148" t="n">
        <x:f aca="0">IF(2024&lt;$F20,0,INDEX($I20:$AC20,1,2024-$F20+1))</x:f>
        <x:v>3.5308507481596814</x:v>
      </x:c>
      <x:c r="AI20" s="148" t="n">
        <x:f aca="0">IF(2025&lt;$F20,0,INDEX($I20:$AC20,1,2025-$F20+1))</x:f>
        <x:v>8.632741836530373</x:v>
      </x:c>
      <x:c r="AJ20" s="148" t="n">
        <x:f aca="0">IF(2026&lt;$F20,0,INDEX($I20:$AC20,1,2026-$F20+1))</x:f>
        <x:v>16.412448260200513</x:v>
      </x:c>
      <x:c r="AK20" s="148" t="n">
        <x:f aca="0">IF(2027&lt;$F20,0,INDEX($I20:$AC20,1,2027-$F20+1))</x:f>
        <x:v>26.677058111398612</x:v>
      </x:c>
      <x:c r="AL20" s="148" t="n">
        <x:f aca="0">IF(2028&lt;$F20,0,INDEX($I20:$AC20,1,2028-$F20+1))</x:f>
        <x:v>38.99339471125798</x:v>
      </x:c>
      <x:c r="AM20" s="148" t="n">
        <x:f aca="0">IF(2029&lt;$F20,0,INDEX($I20:$AC20,1,2029-$F20+1))</x:f>
        <x:v>52.821841642834805</x:v>
      </x:c>
      <x:c r="AN20" s="148" t="n">
        <x:f aca="0">IF(2030&lt;$F20,0,INDEX($I20:$AC20,1,2030-$F20+1))</x:f>
        <x:v>67.61182224240645</x:v>
      </x:c>
      <x:c r="AO20" s="148" t="n">
        <x:f aca="0">IF(2031&lt;$F20,0,INDEX($I20:$AC20,1,2031-$F20+1))</x:f>
        <x:v>82.86019368208771</x:v>
      </x:c>
      <x:c r="AP20" s="148" t="n">
        <x:f aca="0">IF(2032&lt;$F20,0,INDEX($I20:$AC20,1,2032-$F20+1))</x:f>
        <x:v>98.14084182700066</x:v>
      </x:c>
      <x:c r="AQ20" s="148" t="n">
        <x:f aca="0">IF(2033&lt;$F20,0,INDEX($I20:$AC20,1,2033-$F20+1))</x:f>
        <x:v>113.1145485916044</x:v>
      </x:c>
      <x:c r="AR20" s="148" t="n">
        <x:f aca="0">IF(2034&lt;$F20,0,INDEX($I20:$AC20,1,2034-$F20+1))</x:f>
        <x:v>127.52670259761864</x:v>
      </x:c>
      <x:c r="AS20" s="148" t="n">
        <x:f aca="0">IF(2035&lt;$F20,0,INDEX($I20:$AC20,1,2035-$F20+1))</x:f>
        <x:v>141.19840941370921</x:v>
      </x:c>
      <x:c r="AT20" s="148" t="n">
        <x:f aca="0">IF(2036&lt;$F20,0,INDEX($I20:$AC20,1,2036-$F20+1))</x:f>
        <x:v>154.01473657164684</x:v>
      </x:c>
      <x:c r="AU20" s="148" t="n">
        <x:f aca="0">IF(2037&lt;$F20,0,INDEX($I20:$AC20,1,2037-$F20+1))</x:f>
        <x:v>165.9124135021979</x:v>
      </x:c>
      <x:c r="AV20" s="148" t="n">
        <x:f aca="0">IF(2038&lt;$F20,0,INDEX($I20:$AC20,1,2038-$F20+1))</x:f>
        <x:v>176.86830004108072</x:v>
      </x:c>
      <x:c r="AW20" s="148" t="n">
        <x:f aca="0">IF(2039&lt;$F20,0,INDEX($I20:$AC20,1,2039-$F20+1))</x:f>
        <x:v>186.889267342191</x:v>
      </x:c>
      <x:c r="AX20" s="148" t="n">
        <x:f aca="0">IF(2040&lt;$F20,0,INDEX($I20:$AC20,1,2040-$F20+1))</x:f>
        <x:v>196.00371611519012</x:v>
      </x:c>
      <x:c r="AY20" s="1" t="str">
        <x:f aca="0">LEFT($C20,FIND("@",SUBSTITUTE($C20,"|","@",2))-1)</x:f>
        <x:v>Fruit Orchard|Medium</x:v>
      </x:c>
      <x:c r="AZ20" s="1" t="str">
        <x:f aca="0">LEFT($C20,FIND("|",$C20)-1)</x:f>
        <x:v>Fruit Orchard</x:v>
      </x:c>
      <x:c r="BA20" s="149" t="n">
        <x:f aca="0">I20*I20</x:f>
        <x:v>0</x:v>
      </x:c>
      <x:c r="BB20" s="149" t="n">
        <x:f aca="0">J20*J20</x:f>
        <x:v>0.005860853007136424</x:v>
      </x:c>
      <x:c r="BC20" s="149" t="n">
        <x:f aca="0">K20*K20</x:f>
        <x:v>0.8403231520864669</x:v>
      </x:c>
      <x:c r="BD20" s="149" t="n">
        <x:f aca="0">L20*L20</x:f>
        <x:v>12.466907005779781</x:v>
      </x:c>
      <x:c r="BE20" s="149" t="n">
        <x:f aca="0">M20*M20</x:f>
        <x:v>74.5242316161818</x:v>
      </x:c>
      <x:c r="BF20" s="149" t="n">
        <x:f aca="0">N20*N20</x:f>
        <x:v>269.36845789375883</x:v>
      </x:c>
      <x:c r="BG20" s="149" t="n">
        <x:f aca="0">O20*O20</x:f>
        <x:v>711.6654294789384</x:v>
      </x:c>
      <x:c r="BH20" s="149" t="n">
        <x:f aca="0">P20*P20</x:f>
        <x:v>1520.4848311079616</x:v>
      </x:c>
      <x:c r="BI20" s="149" t="n">
        <x:f aca="0">Q20*Q20</x:f>
        <x:v>2790.146954540717</x:v>
      </x:c>
      <x:c r="BJ20" s="149" t="n">
        <x:f aca="0">R20*R20</x:f>
        <x:v>4571.358506938767</x:v>
      </x:c>
      <x:c r="BK20" s="149" t="n">
        <x:f aca="0">S20*S20</x:f>
        <x:v>6865.811697033088</x:v>
      </x:c>
      <x:c r="BL20" s="149" t="n">
        <x:f aca="0">T20*T20</x:f>
        <x:v>9631.624834512362</x:v>
      </x:c>
      <x:c r="BM20" s="149" t="n">
        <x:f aca="0">U20*U20</x:f>
        <x:v>12794.901103082433</x:v>
      </x:c>
      <x:c r="BN20" s="149" t="n">
        <x:f aca="0">V20*V20</x:f>
        <x:v>16263.059875421472</x:v>
      </x:c>
      <x:c r="BO20" s="149" t="n">
        <x:f aca="0">W20*W20</x:f>
        <x:v>19936.990820961448</x:v>
      </x:c>
      <x:c r="BP20" s="149" t="n">
        <x:f aca="0">X20*X20</x:f>
        <x:v>23720.53908123377</x:v>
      </x:c>
      <x:c r="BQ20" s="149" t="n">
        <x:f aca="0">Y20*Y20</x:f>
        <x:v>27526.928954124298</x:v>
      </x:c>
      <x:c r="BR20" s="149" t="n">
        <x:f aca="0">Z20*Z20</x:f>
        <x:v>31282.39555942175</x:v>
      </x:c>
      <x:c r="BS20" s="149" t="n">
        <x:f aca="0">AA20*AA20</x:f>
        <x:v>34927.59824770094</x:v>
      </x:c>
      <x:c r="BT20" s="149" t="n">
        <x:f aca="0">AB20*AB20</x:f>
        <x:v>38417.45673096404</x:v>
      </x:c>
      <x:c r="BU20" s="149" t="n">
        <x:f aca="0">AC20*AC20</x:f>
        <x:v>41719.98785270915</x:v>
      </x:c>
    </x:row>
    <x:row r="21" ht="15" hidden="0" customHeight="1">
      <x:c r="A21" s="1" t="str">
        <x:f aca="0">S13_PSP_Species_Support!A8</x:f>
        <x:v>PSP-FO-007</x:v>
      </x:c>
      <x:c r="B21" s="1" t="n">
        <x:f aca="0">8</x:f>
        <x:v>8</x:v>
      </x:c>
      <x:c r="C21" s="1" t="str">
        <x:f aca="0">S13_PSP_Species_Support!I8</x:f>
        <x:v>Fruit Orchard|Medium|2021</x:v>
      </x:c>
      <x:c r="D21" s="1" t="str">
        <x:f aca="0">S13_PSP_Species_Support!C8</x:f>
        <x:v>Fruit Orchard (Block)</x:v>
      </x:c>
      <x:c r="E21" s="1" t="str">
        <x:f aca="0">S13_PSP_Species_Support!D8</x:f>
        <x:v>Medium</x:v>
      </x:c>
      <x:c r="F21" s="1" t="n">
        <x:f aca="0">S13_PSP_Species_Support!E8</x:f>
        <x:v>2021</x:v>
      </x:c>
      <x:c r="G21" s="645" t="n">
        <x:f aca="0">'S13_PSP_Species_Support'!DJ8</x:f>
        <x:v>0.09</x:v>
      </x:c>
      <x:c r="H21" s="714" t="n">
        <x:f aca="0">'S13_PSP_Species_Support'!DK8</x:f>
        <x:v>18.288552720704445</x:v>
      </x:c>
      <x:c r="I21" s="147" t="n">
        <x:f aca="0">IFERROR((IFERROR(S13_PSP_Species_Support!U8*0.0673*(S13_PSP_Species_Support!V8*(S13_PSP_Species_Support!W8*(1-EXP(-S13_PSP_Species_Support!X8*0))^S13_PSP_Species_Support!Y8)^2*(S13_PSP_Species_Support!Z8*(1-EXP(-S13_PSP_Species_Support!AA8*0))^S13_PSP_Species_Support!AB8))^0.976,0)+IFERROR(S13_PSP_Species_Support!AF8*0.0673*(S13_PSP_Species_Support!AG8*(S13_PSP_Species_Support!AH8*(1-EXP(-S13_PSP_Species_Support!AI8*0))^S13_PSP_Species_Support!AJ8)^2*(S13_PSP_Species_Support!AK8*(1-EXP(-S13_PSP_Species_Support!AL8*0))^S13_PSP_Species_Support!AM8))^0.976,0)+IFERROR(S13_PSP_Species_Support!AQ8*0.0673*(S13_PSP_Species_Support!AR8*(S13_PSP_Species_Support!AS8*(1-EXP(-S13_PSP_Species_Support!AT8*0))^S13_PSP_Species_Support!AU8)^2*(S13_PSP_Species_Support!AV8*(1-EXP(-S13_PSP_Species_Support!AW8*0))^S13_PSP_Species_Support!AX8))^0.976,0)+IFERROR(S13_PSP_Species_Support!BB8*0.0673*(S13_PSP_Species_Support!BC8*(S13_PSP_Species_Support!BD8*(1-EXP(-S13_PSP_Species_Support!BE8*0))^S13_PSP_Species_Support!BF8)^2*(S13_PSP_Species_Support!BG8*(1-EXP(-S13_PSP_Species_Support!BH8*0))^S13_PSP_Species_Support!BI8))^0.976,0)+IFERROR(S13_PSP_Species_Support!BM8*0.0673*(S13_PSP_Species_Support!BN8*(S13_PSP_Species_Support!BO8*(1-EXP(-S13_PSP_Species_Support!BP8*0))^S13_PSP_Species_Support!BQ8)^2*(S13_PSP_Species_Support!BR8*(1-EXP(-S13_PSP_Species_Support!BS8*0))^S13_PSP_Species_Support!BT8))^0.976,0)+IFERROR(S13_PSP_Species_Support!BX8*0.0673*(S13_PSP_Species_Support!BY8*(S13_PSP_Species_Support!BZ8*(1-EXP(-S13_PSP_Species_Support!CA8*0))^S13_PSP_Species_Support!CB8)^2*(S13_PSP_Species_Support!CC8*(1-EXP(-S13_PSP_Species_Support!CD8*0))^S13_PSP_Species_Support!CE8))^0.976,0)+IFERROR(S13_PSP_Species_Support!CI8*0.0673*(S13_PSP_Species_Support!CJ8*(S13_PSP_Species_Support!CK8*(1-EXP(-S13_PSP_Species_Support!CL8*0))^S13_PSP_Species_Support!CM8)^2*(S13_PSP_Species_Support!CN8*(1-EXP(-S13_PSP_Species_Support!CO8*0))^S13_PSP_Species_Support!CP8))^0.976,0)+IFERROR(S13_PSP_Species_Support!CT8*0.0673*(S13_PSP_Species_Support!CU8*(S13_PSP_Species_Support!CV8*(1-EXP(-S13_PSP_Species_Support!CW8*0))^S13_PSP_Species_Support!CX8)^2*(S13_PSP_Species_Support!CY8*(1-EXP(-S13_PSP_Species_Support!CZ8*0))^S13_PSP_Species_Support!DA8))^0.976,0))/1000/$G21*I$108,0)</x:f>
        <x:v>0</x:v>
      </x:c>
      <x:c r="J21" s="147" t="n">
        <x:f aca="0">IFERROR((IFERROR(S13_PSP_Species_Support!U8*0.0673*(S13_PSP_Species_Support!V8*(S13_PSP_Species_Support!W8*(1-EXP(-S13_PSP_Species_Support!X8*1))^S13_PSP_Species_Support!Y8)^2*(S13_PSP_Species_Support!Z8*(1-EXP(-S13_PSP_Species_Support!AA8*1))^S13_PSP_Species_Support!AB8))^0.976,0)+IFERROR(S13_PSP_Species_Support!AF8*0.0673*(S13_PSP_Species_Support!AG8*(S13_PSP_Species_Support!AH8*(1-EXP(-S13_PSP_Species_Support!AI8*1))^S13_PSP_Species_Support!AJ8)^2*(S13_PSP_Species_Support!AK8*(1-EXP(-S13_PSP_Species_Support!AL8*1))^S13_PSP_Species_Support!AM8))^0.976,0)+IFERROR(S13_PSP_Species_Support!AQ8*0.0673*(S13_PSP_Species_Support!AR8*(S13_PSP_Species_Support!AS8*(1-EXP(-S13_PSP_Species_Support!AT8*1))^S13_PSP_Species_Support!AU8)^2*(S13_PSP_Species_Support!AV8*(1-EXP(-S13_PSP_Species_Support!AW8*1))^S13_PSP_Species_Support!AX8))^0.976,0)+IFERROR(S13_PSP_Species_Support!BB8*0.0673*(S13_PSP_Species_Support!BC8*(S13_PSP_Species_Support!BD8*(1-EXP(-S13_PSP_Species_Support!BE8*1))^S13_PSP_Species_Support!BF8)^2*(S13_PSP_Species_Support!BG8*(1-EXP(-S13_PSP_Species_Support!BH8*1))^S13_PSP_Species_Support!BI8))^0.976,0)+IFERROR(S13_PSP_Species_Support!BM8*0.0673*(S13_PSP_Species_Support!BN8*(S13_PSP_Species_Support!BO8*(1-EXP(-S13_PSP_Species_Support!BP8*1))^S13_PSP_Species_Support!BQ8)^2*(S13_PSP_Species_Support!BR8*(1-EXP(-S13_PSP_Species_Support!BS8*1))^S13_PSP_Species_Support!BT8))^0.976,0)+IFERROR(S13_PSP_Species_Support!BX8*0.0673*(S13_PSP_Species_Support!BY8*(S13_PSP_Species_Support!BZ8*(1-EXP(-S13_PSP_Species_Support!CA8*1))^S13_PSP_Species_Support!CB8)^2*(S13_PSP_Species_Support!CC8*(1-EXP(-S13_PSP_Species_Support!CD8*1))^S13_PSP_Species_Support!CE8))^0.976,0)+IFERROR(S13_PSP_Species_Support!CI8*0.0673*(S13_PSP_Species_Support!CJ8*(S13_PSP_Species_Support!CK8*(1-EXP(-S13_PSP_Species_Support!CL8*1))^S13_PSP_Species_Support!CM8)^2*(S13_PSP_Species_Support!CN8*(1-EXP(-S13_PSP_Species_Support!CO8*1))^S13_PSP_Species_Support!CP8))^0.976,0)+IFERROR(S13_PSP_Species_Support!CT8*0.0673*(S13_PSP_Species_Support!CU8*(S13_PSP_Species_Support!CV8*(1-EXP(-S13_PSP_Species_Support!CW8*1))^S13_PSP_Species_Support!CX8)^2*(S13_PSP_Species_Support!CY8*(1-EXP(-S13_PSP_Species_Support!CZ8*1))^S13_PSP_Species_Support!DA8))^0.976,0))/1000/$G21*J$108,0)</x:f>
        <x:v>0.023576369456147</x:v>
      </x:c>
      <x:c r="K21" s="147" t="n">
        <x:f aca="0">IFERROR((IFERROR(S13_PSP_Species_Support!U8*0.0673*(S13_PSP_Species_Support!V8*(S13_PSP_Species_Support!W8*(1-EXP(-S13_PSP_Species_Support!X8*2))^S13_PSP_Species_Support!Y8)^2*(S13_PSP_Species_Support!Z8*(1-EXP(-S13_PSP_Species_Support!AA8*2))^S13_PSP_Species_Support!AB8))^0.976,0)+IFERROR(S13_PSP_Species_Support!AF8*0.0673*(S13_PSP_Species_Support!AG8*(S13_PSP_Species_Support!AH8*(1-EXP(-S13_PSP_Species_Support!AI8*2))^S13_PSP_Species_Support!AJ8)^2*(S13_PSP_Species_Support!AK8*(1-EXP(-S13_PSP_Species_Support!AL8*2))^S13_PSP_Species_Support!AM8))^0.976,0)+IFERROR(S13_PSP_Species_Support!AQ8*0.0673*(S13_PSP_Species_Support!AR8*(S13_PSP_Species_Support!AS8*(1-EXP(-S13_PSP_Species_Support!AT8*2))^S13_PSP_Species_Support!AU8)^2*(S13_PSP_Species_Support!AV8*(1-EXP(-S13_PSP_Species_Support!AW8*2))^S13_PSP_Species_Support!AX8))^0.976,0)+IFERROR(S13_PSP_Species_Support!BB8*0.0673*(S13_PSP_Species_Support!BC8*(S13_PSP_Species_Support!BD8*(1-EXP(-S13_PSP_Species_Support!BE8*2))^S13_PSP_Species_Support!BF8)^2*(S13_PSP_Species_Support!BG8*(1-EXP(-S13_PSP_Species_Support!BH8*2))^S13_PSP_Species_Support!BI8))^0.976,0)+IFERROR(S13_PSP_Species_Support!BM8*0.0673*(S13_PSP_Species_Support!BN8*(S13_PSP_Species_Support!BO8*(1-EXP(-S13_PSP_Species_Support!BP8*2))^S13_PSP_Species_Support!BQ8)^2*(S13_PSP_Species_Support!BR8*(1-EXP(-S13_PSP_Species_Support!BS8*2))^S13_PSP_Species_Support!BT8))^0.976,0)+IFERROR(S13_PSP_Species_Support!BX8*0.0673*(S13_PSP_Species_Support!BY8*(S13_PSP_Species_Support!BZ8*(1-EXP(-S13_PSP_Species_Support!CA8*2))^S13_PSP_Species_Support!CB8)^2*(S13_PSP_Species_Support!CC8*(1-EXP(-S13_PSP_Species_Support!CD8*2))^S13_PSP_Species_Support!CE8))^0.976,0)+IFERROR(S13_PSP_Species_Support!CI8*0.0673*(S13_PSP_Species_Support!CJ8*(S13_PSP_Species_Support!CK8*(1-EXP(-S13_PSP_Species_Support!CL8*2))^S13_PSP_Species_Support!CM8)^2*(S13_PSP_Species_Support!CN8*(1-EXP(-S13_PSP_Species_Support!CO8*2))^S13_PSP_Species_Support!CP8))^0.976,0)+IFERROR(S13_PSP_Species_Support!CT8*0.0673*(S13_PSP_Species_Support!CU8*(S13_PSP_Species_Support!CV8*(1-EXP(-S13_PSP_Species_Support!CW8*2))^S13_PSP_Species_Support!CX8)^2*(S13_PSP_Species_Support!CY8*(1-EXP(-S13_PSP_Species_Support!CZ8*2))^S13_PSP_Species_Support!DA8))^0.976,0))/1000/$G21*K$108,0)</x:f>
        <x:v>0.29268774106526607</x:v>
      </x:c>
      <x:c r="L21" s="147" t="n">
        <x:f aca="0">IFERROR((IFERROR(S13_PSP_Species_Support!U8*0.0673*(S13_PSP_Species_Support!V8*(S13_PSP_Species_Support!W8*(1-EXP(-S13_PSP_Species_Support!X8*3))^S13_PSP_Species_Support!Y8)^2*(S13_PSP_Species_Support!Z8*(1-EXP(-S13_PSP_Species_Support!AA8*3))^S13_PSP_Species_Support!AB8))^0.976,0)+IFERROR(S13_PSP_Species_Support!AF8*0.0673*(S13_PSP_Species_Support!AG8*(S13_PSP_Species_Support!AH8*(1-EXP(-S13_PSP_Species_Support!AI8*3))^S13_PSP_Species_Support!AJ8)^2*(S13_PSP_Species_Support!AK8*(1-EXP(-S13_PSP_Species_Support!AL8*3))^S13_PSP_Species_Support!AM8))^0.976,0)+IFERROR(S13_PSP_Species_Support!AQ8*0.0673*(S13_PSP_Species_Support!AR8*(S13_PSP_Species_Support!AS8*(1-EXP(-S13_PSP_Species_Support!AT8*3))^S13_PSP_Species_Support!AU8)^2*(S13_PSP_Species_Support!AV8*(1-EXP(-S13_PSP_Species_Support!AW8*3))^S13_PSP_Species_Support!AX8))^0.976,0)+IFERROR(S13_PSP_Species_Support!BB8*0.0673*(S13_PSP_Species_Support!BC8*(S13_PSP_Species_Support!BD8*(1-EXP(-S13_PSP_Species_Support!BE8*3))^S13_PSP_Species_Support!BF8)^2*(S13_PSP_Species_Support!BG8*(1-EXP(-S13_PSP_Species_Support!BH8*3))^S13_PSP_Species_Support!BI8))^0.976,0)+IFERROR(S13_PSP_Species_Support!BM8*0.0673*(S13_PSP_Species_Support!BN8*(S13_PSP_Species_Support!BO8*(1-EXP(-S13_PSP_Species_Support!BP8*3))^S13_PSP_Species_Support!BQ8)^2*(S13_PSP_Species_Support!BR8*(1-EXP(-S13_PSP_Species_Support!BS8*3))^S13_PSP_Species_Support!BT8))^0.976,0)+IFERROR(S13_PSP_Species_Support!BX8*0.0673*(S13_PSP_Species_Support!BY8*(S13_PSP_Species_Support!BZ8*(1-EXP(-S13_PSP_Species_Support!CA8*3))^S13_PSP_Species_Support!CB8)^2*(S13_PSP_Species_Support!CC8*(1-EXP(-S13_PSP_Species_Support!CD8*3))^S13_PSP_Species_Support!CE8))^0.976,0)+IFERROR(S13_PSP_Species_Support!CI8*0.0673*(S13_PSP_Species_Support!CJ8*(S13_PSP_Species_Support!CK8*(1-EXP(-S13_PSP_Species_Support!CL8*3))^S13_PSP_Species_Support!CM8)^2*(S13_PSP_Species_Support!CN8*(1-EXP(-S13_PSP_Species_Support!CO8*3))^S13_PSP_Species_Support!CP8))^0.976,0)+IFERROR(S13_PSP_Species_Support!CT8*0.0673*(S13_PSP_Species_Support!CU8*(S13_PSP_Species_Support!CV8*(1-EXP(-S13_PSP_Species_Support!CW8*3))^S13_PSP_Species_Support!CX8)^2*(S13_PSP_Species_Support!CY8*(1-EXP(-S13_PSP_Species_Support!CZ8*3))^S13_PSP_Species_Support!DA8))^0.976,0))/1000/$G21*L$108,0)</x:f>
        <x:v>1.1193987514664312</x:v>
      </x:c>
      <x:c r="M21" s="147" t="n">
        <x:f aca="0">IFERROR((IFERROR(S13_PSP_Species_Support!U8*0.0673*(S13_PSP_Species_Support!V8*(S13_PSP_Species_Support!W8*(1-EXP(-S13_PSP_Species_Support!X8*4))^S13_PSP_Species_Support!Y8)^2*(S13_PSP_Species_Support!Z8*(1-EXP(-S13_PSP_Species_Support!AA8*4))^S13_PSP_Species_Support!AB8))^0.976,0)+IFERROR(S13_PSP_Species_Support!AF8*0.0673*(S13_PSP_Species_Support!AG8*(S13_PSP_Species_Support!AH8*(1-EXP(-S13_PSP_Species_Support!AI8*4))^S13_PSP_Species_Support!AJ8)^2*(S13_PSP_Species_Support!AK8*(1-EXP(-S13_PSP_Species_Support!AL8*4))^S13_PSP_Species_Support!AM8))^0.976,0)+IFERROR(S13_PSP_Species_Support!AQ8*0.0673*(S13_PSP_Species_Support!AR8*(S13_PSP_Species_Support!AS8*(1-EXP(-S13_PSP_Species_Support!AT8*4))^S13_PSP_Species_Support!AU8)^2*(S13_PSP_Species_Support!AV8*(1-EXP(-S13_PSP_Species_Support!AW8*4))^S13_PSP_Species_Support!AX8))^0.976,0)+IFERROR(S13_PSP_Species_Support!BB8*0.0673*(S13_PSP_Species_Support!BC8*(S13_PSP_Species_Support!BD8*(1-EXP(-S13_PSP_Species_Support!BE8*4))^S13_PSP_Species_Support!BF8)^2*(S13_PSP_Species_Support!BG8*(1-EXP(-S13_PSP_Species_Support!BH8*4))^S13_PSP_Species_Support!BI8))^0.976,0)+IFERROR(S13_PSP_Species_Support!BM8*0.0673*(S13_PSP_Species_Support!BN8*(S13_PSP_Species_Support!BO8*(1-EXP(-S13_PSP_Species_Support!BP8*4))^S13_PSP_Species_Support!BQ8)^2*(S13_PSP_Species_Support!BR8*(1-EXP(-S13_PSP_Species_Support!BS8*4))^S13_PSP_Species_Support!BT8))^0.976,0)+IFERROR(S13_PSP_Species_Support!BX8*0.0673*(S13_PSP_Species_Support!BY8*(S13_PSP_Species_Support!BZ8*(1-EXP(-S13_PSP_Species_Support!CA8*4))^S13_PSP_Species_Support!CB8)^2*(S13_PSP_Species_Support!CC8*(1-EXP(-S13_PSP_Species_Support!CD8*4))^S13_PSP_Species_Support!CE8))^0.976,0)+IFERROR(S13_PSP_Species_Support!CI8*0.0673*(S13_PSP_Species_Support!CJ8*(S13_PSP_Species_Support!CK8*(1-EXP(-S13_PSP_Species_Support!CL8*4))^S13_PSP_Species_Support!CM8)^2*(S13_PSP_Species_Support!CN8*(1-EXP(-S13_PSP_Species_Support!CO8*4))^S13_PSP_Species_Support!CP8))^0.976,0)+IFERROR(S13_PSP_Species_Support!CT8*0.0673*(S13_PSP_Species_Support!CU8*(S13_PSP_Species_Support!CV8*(1-EXP(-S13_PSP_Species_Support!CW8*4))^S13_PSP_Species_Support!CX8)^2*(S13_PSP_Species_Support!CY8*(1-EXP(-S13_PSP_Species_Support!CZ8*4))^S13_PSP_Species_Support!DA8))^0.976,0))/1000/$G21*M$108,0)</x:f>
        <x:v>2.67740539272841</x:v>
      </x:c>
      <x:c r="N21" s="147" t="n">
        <x:f aca="0">IFERROR((IFERROR(S13_PSP_Species_Support!U8*0.0673*(S13_PSP_Species_Support!V8*(S13_PSP_Species_Support!W8*(1-EXP(-S13_PSP_Species_Support!X8*5))^S13_PSP_Species_Support!Y8)^2*(S13_PSP_Species_Support!Z8*(1-EXP(-S13_PSP_Species_Support!AA8*5))^S13_PSP_Species_Support!AB8))^0.976,0)+IFERROR(S13_PSP_Species_Support!AF8*0.0673*(S13_PSP_Species_Support!AG8*(S13_PSP_Species_Support!AH8*(1-EXP(-S13_PSP_Species_Support!AI8*5))^S13_PSP_Species_Support!AJ8)^2*(S13_PSP_Species_Support!AK8*(1-EXP(-S13_PSP_Species_Support!AL8*5))^S13_PSP_Species_Support!AM8))^0.976,0)+IFERROR(S13_PSP_Species_Support!AQ8*0.0673*(S13_PSP_Species_Support!AR8*(S13_PSP_Species_Support!AS8*(1-EXP(-S13_PSP_Species_Support!AT8*5))^S13_PSP_Species_Support!AU8)^2*(S13_PSP_Species_Support!AV8*(1-EXP(-S13_PSP_Species_Support!AW8*5))^S13_PSP_Species_Support!AX8))^0.976,0)+IFERROR(S13_PSP_Species_Support!BB8*0.0673*(S13_PSP_Species_Support!BC8*(S13_PSP_Species_Support!BD8*(1-EXP(-S13_PSP_Species_Support!BE8*5))^S13_PSP_Species_Support!BF8)^2*(S13_PSP_Species_Support!BG8*(1-EXP(-S13_PSP_Species_Support!BH8*5))^S13_PSP_Species_Support!BI8))^0.976,0)+IFERROR(S13_PSP_Species_Support!BM8*0.0673*(S13_PSP_Species_Support!BN8*(S13_PSP_Species_Support!BO8*(1-EXP(-S13_PSP_Species_Support!BP8*5))^S13_PSP_Species_Support!BQ8)^2*(S13_PSP_Species_Support!BR8*(1-EXP(-S13_PSP_Species_Support!BS8*5))^S13_PSP_Species_Support!BT8))^0.976,0)+IFERROR(S13_PSP_Species_Support!BX8*0.0673*(S13_PSP_Species_Support!BY8*(S13_PSP_Species_Support!BZ8*(1-EXP(-S13_PSP_Species_Support!CA8*5))^S13_PSP_Species_Support!CB8)^2*(S13_PSP_Species_Support!CC8*(1-EXP(-S13_PSP_Species_Support!CD8*5))^S13_PSP_Species_Support!CE8))^0.976,0)+IFERROR(S13_PSP_Species_Support!CI8*0.0673*(S13_PSP_Species_Support!CJ8*(S13_PSP_Species_Support!CK8*(1-EXP(-S13_PSP_Species_Support!CL8*5))^S13_PSP_Species_Support!CM8)^2*(S13_PSP_Species_Support!CN8*(1-EXP(-S13_PSP_Species_Support!CO8*5))^S13_PSP_Species_Support!CP8))^0.976,0)+IFERROR(S13_PSP_Species_Support!CT8*0.0673*(S13_PSP_Species_Support!CU8*(S13_PSP_Species_Support!CV8*(1-EXP(-S13_PSP_Species_Support!CW8*5))^S13_PSP_Species_Support!CX8)^2*(S13_PSP_Species_Support!CY8*(1-EXP(-S13_PSP_Species_Support!CZ8*5))^S13_PSP_Species_Support!DA8))^0.976,0))/1000/$G21*N$108,0)</x:f>
        <x:v>4.951467598291647</x:v>
      </x:c>
      <x:c r="O21" s="147" t="n">
        <x:f aca="0">IFERROR((IFERROR(S13_PSP_Species_Support!U8*0.0673*(S13_PSP_Species_Support!V8*(S13_PSP_Species_Support!W8*(1-EXP(-S13_PSP_Species_Support!X8*6))^S13_PSP_Species_Support!Y8)^2*(S13_PSP_Species_Support!Z8*(1-EXP(-S13_PSP_Species_Support!AA8*6))^S13_PSP_Species_Support!AB8))^0.976,0)+IFERROR(S13_PSP_Species_Support!AF8*0.0673*(S13_PSP_Species_Support!AG8*(S13_PSP_Species_Support!AH8*(1-EXP(-S13_PSP_Species_Support!AI8*6))^S13_PSP_Species_Support!AJ8)^2*(S13_PSP_Species_Support!AK8*(1-EXP(-S13_PSP_Species_Support!AL8*6))^S13_PSP_Species_Support!AM8))^0.976,0)+IFERROR(S13_PSP_Species_Support!AQ8*0.0673*(S13_PSP_Species_Support!AR8*(S13_PSP_Species_Support!AS8*(1-EXP(-S13_PSP_Species_Support!AT8*6))^S13_PSP_Species_Support!AU8)^2*(S13_PSP_Species_Support!AV8*(1-EXP(-S13_PSP_Species_Support!AW8*6))^S13_PSP_Species_Support!AX8))^0.976,0)+IFERROR(S13_PSP_Species_Support!BB8*0.0673*(S13_PSP_Species_Support!BC8*(S13_PSP_Species_Support!BD8*(1-EXP(-S13_PSP_Species_Support!BE8*6))^S13_PSP_Species_Support!BF8)^2*(S13_PSP_Species_Support!BG8*(1-EXP(-S13_PSP_Species_Support!BH8*6))^S13_PSP_Species_Support!BI8))^0.976,0)+IFERROR(S13_PSP_Species_Support!BM8*0.0673*(S13_PSP_Species_Support!BN8*(S13_PSP_Species_Support!BO8*(1-EXP(-S13_PSP_Species_Support!BP8*6))^S13_PSP_Species_Support!BQ8)^2*(S13_PSP_Species_Support!BR8*(1-EXP(-S13_PSP_Species_Support!BS8*6))^S13_PSP_Species_Support!BT8))^0.976,0)+IFERROR(S13_PSP_Species_Support!BX8*0.0673*(S13_PSP_Species_Support!BY8*(S13_PSP_Species_Support!BZ8*(1-EXP(-S13_PSP_Species_Support!CA8*6))^S13_PSP_Species_Support!CB8)^2*(S13_PSP_Species_Support!CC8*(1-EXP(-S13_PSP_Species_Support!CD8*6))^S13_PSP_Species_Support!CE8))^0.976,0)+IFERROR(S13_PSP_Species_Support!CI8*0.0673*(S13_PSP_Species_Support!CJ8*(S13_PSP_Species_Support!CK8*(1-EXP(-S13_PSP_Species_Support!CL8*6))^S13_PSP_Species_Support!CM8)^2*(S13_PSP_Species_Support!CN8*(1-EXP(-S13_PSP_Species_Support!CO8*6))^S13_PSP_Species_Support!CP8))^0.976,0)+IFERROR(S13_PSP_Species_Support!CT8*0.0673*(S13_PSP_Species_Support!CU8*(S13_PSP_Species_Support!CV8*(1-EXP(-S13_PSP_Species_Support!CW8*6))^S13_PSP_Species_Support!CX8)^2*(S13_PSP_Species_Support!CY8*(1-EXP(-S13_PSP_Species_Support!CZ8*6))^S13_PSP_Species_Support!DA8))^0.976,0))/1000/$G21*O$108,0)</x:f>
        <x:v>7.8157219007087235</x:v>
      </x:c>
      <x:c r="P21" s="147" t="n">
        <x:f aca="0">IFERROR((IFERROR(S13_PSP_Species_Support!U8*0.0673*(S13_PSP_Species_Support!V8*(S13_PSP_Species_Support!W8*(1-EXP(-S13_PSP_Species_Support!X8*7))^S13_PSP_Species_Support!Y8)^2*(S13_PSP_Species_Support!Z8*(1-EXP(-S13_PSP_Species_Support!AA8*7))^S13_PSP_Species_Support!AB8))^0.976,0)+IFERROR(S13_PSP_Species_Support!AF8*0.0673*(S13_PSP_Species_Support!AG8*(S13_PSP_Species_Support!AH8*(1-EXP(-S13_PSP_Species_Support!AI8*7))^S13_PSP_Species_Support!AJ8)^2*(S13_PSP_Species_Support!AK8*(1-EXP(-S13_PSP_Species_Support!AL8*7))^S13_PSP_Species_Support!AM8))^0.976,0)+IFERROR(S13_PSP_Species_Support!AQ8*0.0673*(S13_PSP_Species_Support!AR8*(S13_PSP_Species_Support!AS8*(1-EXP(-S13_PSP_Species_Support!AT8*7))^S13_PSP_Species_Support!AU8)^2*(S13_PSP_Species_Support!AV8*(1-EXP(-S13_PSP_Species_Support!AW8*7))^S13_PSP_Species_Support!AX8))^0.976,0)+IFERROR(S13_PSP_Species_Support!BB8*0.0673*(S13_PSP_Species_Support!BC8*(S13_PSP_Species_Support!BD8*(1-EXP(-S13_PSP_Species_Support!BE8*7))^S13_PSP_Species_Support!BF8)^2*(S13_PSP_Species_Support!BG8*(1-EXP(-S13_PSP_Species_Support!BH8*7))^S13_PSP_Species_Support!BI8))^0.976,0)+IFERROR(S13_PSP_Species_Support!BM8*0.0673*(S13_PSP_Species_Support!BN8*(S13_PSP_Species_Support!BO8*(1-EXP(-S13_PSP_Species_Support!BP8*7))^S13_PSP_Species_Support!BQ8)^2*(S13_PSP_Species_Support!BR8*(1-EXP(-S13_PSP_Species_Support!BS8*7))^S13_PSP_Species_Support!BT8))^0.976,0)+IFERROR(S13_PSP_Species_Support!BX8*0.0673*(S13_PSP_Species_Support!BY8*(S13_PSP_Species_Support!BZ8*(1-EXP(-S13_PSP_Species_Support!CA8*7))^S13_PSP_Species_Support!CB8)^2*(S13_PSP_Species_Support!CC8*(1-EXP(-S13_PSP_Species_Support!CD8*7))^S13_PSP_Species_Support!CE8))^0.976,0)+IFERROR(S13_PSP_Species_Support!CI8*0.0673*(S13_PSP_Species_Support!CJ8*(S13_PSP_Species_Support!CK8*(1-EXP(-S13_PSP_Species_Support!CL8*7))^S13_PSP_Species_Support!CM8)^2*(S13_PSP_Species_Support!CN8*(1-EXP(-S13_PSP_Species_Support!CO8*7))^S13_PSP_Species_Support!CP8))^0.976,0)+IFERROR(S13_PSP_Species_Support!CT8*0.0673*(S13_PSP_Species_Support!CU8*(S13_PSP_Species_Support!CV8*(1-EXP(-S13_PSP_Species_Support!CW8*7))^S13_PSP_Species_Support!CX8)^2*(S13_PSP_Species_Support!CY8*(1-EXP(-S13_PSP_Species_Support!CZ8*7))^S13_PSP_Species_Support!DA8))^0.976,0))/1000/$G21*P$108,0)</x:f>
        <x:v>11.097436028949046</x:v>
      </x:c>
      <x:c r="Q21" s="147" t="n">
        <x:f aca="0">IFERROR((IFERROR(S13_PSP_Species_Support!U8*0.0673*(S13_PSP_Species_Support!V8*(S13_PSP_Species_Support!W8*(1-EXP(-S13_PSP_Species_Support!X8*8))^S13_PSP_Species_Support!Y8)^2*(S13_PSP_Species_Support!Z8*(1-EXP(-S13_PSP_Species_Support!AA8*8))^S13_PSP_Species_Support!AB8))^0.976,0)+IFERROR(S13_PSP_Species_Support!AF8*0.0673*(S13_PSP_Species_Support!AG8*(S13_PSP_Species_Support!AH8*(1-EXP(-S13_PSP_Species_Support!AI8*8))^S13_PSP_Species_Support!AJ8)^2*(S13_PSP_Species_Support!AK8*(1-EXP(-S13_PSP_Species_Support!AL8*8))^S13_PSP_Species_Support!AM8))^0.976,0)+IFERROR(S13_PSP_Species_Support!AQ8*0.0673*(S13_PSP_Species_Support!AR8*(S13_PSP_Species_Support!AS8*(1-EXP(-S13_PSP_Species_Support!AT8*8))^S13_PSP_Species_Support!AU8)^2*(S13_PSP_Species_Support!AV8*(1-EXP(-S13_PSP_Species_Support!AW8*8))^S13_PSP_Species_Support!AX8))^0.976,0)+IFERROR(S13_PSP_Species_Support!BB8*0.0673*(S13_PSP_Species_Support!BC8*(S13_PSP_Species_Support!BD8*(1-EXP(-S13_PSP_Species_Support!BE8*8))^S13_PSP_Species_Support!BF8)^2*(S13_PSP_Species_Support!BG8*(1-EXP(-S13_PSP_Species_Support!BH8*8))^S13_PSP_Species_Support!BI8))^0.976,0)+IFERROR(S13_PSP_Species_Support!BM8*0.0673*(S13_PSP_Species_Support!BN8*(S13_PSP_Species_Support!BO8*(1-EXP(-S13_PSP_Species_Support!BP8*8))^S13_PSP_Species_Support!BQ8)^2*(S13_PSP_Species_Support!BR8*(1-EXP(-S13_PSP_Species_Support!BS8*8))^S13_PSP_Species_Support!BT8))^0.976,0)+IFERROR(S13_PSP_Species_Support!BX8*0.0673*(S13_PSP_Species_Support!BY8*(S13_PSP_Species_Support!BZ8*(1-EXP(-S13_PSP_Species_Support!CA8*8))^S13_PSP_Species_Support!CB8)^2*(S13_PSP_Species_Support!CC8*(1-EXP(-S13_PSP_Species_Support!CD8*8))^S13_PSP_Species_Support!CE8))^0.976,0)+IFERROR(S13_PSP_Species_Support!CI8*0.0673*(S13_PSP_Species_Support!CJ8*(S13_PSP_Species_Support!CK8*(1-EXP(-S13_PSP_Species_Support!CL8*8))^S13_PSP_Species_Support!CM8)^2*(S13_PSP_Species_Support!CN8*(1-EXP(-S13_PSP_Species_Support!CO8*8))^S13_PSP_Species_Support!CP8))^0.976,0)+IFERROR(S13_PSP_Species_Support!CT8*0.0673*(S13_PSP_Species_Support!CU8*(S13_PSP_Species_Support!CV8*(1-EXP(-S13_PSP_Species_Support!CW8*8))^S13_PSP_Species_Support!CX8)^2*(S13_PSP_Species_Support!CY8*(1-EXP(-S13_PSP_Species_Support!CZ8*8))^S13_PSP_Species_Support!DA8))^0.976,0))/1000/$G21*Q$108,0)</x:f>
        <x:v>14.622166018418111</x:v>
      </x:c>
      <x:c r="R21" s="147" t="n">
        <x:f aca="0">IFERROR((IFERROR(S13_PSP_Species_Support!U8*0.0673*(S13_PSP_Species_Support!V8*(S13_PSP_Species_Support!W8*(1-EXP(-S13_PSP_Species_Support!X8*9))^S13_PSP_Species_Support!Y8)^2*(S13_PSP_Species_Support!Z8*(1-EXP(-S13_PSP_Species_Support!AA8*9))^S13_PSP_Species_Support!AB8))^0.976,0)+IFERROR(S13_PSP_Species_Support!AF8*0.0673*(S13_PSP_Species_Support!AG8*(S13_PSP_Species_Support!AH8*(1-EXP(-S13_PSP_Species_Support!AI8*9))^S13_PSP_Species_Support!AJ8)^2*(S13_PSP_Species_Support!AK8*(1-EXP(-S13_PSP_Species_Support!AL8*9))^S13_PSP_Species_Support!AM8))^0.976,0)+IFERROR(S13_PSP_Species_Support!AQ8*0.0673*(S13_PSP_Species_Support!AR8*(S13_PSP_Species_Support!AS8*(1-EXP(-S13_PSP_Species_Support!AT8*9))^S13_PSP_Species_Support!AU8)^2*(S13_PSP_Species_Support!AV8*(1-EXP(-S13_PSP_Species_Support!AW8*9))^S13_PSP_Species_Support!AX8))^0.976,0)+IFERROR(S13_PSP_Species_Support!BB8*0.0673*(S13_PSP_Species_Support!BC8*(S13_PSP_Species_Support!BD8*(1-EXP(-S13_PSP_Species_Support!BE8*9))^S13_PSP_Species_Support!BF8)^2*(S13_PSP_Species_Support!BG8*(1-EXP(-S13_PSP_Species_Support!BH8*9))^S13_PSP_Species_Support!BI8))^0.976,0)+IFERROR(S13_PSP_Species_Support!BM8*0.0673*(S13_PSP_Species_Support!BN8*(S13_PSP_Species_Support!BO8*(1-EXP(-S13_PSP_Species_Support!BP8*9))^S13_PSP_Species_Support!BQ8)^2*(S13_PSP_Species_Support!BR8*(1-EXP(-S13_PSP_Species_Support!BS8*9))^S13_PSP_Species_Support!BT8))^0.976,0)+IFERROR(S13_PSP_Species_Support!BX8*0.0673*(S13_PSP_Species_Support!BY8*(S13_PSP_Species_Support!BZ8*(1-EXP(-S13_PSP_Species_Support!CA8*9))^S13_PSP_Species_Support!CB8)^2*(S13_PSP_Species_Support!CC8*(1-EXP(-S13_PSP_Species_Support!CD8*9))^S13_PSP_Species_Support!CE8))^0.976,0)+IFERROR(S13_PSP_Species_Support!CI8*0.0673*(S13_PSP_Species_Support!CJ8*(S13_PSP_Species_Support!CK8*(1-EXP(-S13_PSP_Species_Support!CL8*9))^S13_PSP_Species_Support!CM8)^2*(S13_PSP_Species_Support!CN8*(1-EXP(-S13_PSP_Species_Support!CO8*9))^S13_PSP_Species_Support!CP8))^0.976,0)+IFERROR(S13_PSP_Species_Support!CT8*0.0673*(S13_PSP_Species_Support!CU8*(S13_PSP_Species_Support!CV8*(1-EXP(-S13_PSP_Species_Support!CW8*9))^S13_PSP_Species_Support!CX8)^2*(S13_PSP_Species_Support!CY8*(1-EXP(-S13_PSP_Species_Support!CZ8*9))^S13_PSP_Species_Support!DA8))^0.976,0))/1000/$G21*R$108,0)</x:f>
        <x:v>18.23768909338112</x:v>
      </x:c>
      <x:c r="S21" s="147" t="n">
        <x:f aca="0">IFERROR((IFERROR(S13_PSP_Species_Support!U8*0.0673*(S13_PSP_Species_Support!V8*(S13_PSP_Species_Support!W8*(1-EXP(-S13_PSP_Species_Support!X8*10))^S13_PSP_Species_Support!Y8)^2*(S13_PSP_Species_Support!Z8*(1-EXP(-S13_PSP_Species_Support!AA8*10))^S13_PSP_Species_Support!AB8))^0.976,0)+IFERROR(S13_PSP_Species_Support!AF8*0.0673*(S13_PSP_Species_Support!AG8*(S13_PSP_Species_Support!AH8*(1-EXP(-S13_PSP_Species_Support!AI8*10))^S13_PSP_Species_Support!AJ8)^2*(S13_PSP_Species_Support!AK8*(1-EXP(-S13_PSP_Species_Support!AL8*10))^S13_PSP_Species_Support!AM8))^0.976,0)+IFERROR(S13_PSP_Species_Support!AQ8*0.0673*(S13_PSP_Species_Support!AR8*(S13_PSP_Species_Support!AS8*(1-EXP(-S13_PSP_Species_Support!AT8*10))^S13_PSP_Species_Support!AU8)^2*(S13_PSP_Species_Support!AV8*(1-EXP(-S13_PSP_Species_Support!AW8*10))^S13_PSP_Species_Support!AX8))^0.976,0)+IFERROR(S13_PSP_Species_Support!BB8*0.0673*(S13_PSP_Species_Support!BC8*(S13_PSP_Species_Support!BD8*(1-EXP(-S13_PSP_Species_Support!BE8*10))^S13_PSP_Species_Support!BF8)^2*(S13_PSP_Species_Support!BG8*(1-EXP(-S13_PSP_Species_Support!BH8*10))^S13_PSP_Species_Support!BI8))^0.976,0)+IFERROR(S13_PSP_Species_Support!BM8*0.0673*(S13_PSP_Species_Support!BN8*(S13_PSP_Species_Support!BO8*(1-EXP(-S13_PSP_Species_Support!BP8*10))^S13_PSP_Species_Support!BQ8)^2*(S13_PSP_Species_Support!BR8*(1-EXP(-S13_PSP_Species_Support!BS8*10))^S13_PSP_Species_Support!BT8))^0.976,0)+IFERROR(S13_PSP_Species_Support!BX8*0.0673*(S13_PSP_Species_Support!BY8*(S13_PSP_Species_Support!BZ8*(1-EXP(-S13_PSP_Species_Support!CA8*10))^S13_PSP_Species_Support!CB8)^2*(S13_PSP_Species_Support!CC8*(1-EXP(-S13_PSP_Species_Support!CD8*10))^S13_PSP_Species_Support!CE8))^0.976,0)+IFERROR(S13_PSP_Species_Support!CI8*0.0673*(S13_PSP_Species_Support!CJ8*(S13_PSP_Species_Support!CK8*(1-EXP(-S13_PSP_Species_Support!CL8*10))^S13_PSP_Species_Support!CM8)^2*(S13_PSP_Species_Support!CN8*(1-EXP(-S13_PSP_Species_Support!CO8*10))^S13_PSP_Species_Support!CP8))^0.976,0)+IFERROR(S13_PSP_Species_Support!CT8*0.0673*(S13_PSP_Species_Support!CU8*(S13_PSP_Species_Support!CV8*(1-EXP(-S13_PSP_Species_Support!CW8*10))^S13_PSP_Species_Support!CX8)^2*(S13_PSP_Species_Support!CY8*(1-EXP(-S13_PSP_Species_Support!CZ8*10))^S13_PSP_Species_Support!DA8))^0.976,0))/1000/$G21*S$108,0)</x:f>
        <x:v>21.82315909337616</x:v>
      </x:c>
      <x:c r="T21" s="147" t="n">
        <x:f aca="0">IFERROR((IFERROR(S13_PSP_Species_Support!U8*0.0673*(S13_PSP_Species_Support!V8*(S13_PSP_Species_Support!W8*(1-EXP(-S13_PSP_Species_Support!X8*11))^S13_PSP_Species_Support!Y8)^2*(S13_PSP_Species_Support!Z8*(1-EXP(-S13_PSP_Species_Support!AA8*11))^S13_PSP_Species_Support!AB8))^0.976,0)+IFERROR(S13_PSP_Species_Support!AF8*0.0673*(S13_PSP_Species_Support!AG8*(S13_PSP_Species_Support!AH8*(1-EXP(-S13_PSP_Species_Support!AI8*11))^S13_PSP_Species_Support!AJ8)^2*(S13_PSP_Species_Support!AK8*(1-EXP(-S13_PSP_Species_Support!AL8*11))^S13_PSP_Species_Support!AM8))^0.976,0)+IFERROR(S13_PSP_Species_Support!AQ8*0.0673*(S13_PSP_Species_Support!AR8*(S13_PSP_Species_Support!AS8*(1-EXP(-S13_PSP_Species_Support!AT8*11))^S13_PSP_Species_Support!AU8)^2*(S13_PSP_Species_Support!AV8*(1-EXP(-S13_PSP_Species_Support!AW8*11))^S13_PSP_Species_Support!AX8))^0.976,0)+IFERROR(S13_PSP_Species_Support!BB8*0.0673*(S13_PSP_Species_Support!BC8*(S13_PSP_Species_Support!BD8*(1-EXP(-S13_PSP_Species_Support!BE8*11))^S13_PSP_Species_Support!BF8)^2*(S13_PSP_Species_Support!BG8*(1-EXP(-S13_PSP_Species_Support!BH8*11))^S13_PSP_Species_Support!BI8))^0.976,0)+IFERROR(S13_PSP_Species_Support!BM8*0.0673*(S13_PSP_Species_Support!BN8*(S13_PSP_Species_Support!BO8*(1-EXP(-S13_PSP_Species_Support!BP8*11))^S13_PSP_Species_Support!BQ8)^2*(S13_PSP_Species_Support!BR8*(1-EXP(-S13_PSP_Species_Support!BS8*11))^S13_PSP_Species_Support!BT8))^0.976,0)+IFERROR(S13_PSP_Species_Support!BX8*0.0673*(S13_PSP_Species_Support!BY8*(S13_PSP_Species_Support!BZ8*(1-EXP(-S13_PSP_Species_Support!CA8*11))^S13_PSP_Species_Support!CB8)^2*(S13_PSP_Species_Support!CC8*(1-EXP(-S13_PSP_Species_Support!CD8*11))^S13_PSP_Species_Support!CE8))^0.976,0)+IFERROR(S13_PSP_Species_Support!CI8*0.0673*(S13_PSP_Species_Support!CJ8*(S13_PSP_Species_Support!CK8*(1-EXP(-S13_PSP_Species_Support!CL8*11))^S13_PSP_Species_Support!CM8)^2*(S13_PSP_Species_Support!CN8*(1-EXP(-S13_PSP_Species_Support!CO8*11))^S13_PSP_Species_Support!CP8))^0.976,0)+IFERROR(S13_PSP_Species_Support!CT8*0.0673*(S13_PSP_Species_Support!CU8*(S13_PSP_Species_Support!CV8*(1-EXP(-S13_PSP_Species_Support!CW8*11))^S13_PSP_Species_Support!CX8)^2*(S13_PSP_Species_Support!CY8*(1-EXP(-S13_PSP_Species_Support!CZ8*11))^S13_PSP_Species_Support!DA8))^0.976,0))/1000/$G21*T$108,0)</x:f>
        <x:v>25.289680836825966</x:v>
      </x:c>
      <x:c r="U21" s="147" t="n">
        <x:f aca="0">IFERROR((IFERROR(S13_PSP_Species_Support!U8*0.0673*(S13_PSP_Species_Support!V8*(S13_PSP_Species_Support!W8*(1-EXP(-S13_PSP_Species_Support!X8*12))^S13_PSP_Species_Support!Y8)^2*(S13_PSP_Species_Support!Z8*(1-EXP(-S13_PSP_Species_Support!AA8*12))^S13_PSP_Species_Support!AB8))^0.976,0)+IFERROR(S13_PSP_Species_Support!AF8*0.0673*(S13_PSP_Species_Support!AG8*(S13_PSP_Species_Support!AH8*(1-EXP(-S13_PSP_Species_Support!AI8*12))^S13_PSP_Species_Support!AJ8)^2*(S13_PSP_Species_Support!AK8*(1-EXP(-S13_PSP_Species_Support!AL8*12))^S13_PSP_Species_Support!AM8))^0.976,0)+IFERROR(S13_PSP_Species_Support!AQ8*0.0673*(S13_PSP_Species_Support!AR8*(S13_PSP_Species_Support!AS8*(1-EXP(-S13_PSP_Species_Support!AT8*12))^S13_PSP_Species_Support!AU8)^2*(S13_PSP_Species_Support!AV8*(1-EXP(-S13_PSP_Species_Support!AW8*12))^S13_PSP_Species_Support!AX8))^0.976,0)+IFERROR(S13_PSP_Species_Support!BB8*0.0673*(S13_PSP_Species_Support!BC8*(S13_PSP_Species_Support!BD8*(1-EXP(-S13_PSP_Species_Support!BE8*12))^S13_PSP_Species_Support!BF8)^2*(S13_PSP_Species_Support!BG8*(1-EXP(-S13_PSP_Species_Support!BH8*12))^S13_PSP_Species_Support!BI8))^0.976,0)+IFERROR(S13_PSP_Species_Support!BM8*0.0673*(S13_PSP_Species_Support!BN8*(S13_PSP_Species_Support!BO8*(1-EXP(-S13_PSP_Species_Support!BP8*12))^S13_PSP_Species_Support!BQ8)^2*(S13_PSP_Species_Support!BR8*(1-EXP(-S13_PSP_Species_Support!BS8*12))^S13_PSP_Species_Support!BT8))^0.976,0)+IFERROR(S13_PSP_Species_Support!BX8*0.0673*(S13_PSP_Species_Support!BY8*(S13_PSP_Species_Support!BZ8*(1-EXP(-S13_PSP_Species_Support!CA8*12))^S13_PSP_Species_Support!CB8)^2*(S13_PSP_Species_Support!CC8*(1-EXP(-S13_PSP_Species_Support!CD8*12))^S13_PSP_Species_Support!CE8))^0.976,0)+IFERROR(S13_PSP_Species_Support!CI8*0.0673*(S13_PSP_Species_Support!CJ8*(S13_PSP_Species_Support!CK8*(1-EXP(-S13_PSP_Species_Support!CL8*12))^S13_PSP_Species_Support!CM8)^2*(S13_PSP_Species_Support!CN8*(1-EXP(-S13_PSP_Species_Support!CO8*12))^S13_PSP_Species_Support!CP8))^0.976,0)+IFERROR(S13_PSP_Species_Support!CT8*0.0673*(S13_PSP_Species_Support!CU8*(S13_PSP_Species_Support!CV8*(1-EXP(-S13_PSP_Species_Support!CW8*12))^S13_PSP_Species_Support!CX8)^2*(S13_PSP_Species_Support!CY8*(1-EXP(-S13_PSP_Species_Support!CZ8*12))^S13_PSP_Species_Support!DA8))^0.976,0))/1000/$G21*U$108,0)</x:f>
        <x:v>28.576684877809058</x:v>
      </x:c>
      <x:c r="V21" s="147" t="n">
        <x:f aca="0">IFERROR((IFERROR(S13_PSP_Species_Support!U8*0.0673*(S13_PSP_Species_Support!V8*(S13_PSP_Species_Support!W8*(1-EXP(-S13_PSP_Species_Support!X8*13))^S13_PSP_Species_Support!Y8)^2*(S13_PSP_Species_Support!Z8*(1-EXP(-S13_PSP_Species_Support!AA8*13))^S13_PSP_Species_Support!AB8))^0.976,0)+IFERROR(S13_PSP_Species_Support!AF8*0.0673*(S13_PSP_Species_Support!AG8*(S13_PSP_Species_Support!AH8*(1-EXP(-S13_PSP_Species_Support!AI8*13))^S13_PSP_Species_Support!AJ8)^2*(S13_PSP_Species_Support!AK8*(1-EXP(-S13_PSP_Species_Support!AL8*13))^S13_PSP_Species_Support!AM8))^0.976,0)+IFERROR(S13_PSP_Species_Support!AQ8*0.0673*(S13_PSP_Species_Support!AR8*(S13_PSP_Species_Support!AS8*(1-EXP(-S13_PSP_Species_Support!AT8*13))^S13_PSP_Species_Support!AU8)^2*(S13_PSP_Species_Support!AV8*(1-EXP(-S13_PSP_Species_Support!AW8*13))^S13_PSP_Species_Support!AX8))^0.976,0)+IFERROR(S13_PSP_Species_Support!BB8*0.0673*(S13_PSP_Species_Support!BC8*(S13_PSP_Species_Support!BD8*(1-EXP(-S13_PSP_Species_Support!BE8*13))^S13_PSP_Species_Support!BF8)^2*(S13_PSP_Species_Support!BG8*(1-EXP(-S13_PSP_Species_Support!BH8*13))^S13_PSP_Species_Support!BI8))^0.976,0)+IFERROR(S13_PSP_Species_Support!BM8*0.0673*(S13_PSP_Species_Support!BN8*(S13_PSP_Species_Support!BO8*(1-EXP(-S13_PSP_Species_Support!BP8*13))^S13_PSP_Species_Support!BQ8)^2*(S13_PSP_Species_Support!BR8*(1-EXP(-S13_PSP_Species_Support!BS8*13))^S13_PSP_Species_Support!BT8))^0.976,0)+IFERROR(S13_PSP_Species_Support!BX8*0.0673*(S13_PSP_Species_Support!BY8*(S13_PSP_Species_Support!BZ8*(1-EXP(-S13_PSP_Species_Support!CA8*13))^S13_PSP_Species_Support!CB8)^2*(S13_PSP_Species_Support!CC8*(1-EXP(-S13_PSP_Species_Support!CD8*13))^S13_PSP_Species_Support!CE8))^0.976,0)+IFERROR(S13_PSP_Species_Support!CI8*0.0673*(S13_PSP_Species_Support!CJ8*(S13_PSP_Species_Support!CK8*(1-EXP(-S13_PSP_Species_Support!CL8*13))^S13_PSP_Species_Support!CM8)^2*(S13_PSP_Species_Support!CN8*(1-EXP(-S13_PSP_Species_Support!CO8*13))^S13_PSP_Species_Support!CP8))^0.976,0)+IFERROR(S13_PSP_Species_Support!CT8*0.0673*(S13_PSP_Species_Support!CU8*(S13_PSP_Species_Support!CV8*(1-EXP(-S13_PSP_Species_Support!CW8*13))^S13_PSP_Species_Support!CX8)^2*(S13_PSP_Species_Support!CY8*(1-EXP(-S13_PSP_Species_Support!CZ8*13))^S13_PSP_Species_Support!DA8))^0.976,0))/1000/$G21*V$108,0)</x:f>
        <x:v>31.646765776137073</x:v>
      </x:c>
      <x:c r="W21" s="147" t="n">
        <x:f aca="0">IFERROR((IFERROR(S13_PSP_Species_Support!U8*0.0673*(S13_PSP_Species_Support!V8*(S13_PSP_Species_Support!W8*(1-EXP(-S13_PSP_Species_Support!X8*14))^S13_PSP_Species_Support!Y8)^2*(S13_PSP_Species_Support!Z8*(1-EXP(-S13_PSP_Species_Support!AA8*14))^S13_PSP_Species_Support!AB8))^0.976,0)+IFERROR(S13_PSP_Species_Support!AF8*0.0673*(S13_PSP_Species_Support!AG8*(S13_PSP_Species_Support!AH8*(1-EXP(-S13_PSP_Species_Support!AI8*14))^S13_PSP_Species_Support!AJ8)^2*(S13_PSP_Species_Support!AK8*(1-EXP(-S13_PSP_Species_Support!AL8*14))^S13_PSP_Species_Support!AM8))^0.976,0)+IFERROR(S13_PSP_Species_Support!AQ8*0.0673*(S13_PSP_Species_Support!AR8*(S13_PSP_Species_Support!AS8*(1-EXP(-S13_PSP_Species_Support!AT8*14))^S13_PSP_Species_Support!AU8)^2*(S13_PSP_Species_Support!AV8*(1-EXP(-S13_PSP_Species_Support!AW8*14))^S13_PSP_Species_Support!AX8))^0.976,0)+IFERROR(S13_PSP_Species_Support!BB8*0.0673*(S13_PSP_Species_Support!BC8*(S13_PSP_Species_Support!BD8*(1-EXP(-S13_PSP_Species_Support!BE8*14))^S13_PSP_Species_Support!BF8)^2*(S13_PSP_Species_Support!BG8*(1-EXP(-S13_PSP_Species_Support!BH8*14))^S13_PSP_Species_Support!BI8))^0.976,0)+IFERROR(S13_PSP_Species_Support!BM8*0.0673*(S13_PSP_Species_Support!BN8*(S13_PSP_Species_Support!BO8*(1-EXP(-S13_PSP_Species_Support!BP8*14))^S13_PSP_Species_Support!BQ8)^2*(S13_PSP_Species_Support!BR8*(1-EXP(-S13_PSP_Species_Support!BS8*14))^S13_PSP_Species_Support!BT8))^0.976,0)+IFERROR(S13_PSP_Species_Support!BX8*0.0673*(S13_PSP_Species_Support!BY8*(S13_PSP_Species_Support!BZ8*(1-EXP(-S13_PSP_Species_Support!CA8*14))^S13_PSP_Species_Support!CB8)^2*(S13_PSP_Species_Support!CC8*(1-EXP(-S13_PSP_Species_Support!CD8*14))^S13_PSP_Species_Support!CE8))^0.976,0)+IFERROR(S13_PSP_Species_Support!CI8*0.0673*(S13_PSP_Species_Support!CJ8*(S13_PSP_Species_Support!CK8*(1-EXP(-S13_PSP_Species_Support!CL8*14))^S13_PSP_Species_Support!CM8)^2*(S13_PSP_Species_Support!CN8*(1-EXP(-S13_PSP_Species_Support!CO8*14))^S13_PSP_Species_Support!CP8))^0.976,0)+IFERROR(S13_PSP_Species_Support!CT8*0.0673*(S13_PSP_Species_Support!CU8*(S13_PSP_Species_Support!CV8*(1-EXP(-S13_PSP_Species_Support!CW8*14))^S13_PSP_Species_Support!CX8)^2*(S13_PSP_Species_Support!CY8*(1-EXP(-S13_PSP_Species_Support!CZ8*14))^S13_PSP_Species_Support!DA8))^0.976,0))/1000/$G21*W$108,0)</x:f>
        <x:v>34.48042057118589</x:v>
      </x:c>
      <x:c r="X21" s="147" t="n">
        <x:f aca="0">IFERROR((IFERROR(S13_PSP_Species_Support!U8*0.0673*(S13_PSP_Species_Support!V8*(S13_PSP_Species_Support!W8*(1-EXP(-S13_PSP_Species_Support!X8*15))^S13_PSP_Species_Support!Y8)^2*(S13_PSP_Species_Support!Z8*(1-EXP(-S13_PSP_Species_Support!AA8*15))^S13_PSP_Species_Support!AB8))^0.976,0)+IFERROR(S13_PSP_Species_Support!AF8*0.0673*(S13_PSP_Species_Support!AG8*(S13_PSP_Species_Support!AH8*(1-EXP(-S13_PSP_Species_Support!AI8*15))^S13_PSP_Species_Support!AJ8)^2*(S13_PSP_Species_Support!AK8*(1-EXP(-S13_PSP_Species_Support!AL8*15))^S13_PSP_Species_Support!AM8))^0.976,0)+IFERROR(S13_PSP_Species_Support!AQ8*0.0673*(S13_PSP_Species_Support!AR8*(S13_PSP_Species_Support!AS8*(1-EXP(-S13_PSP_Species_Support!AT8*15))^S13_PSP_Species_Support!AU8)^2*(S13_PSP_Species_Support!AV8*(1-EXP(-S13_PSP_Species_Support!AW8*15))^S13_PSP_Species_Support!AX8))^0.976,0)+IFERROR(S13_PSP_Species_Support!BB8*0.0673*(S13_PSP_Species_Support!BC8*(S13_PSP_Species_Support!BD8*(1-EXP(-S13_PSP_Species_Support!BE8*15))^S13_PSP_Species_Support!BF8)^2*(S13_PSP_Species_Support!BG8*(1-EXP(-S13_PSP_Species_Support!BH8*15))^S13_PSP_Species_Support!BI8))^0.976,0)+IFERROR(S13_PSP_Species_Support!BM8*0.0673*(S13_PSP_Species_Support!BN8*(S13_PSP_Species_Support!BO8*(1-EXP(-S13_PSP_Species_Support!BP8*15))^S13_PSP_Species_Support!BQ8)^2*(S13_PSP_Species_Support!BR8*(1-EXP(-S13_PSP_Species_Support!BS8*15))^S13_PSP_Species_Support!BT8))^0.976,0)+IFERROR(S13_PSP_Species_Support!BX8*0.0673*(S13_PSP_Species_Support!BY8*(S13_PSP_Species_Support!BZ8*(1-EXP(-S13_PSP_Species_Support!CA8*15))^S13_PSP_Species_Support!CB8)^2*(S13_PSP_Species_Support!CC8*(1-EXP(-S13_PSP_Species_Support!CD8*15))^S13_PSP_Species_Support!CE8))^0.976,0)+IFERROR(S13_PSP_Species_Support!CI8*0.0673*(S13_PSP_Species_Support!CJ8*(S13_PSP_Species_Support!CK8*(1-EXP(-S13_PSP_Species_Support!CL8*15))^S13_PSP_Species_Support!CM8)^2*(S13_PSP_Species_Support!CN8*(1-EXP(-S13_PSP_Species_Support!CO8*15))^S13_PSP_Species_Support!CP8))^0.976,0)+IFERROR(S13_PSP_Species_Support!CT8*0.0673*(S13_PSP_Species_Support!CU8*(S13_PSP_Species_Support!CV8*(1-EXP(-S13_PSP_Species_Support!CW8*15))^S13_PSP_Species_Support!CX8)^2*(S13_PSP_Species_Support!CY8*(1-EXP(-S13_PSP_Species_Support!CZ8*15))^S13_PSP_Species_Support!DA8))^0.976,0))/1000/$G21*X$108,0)</x:f>
        <x:v>37.07135888281969</x:v>
      </x:c>
      <x:c r="Y21" s="147" t="n">
        <x:f aca="0">IFERROR((IFERROR(S13_PSP_Species_Support!U8*0.0673*(S13_PSP_Species_Support!V8*(S13_PSP_Species_Support!W8*(1-EXP(-S13_PSP_Species_Support!X8*16))^S13_PSP_Species_Support!Y8)^2*(S13_PSP_Species_Support!Z8*(1-EXP(-S13_PSP_Species_Support!AA8*16))^S13_PSP_Species_Support!AB8))^0.976,0)+IFERROR(S13_PSP_Species_Support!AF8*0.0673*(S13_PSP_Species_Support!AG8*(S13_PSP_Species_Support!AH8*(1-EXP(-S13_PSP_Species_Support!AI8*16))^S13_PSP_Species_Support!AJ8)^2*(S13_PSP_Species_Support!AK8*(1-EXP(-S13_PSP_Species_Support!AL8*16))^S13_PSP_Species_Support!AM8))^0.976,0)+IFERROR(S13_PSP_Species_Support!AQ8*0.0673*(S13_PSP_Species_Support!AR8*(S13_PSP_Species_Support!AS8*(1-EXP(-S13_PSP_Species_Support!AT8*16))^S13_PSP_Species_Support!AU8)^2*(S13_PSP_Species_Support!AV8*(1-EXP(-S13_PSP_Species_Support!AW8*16))^S13_PSP_Species_Support!AX8))^0.976,0)+IFERROR(S13_PSP_Species_Support!BB8*0.0673*(S13_PSP_Species_Support!BC8*(S13_PSP_Species_Support!BD8*(1-EXP(-S13_PSP_Species_Support!BE8*16))^S13_PSP_Species_Support!BF8)^2*(S13_PSP_Species_Support!BG8*(1-EXP(-S13_PSP_Species_Support!BH8*16))^S13_PSP_Species_Support!BI8))^0.976,0)+IFERROR(S13_PSP_Species_Support!BM8*0.0673*(S13_PSP_Species_Support!BN8*(S13_PSP_Species_Support!BO8*(1-EXP(-S13_PSP_Species_Support!BP8*16))^S13_PSP_Species_Support!BQ8)^2*(S13_PSP_Species_Support!BR8*(1-EXP(-S13_PSP_Species_Support!BS8*16))^S13_PSP_Species_Support!BT8))^0.976,0)+IFERROR(S13_PSP_Species_Support!BX8*0.0673*(S13_PSP_Species_Support!BY8*(S13_PSP_Species_Support!BZ8*(1-EXP(-S13_PSP_Species_Support!CA8*16))^S13_PSP_Species_Support!CB8)^2*(S13_PSP_Species_Support!CC8*(1-EXP(-S13_PSP_Species_Support!CD8*16))^S13_PSP_Species_Support!CE8))^0.976,0)+IFERROR(S13_PSP_Species_Support!CI8*0.0673*(S13_PSP_Species_Support!CJ8*(S13_PSP_Species_Support!CK8*(1-EXP(-S13_PSP_Species_Support!CL8*16))^S13_PSP_Species_Support!CM8)^2*(S13_PSP_Species_Support!CN8*(1-EXP(-S13_PSP_Species_Support!CO8*16))^S13_PSP_Species_Support!CP8))^0.976,0)+IFERROR(S13_PSP_Species_Support!CT8*0.0673*(S13_PSP_Species_Support!CU8*(S13_PSP_Species_Support!CV8*(1-EXP(-S13_PSP_Species_Support!CW8*16))^S13_PSP_Species_Support!CX8)^2*(S13_PSP_Species_Support!CY8*(1-EXP(-S13_PSP_Species_Support!CZ8*16))^S13_PSP_Species_Support!DA8))^0.976,0))/1000/$G21*Y$108,0)</x:f>
        <x:v>39.42262185874001</x:v>
      </x:c>
      <x:c r="Z21" s="147" t="n">
        <x:f aca="0">IFERROR((IFERROR(S13_PSP_Species_Support!U8*0.0673*(S13_PSP_Species_Support!V8*(S13_PSP_Species_Support!W8*(1-EXP(-S13_PSP_Species_Support!X8*17))^S13_PSP_Species_Support!Y8)^2*(S13_PSP_Species_Support!Z8*(1-EXP(-S13_PSP_Species_Support!AA8*17))^S13_PSP_Species_Support!AB8))^0.976,0)+IFERROR(S13_PSP_Species_Support!AF8*0.0673*(S13_PSP_Species_Support!AG8*(S13_PSP_Species_Support!AH8*(1-EXP(-S13_PSP_Species_Support!AI8*17))^S13_PSP_Species_Support!AJ8)^2*(S13_PSP_Species_Support!AK8*(1-EXP(-S13_PSP_Species_Support!AL8*17))^S13_PSP_Species_Support!AM8))^0.976,0)+IFERROR(S13_PSP_Species_Support!AQ8*0.0673*(S13_PSP_Species_Support!AR8*(S13_PSP_Species_Support!AS8*(1-EXP(-S13_PSP_Species_Support!AT8*17))^S13_PSP_Species_Support!AU8)^2*(S13_PSP_Species_Support!AV8*(1-EXP(-S13_PSP_Species_Support!AW8*17))^S13_PSP_Species_Support!AX8))^0.976,0)+IFERROR(S13_PSP_Species_Support!BB8*0.0673*(S13_PSP_Species_Support!BC8*(S13_PSP_Species_Support!BD8*(1-EXP(-S13_PSP_Species_Support!BE8*17))^S13_PSP_Species_Support!BF8)^2*(S13_PSP_Species_Support!BG8*(1-EXP(-S13_PSP_Species_Support!BH8*17))^S13_PSP_Species_Support!BI8))^0.976,0)+IFERROR(S13_PSP_Species_Support!BM8*0.0673*(S13_PSP_Species_Support!BN8*(S13_PSP_Species_Support!BO8*(1-EXP(-S13_PSP_Species_Support!BP8*17))^S13_PSP_Species_Support!BQ8)^2*(S13_PSP_Species_Support!BR8*(1-EXP(-S13_PSP_Species_Support!BS8*17))^S13_PSP_Species_Support!BT8))^0.976,0)+IFERROR(S13_PSP_Species_Support!BX8*0.0673*(S13_PSP_Species_Support!BY8*(S13_PSP_Species_Support!BZ8*(1-EXP(-S13_PSP_Species_Support!CA8*17))^S13_PSP_Species_Support!CB8)^2*(S13_PSP_Species_Support!CC8*(1-EXP(-S13_PSP_Species_Support!CD8*17))^S13_PSP_Species_Support!CE8))^0.976,0)+IFERROR(S13_PSP_Species_Support!CI8*0.0673*(S13_PSP_Species_Support!CJ8*(S13_PSP_Species_Support!CK8*(1-EXP(-S13_PSP_Species_Support!CL8*17))^S13_PSP_Species_Support!CM8)^2*(S13_PSP_Species_Support!CN8*(1-EXP(-S13_PSP_Species_Support!CO8*17))^S13_PSP_Species_Support!CP8))^0.976,0)+IFERROR(S13_PSP_Species_Support!CT8*0.0673*(S13_PSP_Species_Support!CU8*(S13_PSP_Species_Support!CV8*(1-EXP(-S13_PSP_Species_Support!CW8*17))^S13_PSP_Species_Support!CX8)^2*(S13_PSP_Species_Support!CY8*(1-EXP(-S13_PSP_Species_Support!CZ8*17))^S13_PSP_Species_Support!DA8))^0.976,0))/1000/$G21*Z$108,0)</x:f>
        <x:v>41.54352294144216</x:v>
      </x:c>
      <x:c r="AA21" s="147" t="n">
        <x:f aca="0">IFERROR((IFERROR(S13_PSP_Species_Support!U8*0.0673*(S13_PSP_Species_Support!V8*(S13_PSP_Species_Support!W8*(1-EXP(-S13_PSP_Species_Support!X8*18))^S13_PSP_Species_Support!Y8)^2*(S13_PSP_Species_Support!Z8*(1-EXP(-S13_PSP_Species_Support!AA8*18))^S13_PSP_Species_Support!AB8))^0.976,0)+IFERROR(S13_PSP_Species_Support!AF8*0.0673*(S13_PSP_Species_Support!AG8*(S13_PSP_Species_Support!AH8*(1-EXP(-S13_PSP_Species_Support!AI8*18))^S13_PSP_Species_Support!AJ8)^2*(S13_PSP_Species_Support!AK8*(1-EXP(-S13_PSP_Species_Support!AL8*18))^S13_PSP_Species_Support!AM8))^0.976,0)+IFERROR(S13_PSP_Species_Support!AQ8*0.0673*(S13_PSP_Species_Support!AR8*(S13_PSP_Species_Support!AS8*(1-EXP(-S13_PSP_Species_Support!AT8*18))^S13_PSP_Species_Support!AU8)^2*(S13_PSP_Species_Support!AV8*(1-EXP(-S13_PSP_Species_Support!AW8*18))^S13_PSP_Species_Support!AX8))^0.976,0)+IFERROR(S13_PSP_Species_Support!BB8*0.0673*(S13_PSP_Species_Support!BC8*(S13_PSP_Species_Support!BD8*(1-EXP(-S13_PSP_Species_Support!BE8*18))^S13_PSP_Species_Support!BF8)^2*(S13_PSP_Species_Support!BG8*(1-EXP(-S13_PSP_Species_Support!BH8*18))^S13_PSP_Species_Support!BI8))^0.976,0)+IFERROR(S13_PSP_Species_Support!BM8*0.0673*(S13_PSP_Species_Support!BN8*(S13_PSP_Species_Support!BO8*(1-EXP(-S13_PSP_Species_Support!BP8*18))^S13_PSP_Species_Support!BQ8)^2*(S13_PSP_Species_Support!BR8*(1-EXP(-S13_PSP_Species_Support!BS8*18))^S13_PSP_Species_Support!BT8))^0.976,0)+IFERROR(S13_PSP_Species_Support!BX8*0.0673*(S13_PSP_Species_Support!BY8*(S13_PSP_Species_Support!BZ8*(1-EXP(-S13_PSP_Species_Support!CA8*18))^S13_PSP_Species_Support!CB8)^2*(S13_PSP_Species_Support!CC8*(1-EXP(-S13_PSP_Species_Support!CD8*18))^S13_PSP_Species_Support!CE8))^0.976,0)+IFERROR(S13_PSP_Species_Support!CI8*0.0673*(S13_PSP_Species_Support!CJ8*(S13_PSP_Species_Support!CK8*(1-EXP(-S13_PSP_Species_Support!CL8*18))^S13_PSP_Species_Support!CM8)^2*(S13_PSP_Species_Support!CN8*(1-EXP(-S13_PSP_Species_Support!CO8*18))^S13_PSP_Species_Support!CP8))^0.976,0)+IFERROR(S13_PSP_Species_Support!CT8*0.0673*(S13_PSP_Species_Support!CU8*(S13_PSP_Species_Support!CV8*(1-EXP(-S13_PSP_Species_Support!CW8*18))^S13_PSP_Species_Support!CX8)^2*(S13_PSP_Species_Support!CY8*(1-EXP(-S13_PSP_Species_Support!CZ8*18))^S13_PSP_Species_Support!DA8))^0.976,0))/1000/$G21*AA$108,0)</x:f>
        <x:v>43.44732189057485</x:v>
      </x:c>
      <x:c r="AB21" s="147" t="n">
        <x:f aca="0">IFERROR((IFERROR(S13_PSP_Species_Support!U8*0.0673*(S13_PSP_Species_Support!V8*(S13_PSP_Species_Support!W8*(1-EXP(-S13_PSP_Species_Support!X8*19))^S13_PSP_Species_Support!Y8)^2*(S13_PSP_Species_Support!Z8*(1-EXP(-S13_PSP_Species_Support!AA8*19))^S13_PSP_Species_Support!AB8))^0.976,0)+IFERROR(S13_PSP_Species_Support!AF8*0.0673*(S13_PSP_Species_Support!AG8*(S13_PSP_Species_Support!AH8*(1-EXP(-S13_PSP_Species_Support!AI8*19))^S13_PSP_Species_Support!AJ8)^2*(S13_PSP_Species_Support!AK8*(1-EXP(-S13_PSP_Species_Support!AL8*19))^S13_PSP_Species_Support!AM8))^0.976,0)+IFERROR(S13_PSP_Species_Support!AQ8*0.0673*(S13_PSP_Species_Support!AR8*(S13_PSP_Species_Support!AS8*(1-EXP(-S13_PSP_Species_Support!AT8*19))^S13_PSP_Species_Support!AU8)^2*(S13_PSP_Species_Support!AV8*(1-EXP(-S13_PSP_Species_Support!AW8*19))^S13_PSP_Species_Support!AX8))^0.976,0)+IFERROR(S13_PSP_Species_Support!BB8*0.0673*(S13_PSP_Species_Support!BC8*(S13_PSP_Species_Support!BD8*(1-EXP(-S13_PSP_Species_Support!BE8*19))^S13_PSP_Species_Support!BF8)^2*(S13_PSP_Species_Support!BG8*(1-EXP(-S13_PSP_Species_Support!BH8*19))^S13_PSP_Species_Support!BI8))^0.976,0)+IFERROR(S13_PSP_Species_Support!BM8*0.0673*(S13_PSP_Species_Support!BN8*(S13_PSP_Species_Support!BO8*(1-EXP(-S13_PSP_Species_Support!BP8*19))^S13_PSP_Species_Support!BQ8)^2*(S13_PSP_Species_Support!BR8*(1-EXP(-S13_PSP_Species_Support!BS8*19))^S13_PSP_Species_Support!BT8))^0.976,0)+IFERROR(S13_PSP_Species_Support!BX8*0.0673*(S13_PSP_Species_Support!BY8*(S13_PSP_Species_Support!BZ8*(1-EXP(-S13_PSP_Species_Support!CA8*19))^S13_PSP_Species_Support!CB8)^2*(S13_PSP_Species_Support!CC8*(1-EXP(-S13_PSP_Species_Support!CD8*19))^S13_PSP_Species_Support!CE8))^0.976,0)+IFERROR(S13_PSP_Species_Support!CI8*0.0673*(S13_PSP_Species_Support!CJ8*(S13_PSP_Species_Support!CK8*(1-EXP(-S13_PSP_Species_Support!CL8*19))^S13_PSP_Species_Support!CM8)^2*(S13_PSP_Species_Support!CN8*(1-EXP(-S13_PSP_Species_Support!CO8*19))^S13_PSP_Species_Support!CP8))^0.976,0)+IFERROR(S13_PSP_Species_Support!CT8*0.0673*(S13_PSP_Species_Support!CU8*(S13_PSP_Species_Support!CV8*(1-EXP(-S13_PSP_Species_Support!CW8*19))^S13_PSP_Species_Support!CX8)^2*(S13_PSP_Species_Support!CY8*(1-EXP(-S13_PSP_Species_Support!CZ8*19))^S13_PSP_Species_Support!DA8))^0.976,0))/1000/$G21*AB$108,0)</x:f>
        <x:v>45.149508755145334</x:v>
      </x:c>
      <x:c r="AC21" s="147" t="n">
        <x:f aca="0">IFERROR((IFERROR(S13_PSP_Species_Support!U8*0.0673*(S13_PSP_Species_Support!V8*(S13_PSP_Species_Support!W8*(1-EXP(-S13_PSP_Species_Support!X8*20))^S13_PSP_Species_Support!Y8)^2*(S13_PSP_Species_Support!Z8*(1-EXP(-S13_PSP_Species_Support!AA8*20))^S13_PSP_Species_Support!AB8))^0.976,0)+IFERROR(S13_PSP_Species_Support!AF8*0.0673*(S13_PSP_Species_Support!AG8*(S13_PSP_Species_Support!AH8*(1-EXP(-S13_PSP_Species_Support!AI8*20))^S13_PSP_Species_Support!AJ8)^2*(S13_PSP_Species_Support!AK8*(1-EXP(-S13_PSP_Species_Support!AL8*20))^S13_PSP_Species_Support!AM8))^0.976,0)+IFERROR(S13_PSP_Species_Support!AQ8*0.0673*(S13_PSP_Species_Support!AR8*(S13_PSP_Species_Support!AS8*(1-EXP(-S13_PSP_Species_Support!AT8*20))^S13_PSP_Species_Support!AU8)^2*(S13_PSP_Species_Support!AV8*(1-EXP(-S13_PSP_Species_Support!AW8*20))^S13_PSP_Species_Support!AX8))^0.976,0)+IFERROR(S13_PSP_Species_Support!BB8*0.0673*(S13_PSP_Species_Support!BC8*(S13_PSP_Species_Support!BD8*(1-EXP(-S13_PSP_Species_Support!BE8*20))^S13_PSP_Species_Support!BF8)^2*(S13_PSP_Species_Support!BG8*(1-EXP(-S13_PSP_Species_Support!BH8*20))^S13_PSP_Species_Support!BI8))^0.976,0)+IFERROR(S13_PSP_Species_Support!BM8*0.0673*(S13_PSP_Species_Support!BN8*(S13_PSP_Species_Support!BO8*(1-EXP(-S13_PSP_Species_Support!BP8*20))^S13_PSP_Species_Support!BQ8)^2*(S13_PSP_Species_Support!BR8*(1-EXP(-S13_PSP_Species_Support!BS8*20))^S13_PSP_Species_Support!BT8))^0.976,0)+IFERROR(S13_PSP_Species_Support!BX8*0.0673*(S13_PSP_Species_Support!BY8*(S13_PSP_Species_Support!BZ8*(1-EXP(-S13_PSP_Species_Support!CA8*20))^S13_PSP_Species_Support!CB8)^2*(S13_PSP_Species_Support!CC8*(1-EXP(-S13_PSP_Species_Support!CD8*20))^S13_PSP_Species_Support!CE8))^0.976,0)+IFERROR(S13_PSP_Species_Support!CI8*0.0673*(S13_PSP_Species_Support!CJ8*(S13_PSP_Species_Support!CK8*(1-EXP(-S13_PSP_Species_Support!CL8*20))^S13_PSP_Species_Support!CM8)^2*(S13_PSP_Species_Support!CN8*(1-EXP(-S13_PSP_Species_Support!CO8*20))^S13_PSP_Species_Support!CP8))^0.976,0)+IFERROR(S13_PSP_Species_Support!CT8*0.0673*(S13_PSP_Species_Support!CU8*(S13_PSP_Species_Support!CV8*(1-EXP(-S13_PSP_Species_Support!CW8*20))^S13_PSP_Species_Support!CX8)^2*(S13_PSP_Species_Support!CY8*(1-EXP(-S13_PSP_Species_Support!CZ8*20))^S13_PSP_Species_Support!DA8))^0.976,0))/1000/$G21*AC$108,0)</x:f>
        <x:v>46.66657325282067</x:v>
      </x:c>
      <x:c r="AD21" s="148" t="n">
        <x:f aca="0">IF(2020&lt;$F21,0,INDEX($I21:$AC21,1,2020-$F21+1))</x:f>
        <x:v>0</x:v>
      </x:c>
      <x:c r="AE21" s="148" t="n">
        <x:f aca="0">IF(2021&lt;$F21,0,INDEX($I21:$AC21,1,2021-$F21+1))</x:f>
        <x:v>0</x:v>
      </x:c>
      <x:c r="AF21" s="148" t="n">
        <x:f aca="0">IF(2022&lt;$F21,0,INDEX($I21:$AC21,1,2022-$F21+1))</x:f>
        <x:v>0.023576369456147</x:v>
      </x:c>
      <x:c r="AG21" s="148" t="n">
        <x:f aca="0">IF(2023&lt;$F21,0,INDEX($I21:$AC21,1,2023-$F21+1))</x:f>
        <x:v>0.29268774106526607</x:v>
      </x:c>
      <x:c r="AH21" s="148" t="n">
        <x:f aca="0">IF(2024&lt;$F21,0,INDEX($I21:$AC21,1,2024-$F21+1))</x:f>
        <x:v>1.1193987514664312</x:v>
      </x:c>
      <x:c r="AI21" s="148" t="n">
        <x:f aca="0">IF(2025&lt;$F21,0,INDEX($I21:$AC21,1,2025-$F21+1))</x:f>
        <x:v>2.67740539272841</x:v>
      </x:c>
      <x:c r="AJ21" s="148" t="n">
        <x:f aca="0">IF(2026&lt;$F21,0,INDEX($I21:$AC21,1,2026-$F21+1))</x:f>
        <x:v>4.951467598291647</x:v>
      </x:c>
      <x:c r="AK21" s="148" t="n">
        <x:f aca="0">IF(2027&lt;$F21,0,INDEX($I21:$AC21,1,2027-$F21+1))</x:f>
        <x:v>7.8157219007087235</x:v>
      </x:c>
      <x:c r="AL21" s="148" t="n">
        <x:f aca="0">IF(2028&lt;$F21,0,INDEX($I21:$AC21,1,2028-$F21+1))</x:f>
        <x:v>11.097436028949046</x:v>
      </x:c>
      <x:c r="AM21" s="148" t="n">
        <x:f aca="0">IF(2029&lt;$F21,0,INDEX($I21:$AC21,1,2029-$F21+1))</x:f>
        <x:v>14.622166018418111</x:v>
      </x:c>
      <x:c r="AN21" s="148" t="n">
        <x:f aca="0">IF(2030&lt;$F21,0,INDEX($I21:$AC21,1,2030-$F21+1))</x:f>
        <x:v>18.23768909338112</x:v>
      </x:c>
      <x:c r="AO21" s="148" t="n">
        <x:f aca="0">IF(2031&lt;$F21,0,INDEX($I21:$AC21,1,2031-$F21+1))</x:f>
        <x:v>21.82315909337616</x:v>
      </x:c>
      <x:c r="AP21" s="148" t="n">
        <x:f aca="0">IF(2032&lt;$F21,0,INDEX($I21:$AC21,1,2032-$F21+1))</x:f>
        <x:v>25.289680836825966</x:v>
      </x:c>
      <x:c r="AQ21" s="148" t="n">
        <x:f aca="0">IF(2033&lt;$F21,0,INDEX($I21:$AC21,1,2033-$F21+1))</x:f>
        <x:v>28.576684877809058</x:v>
      </x:c>
      <x:c r="AR21" s="148" t="n">
        <x:f aca="0">IF(2034&lt;$F21,0,INDEX($I21:$AC21,1,2034-$F21+1))</x:f>
        <x:v>31.646765776137073</x:v>
      </x:c>
      <x:c r="AS21" s="148" t="n">
        <x:f aca="0">IF(2035&lt;$F21,0,INDEX($I21:$AC21,1,2035-$F21+1))</x:f>
        <x:v>34.48042057118589</x:v>
      </x:c>
      <x:c r="AT21" s="148" t="n">
        <x:f aca="0">IF(2036&lt;$F21,0,INDEX($I21:$AC21,1,2036-$F21+1))</x:f>
        <x:v>37.07135888281969</x:v>
      </x:c>
      <x:c r="AU21" s="148" t="n">
        <x:f aca="0">IF(2037&lt;$F21,0,INDEX($I21:$AC21,1,2037-$F21+1))</x:f>
        <x:v>39.42262185874001</x:v>
      </x:c>
      <x:c r="AV21" s="148" t="n">
        <x:f aca="0">IF(2038&lt;$F21,0,INDEX($I21:$AC21,1,2038-$F21+1))</x:f>
        <x:v>41.54352294144216</x:v>
      </x:c>
      <x:c r="AW21" s="148" t="n">
        <x:f aca="0">IF(2039&lt;$F21,0,INDEX($I21:$AC21,1,2039-$F21+1))</x:f>
        <x:v>43.44732189057485</x:v>
      </x:c>
      <x:c r="AX21" s="148" t="n">
        <x:f aca="0">IF(2040&lt;$F21,0,INDEX($I21:$AC21,1,2040-$F21+1))</x:f>
        <x:v>45.149508755145334</x:v>
      </x:c>
      <x:c r="AY21" s="1" t="str">
        <x:f aca="0">LEFT($C21,FIND("@",SUBSTITUTE($C21,"|","@",2))-1)</x:f>
        <x:v>Fruit Orchard|Medium</x:v>
      </x:c>
      <x:c r="AZ21" s="1" t="str">
        <x:f aca="0">LEFT($C21,FIND("|",$C21)-1)</x:f>
        <x:v>Fruit Orchard</x:v>
      </x:c>
      <x:c r="BA21" s="149" t="n">
        <x:f aca="0">I21*I21</x:f>
        <x:v>0</x:v>
      </x:c>
      <x:c r="BB21" s="149" t="n">
        <x:f aca="0">J21*J21</x:f>
        <x:v>0.0005558451967327411</x:v>
      </x:c>
      <x:c r="BC21" s="149" t="n">
        <x:f aca="0">K21*K21</x:f>
        <x:v>0.08566611376988824</x:v>
      </x:c>
      <x:c r="BD21" s="149" t="n">
        <x:f aca="0">L21*L21</x:f>
        <x:v>1.253053564784605</x:v>
      </x:c>
      <x:c r="BE21" s="149" t="n">
        <x:f aca="0">M21*M21</x:f>
        <x:v>7.1684996370111715</x:v>
      </x:c>
      <x:c r="BF21" s="149" t="n">
        <x:f aca="0">N21*N21</x:f>
        <x:v>24.517031376932056</x:v>
      </x:c>
      <x:c r="BG21" s="149" t="n">
        <x:f aca="0">O21*O21</x:f>
        <x:v>61.08550882921798</x:v>
      </x:c>
      <x:c r="BH21" s="149" t="n">
        <x:f aca="0">P21*P21</x:f>
        <x:v>123.15308641661638</x:v>
      </x:c>
      <x:c r="BI21" s="149" t="n">
        <x:f aca="0">Q21*Q21</x:f>
        <x:v>213.80773907018136</x:v>
      </x:c>
      <x:c r="BJ21" s="149" t="n">
        <x:f aca="0">R21*R21</x:f>
        <x:v>332.6133034668327</x:v>
      </x:c>
      <x:c r="BK21" s="149" t="n">
        <x:f aca="0">S21*S21</x:f>
        <x:v>476.2502728148065</x:v>
      </x:c>
      <x:c r="BL21" s="149" t="n">
        <x:f aca="0">T21*T21</x:f>
        <x:v>639.5679568285225</x:v>
      </x:c>
      <x:c r="BM21" s="149" t="n">
        <x:f aca="0">U21*U21</x:f>
        <x:v>816.6269186056008</x:v>
      </x:c>
      <x:c r="BN21" s="149" t="n">
        <x:f aca="0">V21*V21</x:f>
        <x:v>1001.5177840896807</x:v>
      </x:c>
      <x:c r="BO21" s="149" t="n">
        <x:f aca="0">W21*W21</x:f>
        <x:v>1188.899402765859</x:v>
      </x:c>
      <x:c r="BP21" s="149" t="n">
        <x:f aca="0">X21*X21</x:f>
        <x:v>1374.285649418814</x:v>
      </x:c>
      <x:c r="BQ21" s="149" t="n">
        <x:f aca="0">Y21*Y21</x:f>
        <x:v>1554.1431142172055</x:v>
      </x:c>
      <x:c r="BR21" s="149" t="n">
        <x:f aca="0">Z21*Z21</x:f>
        <x:v>1725.8642983861314</x:v>
      </x:c>
      <x:c r="BS21" s="149" t="n">
        <x:f aca="0">AA21*AA21</x:f>
        <x:v>1887.6697794632244</x:v>
      </x:c>
      <x:c r="BT21" s="149" t="n">
        <x:f aca="0">AB21*AB21</x:f>
        <x:v>2038.4781408309452</x:v>
      </x:c>
      <x:c r="BU21" s="149" t="n">
        <x:f aca="0">AC21*AC21</x:f>
        <x:v>2177.7690591608775</x:v>
      </x:c>
    </x:row>
    <x:row r="22" ht="15" hidden="0" customHeight="1">
      <x:c r="A22" s="1" t="str">
        <x:f aca="0">S13_PSP_Species_Support!A9</x:f>
        <x:v>PSP-FO-008</x:v>
      </x:c>
      <x:c r="B22" s="1" t="n">
        <x:f aca="0">9</x:f>
        <x:v>9</x:v>
      </x:c>
      <x:c r="C22" s="1" t="str">
        <x:f aca="0">S13_PSP_Species_Support!I9</x:f>
        <x:v>Fruit Orchard|High|2022</x:v>
      </x:c>
      <x:c r="D22" s="1" t="str">
        <x:f aca="0">S13_PSP_Species_Support!C9</x:f>
        <x:v>Fruit Orchard (Block)</x:v>
      </x:c>
      <x:c r="E22" s="1" t="str">
        <x:f aca="0">S13_PSP_Species_Support!D9</x:f>
        <x:v>High</x:v>
      </x:c>
      <x:c r="F22" s="1" t="n">
        <x:f aca="0">S13_PSP_Species_Support!E9</x:f>
        <x:v>2022</x:v>
      </x:c>
      <x:c r="G22" s="645" t="n">
        <x:f aca="0">'S13_PSP_Species_Support'!DJ9</x:f>
        <x:v>0.09</x:v>
      </x:c>
      <x:c r="H22" s="714" t="n">
        <x:f aca="0">'S13_PSP_Species_Support'!DK9</x:f>
        <x:v>59.62685620002539</x:v>
      </x:c>
      <x:c r="I22" s="147" t="n">
        <x:f aca="0">IFERROR((IFERROR(S13_PSP_Species_Support!U9*0.0673*(S13_PSP_Species_Support!V9*(S13_PSP_Species_Support!W9*(1-EXP(-S13_PSP_Species_Support!X9*0))^S13_PSP_Species_Support!Y9)^2*(S13_PSP_Species_Support!Z9*(1-EXP(-S13_PSP_Species_Support!AA9*0))^S13_PSP_Species_Support!AB9))^0.976,0)+IFERROR(S13_PSP_Species_Support!AF9*0.0673*(S13_PSP_Species_Support!AG9*(S13_PSP_Species_Support!AH9*(1-EXP(-S13_PSP_Species_Support!AI9*0))^S13_PSP_Species_Support!AJ9)^2*(S13_PSP_Species_Support!AK9*(1-EXP(-S13_PSP_Species_Support!AL9*0))^S13_PSP_Species_Support!AM9))^0.976,0)+IFERROR(S13_PSP_Species_Support!AQ9*0.0673*(S13_PSP_Species_Support!AR9*(S13_PSP_Species_Support!AS9*(1-EXP(-S13_PSP_Species_Support!AT9*0))^S13_PSP_Species_Support!AU9)^2*(S13_PSP_Species_Support!AV9*(1-EXP(-S13_PSP_Species_Support!AW9*0))^S13_PSP_Species_Support!AX9))^0.976,0)+IFERROR(S13_PSP_Species_Support!BB9*0.0673*(S13_PSP_Species_Support!BC9*(S13_PSP_Species_Support!BD9*(1-EXP(-S13_PSP_Species_Support!BE9*0))^S13_PSP_Species_Support!BF9)^2*(S13_PSP_Species_Support!BG9*(1-EXP(-S13_PSP_Species_Support!BH9*0))^S13_PSP_Species_Support!BI9))^0.976,0)+IFERROR(S13_PSP_Species_Support!BM9*0.0673*(S13_PSP_Species_Support!BN9*(S13_PSP_Species_Support!BO9*(1-EXP(-S13_PSP_Species_Support!BP9*0))^S13_PSP_Species_Support!BQ9)^2*(S13_PSP_Species_Support!BR9*(1-EXP(-S13_PSP_Species_Support!BS9*0))^S13_PSP_Species_Support!BT9))^0.976,0)+IFERROR(S13_PSP_Species_Support!BX9*0.0673*(S13_PSP_Species_Support!BY9*(S13_PSP_Species_Support!BZ9*(1-EXP(-S13_PSP_Species_Support!CA9*0))^S13_PSP_Species_Support!CB9)^2*(S13_PSP_Species_Support!CC9*(1-EXP(-S13_PSP_Species_Support!CD9*0))^S13_PSP_Species_Support!CE9))^0.976,0)+IFERROR(S13_PSP_Species_Support!CI9*0.0673*(S13_PSP_Species_Support!CJ9*(S13_PSP_Species_Support!CK9*(1-EXP(-S13_PSP_Species_Support!CL9*0))^S13_PSP_Species_Support!CM9)^2*(S13_PSP_Species_Support!CN9*(1-EXP(-S13_PSP_Species_Support!CO9*0))^S13_PSP_Species_Support!CP9))^0.976,0)+IFERROR(S13_PSP_Species_Support!CT9*0.0673*(S13_PSP_Species_Support!CU9*(S13_PSP_Species_Support!CV9*(1-EXP(-S13_PSP_Species_Support!CW9*0))^S13_PSP_Species_Support!CX9)^2*(S13_PSP_Species_Support!CY9*(1-EXP(-S13_PSP_Species_Support!CZ9*0))^S13_PSP_Species_Support!DA9))^0.976,0))/1000/$G22*I$108,0)</x:f>
        <x:v>0</x:v>
      </x:c>
      <x:c r="J22" s="147" t="n">
        <x:f aca="0">IFERROR((IFERROR(S13_PSP_Species_Support!U9*0.0673*(S13_PSP_Species_Support!V9*(S13_PSP_Species_Support!W9*(1-EXP(-S13_PSP_Species_Support!X9*1))^S13_PSP_Species_Support!Y9)^2*(S13_PSP_Species_Support!Z9*(1-EXP(-S13_PSP_Species_Support!AA9*1))^S13_PSP_Species_Support!AB9))^0.976,0)+IFERROR(S13_PSP_Species_Support!AF9*0.0673*(S13_PSP_Species_Support!AG9*(S13_PSP_Species_Support!AH9*(1-EXP(-S13_PSP_Species_Support!AI9*1))^S13_PSP_Species_Support!AJ9)^2*(S13_PSP_Species_Support!AK9*(1-EXP(-S13_PSP_Species_Support!AL9*1))^S13_PSP_Species_Support!AM9))^0.976,0)+IFERROR(S13_PSP_Species_Support!AQ9*0.0673*(S13_PSP_Species_Support!AR9*(S13_PSP_Species_Support!AS9*(1-EXP(-S13_PSP_Species_Support!AT9*1))^S13_PSP_Species_Support!AU9)^2*(S13_PSP_Species_Support!AV9*(1-EXP(-S13_PSP_Species_Support!AW9*1))^S13_PSP_Species_Support!AX9))^0.976,0)+IFERROR(S13_PSP_Species_Support!BB9*0.0673*(S13_PSP_Species_Support!BC9*(S13_PSP_Species_Support!BD9*(1-EXP(-S13_PSP_Species_Support!BE9*1))^S13_PSP_Species_Support!BF9)^2*(S13_PSP_Species_Support!BG9*(1-EXP(-S13_PSP_Species_Support!BH9*1))^S13_PSP_Species_Support!BI9))^0.976,0)+IFERROR(S13_PSP_Species_Support!BM9*0.0673*(S13_PSP_Species_Support!BN9*(S13_PSP_Species_Support!BO9*(1-EXP(-S13_PSP_Species_Support!BP9*1))^S13_PSP_Species_Support!BQ9)^2*(S13_PSP_Species_Support!BR9*(1-EXP(-S13_PSP_Species_Support!BS9*1))^S13_PSP_Species_Support!BT9))^0.976,0)+IFERROR(S13_PSP_Species_Support!BX9*0.0673*(S13_PSP_Species_Support!BY9*(S13_PSP_Species_Support!BZ9*(1-EXP(-S13_PSP_Species_Support!CA9*1))^S13_PSP_Species_Support!CB9)^2*(S13_PSP_Species_Support!CC9*(1-EXP(-S13_PSP_Species_Support!CD9*1))^S13_PSP_Species_Support!CE9))^0.976,0)+IFERROR(S13_PSP_Species_Support!CI9*0.0673*(S13_PSP_Species_Support!CJ9*(S13_PSP_Species_Support!CK9*(1-EXP(-S13_PSP_Species_Support!CL9*1))^S13_PSP_Species_Support!CM9)^2*(S13_PSP_Species_Support!CN9*(1-EXP(-S13_PSP_Species_Support!CO9*1))^S13_PSP_Species_Support!CP9))^0.976,0)+IFERROR(S13_PSP_Species_Support!CT9*0.0673*(S13_PSP_Species_Support!CU9*(S13_PSP_Species_Support!CV9*(1-EXP(-S13_PSP_Species_Support!CW9*1))^S13_PSP_Species_Support!CX9)^2*(S13_PSP_Species_Support!CY9*(1-EXP(-S13_PSP_Species_Support!CZ9*1))^S13_PSP_Species_Support!DA9))^0.976,0))/1000/$G22*J$108,0)</x:f>
        <x:v>0.07234222910793725</x:v>
      </x:c>
      <x:c r="K22" s="147" t="n">
        <x:f aca="0">IFERROR((IFERROR(S13_PSP_Species_Support!U9*0.0673*(S13_PSP_Species_Support!V9*(S13_PSP_Species_Support!W9*(1-EXP(-S13_PSP_Species_Support!X9*2))^S13_PSP_Species_Support!Y9)^2*(S13_PSP_Species_Support!Z9*(1-EXP(-S13_PSP_Species_Support!AA9*2))^S13_PSP_Species_Support!AB9))^0.976,0)+IFERROR(S13_PSP_Species_Support!AF9*0.0673*(S13_PSP_Species_Support!AG9*(S13_PSP_Species_Support!AH9*(1-EXP(-S13_PSP_Species_Support!AI9*2))^S13_PSP_Species_Support!AJ9)^2*(S13_PSP_Species_Support!AK9*(1-EXP(-S13_PSP_Species_Support!AL9*2))^S13_PSP_Species_Support!AM9))^0.976,0)+IFERROR(S13_PSP_Species_Support!AQ9*0.0673*(S13_PSP_Species_Support!AR9*(S13_PSP_Species_Support!AS9*(1-EXP(-S13_PSP_Species_Support!AT9*2))^S13_PSP_Species_Support!AU9)^2*(S13_PSP_Species_Support!AV9*(1-EXP(-S13_PSP_Species_Support!AW9*2))^S13_PSP_Species_Support!AX9))^0.976,0)+IFERROR(S13_PSP_Species_Support!BB9*0.0673*(S13_PSP_Species_Support!BC9*(S13_PSP_Species_Support!BD9*(1-EXP(-S13_PSP_Species_Support!BE9*2))^S13_PSP_Species_Support!BF9)^2*(S13_PSP_Species_Support!BG9*(1-EXP(-S13_PSP_Species_Support!BH9*2))^S13_PSP_Species_Support!BI9))^0.976,0)+IFERROR(S13_PSP_Species_Support!BM9*0.0673*(S13_PSP_Species_Support!BN9*(S13_PSP_Species_Support!BO9*(1-EXP(-S13_PSP_Species_Support!BP9*2))^S13_PSP_Species_Support!BQ9)^2*(S13_PSP_Species_Support!BR9*(1-EXP(-S13_PSP_Species_Support!BS9*2))^S13_PSP_Species_Support!BT9))^0.976,0)+IFERROR(S13_PSP_Species_Support!BX9*0.0673*(S13_PSP_Species_Support!BY9*(S13_PSP_Species_Support!BZ9*(1-EXP(-S13_PSP_Species_Support!CA9*2))^S13_PSP_Species_Support!CB9)^2*(S13_PSP_Species_Support!CC9*(1-EXP(-S13_PSP_Species_Support!CD9*2))^S13_PSP_Species_Support!CE9))^0.976,0)+IFERROR(S13_PSP_Species_Support!CI9*0.0673*(S13_PSP_Species_Support!CJ9*(S13_PSP_Species_Support!CK9*(1-EXP(-S13_PSP_Species_Support!CL9*2))^S13_PSP_Species_Support!CM9)^2*(S13_PSP_Species_Support!CN9*(1-EXP(-S13_PSP_Species_Support!CO9*2))^S13_PSP_Species_Support!CP9))^0.976,0)+IFERROR(S13_PSP_Species_Support!CT9*0.0673*(S13_PSP_Species_Support!CU9*(S13_PSP_Species_Support!CV9*(1-EXP(-S13_PSP_Species_Support!CW9*2))^S13_PSP_Species_Support!CX9)^2*(S13_PSP_Species_Support!CY9*(1-EXP(-S13_PSP_Species_Support!CZ9*2))^S13_PSP_Species_Support!DA9))^0.976,0))/1000/$G22*K$108,0)</x:f>
        <x:v>0.916646499740899</x:v>
      </x:c>
      <x:c r="L22" s="147" t="n">
        <x:f aca="0">IFERROR((IFERROR(S13_PSP_Species_Support!U9*0.0673*(S13_PSP_Species_Support!V9*(S13_PSP_Species_Support!W9*(1-EXP(-S13_PSP_Species_Support!X9*3))^S13_PSP_Species_Support!Y9)^2*(S13_PSP_Species_Support!Z9*(1-EXP(-S13_PSP_Species_Support!AA9*3))^S13_PSP_Species_Support!AB9))^0.976,0)+IFERROR(S13_PSP_Species_Support!AF9*0.0673*(S13_PSP_Species_Support!AG9*(S13_PSP_Species_Support!AH9*(1-EXP(-S13_PSP_Species_Support!AI9*3))^S13_PSP_Species_Support!AJ9)^2*(S13_PSP_Species_Support!AK9*(1-EXP(-S13_PSP_Species_Support!AL9*3))^S13_PSP_Species_Support!AM9))^0.976,0)+IFERROR(S13_PSP_Species_Support!AQ9*0.0673*(S13_PSP_Species_Support!AR9*(S13_PSP_Species_Support!AS9*(1-EXP(-S13_PSP_Species_Support!AT9*3))^S13_PSP_Species_Support!AU9)^2*(S13_PSP_Species_Support!AV9*(1-EXP(-S13_PSP_Species_Support!AW9*3))^S13_PSP_Species_Support!AX9))^0.976,0)+IFERROR(S13_PSP_Species_Support!BB9*0.0673*(S13_PSP_Species_Support!BC9*(S13_PSP_Species_Support!BD9*(1-EXP(-S13_PSP_Species_Support!BE9*3))^S13_PSP_Species_Support!BF9)^2*(S13_PSP_Species_Support!BG9*(1-EXP(-S13_PSP_Species_Support!BH9*3))^S13_PSP_Species_Support!BI9))^0.976,0)+IFERROR(S13_PSP_Species_Support!BM9*0.0673*(S13_PSP_Species_Support!BN9*(S13_PSP_Species_Support!BO9*(1-EXP(-S13_PSP_Species_Support!BP9*3))^S13_PSP_Species_Support!BQ9)^2*(S13_PSP_Species_Support!BR9*(1-EXP(-S13_PSP_Species_Support!BS9*3))^S13_PSP_Species_Support!BT9))^0.976,0)+IFERROR(S13_PSP_Species_Support!BX9*0.0673*(S13_PSP_Species_Support!BY9*(S13_PSP_Species_Support!BZ9*(1-EXP(-S13_PSP_Species_Support!CA9*3))^S13_PSP_Species_Support!CB9)^2*(S13_PSP_Species_Support!CC9*(1-EXP(-S13_PSP_Species_Support!CD9*3))^S13_PSP_Species_Support!CE9))^0.976,0)+IFERROR(S13_PSP_Species_Support!CI9*0.0673*(S13_PSP_Species_Support!CJ9*(S13_PSP_Species_Support!CK9*(1-EXP(-S13_PSP_Species_Support!CL9*3))^S13_PSP_Species_Support!CM9)^2*(S13_PSP_Species_Support!CN9*(1-EXP(-S13_PSP_Species_Support!CO9*3))^S13_PSP_Species_Support!CP9))^0.976,0)+IFERROR(S13_PSP_Species_Support!CT9*0.0673*(S13_PSP_Species_Support!CU9*(S13_PSP_Species_Support!CV9*(1-EXP(-S13_PSP_Species_Support!CW9*3))^S13_PSP_Species_Support!CX9)^2*(S13_PSP_Species_Support!CY9*(1-EXP(-S13_PSP_Species_Support!CZ9*3))^S13_PSP_Species_Support!DA9))^0.976,0))/1000/$G22*L$108,0)</x:f>
        <x:v>3.4831002966220814</x:v>
      </x:c>
      <x:c r="M22" s="147" t="n">
        <x:f aca="0">IFERROR((IFERROR(S13_PSP_Species_Support!U9*0.0673*(S13_PSP_Species_Support!V9*(S13_PSP_Species_Support!W9*(1-EXP(-S13_PSP_Species_Support!X9*4))^S13_PSP_Species_Support!Y9)^2*(S13_PSP_Species_Support!Z9*(1-EXP(-S13_PSP_Species_Support!AA9*4))^S13_PSP_Species_Support!AB9))^0.976,0)+IFERROR(S13_PSP_Species_Support!AF9*0.0673*(S13_PSP_Species_Support!AG9*(S13_PSP_Species_Support!AH9*(1-EXP(-S13_PSP_Species_Support!AI9*4))^S13_PSP_Species_Support!AJ9)^2*(S13_PSP_Species_Support!AK9*(1-EXP(-S13_PSP_Species_Support!AL9*4))^S13_PSP_Species_Support!AM9))^0.976,0)+IFERROR(S13_PSP_Species_Support!AQ9*0.0673*(S13_PSP_Species_Support!AR9*(S13_PSP_Species_Support!AS9*(1-EXP(-S13_PSP_Species_Support!AT9*4))^S13_PSP_Species_Support!AU9)^2*(S13_PSP_Species_Support!AV9*(1-EXP(-S13_PSP_Species_Support!AW9*4))^S13_PSP_Species_Support!AX9))^0.976,0)+IFERROR(S13_PSP_Species_Support!BB9*0.0673*(S13_PSP_Species_Support!BC9*(S13_PSP_Species_Support!BD9*(1-EXP(-S13_PSP_Species_Support!BE9*4))^S13_PSP_Species_Support!BF9)^2*(S13_PSP_Species_Support!BG9*(1-EXP(-S13_PSP_Species_Support!BH9*4))^S13_PSP_Species_Support!BI9))^0.976,0)+IFERROR(S13_PSP_Species_Support!BM9*0.0673*(S13_PSP_Species_Support!BN9*(S13_PSP_Species_Support!BO9*(1-EXP(-S13_PSP_Species_Support!BP9*4))^S13_PSP_Species_Support!BQ9)^2*(S13_PSP_Species_Support!BR9*(1-EXP(-S13_PSP_Species_Support!BS9*4))^S13_PSP_Species_Support!BT9))^0.976,0)+IFERROR(S13_PSP_Species_Support!BX9*0.0673*(S13_PSP_Species_Support!BY9*(S13_PSP_Species_Support!BZ9*(1-EXP(-S13_PSP_Species_Support!CA9*4))^S13_PSP_Species_Support!CB9)^2*(S13_PSP_Species_Support!CC9*(1-EXP(-S13_PSP_Species_Support!CD9*4))^S13_PSP_Species_Support!CE9))^0.976,0)+IFERROR(S13_PSP_Species_Support!CI9*0.0673*(S13_PSP_Species_Support!CJ9*(S13_PSP_Species_Support!CK9*(1-EXP(-S13_PSP_Species_Support!CL9*4))^S13_PSP_Species_Support!CM9)^2*(S13_PSP_Species_Support!CN9*(1-EXP(-S13_PSP_Species_Support!CO9*4))^S13_PSP_Species_Support!CP9))^0.976,0)+IFERROR(S13_PSP_Species_Support!CT9*0.0673*(S13_PSP_Species_Support!CU9*(S13_PSP_Species_Support!CV9*(1-EXP(-S13_PSP_Species_Support!CW9*4))^S13_PSP_Species_Support!CX9)^2*(S13_PSP_Species_Support!CY9*(1-EXP(-S13_PSP_Species_Support!CZ9*4))^S13_PSP_Species_Support!DA9))^0.976,0))/1000/$G22*M$108,0)</x:f>
        <x:v>8.198531857990798</x:v>
      </x:c>
      <x:c r="N22" s="147" t="n">
        <x:f aca="0">IFERROR((IFERROR(S13_PSP_Species_Support!U9*0.0673*(S13_PSP_Species_Support!V9*(S13_PSP_Species_Support!W9*(1-EXP(-S13_PSP_Species_Support!X9*5))^S13_PSP_Species_Support!Y9)^2*(S13_PSP_Species_Support!Z9*(1-EXP(-S13_PSP_Species_Support!AA9*5))^S13_PSP_Species_Support!AB9))^0.976,0)+IFERROR(S13_PSP_Species_Support!AF9*0.0673*(S13_PSP_Species_Support!AG9*(S13_PSP_Species_Support!AH9*(1-EXP(-S13_PSP_Species_Support!AI9*5))^S13_PSP_Species_Support!AJ9)^2*(S13_PSP_Species_Support!AK9*(1-EXP(-S13_PSP_Species_Support!AL9*5))^S13_PSP_Species_Support!AM9))^0.976,0)+IFERROR(S13_PSP_Species_Support!AQ9*0.0673*(S13_PSP_Species_Support!AR9*(S13_PSP_Species_Support!AS9*(1-EXP(-S13_PSP_Species_Support!AT9*5))^S13_PSP_Species_Support!AU9)^2*(S13_PSP_Species_Support!AV9*(1-EXP(-S13_PSP_Species_Support!AW9*5))^S13_PSP_Species_Support!AX9))^0.976,0)+IFERROR(S13_PSP_Species_Support!BB9*0.0673*(S13_PSP_Species_Support!BC9*(S13_PSP_Species_Support!BD9*(1-EXP(-S13_PSP_Species_Support!BE9*5))^S13_PSP_Species_Support!BF9)^2*(S13_PSP_Species_Support!BG9*(1-EXP(-S13_PSP_Species_Support!BH9*5))^S13_PSP_Species_Support!BI9))^0.976,0)+IFERROR(S13_PSP_Species_Support!BM9*0.0673*(S13_PSP_Species_Support!BN9*(S13_PSP_Species_Support!BO9*(1-EXP(-S13_PSP_Species_Support!BP9*5))^S13_PSP_Species_Support!BQ9)^2*(S13_PSP_Species_Support!BR9*(1-EXP(-S13_PSP_Species_Support!BS9*5))^S13_PSP_Species_Support!BT9))^0.976,0)+IFERROR(S13_PSP_Species_Support!BX9*0.0673*(S13_PSP_Species_Support!BY9*(S13_PSP_Species_Support!BZ9*(1-EXP(-S13_PSP_Species_Support!CA9*5))^S13_PSP_Species_Support!CB9)^2*(S13_PSP_Species_Support!CC9*(1-EXP(-S13_PSP_Species_Support!CD9*5))^S13_PSP_Species_Support!CE9))^0.976,0)+IFERROR(S13_PSP_Species_Support!CI9*0.0673*(S13_PSP_Species_Support!CJ9*(S13_PSP_Species_Support!CK9*(1-EXP(-S13_PSP_Species_Support!CL9*5))^S13_PSP_Species_Support!CM9)^2*(S13_PSP_Species_Support!CN9*(1-EXP(-S13_PSP_Species_Support!CO9*5))^S13_PSP_Species_Support!CP9))^0.976,0)+IFERROR(S13_PSP_Species_Support!CT9*0.0673*(S13_PSP_Species_Support!CU9*(S13_PSP_Species_Support!CV9*(1-EXP(-S13_PSP_Species_Support!CW9*5))^S13_PSP_Species_Support!CX9)^2*(S13_PSP_Species_Support!CY9*(1-EXP(-S13_PSP_Species_Support!CZ9*5))^S13_PSP_Species_Support!DA9))^0.976,0))/1000/$G22*N$108,0)</x:f>
        <x:v>14.855210261500368</x:v>
      </x:c>
      <x:c r="O22" s="147" t="n">
        <x:f aca="0">IFERROR((IFERROR(S13_PSP_Species_Support!U9*0.0673*(S13_PSP_Species_Support!V9*(S13_PSP_Species_Support!W9*(1-EXP(-S13_PSP_Species_Support!X9*6))^S13_PSP_Species_Support!Y9)^2*(S13_PSP_Species_Support!Z9*(1-EXP(-S13_PSP_Species_Support!AA9*6))^S13_PSP_Species_Support!AB9))^0.976,0)+IFERROR(S13_PSP_Species_Support!AF9*0.0673*(S13_PSP_Species_Support!AG9*(S13_PSP_Species_Support!AH9*(1-EXP(-S13_PSP_Species_Support!AI9*6))^S13_PSP_Species_Support!AJ9)^2*(S13_PSP_Species_Support!AK9*(1-EXP(-S13_PSP_Species_Support!AL9*6))^S13_PSP_Species_Support!AM9))^0.976,0)+IFERROR(S13_PSP_Species_Support!AQ9*0.0673*(S13_PSP_Species_Support!AR9*(S13_PSP_Species_Support!AS9*(1-EXP(-S13_PSP_Species_Support!AT9*6))^S13_PSP_Species_Support!AU9)^2*(S13_PSP_Species_Support!AV9*(1-EXP(-S13_PSP_Species_Support!AW9*6))^S13_PSP_Species_Support!AX9))^0.976,0)+IFERROR(S13_PSP_Species_Support!BB9*0.0673*(S13_PSP_Species_Support!BC9*(S13_PSP_Species_Support!BD9*(1-EXP(-S13_PSP_Species_Support!BE9*6))^S13_PSP_Species_Support!BF9)^2*(S13_PSP_Species_Support!BG9*(1-EXP(-S13_PSP_Species_Support!BH9*6))^S13_PSP_Species_Support!BI9))^0.976,0)+IFERROR(S13_PSP_Species_Support!BM9*0.0673*(S13_PSP_Species_Support!BN9*(S13_PSP_Species_Support!BO9*(1-EXP(-S13_PSP_Species_Support!BP9*6))^S13_PSP_Species_Support!BQ9)^2*(S13_PSP_Species_Support!BR9*(1-EXP(-S13_PSP_Species_Support!BS9*6))^S13_PSP_Species_Support!BT9))^0.976,0)+IFERROR(S13_PSP_Species_Support!BX9*0.0673*(S13_PSP_Species_Support!BY9*(S13_PSP_Species_Support!BZ9*(1-EXP(-S13_PSP_Species_Support!CA9*6))^S13_PSP_Species_Support!CB9)^2*(S13_PSP_Species_Support!CC9*(1-EXP(-S13_PSP_Species_Support!CD9*6))^S13_PSP_Species_Support!CE9))^0.976,0)+IFERROR(S13_PSP_Species_Support!CI9*0.0673*(S13_PSP_Species_Support!CJ9*(S13_PSP_Species_Support!CK9*(1-EXP(-S13_PSP_Species_Support!CL9*6))^S13_PSP_Species_Support!CM9)^2*(S13_PSP_Species_Support!CN9*(1-EXP(-S13_PSP_Species_Support!CO9*6))^S13_PSP_Species_Support!CP9))^0.976,0)+IFERROR(S13_PSP_Species_Support!CT9*0.0673*(S13_PSP_Species_Support!CU9*(S13_PSP_Species_Support!CV9*(1-EXP(-S13_PSP_Species_Support!CW9*6))^S13_PSP_Species_Support!CX9)^2*(S13_PSP_Species_Support!CY9*(1-EXP(-S13_PSP_Species_Support!CZ9*6))^S13_PSP_Species_Support!DA9))^0.976,0))/1000/$G22*O$108,0)</x:f>
        <x:v>22.924458900023303</x:v>
      </x:c>
      <x:c r="P22" s="147" t="n">
        <x:f aca="0">IFERROR((IFERROR(S13_PSP_Species_Support!U9*0.0673*(S13_PSP_Species_Support!V9*(S13_PSP_Species_Support!W9*(1-EXP(-S13_PSP_Species_Support!X9*7))^S13_PSP_Species_Support!Y9)^2*(S13_PSP_Species_Support!Z9*(1-EXP(-S13_PSP_Species_Support!AA9*7))^S13_PSP_Species_Support!AB9))^0.976,0)+IFERROR(S13_PSP_Species_Support!AF9*0.0673*(S13_PSP_Species_Support!AG9*(S13_PSP_Species_Support!AH9*(1-EXP(-S13_PSP_Species_Support!AI9*7))^S13_PSP_Species_Support!AJ9)^2*(S13_PSP_Species_Support!AK9*(1-EXP(-S13_PSP_Species_Support!AL9*7))^S13_PSP_Species_Support!AM9))^0.976,0)+IFERROR(S13_PSP_Species_Support!AQ9*0.0673*(S13_PSP_Species_Support!AR9*(S13_PSP_Species_Support!AS9*(1-EXP(-S13_PSP_Species_Support!AT9*7))^S13_PSP_Species_Support!AU9)^2*(S13_PSP_Species_Support!AV9*(1-EXP(-S13_PSP_Species_Support!AW9*7))^S13_PSP_Species_Support!AX9))^0.976,0)+IFERROR(S13_PSP_Species_Support!BB9*0.0673*(S13_PSP_Species_Support!BC9*(S13_PSP_Species_Support!BD9*(1-EXP(-S13_PSP_Species_Support!BE9*7))^S13_PSP_Species_Support!BF9)^2*(S13_PSP_Species_Support!BG9*(1-EXP(-S13_PSP_Species_Support!BH9*7))^S13_PSP_Species_Support!BI9))^0.976,0)+IFERROR(S13_PSP_Species_Support!BM9*0.0673*(S13_PSP_Species_Support!BN9*(S13_PSP_Species_Support!BO9*(1-EXP(-S13_PSP_Species_Support!BP9*7))^S13_PSP_Species_Support!BQ9)^2*(S13_PSP_Species_Support!BR9*(1-EXP(-S13_PSP_Species_Support!BS9*7))^S13_PSP_Species_Support!BT9))^0.976,0)+IFERROR(S13_PSP_Species_Support!BX9*0.0673*(S13_PSP_Species_Support!BY9*(S13_PSP_Species_Support!BZ9*(1-EXP(-S13_PSP_Species_Support!CA9*7))^S13_PSP_Species_Support!CB9)^2*(S13_PSP_Species_Support!CC9*(1-EXP(-S13_PSP_Species_Support!CD9*7))^S13_PSP_Species_Support!CE9))^0.976,0)+IFERROR(S13_PSP_Species_Support!CI9*0.0673*(S13_PSP_Species_Support!CJ9*(S13_PSP_Species_Support!CK9*(1-EXP(-S13_PSP_Species_Support!CL9*7))^S13_PSP_Species_Support!CM9)^2*(S13_PSP_Species_Support!CN9*(1-EXP(-S13_PSP_Species_Support!CO9*7))^S13_PSP_Species_Support!CP9))^0.976,0)+IFERROR(S13_PSP_Species_Support!CT9*0.0673*(S13_PSP_Species_Support!CU9*(S13_PSP_Species_Support!CV9*(1-EXP(-S13_PSP_Species_Support!CW9*7))^S13_PSP_Species_Support!CX9)^2*(S13_PSP_Species_Support!CY9*(1-EXP(-S13_PSP_Species_Support!CZ9*7))^S13_PSP_Species_Support!DA9))^0.976,0))/1000/$G22*P$108,0)</x:f>
        <x:v>31.79318140868456</x:v>
      </x:c>
      <x:c r="Q22" s="147" t="n">
        <x:f aca="0">IFERROR((IFERROR(S13_PSP_Species_Support!U9*0.0673*(S13_PSP_Species_Support!V9*(S13_PSP_Species_Support!W9*(1-EXP(-S13_PSP_Species_Support!X9*8))^S13_PSP_Species_Support!Y9)^2*(S13_PSP_Species_Support!Z9*(1-EXP(-S13_PSP_Species_Support!AA9*8))^S13_PSP_Species_Support!AB9))^0.976,0)+IFERROR(S13_PSP_Species_Support!AF9*0.0673*(S13_PSP_Species_Support!AG9*(S13_PSP_Species_Support!AH9*(1-EXP(-S13_PSP_Species_Support!AI9*8))^S13_PSP_Species_Support!AJ9)^2*(S13_PSP_Species_Support!AK9*(1-EXP(-S13_PSP_Species_Support!AL9*8))^S13_PSP_Species_Support!AM9))^0.976,0)+IFERROR(S13_PSP_Species_Support!AQ9*0.0673*(S13_PSP_Species_Support!AR9*(S13_PSP_Species_Support!AS9*(1-EXP(-S13_PSP_Species_Support!AT9*8))^S13_PSP_Species_Support!AU9)^2*(S13_PSP_Species_Support!AV9*(1-EXP(-S13_PSP_Species_Support!AW9*8))^S13_PSP_Species_Support!AX9))^0.976,0)+IFERROR(S13_PSP_Species_Support!BB9*0.0673*(S13_PSP_Species_Support!BC9*(S13_PSP_Species_Support!BD9*(1-EXP(-S13_PSP_Species_Support!BE9*8))^S13_PSP_Species_Support!BF9)^2*(S13_PSP_Species_Support!BG9*(1-EXP(-S13_PSP_Species_Support!BH9*8))^S13_PSP_Species_Support!BI9))^0.976,0)+IFERROR(S13_PSP_Species_Support!BM9*0.0673*(S13_PSP_Species_Support!BN9*(S13_PSP_Species_Support!BO9*(1-EXP(-S13_PSP_Species_Support!BP9*8))^S13_PSP_Species_Support!BQ9)^2*(S13_PSP_Species_Support!BR9*(1-EXP(-S13_PSP_Species_Support!BS9*8))^S13_PSP_Species_Support!BT9))^0.976,0)+IFERROR(S13_PSP_Species_Support!BX9*0.0673*(S13_PSP_Species_Support!BY9*(S13_PSP_Species_Support!BZ9*(1-EXP(-S13_PSP_Species_Support!CA9*8))^S13_PSP_Species_Support!CB9)^2*(S13_PSP_Species_Support!CC9*(1-EXP(-S13_PSP_Species_Support!CD9*8))^S13_PSP_Species_Support!CE9))^0.976,0)+IFERROR(S13_PSP_Species_Support!CI9*0.0673*(S13_PSP_Species_Support!CJ9*(S13_PSP_Species_Support!CK9*(1-EXP(-S13_PSP_Species_Support!CL9*8))^S13_PSP_Species_Support!CM9)^2*(S13_PSP_Species_Support!CN9*(1-EXP(-S13_PSP_Species_Support!CO9*8))^S13_PSP_Species_Support!CP9))^0.976,0)+IFERROR(S13_PSP_Species_Support!CT9*0.0673*(S13_PSP_Species_Support!CU9*(S13_PSP_Species_Support!CV9*(1-EXP(-S13_PSP_Species_Support!CW9*8))^S13_PSP_Species_Support!CX9)^2*(S13_PSP_Species_Support!CY9*(1-EXP(-S13_PSP_Species_Support!CZ9*8))^S13_PSP_Species_Support!DA9))^0.976,0))/1000/$G22*Q$108,0)</x:f>
        <x:v>40.910087484142075</x:v>
      </x:c>
      <x:c r="R22" s="147" t="n">
        <x:f aca="0">IFERROR((IFERROR(S13_PSP_Species_Support!U9*0.0673*(S13_PSP_Species_Support!V9*(S13_PSP_Species_Support!W9*(1-EXP(-S13_PSP_Species_Support!X9*9))^S13_PSP_Species_Support!Y9)^2*(S13_PSP_Species_Support!Z9*(1-EXP(-S13_PSP_Species_Support!AA9*9))^S13_PSP_Species_Support!AB9))^0.976,0)+IFERROR(S13_PSP_Species_Support!AF9*0.0673*(S13_PSP_Species_Support!AG9*(S13_PSP_Species_Support!AH9*(1-EXP(-S13_PSP_Species_Support!AI9*9))^S13_PSP_Species_Support!AJ9)^2*(S13_PSP_Species_Support!AK9*(1-EXP(-S13_PSP_Species_Support!AL9*9))^S13_PSP_Species_Support!AM9))^0.976,0)+IFERROR(S13_PSP_Species_Support!AQ9*0.0673*(S13_PSP_Species_Support!AR9*(S13_PSP_Species_Support!AS9*(1-EXP(-S13_PSP_Species_Support!AT9*9))^S13_PSP_Species_Support!AU9)^2*(S13_PSP_Species_Support!AV9*(1-EXP(-S13_PSP_Species_Support!AW9*9))^S13_PSP_Species_Support!AX9))^0.976,0)+IFERROR(S13_PSP_Species_Support!BB9*0.0673*(S13_PSP_Species_Support!BC9*(S13_PSP_Species_Support!BD9*(1-EXP(-S13_PSP_Species_Support!BE9*9))^S13_PSP_Species_Support!BF9)^2*(S13_PSP_Species_Support!BG9*(1-EXP(-S13_PSP_Species_Support!BH9*9))^S13_PSP_Species_Support!BI9))^0.976,0)+IFERROR(S13_PSP_Species_Support!BM9*0.0673*(S13_PSP_Species_Support!BN9*(S13_PSP_Species_Support!BO9*(1-EXP(-S13_PSP_Species_Support!BP9*9))^S13_PSP_Species_Support!BQ9)^2*(S13_PSP_Species_Support!BR9*(1-EXP(-S13_PSP_Species_Support!BS9*9))^S13_PSP_Species_Support!BT9))^0.976,0)+IFERROR(S13_PSP_Species_Support!BX9*0.0673*(S13_PSP_Species_Support!BY9*(S13_PSP_Species_Support!BZ9*(1-EXP(-S13_PSP_Species_Support!CA9*9))^S13_PSP_Species_Support!CB9)^2*(S13_PSP_Species_Support!CC9*(1-EXP(-S13_PSP_Species_Support!CD9*9))^S13_PSP_Species_Support!CE9))^0.976,0)+IFERROR(S13_PSP_Species_Support!CI9*0.0673*(S13_PSP_Species_Support!CJ9*(S13_PSP_Species_Support!CK9*(1-EXP(-S13_PSP_Species_Support!CL9*9))^S13_PSP_Species_Support!CM9)^2*(S13_PSP_Species_Support!CN9*(1-EXP(-S13_PSP_Species_Support!CO9*9))^S13_PSP_Species_Support!CP9))^0.976,0)+IFERROR(S13_PSP_Species_Support!CT9*0.0673*(S13_PSP_Species_Support!CU9*(S13_PSP_Species_Support!CV9*(1-EXP(-S13_PSP_Species_Support!CW9*9))^S13_PSP_Species_Support!CX9)^2*(S13_PSP_Species_Support!CY9*(1-EXP(-S13_PSP_Species_Support!CZ9*9))^S13_PSP_Species_Support!DA9))^0.976,0))/1000/$G22*R$108,0)</x:f>
        <x:v>49.847175907142706</x:v>
      </x:c>
      <x:c r="S22" s="147" t="n">
        <x:f aca="0">IFERROR((IFERROR(S13_PSP_Species_Support!U9*0.0673*(S13_PSP_Species_Support!V9*(S13_PSP_Species_Support!W9*(1-EXP(-S13_PSP_Species_Support!X9*10))^S13_PSP_Species_Support!Y9)^2*(S13_PSP_Species_Support!Z9*(1-EXP(-S13_PSP_Species_Support!AA9*10))^S13_PSP_Species_Support!AB9))^0.976,0)+IFERROR(S13_PSP_Species_Support!AF9*0.0673*(S13_PSP_Species_Support!AG9*(S13_PSP_Species_Support!AH9*(1-EXP(-S13_PSP_Species_Support!AI9*10))^S13_PSP_Species_Support!AJ9)^2*(S13_PSP_Species_Support!AK9*(1-EXP(-S13_PSP_Species_Support!AL9*10))^S13_PSP_Species_Support!AM9))^0.976,0)+IFERROR(S13_PSP_Species_Support!AQ9*0.0673*(S13_PSP_Species_Support!AR9*(S13_PSP_Species_Support!AS9*(1-EXP(-S13_PSP_Species_Support!AT9*10))^S13_PSP_Species_Support!AU9)^2*(S13_PSP_Species_Support!AV9*(1-EXP(-S13_PSP_Species_Support!AW9*10))^S13_PSP_Species_Support!AX9))^0.976,0)+IFERROR(S13_PSP_Species_Support!BB9*0.0673*(S13_PSP_Species_Support!BC9*(S13_PSP_Species_Support!BD9*(1-EXP(-S13_PSP_Species_Support!BE9*10))^S13_PSP_Species_Support!BF9)^2*(S13_PSP_Species_Support!BG9*(1-EXP(-S13_PSP_Species_Support!BH9*10))^S13_PSP_Species_Support!BI9))^0.976,0)+IFERROR(S13_PSP_Species_Support!BM9*0.0673*(S13_PSP_Species_Support!BN9*(S13_PSP_Species_Support!BO9*(1-EXP(-S13_PSP_Species_Support!BP9*10))^S13_PSP_Species_Support!BQ9)^2*(S13_PSP_Species_Support!BR9*(1-EXP(-S13_PSP_Species_Support!BS9*10))^S13_PSP_Species_Support!BT9))^0.976,0)+IFERROR(S13_PSP_Species_Support!BX9*0.0673*(S13_PSP_Species_Support!BY9*(S13_PSP_Species_Support!BZ9*(1-EXP(-S13_PSP_Species_Support!CA9*10))^S13_PSP_Species_Support!CB9)^2*(S13_PSP_Species_Support!CC9*(1-EXP(-S13_PSP_Species_Support!CD9*10))^S13_PSP_Species_Support!CE9))^0.976,0)+IFERROR(S13_PSP_Species_Support!CI9*0.0673*(S13_PSP_Species_Support!CJ9*(S13_PSP_Species_Support!CK9*(1-EXP(-S13_PSP_Species_Support!CL9*10))^S13_PSP_Species_Support!CM9)^2*(S13_PSP_Species_Support!CN9*(1-EXP(-S13_PSP_Species_Support!CO9*10))^S13_PSP_Species_Support!CP9))^0.976,0)+IFERROR(S13_PSP_Species_Support!CT9*0.0673*(S13_PSP_Species_Support!CU9*(S13_PSP_Species_Support!CV9*(1-EXP(-S13_PSP_Species_Support!CW9*10))^S13_PSP_Species_Support!CX9)^2*(S13_PSP_Species_Support!CY9*(1-EXP(-S13_PSP_Species_Support!CZ9*10))^S13_PSP_Species_Support!DA9))^0.976,0))/1000/$G22*S$108,0)</x:f>
        <x:v>58.30890424759548</x:v>
      </x:c>
      <x:c r="T22" s="147" t="n">
        <x:f aca="0">IFERROR((IFERROR(S13_PSP_Species_Support!U9*0.0673*(S13_PSP_Species_Support!V9*(S13_PSP_Species_Support!W9*(1-EXP(-S13_PSP_Species_Support!X9*11))^S13_PSP_Species_Support!Y9)^2*(S13_PSP_Species_Support!Z9*(1-EXP(-S13_PSP_Species_Support!AA9*11))^S13_PSP_Species_Support!AB9))^0.976,0)+IFERROR(S13_PSP_Species_Support!AF9*0.0673*(S13_PSP_Species_Support!AG9*(S13_PSP_Species_Support!AH9*(1-EXP(-S13_PSP_Species_Support!AI9*11))^S13_PSP_Species_Support!AJ9)^2*(S13_PSP_Species_Support!AK9*(1-EXP(-S13_PSP_Species_Support!AL9*11))^S13_PSP_Species_Support!AM9))^0.976,0)+IFERROR(S13_PSP_Species_Support!AQ9*0.0673*(S13_PSP_Species_Support!AR9*(S13_PSP_Species_Support!AS9*(1-EXP(-S13_PSP_Species_Support!AT9*11))^S13_PSP_Species_Support!AU9)^2*(S13_PSP_Species_Support!AV9*(1-EXP(-S13_PSP_Species_Support!AW9*11))^S13_PSP_Species_Support!AX9))^0.976,0)+IFERROR(S13_PSP_Species_Support!BB9*0.0673*(S13_PSP_Species_Support!BC9*(S13_PSP_Species_Support!BD9*(1-EXP(-S13_PSP_Species_Support!BE9*11))^S13_PSP_Species_Support!BF9)^2*(S13_PSP_Species_Support!BG9*(1-EXP(-S13_PSP_Species_Support!BH9*11))^S13_PSP_Species_Support!BI9))^0.976,0)+IFERROR(S13_PSP_Species_Support!BM9*0.0673*(S13_PSP_Species_Support!BN9*(S13_PSP_Species_Support!BO9*(1-EXP(-S13_PSP_Species_Support!BP9*11))^S13_PSP_Species_Support!BQ9)^2*(S13_PSP_Species_Support!BR9*(1-EXP(-S13_PSP_Species_Support!BS9*11))^S13_PSP_Species_Support!BT9))^0.976,0)+IFERROR(S13_PSP_Species_Support!BX9*0.0673*(S13_PSP_Species_Support!BY9*(S13_PSP_Species_Support!BZ9*(1-EXP(-S13_PSP_Species_Support!CA9*11))^S13_PSP_Species_Support!CB9)^2*(S13_PSP_Species_Support!CC9*(1-EXP(-S13_PSP_Species_Support!CD9*11))^S13_PSP_Species_Support!CE9))^0.976,0)+IFERROR(S13_PSP_Species_Support!CI9*0.0673*(S13_PSP_Species_Support!CJ9*(S13_PSP_Species_Support!CK9*(1-EXP(-S13_PSP_Species_Support!CL9*11))^S13_PSP_Species_Support!CM9)^2*(S13_PSP_Species_Support!CN9*(1-EXP(-S13_PSP_Species_Support!CO9*11))^S13_PSP_Species_Support!CP9))^0.976,0)+IFERROR(S13_PSP_Species_Support!CT9*0.0673*(S13_PSP_Species_Support!CU9*(S13_PSP_Species_Support!CV9*(1-EXP(-S13_PSP_Species_Support!CW9*11))^S13_PSP_Species_Support!CX9)^2*(S13_PSP_Species_Support!CY9*(1-EXP(-S13_PSP_Species_Support!CZ9*11))^S13_PSP_Species_Support!DA9))^0.976,0))/1000/$G22*T$108,0)</x:f>
        <x:v>66.11566647800913</x:v>
      </x:c>
      <x:c r="U22" s="147" t="n">
        <x:f aca="0">IFERROR((IFERROR(S13_PSP_Species_Support!U9*0.0673*(S13_PSP_Species_Support!V9*(S13_PSP_Species_Support!W9*(1-EXP(-S13_PSP_Species_Support!X9*12))^S13_PSP_Species_Support!Y9)^2*(S13_PSP_Species_Support!Z9*(1-EXP(-S13_PSP_Species_Support!AA9*12))^S13_PSP_Species_Support!AB9))^0.976,0)+IFERROR(S13_PSP_Species_Support!AF9*0.0673*(S13_PSP_Species_Support!AG9*(S13_PSP_Species_Support!AH9*(1-EXP(-S13_PSP_Species_Support!AI9*12))^S13_PSP_Species_Support!AJ9)^2*(S13_PSP_Species_Support!AK9*(1-EXP(-S13_PSP_Species_Support!AL9*12))^S13_PSP_Species_Support!AM9))^0.976,0)+IFERROR(S13_PSP_Species_Support!AQ9*0.0673*(S13_PSP_Species_Support!AR9*(S13_PSP_Species_Support!AS9*(1-EXP(-S13_PSP_Species_Support!AT9*12))^S13_PSP_Species_Support!AU9)^2*(S13_PSP_Species_Support!AV9*(1-EXP(-S13_PSP_Species_Support!AW9*12))^S13_PSP_Species_Support!AX9))^0.976,0)+IFERROR(S13_PSP_Species_Support!BB9*0.0673*(S13_PSP_Species_Support!BC9*(S13_PSP_Species_Support!BD9*(1-EXP(-S13_PSP_Species_Support!BE9*12))^S13_PSP_Species_Support!BF9)^2*(S13_PSP_Species_Support!BG9*(1-EXP(-S13_PSP_Species_Support!BH9*12))^S13_PSP_Species_Support!BI9))^0.976,0)+IFERROR(S13_PSP_Species_Support!BM9*0.0673*(S13_PSP_Species_Support!BN9*(S13_PSP_Species_Support!BO9*(1-EXP(-S13_PSP_Species_Support!BP9*12))^S13_PSP_Species_Support!BQ9)^2*(S13_PSP_Species_Support!BR9*(1-EXP(-S13_PSP_Species_Support!BS9*12))^S13_PSP_Species_Support!BT9))^0.976,0)+IFERROR(S13_PSP_Species_Support!BX9*0.0673*(S13_PSP_Species_Support!BY9*(S13_PSP_Species_Support!BZ9*(1-EXP(-S13_PSP_Species_Support!CA9*12))^S13_PSP_Species_Support!CB9)^2*(S13_PSP_Species_Support!CC9*(1-EXP(-S13_PSP_Species_Support!CD9*12))^S13_PSP_Species_Support!CE9))^0.976,0)+IFERROR(S13_PSP_Species_Support!CI9*0.0673*(S13_PSP_Species_Support!CJ9*(S13_PSP_Species_Support!CK9*(1-EXP(-S13_PSP_Species_Support!CL9*12))^S13_PSP_Species_Support!CM9)^2*(S13_PSP_Species_Support!CN9*(1-EXP(-S13_PSP_Species_Support!CO9*12))^S13_PSP_Species_Support!CP9))^0.976,0)+IFERROR(S13_PSP_Species_Support!CT9*0.0673*(S13_PSP_Species_Support!CU9*(S13_PSP_Species_Support!CV9*(1-EXP(-S13_PSP_Species_Support!CW9*12))^S13_PSP_Species_Support!CX9)^2*(S13_PSP_Species_Support!CY9*(1-EXP(-S13_PSP_Species_Support!CZ9*12))^S13_PSP_Species_Support!DA9))^0.976,0))/1000/$G22*U$108,0)</x:f>
        <x:v>73.17835205740025</x:v>
      </x:c>
      <x:c r="V22" s="147" t="n">
        <x:f aca="0">IFERROR((IFERROR(S13_PSP_Species_Support!U9*0.0673*(S13_PSP_Species_Support!V9*(S13_PSP_Species_Support!W9*(1-EXP(-S13_PSP_Species_Support!X9*13))^S13_PSP_Species_Support!Y9)^2*(S13_PSP_Species_Support!Z9*(1-EXP(-S13_PSP_Species_Support!AA9*13))^S13_PSP_Species_Support!AB9))^0.976,0)+IFERROR(S13_PSP_Species_Support!AF9*0.0673*(S13_PSP_Species_Support!AG9*(S13_PSP_Species_Support!AH9*(1-EXP(-S13_PSP_Species_Support!AI9*13))^S13_PSP_Species_Support!AJ9)^2*(S13_PSP_Species_Support!AK9*(1-EXP(-S13_PSP_Species_Support!AL9*13))^S13_PSP_Species_Support!AM9))^0.976,0)+IFERROR(S13_PSP_Species_Support!AQ9*0.0673*(S13_PSP_Species_Support!AR9*(S13_PSP_Species_Support!AS9*(1-EXP(-S13_PSP_Species_Support!AT9*13))^S13_PSP_Species_Support!AU9)^2*(S13_PSP_Species_Support!AV9*(1-EXP(-S13_PSP_Species_Support!AW9*13))^S13_PSP_Species_Support!AX9))^0.976,0)+IFERROR(S13_PSP_Species_Support!BB9*0.0673*(S13_PSP_Species_Support!BC9*(S13_PSP_Species_Support!BD9*(1-EXP(-S13_PSP_Species_Support!BE9*13))^S13_PSP_Species_Support!BF9)^2*(S13_PSP_Species_Support!BG9*(1-EXP(-S13_PSP_Species_Support!BH9*13))^S13_PSP_Species_Support!BI9))^0.976,0)+IFERROR(S13_PSP_Species_Support!BM9*0.0673*(S13_PSP_Species_Support!BN9*(S13_PSP_Species_Support!BO9*(1-EXP(-S13_PSP_Species_Support!BP9*13))^S13_PSP_Species_Support!BQ9)^2*(S13_PSP_Species_Support!BR9*(1-EXP(-S13_PSP_Species_Support!BS9*13))^S13_PSP_Species_Support!BT9))^0.976,0)+IFERROR(S13_PSP_Species_Support!BX9*0.0673*(S13_PSP_Species_Support!BY9*(S13_PSP_Species_Support!BZ9*(1-EXP(-S13_PSP_Species_Support!CA9*13))^S13_PSP_Species_Support!CB9)^2*(S13_PSP_Species_Support!CC9*(1-EXP(-S13_PSP_Species_Support!CD9*13))^S13_PSP_Species_Support!CE9))^0.976,0)+IFERROR(S13_PSP_Species_Support!CI9*0.0673*(S13_PSP_Species_Support!CJ9*(S13_PSP_Species_Support!CK9*(1-EXP(-S13_PSP_Species_Support!CL9*13))^S13_PSP_Species_Support!CM9)^2*(S13_PSP_Species_Support!CN9*(1-EXP(-S13_PSP_Species_Support!CO9*13))^S13_PSP_Species_Support!CP9))^0.976,0)+IFERROR(S13_PSP_Species_Support!CT9*0.0673*(S13_PSP_Species_Support!CU9*(S13_PSP_Species_Support!CV9*(1-EXP(-S13_PSP_Species_Support!CW9*13))^S13_PSP_Species_Support!CX9)^2*(S13_PSP_Species_Support!CY9*(1-EXP(-S13_PSP_Species_Support!CZ9*13))^S13_PSP_Species_Support!DA9))^0.976,0))/1000/$G22*V$108,0)</x:f>
        <x:v>79.47286775406586</x:v>
      </x:c>
      <x:c r="W22" s="147" t="n">
        <x:f aca="0">IFERROR((IFERROR(S13_PSP_Species_Support!U9*0.0673*(S13_PSP_Species_Support!V9*(S13_PSP_Species_Support!W9*(1-EXP(-S13_PSP_Species_Support!X9*14))^S13_PSP_Species_Support!Y9)^2*(S13_PSP_Species_Support!Z9*(1-EXP(-S13_PSP_Species_Support!AA9*14))^S13_PSP_Species_Support!AB9))^0.976,0)+IFERROR(S13_PSP_Species_Support!AF9*0.0673*(S13_PSP_Species_Support!AG9*(S13_PSP_Species_Support!AH9*(1-EXP(-S13_PSP_Species_Support!AI9*14))^S13_PSP_Species_Support!AJ9)^2*(S13_PSP_Species_Support!AK9*(1-EXP(-S13_PSP_Species_Support!AL9*14))^S13_PSP_Species_Support!AM9))^0.976,0)+IFERROR(S13_PSP_Species_Support!AQ9*0.0673*(S13_PSP_Species_Support!AR9*(S13_PSP_Species_Support!AS9*(1-EXP(-S13_PSP_Species_Support!AT9*14))^S13_PSP_Species_Support!AU9)^2*(S13_PSP_Species_Support!AV9*(1-EXP(-S13_PSP_Species_Support!AW9*14))^S13_PSP_Species_Support!AX9))^0.976,0)+IFERROR(S13_PSP_Species_Support!BB9*0.0673*(S13_PSP_Species_Support!BC9*(S13_PSP_Species_Support!BD9*(1-EXP(-S13_PSP_Species_Support!BE9*14))^S13_PSP_Species_Support!BF9)^2*(S13_PSP_Species_Support!BG9*(1-EXP(-S13_PSP_Species_Support!BH9*14))^S13_PSP_Species_Support!BI9))^0.976,0)+IFERROR(S13_PSP_Species_Support!BM9*0.0673*(S13_PSP_Species_Support!BN9*(S13_PSP_Species_Support!BO9*(1-EXP(-S13_PSP_Species_Support!BP9*14))^S13_PSP_Species_Support!BQ9)^2*(S13_PSP_Species_Support!BR9*(1-EXP(-S13_PSP_Species_Support!BS9*14))^S13_PSP_Species_Support!BT9))^0.976,0)+IFERROR(S13_PSP_Species_Support!BX9*0.0673*(S13_PSP_Species_Support!BY9*(S13_PSP_Species_Support!BZ9*(1-EXP(-S13_PSP_Species_Support!CA9*14))^S13_PSP_Species_Support!CB9)^2*(S13_PSP_Species_Support!CC9*(1-EXP(-S13_PSP_Species_Support!CD9*14))^S13_PSP_Species_Support!CE9))^0.976,0)+IFERROR(S13_PSP_Species_Support!CI9*0.0673*(S13_PSP_Species_Support!CJ9*(S13_PSP_Species_Support!CK9*(1-EXP(-S13_PSP_Species_Support!CL9*14))^S13_PSP_Species_Support!CM9)^2*(S13_PSP_Species_Support!CN9*(1-EXP(-S13_PSP_Species_Support!CO9*14))^S13_PSP_Species_Support!CP9))^0.976,0)+IFERROR(S13_PSP_Species_Support!CT9*0.0673*(S13_PSP_Species_Support!CU9*(S13_PSP_Species_Support!CV9*(1-EXP(-S13_PSP_Species_Support!CW9*14))^S13_PSP_Species_Support!CX9)^2*(S13_PSP_Species_Support!CY9*(1-EXP(-S13_PSP_Species_Support!CZ9*14))^S13_PSP_Species_Support!DA9))^0.976,0))/1000/$G22*W$108,0)</x:f>
        <x:v>85.01846783433179</x:v>
      </x:c>
      <x:c r="X22" s="147" t="n">
        <x:f aca="0">IFERROR((IFERROR(S13_PSP_Species_Support!U9*0.0673*(S13_PSP_Species_Support!V9*(S13_PSP_Species_Support!W9*(1-EXP(-S13_PSP_Species_Support!X9*15))^S13_PSP_Species_Support!Y9)^2*(S13_PSP_Species_Support!Z9*(1-EXP(-S13_PSP_Species_Support!AA9*15))^S13_PSP_Species_Support!AB9))^0.976,0)+IFERROR(S13_PSP_Species_Support!AF9*0.0673*(S13_PSP_Species_Support!AG9*(S13_PSP_Species_Support!AH9*(1-EXP(-S13_PSP_Species_Support!AI9*15))^S13_PSP_Species_Support!AJ9)^2*(S13_PSP_Species_Support!AK9*(1-EXP(-S13_PSP_Species_Support!AL9*15))^S13_PSP_Species_Support!AM9))^0.976,0)+IFERROR(S13_PSP_Species_Support!AQ9*0.0673*(S13_PSP_Species_Support!AR9*(S13_PSP_Species_Support!AS9*(1-EXP(-S13_PSP_Species_Support!AT9*15))^S13_PSP_Species_Support!AU9)^2*(S13_PSP_Species_Support!AV9*(1-EXP(-S13_PSP_Species_Support!AW9*15))^S13_PSP_Species_Support!AX9))^0.976,0)+IFERROR(S13_PSP_Species_Support!BB9*0.0673*(S13_PSP_Species_Support!BC9*(S13_PSP_Species_Support!BD9*(1-EXP(-S13_PSP_Species_Support!BE9*15))^S13_PSP_Species_Support!BF9)^2*(S13_PSP_Species_Support!BG9*(1-EXP(-S13_PSP_Species_Support!BH9*15))^S13_PSP_Species_Support!BI9))^0.976,0)+IFERROR(S13_PSP_Species_Support!BM9*0.0673*(S13_PSP_Species_Support!BN9*(S13_PSP_Species_Support!BO9*(1-EXP(-S13_PSP_Species_Support!BP9*15))^S13_PSP_Species_Support!BQ9)^2*(S13_PSP_Species_Support!BR9*(1-EXP(-S13_PSP_Species_Support!BS9*15))^S13_PSP_Species_Support!BT9))^0.976,0)+IFERROR(S13_PSP_Species_Support!BX9*0.0673*(S13_PSP_Species_Support!BY9*(S13_PSP_Species_Support!BZ9*(1-EXP(-S13_PSP_Species_Support!CA9*15))^S13_PSP_Species_Support!CB9)^2*(S13_PSP_Species_Support!CC9*(1-EXP(-S13_PSP_Species_Support!CD9*15))^S13_PSP_Species_Support!CE9))^0.976,0)+IFERROR(S13_PSP_Species_Support!CI9*0.0673*(S13_PSP_Species_Support!CJ9*(S13_PSP_Species_Support!CK9*(1-EXP(-S13_PSP_Species_Support!CL9*15))^S13_PSP_Species_Support!CM9)^2*(S13_PSP_Species_Support!CN9*(1-EXP(-S13_PSP_Species_Support!CO9*15))^S13_PSP_Species_Support!CP9))^0.976,0)+IFERROR(S13_PSP_Species_Support!CT9*0.0673*(S13_PSP_Species_Support!CU9*(S13_PSP_Species_Support!CV9*(1-EXP(-S13_PSP_Species_Support!CW9*15))^S13_PSP_Species_Support!CX9)^2*(S13_PSP_Species_Support!CY9*(1-EXP(-S13_PSP_Species_Support!CZ9*15))^S13_PSP_Species_Support!DA9))^0.976,0))/1000/$G22*X$108,0)</x:f>
        <x:v>89.86095338043216</x:v>
      </x:c>
      <x:c r="Y22" s="147" t="n">
        <x:f aca="0">IFERROR((IFERROR(S13_PSP_Species_Support!U9*0.0673*(S13_PSP_Species_Support!V9*(S13_PSP_Species_Support!W9*(1-EXP(-S13_PSP_Species_Support!X9*16))^S13_PSP_Species_Support!Y9)^2*(S13_PSP_Species_Support!Z9*(1-EXP(-S13_PSP_Species_Support!AA9*16))^S13_PSP_Species_Support!AB9))^0.976,0)+IFERROR(S13_PSP_Species_Support!AF9*0.0673*(S13_PSP_Species_Support!AG9*(S13_PSP_Species_Support!AH9*(1-EXP(-S13_PSP_Species_Support!AI9*16))^S13_PSP_Species_Support!AJ9)^2*(S13_PSP_Species_Support!AK9*(1-EXP(-S13_PSP_Species_Support!AL9*16))^S13_PSP_Species_Support!AM9))^0.976,0)+IFERROR(S13_PSP_Species_Support!AQ9*0.0673*(S13_PSP_Species_Support!AR9*(S13_PSP_Species_Support!AS9*(1-EXP(-S13_PSP_Species_Support!AT9*16))^S13_PSP_Species_Support!AU9)^2*(S13_PSP_Species_Support!AV9*(1-EXP(-S13_PSP_Species_Support!AW9*16))^S13_PSP_Species_Support!AX9))^0.976,0)+IFERROR(S13_PSP_Species_Support!BB9*0.0673*(S13_PSP_Species_Support!BC9*(S13_PSP_Species_Support!BD9*(1-EXP(-S13_PSP_Species_Support!BE9*16))^S13_PSP_Species_Support!BF9)^2*(S13_PSP_Species_Support!BG9*(1-EXP(-S13_PSP_Species_Support!BH9*16))^S13_PSP_Species_Support!BI9))^0.976,0)+IFERROR(S13_PSP_Species_Support!BM9*0.0673*(S13_PSP_Species_Support!BN9*(S13_PSP_Species_Support!BO9*(1-EXP(-S13_PSP_Species_Support!BP9*16))^S13_PSP_Species_Support!BQ9)^2*(S13_PSP_Species_Support!BR9*(1-EXP(-S13_PSP_Species_Support!BS9*16))^S13_PSP_Species_Support!BT9))^0.976,0)+IFERROR(S13_PSP_Species_Support!BX9*0.0673*(S13_PSP_Species_Support!BY9*(S13_PSP_Species_Support!BZ9*(1-EXP(-S13_PSP_Species_Support!CA9*16))^S13_PSP_Species_Support!CB9)^2*(S13_PSP_Species_Support!CC9*(1-EXP(-S13_PSP_Species_Support!CD9*16))^S13_PSP_Species_Support!CE9))^0.976,0)+IFERROR(S13_PSP_Species_Support!CI9*0.0673*(S13_PSP_Species_Support!CJ9*(S13_PSP_Species_Support!CK9*(1-EXP(-S13_PSP_Species_Support!CL9*16))^S13_PSP_Species_Support!CM9)^2*(S13_PSP_Species_Support!CN9*(1-EXP(-S13_PSP_Species_Support!CO9*16))^S13_PSP_Species_Support!CP9))^0.976,0)+IFERROR(S13_PSP_Species_Support!CT9*0.0673*(S13_PSP_Species_Support!CU9*(S13_PSP_Species_Support!CV9*(1-EXP(-S13_PSP_Species_Support!CW9*16))^S13_PSP_Species_Support!CX9)^2*(S13_PSP_Species_Support!CY9*(1-EXP(-S13_PSP_Species_Support!CZ9*16))^S13_PSP_Species_Support!DA9))^0.976,0))/1000/$G22*Y$108,0)</x:f>
        <x:v>94.06046441607269</x:v>
      </x:c>
      <x:c r="Z22" s="147" t="n">
        <x:f aca="0">IFERROR((IFERROR(S13_PSP_Species_Support!U9*0.0673*(S13_PSP_Species_Support!V9*(S13_PSP_Species_Support!W9*(1-EXP(-S13_PSP_Species_Support!X9*17))^S13_PSP_Species_Support!Y9)^2*(S13_PSP_Species_Support!Z9*(1-EXP(-S13_PSP_Species_Support!AA9*17))^S13_PSP_Species_Support!AB9))^0.976,0)+IFERROR(S13_PSP_Species_Support!AF9*0.0673*(S13_PSP_Species_Support!AG9*(S13_PSP_Species_Support!AH9*(1-EXP(-S13_PSP_Species_Support!AI9*17))^S13_PSP_Species_Support!AJ9)^2*(S13_PSP_Species_Support!AK9*(1-EXP(-S13_PSP_Species_Support!AL9*17))^S13_PSP_Species_Support!AM9))^0.976,0)+IFERROR(S13_PSP_Species_Support!AQ9*0.0673*(S13_PSP_Species_Support!AR9*(S13_PSP_Species_Support!AS9*(1-EXP(-S13_PSP_Species_Support!AT9*17))^S13_PSP_Species_Support!AU9)^2*(S13_PSP_Species_Support!AV9*(1-EXP(-S13_PSP_Species_Support!AW9*17))^S13_PSP_Species_Support!AX9))^0.976,0)+IFERROR(S13_PSP_Species_Support!BB9*0.0673*(S13_PSP_Species_Support!BC9*(S13_PSP_Species_Support!BD9*(1-EXP(-S13_PSP_Species_Support!BE9*17))^S13_PSP_Species_Support!BF9)^2*(S13_PSP_Species_Support!BG9*(1-EXP(-S13_PSP_Species_Support!BH9*17))^S13_PSP_Species_Support!BI9))^0.976,0)+IFERROR(S13_PSP_Species_Support!BM9*0.0673*(S13_PSP_Species_Support!BN9*(S13_PSP_Species_Support!BO9*(1-EXP(-S13_PSP_Species_Support!BP9*17))^S13_PSP_Species_Support!BQ9)^2*(S13_PSP_Species_Support!BR9*(1-EXP(-S13_PSP_Species_Support!BS9*17))^S13_PSP_Species_Support!BT9))^0.976,0)+IFERROR(S13_PSP_Species_Support!BX9*0.0673*(S13_PSP_Species_Support!BY9*(S13_PSP_Species_Support!BZ9*(1-EXP(-S13_PSP_Species_Support!CA9*17))^S13_PSP_Species_Support!CB9)^2*(S13_PSP_Species_Support!CC9*(1-EXP(-S13_PSP_Species_Support!CD9*17))^S13_PSP_Species_Support!CE9))^0.976,0)+IFERROR(S13_PSP_Species_Support!CI9*0.0673*(S13_PSP_Species_Support!CJ9*(S13_PSP_Species_Support!CK9*(1-EXP(-S13_PSP_Species_Support!CL9*17))^S13_PSP_Species_Support!CM9)^2*(S13_PSP_Species_Support!CN9*(1-EXP(-S13_PSP_Species_Support!CO9*17))^S13_PSP_Species_Support!CP9))^0.976,0)+IFERROR(S13_PSP_Species_Support!CT9*0.0673*(S13_PSP_Species_Support!CU9*(S13_PSP_Species_Support!CV9*(1-EXP(-S13_PSP_Species_Support!CW9*17))^S13_PSP_Species_Support!CX9)^2*(S13_PSP_Species_Support!CY9*(1-EXP(-S13_PSP_Species_Support!CZ9*17))^S13_PSP_Species_Support!DA9))^0.976,0))/1000/$G22*Z$108,0)</x:f>
        <x:v>97.68307466596869</x:v>
      </x:c>
      <x:c r="AA22" s="147" t="n">
        <x:f aca="0">IFERROR((IFERROR(S13_PSP_Species_Support!U9*0.0673*(S13_PSP_Species_Support!V9*(S13_PSP_Species_Support!W9*(1-EXP(-S13_PSP_Species_Support!X9*18))^S13_PSP_Species_Support!Y9)^2*(S13_PSP_Species_Support!Z9*(1-EXP(-S13_PSP_Species_Support!AA9*18))^S13_PSP_Species_Support!AB9))^0.976,0)+IFERROR(S13_PSP_Species_Support!AF9*0.0673*(S13_PSP_Species_Support!AG9*(S13_PSP_Species_Support!AH9*(1-EXP(-S13_PSP_Species_Support!AI9*18))^S13_PSP_Species_Support!AJ9)^2*(S13_PSP_Species_Support!AK9*(1-EXP(-S13_PSP_Species_Support!AL9*18))^S13_PSP_Species_Support!AM9))^0.976,0)+IFERROR(S13_PSP_Species_Support!AQ9*0.0673*(S13_PSP_Species_Support!AR9*(S13_PSP_Species_Support!AS9*(1-EXP(-S13_PSP_Species_Support!AT9*18))^S13_PSP_Species_Support!AU9)^2*(S13_PSP_Species_Support!AV9*(1-EXP(-S13_PSP_Species_Support!AW9*18))^S13_PSP_Species_Support!AX9))^0.976,0)+IFERROR(S13_PSP_Species_Support!BB9*0.0673*(S13_PSP_Species_Support!BC9*(S13_PSP_Species_Support!BD9*(1-EXP(-S13_PSP_Species_Support!BE9*18))^S13_PSP_Species_Support!BF9)^2*(S13_PSP_Species_Support!BG9*(1-EXP(-S13_PSP_Species_Support!BH9*18))^S13_PSP_Species_Support!BI9))^0.976,0)+IFERROR(S13_PSP_Species_Support!BM9*0.0673*(S13_PSP_Species_Support!BN9*(S13_PSP_Species_Support!BO9*(1-EXP(-S13_PSP_Species_Support!BP9*18))^S13_PSP_Species_Support!BQ9)^2*(S13_PSP_Species_Support!BR9*(1-EXP(-S13_PSP_Species_Support!BS9*18))^S13_PSP_Species_Support!BT9))^0.976,0)+IFERROR(S13_PSP_Species_Support!BX9*0.0673*(S13_PSP_Species_Support!BY9*(S13_PSP_Species_Support!BZ9*(1-EXP(-S13_PSP_Species_Support!CA9*18))^S13_PSP_Species_Support!CB9)^2*(S13_PSP_Species_Support!CC9*(1-EXP(-S13_PSP_Species_Support!CD9*18))^S13_PSP_Species_Support!CE9))^0.976,0)+IFERROR(S13_PSP_Species_Support!CI9*0.0673*(S13_PSP_Species_Support!CJ9*(S13_PSP_Species_Support!CK9*(1-EXP(-S13_PSP_Species_Support!CL9*18))^S13_PSP_Species_Support!CM9)^2*(S13_PSP_Species_Support!CN9*(1-EXP(-S13_PSP_Species_Support!CO9*18))^S13_PSP_Species_Support!CP9))^0.976,0)+IFERROR(S13_PSP_Species_Support!CT9*0.0673*(S13_PSP_Species_Support!CU9*(S13_PSP_Species_Support!CV9*(1-EXP(-S13_PSP_Species_Support!CW9*18))^S13_PSP_Species_Support!CX9)^2*(S13_PSP_Species_Support!CY9*(1-EXP(-S13_PSP_Species_Support!CZ9*18))^S13_PSP_Species_Support!DA9))^0.976,0))/1000/$G22*AA$108,0)</x:f>
        <x:v>100.79530426769045</x:v>
      </x:c>
      <x:c r="AB22" s="147" t="n">
        <x:f aca="0">IFERROR((IFERROR(S13_PSP_Species_Support!U9*0.0673*(S13_PSP_Species_Support!V9*(S13_PSP_Species_Support!W9*(1-EXP(-S13_PSP_Species_Support!X9*19))^S13_PSP_Species_Support!Y9)^2*(S13_PSP_Species_Support!Z9*(1-EXP(-S13_PSP_Species_Support!AA9*19))^S13_PSP_Species_Support!AB9))^0.976,0)+IFERROR(S13_PSP_Species_Support!AF9*0.0673*(S13_PSP_Species_Support!AG9*(S13_PSP_Species_Support!AH9*(1-EXP(-S13_PSP_Species_Support!AI9*19))^S13_PSP_Species_Support!AJ9)^2*(S13_PSP_Species_Support!AK9*(1-EXP(-S13_PSP_Species_Support!AL9*19))^S13_PSP_Species_Support!AM9))^0.976,0)+IFERROR(S13_PSP_Species_Support!AQ9*0.0673*(S13_PSP_Species_Support!AR9*(S13_PSP_Species_Support!AS9*(1-EXP(-S13_PSP_Species_Support!AT9*19))^S13_PSP_Species_Support!AU9)^2*(S13_PSP_Species_Support!AV9*(1-EXP(-S13_PSP_Species_Support!AW9*19))^S13_PSP_Species_Support!AX9))^0.976,0)+IFERROR(S13_PSP_Species_Support!BB9*0.0673*(S13_PSP_Species_Support!BC9*(S13_PSP_Species_Support!BD9*(1-EXP(-S13_PSP_Species_Support!BE9*19))^S13_PSP_Species_Support!BF9)^2*(S13_PSP_Species_Support!BG9*(1-EXP(-S13_PSP_Species_Support!BH9*19))^S13_PSP_Species_Support!BI9))^0.976,0)+IFERROR(S13_PSP_Species_Support!BM9*0.0673*(S13_PSP_Species_Support!BN9*(S13_PSP_Species_Support!BO9*(1-EXP(-S13_PSP_Species_Support!BP9*19))^S13_PSP_Species_Support!BQ9)^2*(S13_PSP_Species_Support!BR9*(1-EXP(-S13_PSP_Species_Support!BS9*19))^S13_PSP_Species_Support!BT9))^0.976,0)+IFERROR(S13_PSP_Species_Support!BX9*0.0673*(S13_PSP_Species_Support!BY9*(S13_PSP_Species_Support!BZ9*(1-EXP(-S13_PSP_Species_Support!CA9*19))^S13_PSP_Species_Support!CB9)^2*(S13_PSP_Species_Support!CC9*(1-EXP(-S13_PSP_Species_Support!CD9*19))^S13_PSP_Species_Support!CE9))^0.976,0)+IFERROR(S13_PSP_Species_Support!CI9*0.0673*(S13_PSP_Species_Support!CJ9*(S13_PSP_Species_Support!CK9*(1-EXP(-S13_PSP_Species_Support!CL9*19))^S13_PSP_Species_Support!CM9)^2*(S13_PSP_Species_Support!CN9*(1-EXP(-S13_PSP_Species_Support!CO9*19))^S13_PSP_Species_Support!CP9))^0.976,0)+IFERROR(S13_PSP_Species_Support!CT9*0.0673*(S13_PSP_Species_Support!CU9*(S13_PSP_Species_Support!CV9*(1-EXP(-S13_PSP_Species_Support!CW9*19))^S13_PSP_Species_Support!CX9)^2*(S13_PSP_Species_Support!CY9*(1-EXP(-S13_PSP_Species_Support!CZ9*19))^S13_PSP_Species_Support!DA9))^0.976,0))/1000/$G22*AB$108,0)</x:f>
        <x:v>103.46075655211405</x:v>
      </x:c>
      <x:c r="AC22" s="147" t="n">
        <x:f aca="0">IFERROR((IFERROR(S13_PSP_Species_Support!U9*0.0673*(S13_PSP_Species_Support!V9*(S13_PSP_Species_Support!W9*(1-EXP(-S13_PSP_Species_Support!X9*20))^S13_PSP_Species_Support!Y9)^2*(S13_PSP_Species_Support!Z9*(1-EXP(-S13_PSP_Species_Support!AA9*20))^S13_PSP_Species_Support!AB9))^0.976,0)+IFERROR(S13_PSP_Species_Support!AF9*0.0673*(S13_PSP_Species_Support!AG9*(S13_PSP_Species_Support!AH9*(1-EXP(-S13_PSP_Species_Support!AI9*20))^S13_PSP_Species_Support!AJ9)^2*(S13_PSP_Species_Support!AK9*(1-EXP(-S13_PSP_Species_Support!AL9*20))^S13_PSP_Species_Support!AM9))^0.976,0)+IFERROR(S13_PSP_Species_Support!AQ9*0.0673*(S13_PSP_Species_Support!AR9*(S13_PSP_Species_Support!AS9*(1-EXP(-S13_PSP_Species_Support!AT9*20))^S13_PSP_Species_Support!AU9)^2*(S13_PSP_Species_Support!AV9*(1-EXP(-S13_PSP_Species_Support!AW9*20))^S13_PSP_Species_Support!AX9))^0.976,0)+IFERROR(S13_PSP_Species_Support!BB9*0.0673*(S13_PSP_Species_Support!BC9*(S13_PSP_Species_Support!BD9*(1-EXP(-S13_PSP_Species_Support!BE9*20))^S13_PSP_Species_Support!BF9)^2*(S13_PSP_Species_Support!BG9*(1-EXP(-S13_PSP_Species_Support!BH9*20))^S13_PSP_Species_Support!BI9))^0.976,0)+IFERROR(S13_PSP_Species_Support!BM9*0.0673*(S13_PSP_Species_Support!BN9*(S13_PSP_Species_Support!BO9*(1-EXP(-S13_PSP_Species_Support!BP9*20))^S13_PSP_Species_Support!BQ9)^2*(S13_PSP_Species_Support!BR9*(1-EXP(-S13_PSP_Species_Support!BS9*20))^S13_PSP_Species_Support!BT9))^0.976,0)+IFERROR(S13_PSP_Species_Support!BX9*0.0673*(S13_PSP_Species_Support!BY9*(S13_PSP_Species_Support!BZ9*(1-EXP(-S13_PSP_Species_Support!CA9*20))^S13_PSP_Species_Support!CB9)^2*(S13_PSP_Species_Support!CC9*(1-EXP(-S13_PSP_Species_Support!CD9*20))^S13_PSP_Species_Support!CE9))^0.976,0)+IFERROR(S13_PSP_Species_Support!CI9*0.0673*(S13_PSP_Species_Support!CJ9*(S13_PSP_Species_Support!CK9*(1-EXP(-S13_PSP_Species_Support!CL9*20))^S13_PSP_Species_Support!CM9)^2*(S13_PSP_Species_Support!CN9*(1-EXP(-S13_PSP_Species_Support!CO9*20))^S13_PSP_Species_Support!CP9))^0.976,0)+IFERROR(S13_PSP_Species_Support!CT9*0.0673*(S13_PSP_Species_Support!CU9*(S13_PSP_Species_Support!CV9*(1-EXP(-S13_PSP_Species_Support!CW9*20))^S13_PSP_Species_Support!CX9)^2*(S13_PSP_Species_Support!CY9*(1-EXP(-S13_PSP_Species_Support!CZ9*20))^S13_PSP_Species_Support!DA9))^0.976,0))/1000/$G22*AC$108,0)</x:f>
        <x:v>105.73823730568401</x:v>
      </x:c>
      <x:c r="AD22" s="148" t="n">
        <x:f aca="0">IF(2020&lt;$F22,0,INDEX($I22:$AC22,1,2020-$F22+1))</x:f>
        <x:v>0</x:v>
      </x:c>
      <x:c r="AE22" s="148" t="n">
        <x:f aca="0">IF(2021&lt;$F22,0,INDEX($I22:$AC22,1,2021-$F22+1))</x:f>
        <x:v>0</x:v>
      </x:c>
      <x:c r="AF22" s="148" t="n">
        <x:f aca="0">IF(2022&lt;$F22,0,INDEX($I22:$AC22,1,2022-$F22+1))</x:f>
        <x:v>0</x:v>
      </x:c>
      <x:c r="AG22" s="148" t="n">
        <x:f aca="0">IF(2023&lt;$F22,0,INDEX($I22:$AC22,1,2023-$F22+1))</x:f>
        <x:v>0.07234222910793725</x:v>
      </x:c>
      <x:c r="AH22" s="148" t="n">
        <x:f aca="0">IF(2024&lt;$F22,0,INDEX($I22:$AC22,1,2024-$F22+1))</x:f>
        <x:v>0.916646499740899</x:v>
      </x:c>
      <x:c r="AI22" s="148" t="n">
        <x:f aca="0">IF(2025&lt;$F22,0,INDEX($I22:$AC22,1,2025-$F22+1))</x:f>
        <x:v>3.4831002966220814</x:v>
      </x:c>
      <x:c r="AJ22" s="148" t="n">
        <x:f aca="0">IF(2026&lt;$F22,0,INDEX($I22:$AC22,1,2026-$F22+1))</x:f>
        <x:v>8.198531857990798</x:v>
      </x:c>
      <x:c r="AK22" s="148" t="n">
        <x:f aca="0">IF(2027&lt;$F22,0,INDEX($I22:$AC22,1,2027-$F22+1))</x:f>
        <x:v>14.855210261500368</x:v>
      </x:c>
      <x:c r="AL22" s="148" t="n">
        <x:f aca="0">IF(2028&lt;$F22,0,INDEX($I22:$AC22,1,2028-$F22+1))</x:f>
        <x:v>22.924458900023303</x:v>
      </x:c>
      <x:c r="AM22" s="148" t="n">
        <x:f aca="0">IF(2029&lt;$F22,0,INDEX($I22:$AC22,1,2029-$F22+1))</x:f>
        <x:v>31.79318140868456</x:v>
      </x:c>
      <x:c r="AN22" s="148" t="n">
        <x:f aca="0">IF(2030&lt;$F22,0,INDEX($I22:$AC22,1,2030-$F22+1))</x:f>
        <x:v>40.910087484142075</x:v>
      </x:c>
      <x:c r="AO22" s="148" t="n">
        <x:f aca="0">IF(2031&lt;$F22,0,INDEX($I22:$AC22,1,2031-$F22+1))</x:f>
        <x:v>49.847175907142706</x:v>
      </x:c>
      <x:c r="AP22" s="148" t="n">
        <x:f aca="0">IF(2032&lt;$F22,0,INDEX($I22:$AC22,1,2032-$F22+1))</x:f>
        <x:v>58.30890424759548</x:v>
      </x:c>
      <x:c r="AQ22" s="148" t="n">
        <x:f aca="0">IF(2033&lt;$F22,0,INDEX($I22:$AC22,1,2033-$F22+1))</x:f>
        <x:v>66.11566647800913</x:v>
      </x:c>
      <x:c r="AR22" s="148" t="n">
        <x:f aca="0">IF(2034&lt;$F22,0,INDEX($I22:$AC22,1,2034-$F22+1))</x:f>
        <x:v>73.17835205740025</x:v>
      </x:c>
      <x:c r="AS22" s="148" t="n">
        <x:f aca="0">IF(2035&lt;$F22,0,INDEX($I22:$AC22,1,2035-$F22+1))</x:f>
        <x:v>79.47286775406586</x:v>
      </x:c>
      <x:c r="AT22" s="148" t="n">
        <x:f aca="0">IF(2036&lt;$F22,0,INDEX($I22:$AC22,1,2036-$F22+1))</x:f>
        <x:v>85.01846783433179</x:v>
      </x:c>
      <x:c r="AU22" s="148" t="n">
        <x:f aca="0">IF(2037&lt;$F22,0,INDEX($I22:$AC22,1,2037-$F22+1))</x:f>
        <x:v>89.86095338043216</x:v>
      </x:c>
      <x:c r="AV22" s="148" t="n">
        <x:f aca="0">IF(2038&lt;$F22,0,INDEX($I22:$AC22,1,2038-$F22+1))</x:f>
        <x:v>94.06046441607269</x:v>
      </x:c>
      <x:c r="AW22" s="148" t="n">
        <x:f aca="0">IF(2039&lt;$F22,0,INDEX($I22:$AC22,1,2039-$F22+1))</x:f>
        <x:v>97.68307466596869</x:v>
      </x:c>
      <x:c r="AX22" s="148" t="n">
        <x:f aca="0">IF(2040&lt;$F22,0,INDEX($I22:$AC22,1,2040-$F22+1))</x:f>
        <x:v>100.79530426769045</x:v>
      </x:c>
      <x:c r="AY22" s="1" t="str">
        <x:f aca="0">LEFT($C22,FIND("@",SUBSTITUTE($C22,"|","@",2))-1)</x:f>
        <x:v>Fruit Orchard|High</x:v>
      </x:c>
      <x:c r="AZ22" s="1" t="str">
        <x:f aca="0">LEFT($C22,FIND("|",$C22)-1)</x:f>
        <x:v>Fruit Orchard</x:v>
      </x:c>
      <x:c r="BA22" s="149" t="n">
        <x:f aca="0">I22*I22</x:f>
        <x:v>0</x:v>
      </x:c>
      <x:c r="BB22" s="149" t="n">
        <x:f aca="0">J22*J22</x:f>
        <x:v>0.005233398112305283</x:v>
      </x:c>
      <x:c r="BC22" s="149" t="n">
        <x:f aca="0">K22*K22</x:f>
        <x:v>0.8402408054872419</x:v>
      </x:c>
      <x:c r="BD22" s="149" t="n">
        <x:f aca="0">L22*L22</x:f>
        <x:v>12.131987676328832</x:v>
      </x:c>
      <x:c r="BE22" s="149" t="n">
        <x:f aca="0">M22*M22</x:f>
        <x:v>67.21592462649004</x:v>
      </x:c>
      <x:c r="BF22" s="149" t="n">
        <x:f aca="0">N22*N22</x:f>
        <x:v>220.67727191338582</x:v>
      </x:c>
      <x:c r="BG22" s="149" t="n">
        <x:f aca="0">O22*O22</x:f>
        <x:v>525.5308158588576</x:v>
      </x:c>
      <x:c r="BH22" s="149" t="n">
        <x:f aca="0">P22*P22</x:f>
        <x:v>1010.8063840855256</x:v>
      </x:c>
      <x:c r="BI22" s="149" t="n">
        <x:f aca="0">Q22*Q22</x:f>
        <x:v>1673.635257960158</x:v>
      </x:c>
      <x:c r="BJ22" s="149" t="n">
        <x:f aca="0">R22*R22</x:f>
        <x:v>2484.7409459176283</x:v>
      </x:c>
      <x:c r="BK22" s="149" t="n">
        <x:f aca="0">S22*S22</x:f>
        <x:v>3399.928314555258</x:v>
      </x:c>
      <x:c r="BL22" s="149" t="n">
        <x:f aca="0">T22*T22</x:f>
        <x:v>4371.28135383134</x:v>
      </x:c>
      <x:c r="BM22" s="149" t="n">
        <x:f aca="0">U22*U22</x:f>
        <x:v>5355.071209836815</x:v>
      </x:c>
      <x:c r="BN22" s="149" t="n">
        <x:f aca="0">V22*V22</x:f>
        <x:v>6315.936709055241</x:v>
      </x:c>
      <x:c r="BO22" s="149" t="n">
        <x:f aca="0">W22*W22</x:f>
        <x:v>7228.139872897309</x:v>
      </x:c>
      <x:c r="BP22" s="149" t="n">
        <x:f aca="0">X22*X22</x:f>
        <x:v>8074.990942440203</x:v>
      </x:c>
      <x:c r="BQ22" s="149" t="n">
        <x:f aca="0">Y22*Y22</x:f>
        <x:v>8847.370966167276</x:v>
      </x:c>
      <x:c r="BR22" s="149" t="n">
        <x:f aca="0">Z22*Z22</x:f>
        <x:v>9541.983076197213</x:v>
      </x:c>
      <x:c r="BS22" s="149" t="n">
        <x:f aca="0">AA22*AA22</x:f>
        <x:v>10159.693362416298</x:v>
      </x:c>
      <x:c r="BT22" s="149" t="n">
        <x:f aca="0">AB22*AB22</x:f>
        <x:v>10704.12814633581</x:v>
      </x:c>
      <x:c r="BU22" s="149" t="n">
        <x:f aca="0">AC22*AC22</x:f>
        <x:v>11180.574828513145</x:v>
      </x:c>
    </x:row>
    <x:row r="23" ht="15" hidden="0" customHeight="1">
      <x:c r="A23" s="1" t="str">
        <x:f aca="0">S13_PSP_Species_Support!A10</x:f>
        <x:v>PSP-FO-009</x:v>
      </x:c>
      <x:c r="B23" s="1" t="n">
        <x:f aca="0">10</x:f>
        <x:v>10</x:v>
      </x:c>
      <x:c r="C23" s="1" t="str">
        <x:f aca="0">S13_PSP_Species_Support!I10</x:f>
        <x:v>Fruit Orchard|Medium|2022</x:v>
      </x:c>
      <x:c r="D23" s="1" t="str">
        <x:f aca="0">S13_PSP_Species_Support!C10</x:f>
        <x:v>Fruit Orchard (Block)</x:v>
      </x:c>
      <x:c r="E23" s="1" t="str">
        <x:f aca="0">S13_PSP_Species_Support!D10</x:f>
        <x:v>Medium</x:v>
      </x:c>
      <x:c r="F23" s="1" t="n">
        <x:f aca="0">S13_PSP_Species_Support!E10</x:f>
        <x:v>2022</x:v>
      </x:c>
      <x:c r="G23" s="645" t="n">
        <x:f aca="0">'S13_PSP_Species_Support'!DJ10</x:f>
        <x:v>0.09</x:v>
      </x:c>
      <x:c r="H23" s="714" t="n">
        <x:f aca="0">'S13_PSP_Species_Support'!DK10</x:f>
        <x:v>30.085146641438033</x:v>
      </x:c>
      <x:c r="I23" s="147" t="n">
        <x:f aca="0">IFERROR((IFERROR(S13_PSP_Species_Support!U10*0.0673*(S13_PSP_Species_Support!V10*(S13_PSP_Species_Support!W10*(1-EXP(-S13_PSP_Species_Support!X10*0))^S13_PSP_Species_Support!Y10)^2*(S13_PSP_Species_Support!Z10*(1-EXP(-S13_PSP_Species_Support!AA10*0))^S13_PSP_Species_Support!AB10))^0.976,0)+IFERROR(S13_PSP_Species_Support!AF10*0.0673*(S13_PSP_Species_Support!AG10*(S13_PSP_Species_Support!AH10*(1-EXP(-S13_PSP_Species_Support!AI10*0))^S13_PSP_Species_Support!AJ10)^2*(S13_PSP_Species_Support!AK10*(1-EXP(-S13_PSP_Species_Support!AL10*0))^S13_PSP_Species_Support!AM10))^0.976,0)+IFERROR(S13_PSP_Species_Support!AQ10*0.0673*(S13_PSP_Species_Support!AR10*(S13_PSP_Species_Support!AS10*(1-EXP(-S13_PSP_Species_Support!AT10*0))^S13_PSP_Species_Support!AU10)^2*(S13_PSP_Species_Support!AV10*(1-EXP(-S13_PSP_Species_Support!AW10*0))^S13_PSP_Species_Support!AX10))^0.976,0)+IFERROR(S13_PSP_Species_Support!BB10*0.0673*(S13_PSP_Species_Support!BC10*(S13_PSP_Species_Support!BD10*(1-EXP(-S13_PSP_Species_Support!BE10*0))^S13_PSP_Species_Support!BF10)^2*(S13_PSP_Species_Support!BG10*(1-EXP(-S13_PSP_Species_Support!BH10*0))^S13_PSP_Species_Support!BI10))^0.976,0)+IFERROR(S13_PSP_Species_Support!BM10*0.0673*(S13_PSP_Species_Support!BN10*(S13_PSP_Species_Support!BO10*(1-EXP(-S13_PSP_Species_Support!BP10*0))^S13_PSP_Species_Support!BQ10)^2*(S13_PSP_Species_Support!BR10*(1-EXP(-S13_PSP_Species_Support!BS10*0))^S13_PSP_Species_Support!BT10))^0.976,0)+IFERROR(S13_PSP_Species_Support!BX10*0.0673*(S13_PSP_Species_Support!BY10*(S13_PSP_Species_Support!BZ10*(1-EXP(-S13_PSP_Species_Support!CA10*0))^S13_PSP_Species_Support!CB10)^2*(S13_PSP_Species_Support!CC10*(1-EXP(-S13_PSP_Species_Support!CD10*0))^S13_PSP_Species_Support!CE10))^0.976,0)+IFERROR(S13_PSP_Species_Support!CI10*0.0673*(S13_PSP_Species_Support!CJ10*(S13_PSP_Species_Support!CK10*(1-EXP(-S13_PSP_Species_Support!CL10*0))^S13_PSP_Species_Support!CM10)^2*(S13_PSP_Species_Support!CN10*(1-EXP(-S13_PSP_Species_Support!CO10*0))^S13_PSP_Species_Support!CP10))^0.976,0)+IFERROR(S13_PSP_Species_Support!CT10*0.0673*(S13_PSP_Species_Support!CU10*(S13_PSP_Species_Support!CV10*(1-EXP(-S13_PSP_Species_Support!CW10*0))^S13_PSP_Species_Support!CX10)^2*(S13_PSP_Species_Support!CY10*(1-EXP(-S13_PSP_Species_Support!CZ10*0))^S13_PSP_Species_Support!DA10))^0.976,0))/1000/$G23*I$108,0)</x:f>
        <x:v>0</x:v>
      </x:c>
      <x:c r="J23" s="147" t="n">
        <x:f aca="0">IFERROR((IFERROR(S13_PSP_Species_Support!U10*0.0673*(S13_PSP_Species_Support!V10*(S13_PSP_Species_Support!W10*(1-EXP(-S13_PSP_Species_Support!X10*1))^S13_PSP_Species_Support!Y10)^2*(S13_PSP_Species_Support!Z10*(1-EXP(-S13_PSP_Species_Support!AA10*1))^S13_PSP_Species_Support!AB10))^0.976,0)+IFERROR(S13_PSP_Species_Support!AF10*0.0673*(S13_PSP_Species_Support!AG10*(S13_PSP_Species_Support!AH10*(1-EXP(-S13_PSP_Species_Support!AI10*1))^S13_PSP_Species_Support!AJ10)^2*(S13_PSP_Species_Support!AK10*(1-EXP(-S13_PSP_Species_Support!AL10*1))^S13_PSP_Species_Support!AM10))^0.976,0)+IFERROR(S13_PSP_Species_Support!AQ10*0.0673*(S13_PSP_Species_Support!AR10*(S13_PSP_Species_Support!AS10*(1-EXP(-S13_PSP_Species_Support!AT10*1))^S13_PSP_Species_Support!AU10)^2*(S13_PSP_Species_Support!AV10*(1-EXP(-S13_PSP_Species_Support!AW10*1))^S13_PSP_Species_Support!AX10))^0.976,0)+IFERROR(S13_PSP_Species_Support!BB10*0.0673*(S13_PSP_Species_Support!BC10*(S13_PSP_Species_Support!BD10*(1-EXP(-S13_PSP_Species_Support!BE10*1))^S13_PSP_Species_Support!BF10)^2*(S13_PSP_Species_Support!BG10*(1-EXP(-S13_PSP_Species_Support!BH10*1))^S13_PSP_Species_Support!BI10))^0.976,0)+IFERROR(S13_PSP_Species_Support!BM10*0.0673*(S13_PSP_Species_Support!BN10*(S13_PSP_Species_Support!BO10*(1-EXP(-S13_PSP_Species_Support!BP10*1))^S13_PSP_Species_Support!BQ10)^2*(S13_PSP_Species_Support!BR10*(1-EXP(-S13_PSP_Species_Support!BS10*1))^S13_PSP_Species_Support!BT10))^0.976,0)+IFERROR(S13_PSP_Species_Support!BX10*0.0673*(S13_PSP_Species_Support!BY10*(S13_PSP_Species_Support!BZ10*(1-EXP(-S13_PSP_Species_Support!CA10*1))^S13_PSP_Species_Support!CB10)^2*(S13_PSP_Species_Support!CC10*(1-EXP(-S13_PSP_Species_Support!CD10*1))^S13_PSP_Species_Support!CE10))^0.976,0)+IFERROR(S13_PSP_Species_Support!CI10*0.0673*(S13_PSP_Species_Support!CJ10*(S13_PSP_Species_Support!CK10*(1-EXP(-S13_PSP_Species_Support!CL10*1))^S13_PSP_Species_Support!CM10)^2*(S13_PSP_Species_Support!CN10*(1-EXP(-S13_PSP_Species_Support!CO10*1))^S13_PSP_Species_Support!CP10))^0.976,0)+IFERROR(S13_PSP_Species_Support!CT10*0.0673*(S13_PSP_Species_Support!CU10*(S13_PSP_Species_Support!CV10*(1-EXP(-S13_PSP_Species_Support!CW10*1))^S13_PSP_Species_Support!CX10)^2*(S13_PSP_Species_Support!CY10*(1-EXP(-S13_PSP_Species_Support!CZ10*1))^S13_PSP_Species_Support!DA10))^0.976,0))/1000/$G23*J$108,0)</x:f>
        <x:v>0.0435552056628852</x:v>
      </x:c>
      <x:c r="K23" s="147" t="n">
        <x:f aca="0">IFERROR((IFERROR(S13_PSP_Species_Support!U10*0.0673*(S13_PSP_Species_Support!V10*(S13_PSP_Species_Support!W10*(1-EXP(-S13_PSP_Species_Support!X10*2))^S13_PSP_Species_Support!Y10)^2*(S13_PSP_Species_Support!Z10*(1-EXP(-S13_PSP_Species_Support!AA10*2))^S13_PSP_Species_Support!AB10))^0.976,0)+IFERROR(S13_PSP_Species_Support!AF10*0.0673*(S13_PSP_Species_Support!AG10*(S13_PSP_Species_Support!AH10*(1-EXP(-S13_PSP_Species_Support!AI10*2))^S13_PSP_Species_Support!AJ10)^2*(S13_PSP_Species_Support!AK10*(1-EXP(-S13_PSP_Species_Support!AL10*2))^S13_PSP_Species_Support!AM10))^0.976,0)+IFERROR(S13_PSP_Species_Support!AQ10*0.0673*(S13_PSP_Species_Support!AR10*(S13_PSP_Species_Support!AS10*(1-EXP(-S13_PSP_Species_Support!AT10*2))^S13_PSP_Species_Support!AU10)^2*(S13_PSP_Species_Support!AV10*(1-EXP(-S13_PSP_Species_Support!AW10*2))^S13_PSP_Species_Support!AX10))^0.976,0)+IFERROR(S13_PSP_Species_Support!BB10*0.0673*(S13_PSP_Species_Support!BC10*(S13_PSP_Species_Support!BD10*(1-EXP(-S13_PSP_Species_Support!BE10*2))^S13_PSP_Species_Support!BF10)^2*(S13_PSP_Species_Support!BG10*(1-EXP(-S13_PSP_Species_Support!BH10*2))^S13_PSP_Species_Support!BI10))^0.976,0)+IFERROR(S13_PSP_Species_Support!BM10*0.0673*(S13_PSP_Species_Support!BN10*(S13_PSP_Species_Support!BO10*(1-EXP(-S13_PSP_Species_Support!BP10*2))^S13_PSP_Species_Support!BQ10)^2*(S13_PSP_Species_Support!BR10*(1-EXP(-S13_PSP_Species_Support!BS10*2))^S13_PSP_Species_Support!BT10))^0.976,0)+IFERROR(S13_PSP_Species_Support!BX10*0.0673*(S13_PSP_Species_Support!BY10*(S13_PSP_Species_Support!BZ10*(1-EXP(-S13_PSP_Species_Support!CA10*2))^S13_PSP_Species_Support!CB10)^2*(S13_PSP_Species_Support!CC10*(1-EXP(-S13_PSP_Species_Support!CD10*2))^S13_PSP_Species_Support!CE10))^0.976,0)+IFERROR(S13_PSP_Species_Support!CI10*0.0673*(S13_PSP_Species_Support!CJ10*(S13_PSP_Species_Support!CK10*(1-EXP(-S13_PSP_Species_Support!CL10*2))^S13_PSP_Species_Support!CM10)^2*(S13_PSP_Species_Support!CN10*(1-EXP(-S13_PSP_Species_Support!CO10*2))^S13_PSP_Species_Support!CP10))^0.976,0)+IFERROR(S13_PSP_Species_Support!CT10*0.0673*(S13_PSP_Species_Support!CU10*(S13_PSP_Species_Support!CV10*(1-EXP(-S13_PSP_Species_Support!CW10*2))^S13_PSP_Species_Support!CX10)^2*(S13_PSP_Species_Support!CY10*(1-EXP(-S13_PSP_Species_Support!CZ10*2))^S13_PSP_Species_Support!DA10))^0.976,0))/1000/$G23*K$108,0)</x:f>
        <x:v>0.5430348388636026</x:v>
      </x:c>
      <x:c r="L23" s="147" t="n">
        <x:f aca="0">IFERROR((IFERROR(S13_PSP_Species_Support!U10*0.0673*(S13_PSP_Species_Support!V10*(S13_PSP_Species_Support!W10*(1-EXP(-S13_PSP_Species_Support!X10*3))^S13_PSP_Species_Support!Y10)^2*(S13_PSP_Species_Support!Z10*(1-EXP(-S13_PSP_Species_Support!AA10*3))^S13_PSP_Species_Support!AB10))^0.976,0)+IFERROR(S13_PSP_Species_Support!AF10*0.0673*(S13_PSP_Species_Support!AG10*(S13_PSP_Species_Support!AH10*(1-EXP(-S13_PSP_Species_Support!AI10*3))^S13_PSP_Species_Support!AJ10)^2*(S13_PSP_Species_Support!AK10*(1-EXP(-S13_PSP_Species_Support!AL10*3))^S13_PSP_Species_Support!AM10))^0.976,0)+IFERROR(S13_PSP_Species_Support!AQ10*0.0673*(S13_PSP_Species_Support!AR10*(S13_PSP_Species_Support!AS10*(1-EXP(-S13_PSP_Species_Support!AT10*3))^S13_PSP_Species_Support!AU10)^2*(S13_PSP_Species_Support!AV10*(1-EXP(-S13_PSP_Species_Support!AW10*3))^S13_PSP_Species_Support!AX10))^0.976,0)+IFERROR(S13_PSP_Species_Support!BB10*0.0673*(S13_PSP_Species_Support!BC10*(S13_PSP_Species_Support!BD10*(1-EXP(-S13_PSP_Species_Support!BE10*3))^S13_PSP_Species_Support!BF10)^2*(S13_PSP_Species_Support!BG10*(1-EXP(-S13_PSP_Species_Support!BH10*3))^S13_PSP_Species_Support!BI10))^0.976,0)+IFERROR(S13_PSP_Species_Support!BM10*0.0673*(S13_PSP_Species_Support!BN10*(S13_PSP_Species_Support!BO10*(1-EXP(-S13_PSP_Species_Support!BP10*3))^S13_PSP_Species_Support!BQ10)^2*(S13_PSP_Species_Support!BR10*(1-EXP(-S13_PSP_Species_Support!BS10*3))^S13_PSP_Species_Support!BT10))^0.976,0)+IFERROR(S13_PSP_Species_Support!BX10*0.0673*(S13_PSP_Species_Support!BY10*(S13_PSP_Species_Support!BZ10*(1-EXP(-S13_PSP_Species_Support!CA10*3))^S13_PSP_Species_Support!CB10)^2*(S13_PSP_Species_Support!CC10*(1-EXP(-S13_PSP_Species_Support!CD10*3))^S13_PSP_Species_Support!CE10))^0.976,0)+IFERROR(S13_PSP_Species_Support!CI10*0.0673*(S13_PSP_Species_Support!CJ10*(S13_PSP_Species_Support!CK10*(1-EXP(-S13_PSP_Species_Support!CL10*3))^S13_PSP_Species_Support!CM10)^2*(S13_PSP_Species_Support!CN10*(1-EXP(-S13_PSP_Species_Support!CO10*3))^S13_PSP_Species_Support!CP10))^0.976,0)+IFERROR(S13_PSP_Species_Support!CT10*0.0673*(S13_PSP_Species_Support!CU10*(S13_PSP_Species_Support!CV10*(1-EXP(-S13_PSP_Species_Support!CW10*3))^S13_PSP_Species_Support!CX10)^2*(S13_PSP_Species_Support!CY10*(1-EXP(-S13_PSP_Species_Support!CZ10*3))^S13_PSP_Species_Support!DA10))^0.976,0))/1000/$G23*L$108,0)</x:f>
        <x:v>2.07343298239841</x:v>
      </x:c>
      <x:c r="M23" s="147" t="n">
        <x:f aca="0">IFERROR((IFERROR(S13_PSP_Species_Support!U10*0.0673*(S13_PSP_Species_Support!V10*(S13_PSP_Species_Support!W10*(1-EXP(-S13_PSP_Species_Support!X10*4))^S13_PSP_Species_Support!Y10)^2*(S13_PSP_Species_Support!Z10*(1-EXP(-S13_PSP_Species_Support!AA10*4))^S13_PSP_Species_Support!AB10))^0.976,0)+IFERROR(S13_PSP_Species_Support!AF10*0.0673*(S13_PSP_Species_Support!AG10*(S13_PSP_Species_Support!AH10*(1-EXP(-S13_PSP_Species_Support!AI10*4))^S13_PSP_Species_Support!AJ10)^2*(S13_PSP_Species_Support!AK10*(1-EXP(-S13_PSP_Species_Support!AL10*4))^S13_PSP_Species_Support!AM10))^0.976,0)+IFERROR(S13_PSP_Species_Support!AQ10*0.0673*(S13_PSP_Species_Support!AR10*(S13_PSP_Species_Support!AS10*(1-EXP(-S13_PSP_Species_Support!AT10*4))^S13_PSP_Species_Support!AU10)^2*(S13_PSP_Species_Support!AV10*(1-EXP(-S13_PSP_Species_Support!AW10*4))^S13_PSP_Species_Support!AX10))^0.976,0)+IFERROR(S13_PSP_Species_Support!BB10*0.0673*(S13_PSP_Species_Support!BC10*(S13_PSP_Species_Support!BD10*(1-EXP(-S13_PSP_Species_Support!BE10*4))^S13_PSP_Species_Support!BF10)^2*(S13_PSP_Species_Support!BG10*(1-EXP(-S13_PSP_Species_Support!BH10*4))^S13_PSP_Species_Support!BI10))^0.976,0)+IFERROR(S13_PSP_Species_Support!BM10*0.0673*(S13_PSP_Species_Support!BN10*(S13_PSP_Species_Support!BO10*(1-EXP(-S13_PSP_Species_Support!BP10*4))^S13_PSP_Species_Support!BQ10)^2*(S13_PSP_Species_Support!BR10*(1-EXP(-S13_PSP_Species_Support!BS10*4))^S13_PSP_Species_Support!BT10))^0.976,0)+IFERROR(S13_PSP_Species_Support!BX10*0.0673*(S13_PSP_Species_Support!BY10*(S13_PSP_Species_Support!BZ10*(1-EXP(-S13_PSP_Species_Support!CA10*4))^S13_PSP_Species_Support!CB10)^2*(S13_PSP_Species_Support!CC10*(1-EXP(-S13_PSP_Species_Support!CD10*4))^S13_PSP_Species_Support!CE10))^0.976,0)+IFERROR(S13_PSP_Species_Support!CI10*0.0673*(S13_PSP_Species_Support!CJ10*(S13_PSP_Species_Support!CK10*(1-EXP(-S13_PSP_Species_Support!CL10*4))^S13_PSP_Species_Support!CM10)^2*(S13_PSP_Species_Support!CN10*(1-EXP(-S13_PSP_Species_Support!CO10*4))^S13_PSP_Species_Support!CP10))^0.976,0)+IFERROR(S13_PSP_Species_Support!CT10*0.0673*(S13_PSP_Species_Support!CU10*(S13_PSP_Species_Support!CV10*(1-EXP(-S13_PSP_Species_Support!CW10*4))^S13_PSP_Species_Support!CX10)^2*(S13_PSP_Species_Support!CY10*(1-EXP(-S13_PSP_Species_Support!CZ10*4))^S13_PSP_Species_Support!DA10))^0.976,0))/1000/$G23*M$108,0)</x:f>
        <x:v>4.940778075420637</x:v>
      </x:c>
      <x:c r="N23" s="147" t="n">
        <x:f aca="0">IFERROR((IFERROR(S13_PSP_Species_Support!U10*0.0673*(S13_PSP_Species_Support!V10*(S13_PSP_Species_Support!W10*(1-EXP(-S13_PSP_Species_Support!X10*5))^S13_PSP_Species_Support!Y10)^2*(S13_PSP_Species_Support!Z10*(1-EXP(-S13_PSP_Species_Support!AA10*5))^S13_PSP_Species_Support!AB10))^0.976,0)+IFERROR(S13_PSP_Species_Support!AF10*0.0673*(S13_PSP_Species_Support!AG10*(S13_PSP_Species_Support!AH10*(1-EXP(-S13_PSP_Species_Support!AI10*5))^S13_PSP_Species_Support!AJ10)^2*(S13_PSP_Species_Support!AK10*(1-EXP(-S13_PSP_Species_Support!AL10*5))^S13_PSP_Species_Support!AM10))^0.976,0)+IFERROR(S13_PSP_Species_Support!AQ10*0.0673*(S13_PSP_Species_Support!AR10*(S13_PSP_Species_Support!AS10*(1-EXP(-S13_PSP_Species_Support!AT10*5))^S13_PSP_Species_Support!AU10)^2*(S13_PSP_Species_Support!AV10*(1-EXP(-S13_PSP_Species_Support!AW10*5))^S13_PSP_Species_Support!AX10))^0.976,0)+IFERROR(S13_PSP_Species_Support!BB10*0.0673*(S13_PSP_Species_Support!BC10*(S13_PSP_Species_Support!BD10*(1-EXP(-S13_PSP_Species_Support!BE10*5))^S13_PSP_Species_Support!BF10)^2*(S13_PSP_Species_Support!BG10*(1-EXP(-S13_PSP_Species_Support!BH10*5))^S13_PSP_Species_Support!BI10))^0.976,0)+IFERROR(S13_PSP_Species_Support!BM10*0.0673*(S13_PSP_Species_Support!BN10*(S13_PSP_Species_Support!BO10*(1-EXP(-S13_PSP_Species_Support!BP10*5))^S13_PSP_Species_Support!BQ10)^2*(S13_PSP_Species_Support!BR10*(1-EXP(-S13_PSP_Species_Support!BS10*5))^S13_PSP_Species_Support!BT10))^0.976,0)+IFERROR(S13_PSP_Species_Support!BX10*0.0673*(S13_PSP_Species_Support!BY10*(S13_PSP_Species_Support!BZ10*(1-EXP(-S13_PSP_Species_Support!CA10*5))^S13_PSP_Species_Support!CB10)^2*(S13_PSP_Species_Support!CC10*(1-EXP(-S13_PSP_Species_Support!CD10*5))^S13_PSP_Species_Support!CE10))^0.976,0)+IFERROR(S13_PSP_Species_Support!CI10*0.0673*(S13_PSP_Species_Support!CJ10*(S13_PSP_Species_Support!CK10*(1-EXP(-S13_PSP_Species_Support!CL10*5))^S13_PSP_Species_Support!CM10)^2*(S13_PSP_Species_Support!CN10*(1-EXP(-S13_PSP_Species_Support!CO10*5))^S13_PSP_Species_Support!CP10))^0.976,0)+IFERROR(S13_PSP_Species_Support!CT10*0.0673*(S13_PSP_Species_Support!CU10*(S13_PSP_Species_Support!CV10*(1-EXP(-S13_PSP_Species_Support!CW10*5))^S13_PSP_Species_Support!CX10)^2*(S13_PSP_Species_Support!CY10*(1-EXP(-S13_PSP_Species_Support!CZ10*5))^S13_PSP_Species_Support!DA10))^0.976,0))/1000/$G23*N$108,0)</x:f>
        <x:v>9.094843180729272</x:v>
      </x:c>
      <x:c r="O23" s="147" t="n">
        <x:f aca="0">IFERROR((IFERROR(S13_PSP_Species_Support!U10*0.0673*(S13_PSP_Species_Support!V10*(S13_PSP_Species_Support!W10*(1-EXP(-S13_PSP_Species_Support!X10*6))^S13_PSP_Species_Support!Y10)^2*(S13_PSP_Species_Support!Z10*(1-EXP(-S13_PSP_Species_Support!AA10*6))^S13_PSP_Species_Support!AB10))^0.976,0)+IFERROR(S13_PSP_Species_Support!AF10*0.0673*(S13_PSP_Species_Support!AG10*(S13_PSP_Species_Support!AH10*(1-EXP(-S13_PSP_Species_Support!AI10*6))^S13_PSP_Species_Support!AJ10)^2*(S13_PSP_Species_Support!AK10*(1-EXP(-S13_PSP_Species_Support!AL10*6))^S13_PSP_Species_Support!AM10))^0.976,0)+IFERROR(S13_PSP_Species_Support!AQ10*0.0673*(S13_PSP_Species_Support!AR10*(S13_PSP_Species_Support!AS10*(1-EXP(-S13_PSP_Species_Support!AT10*6))^S13_PSP_Species_Support!AU10)^2*(S13_PSP_Species_Support!AV10*(1-EXP(-S13_PSP_Species_Support!AW10*6))^S13_PSP_Species_Support!AX10))^0.976,0)+IFERROR(S13_PSP_Species_Support!BB10*0.0673*(S13_PSP_Species_Support!BC10*(S13_PSP_Species_Support!BD10*(1-EXP(-S13_PSP_Species_Support!BE10*6))^S13_PSP_Species_Support!BF10)^2*(S13_PSP_Species_Support!BG10*(1-EXP(-S13_PSP_Species_Support!BH10*6))^S13_PSP_Species_Support!BI10))^0.976,0)+IFERROR(S13_PSP_Species_Support!BM10*0.0673*(S13_PSP_Species_Support!BN10*(S13_PSP_Species_Support!BO10*(1-EXP(-S13_PSP_Species_Support!BP10*6))^S13_PSP_Species_Support!BQ10)^2*(S13_PSP_Species_Support!BR10*(1-EXP(-S13_PSP_Species_Support!BS10*6))^S13_PSP_Species_Support!BT10))^0.976,0)+IFERROR(S13_PSP_Species_Support!BX10*0.0673*(S13_PSP_Species_Support!BY10*(S13_PSP_Species_Support!BZ10*(1-EXP(-S13_PSP_Species_Support!CA10*6))^S13_PSP_Species_Support!CB10)^2*(S13_PSP_Species_Support!CC10*(1-EXP(-S13_PSP_Species_Support!CD10*6))^S13_PSP_Species_Support!CE10))^0.976,0)+IFERROR(S13_PSP_Species_Support!CI10*0.0673*(S13_PSP_Species_Support!CJ10*(S13_PSP_Species_Support!CK10*(1-EXP(-S13_PSP_Species_Support!CL10*6))^S13_PSP_Species_Support!CM10)^2*(S13_PSP_Species_Support!CN10*(1-EXP(-S13_PSP_Species_Support!CO10*6))^S13_PSP_Species_Support!CP10))^0.976,0)+IFERROR(S13_PSP_Species_Support!CT10*0.0673*(S13_PSP_Species_Support!CU10*(S13_PSP_Species_Support!CV10*(1-EXP(-S13_PSP_Species_Support!CW10*6))^S13_PSP_Species_Support!CX10)^2*(S13_PSP_Species_Support!CY10*(1-EXP(-S13_PSP_Species_Support!CZ10*6))^S13_PSP_Species_Support!DA10))^0.976,0))/1000/$G23*O$108,0)</x:f>
        <x:v>14.283707935995318</x:v>
      </x:c>
      <x:c r="P23" s="147" t="n">
        <x:f aca="0">IFERROR((IFERROR(S13_PSP_Species_Support!U10*0.0673*(S13_PSP_Species_Support!V10*(S13_PSP_Species_Support!W10*(1-EXP(-S13_PSP_Species_Support!X10*7))^S13_PSP_Species_Support!Y10)^2*(S13_PSP_Species_Support!Z10*(1-EXP(-S13_PSP_Species_Support!AA10*7))^S13_PSP_Species_Support!AB10))^0.976,0)+IFERROR(S13_PSP_Species_Support!AF10*0.0673*(S13_PSP_Species_Support!AG10*(S13_PSP_Species_Support!AH10*(1-EXP(-S13_PSP_Species_Support!AI10*7))^S13_PSP_Species_Support!AJ10)^2*(S13_PSP_Species_Support!AK10*(1-EXP(-S13_PSP_Species_Support!AL10*7))^S13_PSP_Species_Support!AM10))^0.976,0)+IFERROR(S13_PSP_Species_Support!AQ10*0.0673*(S13_PSP_Species_Support!AR10*(S13_PSP_Species_Support!AS10*(1-EXP(-S13_PSP_Species_Support!AT10*7))^S13_PSP_Species_Support!AU10)^2*(S13_PSP_Species_Support!AV10*(1-EXP(-S13_PSP_Species_Support!AW10*7))^S13_PSP_Species_Support!AX10))^0.976,0)+IFERROR(S13_PSP_Species_Support!BB10*0.0673*(S13_PSP_Species_Support!BC10*(S13_PSP_Species_Support!BD10*(1-EXP(-S13_PSP_Species_Support!BE10*7))^S13_PSP_Species_Support!BF10)^2*(S13_PSP_Species_Support!BG10*(1-EXP(-S13_PSP_Species_Support!BH10*7))^S13_PSP_Species_Support!BI10))^0.976,0)+IFERROR(S13_PSP_Species_Support!BM10*0.0673*(S13_PSP_Species_Support!BN10*(S13_PSP_Species_Support!BO10*(1-EXP(-S13_PSP_Species_Support!BP10*7))^S13_PSP_Species_Support!BQ10)^2*(S13_PSP_Species_Support!BR10*(1-EXP(-S13_PSP_Species_Support!BS10*7))^S13_PSP_Species_Support!BT10))^0.976,0)+IFERROR(S13_PSP_Species_Support!BX10*0.0673*(S13_PSP_Species_Support!BY10*(S13_PSP_Species_Support!BZ10*(1-EXP(-S13_PSP_Species_Support!CA10*7))^S13_PSP_Species_Support!CB10)^2*(S13_PSP_Species_Support!CC10*(1-EXP(-S13_PSP_Species_Support!CD10*7))^S13_PSP_Species_Support!CE10))^0.976,0)+IFERROR(S13_PSP_Species_Support!CI10*0.0673*(S13_PSP_Species_Support!CJ10*(S13_PSP_Species_Support!CK10*(1-EXP(-S13_PSP_Species_Support!CL10*7))^S13_PSP_Species_Support!CM10)^2*(S13_PSP_Species_Support!CN10*(1-EXP(-S13_PSP_Species_Support!CO10*7))^S13_PSP_Species_Support!CP10))^0.976,0)+IFERROR(S13_PSP_Species_Support!CT10*0.0673*(S13_PSP_Species_Support!CU10*(S13_PSP_Species_Support!CV10*(1-EXP(-S13_PSP_Species_Support!CW10*7))^S13_PSP_Species_Support!CX10)^2*(S13_PSP_Species_Support!CY10*(1-EXP(-S13_PSP_Species_Support!CZ10*7))^S13_PSP_Species_Support!DA10))^0.976,0))/1000/$G23*P$108,0)</x:f>
        <x:v>20.1770220961184</x:v>
      </x:c>
      <x:c r="Q23" s="147" t="n">
        <x:f aca="0">IFERROR((IFERROR(S13_PSP_Species_Support!U10*0.0673*(S13_PSP_Species_Support!V10*(S13_PSP_Species_Support!W10*(1-EXP(-S13_PSP_Species_Support!X10*8))^S13_PSP_Species_Support!Y10)^2*(S13_PSP_Species_Support!Z10*(1-EXP(-S13_PSP_Species_Support!AA10*8))^S13_PSP_Species_Support!AB10))^0.976,0)+IFERROR(S13_PSP_Species_Support!AF10*0.0673*(S13_PSP_Species_Support!AG10*(S13_PSP_Species_Support!AH10*(1-EXP(-S13_PSP_Species_Support!AI10*8))^S13_PSP_Species_Support!AJ10)^2*(S13_PSP_Species_Support!AK10*(1-EXP(-S13_PSP_Species_Support!AL10*8))^S13_PSP_Species_Support!AM10))^0.976,0)+IFERROR(S13_PSP_Species_Support!AQ10*0.0673*(S13_PSP_Species_Support!AR10*(S13_PSP_Species_Support!AS10*(1-EXP(-S13_PSP_Species_Support!AT10*8))^S13_PSP_Species_Support!AU10)^2*(S13_PSP_Species_Support!AV10*(1-EXP(-S13_PSP_Species_Support!AW10*8))^S13_PSP_Species_Support!AX10))^0.976,0)+IFERROR(S13_PSP_Species_Support!BB10*0.0673*(S13_PSP_Species_Support!BC10*(S13_PSP_Species_Support!BD10*(1-EXP(-S13_PSP_Species_Support!BE10*8))^S13_PSP_Species_Support!BF10)^2*(S13_PSP_Species_Support!BG10*(1-EXP(-S13_PSP_Species_Support!BH10*8))^S13_PSP_Species_Support!BI10))^0.976,0)+IFERROR(S13_PSP_Species_Support!BM10*0.0673*(S13_PSP_Species_Support!BN10*(S13_PSP_Species_Support!BO10*(1-EXP(-S13_PSP_Species_Support!BP10*8))^S13_PSP_Species_Support!BQ10)^2*(S13_PSP_Species_Support!BR10*(1-EXP(-S13_PSP_Species_Support!BS10*8))^S13_PSP_Species_Support!BT10))^0.976,0)+IFERROR(S13_PSP_Species_Support!BX10*0.0673*(S13_PSP_Species_Support!BY10*(S13_PSP_Species_Support!BZ10*(1-EXP(-S13_PSP_Species_Support!CA10*8))^S13_PSP_Species_Support!CB10)^2*(S13_PSP_Species_Support!CC10*(1-EXP(-S13_PSP_Species_Support!CD10*8))^S13_PSP_Species_Support!CE10))^0.976,0)+IFERROR(S13_PSP_Species_Support!CI10*0.0673*(S13_PSP_Species_Support!CJ10*(S13_PSP_Species_Support!CK10*(1-EXP(-S13_PSP_Species_Support!CL10*8))^S13_PSP_Species_Support!CM10)^2*(S13_PSP_Species_Support!CN10*(1-EXP(-S13_PSP_Species_Support!CO10*8))^S13_PSP_Species_Support!CP10))^0.976,0)+IFERROR(S13_PSP_Species_Support!CT10*0.0673*(S13_PSP_Species_Support!CU10*(S13_PSP_Species_Support!CV10*(1-EXP(-S13_PSP_Species_Support!CW10*8))^S13_PSP_Species_Support!CX10)^2*(S13_PSP_Species_Support!CY10*(1-EXP(-S13_PSP_Species_Support!CZ10*8))^S13_PSP_Species_Support!DA10))^0.976,0))/1000/$G23*Q$108,0)</x:f>
        <x:v>26.450428793513147</x:v>
      </x:c>
      <x:c r="R23" s="147" t="n">
        <x:f aca="0">IFERROR((IFERROR(S13_PSP_Species_Support!U10*0.0673*(S13_PSP_Species_Support!V10*(S13_PSP_Species_Support!W10*(1-EXP(-S13_PSP_Species_Support!X10*9))^S13_PSP_Species_Support!Y10)^2*(S13_PSP_Species_Support!Z10*(1-EXP(-S13_PSP_Species_Support!AA10*9))^S13_PSP_Species_Support!AB10))^0.976,0)+IFERROR(S13_PSP_Species_Support!AF10*0.0673*(S13_PSP_Species_Support!AG10*(S13_PSP_Species_Support!AH10*(1-EXP(-S13_PSP_Species_Support!AI10*9))^S13_PSP_Species_Support!AJ10)^2*(S13_PSP_Species_Support!AK10*(1-EXP(-S13_PSP_Species_Support!AL10*9))^S13_PSP_Species_Support!AM10))^0.976,0)+IFERROR(S13_PSP_Species_Support!AQ10*0.0673*(S13_PSP_Species_Support!AR10*(S13_PSP_Species_Support!AS10*(1-EXP(-S13_PSP_Species_Support!AT10*9))^S13_PSP_Species_Support!AU10)^2*(S13_PSP_Species_Support!AV10*(1-EXP(-S13_PSP_Species_Support!AW10*9))^S13_PSP_Species_Support!AX10))^0.976,0)+IFERROR(S13_PSP_Species_Support!BB10*0.0673*(S13_PSP_Species_Support!BC10*(S13_PSP_Species_Support!BD10*(1-EXP(-S13_PSP_Species_Support!BE10*9))^S13_PSP_Species_Support!BF10)^2*(S13_PSP_Species_Support!BG10*(1-EXP(-S13_PSP_Species_Support!BH10*9))^S13_PSP_Species_Support!BI10))^0.976,0)+IFERROR(S13_PSP_Species_Support!BM10*0.0673*(S13_PSP_Species_Support!BN10*(S13_PSP_Species_Support!BO10*(1-EXP(-S13_PSP_Species_Support!BP10*9))^S13_PSP_Species_Support!BQ10)^2*(S13_PSP_Species_Support!BR10*(1-EXP(-S13_PSP_Species_Support!BS10*9))^S13_PSP_Species_Support!BT10))^0.976,0)+IFERROR(S13_PSP_Species_Support!BX10*0.0673*(S13_PSP_Species_Support!BY10*(S13_PSP_Species_Support!BZ10*(1-EXP(-S13_PSP_Species_Support!CA10*9))^S13_PSP_Species_Support!CB10)^2*(S13_PSP_Species_Support!CC10*(1-EXP(-S13_PSP_Species_Support!CD10*9))^S13_PSP_Species_Support!CE10))^0.976,0)+IFERROR(S13_PSP_Species_Support!CI10*0.0673*(S13_PSP_Species_Support!CJ10*(S13_PSP_Species_Support!CK10*(1-EXP(-S13_PSP_Species_Support!CL10*9))^S13_PSP_Species_Support!CM10)^2*(S13_PSP_Species_Support!CN10*(1-EXP(-S13_PSP_Species_Support!CO10*9))^S13_PSP_Species_Support!CP10))^0.976,0)+IFERROR(S13_PSP_Species_Support!CT10*0.0673*(S13_PSP_Species_Support!CU10*(S13_PSP_Species_Support!CV10*(1-EXP(-S13_PSP_Species_Support!CW10*9))^S13_PSP_Species_Support!CX10)^2*(S13_PSP_Species_Support!CY10*(1-EXP(-S13_PSP_Species_Support!CZ10*9))^S13_PSP_Species_Support!DA10))^0.976,0))/1000/$G23*R$108,0)</x:f>
        <x:v>32.82813843255433</x:v>
      </x:c>
      <x:c r="S23" s="147" t="n">
        <x:f aca="0">IFERROR((IFERROR(S13_PSP_Species_Support!U10*0.0673*(S13_PSP_Species_Support!V10*(S13_PSP_Species_Support!W10*(1-EXP(-S13_PSP_Species_Support!X10*10))^S13_PSP_Species_Support!Y10)^2*(S13_PSP_Species_Support!Z10*(1-EXP(-S13_PSP_Species_Support!AA10*10))^S13_PSP_Species_Support!AB10))^0.976,0)+IFERROR(S13_PSP_Species_Support!AF10*0.0673*(S13_PSP_Species_Support!AG10*(S13_PSP_Species_Support!AH10*(1-EXP(-S13_PSP_Species_Support!AI10*10))^S13_PSP_Species_Support!AJ10)^2*(S13_PSP_Species_Support!AK10*(1-EXP(-S13_PSP_Species_Support!AL10*10))^S13_PSP_Species_Support!AM10))^0.976,0)+IFERROR(S13_PSP_Species_Support!AQ10*0.0673*(S13_PSP_Species_Support!AR10*(S13_PSP_Species_Support!AS10*(1-EXP(-S13_PSP_Species_Support!AT10*10))^S13_PSP_Species_Support!AU10)^2*(S13_PSP_Species_Support!AV10*(1-EXP(-S13_PSP_Species_Support!AW10*10))^S13_PSP_Species_Support!AX10))^0.976,0)+IFERROR(S13_PSP_Species_Support!BB10*0.0673*(S13_PSP_Species_Support!BC10*(S13_PSP_Species_Support!BD10*(1-EXP(-S13_PSP_Species_Support!BE10*10))^S13_PSP_Species_Support!BF10)^2*(S13_PSP_Species_Support!BG10*(1-EXP(-S13_PSP_Species_Support!BH10*10))^S13_PSP_Species_Support!BI10))^0.976,0)+IFERROR(S13_PSP_Species_Support!BM10*0.0673*(S13_PSP_Species_Support!BN10*(S13_PSP_Species_Support!BO10*(1-EXP(-S13_PSP_Species_Support!BP10*10))^S13_PSP_Species_Support!BQ10)^2*(S13_PSP_Species_Support!BR10*(1-EXP(-S13_PSP_Species_Support!BS10*10))^S13_PSP_Species_Support!BT10))^0.976,0)+IFERROR(S13_PSP_Species_Support!BX10*0.0673*(S13_PSP_Species_Support!BY10*(S13_PSP_Species_Support!BZ10*(1-EXP(-S13_PSP_Species_Support!CA10*10))^S13_PSP_Species_Support!CB10)^2*(S13_PSP_Species_Support!CC10*(1-EXP(-S13_PSP_Species_Support!CD10*10))^S13_PSP_Species_Support!CE10))^0.976,0)+IFERROR(S13_PSP_Species_Support!CI10*0.0673*(S13_PSP_Species_Support!CJ10*(S13_PSP_Species_Support!CK10*(1-EXP(-S13_PSP_Species_Support!CL10*10))^S13_PSP_Species_Support!CM10)^2*(S13_PSP_Species_Support!CN10*(1-EXP(-S13_PSP_Species_Support!CO10*10))^S13_PSP_Species_Support!CP10))^0.976,0)+IFERROR(S13_PSP_Species_Support!CT10*0.0673*(S13_PSP_Species_Support!CU10*(S13_PSP_Species_Support!CV10*(1-EXP(-S13_PSP_Species_Support!CW10*10))^S13_PSP_Species_Support!CX10)^2*(S13_PSP_Species_Support!CY10*(1-EXP(-S13_PSP_Species_Support!CZ10*10))^S13_PSP_Species_Support!DA10))^0.976,0))/1000/$G23*S$108,0)</x:f>
        <x:v>39.097266175064696</x:v>
      </x:c>
      <x:c r="T23" s="147" t="n">
        <x:f aca="0">IFERROR((IFERROR(S13_PSP_Species_Support!U10*0.0673*(S13_PSP_Species_Support!V10*(S13_PSP_Species_Support!W10*(1-EXP(-S13_PSP_Species_Support!X10*11))^S13_PSP_Species_Support!Y10)^2*(S13_PSP_Species_Support!Z10*(1-EXP(-S13_PSP_Species_Support!AA10*11))^S13_PSP_Species_Support!AB10))^0.976,0)+IFERROR(S13_PSP_Species_Support!AF10*0.0673*(S13_PSP_Species_Support!AG10*(S13_PSP_Species_Support!AH10*(1-EXP(-S13_PSP_Species_Support!AI10*11))^S13_PSP_Species_Support!AJ10)^2*(S13_PSP_Species_Support!AK10*(1-EXP(-S13_PSP_Species_Support!AL10*11))^S13_PSP_Species_Support!AM10))^0.976,0)+IFERROR(S13_PSP_Species_Support!AQ10*0.0673*(S13_PSP_Species_Support!AR10*(S13_PSP_Species_Support!AS10*(1-EXP(-S13_PSP_Species_Support!AT10*11))^S13_PSP_Species_Support!AU10)^2*(S13_PSP_Species_Support!AV10*(1-EXP(-S13_PSP_Species_Support!AW10*11))^S13_PSP_Species_Support!AX10))^0.976,0)+IFERROR(S13_PSP_Species_Support!BB10*0.0673*(S13_PSP_Species_Support!BC10*(S13_PSP_Species_Support!BD10*(1-EXP(-S13_PSP_Species_Support!BE10*11))^S13_PSP_Species_Support!BF10)^2*(S13_PSP_Species_Support!BG10*(1-EXP(-S13_PSP_Species_Support!BH10*11))^S13_PSP_Species_Support!BI10))^0.976,0)+IFERROR(S13_PSP_Species_Support!BM10*0.0673*(S13_PSP_Species_Support!BN10*(S13_PSP_Species_Support!BO10*(1-EXP(-S13_PSP_Species_Support!BP10*11))^S13_PSP_Species_Support!BQ10)^2*(S13_PSP_Species_Support!BR10*(1-EXP(-S13_PSP_Species_Support!BS10*11))^S13_PSP_Species_Support!BT10))^0.976,0)+IFERROR(S13_PSP_Species_Support!BX10*0.0673*(S13_PSP_Species_Support!BY10*(S13_PSP_Species_Support!BZ10*(1-EXP(-S13_PSP_Species_Support!CA10*11))^S13_PSP_Species_Support!CB10)^2*(S13_PSP_Species_Support!CC10*(1-EXP(-S13_PSP_Species_Support!CD10*11))^S13_PSP_Species_Support!CE10))^0.976,0)+IFERROR(S13_PSP_Species_Support!CI10*0.0673*(S13_PSP_Species_Support!CJ10*(S13_PSP_Species_Support!CK10*(1-EXP(-S13_PSP_Species_Support!CL10*11))^S13_PSP_Species_Support!CM10)^2*(S13_PSP_Species_Support!CN10*(1-EXP(-S13_PSP_Species_Support!CO10*11))^S13_PSP_Species_Support!CP10))^0.976,0)+IFERROR(S13_PSP_Species_Support!CT10*0.0673*(S13_PSP_Species_Support!CU10*(S13_PSP_Species_Support!CV10*(1-EXP(-S13_PSP_Species_Support!CW10*11))^S13_PSP_Species_Support!CX10)^2*(S13_PSP_Species_Support!CY10*(1-EXP(-S13_PSP_Species_Support!CZ10*11))^S13_PSP_Species_Support!DA10))^0.976,0))/1000/$G23*T$108,0)</x:f>
        <x:v>45.10640474530291</x:v>
      </x:c>
      <x:c r="U23" s="147" t="n">
        <x:f aca="0">IFERROR((IFERROR(S13_PSP_Species_Support!U10*0.0673*(S13_PSP_Species_Support!V10*(S13_PSP_Species_Support!W10*(1-EXP(-S13_PSP_Species_Support!X10*12))^S13_PSP_Species_Support!Y10)^2*(S13_PSP_Species_Support!Z10*(1-EXP(-S13_PSP_Species_Support!AA10*12))^S13_PSP_Species_Support!AB10))^0.976,0)+IFERROR(S13_PSP_Species_Support!AF10*0.0673*(S13_PSP_Species_Support!AG10*(S13_PSP_Species_Support!AH10*(1-EXP(-S13_PSP_Species_Support!AI10*12))^S13_PSP_Species_Support!AJ10)^2*(S13_PSP_Species_Support!AK10*(1-EXP(-S13_PSP_Species_Support!AL10*12))^S13_PSP_Species_Support!AM10))^0.976,0)+IFERROR(S13_PSP_Species_Support!AQ10*0.0673*(S13_PSP_Species_Support!AR10*(S13_PSP_Species_Support!AS10*(1-EXP(-S13_PSP_Species_Support!AT10*12))^S13_PSP_Species_Support!AU10)^2*(S13_PSP_Species_Support!AV10*(1-EXP(-S13_PSP_Species_Support!AW10*12))^S13_PSP_Species_Support!AX10))^0.976,0)+IFERROR(S13_PSP_Species_Support!BB10*0.0673*(S13_PSP_Species_Support!BC10*(S13_PSP_Species_Support!BD10*(1-EXP(-S13_PSP_Species_Support!BE10*12))^S13_PSP_Species_Support!BF10)^2*(S13_PSP_Species_Support!BG10*(1-EXP(-S13_PSP_Species_Support!BH10*12))^S13_PSP_Species_Support!BI10))^0.976,0)+IFERROR(S13_PSP_Species_Support!BM10*0.0673*(S13_PSP_Species_Support!BN10*(S13_PSP_Species_Support!BO10*(1-EXP(-S13_PSP_Species_Support!BP10*12))^S13_PSP_Species_Support!BQ10)^2*(S13_PSP_Species_Support!BR10*(1-EXP(-S13_PSP_Species_Support!BS10*12))^S13_PSP_Species_Support!BT10))^0.976,0)+IFERROR(S13_PSP_Species_Support!BX10*0.0673*(S13_PSP_Species_Support!BY10*(S13_PSP_Species_Support!BZ10*(1-EXP(-S13_PSP_Species_Support!CA10*12))^S13_PSP_Species_Support!CB10)^2*(S13_PSP_Species_Support!CC10*(1-EXP(-S13_PSP_Species_Support!CD10*12))^S13_PSP_Species_Support!CE10))^0.976,0)+IFERROR(S13_PSP_Species_Support!CI10*0.0673*(S13_PSP_Species_Support!CJ10*(S13_PSP_Species_Support!CK10*(1-EXP(-S13_PSP_Species_Support!CL10*12))^S13_PSP_Species_Support!CM10)^2*(S13_PSP_Species_Support!CN10*(1-EXP(-S13_PSP_Species_Support!CO10*12))^S13_PSP_Species_Support!CP10))^0.976,0)+IFERROR(S13_PSP_Species_Support!CT10*0.0673*(S13_PSP_Species_Support!CU10*(S13_PSP_Species_Support!CV10*(1-EXP(-S13_PSP_Species_Support!CW10*12))^S13_PSP_Species_Support!CX10)^2*(S13_PSP_Species_Support!CY10*(1-EXP(-S13_PSP_Species_Support!CZ10*12))^S13_PSP_Species_Support!DA10))^0.976,0))/1000/$G23*U$108,0)</x:f>
        <x:v>50.75697607274009</x:v>
      </x:c>
      <x:c r="V23" s="147" t="n">
        <x:f aca="0">IFERROR((IFERROR(S13_PSP_Species_Support!U10*0.0673*(S13_PSP_Species_Support!V10*(S13_PSP_Species_Support!W10*(1-EXP(-S13_PSP_Species_Support!X10*13))^S13_PSP_Species_Support!Y10)^2*(S13_PSP_Species_Support!Z10*(1-EXP(-S13_PSP_Species_Support!AA10*13))^S13_PSP_Species_Support!AB10))^0.976,0)+IFERROR(S13_PSP_Species_Support!AF10*0.0673*(S13_PSP_Species_Support!AG10*(S13_PSP_Species_Support!AH10*(1-EXP(-S13_PSP_Species_Support!AI10*13))^S13_PSP_Species_Support!AJ10)^2*(S13_PSP_Species_Support!AK10*(1-EXP(-S13_PSP_Species_Support!AL10*13))^S13_PSP_Species_Support!AM10))^0.976,0)+IFERROR(S13_PSP_Species_Support!AQ10*0.0673*(S13_PSP_Species_Support!AR10*(S13_PSP_Species_Support!AS10*(1-EXP(-S13_PSP_Species_Support!AT10*13))^S13_PSP_Species_Support!AU10)^2*(S13_PSP_Species_Support!AV10*(1-EXP(-S13_PSP_Species_Support!AW10*13))^S13_PSP_Species_Support!AX10))^0.976,0)+IFERROR(S13_PSP_Species_Support!BB10*0.0673*(S13_PSP_Species_Support!BC10*(S13_PSP_Species_Support!BD10*(1-EXP(-S13_PSP_Species_Support!BE10*13))^S13_PSP_Species_Support!BF10)^2*(S13_PSP_Species_Support!BG10*(1-EXP(-S13_PSP_Species_Support!BH10*13))^S13_PSP_Species_Support!BI10))^0.976,0)+IFERROR(S13_PSP_Species_Support!BM10*0.0673*(S13_PSP_Species_Support!BN10*(S13_PSP_Species_Support!BO10*(1-EXP(-S13_PSP_Species_Support!BP10*13))^S13_PSP_Species_Support!BQ10)^2*(S13_PSP_Species_Support!BR10*(1-EXP(-S13_PSP_Species_Support!BS10*13))^S13_PSP_Species_Support!BT10))^0.976,0)+IFERROR(S13_PSP_Species_Support!BX10*0.0673*(S13_PSP_Species_Support!BY10*(S13_PSP_Species_Support!BZ10*(1-EXP(-S13_PSP_Species_Support!CA10*13))^S13_PSP_Species_Support!CB10)^2*(S13_PSP_Species_Support!CC10*(1-EXP(-S13_PSP_Species_Support!CD10*13))^S13_PSP_Species_Support!CE10))^0.976,0)+IFERROR(S13_PSP_Species_Support!CI10*0.0673*(S13_PSP_Species_Support!CJ10*(S13_PSP_Species_Support!CK10*(1-EXP(-S13_PSP_Species_Support!CL10*13))^S13_PSP_Species_Support!CM10)^2*(S13_PSP_Species_Support!CN10*(1-EXP(-S13_PSP_Species_Support!CO10*13))^S13_PSP_Species_Support!CP10))^0.976,0)+IFERROR(S13_PSP_Species_Support!CT10*0.0673*(S13_PSP_Species_Support!CU10*(S13_PSP_Species_Support!CV10*(1-EXP(-S13_PSP_Species_Support!CW10*13))^S13_PSP_Species_Support!CX10)^2*(S13_PSP_Species_Support!CY10*(1-EXP(-S13_PSP_Species_Support!CZ10*13))^S13_PSP_Species_Support!DA10))^0.976,0))/1000/$G23*V$108,0)</x:f>
        <x:v>55.992378206594296</x:v>
      </x:c>
      <x:c r="W23" s="147" t="n">
        <x:f aca="0">IFERROR((IFERROR(S13_PSP_Species_Support!U10*0.0673*(S13_PSP_Species_Support!V10*(S13_PSP_Species_Support!W10*(1-EXP(-S13_PSP_Species_Support!X10*14))^S13_PSP_Species_Support!Y10)^2*(S13_PSP_Species_Support!Z10*(1-EXP(-S13_PSP_Species_Support!AA10*14))^S13_PSP_Species_Support!AB10))^0.976,0)+IFERROR(S13_PSP_Species_Support!AF10*0.0673*(S13_PSP_Species_Support!AG10*(S13_PSP_Species_Support!AH10*(1-EXP(-S13_PSP_Species_Support!AI10*14))^S13_PSP_Species_Support!AJ10)^2*(S13_PSP_Species_Support!AK10*(1-EXP(-S13_PSP_Species_Support!AL10*14))^S13_PSP_Species_Support!AM10))^0.976,0)+IFERROR(S13_PSP_Species_Support!AQ10*0.0673*(S13_PSP_Species_Support!AR10*(S13_PSP_Species_Support!AS10*(1-EXP(-S13_PSP_Species_Support!AT10*14))^S13_PSP_Species_Support!AU10)^2*(S13_PSP_Species_Support!AV10*(1-EXP(-S13_PSP_Species_Support!AW10*14))^S13_PSP_Species_Support!AX10))^0.976,0)+IFERROR(S13_PSP_Species_Support!BB10*0.0673*(S13_PSP_Species_Support!BC10*(S13_PSP_Species_Support!BD10*(1-EXP(-S13_PSP_Species_Support!BE10*14))^S13_PSP_Species_Support!BF10)^2*(S13_PSP_Species_Support!BG10*(1-EXP(-S13_PSP_Species_Support!BH10*14))^S13_PSP_Species_Support!BI10))^0.976,0)+IFERROR(S13_PSP_Species_Support!BM10*0.0673*(S13_PSP_Species_Support!BN10*(S13_PSP_Species_Support!BO10*(1-EXP(-S13_PSP_Species_Support!BP10*14))^S13_PSP_Species_Support!BQ10)^2*(S13_PSP_Species_Support!BR10*(1-EXP(-S13_PSP_Species_Support!BS10*14))^S13_PSP_Species_Support!BT10))^0.976,0)+IFERROR(S13_PSP_Species_Support!BX10*0.0673*(S13_PSP_Species_Support!BY10*(S13_PSP_Species_Support!BZ10*(1-EXP(-S13_PSP_Species_Support!CA10*14))^S13_PSP_Species_Support!CB10)^2*(S13_PSP_Species_Support!CC10*(1-EXP(-S13_PSP_Species_Support!CD10*14))^S13_PSP_Species_Support!CE10))^0.976,0)+IFERROR(S13_PSP_Species_Support!CI10*0.0673*(S13_PSP_Species_Support!CJ10*(S13_PSP_Species_Support!CK10*(1-EXP(-S13_PSP_Species_Support!CL10*14))^S13_PSP_Species_Support!CM10)^2*(S13_PSP_Species_Support!CN10*(1-EXP(-S13_PSP_Species_Support!CO10*14))^S13_PSP_Species_Support!CP10))^0.976,0)+IFERROR(S13_PSP_Species_Support!CT10*0.0673*(S13_PSP_Species_Support!CU10*(S13_PSP_Species_Support!CV10*(1-EXP(-S13_PSP_Species_Support!CW10*14))^S13_PSP_Species_Support!CX10)^2*(S13_PSP_Species_Support!CY10*(1-EXP(-S13_PSP_Species_Support!CZ10*14))^S13_PSP_Species_Support!DA10))^0.976,0))/1000/$G23*W$108,0)</x:f>
        <x:v>60.78750646118125</x:v>
      </x:c>
      <x:c r="X23" s="147" t="n">
        <x:f aca="0">IFERROR((IFERROR(S13_PSP_Species_Support!U10*0.0673*(S13_PSP_Species_Support!V10*(S13_PSP_Species_Support!W10*(1-EXP(-S13_PSP_Species_Support!X10*15))^S13_PSP_Species_Support!Y10)^2*(S13_PSP_Species_Support!Z10*(1-EXP(-S13_PSP_Species_Support!AA10*15))^S13_PSP_Species_Support!AB10))^0.976,0)+IFERROR(S13_PSP_Species_Support!AF10*0.0673*(S13_PSP_Species_Support!AG10*(S13_PSP_Species_Support!AH10*(1-EXP(-S13_PSP_Species_Support!AI10*15))^S13_PSP_Species_Support!AJ10)^2*(S13_PSP_Species_Support!AK10*(1-EXP(-S13_PSP_Species_Support!AL10*15))^S13_PSP_Species_Support!AM10))^0.976,0)+IFERROR(S13_PSP_Species_Support!AQ10*0.0673*(S13_PSP_Species_Support!AR10*(S13_PSP_Species_Support!AS10*(1-EXP(-S13_PSP_Species_Support!AT10*15))^S13_PSP_Species_Support!AU10)^2*(S13_PSP_Species_Support!AV10*(1-EXP(-S13_PSP_Species_Support!AW10*15))^S13_PSP_Species_Support!AX10))^0.976,0)+IFERROR(S13_PSP_Species_Support!BB10*0.0673*(S13_PSP_Species_Support!BC10*(S13_PSP_Species_Support!BD10*(1-EXP(-S13_PSP_Species_Support!BE10*15))^S13_PSP_Species_Support!BF10)^2*(S13_PSP_Species_Support!BG10*(1-EXP(-S13_PSP_Species_Support!BH10*15))^S13_PSP_Species_Support!BI10))^0.976,0)+IFERROR(S13_PSP_Species_Support!BM10*0.0673*(S13_PSP_Species_Support!BN10*(S13_PSP_Species_Support!BO10*(1-EXP(-S13_PSP_Species_Support!BP10*15))^S13_PSP_Species_Support!BQ10)^2*(S13_PSP_Species_Support!BR10*(1-EXP(-S13_PSP_Species_Support!BS10*15))^S13_PSP_Species_Support!BT10))^0.976,0)+IFERROR(S13_PSP_Species_Support!BX10*0.0673*(S13_PSP_Species_Support!BY10*(S13_PSP_Species_Support!BZ10*(1-EXP(-S13_PSP_Species_Support!CA10*15))^S13_PSP_Species_Support!CB10)^2*(S13_PSP_Species_Support!CC10*(1-EXP(-S13_PSP_Species_Support!CD10*15))^S13_PSP_Species_Support!CE10))^0.976,0)+IFERROR(S13_PSP_Species_Support!CI10*0.0673*(S13_PSP_Species_Support!CJ10*(S13_PSP_Species_Support!CK10*(1-EXP(-S13_PSP_Species_Support!CL10*15))^S13_PSP_Species_Support!CM10)^2*(S13_PSP_Species_Support!CN10*(1-EXP(-S13_PSP_Species_Support!CO10*15))^S13_PSP_Species_Support!CP10))^0.976,0)+IFERROR(S13_PSP_Species_Support!CT10*0.0673*(S13_PSP_Species_Support!CU10*(S13_PSP_Species_Support!CV10*(1-EXP(-S13_PSP_Species_Support!CW10*15))^S13_PSP_Species_Support!CX10)^2*(S13_PSP_Species_Support!CY10*(1-EXP(-S13_PSP_Species_Support!CZ10*15))^S13_PSP_Species_Support!DA10))^0.976,0))/1000/$G23*X$108,0)</x:f>
        <x:v>65.13975461891474</x:v>
      </x:c>
      <x:c r="Y23" s="147" t="n">
        <x:f aca="0">IFERROR((IFERROR(S13_PSP_Species_Support!U10*0.0673*(S13_PSP_Species_Support!V10*(S13_PSP_Species_Support!W10*(1-EXP(-S13_PSP_Species_Support!X10*16))^S13_PSP_Species_Support!Y10)^2*(S13_PSP_Species_Support!Z10*(1-EXP(-S13_PSP_Species_Support!AA10*16))^S13_PSP_Species_Support!AB10))^0.976,0)+IFERROR(S13_PSP_Species_Support!AF10*0.0673*(S13_PSP_Species_Support!AG10*(S13_PSP_Species_Support!AH10*(1-EXP(-S13_PSP_Species_Support!AI10*16))^S13_PSP_Species_Support!AJ10)^2*(S13_PSP_Species_Support!AK10*(1-EXP(-S13_PSP_Species_Support!AL10*16))^S13_PSP_Species_Support!AM10))^0.976,0)+IFERROR(S13_PSP_Species_Support!AQ10*0.0673*(S13_PSP_Species_Support!AR10*(S13_PSP_Species_Support!AS10*(1-EXP(-S13_PSP_Species_Support!AT10*16))^S13_PSP_Species_Support!AU10)^2*(S13_PSP_Species_Support!AV10*(1-EXP(-S13_PSP_Species_Support!AW10*16))^S13_PSP_Species_Support!AX10))^0.976,0)+IFERROR(S13_PSP_Species_Support!BB10*0.0673*(S13_PSP_Species_Support!BC10*(S13_PSP_Species_Support!BD10*(1-EXP(-S13_PSP_Species_Support!BE10*16))^S13_PSP_Species_Support!BF10)^2*(S13_PSP_Species_Support!BG10*(1-EXP(-S13_PSP_Species_Support!BH10*16))^S13_PSP_Species_Support!BI10))^0.976,0)+IFERROR(S13_PSP_Species_Support!BM10*0.0673*(S13_PSP_Species_Support!BN10*(S13_PSP_Species_Support!BO10*(1-EXP(-S13_PSP_Species_Support!BP10*16))^S13_PSP_Species_Support!BQ10)^2*(S13_PSP_Species_Support!BR10*(1-EXP(-S13_PSP_Species_Support!BS10*16))^S13_PSP_Species_Support!BT10))^0.976,0)+IFERROR(S13_PSP_Species_Support!BX10*0.0673*(S13_PSP_Species_Support!BY10*(S13_PSP_Species_Support!BZ10*(1-EXP(-S13_PSP_Species_Support!CA10*16))^S13_PSP_Species_Support!CB10)^2*(S13_PSP_Species_Support!CC10*(1-EXP(-S13_PSP_Species_Support!CD10*16))^S13_PSP_Species_Support!CE10))^0.976,0)+IFERROR(S13_PSP_Species_Support!CI10*0.0673*(S13_PSP_Species_Support!CJ10*(S13_PSP_Species_Support!CK10*(1-EXP(-S13_PSP_Species_Support!CL10*16))^S13_PSP_Species_Support!CM10)^2*(S13_PSP_Species_Support!CN10*(1-EXP(-S13_PSP_Species_Support!CO10*16))^S13_PSP_Species_Support!CP10))^0.976,0)+IFERROR(S13_PSP_Species_Support!CT10*0.0673*(S13_PSP_Species_Support!CU10*(S13_PSP_Species_Support!CV10*(1-EXP(-S13_PSP_Species_Support!CW10*16))^S13_PSP_Species_Support!CX10)^2*(S13_PSP_Species_Support!CY10*(1-EXP(-S13_PSP_Species_Support!CZ10*16))^S13_PSP_Species_Support!DA10))^0.976,0))/1000/$G23*Y$108,0)</x:f>
        <x:v>69.06179876335041</x:v>
      </x:c>
      <x:c r="Z23" s="147" t="n">
        <x:f aca="0">IFERROR((IFERROR(S13_PSP_Species_Support!U10*0.0673*(S13_PSP_Species_Support!V10*(S13_PSP_Species_Support!W10*(1-EXP(-S13_PSP_Species_Support!X10*17))^S13_PSP_Species_Support!Y10)^2*(S13_PSP_Species_Support!Z10*(1-EXP(-S13_PSP_Species_Support!AA10*17))^S13_PSP_Species_Support!AB10))^0.976,0)+IFERROR(S13_PSP_Species_Support!AF10*0.0673*(S13_PSP_Species_Support!AG10*(S13_PSP_Species_Support!AH10*(1-EXP(-S13_PSP_Species_Support!AI10*17))^S13_PSP_Species_Support!AJ10)^2*(S13_PSP_Species_Support!AK10*(1-EXP(-S13_PSP_Species_Support!AL10*17))^S13_PSP_Species_Support!AM10))^0.976,0)+IFERROR(S13_PSP_Species_Support!AQ10*0.0673*(S13_PSP_Species_Support!AR10*(S13_PSP_Species_Support!AS10*(1-EXP(-S13_PSP_Species_Support!AT10*17))^S13_PSP_Species_Support!AU10)^2*(S13_PSP_Species_Support!AV10*(1-EXP(-S13_PSP_Species_Support!AW10*17))^S13_PSP_Species_Support!AX10))^0.976,0)+IFERROR(S13_PSP_Species_Support!BB10*0.0673*(S13_PSP_Species_Support!BC10*(S13_PSP_Species_Support!BD10*(1-EXP(-S13_PSP_Species_Support!BE10*17))^S13_PSP_Species_Support!BF10)^2*(S13_PSP_Species_Support!BG10*(1-EXP(-S13_PSP_Species_Support!BH10*17))^S13_PSP_Species_Support!BI10))^0.976,0)+IFERROR(S13_PSP_Species_Support!BM10*0.0673*(S13_PSP_Species_Support!BN10*(S13_PSP_Species_Support!BO10*(1-EXP(-S13_PSP_Species_Support!BP10*17))^S13_PSP_Species_Support!BQ10)^2*(S13_PSP_Species_Support!BR10*(1-EXP(-S13_PSP_Species_Support!BS10*17))^S13_PSP_Species_Support!BT10))^0.976,0)+IFERROR(S13_PSP_Species_Support!BX10*0.0673*(S13_PSP_Species_Support!BY10*(S13_PSP_Species_Support!BZ10*(1-EXP(-S13_PSP_Species_Support!CA10*17))^S13_PSP_Species_Support!CB10)^2*(S13_PSP_Species_Support!CC10*(1-EXP(-S13_PSP_Species_Support!CD10*17))^S13_PSP_Species_Support!CE10))^0.976,0)+IFERROR(S13_PSP_Species_Support!CI10*0.0673*(S13_PSP_Species_Support!CJ10*(S13_PSP_Species_Support!CK10*(1-EXP(-S13_PSP_Species_Support!CL10*17))^S13_PSP_Species_Support!CM10)^2*(S13_PSP_Species_Support!CN10*(1-EXP(-S13_PSP_Species_Support!CO10*17))^S13_PSP_Species_Support!CP10))^0.976,0)+IFERROR(S13_PSP_Species_Support!CT10*0.0673*(S13_PSP_Species_Support!CU10*(S13_PSP_Species_Support!CV10*(1-EXP(-S13_PSP_Species_Support!CW10*17))^S13_PSP_Species_Support!CX10)^2*(S13_PSP_Species_Support!CY10*(1-EXP(-S13_PSP_Species_Support!CZ10*17))^S13_PSP_Species_Support!DA10))^0.976,0))/1000/$G23*Z$108,0)</x:f>
        <x:v>72.57607523209896</x:v>
      </x:c>
      <x:c r="AA23" s="147" t="n">
        <x:f aca="0">IFERROR((IFERROR(S13_PSP_Species_Support!U10*0.0673*(S13_PSP_Species_Support!V10*(S13_PSP_Species_Support!W10*(1-EXP(-S13_PSP_Species_Support!X10*18))^S13_PSP_Species_Support!Y10)^2*(S13_PSP_Species_Support!Z10*(1-EXP(-S13_PSP_Species_Support!AA10*18))^S13_PSP_Species_Support!AB10))^0.976,0)+IFERROR(S13_PSP_Species_Support!AF10*0.0673*(S13_PSP_Species_Support!AG10*(S13_PSP_Species_Support!AH10*(1-EXP(-S13_PSP_Species_Support!AI10*18))^S13_PSP_Species_Support!AJ10)^2*(S13_PSP_Species_Support!AK10*(1-EXP(-S13_PSP_Species_Support!AL10*18))^S13_PSP_Species_Support!AM10))^0.976,0)+IFERROR(S13_PSP_Species_Support!AQ10*0.0673*(S13_PSP_Species_Support!AR10*(S13_PSP_Species_Support!AS10*(1-EXP(-S13_PSP_Species_Support!AT10*18))^S13_PSP_Species_Support!AU10)^2*(S13_PSP_Species_Support!AV10*(1-EXP(-S13_PSP_Species_Support!AW10*18))^S13_PSP_Species_Support!AX10))^0.976,0)+IFERROR(S13_PSP_Species_Support!BB10*0.0673*(S13_PSP_Species_Support!BC10*(S13_PSP_Species_Support!BD10*(1-EXP(-S13_PSP_Species_Support!BE10*18))^S13_PSP_Species_Support!BF10)^2*(S13_PSP_Species_Support!BG10*(1-EXP(-S13_PSP_Species_Support!BH10*18))^S13_PSP_Species_Support!BI10))^0.976,0)+IFERROR(S13_PSP_Species_Support!BM10*0.0673*(S13_PSP_Species_Support!BN10*(S13_PSP_Species_Support!BO10*(1-EXP(-S13_PSP_Species_Support!BP10*18))^S13_PSP_Species_Support!BQ10)^2*(S13_PSP_Species_Support!BR10*(1-EXP(-S13_PSP_Species_Support!BS10*18))^S13_PSP_Species_Support!BT10))^0.976,0)+IFERROR(S13_PSP_Species_Support!BX10*0.0673*(S13_PSP_Species_Support!BY10*(S13_PSP_Species_Support!BZ10*(1-EXP(-S13_PSP_Species_Support!CA10*18))^S13_PSP_Species_Support!CB10)^2*(S13_PSP_Species_Support!CC10*(1-EXP(-S13_PSP_Species_Support!CD10*18))^S13_PSP_Species_Support!CE10))^0.976,0)+IFERROR(S13_PSP_Species_Support!CI10*0.0673*(S13_PSP_Species_Support!CJ10*(S13_PSP_Species_Support!CK10*(1-EXP(-S13_PSP_Species_Support!CL10*18))^S13_PSP_Species_Support!CM10)^2*(S13_PSP_Species_Support!CN10*(1-EXP(-S13_PSP_Species_Support!CO10*18))^S13_PSP_Species_Support!CP10))^0.976,0)+IFERROR(S13_PSP_Species_Support!CT10*0.0673*(S13_PSP_Species_Support!CU10*(S13_PSP_Species_Support!CV10*(1-EXP(-S13_PSP_Species_Support!CW10*18))^S13_PSP_Species_Support!CX10)^2*(S13_PSP_Species_Support!CY10*(1-EXP(-S13_PSP_Species_Support!CZ10*18))^S13_PSP_Species_Support!DA10))^0.976,0))/1000/$G23*AA$108,0)</x:f>
        <x:v>75.71070573397871</x:v>
      </x:c>
      <x:c r="AB23" s="147" t="n">
        <x:f aca="0">IFERROR((IFERROR(S13_PSP_Species_Support!U10*0.0673*(S13_PSP_Species_Support!V10*(S13_PSP_Species_Support!W10*(1-EXP(-S13_PSP_Species_Support!X10*19))^S13_PSP_Species_Support!Y10)^2*(S13_PSP_Species_Support!Z10*(1-EXP(-S13_PSP_Species_Support!AA10*19))^S13_PSP_Species_Support!AB10))^0.976,0)+IFERROR(S13_PSP_Species_Support!AF10*0.0673*(S13_PSP_Species_Support!AG10*(S13_PSP_Species_Support!AH10*(1-EXP(-S13_PSP_Species_Support!AI10*19))^S13_PSP_Species_Support!AJ10)^2*(S13_PSP_Species_Support!AK10*(1-EXP(-S13_PSP_Species_Support!AL10*19))^S13_PSP_Species_Support!AM10))^0.976,0)+IFERROR(S13_PSP_Species_Support!AQ10*0.0673*(S13_PSP_Species_Support!AR10*(S13_PSP_Species_Support!AS10*(1-EXP(-S13_PSP_Species_Support!AT10*19))^S13_PSP_Species_Support!AU10)^2*(S13_PSP_Species_Support!AV10*(1-EXP(-S13_PSP_Species_Support!AW10*19))^S13_PSP_Species_Support!AX10))^0.976,0)+IFERROR(S13_PSP_Species_Support!BB10*0.0673*(S13_PSP_Species_Support!BC10*(S13_PSP_Species_Support!BD10*(1-EXP(-S13_PSP_Species_Support!BE10*19))^S13_PSP_Species_Support!BF10)^2*(S13_PSP_Species_Support!BG10*(1-EXP(-S13_PSP_Species_Support!BH10*19))^S13_PSP_Species_Support!BI10))^0.976,0)+IFERROR(S13_PSP_Species_Support!BM10*0.0673*(S13_PSP_Species_Support!BN10*(S13_PSP_Species_Support!BO10*(1-EXP(-S13_PSP_Species_Support!BP10*19))^S13_PSP_Species_Support!BQ10)^2*(S13_PSP_Species_Support!BR10*(1-EXP(-S13_PSP_Species_Support!BS10*19))^S13_PSP_Species_Support!BT10))^0.976,0)+IFERROR(S13_PSP_Species_Support!BX10*0.0673*(S13_PSP_Species_Support!BY10*(S13_PSP_Species_Support!BZ10*(1-EXP(-S13_PSP_Species_Support!CA10*19))^S13_PSP_Species_Support!CB10)^2*(S13_PSP_Species_Support!CC10*(1-EXP(-S13_PSP_Species_Support!CD10*19))^S13_PSP_Species_Support!CE10))^0.976,0)+IFERROR(S13_PSP_Species_Support!CI10*0.0673*(S13_PSP_Species_Support!CJ10*(S13_PSP_Species_Support!CK10*(1-EXP(-S13_PSP_Species_Support!CL10*19))^S13_PSP_Species_Support!CM10)^2*(S13_PSP_Species_Support!CN10*(1-EXP(-S13_PSP_Species_Support!CO10*19))^S13_PSP_Species_Support!CP10))^0.976,0)+IFERROR(S13_PSP_Species_Support!CT10*0.0673*(S13_PSP_Species_Support!CU10*(S13_PSP_Species_Support!CV10*(1-EXP(-S13_PSP_Species_Support!CW10*19))^S13_PSP_Species_Support!CX10)^2*(S13_PSP_Species_Support!CY10*(1-EXP(-S13_PSP_Species_Support!CZ10*19))^S13_PSP_Species_Support!DA10))^0.976,0))/1000/$G23*AB$108,0)</x:f>
        <x:v>78.49658510853862</x:v>
      </x:c>
      <x:c r="AC23" s="147" t="n">
        <x:f aca="0">IFERROR((IFERROR(S13_PSP_Species_Support!U10*0.0673*(S13_PSP_Species_Support!V10*(S13_PSP_Species_Support!W10*(1-EXP(-S13_PSP_Species_Support!X10*20))^S13_PSP_Species_Support!Y10)^2*(S13_PSP_Species_Support!Z10*(1-EXP(-S13_PSP_Species_Support!AA10*20))^S13_PSP_Species_Support!AB10))^0.976,0)+IFERROR(S13_PSP_Species_Support!AF10*0.0673*(S13_PSP_Species_Support!AG10*(S13_PSP_Species_Support!AH10*(1-EXP(-S13_PSP_Species_Support!AI10*20))^S13_PSP_Species_Support!AJ10)^2*(S13_PSP_Species_Support!AK10*(1-EXP(-S13_PSP_Species_Support!AL10*20))^S13_PSP_Species_Support!AM10))^0.976,0)+IFERROR(S13_PSP_Species_Support!AQ10*0.0673*(S13_PSP_Species_Support!AR10*(S13_PSP_Species_Support!AS10*(1-EXP(-S13_PSP_Species_Support!AT10*20))^S13_PSP_Species_Support!AU10)^2*(S13_PSP_Species_Support!AV10*(1-EXP(-S13_PSP_Species_Support!AW10*20))^S13_PSP_Species_Support!AX10))^0.976,0)+IFERROR(S13_PSP_Species_Support!BB10*0.0673*(S13_PSP_Species_Support!BC10*(S13_PSP_Species_Support!BD10*(1-EXP(-S13_PSP_Species_Support!BE10*20))^S13_PSP_Species_Support!BF10)^2*(S13_PSP_Species_Support!BG10*(1-EXP(-S13_PSP_Species_Support!BH10*20))^S13_PSP_Species_Support!BI10))^0.976,0)+IFERROR(S13_PSP_Species_Support!BM10*0.0673*(S13_PSP_Species_Support!BN10*(S13_PSP_Species_Support!BO10*(1-EXP(-S13_PSP_Species_Support!BP10*20))^S13_PSP_Species_Support!BQ10)^2*(S13_PSP_Species_Support!BR10*(1-EXP(-S13_PSP_Species_Support!BS10*20))^S13_PSP_Species_Support!BT10))^0.976,0)+IFERROR(S13_PSP_Species_Support!BX10*0.0673*(S13_PSP_Species_Support!BY10*(S13_PSP_Species_Support!BZ10*(1-EXP(-S13_PSP_Species_Support!CA10*20))^S13_PSP_Species_Support!CB10)^2*(S13_PSP_Species_Support!CC10*(1-EXP(-S13_PSP_Species_Support!CD10*20))^S13_PSP_Species_Support!CE10))^0.976,0)+IFERROR(S13_PSP_Species_Support!CI10*0.0673*(S13_PSP_Species_Support!CJ10*(S13_PSP_Species_Support!CK10*(1-EXP(-S13_PSP_Species_Support!CL10*20))^S13_PSP_Species_Support!CM10)^2*(S13_PSP_Species_Support!CN10*(1-EXP(-S13_PSP_Species_Support!CO10*20))^S13_PSP_Species_Support!CP10))^0.976,0)+IFERROR(S13_PSP_Species_Support!CT10*0.0673*(S13_PSP_Species_Support!CU10*(S13_PSP_Species_Support!CV10*(1-EXP(-S13_PSP_Species_Support!CW10*20))^S13_PSP_Species_Support!CX10)^2*(S13_PSP_Species_Support!CY10*(1-EXP(-S13_PSP_Species_Support!CZ10*20))^S13_PSP_Species_Support!DA10))^0.976,0))/1000/$G23*AC$108,0)</x:f>
        <x:v>80.96536604509471</x:v>
      </x:c>
      <x:c r="AD23" s="148" t="n">
        <x:f aca="0">IF(2020&lt;$F23,0,INDEX($I23:$AC23,1,2020-$F23+1))</x:f>
        <x:v>0</x:v>
      </x:c>
      <x:c r="AE23" s="148" t="n">
        <x:f aca="0">IF(2021&lt;$F23,0,INDEX($I23:$AC23,1,2021-$F23+1))</x:f>
        <x:v>0</x:v>
      </x:c>
      <x:c r="AF23" s="148" t="n">
        <x:f aca="0">IF(2022&lt;$F23,0,INDEX($I23:$AC23,1,2022-$F23+1))</x:f>
        <x:v>0</x:v>
      </x:c>
      <x:c r="AG23" s="148" t="n">
        <x:f aca="0">IF(2023&lt;$F23,0,INDEX($I23:$AC23,1,2023-$F23+1))</x:f>
        <x:v>0.0435552056628852</x:v>
      </x:c>
      <x:c r="AH23" s="148" t="n">
        <x:f aca="0">IF(2024&lt;$F23,0,INDEX($I23:$AC23,1,2024-$F23+1))</x:f>
        <x:v>0.5430348388636026</x:v>
      </x:c>
      <x:c r="AI23" s="148" t="n">
        <x:f aca="0">IF(2025&lt;$F23,0,INDEX($I23:$AC23,1,2025-$F23+1))</x:f>
        <x:v>2.07343298239841</x:v>
      </x:c>
      <x:c r="AJ23" s="148" t="n">
        <x:f aca="0">IF(2026&lt;$F23,0,INDEX($I23:$AC23,1,2026-$F23+1))</x:f>
        <x:v>4.940778075420637</x:v>
      </x:c>
      <x:c r="AK23" s="148" t="n">
        <x:f aca="0">IF(2027&lt;$F23,0,INDEX($I23:$AC23,1,2027-$F23+1))</x:f>
        <x:v>9.094843180729272</x:v>
      </x:c>
      <x:c r="AL23" s="148" t="n">
        <x:f aca="0">IF(2028&lt;$F23,0,INDEX($I23:$AC23,1,2028-$F23+1))</x:f>
        <x:v>14.283707935995318</x:v>
      </x:c>
      <x:c r="AM23" s="148" t="n">
        <x:f aca="0">IF(2029&lt;$F23,0,INDEX($I23:$AC23,1,2029-$F23+1))</x:f>
        <x:v>20.1770220961184</x:v>
      </x:c>
      <x:c r="AN23" s="148" t="n">
        <x:f aca="0">IF(2030&lt;$F23,0,INDEX($I23:$AC23,1,2030-$F23+1))</x:f>
        <x:v>26.450428793513147</x:v>
      </x:c>
      <x:c r="AO23" s="148" t="n">
        <x:f aca="0">IF(2031&lt;$F23,0,INDEX($I23:$AC23,1,2031-$F23+1))</x:f>
        <x:v>32.82813843255433</x:v>
      </x:c>
      <x:c r="AP23" s="148" t="n">
        <x:f aca="0">IF(2032&lt;$F23,0,INDEX($I23:$AC23,1,2032-$F23+1))</x:f>
        <x:v>39.097266175064696</x:v>
      </x:c>
      <x:c r="AQ23" s="148" t="n">
        <x:f aca="0">IF(2033&lt;$F23,0,INDEX($I23:$AC23,1,2033-$F23+1))</x:f>
        <x:v>45.10640474530291</x:v>
      </x:c>
      <x:c r="AR23" s="148" t="n">
        <x:f aca="0">IF(2034&lt;$F23,0,INDEX($I23:$AC23,1,2034-$F23+1))</x:f>
        <x:v>50.75697607274009</x:v>
      </x:c>
      <x:c r="AS23" s="148" t="n">
        <x:f aca="0">IF(2035&lt;$F23,0,INDEX($I23:$AC23,1,2035-$F23+1))</x:f>
        <x:v>55.992378206594296</x:v>
      </x:c>
      <x:c r="AT23" s="148" t="n">
        <x:f aca="0">IF(2036&lt;$F23,0,INDEX($I23:$AC23,1,2036-$F23+1))</x:f>
        <x:v>60.78750646118125</x:v>
      </x:c>
      <x:c r="AU23" s="148" t="n">
        <x:f aca="0">IF(2037&lt;$F23,0,INDEX($I23:$AC23,1,2037-$F23+1))</x:f>
        <x:v>65.13975461891474</x:v>
      </x:c>
      <x:c r="AV23" s="148" t="n">
        <x:f aca="0">IF(2038&lt;$F23,0,INDEX($I23:$AC23,1,2038-$F23+1))</x:f>
        <x:v>69.06179876335041</x:v>
      </x:c>
      <x:c r="AW23" s="148" t="n">
        <x:f aca="0">IF(2039&lt;$F23,0,INDEX($I23:$AC23,1,2039-$F23+1))</x:f>
        <x:v>72.57607523209896</x:v>
      </x:c>
      <x:c r="AX23" s="148" t="n">
        <x:f aca="0">IF(2040&lt;$F23,0,INDEX($I23:$AC23,1,2040-$F23+1))</x:f>
        <x:v>75.71070573397871</x:v>
      </x:c>
      <x:c r="AY23" s="1" t="str">
        <x:f aca="0">LEFT($C23,FIND("@",SUBSTITUTE($C23,"|","@",2))-1)</x:f>
        <x:v>Fruit Orchard|Medium</x:v>
      </x:c>
      <x:c r="AZ23" s="1" t="str">
        <x:f aca="0">LEFT($C23,FIND("|",$C23)-1)</x:f>
        <x:v>Fruit Orchard</x:v>
      </x:c>
      <x:c r="BA23" s="149" t="n">
        <x:f aca="0">I23*I23</x:f>
        <x:v>0</x:v>
      </x:c>
      <x:c r="BB23" s="149" t="n">
        <x:f aca="0">J23*J23</x:f>
        <x:v>0.0018970559403362268</x:v>
      </x:c>
      <x:c r="BC23" s="149" t="n">
        <x:f aca="0">K23*K23</x:f>
        <x:v>0.29488683621961886</x:v>
      </x:c>
      <x:c r="BD23" s="149" t="n">
        <x:f aca="0">L23*L23</x:f>
        <x:v>4.299124332497565</x:v>
      </x:c>
      <x:c r="BE23" s="149" t="n">
        <x:f aca="0">M23*M23</x:f>
        <x:v>24.411287990557252</x:v>
      </x:c>
      <x:c r="BF23" s="149" t="n">
        <x:f aca="0">N23*N23</x:f>
        <x:v>82.71617248205774</x:v>
      </x:c>
      <x:c r="BG23" s="149" t="n">
        <x:f aca="0">O23*O23</x:f>
        <x:v>204.02431240081563</x:v>
      </x:c>
      <x:c r="BH23" s="149" t="n">
        <x:f aca="0">P23*P23</x:f>
        <x:v>407.11222066725014</x:v>
      </x:c>
      <x:c r="BI23" s="149" t="n">
        <x:f aca="0">Q23*Q23</x:f>
        <x:v>699.6251833607093</x:v>
      </x:c>
      <x:c r="BJ23" s="149" t="n">
        <x:f aca="0">R23*R23</x:f>
        <x:v>1077.686672946951</x:v>
      </x:c>
      <x:c r="BK23" s="149" t="n">
        <x:f aca="0">S23*S23</x:f>
        <x:v>1528.596222363858</x:v>
      </x:c>
      <x:c r="BL23" s="149" t="n">
        <x:f aca="0">T23*T23</x:f>
        <x:v>2034.587749047085</x:v>
      </x:c>
      <x:c r="BM23" s="149" t="n">
        <x:f aca="0">U23*U23</x:f>
        <x:v>2576.2706200487096</x:v>
      </x:c>
      <x:c r="BN23" s="149" t="n">
        <x:f aca="0">V23*V23</x:f>
        <x:v>3135.146417230296</x:v>
      </x:c>
      <x:c r="BO23" s="149" t="n">
        <x:f aca="0">W23*W23</x:f>
        <x:v>3695.1209417681525</x:v>
      </x:c>
      <x:c r="BP23" s="149" t="n">
        <x:f aca="0">X23*X23</x:f>
        <x:v>4243.187631812424</x:v>
      </x:c>
      <x:c r="BQ23" s="149" t="n">
        <x:f aca="0">Y23*Y23</x:f>
        <x:v>4769.532048429508</x:v>
      </x:c>
      <x:c r="BR23" s="149" t="n">
        <x:f aca="0">Z23*Z23</x:f>
        <x:v>5267.286696095288</x:v>
      </x:c>
      <x:c r="BS23" s="149" t="n">
        <x:f aca="0">AA23*AA23</x:f>
        <x:v>5732.110962737117</x:v>
      </x:c>
      <x:c r="BT23" s="149" t="n">
        <x:f aca="0">AB23*AB23</x:f>
        <x:v>6161.713873702048</x:v>
      </x:c>
      <x:c r="BU23" s="149" t="n">
        <x:f aca="0">AC23*AC23</x:f>
        <x:v>6555.390498816176</x:v>
      </x:c>
    </x:row>
    <x:row r="24" ht="15" hidden="0" customHeight="1">
      <x:c r="A24" s="1" t="str">
        <x:f aca="0">S13_PSP_Species_Support!A11</x:f>
        <x:v>PSP-FO-010</x:v>
      </x:c>
      <x:c r="B24" s="1" t="n">
        <x:f aca="0">11</x:f>
        <x:v>11</x:v>
      </x:c>
      <x:c r="C24" s="1" t="str">
        <x:f aca="0">S13_PSP_Species_Support!I11</x:f>
        <x:v>Fruit Orchard|Medium|2022</x:v>
      </x:c>
      <x:c r="D24" s="1" t="str">
        <x:f aca="0">S13_PSP_Species_Support!C11</x:f>
        <x:v>Fruit Orchard (Block)</x:v>
      </x:c>
      <x:c r="E24" s="1" t="str">
        <x:f aca="0">S13_PSP_Species_Support!D11</x:f>
        <x:v>Medium</x:v>
      </x:c>
      <x:c r="F24" s="1" t="n">
        <x:f aca="0">S13_PSP_Species_Support!E11</x:f>
        <x:v>2022</x:v>
      </x:c>
      <x:c r="G24" s="645" t="n">
        <x:f aca="0">'S13_PSP_Species_Support'!DJ11</x:f>
        <x:v>0.09</x:v>
      </x:c>
      <x:c r="H24" s="714" t="n">
        <x:f aca="0">'S13_PSP_Species_Support'!DK11</x:f>
        <x:v>21.43106051806249</x:v>
      </x:c>
      <x:c r="I24" s="147" t="n">
        <x:f aca="0">IFERROR((IFERROR(S13_PSP_Species_Support!U11*0.0673*(S13_PSP_Species_Support!V11*(S13_PSP_Species_Support!W11*(1-EXP(-S13_PSP_Species_Support!X11*0))^S13_PSP_Species_Support!Y11)^2*(S13_PSP_Species_Support!Z11*(1-EXP(-S13_PSP_Species_Support!AA11*0))^S13_PSP_Species_Support!AB11))^0.976,0)+IFERROR(S13_PSP_Species_Support!AF11*0.0673*(S13_PSP_Species_Support!AG11*(S13_PSP_Species_Support!AH11*(1-EXP(-S13_PSP_Species_Support!AI11*0))^S13_PSP_Species_Support!AJ11)^2*(S13_PSP_Species_Support!AK11*(1-EXP(-S13_PSP_Species_Support!AL11*0))^S13_PSP_Species_Support!AM11))^0.976,0)+IFERROR(S13_PSP_Species_Support!AQ11*0.0673*(S13_PSP_Species_Support!AR11*(S13_PSP_Species_Support!AS11*(1-EXP(-S13_PSP_Species_Support!AT11*0))^S13_PSP_Species_Support!AU11)^2*(S13_PSP_Species_Support!AV11*(1-EXP(-S13_PSP_Species_Support!AW11*0))^S13_PSP_Species_Support!AX11))^0.976,0)+IFERROR(S13_PSP_Species_Support!BB11*0.0673*(S13_PSP_Species_Support!BC11*(S13_PSP_Species_Support!BD11*(1-EXP(-S13_PSP_Species_Support!BE11*0))^S13_PSP_Species_Support!BF11)^2*(S13_PSP_Species_Support!BG11*(1-EXP(-S13_PSP_Species_Support!BH11*0))^S13_PSP_Species_Support!BI11))^0.976,0)+IFERROR(S13_PSP_Species_Support!BM11*0.0673*(S13_PSP_Species_Support!BN11*(S13_PSP_Species_Support!BO11*(1-EXP(-S13_PSP_Species_Support!BP11*0))^S13_PSP_Species_Support!BQ11)^2*(S13_PSP_Species_Support!BR11*(1-EXP(-S13_PSP_Species_Support!BS11*0))^S13_PSP_Species_Support!BT11))^0.976,0)+IFERROR(S13_PSP_Species_Support!BX11*0.0673*(S13_PSP_Species_Support!BY11*(S13_PSP_Species_Support!BZ11*(1-EXP(-S13_PSP_Species_Support!CA11*0))^S13_PSP_Species_Support!CB11)^2*(S13_PSP_Species_Support!CC11*(1-EXP(-S13_PSP_Species_Support!CD11*0))^S13_PSP_Species_Support!CE11))^0.976,0)+IFERROR(S13_PSP_Species_Support!CI11*0.0673*(S13_PSP_Species_Support!CJ11*(S13_PSP_Species_Support!CK11*(1-EXP(-S13_PSP_Species_Support!CL11*0))^S13_PSP_Species_Support!CM11)^2*(S13_PSP_Species_Support!CN11*(1-EXP(-S13_PSP_Species_Support!CO11*0))^S13_PSP_Species_Support!CP11))^0.976,0)+IFERROR(S13_PSP_Species_Support!CT11*0.0673*(S13_PSP_Species_Support!CU11*(S13_PSP_Species_Support!CV11*(1-EXP(-S13_PSP_Species_Support!CW11*0))^S13_PSP_Species_Support!CX11)^2*(S13_PSP_Species_Support!CY11*(1-EXP(-S13_PSP_Species_Support!CZ11*0))^S13_PSP_Species_Support!DA11))^0.976,0))/1000/$G24*I$108,0)</x:f>
        <x:v>0</x:v>
      </x:c>
      <x:c r="J24" s="147" t="n">
        <x:f aca="0">IFERROR((IFERROR(S13_PSP_Species_Support!U11*0.0673*(S13_PSP_Species_Support!V11*(S13_PSP_Species_Support!W11*(1-EXP(-S13_PSP_Species_Support!X11*1))^S13_PSP_Species_Support!Y11)^2*(S13_PSP_Species_Support!Z11*(1-EXP(-S13_PSP_Species_Support!AA11*1))^S13_PSP_Species_Support!AB11))^0.976,0)+IFERROR(S13_PSP_Species_Support!AF11*0.0673*(S13_PSP_Species_Support!AG11*(S13_PSP_Species_Support!AH11*(1-EXP(-S13_PSP_Species_Support!AI11*1))^S13_PSP_Species_Support!AJ11)^2*(S13_PSP_Species_Support!AK11*(1-EXP(-S13_PSP_Species_Support!AL11*1))^S13_PSP_Species_Support!AM11))^0.976,0)+IFERROR(S13_PSP_Species_Support!AQ11*0.0673*(S13_PSP_Species_Support!AR11*(S13_PSP_Species_Support!AS11*(1-EXP(-S13_PSP_Species_Support!AT11*1))^S13_PSP_Species_Support!AU11)^2*(S13_PSP_Species_Support!AV11*(1-EXP(-S13_PSP_Species_Support!AW11*1))^S13_PSP_Species_Support!AX11))^0.976,0)+IFERROR(S13_PSP_Species_Support!BB11*0.0673*(S13_PSP_Species_Support!BC11*(S13_PSP_Species_Support!BD11*(1-EXP(-S13_PSP_Species_Support!BE11*1))^S13_PSP_Species_Support!BF11)^2*(S13_PSP_Species_Support!BG11*(1-EXP(-S13_PSP_Species_Support!BH11*1))^S13_PSP_Species_Support!BI11))^0.976,0)+IFERROR(S13_PSP_Species_Support!BM11*0.0673*(S13_PSP_Species_Support!BN11*(S13_PSP_Species_Support!BO11*(1-EXP(-S13_PSP_Species_Support!BP11*1))^S13_PSP_Species_Support!BQ11)^2*(S13_PSP_Species_Support!BR11*(1-EXP(-S13_PSP_Species_Support!BS11*1))^S13_PSP_Species_Support!BT11))^0.976,0)+IFERROR(S13_PSP_Species_Support!BX11*0.0673*(S13_PSP_Species_Support!BY11*(S13_PSP_Species_Support!BZ11*(1-EXP(-S13_PSP_Species_Support!CA11*1))^S13_PSP_Species_Support!CB11)^2*(S13_PSP_Species_Support!CC11*(1-EXP(-S13_PSP_Species_Support!CD11*1))^S13_PSP_Species_Support!CE11))^0.976,0)+IFERROR(S13_PSP_Species_Support!CI11*0.0673*(S13_PSP_Species_Support!CJ11*(S13_PSP_Species_Support!CK11*(1-EXP(-S13_PSP_Species_Support!CL11*1))^S13_PSP_Species_Support!CM11)^2*(S13_PSP_Species_Support!CN11*(1-EXP(-S13_PSP_Species_Support!CO11*1))^S13_PSP_Species_Support!CP11))^0.976,0)+IFERROR(S13_PSP_Species_Support!CT11*0.0673*(S13_PSP_Species_Support!CU11*(S13_PSP_Species_Support!CV11*(1-EXP(-S13_PSP_Species_Support!CW11*1))^S13_PSP_Species_Support!CX11)^2*(S13_PSP_Species_Support!CY11*(1-EXP(-S13_PSP_Species_Support!CZ11*1))^S13_PSP_Species_Support!DA11))^0.976,0))/1000/$G24*J$108,0)</x:f>
        <x:v>0.040595233568379935</x:v>
      </x:c>
      <x:c r="K24" s="147" t="n">
        <x:f aca="0">IFERROR((IFERROR(S13_PSP_Species_Support!U11*0.0673*(S13_PSP_Species_Support!V11*(S13_PSP_Species_Support!W11*(1-EXP(-S13_PSP_Species_Support!X11*2))^S13_PSP_Species_Support!Y11)^2*(S13_PSP_Species_Support!Z11*(1-EXP(-S13_PSP_Species_Support!AA11*2))^S13_PSP_Species_Support!AB11))^0.976,0)+IFERROR(S13_PSP_Species_Support!AF11*0.0673*(S13_PSP_Species_Support!AG11*(S13_PSP_Species_Support!AH11*(1-EXP(-S13_PSP_Species_Support!AI11*2))^S13_PSP_Species_Support!AJ11)^2*(S13_PSP_Species_Support!AK11*(1-EXP(-S13_PSP_Species_Support!AL11*2))^S13_PSP_Species_Support!AM11))^0.976,0)+IFERROR(S13_PSP_Species_Support!AQ11*0.0673*(S13_PSP_Species_Support!AR11*(S13_PSP_Species_Support!AS11*(1-EXP(-S13_PSP_Species_Support!AT11*2))^S13_PSP_Species_Support!AU11)^2*(S13_PSP_Species_Support!AV11*(1-EXP(-S13_PSP_Species_Support!AW11*2))^S13_PSP_Species_Support!AX11))^0.976,0)+IFERROR(S13_PSP_Species_Support!BB11*0.0673*(S13_PSP_Species_Support!BC11*(S13_PSP_Species_Support!BD11*(1-EXP(-S13_PSP_Species_Support!BE11*2))^S13_PSP_Species_Support!BF11)^2*(S13_PSP_Species_Support!BG11*(1-EXP(-S13_PSP_Species_Support!BH11*2))^S13_PSP_Species_Support!BI11))^0.976,0)+IFERROR(S13_PSP_Species_Support!BM11*0.0673*(S13_PSP_Species_Support!BN11*(S13_PSP_Species_Support!BO11*(1-EXP(-S13_PSP_Species_Support!BP11*2))^S13_PSP_Species_Support!BQ11)^2*(S13_PSP_Species_Support!BR11*(1-EXP(-S13_PSP_Species_Support!BS11*2))^S13_PSP_Species_Support!BT11))^0.976,0)+IFERROR(S13_PSP_Species_Support!BX11*0.0673*(S13_PSP_Species_Support!BY11*(S13_PSP_Species_Support!BZ11*(1-EXP(-S13_PSP_Species_Support!CA11*2))^S13_PSP_Species_Support!CB11)^2*(S13_PSP_Species_Support!CC11*(1-EXP(-S13_PSP_Species_Support!CD11*2))^S13_PSP_Species_Support!CE11))^0.976,0)+IFERROR(S13_PSP_Species_Support!CI11*0.0673*(S13_PSP_Species_Support!CJ11*(S13_PSP_Species_Support!CK11*(1-EXP(-S13_PSP_Species_Support!CL11*2))^S13_PSP_Species_Support!CM11)^2*(S13_PSP_Species_Support!CN11*(1-EXP(-S13_PSP_Species_Support!CO11*2))^S13_PSP_Species_Support!CP11))^0.976,0)+IFERROR(S13_PSP_Species_Support!CT11*0.0673*(S13_PSP_Species_Support!CU11*(S13_PSP_Species_Support!CV11*(1-EXP(-S13_PSP_Species_Support!CW11*2))^S13_PSP_Species_Support!CX11)^2*(S13_PSP_Species_Support!CY11*(1-EXP(-S13_PSP_Species_Support!CZ11*2))^S13_PSP_Species_Support!DA11))^0.976,0))/1000/$G24*K$108,0)</x:f>
        <x:v>0.469652502267338</x:v>
      </x:c>
      <x:c r="L24" s="147" t="n">
        <x:f aca="0">IFERROR((IFERROR(S13_PSP_Species_Support!U11*0.0673*(S13_PSP_Species_Support!V11*(S13_PSP_Species_Support!W11*(1-EXP(-S13_PSP_Species_Support!X11*3))^S13_PSP_Species_Support!Y11)^2*(S13_PSP_Species_Support!Z11*(1-EXP(-S13_PSP_Species_Support!AA11*3))^S13_PSP_Species_Support!AB11))^0.976,0)+IFERROR(S13_PSP_Species_Support!AF11*0.0673*(S13_PSP_Species_Support!AG11*(S13_PSP_Species_Support!AH11*(1-EXP(-S13_PSP_Species_Support!AI11*3))^S13_PSP_Species_Support!AJ11)^2*(S13_PSP_Species_Support!AK11*(1-EXP(-S13_PSP_Species_Support!AL11*3))^S13_PSP_Species_Support!AM11))^0.976,0)+IFERROR(S13_PSP_Species_Support!AQ11*0.0673*(S13_PSP_Species_Support!AR11*(S13_PSP_Species_Support!AS11*(1-EXP(-S13_PSP_Species_Support!AT11*3))^S13_PSP_Species_Support!AU11)^2*(S13_PSP_Species_Support!AV11*(1-EXP(-S13_PSP_Species_Support!AW11*3))^S13_PSP_Species_Support!AX11))^0.976,0)+IFERROR(S13_PSP_Species_Support!BB11*0.0673*(S13_PSP_Species_Support!BC11*(S13_PSP_Species_Support!BD11*(1-EXP(-S13_PSP_Species_Support!BE11*3))^S13_PSP_Species_Support!BF11)^2*(S13_PSP_Species_Support!BG11*(1-EXP(-S13_PSP_Species_Support!BH11*3))^S13_PSP_Species_Support!BI11))^0.976,0)+IFERROR(S13_PSP_Species_Support!BM11*0.0673*(S13_PSP_Species_Support!BN11*(S13_PSP_Species_Support!BO11*(1-EXP(-S13_PSP_Species_Support!BP11*3))^S13_PSP_Species_Support!BQ11)^2*(S13_PSP_Species_Support!BR11*(1-EXP(-S13_PSP_Species_Support!BS11*3))^S13_PSP_Species_Support!BT11))^0.976,0)+IFERROR(S13_PSP_Species_Support!BX11*0.0673*(S13_PSP_Species_Support!BY11*(S13_PSP_Species_Support!BZ11*(1-EXP(-S13_PSP_Species_Support!CA11*3))^S13_PSP_Species_Support!CB11)^2*(S13_PSP_Species_Support!CC11*(1-EXP(-S13_PSP_Species_Support!CD11*3))^S13_PSP_Species_Support!CE11))^0.976,0)+IFERROR(S13_PSP_Species_Support!CI11*0.0673*(S13_PSP_Species_Support!CJ11*(S13_PSP_Species_Support!CK11*(1-EXP(-S13_PSP_Species_Support!CL11*3))^S13_PSP_Species_Support!CM11)^2*(S13_PSP_Species_Support!CN11*(1-EXP(-S13_PSP_Species_Support!CO11*3))^S13_PSP_Species_Support!CP11))^0.976,0)+IFERROR(S13_PSP_Species_Support!CT11*0.0673*(S13_PSP_Species_Support!CU11*(S13_PSP_Species_Support!CV11*(1-EXP(-S13_PSP_Species_Support!CW11*3))^S13_PSP_Species_Support!CX11)^2*(S13_PSP_Species_Support!CY11*(1-EXP(-S13_PSP_Species_Support!CZ11*3))^S13_PSP_Species_Support!DA11))^0.976,0))/1000/$G24*L$108,0)</x:f>
        <x:v>1.7509942186636298</x:v>
      </x:c>
      <x:c r="M24" s="147" t="n">
        <x:f aca="0">IFERROR((IFERROR(S13_PSP_Species_Support!U11*0.0673*(S13_PSP_Species_Support!V11*(S13_PSP_Species_Support!W11*(1-EXP(-S13_PSP_Species_Support!X11*4))^S13_PSP_Species_Support!Y11)^2*(S13_PSP_Species_Support!Z11*(1-EXP(-S13_PSP_Species_Support!AA11*4))^S13_PSP_Species_Support!AB11))^0.976,0)+IFERROR(S13_PSP_Species_Support!AF11*0.0673*(S13_PSP_Species_Support!AG11*(S13_PSP_Species_Support!AH11*(1-EXP(-S13_PSP_Species_Support!AI11*4))^S13_PSP_Species_Support!AJ11)^2*(S13_PSP_Species_Support!AK11*(1-EXP(-S13_PSP_Species_Support!AL11*4))^S13_PSP_Species_Support!AM11))^0.976,0)+IFERROR(S13_PSP_Species_Support!AQ11*0.0673*(S13_PSP_Species_Support!AR11*(S13_PSP_Species_Support!AS11*(1-EXP(-S13_PSP_Species_Support!AT11*4))^S13_PSP_Species_Support!AU11)^2*(S13_PSP_Species_Support!AV11*(1-EXP(-S13_PSP_Species_Support!AW11*4))^S13_PSP_Species_Support!AX11))^0.976,0)+IFERROR(S13_PSP_Species_Support!BB11*0.0673*(S13_PSP_Species_Support!BC11*(S13_PSP_Species_Support!BD11*(1-EXP(-S13_PSP_Species_Support!BE11*4))^S13_PSP_Species_Support!BF11)^2*(S13_PSP_Species_Support!BG11*(1-EXP(-S13_PSP_Species_Support!BH11*4))^S13_PSP_Species_Support!BI11))^0.976,0)+IFERROR(S13_PSP_Species_Support!BM11*0.0673*(S13_PSP_Species_Support!BN11*(S13_PSP_Species_Support!BO11*(1-EXP(-S13_PSP_Species_Support!BP11*4))^S13_PSP_Species_Support!BQ11)^2*(S13_PSP_Species_Support!BR11*(1-EXP(-S13_PSP_Species_Support!BS11*4))^S13_PSP_Species_Support!BT11))^0.976,0)+IFERROR(S13_PSP_Species_Support!BX11*0.0673*(S13_PSP_Species_Support!BY11*(S13_PSP_Species_Support!BZ11*(1-EXP(-S13_PSP_Species_Support!CA11*4))^S13_PSP_Species_Support!CB11)^2*(S13_PSP_Species_Support!CC11*(1-EXP(-S13_PSP_Species_Support!CD11*4))^S13_PSP_Species_Support!CE11))^0.976,0)+IFERROR(S13_PSP_Species_Support!CI11*0.0673*(S13_PSP_Species_Support!CJ11*(S13_PSP_Species_Support!CK11*(1-EXP(-S13_PSP_Species_Support!CL11*4))^S13_PSP_Species_Support!CM11)^2*(S13_PSP_Species_Support!CN11*(1-EXP(-S13_PSP_Species_Support!CO11*4))^S13_PSP_Species_Support!CP11))^0.976,0)+IFERROR(S13_PSP_Species_Support!CT11*0.0673*(S13_PSP_Species_Support!CU11*(S13_PSP_Species_Support!CV11*(1-EXP(-S13_PSP_Species_Support!CW11*4))^S13_PSP_Species_Support!CX11)^2*(S13_PSP_Species_Support!CY11*(1-EXP(-S13_PSP_Species_Support!CZ11*4))^S13_PSP_Species_Support!DA11))^0.976,0))/1000/$G24*M$108,0)</x:f>
        <x:v>4.151360971126229</x:v>
      </x:c>
      <x:c r="N24" s="147" t="n">
        <x:f aca="0">IFERROR((IFERROR(S13_PSP_Species_Support!U11*0.0673*(S13_PSP_Species_Support!V11*(S13_PSP_Species_Support!W11*(1-EXP(-S13_PSP_Species_Support!X11*5))^S13_PSP_Species_Support!Y11)^2*(S13_PSP_Species_Support!Z11*(1-EXP(-S13_PSP_Species_Support!AA11*5))^S13_PSP_Species_Support!AB11))^0.976,0)+IFERROR(S13_PSP_Species_Support!AF11*0.0673*(S13_PSP_Species_Support!AG11*(S13_PSP_Species_Support!AH11*(1-EXP(-S13_PSP_Species_Support!AI11*5))^S13_PSP_Species_Support!AJ11)^2*(S13_PSP_Species_Support!AK11*(1-EXP(-S13_PSP_Species_Support!AL11*5))^S13_PSP_Species_Support!AM11))^0.976,0)+IFERROR(S13_PSP_Species_Support!AQ11*0.0673*(S13_PSP_Species_Support!AR11*(S13_PSP_Species_Support!AS11*(1-EXP(-S13_PSP_Species_Support!AT11*5))^S13_PSP_Species_Support!AU11)^2*(S13_PSP_Species_Support!AV11*(1-EXP(-S13_PSP_Species_Support!AW11*5))^S13_PSP_Species_Support!AX11))^0.976,0)+IFERROR(S13_PSP_Species_Support!BB11*0.0673*(S13_PSP_Species_Support!BC11*(S13_PSP_Species_Support!BD11*(1-EXP(-S13_PSP_Species_Support!BE11*5))^S13_PSP_Species_Support!BF11)^2*(S13_PSP_Species_Support!BG11*(1-EXP(-S13_PSP_Species_Support!BH11*5))^S13_PSP_Species_Support!BI11))^0.976,0)+IFERROR(S13_PSP_Species_Support!BM11*0.0673*(S13_PSP_Species_Support!BN11*(S13_PSP_Species_Support!BO11*(1-EXP(-S13_PSP_Species_Support!BP11*5))^S13_PSP_Species_Support!BQ11)^2*(S13_PSP_Species_Support!BR11*(1-EXP(-S13_PSP_Species_Support!BS11*5))^S13_PSP_Species_Support!BT11))^0.976,0)+IFERROR(S13_PSP_Species_Support!BX11*0.0673*(S13_PSP_Species_Support!BY11*(S13_PSP_Species_Support!BZ11*(1-EXP(-S13_PSP_Species_Support!CA11*5))^S13_PSP_Species_Support!CB11)^2*(S13_PSP_Species_Support!CC11*(1-EXP(-S13_PSP_Species_Support!CD11*5))^S13_PSP_Species_Support!CE11))^0.976,0)+IFERROR(S13_PSP_Species_Support!CI11*0.0673*(S13_PSP_Species_Support!CJ11*(S13_PSP_Species_Support!CK11*(1-EXP(-S13_PSP_Species_Support!CL11*5))^S13_PSP_Species_Support!CM11)^2*(S13_PSP_Species_Support!CN11*(1-EXP(-S13_PSP_Species_Support!CO11*5))^S13_PSP_Species_Support!CP11))^0.976,0)+IFERROR(S13_PSP_Species_Support!CT11*0.0673*(S13_PSP_Species_Support!CU11*(S13_PSP_Species_Support!CV11*(1-EXP(-S13_PSP_Species_Support!CW11*5))^S13_PSP_Species_Support!CX11)^2*(S13_PSP_Species_Support!CY11*(1-EXP(-S13_PSP_Species_Support!CZ11*5))^S13_PSP_Species_Support!DA11))^0.976,0))/1000/$G24*N$108,0)</x:f>
        <x:v>7.666968327401606</x:v>
      </x:c>
      <x:c r="O24" s="147" t="n">
        <x:f aca="0">IFERROR((IFERROR(S13_PSP_Species_Support!U11*0.0673*(S13_PSP_Species_Support!V11*(S13_PSP_Species_Support!W11*(1-EXP(-S13_PSP_Species_Support!X11*6))^S13_PSP_Species_Support!Y11)^2*(S13_PSP_Species_Support!Z11*(1-EXP(-S13_PSP_Species_Support!AA11*6))^S13_PSP_Species_Support!AB11))^0.976,0)+IFERROR(S13_PSP_Species_Support!AF11*0.0673*(S13_PSP_Species_Support!AG11*(S13_PSP_Species_Support!AH11*(1-EXP(-S13_PSP_Species_Support!AI11*6))^S13_PSP_Species_Support!AJ11)^2*(S13_PSP_Species_Support!AK11*(1-EXP(-S13_PSP_Species_Support!AL11*6))^S13_PSP_Species_Support!AM11))^0.976,0)+IFERROR(S13_PSP_Species_Support!AQ11*0.0673*(S13_PSP_Species_Support!AR11*(S13_PSP_Species_Support!AS11*(1-EXP(-S13_PSP_Species_Support!AT11*6))^S13_PSP_Species_Support!AU11)^2*(S13_PSP_Species_Support!AV11*(1-EXP(-S13_PSP_Species_Support!AW11*6))^S13_PSP_Species_Support!AX11))^0.976,0)+IFERROR(S13_PSP_Species_Support!BB11*0.0673*(S13_PSP_Species_Support!BC11*(S13_PSP_Species_Support!BD11*(1-EXP(-S13_PSP_Species_Support!BE11*6))^S13_PSP_Species_Support!BF11)^2*(S13_PSP_Species_Support!BG11*(1-EXP(-S13_PSP_Species_Support!BH11*6))^S13_PSP_Species_Support!BI11))^0.976,0)+IFERROR(S13_PSP_Species_Support!BM11*0.0673*(S13_PSP_Species_Support!BN11*(S13_PSP_Species_Support!BO11*(1-EXP(-S13_PSP_Species_Support!BP11*6))^S13_PSP_Species_Support!BQ11)^2*(S13_PSP_Species_Support!BR11*(1-EXP(-S13_PSP_Species_Support!BS11*6))^S13_PSP_Species_Support!BT11))^0.976,0)+IFERROR(S13_PSP_Species_Support!BX11*0.0673*(S13_PSP_Species_Support!BY11*(S13_PSP_Species_Support!BZ11*(1-EXP(-S13_PSP_Species_Support!CA11*6))^S13_PSP_Species_Support!CB11)^2*(S13_PSP_Species_Support!CC11*(1-EXP(-S13_PSP_Species_Support!CD11*6))^S13_PSP_Species_Support!CE11))^0.976,0)+IFERROR(S13_PSP_Species_Support!CI11*0.0673*(S13_PSP_Species_Support!CJ11*(S13_PSP_Species_Support!CK11*(1-EXP(-S13_PSP_Species_Support!CL11*6))^S13_PSP_Species_Support!CM11)^2*(S13_PSP_Species_Support!CN11*(1-EXP(-S13_PSP_Species_Support!CO11*6))^S13_PSP_Species_Support!CP11))^0.976,0)+IFERROR(S13_PSP_Species_Support!CT11*0.0673*(S13_PSP_Species_Support!CU11*(S13_PSP_Species_Support!CV11*(1-EXP(-S13_PSP_Species_Support!CW11*6))^S13_PSP_Species_Support!CX11)^2*(S13_PSP_Species_Support!CY11*(1-EXP(-S13_PSP_Species_Support!CZ11*6))^S13_PSP_Species_Support!DA11))^0.976,0))/1000/$G24*O$108,0)</x:f>
        <x:v>12.126990154955894</x:v>
      </x:c>
      <x:c r="P24" s="147" t="n">
        <x:f aca="0">IFERROR((IFERROR(S13_PSP_Species_Support!U11*0.0673*(S13_PSP_Species_Support!V11*(S13_PSP_Species_Support!W11*(1-EXP(-S13_PSP_Species_Support!X11*7))^S13_PSP_Species_Support!Y11)^2*(S13_PSP_Species_Support!Z11*(1-EXP(-S13_PSP_Species_Support!AA11*7))^S13_PSP_Species_Support!AB11))^0.976,0)+IFERROR(S13_PSP_Species_Support!AF11*0.0673*(S13_PSP_Species_Support!AG11*(S13_PSP_Species_Support!AH11*(1-EXP(-S13_PSP_Species_Support!AI11*7))^S13_PSP_Species_Support!AJ11)^2*(S13_PSP_Species_Support!AK11*(1-EXP(-S13_PSP_Species_Support!AL11*7))^S13_PSP_Species_Support!AM11))^0.976,0)+IFERROR(S13_PSP_Species_Support!AQ11*0.0673*(S13_PSP_Species_Support!AR11*(S13_PSP_Species_Support!AS11*(1-EXP(-S13_PSP_Species_Support!AT11*7))^S13_PSP_Species_Support!AU11)^2*(S13_PSP_Species_Support!AV11*(1-EXP(-S13_PSP_Species_Support!AW11*7))^S13_PSP_Species_Support!AX11))^0.976,0)+IFERROR(S13_PSP_Species_Support!BB11*0.0673*(S13_PSP_Species_Support!BC11*(S13_PSP_Species_Support!BD11*(1-EXP(-S13_PSP_Species_Support!BE11*7))^S13_PSP_Species_Support!BF11)^2*(S13_PSP_Species_Support!BG11*(1-EXP(-S13_PSP_Species_Support!BH11*7))^S13_PSP_Species_Support!BI11))^0.976,0)+IFERROR(S13_PSP_Species_Support!BM11*0.0673*(S13_PSP_Species_Support!BN11*(S13_PSP_Species_Support!BO11*(1-EXP(-S13_PSP_Species_Support!BP11*7))^S13_PSP_Species_Support!BQ11)^2*(S13_PSP_Species_Support!BR11*(1-EXP(-S13_PSP_Species_Support!BS11*7))^S13_PSP_Species_Support!BT11))^0.976,0)+IFERROR(S13_PSP_Species_Support!BX11*0.0673*(S13_PSP_Species_Support!BY11*(S13_PSP_Species_Support!BZ11*(1-EXP(-S13_PSP_Species_Support!CA11*7))^S13_PSP_Species_Support!CB11)^2*(S13_PSP_Species_Support!CC11*(1-EXP(-S13_PSP_Species_Support!CD11*7))^S13_PSP_Species_Support!CE11))^0.976,0)+IFERROR(S13_PSP_Species_Support!CI11*0.0673*(S13_PSP_Species_Support!CJ11*(S13_PSP_Species_Support!CK11*(1-EXP(-S13_PSP_Species_Support!CL11*7))^S13_PSP_Species_Support!CM11)^2*(S13_PSP_Species_Support!CN11*(1-EXP(-S13_PSP_Species_Support!CO11*7))^S13_PSP_Species_Support!CP11))^0.976,0)+IFERROR(S13_PSP_Species_Support!CT11*0.0673*(S13_PSP_Species_Support!CU11*(S13_PSP_Species_Support!CV11*(1-EXP(-S13_PSP_Species_Support!CW11*7))^S13_PSP_Species_Support!CX11)^2*(S13_PSP_Species_Support!CY11*(1-EXP(-S13_PSP_Species_Support!CZ11*7))^S13_PSP_Species_Support!DA11))^0.976,0))/1000/$G24*P$108,0)</x:f>
        <x:v>17.27857776598251</x:v>
      </x:c>
      <x:c r="Q24" s="147" t="n">
        <x:f aca="0">IFERROR((IFERROR(S13_PSP_Species_Support!U11*0.0673*(S13_PSP_Species_Support!V11*(S13_PSP_Species_Support!W11*(1-EXP(-S13_PSP_Species_Support!X11*8))^S13_PSP_Species_Support!Y11)^2*(S13_PSP_Species_Support!Z11*(1-EXP(-S13_PSP_Species_Support!AA11*8))^S13_PSP_Species_Support!AB11))^0.976,0)+IFERROR(S13_PSP_Species_Support!AF11*0.0673*(S13_PSP_Species_Support!AG11*(S13_PSP_Species_Support!AH11*(1-EXP(-S13_PSP_Species_Support!AI11*8))^S13_PSP_Species_Support!AJ11)^2*(S13_PSP_Species_Support!AK11*(1-EXP(-S13_PSP_Species_Support!AL11*8))^S13_PSP_Species_Support!AM11))^0.976,0)+IFERROR(S13_PSP_Species_Support!AQ11*0.0673*(S13_PSP_Species_Support!AR11*(S13_PSP_Species_Support!AS11*(1-EXP(-S13_PSP_Species_Support!AT11*8))^S13_PSP_Species_Support!AU11)^2*(S13_PSP_Species_Support!AV11*(1-EXP(-S13_PSP_Species_Support!AW11*8))^S13_PSP_Species_Support!AX11))^0.976,0)+IFERROR(S13_PSP_Species_Support!BB11*0.0673*(S13_PSP_Species_Support!BC11*(S13_PSP_Species_Support!BD11*(1-EXP(-S13_PSP_Species_Support!BE11*8))^S13_PSP_Species_Support!BF11)^2*(S13_PSP_Species_Support!BG11*(1-EXP(-S13_PSP_Species_Support!BH11*8))^S13_PSP_Species_Support!BI11))^0.976,0)+IFERROR(S13_PSP_Species_Support!BM11*0.0673*(S13_PSP_Species_Support!BN11*(S13_PSP_Species_Support!BO11*(1-EXP(-S13_PSP_Species_Support!BP11*8))^S13_PSP_Species_Support!BQ11)^2*(S13_PSP_Species_Support!BR11*(1-EXP(-S13_PSP_Species_Support!BS11*8))^S13_PSP_Species_Support!BT11))^0.976,0)+IFERROR(S13_PSP_Species_Support!BX11*0.0673*(S13_PSP_Species_Support!BY11*(S13_PSP_Species_Support!BZ11*(1-EXP(-S13_PSP_Species_Support!CA11*8))^S13_PSP_Species_Support!CB11)^2*(S13_PSP_Species_Support!CC11*(1-EXP(-S13_PSP_Species_Support!CD11*8))^S13_PSP_Species_Support!CE11))^0.976,0)+IFERROR(S13_PSP_Species_Support!CI11*0.0673*(S13_PSP_Species_Support!CJ11*(S13_PSP_Species_Support!CK11*(1-EXP(-S13_PSP_Species_Support!CL11*8))^S13_PSP_Species_Support!CM11)^2*(S13_PSP_Species_Support!CN11*(1-EXP(-S13_PSP_Species_Support!CO11*8))^S13_PSP_Species_Support!CP11))^0.976,0)+IFERROR(S13_PSP_Species_Support!CT11*0.0673*(S13_PSP_Species_Support!CU11*(S13_PSP_Species_Support!CV11*(1-EXP(-S13_PSP_Species_Support!CW11*8))^S13_PSP_Species_Support!CX11)^2*(S13_PSP_Species_Support!CY11*(1-EXP(-S13_PSP_Species_Support!CZ11*8))^S13_PSP_Species_Support!DA11))^0.976,0))/1000/$G24*Q$108,0)</x:f>
        <x:v>22.853217890235282</x:v>
      </x:c>
      <x:c r="R24" s="147" t="n">
        <x:f aca="0">IFERROR((IFERROR(S13_PSP_Species_Support!U11*0.0673*(S13_PSP_Species_Support!V11*(S13_PSP_Species_Support!W11*(1-EXP(-S13_PSP_Species_Support!X11*9))^S13_PSP_Species_Support!Y11)^2*(S13_PSP_Species_Support!Z11*(1-EXP(-S13_PSP_Species_Support!AA11*9))^S13_PSP_Species_Support!AB11))^0.976,0)+IFERROR(S13_PSP_Species_Support!AF11*0.0673*(S13_PSP_Species_Support!AG11*(S13_PSP_Species_Support!AH11*(1-EXP(-S13_PSP_Species_Support!AI11*9))^S13_PSP_Species_Support!AJ11)^2*(S13_PSP_Species_Support!AK11*(1-EXP(-S13_PSP_Species_Support!AL11*9))^S13_PSP_Species_Support!AM11))^0.976,0)+IFERROR(S13_PSP_Species_Support!AQ11*0.0673*(S13_PSP_Species_Support!AR11*(S13_PSP_Species_Support!AS11*(1-EXP(-S13_PSP_Species_Support!AT11*9))^S13_PSP_Species_Support!AU11)^2*(S13_PSP_Species_Support!AV11*(1-EXP(-S13_PSP_Species_Support!AW11*9))^S13_PSP_Species_Support!AX11))^0.976,0)+IFERROR(S13_PSP_Species_Support!BB11*0.0673*(S13_PSP_Species_Support!BC11*(S13_PSP_Species_Support!BD11*(1-EXP(-S13_PSP_Species_Support!BE11*9))^S13_PSP_Species_Support!BF11)^2*(S13_PSP_Species_Support!BG11*(1-EXP(-S13_PSP_Species_Support!BH11*9))^S13_PSP_Species_Support!BI11))^0.976,0)+IFERROR(S13_PSP_Species_Support!BM11*0.0673*(S13_PSP_Species_Support!BN11*(S13_PSP_Species_Support!BO11*(1-EXP(-S13_PSP_Species_Support!BP11*9))^S13_PSP_Species_Support!BQ11)^2*(S13_PSP_Species_Support!BR11*(1-EXP(-S13_PSP_Species_Support!BS11*9))^S13_PSP_Species_Support!BT11))^0.976,0)+IFERROR(S13_PSP_Species_Support!BX11*0.0673*(S13_PSP_Species_Support!BY11*(S13_PSP_Species_Support!BZ11*(1-EXP(-S13_PSP_Species_Support!CA11*9))^S13_PSP_Species_Support!CB11)^2*(S13_PSP_Species_Support!CC11*(1-EXP(-S13_PSP_Species_Support!CD11*9))^S13_PSP_Species_Support!CE11))^0.976,0)+IFERROR(S13_PSP_Species_Support!CI11*0.0673*(S13_PSP_Species_Support!CJ11*(S13_PSP_Species_Support!CK11*(1-EXP(-S13_PSP_Species_Support!CL11*9))^S13_PSP_Species_Support!CM11)^2*(S13_PSP_Species_Support!CN11*(1-EXP(-S13_PSP_Species_Support!CO11*9))^S13_PSP_Species_Support!CP11))^0.976,0)+IFERROR(S13_PSP_Species_Support!CT11*0.0673*(S13_PSP_Species_Support!CU11*(S13_PSP_Species_Support!CV11*(1-EXP(-S13_PSP_Species_Support!CW11*9))^S13_PSP_Species_Support!CX11)^2*(S13_PSP_Species_Support!CY11*(1-EXP(-S13_PSP_Species_Support!CZ11*9))^S13_PSP_Species_Support!DA11))^0.976,0))/1000/$G24*R$108,0)</x:f>
        <x:v>28.60644177792564</x:v>
      </x:c>
      <x:c r="S24" s="147" t="n">
        <x:f aca="0">IFERROR((IFERROR(S13_PSP_Species_Support!U11*0.0673*(S13_PSP_Species_Support!V11*(S13_PSP_Species_Support!W11*(1-EXP(-S13_PSP_Species_Support!X11*10))^S13_PSP_Species_Support!Y11)^2*(S13_PSP_Species_Support!Z11*(1-EXP(-S13_PSP_Species_Support!AA11*10))^S13_PSP_Species_Support!AB11))^0.976,0)+IFERROR(S13_PSP_Species_Support!AF11*0.0673*(S13_PSP_Species_Support!AG11*(S13_PSP_Species_Support!AH11*(1-EXP(-S13_PSP_Species_Support!AI11*10))^S13_PSP_Species_Support!AJ11)^2*(S13_PSP_Species_Support!AK11*(1-EXP(-S13_PSP_Species_Support!AL11*10))^S13_PSP_Species_Support!AM11))^0.976,0)+IFERROR(S13_PSP_Species_Support!AQ11*0.0673*(S13_PSP_Species_Support!AR11*(S13_PSP_Species_Support!AS11*(1-EXP(-S13_PSP_Species_Support!AT11*10))^S13_PSP_Species_Support!AU11)^2*(S13_PSP_Species_Support!AV11*(1-EXP(-S13_PSP_Species_Support!AW11*10))^S13_PSP_Species_Support!AX11))^0.976,0)+IFERROR(S13_PSP_Species_Support!BB11*0.0673*(S13_PSP_Species_Support!BC11*(S13_PSP_Species_Support!BD11*(1-EXP(-S13_PSP_Species_Support!BE11*10))^S13_PSP_Species_Support!BF11)^2*(S13_PSP_Species_Support!BG11*(1-EXP(-S13_PSP_Species_Support!BH11*10))^S13_PSP_Species_Support!BI11))^0.976,0)+IFERROR(S13_PSP_Species_Support!BM11*0.0673*(S13_PSP_Species_Support!BN11*(S13_PSP_Species_Support!BO11*(1-EXP(-S13_PSP_Species_Support!BP11*10))^S13_PSP_Species_Support!BQ11)^2*(S13_PSP_Species_Support!BR11*(1-EXP(-S13_PSP_Species_Support!BS11*10))^S13_PSP_Species_Support!BT11))^0.976,0)+IFERROR(S13_PSP_Species_Support!BX11*0.0673*(S13_PSP_Species_Support!BY11*(S13_PSP_Species_Support!BZ11*(1-EXP(-S13_PSP_Species_Support!CA11*10))^S13_PSP_Species_Support!CB11)^2*(S13_PSP_Species_Support!CC11*(1-EXP(-S13_PSP_Species_Support!CD11*10))^S13_PSP_Species_Support!CE11))^0.976,0)+IFERROR(S13_PSP_Species_Support!CI11*0.0673*(S13_PSP_Species_Support!CJ11*(S13_PSP_Species_Support!CK11*(1-EXP(-S13_PSP_Species_Support!CL11*10))^S13_PSP_Species_Support!CM11)^2*(S13_PSP_Species_Support!CN11*(1-EXP(-S13_PSP_Species_Support!CO11*10))^S13_PSP_Species_Support!CP11))^0.976,0)+IFERROR(S13_PSP_Species_Support!CT11*0.0673*(S13_PSP_Species_Support!CU11*(S13_PSP_Species_Support!CV11*(1-EXP(-S13_PSP_Species_Support!CW11*10))^S13_PSP_Species_Support!CX11)^2*(S13_PSP_Species_Support!CY11*(1-EXP(-S13_PSP_Species_Support!CZ11*10))^S13_PSP_Species_Support!DA11))^0.976,0))/1000/$G24*S$108,0)</x:f>
        <x:v>34.33669258499356</x:v>
      </x:c>
      <x:c r="T24" s="147" t="n">
        <x:f aca="0">IFERROR((IFERROR(S13_PSP_Species_Support!U11*0.0673*(S13_PSP_Species_Support!V11*(S13_PSP_Species_Support!W11*(1-EXP(-S13_PSP_Species_Support!X11*11))^S13_PSP_Species_Support!Y11)^2*(S13_PSP_Species_Support!Z11*(1-EXP(-S13_PSP_Species_Support!AA11*11))^S13_PSP_Species_Support!AB11))^0.976,0)+IFERROR(S13_PSP_Species_Support!AF11*0.0673*(S13_PSP_Species_Support!AG11*(S13_PSP_Species_Support!AH11*(1-EXP(-S13_PSP_Species_Support!AI11*11))^S13_PSP_Species_Support!AJ11)^2*(S13_PSP_Species_Support!AK11*(1-EXP(-S13_PSP_Species_Support!AL11*11))^S13_PSP_Species_Support!AM11))^0.976,0)+IFERROR(S13_PSP_Species_Support!AQ11*0.0673*(S13_PSP_Species_Support!AR11*(S13_PSP_Species_Support!AS11*(1-EXP(-S13_PSP_Species_Support!AT11*11))^S13_PSP_Species_Support!AU11)^2*(S13_PSP_Species_Support!AV11*(1-EXP(-S13_PSP_Species_Support!AW11*11))^S13_PSP_Species_Support!AX11))^0.976,0)+IFERROR(S13_PSP_Species_Support!BB11*0.0673*(S13_PSP_Species_Support!BC11*(S13_PSP_Species_Support!BD11*(1-EXP(-S13_PSP_Species_Support!BE11*11))^S13_PSP_Species_Support!BF11)^2*(S13_PSP_Species_Support!BG11*(1-EXP(-S13_PSP_Species_Support!BH11*11))^S13_PSP_Species_Support!BI11))^0.976,0)+IFERROR(S13_PSP_Species_Support!BM11*0.0673*(S13_PSP_Species_Support!BN11*(S13_PSP_Species_Support!BO11*(1-EXP(-S13_PSP_Species_Support!BP11*11))^S13_PSP_Species_Support!BQ11)^2*(S13_PSP_Species_Support!BR11*(1-EXP(-S13_PSP_Species_Support!BS11*11))^S13_PSP_Species_Support!BT11))^0.976,0)+IFERROR(S13_PSP_Species_Support!BX11*0.0673*(S13_PSP_Species_Support!BY11*(S13_PSP_Species_Support!BZ11*(1-EXP(-S13_PSP_Species_Support!CA11*11))^S13_PSP_Species_Support!CB11)^2*(S13_PSP_Species_Support!CC11*(1-EXP(-S13_PSP_Species_Support!CD11*11))^S13_PSP_Species_Support!CE11))^0.976,0)+IFERROR(S13_PSP_Species_Support!CI11*0.0673*(S13_PSP_Species_Support!CJ11*(S13_PSP_Species_Support!CK11*(1-EXP(-S13_PSP_Species_Support!CL11*11))^S13_PSP_Species_Support!CM11)^2*(S13_PSP_Species_Support!CN11*(1-EXP(-S13_PSP_Species_Support!CO11*11))^S13_PSP_Species_Support!CP11))^0.976,0)+IFERROR(S13_PSP_Species_Support!CT11*0.0673*(S13_PSP_Species_Support!CU11*(S13_PSP_Species_Support!CV11*(1-EXP(-S13_PSP_Species_Support!CW11*11))^S13_PSP_Species_Support!CX11)^2*(S13_PSP_Species_Support!CY11*(1-EXP(-S13_PSP_Species_Support!CZ11*11))^S13_PSP_Species_Support!DA11))^0.976,0))/1000/$G24*T$108,0)</x:f>
        <x:v>39.89048860194414</x:v>
      </x:c>
      <x:c r="U24" s="147" t="n">
        <x:f aca="0">IFERROR((IFERROR(S13_PSP_Species_Support!U11*0.0673*(S13_PSP_Species_Support!V11*(S13_PSP_Species_Support!W11*(1-EXP(-S13_PSP_Species_Support!X11*12))^S13_PSP_Species_Support!Y11)^2*(S13_PSP_Species_Support!Z11*(1-EXP(-S13_PSP_Species_Support!AA11*12))^S13_PSP_Species_Support!AB11))^0.976,0)+IFERROR(S13_PSP_Species_Support!AF11*0.0673*(S13_PSP_Species_Support!AG11*(S13_PSP_Species_Support!AH11*(1-EXP(-S13_PSP_Species_Support!AI11*12))^S13_PSP_Species_Support!AJ11)^2*(S13_PSP_Species_Support!AK11*(1-EXP(-S13_PSP_Species_Support!AL11*12))^S13_PSP_Species_Support!AM11))^0.976,0)+IFERROR(S13_PSP_Species_Support!AQ11*0.0673*(S13_PSP_Species_Support!AR11*(S13_PSP_Species_Support!AS11*(1-EXP(-S13_PSP_Species_Support!AT11*12))^S13_PSP_Species_Support!AU11)^2*(S13_PSP_Species_Support!AV11*(1-EXP(-S13_PSP_Species_Support!AW11*12))^S13_PSP_Species_Support!AX11))^0.976,0)+IFERROR(S13_PSP_Species_Support!BB11*0.0673*(S13_PSP_Species_Support!BC11*(S13_PSP_Species_Support!BD11*(1-EXP(-S13_PSP_Species_Support!BE11*12))^S13_PSP_Species_Support!BF11)^2*(S13_PSP_Species_Support!BG11*(1-EXP(-S13_PSP_Species_Support!BH11*12))^S13_PSP_Species_Support!BI11))^0.976,0)+IFERROR(S13_PSP_Species_Support!BM11*0.0673*(S13_PSP_Species_Support!BN11*(S13_PSP_Species_Support!BO11*(1-EXP(-S13_PSP_Species_Support!BP11*12))^S13_PSP_Species_Support!BQ11)^2*(S13_PSP_Species_Support!BR11*(1-EXP(-S13_PSP_Species_Support!BS11*12))^S13_PSP_Species_Support!BT11))^0.976,0)+IFERROR(S13_PSP_Species_Support!BX11*0.0673*(S13_PSP_Species_Support!BY11*(S13_PSP_Species_Support!BZ11*(1-EXP(-S13_PSP_Species_Support!CA11*12))^S13_PSP_Species_Support!CB11)^2*(S13_PSP_Species_Support!CC11*(1-EXP(-S13_PSP_Species_Support!CD11*12))^S13_PSP_Species_Support!CE11))^0.976,0)+IFERROR(S13_PSP_Species_Support!CI11*0.0673*(S13_PSP_Species_Support!CJ11*(S13_PSP_Species_Support!CK11*(1-EXP(-S13_PSP_Species_Support!CL11*12))^S13_PSP_Species_Support!CM11)^2*(S13_PSP_Species_Support!CN11*(1-EXP(-S13_PSP_Species_Support!CO11*12))^S13_PSP_Species_Support!CP11))^0.976,0)+IFERROR(S13_PSP_Species_Support!CT11*0.0673*(S13_PSP_Species_Support!CU11*(S13_PSP_Species_Support!CV11*(1-EXP(-S13_PSP_Species_Support!CW11*12))^S13_PSP_Species_Support!CX11)^2*(S13_PSP_Species_Support!CY11*(1-EXP(-S13_PSP_Species_Support!CZ11*12))^S13_PSP_Species_Support!DA11))^0.976,0))/1000/$G24*U$108,0)</x:f>
        <x:v>45.15974154620286</x:v>
      </x:c>
      <x:c r="V24" s="147" t="n">
        <x:f aca="0">IFERROR((IFERROR(S13_PSP_Species_Support!U11*0.0673*(S13_PSP_Species_Support!V11*(S13_PSP_Species_Support!W11*(1-EXP(-S13_PSP_Species_Support!X11*13))^S13_PSP_Species_Support!Y11)^2*(S13_PSP_Species_Support!Z11*(1-EXP(-S13_PSP_Species_Support!AA11*13))^S13_PSP_Species_Support!AB11))^0.976,0)+IFERROR(S13_PSP_Species_Support!AF11*0.0673*(S13_PSP_Species_Support!AG11*(S13_PSP_Species_Support!AH11*(1-EXP(-S13_PSP_Species_Support!AI11*13))^S13_PSP_Species_Support!AJ11)^2*(S13_PSP_Species_Support!AK11*(1-EXP(-S13_PSP_Species_Support!AL11*13))^S13_PSP_Species_Support!AM11))^0.976,0)+IFERROR(S13_PSP_Species_Support!AQ11*0.0673*(S13_PSP_Species_Support!AR11*(S13_PSP_Species_Support!AS11*(1-EXP(-S13_PSP_Species_Support!AT11*13))^S13_PSP_Species_Support!AU11)^2*(S13_PSP_Species_Support!AV11*(1-EXP(-S13_PSP_Species_Support!AW11*13))^S13_PSP_Species_Support!AX11))^0.976,0)+IFERROR(S13_PSP_Species_Support!BB11*0.0673*(S13_PSP_Species_Support!BC11*(S13_PSP_Species_Support!BD11*(1-EXP(-S13_PSP_Species_Support!BE11*13))^S13_PSP_Species_Support!BF11)^2*(S13_PSP_Species_Support!BG11*(1-EXP(-S13_PSP_Species_Support!BH11*13))^S13_PSP_Species_Support!BI11))^0.976,0)+IFERROR(S13_PSP_Species_Support!BM11*0.0673*(S13_PSP_Species_Support!BN11*(S13_PSP_Species_Support!BO11*(1-EXP(-S13_PSP_Species_Support!BP11*13))^S13_PSP_Species_Support!BQ11)^2*(S13_PSP_Species_Support!BR11*(1-EXP(-S13_PSP_Species_Support!BS11*13))^S13_PSP_Species_Support!BT11))^0.976,0)+IFERROR(S13_PSP_Species_Support!BX11*0.0673*(S13_PSP_Species_Support!BY11*(S13_PSP_Species_Support!BZ11*(1-EXP(-S13_PSP_Species_Support!CA11*13))^S13_PSP_Species_Support!CB11)^2*(S13_PSP_Species_Support!CC11*(1-EXP(-S13_PSP_Species_Support!CD11*13))^S13_PSP_Species_Support!CE11))^0.976,0)+IFERROR(S13_PSP_Species_Support!CI11*0.0673*(S13_PSP_Species_Support!CJ11*(S13_PSP_Species_Support!CK11*(1-EXP(-S13_PSP_Species_Support!CL11*13))^S13_PSP_Species_Support!CM11)^2*(S13_PSP_Species_Support!CN11*(1-EXP(-S13_PSP_Species_Support!CO11*13))^S13_PSP_Species_Support!CP11))^0.976,0)+IFERROR(S13_PSP_Species_Support!CT11*0.0673*(S13_PSP_Species_Support!CU11*(S13_PSP_Species_Support!CV11*(1-EXP(-S13_PSP_Species_Support!CW11*13))^S13_PSP_Species_Support!CX11)^2*(S13_PSP_Species_Support!CY11*(1-EXP(-S13_PSP_Species_Support!CZ11*13))^S13_PSP_Species_Support!DA11))^0.976,0))/1000/$G24*V$108,0)</x:f>
        <x:v>50.075309972610846</x:v>
      </x:c>
      <x:c r="W24" s="147" t="n">
        <x:f aca="0">IFERROR((IFERROR(S13_PSP_Species_Support!U11*0.0673*(S13_PSP_Species_Support!V11*(S13_PSP_Species_Support!W11*(1-EXP(-S13_PSP_Species_Support!X11*14))^S13_PSP_Species_Support!Y11)^2*(S13_PSP_Species_Support!Z11*(1-EXP(-S13_PSP_Species_Support!AA11*14))^S13_PSP_Species_Support!AB11))^0.976,0)+IFERROR(S13_PSP_Species_Support!AF11*0.0673*(S13_PSP_Species_Support!AG11*(S13_PSP_Species_Support!AH11*(1-EXP(-S13_PSP_Species_Support!AI11*14))^S13_PSP_Species_Support!AJ11)^2*(S13_PSP_Species_Support!AK11*(1-EXP(-S13_PSP_Species_Support!AL11*14))^S13_PSP_Species_Support!AM11))^0.976,0)+IFERROR(S13_PSP_Species_Support!AQ11*0.0673*(S13_PSP_Species_Support!AR11*(S13_PSP_Species_Support!AS11*(1-EXP(-S13_PSP_Species_Support!AT11*14))^S13_PSP_Species_Support!AU11)^2*(S13_PSP_Species_Support!AV11*(1-EXP(-S13_PSP_Species_Support!AW11*14))^S13_PSP_Species_Support!AX11))^0.976,0)+IFERROR(S13_PSP_Species_Support!BB11*0.0673*(S13_PSP_Species_Support!BC11*(S13_PSP_Species_Support!BD11*(1-EXP(-S13_PSP_Species_Support!BE11*14))^S13_PSP_Species_Support!BF11)^2*(S13_PSP_Species_Support!BG11*(1-EXP(-S13_PSP_Species_Support!BH11*14))^S13_PSP_Species_Support!BI11))^0.976,0)+IFERROR(S13_PSP_Species_Support!BM11*0.0673*(S13_PSP_Species_Support!BN11*(S13_PSP_Species_Support!BO11*(1-EXP(-S13_PSP_Species_Support!BP11*14))^S13_PSP_Species_Support!BQ11)^2*(S13_PSP_Species_Support!BR11*(1-EXP(-S13_PSP_Species_Support!BS11*14))^S13_PSP_Species_Support!BT11))^0.976,0)+IFERROR(S13_PSP_Species_Support!BX11*0.0673*(S13_PSP_Species_Support!BY11*(S13_PSP_Species_Support!BZ11*(1-EXP(-S13_PSP_Species_Support!CA11*14))^S13_PSP_Species_Support!CB11)^2*(S13_PSP_Species_Support!CC11*(1-EXP(-S13_PSP_Species_Support!CD11*14))^S13_PSP_Species_Support!CE11))^0.976,0)+IFERROR(S13_PSP_Species_Support!CI11*0.0673*(S13_PSP_Species_Support!CJ11*(S13_PSP_Species_Support!CK11*(1-EXP(-S13_PSP_Species_Support!CL11*14))^S13_PSP_Species_Support!CM11)^2*(S13_PSP_Species_Support!CN11*(1-EXP(-S13_PSP_Species_Support!CO11*14))^S13_PSP_Species_Support!CP11))^0.976,0)+IFERROR(S13_PSP_Species_Support!CT11*0.0673*(S13_PSP_Species_Support!CU11*(S13_PSP_Species_Support!CV11*(1-EXP(-S13_PSP_Species_Support!CW11*14))^S13_PSP_Species_Support!CX11)^2*(S13_PSP_Species_Support!CY11*(1-EXP(-S13_PSP_Species_Support!CZ11*14))^S13_PSP_Species_Support!DA11))^0.976,0))/1000/$G24*W$108,0)</x:f>
        <x:v>54.5993324828376</x:v>
      </x:c>
      <x:c r="X24" s="147" t="n">
        <x:f aca="0">IFERROR((IFERROR(S13_PSP_Species_Support!U11*0.0673*(S13_PSP_Species_Support!V11*(S13_PSP_Species_Support!W11*(1-EXP(-S13_PSP_Species_Support!X11*15))^S13_PSP_Species_Support!Y11)^2*(S13_PSP_Species_Support!Z11*(1-EXP(-S13_PSP_Species_Support!AA11*15))^S13_PSP_Species_Support!AB11))^0.976,0)+IFERROR(S13_PSP_Species_Support!AF11*0.0673*(S13_PSP_Species_Support!AG11*(S13_PSP_Species_Support!AH11*(1-EXP(-S13_PSP_Species_Support!AI11*15))^S13_PSP_Species_Support!AJ11)^2*(S13_PSP_Species_Support!AK11*(1-EXP(-S13_PSP_Species_Support!AL11*15))^S13_PSP_Species_Support!AM11))^0.976,0)+IFERROR(S13_PSP_Species_Support!AQ11*0.0673*(S13_PSP_Species_Support!AR11*(S13_PSP_Species_Support!AS11*(1-EXP(-S13_PSP_Species_Support!AT11*15))^S13_PSP_Species_Support!AU11)^2*(S13_PSP_Species_Support!AV11*(1-EXP(-S13_PSP_Species_Support!AW11*15))^S13_PSP_Species_Support!AX11))^0.976,0)+IFERROR(S13_PSP_Species_Support!BB11*0.0673*(S13_PSP_Species_Support!BC11*(S13_PSP_Species_Support!BD11*(1-EXP(-S13_PSP_Species_Support!BE11*15))^S13_PSP_Species_Support!BF11)^2*(S13_PSP_Species_Support!BG11*(1-EXP(-S13_PSP_Species_Support!BH11*15))^S13_PSP_Species_Support!BI11))^0.976,0)+IFERROR(S13_PSP_Species_Support!BM11*0.0673*(S13_PSP_Species_Support!BN11*(S13_PSP_Species_Support!BO11*(1-EXP(-S13_PSP_Species_Support!BP11*15))^S13_PSP_Species_Support!BQ11)^2*(S13_PSP_Species_Support!BR11*(1-EXP(-S13_PSP_Species_Support!BS11*15))^S13_PSP_Species_Support!BT11))^0.976,0)+IFERROR(S13_PSP_Species_Support!BX11*0.0673*(S13_PSP_Species_Support!BY11*(S13_PSP_Species_Support!BZ11*(1-EXP(-S13_PSP_Species_Support!CA11*15))^S13_PSP_Species_Support!CB11)^2*(S13_PSP_Species_Support!CC11*(1-EXP(-S13_PSP_Species_Support!CD11*15))^S13_PSP_Species_Support!CE11))^0.976,0)+IFERROR(S13_PSP_Species_Support!CI11*0.0673*(S13_PSP_Species_Support!CJ11*(S13_PSP_Species_Support!CK11*(1-EXP(-S13_PSP_Species_Support!CL11*15))^S13_PSP_Species_Support!CM11)^2*(S13_PSP_Species_Support!CN11*(1-EXP(-S13_PSP_Species_Support!CO11*15))^S13_PSP_Species_Support!CP11))^0.976,0)+IFERROR(S13_PSP_Species_Support!CT11*0.0673*(S13_PSP_Species_Support!CU11*(S13_PSP_Species_Support!CV11*(1-EXP(-S13_PSP_Species_Support!CW11*15))^S13_PSP_Species_Support!CX11)^2*(S13_PSP_Species_Support!CY11*(1-EXP(-S13_PSP_Species_Support!CZ11*15))^S13_PSP_Species_Support!DA11))^0.976,0))/1000/$G24*X$108,0)</x:f>
        <x:v>58.71776860932104</x:v>
      </x:c>
      <x:c r="Y24" s="147" t="n">
        <x:f aca="0">IFERROR((IFERROR(S13_PSP_Species_Support!U11*0.0673*(S13_PSP_Species_Support!V11*(S13_PSP_Species_Support!W11*(1-EXP(-S13_PSP_Species_Support!X11*16))^S13_PSP_Species_Support!Y11)^2*(S13_PSP_Species_Support!Z11*(1-EXP(-S13_PSP_Species_Support!AA11*16))^S13_PSP_Species_Support!AB11))^0.976,0)+IFERROR(S13_PSP_Species_Support!AF11*0.0673*(S13_PSP_Species_Support!AG11*(S13_PSP_Species_Support!AH11*(1-EXP(-S13_PSP_Species_Support!AI11*16))^S13_PSP_Species_Support!AJ11)^2*(S13_PSP_Species_Support!AK11*(1-EXP(-S13_PSP_Species_Support!AL11*16))^S13_PSP_Species_Support!AM11))^0.976,0)+IFERROR(S13_PSP_Species_Support!AQ11*0.0673*(S13_PSP_Species_Support!AR11*(S13_PSP_Species_Support!AS11*(1-EXP(-S13_PSP_Species_Support!AT11*16))^S13_PSP_Species_Support!AU11)^2*(S13_PSP_Species_Support!AV11*(1-EXP(-S13_PSP_Species_Support!AW11*16))^S13_PSP_Species_Support!AX11))^0.976,0)+IFERROR(S13_PSP_Species_Support!BB11*0.0673*(S13_PSP_Species_Support!BC11*(S13_PSP_Species_Support!BD11*(1-EXP(-S13_PSP_Species_Support!BE11*16))^S13_PSP_Species_Support!BF11)^2*(S13_PSP_Species_Support!BG11*(1-EXP(-S13_PSP_Species_Support!BH11*16))^S13_PSP_Species_Support!BI11))^0.976,0)+IFERROR(S13_PSP_Species_Support!BM11*0.0673*(S13_PSP_Species_Support!BN11*(S13_PSP_Species_Support!BO11*(1-EXP(-S13_PSP_Species_Support!BP11*16))^S13_PSP_Species_Support!BQ11)^2*(S13_PSP_Species_Support!BR11*(1-EXP(-S13_PSP_Species_Support!BS11*16))^S13_PSP_Species_Support!BT11))^0.976,0)+IFERROR(S13_PSP_Species_Support!BX11*0.0673*(S13_PSP_Species_Support!BY11*(S13_PSP_Species_Support!BZ11*(1-EXP(-S13_PSP_Species_Support!CA11*16))^S13_PSP_Species_Support!CB11)^2*(S13_PSP_Species_Support!CC11*(1-EXP(-S13_PSP_Species_Support!CD11*16))^S13_PSP_Species_Support!CE11))^0.976,0)+IFERROR(S13_PSP_Species_Support!CI11*0.0673*(S13_PSP_Species_Support!CJ11*(S13_PSP_Species_Support!CK11*(1-EXP(-S13_PSP_Species_Support!CL11*16))^S13_PSP_Species_Support!CM11)^2*(S13_PSP_Species_Support!CN11*(1-EXP(-S13_PSP_Species_Support!CO11*16))^S13_PSP_Species_Support!CP11))^0.976,0)+IFERROR(S13_PSP_Species_Support!CT11*0.0673*(S13_PSP_Species_Support!CU11*(S13_PSP_Species_Support!CV11*(1-EXP(-S13_PSP_Species_Support!CW11*16))^S13_PSP_Species_Support!CX11)^2*(S13_PSP_Species_Support!CY11*(1-EXP(-S13_PSP_Species_Support!CZ11*16))^S13_PSP_Species_Support!DA11))^0.976,0))/1000/$G24*Y$108,0)</x:f>
        <x:v>62.43384110213893</x:v>
      </x:c>
      <x:c r="Z24" s="147" t="n">
        <x:f aca="0">IFERROR((IFERROR(S13_PSP_Species_Support!U11*0.0673*(S13_PSP_Species_Support!V11*(S13_PSP_Species_Support!W11*(1-EXP(-S13_PSP_Species_Support!X11*17))^S13_PSP_Species_Support!Y11)^2*(S13_PSP_Species_Support!Z11*(1-EXP(-S13_PSP_Species_Support!AA11*17))^S13_PSP_Species_Support!AB11))^0.976,0)+IFERROR(S13_PSP_Species_Support!AF11*0.0673*(S13_PSP_Species_Support!AG11*(S13_PSP_Species_Support!AH11*(1-EXP(-S13_PSP_Species_Support!AI11*17))^S13_PSP_Species_Support!AJ11)^2*(S13_PSP_Species_Support!AK11*(1-EXP(-S13_PSP_Species_Support!AL11*17))^S13_PSP_Species_Support!AM11))^0.976,0)+IFERROR(S13_PSP_Species_Support!AQ11*0.0673*(S13_PSP_Species_Support!AR11*(S13_PSP_Species_Support!AS11*(1-EXP(-S13_PSP_Species_Support!AT11*17))^S13_PSP_Species_Support!AU11)^2*(S13_PSP_Species_Support!AV11*(1-EXP(-S13_PSP_Species_Support!AW11*17))^S13_PSP_Species_Support!AX11))^0.976,0)+IFERROR(S13_PSP_Species_Support!BB11*0.0673*(S13_PSP_Species_Support!BC11*(S13_PSP_Species_Support!BD11*(1-EXP(-S13_PSP_Species_Support!BE11*17))^S13_PSP_Species_Support!BF11)^2*(S13_PSP_Species_Support!BG11*(1-EXP(-S13_PSP_Species_Support!BH11*17))^S13_PSP_Species_Support!BI11))^0.976,0)+IFERROR(S13_PSP_Species_Support!BM11*0.0673*(S13_PSP_Species_Support!BN11*(S13_PSP_Species_Support!BO11*(1-EXP(-S13_PSP_Species_Support!BP11*17))^S13_PSP_Species_Support!BQ11)^2*(S13_PSP_Species_Support!BR11*(1-EXP(-S13_PSP_Species_Support!BS11*17))^S13_PSP_Species_Support!BT11))^0.976,0)+IFERROR(S13_PSP_Species_Support!BX11*0.0673*(S13_PSP_Species_Support!BY11*(S13_PSP_Species_Support!BZ11*(1-EXP(-S13_PSP_Species_Support!CA11*17))^S13_PSP_Species_Support!CB11)^2*(S13_PSP_Species_Support!CC11*(1-EXP(-S13_PSP_Species_Support!CD11*17))^S13_PSP_Species_Support!CE11))^0.976,0)+IFERROR(S13_PSP_Species_Support!CI11*0.0673*(S13_PSP_Species_Support!CJ11*(S13_PSP_Species_Support!CK11*(1-EXP(-S13_PSP_Species_Support!CL11*17))^S13_PSP_Species_Support!CM11)^2*(S13_PSP_Species_Support!CN11*(1-EXP(-S13_PSP_Species_Support!CO11*17))^S13_PSP_Species_Support!CP11))^0.976,0)+IFERROR(S13_PSP_Species_Support!CT11*0.0673*(S13_PSP_Species_Support!CU11*(S13_PSP_Species_Support!CV11*(1-EXP(-S13_PSP_Species_Support!CW11*17))^S13_PSP_Species_Support!CX11)^2*(S13_PSP_Species_Support!CY11*(1-EXP(-S13_PSP_Species_Support!CZ11*17))^S13_PSP_Species_Support!DA11))^0.976,0))/1000/$G24*Z$108,0)</x:f>
        <x:v>65.76262856619711</x:v>
      </x:c>
      <x:c r="AA24" s="147" t="n">
        <x:f aca="0">IFERROR((IFERROR(S13_PSP_Species_Support!U11*0.0673*(S13_PSP_Species_Support!V11*(S13_PSP_Species_Support!W11*(1-EXP(-S13_PSP_Species_Support!X11*18))^S13_PSP_Species_Support!Y11)^2*(S13_PSP_Species_Support!Z11*(1-EXP(-S13_PSP_Species_Support!AA11*18))^S13_PSP_Species_Support!AB11))^0.976,0)+IFERROR(S13_PSP_Species_Support!AF11*0.0673*(S13_PSP_Species_Support!AG11*(S13_PSP_Species_Support!AH11*(1-EXP(-S13_PSP_Species_Support!AI11*18))^S13_PSP_Species_Support!AJ11)^2*(S13_PSP_Species_Support!AK11*(1-EXP(-S13_PSP_Species_Support!AL11*18))^S13_PSP_Species_Support!AM11))^0.976,0)+IFERROR(S13_PSP_Species_Support!AQ11*0.0673*(S13_PSP_Species_Support!AR11*(S13_PSP_Species_Support!AS11*(1-EXP(-S13_PSP_Species_Support!AT11*18))^S13_PSP_Species_Support!AU11)^2*(S13_PSP_Species_Support!AV11*(1-EXP(-S13_PSP_Species_Support!AW11*18))^S13_PSP_Species_Support!AX11))^0.976,0)+IFERROR(S13_PSP_Species_Support!BB11*0.0673*(S13_PSP_Species_Support!BC11*(S13_PSP_Species_Support!BD11*(1-EXP(-S13_PSP_Species_Support!BE11*18))^S13_PSP_Species_Support!BF11)^2*(S13_PSP_Species_Support!BG11*(1-EXP(-S13_PSP_Species_Support!BH11*18))^S13_PSP_Species_Support!BI11))^0.976,0)+IFERROR(S13_PSP_Species_Support!BM11*0.0673*(S13_PSP_Species_Support!BN11*(S13_PSP_Species_Support!BO11*(1-EXP(-S13_PSP_Species_Support!BP11*18))^S13_PSP_Species_Support!BQ11)^2*(S13_PSP_Species_Support!BR11*(1-EXP(-S13_PSP_Species_Support!BS11*18))^S13_PSP_Species_Support!BT11))^0.976,0)+IFERROR(S13_PSP_Species_Support!BX11*0.0673*(S13_PSP_Species_Support!BY11*(S13_PSP_Species_Support!BZ11*(1-EXP(-S13_PSP_Species_Support!CA11*18))^S13_PSP_Species_Support!CB11)^2*(S13_PSP_Species_Support!CC11*(1-EXP(-S13_PSP_Species_Support!CD11*18))^S13_PSP_Species_Support!CE11))^0.976,0)+IFERROR(S13_PSP_Species_Support!CI11*0.0673*(S13_PSP_Species_Support!CJ11*(S13_PSP_Species_Support!CK11*(1-EXP(-S13_PSP_Species_Support!CL11*18))^S13_PSP_Species_Support!CM11)^2*(S13_PSP_Species_Support!CN11*(1-EXP(-S13_PSP_Species_Support!CO11*18))^S13_PSP_Species_Support!CP11))^0.976,0)+IFERROR(S13_PSP_Species_Support!CT11*0.0673*(S13_PSP_Species_Support!CU11*(S13_PSP_Species_Support!CV11*(1-EXP(-S13_PSP_Species_Support!CW11*18))^S13_PSP_Species_Support!CX11)^2*(S13_PSP_Species_Support!CY11*(1-EXP(-S13_PSP_Species_Support!CZ11*18))^S13_PSP_Species_Support!DA11))^0.976,0))/1000/$G24*AA$108,0)</x:f>
        <x:v>68.72681031245685</x:v>
      </x:c>
      <x:c r="AB24" s="147" t="n">
        <x:f aca="0">IFERROR((IFERROR(S13_PSP_Species_Support!U11*0.0673*(S13_PSP_Species_Support!V11*(S13_PSP_Species_Support!W11*(1-EXP(-S13_PSP_Species_Support!X11*19))^S13_PSP_Species_Support!Y11)^2*(S13_PSP_Species_Support!Z11*(1-EXP(-S13_PSP_Species_Support!AA11*19))^S13_PSP_Species_Support!AB11))^0.976,0)+IFERROR(S13_PSP_Species_Support!AF11*0.0673*(S13_PSP_Species_Support!AG11*(S13_PSP_Species_Support!AH11*(1-EXP(-S13_PSP_Species_Support!AI11*19))^S13_PSP_Species_Support!AJ11)^2*(S13_PSP_Species_Support!AK11*(1-EXP(-S13_PSP_Species_Support!AL11*19))^S13_PSP_Species_Support!AM11))^0.976,0)+IFERROR(S13_PSP_Species_Support!AQ11*0.0673*(S13_PSP_Species_Support!AR11*(S13_PSP_Species_Support!AS11*(1-EXP(-S13_PSP_Species_Support!AT11*19))^S13_PSP_Species_Support!AU11)^2*(S13_PSP_Species_Support!AV11*(1-EXP(-S13_PSP_Species_Support!AW11*19))^S13_PSP_Species_Support!AX11))^0.976,0)+IFERROR(S13_PSP_Species_Support!BB11*0.0673*(S13_PSP_Species_Support!BC11*(S13_PSP_Species_Support!BD11*(1-EXP(-S13_PSP_Species_Support!BE11*19))^S13_PSP_Species_Support!BF11)^2*(S13_PSP_Species_Support!BG11*(1-EXP(-S13_PSP_Species_Support!BH11*19))^S13_PSP_Species_Support!BI11))^0.976,0)+IFERROR(S13_PSP_Species_Support!BM11*0.0673*(S13_PSP_Species_Support!BN11*(S13_PSP_Species_Support!BO11*(1-EXP(-S13_PSP_Species_Support!BP11*19))^S13_PSP_Species_Support!BQ11)^2*(S13_PSP_Species_Support!BR11*(1-EXP(-S13_PSP_Species_Support!BS11*19))^S13_PSP_Species_Support!BT11))^0.976,0)+IFERROR(S13_PSP_Species_Support!BX11*0.0673*(S13_PSP_Species_Support!BY11*(S13_PSP_Species_Support!BZ11*(1-EXP(-S13_PSP_Species_Support!CA11*19))^S13_PSP_Species_Support!CB11)^2*(S13_PSP_Species_Support!CC11*(1-EXP(-S13_PSP_Species_Support!CD11*19))^S13_PSP_Species_Support!CE11))^0.976,0)+IFERROR(S13_PSP_Species_Support!CI11*0.0673*(S13_PSP_Species_Support!CJ11*(S13_PSP_Species_Support!CK11*(1-EXP(-S13_PSP_Species_Support!CL11*19))^S13_PSP_Species_Support!CM11)^2*(S13_PSP_Species_Support!CN11*(1-EXP(-S13_PSP_Species_Support!CO11*19))^S13_PSP_Species_Support!CP11))^0.976,0)+IFERROR(S13_PSP_Species_Support!CT11*0.0673*(S13_PSP_Species_Support!CU11*(S13_PSP_Species_Support!CV11*(1-EXP(-S13_PSP_Species_Support!CW11*19))^S13_PSP_Species_Support!CX11)^2*(S13_PSP_Species_Support!CY11*(1-EXP(-S13_PSP_Species_Support!CZ11*19))^S13_PSP_Species_Support!DA11))^0.976,0))/1000/$G24*AB$108,0)</x:f>
        <x:v>71.35344382743872</x:v>
      </x:c>
      <x:c r="AC24" s="147" t="n">
        <x:f aca="0">IFERROR((IFERROR(S13_PSP_Species_Support!U11*0.0673*(S13_PSP_Species_Support!V11*(S13_PSP_Species_Support!W11*(1-EXP(-S13_PSP_Species_Support!X11*20))^S13_PSP_Species_Support!Y11)^2*(S13_PSP_Species_Support!Z11*(1-EXP(-S13_PSP_Species_Support!AA11*20))^S13_PSP_Species_Support!AB11))^0.976,0)+IFERROR(S13_PSP_Species_Support!AF11*0.0673*(S13_PSP_Species_Support!AG11*(S13_PSP_Species_Support!AH11*(1-EXP(-S13_PSP_Species_Support!AI11*20))^S13_PSP_Species_Support!AJ11)^2*(S13_PSP_Species_Support!AK11*(1-EXP(-S13_PSP_Species_Support!AL11*20))^S13_PSP_Species_Support!AM11))^0.976,0)+IFERROR(S13_PSP_Species_Support!AQ11*0.0673*(S13_PSP_Species_Support!AR11*(S13_PSP_Species_Support!AS11*(1-EXP(-S13_PSP_Species_Support!AT11*20))^S13_PSP_Species_Support!AU11)^2*(S13_PSP_Species_Support!AV11*(1-EXP(-S13_PSP_Species_Support!AW11*20))^S13_PSP_Species_Support!AX11))^0.976,0)+IFERROR(S13_PSP_Species_Support!BB11*0.0673*(S13_PSP_Species_Support!BC11*(S13_PSP_Species_Support!BD11*(1-EXP(-S13_PSP_Species_Support!BE11*20))^S13_PSP_Species_Support!BF11)^2*(S13_PSP_Species_Support!BG11*(1-EXP(-S13_PSP_Species_Support!BH11*20))^S13_PSP_Species_Support!BI11))^0.976,0)+IFERROR(S13_PSP_Species_Support!BM11*0.0673*(S13_PSP_Species_Support!BN11*(S13_PSP_Species_Support!BO11*(1-EXP(-S13_PSP_Species_Support!BP11*20))^S13_PSP_Species_Support!BQ11)^2*(S13_PSP_Species_Support!BR11*(1-EXP(-S13_PSP_Species_Support!BS11*20))^S13_PSP_Species_Support!BT11))^0.976,0)+IFERROR(S13_PSP_Species_Support!BX11*0.0673*(S13_PSP_Species_Support!BY11*(S13_PSP_Species_Support!BZ11*(1-EXP(-S13_PSP_Species_Support!CA11*20))^S13_PSP_Species_Support!CB11)^2*(S13_PSP_Species_Support!CC11*(1-EXP(-S13_PSP_Species_Support!CD11*20))^S13_PSP_Species_Support!CE11))^0.976,0)+IFERROR(S13_PSP_Species_Support!CI11*0.0673*(S13_PSP_Species_Support!CJ11*(S13_PSP_Species_Support!CK11*(1-EXP(-S13_PSP_Species_Support!CL11*20))^S13_PSP_Species_Support!CM11)^2*(S13_PSP_Species_Support!CN11*(1-EXP(-S13_PSP_Species_Support!CO11*20))^S13_PSP_Species_Support!CP11))^0.976,0)+IFERROR(S13_PSP_Species_Support!CT11*0.0673*(S13_PSP_Species_Support!CU11*(S13_PSP_Species_Support!CV11*(1-EXP(-S13_PSP_Species_Support!CW11*20))^S13_PSP_Species_Support!CX11)^2*(S13_PSP_Species_Support!CY11*(1-EXP(-S13_PSP_Species_Support!CZ11*20))^S13_PSP_Species_Support!DA11))^0.976,0))/1000/$G24*AC$108,0)</x:f>
        <x:v>73.67160857242477</x:v>
      </x:c>
      <x:c r="AD24" s="148" t="n">
        <x:f aca="0">IF(2020&lt;$F24,0,INDEX($I24:$AC24,1,2020-$F24+1))</x:f>
        <x:v>0</x:v>
      </x:c>
      <x:c r="AE24" s="148" t="n">
        <x:f aca="0">IF(2021&lt;$F24,0,INDEX($I24:$AC24,1,2021-$F24+1))</x:f>
        <x:v>0</x:v>
      </x:c>
      <x:c r="AF24" s="148" t="n">
        <x:f aca="0">IF(2022&lt;$F24,0,INDEX($I24:$AC24,1,2022-$F24+1))</x:f>
        <x:v>0</x:v>
      </x:c>
      <x:c r="AG24" s="148" t="n">
        <x:f aca="0">IF(2023&lt;$F24,0,INDEX($I24:$AC24,1,2023-$F24+1))</x:f>
        <x:v>0.040595233568379935</x:v>
      </x:c>
      <x:c r="AH24" s="148" t="n">
        <x:f aca="0">IF(2024&lt;$F24,0,INDEX($I24:$AC24,1,2024-$F24+1))</x:f>
        <x:v>0.469652502267338</x:v>
      </x:c>
      <x:c r="AI24" s="148" t="n">
        <x:f aca="0">IF(2025&lt;$F24,0,INDEX($I24:$AC24,1,2025-$F24+1))</x:f>
        <x:v>1.7509942186636298</x:v>
      </x:c>
      <x:c r="AJ24" s="148" t="n">
        <x:f aca="0">IF(2026&lt;$F24,0,INDEX($I24:$AC24,1,2026-$F24+1))</x:f>
        <x:v>4.151360971126229</x:v>
      </x:c>
      <x:c r="AK24" s="148" t="n">
        <x:f aca="0">IF(2027&lt;$F24,0,INDEX($I24:$AC24,1,2027-$F24+1))</x:f>
        <x:v>7.666968327401606</x:v>
      </x:c>
      <x:c r="AL24" s="148" t="n">
        <x:f aca="0">IF(2028&lt;$F24,0,INDEX($I24:$AC24,1,2028-$F24+1))</x:f>
        <x:v>12.126990154955894</x:v>
      </x:c>
      <x:c r="AM24" s="148" t="n">
        <x:f aca="0">IF(2029&lt;$F24,0,INDEX($I24:$AC24,1,2029-$F24+1))</x:f>
        <x:v>17.27857776598251</x:v>
      </x:c>
      <x:c r="AN24" s="148" t="n">
        <x:f aca="0">IF(2030&lt;$F24,0,INDEX($I24:$AC24,1,2030-$F24+1))</x:f>
        <x:v>22.853217890235282</x:v>
      </x:c>
      <x:c r="AO24" s="148" t="n">
        <x:f aca="0">IF(2031&lt;$F24,0,INDEX($I24:$AC24,1,2031-$F24+1))</x:f>
        <x:v>28.60644177792564</x:v>
      </x:c>
      <x:c r="AP24" s="148" t="n">
        <x:f aca="0">IF(2032&lt;$F24,0,INDEX($I24:$AC24,1,2032-$F24+1))</x:f>
        <x:v>34.33669258499356</x:v>
      </x:c>
      <x:c r="AQ24" s="148" t="n">
        <x:f aca="0">IF(2033&lt;$F24,0,INDEX($I24:$AC24,1,2033-$F24+1))</x:f>
        <x:v>39.89048860194414</x:v>
      </x:c>
      <x:c r="AR24" s="148" t="n">
        <x:f aca="0">IF(2034&lt;$F24,0,INDEX($I24:$AC24,1,2034-$F24+1))</x:f>
        <x:v>45.15974154620286</x:v>
      </x:c>
      <x:c r="AS24" s="148" t="n">
        <x:f aca="0">IF(2035&lt;$F24,0,INDEX($I24:$AC24,1,2035-$F24+1))</x:f>
        <x:v>50.075309972610846</x:v>
      </x:c>
      <x:c r="AT24" s="148" t="n">
        <x:f aca="0">IF(2036&lt;$F24,0,INDEX($I24:$AC24,1,2036-$F24+1))</x:f>
        <x:v>54.5993324828376</x:v>
      </x:c>
      <x:c r="AU24" s="148" t="n">
        <x:f aca="0">IF(2037&lt;$F24,0,INDEX($I24:$AC24,1,2037-$F24+1))</x:f>
        <x:v>58.71776860932104</x:v>
      </x:c>
      <x:c r="AV24" s="148" t="n">
        <x:f aca="0">IF(2038&lt;$F24,0,INDEX($I24:$AC24,1,2038-$F24+1))</x:f>
        <x:v>62.43384110213893</x:v>
      </x:c>
      <x:c r="AW24" s="148" t="n">
        <x:f aca="0">IF(2039&lt;$F24,0,INDEX($I24:$AC24,1,2039-$F24+1))</x:f>
        <x:v>65.76262856619711</x:v>
      </x:c>
      <x:c r="AX24" s="148" t="n">
        <x:f aca="0">IF(2040&lt;$F24,0,INDEX($I24:$AC24,1,2040-$F24+1))</x:f>
        <x:v>68.72681031245685</x:v>
      </x:c>
      <x:c r="AY24" s="1" t="str">
        <x:f aca="0">LEFT($C24,FIND("@",SUBSTITUTE($C24,"|","@",2))-1)</x:f>
        <x:v>Fruit Orchard|Medium</x:v>
      </x:c>
      <x:c r="AZ24" s="1" t="str">
        <x:f aca="0">LEFT($C24,FIND("|",$C24)-1)</x:f>
        <x:v>Fruit Orchard</x:v>
      </x:c>
      <x:c r="BA24" s="149" t="n">
        <x:f aca="0">I24*I24</x:f>
        <x:v>0</x:v>
      </x:c>
      <x:c r="BB24" s="149" t="n">
        <x:f aca="0">J24*J24</x:f>
        <x:v>0.001647972988471321</x:v>
      </x:c>
      <x:c r="BC24" s="149" t="n">
        <x:f aca="0">K24*K24</x:f>
        <x:v>0.22057347288597193</x:v>
      </x:c>
      <x:c r="BD24" s="149" t="n">
        <x:f aca="0">L24*L24</x:f>
        <x:v>3.0659807537934554</x:v>
      </x:c>
      <x:c r="BE24" s="149" t="n">
        <x:f aca="0">M24*M24</x:f>
        <x:v>17.233797912590106</x:v>
      </x:c>
      <x:c r="BF24" s="149" t="n">
        <x:f aca="0">N24*N24</x:f>
        <x:v>58.78240333337938</x:v>
      </x:c>
      <x:c r="BG24" s="149" t="n">
        <x:f aca="0">O24*O24</x:f>
        <x:v>147.06389021839718</x:v>
      </x:c>
      <x:c r="BH24" s="149" t="n">
        <x:f aca="0">P24*P24</x:f>
        <x:v>298.5492496151052</x:v>
      </x:c>
      <x:c r="BI24" s="149" t="n">
        <x:f aca="0">Q24*Q24</x:f>
        <x:v>522.2695679385699</x:v>
      </x:c>
      <x:c r="BJ24" s="149" t="n">
        <x:f aca="0">R24*R24</x:f>
        <x:v>818.3285111938494</x:v>
      </x:c>
      <x:c r="BK24" s="149" t="n">
        <x:f aca="0">S24*S24</x:f>
        <x:v>1179.0084576763516</x:v>
      </x:c>
      <x:c r="BL24" s="149" t="n">
        <x:f aca="0">T24*T24</x:f>
        <x:v>1591.2510809018356</x:v>
      </x:c>
      <x:c r="BM24" s="149" t="n">
        <x:f aca="0">U24*U24</x:f>
        <x:v>2039.4022565198406</x:v>
      </x:c>
      <x:c r="BN24" s="149" t="n">
        <x:f aca="0">V24*V24</x:f>
        <x:v>2507.5366688530594</x:v>
      </x:c>
      <x:c r="BO24" s="149" t="n">
        <x:f aca="0">W24*W24</x:f>
        <x:v>2981.0871075714454</x:v>
      </x:c>
      <x:c r="BP24" s="149" t="n">
        <x:f aca="0">X24*X24</x:f>
        <x:v>3447.7763504577674</x:v>
      </x:c>
      <x:c r="BQ24" s="149" t="n">
        <x:f aca="0">Y24*Y24</x:f>
        <x:v>3897.984514767132</x:v>
      </x:c>
      <x:c r="BR24" s="149" t="n">
        <x:f aca="0">Z24*Z24</x:f>
        <x:v>4324.723315935604</x:v>
      </x:c>
      <x:c r="BS24" s="149" t="n">
        <x:f aca="0">AA24*AA24</x:f>
        <x:v>4723.374455724425</x:v>
      </x:c>
      <x:c r="BT24" s="149" t="n">
        <x:f aca="0">AB24*AB24</x:f>
        <x:v>5091.313946035453</x:v>
      </x:c>
      <x:c r="BU24" s="149" t="n">
        <x:f aca="0">AC24*AC24</x:f>
        <x:v>5427.505909648571</x:v>
      </x:c>
    </x:row>
    <x:row r="25" ht="15" hidden="0" customHeight="1">
      <x:c r="A25" s="1" t="str">
        <x:f aca="0">S13_PSP_Species_Support!A12</x:f>
        <x:v>PSP-FO-011</x:v>
      </x:c>
      <x:c r="B25" s="1" t="n">
        <x:f aca="0">12</x:f>
        <x:v>12</x:v>
      </x:c>
      <x:c r="C25" s="1" t="str">
        <x:f aca="0">S13_PSP_Species_Support!I12</x:f>
        <x:v>Fruit Orchard|Low|2023</x:v>
      </x:c>
      <x:c r="D25" s="1" t="str">
        <x:f aca="0">S13_PSP_Species_Support!C12</x:f>
        <x:v>Fruit Orchard (Block)</x:v>
      </x:c>
      <x:c r="E25" s="1" t="str">
        <x:f aca="0">S13_PSP_Species_Support!D12</x:f>
        <x:v>Low</x:v>
      </x:c>
      <x:c r="F25" s="1" t="n">
        <x:f aca="0">S13_PSP_Species_Support!E12</x:f>
        <x:v>2023</x:v>
      </x:c>
      <x:c r="G25" s="645" t="n">
        <x:f aca="0">'S13_PSP_Species_Support'!DJ12</x:f>
        <x:v>0.09</x:v>
      </x:c>
      <x:c r="H25" s="714" t="n">
        <x:f aca="0">'S13_PSP_Species_Support'!DK12</x:f>
        <x:v>8.92303879043252</x:v>
      </x:c>
      <x:c r="I25" s="147" t="n">
        <x:f aca="0">IFERROR((IFERROR(S13_PSP_Species_Support!U12*0.0673*(S13_PSP_Species_Support!V12*(S13_PSP_Species_Support!W12*(1-EXP(-S13_PSP_Species_Support!X12*0))^S13_PSP_Species_Support!Y12)^2*(S13_PSP_Species_Support!Z12*(1-EXP(-S13_PSP_Species_Support!AA12*0))^S13_PSP_Species_Support!AB12))^0.976,0)+IFERROR(S13_PSP_Species_Support!AF12*0.0673*(S13_PSP_Species_Support!AG12*(S13_PSP_Species_Support!AH12*(1-EXP(-S13_PSP_Species_Support!AI12*0))^S13_PSP_Species_Support!AJ12)^2*(S13_PSP_Species_Support!AK12*(1-EXP(-S13_PSP_Species_Support!AL12*0))^S13_PSP_Species_Support!AM12))^0.976,0)+IFERROR(S13_PSP_Species_Support!AQ12*0.0673*(S13_PSP_Species_Support!AR12*(S13_PSP_Species_Support!AS12*(1-EXP(-S13_PSP_Species_Support!AT12*0))^S13_PSP_Species_Support!AU12)^2*(S13_PSP_Species_Support!AV12*(1-EXP(-S13_PSP_Species_Support!AW12*0))^S13_PSP_Species_Support!AX12))^0.976,0)+IFERROR(S13_PSP_Species_Support!BB12*0.0673*(S13_PSP_Species_Support!BC12*(S13_PSP_Species_Support!BD12*(1-EXP(-S13_PSP_Species_Support!BE12*0))^S13_PSP_Species_Support!BF12)^2*(S13_PSP_Species_Support!BG12*(1-EXP(-S13_PSP_Species_Support!BH12*0))^S13_PSP_Species_Support!BI12))^0.976,0)+IFERROR(S13_PSP_Species_Support!BM12*0.0673*(S13_PSP_Species_Support!BN12*(S13_PSP_Species_Support!BO12*(1-EXP(-S13_PSP_Species_Support!BP12*0))^S13_PSP_Species_Support!BQ12)^2*(S13_PSP_Species_Support!BR12*(1-EXP(-S13_PSP_Species_Support!BS12*0))^S13_PSP_Species_Support!BT12))^0.976,0)+IFERROR(S13_PSP_Species_Support!BX12*0.0673*(S13_PSP_Species_Support!BY12*(S13_PSP_Species_Support!BZ12*(1-EXP(-S13_PSP_Species_Support!CA12*0))^S13_PSP_Species_Support!CB12)^2*(S13_PSP_Species_Support!CC12*(1-EXP(-S13_PSP_Species_Support!CD12*0))^S13_PSP_Species_Support!CE12))^0.976,0)+IFERROR(S13_PSP_Species_Support!CI12*0.0673*(S13_PSP_Species_Support!CJ12*(S13_PSP_Species_Support!CK12*(1-EXP(-S13_PSP_Species_Support!CL12*0))^S13_PSP_Species_Support!CM12)^2*(S13_PSP_Species_Support!CN12*(1-EXP(-S13_PSP_Species_Support!CO12*0))^S13_PSP_Species_Support!CP12))^0.976,0)+IFERROR(S13_PSP_Species_Support!CT12*0.0673*(S13_PSP_Species_Support!CU12*(S13_PSP_Species_Support!CV12*(1-EXP(-S13_PSP_Species_Support!CW12*0))^S13_PSP_Species_Support!CX12)^2*(S13_PSP_Species_Support!CY12*(1-EXP(-S13_PSP_Species_Support!CZ12*0))^S13_PSP_Species_Support!DA12))^0.976,0))/1000/$G25*I$108,0)</x:f>
        <x:v>0</x:v>
      </x:c>
      <x:c r="J25" s="147" t="n">
        <x:f aca="0">IFERROR((IFERROR(S13_PSP_Species_Support!U12*0.0673*(S13_PSP_Species_Support!V12*(S13_PSP_Species_Support!W12*(1-EXP(-S13_PSP_Species_Support!X12*1))^S13_PSP_Species_Support!Y12)^2*(S13_PSP_Species_Support!Z12*(1-EXP(-S13_PSP_Species_Support!AA12*1))^S13_PSP_Species_Support!AB12))^0.976,0)+IFERROR(S13_PSP_Species_Support!AF12*0.0673*(S13_PSP_Species_Support!AG12*(S13_PSP_Species_Support!AH12*(1-EXP(-S13_PSP_Species_Support!AI12*1))^S13_PSP_Species_Support!AJ12)^2*(S13_PSP_Species_Support!AK12*(1-EXP(-S13_PSP_Species_Support!AL12*1))^S13_PSP_Species_Support!AM12))^0.976,0)+IFERROR(S13_PSP_Species_Support!AQ12*0.0673*(S13_PSP_Species_Support!AR12*(S13_PSP_Species_Support!AS12*(1-EXP(-S13_PSP_Species_Support!AT12*1))^S13_PSP_Species_Support!AU12)^2*(S13_PSP_Species_Support!AV12*(1-EXP(-S13_PSP_Species_Support!AW12*1))^S13_PSP_Species_Support!AX12))^0.976,0)+IFERROR(S13_PSP_Species_Support!BB12*0.0673*(S13_PSP_Species_Support!BC12*(S13_PSP_Species_Support!BD12*(1-EXP(-S13_PSP_Species_Support!BE12*1))^S13_PSP_Species_Support!BF12)^2*(S13_PSP_Species_Support!BG12*(1-EXP(-S13_PSP_Species_Support!BH12*1))^S13_PSP_Species_Support!BI12))^0.976,0)+IFERROR(S13_PSP_Species_Support!BM12*0.0673*(S13_PSP_Species_Support!BN12*(S13_PSP_Species_Support!BO12*(1-EXP(-S13_PSP_Species_Support!BP12*1))^S13_PSP_Species_Support!BQ12)^2*(S13_PSP_Species_Support!BR12*(1-EXP(-S13_PSP_Species_Support!BS12*1))^S13_PSP_Species_Support!BT12))^0.976,0)+IFERROR(S13_PSP_Species_Support!BX12*0.0673*(S13_PSP_Species_Support!BY12*(S13_PSP_Species_Support!BZ12*(1-EXP(-S13_PSP_Species_Support!CA12*1))^S13_PSP_Species_Support!CB12)^2*(S13_PSP_Species_Support!CC12*(1-EXP(-S13_PSP_Species_Support!CD12*1))^S13_PSP_Species_Support!CE12))^0.976,0)+IFERROR(S13_PSP_Species_Support!CI12*0.0673*(S13_PSP_Species_Support!CJ12*(S13_PSP_Species_Support!CK12*(1-EXP(-S13_PSP_Species_Support!CL12*1))^S13_PSP_Species_Support!CM12)^2*(S13_PSP_Species_Support!CN12*(1-EXP(-S13_PSP_Species_Support!CO12*1))^S13_PSP_Species_Support!CP12))^0.976,0)+IFERROR(S13_PSP_Species_Support!CT12*0.0673*(S13_PSP_Species_Support!CU12*(S13_PSP_Species_Support!CV12*(1-EXP(-S13_PSP_Species_Support!CW12*1))^S13_PSP_Species_Support!CX12)^2*(S13_PSP_Species_Support!CY12*(1-EXP(-S13_PSP_Species_Support!CZ12*1))^S13_PSP_Species_Support!DA12))^0.976,0))/1000/$G25*J$108,0)</x:f>
        <x:v>0.013827418841218388</x:v>
      </x:c>
      <x:c r="K25" s="147" t="n">
        <x:f aca="0">IFERROR((IFERROR(S13_PSP_Species_Support!U12*0.0673*(S13_PSP_Species_Support!V12*(S13_PSP_Species_Support!W12*(1-EXP(-S13_PSP_Species_Support!X12*2))^S13_PSP_Species_Support!Y12)^2*(S13_PSP_Species_Support!Z12*(1-EXP(-S13_PSP_Species_Support!AA12*2))^S13_PSP_Species_Support!AB12))^0.976,0)+IFERROR(S13_PSP_Species_Support!AF12*0.0673*(S13_PSP_Species_Support!AG12*(S13_PSP_Species_Support!AH12*(1-EXP(-S13_PSP_Species_Support!AI12*2))^S13_PSP_Species_Support!AJ12)^2*(S13_PSP_Species_Support!AK12*(1-EXP(-S13_PSP_Species_Support!AL12*2))^S13_PSP_Species_Support!AM12))^0.976,0)+IFERROR(S13_PSP_Species_Support!AQ12*0.0673*(S13_PSP_Species_Support!AR12*(S13_PSP_Species_Support!AS12*(1-EXP(-S13_PSP_Species_Support!AT12*2))^S13_PSP_Species_Support!AU12)^2*(S13_PSP_Species_Support!AV12*(1-EXP(-S13_PSP_Species_Support!AW12*2))^S13_PSP_Species_Support!AX12))^0.976,0)+IFERROR(S13_PSP_Species_Support!BB12*0.0673*(S13_PSP_Species_Support!BC12*(S13_PSP_Species_Support!BD12*(1-EXP(-S13_PSP_Species_Support!BE12*2))^S13_PSP_Species_Support!BF12)^2*(S13_PSP_Species_Support!BG12*(1-EXP(-S13_PSP_Species_Support!BH12*2))^S13_PSP_Species_Support!BI12))^0.976,0)+IFERROR(S13_PSP_Species_Support!BM12*0.0673*(S13_PSP_Species_Support!BN12*(S13_PSP_Species_Support!BO12*(1-EXP(-S13_PSP_Species_Support!BP12*2))^S13_PSP_Species_Support!BQ12)^2*(S13_PSP_Species_Support!BR12*(1-EXP(-S13_PSP_Species_Support!BS12*2))^S13_PSP_Species_Support!BT12))^0.976,0)+IFERROR(S13_PSP_Species_Support!BX12*0.0673*(S13_PSP_Species_Support!BY12*(S13_PSP_Species_Support!BZ12*(1-EXP(-S13_PSP_Species_Support!CA12*2))^S13_PSP_Species_Support!CB12)^2*(S13_PSP_Species_Support!CC12*(1-EXP(-S13_PSP_Species_Support!CD12*2))^S13_PSP_Species_Support!CE12))^0.976,0)+IFERROR(S13_PSP_Species_Support!CI12*0.0673*(S13_PSP_Species_Support!CJ12*(S13_PSP_Species_Support!CK12*(1-EXP(-S13_PSP_Species_Support!CL12*2))^S13_PSP_Species_Support!CM12)^2*(S13_PSP_Species_Support!CN12*(1-EXP(-S13_PSP_Species_Support!CO12*2))^S13_PSP_Species_Support!CP12))^0.976,0)+IFERROR(S13_PSP_Species_Support!CT12*0.0673*(S13_PSP_Species_Support!CU12*(S13_PSP_Species_Support!CV12*(1-EXP(-S13_PSP_Species_Support!CW12*2))^S13_PSP_Species_Support!CX12)^2*(S13_PSP_Species_Support!CY12*(1-EXP(-S13_PSP_Species_Support!CZ12*2))^S13_PSP_Species_Support!DA12))^0.976,0))/1000/$G25*K$108,0)</x:f>
        <x:v>0.1698511720691662</x:v>
      </x:c>
      <x:c r="L25" s="147" t="n">
        <x:f aca="0">IFERROR((IFERROR(S13_PSP_Species_Support!U12*0.0673*(S13_PSP_Species_Support!V12*(S13_PSP_Species_Support!W12*(1-EXP(-S13_PSP_Species_Support!X12*3))^S13_PSP_Species_Support!Y12)^2*(S13_PSP_Species_Support!Z12*(1-EXP(-S13_PSP_Species_Support!AA12*3))^S13_PSP_Species_Support!AB12))^0.976,0)+IFERROR(S13_PSP_Species_Support!AF12*0.0673*(S13_PSP_Species_Support!AG12*(S13_PSP_Species_Support!AH12*(1-EXP(-S13_PSP_Species_Support!AI12*3))^S13_PSP_Species_Support!AJ12)^2*(S13_PSP_Species_Support!AK12*(1-EXP(-S13_PSP_Species_Support!AL12*3))^S13_PSP_Species_Support!AM12))^0.976,0)+IFERROR(S13_PSP_Species_Support!AQ12*0.0673*(S13_PSP_Species_Support!AR12*(S13_PSP_Species_Support!AS12*(1-EXP(-S13_PSP_Species_Support!AT12*3))^S13_PSP_Species_Support!AU12)^2*(S13_PSP_Species_Support!AV12*(1-EXP(-S13_PSP_Species_Support!AW12*3))^S13_PSP_Species_Support!AX12))^0.976,0)+IFERROR(S13_PSP_Species_Support!BB12*0.0673*(S13_PSP_Species_Support!BC12*(S13_PSP_Species_Support!BD12*(1-EXP(-S13_PSP_Species_Support!BE12*3))^S13_PSP_Species_Support!BF12)^2*(S13_PSP_Species_Support!BG12*(1-EXP(-S13_PSP_Species_Support!BH12*3))^S13_PSP_Species_Support!BI12))^0.976,0)+IFERROR(S13_PSP_Species_Support!BM12*0.0673*(S13_PSP_Species_Support!BN12*(S13_PSP_Species_Support!BO12*(1-EXP(-S13_PSP_Species_Support!BP12*3))^S13_PSP_Species_Support!BQ12)^2*(S13_PSP_Species_Support!BR12*(1-EXP(-S13_PSP_Species_Support!BS12*3))^S13_PSP_Species_Support!BT12))^0.976,0)+IFERROR(S13_PSP_Species_Support!BX12*0.0673*(S13_PSP_Species_Support!BY12*(S13_PSP_Species_Support!BZ12*(1-EXP(-S13_PSP_Species_Support!CA12*3))^S13_PSP_Species_Support!CB12)^2*(S13_PSP_Species_Support!CC12*(1-EXP(-S13_PSP_Species_Support!CD12*3))^S13_PSP_Species_Support!CE12))^0.976,0)+IFERROR(S13_PSP_Species_Support!CI12*0.0673*(S13_PSP_Species_Support!CJ12*(S13_PSP_Species_Support!CK12*(1-EXP(-S13_PSP_Species_Support!CL12*3))^S13_PSP_Species_Support!CM12)^2*(S13_PSP_Species_Support!CN12*(1-EXP(-S13_PSP_Species_Support!CO12*3))^S13_PSP_Species_Support!CP12))^0.976,0)+IFERROR(S13_PSP_Species_Support!CT12*0.0673*(S13_PSP_Species_Support!CU12*(S13_PSP_Species_Support!CV12*(1-EXP(-S13_PSP_Species_Support!CW12*3))^S13_PSP_Species_Support!CX12)^2*(S13_PSP_Species_Support!CY12*(1-EXP(-S13_PSP_Species_Support!CZ12*3))^S13_PSP_Species_Support!DA12))^0.976,0))/1000/$G25*L$108,0)</x:f>
        <x:v>0.6515596979386512</x:v>
      </x:c>
      <x:c r="M25" s="147" t="n">
        <x:f aca="0">IFERROR((IFERROR(S13_PSP_Species_Support!U12*0.0673*(S13_PSP_Species_Support!V12*(S13_PSP_Species_Support!W12*(1-EXP(-S13_PSP_Species_Support!X12*4))^S13_PSP_Species_Support!Y12)^2*(S13_PSP_Species_Support!Z12*(1-EXP(-S13_PSP_Species_Support!AA12*4))^S13_PSP_Species_Support!AB12))^0.976,0)+IFERROR(S13_PSP_Species_Support!AF12*0.0673*(S13_PSP_Species_Support!AG12*(S13_PSP_Species_Support!AH12*(1-EXP(-S13_PSP_Species_Support!AI12*4))^S13_PSP_Species_Support!AJ12)^2*(S13_PSP_Species_Support!AK12*(1-EXP(-S13_PSP_Species_Support!AL12*4))^S13_PSP_Species_Support!AM12))^0.976,0)+IFERROR(S13_PSP_Species_Support!AQ12*0.0673*(S13_PSP_Species_Support!AR12*(S13_PSP_Species_Support!AS12*(1-EXP(-S13_PSP_Species_Support!AT12*4))^S13_PSP_Species_Support!AU12)^2*(S13_PSP_Species_Support!AV12*(1-EXP(-S13_PSP_Species_Support!AW12*4))^S13_PSP_Species_Support!AX12))^0.976,0)+IFERROR(S13_PSP_Species_Support!BB12*0.0673*(S13_PSP_Species_Support!BC12*(S13_PSP_Species_Support!BD12*(1-EXP(-S13_PSP_Species_Support!BE12*4))^S13_PSP_Species_Support!BF12)^2*(S13_PSP_Species_Support!BG12*(1-EXP(-S13_PSP_Species_Support!BH12*4))^S13_PSP_Species_Support!BI12))^0.976,0)+IFERROR(S13_PSP_Species_Support!BM12*0.0673*(S13_PSP_Species_Support!BN12*(S13_PSP_Species_Support!BO12*(1-EXP(-S13_PSP_Species_Support!BP12*4))^S13_PSP_Species_Support!BQ12)^2*(S13_PSP_Species_Support!BR12*(1-EXP(-S13_PSP_Species_Support!BS12*4))^S13_PSP_Species_Support!BT12))^0.976,0)+IFERROR(S13_PSP_Species_Support!BX12*0.0673*(S13_PSP_Species_Support!BY12*(S13_PSP_Species_Support!BZ12*(1-EXP(-S13_PSP_Species_Support!CA12*4))^S13_PSP_Species_Support!CB12)^2*(S13_PSP_Species_Support!CC12*(1-EXP(-S13_PSP_Species_Support!CD12*4))^S13_PSP_Species_Support!CE12))^0.976,0)+IFERROR(S13_PSP_Species_Support!CI12*0.0673*(S13_PSP_Species_Support!CJ12*(S13_PSP_Species_Support!CK12*(1-EXP(-S13_PSP_Species_Support!CL12*4))^S13_PSP_Species_Support!CM12)^2*(S13_PSP_Species_Support!CN12*(1-EXP(-S13_PSP_Species_Support!CO12*4))^S13_PSP_Species_Support!CP12))^0.976,0)+IFERROR(S13_PSP_Species_Support!CT12*0.0673*(S13_PSP_Species_Support!CU12*(S13_PSP_Species_Support!CV12*(1-EXP(-S13_PSP_Species_Support!CW12*4))^S13_PSP_Species_Support!CX12)^2*(S13_PSP_Species_Support!CY12*(1-EXP(-S13_PSP_Species_Support!CZ12*4))^S13_PSP_Species_Support!DA12))^0.976,0))/1000/$G25*M$108,0)</x:f>
        <x:v>1.5704982245767358</x:v>
      </x:c>
      <x:c r="N25" s="147" t="n">
        <x:f aca="0">IFERROR((IFERROR(S13_PSP_Species_Support!U12*0.0673*(S13_PSP_Species_Support!V12*(S13_PSP_Species_Support!W12*(1-EXP(-S13_PSP_Species_Support!X12*5))^S13_PSP_Species_Support!Y12)^2*(S13_PSP_Species_Support!Z12*(1-EXP(-S13_PSP_Species_Support!AA12*5))^S13_PSP_Species_Support!AB12))^0.976,0)+IFERROR(S13_PSP_Species_Support!AF12*0.0673*(S13_PSP_Species_Support!AG12*(S13_PSP_Species_Support!AH12*(1-EXP(-S13_PSP_Species_Support!AI12*5))^S13_PSP_Species_Support!AJ12)^2*(S13_PSP_Species_Support!AK12*(1-EXP(-S13_PSP_Species_Support!AL12*5))^S13_PSP_Species_Support!AM12))^0.976,0)+IFERROR(S13_PSP_Species_Support!AQ12*0.0673*(S13_PSP_Species_Support!AR12*(S13_PSP_Species_Support!AS12*(1-EXP(-S13_PSP_Species_Support!AT12*5))^S13_PSP_Species_Support!AU12)^2*(S13_PSP_Species_Support!AV12*(1-EXP(-S13_PSP_Species_Support!AW12*5))^S13_PSP_Species_Support!AX12))^0.976,0)+IFERROR(S13_PSP_Species_Support!BB12*0.0673*(S13_PSP_Species_Support!BC12*(S13_PSP_Species_Support!BD12*(1-EXP(-S13_PSP_Species_Support!BE12*5))^S13_PSP_Species_Support!BF12)^2*(S13_PSP_Species_Support!BG12*(1-EXP(-S13_PSP_Species_Support!BH12*5))^S13_PSP_Species_Support!BI12))^0.976,0)+IFERROR(S13_PSP_Species_Support!BM12*0.0673*(S13_PSP_Species_Support!BN12*(S13_PSP_Species_Support!BO12*(1-EXP(-S13_PSP_Species_Support!BP12*5))^S13_PSP_Species_Support!BQ12)^2*(S13_PSP_Species_Support!BR12*(1-EXP(-S13_PSP_Species_Support!BS12*5))^S13_PSP_Species_Support!BT12))^0.976,0)+IFERROR(S13_PSP_Species_Support!BX12*0.0673*(S13_PSP_Species_Support!BY12*(S13_PSP_Species_Support!BZ12*(1-EXP(-S13_PSP_Species_Support!CA12*5))^S13_PSP_Species_Support!CB12)^2*(S13_PSP_Species_Support!CC12*(1-EXP(-S13_PSP_Species_Support!CD12*5))^S13_PSP_Species_Support!CE12))^0.976,0)+IFERROR(S13_PSP_Species_Support!CI12*0.0673*(S13_PSP_Species_Support!CJ12*(S13_PSP_Species_Support!CK12*(1-EXP(-S13_PSP_Species_Support!CL12*5))^S13_PSP_Species_Support!CM12)^2*(S13_PSP_Species_Support!CN12*(1-EXP(-S13_PSP_Species_Support!CO12*5))^S13_PSP_Species_Support!CP12))^0.976,0)+IFERROR(S13_PSP_Species_Support!CT12*0.0673*(S13_PSP_Species_Support!CU12*(S13_PSP_Species_Support!CV12*(1-EXP(-S13_PSP_Species_Support!CW12*5))^S13_PSP_Species_Support!CX12)^2*(S13_PSP_Species_Support!CY12*(1-EXP(-S13_PSP_Species_Support!CZ12*5))^S13_PSP_Species_Support!DA12))^0.976,0))/1000/$G25*N$108,0)</x:f>
        <x:v>2.9325940312171603</x:v>
      </x:c>
      <x:c r="O25" s="147" t="n">
        <x:f aca="0">IFERROR((IFERROR(S13_PSP_Species_Support!U12*0.0673*(S13_PSP_Species_Support!V12*(S13_PSP_Species_Support!W12*(1-EXP(-S13_PSP_Species_Support!X12*6))^S13_PSP_Species_Support!Y12)^2*(S13_PSP_Species_Support!Z12*(1-EXP(-S13_PSP_Species_Support!AA12*6))^S13_PSP_Species_Support!AB12))^0.976,0)+IFERROR(S13_PSP_Species_Support!AF12*0.0673*(S13_PSP_Species_Support!AG12*(S13_PSP_Species_Support!AH12*(1-EXP(-S13_PSP_Species_Support!AI12*6))^S13_PSP_Species_Support!AJ12)^2*(S13_PSP_Species_Support!AK12*(1-EXP(-S13_PSP_Species_Support!AL12*6))^S13_PSP_Species_Support!AM12))^0.976,0)+IFERROR(S13_PSP_Species_Support!AQ12*0.0673*(S13_PSP_Species_Support!AR12*(S13_PSP_Species_Support!AS12*(1-EXP(-S13_PSP_Species_Support!AT12*6))^S13_PSP_Species_Support!AU12)^2*(S13_PSP_Species_Support!AV12*(1-EXP(-S13_PSP_Species_Support!AW12*6))^S13_PSP_Species_Support!AX12))^0.976,0)+IFERROR(S13_PSP_Species_Support!BB12*0.0673*(S13_PSP_Species_Support!BC12*(S13_PSP_Species_Support!BD12*(1-EXP(-S13_PSP_Species_Support!BE12*6))^S13_PSP_Species_Support!BF12)^2*(S13_PSP_Species_Support!BG12*(1-EXP(-S13_PSP_Species_Support!BH12*6))^S13_PSP_Species_Support!BI12))^0.976,0)+IFERROR(S13_PSP_Species_Support!BM12*0.0673*(S13_PSP_Species_Support!BN12*(S13_PSP_Species_Support!BO12*(1-EXP(-S13_PSP_Species_Support!BP12*6))^S13_PSP_Species_Support!BQ12)^2*(S13_PSP_Species_Support!BR12*(1-EXP(-S13_PSP_Species_Support!BS12*6))^S13_PSP_Species_Support!BT12))^0.976,0)+IFERROR(S13_PSP_Species_Support!BX12*0.0673*(S13_PSP_Species_Support!BY12*(S13_PSP_Species_Support!BZ12*(1-EXP(-S13_PSP_Species_Support!CA12*6))^S13_PSP_Species_Support!CB12)^2*(S13_PSP_Species_Support!CC12*(1-EXP(-S13_PSP_Species_Support!CD12*6))^S13_PSP_Species_Support!CE12))^0.976,0)+IFERROR(S13_PSP_Species_Support!CI12*0.0673*(S13_PSP_Species_Support!CJ12*(S13_PSP_Species_Support!CK12*(1-EXP(-S13_PSP_Species_Support!CL12*6))^S13_PSP_Species_Support!CM12)^2*(S13_PSP_Species_Support!CN12*(1-EXP(-S13_PSP_Species_Support!CO12*6))^S13_PSP_Species_Support!CP12))^0.976,0)+IFERROR(S13_PSP_Species_Support!CT12*0.0673*(S13_PSP_Species_Support!CU12*(S13_PSP_Species_Support!CV12*(1-EXP(-S13_PSP_Species_Support!CW12*6))^S13_PSP_Species_Support!CX12)^2*(S13_PSP_Species_Support!CY12*(1-EXP(-S13_PSP_Species_Support!CZ12*6))^S13_PSP_Species_Support!DA12))^0.976,0))/1000/$G25*O$108,0)</x:f>
        <x:v>4.6772447133602375</x:v>
      </x:c>
      <x:c r="P25" s="147" t="n">
        <x:f aca="0">IFERROR((IFERROR(S13_PSP_Species_Support!U12*0.0673*(S13_PSP_Species_Support!V12*(S13_PSP_Species_Support!W12*(1-EXP(-S13_PSP_Species_Support!X12*7))^S13_PSP_Species_Support!Y12)^2*(S13_PSP_Species_Support!Z12*(1-EXP(-S13_PSP_Species_Support!AA12*7))^S13_PSP_Species_Support!AB12))^0.976,0)+IFERROR(S13_PSP_Species_Support!AF12*0.0673*(S13_PSP_Species_Support!AG12*(S13_PSP_Species_Support!AH12*(1-EXP(-S13_PSP_Species_Support!AI12*7))^S13_PSP_Species_Support!AJ12)^2*(S13_PSP_Species_Support!AK12*(1-EXP(-S13_PSP_Species_Support!AL12*7))^S13_PSP_Species_Support!AM12))^0.976,0)+IFERROR(S13_PSP_Species_Support!AQ12*0.0673*(S13_PSP_Species_Support!AR12*(S13_PSP_Species_Support!AS12*(1-EXP(-S13_PSP_Species_Support!AT12*7))^S13_PSP_Species_Support!AU12)^2*(S13_PSP_Species_Support!AV12*(1-EXP(-S13_PSP_Species_Support!AW12*7))^S13_PSP_Species_Support!AX12))^0.976,0)+IFERROR(S13_PSP_Species_Support!BB12*0.0673*(S13_PSP_Species_Support!BC12*(S13_PSP_Species_Support!BD12*(1-EXP(-S13_PSP_Species_Support!BE12*7))^S13_PSP_Species_Support!BF12)^2*(S13_PSP_Species_Support!BG12*(1-EXP(-S13_PSP_Species_Support!BH12*7))^S13_PSP_Species_Support!BI12))^0.976,0)+IFERROR(S13_PSP_Species_Support!BM12*0.0673*(S13_PSP_Species_Support!BN12*(S13_PSP_Species_Support!BO12*(1-EXP(-S13_PSP_Species_Support!BP12*7))^S13_PSP_Species_Support!BQ12)^2*(S13_PSP_Species_Support!BR12*(1-EXP(-S13_PSP_Species_Support!BS12*7))^S13_PSP_Species_Support!BT12))^0.976,0)+IFERROR(S13_PSP_Species_Support!BX12*0.0673*(S13_PSP_Species_Support!BY12*(S13_PSP_Species_Support!BZ12*(1-EXP(-S13_PSP_Species_Support!CA12*7))^S13_PSP_Species_Support!CB12)^2*(S13_PSP_Species_Support!CC12*(1-EXP(-S13_PSP_Species_Support!CD12*7))^S13_PSP_Species_Support!CE12))^0.976,0)+IFERROR(S13_PSP_Species_Support!CI12*0.0673*(S13_PSP_Species_Support!CJ12*(S13_PSP_Species_Support!CK12*(1-EXP(-S13_PSP_Species_Support!CL12*7))^S13_PSP_Species_Support!CM12)^2*(S13_PSP_Species_Support!CN12*(1-EXP(-S13_PSP_Species_Support!CO12*7))^S13_PSP_Species_Support!CP12))^0.976,0)+IFERROR(S13_PSP_Species_Support!CT12*0.0673*(S13_PSP_Species_Support!CU12*(S13_PSP_Species_Support!CV12*(1-EXP(-S13_PSP_Species_Support!CW12*7))^S13_PSP_Species_Support!CX12)^2*(S13_PSP_Species_Support!CY12*(1-EXP(-S13_PSP_Species_Support!CZ12*7))^S13_PSP_Species_Support!DA12))^0.976,0))/1000/$G25*P$108,0)</x:f>
        <x:v>6.710879538984871</x:v>
      </x:c>
      <x:c r="Q25" s="147" t="n">
        <x:f aca="0">IFERROR((IFERROR(S13_PSP_Species_Support!U12*0.0673*(S13_PSP_Species_Support!V12*(S13_PSP_Species_Support!W12*(1-EXP(-S13_PSP_Species_Support!X12*8))^S13_PSP_Species_Support!Y12)^2*(S13_PSP_Species_Support!Z12*(1-EXP(-S13_PSP_Species_Support!AA12*8))^S13_PSP_Species_Support!AB12))^0.976,0)+IFERROR(S13_PSP_Species_Support!AF12*0.0673*(S13_PSP_Species_Support!AG12*(S13_PSP_Species_Support!AH12*(1-EXP(-S13_PSP_Species_Support!AI12*8))^S13_PSP_Species_Support!AJ12)^2*(S13_PSP_Species_Support!AK12*(1-EXP(-S13_PSP_Species_Support!AL12*8))^S13_PSP_Species_Support!AM12))^0.976,0)+IFERROR(S13_PSP_Species_Support!AQ12*0.0673*(S13_PSP_Species_Support!AR12*(S13_PSP_Species_Support!AS12*(1-EXP(-S13_PSP_Species_Support!AT12*8))^S13_PSP_Species_Support!AU12)^2*(S13_PSP_Species_Support!AV12*(1-EXP(-S13_PSP_Species_Support!AW12*8))^S13_PSP_Species_Support!AX12))^0.976,0)+IFERROR(S13_PSP_Species_Support!BB12*0.0673*(S13_PSP_Species_Support!BC12*(S13_PSP_Species_Support!BD12*(1-EXP(-S13_PSP_Species_Support!BE12*8))^S13_PSP_Species_Support!BF12)^2*(S13_PSP_Species_Support!BG12*(1-EXP(-S13_PSP_Species_Support!BH12*8))^S13_PSP_Species_Support!BI12))^0.976,0)+IFERROR(S13_PSP_Species_Support!BM12*0.0673*(S13_PSP_Species_Support!BN12*(S13_PSP_Species_Support!BO12*(1-EXP(-S13_PSP_Species_Support!BP12*8))^S13_PSP_Species_Support!BQ12)^2*(S13_PSP_Species_Support!BR12*(1-EXP(-S13_PSP_Species_Support!BS12*8))^S13_PSP_Species_Support!BT12))^0.976,0)+IFERROR(S13_PSP_Species_Support!BX12*0.0673*(S13_PSP_Species_Support!BY12*(S13_PSP_Species_Support!BZ12*(1-EXP(-S13_PSP_Species_Support!CA12*8))^S13_PSP_Species_Support!CB12)^2*(S13_PSP_Species_Support!CC12*(1-EXP(-S13_PSP_Species_Support!CD12*8))^S13_PSP_Species_Support!CE12))^0.976,0)+IFERROR(S13_PSP_Species_Support!CI12*0.0673*(S13_PSP_Species_Support!CJ12*(S13_PSP_Species_Support!CK12*(1-EXP(-S13_PSP_Species_Support!CL12*8))^S13_PSP_Species_Support!CM12)^2*(S13_PSP_Species_Support!CN12*(1-EXP(-S13_PSP_Species_Support!CO12*8))^S13_PSP_Species_Support!CP12))^0.976,0)+IFERROR(S13_PSP_Species_Support!CT12*0.0673*(S13_PSP_Species_Support!CU12*(S13_PSP_Species_Support!CV12*(1-EXP(-S13_PSP_Species_Support!CW12*8))^S13_PSP_Species_Support!CX12)^2*(S13_PSP_Species_Support!CY12*(1-EXP(-S13_PSP_Species_Support!CZ12*8))^S13_PSP_Species_Support!DA12))^0.976,0))/1000/$G25*Q$108,0)</x:f>
        <x:v>8.932714211900354</x:v>
      </x:c>
      <x:c r="R25" s="147" t="n">
        <x:f aca="0">IFERROR((IFERROR(S13_PSP_Species_Support!U12*0.0673*(S13_PSP_Species_Support!V12*(S13_PSP_Species_Support!W12*(1-EXP(-S13_PSP_Species_Support!X12*9))^S13_PSP_Species_Support!Y12)^2*(S13_PSP_Species_Support!Z12*(1-EXP(-S13_PSP_Species_Support!AA12*9))^S13_PSP_Species_Support!AB12))^0.976,0)+IFERROR(S13_PSP_Species_Support!AF12*0.0673*(S13_PSP_Species_Support!AG12*(S13_PSP_Species_Support!AH12*(1-EXP(-S13_PSP_Species_Support!AI12*9))^S13_PSP_Species_Support!AJ12)^2*(S13_PSP_Species_Support!AK12*(1-EXP(-S13_PSP_Species_Support!AL12*9))^S13_PSP_Species_Support!AM12))^0.976,0)+IFERROR(S13_PSP_Species_Support!AQ12*0.0673*(S13_PSP_Species_Support!AR12*(S13_PSP_Species_Support!AS12*(1-EXP(-S13_PSP_Species_Support!AT12*9))^S13_PSP_Species_Support!AU12)^2*(S13_PSP_Species_Support!AV12*(1-EXP(-S13_PSP_Species_Support!AW12*9))^S13_PSP_Species_Support!AX12))^0.976,0)+IFERROR(S13_PSP_Species_Support!BB12*0.0673*(S13_PSP_Species_Support!BC12*(S13_PSP_Species_Support!BD12*(1-EXP(-S13_PSP_Species_Support!BE12*9))^S13_PSP_Species_Support!BF12)^2*(S13_PSP_Species_Support!BG12*(1-EXP(-S13_PSP_Species_Support!BH12*9))^S13_PSP_Species_Support!BI12))^0.976,0)+IFERROR(S13_PSP_Species_Support!BM12*0.0673*(S13_PSP_Species_Support!BN12*(S13_PSP_Species_Support!BO12*(1-EXP(-S13_PSP_Species_Support!BP12*9))^S13_PSP_Species_Support!BQ12)^2*(S13_PSP_Species_Support!BR12*(1-EXP(-S13_PSP_Species_Support!BS12*9))^S13_PSP_Species_Support!BT12))^0.976,0)+IFERROR(S13_PSP_Species_Support!BX12*0.0673*(S13_PSP_Species_Support!BY12*(S13_PSP_Species_Support!BZ12*(1-EXP(-S13_PSP_Species_Support!CA12*9))^S13_PSP_Species_Support!CB12)^2*(S13_PSP_Species_Support!CC12*(1-EXP(-S13_PSP_Species_Support!CD12*9))^S13_PSP_Species_Support!CE12))^0.976,0)+IFERROR(S13_PSP_Species_Support!CI12*0.0673*(S13_PSP_Species_Support!CJ12*(S13_PSP_Species_Support!CK12*(1-EXP(-S13_PSP_Species_Support!CL12*9))^S13_PSP_Species_Support!CM12)^2*(S13_PSP_Species_Support!CN12*(1-EXP(-S13_PSP_Species_Support!CO12*9))^S13_PSP_Species_Support!CP12))^0.976,0)+IFERROR(S13_PSP_Species_Support!CT12*0.0673*(S13_PSP_Species_Support!CU12*(S13_PSP_Species_Support!CV12*(1-EXP(-S13_PSP_Species_Support!CW12*9))^S13_PSP_Species_Support!CX12)^2*(S13_PSP_Species_Support!CY12*(1-EXP(-S13_PSP_Species_Support!CZ12*9))^S13_PSP_Species_Support!DA12))^0.976,0))/1000/$G25*R$108,0)</x:f>
        <x:v>11.249890884375619</x:v>
      </x:c>
      <x:c r="S25" s="147" t="n">
        <x:f aca="0">IFERROR((IFERROR(S13_PSP_Species_Support!U12*0.0673*(S13_PSP_Species_Support!V12*(S13_PSP_Species_Support!W12*(1-EXP(-S13_PSP_Species_Support!X12*10))^S13_PSP_Species_Support!Y12)^2*(S13_PSP_Species_Support!Z12*(1-EXP(-S13_PSP_Species_Support!AA12*10))^S13_PSP_Species_Support!AB12))^0.976,0)+IFERROR(S13_PSP_Species_Support!AF12*0.0673*(S13_PSP_Species_Support!AG12*(S13_PSP_Species_Support!AH12*(1-EXP(-S13_PSP_Species_Support!AI12*10))^S13_PSP_Species_Support!AJ12)^2*(S13_PSP_Species_Support!AK12*(1-EXP(-S13_PSP_Species_Support!AL12*10))^S13_PSP_Species_Support!AM12))^0.976,0)+IFERROR(S13_PSP_Species_Support!AQ12*0.0673*(S13_PSP_Species_Support!AR12*(S13_PSP_Species_Support!AS12*(1-EXP(-S13_PSP_Species_Support!AT12*10))^S13_PSP_Species_Support!AU12)^2*(S13_PSP_Species_Support!AV12*(1-EXP(-S13_PSP_Species_Support!AW12*10))^S13_PSP_Species_Support!AX12))^0.976,0)+IFERROR(S13_PSP_Species_Support!BB12*0.0673*(S13_PSP_Species_Support!BC12*(S13_PSP_Species_Support!BD12*(1-EXP(-S13_PSP_Species_Support!BE12*10))^S13_PSP_Species_Support!BF12)^2*(S13_PSP_Species_Support!BG12*(1-EXP(-S13_PSP_Species_Support!BH12*10))^S13_PSP_Species_Support!BI12))^0.976,0)+IFERROR(S13_PSP_Species_Support!BM12*0.0673*(S13_PSP_Species_Support!BN12*(S13_PSP_Species_Support!BO12*(1-EXP(-S13_PSP_Species_Support!BP12*10))^S13_PSP_Species_Support!BQ12)^2*(S13_PSP_Species_Support!BR12*(1-EXP(-S13_PSP_Species_Support!BS12*10))^S13_PSP_Species_Support!BT12))^0.976,0)+IFERROR(S13_PSP_Species_Support!BX12*0.0673*(S13_PSP_Species_Support!BY12*(S13_PSP_Species_Support!BZ12*(1-EXP(-S13_PSP_Species_Support!CA12*10))^S13_PSP_Species_Support!CB12)^2*(S13_PSP_Species_Support!CC12*(1-EXP(-S13_PSP_Species_Support!CD12*10))^S13_PSP_Species_Support!CE12))^0.976,0)+IFERROR(S13_PSP_Species_Support!CI12*0.0673*(S13_PSP_Species_Support!CJ12*(S13_PSP_Species_Support!CK12*(1-EXP(-S13_PSP_Species_Support!CL12*10))^S13_PSP_Species_Support!CM12)^2*(S13_PSP_Species_Support!CN12*(1-EXP(-S13_PSP_Species_Support!CO12*10))^S13_PSP_Species_Support!CP12))^0.976,0)+IFERROR(S13_PSP_Species_Support!CT12*0.0673*(S13_PSP_Species_Support!CU12*(S13_PSP_Species_Support!CV12*(1-EXP(-S13_PSP_Species_Support!CW12*10))^S13_PSP_Species_Support!CX12)^2*(S13_PSP_Species_Support!CY12*(1-EXP(-S13_PSP_Species_Support!CZ12*10))^S13_PSP_Species_Support!DA12))^0.976,0))/1000/$G25*S$108,0)</x:f>
        <x:v>13.584603131988608</x:v>
      </x:c>
      <x:c r="T25" s="147" t="n">
        <x:f aca="0">IFERROR((IFERROR(S13_PSP_Species_Support!U12*0.0673*(S13_PSP_Species_Support!V12*(S13_PSP_Species_Support!W12*(1-EXP(-S13_PSP_Species_Support!X12*11))^S13_PSP_Species_Support!Y12)^2*(S13_PSP_Species_Support!Z12*(1-EXP(-S13_PSP_Species_Support!AA12*11))^S13_PSP_Species_Support!AB12))^0.976,0)+IFERROR(S13_PSP_Species_Support!AF12*0.0673*(S13_PSP_Species_Support!AG12*(S13_PSP_Species_Support!AH12*(1-EXP(-S13_PSP_Species_Support!AI12*11))^S13_PSP_Species_Support!AJ12)^2*(S13_PSP_Species_Support!AK12*(1-EXP(-S13_PSP_Species_Support!AL12*11))^S13_PSP_Species_Support!AM12))^0.976,0)+IFERROR(S13_PSP_Species_Support!AQ12*0.0673*(S13_PSP_Species_Support!AR12*(S13_PSP_Species_Support!AS12*(1-EXP(-S13_PSP_Species_Support!AT12*11))^S13_PSP_Species_Support!AU12)^2*(S13_PSP_Species_Support!AV12*(1-EXP(-S13_PSP_Species_Support!AW12*11))^S13_PSP_Species_Support!AX12))^0.976,0)+IFERROR(S13_PSP_Species_Support!BB12*0.0673*(S13_PSP_Species_Support!BC12*(S13_PSP_Species_Support!BD12*(1-EXP(-S13_PSP_Species_Support!BE12*11))^S13_PSP_Species_Support!BF12)^2*(S13_PSP_Species_Support!BG12*(1-EXP(-S13_PSP_Species_Support!BH12*11))^S13_PSP_Species_Support!BI12))^0.976,0)+IFERROR(S13_PSP_Species_Support!BM12*0.0673*(S13_PSP_Species_Support!BN12*(S13_PSP_Species_Support!BO12*(1-EXP(-S13_PSP_Species_Support!BP12*11))^S13_PSP_Species_Support!BQ12)^2*(S13_PSP_Species_Support!BR12*(1-EXP(-S13_PSP_Species_Support!BS12*11))^S13_PSP_Species_Support!BT12))^0.976,0)+IFERROR(S13_PSP_Species_Support!BX12*0.0673*(S13_PSP_Species_Support!BY12*(S13_PSP_Species_Support!BZ12*(1-EXP(-S13_PSP_Species_Support!CA12*11))^S13_PSP_Species_Support!CB12)^2*(S13_PSP_Species_Support!CC12*(1-EXP(-S13_PSP_Species_Support!CD12*11))^S13_PSP_Species_Support!CE12))^0.976,0)+IFERROR(S13_PSP_Species_Support!CI12*0.0673*(S13_PSP_Species_Support!CJ12*(S13_PSP_Species_Support!CK12*(1-EXP(-S13_PSP_Species_Support!CL12*11))^S13_PSP_Species_Support!CM12)^2*(S13_PSP_Species_Support!CN12*(1-EXP(-S13_PSP_Species_Support!CO12*11))^S13_PSP_Species_Support!CP12))^0.976,0)+IFERROR(S13_PSP_Species_Support!CT12*0.0673*(S13_PSP_Species_Support!CU12*(S13_PSP_Species_Support!CV12*(1-EXP(-S13_PSP_Species_Support!CW12*11))^S13_PSP_Species_Support!CX12)^2*(S13_PSP_Species_Support!CY12*(1-EXP(-S13_PSP_Species_Support!CZ12*11))^S13_PSP_Species_Support!DA12))^0.976,0))/1000/$G25*T$108,0)</x:f>
        <x:v>15.876129468482041</x:v>
      </x:c>
      <x:c r="U25" s="147" t="n">
        <x:f aca="0">IFERROR((IFERROR(S13_PSP_Species_Support!U12*0.0673*(S13_PSP_Species_Support!V12*(S13_PSP_Species_Support!W12*(1-EXP(-S13_PSP_Species_Support!X12*12))^S13_PSP_Species_Support!Y12)^2*(S13_PSP_Species_Support!Z12*(1-EXP(-S13_PSP_Species_Support!AA12*12))^S13_PSP_Species_Support!AB12))^0.976,0)+IFERROR(S13_PSP_Species_Support!AF12*0.0673*(S13_PSP_Species_Support!AG12*(S13_PSP_Species_Support!AH12*(1-EXP(-S13_PSP_Species_Support!AI12*12))^S13_PSP_Species_Support!AJ12)^2*(S13_PSP_Species_Support!AK12*(1-EXP(-S13_PSP_Species_Support!AL12*12))^S13_PSP_Species_Support!AM12))^0.976,0)+IFERROR(S13_PSP_Species_Support!AQ12*0.0673*(S13_PSP_Species_Support!AR12*(S13_PSP_Species_Support!AS12*(1-EXP(-S13_PSP_Species_Support!AT12*12))^S13_PSP_Species_Support!AU12)^2*(S13_PSP_Species_Support!AV12*(1-EXP(-S13_PSP_Species_Support!AW12*12))^S13_PSP_Species_Support!AX12))^0.976,0)+IFERROR(S13_PSP_Species_Support!BB12*0.0673*(S13_PSP_Species_Support!BC12*(S13_PSP_Species_Support!BD12*(1-EXP(-S13_PSP_Species_Support!BE12*12))^S13_PSP_Species_Support!BF12)^2*(S13_PSP_Species_Support!BG12*(1-EXP(-S13_PSP_Species_Support!BH12*12))^S13_PSP_Species_Support!BI12))^0.976,0)+IFERROR(S13_PSP_Species_Support!BM12*0.0673*(S13_PSP_Species_Support!BN12*(S13_PSP_Species_Support!BO12*(1-EXP(-S13_PSP_Species_Support!BP12*12))^S13_PSP_Species_Support!BQ12)^2*(S13_PSP_Species_Support!BR12*(1-EXP(-S13_PSP_Species_Support!BS12*12))^S13_PSP_Species_Support!BT12))^0.976,0)+IFERROR(S13_PSP_Species_Support!BX12*0.0673*(S13_PSP_Species_Support!BY12*(S13_PSP_Species_Support!BZ12*(1-EXP(-S13_PSP_Species_Support!CA12*12))^S13_PSP_Species_Support!CB12)^2*(S13_PSP_Species_Support!CC12*(1-EXP(-S13_PSP_Species_Support!CD12*12))^S13_PSP_Species_Support!CE12))^0.976,0)+IFERROR(S13_PSP_Species_Support!CI12*0.0673*(S13_PSP_Species_Support!CJ12*(S13_PSP_Species_Support!CK12*(1-EXP(-S13_PSP_Species_Support!CL12*12))^S13_PSP_Species_Support!CM12)^2*(S13_PSP_Species_Support!CN12*(1-EXP(-S13_PSP_Species_Support!CO12*12))^S13_PSP_Species_Support!CP12))^0.976,0)+IFERROR(S13_PSP_Species_Support!CT12*0.0673*(S13_PSP_Species_Support!CU12*(S13_PSP_Species_Support!CV12*(1-EXP(-S13_PSP_Species_Support!CW12*12))^S13_PSP_Species_Support!CX12)^2*(S13_PSP_Species_Support!CY12*(1-EXP(-S13_PSP_Species_Support!CZ12*12))^S13_PSP_Species_Support!DA12))^0.976,0))/1000/$G25*U$108,0)</x:f>
        <x:v>18.080034508085124</x:v>
      </x:c>
      <x:c r="V25" s="147" t="n">
        <x:f aca="0">IFERROR((IFERROR(S13_PSP_Species_Support!U12*0.0673*(S13_PSP_Species_Support!V12*(S13_PSP_Species_Support!W12*(1-EXP(-S13_PSP_Species_Support!X12*13))^S13_PSP_Species_Support!Y12)^2*(S13_PSP_Species_Support!Z12*(1-EXP(-S13_PSP_Species_Support!AA12*13))^S13_PSP_Species_Support!AB12))^0.976,0)+IFERROR(S13_PSP_Species_Support!AF12*0.0673*(S13_PSP_Species_Support!AG12*(S13_PSP_Species_Support!AH12*(1-EXP(-S13_PSP_Species_Support!AI12*13))^S13_PSP_Species_Support!AJ12)^2*(S13_PSP_Species_Support!AK12*(1-EXP(-S13_PSP_Species_Support!AL12*13))^S13_PSP_Species_Support!AM12))^0.976,0)+IFERROR(S13_PSP_Species_Support!AQ12*0.0673*(S13_PSP_Species_Support!AR12*(S13_PSP_Species_Support!AS12*(1-EXP(-S13_PSP_Species_Support!AT12*13))^S13_PSP_Species_Support!AU12)^2*(S13_PSP_Species_Support!AV12*(1-EXP(-S13_PSP_Species_Support!AW12*13))^S13_PSP_Species_Support!AX12))^0.976,0)+IFERROR(S13_PSP_Species_Support!BB12*0.0673*(S13_PSP_Species_Support!BC12*(S13_PSP_Species_Support!BD12*(1-EXP(-S13_PSP_Species_Support!BE12*13))^S13_PSP_Species_Support!BF12)^2*(S13_PSP_Species_Support!BG12*(1-EXP(-S13_PSP_Species_Support!BH12*13))^S13_PSP_Species_Support!BI12))^0.976,0)+IFERROR(S13_PSP_Species_Support!BM12*0.0673*(S13_PSP_Species_Support!BN12*(S13_PSP_Species_Support!BO12*(1-EXP(-S13_PSP_Species_Support!BP12*13))^S13_PSP_Species_Support!BQ12)^2*(S13_PSP_Species_Support!BR12*(1-EXP(-S13_PSP_Species_Support!BS12*13))^S13_PSP_Species_Support!BT12))^0.976,0)+IFERROR(S13_PSP_Species_Support!BX12*0.0673*(S13_PSP_Species_Support!BY12*(S13_PSP_Species_Support!BZ12*(1-EXP(-S13_PSP_Species_Support!CA12*13))^S13_PSP_Species_Support!CB12)^2*(S13_PSP_Species_Support!CC12*(1-EXP(-S13_PSP_Species_Support!CD12*13))^S13_PSP_Species_Support!CE12))^0.976,0)+IFERROR(S13_PSP_Species_Support!CI12*0.0673*(S13_PSP_Species_Support!CJ12*(S13_PSP_Species_Support!CK12*(1-EXP(-S13_PSP_Species_Support!CL12*13))^S13_PSP_Species_Support!CM12)^2*(S13_PSP_Species_Support!CN12*(1-EXP(-S13_PSP_Species_Support!CO12*13))^S13_PSP_Species_Support!CP12))^0.976,0)+IFERROR(S13_PSP_Species_Support!CT12*0.0673*(S13_PSP_Species_Support!CU12*(S13_PSP_Species_Support!CV12*(1-EXP(-S13_PSP_Species_Support!CW12*13))^S13_PSP_Species_Support!CX12)^2*(S13_PSP_Species_Support!CY12*(1-EXP(-S13_PSP_Species_Support!CZ12*13))^S13_PSP_Species_Support!DA12))^0.976,0))/1000/$G25*V$108,0)</x:f>
        <x:v>20.166033821089147</x:v>
      </x:c>
      <x:c r="W25" s="147" t="n">
        <x:f aca="0">IFERROR((IFERROR(S13_PSP_Species_Support!U12*0.0673*(S13_PSP_Species_Support!V12*(S13_PSP_Species_Support!W12*(1-EXP(-S13_PSP_Species_Support!X12*14))^S13_PSP_Species_Support!Y12)^2*(S13_PSP_Species_Support!Z12*(1-EXP(-S13_PSP_Species_Support!AA12*14))^S13_PSP_Species_Support!AB12))^0.976,0)+IFERROR(S13_PSP_Species_Support!AF12*0.0673*(S13_PSP_Species_Support!AG12*(S13_PSP_Species_Support!AH12*(1-EXP(-S13_PSP_Species_Support!AI12*14))^S13_PSP_Species_Support!AJ12)^2*(S13_PSP_Species_Support!AK12*(1-EXP(-S13_PSP_Species_Support!AL12*14))^S13_PSP_Species_Support!AM12))^0.976,0)+IFERROR(S13_PSP_Species_Support!AQ12*0.0673*(S13_PSP_Species_Support!AR12*(S13_PSP_Species_Support!AS12*(1-EXP(-S13_PSP_Species_Support!AT12*14))^S13_PSP_Species_Support!AU12)^2*(S13_PSP_Species_Support!AV12*(1-EXP(-S13_PSP_Species_Support!AW12*14))^S13_PSP_Species_Support!AX12))^0.976,0)+IFERROR(S13_PSP_Species_Support!BB12*0.0673*(S13_PSP_Species_Support!BC12*(S13_PSP_Species_Support!BD12*(1-EXP(-S13_PSP_Species_Support!BE12*14))^S13_PSP_Species_Support!BF12)^2*(S13_PSP_Species_Support!BG12*(1-EXP(-S13_PSP_Species_Support!BH12*14))^S13_PSP_Species_Support!BI12))^0.976,0)+IFERROR(S13_PSP_Species_Support!BM12*0.0673*(S13_PSP_Species_Support!BN12*(S13_PSP_Species_Support!BO12*(1-EXP(-S13_PSP_Species_Support!BP12*14))^S13_PSP_Species_Support!BQ12)^2*(S13_PSP_Species_Support!BR12*(1-EXP(-S13_PSP_Species_Support!BS12*14))^S13_PSP_Species_Support!BT12))^0.976,0)+IFERROR(S13_PSP_Species_Support!BX12*0.0673*(S13_PSP_Species_Support!BY12*(S13_PSP_Species_Support!BZ12*(1-EXP(-S13_PSP_Species_Support!CA12*14))^S13_PSP_Species_Support!CB12)^2*(S13_PSP_Species_Support!CC12*(1-EXP(-S13_PSP_Species_Support!CD12*14))^S13_PSP_Species_Support!CE12))^0.976,0)+IFERROR(S13_PSP_Species_Support!CI12*0.0673*(S13_PSP_Species_Support!CJ12*(S13_PSP_Species_Support!CK12*(1-EXP(-S13_PSP_Species_Support!CL12*14))^S13_PSP_Species_Support!CM12)^2*(S13_PSP_Species_Support!CN12*(1-EXP(-S13_PSP_Species_Support!CO12*14))^S13_PSP_Species_Support!CP12))^0.976,0)+IFERROR(S13_PSP_Species_Support!CT12*0.0673*(S13_PSP_Species_Support!CU12*(S13_PSP_Species_Support!CV12*(1-EXP(-S13_PSP_Species_Support!CW12*14))^S13_PSP_Species_Support!CX12)^2*(S13_PSP_Species_Support!CY12*(1-EXP(-S13_PSP_Species_Support!CZ12*14))^S13_PSP_Species_Support!DA12))^0.976,0))/1000/$G25*W$108,0)</x:f>
        <x:v>22.115417898503733</x:v>
      </x:c>
      <x:c r="X25" s="147" t="n">
        <x:f aca="0">IFERROR((IFERROR(S13_PSP_Species_Support!U12*0.0673*(S13_PSP_Species_Support!V12*(S13_PSP_Species_Support!W12*(1-EXP(-S13_PSP_Species_Support!X12*15))^S13_PSP_Species_Support!Y12)^2*(S13_PSP_Species_Support!Z12*(1-EXP(-S13_PSP_Species_Support!AA12*15))^S13_PSP_Species_Support!AB12))^0.976,0)+IFERROR(S13_PSP_Species_Support!AF12*0.0673*(S13_PSP_Species_Support!AG12*(S13_PSP_Species_Support!AH12*(1-EXP(-S13_PSP_Species_Support!AI12*15))^S13_PSP_Species_Support!AJ12)^2*(S13_PSP_Species_Support!AK12*(1-EXP(-S13_PSP_Species_Support!AL12*15))^S13_PSP_Species_Support!AM12))^0.976,0)+IFERROR(S13_PSP_Species_Support!AQ12*0.0673*(S13_PSP_Species_Support!AR12*(S13_PSP_Species_Support!AS12*(1-EXP(-S13_PSP_Species_Support!AT12*15))^S13_PSP_Species_Support!AU12)^2*(S13_PSP_Species_Support!AV12*(1-EXP(-S13_PSP_Species_Support!AW12*15))^S13_PSP_Species_Support!AX12))^0.976,0)+IFERROR(S13_PSP_Species_Support!BB12*0.0673*(S13_PSP_Species_Support!BC12*(S13_PSP_Species_Support!BD12*(1-EXP(-S13_PSP_Species_Support!BE12*15))^S13_PSP_Species_Support!BF12)^2*(S13_PSP_Species_Support!BG12*(1-EXP(-S13_PSP_Species_Support!BH12*15))^S13_PSP_Species_Support!BI12))^0.976,0)+IFERROR(S13_PSP_Species_Support!BM12*0.0673*(S13_PSP_Species_Support!BN12*(S13_PSP_Species_Support!BO12*(1-EXP(-S13_PSP_Species_Support!BP12*15))^S13_PSP_Species_Support!BQ12)^2*(S13_PSP_Species_Support!BR12*(1-EXP(-S13_PSP_Species_Support!BS12*15))^S13_PSP_Species_Support!BT12))^0.976,0)+IFERROR(S13_PSP_Species_Support!BX12*0.0673*(S13_PSP_Species_Support!BY12*(S13_PSP_Species_Support!BZ12*(1-EXP(-S13_PSP_Species_Support!CA12*15))^S13_PSP_Species_Support!CB12)^2*(S13_PSP_Species_Support!CC12*(1-EXP(-S13_PSP_Species_Support!CD12*15))^S13_PSP_Species_Support!CE12))^0.976,0)+IFERROR(S13_PSP_Species_Support!CI12*0.0673*(S13_PSP_Species_Support!CJ12*(S13_PSP_Species_Support!CK12*(1-EXP(-S13_PSP_Species_Support!CL12*15))^S13_PSP_Species_Support!CM12)^2*(S13_PSP_Species_Support!CN12*(1-EXP(-S13_PSP_Species_Support!CO12*15))^S13_PSP_Species_Support!CP12))^0.976,0)+IFERROR(S13_PSP_Species_Support!CT12*0.0673*(S13_PSP_Species_Support!CU12*(S13_PSP_Species_Support!CV12*(1-EXP(-S13_PSP_Species_Support!CW12*15))^S13_PSP_Species_Support!CX12)^2*(S13_PSP_Species_Support!CY12*(1-EXP(-S13_PSP_Species_Support!CZ12*15))^S13_PSP_Species_Support!DA12))^0.976,0))/1000/$G25*X$108,0)</x:f>
        <x:v>23.918522362792043</x:v>
      </x:c>
      <x:c r="Y25" s="147" t="n">
        <x:f aca="0">IFERROR((IFERROR(S13_PSP_Species_Support!U12*0.0673*(S13_PSP_Species_Support!V12*(S13_PSP_Species_Support!W12*(1-EXP(-S13_PSP_Species_Support!X12*16))^S13_PSP_Species_Support!Y12)^2*(S13_PSP_Species_Support!Z12*(1-EXP(-S13_PSP_Species_Support!AA12*16))^S13_PSP_Species_Support!AB12))^0.976,0)+IFERROR(S13_PSP_Species_Support!AF12*0.0673*(S13_PSP_Species_Support!AG12*(S13_PSP_Species_Support!AH12*(1-EXP(-S13_PSP_Species_Support!AI12*16))^S13_PSP_Species_Support!AJ12)^2*(S13_PSP_Species_Support!AK12*(1-EXP(-S13_PSP_Species_Support!AL12*16))^S13_PSP_Species_Support!AM12))^0.976,0)+IFERROR(S13_PSP_Species_Support!AQ12*0.0673*(S13_PSP_Species_Support!AR12*(S13_PSP_Species_Support!AS12*(1-EXP(-S13_PSP_Species_Support!AT12*16))^S13_PSP_Species_Support!AU12)^2*(S13_PSP_Species_Support!AV12*(1-EXP(-S13_PSP_Species_Support!AW12*16))^S13_PSP_Species_Support!AX12))^0.976,0)+IFERROR(S13_PSP_Species_Support!BB12*0.0673*(S13_PSP_Species_Support!BC12*(S13_PSP_Species_Support!BD12*(1-EXP(-S13_PSP_Species_Support!BE12*16))^S13_PSP_Species_Support!BF12)^2*(S13_PSP_Species_Support!BG12*(1-EXP(-S13_PSP_Species_Support!BH12*16))^S13_PSP_Species_Support!BI12))^0.976,0)+IFERROR(S13_PSP_Species_Support!BM12*0.0673*(S13_PSP_Species_Support!BN12*(S13_PSP_Species_Support!BO12*(1-EXP(-S13_PSP_Species_Support!BP12*16))^S13_PSP_Species_Support!BQ12)^2*(S13_PSP_Species_Support!BR12*(1-EXP(-S13_PSP_Species_Support!BS12*16))^S13_PSP_Species_Support!BT12))^0.976,0)+IFERROR(S13_PSP_Species_Support!BX12*0.0673*(S13_PSP_Species_Support!BY12*(S13_PSP_Species_Support!BZ12*(1-EXP(-S13_PSP_Species_Support!CA12*16))^S13_PSP_Species_Support!CB12)^2*(S13_PSP_Species_Support!CC12*(1-EXP(-S13_PSP_Species_Support!CD12*16))^S13_PSP_Species_Support!CE12))^0.976,0)+IFERROR(S13_PSP_Species_Support!CI12*0.0673*(S13_PSP_Species_Support!CJ12*(S13_PSP_Species_Support!CK12*(1-EXP(-S13_PSP_Species_Support!CL12*16))^S13_PSP_Species_Support!CM12)^2*(S13_PSP_Species_Support!CN12*(1-EXP(-S13_PSP_Species_Support!CO12*16))^S13_PSP_Species_Support!CP12))^0.976,0)+IFERROR(S13_PSP_Species_Support!CT12*0.0673*(S13_PSP_Species_Support!CU12*(S13_PSP_Species_Support!CV12*(1-EXP(-S13_PSP_Species_Support!CW12*16))^S13_PSP_Species_Support!CX12)^2*(S13_PSP_Species_Support!CY12*(1-EXP(-S13_PSP_Species_Support!CZ12*16))^S13_PSP_Species_Support!DA12))^0.976,0))/1000/$G25*Y$108,0)</x:f>
        <x:v>25.57247715301637</x:v>
      </x:c>
      <x:c r="Z25" s="147" t="n">
        <x:f aca="0">IFERROR((IFERROR(S13_PSP_Species_Support!U12*0.0673*(S13_PSP_Species_Support!V12*(S13_PSP_Species_Support!W12*(1-EXP(-S13_PSP_Species_Support!X12*17))^S13_PSP_Species_Support!Y12)^2*(S13_PSP_Species_Support!Z12*(1-EXP(-S13_PSP_Species_Support!AA12*17))^S13_PSP_Species_Support!AB12))^0.976,0)+IFERROR(S13_PSP_Species_Support!AF12*0.0673*(S13_PSP_Species_Support!AG12*(S13_PSP_Species_Support!AH12*(1-EXP(-S13_PSP_Species_Support!AI12*17))^S13_PSP_Species_Support!AJ12)^2*(S13_PSP_Species_Support!AK12*(1-EXP(-S13_PSP_Species_Support!AL12*17))^S13_PSP_Species_Support!AM12))^0.976,0)+IFERROR(S13_PSP_Species_Support!AQ12*0.0673*(S13_PSP_Species_Support!AR12*(S13_PSP_Species_Support!AS12*(1-EXP(-S13_PSP_Species_Support!AT12*17))^S13_PSP_Species_Support!AU12)^2*(S13_PSP_Species_Support!AV12*(1-EXP(-S13_PSP_Species_Support!AW12*17))^S13_PSP_Species_Support!AX12))^0.976,0)+IFERROR(S13_PSP_Species_Support!BB12*0.0673*(S13_PSP_Species_Support!BC12*(S13_PSP_Species_Support!BD12*(1-EXP(-S13_PSP_Species_Support!BE12*17))^S13_PSP_Species_Support!BF12)^2*(S13_PSP_Species_Support!BG12*(1-EXP(-S13_PSP_Species_Support!BH12*17))^S13_PSP_Species_Support!BI12))^0.976,0)+IFERROR(S13_PSP_Species_Support!BM12*0.0673*(S13_PSP_Species_Support!BN12*(S13_PSP_Species_Support!BO12*(1-EXP(-S13_PSP_Species_Support!BP12*17))^S13_PSP_Species_Support!BQ12)^2*(S13_PSP_Species_Support!BR12*(1-EXP(-S13_PSP_Species_Support!BS12*17))^S13_PSP_Species_Support!BT12))^0.976,0)+IFERROR(S13_PSP_Species_Support!BX12*0.0673*(S13_PSP_Species_Support!BY12*(S13_PSP_Species_Support!BZ12*(1-EXP(-S13_PSP_Species_Support!CA12*17))^S13_PSP_Species_Support!CB12)^2*(S13_PSP_Species_Support!CC12*(1-EXP(-S13_PSP_Species_Support!CD12*17))^S13_PSP_Species_Support!CE12))^0.976,0)+IFERROR(S13_PSP_Species_Support!CI12*0.0673*(S13_PSP_Species_Support!CJ12*(S13_PSP_Species_Support!CK12*(1-EXP(-S13_PSP_Species_Support!CL12*17))^S13_PSP_Species_Support!CM12)^2*(S13_PSP_Species_Support!CN12*(1-EXP(-S13_PSP_Species_Support!CO12*17))^S13_PSP_Species_Support!CP12))^0.976,0)+IFERROR(S13_PSP_Species_Support!CT12*0.0673*(S13_PSP_Species_Support!CU12*(S13_PSP_Species_Support!CV12*(1-EXP(-S13_PSP_Species_Support!CW12*17))^S13_PSP_Species_Support!CX12)^2*(S13_PSP_Species_Support!CY12*(1-EXP(-S13_PSP_Species_Support!CZ12*17))^S13_PSP_Species_Support!DA12))^0.976,0))/1000/$G25*Z$108,0)</x:f>
        <x:v>27.079319507044197</x:v>
      </x:c>
      <x:c r="AA25" s="147" t="n">
        <x:f aca="0">IFERROR((IFERROR(S13_PSP_Species_Support!U12*0.0673*(S13_PSP_Species_Support!V12*(S13_PSP_Species_Support!W12*(1-EXP(-S13_PSP_Species_Support!X12*18))^S13_PSP_Species_Support!Y12)^2*(S13_PSP_Species_Support!Z12*(1-EXP(-S13_PSP_Species_Support!AA12*18))^S13_PSP_Species_Support!AB12))^0.976,0)+IFERROR(S13_PSP_Species_Support!AF12*0.0673*(S13_PSP_Species_Support!AG12*(S13_PSP_Species_Support!AH12*(1-EXP(-S13_PSP_Species_Support!AI12*18))^S13_PSP_Species_Support!AJ12)^2*(S13_PSP_Species_Support!AK12*(1-EXP(-S13_PSP_Species_Support!AL12*18))^S13_PSP_Species_Support!AM12))^0.976,0)+IFERROR(S13_PSP_Species_Support!AQ12*0.0673*(S13_PSP_Species_Support!AR12*(S13_PSP_Species_Support!AS12*(1-EXP(-S13_PSP_Species_Support!AT12*18))^S13_PSP_Species_Support!AU12)^2*(S13_PSP_Species_Support!AV12*(1-EXP(-S13_PSP_Species_Support!AW12*18))^S13_PSP_Species_Support!AX12))^0.976,0)+IFERROR(S13_PSP_Species_Support!BB12*0.0673*(S13_PSP_Species_Support!BC12*(S13_PSP_Species_Support!BD12*(1-EXP(-S13_PSP_Species_Support!BE12*18))^S13_PSP_Species_Support!BF12)^2*(S13_PSP_Species_Support!BG12*(1-EXP(-S13_PSP_Species_Support!BH12*18))^S13_PSP_Species_Support!BI12))^0.976,0)+IFERROR(S13_PSP_Species_Support!BM12*0.0673*(S13_PSP_Species_Support!BN12*(S13_PSP_Species_Support!BO12*(1-EXP(-S13_PSP_Species_Support!BP12*18))^S13_PSP_Species_Support!BQ12)^2*(S13_PSP_Species_Support!BR12*(1-EXP(-S13_PSP_Species_Support!BS12*18))^S13_PSP_Species_Support!BT12))^0.976,0)+IFERROR(S13_PSP_Species_Support!BX12*0.0673*(S13_PSP_Species_Support!BY12*(S13_PSP_Species_Support!BZ12*(1-EXP(-S13_PSP_Species_Support!CA12*18))^S13_PSP_Species_Support!CB12)^2*(S13_PSP_Species_Support!CC12*(1-EXP(-S13_PSP_Species_Support!CD12*18))^S13_PSP_Species_Support!CE12))^0.976,0)+IFERROR(S13_PSP_Species_Support!CI12*0.0673*(S13_PSP_Species_Support!CJ12*(S13_PSP_Species_Support!CK12*(1-EXP(-S13_PSP_Species_Support!CL12*18))^S13_PSP_Species_Support!CM12)^2*(S13_PSP_Species_Support!CN12*(1-EXP(-S13_PSP_Species_Support!CO12*18))^S13_PSP_Species_Support!CP12))^0.976,0)+IFERROR(S13_PSP_Species_Support!CT12*0.0673*(S13_PSP_Species_Support!CU12*(S13_PSP_Species_Support!CV12*(1-EXP(-S13_PSP_Species_Support!CW12*18))^S13_PSP_Species_Support!CX12)^2*(S13_PSP_Species_Support!CY12*(1-EXP(-S13_PSP_Species_Support!CZ12*18))^S13_PSP_Species_Support!DA12))^0.976,0))/1000/$G25*AA$108,0)</x:f>
        <x:v>28.444475701676605</x:v>
      </x:c>
      <x:c r="AB25" s="147" t="n">
        <x:f aca="0">IFERROR((IFERROR(S13_PSP_Species_Support!U12*0.0673*(S13_PSP_Species_Support!V12*(S13_PSP_Species_Support!W12*(1-EXP(-S13_PSP_Species_Support!X12*19))^S13_PSP_Species_Support!Y12)^2*(S13_PSP_Species_Support!Z12*(1-EXP(-S13_PSP_Species_Support!AA12*19))^S13_PSP_Species_Support!AB12))^0.976,0)+IFERROR(S13_PSP_Species_Support!AF12*0.0673*(S13_PSP_Species_Support!AG12*(S13_PSP_Species_Support!AH12*(1-EXP(-S13_PSP_Species_Support!AI12*19))^S13_PSP_Species_Support!AJ12)^2*(S13_PSP_Species_Support!AK12*(1-EXP(-S13_PSP_Species_Support!AL12*19))^S13_PSP_Species_Support!AM12))^0.976,0)+IFERROR(S13_PSP_Species_Support!AQ12*0.0673*(S13_PSP_Species_Support!AR12*(S13_PSP_Species_Support!AS12*(1-EXP(-S13_PSP_Species_Support!AT12*19))^S13_PSP_Species_Support!AU12)^2*(S13_PSP_Species_Support!AV12*(1-EXP(-S13_PSP_Species_Support!AW12*19))^S13_PSP_Species_Support!AX12))^0.976,0)+IFERROR(S13_PSP_Species_Support!BB12*0.0673*(S13_PSP_Species_Support!BC12*(S13_PSP_Species_Support!BD12*(1-EXP(-S13_PSP_Species_Support!BE12*19))^S13_PSP_Species_Support!BF12)^2*(S13_PSP_Species_Support!BG12*(1-EXP(-S13_PSP_Species_Support!BH12*19))^S13_PSP_Species_Support!BI12))^0.976,0)+IFERROR(S13_PSP_Species_Support!BM12*0.0673*(S13_PSP_Species_Support!BN12*(S13_PSP_Species_Support!BO12*(1-EXP(-S13_PSP_Species_Support!BP12*19))^S13_PSP_Species_Support!BQ12)^2*(S13_PSP_Species_Support!BR12*(1-EXP(-S13_PSP_Species_Support!BS12*19))^S13_PSP_Species_Support!BT12))^0.976,0)+IFERROR(S13_PSP_Species_Support!BX12*0.0673*(S13_PSP_Species_Support!BY12*(S13_PSP_Species_Support!BZ12*(1-EXP(-S13_PSP_Species_Support!CA12*19))^S13_PSP_Species_Support!CB12)^2*(S13_PSP_Species_Support!CC12*(1-EXP(-S13_PSP_Species_Support!CD12*19))^S13_PSP_Species_Support!CE12))^0.976,0)+IFERROR(S13_PSP_Species_Support!CI12*0.0673*(S13_PSP_Species_Support!CJ12*(S13_PSP_Species_Support!CK12*(1-EXP(-S13_PSP_Species_Support!CL12*19))^S13_PSP_Species_Support!CM12)^2*(S13_PSP_Species_Support!CN12*(1-EXP(-S13_PSP_Species_Support!CO12*19))^S13_PSP_Species_Support!CP12))^0.976,0)+IFERROR(S13_PSP_Species_Support!CT12*0.0673*(S13_PSP_Species_Support!CU12*(S13_PSP_Species_Support!CV12*(1-EXP(-S13_PSP_Species_Support!CW12*19))^S13_PSP_Species_Support!CX12)^2*(S13_PSP_Species_Support!CY12*(1-EXP(-S13_PSP_Species_Support!CZ12*19))^S13_PSP_Species_Support!DA12))^0.976,0))/1000/$G25*AB$108,0)</x:f>
        <x:v>29.675577714147334</x:v>
      </x:c>
      <x:c r="AC25" s="147" t="n">
        <x:f aca="0">IFERROR((IFERROR(S13_PSP_Species_Support!U12*0.0673*(S13_PSP_Species_Support!V12*(S13_PSP_Species_Support!W12*(1-EXP(-S13_PSP_Species_Support!X12*20))^S13_PSP_Species_Support!Y12)^2*(S13_PSP_Species_Support!Z12*(1-EXP(-S13_PSP_Species_Support!AA12*20))^S13_PSP_Species_Support!AB12))^0.976,0)+IFERROR(S13_PSP_Species_Support!AF12*0.0673*(S13_PSP_Species_Support!AG12*(S13_PSP_Species_Support!AH12*(1-EXP(-S13_PSP_Species_Support!AI12*20))^S13_PSP_Species_Support!AJ12)^2*(S13_PSP_Species_Support!AK12*(1-EXP(-S13_PSP_Species_Support!AL12*20))^S13_PSP_Species_Support!AM12))^0.976,0)+IFERROR(S13_PSP_Species_Support!AQ12*0.0673*(S13_PSP_Species_Support!AR12*(S13_PSP_Species_Support!AS12*(1-EXP(-S13_PSP_Species_Support!AT12*20))^S13_PSP_Species_Support!AU12)^2*(S13_PSP_Species_Support!AV12*(1-EXP(-S13_PSP_Species_Support!AW12*20))^S13_PSP_Species_Support!AX12))^0.976,0)+IFERROR(S13_PSP_Species_Support!BB12*0.0673*(S13_PSP_Species_Support!BC12*(S13_PSP_Species_Support!BD12*(1-EXP(-S13_PSP_Species_Support!BE12*20))^S13_PSP_Species_Support!BF12)^2*(S13_PSP_Species_Support!BG12*(1-EXP(-S13_PSP_Species_Support!BH12*20))^S13_PSP_Species_Support!BI12))^0.976,0)+IFERROR(S13_PSP_Species_Support!BM12*0.0673*(S13_PSP_Species_Support!BN12*(S13_PSP_Species_Support!BO12*(1-EXP(-S13_PSP_Species_Support!BP12*20))^S13_PSP_Species_Support!BQ12)^2*(S13_PSP_Species_Support!BR12*(1-EXP(-S13_PSP_Species_Support!BS12*20))^S13_PSP_Species_Support!BT12))^0.976,0)+IFERROR(S13_PSP_Species_Support!BX12*0.0673*(S13_PSP_Species_Support!BY12*(S13_PSP_Species_Support!BZ12*(1-EXP(-S13_PSP_Species_Support!CA12*20))^S13_PSP_Species_Support!CB12)^2*(S13_PSP_Species_Support!CC12*(1-EXP(-S13_PSP_Species_Support!CD12*20))^S13_PSP_Species_Support!CE12))^0.976,0)+IFERROR(S13_PSP_Species_Support!CI12*0.0673*(S13_PSP_Species_Support!CJ12*(S13_PSP_Species_Support!CK12*(1-EXP(-S13_PSP_Species_Support!CL12*20))^S13_PSP_Species_Support!CM12)^2*(S13_PSP_Species_Support!CN12*(1-EXP(-S13_PSP_Species_Support!CO12*20))^S13_PSP_Species_Support!CP12))^0.976,0)+IFERROR(S13_PSP_Species_Support!CT12*0.0673*(S13_PSP_Species_Support!CU12*(S13_PSP_Species_Support!CV12*(1-EXP(-S13_PSP_Species_Support!CW12*20))^S13_PSP_Species_Support!CX12)^2*(S13_PSP_Species_Support!CY12*(1-EXP(-S13_PSP_Species_Support!CZ12*20))^S13_PSP_Species_Support!DA12))^0.976,0))/1000/$G25*AC$108,0)</x:f>
        <x:v>30.781565709149152</x:v>
      </x:c>
      <x:c r="AD25" s="148" t="n">
        <x:f aca="0">IF(2020&lt;$F25,0,INDEX($I25:$AC25,1,2020-$F25+1))</x:f>
        <x:v>0</x:v>
      </x:c>
      <x:c r="AE25" s="148" t="n">
        <x:f aca="0">IF(2021&lt;$F25,0,INDEX($I25:$AC25,1,2021-$F25+1))</x:f>
        <x:v>0</x:v>
      </x:c>
      <x:c r="AF25" s="148" t="n">
        <x:f aca="0">IF(2022&lt;$F25,0,INDEX($I25:$AC25,1,2022-$F25+1))</x:f>
        <x:v>0</x:v>
      </x:c>
      <x:c r="AG25" s="148" t="n">
        <x:f aca="0">IF(2023&lt;$F25,0,INDEX($I25:$AC25,1,2023-$F25+1))</x:f>
        <x:v>0</x:v>
      </x:c>
      <x:c r="AH25" s="148" t="n">
        <x:f aca="0">IF(2024&lt;$F25,0,INDEX($I25:$AC25,1,2024-$F25+1))</x:f>
        <x:v>0.013827418841218388</x:v>
      </x:c>
      <x:c r="AI25" s="148" t="n">
        <x:f aca="0">IF(2025&lt;$F25,0,INDEX($I25:$AC25,1,2025-$F25+1))</x:f>
        <x:v>0.1698511720691662</x:v>
      </x:c>
      <x:c r="AJ25" s="148" t="n">
        <x:f aca="0">IF(2026&lt;$F25,0,INDEX($I25:$AC25,1,2026-$F25+1))</x:f>
        <x:v>0.6515596979386512</x:v>
      </x:c>
      <x:c r="AK25" s="148" t="n">
        <x:f aca="0">IF(2027&lt;$F25,0,INDEX($I25:$AC25,1,2027-$F25+1))</x:f>
        <x:v>1.5704982245767358</x:v>
      </x:c>
      <x:c r="AL25" s="148" t="n">
        <x:f aca="0">IF(2028&lt;$F25,0,INDEX($I25:$AC25,1,2028-$F25+1))</x:f>
        <x:v>2.9325940312171603</x:v>
      </x:c>
      <x:c r="AM25" s="148" t="n">
        <x:f aca="0">IF(2029&lt;$F25,0,INDEX($I25:$AC25,1,2029-$F25+1))</x:f>
        <x:v>4.6772447133602375</x:v>
      </x:c>
      <x:c r="AN25" s="148" t="n">
        <x:f aca="0">IF(2030&lt;$F25,0,INDEX($I25:$AC25,1,2030-$F25+1))</x:f>
        <x:v>6.710879538984871</x:v>
      </x:c>
      <x:c r="AO25" s="148" t="n">
        <x:f aca="0">IF(2031&lt;$F25,0,INDEX($I25:$AC25,1,2031-$F25+1))</x:f>
        <x:v>8.932714211900354</x:v>
      </x:c>
      <x:c r="AP25" s="148" t="n">
        <x:f aca="0">IF(2032&lt;$F25,0,INDEX($I25:$AC25,1,2032-$F25+1))</x:f>
        <x:v>11.249890884375619</x:v>
      </x:c>
      <x:c r="AQ25" s="148" t="n">
        <x:f aca="0">IF(2033&lt;$F25,0,INDEX($I25:$AC25,1,2033-$F25+1))</x:f>
        <x:v>13.584603131988608</x:v>
      </x:c>
      <x:c r="AR25" s="148" t="n">
        <x:f aca="0">IF(2034&lt;$F25,0,INDEX($I25:$AC25,1,2034-$F25+1))</x:f>
        <x:v>15.876129468482041</x:v>
      </x:c>
      <x:c r="AS25" s="148" t="n">
        <x:f aca="0">IF(2035&lt;$F25,0,INDEX($I25:$AC25,1,2035-$F25+1))</x:f>
        <x:v>18.080034508085124</x:v>
      </x:c>
      <x:c r="AT25" s="148" t="n">
        <x:f aca="0">IF(2036&lt;$F25,0,INDEX($I25:$AC25,1,2036-$F25+1))</x:f>
        <x:v>20.166033821089147</x:v>
      </x:c>
      <x:c r="AU25" s="148" t="n">
        <x:f aca="0">IF(2037&lt;$F25,0,INDEX($I25:$AC25,1,2037-$F25+1))</x:f>
        <x:v>22.115417898503733</x:v>
      </x:c>
      <x:c r="AV25" s="148" t="n">
        <x:f aca="0">IF(2038&lt;$F25,0,INDEX($I25:$AC25,1,2038-$F25+1))</x:f>
        <x:v>23.918522362792043</x:v>
      </x:c>
      <x:c r="AW25" s="148" t="n">
        <x:f aca="0">IF(2039&lt;$F25,0,INDEX($I25:$AC25,1,2039-$F25+1))</x:f>
        <x:v>25.57247715301637</x:v>
      </x:c>
      <x:c r="AX25" s="148" t="n">
        <x:f aca="0">IF(2040&lt;$F25,0,INDEX($I25:$AC25,1,2040-$F25+1))</x:f>
        <x:v>27.079319507044197</x:v>
      </x:c>
      <x:c r="AY25" s="1" t="str">
        <x:f aca="0">LEFT($C25,FIND("@",SUBSTITUTE($C25,"|","@",2))-1)</x:f>
        <x:v>Fruit Orchard|Low</x:v>
      </x:c>
      <x:c r="AZ25" s="1" t="str">
        <x:f aca="0">LEFT($C25,FIND("|",$C25)-1)</x:f>
        <x:v>Fruit Orchard</x:v>
      </x:c>
      <x:c r="BA25" s="149" t="n">
        <x:f aca="0">I25*I25</x:f>
        <x:v>0</x:v>
      </x:c>
      <x:c r="BB25" s="149" t="n">
        <x:f aca="0">J25*J25</x:f>
        <x:v>0.00019119751181048125</x:v>
      </x:c>
      <x:c r="BC25" s="149" t="n">
        <x:f aca="0">K25*K25</x:f>
        <x:v>0.0288494206532695</x:v>
      </x:c>
      <x:c r="BD25" s="149" t="n">
        <x:f aca="0">L25*L25</x:f>
        <x:v>0.4245300399779064</x:v>
      </x:c>
      <x:c r="BE25" s="149" t="n">
        <x:f aca="0">M25*M25</x:f>
        <x:v>2.4664646733986793</x:v>
      </x:c>
      <x:c r="BF25" s="149" t="n">
        <x:f aca="0">N25*N25</x:f>
        <x:v>8.600107751930516</x:v>
      </x:c>
      <x:c r="BG25" s="149" t="n">
        <x:f aca="0">O25*O25</x:f>
        <x:v>21.87661810865629</x:v>
      </x:c>
      <x:c r="BH25" s="149" t="n">
        <x:f aca="0">P25*P25</x:f>
        <x:v>45.0359041867658</x:v>
      </x:c>
      <x:c r="BI25" s="149" t="n">
        <x:f aca="0">Q25*Q25</x:f>
        <x:v>79.79338319148656</x:v>
      </x:c>
      <x:c r="BJ25" s="149" t="n">
        <x:f aca="0">R25*R25</x:f>
        <x:v>126.56004491035765</x:v>
      </x:c>
      <x:c r="BK25" s="149" t="n">
        <x:f aca="0">S25*S25</x:f>
        <x:v>184.5414422536347</x:v>
      </x:c>
      <x:c r="BL25" s="149" t="n">
        <x:f aca="0">T25*T25</x:f>
        <x:v>252.05148690000385</x:v>
      </x:c>
      <x:c r="BM25" s="149" t="n">
        <x:f aca="0">U25*U25</x:f>
        <x:v>326.8876478135489</x:v>
      </x:c>
      <x:c r="BN25" s="149" t="n">
        <x:f aca="0">V25*V25</x:f>
        <x:v>406.66892007331137</x:v>
      </x:c>
      <x:c r="BO25" s="149" t="n">
        <x:f aca="0">W25*W25</x:f>
        <x:v>489.09170882545925</x:v>
      </x:c>
      <x:c r="BP25" s="149" t="n">
        <x:f aca="0">X25*X25</x:f>
        <x:v>572.0957120193831</x:v>
      </x:c>
      <x:c r="BQ25" s="149" t="n">
        <x:f aca="0">Y25*Y25</x:f>
        <x:v>653.9515877415441</x:v>
      </x:c>
      <x:c r="BR25" s="149" t="n">
        <x:f aca="0">Z25*Z25</x:f>
        <x:v>733.2895449645844</x:v>
      </x:c>
      <x:c r="BS25" s="149" t="n">
        <x:f aca="0">AA25*AA25</x:f>
        <x:v>809.0881979432709</x:v>
      </x:c>
      <x:c r="BT25" s="149" t="n">
        <x:f aca="0">AB25*AB25</x:f>
        <x:v>880.6399126683979</x:v>
      </x:c>
      <x:c r="BU25" s="149" t="n">
        <x:f aca="0">AC25*AC25</x:f>
        <x:v>947.504787506667</x:v>
      </x:c>
    </x:row>
    <x:row r="26" ht="15" hidden="0" customHeight="1">
      <x:c r="A26" s="1" t="str">
        <x:f aca="0">S13_PSP_Species_Support!A13</x:f>
        <x:v>PSP-FO-012</x:v>
      </x:c>
      <x:c r="B26" s="1" t="n">
        <x:f aca="0">13</x:f>
        <x:v>13</x:v>
      </x:c>
      <x:c r="C26" s="1" t="str">
        <x:f aca="0">S13_PSP_Species_Support!I13</x:f>
        <x:v>Fruit Orchard|Medium|2024</x:v>
      </x:c>
      <x:c r="D26" s="1" t="str">
        <x:f aca="0">S13_PSP_Species_Support!C13</x:f>
        <x:v>Fruit Orchard (Block)</x:v>
      </x:c>
      <x:c r="E26" s="1" t="str">
        <x:f aca="0">S13_PSP_Species_Support!D13</x:f>
        <x:v>Medium</x:v>
      </x:c>
      <x:c r="F26" s="1" t="n">
        <x:f aca="0">S13_PSP_Species_Support!E13</x:f>
        <x:v>2024</x:v>
      </x:c>
      <x:c r="G26" s="645" t="n">
        <x:f aca="0">'S13_PSP_Species_Support'!DJ13</x:f>
        <x:v>0.09</x:v>
      </x:c>
      <x:c r="H26" s="714" t="n">
        <x:f aca="0">'S13_PSP_Species_Support'!DK13</x:f>
        <x:v>27.363940407418664</x:v>
      </x:c>
      <x:c r="I26" s="147" t="n">
        <x:f aca="0">IFERROR((IFERROR(S13_PSP_Species_Support!U13*0.0673*(S13_PSP_Species_Support!V13*(S13_PSP_Species_Support!W13*(1-EXP(-S13_PSP_Species_Support!X13*0))^S13_PSP_Species_Support!Y13)^2*(S13_PSP_Species_Support!Z13*(1-EXP(-S13_PSP_Species_Support!AA13*0))^S13_PSP_Species_Support!AB13))^0.976,0)+IFERROR(S13_PSP_Species_Support!AF13*0.0673*(S13_PSP_Species_Support!AG13*(S13_PSP_Species_Support!AH13*(1-EXP(-S13_PSP_Species_Support!AI13*0))^S13_PSP_Species_Support!AJ13)^2*(S13_PSP_Species_Support!AK13*(1-EXP(-S13_PSP_Species_Support!AL13*0))^S13_PSP_Species_Support!AM13))^0.976,0)+IFERROR(S13_PSP_Species_Support!AQ13*0.0673*(S13_PSP_Species_Support!AR13*(S13_PSP_Species_Support!AS13*(1-EXP(-S13_PSP_Species_Support!AT13*0))^S13_PSP_Species_Support!AU13)^2*(S13_PSP_Species_Support!AV13*(1-EXP(-S13_PSP_Species_Support!AW13*0))^S13_PSP_Species_Support!AX13))^0.976,0)+IFERROR(S13_PSP_Species_Support!BB13*0.0673*(S13_PSP_Species_Support!BC13*(S13_PSP_Species_Support!BD13*(1-EXP(-S13_PSP_Species_Support!BE13*0))^S13_PSP_Species_Support!BF13)^2*(S13_PSP_Species_Support!BG13*(1-EXP(-S13_PSP_Species_Support!BH13*0))^S13_PSP_Species_Support!BI13))^0.976,0)+IFERROR(S13_PSP_Species_Support!BM13*0.0673*(S13_PSP_Species_Support!BN13*(S13_PSP_Species_Support!BO13*(1-EXP(-S13_PSP_Species_Support!BP13*0))^S13_PSP_Species_Support!BQ13)^2*(S13_PSP_Species_Support!BR13*(1-EXP(-S13_PSP_Species_Support!BS13*0))^S13_PSP_Species_Support!BT13))^0.976,0)+IFERROR(S13_PSP_Species_Support!BX13*0.0673*(S13_PSP_Species_Support!BY13*(S13_PSP_Species_Support!BZ13*(1-EXP(-S13_PSP_Species_Support!CA13*0))^S13_PSP_Species_Support!CB13)^2*(S13_PSP_Species_Support!CC13*(1-EXP(-S13_PSP_Species_Support!CD13*0))^S13_PSP_Species_Support!CE13))^0.976,0)+IFERROR(S13_PSP_Species_Support!CI13*0.0673*(S13_PSP_Species_Support!CJ13*(S13_PSP_Species_Support!CK13*(1-EXP(-S13_PSP_Species_Support!CL13*0))^S13_PSP_Species_Support!CM13)^2*(S13_PSP_Species_Support!CN13*(1-EXP(-S13_PSP_Species_Support!CO13*0))^S13_PSP_Species_Support!CP13))^0.976,0)+IFERROR(S13_PSP_Species_Support!CT13*0.0673*(S13_PSP_Species_Support!CU13*(S13_PSP_Species_Support!CV13*(1-EXP(-S13_PSP_Species_Support!CW13*0))^S13_PSP_Species_Support!CX13)^2*(S13_PSP_Species_Support!CY13*(1-EXP(-S13_PSP_Species_Support!CZ13*0))^S13_PSP_Species_Support!DA13))^0.976,0))/1000/$G26*I$108,0)</x:f>
        <x:v>0</x:v>
      </x:c>
      <x:c r="J26" s="147" t="n">
        <x:f aca="0">IFERROR((IFERROR(S13_PSP_Species_Support!U13*0.0673*(S13_PSP_Species_Support!V13*(S13_PSP_Species_Support!W13*(1-EXP(-S13_PSP_Species_Support!X13*1))^S13_PSP_Species_Support!Y13)^2*(S13_PSP_Species_Support!Z13*(1-EXP(-S13_PSP_Species_Support!AA13*1))^S13_PSP_Species_Support!AB13))^0.976,0)+IFERROR(S13_PSP_Species_Support!AF13*0.0673*(S13_PSP_Species_Support!AG13*(S13_PSP_Species_Support!AH13*(1-EXP(-S13_PSP_Species_Support!AI13*1))^S13_PSP_Species_Support!AJ13)^2*(S13_PSP_Species_Support!AK13*(1-EXP(-S13_PSP_Species_Support!AL13*1))^S13_PSP_Species_Support!AM13))^0.976,0)+IFERROR(S13_PSP_Species_Support!AQ13*0.0673*(S13_PSP_Species_Support!AR13*(S13_PSP_Species_Support!AS13*(1-EXP(-S13_PSP_Species_Support!AT13*1))^S13_PSP_Species_Support!AU13)^2*(S13_PSP_Species_Support!AV13*(1-EXP(-S13_PSP_Species_Support!AW13*1))^S13_PSP_Species_Support!AX13))^0.976,0)+IFERROR(S13_PSP_Species_Support!BB13*0.0673*(S13_PSP_Species_Support!BC13*(S13_PSP_Species_Support!BD13*(1-EXP(-S13_PSP_Species_Support!BE13*1))^S13_PSP_Species_Support!BF13)^2*(S13_PSP_Species_Support!BG13*(1-EXP(-S13_PSP_Species_Support!BH13*1))^S13_PSP_Species_Support!BI13))^0.976,0)+IFERROR(S13_PSP_Species_Support!BM13*0.0673*(S13_PSP_Species_Support!BN13*(S13_PSP_Species_Support!BO13*(1-EXP(-S13_PSP_Species_Support!BP13*1))^S13_PSP_Species_Support!BQ13)^2*(S13_PSP_Species_Support!BR13*(1-EXP(-S13_PSP_Species_Support!BS13*1))^S13_PSP_Species_Support!BT13))^0.976,0)+IFERROR(S13_PSP_Species_Support!BX13*0.0673*(S13_PSP_Species_Support!BY13*(S13_PSP_Species_Support!BZ13*(1-EXP(-S13_PSP_Species_Support!CA13*1))^S13_PSP_Species_Support!CB13)^2*(S13_PSP_Species_Support!CC13*(1-EXP(-S13_PSP_Species_Support!CD13*1))^S13_PSP_Species_Support!CE13))^0.976,0)+IFERROR(S13_PSP_Species_Support!CI13*0.0673*(S13_PSP_Species_Support!CJ13*(S13_PSP_Species_Support!CK13*(1-EXP(-S13_PSP_Species_Support!CL13*1))^S13_PSP_Species_Support!CM13)^2*(S13_PSP_Species_Support!CN13*(1-EXP(-S13_PSP_Species_Support!CO13*1))^S13_PSP_Species_Support!CP13))^0.976,0)+IFERROR(S13_PSP_Species_Support!CT13*0.0673*(S13_PSP_Species_Support!CU13*(S13_PSP_Species_Support!CV13*(1-EXP(-S13_PSP_Species_Support!CW13*1))^S13_PSP_Species_Support!CX13)^2*(S13_PSP_Species_Support!CY13*(1-EXP(-S13_PSP_Species_Support!CZ13*1))^S13_PSP_Species_Support!DA13))^0.976,0))/1000/$G26*J$108,0)</x:f>
        <x:v>0.04168621246493087</x:v>
      </x:c>
      <x:c r="K26" s="147" t="n">
        <x:f aca="0">IFERROR((IFERROR(S13_PSP_Species_Support!U13*0.0673*(S13_PSP_Species_Support!V13*(S13_PSP_Species_Support!W13*(1-EXP(-S13_PSP_Species_Support!X13*2))^S13_PSP_Species_Support!Y13)^2*(S13_PSP_Species_Support!Z13*(1-EXP(-S13_PSP_Species_Support!AA13*2))^S13_PSP_Species_Support!AB13))^0.976,0)+IFERROR(S13_PSP_Species_Support!AF13*0.0673*(S13_PSP_Species_Support!AG13*(S13_PSP_Species_Support!AH13*(1-EXP(-S13_PSP_Species_Support!AI13*2))^S13_PSP_Species_Support!AJ13)^2*(S13_PSP_Species_Support!AK13*(1-EXP(-S13_PSP_Species_Support!AL13*2))^S13_PSP_Species_Support!AM13))^0.976,0)+IFERROR(S13_PSP_Species_Support!AQ13*0.0673*(S13_PSP_Species_Support!AR13*(S13_PSP_Species_Support!AS13*(1-EXP(-S13_PSP_Species_Support!AT13*2))^S13_PSP_Species_Support!AU13)^2*(S13_PSP_Species_Support!AV13*(1-EXP(-S13_PSP_Species_Support!AW13*2))^S13_PSP_Species_Support!AX13))^0.976,0)+IFERROR(S13_PSP_Species_Support!BB13*0.0673*(S13_PSP_Species_Support!BC13*(S13_PSP_Species_Support!BD13*(1-EXP(-S13_PSP_Species_Support!BE13*2))^S13_PSP_Species_Support!BF13)^2*(S13_PSP_Species_Support!BG13*(1-EXP(-S13_PSP_Species_Support!BH13*2))^S13_PSP_Species_Support!BI13))^0.976,0)+IFERROR(S13_PSP_Species_Support!BM13*0.0673*(S13_PSP_Species_Support!BN13*(S13_PSP_Species_Support!BO13*(1-EXP(-S13_PSP_Species_Support!BP13*2))^S13_PSP_Species_Support!BQ13)^2*(S13_PSP_Species_Support!BR13*(1-EXP(-S13_PSP_Species_Support!BS13*2))^S13_PSP_Species_Support!BT13))^0.976,0)+IFERROR(S13_PSP_Species_Support!BX13*0.0673*(S13_PSP_Species_Support!BY13*(S13_PSP_Species_Support!BZ13*(1-EXP(-S13_PSP_Species_Support!CA13*2))^S13_PSP_Species_Support!CB13)^2*(S13_PSP_Species_Support!CC13*(1-EXP(-S13_PSP_Species_Support!CD13*2))^S13_PSP_Species_Support!CE13))^0.976,0)+IFERROR(S13_PSP_Species_Support!CI13*0.0673*(S13_PSP_Species_Support!CJ13*(S13_PSP_Species_Support!CK13*(1-EXP(-S13_PSP_Species_Support!CL13*2))^S13_PSP_Species_Support!CM13)^2*(S13_PSP_Species_Support!CN13*(1-EXP(-S13_PSP_Species_Support!CO13*2))^S13_PSP_Species_Support!CP13))^0.976,0)+IFERROR(S13_PSP_Species_Support!CT13*0.0673*(S13_PSP_Species_Support!CU13*(S13_PSP_Species_Support!CV13*(1-EXP(-S13_PSP_Species_Support!CW13*2))^S13_PSP_Species_Support!CX13)^2*(S13_PSP_Species_Support!CY13*(1-EXP(-S13_PSP_Species_Support!CZ13*2))^S13_PSP_Species_Support!DA13))^0.976,0))/1000/$G26*K$108,0)</x:f>
        <x:v>0.5101849303240866</x:v>
      </x:c>
      <x:c r="L26" s="147" t="n">
        <x:f aca="0">IFERROR((IFERROR(S13_PSP_Species_Support!U13*0.0673*(S13_PSP_Species_Support!V13*(S13_PSP_Species_Support!W13*(1-EXP(-S13_PSP_Species_Support!X13*3))^S13_PSP_Species_Support!Y13)^2*(S13_PSP_Species_Support!Z13*(1-EXP(-S13_PSP_Species_Support!AA13*3))^S13_PSP_Species_Support!AB13))^0.976,0)+IFERROR(S13_PSP_Species_Support!AF13*0.0673*(S13_PSP_Species_Support!AG13*(S13_PSP_Species_Support!AH13*(1-EXP(-S13_PSP_Species_Support!AI13*3))^S13_PSP_Species_Support!AJ13)^2*(S13_PSP_Species_Support!AK13*(1-EXP(-S13_PSP_Species_Support!AL13*3))^S13_PSP_Species_Support!AM13))^0.976,0)+IFERROR(S13_PSP_Species_Support!AQ13*0.0673*(S13_PSP_Species_Support!AR13*(S13_PSP_Species_Support!AS13*(1-EXP(-S13_PSP_Species_Support!AT13*3))^S13_PSP_Species_Support!AU13)^2*(S13_PSP_Species_Support!AV13*(1-EXP(-S13_PSP_Species_Support!AW13*3))^S13_PSP_Species_Support!AX13))^0.976,0)+IFERROR(S13_PSP_Species_Support!BB13*0.0673*(S13_PSP_Species_Support!BC13*(S13_PSP_Species_Support!BD13*(1-EXP(-S13_PSP_Species_Support!BE13*3))^S13_PSP_Species_Support!BF13)^2*(S13_PSP_Species_Support!BG13*(1-EXP(-S13_PSP_Species_Support!BH13*3))^S13_PSP_Species_Support!BI13))^0.976,0)+IFERROR(S13_PSP_Species_Support!BM13*0.0673*(S13_PSP_Species_Support!BN13*(S13_PSP_Species_Support!BO13*(1-EXP(-S13_PSP_Species_Support!BP13*3))^S13_PSP_Species_Support!BQ13)^2*(S13_PSP_Species_Support!BR13*(1-EXP(-S13_PSP_Species_Support!BS13*3))^S13_PSP_Species_Support!BT13))^0.976,0)+IFERROR(S13_PSP_Species_Support!BX13*0.0673*(S13_PSP_Species_Support!BY13*(S13_PSP_Species_Support!BZ13*(1-EXP(-S13_PSP_Species_Support!CA13*3))^S13_PSP_Species_Support!CB13)^2*(S13_PSP_Species_Support!CC13*(1-EXP(-S13_PSP_Species_Support!CD13*3))^S13_PSP_Species_Support!CE13))^0.976,0)+IFERROR(S13_PSP_Species_Support!CI13*0.0673*(S13_PSP_Species_Support!CJ13*(S13_PSP_Species_Support!CK13*(1-EXP(-S13_PSP_Species_Support!CL13*3))^S13_PSP_Species_Support!CM13)^2*(S13_PSP_Species_Support!CN13*(1-EXP(-S13_PSP_Species_Support!CO13*3))^S13_PSP_Species_Support!CP13))^0.976,0)+IFERROR(S13_PSP_Species_Support!CT13*0.0673*(S13_PSP_Species_Support!CU13*(S13_PSP_Species_Support!CV13*(1-EXP(-S13_PSP_Species_Support!CW13*3))^S13_PSP_Species_Support!CX13)^2*(S13_PSP_Species_Support!CY13*(1-EXP(-S13_PSP_Species_Support!CZ13*3))^S13_PSP_Species_Support!DA13))^0.976,0))/1000/$G26*L$108,0)</x:f>
        <x:v>1.9547066554087913</x:v>
      </x:c>
      <x:c r="M26" s="147" t="n">
        <x:f aca="0">IFERROR((IFERROR(S13_PSP_Species_Support!U13*0.0673*(S13_PSP_Species_Support!V13*(S13_PSP_Species_Support!W13*(1-EXP(-S13_PSP_Species_Support!X13*4))^S13_PSP_Species_Support!Y13)^2*(S13_PSP_Species_Support!Z13*(1-EXP(-S13_PSP_Species_Support!AA13*4))^S13_PSP_Species_Support!AB13))^0.976,0)+IFERROR(S13_PSP_Species_Support!AF13*0.0673*(S13_PSP_Species_Support!AG13*(S13_PSP_Species_Support!AH13*(1-EXP(-S13_PSP_Species_Support!AI13*4))^S13_PSP_Species_Support!AJ13)^2*(S13_PSP_Species_Support!AK13*(1-EXP(-S13_PSP_Species_Support!AL13*4))^S13_PSP_Species_Support!AM13))^0.976,0)+IFERROR(S13_PSP_Species_Support!AQ13*0.0673*(S13_PSP_Species_Support!AR13*(S13_PSP_Species_Support!AS13*(1-EXP(-S13_PSP_Species_Support!AT13*4))^S13_PSP_Species_Support!AU13)^2*(S13_PSP_Species_Support!AV13*(1-EXP(-S13_PSP_Species_Support!AW13*4))^S13_PSP_Species_Support!AX13))^0.976,0)+IFERROR(S13_PSP_Species_Support!BB13*0.0673*(S13_PSP_Species_Support!BC13*(S13_PSP_Species_Support!BD13*(1-EXP(-S13_PSP_Species_Support!BE13*4))^S13_PSP_Species_Support!BF13)^2*(S13_PSP_Species_Support!BG13*(1-EXP(-S13_PSP_Species_Support!BH13*4))^S13_PSP_Species_Support!BI13))^0.976,0)+IFERROR(S13_PSP_Species_Support!BM13*0.0673*(S13_PSP_Species_Support!BN13*(S13_PSP_Species_Support!BO13*(1-EXP(-S13_PSP_Species_Support!BP13*4))^S13_PSP_Species_Support!BQ13)^2*(S13_PSP_Species_Support!BR13*(1-EXP(-S13_PSP_Species_Support!BS13*4))^S13_PSP_Species_Support!BT13))^0.976,0)+IFERROR(S13_PSP_Species_Support!BX13*0.0673*(S13_PSP_Species_Support!BY13*(S13_PSP_Species_Support!BZ13*(1-EXP(-S13_PSP_Species_Support!CA13*4))^S13_PSP_Species_Support!CB13)^2*(S13_PSP_Species_Support!CC13*(1-EXP(-S13_PSP_Species_Support!CD13*4))^S13_PSP_Species_Support!CE13))^0.976,0)+IFERROR(S13_PSP_Species_Support!CI13*0.0673*(S13_PSP_Species_Support!CJ13*(S13_PSP_Species_Support!CK13*(1-EXP(-S13_PSP_Species_Support!CL13*4))^S13_PSP_Species_Support!CM13)^2*(S13_PSP_Species_Support!CN13*(1-EXP(-S13_PSP_Species_Support!CO13*4))^S13_PSP_Species_Support!CP13))^0.976,0)+IFERROR(S13_PSP_Species_Support!CT13*0.0673*(S13_PSP_Species_Support!CU13*(S13_PSP_Species_Support!CV13*(1-EXP(-S13_PSP_Species_Support!CW13*4))^S13_PSP_Species_Support!CX13)^2*(S13_PSP_Species_Support!CY13*(1-EXP(-S13_PSP_Species_Support!CZ13*4))^S13_PSP_Species_Support!DA13))^0.976,0))/1000/$G26*M$108,0)</x:f>
        <x:v>4.709759141694575</x:v>
      </x:c>
      <x:c r="N26" s="147" t="n">
        <x:f aca="0">IFERROR((IFERROR(S13_PSP_Species_Support!U13*0.0673*(S13_PSP_Species_Support!V13*(S13_PSP_Species_Support!W13*(1-EXP(-S13_PSP_Species_Support!X13*5))^S13_PSP_Species_Support!Y13)^2*(S13_PSP_Species_Support!Z13*(1-EXP(-S13_PSP_Species_Support!AA13*5))^S13_PSP_Species_Support!AB13))^0.976,0)+IFERROR(S13_PSP_Species_Support!AF13*0.0673*(S13_PSP_Species_Support!AG13*(S13_PSP_Species_Support!AH13*(1-EXP(-S13_PSP_Species_Support!AI13*5))^S13_PSP_Species_Support!AJ13)^2*(S13_PSP_Species_Support!AK13*(1-EXP(-S13_PSP_Species_Support!AL13*5))^S13_PSP_Species_Support!AM13))^0.976,0)+IFERROR(S13_PSP_Species_Support!AQ13*0.0673*(S13_PSP_Species_Support!AR13*(S13_PSP_Species_Support!AS13*(1-EXP(-S13_PSP_Species_Support!AT13*5))^S13_PSP_Species_Support!AU13)^2*(S13_PSP_Species_Support!AV13*(1-EXP(-S13_PSP_Species_Support!AW13*5))^S13_PSP_Species_Support!AX13))^0.976,0)+IFERROR(S13_PSP_Species_Support!BB13*0.0673*(S13_PSP_Species_Support!BC13*(S13_PSP_Species_Support!BD13*(1-EXP(-S13_PSP_Species_Support!BE13*5))^S13_PSP_Species_Support!BF13)^2*(S13_PSP_Species_Support!BG13*(1-EXP(-S13_PSP_Species_Support!BH13*5))^S13_PSP_Species_Support!BI13))^0.976,0)+IFERROR(S13_PSP_Species_Support!BM13*0.0673*(S13_PSP_Species_Support!BN13*(S13_PSP_Species_Support!BO13*(1-EXP(-S13_PSP_Species_Support!BP13*5))^S13_PSP_Species_Support!BQ13)^2*(S13_PSP_Species_Support!BR13*(1-EXP(-S13_PSP_Species_Support!BS13*5))^S13_PSP_Species_Support!BT13))^0.976,0)+IFERROR(S13_PSP_Species_Support!BX13*0.0673*(S13_PSP_Species_Support!BY13*(S13_PSP_Species_Support!BZ13*(1-EXP(-S13_PSP_Species_Support!CA13*5))^S13_PSP_Species_Support!CB13)^2*(S13_PSP_Species_Support!CC13*(1-EXP(-S13_PSP_Species_Support!CD13*5))^S13_PSP_Species_Support!CE13))^0.976,0)+IFERROR(S13_PSP_Species_Support!CI13*0.0673*(S13_PSP_Species_Support!CJ13*(S13_PSP_Species_Support!CK13*(1-EXP(-S13_PSP_Species_Support!CL13*5))^S13_PSP_Species_Support!CM13)^2*(S13_PSP_Species_Support!CN13*(1-EXP(-S13_PSP_Species_Support!CO13*5))^S13_PSP_Species_Support!CP13))^0.976,0)+IFERROR(S13_PSP_Species_Support!CT13*0.0673*(S13_PSP_Species_Support!CU13*(S13_PSP_Species_Support!CV13*(1-EXP(-S13_PSP_Species_Support!CW13*5))^S13_PSP_Species_Support!CX13)^2*(S13_PSP_Species_Support!CY13*(1-EXP(-S13_PSP_Species_Support!CZ13*5))^S13_PSP_Species_Support!DA13))^0.976,0))/1000/$G26*N$108,0)</x:f>
        <x:v>8.79416146407818</x:v>
      </x:c>
      <x:c r="O26" s="147" t="n">
        <x:f aca="0">IFERROR((IFERROR(S13_PSP_Species_Support!U13*0.0673*(S13_PSP_Species_Support!V13*(S13_PSP_Species_Support!W13*(1-EXP(-S13_PSP_Species_Support!X13*6))^S13_PSP_Species_Support!Y13)^2*(S13_PSP_Species_Support!Z13*(1-EXP(-S13_PSP_Species_Support!AA13*6))^S13_PSP_Species_Support!AB13))^0.976,0)+IFERROR(S13_PSP_Species_Support!AF13*0.0673*(S13_PSP_Species_Support!AG13*(S13_PSP_Species_Support!AH13*(1-EXP(-S13_PSP_Species_Support!AI13*6))^S13_PSP_Species_Support!AJ13)^2*(S13_PSP_Species_Support!AK13*(1-EXP(-S13_PSP_Species_Support!AL13*6))^S13_PSP_Species_Support!AM13))^0.976,0)+IFERROR(S13_PSP_Species_Support!AQ13*0.0673*(S13_PSP_Species_Support!AR13*(S13_PSP_Species_Support!AS13*(1-EXP(-S13_PSP_Species_Support!AT13*6))^S13_PSP_Species_Support!AU13)^2*(S13_PSP_Species_Support!AV13*(1-EXP(-S13_PSP_Species_Support!AW13*6))^S13_PSP_Species_Support!AX13))^0.976,0)+IFERROR(S13_PSP_Species_Support!BB13*0.0673*(S13_PSP_Species_Support!BC13*(S13_PSP_Species_Support!BD13*(1-EXP(-S13_PSP_Species_Support!BE13*6))^S13_PSP_Species_Support!BF13)^2*(S13_PSP_Species_Support!BG13*(1-EXP(-S13_PSP_Species_Support!BH13*6))^S13_PSP_Species_Support!BI13))^0.976,0)+IFERROR(S13_PSP_Species_Support!BM13*0.0673*(S13_PSP_Species_Support!BN13*(S13_PSP_Species_Support!BO13*(1-EXP(-S13_PSP_Species_Support!BP13*6))^S13_PSP_Species_Support!BQ13)^2*(S13_PSP_Species_Support!BR13*(1-EXP(-S13_PSP_Species_Support!BS13*6))^S13_PSP_Species_Support!BT13))^0.976,0)+IFERROR(S13_PSP_Species_Support!BX13*0.0673*(S13_PSP_Species_Support!BY13*(S13_PSP_Species_Support!BZ13*(1-EXP(-S13_PSP_Species_Support!CA13*6))^S13_PSP_Species_Support!CB13)^2*(S13_PSP_Species_Support!CC13*(1-EXP(-S13_PSP_Species_Support!CD13*6))^S13_PSP_Species_Support!CE13))^0.976,0)+IFERROR(S13_PSP_Species_Support!CI13*0.0673*(S13_PSP_Species_Support!CJ13*(S13_PSP_Species_Support!CK13*(1-EXP(-S13_PSP_Species_Support!CL13*6))^S13_PSP_Species_Support!CM13)^2*(S13_PSP_Species_Support!CN13*(1-EXP(-S13_PSP_Species_Support!CO13*6))^S13_PSP_Species_Support!CP13))^0.976,0)+IFERROR(S13_PSP_Species_Support!CT13*0.0673*(S13_PSP_Species_Support!CU13*(S13_PSP_Species_Support!CV13*(1-EXP(-S13_PSP_Species_Support!CW13*6))^S13_PSP_Species_Support!CX13)^2*(S13_PSP_Species_Support!CY13*(1-EXP(-S13_PSP_Species_Support!CZ13*6))^S13_PSP_Species_Support!DA13))^0.976,0))/1000/$G26*O$108,0)</x:f>
        <x:v>14.027136305787058</x:v>
      </x:c>
      <x:c r="P26" s="147" t="n">
        <x:f aca="0">IFERROR((IFERROR(S13_PSP_Species_Support!U13*0.0673*(S13_PSP_Species_Support!V13*(S13_PSP_Species_Support!W13*(1-EXP(-S13_PSP_Species_Support!X13*7))^S13_PSP_Species_Support!Y13)^2*(S13_PSP_Species_Support!Z13*(1-EXP(-S13_PSP_Species_Support!AA13*7))^S13_PSP_Species_Support!AB13))^0.976,0)+IFERROR(S13_PSP_Species_Support!AF13*0.0673*(S13_PSP_Species_Support!AG13*(S13_PSP_Species_Support!AH13*(1-EXP(-S13_PSP_Species_Support!AI13*7))^S13_PSP_Species_Support!AJ13)^2*(S13_PSP_Species_Support!AK13*(1-EXP(-S13_PSP_Species_Support!AL13*7))^S13_PSP_Species_Support!AM13))^0.976,0)+IFERROR(S13_PSP_Species_Support!AQ13*0.0673*(S13_PSP_Species_Support!AR13*(S13_PSP_Species_Support!AS13*(1-EXP(-S13_PSP_Species_Support!AT13*7))^S13_PSP_Species_Support!AU13)^2*(S13_PSP_Species_Support!AV13*(1-EXP(-S13_PSP_Species_Support!AW13*7))^S13_PSP_Species_Support!AX13))^0.976,0)+IFERROR(S13_PSP_Species_Support!BB13*0.0673*(S13_PSP_Species_Support!BC13*(S13_PSP_Species_Support!BD13*(1-EXP(-S13_PSP_Species_Support!BE13*7))^S13_PSP_Species_Support!BF13)^2*(S13_PSP_Species_Support!BG13*(1-EXP(-S13_PSP_Species_Support!BH13*7))^S13_PSP_Species_Support!BI13))^0.976,0)+IFERROR(S13_PSP_Species_Support!BM13*0.0673*(S13_PSP_Species_Support!BN13*(S13_PSP_Species_Support!BO13*(1-EXP(-S13_PSP_Species_Support!BP13*7))^S13_PSP_Species_Support!BQ13)^2*(S13_PSP_Species_Support!BR13*(1-EXP(-S13_PSP_Species_Support!BS13*7))^S13_PSP_Species_Support!BT13))^0.976,0)+IFERROR(S13_PSP_Species_Support!BX13*0.0673*(S13_PSP_Species_Support!BY13*(S13_PSP_Species_Support!BZ13*(1-EXP(-S13_PSP_Species_Support!CA13*7))^S13_PSP_Species_Support!CB13)^2*(S13_PSP_Species_Support!CC13*(1-EXP(-S13_PSP_Species_Support!CD13*7))^S13_PSP_Species_Support!CE13))^0.976,0)+IFERROR(S13_PSP_Species_Support!CI13*0.0673*(S13_PSP_Species_Support!CJ13*(S13_PSP_Species_Support!CK13*(1-EXP(-S13_PSP_Species_Support!CL13*7))^S13_PSP_Species_Support!CM13)^2*(S13_PSP_Species_Support!CN13*(1-EXP(-S13_PSP_Species_Support!CO13*7))^S13_PSP_Species_Support!CP13))^0.976,0)+IFERROR(S13_PSP_Species_Support!CT13*0.0673*(S13_PSP_Species_Support!CU13*(S13_PSP_Species_Support!CV13*(1-EXP(-S13_PSP_Species_Support!CW13*7))^S13_PSP_Species_Support!CX13)^2*(S13_PSP_Species_Support!CY13*(1-EXP(-S13_PSP_Species_Support!CZ13*7))^S13_PSP_Species_Support!DA13))^0.976,0))/1000/$G26*P$108,0)</x:f>
        <x:v>20.128257762763088</x:v>
      </x:c>
      <x:c r="Q26" s="147" t="n">
        <x:f aca="0">IFERROR((IFERROR(S13_PSP_Species_Support!U13*0.0673*(S13_PSP_Species_Support!V13*(S13_PSP_Species_Support!W13*(1-EXP(-S13_PSP_Species_Support!X13*8))^S13_PSP_Species_Support!Y13)^2*(S13_PSP_Species_Support!Z13*(1-EXP(-S13_PSP_Species_Support!AA13*8))^S13_PSP_Species_Support!AB13))^0.976,0)+IFERROR(S13_PSP_Species_Support!AF13*0.0673*(S13_PSP_Species_Support!AG13*(S13_PSP_Species_Support!AH13*(1-EXP(-S13_PSP_Species_Support!AI13*8))^S13_PSP_Species_Support!AJ13)^2*(S13_PSP_Species_Support!AK13*(1-EXP(-S13_PSP_Species_Support!AL13*8))^S13_PSP_Species_Support!AM13))^0.976,0)+IFERROR(S13_PSP_Species_Support!AQ13*0.0673*(S13_PSP_Species_Support!AR13*(S13_PSP_Species_Support!AS13*(1-EXP(-S13_PSP_Species_Support!AT13*8))^S13_PSP_Species_Support!AU13)^2*(S13_PSP_Species_Support!AV13*(1-EXP(-S13_PSP_Species_Support!AW13*8))^S13_PSP_Species_Support!AX13))^0.976,0)+IFERROR(S13_PSP_Species_Support!BB13*0.0673*(S13_PSP_Species_Support!BC13*(S13_PSP_Species_Support!BD13*(1-EXP(-S13_PSP_Species_Support!BE13*8))^S13_PSP_Species_Support!BF13)^2*(S13_PSP_Species_Support!BG13*(1-EXP(-S13_PSP_Species_Support!BH13*8))^S13_PSP_Species_Support!BI13))^0.976,0)+IFERROR(S13_PSP_Species_Support!BM13*0.0673*(S13_PSP_Species_Support!BN13*(S13_PSP_Species_Support!BO13*(1-EXP(-S13_PSP_Species_Support!BP13*8))^S13_PSP_Species_Support!BQ13)^2*(S13_PSP_Species_Support!BR13*(1-EXP(-S13_PSP_Species_Support!BS13*8))^S13_PSP_Species_Support!BT13))^0.976,0)+IFERROR(S13_PSP_Species_Support!BX13*0.0673*(S13_PSP_Species_Support!BY13*(S13_PSP_Species_Support!BZ13*(1-EXP(-S13_PSP_Species_Support!CA13*8))^S13_PSP_Species_Support!CB13)^2*(S13_PSP_Species_Support!CC13*(1-EXP(-S13_PSP_Species_Support!CD13*8))^S13_PSP_Species_Support!CE13))^0.976,0)+IFERROR(S13_PSP_Species_Support!CI13*0.0673*(S13_PSP_Species_Support!CJ13*(S13_PSP_Species_Support!CK13*(1-EXP(-S13_PSP_Species_Support!CL13*8))^S13_PSP_Species_Support!CM13)^2*(S13_PSP_Species_Support!CN13*(1-EXP(-S13_PSP_Species_Support!CO13*8))^S13_PSP_Species_Support!CP13))^0.976,0)+IFERROR(S13_PSP_Species_Support!CT13*0.0673*(S13_PSP_Species_Support!CU13*(S13_PSP_Species_Support!CV13*(1-EXP(-S13_PSP_Species_Support!CW13*8))^S13_PSP_Species_Support!CX13)^2*(S13_PSP_Species_Support!CY13*(1-EXP(-S13_PSP_Species_Support!CZ13*8))^S13_PSP_Species_Support!DA13))^0.976,0))/1000/$G26*Q$108,0)</x:f>
        <x:v>26.794644983005007</x:v>
      </x:c>
      <x:c r="R26" s="147" t="n">
        <x:f aca="0">IFERROR((IFERROR(S13_PSP_Species_Support!U13*0.0673*(S13_PSP_Species_Support!V13*(S13_PSP_Species_Support!W13*(1-EXP(-S13_PSP_Species_Support!X13*9))^S13_PSP_Species_Support!Y13)^2*(S13_PSP_Species_Support!Z13*(1-EXP(-S13_PSP_Species_Support!AA13*9))^S13_PSP_Species_Support!AB13))^0.976,0)+IFERROR(S13_PSP_Species_Support!AF13*0.0673*(S13_PSP_Species_Support!AG13*(S13_PSP_Species_Support!AH13*(1-EXP(-S13_PSP_Species_Support!AI13*9))^S13_PSP_Species_Support!AJ13)^2*(S13_PSP_Species_Support!AK13*(1-EXP(-S13_PSP_Species_Support!AL13*9))^S13_PSP_Species_Support!AM13))^0.976,0)+IFERROR(S13_PSP_Species_Support!AQ13*0.0673*(S13_PSP_Species_Support!AR13*(S13_PSP_Species_Support!AS13*(1-EXP(-S13_PSP_Species_Support!AT13*9))^S13_PSP_Species_Support!AU13)^2*(S13_PSP_Species_Support!AV13*(1-EXP(-S13_PSP_Species_Support!AW13*9))^S13_PSP_Species_Support!AX13))^0.976,0)+IFERROR(S13_PSP_Species_Support!BB13*0.0673*(S13_PSP_Species_Support!BC13*(S13_PSP_Species_Support!BD13*(1-EXP(-S13_PSP_Species_Support!BE13*9))^S13_PSP_Species_Support!BF13)^2*(S13_PSP_Species_Support!BG13*(1-EXP(-S13_PSP_Species_Support!BH13*9))^S13_PSP_Species_Support!BI13))^0.976,0)+IFERROR(S13_PSP_Species_Support!BM13*0.0673*(S13_PSP_Species_Support!BN13*(S13_PSP_Species_Support!BO13*(1-EXP(-S13_PSP_Species_Support!BP13*9))^S13_PSP_Species_Support!BQ13)^2*(S13_PSP_Species_Support!BR13*(1-EXP(-S13_PSP_Species_Support!BS13*9))^S13_PSP_Species_Support!BT13))^0.976,0)+IFERROR(S13_PSP_Species_Support!BX13*0.0673*(S13_PSP_Species_Support!BY13*(S13_PSP_Species_Support!BZ13*(1-EXP(-S13_PSP_Species_Support!CA13*9))^S13_PSP_Species_Support!CB13)^2*(S13_PSP_Species_Support!CC13*(1-EXP(-S13_PSP_Species_Support!CD13*9))^S13_PSP_Species_Support!CE13))^0.976,0)+IFERROR(S13_PSP_Species_Support!CI13*0.0673*(S13_PSP_Species_Support!CJ13*(S13_PSP_Species_Support!CK13*(1-EXP(-S13_PSP_Species_Support!CL13*9))^S13_PSP_Species_Support!CM13)^2*(S13_PSP_Species_Support!CN13*(1-EXP(-S13_PSP_Species_Support!CO13*9))^S13_PSP_Species_Support!CP13))^0.976,0)+IFERROR(S13_PSP_Species_Support!CT13*0.0673*(S13_PSP_Species_Support!CU13*(S13_PSP_Species_Support!CV13*(1-EXP(-S13_PSP_Species_Support!CW13*9))^S13_PSP_Species_Support!CX13)^2*(S13_PSP_Species_Support!CY13*(1-EXP(-S13_PSP_Species_Support!CZ13*9))^S13_PSP_Species_Support!DA13))^0.976,0))/1000/$G26*R$108,0)</x:f>
        <x:v>33.746668996889376</x:v>
      </x:c>
      <x:c r="S26" s="147" t="n">
        <x:f aca="0">IFERROR((IFERROR(S13_PSP_Species_Support!U13*0.0673*(S13_PSP_Species_Support!V13*(S13_PSP_Species_Support!W13*(1-EXP(-S13_PSP_Species_Support!X13*10))^S13_PSP_Species_Support!Y13)^2*(S13_PSP_Species_Support!Z13*(1-EXP(-S13_PSP_Species_Support!AA13*10))^S13_PSP_Species_Support!AB13))^0.976,0)+IFERROR(S13_PSP_Species_Support!AF13*0.0673*(S13_PSP_Species_Support!AG13*(S13_PSP_Species_Support!AH13*(1-EXP(-S13_PSP_Species_Support!AI13*10))^S13_PSP_Species_Support!AJ13)^2*(S13_PSP_Species_Support!AK13*(1-EXP(-S13_PSP_Species_Support!AL13*10))^S13_PSP_Species_Support!AM13))^0.976,0)+IFERROR(S13_PSP_Species_Support!AQ13*0.0673*(S13_PSP_Species_Support!AR13*(S13_PSP_Species_Support!AS13*(1-EXP(-S13_PSP_Species_Support!AT13*10))^S13_PSP_Species_Support!AU13)^2*(S13_PSP_Species_Support!AV13*(1-EXP(-S13_PSP_Species_Support!AW13*10))^S13_PSP_Species_Support!AX13))^0.976,0)+IFERROR(S13_PSP_Species_Support!BB13*0.0673*(S13_PSP_Species_Support!BC13*(S13_PSP_Species_Support!BD13*(1-EXP(-S13_PSP_Species_Support!BE13*10))^S13_PSP_Species_Support!BF13)^2*(S13_PSP_Species_Support!BG13*(1-EXP(-S13_PSP_Species_Support!BH13*10))^S13_PSP_Species_Support!BI13))^0.976,0)+IFERROR(S13_PSP_Species_Support!BM13*0.0673*(S13_PSP_Species_Support!BN13*(S13_PSP_Species_Support!BO13*(1-EXP(-S13_PSP_Species_Support!BP13*10))^S13_PSP_Species_Support!BQ13)^2*(S13_PSP_Species_Support!BR13*(1-EXP(-S13_PSP_Species_Support!BS13*10))^S13_PSP_Species_Support!BT13))^0.976,0)+IFERROR(S13_PSP_Species_Support!BX13*0.0673*(S13_PSP_Species_Support!BY13*(S13_PSP_Species_Support!BZ13*(1-EXP(-S13_PSP_Species_Support!CA13*10))^S13_PSP_Species_Support!CB13)^2*(S13_PSP_Species_Support!CC13*(1-EXP(-S13_PSP_Species_Support!CD13*10))^S13_PSP_Species_Support!CE13))^0.976,0)+IFERROR(S13_PSP_Species_Support!CI13*0.0673*(S13_PSP_Species_Support!CJ13*(S13_PSP_Species_Support!CK13*(1-EXP(-S13_PSP_Species_Support!CL13*10))^S13_PSP_Species_Support!CM13)^2*(S13_PSP_Species_Support!CN13*(1-EXP(-S13_PSP_Species_Support!CO13*10))^S13_PSP_Species_Support!CP13))^0.976,0)+IFERROR(S13_PSP_Species_Support!CT13*0.0673*(S13_PSP_Species_Support!CU13*(S13_PSP_Species_Support!CV13*(1-EXP(-S13_PSP_Species_Support!CW13*10))^S13_PSP_Species_Support!CX13)^2*(S13_PSP_Species_Support!CY13*(1-EXP(-S13_PSP_Species_Support!CZ13*10))^S13_PSP_Species_Support!DA13))^0.976,0))/1000/$G26*S$108,0)</x:f>
        <x:v>40.74968965804412</x:v>
      </x:c>
      <x:c r="T26" s="147" t="n">
        <x:f aca="0">IFERROR((IFERROR(S13_PSP_Species_Support!U13*0.0673*(S13_PSP_Species_Support!V13*(S13_PSP_Species_Support!W13*(1-EXP(-S13_PSP_Species_Support!X13*11))^S13_PSP_Species_Support!Y13)^2*(S13_PSP_Species_Support!Z13*(1-EXP(-S13_PSP_Species_Support!AA13*11))^S13_PSP_Species_Support!AB13))^0.976,0)+IFERROR(S13_PSP_Species_Support!AF13*0.0673*(S13_PSP_Species_Support!AG13*(S13_PSP_Species_Support!AH13*(1-EXP(-S13_PSP_Species_Support!AI13*11))^S13_PSP_Species_Support!AJ13)^2*(S13_PSP_Species_Support!AK13*(1-EXP(-S13_PSP_Species_Support!AL13*11))^S13_PSP_Species_Support!AM13))^0.976,0)+IFERROR(S13_PSP_Species_Support!AQ13*0.0673*(S13_PSP_Species_Support!AR13*(S13_PSP_Species_Support!AS13*(1-EXP(-S13_PSP_Species_Support!AT13*11))^S13_PSP_Species_Support!AU13)^2*(S13_PSP_Species_Support!AV13*(1-EXP(-S13_PSP_Species_Support!AW13*11))^S13_PSP_Species_Support!AX13))^0.976,0)+IFERROR(S13_PSP_Species_Support!BB13*0.0673*(S13_PSP_Species_Support!BC13*(S13_PSP_Species_Support!BD13*(1-EXP(-S13_PSP_Species_Support!BE13*11))^S13_PSP_Species_Support!BF13)^2*(S13_PSP_Species_Support!BG13*(1-EXP(-S13_PSP_Species_Support!BH13*11))^S13_PSP_Species_Support!BI13))^0.976,0)+IFERROR(S13_PSP_Species_Support!BM13*0.0673*(S13_PSP_Species_Support!BN13*(S13_PSP_Species_Support!BO13*(1-EXP(-S13_PSP_Species_Support!BP13*11))^S13_PSP_Species_Support!BQ13)^2*(S13_PSP_Species_Support!BR13*(1-EXP(-S13_PSP_Species_Support!BS13*11))^S13_PSP_Species_Support!BT13))^0.976,0)+IFERROR(S13_PSP_Species_Support!BX13*0.0673*(S13_PSP_Species_Support!BY13*(S13_PSP_Species_Support!BZ13*(1-EXP(-S13_PSP_Species_Support!CA13*11))^S13_PSP_Species_Support!CB13)^2*(S13_PSP_Species_Support!CC13*(1-EXP(-S13_PSP_Species_Support!CD13*11))^S13_PSP_Species_Support!CE13))^0.976,0)+IFERROR(S13_PSP_Species_Support!CI13*0.0673*(S13_PSP_Species_Support!CJ13*(S13_PSP_Species_Support!CK13*(1-EXP(-S13_PSP_Species_Support!CL13*11))^S13_PSP_Species_Support!CM13)^2*(S13_PSP_Species_Support!CN13*(1-EXP(-S13_PSP_Species_Support!CO13*11))^S13_PSP_Species_Support!CP13))^0.976,0)+IFERROR(S13_PSP_Species_Support!CT13*0.0673*(S13_PSP_Species_Support!CU13*(S13_PSP_Species_Support!CV13*(1-EXP(-S13_PSP_Species_Support!CW13*11))^S13_PSP_Species_Support!CX13)^2*(S13_PSP_Species_Support!CY13*(1-EXP(-S13_PSP_Species_Support!CZ13*11))^S13_PSP_Species_Support!DA13))^0.976,0))/1000/$G26*T$108,0)</x:f>
        <x:v>47.62044360105928</x:v>
      </x:c>
      <x:c r="U26" s="147" t="n">
        <x:f aca="0">IFERROR((IFERROR(S13_PSP_Species_Support!U13*0.0673*(S13_PSP_Species_Support!V13*(S13_PSP_Species_Support!W13*(1-EXP(-S13_PSP_Species_Support!X13*12))^S13_PSP_Species_Support!Y13)^2*(S13_PSP_Species_Support!Z13*(1-EXP(-S13_PSP_Species_Support!AA13*12))^S13_PSP_Species_Support!AB13))^0.976,0)+IFERROR(S13_PSP_Species_Support!AF13*0.0673*(S13_PSP_Species_Support!AG13*(S13_PSP_Species_Support!AH13*(1-EXP(-S13_PSP_Species_Support!AI13*12))^S13_PSP_Species_Support!AJ13)^2*(S13_PSP_Species_Support!AK13*(1-EXP(-S13_PSP_Species_Support!AL13*12))^S13_PSP_Species_Support!AM13))^0.976,0)+IFERROR(S13_PSP_Species_Support!AQ13*0.0673*(S13_PSP_Species_Support!AR13*(S13_PSP_Species_Support!AS13*(1-EXP(-S13_PSP_Species_Support!AT13*12))^S13_PSP_Species_Support!AU13)^2*(S13_PSP_Species_Support!AV13*(1-EXP(-S13_PSP_Species_Support!AW13*12))^S13_PSP_Species_Support!AX13))^0.976,0)+IFERROR(S13_PSP_Species_Support!BB13*0.0673*(S13_PSP_Species_Support!BC13*(S13_PSP_Species_Support!BD13*(1-EXP(-S13_PSP_Species_Support!BE13*12))^S13_PSP_Species_Support!BF13)^2*(S13_PSP_Species_Support!BG13*(1-EXP(-S13_PSP_Species_Support!BH13*12))^S13_PSP_Species_Support!BI13))^0.976,0)+IFERROR(S13_PSP_Species_Support!BM13*0.0673*(S13_PSP_Species_Support!BN13*(S13_PSP_Species_Support!BO13*(1-EXP(-S13_PSP_Species_Support!BP13*12))^S13_PSP_Species_Support!BQ13)^2*(S13_PSP_Species_Support!BR13*(1-EXP(-S13_PSP_Species_Support!BS13*12))^S13_PSP_Species_Support!BT13))^0.976,0)+IFERROR(S13_PSP_Species_Support!BX13*0.0673*(S13_PSP_Species_Support!BY13*(S13_PSP_Species_Support!BZ13*(1-EXP(-S13_PSP_Species_Support!CA13*12))^S13_PSP_Species_Support!CB13)^2*(S13_PSP_Species_Support!CC13*(1-EXP(-S13_PSP_Species_Support!CD13*12))^S13_PSP_Species_Support!CE13))^0.976,0)+IFERROR(S13_PSP_Species_Support!CI13*0.0673*(S13_PSP_Species_Support!CJ13*(S13_PSP_Species_Support!CK13*(1-EXP(-S13_PSP_Species_Support!CL13*12))^S13_PSP_Species_Support!CM13)^2*(S13_PSP_Species_Support!CN13*(1-EXP(-S13_PSP_Species_Support!CO13*12))^S13_PSP_Species_Support!CP13))^0.976,0)+IFERROR(S13_PSP_Species_Support!CT13*0.0673*(S13_PSP_Species_Support!CU13*(S13_PSP_Species_Support!CV13*(1-EXP(-S13_PSP_Species_Support!CW13*12))^S13_PSP_Species_Support!CX13)^2*(S13_PSP_Species_Support!CY13*(1-EXP(-S13_PSP_Species_Support!CZ13*12))^S13_PSP_Species_Support!DA13))^0.976,0))/1000/$G26*U$108,0)</x:f>
        <x:v>54.22481619608331</x:v>
      </x:c>
      <x:c r="V26" s="147" t="n">
        <x:f aca="0">IFERROR((IFERROR(S13_PSP_Species_Support!U13*0.0673*(S13_PSP_Species_Support!V13*(S13_PSP_Species_Support!W13*(1-EXP(-S13_PSP_Species_Support!X13*13))^S13_PSP_Species_Support!Y13)^2*(S13_PSP_Species_Support!Z13*(1-EXP(-S13_PSP_Species_Support!AA13*13))^S13_PSP_Species_Support!AB13))^0.976,0)+IFERROR(S13_PSP_Species_Support!AF13*0.0673*(S13_PSP_Species_Support!AG13*(S13_PSP_Species_Support!AH13*(1-EXP(-S13_PSP_Species_Support!AI13*13))^S13_PSP_Species_Support!AJ13)^2*(S13_PSP_Species_Support!AK13*(1-EXP(-S13_PSP_Species_Support!AL13*13))^S13_PSP_Species_Support!AM13))^0.976,0)+IFERROR(S13_PSP_Species_Support!AQ13*0.0673*(S13_PSP_Species_Support!AR13*(S13_PSP_Species_Support!AS13*(1-EXP(-S13_PSP_Species_Support!AT13*13))^S13_PSP_Species_Support!AU13)^2*(S13_PSP_Species_Support!AV13*(1-EXP(-S13_PSP_Species_Support!AW13*13))^S13_PSP_Species_Support!AX13))^0.976,0)+IFERROR(S13_PSP_Species_Support!BB13*0.0673*(S13_PSP_Species_Support!BC13*(S13_PSP_Species_Support!BD13*(1-EXP(-S13_PSP_Species_Support!BE13*13))^S13_PSP_Species_Support!BF13)^2*(S13_PSP_Species_Support!BG13*(1-EXP(-S13_PSP_Species_Support!BH13*13))^S13_PSP_Species_Support!BI13))^0.976,0)+IFERROR(S13_PSP_Species_Support!BM13*0.0673*(S13_PSP_Species_Support!BN13*(S13_PSP_Species_Support!BO13*(1-EXP(-S13_PSP_Species_Support!BP13*13))^S13_PSP_Species_Support!BQ13)^2*(S13_PSP_Species_Support!BR13*(1-EXP(-S13_PSP_Species_Support!BS13*13))^S13_PSP_Species_Support!BT13))^0.976,0)+IFERROR(S13_PSP_Species_Support!BX13*0.0673*(S13_PSP_Species_Support!BY13*(S13_PSP_Species_Support!BZ13*(1-EXP(-S13_PSP_Species_Support!CA13*13))^S13_PSP_Species_Support!CB13)^2*(S13_PSP_Species_Support!CC13*(1-EXP(-S13_PSP_Species_Support!CD13*13))^S13_PSP_Species_Support!CE13))^0.976,0)+IFERROR(S13_PSP_Species_Support!CI13*0.0673*(S13_PSP_Species_Support!CJ13*(S13_PSP_Species_Support!CK13*(1-EXP(-S13_PSP_Species_Support!CL13*13))^S13_PSP_Species_Support!CM13)^2*(S13_PSP_Species_Support!CN13*(1-EXP(-S13_PSP_Species_Support!CO13*13))^S13_PSP_Species_Support!CP13))^0.976,0)+IFERROR(S13_PSP_Species_Support!CT13*0.0673*(S13_PSP_Species_Support!CU13*(S13_PSP_Species_Support!CV13*(1-EXP(-S13_PSP_Species_Support!CW13*13))^S13_PSP_Species_Support!CX13)^2*(S13_PSP_Species_Support!CY13*(1-EXP(-S13_PSP_Species_Support!CZ13*13))^S13_PSP_Species_Support!DA13))^0.976,0))/1000/$G26*V$108,0)</x:f>
        <x:v>60.471497573483596</x:v>
      </x:c>
      <x:c r="W26" s="147" t="n">
        <x:f aca="0">IFERROR((IFERROR(S13_PSP_Species_Support!U13*0.0673*(S13_PSP_Species_Support!V13*(S13_PSP_Species_Support!W13*(1-EXP(-S13_PSP_Species_Support!X13*14))^S13_PSP_Species_Support!Y13)^2*(S13_PSP_Species_Support!Z13*(1-EXP(-S13_PSP_Species_Support!AA13*14))^S13_PSP_Species_Support!AB13))^0.976,0)+IFERROR(S13_PSP_Species_Support!AF13*0.0673*(S13_PSP_Species_Support!AG13*(S13_PSP_Species_Support!AH13*(1-EXP(-S13_PSP_Species_Support!AI13*14))^S13_PSP_Species_Support!AJ13)^2*(S13_PSP_Species_Support!AK13*(1-EXP(-S13_PSP_Species_Support!AL13*14))^S13_PSP_Species_Support!AM13))^0.976,0)+IFERROR(S13_PSP_Species_Support!AQ13*0.0673*(S13_PSP_Species_Support!AR13*(S13_PSP_Species_Support!AS13*(1-EXP(-S13_PSP_Species_Support!AT13*14))^S13_PSP_Species_Support!AU13)^2*(S13_PSP_Species_Support!AV13*(1-EXP(-S13_PSP_Species_Support!AW13*14))^S13_PSP_Species_Support!AX13))^0.976,0)+IFERROR(S13_PSP_Species_Support!BB13*0.0673*(S13_PSP_Species_Support!BC13*(S13_PSP_Species_Support!BD13*(1-EXP(-S13_PSP_Species_Support!BE13*14))^S13_PSP_Species_Support!BF13)^2*(S13_PSP_Species_Support!BG13*(1-EXP(-S13_PSP_Species_Support!BH13*14))^S13_PSP_Species_Support!BI13))^0.976,0)+IFERROR(S13_PSP_Species_Support!BM13*0.0673*(S13_PSP_Species_Support!BN13*(S13_PSP_Species_Support!BO13*(1-EXP(-S13_PSP_Species_Support!BP13*14))^S13_PSP_Species_Support!BQ13)^2*(S13_PSP_Species_Support!BR13*(1-EXP(-S13_PSP_Species_Support!BS13*14))^S13_PSP_Species_Support!BT13))^0.976,0)+IFERROR(S13_PSP_Species_Support!BX13*0.0673*(S13_PSP_Species_Support!BY13*(S13_PSP_Species_Support!BZ13*(1-EXP(-S13_PSP_Species_Support!CA13*14))^S13_PSP_Species_Support!CB13)^2*(S13_PSP_Species_Support!CC13*(1-EXP(-S13_PSP_Species_Support!CD13*14))^S13_PSP_Species_Support!CE13))^0.976,0)+IFERROR(S13_PSP_Species_Support!CI13*0.0673*(S13_PSP_Species_Support!CJ13*(S13_PSP_Species_Support!CK13*(1-EXP(-S13_PSP_Species_Support!CL13*14))^S13_PSP_Species_Support!CM13)^2*(S13_PSP_Species_Support!CN13*(1-EXP(-S13_PSP_Species_Support!CO13*14))^S13_PSP_Species_Support!CP13))^0.976,0)+IFERROR(S13_PSP_Species_Support!CT13*0.0673*(S13_PSP_Species_Support!CU13*(S13_PSP_Species_Support!CV13*(1-EXP(-S13_PSP_Species_Support!CW13*14))^S13_PSP_Species_Support!CX13)^2*(S13_PSP_Species_Support!CY13*(1-EXP(-S13_PSP_Species_Support!CZ13*14))^S13_PSP_Species_Support!DA13))^0.976,0))/1000/$G26*W$108,0)</x:f>
        <x:v>66.30424100956533</x:v>
      </x:c>
      <x:c r="X26" s="147" t="n">
        <x:f aca="0">IFERROR((IFERROR(S13_PSP_Species_Support!U13*0.0673*(S13_PSP_Species_Support!V13*(S13_PSP_Species_Support!W13*(1-EXP(-S13_PSP_Species_Support!X13*15))^S13_PSP_Species_Support!Y13)^2*(S13_PSP_Species_Support!Z13*(1-EXP(-S13_PSP_Species_Support!AA13*15))^S13_PSP_Species_Support!AB13))^0.976,0)+IFERROR(S13_PSP_Species_Support!AF13*0.0673*(S13_PSP_Species_Support!AG13*(S13_PSP_Species_Support!AH13*(1-EXP(-S13_PSP_Species_Support!AI13*15))^S13_PSP_Species_Support!AJ13)^2*(S13_PSP_Species_Support!AK13*(1-EXP(-S13_PSP_Species_Support!AL13*15))^S13_PSP_Species_Support!AM13))^0.976,0)+IFERROR(S13_PSP_Species_Support!AQ13*0.0673*(S13_PSP_Species_Support!AR13*(S13_PSP_Species_Support!AS13*(1-EXP(-S13_PSP_Species_Support!AT13*15))^S13_PSP_Species_Support!AU13)^2*(S13_PSP_Species_Support!AV13*(1-EXP(-S13_PSP_Species_Support!AW13*15))^S13_PSP_Species_Support!AX13))^0.976,0)+IFERROR(S13_PSP_Species_Support!BB13*0.0673*(S13_PSP_Species_Support!BC13*(S13_PSP_Species_Support!BD13*(1-EXP(-S13_PSP_Species_Support!BE13*15))^S13_PSP_Species_Support!BF13)^2*(S13_PSP_Species_Support!BG13*(1-EXP(-S13_PSP_Species_Support!BH13*15))^S13_PSP_Species_Support!BI13))^0.976,0)+IFERROR(S13_PSP_Species_Support!BM13*0.0673*(S13_PSP_Species_Support!BN13*(S13_PSP_Species_Support!BO13*(1-EXP(-S13_PSP_Species_Support!BP13*15))^S13_PSP_Species_Support!BQ13)^2*(S13_PSP_Species_Support!BR13*(1-EXP(-S13_PSP_Species_Support!BS13*15))^S13_PSP_Species_Support!BT13))^0.976,0)+IFERROR(S13_PSP_Species_Support!BX13*0.0673*(S13_PSP_Species_Support!BY13*(S13_PSP_Species_Support!BZ13*(1-EXP(-S13_PSP_Species_Support!CA13*15))^S13_PSP_Species_Support!CB13)^2*(S13_PSP_Species_Support!CC13*(1-EXP(-S13_PSP_Species_Support!CD13*15))^S13_PSP_Species_Support!CE13))^0.976,0)+IFERROR(S13_PSP_Species_Support!CI13*0.0673*(S13_PSP_Species_Support!CJ13*(S13_PSP_Species_Support!CK13*(1-EXP(-S13_PSP_Species_Support!CL13*15))^S13_PSP_Species_Support!CM13)^2*(S13_PSP_Species_Support!CN13*(1-EXP(-S13_PSP_Species_Support!CO13*15))^S13_PSP_Species_Support!CP13))^0.976,0)+IFERROR(S13_PSP_Species_Support!CT13*0.0673*(S13_PSP_Species_Support!CU13*(S13_PSP_Species_Support!CV13*(1-EXP(-S13_PSP_Species_Support!CW13*15))^S13_PSP_Species_Support!CX13)^2*(S13_PSP_Species_Support!CY13*(1-EXP(-S13_PSP_Species_Support!CZ13*15))^S13_PSP_Species_Support!DA13))^0.976,0))/1000/$G26*X$108,0)</x:f>
        <x:v>71.6942177102832</x:v>
      </x:c>
      <x:c r="Y26" s="147" t="n">
        <x:f aca="0">IFERROR((IFERROR(S13_PSP_Species_Support!U13*0.0673*(S13_PSP_Species_Support!V13*(S13_PSP_Species_Support!W13*(1-EXP(-S13_PSP_Species_Support!X13*16))^S13_PSP_Species_Support!Y13)^2*(S13_PSP_Species_Support!Z13*(1-EXP(-S13_PSP_Species_Support!AA13*16))^S13_PSP_Species_Support!AB13))^0.976,0)+IFERROR(S13_PSP_Species_Support!AF13*0.0673*(S13_PSP_Species_Support!AG13*(S13_PSP_Species_Support!AH13*(1-EXP(-S13_PSP_Species_Support!AI13*16))^S13_PSP_Species_Support!AJ13)^2*(S13_PSP_Species_Support!AK13*(1-EXP(-S13_PSP_Species_Support!AL13*16))^S13_PSP_Species_Support!AM13))^0.976,0)+IFERROR(S13_PSP_Species_Support!AQ13*0.0673*(S13_PSP_Species_Support!AR13*(S13_PSP_Species_Support!AS13*(1-EXP(-S13_PSP_Species_Support!AT13*16))^S13_PSP_Species_Support!AU13)^2*(S13_PSP_Species_Support!AV13*(1-EXP(-S13_PSP_Species_Support!AW13*16))^S13_PSP_Species_Support!AX13))^0.976,0)+IFERROR(S13_PSP_Species_Support!BB13*0.0673*(S13_PSP_Species_Support!BC13*(S13_PSP_Species_Support!BD13*(1-EXP(-S13_PSP_Species_Support!BE13*16))^S13_PSP_Species_Support!BF13)^2*(S13_PSP_Species_Support!BG13*(1-EXP(-S13_PSP_Species_Support!BH13*16))^S13_PSP_Species_Support!BI13))^0.976,0)+IFERROR(S13_PSP_Species_Support!BM13*0.0673*(S13_PSP_Species_Support!BN13*(S13_PSP_Species_Support!BO13*(1-EXP(-S13_PSP_Species_Support!BP13*16))^S13_PSP_Species_Support!BQ13)^2*(S13_PSP_Species_Support!BR13*(1-EXP(-S13_PSP_Species_Support!BS13*16))^S13_PSP_Species_Support!BT13))^0.976,0)+IFERROR(S13_PSP_Species_Support!BX13*0.0673*(S13_PSP_Species_Support!BY13*(S13_PSP_Species_Support!BZ13*(1-EXP(-S13_PSP_Species_Support!CA13*16))^S13_PSP_Species_Support!CB13)^2*(S13_PSP_Species_Support!CC13*(1-EXP(-S13_PSP_Species_Support!CD13*16))^S13_PSP_Species_Support!CE13))^0.976,0)+IFERROR(S13_PSP_Species_Support!CI13*0.0673*(S13_PSP_Species_Support!CJ13*(S13_PSP_Species_Support!CK13*(1-EXP(-S13_PSP_Species_Support!CL13*16))^S13_PSP_Species_Support!CM13)^2*(S13_PSP_Species_Support!CN13*(1-EXP(-S13_PSP_Species_Support!CO13*16))^S13_PSP_Species_Support!CP13))^0.976,0)+IFERROR(S13_PSP_Species_Support!CT13*0.0673*(S13_PSP_Species_Support!CU13*(S13_PSP_Species_Support!CV13*(1-EXP(-S13_PSP_Species_Support!CW13*16))^S13_PSP_Species_Support!CX13)^2*(S13_PSP_Species_Support!CY13*(1-EXP(-S13_PSP_Species_Support!CZ13*16))^S13_PSP_Species_Support!DA13))^0.976,0))/1000/$G26*Y$108,0)</x:f>
        <x:v>76.63319154302624</x:v>
      </x:c>
      <x:c r="Z26" s="147" t="n">
        <x:f aca="0">IFERROR((IFERROR(S13_PSP_Species_Support!U13*0.0673*(S13_PSP_Species_Support!V13*(S13_PSP_Species_Support!W13*(1-EXP(-S13_PSP_Species_Support!X13*17))^S13_PSP_Species_Support!Y13)^2*(S13_PSP_Species_Support!Z13*(1-EXP(-S13_PSP_Species_Support!AA13*17))^S13_PSP_Species_Support!AB13))^0.976,0)+IFERROR(S13_PSP_Species_Support!AF13*0.0673*(S13_PSP_Species_Support!AG13*(S13_PSP_Species_Support!AH13*(1-EXP(-S13_PSP_Species_Support!AI13*17))^S13_PSP_Species_Support!AJ13)^2*(S13_PSP_Species_Support!AK13*(1-EXP(-S13_PSP_Species_Support!AL13*17))^S13_PSP_Species_Support!AM13))^0.976,0)+IFERROR(S13_PSP_Species_Support!AQ13*0.0673*(S13_PSP_Species_Support!AR13*(S13_PSP_Species_Support!AS13*(1-EXP(-S13_PSP_Species_Support!AT13*17))^S13_PSP_Species_Support!AU13)^2*(S13_PSP_Species_Support!AV13*(1-EXP(-S13_PSP_Species_Support!AW13*17))^S13_PSP_Species_Support!AX13))^0.976,0)+IFERROR(S13_PSP_Species_Support!BB13*0.0673*(S13_PSP_Species_Support!BC13*(S13_PSP_Species_Support!BD13*(1-EXP(-S13_PSP_Species_Support!BE13*17))^S13_PSP_Species_Support!BF13)^2*(S13_PSP_Species_Support!BG13*(1-EXP(-S13_PSP_Species_Support!BH13*17))^S13_PSP_Species_Support!BI13))^0.976,0)+IFERROR(S13_PSP_Species_Support!BM13*0.0673*(S13_PSP_Species_Support!BN13*(S13_PSP_Species_Support!BO13*(1-EXP(-S13_PSP_Species_Support!BP13*17))^S13_PSP_Species_Support!BQ13)^2*(S13_PSP_Species_Support!BR13*(1-EXP(-S13_PSP_Species_Support!BS13*17))^S13_PSP_Species_Support!BT13))^0.976,0)+IFERROR(S13_PSP_Species_Support!BX13*0.0673*(S13_PSP_Species_Support!BY13*(S13_PSP_Species_Support!BZ13*(1-EXP(-S13_PSP_Species_Support!CA13*17))^S13_PSP_Species_Support!CB13)^2*(S13_PSP_Species_Support!CC13*(1-EXP(-S13_PSP_Species_Support!CD13*17))^S13_PSP_Species_Support!CE13))^0.976,0)+IFERROR(S13_PSP_Species_Support!CI13*0.0673*(S13_PSP_Species_Support!CJ13*(S13_PSP_Species_Support!CK13*(1-EXP(-S13_PSP_Species_Support!CL13*17))^S13_PSP_Species_Support!CM13)^2*(S13_PSP_Species_Support!CN13*(1-EXP(-S13_PSP_Species_Support!CO13*17))^S13_PSP_Species_Support!CP13))^0.976,0)+IFERROR(S13_PSP_Species_Support!CT13*0.0673*(S13_PSP_Species_Support!CU13*(S13_PSP_Species_Support!CV13*(1-EXP(-S13_PSP_Species_Support!CW13*17))^S13_PSP_Species_Support!CX13)^2*(S13_PSP_Species_Support!CY13*(1-EXP(-S13_PSP_Species_Support!CZ13*17))^S13_PSP_Species_Support!DA13))^0.976,0))/1000/$G26*Z$108,0)</x:f>
        <x:v>81.12778483133802</x:v>
      </x:c>
      <x:c r="AA26" s="147" t="n">
        <x:f aca="0">IFERROR((IFERROR(S13_PSP_Species_Support!U13*0.0673*(S13_PSP_Species_Support!V13*(S13_PSP_Species_Support!W13*(1-EXP(-S13_PSP_Species_Support!X13*18))^S13_PSP_Species_Support!Y13)^2*(S13_PSP_Species_Support!Z13*(1-EXP(-S13_PSP_Species_Support!AA13*18))^S13_PSP_Species_Support!AB13))^0.976,0)+IFERROR(S13_PSP_Species_Support!AF13*0.0673*(S13_PSP_Species_Support!AG13*(S13_PSP_Species_Support!AH13*(1-EXP(-S13_PSP_Species_Support!AI13*18))^S13_PSP_Species_Support!AJ13)^2*(S13_PSP_Species_Support!AK13*(1-EXP(-S13_PSP_Species_Support!AL13*18))^S13_PSP_Species_Support!AM13))^0.976,0)+IFERROR(S13_PSP_Species_Support!AQ13*0.0673*(S13_PSP_Species_Support!AR13*(S13_PSP_Species_Support!AS13*(1-EXP(-S13_PSP_Species_Support!AT13*18))^S13_PSP_Species_Support!AU13)^2*(S13_PSP_Species_Support!AV13*(1-EXP(-S13_PSP_Species_Support!AW13*18))^S13_PSP_Species_Support!AX13))^0.976,0)+IFERROR(S13_PSP_Species_Support!BB13*0.0673*(S13_PSP_Species_Support!BC13*(S13_PSP_Species_Support!BD13*(1-EXP(-S13_PSP_Species_Support!BE13*18))^S13_PSP_Species_Support!BF13)^2*(S13_PSP_Species_Support!BG13*(1-EXP(-S13_PSP_Species_Support!BH13*18))^S13_PSP_Species_Support!BI13))^0.976,0)+IFERROR(S13_PSP_Species_Support!BM13*0.0673*(S13_PSP_Species_Support!BN13*(S13_PSP_Species_Support!BO13*(1-EXP(-S13_PSP_Species_Support!BP13*18))^S13_PSP_Species_Support!BQ13)^2*(S13_PSP_Species_Support!BR13*(1-EXP(-S13_PSP_Species_Support!BS13*18))^S13_PSP_Species_Support!BT13))^0.976,0)+IFERROR(S13_PSP_Species_Support!BX13*0.0673*(S13_PSP_Species_Support!BY13*(S13_PSP_Species_Support!BZ13*(1-EXP(-S13_PSP_Species_Support!CA13*18))^S13_PSP_Species_Support!CB13)^2*(S13_PSP_Species_Support!CC13*(1-EXP(-S13_PSP_Species_Support!CD13*18))^S13_PSP_Species_Support!CE13))^0.976,0)+IFERROR(S13_PSP_Species_Support!CI13*0.0673*(S13_PSP_Species_Support!CJ13*(S13_PSP_Species_Support!CK13*(1-EXP(-S13_PSP_Species_Support!CL13*18))^S13_PSP_Species_Support!CM13)^2*(S13_PSP_Species_Support!CN13*(1-EXP(-S13_PSP_Species_Support!CO13*18))^S13_PSP_Species_Support!CP13))^0.976,0)+IFERROR(S13_PSP_Species_Support!CT13*0.0673*(S13_PSP_Species_Support!CU13*(S13_PSP_Species_Support!CV13*(1-EXP(-S13_PSP_Species_Support!CW13*18))^S13_PSP_Species_Support!CX13)^2*(S13_PSP_Species_Support!CY13*(1-EXP(-S13_PSP_Species_Support!CZ13*18))^S13_PSP_Species_Support!DA13))^0.976,0))/1000/$G26*AA$108,0)</x:f>
        <x:v>85.1948593417718</x:v>
      </x:c>
      <x:c r="AB26" s="147" t="n">
        <x:f aca="0">IFERROR((IFERROR(S13_PSP_Species_Support!U13*0.0673*(S13_PSP_Species_Support!V13*(S13_PSP_Species_Support!W13*(1-EXP(-S13_PSP_Species_Support!X13*19))^S13_PSP_Species_Support!Y13)^2*(S13_PSP_Species_Support!Z13*(1-EXP(-S13_PSP_Species_Support!AA13*19))^S13_PSP_Species_Support!AB13))^0.976,0)+IFERROR(S13_PSP_Species_Support!AF13*0.0673*(S13_PSP_Species_Support!AG13*(S13_PSP_Species_Support!AH13*(1-EXP(-S13_PSP_Species_Support!AI13*19))^S13_PSP_Species_Support!AJ13)^2*(S13_PSP_Species_Support!AK13*(1-EXP(-S13_PSP_Species_Support!AL13*19))^S13_PSP_Species_Support!AM13))^0.976,0)+IFERROR(S13_PSP_Species_Support!AQ13*0.0673*(S13_PSP_Species_Support!AR13*(S13_PSP_Species_Support!AS13*(1-EXP(-S13_PSP_Species_Support!AT13*19))^S13_PSP_Species_Support!AU13)^2*(S13_PSP_Species_Support!AV13*(1-EXP(-S13_PSP_Species_Support!AW13*19))^S13_PSP_Species_Support!AX13))^0.976,0)+IFERROR(S13_PSP_Species_Support!BB13*0.0673*(S13_PSP_Species_Support!BC13*(S13_PSP_Species_Support!BD13*(1-EXP(-S13_PSP_Species_Support!BE13*19))^S13_PSP_Species_Support!BF13)^2*(S13_PSP_Species_Support!BG13*(1-EXP(-S13_PSP_Species_Support!BH13*19))^S13_PSP_Species_Support!BI13))^0.976,0)+IFERROR(S13_PSP_Species_Support!BM13*0.0673*(S13_PSP_Species_Support!BN13*(S13_PSP_Species_Support!BO13*(1-EXP(-S13_PSP_Species_Support!BP13*19))^S13_PSP_Species_Support!BQ13)^2*(S13_PSP_Species_Support!BR13*(1-EXP(-S13_PSP_Species_Support!BS13*19))^S13_PSP_Species_Support!BT13))^0.976,0)+IFERROR(S13_PSP_Species_Support!BX13*0.0673*(S13_PSP_Species_Support!BY13*(S13_PSP_Species_Support!BZ13*(1-EXP(-S13_PSP_Species_Support!CA13*19))^S13_PSP_Species_Support!CB13)^2*(S13_PSP_Species_Support!CC13*(1-EXP(-S13_PSP_Species_Support!CD13*19))^S13_PSP_Species_Support!CE13))^0.976,0)+IFERROR(S13_PSP_Species_Support!CI13*0.0673*(S13_PSP_Species_Support!CJ13*(S13_PSP_Species_Support!CK13*(1-EXP(-S13_PSP_Species_Support!CL13*19))^S13_PSP_Species_Support!CM13)^2*(S13_PSP_Species_Support!CN13*(1-EXP(-S13_PSP_Species_Support!CO13*19))^S13_PSP_Species_Support!CP13))^0.976,0)+IFERROR(S13_PSP_Species_Support!CT13*0.0673*(S13_PSP_Species_Support!CU13*(S13_PSP_Species_Support!CV13*(1-EXP(-S13_PSP_Species_Support!CW13*19))^S13_PSP_Species_Support!CX13)^2*(S13_PSP_Species_Support!CY13*(1-EXP(-S13_PSP_Species_Support!CZ13*19))^S13_PSP_Species_Support!DA13))^0.976,0))/1000/$G26*AB$108,0)</x:f>
        <x:v>88.85791489575848</x:v>
      </x:c>
      <x:c r="AC26" s="147" t="n">
        <x:f aca="0">IFERROR((IFERROR(S13_PSP_Species_Support!U13*0.0673*(S13_PSP_Species_Support!V13*(S13_PSP_Species_Support!W13*(1-EXP(-S13_PSP_Species_Support!X13*20))^S13_PSP_Species_Support!Y13)^2*(S13_PSP_Species_Support!Z13*(1-EXP(-S13_PSP_Species_Support!AA13*20))^S13_PSP_Species_Support!AB13))^0.976,0)+IFERROR(S13_PSP_Species_Support!AF13*0.0673*(S13_PSP_Species_Support!AG13*(S13_PSP_Species_Support!AH13*(1-EXP(-S13_PSP_Species_Support!AI13*20))^S13_PSP_Species_Support!AJ13)^2*(S13_PSP_Species_Support!AK13*(1-EXP(-S13_PSP_Species_Support!AL13*20))^S13_PSP_Species_Support!AM13))^0.976,0)+IFERROR(S13_PSP_Species_Support!AQ13*0.0673*(S13_PSP_Species_Support!AR13*(S13_PSP_Species_Support!AS13*(1-EXP(-S13_PSP_Species_Support!AT13*20))^S13_PSP_Species_Support!AU13)^2*(S13_PSP_Species_Support!AV13*(1-EXP(-S13_PSP_Species_Support!AW13*20))^S13_PSP_Species_Support!AX13))^0.976,0)+IFERROR(S13_PSP_Species_Support!BB13*0.0673*(S13_PSP_Species_Support!BC13*(S13_PSP_Species_Support!BD13*(1-EXP(-S13_PSP_Species_Support!BE13*20))^S13_PSP_Species_Support!BF13)^2*(S13_PSP_Species_Support!BG13*(1-EXP(-S13_PSP_Species_Support!BH13*20))^S13_PSP_Species_Support!BI13))^0.976,0)+IFERROR(S13_PSP_Species_Support!BM13*0.0673*(S13_PSP_Species_Support!BN13*(S13_PSP_Species_Support!BO13*(1-EXP(-S13_PSP_Species_Support!BP13*20))^S13_PSP_Species_Support!BQ13)^2*(S13_PSP_Species_Support!BR13*(1-EXP(-S13_PSP_Species_Support!BS13*20))^S13_PSP_Species_Support!BT13))^0.976,0)+IFERROR(S13_PSP_Species_Support!BX13*0.0673*(S13_PSP_Species_Support!BY13*(S13_PSP_Species_Support!BZ13*(1-EXP(-S13_PSP_Species_Support!CA13*20))^S13_PSP_Species_Support!CB13)^2*(S13_PSP_Species_Support!CC13*(1-EXP(-S13_PSP_Species_Support!CD13*20))^S13_PSP_Species_Support!CE13))^0.976,0)+IFERROR(S13_PSP_Species_Support!CI13*0.0673*(S13_PSP_Species_Support!CJ13*(S13_PSP_Species_Support!CK13*(1-EXP(-S13_PSP_Species_Support!CL13*20))^S13_PSP_Species_Support!CM13)^2*(S13_PSP_Species_Support!CN13*(1-EXP(-S13_PSP_Species_Support!CO13*20))^S13_PSP_Species_Support!CP13))^0.976,0)+IFERROR(S13_PSP_Species_Support!CT13*0.0673*(S13_PSP_Species_Support!CU13*(S13_PSP_Species_Support!CV13*(1-EXP(-S13_PSP_Species_Support!CW13*20))^S13_PSP_Species_Support!CX13)^2*(S13_PSP_Species_Support!CY13*(1-EXP(-S13_PSP_Species_Support!CZ13*20))^S13_PSP_Species_Support!DA13))^0.976,0))/1000/$G26*AC$108,0)</x:f>
        <x:v>92.14435891440641</x:v>
      </x:c>
      <x:c r="AD26" s="148" t="n">
        <x:f aca="0">IF(2020&lt;$F26,0,INDEX($I26:$AC26,1,2020-$F26+1))</x:f>
        <x:v>0</x:v>
      </x:c>
      <x:c r="AE26" s="148" t="n">
        <x:f aca="0">IF(2021&lt;$F26,0,INDEX($I26:$AC26,1,2021-$F26+1))</x:f>
        <x:v>0</x:v>
      </x:c>
      <x:c r="AF26" s="148" t="n">
        <x:f aca="0">IF(2022&lt;$F26,0,INDEX($I26:$AC26,1,2022-$F26+1))</x:f>
        <x:v>0</x:v>
      </x:c>
      <x:c r="AG26" s="148" t="n">
        <x:f aca="0">IF(2023&lt;$F26,0,INDEX($I26:$AC26,1,2023-$F26+1))</x:f>
        <x:v>0</x:v>
      </x:c>
      <x:c r="AH26" s="148" t="n">
        <x:f aca="0">IF(2024&lt;$F26,0,INDEX($I26:$AC26,1,2024-$F26+1))</x:f>
        <x:v>0</x:v>
      </x:c>
      <x:c r="AI26" s="148" t="n">
        <x:f aca="0">IF(2025&lt;$F26,0,INDEX($I26:$AC26,1,2025-$F26+1))</x:f>
        <x:v>0.04168621246493087</x:v>
      </x:c>
      <x:c r="AJ26" s="148" t="n">
        <x:f aca="0">IF(2026&lt;$F26,0,INDEX($I26:$AC26,1,2026-$F26+1))</x:f>
        <x:v>0.5101849303240866</x:v>
      </x:c>
      <x:c r="AK26" s="148" t="n">
        <x:f aca="0">IF(2027&lt;$F26,0,INDEX($I26:$AC26,1,2027-$F26+1))</x:f>
        <x:v>1.9547066554087913</x:v>
      </x:c>
      <x:c r="AL26" s="148" t="n">
        <x:f aca="0">IF(2028&lt;$F26,0,INDEX($I26:$AC26,1,2028-$F26+1))</x:f>
        <x:v>4.709759141694575</x:v>
      </x:c>
      <x:c r="AM26" s="148" t="n">
        <x:f aca="0">IF(2029&lt;$F26,0,INDEX($I26:$AC26,1,2029-$F26+1))</x:f>
        <x:v>8.79416146407818</x:v>
      </x:c>
      <x:c r="AN26" s="148" t="n">
        <x:f aca="0">IF(2030&lt;$F26,0,INDEX($I26:$AC26,1,2030-$F26+1))</x:f>
        <x:v>14.027136305787058</x:v>
      </x:c>
      <x:c r="AO26" s="148" t="n">
        <x:f aca="0">IF(2031&lt;$F26,0,INDEX($I26:$AC26,1,2031-$F26+1))</x:f>
        <x:v>20.128257762763088</x:v>
      </x:c>
      <x:c r="AP26" s="148" t="n">
        <x:f aca="0">IF(2032&lt;$F26,0,INDEX($I26:$AC26,1,2032-$F26+1))</x:f>
        <x:v>26.794644983005007</x:v>
      </x:c>
      <x:c r="AQ26" s="148" t="n">
        <x:f aca="0">IF(2033&lt;$F26,0,INDEX($I26:$AC26,1,2033-$F26+1))</x:f>
        <x:v>33.746668996889376</x:v>
      </x:c>
      <x:c r="AR26" s="148" t="n">
        <x:f aca="0">IF(2034&lt;$F26,0,INDEX($I26:$AC26,1,2034-$F26+1))</x:f>
        <x:v>40.74968965804412</x:v>
      </x:c>
      <x:c r="AS26" s="148" t="n">
        <x:f aca="0">IF(2035&lt;$F26,0,INDEX($I26:$AC26,1,2035-$F26+1))</x:f>
        <x:v>47.62044360105928</x:v>
      </x:c>
      <x:c r="AT26" s="148" t="n">
        <x:f aca="0">IF(2036&lt;$F26,0,INDEX($I26:$AC26,1,2036-$F26+1))</x:f>
        <x:v>54.22481619608331</x:v>
      </x:c>
      <x:c r="AU26" s="148" t="n">
        <x:f aca="0">IF(2037&lt;$F26,0,INDEX($I26:$AC26,1,2037-$F26+1))</x:f>
        <x:v>60.471497573483596</x:v>
      </x:c>
      <x:c r="AV26" s="148" t="n">
        <x:f aca="0">IF(2038&lt;$F26,0,INDEX($I26:$AC26,1,2038-$F26+1))</x:f>
        <x:v>66.30424100956533</x:v>
      </x:c>
      <x:c r="AW26" s="148" t="n">
        <x:f aca="0">IF(2039&lt;$F26,0,INDEX($I26:$AC26,1,2039-$F26+1))</x:f>
        <x:v>71.6942177102832</x:v>
      </x:c>
      <x:c r="AX26" s="148" t="n">
        <x:f aca="0">IF(2040&lt;$F26,0,INDEX($I26:$AC26,1,2040-$F26+1))</x:f>
        <x:v>76.63319154302624</x:v>
      </x:c>
      <x:c r="AY26" s="1" t="str">
        <x:f aca="0">LEFT($C26,FIND("@",SUBSTITUTE($C26,"|","@",2))-1)</x:f>
        <x:v>Fruit Orchard|Medium</x:v>
      </x:c>
      <x:c r="AZ26" s="1" t="str">
        <x:f aca="0">LEFT($C26,FIND("|",$C26)-1)</x:f>
        <x:v>Fruit Orchard</x:v>
      </x:c>
      <x:c r="BA26" s="149" t="n">
        <x:f aca="0">I26*I26</x:f>
        <x:v>0</x:v>
      </x:c>
      <x:c r="BB26" s="149" t="n">
        <x:f aca="0">J26*J26</x:f>
        <x:v>0.001737740309671358</x:v>
      </x:c>
      <x:c r="BC26" s="149" t="n">
        <x:f aca="0">K26*K26</x:f>
        <x:v>0.26028866312979315</x:v>
      </x:c>
      <x:c r="BD26" s="149" t="n">
        <x:f aca="0">L26*L26</x:f>
        <x:v>3.8208781086994232</x:v>
      </x:c>
      <x:c r="BE26" s="149" t="n">
        <x:f aca="0">M26*M26</x:f>
        <x:v>22.18183117277562</x:v>
      </x:c>
      <x:c r="BF26" s="149" t="n">
        <x:f aca="0">N26*N26</x:f>
        <x:v>77.33727585627767</x:v>
      </x:c>
      <x:c r="BG26" s="149" t="n">
        <x:f aca="0">O26*O26</x:f>
        <x:v>196.7605529411294</x:v>
      </x:c>
      <x:c r="BH26" s="149" t="n">
        <x:f aca="0">P26*P26</x:f>
        <x:v>405.1467605642325</x:v>
      </x:c>
      <x:c r="BI26" s="149" t="n">
        <x:f aca="0">Q26*Q26</x:f>
        <x:v>717.9529997652754</x:v>
      </x:c>
      <x:c r="BJ26" s="149" t="n">
        <x:f aca="0">R26*R26</x:f>
        <x:v>1138.8376683856145</x:v>
      </x:c>
      <x:c r="BK26" s="149" t="n">
        <x:f aca="0">S26*S26</x:f>
        <x:v>1660.5372072269079</x:v>
      </x:c>
      <x:c r="BL26" s="149" t="n">
        <x:f aca="0">T26*T26</x:f>
        <x:v>2267.7066487616676</x:v>
      </x:c>
      <x:c r="BM26" s="149" t="n">
        <x:f aca="0">U26*U26</x:f>
        <x:v>2940.330691499019</x:v>
      </x:c>
      <x:c r="BN26" s="149" t="n">
        <x:f aca="0">V26*V26</x:f>
        <x:v>3656.8020187798325</x:v>
      </x:c>
      <x:c r="BO26" s="149" t="n">
        <x:f aca="0">W26*W26</x:f>
        <x:v>4396.252375854525</x:v>
      </x:c>
      <x:c r="BP26" s="149" t="n">
        <x:f aca="0">X26*X26</x:f>
        <x:v>5140.060853089485</x:v>
      </x:c>
      <x:c r="BQ26" s="149" t="n">
        <x:f aca="0">Y26*Y26</x:f>
        <x:v>5872.646046070149</x:v>
      </x:c>
      <x:c r="BR26" s="149" t="n">
        <x:f aca="0">Z26*Z26</x:f>
        <x:v>6581.7174716398795</x:v>
      </x:c>
      <x:c r="BS26" s="149" t="n">
        <x:f aca="0">AA26*AA26</x:f>
        <x:v>7258.164058264282</x:v>
      </x:c>
      <x:c r="BT26" s="149" t="n">
        <x:f aca="0">AB26*AB26</x:f>
        <x:v>7895.729039621858</x:v>
      </x:c>
      <x:c r="BU26" s="149" t="n">
        <x:f aca="0">AC26*AC26</x:f>
        <x:v>8490.582879746948</x:v>
      </x:c>
    </x:row>
    <x:row r="27" ht="15" hidden="0" customHeight="1">
      <x:c r="A27" s="1" t="str">
        <x:f aca="0">S13_PSP_Species_Support!A14</x:f>
        <x:v>PSP-FO-013</x:v>
      </x:c>
      <x:c r="B27" s="1" t="n">
        <x:f aca="0">14</x:f>
        <x:v>14</x:v>
      </x:c>
      <x:c r="C27" s="1" t="str">
        <x:f aca="0">S13_PSP_Species_Support!I14</x:f>
        <x:v>Fruit Orchard|Low|Unconfirmed</x:v>
      </x:c>
      <x:c r="D27" s="1" t="str">
        <x:f aca="0">S13_PSP_Species_Support!C14</x:f>
        <x:v>Fruit Orchard (Block)</x:v>
      </x:c>
      <x:c r="E27" s="1" t="str">
        <x:f aca="0">S13_PSP_Species_Support!D14</x:f>
        <x:v>Low</x:v>
      </x:c>
      <x:c r="F27" s="1" t="str">
        <x:f aca="0">S13_PSP_Species_Support!E14</x:f>
        <x:v>Unconfirmed</x:v>
      </x:c>
      <x:c r="G27" s="645" t="n">
        <x:f aca="0">'S13_PSP_Species_Support'!DJ14</x:f>
        <x:v>0.09</x:v>
      </x:c>
      <x:c r="H27" s="714" t="n">
        <x:f aca="0">'S13_PSP_Species_Support'!DK14</x:f>
        <x:v>15.56730000000001</x:v>
      </x:c>
      <x:c r="I27" s="147" t="n">
        <x:f aca="0">IFERROR((IFERROR(S13_PSP_Species_Support!U14*0.0673*(S13_PSP_Species_Support!V14*(S13_PSP_Species_Support!W14*(1-EXP(-S13_PSP_Species_Support!X14*0))^S13_PSP_Species_Support!Y14)^2*(S13_PSP_Species_Support!Z14*(1-EXP(-S13_PSP_Species_Support!AA14*0))^S13_PSP_Species_Support!AB14))^0.976,0)+IFERROR(S13_PSP_Species_Support!AF14*0.0673*(S13_PSP_Species_Support!AG14*(S13_PSP_Species_Support!AH14*(1-EXP(-S13_PSP_Species_Support!AI14*0))^S13_PSP_Species_Support!AJ14)^2*(S13_PSP_Species_Support!AK14*(1-EXP(-S13_PSP_Species_Support!AL14*0))^S13_PSP_Species_Support!AM14))^0.976,0)+IFERROR(S13_PSP_Species_Support!AQ14*0.0673*(S13_PSP_Species_Support!AR14*(S13_PSP_Species_Support!AS14*(1-EXP(-S13_PSP_Species_Support!AT14*0))^S13_PSP_Species_Support!AU14)^2*(S13_PSP_Species_Support!AV14*(1-EXP(-S13_PSP_Species_Support!AW14*0))^S13_PSP_Species_Support!AX14))^0.976,0)+IFERROR(S13_PSP_Species_Support!BB14*0.0673*(S13_PSP_Species_Support!BC14*(S13_PSP_Species_Support!BD14*(1-EXP(-S13_PSP_Species_Support!BE14*0))^S13_PSP_Species_Support!BF14)^2*(S13_PSP_Species_Support!BG14*(1-EXP(-S13_PSP_Species_Support!BH14*0))^S13_PSP_Species_Support!BI14))^0.976,0)+IFERROR(S13_PSP_Species_Support!BM14*0.0673*(S13_PSP_Species_Support!BN14*(S13_PSP_Species_Support!BO14*(1-EXP(-S13_PSP_Species_Support!BP14*0))^S13_PSP_Species_Support!BQ14)^2*(S13_PSP_Species_Support!BR14*(1-EXP(-S13_PSP_Species_Support!BS14*0))^S13_PSP_Species_Support!BT14))^0.976,0)+IFERROR(S13_PSP_Species_Support!BX14*0.0673*(S13_PSP_Species_Support!BY14*(S13_PSP_Species_Support!BZ14*(1-EXP(-S13_PSP_Species_Support!CA14*0))^S13_PSP_Species_Support!CB14)^2*(S13_PSP_Species_Support!CC14*(1-EXP(-S13_PSP_Species_Support!CD14*0))^S13_PSP_Species_Support!CE14))^0.976,0)+IFERROR(S13_PSP_Species_Support!CI14*0.0673*(S13_PSP_Species_Support!CJ14*(S13_PSP_Species_Support!CK14*(1-EXP(-S13_PSP_Species_Support!CL14*0))^S13_PSP_Species_Support!CM14)^2*(S13_PSP_Species_Support!CN14*(1-EXP(-S13_PSP_Species_Support!CO14*0))^S13_PSP_Species_Support!CP14))^0.976,0)+IFERROR(S13_PSP_Species_Support!CT14*0.0673*(S13_PSP_Species_Support!CU14*(S13_PSP_Species_Support!CV14*(1-EXP(-S13_PSP_Species_Support!CW14*0))^S13_PSP_Species_Support!CX14)^2*(S13_PSP_Species_Support!CY14*(1-EXP(-S13_PSP_Species_Support!CZ14*0))^S13_PSP_Species_Support!DA14))^0.976,0))/1000/$G27*I$108,0)</x:f>
        <x:v>0</x:v>
      </x:c>
      <x:c r="J27" s="147" t="n">
        <x:f aca="0">IFERROR((IFERROR(S13_PSP_Species_Support!U14*0.0673*(S13_PSP_Species_Support!V14*(S13_PSP_Species_Support!W14*(1-EXP(-S13_PSP_Species_Support!X14*1))^S13_PSP_Species_Support!Y14)^2*(S13_PSP_Species_Support!Z14*(1-EXP(-S13_PSP_Species_Support!AA14*1))^S13_PSP_Species_Support!AB14))^0.976,0)+IFERROR(S13_PSP_Species_Support!AF14*0.0673*(S13_PSP_Species_Support!AG14*(S13_PSP_Species_Support!AH14*(1-EXP(-S13_PSP_Species_Support!AI14*1))^S13_PSP_Species_Support!AJ14)^2*(S13_PSP_Species_Support!AK14*(1-EXP(-S13_PSP_Species_Support!AL14*1))^S13_PSP_Species_Support!AM14))^0.976,0)+IFERROR(S13_PSP_Species_Support!AQ14*0.0673*(S13_PSP_Species_Support!AR14*(S13_PSP_Species_Support!AS14*(1-EXP(-S13_PSP_Species_Support!AT14*1))^S13_PSP_Species_Support!AU14)^2*(S13_PSP_Species_Support!AV14*(1-EXP(-S13_PSP_Species_Support!AW14*1))^S13_PSP_Species_Support!AX14))^0.976,0)+IFERROR(S13_PSP_Species_Support!BB14*0.0673*(S13_PSP_Species_Support!BC14*(S13_PSP_Species_Support!BD14*(1-EXP(-S13_PSP_Species_Support!BE14*1))^S13_PSP_Species_Support!BF14)^2*(S13_PSP_Species_Support!BG14*(1-EXP(-S13_PSP_Species_Support!BH14*1))^S13_PSP_Species_Support!BI14))^0.976,0)+IFERROR(S13_PSP_Species_Support!BM14*0.0673*(S13_PSP_Species_Support!BN14*(S13_PSP_Species_Support!BO14*(1-EXP(-S13_PSP_Species_Support!BP14*1))^S13_PSP_Species_Support!BQ14)^2*(S13_PSP_Species_Support!BR14*(1-EXP(-S13_PSP_Species_Support!BS14*1))^S13_PSP_Species_Support!BT14))^0.976,0)+IFERROR(S13_PSP_Species_Support!BX14*0.0673*(S13_PSP_Species_Support!BY14*(S13_PSP_Species_Support!BZ14*(1-EXP(-S13_PSP_Species_Support!CA14*1))^S13_PSP_Species_Support!CB14)^2*(S13_PSP_Species_Support!CC14*(1-EXP(-S13_PSP_Species_Support!CD14*1))^S13_PSP_Species_Support!CE14))^0.976,0)+IFERROR(S13_PSP_Species_Support!CI14*0.0673*(S13_PSP_Species_Support!CJ14*(S13_PSP_Species_Support!CK14*(1-EXP(-S13_PSP_Species_Support!CL14*1))^S13_PSP_Species_Support!CM14)^2*(S13_PSP_Species_Support!CN14*(1-EXP(-S13_PSP_Species_Support!CO14*1))^S13_PSP_Species_Support!CP14))^0.976,0)+IFERROR(S13_PSP_Species_Support!CT14*0.0673*(S13_PSP_Species_Support!CU14*(S13_PSP_Species_Support!CV14*(1-EXP(-S13_PSP_Species_Support!CW14*1))^S13_PSP_Species_Support!CX14)^2*(S13_PSP_Species_Support!CY14*(1-EXP(-S13_PSP_Species_Support!CZ14*1))^S13_PSP_Species_Support!DA14))^0.976,0))/1000/$G27*J$108,0)</x:f>
        <x:v>0.03992579906023717</x:v>
      </x:c>
      <x:c r="K27" s="147" t="n">
        <x:f aca="0">IFERROR((IFERROR(S13_PSP_Species_Support!U14*0.0673*(S13_PSP_Species_Support!V14*(S13_PSP_Species_Support!W14*(1-EXP(-S13_PSP_Species_Support!X14*2))^S13_PSP_Species_Support!Y14)^2*(S13_PSP_Species_Support!Z14*(1-EXP(-S13_PSP_Species_Support!AA14*2))^S13_PSP_Species_Support!AB14))^0.976,0)+IFERROR(S13_PSP_Species_Support!AF14*0.0673*(S13_PSP_Species_Support!AG14*(S13_PSP_Species_Support!AH14*(1-EXP(-S13_PSP_Species_Support!AI14*2))^S13_PSP_Species_Support!AJ14)^2*(S13_PSP_Species_Support!AK14*(1-EXP(-S13_PSP_Species_Support!AL14*2))^S13_PSP_Species_Support!AM14))^0.976,0)+IFERROR(S13_PSP_Species_Support!AQ14*0.0673*(S13_PSP_Species_Support!AR14*(S13_PSP_Species_Support!AS14*(1-EXP(-S13_PSP_Species_Support!AT14*2))^S13_PSP_Species_Support!AU14)^2*(S13_PSP_Species_Support!AV14*(1-EXP(-S13_PSP_Species_Support!AW14*2))^S13_PSP_Species_Support!AX14))^0.976,0)+IFERROR(S13_PSP_Species_Support!BB14*0.0673*(S13_PSP_Species_Support!BC14*(S13_PSP_Species_Support!BD14*(1-EXP(-S13_PSP_Species_Support!BE14*2))^S13_PSP_Species_Support!BF14)^2*(S13_PSP_Species_Support!BG14*(1-EXP(-S13_PSP_Species_Support!BH14*2))^S13_PSP_Species_Support!BI14))^0.976,0)+IFERROR(S13_PSP_Species_Support!BM14*0.0673*(S13_PSP_Species_Support!BN14*(S13_PSP_Species_Support!BO14*(1-EXP(-S13_PSP_Species_Support!BP14*2))^S13_PSP_Species_Support!BQ14)^2*(S13_PSP_Species_Support!BR14*(1-EXP(-S13_PSP_Species_Support!BS14*2))^S13_PSP_Species_Support!BT14))^0.976,0)+IFERROR(S13_PSP_Species_Support!BX14*0.0673*(S13_PSP_Species_Support!BY14*(S13_PSP_Species_Support!BZ14*(1-EXP(-S13_PSP_Species_Support!CA14*2))^S13_PSP_Species_Support!CB14)^2*(S13_PSP_Species_Support!CC14*(1-EXP(-S13_PSP_Species_Support!CD14*2))^S13_PSP_Species_Support!CE14))^0.976,0)+IFERROR(S13_PSP_Species_Support!CI14*0.0673*(S13_PSP_Species_Support!CJ14*(S13_PSP_Species_Support!CK14*(1-EXP(-S13_PSP_Species_Support!CL14*2))^S13_PSP_Species_Support!CM14)^2*(S13_PSP_Species_Support!CN14*(1-EXP(-S13_PSP_Species_Support!CO14*2))^S13_PSP_Species_Support!CP14))^0.976,0)+IFERROR(S13_PSP_Species_Support!CT14*0.0673*(S13_PSP_Species_Support!CU14*(S13_PSP_Species_Support!CV14*(1-EXP(-S13_PSP_Species_Support!CW14*2))^S13_PSP_Species_Support!CX14)^2*(S13_PSP_Species_Support!CY14*(1-EXP(-S13_PSP_Species_Support!CZ14*2))^S13_PSP_Species_Support!DA14))^0.976,0))/1000/$G27*K$108,0)</x:f>
        <x:v>0.4793377997443283</x:v>
      </x:c>
      <x:c r="L27" s="147" t="n">
        <x:f aca="0">IFERROR((IFERROR(S13_PSP_Species_Support!U14*0.0673*(S13_PSP_Species_Support!V14*(S13_PSP_Species_Support!W14*(1-EXP(-S13_PSP_Species_Support!X14*3))^S13_PSP_Species_Support!Y14)^2*(S13_PSP_Species_Support!Z14*(1-EXP(-S13_PSP_Species_Support!AA14*3))^S13_PSP_Species_Support!AB14))^0.976,0)+IFERROR(S13_PSP_Species_Support!AF14*0.0673*(S13_PSP_Species_Support!AG14*(S13_PSP_Species_Support!AH14*(1-EXP(-S13_PSP_Species_Support!AI14*3))^S13_PSP_Species_Support!AJ14)^2*(S13_PSP_Species_Support!AK14*(1-EXP(-S13_PSP_Species_Support!AL14*3))^S13_PSP_Species_Support!AM14))^0.976,0)+IFERROR(S13_PSP_Species_Support!AQ14*0.0673*(S13_PSP_Species_Support!AR14*(S13_PSP_Species_Support!AS14*(1-EXP(-S13_PSP_Species_Support!AT14*3))^S13_PSP_Species_Support!AU14)^2*(S13_PSP_Species_Support!AV14*(1-EXP(-S13_PSP_Species_Support!AW14*3))^S13_PSP_Species_Support!AX14))^0.976,0)+IFERROR(S13_PSP_Species_Support!BB14*0.0673*(S13_PSP_Species_Support!BC14*(S13_PSP_Species_Support!BD14*(1-EXP(-S13_PSP_Species_Support!BE14*3))^S13_PSP_Species_Support!BF14)^2*(S13_PSP_Species_Support!BG14*(1-EXP(-S13_PSP_Species_Support!BH14*3))^S13_PSP_Species_Support!BI14))^0.976,0)+IFERROR(S13_PSP_Species_Support!BM14*0.0673*(S13_PSP_Species_Support!BN14*(S13_PSP_Species_Support!BO14*(1-EXP(-S13_PSP_Species_Support!BP14*3))^S13_PSP_Species_Support!BQ14)^2*(S13_PSP_Species_Support!BR14*(1-EXP(-S13_PSP_Species_Support!BS14*3))^S13_PSP_Species_Support!BT14))^0.976,0)+IFERROR(S13_PSP_Species_Support!BX14*0.0673*(S13_PSP_Species_Support!BY14*(S13_PSP_Species_Support!BZ14*(1-EXP(-S13_PSP_Species_Support!CA14*3))^S13_PSP_Species_Support!CB14)^2*(S13_PSP_Species_Support!CC14*(1-EXP(-S13_PSP_Species_Support!CD14*3))^S13_PSP_Species_Support!CE14))^0.976,0)+IFERROR(S13_PSP_Species_Support!CI14*0.0673*(S13_PSP_Species_Support!CJ14*(S13_PSP_Species_Support!CK14*(1-EXP(-S13_PSP_Species_Support!CL14*3))^S13_PSP_Species_Support!CM14)^2*(S13_PSP_Species_Support!CN14*(1-EXP(-S13_PSP_Species_Support!CO14*3))^S13_PSP_Species_Support!CP14))^0.976,0)+IFERROR(S13_PSP_Species_Support!CT14*0.0673*(S13_PSP_Species_Support!CU14*(S13_PSP_Species_Support!CV14*(1-EXP(-S13_PSP_Species_Support!CW14*3))^S13_PSP_Species_Support!CX14)^2*(S13_PSP_Species_Support!CY14*(1-EXP(-S13_PSP_Species_Support!CZ14*3))^S13_PSP_Species_Support!DA14))^0.976,0))/1000/$G27*L$108,0)</x:f>
        <x:v>1.8508949258916412</x:v>
      </x:c>
      <x:c r="M27" s="147" t="n">
        <x:f aca="0">IFERROR((IFERROR(S13_PSP_Species_Support!U14*0.0673*(S13_PSP_Species_Support!V14*(S13_PSP_Species_Support!W14*(1-EXP(-S13_PSP_Species_Support!X14*4))^S13_PSP_Species_Support!Y14)^2*(S13_PSP_Species_Support!Z14*(1-EXP(-S13_PSP_Species_Support!AA14*4))^S13_PSP_Species_Support!AB14))^0.976,0)+IFERROR(S13_PSP_Species_Support!AF14*0.0673*(S13_PSP_Species_Support!AG14*(S13_PSP_Species_Support!AH14*(1-EXP(-S13_PSP_Species_Support!AI14*4))^S13_PSP_Species_Support!AJ14)^2*(S13_PSP_Species_Support!AK14*(1-EXP(-S13_PSP_Species_Support!AL14*4))^S13_PSP_Species_Support!AM14))^0.976,0)+IFERROR(S13_PSP_Species_Support!AQ14*0.0673*(S13_PSP_Species_Support!AR14*(S13_PSP_Species_Support!AS14*(1-EXP(-S13_PSP_Species_Support!AT14*4))^S13_PSP_Species_Support!AU14)^2*(S13_PSP_Species_Support!AV14*(1-EXP(-S13_PSP_Species_Support!AW14*4))^S13_PSP_Species_Support!AX14))^0.976,0)+IFERROR(S13_PSP_Species_Support!BB14*0.0673*(S13_PSP_Species_Support!BC14*(S13_PSP_Species_Support!BD14*(1-EXP(-S13_PSP_Species_Support!BE14*4))^S13_PSP_Species_Support!BF14)^2*(S13_PSP_Species_Support!BG14*(1-EXP(-S13_PSP_Species_Support!BH14*4))^S13_PSP_Species_Support!BI14))^0.976,0)+IFERROR(S13_PSP_Species_Support!BM14*0.0673*(S13_PSP_Species_Support!BN14*(S13_PSP_Species_Support!BO14*(1-EXP(-S13_PSP_Species_Support!BP14*4))^S13_PSP_Species_Support!BQ14)^2*(S13_PSP_Species_Support!BR14*(1-EXP(-S13_PSP_Species_Support!BS14*4))^S13_PSP_Species_Support!BT14))^0.976,0)+IFERROR(S13_PSP_Species_Support!BX14*0.0673*(S13_PSP_Species_Support!BY14*(S13_PSP_Species_Support!BZ14*(1-EXP(-S13_PSP_Species_Support!CA14*4))^S13_PSP_Species_Support!CB14)^2*(S13_PSP_Species_Support!CC14*(1-EXP(-S13_PSP_Species_Support!CD14*4))^S13_PSP_Species_Support!CE14))^0.976,0)+IFERROR(S13_PSP_Species_Support!CI14*0.0673*(S13_PSP_Species_Support!CJ14*(S13_PSP_Species_Support!CK14*(1-EXP(-S13_PSP_Species_Support!CL14*4))^S13_PSP_Species_Support!CM14)^2*(S13_PSP_Species_Support!CN14*(1-EXP(-S13_PSP_Species_Support!CO14*4))^S13_PSP_Species_Support!CP14))^0.976,0)+IFERROR(S13_PSP_Species_Support!CT14*0.0673*(S13_PSP_Species_Support!CU14*(S13_PSP_Species_Support!CV14*(1-EXP(-S13_PSP_Species_Support!CW14*4))^S13_PSP_Species_Support!CX14)^2*(S13_PSP_Species_Support!CY14*(1-EXP(-S13_PSP_Species_Support!CZ14*4))^S13_PSP_Species_Support!DA14))^0.976,0))/1000/$G27*M$108,0)</x:f>
        <x:v>4.536026203636974</x:v>
      </x:c>
      <x:c r="N27" s="147" t="n">
        <x:f aca="0">IFERROR((IFERROR(S13_PSP_Species_Support!U14*0.0673*(S13_PSP_Species_Support!V14*(S13_PSP_Species_Support!W14*(1-EXP(-S13_PSP_Species_Support!X14*5))^S13_PSP_Species_Support!Y14)^2*(S13_PSP_Species_Support!Z14*(1-EXP(-S13_PSP_Species_Support!AA14*5))^S13_PSP_Species_Support!AB14))^0.976,0)+IFERROR(S13_PSP_Species_Support!AF14*0.0673*(S13_PSP_Species_Support!AG14*(S13_PSP_Species_Support!AH14*(1-EXP(-S13_PSP_Species_Support!AI14*5))^S13_PSP_Species_Support!AJ14)^2*(S13_PSP_Species_Support!AK14*(1-EXP(-S13_PSP_Species_Support!AL14*5))^S13_PSP_Species_Support!AM14))^0.976,0)+IFERROR(S13_PSP_Species_Support!AQ14*0.0673*(S13_PSP_Species_Support!AR14*(S13_PSP_Species_Support!AS14*(1-EXP(-S13_PSP_Species_Support!AT14*5))^S13_PSP_Species_Support!AU14)^2*(S13_PSP_Species_Support!AV14*(1-EXP(-S13_PSP_Species_Support!AW14*5))^S13_PSP_Species_Support!AX14))^0.976,0)+IFERROR(S13_PSP_Species_Support!BB14*0.0673*(S13_PSP_Species_Support!BC14*(S13_PSP_Species_Support!BD14*(1-EXP(-S13_PSP_Species_Support!BE14*5))^S13_PSP_Species_Support!BF14)^2*(S13_PSP_Species_Support!BG14*(1-EXP(-S13_PSP_Species_Support!BH14*5))^S13_PSP_Species_Support!BI14))^0.976,0)+IFERROR(S13_PSP_Species_Support!BM14*0.0673*(S13_PSP_Species_Support!BN14*(S13_PSP_Species_Support!BO14*(1-EXP(-S13_PSP_Species_Support!BP14*5))^S13_PSP_Species_Support!BQ14)^2*(S13_PSP_Species_Support!BR14*(1-EXP(-S13_PSP_Species_Support!BS14*5))^S13_PSP_Species_Support!BT14))^0.976,0)+IFERROR(S13_PSP_Species_Support!BX14*0.0673*(S13_PSP_Species_Support!BY14*(S13_PSP_Species_Support!BZ14*(1-EXP(-S13_PSP_Species_Support!CA14*5))^S13_PSP_Species_Support!CB14)^2*(S13_PSP_Species_Support!CC14*(1-EXP(-S13_PSP_Species_Support!CD14*5))^S13_PSP_Species_Support!CE14))^0.976,0)+IFERROR(S13_PSP_Species_Support!CI14*0.0673*(S13_PSP_Species_Support!CJ14*(S13_PSP_Species_Support!CK14*(1-EXP(-S13_PSP_Species_Support!CL14*5))^S13_PSP_Species_Support!CM14)^2*(S13_PSP_Species_Support!CN14*(1-EXP(-S13_PSP_Species_Support!CO14*5))^S13_PSP_Species_Support!CP14))^0.976,0)+IFERROR(S13_PSP_Species_Support!CT14*0.0673*(S13_PSP_Species_Support!CU14*(S13_PSP_Species_Support!CV14*(1-EXP(-S13_PSP_Species_Support!CW14*5))^S13_PSP_Species_Support!CX14)^2*(S13_PSP_Species_Support!CY14*(1-EXP(-S13_PSP_Species_Support!CZ14*5))^S13_PSP_Species_Support!DA14))^0.976,0))/1000/$G27*N$108,0)</x:f>
        <x:v>8.643050342831229</x:v>
      </x:c>
      <x:c r="O27" s="147" t="n">
        <x:f aca="0">IFERROR((IFERROR(S13_PSP_Species_Support!U14*0.0673*(S13_PSP_Species_Support!V14*(S13_PSP_Species_Support!W14*(1-EXP(-S13_PSP_Species_Support!X14*6))^S13_PSP_Species_Support!Y14)^2*(S13_PSP_Species_Support!Z14*(1-EXP(-S13_PSP_Species_Support!AA14*6))^S13_PSP_Species_Support!AB14))^0.976,0)+IFERROR(S13_PSP_Species_Support!AF14*0.0673*(S13_PSP_Species_Support!AG14*(S13_PSP_Species_Support!AH14*(1-EXP(-S13_PSP_Species_Support!AI14*6))^S13_PSP_Species_Support!AJ14)^2*(S13_PSP_Species_Support!AK14*(1-EXP(-S13_PSP_Species_Support!AL14*6))^S13_PSP_Species_Support!AM14))^0.976,0)+IFERROR(S13_PSP_Species_Support!AQ14*0.0673*(S13_PSP_Species_Support!AR14*(S13_PSP_Species_Support!AS14*(1-EXP(-S13_PSP_Species_Support!AT14*6))^S13_PSP_Species_Support!AU14)^2*(S13_PSP_Species_Support!AV14*(1-EXP(-S13_PSP_Species_Support!AW14*6))^S13_PSP_Species_Support!AX14))^0.976,0)+IFERROR(S13_PSP_Species_Support!BB14*0.0673*(S13_PSP_Species_Support!BC14*(S13_PSP_Species_Support!BD14*(1-EXP(-S13_PSP_Species_Support!BE14*6))^S13_PSP_Species_Support!BF14)^2*(S13_PSP_Species_Support!BG14*(1-EXP(-S13_PSP_Species_Support!BH14*6))^S13_PSP_Species_Support!BI14))^0.976,0)+IFERROR(S13_PSP_Species_Support!BM14*0.0673*(S13_PSP_Species_Support!BN14*(S13_PSP_Species_Support!BO14*(1-EXP(-S13_PSP_Species_Support!BP14*6))^S13_PSP_Species_Support!BQ14)^2*(S13_PSP_Species_Support!BR14*(1-EXP(-S13_PSP_Species_Support!BS14*6))^S13_PSP_Species_Support!BT14))^0.976,0)+IFERROR(S13_PSP_Species_Support!BX14*0.0673*(S13_PSP_Species_Support!BY14*(S13_PSP_Species_Support!BZ14*(1-EXP(-S13_PSP_Species_Support!CA14*6))^S13_PSP_Species_Support!CB14)^2*(S13_PSP_Species_Support!CC14*(1-EXP(-S13_PSP_Species_Support!CD14*6))^S13_PSP_Species_Support!CE14))^0.976,0)+IFERROR(S13_PSP_Species_Support!CI14*0.0673*(S13_PSP_Species_Support!CJ14*(S13_PSP_Species_Support!CK14*(1-EXP(-S13_PSP_Species_Support!CL14*6))^S13_PSP_Species_Support!CM14)^2*(S13_PSP_Species_Support!CN14*(1-EXP(-S13_PSP_Species_Support!CO14*6))^S13_PSP_Species_Support!CP14))^0.976,0)+IFERROR(S13_PSP_Species_Support!CT14*0.0673*(S13_PSP_Species_Support!CU14*(S13_PSP_Species_Support!CV14*(1-EXP(-S13_PSP_Species_Support!CW14*6))^S13_PSP_Species_Support!CX14)^2*(S13_PSP_Species_Support!CY14*(1-EXP(-S13_PSP_Species_Support!CZ14*6))^S13_PSP_Species_Support!DA14))^0.976,0))/1000/$G27*O$108,0)</x:f>
        <x:v>14.078064837134278</x:v>
      </x:c>
      <x:c r="P27" s="147" t="n">
        <x:f aca="0">IFERROR((IFERROR(S13_PSP_Species_Support!U14*0.0673*(S13_PSP_Species_Support!V14*(S13_PSP_Species_Support!W14*(1-EXP(-S13_PSP_Species_Support!X14*7))^S13_PSP_Species_Support!Y14)^2*(S13_PSP_Species_Support!Z14*(1-EXP(-S13_PSP_Species_Support!AA14*7))^S13_PSP_Species_Support!AB14))^0.976,0)+IFERROR(S13_PSP_Species_Support!AF14*0.0673*(S13_PSP_Species_Support!AG14*(S13_PSP_Species_Support!AH14*(1-EXP(-S13_PSP_Species_Support!AI14*7))^S13_PSP_Species_Support!AJ14)^2*(S13_PSP_Species_Support!AK14*(1-EXP(-S13_PSP_Species_Support!AL14*7))^S13_PSP_Species_Support!AM14))^0.976,0)+IFERROR(S13_PSP_Species_Support!AQ14*0.0673*(S13_PSP_Species_Support!AR14*(S13_PSP_Species_Support!AS14*(1-EXP(-S13_PSP_Species_Support!AT14*7))^S13_PSP_Species_Support!AU14)^2*(S13_PSP_Species_Support!AV14*(1-EXP(-S13_PSP_Species_Support!AW14*7))^S13_PSP_Species_Support!AX14))^0.976,0)+IFERROR(S13_PSP_Species_Support!BB14*0.0673*(S13_PSP_Species_Support!BC14*(S13_PSP_Species_Support!BD14*(1-EXP(-S13_PSP_Species_Support!BE14*7))^S13_PSP_Species_Support!BF14)^2*(S13_PSP_Species_Support!BG14*(1-EXP(-S13_PSP_Species_Support!BH14*7))^S13_PSP_Species_Support!BI14))^0.976,0)+IFERROR(S13_PSP_Species_Support!BM14*0.0673*(S13_PSP_Species_Support!BN14*(S13_PSP_Species_Support!BO14*(1-EXP(-S13_PSP_Species_Support!BP14*7))^S13_PSP_Species_Support!BQ14)^2*(S13_PSP_Species_Support!BR14*(1-EXP(-S13_PSP_Species_Support!BS14*7))^S13_PSP_Species_Support!BT14))^0.976,0)+IFERROR(S13_PSP_Species_Support!BX14*0.0673*(S13_PSP_Species_Support!BY14*(S13_PSP_Species_Support!BZ14*(1-EXP(-S13_PSP_Species_Support!CA14*7))^S13_PSP_Species_Support!CB14)^2*(S13_PSP_Species_Support!CC14*(1-EXP(-S13_PSP_Species_Support!CD14*7))^S13_PSP_Species_Support!CE14))^0.976,0)+IFERROR(S13_PSP_Species_Support!CI14*0.0673*(S13_PSP_Species_Support!CJ14*(S13_PSP_Species_Support!CK14*(1-EXP(-S13_PSP_Species_Support!CL14*7))^S13_PSP_Species_Support!CM14)^2*(S13_PSP_Species_Support!CN14*(1-EXP(-S13_PSP_Species_Support!CO14*7))^S13_PSP_Species_Support!CP14))^0.976,0)+IFERROR(S13_PSP_Species_Support!CT14*0.0673*(S13_PSP_Species_Support!CU14*(S13_PSP_Species_Support!CV14*(1-EXP(-S13_PSP_Species_Support!CW14*7))^S13_PSP_Species_Support!CX14)^2*(S13_PSP_Species_Support!CY14*(1-EXP(-S13_PSP_Species_Support!CZ14*7))^S13_PSP_Species_Support!DA14))^0.976,0))/1000/$G27*P$108,0)</x:f>
        <x:v>20.61835175693961</x:v>
      </x:c>
      <x:c r="Q27" s="147" t="n">
        <x:f aca="0">IFERROR((IFERROR(S13_PSP_Species_Support!U14*0.0673*(S13_PSP_Species_Support!V14*(S13_PSP_Species_Support!W14*(1-EXP(-S13_PSP_Species_Support!X14*8))^S13_PSP_Species_Support!Y14)^2*(S13_PSP_Species_Support!Z14*(1-EXP(-S13_PSP_Species_Support!AA14*8))^S13_PSP_Species_Support!AB14))^0.976,0)+IFERROR(S13_PSP_Species_Support!AF14*0.0673*(S13_PSP_Species_Support!AG14*(S13_PSP_Species_Support!AH14*(1-EXP(-S13_PSP_Species_Support!AI14*8))^S13_PSP_Species_Support!AJ14)^2*(S13_PSP_Species_Support!AK14*(1-EXP(-S13_PSP_Species_Support!AL14*8))^S13_PSP_Species_Support!AM14))^0.976,0)+IFERROR(S13_PSP_Species_Support!AQ14*0.0673*(S13_PSP_Species_Support!AR14*(S13_PSP_Species_Support!AS14*(1-EXP(-S13_PSP_Species_Support!AT14*8))^S13_PSP_Species_Support!AU14)^2*(S13_PSP_Species_Support!AV14*(1-EXP(-S13_PSP_Species_Support!AW14*8))^S13_PSP_Species_Support!AX14))^0.976,0)+IFERROR(S13_PSP_Species_Support!BB14*0.0673*(S13_PSP_Species_Support!BC14*(S13_PSP_Species_Support!BD14*(1-EXP(-S13_PSP_Species_Support!BE14*8))^S13_PSP_Species_Support!BF14)^2*(S13_PSP_Species_Support!BG14*(1-EXP(-S13_PSP_Species_Support!BH14*8))^S13_PSP_Species_Support!BI14))^0.976,0)+IFERROR(S13_PSP_Species_Support!BM14*0.0673*(S13_PSP_Species_Support!BN14*(S13_PSP_Species_Support!BO14*(1-EXP(-S13_PSP_Species_Support!BP14*8))^S13_PSP_Species_Support!BQ14)^2*(S13_PSP_Species_Support!BR14*(1-EXP(-S13_PSP_Species_Support!BS14*8))^S13_PSP_Species_Support!BT14))^0.976,0)+IFERROR(S13_PSP_Species_Support!BX14*0.0673*(S13_PSP_Species_Support!BY14*(S13_PSP_Species_Support!BZ14*(1-EXP(-S13_PSP_Species_Support!CA14*8))^S13_PSP_Species_Support!CB14)^2*(S13_PSP_Species_Support!CC14*(1-EXP(-S13_PSP_Species_Support!CD14*8))^S13_PSP_Species_Support!CE14))^0.976,0)+IFERROR(S13_PSP_Species_Support!CI14*0.0673*(S13_PSP_Species_Support!CJ14*(S13_PSP_Species_Support!CK14*(1-EXP(-S13_PSP_Species_Support!CL14*8))^S13_PSP_Species_Support!CM14)^2*(S13_PSP_Species_Support!CN14*(1-EXP(-S13_PSP_Species_Support!CO14*8))^S13_PSP_Species_Support!CP14))^0.976,0)+IFERROR(S13_PSP_Species_Support!CT14*0.0673*(S13_PSP_Species_Support!CU14*(S13_PSP_Species_Support!CV14*(1-EXP(-S13_PSP_Species_Support!CW14*8))^S13_PSP_Species_Support!CX14)^2*(S13_PSP_Species_Support!CY14*(1-EXP(-S13_PSP_Species_Support!CZ14*8))^S13_PSP_Species_Support!DA14))^0.976,0))/1000/$G27*Q$108,0)</x:f>
        <x:v>27.982266403081457</x:v>
      </x:c>
      <x:c r="R27" s="147" t="n">
        <x:f aca="0">IFERROR((IFERROR(S13_PSP_Species_Support!U14*0.0673*(S13_PSP_Species_Support!V14*(S13_PSP_Species_Support!W14*(1-EXP(-S13_PSP_Species_Support!X14*9))^S13_PSP_Species_Support!Y14)^2*(S13_PSP_Species_Support!Z14*(1-EXP(-S13_PSP_Species_Support!AA14*9))^S13_PSP_Species_Support!AB14))^0.976,0)+IFERROR(S13_PSP_Species_Support!AF14*0.0673*(S13_PSP_Species_Support!AG14*(S13_PSP_Species_Support!AH14*(1-EXP(-S13_PSP_Species_Support!AI14*9))^S13_PSP_Species_Support!AJ14)^2*(S13_PSP_Species_Support!AK14*(1-EXP(-S13_PSP_Species_Support!AL14*9))^S13_PSP_Species_Support!AM14))^0.976,0)+IFERROR(S13_PSP_Species_Support!AQ14*0.0673*(S13_PSP_Species_Support!AR14*(S13_PSP_Species_Support!AS14*(1-EXP(-S13_PSP_Species_Support!AT14*9))^S13_PSP_Species_Support!AU14)^2*(S13_PSP_Species_Support!AV14*(1-EXP(-S13_PSP_Species_Support!AW14*9))^S13_PSP_Species_Support!AX14))^0.976,0)+IFERROR(S13_PSP_Species_Support!BB14*0.0673*(S13_PSP_Species_Support!BC14*(S13_PSP_Species_Support!BD14*(1-EXP(-S13_PSP_Species_Support!BE14*9))^S13_PSP_Species_Support!BF14)^2*(S13_PSP_Species_Support!BG14*(1-EXP(-S13_PSP_Species_Support!BH14*9))^S13_PSP_Species_Support!BI14))^0.976,0)+IFERROR(S13_PSP_Species_Support!BM14*0.0673*(S13_PSP_Species_Support!BN14*(S13_PSP_Species_Support!BO14*(1-EXP(-S13_PSP_Species_Support!BP14*9))^S13_PSP_Species_Support!BQ14)^2*(S13_PSP_Species_Support!BR14*(1-EXP(-S13_PSP_Species_Support!BS14*9))^S13_PSP_Species_Support!BT14))^0.976,0)+IFERROR(S13_PSP_Species_Support!BX14*0.0673*(S13_PSP_Species_Support!BY14*(S13_PSP_Species_Support!BZ14*(1-EXP(-S13_PSP_Species_Support!CA14*9))^S13_PSP_Species_Support!CB14)^2*(S13_PSP_Species_Support!CC14*(1-EXP(-S13_PSP_Species_Support!CD14*9))^S13_PSP_Species_Support!CE14))^0.976,0)+IFERROR(S13_PSP_Species_Support!CI14*0.0673*(S13_PSP_Species_Support!CJ14*(S13_PSP_Species_Support!CK14*(1-EXP(-S13_PSP_Species_Support!CL14*9))^S13_PSP_Species_Support!CM14)^2*(S13_PSP_Species_Support!CN14*(1-EXP(-S13_PSP_Species_Support!CO14*9))^S13_PSP_Species_Support!CP14))^0.976,0)+IFERROR(S13_PSP_Species_Support!CT14*0.0673*(S13_PSP_Species_Support!CU14*(S13_PSP_Species_Support!CV14*(1-EXP(-S13_PSP_Species_Support!CW14*9))^S13_PSP_Species_Support!CX14)^2*(S13_PSP_Species_Support!CY14*(1-EXP(-S13_PSP_Species_Support!CZ14*9))^S13_PSP_Species_Support!DA14))^0.976,0))/1000/$G27*R$108,0)</x:f>
        <x:v>35.87972342854291</x:v>
      </x:c>
      <x:c r="S27" s="147" t="n">
        <x:f aca="0">IFERROR((IFERROR(S13_PSP_Species_Support!U14*0.0673*(S13_PSP_Species_Support!V14*(S13_PSP_Species_Support!W14*(1-EXP(-S13_PSP_Species_Support!X14*10))^S13_PSP_Species_Support!Y14)^2*(S13_PSP_Species_Support!Z14*(1-EXP(-S13_PSP_Species_Support!AA14*10))^S13_PSP_Species_Support!AB14))^0.976,0)+IFERROR(S13_PSP_Species_Support!AF14*0.0673*(S13_PSP_Species_Support!AG14*(S13_PSP_Species_Support!AH14*(1-EXP(-S13_PSP_Species_Support!AI14*10))^S13_PSP_Species_Support!AJ14)^2*(S13_PSP_Species_Support!AK14*(1-EXP(-S13_PSP_Species_Support!AL14*10))^S13_PSP_Species_Support!AM14))^0.976,0)+IFERROR(S13_PSP_Species_Support!AQ14*0.0673*(S13_PSP_Species_Support!AR14*(S13_PSP_Species_Support!AS14*(1-EXP(-S13_PSP_Species_Support!AT14*10))^S13_PSP_Species_Support!AU14)^2*(S13_PSP_Species_Support!AV14*(1-EXP(-S13_PSP_Species_Support!AW14*10))^S13_PSP_Species_Support!AX14))^0.976,0)+IFERROR(S13_PSP_Species_Support!BB14*0.0673*(S13_PSP_Species_Support!BC14*(S13_PSP_Species_Support!BD14*(1-EXP(-S13_PSP_Species_Support!BE14*10))^S13_PSP_Species_Support!BF14)^2*(S13_PSP_Species_Support!BG14*(1-EXP(-S13_PSP_Species_Support!BH14*10))^S13_PSP_Species_Support!BI14))^0.976,0)+IFERROR(S13_PSP_Species_Support!BM14*0.0673*(S13_PSP_Species_Support!BN14*(S13_PSP_Species_Support!BO14*(1-EXP(-S13_PSP_Species_Support!BP14*10))^S13_PSP_Species_Support!BQ14)^2*(S13_PSP_Species_Support!BR14*(1-EXP(-S13_PSP_Species_Support!BS14*10))^S13_PSP_Species_Support!BT14))^0.976,0)+IFERROR(S13_PSP_Species_Support!BX14*0.0673*(S13_PSP_Species_Support!BY14*(S13_PSP_Species_Support!BZ14*(1-EXP(-S13_PSP_Species_Support!CA14*10))^S13_PSP_Species_Support!CB14)^2*(S13_PSP_Species_Support!CC14*(1-EXP(-S13_PSP_Species_Support!CD14*10))^S13_PSP_Species_Support!CE14))^0.976,0)+IFERROR(S13_PSP_Species_Support!CI14*0.0673*(S13_PSP_Species_Support!CJ14*(S13_PSP_Species_Support!CK14*(1-EXP(-S13_PSP_Species_Support!CL14*10))^S13_PSP_Species_Support!CM14)^2*(S13_PSP_Species_Support!CN14*(1-EXP(-S13_PSP_Species_Support!CO14*10))^S13_PSP_Species_Support!CP14))^0.976,0)+IFERROR(S13_PSP_Species_Support!CT14*0.0673*(S13_PSP_Species_Support!CU14*(S13_PSP_Species_Support!CV14*(1-EXP(-S13_PSP_Species_Support!CW14*10))^S13_PSP_Species_Support!CX14)^2*(S13_PSP_Species_Support!CY14*(1-EXP(-S13_PSP_Species_Support!CZ14*10))^S13_PSP_Species_Support!DA14))^0.976,0))/1000/$G27*S$108,0)</x:f>
        <x:v>44.04353941422538</x:v>
      </x:c>
      <x:c r="T27" s="147" t="n">
        <x:f aca="0">IFERROR((IFERROR(S13_PSP_Species_Support!U14*0.0673*(S13_PSP_Species_Support!V14*(S13_PSP_Species_Support!W14*(1-EXP(-S13_PSP_Species_Support!X14*11))^S13_PSP_Species_Support!Y14)^2*(S13_PSP_Species_Support!Z14*(1-EXP(-S13_PSP_Species_Support!AA14*11))^S13_PSP_Species_Support!AB14))^0.976,0)+IFERROR(S13_PSP_Species_Support!AF14*0.0673*(S13_PSP_Species_Support!AG14*(S13_PSP_Species_Support!AH14*(1-EXP(-S13_PSP_Species_Support!AI14*11))^S13_PSP_Species_Support!AJ14)^2*(S13_PSP_Species_Support!AK14*(1-EXP(-S13_PSP_Species_Support!AL14*11))^S13_PSP_Species_Support!AM14))^0.976,0)+IFERROR(S13_PSP_Species_Support!AQ14*0.0673*(S13_PSP_Species_Support!AR14*(S13_PSP_Species_Support!AS14*(1-EXP(-S13_PSP_Species_Support!AT14*11))^S13_PSP_Species_Support!AU14)^2*(S13_PSP_Species_Support!AV14*(1-EXP(-S13_PSP_Species_Support!AW14*11))^S13_PSP_Species_Support!AX14))^0.976,0)+IFERROR(S13_PSP_Species_Support!BB14*0.0673*(S13_PSP_Species_Support!BC14*(S13_PSP_Species_Support!BD14*(1-EXP(-S13_PSP_Species_Support!BE14*11))^S13_PSP_Species_Support!BF14)^2*(S13_PSP_Species_Support!BG14*(1-EXP(-S13_PSP_Species_Support!BH14*11))^S13_PSP_Species_Support!BI14))^0.976,0)+IFERROR(S13_PSP_Species_Support!BM14*0.0673*(S13_PSP_Species_Support!BN14*(S13_PSP_Species_Support!BO14*(1-EXP(-S13_PSP_Species_Support!BP14*11))^S13_PSP_Species_Support!BQ14)^2*(S13_PSP_Species_Support!BR14*(1-EXP(-S13_PSP_Species_Support!BS14*11))^S13_PSP_Species_Support!BT14))^0.976,0)+IFERROR(S13_PSP_Species_Support!BX14*0.0673*(S13_PSP_Species_Support!BY14*(S13_PSP_Species_Support!BZ14*(1-EXP(-S13_PSP_Species_Support!CA14*11))^S13_PSP_Species_Support!CB14)^2*(S13_PSP_Species_Support!CC14*(1-EXP(-S13_PSP_Species_Support!CD14*11))^S13_PSP_Species_Support!CE14))^0.976,0)+IFERROR(S13_PSP_Species_Support!CI14*0.0673*(S13_PSP_Species_Support!CJ14*(S13_PSP_Species_Support!CK14*(1-EXP(-S13_PSP_Species_Support!CL14*11))^S13_PSP_Species_Support!CM14)^2*(S13_PSP_Species_Support!CN14*(1-EXP(-S13_PSP_Species_Support!CO14*11))^S13_PSP_Species_Support!CP14))^0.976,0)+IFERROR(S13_PSP_Species_Support!CT14*0.0673*(S13_PSP_Species_Support!CU14*(S13_PSP_Species_Support!CV14*(1-EXP(-S13_PSP_Species_Support!CW14*11))^S13_PSP_Species_Support!CX14)^2*(S13_PSP_Species_Support!CY14*(1-EXP(-S13_PSP_Species_Support!CZ14*11))^S13_PSP_Species_Support!DA14))^0.976,0))/1000/$G27*T$108,0)</x:f>
        <x:v>52.24571396665475</x:v>
      </x:c>
      <x:c r="U27" s="147" t="n">
        <x:f aca="0">IFERROR((IFERROR(S13_PSP_Species_Support!U14*0.0673*(S13_PSP_Species_Support!V14*(S13_PSP_Species_Support!W14*(1-EXP(-S13_PSP_Species_Support!X14*12))^S13_PSP_Species_Support!Y14)^2*(S13_PSP_Species_Support!Z14*(1-EXP(-S13_PSP_Species_Support!AA14*12))^S13_PSP_Species_Support!AB14))^0.976,0)+IFERROR(S13_PSP_Species_Support!AF14*0.0673*(S13_PSP_Species_Support!AG14*(S13_PSP_Species_Support!AH14*(1-EXP(-S13_PSP_Species_Support!AI14*12))^S13_PSP_Species_Support!AJ14)^2*(S13_PSP_Species_Support!AK14*(1-EXP(-S13_PSP_Species_Support!AL14*12))^S13_PSP_Species_Support!AM14))^0.976,0)+IFERROR(S13_PSP_Species_Support!AQ14*0.0673*(S13_PSP_Species_Support!AR14*(S13_PSP_Species_Support!AS14*(1-EXP(-S13_PSP_Species_Support!AT14*12))^S13_PSP_Species_Support!AU14)^2*(S13_PSP_Species_Support!AV14*(1-EXP(-S13_PSP_Species_Support!AW14*12))^S13_PSP_Species_Support!AX14))^0.976,0)+IFERROR(S13_PSP_Species_Support!BB14*0.0673*(S13_PSP_Species_Support!BC14*(S13_PSP_Species_Support!BD14*(1-EXP(-S13_PSP_Species_Support!BE14*12))^S13_PSP_Species_Support!BF14)^2*(S13_PSP_Species_Support!BG14*(1-EXP(-S13_PSP_Species_Support!BH14*12))^S13_PSP_Species_Support!BI14))^0.976,0)+IFERROR(S13_PSP_Species_Support!BM14*0.0673*(S13_PSP_Species_Support!BN14*(S13_PSP_Species_Support!BO14*(1-EXP(-S13_PSP_Species_Support!BP14*12))^S13_PSP_Species_Support!BQ14)^2*(S13_PSP_Species_Support!BR14*(1-EXP(-S13_PSP_Species_Support!BS14*12))^S13_PSP_Species_Support!BT14))^0.976,0)+IFERROR(S13_PSP_Species_Support!BX14*0.0673*(S13_PSP_Species_Support!BY14*(S13_PSP_Species_Support!BZ14*(1-EXP(-S13_PSP_Species_Support!CA14*12))^S13_PSP_Species_Support!CB14)^2*(S13_PSP_Species_Support!CC14*(1-EXP(-S13_PSP_Species_Support!CD14*12))^S13_PSP_Species_Support!CE14))^0.976,0)+IFERROR(S13_PSP_Species_Support!CI14*0.0673*(S13_PSP_Species_Support!CJ14*(S13_PSP_Species_Support!CK14*(1-EXP(-S13_PSP_Species_Support!CL14*12))^S13_PSP_Species_Support!CM14)^2*(S13_PSP_Species_Support!CN14*(1-EXP(-S13_PSP_Species_Support!CO14*12))^S13_PSP_Species_Support!CP14))^0.976,0)+IFERROR(S13_PSP_Species_Support!CT14*0.0673*(S13_PSP_Species_Support!CU14*(S13_PSP_Species_Support!CV14*(1-EXP(-S13_PSP_Species_Support!CW14*12))^S13_PSP_Species_Support!CX14)^2*(S13_PSP_Species_Support!CY14*(1-EXP(-S13_PSP_Species_Support!CZ14*12))^S13_PSP_Species_Support!DA14))^0.976,0))/1000/$G27*U$108,0)</x:f>
        <x:v>60.30326678644871</x:v>
      </x:c>
      <x:c r="V27" s="147" t="n">
        <x:f aca="0">IFERROR((IFERROR(S13_PSP_Species_Support!U14*0.0673*(S13_PSP_Species_Support!V14*(S13_PSP_Species_Support!W14*(1-EXP(-S13_PSP_Species_Support!X14*13))^S13_PSP_Species_Support!Y14)^2*(S13_PSP_Species_Support!Z14*(1-EXP(-S13_PSP_Species_Support!AA14*13))^S13_PSP_Species_Support!AB14))^0.976,0)+IFERROR(S13_PSP_Species_Support!AF14*0.0673*(S13_PSP_Species_Support!AG14*(S13_PSP_Species_Support!AH14*(1-EXP(-S13_PSP_Species_Support!AI14*13))^S13_PSP_Species_Support!AJ14)^2*(S13_PSP_Species_Support!AK14*(1-EXP(-S13_PSP_Species_Support!AL14*13))^S13_PSP_Species_Support!AM14))^0.976,0)+IFERROR(S13_PSP_Species_Support!AQ14*0.0673*(S13_PSP_Species_Support!AR14*(S13_PSP_Species_Support!AS14*(1-EXP(-S13_PSP_Species_Support!AT14*13))^S13_PSP_Species_Support!AU14)^2*(S13_PSP_Species_Support!AV14*(1-EXP(-S13_PSP_Species_Support!AW14*13))^S13_PSP_Species_Support!AX14))^0.976,0)+IFERROR(S13_PSP_Species_Support!BB14*0.0673*(S13_PSP_Species_Support!BC14*(S13_PSP_Species_Support!BD14*(1-EXP(-S13_PSP_Species_Support!BE14*13))^S13_PSP_Species_Support!BF14)^2*(S13_PSP_Species_Support!BG14*(1-EXP(-S13_PSP_Species_Support!BH14*13))^S13_PSP_Species_Support!BI14))^0.976,0)+IFERROR(S13_PSP_Species_Support!BM14*0.0673*(S13_PSP_Species_Support!BN14*(S13_PSP_Species_Support!BO14*(1-EXP(-S13_PSP_Species_Support!BP14*13))^S13_PSP_Species_Support!BQ14)^2*(S13_PSP_Species_Support!BR14*(1-EXP(-S13_PSP_Species_Support!BS14*13))^S13_PSP_Species_Support!BT14))^0.976,0)+IFERROR(S13_PSP_Species_Support!BX14*0.0673*(S13_PSP_Species_Support!BY14*(S13_PSP_Species_Support!BZ14*(1-EXP(-S13_PSP_Species_Support!CA14*13))^S13_PSP_Species_Support!CB14)^2*(S13_PSP_Species_Support!CC14*(1-EXP(-S13_PSP_Species_Support!CD14*13))^S13_PSP_Species_Support!CE14))^0.976,0)+IFERROR(S13_PSP_Species_Support!CI14*0.0673*(S13_PSP_Species_Support!CJ14*(S13_PSP_Species_Support!CK14*(1-EXP(-S13_PSP_Species_Support!CL14*13))^S13_PSP_Species_Support!CM14)^2*(S13_PSP_Species_Support!CN14*(1-EXP(-S13_PSP_Species_Support!CO14*13))^S13_PSP_Species_Support!CP14))^0.976,0)+IFERROR(S13_PSP_Species_Support!CT14*0.0673*(S13_PSP_Species_Support!CU14*(S13_PSP_Species_Support!CV14*(1-EXP(-S13_PSP_Species_Support!CW14*13))^S13_PSP_Species_Support!CX14)^2*(S13_PSP_Species_Support!CY14*(1-EXP(-S13_PSP_Species_Support!CZ14*13))^S13_PSP_Species_Support!DA14))^0.976,0))/1000/$G27*V$108,0)</x:f>
        <x:v>68.07754637295194</x:v>
      </x:c>
      <x:c r="W27" s="147" t="n">
        <x:f aca="0">IFERROR((IFERROR(S13_PSP_Species_Support!U14*0.0673*(S13_PSP_Species_Support!V14*(S13_PSP_Species_Support!W14*(1-EXP(-S13_PSP_Species_Support!X14*14))^S13_PSP_Species_Support!Y14)^2*(S13_PSP_Species_Support!Z14*(1-EXP(-S13_PSP_Species_Support!AA14*14))^S13_PSP_Species_Support!AB14))^0.976,0)+IFERROR(S13_PSP_Species_Support!AF14*0.0673*(S13_PSP_Species_Support!AG14*(S13_PSP_Species_Support!AH14*(1-EXP(-S13_PSP_Species_Support!AI14*14))^S13_PSP_Species_Support!AJ14)^2*(S13_PSP_Species_Support!AK14*(1-EXP(-S13_PSP_Species_Support!AL14*14))^S13_PSP_Species_Support!AM14))^0.976,0)+IFERROR(S13_PSP_Species_Support!AQ14*0.0673*(S13_PSP_Species_Support!AR14*(S13_PSP_Species_Support!AS14*(1-EXP(-S13_PSP_Species_Support!AT14*14))^S13_PSP_Species_Support!AU14)^2*(S13_PSP_Species_Support!AV14*(1-EXP(-S13_PSP_Species_Support!AW14*14))^S13_PSP_Species_Support!AX14))^0.976,0)+IFERROR(S13_PSP_Species_Support!BB14*0.0673*(S13_PSP_Species_Support!BC14*(S13_PSP_Species_Support!BD14*(1-EXP(-S13_PSP_Species_Support!BE14*14))^S13_PSP_Species_Support!BF14)^2*(S13_PSP_Species_Support!BG14*(1-EXP(-S13_PSP_Species_Support!BH14*14))^S13_PSP_Species_Support!BI14))^0.976,0)+IFERROR(S13_PSP_Species_Support!BM14*0.0673*(S13_PSP_Species_Support!BN14*(S13_PSP_Species_Support!BO14*(1-EXP(-S13_PSP_Species_Support!BP14*14))^S13_PSP_Species_Support!BQ14)^2*(S13_PSP_Species_Support!BR14*(1-EXP(-S13_PSP_Species_Support!BS14*14))^S13_PSP_Species_Support!BT14))^0.976,0)+IFERROR(S13_PSP_Species_Support!BX14*0.0673*(S13_PSP_Species_Support!BY14*(S13_PSP_Species_Support!BZ14*(1-EXP(-S13_PSP_Species_Support!CA14*14))^S13_PSP_Species_Support!CB14)^2*(S13_PSP_Species_Support!CC14*(1-EXP(-S13_PSP_Species_Support!CD14*14))^S13_PSP_Species_Support!CE14))^0.976,0)+IFERROR(S13_PSP_Species_Support!CI14*0.0673*(S13_PSP_Species_Support!CJ14*(S13_PSP_Species_Support!CK14*(1-EXP(-S13_PSP_Species_Support!CL14*14))^S13_PSP_Species_Support!CM14)^2*(S13_PSP_Species_Support!CN14*(1-EXP(-S13_PSP_Species_Support!CO14*14))^S13_PSP_Species_Support!CP14))^0.976,0)+IFERROR(S13_PSP_Species_Support!CT14*0.0673*(S13_PSP_Species_Support!CU14*(S13_PSP_Species_Support!CV14*(1-EXP(-S13_PSP_Species_Support!CW14*14))^S13_PSP_Species_Support!CX14)^2*(S13_PSP_Species_Support!CY14*(1-EXP(-S13_PSP_Species_Support!CZ14*14))^S13_PSP_Species_Support!DA14))^0.976,0))/1000/$G27*W$108,0)</x:f>
        <x:v>75.46991979113504</x:v>
      </x:c>
      <x:c r="X27" s="147" t="n">
        <x:f aca="0">IFERROR((IFERROR(S13_PSP_Species_Support!U14*0.0673*(S13_PSP_Species_Support!V14*(S13_PSP_Species_Support!W14*(1-EXP(-S13_PSP_Species_Support!X14*15))^S13_PSP_Species_Support!Y14)^2*(S13_PSP_Species_Support!Z14*(1-EXP(-S13_PSP_Species_Support!AA14*15))^S13_PSP_Species_Support!AB14))^0.976,0)+IFERROR(S13_PSP_Species_Support!AF14*0.0673*(S13_PSP_Species_Support!AG14*(S13_PSP_Species_Support!AH14*(1-EXP(-S13_PSP_Species_Support!AI14*15))^S13_PSP_Species_Support!AJ14)^2*(S13_PSP_Species_Support!AK14*(1-EXP(-S13_PSP_Species_Support!AL14*15))^S13_PSP_Species_Support!AM14))^0.976,0)+IFERROR(S13_PSP_Species_Support!AQ14*0.0673*(S13_PSP_Species_Support!AR14*(S13_PSP_Species_Support!AS14*(1-EXP(-S13_PSP_Species_Support!AT14*15))^S13_PSP_Species_Support!AU14)^2*(S13_PSP_Species_Support!AV14*(1-EXP(-S13_PSP_Species_Support!AW14*15))^S13_PSP_Species_Support!AX14))^0.976,0)+IFERROR(S13_PSP_Species_Support!BB14*0.0673*(S13_PSP_Species_Support!BC14*(S13_PSP_Species_Support!BD14*(1-EXP(-S13_PSP_Species_Support!BE14*15))^S13_PSP_Species_Support!BF14)^2*(S13_PSP_Species_Support!BG14*(1-EXP(-S13_PSP_Species_Support!BH14*15))^S13_PSP_Species_Support!BI14))^0.976,0)+IFERROR(S13_PSP_Species_Support!BM14*0.0673*(S13_PSP_Species_Support!BN14*(S13_PSP_Species_Support!BO14*(1-EXP(-S13_PSP_Species_Support!BP14*15))^S13_PSP_Species_Support!BQ14)^2*(S13_PSP_Species_Support!BR14*(1-EXP(-S13_PSP_Species_Support!BS14*15))^S13_PSP_Species_Support!BT14))^0.976,0)+IFERROR(S13_PSP_Species_Support!BX14*0.0673*(S13_PSP_Species_Support!BY14*(S13_PSP_Species_Support!BZ14*(1-EXP(-S13_PSP_Species_Support!CA14*15))^S13_PSP_Species_Support!CB14)^2*(S13_PSP_Species_Support!CC14*(1-EXP(-S13_PSP_Species_Support!CD14*15))^S13_PSP_Species_Support!CE14))^0.976,0)+IFERROR(S13_PSP_Species_Support!CI14*0.0673*(S13_PSP_Species_Support!CJ14*(S13_PSP_Species_Support!CK14*(1-EXP(-S13_PSP_Species_Support!CL14*15))^S13_PSP_Species_Support!CM14)^2*(S13_PSP_Species_Support!CN14*(1-EXP(-S13_PSP_Species_Support!CO14*15))^S13_PSP_Species_Support!CP14))^0.976,0)+IFERROR(S13_PSP_Species_Support!CT14*0.0673*(S13_PSP_Species_Support!CU14*(S13_PSP_Species_Support!CV14*(1-EXP(-S13_PSP_Species_Support!CW14*15))^S13_PSP_Species_Support!CX14)^2*(S13_PSP_Species_Support!CY14*(1-EXP(-S13_PSP_Species_Support!CZ14*15))^S13_PSP_Species_Support!DA14))^0.976,0))/1000/$G27*X$108,0)</x:f>
        <x:v>82.41582281104598</x:v>
      </x:c>
      <x:c r="Y27" s="147" t="n">
        <x:f aca="0">IFERROR((IFERROR(S13_PSP_Species_Support!U14*0.0673*(S13_PSP_Species_Support!V14*(S13_PSP_Species_Support!W14*(1-EXP(-S13_PSP_Species_Support!X14*16))^S13_PSP_Species_Support!Y14)^2*(S13_PSP_Species_Support!Z14*(1-EXP(-S13_PSP_Species_Support!AA14*16))^S13_PSP_Species_Support!AB14))^0.976,0)+IFERROR(S13_PSP_Species_Support!AF14*0.0673*(S13_PSP_Species_Support!AG14*(S13_PSP_Species_Support!AH14*(1-EXP(-S13_PSP_Species_Support!AI14*16))^S13_PSP_Species_Support!AJ14)^2*(S13_PSP_Species_Support!AK14*(1-EXP(-S13_PSP_Species_Support!AL14*16))^S13_PSP_Species_Support!AM14))^0.976,0)+IFERROR(S13_PSP_Species_Support!AQ14*0.0673*(S13_PSP_Species_Support!AR14*(S13_PSP_Species_Support!AS14*(1-EXP(-S13_PSP_Species_Support!AT14*16))^S13_PSP_Species_Support!AU14)^2*(S13_PSP_Species_Support!AV14*(1-EXP(-S13_PSP_Species_Support!AW14*16))^S13_PSP_Species_Support!AX14))^0.976,0)+IFERROR(S13_PSP_Species_Support!BB14*0.0673*(S13_PSP_Species_Support!BC14*(S13_PSP_Species_Support!BD14*(1-EXP(-S13_PSP_Species_Support!BE14*16))^S13_PSP_Species_Support!BF14)^2*(S13_PSP_Species_Support!BG14*(1-EXP(-S13_PSP_Species_Support!BH14*16))^S13_PSP_Species_Support!BI14))^0.976,0)+IFERROR(S13_PSP_Species_Support!BM14*0.0673*(S13_PSP_Species_Support!BN14*(S13_PSP_Species_Support!BO14*(1-EXP(-S13_PSP_Species_Support!BP14*16))^S13_PSP_Species_Support!BQ14)^2*(S13_PSP_Species_Support!BR14*(1-EXP(-S13_PSP_Species_Support!BS14*16))^S13_PSP_Species_Support!BT14))^0.976,0)+IFERROR(S13_PSP_Species_Support!BX14*0.0673*(S13_PSP_Species_Support!BY14*(S13_PSP_Species_Support!BZ14*(1-EXP(-S13_PSP_Species_Support!CA14*16))^S13_PSP_Species_Support!CB14)^2*(S13_PSP_Species_Support!CC14*(1-EXP(-S13_PSP_Species_Support!CD14*16))^S13_PSP_Species_Support!CE14))^0.976,0)+IFERROR(S13_PSP_Species_Support!CI14*0.0673*(S13_PSP_Species_Support!CJ14*(S13_PSP_Species_Support!CK14*(1-EXP(-S13_PSP_Species_Support!CL14*16))^S13_PSP_Species_Support!CM14)^2*(S13_PSP_Species_Support!CN14*(1-EXP(-S13_PSP_Species_Support!CO14*16))^S13_PSP_Species_Support!CP14))^0.976,0)+IFERROR(S13_PSP_Species_Support!CT14*0.0673*(S13_PSP_Species_Support!CU14*(S13_PSP_Species_Support!CV14*(1-EXP(-S13_PSP_Species_Support!CW14*16))^S13_PSP_Species_Support!CX14)^2*(S13_PSP_Species_Support!CY14*(1-EXP(-S13_PSP_Species_Support!CZ14*16))^S13_PSP_Species_Support!DA14))^0.976,0))/1000/$G27*Y$108,0)</x:f>
        <x:v>88.87841667335937</x:v>
      </x:c>
      <x:c r="Z27" s="147" t="n">
        <x:f aca="0">IFERROR((IFERROR(S13_PSP_Species_Support!U14*0.0673*(S13_PSP_Species_Support!V14*(S13_PSP_Species_Support!W14*(1-EXP(-S13_PSP_Species_Support!X14*17))^S13_PSP_Species_Support!Y14)^2*(S13_PSP_Species_Support!Z14*(1-EXP(-S13_PSP_Species_Support!AA14*17))^S13_PSP_Species_Support!AB14))^0.976,0)+IFERROR(S13_PSP_Species_Support!AF14*0.0673*(S13_PSP_Species_Support!AG14*(S13_PSP_Species_Support!AH14*(1-EXP(-S13_PSP_Species_Support!AI14*17))^S13_PSP_Species_Support!AJ14)^2*(S13_PSP_Species_Support!AK14*(1-EXP(-S13_PSP_Species_Support!AL14*17))^S13_PSP_Species_Support!AM14))^0.976,0)+IFERROR(S13_PSP_Species_Support!AQ14*0.0673*(S13_PSP_Species_Support!AR14*(S13_PSP_Species_Support!AS14*(1-EXP(-S13_PSP_Species_Support!AT14*17))^S13_PSP_Species_Support!AU14)^2*(S13_PSP_Species_Support!AV14*(1-EXP(-S13_PSP_Species_Support!AW14*17))^S13_PSP_Species_Support!AX14))^0.976,0)+IFERROR(S13_PSP_Species_Support!BB14*0.0673*(S13_PSP_Species_Support!BC14*(S13_PSP_Species_Support!BD14*(1-EXP(-S13_PSP_Species_Support!BE14*17))^S13_PSP_Species_Support!BF14)^2*(S13_PSP_Species_Support!BG14*(1-EXP(-S13_PSP_Species_Support!BH14*17))^S13_PSP_Species_Support!BI14))^0.976,0)+IFERROR(S13_PSP_Species_Support!BM14*0.0673*(S13_PSP_Species_Support!BN14*(S13_PSP_Species_Support!BO14*(1-EXP(-S13_PSP_Species_Support!BP14*17))^S13_PSP_Species_Support!BQ14)^2*(S13_PSP_Species_Support!BR14*(1-EXP(-S13_PSP_Species_Support!BS14*17))^S13_PSP_Species_Support!BT14))^0.976,0)+IFERROR(S13_PSP_Species_Support!BX14*0.0673*(S13_PSP_Species_Support!BY14*(S13_PSP_Species_Support!BZ14*(1-EXP(-S13_PSP_Species_Support!CA14*17))^S13_PSP_Species_Support!CB14)^2*(S13_PSP_Species_Support!CC14*(1-EXP(-S13_PSP_Species_Support!CD14*17))^S13_PSP_Species_Support!CE14))^0.976,0)+IFERROR(S13_PSP_Species_Support!CI14*0.0673*(S13_PSP_Species_Support!CJ14*(S13_PSP_Species_Support!CK14*(1-EXP(-S13_PSP_Species_Support!CL14*17))^S13_PSP_Species_Support!CM14)^2*(S13_PSP_Species_Support!CN14*(1-EXP(-S13_PSP_Species_Support!CO14*17))^S13_PSP_Species_Support!CP14))^0.976,0)+IFERROR(S13_PSP_Species_Support!CT14*0.0673*(S13_PSP_Species_Support!CU14*(S13_PSP_Species_Support!CV14*(1-EXP(-S13_PSP_Species_Support!CW14*17))^S13_PSP_Species_Support!CX14)^2*(S13_PSP_Species_Support!CY14*(1-EXP(-S13_PSP_Species_Support!CZ14*17))^S13_PSP_Species_Support!DA14))^0.976,0))/1000/$G27*Z$108,0)</x:f>
        <x:v>94.84257013057655</x:v>
      </x:c>
      <x:c r="AA27" s="147" t="n">
        <x:f aca="0">IFERROR((IFERROR(S13_PSP_Species_Support!U14*0.0673*(S13_PSP_Species_Support!V14*(S13_PSP_Species_Support!W14*(1-EXP(-S13_PSP_Species_Support!X14*18))^S13_PSP_Species_Support!Y14)^2*(S13_PSP_Species_Support!Z14*(1-EXP(-S13_PSP_Species_Support!AA14*18))^S13_PSP_Species_Support!AB14))^0.976,0)+IFERROR(S13_PSP_Species_Support!AF14*0.0673*(S13_PSP_Species_Support!AG14*(S13_PSP_Species_Support!AH14*(1-EXP(-S13_PSP_Species_Support!AI14*18))^S13_PSP_Species_Support!AJ14)^2*(S13_PSP_Species_Support!AK14*(1-EXP(-S13_PSP_Species_Support!AL14*18))^S13_PSP_Species_Support!AM14))^0.976,0)+IFERROR(S13_PSP_Species_Support!AQ14*0.0673*(S13_PSP_Species_Support!AR14*(S13_PSP_Species_Support!AS14*(1-EXP(-S13_PSP_Species_Support!AT14*18))^S13_PSP_Species_Support!AU14)^2*(S13_PSP_Species_Support!AV14*(1-EXP(-S13_PSP_Species_Support!AW14*18))^S13_PSP_Species_Support!AX14))^0.976,0)+IFERROR(S13_PSP_Species_Support!BB14*0.0673*(S13_PSP_Species_Support!BC14*(S13_PSP_Species_Support!BD14*(1-EXP(-S13_PSP_Species_Support!BE14*18))^S13_PSP_Species_Support!BF14)^2*(S13_PSP_Species_Support!BG14*(1-EXP(-S13_PSP_Species_Support!BH14*18))^S13_PSP_Species_Support!BI14))^0.976,0)+IFERROR(S13_PSP_Species_Support!BM14*0.0673*(S13_PSP_Species_Support!BN14*(S13_PSP_Species_Support!BO14*(1-EXP(-S13_PSP_Species_Support!BP14*18))^S13_PSP_Species_Support!BQ14)^2*(S13_PSP_Species_Support!BR14*(1-EXP(-S13_PSP_Species_Support!BS14*18))^S13_PSP_Species_Support!BT14))^0.976,0)+IFERROR(S13_PSP_Species_Support!BX14*0.0673*(S13_PSP_Species_Support!BY14*(S13_PSP_Species_Support!BZ14*(1-EXP(-S13_PSP_Species_Support!CA14*18))^S13_PSP_Species_Support!CB14)^2*(S13_PSP_Species_Support!CC14*(1-EXP(-S13_PSP_Species_Support!CD14*18))^S13_PSP_Species_Support!CE14))^0.976,0)+IFERROR(S13_PSP_Species_Support!CI14*0.0673*(S13_PSP_Species_Support!CJ14*(S13_PSP_Species_Support!CK14*(1-EXP(-S13_PSP_Species_Support!CL14*18))^S13_PSP_Species_Support!CM14)^2*(S13_PSP_Species_Support!CN14*(1-EXP(-S13_PSP_Species_Support!CO14*18))^S13_PSP_Species_Support!CP14))^0.976,0)+IFERROR(S13_PSP_Species_Support!CT14*0.0673*(S13_PSP_Species_Support!CU14*(S13_PSP_Species_Support!CV14*(1-EXP(-S13_PSP_Species_Support!CW14*18))^S13_PSP_Species_Support!CX14)^2*(S13_PSP_Species_Support!CY14*(1-EXP(-S13_PSP_Species_Support!CZ14*18))^S13_PSP_Species_Support!DA14))^0.976,0))/1000/$G27*AA$108,0)</x:f>
        <x:v>100.30953020603599</x:v>
      </x:c>
      <x:c r="AB27" s="147" t="n">
        <x:f aca="0">IFERROR((IFERROR(S13_PSP_Species_Support!U14*0.0673*(S13_PSP_Species_Support!V14*(S13_PSP_Species_Support!W14*(1-EXP(-S13_PSP_Species_Support!X14*19))^S13_PSP_Species_Support!Y14)^2*(S13_PSP_Species_Support!Z14*(1-EXP(-S13_PSP_Species_Support!AA14*19))^S13_PSP_Species_Support!AB14))^0.976,0)+IFERROR(S13_PSP_Species_Support!AF14*0.0673*(S13_PSP_Species_Support!AG14*(S13_PSP_Species_Support!AH14*(1-EXP(-S13_PSP_Species_Support!AI14*19))^S13_PSP_Species_Support!AJ14)^2*(S13_PSP_Species_Support!AK14*(1-EXP(-S13_PSP_Species_Support!AL14*19))^S13_PSP_Species_Support!AM14))^0.976,0)+IFERROR(S13_PSP_Species_Support!AQ14*0.0673*(S13_PSP_Species_Support!AR14*(S13_PSP_Species_Support!AS14*(1-EXP(-S13_PSP_Species_Support!AT14*19))^S13_PSP_Species_Support!AU14)^2*(S13_PSP_Species_Support!AV14*(1-EXP(-S13_PSP_Species_Support!AW14*19))^S13_PSP_Species_Support!AX14))^0.976,0)+IFERROR(S13_PSP_Species_Support!BB14*0.0673*(S13_PSP_Species_Support!BC14*(S13_PSP_Species_Support!BD14*(1-EXP(-S13_PSP_Species_Support!BE14*19))^S13_PSP_Species_Support!BF14)^2*(S13_PSP_Species_Support!BG14*(1-EXP(-S13_PSP_Species_Support!BH14*19))^S13_PSP_Species_Support!BI14))^0.976,0)+IFERROR(S13_PSP_Species_Support!BM14*0.0673*(S13_PSP_Species_Support!BN14*(S13_PSP_Species_Support!BO14*(1-EXP(-S13_PSP_Species_Support!BP14*19))^S13_PSP_Species_Support!BQ14)^2*(S13_PSP_Species_Support!BR14*(1-EXP(-S13_PSP_Species_Support!BS14*19))^S13_PSP_Species_Support!BT14))^0.976,0)+IFERROR(S13_PSP_Species_Support!BX14*0.0673*(S13_PSP_Species_Support!BY14*(S13_PSP_Species_Support!BZ14*(1-EXP(-S13_PSP_Species_Support!CA14*19))^S13_PSP_Species_Support!CB14)^2*(S13_PSP_Species_Support!CC14*(1-EXP(-S13_PSP_Species_Support!CD14*19))^S13_PSP_Species_Support!CE14))^0.976,0)+IFERROR(S13_PSP_Species_Support!CI14*0.0673*(S13_PSP_Species_Support!CJ14*(S13_PSP_Species_Support!CK14*(1-EXP(-S13_PSP_Species_Support!CL14*19))^S13_PSP_Species_Support!CM14)^2*(S13_PSP_Species_Support!CN14*(1-EXP(-S13_PSP_Species_Support!CO14*19))^S13_PSP_Species_Support!CP14))^0.976,0)+IFERROR(S13_PSP_Species_Support!CT14*0.0673*(S13_PSP_Species_Support!CU14*(S13_PSP_Species_Support!CV14*(1-EXP(-S13_PSP_Species_Support!CW14*19))^S13_PSP_Species_Support!CX14)^2*(S13_PSP_Species_Support!CY14*(1-EXP(-S13_PSP_Species_Support!CZ14*19))^S13_PSP_Species_Support!DA14))^0.976,0))/1000/$G27*AB$108,0)</x:f>
        <x:v>105.2924200648911</x:v>
      </x:c>
      <x:c r="AC27" s="147" t="n">
        <x:f aca="0">IFERROR((IFERROR(S13_PSP_Species_Support!U14*0.0673*(S13_PSP_Species_Support!V14*(S13_PSP_Species_Support!W14*(1-EXP(-S13_PSP_Species_Support!X14*20))^S13_PSP_Species_Support!Y14)^2*(S13_PSP_Species_Support!Z14*(1-EXP(-S13_PSP_Species_Support!AA14*20))^S13_PSP_Species_Support!AB14))^0.976,0)+IFERROR(S13_PSP_Species_Support!AF14*0.0673*(S13_PSP_Species_Support!AG14*(S13_PSP_Species_Support!AH14*(1-EXP(-S13_PSP_Species_Support!AI14*20))^S13_PSP_Species_Support!AJ14)^2*(S13_PSP_Species_Support!AK14*(1-EXP(-S13_PSP_Species_Support!AL14*20))^S13_PSP_Species_Support!AM14))^0.976,0)+IFERROR(S13_PSP_Species_Support!AQ14*0.0673*(S13_PSP_Species_Support!AR14*(S13_PSP_Species_Support!AS14*(1-EXP(-S13_PSP_Species_Support!AT14*20))^S13_PSP_Species_Support!AU14)^2*(S13_PSP_Species_Support!AV14*(1-EXP(-S13_PSP_Species_Support!AW14*20))^S13_PSP_Species_Support!AX14))^0.976,0)+IFERROR(S13_PSP_Species_Support!BB14*0.0673*(S13_PSP_Species_Support!BC14*(S13_PSP_Species_Support!BD14*(1-EXP(-S13_PSP_Species_Support!BE14*20))^S13_PSP_Species_Support!BF14)^2*(S13_PSP_Species_Support!BG14*(1-EXP(-S13_PSP_Species_Support!BH14*20))^S13_PSP_Species_Support!BI14))^0.976,0)+IFERROR(S13_PSP_Species_Support!BM14*0.0673*(S13_PSP_Species_Support!BN14*(S13_PSP_Species_Support!BO14*(1-EXP(-S13_PSP_Species_Support!BP14*20))^S13_PSP_Species_Support!BQ14)^2*(S13_PSP_Species_Support!BR14*(1-EXP(-S13_PSP_Species_Support!BS14*20))^S13_PSP_Species_Support!BT14))^0.976,0)+IFERROR(S13_PSP_Species_Support!BX14*0.0673*(S13_PSP_Species_Support!BY14*(S13_PSP_Species_Support!BZ14*(1-EXP(-S13_PSP_Species_Support!CA14*20))^S13_PSP_Species_Support!CB14)^2*(S13_PSP_Species_Support!CC14*(1-EXP(-S13_PSP_Species_Support!CD14*20))^S13_PSP_Species_Support!CE14))^0.976,0)+IFERROR(S13_PSP_Species_Support!CI14*0.0673*(S13_PSP_Species_Support!CJ14*(S13_PSP_Species_Support!CK14*(1-EXP(-S13_PSP_Species_Support!CL14*20))^S13_PSP_Species_Support!CM14)^2*(S13_PSP_Species_Support!CN14*(1-EXP(-S13_PSP_Species_Support!CO14*20))^S13_PSP_Species_Support!CP14))^0.976,0)+IFERROR(S13_PSP_Species_Support!CT14*0.0673*(S13_PSP_Species_Support!CU14*(S13_PSP_Species_Support!CV14*(1-EXP(-S13_PSP_Species_Support!CW14*20))^S13_PSP_Species_Support!CX14)^2*(S13_PSP_Species_Support!CY14*(1-EXP(-S13_PSP_Species_Support!CZ14*20))^S13_PSP_Species_Support!DA14))^0.976,0))/1000/$G27*AC$108,0)</x:f>
        <x:v>109.81256916268967</x:v>
      </x:c>
      <x:c r="AD27" s="148" t="n">
        <x:f aca="0">IF(2020&lt;$F27,0,INDEX($I27:$AC27,1,2020-$F27+1))</x:f>
        <x:v>0</x:v>
      </x:c>
      <x:c r="AE27" s="148" t="n">
        <x:f aca="0">IF(2021&lt;$F27,0,INDEX($I27:$AC27,1,2021-$F27+1))</x:f>
        <x:v>0</x:v>
      </x:c>
      <x:c r="AF27" s="148" t="n">
        <x:f aca="0">IF(2022&lt;$F27,0,INDEX($I27:$AC27,1,2022-$F27+1))</x:f>
        <x:v>0</x:v>
      </x:c>
      <x:c r="AG27" s="148" t="n">
        <x:f aca="0">IF(2023&lt;$F27,0,INDEX($I27:$AC27,1,2023-$F27+1))</x:f>
        <x:v>0</x:v>
      </x:c>
      <x:c r="AH27" s="148" t="n">
        <x:f aca="0">IF(2024&lt;$F27,0,INDEX($I27:$AC27,1,2024-$F27+1))</x:f>
        <x:v>0</x:v>
      </x:c>
      <x:c r="AI27" s="148" t="n">
        <x:f aca="0">IF(2025&lt;$F27,0,INDEX($I27:$AC27,1,2025-$F27+1))</x:f>
        <x:v>0</x:v>
      </x:c>
      <x:c r="AJ27" s="148" t="n">
        <x:f aca="0">IF(2026&lt;$F27,0,INDEX($I27:$AC27,1,2026-$F27+1))</x:f>
        <x:v>0</x:v>
      </x:c>
      <x:c r="AK27" s="148" t="n">
        <x:f aca="0">IF(2027&lt;$F27,0,INDEX($I27:$AC27,1,2027-$F27+1))</x:f>
        <x:v>0</x:v>
      </x:c>
      <x:c r="AL27" s="148" t="n">
        <x:f aca="0">IF(2028&lt;$F27,0,INDEX($I27:$AC27,1,2028-$F27+1))</x:f>
        <x:v>0</x:v>
      </x:c>
      <x:c r="AM27" s="148" t="n">
        <x:f aca="0">IF(2029&lt;$F27,0,INDEX($I27:$AC27,1,2029-$F27+1))</x:f>
        <x:v>0</x:v>
      </x:c>
      <x:c r="AN27" s="148" t="n">
        <x:f aca="0">IF(2030&lt;$F27,0,INDEX($I27:$AC27,1,2030-$F27+1))</x:f>
        <x:v>0</x:v>
      </x:c>
      <x:c r="AO27" s="148" t="n">
        <x:f aca="0">IF(2031&lt;$F27,0,INDEX($I27:$AC27,1,2031-$F27+1))</x:f>
        <x:v>0</x:v>
      </x:c>
      <x:c r="AP27" s="148" t="n">
        <x:f aca="0">IF(2032&lt;$F27,0,INDEX($I27:$AC27,1,2032-$F27+1))</x:f>
        <x:v>0</x:v>
      </x:c>
      <x:c r="AQ27" s="148" t="n">
        <x:f aca="0">IF(2033&lt;$F27,0,INDEX($I27:$AC27,1,2033-$F27+1))</x:f>
        <x:v>0</x:v>
      </x:c>
      <x:c r="AR27" s="148" t="n">
        <x:f aca="0">IF(2034&lt;$F27,0,INDEX($I27:$AC27,1,2034-$F27+1))</x:f>
        <x:v>0</x:v>
      </x:c>
      <x:c r="AS27" s="148" t="n">
        <x:f aca="0">IF(2035&lt;$F27,0,INDEX($I27:$AC27,1,2035-$F27+1))</x:f>
        <x:v>0</x:v>
      </x:c>
      <x:c r="AT27" s="148" t="n">
        <x:f aca="0">IF(2036&lt;$F27,0,INDEX($I27:$AC27,1,2036-$F27+1))</x:f>
        <x:v>0</x:v>
      </x:c>
      <x:c r="AU27" s="148" t="n">
        <x:f aca="0">IF(2037&lt;$F27,0,INDEX($I27:$AC27,1,2037-$F27+1))</x:f>
        <x:v>0</x:v>
      </x:c>
      <x:c r="AV27" s="148" t="n">
        <x:f aca="0">IF(2038&lt;$F27,0,INDEX($I27:$AC27,1,2038-$F27+1))</x:f>
        <x:v>0</x:v>
      </x:c>
      <x:c r="AW27" s="148" t="n">
        <x:f aca="0">IF(2039&lt;$F27,0,INDEX($I27:$AC27,1,2039-$F27+1))</x:f>
        <x:v>0</x:v>
      </x:c>
      <x:c r="AX27" s="148" t="n">
        <x:f aca="0">IF(2040&lt;$F27,0,INDEX($I27:$AC27,1,2040-$F27+1))</x:f>
        <x:v>0</x:v>
      </x:c>
      <x:c r="AY27" s="1" t="str">
        <x:f aca="0">LEFT($C27,FIND("@",SUBSTITUTE($C27,"|","@",2))-1)</x:f>
        <x:v>Fruit Orchard|Low</x:v>
      </x:c>
      <x:c r="AZ27" s="1" t="str">
        <x:f aca="0">LEFT($C27,FIND("|",$C27)-1)</x:f>
        <x:v>Fruit Orchard</x:v>
      </x:c>
      <x:c r="BA27" s="149" t="n">
        <x:f aca="0">I27*I27</x:f>
        <x:v>0</x:v>
      </x:c>
      <x:c r="BB27" s="149" t="n">
        <x:f aca="0">J27*J27</x:f>
        <x:v>0.001594069430598435</x:v>
      </x:c>
      <x:c r="BC27" s="149" t="n">
        <x:f aca="0">K27*K27</x:f>
        <x:v>0.22976472626373376</x:v>
      </x:c>
      <x:c r="BD27" s="149" t="n">
        <x:f aca="0">L27*L27</x:f>
        <x:v>3.425812026691424</x:v>
      </x:c>
      <x:c r="BE27" s="149" t="n">
        <x:f aca="0">M27*M27</x:f>
        <x:v>20.575533720081257</x:v>
      </x:c>
      <x:c r="BF27" s="149" t="n">
        <x:f aca="0">N27*N27</x:f>
        <x:v>74.70231922871503</x:v>
      </x:c>
      <x:c r="BG27" s="149" t="n">
        <x:f aca="0">O27*O27</x:f>
        <x:v>198.19190955855657</x:v>
      </x:c>
      <x:c r="BH27" s="149" t="n">
        <x:f aca="0">P27*P27</x:f>
        <x:v>425.1164291728947</x:v>
      </x:c>
      <x:c r="BI27" s="149" t="n">
        <x:f aca="0">Q27*Q27</x:f>
        <x:v>783.0072330530213</x:v>
      </x:c>
      <x:c r="BJ27" s="149" t="n">
        <x:f aca="0">R27*R27</x:f>
        <x:v>1287.354553308731</x:v>
      </x:c>
      <x:c r="BK27" s="149" t="n">
        <x:f aca="0">S27*S27</x:f>
        <x:v>1939.8333641324243</x:v>
      </x:c>
      <x:c r="BL27" s="149" t="n">
        <x:f aca="0">T27*T27</x:f>
        <x:v>2729.614627885503</x:v>
      </x:c>
      <x:c r="BM27" s="149" t="n">
        <x:f aca="0">U27*U27</x:f>
        <x:v>3636.483985117608</x:v>
      </x:c>
      <x:c r="BN27" s="149" t="n">
        <x:f aca="0">V27*V27</x:f>
        <x:v>4634.552320161422</x:v>
      </x:c>
      <x:c r="BO27" s="149" t="n">
        <x:f aca="0">W27*W27</x:f>
        <x:v>5695.708793280357</x:v>
      </x:c>
      <x:c r="BP27" s="149" t="n">
        <x:f aca="0">X27*X27</x:f>
        <x:v>6792.367849621728</x:v>
      </x:c>
      <x:c r="BQ27" s="149" t="n">
        <x:f aca="0">Y27*Y27</x:f>
        <x:v>7899.372950363285</x:v>
      </x:c>
      <x:c r="BR27" s="149" t="n">
        <x:f aca="0">Z27*Z27</x:f>
        <x:v>8995.11310897333</x:v>
      </x:c>
      <x:c r="BS27" s="149" t="n">
        <x:f aca="0">AA27*AA27</x:f>
        <x:v>10062.001850155646</x:v>
      </x:c>
      <x:c r="BT27" s="149" t="n">
        <x:f aca="0">AB27*AB27</x:f>
        <x:v>11086.493723121483</x:v>
      </x:c>
      <x:c r="BU27" s="149" t="n">
        <x:f aca="0">AC27*AC27</x:f>
        <x:v>12058.800346110502</x:v>
      </x:c>
    </x:row>
    <x:row r="28" ht="15" hidden="0" customHeight="1">
      <x:c r="A28" s="1" t="str">
        <x:f aca="0">S13_PSP_Species_Support!A15</x:f>
        <x:v>PSP-HS-001</x:v>
      </x:c>
      <x:c r="B28" s="1" t="n">
        <x:f aca="0">15</x:f>
        <x:v>15</x:v>
      </x:c>
      <x:c r="C28" s="1" t="str">
        <x:f aca="0">S13_PSP_Species_Support!I15</x:f>
        <x:v>Horti-Silviculture|High|2020</x:v>
      </x:c>
      <x:c r="D28" s="1" t="str">
        <x:f aca="0">S13_PSP_Species_Support!C15</x:f>
        <x:v>Horti-Silviculture</x:v>
      </x:c>
      <x:c r="E28" s="1" t="str">
        <x:f aca="0">S13_PSP_Species_Support!D15</x:f>
        <x:v>High</x:v>
      </x:c>
      <x:c r="F28" s="1" t="n">
        <x:f aca="0">S13_PSP_Species_Support!E15</x:f>
        <x:v>2020</x:v>
      </x:c>
      <x:c r="G28" s="645" t="n">
        <x:f aca="0">'S13_PSP_Species_Support'!DJ15</x:f>
        <x:v>0.09</x:v>
      </x:c>
      <x:c r="H28" s="714" t="n">
        <x:f aca="0">'S13_PSP_Species_Support'!DK15</x:f>
        <x:v>227.7327935222672</x:v>
      </x:c>
      <x:c r="I28" s="147" t="n">
        <x:f aca="0">IFERROR((IFERROR(S13_PSP_Species_Support!U15*0.0673*(S13_PSP_Species_Support!V15*(S13_PSP_Species_Support!W15*(1-EXP(-S13_PSP_Species_Support!X15*0))^S13_PSP_Species_Support!Y15)^2*(S13_PSP_Species_Support!Z15*(1-EXP(-S13_PSP_Species_Support!AA15*0))^S13_PSP_Species_Support!AB15))^0.976,0)+IFERROR(S13_PSP_Species_Support!AF15*0.0673*(S13_PSP_Species_Support!AG15*(S13_PSP_Species_Support!AH15*(1-EXP(-S13_PSP_Species_Support!AI15*0))^S13_PSP_Species_Support!AJ15)^2*(S13_PSP_Species_Support!AK15*(1-EXP(-S13_PSP_Species_Support!AL15*0))^S13_PSP_Species_Support!AM15))^0.976,0)+IFERROR(S13_PSP_Species_Support!AQ15*0.0673*(S13_PSP_Species_Support!AR15*(S13_PSP_Species_Support!AS15*(1-EXP(-S13_PSP_Species_Support!AT15*0))^S13_PSP_Species_Support!AU15)^2*(S13_PSP_Species_Support!AV15*(1-EXP(-S13_PSP_Species_Support!AW15*0))^S13_PSP_Species_Support!AX15))^0.976,0)+IFERROR(S13_PSP_Species_Support!BB15*0.0673*(S13_PSP_Species_Support!BC15*(S13_PSP_Species_Support!BD15*(1-EXP(-S13_PSP_Species_Support!BE15*0))^S13_PSP_Species_Support!BF15)^2*(S13_PSP_Species_Support!BG15*(1-EXP(-S13_PSP_Species_Support!BH15*0))^S13_PSP_Species_Support!BI15))^0.976,0)+IFERROR(S13_PSP_Species_Support!BM15*0.0673*(S13_PSP_Species_Support!BN15*(S13_PSP_Species_Support!BO15*(1-EXP(-S13_PSP_Species_Support!BP15*0))^S13_PSP_Species_Support!BQ15)^2*(S13_PSP_Species_Support!BR15*(1-EXP(-S13_PSP_Species_Support!BS15*0))^S13_PSP_Species_Support!BT15))^0.976,0)+IFERROR(S13_PSP_Species_Support!BX15*0.0673*(S13_PSP_Species_Support!BY15*(S13_PSP_Species_Support!BZ15*(1-EXP(-S13_PSP_Species_Support!CA15*0))^S13_PSP_Species_Support!CB15)^2*(S13_PSP_Species_Support!CC15*(1-EXP(-S13_PSP_Species_Support!CD15*0))^S13_PSP_Species_Support!CE15))^0.976,0)+IFERROR(S13_PSP_Species_Support!CI15*0.0673*(S13_PSP_Species_Support!CJ15*(S13_PSP_Species_Support!CK15*(1-EXP(-S13_PSP_Species_Support!CL15*0))^S13_PSP_Species_Support!CM15)^2*(S13_PSP_Species_Support!CN15*(1-EXP(-S13_PSP_Species_Support!CO15*0))^S13_PSP_Species_Support!CP15))^0.976,0)+IFERROR(S13_PSP_Species_Support!CT15*0.0673*(S13_PSP_Species_Support!CU15*(S13_PSP_Species_Support!CV15*(1-EXP(-S13_PSP_Species_Support!CW15*0))^S13_PSP_Species_Support!CX15)^2*(S13_PSP_Species_Support!CY15*(1-EXP(-S13_PSP_Species_Support!CZ15*0))^S13_PSP_Species_Support!DA15))^0.976,0))/1000/$G28*I$108,0)</x:f>
        <x:v>0</x:v>
      </x:c>
      <x:c r="J28" s="147" t="n">
        <x:f aca="0">IFERROR((IFERROR(S13_PSP_Species_Support!U15*0.0673*(S13_PSP_Species_Support!V15*(S13_PSP_Species_Support!W15*(1-EXP(-S13_PSP_Species_Support!X15*1))^S13_PSP_Species_Support!Y15)^2*(S13_PSP_Species_Support!Z15*(1-EXP(-S13_PSP_Species_Support!AA15*1))^S13_PSP_Species_Support!AB15))^0.976,0)+IFERROR(S13_PSP_Species_Support!AF15*0.0673*(S13_PSP_Species_Support!AG15*(S13_PSP_Species_Support!AH15*(1-EXP(-S13_PSP_Species_Support!AI15*1))^S13_PSP_Species_Support!AJ15)^2*(S13_PSP_Species_Support!AK15*(1-EXP(-S13_PSP_Species_Support!AL15*1))^S13_PSP_Species_Support!AM15))^0.976,0)+IFERROR(S13_PSP_Species_Support!AQ15*0.0673*(S13_PSP_Species_Support!AR15*(S13_PSP_Species_Support!AS15*(1-EXP(-S13_PSP_Species_Support!AT15*1))^S13_PSP_Species_Support!AU15)^2*(S13_PSP_Species_Support!AV15*(1-EXP(-S13_PSP_Species_Support!AW15*1))^S13_PSP_Species_Support!AX15))^0.976,0)+IFERROR(S13_PSP_Species_Support!BB15*0.0673*(S13_PSP_Species_Support!BC15*(S13_PSP_Species_Support!BD15*(1-EXP(-S13_PSP_Species_Support!BE15*1))^S13_PSP_Species_Support!BF15)^2*(S13_PSP_Species_Support!BG15*(1-EXP(-S13_PSP_Species_Support!BH15*1))^S13_PSP_Species_Support!BI15))^0.976,0)+IFERROR(S13_PSP_Species_Support!BM15*0.0673*(S13_PSP_Species_Support!BN15*(S13_PSP_Species_Support!BO15*(1-EXP(-S13_PSP_Species_Support!BP15*1))^S13_PSP_Species_Support!BQ15)^2*(S13_PSP_Species_Support!BR15*(1-EXP(-S13_PSP_Species_Support!BS15*1))^S13_PSP_Species_Support!BT15))^0.976,0)+IFERROR(S13_PSP_Species_Support!BX15*0.0673*(S13_PSP_Species_Support!BY15*(S13_PSP_Species_Support!BZ15*(1-EXP(-S13_PSP_Species_Support!CA15*1))^S13_PSP_Species_Support!CB15)^2*(S13_PSP_Species_Support!CC15*(1-EXP(-S13_PSP_Species_Support!CD15*1))^S13_PSP_Species_Support!CE15))^0.976,0)+IFERROR(S13_PSP_Species_Support!CI15*0.0673*(S13_PSP_Species_Support!CJ15*(S13_PSP_Species_Support!CK15*(1-EXP(-S13_PSP_Species_Support!CL15*1))^S13_PSP_Species_Support!CM15)^2*(S13_PSP_Species_Support!CN15*(1-EXP(-S13_PSP_Species_Support!CO15*1))^S13_PSP_Species_Support!CP15))^0.976,0)+IFERROR(S13_PSP_Species_Support!CT15*0.0673*(S13_PSP_Species_Support!CU15*(S13_PSP_Species_Support!CV15*(1-EXP(-S13_PSP_Species_Support!CW15*1))^S13_PSP_Species_Support!CX15)^2*(S13_PSP_Species_Support!CY15*(1-EXP(-S13_PSP_Species_Support!CZ15*1))^S13_PSP_Species_Support!DA15))^0.976,0))/1000/$G28*J$108,0)</x:f>
        <x:v>3.3989264092205476</x:v>
      </x:c>
      <x:c r="K28" s="147" t="n">
        <x:f aca="0">IFERROR((IFERROR(S13_PSP_Species_Support!U15*0.0673*(S13_PSP_Species_Support!V15*(S13_PSP_Species_Support!W15*(1-EXP(-S13_PSP_Species_Support!X15*2))^S13_PSP_Species_Support!Y15)^2*(S13_PSP_Species_Support!Z15*(1-EXP(-S13_PSP_Species_Support!AA15*2))^S13_PSP_Species_Support!AB15))^0.976,0)+IFERROR(S13_PSP_Species_Support!AF15*0.0673*(S13_PSP_Species_Support!AG15*(S13_PSP_Species_Support!AH15*(1-EXP(-S13_PSP_Species_Support!AI15*2))^S13_PSP_Species_Support!AJ15)^2*(S13_PSP_Species_Support!AK15*(1-EXP(-S13_PSP_Species_Support!AL15*2))^S13_PSP_Species_Support!AM15))^0.976,0)+IFERROR(S13_PSP_Species_Support!AQ15*0.0673*(S13_PSP_Species_Support!AR15*(S13_PSP_Species_Support!AS15*(1-EXP(-S13_PSP_Species_Support!AT15*2))^S13_PSP_Species_Support!AU15)^2*(S13_PSP_Species_Support!AV15*(1-EXP(-S13_PSP_Species_Support!AW15*2))^S13_PSP_Species_Support!AX15))^0.976,0)+IFERROR(S13_PSP_Species_Support!BB15*0.0673*(S13_PSP_Species_Support!BC15*(S13_PSP_Species_Support!BD15*(1-EXP(-S13_PSP_Species_Support!BE15*2))^S13_PSP_Species_Support!BF15)^2*(S13_PSP_Species_Support!BG15*(1-EXP(-S13_PSP_Species_Support!BH15*2))^S13_PSP_Species_Support!BI15))^0.976,0)+IFERROR(S13_PSP_Species_Support!BM15*0.0673*(S13_PSP_Species_Support!BN15*(S13_PSP_Species_Support!BO15*(1-EXP(-S13_PSP_Species_Support!BP15*2))^S13_PSP_Species_Support!BQ15)^2*(S13_PSP_Species_Support!BR15*(1-EXP(-S13_PSP_Species_Support!BS15*2))^S13_PSP_Species_Support!BT15))^0.976,0)+IFERROR(S13_PSP_Species_Support!BX15*0.0673*(S13_PSP_Species_Support!BY15*(S13_PSP_Species_Support!BZ15*(1-EXP(-S13_PSP_Species_Support!CA15*2))^S13_PSP_Species_Support!CB15)^2*(S13_PSP_Species_Support!CC15*(1-EXP(-S13_PSP_Species_Support!CD15*2))^S13_PSP_Species_Support!CE15))^0.976,0)+IFERROR(S13_PSP_Species_Support!CI15*0.0673*(S13_PSP_Species_Support!CJ15*(S13_PSP_Species_Support!CK15*(1-EXP(-S13_PSP_Species_Support!CL15*2))^S13_PSP_Species_Support!CM15)^2*(S13_PSP_Species_Support!CN15*(1-EXP(-S13_PSP_Species_Support!CO15*2))^S13_PSP_Species_Support!CP15))^0.976,0)+IFERROR(S13_PSP_Species_Support!CT15*0.0673*(S13_PSP_Species_Support!CU15*(S13_PSP_Species_Support!CV15*(1-EXP(-S13_PSP_Species_Support!CW15*2))^S13_PSP_Species_Support!CX15)^2*(S13_PSP_Species_Support!CY15*(1-EXP(-S13_PSP_Species_Support!CZ15*2))^S13_PSP_Species_Support!DA15))^0.976,0))/1000/$G28*K$108,0)</x:f>
        <x:v>32.29884686280421</x:v>
      </x:c>
      <x:c r="L28" s="147" t="n">
        <x:f aca="0">IFERROR((IFERROR(S13_PSP_Species_Support!U15*0.0673*(S13_PSP_Species_Support!V15*(S13_PSP_Species_Support!W15*(1-EXP(-S13_PSP_Species_Support!X15*3))^S13_PSP_Species_Support!Y15)^2*(S13_PSP_Species_Support!Z15*(1-EXP(-S13_PSP_Species_Support!AA15*3))^S13_PSP_Species_Support!AB15))^0.976,0)+IFERROR(S13_PSP_Species_Support!AF15*0.0673*(S13_PSP_Species_Support!AG15*(S13_PSP_Species_Support!AH15*(1-EXP(-S13_PSP_Species_Support!AI15*3))^S13_PSP_Species_Support!AJ15)^2*(S13_PSP_Species_Support!AK15*(1-EXP(-S13_PSP_Species_Support!AL15*3))^S13_PSP_Species_Support!AM15))^0.976,0)+IFERROR(S13_PSP_Species_Support!AQ15*0.0673*(S13_PSP_Species_Support!AR15*(S13_PSP_Species_Support!AS15*(1-EXP(-S13_PSP_Species_Support!AT15*3))^S13_PSP_Species_Support!AU15)^2*(S13_PSP_Species_Support!AV15*(1-EXP(-S13_PSP_Species_Support!AW15*3))^S13_PSP_Species_Support!AX15))^0.976,0)+IFERROR(S13_PSP_Species_Support!BB15*0.0673*(S13_PSP_Species_Support!BC15*(S13_PSP_Species_Support!BD15*(1-EXP(-S13_PSP_Species_Support!BE15*3))^S13_PSP_Species_Support!BF15)^2*(S13_PSP_Species_Support!BG15*(1-EXP(-S13_PSP_Species_Support!BH15*3))^S13_PSP_Species_Support!BI15))^0.976,0)+IFERROR(S13_PSP_Species_Support!BM15*0.0673*(S13_PSP_Species_Support!BN15*(S13_PSP_Species_Support!BO15*(1-EXP(-S13_PSP_Species_Support!BP15*3))^S13_PSP_Species_Support!BQ15)^2*(S13_PSP_Species_Support!BR15*(1-EXP(-S13_PSP_Species_Support!BS15*3))^S13_PSP_Species_Support!BT15))^0.976,0)+IFERROR(S13_PSP_Species_Support!BX15*0.0673*(S13_PSP_Species_Support!BY15*(S13_PSP_Species_Support!BZ15*(1-EXP(-S13_PSP_Species_Support!CA15*3))^S13_PSP_Species_Support!CB15)^2*(S13_PSP_Species_Support!CC15*(1-EXP(-S13_PSP_Species_Support!CD15*3))^S13_PSP_Species_Support!CE15))^0.976,0)+IFERROR(S13_PSP_Species_Support!CI15*0.0673*(S13_PSP_Species_Support!CJ15*(S13_PSP_Species_Support!CK15*(1-EXP(-S13_PSP_Species_Support!CL15*3))^S13_PSP_Species_Support!CM15)^2*(S13_PSP_Species_Support!CN15*(1-EXP(-S13_PSP_Species_Support!CO15*3))^S13_PSP_Species_Support!CP15))^0.976,0)+IFERROR(S13_PSP_Species_Support!CT15*0.0673*(S13_PSP_Species_Support!CU15*(S13_PSP_Species_Support!CV15*(1-EXP(-S13_PSP_Species_Support!CW15*3))^S13_PSP_Species_Support!CX15)^2*(S13_PSP_Species_Support!CY15*(1-EXP(-S13_PSP_Species_Support!CZ15*3))^S13_PSP_Species_Support!DA15))^0.976,0))/1000/$G28*L$108,0)</x:f>
        <x:v>107.36076140114322</x:v>
      </x:c>
      <x:c r="M28" s="147" t="n">
        <x:f aca="0">IFERROR((IFERROR(S13_PSP_Species_Support!U15*0.0673*(S13_PSP_Species_Support!V15*(S13_PSP_Species_Support!W15*(1-EXP(-S13_PSP_Species_Support!X15*4))^S13_PSP_Species_Support!Y15)^2*(S13_PSP_Species_Support!Z15*(1-EXP(-S13_PSP_Species_Support!AA15*4))^S13_PSP_Species_Support!AB15))^0.976,0)+IFERROR(S13_PSP_Species_Support!AF15*0.0673*(S13_PSP_Species_Support!AG15*(S13_PSP_Species_Support!AH15*(1-EXP(-S13_PSP_Species_Support!AI15*4))^S13_PSP_Species_Support!AJ15)^2*(S13_PSP_Species_Support!AK15*(1-EXP(-S13_PSP_Species_Support!AL15*4))^S13_PSP_Species_Support!AM15))^0.976,0)+IFERROR(S13_PSP_Species_Support!AQ15*0.0673*(S13_PSP_Species_Support!AR15*(S13_PSP_Species_Support!AS15*(1-EXP(-S13_PSP_Species_Support!AT15*4))^S13_PSP_Species_Support!AU15)^2*(S13_PSP_Species_Support!AV15*(1-EXP(-S13_PSP_Species_Support!AW15*4))^S13_PSP_Species_Support!AX15))^0.976,0)+IFERROR(S13_PSP_Species_Support!BB15*0.0673*(S13_PSP_Species_Support!BC15*(S13_PSP_Species_Support!BD15*(1-EXP(-S13_PSP_Species_Support!BE15*4))^S13_PSP_Species_Support!BF15)^2*(S13_PSP_Species_Support!BG15*(1-EXP(-S13_PSP_Species_Support!BH15*4))^S13_PSP_Species_Support!BI15))^0.976,0)+IFERROR(S13_PSP_Species_Support!BM15*0.0673*(S13_PSP_Species_Support!BN15*(S13_PSP_Species_Support!BO15*(1-EXP(-S13_PSP_Species_Support!BP15*4))^S13_PSP_Species_Support!BQ15)^2*(S13_PSP_Species_Support!BR15*(1-EXP(-S13_PSP_Species_Support!BS15*4))^S13_PSP_Species_Support!BT15))^0.976,0)+IFERROR(S13_PSP_Species_Support!BX15*0.0673*(S13_PSP_Species_Support!BY15*(S13_PSP_Species_Support!BZ15*(1-EXP(-S13_PSP_Species_Support!CA15*4))^S13_PSP_Species_Support!CB15)^2*(S13_PSP_Species_Support!CC15*(1-EXP(-S13_PSP_Species_Support!CD15*4))^S13_PSP_Species_Support!CE15))^0.976,0)+IFERROR(S13_PSP_Species_Support!CI15*0.0673*(S13_PSP_Species_Support!CJ15*(S13_PSP_Species_Support!CK15*(1-EXP(-S13_PSP_Species_Support!CL15*4))^S13_PSP_Species_Support!CM15)^2*(S13_PSP_Species_Support!CN15*(1-EXP(-S13_PSP_Species_Support!CO15*4))^S13_PSP_Species_Support!CP15))^0.976,0)+IFERROR(S13_PSP_Species_Support!CT15*0.0673*(S13_PSP_Species_Support!CU15*(S13_PSP_Species_Support!CV15*(1-EXP(-S13_PSP_Species_Support!CW15*4))^S13_PSP_Species_Support!CX15)^2*(S13_PSP_Species_Support!CY15*(1-EXP(-S13_PSP_Species_Support!CZ15*4))^S13_PSP_Species_Support!DA15))^0.976,0))/1000/$G28*M$108,0)</x:f>
        <x:v>234.69325318365918</x:v>
      </x:c>
      <x:c r="N28" s="147" t="n">
        <x:f aca="0">IFERROR((IFERROR(S13_PSP_Species_Support!U15*0.0673*(S13_PSP_Species_Support!V15*(S13_PSP_Species_Support!W15*(1-EXP(-S13_PSP_Species_Support!X15*5))^S13_PSP_Species_Support!Y15)^2*(S13_PSP_Species_Support!Z15*(1-EXP(-S13_PSP_Species_Support!AA15*5))^S13_PSP_Species_Support!AB15))^0.976,0)+IFERROR(S13_PSP_Species_Support!AF15*0.0673*(S13_PSP_Species_Support!AG15*(S13_PSP_Species_Support!AH15*(1-EXP(-S13_PSP_Species_Support!AI15*5))^S13_PSP_Species_Support!AJ15)^2*(S13_PSP_Species_Support!AK15*(1-EXP(-S13_PSP_Species_Support!AL15*5))^S13_PSP_Species_Support!AM15))^0.976,0)+IFERROR(S13_PSP_Species_Support!AQ15*0.0673*(S13_PSP_Species_Support!AR15*(S13_PSP_Species_Support!AS15*(1-EXP(-S13_PSP_Species_Support!AT15*5))^S13_PSP_Species_Support!AU15)^2*(S13_PSP_Species_Support!AV15*(1-EXP(-S13_PSP_Species_Support!AW15*5))^S13_PSP_Species_Support!AX15))^0.976,0)+IFERROR(S13_PSP_Species_Support!BB15*0.0673*(S13_PSP_Species_Support!BC15*(S13_PSP_Species_Support!BD15*(1-EXP(-S13_PSP_Species_Support!BE15*5))^S13_PSP_Species_Support!BF15)^2*(S13_PSP_Species_Support!BG15*(1-EXP(-S13_PSP_Species_Support!BH15*5))^S13_PSP_Species_Support!BI15))^0.976,0)+IFERROR(S13_PSP_Species_Support!BM15*0.0673*(S13_PSP_Species_Support!BN15*(S13_PSP_Species_Support!BO15*(1-EXP(-S13_PSP_Species_Support!BP15*5))^S13_PSP_Species_Support!BQ15)^2*(S13_PSP_Species_Support!BR15*(1-EXP(-S13_PSP_Species_Support!BS15*5))^S13_PSP_Species_Support!BT15))^0.976,0)+IFERROR(S13_PSP_Species_Support!BX15*0.0673*(S13_PSP_Species_Support!BY15*(S13_PSP_Species_Support!BZ15*(1-EXP(-S13_PSP_Species_Support!CA15*5))^S13_PSP_Species_Support!CB15)^2*(S13_PSP_Species_Support!CC15*(1-EXP(-S13_PSP_Species_Support!CD15*5))^S13_PSP_Species_Support!CE15))^0.976,0)+IFERROR(S13_PSP_Species_Support!CI15*0.0673*(S13_PSP_Species_Support!CJ15*(S13_PSP_Species_Support!CK15*(1-EXP(-S13_PSP_Species_Support!CL15*5))^S13_PSP_Species_Support!CM15)^2*(S13_PSP_Species_Support!CN15*(1-EXP(-S13_PSP_Species_Support!CO15*5))^S13_PSP_Species_Support!CP15))^0.976,0)+IFERROR(S13_PSP_Species_Support!CT15*0.0673*(S13_PSP_Species_Support!CU15*(S13_PSP_Species_Support!CV15*(1-EXP(-S13_PSP_Species_Support!CW15*5))^S13_PSP_Species_Support!CX15)^2*(S13_PSP_Species_Support!CY15*(1-EXP(-S13_PSP_Species_Support!CZ15*5))^S13_PSP_Species_Support!DA15))^0.976,0))/1000/$G28*N$108,0)</x:f>
        <x:v>407.15689411895704</x:v>
      </x:c>
      <x:c r="O28" s="147" t="n">
        <x:f aca="0">IFERROR((IFERROR(S13_PSP_Species_Support!U15*0.0673*(S13_PSP_Species_Support!V15*(S13_PSP_Species_Support!W15*(1-EXP(-S13_PSP_Species_Support!X15*6))^S13_PSP_Species_Support!Y15)^2*(S13_PSP_Species_Support!Z15*(1-EXP(-S13_PSP_Species_Support!AA15*6))^S13_PSP_Species_Support!AB15))^0.976,0)+IFERROR(S13_PSP_Species_Support!AF15*0.0673*(S13_PSP_Species_Support!AG15*(S13_PSP_Species_Support!AH15*(1-EXP(-S13_PSP_Species_Support!AI15*6))^S13_PSP_Species_Support!AJ15)^2*(S13_PSP_Species_Support!AK15*(1-EXP(-S13_PSP_Species_Support!AL15*6))^S13_PSP_Species_Support!AM15))^0.976,0)+IFERROR(S13_PSP_Species_Support!AQ15*0.0673*(S13_PSP_Species_Support!AR15*(S13_PSP_Species_Support!AS15*(1-EXP(-S13_PSP_Species_Support!AT15*6))^S13_PSP_Species_Support!AU15)^2*(S13_PSP_Species_Support!AV15*(1-EXP(-S13_PSP_Species_Support!AW15*6))^S13_PSP_Species_Support!AX15))^0.976,0)+IFERROR(S13_PSP_Species_Support!BB15*0.0673*(S13_PSP_Species_Support!BC15*(S13_PSP_Species_Support!BD15*(1-EXP(-S13_PSP_Species_Support!BE15*6))^S13_PSP_Species_Support!BF15)^2*(S13_PSP_Species_Support!BG15*(1-EXP(-S13_PSP_Species_Support!BH15*6))^S13_PSP_Species_Support!BI15))^0.976,0)+IFERROR(S13_PSP_Species_Support!BM15*0.0673*(S13_PSP_Species_Support!BN15*(S13_PSP_Species_Support!BO15*(1-EXP(-S13_PSP_Species_Support!BP15*6))^S13_PSP_Species_Support!BQ15)^2*(S13_PSP_Species_Support!BR15*(1-EXP(-S13_PSP_Species_Support!BS15*6))^S13_PSP_Species_Support!BT15))^0.976,0)+IFERROR(S13_PSP_Species_Support!BX15*0.0673*(S13_PSP_Species_Support!BY15*(S13_PSP_Species_Support!BZ15*(1-EXP(-S13_PSP_Species_Support!CA15*6))^S13_PSP_Species_Support!CB15)^2*(S13_PSP_Species_Support!CC15*(1-EXP(-S13_PSP_Species_Support!CD15*6))^S13_PSP_Species_Support!CE15))^0.976,0)+IFERROR(S13_PSP_Species_Support!CI15*0.0673*(S13_PSP_Species_Support!CJ15*(S13_PSP_Species_Support!CK15*(1-EXP(-S13_PSP_Species_Support!CL15*6))^S13_PSP_Species_Support!CM15)^2*(S13_PSP_Species_Support!CN15*(1-EXP(-S13_PSP_Species_Support!CO15*6))^S13_PSP_Species_Support!CP15))^0.976,0)+IFERROR(S13_PSP_Species_Support!CT15*0.0673*(S13_PSP_Species_Support!CU15*(S13_PSP_Species_Support!CV15*(1-EXP(-S13_PSP_Species_Support!CW15*6))^S13_PSP_Species_Support!CX15)^2*(S13_PSP_Species_Support!CY15*(1-EXP(-S13_PSP_Species_Support!CZ15*6))^S13_PSP_Species_Support!DA15))^0.976,0))/1000/$G28*O$108,0)</x:f>
        <x:v>612.2277134023492</x:v>
      </x:c>
      <x:c r="P28" s="147" t="n">
        <x:f aca="0">IFERROR((IFERROR(S13_PSP_Species_Support!U15*0.0673*(S13_PSP_Species_Support!V15*(S13_PSP_Species_Support!W15*(1-EXP(-S13_PSP_Species_Support!X15*7))^S13_PSP_Species_Support!Y15)^2*(S13_PSP_Species_Support!Z15*(1-EXP(-S13_PSP_Species_Support!AA15*7))^S13_PSP_Species_Support!AB15))^0.976,0)+IFERROR(S13_PSP_Species_Support!AF15*0.0673*(S13_PSP_Species_Support!AG15*(S13_PSP_Species_Support!AH15*(1-EXP(-S13_PSP_Species_Support!AI15*7))^S13_PSP_Species_Support!AJ15)^2*(S13_PSP_Species_Support!AK15*(1-EXP(-S13_PSP_Species_Support!AL15*7))^S13_PSP_Species_Support!AM15))^0.976,0)+IFERROR(S13_PSP_Species_Support!AQ15*0.0673*(S13_PSP_Species_Support!AR15*(S13_PSP_Species_Support!AS15*(1-EXP(-S13_PSP_Species_Support!AT15*7))^S13_PSP_Species_Support!AU15)^2*(S13_PSP_Species_Support!AV15*(1-EXP(-S13_PSP_Species_Support!AW15*7))^S13_PSP_Species_Support!AX15))^0.976,0)+IFERROR(S13_PSP_Species_Support!BB15*0.0673*(S13_PSP_Species_Support!BC15*(S13_PSP_Species_Support!BD15*(1-EXP(-S13_PSP_Species_Support!BE15*7))^S13_PSP_Species_Support!BF15)^2*(S13_PSP_Species_Support!BG15*(1-EXP(-S13_PSP_Species_Support!BH15*7))^S13_PSP_Species_Support!BI15))^0.976,0)+IFERROR(S13_PSP_Species_Support!BM15*0.0673*(S13_PSP_Species_Support!BN15*(S13_PSP_Species_Support!BO15*(1-EXP(-S13_PSP_Species_Support!BP15*7))^S13_PSP_Species_Support!BQ15)^2*(S13_PSP_Species_Support!BR15*(1-EXP(-S13_PSP_Species_Support!BS15*7))^S13_PSP_Species_Support!BT15))^0.976,0)+IFERROR(S13_PSP_Species_Support!BX15*0.0673*(S13_PSP_Species_Support!BY15*(S13_PSP_Species_Support!BZ15*(1-EXP(-S13_PSP_Species_Support!CA15*7))^S13_PSP_Species_Support!CB15)^2*(S13_PSP_Species_Support!CC15*(1-EXP(-S13_PSP_Species_Support!CD15*7))^S13_PSP_Species_Support!CE15))^0.976,0)+IFERROR(S13_PSP_Species_Support!CI15*0.0673*(S13_PSP_Species_Support!CJ15*(S13_PSP_Species_Support!CK15*(1-EXP(-S13_PSP_Species_Support!CL15*7))^S13_PSP_Species_Support!CM15)^2*(S13_PSP_Species_Support!CN15*(1-EXP(-S13_PSP_Species_Support!CO15*7))^S13_PSP_Species_Support!CP15))^0.976,0)+IFERROR(S13_PSP_Species_Support!CT15*0.0673*(S13_PSP_Species_Support!CU15*(S13_PSP_Species_Support!CV15*(1-EXP(-S13_PSP_Species_Support!CW15*7))^S13_PSP_Species_Support!CX15)^2*(S13_PSP_Species_Support!CY15*(1-EXP(-S13_PSP_Species_Support!CZ15*7))^S13_PSP_Species_Support!DA15))^0.976,0))/1000/$G28*P$108,0)</x:f>
        <x:v>836.2750224744864</x:v>
      </x:c>
      <x:c r="Q28" s="147" t="n">
        <x:f aca="0">IFERROR((IFERROR(S13_PSP_Species_Support!U15*0.0673*(S13_PSP_Species_Support!V15*(S13_PSP_Species_Support!W15*(1-EXP(-S13_PSP_Species_Support!X15*8))^S13_PSP_Species_Support!Y15)^2*(S13_PSP_Species_Support!Z15*(1-EXP(-S13_PSP_Species_Support!AA15*8))^S13_PSP_Species_Support!AB15))^0.976,0)+IFERROR(S13_PSP_Species_Support!AF15*0.0673*(S13_PSP_Species_Support!AG15*(S13_PSP_Species_Support!AH15*(1-EXP(-S13_PSP_Species_Support!AI15*8))^S13_PSP_Species_Support!AJ15)^2*(S13_PSP_Species_Support!AK15*(1-EXP(-S13_PSP_Species_Support!AL15*8))^S13_PSP_Species_Support!AM15))^0.976,0)+IFERROR(S13_PSP_Species_Support!AQ15*0.0673*(S13_PSP_Species_Support!AR15*(S13_PSP_Species_Support!AS15*(1-EXP(-S13_PSP_Species_Support!AT15*8))^S13_PSP_Species_Support!AU15)^2*(S13_PSP_Species_Support!AV15*(1-EXP(-S13_PSP_Species_Support!AW15*8))^S13_PSP_Species_Support!AX15))^0.976,0)+IFERROR(S13_PSP_Species_Support!BB15*0.0673*(S13_PSP_Species_Support!BC15*(S13_PSP_Species_Support!BD15*(1-EXP(-S13_PSP_Species_Support!BE15*8))^S13_PSP_Species_Support!BF15)^2*(S13_PSP_Species_Support!BG15*(1-EXP(-S13_PSP_Species_Support!BH15*8))^S13_PSP_Species_Support!BI15))^0.976,0)+IFERROR(S13_PSP_Species_Support!BM15*0.0673*(S13_PSP_Species_Support!BN15*(S13_PSP_Species_Support!BO15*(1-EXP(-S13_PSP_Species_Support!BP15*8))^S13_PSP_Species_Support!BQ15)^2*(S13_PSP_Species_Support!BR15*(1-EXP(-S13_PSP_Species_Support!BS15*8))^S13_PSP_Species_Support!BT15))^0.976,0)+IFERROR(S13_PSP_Species_Support!BX15*0.0673*(S13_PSP_Species_Support!BY15*(S13_PSP_Species_Support!BZ15*(1-EXP(-S13_PSP_Species_Support!CA15*8))^S13_PSP_Species_Support!CB15)^2*(S13_PSP_Species_Support!CC15*(1-EXP(-S13_PSP_Species_Support!CD15*8))^S13_PSP_Species_Support!CE15))^0.976,0)+IFERROR(S13_PSP_Species_Support!CI15*0.0673*(S13_PSP_Species_Support!CJ15*(S13_PSP_Species_Support!CK15*(1-EXP(-S13_PSP_Species_Support!CL15*8))^S13_PSP_Species_Support!CM15)^2*(S13_PSP_Species_Support!CN15*(1-EXP(-S13_PSP_Species_Support!CO15*8))^S13_PSP_Species_Support!CP15))^0.976,0)+IFERROR(S13_PSP_Species_Support!CT15*0.0673*(S13_PSP_Species_Support!CU15*(S13_PSP_Species_Support!CV15*(1-EXP(-S13_PSP_Species_Support!CW15*8))^S13_PSP_Species_Support!CX15)^2*(S13_PSP_Species_Support!CY15*(1-EXP(-S13_PSP_Species_Support!CZ15*8))^S13_PSP_Species_Support!DA15))^0.976,0))/1000/$G28*Q$108,0)</x:f>
        <x:v>1067.1161442351645</x:v>
      </x:c>
      <x:c r="R28" s="147" t="n">
        <x:f aca="0">IFERROR((IFERROR(S13_PSP_Species_Support!U15*0.0673*(S13_PSP_Species_Support!V15*(S13_PSP_Species_Support!W15*(1-EXP(-S13_PSP_Species_Support!X15*9))^S13_PSP_Species_Support!Y15)^2*(S13_PSP_Species_Support!Z15*(1-EXP(-S13_PSP_Species_Support!AA15*9))^S13_PSP_Species_Support!AB15))^0.976,0)+IFERROR(S13_PSP_Species_Support!AF15*0.0673*(S13_PSP_Species_Support!AG15*(S13_PSP_Species_Support!AH15*(1-EXP(-S13_PSP_Species_Support!AI15*9))^S13_PSP_Species_Support!AJ15)^2*(S13_PSP_Species_Support!AK15*(1-EXP(-S13_PSP_Species_Support!AL15*9))^S13_PSP_Species_Support!AM15))^0.976,0)+IFERROR(S13_PSP_Species_Support!AQ15*0.0673*(S13_PSP_Species_Support!AR15*(S13_PSP_Species_Support!AS15*(1-EXP(-S13_PSP_Species_Support!AT15*9))^S13_PSP_Species_Support!AU15)^2*(S13_PSP_Species_Support!AV15*(1-EXP(-S13_PSP_Species_Support!AW15*9))^S13_PSP_Species_Support!AX15))^0.976,0)+IFERROR(S13_PSP_Species_Support!BB15*0.0673*(S13_PSP_Species_Support!BC15*(S13_PSP_Species_Support!BD15*(1-EXP(-S13_PSP_Species_Support!BE15*9))^S13_PSP_Species_Support!BF15)^2*(S13_PSP_Species_Support!BG15*(1-EXP(-S13_PSP_Species_Support!BH15*9))^S13_PSP_Species_Support!BI15))^0.976,0)+IFERROR(S13_PSP_Species_Support!BM15*0.0673*(S13_PSP_Species_Support!BN15*(S13_PSP_Species_Support!BO15*(1-EXP(-S13_PSP_Species_Support!BP15*9))^S13_PSP_Species_Support!BQ15)^2*(S13_PSP_Species_Support!BR15*(1-EXP(-S13_PSP_Species_Support!BS15*9))^S13_PSP_Species_Support!BT15))^0.976,0)+IFERROR(S13_PSP_Species_Support!BX15*0.0673*(S13_PSP_Species_Support!BY15*(S13_PSP_Species_Support!BZ15*(1-EXP(-S13_PSP_Species_Support!CA15*9))^S13_PSP_Species_Support!CB15)^2*(S13_PSP_Species_Support!CC15*(1-EXP(-S13_PSP_Species_Support!CD15*9))^S13_PSP_Species_Support!CE15))^0.976,0)+IFERROR(S13_PSP_Species_Support!CI15*0.0673*(S13_PSP_Species_Support!CJ15*(S13_PSP_Species_Support!CK15*(1-EXP(-S13_PSP_Species_Support!CL15*9))^S13_PSP_Species_Support!CM15)^2*(S13_PSP_Species_Support!CN15*(1-EXP(-S13_PSP_Species_Support!CO15*9))^S13_PSP_Species_Support!CP15))^0.976,0)+IFERROR(S13_PSP_Species_Support!CT15*0.0673*(S13_PSP_Species_Support!CU15*(S13_PSP_Species_Support!CV15*(1-EXP(-S13_PSP_Species_Support!CW15*9))^S13_PSP_Species_Support!CX15)^2*(S13_PSP_Species_Support!CY15*(1-EXP(-S13_PSP_Species_Support!CZ15*9))^S13_PSP_Species_Support!DA15))^0.976,0))/1000/$G28*R$108,0)</x:f>
        <x:v>1295.0841091569819</x:v>
      </x:c>
      <x:c r="S28" s="147" t="n">
        <x:f aca="0">IFERROR((IFERROR(S13_PSP_Species_Support!U15*0.0673*(S13_PSP_Species_Support!V15*(S13_PSP_Species_Support!W15*(1-EXP(-S13_PSP_Species_Support!X15*10))^S13_PSP_Species_Support!Y15)^2*(S13_PSP_Species_Support!Z15*(1-EXP(-S13_PSP_Species_Support!AA15*10))^S13_PSP_Species_Support!AB15))^0.976,0)+IFERROR(S13_PSP_Species_Support!AF15*0.0673*(S13_PSP_Species_Support!AG15*(S13_PSP_Species_Support!AH15*(1-EXP(-S13_PSP_Species_Support!AI15*10))^S13_PSP_Species_Support!AJ15)^2*(S13_PSP_Species_Support!AK15*(1-EXP(-S13_PSP_Species_Support!AL15*10))^S13_PSP_Species_Support!AM15))^0.976,0)+IFERROR(S13_PSP_Species_Support!AQ15*0.0673*(S13_PSP_Species_Support!AR15*(S13_PSP_Species_Support!AS15*(1-EXP(-S13_PSP_Species_Support!AT15*10))^S13_PSP_Species_Support!AU15)^2*(S13_PSP_Species_Support!AV15*(1-EXP(-S13_PSP_Species_Support!AW15*10))^S13_PSP_Species_Support!AX15))^0.976,0)+IFERROR(S13_PSP_Species_Support!BB15*0.0673*(S13_PSP_Species_Support!BC15*(S13_PSP_Species_Support!BD15*(1-EXP(-S13_PSP_Species_Support!BE15*10))^S13_PSP_Species_Support!BF15)^2*(S13_PSP_Species_Support!BG15*(1-EXP(-S13_PSP_Species_Support!BH15*10))^S13_PSP_Species_Support!BI15))^0.976,0)+IFERROR(S13_PSP_Species_Support!BM15*0.0673*(S13_PSP_Species_Support!BN15*(S13_PSP_Species_Support!BO15*(1-EXP(-S13_PSP_Species_Support!BP15*10))^S13_PSP_Species_Support!BQ15)^2*(S13_PSP_Species_Support!BR15*(1-EXP(-S13_PSP_Species_Support!BS15*10))^S13_PSP_Species_Support!BT15))^0.976,0)+IFERROR(S13_PSP_Species_Support!BX15*0.0673*(S13_PSP_Species_Support!BY15*(S13_PSP_Species_Support!BZ15*(1-EXP(-S13_PSP_Species_Support!CA15*10))^S13_PSP_Species_Support!CB15)^2*(S13_PSP_Species_Support!CC15*(1-EXP(-S13_PSP_Species_Support!CD15*10))^S13_PSP_Species_Support!CE15))^0.976,0)+IFERROR(S13_PSP_Species_Support!CI15*0.0673*(S13_PSP_Species_Support!CJ15*(S13_PSP_Species_Support!CK15*(1-EXP(-S13_PSP_Species_Support!CL15*10))^S13_PSP_Species_Support!CM15)^2*(S13_PSP_Species_Support!CN15*(1-EXP(-S13_PSP_Species_Support!CO15*10))^S13_PSP_Species_Support!CP15))^0.976,0)+IFERROR(S13_PSP_Species_Support!CT15*0.0673*(S13_PSP_Species_Support!CU15*(S13_PSP_Species_Support!CV15*(1-EXP(-S13_PSP_Species_Support!CW15*10))^S13_PSP_Species_Support!CX15)^2*(S13_PSP_Species_Support!CY15*(1-EXP(-S13_PSP_Species_Support!CZ15*10))^S13_PSP_Species_Support!DA15))^0.976,0))/1000/$G28*S$108,0)</x:f>
        <x:v>1513.2053731181468</x:v>
      </x:c>
      <x:c r="T28" s="147" t="n">
        <x:f aca="0">IFERROR((IFERROR(S13_PSP_Species_Support!U15*0.0673*(S13_PSP_Species_Support!V15*(S13_PSP_Species_Support!W15*(1-EXP(-S13_PSP_Species_Support!X15*11))^S13_PSP_Species_Support!Y15)^2*(S13_PSP_Species_Support!Z15*(1-EXP(-S13_PSP_Species_Support!AA15*11))^S13_PSP_Species_Support!AB15))^0.976,0)+IFERROR(S13_PSP_Species_Support!AF15*0.0673*(S13_PSP_Species_Support!AG15*(S13_PSP_Species_Support!AH15*(1-EXP(-S13_PSP_Species_Support!AI15*11))^S13_PSP_Species_Support!AJ15)^2*(S13_PSP_Species_Support!AK15*(1-EXP(-S13_PSP_Species_Support!AL15*11))^S13_PSP_Species_Support!AM15))^0.976,0)+IFERROR(S13_PSP_Species_Support!AQ15*0.0673*(S13_PSP_Species_Support!AR15*(S13_PSP_Species_Support!AS15*(1-EXP(-S13_PSP_Species_Support!AT15*11))^S13_PSP_Species_Support!AU15)^2*(S13_PSP_Species_Support!AV15*(1-EXP(-S13_PSP_Species_Support!AW15*11))^S13_PSP_Species_Support!AX15))^0.976,0)+IFERROR(S13_PSP_Species_Support!BB15*0.0673*(S13_PSP_Species_Support!BC15*(S13_PSP_Species_Support!BD15*(1-EXP(-S13_PSP_Species_Support!BE15*11))^S13_PSP_Species_Support!BF15)^2*(S13_PSP_Species_Support!BG15*(1-EXP(-S13_PSP_Species_Support!BH15*11))^S13_PSP_Species_Support!BI15))^0.976,0)+IFERROR(S13_PSP_Species_Support!BM15*0.0673*(S13_PSP_Species_Support!BN15*(S13_PSP_Species_Support!BO15*(1-EXP(-S13_PSP_Species_Support!BP15*11))^S13_PSP_Species_Support!BQ15)^2*(S13_PSP_Species_Support!BR15*(1-EXP(-S13_PSP_Species_Support!BS15*11))^S13_PSP_Species_Support!BT15))^0.976,0)+IFERROR(S13_PSP_Species_Support!BX15*0.0673*(S13_PSP_Species_Support!BY15*(S13_PSP_Species_Support!BZ15*(1-EXP(-S13_PSP_Species_Support!CA15*11))^S13_PSP_Species_Support!CB15)^2*(S13_PSP_Species_Support!CC15*(1-EXP(-S13_PSP_Species_Support!CD15*11))^S13_PSP_Species_Support!CE15))^0.976,0)+IFERROR(S13_PSP_Species_Support!CI15*0.0673*(S13_PSP_Species_Support!CJ15*(S13_PSP_Species_Support!CK15*(1-EXP(-S13_PSP_Species_Support!CL15*11))^S13_PSP_Species_Support!CM15)^2*(S13_PSP_Species_Support!CN15*(1-EXP(-S13_PSP_Species_Support!CO15*11))^S13_PSP_Species_Support!CP15))^0.976,0)+IFERROR(S13_PSP_Species_Support!CT15*0.0673*(S13_PSP_Species_Support!CU15*(S13_PSP_Species_Support!CV15*(1-EXP(-S13_PSP_Species_Support!CW15*11))^S13_PSP_Species_Support!CX15)^2*(S13_PSP_Species_Support!CY15*(1-EXP(-S13_PSP_Species_Support!CZ15*11))^S13_PSP_Species_Support!DA15))^0.976,0))/1000/$G28*T$108,0)</x:f>
        <x:v>1716.9258849029547</x:v>
      </x:c>
      <x:c r="U28" s="147" t="n">
        <x:f aca="0">IFERROR((IFERROR(S13_PSP_Species_Support!U15*0.0673*(S13_PSP_Species_Support!V15*(S13_PSP_Species_Support!W15*(1-EXP(-S13_PSP_Species_Support!X15*12))^S13_PSP_Species_Support!Y15)^2*(S13_PSP_Species_Support!Z15*(1-EXP(-S13_PSP_Species_Support!AA15*12))^S13_PSP_Species_Support!AB15))^0.976,0)+IFERROR(S13_PSP_Species_Support!AF15*0.0673*(S13_PSP_Species_Support!AG15*(S13_PSP_Species_Support!AH15*(1-EXP(-S13_PSP_Species_Support!AI15*12))^S13_PSP_Species_Support!AJ15)^2*(S13_PSP_Species_Support!AK15*(1-EXP(-S13_PSP_Species_Support!AL15*12))^S13_PSP_Species_Support!AM15))^0.976,0)+IFERROR(S13_PSP_Species_Support!AQ15*0.0673*(S13_PSP_Species_Support!AR15*(S13_PSP_Species_Support!AS15*(1-EXP(-S13_PSP_Species_Support!AT15*12))^S13_PSP_Species_Support!AU15)^2*(S13_PSP_Species_Support!AV15*(1-EXP(-S13_PSP_Species_Support!AW15*12))^S13_PSP_Species_Support!AX15))^0.976,0)+IFERROR(S13_PSP_Species_Support!BB15*0.0673*(S13_PSP_Species_Support!BC15*(S13_PSP_Species_Support!BD15*(1-EXP(-S13_PSP_Species_Support!BE15*12))^S13_PSP_Species_Support!BF15)^2*(S13_PSP_Species_Support!BG15*(1-EXP(-S13_PSP_Species_Support!BH15*12))^S13_PSP_Species_Support!BI15))^0.976,0)+IFERROR(S13_PSP_Species_Support!BM15*0.0673*(S13_PSP_Species_Support!BN15*(S13_PSP_Species_Support!BO15*(1-EXP(-S13_PSP_Species_Support!BP15*12))^S13_PSP_Species_Support!BQ15)^2*(S13_PSP_Species_Support!BR15*(1-EXP(-S13_PSP_Species_Support!BS15*12))^S13_PSP_Species_Support!BT15))^0.976,0)+IFERROR(S13_PSP_Species_Support!BX15*0.0673*(S13_PSP_Species_Support!BY15*(S13_PSP_Species_Support!BZ15*(1-EXP(-S13_PSP_Species_Support!CA15*12))^S13_PSP_Species_Support!CB15)^2*(S13_PSP_Species_Support!CC15*(1-EXP(-S13_PSP_Species_Support!CD15*12))^S13_PSP_Species_Support!CE15))^0.976,0)+IFERROR(S13_PSP_Species_Support!CI15*0.0673*(S13_PSP_Species_Support!CJ15*(S13_PSP_Species_Support!CK15*(1-EXP(-S13_PSP_Species_Support!CL15*12))^S13_PSP_Species_Support!CM15)^2*(S13_PSP_Species_Support!CN15*(1-EXP(-S13_PSP_Species_Support!CO15*12))^S13_PSP_Species_Support!CP15))^0.976,0)+IFERROR(S13_PSP_Species_Support!CT15*0.0673*(S13_PSP_Species_Support!CU15*(S13_PSP_Species_Support!CV15*(1-EXP(-S13_PSP_Species_Support!CW15*12))^S13_PSP_Species_Support!CX15)^2*(S13_PSP_Species_Support!CY15*(1-EXP(-S13_PSP_Species_Support!CZ15*12))^S13_PSP_Species_Support!DA15))^0.976,0))/1000/$G28*U$108,0)</x:f>
        <x:v>1903.6597798283833</x:v>
      </x:c>
      <x:c r="V28" s="147" t="n">
        <x:f aca="0">IFERROR((IFERROR(S13_PSP_Species_Support!U15*0.0673*(S13_PSP_Species_Support!V15*(S13_PSP_Species_Support!W15*(1-EXP(-S13_PSP_Species_Support!X15*13))^S13_PSP_Species_Support!Y15)^2*(S13_PSP_Species_Support!Z15*(1-EXP(-S13_PSP_Species_Support!AA15*13))^S13_PSP_Species_Support!AB15))^0.976,0)+IFERROR(S13_PSP_Species_Support!AF15*0.0673*(S13_PSP_Species_Support!AG15*(S13_PSP_Species_Support!AH15*(1-EXP(-S13_PSP_Species_Support!AI15*13))^S13_PSP_Species_Support!AJ15)^2*(S13_PSP_Species_Support!AK15*(1-EXP(-S13_PSP_Species_Support!AL15*13))^S13_PSP_Species_Support!AM15))^0.976,0)+IFERROR(S13_PSP_Species_Support!AQ15*0.0673*(S13_PSP_Species_Support!AR15*(S13_PSP_Species_Support!AS15*(1-EXP(-S13_PSP_Species_Support!AT15*13))^S13_PSP_Species_Support!AU15)^2*(S13_PSP_Species_Support!AV15*(1-EXP(-S13_PSP_Species_Support!AW15*13))^S13_PSP_Species_Support!AX15))^0.976,0)+IFERROR(S13_PSP_Species_Support!BB15*0.0673*(S13_PSP_Species_Support!BC15*(S13_PSP_Species_Support!BD15*(1-EXP(-S13_PSP_Species_Support!BE15*13))^S13_PSP_Species_Support!BF15)^2*(S13_PSP_Species_Support!BG15*(1-EXP(-S13_PSP_Species_Support!BH15*13))^S13_PSP_Species_Support!BI15))^0.976,0)+IFERROR(S13_PSP_Species_Support!BM15*0.0673*(S13_PSP_Species_Support!BN15*(S13_PSP_Species_Support!BO15*(1-EXP(-S13_PSP_Species_Support!BP15*13))^S13_PSP_Species_Support!BQ15)^2*(S13_PSP_Species_Support!BR15*(1-EXP(-S13_PSP_Species_Support!BS15*13))^S13_PSP_Species_Support!BT15))^0.976,0)+IFERROR(S13_PSP_Species_Support!BX15*0.0673*(S13_PSP_Species_Support!BY15*(S13_PSP_Species_Support!BZ15*(1-EXP(-S13_PSP_Species_Support!CA15*13))^S13_PSP_Species_Support!CB15)^2*(S13_PSP_Species_Support!CC15*(1-EXP(-S13_PSP_Species_Support!CD15*13))^S13_PSP_Species_Support!CE15))^0.976,0)+IFERROR(S13_PSP_Species_Support!CI15*0.0673*(S13_PSP_Species_Support!CJ15*(S13_PSP_Species_Support!CK15*(1-EXP(-S13_PSP_Species_Support!CL15*13))^S13_PSP_Species_Support!CM15)^2*(S13_PSP_Species_Support!CN15*(1-EXP(-S13_PSP_Species_Support!CO15*13))^S13_PSP_Species_Support!CP15))^0.976,0)+IFERROR(S13_PSP_Species_Support!CT15*0.0673*(S13_PSP_Species_Support!CU15*(S13_PSP_Species_Support!CV15*(1-EXP(-S13_PSP_Species_Support!CW15*13))^S13_PSP_Species_Support!CX15)^2*(S13_PSP_Species_Support!CY15*(1-EXP(-S13_PSP_Species_Support!CZ15*13))^S13_PSP_Species_Support!DA15))^0.976,0))/1000/$G28*V$108,0)</x:f>
        <x:v>2072.31306039859</x:v>
      </x:c>
      <x:c r="W28" s="147" t="n">
        <x:f aca="0">IFERROR((IFERROR(S13_PSP_Species_Support!U15*0.0673*(S13_PSP_Species_Support!V15*(S13_PSP_Species_Support!W15*(1-EXP(-S13_PSP_Species_Support!X15*14))^S13_PSP_Species_Support!Y15)^2*(S13_PSP_Species_Support!Z15*(1-EXP(-S13_PSP_Species_Support!AA15*14))^S13_PSP_Species_Support!AB15))^0.976,0)+IFERROR(S13_PSP_Species_Support!AF15*0.0673*(S13_PSP_Species_Support!AG15*(S13_PSP_Species_Support!AH15*(1-EXP(-S13_PSP_Species_Support!AI15*14))^S13_PSP_Species_Support!AJ15)^2*(S13_PSP_Species_Support!AK15*(1-EXP(-S13_PSP_Species_Support!AL15*14))^S13_PSP_Species_Support!AM15))^0.976,0)+IFERROR(S13_PSP_Species_Support!AQ15*0.0673*(S13_PSP_Species_Support!AR15*(S13_PSP_Species_Support!AS15*(1-EXP(-S13_PSP_Species_Support!AT15*14))^S13_PSP_Species_Support!AU15)^2*(S13_PSP_Species_Support!AV15*(1-EXP(-S13_PSP_Species_Support!AW15*14))^S13_PSP_Species_Support!AX15))^0.976,0)+IFERROR(S13_PSP_Species_Support!BB15*0.0673*(S13_PSP_Species_Support!BC15*(S13_PSP_Species_Support!BD15*(1-EXP(-S13_PSP_Species_Support!BE15*14))^S13_PSP_Species_Support!BF15)^2*(S13_PSP_Species_Support!BG15*(1-EXP(-S13_PSP_Species_Support!BH15*14))^S13_PSP_Species_Support!BI15))^0.976,0)+IFERROR(S13_PSP_Species_Support!BM15*0.0673*(S13_PSP_Species_Support!BN15*(S13_PSP_Species_Support!BO15*(1-EXP(-S13_PSP_Species_Support!BP15*14))^S13_PSP_Species_Support!BQ15)^2*(S13_PSP_Species_Support!BR15*(1-EXP(-S13_PSP_Species_Support!BS15*14))^S13_PSP_Species_Support!BT15))^0.976,0)+IFERROR(S13_PSP_Species_Support!BX15*0.0673*(S13_PSP_Species_Support!BY15*(S13_PSP_Species_Support!BZ15*(1-EXP(-S13_PSP_Species_Support!CA15*14))^S13_PSP_Species_Support!CB15)^2*(S13_PSP_Species_Support!CC15*(1-EXP(-S13_PSP_Species_Support!CD15*14))^S13_PSP_Species_Support!CE15))^0.976,0)+IFERROR(S13_PSP_Species_Support!CI15*0.0673*(S13_PSP_Species_Support!CJ15*(S13_PSP_Species_Support!CK15*(1-EXP(-S13_PSP_Species_Support!CL15*14))^S13_PSP_Species_Support!CM15)^2*(S13_PSP_Species_Support!CN15*(1-EXP(-S13_PSP_Species_Support!CO15*14))^S13_PSP_Species_Support!CP15))^0.976,0)+IFERROR(S13_PSP_Species_Support!CT15*0.0673*(S13_PSP_Species_Support!CU15*(S13_PSP_Species_Support!CV15*(1-EXP(-S13_PSP_Species_Support!CW15*14))^S13_PSP_Species_Support!CX15)^2*(S13_PSP_Species_Support!CY15*(1-EXP(-S13_PSP_Species_Support!CZ15*14))^S13_PSP_Species_Support!DA15))^0.976,0))/1000/$G28*W$108,0)</x:f>
        <x:v>2222.855988980636</x:v>
      </x:c>
      <x:c r="X28" s="147" t="n">
        <x:f aca="0">IFERROR((IFERROR(S13_PSP_Species_Support!U15*0.0673*(S13_PSP_Species_Support!V15*(S13_PSP_Species_Support!W15*(1-EXP(-S13_PSP_Species_Support!X15*15))^S13_PSP_Species_Support!Y15)^2*(S13_PSP_Species_Support!Z15*(1-EXP(-S13_PSP_Species_Support!AA15*15))^S13_PSP_Species_Support!AB15))^0.976,0)+IFERROR(S13_PSP_Species_Support!AF15*0.0673*(S13_PSP_Species_Support!AG15*(S13_PSP_Species_Support!AH15*(1-EXP(-S13_PSP_Species_Support!AI15*15))^S13_PSP_Species_Support!AJ15)^2*(S13_PSP_Species_Support!AK15*(1-EXP(-S13_PSP_Species_Support!AL15*15))^S13_PSP_Species_Support!AM15))^0.976,0)+IFERROR(S13_PSP_Species_Support!AQ15*0.0673*(S13_PSP_Species_Support!AR15*(S13_PSP_Species_Support!AS15*(1-EXP(-S13_PSP_Species_Support!AT15*15))^S13_PSP_Species_Support!AU15)^2*(S13_PSP_Species_Support!AV15*(1-EXP(-S13_PSP_Species_Support!AW15*15))^S13_PSP_Species_Support!AX15))^0.976,0)+IFERROR(S13_PSP_Species_Support!BB15*0.0673*(S13_PSP_Species_Support!BC15*(S13_PSP_Species_Support!BD15*(1-EXP(-S13_PSP_Species_Support!BE15*15))^S13_PSP_Species_Support!BF15)^2*(S13_PSP_Species_Support!BG15*(1-EXP(-S13_PSP_Species_Support!BH15*15))^S13_PSP_Species_Support!BI15))^0.976,0)+IFERROR(S13_PSP_Species_Support!BM15*0.0673*(S13_PSP_Species_Support!BN15*(S13_PSP_Species_Support!BO15*(1-EXP(-S13_PSP_Species_Support!BP15*15))^S13_PSP_Species_Support!BQ15)^2*(S13_PSP_Species_Support!BR15*(1-EXP(-S13_PSP_Species_Support!BS15*15))^S13_PSP_Species_Support!BT15))^0.976,0)+IFERROR(S13_PSP_Species_Support!BX15*0.0673*(S13_PSP_Species_Support!BY15*(S13_PSP_Species_Support!BZ15*(1-EXP(-S13_PSP_Species_Support!CA15*15))^S13_PSP_Species_Support!CB15)^2*(S13_PSP_Species_Support!CC15*(1-EXP(-S13_PSP_Species_Support!CD15*15))^S13_PSP_Species_Support!CE15))^0.976,0)+IFERROR(S13_PSP_Species_Support!CI15*0.0673*(S13_PSP_Species_Support!CJ15*(S13_PSP_Species_Support!CK15*(1-EXP(-S13_PSP_Species_Support!CL15*15))^S13_PSP_Species_Support!CM15)^2*(S13_PSP_Species_Support!CN15*(1-EXP(-S13_PSP_Species_Support!CO15*15))^S13_PSP_Species_Support!CP15))^0.976,0)+IFERROR(S13_PSP_Species_Support!CT15*0.0673*(S13_PSP_Species_Support!CU15*(S13_PSP_Species_Support!CV15*(1-EXP(-S13_PSP_Species_Support!CW15*15))^S13_PSP_Species_Support!CX15)^2*(S13_PSP_Species_Support!CY15*(1-EXP(-S13_PSP_Species_Support!CZ15*15))^S13_PSP_Species_Support!DA15))^0.976,0))/1000/$G28*X$108,0)</x:f>
        <x:v>2355.971874441164</x:v>
      </x:c>
      <x:c r="Y28" s="147" t="n">
        <x:f aca="0">IFERROR((IFERROR(S13_PSP_Species_Support!U15*0.0673*(S13_PSP_Species_Support!V15*(S13_PSP_Species_Support!W15*(1-EXP(-S13_PSP_Species_Support!X15*16))^S13_PSP_Species_Support!Y15)^2*(S13_PSP_Species_Support!Z15*(1-EXP(-S13_PSP_Species_Support!AA15*16))^S13_PSP_Species_Support!AB15))^0.976,0)+IFERROR(S13_PSP_Species_Support!AF15*0.0673*(S13_PSP_Species_Support!AG15*(S13_PSP_Species_Support!AH15*(1-EXP(-S13_PSP_Species_Support!AI15*16))^S13_PSP_Species_Support!AJ15)^2*(S13_PSP_Species_Support!AK15*(1-EXP(-S13_PSP_Species_Support!AL15*16))^S13_PSP_Species_Support!AM15))^0.976,0)+IFERROR(S13_PSP_Species_Support!AQ15*0.0673*(S13_PSP_Species_Support!AR15*(S13_PSP_Species_Support!AS15*(1-EXP(-S13_PSP_Species_Support!AT15*16))^S13_PSP_Species_Support!AU15)^2*(S13_PSP_Species_Support!AV15*(1-EXP(-S13_PSP_Species_Support!AW15*16))^S13_PSP_Species_Support!AX15))^0.976,0)+IFERROR(S13_PSP_Species_Support!BB15*0.0673*(S13_PSP_Species_Support!BC15*(S13_PSP_Species_Support!BD15*(1-EXP(-S13_PSP_Species_Support!BE15*16))^S13_PSP_Species_Support!BF15)^2*(S13_PSP_Species_Support!BG15*(1-EXP(-S13_PSP_Species_Support!BH15*16))^S13_PSP_Species_Support!BI15))^0.976,0)+IFERROR(S13_PSP_Species_Support!BM15*0.0673*(S13_PSP_Species_Support!BN15*(S13_PSP_Species_Support!BO15*(1-EXP(-S13_PSP_Species_Support!BP15*16))^S13_PSP_Species_Support!BQ15)^2*(S13_PSP_Species_Support!BR15*(1-EXP(-S13_PSP_Species_Support!BS15*16))^S13_PSP_Species_Support!BT15))^0.976,0)+IFERROR(S13_PSP_Species_Support!BX15*0.0673*(S13_PSP_Species_Support!BY15*(S13_PSP_Species_Support!BZ15*(1-EXP(-S13_PSP_Species_Support!CA15*16))^S13_PSP_Species_Support!CB15)^2*(S13_PSP_Species_Support!CC15*(1-EXP(-S13_PSP_Species_Support!CD15*16))^S13_PSP_Species_Support!CE15))^0.976,0)+IFERROR(S13_PSP_Species_Support!CI15*0.0673*(S13_PSP_Species_Support!CJ15*(S13_PSP_Species_Support!CK15*(1-EXP(-S13_PSP_Species_Support!CL15*16))^S13_PSP_Species_Support!CM15)^2*(S13_PSP_Species_Support!CN15*(1-EXP(-S13_PSP_Species_Support!CO15*16))^S13_PSP_Species_Support!CP15))^0.976,0)+IFERROR(S13_PSP_Species_Support!CT15*0.0673*(S13_PSP_Species_Support!CU15*(S13_PSP_Species_Support!CV15*(1-EXP(-S13_PSP_Species_Support!CW15*16))^S13_PSP_Species_Support!CX15)^2*(S13_PSP_Species_Support!CY15*(1-EXP(-S13_PSP_Species_Support!CZ15*16))^S13_PSP_Species_Support!DA15))^0.976,0))/1000/$G28*Y$108,0)</x:f>
        <x:v>2472.785399021769</x:v>
      </x:c>
      <x:c r="Z28" s="147" t="n">
        <x:f aca="0">IFERROR((IFERROR(S13_PSP_Species_Support!U15*0.0673*(S13_PSP_Species_Support!V15*(S13_PSP_Species_Support!W15*(1-EXP(-S13_PSP_Species_Support!X15*17))^S13_PSP_Species_Support!Y15)^2*(S13_PSP_Species_Support!Z15*(1-EXP(-S13_PSP_Species_Support!AA15*17))^S13_PSP_Species_Support!AB15))^0.976,0)+IFERROR(S13_PSP_Species_Support!AF15*0.0673*(S13_PSP_Species_Support!AG15*(S13_PSP_Species_Support!AH15*(1-EXP(-S13_PSP_Species_Support!AI15*17))^S13_PSP_Species_Support!AJ15)^2*(S13_PSP_Species_Support!AK15*(1-EXP(-S13_PSP_Species_Support!AL15*17))^S13_PSP_Species_Support!AM15))^0.976,0)+IFERROR(S13_PSP_Species_Support!AQ15*0.0673*(S13_PSP_Species_Support!AR15*(S13_PSP_Species_Support!AS15*(1-EXP(-S13_PSP_Species_Support!AT15*17))^S13_PSP_Species_Support!AU15)^2*(S13_PSP_Species_Support!AV15*(1-EXP(-S13_PSP_Species_Support!AW15*17))^S13_PSP_Species_Support!AX15))^0.976,0)+IFERROR(S13_PSP_Species_Support!BB15*0.0673*(S13_PSP_Species_Support!BC15*(S13_PSP_Species_Support!BD15*(1-EXP(-S13_PSP_Species_Support!BE15*17))^S13_PSP_Species_Support!BF15)^2*(S13_PSP_Species_Support!BG15*(1-EXP(-S13_PSP_Species_Support!BH15*17))^S13_PSP_Species_Support!BI15))^0.976,0)+IFERROR(S13_PSP_Species_Support!BM15*0.0673*(S13_PSP_Species_Support!BN15*(S13_PSP_Species_Support!BO15*(1-EXP(-S13_PSP_Species_Support!BP15*17))^S13_PSP_Species_Support!BQ15)^2*(S13_PSP_Species_Support!BR15*(1-EXP(-S13_PSP_Species_Support!BS15*17))^S13_PSP_Species_Support!BT15))^0.976,0)+IFERROR(S13_PSP_Species_Support!BX15*0.0673*(S13_PSP_Species_Support!BY15*(S13_PSP_Species_Support!BZ15*(1-EXP(-S13_PSP_Species_Support!CA15*17))^S13_PSP_Species_Support!CB15)^2*(S13_PSP_Species_Support!CC15*(1-EXP(-S13_PSP_Species_Support!CD15*17))^S13_PSP_Species_Support!CE15))^0.976,0)+IFERROR(S13_PSP_Species_Support!CI15*0.0673*(S13_PSP_Species_Support!CJ15*(S13_PSP_Species_Support!CK15*(1-EXP(-S13_PSP_Species_Support!CL15*17))^S13_PSP_Species_Support!CM15)^2*(S13_PSP_Species_Support!CN15*(1-EXP(-S13_PSP_Species_Support!CO15*17))^S13_PSP_Species_Support!CP15))^0.976,0)+IFERROR(S13_PSP_Species_Support!CT15*0.0673*(S13_PSP_Species_Support!CU15*(S13_PSP_Species_Support!CV15*(1-EXP(-S13_PSP_Species_Support!CW15*17))^S13_PSP_Species_Support!CX15)^2*(S13_PSP_Species_Support!CY15*(1-EXP(-S13_PSP_Species_Support!CZ15*17))^S13_PSP_Species_Support!DA15))^0.976,0))/1000/$G28*Z$108,0)</x:f>
        <x:v>2574.6621354096674</x:v>
      </x:c>
      <x:c r="AA28" s="147" t="n">
        <x:f aca="0">IFERROR((IFERROR(S13_PSP_Species_Support!U15*0.0673*(S13_PSP_Species_Support!V15*(S13_PSP_Species_Support!W15*(1-EXP(-S13_PSP_Species_Support!X15*18))^S13_PSP_Species_Support!Y15)^2*(S13_PSP_Species_Support!Z15*(1-EXP(-S13_PSP_Species_Support!AA15*18))^S13_PSP_Species_Support!AB15))^0.976,0)+IFERROR(S13_PSP_Species_Support!AF15*0.0673*(S13_PSP_Species_Support!AG15*(S13_PSP_Species_Support!AH15*(1-EXP(-S13_PSP_Species_Support!AI15*18))^S13_PSP_Species_Support!AJ15)^2*(S13_PSP_Species_Support!AK15*(1-EXP(-S13_PSP_Species_Support!AL15*18))^S13_PSP_Species_Support!AM15))^0.976,0)+IFERROR(S13_PSP_Species_Support!AQ15*0.0673*(S13_PSP_Species_Support!AR15*(S13_PSP_Species_Support!AS15*(1-EXP(-S13_PSP_Species_Support!AT15*18))^S13_PSP_Species_Support!AU15)^2*(S13_PSP_Species_Support!AV15*(1-EXP(-S13_PSP_Species_Support!AW15*18))^S13_PSP_Species_Support!AX15))^0.976,0)+IFERROR(S13_PSP_Species_Support!BB15*0.0673*(S13_PSP_Species_Support!BC15*(S13_PSP_Species_Support!BD15*(1-EXP(-S13_PSP_Species_Support!BE15*18))^S13_PSP_Species_Support!BF15)^2*(S13_PSP_Species_Support!BG15*(1-EXP(-S13_PSP_Species_Support!BH15*18))^S13_PSP_Species_Support!BI15))^0.976,0)+IFERROR(S13_PSP_Species_Support!BM15*0.0673*(S13_PSP_Species_Support!BN15*(S13_PSP_Species_Support!BO15*(1-EXP(-S13_PSP_Species_Support!BP15*18))^S13_PSP_Species_Support!BQ15)^2*(S13_PSP_Species_Support!BR15*(1-EXP(-S13_PSP_Species_Support!BS15*18))^S13_PSP_Species_Support!BT15))^0.976,0)+IFERROR(S13_PSP_Species_Support!BX15*0.0673*(S13_PSP_Species_Support!BY15*(S13_PSP_Species_Support!BZ15*(1-EXP(-S13_PSP_Species_Support!CA15*18))^S13_PSP_Species_Support!CB15)^2*(S13_PSP_Species_Support!CC15*(1-EXP(-S13_PSP_Species_Support!CD15*18))^S13_PSP_Species_Support!CE15))^0.976,0)+IFERROR(S13_PSP_Species_Support!CI15*0.0673*(S13_PSP_Species_Support!CJ15*(S13_PSP_Species_Support!CK15*(1-EXP(-S13_PSP_Species_Support!CL15*18))^S13_PSP_Species_Support!CM15)^2*(S13_PSP_Species_Support!CN15*(1-EXP(-S13_PSP_Species_Support!CO15*18))^S13_PSP_Species_Support!CP15))^0.976,0)+IFERROR(S13_PSP_Species_Support!CT15*0.0673*(S13_PSP_Species_Support!CU15*(S13_PSP_Species_Support!CV15*(1-EXP(-S13_PSP_Species_Support!CW15*18))^S13_PSP_Species_Support!CX15)^2*(S13_PSP_Species_Support!CY15*(1-EXP(-S13_PSP_Species_Support!CZ15*18))^S13_PSP_Species_Support!DA15))^0.976,0))/1000/$G28*AA$108,0)</x:f>
        <x:v>2663.066754557207</x:v>
      </x:c>
      <x:c r="AB28" s="147" t="n">
        <x:f aca="0">IFERROR((IFERROR(S13_PSP_Species_Support!U15*0.0673*(S13_PSP_Species_Support!V15*(S13_PSP_Species_Support!W15*(1-EXP(-S13_PSP_Species_Support!X15*19))^S13_PSP_Species_Support!Y15)^2*(S13_PSP_Species_Support!Z15*(1-EXP(-S13_PSP_Species_Support!AA15*19))^S13_PSP_Species_Support!AB15))^0.976,0)+IFERROR(S13_PSP_Species_Support!AF15*0.0673*(S13_PSP_Species_Support!AG15*(S13_PSP_Species_Support!AH15*(1-EXP(-S13_PSP_Species_Support!AI15*19))^S13_PSP_Species_Support!AJ15)^2*(S13_PSP_Species_Support!AK15*(1-EXP(-S13_PSP_Species_Support!AL15*19))^S13_PSP_Species_Support!AM15))^0.976,0)+IFERROR(S13_PSP_Species_Support!AQ15*0.0673*(S13_PSP_Species_Support!AR15*(S13_PSP_Species_Support!AS15*(1-EXP(-S13_PSP_Species_Support!AT15*19))^S13_PSP_Species_Support!AU15)^2*(S13_PSP_Species_Support!AV15*(1-EXP(-S13_PSP_Species_Support!AW15*19))^S13_PSP_Species_Support!AX15))^0.976,0)+IFERROR(S13_PSP_Species_Support!BB15*0.0673*(S13_PSP_Species_Support!BC15*(S13_PSP_Species_Support!BD15*(1-EXP(-S13_PSP_Species_Support!BE15*19))^S13_PSP_Species_Support!BF15)^2*(S13_PSP_Species_Support!BG15*(1-EXP(-S13_PSP_Species_Support!BH15*19))^S13_PSP_Species_Support!BI15))^0.976,0)+IFERROR(S13_PSP_Species_Support!BM15*0.0673*(S13_PSP_Species_Support!BN15*(S13_PSP_Species_Support!BO15*(1-EXP(-S13_PSP_Species_Support!BP15*19))^S13_PSP_Species_Support!BQ15)^2*(S13_PSP_Species_Support!BR15*(1-EXP(-S13_PSP_Species_Support!BS15*19))^S13_PSP_Species_Support!BT15))^0.976,0)+IFERROR(S13_PSP_Species_Support!BX15*0.0673*(S13_PSP_Species_Support!BY15*(S13_PSP_Species_Support!BZ15*(1-EXP(-S13_PSP_Species_Support!CA15*19))^S13_PSP_Species_Support!CB15)^2*(S13_PSP_Species_Support!CC15*(1-EXP(-S13_PSP_Species_Support!CD15*19))^S13_PSP_Species_Support!CE15))^0.976,0)+IFERROR(S13_PSP_Species_Support!CI15*0.0673*(S13_PSP_Species_Support!CJ15*(S13_PSP_Species_Support!CK15*(1-EXP(-S13_PSP_Species_Support!CL15*19))^S13_PSP_Species_Support!CM15)^2*(S13_PSP_Species_Support!CN15*(1-EXP(-S13_PSP_Species_Support!CO15*19))^S13_PSP_Species_Support!CP15))^0.976,0)+IFERROR(S13_PSP_Species_Support!CT15*0.0673*(S13_PSP_Species_Support!CU15*(S13_PSP_Species_Support!CV15*(1-EXP(-S13_PSP_Species_Support!CW15*19))^S13_PSP_Species_Support!CX15)^2*(S13_PSP_Species_Support!CY15*(1-EXP(-S13_PSP_Species_Support!CZ15*19))^S13_PSP_Species_Support!DA15))^0.976,0))/1000/$G28*AB$108,0)</x:f>
        <x:v>2739.4670831598537</x:v>
      </x:c>
      <x:c r="AC28" s="147" t="n">
        <x:f aca="0">IFERROR((IFERROR(S13_PSP_Species_Support!U15*0.0673*(S13_PSP_Species_Support!V15*(S13_PSP_Species_Support!W15*(1-EXP(-S13_PSP_Species_Support!X15*20))^S13_PSP_Species_Support!Y15)^2*(S13_PSP_Species_Support!Z15*(1-EXP(-S13_PSP_Species_Support!AA15*20))^S13_PSP_Species_Support!AB15))^0.976,0)+IFERROR(S13_PSP_Species_Support!AF15*0.0673*(S13_PSP_Species_Support!AG15*(S13_PSP_Species_Support!AH15*(1-EXP(-S13_PSP_Species_Support!AI15*20))^S13_PSP_Species_Support!AJ15)^2*(S13_PSP_Species_Support!AK15*(1-EXP(-S13_PSP_Species_Support!AL15*20))^S13_PSP_Species_Support!AM15))^0.976,0)+IFERROR(S13_PSP_Species_Support!AQ15*0.0673*(S13_PSP_Species_Support!AR15*(S13_PSP_Species_Support!AS15*(1-EXP(-S13_PSP_Species_Support!AT15*20))^S13_PSP_Species_Support!AU15)^2*(S13_PSP_Species_Support!AV15*(1-EXP(-S13_PSP_Species_Support!AW15*20))^S13_PSP_Species_Support!AX15))^0.976,0)+IFERROR(S13_PSP_Species_Support!BB15*0.0673*(S13_PSP_Species_Support!BC15*(S13_PSP_Species_Support!BD15*(1-EXP(-S13_PSP_Species_Support!BE15*20))^S13_PSP_Species_Support!BF15)^2*(S13_PSP_Species_Support!BG15*(1-EXP(-S13_PSP_Species_Support!BH15*20))^S13_PSP_Species_Support!BI15))^0.976,0)+IFERROR(S13_PSP_Species_Support!BM15*0.0673*(S13_PSP_Species_Support!BN15*(S13_PSP_Species_Support!BO15*(1-EXP(-S13_PSP_Species_Support!BP15*20))^S13_PSP_Species_Support!BQ15)^2*(S13_PSP_Species_Support!BR15*(1-EXP(-S13_PSP_Species_Support!BS15*20))^S13_PSP_Species_Support!BT15))^0.976,0)+IFERROR(S13_PSP_Species_Support!BX15*0.0673*(S13_PSP_Species_Support!BY15*(S13_PSP_Species_Support!BZ15*(1-EXP(-S13_PSP_Species_Support!CA15*20))^S13_PSP_Species_Support!CB15)^2*(S13_PSP_Species_Support!CC15*(1-EXP(-S13_PSP_Species_Support!CD15*20))^S13_PSP_Species_Support!CE15))^0.976,0)+IFERROR(S13_PSP_Species_Support!CI15*0.0673*(S13_PSP_Species_Support!CJ15*(S13_PSP_Species_Support!CK15*(1-EXP(-S13_PSP_Species_Support!CL15*20))^S13_PSP_Species_Support!CM15)^2*(S13_PSP_Species_Support!CN15*(1-EXP(-S13_PSP_Species_Support!CO15*20))^S13_PSP_Species_Support!CP15))^0.976,0)+IFERROR(S13_PSP_Species_Support!CT15*0.0673*(S13_PSP_Species_Support!CU15*(S13_PSP_Species_Support!CV15*(1-EXP(-S13_PSP_Species_Support!CW15*20))^S13_PSP_Species_Support!CX15)^2*(S13_PSP_Species_Support!CY15*(1-EXP(-S13_PSP_Species_Support!CZ15*20))^S13_PSP_Species_Support!DA15))^0.976,0))/1000/$G28*AC$108,0)</x:f>
        <x:v>2805.2725675691177</x:v>
      </x:c>
      <x:c r="AD28" s="148" t="n">
        <x:f aca="0">IF(2020&lt;$F28,0,INDEX($I28:$AC28,1,2020-$F28+1))</x:f>
        <x:v>0</x:v>
      </x:c>
      <x:c r="AE28" s="148" t="n">
        <x:f aca="0">IF(2021&lt;$F28,0,INDEX($I28:$AC28,1,2021-$F28+1))</x:f>
        <x:v>3.3989264092205476</x:v>
      </x:c>
      <x:c r="AF28" s="148" t="n">
        <x:f aca="0">IF(2022&lt;$F28,0,INDEX($I28:$AC28,1,2022-$F28+1))</x:f>
        <x:v>32.29884686280421</x:v>
      </x:c>
      <x:c r="AG28" s="148" t="n">
        <x:f aca="0">IF(2023&lt;$F28,0,INDEX($I28:$AC28,1,2023-$F28+1))</x:f>
        <x:v>107.36076140114322</x:v>
      </x:c>
      <x:c r="AH28" s="148" t="n">
        <x:f aca="0">IF(2024&lt;$F28,0,INDEX($I28:$AC28,1,2024-$F28+1))</x:f>
        <x:v>234.69325318365918</x:v>
      </x:c>
      <x:c r="AI28" s="148" t="n">
        <x:f aca="0">IF(2025&lt;$F28,0,INDEX($I28:$AC28,1,2025-$F28+1))</x:f>
        <x:v>407.15689411895704</x:v>
      </x:c>
      <x:c r="AJ28" s="148" t="n">
        <x:f aca="0">IF(2026&lt;$F28,0,INDEX($I28:$AC28,1,2026-$F28+1))</x:f>
        <x:v>612.2277134023492</x:v>
      </x:c>
      <x:c r="AK28" s="148" t="n">
        <x:f aca="0">IF(2027&lt;$F28,0,INDEX($I28:$AC28,1,2027-$F28+1))</x:f>
        <x:v>836.2750224744864</x:v>
      </x:c>
      <x:c r="AL28" s="148" t="n">
        <x:f aca="0">IF(2028&lt;$F28,0,INDEX($I28:$AC28,1,2028-$F28+1))</x:f>
        <x:v>1067.1161442351645</x:v>
      </x:c>
      <x:c r="AM28" s="148" t="n">
        <x:f aca="0">IF(2029&lt;$F28,0,INDEX($I28:$AC28,1,2029-$F28+1))</x:f>
        <x:v>1295.0841091569819</x:v>
      </x:c>
      <x:c r="AN28" s="148" t="n">
        <x:f aca="0">IF(2030&lt;$F28,0,INDEX($I28:$AC28,1,2030-$F28+1))</x:f>
        <x:v>1513.2053731181468</x:v>
      </x:c>
      <x:c r="AO28" s="148" t="n">
        <x:f aca="0">IF(2031&lt;$F28,0,INDEX($I28:$AC28,1,2031-$F28+1))</x:f>
        <x:v>1716.9258849029547</x:v>
      </x:c>
      <x:c r="AP28" s="148" t="n">
        <x:f aca="0">IF(2032&lt;$F28,0,INDEX($I28:$AC28,1,2032-$F28+1))</x:f>
        <x:v>1903.6597798283833</x:v>
      </x:c>
      <x:c r="AQ28" s="148" t="n">
        <x:f aca="0">IF(2033&lt;$F28,0,INDEX($I28:$AC28,1,2033-$F28+1))</x:f>
        <x:v>2072.31306039859</x:v>
      </x:c>
      <x:c r="AR28" s="148" t="n">
        <x:f aca="0">IF(2034&lt;$F28,0,INDEX($I28:$AC28,1,2034-$F28+1))</x:f>
        <x:v>2222.855988980636</x:v>
      </x:c>
      <x:c r="AS28" s="148" t="n">
        <x:f aca="0">IF(2035&lt;$F28,0,INDEX($I28:$AC28,1,2035-$F28+1))</x:f>
        <x:v>2355.971874441164</x:v>
      </x:c>
      <x:c r="AT28" s="148" t="n">
        <x:f aca="0">IF(2036&lt;$F28,0,INDEX($I28:$AC28,1,2036-$F28+1))</x:f>
        <x:v>2472.785399021769</x:v>
      </x:c>
      <x:c r="AU28" s="148" t="n">
        <x:f aca="0">IF(2037&lt;$F28,0,INDEX($I28:$AC28,1,2037-$F28+1))</x:f>
        <x:v>2574.6621354096674</x:v>
      </x:c>
      <x:c r="AV28" s="148" t="n">
        <x:f aca="0">IF(2038&lt;$F28,0,INDEX($I28:$AC28,1,2038-$F28+1))</x:f>
        <x:v>2663.066754557207</x:v>
      </x:c>
      <x:c r="AW28" s="148" t="n">
        <x:f aca="0">IF(2039&lt;$F28,0,INDEX($I28:$AC28,1,2039-$F28+1))</x:f>
        <x:v>2739.4670831598537</x:v>
      </x:c>
      <x:c r="AX28" s="148" t="n">
        <x:f aca="0">IF(2040&lt;$F28,0,INDEX($I28:$AC28,1,2040-$F28+1))</x:f>
        <x:v>2805.2725675691177</x:v>
      </x:c>
      <x:c r="AY28" s="1" t="str">
        <x:f aca="0">LEFT($C28,FIND("@",SUBSTITUTE($C28,"|","@",2))-1)</x:f>
        <x:v>Horti-Silviculture|High</x:v>
      </x:c>
      <x:c r="AZ28" s="1" t="str">
        <x:f aca="0">LEFT($C28,FIND("|",$C28)-1)</x:f>
        <x:v>Horti-Silviculture</x:v>
      </x:c>
      <x:c r="BA28" s="149" t="n">
        <x:f aca="0">I28*I28</x:f>
        <x:v>0</x:v>
      </x:c>
      <x:c r="BB28" s="149" t="n">
        <x:f aca="0">J28*J28</x:f>
        <x:v>11.552700735296884</x:v>
      </x:c>
      <x:c r="BC28" s="149" t="n">
        <x:f aca="0">K28*K28</x:f>
        <x:v>1043.2155086668774</x:v>
      </x:c>
      <x:c r="BD28" s="149" t="n">
        <x:f aca="0">L28*L28</x:f>
        <x:v>11526.333088633204</x:v>
      </x:c>
      <x:c r="BE28" s="149" t="n">
        <x:f aca="0">M28*M28</x:f>
        <x:v>55080.92308992915</x:v>
      </x:c>
      <x:c r="BF28" s="149" t="n">
        <x:f aca="0">N28*N28</x:f>
        <x:v>165776.73642859558</x:v>
      </x:c>
      <x:c r="BG28" s="149" t="n">
        <x:f aca="0">O28*O28</x:f>
        <x:v>374822.77305786905</x:v>
      </x:c>
      <x:c r="BH28" s="149" t="n">
        <x:f aca="0">P28*P28</x:f>
        <x:v>699355.9132147027</x:v>
      </x:c>
      <x:c r="BI28" s="149" t="n">
        <x:f aca="0">Q28*Q28</x:f>
        <x:v>1138736.8652873244</x:v>
      </x:c>
      <x:c r="BJ28" s="149" t="n">
        <x:f aca="0">R28*R28</x:f>
        <x:v>1677242.8497909333</x:v>
      </x:c>
      <x:c r="BK28" s="149" t="n">
        <x:f aca="0">S28*S28</x:f>
        <x:v>2289790.50123363</x:v>
      </x:c>
      <x:c r="BL28" s="149" t="n">
        <x:f aca="0">T28*T28</x:f>
        <x:v>2947834.494249794</x:v>
      </x:c>
      <x:c r="BM28" s="149" t="n">
        <x:f aca="0">U28*U28</x:f>
        <x:v>3623920.557336249</x:v>
      </x:c>
      <x:c r="BN28" s="149" t="n">
        <x:f aca="0">V28*V28</x:f>
        <x:v>4294481.420298571</x:v>
      </x:c>
      <x:c r="BO28" s="149" t="n">
        <x:f aca="0">W28*W28</x:f>
        <x:v>4941088.747747081</x:v>
      </x:c>
      <x:c r="BP28" s="149" t="n">
        <x:f aca="0">X28*X28</x:f>
        <x:v>5550603.473157811</x:v>
      </x:c>
      <x:c r="BQ28" s="149" t="n">
        <x:f aca="0">Y28*Y28</x:f>
        <x:v>6114667.62961525</x:v>
      </x:c>
      <x:c r="BR28" s="149" t="n">
        <x:f aca="0">Z28*Z28</x:f>
        <x:v>6628885.111512268</x:v>
      </x:c>
      <x:c r="BS28" s="149" t="n">
        <x:f aca="0">AA28*AA28</x:f>
        <x:v>7091924.539227854</x:v>
      </x:c>
      <x:c r="BT28" s="149" t="n">
        <x:f aca="0">AB28*AB28</x:f>
        <x:v>7504679.899716357</x:v>
      </x:c>
      <x:c r="BU28" s="149" t="n">
        <x:f aca="0">AC28*AC28</x:f>
        <x:v>7869554.17835583</x:v>
      </x:c>
    </x:row>
    <x:row r="29" ht="15" hidden="0" customHeight="1">
      <x:c r="A29" s="1" t="str">
        <x:f aca="0">S13_PSP_Species_Support!A16</x:f>
        <x:v>PSP-HS-002</x:v>
      </x:c>
      <x:c r="B29" s="1" t="n">
        <x:f aca="0">16</x:f>
        <x:v>16</x:v>
      </x:c>
      <x:c r="C29" s="1" t="str">
        <x:f aca="0">S13_PSP_Species_Support!I16</x:f>
        <x:v>Horti-Silviculture|High|2020</x:v>
      </x:c>
      <x:c r="D29" s="1" t="str">
        <x:f aca="0">S13_PSP_Species_Support!C16</x:f>
        <x:v>Horti-Silviculture</x:v>
      </x:c>
      <x:c r="E29" s="1" t="str">
        <x:f aca="0">S13_PSP_Species_Support!D16</x:f>
        <x:v>High</x:v>
      </x:c>
      <x:c r="F29" s="1" t="n">
        <x:f aca="0">S13_PSP_Species_Support!E16</x:f>
        <x:v>2020</x:v>
      </x:c>
      <x:c r="G29" s="645" t="n">
        <x:f aca="0">'S13_PSP_Species_Support'!DJ16</x:f>
        <x:v>0.09</x:v>
      </x:c>
      <x:c r="H29" s="714" t="n">
        <x:f aca="0">'S13_PSP_Species_Support'!DK16</x:f>
        <x:v>307.07196029776674</x:v>
      </x:c>
      <x:c r="I29" s="147" t="n">
        <x:f aca="0">IFERROR((IFERROR(S13_PSP_Species_Support!U16*0.0673*(S13_PSP_Species_Support!V16*(S13_PSP_Species_Support!W16*(1-EXP(-S13_PSP_Species_Support!X16*0))^S13_PSP_Species_Support!Y16)^2*(S13_PSP_Species_Support!Z16*(1-EXP(-S13_PSP_Species_Support!AA16*0))^S13_PSP_Species_Support!AB16))^0.976,0)+IFERROR(S13_PSP_Species_Support!AF16*0.0673*(S13_PSP_Species_Support!AG16*(S13_PSP_Species_Support!AH16*(1-EXP(-S13_PSP_Species_Support!AI16*0))^S13_PSP_Species_Support!AJ16)^2*(S13_PSP_Species_Support!AK16*(1-EXP(-S13_PSP_Species_Support!AL16*0))^S13_PSP_Species_Support!AM16))^0.976,0)+IFERROR(S13_PSP_Species_Support!AQ16*0.0673*(S13_PSP_Species_Support!AR16*(S13_PSP_Species_Support!AS16*(1-EXP(-S13_PSP_Species_Support!AT16*0))^S13_PSP_Species_Support!AU16)^2*(S13_PSP_Species_Support!AV16*(1-EXP(-S13_PSP_Species_Support!AW16*0))^S13_PSP_Species_Support!AX16))^0.976,0)+IFERROR(S13_PSP_Species_Support!BB16*0.0673*(S13_PSP_Species_Support!BC16*(S13_PSP_Species_Support!BD16*(1-EXP(-S13_PSP_Species_Support!BE16*0))^S13_PSP_Species_Support!BF16)^2*(S13_PSP_Species_Support!BG16*(1-EXP(-S13_PSP_Species_Support!BH16*0))^S13_PSP_Species_Support!BI16))^0.976,0)+IFERROR(S13_PSP_Species_Support!BM16*0.0673*(S13_PSP_Species_Support!BN16*(S13_PSP_Species_Support!BO16*(1-EXP(-S13_PSP_Species_Support!BP16*0))^S13_PSP_Species_Support!BQ16)^2*(S13_PSP_Species_Support!BR16*(1-EXP(-S13_PSP_Species_Support!BS16*0))^S13_PSP_Species_Support!BT16))^0.976,0)+IFERROR(S13_PSP_Species_Support!BX16*0.0673*(S13_PSP_Species_Support!BY16*(S13_PSP_Species_Support!BZ16*(1-EXP(-S13_PSP_Species_Support!CA16*0))^S13_PSP_Species_Support!CB16)^2*(S13_PSP_Species_Support!CC16*(1-EXP(-S13_PSP_Species_Support!CD16*0))^S13_PSP_Species_Support!CE16))^0.976,0)+IFERROR(S13_PSP_Species_Support!CI16*0.0673*(S13_PSP_Species_Support!CJ16*(S13_PSP_Species_Support!CK16*(1-EXP(-S13_PSP_Species_Support!CL16*0))^S13_PSP_Species_Support!CM16)^2*(S13_PSP_Species_Support!CN16*(1-EXP(-S13_PSP_Species_Support!CO16*0))^S13_PSP_Species_Support!CP16))^0.976,0)+IFERROR(S13_PSP_Species_Support!CT16*0.0673*(S13_PSP_Species_Support!CU16*(S13_PSP_Species_Support!CV16*(1-EXP(-S13_PSP_Species_Support!CW16*0))^S13_PSP_Species_Support!CX16)^2*(S13_PSP_Species_Support!CY16*(1-EXP(-S13_PSP_Species_Support!CZ16*0))^S13_PSP_Species_Support!DA16))^0.976,0))/1000/$G29*I$108,0)</x:f>
        <x:v>0</x:v>
      </x:c>
      <x:c r="J29" s="147" t="n">
        <x:f aca="0">IFERROR((IFERROR(S13_PSP_Species_Support!U16*0.0673*(S13_PSP_Species_Support!V16*(S13_PSP_Species_Support!W16*(1-EXP(-S13_PSP_Species_Support!X16*1))^S13_PSP_Species_Support!Y16)^2*(S13_PSP_Species_Support!Z16*(1-EXP(-S13_PSP_Species_Support!AA16*1))^S13_PSP_Species_Support!AB16))^0.976,0)+IFERROR(S13_PSP_Species_Support!AF16*0.0673*(S13_PSP_Species_Support!AG16*(S13_PSP_Species_Support!AH16*(1-EXP(-S13_PSP_Species_Support!AI16*1))^S13_PSP_Species_Support!AJ16)^2*(S13_PSP_Species_Support!AK16*(1-EXP(-S13_PSP_Species_Support!AL16*1))^S13_PSP_Species_Support!AM16))^0.976,0)+IFERROR(S13_PSP_Species_Support!AQ16*0.0673*(S13_PSP_Species_Support!AR16*(S13_PSP_Species_Support!AS16*(1-EXP(-S13_PSP_Species_Support!AT16*1))^S13_PSP_Species_Support!AU16)^2*(S13_PSP_Species_Support!AV16*(1-EXP(-S13_PSP_Species_Support!AW16*1))^S13_PSP_Species_Support!AX16))^0.976,0)+IFERROR(S13_PSP_Species_Support!BB16*0.0673*(S13_PSP_Species_Support!BC16*(S13_PSP_Species_Support!BD16*(1-EXP(-S13_PSP_Species_Support!BE16*1))^S13_PSP_Species_Support!BF16)^2*(S13_PSP_Species_Support!BG16*(1-EXP(-S13_PSP_Species_Support!BH16*1))^S13_PSP_Species_Support!BI16))^0.976,0)+IFERROR(S13_PSP_Species_Support!BM16*0.0673*(S13_PSP_Species_Support!BN16*(S13_PSP_Species_Support!BO16*(1-EXP(-S13_PSP_Species_Support!BP16*1))^S13_PSP_Species_Support!BQ16)^2*(S13_PSP_Species_Support!BR16*(1-EXP(-S13_PSP_Species_Support!BS16*1))^S13_PSP_Species_Support!BT16))^0.976,0)+IFERROR(S13_PSP_Species_Support!BX16*0.0673*(S13_PSP_Species_Support!BY16*(S13_PSP_Species_Support!BZ16*(1-EXP(-S13_PSP_Species_Support!CA16*1))^S13_PSP_Species_Support!CB16)^2*(S13_PSP_Species_Support!CC16*(1-EXP(-S13_PSP_Species_Support!CD16*1))^S13_PSP_Species_Support!CE16))^0.976,0)+IFERROR(S13_PSP_Species_Support!CI16*0.0673*(S13_PSP_Species_Support!CJ16*(S13_PSP_Species_Support!CK16*(1-EXP(-S13_PSP_Species_Support!CL16*1))^S13_PSP_Species_Support!CM16)^2*(S13_PSP_Species_Support!CN16*(1-EXP(-S13_PSP_Species_Support!CO16*1))^S13_PSP_Species_Support!CP16))^0.976,0)+IFERROR(S13_PSP_Species_Support!CT16*0.0673*(S13_PSP_Species_Support!CU16*(S13_PSP_Species_Support!CV16*(1-EXP(-S13_PSP_Species_Support!CW16*1))^S13_PSP_Species_Support!CX16)^2*(S13_PSP_Species_Support!CY16*(1-EXP(-S13_PSP_Species_Support!CZ16*1))^S13_PSP_Species_Support!DA16))^0.976,0))/1000/$G29*J$108,0)</x:f>
        <x:v>1.2027952181688553</x:v>
      </x:c>
      <x:c r="K29" s="147" t="n">
        <x:f aca="0">IFERROR((IFERROR(S13_PSP_Species_Support!U16*0.0673*(S13_PSP_Species_Support!V16*(S13_PSP_Species_Support!W16*(1-EXP(-S13_PSP_Species_Support!X16*2))^S13_PSP_Species_Support!Y16)^2*(S13_PSP_Species_Support!Z16*(1-EXP(-S13_PSP_Species_Support!AA16*2))^S13_PSP_Species_Support!AB16))^0.976,0)+IFERROR(S13_PSP_Species_Support!AF16*0.0673*(S13_PSP_Species_Support!AG16*(S13_PSP_Species_Support!AH16*(1-EXP(-S13_PSP_Species_Support!AI16*2))^S13_PSP_Species_Support!AJ16)^2*(S13_PSP_Species_Support!AK16*(1-EXP(-S13_PSP_Species_Support!AL16*2))^S13_PSP_Species_Support!AM16))^0.976,0)+IFERROR(S13_PSP_Species_Support!AQ16*0.0673*(S13_PSP_Species_Support!AR16*(S13_PSP_Species_Support!AS16*(1-EXP(-S13_PSP_Species_Support!AT16*2))^S13_PSP_Species_Support!AU16)^2*(S13_PSP_Species_Support!AV16*(1-EXP(-S13_PSP_Species_Support!AW16*2))^S13_PSP_Species_Support!AX16))^0.976,0)+IFERROR(S13_PSP_Species_Support!BB16*0.0673*(S13_PSP_Species_Support!BC16*(S13_PSP_Species_Support!BD16*(1-EXP(-S13_PSP_Species_Support!BE16*2))^S13_PSP_Species_Support!BF16)^2*(S13_PSP_Species_Support!BG16*(1-EXP(-S13_PSP_Species_Support!BH16*2))^S13_PSP_Species_Support!BI16))^0.976,0)+IFERROR(S13_PSP_Species_Support!BM16*0.0673*(S13_PSP_Species_Support!BN16*(S13_PSP_Species_Support!BO16*(1-EXP(-S13_PSP_Species_Support!BP16*2))^S13_PSP_Species_Support!BQ16)^2*(S13_PSP_Species_Support!BR16*(1-EXP(-S13_PSP_Species_Support!BS16*2))^S13_PSP_Species_Support!BT16))^0.976,0)+IFERROR(S13_PSP_Species_Support!BX16*0.0673*(S13_PSP_Species_Support!BY16*(S13_PSP_Species_Support!BZ16*(1-EXP(-S13_PSP_Species_Support!CA16*2))^S13_PSP_Species_Support!CB16)^2*(S13_PSP_Species_Support!CC16*(1-EXP(-S13_PSP_Species_Support!CD16*2))^S13_PSP_Species_Support!CE16))^0.976,0)+IFERROR(S13_PSP_Species_Support!CI16*0.0673*(S13_PSP_Species_Support!CJ16*(S13_PSP_Species_Support!CK16*(1-EXP(-S13_PSP_Species_Support!CL16*2))^S13_PSP_Species_Support!CM16)^2*(S13_PSP_Species_Support!CN16*(1-EXP(-S13_PSP_Species_Support!CO16*2))^S13_PSP_Species_Support!CP16))^0.976,0)+IFERROR(S13_PSP_Species_Support!CT16*0.0673*(S13_PSP_Species_Support!CU16*(S13_PSP_Species_Support!CV16*(1-EXP(-S13_PSP_Species_Support!CW16*2))^S13_PSP_Species_Support!CX16)^2*(S13_PSP_Species_Support!CY16*(1-EXP(-S13_PSP_Species_Support!CZ16*2))^S13_PSP_Species_Support!DA16))^0.976,0))/1000/$G29*K$108,0)</x:f>
        <x:v>14.660571312908555</x:v>
      </x:c>
      <x:c r="L29" s="147" t="n">
        <x:f aca="0">IFERROR((IFERROR(S13_PSP_Species_Support!U16*0.0673*(S13_PSP_Species_Support!V16*(S13_PSP_Species_Support!W16*(1-EXP(-S13_PSP_Species_Support!X16*3))^S13_PSP_Species_Support!Y16)^2*(S13_PSP_Species_Support!Z16*(1-EXP(-S13_PSP_Species_Support!AA16*3))^S13_PSP_Species_Support!AB16))^0.976,0)+IFERROR(S13_PSP_Species_Support!AF16*0.0673*(S13_PSP_Species_Support!AG16*(S13_PSP_Species_Support!AH16*(1-EXP(-S13_PSP_Species_Support!AI16*3))^S13_PSP_Species_Support!AJ16)^2*(S13_PSP_Species_Support!AK16*(1-EXP(-S13_PSP_Species_Support!AL16*3))^S13_PSP_Species_Support!AM16))^0.976,0)+IFERROR(S13_PSP_Species_Support!AQ16*0.0673*(S13_PSP_Species_Support!AR16*(S13_PSP_Species_Support!AS16*(1-EXP(-S13_PSP_Species_Support!AT16*3))^S13_PSP_Species_Support!AU16)^2*(S13_PSP_Species_Support!AV16*(1-EXP(-S13_PSP_Species_Support!AW16*3))^S13_PSP_Species_Support!AX16))^0.976,0)+IFERROR(S13_PSP_Species_Support!BB16*0.0673*(S13_PSP_Species_Support!BC16*(S13_PSP_Species_Support!BD16*(1-EXP(-S13_PSP_Species_Support!BE16*3))^S13_PSP_Species_Support!BF16)^2*(S13_PSP_Species_Support!BG16*(1-EXP(-S13_PSP_Species_Support!BH16*3))^S13_PSP_Species_Support!BI16))^0.976,0)+IFERROR(S13_PSP_Species_Support!BM16*0.0673*(S13_PSP_Species_Support!BN16*(S13_PSP_Species_Support!BO16*(1-EXP(-S13_PSP_Species_Support!BP16*3))^S13_PSP_Species_Support!BQ16)^2*(S13_PSP_Species_Support!BR16*(1-EXP(-S13_PSP_Species_Support!BS16*3))^S13_PSP_Species_Support!BT16))^0.976,0)+IFERROR(S13_PSP_Species_Support!BX16*0.0673*(S13_PSP_Species_Support!BY16*(S13_PSP_Species_Support!BZ16*(1-EXP(-S13_PSP_Species_Support!CA16*3))^S13_PSP_Species_Support!CB16)^2*(S13_PSP_Species_Support!CC16*(1-EXP(-S13_PSP_Species_Support!CD16*3))^S13_PSP_Species_Support!CE16))^0.976,0)+IFERROR(S13_PSP_Species_Support!CI16*0.0673*(S13_PSP_Species_Support!CJ16*(S13_PSP_Species_Support!CK16*(1-EXP(-S13_PSP_Species_Support!CL16*3))^S13_PSP_Species_Support!CM16)^2*(S13_PSP_Species_Support!CN16*(1-EXP(-S13_PSP_Species_Support!CO16*3))^S13_PSP_Species_Support!CP16))^0.976,0)+IFERROR(S13_PSP_Species_Support!CT16*0.0673*(S13_PSP_Species_Support!CU16*(S13_PSP_Species_Support!CV16*(1-EXP(-S13_PSP_Species_Support!CW16*3))^S13_PSP_Species_Support!CX16)^2*(S13_PSP_Species_Support!CY16*(1-EXP(-S13_PSP_Species_Support!CZ16*3))^S13_PSP_Species_Support!DA16))^0.976,0))/1000/$G29*L$108,0)</x:f>
        <x:v>57.4269819630539</x:v>
      </x:c>
      <x:c r="M29" s="147" t="n">
        <x:f aca="0">IFERROR((IFERROR(S13_PSP_Species_Support!U16*0.0673*(S13_PSP_Species_Support!V16*(S13_PSP_Species_Support!W16*(1-EXP(-S13_PSP_Species_Support!X16*4))^S13_PSP_Species_Support!Y16)^2*(S13_PSP_Species_Support!Z16*(1-EXP(-S13_PSP_Species_Support!AA16*4))^S13_PSP_Species_Support!AB16))^0.976,0)+IFERROR(S13_PSP_Species_Support!AF16*0.0673*(S13_PSP_Species_Support!AG16*(S13_PSP_Species_Support!AH16*(1-EXP(-S13_PSP_Species_Support!AI16*4))^S13_PSP_Species_Support!AJ16)^2*(S13_PSP_Species_Support!AK16*(1-EXP(-S13_PSP_Species_Support!AL16*4))^S13_PSP_Species_Support!AM16))^0.976,0)+IFERROR(S13_PSP_Species_Support!AQ16*0.0673*(S13_PSP_Species_Support!AR16*(S13_PSP_Species_Support!AS16*(1-EXP(-S13_PSP_Species_Support!AT16*4))^S13_PSP_Species_Support!AU16)^2*(S13_PSP_Species_Support!AV16*(1-EXP(-S13_PSP_Species_Support!AW16*4))^S13_PSP_Species_Support!AX16))^0.976,0)+IFERROR(S13_PSP_Species_Support!BB16*0.0673*(S13_PSP_Species_Support!BC16*(S13_PSP_Species_Support!BD16*(1-EXP(-S13_PSP_Species_Support!BE16*4))^S13_PSP_Species_Support!BF16)^2*(S13_PSP_Species_Support!BG16*(1-EXP(-S13_PSP_Species_Support!BH16*4))^S13_PSP_Species_Support!BI16))^0.976,0)+IFERROR(S13_PSP_Species_Support!BM16*0.0673*(S13_PSP_Species_Support!BN16*(S13_PSP_Species_Support!BO16*(1-EXP(-S13_PSP_Species_Support!BP16*4))^S13_PSP_Species_Support!BQ16)^2*(S13_PSP_Species_Support!BR16*(1-EXP(-S13_PSP_Species_Support!BS16*4))^S13_PSP_Species_Support!BT16))^0.976,0)+IFERROR(S13_PSP_Species_Support!BX16*0.0673*(S13_PSP_Species_Support!BY16*(S13_PSP_Species_Support!BZ16*(1-EXP(-S13_PSP_Species_Support!CA16*4))^S13_PSP_Species_Support!CB16)^2*(S13_PSP_Species_Support!CC16*(1-EXP(-S13_PSP_Species_Support!CD16*4))^S13_PSP_Species_Support!CE16))^0.976,0)+IFERROR(S13_PSP_Species_Support!CI16*0.0673*(S13_PSP_Species_Support!CJ16*(S13_PSP_Species_Support!CK16*(1-EXP(-S13_PSP_Species_Support!CL16*4))^S13_PSP_Species_Support!CM16)^2*(S13_PSP_Species_Support!CN16*(1-EXP(-S13_PSP_Species_Support!CO16*4))^S13_PSP_Species_Support!CP16))^0.976,0)+IFERROR(S13_PSP_Species_Support!CT16*0.0673*(S13_PSP_Species_Support!CU16*(S13_PSP_Species_Support!CV16*(1-EXP(-S13_PSP_Species_Support!CW16*4))^S13_PSP_Species_Support!CX16)^2*(S13_PSP_Species_Support!CY16*(1-EXP(-S13_PSP_Species_Support!CZ16*4))^S13_PSP_Species_Support!DA16))^0.976,0))/1000/$G29*M$108,0)</x:f>
        <x:v>142.65405510329822</x:v>
      </x:c>
      <x:c r="N29" s="147" t="n">
        <x:f aca="0">IFERROR((IFERROR(S13_PSP_Species_Support!U16*0.0673*(S13_PSP_Species_Support!V16*(S13_PSP_Species_Support!W16*(1-EXP(-S13_PSP_Species_Support!X16*5))^S13_PSP_Species_Support!Y16)^2*(S13_PSP_Species_Support!Z16*(1-EXP(-S13_PSP_Species_Support!AA16*5))^S13_PSP_Species_Support!AB16))^0.976,0)+IFERROR(S13_PSP_Species_Support!AF16*0.0673*(S13_PSP_Species_Support!AG16*(S13_PSP_Species_Support!AH16*(1-EXP(-S13_PSP_Species_Support!AI16*5))^S13_PSP_Species_Support!AJ16)^2*(S13_PSP_Species_Support!AK16*(1-EXP(-S13_PSP_Species_Support!AL16*5))^S13_PSP_Species_Support!AM16))^0.976,0)+IFERROR(S13_PSP_Species_Support!AQ16*0.0673*(S13_PSP_Species_Support!AR16*(S13_PSP_Species_Support!AS16*(1-EXP(-S13_PSP_Species_Support!AT16*5))^S13_PSP_Species_Support!AU16)^2*(S13_PSP_Species_Support!AV16*(1-EXP(-S13_PSP_Species_Support!AW16*5))^S13_PSP_Species_Support!AX16))^0.976,0)+IFERROR(S13_PSP_Species_Support!BB16*0.0673*(S13_PSP_Species_Support!BC16*(S13_PSP_Species_Support!BD16*(1-EXP(-S13_PSP_Species_Support!BE16*5))^S13_PSP_Species_Support!BF16)^2*(S13_PSP_Species_Support!BG16*(1-EXP(-S13_PSP_Species_Support!BH16*5))^S13_PSP_Species_Support!BI16))^0.976,0)+IFERROR(S13_PSP_Species_Support!BM16*0.0673*(S13_PSP_Species_Support!BN16*(S13_PSP_Species_Support!BO16*(1-EXP(-S13_PSP_Species_Support!BP16*5))^S13_PSP_Species_Support!BQ16)^2*(S13_PSP_Species_Support!BR16*(1-EXP(-S13_PSP_Species_Support!BS16*5))^S13_PSP_Species_Support!BT16))^0.976,0)+IFERROR(S13_PSP_Species_Support!BX16*0.0673*(S13_PSP_Species_Support!BY16*(S13_PSP_Species_Support!BZ16*(1-EXP(-S13_PSP_Species_Support!CA16*5))^S13_PSP_Species_Support!CB16)^2*(S13_PSP_Species_Support!CC16*(1-EXP(-S13_PSP_Species_Support!CD16*5))^S13_PSP_Species_Support!CE16))^0.976,0)+IFERROR(S13_PSP_Species_Support!CI16*0.0673*(S13_PSP_Species_Support!CJ16*(S13_PSP_Species_Support!CK16*(1-EXP(-S13_PSP_Species_Support!CL16*5))^S13_PSP_Species_Support!CM16)^2*(S13_PSP_Species_Support!CN16*(1-EXP(-S13_PSP_Species_Support!CO16*5))^S13_PSP_Species_Support!CP16))^0.976,0)+IFERROR(S13_PSP_Species_Support!CT16*0.0673*(S13_PSP_Species_Support!CU16*(S13_PSP_Species_Support!CV16*(1-EXP(-S13_PSP_Species_Support!CW16*5))^S13_PSP_Species_Support!CX16)^2*(S13_PSP_Species_Support!CY16*(1-EXP(-S13_PSP_Species_Support!CZ16*5))^S13_PSP_Species_Support!DA16))^0.976,0))/1000/$G29*N$108,0)</x:f>
        <x:v>275.29486313300686</x:v>
      </x:c>
      <x:c r="O29" s="147" t="n">
        <x:f aca="0">IFERROR((IFERROR(S13_PSP_Species_Support!U16*0.0673*(S13_PSP_Species_Support!V16*(S13_PSP_Species_Support!W16*(1-EXP(-S13_PSP_Species_Support!X16*6))^S13_PSP_Species_Support!Y16)^2*(S13_PSP_Species_Support!Z16*(1-EXP(-S13_PSP_Species_Support!AA16*6))^S13_PSP_Species_Support!AB16))^0.976,0)+IFERROR(S13_PSP_Species_Support!AF16*0.0673*(S13_PSP_Species_Support!AG16*(S13_PSP_Species_Support!AH16*(1-EXP(-S13_PSP_Species_Support!AI16*6))^S13_PSP_Species_Support!AJ16)^2*(S13_PSP_Species_Support!AK16*(1-EXP(-S13_PSP_Species_Support!AL16*6))^S13_PSP_Species_Support!AM16))^0.976,0)+IFERROR(S13_PSP_Species_Support!AQ16*0.0673*(S13_PSP_Species_Support!AR16*(S13_PSP_Species_Support!AS16*(1-EXP(-S13_PSP_Species_Support!AT16*6))^S13_PSP_Species_Support!AU16)^2*(S13_PSP_Species_Support!AV16*(1-EXP(-S13_PSP_Species_Support!AW16*6))^S13_PSP_Species_Support!AX16))^0.976,0)+IFERROR(S13_PSP_Species_Support!BB16*0.0673*(S13_PSP_Species_Support!BC16*(S13_PSP_Species_Support!BD16*(1-EXP(-S13_PSP_Species_Support!BE16*6))^S13_PSP_Species_Support!BF16)^2*(S13_PSP_Species_Support!BG16*(1-EXP(-S13_PSP_Species_Support!BH16*6))^S13_PSP_Species_Support!BI16))^0.976,0)+IFERROR(S13_PSP_Species_Support!BM16*0.0673*(S13_PSP_Species_Support!BN16*(S13_PSP_Species_Support!BO16*(1-EXP(-S13_PSP_Species_Support!BP16*6))^S13_PSP_Species_Support!BQ16)^2*(S13_PSP_Species_Support!BR16*(1-EXP(-S13_PSP_Species_Support!BS16*6))^S13_PSP_Species_Support!BT16))^0.976,0)+IFERROR(S13_PSP_Species_Support!BX16*0.0673*(S13_PSP_Species_Support!BY16*(S13_PSP_Species_Support!BZ16*(1-EXP(-S13_PSP_Species_Support!CA16*6))^S13_PSP_Species_Support!CB16)^2*(S13_PSP_Species_Support!CC16*(1-EXP(-S13_PSP_Species_Support!CD16*6))^S13_PSP_Species_Support!CE16))^0.976,0)+IFERROR(S13_PSP_Species_Support!CI16*0.0673*(S13_PSP_Species_Support!CJ16*(S13_PSP_Species_Support!CK16*(1-EXP(-S13_PSP_Species_Support!CL16*6))^S13_PSP_Species_Support!CM16)^2*(S13_PSP_Species_Support!CN16*(1-EXP(-S13_PSP_Species_Support!CO16*6))^S13_PSP_Species_Support!CP16))^0.976,0)+IFERROR(S13_PSP_Species_Support!CT16*0.0673*(S13_PSP_Species_Support!CU16*(S13_PSP_Species_Support!CV16*(1-EXP(-S13_PSP_Species_Support!CW16*6))^S13_PSP_Species_Support!CX16)^2*(S13_PSP_Species_Support!CY16*(1-EXP(-S13_PSP_Species_Support!CZ16*6))^S13_PSP_Species_Support!DA16))^0.976,0))/1000/$G29*O$108,0)</x:f>
        <x:v>453.78132789299747</x:v>
      </x:c>
      <x:c r="P29" s="147" t="n">
        <x:f aca="0">IFERROR((IFERROR(S13_PSP_Species_Support!U16*0.0673*(S13_PSP_Species_Support!V16*(S13_PSP_Species_Support!W16*(1-EXP(-S13_PSP_Species_Support!X16*7))^S13_PSP_Species_Support!Y16)^2*(S13_PSP_Species_Support!Z16*(1-EXP(-S13_PSP_Species_Support!AA16*7))^S13_PSP_Species_Support!AB16))^0.976,0)+IFERROR(S13_PSP_Species_Support!AF16*0.0673*(S13_PSP_Species_Support!AG16*(S13_PSP_Species_Support!AH16*(1-EXP(-S13_PSP_Species_Support!AI16*7))^S13_PSP_Species_Support!AJ16)^2*(S13_PSP_Species_Support!AK16*(1-EXP(-S13_PSP_Species_Support!AL16*7))^S13_PSP_Species_Support!AM16))^0.976,0)+IFERROR(S13_PSP_Species_Support!AQ16*0.0673*(S13_PSP_Species_Support!AR16*(S13_PSP_Species_Support!AS16*(1-EXP(-S13_PSP_Species_Support!AT16*7))^S13_PSP_Species_Support!AU16)^2*(S13_PSP_Species_Support!AV16*(1-EXP(-S13_PSP_Species_Support!AW16*7))^S13_PSP_Species_Support!AX16))^0.976,0)+IFERROR(S13_PSP_Species_Support!BB16*0.0673*(S13_PSP_Species_Support!BC16*(S13_PSP_Species_Support!BD16*(1-EXP(-S13_PSP_Species_Support!BE16*7))^S13_PSP_Species_Support!BF16)^2*(S13_PSP_Species_Support!BG16*(1-EXP(-S13_PSP_Species_Support!BH16*7))^S13_PSP_Species_Support!BI16))^0.976,0)+IFERROR(S13_PSP_Species_Support!BM16*0.0673*(S13_PSP_Species_Support!BN16*(S13_PSP_Species_Support!BO16*(1-EXP(-S13_PSP_Species_Support!BP16*7))^S13_PSP_Species_Support!BQ16)^2*(S13_PSP_Species_Support!BR16*(1-EXP(-S13_PSP_Species_Support!BS16*7))^S13_PSP_Species_Support!BT16))^0.976,0)+IFERROR(S13_PSP_Species_Support!BX16*0.0673*(S13_PSP_Species_Support!BY16*(S13_PSP_Species_Support!BZ16*(1-EXP(-S13_PSP_Species_Support!CA16*7))^S13_PSP_Species_Support!CB16)^2*(S13_PSP_Species_Support!CC16*(1-EXP(-S13_PSP_Species_Support!CD16*7))^S13_PSP_Species_Support!CE16))^0.976,0)+IFERROR(S13_PSP_Species_Support!CI16*0.0673*(S13_PSP_Species_Support!CJ16*(S13_PSP_Species_Support!CK16*(1-EXP(-S13_PSP_Species_Support!CL16*7))^S13_PSP_Species_Support!CM16)^2*(S13_PSP_Species_Support!CN16*(1-EXP(-S13_PSP_Species_Support!CO16*7))^S13_PSP_Species_Support!CP16))^0.976,0)+IFERROR(S13_PSP_Species_Support!CT16*0.0673*(S13_PSP_Species_Support!CU16*(S13_PSP_Species_Support!CV16*(1-EXP(-S13_PSP_Species_Support!CW16*7))^S13_PSP_Species_Support!CX16)^2*(S13_PSP_Species_Support!CY16*(1-EXP(-S13_PSP_Species_Support!CZ16*7))^S13_PSP_Species_Support!DA16))^0.976,0))/1000/$G29*P$108,0)</x:f>
        <x:v>672.0244069033185</x:v>
      </x:c>
      <x:c r="Q29" s="147" t="n">
        <x:f aca="0">IFERROR((IFERROR(S13_PSP_Species_Support!U16*0.0673*(S13_PSP_Species_Support!V16*(S13_PSP_Species_Support!W16*(1-EXP(-S13_PSP_Species_Support!X16*8))^S13_PSP_Species_Support!Y16)^2*(S13_PSP_Species_Support!Z16*(1-EXP(-S13_PSP_Species_Support!AA16*8))^S13_PSP_Species_Support!AB16))^0.976,0)+IFERROR(S13_PSP_Species_Support!AF16*0.0673*(S13_PSP_Species_Support!AG16*(S13_PSP_Species_Support!AH16*(1-EXP(-S13_PSP_Species_Support!AI16*8))^S13_PSP_Species_Support!AJ16)^2*(S13_PSP_Species_Support!AK16*(1-EXP(-S13_PSP_Species_Support!AL16*8))^S13_PSP_Species_Support!AM16))^0.976,0)+IFERROR(S13_PSP_Species_Support!AQ16*0.0673*(S13_PSP_Species_Support!AR16*(S13_PSP_Species_Support!AS16*(1-EXP(-S13_PSP_Species_Support!AT16*8))^S13_PSP_Species_Support!AU16)^2*(S13_PSP_Species_Support!AV16*(1-EXP(-S13_PSP_Species_Support!AW16*8))^S13_PSP_Species_Support!AX16))^0.976,0)+IFERROR(S13_PSP_Species_Support!BB16*0.0673*(S13_PSP_Species_Support!BC16*(S13_PSP_Species_Support!BD16*(1-EXP(-S13_PSP_Species_Support!BE16*8))^S13_PSP_Species_Support!BF16)^2*(S13_PSP_Species_Support!BG16*(1-EXP(-S13_PSP_Species_Support!BH16*8))^S13_PSP_Species_Support!BI16))^0.976,0)+IFERROR(S13_PSP_Species_Support!BM16*0.0673*(S13_PSP_Species_Support!BN16*(S13_PSP_Species_Support!BO16*(1-EXP(-S13_PSP_Species_Support!BP16*8))^S13_PSP_Species_Support!BQ16)^2*(S13_PSP_Species_Support!BR16*(1-EXP(-S13_PSP_Species_Support!BS16*8))^S13_PSP_Species_Support!BT16))^0.976,0)+IFERROR(S13_PSP_Species_Support!BX16*0.0673*(S13_PSP_Species_Support!BY16*(S13_PSP_Species_Support!BZ16*(1-EXP(-S13_PSP_Species_Support!CA16*8))^S13_PSP_Species_Support!CB16)^2*(S13_PSP_Species_Support!CC16*(1-EXP(-S13_PSP_Species_Support!CD16*8))^S13_PSP_Species_Support!CE16))^0.976,0)+IFERROR(S13_PSP_Species_Support!CI16*0.0673*(S13_PSP_Species_Support!CJ16*(S13_PSP_Species_Support!CK16*(1-EXP(-S13_PSP_Species_Support!CL16*8))^S13_PSP_Species_Support!CM16)^2*(S13_PSP_Species_Support!CN16*(1-EXP(-S13_PSP_Species_Support!CO16*8))^S13_PSP_Species_Support!CP16))^0.976,0)+IFERROR(S13_PSP_Species_Support!CT16*0.0673*(S13_PSP_Species_Support!CU16*(S13_PSP_Species_Support!CV16*(1-EXP(-S13_PSP_Species_Support!CW16*8))^S13_PSP_Species_Support!CX16)^2*(S13_PSP_Species_Support!CY16*(1-EXP(-S13_PSP_Species_Support!CZ16*8))^S13_PSP_Species_Support!DA16))^0.976,0))/1000/$G29*Q$108,0)</x:f>
        <x:v>921.5173600932707</x:v>
      </x:c>
      <x:c r="R29" s="147" t="n">
        <x:f aca="0">IFERROR((IFERROR(S13_PSP_Species_Support!U16*0.0673*(S13_PSP_Species_Support!V16*(S13_PSP_Species_Support!W16*(1-EXP(-S13_PSP_Species_Support!X16*9))^S13_PSP_Species_Support!Y16)^2*(S13_PSP_Species_Support!Z16*(1-EXP(-S13_PSP_Species_Support!AA16*9))^S13_PSP_Species_Support!AB16))^0.976,0)+IFERROR(S13_PSP_Species_Support!AF16*0.0673*(S13_PSP_Species_Support!AG16*(S13_PSP_Species_Support!AH16*(1-EXP(-S13_PSP_Species_Support!AI16*9))^S13_PSP_Species_Support!AJ16)^2*(S13_PSP_Species_Support!AK16*(1-EXP(-S13_PSP_Species_Support!AL16*9))^S13_PSP_Species_Support!AM16))^0.976,0)+IFERROR(S13_PSP_Species_Support!AQ16*0.0673*(S13_PSP_Species_Support!AR16*(S13_PSP_Species_Support!AS16*(1-EXP(-S13_PSP_Species_Support!AT16*9))^S13_PSP_Species_Support!AU16)^2*(S13_PSP_Species_Support!AV16*(1-EXP(-S13_PSP_Species_Support!AW16*9))^S13_PSP_Species_Support!AX16))^0.976,0)+IFERROR(S13_PSP_Species_Support!BB16*0.0673*(S13_PSP_Species_Support!BC16*(S13_PSP_Species_Support!BD16*(1-EXP(-S13_PSP_Species_Support!BE16*9))^S13_PSP_Species_Support!BF16)^2*(S13_PSP_Species_Support!BG16*(1-EXP(-S13_PSP_Species_Support!BH16*9))^S13_PSP_Species_Support!BI16))^0.976,0)+IFERROR(S13_PSP_Species_Support!BM16*0.0673*(S13_PSP_Species_Support!BN16*(S13_PSP_Species_Support!BO16*(1-EXP(-S13_PSP_Species_Support!BP16*9))^S13_PSP_Species_Support!BQ16)^2*(S13_PSP_Species_Support!BR16*(1-EXP(-S13_PSP_Species_Support!BS16*9))^S13_PSP_Species_Support!BT16))^0.976,0)+IFERROR(S13_PSP_Species_Support!BX16*0.0673*(S13_PSP_Species_Support!BY16*(S13_PSP_Species_Support!BZ16*(1-EXP(-S13_PSP_Species_Support!CA16*9))^S13_PSP_Species_Support!CB16)^2*(S13_PSP_Species_Support!CC16*(1-EXP(-S13_PSP_Species_Support!CD16*9))^S13_PSP_Species_Support!CE16))^0.976,0)+IFERROR(S13_PSP_Species_Support!CI16*0.0673*(S13_PSP_Species_Support!CJ16*(S13_PSP_Species_Support!CK16*(1-EXP(-S13_PSP_Species_Support!CL16*9))^S13_PSP_Species_Support!CM16)^2*(S13_PSP_Species_Support!CN16*(1-EXP(-S13_PSP_Species_Support!CO16*9))^S13_PSP_Species_Support!CP16))^0.976,0)+IFERROR(S13_PSP_Species_Support!CT16*0.0673*(S13_PSP_Species_Support!CU16*(S13_PSP_Species_Support!CV16*(1-EXP(-S13_PSP_Species_Support!CW16*9))^S13_PSP_Species_Support!CX16)^2*(S13_PSP_Species_Support!CY16*(1-EXP(-S13_PSP_Species_Support!CZ16*9))^S13_PSP_Species_Support!DA16))^0.976,0))/1000/$G29*R$108,0)</x:f>
        <x:v>1192.973407904313</x:v>
      </x:c>
      <x:c r="S29" s="147" t="n">
        <x:f aca="0">IFERROR((IFERROR(S13_PSP_Species_Support!U16*0.0673*(S13_PSP_Species_Support!V16*(S13_PSP_Species_Support!W16*(1-EXP(-S13_PSP_Species_Support!X16*10))^S13_PSP_Species_Support!Y16)^2*(S13_PSP_Species_Support!Z16*(1-EXP(-S13_PSP_Species_Support!AA16*10))^S13_PSP_Species_Support!AB16))^0.976,0)+IFERROR(S13_PSP_Species_Support!AF16*0.0673*(S13_PSP_Species_Support!AG16*(S13_PSP_Species_Support!AH16*(1-EXP(-S13_PSP_Species_Support!AI16*10))^S13_PSP_Species_Support!AJ16)^2*(S13_PSP_Species_Support!AK16*(1-EXP(-S13_PSP_Species_Support!AL16*10))^S13_PSP_Species_Support!AM16))^0.976,0)+IFERROR(S13_PSP_Species_Support!AQ16*0.0673*(S13_PSP_Species_Support!AR16*(S13_PSP_Species_Support!AS16*(1-EXP(-S13_PSP_Species_Support!AT16*10))^S13_PSP_Species_Support!AU16)^2*(S13_PSP_Species_Support!AV16*(1-EXP(-S13_PSP_Species_Support!AW16*10))^S13_PSP_Species_Support!AX16))^0.976,0)+IFERROR(S13_PSP_Species_Support!BB16*0.0673*(S13_PSP_Species_Support!BC16*(S13_PSP_Species_Support!BD16*(1-EXP(-S13_PSP_Species_Support!BE16*10))^S13_PSP_Species_Support!BF16)^2*(S13_PSP_Species_Support!BG16*(1-EXP(-S13_PSP_Species_Support!BH16*10))^S13_PSP_Species_Support!BI16))^0.976,0)+IFERROR(S13_PSP_Species_Support!BM16*0.0673*(S13_PSP_Species_Support!BN16*(S13_PSP_Species_Support!BO16*(1-EXP(-S13_PSP_Species_Support!BP16*10))^S13_PSP_Species_Support!BQ16)^2*(S13_PSP_Species_Support!BR16*(1-EXP(-S13_PSP_Species_Support!BS16*10))^S13_PSP_Species_Support!BT16))^0.976,0)+IFERROR(S13_PSP_Species_Support!BX16*0.0673*(S13_PSP_Species_Support!BY16*(S13_PSP_Species_Support!BZ16*(1-EXP(-S13_PSP_Species_Support!CA16*10))^S13_PSP_Species_Support!CB16)^2*(S13_PSP_Species_Support!CC16*(1-EXP(-S13_PSP_Species_Support!CD16*10))^S13_PSP_Species_Support!CE16))^0.976,0)+IFERROR(S13_PSP_Species_Support!CI16*0.0673*(S13_PSP_Species_Support!CJ16*(S13_PSP_Species_Support!CK16*(1-EXP(-S13_PSP_Species_Support!CL16*10))^S13_PSP_Species_Support!CM16)^2*(S13_PSP_Species_Support!CN16*(1-EXP(-S13_PSP_Species_Support!CO16*10))^S13_PSP_Species_Support!CP16))^0.976,0)+IFERROR(S13_PSP_Species_Support!CT16*0.0673*(S13_PSP_Species_Support!CU16*(S13_PSP_Species_Support!CV16*(1-EXP(-S13_PSP_Species_Support!CW16*10))^S13_PSP_Species_Support!CX16)^2*(S13_PSP_Species_Support!CY16*(1-EXP(-S13_PSP_Species_Support!CZ16*10))^S13_PSP_Species_Support!DA16))^0.976,0))/1000/$G29*S$108,0)</x:f>
        <x:v>1477.4326809209463</x:v>
      </x:c>
      <x:c r="T29" s="147" t="n">
        <x:f aca="0">IFERROR((IFERROR(S13_PSP_Species_Support!U16*0.0673*(S13_PSP_Species_Support!V16*(S13_PSP_Species_Support!W16*(1-EXP(-S13_PSP_Species_Support!X16*11))^S13_PSP_Species_Support!Y16)^2*(S13_PSP_Species_Support!Z16*(1-EXP(-S13_PSP_Species_Support!AA16*11))^S13_PSP_Species_Support!AB16))^0.976,0)+IFERROR(S13_PSP_Species_Support!AF16*0.0673*(S13_PSP_Species_Support!AG16*(S13_PSP_Species_Support!AH16*(1-EXP(-S13_PSP_Species_Support!AI16*11))^S13_PSP_Species_Support!AJ16)^2*(S13_PSP_Species_Support!AK16*(1-EXP(-S13_PSP_Species_Support!AL16*11))^S13_PSP_Species_Support!AM16))^0.976,0)+IFERROR(S13_PSP_Species_Support!AQ16*0.0673*(S13_PSP_Species_Support!AR16*(S13_PSP_Species_Support!AS16*(1-EXP(-S13_PSP_Species_Support!AT16*11))^S13_PSP_Species_Support!AU16)^2*(S13_PSP_Species_Support!AV16*(1-EXP(-S13_PSP_Species_Support!AW16*11))^S13_PSP_Species_Support!AX16))^0.976,0)+IFERROR(S13_PSP_Species_Support!BB16*0.0673*(S13_PSP_Species_Support!BC16*(S13_PSP_Species_Support!BD16*(1-EXP(-S13_PSP_Species_Support!BE16*11))^S13_PSP_Species_Support!BF16)^2*(S13_PSP_Species_Support!BG16*(1-EXP(-S13_PSP_Species_Support!BH16*11))^S13_PSP_Species_Support!BI16))^0.976,0)+IFERROR(S13_PSP_Species_Support!BM16*0.0673*(S13_PSP_Species_Support!BN16*(S13_PSP_Species_Support!BO16*(1-EXP(-S13_PSP_Species_Support!BP16*11))^S13_PSP_Species_Support!BQ16)^2*(S13_PSP_Species_Support!BR16*(1-EXP(-S13_PSP_Species_Support!BS16*11))^S13_PSP_Species_Support!BT16))^0.976,0)+IFERROR(S13_PSP_Species_Support!BX16*0.0673*(S13_PSP_Species_Support!BY16*(S13_PSP_Species_Support!BZ16*(1-EXP(-S13_PSP_Species_Support!CA16*11))^S13_PSP_Species_Support!CB16)^2*(S13_PSP_Species_Support!CC16*(1-EXP(-S13_PSP_Species_Support!CD16*11))^S13_PSP_Species_Support!CE16))^0.976,0)+IFERROR(S13_PSP_Species_Support!CI16*0.0673*(S13_PSP_Species_Support!CJ16*(S13_PSP_Species_Support!CK16*(1-EXP(-S13_PSP_Species_Support!CL16*11))^S13_PSP_Species_Support!CM16)^2*(S13_PSP_Species_Support!CN16*(1-EXP(-S13_PSP_Species_Support!CO16*11))^S13_PSP_Species_Support!CP16))^0.976,0)+IFERROR(S13_PSP_Species_Support!CT16*0.0673*(S13_PSP_Species_Support!CU16*(S13_PSP_Species_Support!CV16*(1-EXP(-S13_PSP_Species_Support!CW16*11))^S13_PSP_Species_Support!CX16)^2*(S13_PSP_Species_Support!CY16*(1-EXP(-S13_PSP_Species_Support!CZ16*11))^S13_PSP_Species_Support!DA16))^0.976,0))/1000/$G29*T$108,0)</x:f>
        <x:v>1766.9144273497993</x:v>
      </x:c>
      <x:c r="U29" s="147" t="n">
        <x:f aca="0">IFERROR((IFERROR(S13_PSP_Species_Support!U16*0.0673*(S13_PSP_Species_Support!V16*(S13_PSP_Species_Support!W16*(1-EXP(-S13_PSP_Species_Support!X16*12))^S13_PSP_Species_Support!Y16)^2*(S13_PSP_Species_Support!Z16*(1-EXP(-S13_PSP_Species_Support!AA16*12))^S13_PSP_Species_Support!AB16))^0.976,0)+IFERROR(S13_PSP_Species_Support!AF16*0.0673*(S13_PSP_Species_Support!AG16*(S13_PSP_Species_Support!AH16*(1-EXP(-S13_PSP_Species_Support!AI16*12))^S13_PSP_Species_Support!AJ16)^2*(S13_PSP_Species_Support!AK16*(1-EXP(-S13_PSP_Species_Support!AL16*12))^S13_PSP_Species_Support!AM16))^0.976,0)+IFERROR(S13_PSP_Species_Support!AQ16*0.0673*(S13_PSP_Species_Support!AR16*(S13_PSP_Species_Support!AS16*(1-EXP(-S13_PSP_Species_Support!AT16*12))^S13_PSP_Species_Support!AU16)^2*(S13_PSP_Species_Support!AV16*(1-EXP(-S13_PSP_Species_Support!AW16*12))^S13_PSP_Species_Support!AX16))^0.976,0)+IFERROR(S13_PSP_Species_Support!BB16*0.0673*(S13_PSP_Species_Support!BC16*(S13_PSP_Species_Support!BD16*(1-EXP(-S13_PSP_Species_Support!BE16*12))^S13_PSP_Species_Support!BF16)^2*(S13_PSP_Species_Support!BG16*(1-EXP(-S13_PSP_Species_Support!BH16*12))^S13_PSP_Species_Support!BI16))^0.976,0)+IFERROR(S13_PSP_Species_Support!BM16*0.0673*(S13_PSP_Species_Support!BN16*(S13_PSP_Species_Support!BO16*(1-EXP(-S13_PSP_Species_Support!BP16*12))^S13_PSP_Species_Support!BQ16)^2*(S13_PSP_Species_Support!BR16*(1-EXP(-S13_PSP_Species_Support!BS16*12))^S13_PSP_Species_Support!BT16))^0.976,0)+IFERROR(S13_PSP_Species_Support!BX16*0.0673*(S13_PSP_Species_Support!BY16*(S13_PSP_Species_Support!BZ16*(1-EXP(-S13_PSP_Species_Support!CA16*12))^S13_PSP_Species_Support!CB16)^2*(S13_PSP_Species_Support!CC16*(1-EXP(-S13_PSP_Species_Support!CD16*12))^S13_PSP_Species_Support!CE16))^0.976,0)+IFERROR(S13_PSP_Species_Support!CI16*0.0673*(S13_PSP_Species_Support!CJ16*(S13_PSP_Species_Support!CK16*(1-EXP(-S13_PSP_Species_Support!CL16*12))^S13_PSP_Species_Support!CM16)^2*(S13_PSP_Species_Support!CN16*(1-EXP(-S13_PSP_Species_Support!CO16*12))^S13_PSP_Species_Support!CP16))^0.976,0)+IFERROR(S13_PSP_Species_Support!CT16*0.0673*(S13_PSP_Species_Support!CU16*(S13_PSP_Species_Support!CV16*(1-EXP(-S13_PSP_Species_Support!CW16*12))^S13_PSP_Species_Support!CX16)^2*(S13_PSP_Species_Support!CY16*(1-EXP(-S13_PSP_Species_Support!CZ16*12))^S13_PSP_Species_Support!DA16))^0.976,0))/1000/$G29*U$108,0)</x:f>
        <x:v>2054.7290809843225</x:v>
      </x:c>
      <x:c r="V29" s="147" t="n">
        <x:f aca="0">IFERROR((IFERROR(S13_PSP_Species_Support!U16*0.0673*(S13_PSP_Species_Support!V16*(S13_PSP_Species_Support!W16*(1-EXP(-S13_PSP_Species_Support!X16*13))^S13_PSP_Species_Support!Y16)^2*(S13_PSP_Species_Support!Z16*(1-EXP(-S13_PSP_Species_Support!AA16*13))^S13_PSP_Species_Support!AB16))^0.976,0)+IFERROR(S13_PSP_Species_Support!AF16*0.0673*(S13_PSP_Species_Support!AG16*(S13_PSP_Species_Support!AH16*(1-EXP(-S13_PSP_Species_Support!AI16*13))^S13_PSP_Species_Support!AJ16)^2*(S13_PSP_Species_Support!AK16*(1-EXP(-S13_PSP_Species_Support!AL16*13))^S13_PSP_Species_Support!AM16))^0.976,0)+IFERROR(S13_PSP_Species_Support!AQ16*0.0673*(S13_PSP_Species_Support!AR16*(S13_PSP_Species_Support!AS16*(1-EXP(-S13_PSP_Species_Support!AT16*13))^S13_PSP_Species_Support!AU16)^2*(S13_PSP_Species_Support!AV16*(1-EXP(-S13_PSP_Species_Support!AW16*13))^S13_PSP_Species_Support!AX16))^0.976,0)+IFERROR(S13_PSP_Species_Support!BB16*0.0673*(S13_PSP_Species_Support!BC16*(S13_PSP_Species_Support!BD16*(1-EXP(-S13_PSP_Species_Support!BE16*13))^S13_PSP_Species_Support!BF16)^2*(S13_PSP_Species_Support!BG16*(1-EXP(-S13_PSP_Species_Support!BH16*13))^S13_PSP_Species_Support!BI16))^0.976,0)+IFERROR(S13_PSP_Species_Support!BM16*0.0673*(S13_PSP_Species_Support!BN16*(S13_PSP_Species_Support!BO16*(1-EXP(-S13_PSP_Species_Support!BP16*13))^S13_PSP_Species_Support!BQ16)^2*(S13_PSP_Species_Support!BR16*(1-EXP(-S13_PSP_Species_Support!BS16*13))^S13_PSP_Species_Support!BT16))^0.976,0)+IFERROR(S13_PSP_Species_Support!BX16*0.0673*(S13_PSP_Species_Support!BY16*(S13_PSP_Species_Support!BZ16*(1-EXP(-S13_PSP_Species_Support!CA16*13))^S13_PSP_Species_Support!CB16)^2*(S13_PSP_Species_Support!CC16*(1-EXP(-S13_PSP_Species_Support!CD16*13))^S13_PSP_Species_Support!CE16))^0.976,0)+IFERROR(S13_PSP_Species_Support!CI16*0.0673*(S13_PSP_Species_Support!CJ16*(S13_PSP_Species_Support!CK16*(1-EXP(-S13_PSP_Species_Support!CL16*13))^S13_PSP_Species_Support!CM16)^2*(S13_PSP_Species_Support!CN16*(1-EXP(-S13_PSP_Species_Support!CO16*13))^S13_PSP_Species_Support!CP16))^0.976,0)+IFERROR(S13_PSP_Species_Support!CT16*0.0673*(S13_PSP_Species_Support!CU16*(S13_PSP_Species_Support!CV16*(1-EXP(-S13_PSP_Species_Support!CW16*13))^S13_PSP_Species_Support!CX16)^2*(S13_PSP_Species_Support!CY16*(1-EXP(-S13_PSP_Species_Support!CZ16*13))^S13_PSP_Species_Support!DA16))^0.976,0))/1000/$G29*V$108,0)</x:f>
        <x:v>2335.559252130502</x:v>
      </x:c>
      <x:c r="W29" s="147" t="n">
        <x:f aca="0">IFERROR((IFERROR(S13_PSP_Species_Support!U16*0.0673*(S13_PSP_Species_Support!V16*(S13_PSP_Species_Support!W16*(1-EXP(-S13_PSP_Species_Support!X16*14))^S13_PSP_Species_Support!Y16)^2*(S13_PSP_Species_Support!Z16*(1-EXP(-S13_PSP_Species_Support!AA16*14))^S13_PSP_Species_Support!AB16))^0.976,0)+IFERROR(S13_PSP_Species_Support!AF16*0.0673*(S13_PSP_Species_Support!AG16*(S13_PSP_Species_Support!AH16*(1-EXP(-S13_PSP_Species_Support!AI16*14))^S13_PSP_Species_Support!AJ16)^2*(S13_PSP_Species_Support!AK16*(1-EXP(-S13_PSP_Species_Support!AL16*14))^S13_PSP_Species_Support!AM16))^0.976,0)+IFERROR(S13_PSP_Species_Support!AQ16*0.0673*(S13_PSP_Species_Support!AR16*(S13_PSP_Species_Support!AS16*(1-EXP(-S13_PSP_Species_Support!AT16*14))^S13_PSP_Species_Support!AU16)^2*(S13_PSP_Species_Support!AV16*(1-EXP(-S13_PSP_Species_Support!AW16*14))^S13_PSP_Species_Support!AX16))^0.976,0)+IFERROR(S13_PSP_Species_Support!BB16*0.0673*(S13_PSP_Species_Support!BC16*(S13_PSP_Species_Support!BD16*(1-EXP(-S13_PSP_Species_Support!BE16*14))^S13_PSP_Species_Support!BF16)^2*(S13_PSP_Species_Support!BG16*(1-EXP(-S13_PSP_Species_Support!BH16*14))^S13_PSP_Species_Support!BI16))^0.976,0)+IFERROR(S13_PSP_Species_Support!BM16*0.0673*(S13_PSP_Species_Support!BN16*(S13_PSP_Species_Support!BO16*(1-EXP(-S13_PSP_Species_Support!BP16*14))^S13_PSP_Species_Support!BQ16)^2*(S13_PSP_Species_Support!BR16*(1-EXP(-S13_PSP_Species_Support!BS16*14))^S13_PSP_Species_Support!BT16))^0.976,0)+IFERROR(S13_PSP_Species_Support!BX16*0.0673*(S13_PSP_Species_Support!BY16*(S13_PSP_Species_Support!BZ16*(1-EXP(-S13_PSP_Species_Support!CA16*14))^S13_PSP_Species_Support!CB16)^2*(S13_PSP_Species_Support!CC16*(1-EXP(-S13_PSP_Species_Support!CD16*14))^S13_PSP_Species_Support!CE16))^0.976,0)+IFERROR(S13_PSP_Species_Support!CI16*0.0673*(S13_PSP_Species_Support!CJ16*(S13_PSP_Species_Support!CK16*(1-EXP(-S13_PSP_Species_Support!CL16*14))^S13_PSP_Species_Support!CM16)^2*(S13_PSP_Species_Support!CN16*(1-EXP(-S13_PSP_Species_Support!CO16*14))^S13_PSP_Species_Support!CP16))^0.976,0)+IFERROR(S13_PSP_Species_Support!CT16*0.0673*(S13_PSP_Species_Support!CU16*(S13_PSP_Species_Support!CV16*(1-EXP(-S13_PSP_Species_Support!CW16*14))^S13_PSP_Species_Support!CX16)^2*(S13_PSP_Species_Support!CY16*(1-EXP(-S13_PSP_Species_Support!CZ16*14))^S13_PSP_Species_Support!DA16))^0.976,0))/1000/$G29*W$108,0)</x:f>
        <x:v>2605.397641313159</x:v>
      </x:c>
      <x:c r="X29" s="147" t="n">
        <x:f aca="0">IFERROR((IFERROR(S13_PSP_Species_Support!U16*0.0673*(S13_PSP_Species_Support!V16*(S13_PSP_Species_Support!W16*(1-EXP(-S13_PSP_Species_Support!X16*15))^S13_PSP_Species_Support!Y16)^2*(S13_PSP_Species_Support!Z16*(1-EXP(-S13_PSP_Species_Support!AA16*15))^S13_PSP_Species_Support!AB16))^0.976,0)+IFERROR(S13_PSP_Species_Support!AF16*0.0673*(S13_PSP_Species_Support!AG16*(S13_PSP_Species_Support!AH16*(1-EXP(-S13_PSP_Species_Support!AI16*15))^S13_PSP_Species_Support!AJ16)^2*(S13_PSP_Species_Support!AK16*(1-EXP(-S13_PSP_Species_Support!AL16*15))^S13_PSP_Species_Support!AM16))^0.976,0)+IFERROR(S13_PSP_Species_Support!AQ16*0.0673*(S13_PSP_Species_Support!AR16*(S13_PSP_Species_Support!AS16*(1-EXP(-S13_PSP_Species_Support!AT16*15))^S13_PSP_Species_Support!AU16)^2*(S13_PSP_Species_Support!AV16*(1-EXP(-S13_PSP_Species_Support!AW16*15))^S13_PSP_Species_Support!AX16))^0.976,0)+IFERROR(S13_PSP_Species_Support!BB16*0.0673*(S13_PSP_Species_Support!BC16*(S13_PSP_Species_Support!BD16*(1-EXP(-S13_PSP_Species_Support!BE16*15))^S13_PSP_Species_Support!BF16)^2*(S13_PSP_Species_Support!BG16*(1-EXP(-S13_PSP_Species_Support!BH16*15))^S13_PSP_Species_Support!BI16))^0.976,0)+IFERROR(S13_PSP_Species_Support!BM16*0.0673*(S13_PSP_Species_Support!BN16*(S13_PSP_Species_Support!BO16*(1-EXP(-S13_PSP_Species_Support!BP16*15))^S13_PSP_Species_Support!BQ16)^2*(S13_PSP_Species_Support!BR16*(1-EXP(-S13_PSP_Species_Support!BS16*15))^S13_PSP_Species_Support!BT16))^0.976,0)+IFERROR(S13_PSP_Species_Support!BX16*0.0673*(S13_PSP_Species_Support!BY16*(S13_PSP_Species_Support!BZ16*(1-EXP(-S13_PSP_Species_Support!CA16*15))^S13_PSP_Species_Support!CB16)^2*(S13_PSP_Species_Support!CC16*(1-EXP(-S13_PSP_Species_Support!CD16*15))^S13_PSP_Species_Support!CE16))^0.976,0)+IFERROR(S13_PSP_Species_Support!CI16*0.0673*(S13_PSP_Species_Support!CJ16*(S13_PSP_Species_Support!CK16*(1-EXP(-S13_PSP_Species_Support!CL16*15))^S13_PSP_Species_Support!CM16)^2*(S13_PSP_Species_Support!CN16*(1-EXP(-S13_PSP_Species_Support!CO16*15))^S13_PSP_Species_Support!CP16))^0.976,0)+IFERROR(S13_PSP_Species_Support!CT16*0.0673*(S13_PSP_Species_Support!CU16*(S13_PSP_Species_Support!CV16*(1-EXP(-S13_PSP_Species_Support!CW16*15))^S13_PSP_Species_Support!CX16)^2*(S13_PSP_Species_Support!CY16*(1-EXP(-S13_PSP_Species_Support!CZ16*15))^S13_PSP_Species_Support!DA16))^0.976,0))/1000/$G29*X$108,0)</x:f>
        <x:v>2861.4064515446853</x:v>
      </x:c>
      <x:c r="Y29" s="147" t="n">
        <x:f aca="0">IFERROR((IFERROR(S13_PSP_Species_Support!U16*0.0673*(S13_PSP_Species_Support!V16*(S13_PSP_Species_Support!W16*(1-EXP(-S13_PSP_Species_Support!X16*16))^S13_PSP_Species_Support!Y16)^2*(S13_PSP_Species_Support!Z16*(1-EXP(-S13_PSP_Species_Support!AA16*16))^S13_PSP_Species_Support!AB16))^0.976,0)+IFERROR(S13_PSP_Species_Support!AF16*0.0673*(S13_PSP_Species_Support!AG16*(S13_PSP_Species_Support!AH16*(1-EXP(-S13_PSP_Species_Support!AI16*16))^S13_PSP_Species_Support!AJ16)^2*(S13_PSP_Species_Support!AK16*(1-EXP(-S13_PSP_Species_Support!AL16*16))^S13_PSP_Species_Support!AM16))^0.976,0)+IFERROR(S13_PSP_Species_Support!AQ16*0.0673*(S13_PSP_Species_Support!AR16*(S13_PSP_Species_Support!AS16*(1-EXP(-S13_PSP_Species_Support!AT16*16))^S13_PSP_Species_Support!AU16)^2*(S13_PSP_Species_Support!AV16*(1-EXP(-S13_PSP_Species_Support!AW16*16))^S13_PSP_Species_Support!AX16))^0.976,0)+IFERROR(S13_PSP_Species_Support!BB16*0.0673*(S13_PSP_Species_Support!BC16*(S13_PSP_Species_Support!BD16*(1-EXP(-S13_PSP_Species_Support!BE16*16))^S13_PSP_Species_Support!BF16)^2*(S13_PSP_Species_Support!BG16*(1-EXP(-S13_PSP_Species_Support!BH16*16))^S13_PSP_Species_Support!BI16))^0.976,0)+IFERROR(S13_PSP_Species_Support!BM16*0.0673*(S13_PSP_Species_Support!BN16*(S13_PSP_Species_Support!BO16*(1-EXP(-S13_PSP_Species_Support!BP16*16))^S13_PSP_Species_Support!BQ16)^2*(S13_PSP_Species_Support!BR16*(1-EXP(-S13_PSP_Species_Support!BS16*16))^S13_PSP_Species_Support!BT16))^0.976,0)+IFERROR(S13_PSP_Species_Support!BX16*0.0673*(S13_PSP_Species_Support!BY16*(S13_PSP_Species_Support!BZ16*(1-EXP(-S13_PSP_Species_Support!CA16*16))^S13_PSP_Species_Support!CB16)^2*(S13_PSP_Species_Support!CC16*(1-EXP(-S13_PSP_Species_Support!CD16*16))^S13_PSP_Species_Support!CE16))^0.976,0)+IFERROR(S13_PSP_Species_Support!CI16*0.0673*(S13_PSP_Species_Support!CJ16*(S13_PSP_Species_Support!CK16*(1-EXP(-S13_PSP_Species_Support!CL16*16))^S13_PSP_Species_Support!CM16)^2*(S13_PSP_Species_Support!CN16*(1-EXP(-S13_PSP_Species_Support!CO16*16))^S13_PSP_Species_Support!CP16))^0.976,0)+IFERROR(S13_PSP_Species_Support!CT16*0.0673*(S13_PSP_Species_Support!CU16*(S13_PSP_Species_Support!CV16*(1-EXP(-S13_PSP_Species_Support!CW16*16))^S13_PSP_Species_Support!CX16)^2*(S13_PSP_Species_Support!CY16*(1-EXP(-S13_PSP_Species_Support!CZ16*16))^S13_PSP_Species_Support!DA16))^0.976,0))/1000/$G29*Y$108,0)</x:f>
        <x:v>3101.742407041306</x:v>
      </x:c>
      <x:c r="Z29" s="147" t="n">
        <x:f aca="0">IFERROR((IFERROR(S13_PSP_Species_Support!U16*0.0673*(S13_PSP_Species_Support!V16*(S13_PSP_Species_Support!W16*(1-EXP(-S13_PSP_Species_Support!X16*17))^S13_PSP_Species_Support!Y16)^2*(S13_PSP_Species_Support!Z16*(1-EXP(-S13_PSP_Species_Support!AA16*17))^S13_PSP_Species_Support!AB16))^0.976,0)+IFERROR(S13_PSP_Species_Support!AF16*0.0673*(S13_PSP_Species_Support!AG16*(S13_PSP_Species_Support!AH16*(1-EXP(-S13_PSP_Species_Support!AI16*17))^S13_PSP_Species_Support!AJ16)^2*(S13_PSP_Species_Support!AK16*(1-EXP(-S13_PSP_Species_Support!AL16*17))^S13_PSP_Species_Support!AM16))^0.976,0)+IFERROR(S13_PSP_Species_Support!AQ16*0.0673*(S13_PSP_Species_Support!AR16*(S13_PSP_Species_Support!AS16*(1-EXP(-S13_PSP_Species_Support!AT16*17))^S13_PSP_Species_Support!AU16)^2*(S13_PSP_Species_Support!AV16*(1-EXP(-S13_PSP_Species_Support!AW16*17))^S13_PSP_Species_Support!AX16))^0.976,0)+IFERROR(S13_PSP_Species_Support!BB16*0.0673*(S13_PSP_Species_Support!BC16*(S13_PSP_Species_Support!BD16*(1-EXP(-S13_PSP_Species_Support!BE16*17))^S13_PSP_Species_Support!BF16)^2*(S13_PSP_Species_Support!BG16*(1-EXP(-S13_PSP_Species_Support!BH16*17))^S13_PSP_Species_Support!BI16))^0.976,0)+IFERROR(S13_PSP_Species_Support!BM16*0.0673*(S13_PSP_Species_Support!BN16*(S13_PSP_Species_Support!BO16*(1-EXP(-S13_PSP_Species_Support!BP16*17))^S13_PSP_Species_Support!BQ16)^2*(S13_PSP_Species_Support!BR16*(1-EXP(-S13_PSP_Species_Support!BS16*17))^S13_PSP_Species_Support!BT16))^0.976,0)+IFERROR(S13_PSP_Species_Support!BX16*0.0673*(S13_PSP_Species_Support!BY16*(S13_PSP_Species_Support!BZ16*(1-EXP(-S13_PSP_Species_Support!CA16*17))^S13_PSP_Species_Support!CB16)^2*(S13_PSP_Species_Support!CC16*(1-EXP(-S13_PSP_Species_Support!CD16*17))^S13_PSP_Species_Support!CE16))^0.976,0)+IFERROR(S13_PSP_Species_Support!CI16*0.0673*(S13_PSP_Species_Support!CJ16*(S13_PSP_Species_Support!CK16*(1-EXP(-S13_PSP_Species_Support!CL16*17))^S13_PSP_Species_Support!CM16)^2*(S13_PSP_Species_Support!CN16*(1-EXP(-S13_PSP_Species_Support!CO16*17))^S13_PSP_Species_Support!CP16))^0.976,0)+IFERROR(S13_PSP_Species_Support!CT16*0.0673*(S13_PSP_Species_Support!CU16*(S13_PSP_Species_Support!CV16*(1-EXP(-S13_PSP_Species_Support!CW16*17))^S13_PSP_Species_Support!CX16)^2*(S13_PSP_Species_Support!CY16*(1-EXP(-S13_PSP_Species_Support!CZ16*17))^S13_PSP_Species_Support!DA16))^0.976,0))/1000/$G29*Z$108,0)</x:f>
        <x:v>3325.3755177021903</x:v>
      </x:c>
      <x:c r="AA29" s="147" t="n">
        <x:f aca="0">IFERROR((IFERROR(S13_PSP_Species_Support!U16*0.0673*(S13_PSP_Species_Support!V16*(S13_PSP_Species_Support!W16*(1-EXP(-S13_PSP_Species_Support!X16*18))^S13_PSP_Species_Support!Y16)^2*(S13_PSP_Species_Support!Z16*(1-EXP(-S13_PSP_Species_Support!AA16*18))^S13_PSP_Species_Support!AB16))^0.976,0)+IFERROR(S13_PSP_Species_Support!AF16*0.0673*(S13_PSP_Species_Support!AG16*(S13_PSP_Species_Support!AH16*(1-EXP(-S13_PSP_Species_Support!AI16*18))^S13_PSP_Species_Support!AJ16)^2*(S13_PSP_Species_Support!AK16*(1-EXP(-S13_PSP_Species_Support!AL16*18))^S13_PSP_Species_Support!AM16))^0.976,0)+IFERROR(S13_PSP_Species_Support!AQ16*0.0673*(S13_PSP_Species_Support!AR16*(S13_PSP_Species_Support!AS16*(1-EXP(-S13_PSP_Species_Support!AT16*18))^S13_PSP_Species_Support!AU16)^2*(S13_PSP_Species_Support!AV16*(1-EXP(-S13_PSP_Species_Support!AW16*18))^S13_PSP_Species_Support!AX16))^0.976,0)+IFERROR(S13_PSP_Species_Support!BB16*0.0673*(S13_PSP_Species_Support!BC16*(S13_PSP_Species_Support!BD16*(1-EXP(-S13_PSP_Species_Support!BE16*18))^S13_PSP_Species_Support!BF16)^2*(S13_PSP_Species_Support!BG16*(1-EXP(-S13_PSP_Species_Support!BH16*18))^S13_PSP_Species_Support!BI16))^0.976,0)+IFERROR(S13_PSP_Species_Support!BM16*0.0673*(S13_PSP_Species_Support!BN16*(S13_PSP_Species_Support!BO16*(1-EXP(-S13_PSP_Species_Support!BP16*18))^S13_PSP_Species_Support!BQ16)^2*(S13_PSP_Species_Support!BR16*(1-EXP(-S13_PSP_Species_Support!BS16*18))^S13_PSP_Species_Support!BT16))^0.976,0)+IFERROR(S13_PSP_Species_Support!BX16*0.0673*(S13_PSP_Species_Support!BY16*(S13_PSP_Species_Support!BZ16*(1-EXP(-S13_PSP_Species_Support!CA16*18))^S13_PSP_Species_Support!CB16)^2*(S13_PSP_Species_Support!CC16*(1-EXP(-S13_PSP_Species_Support!CD16*18))^S13_PSP_Species_Support!CE16))^0.976,0)+IFERROR(S13_PSP_Species_Support!CI16*0.0673*(S13_PSP_Species_Support!CJ16*(S13_PSP_Species_Support!CK16*(1-EXP(-S13_PSP_Species_Support!CL16*18))^S13_PSP_Species_Support!CM16)^2*(S13_PSP_Species_Support!CN16*(1-EXP(-S13_PSP_Species_Support!CO16*18))^S13_PSP_Species_Support!CP16))^0.976,0)+IFERROR(S13_PSP_Species_Support!CT16*0.0673*(S13_PSP_Species_Support!CU16*(S13_PSP_Species_Support!CV16*(1-EXP(-S13_PSP_Species_Support!CW16*18))^S13_PSP_Species_Support!CX16)^2*(S13_PSP_Species_Support!CY16*(1-EXP(-S13_PSP_Species_Support!CZ16*18))^S13_PSP_Species_Support!DA16))^0.976,0))/1000/$G29*AA$108,0)</x:f>
        <x:v>3531.9181366145144</x:v>
      </x:c>
      <x:c r="AB29" s="147" t="n">
        <x:f aca="0">IFERROR((IFERROR(S13_PSP_Species_Support!U16*0.0673*(S13_PSP_Species_Support!V16*(S13_PSP_Species_Support!W16*(1-EXP(-S13_PSP_Species_Support!X16*19))^S13_PSP_Species_Support!Y16)^2*(S13_PSP_Species_Support!Z16*(1-EXP(-S13_PSP_Species_Support!AA16*19))^S13_PSP_Species_Support!AB16))^0.976,0)+IFERROR(S13_PSP_Species_Support!AF16*0.0673*(S13_PSP_Species_Support!AG16*(S13_PSP_Species_Support!AH16*(1-EXP(-S13_PSP_Species_Support!AI16*19))^S13_PSP_Species_Support!AJ16)^2*(S13_PSP_Species_Support!AK16*(1-EXP(-S13_PSP_Species_Support!AL16*19))^S13_PSP_Species_Support!AM16))^0.976,0)+IFERROR(S13_PSP_Species_Support!AQ16*0.0673*(S13_PSP_Species_Support!AR16*(S13_PSP_Species_Support!AS16*(1-EXP(-S13_PSP_Species_Support!AT16*19))^S13_PSP_Species_Support!AU16)^2*(S13_PSP_Species_Support!AV16*(1-EXP(-S13_PSP_Species_Support!AW16*19))^S13_PSP_Species_Support!AX16))^0.976,0)+IFERROR(S13_PSP_Species_Support!BB16*0.0673*(S13_PSP_Species_Support!BC16*(S13_PSP_Species_Support!BD16*(1-EXP(-S13_PSP_Species_Support!BE16*19))^S13_PSP_Species_Support!BF16)^2*(S13_PSP_Species_Support!BG16*(1-EXP(-S13_PSP_Species_Support!BH16*19))^S13_PSP_Species_Support!BI16))^0.976,0)+IFERROR(S13_PSP_Species_Support!BM16*0.0673*(S13_PSP_Species_Support!BN16*(S13_PSP_Species_Support!BO16*(1-EXP(-S13_PSP_Species_Support!BP16*19))^S13_PSP_Species_Support!BQ16)^2*(S13_PSP_Species_Support!BR16*(1-EXP(-S13_PSP_Species_Support!BS16*19))^S13_PSP_Species_Support!BT16))^0.976,0)+IFERROR(S13_PSP_Species_Support!BX16*0.0673*(S13_PSP_Species_Support!BY16*(S13_PSP_Species_Support!BZ16*(1-EXP(-S13_PSP_Species_Support!CA16*19))^S13_PSP_Species_Support!CB16)^2*(S13_PSP_Species_Support!CC16*(1-EXP(-S13_PSP_Species_Support!CD16*19))^S13_PSP_Species_Support!CE16))^0.976,0)+IFERROR(S13_PSP_Species_Support!CI16*0.0673*(S13_PSP_Species_Support!CJ16*(S13_PSP_Species_Support!CK16*(1-EXP(-S13_PSP_Species_Support!CL16*19))^S13_PSP_Species_Support!CM16)^2*(S13_PSP_Species_Support!CN16*(1-EXP(-S13_PSP_Species_Support!CO16*19))^S13_PSP_Species_Support!CP16))^0.976,0)+IFERROR(S13_PSP_Species_Support!CT16*0.0673*(S13_PSP_Species_Support!CU16*(S13_PSP_Species_Support!CV16*(1-EXP(-S13_PSP_Species_Support!CW16*19))^S13_PSP_Species_Support!CX16)^2*(S13_PSP_Species_Support!CY16*(1-EXP(-S13_PSP_Species_Support!CZ16*19))^S13_PSP_Species_Support!DA16))^0.976,0))/1000/$G29*AB$108,0)</x:f>
        <x:v>3721.4729044933383</x:v>
      </x:c>
      <x:c r="AC29" s="147" t="n">
        <x:f aca="0">IFERROR((IFERROR(S13_PSP_Species_Support!U16*0.0673*(S13_PSP_Species_Support!V16*(S13_PSP_Species_Support!W16*(1-EXP(-S13_PSP_Species_Support!X16*20))^S13_PSP_Species_Support!Y16)^2*(S13_PSP_Species_Support!Z16*(1-EXP(-S13_PSP_Species_Support!AA16*20))^S13_PSP_Species_Support!AB16))^0.976,0)+IFERROR(S13_PSP_Species_Support!AF16*0.0673*(S13_PSP_Species_Support!AG16*(S13_PSP_Species_Support!AH16*(1-EXP(-S13_PSP_Species_Support!AI16*20))^S13_PSP_Species_Support!AJ16)^2*(S13_PSP_Species_Support!AK16*(1-EXP(-S13_PSP_Species_Support!AL16*20))^S13_PSP_Species_Support!AM16))^0.976,0)+IFERROR(S13_PSP_Species_Support!AQ16*0.0673*(S13_PSP_Species_Support!AR16*(S13_PSP_Species_Support!AS16*(1-EXP(-S13_PSP_Species_Support!AT16*20))^S13_PSP_Species_Support!AU16)^2*(S13_PSP_Species_Support!AV16*(1-EXP(-S13_PSP_Species_Support!AW16*20))^S13_PSP_Species_Support!AX16))^0.976,0)+IFERROR(S13_PSP_Species_Support!BB16*0.0673*(S13_PSP_Species_Support!BC16*(S13_PSP_Species_Support!BD16*(1-EXP(-S13_PSP_Species_Support!BE16*20))^S13_PSP_Species_Support!BF16)^2*(S13_PSP_Species_Support!BG16*(1-EXP(-S13_PSP_Species_Support!BH16*20))^S13_PSP_Species_Support!BI16))^0.976,0)+IFERROR(S13_PSP_Species_Support!BM16*0.0673*(S13_PSP_Species_Support!BN16*(S13_PSP_Species_Support!BO16*(1-EXP(-S13_PSP_Species_Support!BP16*20))^S13_PSP_Species_Support!BQ16)^2*(S13_PSP_Species_Support!BR16*(1-EXP(-S13_PSP_Species_Support!BS16*20))^S13_PSP_Species_Support!BT16))^0.976,0)+IFERROR(S13_PSP_Species_Support!BX16*0.0673*(S13_PSP_Species_Support!BY16*(S13_PSP_Species_Support!BZ16*(1-EXP(-S13_PSP_Species_Support!CA16*20))^S13_PSP_Species_Support!CB16)^2*(S13_PSP_Species_Support!CC16*(1-EXP(-S13_PSP_Species_Support!CD16*20))^S13_PSP_Species_Support!CE16))^0.976,0)+IFERROR(S13_PSP_Species_Support!CI16*0.0673*(S13_PSP_Species_Support!CJ16*(S13_PSP_Species_Support!CK16*(1-EXP(-S13_PSP_Species_Support!CL16*20))^S13_PSP_Species_Support!CM16)^2*(S13_PSP_Species_Support!CN16*(1-EXP(-S13_PSP_Species_Support!CO16*20))^S13_PSP_Species_Support!CP16))^0.976,0)+IFERROR(S13_PSP_Species_Support!CT16*0.0673*(S13_PSP_Species_Support!CU16*(S13_PSP_Species_Support!CV16*(1-EXP(-S13_PSP_Species_Support!CW16*20))^S13_PSP_Species_Support!CX16)^2*(S13_PSP_Species_Support!CY16*(1-EXP(-S13_PSP_Species_Support!CZ16*20))^S13_PSP_Species_Support!DA16))^0.976,0))/1000/$G29*AC$108,0)</x:f>
        <x:v>3894.5030002708813</x:v>
      </x:c>
      <x:c r="AD29" s="148" t="n">
        <x:f aca="0">IF(2020&lt;$F29,0,INDEX($I29:$AC29,1,2020-$F29+1))</x:f>
        <x:v>0</x:v>
      </x:c>
      <x:c r="AE29" s="148" t="n">
        <x:f aca="0">IF(2021&lt;$F29,0,INDEX($I29:$AC29,1,2021-$F29+1))</x:f>
        <x:v>1.2027952181688553</x:v>
      </x:c>
      <x:c r="AF29" s="148" t="n">
        <x:f aca="0">IF(2022&lt;$F29,0,INDEX($I29:$AC29,1,2022-$F29+1))</x:f>
        <x:v>14.660571312908555</x:v>
      </x:c>
      <x:c r="AG29" s="148" t="n">
        <x:f aca="0">IF(2023&lt;$F29,0,INDEX($I29:$AC29,1,2023-$F29+1))</x:f>
        <x:v>57.4269819630539</x:v>
      </x:c>
      <x:c r="AH29" s="148" t="n">
        <x:f aca="0">IF(2024&lt;$F29,0,INDEX($I29:$AC29,1,2024-$F29+1))</x:f>
        <x:v>142.65405510329822</x:v>
      </x:c>
      <x:c r="AI29" s="148" t="n">
        <x:f aca="0">IF(2025&lt;$F29,0,INDEX($I29:$AC29,1,2025-$F29+1))</x:f>
        <x:v>275.29486313300686</x:v>
      </x:c>
      <x:c r="AJ29" s="148" t="n">
        <x:f aca="0">IF(2026&lt;$F29,0,INDEX($I29:$AC29,1,2026-$F29+1))</x:f>
        <x:v>453.78132789299747</x:v>
      </x:c>
      <x:c r="AK29" s="148" t="n">
        <x:f aca="0">IF(2027&lt;$F29,0,INDEX($I29:$AC29,1,2027-$F29+1))</x:f>
        <x:v>672.0244069033185</x:v>
      </x:c>
      <x:c r="AL29" s="148" t="n">
        <x:f aca="0">IF(2028&lt;$F29,0,INDEX($I29:$AC29,1,2028-$F29+1))</x:f>
        <x:v>921.5173600932707</x:v>
      </x:c>
      <x:c r="AM29" s="148" t="n">
        <x:f aca="0">IF(2029&lt;$F29,0,INDEX($I29:$AC29,1,2029-$F29+1))</x:f>
        <x:v>1192.973407904313</x:v>
      </x:c>
      <x:c r="AN29" s="148" t="n">
        <x:f aca="0">IF(2030&lt;$F29,0,INDEX($I29:$AC29,1,2030-$F29+1))</x:f>
        <x:v>1477.4326809209463</x:v>
      </x:c>
      <x:c r="AO29" s="148" t="n">
        <x:f aca="0">IF(2031&lt;$F29,0,INDEX($I29:$AC29,1,2031-$F29+1))</x:f>
        <x:v>1766.9144273497993</x:v>
      </x:c>
      <x:c r="AP29" s="148" t="n">
        <x:f aca="0">IF(2032&lt;$F29,0,INDEX($I29:$AC29,1,2032-$F29+1))</x:f>
        <x:v>2054.7290809843225</x:v>
      </x:c>
      <x:c r="AQ29" s="148" t="n">
        <x:f aca="0">IF(2033&lt;$F29,0,INDEX($I29:$AC29,1,2033-$F29+1))</x:f>
        <x:v>2335.559252130502</x:v>
      </x:c>
      <x:c r="AR29" s="148" t="n">
        <x:f aca="0">IF(2034&lt;$F29,0,INDEX($I29:$AC29,1,2034-$F29+1))</x:f>
        <x:v>2605.397641313159</x:v>
      </x:c>
      <x:c r="AS29" s="148" t="n">
        <x:f aca="0">IF(2035&lt;$F29,0,INDEX($I29:$AC29,1,2035-$F29+1))</x:f>
        <x:v>2861.4064515446853</x:v>
      </x:c>
      <x:c r="AT29" s="148" t="n">
        <x:f aca="0">IF(2036&lt;$F29,0,INDEX($I29:$AC29,1,2036-$F29+1))</x:f>
        <x:v>3101.742407041306</x:v>
      </x:c>
      <x:c r="AU29" s="148" t="n">
        <x:f aca="0">IF(2037&lt;$F29,0,INDEX($I29:$AC29,1,2037-$F29+1))</x:f>
        <x:v>3325.3755177021903</x:v>
      </x:c>
      <x:c r="AV29" s="148" t="n">
        <x:f aca="0">IF(2038&lt;$F29,0,INDEX($I29:$AC29,1,2038-$F29+1))</x:f>
        <x:v>3531.9181366145144</x:v>
      </x:c>
      <x:c r="AW29" s="148" t="n">
        <x:f aca="0">IF(2039&lt;$F29,0,INDEX($I29:$AC29,1,2039-$F29+1))</x:f>
        <x:v>3721.4729044933383</x:v>
      </x:c>
      <x:c r="AX29" s="148" t="n">
        <x:f aca="0">IF(2040&lt;$F29,0,INDEX($I29:$AC29,1,2040-$F29+1))</x:f>
        <x:v>3894.5030002708813</x:v>
      </x:c>
      <x:c r="AY29" s="1" t="str">
        <x:f aca="0">LEFT($C29,FIND("@",SUBSTITUTE($C29,"|","@",2))-1)</x:f>
        <x:v>Horti-Silviculture|High</x:v>
      </x:c>
      <x:c r="AZ29" s="1" t="str">
        <x:f aca="0">LEFT($C29,FIND("|",$C29)-1)</x:f>
        <x:v>Horti-Silviculture</x:v>
      </x:c>
      <x:c r="BA29" s="149" t="n">
        <x:f aca="0">I29*I29</x:f>
        <x:v>0</x:v>
      </x:c>
      <x:c r="BB29" s="149" t="n">
        <x:f aca="0">J29*J29</x:f>
        <x:v>1.4467163368498641</x:v>
      </x:c>
      <x:c r="BC29" s="149" t="n">
        <x:f aca="0">K29*K29</x:f>
        <x:v>214.93235122087728</x:v>
      </x:c>
      <x:c r="BD29" s="149" t="n">
        <x:f aca="0">L29*L29</x:f>
        <x:v>3297.8582573849176</x:v>
      </x:c>
      <x:c r="BE29" s="149" t="n">
        <x:f aca="0">M29*M29</x:f>
        <x:v>20350.179437414845</x:v>
      </x:c>
      <x:c r="BF29" s="149" t="n">
        <x:f aca="0">N29*N29</x:f>
        <x:v>75787.26166742097</x:v>
      </x:c>
      <x:c r="BG29" s="149" t="n">
        <x:f aca="0">O29*O29</x:f>
        <x:v>205917.49354433207</x:v>
      </x:c>
      <x:c r="BH29" s="149" t="n">
        <x:f aca="0">P29*P29</x:f>
        <x:v>451616.80347375706</x:v>
      </x:c>
      <x:c r="BI29" s="149" t="n">
        <x:f aca="0">Q29*Q29</x:f>
        <x:v>849194.2449532707</x:v>
      </x:c>
      <x:c r="BJ29" s="149" t="n">
        <x:f aca="0">R29*R29</x:f>
        <x:v>1423185.5519668304</x:v>
      </x:c>
      <x:c r="BK29" s="149" t="n">
        <x:f aca="0">S29*S29</x:f>
        <x:v>2182807.3266532547</x:v>
      </x:c>
      <x:c r="BL29" s="149" t="n">
        <x:f aca="0">T29*T29</x:f>
        <x:v>3121986.5935768695</x:v>
      </x:c>
      <x:c r="BM29" s="149" t="n">
        <x:f aca="0">U29*U29</x:f>
        <x:v>4221911.596242678</x:v>
      </x:c>
      <x:c r="BN29" s="149" t="n">
        <x:f aca="0">V29*V29</x:f>
        <x:v>5454837.02021239</x:v>
      </x:c>
      <x:c r="BO29" s="149" t="n">
        <x:f aca="0">W29*W29</x:f>
        <x:v>6788096.869360172</x:v>
      </x:c>
      <x:c r="BP29" s="149" t="n">
        <x:f aca="0">X29*X29</x:f>
        <x:v>8187646.880941547</x:v>
      </x:c>
      <x:c r="BQ29" s="149" t="n">
        <x:f aca="0">Y29*Y29</x:f>
        <x:v>9620805.959638394</x:v>
      </x:c>
      <x:c r="BR29" s="149" t="n">
        <x:f aca="0">Z29*Z29</x:f>
        <x:v>11058122.33373311</x:v>
      </x:c>
      <x:c r="BS29" s="149" t="n">
        <x:f aca="0">AA29*AA29</x:f>
        <x:v>12474445.723746544</x:v>
      </x:c>
      <x:c r="BT29" s="149" t="n">
        <x:f aca="0">AB29*AB29</x:f>
        <x:v>13849360.578878084</x:v>
      </x:c>
      <x:c r="BU29" s="149" t="n">
        <x:f aca="0">AC29*AC29</x:f>
        <x:v>15167153.619118895</x:v>
      </x:c>
    </x:row>
    <x:row r="30" ht="15" hidden="0" customHeight="1">
      <x:c r="A30" s="1" t="str">
        <x:f aca="0">S13_PSP_Species_Support!A17</x:f>
        <x:v>PSP-HS-003</x:v>
      </x:c>
      <x:c r="B30" s="1" t="n">
        <x:f aca="0">17</x:f>
        <x:v>17</x:v>
      </x:c>
      <x:c r="C30" s="1" t="str">
        <x:f aca="0">S13_PSP_Species_Support!I17</x:f>
        <x:v>Horti-Silviculture|High|2020</x:v>
      </x:c>
      <x:c r="D30" s="1" t="str">
        <x:f aca="0">S13_PSP_Species_Support!C17</x:f>
        <x:v>Horti-Silviculture</x:v>
      </x:c>
      <x:c r="E30" s="1" t="str">
        <x:f aca="0">S13_PSP_Species_Support!D17</x:f>
        <x:v>High</x:v>
      </x:c>
      <x:c r="F30" s="1" t="n">
        <x:f aca="0">S13_PSP_Species_Support!E17</x:f>
        <x:v>2020</x:v>
      </x:c>
      <x:c r="G30" s="645" t="n">
        <x:f aca="0">'S13_PSP_Species_Support'!DJ17</x:f>
        <x:v>0.09</x:v>
      </x:c>
      <x:c r="H30" s="714" t="n">
        <x:f aca="0">'S13_PSP_Species_Support'!DK17</x:f>
        <x:v>8.766233766233766</x:v>
      </x:c>
      <x:c r="I30" s="147" t="n">
        <x:f aca="0">IFERROR((IFERROR(S13_PSP_Species_Support!U17*0.0673*(S13_PSP_Species_Support!V17*(S13_PSP_Species_Support!W17*(1-EXP(-S13_PSP_Species_Support!X17*0))^S13_PSP_Species_Support!Y17)^2*(S13_PSP_Species_Support!Z17*(1-EXP(-S13_PSP_Species_Support!AA17*0))^S13_PSP_Species_Support!AB17))^0.976,0)+IFERROR(S13_PSP_Species_Support!AF17*0.0673*(S13_PSP_Species_Support!AG17*(S13_PSP_Species_Support!AH17*(1-EXP(-S13_PSP_Species_Support!AI17*0))^S13_PSP_Species_Support!AJ17)^2*(S13_PSP_Species_Support!AK17*(1-EXP(-S13_PSP_Species_Support!AL17*0))^S13_PSP_Species_Support!AM17))^0.976,0)+IFERROR(S13_PSP_Species_Support!AQ17*0.0673*(S13_PSP_Species_Support!AR17*(S13_PSP_Species_Support!AS17*(1-EXP(-S13_PSP_Species_Support!AT17*0))^S13_PSP_Species_Support!AU17)^2*(S13_PSP_Species_Support!AV17*(1-EXP(-S13_PSP_Species_Support!AW17*0))^S13_PSP_Species_Support!AX17))^0.976,0)+IFERROR(S13_PSP_Species_Support!BB17*0.0673*(S13_PSP_Species_Support!BC17*(S13_PSP_Species_Support!BD17*(1-EXP(-S13_PSP_Species_Support!BE17*0))^S13_PSP_Species_Support!BF17)^2*(S13_PSP_Species_Support!BG17*(1-EXP(-S13_PSP_Species_Support!BH17*0))^S13_PSP_Species_Support!BI17))^0.976,0)+IFERROR(S13_PSP_Species_Support!BM17*0.0673*(S13_PSP_Species_Support!BN17*(S13_PSP_Species_Support!BO17*(1-EXP(-S13_PSP_Species_Support!BP17*0))^S13_PSP_Species_Support!BQ17)^2*(S13_PSP_Species_Support!BR17*(1-EXP(-S13_PSP_Species_Support!BS17*0))^S13_PSP_Species_Support!BT17))^0.976,0)+IFERROR(S13_PSP_Species_Support!BX17*0.0673*(S13_PSP_Species_Support!BY17*(S13_PSP_Species_Support!BZ17*(1-EXP(-S13_PSP_Species_Support!CA17*0))^S13_PSP_Species_Support!CB17)^2*(S13_PSP_Species_Support!CC17*(1-EXP(-S13_PSP_Species_Support!CD17*0))^S13_PSP_Species_Support!CE17))^0.976,0)+IFERROR(S13_PSP_Species_Support!CI17*0.0673*(S13_PSP_Species_Support!CJ17*(S13_PSP_Species_Support!CK17*(1-EXP(-S13_PSP_Species_Support!CL17*0))^S13_PSP_Species_Support!CM17)^2*(S13_PSP_Species_Support!CN17*(1-EXP(-S13_PSP_Species_Support!CO17*0))^S13_PSP_Species_Support!CP17))^0.976,0)+IFERROR(S13_PSP_Species_Support!CT17*0.0673*(S13_PSP_Species_Support!CU17*(S13_PSP_Species_Support!CV17*(1-EXP(-S13_PSP_Species_Support!CW17*0))^S13_PSP_Species_Support!CX17)^2*(S13_PSP_Species_Support!CY17*(1-EXP(-S13_PSP_Species_Support!CZ17*0))^S13_PSP_Species_Support!DA17))^0.976,0))/1000/$G30*I$108,0)</x:f>
        <x:v>0</x:v>
      </x:c>
      <x:c r="J30" s="147" t="n">
        <x:f aca="0">IFERROR((IFERROR(S13_PSP_Species_Support!U17*0.0673*(S13_PSP_Species_Support!V17*(S13_PSP_Species_Support!W17*(1-EXP(-S13_PSP_Species_Support!X17*1))^S13_PSP_Species_Support!Y17)^2*(S13_PSP_Species_Support!Z17*(1-EXP(-S13_PSP_Species_Support!AA17*1))^S13_PSP_Species_Support!AB17))^0.976,0)+IFERROR(S13_PSP_Species_Support!AF17*0.0673*(S13_PSP_Species_Support!AG17*(S13_PSP_Species_Support!AH17*(1-EXP(-S13_PSP_Species_Support!AI17*1))^S13_PSP_Species_Support!AJ17)^2*(S13_PSP_Species_Support!AK17*(1-EXP(-S13_PSP_Species_Support!AL17*1))^S13_PSP_Species_Support!AM17))^0.976,0)+IFERROR(S13_PSP_Species_Support!AQ17*0.0673*(S13_PSP_Species_Support!AR17*(S13_PSP_Species_Support!AS17*(1-EXP(-S13_PSP_Species_Support!AT17*1))^S13_PSP_Species_Support!AU17)^2*(S13_PSP_Species_Support!AV17*(1-EXP(-S13_PSP_Species_Support!AW17*1))^S13_PSP_Species_Support!AX17))^0.976,0)+IFERROR(S13_PSP_Species_Support!BB17*0.0673*(S13_PSP_Species_Support!BC17*(S13_PSP_Species_Support!BD17*(1-EXP(-S13_PSP_Species_Support!BE17*1))^S13_PSP_Species_Support!BF17)^2*(S13_PSP_Species_Support!BG17*(1-EXP(-S13_PSP_Species_Support!BH17*1))^S13_PSP_Species_Support!BI17))^0.976,0)+IFERROR(S13_PSP_Species_Support!BM17*0.0673*(S13_PSP_Species_Support!BN17*(S13_PSP_Species_Support!BO17*(1-EXP(-S13_PSP_Species_Support!BP17*1))^S13_PSP_Species_Support!BQ17)^2*(S13_PSP_Species_Support!BR17*(1-EXP(-S13_PSP_Species_Support!BS17*1))^S13_PSP_Species_Support!BT17))^0.976,0)+IFERROR(S13_PSP_Species_Support!BX17*0.0673*(S13_PSP_Species_Support!BY17*(S13_PSP_Species_Support!BZ17*(1-EXP(-S13_PSP_Species_Support!CA17*1))^S13_PSP_Species_Support!CB17)^2*(S13_PSP_Species_Support!CC17*(1-EXP(-S13_PSP_Species_Support!CD17*1))^S13_PSP_Species_Support!CE17))^0.976,0)+IFERROR(S13_PSP_Species_Support!CI17*0.0673*(S13_PSP_Species_Support!CJ17*(S13_PSP_Species_Support!CK17*(1-EXP(-S13_PSP_Species_Support!CL17*1))^S13_PSP_Species_Support!CM17)^2*(S13_PSP_Species_Support!CN17*(1-EXP(-S13_PSP_Species_Support!CO17*1))^S13_PSP_Species_Support!CP17))^0.976,0)+IFERROR(S13_PSP_Species_Support!CT17*0.0673*(S13_PSP_Species_Support!CU17*(S13_PSP_Species_Support!CV17*(1-EXP(-S13_PSP_Species_Support!CW17*1))^S13_PSP_Species_Support!CX17)^2*(S13_PSP_Species_Support!CY17*(1-EXP(-S13_PSP_Species_Support!CZ17*1))^S13_PSP_Species_Support!DA17))^0.976,0))/1000/$G30*J$108,0)</x:f>
        <x:v>0</x:v>
      </x:c>
      <x:c r="K30" s="147" t="n">
        <x:f aca="0">IFERROR((IFERROR(S13_PSP_Species_Support!U17*0.0673*(S13_PSP_Species_Support!V17*(S13_PSP_Species_Support!W17*(1-EXP(-S13_PSP_Species_Support!X17*2))^S13_PSP_Species_Support!Y17)^2*(S13_PSP_Species_Support!Z17*(1-EXP(-S13_PSP_Species_Support!AA17*2))^S13_PSP_Species_Support!AB17))^0.976,0)+IFERROR(S13_PSP_Species_Support!AF17*0.0673*(S13_PSP_Species_Support!AG17*(S13_PSP_Species_Support!AH17*(1-EXP(-S13_PSP_Species_Support!AI17*2))^S13_PSP_Species_Support!AJ17)^2*(S13_PSP_Species_Support!AK17*(1-EXP(-S13_PSP_Species_Support!AL17*2))^S13_PSP_Species_Support!AM17))^0.976,0)+IFERROR(S13_PSP_Species_Support!AQ17*0.0673*(S13_PSP_Species_Support!AR17*(S13_PSP_Species_Support!AS17*(1-EXP(-S13_PSP_Species_Support!AT17*2))^S13_PSP_Species_Support!AU17)^2*(S13_PSP_Species_Support!AV17*(1-EXP(-S13_PSP_Species_Support!AW17*2))^S13_PSP_Species_Support!AX17))^0.976,0)+IFERROR(S13_PSP_Species_Support!BB17*0.0673*(S13_PSP_Species_Support!BC17*(S13_PSP_Species_Support!BD17*(1-EXP(-S13_PSP_Species_Support!BE17*2))^S13_PSP_Species_Support!BF17)^2*(S13_PSP_Species_Support!BG17*(1-EXP(-S13_PSP_Species_Support!BH17*2))^S13_PSP_Species_Support!BI17))^0.976,0)+IFERROR(S13_PSP_Species_Support!BM17*0.0673*(S13_PSP_Species_Support!BN17*(S13_PSP_Species_Support!BO17*(1-EXP(-S13_PSP_Species_Support!BP17*2))^S13_PSP_Species_Support!BQ17)^2*(S13_PSP_Species_Support!BR17*(1-EXP(-S13_PSP_Species_Support!BS17*2))^S13_PSP_Species_Support!BT17))^0.976,0)+IFERROR(S13_PSP_Species_Support!BX17*0.0673*(S13_PSP_Species_Support!BY17*(S13_PSP_Species_Support!BZ17*(1-EXP(-S13_PSP_Species_Support!CA17*2))^S13_PSP_Species_Support!CB17)^2*(S13_PSP_Species_Support!CC17*(1-EXP(-S13_PSP_Species_Support!CD17*2))^S13_PSP_Species_Support!CE17))^0.976,0)+IFERROR(S13_PSP_Species_Support!CI17*0.0673*(S13_PSP_Species_Support!CJ17*(S13_PSP_Species_Support!CK17*(1-EXP(-S13_PSP_Species_Support!CL17*2))^S13_PSP_Species_Support!CM17)^2*(S13_PSP_Species_Support!CN17*(1-EXP(-S13_PSP_Species_Support!CO17*2))^S13_PSP_Species_Support!CP17))^0.976,0)+IFERROR(S13_PSP_Species_Support!CT17*0.0673*(S13_PSP_Species_Support!CU17*(S13_PSP_Species_Support!CV17*(1-EXP(-S13_PSP_Species_Support!CW17*2))^S13_PSP_Species_Support!CX17)^2*(S13_PSP_Species_Support!CY17*(1-EXP(-S13_PSP_Species_Support!CZ17*2))^S13_PSP_Species_Support!DA17))^0.976,0))/1000/$G30*K$108,0)</x:f>
        <x:v>0</x:v>
      </x:c>
      <x:c r="L30" s="147" t="n">
        <x:f aca="0">IFERROR((IFERROR(S13_PSP_Species_Support!U17*0.0673*(S13_PSP_Species_Support!V17*(S13_PSP_Species_Support!W17*(1-EXP(-S13_PSP_Species_Support!X17*3))^S13_PSP_Species_Support!Y17)^2*(S13_PSP_Species_Support!Z17*(1-EXP(-S13_PSP_Species_Support!AA17*3))^S13_PSP_Species_Support!AB17))^0.976,0)+IFERROR(S13_PSP_Species_Support!AF17*0.0673*(S13_PSP_Species_Support!AG17*(S13_PSP_Species_Support!AH17*(1-EXP(-S13_PSP_Species_Support!AI17*3))^S13_PSP_Species_Support!AJ17)^2*(S13_PSP_Species_Support!AK17*(1-EXP(-S13_PSP_Species_Support!AL17*3))^S13_PSP_Species_Support!AM17))^0.976,0)+IFERROR(S13_PSP_Species_Support!AQ17*0.0673*(S13_PSP_Species_Support!AR17*(S13_PSP_Species_Support!AS17*(1-EXP(-S13_PSP_Species_Support!AT17*3))^S13_PSP_Species_Support!AU17)^2*(S13_PSP_Species_Support!AV17*(1-EXP(-S13_PSP_Species_Support!AW17*3))^S13_PSP_Species_Support!AX17))^0.976,0)+IFERROR(S13_PSP_Species_Support!BB17*0.0673*(S13_PSP_Species_Support!BC17*(S13_PSP_Species_Support!BD17*(1-EXP(-S13_PSP_Species_Support!BE17*3))^S13_PSP_Species_Support!BF17)^2*(S13_PSP_Species_Support!BG17*(1-EXP(-S13_PSP_Species_Support!BH17*3))^S13_PSP_Species_Support!BI17))^0.976,0)+IFERROR(S13_PSP_Species_Support!BM17*0.0673*(S13_PSP_Species_Support!BN17*(S13_PSP_Species_Support!BO17*(1-EXP(-S13_PSP_Species_Support!BP17*3))^S13_PSP_Species_Support!BQ17)^2*(S13_PSP_Species_Support!BR17*(1-EXP(-S13_PSP_Species_Support!BS17*3))^S13_PSP_Species_Support!BT17))^0.976,0)+IFERROR(S13_PSP_Species_Support!BX17*0.0673*(S13_PSP_Species_Support!BY17*(S13_PSP_Species_Support!BZ17*(1-EXP(-S13_PSP_Species_Support!CA17*3))^S13_PSP_Species_Support!CB17)^2*(S13_PSP_Species_Support!CC17*(1-EXP(-S13_PSP_Species_Support!CD17*3))^S13_PSP_Species_Support!CE17))^0.976,0)+IFERROR(S13_PSP_Species_Support!CI17*0.0673*(S13_PSP_Species_Support!CJ17*(S13_PSP_Species_Support!CK17*(1-EXP(-S13_PSP_Species_Support!CL17*3))^S13_PSP_Species_Support!CM17)^2*(S13_PSP_Species_Support!CN17*(1-EXP(-S13_PSP_Species_Support!CO17*3))^S13_PSP_Species_Support!CP17))^0.976,0)+IFERROR(S13_PSP_Species_Support!CT17*0.0673*(S13_PSP_Species_Support!CU17*(S13_PSP_Species_Support!CV17*(1-EXP(-S13_PSP_Species_Support!CW17*3))^S13_PSP_Species_Support!CX17)^2*(S13_PSP_Species_Support!CY17*(1-EXP(-S13_PSP_Species_Support!CZ17*3))^S13_PSP_Species_Support!DA17))^0.976,0))/1000/$G30*L$108,0)</x:f>
        <x:v>0</x:v>
      </x:c>
      <x:c r="M30" s="147" t="n">
        <x:f aca="0">IFERROR((IFERROR(S13_PSP_Species_Support!U17*0.0673*(S13_PSP_Species_Support!V17*(S13_PSP_Species_Support!W17*(1-EXP(-S13_PSP_Species_Support!X17*4))^S13_PSP_Species_Support!Y17)^2*(S13_PSP_Species_Support!Z17*(1-EXP(-S13_PSP_Species_Support!AA17*4))^S13_PSP_Species_Support!AB17))^0.976,0)+IFERROR(S13_PSP_Species_Support!AF17*0.0673*(S13_PSP_Species_Support!AG17*(S13_PSP_Species_Support!AH17*(1-EXP(-S13_PSP_Species_Support!AI17*4))^S13_PSP_Species_Support!AJ17)^2*(S13_PSP_Species_Support!AK17*(1-EXP(-S13_PSP_Species_Support!AL17*4))^S13_PSP_Species_Support!AM17))^0.976,0)+IFERROR(S13_PSP_Species_Support!AQ17*0.0673*(S13_PSP_Species_Support!AR17*(S13_PSP_Species_Support!AS17*(1-EXP(-S13_PSP_Species_Support!AT17*4))^S13_PSP_Species_Support!AU17)^2*(S13_PSP_Species_Support!AV17*(1-EXP(-S13_PSP_Species_Support!AW17*4))^S13_PSP_Species_Support!AX17))^0.976,0)+IFERROR(S13_PSP_Species_Support!BB17*0.0673*(S13_PSP_Species_Support!BC17*(S13_PSP_Species_Support!BD17*(1-EXP(-S13_PSP_Species_Support!BE17*4))^S13_PSP_Species_Support!BF17)^2*(S13_PSP_Species_Support!BG17*(1-EXP(-S13_PSP_Species_Support!BH17*4))^S13_PSP_Species_Support!BI17))^0.976,0)+IFERROR(S13_PSP_Species_Support!BM17*0.0673*(S13_PSP_Species_Support!BN17*(S13_PSP_Species_Support!BO17*(1-EXP(-S13_PSP_Species_Support!BP17*4))^S13_PSP_Species_Support!BQ17)^2*(S13_PSP_Species_Support!BR17*(1-EXP(-S13_PSP_Species_Support!BS17*4))^S13_PSP_Species_Support!BT17))^0.976,0)+IFERROR(S13_PSP_Species_Support!BX17*0.0673*(S13_PSP_Species_Support!BY17*(S13_PSP_Species_Support!BZ17*(1-EXP(-S13_PSP_Species_Support!CA17*4))^S13_PSP_Species_Support!CB17)^2*(S13_PSP_Species_Support!CC17*(1-EXP(-S13_PSP_Species_Support!CD17*4))^S13_PSP_Species_Support!CE17))^0.976,0)+IFERROR(S13_PSP_Species_Support!CI17*0.0673*(S13_PSP_Species_Support!CJ17*(S13_PSP_Species_Support!CK17*(1-EXP(-S13_PSP_Species_Support!CL17*4))^S13_PSP_Species_Support!CM17)^2*(S13_PSP_Species_Support!CN17*(1-EXP(-S13_PSP_Species_Support!CO17*4))^S13_PSP_Species_Support!CP17))^0.976,0)+IFERROR(S13_PSP_Species_Support!CT17*0.0673*(S13_PSP_Species_Support!CU17*(S13_PSP_Species_Support!CV17*(1-EXP(-S13_PSP_Species_Support!CW17*4))^S13_PSP_Species_Support!CX17)^2*(S13_PSP_Species_Support!CY17*(1-EXP(-S13_PSP_Species_Support!CZ17*4))^S13_PSP_Species_Support!DA17))^0.976,0))/1000/$G30*M$108,0)</x:f>
        <x:v>0</x:v>
      </x:c>
      <x:c r="N30" s="147" t="n">
        <x:f aca="0">IFERROR((IFERROR(S13_PSP_Species_Support!U17*0.0673*(S13_PSP_Species_Support!V17*(S13_PSP_Species_Support!W17*(1-EXP(-S13_PSP_Species_Support!X17*5))^S13_PSP_Species_Support!Y17)^2*(S13_PSP_Species_Support!Z17*(1-EXP(-S13_PSP_Species_Support!AA17*5))^S13_PSP_Species_Support!AB17))^0.976,0)+IFERROR(S13_PSP_Species_Support!AF17*0.0673*(S13_PSP_Species_Support!AG17*(S13_PSP_Species_Support!AH17*(1-EXP(-S13_PSP_Species_Support!AI17*5))^S13_PSP_Species_Support!AJ17)^2*(S13_PSP_Species_Support!AK17*(1-EXP(-S13_PSP_Species_Support!AL17*5))^S13_PSP_Species_Support!AM17))^0.976,0)+IFERROR(S13_PSP_Species_Support!AQ17*0.0673*(S13_PSP_Species_Support!AR17*(S13_PSP_Species_Support!AS17*(1-EXP(-S13_PSP_Species_Support!AT17*5))^S13_PSP_Species_Support!AU17)^2*(S13_PSP_Species_Support!AV17*(1-EXP(-S13_PSP_Species_Support!AW17*5))^S13_PSP_Species_Support!AX17))^0.976,0)+IFERROR(S13_PSP_Species_Support!BB17*0.0673*(S13_PSP_Species_Support!BC17*(S13_PSP_Species_Support!BD17*(1-EXP(-S13_PSP_Species_Support!BE17*5))^S13_PSP_Species_Support!BF17)^2*(S13_PSP_Species_Support!BG17*(1-EXP(-S13_PSP_Species_Support!BH17*5))^S13_PSP_Species_Support!BI17))^0.976,0)+IFERROR(S13_PSP_Species_Support!BM17*0.0673*(S13_PSP_Species_Support!BN17*(S13_PSP_Species_Support!BO17*(1-EXP(-S13_PSP_Species_Support!BP17*5))^S13_PSP_Species_Support!BQ17)^2*(S13_PSP_Species_Support!BR17*(1-EXP(-S13_PSP_Species_Support!BS17*5))^S13_PSP_Species_Support!BT17))^0.976,0)+IFERROR(S13_PSP_Species_Support!BX17*0.0673*(S13_PSP_Species_Support!BY17*(S13_PSP_Species_Support!BZ17*(1-EXP(-S13_PSP_Species_Support!CA17*5))^S13_PSP_Species_Support!CB17)^2*(S13_PSP_Species_Support!CC17*(1-EXP(-S13_PSP_Species_Support!CD17*5))^S13_PSP_Species_Support!CE17))^0.976,0)+IFERROR(S13_PSP_Species_Support!CI17*0.0673*(S13_PSP_Species_Support!CJ17*(S13_PSP_Species_Support!CK17*(1-EXP(-S13_PSP_Species_Support!CL17*5))^S13_PSP_Species_Support!CM17)^2*(S13_PSP_Species_Support!CN17*(1-EXP(-S13_PSP_Species_Support!CO17*5))^S13_PSP_Species_Support!CP17))^0.976,0)+IFERROR(S13_PSP_Species_Support!CT17*0.0673*(S13_PSP_Species_Support!CU17*(S13_PSP_Species_Support!CV17*(1-EXP(-S13_PSP_Species_Support!CW17*5))^S13_PSP_Species_Support!CX17)^2*(S13_PSP_Species_Support!CY17*(1-EXP(-S13_PSP_Species_Support!CZ17*5))^S13_PSP_Species_Support!DA17))^0.976,0))/1000/$G30*N$108,0)</x:f>
        <x:v>0</x:v>
      </x:c>
      <x:c r="O30" s="147" t="n">
        <x:f aca="0">IFERROR((IFERROR(S13_PSP_Species_Support!U17*0.0673*(S13_PSP_Species_Support!V17*(S13_PSP_Species_Support!W17*(1-EXP(-S13_PSP_Species_Support!X17*6))^S13_PSP_Species_Support!Y17)^2*(S13_PSP_Species_Support!Z17*(1-EXP(-S13_PSP_Species_Support!AA17*6))^S13_PSP_Species_Support!AB17))^0.976,0)+IFERROR(S13_PSP_Species_Support!AF17*0.0673*(S13_PSP_Species_Support!AG17*(S13_PSP_Species_Support!AH17*(1-EXP(-S13_PSP_Species_Support!AI17*6))^S13_PSP_Species_Support!AJ17)^2*(S13_PSP_Species_Support!AK17*(1-EXP(-S13_PSP_Species_Support!AL17*6))^S13_PSP_Species_Support!AM17))^0.976,0)+IFERROR(S13_PSP_Species_Support!AQ17*0.0673*(S13_PSP_Species_Support!AR17*(S13_PSP_Species_Support!AS17*(1-EXP(-S13_PSP_Species_Support!AT17*6))^S13_PSP_Species_Support!AU17)^2*(S13_PSP_Species_Support!AV17*(1-EXP(-S13_PSP_Species_Support!AW17*6))^S13_PSP_Species_Support!AX17))^0.976,0)+IFERROR(S13_PSP_Species_Support!BB17*0.0673*(S13_PSP_Species_Support!BC17*(S13_PSP_Species_Support!BD17*(1-EXP(-S13_PSP_Species_Support!BE17*6))^S13_PSP_Species_Support!BF17)^2*(S13_PSP_Species_Support!BG17*(1-EXP(-S13_PSP_Species_Support!BH17*6))^S13_PSP_Species_Support!BI17))^0.976,0)+IFERROR(S13_PSP_Species_Support!BM17*0.0673*(S13_PSP_Species_Support!BN17*(S13_PSP_Species_Support!BO17*(1-EXP(-S13_PSP_Species_Support!BP17*6))^S13_PSP_Species_Support!BQ17)^2*(S13_PSP_Species_Support!BR17*(1-EXP(-S13_PSP_Species_Support!BS17*6))^S13_PSP_Species_Support!BT17))^0.976,0)+IFERROR(S13_PSP_Species_Support!BX17*0.0673*(S13_PSP_Species_Support!BY17*(S13_PSP_Species_Support!BZ17*(1-EXP(-S13_PSP_Species_Support!CA17*6))^S13_PSP_Species_Support!CB17)^2*(S13_PSP_Species_Support!CC17*(1-EXP(-S13_PSP_Species_Support!CD17*6))^S13_PSP_Species_Support!CE17))^0.976,0)+IFERROR(S13_PSP_Species_Support!CI17*0.0673*(S13_PSP_Species_Support!CJ17*(S13_PSP_Species_Support!CK17*(1-EXP(-S13_PSP_Species_Support!CL17*6))^S13_PSP_Species_Support!CM17)^2*(S13_PSP_Species_Support!CN17*(1-EXP(-S13_PSP_Species_Support!CO17*6))^S13_PSP_Species_Support!CP17))^0.976,0)+IFERROR(S13_PSP_Species_Support!CT17*0.0673*(S13_PSP_Species_Support!CU17*(S13_PSP_Species_Support!CV17*(1-EXP(-S13_PSP_Species_Support!CW17*6))^S13_PSP_Species_Support!CX17)^2*(S13_PSP_Species_Support!CY17*(1-EXP(-S13_PSP_Species_Support!CZ17*6))^S13_PSP_Species_Support!DA17))^0.976,0))/1000/$G30*O$108,0)</x:f>
        <x:v>0</x:v>
      </x:c>
      <x:c r="P30" s="147" t="n">
        <x:f aca="0">IFERROR((IFERROR(S13_PSP_Species_Support!U17*0.0673*(S13_PSP_Species_Support!V17*(S13_PSP_Species_Support!W17*(1-EXP(-S13_PSP_Species_Support!X17*7))^S13_PSP_Species_Support!Y17)^2*(S13_PSP_Species_Support!Z17*(1-EXP(-S13_PSP_Species_Support!AA17*7))^S13_PSP_Species_Support!AB17))^0.976,0)+IFERROR(S13_PSP_Species_Support!AF17*0.0673*(S13_PSP_Species_Support!AG17*(S13_PSP_Species_Support!AH17*(1-EXP(-S13_PSP_Species_Support!AI17*7))^S13_PSP_Species_Support!AJ17)^2*(S13_PSP_Species_Support!AK17*(1-EXP(-S13_PSP_Species_Support!AL17*7))^S13_PSP_Species_Support!AM17))^0.976,0)+IFERROR(S13_PSP_Species_Support!AQ17*0.0673*(S13_PSP_Species_Support!AR17*(S13_PSP_Species_Support!AS17*(1-EXP(-S13_PSP_Species_Support!AT17*7))^S13_PSP_Species_Support!AU17)^2*(S13_PSP_Species_Support!AV17*(1-EXP(-S13_PSP_Species_Support!AW17*7))^S13_PSP_Species_Support!AX17))^0.976,0)+IFERROR(S13_PSP_Species_Support!BB17*0.0673*(S13_PSP_Species_Support!BC17*(S13_PSP_Species_Support!BD17*(1-EXP(-S13_PSP_Species_Support!BE17*7))^S13_PSP_Species_Support!BF17)^2*(S13_PSP_Species_Support!BG17*(1-EXP(-S13_PSP_Species_Support!BH17*7))^S13_PSP_Species_Support!BI17))^0.976,0)+IFERROR(S13_PSP_Species_Support!BM17*0.0673*(S13_PSP_Species_Support!BN17*(S13_PSP_Species_Support!BO17*(1-EXP(-S13_PSP_Species_Support!BP17*7))^S13_PSP_Species_Support!BQ17)^2*(S13_PSP_Species_Support!BR17*(1-EXP(-S13_PSP_Species_Support!BS17*7))^S13_PSP_Species_Support!BT17))^0.976,0)+IFERROR(S13_PSP_Species_Support!BX17*0.0673*(S13_PSP_Species_Support!BY17*(S13_PSP_Species_Support!BZ17*(1-EXP(-S13_PSP_Species_Support!CA17*7))^S13_PSP_Species_Support!CB17)^2*(S13_PSP_Species_Support!CC17*(1-EXP(-S13_PSP_Species_Support!CD17*7))^S13_PSP_Species_Support!CE17))^0.976,0)+IFERROR(S13_PSP_Species_Support!CI17*0.0673*(S13_PSP_Species_Support!CJ17*(S13_PSP_Species_Support!CK17*(1-EXP(-S13_PSP_Species_Support!CL17*7))^S13_PSP_Species_Support!CM17)^2*(S13_PSP_Species_Support!CN17*(1-EXP(-S13_PSP_Species_Support!CO17*7))^S13_PSP_Species_Support!CP17))^0.976,0)+IFERROR(S13_PSP_Species_Support!CT17*0.0673*(S13_PSP_Species_Support!CU17*(S13_PSP_Species_Support!CV17*(1-EXP(-S13_PSP_Species_Support!CW17*7))^S13_PSP_Species_Support!CX17)^2*(S13_PSP_Species_Support!CY17*(1-EXP(-S13_PSP_Species_Support!CZ17*7))^S13_PSP_Species_Support!DA17))^0.976,0))/1000/$G30*P$108,0)</x:f>
        <x:v>0</x:v>
      </x:c>
      <x:c r="Q30" s="147" t="n">
        <x:f aca="0">IFERROR((IFERROR(S13_PSP_Species_Support!U17*0.0673*(S13_PSP_Species_Support!V17*(S13_PSP_Species_Support!W17*(1-EXP(-S13_PSP_Species_Support!X17*8))^S13_PSP_Species_Support!Y17)^2*(S13_PSP_Species_Support!Z17*(1-EXP(-S13_PSP_Species_Support!AA17*8))^S13_PSP_Species_Support!AB17))^0.976,0)+IFERROR(S13_PSP_Species_Support!AF17*0.0673*(S13_PSP_Species_Support!AG17*(S13_PSP_Species_Support!AH17*(1-EXP(-S13_PSP_Species_Support!AI17*8))^S13_PSP_Species_Support!AJ17)^2*(S13_PSP_Species_Support!AK17*(1-EXP(-S13_PSP_Species_Support!AL17*8))^S13_PSP_Species_Support!AM17))^0.976,0)+IFERROR(S13_PSP_Species_Support!AQ17*0.0673*(S13_PSP_Species_Support!AR17*(S13_PSP_Species_Support!AS17*(1-EXP(-S13_PSP_Species_Support!AT17*8))^S13_PSP_Species_Support!AU17)^2*(S13_PSP_Species_Support!AV17*(1-EXP(-S13_PSP_Species_Support!AW17*8))^S13_PSP_Species_Support!AX17))^0.976,0)+IFERROR(S13_PSP_Species_Support!BB17*0.0673*(S13_PSP_Species_Support!BC17*(S13_PSP_Species_Support!BD17*(1-EXP(-S13_PSP_Species_Support!BE17*8))^S13_PSP_Species_Support!BF17)^2*(S13_PSP_Species_Support!BG17*(1-EXP(-S13_PSP_Species_Support!BH17*8))^S13_PSP_Species_Support!BI17))^0.976,0)+IFERROR(S13_PSP_Species_Support!BM17*0.0673*(S13_PSP_Species_Support!BN17*(S13_PSP_Species_Support!BO17*(1-EXP(-S13_PSP_Species_Support!BP17*8))^S13_PSP_Species_Support!BQ17)^2*(S13_PSP_Species_Support!BR17*(1-EXP(-S13_PSP_Species_Support!BS17*8))^S13_PSP_Species_Support!BT17))^0.976,0)+IFERROR(S13_PSP_Species_Support!BX17*0.0673*(S13_PSP_Species_Support!BY17*(S13_PSP_Species_Support!BZ17*(1-EXP(-S13_PSP_Species_Support!CA17*8))^S13_PSP_Species_Support!CB17)^2*(S13_PSP_Species_Support!CC17*(1-EXP(-S13_PSP_Species_Support!CD17*8))^S13_PSP_Species_Support!CE17))^0.976,0)+IFERROR(S13_PSP_Species_Support!CI17*0.0673*(S13_PSP_Species_Support!CJ17*(S13_PSP_Species_Support!CK17*(1-EXP(-S13_PSP_Species_Support!CL17*8))^S13_PSP_Species_Support!CM17)^2*(S13_PSP_Species_Support!CN17*(1-EXP(-S13_PSP_Species_Support!CO17*8))^S13_PSP_Species_Support!CP17))^0.976,0)+IFERROR(S13_PSP_Species_Support!CT17*0.0673*(S13_PSP_Species_Support!CU17*(S13_PSP_Species_Support!CV17*(1-EXP(-S13_PSP_Species_Support!CW17*8))^S13_PSP_Species_Support!CX17)^2*(S13_PSP_Species_Support!CY17*(1-EXP(-S13_PSP_Species_Support!CZ17*8))^S13_PSP_Species_Support!DA17))^0.976,0))/1000/$G30*Q$108,0)</x:f>
        <x:v>0</x:v>
      </x:c>
      <x:c r="R30" s="147" t="n">
        <x:f aca="0">IFERROR((IFERROR(S13_PSP_Species_Support!U17*0.0673*(S13_PSP_Species_Support!V17*(S13_PSP_Species_Support!W17*(1-EXP(-S13_PSP_Species_Support!X17*9))^S13_PSP_Species_Support!Y17)^2*(S13_PSP_Species_Support!Z17*(1-EXP(-S13_PSP_Species_Support!AA17*9))^S13_PSP_Species_Support!AB17))^0.976,0)+IFERROR(S13_PSP_Species_Support!AF17*0.0673*(S13_PSP_Species_Support!AG17*(S13_PSP_Species_Support!AH17*(1-EXP(-S13_PSP_Species_Support!AI17*9))^S13_PSP_Species_Support!AJ17)^2*(S13_PSP_Species_Support!AK17*(1-EXP(-S13_PSP_Species_Support!AL17*9))^S13_PSP_Species_Support!AM17))^0.976,0)+IFERROR(S13_PSP_Species_Support!AQ17*0.0673*(S13_PSP_Species_Support!AR17*(S13_PSP_Species_Support!AS17*(1-EXP(-S13_PSP_Species_Support!AT17*9))^S13_PSP_Species_Support!AU17)^2*(S13_PSP_Species_Support!AV17*(1-EXP(-S13_PSP_Species_Support!AW17*9))^S13_PSP_Species_Support!AX17))^0.976,0)+IFERROR(S13_PSP_Species_Support!BB17*0.0673*(S13_PSP_Species_Support!BC17*(S13_PSP_Species_Support!BD17*(1-EXP(-S13_PSP_Species_Support!BE17*9))^S13_PSP_Species_Support!BF17)^2*(S13_PSP_Species_Support!BG17*(1-EXP(-S13_PSP_Species_Support!BH17*9))^S13_PSP_Species_Support!BI17))^0.976,0)+IFERROR(S13_PSP_Species_Support!BM17*0.0673*(S13_PSP_Species_Support!BN17*(S13_PSP_Species_Support!BO17*(1-EXP(-S13_PSP_Species_Support!BP17*9))^S13_PSP_Species_Support!BQ17)^2*(S13_PSP_Species_Support!BR17*(1-EXP(-S13_PSP_Species_Support!BS17*9))^S13_PSP_Species_Support!BT17))^0.976,0)+IFERROR(S13_PSP_Species_Support!BX17*0.0673*(S13_PSP_Species_Support!BY17*(S13_PSP_Species_Support!BZ17*(1-EXP(-S13_PSP_Species_Support!CA17*9))^S13_PSP_Species_Support!CB17)^2*(S13_PSP_Species_Support!CC17*(1-EXP(-S13_PSP_Species_Support!CD17*9))^S13_PSP_Species_Support!CE17))^0.976,0)+IFERROR(S13_PSP_Species_Support!CI17*0.0673*(S13_PSP_Species_Support!CJ17*(S13_PSP_Species_Support!CK17*(1-EXP(-S13_PSP_Species_Support!CL17*9))^S13_PSP_Species_Support!CM17)^2*(S13_PSP_Species_Support!CN17*(1-EXP(-S13_PSP_Species_Support!CO17*9))^S13_PSP_Species_Support!CP17))^0.976,0)+IFERROR(S13_PSP_Species_Support!CT17*0.0673*(S13_PSP_Species_Support!CU17*(S13_PSP_Species_Support!CV17*(1-EXP(-S13_PSP_Species_Support!CW17*9))^S13_PSP_Species_Support!CX17)^2*(S13_PSP_Species_Support!CY17*(1-EXP(-S13_PSP_Species_Support!CZ17*9))^S13_PSP_Species_Support!DA17))^0.976,0))/1000/$G30*R$108,0)</x:f>
        <x:v>0</x:v>
      </x:c>
      <x:c r="S30" s="147" t="n">
        <x:f aca="0">IFERROR((IFERROR(S13_PSP_Species_Support!U17*0.0673*(S13_PSP_Species_Support!V17*(S13_PSP_Species_Support!W17*(1-EXP(-S13_PSP_Species_Support!X17*10))^S13_PSP_Species_Support!Y17)^2*(S13_PSP_Species_Support!Z17*(1-EXP(-S13_PSP_Species_Support!AA17*10))^S13_PSP_Species_Support!AB17))^0.976,0)+IFERROR(S13_PSP_Species_Support!AF17*0.0673*(S13_PSP_Species_Support!AG17*(S13_PSP_Species_Support!AH17*(1-EXP(-S13_PSP_Species_Support!AI17*10))^S13_PSP_Species_Support!AJ17)^2*(S13_PSP_Species_Support!AK17*(1-EXP(-S13_PSP_Species_Support!AL17*10))^S13_PSP_Species_Support!AM17))^0.976,0)+IFERROR(S13_PSP_Species_Support!AQ17*0.0673*(S13_PSP_Species_Support!AR17*(S13_PSP_Species_Support!AS17*(1-EXP(-S13_PSP_Species_Support!AT17*10))^S13_PSP_Species_Support!AU17)^2*(S13_PSP_Species_Support!AV17*(1-EXP(-S13_PSP_Species_Support!AW17*10))^S13_PSP_Species_Support!AX17))^0.976,0)+IFERROR(S13_PSP_Species_Support!BB17*0.0673*(S13_PSP_Species_Support!BC17*(S13_PSP_Species_Support!BD17*(1-EXP(-S13_PSP_Species_Support!BE17*10))^S13_PSP_Species_Support!BF17)^2*(S13_PSP_Species_Support!BG17*(1-EXP(-S13_PSP_Species_Support!BH17*10))^S13_PSP_Species_Support!BI17))^0.976,0)+IFERROR(S13_PSP_Species_Support!BM17*0.0673*(S13_PSP_Species_Support!BN17*(S13_PSP_Species_Support!BO17*(1-EXP(-S13_PSP_Species_Support!BP17*10))^S13_PSP_Species_Support!BQ17)^2*(S13_PSP_Species_Support!BR17*(1-EXP(-S13_PSP_Species_Support!BS17*10))^S13_PSP_Species_Support!BT17))^0.976,0)+IFERROR(S13_PSP_Species_Support!BX17*0.0673*(S13_PSP_Species_Support!BY17*(S13_PSP_Species_Support!BZ17*(1-EXP(-S13_PSP_Species_Support!CA17*10))^S13_PSP_Species_Support!CB17)^2*(S13_PSP_Species_Support!CC17*(1-EXP(-S13_PSP_Species_Support!CD17*10))^S13_PSP_Species_Support!CE17))^0.976,0)+IFERROR(S13_PSP_Species_Support!CI17*0.0673*(S13_PSP_Species_Support!CJ17*(S13_PSP_Species_Support!CK17*(1-EXP(-S13_PSP_Species_Support!CL17*10))^S13_PSP_Species_Support!CM17)^2*(S13_PSP_Species_Support!CN17*(1-EXP(-S13_PSP_Species_Support!CO17*10))^S13_PSP_Species_Support!CP17))^0.976,0)+IFERROR(S13_PSP_Species_Support!CT17*0.0673*(S13_PSP_Species_Support!CU17*(S13_PSP_Species_Support!CV17*(1-EXP(-S13_PSP_Species_Support!CW17*10))^S13_PSP_Species_Support!CX17)^2*(S13_PSP_Species_Support!CY17*(1-EXP(-S13_PSP_Species_Support!CZ17*10))^S13_PSP_Species_Support!DA17))^0.976,0))/1000/$G30*S$108,0)</x:f>
        <x:v>0</x:v>
      </x:c>
      <x:c r="T30" s="147" t="n">
        <x:f aca="0">IFERROR((IFERROR(S13_PSP_Species_Support!U17*0.0673*(S13_PSP_Species_Support!V17*(S13_PSP_Species_Support!W17*(1-EXP(-S13_PSP_Species_Support!X17*11))^S13_PSP_Species_Support!Y17)^2*(S13_PSP_Species_Support!Z17*(1-EXP(-S13_PSP_Species_Support!AA17*11))^S13_PSP_Species_Support!AB17))^0.976,0)+IFERROR(S13_PSP_Species_Support!AF17*0.0673*(S13_PSP_Species_Support!AG17*(S13_PSP_Species_Support!AH17*(1-EXP(-S13_PSP_Species_Support!AI17*11))^S13_PSP_Species_Support!AJ17)^2*(S13_PSP_Species_Support!AK17*(1-EXP(-S13_PSP_Species_Support!AL17*11))^S13_PSP_Species_Support!AM17))^0.976,0)+IFERROR(S13_PSP_Species_Support!AQ17*0.0673*(S13_PSP_Species_Support!AR17*(S13_PSP_Species_Support!AS17*(1-EXP(-S13_PSP_Species_Support!AT17*11))^S13_PSP_Species_Support!AU17)^2*(S13_PSP_Species_Support!AV17*(1-EXP(-S13_PSP_Species_Support!AW17*11))^S13_PSP_Species_Support!AX17))^0.976,0)+IFERROR(S13_PSP_Species_Support!BB17*0.0673*(S13_PSP_Species_Support!BC17*(S13_PSP_Species_Support!BD17*(1-EXP(-S13_PSP_Species_Support!BE17*11))^S13_PSP_Species_Support!BF17)^2*(S13_PSP_Species_Support!BG17*(1-EXP(-S13_PSP_Species_Support!BH17*11))^S13_PSP_Species_Support!BI17))^0.976,0)+IFERROR(S13_PSP_Species_Support!BM17*0.0673*(S13_PSP_Species_Support!BN17*(S13_PSP_Species_Support!BO17*(1-EXP(-S13_PSP_Species_Support!BP17*11))^S13_PSP_Species_Support!BQ17)^2*(S13_PSP_Species_Support!BR17*(1-EXP(-S13_PSP_Species_Support!BS17*11))^S13_PSP_Species_Support!BT17))^0.976,0)+IFERROR(S13_PSP_Species_Support!BX17*0.0673*(S13_PSP_Species_Support!BY17*(S13_PSP_Species_Support!BZ17*(1-EXP(-S13_PSP_Species_Support!CA17*11))^S13_PSP_Species_Support!CB17)^2*(S13_PSP_Species_Support!CC17*(1-EXP(-S13_PSP_Species_Support!CD17*11))^S13_PSP_Species_Support!CE17))^0.976,0)+IFERROR(S13_PSP_Species_Support!CI17*0.0673*(S13_PSP_Species_Support!CJ17*(S13_PSP_Species_Support!CK17*(1-EXP(-S13_PSP_Species_Support!CL17*11))^S13_PSP_Species_Support!CM17)^2*(S13_PSP_Species_Support!CN17*(1-EXP(-S13_PSP_Species_Support!CO17*11))^S13_PSP_Species_Support!CP17))^0.976,0)+IFERROR(S13_PSP_Species_Support!CT17*0.0673*(S13_PSP_Species_Support!CU17*(S13_PSP_Species_Support!CV17*(1-EXP(-S13_PSP_Species_Support!CW17*11))^S13_PSP_Species_Support!CX17)^2*(S13_PSP_Species_Support!CY17*(1-EXP(-S13_PSP_Species_Support!CZ17*11))^S13_PSP_Species_Support!DA17))^0.976,0))/1000/$G30*T$108,0)</x:f>
        <x:v>0</x:v>
      </x:c>
      <x:c r="U30" s="147" t="n">
        <x:f aca="0">IFERROR((IFERROR(S13_PSP_Species_Support!U17*0.0673*(S13_PSP_Species_Support!V17*(S13_PSP_Species_Support!W17*(1-EXP(-S13_PSP_Species_Support!X17*12))^S13_PSP_Species_Support!Y17)^2*(S13_PSP_Species_Support!Z17*(1-EXP(-S13_PSP_Species_Support!AA17*12))^S13_PSP_Species_Support!AB17))^0.976,0)+IFERROR(S13_PSP_Species_Support!AF17*0.0673*(S13_PSP_Species_Support!AG17*(S13_PSP_Species_Support!AH17*(1-EXP(-S13_PSP_Species_Support!AI17*12))^S13_PSP_Species_Support!AJ17)^2*(S13_PSP_Species_Support!AK17*(1-EXP(-S13_PSP_Species_Support!AL17*12))^S13_PSP_Species_Support!AM17))^0.976,0)+IFERROR(S13_PSP_Species_Support!AQ17*0.0673*(S13_PSP_Species_Support!AR17*(S13_PSP_Species_Support!AS17*(1-EXP(-S13_PSP_Species_Support!AT17*12))^S13_PSP_Species_Support!AU17)^2*(S13_PSP_Species_Support!AV17*(1-EXP(-S13_PSP_Species_Support!AW17*12))^S13_PSP_Species_Support!AX17))^0.976,0)+IFERROR(S13_PSP_Species_Support!BB17*0.0673*(S13_PSP_Species_Support!BC17*(S13_PSP_Species_Support!BD17*(1-EXP(-S13_PSP_Species_Support!BE17*12))^S13_PSP_Species_Support!BF17)^2*(S13_PSP_Species_Support!BG17*(1-EXP(-S13_PSP_Species_Support!BH17*12))^S13_PSP_Species_Support!BI17))^0.976,0)+IFERROR(S13_PSP_Species_Support!BM17*0.0673*(S13_PSP_Species_Support!BN17*(S13_PSP_Species_Support!BO17*(1-EXP(-S13_PSP_Species_Support!BP17*12))^S13_PSP_Species_Support!BQ17)^2*(S13_PSP_Species_Support!BR17*(1-EXP(-S13_PSP_Species_Support!BS17*12))^S13_PSP_Species_Support!BT17))^0.976,0)+IFERROR(S13_PSP_Species_Support!BX17*0.0673*(S13_PSP_Species_Support!BY17*(S13_PSP_Species_Support!BZ17*(1-EXP(-S13_PSP_Species_Support!CA17*12))^S13_PSP_Species_Support!CB17)^2*(S13_PSP_Species_Support!CC17*(1-EXP(-S13_PSP_Species_Support!CD17*12))^S13_PSP_Species_Support!CE17))^0.976,0)+IFERROR(S13_PSP_Species_Support!CI17*0.0673*(S13_PSP_Species_Support!CJ17*(S13_PSP_Species_Support!CK17*(1-EXP(-S13_PSP_Species_Support!CL17*12))^S13_PSP_Species_Support!CM17)^2*(S13_PSP_Species_Support!CN17*(1-EXP(-S13_PSP_Species_Support!CO17*12))^S13_PSP_Species_Support!CP17))^0.976,0)+IFERROR(S13_PSP_Species_Support!CT17*0.0673*(S13_PSP_Species_Support!CU17*(S13_PSP_Species_Support!CV17*(1-EXP(-S13_PSP_Species_Support!CW17*12))^S13_PSP_Species_Support!CX17)^2*(S13_PSP_Species_Support!CY17*(1-EXP(-S13_PSP_Species_Support!CZ17*12))^S13_PSP_Species_Support!DA17))^0.976,0))/1000/$G30*U$108,0)</x:f>
        <x:v>0</x:v>
      </x:c>
      <x:c r="V30" s="147" t="n">
        <x:f aca="0">IFERROR((IFERROR(S13_PSP_Species_Support!U17*0.0673*(S13_PSP_Species_Support!V17*(S13_PSP_Species_Support!W17*(1-EXP(-S13_PSP_Species_Support!X17*13))^S13_PSP_Species_Support!Y17)^2*(S13_PSP_Species_Support!Z17*(1-EXP(-S13_PSP_Species_Support!AA17*13))^S13_PSP_Species_Support!AB17))^0.976,0)+IFERROR(S13_PSP_Species_Support!AF17*0.0673*(S13_PSP_Species_Support!AG17*(S13_PSP_Species_Support!AH17*(1-EXP(-S13_PSP_Species_Support!AI17*13))^S13_PSP_Species_Support!AJ17)^2*(S13_PSP_Species_Support!AK17*(1-EXP(-S13_PSP_Species_Support!AL17*13))^S13_PSP_Species_Support!AM17))^0.976,0)+IFERROR(S13_PSP_Species_Support!AQ17*0.0673*(S13_PSP_Species_Support!AR17*(S13_PSP_Species_Support!AS17*(1-EXP(-S13_PSP_Species_Support!AT17*13))^S13_PSP_Species_Support!AU17)^2*(S13_PSP_Species_Support!AV17*(1-EXP(-S13_PSP_Species_Support!AW17*13))^S13_PSP_Species_Support!AX17))^0.976,0)+IFERROR(S13_PSP_Species_Support!BB17*0.0673*(S13_PSP_Species_Support!BC17*(S13_PSP_Species_Support!BD17*(1-EXP(-S13_PSP_Species_Support!BE17*13))^S13_PSP_Species_Support!BF17)^2*(S13_PSP_Species_Support!BG17*(1-EXP(-S13_PSP_Species_Support!BH17*13))^S13_PSP_Species_Support!BI17))^0.976,0)+IFERROR(S13_PSP_Species_Support!BM17*0.0673*(S13_PSP_Species_Support!BN17*(S13_PSP_Species_Support!BO17*(1-EXP(-S13_PSP_Species_Support!BP17*13))^S13_PSP_Species_Support!BQ17)^2*(S13_PSP_Species_Support!BR17*(1-EXP(-S13_PSP_Species_Support!BS17*13))^S13_PSP_Species_Support!BT17))^0.976,0)+IFERROR(S13_PSP_Species_Support!BX17*0.0673*(S13_PSP_Species_Support!BY17*(S13_PSP_Species_Support!BZ17*(1-EXP(-S13_PSP_Species_Support!CA17*13))^S13_PSP_Species_Support!CB17)^2*(S13_PSP_Species_Support!CC17*(1-EXP(-S13_PSP_Species_Support!CD17*13))^S13_PSP_Species_Support!CE17))^0.976,0)+IFERROR(S13_PSP_Species_Support!CI17*0.0673*(S13_PSP_Species_Support!CJ17*(S13_PSP_Species_Support!CK17*(1-EXP(-S13_PSP_Species_Support!CL17*13))^S13_PSP_Species_Support!CM17)^2*(S13_PSP_Species_Support!CN17*(1-EXP(-S13_PSP_Species_Support!CO17*13))^S13_PSP_Species_Support!CP17))^0.976,0)+IFERROR(S13_PSP_Species_Support!CT17*0.0673*(S13_PSP_Species_Support!CU17*(S13_PSP_Species_Support!CV17*(1-EXP(-S13_PSP_Species_Support!CW17*13))^S13_PSP_Species_Support!CX17)^2*(S13_PSP_Species_Support!CY17*(1-EXP(-S13_PSP_Species_Support!CZ17*13))^S13_PSP_Species_Support!DA17))^0.976,0))/1000/$G30*V$108,0)</x:f>
        <x:v>0</x:v>
      </x:c>
      <x:c r="W30" s="147" t="n">
        <x:f aca="0">IFERROR((IFERROR(S13_PSP_Species_Support!U17*0.0673*(S13_PSP_Species_Support!V17*(S13_PSP_Species_Support!W17*(1-EXP(-S13_PSP_Species_Support!X17*14))^S13_PSP_Species_Support!Y17)^2*(S13_PSP_Species_Support!Z17*(1-EXP(-S13_PSP_Species_Support!AA17*14))^S13_PSP_Species_Support!AB17))^0.976,0)+IFERROR(S13_PSP_Species_Support!AF17*0.0673*(S13_PSP_Species_Support!AG17*(S13_PSP_Species_Support!AH17*(1-EXP(-S13_PSP_Species_Support!AI17*14))^S13_PSP_Species_Support!AJ17)^2*(S13_PSP_Species_Support!AK17*(1-EXP(-S13_PSP_Species_Support!AL17*14))^S13_PSP_Species_Support!AM17))^0.976,0)+IFERROR(S13_PSP_Species_Support!AQ17*0.0673*(S13_PSP_Species_Support!AR17*(S13_PSP_Species_Support!AS17*(1-EXP(-S13_PSP_Species_Support!AT17*14))^S13_PSP_Species_Support!AU17)^2*(S13_PSP_Species_Support!AV17*(1-EXP(-S13_PSP_Species_Support!AW17*14))^S13_PSP_Species_Support!AX17))^0.976,0)+IFERROR(S13_PSP_Species_Support!BB17*0.0673*(S13_PSP_Species_Support!BC17*(S13_PSP_Species_Support!BD17*(1-EXP(-S13_PSP_Species_Support!BE17*14))^S13_PSP_Species_Support!BF17)^2*(S13_PSP_Species_Support!BG17*(1-EXP(-S13_PSP_Species_Support!BH17*14))^S13_PSP_Species_Support!BI17))^0.976,0)+IFERROR(S13_PSP_Species_Support!BM17*0.0673*(S13_PSP_Species_Support!BN17*(S13_PSP_Species_Support!BO17*(1-EXP(-S13_PSP_Species_Support!BP17*14))^S13_PSP_Species_Support!BQ17)^2*(S13_PSP_Species_Support!BR17*(1-EXP(-S13_PSP_Species_Support!BS17*14))^S13_PSP_Species_Support!BT17))^0.976,0)+IFERROR(S13_PSP_Species_Support!BX17*0.0673*(S13_PSP_Species_Support!BY17*(S13_PSP_Species_Support!BZ17*(1-EXP(-S13_PSP_Species_Support!CA17*14))^S13_PSP_Species_Support!CB17)^2*(S13_PSP_Species_Support!CC17*(1-EXP(-S13_PSP_Species_Support!CD17*14))^S13_PSP_Species_Support!CE17))^0.976,0)+IFERROR(S13_PSP_Species_Support!CI17*0.0673*(S13_PSP_Species_Support!CJ17*(S13_PSP_Species_Support!CK17*(1-EXP(-S13_PSP_Species_Support!CL17*14))^S13_PSP_Species_Support!CM17)^2*(S13_PSP_Species_Support!CN17*(1-EXP(-S13_PSP_Species_Support!CO17*14))^S13_PSP_Species_Support!CP17))^0.976,0)+IFERROR(S13_PSP_Species_Support!CT17*0.0673*(S13_PSP_Species_Support!CU17*(S13_PSP_Species_Support!CV17*(1-EXP(-S13_PSP_Species_Support!CW17*14))^S13_PSP_Species_Support!CX17)^2*(S13_PSP_Species_Support!CY17*(1-EXP(-S13_PSP_Species_Support!CZ17*14))^S13_PSP_Species_Support!DA17))^0.976,0))/1000/$G30*W$108,0)</x:f>
        <x:v>0</x:v>
      </x:c>
      <x:c r="X30" s="147" t="n">
        <x:f aca="0">IFERROR((IFERROR(S13_PSP_Species_Support!U17*0.0673*(S13_PSP_Species_Support!V17*(S13_PSP_Species_Support!W17*(1-EXP(-S13_PSP_Species_Support!X17*15))^S13_PSP_Species_Support!Y17)^2*(S13_PSP_Species_Support!Z17*(1-EXP(-S13_PSP_Species_Support!AA17*15))^S13_PSP_Species_Support!AB17))^0.976,0)+IFERROR(S13_PSP_Species_Support!AF17*0.0673*(S13_PSP_Species_Support!AG17*(S13_PSP_Species_Support!AH17*(1-EXP(-S13_PSP_Species_Support!AI17*15))^S13_PSP_Species_Support!AJ17)^2*(S13_PSP_Species_Support!AK17*(1-EXP(-S13_PSP_Species_Support!AL17*15))^S13_PSP_Species_Support!AM17))^0.976,0)+IFERROR(S13_PSP_Species_Support!AQ17*0.0673*(S13_PSP_Species_Support!AR17*(S13_PSP_Species_Support!AS17*(1-EXP(-S13_PSP_Species_Support!AT17*15))^S13_PSP_Species_Support!AU17)^2*(S13_PSP_Species_Support!AV17*(1-EXP(-S13_PSP_Species_Support!AW17*15))^S13_PSP_Species_Support!AX17))^0.976,0)+IFERROR(S13_PSP_Species_Support!BB17*0.0673*(S13_PSP_Species_Support!BC17*(S13_PSP_Species_Support!BD17*(1-EXP(-S13_PSP_Species_Support!BE17*15))^S13_PSP_Species_Support!BF17)^2*(S13_PSP_Species_Support!BG17*(1-EXP(-S13_PSP_Species_Support!BH17*15))^S13_PSP_Species_Support!BI17))^0.976,0)+IFERROR(S13_PSP_Species_Support!BM17*0.0673*(S13_PSP_Species_Support!BN17*(S13_PSP_Species_Support!BO17*(1-EXP(-S13_PSP_Species_Support!BP17*15))^S13_PSP_Species_Support!BQ17)^2*(S13_PSP_Species_Support!BR17*(1-EXP(-S13_PSP_Species_Support!BS17*15))^S13_PSP_Species_Support!BT17))^0.976,0)+IFERROR(S13_PSP_Species_Support!BX17*0.0673*(S13_PSP_Species_Support!BY17*(S13_PSP_Species_Support!BZ17*(1-EXP(-S13_PSP_Species_Support!CA17*15))^S13_PSP_Species_Support!CB17)^2*(S13_PSP_Species_Support!CC17*(1-EXP(-S13_PSP_Species_Support!CD17*15))^S13_PSP_Species_Support!CE17))^0.976,0)+IFERROR(S13_PSP_Species_Support!CI17*0.0673*(S13_PSP_Species_Support!CJ17*(S13_PSP_Species_Support!CK17*(1-EXP(-S13_PSP_Species_Support!CL17*15))^S13_PSP_Species_Support!CM17)^2*(S13_PSP_Species_Support!CN17*(1-EXP(-S13_PSP_Species_Support!CO17*15))^S13_PSP_Species_Support!CP17))^0.976,0)+IFERROR(S13_PSP_Species_Support!CT17*0.0673*(S13_PSP_Species_Support!CU17*(S13_PSP_Species_Support!CV17*(1-EXP(-S13_PSP_Species_Support!CW17*15))^S13_PSP_Species_Support!CX17)^2*(S13_PSP_Species_Support!CY17*(1-EXP(-S13_PSP_Species_Support!CZ17*15))^S13_PSP_Species_Support!DA17))^0.976,0))/1000/$G30*X$108,0)</x:f>
        <x:v>0</x:v>
      </x:c>
      <x:c r="Y30" s="147" t="n">
        <x:f aca="0">IFERROR((IFERROR(S13_PSP_Species_Support!U17*0.0673*(S13_PSP_Species_Support!V17*(S13_PSP_Species_Support!W17*(1-EXP(-S13_PSP_Species_Support!X17*16))^S13_PSP_Species_Support!Y17)^2*(S13_PSP_Species_Support!Z17*(1-EXP(-S13_PSP_Species_Support!AA17*16))^S13_PSP_Species_Support!AB17))^0.976,0)+IFERROR(S13_PSP_Species_Support!AF17*0.0673*(S13_PSP_Species_Support!AG17*(S13_PSP_Species_Support!AH17*(1-EXP(-S13_PSP_Species_Support!AI17*16))^S13_PSP_Species_Support!AJ17)^2*(S13_PSP_Species_Support!AK17*(1-EXP(-S13_PSP_Species_Support!AL17*16))^S13_PSP_Species_Support!AM17))^0.976,0)+IFERROR(S13_PSP_Species_Support!AQ17*0.0673*(S13_PSP_Species_Support!AR17*(S13_PSP_Species_Support!AS17*(1-EXP(-S13_PSP_Species_Support!AT17*16))^S13_PSP_Species_Support!AU17)^2*(S13_PSP_Species_Support!AV17*(1-EXP(-S13_PSP_Species_Support!AW17*16))^S13_PSP_Species_Support!AX17))^0.976,0)+IFERROR(S13_PSP_Species_Support!BB17*0.0673*(S13_PSP_Species_Support!BC17*(S13_PSP_Species_Support!BD17*(1-EXP(-S13_PSP_Species_Support!BE17*16))^S13_PSP_Species_Support!BF17)^2*(S13_PSP_Species_Support!BG17*(1-EXP(-S13_PSP_Species_Support!BH17*16))^S13_PSP_Species_Support!BI17))^0.976,0)+IFERROR(S13_PSP_Species_Support!BM17*0.0673*(S13_PSP_Species_Support!BN17*(S13_PSP_Species_Support!BO17*(1-EXP(-S13_PSP_Species_Support!BP17*16))^S13_PSP_Species_Support!BQ17)^2*(S13_PSP_Species_Support!BR17*(1-EXP(-S13_PSP_Species_Support!BS17*16))^S13_PSP_Species_Support!BT17))^0.976,0)+IFERROR(S13_PSP_Species_Support!BX17*0.0673*(S13_PSP_Species_Support!BY17*(S13_PSP_Species_Support!BZ17*(1-EXP(-S13_PSP_Species_Support!CA17*16))^S13_PSP_Species_Support!CB17)^2*(S13_PSP_Species_Support!CC17*(1-EXP(-S13_PSP_Species_Support!CD17*16))^S13_PSP_Species_Support!CE17))^0.976,0)+IFERROR(S13_PSP_Species_Support!CI17*0.0673*(S13_PSP_Species_Support!CJ17*(S13_PSP_Species_Support!CK17*(1-EXP(-S13_PSP_Species_Support!CL17*16))^S13_PSP_Species_Support!CM17)^2*(S13_PSP_Species_Support!CN17*(1-EXP(-S13_PSP_Species_Support!CO17*16))^S13_PSP_Species_Support!CP17))^0.976,0)+IFERROR(S13_PSP_Species_Support!CT17*0.0673*(S13_PSP_Species_Support!CU17*(S13_PSP_Species_Support!CV17*(1-EXP(-S13_PSP_Species_Support!CW17*16))^S13_PSP_Species_Support!CX17)^2*(S13_PSP_Species_Support!CY17*(1-EXP(-S13_PSP_Species_Support!CZ17*16))^S13_PSP_Species_Support!DA17))^0.976,0))/1000/$G30*Y$108,0)</x:f>
        <x:v>0</x:v>
      </x:c>
      <x:c r="Z30" s="147" t="n">
        <x:f aca="0">IFERROR((IFERROR(S13_PSP_Species_Support!U17*0.0673*(S13_PSP_Species_Support!V17*(S13_PSP_Species_Support!W17*(1-EXP(-S13_PSP_Species_Support!X17*17))^S13_PSP_Species_Support!Y17)^2*(S13_PSP_Species_Support!Z17*(1-EXP(-S13_PSP_Species_Support!AA17*17))^S13_PSP_Species_Support!AB17))^0.976,0)+IFERROR(S13_PSP_Species_Support!AF17*0.0673*(S13_PSP_Species_Support!AG17*(S13_PSP_Species_Support!AH17*(1-EXP(-S13_PSP_Species_Support!AI17*17))^S13_PSP_Species_Support!AJ17)^2*(S13_PSP_Species_Support!AK17*(1-EXP(-S13_PSP_Species_Support!AL17*17))^S13_PSP_Species_Support!AM17))^0.976,0)+IFERROR(S13_PSP_Species_Support!AQ17*0.0673*(S13_PSP_Species_Support!AR17*(S13_PSP_Species_Support!AS17*(1-EXP(-S13_PSP_Species_Support!AT17*17))^S13_PSP_Species_Support!AU17)^2*(S13_PSP_Species_Support!AV17*(1-EXP(-S13_PSP_Species_Support!AW17*17))^S13_PSP_Species_Support!AX17))^0.976,0)+IFERROR(S13_PSP_Species_Support!BB17*0.0673*(S13_PSP_Species_Support!BC17*(S13_PSP_Species_Support!BD17*(1-EXP(-S13_PSP_Species_Support!BE17*17))^S13_PSP_Species_Support!BF17)^2*(S13_PSP_Species_Support!BG17*(1-EXP(-S13_PSP_Species_Support!BH17*17))^S13_PSP_Species_Support!BI17))^0.976,0)+IFERROR(S13_PSP_Species_Support!BM17*0.0673*(S13_PSP_Species_Support!BN17*(S13_PSP_Species_Support!BO17*(1-EXP(-S13_PSP_Species_Support!BP17*17))^S13_PSP_Species_Support!BQ17)^2*(S13_PSP_Species_Support!BR17*(1-EXP(-S13_PSP_Species_Support!BS17*17))^S13_PSP_Species_Support!BT17))^0.976,0)+IFERROR(S13_PSP_Species_Support!BX17*0.0673*(S13_PSP_Species_Support!BY17*(S13_PSP_Species_Support!BZ17*(1-EXP(-S13_PSP_Species_Support!CA17*17))^S13_PSP_Species_Support!CB17)^2*(S13_PSP_Species_Support!CC17*(1-EXP(-S13_PSP_Species_Support!CD17*17))^S13_PSP_Species_Support!CE17))^0.976,0)+IFERROR(S13_PSP_Species_Support!CI17*0.0673*(S13_PSP_Species_Support!CJ17*(S13_PSP_Species_Support!CK17*(1-EXP(-S13_PSP_Species_Support!CL17*17))^S13_PSP_Species_Support!CM17)^2*(S13_PSP_Species_Support!CN17*(1-EXP(-S13_PSP_Species_Support!CO17*17))^S13_PSP_Species_Support!CP17))^0.976,0)+IFERROR(S13_PSP_Species_Support!CT17*0.0673*(S13_PSP_Species_Support!CU17*(S13_PSP_Species_Support!CV17*(1-EXP(-S13_PSP_Species_Support!CW17*17))^S13_PSP_Species_Support!CX17)^2*(S13_PSP_Species_Support!CY17*(1-EXP(-S13_PSP_Species_Support!CZ17*17))^S13_PSP_Species_Support!DA17))^0.976,0))/1000/$G30*Z$108,0)</x:f>
        <x:v>0</x:v>
      </x:c>
      <x:c r="AA30" s="147" t="n">
        <x:f aca="0">IFERROR((IFERROR(S13_PSP_Species_Support!U17*0.0673*(S13_PSP_Species_Support!V17*(S13_PSP_Species_Support!W17*(1-EXP(-S13_PSP_Species_Support!X17*18))^S13_PSP_Species_Support!Y17)^2*(S13_PSP_Species_Support!Z17*(1-EXP(-S13_PSP_Species_Support!AA17*18))^S13_PSP_Species_Support!AB17))^0.976,0)+IFERROR(S13_PSP_Species_Support!AF17*0.0673*(S13_PSP_Species_Support!AG17*(S13_PSP_Species_Support!AH17*(1-EXP(-S13_PSP_Species_Support!AI17*18))^S13_PSP_Species_Support!AJ17)^2*(S13_PSP_Species_Support!AK17*(1-EXP(-S13_PSP_Species_Support!AL17*18))^S13_PSP_Species_Support!AM17))^0.976,0)+IFERROR(S13_PSP_Species_Support!AQ17*0.0673*(S13_PSP_Species_Support!AR17*(S13_PSP_Species_Support!AS17*(1-EXP(-S13_PSP_Species_Support!AT17*18))^S13_PSP_Species_Support!AU17)^2*(S13_PSP_Species_Support!AV17*(1-EXP(-S13_PSP_Species_Support!AW17*18))^S13_PSP_Species_Support!AX17))^0.976,0)+IFERROR(S13_PSP_Species_Support!BB17*0.0673*(S13_PSP_Species_Support!BC17*(S13_PSP_Species_Support!BD17*(1-EXP(-S13_PSP_Species_Support!BE17*18))^S13_PSP_Species_Support!BF17)^2*(S13_PSP_Species_Support!BG17*(1-EXP(-S13_PSP_Species_Support!BH17*18))^S13_PSP_Species_Support!BI17))^0.976,0)+IFERROR(S13_PSP_Species_Support!BM17*0.0673*(S13_PSP_Species_Support!BN17*(S13_PSP_Species_Support!BO17*(1-EXP(-S13_PSP_Species_Support!BP17*18))^S13_PSP_Species_Support!BQ17)^2*(S13_PSP_Species_Support!BR17*(1-EXP(-S13_PSP_Species_Support!BS17*18))^S13_PSP_Species_Support!BT17))^0.976,0)+IFERROR(S13_PSP_Species_Support!BX17*0.0673*(S13_PSP_Species_Support!BY17*(S13_PSP_Species_Support!BZ17*(1-EXP(-S13_PSP_Species_Support!CA17*18))^S13_PSP_Species_Support!CB17)^2*(S13_PSP_Species_Support!CC17*(1-EXP(-S13_PSP_Species_Support!CD17*18))^S13_PSP_Species_Support!CE17))^0.976,0)+IFERROR(S13_PSP_Species_Support!CI17*0.0673*(S13_PSP_Species_Support!CJ17*(S13_PSP_Species_Support!CK17*(1-EXP(-S13_PSP_Species_Support!CL17*18))^S13_PSP_Species_Support!CM17)^2*(S13_PSP_Species_Support!CN17*(1-EXP(-S13_PSP_Species_Support!CO17*18))^S13_PSP_Species_Support!CP17))^0.976,0)+IFERROR(S13_PSP_Species_Support!CT17*0.0673*(S13_PSP_Species_Support!CU17*(S13_PSP_Species_Support!CV17*(1-EXP(-S13_PSP_Species_Support!CW17*18))^S13_PSP_Species_Support!CX17)^2*(S13_PSP_Species_Support!CY17*(1-EXP(-S13_PSP_Species_Support!CZ17*18))^S13_PSP_Species_Support!DA17))^0.976,0))/1000/$G30*AA$108,0)</x:f>
        <x:v>0</x:v>
      </x:c>
      <x:c r="AB30" s="147" t="n">
        <x:f aca="0">IFERROR((IFERROR(S13_PSP_Species_Support!U17*0.0673*(S13_PSP_Species_Support!V17*(S13_PSP_Species_Support!W17*(1-EXP(-S13_PSP_Species_Support!X17*19))^S13_PSP_Species_Support!Y17)^2*(S13_PSP_Species_Support!Z17*(1-EXP(-S13_PSP_Species_Support!AA17*19))^S13_PSP_Species_Support!AB17))^0.976,0)+IFERROR(S13_PSP_Species_Support!AF17*0.0673*(S13_PSP_Species_Support!AG17*(S13_PSP_Species_Support!AH17*(1-EXP(-S13_PSP_Species_Support!AI17*19))^S13_PSP_Species_Support!AJ17)^2*(S13_PSP_Species_Support!AK17*(1-EXP(-S13_PSP_Species_Support!AL17*19))^S13_PSP_Species_Support!AM17))^0.976,0)+IFERROR(S13_PSP_Species_Support!AQ17*0.0673*(S13_PSP_Species_Support!AR17*(S13_PSP_Species_Support!AS17*(1-EXP(-S13_PSP_Species_Support!AT17*19))^S13_PSP_Species_Support!AU17)^2*(S13_PSP_Species_Support!AV17*(1-EXP(-S13_PSP_Species_Support!AW17*19))^S13_PSP_Species_Support!AX17))^0.976,0)+IFERROR(S13_PSP_Species_Support!BB17*0.0673*(S13_PSP_Species_Support!BC17*(S13_PSP_Species_Support!BD17*(1-EXP(-S13_PSP_Species_Support!BE17*19))^S13_PSP_Species_Support!BF17)^2*(S13_PSP_Species_Support!BG17*(1-EXP(-S13_PSP_Species_Support!BH17*19))^S13_PSP_Species_Support!BI17))^0.976,0)+IFERROR(S13_PSP_Species_Support!BM17*0.0673*(S13_PSP_Species_Support!BN17*(S13_PSP_Species_Support!BO17*(1-EXP(-S13_PSP_Species_Support!BP17*19))^S13_PSP_Species_Support!BQ17)^2*(S13_PSP_Species_Support!BR17*(1-EXP(-S13_PSP_Species_Support!BS17*19))^S13_PSP_Species_Support!BT17))^0.976,0)+IFERROR(S13_PSP_Species_Support!BX17*0.0673*(S13_PSP_Species_Support!BY17*(S13_PSP_Species_Support!BZ17*(1-EXP(-S13_PSP_Species_Support!CA17*19))^S13_PSP_Species_Support!CB17)^2*(S13_PSP_Species_Support!CC17*(1-EXP(-S13_PSP_Species_Support!CD17*19))^S13_PSP_Species_Support!CE17))^0.976,0)+IFERROR(S13_PSP_Species_Support!CI17*0.0673*(S13_PSP_Species_Support!CJ17*(S13_PSP_Species_Support!CK17*(1-EXP(-S13_PSP_Species_Support!CL17*19))^S13_PSP_Species_Support!CM17)^2*(S13_PSP_Species_Support!CN17*(1-EXP(-S13_PSP_Species_Support!CO17*19))^S13_PSP_Species_Support!CP17))^0.976,0)+IFERROR(S13_PSP_Species_Support!CT17*0.0673*(S13_PSP_Species_Support!CU17*(S13_PSP_Species_Support!CV17*(1-EXP(-S13_PSP_Species_Support!CW17*19))^S13_PSP_Species_Support!CX17)^2*(S13_PSP_Species_Support!CY17*(1-EXP(-S13_PSP_Species_Support!CZ17*19))^S13_PSP_Species_Support!DA17))^0.976,0))/1000/$G30*AB$108,0)</x:f>
        <x:v>0</x:v>
      </x:c>
      <x:c r="AC30" s="147" t="n">
        <x:f aca="0">IFERROR((IFERROR(S13_PSP_Species_Support!U17*0.0673*(S13_PSP_Species_Support!V17*(S13_PSP_Species_Support!W17*(1-EXP(-S13_PSP_Species_Support!X17*20))^S13_PSP_Species_Support!Y17)^2*(S13_PSP_Species_Support!Z17*(1-EXP(-S13_PSP_Species_Support!AA17*20))^S13_PSP_Species_Support!AB17))^0.976,0)+IFERROR(S13_PSP_Species_Support!AF17*0.0673*(S13_PSP_Species_Support!AG17*(S13_PSP_Species_Support!AH17*(1-EXP(-S13_PSP_Species_Support!AI17*20))^S13_PSP_Species_Support!AJ17)^2*(S13_PSP_Species_Support!AK17*(1-EXP(-S13_PSP_Species_Support!AL17*20))^S13_PSP_Species_Support!AM17))^0.976,0)+IFERROR(S13_PSP_Species_Support!AQ17*0.0673*(S13_PSP_Species_Support!AR17*(S13_PSP_Species_Support!AS17*(1-EXP(-S13_PSP_Species_Support!AT17*20))^S13_PSP_Species_Support!AU17)^2*(S13_PSP_Species_Support!AV17*(1-EXP(-S13_PSP_Species_Support!AW17*20))^S13_PSP_Species_Support!AX17))^0.976,0)+IFERROR(S13_PSP_Species_Support!BB17*0.0673*(S13_PSP_Species_Support!BC17*(S13_PSP_Species_Support!BD17*(1-EXP(-S13_PSP_Species_Support!BE17*20))^S13_PSP_Species_Support!BF17)^2*(S13_PSP_Species_Support!BG17*(1-EXP(-S13_PSP_Species_Support!BH17*20))^S13_PSP_Species_Support!BI17))^0.976,0)+IFERROR(S13_PSP_Species_Support!BM17*0.0673*(S13_PSP_Species_Support!BN17*(S13_PSP_Species_Support!BO17*(1-EXP(-S13_PSP_Species_Support!BP17*20))^S13_PSP_Species_Support!BQ17)^2*(S13_PSP_Species_Support!BR17*(1-EXP(-S13_PSP_Species_Support!BS17*20))^S13_PSP_Species_Support!BT17))^0.976,0)+IFERROR(S13_PSP_Species_Support!BX17*0.0673*(S13_PSP_Species_Support!BY17*(S13_PSP_Species_Support!BZ17*(1-EXP(-S13_PSP_Species_Support!CA17*20))^S13_PSP_Species_Support!CB17)^2*(S13_PSP_Species_Support!CC17*(1-EXP(-S13_PSP_Species_Support!CD17*20))^S13_PSP_Species_Support!CE17))^0.976,0)+IFERROR(S13_PSP_Species_Support!CI17*0.0673*(S13_PSP_Species_Support!CJ17*(S13_PSP_Species_Support!CK17*(1-EXP(-S13_PSP_Species_Support!CL17*20))^S13_PSP_Species_Support!CM17)^2*(S13_PSP_Species_Support!CN17*(1-EXP(-S13_PSP_Species_Support!CO17*20))^S13_PSP_Species_Support!CP17))^0.976,0)+IFERROR(S13_PSP_Species_Support!CT17*0.0673*(S13_PSP_Species_Support!CU17*(S13_PSP_Species_Support!CV17*(1-EXP(-S13_PSP_Species_Support!CW17*20))^S13_PSP_Species_Support!CX17)^2*(S13_PSP_Species_Support!CY17*(1-EXP(-S13_PSP_Species_Support!CZ17*20))^S13_PSP_Species_Support!DA17))^0.976,0))/1000/$G30*AC$108,0)</x:f>
        <x:v>0</x:v>
      </x:c>
      <x:c r="AD30" s="148" t="n">
        <x:f aca="0">IF(2020&lt;$F30,0,INDEX($I30:$AC30,1,2020-$F30+1))</x:f>
        <x:v>0</x:v>
      </x:c>
      <x:c r="AE30" s="148" t="n">
        <x:f aca="0">IF(2021&lt;$F30,0,INDEX($I30:$AC30,1,2021-$F30+1))</x:f>
        <x:v>0</x:v>
      </x:c>
      <x:c r="AF30" s="148" t="n">
        <x:f aca="0">IF(2022&lt;$F30,0,INDEX($I30:$AC30,1,2022-$F30+1))</x:f>
        <x:v>0</x:v>
      </x:c>
      <x:c r="AG30" s="148" t="n">
        <x:f aca="0">IF(2023&lt;$F30,0,INDEX($I30:$AC30,1,2023-$F30+1))</x:f>
        <x:v>0</x:v>
      </x:c>
      <x:c r="AH30" s="148" t="n">
        <x:f aca="0">IF(2024&lt;$F30,0,INDEX($I30:$AC30,1,2024-$F30+1))</x:f>
        <x:v>0</x:v>
      </x:c>
      <x:c r="AI30" s="148" t="n">
        <x:f aca="0">IF(2025&lt;$F30,0,INDEX($I30:$AC30,1,2025-$F30+1))</x:f>
        <x:v>0</x:v>
      </x:c>
      <x:c r="AJ30" s="148" t="n">
        <x:f aca="0">IF(2026&lt;$F30,0,INDEX($I30:$AC30,1,2026-$F30+1))</x:f>
        <x:v>0</x:v>
      </x:c>
      <x:c r="AK30" s="148" t="n">
        <x:f aca="0">IF(2027&lt;$F30,0,INDEX($I30:$AC30,1,2027-$F30+1))</x:f>
        <x:v>0</x:v>
      </x:c>
      <x:c r="AL30" s="148" t="n">
        <x:f aca="0">IF(2028&lt;$F30,0,INDEX($I30:$AC30,1,2028-$F30+1))</x:f>
        <x:v>0</x:v>
      </x:c>
      <x:c r="AM30" s="148" t="n">
        <x:f aca="0">IF(2029&lt;$F30,0,INDEX($I30:$AC30,1,2029-$F30+1))</x:f>
        <x:v>0</x:v>
      </x:c>
      <x:c r="AN30" s="148" t="n">
        <x:f aca="0">IF(2030&lt;$F30,0,INDEX($I30:$AC30,1,2030-$F30+1))</x:f>
        <x:v>0</x:v>
      </x:c>
      <x:c r="AO30" s="148" t="n">
        <x:f aca="0">IF(2031&lt;$F30,0,INDEX($I30:$AC30,1,2031-$F30+1))</x:f>
        <x:v>0</x:v>
      </x:c>
      <x:c r="AP30" s="148" t="n">
        <x:f aca="0">IF(2032&lt;$F30,0,INDEX($I30:$AC30,1,2032-$F30+1))</x:f>
        <x:v>0</x:v>
      </x:c>
      <x:c r="AQ30" s="148" t="n">
        <x:f aca="0">IF(2033&lt;$F30,0,INDEX($I30:$AC30,1,2033-$F30+1))</x:f>
        <x:v>0</x:v>
      </x:c>
      <x:c r="AR30" s="148" t="n">
        <x:f aca="0">IF(2034&lt;$F30,0,INDEX($I30:$AC30,1,2034-$F30+1))</x:f>
        <x:v>0</x:v>
      </x:c>
      <x:c r="AS30" s="148" t="n">
        <x:f aca="0">IF(2035&lt;$F30,0,INDEX($I30:$AC30,1,2035-$F30+1))</x:f>
        <x:v>0</x:v>
      </x:c>
      <x:c r="AT30" s="148" t="n">
        <x:f aca="0">IF(2036&lt;$F30,0,INDEX($I30:$AC30,1,2036-$F30+1))</x:f>
        <x:v>0</x:v>
      </x:c>
      <x:c r="AU30" s="148" t="n">
        <x:f aca="0">IF(2037&lt;$F30,0,INDEX($I30:$AC30,1,2037-$F30+1))</x:f>
        <x:v>0</x:v>
      </x:c>
      <x:c r="AV30" s="148" t="n">
        <x:f aca="0">IF(2038&lt;$F30,0,INDEX($I30:$AC30,1,2038-$F30+1))</x:f>
        <x:v>0</x:v>
      </x:c>
      <x:c r="AW30" s="148" t="n">
        <x:f aca="0">IF(2039&lt;$F30,0,INDEX($I30:$AC30,1,2039-$F30+1))</x:f>
        <x:v>0</x:v>
      </x:c>
      <x:c r="AX30" s="148" t="n">
        <x:f aca="0">IF(2040&lt;$F30,0,INDEX($I30:$AC30,1,2040-$F30+1))</x:f>
        <x:v>0</x:v>
      </x:c>
      <x:c r="AY30" s="1" t="str">
        <x:f aca="0">LEFT($C30,FIND("@",SUBSTITUTE($C30,"|","@",2))-1)</x:f>
        <x:v>Horti-Silviculture|High</x:v>
      </x:c>
      <x:c r="AZ30" s="1" t="str">
        <x:f aca="0">LEFT($C30,FIND("|",$C30)-1)</x:f>
        <x:v>Horti-Silviculture</x:v>
      </x:c>
      <x:c r="BA30" s="149" t="n">
        <x:f aca="0">I30*I30</x:f>
        <x:v>0</x:v>
      </x:c>
      <x:c r="BB30" s="149" t="n">
        <x:f aca="0">J30*J30</x:f>
        <x:v>0</x:v>
      </x:c>
      <x:c r="BC30" s="149" t="n">
        <x:f aca="0">K30*K30</x:f>
        <x:v>0</x:v>
      </x:c>
      <x:c r="BD30" s="149" t="n">
        <x:f aca="0">L30*L30</x:f>
        <x:v>0</x:v>
      </x:c>
      <x:c r="BE30" s="149" t="n">
        <x:f aca="0">M30*M30</x:f>
        <x:v>0</x:v>
      </x:c>
      <x:c r="BF30" s="149" t="n">
        <x:f aca="0">N30*N30</x:f>
        <x:v>0</x:v>
      </x:c>
      <x:c r="BG30" s="149" t="n">
        <x:f aca="0">O30*O30</x:f>
        <x:v>0</x:v>
      </x:c>
      <x:c r="BH30" s="149" t="n">
        <x:f aca="0">P30*P30</x:f>
        <x:v>0</x:v>
      </x:c>
      <x:c r="BI30" s="149" t="n">
        <x:f aca="0">Q30*Q30</x:f>
        <x:v>0</x:v>
      </x:c>
      <x:c r="BJ30" s="149" t="n">
        <x:f aca="0">R30*R30</x:f>
        <x:v>0</x:v>
      </x:c>
      <x:c r="BK30" s="149" t="n">
        <x:f aca="0">S30*S30</x:f>
        <x:v>0</x:v>
      </x:c>
      <x:c r="BL30" s="149" t="n">
        <x:f aca="0">T30*T30</x:f>
        <x:v>0</x:v>
      </x:c>
      <x:c r="BM30" s="149" t="n">
        <x:f aca="0">U30*U30</x:f>
        <x:v>0</x:v>
      </x:c>
      <x:c r="BN30" s="149" t="n">
        <x:f aca="0">V30*V30</x:f>
        <x:v>0</x:v>
      </x:c>
      <x:c r="BO30" s="149" t="n">
        <x:f aca="0">W30*W30</x:f>
        <x:v>0</x:v>
      </x:c>
      <x:c r="BP30" s="149" t="n">
        <x:f aca="0">X30*X30</x:f>
        <x:v>0</x:v>
      </x:c>
      <x:c r="BQ30" s="149" t="n">
        <x:f aca="0">Y30*Y30</x:f>
        <x:v>0</x:v>
      </x:c>
      <x:c r="BR30" s="149" t="n">
        <x:f aca="0">Z30*Z30</x:f>
        <x:v>0</x:v>
      </x:c>
      <x:c r="BS30" s="149" t="n">
        <x:f aca="0">AA30*AA30</x:f>
        <x:v>0</x:v>
      </x:c>
      <x:c r="BT30" s="149" t="n">
        <x:f aca="0">AB30*AB30</x:f>
        <x:v>0</x:v>
      </x:c>
      <x:c r="BU30" s="149" t="n">
        <x:f aca="0">AC30*AC30</x:f>
        <x:v>0</x:v>
      </x:c>
    </x:row>
    <x:row r="31" ht="15" hidden="0" customHeight="1">
      <x:c r="A31" s="1" t="str">
        <x:f aca="0">S13_PSP_Species_Support!A18</x:f>
        <x:v>PSP-HS-004</x:v>
      </x:c>
      <x:c r="B31" s="1" t="n">
        <x:f aca="0">18</x:f>
        <x:v>18</x:v>
      </x:c>
      <x:c r="C31" s="1" t="str">
        <x:f aca="0">S13_PSP_Species_Support!I18</x:f>
        <x:v>Horti-Silviculture|High|2020</x:v>
      </x:c>
      <x:c r="D31" s="1" t="str">
        <x:f aca="0">S13_PSP_Species_Support!C18</x:f>
        <x:v>Horti-Silviculture</x:v>
      </x:c>
      <x:c r="E31" s="1" t="str">
        <x:f aca="0">S13_PSP_Species_Support!D18</x:f>
        <x:v>High</x:v>
      </x:c>
      <x:c r="F31" s="1" t="n">
        <x:f aca="0">S13_PSP_Species_Support!E18</x:f>
        <x:v>2020</x:v>
      </x:c>
      <x:c r="G31" s="645" t="n">
        <x:f aca="0">'S13_PSP_Species_Support'!DJ18</x:f>
        <x:v>0.09</x:v>
      </x:c>
      <x:c r="H31" s="714" t="n">
        <x:f aca="0">'S13_PSP_Species_Support'!DK18</x:f>
        <x:v>425.60931247726444</x:v>
      </x:c>
      <x:c r="I31" s="147" t="n">
        <x:f aca="0">IFERROR((IFERROR(S13_PSP_Species_Support!U18*0.0673*(S13_PSP_Species_Support!V18*(S13_PSP_Species_Support!W18*(1-EXP(-S13_PSP_Species_Support!X18*0))^S13_PSP_Species_Support!Y18)^2*(S13_PSP_Species_Support!Z18*(1-EXP(-S13_PSP_Species_Support!AA18*0))^S13_PSP_Species_Support!AB18))^0.976,0)+IFERROR(S13_PSP_Species_Support!AF18*0.0673*(S13_PSP_Species_Support!AG18*(S13_PSP_Species_Support!AH18*(1-EXP(-S13_PSP_Species_Support!AI18*0))^S13_PSP_Species_Support!AJ18)^2*(S13_PSP_Species_Support!AK18*(1-EXP(-S13_PSP_Species_Support!AL18*0))^S13_PSP_Species_Support!AM18))^0.976,0)+IFERROR(S13_PSP_Species_Support!AQ18*0.0673*(S13_PSP_Species_Support!AR18*(S13_PSP_Species_Support!AS18*(1-EXP(-S13_PSP_Species_Support!AT18*0))^S13_PSP_Species_Support!AU18)^2*(S13_PSP_Species_Support!AV18*(1-EXP(-S13_PSP_Species_Support!AW18*0))^S13_PSP_Species_Support!AX18))^0.976,0)+IFERROR(S13_PSP_Species_Support!BB18*0.0673*(S13_PSP_Species_Support!BC18*(S13_PSP_Species_Support!BD18*(1-EXP(-S13_PSP_Species_Support!BE18*0))^S13_PSP_Species_Support!BF18)^2*(S13_PSP_Species_Support!BG18*(1-EXP(-S13_PSP_Species_Support!BH18*0))^S13_PSP_Species_Support!BI18))^0.976,0)+IFERROR(S13_PSP_Species_Support!BM18*0.0673*(S13_PSP_Species_Support!BN18*(S13_PSP_Species_Support!BO18*(1-EXP(-S13_PSP_Species_Support!BP18*0))^S13_PSP_Species_Support!BQ18)^2*(S13_PSP_Species_Support!BR18*(1-EXP(-S13_PSP_Species_Support!BS18*0))^S13_PSP_Species_Support!BT18))^0.976,0)+IFERROR(S13_PSP_Species_Support!BX18*0.0673*(S13_PSP_Species_Support!BY18*(S13_PSP_Species_Support!BZ18*(1-EXP(-S13_PSP_Species_Support!CA18*0))^S13_PSP_Species_Support!CB18)^2*(S13_PSP_Species_Support!CC18*(1-EXP(-S13_PSP_Species_Support!CD18*0))^S13_PSP_Species_Support!CE18))^0.976,0)+IFERROR(S13_PSP_Species_Support!CI18*0.0673*(S13_PSP_Species_Support!CJ18*(S13_PSP_Species_Support!CK18*(1-EXP(-S13_PSP_Species_Support!CL18*0))^S13_PSP_Species_Support!CM18)^2*(S13_PSP_Species_Support!CN18*(1-EXP(-S13_PSP_Species_Support!CO18*0))^S13_PSP_Species_Support!CP18))^0.976,0)+IFERROR(S13_PSP_Species_Support!CT18*0.0673*(S13_PSP_Species_Support!CU18*(S13_PSP_Species_Support!CV18*(1-EXP(-S13_PSP_Species_Support!CW18*0))^S13_PSP_Species_Support!CX18)^2*(S13_PSP_Species_Support!CY18*(1-EXP(-S13_PSP_Species_Support!CZ18*0))^S13_PSP_Species_Support!DA18))^0.976,0))/1000/$G31*I$108,0)</x:f>
        <x:v>0</x:v>
      </x:c>
      <x:c r="J31" s="147" t="n">
        <x:f aca="0">IFERROR((IFERROR(S13_PSP_Species_Support!U18*0.0673*(S13_PSP_Species_Support!V18*(S13_PSP_Species_Support!W18*(1-EXP(-S13_PSP_Species_Support!X18*1))^S13_PSP_Species_Support!Y18)^2*(S13_PSP_Species_Support!Z18*(1-EXP(-S13_PSP_Species_Support!AA18*1))^S13_PSP_Species_Support!AB18))^0.976,0)+IFERROR(S13_PSP_Species_Support!AF18*0.0673*(S13_PSP_Species_Support!AG18*(S13_PSP_Species_Support!AH18*(1-EXP(-S13_PSP_Species_Support!AI18*1))^S13_PSP_Species_Support!AJ18)^2*(S13_PSP_Species_Support!AK18*(1-EXP(-S13_PSP_Species_Support!AL18*1))^S13_PSP_Species_Support!AM18))^0.976,0)+IFERROR(S13_PSP_Species_Support!AQ18*0.0673*(S13_PSP_Species_Support!AR18*(S13_PSP_Species_Support!AS18*(1-EXP(-S13_PSP_Species_Support!AT18*1))^S13_PSP_Species_Support!AU18)^2*(S13_PSP_Species_Support!AV18*(1-EXP(-S13_PSP_Species_Support!AW18*1))^S13_PSP_Species_Support!AX18))^0.976,0)+IFERROR(S13_PSP_Species_Support!BB18*0.0673*(S13_PSP_Species_Support!BC18*(S13_PSP_Species_Support!BD18*(1-EXP(-S13_PSP_Species_Support!BE18*1))^S13_PSP_Species_Support!BF18)^2*(S13_PSP_Species_Support!BG18*(1-EXP(-S13_PSP_Species_Support!BH18*1))^S13_PSP_Species_Support!BI18))^0.976,0)+IFERROR(S13_PSP_Species_Support!BM18*0.0673*(S13_PSP_Species_Support!BN18*(S13_PSP_Species_Support!BO18*(1-EXP(-S13_PSP_Species_Support!BP18*1))^S13_PSP_Species_Support!BQ18)^2*(S13_PSP_Species_Support!BR18*(1-EXP(-S13_PSP_Species_Support!BS18*1))^S13_PSP_Species_Support!BT18))^0.976,0)+IFERROR(S13_PSP_Species_Support!BX18*0.0673*(S13_PSP_Species_Support!BY18*(S13_PSP_Species_Support!BZ18*(1-EXP(-S13_PSP_Species_Support!CA18*1))^S13_PSP_Species_Support!CB18)^2*(S13_PSP_Species_Support!CC18*(1-EXP(-S13_PSP_Species_Support!CD18*1))^S13_PSP_Species_Support!CE18))^0.976,0)+IFERROR(S13_PSP_Species_Support!CI18*0.0673*(S13_PSP_Species_Support!CJ18*(S13_PSP_Species_Support!CK18*(1-EXP(-S13_PSP_Species_Support!CL18*1))^S13_PSP_Species_Support!CM18)^2*(S13_PSP_Species_Support!CN18*(1-EXP(-S13_PSP_Species_Support!CO18*1))^S13_PSP_Species_Support!CP18))^0.976,0)+IFERROR(S13_PSP_Species_Support!CT18*0.0673*(S13_PSP_Species_Support!CU18*(S13_PSP_Species_Support!CV18*(1-EXP(-S13_PSP_Species_Support!CW18*1))^S13_PSP_Species_Support!CX18)^2*(S13_PSP_Species_Support!CY18*(1-EXP(-S13_PSP_Species_Support!CZ18*1))^S13_PSP_Species_Support!DA18))^0.976,0))/1000/$G31*J$108,0)</x:f>
        <x:v>8.830854335208626</x:v>
      </x:c>
      <x:c r="K31" s="147" t="n">
        <x:f aca="0">IFERROR((IFERROR(S13_PSP_Species_Support!U18*0.0673*(S13_PSP_Species_Support!V18*(S13_PSP_Species_Support!W18*(1-EXP(-S13_PSP_Species_Support!X18*2))^S13_PSP_Species_Support!Y18)^2*(S13_PSP_Species_Support!Z18*(1-EXP(-S13_PSP_Species_Support!AA18*2))^S13_PSP_Species_Support!AB18))^0.976,0)+IFERROR(S13_PSP_Species_Support!AF18*0.0673*(S13_PSP_Species_Support!AG18*(S13_PSP_Species_Support!AH18*(1-EXP(-S13_PSP_Species_Support!AI18*2))^S13_PSP_Species_Support!AJ18)^2*(S13_PSP_Species_Support!AK18*(1-EXP(-S13_PSP_Species_Support!AL18*2))^S13_PSP_Species_Support!AM18))^0.976,0)+IFERROR(S13_PSP_Species_Support!AQ18*0.0673*(S13_PSP_Species_Support!AR18*(S13_PSP_Species_Support!AS18*(1-EXP(-S13_PSP_Species_Support!AT18*2))^S13_PSP_Species_Support!AU18)^2*(S13_PSP_Species_Support!AV18*(1-EXP(-S13_PSP_Species_Support!AW18*2))^S13_PSP_Species_Support!AX18))^0.976,0)+IFERROR(S13_PSP_Species_Support!BB18*0.0673*(S13_PSP_Species_Support!BC18*(S13_PSP_Species_Support!BD18*(1-EXP(-S13_PSP_Species_Support!BE18*2))^S13_PSP_Species_Support!BF18)^2*(S13_PSP_Species_Support!BG18*(1-EXP(-S13_PSP_Species_Support!BH18*2))^S13_PSP_Species_Support!BI18))^0.976,0)+IFERROR(S13_PSP_Species_Support!BM18*0.0673*(S13_PSP_Species_Support!BN18*(S13_PSP_Species_Support!BO18*(1-EXP(-S13_PSP_Species_Support!BP18*2))^S13_PSP_Species_Support!BQ18)^2*(S13_PSP_Species_Support!BR18*(1-EXP(-S13_PSP_Species_Support!BS18*2))^S13_PSP_Species_Support!BT18))^0.976,0)+IFERROR(S13_PSP_Species_Support!BX18*0.0673*(S13_PSP_Species_Support!BY18*(S13_PSP_Species_Support!BZ18*(1-EXP(-S13_PSP_Species_Support!CA18*2))^S13_PSP_Species_Support!CB18)^2*(S13_PSP_Species_Support!CC18*(1-EXP(-S13_PSP_Species_Support!CD18*2))^S13_PSP_Species_Support!CE18))^0.976,0)+IFERROR(S13_PSP_Species_Support!CI18*0.0673*(S13_PSP_Species_Support!CJ18*(S13_PSP_Species_Support!CK18*(1-EXP(-S13_PSP_Species_Support!CL18*2))^S13_PSP_Species_Support!CM18)^2*(S13_PSP_Species_Support!CN18*(1-EXP(-S13_PSP_Species_Support!CO18*2))^S13_PSP_Species_Support!CP18))^0.976,0)+IFERROR(S13_PSP_Species_Support!CT18*0.0673*(S13_PSP_Species_Support!CU18*(S13_PSP_Species_Support!CV18*(1-EXP(-S13_PSP_Species_Support!CW18*2))^S13_PSP_Species_Support!CX18)^2*(S13_PSP_Species_Support!CY18*(1-EXP(-S13_PSP_Species_Support!CZ18*2))^S13_PSP_Species_Support!DA18))^0.976,0))/1000/$G31*K$108,0)</x:f>
        <x:v>84.0549157932676</x:v>
      </x:c>
      <x:c r="L31" s="147" t="n">
        <x:f aca="0">IFERROR((IFERROR(S13_PSP_Species_Support!U18*0.0673*(S13_PSP_Species_Support!V18*(S13_PSP_Species_Support!W18*(1-EXP(-S13_PSP_Species_Support!X18*3))^S13_PSP_Species_Support!Y18)^2*(S13_PSP_Species_Support!Z18*(1-EXP(-S13_PSP_Species_Support!AA18*3))^S13_PSP_Species_Support!AB18))^0.976,0)+IFERROR(S13_PSP_Species_Support!AF18*0.0673*(S13_PSP_Species_Support!AG18*(S13_PSP_Species_Support!AH18*(1-EXP(-S13_PSP_Species_Support!AI18*3))^S13_PSP_Species_Support!AJ18)^2*(S13_PSP_Species_Support!AK18*(1-EXP(-S13_PSP_Species_Support!AL18*3))^S13_PSP_Species_Support!AM18))^0.976,0)+IFERROR(S13_PSP_Species_Support!AQ18*0.0673*(S13_PSP_Species_Support!AR18*(S13_PSP_Species_Support!AS18*(1-EXP(-S13_PSP_Species_Support!AT18*3))^S13_PSP_Species_Support!AU18)^2*(S13_PSP_Species_Support!AV18*(1-EXP(-S13_PSP_Species_Support!AW18*3))^S13_PSP_Species_Support!AX18))^0.976,0)+IFERROR(S13_PSP_Species_Support!BB18*0.0673*(S13_PSP_Species_Support!BC18*(S13_PSP_Species_Support!BD18*(1-EXP(-S13_PSP_Species_Support!BE18*3))^S13_PSP_Species_Support!BF18)^2*(S13_PSP_Species_Support!BG18*(1-EXP(-S13_PSP_Species_Support!BH18*3))^S13_PSP_Species_Support!BI18))^0.976,0)+IFERROR(S13_PSP_Species_Support!BM18*0.0673*(S13_PSP_Species_Support!BN18*(S13_PSP_Species_Support!BO18*(1-EXP(-S13_PSP_Species_Support!BP18*3))^S13_PSP_Species_Support!BQ18)^2*(S13_PSP_Species_Support!BR18*(1-EXP(-S13_PSP_Species_Support!BS18*3))^S13_PSP_Species_Support!BT18))^0.976,0)+IFERROR(S13_PSP_Species_Support!BX18*0.0673*(S13_PSP_Species_Support!BY18*(S13_PSP_Species_Support!BZ18*(1-EXP(-S13_PSP_Species_Support!CA18*3))^S13_PSP_Species_Support!CB18)^2*(S13_PSP_Species_Support!CC18*(1-EXP(-S13_PSP_Species_Support!CD18*3))^S13_PSP_Species_Support!CE18))^0.976,0)+IFERROR(S13_PSP_Species_Support!CI18*0.0673*(S13_PSP_Species_Support!CJ18*(S13_PSP_Species_Support!CK18*(1-EXP(-S13_PSP_Species_Support!CL18*3))^S13_PSP_Species_Support!CM18)^2*(S13_PSP_Species_Support!CN18*(1-EXP(-S13_PSP_Species_Support!CO18*3))^S13_PSP_Species_Support!CP18))^0.976,0)+IFERROR(S13_PSP_Species_Support!CT18*0.0673*(S13_PSP_Species_Support!CU18*(S13_PSP_Species_Support!CV18*(1-EXP(-S13_PSP_Species_Support!CW18*3))^S13_PSP_Species_Support!CX18)^2*(S13_PSP_Species_Support!CY18*(1-EXP(-S13_PSP_Species_Support!CZ18*3))^S13_PSP_Species_Support!DA18))^0.976,0))/1000/$G31*L$108,0)</x:f>
        <x:v>280.04671689582307</x:v>
      </x:c>
      <x:c r="M31" s="147" t="n">
        <x:f aca="0">IFERROR((IFERROR(S13_PSP_Species_Support!U18*0.0673*(S13_PSP_Species_Support!V18*(S13_PSP_Species_Support!W18*(1-EXP(-S13_PSP_Species_Support!X18*4))^S13_PSP_Species_Support!Y18)^2*(S13_PSP_Species_Support!Z18*(1-EXP(-S13_PSP_Species_Support!AA18*4))^S13_PSP_Species_Support!AB18))^0.976,0)+IFERROR(S13_PSP_Species_Support!AF18*0.0673*(S13_PSP_Species_Support!AG18*(S13_PSP_Species_Support!AH18*(1-EXP(-S13_PSP_Species_Support!AI18*4))^S13_PSP_Species_Support!AJ18)^2*(S13_PSP_Species_Support!AK18*(1-EXP(-S13_PSP_Species_Support!AL18*4))^S13_PSP_Species_Support!AM18))^0.976,0)+IFERROR(S13_PSP_Species_Support!AQ18*0.0673*(S13_PSP_Species_Support!AR18*(S13_PSP_Species_Support!AS18*(1-EXP(-S13_PSP_Species_Support!AT18*4))^S13_PSP_Species_Support!AU18)^2*(S13_PSP_Species_Support!AV18*(1-EXP(-S13_PSP_Species_Support!AW18*4))^S13_PSP_Species_Support!AX18))^0.976,0)+IFERROR(S13_PSP_Species_Support!BB18*0.0673*(S13_PSP_Species_Support!BC18*(S13_PSP_Species_Support!BD18*(1-EXP(-S13_PSP_Species_Support!BE18*4))^S13_PSP_Species_Support!BF18)^2*(S13_PSP_Species_Support!BG18*(1-EXP(-S13_PSP_Species_Support!BH18*4))^S13_PSP_Species_Support!BI18))^0.976,0)+IFERROR(S13_PSP_Species_Support!BM18*0.0673*(S13_PSP_Species_Support!BN18*(S13_PSP_Species_Support!BO18*(1-EXP(-S13_PSP_Species_Support!BP18*4))^S13_PSP_Species_Support!BQ18)^2*(S13_PSP_Species_Support!BR18*(1-EXP(-S13_PSP_Species_Support!BS18*4))^S13_PSP_Species_Support!BT18))^0.976,0)+IFERROR(S13_PSP_Species_Support!BX18*0.0673*(S13_PSP_Species_Support!BY18*(S13_PSP_Species_Support!BZ18*(1-EXP(-S13_PSP_Species_Support!CA18*4))^S13_PSP_Species_Support!CB18)^2*(S13_PSP_Species_Support!CC18*(1-EXP(-S13_PSP_Species_Support!CD18*4))^S13_PSP_Species_Support!CE18))^0.976,0)+IFERROR(S13_PSP_Species_Support!CI18*0.0673*(S13_PSP_Species_Support!CJ18*(S13_PSP_Species_Support!CK18*(1-EXP(-S13_PSP_Species_Support!CL18*4))^S13_PSP_Species_Support!CM18)^2*(S13_PSP_Species_Support!CN18*(1-EXP(-S13_PSP_Species_Support!CO18*4))^S13_PSP_Species_Support!CP18))^0.976,0)+IFERROR(S13_PSP_Species_Support!CT18*0.0673*(S13_PSP_Species_Support!CU18*(S13_PSP_Species_Support!CV18*(1-EXP(-S13_PSP_Species_Support!CW18*4))^S13_PSP_Species_Support!CX18)^2*(S13_PSP_Species_Support!CY18*(1-EXP(-S13_PSP_Species_Support!CZ18*4))^S13_PSP_Species_Support!DA18))^0.976,0))/1000/$G31*M$108,0)</x:f>
        <x:v>613.8906490138323</x:v>
      </x:c>
      <x:c r="N31" s="147" t="n">
        <x:f aca="0">IFERROR((IFERROR(S13_PSP_Species_Support!U18*0.0673*(S13_PSP_Species_Support!V18*(S13_PSP_Species_Support!W18*(1-EXP(-S13_PSP_Species_Support!X18*5))^S13_PSP_Species_Support!Y18)^2*(S13_PSP_Species_Support!Z18*(1-EXP(-S13_PSP_Species_Support!AA18*5))^S13_PSP_Species_Support!AB18))^0.976,0)+IFERROR(S13_PSP_Species_Support!AF18*0.0673*(S13_PSP_Species_Support!AG18*(S13_PSP_Species_Support!AH18*(1-EXP(-S13_PSP_Species_Support!AI18*5))^S13_PSP_Species_Support!AJ18)^2*(S13_PSP_Species_Support!AK18*(1-EXP(-S13_PSP_Species_Support!AL18*5))^S13_PSP_Species_Support!AM18))^0.976,0)+IFERROR(S13_PSP_Species_Support!AQ18*0.0673*(S13_PSP_Species_Support!AR18*(S13_PSP_Species_Support!AS18*(1-EXP(-S13_PSP_Species_Support!AT18*5))^S13_PSP_Species_Support!AU18)^2*(S13_PSP_Species_Support!AV18*(1-EXP(-S13_PSP_Species_Support!AW18*5))^S13_PSP_Species_Support!AX18))^0.976,0)+IFERROR(S13_PSP_Species_Support!BB18*0.0673*(S13_PSP_Species_Support!BC18*(S13_PSP_Species_Support!BD18*(1-EXP(-S13_PSP_Species_Support!BE18*5))^S13_PSP_Species_Support!BF18)^2*(S13_PSP_Species_Support!BG18*(1-EXP(-S13_PSP_Species_Support!BH18*5))^S13_PSP_Species_Support!BI18))^0.976,0)+IFERROR(S13_PSP_Species_Support!BM18*0.0673*(S13_PSP_Species_Support!BN18*(S13_PSP_Species_Support!BO18*(1-EXP(-S13_PSP_Species_Support!BP18*5))^S13_PSP_Species_Support!BQ18)^2*(S13_PSP_Species_Support!BR18*(1-EXP(-S13_PSP_Species_Support!BS18*5))^S13_PSP_Species_Support!BT18))^0.976,0)+IFERROR(S13_PSP_Species_Support!BX18*0.0673*(S13_PSP_Species_Support!BY18*(S13_PSP_Species_Support!BZ18*(1-EXP(-S13_PSP_Species_Support!CA18*5))^S13_PSP_Species_Support!CB18)^2*(S13_PSP_Species_Support!CC18*(1-EXP(-S13_PSP_Species_Support!CD18*5))^S13_PSP_Species_Support!CE18))^0.976,0)+IFERROR(S13_PSP_Species_Support!CI18*0.0673*(S13_PSP_Species_Support!CJ18*(S13_PSP_Species_Support!CK18*(1-EXP(-S13_PSP_Species_Support!CL18*5))^S13_PSP_Species_Support!CM18)^2*(S13_PSP_Species_Support!CN18*(1-EXP(-S13_PSP_Species_Support!CO18*5))^S13_PSP_Species_Support!CP18))^0.976,0)+IFERROR(S13_PSP_Species_Support!CT18*0.0673*(S13_PSP_Species_Support!CU18*(S13_PSP_Species_Support!CV18*(1-EXP(-S13_PSP_Species_Support!CW18*5))^S13_PSP_Species_Support!CX18)^2*(S13_PSP_Species_Support!CY18*(1-EXP(-S13_PSP_Species_Support!CZ18*5))^S13_PSP_Species_Support!DA18))^0.976,0))/1000/$G31*N$108,0)</x:f>
        <x:v>1068.2363215891507</x:v>
      </x:c>
      <x:c r="O31" s="147" t="n">
        <x:f aca="0">IFERROR((IFERROR(S13_PSP_Species_Support!U18*0.0673*(S13_PSP_Species_Support!V18*(S13_PSP_Species_Support!W18*(1-EXP(-S13_PSP_Species_Support!X18*6))^S13_PSP_Species_Support!Y18)^2*(S13_PSP_Species_Support!Z18*(1-EXP(-S13_PSP_Species_Support!AA18*6))^S13_PSP_Species_Support!AB18))^0.976,0)+IFERROR(S13_PSP_Species_Support!AF18*0.0673*(S13_PSP_Species_Support!AG18*(S13_PSP_Species_Support!AH18*(1-EXP(-S13_PSP_Species_Support!AI18*6))^S13_PSP_Species_Support!AJ18)^2*(S13_PSP_Species_Support!AK18*(1-EXP(-S13_PSP_Species_Support!AL18*6))^S13_PSP_Species_Support!AM18))^0.976,0)+IFERROR(S13_PSP_Species_Support!AQ18*0.0673*(S13_PSP_Species_Support!AR18*(S13_PSP_Species_Support!AS18*(1-EXP(-S13_PSP_Species_Support!AT18*6))^S13_PSP_Species_Support!AU18)^2*(S13_PSP_Species_Support!AV18*(1-EXP(-S13_PSP_Species_Support!AW18*6))^S13_PSP_Species_Support!AX18))^0.976,0)+IFERROR(S13_PSP_Species_Support!BB18*0.0673*(S13_PSP_Species_Support!BC18*(S13_PSP_Species_Support!BD18*(1-EXP(-S13_PSP_Species_Support!BE18*6))^S13_PSP_Species_Support!BF18)^2*(S13_PSP_Species_Support!BG18*(1-EXP(-S13_PSP_Species_Support!BH18*6))^S13_PSP_Species_Support!BI18))^0.976,0)+IFERROR(S13_PSP_Species_Support!BM18*0.0673*(S13_PSP_Species_Support!BN18*(S13_PSP_Species_Support!BO18*(1-EXP(-S13_PSP_Species_Support!BP18*6))^S13_PSP_Species_Support!BQ18)^2*(S13_PSP_Species_Support!BR18*(1-EXP(-S13_PSP_Species_Support!BS18*6))^S13_PSP_Species_Support!BT18))^0.976,0)+IFERROR(S13_PSP_Species_Support!BX18*0.0673*(S13_PSP_Species_Support!BY18*(S13_PSP_Species_Support!BZ18*(1-EXP(-S13_PSP_Species_Support!CA18*6))^S13_PSP_Species_Support!CB18)^2*(S13_PSP_Species_Support!CC18*(1-EXP(-S13_PSP_Species_Support!CD18*6))^S13_PSP_Species_Support!CE18))^0.976,0)+IFERROR(S13_PSP_Species_Support!CI18*0.0673*(S13_PSP_Species_Support!CJ18*(S13_PSP_Species_Support!CK18*(1-EXP(-S13_PSP_Species_Support!CL18*6))^S13_PSP_Species_Support!CM18)^2*(S13_PSP_Species_Support!CN18*(1-EXP(-S13_PSP_Species_Support!CO18*6))^S13_PSP_Species_Support!CP18))^0.976,0)+IFERROR(S13_PSP_Species_Support!CT18*0.0673*(S13_PSP_Species_Support!CU18*(S13_PSP_Species_Support!CV18*(1-EXP(-S13_PSP_Species_Support!CW18*6))^S13_PSP_Species_Support!CX18)^2*(S13_PSP_Species_Support!CY18*(1-EXP(-S13_PSP_Species_Support!CZ18*6))^S13_PSP_Species_Support!DA18))^0.976,0))/1000/$G31*O$108,0)</x:f>
        <x:v>1611.3212867598238</x:v>
      </x:c>
      <x:c r="P31" s="147" t="n">
        <x:f aca="0">IFERROR((IFERROR(S13_PSP_Species_Support!U18*0.0673*(S13_PSP_Species_Support!V18*(S13_PSP_Species_Support!W18*(1-EXP(-S13_PSP_Species_Support!X18*7))^S13_PSP_Species_Support!Y18)^2*(S13_PSP_Species_Support!Z18*(1-EXP(-S13_PSP_Species_Support!AA18*7))^S13_PSP_Species_Support!AB18))^0.976,0)+IFERROR(S13_PSP_Species_Support!AF18*0.0673*(S13_PSP_Species_Support!AG18*(S13_PSP_Species_Support!AH18*(1-EXP(-S13_PSP_Species_Support!AI18*7))^S13_PSP_Species_Support!AJ18)^2*(S13_PSP_Species_Support!AK18*(1-EXP(-S13_PSP_Species_Support!AL18*7))^S13_PSP_Species_Support!AM18))^0.976,0)+IFERROR(S13_PSP_Species_Support!AQ18*0.0673*(S13_PSP_Species_Support!AR18*(S13_PSP_Species_Support!AS18*(1-EXP(-S13_PSP_Species_Support!AT18*7))^S13_PSP_Species_Support!AU18)^2*(S13_PSP_Species_Support!AV18*(1-EXP(-S13_PSP_Species_Support!AW18*7))^S13_PSP_Species_Support!AX18))^0.976,0)+IFERROR(S13_PSP_Species_Support!BB18*0.0673*(S13_PSP_Species_Support!BC18*(S13_PSP_Species_Support!BD18*(1-EXP(-S13_PSP_Species_Support!BE18*7))^S13_PSP_Species_Support!BF18)^2*(S13_PSP_Species_Support!BG18*(1-EXP(-S13_PSP_Species_Support!BH18*7))^S13_PSP_Species_Support!BI18))^0.976,0)+IFERROR(S13_PSP_Species_Support!BM18*0.0673*(S13_PSP_Species_Support!BN18*(S13_PSP_Species_Support!BO18*(1-EXP(-S13_PSP_Species_Support!BP18*7))^S13_PSP_Species_Support!BQ18)^2*(S13_PSP_Species_Support!BR18*(1-EXP(-S13_PSP_Species_Support!BS18*7))^S13_PSP_Species_Support!BT18))^0.976,0)+IFERROR(S13_PSP_Species_Support!BX18*0.0673*(S13_PSP_Species_Support!BY18*(S13_PSP_Species_Support!BZ18*(1-EXP(-S13_PSP_Species_Support!CA18*7))^S13_PSP_Species_Support!CB18)^2*(S13_PSP_Species_Support!CC18*(1-EXP(-S13_PSP_Species_Support!CD18*7))^S13_PSP_Species_Support!CE18))^0.976,0)+IFERROR(S13_PSP_Species_Support!CI18*0.0673*(S13_PSP_Species_Support!CJ18*(S13_PSP_Species_Support!CK18*(1-EXP(-S13_PSP_Species_Support!CL18*7))^S13_PSP_Species_Support!CM18)^2*(S13_PSP_Species_Support!CN18*(1-EXP(-S13_PSP_Species_Support!CO18*7))^S13_PSP_Species_Support!CP18))^0.976,0)+IFERROR(S13_PSP_Species_Support!CT18*0.0673*(S13_PSP_Species_Support!CU18*(S13_PSP_Species_Support!CV18*(1-EXP(-S13_PSP_Species_Support!CW18*7))^S13_PSP_Species_Support!CX18)^2*(S13_PSP_Species_Support!CY18*(1-EXP(-S13_PSP_Species_Support!CZ18*7))^S13_PSP_Species_Support!DA18))^0.976,0))/1000/$G31*P$108,0)</x:f>
        <x:v>2207.9455561388977</x:v>
      </x:c>
      <x:c r="Q31" s="147" t="n">
        <x:f aca="0">IFERROR((IFERROR(S13_PSP_Species_Support!U18*0.0673*(S13_PSP_Species_Support!V18*(S13_PSP_Species_Support!W18*(1-EXP(-S13_PSP_Species_Support!X18*8))^S13_PSP_Species_Support!Y18)^2*(S13_PSP_Species_Support!Z18*(1-EXP(-S13_PSP_Species_Support!AA18*8))^S13_PSP_Species_Support!AB18))^0.976,0)+IFERROR(S13_PSP_Species_Support!AF18*0.0673*(S13_PSP_Species_Support!AG18*(S13_PSP_Species_Support!AH18*(1-EXP(-S13_PSP_Species_Support!AI18*8))^S13_PSP_Species_Support!AJ18)^2*(S13_PSP_Species_Support!AK18*(1-EXP(-S13_PSP_Species_Support!AL18*8))^S13_PSP_Species_Support!AM18))^0.976,0)+IFERROR(S13_PSP_Species_Support!AQ18*0.0673*(S13_PSP_Species_Support!AR18*(S13_PSP_Species_Support!AS18*(1-EXP(-S13_PSP_Species_Support!AT18*8))^S13_PSP_Species_Support!AU18)^2*(S13_PSP_Species_Support!AV18*(1-EXP(-S13_PSP_Species_Support!AW18*8))^S13_PSP_Species_Support!AX18))^0.976,0)+IFERROR(S13_PSP_Species_Support!BB18*0.0673*(S13_PSP_Species_Support!BC18*(S13_PSP_Species_Support!BD18*(1-EXP(-S13_PSP_Species_Support!BE18*8))^S13_PSP_Species_Support!BF18)^2*(S13_PSP_Species_Support!BG18*(1-EXP(-S13_PSP_Species_Support!BH18*8))^S13_PSP_Species_Support!BI18))^0.976,0)+IFERROR(S13_PSP_Species_Support!BM18*0.0673*(S13_PSP_Species_Support!BN18*(S13_PSP_Species_Support!BO18*(1-EXP(-S13_PSP_Species_Support!BP18*8))^S13_PSP_Species_Support!BQ18)^2*(S13_PSP_Species_Support!BR18*(1-EXP(-S13_PSP_Species_Support!BS18*8))^S13_PSP_Species_Support!BT18))^0.976,0)+IFERROR(S13_PSP_Species_Support!BX18*0.0673*(S13_PSP_Species_Support!BY18*(S13_PSP_Species_Support!BZ18*(1-EXP(-S13_PSP_Species_Support!CA18*8))^S13_PSP_Species_Support!CB18)^2*(S13_PSP_Species_Support!CC18*(1-EXP(-S13_PSP_Species_Support!CD18*8))^S13_PSP_Species_Support!CE18))^0.976,0)+IFERROR(S13_PSP_Species_Support!CI18*0.0673*(S13_PSP_Species_Support!CJ18*(S13_PSP_Species_Support!CK18*(1-EXP(-S13_PSP_Species_Support!CL18*8))^S13_PSP_Species_Support!CM18)^2*(S13_PSP_Species_Support!CN18*(1-EXP(-S13_PSP_Species_Support!CO18*8))^S13_PSP_Species_Support!CP18))^0.976,0)+IFERROR(S13_PSP_Species_Support!CT18*0.0673*(S13_PSP_Species_Support!CU18*(S13_PSP_Species_Support!CV18*(1-EXP(-S13_PSP_Species_Support!CW18*8))^S13_PSP_Species_Support!CX18)^2*(S13_PSP_Species_Support!CY18*(1-EXP(-S13_PSP_Species_Support!CZ18*8))^S13_PSP_Species_Support!DA18))^0.976,0))/1000/$G31*Q$108,0)</x:f>
        <x:v>2826.172625735241</x:v>
      </x:c>
      <x:c r="R31" s="147" t="n">
        <x:f aca="0">IFERROR((IFERROR(S13_PSP_Species_Support!U18*0.0673*(S13_PSP_Species_Support!V18*(S13_PSP_Species_Support!W18*(1-EXP(-S13_PSP_Species_Support!X18*9))^S13_PSP_Species_Support!Y18)^2*(S13_PSP_Species_Support!Z18*(1-EXP(-S13_PSP_Species_Support!AA18*9))^S13_PSP_Species_Support!AB18))^0.976,0)+IFERROR(S13_PSP_Species_Support!AF18*0.0673*(S13_PSP_Species_Support!AG18*(S13_PSP_Species_Support!AH18*(1-EXP(-S13_PSP_Species_Support!AI18*9))^S13_PSP_Species_Support!AJ18)^2*(S13_PSP_Species_Support!AK18*(1-EXP(-S13_PSP_Species_Support!AL18*9))^S13_PSP_Species_Support!AM18))^0.976,0)+IFERROR(S13_PSP_Species_Support!AQ18*0.0673*(S13_PSP_Species_Support!AR18*(S13_PSP_Species_Support!AS18*(1-EXP(-S13_PSP_Species_Support!AT18*9))^S13_PSP_Species_Support!AU18)^2*(S13_PSP_Species_Support!AV18*(1-EXP(-S13_PSP_Species_Support!AW18*9))^S13_PSP_Species_Support!AX18))^0.976,0)+IFERROR(S13_PSP_Species_Support!BB18*0.0673*(S13_PSP_Species_Support!BC18*(S13_PSP_Species_Support!BD18*(1-EXP(-S13_PSP_Species_Support!BE18*9))^S13_PSP_Species_Support!BF18)^2*(S13_PSP_Species_Support!BG18*(1-EXP(-S13_PSP_Species_Support!BH18*9))^S13_PSP_Species_Support!BI18))^0.976,0)+IFERROR(S13_PSP_Species_Support!BM18*0.0673*(S13_PSP_Species_Support!BN18*(S13_PSP_Species_Support!BO18*(1-EXP(-S13_PSP_Species_Support!BP18*9))^S13_PSP_Species_Support!BQ18)^2*(S13_PSP_Species_Support!BR18*(1-EXP(-S13_PSP_Species_Support!BS18*9))^S13_PSP_Species_Support!BT18))^0.976,0)+IFERROR(S13_PSP_Species_Support!BX18*0.0673*(S13_PSP_Species_Support!BY18*(S13_PSP_Species_Support!BZ18*(1-EXP(-S13_PSP_Species_Support!CA18*9))^S13_PSP_Species_Support!CB18)^2*(S13_PSP_Species_Support!CC18*(1-EXP(-S13_PSP_Species_Support!CD18*9))^S13_PSP_Species_Support!CE18))^0.976,0)+IFERROR(S13_PSP_Species_Support!CI18*0.0673*(S13_PSP_Species_Support!CJ18*(S13_PSP_Species_Support!CK18*(1-EXP(-S13_PSP_Species_Support!CL18*9))^S13_PSP_Species_Support!CM18)^2*(S13_PSP_Species_Support!CN18*(1-EXP(-S13_PSP_Species_Support!CO18*9))^S13_PSP_Species_Support!CP18))^0.976,0)+IFERROR(S13_PSP_Species_Support!CT18*0.0673*(S13_PSP_Species_Support!CU18*(S13_PSP_Species_Support!CV18*(1-EXP(-S13_PSP_Species_Support!CW18*9))^S13_PSP_Species_Support!CX18)^2*(S13_PSP_Species_Support!CY18*(1-EXP(-S13_PSP_Species_Support!CZ18*9))^S13_PSP_Species_Support!DA18))^0.976,0))/1000/$G31*R$108,0)</x:f>
        <x:v>3440.2567321461047</x:v>
      </x:c>
      <x:c r="S31" s="147" t="n">
        <x:f aca="0">IFERROR((IFERROR(S13_PSP_Species_Support!U18*0.0673*(S13_PSP_Species_Support!V18*(S13_PSP_Species_Support!W18*(1-EXP(-S13_PSP_Species_Support!X18*10))^S13_PSP_Species_Support!Y18)^2*(S13_PSP_Species_Support!Z18*(1-EXP(-S13_PSP_Species_Support!AA18*10))^S13_PSP_Species_Support!AB18))^0.976,0)+IFERROR(S13_PSP_Species_Support!AF18*0.0673*(S13_PSP_Species_Support!AG18*(S13_PSP_Species_Support!AH18*(1-EXP(-S13_PSP_Species_Support!AI18*10))^S13_PSP_Species_Support!AJ18)^2*(S13_PSP_Species_Support!AK18*(1-EXP(-S13_PSP_Species_Support!AL18*10))^S13_PSP_Species_Support!AM18))^0.976,0)+IFERROR(S13_PSP_Species_Support!AQ18*0.0673*(S13_PSP_Species_Support!AR18*(S13_PSP_Species_Support!AS18*(1-EXP(-S13_PSP_Species_Support!AT18*10))^S13_PSP_Species_Support!AU18)^2*(S13_PSP_Species_Support!AV18*(1-EXP(-S13_PSP_Species_Support!AW18*10))^S13_PSP_Species_Support!AX18))^0.976,0)+IFERROR(S13_PSP_Species_Support!BB18*0.0673*(S13_PSP_Species_Support!BC18*(S13_PSP_Species_Support!BD18*(1-EXP(-S13_PSP_Species_Support!BE18*10))^S13_PSP_Species_Support!BF18)^2*(S13_PSP_Species_Support!BG18*(1-EXP(-S13_PSP_Species_Support!BH18*10))^S13_PSP_Species_Support!BI18))^0.976,0)+IFERROR(S13_PSP_Species_Support!BM18*0.0673*(S13_PSP_Species_Support!BN18*(S13_PSP_Species_Support!BO18*(1-EXP(-S13_PSP_Species_Support!BP18*10))^S13_PSP_Species_Support!BQ18)^2*(S13_PSP_Species_Support!BR18*(1-EXP(-S13_PSP_Species_Support!BS18*10))^S13_PSP_Species_Support!BT18))^0.976,0)+IFERROR(S13_PSP_Species_Support!BX18*0.0673*(S13_PSP_Species_Support!BY18*(S13_PSP_Species_Support!BZ18*(1-EXP(-S13_PSP_Species_Support!CA18*10))^S13_PSP_Species_Support!CB18)^2*(S13_PSP_Species_Support!CC18*(1-EXP(-S13_PSP_Species_Support!CD18*10))^S13_PSP_Species_Support!CE18))^0.976,0)+IFERROR(S13_PSP_Species_Support!CI18*0.0673*(S13_PSP_Species_Support!CJ18*(S13_PSP_Species_Support!CK18*(1-EXP(-S13_PSP_Species_Support!CL18*10))^S13_PSP_Species_Support!CM18)^2*(S13_PSP_Species_Support!CN18*(1-EXP(-S13_PSP_Species_Support!CO18*10))^S13_PSP_Species_Support!CP18))^0.976,0)+IFERROR(S13_PSP_Species_Support!CT18*0.0673*(S13_PSP_Species_Support!CU18*(S13_PSP_Species_Support!CV18*(1-EXP(-S13_PSP_Species_Support!CW18*10))^S13_PSP_Species_Support!CX18)^2*(S13_PSP_Species_Support!CY18*(1-EXP(-S13_PSP_Species_Support!CZ18*10))^S13_PSP_Species_Support!DA18))^0.976,0))/1000/$G31*S$108,0)</x:f>
        <x:v>4031.2684173823486</x:v>
      </x:c>
      <x:c r="T31" s="147" t="n">
        <x:f aca="0">IFERROR((IFERROR(S13_PSP_Species_Support!U18*0.0673*(S13_PSP_Species_Support!V18*(S13_PSP_Species_Support!W18*(1-EXP(-S13_PSP_Species_Support!X18*11))^S13_PSP_Species_Support!Y18)^2*(S13_PSP_Species_Support!Z18*(1-EXP(-S13_PSP_Species_Support!AA18*11))^S13_PSP_Species_Support!AB18))^0.976,0)+IFERROR(S13_PSP_Species_Support!AF18*0.0673*(S13_PSP_Species_Support!AG18*(S13_PSP_Species_Support!AH18*(1-EXP(-S13_PSP_Species_Support!AI18*11))^S13_PSP_Species_Support!AJ18)^2*(S13_PSP_Species_Support!AK18*(1-EXP(-S13_PSP_Species_Support!AL18*11))^S13_PSP_Species_Support!AM18))^0.976,0)+IFERROR(S13_PSP_Species_Support!AQ18*0.0673*(S13_PSP_Species_Support!AR18*(S13_PSP_Species_Support!AS18*(1-EXP(-S13_PSP_Species_Support!AT18*11))^S13_PSP_Species_Support!AU18)^2*(S13_PSP_Species_Support!AV18*(1-EXP(-S13_PSP_Species_Support!AW18*11))^S13_PSP_Species_Support!AX18))^0.976,0)+IFERROR(S13_PSP_Species_Support!BB18*0.0673*(S13_PSP_Species_Support!BC18*(S13_PSP_Species_Support!BD18*(1-EXP(-S13_PSP_Species_Support!BE18*11))^S13_PSP_Species_Support!BF18)^2*(S13_PSP_Species_Support!BG18*(1-EXP(-S13_PSP_Species_Support!BH18*11))^S13_PSP_Species_Support!BI18))^0.976,0)+IFERROR(S13_PSP_Species_Support!BM18*0.0673*(S13_PSP_Species_Support!BN18*(S13_PSP_Species_Support!BO18*(1-EXP(-S13_PSP_Species_Support!BP18*11))^S13_PSP_Species_Support!BQ18)^2*(S13_PSP_Species_Support!BR18*(1-EXP(-S13_PSP_Species_Support!BS18*11))^S13_PSP_Species_Support!BT18))^0.976,0)+IFERROR(S13_PSP_Species_Support!BX18*0.0673*(S13_PSP_Species_Support!BY18*(S13_PSP_Species_Support!BZ18*(1-EXP(-S13_PSP_Species_Support!CA18*11))^S13_PSP_Species_Support!CB18)^2*(S13_PSP_Species_Support!CC18*(1-EXP(-S13_PSP_Species_Support!CD18*11))^S13_PSP_Species_Support!CE18))^0.976,0)+IFERROR(S13_PSP_Species_Support!CI18*0.0673*(S13_PSP_Species_Support!CJ18*(S13_PSP_Species_Support!CK18*(1-EXP(-S13_PSP_Species_Support!CL18*11))^S13_PSP_Species_Support!CM18)^2*(S13_PSP_Species_Support!CN18*(1-EXP(-S13_PSP_Species_Support!CO18*11))^S13_PSP_Species_Support!CP18))^0.976,0)+IFERROR(S13_PSP_Species_Support!CT18*0.0673*(S13_PSP_Species_Support!CU18*(S13_PSP_Species_Support!CV18*(1-EXP(-S13_PSP_Species_Support!CW18*11))^S13_PSP_Species_Support!CX18)^2*(S13_PSP_Species_Support!CY18*(1-EXP(-S13_PSP_Species_Support!CZ18*11))^S13_PSP_Species_Support!DA18))^0.976,0))/1000/$G31*T$108,0)</x:f>
        <x:v>4586.517673905278</x:v>
      </x:c>
      <x:c r="U31" s="147" t="n">
        <x:f aca="0">IFERROR((IFERROR(S13_PSP_Species_Support!U18*0.0673*(S13_PSP_Species_Support!V18*(S13_PSP_Species_Support!W18*(1-EXP(-S13_PSP_Species_Support!X18*12))^S13_PSP_Species_Support!Y18)^2*(S13_PSP_Species_Support!Z18*(1-EXP(-S13_PSP_Species_Support!AA18*12))^S13_PSP_Species_Support!AB18))^0.976,0)+IFERROR(S13_PSP_Species_Support!AF18*0.0673*(S13_PSP_Species_Support!AG18*(S13_PSP_Species_Support!AH18*(1-EXP(-S13_PSP_Species_Support!AI18*12))^S13_PSP_Species_Support!AJ18)^2*(S13_PSP_Species_Support!AK18*(1-EXP(-S13_PSP_Species_Support!AL18*12))^S13_PSP_Species_Support!AM18))^0.976,0)+IFERROR(S13_PSP_Species_Support!AQ18*0.0673*(S13_PSP_Species_Support!AR18*(S13_PSP_Species_Support!AS18*(1-EXP(-S13_PSP_Species_Support!AT18*12))^S13_PSP_Species_Support!AU18)^2*(S13_PSP_Species_Support!AV18*(1-EXP(-S13_PSP_Species_Support!AW18*12))^S13_PSP_Species_Support!AX18))^0.976,0)+IFERROR(S13_PSP_Species_Support!BB18*0.0673*(S13_PSP_Species_Support!BC18*(S13_PSP_Species_Support!BD18*(1-EXP(-S13_PSP_Species_Support!BE18*12))^S13_PSP_Species_Support!BF18)^2*(S13_PSP_Species_Support!BG18*(1-EXP(-S13_PSP_Species_Support!BH18*12))^S13_PSP_Species_Support!BI18))^0.976,0)+IFERROR(S13_PSP_Species_Support!BM18*0.0673*(S13_PSP_Species_Support!BN18*(S13_PSP_Species_Support!BO18*(1-EXP(-S13_PSP_Species_Support!BP18*12))^S13_PSP_Species_Support!BQ18)^2*(S13_PSP_Species_Support!BR18*(1-EXP(-S13_PSP_Species_Support!BS18*12))^S13_PSP_Species_Support!BT18))^0.976,0)+IFERROR(S13_PSP_Species_Support!BX18*0.0673*(S13_PSP_Species_Support!BY18*(S13_PSP_Species_Support!BZ18*(1-EXP(-S13_PSP_Species_Support!CA18*12))^S13_PSP_Species_Support!CB18)^2*(S13_PSP_Species_Support!CC18*(1-EXP(-S13_PSP_Species_Support!CD18*12))^S13_PSP_Species_Support!CE18))^0.976,0)+IFERROR(S13_PSP_Species_Support!CI18*0.0673*(S13_PSP_Species_Support!CJ18*(S13_PSP_Species_Support!CK18*(1-EXP(-S13_PSP_Species_Support!CL18*12))^S13_PSP_Species_Support!CM18)^2*(S13_PSP_Species_Support!CN18*(1-EXP(-S13_PSP_Species_Support!CO18*12))^S13_PSP_Species_Support!CP18))^0.976,0)+IFERROR(S13_PSP_Species_Support!CT18*0.0673*(S13_PSP_Species_Support!CU18*(S13_PSP_Species_Support!CV18*(1-EXP(-S13_PSP_Species_Support!CW18*12))^S13_PSP_Species_Support!CX18)^2*(S13_PSP_Species_Support!CY18*(1-EXP(-S13_PSP_Species_Support!CZ18*12))^S13_PSP_Species_Support!DA18))^0.976,0))/1000/$G31*U$108,0)</x:f>
        <x:v>5098.475170261995</x:v>
      </x:c>
      <x:c r="V31" s="147" t="n">
        <x:f aca="0">IFERROR((IFERROR(S13_PSP_Species_Support!U18*0.0673*(S13_PSP_Species_Support!V18*(S13_PSP_Species_Support!W18*(1-EXP(-S13_PSP_Species_Support!X18*13))^S13_PSP_Species_Support!Y18)^2*(S13_PSP_Species_Support!Z18*(1-EXP(-S13_PSP_Species_Support!AA18*13))^S13_PSP_Species_Support!AB18))^0.976,0)+IFERROR(S13_PSP_Species_Support!AF18*0.0673*(S13_PSP_Species_Support!AG18*(S13_PSP_Species_Support!AH18*(1-EXP(-S13_PSP_Species_Support!AI18*13))^S13_PSP_Species_Support!AJ18)^2*(S13_PSP_Species_Support!AK18*(1-EXP(-S13_PSP_Species_Support!AL18*13))^S13_PSP_Species_Support!AM18))^0.976,0)+IFERROR(S13_PSP_Species_Support!AQ18*0.0673*(S13_PSP_Species_Support!AR18*(S13_PSP_Species_Support!AS18*(1-EXP(-S13_PSP_Species_Support!AT18*13))^S13_PSP_Species_Support!AU18)^2*(S13_PSP_Species_Support!AV18*(1-EXP(-S13_PSP_Species_Support!AW18*13))^S13_PSP_Species_Support!AX18))^0.976,0)+IFERROR(S13_PSP_Species_Support!BB18*0.0673*(S13_PSP_Species_Support!BC18*(S13_PSP_Species_Support!BD18*(1-EXP(-S13_PSP_Species_Support!BE18*13))^S13_PSP_Species_Support!BF18)^2*(S13_PSP_Species_Support!BG18*(1-EXP(-S13_PSP_Species_Support!BH18*13))^S13_PSP_Species_Support!BI18))^0.976,0)+IFERROR(S13_PSP_Species_Support!BM18*0.0673*(S13_PSP_Species_Support!BN18*(S13_PSP_Species_Support!BO18*(1-EXP(-S13_PSP_Species_Support!BP18*13))^S13_PSP_Species_Support!BQ18)^2*(S13_PSP_Species_Support!BR18*(1-EXP(-S13_PSP_Species_Support!BS18*13))^S13_PSP_Species_Support!BT18))^0.976,0)+IFERROR(S13_PSP_Species_Support!BX18*0.0673*(S13_PSP_Species_Support!BY18*(S13_PSP_Species_Support!BZ18*(1-EXP(-S13_PSP_Species_Support!CA18*13))^S13_PSP_Species_Support!CB18)^2*(S13_PSP_Species_Support!CC18*(1-EXP(-S13_PSP_Species_Support!CD18*13))^S13_PSP_Species_Support!CE18))^0.976,0)+IFERROR(S13_PSP_Species_Support!CI18*0.0673*(S13_PSP_Species_Support!CJ18*(S13_PSP_Species_Support!CK18*(1-EXP(-S13_PSP_Species_Support!CL18*13))^S13_PSP_Species_Support!CM18)^2*(S13_PSP_Species_Support!CN18*(1-EXP(-S13_PSP_Species_Support!CO18*13))^S13_PSP_Species_Support!CP18))^0.976,0)+IFERROR(S13_PSP_Species_Support!CT18*0.0673*(S13_PSP_Species_Support!CU18*(S13_PSP_Species_Support!CV18*(1-EXP(-S13_PSP_Species_Support!CW18*13))^S13_PSP_Species_Support!CX18)^2*(S13_PSP_Species_Support!CY18*(1-EXP(-S13_PSP_Species_Support!CZ18*13))^S13_PSP_Species_Support!DA18))^0.976,0))/1000/$G31*V$108,0)</x:f>
        <x:v>5563.589948036889</x:v>
      </x:c>
      <x:c r="W31" s="147" t="n">
        <x:f aca="0">IFERROR((IFERROR(S13_PSP_Species_Support!U18*0.0673*(S13_PSP_Species_Support!V18*(S13_PSP_Species_Support!W18*(1-EXP(-S13_PSP_Species_Support!X18*14))^S13_PSP_Species_Support!Y18)^2*(S13_PSP_Species_Support!Z18*(1-EXP(-S13_PSP_Species_Support!AA18*14))^S13_PSP_Species_Support!AB18))^0.976,0)+IFERROR(S13_PSP_Species_Support!AF18*0.0673*(S13_PSP_Species_Support!AG18*(S13_PSP_Species_Support!AH18*(1-EXP(-S13_PSP_Species_Support!AI18*14))^S13_PSP_Species_Support!AJ18)^2*(S13_PSP_Species_Support!AK18*(1-EXP(-S13_PSP_Species_Support!AL18*14))^S13_PSP_Species_Support!AM18))^0.976,0)+IFERROR(S13_PSP_Species_Support!AQ18*0.0673*(S13_PSP_Species_Support!AR18*(S13_PSP_Species_Support!AS18*(1-EXP(-S13_PSP_Species_Support!AT18*14))^S13_PSP_Species_Support!AU18)^2*(S13_PSP_Species_Support!AV18*(1-EXP(-S13_PSP_Species_Support!AW18*14))^S13_PSP_Species_Support!AX18))^0.976,0)+IFERROR(S13_PSP_Species_Support!BB18*0.0673*(S13_PSP_Species_Support!BC18*(S13_PSP_Species_Support!BD18*(1-EXP(-S13_PSP_Species_Support!BE18*14))^S13_PSP_Species_Support!BF18)^2*(S13_PSP_Species_Support!BG18*(1-EXP(-S13_PSP_Species_Support!BH18*14))^S13_PSP_Species_Support!BI18))^0.976,0)+IFERROR(S13_PSP_Species_Support!BM18*0.0673*(S13_PSP_Species_Support!BN18*(S13_PSP_Species_Support!BO18*(1-EXP(-S13_PSP_Species_Support!BP18*14))^S13_PSP_Species_Support!BQ18)^2*(S13_PSP_Species_Support!BR18*(1-EXP(-S13_PSP_Species_Support!BS18*14))^S13_PSP_Species_Support!BT18))^0.976,0)+IFERROR(S13_PSP_Species_Support!BX18*0.0673*(S13_PSP_Species_Support!BY18*(S13_PSP_Species_Support!BZ18*(1-EXP(-S13_PSP_Species_Support!CA18*14))^S13_PSP_Species_Support!CB18)^2*(S13_PSP_Species_Support!CC18*(1-EXP(-S13_PSP_Species_Support!CD18*14))^S13_PSP_Species_Support!CE18))^0.976,0)+IFERROR(S13_PSP_Species_Support!CI18*0.0673*(S13_PSP_Species_Support!CJ18*(S13_PSP_Species_Support!CK18*(1-EXP(-S13_PSP_Species_Support!CL18*14))^S13_PSP_Species_Support!CM18)^2*(S13_PSP_Species_Support!CN18*(1-EXP(-S13_PSP_Species_Support!CO18*14))^S13_PSP_Species_Support!CP18))^0.976,0)+IFERROR(S13_PSP_Species_Support!CT18*0.0673*(S13_PSP_Species_Support!CU18*(S13_PSP_Species_Support!CV18*(1-EXP(-S13_PSP_Species_Support!CW18*14))^S13_PSP_Species_Support!CX18)^2*(S13_PSP_Species_Support!CY18*(1-EXP(-S13_PSP_Species_Support!CZ18*14))^S13_PSP_Species_Support!DA18))^0.976,0))/1000/$G31*W$108,0)</x:f>
        <x:v>5981.203506053132</x:v>
      </x:c>
      <x:c r="X31" s="147" t="n">
        <x:f aca="0">IFERROR((IFERROR(S13_PSP_Species_Support!U18*0.0673*(S13_PSP_Species_Support!V18*(S13_PSP_Species_Support!W18*(1-EXP(-S13_PSP_Species_Support!X18*15))^S13_PSP_Species_Support!Y18)^2*(S13_PSP_Species_Support!Z18*(1-EXP(-S13_PSP_Species_Support!AA18*15))^S13_PSP_Species_Support!AB18))^0.976,0)+IFERROR(S13_PSP_Species_Support!AF18*0.0673*(S13_PSP_Species_Support!AG18*(S13_PSP_Species_Support!AH18*(1-EXP(-S13_PSP_Species_Support!AI18*15))^S13_PSP_Species_Support!AJ18)^2*(S13_PSP_Species_Support!AK18*(1-EXP(-S13_PSP_Species_Support!AL18*15))^S13_PSP_Species_Support!AM18))^0.976,0)+IFERROR(S13_PSP_Species_Support!AQ18*0.0673*(S13_PSP_Species_Support!AR18*(S13_PSP_Species_Support!AS18*(1-EXP(-S13_PSP_Species_Support!AT18*15))^S13_PSP_Species_Support!AU18)^2*(S13_PSP_Species_Support!AV18*(1-EXP(-S13_PSP_Species_Support!AW18*15))^S13_PSP_Species_Support!AX18))^0.976,0)+IFERROR(S13_PSP_Species_Support!BB18*0.0673*(S13_PSP_Species_Support!BC18*(S13_PSP_Species_Support!BD18*(1-EXP(-S13_PSP_Species_Support!BE18*15))^S13_PSP_Species_Support!BF18)^2*(S13_PSP_Species_Support!BG18*(1-EXP(-S13_PSP_Species_Support!BH18*15))^S13_PSP_Species_Support!BI18))^0.976,0)+IFERROR(S13_PSP_Species_Support!BM18*0.0673*(S13_PSP_Species_Support!BN18*(S13_PSP_Species_Support!BO18*(1-EXP(-S13_PSP_Species_Support!BP18*15))^S13_PSP_Species_Support!BQ18)^2*(S13_PSP_Species_Support!BR18*(1-EXP(-S13_PSP_Species_Support!BS18*15))^S13_PSP_Species_Support!BT18))^0.976,0)+IFERROR(S13_PSP_Species_Support!BX18*0.0673*(S13_PSP_Species_Support!BY18*(S13_PSP_Species_Support!BZ18*(1-EXP(-S13_PSP_Species_Support!CA18*15))^S13_PSP_Species_Support!CB18)^2*(S13_PSP_Species_Support!CC18*(1-EXP(-S13_PSP_Species_Support!CD18*15))^S13_PSP_Species_Support!CE18))^0.976,0)+IFERROR(S13_PSP_Species_Support!CI18*0.0673*(S13_PSP_Species_Support!CJ18*(S13_PSP_Species_Support!CK18*(1-EXP(-S13_PSP_Species_Support!CL18*15))^S13_PSP_Species_Support!CM18)^2*(S13_PSP_Species_Support!CN18*(1-EXP(-S13_PSP_Species_Support!CO18*15))^S13_PSP_Species_Support!CP18))^0.976,0)+IFERROR(S13_PSP_Species_Support!CT18*0.0673*(S13_PSP_Species_Support!CU18*(S13_PSP_Species_Support!CV18*(1-EXP(-S13_PSP_Species_Support!CW18*15))^S13_PSP_Species_Support!CX18)^2*(S13_PSP_Species_Support!CY18*(1-EXP(-S13_PSP_Species_Support!CZ18*15))^S13_PSP_Species_Support!DA18))^0.976,0))/1000/$G31*X$108,0)</x:f>
        <x:v>6352.641498049683</x:v>
      </x:c>
      <x:c r="Y31" s="147" t="n">
        <x:f aca="0">IFERROR((IFERROR(S13_PSP_Species_Support!U18*0.0673*(S13_PSP_Species_Support!V18*(S13_PSP_Species_Support!W18*(1-EXP(-S13_PSP_Species_Support!X18*16))^S13_PSP_Species_Support!Y18)^2*(S13_PSP_Species_Support!Z18*(1-EXP(-S13_PSP_Species_Support!AA18*16))^S13_PSP_Species_Support!AB18))^0.976,0)+IFERROR(S13_PSP_Species_Support!AF18*0.0673*(S13_PSP_Species_Support!AG18*(S13_PSP_Species_Support!AH18*(1-EXP(-S13_PSP_Species_Support!AI18*16))^S13_PSP_Species_Support!AJ18)^2*(S13_PSP_Species_Support!AK18*(1-EXP(-S13_PSP_Species_Support!AL18*16))^S13_PSP_Species_Support!AM18))^0.976,0)+IFERROR(S13_PSP_Species_Support!AQ18*0.0673*(S13_PSP_Species_Support!AR18*(S13_PSP_Species_Support!AS18*(1-EXP(-S13_PSP_Species_Support!AT18*16))^S13_PSP_Species_Support!AU18)^2*(S13_PSP_Species_Support!AV18*(1-EXP(-S13_PSP_Species_Support!AW18*16))^S13_PSP_Species_Support!AX18))^0.976,0)+IFERROR(S13_PSP_Species_Support!BB18*0.0673*(S13_PSP_Species_Support!BC18*(S13_PSP_Species_Support!BD18*(1-EXP(-S13_PSP_Species_Support!BE18*16))^S13_PSP_Species_Support!BF18)^2*(S13_PSP_Species_Support!BG18*(1-EXP(-S13_PSP_Species_Support!BH18*16))^S13_PSP_Species_Support!BI18))^0.976,0)+IFERROR(S13_PSP_Species_Support!BM18*0.0673*(S13_PSP_Species_Support!BN18*(S13_PSP_Species_Support!BO18*(1-EXP(-S13_PSP_Species_Support!BP18*16))^S13_PSP_Species_Support!BQ18)^2*(S13_PSP_Species_Support!BR18*(1-EXP(-S13_PSP_Species_Support!BS18*16))^S13_PSP_Species_Support!BT18))^0.976,0)+IFERROR(S13_PSP_Species_Support!BX18*0.0673*(S13_PSP_Species_Support!BY18*(S13_PSP_Species_Support!BZ18*(1-EXP(-S13_PSP_Species_Support!CA18*16))^S13_PSP_Species_Support!CB18)^2*(S13_PSP_Species_Support!CC18*(1-EXP(-S13_PSP_Species_Support!CD18*16))^S13_PSP_Species_Support!CE18))^0.976,0)+IFERROR(S13_PSP_Species_Support!CI18*0.0673*(S13_PSP_Species_Support!CJ18*(S13_PSP_Species_Support!CK18*(1-EXP(-S13_PSP_Species_Support!CL18*16))^S13_PSP_Species_Support!CM18)^2*(S13_PSP_Species_Support!CN18*(1-EXP(-S13_PSP_Species_Support!CO18*16))^S13_PSP_Species_Support!CP18))^0.976,0)+IFERROR(S13_PSP_Species_Support!CT18*0.0673*(S13_PSP_Species_Support!CU18*(S13_PSP_Species_Support!CV18*(1-EXP(-S13_PSP_Species_Support!CW18*16))^S13_PSP_Species_Support!CX18)^2*(S13_PSP_Species_Support!CY18*(1-EXP(-S13_PSP_Species_Support!CZ18*16))^S13_PSP_Species_Support!DA18))^0.976,0))/1000/$G31*Y$108,0)</x:f>
        <x:v>6680.499244364183</x:v>
      </x:c>
      <x:c r="Z31" s="147" t="n">
        <x:f aca="0">IFERROR((IFERROR(S13_PSP_Species_Support!U18*0.0673*(S13_PSP_Species_Support!V18*(S13_PSP_Species_Support!W18*(1-EXP(-S13_PSP_Species_Support!X18*17))^S13_PSP_Species_Support!Y18)^2*(S13_PSP_Species_Support!Z18*(1-EXP(-S13_PSP_Species_Support!AA18*17))^S13_PSP_Species_Support!AB18))^0.976,0)+IFERROR(S13_PSP_Species_Support!AF18*0.0673*(S13_PSP_Species_Support!AG18*(S13_PSP_Species_Support!AH18*(1-EXP(-S13_PSP_Species_Support!AI18*17))^S13_PSP_Species_Support!AJ18)^2*(S13_PSP_Species_Support!AK18*(1-EXP(-S13_PSP_Species_Support!AL18*17))^S13_PSP_Species_Support!AM18))^0.976,0)+IFERROR(S13_PSP_Species_Support!AQ18*0.0673*(S13_PSP_Species_Support!AR18*(S13_PSP_Species_Support!AS18*(1-EXP(-S13_PSP_Species_Support!AT18*17))^S13_PSP_Species_Support!AU18)^2*(S13_PSP_Species_Support!AV18*(1-EXP(-S13_PSP_Species_Support!AW18*17))^S13_PSP_Species_Support!AX18))^0.976,0)+IFERROR(S13_PSP_Species_Support!BB18*0.0673*(S13_PSP_Species_Support!BC18*(S13_PSP_Species_Support!BD18*(1-EXP(-S13_PSP_Species_Support!BE18*17))^S13_PSP_Species_Support!BF18)^2*(S13_PSP_Species_Support!BG18*(1-EXP(-S13_PSP_Species_Support!BH18*17))^S13_PSP_Species_Support!BI18))^0.976,0)+IFERROR(S13_PSP_Species_Support!BM18*0.0673*(S13_PSP_Species_Support!BN18*(S13_PSP_Species_Support!BO18*(1-EXP(-S13_PSP_Species_Support!BP18*17))^S13_PSP_Species_Support!BQ18)^2*(S13_PSP_Species_Support!BR18*(1-EXP(-S13_PSP_Species_Support!BS18*17))^S13_PSP_Species_Support!BT18))^0.976,0)+IFERROR(S13_PSP_Species_Support!BX18*0.0673*(S13_PSP_Species_Support!BY18*(S13_PSP_Species_Support!BZ18*(1-EXP(-S13_PSP_Species_Support!CA18*17))^S13_PSP_Species_Support!CB18)^2*(S13_PSP_Species_Support!CC18*(1-EXP(-S13_PSP_Species_Support!CD18*17))^S13_PSP_Species_Support!CE18))^0.976,0)+IFERROR(S13_PSP_Species_Support!CI18*0.0673*(S13_PSP_Species_Support!CJ18*(S13_PSP_Species_Support!CK18*(1-EXP(-S13_PSP_Species_Support!CL18*17))^S13_PSP_Species_Support!CM18)^2*(S13_PSP_Species_Support!CN18*(1-EXP(-S13_PSP_Species_Support!CO18*17))^S13_PSP_Species_Support!CP18))^0.976,0)+IFERROR(S13_PSP_Species_Support!CT18*0.0673*(S13_PSP_Species_Support!CU18*(S13_PSP_Species_Support!CV18*(1-EXP(-S13_PSP_Species_Support!CW18*17))^S13_PSP_Species_Support!CX18)^2*(S13_PSP_Species_Support!CY18*(1-EXP(-S13_PSP_Species_Support!CZ18*17))^S13_PSP_Species_Support!DA18))^0.976,0))/1000/$G31*Z$108,0)</x:f>
        <x:v>6968.10542673869</x:v>
      </x:c>
      <x:c r="AA31" s="147" t="n">
        <x:f aca="0">IFERROR((IFERROR(S13_PSP_Species_Support!U18*0.0673*(S13_PSP_Species_Support!V18*(S13_PSP_Species_Support!W18*(1-EXP(-S13_PSP_Species_Support!X18*18))^S13_PSP_Species_Support!Y18)^2*(S13_PSP_Species_Support!Z18*(1-EXP(-S13_PSP_Species_Support!AA18*18))^S13_PSP_Species_Support!AB18))^0.976,0)+IFERROR(S13_PSP_Species_Support!AF18*0.0673*(S13_PSP_Species_Support!AG18*(S13_PSP_Species_Support!AH18*(1-EXP(-S13_PSP_Species_Support!AI18*18))^S13_PSP_Species_Support!AJ18)^2*(S13_PSP_Species_Support!AK18*(1-EXP(-S13_PSP_Species_Support!AL18*18))^S13_PSP_Species_Support!AM18))^0.976,0)+IFERROR(S13_PSP_Species_Support!AQ18*0.0673*(S13_PSP_Species_Support!AR18*(S13_PSP_Species_Support!AS18*(1-EXP(-S13_PSP_Species_Support!AT18*18))^S13_PSP_Species_Support!AU18)^2*(S13_PSP_Species_Support!AV18*(1-EXP(-S13_PSP_Species_Support!AW18*18))^S13_PSP_Species_Support!AX18))^0.976,0)+IFERROR(S13_PSP_Species_Support!BB18*0.0673*(S13_PSP_Species_Support!BC18*(S13_PSP_Species_Support!BD18*(1-EXP(-S13_PSP_Species_Support!BE18*18))^S13_PSP_Species_Support!BF18)^2*(S13_PSP_Species_Support!BG18*(1-EXP(-S13_PSP_Species_Support!BH18*18))^S13_PSP_Species_Support!BI18))^0.976,0)+IFERROR(S13_PSP_Species_Support!BM18*0.0673*(S13_PSP_Species_Support!BN18*(S13_PSP_Species_Support!BO18*(1-EXP(-S13_PSP_Species_Support!BP18*18))^S13_PSP_Species_Support!BQ18)^2*(S13_PSP_Species_Support!BR18*(1-EXP(-S13_PSP_Species_Support!BS18*18))^S13_PSP_Species_Support!BT18))^0.976,0)+IFERROR(S13_PSP_Species_Support!BX18*0.0673*(S13_PSP_Species_Support!BY18*(S13_PSP_Species_Support!BZ18*(1-EXP(-S13_PSP_Species_Support!CA18*18))^S13_PSP_Species_Support!CB18)^2*(S13_PSP_Species_Support!CC18*(1-EXP(-S13_PSP_Species_Support!CD18*18))^S13_PSP_Species_Support!CE18))^0.976,0)+IFERROR(S13_PSP_Species_Support!CI18*0.0673*(S13_PSP_Species_Support!CJ18*(S13_PSP_Species_Support!CK18*(1-EXP(-S13_PSP_Species_Support!CL18*18))^S13_PSP_Species_Support!CM18)^2*(S13_PSP_Species_Support!CN18*(1-EXP(-S13_PSP_Species_Support!CO18*18))^S13_PSP_Species_Support!CP18))^0.976,0)+IFERROR(S13_PSP_Species_Support!CT18*0.0673*(S13_PSP_Species_Support!CU18*(S13_PSP_Species_Support!CV18*(1-EXP(-S13_PSP_Species_Support!CW18*18))^S13_PSP_Species_Support!CX18)^2*(S13_PSP_Species_Support!CY18*(1-EXP(-S13_PSP_Species_Support!CZ18*18))^S13_PSP_Species_Support!DA18))^0.976,0))/1000/$G31*AA$108,0)</x:f>
        <x:v>7219.13565552453</x:v>
      </x:c>
      <x:c r="AB31" s="147" t="n">
        <x:f aca="0">IFERROR((IFERROR(S13_PSP_Species_Support!U18*0.0673*(S13_PSP_Species_Support!V18*(S13_PSP_Species_Support!W18*(1-EXP(-S13_PSP_Species_Support!X18*19))^S13_PSP_Species_Support!Y18)^2*(S13_PSP_Species_Support!Z18*(1-EXP(-S13_PSP_Species_Support!AA18*19))^S13_PSP_Species_Support!AB18))^0.976,0)+IFERROR(S13_PSP_Species_Support!AF18*0.0673*(S13_PSP_Species_Support!AG18*(S13_PSP_Species_Support!AH18*(1-EXP(-S13_PSP_Species_Support!AI18*19))^S13_PSP_Species_Support!AJ18)^2*(S13_PSP_Species_Support!AK18*(1-EXP(-S13_PSP_Species_Support!AL18*19))^S13_PSP_Species_Support!AM18))^0.976,0)+IFERROR(S13_PSP_Species_Support!AQ18*0.0673*(S13_PSP_Species_Support!AR18*(S13_PSP_Species_Support!AS18*(1-EXP(-S13_PSP_Species_Support!AT18*19))^S13_PSP_Species_Support!AU18)^2*(S13_PSP_Species_Support!AV18*(1-EXP(-S13_PSP_Species_Support!AW18*19))^S13_PSP_Species_Support!AX18))^0.976,0)+IFERROR(S13_PSP_Species_Support!BB18*0.0673*(S13_PSP_Species_Support!BC18*(S13_PSP_Species_Support!BD18*(1-EXP(-S13_PSP_Species_Support!BE18*19))^S13_PSP_Species_Support!BF18)^2*(S13_PSP_Species_Support!BG18*(1-EXP(-S13_PSP_Species_Support!BH18*19))^S13_PSP_Species_Support!BI18))^0.976,0)+IFERROR(S13_PSP_Species_Support!BM18*0.0673*(S13_PSP_Species_Support!BN18*(S13_PSP_Species_Support!BO18*(1-EXP(-S13_PSP_Species_Support!BP18*19))^S13_PSP_Species_Support!BQ18)^2*(S13_PSP_Species_Support!BR18*(1-EXP(-S13_PSP_Species_Support!BS18*19))^S13_PSP_Species_Support!BT18))^0.976,0)+IFERROR(S13_PSP_Species_Support!BX18*0.0673*(S13_PSP_Species_Support!BY18*(S13_PSP_Species_Support!BZ18*(1-EXP(-S13_PSP_Species_Support!CA18*19))^S13_PSP_Species_Support!CB18)^2*(S13_PSP_Species_Support!CC18*(1-EXP(-S13_PSP_Species_Support!CD18*19))^S13_PSP_Species_Support!CE18))^0.976,0)+IFERROR(S13_PSP_Species_Support!CI18*0.0673*(S13_PSP_Species_Support!CJ18*(S13_PSP_Species_Support!CK18*(1-EXP(-S13_PSP_Species_Support!CL18*19))^S13_PSP_Species_Support!CM18)^2*(S13_PSP_Species_Support!CN18*(1-EXP(-S13_PSP_Species_Support!CO18*19))^S13_PSP_Species_Support!CP18))^0.976,0)+IFERROR(S13_PSP_Species_Support!CT18*0.0673*(S13_PSP_Species_Support!CU18*(S13_PSP_Species_Support!CV18*(1-EXP(-S13_PSP_Species_Support!CW18*19))^S13_PSP_Species_Support!CX18)^2*(S13_PSP_Species_Support!CY18*(1-EXP(-S13_PSP_Species_Support!CZ18*19))^S13_PSP_Species_Support!DA18))^0.976,0))/1000/$G31*AB$108,0)</x:f>
        <x:v>7437.345164798633</x:v>
      </x:c>
      <x:c r="AC31" s="147" t="n">
        <x:f aca="0">IFERROR((IFERROR(S13_PSP_Species_Support!U18*0.0673*(S13_PSP_Species_Support!V18*(S13_PSP_Species_Support!W18*(1-EXP(-S13_PSP_Species_Support!X18*20))^S13_PSP_Species_Support!Y18)^2*(S13_PSP_Species_Support!Z18*(1-EXP(-S13_PSP_Species_Support!AA18*20))^S13_PSP_Species_Support!AB18))^0.976,0)+IFERROR(S13_PSP_Species_Support!AF18*0.0673*(S13_PSP_Species_Support!AG18*(S13_PSP_Species_Support!AH18*(1-EXP(-S13_PSP_Species_Support!AI18*20))^S13_PSP_Species_Support!AJ18)^2*(S13_PSP_Species_Support!AK18*(1-EXP(-S13_PSP_Species_Support!AL18*20))^S13_PSP_Species_Support!AM18))^0.976,0)+IFERROR(S13_PSP_Species_Support!AQ18*0.0673*(S13_PSP_Species_Support!AR18*(S13_PSP_Species_Support!AS18*(1-EXP(-S13_PSP_Species_Support!AT18*20))^S13_PSP_Species_Support!AU18)^2*(S13_PSP_Species_Support!AV18*(1-EXP(-S13_PSP_Species_Support!AW18*20))^S13_PSP_Species_Support!AX18))^0.976,0)+IFERROR(S13_PSP_Species_Support!BB18*0.0673*(S13_PSP_Species_Support!BC18*(S13_PSP_Species_Support!BD18*(1-EXP(-S13_PSP_Species_Support!BE18*20))^S13_PSP_Species_Support!BF18)^2*(S13_PSP_Species_Support!BG18*(1-EXP(-S13_PSP_Species_Support!BH18*20))^S13_PSP_Species_Support!BI18))^0.976,0)+IFERROR(S13_PSP_Species_Support!BM18*0.0673*(S13_PSP_Species_Support!BN18*(S13_PSP_Species_Support!BO18*(1-EXP(-S13_PSP_Species_Support!BP18*20))^S13_PSP_Species_Support!BQ18)^2*(S13_PSP_Species_Support!BR18*(1-EXP(-S13_PSP_Species_Support!BS18*20))^S13_PSP_Species_Support!BT18))^0.976,0)+IFERROR(S13_PSP_Species_Support!BX18*0.0673*(S13_PSP_Species_Support!BY18*(S13_PSP_Species_Support!BZ18*(1-EXP(-S13_PSP_Species_Support!CA18*20))^S13_PSP_Species_Support!CB18)^2*(S13_PSP_Species_Support!CC18*(1-EXP(-S13_PSP_Species_Support!CD18*20))^S13_PSP_Species_Support!CE18))^0.976,0)+IFERROR(S13_PSP_Species_Support!CI18*0.0673*(S13_PSP_Species_Support!CJ18*(S13_PSP_Species_Support!CK18*(1-EXP(-S13_PSP_Species_Support!CL18*20))^S13_PSP_Species_Support!CM18)^2*(S13_PSP_Species_Support!CN18*(1-EXP(-S13_PSP_Species_Support!CO18*20))^S13_PSP_Species_Support!CP18))^0.976,0)+IFERROR(S13_PSP_Species_Support!CT18*0.0673*(S13_PSP_Species_Support!CU18*(S13_PSP_Species_Support!CV18*(1-EXP(-S13_PSP_Species_Support!CW18*20))^S13_PSP_Species_Support!CX18)^2*(S13_PSP_Species_Support!CY18*(1-EXP(-S13_PSP_Species_Support!CZ18*20))^S13_PSP_Species_Support!DA18))^0.976,0))/1000/$G31*AC$108,0)</x:f>
        <x:v>7626.392385070802</x:v>
      </x:c>
      <x:c r="AD31" s="148" t="n">
        <x:f aca="0">IF(2020&lt;$F31,0,INDEX($I31:$AC31,1,2020-$F31+1))</x:f>
        <x:v>0</x:v>
      </x:c>
      <x:c r="AE31" s="148" t="n">
        <x:f aca="0">IF(2021&lt;$F31,0,INDEX($I31:$AC31,1,2021-$F31+1))</x:f>
        <x:v>8.830854335208626</x:v>
      </x:c>
      <x:c r="AF31" s="148" t="n">
        <x:f aca="0">IF(2022&lt;$F31,0,INDEX($I31:$AC31,1,2022-$F31+1))</x:f>
        <x:v>84.0549157932676</x:v>
      </x:c>
      <x:c r="AG31" s="148" t="n">
        <x:f aca="0">IF(2023&lt;$F31,0,INDEX($I31:$AC31,1,2023-$F31+1))</x:f>
        <x:v>280.04671689582307</x:v>
      </x:c>
      <x:c r="AH31" s="148" t="n">
        <x:f aca="0">IF(2024&lt;$F31,0,INDEX($I31:$AC31,1,2024-$F31+1))</x:f>
        <x:v>613.8906490138323</x:v>
      </x:c>
      <x:c r="AI31" s="148" t="n">
        <x:f aca="0">IF(2025&lt;$F31,0,INDEX($I31:$AC31,1,2025-$F31+1))</x:f>
        <x:v>1068.2363215891507</x:v>
      </x:c>
      <x:c r="AJ31" s="148" t="n">
        <x:f aca="0">IF(2026&lt;$F31,0,INDEX($I31:$AC31,1,2026-$F31+1))</x:f>
        <x:v>1611.3212867598238</x:v>
      </x:c>
      <x:c r="AK31" s="148" t="n">
        <x:f aca="0">IF(2027&lt;$F31,0,INDEX($I31:$AC31,1,2027-$F31+1))</x:f>
        <x:v>2207.9455561388977</x:v>
      </x:c>
      <x:c r="AL31" s="148" t="n">
        <x:f aca="0">IF(2028&lt;$F31,0,INDEX($I31:$AC31,1,2028-$F31+1))</x:f>
        <x:v>2826.172625735241</x:v>
      </x:c>
      <x:c r="AM31" s="148" t="n">
        <x:f aca="0">IF(2029&lt;$F31,0,INDEX($I31:$AC31,1,2029-$F31+1))</x:f>
        <x:v>3440.2567321461047</x:v>
      </x:c>
      <x:c r="AN31" s="148" t="n">
        <x:f aca="0">IF(2030&lt;$F31,0,INDEX($I31:$AC31,1,2030-$F31+1))</x:f>
        <x:v>4031.2684173823486</x:v>
      </x:c>
      <x:c r="AO31" s="148" t="n">
        <x:f aca="0">IF(2031&lt;$F31,0,INDEX($I31:$AC31,1,2031-$F31+1))</x:f>
        <x:v>4586.517673905278</x:v>
      </x:c>
      <x:c r="AP31" s="148" t="n">
        <x:f aca="0">IF(2032&lt;$F31,0,INDEX($I31:$AC31,1,2032-$F31+1))</x:f>
        <x:v>5098.475170261995</x:v>
      </x:c>
      <x:c r="AQ31" s="148" t="n">
        <x:f aca="0">IF(2033&lt;$F31,0,INDEX($I31:$AC31,1,2033-$F31+1))</x:f>
        <x:v>5563.589948036889</x:v>
      </x:c>
      <x:c r="AR31" s="148" t="n">
        <x:f aca="0">IF(2034&lt;$F31,0,INDEX($I31:$AC31,1,2034-$F31+1))</x:f>
        <x:v>5981.203506053132</x:v>
      </x:c>
      <x:c r="AS31" s="148" t="n">
        <x:f aca="0">IF(2035&lt;$F31,0,INDEX($I31:$AC31,1,2035-$F31+1))</x:f>
        <x:v>6352.641498049683</x:v>
      </x:c>
      <x:c r="AT31" s="148" t="n">
        <x:f aca="0">IF(2036&lt;$F31,0,INDEX($I31:$AC31,1,2036-$F31+1))</x:f>
        <x:v>6680.499244364183</x:v>
      </x:c>
      <x:c r="AU31" s="148" t="n">
        <x:f aca="0">IF(2037&lt;$F31,0,INDEX($I31:$AC31,1,2037-$F31+1))</x:f>
        <x:v>6968.10542673869</x:v>
      </x:c>
      <x:c r="AV31" s="148" t="n">
        <x:f aca="0">IF(2038&lt;$F31,0,INDEX($I31:$AC31,1,2038-$F31+1))</x:f>
        <x:v>7219.13565552453</x:v>
      </x:c>
      <x:c r="AW31" s="148" t="n">
        <x:f aca="0">IF(2039&lt;$F31,0,INDEX($I31:$AC31,1,2039-$F31+1))</x:f>
        <x:v>7437.345164798633</x:v>
      </x:c>
      <x:c r="AX31" s="148" t="n">
        <x:f aca="0">IF(2040&lt;$F31,0,INDEX($I31:$AC31,1,2040-$F31+1))</x:f>
        <x:v>7626.392385070802</x:v>
      </x:c>
      <x:c r="AY31" s="1" t="str">
        <x:f aca="0">LEFT($C31,FIND("@",SUBSTITUTE($C31,"|","@",2))-1)</x:f>
        <x:v>Horti-Silviculture|High</x:v>
      </x:c>
      <x:c r="AZ31" s="1" t="str">
        <x:f aca="0">LEFT($C31,FIND("|",$C31)-1)</x:f>
        <x:v>Horti-Silviculture</x:v>
      </x:c>
      <x:c r="BA31" s="149" t="n">
        <x:f aca="0">I31*I31</x:f>
        <x:v>0</x:v>
      </x:c>
      <x:c r="BB31" s="149" t="n">
        <x:f aca="0">J31*J31</x:f>
        <x:v>77.98398828967298</x:v>
      </x:c>
      <x:c r="BC31" s="149" t="n">
        <x:f aca="0">K31*K31</x:f>
        <x:v>7065.228869013306</x:v>
      </x:c>
      <x:c r="BD31" s="149" t="n">
        <x:f aca="0">L31*L31</x:f>
        <x:v>78426.16364412928</x:v>
      </x:c>
      <x:c r="BE31" s="149" t="n">
        <x:f aca="0">M31*M31</x:f>
        <x:v>376861.72894662427</x:v>
      </x:c>
      <x:c r="BF31" s="149" t="n">
        <x:f aca="0">N31*N31</x:f>
        <x:v>1141128.8387623194</x:v>
      </x:c>
      <x:c r="BG31" s="149" t="n">
        <x:f aca="0">O31*O31</x:f>
        <x:v>2596356.2891653343</x:v>
      </x:c>
      <x:c r="BH31" s="149" t="n">
        <x:f aca="0">P31*P31</x:f>
        <x:v>4875023.578873506</x:v>
      </x:c>
      <x:c r="BI31" s="149" t="n">
        <x:f aca="0">Q31*Q31</x:f>
        <x:v>7987251.710455228</x:v>
      </x:c>
      <x:c r="BJ31" s="149" t="n">
        <x:f aca="0">R31*R31</x:f>
        <x:v>11835366.383076595</x:v>
      </x:c>
      <x:c r="BK31" s="149" t="n">
        <x:f aca="0">S31*S31</x:f>
        <x:v>16251125.052984385</x:v>
      </x:c>
      <x:c r="BL31" s="149" t="n">
        <x:f aca="0">T31*T31</x:f>
        <x:v>21036144.373045478</x:v>
      </x:c>
      <x:c r="BM31" s="149" t="n">
        <x:f aca="0">U31*U31</x:f>
        <x:v>25994449.06177808</x:v>
      </x:c>
      <x:c r="BN31" s="149" t="n">
        <x:f aca="0">V31*V31</x:f>
        <x:v>30953533.10989711</x:v>
      </x:c>
      <x:c r="BO31" s="149" t="n">
        <x:f aca="0">W31*W31</x:f>
        <x:v>35774795.38082227</x:v>
      </x:c>
      <x:c r="BP31" s="149" t="n">
        <x:f aca="0">X31*X31</x:f>
        <x:v>40356054.00274292</x:v>
      </x:c>
      <x:c r="BQ31" s="149" t="n">
        <x:f aca="0">Y31*Y31</x:f>
        <x:v>44629070.15395042</x:v>
      </x:c>
      <x:c r="BR31" s="149" t="n">
        <x:f aca="0">Z31*Z31</x:f>
        <x:v>48554493.23814518</x:v>
      </x:c>
      <x:c r="BS31" s="149" t="n">
        <x:f aca="0">AA31*AA31</x:f>
        <x:v>52115919.61286559</x:v>
      </x:c>
      <x:c r="BT31" s="149" t="n">
        <x:f aca="0">AB31*AB31</x:f>
        <x:v>55314103.100353606</x:v>
      </x:c>
      <x:c r="BU31" s="149" t="n">
        <x:f aca="0">AC31*AC31</x:f>
        <x:v>58161860.81106592</x:v>
      </x:c>
    </x:row>
    <x:row r="32" ht="15" hidden="0" customHeight="1">
      <x:c r="A32" s="1" t="str">
        <x:f aca="0">S13_PSP_Species_Support!A19</x:f>
        <x:v>PSP-HS-005</x:v>
      </x:c>
      <x:c r="B32" s="1" t="n">
        <x:f aca="0">19</x:f>
        <x:v>19</x:v>
      </x:c>
      <x:c r="C32" s="1" t="str">
        <x:f aca="0">S13_PSP_Species_Support!I19</x:f>
        <x:v>Horti-Silviculture|High|2020</x:v>
      </x:c>
      <x:c r="D32" s="1" t="str">
        <x:f aca="0">S13_PSP_Species_Support!C19</x:f>
        <x:v>Horti-Silviculture</x:v>
      </x:c>
      <x:c r="E32" s="1" t="str">
        <x:f aca="0">S13_PSP_Species_Support!D19</x:f>
        <x:v>High</x:v>
      </x:c>
      <x:c r="F32" s="1" t="n">
        <x:f aca="0">S13_PSP_Species_Support!E19</x:f>
        <x:v>2020</x:v>
      </x:c>
      <x:c r="G32" s="645" t="n">
        <x:f aca="0">'S13_PSP_Species_Support'!DJ19</x:f>
        <x:v>0.09</x:v>
      </x:c>
      <x:c r="H32" s="714" t="n">
        <x:f aca="0">'S13_PSP_Species_Support'!DK19</x:f>
        <x:v>526.5700483091788</x:v>
      </x:c>
      <x:c r="I32" s="147" t="n">
        <x:f aca="0">IFERROR((IFERROR(S13_PSP_Species_Support!U19*0.0673*(S13_PSP_Species_Support!V19*(S13_PSP_Species_Support!W19*(1-EXP(-S13_PSP_Species_Support!X19*0))^S13_PSP_Species_Support!Y19)^2*(S13_PSP_Species_Support!Z19*(1-EXP(-S13_PSP_Species_Support!AA19*0))^S13_PSP_Species_Support!AB19))^0.976,0)+IFERROR(S13_PSP_Species_Support!AF19*0.0673*(S13_PSP_Species_Support!AG19*(S13_PSP_Species_Support!AH19*(1-EXP(-S13_PSP_Species_Support!AI19*0))^S13_PSP_Species_Support!AJ19)^2*(S13_PSP_Species_Support!AK19*(1-EXP(-S13_PSP_Species_Support!AL19*0))^S13_PSP_Species_Support!AM19))^0.976,0)+IFERROR(S13_PSP_Species_Support!AQ19*0.0673*(S13_PSP_Species_Support!AR19*(S13_PSP_Species_Support!AS19*(1-EXP(-S13_PSP_Species_Support!AT19*0))^S13_PSP_Species_Support!AU19)^2*(S13_PSP_Species_Support!AV19*(1-EXP(-S13_PSP_Species_Support!AW19*0))^S13_PSP_Species_Support!AX19))^0.976,0)+IFERROR(S13_PSP_Species_Support!BB19*0.0673*(S13_PSP_Species_Support!BC19*(S13_PSP_Species_Support!BD19*(1-EXP(-S13_PSP_Species_Support!BE19*0))^S13_PSP_Species_Support!BF19)^2*(S13_PSP_Species_Support!BG19*(1-EXP(-S13_PSP_Species_Support!BH19*0))^S13_PSP_Species_Support!BI19))^0.976,0)+IFERROR(S13_PSP_Species_Support!BM19*0.0673*(S13_PSP_Species_Support!BN19*(S13_PSP_Species_Support!BO19*(1-EXP(-S13_PSP_Species_Support!BP19*0))^S13_PSP_Species_Support!BQ19)^2*(S13_PSP_Species_Support!BR19*(1-EXP(-S13_PSP_Species_Support!BS19*0))^S13_PSP_Species_Support!BT19))^0.976,0)+IFERROR(S13_PSP_Species_Support!BX19*0.0673*(S13_PSP_Species_Support!BY19*(S13_PSP_Species_Support!BZ19*(1-EXP(-S13_PSP_Species_Support!CA19*0))^S13_PSP_Species_Support!CB19)^2*(S13_PSP_Species_Support!CC19*(1-EXP(-S13_PSP_Species_Support!CD19*0))^S13_PSP_Species_Support!CE19))^0.976,0)+IFERROR(S13_PSP_Species_Support!CI19*0.0673*(S13_PSP_Species_Support!CJ19*(S13_PSP_Species_Support!CK19*(1-EXP(-S13_PSP_Species_Support!CL19*0))^S13_PSP_Species_Support!CM19)^2*(S13_PSP_Species_Support!CN19*(1-EXP(-S13_PSP_Species_Support!CO19*0))^S13_PSP_Species_Support!CP19))^0.976,0)+IFERROR(S13_PSP_Species_Support!CT19*0.0673*(S13_PSP_Species_Support!CU19*(S13_PSP_Species_Support!CV19*(1-EXP(-S13_PSP_Species_Support!CW19*0))^S13_PSP_Species_Support!CX19)^2*(S13_PSP_Species_Support!CY19*(1-EXP(-S13_PSP_Species_Support!CZ19*0))^S13_PSP_Species_Support!DA19))^0.976,0))/1000/$G32*I$108,0)</x:f>
        <x:v>0</x:v>
      </x:c>
      <x:c r="J32" s="147" t="n">
        <x:f aca="0">IFERROR((IFERROR(S13_PSP_Species_Support!U19*0.0673*(S13_PSP_Species_Support!V19*(S13_PSP_Species_Support!W19*(1-EXP(-S13_PSP_Species_Support!X19*1))^S13_PSP_Species_Support!Y19)^2*(S13_PSP_Species_Support!Z19*(1-EXP(-S13_PSP_Species_Support!AA19*1))^S13_PSP_Species_Support!AB19))^0.976,0)+IFERROR(S13_PSP_Species_Support!AF19*0.0673*(S13_PSP_Species_Support!AG19*(S13_PSP_Species_Support!AH19*(1-EXP(-S13_PSP_Species_Support!AI19*1))^S13_PSP_Species_Support!AJ19)^2*(S13_PSP_Species_Support!AK19*(1-EXP(-S13_PSP_Species_Support!AL19*1))^S13_PSP_Species_Support!AM19))^0.976,0)+IFERROR(S13_PSP_Species_Support!AQ19*0.0673*(S13_PSP_Species_Support!AR19*(S13_PSP_Species_Support!AS19*(1-EXP(-S13_PSP_Species_Support!AT19*1))^S13_PSP_Species_Support!AU19)^2*(S13_PSP_Species_Support!AV19*(1-EXP(-S13_PSP_Species_Support!AW19*1))^S13_PSP_Species_Support!AX19))^0.976,0)+IFERROR(S13_PSP_Species_Support!BB19*0.0673*(S13_PSP_Species_Support!BC19*(S13_PSP_Species_Support!BD19*(1-EXP(-S13_PSP_Species_Support!BE19*1))^S13_PSP_Species_Support!BF19)^2*(S13_PSP_Species_Support!BG19*(1-EXP(-S13_PSP_Species_Support!BH19*1))^S13_PSP_Species_Support!BI19))^0.976,0)+IFERROR(S13_PSP_Species_Support!BM19*0.0673*(S13_PSP_Species_Support!BN19*(S13_PSP_Species_Support!BO19*(1-EXP(-S13_PSP_Species_Support!BP19*1))^S13_PSP_Species_Support!BQ19)^2*(S13_PSP_Species_Support!BR19*(1-EXP(-S13_PSP_Species_Support!BS19*1))^S13_PSP_Species_Support!BT19))^0.976,0)+IFERROR(S13_PSP_Species_Support!BX19*0.0673*(S13_PSP_Species_Support!BY19*(S13_PSP_Species_Support!BZ19*(1-EXP(-S13_PSP_Species_Support!CA19*1))^S13_PSP_Species_Support!CB19)^2*(S13_PSP_Species_Support!CC19*(1-EXP(-S13_PSP_Species_Support!CD19*1))^S13_PSP_Species_Support!CE19))^0.976,0)+IFERROR(S13_PSP_Species_Support!CI19*0.0673*(S13_PSP_Species_Support!CJ19*(S13_PSP_Species_Support!CK19*(1-EXP(-S13_PSP_Species_Support!CL19*1))^S13_PSP_Species_Support!CM19)^2*(S13_PSP_Species_Support!CN19*(1-EXP(-S13_PSP_Species_Support!CO19*1))^S13_PSP_Species_Support!CP19))^0.976,0)+IFERROR(S13_PSP_Species_Support!CT19*0.0673*(S13_PSP_Species_Support!CU19*(S13_PSP_Species_Support!CV19*(1-EXP(-S13_PSP_Species_Support!CW19*1))^S13_PSP_Species_Support!CX19)^2*(S13_PSP_Species_Support!CY19*(1-EXP(-S13_PSP_Species_Support!CZ19*1))^S13_PSP_Species_Support!DA19))^0.976,0))/1000/$G32*J$108,0)</x:f>
        <x:v>0.9265687015995416</x:v>
      </x:c>
      <x:c r="K32" s="147" t="n">
        <x:f aca="0">IFERROR((IFERROR(S13_PSP_Species_Support!U19*0.0673*(S13_PSP_Species_Support!V19*(S13_PSP_Species_Support!W19*(1-EXP(-S13_PSP_Species_Support!X19*2))^S13_PSP_Species_Support!Y19)^2*(S13_PSP_Species_Support!Z19*(1-EXP(-S13_PSP_Species_Support!AA19*2))^S13_PSP_Species_Support!AB19))^0.976,0)+IFERROR(S13_PSP_Species_Support!AF19*0.0673*(S13_PSP_Species_Support!AG19*(S13_PSP_Species_Support!AH19*(1-EXP(-S13_PSP_Species_Support!AI19*2))^S13_PSP_Species_Support!AJ19)^2*(S13_PSP_Species_Support!AK19*(1-EXP(-S13_PSP_Species_Support!AL19*2))^S13_PSP_Species_Support!AM19))^0.976,0)+IFERROR(S13_PSP_Species_Support!AQ19*0.0673*(S13_PSP_Species_Support!AR19*(S13_PSP_Species_Support!AS19*(1-EXP(-S13_PSP_Species_Support!AT19*2))^S13_PSP_Species_Support!AU19)^2*(S13_PSP_Species_Support!AV19*(1-EXP(-S13_PSP_Species_Support!AW19*2))^S13_PSP_Species_Support!AX19))^0.976,0)+IFERROR(S13_PSP_Species_Support!BB19*0.0673*(S13_PSP_Species_Support!BC19*(S13_PSP_Species_Support!BD19*(1-EXP(-S13_PSP_Species_Support!BE19*2))^S13_PSP_Species_Support!BF19)^2*(S13_PSP_Species_Support!BG19*(1-EXP(-S13_PSP_Species_Support!BH19*2))^S13_PSP_Species_Support!BI19))^0.976,0)+IFERROR(S13_PSP_Species_Support!BM19*0.0673*(S13_PSP_Species_Support!BN19*(S13_PSP_Species_Support!BO19*(1-EXP(-S13_PSP_Species_Support!BP19*2))^S13_PSP_Species_Support!BQ19)^2*(S13_PSP_Species_Support!BR19*(1-EXP(-S13_PSP_Species_Support!BS19*2))^S13_PSP_Species_Support!BT19))^0.976,0)+IFERROR(S13_PSP_Species_Support!BX19*0.0673*(S13_PSP_Species_Support!BY19*(S13_PSP_Species_Support!BZ19*(1-EXP(-S13_PSP_Species_Support!CA19*2))^S13_PSP_Species_Support!CB19)^2*(S13_PSP_Species_Support!CC19*(1-EXP(-S13_PSP_Species_Support!CD19*2))^S13_PSP_Species_Support!CE19))^0.976,0)+IFERROR(S13_PSP_Species_Support!CI19*0.0673*(S13_PSP_Species_Support!CJ19*(S13_PSP_Species_Support!CK19*(1-EXP(-S13_PSP_Species_Support!CL19*2))^S13_PSP_Species_Support!CM19)^2*(S13_PSP_Species_Support!CN19*(1-EXP(-S13_PSP_Species_Support!CO19*2))^S13_PSP_Species_Support!CP19))^0.976,0)+IFERROR(S13_PSP_Species_Support!CT19*0.0673*(S13_PSP_Species_Support!CU19*(S13_PSP_Species_Support!CV19*(1-EXP(-S13_PSP_Species_Support!CW19*2))^S13_PSP_Species_Support!CX19)^2*(S13_PSP_Species_Support!CY19*(1-EXP(-S13_PSP_Species_Support!CZ19*2))^S13_PSP_Species_Support!DA19))^0.976,0))/1000/$G32*K$108,0)</x:f>
        <x:v>10.982517203730499</x:v>
      </x:c>
      <x:c r="L32" s="147" t="n">
        <x:f aca="0">IFERROR((IFERROR(S13_PSP_Species_Support!U19*0.0673*(S13_PSP_Species_Support!V19*(S13_PSP_Species_Support!W19*(1-EXP(-S13_PSP_Species_Support!X19*3))^S13_PSP_Species_Support!Y19)^2*(S13_PSP_Species_Support!Z19*(1-EXP(-S13_PSP_Species_Support!AA19*3))^S13_PSP_Species_Support!AB19))^0.976,0)+IFERROR(S13_PSP_Species_Support!AF19*0.0673*(S13_PSP_Species_Support!AG19*(S13_PSP_Species_Support!AH19*(1-EXP(-S13_PSP_Species_Support!AI19*3))^S13_PSP_Species_Support!AJ19)^2*(S13_PSP_Species_Support!AK19*(1-EXP(-S13_PSP_Species_Support!AL19*3))^S13_PSP_Species_Support!AM19))^0.976,0)+IFERROR(S13_PSP_Species_Support!AQ19*0.0673*(S13_PSP_Species_Support!AR19*(S13_PSP_Species_Support!AS19*(1-EXP(-S13_PSP_Species_Support!AT19*3))^S13_PSP_Species_Support!AU19)^2*(S13_PSP_Species_Support!AV19*(1-EXP(-S13_PSP_Species_Support!AW19*3))^S13_PSP_Species_Support!AX19))^0.976,0)+IFERROR(S13_PSP_Species_Support!BB19*0.0673*(S13_PSP_Species_Support!BC19*(S13_PSP_Species_Support!BD19*(1-EXP(-S13_PSP_Species_Support!BE19*3))^S13_PSP_Species_Support!BF19)^2*(S13_PSP_Species_Support!BG19*(1-EXP(-S13_PSP_Species_Support!BH19*3))^S13_PSP_Species_Support!BI19))^0.976,0)+IFERROR(S13_PSP_Species_Support!BM19*0.0673*(S13_PSP_Species_Support!BN19*(S13_PSP_Species_Support!BO19*(1-EXP(-S13_PSP_Species_Support!BP19*3))^S13_PSP_Species_Support!BQ19)^2*(S13_PSP_Species_Support!BR19*(1-EXP(-S13_PSP_Species_Support!BS19*3))^S13_PSP_Species_Support!BT19))^0.976,0)+IFERROR(S13_PSP_Species_Support!BX19*0.0673*(S13_PSP_Species_Support!BY19*(S13_PSP_Species_Support!BZ19*(1-EXP(-S13_PSP_Species_Support!CA19*3))^S13_PSP_Species_Support!CB19)^2*(S13_PSP_Species_Support!CC19*(1-EXP(-S13_PSP_Species_Support!CD19*3))^S13_PSP_Species_Support!CE19))^0.976,0)+IFERROR(S13_PSP_Species_Support!CI19*0.0673*(S13_PSP_Species_Support!CJ19*(S13_PSP_Species_Support!CK19*(1-EXP(-S13_PSP_Species_Support!CL19*3))^S13_PSP_Species_Support!CM19)^2*(S13_PSP_Species_Support!CN19*(1-EXP(-S13_PSP_Species_Support!CO19*3))^S13_PSP_Species_Support!CP19))^0.976,0)+IFERROR(S13_PSP_Species_Support!CT19*0.0673*(S13_PSP_Species_Support!CU19*(S13_PSP_Species_Support!CV19*(1-EXP(-S13_PSP_Species_Support!CW19*3))^S13_PSP_Species_Support!CX19)^2*(S13_PSP_Species_Support!CY19*(1-EXP(-S13_PSP_Species_Support!CZ19*3))^S13_PSP_Species_Support!DA19))^0.976,0))/1000/$G32*L$108,0)</x:f>
        <x:v>41.891299912492265</x:v>
      </x:c>
      <x:c r="M32" s="147" t="n">
        <x:f aca="0">IFERROR((IFERROR(S13_PSP_Species_Support!U19*0.0673*(S13_PSP_Species_Support!V19*(S13_PSP_Species_Support!W19*(1-EXP(-S13_PSP_Species_Support!X19*4))^S13_PSP_Species_Support!Y19)^2*(S13_PSP_Species_Support!Z19*(1-EXP(-S13_PSP_Species_Support!AA19*4))^S13_PSP_Species_Support!AB19))^0.976,0)+IFERROR(S13_PSP_Species_Support!AF19*0.0673*(S13_PSP_Species_Support!AG19*(S13_PSP_Species_Support!AH19*(1-EXP(-S13_PSP_Species_Support!AI19*4))^S13_PSP_Species_Support!AJ19)^2*(S13_PSP_Species_Support!AK19*(1-EXP(-S13_PSP_Species_Support!AL19*4))^S13_PSP_Species_Support!AM19))^0.976,0)+IFERROR(S13_PSP_Species_Support!AQ19*0.0673*(S13_PSP_Species_Support!AR19*(S13_PSP_Species_Support!AS19*(1-EXP(-S13_PSP_Species_Support!AT19*4))^S13_PSP_Species_Support!AU19)^2*(S13_PSP_Species_Support!AV19*(1-EXP(-S13_PSP_Species_Support!AW19*4))^S13_PSP_Species_Support!AX19))^0.976,0)+IFERROR(S13_PSP_Species_Support!BB19*0.0673*(S13_PSP_Species_Support!BC19*(S13_PSP_Species_Support!BD19*(1-EXP(-S13_PSP_Species_Support!BE19*4))^S13_PSP_Species_Support!BF19)^2*(S13_PSP_Species_Support!BG19*(1-EXP(-S13_PSP_Species_Support!BH19*4))^S13_PSP_Species_Support!BI19))^0.976,0)+IFERROR(S13_PSP_Species_Support!BM19*0.0673*(S13_PSP_Species_Support!BN19*(S13_PSP_Species_Support!BO19*(1-EXP(-S13_PSP_Species_Support!BP19*4))^S13_PSP_Species_Support!BQ19)^2*(S13_PSP_Species_Support!BR19*(1-EXP(-S13_PSP_Species_Support!BS19*4))^S13_PSP_Species_Support!BT19))^0.976,0)+IFERROR(S13_PSP_Species_Support!BX19*0.0673*(S13_PSP_Species_Support!BY19*(S13_PSP_Species_Support!BZ19*(1-EXP(-S13_PSP_Species_Support!CA19*4))^S13_PSP_Species_Support!CB19)^2*(S13_PSP_Species_Support!CC19*(1-EXP(-S13_PSP_Species_Support!CD19*4))^S13_PSP_Species_Support!CE19))^0.976,0)+IFERROR(S13_PSP_Species_Support!CI19*0.0673*(S13_PSP_Species_Support!CJ19*(S13_PSP_Species_Support!CK19*(1-EXP(-S13_PSP_Species_Support!CL19*4))^S13_PSP_Species_Support!CM19)^2*(S13_PSP_Species_Support!CN19*(1-EXP(-S13_PSP_Species_Support!CO19*4))^S13_PSP_Species_Support!CP19))^0.976,0)+IFERROR(S13_PSP_Species_Support!CT19*0.0673*(S13_PSP_Species_Support!CU19*(S13_PSP_Species_Support!CV19*(1-EXP(-S13_PSP_Species_Support!CW19*4))^S13_PSP_Species_Support!CX19)^2*(S13_PSP_Species_Support!CY19*(1-EXP(-S13_PSP_Species_Support!CZ19*4))^S13_PSP_Species_Support!DA19))^0.976,0))/1000/$G32*M$108,0)</x:f>
        <x:v>101.47130092144914</x:v>
      </x:c>
      <x:c r="N32" s="147" t="n">
        <x:f aca="0">IFERROR((IFERROR(S13_PSP_Species_Support!U19*0.0673*(S13_PSP_Species_Support!V19*(S13_PSP_Species_Support!W19*(1-EXP(-S13_PSP_Species_Support!X19*5))^S13_PSP_Species_Support!Y19)^2*(S13_PSP_Species_Support!Z19*(1-EXP(-S13_PSP_Species_Support!AA19*5))^S13_PSP_Species_Support!AB19))^0.976,0)+IFERROR(S13_PSP_Species_Support!AF19*0.0673*(S13_PSP_Species_Support!AG19*(S13_PSP_Species_Support!AH19*(1-EXP(-S13_PSP_Species_Support!AI19*5))^S13_PSP_Species_Support!AJ19)^2*(S13_PSP_Species_Support!AK19*(1-EXP(-S13_PSP_Species_Support!AL19*5))^S13_PSP_Species_Support!AM19))^0.976,0)+IFERROR(S13_PSP_Species_Support!AQ19*0.0673*(S13_PSP_Species_Support!AR19*(S13_PSP_Species_Support!AS19*(1-EXP(-S13_PSP_Species_Support!AT19*5))^S13_PSP_Species_Support!AU19)^2*(S13_PSP_Species_Support!AV19*(1-EXP(-S13_PSP_Species_Support!AW19*5))^S13_PSP_Species_Support!AX19))^0.976,0)+IFERROR(S13_PSP_Species_Support!BB19*0.0673*(S13_PSP_Species_Support!BC19*(S13_PSP_Species_Support!BD19*(1-EXP(-S13_PSP_Species_Support!BE19*5))^S13_PSP_Species_Support!BF19)^2*(S13_PSP_Species_Support!BG19*(1-EXP(-S13_PSP_Species_Support!BH19*5))^S13_PSP_Species_Support!BI19))^0.976,0)+IFERROR(S13_PSP_Species_Support!BM19*0.0673*(S13_PSP_Species_Support!BN19*(S13_PSP_Species_Support!BO19*(1-EXP(-S13_PSP_Species_Support!BP19*5))^S13_PSP_Species_Support!BQ19)^2*(S13_PSP_Species_Support!BR19*(1-EXP(-S13_PSP_Species_Support!BS19*5))^S13_PSP_Species_Support!BT19))^0.976,0)+IFERROR(S13_PSP_Species_Support!BX19*0.0673*(S13_PSP_Species_Support!BY19*(S13_PSP_Species_Support!BZ19*(1-EXP(-S13_PSP_Species_Support!CA19*5))^S13_PSP_Species_Support!CB19)^2*(S13_PSP_Species_Support!CC19*(1-EXP(-S13_PSP_Species_Support!CD19*5))^S13_PSP_Species_Support!CE19))^0.976,0)+IFERROR(S13_PSP_Species_Support!CI19*0.0673*(S13_PSP_Species_Support!CJ19*(S13_PSP_Species_Support!CK19*(1-EXP(-S13_PSP_Species_Support!CL19*5))^S13_PSP_Species_Support!CM19)^2*(S13_PSP_Species_Support!CN19*(1-EXP(-S13_PSP_Species_Support!CO19*5))^S13_PSP_Species_Support!CP19))^0.976,0)+IFERROR(S13_PSP_Species_Support!CT19*0.0673*(S13_PSP_Species_Support!CU19*(S13_PSP_Species_Support!CV19*(1-EXP(-S13_PSP_Species_Support!CW19*5))^S13_PSP_Species_Support!CX19)^2*(S13_PSP_Species_Support!CY19*(1-EXP(-S13_PSP_Species_Support!CZ19*5))^S13_PSP_Species_Support!DA19))^0.976,0))/1000/$G32*N$108,0)</x:f>
        <x:v>191.20595640450517</x:v>
      </x:c>
      <x:c r="O32" s="147" t="n">
        <x:f aca="0">IFERROR((IFERROR(S13_PSP_Species_Support!U19*0.0673*(S13_PSP_Species_Support!V19*(S13_PSP_Species_Support!W19*(1-EXP(-S13_PSP_Species_Support!X19*6))^S13_PSP_Species_Support!Y19)^2*(S13_PSP_Species_Support!Z19*(1-EXP(-S13_PSP_Species_Support!AA19*6))^S13_PSP_Species_Support!AB19))^0.976,0)+IFERROR(S13_PSP_Species_Support!AF19*0.0673*(S13_PSP_Species_Support!AG19*(S13_PSP_Species_Support!AH19*(1-EXP(-S13_PSP_Species_Support!AI19*6))^S13_PSP_Species_Support!AJ19)^2*(S13_PSP_Species_Support!AK19*(1-EXP(-S13_PSP_Species_Support!AL19*6))^S13_PSP_Species_Support!AM19))^0.976,0)+IFERROR(S13_PSP_Species_Support!AQ19*0.0673*(S13_PSP_Species_Support!AR19*(S13_PSP_Species_Support!AS19*(1-EXP(-S13_PSP_Species_Support!AT19*6))^S13_PSP_Species_Support!AU19)^2*(S13_PSP_Species_Support!AV19*(1-EXP(-S13_PSP_Species_Support!AW19*6))^S13_PSP_Species_Support!AX19))^0.976,0)+IFERROR(S13_PSP_Species_Support!BB19*0.0673*(S13_PSP_Species_Support!BC19*(S13_PSP_Species_Support!BD19*(1-EXP(-S13_PSP_Species_Support!BE19*6))^S13_PSP_Species_Support!BF19)^2*(S13_PSP_Species_Support!BG19*(1-EXP(-S13_PSP_Species_Support!BH19*6))^S13_PSP_Species_Support!BI19))^0.976,0)+IFERROR(S13_PSP_Species_Support!BM19*0.0673*(S13_PSP_Species_Support!BN19*(S13_PSP_Species_Support!BO19*(1-EXP(-S13_PSP_Species_Support!BP19*6))^S13_PSP_Species_Support!BQ19)^2*(S13_PSP_Species_Support!BR19*(1-EXP(-S13_PSP_Species_Support!BS19*6))^S13_PSP_Species_Support!BT19))^0.976,0)+IFERROR(S13_PSP_Species_Support!BX19*0.0673*(S13_PSP_Species_Support!BY19*(S13_PSP_Species_Support!BZ19*(1-EXP(-S13_PSP_Species_Support!CA19*6))^S13_PSP_Species_Support!CB19)^2*(S13_PSP_Species_Support!CC19*(1-EXP(-S13_PSP_Species_Support!CD19*6))^S13_PSP_Species_Support!CE19))^0.976,0)+IFERROR(S13_PSP_Species_Support!CI19*0.0673*(S13_PSP_Species_Support!CJ19*(S13_PSP_Species_Support!CK19*(1-EXP(-S13_PSP_Species_Support!CL19*6))^S13_PSP_Species_Support!CM19)^2*(S13_PSP_Species_Support!CN19*(1-EXP(-S13_PSP_Species_Support!CO19*6))^S13_PSP_Species_Support!CP19))^0.976,0)+IFERROR(S13_PSP_Species_Support!CT19*0.0673*(S13_PSP_Species_Support!CU19*(S13_PSP_Species_Support!CV19*(1-EXP(-S13_PSP_Species_Support!CW19*6))^S13_PSP_Species_Support!CX19)^2*(S13_PSP_Species_Support!CY19*(1-EXP(-S13_PSP_Species_Support!CZ19*6))^S13_PSP_Species_Support!DA19))^0.976,0))/1000/$G32*O$108,0)</x:f>
        <x:v>308.1639177579222</x:v>
      </x:c>
      <x:c r="P32" s="147" t="n">
        <x:f aca="0">IFERROR((IFERROR(S13_PSP_Species_Support!U19*0.0673*(S13_PSP_Species_Support!V19*(S13_PSP_Species_Support!W19*(1-EXP(-S13_PSP_Species_Support!X19*7))^S13_PSP_Species_Support!Y19)^2*(S13_PSP_Species_Support!Z19*(1-EXP(-S13_PSP_Species_Support!AA19*7))^S13_PSP_Species_Support!AB19))^0.976,0)+IFERROR(S13_PSP_Species_Support!AF19*0.0673*(S13_PSP_Species_Support!AG19*(S13_PSP_Species_Support!AH19*(1-EXP(-S13_PSP_Species_Support!AI19*7))^S13_PSP_Species_Support!AJ19)^2*(S13_PSP_Species_Support!AK19*(1-EXP(-S13_PSP_Species_Support!AL19*7))^S13_PSP_Species_Support!AM19))^0.976,0)+IFERROR(S13_PSP_Species_Support!AQ19*0.0673*(S13_PSP_Species_Support!AR19*(S13_PSP_Species_Support!AS19*(1-EXP(-S13_PSP_Species_Support!AT19*7))^S13_PSP_Species_Support!AU19)^2*(S13_PSP_Species_Support!AV19*(1-EXP(-S13_PSP_Species_Support!AW19*7))^S13_PSP_Species_Support!AX19))^0.976,0)+IFERROR(S13_PSP_Species_Support!BB19*0.0673*(S13_PSP_Species_Support!BC19*(S13_PSP_Species_Support!BD19*(1-EXP(-S13_PSP_Species_Support!BE19*7))^S13_PSP_Species_Support!BF19)^2*(S13_PSP_Species_Support!BG19*(1-EXP(-S13_PSP_Species_Support!BH19*7))^S13_PSP_Species_Support!BI19))^0.976,0)+IFERROR(S13_PSP_Species_Support!BM19*0.0673*(S13_PSP_Species_Support!BN19*(S13_PSP_Species_Support!BO19*(1-EXP(-S13_PSP_Species_Support!BP19*7))^S13_PSP_Species_Support!BQ19)^2*(S13_PSP_Species_Support!BR19*(1-EXP(-S13_PSP_Species_Support!BS19*7))^S13_PSP_Species_Support!BT19))^0.976,0)+IFERROR(S13_PSP_Species_Support!BX19*0.0673*(S13_PSP_Species_Support!BY19*(S13_PSP_Species_Support!BZ19*(1-EXP(-S13_PSP_Species_Support!CA19*7))^S13_PSP_Species_Support!CB19)^2*(S13_PSP_Species_Support!CC19*(1-EXP(-S13_PSP_Species_Support!CD19*7))^S13_PSP_Species_Support!CE19))^0.976,0)+IFERROR(S13_PSP_Species_Support!CI19*0.0673*(S13_PSP_Species_Support!CJ19*(S13_PSP_Species_Support!CK19*(1-EXP(-S13_PSP_Species_Support!CL19*7))^S13_PSP_Species_Support!CM19)^2*(S13_PSP_Species_Support!CN19*(1-EXP(-S13_PSP_Species_Support!CO19*7))^S13_PSP_Species_Support!CP19))^0.976,0)+IFERROR(S13_PSP_Species_Support!CT19*0.0673*(S13_PSP_Species_Support!CU19*(S13_PSP_Species_Support!CV19*(1-EXP(-S13_PSP_Species_Support!CW19*7))^S13_PSP_Species_Support!CX19)^2*(S13_PSP_Species_Support!CY19*(1-EXP(-S13_PSP_Species_Support!CZ19*7))^S13_PSP_Species_Support!DA19))^0.976,0))/1000/$G32*P$108,0)</x:f>
        <x:v>446.8183012035753</x:v>
      </x:c>
      <x:c r="Q32" s="147" t="n">
        <x:f aca="0">IFERROR((IFERROR(S13_PSP_Species_Support!U19*0.0673*(S13_PSP_Species_Support!V19*(S13_PSP_Species_Support!W19*(1-EXP(-S13_PSP_Species_Support!X19*8))^S13_PSP_Species_Support!Y19)^2*(S13_PSP_Species_Support!Z19*(1-EXP(-S13_PSP_Species_Support!AA19*8))^S13_PSP_Species_Support!AB19))^0.976,0)+IFERROR(S13_PSP_Species_Support!AF19*0.0673*(S13_PSP_Species_Support!AG19*(S13_PSP_Species_Support!AH19*(1-EXP(-S13_PSP_Species_Support!AI19*8))^S13_PSP_Species_Support!AJ19)^2*(S13_PSP_Species_Support!AK19*(1-EXP(-S13_PSP_Species_Support!AL19*8))^S13_PSP_Species_Support!AM19))^0.976,0)+IFERROR(S13_PSP_Species_Support!AQ19*0.0673*(S13_PSP_Species_Support!AR19*(S13_PSP_Species_Support!AS19*(1-EXP(-S13_PSP_Species_Support!AT19*8))^S13_PSP_Species_Support!AU19)^2*(S13_PSP_Species_Support!AV19*(1-EXP(-S13_PSP_Species_Support!AW19*8))^S13_PSP_Species_Support!AX19))^0.976,0)+IFERROR(S13_PSP_Species_Support!BB19*0.0673*(S13_PSP_Species_Support!BC19*(S13_PSP_Species_Support!BD19*(1-EXP(-S13_PSP_Species_Support!BE19*8))^S13_PSP_Species_Support!BF19)^2*(S13_PSP_Species_Support!BG19*(1-EXP(-S13_PSP_Species_Support!BH19*8))^S13_PSP_Species_Support!BI19))^0.976,0)+IFERROR(S13_PSP_Species_Support!BM19*0.0673*(S13_PSP_Species_Support!BN19*(S13_PSP_Species_Support!BO19*(1-EXP(-S13_PSP_Species_Support!BP19*8))^S13_PSP_Species_Support!BQ19)^2*(S13_PSP_Species_Support!BR19*(1-EXP(-S13_PSP_Species_Support!BS19*8))^S13_PSP_Species_Support!BT19))^0.976,0)+IFERROR(S13_PSP_Species_Support!BX19*0.0673*(S13_PSP_Species_Support!BY19*(S13_PSP_Species_Support!BZ19*(1-EXP(-S13_PSP_Species_Support!CA19*8))^S13_PSP_Species_Support!CB19)^2*(S13_PSP_Species_Support!CC19*(1-EXP(-S13_PSP_Species_Support!CD19*8))^S13_PSP_Species_Support!CE19))^0.976,0)+IFERROR(S13_PSP_Species_Support!CI19*0.0673*(S13_PSP_Species_Support!CJ19*(S13_PSP_Species_Support!CK19*(1-EXP(-S13_PSP_Species_Support!CL19*8))^S13_PSP_Species_Support!CM19)^2*(S13_PSP_Species_Support!CN19*(1-EXP(-S13_PSP_Species_Support!CO19*8))^S13_PSP_Species_Support!CP19))^0.976,0)+IFERROR(S13_PSP_Species_Support!CT19*0.0673*(S13_PSP_Species_Support!CU19*(S13_PSP_Species_Support!CV19*(1-EXP(-S13_PSP_Species_Support!CW19*8))^S13_PSP_Species_Support!CX19)^2*(S13_PSP_Species_Support!CY19*(1-EXP(-S13_PSP_Species_Support!CZ19*8))^S13_PSP_Species_Support!DA19))^0.976,0))/1000/$G32*Q$108,0)</x:f>
        <x:v>600.6578597563739</x:v>
      </x:c>
      <x:c r="R32" s="147" t="n">
        <x:f aca="0">IFERROR((IFERROR(S13_PSP_Species_Support!U19*0.0673*(S13_PSP_Species_Support!V19*(S13_PSP_Species_Support!W19*(1-EXP(-S13_PSP_Species_Support!X19*9))^S13_PSP_Species_Support!Y19)^2*(S13_PSP_Species_Support!Z19*(1-EXP(-S13_PSP_Species_Support!AA19*9))^S13_PSP_Species_Support!AB19))^0.976,0)+IFERROR(S13_PSP_Species_Support!AF19*0.0673*(S13_PSP_Species_Support!AG19*(S13_PSP_Species_Support!AH19*(1-EXP(-S13_PSP_Species_Support!AI19*9))^S13_PSP_Species_Support!AJ19)^2*(S13_PSP_Species_Support!AK19*(1-EXP(-S13_PSP_Species_Support!AL19*9))^S13_PSP_Species_Support!AM19))^0.976,0)+IFERROR(S13_PSP_Species_Support!AQ19*0.0673*(S13_PSP_Species_Support!AR19*(S13_PSP_Species_Support!AS19*(1-EXP(-S13_PSP_Species_Support!AT19*9))^S13_PSP_Species_Support!AU19)^2*(S13_PSP_Species_Support!AV19*(1-EXP(-S13_PSP_Species_Support!AW19*9))^S13_PSP_Species_Support!AX19))^0.976,0)+IFERROR(S13_PSP_Species_Support!BB19*0.0673*(S13_PSP_Species_Support!BC19*(S13_PSP_Species_Support!BD19*(1-EXP(-S13_PSP_Species_Support!BE19*9))^S13_PSP_Species_Support!BF19)^2*(S13_PSP_Species_Support!BG19*(1-EXP(-S13_PSP_Species_Support!BH19*9))^S13_PSP_Species_Support!BI19))^0.976,0)+IFERROR(S13_PSP_Species_Support!BM19*0.0673*(S13_PSP_Species_Support!BN19*(S13_PSP_Species_Support!BO19*(1-EXP(-S13_PSP_Species_Support!BP19*9))^S13_PSP_Species_Support!BQ19)^2*(S13_PSP_Species_Support!BR19*(1-EXP(-S13_PSP_Species_Support!BS19*9))^S13_PSP_Species_Support!BT19))^0.976,0)+IFERROR(S13_PSP_Species_Support!BX19*0.0673*(S13_PSP_Species_Support!BY19*(S13_PSP_Species_Support!BZ19*(1-EXP(-S13_PSP_Species_Support!CA19*9))^S13_PSP_Species_Support!CB19)^2*(S13_PSP_Species_Support!CC19*(1-EXP(-S13_PSP_Species_Support!CD19*9))^S13_PSP_Species_Support!CE19))^0.976,0)+IFERROR(S13_PSP_Species_Support!CI19*0.0673*(S13_PSP_Species_Support!CJ19*(S13_PSP_Species_Support!CK19*(1-EXP(-S13_PSP_Species_Support!CL19*9))^S13_PSP_Species_Support!CM19)^2*(S13_PSP_Species_Support!CN19*(1-EXP(-S13_PSP_Species_Support!CO19*9))^S13_PSP_Species_Support!CP19))^0.976,0)+IFERROR(S13_PSP_Species_Support!CT19*0.0673*(S13_PSP_Species_Support!CU19*(S13_PSP_Species_Support!CV19*(1-EXP(-S13_PSP_Species_Support!CW19*9))^S13_PSP_Species_Support!CX19)^2*(S13_PSP_Species_Support!CY19*(1-EXP(-S13_PSP_Species_Support!CZ19*9))^S13_PSP_Species_Support!DA19))^0.976,0))/1000/$G32*R$108,0)</x:f>
        <x:v>763.2810757419251</x:v>
      </x:c>
      <x:c r="S32" s="147" t="n">
        <x:f aca="0">IFERROR((IFERROR(S13_PSP_Species_Support!U19*0.0673*(S13_PSP_Species_Support!V19*(S13_PSP_Species_Support!W19*(1-EXP(-S13_PSP_Species_Support!X19*10))^S13_PSP_Species_Support!Y19)^2*(S13_PSP_Species_Support!Z19*(1-EXP(-S13_PSP_Species_Support!AA19*10))^S13_PSP_Species_Support!AB19))^0.976,0)+IFERROR(S13_PSP_Species_Support!AF19*0.0673*(S13_PSP_Species_Support!AG19*(S13_PSP_Species_Support!AH19*(1-EXP(-S13_PSP_Species_Support!AI19*10))^S13_PSP_Species_Support!AJ19)^2*(S13_PSP_Species_Support!AK19*(1-EXP(-S13_PSP_Species_Support!AL19*10))^S13_PSP_Species_Support!AM19))^0.976,0)+IFERROR(S13_PSP_Species_Support!AQ19*0.0673*(S13_PSP_Species_Support!AR19*(S13_PSP_Species_Support!AS19*(1-EXP(-S13_PSP_Species_Support!AT19*10))^S13_PSP_Species_Support!AU19)^2*(S13_PSP_Species_Support!AV19*(1-EXP(-S13_PSP_Species_Support!AW19*10))^S13_PSP_Species_Support!AX19))^0.976,0)+IFERROR(S13_PSP_Species_Support!BB19*0.0673*(S13_PSP_Species_Support!BC19*(S13_PSP_Species_Support!BD19*(1-EXP(-S13_PSP_Species_Support!BE19*10))^S13_PSP_Species_Support!BF19)^2*(S13_PSP_Species_Support!BG19*(1-EXP(-S13_PSP_Species_Support!BH19*10))^S13_PSP_Species_Support!BI19))^0.976,0)+IFERROR(S13_PSP_Species_Support!BM19*0.0673*(S13_PSP_Species_Support!BN19*(S13_PSP_Species_Support!BO19*(1-EXP(-S13_PSP_Species_Support!BP19*10))^S13_PSP_Species_Support!BQ19)^2*(S13_PSP_Species_Support!BR19*(1-EXP(-S13_PSP_Species_Support!BS19*10))^S13_PSP_Species_Support!BT19))^0.976,0)+IFERROR(S13_PSP_Species_Support!BX19*0.0673*(S13_PSP_Species_Support!BY19*(S13_PSP_Species_Support!BZ19*(1-EXP(-S13_PSP_Species_Support!CA19*10))^S13_PSP_Species_Support!CB19)^2*(S13_PSP_Species_Support!CC19*(1-EXP(-S13_PSP_Species_Support!CD19*10))^S13_PSP_Species_Support!CE19))^0.976,0)+IFERROR(S13_PSP_Species_Support!CI19*0.0673*(S13_PSP_Species_Support!CJ19*(S13_PSP_Species_Support!CK19*(1-EXP(-S13_PSP_Species_Support!CL19*10))^S13_PSP_Species_Support!CM19)^2*(S13_PSP_Species_Support!CN19*(1-EXP(-S13_PSP_Species_Support!CO19*10))^S13_PSP_Species_Support!CP19))^0.976,0)+IFERROR(S13_PSP_Species_Support!CT19*0.0673*(S13_PSP_Species_Support!CU19*(S13_PSP_Species_Support!CV19*(1-EXP(-S13_PSP_Species_Support!CW19*10))^S13_PSP_Species_Support!CX19)^2*(S13_PSP_Species_Support!CY19*(1-EXP(-S13_PSP_Species_Support!CZ19*10))^S13_PSP_Species_Support!DA19))^0.976,0))/1000/$G32*S$108,0)</x:f>
        <x:v>929.0238493432093</x:v>
      </x:c>
      <x:c r="T32" s="147" t="n">
        <x:f aca="0">IFERROR((IFERROR(S13_PSP_Species_Support!U19*0.0673*(S13_PSP_Species_Support!V19*(S13_PSP_Species_Support!W19*(1-EXP(-S13_PSP_Species_Support!X19*11))^S13_PSP_Species_Support!Y19)^2*(S13_PSP_Species_Support!Z19*(1-EXP(-S13_PSP_Species_Support!AA19*11))^S13_PSP_Species_Support!AB19))^0.976,0)+IFERROR(S13_PSP_Species_Support!AF19*0.0673*(S13_PSP_Species_Support!AG19*(S13_PSP_Species_Support!AH19*(1-EXP(-S13_PSP_Species_Support!AI19*11))^S13_PSP_Species_Support!AJ19)^2*(S13_PSP_Species_Support!AK19*(1-EXP(-S13_PSP_Species_Support!AL19*11))^S13_PSP_Species_Support!AM19))^0.976,0)+IFERROR(S13_PSP_Species_Support!AQ19*0.0673*(S13_PSP_Species_Support!AR19*(S13_PSP_Species_Support!AS19*(1-EXP(-S13_PSP_Species_Support!AT19*11))^S13_PSP_Species_Support!AU19)^2*(S13_PSP_Species_Support!AV19*(1-EXP(-S13_PSP_Species_Support!AW19*11))^S13_PSP_Species_Support!AX19))^0.976,0)+IFERROR(S13_PSP_Species_Support!BB19*0.0673*(S13_PSP_Species_Support!BC19*(S13_PSP_Species_Support!BD19*(1-EXP(-S13_PSP_Species_Support!BE19*11))^S13_PSP_Species_Support!BF19)^2*(S13_PSP_Species_Support!BG19*(1-EXP(-S13_PSP_Species_Support!BH19*11))^S13_PSP_Species_Support!BI19))^0.976,0)+IFERROR(S13_PSP_Species_Support!BM19*0.0673*(S13_PSP_Species_Support!BN19*(S13_PSP_Species_Support!BO19*(1-EXP(-S13_PSP_Species_Support!BP19*11))^S13_PSP_Species_Support!BQ19)^2*(S13_PSP_Species_Support!BR19*(1-EXP(-S13_PSP_Species_Support!BS19*11))^S13_PSP_Species_Support!BT19))^0.976,0)+IFERROR(S13_PSP_Species_Support!BX19*0.0673*(S13_PSP_Species_Support!BY19*(S13_PSP_Species_Support!BZ19*(1-EXP(-S13_PSP_Species_Support!CA19*11))^S13_PSP_Species_Support!CB19)^2*(S13_PSP_Species_Support!CC19*(1-EXP(-S13_PSP_Species_Support!CD19*11))^S13_PSP_Species_Support!CE19))^0.976,0)+IFERROR(S13_PSP_Species_Support!CI19*0.0673*(S13_PSP_Species_Support!CJ19*(S13_PSP_Species_Support!CK19*(1-EXP(-S13_PSP_Species_Support!CL19*11))^S13_PSP_Species_Support!CM19)^2*(S13_PSP_Species_Support!CN19*(1-EXP(-S13_PSP_Species_Support!CO19*11))^S13_PSP_Species_Support!CP19))^0.976,0)+IFERROR(S13_PSP_Species_Support!CT19*0.0673*(S13_PSP_Species_Support!CU19*(S13_PSP_Species_Support!CV19*(1-EXP(-S13_PSP_Species_Support!CW19*11))^S13_PSP_Species_Support!CX19)^2*(S13_PSP_Species_Support!CY19*(1-EXP(-S13_PSP_Species_Support!CZ19*11))^S13_PSP_Species_Support!DA19))^0.976,0))/1000/$G32*T$108,0)</x:f>
        <x:v>1093.2423656350766</x:v>
      </x:c>
      <x:c r="U32" s="147" t="n">
        <x:f aca="0">IFERROR((IFERROR(S13_PSP_Species_Support!U19*0.0673*(S13_PSP_Species_Support!V19*(S13_PSP_Species_Support!W19*(1-EXP(-S13_PSP_Species_Support!X19*12))^S13_PSP_Species_Support!Y19)^2*(S13_PSP_Species_Support!Z19*(1-EXP(-S13_PSP_Species_Support!AA19*12))^S13_PSP_Species_Support!AB19))^0.976,0)+IFERROR(S13_PSP_Species_Support!AF19*0.0673*(S13_PSP_Species_Support!AG19*(S13_PSP_Species_Support!AH19*(1-EXP(-S13_PSP_Species_Support!AI19*12))^S13_PSP_Species_Support!AJ19)^2*(S13_PSP_Species_Support!AK19*(1-EXP(-S13_PSP_Species_Support!AL19*12))^S13_PSP_Species_Support!AM19))^0.976,0)+IFERROR(S13_PSP_Species_Support!AQ19*0.0673*(S13_PSP_Species_Support!AR19*(S13_PSP_Species_Support!AS19*(1-EXP(-S13_PSP_Species_Support!AT19*12))^S13_PSP_Species_Support!AU19)^2*(S13_PSP_Species_Support!AV19*(1-EXP(-S13_PSP_Species_Support!AW19*12))^S13_PSP_Species_Support!AX19))^0.976,0)+IFERROR(S13_PSP_Species_Support!BB19*0.0673*(S13_PSP_Species_Support!BC19*(S13_PSP_Species_Support!BD19*(1-EXP(-S13_PSP_Species_Support!BE19*12))^S13_PSP_Species_Support!BF19)^2*(S13_PSP_Species_Support!BG19*(1-EXP(-S13_PSP_Species_Support!BH19*12))^S13_PSP_Species_Support!BI19))^0.976,0)+IFERROR(S13_PSP_Species_Support!BM19*0.0673*(S13_PSP_Species_Support!BN19*(S13_PSP_Species_Support!BO19*(1-EXP(-S13_PSP_Species_Support!BP19*12))^S13_PSP_Species_Support!BQ19)^2*(S13_PSP_Species_Support!BR19*(1-EXP(-S13_PSP_Species_Support!BS19*12))^S13_PSP_Species_Support!BT19))^0.976,0)+IFERROR(S13_PSP_Species_Support!BX19*0.0673*(S13_PSP_Species_Support!BY19*(S13_PSP_Species_Support!BZ19*(1-EXP(-S13_PSP_Species_Support!CA19*12))^S13_PSP_Species_Support!CB19)^2*(S13_PSP_Species_Support!CC19*(1-EXP(-S13_PSP_Species_Support!CD19*12))^S13_PSP_Species_Support!CE19))^0.976,0)+IFERROR(S13_PSP_Species_Support!CI19*0.0673*(S13_PSP_Species_Support!CJ19*(S13_PSP_Species_Support!CK19*(1-EXP(-S13_PSP_Species_Support!CL19*12))^S13_PSP_Species_Support!CM19)^2*(S13_PSP_Species_Support!CN19*(1-EXP(-S13_PSP_Species_Support!CO19*12))^S13_PSP_Species_Support!CP19))^0.976,0)+IFERROR(S13_PSP_Species_Support!CT19*0.0673*(S13_PSP_Species_Support!CU19*(S13_PSP_Species_Support!CV19*(1-EXP(-S13_PSP_Species_Support!CW19*12))^S13_PSP_Species_Support!CX19)^2*(S13_PSP_Species_Support!CY19*(1-EXP(-S13_PSP_Species_Support!CZ19*12))^S13_PSP_Species_Support!DA19))^0.976,0))/1000/$G32*U$108,0)</x:f>
        <x:v>1252.3710475293253</x:v>
      </x:c>
      <x:c r="V32" s="147" t="n">
        <x:f aca="0">IFERROR((IFERROR(S13_PSP_Species_Support!U19*0.0673*(S13_PSP_Species_Support!V19*(S13_PSP_Species_Support!W19*(1-EXP(-S13_PSP_Species_Support!X19*13))^S13_PSP_Species_Support!Y19)^2*(S13_PSP_Species_Support!Z19*(1-EXP(-S13_PSP_Species_Support!AA19*13))^S13_PSP_Species_Support!AB19))^0.976,0)+IFERROR(S13_PSP_Species_Support!AF19*0.0673*(S13_PSP_Species_Support!AG19*(S13_PSP_Species_Support!AH19*(1-EXP(-S13_PSP_Species_Support!AI19*13))^S13_PSP_Species_Support!AJ19)^2*(S13_PSP_Species_Support!AK19*(1-EXP(-S13_PSP_Species_Support!AL19*13))^S13_PSP_Species_Support!AM19))^0.976,0)+IFERROR(S13_PSP_Species_Support!AQ19*0.0673*(S13_PSP_Species_Support!AR19*(S13_PSP_Species_Support!AS19*(1-EXP(-S13_PSP_Species_Support!AT19*13))^S13_PSP_Species_Support!AU19)^2*(S13_PSP_Species_Support!AV19*(1-EXP(-S13_PSP_Species_Support!AW19*13))^S13_PSP_Species_Support!AX19))^0.976,0)+IFERROR(S13_PSP_Species_Support!BB19*0.0673*(S13_PSP_Species_Support!BC19*(S13_PSP_Species_Support!BD19*(1-EXP(-S13_PSP_Species_Support!BE19*13))^S13_PSP_Species_Support!BF19)^2*(S13_PSP_Species_Support!BG19*(1-EXP(-S13_PSP_Species_Support!BH19*13))^S13_PSP_Species_Support!BI19))^0.976,0)+IFERROR(S13_PSP_Species_Support!BM19*0.0673*(S13_PSP_Species_Support!BN19*(S13_PSP_Species_Support!BO19*(1-EXP(-S13_PSP_Species_Support!BP19*13))^S13_PSP_Species_Support!BQ19)^2*(S13_PSP_Species_Support!BR19*(1-EXP(-S13_PSP_Species_Support!BS19*13))^S13_PSP_Species_Support!BT19))^0.976,0)+IFERROR(S13_PSP_Species_Support!BX19*0.0673*(S13_PSP_Species_Support!BY19*(S13_PSP_Species_Support!BZ19*(1-EXP(-S13_PSP_Species_Support!CA19*13))^S13_PSP_Species_Support!CB19)^2*(S13_PSP_Species_Support!CC19*(1-EXP(-S13_PSP_Species_Support!CD19*13))^S13_PSP_Species_Support!CE19))^0.976,0)+IFERROR(S13_PSP_Species_Support!CI19*0.0673*(S13_PSP_Species_Support!CJ19*(S13_PSP_Species_Support!CK19*(1-EXP(-S13_PSP_Species_Support!CL19*13))^S13_PSP_Species_Support!CM19)^2*(S13_PSP_Species_Support!CN19*(1-EXP(-S13_PSP_Species_Support!CO19*13))^S13_PSP_Species_Support!CP19))^0.976,0)+IFERROR(S13_PSP_Species_Support!CT19*0.0673*(S13_PSP_Species_Support!CU19*(S13_PSP_Species_Support!CV19*(1-EXP(-S13_PSP_Species_Support!CW19*13))^S13_PSP_Species_Support!CX19)^2*(S13_PSP_Species_Support!CY19*(1-EXP(-S13_PSP_Species_Support!CZ19*13))^S13_PSP_Species_Support!DA19))^0.976,0))/1000/$G32*V$108,0)</x:f>
        <x:v>1403.8501321196777</x:v>
      </x:c>
      <x:c r="W32" s="147" t="n">
        <x:f aca="0">IFERROR((IFERROR(S13_PSP_Species_Support!U19*0.0673*(S13_PSP_Species_Support!V19*(S13_PSP_Species_Support!W19*(1-EXP(-S13_PSP_Species_Support!X19*14))^S13_PSP_Species_Support!Y19)^2*(S13_PSP_Species_Support!Z19*(1-EXP(-S13_PSP_Species_Support!AA19*14))^S13_PSP_Species_Support!AB19))^0.976,0)+IFERROR(S13_PSP_Species_Support!AF19*0.0673*(S13_PSP_Species_Support!AG19*(S13_PSP_Species_Support!AH19*(1-EXP(-S13_PSP_Species_Support!AI19*14))^S13_PSP_Species_Support!AJ19)^2*(S13_PSP_Species_Support!AK19*(1-EXP(-S13_PSP_Species_Support!AL19*14))^S13_PSP_Species_Support!AM19))^0.976,0)+IFERROR(S13_PSP_Species_Support!AQ19*0.0673*(S13_PSP_Species_Support!AR19*(S13_PSP_Species_Support!AS19*(1-EXP(-S13_PSP_Species_Support!AT19*14))^S13_PSP_Species_Support!AU19)^2*(S13_PSP_Species_Support!AV19*(1-EXP(-S13_PSP_Species_Support!AW19*14))^S13_PSP_Species_Support!AX19))^0.976,0)+IFERROR(S13_PSP_Species_Support!BB19*0.0673*(S13_PSP_Species_Support!BC19*(S13_PSP_Species_Support!BD19*(1-EXP(-S13_PSP_Species_Support!BE19*14))^S13_PSP_Species_Support!BF19)^2*(S13_PSP_Species_Support!BG19*(1-EXP(-S13_PSP_Species_Support!BH19*14))^S13_PSP_Species_Support!BI19))^0.976,0)+IFERROR(S13_PSP_Species_Support!BM19*0.0673*(S13_PSP_Species_Support!BN19*(S13_PSP_Species_Support!BO19*(1-EXP(-S13_PSP_Species_Support!BP19*14))^S13_PSP_Species_Support!BQ19)^2*(S13_PSP_Species_Support!BR19*(1-EXP(-S13_PSP_Species_Support!BS19*14))^S13_PSP_Species_Support!BT19))^0.976,0)+IFERROR(S13_PSP_Species_Support!BX19*0.0673*(S13_PSP_Species_Support!BY19*(S13_PSP_Species_Support!BZ19*(1-EXP(-S13_PSP_Species_Support!CA19*14))^S13_PSP_Species_Support!CB19)^2*(S13_PSP_Species_Support!CC19*(1-EXP(-S13_PSP_Species_Support!CD19*14))^S13_PSP_Species_Support!CE19))^0.976,0)+IFERROR(S13_PSP_Species_Support!CI19*0.0673*(S13_PSP_Species_Support!CJ19*(S13_PSP_Species_Support!CK19*(1-EXP(-S13_PSP_Species_Support!CL19*14))^S13_PSP_Species_Support!CM19)^2*(S13_PSP_Species_Support!CN19*(1-EXP(-S13_PSP_Species_Support!CO19*14))^S13_PSP_Species_Support!CP19))^0.976,0)+IFERROR(S13_PSP_Species_Support!CT19*0.0673*(S13_PSP_Species_Support!CU19*(S13_PSP_Species_Support!CV19*(1-EXP(-S13_PSP_Species_Support!CW19*14))^S13_PSP_Species_Support!CX19)^2*(S13_PSP_Species_Support!CY19*(1-EXP(-S13_PSP_Species_Support!CZ19*14))^S13_PSP_Species_Support!DA19))^0.976,0))/1000/$G32*W$108,0)</x:f>
        <x:v>1545.9890779073232</x:v>
      </x:c>
      <x:c r="X32" s="147" t="n">
        <x:f aca="0">IFERROR((IFERROR(S13_PSP_Species_Support!U19*0.0673*(S13_PSP_Species_Support!V19*(S13_PSP_Species_Support!W19*(1-EXP(-S13_PSP_Species_Support!X19*15))^S13_PSP_Species_Support!Y19)^2*(S13_PSP_Species_Support!Z19*(1-EXP(-S13_PSP_Species_Support!AA19*15))^S13_PSP_Species_Support!AB19))^0.976,0)+IFERROR(S13_PSP_Species_Support!AF19*0.0673*(S13_PSP_Species_Support!AG19*(S13_PSP_Species_Support!AH19*(1-EXP(-S13_PSP_Species_Support!AI19*15))^S13_PSP_Species_Support!AJ19)^2*(S13_PSP_Species_Support!AK19*(1-EXP(-S13_PSP_Species_Support!AL19*15))^S13_PSP_Species_Support!AM19))^0.976,0)+IFERROR(S13_PSP_Species_Support!AQ19*0.0673*(S13_PSP_Species_Support!AR19*(S13_PSP_Species_Support!AS19*(1-EXP(-S13_PSP_Species_Support!AT19*15))^S13_PSP_Species_Support!AU19)^2*(S13_PSP_Species_Support!AV19*(1-EXP(-S13_PSP_Species_Support!AW19*15))^S13_PSP_Species_Support!AX19))^0.976,0)+IFERROR(S13_PSP_Species_Support!BB19*0.0673*(S13_PSP_Species_Support!BC19*(S13_PSP_Species_Support!BD19*(1-EXP(-S13_PSP_Species_Support!BE19*15))^S13_PSP_Species_Support!BF19)^2*(S13_PSP_Species_Support!BG19*(1-EXP(-S13_PSP_Species_Support!BH19*15))^S13_PSP_Species_Support!BI19))^0.976,0)+IFERROR(S13_PSP_Species_Support!BM19*0.0673*(S13_PSP_Species_Support!BN19*(S13_PSP_Species_Support!BO19*(1-EXP(-S13_PSP_Species_Support!BP19*15))^S13_PSP_Species_Support!BQ19)^2*(S13_PSP_Species_Support!BR19*(1-EXP(-S13_PSP_Species_Support!BS19*15))^S13_PSP_Species_Support!BT19))^0.976,0)+IFERROR(S13_PSP_Species_Support!BX19*0.0673*(S13_PSP_Species_Support!BY19*(S13_PSP_Species_Support!BZ19*(1-EXP(-S13_PSP_Species_Support!CA19*15))^S13_PSP_Species_Support!CB19)^2*(S13_PSP_Species_Support!CC19*(1-EXP(-S13_PSP_Species_Support!CD19*15))^S13_PSP_Species_Support!CE19))^0.976,0)+IFERROR(S13_PSP_Species_Support!CI19*0.0673*(S13_PSP_Species_Support!CJ19*(S13_PSP_Species_Support!CK19*(1-EXP(-S13_PSP_Species_Support!CL19*15))^S13_PSP_Species_Support!CM19)^2*(S13_PSP_Species_Support!CN19*(1-EXP(-S13_PSP_Species_Support!CO19*15))^S13_PSP_Species_Support!CP19))^0.976,0)+IFERROR(S13_PSP_Species_Support!CT19*0.0673*(S13_PSP_Species_Support!CU19*(S13_PSP_Species_Support!CV19*(1-EXP(-S13_PSP_Species_Support!CW19*15))^S13_PSP_Species_Support!CX19)^2*(S13_PSP_Species_Support!CY19*(1-EXP(-S13_PSP_Species_Support!CZ19*15))^S13_PSP_Species_Support!DA19))^0.976,0))/1000/$G32*X$108,0)</x:f>
        <x:v>1677.8082240487215</x:v>
      </x:c>
      <x:c r="Y32" s="147" t="n">
        <x:f aca="0">IFERROR((IFERROR(S13_PSP_Species_Support!U19*0.0673*(S13_PSP_Species_Support!V19*(S13_PSP_Species_Support!W19*(1-EXP(-S13_PSP_Species_Support!X19*16))^S13_PSP_Species_Support!Y19)^2*(S13_PSP_Species_Support!Z19*(1-EXP(-S13_PSP_Species_Support!AA19*16))^S13_PSP_Species_Support!AB19))^0.976,0)+IFERROR(S13_PSP_Species_Support!AF19*0.0673*(S13_PSP_Species_Support!AG19*(S13_PSP_Species_Support!AH19*(1-EXP(-S13_PSP_Species_Support!AI19*16))^S13_PSP_Species_Support!AJ19)^2*(S13_PSP_Species_Support!AK19*(1-EXP(-S13_PSP_Species_Support!AL19*16))^S13_PSP_Species_Support!AM19))^0.976,0)+IFERROR(S13_PSP_Species_Support!AQ19*0.0673*(S13_PSP_Species_Support!AR19*(S13_PSP_Species_Support!AS19*(1-EXP(-S13_PSP_Species_Support!AT19*16))^S13_PSP_Species_Support!AU19)^2*(S13_PSP_Species_Support!AV19*(1-EXP(-S13_PSP_Species_Support!AW19*16))^S13_PSP_Species_Support!AX19))^0.976,0)+IFERROR(S13_PSP_Species_Support!BB19*0.0673*(S13_PSP_Species_Support!BC19*(S13_PSP_Species_Support!BD19*(1-EXP(-S13_PSP_Species_Support!BE19*16))^S13_PSP_Species_Support!BF19)^2*(S13_PSP_Species_Support!BG19*(1-EXP(-S13_PSP_Species_Support!BH19*16))^S13_PSP_Species_Support!BI19))^0.976,0)+IFERROR(S13_PSP_Species_Support!BM19*0.0673*(S13_PSP_Species_Support!BN19*(S13_PSP_Species_Support!BO19*(1-EXP(-S13_PSP_Species_Support!BP19*16))^S13_PSP_Species_Support!BQ19)^2*(S13_PSP_Species_Support!BR19*(1-EXP(-S13_PSP_Species_Support!BS19*16))^S13_PSP_Species_Support!BT19))^0.976,0)+IFERROR(S13_PSP_Species_Support!BX19*0.0673*(S13_PSP_Species_Support!BY19*(S13_PSP_Species_Support!BZ19*(1-EXP(-S13_PSP_Species_Support!CA19*16))^S13_PSP_Species_Support!CB19)^2*(S13_PSP_Species_Support!CC19*(1-EXP(-S13_PSP_Species_Support!CD19*16))^S13_PSP_Species_Support!CE19))^0.976,0)+IFERROR(S13_PSP_Species_Support!CI19*0.0673*(S13_PSP_Species_Support!CJ19*(S13_PSP_Species_Support!CK19*(1-EXP(-S13_PSP_Species_Support!CL19*16))^S13_PSP_Species_Support!CM19)^2*(S13_PSP_Species_Support!CN19*(1-EXP(-S13_PSP_Species_Support!CO19*16))^S13_PSP_Species_Support!CP19))^0.976,0)+IFERROR(S13_PSP_Species_Support!CT19*0.0673*(S13_PSP_Species_Support!CU19*(S13_PSP_Species_Support!CV19*(1-EXP(-S13_PSP_Species_Support!CW19*16))^S13_PSP_Species_Support!CX19)^2*(S13_PSP_Species_Support!CY19*(1-EXP(-S13_PSP_Species_Support!CZ19*16))^S13_PSP_Species_Support!DA19))^0.976,0))/1000/$G32*Y$108,0)</x:f>
        <x:v>1798.8835581360559</x:v>
      </x:c>
      <x:c r="Z32" s="147" t="n">
        <x:f aca="0">IFERROR((IFERROR(S13_PSP_Species_Support!U19*0.0673*(S13_PSP_Species_Support!V19*(S13_PSP_Species_Support!W19*(1-EXP(-S13_PSP_Species_Support!X19*17))^S13_PSP_Species_Support!Y19)^2*(S13_PSP_Species_Support!Z19*(1-EXP(-S13_PSP_Species_Support!AA19*17))^S13_PSP_Species_Support!AB19))^0.976,0)+IFERROR(S13_PSP_Species_Support!AF19*0.0673*(S13_PSP_Species_Support!AG19*(S13_PSP_Species_Support!AH19*(1-EXP(-S13_PSP_Species_Support!AI19*17))^S13_PSP_Species_Support!AJ19)^2*(S13_PSP_Species_Support!AK19*(1-EXP(-S13_PSP_Species_Support!AL19*17))^S13_PSP_Species_Support!AM19))^0.976,0)+IFERROR(S13_PSP_Species_Support!AQ19*0.0673*(S13_PSP_Species_Support!AR19*(S13_PSP_Species_Support!AS19*(1-EXP(-S13_PSP_Species_Support!AT19*17))^S13_PSP_Species_Support!AU19)^2*(S13_PSP_Species_Support!AV19*(1-EXP(-S13_PSP_Species_Support!AW19*17))^S13_PSP_Species_Support!AX19))^0.976,0)+IFERROR(S13_PSP_Species_Support!BB19*0.0673*(S13_PSP_Species_Support!BC19*(S13_PSP_Species_Support!BD19*(1-EXP(-S13_PSP_Species_Support!BE19*17))^S13_PSP_Species_Support!BF19)^2*(S13_PSP_Species_Support!BG19*(1-EXP(-S13_PSP_Species_Support!BH19*17))^S13_PSP_Species_Support!BI19))^0.976,0)+IFERROR(S13_PSP_Species_Support!BM19*0.0673*(S13_PSP_Species_Support!BN19*(S13_PSP_Species_Support!BO19*(1-EXP(-S13_PSP_Species_Support!BP19*17))^S13_PSP_Species_Support!BQ19)^2*(S13_PSP_Species_Support!BR19*(1-EXP(-S13_PSP_Species_Support!BS19*17))^S13_PSP_Species_Support!BT19))^0.976,0)+IFERROR(S13_PSP_Species_Support!BX19*0.0673*(S13_PSP_Species_Support!BY19*(S13_PSP_Species_Support!BZ19*(1-EXP(-S13_PSP_Species_Support!CA19*17))^S13_PSP_Species_Support!CB19)^2*(S13_PSP_Species_Support!CC19*(1-EXP(-S13_PSP_Species_Support!CD19*17))^S13_PSP_Species_Support!CE19))^0.976,0)+IFERROR(S13_PSP_Species_Support!CI19*0.0673*(S13_PSP_Species_Support!CJ19*(S13_PSP_Species_Support!CK19*(1-EXP(-S13_PSP_Species_Support!CL19*17))^S13_PSP_Species_Support!CM19)^2*(S13_PSP_Species_Support!CN19*(1-EXP(-S13_PSP_Species_Support!CO19*17))^S13_PSP_Species_Support!CP19))^0.976,0)+IFERROR(S13_PSP_Species_Support!CT19*0.0673*(S13_PSP_Species_Support!CU19*(S13_PSP_Species_Support!CV19*(1-EXP(-S13_PSP_Species_Support!CW19*17))^S13_PSP_Species_Support!CX19)^2*(S13_PSP_Species_Support!CY19*(1-EXP(-S13_PSP_Species_Support!CZ19*17))^S13_PSP_Species_Support!DA19))^0.976,0))/1000/$G32*Z$108,0)</x:f>
        <x:v>1909.207507075122</x:v>
      </x:c>
      <x:c r="AA32" s="147" t="n">
        <x:f aca="0">IFERROR((IFERROR(S13_PSP_Species_Support!U19*0.0673*(S13_PSP_Species_Support!V19*(S13_PSP_Species_Support!W19*(1-EXP(-S13_PSP_Species_Support!X19*18))^S13_PSP_Species_Support!Y19)^2*(S13_PSP_Species_Support!Z19*(1-EXP(-S13_PSP_Species_Support!AA19*18))^S13_PSP_Species_Support!AB19))^0.976,0)+IFERROR(S13_PSP_Species_Support!AF19*0.0673*(S13_PSP_Species_Support!AG19*(S13_PSP_Species_Support!AH19*(1-EXP(-S13_PSP_Species_Support!AI19*18))^S13_PSP_Species_Support!AJ19)^2*(S13_PSP_Species_Support!AK19*(1-EXP(-S13_PSP_Species_Support!AL19*18))^S13_PSP_Species_Support!AM19))^0.976,0)+IFERROR(S13_PSP_Species_Support!AQ19*0.0673*(S13_PSP_Species_Support!AR19*(S13_PSP_Species_Support!AS19*(1-EXP(-S13_PSP_Species_Support!AT19*18))^S13_PSP_Species_Support!AU19)^2*(S13_PSP_Species_Support!AV19*(1-EXP(-S13_PSP_Species_Support!AW19*18))^S13_PSP_Species_Support!AX19))^0.976,0)+IFERROR(S13_PSP_Species_Support!BB19*0.0673*(S13_PSP_Species_Support!BC19*(S13_PSP_Species_Support!BD19*(1-EXP(-S13_PSP_Species_Support!BE19*18))^S13_PSP_Species_Support!BF19)^2*(S13_PSP_Species_Support!BG19*(1-EXP(-S13_PSP_Species_Support!BH19*18))^S13_PSP_Species_Support!BI19))^0.976,0)+IFERROR(S13_PSP_Species_Support!BM19*0.0673*(S13_PSP_Species_Support!BN19*(S13_PSP_Species_Support!BO19*(1-EXP(-S13_PSP_Species_Support!BP19*18))^S13_PSP_Species_Support!BQ19)^2*(S13_PSP_Species_Support!BR19*(1-EXP(-S13_PSP_Species_Support!BS19*18))^S13_PSP_Species_Support!BT19))^0.976,0)+IFERROR(S13_PSP_Species_Support!BX19*0.0673*(S13_PSP_Species_Support!BY19*(S13_PSP_Species_Support!BZ19*(1-EXP(-S13_PSP_Species_Support!CA19*18))^S13_PSP_Species_Support!CB19)^2*(S13_PSP_Species_Support!CC19*(1-EXP(-S13_PSP_Species_Support!CD19*18))^S13_PSP_Species_Support!CE19))^0.976,0)+IFERROR(S13_PSP_Species_Support!CI19*0.0673*(S13_PSP_Species_Support!CJ19*(S13_PSP_Species_Support!CK19*(1-EXP(-S13_PSP_Species_Support!CL19*18))^S13_PSP_Species_Support!CM19)^2*(S13_PSP_Species_Support!CN19*(1-EXP(-S13_PSP_Species_Support!CO19*18))^S13_PSP_Species_Support!CP19))^0.976,0)+IFERROR(S13_PSP_Species_Support!CT19*0.0673*(S13_PSP_Species_Support!CU19*(S13_PSP_Species_Support!CV19*(1-EXP(-S13_PSP_Species_Support!CW19*18))^S13_PSP_Species_Support!CX19)^2*(S13_PSP_Species_Support!CY19*(1-EXP(-S13_PSP_Species_Support!CZ19*18))^S13_PSP_Species_Support!DA19))^0.976,0))/1000/$G32*AA$108,0)</x:f>
        <x:v>2009.071082296583</x:v>
      </x:c>
      <x:c r="AB32" s="147" t="n">
        <x:f aca="0">IFERROR((IFERROR(S13_PSP_Species_Support!U19*0.0673*(S13_PSP_Species_Support!V19*(S13_PSP_Species_Support!W19*(1-EXP(-S13_PSP_Species_Support!X19*19))^S13_PSP_Species_Support!Y19)^2*(S13_PSP_Species_Support!Z19*(1-EXP(-S13_PSP_Species_Support!AA19*19))^S13_PSP_Species_Support!AB19))^0.976,0)+IFERROR(S13_PSP_Species_Support!AF19*0.0673*(S13_PSP_Species_Support!AG19*(S13_PSP_Species_Support!AH19*(1-EXP(-S13_PSP_Species_Support!AI19*19))^S13_PSP_Species_Support!AJ19)^2*(S13_PSP_Species_Support!AK19*(1-EXP(-S13_PSP_Species_Support!AL19*19))^S13_PSP_Species_Support!AM19))^0.976,0)+IFERROR(S13_PSP_Species_Support!AQ19*0.0673*(S13_PSP_Species_Support!AR19*(S13_PSP_Species_Support!AS19*(1-EXP(-S13_PSP_Species_Support!AT19*19))^S13_PSP_Species_Support!AU19)^2*(S13_PSP_Species_Support!AV19*(1-EXP(-S13_PSP_Species_Support!AW19*19))^S13_PSP_Species_Support!AX19))^0.976,0)+IFERROR(S13_PSP_Species_Support!BB19*0.0673*(S13_PSP_Species_Support!BC19*(S13_PSP_Species_Support!BD19*(1-EXP(-S13_PSP_Species_Support!BE19*19))^S13_PSP_Species_Support!BF19)^2*(S13_PSP_Species_Support!BG19*(1-EXP(-S13_PSP_Species_Support!BH19*19))^S13_PSP_Species_Support!BI19))^0.976,0)+IFERROR(S13_PSP_Species_Support!BM19*0.0673*(S13_PSP_Species_Support!BN19*(S13_PSP_Species_Support!BO19*(1-EXP(-S13_PSP_Species_Support!BP19*19))^S13_PSP_Species_Support!BQ19)^2*(S13_PSP_Species_Support!BR19*(1-EXP(-S13_PSP_Species_Support!BS19*19))^S13_PSP_Species_Support!BT19))^0.976,0)+IFERROR(S13_PSP_Species_Support!BX19*0.0673*(S13_PSP_Species_Support!BY19*(S13_PSP_Species_Support!BZ19*(1-EXP(-S13_PSP_Species_Support!CA19*19))^S13_PSP_Species_Support!CB19)^2*(S13_PSP_Species_Support!CC19*(1-EXP(-S13_PSP_Species_Support!CD19*19))^S13_PSP_Species_Support!CE19))^0.976,0)+IFERROR(S13_PSP_Species_Support!CI19*0.0673*(S13_PSP_Species_Support!CJ19*(S13_PSP_Species_Support!CK19*(1-EXP(-S13_PSP_Species_Support!CL19*19))^S13_PSP_Species_Support!CM19)^2*(S13_PSP_Species_Support!CN19*(1-EXP(-S13_PSP_Species_Support!CO19*19))^S13_PSP_Species_Support!CP19))^0.976,0)+IFERROR(S13_PSP_Species_Support!CT19*0.0673*(S13_PSP_Species_Support!CU19*(S13_PSP_Species_Support!CV19*(1-EXP(-S13_PSP_Species_Support!CW19*19))^S13_PSP_Species_Support!CX19)^2*(S13_PSP_Species_Support!CY19*(1-EXP(-S13_PSP_Species_Support!CZ19*19))^S13_PSP_Species_Support!DA19))^0.976,0))/1000/$G32*AB$108,0)</x:f>
        <x:v>2098.9682249108673</x:v>
      </x:c>
      <x:c r="AC32" s="147" t="n">
        <x:f aca="0">IFERROR((IFERROR(S13_PSP_Species_Support!U19*0.0673*(S13_PSP_Species_Support!V19*(S13_PSP_Species_Support!W19*(1-EXP(-S13_PSP_Species_Support!X19*20))^S13_PSP_Species_Support!Y19)^2*(S13_PSP_Species_Support!Z19*(1-EXP(-S13_PSP_Species_Support!AA19*20))^S13_PSP_Species_Support!AB19))^0.976,0)+IFERROR(S13_PSP_Species_Support!AF19*0.0673*(S13_PSP_Species_Support!AG19*(S13_PSP_Species_Support!AH19*(1-EXP(-S13_PSP_Species_Support!AI19*20))^S13_PSP_Species_Support!AJ19)^2*(S13_PSP_Species_Support!AK19*(1-EXP(-S13_PSP_Species_Support!AL19*20))^S13_PSP_Species_Support!AM19))^0.976,0)+IFERROR(S13_PSP_Species_Support!AQ19*0.0673*(S13_PSP_Species_Support!AR19*(S13_PSP_Species_Support!AS19*(1-EXP(-S13_PSP_Species_Support!AT19*20))^S13_PSP_Species_Support!AU19)^2*(S13_PSP_Species_Support!AV19*(1-EXP(-S13_PSP_Species_Support!AW19*20))^S13_PSP_Species_Support!AX19))^0.976,0)+IFERROR(S13_PSP_Species_Support!BB19*0.0673*(S13_PSP_Species_Support!BC19*(S13_PSP_Species_Support!BD19*(1-EXP(-S13_PSP_Species_Support!BE19*20))^S13_PSP_Species_Support!BF19)^2*(S13_PSP_Species_Support!BG19*(1-EXP(-S13_PSP_Species_Support!BH19*20))^S13_PSP_Species_Support!BI19))^0.976,0)+IFERROR(S13_PSP_Species_Support!BM19*0.0673*(S13_PSP_Species_Support!BN19*(S13_PSP_Species_Support!BO19*(1-EXP(-S13_PSP_Species_Support!BP19*20))^S13_PSP_Species_Support!BQ19)^2*(S13_PSP_Species_Support!BR19*(1-EXP(-S13_PSP_Species_Support!BS19*20))^S13_PSP_Species_Support!BT19))^0.976,0)+IFERROR(S13_PSP_Species_Support!BX19*0.0673*(S13_PSP_Species_Support!BY19*(S13_PSP_Species_Support!BZ19*(1-EXP(-S13_PSP_Species_Support!CA19*20))^S13_PSP_Species_Support!CB19)^2*(S13_PSP_Species_Support!CC19*(1-EXP(-S13_PSP_Species_Support!CD19*20))^S13_PSP_Species_Support!CE19))^0.976,0)+IFERROR(S13_PSP_Species_Support!CI19*0.0673*(S13_PSP_Species_Support!CJ19*(S13_PSP_Species_Support!CK19*(1-EXP(-S13_PSP_Species_Support!CL19*20))^S13_PSP_Species_Support!CM19)^2*(S13_PSP_Species_Support!CN19*(1-EXP(-S13_PSP_Species_Support!CO19*20))^S13_PSP_Species_Support!CP19))^0.976,0)+IFERROR(S13_PSP_Species_Support!CT19*0.0673*(S13_PSP_Species_Support!CU19*(S13_PSP_Species_Support!CV19*(1-EXP(-S13_PSP_Species_Support!CW19*20))^S13_PSP_Species_Support!CX19)^2*(S13_PSP_Species_Support!CY19*(1-EXP(-S13_PSP_Species_Support!CZ19*20))^S13_PSP_Species_Support!DA19))^0.976,0))/1000/$G32*AC$108,0)</x:f>
        <x:v>2179.520778875751</x:v>
      </x:c>
      <x:c r="AD32" s="148" t="n">
        <x:f aca="0">IF(2020&lt;$F32,0,INDEX($I32:$AC32,1,2020-$F32+1))</x:f>
        <x:v>0</x:v>
      </x:c>
      <x:c r="AE32" s="148" t="n">
        <x:f aca="0">IF(2021&lt;$F32,0,INDEX($I32:$AC32,1,2021-$F32+1))</x:f>
        <x:v>0.9265687015995416</x:v>
      </x:c>
      <x:c r="AF32" s="148" t="n">
        <x:f aca="0">IF(2022&lt;$F32,0,INDEX($I32:$AC32,1,2022-$F32+1))</x:f>
        <x:v>10.982517203730499</x:v>
      </x:c>
      <x:c r="AG32" s="148" t="n">
        <x:f aca="0">IF(2023&lt;$F32,0,INDEX($I32:$AC32,1,2023-$F32+1))</x:f>
        <x:v>41.891299912492265</x:v>
      </x:c>
      <x:c r="AH32" s="148" t="n">
        <x:f aca="0">IF(2024&lt;$F32,0,INDEX($I32:$AC32,1,2024-$F32+1))</x:f>
        <x:v>101.47130092144914</x:v>
      </x:c>
      <x:c r="AI32" s="148" t="n">
        <x:f aca="0">IF(2025&lt;$F32,0,INDEX($I32:$AC32,1,2025-$F32+1))</x:f>
        <x:v>191.20595640450517</x:v>
      </x:c>
      <x:c r="AJ32" s="148" t="n">
        <x:f aca="0">IF(2026&lt;$F32,0,INDEX($I32:$AC32,1,2026-$F32+1))</x:f>
        <x:v>308.1639177579222</x:v>
      </x:c>
      <x:c r="AK32" s="148" t="n">
        <x:f aca="0">IF(2027&lt;$F32,0,INDEX($I32:$AC32,1,2027-$F32+1))</x:f>
        <x:v>446.8183012035753</x:v>
      </x:c>
      <x:c r="AL32" s="148" t="n">
        <x:f aca="0">IF(2028&lt;$F32,0,INDEX($I32:$AC32,1,2028-$F32+1))</x:f>
        <x:v>600.6578597563739</x:v>
      </x:c>
      <x:c r="AM32" s="148" t="n">
        <x:f aca="0">IF(2029&lt;$F32,0,INDEX($I32:$AC32,1,2029-$F32+1))</x:f>
        <x:v>763.2810757419251</x:v>
      </x:c>
      <x:c r="AN32" s="148" t="n">
        <x:f aca="0">IF(2030&lt;$F32,0,INDEX($I32:$AC32,1,2030-$F32+1))</x:f>
        <x:v>929.0238493432093</x:v>
      </x:c>
      <x:c r="AO32" s="148" t="n">
        <x:f aca="0">IF(2031&lt;$F32,0,INDEX($I32:$AC32,1,2031-$F32+1))</x:f>
        <x:v>1093.2423656350766</x:v>
      </x:c>
      <x:c r="AP32" s="148" t="n">
        <x:f aca="0">IF(2032&lt;$F32,0,INDEX($I32:$AC32,1,2032-$F32+1))</x:f>
        <x:v>1252.3710475293253</x:v>
      </x:c>
      <x:c r="AQ32" s="148" t="n">
        <x:f aca="0">IF(2033&lt;$F32,0,INDEX($I32:$AC32,1,2033-$F32+1))</x:f>
        <x:v>1403.8501321196777</x:v>
      </x:c>
      <x:c r="AR32" s="148" t="n">
        <x:f aca="0">IF(2034&lt;$F32,0,INDEX($I32:$AC32,1,2034-$F32+1))</x:f>
        <x:v>1545.9890779073232</x:v>
      </x:c>
      <x:c r="AS32" s="148" t="n">
        <x:f aca="0">IF(2035&lt;$F32,0,INDEX($I32:$AC32,1,2035-$F32+1))</x:f>
        <x:v>1677.8082240487215</x:v>
      </x:c>
      <x:c r="AT32" s="148" t="n">
        <x:f aca="0">IF(2036&lt;$F32,0,INDEX($I32:$AC32,1,2036-$F32+1))</x:f>
        <x:v>1798.8835581360559</x:v>
      </x:c>
      <x:c r="AU32" s="148" t="n">
        <x:f aca="0">IF(2037&lt;$F32,0,INDEX($I32:$AC32,1,2037-$F32+1))</x:f>
        <x:v>1909.207507075122</x:v>
      </x:c>
      <x:c r="AV32" s="148" t="n">
        <x:f aca="0">IF(2038&lt;$F32,0,INDEX($I32:$AC32,1,2038-$F32+1))</x:f>
        <x:v>2009.071082296583</x:v>
      </x:c>
      <x:c r="AW32" s="148" t="n">
        <x:f aca="0">IF(2039&lt;$F32,0,INDEX($I32:$AC32,1,2039-$F32+1))</x:f>
        <x:v>2098.9682249108673</x:v>
      </x:c>
      <x:c r="AX32" s="148" t="n">
        <x:f aca="0">IF(2040&lt;$F32,0,INDEX($I32:$AC32,1,2040-$F32+1))</x:f>
        <x:v>2179.520778875751</x:v>
      </x:c>
      <x:c r="AY32" s="1" t="str">
        <x:f aca="0">LEFT($C32,FIND("@",SUBSTITUTE($C32,"|","@",2))-1)</x:f>
        <x:v>Horti-Silviculture|High</x:v>
      </x:c>
      <x:c r="AZ32" s="1" t="str">
        <x:f aca="0">LEFT($C32,FIND("|",$C32)-1)</x:f>
        <x:v>Horti-Silviculture</x:v>
      </x:c>
      <x:c r="BA32" s="149" t="n">
        <x:f aca="0">I32*I32</x:f>
        <x:v>0</x:v>
      </x:c>
      <x:c r="BB32" s="149" t="n">
        <x:f aca="0">J32*J32</x:f>
        <x:v>0.8585295587838604</x:v>
      </x:c>
      <x:c r="BC32" s="149" t="n">
        <x:f aca="0">K32*K32</x:f>
        <x:v>120.61568413023637</x:v>
      </x:c>
      <x:c r="BD32" s="149" t="n">
        <x:f aca="0">L32*L32</x:f>
        <x:v>1754.8810083583744</x:v>
      </x:c>
      <x:c r="BE32" s="149" t="n">
        <x:f aca="0">M32*M32</x:f>
        <x:v>10296.424910691285</x:v>
      </x:c>
      <x:c r="BF32" s="149" t="n">
        <x:f aca="0">N32*N32</x:f>
        <x:v>36559.71776456153</x:v>
      </x:c>
      <x:c r="BG32" s="149" t="n">
        <x:f aca="0">O32*O32</x:f>
        <x:v>94965.00020791143</x:v>
      </x:c>
      <x:c r="BH32" s="149" t="n">
        <x:f aca="0">P32*P32</x:f>
        <x:v>199646.59429044893</x:v>
      </x:c>
      <x:c r="BI32" s="149" t="n">
        <x:f aca="0">Q32*Q32</x:f>
        <x:v>360789.8644871077</x:v>
      </x:c>
      <x:c r="BJ32" s="149" t="n">
        <x:f aca="0">R32*R32</x:f>
        <x:v>582598.0005857503</x:v>
      </x:c>
      <x:c r="BK32" s="149" t="n">
        <x:f aca="0">S32*S32</x:f>
        <x:v>863085.3126484741</x:v>
      </x:c>
      <x:c r="BL32" s="149" t="n">
        <x:f aca="0">T32*T32</x:f>
        <x:v>1195178.8700193784</x:v>
      </x:c>
      <x:c r="BM32" s="149" t="n">
        <x:f aca="0">U32*U32</x:f>
        <x:v>1568433.2406896995</x:v>
      </x:c>
      <x:c r="BN32" s="149" t="n">
        <x:f aca="0">V32*V32</x:f>
        <x:v>1970795.1934524365</x:v>
      </x:c>
      <x:c r="BO32" s="149" t="n">
        <x:f aca="0">W32*W32</x:f>
        <x:v>2390082.2290087356</x:v>
      </x:c>
      <x:c r="BP32" s="149" t="n">
        <x:f aca="0">X32*X32</x:f>
        <x:v>2815040.436685525</x:v>
      </x:c>
      <x:c r="BQ32" s="149" t="n">
        <x:f aca="0">Y32*Y32</x:f>
        <x:v>3235982.0557322367</x:v>
      </x:c>
      <x:c r="BR32" s="149" t="n">
        <x:f aca="0">Z32*Z32</x:f>
        <x:v>3645073.305072002</x:v>
      </x:c>
      <x:c r="BS32" s="149" t="n">
        <x:f aca="0">AA32*AA32</x:f>
        <x:v>4036366.6137203635</x:v>
      </x:c>
      <x:c r="BT32" s="149" t="n">
        <x:f aca="0">AB32*AB32</x:f>
        <x:v>4405667.609185478</x:v>
      </x:c>
      <x:c r="BU32" s="149" t="n">
        <x:f aca="0">AC32*AC32</x:f>
        <x:v>4750310.825551161</x:v>
      </x:c>
    </x:row>
    <x:row r="33" ht="15" hidden="0" customHeight="1">
      <x:c r="A33" s="1" t="str">
        <x:f aca="0">S13_PSP_Species_Support!A20</x:f>
        <x:v>PSP-HS-006</x:v>
      </x:c>
      <x:c r="B33" s="1" t="n">
        <x:f aca="0">20</x:f>
        <x:v>20</x:v>
      </x:c>
      <x:c r="C33" s="1" t="str">
        <x:f aca="0">S13_PSP_Species_Support!I20</x:f>
        <x:v>Horti-Silviculture|High|2020</x:v>
      </x:c>
      <x:c r="D33" s="1" t="str">
        <x:f aca="0">S13_PSP_Species_Support!C20</x:f>
        <x:v>Horti-Silviculture</x:v>
      </x:c>
      <x:c r="E33" s="1" t="str">
        <x:f aca="0">S13_PSP_Species_Support!D20</x:f>
        <x:v>High</x:v>
      </x:c>
      <x:c r="F33" s="1" t="n">
        <x:f aca="0">S13_PSP_Species_Support!E20</x:f>
        <x:v>2020</x:v>
      </x:c>
      <x:c r="G33" s="645" t="n">
        <x:f aca="0">'S13_PSP_Species_Support'!DJ20</x:f>
        <x:v>0.09</x:v>
      </x:c>
      <x:c r="H33" s="714" t="n">
        <x:f aca="0">'S13_PSP_Species_Support'!DK20</x:f>
        <x:v>154.58858171110748</x:v>
      </x:c>
      <x:c r="I33" s="147" t="n">
        <x:f aca="0">IFERROR((IFERROR(S13_PSP_Species_Support!U20*0.0673*(S13_PSP_Species_Support!V20*(S13_PSP_Species_Support!W20*(1-EXP(-S13_PSP_Species_Support!X20*0))^S13_PSP_Species_Support!Y20)^2*(S13_PSP_Species_Support!Z20*(1-EXP(-S13_PSP_Species_Support!AA20*0))^S13_PSP_Species_Support!AB20))^0.976,0)+IFERROR(S13_PSP_Species_Support!AF20*0.0673*(S13_PSP_Species_Support!AG20*(S13_PSP_Species_Support!AH20*(1-EXP(-S13_PSP_Species_Support!AI20*0))^S13_PSP_Species_Support!AJ20)^2*(S13_PSP_Species_Support!AK20*(1-EXP(-S13_PSP_Species_Support!AL20*0))^S13_PSP_Species_Support!AM20))^0.976,0)+IFERROR(S13_PSP_Species_Support!AQ20*0.0673*(S13_PSP_Species_Support!AR20*(S13_PSP_Species_Support!AS20*(1-EXP(-S13_PSP_Species_Support!AT20*0))^S13_PSP_Species_Support!AU20)^2*(S13_PSP_Species_Support!AV20*(1-EXP(-S13_PSP_Species_Support!AW20*0))^S13_PSP_Species_Support!AX20))^0.976,0)+IFERROR(S13_PSP_Species_Support!BB20*0.0673*(S13_PSP_Species_Support!BC20*(S13_PSP_Species_Support!BD20*(1-EXP(-S13_PSP_Species_Support!BE20*0))^S13_PSP_Species_Support!BF20)^2*(S13_PSP_Species_Support!BG20*(1-EXP(-S13_PSP_Species_Support!BH20*0))^S13_PSP_Species_Support!BI20))^0.976,0)+IFERROR(S13_PSP_Species_Support!BM20*0.0673*(S13_PSP_Species_Support!BN20*(S13_PSP_Species_Support!BO20*(1-EXP(-S13_PSP_Species_Support!BP20*0))^S13_PSP_Species_Support!BQ20)^2*(S13_PSP_Species_Support!BR20*(1-EXP(-S13_PSP_Species_Support!BS20*0))^S13_PSP_Species_Support!BT20))^0.976,0)+IFERROR(S13_PSP_Species_Support!BX20*0.0673*(S13_PSP_Species_Support!BY20*(S13_PSP_Species_Support!BZ20*(1-EXP(-S13_PSP_Species_Support!CA20*0))^S13_PSP_Species_Support!CB20)^2*(S13_PSP_Species_Support!CC20*(1-EXP(-S13_PSP_Species_Support!CD20*0))^S13_PSP_Species_Support!CE20))^0.976,0)+IFERROR(S13_PSP_Species_Support!CI20*0.0673*(S13_PSP_Species_Support!CJ20*(S13_PSP_Species_Support!CK20*(1-EXP(-S13_PSP_Species_Support!CL20*0))^S13_PSP_Species_Support!CM20)^2*(S13_PSP_Species_Support!CN20*(1-EXP(-S13_PSP_Species_Support!CO20*0))^S13_PSP_Species_Support!CP20))^0.976,0)+IFERROR(S13_PSP_Species_Support!CT20*0.0673*(S13_PSP_Species_Support!CU20*(S13_PSP_Species_Support!CV20*(1-EXP(-S13_PSP_Species_Support!CW20*0))^S13_PSP_Species_Support!CX20)^2*(S13_PSP_Species_Support!CY20*(1-EXP(-S13_PSP_Species_Support!CZ20*0))^S13_PSP_Species_Support!DA20))^0.976,0))/1000/$G33*I$108,0)</x:f>
        <x:v>0</x:v>
      </x:c>
      <x:c r="J33" s="147" t="n">
        <x:f aca="0">IFERROR((IFERROR(S13_PSP_Species_Support!U20*0.0673*(S13_PSP_Species_Support!V20*(S13_PSP_Species_Support!W20*(1-EXP(-S13_PSP_Species_Support!X20*1))^S13_PSP_Species_Support!Y20)^2*(S13_PSP_Species_Support!Z20*(1-EXP(-S13_PSP_Species_Support!AA20*1))^S13_PSP_Species_Support!AB20))^0.976,0)+IFERROR(S13_PSP_Species_Support!AF20*0.0673*(S13_PSP_Species_Support!AG20*(S13_PSP_Species_Support!AH20*(1-EXP(-S13_PSP_Species_Support!AI20*1))^S13_PSP_Species_Support!AJ20)^2*(S13_PSP_Species_Support!AK20*(1-EXP(-S13_PSP_Species_Support!AL20*1))^S13_PSP_Species_Support!AM20))^0.976,0)+IFERROR(S13_PSP_Species_Support!AQ20*0.0673*(S13_PSP_Species_Support!AR20*(S13_PSP_Species_Support!AS20*(1-EXP(-S13_PSP_Species_Support!AT20*1))^S13_PSP_Species_Support!AU20)^2*(S13_PSP_Species_Support!AV20*(1-EXP(-S13_PSP_Species_Support!AW20*1))^S13_PSP_Species_Support!AX20))^0.976,0)+IFERROR(S13_PSP_Species_Support!BB20*0.0673*(S13_PSP_Species_Support!BC20*(S13_PSP_Species_Support!BD20*(1-EXP(-S13_PSP_Species_Support!BE20*1))^S13_PSP_Species_Support!BF20)^2*(S13_PSP_Species_Support!BG20*(1-EXP(-S13_PSP_Species_Support!BH20*1))^S13_PSP_Species_Support!BI20))^0.976,0)+IFERROR(S13_PSP_Species_Support!BM20*0.0673*(S13_PSP_Species_Support!BN20*(S13_PSP_Species_Support!BO20*(1-EXP(-S13_PSP_Species_Support!BP20*1))^S13_PSP_Species_Support!BQ20)^2*(S13_PSP_Species_Support!BR20*(1-EXP(-S13_PSP_Species_Support!BS20*1))^S13_PSP_Species_Support!BT20))^0.976,0)+IFERROR(S13_PSP_Species_Support!BX20*0.0673*(S13_PSP_Species_Support!BY20*(S13_PSP_Species_Support!BZ20*(1-EXP(-S13_PSP_Species_Support!CA20*1))^S13_PSP_Species_Support!CB20)^2*(S13_PSP_Species_Support!CC20*(1-EXP(-S13_PSP_Species_Support!CD20*1))^S13_PSP_Species_Support!CE20))^0.976,0)+IFERROR(S13_PSP_Species_Support!CI20*0.0673*(S13_PSP_Species_Support!CJ20*(S13_PSP_Species_Support!CK20*(1-EXP(-S13_PSP_Species_Support!CL20*1))^S13_PSP_Species_Support!CM20)^2*(S13_PSP_Species_Support!CN20*(1-EXP(-S13_PSP_Species_Support!CO20*1))^S13_PSP_Species_Support!CP20))^0.976,0)+IFERROR(S13_PSP_Species_Support!CT20*0.0673*(S13_PSP_Species_Support!CU20*(S13_PSP_Species_Support!CV20*(1-EXP(-S13_PSP_Species_Support!CW20*1))^S13_PSP_Species_Support!CX20)^2*(S13_PSP_Species_Support!CY20*(1-EXP(-S13_PSP_Species_Support!CZ20*1))^S13_PSP_Species_Support!DA20))^0.976,0))/1000/$G33*J$108,0)</x:f>
        <x:v>3.851380609459157</x:v>
      </x:c>
      <x:c r="K33" s="147" t="n">
        <x:f aca="0">IFERROR((IFERROR(S13_PSP_Species_Support!U20*0.0673*(S13_PSP_Species_Support!V20*(S13_PSP_Species_Support!W20*(1-EXP(-S13_PSP_Species_Support!X20*2))^S13_PSP_Species_Support!Y20)^2*(S13_PSP_Species_Support!Z20*(1-EXP(-S13_PSP_Species_Support!AA20*2))^S13_PSP_Species_Support!AB20))^0.976,0)+IFERROR(S13_PSP_Species_Support!AF20*0.0673*(S13_PSP_Species_Support!AG20*(S13_PSP_Species_Support!AH20*(1-EXP(-S13_PSP_Species_Support!AI20*2))^S13_PSP_Species_Support!AJ20)^2*(S13_PSP_Species_Support!AK20*(1-EXP(-S13_PSP_Species_Support!AL20*2))^S13_PSP_Species_Support!AM20))^0.976,0)+IFERROR(S13_PSP_Species_Support!AQ20*0.0673*(S13_PSP_Species_Support!AR20*(S13_PSP_Species_Support!AS20*(1-EXP(-S13_PSP_Species_Support!AT20*2))^S13_PSP_Species_Support!AU20)^2*(S13_PSP_Species_Support!AV20*(1-EXP(-S13_PSP_Species_Support!AW20*2))^S13_PSP_Species_Support!AX20))^0.976,0)+IFERROR(S13_PSP_Species_Support!BB20*0.0673*(S13_PSP_Species_Support!BC20*(S13_PSP_Species_Support!BD20*(1-EXP(-S13_PSP_Species_Support!BE20*2))^S13_PSP_Species_Support!BF20)^2*(S13_PSP_Species_Support!BG20*(1-EXP(-S13_PSP_Species_Support!BH20*2))^S13_PSP_Species_Support!BI20))^0.976,0)+IFERROR(S13_PSP_Species_Support!BM20*0.0673*(S13_PSP_Species_Support!BN20*(S13_PSP_Species_Support!BO20*(1-EXP(-S13_PSP_Species_Support!BP20*2))^S13_PSP_Species_Support!BQ20)^2*(S13_PSP_Species_Support!BR20*(1-EXP(-S13_PSP_Species_Support!BS20*2))^S13_PSP_Species_Support!BT20))^0.976,0)+IFERROR(S13_PSP_Species_Support!BX20*0.0673*(S13_PSP_Species_Support!BY20*(S13_PSP_Species_Support!BZ20*(1-EXP(-S13_PSP_Species_Support!CA20*2))^S13_PSP_Species_Support!CB20)^2*(S13_PSP_Species_Support!CC20*(1-EXP(-S13_PSP_Species_Support!CD20*2))^S13_PSP_Species_Support!CE20))^0.976,0)+IFERROR(S13_PSP_Species_Support!CI20*0.0673*(S13_PSP_Species_Support!CJ20*(S13_PSP_Species_Support!CK20*(1-EXP(-S13_PSP_Species_Support!CL20*2))^S13_PSP_Species_Support!CM20)^2*(S13_PSP_Species_Support!CN20*(1-EXP(-S13_PSP_Species_Support!CO20*2))^S13_PSP_Species_Support!CP20))^0.976,0)+IFERROR(S13_PSP_Species_Support!CT20*0.0673*(S13_PSP_Species_Support!CU20*(S13_PSP_Species_Support!CV20*(1-EXP(-S13_PSP_Species_Support!CW20*2))^S13_PSP_Species_Support!CX20)^2*(S13_PSP_Species_Support!CY20*(1-EXP(-S13_PSP_Species_Support!CZ20*2))^S13_PSP_Species_Support!DA20))^0.976,0))/1000/$G33*K$108,0)</x:f>
        <x:v>36.37623130729903</x:v>
      </x:c>
      <x:c r="L33" s="147" t="n">
        <x:f aca="0">IFERROR((IFERROR(S13_PSP_Species_Support!U20*0.0673*(S13_PSP_Species_Support!V20*(S13_PSP_Species_Support!W20*(1-EXP(-S13_PSP_Species_Support!X20*3))^S13_PSP_Species_Support!Y20)^2*(S13_PSP_Species_Support!Z20*(1-EXP(-S13_PSP_Species_Support!AA20*3))^S13_PSP_Species_Support!AB20))^0.976,0)+IFERROR(S13_PSP_Species_Support!AF20*0.0673*(S13_PSP_Species_Support!AG20*(S13_PSP_Species_Support!AH20*(1-EXP(-S13_PSP_Species_Support!AI20*3))^S13_PSP_Species_Support!AJ20)^2*(S13_PSP_Species_Support!AK20*(1-EXP(-S13_PSP_Species_Support!AL20*3))^S13_PSP_Species_Support!AM20))^0.976,0)+IFERROR(S13_PSP_Species_Support!AQ20*0.0673*(S13_PSP_Species_Support!AR20*(S13_PSP_Species_Support!AS20*(1-EXP(-S13_PSP_Species_Support!AT20*3))^S13_PSP_Species_Support!AU20)^2*(S13_PSP_Species_Support!AV20*(1-EXP(-S13_PSP_Species_Support!AW20*3))^S13_PSP_Species_Support!AX20))^0.976,0)+IFERROR(S13_PSP_Species_Support!BB20*0.0673*(S13_PSP_Species_Support!BC20*(S13_PSP_Species_Support!BD20*(1-EXP(-S13_PSP_Species_Support!BE20*3))^S13_PSP_Species_Support!BF20)^2*(S13_PSP_Species_Support!BG20*(1-EXP(-S13_PSP_Species_Support!BH20*3))^S13_PSP_Species_Support!BI20))^0.976,0)+IFERROR(S13_PSP_Species_Support!BM20*0.0673*(S13_PSP_Species_Support!BN20*(S13_PSP_Species_Support!BO20*(1-EXP(-S13_PSP_Species_Support!BP20*3))^S13_PSP_Species_Support!BQ20)^2*(S13_PSP_Species_Support!BR20*(1-EXP(-S13_PSP_Species_Support!BS20*3))^S13_PSP_Species_Support!BT20))^0.976,0)+IFERROR(S13_PSP_Species_Support!BX20*0.0673*(S13_PSP_Species_Support!BY20*(S13_PSP_Species_Support!BZ20*(1-EXP(-S13_PSP_Species_Support!CA20*3))^S13_PSP_Species_Support!CB20)^2*(S13_PSP_Species_Support!CC20*(1-EXP(-S13_PSP_Species_Support!CD20*3))^S13_PSP_Species_Support!CE20))^0.976,0)+IFERROR(S13_PSP_Species_Support!CI20*0.0673*(S13_PSP_Species_Support!CJ20*(S13_PSP_Species_Support!CK20*(1-EXP(-S13_PSP_Species_Support!CL20*3))^S13_PSP_Species_Support!CM20)^2*(S13_PSP_Species_Support!CN20*(1-EXP(-S13_PSP_Species_Support!CO20*3))^S13_PSP_Species_Support!CP20))^0.976,0)+IFERROR(S13_PSP_Species_Support!CT20*0.0673*(S13_PSP_Species_Support!CU20*(S13_PSP_Species_Support!CV20*(1-EXP(-S13_PSP_Species_Support!CW20*3))^S13_PSP_Species_Support!CX20)^2*(S13_PSP_Species_Support!CY20*(1-EXP(-S13_PSP_Species_Support!CZ20*3))^S13_PSP_Species_Support!DA20))^0.976,0))/1000/$G33*L$108,0)</x:f>
        <x:v>120.48681601696133</x:v>
      </x:c>
      <x:c r="M33" s="147" t="n">
        <x:f aca="0">IFERROR((IFERROR(S13_PSP_Species_Support!U20*0.0673*(S13_PSP_Species_Support!V20*(S13_PSP_Species_Support!W20*(1-EXP(-S13_PSP_Species_Support!X20*4))^S13_PSP_Species_Support!Y20)^2*(S13_PSP_Species_Support!Z20*(1-EXP(-S13_PSP_Species_Support!AA20*4))^S13_PSP_Species_Support!AB20))^0.976,0)+IFERROR(S13_PSP_Species_Support!AF20*0.0673*(S13_PSP_Species_Support!AG20*(S13_PSP_Species_Support!AH20*(1-EXP(-S13_PSP_Species_Support!AI20*4))^S13_PSP_Species_Support!AJ20)^2*(S13_PSP_Species_Support!AK20*(1-EXP(-S13_PSP_Species_Support!AL20*4))^S13_PSP_Species_Support!AM20))^0.976,0)+IFERROR(S13_PSP_Species_Support!AQ20*0.0673*(S13_PSP_Species_Support!AR20*(S13_PSP_Species_Support!AS20*(1-EXP(-S13_PSP_Species_Support!AT20*4))^S13_PSP_Species_Support!AU20)^2*(S13_PSP_Species_Support!AV20*(1-EXP(-S13_PSP_Species_Support!AW20*4))^S13_PSP_Species_Support!AX20))^0.976,0)+IFERROR(S13_PSP_Species_Support!BB20*0.0673*(S13_PSP_Species_Support!BC20*(S13_PSP_Species_Support!BD20*(1-EXP(-S13_PSP_Species_Support!BE20*4))^S13_PSP_Species_Support!BF20)^2*(S13_PSP_Species_Support!BG20*(1-EXP(-S13_PSP_Species_Support!BH20*4))^S13_PSP_Species_Support!BI20))^0.976,0)+IFERROR(S13_PSP_Species_Support!BM20*0.0673*(S13_PSP_Species_Support!BN20*(S13_PSP_Species_Support!BO20*(1-EXP(-S13_PSP_Species_Support!BP20*4))^S13_PSP_Species_Support!BQ20)^2*(S13_PSP_Species_Support!BR20*(1-EXP(-S13_PSP_Species_Support!BS20*4))^S13_PSP_Species_Support!BT20))^0.976,0)+IFERROR(S13_PSP_Species_Support!BX20*0.0673*(S13_PSP_Species_Support!BY20*(S13_PSP_Species_Support!BZ20*(1-EXP(-S13_PSP_Species_Support!CA20*4))^S13_PSP_Species_Support!CB20)^2*(S13_PSP_Species_Support!CC20*(1-EXP(-S13_PSP_Species_Support!CD20*4))^S13_PSP_Species_Support!CE20))^0.976,0)+IFERROR(S13_PSP_Species_Support!CI20*0.0673*(S13_PSP_Species_Support!CJ20*(S13_PSP_Species_Support!CK20*(1-EXP(-S13_PSP_Species_Support!CL20*4))^S13_PSP_Species_Support!CM20)^2*(S13_PSP_Species_Support!CN20*(1-EXP(-S13_PSP_Species_Support!CO20*4))^S13_PSP_Species_Support!CP20))^0.976,0)+IFERROR(S13_PSP_Species_Support!CT20*0.0673*(S13_PSP_Species_Support!CU20*(S13_PSP_Species_Support!CV20*(1-EXP(-S13_PSP_Species_Support!CW20*4))^S13_PSP_Species_Support!CX20)^2*(S13_PSP_Species_Support!CY20*(1-EXP(-S13_PSP_Species_Support!CZ20*4))^S13_PSP_Species_Support!DA20))^0.976,0))/1000/$G33*M$108,0)</x:f>
        <x:v>262.80526439754425</x:v>
      </x:c>
      <x:c r="N33" s="147" t="n">
        <x:f aca="0">IFERROR((IFERROR(S13_PSP_Species_Support!U20*0.0673*(S13_PSP_Species_Support!V20*(S13_PSP_Species_Support!W20*(1-EXP(-S13_PSP_Species_Support!X20*5))^S13_PSP_Species_Support!Y20)^2*(S13_PSP_Species_Support!Z20*(1-EXP(-S13_PSP_Species_Support!AA20*5))^S13_PSP_Species_Support!AB20))^0.976,0)+IFERROR(S13_PSP_Species_Support!AF20*0.0673*(S13_PSP_Species_Support!AG20*(S13_PSP_Species_Support!AH20*(1-EXP(-S13_PSP_Species_Support!AI20*5))^S13_PSP_Species_Support!AJ20)^2*(S13_PSP_Species_Support!AK20*(1-EXP(-S13_PSP_Species_Support!AL20*5))^S13_PSP_Species_Support!AM20))^0.976,0)+IFERROR(S13_PSP_Species_Support!AQ20*0.0673*(S13_PSP_Species_Support!AR20*(S13_PSP_Species_Support!AS20*(1-EXP(-S13_PSP_Species_Support!AT20*5))^S13_PSP_Species_Support!AU20)^2*(S13_PSP_Species_Support!AV20*(1-EXP(-S13_PSP_Species_Support!AW20*5))^S13_PSP_Species_Support!AX20))^0.976,0)+IFERROR(S13_PSP_Species_Support!BB20*0.0673*(S13_PSP_Species_Support!BC20*(S13_PSP_Species_Support!BD20*(1-EXP(-S13_PSP_Species_Support!BE20*5))^S13_PSP_Species_Support!BF20)^2*(S13_PSP_Species_Support!BG20*(1-EXP(-S13_PSP_Species_Support!BH20*5))^S13_PSP_Species_Support!BI20))^0.976,0)+IFERROR(S13_PSP_Species_Support!BM20*0.0673*(S13_PSP_Species_Support!BN20*(S13_PSP_Species_Support!BO20*(1-EXP(-S13_PSP_Species_Support!BP20*5))^S13_PSP_Species_Support!BQ20)^2*(S13_PSP_Species_Support!BR20*(1-EXP(-S13_PSP_Species_Support!BS20*5))^S13_PSP_Species_Support!BT20))^0.976,0)+IFERROR(S13_PSP_Species_Support!BX20*0.0673*(S13_PSP_Species_Support!BY20*(S13_PSP_Species_Support!BZ20*(1-EXP(-S13_PSP_Species_Support!CA20*5))^S13_PSP_Species_Support!CB20)^2*(S13_PSP_Species_Support!CC20*(1-EXP(-S13_PSP_Species_Support!CD20*5))^S13_PSP_Species_Support!CE20))^0.976,0)+IFERROR(S13_PSP_Species_Support!CI20*0.0673*(S13_PSP_Species_Support!CJ20*(S13_PSP_Species_Support!CK20*(1-EXP(-S13_PSP_Species_Support!CL20*5))^S13_PSP_Species_Support!CM20)^2*(S13_PSP_Species_Support!CN20*(1-EXP(-S13_PSP_Species_Support!CO20*5))^S13_PSP_Species_Support!CP20))^0.976,0)+IFERROR(S13_PSP_Species_Support!CT20*0.0673*(S13_PSP_Species_Support!CU20*(S13_PSP_Species_Support!CV20*(1-EXP(-S13_PSP_Species_Support!CW20*5))^S13_PSP_Species_Support!CX20)^2*(S13_PSP_Species_Support!CY20*(1-EXP(-S13_PSP_Species_Support!CZ20*5))^S13_PSP_Species_Support!DA20))^0.976,0))/1000/$G33*N$108,0)</x:f>
        <x:v>455.28243019193997</x:v>
      </x:c>
      <x:c r="O33" s="147" t="n">
        <x:f aca="0">IFERROR((IFERROR(S13_PSP_Species_Support!U20*0.0673*(S13_PSP_Species_Support!V20*(S13_PSP_Species_Support!W20*(1-EXP(-S13_PSP_Species_Support!X20*6))^S13_PSP_Species_Support!Y20)^2*(S13_PSP_Species_Support!Z20*(1-EXP(-S13_PSP_Species_Support!AA20*6))^S13_PSP_Species_Support!AB20))^0.976,0)+IFERROR(S13_PSP_Species_Support!AF20*0.0673*(S13_PSP_Species_Support!AG20*(S13_PSP_Species_Support!AH20*(1-EXP(-S13_PSP_Species_Support!AI20*6))^S13_PSP_Species_Support!AJ20)^2*(S13_PSP_Species_Support!AK20*(1-EXP(-S13_PSP_Species_Support!AL20*6))^S13_PSP_Species_Support!AM20))^0.976,0)+IFERROR(S13_PSP_Species_Support!AQ20*0.0673*(S13_PSP_Species_Support!AR20*(S13_PSP_Species_Support!AS20*(1-EXP(-S13_PSP_Species_Support!AT20*6))^S13_PSP_Species_Support!AU20)^2*(S13_PSP_Species_Support!AV20*(1-EXP(-S13_PSP_Species_Support!AW20*6))^S13_PSP_Species_Support!AX20))^0.976,0)+IFERROR(S13_PSP_Species_Support!BB20*0.0673*(S13_PSP_Species_Support!BC20*(S13_PSP_Species_Support!BD20*(1-EXP(-S13_PSP_Species_Support!BE20*6))^S13_PSP_Species_Support!BF20)^2*(S13_PSP_Species_Support!BG20*(1-EXP(-S13_PSP_Species_Support!BH20*6))^S13_PSP_Species_Support!BI20))^0.976,0)+IFERROR(S13_PSP_Species_Support!BM20*0.0673*(S13_PSP_Species_Support!BN20*(S13_PSP_Species_Support!BO20*(1-EXP(-S13_PSP_Species_Support!BP20*6))^S13_PSP_Species_Support!BQ20)^2*(S13_PSP_Species_Support!BR20*(1-EXP(-S13_PSP_Species_Support!BS20*6))^S13_PSP_Species_Support!BT20))^0.976,0)+IFERROR(S13_PSP_Species_Support!BX20*0.0673*(S13_PSP_Species_Support!BY20*(S13_PSP_Species_Support!BZ20*(1-EXP(-S13_PSP_Species_Support!CA20*6))^S13_PSP_Species_Support!CB20)^2*(S13_PSP_Species_Support!CC20*(1-EXP(-S13_PSP_Species_Support!CD20*6))^S13_PSP_Species_Support!CE20))^0.976,0)+IFERROR(S13_PSP_Species_Support!CI20*0.0673*(S13_PSP_Species_Support!CJ20*(S13_PSP_Species_Support!CK20*(1-EXP(-S13_PSP_Species_Support!CL20*6))^S13_PSP_Species_Support!CM20)^2*(S13_PSP_Species_Support!CN20*(1-EXP(-S13_PSP_Species_Support!CO20*6))^S13_PSP_Species_Support!CP20))^0.976,0)+IFERROR(S13_PSP_Species_Support!CT20*0.0673*(S13_PSP_Species_Support!CU20*(S13_PSP_Species_Support!CV20*(1-EXP(-S13_PSP_Species_Support!CW20*6))^S13_PSP_Species_Support!CX20)^2*(S13_PSP_Species_Support!CY20*(1-EXP(-S13_PSP_Species_Support!CZ20*6))^S13_PSP_Species_Support!DA20))^0.976,0))/1000/$G33*O$108,0)</x:f>
        <x:v>683.9728313352537</x:v>
      </x:c>
      <x:c r="P33" s="147" t="n">
        <x:f aca="0">IFERROR((IFERROR(S13_PSP_Species_Support!U20*0.0673*(S13_PSP_Species_Support!V20*(S13_PSP_Species_Support!W20*(1-EXP(-S13_PSP_Species_Support!X20*7))^S13_PSP_Species_Support!Y20)^2*(S13_PSP_Species_Support!Z20*(1-EXP(-S13_PSP_Species_Support!AA20*7))^S13_PSP_Species_Support!AB20))^0.976,0)+IFERROR(S13_PSP_Species_Support!AF20*0.0673*(S13_PSP_Species_Support!AG20*(S13_PSP_Species_Support!AH20*(1-EXP(-S13_PSP_Species_Support!AI20*7))^S13_PSP_Species_Support!AJ20)^2*(S13_PSP_Species_Support!AK20*(1-EXP(-S13_PSP_Species_Support!AL20*7))^S13_PSP_Species_Support!AM20))^0.976,0)+IFERROR(S13_PSP_Species_Support!AQ20*0.0673*(S13_PSP_Species_Support!AR20*(S13_PSP_Species_Support!AS20*(1-EXP(-S13_PSP_Species_Support!AT20*7))^S13_PSP_Species_Support!AU20)^2*(S13_PSP_Species_Support!AV20*(1-EXP(-S13_PSP_Species_Support!AW20*7))^S13_PSP_Species_Support!AX20))^0.976,0)+IFERROR(S13_PSP_Species_Support!BB20*0.0673*(S13_PSP_Species_Support!BC20*(S13_PSP_Species_Support!BD20*(1-EXP(-S13_PSP_Species_Support!BE20*7))^S13_PSP_Species_Support!BF20)^2*(S13_PSP_Species_Support!BG20*(1-EXP(-S13_PSP_Species_Support!BH20*7))^S13_PSP_Species_Support!BI20))^0.976,0)+IFERROR(S13_PSP_Species_Support!BM20*0.0673*(S13_PSP_Species_Support!BN20*(S13_PSP_Species_Support!BO20*(1-EXP(-S13_PSP_Species_Support!BP20*7))^S13_PSP_Species_Support!BQ20)^2*(S13_PSP_Species_Support!BR20*(1-EXP(-S13_PSP_Species_Support!BS20*7))^S13_PSP_Species_Support!BT20))^0.976,0)+IFERROR(S13_PSP_Species_Support!BX20*0.0673*(S13_PSP_Species_Support!BY20*(S13_PSP_Species_Support!BZ20*(1-EXP(-S13_PSP_Species_Support!CA20*7))^S13_PSP_Species_Support!CB20)^2*(S13_PSP_Species_Support!CC20*(1-EXP(-S13_PSP_Species_Support!CD20*7))^S13_PSP_Species_Support!CE20))^0.976,0)+IFERROR(S13_PSP_Species_Support!CI20*0.0673*(S13_PSP_Species_Support!CJ20*(S13_PSP_Species_Support!CK20*(1-EXP(-S13_PSP_Species_Support!CL20*7))^S13_PSP_Species_Support!CM20)^2*(S13_PSP_Species_Support!CN20*(1-EXP(-S13_PSP_Species_Support!CO20*7))^S13_PSP_Species_Support!CP20))^0.976,0)+IFERROR(S13_PSP_Species_Support!CT20*0.0673*(S13_PSP_Species_Support!CU20*(S13_PSP_Species_Support!CV20*(1-EXP(-S13_PSP_Species_Support!CW20*7))^S13_PSP_Species_Support!CX20)^2*(S13_PSP_Species_Support!CY20*(1-EXP(-S13_PSP_Species_Support!CZ20*7))^S13_PSP_Species_Support!DA20))^0.976,0))/1000/$G33*P$108,0)</x:f>
        <x:v>933.7432626996448</x:v>
      </x:c>
      <x:c r="Q33" s="147" t="n">
        <x:f aca="0">IFERROR((IFERROR(S13_PSP_Species_Support!U20*0.0673*(S13_PSP_Species_Support!V20*(S13_PSP_Species_Support!W20*(1-EXP(-S13_PSP_Species_Support!X20*8))^S13_PSP_Species_Support!Y20)^2*(S13_PSP_Species_Support!Z20*(1-EXP(-S13_PSP_Species_Support!AA20*8))^S13_PSP_Species_Support!AB20))^0.976,0)+IFERROR(S13_PSP_Species_Support!AF20*0.0673*(S13_PSP_Species_Support!AG20*(S13_PSP_Species_Support!AH20*(1-EXP(-S13_PSP_Species_Support!AI20*8))^S13_PSP_Species_Support!AJ20)^2*(S13_PSP_Species_Support!AK20*(1-EXP(-S13_PSP_Species_Support!AL20*8))^S13_PSP_Species_Support!AM20))^0.976,0)+IFERROR(S13_PSP_Species_Support!AQ20*0.0673*(S13_PSP_Species_Support!AR20*(S13_PSP_Species_Support!AS20*(1-EXP(-S13_PSP_Species_Support!AT20*8))^S13_PSP_Species_Support!AU20)^2*(S13_PSP_Species_Support!AV20*(1-EXP(-S13_PSP_Species_Support!AW20*8))^S13_PSP_Species_Support!AX20))^0.976,0)+IFERROR(S13_PSP_Species_Support!BB20*0.0673*(S13_PSP_Species_Support!BC20*(S13_PSP_Species_Support!BD20*(1-EXP(-S13_PSP_Species_Support!BE20*8))^S13_PSP_Species_Support!BF20)^2*(S13_PSP_Species_Support!BG20*(1-EXP(-S13_PSP_Species_Support!BH20*8))^S13_PSP_Species_Support!BI20))^0.976,0)+IFERROR(S13_PSP_Species_Support!BM20*0.0673*(S13_PSP_Species_Support!BN20*(S13_PSP_Species_Support!BO20*(1-EXP(-S13_PSP_Species_Support!BP20*8))^S13_PSP_Species_Support!BQ20)^2*(S13_PSP_Species_Support!BR20*(1-EXP(-S13_PSP_Species_Support!BS20*8))^S13_PSP_Species_Support!BT20))^0.976,0)+IFERROR(S13_PSP_Species_Support!BX20*0.0673*(S13_PSP_Species_Support!BY20*(S13_PSP_Species_Support!BZ20*(1-EXP(-S13_PSP_Species_Support!CA20*8))^S13_PSP_Species_Support!CB20)^2*(S13_PSP_Species_Support!CC20*(1-EXP(-S13_PSP_Species_Support!CD20*8))^S13_PSP_Species_Support!CE20))^0.976,0)+IFERROR(S13_PSP_Species_Support!CI20*0.0673*(S13_PSP_Species_Support!CJ20*(S13_PSP_Species_Support!CK20*(1-EXP(-S13_PSP_Species_Support!CL20*8))^S13_PSP_Species_Support!CM20)^2*(S13_PSP_Species_Support!CN20*(1-EXP(-S13_PSP_Species_Support!CO20*8))^S13_PSP_Species_Support!CP20))^0.976,0)+IFERROR(S13_PSP_Species_Support!CT20*0.0673*(S13_PSP_Species_Support!CU20*(S13_PSP_Species_Support!CV20*(1-EXP(-S13_PSP_Species_Support!CW20*8))^S13_PSP_Species_Support!CX20)^2*(S13_PSP_Species_Support!CY20*(1-EXP(-S13_PSP_Species_Support!CZ20*8))^S13_PSP_Species_Support!DA20))^0.976,0))/1000/$G33*Q$108,0)</x:f>
        <x:v>1191.0776092143915</x:v>
      </x:c>
      <x:c r="R33" s="147" t="n">
        <x:f aca="0">IFERROR((IFERROR(S13_PSP_Species_Support!U20*0.0673*(S13_PSP_Species_Support!V20*(S13_PSP_Species_Support!W20*(1-EXP(-S13_PSP_Species_Support!X20*9))^S13_PSP_Species_Support!Y20)^2*(S13_PSP_Species_Support!Z20*(1-EXP(-S13_PSP_Species_Support!AA20*9))^S13_PSP_Species_Support!AB20))^0.976,0)+IFERROR(S13_PSP_Species_Support!AF20*0.0673*(S13_PSP_Species_Support!AG20*(S13_PSP_Species_Support!AH20*(1-EXP(-S13_PSP_Species_Support!AI20*9))^S13_PSP_Species_Support!AJ20)^2*(S13_PSP_Species_Support!AK20*(1-EXP(-S13_PSP_Species_Support!AL20*9))^S13_PSP_Species_Support!AM20))^0.976,0)+IFERROR(S13_PSP_Species_Support!AQ20*0.0673*(S13_PSP_Species_Support!AR20*(S13_PSP_Species_Support!AS20*(1-EXP(-S13_PSP_Species_Support!AT20*9))^S13_PSP_Species_Support!AU20)^2*(S13_PSP_Species_Support!AV20*(1-EXP(-S13_PSP_Species_Support!AW20*9))^S13_PSP_Species_Support!AX20))^0.976,0)+IFERROR(S13_PSP_Species_Support!BB20*0.0673*(S13_PSP_Species_Support!BC20*(S13_PSP_Species_Support!BD20*(1-EXP(-S13_PSP_Species_Support!BE20*9))^S13_PSP_Species_Support!BF20)^2*(S13_PSP_Species_Support!BG20*(1-EXP(-S13_PSP_Species_Support!BH20*9))^S13_PSP_Species_Support!BI20))^0.976,0)+IFERROR(S13_PSP_Species_Support!BM20*0.0673*(S13_PSP_Species_Support!BN20*(S13_PSP_Species_Support!BO20*(1-EXP(-S13_PSP_Species_Support!BP20*9))^S13_PSP_Species_Support!BQ20)^2*(S13_PSP_Species_Support!BR20*(1-EXP(-S13_PSP_Species_Support!BS20*9))^S13_PSP_Species_Support!BT20))^0.976,0)+IFERROR(S13_PSP_Species_Support!BX20*0.0673*(S13_PSP_Species_Support!BY20*(S13_PSP_Species_Support!BZ20*(1-EXP(-S13_PSP_Species_Support!CA20*9))^S13_PSP_Species_Support!CB20)^2*(S13_PSP_Species_Support!CC20*(1-EXP(-S13_PSP_Species_Support!CD20*9))^S13_PSP_Species_Support!CE20))^0.976,0)+IFERROR(S13_PSP_Species_Support!CI20*0.0673*(S13_PSP_Species_Support!CJ20*(S13_PSP_Species_Support!CK20*(1-EXP(-S13_PSP_Species_Support!CL20*9))^S13_PSP_Species_Support!CM20)^2*(S13_PSP_Species_Support!CN20*(1-EXP(-S13_PSP_Species_Support!CO20*9))^S13_PSP_Species_Support!CP20))^0.976,0)+IFERROR(S13_PSP_Species_Support!CT20*0.0673*(S13_PSP_Species_Support!CU20*(S13_PSP_Species_Support!CV20*(1-EXP(-S13_PSP_Species_Support!CW20*9))^S13_PSP_Species_Support!CX20)^2*(S13_PSP_Species_Support!CY20*(1-EXP(-S13_PSP_Species_Support!CZ20*9))^S13_PSP_Species_Support!DA20))^0.976,0))/1000/$G33*R$108,0)</x:f>
        <x:v>1445.2467164902666</x:v>
      </x:c>
      <x:c r="S33" s="147" t="n">
        <x:f aca="0">IFERROR((IFERROR(S13_PSP_Species_Support!U20*0.0673*(S13_PSP_Species_Support!V20*(S13_PSP_Species_Support!W20*(1-EXP(-S13_PSP_Species_Support!X20*10))^S13_PSP_Species_Support!Y20)^2*(S13_PSP_Species_Support!Z20*(1-EXP(-S13_PSP_Species_Support!AA20*10))^S13_PSP_Species_Support!AB20))^0.976,0)+IFERROR(S13_PSP_Species_Support!AF20*0.0673*(S13_PSP_Species_Support!AG20*(S13_PSP_Species_Support!AH20*(1-EXP(-S13_PSP_Species_Support!AI20*10))^S13_PSP_Species_Support!AJ20)^2*(S13_PSP_Species_Support!AK20*(1-EXP(-S13_PSP_Species_Support!AL20*10))^S13_PSP_Species_Support!AM20))^0.976,0)+IFERROR(S13_PSP_Species_Support!AQ20*0.0673*(S13_PSP_Species_Support!AR20*(S13_PSP_Species_Support!AS20*(1-EXP(-S13_PSP_Species_Support!AT20*10))^S13_PSP_Species_Support!AU20)^2*(S13_PSP_Species_Support!AV20*(1-EXP(-S13_PSP_Species_Support!AW20*10))^S13_PSP_Species_Support!AX20))^0.976,0)+IFERROR(S13_PSP_Species_Support!BB20*0.0673*(S13_PSP_Species_Support!BC20*(S13_PSP_Species_Support!BD20*(1-EXP(-S13_PSP_Species_Support!BE20*10))^S13_PSP_Species_Support!BF20)^2*(S13_PSP_Species_Support!BG20*(1-EXP(-S13_PSP_Species_Support!BH20*10))^S13_PSP_Species_Support!BI20))^0.976,0)+IFERROR(S13_PSP_Species_Support!BM20*0.0673*(S13_PSP_Species_Support!BN20*(S13_PSP_Species_Support!BO20*(1-EXP(-S13_PSP_Species_Support!BP20*10))^S13_PSP_Species_Support!BQ20)^2*(S13_PSP_Species_Support!BR20*(1-EXP(-S13_PSP_Species_Support!BS20*10))^S13_PSP_Species_Support!BT20))^0.976,0)+IFERROR(S13_PSP_Species_Support!BX20*0.0673*(S13_PSP_Species_Support!BY20*(S13_PSP_Species_Support!BZ20*(1-EXP(-S13_PSP_Species_Support!CA20*10))^S13_PSP_Species_Support!CB20)^2*(S13_PSP_Species_Support!CC20*(1-EXP(-S13_PSP_Species_Support!CD20*10))^S13_PSP_Species_Support!CE20))^0.976,0)+IFERROR(S13_PSP_Species_Support!CI20*0.0673*(S13_PSP_Species_Support!CJ20*(S13_PSP_Species_Support!CK20*(1-EXP(-S13_PSP_Species_Support!CL20*10))^S13_PSP_Species_Support!CM20)^2*(S13_PSP_Species_Support!CN20*(1-EXP(-S13_PSP_Species_Support!CO20*10))^S13_PSP_Species_Support!CP20))^0.976,0)+IFERROR(S13_PSP_Species_Support!CT20*0.0673*(S13_PSP_Species_Support!CU20*(S13_PSP_Species_Support!CV20*(1-EXP(-S13_PSP_Species_Support!CW20*10))^S13_PSP_Species_Support!CX20)^2*(S13_PSP_Species_Support!CY20*(1-EXP(-S13_PSP_Species_Support!CZ20*10))^S13_PSP_Species_Support!DA20))^0.976,0))/1000/$G33*S$108,0)</x:f>
        <x:v>1688.5020952562131</x:v>
      </x:c>
      <x:c r="T33" s="147" t="n">
        <x:f aca="0">IFERROR((IFERROR(S13_PSP_Species_Support!U20*0.0673*(S13_PSP_Species_Support!V20*(S13_PSP_Species_Support!W20*(1-EXP(-S13_PSP_Species_Support!X20*11))^S13_PSP_Species_Support!Y20)^2*(S13_PSP_Species_Support!Z20*(1-EXP(-S13_PSP_Species_Support!AA20*11))^S13_PSP_Species_Support!AB20))^0.976,0)+IFERROR(S13_PSP_Species_Support!AF20*0.0673*(S13_PSP_Species_Support!AG20*(S13_PSP_Species_Support!AH20*(1-EXP(-S13_PSP_Species_Support!AI20*11))^S13_PSP_Species_Support!AJ20)^2*(S13_PSP_Species_Support!AK20*(1-EXP(-S13_PSP_Species_Support!AL20*11))^S13_PSP_Species_Support!AM20))^0.976,0)+IFERROR(S13_PSP_Species_Support!AQ20*0.0673*(S13_PSP_Species_Support!AR20*(S13_PSP_Species_Support!AS20*(1-EXP(-S13_PSP_Species_Support!AT20*11))^S13_PSP_Species_Support!AU20)^2*(S13_PSP_Species_Support!AV20*(1-EXP(-S13_PSP_Species_Support!AW20*11))^S13_PSP_Species_Support!AX20))^0.976,0)+IFERROR(S13_PSP_Species_Support!BB20*0.0673*(S13_PSP_Species_Support!BC20*(S13_PSP_Species_Support!BD20*(1-EXP(-S13_PSP_Species_Support!BE20*11))^S13_PSP_Species_Support!BF20)^2*(S13_PSP_Species_Support!BG20*(1-EXP(-S13_PSP_Species_Support!BH20*11))^S13_PSP_Species_Support!BI20))^0.976,0)+IFERROR(S13_PSP_Species_Support!BM20*0.0673*(S13_PSP_Species_Support!BN20*(S13_PSP_Species_Support!BO20*(1-EXP(-S13_PSP_Species_Support!BP20*11))^S13_PSP_Species_Support!BQ20)^2*(S13_PSP_Species_Support!BR20*(1-EXP(-S13_PSP_Species_Support!BS20*11))^S13_PSP_Species_Support!BT20))^0.976,0)+IFERROR(S13_PSP_Species_Support!BX20*0.0673*(S13_PSP_Species_Support!BY20*(S13_PSP_Species_Support!BZ20*(1-EXP(-S13_PSP_Species_Support!CA20*11))^S13_PSP_Species_Support!CB20)^2*(S13_PSP_Species_Support!CC20*(1-EXP(-S13_PSP_Species_Support!CD20*11))^S13_PSP_Species_Support!CE20))^0.976,0)+IFERROR(S13_PSP_Species_Support!CI20*0.0673*(S13_PSP_Species_Support!CJ20*(S13_PSP_Species_Support!CK20*(1-EXP(-S13_PSP_Species_Support!CL20*11))^S13_PSP_Species_Support!CM20)^2*(S13_PSP_Species_Support!CN20*(1-EXP(-S13_PSP_Species_Support!CO20*11))^S13_PSP_Species_Support!CP20))^0.976,0)+IFERROR(S13_PSP_Species_Support!CT20*0.0673*(S13_PSP_Species_Support!CU20*(S13_PSP_Species_Support!CV20*(1-EXP(-S13_PSP_Species_Support!CW20*11))^S13_PSP_Species_Support!CX20)^2*(S13_PSP_Species_Support!CY20*(1-EXP(-S13_PSP_Species_Support!CZ20*11))^S13_PSP_Species_Support!DA20))^0.976,0))/1000/$G33*T$108,0)</x:f>
        <x:v>1915.7740148651394</x:v>
      </x:c>
      <x:c r="U33" s="147" t="n">
        <x:f aca="0">IFERROR((IFERROR(S13_PSP_Species_Support!U20*0.0673*(S13_PSP_Species_Support!V20*(S13_PSP_Species_Support!W20*(1-EXP(-S13_PSP_Species_Support!X20*12))^S13_PSP_Species_Support!Y20)^2*(S13_PSP_Species_Support!Z20*(1-EXP(-S13_PSP_Species_Support!AA20*12))^S13_PSP_Species_Support!AB20))^0.976,0)+IFERROR(S13_PSP_Species_Support!AF20*0.0673*(S13_PSP_Species_Support!AG20*(S13_PSP_Species_Support!AH20*(1-EXP(-S13_PSP_Species_Support!AI20*12))^S13_PSP_Species_Support!AJ20)^2*(S13_PSP_Species_Support!AK20*(1-EXP(-S13_PSP_Species_Support!AL20*12))^S13_PSP_Species_Support!AM20))^0.976,0)+IFERROR(S13_PSP_Species_Support!AQ20*0.0673*(S13_PSP_Species_Support!AR20*(S13_PSP_Species_Support!AS20*(1-EXP(-S13_PSP_Species_Support!AT20*12))^S13_PSP_Species_Support!AU20)^2*(S13_PSP_Species_Support!AV20*(1-EXP(-S13_PSP_Species_Support!AW20*12))^S13_PSP_Species_Support!AX20))^0.976,0)+IFERROR(S13_PSP_Species_Support!BB20*0.0673*(S13_PSP_Species_Support!BC20*(S13_PSP_Species_Support!BD20*(1-EXP(-S13_PSP_Species_Support!BE20*12))^S13_PSP_Species_Support!BF20)^2*(S13_PSP_Species_Support!BG20*(1-EXP(-S13_PSP_Species_Support!BH20*12))^S13_PSP_Species_Support!BI20))^0.976,0)+IFERROR(S13_PSP_Species_Support!BM20*0.0673*(S13_PSP_Species_Support!BN20*(S13_PSP_Species_Support!BO20*(1-EXP(-S13_PSP_Species_Support!BP20*12))^S13_PSP_Species_Support!BQ20)^2*(S13_PSP_Species_Support!BR20*(1-EXP(-S13_PSP_Species_Support!BS20*12))^S13_PSP_Species_Support!BT20))^0.976,0)+IFERROR(S13_PSP_Species_Support!BX20*0.0673*(S13_PSP_Species_Support!BY20*(S13_PSP_Species_Support!BZ20*(1-EXP(-S13_PSP_Species_Support!CA20*12))^S13_PSP_Species_Support!CB20)^2*(S13_PSP_Species_Support!CC20*(1-EXP(-S13_PSP_Species_Support!CD20*12))^S13_PSP_Species_Support!CE20))^0.976,0)+IFERROR(S13_PSP_Species_Support!CI20*0.0673*(S13_PSP_Species_Support!CJ20*(S13_PSP_Species_Support!CK20*(1-EXP(-S13_PSP_Species_Support!CL20*12))^S13_PSP_Species_Support!CM20)^2*(S13_PSP_Species_Support!CN20*(1-EXP(-S13_PSP_Species_Support!CO20*12))^S13_PSP_Species_Support!CP20))^0.976,0)+IFERROR(S13_PSP_Species_Support!CT20*0.0673*(S13_PSP_Species_Support!CU20*(S13_PSP_Species_Support!CV20*(1-EXP(-S13_PSP_Species_Support!CW20*12))^S13_PSP_Species_Support!CX20)^2*(S13_PSP_Species_Support!CY20*(1-EXP(-S13_PSP_Species_Support!CZ20*12))^S13_PSP_Species_Support!DA20))^0.976,0))/1000/$G33*U$108,0)</x:f>
        <x:v>2124.174319504466</x:v>
      </x:c>
      <x:c r="V33" s="147" t="n">
        <x:f aca="0">IFERROR((IFERROR(S13_PSP_Species_Support!U20*0.0673*(S13_PSP_Species_Support!V20*(S13_PSP_Species_Support!W20*(1-EXP(-S13_PSP_Species_Support!X20*13))^S13_PSP_Species_Support!Y20)^2*(S13_PSP_Species_Support!Z20*(1-EXP(-S13_PSP_Species_Support!AA20*13))^S13_PSP_Species_Support!AB20))^0.976,0)+IFERROR(S13_PSP_Species_Support!AF20*0.0673*(S13_PSP_Species_Support!AG20*(S13_PSP_Species_Support!AH20*(1-EXP(-S13_PSP_Species_Support!AI20*13))^S13_PSP_Species_Support!AJ20)^2*(S13_PSP_Species_Support!AK20*(1-EXP(-S13_PSP_Species_Support!AL20*13))^S13_PSP_Species_Support!AM20))^0.976,0)+IFERROR(S13_PSP_Species_Support!AQ20*0.0673*(S13_PSP_Species_Support!AR20*(S13_PSP_Species_Support!AS20*(1-EXP(-S13_PSP_Species_Support!AT20*13))^S13_PSP_Species_Support!AU20)^2*(S13_PSP_Species_Support!AV20*(1-EXP(-S13_PSP_Species_Support!AW20*13))^S13_PSP_Species_Support!AX20))^0.976,0)+IFERROR(S13_PSP_Species_Support!BB20*0.0673*(S13_PSP_Species_Support!BC20*(S13_PSP_Species_Support!BD20*(1-EXP(-S13_PSP_Species_Support!BE20*13))^S13_PSP_Species_Support!BF20)^2*(S13_PSP_Species_Support!BG20*(1-EXP(-S13_PSP_Species_Support!BH20*13))^S13_PSP_Species_Support!BI20))^0.976,0)+IFERROR(S13_PSP_Species_Support!BM20*0.0673*(S13_PSP_Species_Support!BN20*(S13_PSP_Species_Support!BO20*(1-EXP(-S13_PSP_Species_Support!BP20*13))^S13_PSP_Species_Support!BQ20)^2*(S13_PSP_Species_Support!BR20*(1-EXP(-S13_PSP_Species_Support!BS20*13))^S13_PSP_Species_Support!BT20))^0.976,0)+IFERROR(S13_PSP_Species_Support!BX20*0.0673*(S13_PSP_Species_Support!BY20*(S13_PSP_Species_Support!BZ20*(1-EXP(-S13_PSP_Species_Support!CA20*13))^S13_PSP_Species_Support!CB20)^2*(S13_PSP_Species_Support!CC20*(1-EXP(-S13_PSP_Species_Support!CD20*13))^S13_PSP_Species_Support!CE20))^0.976,0)+IFERROR(S13_PSP_Species_Support!CI20*0.0673*(S13_PSP_Species_Support!CJ20*(S13_PSP_Species_Support!CK20*(1-EXP(-S13_PSP_Species_Support!CL20*13))^S13_PSP_Species_Support!CM20)^2*(S13_PSP_Species_Support!CN20*(1-EXP(-S13_PSP_Species_Support!CO20*13))^S13_PSP_Species_Support!CP20))^0.976,0)+IFERROR(S13_PSP_Species_Support!CT20*0.0673*(S13_PSP_Species_Support!CU20*(S13_PSP_Species_Support!CV20*(1-EXP(-S13_PSP_Species_Support!CW20*13))^S13_PSP_Species_Support!CX20)^2*(S13_PSP_Species_Support!CY20*(1-EXP(-S13_PSP_Species_Support!CZ20*13))^S13_PSP_Species_Support!DA20))^0.976,0))/1000/$G33*V$108,0)</x:f>
        <x:v>2312.471045545473</x:v>
      </x:c>
      <x:c r="W33" s="147" t="n">
        <x:f aca="0">IFERROR((IFERROR(S13_PSP_Species_Support!U20*0.0673*(S13_PSP_Species_Support!V20*(S13_PSP_Species_Support!W20*(1-EXP(-S13_PSP_Species_Support!X20*14))^S13_PSP_Species_Support!Y20)^2*(S13_PSP_Species_Support!Z20*(1-EXP(-S13_PSP_Species_Support!AA20*14))^S13_PSP_Species_Support!AB20))^0.976,0)+IFERROR(S13_PSP_Species_Support!AF20*0.0673*(S13_PSP_Species_Support!AG20*(S13_PSP_Species_Support!AH20*(1-EXP(-S13_PSP_Species_Support!AI20*14))^S13_PSP_Species_Support!AJ20)^2*(S13_PSP_Species_Support!AK20*(1-EXP(-S13_PSP_Species_Support!AL20*14))^S13_PSP_Species_Support!AM20))^0.976,0)+IFERROR(S13_PSP_Species_Support!AQ20*0.0673*(S13_PSP_Species_Support!AR20*(S13_PSP_Species_Support!AS20*(1-EXP(-S13_PSP_Species_Support!AT20*14))^S13_PSP_Species_Support!AU20)^2*(S13_PSP_Species_Support!AV20*(1-EXP(-S13_PSP_Species_Support!AW20*14))^S13_PSP_Species_Support!AX20))^0.976,0)+IFERROR(S13_PSP_Species_Support!BB20*0.0673*(S13_PSP_Species_Support!BC20*(S13_PSP_Species_Support!BD20*(1-EXP(-S13_PSP_Species_Support!BE20*14))^S13_PSP_Species_Support!BF20)^2*(S13_PSP_Species_Support!BG20*(1-EXP(-S13_PSP_Species_Support!BH20*14))^S13_PSP_Species_Support!BI20))^0.976,0)+IFERROR(S13_PSP_Species_Support!BM20*0.0673*(S13_PSP_Species_Support!BN20*(S13_PSP_Species_Support!BO20*(1-EXP(-S13_PSP_Species_Support!BP20*14))^S13_PSP_Species_Support!BQ20)^2*(S13_PSP_Species_Support!BR20*(1-EXP(-S13_PSP_Species_Support!BS20*14))^S13_PSP_Species_Support!BT20))^0.976,0)+IFERROR(S13_PSP_Species_Support!BX20*0.0673*(S13_PSP_Species_Support!BY20*(S13_PSP_Species_Support!BZ20*(1-EXP(-S13_PSP_Species_Support!CA20*14))^S13_PSP_Species_Support!CB20)^2*(S13_PSP_Species_Support!CC20*(1-EXP(-S13_PSP_Species_Support!CD20*14))^S13_PSP_Species_Support!CE20))^0.976,0)+IFERROR(S13_PSP_Species_Support!CI20*0.0673*(S13_PSP_Species_Support!CJ20*(S13_PSP_Species_Support!CK20*(1-EXP(-S13_PSP_Species_Support!CL20*14))^S13_PSP_Species_Support!CM20)^2*(S13_PSP_Species_Support!CN20*(1-EXP(-S13_PSP_Species_Support!CO20*14))^S13_PSP_Species_Support!CP20))^0.976,0)+IFERROR(S13_PSP_Species_Support!CT20*0.0673*(S13_PSP_Species_Support!CU20*(S13_PSP_Species_Support!CV20*(1-EXP(-S13_PSP_Species_Support!CW20*14))^S13_PSP_Species_Support!CX20)^2*(S13_PSP_Species_Support!CY20*(1-EXP(-S13_PSP_Species_Support!CZ20*14))^S13_PSP_Species_Support!DA20))^0.976,0))/1000/$G33*W$108,0)</x:f>
        <x:v>2480.615992972842</x:v>
      </x:c>
      <x:c r="X33" s="147" t="n">
        <x:f aca="0">IFERROR((IFERROR(S13_PSP_Species_Support!U20*0.0673*(S13_PSP_Species_Support!V20*(S13_PSP_Species_Support!W20*(1-EXP(-S13_PSP_Species_Support!X20*15))^S13_PSP_Species_Support!Y20)^2*(S13_PSP_Species_Support!Z20*(1-EXP(-S13_PSP_Species_Support!AA20*15))^S13_PSP_Species_Support!AB20))^0.976,0)+IFERROR(S13_PSP_Species_Support!AF20*0.0673*(S13_PSP_Species_Support!AG20*(S13_PSP_Species_Support!AH20*(1-EXP(-S13_PSP_Species_Support!AI20*15))^S13_PSP_Species_Support!AJ20)^2*(S13_PSP_Species_Support!AK20*(1-EXP(-S13_PSP_Species_Support!AL20*15))^S13_PSP_Species_Support!AM20))^0.976,0)+IFERROR(S13_PSP_Species_Support!AQ20*0.0673*(S13_PSP_Species_Support!AR20*(S13_PSP_Species_Support!AS20*(1-EXP(-S13_PSP_Species_Support!AT20*15))^S13_PSP_Species_Support!AU20)^2*(S13_PSP_Species_Support!AV20*(1-EXP(-S13_PSP_Species_Support!AW20*15))^S13_PSP_Species_Support!AX20))^0.976,0)+IFERROR(S13_PSP_Species_Support!BB20*0.0673*(S13_PSP_Species_Support!BC20*(S13_PSP_Species_Support!BD20*(1-EXP(-S13_PSP_Species_Support!BE20*15))^S13_PSP_Species_Support!BF20)^2*(S13_PSP_Species_Support!BG20*(1-EXP(-S13_PSP_Species_Support!BH20*15))^S13_PSP_Species_Support!BI20))^0.976,0)+IFERROR(S13_PSP_Species_Support!BM20*0.0673*(S13_PSP_Species_Support!BN20*(S13_PSP_Species_Support!BO20*(1-EXP(-S13_PSP_Species_Support!BP20*15))^S13_PSP_Species_Support!BQ20)^2*(S13_PSP_Species_Support!BR20*(1-EXP(-S13_PSP_Species_Support!BS20*15))^S13_PSP_Species_Support!BT20))^0.976,0)+IFERROR(S13_PSP_Species_Support!BX20*0.0673*(S13_PSP_Species_Support!BY20*(S13_PSP_Species_Support!BZ20*(1-EXP(-S13_PSP_Species_Support!CA20*15))^S13_PSP_Species_Support!CB20)^2*(S13_PSP_Species_Support!CC20*(1-EXP(-S13_PSP_Species_Support!CD20*15))^S13_PSP_Species_Support!CE20))^0.976,0)+IFERROR(S13_PSP_Species_Support!CI20*0.0673*(S13_PSP_Species_Support!CJ20*(S13_PSP_Species_Support!CK20*(1-EXP(-S13_PSP_Species_Support!CL20*15))^S13_PSP_Species_Support!CM20)^2*(S13_PSP_Species_Support!CN20*(1-EXP(-S13_PSP_Species_Support!CO20*15))^S13_PSP_Species_Support!CP20))^0.976,0)+IFERROR(S13_PSP_Species_Support!CT20*0.0673*(S13_PSP_Species_Support!CU20*(S13_PSP_Species_Support!CV20*(1-EXP(-S13_PSP_Species_Support!CW20*15))^S13_PSP_Species_Support!CX20)^2*(S13_PSP_Species_Support!CY20*(1-EXP(-S13_PSP_Species_Support!CZ20*15))^S13_PSP_Species_Support!DA20))^0.976,0))/1000/$G33*X$108,0)</x:f>
        <x:v>2629.355985968044</x:v>
      </x:c>
      <x:c r="Y33" s="147" t="n">
        <x:f aca="0">IFERROR((IFERROR(S13_PSP_Species_Support!U20*0.0673*(S13_PSP_Species_Support!V20*(S13_PSP_Species_Support!W20*(1-EXP(-S13_PSP_Species_Support!X20*16))^S13_PSP_Species_Support!Y20)^2*(S13_PSP_Species_Support!Z20*(1-EXP(-S13_PSP_Species_Support!AA20*16))^S13_PSP_Species_Support!AB20))^0.976,0)+IFERROR(S13_PSP_Species_Support!AF20*0.0673*(S13_PSP_Species_Support!AG20*(S13_PSP_Species_Support!AH20*(1-EXP(-S13_PSP_Species_Support!AI20*16))^S13_PSP_Species_Support!AJ20)^2*(S13_PSP_Species_Support!AK20*(1-EXP(-S13_PSP_Species_Support!AL20*16))^S13_PSP_Species_Support!AM20))^0.976,0)+IFERROR(S13_PSP_Species_Support!AQ20*0.0673*(S13_PSP_Species_Support!AR20*(S13_PSP_Species_Support!AS20*(1-EXP(-S13_PSP_Species_Support!AT20*16))^S13_PSP_Species_Support!AU20)^2*(S13_PSP_Species_Support!AV20*(1-EXP(-S13_PSP_Species_Support!AW20*16))^S13_PSP_Species_Support!AX20))^0.976,0)+IFERROR(S13_PSP_Species_Support!BB20*0.0673*(S13_PSP_Species_Support!BC20*(S13_PSP_Species_Support!BD20*(1-EXP(-S13_PSP_Species_Support!BE20*16))^S13_PSP_Species_Support!BF20)^2*(S13_PSP_Species_Support!BG20*(1-EXP(-S13_PSP_Species_Support!BH20*16))^S13_PSP_Species_Support!BI20))^0.976,0)+IFERROR(S13_PSP_Species_Support!BM20*0.0673*(S13_PSP_Species_Support!BN20*(S13_PSP_Species_Support!BO20*(1-EXP(-S13_PSP_Species_Support!BP20*16))^S13_PSP_Species_Support!BQ20)^2*(S13_PSP_Species_Support!BR20*(1-EXP(-S13_PSP_Species_Support!BS20*16))^S13_PSP_Species_Support!BT20))^0.976,0)+IFERROR(S13_PSP_Species_Support!BX20*0.0673*(S13_PSP_Species_Support!BY20*(S13_PSP_Species_Support!BZ20*(1-EXP(-S13_PSP_Species_Support!CA20*16))^S13_PSP_Species_Support!CB20)^2*(S13_PSP_Species_Support!CC20*(1-EXP(-S13_PSP_Species_Support!CD20*16))^S13_PSP_Species_Support!CE20))^0.976,0)+IFERROR(S13_PSP_Species_Support!CI20*0.0673*(S13_PSP_Species_Support!CJ20*(S13_PSP_Species_Support!CK20*(1-EXP(-S13_PSP_Species_Support!CL20*16))^S13_PSP_Species_Support!CM20)^2*(S13_PSP_Species_Support!CN20*(1-EXP(-S13_PSP_Species_Support!CO20*16))^S13_PSP_Species_Support!CP20))^0.976,0)+IFERROR(S13_PSP_Species_Support!CT20*0.0673*(S13_PSP_Species_Support!CU20*(S13_PSP_Species_Support!CV20*(1-EXP(-S13_PSP_Species_Support!CW20*16))^S13_PSP_Species_Support!CX20)^2*(S13_PSP_Species_Support!CY20*(1-EXP(-S13_PSP_Species_Support!CZ20*16))^S13_PSP_Species_Support!DA20))^0.976,0))/1000/$G33*Y$108,0)</x:f>
        <x:v>2759.9315838715024</x:v>
      </x:c>
      <x:c r="Z33" s="147" t="n">
        <x:f aca="0">IFERROR((IFERROR(S13_PSP_Species_Support!U20*0.0673*(S13_PSP_Species_Support!V20*(S13_PSP_Species_Support!W20*(1-EXP(-S13_PSP_Species_Support!X20*17))^S13_PSP_Species_Support!Y20)^2*(S13_PSP_Species_Support!Z20*(1-EXP(-S13_PSP_Species_Support!AA20*17))^S13_PSP_Species_Support!AB20))^0.976,0)+IFERROR(S13_PSP_Species_Support!AF20*0.0673*(S13_PSP_Species_Support!AG20*(S13_PSP_Species_Support!AH20*(1-EXP(-S13_PSP_Species_Support!AI20*17))^S13_PSP_Species_Support!AJ20)^2*(S13_PSP_Species_Support!AK20*(1-EXP(-S13_PSP_Species_Support!AL20*17))^S13_PSP_Species_Support!AM20))^0.976,0)+IFERROR(S13_PSP_Species_Support!AQ20*0.0673*(S13_PSP_Species_Support!AR20*(S13_PSP_Species_Support!AS20*(1-EXP(-S13_PSP_Species_Support!AT20*17))^S13_PSP_Species_Support!AU20)^2*(S13_PSP_Species_Support!AV20*(1-EXP(-S13_PSP_Species_Support!AW20*17))^S13_PSP_Species_Support!AX20))^0.976,0)+IFERROR(S13_PSP_Species_Support!BB20*0.0673*(S13_PSP_Species_Support!BC20*(S13_PSP_Species_Support!BD20*(1-EXP(-S13_PSP_Species_Support!BE20*17))^S13_PSP_Species_Support!BF20)^2*(S13_PSP_Species_Support!BG20*(1-EXP(-S13_PSP_Species_Support!BH20*17))^S13_PSP_Species_Support!BI20))^0.976,0)+IFERROR(S13_PSP_Species_Support!BM20*0.0673*(S13_PSP_Species_Support!BN20*(S13_PSP_Species_Support!BO20*(1-EXP(-S13_PSP_Species_Support!BP20*17))^S13_PSP_Species_Support!BQ20)^2*(S13_PSP_Species_Support!BR20*(1-EXP(-S13_PSP_Species_Support!BS20*17))^S13_PSP_Species_Support!BT20))^0.976,0)+IFERROR(S13_PSP_Species_Support!BX20*0.0673*(S13_PSP_Species_Support!BY20*(S13_PSP_Species_Support!BZ20*(1-EXP(-S13_PSP_Species_Support!CA20*17))^S13_PSP_Species_Support!CB20)^2*(S13_PSP_Species_Support!CC20*(1-EXP(-S13_PSP_Species_Support!CD20*17))^S13_PSP_Species_Support!CE20))^0.976,0)+IFERROR(S13_PSP_Species_Support!CI20*0.0673*(S13_PSP_Species_Support!CJ20*(S13_PSP_Species_Support!CK20*(1-EXP(-S13_PSP_Species_Support!CL20*17))^S13_PSP_Species_Support!CM20)^2*(S13_PSP_Species_Support!CN20*(1-EXP(-S13_PSP_Species_Support!CO20*17))^S13_PSP_Species_Support!CP20))^0.976,0)+IFERROR(S13_PSP_Species_Support!CT20*0.0673*(S13_PSP_Species_Support!CU20*(S13_PSP_Species_Support!CV20*(1-EXP(-S13_PSP_Species_Support!CW20*17))^S13_PSP_Species_Support!CX20)^2*(S13_PSP_Species_Support!CY20*(1-EXP(-S13_PSP_Species_Support!CZ20*17))^S13_PSP_Species_Support!DA20))^0.976,0))/1000/$G33*Z$108,0)</x:f>
        <x:v>2873.854281526612</x:v>
      </x:c>
      <x:c r="AA33" s="147" t="n">
        <x:f aca="0">IFERROR((IFERROR(S13_PSP_Species_Support!U20*0.0673*(S13_PSP_Species_Support!V20*(S13_PSP_Species_Support!W20*(1-EXP(-S13_PSP_Species_Support!X20*18))^S13_PSP_Species_Support!Y20)^2*(S13_PSP_Species_Support!Z20*(1-EXP(-S13_PSP_Species_Support!AA20*18))^S13_PSP_Species_Support!AB20))^0.976,0)+IFERROR(S13_PSP_Species_Support!AF20*0.0673*(S13_PSP_Species_Support!AG20*(S13_PSP_Species_Support!AH20*(1-EXP(-S13_PSP_Species_Support!AI20*18))^S13_PSP_Species_Support!AJ20)^2*(S13_PSP_Species_Support!AK20*(1-EXP(-S13_PSP_Species_Support!AL20*18))^S13_PSP_Species_Support!AM20))^0.976,0)+IFERROR(S13_PSP_Species_Support!AQ20*0.0673*(S13_PSP_Species_Support!AR20*(S13_PSP_Species_Support!AS20*(1-EXP(-S13_PSP_Species_Support!AT20*18))^S13_PSP_Species_Support!AU20)^2*(S13_PSP_Species_Support!AV20*(1-EXP(-S13_PSP_Species_Support!AW20*18))^S13_PSP_Species_Support!AX20))^0.976,0)+IFERROR(S13_PSP_Species_Support!BB20*0.0673*(S13_PSP_Species_Support!BC20*(S13_PSP_Species_Support!BD20*(1-EXP(-S13_PSP_Species_Support!BE20*18))^S13_PSP_Species_Support!BF20)^2*(S13_PSP_Species_Support!BG20*(1-EXP(-S13_PSP_Species_Support!BH20*18))^S13_PSP_Species_Support!BI20))^0.976,0)+IFERROR(S13_PSP_Species_Support!BM20*0.0673*(S13_PSP_Species_Support!BN20*(S13_PSP_Species_Support!BO20*(1-EXP(-S13_PSP_Species_Support!BP20*18))^S13_PSP_Species_Support!BQ20)^2*(S13_PSP_Species_Support!BR20*(1-EXP(-S13_PSP_Species_Support!BS20*18))^S13_PSP_Species_Support!BT20))^0.976,0)+IFERROR(S13_PSP_Species_Support!BX20*0.0673*(S13_PSP_Species_Support!BY20*(S13_PSP_Species_Support!BZ20*(1-EXP(-S13_PSP_Species_Support!CA20*18))^S13_PSP_Species_Support!CB20)^2*(S13_PSP_Species_Support!CC20*(1-EXP(-S13_PSP_Species_Support!CD20*18))^S13_PSP_Species_Support!CE20))^0.976,0)+IFERROR(S13_PSP_Species_Support!CI20*0.0673*(S13_PSP_Species_Support!CJ20*(S13_PSP_Species_Support!CK20*(1-EXP(-S13_PSP_Species_Support!CL20*18))^S13_PSP_Species_Support!CM20)^2*(S13_PSP_Species_Support!CN20*(1-EXP(-S13_PSP_Species_Support!CO20*18))^S13_PSP_Species_Support!CP20))^0.976,0)+IFERROR(S13_PSP_Species_Support!CT20*0.0673*(S13_PSP_Species_Support!CU20*(S13_PSP_Species_Support!CV20*(1-EXP(-S13_PSP_Species_Support!CW20*18))^S13_PSP_Species_Support!CX20)^2*(S13_PSP_Species_Support!CY20*(1-EXP(-S13_PSP_Species_Support!CZ20*18))^S13_PSP_Species_Support!DA20))^0.976,0))/1000/$G33*AA$108,0)</x:f>
        <x:v>2972.7485793230735</x:v>
      </x:c>
      <x:c r="AB33" s="147" t="n">
        <x:f aca="0">IFERROR((IFERROR(S13_PSP_Species_Support!U20*0.0673*(S13_PSP_Species_Support!V20*(S13_PSP_Species_Support!W20*(1-EXP(-S13_PSP_Species_Support!X20*19))^S13_PSP_Species_Support!Y20)^2*(S13_PSP_Species_Support!Z20*(1-EXP(-S13_PSP_Species_Support!AA20*19))^S13_PSP_Species_Support!AB20))^0.976,0)+IFERROR(S13_PSP_Species_Support!AF20*0.0673*(S13_PSP_Species_Support!AG20*(S13_PSP_Species_Support!AH20*(1-EXP(-S13_PSP_Species_Support!AI20*19))^S13_PSP_Species_Support!AJ20)^2*(S13_PSP_Species_Support!AK20*(1-EXP(-S13_PSP_Species_Support!AL20*19))^S13_PSP_Species_Support!AM20))^0.976,0)+IFERROR(S13_PSP_Species_Support!AQ20*0.0673*(S13_PSP_Species_Support!AR20*(S13_PSP_Species_Support!AS20*(1-EXP(-S13_PSP_Species_Support!AT20*19))^S13_PSP_Species_Support!AU20)^2*(S13_PSP_Species_Support!AV20*(1-EXP(-S13_PSP_Species_Support!AW20*19))^S13_PSP_Species_Support!AX20))^0.976,0)+IFERROR(S13_PSP_Species_Support!BB20*0.0673*(S13_PSP_Species_Support!BC20*(S13_PSP_Species_Support!BD20*(1-EXP(-S13_PSP_Species_Support!BE20*19))^S13_PSP_Species_Support!BF20)^2*(S13_PSP_Species_Support!BG20*(1-EXP(-S13_PSP_Species_Support!BH20*19))^S13_PSP_Species_Support!BI20))^0.976,0)+IFERROR(S13_PSP_Species_Support!BM20*0.0673*(S13_PSP_Species_Support!BN20*(S13_PSP_Species_Support!BO20*(1-EXP(-S13_PSP_Species_Support!BP20*19))^S13_PSP_Species_Support!BQ20)^2*(S13_PSP_Species_Support!BR20*(1-EXP(-S13_PSP_Species_Support!BS20*19))^S13_PSP_Species_Support!BT20))^0.976,0)+IFERROR(S13_PSP_Species_Support!BX20*0.0673*(S13_PSP_Species_Support!BY20*(S13_PSP_Species_Support!BZ20*(1-EXP(-S13_PSP_Species_Support!CA20*19))^S13_PSP_Species_Support!CB20)^2*(S13_PSP_Species_Support!CC20*(1-EXP(-S13_PSP_Species_Support!CD20*19))^S13_PSP_Species_Support!CE20))^0.976,0)+IFERROR(S13_PSP_Species_Support!CI20*0.0673*(S13_PSP_Species_Support!CJ20*(S13_PSP_Species_Support!CK20*(1-EXP(-S13_PSP_Species_Support!CL20*19))^S13_PSP_Species_Support!CM20)^2*(S13_PSP_Species_Support!CN20*(1-EXP(-S13_PSP_Species_Support!CO20*19))^S13_PSP_Species_Support!CP20))^0.976,0)+IFERROR(S13_PSP_Species_Support!CT20*0.0673*(S13_PSP_Species_Support!CU20*(S13_PSP_Species_Support!CV20*(1-EXP(-S13_PSP_Species_Support!CW20*19))^S13_PSP_Species_Support!CX20)^2*(S13_PSP_Species_Support!CY20*(1-EXP(-S13_PSP_Species_Support!CZ20*19))^S13_PSP_Species_Support!DA20))^0.976,0))/1000/$G33*AB$108,0)</x:f>
        <x:v>3058.244848312615</x:v>
      </x:c>
      <x:c r="AC33" s="147" t="n">
        <x:f aca="0">IFERROR((IFERROR(S13_PSP_Species_Support!U20*0.0673*(S13_PSP_Species_Support!V20*(S13_PSP_Species_Support!W20*(1-EXP(-S13_PSP_Species_Support!X20*20))^S13_PSP_Species_Support!Y20)^2*(S13_PSP_Species_Support!Z20*(1-EXP(-S13_PSP_Species_Support!AA20*20))^S13_PSP_Species_Support!AB20))^0.976,0)+IFERROR(S13_PSP_Species_Support!AF20*0.0673*(S13_PSP_Species_Support!AG20*(S13_PSP_Species_Support!AH20*(1-EXP(-S13_PSP_Species_Support!AI20*20))^S13_PSP_Species_Support!AJ20)^2*(S13_PSP_Species_Support!AK20*(1-EXP(-S13_PSP_Species_Support!AL20*20))^S13_PSP_Species_Support!AM20))^0.976,0)+IFERROR(S13_PSP_Species_Support!AQ20*0.0673*(S13_PSP_Species_Support!AR20*(S13_PSP_Species_Support!AS20*(1-EXP(-S13_PSP_Species_Support!AT20*20))^S13_PSP_Species_Support!AU20)^2*(S13_PSP_Species_Support!AV20*(1-EXP(-S13_PSP_Species_Support!AW20*20))^S13_PSP_Species_Support!AX20))^0.976,0)+IFERROR(S13_PSP_Species_Support!BB20*0.0673*(S13_PSP_Species_Support!BC20*(S13_PSP_Species_Support!BD20*(1-EXP(-S13_PSP_Species_Support!BE20*20))^S13_PSP_Species_Support!BF20)^2*(S13_PSP_Species_Support!BG20*(1-EXP(-S13_PSP_Species_Support!BH20*20))^S13_PSP_Species_Support!BI20))^0.976,0)+IFERROR(S13_PSP_Species_Support!BM20*0.0673*(S13_PSP_Species_Support!BN20*(S13_PSP_Species_Support!BO20*(1-EXP(-S13_PSP_Species_Support!BP20*20))^S13_PSP_Species_Support!BQ20)^2*(S13_PSP_Species_Support!BR20*(1-EXP(-S13_PSP_Species_Support!BS20*20))^S13_PSP_Species_Support!BT20))^0.976,0)+IFERROR(S13_PSP_Species_Support!BX20*0.0673*(S13_PSP_Species_Support!BY20*(S13_PSP_Species_Support!BZ20*(1-EXP(-S13_PSP_Species_Support!CA20*20))^S13_PSP_Species_Support!CB20)^2*(S13_PSP_Species_Support!CC20*(1-EXP(-S13_PSP_Species_Support!CD20*20))^S13_PSP_Species_Support!CE20))^0.976,0)+IFERROR(S13_PSP_Species_Support!CI20*0.0673*(S13_PSP_Species_Support!CJ20*(S13_PSP_Species_Support!CK20*(1-EXP(-S13_PSP_Species_Support!CL20*20))^S13_PSP_Species_Support!CM20)^2*(S13_PSP_Species_Support!CN20*(1-EXP(-S13_PSP_Species_Support!CO20*20))^S13_PSP_Species_Support!CP20))^0.976,0)+IFERROR(S13_PSP_Species_Support!CT20*0.0673*(S13_PSP_Species_Support!CU20*(S13_PSP_Species_Support!CV20*(1-EXP(-S13_PSP_Species_Support!CW20*20))^S13_PSP_Species_Support!CX20)^2*(S13_PSP_Species_Support!CY20*(1-EXP(-S13_PSP_Species_Support!CZ20*20))^S13_PSP_Species_Support!DA20))^0.976,0))/1000/$G33*AC$108,0)</x:f>
        <x:v>3131.9103989432306</x:v>
      </x:c>
      <x:c r="AD33" s="148" t="n">
        <x:f aca="0">IF(2020&lt;$F33,0,INDEX($I33:$AC33,1,2020-$F33+1))</x:f>
        <x:v>0</x:v>
      </x:c>
      <x:c r="AE33" s="148" t="n">
        <x:f aca="0">IF(2021&lt;$F33,0,INDEX($I33:$AC33,1,2021-$F33+1))</x:f>
        <x:v>3.851380609459157</x:v>
      </x:c>
      <x:c r="AF33" s="148" t="n">
        <x:f aca="0">IF(2022&lt;$F33,0,INDEX($I33:$AC33,1,2022-$F33+1))</x:f>
        <x:v>36.37623130729903</x:v>
      </x:c>
      <x:c r="AG33" s="148" t="n">
        <x:f aca="0">IF(2023&lt;$F33,0,INDEX($I33:$AC33,1,2023-$F33+1))</x:f>
        <x:v>120.48681601696133</x:v>
      </x:c>
      <x:c r="AH33" s="148" t="n">
        <x:f aca="0">IF(2024&lt;$F33,0,INDEX($I33:$AC33,1,2024-$F33+1))</x:f>
        <x:v>262.80526439754425</x:v>
      </x:c>
      <x:c r="AI33" s="148" t="n">
        <x:f aca="0">IF(2025&lt;$F33,0,INDEX($I33:$AC33,1,2025-$F33+1))</x:f>
        <x:v>455.28243019193997</x:v>
      </x:c>
      <x:c r="AJ33" s="148" t="n">
        <x:f aca="0">IF(2026&lt;$F33,0,INDEX($I33:$AC33,1,2026-$F33+1))</x:f>
        <x:v>683.9728313352537</x:v>
      </x:c>
      <x:c r="AK33" s="148" t="n">
        <x:f aca="0">IF(2027&lt;$F33,0,INDEX($I33:$AC33,1,2027-$F33+1))</x:f>
        <x:v>933.7432626996448</x:v>
      </x:c>
      <x:c r="AL33" s="148" t="n">
        <x:f aca="0">IF(2028&lt;$F33,0,INDEX($I33:$AC33,1,2028-$F33+1))</x:f>
        <x:v>1191.0776092143915</x:v>
      </x:c>
      <x:c r="AM33" s="148" t="n">
        <x:f aca="0">IF(2029&lt;$F33,0,INDEX($I33:$AC33,1,2029-$F33+1))</x:f>
        <x:v>1445.2467164902666</x:v>
      </x:c>
      <x:c r="AN33" s="148" t="n">
        <x:f aca="0">IF(2030&lt;$F33,0,INDEX($I33:$AC33,1,2030-$F33+1))</x:f>
        <x:v>1688.5020952562131</x:v>
      </x:c>
      <x:c r="AO33" s="148" t="n">
        <x:f aca="0">IF(2031&lt;$F33,0,INDEX($I33:$AC33,1,2031-$F33+1))</x:f>
        <x:v>1915.7740148651394</x:v>
      </x:c>
      <x:c r="AP33" s="148" t="n">
        <x:f aca="0">IF(2032&lt;$F33,0,INDEX($I33:$AC33,1,2032-$F33+1))</x:f>
        <x:v>2124.174319504466</x:v>
      </x:c>
      <x:c r="AQ33" s="148" t="n">
        <x:f aca="0">IF(2033&lt;$F33,0,INDEX($I33:$AC33,1,2033-$F33+1))</x:f>
        <x:v>2312.471045545473</x:v>
      </x:c>
      <x:c r="AR33" s="148" t="n">
        <x:f aca="0">IF(2034&lt;$F33,0,INDEX($I33:$AC33,1,2034-$F33+1))</x:f>
        <x:v>2480.615992972842</x:v>
      </x:c>
      <x:c r="AS33" s="148" t="n">
        <x:f aca="0">IF(2035&lt;$F33,0,INDEX($I33:$AC33,1,2035-$F33+1))</x:f>
        <x:v>2629.355985968044</x:v>
      </x:c>
      <x:c r="AT33" s="148" t="n">
        <x:f aca="0">IF(2036&lt;$F33,0,INDEX($I33:$AC33,1,2036-$F33+1))</x:f>
        <x:v>2759.9315838715024</x:v>
      </x:c>
      <x:c r="AU33" s="148" t="n">
        <x:f aca="0">IF(2037&lt;$F33,0,INDEX($I33:$AC33,1,2037-$F33+1))</x:f>
        <x:v>2873.854281526612</x:v>
      </x:c>
      <x:c r="AV33" s="148" t="n">
        <x:f aca="0">IF(2038&lt;$F33,0,INDEX($I33:$AC33,1,2038-$F33+1))</x:f>
        <x:v>2972.7485793230735</x:v>
      </x:c>
      <x:c r="AW33" s="148" t="n">
        <x:f aca="0">IF(2039&lt;$F33,0,INDEX($I33:$AC33,1,2039-$F33+1))</x:f>
        <x:v>3058.244848312615</x:v>
      </x:c>
      <x:c r="AX33" s="148" t="n">
        <x:f aca="0">IF(2040&lt;$F33,0,INDEX($I33:$AC33,1,2040-$F33+1))</x:f>
        <x:v>3131.9103989432306</x:v>
      </x:c>
      <x:c r="AY33" s="1" t="str">
        <x:f aca="0">LEFT($C33,FIND("@",SUBSTITUTE($C33,"|","@",2))-1)</x:f>
        <x:v>Horti-Silviculture|High</x:v>
      </x:c>
      <x:c r="AZ33" s="1" t="str">
        <x:f aca="0">LEFT($C33,FIND("|",$C33)-1)</x:f>
        <x:v>Horti-Silviculture</x:v>
      </x:c>
      <x:c r="BA33" s="149" t="n">
        <x:f aca="0">I33*I33</x:f>
        <x:v>0</x:v>
      </x:c>
      <x:c r="BB33" s="149" t="n">
        <x:f aca="0">J33*J33</x:f>
        <x:v>14.833132598917988</x:v>
      </x:c>
      <x:c r="BC33" s="149" t="n">
        <x:f aca="0">K33*K33</x:f>
        <x:v>1323.2302041221221</x:v>
      </x:c>
      <x:c r="BD33" s="149" t="n">
        <x:f aca="0">L33*L33</x:f>
        <x:v>14517.07283390509</x:v>
      </x:c>
      <x:c r="BE33" s="149" t="n">
        <x:f aca="0">M33*M33</x:f>
        <x:v>69066.60699506314</x:v>
      </x:c>
      <x:c r="BF33" s="149" t="n">
        <x:f aca="0">N33*N33</x:f>
        <x:v>207282.0912414787</x:v>
      </x:c>
      <x:c r="BG33" s="149" t="n">
        <x:f aca="0">O33*O33</x:f>
        <x:v>467818.83400476334</x:v>
      </x:c>
      <x:c r="BH33" s="149" t="n">
        <x:f aca="0">P33*P33</x:f>
        <x:v>871876.4806369778</x:v>
      </x:c>
      <x:c r="BI33" s="149" t="n">
        <x:f aca="0">Q33*Q33</x:f>
        <x:v>1418665.8711718707</x:v>
      </x:c>
      <x:c r="BJ33" s="149" t="n">
        <x:f aca="0">R33*R33</x:f>
        <x:v>2088738.0715258971</x:v>
      </x:c>
      <x:c r="BK33" s="149" t="n">
        <x:f aca="0">S33*S33</x:f>
        <x:v>2851039.325684622</x:v>
      </x:c>
      <x:c r="BL33" s="149" t="n">
        <x:f aca="0">T33*T33</x:f>
        <x:v>3670190.0760324956</x:v>
      </x:c>
      <x:c r="BM33" s="149" t="n">
        <x:f aca="0">U33*U33</x:f>
        <x:v>4512116.539642261</x:v>
      </x:c>
      <x:c r="BN33" s="149" t="n">
        <x:f aca="0">V33*V33</x:f>
        <x:v>5347522.336486173</x:v>
      </x:c>
      <x:c r="BO33" s="149" t="n">
        <x:f aca="0">W33*W33</x:f>
        <x:v>6153455.704592639</x:v>
      </x:c>
      <x:c r="BP33" s="149" t="n">
        <x:f aca="0">X33*X33</x:f>
        <x:v>6913512.900945985</x:v>
      </x:c>
      <x:c r="BQ33" s="149" t="n">
        <x:f aca="0">Y33*Y33</x:f>
        <x:v>7617222.34765146</x:v>
      </x:c>
      <x:c r="BR33" s="149" t="n">
        <x:f aca="0">Z33*Z33</x:f>
        <x:v>8259038.431448839</x:v>
      </x:c>
      <x:c r="BS33" s="149" t="n">
        <x:f aca="0">AA33*AA33</x:f>
        <x:v>8837234.115867352</x:v>
      </x:c>
      <x:c r="BT33" s="149" t="n">
        <x:f aca="0">AB33*AB33</x:f>
        <x:v>9352861.552230649</x:v>
      </x:c>
      <x:c r="BU33" s="149" t="n">
        <x:f aca="0">AC33*AC33</x:f>
        <x:v>9808862.747008746</x:v>
      </x:c>
    </x:row>
    <x:row r="34" ht="15" hidden="0" customHeight="1">
      <x:c r="A34" s="1" t="str">
        <x:f aca="0">S13_PSP_Species_Support!A21</x:f>
        <x:v>PSP-HS-007</x:v>
      </x:c>
      <x:c r="B34" s="1" t="n">
        <x:f aca="0">21</x:f>
        <x:v>21</x:v>
      </x:c>
      <x:c r="C34" s="1" t="str">
        <x:f aca="0">S13_PSP_Species_Support!I21</x:f>
        <x:v>Horti-Silviculture|Low|2020</x:v>
      </x:c>
      <x:c r="D34" s="1" t="str">
        <x:f aca="0">S13_PSP_Species_Support!C21</x:f>
        <x:v>Horti-Silviculture</x:v>
      </x:c>
      <x:c r="E34" s="1" t="str">
        <x:f aca="0">S13_PSP_Species_Support!D21</x:f>
        <x:v>Low</x:v>
      </x:c>
      <x:c r="F34" s="1" t="n">
        <x:f aca="0">S13_PSP_Species_Support!E21</x:f>
        <x:v>2020</x:v>
      </x:c>
      <x:c r="G34" s="645" t="n">
        <x:f aca="0">'S13_PSP_Species_Support'!DJ21</x:f>
        <x:v>0.09</x:v>
      </x:c>
      <x:c r="H34" s="714" t="n">
        <x:f aca="0">'S13_PSP_Species_Support'!DK21</x:f>
        <x:v>15.531926738295386</x:v>
      </x:c>
      <x:c r="I34" s="147" t="n">
        <x:f aca="0">IFERROR((IFERROR(S13_PSP_Species_Support!U21*0.0673*(S13_PSP_Species_Support!V21*(S13_PSP_Species_Support!W21*(1-EXP(-S13_PSP_Species_Support!X21*0))^S13_PSP_Species_Support!Y21)^2*(S13_PSP_Species_Support!Z21*(1-EXP(-S13_PSP_Species_Support!AA21*0))^S13_PSP_Species_Support!AB21))^0.976,0)+IFERROR(S13_PSP_Species_Support!AF21*0.0673*(S13_PSP_Species_Support!AG21*(S13_PSP_Species_Support!AH21*(1-EXP(-S13_PSP_Species_Support!AI21*0))^S13_PSP_Species_Support!AJ21)^2*(S13_PSP_Species_Support!AK21*(1-EXP(-S13_PSP_Species_Support!AL21*0))^S13_PSP_Species_Support!AM21))^0.976,0)+IFERROR(S13_PSP_Species_Support!AQ21*0.0673*(S13_PSP_Species_Support!AR21*(S13_PSP_Species_Support!AS21*(1-EXP(-S13_PSP_Species_Support!AT21*0))^S13_PSP_Species_Support!AU21)^2*(S13_PSP_Species_Support!AV21*(1-EXP(-S13_PSP_Species_Support!AW21*0))^S13_PSP_Species_Support!AX21))^0.976,0)+IFERROR(S13_PSP_Species_Support!BB21*0.0673*(S13_PSP_Species_Support!BC21*(S13_PSP_Species_Support!BD21*(1-EXP(-S13_PSP_Species_Support!BE21*0))^S13_PSP_Species_Support!BF21)^2*(S13_PSP_Species_Support!BG21*(1-EXP(-S13_PSP_Species_Support!BH21*0))^S13_PSP_Species_Support!BI21))^0.976,0)+IFERROR(S13_PSP_Species_Support!BM21*0.0673*(S13_PSP_Species_Support!BN21*(S13_PSP_Species_Support!BO21*(1-EXP(-S13_PSP_Species_Support!BP21*0))^S13_PSP_Species_Support!BQ21)^2*(S13_PSP_Species_Support!BR21*(1-EXP(-S13_PSP_Species_Support!BS21*0))^S13_PSP_Species_Support!BT21))^0.976,0)+IFERROR(S13_PSP_Species_Support!BX21*0.0673*(S13_PSP_Species_Support!BY21*(S13_PSP_Species_Support!BZ21*(1-EXP(-S13_PSP_Species_Support!CA21*0))^S13_PSP_Species_Support!CB21)^2*(S13_PSP_Species_Support!CC21*(1-EXP(-S13_PSP_Species_Support!CD21*0))^S13_PSP_Species_Support!CE21))^0.976,0)+IFERROR(S13_PSP_Species_Support!CI21*0.0673*(S13_PSP_Species_Support!CJ21*(S13_PSP_Species_Support!CK21*(1-EXP(-S13_PSP_Species_Support!CL21*0))^S13_PSP_Species_Support!CM21)^2*(S13_PSP_Species_Support!CN21*(1-EXP(-S13_PSP_Species_Support!CO21*0))^S13_PSP_Species_Support!CP21))^0.976,0)+IFERROR(S13_PSP_Species_Support!CT21*0.0673*(S13_PSP_Species_Support!CU21*(S13_PSP_Species_Support!CV21*(1-EXP(-S13_PSP_Species_Support!CW21*0))^S13_PSP_Species_Support!CX21)^2*(S13_PSP_Species_Support!CY21*(1-EXP(-S13_PSP_Species_Support!CZ21*0))^S13_PSP_Species_Support!DA21))^0.976,0))/1000/$G34*I$108,0)</x:f>
        <x:v>0</x:v>
      </x:c>
      <x:c r="J34" s="147" t="n">
        <x:f aca="0">IFERROR((IFERROR(S13_PSP_Species_Support!U21*0.0673*(S13_PSP_Species_Support!V21*(S13_PSP_Species_Support!W21*(1-EXP(-S13_PSP_Species_Support!X21*1))^S13_PSP_Species_Support!Y21)^2*(S13_PSP_Species_Support!Z21*(1-EXP(-S13_PSP_Species_Support!AA21*1))^S13_PSP_Species_Support!AB21))^0.976,0)+IFERROR(S13_PSP_Species_Support!AF21*0.0673*(S13_PSP_Species_Support!AG21*(S13_PSP_Species_Support!AH21*(1-EXP(-S13_PSP_Species_Support!AI21*1))^S13_PSP_Species_Support!AJ21)^2*(S13_PSP_Species_Support!AK21*(1-EXP(-S13_PSP_Species_Support!AL21*1))^S13_PSP_Species_Support!AM21))^0.976,0)+IFERROR(S13_PSP_Species_Support!AQ21*0.0673*(S13_PSP_Species_Support!AR21*(S13_PSP_Species_Support!AS21*(1-EXP(-S13_PSP_Species_Support!AT21*1))^S13_PSP_Species_Support!AU21)^2*(S13_PSP_Species_Support!AV21*(1-EXP(-S13_PSP_Species_Support!AW21*1))^S13_PSP_Species_Support!AX21))^0.976,0)+IFERROR(S13_PSP_Species_Support!BB21*0.0673*(S13_PSP_Species_Support!BC21*(S13_PSP_Species_Support!BD21*(1-EXP(-S13_PSP_Species_Support!BE21*1))^S13_PSP_Species_Support!BF21)^2*(S13_PSP_Species_Support!BG21*(1-EXP(-S13_PSP_Species_Support!BH21*1))^S13_PSP_Species_Support!BI21))^0.976,0)+IFERROR(S13_PSP_Species_Support!BM21*0.0673*(S13_PSP_Species_Support!BN21*(S13_PSP_Species_Support!BO21*(1-EXP(-S13_PSP_Species_Support!BP21*1))^S13_PSP_Species_Support!BQ21)^2*(S13_PSP_Species_Support!BR21*(1-EXP(-S13_PSP_Species_Support!BS21*1))^S13_PSP_Species_Support!BT21))^0.976,0)+IFERROR(S13_PSP_Species_Support!BX21*0.0673*(S13_PSP_Species_Support!BY21*(S13_PSP_Species_Support!BZ21*(1-EXP(-S13_PSP_Species_Support!CA21*1))^S13_PSP_Species_Support!CB21)^2*(S13_PSP_Species_Support!CC21*(1-EXP(-S13_PSP_Species_Support!CD21*1))^S13_PSP_Species_Support!CE21))^0.976,0)+IFERROR(S13_PSP_Species_Support!CI21*0.0673*(S13_PSP_Species_Support!CJ21*(S13_PSP_Species_Support!CK21*(1-EXP(-S13_PSP_Species_Support!CL21*1))^S13_PSP_Species_Support!CM21)^2*(S13_PSP_Species_Support!CN21*(1-EXP(-S13_PSP_Species_Support!CO21*1))^S13_PSP_Species_Support!CP21))^0.976,0)+IFERROR(S13_PSP_Species_Support!CT21*0.0673*(S13_PSP_Species_Support!CU21*(S13_PSP_Species_Support!CV21*(1-EXP(-S13_PSP_Species_Support!CW21*1))^S13_PSP_Species_Support!CX21)^2*(S13_PSP_Species_Support!CY21*(1-EXP(-S13_PSP_Species_Support!CZ21*1))^S13_PSP_Species_Support!DA21))^0.976,0))/1000/$G34*J$108,0)</x:f>
        <x:v>0.0300625299366643</x:v>
      </x:c>
      <x:c r="K34" s="147" t="n">
        <x:f aca="0">IFERROR((IFERROR(S13_PSP_Species_Support!U21*0.0673*(S13_PSP_Species_Support!V21*(S13_PSP_Species_Support!W21*(1-EXP(-S13_PSP_Species_Support!X21*2))^S13_PSP_Species_Support!Y21)^2*(S13_PSP_Species_Support!Z21*(1-EXP(-S13_PSP_Species_Support!AA21*2))^S13_PSP_Species_Support!AB21))^0.976,0)+IFERROR(S13_PSP_Species_Support!AF21*0.0673*(S13_PSP_Species_Support!AG21*(S13_PSP_Species_Support!AH21*(1-EXP(-S13_PSP_Species_Support!AI21*2))^S13_PSP_Species_Support!AJ21)^2*(S13_PSP_Species_Support!AK21*(1-EXP(-S13_PSP_Species_Support!AL21*2))^S13_PSP_Species_Support!AM21))^0.976,0)+IFERROR(S13_PSP_Species_Support!AQ21*0.0673*(S13_PSP_Species_Support!AR21*(S13_PSP_Species_Support!AS21*(1-EXP(-S13_PSP_Species_Support!AT21*2))^S13_PSP_Species_Support!AU21)^2*(S13_PSP_Species_Support!AV21*(1-EXP(-S13_PSP_Species_Support!AW21*2))^S13_PSP_Species_Support!AX21))^0.976,0)+IFERROR(S13_PSP_Species_Support!BB21*0.0673*(S13_PSP_Species_Support!BC21*(S13_PSP_Species_Support!BD21*(1-EXP(-S13_PSP_Species_Support!BE21*2))^S13_PSP_Species_Support!BF21)^2*(S13_PSP_Species_Support!BG21*(1-EXP(-S13_PSP_Species_Support!BH21*2))^S13_PSP_Species_Support!BI21))^0.976,0)+IFERROR(S13_PSP_Species_Support!BM21*0.0673*(S13_PSP_Species_Support!BN21*(S13_PSP_Species_Support!BO21*(1-EXP(-S13_PSP_Species_Support!BP21*2))^S13_PSP_Species_Support!BQ21)^2*(S13_PSP_Species_Support!BR21*(1-EXP(-S13_PSP_Species_Support!BS21*2))^S13_PSP_Species_Support!BT21))^0.976,0)+IFERROR(S13_PSP_Species_Support!BX21*0.0673*(S13_PSP_Species_Support!BY21*(S13_PSP_Species_Support!BZ21*(1-EXP(-S13_PSP_Species_Support!CA21*2))^S13_PSP_Species_Support!CB21)^2*(S13_PSP_Species_Support!CC21*(1-EXP(-S13_PSP_Species_Support!CD21*2))^S13_PSP_Species_Support!CE21))^0.976,0)+IFERROR(S13_PSP_Species_Support!CI21*0.0673*(S13_PSP_Species_Support!CJ21*(S13_PSP_Species_Support!CK21*(1-EXP(-S13_PSP_Species_Support!CL21*2))^S13_PSP_Species_Support!CM21)^2*(S13_PSP_Species_Support!CN21*(1-EXP(-S13_PSP_Species_Support!CO21*2))^S13_PSP_Species_Support!CP21))^0.976,0)+IFERROR(S13_PSP_Species_Support!CT21*0.0673*(S13_PSP_Species_Support!CU21*(S13_PSP_Species_Support!CV21*(1-EXP(-S13_PSP_Species_Support!CW21*2))^S13_PSP_Species_Support!CX21)^2*(S13_PSP_Species_Support!CY21*(1-EXP(-S13_PSP_Species_Support!CZ21*2))^S13_PSP_Species_Support!DA21))^0.976,0))/1000/$G34*K$108,0)</x:f>
        <x:v>0.34862534490302677</x:v>
      </x:c>
      <x:c r="L34" s="147" t="n">
        <x:f aca="0">IFERROR((IFERROR(S13_PSP_Species_Support!U21*0.0673*(S13_PSP_Species_Support!V21*(S13_PSP_Species_Support!W21*(1-EXP(-S13_PSP_Species_Support!X21*3))^S13_PSP_Species_Support!Y21)^2*(S13_PSP_Species_Support!Z21*(1-EXP(-S13_PSP_Species_Support!AA21*3))^S13_PSP_Species_Support!AB21))^0.976,0)+IFERROR(S13_PSP_Species_Support!AF21*0.0673*(S13_PSP_Species_Support!AG21*(S13_PSP_Species_Support!AH21*(1-EXP(-S13_PSP_Species_Support!AI21*3))^S13_PSP_Species_Support!AJ21)^2*(S13_PSP_Species_Support!AK21*(1-EXP(-S13_PSP_Species_Support!AL21*3))^S13_PSP_Species_Support!AM21))^0.976,0)+IFERROR(S13_PSP_Species_Support!AQ21*0.0673*(S13_PSP_Species_Support!AR21*(S13_PSP_Species_Support!AS21*(1-EXP(-S13_PSP_Species_Support!AT21*3))^S13_PSP_Species_Support!AU21)^2*(S13_PSP_Species_Support!AV21*(1-EXP(-S13_PSP_Species_Support!AW21*3))^S13_PSP_Species_Support!AX21))^0.976,0)+IFERROR(S13_PSP_Species_Support!BB21*0.0673*(S13_PSP_Species_Support!BC21*(S13_PSP_Species_Support!BD21*(1-EXP(-S13_PSP_Species_Support!BE21*3))^S13_PSP_Species_Support!BF21)^2*(S13_PSP_Species_Support!BG21*(1-EXP(-S13_PSP_Species_Support!BH21*3))^S13_PSP_Species_Support!BI21))^0.976,0)+IFERROR(S13_PSP_Species_Support!BM21*0.0673*(S13_PSP_Species_Support!BN21*(S13_PSP_Species_Support!BO21*(1-EXP(-S13_PSP_Species_Support!BP21*3))^S13_PSP_Species_Support!BQ21)^2*(S13_PSP_Species_Support!BR21*(1-EXP(-S13_PSP_Species_Support!BS21*3))^S13_PSP_Species_Support!BT21))^0.976,0)+IFERROR(S13_PSP_Species_Support!BX21*0.0673*(S13_PSP_Species_Support!BY21*(S13_PSP_Species_Support!BZ21*(1-EXP(-S13_PSP_Species_Support!CA21*3))^S13_PSP_Species_Support!CB21)^2*(S13_PSP_Species_Support!CC21*(1-EXP(-S13_PSP_Species_Support!CD21*3))^S13_PSP_Species_Support!CE21))^0.976,0)+IFERROR(S13_PSP_Species_Support!CI21*0.0673*(S13_PSP_Species_Support!CJ21*(S13_PSP_Species_Support!CK21*(1-EXP(-S13_PSP_Species_Support!CL21*3))^S13_PSP_Species_Support!CM21)^2*(S13_PSP_Species_Support!CN21*(1-EXP(-S13_PSP_Species_Support!CO21*3))^S13_PSP_Species_Support!CP21))^0.976,0)+IFERROR(S13_PSP_Species_Support!CT21*0.0673*(S13_PSP_Species_Support!CU21*(S13_PSP_Species_Support!CV21*(1-EXP(-S13_PSP_Species_Support!CW21*3))^S13_PSP_Species_Support!CX21)^2*(S13_PSP_Species_Support!CY21*(1-EXP(-S13_PSP_Species_Support!CZ21*3))^S13_PSP_Species_Support!DA21))^0.976,0))/1000/$G34*L$108,0)</x:f>
        <x:v>1.302825936480368</x:v>
      </x:c>
      <x:c r="M34" s="147" t="n">
        <x:f aca="0">IFERROR((IFERROR(S13_PSP_Species_Support!U21*0.0673*(S13_PSP_Species_Support!V21*(S13_PSP_Species_Support!W21*(1-EXP(-S13_PSP_Species_Support!X21*4))^S13_PSP_Species_Support!Y21)^2*(S13_PSP_Species_Support!Z21*(1-EXP(-S13_PSP_Species_Support!AA21*4))^S13_PSP_Species_Support!AB21))^0.976,0)+IFERROR(S13_PSP_Species_Support!AF21*0.0673*(S13_PSP_Species_Support!AG21*(S13_PSP_Species_Support!AH21*(1-EXP(-S13_PSP_Species_Support!AI21*4))^S13_PSP_Species_Support!AJ21)^2*(S13_PSP_Species_Support!AK21*(1-EXP(-S13_PSP_Species_Support!AL21*4))^S13_PSP_Species_Support!AM21))^0.976,0)+IFERROR(S13_PSP_Species_Support!AQ21*0.0673*(S13_PSP_Species_Support!AR21*(S13_PSP_Species_Support!AS21*(1-EXP(-S13_PSP_Species_Support!AT21*4))^S13_PSP_Species_Support!AU21)^2*(S13_PSP_Species_Support!AV21*(1-EXP(-S13_PSP_Species_Support!AW21*4))^S13_PSP_Species_Support!AX21))^0.976,0)+IFERROR(S13_PSP_Species_Support!BB21*0.0673*(S13_PSP_Species_Support!BC21*(S13_PSP_Species_Support!BD21*(1-EXP(-S13_PSP_Species_Support!BE21*4))^S13_PSP_Species_Support!BF21)^2*(S13_PSP_Species_Support!BG21*(1-EXP(-S13_PSP_Species_Support!BH21*4))^S13_PSP_Species_Support!BI21))^0.976,0)+IFERROR(S13_PSP_Species_Support!BM21*0.0673*(S13_PSP_Species_Support!BN21*(S13_PSP_Species_Support!BO21*(1-EXP(-S13_PSP_Species_Support!BP21*4))^S13_PSP_Species_Support!BQ21)^2*(S13_PSP_Species_Support!BR21*(1-EXP(-S13_PSP_Species_Support!BS21*4))^S13_PSP_Species_Support!BT21))^0.976,0)+IFERROR(S13_PSP_Species_Support!BX21*0.0673*(S13_PSP_Species_Support!BY21*(S13_PSP_Species_Support!BZ21*(1-EXP(-S13_PSP_Species_Support!CA21*4))^S13_PSP_Species_Support!CB21)^2*(S13_PSP_Species_Support!CC21*(1-EXP(-S13_PSP_Species_Support!CD21*4))^S13_PSP_Species_Support!CE21))^0.976,0)+IFERROR(S13_PSP_Species_Support!CI21*0.0673*(S13_PSP_Species_Support!CJ21*(S13_PSP_Species_Support!CK21*(1-EXP(-S13_PSP_Species_Support!CL21*4))^S13_PSP_Species_Support!CM21)^2*(S13_PSP_Species_Support!CN21*(1-EXP(-S13_PSP_Species_Support!CO21*4))^S13_PSP_Species_Support!CP21))^0.976,0)+IFERROR(S13_PSP_Species_Support!CT21*0.0673*(S13_PSP_Species_Support!CU21*(S13_PSP_Species_Support!CV21*(1-EXP(-S13_PSP_Species_Support!CW21*4))^S13_PSP_Species_Support!CX21)^2*(S13_PSP_Species_Support!CY21*(1-EXP(-S13_PSP_Species_Support!CZ21*4))^S13_PSP_Species_Support!DA21))^0.976,0))/1000/$G34*M$108,0)</x:f>
        <x:v>3.095950774579799</x:v>
      </x:c>
      <x:c r="N34" s="147" t="n">
        <x:f aca="0">IFERROR((IFERROR(S13_PSP_Species_Support!U21*0.0673*(S13_PSP_Species_Support!V21*(S13_PSP_Species_Support!W21*(1-EXP(-S13_PSP_Species_Support!X21*5))^S13_PSP_Species_Support!Y21)^2*(S13_PSP_Species_Support!Z21*(1-EXP(-S13_PSP_Species_Support!AA21*5))^S13_PSP_Species_Support!AB21))^0.976,0)+IFERROR(S13_PSP_Species_Support!AF21*0.0673*(S13_PSP_Species_Support!AG21*(S13_PSP_Species_Support!AH21*(1-EXP(-S13_PSP_Species_Support!AI21*5))^S13_PSP_Species_Support!AJ21)^2*(S13_PSP_Species_Support!AK21*(1-EXP(-S13_PSP_Species_Support!AL21*5))^S13_PSP_Species_Support!AM21))^0.976,0)+IFERROR(S13_PSP_Species_Support!AQ21*0.0673*(S13_PSP_Species_Support!AR21*(S13_PSP_Species_Support!AS21*(1-EXP(-S13_PSP_Species_Support!AT21*5))^S13_PSP_Species_Support!AU21)^2*(S13_PSP_Species_Support!AV21*(1-EXP(-S13_PSP_Species_Support!AW21*5))^S13_PSP_Species_Support!AX21))^0.976,0)+IFERROR(S13_PSP_Species_Support!BB21*0.0673*(S13_PSP_Species_Support!BC21*(S13_PSP_Species_Support!BD21*(1-EXP(-S13_PSP_Species_Support!BE21*5))^S13_PSP_Species_Support!BF21)^2*(S13_PSP_Species_Support!BG21*(1-EXP(-S13_PSP_Species_Support!BH21*5))^S13_PSP_Species_Support!BI21))^0.976,0)+IFERROR(S13_PSP_Species_Support!BM21*0.0673*(S13_PSP_Species_Support!BN21*(S13_PSP_Species_Support!BO21*(1-EXP(-S13_PSP_Species_Support!BP21*5))^S13_PSP_Species_Support!BQ21)^2*(S13_PSP_Species_Support!BR21*(1-EXP(-S13_PSP_Species_Support!BS21*5))^S13_PSP_Species_Support!BT21))^0.976,0)+IFERROR(S13_PSP_Species_Support!BX21*0.0673*(S13_PSP_Species_Support!BY21*(S13_PSP_Species_Support!BZ21*(1-EXP(-S13_PSP_Species_Support!CA21*5))^S13_PSP_Species_Support!CB21)^2*(S13_PSP_Species_Support!CC21*(1-EXP(-S13_PSP_Species_Support!CD21*5))^S13_PSP_Species_Support!CE21))^0.976,0)+IFERROR(S13_PSP_Species_Support!CI21*0.0673*(S13_PSP_Species_Support!CJ21*(S13_PSP_Species_Support!CK21*(1-EXP(-S13_PSP_Species_Support!CL21*5))^S13_PSP_Species_Support!CM21)^2*(S13_PSP_Species_Support!CN21*(1-EXP(-S13_PSP_Species_Support!CO21*5))^S13_PSP_Species_Support!CP21))^0.976,0)+IFERROR(S13_PSP_Species_Support!CT21*0.0673*(S13_PSP_Species_Support!CU21*(S13_PSP_Species_Support!CV21*(1-EXP(-S13_PSP_Species_Support!CW21*5))^S13_PSP_Species_Support!CX21)^2*(S13_PSP_Species_Support!CY21*(1-EXP(-S13_PSP_Species_Support!CZ21*5))^S13_PSP_Species_Support!DA21))^0.976,0))/1000/$G34*N$108,0)</x:f>
        <x:v>5.730689408073903</x:v>
      </x:c>
      <x:c r="O34" s="147" t="n">
        <x:f aca="0">IFERROR((IFERROR(S13_PSP_Species_Support!U21*0.0673*(S13_PSP_Species_Support!V21*(S13_PSP_Species_Support!W21*(1-EXP(-S13_PSP_Species_Support!X21*6))^S13_PSP_Species_Support!Y21)^2*(S13_PSP_Species_Support!Z21*(1-EXP(-S13_PSP_Species_Support!AA21*6))^S13_PSP_Species_Support!AB21))^0.976,0)+IFERROR(S13_PSP_Species_Support!AF21*0.0673*(S13_PSP_Species_Support!AG21*(S13_PSP_Species_Support!AH21*(1-EXP(-S13_PSP_Species_Support!AI21*6))^S13_PSP_Species_Support!AJ21)^2*(S13_PSP_Species_Support!AK21*(1-EXP(-S13_PSP_Species_Support!AL21*6))^S13_PSP_Species_Support!AM21))^0.976,0)+IFERROR(S13_PSP_Species_Support!AQ21*0.0673*(S13_PSP_Species_Support!AR21*(S13_PSP_Species_Support!AS21*(1-EXP(-S13_PSP_Species_Support!AT21*6))^S13_PSP_Species_Support!AU21)^2*(S13_PSP_Species_Support!AV21*(1-EXP(-S13_PSP_Species_Support!AW21*6))^S13_PSP_Species_Support!AX21))^0.976,0)+IFERROR(S13_PSP_Species_Support!BB21*0.0673*(S13_PSP_Species_Support!BC21*(S13_PSP_Species_Support!BD21*(1-EXP(-S13_PSP_Species_Support!BE21*6))^S13_PSP_Species_Support!BF21)^2*(S13_PSP_Species_Support!BG21*(1-EXP(-S13_PSP_Species_Support!BH21*6))^S13_PSP_Species_Support!BI21))^0.976,0)+IFERROR(S13_PSP_Species_Support!BM21*0.0673*(S13_PSP_Species_Support!BN21*(S13_PSP_Species_Support!BO21*(1-EXP(-S13_PSP_Species_Support!BP21*6))^S13_PSP_Species_Support!BQ21)^2*(S13_PSP_Species_Support!BR21*(1-EXP(-S13_PSP_Species_Support!BS21*6))^S13_PSP_Species_Support!BT21))^0.976,0)+IFERROR(S13_PSP_Species_Support!BX21*0.0673*(S13_PSP_Species_Support!BY21*(S13_PSP_Species_Support!BZ21*(1-EXP(-S13_PSP_Species_Support!CA21*6))^S13_PSP_Species_Support!CB21)^2*(S13_PSP_Species_Support!CC21*(1-EXP(-S13_PSP_Species_Support!CD21*6))^S13_PSP_Species_Support!CE21))^0.976,0)+IFERROR(S13_PSP_Species_Support!CI21*0.0673*(S13_PSP_Species_Support!CJ21*(S13_PSP_Species_Support!CK21*(1-EXP(-S13_PSP_Species_Support!CL21*6))^S13_PSP_Species_Support!CM21)^2*(S13_PSP_Species_Support!CN21*(1-EXP(-S13_PSP_Species_Support!CO21*6))^S13_PSP_Species_Support!CP21))^0.976,0)+IFERROR(S13_PSP_Species_Support!CT21*0.0673*(S13_PSP_Species_Support!CU21*(S13_PSP_Species_Support!CV21*(1-EXP(-S13_PSP_Species_Support!CW21*6))^S13_PSP_Species_Support!CX21)^2*(S13_PSP_Species_Support!CY21*(1-EXP(-S13_PSP_Species_Support!CZ21*6))^S13_PSP_Species_Support!DA21))^0.976,0))/1000/$G34*O$108,0)</x:f>
        <x:v>9.084256090489998</x:v>
      </x:c>
      <x:c r="P34" s="147" t="n">
        <x:f aca="0">IFERROR((IFERROR(S13_PSP_Species_Support!U21*0.0673*(S13_PSP_Species_Support!V21*(S13_PSP_Species_Support!W21*(1-EXP(-S13_PSP_Species_Support!X21*7))^S13_PSP_Species_Support!Y21)^2*(S13_PSP_Species_Support!Z21*(1-EXP(-S13_PSP_Species_Support!AA21*7))^S13_PSP_Species_Support!AB21))^0.976,0)+IFERROR(S13_PSP_Species_Support!AF21*0.0673*(S13_PSP_Species_Support!AG21*(S13_PSP_Species_Support!AH21*(1-EXP(-S13_PSP_Species_Support!AI21*7))^S13_PSP_Species_Support!AJ21)^2*(S13_PSP_Species_Support!AK21*(1-EXP(-S13_PSP_Species_Support!AL21*7))^S13_PSP_Species_Support!AM21))^0.976,0)+IFERROR(S13_PSP_Species_Support!AQ21*0.0673*(S13_PSP_Species_Support!AR21*(S13_PSP_Species_Support!AS21*(1-EXP(-S13_PSP_Species_Support!AT21*7))^S13_PSP_Species_Support!AU21)^2*(S13_PSP_Species_Support!AV21*(1-EXP(-S13_PSP_Species_Support!AW21*7))^S13_PSP_Species_Support!AX21))^0.976,0)+IFERROR(S13_PSP_Species_Support!BB21*0.0673*(S13_PSP_Species_Support!BC21*(S13_PSP_Species_Support!BD21*(1-EXP(-S13_PSP_Species_Support!BE21*7))^S13_PSP_Species_Support!BF21)^2*(S13_PSP_Species_Support!BG21*(1-EXP(-S13_PSP_Species_Support!BH21*7))^S13_PSP_Species_Support!BI21))^0.976,0)+IFERROR(S13_PSP_Species_Support!BM21*0.0673*(S13_PSP_Species_Support!BN21*(S13_PSP_Species_Support!BO21*(1-EXP(-S13_PSP_Species_Support!BP21*7))^S13_PSP_Species_Support!BQ21)^2*(S13_PSP_Species_Support!BR21*(1-EXP(-S13_PSP_Species_Support!BS21*7))^S13_PSP_Species_Support!BT21))^0.976,0)+IFERROR(S13_PSP_Species_Support!BX21*0.0673*(S13_PSP_Species_Support!BY21*(S13_PSP_Species_Support!BZ21*(1-EXP(-S13_PSP_Species_Support!CA21*7))^S13_PSP_Species_Support!CB21)^2*(S13_PSP_Species_Support!CC21*(1-EXP(-S13_PSP_Species_Support!CD21*7))^S13_PSP_Species_Support!CE21))^0.976,0)+IFERROR(S13_PSP_Species_Support!CI21*0.0673*(S13_PSP_Species_Support!CJ21*(S13_PSP_Species_Support!CK21*(1-EXP(-S13_PSP_Species_Support!CL21*7))^S13_PSP_Species_Support!CM21)^2*(S13_PSP_Species_Support!CN21*(1-EXP(-S13_PSP_Species_Support!CO21*7))^S13_PSP_Species_Support!CP21))^0.976,0)+IFERROR(S13_PSP_Species_Support!CT21*0.0673*(S13_PSP_Species_Support!CU21*(S13_PSP_Species_Support!CV21*(1-EXP(-S13_PSP_Species_Support!CW21*7))^S13_PSP_Species_Support!CX21)^2*(S13_PSP_Species_Support!CY21*(1-EXP(-S13_PSP_Species_Support!CZ21*7))^S13_PSP_Species_Support!DA21))^0.976,0))/1000/$G34*P$108,0)</x:f>
        <x:v>12.970811403792236</x:v>
      </x:c>
      <x:c r="Q34" s="147" t="n">
        <x:f aca="0">IFERROR((IFERROR(S13_PSP_Species_Support!U21*0.0673*(S13_PSP_Species_Support!V21*(S13_PSP_Species_Support!W21*(1-EXP(-S13_PSP_Species_Support!X21*8))^S13_PSP_Species_Support!Y21)^2*(S13_PSP_Species_Support!Z21*(1-EXP(-S13_PSP_Species_Support!AA21*8))^S13_PSP_Species_Support!AB21))^0.976,0)+IFERROR(S13_PSP_Species_Support!AF21*0.0673*(S13_PSP_Species_Support!AG21*(S13_PSP_Species_Support!AH21*(1-EXP(-S13_PSP_Species_Support!AI21*8))^S13_PSP_Species_Support!AJ21)^2*(S13_PSP_Species_Support!AK21*(1-EXP(-S13_PSP_Species_Support!AL21*8))^S13_PSP_Species_Support!AM21))^0.976,0)+IFERROR(S13_PSP_Species_Support!AQ21*0.0673*(S13_PSP_Species_Support!AR21*(S13_PSP_Species_Support!AS21*(1-EXP(-S13_PSP_Species_Support!AT21*8))^S13_PSP_Species_Support!AU21)^2*(S13_PSP_Species_Support!AV21*(1-EXP(-S13_PSP_Species_Support!AW21*8))^S13_PSP_Species_Support!AX21))^0.976,0)+IFERROR(S13_PSP_Species_Support!BB21*0.0673*(S13_PSP_Species_Support!BC21*(S13_PSP_Species_Support!BD21*(1-EXP(-S13_PSP_Species_Support!BE21*8))^S13_PSP_Species_Support!BF21)^2*(S13_PSP_Species_Support!BG21*(1-EXP(-S13_PSP_Species_Support!BH21*8))^S13_PSP_Species_Support!BI21))^0.976,0)+IFERROR(S13_PSP_Species_Support!BM21*0.0673*(S13_PSP_Species_Support!BN21*(S13_PSP_Species_Support!BO21*(1-EXP(-S13_PSP_Species_Support!BP21*8))^S13_PSP_Species_Support!BQ21)^2*(S13_PSP_Species_Support!BR21*(1-EXP(-S13_PSP_Species_Support!BS21*8))^S13_PSP_Species_Support!BT21))^0.976,0)+IFERROR(S13_PSP_Species_Support!BX21*0.0673*(S13_PSP_Species_Support!BY21*(S13_PSP_Species_Support!BZ21*(1-EXP(-S13_PSP_Species_Support!CA21*8))^S13_PSP_Species_Support!CB21)^2*(S13_PSP_Species_Support!CC21*(1-EXP(-S13_PSP_Species_Support!CD21*8))^S13_PSP_Species_Support!CE21))^0.976,0)+IFERROR(S13_PSP_Species_Support!CI21*0.0673*(S13_PSP_Species_Support!CJ21*(S13_PSP_Species_Support!CK21*(1-EXP(-S13_PSP_Species_Support!CL21*8))^S13_PSP_Species_Support!CM21)^2*(S13_PSP_Species_Support!CN21*(1-EXP(-S13_PSP_Species_Support!CO21*8))^S13_PSP_Species_Support!CP21))^0.976,0)+IFERROR(S13_PSP_Species_Support!CT21*0.0673*(S13_PSP_Species_Support!CU21*(S13_PSP_Species_Support!CV21*(1-EXP(-S13_PSP_Species_Support!CW21*8))^S13_PSP_Species_Support!CX21)^2*(S13_PSP_Species_Support!CY21*(1-EXP(-S13_PSP_Species_Support!CZ21*8))^S13_PSP_Species_Support!DA21))^0.976,0))/1000/$G34*Q$108,0)</x:f>
        <x:v>17.190784525994477</x:v>
      </x:c>
      <x:c r="R34" s="147" t="n">
        <x:f aca="0">IFERROR((IFERROR(S13_PSP_Species_Support!U21*0.0673*(S13_PSP_Species_Support!V21*(S13_PSP_Species_Support!W21*(1-EXP(-S13_PSP_Species_Support!X21*9))^S13_PSP_Species_Support!Y21)^2*(S13_PSP_Species_Support!Z21*(1-EXP(-S13_PSP_Species_Support!AA21*9))^S13_PSP_Species_Support!AB21))^0.976,0)+IFERROR(S13_PSP_Species_Support!AF21*0.0673*(S13_PSP_Species_Support!AG21*(S13_PSP_Species_Support!AH21*(1-EXP(-S13_PSP_Species_Support!AI21*9))^S13_PSP_Species_Support!AJ21)^2*(S13_PSP_Species_Support!AK21*(1-EXP(-S13_PSP_Species_Support!AL21*9))^S13_PSP_Species_Support!AM21))^0.976,0)+IFERROR(S13_PSP_Species_Support!AQ21*0.0673*(S13_PSP_Species_Support!AR21*(S13_PSP_Species_Support!AS21*(1-EXP(-S13_PSP_Species_Support!AT21*9))^S13_PSP_Species_Support!AU21)^2*(S13_PSP_Species_Support!AV21*(1-EXP(-S13_PSP_Species_Support!AW21*9))^S13_PSP_Species_Support!AX21))^0.976,0)+IFERROR(S13_PSP_Species_Support!BB21*0.0673*(S13_PSP_Species_Support!BC21*(S13_PSP_Species_Support!BD21*(1-EXP(-S13_PSP_Species_Support!BE21*9))^S13_PSP_Species_Support!BF21)^2*(S13_PSP_Species_Support!BG21*(1-EXP(-S13_PSP_Species_Support!BH21*9))^S13_PSP_Species_Support!BI21))^0.976,0)+IFERROR(S13_PSP_Species_Support!BM21*0.0673*(S13_PSP_Species_Support!BN21*(S13_PSP_Species_Support!BO21*(1-EXP(-S13_PSP_Species_Support!BP21*9))^S13_PSP_Species_Support!BQ21)^2*(S13_PSP_Species_Support!BR21*(1-EXP(-S13_PSP_Species_Support!BS21*9))^S13_PSP_Species_Support!BT21))^0.976,0)+IFERROR(S13_PSP_Species_Support!BX21*0.0673*(S13_PSP_Species_Support!BY21*(S13_PSP_Species_Support!BZ21*(1-EXP(-S13_PSP_Species_Support!CA21*9))^S13_PSP_Species_Support!CB21)^2*(S13_PSP_Species_Support!CC21*(1-EXP(-S13_PSP_Species_Support!CD21*9))^S13_PSP_Species_Support!CE21))^0.976,0)+IFERROR(S13_PSP_Species_Support!CI21*0.0673*(S13_PSP_Species_Support!CJ21*(S13_PSP_Species_Support!CK21*(1-EXP(-S13_PSP_Species_Support!CL21*9))^S13_PSP_Species_Support!CM21)^2*(S13_PSP_Species_Support!CN21*(1-EXP(-S13_PSP_Species_Support!CO21*9))^S13_PSP_Species_Support!CP21))^0.976,0)+IFERROR(S13_PSP_Species_Support!CT21*0.0673*(S13_PSP_Species_Support!CU21*(S13_PSP_Species_Support!CV21*(1-EXP(-S13_PSP_Species_Support!CW21*9))^S13_PSP_Species_Support!CX21)^2*(S13_PSP_Species_Support!CY21*(1-EXP(-S13_PSP_Species_Support!CZ21*9))^S13_PSP_Species_Support!DA21))^0.976,0))/1000/$G34*R$108,0)</x:f>
        <x:v>21.56080656014425</x:v>
      </x:c>
      <x:c r="S34" s="147" t="n">
        <x:f aca="0">IFERROR((IFERROR(S13_PSP_Species_Support!U21*0.0673*(S13_PSP_Species_Support!V21*(S13_PSP_Species_Support!W21*(1-EXP(-S13_PSP_Species_Support!X21*10))^S13_PSP_Species_Support!Y21)^2*(S13_PSP_Species_Support!Z21*(1-EXP(-S13_PSP_Species_Support!AA21*10))^S13_PSP_Species_Support!AB21))^0.976,0)+IFERROR(S13_PSP_Species_Support!AF21*0.0673*(S13_PSP_Species_Support!AG21*(S13_PSP_Species_Support!AH21*(1-EXP(-S13_PSP_Species_Support!AI21*10))^S13_PSP_Species_Support!AJ21)^2*(S13_PSP_Species_Support!AK21*(1-EXP(-S13_PSP_Species_Support!AL21*10))^S13_PSP_Species_Support!AM21))^0.976,0)+IFERROR(S13_PSP_Species_Support!AQ21*0.0673*(S13_PSP_Species_Support!AR21*(S13_PSP_Species_Support!AS21*(1-EXP(-S13_PSP_Species_Support!AT21*10))^S13_PSP_Species_Support!AU21)^2*(S13_PSP_Species_Support!AV21*(1-EXP(-S13_PSP_Species_Support!AW21*10))^S13_PSP_Species_Support!AX21))^0.976,0)+IFERROR(S13_PSP_Species_Support!BB21*0.0673*(S13_PSP_Species_Support!BC21*(S13_PSP_Species_Support!BD21*(1-EXP(-S13_PSP_Species_Support!BE21*10))^S13_PSP_Species_Support!BF21)^2*(S13_PSP_Species_Support!BG21*(1-EXP(-S13_PSP_Species_Support!BH21*10))^S13_PSP_Species_Support!BI21))^0.976,0)+IFERROR(S13_PSP_Species_Support!BM21*0.0673*(S13_PSP_Species_Support!BN21*(S13_PSP_Species_Support!BO21*(1-EXP(-S13_PSP_Species_Support!BP21*10))^S13_PSP_Species_Support!BQ21)^2*(S13_PSP_Species_Support!BR21*(1-EXP(-S13_PSP_Species_Support!BS21*10))^S13_PSP_Species_Support!BT21))^0.976,0)+IFERROR(S13_PSP_Species_Support!BX21*0.0673*(S13_PSP_Species_Support!BY21*(S13_PSP_Species_Support!BZ21*(1-EXP(-S13_PSP_Species_Support!CA21*10))^S13_PSP_Species_Support!CB21)^2*(S13_PSP_Species_Support!CC21*(1-EXP(-S13_PSP_Species_Support!CD21*10))^S13_PSP_Species_Support!CE21))^0.976,0)+IFERROR(S13_PSP_Species_Support!CI21*0.0673*(S13_PSP_Species_Support!CJ21*(S13_PSP_Species_Support!CK21*(1-EXP(-S13_PSP_Species_Support!CL21*10))^S13_PSP_Species_Support!CM21)^2*(S13_PSP_Species_Support!CN21*(1-EXP(-S13_PSP_Species_Support!CO21*10))^S13_PSP_Species_Support!CP21))^0.976,0)+IFERROR(S13_PSP_Species_Support!CT21*0.0673*(S13_PSP_Species_Support!CU21*(S13_PSP_Species_Support!CV21*(1-EXP(-S13_PSP_Species_Support!CW21*10))^S13_PSP_Species_Support!CX21)^2*(S13_PSP_Species_Support!CY21*(1-EXP(-S13_PSP_Species_Support!CZ21*10))^S13_PSP_Species_Support!DA21))^0.976,0))/1000/$G34*S$108,0)</x:f>
        <x:v>25.928293178947172</x:v>
      </x:c>
      <x:c r="T34" s="147" t="n">
        <x:f aca="0">IFERROR((IFERROR(S13_PSP_Species_Support!U21*0.0673*(S13_PSP_Species_Support!V21*(S13_PSP_Species_Support!W21*(1-EXP(-S13_PSP_Species_Support!X21*11))^S13_PSP_Species_Support!Y21)^2*(S13_PSP_Species_Support!Z21*(1-EXP(-S13_PSP_Species_Support!AA21*11))^S13_PSP_Species_Support!AB21))^0.976,0)+IFERROR(S13_PSP_Species_Support!AF21*0.0673*(S13_PSP_Species_Support!AG21*(S13_PSP_Species_Support!AH21*(1-EXP(-S13_PSP_Species_Support!AI21*11))^S13_PSP_Species_Support!AJ21)^2*(S13_PSP_Species_Support!AK21*(1-EXP(-S13_PSP_Species_Support!AL21*11))^S13_PSP_Species_Support!AM21))^0.976,0)+IFERROR(S13_PSP_Species_Support!AQ21*0.0673*(S13_PSP_Species_Support!AR21*(S13_PSP_Species_Support!AS21*(1-EXP(-S13_PSP_Species_Support!AT21*11))^S13_PSP_Species_Support!AU21)^2*(S13_PSP_Species_Support!AV21*(1-EXP(-S13_PSP_Species_Support!AW21*11))^S13_PSP_Species_Support!AX21))^0.976,0)+IFERROR(S13_PSP_Species_Support!BB21*0.0673*(S13_PSP_Species_Support!BC21*(S13_PSP_Species_Support!BD21*(1-EXP(-S13_PSP_Species_Support!BE21*11))^S13_PSP_Species_Support!BF21)^2*(S13_PSP_Species_Support!BG21*(1-EXP(-S13_PSP_Species_Support!BH21*11))^S13_PSP_Species_Support!BI21))^0.976,0)+IFERROR(S13_PSP_Species_Support!BM21*0.0673*(S13_PSP_Species_Support!BN21*(S13_PSP_Species_Support!BO21*(1-EXP(-S13_PSP_Species_Support!BP21*11))^S13_PSP_Species_Support!BQ21)^2*(S13_PSP_Species_Support!BR21*(1-EXP(-S13_PSP_Species_Support!BS21*11))^S13_PSP_Species_Support!BT21))^0.976,0)+IFERROR(S13_PSP_Species_Support!BX21*0.0673*(S13_PSP_Species_Support!BY21*(S13_PSP_Species_Support!BZ21*(1-EXP(-S13_PSP_Species_Support!CA21*11))^S13_PSP_Species_Support!CB21)^2*(S13_PSP_Species_Support!CC21*(1-EXP(-S13_PSP_Species_Support!CD21*11))^S13_PSP_Species_Support!CE21))^0.976,0)+IFERROR(S13_PSP_Species_Support!CI21*0.0673*(S13_PSP_Species_Support!CJ21*(S13_PSP_Species_Support!CK21*(1-EXP(-S13_PSP_Species_Support!CL21*11))^S13_PSP_Species_Support!CM21)^2*(S13_PSP_Species_Support!CN21*(1-EXP(-S13_PSP_Species_Support!CO21*11))^S13_PSP_Species_Support!CP21))^0.976,0)+IFERROR(S13_PSP_Species_Support!CT21*0.0673*(S13_PSP_Species_Support!CU21*(S13_PSP_Species_Support!CV21*(1-EXP(-S13_PSP_Species_Support!CW21*11))^S13_PSP_Species_Support!CX21)^2*(S13_PSP_Species_Support!CY21*(1-EXP(-S13_PSP_Species_Support!CZ21*11))^S13_PSP_Species_Support!DA21))^0.976,0))/1000/$G34*T$108,0)</x:f>
        <x:v>30.17581572878233</x:v>
      </x:c>
      <x:c r="U34" s="147" t="n">
        <x:f aca="0">IFERROR((IFERROR(S13_PSP_Species_Support!U21*0.0673*(S13_PSP_Species_Support!V21*(S13_PSP_Species_Support!W21*(1-EXP(-S13_PSP_Species_Support!X21*12))^S13_PSP_Species_Support!Y21)^2*(S13_PSP_Species_Support!Z21*(1-EXP(-S13_PSP_Species_Support!AA21*12))^S13_PSP_Species_Support!AB21))^0.976,0)+IFERROR(S13_PSP_Species_Support!AF21*0.0673*(S13_PSP_Species_Support!AG21*(S13_PSP_Species_Support!AH21*(1-EXP(-S13_PSP_Species_Support!AI21*12))^S13_PSP_Species_Support!AJ21)^2*(S13_PSP_Species_Support!AK21*(1-EXP(-S13_PSP_Species_Support!AL21*12))^S13_PSP_Species_Support!AM21))^0.976,0)+IFERROR(S13_PSP_Species_Support!AQ21*0.0673*(S13_PSP_Species_Support!AR21*(S13_PSP_Species_Support!AS21*(1-EXP(-S13_PSP_Species_Support!AT21*12))^S13_PSP_Species_Support!AU21)^2*(S13_PSP_Species_Support!AV21*(1-EXP(-S13_PSP_Species_Support!AW21*12))^S13_PSP_Species_Support!AX21))^0.976,0)+IFERROR(S13_PSP_Species_Support!BB21*0.0673*(S13_PSP_Species_Support!BC21*(S13_PSP_Species_Support!BD21*(1-EXP(-S13_PSP_Species_Support!BE21*12))^S13_PSP_Species_Support!BF21)^2*(S13_PSP_Species_Support!BG21*(1-EXP(-S13_PSP_Species_Support!BH21*12))^S13_PSP_Species_Support!BI21))^0.976,0)+IFERROR(S13_PSP_Species_Support!BM21*0.0673*(S13_PSP_Species_Support!BN21*(S13_PSP_Species_Support!BO21*(1-EXP(-S13_PSP_Species_Support!BP21*12))^S13_PSP_Species_Support!BQ21)^2*(S13_PSP_Species_Support!BR21*(1-EXP(-S13_PSP_Species_Support!BS21*12))^S13_PSP_Species_Support!BT21))^0.976,0)+IFERROR(S13_PSP_Species_Support!BX21*0.0673*(S13_PSP_Species_Support!BY21*(S13_PSP_Species_Support!BZ21*(1-EXP(-S13_PSP_Species_Support!CA21*12))^S13_PSP_Species_Support!CB21)^2*(S13_PSP_Species_Support!CC21*(1-EXP(-S13_PSP_Species_Support!CD21*12))^S13_PSP_Species_Support!CE21))^0.976,0)+IFERROR(S13_PSP_Species_Support!CI21*0.0673*(S13_PSP_Species_Support!CJ21*(S13_PSP_Species_Support!CK21*(1-EXP(-S13_PSP_Species_Support!CL21*12))^S13_PSP_Species_Support!CM21)^2*(S13_PSP_Species_Support!CN21*(1-EXP(-S13_PSP_Species_Support!CO21*12))^S13_PSP_Species_Support!CP21))^0.976,0)+IFERROR(S13_PSP_Species_Support!CT21*0.0673*(S13_PSP_Species_Support!CU21*(S13_PSP_Species_Support!CV21*(1-EXP(-S13_PSP_Species_Support!CW21*12))^S13_PSP_Species_Support!CX21)^2*(S13_PSP_Species_Support!CY21*(1-EXP(-S13_PSP_Species_Support!CZ21*12))^S13_PSP_Species_Support!DA21))^0.976,0))/1000/$G34*U$108,0)</x:f>
        <x:v>34.21953851547284</x:v>
      </x:c>
      <x:c r="V34" s="147" t="n">
        <x:f aca="0">IFERROR((IFERROR(S13_PSP_Species_Support!U21*0.0673*(S13_PSP_Species_Support!V21*(S13_PSP_Species_Support!W21*(1-EXP(-S13_PSP_Species_Support!X21*13))^S13_PSP_Species_Support!Y21)^2*(S13_PSP_Species_Support!Z21*(1-EXP(-S13_PSP_Species_Support!AA21*13))^S13_PSP_Species_Support!AB21))^0.976,0)+IFERROR(S13_PSP_Species_Support!AF21*0.0673*(S13_PSP_Species_Support!AG21*(S13_PSP_Species_Support!AH21*(1-EXP(-S13_PSP_Species_Support!AI21*13))^S13_PSP_Species_Support!AJ21)^2*(S13_PSP_Species_Support!AK21*(1-EXP(-S13_PSP_Species_Support!AL21*13))^S13_PSP_Species_Support!AM21))^0.976,0)+IFERROR(S13_PSP_Species_Support!AQ21*0.0673*(S13_PSP_Species_Support!AR21*(S13_PSP_Species_Support!AS21*(1-EXP(-S13_PSP_Species_Support!AT21*13))^S13_PSP_Species_Support!AU21)^2*(S13_PSP_Species_Support!AV21*(1-EXP(-S13_PSP_Species_Support!AW21*13))^S13_PSP_Species_Support!AX21))^0.976,0)+IFERROR(S13_PSP_Species_Support!BB21*0.0673*(S13_PSP_Species_Support!BC21*(S13_PSP_Species_Support!BD21*(1-EXP(-S13_PSP_Species_Support!BE21*13))^S13_PSP_Species_Support!BF21)^2*(S13_PSP_Species_Support!BG21*(1-EXP(-S13_PSP_Species_Support!BH21*13))^S13_PSP_Species_Support!BI21))^0.976,0)+IFERROR(S13_PSP_Species_Support!BM21*0.0673*(S13_PSP_Species_Support!BN21*(S13_PSP_Species_Support!BO21*(1-EXP(-S13_PSP_Species_Support!BP21*13))^S13_PSP_Species_Support!BQ21)^2*(S13_PSP_Species_Support!BR21*(1-EXP(-S13_PSP_Species_Support!BS21*13))^S13_PSP_Species_Support!BT21))^0.976,0)+IFERROR(S13_PSP_Species_Support!BX21*0.0673*(S13_PSP_Species_Support!BY21*(S13_PSP_Species_Support!BZ21*(1-EXP(-S13_PSP_Species_Support!CA21*13))^S13_PSP_Species_Support!CB21)^2*(S13_PSP_Species_Support!CC21*(1-EXP(-S13_PSP_Species_Support!CD21*13))^S13_PSP_Species_Support!CE21))^0.976,0)+IFERROR(S13_PSP_Species_Support!CI21*0.0673*(S13_PSP_Species_Support!CJ21*(S13_PSP_Species_Support!CK21*(1-EXP(-S13_PSP_Species_Support!CL21*13))^S13_PSP_Species_Support!CM21)^2*(S13_PSP_Species_Support!CN21*(1-EXP(-S13_PSP_Species_Support!CO21*13))^S13_PSP_Species_Support!CP21))^0.976,0)+IFERROR(S13_PSP_Species_Support!CT21*0.0673*(S13_PSP_Species_Support!CU21*(S13_PSP_Species_Support!CV21*(1-EXP(-S13_PSP_Species_Support!CW21*13))^S13_PSP_Species_Support!CX21)^2*(S13_PSP_Species_Support!CY21*(1-EXP(-S13_PSP_Species_Support!CZ21*13))^S13_PSP_Species_Support!DA21))^0.976,0))/1000/$G34*V$108,0)</x:f>
        <x:v>38.004733968423984</x:v>
      </x:c>
      <x:c r="W34" s="147" t="n">
        <x:f aca="0">IFERROR((IFERROR(S13_PSP_Species_Support!U21*0.0673*(S13_PSP_Species_Support!V21*(S13_PSP_Species_Support!W21*(1-EXP(-S13_PSP_Species_Support!X21*14))^S13_PSP_Species_Support!Y21)^2*(S13_PSP_Species_Support!Z21*(1-EXP(-S13_PSP_Species_Support!AA21*14))^S13_PSP_Species_Support!AB21))^0.976,0)+IFERROR(S13_PSP_Species_Support!AF21*0.0673*(S13_PSP_Species_Support!AG21*(S13_PSP_Species_Support!AH21*(1-EXP(-S13_PSP_Species_Support!AI21*14))^S13_PSP_Species_Support!AJ21)^2*(S13_PSP_Species_Support!AK21*(1-EXP(-S13_PSP_Species_Support!AL21*14))^S13_PSP_Species_Support!AM21))^0.976,0)+IFERROR(S13_PSP_Species_Support!AQ21*0.0673*(S13_PSP_Species_Support!AR21*(S13_PSP_Species_Support!AS21*(1-EXP(-S13_PSP_Species_Support!AT21*14))^S13_PSP_Species_Support!AU21)^2*(S13_PSP_Species_Support!AV21*(1-EXP(-S13_PSP_Species_Support!AW21*14))^S13_PSP_Species_Support!AX21))^0.976,0)+IFERROR(S13_PSP_Species_Support!BB21*0.0673*(S13_PSP_Species_Support!BC21*(S13_PSP_Species_Support!BD21*(1-EXP(-S13_PSP_Species_Support!BE21*14))^S13_PSP_Species_Support!BF21)^2*(S13_PSP_Species_Support!BG21*(1-EXP(-S13_PSP_Species_Support!BH21*14))^S13_PSP_Species_Support!BI21))^0.976,0)+IFERROR(S13_PSP_Species_Support!BM21*0.0673*(S13_PSP_Species_Support!BN21*(S13_PSP_Species_Support!BO21*(1-EXP(-S13_PSP_Species_Support!BP21*14))^S13_PSP_Species_Support!BQ21)^2*(S13_PSP_Species_Support!BR21*(1-EXP(-S13_PSP_Species_Support!BS21*14))^S13_PSP_Species_Support!BT21))^0.976,0)+IFERROR(S13_PSP_Species_Support!BX21*0.0673*(S13_PSP_Species_Support!BY21*(S13_PSP_Species_Support!BZ21*(1-EXP(-S13_PSP_Species_Support!CA21*14))^S13_PSP_Species_Support!CB21)^2*(S13_PSP_Species_Support!CC21*(1-EXP(-S13_PSP_Species_Support!CD21*14))^S13_PSP_Species_Support!CE21))^0.976,0)+IFERROR(S13_PSP_Species_Support!CI21*0.0673*(S13_PSP_Species_Support!CJ21*(S13_PSP_Species_Support!CK21*(1-EXP(-S13_PSP_Species_Support!CL21*14))^S13_PSP_Species_Support!CM21)^2*(S13_PSP_Species_Support!CN21*(1-EXP(-S13_PSP_Species_Support!CO21*14))^S13_PSP_Species_Support!CP21))^0.976,0)+IFERROR(S13_PSP_Species_Support!CT21*0.0673*(S13_PSP_Species_Support!CU21*(S13_PSP_Species_Support!CV21*(1-EXP(-S13_PSP_Species_Support!CW21*14))^S13_PSP_Species_Support!CX21)^2*(S13_PSP_Species_Support!CY21*(1-EXP(-S13_PSP_Species_Support!CZ21*14))^S13_PSP_Species_Support!DA21))^0.976,0))/1000/$G34*W$108,0)</x:f>
        <x:v>41.50027633993846</x:v>
      </x:c>
      <x:c r="X34" s="147" t="n">
        <x:f aca="0">IFERROR((IFERROR(S13_PSP_Species_Support!U21*0.0673*(S13_PSP_Species_Support!V21*(S13_PSP_Species_Support!W21*(1-EXP(-S13_PSP_Species_Support!X21*15))^S13_PSP_Species_Support!Y21)^2*(S13_PSP_Species_Support!Z21*(1-EXP(-S13_PSP_Species_Support!AA21*15))^S13_PSP_Species_Support!AB21))^0.976,0)+IFERROR(S13_PSP_Species_Support!AF21*0.0673*(S13_PSP_Species_Support!AG21*(S13_PSP_Species_Support!AH21*(1-EXP(-S13_PSP_Species_Support!AI21*15))^S13_PSP_Species_Support!AJ21)^2*(S13_PSP_Species_Support!AK21*(1-EXP(-S13_PSP_Species_Support!AL21*15))^S13_PSP_Species_Support!AM21))^0.976,0)+IFERROR(S13_PSP_Species_Support!AQ21*0.0673*(S13_PSP_Species_Support!AR21*(S13_PSP_Species_Support!AS21*(1-EXP(-S13_PSP_Species_Support!AT21*15))^S13_PSP_Species_Support!AU21)^2*(S13_PSP_Species_Support!AV21*(1-EXP(-S13_PSP_Species_Support!AW21*15))^S13_PSP_Species_Support!AX21))^0.976,0)+IFERROR(S13_PSP_Species_Support!BB21*0.0673*(S13_PSP_Species_Support!BC21*(S13_PSP_Species_Support!BD21*(1-EXP(-S13_PSP_Species_Support!BE21*15))^S13_PSP_Species_Support!BF21)^2*(S13_PSP_Species_Support!BG21*(1-EXP(-S13_PSP_Species_Support!BH21*15))^S13_PSP_Species_Support!BI21))^0.976,0)+IFERROR(S13_PSP_Species_Support!BM21*0.0673*(S13_PSP_Species_Support!BN21*(S13_PSP_Species_Support!BO21*(1-EXP(-S13_PSP_Species_Support!BP21*15))^S13_PSP_Species_Support!BQ21)^2*(S13_PSP_Species_Support!BR21*(1-EXP(-S13_PSP_Species_Support!BS21*15))^S13_PSP_Species_Support!BT21))^0.976,0)+IFERROR(S13_PSP_Species_Support!BX21*0.0673*(S13_PSP_Species_Support!BY21*(S13_PSP_Species_Support!BZ21*(1-EXP(-S13_PSP_Species_Support!CA21*15))^S13_PSP_Species_Support!CB21)^2*(S13_PSP_Species_Support!CC21*(1-EXP(-S13_PSP_Species_Support!CD21*15))^S13_PSP_Species_Support!CE21))^0.976,0)+IFERROR(S13_PSP_Species_Support!CI21*0.0673*(S13_PSP_Species_Support!CJ21*(S13_PSP_Species_Support!CK21*(1-EXP(-S13_PSP_Species_Support!CL21*15))^S13_PSP_Species_Support!CM21)^2*(S13_PSP_Species_Support!CN21*(1-EXP(-S13_PSP_Species_Support!CO21*15))^S13_PSP_Species_Support!CP21))^0.976,0)+IFERROR(S13_PSP_Species_Support!CT21*0.0673*(S13_PSP_Species_Support!CU21*(S13_PSP_Species_Support!CV21*(1-EXP(-S13_PSP_Species_Support!CW21*15))^S13_PSP_Species_Support!CX21)^2*(S13_PSP_Species_Support!CY21*(1-EXP(-S13_PSP_Species_Support!CZ21*15))^S13_PSP_Species_Support!DA21))^0.976,0))/1000/$G34*X$108,0)</x:f>
        <x:v>44.693197255578376</x:v>
      </x:c>
      <x:c r="Y34" s="147" t="n">
        <x:f aca="0">IFERROR((IFERROR(S13_PSP_Species_Support!U21*0.0673*(S13_PSP_Species_Support!V21*(S13_PSP_Species_Support!W21*(1-EXP(-S13_PSP_Species_Support!X21*16))^S13_PSP_Species_Support!Y21)^2*(S13_PSP_Species_Support!Z21*(1-EXP(-S13_PSP_Species_Support!AA21*16))^S13_PSP_Species_Support!AB21))^0.976,0)+IFERROR(S13_PSP_Species_Support!AF21*0.0673*(S13_PSP_Species_Support!AG21*(S13_PSP_Species_Support!AH21*(1-EXP(-S13_PSP_Species_Support!AI21*16))^S13_PSP_Species_Support!AJ21)^2*(S13_PSP_Species_Support!AK21*(1-EXP(-S13_PSP_Species_Support!AL21*16))^S13_PSP_Species_Support!AM21))^0.976,0)+IFERROR(S13_PSP_Species_Support!AQ21*0.0673*(S13_PSP_Species_Support!AR21*(S13_PSP_Species_Support!AS21*(1-EXP(-S13_PSP_Species_Support!AT21*16))^S13_PSP_Species_Support!AU21)^2*(S13_PSP_Species_Support!AV21*(1-EXP(-S13_PSP_Species_Support!AW21*16))^S13_PSP_Species_Support!AX21))^0.976,0)+IFERROR(S13_PSP_Species_Support!BB21*0.0673*(S13_PSP_Species_Support!BC21*(S13_PSP_Species_Support!BD21*(1-EXP(-S13_PSP_Species_Support!BE21*16))^S13_PSP_Species_Support!BF21)^2*(S13_PSP_Species_Support!BG21*(1-EXP(-S13_PSP_Species_Support!BH21*16))^S13_PSP_Species_Support!BI21))^0.976,0)+IFERROR(S13_PSP_Species_Support!BM21*0.0673*(S13_PSP_Species_Support!BN21*(S13_PSP_Species_Support!BO21*(1-EXP(-S13_PSP_Species_Support!BP21*16))^S13_PSP_Species_Support!BQ21)^2*(S13_PSP_Species_Support!BR21*(1-EXP(-S13_PSP_Species_Support!BS21*16))^S13_PSP_Species_Support!BT21))^0.976,0)+IFERROR(S13_PSP_Species_Support!BX21*0.0673*(S13_PSP_Species_Support!BY21*(S13_PSP_Species_Support!BZ21*(1-EXP(-S13_PSP_Species_Support!CA21*16))^S13_PSP_Species_Support!CB21)^2*(S13_PSP_Species_Support!CC21*(1-EXP(-S13_PSP_Species_Support!CD21*16))^S13_PSP_Species_Support!CE21))^0.976,0)+IFERROR(S13_PSP_Species_Support!CI21*0.0673*(S13_PSP_Species_Support!CJ21*(S13_PSP_Species_Support!CK21*(1-EXP(-S13_PSP_Species_Support!CL21*16))^S13_PSP_Species_Support!CM21)^2*(S13_PSP_Species_Support!CN21*(1-EXP(-S13_PSP_Species_Support!CO21*16))^S13_PSP_Species_Support!CP21))^0.976,0)+IFERROR(S13_PSP_Species_Support!CT21*0.0673*(S13_PSP_Species_Support!CU21*(S13_PSP_Species_Support!CV21*(1-EXP(-S13_PSP_Species_Support!CW21*16))^S13_PSP_Species_Support!CX21)^2*(S13_PSP_Species_Support!CY21*(1-EXP(-S13_PSP_Species_Support!CZ21*16))^S13_PSP_Species_Support!DA21))^0.976,0))/1000/$G34*Y$108,0)</x:f>
        <x:v>47.58384342876649</x:v>
      </x:c>
      <x:c r="Z34" s="147" t="n">
        <x:f aca="0">IFERROR((IFERROR(S13_PSP_Species_Support!U21*0.0673*(S13_PSP_Species_Support!V21*(S13_PSP_Species_Support!W21*(1-EXP(-S13_PSP_Species_Support!X21*17))^S13_PSP_Species_Support!Y21)^2*(S13_PSP_Species_Support!Z21*(1-EXP(-S13_PSP_Species_Support!AA21*17))^S13_PSP_Species_Support!AB21))^0.976,0)+IFERROR(S13_PSP_Species_Support!AF21*0.0673*(S13_PSP_Species_Support!AG21*(S13_PSP_Species_Support!AH21*(1-EXP(-S13_PSP_Species_Support!AI21*17))^S13_PSP_Species_Support!AJ21)^2*(S13_PSP_Species_Support!AK21*(1-EXP(-S13_PSP_Species_Support!AL21*17))^S13_PSP_Species_Support!AM21))^0.976,0)+IFERROR(S13_PSP_Species_Support!AQ21*0.0673*(S13_PSP_Species_Support!AR21*(S13_PSP_Species_Support!AS21*(1-EXP(-S13_PSP_Species_Support!AT21*17))^S13_PSP_Species_Support!AU21)^2*(S13_PSP_Species_Support!AV21*(1-EXP(-S13_PSP_Species_Support!AW21*17))^S13_PSP_Species_Support!AX21))^0.976,0)+IFERROR(S13_PSP_Species_Support!BB21*0.0673*(S13_PSP_Species_Support!BC21*(S13_PSP_Species_Support!BD21*(1-EXP(-S13_PSP_Species_Support!BE21*17))^S13_PSP_Species_Support!BF21)^2*(S13_PSP_Species_Support!BG21*(1-EXP(-S13_PSP_Species_Support!BH21*17))^S13_PSP_Species_Support!BI21))^0.976,0)+IFERROR(S13_PSP_Species_Support!BM21*0.0673*(S13_PSP_Species_Support!BN21*(S13_PSP_Species_Support!BO21*(1-EXP(-S13_PSP_Species_Support!BP21*17))^S13_PSP_Species_Support!BQ21)^2*(S13_PSP_Species_Support!BR21*(1-EXP(-S13_PSP_Species_Support!BS21*17))^S13_PSP_Species_Support!BT21))^0.976,0)+IFERROR(S13_PSP_Species_Support!BX21*0.0673*(S13_PSP_Species_Support!BY21*(S13_PSP_Species_Support!BZ21*(1-EXP(-S13_PSP_Species_Support!CA21*17))^S13_PSP_Species_Support!CB21)^2*(S13_PSP_Species_Support!CC21*(1-EXP(-S13_PSP_Species_Support!CD21*17))^S13_PSP_Species_Support!CE21))^0.976,0)+IFERROR(S13_PSP_Species_Support!CI21*0.0673*(S13_PSP_Species_Support!CJ21*(S13_PSP_Species_Support!CK21*(1-EXP(-S13_PSP_Species_Support!CL21*17))^S13_PSP_Species_Support!CM21)^2*(S13_PSP_Species_Support!CN21*(1-EXP(-S13_PSP_Species_Support!CO21*17))^S13_PSP_Species_Support!CP21))^0.976,0)+IFERROR(S13_PSP_Species_Support!CT21*0.0673*(S13_PSP_Species_Support!CU21*(S13_PSP_Species_Support!CV21*(1-EXP(-S13_PSP_Species_Support!CW21*17))^S13_PSP_Species_Support!CX21)^2*(S13_PSP_Species_Support!CY21*(1-EXP(-S13_PSP_Species_Support!CZ21*17))^S13_PSP_Species_Support!DA21))^0.976,0))/1000/$G34*Z$108,0)</x:f>
        <x:v>50.18184388995616</x:v>
      </x:c>
      <x:c r="AA34" s="147" t="n">
        <x:f aca="0">IFERROR((IFERROR(S13_PSP_Species_Support!U21*0.0673*(S13_PSP_Species_Support!V21*(S13_PSP_Species_Support!W21*(1-EXP(-S13_PSP_Species_Support!X21*18))^S13_PSP_Species_Support!Y21)^2*(S13_PSP_Species_Support!Z21*(1-EXP(-S13_PSP_Species_Support!AA21*18))^S13_PSP_Species_Support!AB21))^0.976,0)+IFERROR(S13_PSP_Species_Support!AF21*0.0673*(S13_PSP_Species_Support!AG21*(S13_PSP_Species_Support!AH21*(1-EXP(-S13_PSP_Species_Support!AI21*18))^S13_PSP_Species_Support!AJ21)^2*(S13_PSP_Species_Support!AK21*(1-EXP(-S13_PSP_Species_Support!AL21*18))^S13_PSP_Species_Support!AM21))^0.976,0)+IFERROR(S13_PSP_Species_Support!AQ21*0.0673*(S13_PSP_Species_Support!AR21*(S13_PSP_Species_Support!AS21*(1-EXP(-S13_PSP_Species_Support!AT21*18))^S13_PSP_Species_Support!AU21)^2*(S13_PSP_Species_Support!AV21*(1-EXP(-S13_PSP_Species_Support!AW21*18))^S13_PSP_Species_Support!AX21))^0.976,0)+IFERROR(S13_PSP_Species_Support!BB21*0.0673*(S13_PSP_Species_Support!BC21*(S13_PSP_Species_Support!BD21*(1-EXP(-S13_PSP_Species_Support!BE21*18))^S13_PSP_Species_Support!BF21)^2*(S13_PSP_Species_Support!BG21*(1-EXP(-S13_PSP_Species_Support!BH21*18))^S13_PSP_Species_Support!BI21))^0.976,0)+IFERROR(S13_PSP_Species_Support!BM21*0.0673*(S13_PSP_Species_Support!BN21*(S13_PSP_Species_Support!BO21*(1-EXP(-S13_PSP_Species_Support!BP21*18))^S13_PSP_Species_Support!BQ21)^2*(S13_PSP_Species_Support!BR21*(1-EXP(-S13_PSP_Species_Support!BS21*18))^S13_PSP_Species_Support!BT21))^0.976,0)+IFERROR(S13_PSP_Species_Support!BX21*0.0673*(S13_PSP_Species_Support!BY21*(S13_PSP_Species_Support!BZ21*(1-EXP(-S13_PSP_Species_Support!CA21*18))^S13_PSP_Species_Support!CB21)^2*(S13_PSP_Species_Support!CC21*(1-EXP(-S13_PSP_Species_Support!CD21*18))^S13_PSP_Species_Support!CE21))^0.976,0)+IFERROR(S13_PSP_Species_Support!CI21*0.0673*(S13_PSP_Species_Support!CJ21*(S13_PSP_Species_Support!CK21*(1-EXP(-S13_PSP_Species_Support!CL21*18))^S13_PSP_Species_Support!CM21)^2*(S13_PSP_Species_Support!CN21*(1-EXP(-S13_PSP_Species_Support!CO21*18))^S13_PSP_Species_Support!CP21))^0.976,0)+IFERROR(S13_PSP_Species_Support!CT21*0.0673*(S13_PSP_Species_Support!CU21*(S13_PSP_Species_Support!CV21*(1-EXP(-S13_PSP_Species_Support!CW21*18))^S13_PSP_Species_Support!CX21)^2*(S13_PSP_Species_Support!CY21*(1-EXP(-S13_PSP_Species_Support!CZ21*18))^S13_PSP_Species_Support!DA21))^0.976,0))/1000/$G34*AA$108,0)</x:f>
        <x:v>52.50290609949832</x:v>
      </x:c>
      <x:c r="AB34" s="147" t="n">
        <x:f aca="0">IFERROR((IFERROR(S13_PSP_Species_Support!U21*0.0673*(S13_PSP_Species_Support!V21*(S13_PSP_Species_Support!W21*(1-EXP(-S13_PSP_Species_Support!X21*19))^S13_PSP_Species_Support!Y21)^2*(S13_PSP_Species_Support!Z21*(1-EXP(-S13_PSP_Species_Support!AA21*19))^S13_PSP_Species_Support!AB21))^0.976,0)+IFERROR(S13_PSP_Species_Support!AF21*0.0673*(S13_PSP_Species_Support!AG21*(S13_PSP_Species_Support!AH21*(1-EXP(-S13_PSP_Species_Support!AI21*19))^S13_PSP_Species_Support!AJ21)^2*(S13_PSP_Species_Support!AK21*(1-EXP(-S13_PSP_Species_Support!AL21*19))^S13_PSP_Species_Support!AM21))^0.976,0)+IFERROR(S13_PSP_Species_Support!AQ21*0.0673*(S13_PSP_Species_Support!AR21*(S13_PSP_Species_Support!AS21*(1-EXP(-S13_PSP_Species_Support!AT21*19))^S13_PSP_Species_Support!AU21)^2*(S13_PSP_Species_Support!AV21*(1-EXP(-S13_PSP_Species_Support!AW21*19))^S13_PSP_Species_Support!AX21))^0.976,0)+IFERROR(S13_PSP_Species_Support!BB21*0.0673*(S13_PSP_Species_Support!BC21*(S13_PSP_Species_Support!BD21*(1-EXP(-S13_PSP_Species_Support!BE21*19))^S13_PSP_Species_Support!BF21)^2*(S13_PSP_Species_Support!BG21*(1-EXP(-S13_PSP_Species_Support!BH21*19))^S13_PSP_Species_Support!BI21))^0.976,0)+IFERROR(S13_PSP_Species_Support!BM21*0.0673*(S13_PSP_Species_Support!BN21*(S13_PSP_Species_Support!BO21*(1-EXP(-S13_PSP_Species_Support!BP21*19))^S13_PSP_Species_Support!BQ21)^2*(S13_PSP_Species_Support!BR21*(1-EXP(-S13_PSP_Species_Support!BS21*19))^S13_PSP_Species_Support!BT21))^0.976,0)+IFERROR(S13_PSP_Species_Support!BX21*0.0673*(S13_PSP_Species_Support!BY21*(S13_PSP_Species_Support!BZ21*(1-EXP(-S13_PSP_Species_Support!CA21*19))^S13_PSP_Species_Support!CB21)^2*(S13_PSP_Species_Support!CC21*(1-EXP(-S13_PSP_Species_Support!CD21*19))^S13_PSP_Species_Support!CE21))^0.976,0)+IFERROR(S13_PSP_Species_Support!CI21*0.0673*(S13_PSP_Species_Support!CJ21*(S13_PSP_Species_Support!CK21*(1-EXP(-S13_PSP_Species_Support!CL21*19))^S13_PSP_Species_Support!CM21)^2*(S13_PSP_Species_Support!CN21*(1-EXP(-S13_PSP_Species_Support!CO21*19))^S13_PSP_Species_Support!CP21))^0.976,0)+IFERROR(S13_PSP_Species_Support!CT21*0.0673*(S13_PSP_Species_Support!CU21*(S13_PSP_Species_Support!CV21*(1-EXP(-S13_PSP_Species_Support!CW21*19))^S13_PSP_Species_Support!CX21)^2*(S13_PSP_Species_Support!CY21*(1-EXP(-S13_PSP_Species_Support!CZ21*19))^S13_PSP_Species_Support!DA21))^0.976,0))/1000/$G34*AB$108,0)</x:f>
        <x:v>54.56636542633955</x:v>
      </x:c>
      <x:c r="AC34" s="147" t="n">
        <x:f aca="0">IFERROR((IFERROR(S13_PSP_Species_Support!U21*0.0673*(S13_PSP_Species_Support!V21*(S13_PSP_Species_Support!W21*(1-EXP(-S13_PSP_Species_Support!X21*20))^S13_PSP_Species_Support!Y21)^2*(S13_PSP_Species_Support!Z21*(1-EXP(-S13_PSP_Species_Support!AA21*20))^S13_PSP_Species_Support!AB21))^0.976,0)+IFERROR(S13_PSP_Species_Support!AF21*0.0673*(S13_PSP_Species_Support!AG21*(S13_PSP_Species_Support!AH21*(1-EXP(-S13_PSP_Species_Support!AI21*20))^S13_PSP_Species_Support!AJ21)^2*(S13_PSP_Species_Support!AK21*(1-EXP(-S13_PSP_Species_Support!AL21*20))^S13_PSP_Species_Support!AM21))^0.976,0)+IFERROR(S13_PSP_Species_Support!AQ21*0.0673*(S13_PSP_Species_Support!AR21*(S13_PSP_Species_Support!AS21*(1-EXP(-S13_PSP_Species_Support!AT21*20))^S13_PSP_Species_Support!AU21)^2*(S13_PSP_Species_Support!AV21*(1-EXP(-S13_PSP_Species_Support!AW21*20))^S13_PSP_Species_Support!AX21))^0.976,0)+IFERROR(S13_PSP_Species_Support!BB21*0.0673*(S13_PSP_Species_Support!BC21*(S13_PSP_Species_Support!BD21*(1-EXP(-S13_PSP_Species_Support!BE21*20))^S13_PSP_Species_Support!BF21)^2*(S13_PSP_Species_Support!BG21*(1-EXP(-S13_PSP_Species_Support!BH21*20))^S13_PSP_Species_Support!BI21))^0.976,0)+IFERROR(S13_PSP_Species_Support!BM21*0.0673*(S13_PSP_Species_Support!BN21*(S13_PSP_Species_Support!BO21*(1-EXP(-S13_PSP_Species_Support!BP21*20))^S13_PSP_Species_Support!BQ21)^2*(S13_PSP_Species_Support!BR21*(1-EXP(-S13_PSP_Species_Support!BS21*20))^S13_PSP_Species_Support!BT21))^0.976,0)+IFERROR(S13_PSP_Species_Support!BX21*0.0673*(S13_PSP_Species_Support!BY21*(S13_PSP_Species_Support!BZ21*(1-EXP(-S13_PSP_Species_Support!CA21*20))^S13_PSP_Species_Support!CB21)^2*(S13_PSP_Species_Support!CC21*(1-EXP(-S13_PSP_Species_Support!CD21*20))^S13_PSP_Species_Support!CE21))^0.976,0)+IFERROR(S13_PSP_Species_Support!CI21*0.0673*(S13_PSP_Species_Support!CJ21*(S13_PSP_Species_Support!CK21*(1-EXP(-S13_PSP_Species_Support!CL21*20))^S13_PSP_Species_Support!CM21)^2*(S13_PSP_Species_Support!CN21*(1-EXP(-S13_PSP_Species_Support!CO21*20))^S13_PSP_Species_Support!CP21))^0.976,0)+IFERROR(S13_PSP_Species_Support!CT21*0.0673*(S13_PSP_Species_Support!CU21*(S13_PSP_Species_Support!CV21*(1-EXP(-S13_PSP_Species_Support!CW21*20))^S13_PSP_Species_Support!CX21)^2*(S13_PSP_Species_Support!CY21*(1-EXP(-S13_PSP_Species_Support!CZ21*20))^S13_PSP_Species_Support!DA21))^0.976,0))/1000/$G34*AC$108,0)</x:f>
        <x:v>56.393373679265764</x:v>
      </x:c>
      <x:c r="AD34" s="148" t="n">
        <x:f aca="0">IF(2020&lt;$F34,0,INDEX($I34:$AC34,1,2020-$F34+1))</x:f>
        <x:v>0</x:v>
      </x:c>
      <x:c r="AE34" s="148" t="n">
        <x:f aca="0">IF(2021&lt;$F34,0,INDEX($I34:$AC34,1,2021-$F34+1))</x:f>
        <x:v>0.0300625299366643</x:v>
      </x:c>
      <x:c r="AF34" s="148" t="n">
        <x:f aca="0">IF(2022&lt;$F34,0,INDEX($I34:$AC34,1,2022-$F34+1))</x:f>
        <x:v>0.34862534490302677</x:v>
      </x:c>
      <x:c r="AG34" s="148" t="n">
        <x:f aca="0">IF(2023&lt;$F34,0,INDEX($I34:$AC34,1,2023-$F34+1))</x:f>
        <x:v>1.302825936480368</x:v>
      </x:c>
      <x:c r="AH34" s="148" t="n">
        <x:f aca="0">IF(2024&lt;$F34,0,INDEX($I34:$AC34,1,2024-$F34+1))</x:f>
        <x:v>3.095950774579799</x:v>
      </x:c>
      <x:c r="AI34" s="148" t="n">
        <x:f aca="0">IF(2025&lt;$F34,0,INDEX($I34:$AC34,1,2025-$F34+1))</x:f>
        <x:v>5.730689408073903</x:v>
      </x:c>
      <x:c r="AJ34" s="148" t="n">
        <x:f aca="0">IF(2026&lt;$F34,0,INDEX($I34:$AC34,1,2026-$F34+1))</x:f>
        <x:v>9.084256090489998</x:v>
      </x:c>
      <x:c r="AK34" s="148" t="n">
        <x:f aca="0">IF(2027&lt;$F34,0,INDEX($I34:$AC34,1,2027-$F34+1))</x:f>
        <x:v>12.970811403792236</x:v>
      </x:c>
      <x:c r="AL34" s="148" t="n">
        <x:f aca="0">IF(2028&lt;$F34,0,INDEX($I34:$AC34,1,2028-$F34+1))</x:f>
        <x:v>17.190784525994477</x:v>
      </x:c>
      <x:c r="AM34" s="148" t="n">
        <x:f aca="0">IF(2029&lt;$F34,0,INDEX($I34:$AC34,1,2029-$F34+1))</x:f>
        <x:v>21.56080656014425</x:v>
      </x:c>
      <x:c r="AN34" s="148" t="n">
        <x:f aca="0">IF(2030&lt;$F34,0,INDEX($I34:$AC34,1,2030-$F34+1))</x:f>
        <x:v>25.928293178947172</x:v>
      </x:c>
      <x:c r="AO34" s="148" t="n">
        <x:f aca="0">IF(2031&lt;$F34,0,INDEX($I34:$AC34,1,2031-$F34+1))</x:f>
        <x:v>30.17581572878233</x:v>
      </x:c>
      <x:c r="AP34" s="148" t="n">
        <x:f aca="0">IF(2032&lt;$F34,0,INDEX($I34:$AC34,1,2032-$F34+1))</x:f>
        <x:v>34.21953851547284</x:v>
      </x:c>
      <x:c r="AQ34" s="148" t="n">
        <x:f aca="0">IF(2033&lt;$F34,0,INDEX($I34:$AC34,1,2033-$F34+1))</x:f>
        <x:v>38.004733968423984</x:v>
      </x:c>
      <x:c r="AR34" s="148" t="n">
        <x:f aca="0">IF(2034&lt;$F34,0,INDEX($I34:$AC34,1,2034-$F34+1))</x:f>
        <x:v>41.50027633993846</x:v>
      </x:c>
      <x:c r="AS34" s="148" t="n">
        <x:f aca="0">IF(2035&lt;$F34,0,INDEX($I34:$AC34,1,2035-$F34+1))</x:f>
        <x:v>44.693197255578376</x:v>
      </x:c>
      <x:c r="AT34" s="148" t="n">
        <x:f aca="0">IF(2036&lt;$F34,0,INDEX($I34:$AC34,1,2036-$F34+1))</x:f>
        <x:v>47.58384342876649</x:v>
      </x:c>
      <x:c r="AU34" s="148" t="n">
        <x:f aca="0">IF(2037&lt;$F34,0,INDEX($I34:$AC34,1,2037-$F34+1))</x:f>
        <x:v>50.18184388995616</x:v>
      </x:c>
      <x:c r="AV34" s="148" t="n">
        <x:f aca="0">IF(2038&lt;$F34,0,INDEX($I34:$AC34,1,2038-$F34+1))</x:f>
        <x:v>52.50290609949832</x:v>
      </x:c>
      <x:c r="AW34" s="148" t="n">
        <x:f aca="0">IF(2039&lt;$F34,0,INDEX($I34:$AC34,1,2039-$F34+1))</x:f>
        <x:v>54.56636542633955</x:v>
      </x:c>
      <x:c r="AX34" s="148" t="n">
        <x:f aca="0">IF(2040&lt;$F34,0,INDEX($I34:$AC34,1,2040-$F34+1))</x:f>
        <x:v>56.393373679265764</x:v>
      </x:c>
      <x:c r="AY34" s="1" t="str">
        <x:f aca="0">LEFT($C34,FIND("@",SUBSTITUTE($C34,"|","@",2))-1)</x:f>
        <x:v>Horti-Silviculture|Low</x:v>
      </x:c>
      <x:c r="AZ34" s="1" t="str">
        <x:f aca="0">LEFT($C34,FIND("|",$C34)-1)</x:f>
        <x:v>Horti-Silviculture</x:v>
      </x:c>
      <x:c r="BA34" s="149" t="n">
        <x:f aca="0">I34*I34</x:f>
        <x:v>0</x:v>
      </x:c>
      <x:c r="BB34" s="149" t="n">
        <x:f aca="0">J34*J34</x:f>
        <x:v>0.0009037557061928372</x:v>
      </x:c>
      <x:c r="BC34" s="149" t="n">
        <x:f aca="0">K34*K34</x:f>
        <x:v>0.12153963110875438</x:v>
      </x:c>
      <x:c r="BD34" s="149" t="n">
        <x:f aca="0">L34*L34</x:f>
        <x:v>1.697355420765948</x:v>
      </x:c>
      <x:c r="BE34" s="149" t="n">
        <x:f aca="0">M34*M34</x:f>
        <x:v>9.584911198621258</x:v>
      </x:c>
      <x:c r="BF34" s="149" t="n">
        <x:f aca="0">N34*N34</x:f>
        <x:v>32.84080109181041</x:v>
      </x:c>
      <x:c r="BG34" s="149" t="n">
        <x:f aca="0">O34*O34</x:f>
        <x:v>82.52370871760462</x:v>
      </x:c>
      <x:c r="BH34" s="149" t="n">
        <x:f aca="0">P34*P34</x:f>
        <x:v>168.2419484727467</x:v>
      </x:c>
      <x:c r="BI34" s="149" t="n">
        <x:f aca="0">Q34*Q34</x:f>
        <x:v>295.52307261917116</x:v>
      </x:c>
      <x:c r="BJ34" s="149" t="n">
        <x:f aca="0">R34*R34</x:f>
        <x:v>464.86837952395933</x:v>
      </x:c>
      <x:c r="BK34" s="149" t="n">
        <x:f aca="0">S34*S34</x:f>
        <x:v>672.2763871734385</x:v>
      </x:c>
      <x:c r="BL34" s="149" t="n">
        <x:f aca="0">T34*T34</x:f>
        <x:v>910.579854897427</x:v>
      </x:c>
      <x:c r="BM34" s="149" t="n">
        <x:f aca="0">U34*U34</x:f>
        <x:v>1170.9768162119292</x:v>
      </x:c>
      <x:c r="BN34" s="149" t="n">
        <x:f aca="0">V34*V34</x:f>
        <x:v>1444.35980401068</x:v>
      </x:c>
      <x:c r="BO34" s="149" t="n">
        <x:f aca="0">W34*W34</x:f>
        <x:v>1722.272936291256</x:v>
      </x:c>
      <x:c r="BP34" s="149" t="n">
        <x:f aca="0">X34*X34</x:f>
        <x:v>1997.4818809260385</x:v>
      </x:c>
      <x:c r="BQ34" s="149" t="n">
        <x:f aca="0">Y34*Y34</x:f>
        <x:v>2264.222155453364</x:v>
      </x:c>
      <x:c r="BR34" s="149" t="n">
        <x:f aca="0">Z34*Z34</x:f>
        <x:v>2518.2174561959305</x:v>
      </x:c>
      <x:c r="BS34" s="149" t="n">
        <x:f aca="0">AA34*AA34</x:f>
        <x:v>2756.5551488927376</x:v>
      </x:c>
      <x:c r="BT34" s="149" t="n">
        <x:f aca="0">AB34*AB34</x:f>
        <x:v>2977.4882358408245</x:v>
      </x:c>
      <x:c r="BU34" s="149" t="n">
        <x:f aca="0">AC34*AC34</x:f>
        <x:v>3180.2125949293045</x:v>
      </x:c>
    </x:row>
    <x:row r="35" ht="15" hidden="0" customHeight="1">
      <x:c r="A35" s="1" t="str">
        <x:f aca="0">S13_PSP_Species_Support!A22</x:f>
        <x:v>PSP-HS-008</x:v>
      </x:c>
      <x:c r="B35" s="1" t="n">
        <x:f aca="0">22</x:f>
        <x:v>22</x:v>
      </x:c>
      <x:c r="C35" s="1" t="str">
        <x:f aca="0">S13_PSP_Species_Support!I22</x:f>
        <x:v>Horti-Silviculture|Medium|2020</x:v>
      </x:c>
      <x:c r="D35" s="1" t="str">
        <x:f aca="0">S13_PSP_Species_Support!C22</x:f>
        <x:v>Horti-Silviculture</x:v>
      </x:c>
      <x:c r="E35" s="1" t="str">
        <x:f aca="0">S13_PSP_Species_Support!D22</x:f>
        <x:v>Medium</x:v>
      </x:c>
      <x:c r="F35" s="1" t="n">
        <x:f aca="0">S13_PSP_Species_Support!E22</x:f>
        <x:v>2020</x:v>
      </x:c>
      <x:c r="G35" s="645" t="n">
        <x:f aca="0">'S13_PSP_Species_Support'!DJ22</x:f>
        <x:v>0.09</x:v>
      </x:c>
      <x:c r="H35" s="714" t="n">
        <x:f aca="0">'S13_PSP_Species_Support'!DK22</x:f>
        <x:v>67.03553947648436</x:v>
      </x:c>
      <x:c r="I35" s="147" t="n">
        <x:f aca="0">IFERROR((IFERROR(S13_PSP_Species_Support!U22*0.0673*(S13_PSP_Species_Support!V22*(S13_PSP_Species_Support!W22*(1-EXP(-S13_PSP_Species_Support!X22*0))^S13_PSP_Species_Support!Y22)^2*(S13_PSP_Species_Support!Z22*(1-EXP(-S13_PSP_Species_Support!AA22*0))^S13_PSP_Species_Support!AB22))^0.976,0)+IFERROR(S13_PSP_Species_Support!AF22*0.0673*(S13_PSP_Species_Support!AG22*(S13_PSP_Species_Support!AH22*(1-EXP(-S13_PSP_Species_Support!AI22*0))^S13_PSP_Species_Support!AJ22)^2*(S13_PSP_Species_Support!AK22*(1-EXP(-S13_PSP_Species_Support!AL22*0))^S13_PSP_Species_Support!AM22))^0.976,0)+IFERROR(S13_PSP_Species_Support!AQ22*0.0673*(S13_PSP_Species_Support!AR22*(S13_PSP_Species_Support!AS22*(1-EXP(-S13_PSP_Species_Support!AT22*0))^S13_PSP_Species_Support!AU22)^2*(S13_PSP_Species_Support!AV22*(1-EXP(-S13_PSP_Species_Support!AW22*0))^S13_PSP_Species_Support!AX22))^0.976,0)+IFERROR(S13_PSP_Species_Support!BB22*0.0673*(S13_PSP_Species_Support!BC22*(S13_PSP_Species_Support!BD22*(1-EXP(-S13_PSP_Species_Support!BE22*0))^S13_PSP_Species_Support!BF22)^2*(S13_PSP_Species_Support!BG22*(1-EXP(-S13_PSP_Species_Support!BH22*0))^S13_PSP_Species_Support!BI22))^0.976,0)+IFERROR(S13_PSP_Species_Support!BM22*0.0673*(S13_PSP_Species_Support!BN22*(S13_PSP_Species_Support!BO22*(1-EXP(-S13_PSP_Species_Support!BP22*0))^S13_PSP_Species_Support!BQ22)^2*(S13_PSP_Species_Support!BR22*(1-EXP(-S13_PSP_Species_Support!BS22*0))^S13_PSP_Species_Support!BT22))^0.976,0)+IFERROR(S13_PSP_Species_Support!BX22*0.0673*(S13_PSP_Species_Support!BY22*(S13_PSP_Species_Support!BZ22*(1-EXP(-S13_PSP_Species_Support!CA22*0))^S13_PSP_Species_Support!CB22)^2*(S13_PSP_Species_Support!CC22*(1-EXP(-S13_PSP_Species_Support!CD22*0))^S13_PSP_Species_Support!CE22))^0.976,0)+IFERROR(S13_PSP_Species_Support!CI22*0.0673*(S13_PSP_Species_Support!CJ22*(S13_PSP_Species_Support!CK22*(1-EXP(-S13_PSP_Species_Support!CL22*0))^S13_PSP_Species_Support!CM22)^2*(S13_PSP_Species_Support!CN22*(1-EXP(-S13_PSP_Species_Support!CO22*0))^S13_PSP_Species_Support!CP22))^0.976,0)+IFERROR(S13_PSP_Species_Support!CT22*0.0673*(S13_PSP_Species_Support!CU22*(S13_PSP_Species_Support!CV22*(1-EXP(-S13_PSP_Species_Support!CW22*0))^S13_PSP_Species_Support!CX22)^2*(S13_PSP_Species_Support!CY22*(1-EXP(-S13_PSP_Species_Support!CZ22*0))^S13_PSP_Species_Support!DA22))^0.976,0))/1000/$G35*I$108,0)</x:f>
        <x:v>0</x:v>
      </x:c>
      <x:c r="J35" s="147" t="n">
        <x:f aca="0">IFERROR((IFERROR(S13_PSP_Species_Support!U22*0.0673*(S13_PSP_Species_Support!V22*(S13_PSP_Species_Support!W22*(1-EXP(-S13_PSP_Species_Support!X22*1))^S13_PSP_Species_Support!Y22)^2*(S13_PSP_Species_Support!Z22*(1-EXP(-S13_PSP_Species_Support!AA22*1))^S13_PSP_Species_Support!AB22))^0.976,0)+IFERROR(S13_PSP_Species_Support!AF22*0.0673*(S13_PSP_Species_Support!AG22*(S13_PSP_Species_Support!AH22*(1-EXP(-S13_PSP_Species_Support!AI22*1))^S13_PSP_Species_Support!AJ22)^2*(S13_PSP_Species_Support!AK22*(1-EXP(-S13_PSP_Species_Support!AL22*1))^S13_PSP_Species_Support!AM22))^0.976,0)+IFERROR(S13_PSP_Species_Support!AQ22*0.0673*(S13_PSP_Species_Support!AR22*(S13_PSP_Species_Support!AS22*(1-EXP(-S13_PSP_Species_Support!AT22*1))^S13_PSP_Species_Support!AU22)^2*(S13_PSP_Species_Support!AV22*(1-EXP(-S13_PSP_Species_Support!AW22*1))^S13_PSP_Species_Support!AX22))^0.976,0)+IFERROR(S13_PSP_Species_Support!BB22*0.0673*(S13_PSP_Species_Support!BC22*(S13_PSP_Species_Support!BD22*(1-EXP(-S13_PSP_Species_Support!BE22*1))^S13_PSP_Species_Support!BF22)^2*(S13_PSP_Species_Support!BG22*(1-EXP(-S13_PSP_Species_Support!BH22*1))^S13_PSP_Species_Support!BI22))^0.976,0)+IFERROR(S13_PSP_Species_Support!BM22*0.0673*(S13_PSP_Species_Support!BN22*(S13_PSP_Species_Support!BO22*(1-EXP(-S13_PSP_Species_Support!BP22*1))^S13_PSP_Species_Support!BQ22)^2*(S13_PSP_Species_Support!BR22*(1-EXP(-S13_PSP_Species_Support!BS22*1))^S13_PSP_Species_Support!BT22))^0.976,0)+IFERROR(S13_PSP_Species_Support!BX22*0.0673*(S13_PSP_Species_Support!BY22*(S13_PSP_Species_Support!BZ22*(1-EXP(-S13_PSP_Species_Support!CA22*1))^S13_PSP_Species_Support!CB22)^2*(S13_PSP_Species_Support!CC22*(1-EXP(-S13_PSP_Species_Support!CD22*1))^S13_PSP_Species_Support!CE22))^0.976,0)+IFERROR(S13_PSP_Species_Support!CI22*0.0673*(S13_PSP_Species_Support!CJ22*(S13_PSP_Species_Support!CK22*(1-EXP(-S13_PSP_Species_Support!CL22*1))^S13_PSP_Species_Support!CM22)^2*(S13_PSP_Species_Support!CN22*(1-EXP(-S13_PSP_Species_Support!CO22*1))^S13_PSP_Species_Support!CP22))^0.976,0)+IFERROR(S13_PSP_Species_Support!CT22*0.0673*(S13_PSP_Species_Support!CU22*(S13_PSP_Species_Support!CV22*(1-EXP(-S13_PSP_Species_Support!CW22*1))^S13_PSP_Species_Support!CX22)^2*(S13_PSP_Species_Support!CY22*(1-EXP(-S13_PSP_Species_Support!CZ22*1))^S13_PSP_Species_Support!DA22))^0.976,0))/1000/$G35*J$108,0)</x:f>
        <x:v>0.17279934272672035</x:v>
      </x:c>
      <x:c r="K35" s="147" t="n">
        <x:f aca="0">IFERROR((IFERROR(S13_PSP_Species_Support!U22*0.0673*(S13_PSP_Species_Support!V22*(S13_PSP_Species_Support!W22*(1-EXP(-S13_PSP_Species_Support!X22*2))^S13_PSP_Species_Support!Y22)^2*(S13_PSP_Species_Support!Z22*(1-EXP(-S13_PSP_Species_Support!AA22*2))^S13_PSP_Species_Support!AB22))^0.976,0)+IFERROR(S13_PSP_Species_Support!AF22*0.0673*(S13_PSP_Species_Support!AG22*(S13_PSP_Species_Support!AH22*(1-EXP(-S13_PSP_Species_Support!AI22*2))^S13_PSP_Species_Support!AJ22)^2*(S13_PSP_Species_Support!AK22*(1-EXP(-S13_PSP_Species_Support!AL22*2))^S13_PSP_Species_Support!AM22))^0.976,0)+IFERROR(S13_PSP_Species_Support!AQ22*0.0673*(S13_PSP_Species_Support!AR22*(S13_PSP_Species_Support!AS22*(1-EXP(-S13_PSP_Species_Support!AT22*2))^S13_PSP_Species_Support!AU22)^2*(S13_PSP_Species_Support!AV22*(1-EXP(-S13_PSP_Species_Support!AW22*2))^S13_PSP_Species_Support!AX22))^0.976,0)+IFERROR(S13_PSP_Species_Support!BB22*0.0673*(S13_PSP_Species_Support!BC22*(S13_PSP_Species_Support!BD22*(1-EXP(-S13_PSP_Species_Support!BE22*2))^S13_PSP_Species_Support!BF22)^2*(S13_PSP_Species_Support!BG22*(1-EXP(-S13_PSP_Species_Support!BH22*2))^S13_PSP_Species_Support!BI22))^0.976,0)+IFERROR(S13_PSP_Species_Support!BM22*0.0673*(S13_PSP_Species_Support!BN22*(S13_PSP_Species_Support!BO22*(1-EXP(-S13_PSP_Species_Support!BP22*2))^S13_PSP_Species_Support!BQ22)^2*(S13_PSP_Species_Support!BR22*(1-EXP(-S13_PSP_Species_Support!BS22*2))^S13_PSP_Species_Support!BT22))^0.976,0)+IFERROR(S13_PSP_Species_Support!BX22*0.0673*(S13_PSP_Species_Support!BY22*(S13_PSP_Species_Support!BZ22*(1-EXP(-S13_PSP_Species_Support!CA22*2))^S13_PSP_Species_Support!CB22)^2*(S13_PSP_Species_Support!CC22*(1-EXP(-S13_PSP_Species_Support!CD22*2))^S13_PSP_Species_Support!CE22))^0.976,0)+IFERROR(S13_PSP_Species_Support!CI22*0.0673*(S13_PSP_Species_Support!CJ22*(S13_PSP_Species_Support!CK22*(1-EXP(-S13_PSP_Species_Support!CL22*2))^S13_PSP_Species_Support!CM22)^2*(S13_PSP_Species_Support!CN22*(1-EXP(-S13_PSP_Species_Support!CO22*2))^S13_PSP_Species_Support!CP22))^0.976,0)+IFERROR(S13_PSP_Species_Support!CT22*0.0673*(S13_PSP_Species_Support!CU22*(S13_PSP_Species_Support!CV22*(1-EXP(-S13_PSP_Species_Support!CW22*2))^S13_PSP_Species_Support!CX22)^2*(S13_PSP_Species_Support!CY22*(1-EXP(-S13_PSP_Species_Support!CZ22*2))^S13_PSP_Species_Support!DA22))^0.976,0))/1000/$G35*K$108,0)</x:f>
        <x:v>2.073848416599052</x:v>
      </x:c>
      <x:c r="L35" s="147" t="n">
        <x:f aca="0">IFERROR((IFERROR(S13_PSP_Species_Support!U22*0.0673*(S13_PSP_Species_Support!V22*(S13_PSP_Species_Support!W22*(1-EXP(-S13_PSP_Species_Support!X22*3))^S13_PSP_Species_Support!Y22)^2*(S13_PSP_Species_Support!Z22*(1-EXP(-S13_PSP_Species_Support!AA22*3))^S13_PSP_Species_Support!AB22))^0.976,0)+IFERROR(S13_PSP_Species_Support!AF22*0.0673*(S13_PSP_Species_Support!AG22*(S13_PSP_Species_Support!AH22*(1-EXP(-S13_PSP_Species_Support!AI22*3))^S13_PSP_Species_Support!AJ22)^2*(S13_PSP_Species_Support!AK22*(1-EXP(-S13_PSP_Species_Support!AL22*3))^S13_PSP_Species_Support!AM22))^0.976,0)+IFERROR(S13_PSP_Species_Support!AQ22*0.0673*(S13_PSP_Species_Support!AR22*(S13_PSP_Species_Support!AS22*(1-EXP(-S13_PSP_Species_Support!AT22*3))^S13_PSP_Species_Support!AU22)^2*(S13_PSP_Species_Support!AV22*(1-EXP(-S13_PSP_Species_Support!AW22*3))^S13_PSP_Species_Support!AX22))^0.976,0)+IFERROR(S13_PSP_Species_Support!BB22*0.0673*(S13_PSP_Species_Support!BC22*(S13_PSP_Species_Support!BD22*(1-EXP(-S13_PSP_Species_Support!BE22*3))^S13_PSP_Species_Support!BF22)^2*(S13_PSP_Species_Support!BG22*(1-EXP(-S13_PSP_Species_Support!BH22*3))^S13_PSP_Species_Support!BI22))^0.976,0)+IFERROR(S13_PSP_Species_Support!BM22*0.0673*(S13_PSP_Species_Support!BN22*(S13_PSP_Species_Support!BO22*(1-EXP(-S13_PSP_Species_Support!BP22*3))^S13_PSP_Species_Support!BQ22)^2*(S13_PSP_Species_Support!BR22*(1-EXP(-S13_PSP_Species_Support!BS22*3))^S13_PSP_Species_Support!BT22))^0.976,0)+IFERROR(S13_PSP_Species_Support!BX22*0.0673*(S13_PSP_Species_Support!BY22*(S13_PSP_Species_Support!BZ22*(1-EXP(-S13_PSP_Species_Support!CA22*3))^S13_PSP_Species_Support!CB22)^2*(S13_PSP_Species_Support!CC22*(1-EXP(-S13_PSP_Species_Support!CD22*3))^S13_PSP_Species_Support!CE22))^0.976,0)+IFERROR(S13_PSP_Species_Support!CI22*0.0673*(S13_PSP_Species_Support!CJ22*(S13_PSP_Species_Support!CK22*(1-EXP(-S13_PSP_Species_Support!CL22*3))^S13_PSP_Species_Support!CM22)^2*(S13_PSP_Species_Support!CN22*(1-EXP(-S13_PSP_Species_Support!CO22*3))^S13_PSP_Species_Support!CP22))^0.976,0)+IFERROR(S13_PSP_Species_Support!CT22*0.0673*(S13_PSP_Species_Support!CU22*(S13_PSP_Species_Support!CV22*(1-EXP(-S13_PSP_Species_Support!CW22*3))^S13_PSP_Species_Support!CX22)^2*(S13_PSP_Species_Support!CY22*(1-EXP(-S13_PSP_Species_Support!CZ22*3))^S13_PSP_Species_Support!DA22))^0.976,0))/1000/$G35*L$108,0)</x:f>
        <x:v>7.926882476052554</x:v>
      </x:c>
      <x:c r="M35" s="147" t="n">
        <x:f aca="0">IFERROR((IFERROR(S13_PSP_Species_Support!U22*0.0673*(S13_PSP_Species_Support!V22*(S13_PSP_Species_Support!W22*(1-EXP(-S13_PSP_Species_Support!X22*4))^S13_PSP_Species_Support!Y22)^2*(S13_PSP_Species_Support!Z22*(1-EXP(-S13_PSP_Species_Support!AA22*4))^S13_PSP_Species_Support!AB22))^0.976,0)+IFERROR(S13_PSP_Species_Support!AF22*0.0673*(S13_PSP_Species_Support!AG22*(S13_PSP_Species_Support!AH22*(1-EXP(-S13_PSP_Species_Support!AI22*4))^S13_PSP_Species_Support!AJ22)^2*(S13_PSP_Species_Support!AK22*(1-EXP(-S13_PSP_Species_Support!AL22*4))^S13_PSP_Species_Support!AM22))^0.976,0)+IFERROR(S13_PSP_Species_Support!AQ22*0.0673*(S13_PSP_Species_Support!AR22*(S13_PSP_Species_Support!AS22*(1-EXP(-S13_PSP_Species_Support!AT22*4))^S13_PSP_Species_Support!AU22)^2*(S13_PSP_Species_Support!AV22*(1-EXP(-S13_PSP_Species_Support!AW22*4))^S13_PSP_Species_Support!AX22))^0.976,0)+IFERROR(S13_PSP_Species_Support!BB22*0.0673*(S13_PSP_Species_Support!BC22*(S13_PSP_Species_Support!BD22*(1-EXP(-S13_PSP_Species_Support!BE22*4))^S13_PSP_Species_Support!BF22)^2*(S13_PSP_Species_Support!BG22*(1-EXP(-S13_PSP_Species_Support!BH22*4))^S13_PSP_Species_Support!BI22))^0.976,0)+IFERROR(S13_PSP_Species_Support!BM22*0.0673*(S13_PSP_Species_Support!BN22*(S13_PSP_Species_Support!BO22*(1-EXP(-S13_PSP_Species_Support!BP22*4))^S13_PSP_Species_Support!BQ22)^2*(S13_PSP_Species_Support!BR22*(1-EXP(-S13_PSP_Species_Support!BS22*4))^S13_PSP_Species_Support!BT22))^0.976,0)+IFERROR(S13_PSP_Species_Support!BX22*0.0673*(S13_PSP_Species_Support!BY22*(S13_PSP_Species_Support!BZ22*(1-EXP(-S13_PSP_Species_Support!CA22*4))^S13_PSP_Species_Support!CB22)^2*(S13_PSP_Species_Support!CC22*(1-EXP(-S13_PSP_Species_Support!CD22*4))^S13_PSP_Species_Support!CE22))^0.976,0)+IFERROR(S13_PSP_Species_Support!CI22*0.0673*(S13_PSP_Species_Support!CJ22*(S13_PSP_Species_Support!CK22*(1-EXP(-S13_PSP_Species_Support!CL22*4))^S13_PSP_Species_Support!CM22)^2*(S13_PSP_Species_Support!CN22*(1-EXP(-S13_PSP_Species_Support!CO22*4))^S13_PSP_Species_Support!CP22))^0.976,0)+IFERROR(S13_PSP_Species_Support!CT22*0.0673*(S13_PSP_Species_Support!CU22*(S13_PSP_Species_Support!CV22*(1-EXP(-S13_PSP_Species_Support!CW22*4))^S13_PSP_Species_Support!CX22)^2*(S13_PSP_Species_Support!CY22*(1-EXP(-S13_PSP_Species_Support!CZ22*4))^S13_PSP_Species_Support!DA22))^0.976,0))/1000/$G35*M$108,0)</x:f>
        <x:v>19.168536231151286</x:v>
      </x:c>
      <x:c r="N35" s="147" t="n">
        <x:f aca="0">IFERROR((IFERROR(S13_PSP_Species_Support!U22*0.0673*(S13_PSP_Species_Support!V22*(S13_PSP_Species_Support!W22*(1-EXP(-S13_PSP_Species_Support!X22*5))^S13_PSP_Species_Support!Y22)^2*(S13_PSP_Species_Support!Z22*(1-EXP(-S13_PSP_Species_Support!AA22*5))^S13_PSP_Species_Support!AB22))^0.976,0)+IFERROR(S13_PSP_Species_Support!AF22*0.0673*(S13_PSP_Species_Support!AG22*(S13_PSP_Species_Support!AH22*(1-EXP(-S13_PSP_Species_Support!AI22*5))^S13_PSP_Species_Support!AJ22)^2*(S13_PSP_Species_Support!AK22*(1-EXP(-S13_PSP_Species_Support!AL22*5))^S13_PSP_Species_Support!AM22))^0.976,0)+IFERROR(S13_PSP_Species_Support!AQ22*0.0673*(S13_PSP_Species_Support!AR22*(S13_PSP_Species_Support!AS22*(1-EXP(-S13_PSP_Species_Support!AT22*5))^S13_PSP_Species_Support!AU22)^2*(S13_PSP_Species_Support!AV22*(1-EXP(-S13_PSP_Species_Support!AW22*5))^S13_PSP_Species_Support!AX22))^0.976,0)+IFERROR(S13_PSP_Species_Support!BB22*0.0673*(S13_PSP_Species_Support!BC22*(S13_PSP_Species_Support!BD22*(1-EXP(-S13_PSP_Species_Support!BE22*5))^S13_PSP_Species_Support!BF22)^2*(S13_PSP_Species_Support!BG22*(1-EXP(-S13_PSP_Species_Support!BH22*5))^S13_PSP_Species_Support!BI22))^0.976,0)+IFERROR(S13_PSP_Species_Support!BM22*0.0673*(S13_PSP_Species_Support!BN22*(S13_PSP_Species_Support!BO22*(1-EXP(-S13_PSP_Species_Support!BP22*5))^S13_PSP_Species_Support!BQ22)^2*(S13_PSP_Species_Support!BR22*(1-EXP(-S13_PSP_Species_Support!BS22*5))^S13_PSP_Species_Support!BT22))^0.976,0)+IFERROR(S13_PSP_Species_Support!BX22*0.0673*(S13_PSP_Species_Support!BY22*(S13_PSP_Species_Support!BZ22*(1-EXP(-S13_PSP_Species_Support!CA22*5))^S13_PSP_Species_Support!CB22)^2*(S13_PSP_Species_Support!CC22*(1-EXP(-S13_PSP_Species_Support!CD22*5))^S13_PSP_Species_Support!CE22))^0.976,0)+IFERROR(S13_PSP_Species_Support!CI22*0.0673*(S13_PSP_Species_Support!CJ22*(S13_PSP_Species_Support!CK22*(1-EXP(-S13_PSP_Species_Support!CL22*5))^S13_PSP_Species_Support!CM22)^2*(S13_PSP_Species_Support!CN22*(1-EXP(-S13_PSP_Species_Support!CO22*5))^S13_PSP_Species_Support!CP22))^0.976,0)+IFERROR(S13_PSP_Species_Support!CT22*0.0673*(S13_PSP_Species_Support!CU22*(S13_PSP_Species_Support!CV22*(1-EXP(-S13_PSP_Species_Support!CW22*5))^S13_PSP_Species_Support!CX22)^2*(S13_PSP_Species_Support!CY22*(1-EXP(-S13_PSP_Species_Support!CZ22*5))^S13_PSP_Species_Support!DA22))^0.976,0))/1000/$G35*N$108,0)</x:f>
        <x:v>36.00466833961774</x:v>
      </x:c>
      <x:c r="O35" s="147" t="n">
        <x:f aca="0">IFERROR((IFERROR(S13_PSP_Species_Support!U22*0.0673*(S13_PSP_Species_Support!V22*(S13_PSP_Species_Support!W22*(1-EXP(-S13_PSP_Species_Support!X22*6))^S13_PSP_Species_Support!Y22)^2*(S13_PSP_Species_Support!Z22*(1-EXP(-S13_PSP_Species_Support!AA22*6))^S13_PSP_Species_Support!AB22))^0.976,0)+IFERROR(S13_PSP_Species_Support!AF22*0.0673*(S13_PSP_Species_Support!AG22*(S13_PSP_Species_Support!AH22*(1-EXP(-S13_PSP_Species_Support!AI22*6))^S13_PSP_Species_Support!AJ22)^2*(S13_PSP_Species_Support!AK22*(1-EXP(-S13_PSP_Species_Support!AL22*6))^S13_PSP_Species_Support!AM22))^0.976,0)+IFERROR(S13_PSP_Species_Support!AQ22*0.0673*(S13_PSP_Species_Support!AR22*(S13_PSP_Species_Support!AS22*(1-EXP(-S13_PSP_Species_Support!AT22*6))^S13_PSP_Species_Support!AU22)^2*(S13_PSP_Species_Support!AV22*(1-EXP(-S13_PSP_Species_Support!AW22*6))^S13_PSP_Species_Support!AX22))^0.976,0)+IFERROR(S13_PSP_Species_Support!BB22*0.0673*(S13_PSP_Species_Support!BC22*(S13_PSP_Species_Support!BD22*(1-EXP(-S13_PSP_Species_Support!BE22*6))^S13_PSP_Species_Support!BF22)^2*(S13_PSP_Species_Support!BG22*(1-EXP(-S13_PSP_Species_Support!BH22*6))^S13_PSP_Species_Support!BI22))^0.976,0)+IFERROR(S13_PSP_Species_Support!BM22*0.0673*(S13_PSP_Species_Support!BN22*(S13_PSP_Species_Support!BO22*(1-EXP(-S13_PSP_Species_Support!BP22*6))^S13_PSP_Species_Support!BQ22)^2*(S13_PSP_Species_Support!BR22*(1-EXP(-S13_PSP_Species_Support!BS22*6))^S13_PSP_Species_Support!BT22))^0.976,0)+IFERROR(S13_PSP_Species_Support!BX22*0.0673*(S13_PSP_Species_Support!BY22*(S13_PSP_Species_Support!BZ22*(1-EXP(-S13_PSP_Species_Support!CA22*6))^S13_PSP_Species_Support!CB22)^2*(S13_PSP_Species_Support!CC22*(1-EXP(-S13_PSP_Species_Support!CD22*6))^S13_PSP_Species_Support!CE22))^0.976,0)+IFERROR(S13_PSP_Species_Support!CI22*0.0673*(S13_PSP_Species_Support!CJ22*(S13_PSP_Species_Support!CK22*(1-EXP(-S13_PSP_Species_Support!CL22*6))^S13_PSP_Species_Support!CM22)^2*(S13_PSP_Species_Support!CN22*(1-EXP(-S13_PSP_Species_Support!CO22*6))^S13_PSP_Species_Support!CP22))^0.976,0)+IFERROR(S13_PSP_Species_Support!CT22*0.0673*(S13_PSP_Species_Support!CU22*(S13_PSP_Species_Support!CV22*(1-EXP(-S13_PSP_Species_Support!CW22*6))^S13_PSP_Species_Support!CX22)^2*(S13_PSP_Species_Support!CY22*(1-EXP(-S13_PSP_Species_Support!CZ22*6))^S13_PSP_Species_Support!DA22))^0.976,0))/1000/$G35*O$108,0)</x:f>
        <x:v>57.81267670949894</x:v>
      </x:c>
      <x:c r="P35" s="147" t="n">
        <x:f aca="0">IFERROR((IFERROR(S13_PSP_Species_Support!U22*0.0673*(S13_PSP_Species_Support!V22*(S13_PSP_Species_Support!W22*(1-EXP(-S13_PSP_Species_Support!X22*7))^S13_PSP_Species_Support!Y22)^2*(S13_PSP_Species_Support!Z22*(1-EXP(-S13_PSP_Species_Support!AA22*7))^S13_PSP_Species_Support!AB22))^0.976,0)+IFERROR(S13_PSP_Species_Support!AF22*0.0673*(S13_PSP_Species_Support!AG22*(S13_PSP_Species_Support!AH22*(1-EXP(-S13_PSP_Species_Support!AI22*7))^S13_PSP_Species_Support!AJ22)^2*(S13_PSP_Species_Support!AK22*(1-EXP(-S13_PSP_Species_Support!AL22*7))^S13_PSP_Species_Support!AM22))^0.976,0)+IFERROR(S13_PSP_Species_Support!AQ22*0.0673*(S13_PSP_Species_Support!AR22*(S13_PSP_Species_Support!AS22*(1-EXP(-S13_PSP_Species_Support!AT22*7))^S13_PSP_Species_Support!AU22)^2*(S13_PSP_Species_Support!AV22*(1-EXP(-S13_PSP_Species_Support!AW22*7))^S13_PSP_Species_Support!AX22))^0.976,0)+IFERROR(S13_PSP_Species_Support!BB22*0.0673*(S13_PSP_Species_Support!BC22*(S13_PSP_Species_Support!BD22*(1-EXP(-S13_PSP_Species_Support!BE22*7))^S13_PSP_Species_Support!BF22)^2*(S13_PSP_Species_Support!BG22*(1-EXP(-S13_PSP_Species_Support!BH22*7))^S13_PSP_Species_Support!BI22))^0.976,0)+IFERROR(S13_PSP_Species_Support!BM22*0.0673*(S13_PSP_Species_Support!BN22*(S13_PSP_Species_Support!BO22*(1-EXP(-S13_PSP_Species_Support!BP22*7))^S13_PSP_Species_Support!BQ22)^2*(S13_PSP_Species_Support!BR22*(1-EXP(-S13_PSP_Species_Support!BS22*7))^S13_PSP_Species_Support!BT22))^0.976,0)+IFERROR(S13_PSP_Species_Support!BX22*0.0673*(S13_PSP_Species_Support!BY22*(S13_PSP_Species_Support!BZ22*(1-EXP(-S13_PSP_Species_Support!CA22*7))^S13_PSP_Species_Support!CB22)^2*(S13_PSP_Species_Support!CC22*(1-EXP(-S13_PSP_Species_Support!CD22*7))^S13_PSP_Species_Support!CE22))^0.976,0)+IFERROR(S13_PSP_Species_Support!CI22*0.0673*(S13_PSP_Species_Support!CJ22*(S13_PSP_Species_Support!CK22*(1-EXP(-S13_PSP_Species_Support!CL22*7))^S13_PSP_Species_Support!CM22)^2*(S13_PSP_Species_Support!CN22*(1-EXP(-S13_PSP_Species_Support!CO22*7))^S13_PSP_Species_Support!CP22))^0.976,0)+IFERROR(S13_PSP_Species_Support!CT22*0.0673*(S13_PSP_Species_Support!CU22*(S13_PSP_Species_Support!CV22*(1-EXP(-S13_PSP_Species_Support!CW22*7))^S13_PSP_Species_Support!CX22)^2*(S13_PSP_Species_Support!CY22*(1-EXP(-S13_PSP_Species_Support!CZ22*7))^S13_PSP_Species_Support!DA22))^0.976,0))/1000/$G35*P$108,0)</x:f>
        <x:v>83.50885136677782</x:v>
      </x:c>
      <x:c r="Q35" s="147" t="n">
        <x:f aca="0">IFERROR((IFERROR(S13_PSP_Species_Support!U22*0.0673*(S13_PSP_Species_Support!V22*(S13_PSP_Species_Support!W22*(1-EXP(-S13_PSP_Species_Support!X22*8))^S13_PSP_Species_Support!Y22)^2*(S13_PSP_Species_Support!Z22*(1-EXP(-S13_PSP_Species_Support!AA22*8))^S13_PSP_Species_Support!AB22))^0.976,0)+IFERROR(S13_PSP_Species_Support!AF22*0.0673*(S13_PSP_Species_Support!AG22*(S13_PSP_Species_Support!AH22*(1-EXP(-S13_PSP_Species_Support!AI22*8))^S13_PSP_Species_Support!AJ22)^2*(S13_PSP_Species_Support!AK22*(1-EXP(-S13_PSP_Species_Support!AL22*8))^S13_PSP_Species_Support!AM22))^0.976,0)+IFERROR(S13_PSP_Species_Support!AQ22*0.0673*(S13_PSP_Species_Support!AR22*(S13_PSP_Species_Support!AS22*(1-EXP(-S13_PSP_Species_Support!AT22*8))^S13_PSP_Species_Support!AU22)^2*(S13_PSP_Species_Support!AV22*(1-EXP(-S13_PSP_Species_Support!AW22*8))^S13_PSP_Species_Support!AX22))^0.976,0)+IFERROR(S13_PSP_Species_Support!BB22*0.0673*(S13_PSP_Species_Support!BC22*(S13_PSP_Species_Support!BD22*(1-EXP(-S13_PSP_Species_Support!BE22*8))^S13_PSP_Species_Support!BF22)^2*(S13_PSP_Species_Support!BG22*(1-EXP(-S13_PSP_Species_Support!BH22*8))^S13_PSP_Species_Support!BI22))^0.976,0)+IFERROR(S13_PSP_Species_Support!BM22*0.0673*(S13_PSP_Species_Support!BN22*(S13_PSP_Species_Support!BO22*(1-EXP(-S13_PSP_Species_Support!BP22*8))^S13_PSP_Species_Support!BQ22)^2*(S13_PSP_Species_Support!BR22*(1-EXP(-S13_PSP_Species_Support!BS22*8))^S13_PSP_Species_Support!BT22))^0.976,0)+IFERROR(S13_PSP_Species_Support!BX22*0.0673*(S13_PSP_Species_Support!BY22*(S13_PSP_Species_Support!BZ22*(1-EXP(-S13_PSP_Species_Support!CA22*8))^S13_PSP_Species_Support!CB22)^2*(S13_PSP_Species_Support!CC22*(1-EXP(-S13_PSP_Species_Support!CD22*8))^S13_PSP_Species_Support!CE22))^0.976,0)+IFERROR(S13_PSP_Species_Support!CI22*0.0673*(S13_PSP_Species_Support!CJ22*(S13_PSP_Species_Support!CK22*(1-EXP(-S13_PSP_Species_Support!CL22*8))^S13_PSP_Species_Support!CM22)^2*(S13_PSP_Species_Support!CN22*(1-EXP(-S13_PSP_Species_Support!CO22*8))^S13_PSP_Species_Support!CP22))^0.976,0)+IFERROR(S13_PSP_Species_Support!CT22*0.0673*(S13_PSP_Species_Support!CU22*(S13_PSP_Species_Support!CV22*(1-EXP(-S13_PSP_Species_Support!CW22*8))^S13_PSP_Species_Support!CX22)^2*(S13_PSP_Species_Support!CY22*(1-EXP(-S13_PSP_Species_Support!CZ22*8))^S13_PSP_Species_Support!DA22))^0.976,0))/1000/$G35*Q$108,0)</x:f>
        <x:v>111.85727143926249</x:v>
      </x:c>
      <x:c r="R35" s="147" t="n">
        <x:f aca="0">IFERROR((IFERROR(S13_PSP_Species_Support!U22*0.0673*(S13_PSP_Species_Support!V22*(S13_PSP_Species_Support!W22*(1-EXP(-S13_PSP_Species_Support!X22*9))^S13_PSP_Species_Support!Y22)^2*(S13_PSP_Species_Support!Z22*(1-EXP(-S13_PSP_Species_Support!AA22*9))^S13_PSP_Species_Support!AB22))^0.976,0)+IFERROR(S13_PSP_Species_Support!AF22*0.0673*(S13_PSP_Species_Support!AG22*(S13_PSP_Species_Support!AH22*(1-EXP(-S13_PSP_Species_Support!AI22*9))^S13_PSP_Species_Support!AJ22)^2*(S13_PSP_Species_Support!AK22*(1-EXP(-S13_PSP_Species_Support!AL22*9))^S13_PSP_Species_Support!AM22))^0.976,0)+IFERROR(S13_PSP_Species_Support!AQ22*0.0673*(S13_PSP_Species_Support!AR22*(S13_PSP_Species_Support!AS22*(1-EXP(-S13_PSP_Species_Support!AT22*9))^S13_PSP_Species_Support!AU22)^2*(S13_PSP_Species_Support!AV22*(1-EXP(-S13_PSP_Species_Support!AW22*9))^S13_PSP_Species_Support!AX22))^0.976,0)+IFERROR(S13_PSP_Species_Support!BB22*0.0673*(S13_PSP_Species_Support!BC22*(S13_PSP_Species_Support!BD22*(1-EXP(-S13_PSP_Species_Support!BE22*9))^S13_PSP_Species_Support!BF22)^2*(S13_PSP_Species_Support!BG22*(1-EXP(-S13_PSP_Species_Support!BH22*9))^S13_PSP_Species_Support!BI22))^0.976,0)+IFERROR(S13_PSP_Species_Support!BM22*0.0673*(S13_PSP_Species_Support!BN22*(S13_PSP_Species_Support!BO22*(1-EXP(-S13_PSP_Species_Support!BP22*9))^S13_PSP_Species_Support!BQ22)^2*(S13_PSP_Species_Support!BR22*(1-EXP(-S13_PSP_Species_Support!BS22*9))^S13_PSP_Species_Support!BT22))^0.976,0)+IFERROR(S13_PSP_Species_Support!BX22*0.0673*(S13_PSP_Species_Support!BY22*(S13_PSP_Species_Support!BZ22*(1-EXP(-S13_PSP_Species_Support!CA22*9))^S13_PSP_Species_Support!CB22)^2*(S13_PSP_Species_Support!CC22*(1-EXP(-S13_PSP_Species_Support!CD22*9))^S13_PSP_Species_Support!CE22))^0.976,0)+IFERROR(S13_PSP_Species_Support!CI22*0.0673*(S13_PSP_Species_Support!CJ22*(S13_PSP_Species_Support!CK22*(1-EXP(-S13_PSP_Species_Support!CL22*9))^S13_PSP_Species_Support!CM22)^2*(S13_PSP_Species_Support!CN22*(1-EXP(-S13_PSP_Species_Support!CO22*9))^S13_PSP_Species_Support!CP22))^0.976,0)+IFERROR(S13_PSP_Species_Support!CT22*0.0673*(S13_PSP_Species_Support!CU22*(S13_PSP_Species_Support!CV22*(1-EXP(-S13_PSP_Species_Support!CW22*9))^S13_PSP_Species_Support!CX22)^2*(S13_PSP_Species_Support!CY22*(1-EXP(-S13_PSP_Species_Support!CZ22*9))^S13_PSP_Species_Support!DA22))^0.976,0))/1000/$G35*R$108,0)</x:f>
        <x:v>141.66983215739842</x:v>
      </x:c>
      <x:c r="S35" s="147" t="n">
        <x:f aca="0">IFERROR((IFERROR(S13_PSP_Species_Support!U22*0.0673*(S13_PSP_Species_Support!V22*(S13_PSP_Species_Support!W22*(1-EXP(-S13_PSP_Species_Support!X22*10))^S13_PSP_Species_Support!Y22)^2*(S13_PSP_Species_Support!Z22*(1-EXP(-S13_PSP_Species_Support!AA22*10))^S13_PSP_Species_Support!AB22))^0.976,0)+IFERROR(S13_PSP_Species_Support!AF22*0.0673*(S13_PSP_Species_Support!AG22*(S13_PSP_Species_Support!AH22*(1-EXP(-S13_PSP_Species_Support!AI22*10))^S13_PSP_Species_Support!AJ22)^2*(S13_PSP_Species_Support!AK22*(1-EXP(-S13_PSP_Species_Support!AL22*10))^S13_PSP_Species_Support!AM22))^0.976,0)+IFERROR(S13_PSP_Species_Support!AQ22*0.0673*(S13_PSP_Species_Support!AR22*(S13_PSP_Species_Support!AS22*(1-EXP(-S13_PSP_Species_Support!AT22*10))^S13_PSP_Species_Support!AU22)^2*(S13_PSP_Species_Support!AV22*(1-EXP(-S13_PSP_Species_Support!AW22*10))^S13_PSP_Species_Support!AX22))^0.976,0)+IFERROR(S13_PSP_Species_Support!BB22*0.0673*(S13_PSP_Species_Support!BC22*(S13_PSP_Species_Support!BD22*(1-EXP(-S13_PSP_Species_Support!BE22*10))^S13_PSP_Species_Support!BF22)^2*(S13_PSP_Species_Support!BG22*(1-EXP(-S13_PSP_Species_Support!BH22*10))^S13_PSP_Species_Support!BI22))^0.976,0)+IFERROR(S13_PSP_Species_Support!BM22*0.0673*(S13_PSP_Species_Support!BN22*(S13_PSP_Species_Support!BO22*(1-EXP(-S13_PSP_Species_Support!BP22*10))^S13_PSP_Species_Support!BQ22)^2*(S13_PSP_Species_Support!BR22*(1-EXP(-S13_PSP_Species_Support!BS22*10))^S13_PSP_Species_Support!BT22))^0.976,0)+IFERROR(S13_PSP_Species_Support!BX22*0.0673*(S13_PSP_Species_Support!BY22*(S13_PSP_Species_Support!BZ22*(1-EXP(-S13_PSP_Species_Support!CA22*10))^S13_PSP_Species_Support!CB22)^2*(S13_PSP_Species_Support!CC22*(1-EXP(-S13_PSP_Species_Support!CD22*10))^S13_PSP_Species_Support!CE22))^0.976,0)+IFERROR(S13_PSP_Species_Support!CI22*0.0673*(S13_PSP_Species_Support!CJ22*(S13_PSP_Species_Support!CK22*(1-EXP(-S13_PSP_Species_Support!CL22*10))^S13_PSP_Species_Support!CM22)^2*(S13_PSP_Species_Support!CN22*(1-EXP(-S13_PSP_Species_Support!CO22*10))^S13_PSP_Species_Support!CP22))^0.976,0)+IFERROR(S13_PSP_Species_Support!CT22*0.0673*(S13_PSP_Species_Support!CU22*(S13_PSP_Species_Support!CV22*(1-EXP(-S13_PSP_Species_Support!CW22*10))^S13_PSP_Species_Support!CX22)^2*(S13_PSP_Species_Support!CY22*(1-EXP(-S13_PSP_Species_Support!CZ22*10))^S13_PSP_Species_Support!DA22))^0.976,0))/1000/$G35*S$108,0)</x:f>
        <x:v>171.91448356711638</x:v>
      </x:c>
      <x:c r="T35" s="147" t="n">
        <x:f aca="0">IFERROR((IFERROR(S13_PSP_Species_Support!U22*0.0673*(S13_PSP_Species_Support!V22*(S13_PSP_Species_Support!W22*(1-EXP(-S13_PSP_Species_Support!X22*11))^S13_PSP_Species_Support!Y22)^2*(S13_PSP_Species_Support!Z22*(1-EXP(-S13_PSP_Species_Support!AA22*11))^S13_PSP_Species_Support!AB22))^0.976,0)+IFERROR(S13_PSP_Species_Support!AF22*0.0673*(S13_PSP_Species_Support!AG22*(S13_PSP_Species_Support!AH22*(1-EXP(-S13_PSP_Species_Support!AI22*11))^S13_PSP_Species_Support!AJ22)^2*(S13_PSP_Species_Support!AK22*(1-EXP(-S13_PSP_Species_Support!AL22*11))^S13_PSP_Species_Support!AM22))^0.976,0)+IFERROR(S13_PSP_Species_Support!AQ22*0.0673*(S13_PSP_Species_Support!AR22*(S13_PSP_Species_Support!AS22*(1-EXP(-S13_PSP_Species_Support!AT22*11))^S13_PSP_Species_Support!AU22)^2*(S13_PSP_Species_Support!AV22*(1-EXP(-S13_PSP_Species_Support!AW22*11))^S13_PSP_Species_Support!AX22))^0.976,0)+IFERROR(S13_PSP_Species_Support!BB22*0.0673*(S13_PSP_Species_Support!BC22*(S13_PSP_Species_Support!BD22*(1-EXP(-S13_PSP_Species_Support!BE22*11))^S13_PSP_Species_Support!BF22)^2*(S13_PSP_Species_Support!BG22*(1-EXP(-S13_PSP_Species_Support!BH22*11))^S13_PSP_Species_Support!BI22))^0.976,0)+IFERROR(S13_PSP_Species_Support!BM22*0.0673*(S13_PSP_Species_Support!BN22*(S13_PSP_Species_Support!BO22*(1-EXP(-S13_PSP_Species_Support!BP22*11))^S13_PSP_Species_Support!BQ22)^2*(S13_PSP_Species_Support!BR22*(1-EXP(-S13_PSP_Species_Support!BS22*11))^S13_PSP_Species_Support!BT22))^0.976,0)+IFERROR(S13_PSP_Species_Support!BX22*0.0673*(S13_PSP_Species_Support!BY22*(S13_PSP_Species_Support!BZ22*(1-EXP(-S13_PSP_Species_Support!CA22*11))^S13_PSP_Species_Support!CB22)^2*(S13_PSP_Species_Support!CC22*(1-EXP(-S13_PSP_Species_Support!CD22*11))^S13_PSP_Species_Support!CE22))^0.976,0)+IFERROR(S13_PSP_Species_Support!CI22*0.0673*(S13_PSP_Species_Support!CJ22*(S13_PSP_Species_Support!CK22*(1-EXP(-S13_PSP_Species_Support!CL22*11))^S13_PSP_Species_Support!CM22)^2*(S13_PSP_Species_Support!CN22*(1-EXP(-S13_PSP_Species_Support!CO22*11))^S13_PSP_Species_Support!CP22))^0.976,0)+IFERROR(S13_PSP_Species_Support!CT22*0.0673*(S13_PSP_Species_Support!CU22*(S13_PSP_Species_Support!CV22*(1-EXP(-S13_PSP_Species_Support!CW22*11))^S13_PSP_Species_Support!CX22)^2*(S13_PSP_Species_Support!CY22*(1-EXP(-S13_PSP_Species_Support!CZ22*11))^S13_PSP_Species_Support!DA22))^0.976,0))/1000/$G35*T$108,0)</x:f>
        <x:v>201.7590367553928</x:v>
      </x:c>
      <x:c r="U35" s="147" t="n">
        <x:f aca="0">IFERROR((IFERROR(S13_PSP_Species_Support!U22*0.0673*(S13_PSP_Species_Support!V22*(S13_PSP_Species_Support!W22*(1-EXP(-S13_PSP_Species_Support!X22*12))^S13_PSP_Species_Support!Y22)^2*(S13_PSP_Species_Support!Z22*(1-EXP(-S13_PSP_Species_Support!AA22*12))^S13_PSP_Species_Support!AB22))^0.976,0)+IFERROR(S13_PSP_Species_Support!AF22*0.0673*(S13_PSP_Species_Support!AG22*(S13_PSP_Species_Support!AH22*(1-EXP(-S13_PSP_Species_Support!AI22*12))^S13_PSP_Species_Support!AJ22)^2*(S13_PSP_Species_Support!AK22*(1-EXP(-S13_PSP_Species_Support!AL22*12))^S13_PSP_Species_Support!AM22))^0.976,0)+IFERROR(S13_PSP_Species_Support!AQ22*0.0673*(S13_PSP_Species_Support!AR22*(S13_PSP_Species_Support!AS22*(1-EXP(-S13_PSP_Species_Support!AT22*12))^S13_PSP_Species_Support!AU22)^2*(S13_PSP_Species_Support!AV22*(1-EXP(-S13_PSP_Species_Support!AW22*12))^S13_PSP_Species_Support!AX22))^0.976,0)+IFERROR(S13_PSP_Species_Support!BB22*0.0673*(S13_PSP_Species_Support!BC22*(S13_PSP_Species_Support!BD22*(1-EXP(-S13_PSP_Species_Support!BE22*12))^S13_PSP_Species_Support!BF22)^2*(S13_PSP_Species_Support!BG22*(1-EXP(-S13_PSP_Species_Support!BH22*12))^S13_PSP_Species_Support!BI22))^0.976,0)+IFERROR(S13_PSP_Species_Support!BM22*0.0673*(S13_PSP_Species_Support!BN22*(S13_PSP_Species_Support!BO22*(1-EXP(-S13_PSP_Species_Support!BP22*12))^S13_PSP_Species_Support!BQ22)^2*(S13_PSP_Species_Support!BR22*(1-EXP(-S13_PSP_Species_Support!BS22*12))^S13_PSP_Species_Support!BT22))^0.976,0)+IFERROR(S13_PSP_Species_Support!BX22*0.0673*(S13_PSP_Species_Support!BY22*(S13_PSP_Species_Support!BZ22*(1-EXP(-S13_PSP_Species_Support!CA22*12))^S13_PSP_Species_Support!CB22)^2*(S13_PSP_Species_Support!CC22*(1-EXP(-S13_PSP_Species_Support!CD22*12))^S13_PSP_Species_Support!CE22))^0.976,0)+IFERROR(S13_PSP_Species_Support!CI22*0.0673*(S13_PSP_Species_Support!CJ22*(S13_PSP_Species_Support!CK22*(1-EXP(-S13_PSP_Species_Support!CL22*12))^S13_PSP_Species_Support!CM22)^2*(S13_PSP_Species_Support!CN22*(1-EXP(-S13_PSP_Species_Support!CO22*12))^S13_PSP_Species_Support!CP22))^0.976,0)+IFERROR(S13_PSP_Species_Support!CT22*0.0673*(S13_PSP_Species_Support!CU22*(S13_PSP_Species_Support!CV22*(1-EXP(-S13_PSP_Species_Support!CW22*12))^S13_PSP_Species_Support!CX22)^2*(S13_PSP_Species_Support!CY22*(1-EXP(-S13_PSP_Species_Support!CZ22*12))^S13_PSP_Species_Support!DA22))^0.976,0))/1000/$G35*U$108,0)</x:f>
        <x:v>230.57495339009165</x:v>
      </x:c>
      <x:c r="V35" s="147" t="n">
        <x:f aca="0">IFERROR((IFERROR(S13_PSP_Species_Support!U22*0.0673*(S13_PSP_Species_Support!V22*(S13_PSP_Species_Support!W22*(1-EXP(-S13_PSP_Species_Support!X22*13))^S13_PSP_Species_Support!Y22)^2*(S13_PSP_Species_Support!Z22*(1-EXP(-S13_PSP_Species_Support!AA22*13))^S13_PSP_Species_Support!AB22))^0.976,0)+IFERROR(S13_PSP_Species_Support!AF22*0.0673*(S13_PSP_Species_Support!AG22*(S13_PSP_Species_Support!AH22*(1-EXP(-S13_PSP_Species_Support!AI22*13))^S13_PSP_Species_Support!AJ22)^2*(S13_PSP_Species_Support!AK22*(1-EXP(-S13_PSP_Species_Support!AL22*13))^S13_PSP_Species_Support!AM22))^0.976,0)+IFERROR(S13_PSP_Species_Support!AQ22*0.0673*(S13_PSP_Species_Support!AR22*(S13_PSP_Species_Support!AS22*(1-EXP(-S13_PSP_Species_Support!AT22*13))^S13_PSP_Species_Support!AU22)^2*(S13_PSP_Species_Support!AV22*(1-EXP(-S13_PSP_Species_Support!AW22*13))^S13_PSP_Species_Support!AX22))^0.976,0)+IFERROR(S13_PSP_Species_Support!BB22*0.0673*(S13_PSP_Species_Support!BC22*(S13_PSP_Species_Support!BD22*(1-EXP(-S13_PSP_Species_Support!BE22*13))^S13_PSP_Species_Support!BF22)^2*(S13_PSP_Species_Support!BG22*(1-EXP(-S13_PSP_Species_Support!BH22*13))^S13_PSP_Species_Support!BI22))^0.976,0)+IFERROR(S13_PSP_Species_Support!BM22*0.0673*(S13_PSP_Species_Support!BN22*(S13_PSP_Species_Support!BO22*(1-EXP(-S13_PSP_Species_Support!BP22*13))^S13_PSP_Species_Support!BQ22)^2*(S13_PSP_Species_Support!BR22*(1-EXP(-S13_PSP_Species_Support!BS22*13))^S13_PSP_Species_Support!BT22))^0.976,0)+IFERROR(S13_PSP_Species_Support!BX22*0.0673*(S13_PSP_Species_Support!BY22*(S13_PSP_Species_Support!BZ22*(1-EXP(-S13_PSP_Species_Support!CA22*13))^S13_PSP_Species_Support!CB22)^2*(S13_PSP_Species_Support!CC22*(1-EXP(-S13_PSP_Species_Support!CD22*13))^S13_PSP_Species_Support!CE22))^0.976,0)+IFERROR(S13_PSP_Species_Support!CI22*0.0673*(S13_PSP_Species_Support!CJ22*(S13_PSP_Species_Support!CK22*(1-EXP(-S13_PSP_Species_Support!CL22*13))^S13_PSP_Species_Support!CM22)^2*(S13_PSP_Species_Support!CN22*(1-EXP(-S13_PSP_Species_Support!CO22*13))^S13_PSP_Species_Support!CP22))^0.976,0)+IFERROR(S13_PSP_Species_Support!CT22*0.0673*(S13_PSP_Species_Support!CU22*(S13_PSP_Species_Support!CV22*(1-EXP(-S13_PSP_Species_Support!CW22*13))^S13_PSP_Species_Support!CX22)^2*(S13_PSP_Species_Support!CY22*(1-EXP(-S13_PSP_Species_Support!CZ22*13))^S13_PSP_Species_Support!DA22))^0.976,0))/1000/$G35*V$108,0)</x:f>
        <x:v>257.91920102068315</x:v>
      </x:c>
      <x:c r="W35" s="147" t="n">
        <x:f aca="0">IFERROR((IFERROR(S13_PSP_Species_Support!U22*0.0673*(S13_PSP_Species_Support!V22*(S13_PSP_Species_Support!W22*(1-EXP(-S13_PSP_Species_Support!X22*14))^S13_PSP_Species_Support!Y22)^2*(S13_PSP_Species_Support!Z22*(1-EXP(-S13_PSP_Species_Support!AA22*14))^S13_PSP_Species_Support!AB22))^0.976,0)+IFERROR(S13_PSP_Species_Support!AF22*0.0673*(S13_PSP_Species_Support!AG22*(S13_PSP_Species_Support!AH22*(1-EXP(-S13_PSP_Species_Support!AI22*14))^S13_PSP_Species_Support!AJ22)^2*(S13_PSP_Species_Support!AK22*(1-EXP(-S13_PSP_Species_Support!AL22*14))^S13_PSP_Species_Support!AM22))^0.976,0)+IFERROR(S13_PSP_Species_Support!AQ22*0.0673*(S13_PSP_Species_Support!AR22*(S13_PSP_Species_Support!AS22*(1-EXP(-S13_PSP_Species_Support!AT22*14))^S13_PSP_Species_Support!AU22)^2*(S13_PSP_Species_Support!AV22*(1-EXP(-S13_PSP_Species_Support!AW22*14))^S13_PSP_Species_Support!AX22))^0.976,0)+IFERROR(S13_PSP_Species_Support!BB22*0.0673*(S13_PSP_Species_Support!BC22*(S13_PSP_Species_Support!BD22*(1-EXP(-S13_PSP_Species_Support!BE22*14))^S13_PSP_Species_Support!BF22)^2*(S13_PSP_Species_Support!BG22*(1-EXP(-S13_PSP_Species_Support!BH22*14))^S13_PSP_Species_Support!BI22))^0.976,0)+IFERROR(S13_PSP_Species_Support!BM22*0.0673*(S13_PSP_Species_Support!BN22*(S13_PSP_Species_Support!BO22*(1-EXP(-S13_PSP_Species_Support!BP22*14))^S13_PSP_Species_Support!BQ22)^2*(S13_PSP_Species_Support!BR22*(1-EXP(-S13_PSP_Species_Support!BS22*14))^S13_PSP_Species_Support!BT22))^0.976,0)+IFERROR(S13_PSP_Species_Support!BX22*0.0673*(S13_PSP_Species_Support!BY22*(S13_PSP_Species_Support!BZ22*(1-EXP(-S13_PSP_Species_Support!CA22*14))^S13_PSP_Species_Support!CB22)^2*(S13_PSP_Species_Support!CC22*(1-EXP(-S13_PSP_Species_Support!CD22*14))^S13_PSP_Species_Support!CE22))^0.976,0)+IFERROR(S13_PSP_Species_Support!CI22*0.0673*(S13_PSP_Species_Support!CJ22*(S13_PSP_Species_Support!CK22*(1-EXP(-S13_PSP_Species_Support!CL22*14))^S13_PSP_Species_Support!CM22)^2*(S13_PSP_Species_Support!CN22*(1-EXP(-S13_PSP_Species_Support!CO22*14))^S13_PSP_Species_Support!CP22))^0.976,0)+IFERROR(S13_PSP_Species_Support!CT22*0.0673*(S13_PSP_Species_Support!CU22*(S13_PSP_Species_Support!CV22*(1-EXP(-S13_PSP_Species_Support!CW22*14))^S13_PSP_Species_Support!CX22)^2*(S13_PSP_Species_Support!CY22*(1-EXP(-S13_PSP_Species_Support!CZ22*14))^S13_PSP_Species_Support!DA22))^0.976,0))/1000/$G35*W$108,0)</x:f>
        <x:v>283.50621584246926</x:v>
      </x:c>
      <x:c r="X35" s="147" t="n">
        <x:f aca="0">IFERROR((IFERROR(S13_PSP_Species_Support!U22*0.0673*(S13_PSP_Species_Support!V22*(S13_PSP_Species_Support!W22*(1-EXP(-S13_PSP_Species_Support!X22*15))^S13_PSP_Species_Support!Y22)^2*(S13_PSP_Species_Support!Z22*(1-EXP(-S13_PSP_Species_Support!AA22*15))^S13_PSP_Species_Support!AB22))^0.976,0)+IFERROR(S13_PSP_Species_Support!AF22*0.0673*(S13_PSP_Species_Support!AG22*(S13_PSP_Species_Support!AH22*(1-EXP(-S13_PSP_Species_Support!AI22*15))^S13_PSP_Species_Support!AJ22)^2*(S13_PSP_Species_Support!AK22*(1-EXP(-S13_PSP_Species_Support!AL22*15))^S13_PSP_Species_Support!AM22))^0.976,0)+IFERROR(S13_PSP_Species_Support!AQ22*0.0673*(S13_PSP_Species_Support!AR22*(S13_PSP_Species_Support!AS22*(1-EXP(-S13_PSP_Species_Support!AT22*15))^S13_PSP_Species_Support!AU22)^2*(S13_PSP_Species_Support!AV22*(1-EXP(-S13_PSP_Species_Support!AW22*15))^S13_PSP_Species_Support!AX22))^0.976,0)+IFERROR(S13_PSP_Species_Support!BB22*0.0673*(S13_PSP_Species_Support!BC22*(S13_PSP_Species_Support!BD22*(1-EXP(-S13_PSP_Species_Support!BE22*15))^S13_PSP_Species_Support!BF22)^2*(S13_PSP_Species_Support!BG22*(1-EXP(-S13_PSP_Species_Support!BH22*15))^S13_PSP_Species_Support!BI22))^0.976,0)+IFERROR(S13_PSP_Species_Support!BM22*0.0673*(S13_PSP_Species_Support!BN22*(S13_PSP_Species_Support!BO22*(1-EXP(-S13_PSP_Species_Support!BP22*15))^S13_PSP_Species_Support!BQ22)^2*(S13_PSP_Species_Support!BR22*(1-EXP(-S13_PSP_Species_Support!BS22*15))^S13_PSP_Species_Support!BT22))^0.976,0)+IFERROR(S13_PSP_Species_Support!BX22*0.0673*(S13_PSP_Species_Support!BY22*(S13_PSP_Species_Support!BZ22*(1-EXP(-S13_PSP_Species_Support!CA22*15))^S13_PSP_Species_Support!CB22)^2*(S13_PSP_Species_Support!CC22*(1-EXP(-S13_PSP_Species_Support!CD22*15))^S13_PSP_Species_Support!CE22))^0.976,0)+IFERROR(S13_PSP_Species_Support!CI22*0.0673*(S13_PSP_Species_Support!CJ22*(S13_PSP_Species_Support!CK22*(1-EXP(-S13_PSP_Species_Support!CL22*15))^S13_PSP_Species_Support!CM22)^2*(S13_PSP_Species_Support!CN22*(1-EXP(-S13_PSP_Species_Support!CO22*15))^S13_PSP_Species_Support!CP22))^0.976,0)+IFERROR(S13_PSP_Species_Support!CT22*0.0673*(S13_PSP_Species_Support!CU22*(S13_PSP_Species_Support!CV22*(1-EXP(-S13_PSP_Species_Support!CW22*15))^S13_PSP_Species_Support!CX22)^2*(S13_PSP_Species_Support!CY22*(1-EXP(-S13_PSP_Species_Support!CZ22*15))^S13_PSP_Species_Support!DA22))^0.976,0))/1000/$G35*X$108,0)</x:f>
        <x:v>307.1773353747779</x:v>
      </x:c>
      <x:c r="Y35" s="147" t="n">
        <x:f aca="0">IFERROR((IFERROR(S13_PSP_Species_Support!U22*0.0673*(S13_PSP_Species_Support!V22*(S13_PSP_Species_Support!W22*(1-EXP(-S13_PSP_Species_Support!X22*16))^S13_PSP_Species_Support!Y22)^2*(S13_PSP_Species_Support!Z22*(1-EXP(-S13_PSP_Species_Support!AA22*16))^S13_PSP_Species_Support!AB22))^0.976,0)+IFERROR(S13_PSP_Species_Support!AF22*0.0673*(S13_PSP_Species_Support!AG22*(S13_PSP_Species_Support!AH22*(1-EXP(-S13_PSP_Species_Support!AI22*16))^S13_PSP_Species_Support!AJ22)^2*(S13_PSP_Species_Support!AK22*(1-EXP(-S13_PSP_Species_Support!AL22*16))^S13_PSP_Species_Support!AM22))^0.976,0)+IFERROR(S13_PSP_Species_Support!AQ22*0.0673*(S13_PSP_Species_Support!AR22*(S13_PSP_Species_Support!AS22*(1-EXP(-S13_PSP_Species_Support!AT22*16))^S13_PSP_Species_Support!AU22)^2*(S13_PSP_Species_Support!AV22*(1-EXP(-S13_PSP_Species_Support!AW22*16))^S13_PSP_Species_Support!AX22))^0.976,0)+IFERROR(S13_PSP_Species_Support!BB22*0.0673*(S13_PSP_Species_Support!BC22*(S13_PSP_Species_Support!BD22*(1-EXP(-S13_PSP_Species_Support!BE22*16))^S13_PSP_Species_Support!BF22)^2*(S13_PSP_Species_Support!BG22*(1-EXP(-S13_PSP_Species_Support!BH22*16))^S13_PSP_Species_Support!BI22))^0.976,0)+IFERROR(S13_PSP_Species_Support!BM22*0.0673*(S13_PSP_Species_Support!BN22*(S13_PSP_Species_Support!BO22*(1-EXP(-S13_PSP_Species_Support!BP22*16))^S13_PSP_Species_Support!BQ22)^2*(S13_PSP_Species_Support!BR22*(1-EXP(-S13_PSP_Species_Support!BS22*16))^S13_PSP_Species_Support!BT22))^0.976,0)+IFERROR(S13_PSP_Species_Support!BX22*0.0673*(S13_PSP_Species_Support!BY22*(S13_PSP_Species_Support!BZ22*(1-EXP(-S13_PSP_Species_Support!CA22*16))^S13_PSP_Species_Support!CB22)^2*(S13_PSP_Species_Support!CC22*(1-EXP(-S13_PSP_Species_Support!CD22*16))^S13_PSP_Species_Support!CE22))^0.976,0)+IFERROR(S13_PSP_Species_Support!CI22*0.0673*(S13_PSP_Species_Support!CJ22*(S13_PSP_Species_Support!CK22*(1-EXP(-S13_PSP_Species_Support!CL22*16))^S13_PSP_Species_Support!CM22)^2*(S13_PSP_Species_Support!CN22*(1-EXP(-S13_PSP_Species_Support!CO22*16))^S13_PSP_Species_Support!CP22))^0.976,0)+IFERROR(S13_PSP_Species_Support!CT22*0.0673*(S13_PSP_Species_Support!CU22*(S13_PSP_Species_Support!CV22*(1-EXP(-S13_PSP_Species_Support!CW22*16))^S13_PSP_Species_Support!CX22)^2*(S13_PSP_Species_Support!CY22*(1-EXP(-S13_PSP_Species_Support!CZ22*16))^S13_PSP_Species_Support!DA22))^0.976,0))/1000/$G35*Y$108,0)</x:f>
        <x:v>328.87179982141384</x:v>
      </x:c>
      <x:c r="Z35" s="147" t="n">
        <x:f aca="0">IFERROR((IFERROR(S13_PSP_Species_Support!U22*0.0673*(S13_PSP_Species_Support!V22*(S13_PSP_Species_Support!W22*(1-EXP(-S13_PSP_Species_Support!X22*17))^S13_PSP_Species_Support!Y22)^2*(S13_PSP_Species_Support!Z22*(1-EXP(-S13_PSP_Species_Support!AA22*17))^S13_PSP_Species_Support!AB22))^0.976,0)+IFERROR(S13_PSP_Species_Support!AF22*0.0673*(S13_PSP_Species_Support!AG22*(S13_PSP_Species_Support!AH22*(1-EXP(-S13_PSP_Species_Support!AI22*17))^S13_PSP_Species_Support!AJ22)^2*(S13_PSP_Species_Support!AK22*(1-EXP(-S13_PSP_Species_Support!AL22*17))^S13_PSP_Species_Support!AM22))^0.976,0)+IFERROR(S13_PSP_Species_Support!AQ22*0.0673*(S13_PSP_Species_Support!AR22*(S13_PSP_Species_Support!AS22*(1-EXP(-S13_PSP_Species_Support!AT22*17))^S13_PSP_Species_Support!AU22)^2*(S13_PSP_Species_Support!AV22*(1-EXP(-S13_PSP_Species_Support!AW22*17))^S13_PSP_Species_Support!AX22))^0.976,0)+IFERROR(S13_PSP_Species_Support!BB22*0.0673*(S13_PSP_Species_Support!BC22*(S13_PSP_Species_Support!BD22*(1-EXP(-S13_PSP_Species_Support!BE22*17))^S13_PSP_Species_Support!BF22)^2*(S13_PSP_Species_Support!BG22*(1-EXP(-S13_PSP_Species_Support!BH22*17))^S13_PSP_Species_Support!BI22))^0.976,0)+IFERROR(S13_PSP_Species_Support!BM22*0.0673*(S13_PSP_Species_Support!BN22*(S13_PSP_Species_Support!BO22*(1-EXP(-S13_PSP_Species_Support!BP22*17))^S13_PSP_Species_Support!BQ22)^2*(S13_PSP_Species_Support!BR22*(1-EXP(-S13_PSP_Species_Support!BS22*17))^S13_PSP_Species_Support!BT22))^0.976,0)+IFERROR(S13_PSP_Species_Support!BX22*0.0673*(S13_PSP_Species_Support!BY22*(S13_PSP_Species_Support!BZ22*(1-EXP(-S13_PSP_Species_Support!CA22*17))^S13_PSP_Species_Support!CB22)^2*(S13_PSP_Species_Support!CC22*(1-EXP(-S13_PSP_Species_Support!CD22*17))^S13_PSP_Species_Support!CE22))^0.976,0)+IFERROR(S13_PSP_Species_Support!CI22*0.0673*(S13_PSP_Species_Support!CJ22*(S13_PSP_Species_Support!CK22*(1-EXP(-S13_PSP_Species_Support!CL22*17))^S13_PSP_Species_Support!CM22)^2*(S13_PSP_Species_Support!CN22*(1-EXP(-S13_PSP_Species_Support!CO22*17))^S13_PSP_Species_Support!CP22))^0.976,0)+IFERROR(S13_PSP_Species_Support!CT22*0.0673*(S13_PSP_Species_Support!CU22*(S13_PSP_Species_Support!CV22*(1-EXP(-S13_PSP_Species_Support!CW22*17))^S13_PSP_Species_Support!CX22)^2*(S13_PSP_Species_Support!CY22*(1-EXP(-S13_PSP_Species_Support!CZ22*17))^S13_PSP_Species_Support!DA22))^0.976,0))/1000/$G35*Z$108,0)</x:f>
        <x:v>348.6013034634912</x:v>
      </x:c>
      <x:c r="AA35" s="147" t="n">
        <x:f aca="0">IFERROR((IFERROR(S13_PSP_Species_Support!U22*0.0673*(S13_PSP_Species_Support!V22*(S13_PSP_Species_Support!W22*(1-EXP(-S13_PSP_Species_Support!X22*18))^S13_PSP_Species_Support!Y22)^2*(S13_PSP_Species_Support!Z22*(1-EXP(-S13_PSP_Species_Support!AA22*18))^S13_PSP_Species_Support!AB22))^0.976,0)+IFERROR(S13_PSP_Species_Support!AF22*0.0673*(S13_PSP_Species_Support!AG22*(S13_PSP_Species_Support!AH22*(1-EXP(-S13_PSP_Species_Support!AI22*18))^S13_PSP_Species_Support!AJ22)^2*(S13_PSP_Species_Support!AK22*(1-EXP(-S13_PSP_Species_Support!AL22*18))^S13_PSP_Species_Support!AM22))^0.976,0)+IFERROR(S13_PSP_Species_Support!AQ22*0.0673*(S13_PSP_Species_Support!AR22*(S13_PSP_Species_Support!AS22*(1-EXP(-S13_PSP_Species_Support!AT22*18))^S13_PSP_Species_Support!AU22)^2*(S13_PSP_Species_Support!AV22*(1-EXP(-S13_PSP_Species_Support!AW22*18))^S13_PSP_Species_Support!AX22))^0.976,0)+IFERROR(S13_PSP_Species_Support!BB22*0.0673*(S13_PSP_Species_Support!BC22*(S13_PSP_Species_Support!BD22*(1-EXP(-S13_PSP_Species_Support!BE22*18))^S13_PSP_Species_Support!BF22)^2*(S13_PSP_Species_Support!BG22*(1-EXP(-S13_PSP_Species_Support!BH22*18))^S13_PSP_Species_Support!BI22))^0.976,0)+IFERROR(S13_PSP_Species_Support!BM22*0.0673*(S13_PSP_Species_Support!BN22*(S13_PSP_Species_Support!BO22*(1-EXP(-S13_PSP_Species_Support!BP22*18))^S13_PSP_Species_Support!BQ22)^2*(S13_PSP_Species_Support!BR22*(1-EXP(-S13_PSP_Species_Support!BS22*18))^S13_PSP_Species_Support!BT22))^0.976,0)+IFERROR(S13_PSP_Species_Support!BX22*0.0673*(S13_PSP_Species_Support!BY22*(S13_PSP_Species_Support!BZ22*(1-EXP(-S13_PSP_Species_Support!CA22*18))^S13_PSP_Species_Support!CB22)^2*(S13_PSP_Species_Support!CC22*(1-EXP(-S13_PSP_Species_Support!CD22*18))^S13_PSP_Species_Support!CE22))^0.976,0)+IFERROR(S13_PSP_Species_Support!CI22*0.0673*(S13_PSP_Species_Support!CJ22*(S13_PSP_Species_Support!CK22*(1-EXP(-S13_PSP_Species_Support!CL22*18))^S13_PSP_Species_Support!CM22)^2*(S13_PSP_Species_Support!CN22*(1-EXP(-S13_PSP_Species_Support!CO22*18))^S13_PSP_Species_Support!CP22))^0.976,0)+IFERROR(S13_PSP_Species_Support!CT22*0.0673*(S13_PSP_Species_Support!CU22*(S13_PSP_Species_Support!CV22*(1-EXP(-S13_PSP_Species_Support!CW22*18))^S13_PSP_Species_Support!CX22)^2*(S13_PSP_Species_Support!CY22*(1-EXP(-S13_PSP_Species_Support!CZ22*18))^S13_PSP_Species_Support!DA22))^0.976,0))/1000/$G35*AA$108,0)</x:f>
        <x:v>366.42878956365934</x:v>
      </x:c>
      <x:c r="AB35" s="147" t="n">
        <x:f aca="0">IFERROR((IFERROR(S13_PSP_Species_Support!U22*0.0673*(S13_PSP_Species_Support!V22*(S13_PSP_Species_Support!W22*(1-EXP(-S13_PSP_Species_Support!X22*19))^S13_PSP_Species_Support!Y22)^2*(S13_PSP_Species_Support!Z22*(1-EXP(-S13_PSP_Species_Support!AA22*19))^S13_PSP_Species_Support!AB22))^0.976,0)+IFERROR(S13_PSP_Species_Support!AF22*0.0673*(S13_PSP_Species_Support!AG22*(S13_PSP_Species_Support!AH22*(1-EXP(-S13_PSP_Species_Support!AI22*19))^S13_PSP_Species_Support!AJ22)^2*(S13_PSP_Species_Support!AK22*(1-EXP(-S13_PSP_Species_Support!AL22*19))^S13_PSP_Species_Support!AM22))^0.976,0)+IFERROR(S13_PSP_Species_Support!AQ22*0.0673*(S13_PSP_Species_Support!AR22*(S13_PSP_Species_Support!AS22*(1-EXP(-S13_PSP_Species_Support!AT22*19))^S13_PSP_Species_Support!AU22)^2*(S13_PSP_Species_Support!AV22*(1-EXP(-S13_PSP_Species_Support!AW22*19))^S13_PSP_Species_Support!AX22))^0.976,0)+IFERROR(S13_PSP_Species_Support!BB22*0.0673*(S13_PSP_Species_Support!BC22*(S13_PSP_Species_Support!BD22*(1-EXP(-S13_PSP_Species_Support!BE22*19))^S13_PSP_Species_Support!BF22)^2*(S13_PSP_Species_Support!BG22*(1-EXP(-S13_PSP_Species_Support!BH22*19))^S13_PSP_Species_Support!BI22))^0.976,0)+IFERROR(S13_PSP_Species_Support!BM22*0.0673*(S13_PSP_Species_Support!BN22*(S13_PSP_Species_Support!BO22*(1-EXP(-S13_PSP_Species_Support!BP22*19))^S13_PSP_Species_Support!BQ22)^2*(S13_PSP_Species_Support!BR22*(1-EXP(-S13_PSP_Species_Support!BS22*19))^S13_PSP_Species_Support!BT22))^0.976,0)+IFERROR(S13_PSP_Species_Support!BX22*0.0673*(S13_PSP_Species_Support!BY22*(S13_PSP_Species_Support!BZ22*(1-EXP(-S13_PSP_Species_Support!CA22*19))^S13_PSP_Species_Support!CB22)^2*(S13_PSP_Species_Support!CC22*(1-EXP(-S13_PSP_Species_Support!CD22*19))^S13_PSP_Species_Support!CE22))^0.976,0)+IFERROR(S13_PSP_Species_Support!CI22*0.0673*(S13_PSP_Species_Support!CJ22*(S13_PSP_Species_Support!CK22*(1-EXP(-S13_PSP_Species_Support!CL22*19))^S13_PSP_Species_Support!CM22)^2*(S13_PSP_Species_Support!CN22*(1-EXP(-S13_PSP_Species_Support!CO22*19))^S13_PSP_Species_Support!CP22))^0.976,0)+IFERROR(S13_PSP_Species_Support!CT22*0.0673*(S13_PSP_Species_Support!CU22*(S13_PSP_Species_Support!CV22*(1-EXP(-S13_PSP_Species_Support!CW22*19))^S13_PSP_Species_Support!CX22)^2*(S13_PSP_Species_Support!CY22*(1-EXP(-S13_PSP_Species_Support!CZ22*19))^S13_PSP_Species_Support!DA22))^0.976,0))/1000/$G35*AB$108,0)</x:f>
        <x:v>382.45145448879</x:v>
      </x:c>
      <x:c r="AC35" s="147" t="n">
        <x:f aca="0">IFERROR((IFERROR(S13_PSP_Species_Support!U22*0.0673*(S13_PSP_Species_Support!V22*(S13_PSP_Species_Support!W22*(1-EXP(-S13_PSP_Species_Support!X22*20))^S13_PSP_Species_Support!Y22)^2*(S13_PSP_Species_Support!Z22*(1-EXP(-S13_PSP_Species_Support!AA22*20))^S13_PSP_Species_Support!AB22))^0.976,0)+IFERROR(S13_PSP_Species_Support!AF22*0.0673*(S13_PSP_Species_Support!AG22*(S13_PSP_Species_Support!AH22*(1-EXP(-S13_PSP_Species_Support!AI22*20))^S13_PSP_Species_Support!AJ22)^2*(S13_PSP_Species_Support!AK22*(1-EXP(-S13_PSP_Species_Support!AL22*20))^S13_PSP_Species_Support!AM22))^0.976,0)+IFERROR(S13_PSP_Species_Support!AQ22*0.0673*(S13_PSP_Species_Support!AR22*(S13_PSP_Species_Support!AS22*(1-EXP(-S13_PSP_Species_Support!AT22*20))^S13_PSP_Species_Support!AU22)^2*(S13_PSP_Species_Support!AV22*(1-EXP(-S13_PSP_Species_Support!AW22*20))^S13_PSP_Species_Support!AX22))^0.976,0)+IFERROR(S13_PSP_Species_Support!BB22*0.0673*(S13_PSP_Species_Support!BC22*(S13_PSP_Species_Support!BD22*(1-EXP(-S13_PSP_Species_Support!BE22*20))^S13_PSP_Species_Support!BF22)^2*(S13_PSP_Species_Support!BG22*(1-EXP(-S13_PSP_Species_Support!BH22*20))^S13_PSP_Species_Support!BI22))^0.976,0)+IFERROR(S13_PSP_Species_Support!BM22*0.0673*(S13_PSP_Species_Support!BN22*(S13_PSP_Species_Support!BO22*(1-EXP(-S13_PSP_Species_Support!BP22*20))^S13_PSP_Species_Support!BQ22)^2*(S13_PSP_Species_Support!BR22*(1-EXP(-S13_PSP_Species_Support!BS22*20))^S13_PSP_Species_Support!BT22))^0.976,0)+IFERROR(S13_PSP_Species_Support!BX22*0.0673*(S13_PSP_Species_Support!BY22*(S13_PSP_Species_Support!BZ22*(1-EXP(-S13_PSP_Species_Support!CA22*20))^S13_PSP_Species_Support!CB22)^2*(S13_PSP_Species_Support!CC22*(1-EXP(-S13_PSP_Species_Support!CD22*20))^S13_PSP_Species_Support!CE22))^0.976,0)+IFERROR(S13_PSP_Species_Support!CI22*0.0673*(S13_PSP_Species_Support!CJ22*(S13_PSP_Species_Support!CK22*(1-EXP(-S13_PSP_Species_Support!CL22*20))^S13_PSP_Species_Support!CM22)^2*(S13_PSP_Species_Support!CN22*(1-EXP(-S13_PSP_Species_Support!CO22*20))^S13_PSP_Species_Support!CP22))^0.976,0)+IFERROR(S13_PSP_Species_Support!CT22*0.0673*(S13_PSP_Species_Support!CU22*(S13_PSP_Species_Support!CV22*(1-EXP(-S13_PSP_Species_Support!CW22*20))^S13_PSP_Species_Support!CX22)^2*(S13_PSP_Species_Support!CY22*(1-EXP(-S13_PSP_Species_Support!CZ22*20))^S13_PSP_Species_Support!DA22))^0.976,0))/1000/$G35*AC$108,0)</x:f>
        <x:v>396.7875573709338</x:v>
      </x:c>
      <x:c r="AD35" s="148" t="n">
        <x:f aca="0">IF(2020&lt;$F35,0,INDEX($I35:$AC35,1,2020-$F35+1))</x:f>
        <x:v>0</x:v>
      </x:c>
      <x:c r="AE35" s="148" t="n">
        <x:f aca="0">IF(2021&lt;$F35,0,INDEX($I35:$AC35,1,2021-$F35+1))</x:f>
        <x:v>0.17279934272672035</x:v>
      </x:c>
      <x:c r="AF35" s="148" t="n">
        <x:f aca="0">IF(2022&lt;$F35,0,INDEX($I35:$AC35,1,2022-$F35+1))</x:f>
        <x:v>2.073848416599052</x:v>
      </x:c>
      <x:c r="AG35" s="148" t="n">
        <x:f aca="0">IF(2023&lt;$F35,0,INDEX($I35:$AC35,1,2023-$F35+1))</x:f>
        <x:v>7.926882476052554</x:v>
      </x:c>
      <x:c r="AH35" s="148" t="n">
        <x:f aca="0">IF(2024&lt;$F35,0,INDEX($I35:$AC35,1,2024-$F35+1))</x:f>
        <x:v>19.168536231151286</x:v>
      </x:c>
      <x:c r="AI35" s="148" t="n">
        <x:f aca="0">IF(2025&lt;$F35,0,INDEX($I35:$AC35,1,2025-$F35+1))</x:f>
        <x:v>36.00466833961774</x:v>
      </x:c>
      <x:c r="AJ35" s="148" t="n">
        <x:f aca="0">IF(2026&lt;$F35,0,INDEX($I35:$AC35,1,2026-$F35+1))</x:f>
        <x:v>57.81267670949894</x:v>
      </x:c>
      <x:c r="AK35" s="148" t="n">
        <x:f aca="0">IF(2027&lt;$F35,0,INDEX($I35:$AC35,1,2027-$F35+1))</x:f>
        <x:v>83.50885136677782</x:v>
      </x:c>
      <x:c r="AL35" s="148" t="n">
        <x:f aca="0">IF(2028&lt;$F35,0,INDEX($I35:$AC35,1,2028-$F35+1))</x:f>
        <x:v>111.85727143926249</x:v>
      </x:c>
      <x:c r="AM35" s="148" t="n">
        <x:f aca="0">IF(2029&lt;$F35,0,INDEX($I35:$AC35,1,2029-$F35+1))</x:f>
        <x:v>141.66983215739842</x:v>
      </x:c>
      <x:c r="AN35" s="148" t="n">
        <x:f aca="0">IF(2030&lt;$F35,0,INDEX($I35:$AC35,1,2030-$F35+1))</x:f>
        <x:v>171.91448356711638</x:v>
      </x:c>
      <x:c r="AO35" s="148" t="n">
        <x:f aca="0">IF(2031&lt;$F35,0,INDEX($I35:$AC35,1,2031-$F35+1))</x:f>
        <x:v>201.7590367553928</x:v>
      </x:c>
      <x:c r="AP35" s="148" t="n">
        <x:f aca="0">IF(2032&lt;$F35,0,INDEX($I35:$AC35,1,2032-$F35+1))</x:f>
        <x:v>230.57495339009165</x:v>
      </x:c>
      <x:c r="AQ35" s="148" t="n">
        <x:f aca="0">IF(2033&lt;$F35,0,INDEX($I35:$AC35,1,2033-$F35+1))</x:f>
        <x:v>257.91920102068315</x:v>
      </x:c>
      <x:c r="AR35" s="148" t="n">
        <x:f aca="0">IF(2034&lt;$F35,0,INDEX($I35:$AC35,1,2034-$F35+1))</x:f>
        <x:v>283.50621584246926</x:v>
      </x:c>
      <x:c r="AS35" s="148" t="n">
        <x:f aca="0">IF(2035&lt;$F35,0,INDEX($I35:$AC35,1,2035-$F35+1))</x:f>
        <x:v>307.1773353747779</x:v>
      </x:c>
      <x:c r="AT35" s="148" t="n">
        <x:f aca="0">IF(2036&lt;$F35,0,INDEX($I35:$AC35,1,2036-$F35+1))</x:f>
        <x:v>328.87179982141384</x:v>
      </x:c>
      <x:c r="AU35" s="148" t="n">
        <x:f aca="0">IF(2037&lt;$F35,0,INDEX($I35:$AC35,1,2037-$F35+1))</x:f>
        <x:v>348.6013034634912</x:v>
      </x:c>
      <x:c r="AV35" s="148" t="n">
        <x:f aca="0">IF(2038&lt;$F35,0,INDEX($I35:$AC35,1,2038-$F35+1))</x:f>
        <x:v>366.42878956365934</x:v>
      </x:c>
      <x:c r="AW35" s="148" t="n">
        <x:f aca="0">IF(2039&lt;$F35,0,INDEX($I35:$AC35,1,2039-$F35+1))</x:f>
        <x:v>382.45145448879</x:v>
      </x:c>
      <x:c r="AX35" s="148" t="n">
        <x:f aca="0">IF(2040&lt;$F35,0,INDEX($I35:$AC35,1,2040-$F35+1))</x:f>
        <x:v>396.7875573709338</x:v>
      </x:c>
      <x:c r="AY35" s="1" t="str">
        <x:f aca="0">LEFT($C35,FIND("@",SUBSTITUTE($C35,"|","@",2))-1)</x:f>
        <x:v>Horti-Silviculture|Medium</x:v>
      </x:c>
      <x:c r="AZ35" s="1" t="str">
        <x:f aca="0">LEFT($C35,FIND("|",$C35)-1)</x:f>
        <x:v>Horti-Silviculture</x:v>
      </x:c>
      <x:c r="BA35" s="149" t="n">
        <x:f aca="0">I35*I35</x:f>
        <x:v>0</x:v>
      </x:c>
      <x:c r="BB35" s="149" t="n">
        <x:f aca="0">J35*J35</x:f>
        <x:v>0.029859612846786558</x:v>
      </x:c>
      <x:c r="BC35" s="149" t="n">
        <x:f aca="0">K35*K35</x:f>
        <x:v>4.300847255030395</x:v>
      </x:c>
      <x:c r="BD35" s="149" t="n">
        <x:f aca="0">L35*L35</x:f>
        <x:v>62.83546578914907</x:v>
      </x:c>
      <x:c r="BE35" s="149" t="n">
        <x:f aca="0">M35*M35</x:f>
        <x:v>367.43278124495953</x:v>
      </x:c>
      <x:c r="BF35" s="149" t="n">
        <x:f aca="0">N35*N35</x:f>
        <x:v>1296.3361422458718</x:v>
      </x:c>
      <x:c r="BG35" s="149" t="n">
        <x:f aca="0">O35*O35</x:f>
        <x:v>3342.305588317041</x:v>
      </x:c>
      <x:c r="BH35" s="149" t="n">
        <x:f aca="0">P35*P35</x:f>
        <x:v>6973.72825659859</x:v>
      </x:c>
      <x:c r="BI35" s="149" t="n">
        <x:f aca="0">Q35*Q35</x:f>
        <x:v>12512.049173836847</x:v>
      </x:c>
      <x:c r="BJ35" s="149" t="n">
        <x:f aca="0">R35*R35</x:f>
        <x:v>20070.34134350544</x:v>
      </x:c>
      <x:c r="BK35" s="149" t="n">
        <x:f aca="0">S35*S35</x:f>
        <x:v>29554.589660148325</x:v>
      </x:c>
      <x:c r="BL35" s="149" t="n">
        <x:f aca="0">T35*T35</x:f>
        <x:v>40706.708912463946</x:v>
      </x:c>
      <x:c r="BM35" s="149" t="n">
        <x:f aca="0">U35*U35</x:f>
        <x:v>53164.809130842936</x:v>
      </x:c>
      <x:c r="BN35" s="149" t="n">
        <x:f aca="0">V35*V35</x:f>
        <x:v>66522.31425514756</x:v>
      </x:c>
      <x:c r="BO35" s="149" t="n">
        <x:f aca="0">W35*W35</x:f>
        <x:v>80375.77442131676</x:v>
      </x:c>
      <x:c r="BP35" s="149" t="n">
        <x:f aca="0">X35*X35</x:f>
        <x:v>94357.91536794878</x:v>
      </x:c>
      <x:c r="BQ35" s="149" t="n">
        <x:f aca="0">Y35*Y35</x:f>
        <x:v>108156.6607177761</x:v>
      </x:c>
      <x:c r="BR35" s="149" t="n">
        <x:f aca="0">Z35*Z35</x:f>
        <x:v>121522.86877644509</x:v>
      </x:c>
      <x:c r="BS35" s="149" t="n">
        <x:f aca="0">AA35*AA35</x:f>
        <x:v>134270.05782108853</x:v>
      </x:c>
      <x:c r="BT35" s="149" t="n">
        <x:f aca="0">AB35*AB35</x:f>
        <x:v>146269.115040591</x:v>
      </x:c>
      <x:c r="BU35" s="149" t="n">
        <x:f aca="0">AC35*AC35</x:f>
        <x:v>157440.3656843921</x:v>
      </x:c>
    </x:row>
    <x:row r="36" ht="15" hidden="0" customHeight="1">
      <x:c r="A36" s="1" t="str">
        <x:f aca="0">S13_PSP_Species_Support!A23</x:f>
        <x:v>PSP-HS-009</x:v>
      </x:c>
      <x:c r="B36" s="1" t="n">
        <x:f aca="0">23</x:f>
        <x:v>23</x:v>
      </x:c>
      <x:c r="C36" s="1" t="str">
        <x:f aca="0">S13_PSP_Species_Support!I23</x:f>
        <x:v>Horti-Silviculture|Medium|2020</x:v>
      </x:c>
      <x:c r="D36" s="1" t="str">
        <x:f aca="0">S13_PSP_Species_Support!C23</x:f>
        <x:v>Horti-Silviculture</x:v>
      </x:c>
      <x:c r="E36" s="1" t="str">
        <x:f aca="0">S13_PSP_Species_Support!D23</x:f>
        <x:v>Medium</x:v>
      </x:c>
      <x:c r="F36" s="1" t="n">
        <x:f aca="0">S13_PSP_Species_Support!E23</x:f>
        <x:v>2020</x:v>
      </x:c>
      <x:c r="G36" s="645" t="n">
        <x:f aca="0">'S13_PSP_Species_Support'!DJ23</x:f>
        <x:v>0.09</x:v>
      </x:c>
      <x:c r="H36" s="714" t="n">
        <x:f aca="0">'S13_PSP_Species_Support'!DK23</x:f>
        <x:v>141.23733563267945</x:v>
      </x:c>
      <x:c r="I36" s="147" t="n">
        <x:f aca="0">IFERROR((IFERROR(S13_PSP_Species_Support!U23*0.0673*(S13_PSP_Species_Support!V23*(S13_PSP_Species_Support!W23*(1-EXP(-S13_PSP_Species_Support!X23*0))^S13_PSP_Species_Support!Y23)^2*(S13_PSP_Species_Support!Z23*(1-EXP(-S13_PSP_Species_Support!AA23*0))^S13_PSP_Species_Support!AB23))^0.976,0)+IFERROR(S13_PSP_Species_Support!AF23*0.0673*(S13_PSP_Species_Support!AG23*(S13_PSP_Species_Support!AH23*(1-EXP(-S13_PSP_Species_Support!AI23*0))^S13_PSP_Species_Support!AJ23)^2*(S13_PSP_Species_Support!AK23*(1-EXP(-S13_PSP_Species_Support!AL23*0))^S13_PSP_Species_Support!AM23))^0.976,0)+IFERROR(S13_PSP_Species_Support!AQ23*0.0673*(S13_PSP_Species_Support!AR23*(S13_PSP_Species_Support!AS23*(1-EXP(-S13_PSP_Species_Support!AT23*0))^S13_PSP_Species_Support!AU23)^2*(S13_PSP_Species_Support!AV23*(1-EXP(-S13_PSP_Species_Support!AW23*0))^S13_PSP_Species_Support!AX23))^0.976,0)+IFERROR(S13_PSP_Species_Support!BB23*0.0673*(S13_PSP_Species_Support!BC23*(S13_PSP_Species_Support!BD23*(1-EXP(-S13_PSP_Species_Support!BE23*0))^S13_PSP_Species_Support!BF23)^2*(S13_PSP_Species_Support!BG23*(1-EXP(-S13_PSP_Species_Support!BH23*0))^S13_PSP_Species_Support!BI23))^0.976,0)+IFERROR(S13_PSP_Species_Support!BM23*0.0673*(S13_PSP_Species_Support!BN23*(S13_PSP_Species_Support!BO23*(1-EXP(-S13_PSP_Species_Support!BP23*0))^S13_PSP_Species_Support!BQ23)^2*(S13_PSP_Species_Support!BR23*(1-EXP(-S13_PSP_Species_Support!BS23*0))^S13_PSP_Species_Support!BT23))^0.976,0)+IFERROR(S13_PSP_Species_Support!BX23*0.0673*(S13_PSP_Species_Support!BY23*(S13_PSP_Species_Support!BZ23*(1-EXP(-S13_PSP_Species_Support!CA23*0))^S13_PSP_Species_Support!CB23)^2*(S13_PSP_Species_Support!CC23*(1-EXP(-S13_PSP_Species_Support!CD23*0))^S13_PSP_Species_Support!CE23))^0.976,0)+IFERROR(S13_PSP_Species_Support!CI23*0.0673*(S13_PSP_Species_Support!CJ23*(S13_PSP_Species_Support!CK23*(1-EXP(-S13_PSP_Species_Support!CL23*0))^S13_PSP_Species_Support!CM23)^2*(S13_PSP_Species_Support!CN23*(1-EXP(-S13_PSP_Species_Support!CO23*0))^S13_PSP_Species_Support!CP23))^0.976,0)+IFERROR(S13_PSP_Species_Support!CT23*0.0673*(S13_PSP_Species_Support!CU23*(S13_PSP_Species_Support!CV23*(1-EXP(-S13_PSP_Species_Support!CW23*0))^S13_PSP_Species_Support!CX23)^2*(S13_PSP_Species_Support!CY23*(1-EXP(-S13_PSP_Species_Support!CZ23*0))^S13_PSP_Species_Support!DA23))^0.976,0))/1000/$G36*I$108,0)</x:f>
        <x:v>0</x:v>
      </x:c>
      <x:c r="J36" s="147" t="n">
        <x:f aca="0">IFERROR((IFERROR(S13_PSP_Species_Support!U23*0.0673*(S13_PSP_Species_Support!V23*(S13_PSP_Species_Support!W23*(1-EXP(-S13_PSP_Species_Support!X23*1))^S13_PSP_Species_Support!Y23)^2*(S13_PSP_Species_Support!Z23*(1-EXP(-S13_PSP_Species_Support!AA23*1))^S13_PSP_Species_Support!AB23))^0.976,0)+IFERROR(S13_PSP_Species_Support!AF23*0.0673*(S13_PSP_Species_Support!AG23*(S13_PSP_Species_Support!AH23*(1-EXP(-S13_PSP_Species_Support!AI23*1))^S13_PSP_Species_Support!AJ23)^2*(S13_PSP_Species_Support!AK23*(1-EXP(-S13_PSP_Species_Support!AL23*1))^S13_PSP_Species_Support!AM23))^0.976,0)+IFERROR(S13_PSP_Species_Support!AQ23*0.0673*(S13_PSP_Species_Support!AR23*(S13_PSP_Species_Support!AS23*(1-EXP(-S13_PSP_Species_Support!AT23*1))^S13_PSP_Species_Support!AU23)^2*(S13_PSP_Species_Support!AV23*(1-EXP(-S13_PSP_Species_Support!AW23*1))^S13_PSP_Species_Support!AX23))^0.976,0)+IFERROR(S13_PSP_Species_Support!BB23*0.0673*(S13_PSP_Species_Support!BC23*(S13_PSP_Species_Support!BD23*(1-EXP(-S13_PSP_Species_Support!BE23*1))^S13_PSP_Species_Support!BF23)^2*(S13_PSP_Species_Support!BG23*(1-EXP(-S13_PSP_Species_Support!BH23*1))^S13_PSP_Species_Support!BI23))^0.976,0)+IFERROR(S13_PSP_Species_Support!BM23*0.0673*(S13_PSP_Species_Support!BN23*(S13_PSP_Species_Support!BO23*(1-EXP(-S13_PSP_Species_Support!BP23*1))^S13_PSP_Species_Support!BQ23)^2*(S13_PSP_Species_Support!BR23*(1-EXP(-S13_PSP_Species_Support!BS23*1))^S13_PSP_Species_Support!BT23))^0.976,0)+IFERROR(S13_PSP_Species_Support!BX23*0.0673*(S13_PSP_Species_Support!BY23*(S13_PSP_Species_Support!BZ23*(1-EXP(-S13_PSP_Species_Support!CA23*1))^S13_PSP_Species_Support!CB23)^2*(S13_PSP_Species_Support!CC23*(1-EXP(-S13_PSP_Species_Support!CD23*1))^S13_PSP_Species_Support!CE23))^0.976,0)+IFERROR(S13_PSP_Species_Support!CI23*0.0673*(S13_PSP_Species_Support!CJ23*(S13_PSP_Species_Support!CK23*(1-EXP(-S13_PSP_Species_Support!CL23*1))^S13_PSP_Species_Support!CM23)^2*(S13_PSP_Species_Support!CN23*(1-EXP(-S13_PSP_Species_Support!CO23*1))^S13_PSP_Species_Support!CP23))^0.976,0)+IFERROR(S13_PSP_Species_Support!CT23*0.0673*(S13_PSP_Species_Support!CU23*(S13_PSP_Species_Support!CV23*(1-EXP(-S13_PSP_Species_Support!CW23*1))^S13_PSP_Species_Support!CX23)^2*(S13_PSP_Species_Support!CY23*(1-EXP(-S13_PSP_Species_Support!CZ23*1))^S13_PSP_Species_Support!DA23))^0.976,0))/1000/$G36*J$108,0)</x:f>
        <x:v>2.937626551744876</x:v>
      </x:c>
      <x:c r="K36" s="147" t="n">
        <x:f aca="0">IFERROR((IFERROR(S13_PSP_Species_Support!U23*0.0673*(S13_PSP_Species_Support!V23*(S13_PSP_Species_Support!W23*(1-EXP(-S13_PSP_Species_Support!X23*2))^S13_PSP_Species_Support!Y23)^2*(S13_PSP_Species_Support!Z23*(1-EXP(-S13_PSP_Species_Support!AA23*2))^S13_PSP_Species_Support!AB23))^0.976,0)+IFERROR(S13_PSP_Species_Support!AF23*0.0673*(S13_PSP_Species_Support!AG23*(S13_PSP_Species_Support!AH23*(1-EXP(-S13_PSP_Species_Support!AI23*2))^S13_PSP_Species_Support!AJ23)^2*(S13_PSP_Species_Support!AK23*(1-EXP(-S13_PSP_Species_Support!AL23*2))^S13_PSP_Species_Support!AM23))^0.976,0)+IFERROR(S13_PSP_Species_Support!AQ23*0.0673*(S13_PSP_Species_Support!AR23*(S13_PSP_Species_Support!AS23*(1-EXP(-S13_PSP_Species_Support!AT23*2))^S13_PSP_Species_Support!AU23)^2*(S13_PSP_Species_Support!AV23*(1-EXP(-S13_PSP_Species_Support!AW23*2))^S13_PSP_Species_Support!AX23))^0.976,0)+IFERROR(S13_PSP_Species_Support!BB23*0.0673*(S13_PSP_Species_Support!BC23*(S13_PSP_Species_Support!BD23*(1-EXP(-S13_PSP_Species_Support!BE23*2))^S13_PSP_Species_Support!BF23)^2*(S13_PSP_Species_Support!BG23*(1-EXP(-S13_PSP_Species_Support!BH23*2))^S13_PSP_Species_Support!BI23))^0.976,0)+IFERROR(S13_PSP_Species_Support!BM23*0.0673*(S13_PSP_Species_Support!BN23*(S13_PSP_Species_Support!BO23*(1-EXP(-S13_PSP_Species_Support!BP23*2))^S13_PSP_Species_Support!BQ23)^2*(S13_PSP_Species_Support!BR23*(1-EXP(-S13_PSP_Species_Support!BS23*2))^S13_PSP_Species_Support!BT23))^0.976,0)+IFERROR(S13_PSP_Species_Support!BX23*0.0673*(S13_PSP_Species_Support!BY23*(S13_PSP_Species_Support!BZ23*(1-EXP(-S13_PSP_Species_Support!CA23*2))^S13_PSP_Species_Support!CB23)^2*(S13_PSP_Species_Support!CC23*(1-EXP(-S13_PSP_Species_Support!CD23*2))^S13_PSP_Species_Support!CE23))^0.976,0)+IFERROR(S13_PSP_Species_Support!CI23*0.0673*(S13_PSP_Species_Support!CJ23*(S13_PSP_Species_Support!CK23*(1-EXP(-S13_PSP_Species_Support!CL23*2))^S13_PSP_Species_Support!CM23)^2*(S13_PSP_Species_Support!CN23*(1-EXP(-S13_PSP_Species_Support!CO23*2))^S13_PSP_Species_Support!CP23))^0.976,0)+IFERROR(S13_PSP_Species_Support!CT23*0.0673*(S13_PSP_Species_Support!CU23*(S13_PSP_Species_Support!CV23*(1-EXP(-S13_PSP_Species_Support!CW23*2))^S13_PSP_Species_Support!CX23)^2*(S13_PSP_Species_Support!CY23*(1-EXP(-S13_PSP_Species_Support!CZ23*2))^S13_PSP_Species_Support!DA23))^0.976,0))/1000/$G36*K$108,0)</x:f>
        <x:v>27.01107208507617</x:v>
      </x:c>
      <x:c r="L36" s="147" t="n">
        <x:f aca="0">IFERROR((IFERROR(S13_PSP_Species_Support!U23*0.0673*(S13_PSP_Species_Support!V23*(S13_PSP_Species_Support!W23*(1-EXP(-S13_PSP_Species_Support!X23*3))^S13_PSP_Species_Support!Y23)^2*(S13_PSP_Species_Support!Z23*(1-EXP(-S13_PSP_Species_Support!AA23*3))^S13_PSP_Species_Support!AB23))^0.976,0)+IFERROR(S13_PSP_Species_Support!AF23*0.0673*(S13_PSP_Species_Support!AG23*(S13_PSP_Species_Support!AH23*(1-EXP(-S13_PSP_Species_Support!AI23*3))^S13_PSP_Species_Support!AJ23)^2*(S13_PSP_Species_Support!AK23*(1-EXP(-S13_PSP_Species_Support!AL23*3))^S13_PSP_Species_Support!AM23))^0.976,0)+IFERROR(S13_PSP_Species_Support!AQ23*0.0673*(S13_PSP_Species_Support!AR23*(S13_PSP_Species_Support!AS23*(1-EXP(-S13_PSP_Species_Support!AT23*3))^S13_PSP_Species_Support!AU23)^2*(S13_PSP_Species_Support!AV23*(1-EXP(-S13_PSP_Species_Support!AW23*3))^S13_PSP_Species_Support!AX23))^0.976,0)+IFERROR(S13_PSP_Species_Support!BB23*0.0673*(S13_PSP_Species_Support!BC23*(S13_PSP_Species_Support!BD23*(1-EXP(-S13_PSP_Species_Support!BE23*3))^S13_PSP_Species_Support!BF23)^2*(S13_PSP_Species_Support!BG23*(1-EXP(-S13_PSP_Species_Support!BH23*3))^S13_PSP_Species_Support!BI23))^0.976,0)+IFERROR(S13_PSP_Species_Support!BM23*0.0673*(S13_PSP_Species_Support!BN23*(S13_PSP_Species_Support!BO23*(1-EXP(-S13_PSP_Species_Support!BP23*3))^S13_PSP_Species_Support!BQ23)^2*(S13_PSP_Species_Support!BR23*(1-EXP(-S13_PSP_Species_Support!BS23*3))^S13_PSP_Species_Support!BT23))^0.976,0)+IFERROR(S13_PSP_Species_Support!BX23*0.0673*(S13_PSP_Species_Support!BY23*(S13_PSP_Species_Support!BZ23*(1-EXP(-S13_PSP_Species_Support!CA23*3))^S13_PSP_Species_Support!CB23)^2*(S13_PSP_Species_Support!CC23*(1-EXP(-S13_PSP_Species_Support!CD23*3))^S13_PSP_Species_Support!CE23))^0.976,0)+IFERROR(S13_PSP_Species_Support!CI23*0.0673*(S13_PSP_Species_Support!CJ23*(S13_PSP_Species_Support!CK23*(1-EXP(-S13_PSP_Species_Support!CL23*3))^S13_PSP_Species_Support!CM23)^2*(S13_PSP_Species_Support!CN23*(1-EXP(-S13_PSP_Species_Support!CO23*3))^S13_PSP_Species_Support!CP23))^0.976,0)+IFERROR(S13_PSP_Species_Support!CT23*0.0673*(S13_PSP_Species_Support!CU23*(S13_PSP_Species_Support!CV23*(1-EXP(-S13_PSP_Species_Support!CW23*3))^S13_PSP_Species_Support!CX23)^2*(S13_PSP_Species_Support!CY23*(1-EXP(-S13_PSP_Species_Support!CZ23*3))^S13_PSP_Species_Support!DA23))^0.976,0))/1000/$G36*L$108,0)</x:f>
        <x:v>87.14282407109704</x:v>
      </x:c>
      <x:c r="M36" s="147" t="n">
        <x:f aca="0">IFERROR((IFERROR(S13_PSP_Species_Support!U23*0.0673*(S13_PSP_Species_Support!V23*(S13_PSP_Species_Support!W23*(1-EXP(-S13_PSP_Species_Support!X23*4))^S13_PSP_Species_Support!Y23)^2*(S13_PSP_Species_Support!Z23*(1-EXP(-S13_PSP_Species_Support!AA23*4))^S13_PSP_Species_Support!AB23))^0.976,0)+IFERROR(S13_PSP_Species_Support!AF23*0.0673*(S13_PSP_Species_Support!AG23*(S13_PSP_Species_Support!AH23*(1-EXP(-S13_PSP_Species_Support!AI23*4))^S13_PSP_Species_Support!AJ23)^2*(S13_PSP_Species_Support!AK23*(1-EXP(-S13_PSP_Species_Support!AL23*4))^S13_PSP_Species_Support!AM23))^0.976,0)+IFERROR(S13_PSP_Species_Support!AQ23*0.0673*(S13_PSP_Species_Support!AR23*(S13_PSP_Species_Support!AS23*(1-EXP(-S13_PSP_Species_Support!AT23*4))^S13_PSP_Species_Support!AU23)^2*(S13_PSP_Species_Support!AV23*(1-EXP(-S13_PSP_Species_Support!AW23*4))^S13_PSP_Species_Support!AX23))^0.976,0)+IFERROR(S13_PSP_Species_Support!BB23*0.0673*(S13_PSP_Species_Support!BC23*(S13_PSP_Species_Support!BD23*(1-EXP(-S13_PSP_Species_Support!BE23*4))^S13_PSP_Species_Support!BF23)^2*(S13_PSP_Species_Support!BG23*(1-EXP(-S13_PSP_Species_Support!BH23*4))^S13_PSP_Species_Support!BI23))^0.976,0)+IFERROR(S13_PSP_Species_Support!BM23*0.0673*(S13_PSP_Species_Support!BN23*(S13_PSP_Species_Support!BO23*(1-EXP(-S13_PSP_Species_Support!BP23*4))^S13_PSP_Species_Support!BQ23)^2*(S13_PSP_Species_Support!BR23*(1-EXP(-S13_PSP_Species_Support!BS23*4))^S13_PSP_Species_Support!BT23))^0.976,0)+IFERROR(S13_PSP_Species_Support!BX23*0.0673*(S13_PSP_Species_Support!BY23*(S13_PSP_Species_Support!BZ23*(1-EXP(-S13_PSP_Species_Support!CA23*4))^S13_PSP_Species_Support!CB23)^2*(S13_PSP_Species_Support!CC23*(1-EXP(-S13_PSP_Species_Support!CD23*4))^S13_PSP_Species_Support!CE23))^0.976,0)+IFERROR(S13_PSP_Species_Support!CI23*0.0673*(S13_PSP_Species_Support!CJ23*(S13_PSP_Species_Support!CK23*(1-EXP(-S13_PSP_Species_Support!CL23*4))^S13_PSP_Species_Support!CM23)^2*(S13_PSP_Species_Support!CN23*(1-EXP(-S13_PSP_Species_Support!CO23*4))^S13_PSP_Species_Support!CP23))^0.976,0)+IFERROR(S13_PSP_Species_Support!CT23*0.0673*(S13_PSP_Species_Support!CU23*(S13_PSP_Species_Support!CV23*(1-EXP(-S13_PSP_Species_Support!CW23*4))^S13_PSP_Species_Support!CX23)^2*(S13_PSP_Species_Support!CY23*(1-EXP(-S13_PSP_Species_Support!CZ23*4))^S13_PSP_Species_Support!DA23))^0.976,0))/1000/$G36*M$108,0)</x:f>
        <x:v>185.38312603849826</x:v>
      </x:c>
      <x:c r="N36" s="147" t="n">
        <x:f aca="0">IFERROR((IFERROR(S13_PSP_Species_Support!U23*0.0673*(S13_PSP_Species_Support!V23*(S13_PSP_Species_Support!W23*(1-EXP(-S13_PSP_Species_Support!X23*5))^S13_PSP_Species_Support!Y23)^2*(S13_PSP_Species_Support!Z23*(1-EXP(-S13_PSP_Species_Support!AA23*5))^S13_PSP_Species_Support!AB23))^0.976,0)+IFERROR(S13_PSP_Species_Support!AF23*0.0673*(S13_PSP_Species_Support!AG23*(S13_PSP_Species_Support!AH23*(1-EXP(-S13_PSP_Species_Support!AI23*5))^S13_PSP_Species_Support!AJ23)^2*(S13_PSP_Species_Support!AK23*(1-EXP(-S13_PSP_Species_Support!AL23*5))^S13_PSP_Species_Support!AM23))^0.976,0)+IFERROR(S13_PSP_Species_Support!AQ23*0.0673*(S13_PSP_Species_Support!AR23*(S13_PSP_Species_Support!AS23*(1-EXP(-S13_PSP_Species_Support!AT23*5))^S13_PSP_Species_Support!AU23)^2*(S13_PSP_Species_Support!AV23*(1-EXP(-S13_PSP_Species_Support!AW23*5))^S13_PSP_Species_Support!AX23))^0.976,0)+IFERROR(S13_PSP_Species_Support!BB23*0.0673*(S13_PSP_Species_Support!BC23*(S13_PSP_Species_Support!BD23*(1-EXP(-S13_PSP_Species_Support!BE23*5))^S13_PSP_Species_Support!BF23)^2*(S13_PSP_Species_Support!BG23*(1-EXP(-S13_PSP_Species_Support!BH23*5))^S13_PSP_Species_Support!BI23))^0.976,0)+IFERROR(S13_PSP_Species_Support!BM23*0.0673*(S13_PSP_Species_Support!BN23*(S13_PSP_Species_Support!BO23*(1-EXP(-S13_PSP_Species_Support!BP23*5))^S13_PSP_Species_Support!BQ23)^2*(S13_PSP_Species_Support!BR23*(1-EXP(-S13_PSP_Species_Support!BS23*5))^S13_PSP_Species_Support!BT23))^0.976,0)+IFERROR(S13_PSP_Species_Support!BX23*0.0673*(S13_PSP_Species_Support!BY23*(S13_PSP_Species_Support!BZ23*(1-EXP(-S13_PSP_Species_Support!CA23*5))^S13_PSP_Species_Support!CB23)^2*(S13_PSP_Species_Support!CC23*(1-EXP(-S13_PSP_Species_Support!CD23*5))^S13_PSP_Species_Support!CE23))^0.976,0)+IFERROR(S13_PSP_Species_Support!CI23*0.0673*(S13_PSP_Species_Support!CJ23*(S13_PSP_Species_Support!CK23*(1-EXP(-S13_PSP_Species_Support!CL23*5))^S13_PSP_Species_Support!CM23)^2*(S13_PSP_Species_Support!CN23*(1-EXP(-S13_PSP_Species_Support!CO23*5))^S13_PSP_Species_Support!CP23))^0.976,0)+IFERROR(S13_PSP_Species_Support!CT23*0.0673*(S13_PSP_Species_Support!CU23*(S13_PSP_Species_Support!CV23*(1-EXP(-S13_PSP_Species_Support!CW23*5))^S13_PSP_Species_Support!CX23)^2*(S13_PSP_Species_Support!CY23*(1-EXP(-S13_PSP_Species_Support!CZ23*5))^S13_PSP_Species_Support!DA23))^0.976,0))/1000/$G36*N$108,0)</x:f>
        <x:v>313.73063185470414</x:v>
      </x:c>
      <x:c r="O36" s="147" t="n">
        <x:f aca="0">IFERROR((IFERROR(S13_PSP_Species_Support!U23*0.0673*(S13_PSP_Species_Support!V23*(S13_PSP_Species_Support!W23*(1-EXP(-S13_PSP_Species_Support!X23*6))^S13_PSP_Species_Support!Y23)^2*(S13_PSP_Species_Support!Z23*(1-EXP(-S13_PSP_Species_Support!AA23*6))^S13_PSP_Species_Support!AB23))^0.976,0)+IFERROR(S13_PSP_Species_Support!AF23*0.0673*(S13_PSP_Species_Support!AG23*(S13_PSP_Species_Support!AH23*(1-EXP(-S13_PSP_Species_Support!AI23*6))^S13_PSP_Species_Support!AJ23)^2*(S13_PSP_Species_Support!AK23*(1-EXP(-S13_PSP_Species_Support!AL23*6))^S13_PSP_Species_Support!AM23))^0.976,0)+IFERROR(S13_PSP_Species_Support!AQ23*0.0673*(S13_PSP_Species_Support!AR23*(S13_PSP_Species_Support!AS23*(1-EXP(-S13_PSP_Species_Support!AT23*6))^S13_PSP_Species_Support!AU23)^2*(S13_PSP_Species_Support!AV23*(1-EXP(-S13_PSP_Species_Support!AW23*6))^S13_PSP_Species_Support!AX23))^0.976,0)+IFERROR(S13_PSP_Species_Support!BB23*0.0673*(S13_PSP_Species_Support!BC23*(S13_PSP_Species_Support!BD23*(1-EXP(-S13_PSP_Species_Support!BE23*6))^S13_PSP_Species_Support!BF23)^2*(S13_PSP_Species_Support!BG23*(1-EXP(-S13_PSP_Species_Support!BH23*6))^S13_PSP_Species_Support!BI23))^0.976,0)+IFERROR(S13_PSP_Species_Support!BM23*0.0673*(S13_PSP_Species_Support!BN23*(S13_PSP_Species_Support!BO23*(1-EXP(-S13_PSP_Species_Support!BP23*6))^S13_PSP_Species_Support!BQ23)^2*(S13_PSP_Species_Support!BR23*(1-EXP(-S13_PSP_Species_Support!BS23*6))^S13_PSP_Species_Support!BT23))^0.976,0)+IFERROR(S13_PSP_Species_Support!BX23*0.0673*(S13_PSP_Species_Support!BY23*(S13_PSP_Species_Support!BZ23*(1-EXP(-S13_PSP_Species_Support!CA23*6))^S13_PSP_Species_Support!CB23)^2*(S13_PSP_Species_Support!CC23*(1-EXP(-S13_PSP_Species_Support!CD23*6))^S13_PSP_Species_Support!CE23))^0.976,0)+IFERROR(S13_PSP_Species_Support!CI23*0.0673*(S13_PSP_Species_Support!CJ23*(S13_PSP_Species_Support!CK23*(1-EXP(-S13_PSP_Species_Support!CL23*6))^S13_PSP_Species_Support!CM23)^2*(S13_PSP_Species_Support!CN23*(1-EXP(-S13_PSP_Species_Support!CO23*6))^S13_PSP_Species_Support!CP23))^0.976,0)+IFERROR(S13_PSP_Species_Support!CT23*0.0673*(S13_PSP_Species_Support!CU23*(S13_PSP_Species_Support!CV23*(1-EXP(-S13_PSP_Species_Support!CW23*6))^S13_PSP_Species_Support!CX23)^2*(S13_PSP_Species_Support!CY23*(1-EXP(-S13_PSP_Species_Support!CZ23*6))^S13_PSP_Species_Support!DA23))^0.976,0))/1000/$G36*O$108,0)</x:f>
        <x:v>461.20481770026754</x:v>
      </x:c>
      <x:c r="P36" s="147" t="n">
        <x:f aca="0">IFERROR((IFERROR(S13_PSP_Species_Support!U23*0.0673*(S13_PSP_Species_Support!V23*(S13_PSP_Species_Support!W23*(1-EXP(-S13_PSP_Species_Support!X23*7))^S13_PSP_Species_Support!Y23)^2*(S13_PSP_Species_Support!Z23*(1-EXP(-S13_PSP_Species_Support!AA23*7))^S13_PSP_Species_Support!AB23))^0.976,0)+IFERROR(S13_PSP_Species_Support!AF23*0.0673*(S13_PSP_Species_Support!AG23*(S13_PSP_Species_Support!AH23*(1-EXP(-S13_PSP_Species_Support!AI23*7))^S13_PSP_Species_Support!AJ23)^2*(S13_PSP_Species_Support!AK23*(1-EXP(-S13_PSP_Species_Support!AL23*7))^S13_PSP_Species_Support!AM23))^0.976,0)+IFERROR(S13_PSP_Species_Support!AQ23*0.0673*(S13_PSP_Species_Support!AR23*(S13_PSP_Species_Support!AS23*(1-EXP(-S13_PSP_Species_Support!AT23*7))^S13_PSP_Species_Support!AU23)^2*(S13_PSP_Species_Support!AV23*(1-EXP(-S13_PSP_Species_Support!AW23*7))^S13_PSP_Species_Support!AX23))^0.976,0)+IFERROR(S13_PSP_Species_Support!BB23*0.0673*(S13_PSP_Species_Support!BC23*(S13_PSP_Species_Support!BD23*(1-EXP(-S13_PSP_Species_Support!BE23*7))^S13_PSP_Species_Support!BF23)^2*(S13_PSP_Species_Support!BG23*(1-EXP(-S13_PSP_Species_Support!BH23*7))^S13_PSP_Species_Support!BI23))^0.976,0)+IFERROR(S13_PSP_Species_Support!BM23*0.0673*(S13_PSP_Species_Support!BN23*(S13_PSP_Species_Support!BO23*(1-EXP(-S13_PSP_Species_Support!BP23*7))^S13_PSP_Species_Support!BQ23)^2*(S13_PSP_Species_Support!BR23*(1-EXP(-S13_PSP_Species_Support!BS23*7))^S13_PSP_Species_Support!BT23))^0.976,0)+IFERROR(S13_PSP_Species_Support!BX23*0.0673*(S13_PSP_Species_Support!BY23*(S13_PSP_Species_Support!BZ23*(1-EXP(-S13_PSP_Species_Support!CA23*7))^S13_PSP_Species_Support!CB23)^2*(S13_PSP_Species_Support!CC23*(1-EXP(-S13_PSP_Species_Support!CD23*7))^S13_PSP_Species_Support!CE23))^0.976,0)+IFERROR(S13_PSP_Species_Support!CI23*0.0673*(S13_PSP_Species_Support!CJ23*(S13_PSP_Species_Support!CK23*(1-EXP(-S13_PSP_Species_Support!CL23*7))^S13_PSP_Species_Support!CM23)^2*(S13_PSP_Species_Support!CN23*(1-EXP(-S13_PSP_Species_Support!CO23*7))^S13_PSP_Species_Support!CP23))^0.976,0)+IFERROR(S13_PSP_Species_Support!CT23*0.0673*(S13_PSP_Species_Support!CU23*(S13_PSP_Species_Support!CV23*(1-EXP(-S13_PSP_Species_Support!CW23*7))^S13_PSP_Species_Support!CX23)^2*(S13_PSP_Species_Support!CY23*(1-EXP(-S13_PSP_Species_Support!CZ23*7))^S13_PSP_Species_Support!DA23))^0.976,0))/1000/$G36*P$108,0)</x:f>
        <x:v>617.1740748720931</x:v>
      </x:c>
      <x:c r="Q36" s="147" t="n">
        <x:f aca="0">IFERROR((IFERROR(S13_PSP_Species_Support!U23*0.0673*(S13_PSP_Species_Support!V23*(S13_PSP_Species_Support!W23*(1-EXP(-S13_PSP_Species_Support!X23*8))^S13_PSP_Species_Support!Y23)^2*(S13_PSP_Species_Support!Z23*(1-EXP(-S13_PSP_Species_Support!AA23*8))^S13_PSP_Species_Support!AB23))^0.976,0)+IFERROR(S13_PSP_Species_Support!AF23*0.0673*(S13_PSP_Species_Support!AG23*(S13_PSP_Species_Support!AH23*(1-EXP(-S13_PSP_Species_Support!AI23*8))^S13_PSP_Species_Support!AJ23)^2*(S13_PSP_Species_Support!AK23*(1-EXP(-S13_PSP_Species_Support!AL23*8))^S13_PSP_Species_Support!AM23))^0.976,0)+IFERROR(S13_PSP_Species_Support!AQ23*0.0673*(S13_PSP_Species_Support!AR23*(S13_PSP_Species_Support!AS23*(1-EXP(-S13_PSP_Species_Support!AT23*8))^S13_PSP_Species_Support!AU23)^2*(S13_PSP_Species_Support!AV23*(1-EXP(-S13_PSP_Species_Support!AW23*8))^S13_PSP_Species_Support!AX23))^0.976,0)+IFERROR(S13_PSP_Species_Support!BB23*0.0673*(S13_PSP_Species_Support!BC23*(S13_PSP_Species_Support!BD23*(1-EXP(-S13_PSP_Species_Support!BE23*8))^S13_PSP_Species_Support!BF23)^2*(S13_PSP_Species_Support!BG23*(1-EXP(-S13_PSP_Species_Support!BH23*8))^S13_PSP_Species_Support!BI23))^0.976,0)+IFERROR(S13_PSP_Species_Support!BM23*0.0673*(S13_PSP_Species_Support!BN23*(S13_PSP_Species_Support!BO23*(1-EXP(-S13_PSP_Species_Support!BP23*8))^S13_PSP_Species_Support!BQ23)^2*(S13_PSP_Species_Support!BR23*(1-EXP(-S13_PSP_Species_Support!BS23*8))^S13_PSP_Species_Support!BT23))^0.976,0)+IFERROR(S13_PSP_Species_Support!BX23*0.0673*(S13_PSP_Species_Support!BY23*(S13_PSP_Species_Support!BZ23*(1-EXP(-S13_PSP_Species_Support!CA23*8))^S13_PSP_Species_Support!CB23)^2*(S13_PSP_Species_Support!CC23*(1-EXP(-S13_PSP_Species_Support!CD23*8))^S13_PSP_Species_Support!CE23))^0.976,0)+IFERROR(S13_PSP_Species_Support!CI23*0.0673*(S13_PSP_Species_Support!CJ23*(S13_PSP_Species_Support!CK23*(1-EXP(-S13_PSP_Species_Support!CL23*8))^S13_PSP_Species_Support!CM23)^2*(S13_PSP_Species_Support!CN23*(1-EXP(-S13_PSP_Species_Support!CO23*8))^S13_PSP_Species_Support!CP23))^0.976,0)+IFERROR(S13_PSP_Species_Support!CT23*0.0673*(S13_PSP_Species_Support!CU23*(S13_PSP_Species_Support!CV23*(1-EXP(-S13_PSP_Species_Support!CW23*8))^S13_PSP_Species_Support!CX23)^2*(S13_PSP_Species_Support!CY23*(1-EXP(-S13_PSP_Species_Support!CZ23*8))^S13_PSP_Species_Support!DA23))^0.976,0))/1000/$G36*Q$108,0)</x:f>
        <x:v>772.9985664098824</x:v>
      </x:c>
      <x:c r="R36" s="147" t="n">
        <x:f aca="0">IFERROR((IFERROR(S13_PSP_Species_Support!U23*0.0673*(S13_PSP_Species_Support!V23*(S13_PSP_Species_Support!W23*(1-EXP(-S13_PSP_Species_Support!X23*9))^S13_PSP_Species_Support!Y23)^2*(S13_PSP_Species_Support!Z23*(1-EXP(-S13_PSP_Species_Support!AA23*9))^S13_PSP_Species_Support!AB23))^0.976,0)+IFERROR(S13_PSP_Species_Support!AF23*0.0673*(S13_PSP_Species_Support!AG23*(S13_PSP_Species_Support!AH23*(1-EXP(-S13_PSP_Species_Support!AI23*9))^S13_PSP_Species_Support!AJ23)^2*(S13_PSP_Species_Support!AK23*(1-EXP(-S13_PSP_Species_Support!AL23*9))^S13_PSP_Species_Support!AM23))^0.976,0)+IFERROR(S13_PSP_Species_Support!AQ23*0.0673*(S13_PSP_Species_Support!AR23*(S13_PSP_Species_Support!AS23*(1-EXP(-S13_PSP_Species_Support!AT23*9))^S13_PSP_Species_Support!AU23)^2*(S13_PSP_Species_Support!AV23*(1-EXP(-S13_PSP_Species_Support!AW23*9))^S13_PSP_Species_Support!AX23))^0.976,0)+IFERROR(S13_PSP_Species_Support!BB23*0.0673*(S13_PSP_Species_Support!BC23*(S13_PSP_Species_Support!BD23*(1-EXP(-S13_PSP_Species_Support!BE23*9))^S13_PSP_Species_Support!BF23)^2*(S13_PSP_Species_Support!BG23*(1-EXP(-S13_PSP_Species_Support!BH23*9))^S13_PSP_Species_Support!BI23))^0.976,0)+IFERROR(S13_PSP_Species_Support!BM23*0.0673*(S13_PSP_Species_Support!BN23*(S13_PSP_Species_Support!BO23*(1-EXP(-S13_PSP_Species_Support!BP23*9))^S13_PSP_Species_Support!BQ23)^2*(S13_PSP_Species_Support!BR23*(1-EXP(-S13_PSP_Species_Support!BS23*9))^S13_PSP_Species_Support!BT23))^0.976,0)+IFERROR(S13_PSP_Species_Support!BX23*0.0673*(S13_PSP_Species_Support!BY23*(S13_PSP_Species_Support!BZ23*(1-EXP(-S13_PSP_Species_Support!CA23*9))^S13_PSP_Species_Support!CB23)^2*(S13_PSP_Species_Support!CC23*(1-EXP(-S13_PSP_Species_Support!CD23*9))^S13_PSP_Species_Support!CE23))^0.976,0)+IFERROR(S13_PSP_Species_Support!CI23*0.0673*(S13_PSP_Species_Support!CJ23*(S13_PSP_Species_Support!CK23*(1-EXP(-S13_PSP_Species_Support!CL23*9))^S13_PSP_Species_Support!CM23)^2*(S13_PSP_Species_Support!CN23*(1-EXP(-S13_PSP_Species_Support!CO23*9))^S13_PSP_Species_Support!CP23))^0.976,0)+IFERROR(S13_PSP_Species_Support!CT23*0.0673*(S13_PSP_Species_Support!CU23*(S13_PSP_Species_Support!CV23*(1-EXP(-S13_PSP_Species_Support!CW23*9))^S13_PSP_Species_Support!CX23)^2*(S13_PSP_Species_Support!CY23*(1-EXP(-S13_PSP_Species_Support!CZ23*9))^S13_PSP_Species_Support!DA23))^0.976,0))/1000/$G36*R$108,0)</x:f>
        <x:v>922.4583775991679</x:v>
      </x:c>
      <x:c r="S36" s="147" t="n">
        <x:f aca="0">IFERROR((IFERROR(S13_PSP_Species_Support!U23*0.0673*(S13_PSP_Species_Support!V23*(S13_PSP_Species_Support!W23*(1-EXP(-S13_PSP_Species_Support!X23*10))^S13_PSP_Species_Support!Y23)^2*(S13_PSP_Species_Support!Z23*(1-EXP(-S13_PSP_Species_Support!AA23*10))^S13_PSP_Species_Support!AB23))^0.976,0)+IFERROR(S13_PSP_Species_Support!AF23*0.0673*(S13_PSP_Species_Support!AG23*(S13_PSP_Species_Support!AH23*(1-EXP(-S13_PSP_Species_Support!AI23*10))^S13_PSP_Species_Support!AJ23)^2*(S13_PSP_Species_Support!AK23*(1-EXP(-S13_PSP_Species_Support!AL23*10))^S13_PSP_Species_Support!AM23))^0.976,0)+IFERROR(S13_PSP_Species_Support!AQ23*0.0673*(S13_PSP_Species_Support!AR23*(S13_PSP_Species_Support!AS23*(1-EXP(-S13_PSP_Species_Support!AT23*10))^S13_PSP_Species_Support!AU23)^2*(S13_PSP_Species_Support!AV23*(1-EXP(-S13_PSP_Species_Support!AW23*10))^S13_PSP_Species_Support!AX23))^0.976,0)+IFERROR(S13_PSP_Species_Support!BB23*0.0673*(S13_PSP_Species_Support!BC23*(S13_PSP_Species_Support!BD23*(1-EXP(-S13_PSP_Species_Support!BE23*10))^S13_PSP_Species_Support!BF23)^2*(S13_PSP_Species_Support!BG23*(1-EXP(-S13_PSP_Species_Support!BH23*10))^S13_PSP_Species_Support!BI23))^0.976,0)+IFERROR(S13_PSP_Species_Support!BM23*0.0673*(S13_PSP_Species_Support!BN23*(S13_PSP_Species_Support!BO23*(1-EXP(-S13_PSP_Species_Support!BP23*10))^S13_PSP_Species_Support!BQ23)^2*(S13_PSP_Species_Support!BR23*(1-EXP(-S13_PSP_Species_Support!BS23*10))^S13_PSP_Species_Support!BT23))^0.976,0)+IFERROR(S13_PSP_Species_Support!BX23*0.0673*(S13_PSP_Species_Support!BY23*(S13_PSP_Species_Support!BZ23*(1-EXP(-S13_PSP_Species_Support!CA23*10))^S13_PSP_Species_Support!CB23)^2*(S13_PSP_Species_Support!CC23*(1-EXP(-S13_PSP_Species_Support!CD23*10))^S13_PSP_Species_Support!CE23))^0.976,0)+IFERROR(S13_PSP_Species_Support!CI23*0.0673*(S13_PSP_Species_Support!CJ23*(S13_PSP_Species_Support!CK23*(1-EXP(-S13_PSP_Species_Support!CL23*10))^S13_PSP_Species_Support!CM23)^2*(S13_PSP_Species_Support!CN23*(1-EXP(-S13_PSP_Species_Support!CO23*10))^S13_PSP_Species_Support!CP23))^0.976,0)+IFERROR(S13_PSP_Species_Support!CT23*0.0673*(S13_PSP_Species_Support!CU23*(S13_PSP_Species_Support!CV23*(1-EXP(-S13_PSP_Species_Support!CW23*10))^S13_PSP_Species_Support!CX23)^2*(S13_PSP_Species_Support!CY23*(1-EXP(-S13_PSP_Species_Support!CZ23*10))^S13_PSP_Species_Support!DA23))^0.976,0))/1000/$G36*S$108,0)</x:f>
        <x:v>1061.5655690300941</x:v>
      </x:c>
      <x:c r="T36" s="147" t="n">
        <x:f aca="0">IFERROR((IFERROR(S13_PSP_Species_Support!U23*0.0673*(S13_PSP_Species_Support!V23*(S13_PSP_Species_Support!W23*(1-EXP(-S13_PSP_Species_Support!X23*11))^S13_PSP_Species_Support!Y23)^2*(S13_PSP_Species_Support!Z23*(1-EXP(-S13_PSP_Species_Support!AA23*11))^S13_PSP_Species_Support!AB23))^0.976,0)+IFERROR(S13_PSP_Species_Support!AF23*0.0673*(S13_PSP_Species_Support!AG23*(S13_PSP_Species_Support!AH23*(1-EXP(-S13_PSP_Species_Support!AI23*11))^S13_PSP_Species_Support!AJ23)^2*(S13_PSP_Species_Support!AK23*(1-EXP(-S13_PSP_Species_Support!AL23*11))^S13_PSP_Species_Support!AM23))^0.976,0)+IFERROR(S13_PSP_Species_Support!AQ23*0.0673*(S13_PSP_Species_Support!AR23*(S13_PSP_Species_Support!AS23*(1-EXP(-S13_PSP_Species_Support!AT23*11))^S13_PSP_Species_Support!AU23)^2*(S13_PSP_Species_Support!AV23*(1-EXP(-S13_PSP_Species_Support!AW23*11))^S13_PSP_Species_Support!AX23))^0.976,0)+IFERROR(S13_PSP_Species_Support!BB23*0.0673*(S13_PSP_Species_Support!BC23*(S13_PSP_Species_Support!BD23*(1-EXP(-S13_PSP_Species_Support!BE23*11))^S13_PSP_Species_Support!BF23)^2*(S13_PSP_Species_Support!BG23*(1-EXP(-S13_PSP_Species_Support!BH23*11))^S13_PSP_Species_Support!BI23))^0.976,0)+IFERROR(S13_PSP_Species_Support!BM23*0.0673*(S13_PSP_Species_Support!BN23*(S13_PSP_Species_Support!BO23*(1-EXP(-S13_PSP_Species_Support!BP23*11))^S13_PSP_Species_Support!BQ23)^2*(S13_PSP_Species_Support!BR23*(1-EXP(-S13_PSP_Species_Support!BS23*11))^S13_PSP_Species_Support!BT23))^0.976,0)+IFERROR(S13_PSP_Species_Support!BX23*0.0673*(S13_PSP_Species_Support!BY23*(S13_PSP_Species_Support!BZ23*(1-EXP(-S13_PSP_Species_Support!CA23*11))^S13_PSP_Species_Support!CB23)^2*(S13_PSP_Species_Support!CC23*(1-EXP(-S13_PSP_Species_Support!CD23*11))^S13_PSP_Species_Support!CE23))^0.976,0)+IFERROR(S13_PSP_Species_Support!CI23*0.0673*(S13_PSP_Species_Support!CJ23*(S13_PSP_Species_Support!CK23*(1-EXP(-S13_PSP_Species_Support!CL23*11))^S13_PSP_Species_Support!CM23)^2*(S13_PSP_Species_Support!CN23*(1-EXP(-S13_PSP_Species_Support!CO23*11))^S13_PSP_Species_Support!CP23))^0.976,0)+IFERROR(S13_PSP_Species_Support!CT23*0.0673*(S13_PSP_Species_Support!CU23*(S13_PSP_Species_Support!CV23*(1-EXP(-S13_PSP_Species_Support!CW23*11))^S13_PSP_Species_Support!CX23)^2*(S13_PSP_Species_Support!CY23*(1-EXP(-S13_PSP_Species_Support!CZ23*11))^S13_PSP_Species_Support!DA23))^0.976,0))/1000/$G36*T$108,0)</x:f>
        <x:v>1188.1348631271892</x:v>
      </x:c>
      <x:c r="U36" s="147" t="n">
        <x:f aca="0">IFERROR((IFERROR(S13_PSP_Species_Support!U23*0.0673*(S13_PSP_Species_Support!V23*(S13_PSP_Species_Support!W23*(1-EXP(-S13_PSP_Species_Support!X23*12))^S13_PSP_Species_Support!Y23)^2*(S13_PSP_Species_Support!Z23*(1-EXP(-S13_PSP_Species_Support!AA23*12))^S13_PSP_Species_Support!AB23))^0.976,0)+IFERROR(S13_PSP_Species_Support!AF23*0.0673*(S13_PSP_Species_Support!AG23*(S13_PSP_Species_Support!AH23*(1-EXP(-S13_PSP_Species_Support!AI23*12))^S13_PSP_Species_Support!AJ23)^2*(S13_PSP_Species_Support!AK23*(1-EXP(-S13_PSP_Species_Support!AL23*12))^S13_PSP_Species_Support!AM23))^0.976,0)+IFERROR(S13_PSP_Species_Support!AQ23*0.0673*(S13_PSP_Species_Support!AR23*(S13_PSP_Species_Support!AS23*(1-EXP(-S13_PSP_Species_Support!AT23*12))^S13_PSP_Species_Support!AU23)^2*(S13_PSP_Species_Support!AV23*(1-EXP(-S13_PSP_Species_Support!AW23*12))^S13_PSP_Species_Support!AX23))^0.976,0)+IFERROR(S13_PSP_Species_Support!BB23*0.0673*(S13_PSP_Species_Support!BC23*(S13_PSP_Species_Support!BD23*(1-EXP(-S13_PSP_Species_Support!BE23*12))^S13_PSP_Species_Support!BF23)^2*(S13_PSP_Species_Support!BG23*(1-EXP(-S13_PSP_Species_Support!BH23*12))^S13_PSP_Species_Support!BI23))^0.976,0)+IFERROR(S13_PSP_Species_Support!BM23*0.0673*(S13_PSP_Species_Support!BN23*(S13_PSP_Species_Support!BO23*(1-EXP(-S13_PSP_Species_Support!BP23*12))^S13_PSP_Species_Support!BQ23)^2*(S13_PSP_Species_Support!BR23*(1-EXP(-S13_PSP_Species_Support!BS23*12))^S13_PSP_Species_Support!BT23))^0.976,0)+IFERROR(S13_PSP_Species_Support!BX23*0.0673*(S13_PSP_Species_Support!BY23*(S13_PSP_Species_Support!BZ23*(1-EXP(-S13_PSP_Species_Support!CA23*12))^S13_PSP_Species_Support!CB23)^2*(S13_PSP_Species_Support!CC23*(1-EXP(-S13_PSP_Species_Support!CD23*12))^S13_PSP_Species_Support!CE23))^0.976,0)+IFERROR(S13_PSP_Species_Support!CI23*0.0673*(S13_PSP_Species_Support!CJ23*(S13_PSP_Species_Support!CK23*(1-EXP(-S13_PSP_Species_Support!CL23*12))^S13_PSP_Species_Support!CM23)^2*(S13_PSP_Species_Support!CN23*(1-EXP(-S13_PSP_Species_Support!CO23*12))^S13_PSP_Species_Support!CP23))^0.976,0)+IFERROR(S13_PSP_Species_Support!CT23*0.0673*(S13_PSP_Species_Support!CU23*(S13_PSP_Species_Support!CV23*(1-EXP(-S13_PSP_Species_Support!CW23*12))^S13_PSP_Species_Support!CX23)^2*(S13_PSP_Species_Support!CY23*(1-EXP(-S13_PSP_Species_Support!CZ23*12))^S13_PSP_Species_Support!DA23))^0.976,0))/1000/$G36*U$108,0)</x:f>
        <x:v>1301.3144941621044</x:v>
      </x:c>
      <x:c r="V36" s="147" t="n">
        <x:f aca="0">IFERROR((IFERROR(S13_PSP_Species_Support!U23*0.0673*(S13_PSP_Species_Support!V23*(S13_PSP_Species_Support!W23*(1-EXP(-S13_PSP_Species_Support!X23*13))^S13_PSP_Species_Support!Y23)^2*(S13_PSP_Species_Support!Z23*(1-EXP(-S13_PSP_Species_Support!AA23*13))^S13_PSP_Species_Support!AB23))^0.976,0)+IFERROR(S13_PSP_Species_Support!AF23*0.0673*(S13_PSP_Species_Support!AG23*(S13_PSP_Species_Support!AH23*(1-EXP(-S13_PSP_Species_Support!AI23*13))^S13_PSP_Species_Support!AJ23)^2*(S13_PSP_Species_Support!AK23*(1-EXP(-S13_PSP_Species_Support!AL23*13))^S13_PSP_Species_Support!AM23))^0.976,0)+IFERROR(S13_PSP_Species_Support!AQ23*0.0673*(S13_PSP_Species_Support!AR23*(S13_PSP_Species_Support!AS23*(1-EXP(-S13_PSP_Species_Support!AT23*13))^S13_PSP_Species_Support!AU23)^2*(S13_PSP_Species_Support!AV23*(1-EXP(-S13_PSP_Species_Support!AW23*13))^S13_PSP_Species_Support!AX23))^0.976,0)+IFERROR(S13_PSP_Species_Support!BB23*0.0673*(S13_PSP_Species_Support!BC23*(S13_PSP_Species_Support!BD23*(1-EXP(-S13_PSP_Species_Support!BE23*13))^S13_PSP_Species_Support!BF23)^2*(S13_PSP_Species_Support!BG23*(1-EXP(-S13_PSP_Species_Support!BH23*13))^S13_PSP_Species_Support!BI23))^0.976,0)+IFERROR(S13_PSP_Species_Support!BM23*0.0673*(S13_PSP_Species_Support!BN23*(S13_PSP_Species_Support!BO23*(1-EXP(-S13_PSP_Species_Support!BP23*13))^S13_PSP_Species_Support!BQ23)^2*(S13_PSP_Species_Support!BR23*(1-EXP(-S13_PSP_Species_Support!BS23*13))^S13_PSP_Species_Support!BT23))^0.976,0)+IFERROR(S13_PSP_Species_Support!BX23*0.0673*(S13_PSP_Species_Support!BY23*(S13_PSP_Species_Support!BZ23*(1-EXP(-S13_PSP_Species_Support!CA23*13))^S13_PSP_Species_Support!CB23)^2*(S13_PSP_Species_Support!CC23*(1-EXP(-S13_PSP_Species_Support!CD23*13))^S13_PSP_Species_Support!CE23))^0.976,0)+IFERROR(S13_PSP_Species_Support!CI23*0.0673*(S13_PSP_Species_Support!CJ23*(S13_PSP_Species_Support!CK23*(1-EXP(-S13_PSP_Species_Support!CL23*13))^S13_PSP_Species_Support!CM23)^2*(S13_PSP_Species_Support!CN23*(1-EXP(-S13_PSP_Species_Support!CO23*13))^S13_PSP_Species_Support!CP23))^0.976,0)+IFERROR(S13_PSP_Species_Support!CT23*0.0673*(S13_PSP_Species_Support!CU23*(S13_PSP_Species_Support!CV23*(1-EXP(-S13_PSP_Species_Support!CW23*13))^S13_PSP_Species_Support!CX23)^2*(S13_PSP_Species_Support!CY23*(1-EXP(-S13_PSP_Species_Support!CZ23*13))^S13_PSP_Species_Support!DA23))^0.976,0))/1000/$G36*V$108,0)</x:f>
        <x:v>1401.1695124576086</x:v>
      </x:c>
      <x:c r="W36" s="147" t="n">
        <x:f aca="0">IFERROR((IFERROR(S13_PSP_Species_Support!U23*0.0673*(S13_PSP_Species_Support!V23*(S13_PSP_Species_Support!W23*(1-EXP(-S13_PSP_Species_Support!X23*14))^S13_PSP_Species_Support!Y23)^2*(S13_PSP_Species_Support!Z23*(1-EXP(-S13_PSP_Species_Support!AA23*14))^S13_PSP_Species_Support!AB23))^0.976,0)+IFERROR(S13_PSP_Species_Support!AF23*0.0673*(S13_PSP_Species_Support!AG23*(S13_PSP_Species_Support!AH23*(1-EXP(-S13_PSP_Species_Support!AI23*14))^S13_PSP_Species_Support!AJ23)^2*(S13_PSP_Species_Support!AK23*(1-EXP(-S13_PSP_Species_Support!AL23*14))^S13_PSP_Species_Support!AM23))^0.976,0)+IFERROR(S13_PSP_Species_Support!AQ23*0.0673*(S13_PSP_Species_Support!AR23*(S13_PSP_Species_Support!AS23*(1-EXP(-S13_PSP_Species_Support!AT23*14))^S13_PSP_Species_Support!AU23)^2*(S13_PSP_Species_Support!AV23*(1-EXP(-S13_PSP_Species_Support!AW23*14))^S13_PSP_Species_Support!AX23))^0.976,0)+IFERROR(S13_PSP_Species_Support!BB23*0.0673*(S13_PSP_Species_Support!BC23*(S13_PSP_Species_Support!BD23*(1-EXP(-S13_PSP_Species_Support!BE23*14))^S13_PSP_Species_Support!BF23)^2*(S13_PSP_Species_Support!BG23*(1-EXP(-S13_PSP_Species_Support!BH23*14))^S13_PSP_Species_Support!BI23))^0.976,0)+IFERROR(S13_PSP_Species_Support!BM23*0.0673*(S13_PSP_Species_Support!BN23*(S13_PSP_Species_Support!BO23*(1-EXP(-S13_PSP_Species_Support!BP23*14))^S13_PSP_Species_Support!BQ23)^2*(S13_PSP_Species_Support!BR23*(1-EXP(-S13_PSP_Species_Support!BS23*14))^S13_PSP_Species_Support!BT23))^0.976,0)+IFERROR(S13_PSP_Species_Support!BX23*0.0673*(S13_PSP_Species_Support!BY23*(S13_PSP_Species_Support!BZ23*(1-EXP(-S13_PSP_Species_Support!CA23*14))^S13_PSP_Species_Support!CB23)^2*(S13_PSP_Species_Support!CC23*(1-EXP(-S13_PSP_Species_Support!CD23*14))^S13_PSP_Species_Support!CE23))^0.976,0)+IFERROR(S13_PSP_Species_Support!CI23*0.0673*(S13_PSP_Species_Support!CJ23*(S13_PSP_Species_Support!CK23*(1-EXP(-S13_PSP_Species_Support!CL23*14))^S13_PSP_Species_Support!CM23)^2*(S13_PSP_Species_Support!CN23*(1-EXP(-S13_PSP_Species_Support!CO23*14))^S13_PSP_Species_Support!CP23))^0.976,0)+IFERROR(S13_PSP_Species_Support!CT23*0.0673*(S13_PSP_Species_Support!CU23*(S13_PSP_Species_Support!CV23*(1-EXP(-S13_PSP_Species_Support!CW23*14))^S13_PSP_Species_Support!CX23)^2*(S13_PSP_Species_Support!CY23*(1-EXP(-S13_PSP_Species_Support!CZ23*14))^S13_PSP_Species_Support!DA23))^0.976,0))/1000/$G36*W$108,0)</x:f>
        <x:v>1488.3488719040477</x:v>
      </x:c>
      <x:c r="X36" s="147" t="n">
        <x:f aca="0">IFERROR((IFERROR(S13_PSP_Species_Support!U23*0.0673*(S13_PSP_Species_Support!V23*(S13_PSP_Species_Support!W23*(1-EXP(-S13_PSP_Species_Support!X23*15))^S13_PSP_Species_Support!Y23)^2*(S13_PSP_Species_Support!Z23*(1-EXP(-S13_PSP_Species_Support!AA23*15))^S13_PSP_Species_Support!AB23))^0.976,0)+IFERROR(S13_PSP_Species_Support!AF23*0.0673*(S13_PSP_Species_Support!AG23*(S13_PSP_Species_Support!AH23*(1-EXP(-S13_PSP_Species_Support!AI23*15))^S13_PSP_Species_Support!AJ23)^2*(S13_PSP_Species_Support!AK23*(1-EXP(-S13_PSP_Species_Support!AL23*15))^S13_PSP_Species_Support!AM23))^0.976,0)+IFERROR(S13_PSP_Species_Support!AQ23*0.0673*(S13_PSP_Species_Support!AR23*(S13_PSP_Species_Support!AS23*(1-EXP(-S13_PSP_Species_Support!AT23*15))^S13_PSP_Species_Support!AU23)^2*(S13_PSP_Species_Support!AV23*(1-EXP(-S13_PSP_Species_Support!AW23*15))^S13_PSP_Species_Support!AX23))^0.976,0)+IFERROR(S13_PSP_Species_Support!BB23*0.0673*(S13_PSP_Species_Support!BC23*(S13_PSP_Species_Support!BD23*(1-EXP(-S13_PSP_Species_Support!BE23*15))^S13_PSP_Species_Support!BF23)^2*(S13_PSP_Species_Support!BG23*(1-EXP(-S13_PSP_Species_Support!BH23*15))^S13_PSP_Species_Support!BI23))^0.976,0)+IFERROR(S13_PSP_Species_Support!BM23*0.0673*(S13_PSP_Species_Support!BN23*(S13_PSP_Species_Support!BO23*(1-EXP(-S13_PSP_Species_Support!BP23*15))^S13_PSP_Species_Support!BQ23)^2*(S13_PSP_Species_Support!BR23*(1-EXP(-S13_PSP_Species_Support!BS23*15))^S13_PSP_Species_Support!BT23))^0.976,0)+IFERROR(S13_PSP_Species_Support!BX23*0.0673*(S13_PSP_Species_Support!BY23*(S13_PSP_Species_Support!BZ23*(1-EXP(-S13_PSP_Species_Support!CA23*15))^S13_PSP_Species_Support!CB23)^2*(S13_PSP_Species_Support!CC23*(1-EXP(-S13_PSP_Species_Support!CD23*15))^S13_PSP_Species_Support!CE23))^0.976,0)+IFERROR(S13_PSP_Species_Support!CI23*0.0673*(S13_PSP_Species_Support!CJ23*(S13_PSP_Species_Support!CK23*(1-EXP(-S13_PSP_Species_Support!CL23*15))^S13_PSP_Species_Support!CM23)^2*(S13_PSP_Species_Support!CN23*(1-EXP(-S13_PSP_Species_Support!CO23*15))^S13_PSP_Species_Support!CP23))^0.976,0)+IFERROR(S13_PSP_Species_Support!CT23*0.0673*(S13_PSP_Species_Support!CU23*(S13_PSP_Species_Support!CV23*(1-EXP(-S13_PSP_Species_Support!CW23*15))^S13_PSP_Species_Support!CX23)^2*(S13_PSP_Species_Support!CY23*(1-EXP(-S13_PSP_Species_Support!CZ23*15))^S13_PSP_Species_Support!DA23))^0.976,0))/1000/$G36*X$108,0)</x:f>
        <x:v>1563.8373154733624</x:v>
      </x:c>
      <x:c r="Y36" s="147" t="n">
        <x:f aca="0">IFERROR((IFERROR(S13_PSP_Species_Support!U23*0.0673*(S13_PSP_Species_Support!V23*(S13_PSP_Species_Support!W23*(1-EXP(-S13_PSP_Species_Support!X23*16))^S13_PSP_Species_Support!Y23)^2*(S13_PSP_Species_Support!Z23*(1-EXP(-S13_PSP_Species_Support!AA23*16))^S13_PSP_Species_Support!AB23))^0.976,0)+IFERROR(S13_PSP_Species_Support!AF23*0.0673*(S13_PSP_Species_Support!AG23*(S13_PSP_Species_Support!AH23*(1-EXP(-S13_PSP_Species_Support!AI23*16))^S13_PSP_Species_Support!AJ23)^2*(S13_PSP_Species_Support!AK23*(1-EXP(-S13_PSP_Species_Support!AL23*16))^S13_PSP_Species_Support!AM23))^0.976,0)+IFERROR(S13_PSP_Species_Support!AQ23*0.0673*(S13_PSP_Species_Support!AR23*(S13_PSP_Species_Support!AS23*(1-EXP(-S13_PSP_Species_Support!AT23*16))^S13_PSP_Species_Support!AU23)^2*(S13_PSP_Species_Support!AV23*(1-EXP(-S13_PSP_Species_Support!AW23*16))^S13_PSP_Species_Support!AX23))^0.976,0)+IFERROR(S13_PSP_Species_Support!BB23*0.0673*(S13_PSP_Species_Support!BC23*(S13_PSP_Species_Support!BD23*(1-EXP(-S13_PSP_Species_Support!BE23*16))^S13_PSP_Species_Support!BF23)^2*(S13_PSP_Species_Support!BG23*(1-EXP(-S13_PSP_Species_Support!BH23*16))^S13_PSP_Species_Support!BI23))^0.976,0)+IFERROR(S13_PSP_Species_Support!BM23*0.0673*(S13_PSP_Species_Support!BN23*(S13_PSP_Species_Support!BO23*(1-EXP(-S13_PSP_Species_Support!BP23*16))^S13_PSP_Species_Support!BQ23)^2*(S13_PSP_Species_Support!BR23*(1-EXP(-S13_PSP_Species_Support!BS23*16))^S13_PSP_Species_Support!BT23))^0.976,0)+IFERROR(S13_PSP_Species_Support!BX23*0.0673*(S13_PSP_Species_Support!BY23*(S13_PSP_Species_Support!BZ23*(1-EXP(-S13_PSP_Species_Support!CA23*16))^S13_PSP_Species_Support!CB23)^2*(S13_PSP_Species_Support!CC23*(1-EXP(-S13_PSP_Species_Support!CD23*16))^S13_PSP_Species_Support!CE23))^0.976,0)+IFERROR(S13_PSP_Species_Support!CI23*0.0673*(S13_PSP_Species_Support!CJ23*(S13_PSP_Species_Support!CK23*(1-EXP(-S13_PSP_Species_Support!CL23*16))^S13_PSP_Species_Support!CM23)^2*(S13_PSP_Species_Support!CN23*(1-EXP(-S13_PSP_Species_Support!CO23*16))^S13_PSP_Species_Support!CP23))^0.976,0)+IFERROR(S13_PSP_Species_Support!CT23*0.0673*(S13_PSP_Species_Support!CU23*(S13_PSP_Species_Support!CV23*(1-EXP(-S13_PSP_Species_Support!CW23*16))^S13_PSP_Species_Support!CX23)^2*(S13_PSP_Species_Support!CY23*(1-EXP(-S13_PSP_Species_Support!CZ23*16))^S13_PSP_Species_Support!DA23))^0.976,0))/1000/$G36*Y$108,0)</x:f>
        <x:v>1628.780298595057</x:v>
      </x:c>
      <x:c r="Z36" s="147" t="n">
        <x:f aca="0">IFERROR((IFERROR(S13_PSP_Species_Support!U23*0.0673*(S13_PSP_Species_Support!V23*(S13_PSP_Species_Support!W23*(1-EXP(-S13_PSP_Species_Support!X23*17))^S13_PSP_Species_Support!Y23)^2*(S13_PSP_Species_Support!Z23*(1-EXP(-S13_PSP_Species_Support!AA23*17))^S13_PSP_Species_Support!AB23))^0.976,0)+IFERROR(S13_PSP_Species_Support!AF23*0.0673*(S13_PSP_Species_Support!AG23*(S13_PSP_Species_Support!AH23*(1-EXP(-S13_PSP_Species_Support!AI23*17))^S13_PSP_Species_Support!AJ23)^2*(S13_PSP_Species_Support!AK23*(1-EXP(-S13_PSP_Species_Support!AL23*17))^S13_PSP_Species_Support!AM23))^0.976,0)+IFERROR(S13_PSP_Species_Support!AQ23*0.0673*(S13_PSP_Species_Support!AR23*(S13_PSP_Species_Support!AS23*(1-EXP(-S13_PSP_Species_Support!AT23*17))^S13_PSP_Species_Support!AU23)^2*(S13_PSP_Species_Support!AV23*(1-EXP(-S13_PSP_Species_Support!AW23*17))^S13_PSP_Species_Support!AX23))^0.976,0)+IFERROR(S13_PSP_Species_Support!BB23*0.0673*(S13_PSP_Species_Support!BC23*(S13_PSP_Species_Support!BD23*(1-EXP(-S13_PSP_Species_Support!BE23*17))^S13_PSP_Species_Support!BF23)^2*(S13_PSP_Species_Support!BG23*(1-EXP(-S13_PSP_Species_Support!BH23*17))^S13_PSP_Species_Support!BI23))^0.976,0)+IFERROR(S13_PSP_Species_Support!BM23*0.0673*(S13_PSP_Species_Support!BN23*(S13_PSP_Species_Support!BO23*(1-EXP(-S13_PSP_Species_Support!BP23*17))^S13_PSP_Species_Support!BQ23)^2*(S13_PSP_Species_Support!BR23*(1-EXP(-S13_PSP_Species_Support!BS23*17))^S13_PSP_Species_Support!BT23))^0.976,0)+IFERROR(S13_PSP_Species_Support!BX23*0.0673*(S13_PSP_Species_Support!BY23*(S13_PSP_Species_Support!BZ23*(1-EXP(-S13_PSP_Species_Support!CA23*17))^S13_PSP_Species_Support!CB23)^2*(S13_PSP_Species_Support!CC23*(1-EXP(-S13_PSP_Species_Support!CD23*17))^S13_PSP_Species_Support!CE23))^0.976,0)+IFERROR(S13_PSP_Species_Support!CI23*0.0673*(S13_PSP_Species_Support!CJ23*(S13_PSP_Species_Support!CK23*(1-EXP(-S13_PSP_Species_Support!CL23*17))^S13_PSP_Species_Support!CM23)^2*(S13_PSP_Species_Support!CN23*(1-EXP(-S13_PSP_Species_Support!CO23*17))^S13_PSP_Species_Support!CP23))^0.976,0)+IFERROR(S13_PSP_Species_Support!CT23*0.0673*(S13_PSP_Species_Support!CU23*(S13_PSP_Species_Support!CV23*(1-EXP(-S13_PSP_Species_Support!CW23*17))^S13_PSP_Species_Support!CX23)^2*(S13_PSP_Species_Support!CY23*(1-EXP(-S13_PSP_Species_Support!CZ23*17))^S13_PSP_Species_Support!DA23))^0.976,0))/1000/$G36*Z$108,0)</x:f>
        <x:v>1684.3665885697878</x:v>
      </x:c>
      <x:c r="AA36" s="147" t="n">
        <x:f aca="0">IFERROR((IFERROR(S13_PSP_Species_Support!U23*0.0673*(S13_PSP_Species_Support!V23*(S13_PSP_Species_Support!W23*(1-EXP(-S13_PSP_Species_Support!X23*18))^S13_PSP_Species_Support!Y23)^2*(S13_PSP_Species_Support!Z23*(1-EXP(-S13_PSP_Species_Support!AA23*18))^S13_PSP_Species_Support!AB23))^0.976,0)+IFERROR(S13_PSP_Species_Support!AF23*0.0673*(S13_PSP_Species_Support!AG23*(S13_PSP_Species_Support!AH23*(1-EXP(-S13_PSP_Species_Support!AI23*18))^S13_PSP_Species_Support!AJ23)^2*(S13_PSP_Species_Support!AK23*(1-EXP(-S13_PSP_Species_Support!AL23*18))^S13_PSP_Species_Support!AM23))^0.976,0)+IFERROR(S13_PSP_Species_Support!AQ23*0.0673*(S13_PSP_Species_Support!AR23*(S13_PSP_Species_Support!AS23*(1-EXP(-S13_PSP_Species_Support!AT23*18))^S13_PSP_Species_Support!AU23)^2*(S13_PSP_Species_Support!AV23*(1-EXP(-S13_PSP_Species_Support!AW23*18))^S13_PSP_Species_Support!AX23))^0.976,0)+IFERROR(S13_PSP_Species_Support!BB23*0.0673*(S13_PSP_Species_Support!BC23*(S13_PSP_Species_Support!BD23*(1-EXP(-S13_PSP_Species_Support!BE23*18))^S13_PSP_Species_Support!BF23)^2*(S13_PSP_Species_Support!BG23*(1-EXP(-S13_PSP_Species_Support!BH23*18))^S13_PSP_Species_Support!BI23))^0.976,0)+IFERROR(S13_PSP_Species_Support!BM23*0.0673*(S13_PSP_Species_Support!BN23*(S13_PSP_Species_Support!BO23*(1-EXP(-S13_PSP_Species_Support!BP23*18))^S13_PSP_Species_Support!BQ23)^2*(S13_PSP_Species_Support!BR23*(1-EXP(-S13_PSP_Species_Support!BS23*18))^S13_PSP_Species_Support!BT23))^0.976,0)+IFERROR(S13_PSP_Species_Support!BX23*0.0673*(S13_PSP_Species_Support!BY23*(S13_PSP_Species_Support!BZ23*(1-EXP(-S13_PSP_Species_Support!CA23*18))^S13_PSP_Species_Support!CB23)^2*(S13_PSP_Species_Support!CC23*(1-EXP(-S13_PSP_Species_Support!CD23*18))^S13_PSP_Species_Support!CE23))^0.976,0)+IFERROR(S13_PSP_Species_Support!CI23*0.0673*(S13_PSP_Species_Support!CJ23*(S13_PSP_Species_Support!CK23*(1-EXP(-S13_PSP_Species_Support!CL23*18))^S13_PSP_Species_Support!CM23)^2*(S13_PSP_Species_Support!CN23*(1-EXP(-S13_PSP_Species_Support!CO23*18))^S13_PSP_Species_Support!CP23))^0.976,0)+IFERROR(S13_PSP_Species_Support!CT23*0.0673*(S13_PSP_Species_Support!CU23*(S13_PSP_Species_Support!CV23*(1-EXP(-S13_PSP_Species_Support!CW23*18))^S13_PSP_Species_Support!CX23)^2*(S13_PSP_Species_Support!CY23*(1-EXP(-S13_PSP_Species_Support!CZ23*18))^S13_PSP_Species_Support!DA23))^0.976,0))/1000/$G36*AA$108,0)</x:f>
        <x:v>1731.7538736807273</x:v>
      </x:c>
      <x:c r="AB36" s="147" t="n">
        <x:f aca="0">IFERROR((IFERROR(S13_PSP_Species_Support!U23*0.0673*(S13_PSP_Species_Support!V23*(S13_PSP_Species_Support!W23*(1-EXP(-S13_PSP_Species_Support!X23*19))^S13_PSP_Species_Support!Y23)^2*(S13_PSP_Species_Support!Z23*(1-EXP(-S13_PSP_Species_Support!AA23*19))^S13_PSP_Species_Support!AB23))^0.976,0)+IFERROR(S13_PSP_Species_Support!AF23*0.0673*(S13_PSP_Species_Support!AG23*(S13_PSP_Species_Support!AH23*(1-EXP(-S13_PSP_Species_Support!AI23*19))^S13_PSP_Species_Support!AJ23)^2*(S13_PSP_Species_Support!AK23*(1-EXP(-S13_PSP_Species_Support!AL23*19))^S13_PSP_Species_Support!AM23))^0.976,0)+IFERROR(S13_PSP_Species_Support!AQ23*0.0673*(S13_PSP_Species_Support!AR23*(S13_PSP_Species_Support!AS23*(1-EXP(-S13_PSP_Species_Support!AT23*19))^S13_PSP_Species_Support!AU23)^2*(S13_PSP_Species_Support!AV23*(1-EXP(-S13_PSP_Species_Support!AW23*19))^S13_PSP_Species_Support!AX23))^0.976,0)+IFERROR(S13_PSP_Species_Support!BB23*0.0673*(S13_PSP_Species_Support!BC23*(S13_PSP_Species_Support!BD23*(1-EXP(-S13_PSP_Species_Support!BE23*19))^S13_PSP_Species_Support!BF23)^2*(S13_PSP_Species_Support!BG23*(1-EXP(-S13_PSP_Species_Support!BH23*19))^S13_PSP_Species_Support!BI23))^0.976,0)+IFERROR(S13_PSP_Species_Support!BM23*0.0673*(S13_PSP_Species_Support!BN23*(S13_PSP_Species_Support!BO23*(1-EXP(-S13_PSP_Species_Support!BP23*19))^S13_PSP_Species_Support!BQ23)^2*(S13_PSP_Species_Support!BR23*(1-EXP(-S13_PSP_Species_Support!BS23*19))^S13_PSP_Species_Support!BT23))^0.976,0)+IFERROR(S13_PSP_Species_Support!BX23*0.0673*(S13_PSP_Species_Support!BY23*(S13_PSP_Species_Support!BZ23*(1-EXP(-S13_PSP_Species_Support!CA23*19))^S13_PSP_Species_Support!CB23)^2*(S13_PSP_Species_Support!CC23*(1-EXP(-S13_PSP_Species_Support!CD23*19))^S13_PSP_Species_Support!CE23))^0.976,0)+IFERROR(S13_PSP_Species_Support!CI23*0.0673*(S13_PSP_Species_Support!CJ23*(S13_PSP_Species_Support!CK23*(1-EXP(-S13_PSP_Species_Support!CL23*19))^S13_PSP_Species_Support!CM23)^2*(S13_PSP_Species_Support!CN23*(1-EXP(-S13_PSP_Species_Support!CO23*19))^S13_PSP_Species_Support!CP23))^0.976,0)+IFERROR(S13_PSP_Species_Support!CT23*0.0673*(S13_PSP_Species_Support!CU23*(S13_PSP_Species_Support!CV23*(1-EXP(-S13_PSP_Species_Support!CW23*19))^S13_PSP_Species_Support!CX23)^2*(S13_PSP_Species_Support!CY23*(1-EXP(-S13_PSP_Species_Support!CZ23*19))^S13_PSP_Species_Support!DA23))^0.976,0))/1000/$G36*AB$108,0)</x:f>
        <x:v>1772.0250707185612</x:v>
      </x:c>
      <x:c r="AC36" s="147" t="n">
        <x:f aca="0">IFERROR((IFERROR(S13_PSP_Species_Support!U23*0.0673*(S13_PSP_Species_Support!V23*(S13_PSP_Species_Support!W23*(1-EXP(-S13_PSP_Species_Support!X23*20))^S13_PSP_Species_Support!Y23)^2*(S13_PSP_Species_Support!Z23*(1-EXP(-S13_PSP_Species_Support!AA23*20))^S13_PSP_Species_Support!AB23))^0.976,0)+IFERROR(S13_PSP_Species_Support!AF23*0.0673*(S13_PSP_Species_Support!AG23*(S13_PSP_Species_Support!AH23*(1-EXP(-S13_PSP_Species_Support!AI23*20))^S13_PSP_Species_Support!AJ23)^2*(S13_PSP_Species_Support!AK23*(1-EXP(-S13_PSP_Species_Support!AL23*20))^S13_PSP_Species_Support!AM23))^0.976,0)+IFERROR(S13_PSP_Species_Support!AQ23*0.0673*(S13_PSP_Species_Support!AR23*(S13_PSP_Species_Support!AS23*(1-EXP(-S13_PSP_Species_Support!AT23*20))^S13_PSP_Species_Support!AU23)^2*(S13_PSP_Species_Support!AV23*(1-EXP(-S13_PSP_Species_Support!AW23*20))^S13_PSP_Species_Support!AX23))^0.976,0)+IFERROR(S13_PSP_Species_Support!BB23*0.0673*(S13_PSP_Species_Support!BC23*(S13_PSP_Species_Support!BD23*(1-EXP(-S13_PSP_Species_Support!BE23*20))^S13_PSP_Species_Support!BF23)^2*(S13_PSP_Species_Support!BG23*(1-EXP(-S13_PSP_Species_Support!BH23*20))^S13_PSP_Species_Support!BI23))^0.976,0)+IFERROR(S13_PSP_Species_Support!BM23*0.0673*(S13_PSP_Species_Support!BN23*(S13_PSP_Species_Support!BO23*(1-EXP(-S13_PSP_Species_Support!BP23*20))^S13_PSP_Species_Support!BQ23)^2*(S13_PSP_Species_Support!BR23*(1-EXP(-S13_PSP_Species_Support!BS23*20))^S13_PSP_Species_Support!BT23))^0.976,0)+IFERROR(S13_PSP_Species_Support!BX23*0.0673*(S13_PSP_Species_Support!BY23*(S13_PSP_Species_Support!BZ23*(1-EXP(-S13_PSP_Species_Support!CA23*20))^S13_PSP_Species_Support!CB23)^2*(S13_PSP_Species_Support!CC23*(1-EXP(-S13_PSP_Species_Support!CD23*20))^S13_PSP_Species_Support!CE23))^0.976,0)+IFERROR(S13_PSP_Species_Support!CI23*0.0673*(S13_PSP_Species_Support!CJ23*(S13_PSP_Species_Support!CK23*(1-EXP(-S13_PSP_Species_Support!CL23*20))^S13_PSP_Species_Support!CM23)^2*(S13_PSP_Species_Support!CN23*(1-EXP(-S13_PSP_Species_Support!CO23*20))^S13_PSP_Species_Support!CP23))^0.976,0)+IFERROR(S13_PSP_Species_Support!CT23*0.0673*(S13_PSP_Species_Support!CU23*(S13_PSP_Species_Support!CV23*(1-EXP(-S13_PSP_Species_Support!CW23*20))^S13_PSP_Species_Support!CX23)^2*(S13_PSP_Species_Support!CY23*(1-EXP(-S13_PSP_Species_Support!CZ23*20))^S13_PSP_Species_Support!DA23))^0.976,0))/1000/$G36*AC$108,0)</x:f>
        <x:v>1806.165719059417</x:v>
      </x:c>
      <x:c r="AD36" s="148" t="n">
        <x:f aca="0">IF(2020&lt;$F36,0,INDEX($I36:$AC36,1,2020-$F36+1))</x:f>
        <x:v>0</x:v>
      </x:c>
      <x:c r="AE36" s="148" t="n">
        <x:f aca="0">IF(2021&lt;$F36,0,INDEX($I36:$AC36,1,2021-$F36+1))</x:f>
        <x:v>2.937626551744876</x:v>
      </x:c>
      <x:c r="AF36" s="148" t="n">
        <x:f aca="0">IF(2022&lt;$F36,0,INDEX($I36:$AC36,1,2022-$F36+1))</x:f>
        <x:v>27.01107208507617</x:v>
      </x:c>
      <x:c r="AG36" s="148" t="n">
        <x:f aca="0">IF(2023&lt;$F36,0,INDEX($I36:$AC36,1,2023-$F36+1))</x:f>
        <x:v>87.14282407109704</x:v>
      </x:c>
      <x:c r="AH36" s="148" t="n">
        <x:f aca="0">IF(2024&lt;$F36,0,INDEX($I36:$AC36,1,2024-$F36+1))</x:f>
        <x:v>185.38312603849826</x:v>
      </x:c>
      <x:c r="AI36" s="148" t="n">
        <x:f aca="0">IF(2025&lt;$F36,0,INDEX($I36:$AC36,1,2025-$F36+1))</x:f>
        <x:v>313.73063185470414</x:v>
      </x:c>
      <x:c r="AJ36" s="148" t="n">
        <x:f aca="0">IF(2026&lt;$F36,0,INDEX($I36:$AC36,1,2026-$F36+1))</x:f>
        <x:v>461.20481770026754</x:v>
      </x:c>
      <x:c r="AK36" s="148" t="n">
        <x:f aca="0">IF(2027&lt;$F36,0,INDEX($I36:$AC36,1,2027-$F36+1))</x:f>
        <x:v>617.1740748720931</x:v>
      </x:c>
      <x:c r="AL36" s="148" t="n">
        <x:f aca="0">IF(2028&lt;$F36,0,INDEX($I36:$AC36,1,2028-$F36+1))</x:f>
        <x:v>772.9985664098824</x:v>
      </x:c>
      <x:c r="AM36" s="148" t="n">
        <x:f aca="0">IF(2029&lt;$F36,0,INDEX($I36:$AC36,1,2029-$F36+1))</x:f>
        <x:v>922.4583775991679</x:v>
      </x:c>
      <x:c r="AN36" s="148" t="n">
        <x:f aca="0">IF(2030&lt;$F36,0,INDEX($I36:$AC36,1,2030-$F36+1))</x:f>
        <x:v>1061.5655690300941</x:v>
      </x:c>
      <x:c r="AO36" s="148" t="n">
        <x:f aca="0">IF(2031&lt;$F36,0,INDEX($I36:$AC36,1,2031-$F36+1))</x:f>
        <x:v>1188.1348631271892</x:v>
      </x:c>
      <x:c r="AP36" s="148" t="n">
        <x:f aca="0">IF(2032&lt;$F36,0,INDEX($I36:$AC36,1,2032-$F36+1))</x:f>
        <x:v>1301.3144941621044</x:v>
      </x:c>
      <x:c r="AQ36" s="148" t="n">
        <x:f aca="0">IF(2033&lt;$F36,0,INDEX($I36:$AC36,1,2033-$F36+1))</x:f>
        <x:v>1401.1695124576086</x:v>
      </x:c>
      <x:c r="AR36" s="148" t="n">
        <x:f aca="0">IF(2034&lt;$F36,0,INDEX($I36:$AC36,1,2034-$F36+1))</x:f>
        <x:v>1488.3488719040477</x:v>
      </x:c>
      <x:c r="AS36" s="148" t="n">
        <x:f aca="0">IF(2035&lt;$F36,0,INDEX($I36:$AC36,1,2035-$F36+1))</x:f>
        <x:v>1563.8373154733624</x:v>
      </x:c>
      <x:c r="AT36" s="148" t="n">
        <x:f aca="0">IF(2036&lt;$F36,0,INDEX($I36:$AC36,1,2036-$F36+1))</x:f>
        <x:v>1628.780298595057</x:v>
      </x:c>
      <x:c r="AU36" s="148" t="n">
        <x:f aca="0">IF(2037&lt;$F36,0,INDEX($I36:$AC36,1,2037-$F36+1))</x:f>
        <x:v>1684.3665885697878</x:v>
      </x:c>
      <x:c r="AV36" s="148" t="n">
        <x:f aca="0">IF(2038&lt;$F36,0,INDEX($I36:$AC36,1,2038-$F36+1))</x:f>
        <x:v>1731.7538736807273</x:v>
      </x:c>
      <x:c r="AW36" s="148" t="n">
        <x:f aca="0">IF(2039&lt;$F36,0,INDEX($I36:$AC36,1,2039-$F36+1))</x:f>
        <x:v>1772.0250707185612</x:v>
      </x:c>
      <x:c r="AX36" s="148" t="n">
        <x:f aca="0">IF(2040&lt;$F36,0,INDEX($I36:$AC36,1,2040-$F36+1))</x:f>
        <x:v>1806.165719059417</x:v>
      </x:c>
      <x:c r="AY36" s="1" t="str">
        <x:f aca="0">LEFT($C36,FIND("@",SUBSTITUTE($C36,"|","@",2))-1)</x:f>
        <x:v>Horti-Silviculture|Medium</x:v>
      </x:c>
      <x:c r="AZ36" s="1" t="str">
        <x:f aca="0">LEFT($C36,FIND("|",$C36)-1)</x:f>
        <x:v>Horti-Silviculture</x:v>
      </x:c>
      <x:c r="BA36" s="149" t="n">
        <x:f aca="0">I36*I36</x:f>
        <x:v>0</x:v>
      </x:c>
      <x:c r="BB36" s="149" t="n">
        <x:f aca="0">J36*J36</x:f>
        <x:v>8.62964975751649</x:v>
      </x:c>
      <x:c r="BC36" s="149" t="n">
        <x:f aca="0">K36*K36</x:f>
        <x:v>729.598015185181</x:v>
      </x:c>
      <x:c r="BD36" s="149" t="n">
        <x:f aca="0">L36*L36</x:f>
        <x:v>7593.871787086169</x:v>
      </x:c>
      <x:c r="BE36" s="149" t="n">
        <x:f aca="0">M36*M36</x:f>
        <x:v>34366.903419805734</x:v>
      </x:c>
      <x:c r="BF36" s="149" t="n">
        <x:f aca="0">N36*N36</x:f>
        <x:v>98426.9093639519</x:v>
      </x:c>
      <x:c r="BG36" s="149" t="n">
        <x:f aca="0">O36*O36</x:f>
        <x:v>212709.883869937</x:v>
      </x:c>
      <x:c r="BH36" s="149" t="n">
        <x:f aca="0">P36*P36</x:f>
        <x:v>380903.838694224</x:v>
      </x:c>
      <x:c r="BI36" s="149" t="n">
        <x:f aca="0">Q36*Q36</x:f>
        <x:v>597526.7836717333</x:v>
      </x:c>
      <x:c r="BJ36" s="149" t="n">
        <x:f aca="0">R36*R36</x:f>
        <x:v>850929.458402889</x:v>
      </x:c>
      <x:c r="BK36" s="149" t="n">
        <x:f aca="0">S36*S36</x:f>
        <x:v>1126921.4573501875</x:v>
      </x:c>
      <x:c r="BL36" s="149" t="n">
        <x:f aca="0">T36*T36</x:f>
        <x:v>1411664.4529782645</x:v>
      </x:c>
      <x:c r="BM36" s="149" t="n">
        <x:f aca="0">U36*U36</x:f>
        <x:v>1693419.4127163738</x:v>
      </x:c>
      <x:c r="BN36" s="149" t="n">
        <x:f aca="0">V36*V36</x:f>
        <x:v>1963276.0026406925</x:v>
      </x:c>
      <x:c r="BO36" s="149" t="n">
        <x:f aca="0">W36*W36</x:f>
        <x:v>2215182.3644980513</x:v>
      </x:c>
      <x:c r="BP36" s="149" t="n">
        <x:f aca="0">X36*X36</x:f>
        <x:v>2445587.149266933</x:v>
      </x:c>
      <x:c r="BQ36" s="149" t="n">
        <x:f aca="0">Y36*Y36</x:f>
        <x:v>2652925.261091403</x:v>
      </x:c>
      <x:c r="BR36" s="149" t="n">
        <x:f aca="0">Z36*Z36</x:f>
        <x:v>2837090.804690225</x:v>
      </x:c>
      <x:c r="BS36" s="149" t="n">
        <x:f aca="0">AA36*AA36</x:f>
        <x:v>2998971.479008205</x:v>
      </x:c>
      <x:c r="BT36" s="149" t="n">
        <x:f aca="0">AB36*AB36</x:f>
        <x:v>3140072.8512551216</x:v>
      </x:c>
      <x:c r="BU36" s="149" t="n">
        <x:f aca="0">AC36*AC36</x:f>
        <x:v>3262234.6047054203</x:v>
      </x:c>
    </x:row>
    <x:row r="37" ht="15" hidden="0" customHeight="1">
      <x:c r="A37" s="1" t="str">
        <x:f aca="0">S13_PSP_Species_Support!A24</x:f>
        <x:v>PSP-HS-010</x:v>
      </x:c>
      <x:c r="B37" s="1" t="n">
        <x:f aca="0">24</x:f>
        <x:v>24</x:v>
      </x:c>
      <x:c r="C37" s="1" t="str">
        <x:f aca="0">S13_PSP_Species_Support!I24</x:f>
        <x:v>Horti-Silviculture|Medium|2020</x:v>
      </x:c>
      <x:c r="D37" s="1" t="str">
        <x:f aca="0">S13_PSP_Species_Support!C24</x:f>
        <x:v>Horti-Silviculture</x:v>
      </x:c>
      <x:c r="E37" s="1" t="str">
        <x:f aca="0">S13_PSP_Species_Support!D24</x:f>
        <x:v>Medium</x:v>
      </x:c>
      <x:c r="F37" s="1" t="n">
        <x:f aca="0">S13_PSP_Species_Support!E24</x:f>
        <x:v>2020</x:v>
      </x:c>
      <x:c r="G37" s="645" t="n">
        <x:f aca="0">'S13_PSP_Species_Support'!DJ24</x:f>
        <x:v>0.09</x:v>
      </x:c>
      <x:c r="H37" s="714" t="n">
        <x:f aca="0">'S13_PSP_Species_Support'!DK24</x:f>
        <x:v>24.334289225727158</x:v>
      </x:c>
      <x:c r="I37" s="147" t="n">
        <x:f aca="0">IFERROR((IFERROR(S13_PSP_Species_Support!U24*0.0673*(S13_PSP_Species_Support!V24*(S13_PSP_Species_Support!W24*(1-EXP(-S13_PSP_Species_Support!X24*0))^S13_PSP_Species_Support!Y24)^2*(S13_PSP_Species_Support!Z24*(1-EXP(-S13_PSP_Species_Support!AA24*0))^S13_PSP_Species_Support!AB24))^0.976,0)+IFERROR(S13_PSP_Species_Support!AF24*0.0673*(S13_PSP_Species_Support!AG24*(S13_PSP_Species_Support!AH24*(1-EXP(-S13_PSP_Species_Support!AI24*0))^S13_PSP_Species_Support!AJ24)^2*(S13_PSP_Species_Support!AK24*(1-EXP(-S13_PSP_Species_Support!AL24*0))^S13_PSP_Species_Support!AM24))^0.976,0)+IFERROR(S13_PSP_Species_Support!AQ24*0.0673*(S13_PSP_Species_Support!AR24*(S13_PSP_Species_Support!AS24*(1-EXP(-S13_PSP_Species_Support!AT24*0))^S13_PSP_Species_Support!AU24)^2*(S13_PSP_Species_Support!AV24*(1-EXP(-S13_PSP_Species_Support!AW24*0))^S13_PSP_Species_Support!AX24))^0.976,0)+IFERROR(S13_PSP_Species_Support!BB24*0.0673*(S13_PSP_Species_Support!BC24*(S13_PSP_Species_Support!BD24*(1-EXP(-S13_PSP_Species_Support!BE24*0))^S13_PSP_Species_Support!BF24)^2*(S13_PSP_Species_Support!BG24*(1-EXP(-S13_PSP_Species_Support!BH24*0))^S13_PSP_Species_Support!BI24))^0.976,0)+IFERROR(S13_PSP_Species_Support!BM24*0.0673*(S13_PSP_Species_Support!BN24*(S13_PSP_Species_Support!BO24*(1-EXP(-S13_PSP_Species_Support!BP24*0))^S13_PSP_Species_Support!BQ24)^2*(S13_PSP_Species_Support!BR24*(1-EXP(-S13_PSP_Species_Support!BS24*0))^S13_PSP_Species_Support!BT24))^0.976,0)+IFERROR(S13_PSP_Species_Support!BX24*0.0673*(S13_PSP_Species_Support!BY24*(S13_PSP_Species_Support!BZ24*(1-EXP(-S13_PSP_Species_Support!CA24*0))^S13_PSP_Species_Support!CB24)^2*(S13_PSP_Species_Support!CC24*(1-EXP(-S13_PSP_Species_Support!CD24*0))^S13_PSP_Species_Support!CE24))^0.976,0)+IFERROR(S13_PSP_Species_Support!CI24*0.0673*(S13_PSP_Species_Support!CJ24*(S13_PSP_Species_Support!CK24*(1-EXP(-S13_PSP_Species_Support!CL24*0))^S13_PSP_Species_Support!CM24)^2*(S13_PSP_Species_Support!CN24*(1-EXP(-S13_PSP_Species_Support!CO24*0))^S13_PSP_Species_Support!CP24))^0.976,0)+IFERROR(S13_PSP_Species_Support!CT24*0.0673*(S13_PSP_Species_Support!CU24*(S13_PSP_Species_Support!CV24*(1-EXP(-S13_PSP_Species_Support!CW24*0))^S13_PSP_Species_Support!CX24)^2*(S13_PSP_Species_Support!CY24*(1-EXP(-S13_PSP_Species_Support!CZ24*0))^S13_PSP_Species_Support!DA24))^0.976,0))/1000/$G37*I$108,0)</x:f>
        <x:v>0</x:v>
      </x:c>
      <x:c r="J37" s="147" t="n">
        <x:f aca="0">IFERROR((IFERROR(S13_PSP_Species_Support!U24*0.0673*(S13_PSP_Species_Support!V24*(S13_PSP_Species_Support!W24*(1-EXP(-S13_PSP_Species_Support!X24*1))^S13_PSP_Species_Support!Y24)^2*(S13_PSP_Species_Support!Z24*(1-EXP(-S13_PSP_Species_Support!AA24*1))^S13_PSP_Species_Support!AB24))^0.976,0)+IFERROR(S13_PSP_Species_Support!AF24*0.0673*(S13_PSP_Species_Support!AG24*(S13_PSP_Species_Support!AH24*(1-EXP(-S13_PSP_Species_Support!AI24*1))^S13_PSP_Species_Support!AJ24)^2*(S13_PSP_Species_Support!AK24*(1-EXP(-S13_PSP_Species_Support!AL24*1))^S13_PSP_Species_Support!AM24))^0.976,0)+IFERROR(S13_PSP_Species_Support!AQ24*0.0673*(S13_PSP_Species_Support!AR24*(S13_PSP_Species_Support!AS24*(1-EXP(-S13_PSP_Species_Support!AT24*1))^S13_PSP_Species_Support!AU24)^2*(S13_PSP_Species_Support!AV24*(1-EXP(-S13_PSP_Species_Support!AW24*1))^S13_PSP_Species_Support!AX24))^0.976,0)+IFERROR(S13_PSP_Species_Support!BB24*0.0673*(S13_PSP_Species_Support!BC24*(S13_PSP_Species_Support!BD24*(1-EXP(-S13_PSP_Species_Support!BE24*1))^S13_PSP_Species_Support!BF24)^2*(S13_PSP_Species_Support!BG24*(1-EXP(-S13_PSP_Species_Support!BH24*1))^S13_PSP_Species_Support!BI24))^0.976,0)+IFERROR(S13_PSP_Species_Support!BM24*0.0673*(S13_PSP_Species_Support!BN24*(S13_PSP_Species_Support!BO24*(1-EXP(-S13_PSP_Species_Support!BP24*1))^S13_PSP_Species_Support!BQ24)^2*(S13_PSP_Species_Support!BR24*(1-EXP(-S13_PSP_Species_Support!BS24*1))^S13_PSP_Species_Support!BT24))^0.976,0)+IFERROR(S13_PSP_Species_Support!BX24*0.0673*(S13_PSP_Species_Support!BY24*(S13_PSP_Species_Support!BZ24*(1-EXP(-S13_PSP_Species_Support!CA24*1))^S13_PSP_Species_Support!CB24)^2*(S13_PSP_Species_Support!CC24*(1-EXP(-S13_PSP_Species_Support!CD24*1))^S13_PSP_Species_Support!CE24))^0.976,0)+IFERROR(S13_PSP_Species_Support!CI24*0.0673*(S13_PSP_Species_Support!CJ24*(S13_PSP_Species_Support!CK24*(1-EXP(-S13_PSP_Species_Support!CL24*1))^S13_PSP_Species_Support!CM24)^2*(S13_PSP_Species_Support!CN24*(1-EXP(-S13_PSP_Species_Support!CO24*1))^S13_PSP_Species_Support!CP24))^0.976,0)+IFERROR(S13_PSP_Species_Support!CT24*0.0673*(S13_PSP_Species_Support!CU24*(S13_PSP_Species_Support!CV24*(1-EXP(-S13_PSP_Species_Support!CW24*1))^S13_PSP_Species_Support!CX24)^2*(S13_PSP_Species_Support!CY24*(1-EXP(-S13_PSP_Species_Support!CZ24*1))^S13_PSP_Species_Support!DA24))^0.976,0))/1000/$G37*J$108,0)</x:f>
        <x:v>0.04991461531245308</x:v>
      </x:c>
      <x:c r="K37" s="147" t="n">
        <x:f aca="0">IFERROR((IFERROR(S13_PSP_Species_Support!U24*0.0673*(S13_PSP_Species_Support!V24*(S13_PSP_Species_Support!W24*(1-EXP(-S13_PSP_Species_Support!X24*2))^S13_PSP_Species_Support!Y24)^2*(S13_PSP_Species_Support!Z24*(1-EXP(-S13_PSP_Species_Support!AA24*2))^S13_PSP_Species_Support!AB24))^0.976,0)+IFERROR(S13_PSP_Species_Support!AF24*0.0673*(S13_PSP_Species_Support!AG24*(S13_PSP_Species_Support!AH24*(1-EXP(-S13_PSP_Species_Support!AI24*2))^S13_PSP_Species_Support!AJ24)^2*(S13_PSP_Species_Support!AK24*(1-EXP(-S13_PSP_Species_Support!AL24*2))^S13_PSP_Species_Support!AM24))^0.976,0)+IFERROR(S13_PSP_Species_Support!AQ24*0.0673*(S13_PSP_Species_Support!AR24*(S13_PSP_Species_Support!AS24*(1-EXP(-S13_PSP_Species_Support!AT24*2))^S13_PSP_Species_Support!AU24)^2*(S13_PSP_Species_Support!AV24*(1-EXP(-S13_PSP_Species_Support!AW24*2))^S13_PSP_Species_Support!AX24))^0.976,0)+IFERROR(S13_PSP_Species_Support!BB24*0.0673*(S13_PSP_Species_Support!BC24*(S13_PSP_Species_Support!BD24*(1-EXP(-S13_PSP_Species_Support!BE24*2))^S13_PSP_Species_Support!BF24)^2*(S13_PSP_Species_Support!BG24*(1-EXP(-S13_PSP_Species_Support!BH24*2))^S13_PSP_Species_Support!BI24))^0.976,0)+IFERROR(S13_PSP_Species_Support!BM24*0.0673*(S13_PSP_Species_Support!BN24*(S13_PSP_Species_Support!BO24*(1-EXP(-S13_PSP_Species_Support!BP24*2))^S13_PSP_Species_Support!BQ24)^2*(S13_PSP_Species_Support!BR24*(1-EXP(-S13_PSP_Species_Support!BS24*2))^S13_PSP_Species_Support!BT24))^0.976,0)+IFERROR(S13_PSP_Species_Support!BX24*0.0673*(S13_PSP_Species_Support!BY24*(S13_PSP_Species_Support!BZ24*(1-EXP(-S13_PSP_Species_Support!CA24*2))^S13_PSP_Species_Support!CB24)^2*(S13_PSP_Species_Support!CC24*(1-EXP(-S13_PSP_Species_Support!CD24*2))^S13_PSP_Species_Support!CE24))^0.976,0)+IFERROR(S13_PSP_Species_Support!CI24*0.0673*(S13_PSP_Species_Support!CJ24*(S13_PSP_Species_Support!CK24*(1-EXP(-S13_PSP_Species_Support!CL24*2))^S13_PSP_Species_Support!CM24)^2*(S13_PSP_Species_Support!CN24*(1-EXP(-S13_PSP_Species_Support!CO24*2))^S13_PSP_Species_Support!CP24))^0.976,0)+IFERROR(S13_PSP_Species_Support!CT24*0.0673*(S13_PSP_Species_Support!CU24*(S13_PSP_Species_Support!CV24*(1-EXP(-S13_PSP_Species_Support!CW24*2))^S13_PSP_Species_Support!CX24)^2*(S13_PSP_Species_Support!CY24*(1-EXP(-S13_PSP_Species_Support!CZ24*2))^S13_PSP_Species_Support!DA24))^0.976,0))/1000/$G37*K$108,0)</x:f>
        <x:v>0.5810785459299319</x:v>
      </x:c>
      <x:c r="L37" s="147" t="n">
        <x:f aca="0">IFERROR((IFERROR(S13_PSP_Species_Support!U24*0.0673*(S13_PSP_Species_Support!V24*(S13_PSP_Species_Support!W24*(1-EXP(-S13_PSP_Species_Support!X24*3))^S13_PSP_Species_Support!Y24)^2*(S13_PSP_Species_Support!Z24*(1-EXP(-S13_PSP_Species_Support!AA24*3))^S13_PSP_Species_Support!AB24))^0.976,0)+IFERROR(S13_PSP_Species_Support!AF24*0.0673*(S13_PSP_Species_Support!AG24*(S13_PSP_Species_Support!AH24*(1-EXP(-S13_PSP_Species_Support!AI24*3))^S13_PSP_Species_Support!AJ24)^2*(S13_PSP_Species_Support!AK24*(1-EXP(-S13_PSP_Species_Support!AL24*3))^S13_PSP_Species_Support!AM24))^0.976,0)+IFERROR(S13_PSP_Species_Support!AQ24*0.0673*(S13_PSP_Species_Support!AR24*(S13_PSP_Species_Support!AS24*(1-EXP(-S13_PSP_Species_Support!AT24*3))^S13_PSP_Species_Support!AU24)^2*(S13_PSP_Species_Support!AV24*(1-EXP(-S13_PSP_Species_Support!AW24*3))^S13_PSP_Species_Support!AX24))^0.976,0)+IFERROR(S13_PSP_Species_Support!BB24*0.0673*(S13_PSP_Species_Support!BC24*(S13_PSP_Species_Support!BD24*(1-EXP(-S13_PSP_Species_Support!BE24*3))^S13_PSP_Species_Support!BF24)^2*(S13_PSP_Species_Support!BG24*(1-EXP(-S13_PSP_Species_Support!BH24*3))^S13_PSP_Species_Support!BI24))^0.976,0)+IFERROR(S13_PSP_Species_Support!BM24*0.0673*(S13_PSP_Species_Support!BN24*(S13_PSP_Species_Support!BO24*(1-EXP(-S13_PSP_Species_Support!BP24*3))^S13_PSP_Species_Support!BQ24)^2*(S13_PSP_Species_Support!BR24*(1-EXP(-S13_PSP_Species_Support!BS24*3))^S13_PSP_Species_Support!BT24))^0.976,0)+IFERROR(S13_PSP_Species_Support!BX24*0.0673*(S13_PSP_Species_Support!BY24*(S13_PSP_Species_Support!BZ24*(1-EXP(-S13_PSP_Species_Support!CA24*3))^S13_PSP_Species_Support!CB24)^2*(S13_PSP_Species_Support!CC24*(1-EXP(-S13_PSP_Species_Support!CD24*3))^S13_PSP_Species_Support!CE24))^0.976,0)+IFERROR(S13_PSP_Species_Support!CI24*0.0673*(S13_PSP_Species_Support!CJ24*(S13_PSP_Species_Support!CK24*(1-EXP(-S13_PSP_Species_Support!CL24*3))^S13_PSP_Species_Support!CM24)^2*(S13_PSP_Species_Support!CN24*(1-EXP(-S13_PSP_Species_Support!CO24*3))^S13_PSP_Species_Support!CP24))^0.976,0)+IFERROR(S13_PSP_Species_Support!CT24*0.0673*(S13_PSP_Species_Support!CU24*(S13_PSP_Species_Support!CV24*(1-EXP(-S13_PSP_Species_Support!CW24*3))^S13_PSP_Species_Support!CX24)^2*(S13_PSP_Species_Support!CY24*(1-EXP(-S13_PSP_Species_Support!CZ24*3))^S13_PSP_Species_Support!DA24))^0.976,0))/1000/$G37*L$108,0)</x:f>
        <x:v>2.1796511174383495</x:v>
      </x:c>
      <x:c r="M37" s="147" t="n">
        <x:f aca="0">IFERROR((IFERROR(S13_PSP_Species_Support!U24*0.0673*(S13_PSP_Species_Support!V24*(S13_PSP_Species_Support!W24*(1-EXP(-S13_PSP_Species_Support!X24*4))^S13_PSP_Species_Support!Y24)^2*(S13_PSP_Species_Support!Z24*(1-EXP(-S13_PSP_Species_Support!AA24*4))^S13_PSP_Species_Support!AB24))^0.976,0)+IFERROR(S13_PSP_Species_Support!AF24*0.0673*(S13_PSP_Species_Support!AG24*(S13_PSP_Species_Support!AH24*(1-EXP(-S13_PSP_Species_Support!AI24*4))^S13_PSP_Species_Support!AJ24)^2*(S13_PSP_Species_Support!AK24*(1-EXP(-S13_PSP_Species_Support!AL24*4))^S13_PSP_Species_Support!AM24))^0.976,0)+IFERROR(S13_PSP_Species_Support!AQ24*0.0673*(S13_PSP_Species_Support!AR24*(S13_PSP_Species_Support!AS24*(1-EXP(-S13_PSP_Species_Support!AT24*4))^S13_PSP_Species_Support!AU24)^2*(S13_PSP_Species_Support!AV24*(1-EXP(-S13_PSP_Species_Support!AW24*4))^S13_PSP_Species_Support!AX24))^0.976,0)+IFERROR(S13_PSP_Species_Support!BB24*0.0673*(S13_PSP_Species_Support!BC24*(S13_PSP_Species_Support!BD24*(1-EXP(-S13_PSP_Species_Support!BE24*4))^S13_PSP_Species_Support!BF24)^2*(S13_PSP_Species_Support!BG24*(1-EXP(-S13_PSP_Species_Support!BH24*4))^S13_PSP_Species_Support!BI24))^0.976,0)+IFERROR(S13_PSP_Species_Support!BM24*0.0673*(S13_PSP_Species_Support!BN24*(S13_PSP_Species_Support!BO24*(1-EXP(-S13_PSP_Species_Support!BP24*4))^S13_PSP_Species_Support!BQ24)^2*(S13_PSP_Species_Support!BR24*(1-EXP(-S13_PSP_Species_Support!BS24*4))^S13_PSP_Species_Support!BT24))^0.976,0)+IFERROR(S13_PSP_Species_Support!BX24*0.0673*(S13_PSP_Species_Support!BY24*(S13_PSP_Species_Support!BZ24*(1-EXP(-S13_PSP_Species_Support!CA24*4))^S13_PSP_Species_Support!CB24)^2*(S13_PSP_Species_Support!CC24*(1-EXP(-S13_PSP_Species_Support!CD24*4))^S13_PSP_Species_Support!CE24))^0.976,0)+IFERROR(S13_PSP_Species_Support!CI24*0.0673*(S13_PSP_Species_Support!CJ24*(S13_PSP_Species_Support!CK24*(1-EXP(-S13_PSP_Species_Support!CL24*4))^S13_PSP_Species_Support!CM24)^2*(S13_PSP_Species_Support!CN24*(1-EXP(-S13_PSP_Species_Support!CO24*4))^S13_PSP_Species_Support!CP24))^0.976,0)+IFERROR(S13_PSP_Species_Support!CT24*0.0673*(S13_PSP_Species_Support!CU24*(S13_PSP_Species_Support!CV24*(1-EXP(-S13_PSP_Species_Support!CW24*4))^S13_PSP_Species_Support!CX24)^2*(S13_PSP_Species_Support!CY24*(1-EXP(-S13_PSP_Species_Support!CZ24*4))^S13_PSP_Species_Support!DA24))^0.976,0))/1000/$G37*M$108,0)</x:f>
        <x:v>5.198337145033121</x:v>
      </x:c>
      <x:c r="N37" s="147" t="n">
        <x:f aca="0">IFERROR((IFERROR(S13_PSP_Species_Support!U24*0.0673*(S13_PSP_Species_Support!V24*(S13_PSP_Species_Support!W24*(1-EXP(-S13_PSP_Species_Support!X24*5))^S13_PSP_Species_Support!Y24)^2*(S13_PSP_Species_Support!Z24*(1-EXP(-S13_PSP_Species_Support!AA24*5))^S13_PSP_Species_Support!AB24))^0.976,0)+IFERROR(S13_PSP_Species_Support!AF24*0.0673*(S13_PSP_Species_Support!AG24*(S13_PSP_Species_Support!AH24*(1-EXP(-S13_PSP_Species_Support!AI24*5))^S13_PSP_Species_Support!AJ24)^2*(S13_PSP_Species_Support!AK24*(1-EXP(-S13_PSP_Species_Support!AL24*5))^S13_PSP_Species_Support!AM24))^0.976,0)+IFERROR(S13_PSP_Species_Support!AQ24*0.0673*(S13_PSP_Species_Support!AR24*(S13_PSP_Species_Support!AS24*(1-EXP(-S13_PSP_Species_Support!AT24*5))^S13_PSP_Species_Support!AU24)^2*(S13_PSP_Species_Support!AV24*(1-EXP(-S13_PSP_Species_Support!AW24*5))^S13_PSP_Species_Support!AX24))^0.976,0)+IFERROR(S13_PSP_Species_Support!BB24*0.0673*(S13_PSP_Species_Support!BC24*(S13_PSP_Species_Support!BD24*(1-EXP(-S13_PSP_Species_Support!BE24*5))^S13_PSP_Species_Support!BF24)^2*(S13_PSP_Species_Support!BG24*(1-EXP(-S13_PSP_Species_Support!BH24*5))^S13_PSP_Species_Support!BI24))^0.976,0)+IFERROR(S13_PSP_Species_Support!BM24*0.0673*(S13_PSP_Species_Support!BN24*(S13_PSP_Species_Support!BO24*(1-EXP(-S13_PSP_Species_Support!BP24*5))^S13_PSP_Species_Support!BQ24)^2*(S13_PSP_Species_Support!BR24*(1-EXP(-S13_PSP_Species_Support!BS24*5))^S13_PSP_Species_Support!BT24))^0.976,0)+IFERROR(S13_PSP_Species_Support!BX24*0.0673*(S13_PSP_Species_Support!BY24*(S13_PSP_Species_Support!BZ24*(1-EXP(-S13_PSP_Species_Support!CA24*5))^S13_PSP_Species_Support!CB24)^2*(S13_PSP_Species_Support!CC24*(1-EXP(-S13_PSP_Species_Support!CD24*5))^S13_PSP_Species_Support!CE24))^0.976,0)+IFERROR(S13_PSP_Species_Support!CI24*0.0673*(S13_PSP_Species_Support!CJ24*(S13_PSP_Species_Support!CK24*(1-EXP(-S13_PSP_Species_Support!CL24*5))^S13_PSP_Species_Support!CM24)^2*(S13_PSP_Species_Support!CN24*(1-EXP(-S13_PSP_Species_Support!CO24*5))^S13_PSP_Species_Support!CP24))^0.976,0)+IFERROR(S13_PSP_Species_Support!CT24*0.0673*(S13_PSP_Species_Support!CU24*(S13_PSP_Species_Support!CV24*(1-EXP(-S13_PSP_Species_Support!CW24*5))^S13_PSP_Species_Support!CX24)^2*(S13_PSP_Species_Support!CY24*(1-EXP(-S13_PSP_Species_Support!CZ24*5))^S13_PSP_Species_Support!DA24))^0.976,0))/1000/$G37*N$108,0)</x:f>
        <x:v>9.655773987792877</x:v>
      </x:c>
      <x:c r="O37" s="147" t="n">
        <x:f aca="0">IFERROR((IFERROR(S13_PSP_Species_Support!U24*0.0673*(S13_PSP_Species_Support!V24*(S13_PSP_Species_Support!W24*(1-EXP(-S13_PSP_Species_Support!X24*6))^S13_PSP_Species_Support!Y24)^2*(S13_PSP_Species_Support!Z24*(1-EXP(-S13_PSP_Species_Support!AA24*6))^S13_PSP_Species_Support!AB24))^0.976,0)+IFERROR(S13_PSP_Species_Support!AF24*0.0673*(S13_PSP_Species_Support!AG24*(S13_PSP_Species_Support!AH24*(1-EXP(-S13_PSP_Species_Support!AI24*6))^S13_PSP_Species_Support!AJ24)^2*(S13_PSP_Species_Support!AK24*(1-EXP(-S13_PSP_Species_Support!AL24*6))^S13_PSP_Species_Support!AM24))^0.976,0)+IFERROR(S13_PSP_Species_Support!AQ24*0.0673*(S13_PSP_Species_Support!AR24*(S13_PSP_Species_Support!AS24*(1-EXP(-S13_PSP_Species_Support!AT24*6))^S13_PSP_Species_Support!AU24)^2*(S13_PSP_Species_Support!AV24*(1-EXP(-S13_PSP_Species_Support!AW24*6))^S13_PSP_Species_Support!AX24))^0.976,0)+IFERROR(S13_PSP_Species_Support!BB24*0.0673*(S13_PSP_Species_Support!BC24*(S13_PSP_Species_Support!BD24*(1-EXP(-S13_PSP_Species_Support!BE24*6))^S13_PSP_Species_Support!BF24)^2*(S13_PSP_Species_Support!BG24*(1-EXP(-S13_PSP_Species_Support!BH24*6))^S13_PSP_Species_Support!BI24))^0.976,0)+IFERROR(S13_PSP_Species_Support!BM24*0.0673*(S13_PSP_Species_Support!BN24*(S13_PSP_Species_Support!BO24*(1-EXP(-S13_PSP_Species_Support!BP24*6))^S13_PSP_Species_Support!BQ24)^2*(S13_PSP_Species_Support!BR24*(1-EXP(-S13_PSP_Species_Support!BS24*6))^S13_PSP_Species_Support!BT24))^0.976,0)+IFERROR(S13_PSP_Species_Support!BX24*0.0673*(S13_PSP_Species_Support!BY24*(S13_PSP_Species_Support!BZ24*(1-EXP(-S13_PSP_Species_Support!CA24*6))^S13_PSP_Species_Support!CB24)^2*(S13_PSP_Species_Support!CC24*(1-EXP(-S13_PSP_Species_Support!CD24*6))^S13_PSP_Species_Support!CE24))^0.976,0)+IFERROR(S13_PSP_Species_Support!CI24*0.0673*(S13_PSP_Species_Support!CJ24*(S13_PSP_Species_Support!CK24*(1-EXP(-S13_PSP_Species_Support!CL24*6))^S13_PSP_Species_Support!CM24)^2*(S13_PSP_Species_Support!CN24*(1-EXP(-S13_PSP_Species_Support!CO24*6))^S13_PSP_Species_Support!CP24))^0.976,0)+IFERROR(S13_PSP_Species_Support!CT24*0.0673*(S13_PSP_Species_Support!CU24*(S13_PSP_Species_Support!CV24*(1-EXP(-S13_PSP_Species_Support!CW24*6))^S13_PSP_Species_Support!CX24)^2*(S13_PSP_Species_Support!CY24*(1-EXP(-S13_PSP_Species_Support!CZ24*6))^S13_PSP_Species_Support!DA24))^0.976,0))/1000/$G37*O$108,0)</x:f>
        <x:v>15.357312881265186</x:v>
      </x:c>
      <x:c r="P37" s="147" t="n">
        <x:f aca="0">IFERROR((IFERROR(S13_PSP_Species_Support!U24*0.0673*(S13_PSP_Species_Support!V24*(S13_PSP_Species_Support!W24*(1-EXP(-S13_PSP_Species_Support!X24*7))^S13_PSP_Species_Support!Y24)^2*(S13_PSP_Species_Support!Z24*(1-EXP(-S13_PSP_Species_Support!AA24*7))^S13_PSP_Species_Support!AB24))^0.976,0)+IFERROR(S13_PSP_Species_Support!AF24*0.0673*(S13_PSP_Species_Support!AG24*(S13_PSP_Species_Support!AH24*(1-EXP(-S13_PSP_Species_Support!AI24*7))^S13_PSP_Species_Support!AJ24)^2*(S13_PSP_Species_Support!AK24*(1-EXP(-S13_PSP_Species_Support!AL24*7))^S13_PSP_Species_Support!AM24))^0.976,0)+IFERROR(S13_PSP_Species_Support!AQ24*0.0673*(S13_PSP_Species_Support!AR24*(S13_PSP_Species_Support!AS24*(1-EXP(-S13_PSP_Species_Support!AT24*7))^S13_PSP_Species_Support!AU24)^2*(S13_PSP_Species_Support!AV24*(1-EXP(-S13_PSP_Species_Support!AW24*7))^S13_PSP_Species_Support!AX24))^0.976,0)+IFERROR(S13_PSP_Species_Support!BB24*0.0673*(S13_PSP_Species_Support!BC24*(S13_PSP_Species_Support!BD24*(1-EXP(-S13_PSP_Species_Support!BE24*7))^S13_PSP_Species_Support!BF24)^2*(S13_PSP_Species_Support!BG24*(1-EXP(-S13_PSP_Species_Support!BH24*7))^S13_PSP_Species_Support!BI24))^0.976,0)+IFERROR(S13_PSP_Species_Support!BM24*0.0673*(S13_PSP_Species_Support!BN24*(S13_PSP_Species_Support!BO24*(1-EXP(-S13_PSP_Species_Support!BP24*7))^S13_PSP_Species_Support!BQ24)^2*(S13_PSP_Species_Support!BR24*(1-EXP(-S13_PSP_Species_Support!BS24*7))^S13_PSP_Species_Support!BT24))^0.976,0)+IFERROR(S13_PSP_Species_Support!BX24*0.0673*(S13_PSP_Species_Support!BY24*(S13_PSP_Species_Support!BZ24*(1-EXP(-S13_PSP_Species_Support!CA24*7))^S13_PSP_Species_Support!CB24)^2*(S13_PSP_Species_Support!CC24*(1-EXP(-S13_PSP_Species_Support!CD24*7))^S13_PSP_Species_Support!CE24))^0.976,0)+IFERROR(S13_PSP_Species_Support!CI24*0.0673*(S13_PSP_Species_Support!CJ24*(S13_PSP_Species_Support!CK24*(1-EXP(-S13_PSP_Species_Support!CL24*7))^S13_PSP_Species_Support!CM24)^2*(S13_PSP_Species_Support!CN24*(1-EXP(-S13_PSP_Species_Support!CO24*7))^S13_PSP_Species_Support!CP24))^0.976,0)+IFERROR(S13_PSP_Species_Support!CT24*0.0673*(S13_PSP_Species_Support!CU24*(S13_PSP_Species_Support!CV24*(1-EXP(-S13_PSP_Species_Support!CW24*7))^S13_PSP_Species_Support!CX24)^2*(S13_PSP_Species_Support!CY24*(1-EXP(-S13_PSP_Species_Support!CZ24*7))^S13_PSP_Species_Support!DA24))^0.976,0))/1000/$G37*P$108,0)</x:f>
        <x:v>21.99739151140395</x:v>
      </x:c>
      <x:c r="Q37" s="147" t="n">
        <x:f aca="0">IFERROR((IFERROR(S13_PSP_Species_Support!U24*0.0673*(S13_PSP_Species_Support!V24*(S13_PSP_Species_Support!W24*(1-EXP(-S13_PSP_Species_Support!X24*8))^S13_PSP_Species_Support!Y24)^2*(S13_PSP_Species_Support!Z24*(1-EXP(-S13_PSP_Species_Support!AA24*8))^S13_PSP_Species_Support!AB24))^0.976,0)+IFERROR(S13_PSP_Species_Support!AF24*0.0673*(S13_PSP_Species_Support!AG24*(S13_PSP_Species_Support!AH24*(1-EXP(-S13_PSP_Species_Support!AI24*8))^S13_PSP_Species_Support!AJ24)^2*(S13_PSP_Species_Support!AK24*(1-EXP(-S13_PSP_Species_Support!AL24*8))^S13_PSP_Species_Support!AM24))^0.976,0)+IFERROR(S13_PSP_Species_Support!AQ24*0.0673*(S13_PSP_Species_Support!AR24*(S13_PSP_Species_Support!AS24*(1-EXP(-S13_PSP_Species_Support!AT24*8))^S13_PSP_Species_Support!AU24)^2*(S13_PSP_Species_Support!AV24*(1-EXP(-S13_PSP_Species_Support!AW24*8))^S13_PSP_Species_Support!AX24))^0.976,0)+IFERROR(S13_PSP_Species_Support!BB24*0.0673*(S13_PSP_Species_Support!BC24*(S13_PSP_Species_Support!BD24*(1-EXP(-S13_PSP_Species_Support!BE24*8))^S13_PSP_Species_Support!BF24)^2*(S13_PSP_Species_Support!BG24*(1-EXP(-S13_PSP_Species_Support!BH24*8))^S13_PSP_Species_Support!BI24))^0.976,0)+IFERROR(S13_PSP_Species_Support!BM24*0.0673*(S13_PSP_Species_Support!BN24*(S13_PSP_Species_Support!BO24*(1-EXP(-S13_PSP_Species_Support!BP24*8))^S13_PSP_Species_Support!BQ24)^2*(S13_PSP_Species_Support!BR24*(1-EXP(-S13_PSP_Species_Support!BS24*8))^S13_PSP_Species_Support!BT24))^0.976,0)+IFERROR(S13_PSP_Species_Support!BX24*0.0673*(S13_PSP_Species_Support!BY24*(S13_PSP_Species_Support!BZ24*(1-EXP(-S13_PSP_Species_Support!CA24*8))^S13_PSP_Species_Support!CB24)^2*(S13_PSP_Species_Support!CC24*(1-EXP(-S13_PSP_Species_Support!CD24*8))^S13_PSP_Species_Support!CE24))^0.976,0)+IFERROR(S13_PSP_Species_Support!CI24*0.0673*(S13_PSP_Species_Support!CJ24*(S13_PSP_Species_Support!CK24*(1-EXP(-S13_PSP_Species_Support!CL24*8))^S13_PSP_Species_Support!CM24)^2*(S13_PSP_Species_Support!CN24*(1-EXP(-S13_PSP_Species_Support!CO24*8))^S13_PSP_Species_Support!CP24))^0.976,0)+IFERROR(S13_PSP_Species_Support!CT24*0.0673*(S13_PSP_Species_Support!CU24*(S13_PSP_Species_Support!CV24*(1-EXP(-S13_PSP_Species_Support!CW24*8))^S13_PSP_Species_Support!CX24)^2*(S13_PSP_Species_Support!CY24*(1-EXP(-S13_PSP_Species_Support!CZ24*8))^S13_PSP_Species_Support!DA24))^0.976,0))/1000/$G37*Q$108,0)</x:f>
        <x:v>29.242067148111843</x:v>
      </x:c>
      <x:c r="R37" s="147" t="n">
        <x:f aca="0">IFERROR((IFERROR(S13_PSP_Species_Support!U24*0.0673*(S13_PSP_Species_Support!V24*(S13_PSP_Species_Support!W24*(1-EXP(-S13_PSP_Species_Support!X24*9))^S13_PSP_Species_Support!Y24)^2*(S13_PSP_Species_Support!Z24*(1-EXP(-S13_PSP_Species_Support!AA24*9))^S13_PSP_Species_Support!AB24))^0.976,0)+IFERROR(S13_PSP_Species_Support!AF24*0.0673*(S13_PSP_Species_Support!AG24*(S13_PSP_Species_Support!AH24*(1-EXP(-S13_PSP_Species_Support!AI24*9))^S13_PSP_Species_Support!AJ24)^2*(S13_PSP_Species_Support!AK24*(1-EXP(-S13_PSP_Species_Support!AL24*9))^S13_PSP_Species_Support!AM24))^0.976,0)+IFERROR(S13_PSP_Species_Support!AQ24*0.0673*(S13_PSP_Species_Support!AR24*(S13_PSP_Species_Support!AS24*(1-EXP(-S13_PSP_Species_Support!AT24*9))^S13_PSP_Species_Support!AU24)^2*(S13_PSP_Species_Support!AV24*(1-EXP(-S13_PSP_Species_Support!AW24*9))^S13_PSP_Species_Support!AX24))^0.976,0)+IFERROR(S13_PSP_Species_Support!BB24*0.0673*(S13_PSP_Species_Support!BC24*(S13_PSP_Species_Support!BD24*(1-EXP(-S13_PSP_Species_Support!BE24*9))^S13_PSP_Species_Support!BF24)^2*(S13_PSP_Species_Support!BG24*(1-EXP(-S13_PSP_Species_Support!BH24*9))^S13_PSP_Species_Support!BI24))^0.976,0)+IFERROR(S13_PSP_Species_Support!BM24*0.0673*(S13_PSP_Species_Support!BN24*(S13_PSP_Species_Support!BO24*(1-EXP(-S13_PSP_Species_Support!BP24*9))^S13_PSP_Species_Support!BQ24)^2*(S13_PSP_Species_Support!BR24*(1-EXP(-S13_PSP_Species_Support!BS24*9))^S13_PSP_Species_Support!BT24))^0.976,0)+IFERROR(S13_PSP_Species_Support!BX24*0.0673*(S13_PSP_Species_Support!BY24*(S13_PSP_Species_Support!BZ24*(1-EXP(-S13_PSP_Species_Support!CA24*9))^S13_PSP_Species_Support!CB24)^2*(S13_PSP_Species_Support!CC24*(1-EXP(-S13_PSP_Species_Support!CD24*9))^S13_PSP_Species_Support!CE24))^0.976,0)+IFERROR(S13_PSP_Species_Support!CI24*0.0673*(S13_PSP_Species_Support!CJ24*(S13_PSP_Species_Support!CK24*(1-EXP(-S13_PSP_Species_Support!CL24*9))^S13_PSP_Species_Support!CM24)^2*(S13_PSP_Species_Support!CN24*(1-EXP(-S13_PSP_Species_Support!CO24*9))^S13_PSP_Species_Support!CP24))^0.976,0)+IFERROR(S13_PSP_Species_Support!CT24*0.0673*(S13_PSP_Species_Support!CU24*(S13_PSP_Species_Support!CV24*(1-EXP(-S13_PSP_Species_Support!CW24*9))^S13_PSP_Species_Support!CX24)^2*(S13_PSP_Species_Support!CY24*(1-EXP(-S13_PSP_Species_Support!CZ24*9))^S13_PSP_Species_Support!DA24))^0.976,0))/1000/$G37*R$108,0)</x:f>
        <x:v>36.78022445957838</x:v>
      </x:c>
      <x:c r="S37" s="147" t="n">
        <x:f aca="0">IFERROR((IFERROR(S13_PSP_Species_Support!U24*0.0673*(S13_PSP_Species_Support!V24*(S13_PSP_Species_Support!W24*(1-EXP(-S13_PSP_Species_Support!X24*10))^S13_PSP_Species_Support!Y24)^2*(S13_PSP_Species_Support!Z24*(1-EXP(-S13_PSP_Species_Support!AA24*10))^S13_PSP_Species_Support!AB24))^0.976,0)+IFERROR(S13_PSP_Species_Support!AF24*0.0673*(S13_PSP_Species_Support!AG24*(S13_PSP_Species_Support!AH24*(1-EXP(-S13_PSP_Species_Support!AI24*10))^S13_PSP_Species_Support!AJ24)^2*(S13_PSP_Species_Support!AK24*(1-EXP(-S13_PSP_Species_Support!AL24*10))^S13_PSP_Species_Support!AM24))^0.976,0)+IFERROR(S13_PSP_Species_Support!AQ24*0.0673*(S13_PSP_Species_Support!AR24*(S13_PSP_Species_Support!AS24*(1-EXP(-S13_PSP_Species_Support!AT24*10))^S13_PSP_Species_Support!AU24)^2*(S13_PSP_Species_Support!AV24*(1-EXP(-S13_PSP_Species_Support!AW24*10))^S13_PSP_Species_Support!AX24))^0.976,0)+IFERROR(S13_PSP_Species_Support!BB24*0.0673*(S13_PSP_Species_Support!BC24*(S13_PSP_Species_Support!BD24*(1-EXP(-S13_PSP_Species_Support!BE24*10))^S13_PSP_Species_Support!BF24)^2*(S13_PSP_Species_Support!BG24*(1-EXP(-S13_PSP_Species_Support!BH24*10))^S13_PSP_Species_Support!BI24))^0.976,0)+IFERROR(S13_PSP_Species_Support!BM24*0.0673*(S13_PSP_Species_Support!BN24*(S13_PSP_Species_Support!BO24*(1-EXP(-S13_PSP_Species_Support!BP24*10))^S13_PSP_Species_Support!BQ24)^2*(S13_PSP_Species_Support!BR24*(1-EXP(-S13_PSP_Species_Support!BS24*10))^S13_PSP_Species_Support!BT24))^0.976,0)+IFERROR(S13_PSP_Species_Support!BX24*0.0673*(S13_PSP_Species_Support!BY24*(S13_PSP_Species_Support!BZ24*(1-EXP(-S13_PSP_Species_Support!CA24*10))^S13_PSP_Species_Support!CB24)^2*(S13_PSP_Species_Support!CC24*(1-EXP(-S13_PSP_Species_Support!CD24*10))^S13_PSP_Species_Support!CE24))^0.976,0)+IFERROR(S13_PSP_Species_Support!CI24*0.0673*(S13_PSP_Species_Support!CJ24*(S13_PSP_Species_Support!CK24*(1-EXP(-S13_PSP_Species_Support!CL24*10))^S13_PSP_Species_Support!CM24)^2*(S13_PSP_Species_Support!CN24*(1-EXP(-S13_PSP_Species_Support!CO24*10))^S13_PSP_Species_Support!CP24))^0.976,0)+IFERROR(S13_PSP_Species_Support!CT24*0.0673*(S13_PSP_Species_Support!CU24*(S13_PSP_Species_Support!CV24*(1-EXP(-S13_PSP_Species_Support!CW24*10))^S13_PSP_Species_Support!CX24)^2*(S13_PSP_Species_Support!CY24*(1-EXP(-S13_PSP_Species_Support!CZ24*10))^S13_PSP_Species_Support!DA24))^0.976,0))/1000/$G37*S$108,0)</x:f>
        <x:v>44.349457157605855</x:v>
      </x:c>
      <x:c r="T37" s="147" t="n">
        <x:f aca="0">IFERROR((IFERROR(S13_PSP_Species_Support!U24*0.0673*(S13_PSP_Species_Support!V24*(S13_PSP_Species_Support!W24*(1-EXP(-S13_PSP_Species_Support!X24*11))^S13_PSP_Species_Support!Y24)^2*(S13_PSP_Species_Support!Z24*(1-EXP(-S13_PSP_Species_Support!AA24*11))^S13_PSP_Species_Support!AB24))^0.976,0)+IFERROR(S13_PSP_Species_Support!AF24*0.0673*(S13_PSP_Species_Support!AG24*(S13_PSP_Species_Support!AH24*(1-EXP(-S13_PSP_Species_Support!AI24*11))^S13_PSP_Species_Support!AJ24)^2*(S13_PSP_Species_Support!AK24*(1-EXP(-S13_PSP_Species_Support!AL24*11))^S13_PSP_Species_Support!AM24))^0.976,0)+IFERROR(S13_PSP_Species_Support!AQ24*0.0673*(S13_PSP_Species_Support!AR24*(S13_PSP_Species_Support!AS24*(1-EXP(-S13_PSP_Species_Support!AT24*11))^S13_PSP_Species_Support!AU24)^2*(S13_PSP_Species_Support!AV24*(1-EXP(-S13_PSP_Species_Support!AW24*11))^S13_PSP_Species_Support!AX24))^0.976,0)+IFERROR(S13_PSP_Species_Support!BB24*0.0673*(S13_PSP_Species_Support!BC24*(S13_PSP_Species_Support!BD24*(1-EXP(-S13_PSP_Species_Support!BE24*11))^S13_PSP_Species_Support!BF24)^2*(S13_PSP_Species_Support!BG24*(1-EXP(-S13_PSP_Species_Support!BH24*11))^S13_PSP_Species_Support!BI24))^0.976,0)+IFERROR(S13_PSP_Species_Support!BM24*0.0673*(S13_PSP_Species_Support!BN24*(S13_PSP_Species_Support!BO24*(1-EXP(-S13_PSP_Species_Support!BP24*11))^S13_PSP_Species_Support!BQ24)^2*(S13_PSP_Species_Support!BR24*(1-EXP(-S13_PSP_Species_Support!BS24*11))^S13_PSP_Species_Support!BT24))^0.976,0)+IFERROR(S13_PSP_Species_Support!BX24*0.0673*(S13_PSP_Species_Support!BY24*(S13_PSP_Species_Support!BZ24*(1-EXP(-S13_PSP_Species_Support!CA24*11))^S13_PSP_Species_Support!CB24)^2*(S13_PSP_Species_Support!CC24*(1-EXP(-S13_PSP_Species_Support!CD24*11))^S13_PSP_Species_Support!CE24))^0.976,0)+IFERROR(S13_PSP_Species_Support!CI24*0.0673*(S13_PSP_Species_Support!CJ24*(S13_PSP_Species_Support!CK24*(1-EXP(-S13_PSP_Species_Support!CL24*11))^S13_PSP_Species_Support!CM24)^2*(S13_PSP_Species_Support!CN24*(1-EXP(-S13_PSP_Species_Support!CO24*11))^S13_PSP_Species_Support!CP24))^0.976,0)+IFERROR(S13_PSP_Species_Support!CT24*0.0673*(S13_PSP_Species_Support!CU24*(S13_PSP_Species_Support!CV24*(1-EXP(-S13_PSP_Species_Support!CW24*11))^S13_PSP_Species_Support!CX24)^2*(S13_PSP_Species_Support!CY24*(1-EXP(-S13_PSP_Species_Support!CZ24*11))^S13_PSP_Species_Support!DA24))^0.976,0))/1000/$G37*T$108,0)</x:f>
        <x:v>51.7447780297704</x:v>
      </x:c>
      <x:c r="U37" s="147" t="n">
        <x:f aca="0">IFERROR((IFERROR(S13_PSP_Species_Support!U24*0.0673*(S13_PSP_Species_Support!V24*(S13_PSP_Species_Support!W24*(1-EXP(-S13_PSP_Species_Support!X24*12))^S13_PSP_Species_Support!Y24)^2*(S13_PSP_Species_Support!Z24*(1-EXP(-S13_PSP_Species_Support!AA24*12))^S13_PSP_Species_Support!AB24))^0.976,0)+IFERROR(S13_PSP_Species_Support!AF24*0.0673*(S13_PSP_Species_Support!AG24*(S13_PSP_Species_Support!AH24*(1-EXP(-S13_PSP_Species_Support!AI24*12))^S13_PSP_Species_Support!AJ24)^2*(S13_PSP_Species_Support!AK24*(1-EXP(-S13_PSP_Species_Support!AL24*12))^S13_PSP_Species_Support!AM24))^0.976,0)+IFERROR(S13_PSP_Species_Support!AQ24*0.0673*(S13_PSP_Species_Support!AR24*(S13_PSP_Species_Support!AS24*(1-EXP(-S13_PSP_Species_Support!AT24*12))^S13_PSP_Species_Support!AU24)^2*(S13_PSP_Species_Support!AV24*(1-EXP(-S13_PSP_Species_Support!AW24*12))^S13_PSP_Species_Support!AX24))^0.976,0)+IFERROR(S13_PSP_Species_Support!BB24*0.0673*(S13_PSP_Species_Support!BC24*(S13_PSP_Species_Support!BD24*(1-EXP(-S13_PSP_Species_Support!BE24*12))^S13_PSP_Species_Support!BF24)^2*(S13_PSP_Species_Support!BG24*(1-EXP(-S13_PSP_Species_Support!BH24*12))^S13_PSP_Species_Support!BI24))^0.976,0)+IFERROR(S13_PSP_Species_Support!BM24*0.0673*(S13_PSP_Species_Support!BN24*(S13_PSP_Species_Support!BO24*(1-EXP(-S13_PSP_Species_Support!BP24*12))^S13_PSP_Species_Support!BQ24)^2*(S13_PSP_Species_Support!BR24*(1-EXP(-S13_PSP_Species_Support!BS24*12))^S13_PSP_Species_Support!BT24))^0.976,0)+IFERROR(S13_PSP_Species_Support!BX24*0.0673*(S13_PSP_Species_Support!BY24*(S13_PSP_Species_Support!BZ24*(1-EXP(-S13_PSP_Species_Support!CA24*12))^S13_PSP_Species_Support!CB24)^2*(S13_PSP_Species_Support!CC24*(1-EXP(-S13_PSP_Species_Support!CD24*12))^S13_PSP_Species_Support!CE24))^0.976,0)+IFERROR(S13_PSP_Species_Support!CI24*0.0673*(S13_PSP_Species_Support!CJ24*(S13_PSP_Species_Support!CK24*(1-EXP(-S13_PSP_Species_Support!CL24*12))^S13_PSP_Species_Support!CM24)^2*(S13_PSP_Species_Support!CN24*(1-EXP(-S13_PSP_Species_Support!CO24*12))^S13_PSP_Species_Support!CP24))^0.976,0)+IFERROR(S13_PSP_Species_Support!CT24*0.0673*(S13_PSP_Species_Support!CU24*(S13_PSP_Species_Support!CV24*(1-EXP(-S13_PSP_Species_Support!CW24*12))^S13_PSP_Species_Support!CX24)^2*(S13_PSP_Species_Support!CY24*(1-EXP(-S13_PSP_Species_Support!CZ24*12))^S13_PSP_Species_Support!DA24))^0.976,0))/1000/$G37*U$108,0)</x:f>
        <x:v>58.81711457372421</x:v>
      </x:c>
      <x:c r="V37" s="147" t="n">
        <x:f aca="0">IFERROR((IFERROR(S13_PSP_Species_Support!U24*0.0673*(S13_PSP_Species_Support!V24*(S13_PSP_Species_Support!W24*(1-EXP(-S13_PSP_Species_Support!X24*13))^S13_PSP_Species_Support!Y24)^2*(S13_PSP_Species_Support!Z24*(1-EXP(-S13_PSP_Species_Support!AA24*13))^S13_PSP_Species_Support!AB24))^0.976,0)+IFERROR(S13_PSP_Species_Support!AF24*0.0673*(S13_PSP_Species_Support!AG24*(S13_PSP_Species_Support!AH24*(1-EXP(-S13_PSP_Species_Support!AI24*13))^S13_PSP_Species_Support!AJ24)^2*(S13_PSP_Species_Support!AK24*(1-EXP(-S13_PSP_Species_Support!AL24*13))^S13_PSP_Species_Support!AM24))^0.976,0)+IFERROR(S13_PSP_Species_Support!AQ24*0.0673*(S13_PSP_Species_Support!AR24*(S13_PSP_Species_Support!AS24*(1-EXP(-S13_PSP_Species_Support!AT24*13))^S13_PSP_Species_Support!AU24)^2*(S13_PSP_Species_Support!AV24*(1-EXP(-S13_PSP_Species_Support!AW24*13))^S13_PSP_Species_Support!AX24))^0.976,0)+IFERROR(S13_PSP_Species_Support!BB24*0.0673*(S13_PSP_Species_Support!BC24*(S13_PSP_Species_Support!BD24*(1-EXP(-S13_PSP_Species_Support!BE24*13))^S13_PSP_Species_Support!BF24)^2*(S13_PSP_Species_Support!BG24*(1-EXP(-S13_PSP_Species_Support!BH24*13))^S13_PSP_Species_Support!BI24))^0.976,0)+IFERROR(S13_PSP_Species_Support!BM24*0.0673*(S13_PSP_Species_Support!BN24*(S13_PSP_Species_Support!BO24*(1-EXP(-S13_PSP_Species_Support!BP24*13))^S13_PSP_Species_Support!BQ24)^2*(S13_PSP_Species_Support!BR24*(1-EXP(-S13_PSP_Species_Support!BS24*13))^S13_PSP_Species_Support!BT24))^0.976,0)+IFERROR(S13_PSP_Species_Support!BX24*0.0673*(S13_PSP_Species_Support!BY24*(S13_PSP_Species_Support!BZ24*(1-EXP(-S13_PSP_Species_Support!CA24*13))^S13_PSP_Species_Support!CB24)^2*(S13_PSP_Species_Support!CC24*(1-EXP(-S13_PSP_Species_Support!CD24*13))^S13_PSP_Species_Support!CE24))^0.976,0)+IFERROR(S13_PSP_Species_Support!CI24*0.0673*(S13_PSP_Species_Support!CJ24*(S13_PSP_Species_Support!CK24*(1-EXP(-S13_PSP_Species_Support!CL24*13))^S13_PSP_Species_Support!CM24)^2*(S13_PSP_Species_Support!CN24*(1-EXP(-S13_PSP_Species_Support!CO24*13))^S13_PSP_Species_Support!CP24))^0.976,0)+IFERROR(S13_PSP_Species_Support!CT24*0.0673*(S13_PSP_Species_Support!CU24*(S13_PSP_Species_Support!CV24*(1-EXP(-S13_PSP_Species_Support!CW24*13))^S13_PSP_Species_Support!CX24)^2*(S13_PSP_Species_Support!CY24*(1-EXP(-S13_PSP_Species_Support!CZ24*13))^S13_PSP_Species_Support!DA24))^0.976,0))/1000/$G37*V$108,0)</x:f>
        <x:v>65.46658118576565</x:v>
      </x:c>
      <x:c r="W37" s="147" t="n">
        <x:f aca="0">IFERROR((IFERROR(S13_PSP_Species_Support!U24*0.0673*(S13_PSP_Species_Support!V24*(S13_PSP_Species_Support!W24*(1-EXP(-S13_PSP_Species_Support!X24*14))^S13_PSP_Species_Support!Y24)^2*(S13_PSP_Species_Support!Z24*(1-EXP(-S13_PSP_Species_Support!AA24*14))^S13_PSP_Species_Support!AB24))^0.976,0)+IFERROR(S13_PSP_Species_Support!AF24*0.0673*(S13_PSP_Species_Support!AG24*(S13_PSP_Species_Support!AH24*(1-EXP(-S13_PSP_Species_Support!AI24*14))^S13_PSP_Species_Support!AJ24)^2*(S13_PSP_Species_Support!AK24*(1-EXP(-S13_PSP_Species_Support!AL24*14))^S13_PSP_Species_Support!AM24))^0.976,0)+IFERROR(S13_PSP_Species_Support!AQ24*0.0673*(S13_PSP_Species_Support!AR24*(S13_PSP_Species_Support!AS24*(1-EXP(-S13_PSP_Species_Support!AT24*14))^S13_PSP_Species_Support!AU24)^2*(S13_PSP_Species_Support!AV24*(1-EXP(-S13_PSP_Species_Support!AW24*14))^S13_PSP_Species_Support!AX24))^0.976,0)+IFERROR(S13_PSP_Species_Support!BB24*0.0673*(S13_PSP_Species_Support!BC24*(S13_PSP_Species_Support!BD24*(1-EXP(-S13_PSP_Species_Support!BE24*14))^S13_PSP_Species_Support!BF24)^2*(S13_PSP_Species_Support!BG24*(1-EXP(-S13_PSP_Species_Support!BH24*14))^S13_PSP_Species_Support!BI24))^0.976,0)+IFERROR(S13_PSP_Species_Support!BM24*0.0673*(S13_PSP_Species_Support!BN24*(S13_PSP_Species_Support!BO24*(1-EXP(-S13_PSP_Species_Support!BP24*14))^S13_PSP_Species_Support!BQ24)^2*(S13_PSP_Species_Support!BR24*(1-EXP(-S13_PSP_Species_Support!BS24*14))^S13_PSP_Species_Support!BT24))^0.976,0)+IFERROR(S13_PSP_Species_Support!BX24*0.0673*(S13_PSP_Species_Support!BY24*(S13_PSP_Species_Support!BZ24*(1-EXP(-S13_PSP_Species_Support!CA24*14))^S13_PSP_Species_Support!CB24)^2*(S13_PSP_Species_Support!CC24*(1-EXP(-S13_PSP_Species_Support!CD24*14))^S13_PSP_Species_Support!CE24))^0.976,0)+IFERROR(S13_PSP_Species_Support!CI24*0.0673*(S13_PSP_Species_Support!CJ24*(S13_PSP_Species_Support!CK24*(1-EXP(-S13_PSP_Species_Support!CL24*14))^S13_PSP_Species_Support!CM24)^2*(S13_PSP_Species_Support!CN24*(1-EXP(-S13_PSP_Species_Support!CO24*14))^S13_PSP_Species_Support!CP24))^0.976,0)+IFERROR(S13_PSP_Species_Support!CT24*0.0673*(S13_PSP_Species_Support!CU24*(S13_PSP_Species_Support!CV24*(1-EXP(-S13_PSP_Species_Support!CW24*14))^S13_PSP_Species_Support!CX24)^2*(S13_PSP_Species_Support!CY24*(1-EXP(-S13_PSP_Species_Support!CZ24*14))^S13_PSP_Species_Support!DA24))^0.976,0))/1000/$G37*W$108,0)</x:f>
        <x:v>71.63373903501359</x:v>
      </x:c>
      <x:c r="X37" s="147" t="n">
        <x:f aca="0">IFERROR((IFERROR(S13_PSP_Species_Support!U24*0.0673*(S13_PSP_Species_Support!V24*(S13_PSP_Species_Support!W24*(1-EXP(-S13_PSP_Species_Support!X24*15))^S13_PSP_Species_Support!Y24)^2*(S13_PSP_Species_Support!Z24*(1-EXP(-S13_PSP_Species_Support!AA24*15))^S13_PSP_Species_Support!AB24))^0.976,0)+IFERROR(S13_PSP_Species_Support!AF24*0.0673*(S13_PSP_Species_Support!AG24*(S13_PSP_Species_Support!AH24*(1-EXP(-S13_PSP_Species_Support!AI24*15))^S13_PSP_Species_Support!AJ24)^2*(S13_PSP_Species_Support!AK24*(1-EXP(-S13_PSP_Species_Support!AL24*15))^S13_PSP_Species_Support!AM24))^0.976,0)+IFERROR(S13_PSP_Species_Support!AQ24*0.0673*(S13_PSP_Species_Support!AR24*(S13_PSP_Species_Support!AS24*(1-EXP(-S13_PSP_Species_Support!AT24*15))^S13_PSP_Species_Support!AU24)^2*(S13_PSP_Species_Support!AV24*(1-EXP(-S13_PSP_Species_Support!AW24*15))^S13_PSP_Species_Support!AX24))^0.976,0)+IFERROR(S13_PSP_Species_Support!BB24*0.0673*(S13_PSP_Species_Support!BC24*(S13_PSP_Species_Support!BD24*(1-EXP(-S13_PSP_Species_Support!BE24*15))^S13_PSP_Species_Support!BF24)^2*(S13_PSP_Species_Support!BG24*(1-EXP(-S13_PSP_Species_Support!BH24*15))^S13_PSP_Species_Support!BI24))^0.976,0)+IFERROR(S13_PSP_Species_Support!BM24*0.0673*(S13_PSP_Species_Support!BN24*(S13_PSP_Species_Support!BO24*(1-EXP(-S13_PSP_Species_Support!BP24*15))^S13_PSP_Species_Support!BQ24)^2*(S13_PSP_Species_Support!BR24*(1-EXP(-S13_PSP_Species_Support!BS24*15))^S13_PSP_Species_Support!BT24))^0.976,0)+IFERROR(S13_PSP_Species_Support!BX24*0.0673*(S13_PSP_Species_Support!BY24*(S13_PSP_Species_Support!BZ24*(1-EXP(-S13_PSP_Species_Support!CA24*15))^S13_PSP_Species_Support!CB24)^2*(S13_PSP_Species_Support!CC24*(1-EXP(-S13_PSP_Species_Support!CD24*15))^S13_PSP_Species_Support!CE24))^0.976,0)+IFERROR(S13_PSP_Species_Support!CI24*0.0673*(S13_PSP_Species_Support!CJ24*(S13_PSP_Species_Support!CK24*(1-EXP(-S13_PSP_Species_Support!CL24*15))^S13_PSP_Species_Support!CM24)^2*(S13_PSP_Species_Support!CN24*(1-EXP(-S13_PSP_Species_Support!CO24*15))^S13_PSP_Species_Support!CP24))^0.976,0)+IFERROR(S13_PSP_Species_Support!CT24*0.0673*(S13_PSP_Species_Support!CU24*(S13_PSP_Species_Support!CV24*(1-EXP(-S13_PSP_Species_Support!CW24*15))^S13_PSP_Species_Support!CX24)^2*(S13_PSP_Species_Support!CY24*(1-EXP(-S13_PSP_Species_Support!CZ24*15))^S13_PSP_Species_Support!DA24))^0.976,0))/1000/$G37*X$108,0)</x:f>
        <x:v>77.29071893023963</x:v>
      </x:c>
      <x:c r="Y37" s="147" t="n">
        <x:f aca="0">IFERROR((IFERROR(S13_PSP_Species_Support!U24*0.0673*(S13_PSP_Species_Support!V24*(S13_PSP_Species_Support!W24*(1-EXP(-S13_PSP_Species_Support!X24*16))^S13_PSP_Species_Support!Y24)^2*(S13_PSP_Species_Support!Z24*(1-EXP(-S13_PSP_Species_Support!AA24*16))^S13_PSP_Species_Support!AB24))^0.976,0)+IFERROR(S13_PSP_Species_Support!AF24*0.0673*(S13_PSP_Species_Support!AG24*(S13_PSP_Species_Support!AH24*(1-EXP(-S13_PSP_Species_Support!AI24*16))^S13_PSP_Species_Support!AJ24)^2*(S13_PSP_Species_Support!AK24*(1-EXP(-S13_PSP_Species_Support!AL24*16))^S13_PSP_Species_Support!AM24))^0.976,0)+IFERROR(S13_PSP_Species_Support!AQ24*0.0673*(S13_PSP_Species_Support!AR24*(S13_PSP_Species_Support!AS24*(1-EXP(-S13_PSP_Species_Support!AT24*16))^S13_PSP_Species_Support!AU24)^2*(S13_PSP_Species_Support!AV24*(1-EXP(-S13_PSP_Species_Support!AW24*16))^S13_PSP_Species_Support!AX24))^0.976,0)+IFERROR(S13_PSP_Species_Support!BB24*0.0673*(S13_PSP_Species_Support!BC24*(S13_PSP_Species_Support!BD24*(1-EXP(-S13_PSP_Species_Support!BE24*16))^S13_PSP_Species_Support!BF24)^2*(S13_PSP_Species_Support!BG24*(1-EXP(-S13_PSP_Species_Support!BH24*16))^S13_PSP_Species_Support!BI24))^0.976,0)+IFERROR(S13_PSP_Species_Support!BM24*0.0673*(S13_PSP_Species_Support!BN24*(S13_PSP_Species_Support!BO24*(1-EXP(-S13_PSP_Species_Support!BP24*16))^S13_PSP_Species_Support!BQ24)^2*(S13_PSP_Species_Support!BR24*(1-EXP(-S13_PSP_Species_Support!BS24*16))^S13_PSP_Species_Support!BT24))^0.976,0)+IFERROR(S13_PSP_Species_Support!BX24*0.0673*(S13_PSP_Species_Support!BY24*(S13_PSP_Species_Support!BZ24*(1-EXP(-S13_PSP_Species_Support!CA24*16))^S13_PSP_Species_Support!CB24)^2*(S13_PSP_Species_Support!CC24*(1-EXP(-S13_PSP_Species_Support!CD24*16))^S13_PSP_Species_Support!CE24))^0.976,0)+IFERROR(S13_PSP_Species_Support!CI24*0.0673*(S13_PSP_Species_Support!CJ24*(S13_PSP_Species_Support!CK24*(1-EXP(-S13_PSP_Species_Support!CL24*16))^S13_PSP_Species_Support!CM24)^2*(S13_PSP_Species_Support!CN24*(1-EXP(-S13_PSP_Species_Support!CO24*16))^S13_PSP_Species_Support!CP24))^0.976,0)+IFERROR(S13_PSP_Species_Support!CT24*0.0673*(S13_PSP_Species_Support!CU24*(S13_PSP_Species_Support!CV24*(1-EXP(-S13_PSP_Species_Support!CW24*16))^S13_PSP_Species_Support!CX24)^2*(S13_PSP_Species_Support!CY24*(1-EXP(-S13_PSP_Species_Support!CZ24*16))^S13_PSP_Species_Support!DA24))^0.976,0))/1000/$G37*Y$108,0)</x:f>
        <x:v>82.4331788955327</x:v>
      </x:c>
      <x:c r="Z37" s="147" t="n">
        <x:f aca="0">IFERROR((IFERROR(S13_PSP_Species_Support!U24*0.0673*(S13_PSP_Species_Support!V24*(S13_PSP_Species_Support!W24*(1-EXP(-S13_PSP_Species_Support!X24*17))^S13_PSP_Species_Support!Y24)^2*(S13_PSP_Species_Support!Z24*(1-EXP(-S13_PSP_Species_Support!AA24*17))^S13_PSP_Species_Support!AB24))^0.976,0)+IFERROR(S13_PSP_Species_Support!AF24*0.0673*(S13_PSP_Species_Support!AG24*(S13_PSP_Species_Support!AH24*(1-EXP(-S13_PSP_Species_Support!AI24*17))^S13_PSP_Species_Support!AJ24)^2*(S13_PSP_Species_Support!AK24*(1-EXP(-S13_PSP_Species_Support!AL24*17))^S13_PSP_Species_Support!AM24))^0.976,0)+IFERROR(S13_PSP_Species_Support!AQ24*0.0673*(S13_PSP_Species_Support!AR24*(S13_PSP_Species_Support!AS24*(1-EXP(-S13_PSP_Species_Support!AT24*17))^S13_PSP_Species_Support!AU24)^2*(S13_PSP_Species_Support!AV24*(1-EXP(-S13_PSP_Species_Support!AW24*17))^S13_PSP_Species_Support!AX24))^0.976,0)+IFERROR(S13_PSP_Species_Support!BB24*0.0673*(S13_PSP_Species_Support!BC24*(S13_PSP_Species_Support!BD24*(1-EXP(-S13_PSP_Species_Support!BE24*17))^S13_PSP_Species_Support!BF24)^2*(S13_PSP_Species_Support!BG24*(1-EXP(-S13_PSP_Species_Support!BH24*17))^S13_PSP_Species_Support!BI24))^0.976,0)+IFERROR(S13_PSP_Species_Support!BM24*0.0673*(S13_PSP_Species_Support!BN24*(S13_PSP_Species_Support!BO24*(1-EXP(-S13_PSP_Species_Support!BP24*17))^S13_PSP_Species_Support!BQ24)^2*(S13_PSP_Species_Support!BR24*(1-EXP(-S13_PSP_Species_Support!BS24*17))^S13_PSP_Species_Support!BT24))^0.976,0)+IFERROR(S13_PSP_Species_Support!BX24*0.0673*(S13_PSP_Species_Support!BY24*(S13_PSP_Species_Support!BZ24*(1-EXP(-S13_PSP_Species_Support!CA24*17))^S13_PSP_Species_Support!CB24)^2*(S13_PSP_Species_Support!CC24*(1-EXP(-S13_PSP_Species_Support!CD24*17))^S13_PSP_Species_Support!CE24))^0.976,0)+IFERROR(S13_PSP_Species_Support!CI24*0.0673*(S13_PSP_Species_Support!CJ24*(S13_PSP_Species_Support!CK24*(1-EXP(-S13_PSP_Species_Support!CL24*17))^S13_PSP_Species_Support!CM24)^2*(S13_PSP_Species_Support!CN24*(1-EXP(-S13_PSP_Species_Support!CO24*17))^S13_PSP_Species_Support!CP24))^0.976,0)+IFERROR(S13_PSP_Species_Support!CT24*0.0673*(S13_PSP_Species_Support!CU24*(S13_PSP_Species_Support!CV24*(1-EXP(-S13_PSP_Species_Support!CW24*17))^S13_PSP_Species_Support!CX24)^2*(S13_PSP_Species_Support!CY24*(1-EXP(-S13_PSP_Species_Support!CZ24*17))^S13_PSP_Species_Support!DA24))^0.976,0))/1000/$G37*Z$108,0)</x:f>
        <x:v>87.07350311436068</x:v>
      </x:c>
      <x:c r="AA37" s="147" t="n">
        <x:f aca="0">IFERROR((IFERROR(S13_PSP_Species_Support!U24*0.0673*(S13_PSP_Species_Support!V24*(S13_PSP_Species_Support!W24*(1-EXP(-S13_PSP_Species_Support!X24*18))^S13_PSP_Species_Support!Y24)^2*(S13_PSP_Species_Support!Z24*(1-EXP(-S13_PSP_Species_Support!AA24*18))^S13_PSP_Species_Support!AB24))^0.976,0)+IFERROR(S13_PSP_Species_Support!AF24*0.0673*(S13_PSP_Species_Support!AG24*(S13_PSP_Species_Support!AH24*(1-EXP(-S13_PSP_Species_Support!AI24*18))^S13_PSP_Species_Support!AJ24)^2*(S13_PSP_Species_Support!AK24*(1-EXP(-S13_PSP_Species_Support!AL24*18))^S13_PSP_Species_Support!AM24))^0.976,0)+IFERROR(S13_PSP_Species_Support!AQ24*0.0673*(S13_PSP_Species_Support!AR24*(S13_PSP_Species_Support!AS24*(1-EXP(-S13_PSP_Species_Support!AT24*18))^S13_PSP_Species_Support!AU24)^2*(S13_PSP_Species_Support!AV24*(1-EXP(-S13_PSP_Species_Support!AW24*18))^S13_PSP_Species_Support!AX24))^0.976,0)+IFERROR(S13_PSP_Species_Support!BB24*0.0673*(S13_PSP_Species_Support!BC24*(S13_PSP_Species_Support!BD24*(1-EXP(-S13_PSP_Species_Support!BE24*18))^S13_PSP_Species_Support!BF24)^2*(S13_PSP_Species_Support!BG24*(1-EXP(-S13_PSP_Species_Support!BH24*18))^S13_PSP_Species_Support!BI24))^0.976,0)+IFERROR(S13_PSP_Species_Support!BM24*0.0673*(S13_PSP_Species_Support!BN24*(S13_PSP_Species_Support!BO24*(1-EXP(-S13_PSP_Species_Support!BP24*18))^S13_PSP_Species_Support!BQ24)^2*(S13_PSP_Species_Support!BR24*(1-EXP(-S13_PSP_Species_Support!BS24*18))^S13_PSP_Species_Support!BT24))^0.976,0)+IFERROR(S13_PSP_Species_Support!BX24*0.0673*(S13_PSP_Species_Support!BY24*(S13_PSP_Species_Support!BZ24*(1-EXP(-S13_PSP_Species_Support!CA24*18))^S13_PSP_Species_Support!CB24)^2*(S13_PSP_Species_Support!CC24*(1-EXP(-S13_PSP_Species_Support!CD24*18))^S13_PSP_Species_Support!CE24))^0.976,0)+IFERROR(S13_PSP_Species_Support!CI24*0.0673*(S13_PSP_Species_Support!CJ24*(S13_PSP_Species_Support!CK24*(1-EXP(-S13_PSP_Species_Support!CL24*18))^S13_PSP_Species_Support!CM24)^2*(S13_PSP_Species_Support!CN24*(1-EXP(-S13_PSP_Species_Support!CO24*18))^S13_PSP_Species_Support!CP24))^0.976,0)+IFERROR(S13_PSP_Species_Support!CT24*0.0673*(S13_PSP_Species_Support!CU24*(S13_PSP_Species_Support!CV24*(1-EXP(-S13_PSP_Species_Support!CW24*18))^S13_PSP_Species_Support!CX24)^2*(S13_PSP_Species_Support!CY24*(1-EXP(-S13_PSP_Species_Support!CZ24*18))^S13_PSP_Species_Support!DA24))^0.976,0))/1000/$G37*AA$108,0)</x:f>
        <x:v>91.23532180044559</x:v>
      </x:c>
      <x:c r="AB37" s="147" t="n">
        <x:f aca="0">IFERROR((IFERROR(S13_PSP_Species_Support!U24*0.0673*(S13_PSP_Species_Support!V24*(S13_PSP_Species_Support!W24*(1-EXP(-S13_PSP_Species_Support!X24*19))^S13_PSP_Species_Support!Y24)^2*(S13_PSP_Species_Support!Z24*(1-EXP(-S13_PSP_Species_Support!AA24*19))^S13_PSP_Species_Support!AB24))^0.976,0)+IFERROR(S13_PSP_Species_Support!AF24*0.0673*(S13_PSP_Species_Support!AG24*(S13_PSP_Species_Support!AH24*(1-EXP(-S13_PSP_Species_Support!AI24*19))^S13_PSP_Species_Support!AJ24)^2*(S13_PSP_Species_Support!AK24*(1-EXP(-S13_PSP_Species_Support!AL24*19))^S13_PSP_Species_Support!AM24))^0.976,0)+IFERROR(S13_PSP_Species_Support!AQ24*0.0673*(S13_PSP_Species_Support!AR24*(S13_PSP_Species_Support!AS24*(1-EXP(-S13_PSP_Species_Support!AT24*19))^S13_PSP_Species_Support!AU24)^2*(S13_PSP_Species_Support!AV24*(1-EXP(-S13_PSP_Species_Support!AW24*19))^S13_PSP_Species_Support!AX24))^0.976,0)+IFERROR(S13_PSP_Species_Support!BB24*0.0673*(S13_PSP_Species_Support!BC24*(S13_PSP_Species_Support!BD24*(1-EXP(-S13_PSP_Species_Support!BE24*19))^S13_PSP_Species_Support!BF24)^2*(S13_PSP_Species_Support!BG24*(1-EXP(-S13_PSP_Species_Support!BH24*19))^S13_PSP_Species_Support!BI24))^0.976,0)+IFERROR(S13_PSP_Species_Support!BM24*0.0673*(S13_PSP_Species_Support!BN24*(S13_PSP_Species_Support!BO24*(1-EXP(-S13_PSP_Species_Support!BP24*19))^S13_PSP_Species_Support!BQ24)^2*(S13_PSP_Species_Support!BR24*(1-EXP(-S13_PSP_Species_Support!BS24*19))^S13_PSP_Species_Support!BT24))^0.976,0)+IFERROR(S13_PSP_Species_Support!BX24*0.0673*(S13_PSP_Species_Support!BY24*(S13_PSP_Species_Support!BZ24*(1-EXP(-S13_PSP_Species_Support!CA24*19))^S13_PSP_Species_Support!CB24)^2*(S13_PSP_Species_Support!CC24*(1-EXP(-S13_PSP_Species_Support!CD24*19))^S13_PSP_Species_Support!CE24))^0.976,0)+IFERROR(S13_PSP_Species_Support!CI24*0.0673*(S13_PSP_Species_Support!CJ24*(S13_PSP_Species_Support!CK24*(1-EXP(-S13_PSP_Species_Support!CL24*19))^S13_PSP_Species_Support!CM24)^2*(S13_PSP_Species_Support!CN24*(1-EXP(-S13_PSP_Species_Support!CO24*19))^S13_PSP_Species_Support!CP24))^0.976,0)+IFERROR(S13_PSP_Species_Support!CT24*0.0673*(S13_PSP_Species_Support!CU24*(S13_PSP_Species_Support!CV24*(1-EXP(-S13_PSP_Species_Support!CW24*19))^S13_PSP_Species_Support!CX24)^2*(S13_PSP_Species_Support!CY24*(1-EXP(-S13_PSP_Species_Support!CZ24*19))^S13_PSP_Species_Support!DA24))^0.976,0))/1000/$G37*AB$108,0)</x:f>
        <x:v>94.94925998220833</x:v>
      </x:c>
      <x:c r="AC37" s="147" t="n">
        <x:f aca="0">IFERROR((IFERROR(S13_PSP_Species_Support!U24*0.0673*(S13_PSP_Species_Support!V24*(S13_PSP_Species_Support!W24*(1-EXP(-S13_PSP_Species_Support!X24*20))^S13_PSP_Species_Support!Y24)^2*(S13_PSP_Species_Support!Z24*(1-EXP(-S13_PSP_Species_Support!AA24*20))^S13_PSP_Species_Support!AB24))^0.976,0)+IFERROR(S13_PSP_Species_Support!AF24*0.0673*(S13_PSP_Species_Support!AG24*(S13_PSP_Species_Support!AH24*(1-EXP(-S13_PSP_Species_Support!AI24*20))^S13_PSP_Species_Support!AJ24)^2*(S13_PSP_Species_Support!AK24*(1-EXP(-S13_PSP_Species_Support!AL24*20))^S13_PSP_Species_Support!AM24))^0.976,0)+IFERROR(S13_PSP_Species_Support!AQ24*0.0673*(S13_PSP_Species_Support!AR24*(S13_PSP_Species_Support!AS24*(1-EXP(-S13_PSP_Species_Support!AT24*20))^S13_PSP_Species_Support!AU24)^2*(S13_PSP_Species_Support!AV24*(1-EXP(-S13_PSP_Species_Support!AW24*20))^S13_PSP_Species_Support!AX24))^0.976,0)+IFERROR(S13_PSP_Species_Support!BB24*0.0673*(S13_PSP_Species_Support!BC24*(S13_PSP_Species_Support!BD24*(1-EXP(-S13_PSP_Species_Support!BE24*20))^S13_PSP_Species_Support!BF24)^2*(S13_PSP_Species_Support!BG24*(1-EXP(-S13_PSP_Species_Support!BH24*20))^S13_PSP_Species_Support!BI24))^0.976,0)+IFERROR(S13_PSP_Species_Support!BM24*0.0673*(S13_PSP_Species_Support!BN24*(S13_PSP_Species_Support!BO24*(1-EXP(-S13_PSP_Species_Support!BP24*20))^S13_PSP_Species_Support!BQ24)^2*(S13_PSP_Species_Support!BR24*(1-EXP(-S13_PSP_Species_Support!BS24*20))^S13_PSP_Species_Support!BT24))^0.976,0)+IFERROR(S13_PSP_Species_Support!BX24*0.0673*(S13_PSP_Species_Support!BY24*(S13_PSP_Species_Support!BZ24*(1-EXP(-S13_PSP_Species_Support!CA24*20))^S13_PSP_Species_Support!CB24)^2*(S13_PSP_Species_Support!CC24*(1-EXP(-S13_PSP_Species_Support!CD24*20))^S13_PSP_Species_Support!CE24))^0.976,0)+IFERROR(S13_PSP_Species_Support!CI24*0.0673*(S13_PSP_Species_Support!CJ24*(S13_PSP_Species_Support!CK24*(1-EXP(-S13_PSP_Species_Support!CL24*20))^S13_PSP_Species_Support!CM24)^2*(S13_PSP_Species_Support!CN24*(1-EXP(-S13_PSP_Species_Support!CO24*20))^S13_PSP_Species_Support!CP24))^0.976,0)+IFERROR(S13_PSP_Species_Support!CT24*0.0673*(S13_PSP_Species_Support!CU24*(S13_PSP_Species_Support!CV24*(1-EXP(-S13_PSP_Species_Support!CW24*20))^S13_PSP_Species_Support!CX24)^2*(S13_PSP_Species_Support!CY24*(1-EXP(-S13_PSP_Species_Support!CZ24*20))^S13_PSP_Species_Support!DA24))^0.976,0))/1000/$G37*AC$108,0)</x:f>
        <x:v>98.2497472170464</x:v>
      </x:c>
      <x:c r="AD37" s="148" t="n">
        <x:f aca="0">IF(2020&lt;$F37,0,INDEX($I37:$AC37,1,2020-$F37+1))</x:f>
        <x:v>0</x:v>
      </x:c>
      <x:c r="AE37" s="148" t="n">
        <x:f aca="0">IF(2021&lt;$F37,0,INDEX($I37:$AC37,1,2021-$F37+1))</x:f>
        <x:v>0.04991461531245308</x:v>
      </x:c>
      <x:c r="AF37" s="148" t="n">
        <x:f aca="0">IF(2022&lt;$F37,0,INDEX($I37:$AC37,1,2022-$F37+1))</x:f>
        <x:v>0.5810785459299319</x:v>
      </x:c>
      <x:c r="AG37" s="148" t="n">
        <x:f aca="0">IF(2023&lt;$F37,0,INDEX($I37:$AC37,1,2023-$F37+1))</x:f>
        <x:v>2.1796511174383495</x:v>
      </x:c>
      <x:c r="AH37" s="148" t="n">
        <x:f aca="0">IF(2024&lt;$F37,0,INDEX($I37:$AC37,1,2024-$F37+1))</x:f>
        <x:v>5.198337145033121</x:v>
      </x:c>
      <x:c r="AI37" s="148" t="n">
        <x:f aca="0">IF(2025&lt;$F37,0,INDEX($I37:$AC37,1,2025-$F37+1))</x:f>
        <x:v>9.655773987792877</x:v>
      </x:c>
      <x:c r="AJ37" s="148" t="n">
        <x:f aca="0">IF(2026&lt;$F37,0,INDEX($I37:$AC37,1,2026-$F37+1))</x:f>
        <x:v>15.357312881265186</x:v>
      </x:c>
      <x:c r="AK37" s="148" t="n">
        <x:f aca="0">IF(2027&lt;$F37,0,INDEX($I37:$AC37,1,2027-$F37+1))</x:f>
        <x:v>21.99739151140395</x:v>
      </x:c>
      <x:c r="AL37" s="148" t="n">
        <x:f aca="0">IF(2028&lt;$F37,0,INDEX($I37:$AC37,1,2028-$F37+1))</x:f>
        <x:v>29.242067148111843</x:v>
      </x:c>
      <x:c r="AM37" s="148" t="n">
        <x:f aca="0">IF(2029&lt;$F37,0,INDEX($I37:$AC37,1,2029-$F37+1))</x:f>
        <x:v>36.78022445957838</x:v>
      </x:c>
      <x:c r="AN37" s="148" t="n">
        <x:f aca="0">IF(2030&lt;$F37,0,INDEX($I37:$AC37,1,2030-$F37+1))</x:f>
        <x:v>44.349457157605855</x:v>
      </x:c>
      <x:c r="AO37" s="148" t="n">
        <x:f aca="0">IF(2031&lt;$F37,0,INDEX($I37:$AC37,1,2031-$F37+1))</x:f>
        <x:v>51.7447780297704</x:v>
      </x:c>
      <x:c r="AP37" s="148" t="n">
        <x:f aca="0">IF(2032&lt;$F37,0,INDEX($I37:$AC37,1,2032-$F37+1))</x:f>
        <x:v>58.81711457372421</x:v>
      </x:c>
      <x:c r="AQ37" s="148" t="n">
        <x:f aca="0">IF(2033&lt;$F37,0,INDEX($I37:$AC37,1,2033-$F37+1))</x:f>
        <x:v>65.46658118576565</x:v>
      </x:c>
      <x:c r="AR37" s="148" t="n">
        <x:f aca="0">IF(2034&lt;$F37,0,INDEX($I37:$AC37,1,2034-$F37+1))</x:f>
        <x:v>71.63373903501359</x:v>
      </x:c>
      <x:c r="AS37" s="148" t="n">
        <x:f aca="0">IF(2035&lt;$F37,0,INDEX($I37:$AC37,1,2035-$F37+1))</x:f>
        <x:v>77.29071893023963</x:v>
      </x:c>
      <x:c r="AT37" s="148" t="n">
        <x:f aca="0">IF(2036&lt;$F37,0,INDEX($I37:$AC37,1,2036-$F37+1))</x:f>
        <x:v>82.4331788955327</x:v>
      </x:c>
      <x:c r="AU37" s="148" t="n">
        <x:f aca="0">IF(2037&lt;$F37,0,INDEX($I37:$AC37,1,2037-$F37+1))</x:f>
        <x:v>87.07350311436068</x:v>
      </x:c>
      <x:c r="AV37" s="148" t="n">
        <x:f aca="0">IF(2038&lt;$F37,0,INDEX($I37:$AC37,1,2038-$F37+1))</x:f>
        <x:v>91.23532180044559</x:v>
      </x:c>
      <x:c r="AW37" s="148" t="n">
        <x:f aca="0">IF(2039&lt;$F37,0,INDEX($I37:$AC37,1,2039-$F37+1))</x:f>
        <x:v>94.94925998220833</x:v>
      </x:c>
      <x:c r="AX37" s="148" t="n">
        <x:f aca="0">IF(2040&lt;$F37,0,INDEX($I37:$AC37,1,2040-$F37+1))</x:f>
        <x:v>98.2497472170464</x:v>
      </x:c>
      <x:c r="AY37" s="1" t="str">
        <x:f aca="0">LEFT($C37,FIND("@",SUBSTITUTE($C37,"|","@",2))-1)</x:f>
        <x:v>Horti-Silviculture|Medium</x:v>
      </x:c>
      <x:c r="AZ37" s="1" t="str">
        <x:f aca="0">LEFT($C37,FIND("|",$C37)-1)</x:f>
        <x:v>Horti-Silviculture</x:v>
      </x:c>
      <x:c r="BA37" s="149" t="n">
        <x:f aca="0">I37*I37</x:f>
        <x:v>0</x:v>
      </x:c>
      <x:c r="BB37" s="149" t="n">
        <x:f aca="0">J37*J37</x:f>
        <x:v>0.0024914688217901756</x:v>
      </x:c>
      <x:c r="BC37" s="149" t="n">
        <x:f aca="0">K37*K37</x:f>
        <x:v>0.337652276540044</x:v>
      </x:c>
      <x:c r="BD37" s="149" t="n">
        <x:f aca="0">L37*L37</x:f>
        <x:v>4.750878993750246</x:v>
      </x:c>
      <x:c r="BE37" s="149" t="n">
        <x:f aca="0">M37*M37</x:f>
        <x:v>27.0227090734311</x:v>
      </x:c>
      <x:c r="BF37" s="149" t="n">
        <x:f aca="0">N37*N37</x:f>
        <x:v>93.23397130333755</x:v>
      </x:c>
      <x:c r="BG37" s="149" t="n">
        <x:f aca="0">O37*O37</x:f>
        <x:v>235.84705893307358</x:v>
      </x:c>
      <x:c r="BH37" s="149" t="n">
        <x:f aca="0">P37*P37</x:f>
        <x:v>483.88523330598656</x:v>
      </x:c>
      <x:c r="BI37" s="149" t="n">
        <x:f aca="0">Q37*Q37</x:f>
        <x:v>855.0984910946819</x:v>
      </x:c>
      <x:c r="BJ37" s="149" t="n">
        <x:f aca="0">R37*R37</x:f>
        <x:v>1352.7849112969675</x:v>
      </x:c>
      <x:c r="BK37" s="149" t="n">
        <x:f aca="0">S37*S37</x:f>
        <x:v>1966.8743501743172</x:v>
      </x:c>
      <x:c r="BL37" s="149" t="n">
        <x:f aca="0">T37*T37</x:f>
        <x:v>2677.5220533502097</x:v>
      </x:c>
      <x:c r="BM37" s="149" t="n">
        <x:f aca="0">U37*U37</x:f>
        <x:v>3459.452966778601</x:v>
      </x:c>
      <x:c r="BN37" s="149" t="n">
        <x:f aca="0">V37*V37</x:f>
        <x:v>4285.873252152444</x:v>
      </x:c>
      <x:c r="BO37" s="149" t="n">
        <x:f aca="0">W37*W37</x:f>
        <x:v>5131.39256813643</x:v>
      </x:c>
      <x:c r="BP37" s="149" t="n">
        <x:f aca="0">X37*X37</x:f>
        <x:v>5973.855232753303</x:v>
      </x:c>
      <x:c r="BQ37" s="149" t="n">
        <x:f aca="0">Y37*Y37</x:f>
        <x:v>6795.228982822899</x:v>
      </x:c>
      <x:c r="BR37" s="149" t="n">
        <x:f aca="0">Z37*Z37</x:f>
        <x:v>7581.794944606579</x:v>
      </x:c>
      <x:c r="BS37" s="149" t="n">
        <x:f aca="0">AA37*AA37</x:f>
        <x:v>8323.883944030862</x:v>
      </x:c>
      <x:c r="BT37" s="149" t="n">
        <x:f aca="0">AB37*AB37</x:f>
        <x:v>9015.361971168988</x:v>
      </x:c>
      <x:c r="BU37" s="149" t="n">
        <x:f aca="0">AC37*AC37</x:f>
        <x:v>9653.012828213517</x:v>
      </x:c>
    </x:row>
    <x:row r="38" ht="15" hidden="0" customHeight="1">
      <x:c r="A38" s="1" t="str">
        <x:f aca="0">S13_PSP_Species_Support!A25</x:f>
        <x:v>PSP-HS-011</x:v>
      </x:c>
      <x:c r="B38" s="1" t="n">
        <x:f aca="0">25</x:f>
        <x:v>25</x:v>
      </x:c>
      <x:c r="C38" s="1" t="str">
        <x:f aca="0">S13_PSP_Species_Support!I25</x:f>
        <x:v>Horti-Silviculture|Medium|2020</x:v>
      </x:c>
      <x:c r="D38" s="1" t="str">
        <x:f aca="0">S13_PSP_Species_Support!C25</x:f>
        <x:v>Horti-Silviculture</x:v>
      </x:c>
      <x:c r="E38" s="1" t="str">
        <x:f aca="0">S13_PSP_Species_Support!D25</x:f>
        <x:v>Medium</x:v>
      </x:c>
      <x:c r="F38" s="1" t="n">
        <x:f aca="0">S13_PSP_Species_Support!E25</x:f>
        <x:v>2020</x:v>
      </x:c>
      <x:c r="G38" s="645" t="n">
        <x:f aca="0">'S13_PSP_Species_Support'!DJ25</x:f>
        <x:v>0.09</x:v>
      </x:c>
      <x:c r="H38" s="714" t="n">
        <x:f aca="0">'S13_PSP_Species_Support'!DK25</x:f>
        <x:v>39.55763504891535</x:v>
      </x:c>
      <x:c r="I38" s="147" t="n">
        <x:f aca="0">IFERROR((IFERROR(S13_PSP_Species_Support!U25*0.0673*(S13_PSP_Species_Support!V25*(S13_PSP_Species_Support!W25*(1-EXP(-S13_PSP_Species_Support!X25*0))^S13_PSP_Species_Support!Y25)^2*(S13_PSP_Species_Support!Z25*(1-EXP(-S13_PSP_Species_Support!AA25*0))^S13_PSP_Species_Support!AB25))^0.976,0)+IFERROR(S13_PSP_Species_Support!AF25*0.0673*(S13_PSP_Species_Support!AG25*(S13_PSP_Species_Support!AH25*(1-EXP(-S13_PSP_Species_Support!AI25*0))^S13_PSP_Species_Support!AJ25)^2*(S13_PSP_Species_Support!AK25*(1-EXP(-S13_PSP_Species_Support!AL25*0))^S13_PSP_Species_Support!AM25))^0.976,0)+IFERROR(S13_PSP_Species_Support!AQ25*0.0673*(S13_PSP_Species_Support!AR25*(S13_PSP_Species_Support!AS25*(1-EXP(-S13_PSP_Species_Support!AT25*0))^S13_PSP_Species_Support!AU25)^2*(S13_PSP_Species_Support!AV25*(1-EXP(-S13_PSP_Species_Support!AW25*0))^S13_PSP_Species_Support!AX25))^0.976,0)+IFERROR(S13_PSP_Species_Support!BB25*0.0673*(S13_PSP_Species_Support!BC25*(S13_PSP_Species_Support!BD25*(1-EXP(-S13_PSP_Species_Support!BE25*0))^S13_PSP_Species_Support!BF25)^2*(S13_PSP_Species_Support!BG25*(1-EXP(-S13_PSP_Species_Support!BH25*0))^S13_PSP_Species_Support!BI25))^0.976,0)+IFERROR(S13_PSP_Species_Support!BM25*0.0673*(S13_PSP_Species_Support!BN25*(S13_PSP_Species_Support!BO25*(1-EXP(-S13_PSP_Species_Support!BP25*0))^S13_PSP_Species_Support!BQ25)^2*(S13_PSP_Species_Support!BR25*(1-EXP(-S13_PSP_Species_Support!BS25*0))^S13_PSP_Species_Support!BT25))^0.976,0)+IFERROR(S13_PSP_Species_Support!BX25*0.0673*(S13_PSP_Species_Support!BY25*(S13_PSP_Species_Support!BZ25*(1-EXP(-S13_PSP_Species_Support!CA25*0))^S13_PSP_Species_Support!CB25)^2*(S13_PSP_Species_Support!CC25*(1-EXP(-S13_PSP_Species_Support!CD25*0))^S13_PSP_Species_Support!CE25))^0.976,0)+IFERROR(S13_PSP_Species_Support!CI25*0.0673*(S13_PSP_Species_Support!CJ25*(S13_PSP_Species_Support!CK25*(1-EXP(-S13_PSP_Species_Support!CL25*0))^S13_PSP_Species_Support!CM25)^2*(S13_PSP_Species_Support!CN25*(1-EXP(-S13_PSP_Species_Support!CO25*0))^S13_PSP_Species_Support!CP25))^0.976,0)+IFERROR(S13_PSP_Species_Support!CT25*0.0673*(S13_PSP_Species_Support!CU25*(S13_PSP_Species_Support!CV25*(1-EXP(-S13_PSP_Species_Support!CW25*0))^S13_PSP_Species_Support!CX25)^2*(S13_PSP_Species_Support!CY25*(1-EXP(-S13_PSP_Species_Support!CZ25*0))^S13_PSP_Species_Support!DA25))^0.976,0))/1000/$G38*I$108,0)</x:f>
        <x:v>0</x:v>
      </x:c>
      <x:c r="J38" s="147" t="n">
        <x:f aca="0">IFERROR((IFERROR(S13_PSP_Species_Support!U25*0.0673*(S13_PSP_Species_Support!V25*(S13_PSP_Species_Support!W25*(1-EXP(-S13_PSP_Species_Support!X25*1))^S13_PSP_Species_Support!Y25)^2*(S13_PSP_Species_Support!Z25*(1-EXP(-S13_PSP_Species_Support!AA25*1))^S13_PSP_Species_Support!AB25))^0.976,0)+IFERROR(S13_PSP_Species_Support!AF25*0.0673*(S13_PSP_Species_Support!AG25*(S13_PSP_Species_Support!AH25*(1-EXP(-S13_PSP_Species_Support!AI25*1))^S13_PSP_Species_Support!AJ25)^2*(S13_PSP_Species_Support!AK25*(1-EXP(-S13_PSP_Species_Support!AL25*1))^S13_PSP_Species_Support!AM25))^0.976,0)+IFERROR(S13_PSP_Species_Support!AQ25*0.0673*(S13_PSP_Species_Support!AR25*(S13_PSP_Species_Support!AS25*(1-EXP(-S13_PSP_Species_Support!AT25*1))^S13_PSP_Species_Support!AU25)^2*(S13_PSP_Species_Support!AV25*(1-EXP(-S13_PSP_Species_Support!AW25*1))^S13_PSP_Species_Support!AX25))^0.976,0)+IFERROR(S13_PSP_Species_Support!BB25*0.0673*(S13_PSP_Species_Support!BC25*(S13_PSP_Species_Support!BD25*(1-EXP(-S13_PSP_Species_Support!BE25*1))^S13_PSP_Species_Support!BF25)^2*(S13_PSP_Species_Support!BG25*(1-EXP(-S13_PSP_Species_Support!BH25*1))^S13_PSP_Species_Support!BI25))^0.976,0)+IFERROR(S13_PSP_Species_Support!BM25*0.0673*(S13_PSP_Species_Support!BN25*(S13_PSP_Species_Support!BO25*(1-EXP(-S13_PSP_Species_Support!BP25*1))^S13_PSP_Species_Support!BQ25)^2*(S13_PSP_Species_Support!BR25*(1-EXP(-S13_PSP_Species_Support!BS25*1))^S13_PSP_Species_Support!BT25))^0.976,0)+IFERROR(S13_PSP_Species_Support!BX25*0.0673*(S13_PSP_Species_Support!BY25*(S13_PSP_Species_Support!BZ25*(1-EXP(-S13_PSP_Species_Support!CA25*1))^S13_PSP_Species_Support!CB25)^2*(S13_PSP_Species_Support!CC25*(1-EXP(-S13_PSP_Species_Support!CD25*1))^S13_PSP_Species_Support!CE25))^0.976,0)+IFERROR(S13_PSP_Species_Support!CI25*0.0673*(S13_PSP_Species_Support!CJ25*(S13_PSP_Species_Support!CK25*(1-EXP(-S13_PSP_Species_Support!CL25*1))^S13_PSP_Species_Support!CM25)^2*(S13_PSP_Species_Support!CN25*(1-EXP(-S13_PSP_Species_Support!CO25*1))^S13_PSP_Species_Support!CP25))^0.976,0)+IFERROR(S13_PSP_Species_Support!CT25*0.0673*(S13_PSP_Species_Support!CU25*(S13_PSP_Species_Support!CV25*(1-EXP(-S13_PSP_Species_Support!CW25*1))^S13_PSP_Species_Support!CX25)^2*(S13_PSP_Species_Support!CY25*(1-EXP(-S13_PSP_Species_Support!CZ25*1))^S13_PSP_Species_Support!DA25))^0.976,0))/1000/$G38*J$108,0)</x:f>
        <x:v>0.0679183053763788</x:v>
      </x:c>
      <x:c r="K38" s="147" t="n">
        <x:f aca="0">IFERROR((IFERROR(S13_PSP_Species_Support!U25*0.0673*(S13_PSP_Species_Support!V25*(S13_PSP_Species_Support!W25*(1-EXP(-S13_PSP_Species_Support!X25*2))^S13_PSP_Species_Support!Y25)^2*(S13_PSP_Species_Support!Z25*(1-EXP(-S13_PSP_Species_Support!AA25*2))^S13_PSP_Species_Support!AB25))^0.976,0)+IFERROR(S13_PSP_Species_Support!AF25*0.0673*(S13_PSP_Species_Support!AG25*(S13_PSP_Species_Support!AH25*(1-EXP(-S13_PSP_Species_Support!AI25*2))^S13_PSP_Species_Support!AJ25)^2*(S13_PSP_Species_Support!AK25*(1-EXP(-S13_PSP_Species_Support!AL25*2))^S13_PSP_Species_Support!AM25))^0.976,0)+IFERROR(S13_PSP_Species_Support!AQ25*0.0673*(S13_PSP_Species_Support!AR25*(S13_PSP_Species_Support!AS25*(1-EXP(-S13_PSP_Species_Support!AT25*2))^S13_PSP_Species_Support!AU25)^2*(S13_PSP_Species_Support!AV25*(1-EXP(-S13_PSP_Species_Support!AW25*2))^S13_PSP_Species_Support!AX25))^0.976,0)+IFERROR(S13_PSP_Species_Support!BB25*0.0673*(S13_PSP_Species_Support!BC25*(S13_PSP_Species_Support!BD25*(1-EXP(-S13_PSP_Species_Support!BE25*2))^S13_PSP_Species_Support!BF25)^2*(S13_PSP_Species_Support!BG25*(1-EXP(-S13_PSP_Species_Support!BH25*2))^S13_PSP_Species_Support!BI25))^0.976,0)+IFERROR(S13_PSP_Species_Support!BM25*0.0673*(S13_PSP_Species_Support!BN25*(S13_PSP_Species_Support!BO25*(1-EXP(-S13_PSP_Species_Support!BP25*2))^S13_PSP_Species_Support!BQ25)^2*(S13_PSP_Species_Support!BR25*(1-EXP(-S13_PSP_Species_Support!BS25*2))^S13_PSP_Species_Support!BT25))^0.976,0)+IFERROR(S13_PSP_Species_Support!BX25*0.0673*(S13_PSP_Species_Support!BY25*(S13_PSP_Species_Support!BZ25*(1-EXP(-S13_PSP_Species_Support!CA25*2))^S13_PSP_Species_Support!CB25)^2*(S13_PSP_Species_Support!CC25*(1-EXP(-S13_PSP_Species_Support!CD25*2))^S13_PSP_Species_Support!CE25))^0.976,0)+IFERROR(S13_PSP_Species_Support!CI25*0.0673*(S13_PSP_Species_Support!CJ25*(S13_PSP_Species_Support!CK25*(1-EXP(-S13_PSP_Species_Support!CL25*2))^S13_PSP_Species_Support!CM25)^2*(S13_PSP_Species_Support!CN25*(1-EXP(-S13_PSP_Species_Support!CO25*2))^S13_PSP_Species_Support!CP25))^0.976,0)+IFERROR(S13_PSP_Species_Support!CT25*0.0673*(S13_PSP_Species_Support!CU25*(S13_PSP_Species_Support!CV25*(1-EXP(-S13_PSP_Species_Support!CW25*2))^S13_PSP_Species_Support!CX25)^2*(S13_PSP_Species_Support!CY25*(1-EXP(-S13_PSP_Species_Support!CZ25*2))^S13_PSP_Species_Support!DA25))^0.976,0))/1000/$G38*K$108,0)</x:f>
        <x:v>0.8463493695612492</x:v>
      </x:c>
      <x:c r="L38" s="147" t="n">
        <x:f aca="0">IFERROR((IFERROR(S13_PSP_Species_Support!U25*0.0673*(S13_PSP_Species_Support!V25*(S13_PSP_Species_Support!W25*(1-EXP(-S13_PSP_Species_Support!X25*3))^S13_PSP_Species_Support!Y25)^2*(S13_PSP_Species_Support!Z25*(1-EXP(-S13_PSP_Species_Support!AA25*3))^S13_PSP_Species_Support!AB25))^0.976,0)+IFERROR(S13_PSP_Species_Support!AF25*0.0673*(S13_PSP_Species_Support!AG25*(S13_PSP_Species_Support!AH25*(1-EXP(-S13_PSP_Species_Support!AI25*3))^S13_PSP_Species_Support!AJ25)^2*(S13_PSP_Species_Support!AK25*(1-EXP(-S13_PSP_Species_Support!AL25*3))^S13_PSP_Species_Support!AM25))^0.976,0)+IFERROR(S13_PSP_Species_Support!AQ25*0.0673*(S13_PSP_Species_Support!AR25*(S13_PSP_Species_Support!AS25*(1-EXP(-S13_PSP_Species_Support!AT25*3))^S13_PSP_Species_Support!AU25)^2*(S13_PSP_Species_Support!AV25*(1-EXP(-S13_PSP_Species_Support!AW25*3))^S13_PSP_Species_Support!AX25))^0.976,0)+IFERROR(S13_PSP_Species_Support!BB25*0.0673*(S13_PSP_Species_Support!BC25*(S13_PSP_Species_Support!BD25*(1-EXP(-S13_PSP_Species_Support!BE25*3))^S13_PSP_Species_Support!BF25)^2*(S13_PSP_Species_Support!BG25*(1-EXP(-S13_PSP_Species_Support!BH25*3))^S13_PSP_Species_Support!BI25))^0.976,0)+IFERROR(S13_PSP_Species_Support!BM25*0.0673*(S13_PSP_Species_Support!BN25*(S13_PSP_Species_Support!BO25*(1-EXP(-S13_PSP_Species_Support!BP25*3))^S13_PSP_Species_Support!BQ25)^2*(S13_PSP_Species_Support!BR25*(1-EXP(-S13_PSP_Species_Support!BS25*3))^S13_PSP_Species_Support!BT25))^0.976,0)+IFERROR(S13_PSP_Species_Support!BX25*0.0673*(S13_PSP_Species_Support!BY25*(S13_PSP_Species_Support!BZ25*(1-EXP(-S13_PSP_Species_Support!CA25*3))^S13_PSP_Species_Support!CB25)^2*(S13_PSP_Species_Support!CC25*(1-EXP(-S13_PSP_Species_Support!CD25*3))^S13_PSP_Species_Support!CE25))^0.976,0)+IFERROR(S13_PSP_Species_Support!CI25*0.0673*(S13_PSP_Species_Support!CJ25*(S13_PSP_Species_Support!CK25*(1-EXP(-S13_PSP_Species_Support!CL25*3))^S13_PSP_Species_Support!CM25)^2*(S13_PSP_Species_Support!CN25*(1-EXP(-S13_PSP_Species_Support!CO25*3))^S13_PSP_Species_Support!CP25))^0.976,0)+IFERROR(S13_PSP_Species_Support!CT25*0.0673*(S13_PSP_Species_Support!CU25*(S13_PSP_Species_Support!CV25*(1-EXP(-S13_PSP_Species_Support!CW25*3))^S13_PSP_Species_Support!CX25)^2*(S13_PSP_Species_Support!CY25*(1-EXP(-S13_PSP_Species_Support!CZ25*3))^S13_PSP_Species_Support!DA25))^0.976,0))/1000/$G38*L$108,0)</x:f>
        <x:v>3.332420892292567</x:v>
      </x:c>
      <x:c r="M38" s="147" t="n">
        <x:f aca="0">IFERROR((IFERROR(S13_PSP_Species_Support!U25*0.0673*(S13_PSP_Species_Support!V25*(S13_PSP_Species_Support!W25*(1-EXP(-S13_PSP_Species_Support!X25*4))^S13_PSP_Species_Support!Y25)^2*(S13_PSP_Species_Support!Z25*(1-EXP(-S13_PSP_Species_Support!AA25*4))^S13_PSP_Species_Support!AB25))^0.976,0)+IFERROR(S13_PSP_Species_Support!AF25*0.0673*(S13_PSP_Species_Support!AG25*(S13_PSP_Species_Support!AH25*(1-EXP(-S13_PSP_Species_Support!AI25*4))^S13_PSP_Species_Support!AJ25)^2*(S13_PSP_Species_Support!AK25*(1-EXP(-S13_PSP_Species_Support!AL25*4))^S13_PSP_Species_Support!AM25))^0.976,0)+IFERROR(S13_PSP_Species_Support!AQ25*0.0673*(S13_PSP_Species_Support!AR25*(S13_PSP_Species_Support!AS25*(1-EXP(-S13_PSP_Species_Support!AT25*4))^S13_PSP_Species_Support!AU25)^2*(S13_PSP_Species_Support!AV25*(1-EXP(-S13_PSP_Species_Support!AW25*4))^S13_PSP_Species_Support!AX25))^0.976,0)+IFERROR(S13_PSP_Species_Support!BB25*0.0673*(S13_PSP_Species_Support!BC25*(S13_PSP_Species_Support!BD25*(1-EXP(-S13_PSP_Species_Support!BE25*4))^S13_PSP_Species_Support!BF25)^2*(S13_PSP_Species_Support!BG25*(1-EXP(-S13_PSP_Species_Support!BH25*4))^S13_PSP_Species_Support!BI25))^0.976,0)+IFERROR(S13_PSP_Species_Support!BM25*0.0673*(S13_PSP_Species_Support!BN25*(S13_PSP_Species_Support!BO25*(1-EXP(-S13_PSP_Species_Support!BP25*4))^S13_PSP_Species_Support!BQ25)^2*(S13_PSP_Species_Support!BR25*(1-EXP(-S13_PSP_Species_Support!BS25*4))^S13_PSP_Species_Support!BT25))^0.976,0)+IFERROR(S13_PSP_Species_Support!BX25*0.0673*(S13_PSP_Species_Support!BY25*(S13_PSP_Species_Support!BZ25*(1-EXP(-S13_PSP_Species_Support!CA25*4))^S13_PSP_Species_Support!CB25)^2*(S13_PSP_Species_Support!CC25*(1-EXP(-S13_PSP_Species_Support!CD25*4))^S13_PSP_Species_Support!CE25))^0.976,0)+IFERROR(S13_PSP_Species_Support!CI25*0.0673*(S13_PSP_Species_Support!CJ25*(S13_PSP_Species_Support!CK25*(1-EXP(-S13_PSP_Species_Support!CL25*4))^S13_PSP_Species_Support!CM25)^2*(S13_PSP_Species_Support!CN25*(1-EXP(-S13_PSP_Species_Support!CO25*4))^S13_PSP_Species_Support!CP25))^0.976,0)+IFERROR(S13_PSP_Species_Support!CT25*0.0673*(S13_PSP_Species_Support!CU25*(S13_PSP_Species_Support!CV25*(1-EXP(-S13_PSP_Species_Support!CW25*4))^S13_PSP_Species_Support!CX25)^2*(S13_PSP_Species_Support!CY25*(1-EXP(-S13_PSP_Species_Support!CZ25*4))^S13_PSP_Species_Support!DA25))^0.976,0))/1000/$G38*M$108,0)</x:f>
        <x:v>8.273016974019187</x:v>
      </x:c>
      <x:c r="N38" s="147" t="n">
        <x:f aca="0">IFERROR((IFERROR(S13_PSP_Species_Support!U25*0.0673*(S13_PSP_Species_Support!V25*(S13_PSP_Species_Support!W25*(1-EXP(-S13_PSP_Species_Support!X25*5))^S13_PSP_Species_Support!Y25)^2*(S13_PSP_Species_Support!Z25*(1-EXP(-S13_PSP_Species_Support!AA25*5))^S13_PSP_Species_Support!AB25))^0.976,0)+IFERROR(S13_PSP_Species_Support!AF25*0.0673*(S13_PSP_Species_Support!AG25*(S13_PSP_Species_Support!AH25*(1-EXP(-S13_PSP_Species_Support!AI25*5))^S13_PSP_Species_Support!AJ25)^2*(S13_PSP_Species_Support!AK25*(1-EXP(-S13_PSP_Species_Support!AL25*5))^S13_PSP_Species_Support!AM25))^0.976,0)+IFERROR(S13_PSP_Species_Support!AQ25*0.0673*(S13_PSP_Species_Support!AR25*(S13_PSP_Species_Support!AS25*(1-EXP(-S13_PSP_Species_Support!AT25*5))^S13_PSP_Species_Support!AU25)^2*(S13_PSP_Species_Support!AV25*(1-EXP(-S13_PSP_Species_Support!AW25*5))^S13_PSP_Species_Support!AX25))^0.976,0)+IFERROR(S13_PSP_Species_Support!BB25*0.0673*(S13_PSP_Species_Support!BC25*(S13_PSP_Species_Support!BD25*(1-EXP(-S13_PSP_Species_Support!BE25*5))^S13_PSP_Species_Support!BF25)^2*(S13_PSP_Species_Support!BG25*(1-EXP(-S13_PSP_Species_Support!BH25*5))^S13_PSP_Species_Support!BI25))^0.976,0)+IFERROR(S13_PSP_Species_Support!BM25*0.0673*(S13_PSP_Species_Support!BN25*(S13_PSP_Species_Support!BO25*(1-EXP(-S13_PSP_Species_Support!BP25*5))^S13_PSP_Species_Support!BQ25)^2*(S13_PSP_Species_Support!BR25*(1-EXP(-S13_PSP_Species_Support!BS25*5))^S13_PSP_Species_Support!BT25))^0.976,0)+IFERROR(S13_PSP_Species_Support!BX25*0.0673*(S13_PSP_Species_Support!BY25*(S13_PSP_Species_Support!BZ25*(1-EXP(-S13_PSP_Species_Support!CA25*5))^S13_PSP_Species_Support!CB25)^2*(S13_PSP_Species_Support!CC25*(1-EXP(-S13_PSP_Species_Support!CD25*5))^S13_PSP_Species_Support!CE25))^0.976,0)+IFERROR(S13_PSP_Species_Support!CI25*0.0673*(S13_PSP_Species_Support!CJ25*(S13_PSP_Species_Support!CK25*(1-EXP(-S13_PSP_Species_Support!CL25*5))^S13_PSP_Species_Support!CM25)^2*(S13_PSP_Species_Support!CN25*(1-EXP(-S13_PSP_Species_Support!CO25*5))^S13_PSP_Species_Support!CP25))^0.976,0)+IFERROR(S13_PSP_Species_Support!CT25*0.0673*(S13_PSP_Species_Support!CU25*(S13_PSP_Species_Support!CV25*(1-EXP(-S13_PSP_Species_Support!CW25*5))^S13_PSP_Species_Support!CX25)^2*(S13_PSP_Species_Support!CY25*(1-EXP(-S13_PSP_Species_Support!CZ25*5))^S13_PSP_Species_Support!DA25))^0.976,0))/1000/$G38*N$108,0)</x:f>
        <x:v>15.921746917119728</x:v>
      </x:c>
      <x:c r="O38" s="147" t="n">
        <x:f aca="0">IFERROR((IFERROR(S13_PSP_Species_Support!U25*0.0673*(S13_PSP_Species_Support!V25*(S13_PSP_Species_Support!W25*(1-EXP(-S13_PSP_Species_Support!X25*6))^S13_PSP_Species_Support!Y25)^2*(S13_PSP_Species_Support!Z25*(1-EXP(-S13_PSP_Species_Support!AA25*6))^S13_PSP_Species_Support!AB25))^0.976,0)+IFERROR(S13_PSP_Species_Support!AF25*0.0673*(S13_PSP_Species_Support!AG25*(S13_PSP_Species_Support!AH25*(1-EXP(-S13_PSP_Species_Support!AI25*6))^S13_PSP_Species_Support!AJ25)^2*(S13_PSP_Species_Support!AK25*(1-EXP(-S13_PSP_Species_Support!AL25*6))^S13_PSP_Species_Support!AM25))^0.976,0)+IFERROR(S13_PSP_Species_Support!AQ25*0.0673*(S13_PSP_Species_Support!AR25*(S13_PSP_Species_Support!AS25*(1-EXP(-S13_PSP_Species_Support!AT25*6))^S13_PSP_Species_Support!AU25)^2*(S13_PSP_Species_Support!AV25*(1-EXP(-S13_PSP_Species_Support!AW25*6))^S13_PSP_Species_Support!AX25))^0.976,0)+IFERROR(S13_PSP_Species_Support!BB25*0.0673*(S13_PSP_Species_Support!BC25*(S13_PSP_Species_Support!BD25*(1-EXP(-S13_PSP_Species_Support!BE25*6))^S13_PSP_Species_Support!BF25)^2*(S13_PSP_Species_Support!BG25*(1-EXP(-S13_PSP_Species_Support!BH25*6))^S13_PSP_Species_Support!BI25))^0.976,0)+IFERROR(S13_PSP_Species_Support!BM25*0.0673*(S13_PSP_Species_Support!BN25*(S13_PSP_Species_Support!BO25*(1-EXP(-S13_PSP_Species_Support!BP25*6))^S13_PSP_Species_Support!BQ25)^2*(S13_PSP_Species_Support!BR25*(1-EXP(-S13_PSP_Species_Support!BS25*6))^S13_PSP_Species_Support!BT25))^0.976,0)+IFERROR(S13_PSP_Species_Support!BX25*0.0673*(S13_PSP_Species_Support!BY25*(S13_PSP_Species_Support!BZ25*(1-EXP(-S13_PSP_Species_Support!CA25*6))^S13_PSP_Species_Support!CB25)^2*(S13_PSP_Species_Support!CC25*(1-EXP(-S13_PSP_Species_Support!CD25*6))^S13_PSP_Species_Support!CE25))^0.976,0)+IFERROR(S13_PSP_Species_Support!CI25*0.0673*(S13_PSP_Species_Support!CJ25*(S13_PSP_Species_Support!CK25*(1-EXP(-S13_PSP_Species_Support!CL25*6))^S13_PSP_Species_Support!CM25)^2*(S13_PSP_Species_Support!CN25*(1-EXP(-S13_PSP_Species_Support!CO25*6))^S13_PSP_Species_Support!CP25))^0.976,0)+IFERROR(S13_PSP_Species_Support!CT25*0.0673*(S13_PSP_Species_Support!CU25*(S13_PSP_Species_Support!CV25*(1-EXP(-S13_PSP_Species_Support!CW25*6))^S13_PSP_Species_Support!CX25)^2*(S13_PSP_Species_Support!CY25*(1-EXP(-S13_PSP_Species_Support!CZ25*6))^S13_PSP_Species_Support!DA25))^0.976,0))/1000/$G38*O$108,0)</x:f>
        <x:v>26.15700617218386</x:v>
      </x:c>
      <x:c r="P38" s="147" t="n">
        <x:f aca="0">IFERROR((IFERROR(S13_PSP_Species_Support!U25*0.0673*(S13_PSP_Species_Support!V25*(S13_PSP_Species_Support!W25*(1-EXP(-S13_PSP_Species_Support!X25*7))^S13_PSP_Species_Support!Y25)^2*(S13_PSP_Species_Support!Z25*(1-EXP(-S13_PSP_Species_Support!AA25*7))^S13_PSP_Species_Support!AB25))^0.976,0)+IFERROR(S13_PSP_Species_Support!AF25*0.0673*(S13_PSP_Species_Support!AG25*(S13_PSP_Species_Support!AH25*(1-EXP(-S13_PSP_Species_Support!AI25*7))^S13_PSP_Species_Support!AJ25)^2*(S13_PSP_Species_Support!AK25*(1-EXP(-S13_PSP_Species_Support!AL25*7))^S13_PSP_Species_Support!AM25))^0.976,0)+IFERROR(S13_PSP_Species_Support!AQ25*0.0673*(S13_PSP_Species_Support!AR25*(S13_PSP_Species_Support!AS25*(1-EXP(-S13_PSP_Species_Support!AT25*7))^S13_PSP_Species_Support!AU25)^2*(S13_PSP_Species_Support!AV25*(1-EXP(-S13_PSP_Species_Support!AW25*7))^S13_PSP_Species_Support!AX25))^0.976,0)+IFERROR(S13_PSP_Species_Support!BB25*0.0673*(S13_PSP_Species_Support!BC25*(S13_PSP_Species_Support!BD25*(1-EXP(-S13_PSP_Species_Support!BE25*7))^S13_PSP_Species_Support!BF25)^2*(S13_PSP_Species_Support!BG25*(1-EXP(-S13_PSP_Species_Support!BH25*7))^S13_PSP_Species_Support!BI25))^0.976,0)+IFERROR(S13_PSP_Species_Support!BM25*0.0673*(S13_PSP_Species_Support!BN25*(S13_PSP_Species_Support!BO25*(1-EXP(-S13_PSP_Species_Support!BP25*7))^S13_PSP_Species_Support!BQ25)^2*(S13_PSP_Species_Support!BR25*(1-EXP(-S13_PSP_Species_Support!BS25*7))^S13_PSP_Species_Support!BT25))^0.976,0)+IFERROR(S13_PSP_Species_Support!BX25*0.0673*(S13_PSP_Species_Support!BY25*(S13_PSP_Species_Support!BZ25*(1-EXP(-S13_PSP_Species_Support!CA25*7))^S13_PSP_Species_Support!CB25)^2*(S13_PSP_Species_Support!CC25*(1-EXP(-S13_PSP_Species_Support!CD25*7))^S13_PSP_Species_Support!CE25))^0.976,0)+IFERROR(S13_PSP_Species_Support!CI25*0.0673*(S13_PSP_Species_Support!CJ25*(S13_PSP_Species_Support!CK25*(1-EXP(-S13_PSP_Species_Support!CL25*7))^S13_PSP_Species_Support!CM25)^2*(S13_PSP_Species_Support!CN25*(1-EXP(-S13_PSP_Species_Support!CO25*7))^S13_PSP_Species_Support!CP25))^0.976,0)+IFERROR(S13_PSP_Species_Support!CT25*0.0673*(S13_PSP_Species_Support!CU25*(S13_PSP_Species_Support!CV25*(1-EXP(-S13_PSP_Species_Support!CW25*7))^S13_PSP_Species_Support!CX25)^2*(S13_PSP_Species_Support!CY25*(1-EXP(-S13_PSP_Species_Support!CZ25*7))^S13_PSP_Species_Support!DA25))^0.976,0))/1000/$G38*P$108,0)</x:f>
        <x:v>38.61063165594616</x:v>
      </x:c>
      <x:c r="Q38" s="147" t="n">
        <x:f aca="0">IFERROR((IFERROR(S13_PSP_Species_Support!U25*0.0673*(S13_PSP_Species_Support!V25*(S13_PSP_Species_Support!W25*(1-EXP(-S13_PSP_Species_Support!X25*8))^S13_PSP_Species_Support!Y25)^2*(S13_PSP_Species_Support!Z25*(1-EXP(-S13_PSP_Species_Support!AA25*8))^S13_PSP_Species_Support!AB25))^0.976,0)+IFERROR(S13_PSP_Species_Support!AF25*0.0673*(S13_PSP_Species_Support!AG25*(S13_PSP_Species_Support!AH25*(1-EXP(-S13_PSP_Species_Support!AI25*8))^S13_PSP_Species_Support!AJ25)^2*(S13_PSP_Species_Support!AK25*(1-EXP(-S13_PSP_Species_Support!AL25*8))^S13_PSP_Species_Support!AM25))^0.976,0)+IFERROR(S13_PSP_Species_Support!AQ25*0.0673*(S13_PSP_Species_Support!AR25*(S13_PSP_Species_Support!AS25*(1-EXP(-S13_PSP_Species_Support!AT25*8))^S13_PSP_Species_Support!AU25)^2*(S13_PSP_Species_Support!AV25*(1-EXP(-S13_PSP_Species_Support!AW25*8))^S13_PSP_Species_Support!AX25))^0.976,0)+IFERROR(S13_PSP_Species_Support!BB25*0.0673*(S13_PSP_Species_Support!BC25*(S13_PSP_Species_Support!BD25*(1-EXP(-S13_PSP_Species_Support!BE25*8))^S13_PSP_Species_Support!BF25)^2*(S13_PSP_Species_Support!BG25*(1-EXP(-S13_PSP_Species_Support!BH25*8))^S13_PSP_Species_Support!BI25))^0.976,0)+IFERROR(S13_PSP_Species_Support!BM25*0.0673*(S13_PSP_Species_Support!BN25*(S13_PSP_Species_Support!BO25*(1-EXP(-S13_PSP_Species_Support!BP25*8))^S13_PSP_Species_Support!BQ25)^2*(S13_PSP_Species_Support!BR25*(1-EXP(-S13_PSP_Species_Support!BS25*8))^S13_PSP_Species_Support!BT25))^0.976,0)+IFERROR(S13_PSP_Species_Support!BX25*0.0673*(S13_PSP_Species_Support!BY25*(S13_PSP_Species_Support!BZ25*(1-EXP(-S13_PSP_Species_Support!CA25*8))^S13_PSP_Species_Support!CB25)^2*(S13_PSP_Species_Support!CC25*(1-EXP(-S13_PSP_Species_Support!CD25*8))^S13_PSP_Species_Support!CE25))^0.976,0)+IFERROR(S13_PSP_Species_Support!CI25*0.0673*(S13_PSP_Species_Support!CJ25*(S13_PSP_Species_Support!CK25*(1-EXP(-S13_PSP_Species_Support!CL25*8))^S13_PSP_Species_Support!CM25)^2*(S13_PSP_Species_Support!CN25*(1-EXP(-S13_PSP_Species_Support!CO25*8))^S13_PSP_Species_Support!CP25))^0.976,0)+IFERROR(S13_PSP_Species_Support!CT25*0.0673*(S13_PSP_Species_Support!CU25*(S13_PSP_Species_Support!CV25*(1-EXP(-S13_PSP_Species_Support!CW25*8))^S13_PSP_Species_Support!CX25)^2*(S13_PSP_Species_Support!CY25*(1-EXP(-S13_PSP_Species_Support!CZ25*8))^S13_PSP_Species_Support!DA25))^0.976,0))/1000/$G38*Q$108,0)</x:f>
        <x:v>52.79194036404085</x:v>
      </x:c>
      <x:c r="R38" s="147" t="n">
        <x:f aca="0">IFERROR((IFERROR(S13_PSP_Species_Support!U25*0.0673*(S13_PSP_Species_Support!V25*(S13_PSP_Species_Support!W25*(1-EXP(-S13_PSP_Species_Support!X25*9))^S13_PSP_Species_Support!Y25)^2*(S13_PSP_Species_Support!Z25*(1-EXP(-S13_PSP_Species_Support!AA25*9))^S13_PSP_Species_Support!AB25))^0.976,0)+IFERROR(S13_PSP_Species_Support!AF25*0.0673*(S13_PSP_Species_Support!AG25*(S13_PSP_Species_Support!AH25*(1-EXP(-S13_PSP_Species_Support!AI25*9))^S13_PSP_Species_Support!AJ25)^2*(S13_PSP_Species_Support!AK25*(1-EXP(-S13_PSP_Species_Support!AL25*9))^S13_PSP_Species_Support!AM25))^0.976,0)+IFERROR(S13_PSP_Species_Support!AQ25*0.0673*(S13_PSP_Species_Support!AR25*(S13_PSP_Species_Support!AS25*(1-EXP(-S13_PSP_Species_Support!AT25*9))^S13_PSP_Species_Support!AU25)^2*(S13_PSP_Species_Support!AV25*(1-EXP(-S13_PSP_Species_Support!AW25*9))^S13_PSP_Species_Support!AX25))^0.976,0)+IFERROR(S13_PSP_Species_Support!BB25*0.0673*(S13_PSP_Species_Support!BC25*(S13_PSP_Species_Support!BD25*(1-EXP(-S13_PSP_Species_Support!BE25*9))^S13_PSP_Species_Support!BF25)^2*(S13_PSP_Species_Support!BG25*(1-EXP(-S13_PSP_Species_Support!BH25*9))^S13_PSP_Species_Support!BI25))^0.976,0)+IFERROR(S13_PSP_Species_Support!BM25*0.0673*(S13_PSP_Species_Support!BN25*(S13_PSP_Species_Support!BO25*(1-EXP(-S13_PSP_Species_Support!BP25*9))^S13_PSP_Species_Support!BQ25)^2*(S13_PSP_Species_Support!BR25*(1-EXP(-S13_PSP_Species_Support!BS25*9))^S13_PSP_Species_Support!BT25))^0.976,0)+IFERROR(S13_PSP_Species_Support!BX25*0.0673*(S13_PSP_Species_Support!BY25*(S13_PSP_Species_Support!BZ25*(1-EXP(-S13_PSP_Species_Support!CA25*9))^S13_PSP_Species_Support!CB25)^2*(S13_PSP_Species_Support!CC25*(1-EXP(-S13_PSP_Species_Support!CD25*9))^S13_PSP_Species_Support!CE25))^0.976,0)+IFERROR(S13_PSP_Species_Support!CI25*0.0673*(S13_PSP_Species_Support!CJ25*(S13_PSP_Species_Support!CK25*(1-EXP(-S13_PSP_Species_Support!CL25*9))^S13_PSP_Species_Support!CM25)^2*(S13_PSP_Species_Support!CN25*(1-EXP(-S13_PSP_Species_Support!CO25*9))^S13_PSP_Species_Support!CP25))^0.976,0)+IFERROR(S13_PSP_Species_Support!CT25*0.0673*(S13_PSP_Species_Support!CU25*(S13_PSP_Species_Support!CV25*(1-EXP(-S13_PSP_Species_Support!CW25*9))^S13_PSP_Species_Support!CX25)^2*(S13_PSP_Species_Support!CY25*(1-EXP(-S13_PSP_Species_Support!CZ25*9))^S13_PSP_Species_Support!DA25))^0.976,0))/1000/$G38*R$108,0)</x:f>
        <x:v>68.1785846251599</x:v>
      </x:c>
      <x:c r="S38" s="147" t="n">
        <x:f aca="0">IFERROR((IFERROR(S13_PSP_Species_Support!U25*0.0673*(S13_PSP_Species_Support!V25*(S13_PSP_Species_Support!W25*(1-EXP(-S13_PSP_Species_Support!X25*10))^S13_PSP_Species_Support!Y25)^2*(S13_PSP_Species_Support!Z25*(1-EXP(-S13_PSP_Species_Support!AA25*10))^S13_PSP_Species_Support!AB25))^0.976,0)+IFERROR(S13_PSP_Species_Support!AF25*0.0673*(S13_PSP_Species_Support!AG25*(S13_PSP_Species_Support!AH25*(1-EXP(-S13_PSP_Species_Support!AI25*10))^S13_PSP_Species_Support!AJ25)^2*(S13_PSP_Species_Support!AK25*(1-EXP(-S13_PSP_Species_Support!AL25*10))^S13_PSP_Species_Support!AM25))^0.976,0)+IFERROR(S13_PSP_Species_Support!AQ25*0.0673*(S13_PSP_Species_Support!AR25*(S13_PSP_Species_Support!AS25*(1-EXP(-S13_PSP_Species_Support!AT25*10))^S13_PSP_Species_Support!AU25)^2*(S13_PSP_Species_Support!AV25*(1-EXP(-S13_PSP_Species_Support!AW25*10))^S13_PSP_Species_Support!AX25))^0.976,0)+IFERROR(S13_PSP_Species_Support!BB25*0.0673*(S13_PSP_Species_Support!BC25*(S13_PSP_Species_Support!BD25*(1-EXP(-S13_PSP_Species_Support!BE25*10))^S13_PSP_Species_Support!BF25)^2*(S13_PSP_Species_Support!BG25*(1-EXP(-S13_PSP_Species_Support!BH25*10))^S13_PSP_Species_Support!BI25))^0.976,0)+IFERROR(S13_PSP_Species_Support!BM25*0.0673*(S13_PSP_Species_Support!BN25*(S13_PSP_Species_Support!BO25*(1-EXP(-S13_PSP_Species_Support!BP25*10))^S13_PSP_Species_Support!BQ25)^2*(S13_PSP_Species_Support!BR25*(1-EXP(-S13_PSP_Species_Support!BS25*10))^S13_PSP_Species_Support!BT25))^0.976,0)+IFERROR(S13_PSP_Species_Support!BX25*0.0673*(S13_PSP_Species_Support!BY25*(S13_PSP_Species_Support!BZ25*(1-EXP(-S13_PSP_Species_Support!CA25*10))^S13_PSP_Species_Support!CB25)^2*(S13_PSP_Species_Support!CC25*(1-EXP(-S13_PSP_Species_Support!CD25*10))^S13_PSP_Species_Support!CE25))^0.976,0)+IFERROR(S13_PSP_Species_Support!CI25*0.0673*(S13_PSP_Species_Support!CJ25*(S13_PSP_Species_Support!CK25*(1-EXP(-S13_PSP_Species_Support!CL25*10))^S13_PSP_Species_Support!CM25)^2*(S13_PSP_Species_Support!CN25*(1-EXP(-S13_PSP_Species_Support!CO25*10))^S13_PSP_Species_Support!CP25))^0.976,0)+IFERROR(S13_PSP_Species_Support!CT25*0.0673*(S13_PSP_Species_Support!CU25*(S13_PSP_Species_Support!CV25*(1-EXP(-S13_PSP_Species_Support!CW25*10))^S13_PSP_Species_Support!CX25)^2*(S13_PSP_Species_Support!CY25*(1-EXP(-S13_PSP_Species_Support!CZ25*10))^S13_PSP_Species_Support!DA25))^0.976,0))/1000/$G38*S$108,0)</x:f>
        <x:v>84.27470196391764</x:v>
      </x:c>
      <x:c r="T38" s="147" t="n">
        <x:f aca="0">IFERROR((IFERROR(S13_PSP_Species_Support!U25*0.0673*(S13_PSP_Species_Support!V25*(S13_PSP_Species_Support!W25*(1-EXP(-S13_PSP_Species_Support!X25*11))^S13_PSP_Species_Support!Y25)^2*(S13_PSP_Species_Support!Z25*(1-EXP(-S13_PSP_Species_Support!AA25*11))^S13_PSP_Species_Support!AB25))^0.976,0)+IFERROR(S13_PSP_Species_Support!AF25*0.0673*(S13_PSP_Species_Support!AG25*(S13_PSP_Species_Support!AH25*(1-EXP(-S13_PSP_Species_Support!AI25*11))^S13_PSP_Species_Support!AJ25)^2*(S13_PSP_Species_Support!AK25*(1-EXP(-S13_PSP_Species_Support!AL25*11))^S13_PSP_Species_Support!AM25))^0.976,0)+IFERROR(S13_PSP_Species_Support!AQ25*0.0673*(S13_PSP_Species_Support!AR25*(S13_PSP_Species_Support!AS25*(1-EXP(-S13_PSP_Species_Support!AT25*11))^S13_PSP_Species_Support!AU25)^2*(S13_PSP_Species_Support!AV25*(1-EXP(-S13_PSP_Species_Support!AW25*11))^S13_PSP_Species_Support!AX25))^0.976,0)+IFERROR(S13_PSP_Species_Support!BB25*0.0673*(S13_PSP_Species_Support!BC25*(S13_PSP_Species_Support!BD25*(1-EXP(-S13_PSP_Species_Support!BE25*11))^S13_PSP_Species_Support!BF25)^2*(S13_PSP_Species_Support!BG25*(1-EXP(-S13_PSP_Species_Support!BH25*11))^S13_PSP_Species_Support!BI25))^0.976,0)+IFERROR(S13_PSP_Species_Support!BM25*0.0673*(S13_PSP_Species_Support!BN25*(S13_PSP_Species_Support!BO25*(1-EXP(-S13_PSP_Species_Support!BP25*11))^S13_PSP_Species_Support!BQ25)^2*(S13_PSP_Species_Support!BR25*(1-EXP(-S13_PSP_Species_Support!BS25*11))^S13_PSP_Species_Support!BT25))^0.976,0)+IFERROR(S13_PSP_Species_Support!BX25*0.0673*(S13_PSP_Species_Support!BY25*(S13_PSP_Species_Support!BZ25*(1-EXP(-S13_PSP_Species_Support!CA25*11))^S13_PSP_Species_Support!CB25)^2*(S13_PSP_Species_Support!CC25*(1-EXP(-S13_PSP_Species_Support!CD25*11))^S13_PSP_Species_Support!CE25))^0.976,0)+IFERROR(S13_PSP_Species_Support!CI25*0.0673*(S13_PSP_Species_Support!CJ25*(S13_PSP_Species_Support!CK25*(1-EXP(-S13_PSP_Species_Support!CL25*11))^S13_PSP_Species_Support!CM25)^2*(S13_PSP_Species_Support!CN25*(1-EXP(-S13_PSP_Species_Support!CO25*11))^S13_PSP_Species_Support!CP25))^0.976,0)+IFERROR(S13_PSP_Species_Support!CT25*0.0673*(S13_PSP_Species_Support!CU25*(S13_PSP_Species_Support!CV25*(1-EXP(-S13_PSP_Species_Support!CW25*11))^S13_PSP_Species_Support!CX25)^2*(S13_PSP_Species_Support!CY25*(1-EXP(-S13_PSP_Species_Support!CZ25*11))^S13_PSP_Species_Support!DA25))^0.976,0))/1000/$G38*T$108,0)</x:f>
        <x:v>100.64326495140483</x:v>
      </x:c>
      <x:c r="U38" s="147" t="n">
        <x:f aca="0">IFERROR((IFERROR(S13_PSP_Species_Support!U25*0.0673*(S13_PSP_Species_Support!V25*(S13_PSP_Species_Support!W25*(1-EXP(-S13_PSP_Species_Support!X25*12))^S13_PSP_Species_Support!Y25)^2*(S13_PSP_Species_Support!Z25*(1-EXP(-S13_PSP_Species_Support!AA25*12))^S13_PSP_Species_Support!AB25))^0.976,0)+IFERROR(S13_PSP_Species_Support!AF25*0.0673*(S13_PSP_Species_Support!AG25*(S13_PSP_Species_Support!AH25*(1-EXP(-S13_PSP_Species_Support!AI25*12))^S13_PSP_Species_Support!AJ25)^2*(S13_PSP_Species_Support!AK25*(1-EXP(-S13_PSP_Species_Support!AL25*12))^S13_PSP_Species_Support!AM25))^0.976,0)+IFERROR(S13_PSP_Species_Support!AQ25*0.0673*(S13_PSP_Species_Support!AR25*(S13_PSP_Species_Support!AS25*(1-EXP(-S13_PSP_Species_Support!AT25*12))^S13_PSP_Species_Support!AU25)^2*(S13_PSP_Species_Support!AV25*(1-EXP(-S13_PSP_Species_Support!AW25*12))^S13_PSP_Species_Support!AX25))^0.976,0)+IFERROR(S13_PSP_Species_Support!BB25*0.0673*(S13_PSP_Species_Support!BC25*(S13_PSP_Species_Support!BD25*(1-EXP(-S13_PSP_Species_Support!BE25*12))^S13_PSP_Species_Support!BF25)^2*(S13_PSP_Species_Support!BG25*(1-EXP(-S13_PSP_Species_Support!BH25*12))^S13_PSP_Species_Support!BI25))^0.976,0)+IFERROR(S13_PSP_Species_Support!BM25*0.0673*(S13_PSP_Species_Support!BN25*(S13_PSP_Species_Support!BO25*(1-EXP(-S13_PSP_Species_Support!BP25*12))^S13_PSP_Species_Support!BQ25)^2*(S13_PSP_Species_Support!BR25*(1-EXP(-S13_PSP_Species_Support!BS25*12))^S13_PSP_Species_Support!BT25))^0.976,0)+IFERROR(S13_PSP_Species_Support!BX25*0.0673*(S13_PSP_Species_Support!BY25*(S13_PSP_Species_Support!BZ25*(1-EXP(-S13_PSP_Species_Support!CA25*12))^S13_PSP_Species_Support!CB25)^2*(S13_PSP_Species_Support!CC25*(1-EXP(-S13_PSP_Species_Support!CD25*12))^S13_PSP_Species_Support!CE25))^0.976,0)+IFERROR(S13_PSP_Species_Support!CI25*0.0673*(S13_PSP_Species_Support!CJ25*(S13_PSP_Species_Support!CK25*(1-EXP(-S13_PSP_Species_Support!CL25*12))^S13_PSP_Species_Support!CM25)^2*(S13_PSP_Species_Support!CN25*(1-EXP(-S13_PSP_Species_Support!CO25*12))^S13_PSP_Species_Support!CP25))^0.976,0)+IFERROR(S13_PSP_Species_Support!CT25*0.0673*(S13_PSP_Species_Support!CU25*(S13_PSP_Species_Support!CV25*(1-EXP(-S13_PSP_Species_Support!CW25*12))^S13_PSP_Species_Support!CX25)^2*(S13_PSP_Species_Support!CY25*(1-EXP(-S13_PSP_Species_Support!CZ25*12))^S13_PSP_Species_Support!DA25))^0.976,0))/1000/$G38*U$108,0)</x:f>
        <x:v>116.9202656094822</x:v>
      </x:c>
      <x:c r="V38" s="147" t="n">
        <x:f aca="0">IFERROR((IFERROR(S13_PSP_Species_Support!U25*0.0673*(S13_PSP_Species_Support!V25*(S13_PSP_Species_Support!W25*(1-EXP(-S13_PSP_Species_Support!X25*13))^S13_PSP_Species_Support!Y25)^2*(S13_PSP_Species_Support!Z25*(1-EXP(-S13_PSP_Species_Support!AA25*13))^S13_PSP_Species_Support!AB25))^0.976,0)+IFERROR(S13_PSP_Species_Support!AF25*0.0673*(S13_PSP_Species_Support!AG25*(S13_PSP_Species_Support!AH25*(1-EXP(-S13_PSP_Species_Support!AI25*13))^S13_PSP_Species_Support!AJ25)^2*(S13_PSP_Species_Support!AK25*(1-EXP(-S13_PSP_Species_Support!AL25*13))^S13_PSP_Species_Support!AM25))^0.976,0)+IFERROR(S13_PSP_Species_Support!AQ25*0.0673*(S13_PSP_Species_Support!AR25*(S13_PSP_Species_Support!AS25*(1-EXP(-S13_PSP_Species_Support!AT25*13))^S13_PSP_Species_Support!AU25)^2*(S13_PSP_Species_Support!AV25*(1-EXP(-S13_PSP_Species_Support!AW25*13))^S13_PSP_Species_Support!AX25))^0.976,0)+IFERROR(S13_PSP_Species_Support!BB25*0.0673*(S13_PSP_Species_Support!BC25*(S13_PSP_Species_Support!BD25*(1-EXP(-S13_PSP_Species_Support!BE25*13))^S13_PSP_Species_Support!BF25)^2*(S13_PSP_Species_Support!BG25*(1-EXP(-S13_PSP_Species_Support!BH25*13))^S13_PSP_Species_Support!BI25))^0.976,0)+IFERROR(S13_PSP_Species_Support!BM25*0.0673*(S13_PSP_Species_Support!BN25*(S13_PSP_Species_Support!BO25*(1-EXP(-S13_PSP_Species_Support!BP25*13))^S13_PSP_Species_Support!BQ25)^2*(S13_PSP_Species_Support!BR25*(1-EXP(-S13_PSP_Species_Support!BS25*13))^S13_PSP_Species_Support!BT25))^0.976,0)+IFERROR(S13_PSP_Species_Support!BX25*0.0673*(S13_PSP_Species_Support!BY25*(S13_PSP_Species_Support!BZ25*(1-EXP(-S13_PSP_Species_Support!CA25*13))^S13_PSP_Species_Support!CB25)^2*(S13_PSP_Species_Support!CC25*(1-EXP(-S13_PSP_Species_Support!CD25*13))^S13_PSP_Species_Support!CE25))^0.976,0)+IFERROR(S13_PSP_Species_Support!CI25*0.0673*(S13_PSP_Species_Support!CJ25*(S13_PSP_Species_Support!CK25*(1-EXP(-S13_PSP_Species_Support!CL25*13))^S13_PSP_Species_Support!CM25)^2*(S13_PSP_Species_Support!CN25*(1-EXP(-S13_PSP_Species_Support!CO25*13))^S13_PSP_Species_Support!CP25))^0.976,0)+IFERROR(S13_PSP_Species_Support!CT25*0.0673*(S13_PSP_Species_Support!CU25*(S13_PSP_Species_Support!CV25*(1-EXP(-S13_PSP_Species_Support!CW25*13))^S13_PSP_Species_Support!CX25)^2*(S13_PSP_Species_Support!CY25*(1-EXP(-S13_PSP_Species_Support!CZ25*13))^S13_PSP_Species_Support!DA25))^0.976,0))/1000/$G38*V$108,0)</x:f>
        <x:v>132.81714966817063</x:v>
      </x:c>
      <x:c r="W38" s="147" t="n">
        <x:f aca="0">IFERROR((IFERROR(S13_PSP_Species_Support!U25*0.0673*(S13_PSP_Species_Support!V25*(S13_PSP_Species_Support!W25*(1-EXP(-S13_PSP_Species_Support!X25*14))^S13_PSP_Species_Support!Y25)^2*(S13_PSP_Species_Support!Z25*(1-EXP(-S13_PSP_Species_Support!AA25*14))^S13_PSP_Species_Support!AB25))^0.976,0)+IFERROR(S13_PSP_Species_Support!AF25*0.0673*(S13_PSP_Species_Support!AG25*(S13_PSP_Species_Support!AH25*(1-EXP(-S13_PSP_Species_Support!AI25*14))^S13_PSP_Species_Support!AJ25)^2*(S13_PSP_Species_Support!AK25*(1-EXP(-S13_PSP_Species_Support!AL25*14))^S13_PSP_Species_Support!AM25))^0.976,0)+IFERROR(S13_PSP_Species_Support!AQ25*0.0673*(S13_PSP_Species_Support!AR25*(S13_PSP_Species_Support!AS25*(1-EXP(-S13_PSP_Species_Support!AT25*14))^S13_PSP_Species_Support!AU25)^2*(S13_PSP_Species_Support!AV25*(1-EXP(-S13_PSP_Species_Support!AW25*14))^S13_PSP_Species_Support!AX25))^0.976,0)+IFERROR(S13_PSP_Species_Support!BB25*0.0673*(S13_PSP_Species_Support!BC25*(S13_PSP_Species_Support!BD25*(1-EXP(-S13_PSP_Species_Support!BE25*14))^S13_PSP_Species_Support!BF25)^2*(S13_PSP_Species_Support!BG25*(1-EXP(-S13_PSP_Species_Support!BH25*14))^S13_PSP_Species_Support!BI25))^0.976,0)+IFERROR(S13_PSP_Species_Support!BM25*0.0673*(S13_PSP_Species_Support!BN25*(S13_PSP_Species_Support!BO25*(1-EXP(-S13_PSP_Species_Support!BP25*14))^S13_PSP_Species_Support!BQ25)^2*(S13_PSP_Species_Support!BR25*(1-EXP(-S13_PSP_Species_Support!BS25*14))^S13_PSP_Species_Support!BT25))^0.976,0)+IFERROR(S13_PSP_Species_Support!BX25*0.0673*(S13_PSP_Species_Support!BY25*(S13_PSP_Species_Support!BZ25*(1-EXP(-S13_PSP_Species_Support!CA25*14))^S13_PSP_Species_Support!CB25)^2*(S13_PSP_Species_Support!CC25*(1-EXP(-S13_PSP_Species_Support!CD25*14))^S13_PSP_Species_Support!CE25))^0.976,0)+IFERROR(S13_PSP_Species_Support!CI25*0.0673*(S13_PSP_Species_Support!CJ25*(S13_PSP_Species_Support!CK25*(1-EXP(-S13_PSP_Species_Support!CL25*14))^S13_PSP_Species_Support!CM25)^2*(S13_PSP_Species_Support!CN25*(1-EXP(-S13_PSP_Species_Support!CO25*14))^S13_PSP_Species_Support!CP25))^0.976,0)+IFERROR(S13_PSP_Species_Support!CT25*0.0673*(S13_PSP_Species_Support!CU25*(S13_PSP_Species_Support!CV25*(1-EXP(-S13_PSP_Species_Support!CW25*14))^S13_PSP_Species_Support!CX25)^2*(S13_PSP_Species_Support!CY25*(1-EXP(-S13_PSP_Species_Support!CZ25*14))^S13_PSP_Species_Support!DA25))^0.976,0))/1000/$G38*W$108,0)</x:f>
        <x:v>148.11629210512862</x:v>
      </x:c>
      <x:c r="X38" s="147" t="n">
        <x:f aca="0">IFERROR((IFERROR(S13_PSP_Species_Support!U25*0.0673*(S13_PSP_Species_Support!V25*(S13_PSP_Species_Support!W25*(1-EXP(-S13_PSP_Species_Support!X25*15))^S13_PSP_Species_Support!Y25)^2*(S13_PSP_Species_Support!Z25*(1-EXP(-S13_PSP_Species_Support!AA25*15))^S13_PSP_Species_Support!AB25))^0.976,0)+IFERROR(S13_PSP_Species_Support!AF25*0.0673*(S13_PSP_Species_Support!AG25*(S13_PSP_Species_Support!AH25*(1-EXP(-S13_PSP_Species_Support!AI25*15))^S13_PSP_Species_Support!AJ25)^2*(S13_PSP_Species_Support!AK25*(1-EXP(-S13_PSP_Species_Support!AL25*15))^S13_PSP_Species_Support!AM25))^0.976,0)+IFERROR(S13_PSP_Species_Support!AQ25*0.0673*(S13_PSP_Species_Support!AR25*(S13_PSP_Species_Support!AS25*(1-EXP(-S13_PSP_Species_Support!AT25*15))^S13_PSP_Species_Support!AU25)^2*(S13_PSP_Species_Support!AV25*(1-EXP(-S13_PSP_Species_Support!AW25*15))^S13_PSP_Species_Support!AX25))^0.976,0)+IFERROR(S13_PSP_Species_Support!BB25*0.0673*(S13_PSP_Species_Support!BC25*(S13_PSP_Species_Support!BD25*(1-EXP(-S13_PSP_Species_Support!BE25*15))^S13_PSP_Species_Support!BF25)^2*(S13_PSP_Species_Support!BG25*(1-EXP(-S13_PSP_Species_Support!BH25*15))^S13_PSP_Species_Support!BI25))^0.976,0)+IFERROR(S13_PSP_Species_Support!BM25*0.0673*(S13_PSP_Species_Support!BN25*(S13_PSP_Species_Support!BO25*(1-EXP(-S13_PSP_Species_Support!BP25*15))^S13_PSP_Species_Support!BQ25)^2*(S13_PSP_Species_Support!BR25*(1-EXP(-S13_PSP_Species_Support!BS25*15))^S13_PSP_Species_Support!BT25))^0.976,0)+IFERROR(S13_PSP_Species_Support!BX25*0.0673*(S13_PSP_Species_Support!BY25*(S13_PSP_Species_Support!BZ25*(1-EXP(-S13_PSP_Species_Support!CA25*15))^S13_PSP_Species_Support!CB25)^2*(S13_PSP_Species_Support!CC25*(1-EXP(-S13_PSP_Species_Support!CD25*15))^S13_PSP_Species_Support!CE25))^0.976,0)+IFERROR(S13_PSP_Species_Support!CI25*0.0673*(S13_PSP_Species_Support!CJ25*(S13_PSP_Species_Support!CK25*(1-EXP(-S13_PSP_Species_Support!CL25*15))^S13_PSP_Species_Support!CM25)^2*(S13_PSP_Species_Support!CN25*(1-EXP(-S13_PSP_Species_Support!CO25*15))^S13_PSP_Species_Support!CP25))^0.976,0)+IFERROR(S13_PSP_Species_Support!CT25*0.0673*(S13_PSP_Species_Support!CU25*(S13_PSP_Species_Support!CV25*(1-EXP(-S13_PSP_Species_Support!CW25*15))^S13_PSP_Species_Support!CX25)^2*(S13_PSP_Species_Support!CY25*(1-EXP(-S13_PSP_Species_Support!CZ25*15))^S13_PSP_Species_Support!DA25))^0.976,0))/1000/$G38*X$108,0)</x:f>
        <x:v>162.66284234157965</x:v>
      </x:c>
      <x:c r="Y38" s="147" t="n">
        <x:f aca="0">IFERROR((IFERROR(S13_PSP_Species_Support!U25*0.0673*(S13_PSP_Species_Support!V25*(S13_PSP_Species_Support!W25*(1-EXP(-S13_PSP_Species_Support!X25*16))^S13_PSP_Species_Support!Y25)^2*(S13_PSP_Species_Support!Z25*(1-EXP(-S13_PSP_Species_Support!AA25*16))^S13_PSP_Species_Support!AB25))^0.976,0)+IFERROR(S13_PSP_Species_Support!AF25*0.0673*(S13_PSP_Species_Support!AG25*(S13_PSP_Species_Support!AH25*(1-EXP(-S13_PSP_Species_Support!AI25*16))^S13_PSP_Species_Support!AJ25)^2*(S13_PSP_Species_Support!AK25*(1-EXP(-S13_PSP_Species_Support!AL25*16))^S13_PSP_Species_Support!AM25))^0.976,0)+IFERROR(S13_PSP_Species_Support!AQ25*0.0673*(S13_PSP_Species_Support!AR25*(S13_PSP_Species_Support!AS25*(1-EXP(-S13_PSP_Species_Support!AT25*16))^S13_PSP_Species_Support!AU25)^2*(S13_PSP_Species_Support!AV25*(1-EXP(-S13_PSP_Species_Support!AW25*16))^S13_PSP_Species_Support!AX25))^0.976,0)+IFERROR(S13_PSP_Species_Support!BB25*0.0673*(S13_PSP_Species_Support!BC25*(S13_PSP_Species_Support!BD25*(1-EXP(-S13_PSP_Species_Support!BE25*16))^S13_PSP_Species_Support!BF25)^2*(S13_PSP_Species_Support!BG25*(1-EXP(-S13_PSP_Species_Support!BH25*16))^S13_PSP_Species_Support!BI25))^0.976,0)+IFERROR(S13_PSP_Species_Support!BM25*0.0673*(S13_PSP_Species_Support!BN25*(S13_PSP_Species_Support!BO25*(1-EXP(-S13_PSP_Species_Support!BP25*16))^S13_PSP_Species_Support!BQ25)^2*(S13_PSP_Species_Support!BR25*(1-EXP(-S13_PSP_Species_Support!BS25*16))^S13_PSP_Species_Support!BT25))^0.976,0)+IFERROR(S13_PSP_Species_Support!BX25*0.0673*(S13_PSP_Species_Support!BY25*(S13_PSP_Species_Support!BZ25*(1-EXP(-S13_PSP_Species_Support!CA25*16))^S13_PSP_Species_Support!CB25)^2*(S13_PSP_Species_Support!CC25*(1-EXP(-S13_PSP_Species_Support!CD25*16))^S13_PSP_Species_Support!CE25))^0.976,0)+IFERROR(S13_PSP_Species_Support!CI25*0.0673*(S13_PSP_Species_Support!CJ25*(S13_PSP_Species_Support!CK25*(1-EXP(-S13_PSP_Species_Support!CL25*16))^S13_PSP_Species_Support!CM25)^2*(S13_PSP_Species_Support!CN25*(1-EXP(-S13_PSP_Species_Support!CO25*16))^S13_PSP_Species_Support!CP25))^0.976,0)+IFERROR(S13_PSP_Species_Support!CT25*0.0673*(S13_PSP_Species_Support!CU25*(S13_PSP_Species_Support!CV25*(1-EXP(-S13_PSP_Species_Support!CW25*16))^S13_PSP_Species_Support!CX25)^2*(S13_PSP_Species_Support!CY25*(1-EXP(-S13_PSP_Species_Support!CZ25*16))^S13_PSP_Species_Support!DA25))^0.976,0))/1000/$G38*Y$108,0)</x:f>
        <x:v>176.35511993279303</x:v>
      </x:c>
      <x:c r="Z38" s="147" t="n">
        <x:f aca="0">IFERROR((IFERROR(S13_PSP_Species_Support!U25*0.0673*(S13_PSP_Species_Support!V25*(S13_PSP_Species_Support!W25*(1-EXP(-S13_PSP_Species_Support!X25*17))^S13_PSP_Species_Support!Y25)^2*(S13_PSP_Species_Support!Z25*(1-EXP(-S13_PSP_Species_Support!AA25*17))^S13_PSP_Species_Support!AB25))^0.976,0)+IFERROR(S13_PSP_Species_Support!AF25*0.0673*(S13_PSP_Species_Support!AG25*(S13_PSP_Species_Support!AH25*(1-EXP(-S13_PSP_Species_Support!AI25*17))^S13_PSP_Species_Support!AJ25)^2*(S13_PSP_Species_Support!AK25*(1-EXP(-S13_PSP_Species_Support!AL25*17))^S13_PSP_Species_Support!AM25))^0.976,0)+IFERROR(S13_PSP_Species_Support!AQ25*0.0673*(S13_PSP_Species_Support!AR25*(S13_PSP_Species_Support!AS25*(1-EXP(-S13_PSP_Species_Support!AT25*17))^S13_PSP_Species_Support!AU25)^2*(S13_PSP_Species_Support!AV25*(1-EXP(-S13_PSP_Species_Support!AW25*17))^S13_PSP_Species_Support!AX25))^0.976,0)+IFERROR(S13_PSP_Species_Support!BB25*0.0673*(S13_PSP_Species_Support!BC25*(S13_PSP_Species_Support!BD25*(1-EXP(-S13_PSP_Species_Support!BE25*17))^S13_PSP_Species_Support!BF25)^2*(S13_PSP_Species_Support!BG25*(1-EXP(-S13_PSP_Species_Support!BH25*17))^S13_PSP_Species_Support!BI25))^0.976,0)+IFERROR(S13_PSP_Species_Support!BM25*0.0673*(S13_PSP_Species_Support!BN25*(S13_PSP_Species_Support!BO25*(1-EXP(-S13_PSP_Species_Support!BP25*17))^S13_PSP_Species_Support!BQ25)^2*(S13_PSP_Species_Support!BR25*(1-EXP(-S13_PSP_Species_Support!BS25*17))^S13_PSP_Species_Support!BT25))^0.976,0)+IFERROR(S13_PSP_Species_Support!BX25*0.0673*(S13_PSP_Species_Support!BY25*(S13_PSP_Species_Support!BZ25*(1-EXP(-S13_PSP_Species_Support!CA25*17))^S13_PSP_Species_Support!CB25)^2*(S13_PSP_Species_Support!CC25*(1-EXP(-S13_PSP_Species_Support!CD25*17))^S13_PSP_Species_Support!CE25))^0.976,0)+IFERROR(S13_PSP_Species_Support!CI25*0.0673*(S13_PSP_Species_Support!CJ25*(S13_PSP_Species_Support!CK25*(1-EXP(-S13_PSP_Species_Support!CL25*17))^S13_PSP_Species_Support!CM25)^2*(S13_PSP_Species_Support!CN25*(1-EXP(-S13_PSP_Species_Support!CO25*17))^S13_PSP_Species_Support!CP25))^0.976,0)+IFERROR(S13_PSP_Species_Support!CT25*0.0673*(S13_PSP_Species_Support!CU25*(S13_PSP_Species_Support!CV25*(1-EXP(-S13_PSP_Species_Support!CW25*17))^S13_PSP_Species_Support!CX25)^2*(S13_PSP_Species_Support!CY25*(1-EXP(-S13_PSP_Species_Support!CZ25*17))^S13_PSP_Species_Support!DA25))^0.976,0))/1000/$G38*Z$108,0)</x:f>
        <x:v>189.13490581087578</x:v>
      </x:c>
      <x:c r="AA38" s="147" t="n">
        <x:f aca="0">IFERROR((IFERROR(S13_PSP_Species_Support!U25*0.0673*(S13_PSP_Species_Support!V25*(S13_PSP_Species_Support!W25*(1-EXP(-S13_PSP_Species_Support!X25*18))^S13_PSP_Species_Support!Y25)^2*(S13_PSP_Species_Support!Z25*(1-EXP(-S13_PSP_Species_Support!AA25*18))^S13_PSP_Species_Support!AB25))^0.976,0)+IFERROR(S13_PSP_Species_Support!AF25*0.0673*(S13_PSP_Species_Support!AG25*(S13_PSP_Species_Support!AH25*(1-EXP(-S13_PSP_Species_Support!AI25*18))^S13_PSP_Species_Support!AJ25)^2*(S13_PSP_Species_Support!AK25*(1-EXP(-S13_PSP_Species_Support!AL25*18))^S13_PSP_Species_Support!AM25))^0.976,0)+IFERROR(S13_PSP_Species_Support!AQ25*0.0673*(S13_PSP_Species_Support!AR25*(S13_PSP_Species_Support!AS25*(1-EXP(-S13_PSP_Species_Support!AT25*18))^S13_PSP_Species_Support!AU25)^2*(S13_PSP_Species_Support!AV25*(1-EXP(-S13_PSP_Species_Support!AW25*18))^S13_PSP_Species_Support!AX25))^0.976,0)+IFERROR(S13_PSP_Species_Support!BB25*0.0673*(S13_PSP_Species_Support!BC25*(S13_PSP_Species_Support!BD25*(1-EXP(-S13_PSP_Species_Support!BE25*18))^S13_PSP_Species_Support!BF25)^2*(S13_PSP_Species_Support!BG25*(1-EXP(-S13_PSP_Species_Support!BH25*18))^S13_PSP_Species_Support!BI25))^0.976,0)+IFERROR(S13_PSP_Species_Support!BM25*0.0673*(S13_PSP_Species_Support!BN25*(S13_PSP_Species_Support!BO25*(1-EXP(-S13_PSP_Species_Support!BP25*18))^S13_PSP_Species_Support!BQ25)^2*(S13_PSP_Species_Support!BR25*(1-EXP(-S13_PSP_Species_Support!BS25*18))^S13_PSP_Species_Support!BT25))^0.976,0)+IFERROR(S13_PSP_Species_Support!BX25*0.0673*(S13_PSP_Species_Support!BY25*(S13_PSP_Species_Support!BZ25*(1-EXP(-S13_PSP_Species_Support!CA25*18))^S13_PSP_Species_Support!CB25)^2*(S13_PSP_Species_Support!CC25*(1-EXP(-S13_PSP_Species_Support!CD25*18))^S13_PSP_Species_Support!CE25))^0.976,0)+IFERROR(S13_PSP_Species_Support!CI25*0.0673*(S13_PSP_Species_Support!CJ25*(S13_PSP_Species_Support!CK25*(1-EXP(-S13_PSP_Species_Support!CL25*18))^S13_PSP_Species_Support!CM25)^2*(S13_PSP_Species_Support!CN25*(1-EXP(-S13_PSP_Species_Support!CO25*18))^S13_PSP_Species_Support!CP25))^0.976,0)+IFERROR(S13_PSP_Species_Support!CT25*0.0673*(S13_PSP_Species_Support!CU25*(S13_PSP_Species_Support!CV25*(1-EXP(-S13_PSP_Species_Support!CW25*18))^S13_PSP_Species_Support!CX25)^2*(S13_PSP_Species_Support!CY25*(1-EXP(-S13_PSP_Species_Support!CZ25*18))^S13_PSP_Species_Support!DA25))^0.976,0))/1000/$G38*AA$108,0)</x:f>
        <x:v>200.97839548190814</x:v>
      </x:c>
      <x:c r="AB38" s="147" t="n">
        <x:f aca="0">IFERROR((IFERROR(S13_PSP_Species_Support!U25*0.0673*(S13_PSP_Species_Support!V25*(S13_PSP_Species_Support!W25*(1-EXP(-S13_PSP_Species_Support!X25*19))^S13_PSP_Species_Support!Y25)^2*(S13_PSP_Species_Support!Z25*(1-EXP(-S13_PSP_Species_Support!AA25*19))^S13_PSP_Species_Support!AB25))^0.976,0)+IFERROR(S13_PSP_Species_Support!AF25*0.0673*(S13_PSP_Species_Support!AG25*(S13_PSP_Species_Support!AH25*(1-EXP(-S13_PSP_Species_Support!AI25*19))^S13_PSP_Species_Support!AJ25)^2*(S13_PSP_Species_Support!AK25*(1-EXP(-S13_PSP_Species_Support!AL25*19))^S13_PSP_Species_Support!AM25))^0.976,0)+IFERROR(S13_PSP_Species_Support!AQ25*0.0673*(S13_PSP_Species_Support!AR25*(S13_PSP_Species_Support!AS25*(1-EXP(-S13_PSP_Species_Support!AT25*19))^S13_PSP_Species_Support!AU25)^2*(S13_PSP_Species_Support!AV25*(1-EXP(-S13_PSP_Species_Support!AW25*19))^S13_PSP_Species_Support!AX25))^0.976,0)+IFERROR(S13_PSP_Species_Support!BB25*0.0673*(S13_PSP_Species_Support!BC25*(S13_PSP_Species_Support!BD25*(1-EXP(-S13_PSP_Species_Support!BE25*19))^S13_PSP_Species_Support!BF25)^2*(S13_PSP_Species_Support!BG25*(1-EXP(-S13_PSP_Species_Support!BH25*19))^S13_PSP_Species_Support!BI25))^0.976,0)+IFERROR(S13_PSP_Species_Support!BM25*0.0673*(S13_PSP_Species_Support!BN25*(S13_PSP_Species_Support!BO25*(1-EXP(-S13_PSP_Species_Support!BP25*19))^S13_PSP_Species_Support!BQ25)^2*(S13_PSP_Species_Support!BR25*(1-EXP(-S13_PSP_Species_Support!BS25*19))^S13_PSP_Species_Support!BT25))^0.976,0)+IFERROR(S13_PSP_Species_Support!BX25*0.0673*(S13_PSP_Species_Support!BY25*(S13_PSP_Species_Support!BZ25*(1-EXP(-S13_PSP_Species_Support!CA25*19))^S13_PSP_Species_Support!CB25)^2*(S13_PSP_Species_Support!CC25*(1-EXP(-S13_PSP_Species_Support!CD25*19))^S13_PSP_Species_Support!CE25))^0.976,0)+IFERROR(S13_PSP_Species_Support!CI25*0.0673*(S13_PSP_Species_Support!CJ25*(S13_PSP_Species_Support!CK25*(1-EXP(-S13_PSP_Species_Support!CL25*19))^S13_PSP_Species_Support!CM25)^2*(S13_PSP_Species_Support!CN25*(1-EXP(-S13_PSP_Species_Support!CO25*19))^S13_PSP_Species_Support!CP25))^0.976,0)+IFERROR(S13_PSP_Species_Support!CT25*0.0673*(S13_PSP_Species_Support!CU25*(S13_PSP_Species_Support!CV25*(1-EXP(-S13_PSP_Species_Support!CW25*19))^S13_PSP_Species_Support!CX25)^2*(S13_PSP_Species_Support!CY25*(1-EXP(-S13_PSP_Species_Support!CZ25*19))^S13_PSP_Species_Support!DA25))^0.976,0))/1000/$G38*AB$108,0)</x:f>
        <x:v>211.888196747042</x:v>
      </x:c>
      <x:c r="AC38" s="147" t="n">
        <x:f aca="0">IFERROR((IFERROR(S13_PSP_Species_Support!U25*0.0673*(S13_PSP_Species_Support!V25*(S13_PSP_Species_Support!W25*(1-EXP(-S13_PSP_Species_Support!X25*20))^S13_PSP_Species_Support!Y25)^2*(S13_PSP_Species_Support!Z25*(1-EXP(-S13_PSP_Species_Support!AA25*20))^S13_PSP_Species_Support!AB25))^0.976,0)+IFERROR(S13_PSP_Species_Support!AF25*0.0673*(S13_PSP_Species_Support!AG25*(S13_PSP_Species_Support!AH25*(1-EXP(-S13_PSP_Species_Support!AI25*20))^S13_PSP_Species_Support!AJ25)^2*(S13_PSP_Species_Support!AK25*(1-EXP(-S13_PSP_Species_Support!AL25*20))^S13_PSP_Species_Support!AM25))^0.976,0)+IFERROR(S13_PSP_Species_Support!AQ25*0.0673*(S13_PSP_Species_Support!AR25*(S13_PSP_Species_Support!AS25*(1-EXP(-S13_PSP_Species_Support!AT25*20))^S13_PSP_Species_Support!AU25)^2*(S13_PSP_Species_Support!AV25*(1-EXP(-S13_PSP_Species_Support!AW25*20))^S13_PSP_Species_Support!AX25))^0.976,0)+IFERROR(S13_PSP_Species_Support!BB25*0.0673*(S13_PSP_Species_Support!BC25*(S13_PSP_Species_Support!BD25*(1-EXP(-S13_PSP_Species_Support!BE25*20))^S13_PSP_Species_Support!BF25)^2*(S13_PSP_Species_Support!BG25*(1-EXP(-S13_PSP_Species_Support!BH25*20))^S13_PSP_Species_Support!BI25))^0.976,0)+IFERROR(S13_PSP_Species_Support!BM25*0.0673*(S13_PSP_Species_Support!BN25*(S13_PSP_Species_Support!BO25*(1-EXP(-S13_PSP_Species_Support!BP25*20))^S13_PSP_Species_Support!BQ25)^2*(S13_PSP_Species_Support!BR25*(1-EXP(-S13_PSP_Species_Support!BS25*20))^S13_PSP_Species_Support!BT25))^0.976,0)+IFERROR(S13_PSP_Species_Support!BX25*0.0673*(S13_PSP_Species_Support!BY25*(S13_PSP_Species_Support!BZ25*(1-EXP(-S13_PSP_Species_Support!CA25*20))^S13_PSP_Species_Support!CB25)^2*(S13_PSP_Species_Support!CC25*(1-EXP(-S13_PSP_Species_Support!CD25*20))^S13_PSP_Species_Support!CE25))^0.976,0)+IFERROR(S13_PSP_Species_Support!CI25*0.0673*(S13_PSP_Species_Support!CJ25*(S13_PSP_Species_Support!CK25*(1-EXP(-S13_PSP_Species_Support!CL25*20))^S13_PSP_Species_Support!CM25)^2*(S13_PSP_Species_Support!CN25*(1-EXP(-S13_PSP_Species_Support!CO25*20))^S13_PSP_Species_Support!CP25))^0.976,0)+IFERROR(S13_PSP_Species_Support!CT25*0.0673*(S13_PSP_Species_Support!CU25*(S13_PSP_Species_Support!CV25*(1-EXP(-S13_PSP_Species_Support!CW25*20))^S13_PSP_Species_Support!CX25)^2*(S13_PSP_Species_Support!CY25*(1-EXP(-S13_PSP_Species_Support!CZ25*20))^S13_PSP_Species_Support!DA25))^0.976,0))/1000/$G38*AC$108,0)</x:f>
        <x:v>221.88651091189985</x:v>
      </x:c>
      <x:c r="AD38" s="148" t="n">
        <x:f aca="0">IF(2020&lt;$F38,0,INDEX($I38:$AC38,1,2020-$F38+1))</x:f>
        <x:v>0</x:v>
      </x:c>
      <x:c r="AE38" s="148" t="n">
        <x:f aca="0">IF(2021&lt;$F38,0,INDEX($I38:$AC38,1,2021-$F38+1))</x:f>
        <x:v>0.0679183053763788</x:v>
      </x:c>
      <x:c r="AF38" s="148" t="n">
        <x:f aca="0">IF(2022&lt;$F38,0,INDEX($I38:$AC38,1,2022-$F38+1))</x:f>
        <x:v>0.8463493695612492</x:v>
      </x:c>
      <x:c r="AG38" s="148" t="n">
        <x:f aca="0">IF(2023&lt;$F38,0,INDEX($I38:$AC38,1,2023-$F38+1))</x:f>
        <x:v>3.332420892292567</x:v>
      </x:c>
      <x:c r="AH38" s="148" t="n">
        <x:f aca="0">IF(2024&lt;$F38,0,INDEX($I38:$AC38,1,2024-$F38+1))</x:f>
        <x:v>8.273016974019187</x:v>
      </x:c>
      <x:c r="AI38" s="148" t="n">
        <x:f aca="0">IF(2025&lt;$F38,0,INDEX($I38:$AC38,1,2025-$F38+1))</x:f>
        <x:v>15.921746917119728</x:v>
      </x:c>
      <x:c r="AJ38" s="148" t="n">
        <x:f aca="0">IF(2026&lt;$F38,0,INDEX($I38:$AC38,1,2026-$F38+1))</x:f>
        <x:v>26.15700617218386</x:v>
      </x:c>
      <x:c r="AK38" s="148" t="n">
        <x:f aca="0">IF(2027&lt;$F38,0,INDEX($I38:$AC38,1,2027-$F38+1))</x:f>
        <x:v>38.61063165594616</x:v>
      </x:c>
      <x:c r="AL38" s="148" t="n">
        <x:f aca="0">IF(2028&lt;$F38,0,INDEX($I38:$AC38,1,2028-$F38+1))</x:f>
        <x:v>52.79194036404085</x:v>
      </x:c>
      <x:c r="AM38" s="148" t="n">
        <x:f aca="0">IF(2029&lt;$F38,0,INDEX($I38:$AC38,1,2029-$F38+1))</x:f>
        <x:v>68.1785846251599</x:v>
      </x:c>
      <x:c r="AN38" s="148" t="n">
        <x:f aca="0">IF(2030&lt;$F38,0,INDEX($I38:$AC38,1,2030-$F38+1))</x:f>
        <x:v>84.27470196391764</x:v>
      </x:c>
      <x:c r="AO38" s="148" t="n">
        <x:f aca="0">IF(2031&lt;$F38,0,INDEX($I38:$AC38,1,2031-$F38+1))</x:f>
        <x:v>100.64326495140483</x:v>
      </x:c>
      <x:c r="AP38" s="148" t="n">
        <x:f aca="0">IF(2032&lt;$F38,0,INDEX($I38:$AC38,1,2032-$F38+1))</x:f>
        <x:v>116.9202656094822</x:v>
      </x:c>
      <x:c r="AQ38" s="148" t="n">
        <x:f aca="0">IF(2033&lt;$F38,0,INDEX($I38:$AC38,1,2033-$F38+1))</x:f>
        <x:v>132.81714966817063</x:v>
      </x:c>
      <x:c r="AR38" s="148" t="n">
        <x:f aca="0">IF(2034&lt;$F38,0,INDEX($I38:$AC38,1,2034-$F38+1))</x:f>
        <x:v>148.11629210512862</x:v>
      </x:c>
      <x:c r="AS38" s="148" t="n">
        <x:f aca="0">IF(2035&lt;$F38,0,INDEX($I38:$AC38,1,2035-$F38+1))</x:f>
        <x:v>162.66284234157965</x:v>
      </x:c>
      <x:c r="AT38" s="148" t="n">
        <x:f aca="0">IF(2036&lt;$F38,0,INDEX($I38:$AC38,1,2036-$F38+1))</x:f>
        <x:v>176.35511993279303</x:v>
      </x:c>
      <x:c r="AU38" s="148" t="n">
        <x:f aca="0">IF(2037&lt;$F38,0,INDEX($I38:$AC38,1,2037-$F38+1))</x:f>
        <x:v>189.13490581087578</x:v>
      </x:c>
      <x:c r="AV38" s="148" t="n">
        <x:f aca="0">IF(2038&lt;$F38,0,INDEX($I38:$AC38,1,2038-$F38+1))</x:f>
        <x:v>200.97839548190814</x:v>
      </x:c>
      <x:c r="AW38" s="148" t="n">
        <x:f aca="0">IF(2039&lt;$F38,0,INDEX($I38:$AC38,1,2039-$F38+1))</x:f>
        <x:v>211.888196747042</x:v>
      </x:c>
      <x:c r="AX38" s="148" t="n">
        <x:f aca="0">IF(2040&lt;$F38,0,INDEX($I38:$AC38,1,2040-$F38+1))</x:f>
        <x:v>221.88651091189985</x:v>
      </x:c>
      <x:c r="AY38" s="1" t="str">
        <x:f aca="0">LEFT($C38,FIND("@",SUBSTITUTE($C38,"|","@",2))-1)</x:f>
        <x:v>Horti-Silviculture|Medium</x:v>
      </x:c>
      <x:c r="AZ38" s="1" t="str">
        <x:f aca="0">LEFT($C38,FIND("|",$C38)-1)</x:f>
        <x:v>Horti-Silviculture</x:v>
      </x:c>
      <x:c r="BA38" s="149" t="n">
        <x:f aca="0">I38*I38</x:f>
        <x:v>0</x:v>
      </x:c>
      <x:c r="BB38" s="149" t="n">
        <x:f aca="0">J38*J38</x:f>
        <x:v>0.004612896205199045</x:v>
      </x:c>
      <x:c r="BC38" s="149" t="n">
        <x:f aca="0">K38*K38</x:f>
        <x:v>0.7163072553567239</x:v>
      </x:c>
      <x:c r="BD38" s="149" t="n">
        <x:f aca="0">L38*L38</x:f>
        <x:v>11.105029003387987</x:v>
      </x:c>
      <x:c r="BE38" s="149" t="n">
        <x:f aca="0">M38*M38</x:f>
        <x:v>68.4428098524096</x:v>
      </x:c>
      <x:c r="BF38" s="149" t="n">
        <x:f aca="0">N38*N38</x:f>
        <x:v>253.50202489281156</x:v>
      </x:c>
      <x:c r="BG38" s="149" t="n">
        <x:f aca="0">O38*O38</x:f>
        <x:v>684.1889718916646</x:v>
      </x:c>
      <x:c r="BH38" s="149" t="n">
        <x:f aca="0">P38*P38</x:f>
        <x:v>1490.7808768711516</x:v>
      </x:c>
      <x:c r="BI38" s="149" t="n">
        <x:f aca="0">Q38*Q38</x:f>
        <x:v>2786.9889674004453</x:v>
      </x:c>
      <x:c r="BJ38" s="149" t="n">
        <x:f aca="0">R38*R38</x:f>
        <x:v>4648.31940149009</x:v>
      </x:c>
      <x:c r="BK38" s="149" t="n">
        <x:f aca="0">S38*S38</x:f>
        <x:v>7102.225391107143</x:v>
      </x:c>
      <x:c r="BL38" s="149" t="n">
        <x:f aca="0">T38*T38</x:f>
        <x:v>10129.066780078672</x:v>
      </x:c>
      <x:c r="BM38" s="149" t="n">
        <x:f aca="0">U38*U38</x:f>
        <x:v>13670.348510191867</x:v>
      </x:c>
      <x:c r="BN38" s="149" t="n">
        <x:f aca="0">V38*V38</x:f>
        <x:v>17640.395245977237</x:v>
      </x:c>
      <x:c r="BO38" s="149" t="n">
        <x:f aca="0">W38*W38</x:f>
        <x:v>21938.43598697179</x:v>
      </x:c>
      <x:c r="BP38" s="149" t="n">
        <x:f aca="0">X38*X38</x:f>
        <x:v>26459.200278641598</x:v>
      </x:c>
      <x:c r="BQ38" s="149" t="n">
        <x:f aca="0">Y38*Y38</x:f>
        <x:v>31101.128326509814</x:v>
      </x:c>
      <x:c r="BR38" s="149" t="n">
        <x:f aca="0">Z38*Z38</x:f>
        <x:v>35772.012596088854</x:v>
      </x:c>
      <x:c r="BS38" s="149" t="n">
        <x:f aca="0">AA38*AA38</x:f>
        <x:v>40392.315450482274</x:v>
      </x:c>
      <x:c r="BT38" s="149" t="n">
        <x:f aca="0">AB38*AB38</x:f>
        <x:v>44896.607920713184</x:v>
      </x:c>
      <x:c r="BU38" s="149" t="n">
        <x:f aca="0">AC38*AC38</x:f>
        <x:v>49233.62372465665</x:v>
      </x:c>
    </x:row>
    <x:row r="39" ht="15" hidden="0" customHeight="1">
      <x:c r="A39" s="1" t="str">
        <x:f aca="0">S13_PSP_Species_Support!A26</x:f>
        <x:v>PSP-HS-012</x:v>
      </x:c>
      <x:c r="B39" s="1" t="n">
        <x:f aca="0">26</x:f>
        <x:v>26</x:v>
      </x:c>
      <x:c r="C39" s="1" t="str">
        <x:f aca="0">S13_PSP_Species_Support!I26</x:f>
        <x:v>Horti-Silviculture|Medium|2020</x:v>
      </x:c>
      <x:c r="D39" s="1" t="str">
        <x:f aca="0">S13_PSP_Species_Support!C26</x:f>
        <x:v>Horti-Silviculture</x:v>
      </x:c>
      <x:c r="E39" s="1" t="str">
        <x:f aca="0">S13_PSP_Species_Support!D26</x:f>
        <x:v>Medium</x:v>
      </x:c>
      <x:c r="F39" s="1" t="n">
        <x:f aca="0">S13_PSP_Species_Support!E26</x:f>
        <x:v>2020</x:v>
      </x:c>
      <x:c r="G39" s="645" t="n">
        <x:f aca="0">'S13_PSP_Species_Support'!DJ26</x:f>
        <x:v>0.09</x:v>
      </x:c>
      <x:c r="H39" s="714" t="n">
        <x:f aca="0">'S13_PSP_Species_Support'!DK26</x:f>
        <x:v>31.764705882352942</x:v>
      </x:c>
      <x:c r="I39" s="147" t="n">
        <x:f aca="0">IFERROR((IFERROR(S13_PSP_Species_Support!U26*0.0673*(S13_PSP_Species_Support!V26*(S13_PSP_Species_Support!W26*(1-EXP(-S13_PSP_Species_Support!X26*0))^S13_PSP_Species_Support!Y26)^2*(S13_PSP_Species_Support!Z26*(1-EXP(-S13_PSP_Species_Support!AA26*0))^S13_PSP_Species_Support!AB26))^0.976,0)+IFERROR(S13_PSP_Species_Support!AF26*0.0673*(S13_PSP_Species_Support!AG26*(S13_PSP_Species_Support!AH26*(1-EXP(-S13_PSP_Species_Support!AI26*0))^S13_PSP_Species_Support!AJ26)^2*(S13_PSP_Species_Support!AK26*(1-EXP(-S13_PSP_Species_Support!AL26*0))^S13_PSP_Species_Support!AM26))^0.976,0)+IFERROR(S13_PSP_Species_Support!AQ26*0.0673*(S13_PSP_Species_Support!AR26*(S13_PSP_Species_Support!AS26*(1-EXP(-S13_PSP_Species_Support!AT26*0))^S13_PSP_Species_Support!AU26)^2*(S13_PSP_Species_Support!AV26*(1-EXP(-S13_PSP_Species_Support!AW26*0))^S13_PSP_Species_Support!AX26))^0.976,0)+IFERROR(S13_PSP_Species_Support!BB26*0.0673*(S13_PSP_Species_Support!BC26*(S13_PSP_Species_Support!BD26*(1-EXP(-S13_PSP_Species_Support!BE26*0))^S13_PSP_Species_Support!BF26)^2*(S13_PSP_Species_Support!BG26*(1-EXP(-S13_PSP_Species_Support!BH26*0))^S13_PSP_Species_Support!BI26))^0.976,0)+IFERROR(S13_PSP_Species_Support!BM26*0.0673*(S13_PSP_Species_Support!BN26*(S13_PSP_Species_Support!BO26*(1-EXP(-S13_PSP_Species_Support!BP26*0))^S13_PSP_Species_Support!BQ26)^2*(S13_PSP_Species_Support!BR26*(1-EXP(-S13_PSP_Species_Support!BS26*0))^S13_PSP_Species_Support!BT26))^0.976,0)+IFERROR(S13_PSP_Species_Support!BX26*0.0673*(S13_PSP_Species_Support!BY26*(S13_PSP_Species_Support!BZ26*(1-EXP(-S13_PSP_Species_Support!CA26*0))^S13_PSP_Species_Support!CB26)^2*(S13_PSP_Species_Support!CC26*(1-EXP(-S13_PSP_Species_Support!CD26*0))^S13_PSP_Species_Support!CE26))^0.976,0)+IFERROR(S13_PSP_Species_Support!CI26*0.0673*(S13_PSP_Species_Support!CJ26*(S13_PSP_Species_Support!CK26*(1-EXP(-S13_PSP_Species_Support!CL26*0))^S13_PSP_Species_Support!CM26)^2*(S13_PSP_Species_Support!CN26*(1-EXP(-S13_PSP_Species_Support!CO26*0))^S13_PSP_Species_Support!CP26))^0.976,0)+IFERROR(S13_PSP_Species_Support!CT26*0.0673*(S13_PSP_Species_Support!CU26*(S13_PSP_Species_Support!CV26*(1-EXP(-S13_PSP_Species_Support!CW26*0))^S13_PSP_Species_Support!CX26)^2*(S13_PSP_Species_Support!CY26*(1-EXP(-S13_PSP_Species_Support!CZ26*0))^S13_PSP_Species_Support!DA26))^0.976,0))/1000/$G39*I$108,0)</x:f>
        <x:v>0</x:v>
      </x:c>
      <x:c r="J39" s="147" t="n">
        <x:f aca="0">IFERROR((IFERROR(S13_PSP_Species_Support!U26*0.0673*(S13_PSP_Species_Support!V26*(S13_PSP_Species_Support!W26*(1-EXP(-S13_PSP_Species_Support!X26*1))^S13_PSP_Species_Support!Y26)^2*(S13_PSP_Species_Support!Z26*(1-EXP(-S13_PSP_Species_Support!AA26*1))^S13_PSP_Species_Support!AB26))^0.976,0)+IFERROR(S13_PSP_Species_Support!AF26*0.0673*(S13_PSP_Species_Support!AG26*(S13_PSP_Species_Support!AH26*(1-EXP(-S13_PSP_Species_Support!AI26*1))^S13_PSP_Species_Support!AJ26)^2*(S13_PSP_Species_Support!AK26*(1-EXP(-S13_PSP_Species_Support!AL26*1))^S13_PSP_Species_Support!AM26))^0.976,0)+IFERROR(S13_PSP_Species_Support!AQ26*0.0673*(S13_PSP_Species_Support!AR26*(S13_PSP_Species_Support!AS26*(1-EXP(-S13_PSP_Species_Support!AT26*1))^S13_PSP_Species_Support!AU26)^2*(S13_PSP_Species_Support!AV26*(1-EXP(-S13_PSP_Species_Support!AW26*1))^S13_PSP_Species_Support!AX26))^0.976,0)+IFERROR(S13_PSP_Species_Support!BB26*0.0673*(S13_PSP_Species_Support!BC26*(S13_PSP_Species_Support!BD26*(1-EXP(-S13_PSP_Species_Support!BE26*1))^S13_PSP_Species_Support!BF26)^2*(S13_PSP_Species_Support!BG26*(1-EXP(-S13_PSP_Species_Support!BH26*1))^S13_PSP_Species_Support!BI26))^0.976,0)+IFERROR(S13_PSP_Species_Support!BM26*0.0673*(S13_PSP_Species_Support!BN26*(S13_PSP_Species_Support!BO26*(1-EXP(-S13_PSP_Species_Support!BP26*1))^S13_PSP_Species_Support!BQ26)^2*(S13_PSP_Species_Support!BR26*(1-EXP(-S13_PSP_Species_Support!BS26*1))^S13_PSP_Species_Support!BT26))^0.976,0)+IFERROR(S13_PSP_Species_Support!BX26*0.0673*(S13_PSP_Species_Support!BY26*(S13_PSP_Species_Support!BZ26*(1-EXP(-S13_PSP_Species_Support!CA26*1))^S13_PSP_Species_Support!CB26)^2*(S13_PSP_Species_Support!CC26*(1-EXP(-S13_PSP_Species_Support!CD26*1))^S13_PSP_Species_Support!CE26))^0.976,0)+IFERROR(S13_PSP_Species_Support!CI26*0.0673*(S13_PSP_Species_Support!CJ26*(S13_PSP_Species_Support!CK26*(1-EXP(-S13_PSP_Species_Support!CL26*1))^S13_PSP_Species_Support!CM26)^2*(S13_PSP_Species_Support!CN26*(1-EXP(-S13_PSP_Species_Support!CO26*1))^S13_PSP_Species_Support!CP26))^0.976,0)+IFERROR(S13_PSP_Species_Support!CT26*0.0673*(S13_PSP_Species_Support!CU26*(S13_PSP_Species_Support!CV26*(1-EXP(-S13_PSP_Species_Support!CW26*1))^S13_PSP_Species_Support!CX26)^2*(S13_PSP_Species_Support!CY26*(1-EXP(-S13_PSP_Species_Support!CZ26*1))^S13_PSP_Species_Support!DA26))^0.976,0))/1000/$G39*J$108,0)</x:f>
        <x:v>0.08355201272613755</x:v>
      </x:c>
      <x:c r="K39" s="147" t="n">
        <x:f aca="0">IFERROR((IFERROR(S13_PSP_Species_Support!U26*0.0673*(S13_PSP_Species_Support!V26*(S13_PSP_Species_Support!W26*(1-EXP(-S13_PSP_Species_Support!X26*2))^S13_PSP_Species_Support!Y26)^2*(S13_PSP_Species_Support!Z26*(1-EXP(-S13_PSP_Species_Support!AA26*2))^S13_PSP_Species_Support!AB26))^0.976,0)+IFERROR(S13_PSP_Species_Support!AF26*0.0673*(S13_PSP_Species_Support!AG26*(S13_PSP_Species_Support!AH26*(1-EXP(-S13_PSP_Species_Support!AI26*2))^S13_PSP_Species_Support!AJ26)^2*(S13_PSP_Species_Support!AK26*(1-EXP(-S13_PSP_Species_Support!AL26*2))^S13_PSP_Species_Support!AM26))^0.976,0)+IFERROR(S13_PSP_Species_Support!AQ26*0.0673*(S13_PSP_Species_Support!AR26*(S13_PSP_Species_Support!AS26*(1-EXP(-S13_PSP_Species_Support!AT26*2))^S13_PSP_Species_Support!AU26)^2*(S13_PSP_Species_Support!AV26*(1-EXP(-S13_PSP_Species_Support!AW26*2))^S13_PSP_Species_Support!AX26))^0.976,0)+IFERROR(S13_PSP_Species_Support!BB26*0.0673*(S13_PSP_Species_Support!BC26*(S13_PSP_Species_Support!BD26*(1-EXP(-S13_PSP_Species_Support!BE26*2))^S13_PSP_Species_Support!BF26)^2*(S13_PSP_Species_Support!BG26*(1-EXP(-S13_PSP_Species_Support!BH26*2))^S13_PSP_Species_Support!BI26))^0.976,0)+IFERROR(S13_PSP_Species_Support!BM26*0.0673*(S13_PSP_Species_Support!BN26*(S13_PSP_Species_Support!BO26*(1-EXP(-S13_PSP_Species_Support!BP26*2))^S13_PSP_Species_Support!BQ26)^2*(S13_PSP_Species_Support!BR26*(1-EXP(-S13_PSP_Species_Support!BS26*2))^S13_PSP_Species_Support!BT26))^0.976,0)+IFERROR(S13_PSP_Species_Support!BX26*0.0673*(S13_PSP_Species_Support!BY26*(S13_PSP_Species_Support!BZ26*(1-EXP(-S13_PSP_Species_Support!CA26*2))^S13_PSP_Species_Support!CB26)^2*(S13_PSP_Species_Support!CC26*(1-EXP(-S13_PSP_Species_Support!CD26*2))^S13_PSP_Species_Support!CE26))^0.976,0)+IFERROR(S13_PSP_Species_Support!CI26*0.0673*(S13_PSP_Species_Support!CJ26*(S13_PSP_Species_Support!CK26*(1-EXP(-S13_PSP_Species_Support!CL26*2))^S13_PSP_Species_Support!CM26)^2*(S13_PSP_Species_Support!CN26*(1-EXP(-S13_PSP_Species_Support!CO26*2))^S13_PSP_Species_Support!CP26))^0.976,0)+IFERROR(S13_PSP_Species_Support!CT26*0.0673*(S13_PSP_Species_Support!CU26*(S13_PSP_Species_Support!CV26*(1-EXP(-S13_PSP_Species_Support!CW26*2))^S13_PSP_Species_Support!CX26)^2*(S13_PSP_Species_Support!CY26*(1-EXP(-S13_PSP_Species_Support!CZ26*2))^S13_PSP_Species_Support!DA26))^0.976,0))/1000/$G39*K$108,0)</x:f>
        <x:v>1.0025427514824359</x:v>
      </x:c>
      <x:c r="L39" s="147" t="n">
        <x:f aca="0">IFERROR((IFERROR(S13_PSP_Species_Support!U26*0.0673*(S13_PSP_Species_Support!V26*(S13_PSP_Species_Support!W26*(1-EXP(-S13_PSP_Species_Support!X26*3))^S13_PSP_Species_Support!Y26)^2*(S13_PSP_Species_Support!Z26*(1-EXP(-S13_PSP_Species_Support!AA26*3))^S13_PSP_Species_Support!AB26))^0.976,0)+IFERROR(S13_PSP_Species_Support!AF26*0.0673*(S13_PSP_Species_Support!AG26*(S13_PSP_Species_Support!AH26*(1-EXP(-S13_PSP_Species_Support!AI26*3))^S13_PSP_Species_Support!AJ26)^2*(S13_PSP_Species_Support!AK26*(1-EXP(-S13_PSP_Species_Support!AL26*3))^S13_PSP_Species_Support!AM26))^0.976,0)+IFERROR(S13_PSP_Species_Support!AQ26*0.0673*(S13_PSP_Species_Support!AR26*(S13_PSP_Species_Support!AS26*(1-EXP(-S13_PSP_Species_Support!AT26*3))^S13_PSP_Species_Support!AU26)^2*(S13_PSP_Species_Support!AV26*(1-EXP(-S13_PSP_Species_Support!AW26*3))^S13_PSP_Species_Support!AX26))^0.976,0)+IFERROR(S13_PSP_Species_Support!BB26*0.0673*(S13_PSP_Species_Support!BC26*(S13_PSP_Species_Support!BD26*(1-EXP(-S13_PSP_Species_Support!BE26*3))^S13_PSP_Species_Support!BF26)^2*(S13_PSP_Species_Support!BG26*(1-EXP(-S13_PSP_Species_Support!BH26*3))^S13_PSP_Species_Support!BI26))^0.976,0)+IFERROR(S13_PSP_Species_Support!BM26*0.0673*(S13_PSP_Species_Support!BN26*(S13_PSP_Species_Support!BO26*(1-EXP(-S13_PSP_Species_Support!BP26*3))^S13_PSP_Species_Support!BQ26)^2*(S13_PSP_Species_Support!BR26*(1-EXP(-S13_PSP_Species_Support!BS26*3))^S13_PSP_Species_Support!BT26))^0.976,0)+IFERROR(S13_PSP_Species_Support!BX26*0.0673*(S13_PSP_Species_Support!BY26*(S13_PSP_Species_Support!BZ26*(1-EXP(-S13_PSP_Species_Support!CA26*3))^S13_PSP_Species_Support!CB26)^2*(S13_PSP_Species_Support!CC26*(1-EXP(-S13_PSP_Species_Support!CD26*3))^S13_PSP_Species_Support!CE26))^0.976,0)+IFERROR(S13_PSP_Species_Support!CI26*0.0673*(S13_PSP_Species_Support!CJ26*(S13_PSP_Species_Support!CK26*(1-EXP(-S13_PSP_Species_Support!CL26*3))^S13_PSP_Species_Support!CM26)^2*(S13_PSP_Species_Support!CN26*(1-EXP(-S13_PSP_Species_Support!CO26*3))^S13_PSP_Species_Support!CP26))^0.976,0)+IFERROR(S13_PSP_Species_Support!CT26*0.0673*(S13_PSP_Species_Support!CU26*(S13_PSP_Species_Support!CV26*(1-EXP(-S13_PSP_Species_Support!CW26*3))^S13_PSP_Species_Support!CX26)^2*(S13_PSP_Species_Support!CY26*(1-EXP(-S13_PSP_Species_Support!CZ26*3))^S13_PSP_Species_Support!DA26))^0.976,0))/1000/$G39*L$108,0)</x:f>
        <x:v>3.869104629559554</x:v>
      </x:c>
      <x:c r="M39" s="147" t="n">
        <x:f aca="0">IFERROR((IFERROR(S13_PSP_Species_Support!U26*0.0673*(S13_PSP_Species_Support!V26*(S13_PSP_Species_Support!W26*(1-EXP(-S13_PSP_Species_Support!X26*4))^S13_PSP_Species_Support!Y26)^2*(S13_PSP_Species_Support!Z26*(1-EXP(-S13_PSP_Species_Support!AA26*4))^S13_PSP_Species_Support!AB26))^0.976,0)+IFERROR(S13_PSP_Species_Support!AF26*0.0673*(S13_PSP_Species_Support!AG26*(S13_PSP_Species_Support!AH26*(1-EXP(-S13_PSP_Species_Support!AI26*4))^S13_PSP_Species_Support!AJ26)^2*(S13_PSP_Species_Support!AK26*(1-EXP(-S13_PSP_Species_Support!AL26*4))^S13_PSP_Species_Support!AM26))^0.976,0)+IFERROR(S13_PSP_Species_Support!AQ26*0.0673*(S13_PSP_Species_Support!AR26*(S13_PSP_Species_Support!AS26*(1-EXP(-S13_PSP_Species_Support!AT26*4))^S13_PSP_Species_Support!AU26)^2*(S13_PSP_Species_Support!AV26*(1-EXP(-S13_PSP_Species_Support!AW26*4))^S13_PSP_Species_Support!AX26))^0.976,0)+IFERROR(S13_PSP_Species_Support!BB26*0.0673*(S13_PSP_Species_Support!BC26*(S13_PSP_Species_Support!BD26*(1-EXP(-S13_PSP_Species_Support!BE26*4))^S13_PSP_Species_Support!BF26)^2*(S13_PSP_Species_Support!BG26*(1-EXP(-S13_PSP_Species_Support!BH26*4))^S13_PSP_Species_Support!BI26))^0.976,0)+IFERROR(S13_PSP_Species_Support!BM26*0.0673*(S13_PSP_Species_Support!BN26*(S13_PSP_Species_Support!BO26*(1-EXP(-S13_PSP_Species_Support!BP26*4))^S13_PSP_Species_Support!BQ26)^2*(S13_PSP_Species_Support!BR26*(1-EXP(-S13_PSP_Species_Support!BS26*4))^S13_PSP_Species_Support!BT26))^0.976,0)+IFERROR(S13_PSP_Species_Support!BX26*0.0673*(S13_PSP_Species_Support!BY26*(S13_PSP_Species_Support!BZ26*(1-EXP(-S13_PSP_Species_Support!CA26*4))^S13_PSP_Species_Support!CB26)^2*(S13_PSP_Species_Support!CC26*(1-EXP(-S13_PSP_Species_Support!CD26*4))^S13_PSP_Species_Support!CE26))^0.976,0)+IFERROR(S13_PSP_Species_Support!CI26*0.0673*(S13_PSP_Species_Support!CJ26*(S13_PSP_Species_Support!CK26*(1-EXP(-S13_PSP_Species_Support!CL26*4))^S13_PSP_Species_Support!CM26)^2*(S13_PSP_Species_Support!CN26*(1-EXP(-S13_PSP_Species_Support!CO26*4))^S13_PSP_Species_Support!CP26))^0.976,0)+IFERROR(S13_PSP_Species_Support!CT26*0.0673*(S13_PSP_Species_Support!CU26*(S13_PSP_Species_Support!CV26*(1-EXP(-S13_PSP_Species_Support!CW26*4))^S13_PSP_Species_Support!CX26)^2*(S13_PSP_Species_Support!CY26*(1-EXP(-S13_PSP_Species_Support!CZ26*4))^S13_PSP_Species_Support!DA26))^0.976,0))/1000/$G39*M$108,0)</x:f>
        <x:v>9.47722355144662</x:v>
      </x:c>
      <x:c r="N39" s="147" t="n">
        <x:f aca="0">IFERROR((IFERROR(S13_PSP_Species_Support!U26*0.0673*(S13_PSP_Species_Support!V26*(S13_PSP_Species_Support!W26*(1-EXP(-S13_PSP_Species_Support!X26*5))^S13_PSP_Species_Support!Y26)^2*(S13_PSP_Species_Support!Z26*(1-EXP(-S13_PSP_Species_Support!AA26*5))^S13_PSP_Species_Support!AB26))^0.976,0)+IFERROR(S13_PSP_Species_Support!AF26*0.0673*(S13_PSP_Species_Support!AG26*(S13_PSP_Species_Support!AH26*(1-EXP(-S13_PSP_Species_Support!AI26*5))^S13_PSP_Species_Support!AJ26)^2*(S13_PSP_Species_Support!AK26*(1-EXP(-S13_PSP_Species_Support!AL26*5))^S13_PSP_Species_Support!AM26))^0.976,0)+IFERROR(S13_PSP_Species_Support!AQ26*0.0673*(S13_PSP_Species_Support!AR26*(S13_PSP_Species_Support!AS26*(1-EXP(-S13_PSP_Species_Support!AT26*5))^S13_PSP_Species_Support!AU26)^2*(S13_PSP_Species_Support!AV26*(1-EXP(-S13_PSP_Species_Support!AW26*5))^S13_PSP_Species_Support!AX26))^0.976,0)+IFERROR(S13_PSP_Species_Support!BB26*0.0673*(S13_PSP_Species_Support!BC26*(S13_PSP_Species_Support!BD26*(1-EXP(-S13_PSP_Species_Support!BE26*5))^S13_PSP_Species_Support!BF26)^2*(S13_PSP_Species_Support!BG26*(1-EXP(-S13_PSP_Species_Support!BH26*5))^S13_PSP_Species_Support!BI26))^0.976,0)+IFERROR(S13_PSP_Species_Support!BM26*0.0673*(S13_PSP_Species_Support!BN26*(S13_PSP_Species_Support!BO26*(1-EXP(-S13_PSP_Species_Support!BP26*5))^S13_PSP_Species_Support!BQ26)^2*(S13_PSP_Species_Support!BR26*(1-EXP(-S13_PSP_Species_Support!BS26*5))^S13_PSP_Species_Support!BT26))^0.976,0)+IFERROR(S13_PSP_Species_Support!BX26*0.0673*(S13_PSP_Species_Support!BY26*(S13_PSP_Species_Support!BZ26*(1-EXP(-S13_PSP_Species_Support!CA26*5))^S13_PSP_Species_Support!CB26)^2*(S13_PSP_Species_Support!CC26*(1-EXP(-S13_PSP_Species_Support!CD26*5))^S13_PSP_Species_Support!CE26))^0.976,0)+IFERROR(S13_PSP_Species_Support!CI26*0.0673*(S13_PSP_Species_Support!CJ26*(S13_PSP_Species_Support!CK26*(1-EXP(-S13_PSP_Species_Support!CL26*5))^S13_PSP_Species_Support!CM26)^2*(S13_PSP_Species_Support!CN26*(1-EXP(-S13_PSP_Species_Support!CO26*5))^S13_PSP_Species_Support!CP26))^0.976,0)+IFERROR(S13_PSP_Species_Support!CT26*0.0673*(S13_PSP_Species_Support!CU26*(S13_PSP_Species_Support!CV26*(1-EXP(-S13_PSP_Species_Support!CW26*5))^S13_PSP_Species_Support!CX26)^2*(S13_PSP_Species_Support!CY26*(1-EXP(-S13_PSP_Species_Support!CZ26*5))^S13_PSP_Species_Support!DA26))^0.976,0))/1000/$G39*N$108,0)</x:f>
        <x:v>18.04922975176621</x:v>
      </x:c>
      <x:c r="O39" s="147" t="n">
        <x:f aca="0">IFERROR((IFERROR(S13_PSP_Species_Support!U26*0.0673*(S13_PSP_Species_Support!V26*(S13_PSP_Species_Support!W26*(1-EXP(-S13_PSP_Species_Support!X26*6))^S13_PSP_Species_Support!Y26)^2*(S13_PSP_Species_Support!Z26*(1-EXP(-S13_PSP_Species_Support!AA26*6))^S13_PSP_Species_Support!AB26))^0.976,0)+IFERROR(S13_PSP_Species_Support!AF26*0.0673*(S13_PSP_Species_Support!AG26*(S13_PSP_Species_Support!AH26*(1-EXP(-S13_PSP_Species_Support!AI26*6))^S13_PSP_Species_Support!AJ26)^2*(S13_PSP_Species_Support!AK26*(1-EXP(-S13_PSP_Species_Support!AL26*6))^S13_PSP_Species_Support!AM26))^0.976,0)+IFERROR(S13_PSP_Species_Support!AQ26*0.0673*(S13_PSP_Species_Support!AR26*(S13_PSP_Species_Support!AS26*(1-EXP(-S13_PSP_Species_Support!AT26*6))^S13_PSP_Species_Support!AU26)^2*(S13_PSP_Species_Support!AV26*(1-EXP(-S13_PSP_Species_Support!AW26*6))^S13_PSP_Species_Support!AX26))^0.976,0)+IFERROR(S13_PSP_Species_Support!BB26*0.0673*(S13_PSP_Species_Support!BC26*(S13_PSP_Species_Support!BD26*(1-EXP(-S13_PSP_Species_Support!BE26*6))^S13_PSP_Species_Support!BF26)^2*(S13_PSP_Species_Support!BG26*(1-EXP(-S13_PSP_Species_Support!BH26*6))^S13_PSP_Species_Support!BI26))^0.976,0)+IFERROR(S13_PSP_Species_Support!BM26*0.0673*(S13_PSP_Species_Support!BN26*(S13_PSP_Species_Support!BO26*(1-EXP(-S13_PSP_Species_Support!BP26*6))^S13_PSP_Species_Support!BQ26)^2*(S13_PSP_Species_Support!BR26*(1-EXP(-S13_PSP_Species_Support!BS26*6))^S13_PSP_Species_Support!BT26))^0.976,0)+IFERROR(S13_PSP_Species_Support!BX26*0.0673*(S13_PSP_Species_Support!BY26*(S13_PSP_Species_Support!BZ26*(1-EXP(-S13_PSP_Species_Support!CA26*6))^S13_PSP_Species_Support!CB26)^2*(S13_PSP_Species_Support!CC26*(1-EXP(-S13_PSP_Species_Support!CD26*6))^S13_PSP_Species_Support!CE26))^0.976,0)+IFERROR(S13_PSP_Species_Support!CI26*0.0673*(S13_PSP_Species_Support!CJ26*(S13_PSP_Species_Support!CK26*(1-EXP(-S13_PSP_Species_Support!CL26*6))^S13_PSP_Species_Support!CM26)^2*(S13_PSP_Species_Support!CN26*(1-EXP(-S13_PSP_Species_Support!CO26*6))^S13_PSP_Species_Support!CP26))^0.976,0)+IFERROR(S13_PSP_Species_Support!CT26*0.0673*(S13_PSP_Species_Support!CU26*(S13_PSP_Species_Support!CV26*(1-EXP(-S13_PSP_Species_Support!CW26*6))^S13_PSP_Species_Support!CX26)^2*(S13_PSP_Species_Support!CY26*(1-EXP(-S13_PSP_Species_Support!CZ26*6))^S13_PSP_Species_Support!DA26))^0.976,0))/1000/$G39*O$108,0)</x:f>
        <x:v>29.385269998399743</x:v>
      </x:c>
      <x:c r="P39" s="147" t="n">
        <x:f aca="0">IFERROR((IFERROR(S13_PSP_Species_Support!U26*0.0673*(S13_PSP_Species_Support!V26*(S13_PSP_Species_Support!W26*(1-EXP(-S13_PSP_Species_Support!X26*7))^S13_PSP_Species_Support!Y26)^2*(S13_PSP_Species_Support!Z26*(1-EXP(-S13_PSP_Species_Support!AA26*7))^S13_PSP_Species_Support!AB26))^0.976,0)+IFERROR(S13_PSP_Species_Support!AF26*0.0673*(S13_PSP_Species_Support!AG26*(S13_PSP_Species_Support!AH26*(1-EXP(-S13_PSP_Species_Support!AI26*7))^S13_PSP_Species_Support!AJ26)^2*(S13_PSP_Species_Support!AK26*(1-EXP(-S13_PSP_Species_Support!AL26*7))^S13_PSP_Species_Support!AM26))^0.976,0)+IFERROR(S13_PSP_Species_Support!AQ26*0.0673*(S13_PSP_Species_Support!AR26*(S13_PSP_Species_Support!AS26*(1-EXP(-S13_PSP_Species_Support!AT26*7))^S13_PSP_Species_Support!AU26)^2*(S13_PSP_Species_Support!AV26*(1-EXP(-S13_PSP_Species_Support!AW26*7))^S13_PSP_Species_Support!AX26))^0.976,0)+IFERROR(S13_PSP_Species_Support!BB26*0.0673*(S13_PSP_Species_Support!BC26*(S13_PSP_Species_Support!BD26*(1-EXP(-S13_PSP_Species_Support!BE26*7))^S13_PSP_Species_Support!BF26)^2*(S13_PSP_Species_Support!BG26*(1-EXP(-S13_PSP_Species_Support!BH26*7))^S13_PSP_Species_Support!BI26))^0.976,0)+IFERROR(S13_PSP_Species_Support!BM26*0.0673*(S13_PSP_Species_Support!BN26*(S13_PSP_Species_Support!BO26*(1-EXP(-S13_PSP_Species_Support!BP26*7))^S13_PSP_Species_Support!BQ26)^2*(S13_PSP_Species_Support!BR26*(1-EXP(-S13_PSP_Species_Support!BS26*7))^S13_PSP_Species_Support!BT26))^0.976,0)+IFERROR(S13_PSP_Species_Support!BX26*0.0673*(S13_PSP_Species_Support!BY26*(S13_PSP_Species_Support!BZ26*(1-EXP(-S13_PSP_Species_Support!CA26*7))^S13_PSP_Species_Support!CB26)^2*(S13_PSP_Species_Support!CC26*(1-EXP(-S13_PSP_Species_Support!CD26*7))^S13_PSP_Species_Support!CE26))^0.976,0)+IFERROR(S13_PSP_Species_Support!CI26*0.0673*(S13_PSP_Species_Support!CJ26*(S13_PSP_Species_Support!CK26*(1-EXP(-S13_PSP_Species_Support!CL26*7))^S13_PSP_Species_Support!CM26)^2*(S13_PSP_Species_Support!CN26*(1-EXP(-S13_PSP_Species_Support!CO26*7))^S13_PSP_Species_Support!CP26))^0.976,0)+IFERROR(S13_PSP_Species_Support!CT26*0.0673*(S13_PSP_Species_Support!CU26*(S13_PSP_Species_Support!CV26*(1-EXP(-S13_PSP_Species_Support!CW26*7))^S13_PSP_Species_Support!CX26)^2*(S13_PSP_Species_Support!CY26*(1-EXP(-S13_PSP_Species_Support!CZ26*7))^S13_PSP_Species_Support!DA26))^0.976,0))/1000/$G39*P$108,0)</x:f>
        <x:v>43.01744754006137</x:v>
      </x:c>
      <x:c r="Q39" s="147" t="n">
        <x:f aca="0">IFERROR((IFERROR(S13_PSP_Species_Support!U26*0.0673*(S13_PSP_Species_Support!V26*(S13_PSP_Species_Support!W26*(1-EXP(-S13_PSP_Species_Support!X26*8))^S13_PSP_Species_Support!Y26)^2*(S13_PSP_Species_Support!Z26*(1-EXP(-S13_PSP_Species_Support!AA26*8))^S13_PSP_Species_Support!AB26))^0.976,0)+IFERROR(S13_PSP_Species_Support!AF26*0.0673*(S13_PSP_Species_Support!AG26*(S13_PSP_Species_Support!AH26*(1-EXP(-S13_PSP_Species_Support!AI26*8))^S13_PSP_Species_Support!AJ26)^2*(S13_PSP_Species_Support!AK26*(1-EXP(-S13_PSP_Species_Support!AL26*8))^S13_PSP_Species_Support!AM26))^0.976,0)+IFERROR(S13_PSP_Species_Support!AQ26*0.0673*(S13_PSP_Species_Support!AR26*(S13_PSP_Species_Support!AS26*(1-EXP(-S13_PSP_Species_Support!AT26*8))^S13_PSP_Species_Support!AU26)^2*(S13_PSP_Species_Support!AV26*(1-EXP(-S13_PSP_Species_Support!AW26*8))^S13_PSP_Species_Support!AX26))^0.976,0)+IFERROR(S13_PSP_Species_Support!BB26*0.0673*(S13_PSP_Species_Support!BC26*(S13_PSP_Species_Support!BD26*(1-EXP(-S13_PSP_Species_Support!BE26*8))^S13_PSP_Species_Support!BF26)^2*(S13_PSP_Species_Support!BG26*(1-EXP(-S13_PSP_Species_Support!BH26*8))^S13_PSP_Species_Support!BI26))^0.976,0)+IFERROR(S13_PSP_Species_Support!BM26*0.0673*(S13_PSP_Species_Support!BN26*(S13_PSP_Species_Support!BO26*(1-EXP(-S13_PSP_Species_Support!BP26*8))^S13_PSP_Species_Support!BQ26)^2*(S13_PSP_Species_Support!BR26*(1-EXP(-S13_PSP_Species_Support!BS26*8))^S13_PSP_Species_Support!BT26))^0.976,0)+IFERROR(S13_PSP_Species_Support!BX26*0.0673*(S13_PSP_Species_Support!BY26*(S13_PSP_Species_Support!BZ26*(1-EXP(-S13_PSP_Species_Support!CA26*8))^S13_PSP_Species_Support!CB26)^2*(S13_PSP_Species_Support!CC26*(1-EXP(-S13_PSP_Species_Support!CD26*8))^S13_PSP_Species_Support!CE26))^0.976,0)+IFERROR(S13_PSP_Species_Support!CI26*0.0673*(S13_PSP_Species_Support!CJ26*(S13_PSP_Species_Support!CK26*(1-EXP(-S13_PSP_Species_Support!CL26*8))^S13_PSP_Species_Support!CM26)^2*(S13_PSP_Species_Support!CN26*(1-EXP(-S13_PSP_Species_Support!CO26*8))^S13_PSP_Species_Support!CP26))^0.976,0)+IFERROR(S13_PSP_Species_Support!CT26*0.0673*(S13_PSP_Species_Support!CU26*(S13_PSP_Species_Support!CV26*(1-EXP(-S13_PSP_Species_Support!CW26*8))^S13_PSP_Species_Support!CX26)^2*(S13_PSP_Species_Support!CY26*(1-EXP(-S13_PSP_Species_Support!CZ26*8))^S13_PSP_Species_Support!DA26))^0.976,0))/1000/$G39*Q$108,0)</x:f>
        <x:v>58.35610125097526</x:v>
      </x:c>
      <x:c r="R39" s="147" t="n">
        <x:f aca="0">IFERROR((IFERROR(S13_PSP_Species_Support!U26*0.0673*(S13_PSP_Species_Support!V26*(S13_PSP_Species_Support!W26*(1-EXP(-S13_PSP_Species_Support!X26*9))^S13_PSP_Species_Support!Y26)^2*(S13_PSP_Species_Support!Z26*(1-EXP(-S13_PSP_Species_Support!AA26*9))^S13_PSP_Species_Support!AB26))^0.976,0)+IFERROR(S13_PSP_Species_Support!AF26*0.0673*(S13_PSP_Species_Support!AG26*(S13_PSP_Species_Support!AH26*(1-EXP(-S13_PSP_Species_Support!AI26*9))^S13_PSP_Species_Support!AJ26)^2*(S13_PSP_Species_Support!AK26*(1-EXP(-S13_PSP_Species_Support!AL26*9))^S13_PSP_Species_Support!AM26))^0.976,0)+IFERROR(S13_PSP_Species_Support!AQ26*0.0673*(S13_PSP_Species_Support!AR26*(S13_PSP_Species_Support!AS26*(1-EXP(-S13_PSP_Species_Support!AT26*9))^S13_PSP_Species_Support!AU26)^2*(S13_PSP_Species_Support!AV26*(1-EXP(-S13_PSP_Species_Support!AW26*9))^S13_PSP_Species_Support!AX26))^0.976,0)+IFERROR(S13_PSP_Species_Support!BB26*0.0673*(S13_PSP_Species_Support!BC26*(S13_PSP_Species_Support!BD26*(1-EXP(-S13_PSP_Species_Support!BE26*9))^S13_PSP_Species_Support!BF26)^2*(S13_PSP_Species_Support!BG26*(1-EXP(-S13_PSP_Species_Support!BH26*9))^S13_PSP_Species_Support!BI26))^0.976,0)+IFERROR(S13_PSP_Species_Support!BM26*0.0673*(S13_PSP_Species_Support!BN26*(S13_PSP_Species_Support!BO26*(1-EXP(-S13_PSP_Species_Support!BP26*9))^S13_PSP_Species_Support!BQ26)^2*(S13_PSP_Species_Support!BR26*(1-EXP(-S13_PSP_Species_Support!BS26*9))^S13_PSP_Species_Support!BT26))^0.976,0)+IFERROR(S13_PSP_Species_Support!BX26*0.0673*(S13_PSP_Species_Support!BY26*(S13_PSP_Species_Support!BZ26*(1-EXP(-S13_PSP_Species_Support!CA26*9))^S13_PSP_Species_Support!CB26)^2*(S13_PSP_Species_Support!CC26*(1-EXP(-S13_PSP_Species_Support!CD26*9))^S13_PSP_Species_Support!CE26))^0.976,0)+IFERROR(S13_PSP_Species_Support!CI26*0.0673*(S13_PSP_Species_Support!CJ26*(S13_PSP_Species_Support!CK26*(1-EXP(-S13_PSP_Species_Support!CL26*9))^S13_PSP_Species_Support!CM26)^2*(S13_PSP_Species_Support!CN26*(1-EXP(-S13_PSP_Species_Support!CO26*9))^S13_PSP_Species_Support!CP26))^0.976,0)+IFERROR(S13_PSP_Species_Support!CT26*0.0673*(S13_PSP_Species_Support!CU26*(S13_PSP_Species_Support!CV26*(1-EXP(-S13_PSP_Species_Support!CW26*9))^S13_PSP_Species_Support!CX26)^2*(S13_PSP_Species_Support!CY26*(1-EXP(-S13_PSP_Species_Support!CZ26*9))^S13_PSP_Species_Support!DA26))^0.976,0))/1000/$G39*R$108,0)</x:f>
        <x:v>74.79519949251618</x:v>
      </x:c>
      <x:c r="S39" s="147" t="n">
        <x:f aca="0">IFERROR((IFERROR(S13_PSP_Species_Support!U26*0.0673*(S13_PSP_Species_Support!V26*(S13_PSP_Species_Support!W26*(1-EXP(-S13_PSP_Species_Support!X26*10))^S13_PSP_Species_Support!Y26)^2*(S13_PSP_Species_Support!Z26*(1-EXP(-S13_PSP_Species_Support!AA26*10))^S13_PSP_Species_Support!AB26))^0.976,0)+IFERROR(S13_PSP_Species_Support!AF26*0.0673*(S13_PSP_Species_Support!AG26*(S13_PSP_Species_Support!AH26*(1-EXP(-S13_PSP_Species_Support!AI26*10))^S13_PSP_Species_Support!AJ26)^2*(S13_PSP_Species_Support!AK26*(1-EXP(-S13_PSP_Species_Support!AL26*10))^S13_PSP_Species_Support!AM26))^0.976,0)+IFERROR(S13_PSP_Species_Support!AQ26*0.0673*(S13_PSP_Species_Support!AR26*(S13_PSP_Species_Support!AS26*(1-EXP(-S13_PSP_Species_Support!AT26*10))^S13_PSP_Species_Support!AU26)^2*(S13_PSP_Species_Support!AV26*(1-EXP(-S13_PSP_Species_Support!AW26*10))^S13_PSP_Species_Support!AX26))^0.976,0)+IFERROR(S13_PSP_Species_Support!BB26*0.0673*(S13_PSP_Species_Support!BC26*(S13_PSP_Species_Support!BD26*(1-EXP(-S13_PSP_Species_Support!BE26*10))^S13_PSP_Species_Support!BF26)^2*(S13_PSP_Species_Support!BG26*(1-EXP(-S13_PSP_Species_Support!BH26*10))^S13_PSP_Species_Support!BI26))^0.976,0)+IFERROR(S13_PSP_Species_Support!BM26*0.0673*(S13_PSP_Species_Support!BN26*(S13_PSP_Species_Support!BO26*(1-EXP(-S13_PSP_Species_Support!BP26*10))^S13_PSP_Species_Support!BQ26)^2*(S13_PSP_Species_Support!BR26*(1-EXP(-S13_PSP_Species_Support!BS26*10))^S13_PSP_Species_Support!BT26))^0.976,0)+IFERROR(S13_PSP_Species_Support!BX26*0.0673*(S13_PSP_Species_Support!BY26*(S13_PSP_Species_Support!BZ26*(1-EXP(-S13_PSP_Species_Support!CA26*10))^S13_PSP_Species_Support!CB26)^2*(S13_PSP_Species_Support!CC26*(1-EXP(-S13_PSP_Species_Support!CD26*10))^S13_PSP_Species_Support!CE26))^0.976,0)+IFERROR(S13_PSP_Species_Support!CI26*0.0673*(S13_PSP_Species_Support!CJ26*(S13_PSP_Species_Support!CK26*(1-EXP(-S13_PSP_Species_Support!CL26*10))^S13_PSP_Species_Support!CM26)^2*(S13_PSP_Species_Support!CN26*(1-EXP(-S13_PSP_Species_Support!CO26*10))^S13_PSP_Species_Support!CP26))^0.976,0)+IFERROR(S13_PSP_Species_Support!CT26*0.0673*(S13_PSP_Species_Support!CU26*(S13_PSP_Species_Support!CV26*(1-EXP(-S13_PSP_Species_Support!CW26*10))^S13_PSP_Species_Support!CX26)^2*(S13_PSP_Species_Support!CY26*(1-EXP(-S13_PSP_Species_Support!CZ26*10))^S13_PSP_Species_Support!DA26))^0.976,0))/1000/$G39*S$108,0)</x:f>
        <x:v>91.77756234146068</x:v>
      </x:c>
      <x:c r="T39" s="147" t="n">
        <x:f aca="0">IFERROR((IFERROR(S13_PSP_Species_Support!U26*0.0673*(S13_PSP_Species_Support!V26*(S13_PSP_Species_Support!W26*(1-EXP(-S13_PSP_Species_Support!X26*11))^S13_PSP_Species_Support!Y26)^2*(S13_PSP_Species_Support!Z26*(1-EXP(-S13_PSP_Species_Support!AA26*11))^S13_PSP_Species_Support!AB26))^0.976,0)+IFERROR(S13_PSP_Species_Support!AF26*0.0673*(S13_PSP_Species_Support!AG26*(S13_PSP_Species_Support!AH26*(1-EXP(-S13_PSP_Species_Support!AI26*11))^S13_PSP_Species_Support!AJ26)^2*(S13_PSP_Species_Support!AK26*(1-EXP(-S13_PSP_Species_Support!AL26*11))^S13_PSP_Species_Support!AM26))^0.976,0)+IFERROR(S13_PSP_Species_Support!AQ26*0.0673*(S13_PSP_Species_Support!AR26*(S13_PSP_Species_Support!AS26*(1-EXP(-S13_PSP_Species_Support!AT26*11))^S13_PSP_Species_Support!AU26)^2*(S13_PSP_Species_Support!AV26*(1-EXP(-S13_PSP_Species_Support!AW26*11))^S13_PSP_Species_Support!AX26))^0.976,0)+IFERROR(S13_PSP_Species_Support!BB26*0.0673*(S13_PSP_Species_Support!BC26*(S13_PSP_Species_Support!BD26*(1-EXP(-S13_PSP_Species_Support!BE26*11))^S13_PSP_Species_Support!BF26)^2*(S13_PSP_Species_Support!BG26*(1-EXP(-S13_PSP_Species_Support!BH26*11))^S13_PSP_Species_Support!BI26))^0.976,0)+IFERROR(S13_PSP_Species_Support!BM26*0.0673*(S13_PSP_Species_Support!BN26*(S13_PSP_Species_Support!BO26*(1-EXP(-S13_PSP_Species_Support!BP26*11))^S13_PSP_Species_Support!BQ26)^2*(S13_PSP_Species_Support!BR26*(1-EXP(-S13_PSP_Species_Support!BS26*11))^S13_PSP_Species_Support!BT26))^0.976,0)+IFERROR(S13_PSP_Species_Support!BX26*0.0673*(S13_PSP_Species_Support!BY26*(S13_PSP_Species_Support!BZ26*(1-EXP(-S13_PSP_Species_Support!CA26*11))^S13_PSP_Species_Support!CB26)^2*(S13_PSP_Species_Support!CC26*(1-EXP(-S13_PSP_Species_Support!CD26*11))^S13_PSP_Species_Support!CE26))^0.976,0)+IFERROR(S13_PSP_Species_Support!CI26*0.0673*(S13_PSP_Species_Support!CJ26*(S13_PSP_Species_Support!CK26*(1-EXP(-S13_PSP_Species_Support!CL26*11))^S13_PSP_Species_Support!CM26)^2*(S13_PSP_Species_Support!CN26*(1-EXP(-S13_PSP_Species_Support!CO26*11))^S13_PSP_Species_Support!CP26))^0.976,0)+IFERROR(S13_PSP_Species_Support!CT26*0.0673*(S13_PSP_Species_Support!CU26*(S13_PSP_Species_Support!CV26*(1-EXP(-S13_PSP_Species_Support!CW26*11))^S13_PSP_Species_Support!CX26)^2*(S13_PSP_Species_Support!CY26*(1-EXP(-S13_PSP_Species_Support!CZ26*11))^S13_PSP_Species_Support!DA26))^0.976,0))/1000/$G39*T$108,0)</x:f>
        <x:v>108.82856317662109</x:v>
      </x:c>
      <x:c r="U39" s="147" t="n">
        <x:f aca="0">IFERROR((IFERROR(S13_PSP_Species_Support!U26*0.0673*(S13_PSP_Species_Support!V26*(S13_PSP_Species_Support!W26*(1-EXP(-S13_PSP_Species_Support!X26*12))^S13_PSP_Species_Support!Y26)^2*(S13_PSP_Species_Support!Z26*(1-EXP(-S13_PSP_Species_Support!AA26*12))^S13_PSP_Species_Support!AB26))^0.976,0)+IFERROR(S13_PSP_Species_Support!AF26*0.0673*(S13_PSP_Species_Support!AG26*(S13_PSP_Species_Support!AH26*(1-EXP(-S13_PSP_Species_Support!AI26*12))^S13_PSP_Species_Support!AJ26)^2*(S13_PSP_Species_Support!AK26*(1-EXP(-S13_PSP_Species_Support!AL26*12))^S13_PSP_Species_Support!AM26))^0.976,0)+IFERROR(S13_PSP_Species_Support!AQ26*0.0673*(S13_PSP_Species_Support!AR26*(S13_PSP_Species_Support!AS26*(1-EXP(-S13_PSP_Species_Support!AT26*12))^S13_PSP_Species_Support!AU26)^2*(S13_PSP_Species_Support!AV26*(1-EXP(-S13_PSP_Species_Support!AW26*12))^S13_PSP_Species_Support!AX26))^0.976,0)+IFERROR(S13_PSP_Species_Support!BB26*0.0673*(S13_PSP_Species_Support!BC26*(S13_PSP_Species_Support!BD26*(1-EXP(-S13_PSP_Species_Support!BE26*12))^S13_PSP_Species_Support!BF26)^2*(S13_PSP_Species_Support!BG26*(1-EXP(-S13_PSP_Species_Support!BH26*12))^S13_PSP_Species_Support!BI26))^0.976,0)+IFERROR(S13_PSP_Species_Support!BM26*0.0673*(S13_PSP_Species_Support!BN26*(S13_PSP_Species_Support!BO26*(1-EXP(-S13_PSP_Species_Support!BP26*12))^S13_PSP_Species_Support!BQ26)^2*(S13_PSP_Species_Support!BR26*(1-EXP(-S13_PSP_Species_Support!BS26*12))^S13_PSP_Species_Support!BT26))^0.976,0)+IFERROR(S13_PSP_Species_Support!BX26*0.0673*(S13_PSP_Species_Support!BY26*(S13_PSP_Species_Support!BZ26*(1-EXP(-S13_PSP_Species_Support!CA26*12))^S13_PSP_Species_Support!CB26)^2*(S13_PSP_Species_Support!CC26*(1-EXP(-S13_PSP_Species_Support!CD26*12))^S13_PSP_Species_Support!CE26))^0.976,0)+IFERROR(S13_PSP_Species_Support!CI26*0.0673*(S13_PSP_Species_Support!CJ26*(S13_PSP_Species_Support!CK26*(1-EXP(-S13_PSP_Species_Support!CL26*12))^S13_PSP_Species_Support!CM26)^2*(S13_PSP_Species_Support!CN26*(1-EXP(-S13_PSP_Species_Support!CO26*12))^S13_PSP_Species_Support!CP26))^0.976,0)+IFERROR(S13_PSP_Species_Support!CT26*0.0673*(S13_PSP_Species_Support!CU26*(S13_PSP_Species_Support!CV26*(1-EXP(-S13_PSP_Species_Support!CW26*12))^S13_PSP_Species_Support!CX26)^2*(S13_PSP_Species_Support!CY26*(1-EXP(-S13_PSP_Species_Support!CZ26*12))^S13_PSP_Species_Support!DA26))^0.976,0))/1000/$G39*U$108,0)</x:f>
        <x:v>125.5680283245512</x:v>
      </x:c>
      <x:c r="V39" s="147" t="n">
        <x:f aca="0">IFERROR((IFERROR(S13_PSP_Species_Support!U26*0.0673*(S13_PSP_Species_Support!V26*(S13_PSP_Species_Support!W26*(1-EXP(-S13_PSP_Species_Support!X26*13))^S13_PSP_Species_Support!Y26)^2*(S13_PSP_Species_Support!Z26*(1-EXP(-S13_PSP_Species_Support!AA26*13))^S13_PSP_Species_Support!AB26))^0.976,0)+IFERROR(S13_PSP_Species_Support!AF26*0.0673*(S13_PSP_Species_Support!AG26*(S13_PSP_Species_Support!AH26*(1-EXP(-S13_PSP_Species_Support!AI26*13))^S13_PSP_Species_Support!AJ26)^2*(S13_PSP_Species_Support!AK26*(1-EXP(-S13_PSP_Species_Support!AL26*13))^S13_PSP_Species_Support!AM26))^0.976,0)+IFERROR(S13_PSP_Species_Support!AQ26*0.0673*(S13_PSP_Species_Support!AR26*(S13_PSP_Species_Support!AS26*(1-EXP(-S13_PSP_Species_Support!AT26*13))^S13_PSP_Species_Support!AU26)^2*(S13_PSP_Species_Support!AV26*(1-EXP(-S13_PSP_Species_Support!AW26*13))^S13_PSP_Species_Support!AX26))^0.976,0)+IFERROR(S13_PSP_Species_Support!BB26*0.0673*(S13_PSP_Species_Support!BC26*(S13_PSP_Species_Support!BD26*(1-EXP(-S13_PSP_Species_Support!BE26*13))^S13_PSP_Species_Support!BF26)^2*(S13_PSP_Species_Support!BG26*(1-EXP(-S13_PSP_Species_Support!BH26*13))^S13_PSP_Species_Support!BI26))^0.976,0)+IFERROR(S13_PSP_Species_Support!BM26*0.0673*(S13_PSP_Species_Support!BN26*(S13_PSP_Species_Support!BO26*(1-EXP(-S13_PSP_Species_Support!BP26*13))^S13_PSP_Species_Support!BQ26)^2*(S13_PSP_Species_Support!BR26*(1-EXP(-S13_PSP_Species_Support!BS26*13))^S13_PSP_Species_Support!BT26))^0.976,0)+IFERROR(S13_PSP_Species_Support!BX26*0.0673*(S13_PSP_Species_Support!BY26*(S13_PSP_Species_Support!BZ26*(1-EXP(-S13_PSP_Species_Support!CA26*13))^S13_PSP_Species_Support!CB26)^2*(S13_PSP_Species_Support!CC26*(1-EXP(-S13_PSP_Species_Support!CD26*13))^S13_PSP_Species_Support!CE26))^0.976,0)+IFERROR(S13_PSP_Species_Support!CI26*0.0673*(S13_PSP_Species_Support!CJ26*(S13_PSP_Species_Support!CK26*(1-EXP(-S13_PSP_Species_Support!CL26*13))^S13_PSP_Species_Support!CM26)^2*(S13_PSP_Species_Support!CN26*(1-EXP(-S13_PSP_Species_Support!CO26*13))^S13_PSP_Species_Support!CP26))^0.976,0)+IFERROR(S13_PSP_Species_Support!CT26*0.0673*(S13_PSP_Species_Support!CU26*(S13_PSP_Species_Support!CV26*(1-EXP(-S13_PSP_Species_Support!CW26*13))^S13_PSP_Species_Support!CX26)^2*(S13_PSP_Species_Support!CY26*(1-EXP(-S13_PSP_Species_Support!CZ26*13))^S13_PSP_Species_Support!DA26))^0.976,0))/1000/$G39*V$108,0)</x:f>
        <x:v>141.70854937821068</x:v>
      </x:c>
      <x:c r="W39" s="147" t="n">
        <x:f aca="0">IFERROR((IFERROR(S13_PSP_Species_Support!U26*0.0673*(S13_PSP_Species_Support!V26*(S13_PSP_Species_Support!W26*(1-EXP(-S13_PSP_Species_Support!X26*14))^S13_PSP_Species_Support!Y26)^2*(S13_PSP_Species_Support!Z26*(1-EXP(-S13_PSP_Species_Support!AA26*14))^S13_PSP_Species_Support!AB26))^0.976,0)+IFERROR(S13_PSP_Species_Support!AF26*0.0673*(S13_PSP_Species_Support!AG26*(S13_PSP_Species_Support!AH26*(1-EXP(-S13_PSP_Species_Support!AI26*14))^S13_PSP_Species_Support!AJ26)^2*(S13_PSP_Species_Support!AK26*(1-EXP(-S13_PSP_Species_Support!AL26*14))^S13_PSP_Species_Support!AM26))^0.976,0)+IFERROR(S13_PSP_Species_Support!AQ26*0.0673*(S13_PSP_Species_Support!AR26*(S13_PSP_Species_Support!AS26*(1-EXP(-S13_PSP_Species_Support!AT26*14))^S13_PSP_Species_Support!AU26)^2*(S13_PSP_Species_Support!AV26*(1-EXP(-S13_PSP_Species_Support!AW26*14))^S13_PSP_Species_Support!AX26))^0.976,0)+IFERROR(S13_PSP_Species_Support!BB26*0.0673*(S13_PSP_Species_Support!BC26*(S13_PSP_Species_Support!BD26*(1-EXP(-S13_PSP_Species_Support!BE26*14))^S13_PSP_Species_Support!BF26)^2*(S13_PSP_Species_Support!BG26*(1-EXP(-S13_PSP_Species_Support!BH26*14))^S13_PSP_Species_Support!BI26))^0.976,0)+IFERROR(S13_PSP_Species_Support!BM26*0.0673*(S13_PSP_Species_Support!BN26*(S13_PSP_Species_Support!BO26*(1-EXP(-S13_PSP_Species_Support!BP26*14))^S13_PSP_Species_Support!BQ26)^2*(S13_PSP_Species_Support!BR26*(1-EXP(-S13_PSP_Species_Support!BS26*14))^S13_PSP_Species_Support!BT26))^0.976,0)+IFERROR(S13_PSP_Species_Support!BX26*0.0673*(S13_PSP_Species_Support!BY26*(S13_PSP_Species_Support!BZ26*(1-EXP(-S13_PSP_Species_Support!CA26*14))^S13_PSP_Species_Support!CB26)^2*(S13_PSP_Species_Support!CC26*(1-EXP(-S13_PSP_Species_Support!CD26*14))^S13_PSP_Species_Support!CE26))^0.976,0)+IFERROR(S13_PSP_Species_Support!CI26*0.0673*(S13_PSP_Species_Support!CJ26*(S13_PSP_Species_Support!CK26*(1-EXP(-S13_PSP_Species_Support!CL26*14))^S13_PSP_Species_Support!CM26)^2*(S13_PSP_Species_Support!CN26*(1-EXP(-S13_PSP_Species_Support!CO26*14))^S13_PSP_Species_Support!CP26))^0.976,0)+IFERROR(S13_PSP_Species_Support!CT26*0.0673*(S13_PSP_Species_Support!CU26*(S13_PSP_Species_Support!CV26*(1-EXP(-S13_PSP_Species_Support!CW26*14))^S13_PSP_Species_Support!CX26)^2*(S13_PSP_Species_Support!CY26*(1-EXP(-S13_PSP_Species_Support!CZ26*14))^S13_PSP_Species_Support!DA26))^0.976,0))/1000/$G39*W$108,0)</x:f>
        <x:v>157.04629650179686</x:v>
      </x:c>
      <x:c r="X39" s="147" t="n">
        <x:f aca="0">IFERROR((IFERROR(S13_PSP_Species_Support!U26*0.0673*(S13_PSP_Species_Support!V26*(S13_PSP_Species_Support!W26*(1-EXP(-S13_PSP_Species_Support!X26*15))^S13_PSP_Species_Support!Y26)^2*(S13_PSP_Species_Support!Z26*(1-EXP(-S13_PSP_Species_Support!AA26*15))^S13_PSP_Species_Support!AB26))^0.976,0)+IFERROR(S13_PSP_Species_Support!AF26*0.0673*(S13_PSP_Species_Support!AG26*(S13_PSP_Species_Support!AH26*(1-EXP(-S13_PSP_Species_Support!AI26*15))^S13_PSP_Species_Support!AJ26)^2*(S13_PSP_Species_Support!AK26*(1-EXP(-S13_PSP_Species_Support!AL26*15))^S13_PSP_Species_Support!AM26))^0.976,0)+IFERROR(S13_PSP_Species_Support!AQ26*0.0673*(S13_PSP_Species_Support!AR26*(S13_PSP_Species_Support!AS26*(1-EXP(-S13_PSP_Species_Support!AT26*15))^S13_PSP_Species_Support!AU26)^2*(S13_PSP_Species_Support!AV26*(1-EXP(-S13_PSP_Species_Support!AW26*15))^S13_PSP_Species_Support!AX26))^0.976,0)+IFERROR(S13_PSP_Species_Support!BB26*0.0673*(S13_PSP_Species_Support!BC26*(S13_PSP_Species_Support!BD26*(1-EXP(-S13_PSP_Species_Support!BE26*15))^S13_PSP_Species_Support!BF26)^2*(S13_PSP_Species_Support!BG26*(1-EXP(-S13_PSP_Species_Support!BH26*15))^S13_PSP_Species_Support!BI26))^0.976,0)+IFERROR(S13_PSP_Species_Support!BM26*0.0673*(S13_PSP_Species_Support!BN26*(S13_PSP_Species_Support!BO26*(1-EXP(-S13_PSP_Species_Support!BP26*15))^S13_PSP_Species_Support!BQ26)^2*(S13_PSP_Species_Support!BR26*(1-EXP(-S13_PSP_Species_Support!BS26*15))^S13_PSP_Species_Support!BT26))^0.976,0)+IFERROR(S13_PSP_Species_Support!BX26*0.0673*(S13_PSP_Species_Support!BY26*(S13_PSP_Species_Support!BZ26*(1-EXP(-S13_PSP_Species_Support!CA26*15))^S13_PSP_Species_Support!CB26)^2*(S13_PSP_Species_Support!CC26*(1-EXP(-S13_PSP_Species_Support!CD26*15))^S13_PSP_Species_Support!CE26))^0.976,0)+IFERROR(S13_PSP_Species_Support!CI26*0.0673*(S13_PSP_Species_Support!CJ26*(S13_PSP_Species_Support!CK26*(1-EXP(-S13_PSP_Species_Support!CL26*15))^S13_PSP_Species_Support!CM26)^2*(S13_PSP_Species_Support!CN26*(1-EXP(-S13_PSP_Species_Support!CO26*15))^S13_PSP_Species_Support!CP26))^0.976,0)+IFERROR(S13_PSP_Species_Support!CT26*0.0673*(S13_PSP_Species_Support!CU26*(S13_PSP_Species_Support!CV26*(1-EXP(-S13_PSP_Species_Support!CW26*15))^S13_PSP_Species_Support!CX26)^2*(S13_PSP_Species_Support!CY26*(1-EXP(-S13_PSP_Species_Support!CZ26*15))^S13_PSP_Species_Support!DA26))^0.976,0))/1000/$G39*X$108,0)</x:f>
        <x:v>171.4484645626661</x:v>
      </x:c>
      <x:c r="Y39" s="147" t="n">
        <x:f aca="0">IFERROR((IFERROR(S13_PSP_Species_Support!U26*0.0673*(S13_PSP_Species_Support!V26*(S13_PSP_Species_Support!W26*(1-EXP(-S13_PSP_Species_Support!X26*16))^S13_PSP_Species_Support!Y26)^2*(S13_PSP_Species_Support!Z26*(1-EXP(-S13_PSP_Species_Support!AA26*16))^S13_PSP_Species_Support!AB26))^0.976,0)+IFERROR(S13_PSP_Species_Support!AF26*0.0673*(S13_PSP_Species_Support!AG26*(S13_PSP_Species_Support!AH26*(1-EXP(-S13_PSP_Species_Support!AI26*16))^S13_PSP_Species_Support!AJ26)^2*(S13_PSP_Species_Support!AK26*(1-EXP(-S13_PSP_Species_Support!AL26*16))^S13_PSP_Species_Support!AM26))^0.976,0)+IFERROR(S13_PSP_Species_Support!AQ26*0.0673*(S13_PSP_Species_Support!AR26*(S13_PSP_Species_Support!AS26*(1-EXP(-S13_PSP_Species_Support!AT26*16))^S13_PSP_Species_Support!AU26)^2*(S13_PSP_Species_Support!AV26*(1-EXP(-S13_PSP_Species_Support!AW26*16))^S13_PSP_Species_Support!AX26))^0.976,0)+IFERROR(S13_PSP_Species_Support!BB26*0.0673*(S13_PSP_Species_Support!BC26*(S13_PSP_Species_Support!BD26*(1-EXP(-S13_PSP_Species_Support!BE26*16))^S13_PSP_Species_Support!BF26)^2*(S13_PSP_Species_Support!BG26*(1-EXP(-S13_PSP_Species_Support!BH26*16))^S13_PSP_Species_Support!BI26))^0.976,0)+IFERROR(S13_PSP_Species_Support!BM26*0.0673*(S13_PSP_Species_Support!BN26*(S13_PSP_Species_Support!BO26*(1-EXP(-S13_PSP_Species_Support!BP26*16))^S13_PSP_Species_Support!BQ26)^2*(S13_PSP_Species_Support!BR26*(1-EXP(-S13_PSP_Species_Support!BS26*16))^S13_PSP_Species_Support!BT26))^0.976,0)+IFERROR(S13_PSP_Species_Support!BX26*0.0673*(S13_PSP_Species_Support!BY26*(S13_PSP_Species_Support!BZ26*(1-EXP(-S13_PSP_Species_Support!CA26*16))^S13_PSP_Species_Support!CB26)^2*(S13_PSP_Species_Support!CC26*(1-EXP(-S13_PSP_Species_Support!CD26*16))^S13_PSP_Species_Support!CE26))^0.976,0)+IFERROR(S13_PSP_Species_Support!CI26*0.0673*(S13_PSP_Species_Support!CJ26*(S13_PSP_Species_Support!CK26*(1-EXP(-S13_PSP_Species_Support!CL26*16))^S13_PSP_Species_Support!CM26)^2*(S13_PSP_Species_Support!CN26*(1-EXP(-S13_PSP_Species_Support!CO26*16))^S13_PSP_Species_Support!CP26))^0.976,0)+IFERROR(S13_PSP_Species_Support!CT26*0.0673*(S13_PSP_Species_Support!CU26*(S13_PSP_Species_Support!CV26*(1-EXP(-S13_PSP_Species_Support!CW26*16))^S13_PSP_Species_Support!CX26)^2*(S13_PSP_Species_Support!CY26*(1-EXP(-S13_PSP_Species_Support!CZ26*16))^S13_PSP_Species_Support!DA26))^0.976,0))/1000/$G39*Y$108,0)</x:f>
        <x:v>184.83994637937857</x:v>
      </x:c>
      <x:c r="Z39" s="147" t="n">
        <x:f aca="0">IFERROR((IFERROR(S13_PSP_Species_Support!U26*0.0673*(S13_PSP_Species_Support!V26*(S13_PSP_Species_Support!W26*(1-EXP(-S13_PSP_Species_Support!X26*17))^S13_PSP_Species_Support!Y26)^2*(S13_PSP_Species_Support!Z26*(1-EXP(-S13_PSP_Species_Support!AA26*17))^S13_PSP_Species_Support!AB26))^0.976,0)+IFERROR(S13_PSP_Species_Support!AF26*0.0673*(S13_PSP_Species_Support!AG26*(S13_PSP_Species_Support!AH26*(1-EXP(-S13_PSP_Species_Support!AI26*17))^S13_PSP_Species_Support!AJ26)^2*(S13_PSP_Species_Support!AK26*(1-EXP(-S13_PSP_Species_Support!AL26*17))^S13_PSP_Species_Support!AM26))^0.976,0)+IFERROR(S13_PSP_Species_Support!AQ26*0.0673*(S13_PSP_Species_Support!AR26*(S13_PSP_Species_Support!AS26*(1-EXP(-S13_PSP_Species_Support!AT26*17))^S13_PSP_Species_Support!AU26)^2*(S13_PSP_Species_Support!AV26*(1-EXP(-S13_PSP_Species_Support!AW26*17))^S13_PSP_Species_Support!AX26))^0.976,0)+IFERROR(S13_PSP_Species_Support!BB26*0.0673*(S13_PSP_Species_Support!BC26*(S13_PSP_Species_Support!BD26*(1-EXP(-S13_PSP_Species_Support!BE26*17))^S13_PSP_Species_Support!BF26)^2*(S13_PSP_Species_Support!BG26*(1-EXP(-S13_PSP_Species_Support!BH26*17))^S13_PSP_Species_Support!BI26))^0.976,0)+IFERROR(S13_PSP_Species_Support!BM26*0.0673*(S13_PSP_Species_Support!BN26*(S13_PSP_Species_Support!BO26*(1-EXP(-S13_PSP_Species_Support!BP26*17))^S13_PSP_Species_Support!BQ26)^2*(S13_PSP_Species_Support!BR26*(1-EXP(-S13_PSP_Species_Support!BS26*17))^S13_PSP_Species_Support!BT26))^0.976,0)+IFERROR(S13_PSP_Species_Support!BX26*0.0673*(S13_PSP_Species_Support!BY26*(S13_PSP_Species_Support!BZ26*(1-EXP(-S13_PSP_Species_Support!CA26*17))^S13_PSP_Species_Support!CB26)^2*(S13_PSP_Species_Support!CC26*(1-EXP(-S13_PSP_Species_Support!CD26*17))^S13_PSP_Species_Support!CE26))^0.976,0)+IFERROR(S13_PSP_Species_Support!CI26*0.0673*(S13_PSP_Species_Support!CJ26*(S13_PSP_Species_Support!CK26*(1-EXP(-S13_PSP_Species_Support!CL26*17))^S13_PSP_Species_Support!CM26)^2*(S13_PSP_Species_Support!CN26*(1-EXP(-S13_PSP_Species_Support!CO26*17))^S13_PSP_Species_Support!CP26))^0.976,0)+IFERROR(S13_PSP_Species_Support!CT26*0.0673*(S13_PSP_Species_Support!CU26*(S13_PSP_Species_Support!CV26*(1-EXP(-S13_PSP_Species_Support!CW26*17))^S13_PSP_Species_Support!CX26)^2*(S13_PSP_Species_Support!CY26*(1-EXP(-S13_PSP_Species_Support!CZ26*17))^S13_PSP_Species_Support!DA26))^0.976,0))/1000/$G39*Z$108,0)</x:f>
        <x:v>197.1907233813726</x:v>
      </x:c>
      <x:c r="AA39" s="147" t="n">
        <x:f aca="0">IFERROR((IFERROR(S13_PSP_Species_Support!U26*0.0673*(S13_PSP_Species_Support!V26*(S13_PSP_Species_Support!W26*(1-EXP(-S13_PSP_Species_Support!X26*18))^S13_PSP_Species_Support!Y26)^2*(S13_PSP_Species_Support!Z26*(1-EXP(-S13_PSP_Species_Support!AA26*18))^S13_PSP_Species_Support!AB26))^0.976,0)+IFERROR(S13_PSP_Species_Support!AF26*0.0673*(S13_PSP_Species_Support!AG26*(S13_PSP_Species_Support!AH26*(1-EXP(-S13_PSP_Species_Support!AI26*18))^S13_PSP_Species_Support!AJ26)^2*(S13_PSP_Species_Support!AK26*(1-EXP(-S13_PSP_Species_Support!AL26*18))^S13_PSP_Species_Support!AM26))^0.976,0)+IFERROR(S13_PSP_Species_Support!AQ26*0.0673*(S13_PSP_Species_Support!AR26*(S13_PSP_Species_Support!AS26*(1-EXP(-S13_PSP_Species_Support!AT26*18))^S13_PSP_Species_Support!AU26)^2*(S13_PSP_Species_Support!AV26*(1-EXP(-S13_PSP_Species_Support!AW26*18))^S13_PSP_Species_Support!AX26))^0.976,0)+IFERROR(S13_PSP_Species_Support!BB26*0.0673*(S13_PSP_Species_Support!BC26*(S13_PSP_Species_Support!BD26*(1-EXP(-S13_PSP_Species_Support!BE26*18))^S13_PSP_Species_Support!BF26)^2*(S13_PSP_Species_Support!BG26*(1-EXP(-S13_PSP_Species_Support!BH26*18))^S13_PSP_Species_Support!BI26))^0.976,0)+IFERROR(S13_PSP_Species_Support!BM26*0.0673*(S13_PSP_Species_Support!BN26*(S13_PSP_Species_Support!BO26*(1-EXP(-S13_PSP_Species_Support!BP26*18))^S13_PSP_Species_Support!BQ26)^2*(S13_PSP_Species_Support!BR26*(1-EXP(-S13_PSP_Species_Support!BS26*18))^S13_PSP_Species_Support!BT26))^0.976,0)+IFERROR(S13_PSP_Species_Support!BX26*0.0673*(S13_PSP_Species_Support!BY26*(S13_PSP_Species_Support!BZ26*(1-EXP(-S13_PSP_Species_Support!CA26*18))^S13_PSP_Species_Support!CB26)^2*(S13_PSP_Species_Support!CC26*(1-EXP(-S13_PSP_Species_Support!CD26*18))^S13_PSP_Species_Support!CE26))^0.976,0)+IFERROR(S13_PSP_Species_Support!CI26*0.0673*(S13_PSP_Species_Support!CJ26*(S13_PSP_Species_Support!CK26*(1-EXP(-S13_PSP_Species_Support!CL26*18))^S13_PSP_Species_Support!CM26)^2*(S13_PSP_Species_Support!CN26*(1-EXP(-S13_PSP_Species_Support!CO26*18))^S13_PSP_Species_Support!CP26))^0.976,0)+IFERROR(S13_PSP_Species_Support!CT26*0.0673*(S13_PSP_Species_Support!CU26*(S13_PSP_Species_Support!CV26*(1-EXP(-S13_PSP_Species_Support!CW26*18))^S13_PSP_Species_Support!CX26)^2*(S13_PSP_Species_Support!CY26*(1-EXP(-S13_PSP_Species_Support!CZ26*18))^S13_PSP_Species_Support!DA26))^0.976,0))/1000/$G39*AA$108,0)</x:f>
        <x:v>208.5047224569161</x:v>
      </x:c>
      <x:c r="AB39" s="147" t="n">
        <x:f aca="0">IFERROR((IFERROR(S13_PSP_Species_Support!U26*0.0673*(S13_PSP_Species_Support!V26*(S13_PSP_Species_Support!W26*(1-EXP(-S13_PSP_Species_Support!X26*19))^S13_PSP_Species_Support!Y26)^2*(S13_PSP_Species_Support!Z26*(1-EXP(-S13_PSP_Species_Support!AA26*19))^S13_PSP_Species_Support!AB26))^0.976,0)+IFERROR(S13_PSP_Species_Support!AF26*0.0673*(S13_PSP_Species_Support!AG26*(S13_PSP_Species_Support!AH26*(1-EXP(-S13_PSP_Species_Support!AI26*19))^S13_PSP_Species_Support!AJ26)^2*(S13_PSP_Species_Support!AK26*(1-EXP(-S13_PSP_Species_Support!AL26*19))^S13_PSP_Species_Support!AM26))^0.976,0)+IFERROR(S13_PSP_Species_Support!AQ26*0.0673*(S13_PSP_Species_Support!AR26*(S13_PSP_Species_Support!AS26*(1-EXP(-S13_PSP_Species_Support!AT26*19))^S13_PSP_Species_Support!AU26)^2*(S13_PSP_Species_Support!AV26*(1-EXP(-S13_PSP_Species_Support!AW26*19))^S13_PSP_Species_Support!AX26))^0.976,0)+IFERROR(S13_PSP_Species_Support!BB26*0.0673*(S13_PSP_Species_Support!BC26*(S13_PSP_Species_Support!BD26*(1-EXP(-S13_PSP_Species_Support!BE26*19))^S13_PSP_Species_Support!BF26)^2*(S13_PSP_Species_Support!BG26*(1-EXP(-S13_PSP_Species_Support!BH26*19))^S13_PSP_Species_Support!BI26))^0.976,0)+IFERROR(S13_PSP_Species_Support!BM26*0.0673*(S13_PSP_Species_Support!BN26*(S13_PSP_Species_Support!BO26*(1-EXP(-S13_PSP_Species_Support!BP26*19))^S13_PSP_Species_Support!BQ26)^2*(S13_PSP_Species_Support!BR26*(1-EXP(-S13_PSP_Species_Support!BS26*19))^S13_PSP_Species_Support!BT26))^0.976,0)+IFERROR(S13_PSP_Species_Support!BX26*0.0673*(S13_PSP_Species_Support!BY26*(S13_PSP_Species_Support!BZ26*(1-EXP(-S13_PSP_Species_Support!CA26*19))^S13_PSP_Species_Support!CB26)^2*(S13_PSP_Species_Support!CC26*(1-EXP(-S13_PSP_Species_Support!CD26*19))^S13_PSP_Species_Support!CE26))^0.976,0)+IFERROR(S13_PSP_Species_Support!CI26*0.0673*(S13_PSP_Species_Support!CJ26*(S13_PSP_Species_Support!CK26*(1-EXP(-S13_PSP_Species_Support!CL26*19))^S13_PSP_Species_Support!CM26)^2*(S13_PSP_Species_Support!CN26*(1-EXP(-S13_PSP_Species_Support!CO26*19))^S13_PSP_Species_Support!CP26))^0.976,0)+IFERROR(S13_PSP_Species_Support!CT26*0.0673*(S13_PSP_Species_Support!CU26*(S13_PSP_Species_Support!CV26*(1-EXP(-S13_PSP_Species_Support!CW26*19))^S13_PSP_Species_Support!CX26)^2*(S13_PSP_Species_Support!CY26*(1-EXP(-S13_PSP_Species_Support!CZ26*19))^S13_PSP_Species_Support!DA26))^0.976,0))/1000/$G39*AB$108,0)</x:f>
        <x:v>218.81041920206502</x:v>
      </x:c>
      <x:c r="AC39" s="147" t="n">
        <x:f aca="0">IFERROR((IFERROR(S13_PSP_Species_Support!U26*0.0673*(S13_PSP_Species_Support!V26*(S13_PSP_Species_Support!W26*(1-EXP(-S13_PSP_Species_Support!X26*20))^S13_PSP_Species_Support!Y26)^2*(S13_PSP_Species_Support!Z26*(1-EXP(-S13_PSP_Species_Support!AA26*20))^S13_PSP_Species_Support!AB26))^0.976,0)+IFERROR(S13_PSP_Species_Support!AF26*0.0673*(S13_PSP_Species_Support!AG26*(S13_PSP_Species_Support!AH26*(1-EXP(-S13_PSP_Species_Support!AI26*20))^S13_PSP_Species_Support!AJ26)^2*(S13_PSP_Species_Support!AK26*(1-EXP(-S13_PSP_Species_Support!AL26*20))^S13_PSP_Species_Support!AM26))^0.976,0)+IFERROR(S13_PSP_Species_Support!AQ26*0.0673*(S13_PSP_Species_Support!AR26*(S13_PSP_Species_Support!AS26*(1-EXP(-S13_PSP_Species_Support!AT26*20))^S13_PSP_Species_Support!AU26)^2*(S13_PSP_Species_Support!AV26*(1-EXP(-S13_PSP_Species_Support!AW26*20))^S13_PSP_Species_Support!AX26))^0.976,0)+IFERROR(S13_PSP_Species_Support!BB26*0.0673*(S13_PSP_Species_Support!BC26*(S13_PSP_Species_Support!BD26*(1-EXP(-S13_PSP_Species_Support!BE26*20))^S13_PSP_Species_Support!BF26)^2*(S13_PSP_Species_Support!BG26*(1-EXP(-S13_PSP_Species_Support!BH26*20))^S13_PSP_Species_Support!BI26))^0.976,0)+IFERROR(S13_PSP_Species_Support!BM26*0.0673*(S13_PSP_Species_Support!BN26*(S13_PSP_Species_Support!BO26*(1-EXP(-S13_PSP_Species_Support!BP26*20))^S13_PSP_Species_Support!BQ26)^2*(S13_PSP_Species_Support!BR26*(1-EXP(-S13_PSP_Species_Support!BS26*20))^S13_PSP_Species_Support!BT26))^0.976,0)+IFERROR(S13_PSP_Species_Support!BX26*0.0673*(S13_PSP_Species_Support!BY26*(S13_PSP_Species_Support!BZ26*(1-EXP(-S13_PSP_Species_Support!CA26*20))^S13_PSP_Species_Support!CB26)^2*(S13_PSP_Species_Support!CC26*(1-EXP(-S13_PSP_Species_Support!CD26*20))^S13_PSP_Species_Support!CE26))^0.976,0)+IFERROR(S13_PSP_Species_Support!CI26*0.0673*(S13_PSP_Species_Support!CJ26*(S13_PSP_Species_Support!CK26*(1-EXP(-S13_PSP_Species_Support!CL26*20))^S13_PSP_Species_Support!CM26)^2*(S13_PSP_Species_Support!CN26*(1-EXP(-S13_PSP_Species_Support!CO26*20))^S13_PSP_Species_Support!CP26))^0.976,0)+IFERROR(S13_PSP_Species_Support!CT26*0.0673*(S13_PSP_Species_Support!CU26*(S13_PSP_Species_Support!CV26*(1-EXP(-S13_PSP_Species_Support!CW26*20))^S13_PSP_Species_Support!CX26)^2*(S13_PSP_Species_Support!CY26*(1-EXP(-S13_PSP_Species_Support!CZ26*20))^S13_PSP_Species_Support!DA26))^0.976,0))/1000/$G39*AC$108,0)</x:f>
        <x:v>228.15319133603953</x:v>
      </x:c>
      <x:c r="AD39" s="148" t="n">
        <x:f aca="0">IF(2020&lt;$F39,0,INDEX($I39:$AC39,1,2020-$F39+1))</x:f>
        <x:v>0</x:v>
      </x:c>
      <x:c r="AE39" s="148" t="n">
        <x:f aca="0">IF(2021&lt;$F39,0,INDEX($I39:$AC39,1,2021-$F39+1))</x:f>
        <x:v>0.08355201272613755</x:v>
      </x:c>
      <x:c r="AF39" s="148" t="n">
        <x:f aca="0">IF(2022&lt;$F39,0,INDEX($I39:$AC39,1,2022-$F39+1))</x:f>
        <x:v>1.0025427514824359</x:v>
      </x:c>
      <x:c r="AG39" s="148" t="n">
        <x:f aca="0">IF(2023&lt;$F39,0,INDEX($I39:$AC39,1,2023-$F39+1))</x:f>
        <x:v>3.869104629559554</x:v>
      </x:c>
      <x:c r="AH39" s="148" t="n">
        <x:f aca="0">IF(2024&lt;$F39,0,INDEX($I39:$AC39,1,2024-$F39+1))</x:f>
        <x:v>9.47722355144662</x:v>
      </x:c>
      <x:c r="AI39" s="148" t="n">
        <x:f aca="0">IF(2025&lt;$F39,0,INDEX($I39:$AC39,1,2025-$F39+1))</x:f>
        <x:v>18.04922975176621</x:v>
      </x:c>
      <x:c r="AJ39" s="148" t="n">
        <x:f aca="0">IF(2026&lt;$F39,0,INDEX($I39:$AC39,1,2026-$F39+1))</x:f>
        <x:v>29.385269998399743</x:v>
      </x:c>
      <x:c r="AK39" s="148" t="n">
        <x:f aca="0">IF(2027&lt;$F39,0,INDEX($I39:$AC39,1,2027-$F39+1))</x:f>
        <x:v>43.01744754006137</x:v>
      </x:c>
      <x:c r="AL39" s="148" t="n">
        <x:f aca="0">IF(2028&lt;$F39,0,INDEX($I39:$AC39,1,2028-$F39+1))</x:f>
        <x:v>58.35610125097526</x:v>
      </x:c>
      <x:c r="AM39" s="148" t="n">
        <x:f aca="0">IF(2029&lt;$F39,0,INDEX($I39:$AC39,1,2029-$F39+1))</x:f>
        <x:v>74.79519949251618</x:v>
      </x:c>
      <x:c r="AN39" s="148" t="n">
        <x:f aca="0">IF(2030&lt;$F39,0,INDEX($I39:$AC39,1,2030-$F39+1))</x:f>
        <x:v>91.77756234146068</x:v>
      </x:c>
      <x:c r="AO39" s="148" t="n">
        <x:f aca="0">IF(2031&lt;$F39,0,INDEX($I39:$AC39,1,2031-$F39+1))</x:f>
        <x:v>108.82856317662109</x:v>
      </x:c>
      <x:c r="AP39" s="148" t="n">
        <x:f aca="0">IF(2032&lt;$F39,0,INDEX($I39:$AC39,1,2032-$F39+1))</x:f>
        <x:v>125.5680283245512</x:v>
      </x:c>
      <x:c r="AQ39" s="148" t="n">
        <x:f aca="0">IF(2033&lt;$F39,0,INDEX($I39:$AC39,1,2033-$F39+1))</x:f>
        <x:v>141.70854937821068</x:v>
      </x:c>
      <x:c r="AR39" s="148" t="n">
        <x:f aca="0">IF(2034&lt;$F39,0,INDEX($I39:$AC39,1,2034-$F39+1))</x:f>
        <x:v>157.04629650179686</x:v>
      </x:c>
      <x:c r="AS39" s="148" t="n">
        <x:f aca="0">IF(2035&lt;$F39,0,INDEX($I39:$AC39,1,2035-$F39+1))</x:f>
        <x:v>171.4484645626661</x:v>
      </x:c>
      <x:c r="AT39" s="148" t="n">
        <x:f aca="0">IF(2036&lt;$F39,0,INDEX($I39:$AC39,1,2036-$F39+1))</x:f>
        <x:v>184.83994637937857</x:v>
      </x:c>
      <x:c r="AU39" s="148" t="n">
        <x:f aca="0">IF(2037&lt;$F39,0,INDEX($I39:$AC39,1,2037-$F39+1))</x:f>
        <x:v>197.1907233813726</x:v>
      </x:c>
      <x:c r="AV39" s="148" t="n">
        <x:f aca="0">IF(2038&lt;$F39,0,INDEX($I39:$AC39,1,2038-$F39+1))</x:f>
        <x:v>208.5047224569161</x:v>
      </x:c>
      <x:c r="AW39" s="148" t="n">
        <x:f aca="0">IF(2039&lt;$F39,0,INDEX($I39:$AC39,1,2039-$F39+1))</x:f>
        <x:v>218.81041920206502</x:v>
      </x:c>
      <x:c r="AX39" s="148" t="n">
        <x:f aca="0">IF(2040&lt;$F39,0,INDEX($I39:$AC39,1,2040-$F39+1))</x:f>
        <x:v>228.15319133603953</x:v>
      </x:c>
      <x:c r="AY39" s="1" t="str">
        <x:f aca="0">LEFT($C39,FIND("@",SUBSTITUTE($C39,"|","@",2))-1)</x:f>
        <x:v>Horti-Silviculture|Medium</x:v>
      </x:c>
      <x:c r="AZ39" s="1" t="str">
        <x:f aca="0">LEFT($C39,FIND("|",$C39)-1)</x:f>
        <x:v>Horti-Silviculture</x:v>
      </x:c>
      <x:c r="BA39" s="149" t="n">
        <x:f aca="0">I39*I39</x:f>
        <x:v>0</x:v>
      </x:c>
      <x:c r="BB39" s="149" t="n">
        <x:f aca="0">J39*J39</x:f>
        <x:v>0.006980938830588651</x:v>
      </x:c>
      <x:c r="BC39" s="149" t="n">
        <x:f aca="0">K39*K39</x:f>
        <x:v>1.0050919685499733</x:v>
      </x:c>
      <x:c r="BD39" s="149" t="n">
        <x:f aca="0">L39*L39</x:f>
        <x:v>14.969970634479173</x:v>
      </x:c>
      <x:c r="BE39" s="149" t="n">
        <x:f aca="0">M39*M39</x:f>
        <x:v>89.81776624409449</x:v>
      </x:c>
      <x:c r="BF39" s="149" t="n">
        <x:f aca="0">N39*N39</x:f>
        <x:v>325.7746946320425</x:v>
      </x:c>
      <x:c r="BG39" s="149" t="n">
        <x:f aca="0">O39*O39</x:f>
        <x:v>863.494092878852</x:v>
      </x:c>
      <x:c r="BH39" s="149" t="n">
        <x:f aca="0">P39*P39</x:f>
        <x:v>1850.5007928619318</x:v>
      </x:c>
      <x:c r="BI39" s="149" t="n">
        <x:f aca="0">Q39*Q39</x:f>
        <x:v>3405.434553214076</x:v>
      </x:c>
      <x:c r="BJ39" s="149" t="n">
        <x:f aca="0">R39*R39</x:f>
        <x:v>5594.321867125292</x:v>
      </x:c>
      <x:c r="BK39" s="149" t="n">
        <x:f aca="0">S39*S39</x:f>
        <x:v>8423.120949340702</x:v>
      </x:c>
      <x:c r="BL39" s="149" t="n">
        <x:f aca="0">T39*T39</x:f>
        <x:v>11843.656163087808</x:v>
      </x:c>
      <x:c r="BM39" s="149" t="n">
        <x:f aca="0">U39*U39</x:f>
        <x:v>15767.329737315291</x:v>
      </x:c>
      <x:c r="BN39" s="149" t="n">
        <x:f aca="0">V39*V39</x:f>
        <x:v>20081.312966876772</x:v>
      </x:c>
      <x:c r="BO39" s="149" t="n">
        <x:f aca="0">W39*W39</x:f>
        <x:v>24663.539244930293</x:v>
      </x:c>
      <x:c r="BP39" s="149" t="n">
        <x:f aca="0">X39*X39</x:f>
        <x:v>29394.57600089577</x:v>
      </x:c>
      <x:c r="BQ39" s="149" t="n">
        <x:f aca="0">Y39*Y39</x:f>
        <x:v>34165.80577753155</x:v>
      </x:c>
      <x:c r="BR39" s="149" t="n">
        <x:f aca="0">Z39*Z39</x:f>
        <x:v>38884.18138766901</x:v>
      </x:c>
      <x:c r="BS39" s="149" t="n">
        <x:f aca="0">AA39*AA39</x:f>
        <x:v>43474.21928683562</x:v>
      </x:c>
      <x:c r="BT39" s="149" t="n">
        <x:f aca="0">AB39*AB39</x:f>
        <x:v>47877.99955138342</x:v>
      </x:c>
      <x:c r="BU39" s="149" t="n">
        <x:f aca="0">AC39*AC39</x:f>
        <x:v>52053.87871681946</x:v>
      </x:c>
    </x:row>
    <x:row r="40" ht="15" hidden="0" customHeight="1">
      <x:c r="A40" s="1" t="str">
        <x:f aca="0">S13_PSP_Species_Support!A27</x:f>
        <x:v>PSP-HS-013</x:v>
      </x:c>
      <x:c r="B40" s="1" t="n">
        <x:f aca="0">27</x:f>
        <x:v>27</x:v>
      </x:c>
      <x:c r="C40" s="1" t="str">
        <x:f aca="0">S13_PSP_Species_Support!I27</x:f>
        <x:v>Horti-Silviculture|Medium|2020</x:v>
      </x:c>
      <x:c r="D40" s="1" t="str">
        <x:f aca="0">S13_PSP_Species_Support!C27</x:f>
        <x:v>Horti-Silviculture</x:v>
      </x:c>
      <x:c r="E40" s="1" t="str">
        <x:f aca="0">S13_PSP_Species_Support!D27</x:f>
        <x:v>Medium</x:v>
      </x:c>
      <x:c r="F40" s="1" t="n">
        <x:f aca="0">S13_PSP_Species_Support!E27</x:f>
        <x:v>2020</x:v>
      </x:c>
      <x:c r="G40" s="645" t="n">
        <x:f aca="0">'S13_PSP_Species_Support'!DJ27</x:f>
        <x:v>0.09</x:v>
      </x:c>
      <x:c r="H40" s="714" t="n">
        <x:f aca="0">'S13_PSP_Species_Support'!DK27</x:f>
        <x:v>45.02501389660922</x:v>
      </x:c>
      <x:c r="I40" s="147" t="n">
        <x:f aca="0">IFERROR((IFERROR(S13_PSP_Species_Support!U27*0.0673*(S13_PSP_Species_Support!V27*(S13_PSP_Species_Support!W27*(1-EXP(-S13_PSP_Species_Support!X27*0))^S13_PSP_Species_Support!Y27)^2*(S13_PSP_Species_Support!Z27*(1-EXP(-S13_PSP_Species_Support!AA27*0))^S13_PSP_Species_Support!AB27))^0.976,0)+IFERROR(S13_PSP_Species_Support!AF27*0.0673*(S13_PSP_Species_Support!AG27*(S13_PSP_Species_Support!AH27*(1-EXP(-S13_PSP_Species_Support!AI27*0))^S13_PSP_Species_Support!AJ27)^2*(S13_PSP_Species_Support!AK27*(1-EXP(-S13_PSP_Species_Support!AL27*0))^S13_PSP_Species_Support!AM27))^0.976,0)+IFERROR(S13_PSP_Species_Support!AQ27*0.0673*(S13_PSP_Species_Support!AR27*(S13_PSP_Species_Support!AS27*(1-EXP(-S13_PSP_Species_Support!AT27*0))^S13_PSP_Species_Support!AU27)^2*(S13_PSP_Species_Support!AV27*(1-EXP(-S13_PSP_Species_Support!AW27*0))^S13_PSP_Species_Support!AX27))^0.976,0)+IFERROR(S13_PSP_Species_Support!BB27*0.0673*(S13_PSP_Species_Support!BC27*(S13_PSP_Species_Support!BD27*(1-EXP(-S13_PSP_Species_Support!BE27*0))^S13_PSP_Species_Support!BF27)^2*(S13_PSP_Species_Support!BG27*(1-EXP(-S13_PSP_Species_Support!BH27*0))^S13_PSP_Species_Support!BI27))^0.976,0)+IFERROR(S13_PSP_Species_Support!BM27*0.0673*(S13_PSP_Species_Support!BN27*(S13_PSP_Species_Support!BO27*(1-EXP(-S13_PSP_Species_Support!BP27*0))^S13_PSP_Species_Support!BQ27)^2*(S13_PSP_Species_Support!BR27*(1-EXP(-S13_PSP_Species_Support!BS27*0))^S13_PSP_Species_Support!BT27))^0.976,0)+IFERROR(S13_PSP_Species_Support!BX27*0.0673*(S13_PSP_Species_Support!BY27*(S13_PSP_Species_Support!BZ27*(1-EXP(-S13_PSP_Species_Support!CA27*0))^S13_PSP_Species_Support!CB27)^2*(S13_PSP_Species_Support!CC27*(1-EXP(-S13_PSP_Species_Support!CD27*0))^S13_PSP_Species_Support!CE27))^0.976,0)+IFERROR(S13_PSP_Species_Support!CI27*0.0673*(S13_PSP_Species_Support!CJ27*(S13_PSP_Species_Support!CK27*(1-EXP(-S13_PSP_Species_Support!CL27*0))^S13_PSP_Species_Support!CM27)^2*(S13_PSP_Species_Support!CN27*(1-EXP(-S13_PSP_Species_Support!CO27*0))^S13_PSP_Species_Support!CP27))^0.976,0)+IFERROR(S13_PSP_Species_Support!CT27*0.0673*(S13_PSP_Species_Support!CU27*(S13_PSP_Species_Support!CV27*(1-EXP(-S13_PSP_Species_Support!CW27*0))^S13_PSP_Species_Support!CX27)^2*(S13_PSP_Species_Support!CY27*(1-EXP(-S13_PSP_Species_Support!CZ27*0))^S13_PSP_Species_Support!DA27))^0.976,0))/1000/$G40*I$108,0)</x:f>
        <x:v>0</x:v>
      </x:c>
      <x:c r="J40" s="147" t="n">
        <x:f aca="0">IFERROR((IFERROR(S13_PSP_Species_Support!U27*0.0673*(S13_PSP_Species_Support!V27*(S13_PSP_Species_Support!W27*(1-EXP(-S13_PSP_Species_Support!X27*1))^S13_PSP_Species_Support!Y27)^2*(S13_PSP_Species_Support!Z27*(1-EXP(-S13_PSP_Species_Support!AA27*1))^S13_PSP_Species_Support!AB27))^0.976,0)+IFERROR(S13_PSP_Species_Support!AF27*0.0673*(S13_PSP_Species_Support!AG27*(S13_PSP_Species_Support!AH27*(1-EXP(-S13_PSP_Species_Support!AI27*1))^S13_PSP_Species_Support!AJ27)^2*(S13_PSP_Species_Support!AK27*(1-EXP(-S13_PSP_Species_Support!AL27*1))^S13_PSP_Species_Support!AM27))^0.976,0)+IFERROR(S13_PSP_Species_Support!AQ27*0.0673*(S13_PSP_Species_Support!AR27*(S13_PSP_Species_Support!AS27*(1-EXP(-S13_PSP_Species_Support!AT27*1))^S13_PSP_Species_Support!AU27)^2*(S13_PSP_Species_Support!AV27*(1-EXP(-S13_PSP_Species_Support!AW27*1))^S13_PSP_Species_Support!AX27))^0.976,0)+IFERROR(S13_PSP_Species_Support!BB27*0.0673*(S13_PSP_Species_Support!BC27*(S13_PSP_Species_Support!BD27*(1-EXP(-S13_PSP_Species_Support!BE27*1))^S13_PSP_Species_Support!BF27)^2*(S13_PSP_Species_Support!BG27*(1-EXP(-S13_PSP_Species_Support!BH27*1))^S13_PSP_Species_Support!BI27))^0.976,0)+IFERROR(S13_PSP_Species_Support!BM27*0.0673*(S13_PSP_Species_Support!BN27*(S13_PSP_Species_Support!BO27*(1-EXP(-S13_PSP_Species_Support!BP27*1))^S13_PSP_Species_Support!BQ27)^2*(S13_PSP_Species_Support!BR27*(1-EXP(-S13_PSP_Species_Support!BS27*1))^S13_PSP_Species_Support!BT27))^0.976,0)+IFERROR(S13_PSP_Species_Support!BX27*0.0673*(S13_PSP_Species_Support!BY27*(S13_PSP_Species_Support!BZ27*(1-EXP(-S13_PSP_Species_Support!CA27*1))^S13_PSP_Species_Support!CB27)^2*(S13_PSP_Species_Support!CC27*(1-EXP(-S13_PSP_Species_Support!CD27*1))^S13_PSP_Species_Support!CE27))^0.976,0)+IFERROR(S13_PSP_Species_Support!CI27*0.0673*(S13_PSP_Species_Support!CJ27*(S13_PSP_Species_Support!CK27*(1-EXP(-S13_PSP_Species_Support!CL27*1))^S13_PSP_Species_Support!CM27)^2*(S13_PSP_Species_Support!CN27*(1-EXP(-S13_PSP_Species_Support!CO27*1))^S13_PSP_Species_Support!CP27))^0.976,0)+IFERROR(S13_PSP_Species_Support!CT27*0.0673*(S13_PSP_Species_Support!CU27*(S13_PSP_Species_Support!CV27*(1-EXP(-S13_PSP_Species_Support!CW27*1))^S13_PSP_Species_Support!CX27)^2*(S13_PSP_Species_Support!CY27*(1-EXP(-S13_PSP_Species_Support!CZ27*1))^S13_PSP_Species_Support!DA27))^0.976,0))/1000/$G40*J$108,0)</x:f>
        <x:v>0.06913216796827186</x:v>
      </x:c>
      <x:c r="K40" s="147" t="n">
        <x:f aca="0">IFERROR((IFERROR(S13_PSP_Species_Support!U27*0.0673*(S13_PSP_Species_Support!V27*(S13_PSP_Species_Support!W27*(1-EXP(-S13_PSP_Species_Support!X27*2))^S13_PSP_Species_Support!Y27)^2*(S13_PSP_Species_Support!Z27*(1-EXP(-S13_PSP_Species_Support!AA27*2))^S13_PSP_Species_Support!AB27))^0.976,0)+IFERROR(S13_PSP_Species_Support!AF27*0.0673*(S13_PSP_Species_Support!AG27*(S13_PSP_Species_Support!AH27*(1-EXP(-S13_PSP_Species_Support!AI27*2))^S13_PSP_Species_Support!AJ27)^2*(S13_PSP_Species_Support!AK27*(1-EXP(-S13_PSP_Species_Support!AL27*2))^S13_PSP_Species_Support!AM27))^0.976,0)+IFERROR(S13_PSP_Species_Support!AQ27*0.0673*(S13_PSP_Species_Support!AR27*(S13_PSP_Species_Support!AS27*(1-EXP(-S13_PSP_Species_Support!AT27*2))^S13_PSP_Species_Support!AU27)^2*(S13_PSP_Species_Support!AV27*(1-EXP(-S13_PSP_Species_Support!AW27*2))^S13_PSP_Species_Support!AX27))^0.976,0)+IFERROR(S13_PSP_Species_Support!BB27*0.0673*(S13_PSP_Species_Support!BC27*(S13_PSP_Species_Support!BD27*(1-EXP(-S13_PSP_Species_Support!BE27*2))^S13_PSP_Species_Support!BF27)^2*(S13_PSP_Species_Support!BG27*(1-EXP(-S13_PSP_Species_Support!BH27*2))^S13_PSP_Species_Support!BI27))^0.976,0)+IFERROR(S13_PSP_Species_Support!BM27*0.0673*(S13_PSP_Species_Support!BN27*(S13_PSP_Species_Support!BO27*(1-EXP(-S13_PSP_Species_Support!BP27*2))^S13_PSP_Species_Support!BQ27)^2*(S13_PSP_Species_Support!BR27*(1-EXP(-S13_PSP_Species_Support!BS27*2))^S13_PSP_Species_Support!BT27))^0.976,0)+IFERROR(S13_PSP_Species_Support!BX27*0.0673*(S13_PSP_Species_Support!BY27*(S13_PSP_Species_Support!BZ27*(1-EXP(-S13_PSP_Species_Support!CA27*2))^S13_PSP_Species_Support!CB27)^2*(S13_PSP_Species_Support!CC27*(1-EXP(-S13_PSP_Species_Support!CD27*2))^S13_PSP_Species_Support!CE27))^0.976,0)+IFERROR(S13_PSP_Species_Support!CI27*0.0673*(S13_PSP_Species_Support!CJ27*(S13_PSP_Species_Support!CK27*(1-EXP(-S13_PSP_Species_Support!CL27*2))^S13_PSP_Species_Support!CM27)^2*(S13_PSP_Species_Support!CN27*(1-EXP(-S13_PSP_Species_Support!CO27*2))^S13_PSP_Species_Support!CP27))^0.976,0)+IFERROR(S13_PSP_Species_Support!CT27*0.0673*(S13_PSP_Species_Support!CU27*(S13_PSP_Species_Support!CV27*(1-EXP(-S13_PSP_Species_Support!CW27*2))^S13_PSP_Species_Support!CX27)^2*(S13_PSP_Species_Support!CY27*(1-EXP(-S13_PSP_Species_Support!CZ27*2))^S13_PSP_Species_Support!DA27))^0.976,0))/1000/$G40*K$108,0)</x:f>
        <x:v>0.8621907166627942</x:v>
      </x:c>
      <x:c r="L40" s="147" t="n">
        <x:f aca="0">IFERROR((IFERROR(S13_PSP_Species_Support!U27*0.0673*(S13_PSP_Species_Support!V27*(S13_PSP_Species_Support!W27*(1-EXP(-S13_PSP_Species_Support!X27*3))^S13_PSP_Species_Support!Y27)^2*(S13_PSP_Species_Support!Z27*(1-EXP(-S13_PSP_Species_Support!AA27*3))^S13_PSP_Species_Support!AB27))^0.976,0)+IFERROR(S13_PSP_Species_Support!AF27*0.0673*(S13_PSP_Species_Support!AG27*(S13_PSP_Species_Support!AH27*(1-EXP(-S13_PSP_Species_Support!AI27*3))^S13_PSP_Species_Support!AJ27)^2*(S13_PSP_Species_Support!AK27*(1-EXP(-S13_PSP_Species_Support!AL27*3))^S13_PSP_Species_Support!AM27))^0.976,0)+IFERROR(S13_PSP_Species_Support!AQ27*0.0673*(S13_PSP_Species_Support!AR27*(S13_PSP_Species_Support!AS27*(1-EXP(-S13_PSP_Species_Support!AT27*3))^S13_PSP_Species_Support!AU27)^2*(S13_PSP_Species_Support!AV27*(1-EXP(-S13_PSP_Species_Support!AW27*3))^S13_PSP_Species_Support!AX27))^0.976,0)+IFERROR(S13_PSP_Species_Support!BB27*0.0673*(S13_PSP_Species_Support!BC27*(S13_PSP_Species_Support!BD27*(1-EXP(-S13_PSP_Species_Support!BE27*3))^S13_PSP_Species_Support!BF27)^2*(S13_PSP_Species_Support!BG27*(1-EXP(-S13_PSP_Species_Support!BH27*3))^S13_PSP_Species_Support!BI27))^0.976,0)+IFERROR(S13_PSP_Species_Support!BM27*0.0673*(S13_PSP_Species_Support!BN27*(S13_PSP_Species_Support!BO27*(1-EXP(-S13_PSP_Species_Support!BP27*3))^S13_PSP_Species_Support!BQ27)^2*(S13_PSP_Species_Support!BR27*(1-EXP(-S13_PSP_Species_Support!BS27*3))^S13_PSP_Species_Support!BT27))^0.976,0)+IFERROR(S13_PSP_Species_Support!BX27*0.0673*(S13_PSP_Species_Support!BY27*(S13_PSP_Species_Support!BZ27*(1-EXP(-S13_PSP_Species_Support!CA27*3))^S13_PSP_Species_Support!CB27)^2*(S13_PSP_Species_Support!CC27*(1-EXP(-S13_PSP_Species_Support!CD27*3))^S13_PSP_Species_Support!CE27))^0.976,0)+IFERROR(S13_PSP_Species_Support!CI27*0.0673*(S13_PSP_Species_Support!CJ27*(S13_PSP_Species_Support!CK27*(1-EXP(-S13_PSP_Species_Support!CL27*3))^S13_PSP_Species_Support!CM27)^2*(S13_PSP_Species_Support!CN27*(1-EXP(-S13_PSP_Species_Support!CO27*3))^S13_PSP_Species_Support!CP27))^0.976,0)+IFERROR(S13_PSP_Species_Support!CT27*0.0673*(S13_PSP_Species_Support!CU27*(S13_PSP_Species_Support!CV27*(1-EXP(-S13_PSP_Species_Support!CW27*3))^S13_PSP_Species_Support!CX27)^2*(S13_PSP_Species_Support!CY27*(1-EXP(-S13_PSP_Species_Support!CZ27*3))^S13_PSP_Species_Support!DA27))^0.976,0))/1000/$G40*L$108,0)</x:f>
        <x:v>3.284031643528891</x:v>
      </x:c>
      <x:c r="M40" s="147" t="n">
        <x:f aca="0">IFERROR((IFERROR(S13_PSP_Species_Support!U27*0.0673*(S13_PSP_Species_Support!V27*(S13_PSP_Species_Support!W27*(1-EXP(-S13_PSP_Species_Support!X27*4))^S13_PSP_Species_Support!Y27)^2*(S13_PSP_Species_Support!Z27*(1-EXP(-S13_PSP_Species_Support!AA27*4))^S13_PSP_Species_Support!AB27))^0.976,0)+IFERROR(S13_PSP_Species_Support!AF27*0.0673*(S13_PSP_Species_Support!AG27*(S13_PSP_Species_Support!AH27*(1-EXP(-S13_PSP_Species_Support!AI27*4))^S13_PSP_Species_Support!AJ27)^2*(S13_PSP_Species_Support!AK27*(1-EXP(-S13_PSP_Species_Support!AL27*4))^S13_PSP_Species_Support!AM27))^0.976,0)+IFERROR(S13_PSP_Species_Support!AQ27*0.0673*(S13_PSP_Species_Support!AR27*(S13_PSP_Species_Support!AS27*(1-EXP(-S13_PSP_Species_Support!AT27*4))^S13_PSP_Species_Support!AU27)^2*(S13_PSP_Species_Support!AV27*(1-EXP(-S13_PSP_Species_Support!AW27*4))^S13_PSP_Species_Support!AX27))^0.976,0)+IFERROR(S13_PSP_Species_Support!BB27*0.0673*(S13_PSP_Species_Support!BC27*(S13_PSP_Species_Support!BD27*(1-EXP(-S13_PSP_Species_Support!BE27*4))^S13_PSP_Species_Support!BF27)^2*(S13_PSP_Species_Support!BG27*(1-EXP(-S13_PSP_Species_Support!BH27*4))^S13_PSP_Species_Support!BI27))^0.976,0)+IFERROR(S13_PSP_Species_Support!BM27*0.0673*(S13_PSP_Species_Support!BN27*(S13_PSP_Species_Support!BO27*(1-EXP(-S13_PSP_Species_Support!BP27*4))^S13_PSP_Species_Support!BQ27)^2*(S13_PSP_Species_Support!BR27*(1-EXP(-S13_PSP_Species_Support!BS27*4))^S13_PSP_Species_Support!BT27))^0.976,0)+IFERROR(S13_PSP_Species_Support!BX27*0.0673*(S13_PSP_Species_Support!BY27*(S13_PSP_Species_Support!BZ27*(1-EXP(-S13_PSP_Species_Support!CA27*4))^S13_PSP_Species_Support!CB27)^2*(S13_PSP_Species_Support!CC27*(1-EXP(-S13_PSP_Species_Support!CD27*4))^S13_PSP_Species_Support!CE27))^0.976,0)+IFERROR(S13_PSP_Species_Support!CI27*0.0673*(S13_PSP_Species_Support!CJ27*(S13_PSP_Species_Support!CK27*(1-EXP(-S13_PSP_Species_Support!CL27*4))^S13_PSP_Species_Support!CM27)^2*(S13_PSP_Species_Support!CN27*(1-EXP(-S13_PSP_Species_Support!CO27*4))^S13_PSP_Species_Support!CP27))^0.976,0)+IFERROR(S13_PSP_Species_Support!CT27*0.0673*(S13_PSP_Species_Support!CU27*(S13_PSP_Species_Support!CV27*(1-EXP(-S13_PSP_Species_Support!CW27*4))^S13_PSP_Species_Support!CX27)^2*(S13_PSP_Species_Support!CY27*(1-EXP(-S13_PSP_Species_Support!CZ27*4))^S13_PSP_Species_Support!DA27))^0.976,0))/1000/$G40*M$108,0)</x:f>
        <x:v>7.798215645567089</x:v>
      </x:c>
      <x:c r="N40" s="147" t="n">
        <x:f aca="0">IFERROR((IFERROR(S13_PSP_Species_Support!U27*0.0673*(S13_PSP_Species_Support!V27*(S13_PSP_Species_Support!W27*(1-EXP(-S13_PSP_Species_Support!X27*5))^S13_PSP_Species_Support!Y27)^2*(S13_PSP_Species_Support!Z27*(1-EXP(-S13_PSP_Species_Support!AA27*5))^S13_PSP_Species_Support!AB27))^0.976,0)+IFERROR(S13_PSP_Species_Support!AF27*0.0673*(S13_PSP_Species_Support!AG27*(S13_PSP_Species_Support!AH27*(1-EXP(-S13_PSP_Species_Support!AI27*5))^S13_PSP_Species_Support!AJ27)^2*(S13_PSP_Species_Support!AK27*(1-EXP(-S13_PSP_Species_Support!AL27*5))^S13_PSP_Species_Support!AM27))^0.976,0)+IFERROR(S13_PSP_Species_Support!AQ27*0.0673*(S13_PSP_Species_Support!AR27*(S13_PSP_Species_Support!AS27*(1-EXP(-S13_PSP_Species_Support!AT27*5))^S13_PSP_Species_Support!AU27)^2*(S13_PSP_Species_Support!AV27*(1-EXP(-S13_PSP_Species_Support!AW27*5))^S13_PSP_Species_Support!AX27))^0.976,0)+IFERROR(S13_PSP_Species_Support!BB27*0.0673*(S13_PSP_Species_Support!BC27*(S13_PSP_Species_Support!BD27*(1-EXP(-S13_PSP_Species_Support!BE27*5))^S13_PSP_Species_Support!BF27)^2*(S13_PSP_Species_Support!BG27*(1-EXP(-S13_PSP_Species_Support!BH27*5))^S13_PSP_Species_Support!BI27))^0.976,0)+IFERROR(S13_PSP_Species_Support!BM27*0.0673*(S13_PSP_Species_Support!BN27*(S13_PSP_Species_Support!BO27*(1-EXP(-S13_PSP_Species_Support!BP27*5))^S13_PSP_Species_Support!BQ27)^2*(S13_PSP_Species_Support!BR27*(1-EXP(-S13_PSP_Species_Support!BS27*5))^S13_PSP_Species_Support!BT27))^0.976,0)+IFERROR(S13_PSP_Species_Support!BX27*0.0673*(S13_PSP_Species_Support!BY27*(S13_PSP_Species_Support!BZ27*(1-EXP(-S13_PSP_Species_Support!CA27*5))^S13_PSP_Species_Support!CB27)^2*(S13_PSP_Species_Support!CC27*(1-EXP(-S13_PSP_Species_Support!CD27*5))^S13_PSP_Species_Support!CE27))^0.976,0)+IFERROR(S13_PSP_Species_Support!CI27*0.0673*(S13_PSP_Species_Support!CJ27*(S13_PSP_Species_Support!CK27*(1-EXP(-S13_PSP_Species_Support!CL27*5))^S13_PSP_Species_Support!CM27)^2*(S13_PSP_Species_Support!CN27*(1-EXP(-S13_PSP_Species_Support!CO27*5))^S13_PSP_Species_Support!CP27))^0.976,0)+IFERROR(S13_PSP_Species_Support!CT27*0.0673*(S13_PSP_Species_Support!CU27*(S13_PSP_Species_Support!CV27*(1-EXP(-S13_PSP_Species_Support!CW27*5))^S13_PSP_Species_Support!CX27)^2*(S13_PSP_Species_Support!CY27*(1-EXP(-S13_PSP_Species_Support!CZ27*5))^S13_PSP_Species_Support!DA27))^0.976,0))/1000/$G40*N$108,0)</x:f>
        <x:v>14.29694837704364</x:v>
      </x:c>
      <x:c r="O40" s="147" t="n">
        <x:f aca="0">IFERROR((IFERROR(S13_PSP_Species_Support!U27*0.0673*(S13_PSP_Species_Support!V27*(S13_PSP_Species_Support!W27*(1-EXP(-S13_PSP_Species_Support!X27*6))^S13_PSP_Species_Support!Y27)^2*(S13_PSP_Species_Support!Z27*(1-EXP(-S13_PSP_Species_Support!AA27*6))^S13_PSP_Species_Support!AB27))^0.976,0)+IFERROR(S13_PSP_Species_Support!AF27*0.0673*(S13_PSP_Species_Support!AG27*(S13_PSP_Species_Support!AH27*(1-EXP(-S13_PSP_Species_Support!AI27*6))^S13_PSP_Species_Support!AJ27)^2*(S13_PSP_Species_Support!AK27*(1-EXP(-S13_PSP_Species_Support!AL27*6))^S13_PSP_Species_Support!AM27))^0.976,0)+IFERROR(S13_PSP_Species_Support!AQ27*0.0673*(S13_PSP_Species_Support!AR27*(S13_PSP_Species_Support!AS27*(1-EXP(-S13_PSP_Species_Support!AT27*6))^S13_PSP_Species_Support!AU27)^2*(S13_PSP_Species_Support!AV27*(1-EXP(-S13_PSP_Species_Support!AW27*6))^S13_PSP_Species_Support!AX27))^0.976,0)+IFERROR(S13_PSP_Species_Support!BB27*0.0673*(S13_PSP_Species_Support!BC27*(S13_PSP_Species_Support!BD27*(1-EXP(-S13_PSP_Species_Support!BE27*6))^S13_PSP_Species_Support!BF27)^2*(S13_PSP_Species_Support!BG27*(1-EXP(-S13_PSP_Species_Support!BH27*6))^S13_PSP_Species_Support!BI27))^0.976,0)+IFERROR(S13_PSP_Species_Support!BM27*0.0673*(S13_PSP_Species_Support!BN27*(S13_PSP_Species_Support!BO27*(1-EXP(-S13_PSP_Species_Support!BP27*6))^S13_PSP_Species_Support!BQ27)^2*(S13_PSP_Species_Support!BR27*(1-EXP(-S13_PSP_Species_Support!BS27*6))^S13_PSP_Species_Support!BT27))^0.976,0)+IFERROR(S13_PSP_Species_Support!BX27*0.0673*(S13_PSP_Species_Support!BY27*(S13_PSP_Species_Support!BZ27*(1-EXP(-S13_PSP_Species_Support!CA27*6))^S13_PSP_Species_Support!CB27)^2*(S13_PSP_Species_Support!CC27*(1-EXP(-S13_PSP_Species_Support!CD27*6))^S13_PSP_Species_Support!CE27))^0.976,0)+IFERROR(S13_PSP_Species_Support!CI27*0.0673*(S13_PSP_Species_Support!CJ27*(S13_PSP_Species_Support!CK27*(1-EXP(-S13_PSP_Species_Support!CL27*6))^S13_PSP_Species_Support!CM27)^2*(S13_PSP_Species_Support!CN27*(1-EXP(-S13_PSP_Species_Support!CO27*6))^S13_PSP_Species_Support!CP27))^0.976,0)+IFERROR(S13_PSP_Species_Support!CT27*0.0673*(S13_PSP_Species_Support!CU27*(S13_PSP_Species_Support!CV27*(1-EXP(-S13_PSP_Species_Support!CW27*6))^S13_PSP_Species_Support!CX27)^2*(S13_PSP_Species_Support!CY27*(1-EXP(-S13_PSP_Species_Support!CZ27*6))^S13_PSP_Species_Support!DA27))^0.976,0))/1000/$G40*O$108,0)</x:f>
        <x:v>22.356692078597067</x:v>
      </x:c>
      <x:c r="P40" s="147" t="n">
        <x:f aca="0">IFERROR((IFERROR(S13_PSP_Species_Support!U27*0.0673*(S13_PSP_Species_Support!V27*(S13_PSP_Species_Support!W27*(1-EXP(-S13_PSP_Species_Support!X27*7))^S13_PSP_Species_Support!Y27)^2*(S13_PSP_Species_Support!Z27*(1-EXP(-S13_PSP_Species_Support!AA27*7))^S13_PSP_Species_Support!AB27))^0.976,0)+IFERROR(S13_PSP_Species_Support!AF27*0.0673*(S13_PSP_Species_Support!AG27*(S13_PSP_Species_Support!AH27*(1-EXP(-S13_PSP_Species_Support!AI27*7))^S13_PSP_Species_Support!AJ27)^2*(S13_PSP_Species_Support!AK27*(1-EXP(-S13_PSP_Species_Support!AL27*7))^S13_PSP_Species_Support!AM27))^0.976,0)+IFERROR(S13_PSP_Species_Support!AQ27*0.0673*(S13_PSP_Species_Support!AR27*(S13_PSP_Species_Support!AS27*(1-EXP(-S13_PSP_Species_Support!AT27*7))^S13_PSP_Species_Support!AU27)^2*(S13_PSP_Species_Support!AV27*(1-EXP(-S13_PSP_Species_Support!AW27*7))^S13_PSP_Species_Support!AX27))^0.976,0)+IFERROR(S13_PSP_Species_Support!BB27*0.0673*(S13_PSP_Species_Support!BC27*(S13_PSP_Species_Support!BD27*(1-EXP(-S13_PSP_Species_Support!BE27*7))^S13_PSP_Species_Support!BF27)^2*(S13_PSP_Species_Support!BG27*(1-EXP(-S13_PSP_Species_Support!BH27*7))^S13_PSP_Species_Support!BI27))^0.976,0)+IFERROR(S13_PSP_Species_Support!BM27*0.0673*(S13_PSP_Species_Support!BN27*(S13_PSP_Species_Support!BO27*(1-EXP(-S13_PSP_Species_Support!BP27*7))^S13_PSP_Species_Support!BQ27)^2*(S13_PSP_Species_Support!BR27*(1-EXP(-S13_PSP_Species_Support!BS27*7))^S13_PSP_Species_Support!BT27))^0.976,0)+IFERROR(S13_PSP_Species_Support!BX27*0.0673*(S13_PSP_Species_Support!BY27*(S13_PSP_Species_Support!BZ27*(1-EXP(-S13_PSP_Species_Support!CA27*7))^S13_PSP_Species_Support!CB27)^2*(S13_PSP_Species_Support!CC27*(1-EXP(-S13_PSP_Species_Support!CD27*7))^S13_PSP_Species_Support!CE27))^0.976,0)+IFERROR(S13_PSP_Species_Support!CI27*0.0673*(S13_PSP_Species_Support!CJ27*(S13_PSP_Species_Support!CK27*(1-EXP(-S13_PSP_Species_Support!CL27*7))^S13_PSP_Species_Support!CM27)^2*(S13_PSP_Species_Support!CN27*(1-EXP(-S13_PSP_Species_Support!CO27*7))^S13_PSP_Species_Support!CP27))^0.976,0)+IFERROR(S13_PSP_Species_Support!CT27*0.0673*(S13_PSP_Species_Support!CU27*(S13_PSP_Species_Support!CV27*(1-EXP(-S13_PSP_Species_Support!CW27*7))^S13_PSP_Species_Support!CX27)^2*(S13_PSP_Species_Support!CY27*(1-EXP(-S13_PSP_Species_Support!CZ27*7))^S13_PSP_Species_Support!DA27))^0.976,0))/1000/$G40*P$108,0)</x:f>
        <x:v>31.439348954181973</x:v>
      </x:c>
      <x:c r="Q40" s="147" t="n">
        <x:f aca="0">IFERROR((IFERROR(S13_PSP_Species_Support!U27*0.0673*(S13_PSP_Species_Support!V27*(S13_PSP_Species_Support!W27*(1-EXP(-S13_PSP_Species_Support!X27*8))^S13_PSP_Species_Support!Y27)^2*(S13_PSP_Species_Support!Z27*(1-EXP(-S13_PSP_Species_Support!AA27*8))^S13_PSP_Species_Support!AB27))^0.976,0)+IFERROR(S13_PSP_Species_Support!AF27*0.0673*(S13_PSP_Species_Support!AG27*(S13_PSP_Species_Support!AH27*(1-EXP(-S13_PSP_Species_Support!AI27*8))^S13_PSP_Species_Support!AJ27)^2*(S13_PSP_Species_Support!AK27*(1-EXP(-S13_PSP_Species_Support!AL27*8))^S13_PSP_Species_Support!AM27))^0.976,0)+IFERROR(S13_PSP_Species_Support!AQ27*0.0673*(S13_PSP_Species_Support!AR27*(S13_PSP_Species_Support!AS27*(1-EXP(-S13_PSP_Species_Support!AT27*8))^S13_PSP_Species_Support!AU27)^2*(S13_PSP_Species_Support!AV27*(1-EXP(-S13_PSP_Species_Support!AW27*8))^S13_PSP_Species_Support!AX27))^0.976,0)+IFERROR(S13_PSP_Species_Support!BB27*0.0673*(S13_PSP_Species_Support!BC27*(S13_PSP_Species_Support!BD27*(1-EXP(-S13_PSP_Species_Support!BE27*8))^S13_PSP_Species_Support!BF27)^2*(S13_PSP_Species_Support!BG27*(1-EXP(-S13_PSP_Species_Support!BH27*8))^S13_PSP_Species_Support!BI27))^0.976,0)+IFERROR(S13_PSP_Species_Support!BM27*0.0673*(S13_PSP_Species_Support!BN27*(S13_PSP_Species_Support!BO27*(1-EXP(-S13_PSP_Species_Support!BP27*8))^S13_PSP_Species_Support!BQ27)^2*(S13_PSP_Species_Support!BR27*(1-EXP(-S13_PSP_Species_Support!BS27*8))^S13_PSP_Species_Support!BT27))^0.976,0)+IFERROR(S13_PSP_Species_Support!BX27*0.0673*(S13_PSP_Species_Support!BY27*(S13_PSP_Species_Support!BZ27*(1-EXP(-S13_PSP_Species_Support!CA27*8))^S13_PSP_Species_Support!CB27)^2*(S13_PSP_Species_Support!CC27*(1-EXP(-S13_PSP_Species_Support!CD27*8))^S13_PSP_Species_Support!CE27))^0.976,0)+IFERROR(S13_PSP_Species_Support!CI27*0.0673*(S13_PSP_Species_Support!CJ27*(S13_PSP_Species_Support!CK27*(1-EXP(-S13_PSP_Species_Support!CL27*8))^S13_PSP_Species_Support!CM27)^2*(S13_PSP_Species_Support!CN27*(1-EXP(-S13_PSP_Species_Support!CO27*8))^S13_PSP_Species_Support!CP27))^0.976,0)+IFERROR(S13_PSP_Species_Support!CT27*0.0673*(S13_PSP_Species_Support!CU27*(S13_PSP_Species_Support!CV27*(1-EXP(-S13_PSP_Species_Support!CW27*8))^S13_PSP_Species_Support!CX27)^2*(S13_PSP_Species_Support!CY27*(1-EXP(-S13_PSP_Species_Support!CZ27*8))^S13_PSP_Species_Support!DA27))^0.976,0))/1000/$G40*Q$108,0)</x:f>
        <x:v>41.02718422214093</x:v>
      </x:c>
      <x:c r="R40" s="147" t="n">
        <x:f aca="0">IFERROR((IFERROR(S13_PSP_Species_Support!U27*0.0673*(S13_PSP_Species_Support!V27*(S13_PSP_Species_Support!W27*(1-EXP(-S13_PSP_Species_Support!X27*9))^S13_PSP_Species_Support!Y27)^2*(S13_PSP_Species_Support!Z27*(1-EXP(-S13_PSP_Species_Support!AA27*9))^S13_PSP_Species_Support!AB27))^0.976,0)+IFERROR(S13_PSP_Species_Support!AF27*0.0673*(S13_PSP_Species_Support!AG27*(S13_PSP_Species_Support!AH27*(1-EXP(-S13_PSP_Species_Support!AI27*9))^S13_PSP_Species_Support!AJ27)^2*(S13_PSP_Species_Support!AK27*(1-EXP(-S13_PSP_Species_Support!AL27*9))^S13_PSP_Species_Support!AM27))^0.976,0)+IFERROR(S13_PSP_Species_Support!AQ27*0.0673*(S13_PSP_Species_Support!AR27*(S13_PSP_Species_Support!AS27*(1-EXP(-S13_PSP_Species_Support!AT27*9))^S13_PSP_Species_Support!AU27)^2*(S13_PSP_Species_Support!AV27*(1-EXP(-S13_PSP_Species_Support!AW27*9))^S13_PSP_Species_Support!AX27))^0.976,0)+IFERROR(S13_PSP_Species_Support!BB27*0.0673*(S13_PSP_Species_Support!BC27*(S13_PSP_Species_Support!BD27*(1-EXP(-S13_PSP_Species_Support!BE27*9))^S13_PSP_Species_Support!BF27)^2*(S13_PSP_Species_Support!BG27*(1-EXP(-S13_PSP_Species_Support!BH27*9))^S13_PSP_Species_Support!BI27))^0.976,0)+IFERROR(S13_PSP_Species_Support!BM27*0.0673*(S13_PSP_Species_Support!BN27*(S13_PSP_Species_Support!BO27*(1-EXP(-S13_PSP_Species_Support!BP27*9))^S13_PSP_Species_Support!BQ27)^2*(S13_PSP_Species_Support!BR27*(1-EXP(-S13_PSP_Species_Support!BS27*9))^S13_PSP_Species_Support!BT27))^0.976,0)+IFERROR(S13_PSP_Species_Support!BX27*0.0673*(S13_PSP_Species_Support!BY27*(S13_PSP_Species_Support!BZ27*(1-EXP(-S13_PSP_Species_Support!CA27*9))^S13_PSP_Species_Support!CB27)^2*(S13_PSP_Species_Support!CC27*(1-EXP(-S13_PSP_Species_Support!CD27*9))^S13_PSP_Species_Support!CE27))^0.976,0)+IFERROR(S13_PSP_Species_Support!CI27*0.0673*(S13_PSP_Species_Support!CJ27*(S13_PSP_Species_Support!CK27*(1-EXP(-S13_PSP_Species_Support!CL27*9))^S13_PSP_Species_Support!CM27)^2*(S13_PSP_Species_Support!CN27*(1-EXP(-S13_PSP_Species_Support!CO27*9))^S13_PSP_Species_Support!CP27))^0.976,0)+IFERROR(S13_PSP_Species_Support!CT27*0.0673*(S13_PSP_Species_Support!CU27*(S13_PSP_Species_Support!CV27*(1-EXP(-S13_PSP_Species_Support!CW27*9))^S13_PSP_Species_Support!CX27)^2*(S13_PSP_Species_Support!CY27*(1-EXP(-S13_PSP_Species_Support!CZ27*9))^S13_PSP_Species_Support!DA27))^0.976,0))/1000/$G40*R$108,0)</x:f>
        <x:v>50.68861047156917</x:v>
      </x:c>
      <x:c r="S40" s="147" t="n">
        <x:f aca="0">IFERROR((IFERROR(S13_PSP_Species_Support!U27*0.0673*(S13_PSP_Species_Support!V27*(S13_PSP_Species_Support!W27*(1-EXP(-S13_PSP_Species_Support!X27*10))^S13_PSP_Species_Support!Y27)^2*(S13_PSP_Species_Support!Z27*(1-EXP(-S13_PSP_Species_Support!AA27*10))^S13_PSP_Species_Support!AB27))^0.976,0)+IFERROR(S13_PSP_Species_Support!AF27*0.0673*(S13_PSP_Species_Support!AG27*(S13_PSP_Species_Support!AH27*(1-EXP(-S13_PSP_Species_Support!AI27*10))^S13_PSP_Species_Support!AJ27)^2*(S13_PSP_Species_Support!AK27*(1-EXP(-S13_PSP_Species_Support!AL27*10))^S13_PSP_Species_Support!AM27))^0.976,0)+IFERROR(S13_PSP_Species_Support!AQ27*0.0673*(S13_PSP_Species_Support!AR27*(S13_PSP_Species_Support!AS27*(1-EXP(-S13_PSP_Species_Support!AT27*10))^S13_PSP_Species_Support!AU27)^2*(S13_PSP_Species_Support!AV27*(1-EXP(-S13_PSP_Species_Support!AW27*10))^S13_PSP_Species_Support!AX27))^0.976,0)+IFERROR(S13_PSP_Species_Support!BB27*0.0673*(S13_PSP_Species_Support!BC27*(S13_PSP_Species_Support!BD27*(1-EXP(-S13_PSP_Species_Support!BE27*10))^S13_PSP_Species_Support!BF27)^2*(S13_PSP_Species_Support!BG27*(1-EXP(-S13_PSP_Species_Support!BH27*10))^S13_PSP_Species_Support!BI27))^0.976,0)+IFERROR(S13_PSP_Species_Support!BM27*0.0673*(S13_PSP_Species_Support!BN27*(S13_PSP_Species_Support!BO27*(1-EXP(-S13_PSP_Species_Support!BP27*10))^S13_PSP_Species_Support!BQ27)^2*(S13_PSP_Species_Support!BR27*(1-EXP(-S13_PSP_Species_Support!BS27*10))^S13_PSP_Species_Support!BT27))^0.976,0)+IFERROR(S13_PSP_Species_Support!BX27*0.0673*(S13_PSP_Species_Support!BY27*(S13_PSP_Species_Support!BZ27*(1-EXP(-S13_PSP_Species_Support!CA27*10))^S13_PSP_Species_Support!CB27)^2*(S13_PSP_Species_Support!CC27*(1-EXP(-S13_PSP_Species_Support!CD27*10))^S13_PSP_Species_Support!CE27))^0.976,0)+IFERROR(S13_PSP_Species_Support!CI27*0.0673*(S13_PSP_Species_Support!CJ27*(S13_PSP_Species_Support!CK27*(1-EXP(-S13_PSP_Species_Support!CL27*10))^S13_PSP_Species_Support!CM27)^2*(S13_PSP_Species_Support!CN27*(1-EXP(-S13_PSP_Species_Support!CO27*10))^S13_PSP_Species_Support!CP27))^0.976,0)+IFERROR(S13_PSP_Species_Support!CT27*0.0673*(S13_PSP_Species_Support!CU27*(S13_PSP_Species_Support!CV27*(1-EXP(-S13_PSP_Species_Support!CW27*10))^S13_PSP_Species_Support!CX27)^2*(S13_PSP_Species_Support!CY27*(1-EXP(-S13_PSP_Species_Support!CZ27*10))^S13_PSP_Species_Support!DA27))^0.976,0))/1000/$G40*S$108,0)</x:f>
        <x:v>60.09813502406462</x:v>
      </x:c>
      <x:c r="T40" s="147" t="n">
        <x:f aca="0">IFERROR((IFERROR(S13_PSP_Species_Support!U27*0.0673*(S13_PSP_Species_Support!V27*(S13_PSP_Species_Support!W27*(1-EXP(-S13_PSP_Species_Support!X27*11))^S13_PSP_Species_Support!Y27)^2*(S13_PSP_Species_Support!Z27*(1-EXP(-S13_PSP_Species_Support!AA27*11))^S13_PSP_Species_Support!AB27))^0.976,0)+IFERROR(S13_PSP_Species_Support!AF27*0.0673*(S13_PSP_Species_Support!AG27*(S13_PSP_Species_Support!AH27*(1-EXP(-S13_PSP_Species_Support!AI27*11))^S13_PSP_Species_Support!AJ27)^2*(S13_PSP_Species_Support!AK27*(1-EXP(-S13_PSP_Species_Support!AL27*11))^S13_PSP_Species_Support!AM27))^0.976,0)+IFERROR(S13_PSP_Species_Support!AQ27*0.0673*(S13_PSP_Species_Support!AR27*(S13_PSP_Species_Support!AS27*(1-EXP(-S13_PSP_Species_Support!AT27*11))^S13_PSP_Species_Support!AU27)^2*(S13_PSP_Species_Support!AV27*(1-EXP(-S13_PSP_Species_Support!AW27*11))^S13_PSP_Species_Support!AX27))^0.976,0)+IFERROR(S13_PSP_Species_Support!BB27*0.0673*(S13_PSP_Species_Support!BC27*(S13_PSP_Species_Support!BD27*(1-EXP(-S13_PSP_Species_Support!BE27*11))^S13_PSP_Species_Support!BF27)^2*(S13_PSP_Species_Support!BG27*(1-EXP(-S13_PSP_Species_Support!BH27*11))^S13_PSP_Species_Support!BI27))^0.976,0)+IFERROR(S13_PSP_Species_Support!BM27*0.0673*(S13_PSP_Species_Support!BN27*(S13_PSP_Species_Support!BO27*(1-EXP(-S13_PSP_Species_Support!BP27*11))^S13_PSP_Species_Support!BQ27)^2*(S13_PSP_Species_Support!BR27*(1-EXP(-S13_PSP_Species_Support!BS27*11))^S13_PSP_Species_Support!BT27))^0.976,0)+IFERROR(S13_PSP_Species_Support!BX27*0.0673*(S13_PSP_Species_Support!BY27*(S13_PSP_Species_Support!BZ27*(1-EXP(-S13_PSP_Species_Support!CA27*11))^S13_PSP_Species_Support!CB27)^2*(S13_PSP_Species_Support!CC27*(1-EXP(-S13_PSP_Species_Support!CD27*11))^S13_PSP_Species_Support!CE27))^0.976,0)+IFERROR(S13_PSP_Species_Support!CI27*0.0673*(S13_PSP_Species_Support!CJ27*(S13_PSP_Species_Support!CK27*(1-EXP(-S13_PSP_Species_Support!CL27*11))^S13_PSP_Species_Support!CM27)^2*(S13_PSP_Species_Support!CN27*(1-EXP(-S13_PSP_Species_Support!CO27*11))^S13_PSP_Species_Support!CP27))^0.976,0)+IFERROR(S13_PSP_Species_Support!CT27*0.0673*(S13_PSP_Species_Support!CU27*(S13_PSP_Species_Support!CV27*(1-EXP(-S13_PSP_Species_Support!CW27*11))^S13_PSP_Species_Support!CX27)^2*(S13_PSP_Species_Support!CY27*(1-EXP(-S13_PSP_Species_Support!CZ27*11))^S13_PSP_Species_Support!DA27))^0.976,0))/1000/$G40*T$108,0)</x:f>
        <x:v>69.03130856147267</x:v>
      </x:c>
      <x:c r="U40" s="147" t="n">
        <x:f aca="0">IFERROR((IFERROR(S13_PSP_Species_Support!U27*0.0673*(S13_PSP_Species_Support!V27*(S13_PSP_Species_Support!W27*(1-EXP(-S13_PSP_Species_Support!X27*12))^S13_PSP_Species_Support!Y27)^2*(S13_PSP_Species_Support!Z27*(1-EXP(-S13_PSP_Species_Support!AA27*12))^S13_PSP_Species_Support!AB27))^0.976,0)+IFERROR(S13_PSP_Species_Support!AF27*0.0673*(S13_PSP_Species_Support!AG27*(S13_PSP_Species_Support!AH27*(1-EXP(-S13_PSP_Species_Support!AI27*12))^S13_PSP_Species_Support!AJ27)^2*(S13_PSP_Species_Support!AK27*(1-EXP(-S13_PSP_Species_Support!AL27*12))^S13_PSP_Species_Support!AM27))^0.976,0)+IFERROR(S13_PSP_Species_Support!AQ27*0.0673*(S13_PSP_Species_Support!AR27*(S13_PSP_Species_Support!AS27*(1-EXP(-S13_PSP_Species_Support!AT27*12))^S13_PSP_Species_Support!AU27)^2*(S13_PSP_Species_Support!AV27*(1-EXP(-S13_PSP_Species_Support!AW27*12))^S13_PSP_Species_Support!AX27))^0.976,0)+IFERROR(S13_PSP_Species_Support!BB27*0.0673*(S13_PSP_Species_Support!BC27*(S13_PSP_Species_Support!BD27*(1-EXP(-S13_PSP_Species_Support!BE27*12))^S13_PSP_Species_Support!BF27)^2*(S13_PSP_Species_Support!BG27*(1-EXP(-S13_PSP_Species_Support!BH27*12))^S13_PSP_Species_Support!BI27))^0.976,0)+IFERROR(S13_PSP_Species_Support!BM27*0.0673*(S13_PSP_Species_Support!BN27*(S13_PSP_Species_Support!BO27*(1-EXP(-S13_PSP_Species_Support!BP27*12))^S13_PSP_Species_Support!BQ27)^2*(S13_PSP_Species_Support!BR27*(1-EXP(-S13_PSP_Species_Support!BS27*12))^S13_PSP_Species_Support!BT27))^0.976,0)+IFERROR(S13_PSP_Species_Support!BX27*0.0673*(S13_PSP_Species_Support!BY27*(S13_PSP_Species_Support!BZ27*(1-EXP(-S13_PSP_Species_Support!CA27*12))^S13_PSP_Species_Support!CB27)^2*(S13_PSP_Species_Support!CC27*(1-EXP(-S13_PSP_Species_Support!CD27*12))^S13_PSP_Species_Support!CE27))^0.976,0)+IFERROR(S13_PSP_Species_Support!CI27*0.0673*(S13_PSP_Species_Support!CJ27*(S13_PSP_Species_Support!CK27*(1-EXP(-S13_PSP_Species_Support!CL27*12))^S13_PSP_Species_Support!CM27)^2*(S13_PSP_Species_Support!CN27*(1-EXP(-S13_PSP_Species_Support!CO27*12))^S13_PSP_Species_Support!CP27))^0.976,0)+IFERROR(S13_PSP_Species_Support!CT27*0.0673*(S13_PSP_Species_Support!CU27*(S13_PSP_Species_Support!CV27*(1-EXP(-S13_PSP_Species_Support!CW27*12))^S13_PSP_Species_Support!CX27)^2*(S13_PSP_Species_Support!CY27*(1-EXP(-S13_PSP_Species_Support!CZ27*12))^S13_PSP_Species_Support!DA27))^0.976,0))/1000/$G40*U$108,0)</x:f>
        <x:v>77.34872217680041</x:v>
      </x:c>
      <x:c r="V40" s="147" t="n">
        <x:f aca="0">IFERROR((IFERROR(S13_PSP_Species_Support!U27*0.0673*(S13_PSP_Species_Support!V27*(S13_PSP_Species_Support!W27*(1-EXP(-S13_PSP_Species_Support!X27*13))^S13_PSP_Species_Support!Y27)^2*(S13_PSP_Species_Support!Z27*(1-EXP(-S13_PSP_Species_Support!AA27*13))^S13_PSP_Species_Support!AB27))^0.976,0)+IFERROR(S13_PSP_Species_Support!AF27*0.0673*(S13_PSP_Species_Support!AG27*(S13_PSP_Species_Support!AH27*(1-EXP(-S13_PSP_Species_Support!AI27*13))^S13_PSP_Species_Support!AJ27)^2*(S13_PSP_Species_Support!AK27*(1-EXP(-S13_PSP_Species_Support!AL27*13))^S13_PSP_Species_Support!AM27))^0.976,0)+IFERROR(S13_PSP_Species_Support!AQ27*0.0673*(S13_PSP_Species_Support!AR27*(S13_PSP_Species_Support!AS27*(1-EXP(-S13_PSP_Species_Support!AT27*13))^S13_PSP_Species_Support!AU27)^2*(S13_PSP_Species_Support!AV27*(1-EXP(-S13_PSP_Species_Support!AW27*13))^S13_PSP_Species_Support!AX27))^0.976,0)+IFERROR(S13_PSP_Species_Support!BB27*0.0673*(S13_PSP_Species_Support!BC27*(S13_PSP_Species_Support!BD27*(1-EXP(-S13_PSP_Species_Support!BE27*13))^S13_PSP_Species_Support!BF27)^2*(S13_PSP_Species_Support!BG27*(1-EXP(-S13_PSP_Species_Support!BH27*13))^S13_PSP_Species_Support!BI27))^0.976,0)+IFERROR(S13_PSP_Species_Support!BM27*0.0673*(S13_PSP_Species_Support!BN27*(S13_PSP_Species_Support!BO27*(1-EXP(-S13_PSP_Species_Support!BP27*13))^S13_PSP_Species_Support!BQ27)^2*(S13_PSP_Species_Support!BR27*(1-EXP(-S13_PSP_Species_Support!BS27*13))^S13_PSP_Species_Support!BT27))^0.976,0)+IFERROR(S13_PSP_Species_Support!BX27*0.0673*(S13_PSP_Species_Support!BY27*(S13_PSP_Species_Support!BZ27*(1-EXP(-S13_PSP_Species_Support!CA27*13))^S13_PSP_Species_Support!CB27)^2*(S13_PSP_Species_Support!CC27*(1-EXP(-S13_PSP_Species_Support!CD27*13))^S13_PSP_Species_Support!CE27))^0.976,0)+IFERROR(S13_PSP_Species_Support!CI27*0.0673*(S13_PSP_Species_Support!CJ27*(S13_PSP_Species_Support!CK27*(1-EXP(-S13_PSP_Species_Support!CL27*13))^S13_PSP_Species_Support!CM27)^2*(S13_PSP_Species_Support!CN27*(1-EXP(-S13_PSP_Species_Support!CO27*13))^S13_PSP_Species_Support!CP27))^0.976,0)+IFERROR(S13_PSP_Species_Support!CT27*0.0673*(S13_PSP_Species_Support!CU27*(S13_PSP_Species_Support!CV27*(1-EXP(-S13_PSP_Species_Support!CW27*13))^S13_PSP_Species_Support!CX27)^2*(S13_PSP_Species_Support!CY27*(1-EXP(-S13_PSP_Species_Support!CZ27*13))^S13_PSP_Species_Support!DA27))^0.976,0))/1000/$G40*V$108,0)</x:f>
        <x:v>84.97714993208336</x:v>
      </x:c>
      <x:c r="W40" s="147" t="n">
        <x:f aca="0">IFERROR((IFERROR(S13_PSP_Species_Support!U27*0.0673*(S13_PSP_Species_Support!V27*(S13_PSP_Species_Support!W27*(1-EXP(-S13_PSP_Species_Support!X27*14))^S13_PSP_Species_Support!Y27)^2*(S13_PSP_Species_Support!Z27*(1-EXP(-S13_PSP_Species_Support!AA27*14))^S13_PSP_Species_Support!AB27))^0.976,0)+IFERROR(S13_PSP_Species_Support!AF27*0.0673*(S13_PSP_Species_Support!AG27*(S13_PSP_Species_Support!AH27*(1-EXP(-S13_PSP_Species_Support!AI27*14))^S13_PSP_Species_Support!AJ27)^2*(S13_PSP_Species_Support!AK27*(1-EXP(-S13_PSP_Species_Support!AL27*14))^S13_PSP_Species_Support!AM27))^0.976,0)+IFERROR(S13_PSP_Species_Support!AQ27*0.0673*(S13_PSP_Species_Support!AR27*(S13_PSP_Species_Support!AS27*(1-EXP(-S13_PSP_Species_Support!AT27*14))^S13_PSP_Species_Support!AU27)^2*(S13_PSP_Species_Support!AV27*(1-EXP(-S13_PSP_Species_Support!AW27*14))^S13_PSP_Species_Support!AX27))^0.976,0)+IFERROR(S13_PSP_Species_Support!BB27*0.0673*(S13_PSP_Species_Support!BC27*(S13_PSP_Species_Support!BD27*(1-EXP(-S13_PSP_Species_Support!BE27*14))^S13_PSP_Species_Support!BF27)^2*(S13_PSP_Species_Support!BG27*(1-EXP(-S13_PSP_Species_Support!BH27*14))^S13_PSP_Species_Support!BI27))^0.976,0)+IFERROR(S13_PSP_Species_Support!BM27*0.0673*(S13_PSP_Species_Support!BN27*(S13_PSP_Species_Support!BO27*(1-EXP(-S13_PSP_Species_Support!BP27*14))^S13_PSP_Species_Support!BQ27)^2*(S13_PSP_Species_Support!BR27*(1-EXP(-S13_PSP_Species_Support!BS27*14))^S13_PSP_Species_Support!BT27))^0.976,0)+IFERROR(S13_PSP_Species_Support!BX27*0.0673*(S13_PSP_Species_Support!BY27*(S13_PSP_Species_Support!BZ27*(1-EXP(-S13_PSP_Species_Support!CA27*14))^S13_PSP_Species_Support!CB27)^2*(S13_PSP_Species_Support!CC27*(1-EXP(-S13_PSP_Species_Support!CD27*14))^S13_PSP_Species_Support!CE27))^0.976,0)+IFERROR(S13_PSP_Species_Support!CI27*0.0673*(S13_PSP_Species_Support!CJ27*(S13_PSP_Species_Support!CK27*(1-EXP(-S13_PSP_Species_Support!CL27*14))^S13_PSP_Species_Support!CM27)^2*(S13_PSP_Species_Support!CN27*(1-EXP(-S13_PSP_Species_Support!CO27*14))^S13_PSP_Species_Support!CP27))^0.976,0)+IFERROR(S13_PSP_Species_Support!CT27*0.0673*(S13_PSP_Species_Support!CU27*(S13_PSP_Species_Support!CV27*(1-EXP(-S13_PSP_Species_Support!CW27*14))^S13_PSP_Species_Support!CX27)^2*(S13_PSP_Species_Support!CY27*(1-EXP(-S13_PSP_Species_Support!CZ27*14))^S13_PSP_Species_Support!DA27))^0.976,0))/1000/$G40*W$108,0)</x:f>
        <x:v>91.89188333561756</x:v>
      </x:c>
      <x:c r="X40" s="147" t="n">
        <x:f aca="0">IFERROR((IFERROR(S13_PSP_Species_Support!U27*0.0673*(S13_PSP_Species_Support!V27*(S13_PSP_Species_Support!W27*(1-EXP(-S13_PSP_Species_Support!X27*15))^S13_PSP_Species_Support!Y27)^2*(S13_PSP_Species_Support!Z27*(1-EXP(-S13_PSP_Species_Support!AA27*15))^S13_PSP_Species_Support!AB27))^0.976,0)+IFERROR(S13_PSP_Species_Support!AF27*0.0673*(S13_PSP_Species_Support!AG27*(S13_PSP_Species_Support!AH27*(1-EXP(-S13_PSP_Species_Support!AI27*15))^S13_PSP_Species_Support!AJ27)^2*(S13_PSP_Species_Support!AK27*(1-EXP(-S13_PSP_Species_Support!AL27*15))^S13_PSP_Species_Support!AM27))^0.976,0)+IFERROR(S13_PSP_Species_Support!AQ27*0.0673*(S13_PSP_Species_Support!AR27*(S13_PSP_Species_Support!AS27*(1-EXP(-S13_PSP_Species_Support!AT27*15))^S13_PSP_Species_Support!AU27)^2*(S13_PSP_Species_Support!AV27*(1-EXP(-S13_PSP_Species_Support!AW27*15))^S13_PSP_Species_Support!AX27))^0.976,0)+IFERROR(S13_PSP_Species_Support!BB27*0.0673*(S13_PSP_Species_Support!BC27*(S13_PSP_Species_Support!BD27*(1-EXP(-S13_PSP_Species_Support!BE27*15))^S13_PSP_Species_Support!BF27)^2*(S13_PSP_Species_Support!BG27*(1-EXP(-S13_PSP_Species_Support!BH27*15))^S13_PSP_Species_Support!BI27))^0.976,0)+IFERROR(S13_PSP_Species_Support!BM27*0.0673*(S13_PSP_Species_Support!BN27*(S13_PSP_Species_Support!BO27*(1-EXP(-S13_PSP_Species_Support!BP27*15))^S13_PSP_Species_Support!BQ27)^2*(S13_PSP_Species_Support!BR27*(1-EXP(-S13_PSP_Species_Support!BS27*15))^S13_PSP_Species_Support!BT27))^0.976,0)+IFERROR(S13_PSP_Species_Support!BX27*0.0673*(S13_PSP_Species_Support!BY27*(S13_PSP_Species_Support!BZ27*(1-EXP(-S13_PSP_Species_Support!CA27*15))^S13_PSP_Species_Support!CB27)^2*(S13_PSP_Species_Support!CC27*(1-EXP(-S13_PSP_Species_Support!CD27*15))^S13_PSP_Species_Support!CE27))^0.976,0)+IFERROR(S13_PSP_Species_Support!CI27*0.0673*(S13_PSP_Species_Support!CJ27*(S13_PSP_Species_Support!CK27*(1-EXP(-S13_PSP_Species_Support!CL27*15))^S13_PSP_Species_Support!CM27)^2*(S13_PSP_Species_Support!CN27*(1-EXP(-S13_PSP_Species_Support!CO27*15))^S13_PSP_Species_Support!CP27))^0.976,0)+IFERROR(S13_PSP_Species_Support!CT27*0.0673*(S13_PSP_Species_Support!CU27*(S13_PSP_Species_Support!CV27*(1-EXP(-S13_PSP_Species_Support!CW27*15))^S13_PSP_Species_Support!CX27)^2*(S13_PSP_Species_Support!CY27*(1-EXP(-S13_PSP_Species_Support!CZ27*15))^S13_PSP_Species_Support!DA27))^0.976,0))/1000/$G40*X$108,0)</x:f>
        <x:v>98.1018936371905</x:v>
      </x:c>
      <x:c r="Y40" s="147" t="n">
        <x:f aca="0">IFERROR((IFERROR(S13_PSP_Species_Support!U27*0.0673*(S13_PSP_Species_Support!V27*(S13_PSP_Species_Support!W27*(1-EXP(-S13_PSP_Species_Support!X27*16))^S13_PSP_Species_Support!Y27)^2*(S13_PSP_Species_Support!Z27*(1-EXP(-S13_PSP_Species_Support!AA27*16))^S13_PSP_Species_Support!AB27))^0.976,0)+IFERROR(S13_PSP_Species_Support!AF27*0.0673*(S13_PSP_Species_Support!AG27*(S13_PSP_Species_Support!AH27*(1-EXP(-S13_PSP_Species_Support!AI27*16))^S13_PSP_Species_Support!AJ27)^2*(S13_PSP_Species_Support!AK27*(1-EXP(-S13_PSP_Species_Support!AL27*16))^S13_PSP_Species_Support!AM27))^0.976,0)+IFERROR(S13_PSP_Species_Support!AQ27*0.0673*(S13_PSP_Species_Support!AR27*(S13_PSP_Species_Support!AS27*(1-EXP(-S13_PSP_Species_Support!AT27*16))^S13_PSP_Species_Support!AU27)^2*(S13_PSP_Species_Support!AV27*(1-EXP(-S13_PSP_Species_Support!AW27*16))^S13_PSP_Species_Support!AX27))^0.976,0)+IFERROR(S13_PSP_Species_Support!BB27*0.0673*(S13_PSP_Species_Support!BC27*(S13_PSP_Species_Support!BD27*(1-EXP(-S13_PSP_Species_Support!BE27*16))^S13_PSP_Species_Support!BF27)^2*(S13_PSP_Species_Support!BG27*(1-EXP(-S13_PSP_Species_Support!BH27*16))^S13_PSP_Species_Support!BI27))^0.976,0)+IFERROR(S13_PSP_Species_Support!BM27*0.0673*(S13_PSP_Species_Support!BN27*(S13_PSP_Species_Support!BO27*(1-EXP(-S13_PSP_Species_Support!BP27*16))^S13_PSP_Species_Support!BQ27)^2*(S13_PSP_Species_Support!BR27*(1-EXP(-S13_PSP_Species_Support!BS27*16))^S13_PSP_Species_Support!BT27))^0.976,0)+IFERROR(S13_PSP_Species_Support!BX27*0.0673*(S13_PSP_Species_Support!BY27*(S13_PSP_Species_Support!BZ27*(1-EXP(-S13_PSP_Species_Support!CA27*16))^S13_PSP_Species_Support!CB27)^2*(S13_PSP_Species_Support!CC27*(1-EXP(-S13_PSP_Species_Support!CD27*16))^S13_PSP_Species_Support!CE27))^0.976,0)+IFERROR(S13_PSP_Species_Support!CI27*0.0673*(S13_PSP_Species_Support!CJ27*(S13_PSP_Species_Support!CK27*(1-EXP(-S13_PSP_Species_Support!CL27*16))^S13_PSP_Species_Support!CM27)^2*(S13_PSP_Species_Support!CN27*(1-EXP(-S13_PSP_Species_Support!CO27*16))^S13_PSP_Species_Support!CP27))^0.976,0)+IFERROR(S13_PSP_Species_Support!CT27*0.0673*(S13_PSP_Species_Support!CU27*(S13_PSP_Species_Support!CV27*(1-EXP(-S13_PSP_Species_Support!CW27*16))^S13_PSP_Species_Support!CX27)^2*(S13_PSP_Species_Support!CY27*(1-EXP(-S13_PSP_Species_Support!CZ27*16))^S13_PSP_Species_Support!DA27))^0.976,0))/1000/$G40*Y$108,0)</x:f>
        <x:v>103.63817062684527</x:v>
      </x:c>
      <x:c r="Z40" s="147" t="n">
        <x:f aca="0">IFERROR((IFERROR(S13_PSP_Species_Support!U27*0.0673*(S13_PSP_Species_Support!V27*(S13_PSP_Species_Support!W27*(1-EXP(-S13_PSP_Species_Support!X27*17))^S13_PSP_Species_Support!Y27)^2*(S13_PSP_Species_Support!Z27*(1-EXP(-S13_PSP_Species_Support!AA27*17))^S13_PSP_Species_Support!AB27))^0.976,0)+IFERROR(S13_PSP_Species_Support!AF27*0.0673*(S13_PSP_Species_Support!AG27*(S13_PSP_Species_Support!AH27*(1-EXP(-S13_PSP_Species_Support!AI27*17))^S13_PSP_Species_Support!AJ27)^2*(S13_PSP_Species_Support!AK27*(1-EXP(-S13_PSP_Species_Support!AL27*17))^S13_PSP_Species_Support!AM27))^0.976,0)+IFERROR(S13_PSP_Species_Support!AQ27*0.0673*(S13_PSP_Species_Support!AR27*(S13_PSP_Species_Support!AS27*(1-EXP(-S13_PSP_Species_Support!AT27*17))^S13_PSP_Species_Support!AU27)^2*(S13_PSP_Species_Support!AV27*(1-EXP(-S13_PSP_Species_Support!AW27*17))^S13_PSP_Species_Support!AX27))^0.976,0)+IFERROR(S13_PSP_Species_Support!BB27*0.0673*(S13_PSP_Species_Support!BC27*(S13_PSP_Species_Support!BD27*(1-EXP(-S13_PSP_Species_Support!BE27*17))^S13_PSP_Species_Support!BF27)^2*(S13_PSP_Species_Support!BG27*(1-EXP(-S13_PSP_Species_Support!BH27*17))^S13_PSP_Species_Support!BI27))^0.976,0)+IFERROR(S13_PSP_Species_Support!BM27*0.0673*(S13_PSP_Species_Support!BN27*(S13_PSP_Species_Support!BO27*(1-EXP(-S13_PSP_Species_Support!BP27*17))^S13_PSP_Species_Support!BQ27)^2*(S13_PSP_Species_Support!BR27*(1-EXP(-S13_PSP_Species_Support!BS27*17))^S13_PSP_Species_Support!BT27))^0.976,0)+IFERROR(S13_PSP_Species_Support!BX27*0.0673*(S13_PSP_Species_Support!BY27*(S13_PSP_Species_Support!BZ27*(1-EXP(-S13_PSP_Species_Support!CA27*17))^S13_PSP_Species_Support!CB27)^2*(S13_PSP_Species_Support!CC27*(1-EXP(-S13_PSP_Species_Support!CD27*17))^S13_PSP_Species_Support!CE27))^0.976,0)+IFERROR(S13_PSP_Species_Support!CI27*0.0673*(S13_PSP_Species_Support!CJ27*(S13_PSP_Species_Support!CK27*(1-EXP(-S13_PSP_Species_Support!CL27*17))^S13_PSP_Species_Support!CM27)^2*(S13_PSP_Species_Support!CN27*(1-EXP(-S13_PSP_Species_Support!CO27*17))^S13_PSP_Species_Support!CP27))^0.976,0)+IFERROR(S13_PSP_Species_Support!CT27*0.0673*(S13_PSP_Species_Support!CU27*(S13_PSP_Species_Support!CV27*(1-EXP(-S13_PSP_Species_Support!CW27*17))^S13_PSP_Species_Support!CX27)^2*(S13_PSP_Species_Support!CY27*(1-EXP(-S13_PSP_Species_Support!CZ27*17))^S13_PSP_Species_Support!DA27))^0.976,0))/1000/$G40*Z$108,0)</x:f>
        <x:v>108.5449813567112</x:v>
      </x:c>
      <x:c r="AA40" s="147" t="n">
        <x:f aca="0">IFERROR((IFERROR(S13_PSP_Species_Support!U27*0.0673*(S13_PSP_Species_Support!V27*(S13_PSP_Species_Support!W27*(1-EXP(-S13_PSP_Species_Support!X27*18))^S13_PSP_Species_Support!Y27)^2*(S13_PSP_Species_Support!Z27*(1-EXP(-S13_PSP_Species_Support!AA27*18))^S13_PSP_Species_Support!AB27))^0.976,0)+IFERROR(S13_PSP_Species_Support!AF27*0.0673*(S13_PSP_Species_Support!AG27*(S13_PSP_Species_Support!AH27*(1-EXP(-S13_PSP_Species_Support!AI27*18))^S13_PSP_Species_Support!AJ27)^2*(S13_PSP_Species_Support!AK27*(1-EXP(-S13_PSP_Species_Support!AL27*18))^S13_PSP_Species_Support!AM27))^0.976,0)+IFERROR(S13_PSP_Species_Support!AQ27*0.0673*(S13_PSP_Species_Support!AR27*(S13_PSP_Species_Support!AS27*(1-EXP(-S13_PSP_Species_Support!AT27*18))^S13_PSP_Species_Support!AU27)^2*(S13_PSP_Species_Support!AV27*(1-EXP(-S13_PSP_Species_Support!AW27*18))^S13_PSP_Species_Support!AX27))^0.976,0)+IFERROR(S13_PSP_Species_Support!BB27*0.0673*(S13_PSP_Species_Support!BC27*(S13_PSP_Species_Support!BD27*(1-EXP(-S13_PSP_Species_Support!BE27*18))^S13_PSP_Species_Support!BF27)^2*(S13_PSP_Species_Support!BG27*(1-EXP(-S13_PSP_Species_Support!BH27*18))^S13_PSP_Species_Support!BI27))^0.976,0)+IFERROR(S13_PSP_Species_Support!BM27*0.0673*(S13_PSP_Species_Support!BN27*(S13_PSP_Species_Support!BO27*(1-EXP(-S13_PSP_Species_Support!BP27*18))^S13_PSP_Species_Support!BQ27)^2*(S13_PSP_Species_Support!BR27*(1-EXP(-S13_PSP_Species_Support!BS27*18))^S13_PSP_Species_Support!BT27))^0.976,0)+IFERROR(S13_PSP_Species_Support!BX27*0.0673*(S13_PSP_Species_Support!BY27*(S13_PSP_Species_Support!BZ27*(1-EXP(-S13_PSP_Species_Support!CA27*18))^S13_PSP_Species_Support!CB27)^2*(S13_PSP_Species_Support!CC27*(1-EXP(-S13_PSP_Species_Support!CD27*18))^S13_PSP_Species_Support!CE27))^0.976,0)+IFERROR(S13_PSP_Species_Support!CI27*0.0673*(S13_PSP_Species_Support!CJ27*(S13_PSP_Species_Support!CK27*(1-EXP(-S13_PSP_Species_Support!CL27*18))^S13_PSP_Species_Support!CM27)^2*(S13_PSP_Species_Support!CN27*(1-EXP(-S13_PSP_Species_Support!CO27*18))^S13_PSP_Species_Support!CP27))^0.976,0)+IFERROR(S13_PSP_Species_Support!CT27*0.0673*(S13_PSP_Species_Support!CU27*(S13_PSP_Species_Support!CV27*(1-EXP(-S13_PSP_Species_Support!CW27*18))^S13_PSP_Species_Support!CX27)^2*(S13_PSP_Species_Support!CY27*(1-EXP(-S13_PSP_Species_Support!CZ27*18))^S13_PSP_Species_Support!DA27))^0.976,0))/1000/$G40*AA$108,0)</x:f>
        <x:v>112.87356552044307</x:v>
      </x:c>
      <x:c r="AB40" s="147" t="n">
        <x:f aca="0">IFERROR((IFERROR(S13_PSP_Species_Support!U27*0.0673*(S13_PSP_Species_Support!V27*(S13_PSP_Species_Support!W27*(1-EXP(-S13_PSP_Species_Support!X27*19))^S13_PSP_Species_Support!Y27)^2*(S13_PSP_Species_Support!Z27*(1-EXP(-S13_PSP_Species_Support!AA27*19))^S13_PSP_Species_Support!AB27))^0.976,0)+IFERROR(S13_PSP_Species_Support!AF27*0.0673*(S13_PSP_Species_Support!AG27*(S13_PSP_Species_Support!AH27*(1-EXP(-S13_PSP_Species_Support!AI27*19))^S13_PSP_Species_Support!AJ27)^2*(S13_PSP_Species_Support!AK27*(1-EXP(-S13_PSP_Species_Support!AL27*19))^S13_PSP_Species_Support!AM27))^0.976,0)+IFERROR(S13_PSP_Species_Support!AQ27*0.0673*(S13_PSP_Species_Support!AR27*(S13_PSP_Species_Support!AS27*(1-EXP(-S13_PSP_Species_Support!AT27*19))^S13_PSP_Species_Support!AU27)^2*(S13_PSP_Species_Support!AV27*(1-EXP(-S13_PSP_Species_Support!AW27*19))^S13_PSP_Species_Support!AX27))^0.976,0)+IFERROR(S13_PSP_Species_Support!BB27*0.0673*(S13_PSP_Species_Support!BC27*(S13_PSP_Species_Support!BD27*(1-EXP(-S13_PSP_Species_Support!BE27*19))^S13_PSP_Species_Support!BF27)^2*(S13_PSP_Species_Support!BG27*(1-EXP(-S13_PSP_Species_Support!BH27*19))^S13_PSP_Species_Support!BI27))^0.976,0)+IFERROR(S13_PSP_Species_Support!BM27*0.0673*(S13_PSP_Species_Support!BN27*(S13_PSP_Species_Support!BO27*(1-EXP(-S13_PSP_Species_Support!BP27*19))^S13_PSP_Species_Support!BQ27)^2*(S13_PSP_Species_Support!BR27*(1-EXP(-S13_PSP_Species_Support!BS27*19))^S13_PSP_Species_Support!BT27))^0.976,0)+IFERROR(S13_PSP_Species_Support!BX27*0.0673*(S13_PSP_Species_Support!BY27*(S13_PSP_Species_Support!BZ27*(1-EXP(-S13_PSP_Species_Support!CA27*19))^S13_PSP_Species_Support!CB27)^2*(S13_PSP_Species_Support!CC27*(1-EXP(-S13_PSP_Species_Support!CD27*19))^S13_PSP_Species_Support!CE27))^0.976,0)+IFERROR(S13_PSP_Species_Support!CI27*0.0673*(S13_PSP_Species_Support!CJ27*(S13_PSP_Species_Support!CK27*(1-EXP(-S13_PSP_Species_Support!CL27*19))^S13_PSP_Species_Support!CM27)^2*(S13_PSP_Species_Support!CN27*(1-EXP(-S13_PSP_Species_Support!CO27*19))^S13_PSP_Species_Support!CP27))^0.976,0)+IFERROR(S13_PSP_Species_Support!CT27*0.0673*(S13_PSP_Species_Support!CU27*(S13_PSP_Species_Support!CV27*(1-EXP(-S13_PSP_Species_Support!CW27*19))^S13_PSP_Species_Support!CX27)^2*(S13_PSP_Species_Support!CY27*(1-EXP(-S13_PSP_Species_Support!CZ27*19))^S13_PSP_Species_Support!DA27))^0.976,0))/1000/$G40*AB$108,0)</x:f>
        <x:v>116.6777495110678</x:v>
      </x:c>
      <x:c r="AC40" s="147" t="n">
        <x:f aca="0">IFERROR((IFERROR(S13_PSP_Species_Support!U27*0.0673*(S13_PSP_Species_Support!V27*(S13_PSP_Species_Support!W27*(1-EXP(-S13_PSP_Species_Support!X27*20))^S13_PSP_Species_Support!Y27)^2*(S13_PSP_Species_Support!Z27*(1-EXP(-S13_PSP_Species_Support!AA27*20))^S13_PSP_Species_Support!AB27))^0.976,0)+IFERROR(S13_PSP_Species_Support!AF27*0.0673*(S13_PSP_Species_Support!AG27*(S13_PSP_Species_Support!AH27*(1-EXP(-S13_PSP_Species_Support!AI27*20))^S13_PSP_Species_Support!AJ27)^2*(S13_PSP_Species_Support!AK27*(1-EXP(-S13_PSP_Species_Support!AL27*20))^S13_PSP_Species_Support!AM27))^0.976,0)+IFERROR(S13_PSP_Species_Support!AQ27*0.0673*(S13_PSP_Species_Support!AR27*(S13_PSP_Species_Support!AS27*(1-EXP(-S13_PSP_Species_Support!AT27*20))^S13_PSP_Species_Support!AU27)^2*(S13_PSP_Species_Support!AV27*(1-EXP(-S13_PSP_Species_Support!AW27*20))^S13_PSP_Species_Support!AX27))^0.976,0)+IFERROR(S13_PSP_Species_Support!BB27*0.0673*(S13_PSP_Species_Support!BC27*(S13_PSP_Species_Support!BD27*(1-EXP(-S13_PSP_Species_Support!BE27*20))^S13_PSP_Species_Support!BF27)^2*(S13_PSP_Species_Support!BG27*(1-EXP(-S13_PSP_Species_Support!BH27*20))^S13_PSP_Species_Support!BI27))^0.976,0)+IFERROR(S13_PSP_Species_Support!BM27*0.0673*(S13_PSP_Species_Support!BN27*(S13_PSP_Species_Support!BO27*(1-EXP(-S13_PSP_Species_Support!BP27*20))^S13_PSP_Species_Support!BQ27)^2*(S13_PSP_Species_Support!BR27*(1-EXP(-S13_PSP_Species_Support!BS27*20))^S13_PSP_Species_Support!BT27))^0.976,0)+IFERROR(S13_PSP_Species_Support!BX27*0.0673*(S13_PSP_Species_Support!BY27*(S13_PSP_Species_Support!BZ27*(1-EXP(-S13_PSP_Species_Support!CA27*20))^S13_PSP_Species_Support!CB27)^2*(S13_PSP_Species_Support!CC27*(1-EXP(-S13_PSP_Species_Support!CD27*20))^S13_PSP_Species_Support!CE27))^0.976,0)+IFERROR(S13_PSP_Species_Support!CI27*0.0673*(S13_PSP_Species_Support!CJ27*(S13_PSP_Species_Support!CK27*(1-EXP(-S13_PSP_Species_Support!CL27*20))^S13_PSP_Species_Support!CM27)^2*(S13_PSP_Species_Support!CN27*(1-EXP(-S13_PSP_Species_Support!CO27*20))^S13_PSP_Species_Support!CP27))^0.976,0)+IFERROR(S13_PSP_Species_Support!CT27*0.0673*(S13_PSP_Species_Support!CU27*(S13_PSP_Species_Support!CV27*(1-EXP(-S13_PSP_Species_Support!CW27*20))^S13_PSP_Species_Support!CX27)^2*(S13_PSP_Species_Support!CY27*(1-EXP(-S13_PSP_Species_Support!CZ27*20))^S13_PSP_Species_Support!DA27))^0.976,0))/1000/$G40*AC$108,0)</x:f>
        <x:v>120.01101224248592</x:v>
      </x:c>
      <x:c r="AD40" s="148" t="n">
        <x:f aca="0">IF(2020&lt;$F40,0,INDEX($I40:$AC40,1,2020-$F40+1))</x:f>
        <x:v>0</x:v>
      </x:c>
      <x:c r="AE40" s="148" t="n">
        <x:f aca="0">IF(2021&lt;$F40,0,INDEX($I40:$AC40,1,2021-$F40+1))</x:f>
        <x:v>0.06913216796827186</x:v>
      </x:c>
      <x:c r="AF40" s="148" t="n">
        <x:f aca="0">IF(2022&lt;$F40,0,INDEX($I40:$AC40,1,2022-$F40+1))</x:f>
        <x:v>0.8621907166627942</x:v>
      </x:c>
      <x:c r="AG40" s="148" t="n">
        <x:f aca="0">IF(2023&lt;$F40,0,INDEX($I40:$AC40,1,2023-$F40+1))</x:f>
        <x:v>3.284031643528891</x:v>
      </x:c>
      <x:c r="AH40" s="148" t="n">
        <x:f aca="0">IF(2024&lt;$F40,0,INDEX($I40:$AC40,1,2024-$F40+1))</x:f>
        <x:v>7.798215645567089</x:v>
      </x:c>
      <x:c r="AI40" s="148" t="n">
        <x:f aca="0">IF(2025&lt;$F40,0,INDEX($I40:$AC40,1,2025-$F40+1))</x:f>
        <x:v>14.29694837704364</x:v>
      </x:c>
      <x:c r="AJ40" s="148" t="n">
        <x:f aca="0">IF(2026&lt;$F40,0,INDEX($I40:$AC40,1,2026-$F40+1))</x:f>
        <x:v>22.356692078597067</x:v>
      </x:c>
      <x:c r="AK40" s="148" t="n">
        <x:f aca="0">IF(2027&lt;$F40,0,INDEX($I40:$AC40,1,2027-$F40+1))</x:f>
        <x:v>31.439348954181973</x:v>
      </x:c>
      <x:c r="AL40" s="148" t="n">
        <x:f aca="0">IF(2028&lt;$F40,0,INDEX($I40:$AC40,1,2028-$F40+1))</x:f>
        <x:v>41.02718422214093</x:v>
      </x:c>
      <x:c r="AM40" s="148" t="n">
        <x:f aca="0">IF(2029&lt;$F40,0,INDEX($I40:$AC40,1,2029-$F40+1))</x:f>
        <x:v>50.68861047156917</x:v>
      </x:c>
      <x:c r="AN40" s="148" t="n">
        <x:f aca="0">IF(2030&lt;$F40,0,INDEX($I40:$AC40,1,2030-$F40+1))</x:f>
        <x:v>60.09813502406462</x:v>
      </x:c>
      <x:c r="AO40" s="148" t="n">
        <x:f aca="0">IF(2031&lt;$F40,0,INDEX($I40:$AC40,1,2031-$F40+1))</x:f>
        <x:v>69.03130856147267</x:v>
      </x:c>
      <x:c r="AP40" s="148" t="n">
        <x:f aca="0">IF(2032&lt;$F40,0,INDEX($I40:$AC40,1,2032-$F40+1))</x:f>
        <x:v>77.34872217680041</x:v>
      </x:c>
      <x:c r="AQ40" s="148" t="n">
        <x:f aca="0">IF(2033&lt;$F40,0,INDEX($I40:$AC40,1,2033-$F40+1))</x:f>
        <x:v>84.97714993208336</x:v>
      </x:c>
      <x:c r="AR40" s="148" t="n">
        <x:f aca="0">IF(2034&lt;$F40,0,INDEX($I40:$AC40,1,2034-$F40+1))</x:f>
        <x:v>91.89188333561756</x:v>
      </x:c>
      <x:c r="AS40" s="148" t="n">
        <x:f aca="0">IF(2035&lt;$F40,0,INDEX($I40:$AC40,1,2035-$F40+1))</x:f>
        <x:v>98.1018936371905</x:v>
      </x:c>
      <x:c r="AT40" s="148" t="n">
        <x:f aca="0">IF(2036&lt;$F40,0,INDEX($I40:$AC40,1,2036-$F40+1))</x:f>
        <x:v>103.63817062684527</x:v>
      </x:c>
      <x:c r="AU40" s="148" t="n">
        <x:f aca="0">IF(2037&lt;$F40,0,INDEX($I40:$AC40,1,2037-$F40+1))</x:f>
        <x:v>108.5449813567112</x:v>
      </x:c>
      <x:c r="AV40" s="148" t="n">
        <x:f aca="0">IF(2038&lt;$F40,0,INDEX($I40:$AC40,1,2038-$F40+1))</x:f>
        <x:v>112.87356552044307</x:v>
      </x:c>
      <x:c r="AW40" s="148" t="n">
        <x:f aca="0">IF(2039&lt;$F40,0,INDEX($I40:$AC40,1,2039-$F40+1))</x:f>
        <x:v>116.6777495110678</x:v>
      </x:c>
      <x:c r="AX40" s="148" t="n">
        <x:f aca="0">IF(2040&lt;$F40,0,INDEX($I40:$AC40,1,2040-$F40+1))</x:f>
        <x:v>120.01101224248592</x:v>
      </x:c>
      <x:c r="AY40" s="1" t="str">
        <x:f aca="0">LEFT($C40,FIND("@",SUBSTITUTE($C40,"|","@",2))-1)</x:f>
        <x:v>Horti-Silviculture|Medium</x:v>
      </x:c>
      <x:c r="AZ40" s="1" t="str">
        <x:f aca="0">LEFT($C40,FIND("|",$C40)-1)</x:f>
        <x:v>Horti-Silviculture</x:v>
      </x:c>
      <x:c r="BA40" s="149" t="n">
        <x:f aca="0">I40*I40</x:f>
        <x:v>0</x:v>
      </x:c>
      <x:c r="BB40" s="149" t="n">
        <x:f aca="0">J40*J40</x:f>
        <x:v>0.004779256647993353</x:v>
      </x:c>
      <x:c r="BC40" s="149" t="n">
        <x:f aca="0">K40*K40</x:f>
        <x:v>0.7433728318995028</x:v>
      </x:c>
      <x:c r="BD40" s="149" t="n">
        <x:f aca="0">L40*L40</x:f>
        <x:v>10.78486383569907</x:v>
      </x:c>
      <x:c r="BE40" s="149" t="n">
        <x:f aca="0">M40*M40</x:f>
        <x:v>60.812167254767324</x:v>
      </x:c>
      <x:c r="BF40" s="149" t="n">
        <x:f aca="0">N40*N40</x:f>
        <x:v>204.40273289585076</x:v>
      </x:c>
      <x:c r="BG40" s="149" t="n">
        <x:f aca="0">O40*O40</x:f>
        <x:v>499.82168069720484</x:v>
      </x:c>
      <x:c r="BH40" s="149" t="n">
        <x:f aca="0">P40*P40</x:f>
        <x:v>988.4326626628232</x:v>
      </x:c>
      <x:c r="BI40" s="149" t="n">
        <x:f aca="0">Q40*Q40</x:f>
        <x:v>1683.2298451974898</x:v>
      </x:c>
      <x:c r="BJ40" s="149" t="n">
        <x:f aca="0">R40*R40</x:f>
        <x:v>2569.335231538472</x:v>
      </x:c>
      <x:c r="BK40" s="149" t="n">
        <x:f aca="0">S40*S40</x:f>
        <x:v>3611.785833370702</x:v>
      </x:c>
      <x:c r="BL40" s="149" t="n">
        <x:f aca="0">T40*T40</x:f>
        <x:v>4765.32156170925</x:v>
      </x:c>
      <x:c r="BM40" s="149" t="n">
        <x:f aca="0">U40*U40</x:f>
        <x:v>5982.8248223838555</x:v>
      </x:c>
      <x:c r="BN40" s="149" t="n">
        <x:f aca="0">V40*V40</x:f>
        <x:v>7221.116010579775</x:v>
      </x:c>
      <x:c r="BO40" s="149" t="n">
        <x:f aca="0">W40*W40</x:f>
        <x:v>8444.118222966748</x:v>
      </x:c>
      <x:c r="BP40" s="149" t="n">
        <x:f aca="0">X40*X40</x:f>
        <x:v>9623.981535202638</x:v>
      </x:c>
      <x:c r="BQ40" s="149" t="n">
        <x:f aca="0">Y40*Y40</x:f>
        <x:v>10740.870410879093</x:v>
      </x:c>
      <x:c r="BR40" s="149" t="n">
        <x:f aca="0">Z40*Z40</x:f>
        <x:v>11782.012977728782</x:v>
      </x:c>
      <x:c r="BS40" s="149" t="n">
        <x:f aca="0">AA40*AA40</x:f>
        <x:v>12740.441793297754</x:v>
      </x:c>
      <x:c r="BT40" s="149" t="n">
        <x:f aca="0">AB40*AB40</x:f>
        <x:v>13613.697230967482</x:v>
      </x:c>
      <x:c r="BU40" s="149" t="n">
        <x:f aca="0">AC40*AC40</x:f>
        <x:v>14402.643059466105</x:v>
      </x:c>
    </x:row>
    <x:row r="41" ht="15" hidden="0" customHeight="1">
      <x:c r="A41" s="1" t="str">
        <x:f aca="0">S13_PSP_Species_Support!A28</x:f>
        <x:v>PSP-HS-014</x:v>
      </x:c>
      <x:c r="B41" s="1" t="n">
        <x:f aca="0">28</x:f>
        <x:v>28</x:v>
      </x:c>
      <x:c r="C41" s="1" t="str">
        <x:f aca="0">S13_PSP_Species_Support!I28</x:f>
        <x:v>Horti-Silviculture|Low|2021</x:v>
      </x:c>
      <x:c r="D41" s="1" t="str">
        <x:f aca="0">S13_PSP_Species_Support!C28</x:f>
        <x:v>Horti-Silviculture</x:v>
      </x:c>
      <x:c r="E41" s="1" t="str">
        <x:f aca="0">S13_PSP_Species_Support!D28</x:f>
        <x:v>Low</x:v>
      </x:c>
      <x:c r="F41" s="1" t="n">
        <x:f aca="0">S13_PSP_Species_Support!E28</x:f>
        <x:v>2021</x:v>
      </x:c>
      <x:c r="G41" s="645" t="n">
        <x:f aca="0">'S13_PSP_Species_Support'!DJ28</x:f>
        <x:v>0.09</x:v>
      </x:c>
      <x:c r="H41" s="714" t="n">
        <x:f aca="0">'S13_PSP_Species_Support'!DK28</x:f>
        <x:v>14.597432905484247</x:v>
      </x:c>
      <x:c r="I41" s="147" t="n">
        <x:f aca="0">IFERROR((IFERROR(S13_PSP_Species_Support!U28*0.0673*(S13_PSP_Species_Support!V28*(S13_PSP_Species_Support!W28*(1-EXP(-S13_PSP_Species_Support!X28*0))^S13_PSP_Species_Support!Y28)^2*(S13_PSP_Species_Support!Z28*(1-EXP(-S13_PSP_Species_Support!AA28*0))^S13_PSP_Species_Support!AB28))^0.976,0)+IFERROR(S13_PSP_Species_Support!AF28*0.0673*(S13_PSP_Species_Support!AG28*(S13_PSP_Species_Support!AH28*(1-EXP(-S13_PSP_Species_Support!AI28*0))^S13_PSP_Species_Support!AJ28)^2*(S13_PSP_Species_Support!AK28*(1-EXP(-S13_PSP_Species_Support!AL28*0))^S13_PSP_Species_Support!AM28))^0.976,0)+IFERROR(S13_PSP_Species_Support!AQ28*0.0673*(S13_PSP_Species_Support!AR28*(S13_PSP_Species_Support!AS28*(1-EXP(-S13_PSP_Species_Support!AT28*0))^S13_PSP_Species_Support!AU28)^2*(S13_PSP_Species_Support!AV28*(1-EXP(-S13_PSP_Species_Support!AW28*0))^S13_PSP_Species_Support!AX28))^0.976,0)+IFERROR(S13_PSP_Species_Support!BB28*0.0673*(S13_PSP_Species_Support!BC28*(S13_PSP_Species_Support!BD28*(1-EXP(-S13_PSP_Species_Support!BE28*0))^S13_PSP_Species_Support!BF28)^2*(S13_PSP_Species_Support!BG28*(1-EXP(-S13_PSP_Species_Support!BH28*0))^S13_PSP_Species_Support!BI28))^0.976,0)+IFERROR(S13_PSP_Species_Support!BM28*0.0673*(S13_PSP_Species_Support!BN28*(S13_PSP_Species_Support!BO28*(1-EXP(-S13_PSP_Species_Support!BP28*0))^S13_PSP_Species_Support!BQ28)^2*(S13_PSP_Species_Support!BR28*(1-EXP(-S13_PSP_Species_Support!BS28*0))^S13_PSP_Species_Support!BT28))^0.976,0)+IFERROR(S13_PSP_Species_Support!BX28*0.0673*(S13_PSP_Species_Support!BY28*(S13_PSP_Species_Support!BZ28*(1-EXP(-S13_PSP_Species_Support!CA28*0))^S13_PSP_Species_Support!CB28)^2*(S13_PSP_Species_Support!CC28*(1-EXP(-S13_PSP_Species_Support!CD28*0))^S13_PSP_Species_Support!CE28))^0.976,0)+IFERROR(S13_PSP_Species_Support!CI28*0.0673*(S13_PSP_Species_Support!CJ28*(S13_PSP_Species_Support!CK28*(1-EXP(-S13_PSP_Species_Support!CL28*0))^S13_PSP_Species_Support!CM28)^2*(S13_PSP_Species_Support!CN28*(1-EXP(-S13_PSP_Species_Support!CO28*0))^S13_PSP_Species_Support!CP28))^0.976,0)+IFERROR(S13_PSP_Species_Support!CT28*0.0673*(S13_PSP_Species_Support!CU28*(S13_PSP_Species_Support!CV28*(1-EXP(-S13_PSP_Species_Support!CW28*0))^S13_PSP_Species_Support!CX28)^2*(S13_PSP_Species_Support!CY28*(1-EXP(-S13_PSP_Species_Support!CZ28*0))^S13_PSP_Species_Support!DA28))^0.976,0))/1000/$G41*I$108,0)</x:f>
        <x:v>0</x:v>
      </x:c>
      <x:c r="J41" s="147" t="n">
        <x:f aca="0">IFERROR((IFERROR(S13_PSP_Species_Support!U28*0.0673*(S13_PSP_Species_Support!V28*(S13_PSP_Species_Support!W28*(1-EXP(-S13_PSP_Species_Support!X28*1))^S13_PSP_Species_Support!Y28)^2*(S13_PSP_Species_Support!Z28*(1-EXP(-S13_PSP_Species_Support!AA28*1))^S13_PSP_Species_Support!AB28))^0.976,0)+IFERROR(S13_PSP_Species_Support!AF28*0.0673*(S13_PSP_Species_Support!AG28*(S13_PSP_Species_Support!AH28*(1-EXP(-S13_PSP_Species_Support!AI28*1))^S13_PSP_Species_Support!AJ28)^2*(S13_PSP_Species_Support!AK28*(1-EXP(-S13_PSP_Species_Support!AL28*1))^S13_PSP_Species_Support!AM28))^0.976,0)+IFERROR(S13_PSP_Species_Support!AQ28*0.0673*(S13_PSP_Species_Support!AR28*(S13_PSP_Species_Support!AS28*(1-EXP(-S13_PSP_Species_Support!AT28*1))^S13_PSP_Species_Support!AU28)^2*(S13_PSP_Species_Support!AV28*(1-EXP(-S13_PSP_Species_Support!AW28*1))^S13_PSP_Species_Support!AX28))^0.976,0)+IFERROR(S13_PSP_Species_Support!BB28*0.0673*(S13_PSP_Species_Support!BC28*(S13_PSP_Species_Support!BD28*(1-EXP(-S13_PSP_Species_Support!BE28*1))^S13_PSP_Species_Support!BF28)^2*(S13_PSP_Species_Support!BG28*(1-EXP(-S13_PSP_Species_Support!BH28*1))^S13_PSP_Species_Support!BI28))^0.976,0)+IFERROR(S13_PSP_Species_Support!BM28*0.0673*(S13_PSP_Species_Support!BN28*(S13_PSP_Species_Support!BO28*(1-EXP(-S13_PSP_Species_Support!BP28*1))^S13_PSP_Species_Support!BQ28)^2*(S13_PSP_Species_Support!BR28*(1-EXP(-S13_PSP_Species_Support!BS28*1))^S13_PSP_Species_Support!BT28))^0.976,0)+IFERROR(S13_PSP_Species_Support!BX28*0.0673*(S13_PSP_Species_Support!BY28*(S13_PSP_Species_Support!BZ28*(1-EXP(-S13_PSP_Species_Support!CA28*1))^S13_PSP_Species_Support!CB28)^2*(S13_PSP_Species_Support!CC28*(1-EXP(-S13_PSP_Species_Support!CD28*1))^S13_PSP_Species_Support!CE28))^0.976,0)+IFERROR(S13_PSP_Species_Support!CI28*0.0673*(S13_PSP_Species_Support!CJ28*(S13_PSP_Species_Support!CK28*(1-EXP(-S13_PSP_Species_Support!CL28*1))^S13_PSP_Species_Support!CM28)^2*(S13_PSP_Species_Support!CN28*(1-EXP(-S13_PSP_Species_Support!CO28*1))^S13_PSP_Species_Support!CP28))^0.976,0)+IFERROR(S13_PSP_Species_Support!CT28*0.0673*(S13_PSP_Species_Support!CU28*(S13_PSP_Species_Support!CV28*(1-EXP(-S13_PSP_Species_Support!CW28*1))^S13_PSP_Species_Support!CX28)^2*(S13_PSP_Species_Support!CY28*(1-EXP(-S13_PSP_Species_Support!CZ28*1))^S13_PSP_Species_Support!DA28))^0.976,0))/1000/$G41*J$108,0)</x:f>
        <x:v>0.28122800428199607</x:v>
      </x:c>
      <x:c r="K41" s="147" t="n">
        <x:f aca="0">IFERROR((IFERROR(S13_PSP_Species_Support!U28*0.0673*(S13_PSP_Species_Support!V28*(S13_PSP_Species_Support!W28*(1-EXP(-S13_PSP_Species_Support!X28*2))^S13_PSP_Species_Support!Y28)^2*(S13_PSP_Species_Support!Z28*(1-EXP(-S13_PSP_Species_Support!AA28*2))^S13_PSP_Species_Support!AB28))^0.976,0)+IFERROR(S13_PSP_Species_Support!AF28*0.0673*(S13_PSP_Species_Support!AG28*(S13_PSP_Species_Support!AH28*(1-EXP(-S13_PSP_Species_Support!AI28*2))^S13_PSP_Species_Support!AJ28)^2*(S13_PSP_Species_Support!AK28*(1-EXP(-S13_PSP_Species_Support!AL28*2))^S13_PSP_Species_Support!AM28))^0.976,0)+IFERROR(S13_PSP_Species_Support!AQ28*0.0673*(S13_PSP_Species_Support!AR28*(S13_PSP_Species_Support!AS28*(1-EXP(-S13_PSP_Species_Support!AT28*2))^S13_PSP_Species_Support!AU28)^2*(S13_PSP_Species_Support!AV28*(1-EXP(-S13_PSP_Species_Support!AW28*2))^S13_PSP_Species_Support!AX28))^0.976,0)+IFERROR(S13_PSP_Species_Support!BB28*0.0673*(S13_PSP_Species_Support!BC28*(S13_PSP_Species_Support!BD28*(1-EXP(-S13_PSP_Species_Support!BE28*2))^S13_PSP_Species_Support!BF28)^2*(S13_PSP_Species_Support!BG28*(1-EXP(-S13_PSP_Species_Support!BH28*2))^S13_PSP_Species_Support!BI28))^0.976,0)+IFERROR(S13_PSP_Species_Support!BM28*0.0673*(S13_PSP_Species_Support!BN28*(S13_PSP_Species_Support!BO28*(1-EXP(-S13_PSP_Species_Support!BP28*2))^S13_PSP_Species_Support!BQ28)^2*(S13_PSP_Species_Support!BR28*(1-EXP(-S13_PSP_Species_Support!BS28*2))^S13_PSP_Species_Support!BT28))^0.976,0)+IFERROR(S13_PSP_Species_Support!BX28*0.0673*(S13_PSP_Species_Support!BY28*(S13_PSP_Species_Support!BZ28*(1-EXP(-S13_PSP_Species_Support!CA28*2))^S13_PSP_Species_Support!CB28)^2*(S13_PSP_Species_Support!CC28*(1-EXP(-S13_PSP_Species_Support!CD28*2))^S13_PSP_Species_Support!CE28))^0.976,0)+IFERROR(S13_PSP_Species_Support!CI28*0.0673*(S13_PSP_Species_Support!CJ28*(S13_PSP_Species_Support!CK28*(1-EXP(-S13_PSP_Species_Support!CL28*2))^S13_PSP_Species_Support!CM28)^2*(S13_PSP_Species_Support!CN28*(1-EXP(-S13_PSP_Species_Support!CO28*2))^S13_PSP_Species_Support!CP28))^0.976,0)+IFERROR(S13_PSP_Species_Support!CT28*0.0673*(S13_PSP_Species_Support!CU28*(S13_PSP_Species_Support!CV28*(1-EXP(-S13_PSP_Species_Support!CW28*2))^S13_PSP_Species_Support!CX28)^2*(S13_PSP_Species_Support!CY28*(1-EXP(-S13_PSP_Species_Support!CZ28*2))^S13_PSP_Species_Support!DA28))^0.976,0))/1000/$G41*K$108,0)</x:f>
        <x:v>2.6744707921394792</x:v>
      </x:c>
      <x:c r="L41" s="147" t="n">
        <x:f aca="0">IFERROR((IFERROR(S13_PSP_Species_Support!U28*0.0673*(S13_PSP_Species_Support!V28*(S13_PSP_Species_Support!W28*(1-EXP(-S13_PSP_Species_Support!X28*3))^S13_PSP_Species_Support!Y28)^2*(S13_PSP_Species_Support!Z28*(1-EXP(-S13_PSP_Species_Support!AA28*3))^S13_PSP_Species_Support!AB28))^0.976,0)+IFERROR(S13_PSP_Species_Support!AF28*0.0673*(S13_PSP_Species_Support!AG28*(S13_PSP_Species_Support!AH28*(1-EXP(-S13_PSP_Species_Support!AI28*3))^S13_PSP_Species_Support!AJ28)^2*(S13_PSP_Species_Support!AK28*(1-EXP(-S13_PSP_Species_Support!AL28*3))^S13_PSP_Species_Support!AM28))^0.976,0)+IFERROR(S13_PSP_Species_Support!AQ28*0.0673*(S13_PSP_Species_Support!AR28*(S13_PSP_Species_Support!AS28*(1-EXP(-S13_PSP_Species_Support!AT28*3))^S13_PSP_Species_Support!AU28)^2*(S13_PSP_Species_Support!AV28*(1-EXP(-S13_PSP_Species_Support!AW28*3))^S13_PSP_Species_Support!AX28))^0.976,0)+IFERROR(S13_PSP_Species_Support!BB28*0.0673*(S13_PSP_Species_Support!BC28*(S13_PSP_Species_Support!BD28*(1-EXP(-S13_PSP_Species_Support!BE28*3))^S13_PSP_Species_Support!BF28)^2*(S13_PSP_Species_Support!BG28*(1-EXP(-S13_PSP_Species_Support!BH28*3))^S13_PSP_Species_Support!BI28))^0.976,0)+IFERROR(S13_PSP_Species_Support!BM28*0.0673*(S13_PSP_Species_Support!BN28*(S13_PSP_Species_Support!BO28*(1-EXP(-S13_PSP_Species_Support!BP28*3))^S13_PSP_Species_Support!BQ28)^2*(S13_PSP_Species_Support!BR28*(1-EXP(-S13_PSP_Species_Support!BS28*3))^S13_PSP_Species_Support!BT28))^0.976,0)+IFERROR(S13_PSP_Species_Support!BX28*0.0673*(S13_PSP_Species_Support!BY28*(S13_PSP_Species_Support!BZ28*(1-EXP(-S13_PSP_Species_Support!CA28*3))^S13_PSP_Species_Support!CB28)^2*(S13_PSP_Species_Support!CC28*(1-EXP(-S13_PSP_Species_Support!CD28*3))^S13_PSP_Species_Support!CE28))^0.976,0)+IFERROR(S13_PSP_Species_Support!CI28*0.0673*(S13_PSP_Species_Support!CJ28*(S13_PSP_Species_Support!CK28*(1-EXP(-S13_PSP_Species_Support!CL28*3))^S13_PSP_Species_Support!CM28)^2*(S13_PSP_Species_Support!CN28*(1-EXP(-S13_PSP_Species_Support!CO28*3))^S13_PSP_Species_Support!CP28))^0.976,0)+IFERROR(S13_PSP_Species_Support!CT28*0.0673*(S13_PSP_Species_Support!CU28*(S13_PSP_Species_Support!CV28*(1-EXP(-S13_PSP_Species_Support!CW28*3))^S13_PSP_Species_Support!CX28)^2*(S13_PSP_Species_Support!CY28*(1-EXP(-S13_PSP_Species_Support!CZ28*3))^S13_PSP_Species_Support!DA28))^0.976,0))/1000/$G41*L$108,0)</x:f>
        <x:v>8.900478800316147</x:v>
      </x:c>
      <x:c r="M41" s="147" t="n">
        <x:f aca="0">IFERROR((IFERROR(S13_PSP_Species_Support!U28*0.0673*(S13_PSP_Species_Support!V28*(S13_PSP_Species_Support!W28*(1-EXP(-S13_PSP_Species_Support!X28*4))^S13_PSP_Species_Support!Y28)^2*(S13_PSP_Species_Support!Z28*(1-EXP(-S13_PSP_Species_Support!AA28*4))^S13_PSP_Species_Support!AB28))^0.976,0)+IFERROR(S13_PSP_Species_Support!AF28*0.0673*(S13_PSP_Species_Support!AG28*(S13_PSP_Species_Support!AH28*(1-EXP(-S13_PSP_Species_Support!AI28*4))^S13_PSP_Species_Support!AJ28)^2*(S13_PSP_Species_Support!AK28*(1-EXP(-S13_PSP_Species_Support!AL28*4))^S13_PSP_Species_Support!AM28))^0.976,0)+IFERROR(S13_PSP_Species_Support!AQ28*0.0673*(S13_PSP_Species_Support!AR28*(S13_PSP_Species_Support!AS28*(1-EXP(-S13_PSP_Species_Support!AT28*4))^S13_PSP_Species_Support!AU28)^2*(S13_PSP_Species_Support!AV28*(1-EXP(-S13_PSP_Species_Support!AW28*4))^S13_PSP_Species_Support!AX28))^0.976,0)+IFERROR(S13_PSP_Species_Support!BB28*0.0673*(S13_PSP_Species_Support!BC28*(S13_PSP_Species_Support!BD28*(1-EXP(-S13_PSP_Species_Support!BE28*4))^S13_PSP_Species_Support!BF28)^2*(S13_PSP_Species_Support!BG28*(1-EXP(-S13_PSP_Species_Support!BH28*4))^S13_PSP_Species_Support!BI28))^0.976,0)+IFERROR(S13_PSP_Species_Support!BM28*0.0673*(S13_PSP_Species_Support!BN28*(S13_PSP_Species_Support!BO28*(1-EXP(-S13_PSP_Species_Support!BP28*4))^S13_PSP_Species_Support!BQ28)^2*(S13_PSP_Species_Support!BR28*(1-EXP(-S13_PSP_Species_Support!BS28*4))^S13_PSP_Species_Support!BT28))^0.976,0)+IFERROR(S13_PSP_Species_Support!BX28*0.0673*(S13_PSP_Species_Support!BY28*(S13_PSP_Species_Support!BZ28*(1-EXP(-S13_PSP_Species_Support!CA28*4))^S13_PSP_Species_Support!CB28)^2*(S13_PSP_Species_Support!CC28*(1-EXP(-S13_PSP_Species_Support!CD28*4))^S13_PSP_Species_Support!CE28))^0.976,0)+IFERROR(S13_PSP_Species_Support!CI28*0.0673*(S13_PSP_Species_Support!CJ28*(S13_PSP_Species_Support!CK28*(1-EXP(-S13_PSP_Species_Support!CL28*4))^S13_PSP_Species_Support!CM28)^2*(S13_PSP_Species_Support!CN28*(1-EXP(-S13_PSP_Species_Support!CO28*4))^S13_PSP_Species_Support!CP28))^0.976,0)+IFERROR(S13_PSP_Species_Support!CT28*0.0673*(S13_PSP_Species_Support!CU28*(S13_PSP_Species_Support!CV28*(1-EXP(-S13_PSP_Species_Support!CW28*4))^S13_PSP_Species_Support!CX28)^2*(S13_PSP_Species_Support!CY28*(1-EXP(-S13_PSP_Species_Support!CZ28*4))^S13_PSP_Species_Support!DA28))^0.976,0))/1000/$G41*M$108,0)</x:f>
        <x:v>19.485169880884246</x:v>
      </x:c>
      <x:c r="N41" s="147" t="n">
        <x:f aca="0">IFERROR((IFERROR(S13_PSP_Species_Support!U28*0.0673*(S13_PSP_Species_Support!V28*(S13_PSP_Species_Support!W28*(1-EXP(-S13_PSP_Species_Support!X28*5))^S13_PSP_Species_Support!Y28)^2*(S13_PSP_Species_Support!Z28*(1-EXP(-S13_PSP_Species_Support!AA28*5))^S13_PSP_Species_Support!AB28))^0.976,0)+IFERROR(S13_PSP_Species_Support!AF28*0.0673*(S13_PSP_Species_Support!AG28*(S13_PSP_Species_Support!AH28*(1-EXP(-S13_PSP_Species_Support!AI28*5))^S13_PSP_Species_Support!AJ28)^2*(S13_PSP_Species_Support!AK28*(1-EXP(-S13_PSP_Species_Support!AL28*5))^S13_PSP_Species_Support!AM28))^0.976,0)+IFERROR(S13_PSP_Species_Support!AQ28*0.0673*(S13_PSP_Species_Support!AR28*(S13_PSP_Species_Support!AS28*(1-EXP(-S13_PSP_Species_Support!AT28*5))^S13_PSP_Species_Support!AU28)^2*(S13_PSP_Species_Support!AV28*(1-EXP(-S13_PSP_Species_Support!AW28*5))^S13_PSP_Species_Support!AX28))^0.976,0)+IFERROR(S13_PSP_Species_Support!BB28*0.0673*(S13_PSP_Species_Support!BC28*(S13_PSP_Species_Support!BD28*(1-EXP(-S13_PSP_Species_Support!BE28*5))^S13_PSP_Species_Support!BF28)^2*(S13_PSP_Species_Support!BG28*(1-EXP(-S13_PSP_Species_Support!BH28*5))^S13_PSP_Species_Support!BI28))^0.976,0)+IFERROR(S13_PSP_Species_Support!BM28*0.0673*(S13_PSP_Species_Support!BN28*(S13_PSP_Species_Support!BO28*(1-EXP(-S13_PSP_Species_Support!BP28*5))^S13_PSP_Species_Support!BQ28)^2*(S13_PSP_Species_Support!BR28*(1-EXP(-S13_PSP_Species_Support!BS28*5))^S13_PSP_Species_Support!BT28))^0.976,0)+IFERROR(S13_PSP_Species_Support!BX28*0.0673*(S13_PSP_Species_Support!BY28*(S13_PSP_Species_Support!BZ28*(1-EXP(-S13_PSP_Species_Support!CA28*5))^S13_PSP_Species_Support!CB28)^2*(S13_PSP_Species_Support!CC28*(1-EXP(-S13_PSP_Species_Support!CD28*5))^S13_PSP_Species_Support!CE28))^0.976,0)+IFERROR(S13_PSP_Species_Support!CI28*0.0673*(S13_PSP_Species_Support!CJ28*(S13_PSP_Species_Support!CK28*(1-EXP(-S13_PSP_Species_Support!CL28*5))^S13_PSP_Species_Support!CM28)^2*(S13_PSP_Species_Support!CN28*(1-EXP(-S13_PSP_Species_Support!CO28*5))^S13_PSP_Species_Support!CP28))^0.976,0)+IFERROR(S13_PSP_Species_Support!CT28*0.0673*(S13_PSP_Species_Support!CU28*(S13_PSP_Species_Support!CV28*(1-EXP(-S13_PSP_Species_Support!CW28*5))^S13_PSP_Species_Support!CX28)^2*(S13_PSP_Species_Support!CY28*(1-EXP(-S13_PSP_Species_Support!CZ28*5))^S13_PSP_Species_Support!DA28))^0.976,0))/1000/$G41*N$108,0)</x:f>
        <x:v>33.858813419141335</x:v>
      </x:c>
      <x:c r="O41" s="147" t="n">
        <x:f aca="0">IFERROR((IFERROR(S13_PSP_Species_Support!U28*0.0673*(S13_PSP_Species_Support!V28*(S13_PSP_Species_Support!W28*(1-EXP(-S13_PSP_Species_Support!X28*6))^S13_PSP_Species_Support!Y28)^2*(S13_PSP_Species_Support!Z28*(1-EXP(-S13_PSP_Species_Support!AA28*6))^S13_PSP_Species_Support!AB28))^0.976,0)+IFERROR(S13_PSP_Species_Support!AF28*0.0673*(S13_PSP_Species_Support!AG28*(S13_PSP_Species_Support!AH28*(1-EXP(-S13_PSP_Species_Support!AI28*6))^S13_PSP_Species_Support!AJ28)^2*(S13_PSP_Species_Support!AK28*(1-EXP(-S13_PSP_Species_Support!AL28*6))^S13_PSP_Species_Support!AM28))^0.976,0)+IFERROR(S13_PSP_Species_Support!AQ28*0.0673*(S13_PSP_Species_Support!AR28*(S13_PSP_Species_Support!AS28*(1-EXP(-S13_PSP_Species_Support!AT28*6))^S13_PSP_Species_Support!AU28)^2*(S13_PSP_Species_Support!AV28*(1-EXP(-S13_PSP_Species_Support!AW28*6))^S13_PSP_Species_Support!AX28))^0.976,0)+IFERROR(S13_PSP_Species_Support!BB28*0.0673*(S13_PSP_Species_Support!BC28*(S13_PSP_Species_Support!BD28*(1-EXP(-S13_PSP_Species_Support!BE28*6))^S13_PSP_Species_Support!BF28)^2*(S13_PSP_Species_Support!BG28*(1-EXP(-S13_PSP_Species_Support!BH28*6))^S13_PSP_Species_Support!BI28))^0.976,0)+IFERROR(S13_PSP_Species_Support!BM28*0.0673*(S13_PSP_Species_Support!BN28*(S13_PSP_Species_Support!BO28*(1-EXP(-S13_PSP_Species_Support!BP28*6))^S13_PSP_Species_Support!BQ28)^2*(S13_PSP_Species_Support!BR28*(1-EXP(-S13_PSP_Species_Support!BS28*6))^S13_PSP_Species_Support!BT28))^0.976,0)+IFERROR(S13_PSP_Species_Support!BX28*0.0673*(S13_PSP_Species_Support!BY28*(S13_PSP_Species_Support!BZ28*(1-EXP(-S13_PSP_Species_Support!CA28*6))^S13_PSP_Species_Support!CB28)^2*(S13_PSP_Species_Support!CC28*(1-EXP(-S13_PSP_Species_Support!CD28*6))^S13_PSP_Species_Support!CE28))^0.976,0)+IFERROR(S13_PSP_Species_Support!CI28*0.0673*(S13_PSP_Species_Support!CJ28*(S13_PSP_Species_Support!CK28*(1-EXP(-S13_PSP_Species_Support!CL28*6))^S13_PSP_Species_Support!CM28)^2*(S13_PSP_Species_Support!CN28*(1-EXP(-S13_PSP_Species_Support!CO28*6))^S13_PSP_Species_Support!CP28))^0.976,0)+IFERROR(S13_PSP_Species_Support!CT28*0.0673*(S13_PSP_Species_Support!CU28*(S13_PSP_Species_Support!CV28*(1-EXP(-S13_PSP_Species_Support!CW28*6))^S13_PSP_Species_Support!CX28)^2*(S13_PSP_Species_Support!CY28*(1-EXP(-S13_PSP_Species_Support!CZ28*6))^S13_PSP_Species_Support!DA28))^0.976,0))/1000/$G41*O$108,0)</x:f>
        <x:v>50.999597690294806</x:v>
      </x:c>
      <x:c r="P41" s="147" t="n">
        <x:f aca="0">IFERROR((IFERROR(S13_PSP_Species_Support!U28*0.0673*(S13_PSP_Species_Support!V28*(S13_PSP_Species_Support!W28*(1-EXP(-S13_PSP_Species_Support!X28*7))^S13_PSP_Species_Support!Y28)^2*(S13_PSP_Species_Support!Z28*(1-EXP(-S13_PSP_Species_Support!AA28*7))^S13_PSP_Species_Support!AB28))^0.976,0)+IFERROR(S13_PSP_Species_Support!AF28*0.0673*(S13_PSP_Species_Support!AG28*(S13_PSP_Species_Support!AH28*(1-EXP(-S13_PSP_Species_Support!AI28*7))^S13_PSP_Species_Support!AJ28)^2*(S13_PSP_Species_Support!AK28*(1-EXP(-S13_PSP_Species_Support!AL28*7))^S13_PSP_Species_Support!AM28))^0.976,0)+IFERROR(S13_PSP_Species_Support!AQ28*0.0673*(S13_PSP_Species_Support!AR28*(S13_PSP_Species_Support!AS28*(1-EXP(-S13_PSP_Species_Support!AT28*7))^S13_PSP_Species_Support!AU28)^2*(S13_PSP_Species_Support!AV28*(1-EXP(-S13_PSP_Species_Support!AW28*7))^S13_PSP_Species_Support!AX28))^0.976,0)+IFERROR(S13_PSP_Species_Support!BB28*0.0673*(S13_PSP_Species_Support!BC28*(S13_PSP_Species_Support!BD28*(1-EXP(-S13_PSP_Species_Support!BE28*7))^S13_PSP_Species_Support!BF28)^2*(S13_PSP_Species_Support!BG28*(1-EXP(-S13_PSP_Species_Support!BH28*7))^S13_PSP_Species_Support!BI28))^0.976,0)+IFERROR(S13_PSP_Species_Support!BM28*0.0673*(S13_PSP_Species_Support!BN28*(S13_PSP_Species_Support!BO28*(1-EXP(-S13_PSP_Species_Support!BP28*7))^S13_PSP_Species_Support!BQ28)^2*(S13_PSP_Species_Support!BR28*(1-EXP(-S13_PSP_Species_Support!BS28*7))^S13_PSP_Species_Support!BT28))^0.976,0)+IFERROR(S13_PSP_Species_Support!BX28*0.0673*(S13_PSP_Species_Support!BY28*(S13_PSP_Species_Support!BZ28*(1-EXP(-S13_PSP_Species_Support!CA28*7))^S13_PSP_Species_Support!CB28)^2*(S13_PSP_Species_Support!CC28*(1-EXP(-S13_PSP_Species_Support!CD28*7))^S13_PSP_Species_Support!CE28))^0.976,0)+IFERROR(S13_PSP_Species_Support!CI28*0.0673*(S13_PSP_Species_Support!CJ28*(S13_PSP_Species_Support!CK28*(1-EXP(-S13_PSP_Species_Support!CL28*7))^S13_PSP_Species_Support!CM28)^2*(S13_PSP_Species_Support!CN28*(1-EXP(-S13_PSP_Species_Support!CO28*7))^S13_PSP_Species_Support!CP28))^0.976,0)+IFERROR(S13_PSP_Species_Support!CT28*0.0673*(S13_PSP_Species_Support!CU28*(S13_PSP_Species_Support!CV28*(1-EXP(-S13_PSP_Species_Support!CW28*7))^S13_PSP_Species_Support!CX28)^2*(S13_PSP_Species_Support!CY28*(1-EXP(-S13_PSP_Species_Support!CZ28*7))^S13_PSP_Species_Support!DA28))^0.976,0))/1000/$G41*P$108,0)</x:f>
        <x:v>69.78487340250084</x:v>
      </x:c>
      <x:c r="Q41" s="147" t="n">
        <x:f aca="0">IFERROR((IFERROR(S13_PSP_Species_Support!U28*0.0673*(S13_PSP_Species_Support!V28*(S13_PSP_Species_Support!W28*(1-EXP(-S13_PSP_Species_Support!X28*8))^S13_PSP_Species_Support!Y28)^2*(S13_PSP_Species_Support!Z28*(1-EXP(-S13_PSP_Species_Support!AA28*8))^S13_PSP_Species_Support!AB28))^0.976,0)+IFERROR(S13_PSP_Species_Support!AF28*0.0673*(S13_PSP_Species_Support!AG28*(S13_PSP_Species_Support!AH28*(1-EXP(-S13_PSP_Species_Support!AI28*8))^S13_PSP_Species_Support!AJ28)^2*(S13_PSP_Species_Support!AK28*(1-EXP(-S13_PSP_Species_Support!AL28*8))^S13_PSP_Species_Support!AM28))^0.976,0)+IFERROR(S13_PSP_Species_Support!AQ28*0.0673*(S13_PSP_Species_Support!AR28*(S13_PSP_Species_Support!AS28*(1-EXP(-S13_PSP_Species_Support!AT28*8))^S13_PSP_Species_Support!AU28)^2*(S13_PSP_Species_Support!AV28*(1-EXP(-S13_PSP_Species_Support!AW28*8))^S13_PSP_Species_Support!AX28))^0.976,0)+IFERROR(S13_PSP_Species_Support!BB28*0.0673*(S13_PSP_Species_Support!BC28*(S13_PSP_Species_Support!BD28*(1-EXP(-S13_PSP_Species_Support!BE28*8))^S13_PSP_Species_Support!BF28)^2*(S13_PSP_Species_Support!BG28*(1-EXP(-S13_PSP_Species_Support!BH28*8))^S13_PSP_Species_Support!BI28))^0.976,0)+IFERROR(S13_PSP_Species_Support!BM28*0.0673*(S13_PSP_Species_Support!BN28*(S13_PSP_Species_Support!BO28*(1-EXP(-S13_PSP_Species_Support!BP28*8))^S13_PSP_Species_Support!BQ28)^2*(S13_PSP_Species_Support!BR28*(1-EXP(-S13_PSP_Species_Support!BS28*8))^S13_PSP_Species_Support!BT28))^0.976,0)+IFERROR(S13_PSP_Species_Support!BX28*0.0673*(S13_PSP_Species_Support!BY28*(S13_PSP_Species_Support!BZ28*(1-EXP(-S13_PSP_Species_Support!CA28*8))^S13_PSP_Species_Support!CB28)^2*(S13_PSP_Species_Support!CC28*(1-EXP(-S13_PSP_Species_Support!CD28*8))^S13_PSP_Species_Support!CE28))^0.976,0)+IFERROR(S13_PSP_Species_Support!CI28*0.0673*(S13_PSP_Species_Support!CJ28*(S13_PSP_Species_Support!CK28*(1-EXP(-S13_PSP_Species_Support!CL28*8))^S13_PSP_Species_Support!CM28)^2*(S13_PSP_Species_Support!CN28*(1-EXP(-S13_PSP_Species_Support!CO28*8))^S13_PSP_Species_Support!CP28))^0.976,0)+IFERROR(S13_PSP_Species_Support!CT28*0.0673*(S13_PSP_Species_Support!CU28*(S13_PSP_Species_Support!CV28*(1-EXP(-S13_PSP_Species_Support!CW28*8))^S13_PSP_Species_Support!CX28)^2*(S13_PSP_Species_Support!CY28*(1-EXP(-S13_PSP_Species_Support!CZ28*8))^S13_PSP_Species_Support!DA28))^0.976,0))/1000/$G41*Q$108,0)</x:f>
        <x:v>89.20326381369823</x:v>
      </x:c>
      <x:c r="R41" s="147" t="n">
        <x:f aca="0">IFERROR((IFERROR(S13_PSP_Species_Support!U28*0.0673*(S13_PSP_Species_Support!V28*(S13_PSP_Species_Support!W28*(1-EXP(-S13_PSP_Species_Support!X28*9))^S13_PSP_Species_Support!Y28)^2*(S13_PSP_Species_Support!Z28*(1-EXP(-S13_PSP_Species_Support!AA28*9))^S13_PSP_Species_Support!AB28))^0.976,0)+IFERROR(S13_PSP_Species_Support!AF28*0.0673*(S13_PSP_Species_Support!AG28*(S13_PSP_Species_Support!AH28*(1-EXP(-S13_PSP_Species_Support!AI28*9))^S13_PSP_Species_Support!AJ28)^2*(S13_PSP_Species_Support!AK28*(1-EXP(-S13_PSP_Species_Support!AL28*9))^S13_PSP_Species_Support!AM28))^0.976,0)+IFERROR(S13_PSP_Species_Support!AQ28*0.0673*(S13_PSP_Species_Support!AR28*(S13_PSP_Species_Support!AS28*(1-EXP(-S13_PSP_Species_Support!AT28*9))^S13_PSP_Species_Support!AU28)^2*(S13_PSP_Species_Support!AV28*(1-EXP(-S13_PSP_Species_Support!AW28*9))^S13_PSP_Species_Support!AX28))^0.976,0)+IFERROR(S13_PSP_Species_Support!BB28*0.0673*(S13_PSP_Species_Support!BC28*(S13_PSP_Species_Support!BD28*(1-EXP(-S13_PSP_Species_Support!BE28*9))^S13_PSP_Species_Support!BF28)^2*(S13_PSP_Species_Support!BG28*(1-EXP(-S13_PSP_Species_Support!BH28*9))^S13_PSP_Species_Support!BI28))^0.976,0)+IFERROR(S13_PSP_Species_Support!BM28*0.0673*(S13_PSP_Species_Support!BN28*(S13_PSP_Species_Support!BO28*(1-EXP(-S13_PSP_Species_Support!BP28*9))^S13_PSP_Species_Support!BQ28)^2*(S13_PSP_Species_Support!BR28*(1-EXP(-S13_PSP_Species_Support!BS28*9))^S13_PSP_Species_Support!BT28))^0.976,0)+IFERROR(S13_PSP_Species_Support!BX28*0.0673*(S13_PSP_Species_Support!BY28*(S13_PSP_Species_Support!BZ28*(1-EXP(-S13_PSP_Species_Support!CA28*9))^S13_PSP_Species_Support!CB28)^2*(S13_PSP_Species_Support!CC28*(1-EXP(-S13_PSP_Species_Support!CD28*9))^S13_PSP_Species_Support!CE28))^0.976,0)+IFERROR(S13_PSP_Species_Support!CI28*0.0673*(S13_PSP_Species_Support!CJ28*(S13_PSP_Species_Support!CK28*(1-EXP(-S13_PSP_Species_Support!CL28*9))^S13_PSP_Species_Support!CM28)^2*(S13_PSP_Species_Support!CN28*(1-EXP(-S13_PSP_Species_Support!CO28*9))^S13_PSP_Species_Support!CP28))^0.976,0)+IFERROR(S13_PSP_Species_Support!CT28*0.0673*(S13_PSP_Species_Support!CU28*(S13_PSP_Species_Support!CV28*(1-EXP(-S13_PSP_Species_Support!CW28*9))^S13_PSP_Species_Support!CX28)^2*(S13_PSP_Species_Support!CY28*(1-EXP(-S13_PSP_Species_Support!CZ28*9))^S13_PSP_Species_Support!DA28))^0.976,0))/1000/$G41*R$108,0)</x:f>
        <x:v>108.4453586084695</x:v>
      </x:c>
      <x:c r="S41" s="147" t="n">
        <x:f aca="0">IFERROR((IFERROR(S13_PSP_Species_Support!U28*0.0673*(S13_PSP_Species_Support!V28*(S13_PSP_Species_Support!W28*(1-EXP(-S13_PSP_Species_Support!X28*10))^S13_PSP_Species_Support!Y28)^2*(S13_PSP_Species_Support!Z28*(1-EXP(-S13_PSP_Species_Support!AA28*10))^S13_PSP_Species_Support!AB28))^0.976,0)+IFERROR(S13_PSP_Species_Support!AF28*0.0673*(S13_PSP_Species_Support!AG28*(S13_PSP_Species_Support!AH28*(1-EXP(-S13_PSP_Species_Support!AI28*10))^S13_PSP_Species_Support!AJ28)^2*(S13_PSP_Species_Support!AK28*(1-EXP(-S13_PSP_Species_Support!AL28*10))^S13_PSP_Species_Support!AM28))^0.976,0)+IFERROR(S13_PSP_Species_Support!AQ28*0.0673*(S13_PSP_Species_Support!AR28*(S13_PSP_Species_Support!AS28*(1-EXP(-S13_PSP_Species_Support!AT28*10))^S13_PSP_Species_Support!AU28)^2*(S13_PSP_Species_Support!AV28*(1-EXP(-S13_PSP_Species_Support!AW28*10))^S13_PSP_Species_Support!AX28))^0.976,0)+IFERROR(S13_PSP_Species_Support!BB28*0.0673*(S13_PSP_Species_Support!BC28*(S13_PSP_Species_Support!BD28*(1-EXP(-S13_PSP_Species_Support!BE28*10))^S13_PSP_Species_Support!BF28)^2*(S13_PSP_Species_Support!BG28*(1-EXP(-S13_PSP_Species_Support!BH28*10))^S13_PSP_Species_Support!BI28))^0.976,0)+IFERROR(S13_PSP_Species_Support!BM28*0.0673*(S13_PSP_Species_Support!BN28*(S13_PSP_Species_Support!BO28*(1-EXP(-S13_PSP_Species_Support!BP28*10))^S13_PSP_Species_Support!BQ28)^2*(S13_PSP_Species_Support!BR28*(1-EXP(-S13_PSP_Species_Support!BS28*10))^S13_PSP_Species_Support!BT28))^0.976,0)+IFERROR(S13_PSP_Species_Support!BX28*0.0673*(S13_PSP_Species_Support!BY28*(S13_PSP_Species_Support!BZ28*(1-EXP(-S13_PSP_Species_Support!CA28*10))^S13_PSP_Species_Support!CB28)^2*(S13_PSP_Species_Support!CC28*(1-EXP(-S13_PSP_Species_Support!CD28*10))^S13_PSP_Species_Support!CE28))^0.976,0)+IFERROR(S13_PSP_Species_Support!CI28*0.0673*(S13_PSP_Species_Support!CJ28*(S13_PSP_Species_Support!CK28*(1-EXP(-S13_PSP_Species_Support!CL28*10))^S13_PSP_Species_Support!CM28)^2*(S13_PSP_Species_Support!CN28*(1-EXP(-S13_PSP_Species_Support!CO28*10))^S13_PSP_Species_Support!CP28))^0.976,0)+IFERROR(S13_PSP_Species_Support!CT28*0.0673*(S13_PSP_Species_Support!CU28*(S13_PSP_Species_Support!CV28*(1-EXP(-S13_PSP_Species_Support!CW28*10))^S13_PSP_Species_Support!CX28)^2*(S13_PSP_Species_Support!CY28*(1-EXP(-S13_PSP_Species_Support!CZ28*10))^S13_PSP_Species_Support!DA28))^0.976,0))/1000/$G41*S$108,0)</x:f>
        <x:v>126.92107651866289</x:v>
      </x:c>
      <x:c r="T41" s="147" t="n">
        <x:f aca="0">IFERROR((IFERROR(S13_PSP_Species_Support!U28*0.0673*(S13_PSP_Species_Support!V28*(S13_PSP_Species_Support!W28*(1-EXP(-S13_PSP_Species_Support!X28*11))^S13_PSP_Species_Support!Y28)^2*(S13_PSP_Species_Support!Z28*(1-EXP(-S13_PSP_Species_Support!AA28*11))^S13_PSP_Species_Support!AB28))^0.976,0)+IFERROR(S13_PSP_Species_Support!AF28*0.0673*(S13_PSP_Species_Support!AG28*(S13_PSP_Species_Support!AH28*(1-EXP(-S13_PSP_Species_Support!AI28*11))^S13_PSP_Species_Support!AJ28)^2*(S13_PSP_Species_Support!AK28*(1-EXP(-S13_PSP_Species_Support!AL28*11))^S13_PSP_Species_Support!AM28))^0.976,0)+IFERROR(S13_PSP_Species_Support!AQ28*0.0673*(S13_PSP_Species_Support!AR28*(S13_PSP_Species_Support!AS28*(1-EXP(-S13_PSP_Species_Support!AT28*11))^S13_PSP_Species_Support!AU28)^2*(S13_PSP_Species_Support!AV28*(1-EXP(-S13_PSP_Species_Support!AW28*11))^S13_PSP_Species_Support!AX28))^0.976,0)+IFERROR(S13_PSP_Species_Support!BB28*0.0673*(S13_PSP_Species_Support!BC28*(S13_PSP_Species_Support!BD28*(1-EXP(-S13_PSP_Species_Support!BE28*11))^S13_PSP_Species_Support!BF28)^2*(S13_PSP_Species_Support!BG28*(1-EXP(-S13_PSP_Species_Support!BH28*11))^S13_PSP_Species_Support!BI28))^0.976,0)+IFERROR(S13_PSP_Species_Support!BM28*0.0673*(S13_PSP_Species_Support!BN28*(S13_PSP_Species_Support!BO28*(1-EXP(-S13_PSP_Species_Support!BP28*11))^S13_PSP_Species_Support!BQ28)^2*(S13_PSP_Species_Support!BR28*(1-EXP(-S13_PSP_Species_Support!BS28*11))^S13_PSP_Species_Support!BT28))^0.976,0)+IFERROR(S13_PSP_Species_Support!BX28*0.0673*(S13_PSP_Species_Support!BY28*(S13_PSP_Species_Support!BZ28*(1-EXP(-S13_PSP_Species_Support!CA28*11))^S13_PSP_Species_Support!CB28)^2*(S13_PSP_Species_Support!CC28*(1-EXP(-S13_PSP_Species_Support!CD28*11))^S13_PSP_Species_Support!CE28))^0.976,0)+IFERROR(S13_PSP_Species_Support!CI28*0.0673*(S13_PSP_Species_Support!CJ28*(S13_PSP_Species_Support!CK28*(1-EXP(-S13_PSP_Species_Support!CL28*11))^S13_PSP_Species_Support!CM28)^2*(S13_PSP_Species_Support!CN28*(1-EXP(-S13_PSP_Species_Support!CO28*11))^S13_PSP_Species_Support!CP28))^0.976,0)+IFERROR(S13_PSP_Species_Support!CT28*0.0673*(S13_PSP_Species_Support!CU28*(S13_PSP_Species_Support!CV28*(1-EXP(-S13_PSP_Species_Support!CW28*11))^S13_PSP_Species_Support!CX28)^2*(S13_PSP_Species_Support!CY28*(1-EXP(-S13_PSP_Species_Support!CZ28*11))^S13_PSP_Species_Support!DA28))^0.976,0))/1000/$G41*T$108,0)</x:f>
        <x:v>144.23927307578697</x:v>
      </x:c>
      <x:c r="U41" s="147" t="n">
        <x:f aca="0">IFERROR((IFERROR(S13_PSP_Species_Support!U28*0.0673*(S13_PSP_Species_Support!V28*(S13_PSP_Species_Support!W28*(1-EXP(-S13_PSP_Species_Support!X28*12))^S13_PSP_Species_Support!Y28)^2*(S13_PSP_Species_Support!Z28*(1-EXP(-S13_PSP_Species_Support!AA28*12))^S13_PSP_Species_Support!AB28))^0.976,0)+IFERROR(S13_PSP_Species_Support!AF28*0.0673*(S13_PSP_Species_Support!AG28*(S13_PSP_Species_Support!AH28*(1-EXP(-S13_PSP_Species_Support!AI28*12))^S13_PSP_Species_Support!AJ28)^2*(S13_PSP_Species_Support!AK28*(1-EXP(-S13_PSP_Species_Support!AL28*12))^S13_PSP_Species_Support!AM28))^0.976,0)+IFERROR(S13_PSP_Species_Support!AQ28*0.0673*(S13_PSP_Species_Support!AR28*(S13_PSP_Species_Support!AS28*(1-EXP(-S13_PSP_Species_Support!AT28*12))^S13_PSP_Species_Support!AU28)^2*(S13_PSP_Species_Support!AV28*(1-EXP(-S13_PSP_Species_Support!AW28*12))^S13_PSP_Species_Support!AX28))^0.976,0)+IFERROR(S13_PSP_Species_Support!BB28*0.0673*(S13_PSP_Species_Support!BC28*(S13_PSP_Species_Support!BD28*(1-EXP(-S13_PSP_Species_Support!BE28*12))^S13_PSP_Species_Support!BF28)^2*(S13_PSP_Species_Support!BG28*(1-EXP(-S13_PSP_Species_Support!BH28*12))^S13_PSP_Species_Support!BI28))^0.976,0)+IFERROR(S13_PSP_Species_Support!BM28*0.0673*(S13_PSP_Species_Support!BN28*(S13_PSP_Species_Support!BO28*(1-EXP(-S13_PSP_Species_Support!BP28*12))^S13_PSP_Species_Support!BQ28)^2*(S13_PSP_Species_Support!BR28*(1-EXP(-S13_PSP_Species_Support!BS28*12))^S13_PSP_Species_Support!BT28))^0.976,0)+IFERROR(S13_PSP_Species_Support!BX28*0.0673*(S13_PSP_Species_Support!BY28*(S13_PSP_Species_Support!BZ28*(1-EXP(-S13_PSP_Species_Support!CA28*12))^S13_PSP_Species_Support!CB28)^2*(S13_PSP_Species_Support!CC28*(1-EXP(-S13_PSP_Species_Support!CD28*12))^S13_PSP_Species_Support!CE28))^0.976,0)+IFERROR(S13_PSP_Species_Support!CI28*0.0673*(S13_PSP_Species_Support!CJ28*(S13_PSP_Species_Support!CK28*(1-EXP(-S13_PSP_Species_Support!CL28*12))^S13_PSP_Species_Support!CM28)^2*(S13_PSP_Species_Support!CN28*(1-EXP(-S13_PSP_Species_Support!CO28*12))^S13_PSP_Species_Support!CP28))^0.976,0)+IFERROR(S13_PSP_Species_Support!CT28*0.0673*(S13_PSP_Species_Support!CU28*(S13_PSP_Species_Support!CV28*(1-EXP(-S13_PSP_Species_Support!CW28*12))^S13_PSP_Species_Support!CX28)^2*(S13_PSP_Species_Support!CY28*(1-EXP(-S13_PSP_Species_Support!CZ28*12))^S13_PSP_Species_Support!DA28))^0.976,0))/1000/$G41*U$108,0)</x:f>
        <x:v>160.1720456641362</x:v>
      </x:c>
      <x:c r="V41" s="147" t="n">
        <x:f aca="0">IFERROR((IFERROR(S13_PSP_Species_Support!U28*0.0673*(S13_PSP_Species_Support!V28*(S13_PSP_Species_Support!W28*(1-EXP(-S13_PSP_Species_Support!X28*13))^S13_PSP_Species_Support!Y28)^2*(S13_PSP_Species_Support!Z28*(1-EXP(-S13_PSP_Species_Support!AA28*13))^S13_PSP_Species_Support!AB28))^0.976,0)+IFERROR(S13_PSP_Species_Support!AF28*0.0673*(S13_PSP_Species_Support!AG28*(S13_PSP_Species_Support!AH28*(1-EXP(-S13_PSP_Species_Support!AI28*13))^S13_PSP_Species_Support!AJ28)^2*(S13_PSP_Species_Support!AK28*(1-EXP(-S13_PSP_Species_Support!AL28*13))^S13_PSP_Species_Support!AM28))^0.976,0)+IFERROR(S13_PSP_Species_Support!AQ28*0.0673*(S13_PSP_Species_Support!AR28*(S13_PSP_Species_Support!AS28*(1-EXP(-S13_PSP_Species_Support!AT28*13))^S13_PSP_Species_Support!AU28)^2*(S13_PSP_Species_Support!AV28*(1-EXP(-S13_PSP_Species_Support!AW28*13))^S13_PSP_Species_Support!AX28))^0.976,0)+IFERROR(S13_PSP_Species_Support!BB28*0.0673*(S13_PSP_Species_Support!BC28*(S13_PSP_Species_Support!BD28*(1-EXP(-S13_PSP_Species_Support!BE28*13))^S13_PSP_Species_Support!BF28)^2*(S13_PSP_Species_Support!BG28*(1-EXP(-S13_PSP_Species_Support!BH28*13))^S13_PSP_Species_Support!BI28))^0.976,0)+IFERROR(S13_PSP_Species_Support!BM28*0.0673*(S13_PSP_Species_Support!BN28*(S13_PSP_Species_Support!BO28*(1-EXP(-S13_PSP_Species_Support!BP28*13))^S13_PSP_Species_Support!BQ28)^2*(S13_PSP_Species_Support!BR28*(1-EXP(-S13_PSP_Species_Support!BS28*13))^S13_PSP_Species_Support!BT28))^0.976,0)+IFERROR(S13_PSP_Species_Support!BX28*0.0673*(S13_PSP_Species_Support!BY28*(S13_PSP_Species_Support!BZ28*(1-EXP(-S13_PSP_Species_Support!CA28*13))^S13_PSP_Species_Support!CB28)^2*(S13_PSP_Species_Support!CC28*(1-EXP(-S13_PSP_Species_Support!CD28*13))^S13_PSP_Species_Support!CE28))^0.976,0)+IFERROR(S13_PSP_Species_Support!CI28*0.0673*(S13_PSP_Species_Support!CJ28*(S13_PSP_Species_Support!CK28*(1-EXP(-S13_PSP_Species_Support!CL28*13))^S13_PSP_Species_Support!CM28)^2*(S13_PSP_Species_Support!CN28*(1-EXP(-S13_PSP_Species_Support!CO28*13))^S13_PSP_Species_Support!CP28))^0.976,0)+IFERROR(S13_PSP_Species_Support!CT28*0.0673*(S13_PSP_Species_Support!CU28*(S13_PSP_Species_Support!CV28*(1-EXP(-S13_PSP_Species_Support!CW28*13))^S13_PSP_Species_Support!CX28)^2*(S13_PSP_Species_Support!CY28*(1-EXP(-S13_PSP_Species_Support!CZ28*13))^S13_PSP_Species_Support!DA28))^0.976,0))/1000/$G41*V$108,0)</x:f>
        <x:v>174.61635055429102</x:v>
      </x:c>
      <x:c r="W41" s="147" t="n">
        <x:f aca="0">IFERROR((IFERROR(S13_PSP_Species_Support!U28*0.0673*(S13_PSP_Species_Support!V28*(S13_PSP_Species_Support!W28*(1-EXP(-S13_PSP_Species_Support!X28*14))^S13_PSP_Species_Support!Y28)^2*(S13_PSP_Species_Support!Z28*(1-EXP(-S13_PSP_Species_Support!AA28*14))^S13_PSP_Species_Support!AB28))^0.976,0)+IFERROR(S13_PSP_Species_Support!AF28*0.0673*(S13_PSP_Species_Support!AG28*(S13_PSP_Species_Support!AH28*(1-EXP(-S13_PSP_Species_Support!AI28*14))^S13_PSP_Species_Support!AJ28)^2*(S13_PSP_Species_Support!AK28*(1-EXP(-S13_PSP_Species_Support!AL28*14))^S13_PSP_Species_Support!AM28))^0.976,0)+IFERROR(S13_PSP_Species_Support!AQ28*0.0673*(S13_PSP_Species_Support!AR28*(S13_PSP_Species_Support!AS28*(1-EXP(-S13_PSP_Species_Support!AT28*14))^S13_PSP_Species_Support!AU28)^2*(S13_PSP_Species_Support!AV28*(1-EXP(-S13_PSP_Species_Support!AW28*14))^S13_PSP_Species_Support!AX28))^0.976,0)+IFERROR(S13_PSP_Species_Support!BB28*0.0673*(S13_PSP_Species_Support!BC28*(S13_PSP_Species_Support!BD28*(1-EXP(-S13_PSP_Species_Support!BE28*14))^S13_PSP_Species_Support!BF28)^2*(S13_PSP_Species_Support!BG28*(1-EXP(-S13_PSP_Species_Support!BH28*14))^S13_PSP_Species_Support!BI28))^0.976,0)+IFERROR(S13_PSP_Species_Support!BM28*0.0673*(S13_PSP_Species_Support!BN28*(S13_PSP_Species_Support!BO28*(1-EXP(-S13_PSP_Species_Support!BP28*14))^S13_PSP_Species_Support!BQ28)^2*(S13_PSP_Species_Support!BR28*(1-EXP(-S13_PSP_Species_Support!BS28*14))^S13_PSP_Species_Support!BT28))^0.976,0)+IFERROR(S13_PSP_Species_Support!BX28*0.0673*(S13_PSP_Species_Support!BY28*(S13_PSP_Species_Support!BZ28*(1-EXP(-S13_PSP_Species_Support!CA28*14))^S13_PSP_Species_Support!CB28)^2*(S13_PSP_Species_Support!CC28*(1-EXP(-S13_PSP_Species_Support!CD28*14))^S13_PSP_Species_Support!CE28))^0.976,0)+IFERROR(S13_PSP_Species_Support!CI28*0.0673*(S13_PSP_Species_Support!CJ28*(S13_PSP_Species_Support!CK28*(1-EXP(-S13_PSP_Species_Support!CL28*14))^S13_PSP_Species_Support!CM28)^2*(S13_PSP_Species_Support!CN28*(1-EXP(-S13_PSP_Species_Support!CO28*14))^S13_PSP_Species_Support!CP28))^0.976,0)+IFERROR(S13_PSP_Species_Support!CT28*0.0673*(S13_PSP_Species_Support!CU28*(S13_PSP_Species_Support!CV28*(1-EXP(-S13_PSP_Species_Support!CW28*14))^S13_PSP_Species_Support!CX28)^2*(S13_PSP_Species_Support!CY28*(1-EXP(-S13_PSP_Species_Support!CZ28*14))^S13_PSP_Species_Support!DA28))^0.976,0))/1000/$G41*W$108,0)</x:f>
        <x:v>187.559147800205</x:v>
      </x:c>
      <x:c r="X41" s="147" t="n">
        <x:f aca="0">IFERROR((IFERROR(S13_PSP_Species_Support!U28*0.0673*(S13_PSP_Species_Support!V28*(S13_PSP_Species_Support!W28*(1-EXP(-S13_PSP_Species_Support!X28*15))^S13_PSP_Species_Support!Y28)^2*(S13_PSP_Species_Support!Z28*(1-EXP(-S13_PSP_Species_Support!AA28*15))^S13_PSP_Species_Support!AB28))^0.976,0)+IFERROR(S13_PSP_Species_Support!AF28*0.0673*(S13_PSP_Species_Support!AG28*(S13_PSP_Species_Support!AH28*(1-EXP(-S13_PSP_Species_Support!AI28*15))^S13_PSP_Species_Support!AJ28)^2*(S13_PSP_Species_Support!AK28*(1-EXP(-S13_PSP_Species_Support!AL28*15))^S13_PSP_Species_Support!AM28))^0.976,0)+IFERROR(S13_PSP_Species_Support!AQ28*0.0673*(S13_PSP_Species_Support!AR28*(S13_PSP_Species_Support!AS28*(1-EXP(-S13_PSP_Species_Support!AT28*15))^S13_PSP_Species_Support!AU28)^2*(S13_PSP_Species_Support!AV28*(1-EXP(-S13_PSP_Species_Support!AW28*15))^S13_PSP_Species_Support!AX28))^0.976,0)+IFERROR(S13_PSP_Species_Support!BB28*0.0673*(S13_PSP_Species_Support!BC28*(S13_PSP_Species_Support!BD28*(1-EXP(-S13_PSP_Species_Support!BE28*15))^S13_PSP_Species_Support!BF28)^2*(S13_PSP_Species_Support!BG28*(1-EXP(-S13_PSP_Species_Support!BH28*15))^S13_PSP_Species_Support!BI28))^0.976,0)+IFERROR(S13_PSP_Species_Support!BM28*0.0673*(S13_PSP_Species_Support!BN28*(S13_PSP_Species_Support!BO28*(1-EXP(-S13_PSP_Species_Support!BP28*15))^S13_PSP_Species_Support!BQ28)^2*(S13_PSP_Species_Support!BR28*(1-EXP(-S13_PSP_Species_Support!BS28*15))^S13_PSP_Species_Support!BT28))^0.976,0)+IFERROR(S13_PSP_Species_Support!BX28*0.0673*(S13_PSP_Species_Support!BY28*(S13_PSP_Species_Support!BZ28*(1-EXP(-S13_PSP_Species_Support!CA28*15))^S13_PSP_Species_Support!CB28)^2*(S13_PSP_Species_Support!CC28*(1-EXP(-S13_PSP_Species_Support!CD28*15))^S13_PSP_Species_Support!CE28))^0.976,0)+IFERROR(S13_PSP_Species_Support!CI28*0.0673*(S13_PSP_Species_Support!CJ28*(S13_PSP_Species_Support!CK28*(1-EXP(-S13_PSP_Species_Support!CL28*15))^S13_PSP_Species_Support!CM28)^2*(S13_PSP_Species_Support!CN28*(1-EXP(-S13_PSP_Species_Support!CO28*15))^S13_PSP_Species_Support!CP28))^0.976,0)+IFERROR(S13_PSP_Species_Support!CT28*0.0673*(S13_PSP_Species_Support!CU28*(S13_PSP_Species_Support!CV28*(1-EXP(-S13_PSP_Species_Support!CW28*15))^S13_PSP_Species_Support!CX28)^2*(S13_PSP_Species_Support!CY28*(1-EXP(-S13_PSP_Species_Support!CZ28*15))^S13_PSP_Species_Support!DA28))^0.976,0))/1000/$G41*X$108,0)</x:f>
        <x:v>199.04850583785014</x:v>
      </x:c>
      <x:c r="Y41" s="147" t="n">
        <x:f aca="0">IFERROR((IFERROR(S13_PSP_Species_Support!U28*0.0673*(S13_PSP_Species_Support!V28*(S13_PSP_Species_Support!W28*(1-EXP(-S13_PSP_Species_Support!X28*16))^S13_PSP_Species_Support!Y28)^2*(S13_PSP_Species_Support!Z28*(1-EXP(-S13_PSP_Species_Support!AA28*16))^S13_PSP_Species_Support!AB28))^0.976,0)+IFERROR(S13_PSP_Species_Support!AF28*0.0673*(S13_PSP_Species_Support!AG28*(S13_PSP_Species_Support!AH28*(1-EXP(-S13_PSP_Species_Support!AI28*16))^S13_PSP_Species_Support!AJ28)^2*(S13_PSP_Species_Support!AK28*(1-EXP(-S13_PSP_Species_Support!AL28*16))^S13_PSP_Species_Support!AM28))^0.976,0)+IFERROR(S13_PSP_Species_Support!AQ28*0.0673*(S13_PSP_Species_Support!AR28*(S13_PSP_Species_Support!AS28*(1-EXP(-S13_PSP_Species_Support!AT28*16))^S13_PSP_Species_Support!AU28)^2*(S13_PSP_Species_Support!AV28*(1-EXP(-S13_PSP_Species_Support!AW28*16))^S13_PSP_Species_Support!AX28))^0.976,0)+IFERROR(S13_PSP_Species_Support!BB28*0.0673*(S13_PSP_Species_Support!BC28*(S13_PSP_Species_Support!BD28*(1-EXP(-S13_PSP_Species_Support!BE28*16))^S13_PSP_Species_Support!BF28)^2*(S13_PSP_Species_Support!BG28*(1-EXP(-S13_PSP_Species_Support!BH28*16))^S13_PSP_Species_Support!BI28))^0.976,0)+IFERROR(S13_PSP_Species_Support!BM28*0.0673*(S13_PSP_Species_Support!BN28*(S13_PSP_Species_Support!BO28*(1-EXP(-S13_PSP_Species_Support!BP28*16))^S13_PSP_Species_Support!BQ28)^2*(S13_PSP_Species_Support!BR28*(1-EXP(-S13_PSP_Species_Support!BS28*16))^S13_PSP_Species_Support!BT28))^0.976,0)+IFERROR(S13_PSP_Species_Support!BX28*0.0673*(S13_PSP_Species_Support!BY28*(S13_PSP_Species_Support!BZ28*(1-EXP(-S13_PSP_Species_Support!CA28*16))^S13_PSP_Species_Support!CB28)^2*(S13_PSP_Species_Support!CC28*(1-EXP(-S13_PSP_Species_Support!CD28*16))^S13_PSP_Species_Support!CE28))^0.976,0)+IFERROR(S13_PSP_Species_Support!CI28*0.0673*(S13_PSP_Species_Support!CJ28*(S13_PSP_Species_Support!CK28*(1-EXP(-S13_PSP_Species_Support!CL28*16))^S13_PSP_Species_Support!CM28)^2*(S13_PSP_Species_Support!CN28*(1-EXP(-S13_PSP_Species_Support!CO28*16))^S13_PSP_Species_Support!CP28))^0.976,0)+IFERROR(S13_PSP_Species_Support!CT28*0.0673*(S13_PSP_Species_Support!CU28*(S13_PSP_Species_Support!CV28*(1-EXP(-S13_PSP_Species_Support!CW28*16))^S13_PSP_Species_Support!CX28)^2*(S13_PSP_Species_Support!CY28*(1-EXP(-S13_PSP_Species_Support!CZ28*16))^S13_PSP_Species_Support!DA28))^0.976,0))/1000/$G41*Y$108,0)</x:f>
        <x:v>209.17105385721746</x:v>
      </x:c>
      <x:c r="Z41" s="147" t="n">
        <x:f aca="0">IFERROR((IFERROR(S13_PSP_Species_Support!U28*0.0673*(S13_PSP_Species_Support!V28*(S13_PSP_Species_Support!W28*(1-EXP(-S13_PSP_Species_Support!X28*17))^S13_PSP_Species_Support!Y28)^2*(S13_PSP_Species_Support!Z28*(1-EXP(-S13_PSP_Species_Support!AA28*17))^S13_PSP_Species_Support!AB28))^0.976,0)+IFERROR(S13_PSP_Species_Support!AF28*0.0673*(S13_PSP_Species_Support!AG28*(S13_PSP_Species_Support!AH28*(1-EXP(-S13_PSP_Species_Support!AI28*17))^S13_PSP_Species_Support!AJ28)^2*(S13_PSP_Species_Support!AK28*(1-EXP(-S13_PSP_Species_Support!AL28*17))^S13_PSP_Species_Support!AM28))^0.976,0)+IFERROR(S13_PSP_Species_Support!AQ28*0.0673*(S13_PSP_Species_Support!AR28*(S13_PSP_Species_Support!AS28*(1-EXP(-S13_PSP_Species_Support!AT28*17))^S13_PSP_Species_Support!AU28)^2*(S13_PSP_Species_Support!AV28*(1-EXP(-S13_PSP_Species_Support!AW28*17))^S13_PSP_Species_Support!AX28))^0.976,0)+IFERROR(S13_PSP_Species_Support!BB28*0.0673*(S13_PSP_Species_Support!BC28*(S13_PSP_Species_Support!BD28*(1-EXP(-S13_PSP_Species_Support!BE28*17))^S13_PSP_Species_Support!BF28)^2*(S13_PSP_Species_Support!BG28*(1-EXP(-S13_PSP_Species_Support!BH28*17))^S13_PSP_Species_Support!BI28))^0.976,0)+IFERROR(S13_PSP_Species_Support!BM28*0.0673*(S13_PSP_Species_Support!BN28*(S13_PSP_Species_Support!BO28*(1-EXP(-S13_PSP_Species_Support!BP28*17))^S13_PSP_Species_Support!BQ28)^2*(S13_PSP_Species_Support!BR28*(1-EXP(-S13_PSP_Species_Support!BS28*17))^S13_PSP_Species_Support!BT28))^0.976,0)+IFERROR(S13_PSP_Species_Support!BX28*0.0673*(S13_PSP_Species_Support!BY28*(S13_PSP_Species_Support!BZ28*(1-EXP(-S13_PSP_Species_Support!CA28*17))^S13_PSP_Species_Support!CB28)^2*(S13_PSP_Species_Support!CC28*(1-EXP(-S13_PSP_Species_Support!CD28*17))^S13_PSP_Species_Support!CE28))^0.976,0)+IFERROR(S13_PSP_Species_Support!CI28*0.0673*(S13_PSP_Species_Support!CJ28*(S13_PSP_Species_Support!CK28*(1-EXP(-S13_PSP_Species_Support!CL28*17))^S13_PSP_Species_Support!CM28)^2*(S13_PSP_Species_Support!CN28*(1-EXP(-S13_PSP_Species_Support!CO28*17))^S13_PSP_Species_Support!CP28))^0.976,0)+IFERROR(S13_PSP_Species_Support!CT28*0.0673*(S13_PSP_Species_Support!CU28*(S13_PSP_Species_Support!CV28*(1-EXP(-S13_PSP_Species_Support!CW28*17))^S13_PSP_Species_Support!CX28)^2*(S13_PSP_Species_Support!CY28*(1-EXP(-S13_PSP_Species_Support!CZ28*17))^S13_PSP_Species_Support!DA28))^0.976,0))/1000/$G41*Z$108,0)</x:f>
        <x:v>218.03519113214344</x:v>
      </x:c>
      <x:c r="AA41" s="147" t="n">
        <x:f aca="0">IFERROR((IFERROR(S13_PSP_Species_Support!U28*0.0673*(S13_PSP_Species_Support!V28*(S13_PSP_Species_Support!W28*(1-EXP(-S13_PSP_Species_Support!X28*18))^S13_PSP_Species_Support!Y28)^2*(S13_PSP_Species_Support!Z28*(1-EXP(-S13_PSP_Species_Support!AA28*18))^S13_PSP_Species_Support!AB28))^0.976,0)+IFERROR(S13_PSP_Species_Support!AF28*0.0673*(S13_PSP_Species_Support!AG28*(S13_PSP_Species_Support!AH28*(1-EXP(-S13_PSP_Species_Support!AI28*18))^S13_PSP_Species_Support!AJ28)^2*(S13_PSP_Species_Support!AK28*(1-EXP(-S13_PSP_Species_Support!AL28*18))^S13_PSP_Species_Support!AM28))^0.976,0)+IFERROR(S13_PSP_Species_Support!AQ28*0.0673*(S13_PSP_Species_Support!AR28*(S13_PSP_Species_Support!AS28*(1-EXP(-S13_PSP_Species_Support!AT28*18))^S13_PSP_Species_Support!AU28)^2*(S13_PSP_Species_Support!AV28*(1-EXP(-S13_PSP_Species_Support!AW28*18))^S13_PSP_Species_Support!AX28))^0.976,0)+IFERROR(S13_PSP_Species_Support!BB28*0.0673*(S13_PSP_Species_Support!BC28*(S13_PSP_Species_Support!BD28*(1-EXP(-S13_PSP_Species_Support!BE28*18))^S13_PSP_Species_Support!BF28)^2*(S13_PSP_Species_Support!BG28*(1-EXP(-S13_PSP_Species_Support!BH28*18))^S13_PSP_Species_Support!BI28))^0.976,0)+IFERROR(S13_PSP_Species_Support!BM28*0.0673*(S13_PSP_Species_Support!BN28*(S13_PSP_Species_Support!BO28*(1-EXP(-S13_PSP_Species_Support!BP28*18))^S13_PSP_Species_Support!BQ28)^2*(S13_PSP_Species_Support!BR28*(1-EXP(-S13_PSP_Species_Support!BS28*18))^S13_PSP_Species_Support!BT28))^0.976,0)+IFERROR(S13_PSP_Species_Support!BX28*0.0673*(S13_PSP_Species_Support!BY28*(S13_PSP_Species_Support!BZ28*(1-EXP(-S13_PSP_Species_Support!CA28*18))^S13_PSP_Species_Support!CB28)^2*(S13_PSP_Species_Support!CC28*(1-EXP(-S13_PSP_Species_Support!CD28*18))^S13_PSP_Species_Support!CE28))^0.976,0)+IFERROR(S13_PSP_Species_Support!CI28*0.0673*(S13_PSP_Species_Support!CJ28*(S13_PSP_Species_Support!CK28*(1-EXP(-S13_PSP_Species_Support!CL28*18))^S13_PSP_Species_Support!CM28)^2*(S13_PSP_Species_Support!CN28*(1-EXP(-S13_PSP_Species_Support!CO28*18))^S13_PSP_Species_Support!CP28))^0.976,0)+IFERROR(S13_PSP_Species_Support!CT28*0.0673*(S13_PSP_Species_Support!CU28*(S13_PSP_Species_Support!CV28*(1-EXP(-S13_PSP_Species_Support!CW28*18))^S13_PSP_Species_Support!CX28)^2*(S13_PSP_Species_Support!CY28*(1-EXP(-S13_PSP_Species_Support!CZ28*18))^S13_PSP_Species_Support!DA28))^0.976,0))/1000/$G41*AA$108,0)</x:f>
        <x:v>225.75909037576804</x:v>
      </x:c>
      <x:c r="AB41" s="147" t="n">
        <x:f aca="0">IFERROR((IFERROR(S13_PSP_Species_Support!U28*0.0673*(S13_PSP_Species_Support!V28*(S13_PSP_Species_Support!W28*(1-EXP(-S13_PSP_Species_Support!X28*19))^S13_PSP_Species_Support!Y28)^2*(S13_PSP_Species_Support!Z28*(1-EXP(-S13_PSP_Species_Support!AA28*19))^S13_PSP_Species_Support!AB28))^0.976,0)+IFERROR(S13_PSP_Species_Support!AF28*0.0673*(S13_PSP_Species_Support!AG28*(S13_PSP_Species_Support!AH28*(1-EXP(-S13_PSP_Species_Support!AI28*19))^S13_PSP_Species_Support!AJ28)^2*(S13_PSP_Species_Support!AK28*(1-EXP(-S13_PSP_Species_Support!AL28*19))^S13_PSP_Species_Support!AM28))^0.976,0)+IFERROR(S13_PSP_Species_Support!AQ28*0.0673*(S13_PSP_Species_Support!AR28*(S13_PSP_Species_Support!AS28*(1-EXP(-S13_PSP_Species_Support!AT28*19))^S13_PSP_Species_Support!AU28)^2*(S13_PSP_Species_Support!AV28*(1-EXP(-S13_PSP_Species_Support!AW28*19))^S13_PSP_Species_Support!AX28))^0.976,0)+IFERROR(S13_PSP_Species_Support!BB28*0.0673*(S13_PSP_Species_Support!BC28*(S13_PSP_Species_Support!BD28*(1-EXP(-S13_PSP_Species_Support!BE28*19))^S13_PSP_Species_Support!BF28)^2*(S13_PSP_Species_Support!BG28*(1-EXP(-S13_PSP_Species_Support!BH28*19))^S13_PSP_Species_Support!BI28))^0.976,0)+IFERROR(S13_PSP_Species_Support!BM28*0.0673*(S13_PSP_Species_Support!BN28*(S13_PSP_Species_Support!BO28*(1-EXP(-S13_PSP_Species_Support!BP28*19))^S13_PSP_Species_Support!BQ28)^2*(S13_PSP_Species_Support!BR28*(1-EXP(-S13_PSP_Species_Support!BS28*19))^S13_PSP_Species_Support!BT28))^0.976,0)+IFERROR(S13_PSP_Species_Support!BX28*0.0673*(S13_PSP_Species_Support!BY28*(S13_PSP_Species_Support!BZ28*(1-EXP(-S13_PSP_Species_Support!CA28*19))^S13_PSP_Species_Support!CB28)^2*(S13_PSP_Species_Support!CC28*(1-EXP(-S13_PSP_Species_Support!CD28*19))^S13_PSP_Species_Support!CE28))^0.976,0)+IFERROR(S13_PSP_Species_Support!CI28*0.0673*(S13_PSP_Species_Support!CJ28*(S13_PSP_Species_Support!CK28*(1-EXP(-S13_PSP_Species_Support!CL28*19))^S13_PSP_Species_Support!CM28)^2*(S13_PSP_Species_Support!CN28*(1-EXP(-S13_PSP_Species_Support!CO28*19))^S13_PSP_Species_Support!CP28))^0.976,0)+IFERROR(S13_PSP_Species_Support!CT28*0.0673*(S13_PSP_Species_Support!CU28*(S13_PSP_Species_Support!CV28*(1-EXP(-S13_PSP_Species_Support!CW28*19))^S13_PSP_Species_Support!CX28)^2*(S13_PSP_Species_Support!CY28*(1-EXP(-S13_PSP_Species_Support!CZ28*19))^S13_PSP_Species_Support!DA28))^0.976,0))/1000/$G41*AB$108,0)</x:f>
        <x:v>232.46247946111987</x:v>
      </x:c>
      <x:c r="AC41" s="147" t="n">
        <x:f aca="0">IFERROR((IFERROR(S13_PSP_Species_Support!U28*0.0673*(S13_PSP_Species_Support!V28*(S13_PSP_Species_Support!W28*(1-EXP(-S13_PSP_Species_Support!X28*20))^S13_PSP_Species_Support!Y28)^2*(S13_PSP_Species_Support!Z28*(1-EXP(-S13_PSP_Species_Support!AA28*20))^S13_PSP_Species_Support!AB28))^0.976,0)+IFERROR(S13_PSP_Species_Support!AF28*0.0673*(S13_PSP_Species_Support!AG28*(S13_PSP_Species_Support!AH28*(1-EXP(-S13_PSP_Species_Support!AI28*20))^S13_PSP_Species_Support!AJ28)^2*(S13_PSP_Species_Support!AK28*(1-EXP(-S13_PSP_Species_Support!AL28*20))^S13_PSP_Species_Support!AM28))^0.976,0)+IFERROR(S13_PSP_Species_Support!AQ28*0.0673*(S13_PSP_Species_Support!AR28*(S13_PSP_Species_Support!AS28*(1-EXP(-S13_PSP_Species_Support!AT28*20))^S13_PSP_Species_Support!AU28)^2*(S13_PSP_Species_Support!AV28*(1-EXP(-S13_PSP_Species_Support!AW28*20))^S13_PSP_Species_Support!AX28))^0.976,0)+IFERROR(S13_PSP_Species_Support!BB28*0.0673*(S13_PSP_Species_Support!BC28*(S13_PSP_Species_Support!BD28*(1-EXP(-S13_PSP_Species_Support!BE28*20))^S13_PSP_Species_Support!BF28)^2*(S13_PSP_Species_Support!BG28*(1-EXP(-S13_PSP_Species_Support!BH28*20))^S13_PSP_Species_Support!BI28))^0.976,0)+IFERROR(S13_PSP_Species_Support!BM28*0.0673*(S13_PSP_Species_Support!BN28*(S13_PSP_Species_Support!BO28*(1-EXP(-S13_PSP_Species_Support!BP28*20))^S13_PSP_Species_Support!BQ28)^2*(S13_PSP_Species_Support!BR28*(1-EXP(-S13_PSP_Species_Support!BS28*20))^S13_PSP_Species_Support!BT28))^0.976,0)+IFERROR(S13_PSP_Species_Support!BX28*0.0673*(S13_PSP_Species_Support!BY28*(S13_PSP_Species_Support!BZ28*(1-EXP(-S13_PSP_Species_Support!CA28*20))^S13_PSP_Species_Support!CB28)^2*(S13_PSP_Species_Support!CC28*(1-EXP(-S13_PSP_Species_Support!CD28*20))^S13_PSP_Species_Support!CE28))^0.976,0)+IFERROR(S13_PSP_Species_Support!CI28*0.0673*(S13_PSP_Species_Support!CJ28*(S13_PSP_Species_Support!CK28*(1-EXP(-S13_PSP_Species_Support!CL28*20))^S13_PSP_Species_Support!CM28)^2*(S13_PSP_Species_Support!CN28*(1-EXP(-S13_PSP_Species_Support!CO28*20))^S13_PSP_Species_Support!CP28))^0.976,0)+IFERROR(S13_PSP_Species_Support!CT28*0.0673*(S13_PSP_Species_Support!CU28*(S13_PSP_Species_Support!CV28*(1-EXP(-S13_PSP_Species_Support!CW28*20))^S13_PSP_Species_Support!CX28)^2*(S13_PSP_Species_Support!CY28*(1-EXP(-S13_PSP_Species_Support!CZ28*20))^S13_PSP_Species_Support!DA28))^0.976,0))/1000/$G41*AC$108,0)</x:f>
        <x:v>238.26128286861643</x:v>
      </x:c>
      <x:c r="AD41" s="148" t="n">
        <x:f aca="0">IF(2020&lt;$F41,0,INDEX($I41:$AC41,1,2020-$F41+1))</x:f>
        <x:v>0</x:v>
      </x:c>
      <x:c r="AE41" s="148" t="n">
        <x:f aca="0">IF(2021&lt;$F41,0,INDEX($I41:$AC41,1,2021-$F41+1))</x:f>
        <x:v>0</x:v>
      </x:c>
      <x:c r="AF41" s="148" t="n">
        <x:f aca="0">IF(2022&lt;$F41,0,INDEX($I41:$AC41,1,2022-$F41+1))</x:f>
        <x:v>0.28122800428199607</x:v>
      </x:c>
      <x:c r="AG41" s="148" t="n">
        <x:f aca="0">IF(2023&lt;$F41,0,INDEX($I41:$AC41,1,2023-$F41+1))</x:f>
        <x:v>2.6744707921394792</x:v>
      </x:c>
      <x:c r="AH41" s="148" t="n">
        <x:f aca="0">IF(2024&lt;$F41,0,INDEX($I41:$AC41,1,2024-$F41+1))</x:f>
        <x:v>8.900478800316147</x:v>
      </x:c>
      <x:c r="AI41" s="148" t="n">
        <x:f aca="0">IF(2025&lt;$F41,0,INDEX($I41:$AC41,1,2025-$F41+1))</x:f>
        <x:v>19.485169880884246</x:v>
      </x:c>
      <x:c r="AJ41" s="148" t="n">
        <x:f aca="0">IF(2026&lt;$F41,0,INDEX($I41:$AC41,1,2026-$F41+1))</x:f>
        <x:v>33.858813419141335</x:v>
      </x:c>
      <x:c r="AK41" s="148" t="n">
        <x:f aca="0">IF(2027&lt;$F41,0,INDEX($I41:$AC41,1,2027-$F41+1))</x:f>
        <x:v>50.999597690294806</x:v>
      </x:c>
      <x:c r="AL41" s="148" t="n">
        <x:f aca="0">IF(2028&lt;$F41,0,INDEX($I41:$AC41,1,2028-$F41+1))</x:f>
        <x:v>69.78487340250084</x:v>
      </x:c>
      <x:c r="AM41" s="148" t="n">
        <x:f aca="0">IF(2029&lt;$F41,0,INDEX($I41:$AC41,1,2029-$F41+1))</x:f>
        <x:v>89.20326381369823</x:v>
      </x:c>
      <x:c r="AN41" s="148" t="n">
        <x:f aca="0">IF(2030&lt;$F41,0,INDEX($I41:$AC41,1,2030-$F41+1))</x:f>
        <x:v>108.4453586084695</x:v>
      </x:c>
      <x:c r="AO41" s="148" t="n">
        <x:f aca="0">IF(2031&lt;$F41,0,INDEX($I41:$AC41,1,2031-$F41+1))</x:f>
        <x:v>126.92107651866289</x:v>
      </x:c>
      <x:c r="AP41" s="148" t="n">
        <x:f aca="0">IF(2032&lt;$F41,0,INDEX($I41:$AC41,1,2032-$F41+1))</x:f>
        <x:v>144.23927307578697</x:v>
      </x:c>
      <x:c r="AQ41" s="148" t="n">
        <x:f aca="0">IF(2033&lt;$F41,0,INDEX($I41:$AC41,1,2033-$F41+1))</x:f>
        <x:v>160.1720456641362</x:v>
      </x:c>
      <x:c r="AR41" s="148" t="n">
        <x:f aca="0">IF(2034&lt;$F41,0,INDEX($I41:$AC41,1,2034-$F41+1))</x:f>
        <x:v>174.61635055429102</x:v>
      </x:c>
      <x:c r="AS41" s="148" t="n">
        <x:f aca="0">IF(2035&lt;$F41,0,INDEX($I41:$AC41,1,2035-$F41+1))</x:f>
        <x:v>187.559147800205</x:v>
      </x:c>
      <x:c r="AT41" s="148" t="n">
        <x:f aca="0">IF(2036&lt;$F41,0,INDEX($I41:$AC41,1,2036-$F41+1))</x:f>
        <x:v>199.04850583785014</x:v>
      </x:c>
      <x:c r="AU41" s="148" t="n">
        <x:f aca="0">IF(2037&lt;$F41,0,INDEX($I41:$AC41,1,2037-$F41+1))</x:f>
        <x:v>209.17105385721746</x:v>
      </x:c>
      <x:c r="AV41" s="148" t="n">
        <x:f aca="0">IF(2038&lt;$F41,0,INDEX($I41:$AC41,1,2038-$F41+1))</x:f>
        <x:v>218.03519113214344</x:v>
      </x:c>
      <x:c r="AW41" s="148" t="n">
        <x:f aca="0">IF(2039&lt;$F41,0,INDEX($I41:$AC41,1,2039-$F41+1))</x:f>
        <x:v>225.75909037576804</x:v>
      </x:c>
      <x:c r="AX41" s="148" t="n">
        <x:f aca="0">IF(2040&lt;$F41,0,INDEX($I41:$AC41,1,2040-$F41+1))</x:f>
        <x:v>232.46247946111987</x:v>
      </x:c>
      <x:c r="AY41" s="1" t="str">
        <x:f aca="0">LEFT($C41,FIND("@",SUBSTITUTE($C41,"|","@",2))-1)</x:f>
        <x:v>Horti-Silviculture|Low</x:v>
      </x:c>
      <x:c r="AZ41" s="1" t="str">
        <x:f aca="0">LEFT($C41,FIND("|",$C41)-1)</x:f>
        <x:v>Horti-Silviculture</x:v>
      </x:c>
      <x:c r="BA41" s="149" t="n">
        <x:f aca="0">I41*I41</x:f>
        <x:v>0</x:v>
      </x:c>
      <x:c r="BB41" s="149" t="n">
        <x:f aca="0">J41*J41</x:f>
        <x:v>0.0790891903924344</x:v>
      </x:c>
      <x:c r="BC41" s="149" t="n">
        <x:f aca="0">K41*K41</x:f>
        <x:v>7.152794018007174</x:v>
      </x:c>
      <x:c r="BD41" s="149" t="n">
        <x:f aca="0">L41*L41</x:f>
        <x:v>79.21852287487717</x:v>
      </x:c>
      <x:c r="BE41" s="149" t="n">
        <x:f aca="0">M41*M41</x:f>
        <x:v>379.6718452869186</x:v>
      </x:c>
      <x:c r="BF41" s="149" t="n">
        <x:f aca="0">N41*N41</x:f>
        <x:v>1146.4192461522252</x:v>
      </x:c>
      <x:c r="BG41" s="149" t="n">
        <x:f aca="0">O41*O41</x:f>
        <x:v>2600.9589645719234</x:v>
      </x:c>
      <x:c r="BH41" s="149" t="n">
        <x:f aca="0">P41*P41</x:f>
        <x:v>4869.928555803069</x:v>
      </x:c>
      <x:c r="BI41" s="149" t="n">
        <x:f aca="0">Q41*Q41</x:f>
        <x:v>7957.222275016244</x:v>
      </x:c>
      <x:c r="BJ41" s="149" t="n">
        <x:f aca="0">R41*R41</x:f>
        <x:v>11760.395803719552</x:v>
      </x:c>
      <x:c r="BK41" s="149" t="n">
        <x:f aca="0">S41*S41</x:f>
        <x:v>16108.959664656279</x:v>
      </x:c>
      <x:c r="BL41" s="149" t="n">
        <x:f aca="0">T41*T41</x:f>
        <x:v>20804.967897431445</x:v>
      </x:c>
      <x:c r="BM41" s="149" t="n">
        <x:f aca="0">U41*U41</x:f>
        <x:v>25655.08421223413</x:v>
      </x:c>
      <x:c r="BN41" s="149" t="n">
        <x:f aca="0">V41*V41</x:f>
        <x:v>30490.86988089905</x:v>
      </x:c>
      <x:c r="BO41" s="149" t="n">
        <x:f aca="0">W41*W41</x:f>
        <x:v>35178.433923539145</x:v>
      </x:c>
      <x:c r="BP41" s="149" t="n">
        <x:f aca="0">X41*X41</x:f>
        <x:v>39620.30767628066</x:v>
      </x:c>
      <x:c r="BQ41" s="149" t="n">
        <x:f aca="0">Y41*Y41</x:f>
        <x:v>43752.52977173897</x:v>
      </x:c>
      <x:c r="BR41" s="149" t="n">
        <x:f aca="0">Z41*Z41</x:f>
        <x:v>47539.34457203032</x:v>
      </x:c>
      <x:c r="BS41" s="149" t="n">
        <x:f aca="0">AA41*AA41</x:f>
        <x:v>50967.1668872942</x:v>
      </x:c>
      <x:c r="BT41" s="149" t="n">
        <x:f aca="0">AB41*AB41</x:f>
        <x:v>54038.80435721158</x:v>
      </x:c>
      <x:c r="BU41" s="149" t="n">
        <x:f aca="0">AC41*AC41</x:f>
        <x:v>56768.43891419886</x:v>
      </x:c>
    </x:row>
    <x:row r="42" ht="15" hidden="0" customHeight="1">
      <x:c r="A42" s="1" t="str">
        <x:f aca="0">S13_PSP_Species_Support!A29</x:f>
        <x:v>PSP-HS-015</x:v>
      </x:c>
      <x:c r="B42" s="1" t="n">
        <x:f aca="0">29</x:f>
        <x:v>29</x:v>
      </x:c>
      <x:c r="C42" s="1" t="str">
        <x:f aca="0">S13_PSP_Species_Support!I29</x:f>
        <x:v>Horti-Silviculture|Medium|2021</x:v>
      </x:c>
      <x:c r="D42" s="1" t="str">
        <x:f aca="0">S13_PSP_Species_Support!C29</x:f>
        <x:v>Horti-Silviculture</x:v>
      </x:c>
      <x:c r="E42" s="1" t="str">
        <x:f aca="0">S13_PSP_Species_Support!D29</x:f>
        <x:v>Medium</x:v>
      </x:c>
      <x:c r="F42" s="1" t="n">
        <x:f aca="0">S13_PSP_Species_Support!E29</x:f>
        <x:v>2021</x:v>
      </x:c>
      <x:c r="G42" s="645" t="n">
        <x:f aca="0">'S13_PSP_Species_Support'!DJ29</x:f>
        <x:v>0.09</x:v>
      </x:c>
      <x:c r="H42" s="714" t="n">
        <x:f aca="0">'S13_PSP_Species_Support'!DK29</x:f>
        <x:v>41.81908057340583</x:v>
      </x:c>
      <x:c r="I42" s="147" t="n">
        <x:f aca="0">IFERROR((IFERROR(S13_PSP_Species_Support!U29*0.0673*(S13_PSP_Species_Support!V29*(S13_PSP_Species_Support!W29*(1-EXP(-S13_PSP_Species_Support!X29*0))^S13_PSP_Species_Support!Y29)^2*(S13_PSP_Species_Support!Z29*(1-EXP(-S13_PSP_Species_Support!AA29*0))^S13_PSP_Species_Support!AB29))^0.976,0)+IFERROR(S13_PSP_Species_Support!AF29*0.0673*(S13_PSP_Species_Support!AG29*(S13_PSP_Species_Support!AH29*(1-EXP(-S13_PSP_Species_Support!AI29*0))^S13_PSP_Species_Support!AJ29)^2*(S13_PSP_Species_Support!AK29*(1-EXP(-S13_PSP_Species_Support!AL29*0))^S13_PSP_Species_Support!AM29))^0.976,0)+IFERROR(S13_PSP_Species_Support!AQ29*0.0673*(S13_PSP_Species_Support!AR29*(S13_PSP_Species_Support!AS29*(1-EXP(-S13_PSP_Species_Support!AT29*0))^S13_PSP_Species_Support!AU29)^2*(S13_PSP_Species_Support!AV29*(1-EXP(-S13_PSP_Species_Support!AW29*0))^S13_PSP_Species_Support!AX29))^0.976,0)+IFERROR(S13_PSP_Species_Support!BB29*0.0673*(S13_PSP_Species_Support!BC29*(S13_PSP_Species_Support!BD29*(1-EXP(-S13_PSP_Species_Support!BE29*0))^S13_PSP_Species_Support!BF29)^2*(S13_PSP_Species_Support!BG29*(1-EXP(-S13_PSP_Species_Support!BH29*0))^S13_PSP_Species_Support!BI29))^0.976,0)+IFERROR(S13_PSP_Species_Support!BM29*0.0673*(S13_PSP_Species_Support!BN29*(S13_PSP_Species_Support!BO29*(1-EXP(-S13_PSP_Species_Support!BP29*0))^S13_PSP_Species_Support!BQ29)^2*(S13_PSP_Species_Support!BR29*(1-EXP(-S13_PSP_Species_Support!BS29*0))^S13_PSP_Species_Support!BT29))^0.976,0)+IFERROR(S13_PSP_Species_Support!BX29*0.0673*(S13_PSP_Species_Support!BY29*(S13_PSP_Species_Support!BZ29*(1-EXP(-S13_PSP_Species_Support!CA29*0))^S13_PSP_Species_Support!CB29)^2*(S13_PSP_Species_Support!CC29*(1-EXP(-S13_PSP_Species_Support!CD29*0))^S13_PSP_Species_Support!CE29))^0.976,0)+IFERROR(S13_PSP_Species_Support!CI29*0.0673*(S13_PSP_Species_Support!CJ29*(S13_PSP_Species_Support!CK29*(1-EXP(-S13_PSP_Species_Support!CL29*0))^S13_PSP_Species_Support!CM29)^2*(S13_PSP_Species_Support!CN29*(1-EXP(-S13_PSP_Species_Support!CO29*0))^S13_PSP_Species_Support!CP29))^0.976,0)+IFERROR(S13_PSP_Species_Support!CT29*0.0673*(S13_PSP_Species_Support!CU29*(S13_PSP_Species_Support!CV29*(1-EXP(-S13_PSP_Species_Support!CW29*0))^S13_PSP_Species_Support!CX29)^2*(S13_PSP_Species_Support!CY29*(1-EXP(-S13_PSP_Species_Support!CZ29*0))^S13_PSP_Species_Support!DA29))^0.976,0))/1000/$G42*I$108,0)</x:f>
        <x:v>0</x:v>
      </x:c>
      <x:c r="J42" s="147" t="n">
        <x:f aca="0">IFERROR((IFERROR(S13_PSP_Species_Support!U29*0.0673*(S13_PSP_Species_Support!V29*(S13_PSP_Species_Support!W29*(1-EXP(-S13_PSP_Species_Support!X29*1))^S13_PSP_Species_Support!Y29)^2*(S13_PSP_Species_Support!Z29*(1-EXP(-S13_PSP_Species_Support!AA29*1))^S13_PSP_Species_Support!AB29))^0.976,0)+IFERROR(S13_PSP_Species_Support!AF29*0.0673*(S13_PSP_Species_Support!AG29*(S13_PSP_Species_Support!AH29*(1-EXP(-S13_PSP_Species_Support!AI29*1))^S13_PSP_Species_Support!AJ29)^2*(S13_PSP_Species_Support!AK29*(1-EXP(-S13_PSP_Species_Support!AL29*1))^S13_PSP_Species_Support!AM29))^0.976,0)+IFERROR(S13_PSP_Species_Support!AQ29*0.0673*(S13_PSP_Species_Support!AR29*(S13_PSP_Species_Support!AS29*(1-EXP(-S13_PSP_Species_Support!AT29*1))^S13_PSP_Species_Support!AU29)^2*(S13_PSP_Species_Support!AV29*(1-EXP(-S13_PSP_Species_Support!AW29*1))^S13_PSP_Species_Support!AX29))^0.976,0)+IFERROR(S13_PSP_Species_Support!BB29*0.0673*(S13_PSP_Species_Support!BC29*(S13_PSP_Species_Support!BD29*(1-EXP(-S13_PSP_Species_Support!BE29*1))^S13_PSP_Species_Support!BF29)^2*(S13_PSP_Species_Support!BG29*(1-EXP(-S13_PSP_Species_Support!BH29*1))^S13_PSP_Species_Support!BI29))^0.976,0)+IFERROR(S13_PSP_Species_Support!BM29*0.0673*(S13_PSP_Species_Support!BN29*(S13_PSP_Species_Support!BO29*(1-EXP(-S13_PSP_Species_Support!BP29*1))^S13_PSP_Species_Support!BQ29)^2*(S13_PSP_Species_Support!BR29*(1-EXP(-S13_PSP_Species_Support!BS29*1))^S13_PSP_Species_Support!BT29))^0.976,0)+IFERROR(S13_PSP_Species_Support!BX29*0.0673*(S13_PSP_Species_Support!BY29*(S13_PSP_Species_Support!BZ29*(1-EXP(-S13_PSP_Species_Support!CA29*1))^S13_PSP_Species_Support!CB29)^2*(S13_PSP_Species_Support!CC29*(1-EXP(-S13_PSP_Species_Support!CD29*1))^S13_PSP_Species_Support!CE29))^0.976,0)+IFERROR(S13_PSP_Species_Support!CI29*0.0673*(S13_PSP_Species_Support!CJ29*(S13_PSP_Species_Support!CK29*(1-EXP(-S13_PSP_Species_Support!CL29*1))^S13_PSP_Species_Support!CM29)^2*(S13_PSP_Species_Support!CN29*(1-EXP(-S13_PSP_Species_Support!CO29*1))^S13_PSP_Species_Support!CP29))^0.976,0)+IFERROR(S13_PSP_Species_Support!CT29*0.0673*(S13_PSP_Species_Support!CU29*(S13_PSP_Species_Support!CV29*(1-EXP(-S13_PSP_Species_Support!CW29*1))^S13_PSP_Species_Support!CX29)^2*(S13_PSP_Species_Support!CY29*(1-EXP(-S13_PSP_Species_Support!CZ29*1))^S13_PSP_Species_Support!DA29))^0.976,0))/1000/$G42*J$108,0)</x:f>
        <x:v>0.052370378497500564</x:v>
      </x:c>
      <x:c r="K42" s="147" t="n">
        <x:f aca="0">IFERROR((IFERROR(S13_PSP_Species_Support!U29*0.0673*(S13_PSP_Species_Support!V29*(S13_PSP_Species_Support!W29*(1-EXP(-S13_PSP_Species_Support!X29*2))^S13_PSP_Species_Support!Y29)^2*(S13_PSP_Species_Support!Z29*(1-EXP(-S13_PSP_Species_Support!AA29*2))^S13_PSP_Species_Support!AB29))^0.976,0)+IFERROR(S13_PSP_Species_Support!AF29*0.0673*(S13_PSP_Species_Support!AG29*(S13_PSP_Species_Support!AH29*(1-EXP(-S13_PSP_Species_Support!AI29*2))^S13_PSP_Species_Support!AJ29)^2*(S13_PSP_Species_Support!AK29*(1-EXP(-S13_PSP_Species_Support!AL29*2))^S13_PSP_Species_Support!AM29))^0.976,0)+IFERROR(S13_PSP_Species_Support!AQ29*0.0673*(S13_PSP_Species_Support!AR29*(S13_PSP_Species_Support!AS29*(1-EXP(-S13_PSP_Species_Support!AT29*2))^S13_PSP_Species_Support!AU29)^2*(S13_PSP_Species_Support!AV29*(1-EXP(-S13_PSP_Species_Support!AW29*2))^S13_PSP_Species_Support!AX29))^0.976,0)+IFERROR(S13_PSP_Species_Support!BB29*0.0673*(S13_PSP_Species_Support!BC29*(S13_PSP_Species_Support!BD29*(1-EXP(-S13_PSP_Species_Support!BE29*2))^S13_PSP_Species_Support!BF29)^2*(S13_PSP_Species_Support!BG29*(1-EXP(-S13_PSP_Species_Support!BH29*2))^S13_PSP_Species_Support!BI29))^0.976,0)+IFERROR(S13_PSP_Species_Support!BM29*0.0673*(S13_PSP_Species_Support!BN29*(S13_PSP_Species_Support!BO29*(1-EXP(-S13_PSP_Species_Support!BP29*2))^S13_PSP_Species_Support!BQ29)^2*(S13_PSP_Species_Support!BR29*(1-EXP(-S13_PSP_Species_Support!BS29*2))^S13_PSP_Species_Support!BT29))^0.976,0)+IFERROR(S13_PSP_Species_Support!BX29*0.0673*(S13_PSP_Species_Support!BY29*(S13_PSP_Species_Support!BZ29*(1-EXP(-S13_PSP_Species_Support!CA29*2))^S13_PSP_Species_Support!CB29)^2*(S13_PSP_Species_Support!CC29*(1-EXP(-S13_PSP_Species_Support!CD29*2))^S13_PSP_Species_Support!CE29))^0.976,0)+IFERROR(S13_PSP_Species_Support!CI29*0.0673*(S13_PSP_Species_Support!CJ29*(S13_PSP_Species_Support!CK29*(1-EXP(-S13_PSP_Species_Support!CL29*2))^S13_PSP_Species_Support!CM29)^2*(S13_PSP_Species_Support!CN29*(1-EXP(-S13_PSP_Species_Support!CO29*2))^S13_PSP_Species_Support!CP29))^0.976,0)+IFERROR(S13_PSP_Species_Support!CT29*0.0673*(S13_PSP_Species_Support!CU29*(S13_PSP_Species_Support!CV29*(1-EXP(-S13_PSP_Species_Support!CW29*2))^S13_PSP_Species_Support!CX29)^2*(S13_PSP_Species_Support!CY29*(1-EXP(-S13_PSP_Species_Support!CZ29*2))^S13_PSP_Species_Support!DA29))^0.976,0))/1000/$G42*K$108,0)</x:f>
        <x:v>0.663488460376419</x:v>
      </x:c>
      <x:c r="L42" s="147" t="n">
        <x:f aca="0">IFERROR((IFERROR(S13_PSP_Species_Support!U29*0.0673*(S13_PSP_Species_Support!V29*(S13_PSP_Species_Support!W29*(1-EXP(-S13_PSP_Species_Support!X29*3))^S13_PSP_Species_Support!Y29)^2*(S13_PSP_Species_Support!Z29*(1-EXP(-S13_PSP_Species_Support!AA29*3))^S13_PSP_Species_Support!AB29))^0.976,0)+IFERROR(S13_PSP_Species_Support!AF29*0.0673*(S13_PSP_Species_Support!AG29*(S13_PSP_Species_Support!AH29*(1-EXP(-S13_PSP_Species_Support!AI29*3))^S13_PSP_Species_Support!AJ29)^2*(S13_PSP_Species_Support!AK29*(1-EXP(-S13_PSP_Species_Support!AL29*3))^S13_PSP_Species_Support!AM29))^0.976,0)+IFERROR(S13_PSP_Species_Support!AQ29*0.0673*(S13_PSP_Species_Support!AR29*(S13_PSP_Species_Support!AS29*(1-EXP(-S13_PSP_Species_Support!AT29*3))^S13_PSP_Species_Support!AU29)^2*(S13_PSP_Species_Support!AV29*(1-EXP(-S13_PSP_Species_Support!AW29*3))^S13_PSP_Species_Support!AX29))^0.976,0)+IFERROR(S13_PSP_Species_Support!BB29*0.0673*(S13_PSP_Species_Support!BC29*(S13_PSP_Species_Support!BD29*(1-EXP(-S13_PSP_Species_Support!BE29*3))^S13_PSP_Species_Support!BF29)^2*(S13_PSP_Species_Support!BG29*(1-EXP(-S13_PSP_Species_Support!BH29*3))^S13_PSP_Species_Support!BI29))^0.976,0)+IFERROR(S13_PSP_Species_Support!BM29*0.0673*(S13_PSP_Species_Support!BN29*(S13_PSP_Species_Support!BO29*(1-EXP(-S13_PSP_Species_Support!BP29*3))^S13_PSP_Species_Support!BQ29)^2*(S13_PSP_Species_Support!BR29*(1-EXP(-S13_PSP_Species_Support!BS29*3))^S13_PSP_Species_Support!BT29))^0.976,0)+IFERROR(S13_PSP_Species_Support!BX29*0.0673*(S13_PSP_Species_Support!BY29*(S13_PSP_Species_Support!BZ29*(1-EXP(-S13_PSP_Species_Support!CA29*3))^S13_PSP_Species_Support!CB29)^2*(S13_PSP_Species_Support!CC29*(1-EXP(-S13_PSP_Species_Support!CD29*3))^S13_PSP_Species_Support!CE29))^0.976,0)+IFERROR(S13_PSP_Species_Support!CI29*0.0673*(S13_PSP_Species_Support!CJ29*(S13_PSP_Species_Support!CK29*(1-EXP(-S13_PSP_Species_Support!CL29*3))^S13_PSP_Species_Support!CM29)^2*(S13_PSP_Species_Support!CN29*(1-EXP(-S13_PSP_Species_Support!CO29*3))^S13_PSP_Species_Support!CP29))^0.976,0)+IFERROR(S13_PSP_Species_Support!CT29*0.0673*(S13_PSP_Species_Support!CU29*(S13_PSP_Species_Support!CV29*(1-EXP(-S13_PSP_Species_Support!CW29*3))^S13_PSP_Species_Support!CX29)^2*(S13_PSP_Species_Support!CY29*(1-EXP(-S13_PSP_Species_Support!CZ29*3))^S13_PSP_Species_Support!DA29))^0.976,0))/1000/$G42*L$108,0)</x:f>
        <x:v>2.5261318616288007</x:v>
      </x:c>
      <x:c r="M42" s="147" t="n">
        <x:f aca="0">IFERROR((IFERROR(S13_PSP_Species_Support!U29*0.0673*(S13_PSP_Species_Support!V29*(S13_PSP_Species_Support!W29*(1-EXP(-S13_PSP_Species_Support!X29*4))^S13_PSP_Species_Support!Y29)^2*(S13_PSP_Species_Support!Z29*(1-EXP(-S13_PSP_Species_Support!AA29*4))^S13_PSP_Species_Support!AB29))^0.976,0)+IFERROR(S13_PSP_Species_Support!AF29*0.0673*(S13_PSP_Species_Support!AG29*(S13_PSP_Species_Support!AH29*(1-EXP(-S13_PSP_Species_Support!AI29*4))^S13_PSP_Species_Support!AJ29)^2*(S13_PSP_Species_Support!AK29*(1-EXP(-S13_PSP_Species_Support!AL29*4))^S13_PSP_Species_Support!AM29))^0.976,0)+IFERROR(S13_PSP_Species_Support!AQ29*0.0673*(S13_PSP_Species_Support!AR29*(S13_PSP_Species_Support!AS29*(1-EXP(-S13_PSP_Species_Support!AT29*4))^S13_PSP_Species_Support!AU29)^2*(S13_PSP_Species_Support!AV29*(1-EXP(-S13_PSP_Species_Support!AW29*4))^S13_PSP_Species_Support!AX29))^0.976,0)+IFERROR(S13_PSP_Species_Support!BB29*0.0673*(S13_PSP_Species_Support!BC29*(S13_PSP_Species_Support!BD29*(1-EXP(-S13_PSP_Species_Support!BE29*4))^S13_PSP_Species_Support!BF29)^2*(S13_PSP_Species_Support!BG29*(1-EXP(-S13_PSP_Species_Support!BH29*4))^S13_PSP_Species_Support!BI29))^0.976,0)+IFERROR(S13_PSP_Species_Support!BM29*0.0673*(S13_PSP_Species_Support!BN29*(S13_PSP_Species_Support!BO29*(1-EXP(-S13_PSP_Species_Support!BP29*4))^S13_PSP_Species_Support!BQ29)^2*(S13_PSP_Species_Support!BR29*(1-EXP(-S13_PSP_Species_Support!BS29*4))^S13_PSP_Species_Support!BT29))^0.976,0)+IFERROR(S13_PSP_Species_Support!BX29*0.0673*(S13_PSP_Species_Support!BY29*(S13_PSP_Species_Support!BZ29*(1-EXP(-S13_PSP_Species_Support!CA29*4))^S13_PSP_Species_Support!CB29)^2*(S13_PSP_Species_Support!CC29*(1-EXP(-S13_PSP_Species_Support!CD29*4))^S13_PSP_Species_Support!CE29))^0.976,0)+IFERROR(S13_PSP_Species_Support!CI29*0.0673*(S13_PSP_Species_Support!CJ29*(S13_PSP_Species_Support!CK29*(1-EXP(-S13_PSP_Species_Support!CL29*4))^S13_PSP_Species_Support!CM29)^2*(S13_PSP_Species_Support!CN29*(1-EXP(-S13_PSP_Species_Support!CO29*4))^S13_PSP_Species_Support!CP29))^0.976,0)+IFERROR(S13_PSP_Species_Support!CT29*0.0673*(S13_PSP_Species_Support!CU29*(S13_PSP_Species_Support!CV29*(1-EXP(-S13_PSP_Species_Support!CW29*4))^S13_PSP_Species_Support!CX29)^2*(S13_PSP_Species_Support!CY29*(1-EXP(-S13_PSP_Species_Support!CZ29*4))^S13_PSP_Species_Support!DA29))^0.976,0))/1000/$G42*M$108,0)</x:f>
        <x:v>5.962818403838482</x:v>
      </x:c>
      <x:c r="N42" s="147" t="n">
        <x:f aca="0">IFERROR((IFERROR(S13_PSP_Species_Support!U29*0.0673*(S13_PSP_Species_Support!V29*(S13_PSP_Species_Support!W29*(1-EXP(-S13_PSP_Species_Support!X29*5))^S13_PSP_Species_Support!Y29)^2*(S13_PSP_Species_Support!Z29*(1-EXP(-S13_PSP_Species_Support!AA29*5))^S13_PSP_Species_Support!AB29))^0.976,0)+IFERROR(S13_PSP_Species_Support!AF29*0.0673*(S13_PSP_Species_Support!AG29*(S13_PSP_Species_Support!AH29*(1-EXP(-S13_PSP_Species_Support!AI29*5))^S13_PSP_Species_Support!AJ29)^2*(S13_PSP_Species_Support!AK29*(1-EXP(-S13_PSP_Species_Support!AL29*5))^S13_PSP_Species_Support!AM29))^0.976,0)+IFERROR(S13_PSP_Species_Support!AQ29*0.0673*(S13_PSP_Species_Support!AR29*(S13_PSP_Species_Support!AS29*(1-EXP(-S13_PSP_Species_Support!AT29*5))^S13_PSP_Species_Support!AU29)^2*(S13_PSP_Species_Support!AV29*(1-EXP(-S13_PSP_Species_Support!AW29*5))^S13_PSP_Species_Support!AX29))^0.976,0)+IFERROR(S13_PSP_Species_Support!BB29*0.0673*(S13_PSP_Species_Support!BC29*(S13_PSP_Species_Support!BD29*(1-EXP(-S13_PSP_Species_Support!BE29*5))^S13_PSP_Species_Support!BF29)^2*(S13_PSP_Species_Support!BG29*(1-EXP(-S13_PSP_Species_Support!BH29*5))^S13_PSP_Species_Support!BI29))^0.976,0)+IFERROR(S13_PSP_Species_Support!BM29*0.0673*(S13_PSP_Species_Support!BN29*(S13_PSP_Species_Support!BO29*(1-EXP(-S13_PSP_Species_Support!BP29*5))^S13_PSP_Species_Support!BQ29)^2*(S13_PSP_Species_Support!BR29*(1-EXP(-S13_PSP_Species_Support!BS29*5))^S13_PSP_Species_Support!BT29))^0.976,0)+IFERROR(S13_PSP_Species_Support!BX29*0.0673*(S13_PSP_Species_Support!BY29*(S13_PSP_Species_Support!BZ29*(1-EXP(-S13_PSP_Species_Support!CA29*5))^S13_PSP_Species_Support!CB29)^2*(S13_PSP_Species_Support!CC29*(1-EXP(-S13_PSP_Species_Support!CD29*5))^S13_PSP_Species_Support!CE29))^0.976,0)+IFERROR(S13_PSP_Species_Support!CI29*0.0673*(S13_PSP_Species_Support!CJ29*(S13_PSP_Species_Support!CK29*(1-EXP(-S13_PSP_Species_Support!CL29*5))^S13_PSP_Species_Support!CM29)^2*(S13_PSP_Species_Support!CN29*(1-EXP(-S13_PSP_Species_Support!CO29*5))^S13_PSP_Species_Support!CP29))^0.976,0)+IFERROR(S13_PSP_Species_Support!CT29*0.0673*(S13_PSP_Species_Support!CU29*(S13_PSP_Species_Support!CV29*(1-EXP(-S13_PSP_Species_Support!CW29*5))^S13_PSP_Species_Support!CX29)^2*(S13_PSP_Species_Support!CY29*(1-EXP(-S13_PSP_Species_Support!CZ29*5))^S13_PSP_Species_Support!DA29))^0.976,0))/1000/$G42*N$108,0)</x:f>
        <x:v>10.839945055518589</x:v>
      </x:c>
      <x:c r="O42" s="147" t="n">
        <x:f aca="0">IFERROR((IFERROR(S13_PSP_Species_Support!U29*0.0673*(S13_PSP_Species_Support!V29*(S13_PSP_Species_Support!W29*(1-EXP(-S13_PSP_Species_Support!X29*6))^S13_PSP_Species_Support!Y29)^2*(S13_PSP_Species_Support!Z29*(1-EXP(-S13_PSP_Species_Support!AA29*6))^S13_PSP_Species_Support!AB29))^0.976,0)+IFERROR(S13_PSP_Species_Support!AF29*0.0673*(S13_PSP_Species_Support!AG29*(S13_PSP_Species_Support!AH29*(1-EXP(-S13_PSP_Species_Support!AI29*6))^S13_PSP_Species_Support!AJ29)^2*(S13_PSP_Species_Support!AK29*(1-EXP(-S13_PSP_Species_Support!AL29*6))^S13_PSP_Species_Support!AM29))^0.976,0)+IFERROR(S13_PSP_Species_Support!AQ29*0.0673*(S13_PSP_Species_Support!AR29*(S13_PSP_Species_Support!AS29*(1-EXP(-S13_PSP_Species_Support!AT29*6))^S13_PSP_Species_Support!AU29)^2*(S13_PSP_Species_Support!AV29*(1-EXP(-S13_PSP_Species_Support!AW29*6))^S13_PSP_Species_Support!AX29))^0.976,0)+IFERROR(S13_PSP_Species_Support!BB29*0.0673*(S13_PSP_Species_Support!BC29*(S13_PSP_Species_Support!BD29*(1-EXP(-S13_PSP_Species_Support!BE29*6))^S13_PSP_Species_Support!BF29)^2*(S13_PSP_Species_Support!BG29*(1-EXP(-S13_PSP_Species_Support!BH29*6))^S13_PSP_Species_Support!BI29))^0.976,0)+IFERROR(S13_PSP_Species_Support!BM29*0.0673*(S13_PSP_Species_Support!BN29*(S13_PSP_Species_Support!BO29*(1-EXP(-S13_PSP_Species_Support!BP29*6))^S13_PSP_Species_Support!BQ29)^2*(S13_PSP_Species_Support!BR29*(1-EXP(-S13_PSP_Species_Support!BS29*6))^S13_PSP_Species_Support!BT29))^0.976,0)+IFERROR(S13_PSP_Species_Support!BX29*0.0673*(S13_PSP_Species_Support!BY29*(S13_PSP_Species_Support!BZ29*(1-EXP(-S13_PSP_Species_Support!CA29*6))^S13_PSP_Species_Support!CB29)^2*(S13_PSP_Species_Support!CC29*(1-EXP(-S13_PSP_Species_Support!CD29*6))^S13_PSP_Species_Support!CE29))^0.976,0)+IFERROR(S13_PSP_Species_Support!CI29*0.0673*(S13_PSP_Species_Support!CJ29*(S13_PSP_Species_Support!CK29*(1-EXP(-S13_PSP_Species_Support!CL29*6))^S13_PSP_Species_Support!CM29)^2*(S13_PSP_Species_Support!CN29*(1-EXP(-S13_PSP_Species_Support!CO29*6))^S13_PSP_Species_Support!CP29))^0.976,0)+IFERROR(S13_PSP_Species_Support!CT29*0.0673*(S13_PSP_Species_Support!CU29*(S13_PSP_Species_Support!CV29*(1-EXP(-S13_PSP_Species_Support!CW29*6))^S13_PSP_Species_Support!CX29)^2*(S13_PSP_Species_Support!CY29*(1-EXP(-S13_PSP_Species_Support!CZ29*6))^S13_PSP_Species_Support!DA29))^0.976,0))/1000/$G42*O$108,0)</x:f>
        <x:v>16.788547374877567</x:v>
      </x:c>
      <x:c r="P42" s="147" t="n">
        <x:f aca="0">IFERROR((IFERROR(S13_PSP_Species_Support!U29*0.0673*(S13_PSP_Species_Support!V29*(S13_PSP_Species_Support!W29*(1-EXP(-S13_PSP_Species_Support!X29*7))^S13_PSP_Species_Support!Y29)^2*(S13_PSP_Species_Support!Z29*(1-EXP(-S13_PSP_Species_Support!AA29*7))^S13_PSP_Species_Support!AB29))^0.976,0)+IFERROR(S13_PSP_Species_Support!AF29*0.0673*(S13_PSP_Species_Support!AG29*(S13_PSP_Species_Support!AH29*(1-EXP(-S13_PSP_Species_Support!AI29*7))^S13_PSP_Species_Support!AJ29)^2*(S13_PSP_Species_Support!AK29*(1-EXP(-S13_PSP_Species_Support!AL29*7))^S13_PSP_Species_Support!AM29))^0.976,0)+IFERROR(S13_PSP_Species_Support!AQ29*0.0673*(S13_PSP_Species_Support!AR29*(S13_PSP_Species_Support!AS29*(1-EXP(-S13_PSP_Species_Support!AT29*7))^S13_PSP_Species_Support!AU29)^2*(S13_PSP_Species_Support!AV29*(1-EXP(-S13_PSP_Species_Support!AW29*7))^S13_PSP_Species_Support!AX29))^0.976,0)+IFERROR(S13_PSP_Species_Support!BB29*0.0673*(S13_PSP_Species_Support!BC29*(S13_PSP_Species_Support!BD29*(1-EXP(-S13_PSP_Species_Support!BE29*7))^S13_PSP_Species_Support!BF29)^2*(S13_PSP_Species_Support!BG29*(1-EXP(-S13_PSP_Species_Support!BH29*7))^S13_PSP_Species_Support!BI29))^0.976,0)+IFERROR(S13_PSP_Species_Support!BM29*0.0673*(S13_PSP_Species_Support!BN29*(S13_PSP_Species_Support!BO29*(1-EXP(-S13_PSP_Species_Support!BP29*7))^S13_PSP_Species_Support!BQ29)^2*(S13_PSP_Species_Support!BR29*(1-EXP(-S13_PSP_Species_Support!BS29*7))^S13_PSP_Species_Support!BT29))^0.976,0)+IFERROR(S13_PSP_Species_Support!BX29*0.0673*(S13_PSP_Species_Support!BY29*(S13_PSP_Species_Support!BZ29*(1-EXP(-S13_PSP_Species_Support!CA29*7))^S13_PSP_Species_Support!CB29)^2*(S13_PSP_Species_Support!CC29*(1-EXP(-S13_PSP_Species_Support!CD29*7))^S13_PSP_Species_Support!CE29))^0.976,0)+IFERROR(S13_PSP_Species_Support!CI29*0.0673*(S13_PSP_Species_Support!CJ29*(S13_PSP_Species_Support!CK29*(1-EXP(-S13_PSP_Species_Support!CL29*7))^S13_PSP_Species_Support!CM29)^2*(S13_PSP_Species_Support!CN29*(1-EXP(-S13_PSP_Species_Support!CO29*7))^S13_PSP_Species_Support!CP29))^0.976,0)+IFERROR(S13_PSP_Species_Support!CT29*0.0673*(S13_PSP_Species_Support!CU29*(S13_PSP_Species_Support!CV29*(1-EXP(-S13_PSP_Species_Support!CW29*7))^S13_PSP_Species_Support!CX29)^2*(S13_PSP_Species_Support!CY29*(1-EXP(-S13_PSP_Species_Support!CZ29*7))^S13_PSP_Species_Support!DA29))^0.976,0))/1000/$G42*P$108,0)</x:f>
        <x:v>23.372253690600246</x:v>
      </x:c>
      <x:c r="Q42" s="147" t="n">
        <x:f aca="0">IFERROR((IFERROR(S13_PSP_Species_Support!U29*0.0673*(S13_PSP_Species_Support!V29*(S13_PSP_Species_Support!W29*(1-EXP(-S13_PSP_Species_Support!X29*8))^S13_PSP_Species_Support!Y29)^2*(S13_PSP_Species_Support!Z29*(1-EXP(-S13_PSP_Species_Support!AA29*8))^S13_PSP_Species_Support!AB29))^0.976,0)+IFERROR(S13_PSP_Species_Support!AF29*0.0673*(S13_PSP_Species_Support!AG29*(S13_PSP_Species_Support!AH29*(1-EXP(-S13_PSP_Species_Support!AI29*8))^S13_PSP_Species_Support!AJ29)^2*(S13_PSP_Species_Support!AK29*(1-EXP(-S13_PSP_Species_Support!AL29*8))^S13_PSP_Species_Support!AM29))^0.976,0)+IFERROR(S13_PSP_Species_Support!AQ29*0.0673*(S13_PSP_Species_Support!AR29*(S13_PSP_Species_Support!AS29*(1-EXP(-S13_PSP_Species_Support!AT29*8))^S13_PSP_Species_Support!AU29)^2*(S13_PSP_Species_Support!AV29*(1-EXP(-S13_PSP_Species_Support!AW29*8))^S13_PSP_Species_Support!AX29))^0.976,0)+IFERROR(S13_PSP_Species_Support!BB29*0.0673*(S13_PSP_Species_Support!BC29*(S13_PSP_Species_Support!BD29*(1-EXP(-S13_PSP_Species_Support!BE29*8))^S13_PSP_Species_Support!BF29)^2*(S13_PSP_Species_Support!BG29*(1-EXP(-S13_PSP_Species_Support!BH29*8))^S13_PSP_Species_Support!BI29))^0.976,0)+IFERROR(S13_PSP_Species_Support!BM29*0.0673*(S13_PSP_Species_Support!BN29*(S13_PSP_Species_Support!BO29*(1-EXP(-S13_PSP_Species_Support!BP29*8))^S13_PSP_Species_Support!BQ29)^2*(S13_PSP_Species_Support!BR29*(1-EXP(-S13_PSP_Species_Support!BS29*8))^S13_PSP_Species_Support!BT29))^0.976,0)+IFERROR(S13_PSP_Species_Support!BX29*0.0673*(S13_PSP_Species_Support!BY29*(S13_PSP_Species_Support!BZ29*(1-EXP(-S13_PSP_Species_Support!CA29*8))^S13_PSP_Species_Support!CB29)^2*(S13_PSP_Species_Support!CC29*(1-EXP(-S13_PSP_Species_Support!CD29*8))^S13_PSP_Species_Support!CE29))^0.976,0)+IFERROR(S13_PSP_Species_Support!CI29*0.0673*(S13_PSP_Species_Support!CJ29*(S13_PSP_Species_Support!CK29*(1-EXP(-S13_PSP_Species_Support!CL29*8))^S13_PSP_Species_Support!CM29)^2*(S13_PSP_Species_Support!CN29*(1-EXP(-S13_PSP_Species_Support!CO29*8))^S13_PSP_Species_Support!CP29))^0.976,0)+IFERROR(S13_PSP_Species_Support!CT29*0.0673*(S13_PSP_Species_Support!CU29*(S13_PSP_Species_Support!CV29*(1-EXP(-S13_PSP_Species_Support!CW29*8))^S13_PSP_Species_Support!CX29)^2*(S13_PSP_Species_Support!CY29*(1-EXP(-S13_PSP_Species_Support!CZ29*8))^S13_PSP_Species_Support!DA29))^0.976,0))/1000/$G42*Q$108,0)</x:f>
        <x:v>30.192723511511367</x:v>
      </x:c>
      <x:c r="R42" s="147" t="n">
        <x:f aca="0">IFERROR((IFERROR(S13_PSP_Species_Support!U29*0.0673*(S13_PSP_Species_Support!V29*(S13_PSP_Species_Support!W29*(1-EXP(-S13_PSP_Species_Support!X29*9))^S13_PSP_Species_Support!Y29)^2*(S13_PSP_Species_Support!Z29*(1-EXP(-S13_PSP_Species_Support!AA29*9))^S13_PSP_Species_Support!AB29))^0.976,0)+IFERROR(S13_PSP_Species_Support!AF29*0.0673*(S13_PSP_Species_Support!AG29*(S13_PSP_Species_Support!AH29*(1-EXP(-S13_PSP_Species_Support!AI29*9))^S13_PSP_Species_Support!AJ29)^2*(S13_PSP_Species_Support!AK29*(1-EXP(-S13_PSP_Species_Support!AL29*9))^S13_PSP_Species_Support!AM29))^0.976,0)+IFERROR(S13_PSP_Species_Support!AQ29*0.0673*(S13_PSP_Species_Support!AR29*(S13_PSP_Species_Support!AS29*(1-EXP(-S13_PSP_Species_Support!AT29*9))^S13_PSP_Species_Support!AU29)^2*(S13_PSP_Species_Support!AV29*(1-EXP(-S13_PSP_Species_Support!AW29*9))^S13_PSP_Species_Support!AX29))^0.976,0)+IFERROR(S13_PSP_Species_Support!BB29*0.0673*(S13_PSP_Species_Support!BC29*(S13_PSP_Species_Support!BD29*(1-EXP(-S13_PSP_Species_Support!BE29*9))^S13_PSP_Species_Support!BF29)^2*(S13_PSP_Species_Support!BG29*(1-EXP(-S13_PSP_Species_Support!BH29*9))^S13_PSP_Species_Support!BI29))^0.976,0)+IFERROR(S13_PSP_Species_Support!BM29*0.0673*(S13_PSP_Species_Support!BN29*(S13_PSP_Species_Support!BO29*(1-EXP(-S13_PSP_Species_Support!BP29*9))^S13_PSP_Species_Support!BQ29)^2*(S13_PSP_Species_Support!BR29*(1-EXP(-S13_PSP_Species_Support!BS29*9))^S13_PSP_Species_Support!BT29))^0.976,0)+IFERROR(S13_PSP_Species_Support!BX29*0.0673*(S13_PSP_Species_Support!BY29*(S13_PSP_Species_Support!BZ29*(1-EXP(-S13_PSP_Species_Support!CA29*9))^S13_PSP_Species_Support!CB29)^2*(S13_PSP_Species_Support!CC29*(1-EXP(-S13_PSP_Species_Support!CD29*9))^S13_PSP_Species_Support!CE29))^0.976,0)+IFERROR(S13_PSP_Species_Support!CI29*0.0673*(S13_PSP_Species_Support!CJ29*(S13_PSP_Species_Support!CK29*(1-EXP(-S13_PSP_Species_Support!CL29*9))^S13_PSP_Species_Support!CM29)^2*(S13_PSP_Species_Support!CN29*(1-EXP(-S13_PSP_Species_Support!CO29*9))^S13_PSP_Species_Support!CP29))^0.976,0)+IFERROR(S13_PSP_Species_Support!CT29*0.0673*(S13_PSP_Species_Support!CU29*(S13_PSP_Species_Support!CV29*(1-EXP(-S13_PSP_Species_Support!CW29*9))^S13_PSP_Species_Support!CX29)^2*(S13_PSP_Species_Support!CY29*(1-EXP(-S13_PSP_Species_Support!CZ29*9))^S13_PSP_Species_Support!DA29))^0.976,0))/1000/$G42*R$108,0)</x:f>
        <x:v>36.93538935771871</x:v>
      </x:c>
      <x:c r="S42" s="147" t="n">
        <x:f aca="0">IFERROR((IFERROR(S13_PSP_Species_Support!U29*0.0673*(S13_PSP_Species_Support!V29*(S13_PSP_Species_Support!W29*(1-EXP(-S13_PSP_Species_Support!X29*10))^S13_PSP_Species_Support!Y29)^2*(S13_PSP_Species_Support!Z29*(1-EXP(-S13_PSP_Species_Support!AA29*10))^S13_PSP_Species_Support!AB29))^0.976,0)+IFERROR(S13_PSP_Species_Support!AF29*0.0673*(S13_PSP_Species_Support!AG29*(S13_PSP_Species_Support!AH29*(1-EXP(-S13_PSP_Species_Support!AI29*10))^S13_PSP_Species_Support!AJ29)^2*(S13_PSP_Species_Support!AK29*(1-EXP(-S13_PSP_Species_Support!AL29*10))^S13_PSP_Species_Support!AM29))^0.976,0)+IFERROR(S13_PSP_Species_Support!AQ29*0.0673*(S13_PSP_Species_Support!AR29*(S13_PSP_Species_Support!AS29*(1-EXP(-S13_PSP_Species_Support!AT29*10))^S13_PSP_Species_Support!AU29)^2*(S13_PSP_Species_Support!AV29*(1-EXP(-S13_PSP_Species_Support!AW29*10))^S13_PSP_Species_Support!AX29))^0.976,0)+IFERROR(S13_PSP_Species_Support!BB29*0.0673*(S13_PSP_Species_Support!BC29*(S13_PSP_Species_Support!BD29*(1-EXP(-S13_PSP_Species_Support!BE29*10))^S13_PSP_Species_Support!BF29)^2*(S13_PSP_Species_Support!BG29*(1-EXP(-S13_PSP_Species_Support!BH29*10))^S13_PSP_Species_Support!BI29))^0.976,0)+IFERROR(S13_PSP_Species_Support!BM29*0.0673*(S13_PSP_Species_Support!BN29*(S13_PSP_Species_Support!BO29*(1-EXP(-S13_PSP_Species_Support!BP29*10))^S13_PSP_Species_Support!BQ29)^2*(S13_PSP_Species_Support!BR29*(1-EXP(-S13_PSP_Species_Support!BS29*10))^S13_PSP_Species_Support!BT29))^0.976,0)+IFERROR(S13_PSP_Species_Support!BX29*0.0673*(S13_PSP_Species_Support!BY29*(S13_PSP_Species_Support!BZ29*(1-EXP(-S13_PSP_Species_Support!CA29*10))^S13_PSP_Species_Support!CB29)^2*(S13_PSP_Species_Support!CC29*(1-EXP(-S13_PSP_Species_Support!CD29*10))^S13_PSP_Species_Support!CE29))^0.976,0)+IFERROR(S13_PSP_Species_Support!CI29*0.0673*(S13_PSP_Species_Support!CJ29*(S13_PSP_Species_Support!CK29*(1-EXP(-S13_PSP_Species_Support!CL29*10))^S13_PSP_Species_Support!CM29)^2*(S13_PSP_Species_Support!CN29*(1-EXP(-S13_PSP_Species_Support!CO29*10))^S13_PSP_Species_Support!CP29))^0.976,0)+IFERROR(S13_PSP_Species_Support!CT29*0.0673*(S13_PSP_Species_Support!CU29*(S13_PSP_Species_Support!CV29*(1-EXP(-S13_PSP_Species_Support!CW29*10))^S13_PSP_Species_Support!CX29)^2*(S13_PSP_Species_Support!CY29*(1-EXP(-S13_PSP_Species_Support!CZ29*10))^S13_PSP_Species_Support!DA29))^0.976,0))/1000/$G42*S$108,0)</x:f>
        <x:v>43.377919288755606</x:v>
      </x:c>
      <x:c r="T42" s="147" t="n">
        <x:f aca="0">IFERROR((IFERROR(S13_PSP_Species_Support!U29*0.0673*(S13_PSP_Species_Support!V29*(S13_PSP_Species_Support!W29*(1-EXP(-S13_PSP_Species_Support!X29*11))^S13_PSP_Species_Support!Y29)^2*(S13_PSP_Species_Support!Z29*(1-EXP(-S13_PSP_Species_Support!AA29*11))^S13_PSP_Species_Support!AB29))^0.976,0)+IFERROR(S13_PSP_Species_Support!AF29*0.0673*(S13_PSP_Species_Support!AG29*(S13_PSP_Species_Support!AH29*(1-EXP(-S13_PSP_Species_Support!AI29*11))^S13_PSP_Species_Support!AJ29)^2*(S13_PSP_Species_Support!AK29*(1-EXP(-S13_PSP_Species_Support!AL29*11))^S13_PSP_Species_Support!AM29))^0.976,0)+IFERROR(S13_PSP_Species_Support!AQ29*0.0673*(S13_PSP_Species_Support!AR29*(S13_PSP_Species_Support!AS29*(1-EXP(-S13_PSP_Species_Support!AT29*11))^S13_PSP_Species_Support!AU29)^2*(S13_PSP_Species_Support!AV29*(1-EXP(-S13_PSP_Species_Support!AW29*11))^S13_PSP_Species_Support!AX29))^0.976,0)+IFERROR(S13_PSP_Species_Support!BB29*0.0673*(S13_PSP_Species_Support!BC29*(S13_PSP_Species_Support!BD29*(1-EXP(-S13_PSP_Species_Support!BE29*11))^S13_PSP_Species_Support!BF29)^2*(S13_PSP_Species_Support!BG29*(1-EXP(-S13_PSP_Species_Support!BH29*11))^S13_PSP_Species_Support!BI29))^0.976,0)+IFERROR(S13_PSP_Species_Support!BM29*0.0673*(S13_PSP_Species_Support!BN29*(S13_PSP_Species_Support!BO29*(1-EXP(-S13_PSP_Species_Support!BP29*11))^S13_PSP_Species_Support!BQ29)^2*(S13_PSP_Species_Support!BR29*(1-EXP(-S13_PSP_Species_Support!BS29*11))^S13_PSP_Species_Support!BT29))^0.976,0)+IFERROR(S13_PSP_Species_Support!BX29*0.0673*(S13_PSP_Species_Support!BY29*(S13_PSP_Species_Support!BZ29*(1-EXP(-S13_PSP_Species_Support!CA29*11))^S13_PSP_Species_Support!CB29)^2*(S13_PSP_Species_Support!CC29*(1-EXP(-S13_PSP_Species_Support!CD29*11))^S13_PSP_Species_Support!CE29))^0.976,0)+IFERROR(S13_PSP_Species_Support!CI29*0.0673*(S13_PSP_Species_Support!CJ29*(S13_PSP_Species_Support!CK29*(1-EXP(-S13_PSP_Species_Support!CL29*11))^S13_PSP_Species_Support!CM29)^2*(S13_PSP_Species_Support!CN29*(1-EXP(-S13_PSP_Species_Support!CO29*11))^S13_PSP_Species_Support!CP29))^0.976,0)+IFERROR(S13_PSP_Species_Support!CT29*0.0673*(S13_PSP_Species_Support!CU29*(S13_PSP_Species_Support!CV29*(1-EXP(-S13_PSP_Species_Support!CW29*11))^S13_PSP_Species_Support!CX29)^2*(S13_PSP_Species_Support!CY29*(1-EXP(-S13_PSP_Species_Support!CZ29*11))^S13_PSP_Species_Support!DA29))^0.976,0))/1000/$G42*T$108,0)</x:f>
        <x:v>49.38002615832408</x:v>
      </x:c>
      <x:c r="U42" s="147" t="n">
        <x:f aca="0">IFERROR((IFERROR(S13_PSP_Species_Support!U29*0.0673*(S13_PSP_Species_Support!V29*(S13_PSP_Species_Support!W29*(1-EXP(-S13_PSP_Species_Support!X29*12))^S13_PSP_Species_Support!Y29)^2*(S13_PSP_Species_Support!Z29*(1-EXP(-S13_PSP_Species_Support!AA29*12))^S13_PSP_Species_Support!AB29))^0.976,0)+IFERROR(S13_PSP_Species_Support!AF29*0.0673*(S13_PSP_Species_Support!AG29*(S13_PSP_Species_Support!AH29*(1-EXP(-S13_PSP_Species_Support!AI29*12))^S13_PSP_Species_Support!AJ29)^2*(S13_PSP_Species_Support!AK29*(1-EXP(-S13_PSP_Species_Support!AL29*12))^S13_PSP_Species_Support!AM29))^0.976,0)+IFERROR(S13_PSP_Species_Support!AQ29*0.0673*(S13_PSP_Species_Support!AR29*(S13_PSP_Species_Support!AS29*(1-EXP(-S13_PSP_Species_Support!AT29*12))^S13_PSP_Species_Support!AU29)^2*(S13_PSP_Species_Support!AV29*(1-EXP(-S13_PSP_Species_Support!AW29*12))^S13_PSP_Species_Support!AX29))^0.976,0)+IFERROR(S13_PSP_Species_Support!BB29*0.0673*(S13_PSP_Species_Support!BC29*(S13_PSP_Species_Support!BD29*(1-EXP(-S13_PSP_Species_Support!BE29*12))^S13_PSP_Species_Support!BF29)^2*(S13_PSP_Species_Support!BG29*(1-EXP(-S13_PSP_Species_Support!BH29*12))^S13_PSP_Species_Support!BI29))^0.976,0)+IFERROR(S13_PSP_Species_Support!BM29*0.0673*(S13_PSP_Species_Support!BN29*(S13_PSP_Species_Support!BO29*(1-EXP(-S13_PSP_Species_Support!BP29*12))^S13_PSP_Species_Support!BQ29)^2*(S13_PSP_Species_Support!BR29*(1-EXP(-S13_PSP_Species_Support!BS29*12))^S13_PSP_Species_Support!BT29))^0.976,0)+IFERROR(S13_PSP_Species_Support!BX29*0.0673*(S13_PSP_Species_Support!BY29*(S13_PSP_Species_Support!BZ29*(1-EXP(-S13_PSP_Species_Support!CA29*12))^S13_PSP_Species_Support!CB29)^2*(S13_PSP_Species_Support!CC29*(1-EXP(-S13_PSP_Species_Support!CD29*12))^S13_PSP_Species_Support!CE29))^0.976,0)+IFERROR(S13_PSP_Species_Support!CI29*0.0673*(S13_PSP_Species_Support!CJ29*(S13_PSP_Species_Support!CK29*(1-EXP(-S13_PSP_Species_Support!CL29*12))^S13_PSP_Species_Support!CM29)^2*(S13_PSP_Species_Support!CN29*(1-EXP(-S13_PSP_Species_Support!CO29*12))^S13_PSP_Species_Support!CP29))^0.976,0)+IFERROR(S13_PSP_Species_Support!CT29*0.0673*(S13_PSP_Species_Support!CU29*(S13_PSP_Species_Support!CV29*(1-EXP(-S13_PSP_Species_Support!CW29*12))^S13_PSP_Species_Support!CX29)^2*(S13_PSP_Species_Support!CY29*(1-EXP(-S13_PSP_Species_Support!CZ29*12))^S13_PSP_Species_Support!DA29))^0.976,0))/1000/$G42*U$108,0)</x:f>
        <x:v>54.86647038974718</x:v>
      </x:c>
      <x:c r="V42" s="147" t="n">
        <x:f aca="0">IFERROR((IFERROR(S13_PSP_Species_Support!U29*0.0673*(S13_PSP_Species_Support!V29*(S13_PSP_Species_Support!W29*(1-EXP(-S13_PSP_Species_Support!X29*13))^S13_PSP_Species_Support!Y29)^2*(S13_PSP_Species_Support!Z29*(1-EXP(-S13_PSP_Species_Support!AA29*13))^S13_PSP_Species_Support!AB29))^0.976,0)+IFERROR(S13_PSP_Species_Support!AF29*0.0673*(S13_PSP_Species_Support!AG29*(S13_PSP_Species_Support!AH29*(1-EXP(-S13_PSP_Species_Support!AI29*13))^S13_PSP_Species_Support!AJ29)^2*(S13_PSP_Species_Support!AK29*(1-EXP(-S13_PSP_Species_Support!AL29*13))^S13_PSP_Species_Support!AM29))^0.976,0)+IFERROR(S13_PSP_Species_Support!AQ29*0.0673*(S13_PSP_Species_Support!AR29*(S13_PSP_Species_Support!AS29*(1-EXP(-S13_PSP_Species_Support!AT29*13))^S13_PSP_Species_Support!AU29)^2*(S13_PSP_Species_Support!AV29*(1-EXP(-S13_PSP_Species_Support!AW29*13))^S13_PSP_Species_Support!AX29))^0.976,0)+IFERROR(S13_PSP_Species_Support!BB29*0.0673*(S13_PSP_Species_Support!BC29*(S13_PSP_Species_Support!BD29*(1-EXP(-S13_PSP_Species_Support!BE29*13))^S13_PSP_Species_Support!BF29)^2*(S13_PSP_Species_Support!BG29*(1-EXP(-S13_PSP_Species_Support!BH29*13))^S13_PSP_Species_Support!BI29))^0.976,0)+IFERROR(S13_PSP_Species_Support!BM29*0.0673*(S13_PSP_Species_Support!BN29*(S13_PSP_Species_Support!BO29*(1-EXP(-S13_PSP_Species_Support!BP29*13))^S13_PSP_Species_Support!BQ29)^2*(S13_PSP_Species_Support!BR29*(1-EXP(-S13_PSP_Species_Support!BS29*13))^S13_PSP_Species_Support!BT29))^0.976,0)+IFERROR(S13_PSP_Species_Support!BX29*0.0673*(S13_PSP_Species_Support!BY29*(S13_PSP_Species_Support!BZ29*(1-EXP(-S13_PSP_Species_Support!CA29*13))^S13_PSP_Species_Support!CB29)^2*(S13_PSP_Species_Support!CC29*(1-EXP(-S13_PSP_Species_Support!CD29*13))^S13_PSP_Species_Support!CE29))^0.976,0)+IFERROR(S13_PSP_Species_Support!CI29*0.0673*(S13_PSP_Species_Support!CJ29*(S13_PSP_Species_Support!CK29*(1-EXP(-S13_PSP_Species_Support!CL29*13))^S13_PSP_Species_Support!CM29)^2*(S13_PSP_Species_Support!CN29*(1-EXP(-S13_PSP_Species_Support!CO29*13))^S13_PSP_Species_Support!CP29))^0.976,0)+IFERROR(S13_PSP_Species_Support!CT29*0.0673*(S13_PSP_Species_Support!CU29*(S13_PSP_Species_Support!CV29*(1-EXP(-S13_PSP_Species_Support!CW29*13))^S13_PSP_Species_Support!CX29)^2*(S13_PSP_Species_Support!CY29*(1-EXP(-S13_PSP_Species_Support!CZ29*13))^S13_PSP_Species_Support!DA29))^0.976,0))/1000/$G42*V$108,0)</x:f>
        <x:v>59.8096100361476</x:v>
      </x:c>
      <x:c r="W42" s="147" t="n">
        <x:f aca="0">IFERROR((IFERROR(S13_PSP_Species_Support!U29*0.0673*(S13_PSP_Species_Support!V29*(S13_PSP_Species_Support!W29*(1-EXP(-S13_PSP_Species_Support!X29*14))^S13_PSP_Species_Support!Y29)^2*(S13_PSP_Species_Support!Z29*(1-EXP(-S13_PSP_Species_Support!AA29*14))^S13_PSP_Species_Support!AB29))^0.976,0)+IFERROR(S13_PSP_Species_Support!AF29*0.0673*(S13_PSP_Species_Support!AG29*(S13_PSP_Species_Support!AH29*(1-EXP(-S13_PSP_Species_Support!AI29*14))^S13_PSP_Species_Support!AJ29)^2*(S13_PSP_Species_Support!AK29*(1-EXP(-S13_PSP_Species_Support!AL29*14))^S13_PSP_Species_Support!AM29))^0.976,0)+IFERROR(S13_PSP_Species_Support!AQ29*0.0673*(S13_PSP_Species_Support!AR29*(S13_PSP_Species_Support!AS29*(1-EXP(-S13_PSP_Species_Support!AT29*14))^S13_PSP_Species_Support!AU29)^2*(S13_PSP_Species_Support!AV29*(1-EXP(-S13_PSP_Species_Support!AW29*14))^S13_PSP_Species_Support!AX29))^0.976,0)+IFERROR(S13_PSP_Species_Support!BB29*0.0673*(S13_PSP_Species_Support!BC29*(S13_PSP_Species_Support!BD29*(1-EXP(-S13_PSP_Species_Support!BE29*14))^S13_PSP_Species_Support!BF29)^2*(S13_PSP_Species_Support!BG29*(1-EXP(-S13_PSP_Species_Support!BH29*14))^S13_PSP_Species_Support!BI29))^0.976,0)+IFERROR(S13_PSP_Species_Support!BM29*0.0673*(S13_PSP_Species_Support!BN29*(S13_PSP_Species_Support!BO29*(1-EXP(-S13_PSP_Species_Support!BP29*14))^S13_PSP_Species_Support!BQ29)^2*(S13_PSP_Species_Support!BR29*(1-EXP(-S13_PSP_Species_Support!BS29*14))^S13_PSP_Species_Support!BT29))^0.976,0)+IFERROR(S13_PSP_Species_Support!BX29*0.0673*(S13_PSP_Species_Support!BY29*(S13_PSP_Species_Support!BZ29*(1-EXP(-S13_PSP_Species_Support!CA29*14))^S13_PSP_Species_Support!CB29)^2*(S13_PSP_Species_Support!CC29*(1-EXP(-S13_PSP_Species_Support!CD29*14))^S13_PSP_Species_Support!CE29))^0.976,0)+IFERROR(S13_PSP_Species_Support!CI29*0.0673*(S13_PSP_Species_Support!CJ29*(S13_PSP_Species_Support!CK29*(1-EXP(-S13_PSP_Species_Support!CL29*14))^S13_PSP_Species_Support!CM29)^2*(S13_PSP_Species_Support!CN29*(1-EXP(-S13_PSP_Species_Support!CO29*14))^S13_PSP_Species_Support!CP29))^0.976,0)+IFERROR(S13_PSP_Species_Support!CT29*0.0673*(S13_PSP_Species_Support!CU29*(S13_PSP_Species_Support!CV29*(1-EXP(-S13_PSP_Species_Support!CW29*14))^S13_PSP_Species_Support!CX29)^2*(S13_PSP_Species_Support!CY29*(1-EXP(-S13_PSP_Species_Support!CZ29*14))^S13_PSP_Species_Support!DA29))^0.976,0))/1000/$G42*W$108,0)</x:f>
        <x:v>64.21431966820288</x:v>
      </x:c>
      <x:c r="X42" s="147" t="n">
        <x:f aca="0">IFERROR((IFERROR(S13_PSP_Species_Support!U29*0.0673*(S13_PSP_Species_Support!V29*(S13_PSP_Species_Support!W29*(1-EXP(-S13_PSP_Species_Support!X29*15))^S13_PSP_Species_Support!Y29)^2*(S13_PSP_Species_Support!Z29*(1-EXP(-S13_PSP_Species_Support!AA29*15))^S13_PSP_Species_Support!AB29))^0.976,0)+IFERROR(S13_PSP_Species_Support!AF29*0.0673*(S13_PSP_Species_Support!AG29*(S13_PSP_Species_Support!AH29*(1-EXP(-S13_PSP_Species_Support!AI29*15))^S13_PSP_Species_Support!AJ29)^2*(S13_PSP_Species_Support!AK29*(1-EXP(-S13_PSP_Species_Support!AL29*15))^S13_PSP_Species_Support!AM29))^0.976,0)+IFERROR(S13_PSP_Species_Support!AQ29*0.0673*(S13_PSP_Species_Support!AR29*(S13_PSP_Species_Support!AS29*(1-EXP(-S13_PSP_Species_Support!AT29*15))^S13_PSP_Species_Support!AU29)^2*(S13_PSP_Species_Support!AV29*(1-EXP(-S13_PSP_Species_Support!AW29*15))^S13_PSP_Species_Support!AX29))^0.976,0)+IFERROR(S13_PSP_Species_Support!BB29*0.0673*(S13_PSP_Species_Support!BC29*(S13_PSP_Species_Support!BD29*(1-EXP(-S13_PSP_Species_Support!BE29*15))^S13_PSP_Species_Support!BF29)^2*(S13_PSP_Species_Support!BG29*(1-EXP(-S13_PSP_Species_Support!BH29*15))^S13_PSP_Species_Support!BI29))^0.976,0)+IFERROR(S13_PSP_Species_Support!BM29*0.0673*(S13_PSP_Species_Support!BN29*(S13_PSP_Species_Support!BO29*(1-EXP(-S13_PSP_Species_Support!BP29*15))^S13_PSP_Species_Support!BQ29)^2*(S13_PSP_Species_Support!BR29*(1-EXP(-S13_PSP_Species_Support!BS29*15))^S13_PSP_Species_Support!BT29))^0.976,0)+IFERROR(S13_PSP_Species_Support!BX29*0.0673*(S13_PSP_Species_Support!BY29*(S13_PSP_Species_Support!BZ29*(1-EXP(-S13_PSP_Species_Support!CA29*15))^S13_PSP_Species_Support!CB29)^2*(S13_PSP_Species_Support!CC29*(1-EXP(-S13_PSP_Species_Support!CD29*15))^S13_PSP_Species_Support!CE29))^0.976,0)+IFERROR(S13_PSP_Species_Support!CI29*0.0673*(S13_PSP_Species_Support!CJ29*(S13_PSP_Species_Support!CK29*(1-EXP(-S13_PSP_Species_Support!CL29*15))^S13_PSP_Species_Support!CM29)^2*(S13_PSP_Species_Support!CN29*(1-EXP(-S13_PSP_Species_Support!CO29*15))^S13_PSP_Species_Support!CP29))^0.976,0)+IFERROR(S13_PSP_Species_Support!CT29*0.0673*(S13_PSP_Species_Support!CU29*(S13_PSP_Species_Support!CV29*(1-EXP(-S13_PSP_Species_Support!CW29*15))^S13_PSP_Species_Support!CX29)^2*(S13_PSP_Species_Support!CY29*(1-EXP(-S13_PSP_Species_Support!CZ29*15))^S13_PSP_Species_Support!DA29))^0.976,0))/1000/$G42*X$108,0)</x:f>
        <x:v>68.10612769692351</x:v>
      </x:c>
      <x:c r="Y42" s="147" t="n">
        <x:f aca="0">IFERROR((IFERROR(S13_PSP_Species_Support!U29*0.0673*(S13_PSP_Species_Support!V29*(S13_PSP_Species_Support!W29*(1-EXP(-S13_PSP_Species_Support!X29*16))^S13_PSP_Species_Support!Y29)^2*(S13_PSP_Species_Support!Z29*(1-EXP(-S13_PSP_Species_Support!AA29*16))^S13_PSP_Species_Support!AB29))^0.976,0)+IFERROR(S13_PSP_Species_Support!AF29*0.0673*(S13_PSP_Species_Support!AG29*(S13_PSP_Species_Support!AH29*(1-EXP(-S13_PSP_Species_Support!AI29*16))^S13_PSP_Species_Support!AJ29)^2*(S13_PSP_Species_Support!AK29*(1-EXP(-S13_PSP_Species_Support!AL29*16))^S13_PSP_Species_Support!AM29))^0.976,0)+IFERROR(S13_PSP_Species_Support!AQ29*0.0673*(S13_PSP_Species_Support!AR29*(S13_PSP_Species_Support!AS29*(1-EXP(-S13_PSP_Species_Support!AT29*16))^S13_PSP_Species_Support!AU29)^2*(S13_PSP_Species_Support!AV29*(1-EXP(-S13_PSP_Species_Support!AW29*16))^S13_PSP_Species_Support!AX29))^0.976,0)+IFERROR(S13_PSP_Species_Support!BB29*0.0673*(S13_PSP_Species_Support!BC29*(S13_PSP_Species_Support!BD29*(1-EXP(-S13_PSP_Species_Support!BE29*16))^S13_PSP_Species_Support!BF29)^2*(S13_PSP_Species_Support!BG29*(1-EXP(-S13_PSP_Species_Support!BH29*16))^S13_PSP_Species_Support!BI29))^0.976,0)+IFERROR(S13_PSP_Species_Support!BM29*0.0673*(S13_PSP_Species_Support!BN29*(S13_PSP_Species_Support!BO29*(1-EXP(-S13_PSP_Species_Support!BP29*16))^S13_PSP_Species_Support!BQ29)^2*(S13_PSP_Species_Support!BR29*(1-EXP(-S13_PSP_Species_Support!BS29*16))^S13_PSP_Species_Support!BT29))^0.976,0)+IFERROR(S13_PSP_Species_Support!BX29*0.0673*(S13_PSP_Species_Support!BY29*(S13_PSP_Species_Support!BZ29*(1-EXP(-S13_PSP_Species_Support!CA29*16))^S13_PSP_Species_Support!CB29)^2*(S13_PSP_Species_Support!CC29*(1-EXP(-S13_PSP_Species_Support!CD29*16))^S13_PSP_Species_Support!CE29))^0.976,0)+IFERROR(S13_PSP_Species_Support!CI29*0.0673*(S13_PSP_Species_Support!CJ29*(S13_PSP_Species_Support!CK29*(1-EXP(-S13_PSP_Species_Support!CL29*16))^S13_PSP_Species_Support!CM29)^2*(S13_PSP_Species_Support!CN29*(1-EXP(-S13_PSP_Species_Support!CO29*16))^S13_PSP_Species_Support!CP29))^0.976,0)+IFERROR(S13_PSP_Species_Support!CT29*0.0673*(S13_PSP_Species_Support!CU29*(S13_PSP_Species_Support!CV29*(1-EXP(-S13_PSP_Species_Support!CW29*16))^S13_PSP_Species_Support!CX29)^2*(S13_PSP_Species_Support!CY29*(1-EXP(-S13_PSP_Species_Support!CZ29*16))^S13_PSP_Species_Support!DA29))^0.976,0))/1000/$G42*Y$108,0)</x:f>
        <x:v>71.52245999509596</x:v>
      </x:c>
      <x:c r="Z42" s="147" t="n">
        <x:f aca="0">IFERROR((IFERROR(S13_PSP_Species_Support!U29*0.0673*(S13_PSP_Species_Support!V29*(S13_PSP_Species_Support!W29*(1-EXP(-S13_PSP_Species_Support!X29*17))^S13_PSP_Species_Support!Y29)^2*(S13_PSP_Species_Support!Z29*(1-EXP(-S13_PSP_Species_Support!AA29*17))^S13_PSP_Species_Support!AB29))^0.976,0)+IFERROR(S13_PSP_Species_Support!AF29*0.0673*(S13_PSP_Species_Support!AG29*(S13_PSP_Species_Support!AH29*(1-EXP(-S13_PSP_Species_Support!AI29*17))^S13_PSP_Species_Support!AJ29)^2*(S13_PSP_Species_Support!AK29*(1-EXP(-S13_PSP_Species_Support!AL29*17))^S13_PSP_Species_Support!AM29))^0.976,0)+IFERROR(S13_PSP_Species_Support!AQ29*0.0673*(S13_PSP_Species_Support!AR29*(S13_PSP_Species_Support!AS29*(1-EXP(-S13_PSP_Species_Support!AT29*17))^S13_PSP_Species_Support!AU29)^2*(S13_PSP_Species_Support!AV29*(1-EXP(-S13_PSP_Species_Support!AW29*17))^S13_PSP_Species_Support!AX29))^0.976,0)+IFERROR(S13_PSP_Species_Support!BB29*0.0673*(S13_PSP_Species_Support!BC29*(S13_PSP_Species_Support!BD29*(1-EXP(-S13_PSP_Species_Support!BE29*17))^S13_PSP_Species_Support!BF29)^2*(S13_PSP_Species_Support!BG29*(1-EXP(-S13_PSP_Species_Support!BH29*17))^S13_PSP_Species_Support!BI29))^0.976,0)+IFERROR(S13_PSP_Species_Support!BM29*0.0673*(S13_PSP_Species_Support!BN29*(S13_PSP_Species_Support!BO29*(1-EXP(-S13_PSP_Species_Support!BP29*17))^S13_PSP_Species_Support!BQ29)^2*(S13_PSP_Species_Support!BR29*(1-EXP(-S13_PSP_Species_Support!BS29*17))^S13_PSP_Species_Support!BT29))^0.976,0)+IFERROR(S13_PSP_Species_Support!BX29*0.0673*(S13_PSP_Species_Support!BY29*(S13_PSP_Species_Support!BZ29*(1-EXP(-S13_PSP_Species_Support!CA29*17))^S13_PSP_Species_Support!CB29)^2*(S13_PSP_Species_Support!CC29*(1-EXP(-S13_PSP_Species_Support!CD29*17))^S13_PSP_Species_Support!CE29))^0.976,0)+IFERROR(S13_PSP_Species_Support!CI29*0.0673*(S13_PSP_Species_Support!CJ29*(S13_PSP_Species_Support!CK29*(1-EXP(-S13_PSP_Species_Support!CL29*17))^S13_PSP_Species_Support!CM29)^2*(S13_PSP_Species_Support!CN29*(1-EXP(-S13_PSP_Species_Support!CO29*17))^S13_PSP_Species_Support!CP29))^0.976,0)+IFERROR(S13_PSP_Species_Support!CT29*0.0673*(S13_PSP_Species_Support!CU29*(S13_PSP_Species_Support!CV29*(1-EXP(-S13_PSP_Species_Support!CW29*17))^S13_PSP_Species_Support!CX29)^2*(S13_PSP_Species_Support!CY29*(1-EXP(-S13_PSP_Species_Support!CZ29*17))^S13_PSP_Species_Support!DA29))^0.976,0))/1000/$G42*Z$108,0)</x:f>
        <x:v>74.50649446687792</x:v>
      </x:c>
      <x:c r="AA42" s="147" t="n">
        <x:f aca="0">IFERROR((IFERROR(S13_PSP_Species_Support!U29*0.0673*(S13_PSP_Species_Support!V29*(S13_PSP_Species_Support!W29*(1-EXP(-S13_PSP_Species_Support!X29*18))^S13_PSP_Species_Support!Y29)^2*(S13_PSP_Species_Support!Z29*(1-EXP(-S13_PSP_Species_Support!AA29*18))^S13_PSP_Species_Support!AB29))^0.976,0)+IFERROR(S13_PSP_Species_Support!AF29*0.0673*(S13_PSP_Species_Support!AG29*(S13_PSP_Species_Support!AH29*(1-EXP(-S13_PSP_Species_Support!AI29*18))^S13_PSP_Species_Support!AJ29)^2*(S13_PSP_Species_Support!AK29*(1-EXP(-S13_PSP_Species_Support!AL29*18))^S13_PSP_Species_Support!AM29))^0.976,0)+IFERROR(S13_PSP_Species_Support!AQ29*0.0673*(S13_PSP_Species_Support!AR29*(S13_PSP_Species_Support!AS29*(1-EXP(-S13_PSP_Species_Support!AT29*18))^S13_PSP_Species_Support!AU29)^2*(S13_PSP_Species_Support!AV29*(1-EXP(-S13_PSP_Species_Support!AW29*18))^S13_PSP_Species_Support!AX29))^0.976,0)+IFERROR(S13_PSP_Species_Support!BB29*0.0673*(S13_PSP_Species_Support!BC29*(S13_PSP_Species_Support!BD29*(1-EXP(-S13_PSP_Species_Support!BE29*18))^S13_PSP_Species_Support!BF29)^2*(S13_PSP_Species_Support!BG29*(1-EXP(-S13_PSP_Species_Support!BH29*18))^S13_PSP_Species_Support!BI29))^0.976,0)+IFERROR(S13_PSP_Species_Support!BM29*0.0673*(S13_PSP_Species_Support!BN29*(S13_PSP_Species_Support!BO29*(1-EXP(-S13_PSP_Species_Support!BP29*18))^S13_PSP_Species_Support!BQ29)^2*(S13_PSP_Species_Support!BR29*(1-EXP(-S13_PSP_Species_Support!BS29*18))^S13_PSP_Species_Support!BT29))^0.976,0)+IFERROR(S13_PSP_Species_Support!BX29*0.0673*(S13_PSP_Species_Support!BY29*(S13_PSP_Species_Support!BZ29*(1-EXP(-S13_PSP_Species_Support!CA29*18))^S13_PSP_Species_Support!CB29)^2*(S13_PSP_Species_Support!CC29*(1-EXP(-S13_PSP_Species_Support!CD29*18))^S13_PSP_Species_Support!CE29))^0.976,0)+IFERROR(S13_PSP_Species_Support!CI29*0.0673*(S13_PSP_Species_Support!CJ29*(S13_PSP_Species_Support!CK29*(1-EXP(-S13_PSP_Species_Support!CL29*18))^S13_PSP_Species_Support!CM29)^2*(S13_PSP_Species_Support!CN29*(1-EXP(-S13_PSP_Species_Support!CO29*18))^S13_PSP_Species_Support!CP29))^0.976,0)+IFERROR(S13_PSP_Species_Support!CT29*0.0673*(S13_PSP_Species_Support!CU29*(S13_PSP_Species_Support!CV29*(1-EXP(-S13_PSP_Species_Support!CW29*18))^S13_PSP_Species_Support!CX29)^2*(S13_PSP_Species_Support!CY29*(1-EXP(-S13_PSP_Species_Support!CZ29*18))^S13_PSP_Species_Support!DA29))^0.976,0))/1000/$G42*AA$108,0)</x:f>
        <x:v>77.10304584792307</x:v>
      </x:c>
      <x:c r="AB42" s="147" t="n">
        <x:f aca="0">IFERROR((IFERROR(S13_PSP_Species_Support!U29*0.0673*(S13_PSP_Species_Support!V29*(S13_PSP_Species_Support!W29*(1-EXP(-S13_PSP_Species_Support!X29*19))^S13_PSP_Species_Support!Y29)^2*(S13_PSP_Species_Support!Z29*(1-EXP(-S13_PSP_Species_Support!AA29*19))^S13_PSP_Species_Support!AB29))^0.976,0)+IFERROR(S13_PSP_Species_Support!AF29*0.0673*(S13_PSP_Species_Support!AG29*(S13_PSP_Species_Support!AH29*(1-EXP(-S13_PSP_Species_Support!AI29*19))^S13_PSP_Species_Support!AJ29)^2*(S13_PSP_Species_Support!AK29*(1-EXP(-S13_PSP_Species_Support!AL29*19))^S13_PSP_Species_Support!AM29))^0.976,0)+IFERROR(S13_PSP_Species_Support!AQ29*0.0673*(S13_PSP_Species_Support!AR29*(S13_PSP_Species_Support!AS29*(1-EXP(-S13_PSP_Species_Support!AT29*19))^S13_PSP_Species_Support!AU29)^2*(S13_PSP_Species_Support!AV29*(1-EXP(-S13_PSP_Species_Support!AW29*19))^S13_PSP_Species_Support!AX29))^0.976,0)+IFERROR(S13_PSP_Species_Support!BB29*0.0673*(S13_PSP_Species_Support!BC29*(S13_PSP_Species_Support!BD29*(1-EXP(-S13_PSP_Species_Support!BE29*19))^S13_PSP_Species_Support!BF29)^2*(S13_PSP_Species_Support!BG29*(1-EXP(-S13_PSP_Species_Support!BH29*19))^S13_PSP_Species_Support!BI29))^0.976,0)+IFERROR(S13_PSP_Species_Support!BM29*0.0673*(S13_PSP_Species_Support!BN29*(S13_PSP_Species_Support!BO29*(1-EXP(-S13_PSP_Species_Support!BP29*19))^S13_PSP_Species_Support!BQ29)^2*(S13_PSP_Species_Support!BR29*(1-EXP(-S13_PSP_Species_Support!BS29*19))^S13_PSP_Species_Support!BT29))^0.976,0)+IFERROR(S13_PSP_Species_Support!BX29*0.0673*(S13_PSP_Species_Support!BY29*(S13_PSP_Species_Support!BZ29*(1-EXP(-S13_PSP_Species_Support!CA29*19))^S13_PSP_Species_Support!CB29)^2*(S13_PSP_Species_Support!CC29*(1-EXP(-S13_PSP_Species_Support!CD29*19))^S13_PSP_Species_Support!CE29))^0.976,0)+IFERROR(S13_PSP_Species_Support!CI29*0.0673*(S13_PSP_Species_Support!CJ29*(S13_PSP_Species_Support!CK29*(1-EXP(-S13_PSP_Species_Support!CL29*19))^S13_PSP_Species_Support!CM29)^2*(S13_PSP_Species_Support!CN29*(1-EXP(-S13_PSP_Species_Support!CO29*19))^S13_PSP_Species_Support!CP29))^0.976,0)+IFERROR(S13_PSP_Species_Support!CT29*0.0673*(S13_PSP_Species_Support!CU29*(S13_PSP_Species_Support!CV29*(1-EXP(-S13_PSP_Species_Support!CW29*19))^S13_PSP_Species_Support!CX29)^2*(S13_PSP_Species_Support!CY29*(1-EXP(-S13_PSP_Species_Support!CZ29*19))^S13_PSP_Species_Support!DA29))^0.976,0))/1000/$G42*AB$108,0)</x:f>
        <x:v>79.35594895720601</x:v>
      </x:c>
      <x:c r="AC42" s="147" t="n">
        <x:f aca="0">IFERROR((IFERROR(S13_PSP_Species_Support!U29*0.0673*(S13_PSP_Species_Support!V29*(S13_PSP_Species_Support!W29*(1-EXP(-S13_PSP_Species_Support!X29*20))^S13_PSP_Species_Support!Y29)^2*(S13_PSP_Species_Support!Z29*(1-EXP(-S13_PSP_Species_Support!AA29*20))^S13_PSP_Species_Support!AB29))^0.976,0)+IFERROR(S13_PSP_Species_Support!AF29*0.0673*(S13_PSP_Species_Support!AG29*(S13_PSP_Species_Support!AH29*(1-EXP(-S13_PSP_Species_Support!AI29*20))^S13_PSP_Species_Support!AJ29)^2*(S13_PSP_Species_Support!AK29*(1-EXP(-S13_PSP_Species_Support!AL29*20))^S13_PSP_Species_Support!AM29))^0.976,0)+IFERROR(S13_PSP_Species_Support!AQ29*0.0673*(S13_PSP_Species_Support!AR29*(S13_PSP_Species_Support!AS29*(1-EXP(-S13_PSP_Species_Support!AT29*20))^S13_PSP_Species_Support!AU29)^2*(S13_PSP_Species_Support!AV29*(1-EXP(-S13_PSP_Species_Support!AW29*20))^S13_PSP_Species_Support!AX29))^0.976,0)+IFERROR(S13_PSP_Species_Support!BB29*0.0673*(S13_PSP_Species_Support!BC29*(S13_PSP_Species_Support!BD29*(1-EXP(-S13_PSP_Species_Support!BE29*20))^S13_PSP_Species_Support!BF29)^2*(S13_PSP_Species_Support!BG29*(1-EXP(-S13_PSP_Species_Support!BH29*20))^S13_PSP_Species_Support!BI29))^0.976,0)+IFERROR(S13_PSP_Species_Support!BM29*0.0673*(S13_PSP_Species_Support!BN29*(S13_PSP_Species_Support!BO29*(1-EXP(-S13_PSP_Species_Support!BP29*20))^S13_PSP_Species_Support!BQ29)^2*(S13_PSP_Species_Support!BR29*(1-EXP(-S13_PSP_Species_Support!BS29*20))^S13_PSP_Species_Support!BT29))^0.976,0)+IFERROR(S13_PSP_Species_Support!BX29*0.0673*(S13_PSP_Species_Support!BY29*(S13_PSP_Species_Support!BZ29*(1-EXP(-S13_PSP_Species_Support!CA29*20))^S13_PSP_Species_Support!CB29)^2*(S13_PSP_Species_Support!CC29*(1-EXP(-S13_PSP_Species_Support!CD29*20))^S13_PSP_Species_Support!CE29))^0.976,0)+IFERROR(S13_PSP_Species_Support!CI29*0.0673*(S13_PSP_Species_Support!CJ29*(S13_PSP_Species_Support!CK29*(1-EXP(-S13_PSP_Species_Support!CL29*20))^S13_PSP_Species_Support!CM29)^2*(S13_PSP_Species_Support!CN29*(1-EXP(-S13_PSP_Species_Support!CO29*20))^S13_PSP_Species_Support!CP29))^0.976,0)+IFERROR(S13_PSP_Species_Support!CT29*0.0673*(S13_PSP_Species_Support!CU29*(S13_PSP_Species_Support!CV29*(1-EXP(-S13_PSP_Species_Support!CW29*20))^S13_PSP_Species_Support!CX29)^2*(S13_PSP_Species_Support!CY29*(1-EXP(-S13_PSP_Species_Support!CZ29*20))^S13_PSP_Species_Support!DA29))^0.976,0))/1000/$G42*AC$108,0)</x:f>
        <x:v>81.30650469965711</x:v>
      </x:c>
      <x:c r="AD42" s="148" t="n">
        <x:f aca="0">IF(2020&lt;$F42,0,INDEX($I42:$AC42,1,2020-$F42+1))</x:f>
        <x:v>0</x:v>
      </x:c>
      <x:c r="AE42" s="148" t="n">
        <x:f aca="0">IF(2021&lt;$F42,0,INDEX($I42:$AC42,1,2021-$F42+1))</x:f>
        <x:v>0</x:v>
      </x:c>
      <x:c r="AF42" s="148" t="n">
        <x:f aca="0">IF(2022&lt;$F42,0,INDEX($I42:$AC42,1,2022-$F42+1))</x:f>
        <x:v>0.052370378497500564</x:v>
      </x:c>
      <x:c r="AG42" s="148" t="n">
        <x:f aca="0">IF(2023&lt;$F42,0,INDEX($I42:$AC42,1,2023-$F42+1))</x:f>
        <x:v>0.663488460376419</x:v>
      </x:c>
      <x:c r="AH42" s="148" t="n">
        <x:f aca="0">IF(2024&lt;$F42,0,INDEX($I42:$AC42,1,2024-$F42+1))</x:f>
        <x:v>2.5261318616288007</x:v>
      </x:c>
      <x:c r="AI42" s="148" t="n">
        <x:f aca="0">IF(2025&lt;$F42,0,INDEX($I42:$AC42,1,2025-$F42+1))</x:f>
        <x:v>5.962818403838482</x:v>
      </x:c>
      <x:c r="AJ42" s="148" t="n">
        <x:f aca="0">IF(2026&lt;$F42,0,INDEX($I42:$AC42,1,2026-$F42+1))</x:f>
        <x:v>10.839945055518589</x:v>
      </x:c>
      <x:c r="AK42" s="148" t="n">
        <x:f aca="0">IF(2027&lt;$F42,0,INDEX($I42:$AC42,1,2027-$F42+1))</x:f>
        <x:v>16.788547374877567</x:v>
      </x:c>
      <x:c r="AL42" s="148" t="n">
        <x:f aca="0">IF(2028&lt;$F42,0,INDEX($I42:$AC42,1,2028-$F42+1))</x:f>
        <x:v>23.372253690600246</x:v>
      </x:c>
      <x:c r="AM42" s="148" t="n">
        <x:f aca="0">IF(2029&lt;$F42,0,INDEX($I42:$AC42,1,2029-$F42+1))</x:f>
        <x:v>30.192723511511367</x:v>
      </x:c>
      <x:c r="AN42" s="148" t="n">
        <x:f aca="0">IF(2030&lt;$F42,0,INDEX($I42:$AC42,1,2030-$F42+1))</x:f>
        <x:v>36.93538935771871</x:v>
      </x:c>
      <x:c r="AO42" s="148" t="n">
        <x:f aca="0">IF(2031&lt;$F42,0,INDEX($I42:$AC42,1,2031-$F42+1))</x:f>
        <x:v>43.377919288755606</x:v>
      </x:c>
      <x:c r="AP42" s="148" t="n">
        <x:f aca="0">IF(2032&lt;$F42,0,INDEX($I42:$AC42,1,2032-$F42+1))</x:f>
        <x:v>49.38002615832408</x:v>
      </x:c>
      <x:c r="AQ42" s="148" t="n">
        <x:f aca="0">IF(2033&lt;$F42,0,INDEX($I42:$AC42,1,2033-$F42+1))</x:f>
        <x:v>54.86647038974718</x:v>
      </x:c>
      <x:c r="AR42" s="148" t="n">
        <x:f aca="0">IF(2034&lt;$F42,0,INDEX($I42:$AC42,1,2034-$F42+1))</x:f>
        <x:v>59.8096100361476</x:v>
      </x:c>
      <x:c r="AS42" s="148" t="n">
        <x:f aca="0">IF(2035&lt;$F42,0,INDEX($I42:$AC42,1,2035-$F42+1))</x:f>
        <x:v>64.21431966820288</x:v>
      </x:c>
      <x:c r="AT42" s="148" t="n">
        <x:f aca="0">IF(2036&lt;$F42,0,INDEX($I42:$AC42,1,2036-$F42+1))</x:f>
        <x:v>68.10612769692351</x:v>
      </x:c>
      <x:c r="AU42" s="148" t="n">
        <x:f aca="0">IF(2037&lt;$F42,0,INDEX($I42:$AC42,1,2037-$F42+1))</x:f>
        <x:v>71.52245999509596</x:v>
      </x:c>
      <x:c r="AV42" s="148" t="n">
        <x:f aca="0">IF(2038&lt;$F42,0,INDEX($I42:$AC42,1,2038-$F42+1))</x:f>
        <x:v>74.50649446687792</x:v>
      </x:c>
      <x:c r="AW42" s="148" t="n">
        <x:f aca="0">IF(2039&lt;$F42,0,INDEX($I42:$AC42,1,2039-$F42+1))</x:f>
        <x:v>77.10304584792307</x:v>
      </x:c>
      <x:c r="AX42" s="148" t="n">
        <x:f aca="0">IF(2040&lt;$F42,0,INDEX($I42:$AC42,1,2040-$F42+1))</x:f>
        <x:v>79.35594895720601</x:v>
      </x:c>
      <x:c r="AY42" s="1" t="str">
        <x:f aca="0">LEFT($C42,FIND("@",SUBSTITUTE($C42,"|","@",2))-1)</x:f>
        <x:v>Horti-Silviculture|Medium</x:v>
      </x:c>
      <x:c r="AZ42" s="1" t="str">
        <x:f aca="0">LEFT($C42,FIND("|",$C42)-1)</x:f>
        <x:v>Horti-Silviculture</x:v>
      </x:c>
      <x:c r="BA42" s="149" t="n">
        <x:f aca="0">I42*I42</x:f>
        <x:v>0</x:v>
      </x:c>
      <x:c r="BB42" s="149" t="n">
        <x:f aca="0">J42*J42</x:f>
        <x:v>0.0027426565439714694</x:v>
      </x:c>
      <x:c r="BC42" s="149" t="n">
        <x:f aca="0">K42*K42</x:f>
        <x:v>0.44021693705267084</x:v>
      </x:c>
      <x:c r="BD42" s="149" t="n">
        <x:f aca="0">L42*L42</x:f>
        <x:v>6.38134218233619</x:v>
      </x:c>
      <x:c r="BE42" s="149" t="n">
        <x:f aca="0">M42*M42</x:f>
        <x:v>35.555203317154906</x:v>
      </x:c>
      <x:c r="BF42" s="149" t="n">
        <x:f aca="0">N42*N42</x:f>
        <x:v>117.5044088066619</x:v>
      </x:c>
      <x:c r="BG42" s="149" t="n">
        <x:f aca="0">O42*O42</x:f>
        <x:v>281.85532295850845</x:v>
      </x:c>
      <x:c r="BH42" s="149" t="n">
        <x:f aca="0">P42*P42</x:f>
        <x:v>546.2622425777769</x:v>
      </x:c>
      <x:c r="BI42" s="149" t="n">
        <x:f aca="0">Q42*Q42</x:f>
        <x:v>911.6005530425713</x:v>
      </x:c>
      <x:c r="BJ42" s="149" t="n">
        <x:f aca="0">R42*R42</x:f>
        <x:v>1364.2229870062806</x:v>
      </x:c>
      <x:c r="BK42" s="149" t="n">
        <x:f aca="0">S42*S42</x:f>
        <x:v>1881.6438818217957</x:v>
      </x:c>
      <x:c r="BL42" s="149" t="n">
        <x:f aca="0">T42*T42</x:f>
        <x:v>2438.38698339677</x:v>
      </x:c>
      <x:c r="BM42" s="149" t="n">
        <x:f aca="0">U42*U42</x:f>
        <x:v>3010.3295730290038</x:v>
      </x:c>
      <x:c r="BN42" s="149" t="n">
        <x:f aca="0">V42*V42</x:f>
        <x:v>3577.189452676048</x:v>
      </x:c>
      <x:c r="BO42" s="149" t="n">
        <x:f aca="0">W42*W42</x:f>
        <x:v>4123.478850450147</x:v>
      </x:c>
      <x:c r="BP42" s="149" t="n">
        <x:f aca="0">X42*X42</x:f>
        <x:v>4638.444629869651</x:v>
      </x:c>
      <x:c r="BQ42" s="149" t="n">
        <x:f aca="0">Y42*Y42</x:f>
        <x:v>5115.462283750102</x:v>
      </x:c>
      <x:c r="BR42" s="149" t="n">
        <x:f aca="0">Z42*Z42</x:f>
        <x:v>5551.217717742911</x:v>
      </x:c>
      <x:c r="BS42" s="149" t="n">
        <x:f aca="0">AA42*AA42</x:f>
        <x:v>5944.879679026927</x:v>
      </x:c>
      <x:c r="BT42" s="149" t="n">
        <x:f aca="0">AB42*AB42</x:f>
        <x:v>6297.366634898685</x:v>
      </x:c>
      <x:c r="BU42" s="149" t="n">
        <x:f aca="0">AC42*AC42</x:f>
        <x:v>6610.747706475364</x:v>
      </x:c>
    </x:row>
    <x:row r="43" ht="15" hidden="0" customHeight="1">
      <x:c r="A43" s="1" t="str">
        <x:f aca="0">S13_PSP_Species_Support!A30</x:f>
        <x:v>PSP-HS-016</x:v>
      </x:c>
      <x:c r="B43" s="1" t="n">
        <x:f aca="0">30</x:f>
        <x:v>30</x:v>
      </x:c>
      <x:c r="C43" s="1" t="str">
        <x:f aca="0">S13_PSP_Species_Support!I30</x:f>
        <x:v>Horti-Silviculture|Medium|2021</x:v>
      </x:c>
      <x:c r="D43" s="1" t="str">
        <x:f aca="0">S13_PSP_Species_Support!C30</x:f>
        <x:v>Horti-Silviculture</x:v>
      </x:c>
      <x:c r="E43" s="1" t="str">
        <x:f aca="0">S13_PSP_Species_Support!D30</x:f>
        <x:v>Medium</x:v>
      </x:c>
      <x:c r="F43" s="1" t="n">
        <x:f aca="0">S13_PSP_Species_Support!E30</x:f>
        <x:v>2021</x:v>
      </x:c>
      <x:c r="G43" s="645" t="n">
        <x:f aca="0">'S13_PSP_Species_Support'!DJ30</x:f>
        <x:v>0.09</x:v>
      </x:c>
      <x:c r="H43" s="714" t="n">
        <x:f aca="0">'S13_PSP_Species_Support'!DK30</x:f>
        <x:v>56.643356643356654</x:v>
      </x:c>
      <x:c r="I43" s="147" t="n">
        <x:f aca="0">IFERROR((IFERROR(S13_PSP_Species_Support!U30*0.0673*(S13_PSP_Species_Support!V30*(S13_PSP_Species_Support!W30*(1-EXP(-S13_PSP_Species_Support!X30*0))^S13_PSP_Species_Support!Y30)^2*(S13_PSP_Species_Support!Z30*(1-EXP(-S13_PSP_Species_Support!AA30*0))^S13_PSP_Species_Support!AB30))^0.976,0)+IFERROR(S13_PSP_Species_Support!AF30*0.0673*(S13_PSP_Species_Support!AG30*(S13_PSP_Species_Support!AH30*(1-EXP(-S13_PSP_Species_Support!AI30*0))^S13_PSP_Species_Support!AJ30)^2*(S13_PSP_Species_Support!AK30*(1-EXP(-S13_PSP_Species_Support!AL30*0))^S13_PSP_Species_Support!AM30))^0.976,0)+IFERROR(S13_PSP_Species_Support!AQ30*0.0673*(S13_PSP_Species_Support!AR30*(S13_PSP_Species_Support!AS30*(1-EXP(-S13_PSP_Species_Support!AT30*0))^S13_PSP_Species_Support!AU30)^2*(S13_PSP_Species_Support!AV30*(1-EXP(-S13_PSP_Species_Support!AW30*0))^S13_PSP_Species_Support!AX30))^0.976,0)+IFERROR(S13_PSP_Species_Support!BB30*0.0673*(S13_PSP_Species_Support!BC30*(S13_PSP_Species_Support!BD30*(1-EXP(-S13_PSP_Species_Support!BE30*0))^S13_PSP_Species_Support!BF30)^2*(S13_PSP_Species_Support!BG30*(1-EXP(-S13_PSP_Species_Support!BH30*0))^S13_PSP_Species_Support!BI30))^0.976,0)+IFERROR(S13_PSP_Species_Support!BM30*0.0673*(S13_PSP_Species_Support!BN30*(S13_PSP_Species_Support!BO30*(1-EXP(-S13_PSP_Species_Support!BP30*0))^S13_PSP_Species_Support!BQ30)^2*(S13_PSP_Species_Support!BR30*(1-EXP(-S13_PSP_Species_Support!BS30*0))^S13_PSP_Species_Support!BT30))^0.976,0)+IFERROR(S13_PSP_Species_Support!BX30*0.0673*(S13_PSP_Species_Support!BY30*(S13_PSP_Species_Support!BZ30*(1-EXP(-S13_PSP_Species_Support!CA30*0))^S13_PSP_Species_Support!CB30)^2*(S13_PSP_Species_Support!CC30*(1-EXP(-S13_PSP_Species_Support!CD30*0))^S13_PSP_Species_Support!CE30))^0.976,0)+IFERROR(S13_PSP_Species_Support!CI30*0.0673*(S13_PSP_Species_Support!CJ30*(S13_PSP_Species_Support!CK30*(1-EXP(-S13_PSP_Species_Support!CL30*0))^S13_PSP_Species_Support!CM30)^2*(S13_PSP_Species_Support!CN30*(1-EXP(-S13_PSP_Species_Support!CO30*0))^S13_PSP_Species_Support!CP30))^0.976,0)+IFERROR(S13_PSP_Species_Support!CT30*0.0673*(S13_PSP_Species_Support!CU30*(S13_PSP_Species_Support!CV30*(1-EXP(-S13_PSP_Species_Support!CW30*0))^S13_PSP_Species_Support!CX30)^2*(S13_PSP_Species_Support!CY30*(1-EXP(-S13_PSP_Species_Support!CZ30*0))^S13_PSP_Species_Support!DA30))^0.976,0))/1000/$G43*I$108,0)</x:f>
        <x:v>0</x:v>
      </x:c>
      <x:c r="J43" s="147" t="n">
        <x:f aca="0">IFERROR((IFERROR(S13_PSP_Species_Support!U30*0.0673*(S13_PSP_Species_Support!V30*(S13_PSP_Species_Support!W30*(1-EXP(-S13_PSP_Species_Support!X30*1))^S13_PSP_Species_Support!Y30)^2*(S13_PSP_Species_Support!Z30*(1-EXP(-S13_PSP_Species_Support!AA30*1))^S13_PSP_Species_Support!AB30))^0.976,0)+IFERROR(S13_PSP_Species_Support!AF30*0.0673*(S13_PSP_Species_Support!AG30*(S13_PSP_Species_Support!AH30*(1-EXP(-S13_PSP_Species_Support!AI30*1))^S13_PSP_Species_Support!AJ30)^2*(S13_PSP_Species_Support!AK30*(1-EXP(-S13_PSP_Species_Support!AL30*1))^S13_PSP_Species_Support!AM30))^0.976,0)+IFERROR(S13_PSP_Species_Support!AQ30*0.0673*(S13_PSP_Species_Support!AR30*(S13_PSP_Species_Support!AS30*(1-EXP(-S13_PSP_Species_Support!AT30*1))^S13_PSP_Species_Support!AU30)^2*(S13_PSP_Species_Support!AV30*(1-EXP(-S13_PSP_Species_Support!AW30*1))^S13_PSP_Species_Support!AX30))^0.976,0)+IFERROR(S13_PSP_Species_Support!BB30*0.0673*(S13_PSP_Species_Support!BC30*(S13_PSP_Species_Support!BD30*(1-EXP(-S13_PSP_Species_Support!BE30*1))^S13_PSP_Species_Support!BF30)^2*(S13_PSP_Species_Support!BG30*(1-EXP(-S13_PSP_Species_Support!BH30*1))^S13_PSP_Species_Support!BI30))^0.976,0)+IFERROR(S13_PSP_Species_Support!BM30*0.0673*(S13_PSP_Species_Support!BN30*(S13_PSP_Species_Support!BO30*(1-EXP(-S13_PSP_Species_Support!BP30*1))^S13_PSP_Species_Support!BQ30)^2*(S13_PSP_Species_Support!BR30*(1-EXP(-S13_PSP_Species_Support!BS30*1))^S13_PSP_Species_Support!BT30))^0.976,0)+IFERROR(S13_PSP_Species_Support!BX30*0.0673*(S13_PSP_Species_Support!BY30*(S13_PSP_Species_Support!BZ30*(1-EXP(-S13_PSP_Species_Support!CA30*1))^S13_PSP_Species_Support!CB30)^2*(S13_PSP_Species_Support!CC30*(1-EXP(-S13_PSP_Species_Support!CD30*1))^S13_PSP_Species_Support!CE30))^0.976,0)+IFERROR(S13_PSP_Species_Support!CI30*0.0673*(S13_PSP_Species_Support!CJ30*(S13_PSP_Species_Support!CK30*(1-EXP(-S13_PSP_Species_Support!CL30*1))^S13_PSP_Species_Support!CM30)^2*(S13_PSP_Species_Support!CN30*(1-EXP(-S13_PSP_Species_Support!CO30*1))^S13_PSP_Species_Support!CP30))^0.976,0)+IFERROR(S13_PSP_Species_Support!CT30*0.0673*(S13_PSP_Species_Support!CU30*(S13_PSP_Species_Support!CV30*(1-EXP(-S13_PSP_Species_Support!CW30*1))^S13_PSP_Species_Support!CX30)^2*(S13_PSP_Species_Support!CY30*(1-EXP(-S13_PSP_Species_Support!CZ30*1))^S13_PSP_Species_Support!DA30))^0.976,0))/1000/$G43*J$108,0)</x:f>
        <x:v>0.10091290737247254</x:v>
      </x:c>
      <x:c r="K43" s="147" t="n">
        <x:f aca="0">IFERROR((IFERROR(S13_PSP_Species_Support!U30*0.0673*(S13_PSP_Species_Support!V30*(S13_PSP_Species_Support!W30*(1-EXP(-S13_PSP_Species_Support!X30*2))^S13_PSP_Species_Support!Y30)^2*(S13_PSP_Species_Support!Z30*(1-EXP(-S13_PSP_Species_Support!AA30*2))^S13_PSP_Species_Support!AB30))^0.976,0)+IFERROR(S13_PSP_Species_Support!AF30*0.0673*(S13_PSP_Species_Support!AG30*(S13_PSP_Species_Support!AH30*(1-EXP(-S13_PSP_Species_Support!AI30*2))^S13_PSP_Species_Support!AJ30)^2*(S13_PSP_Species_Support!AK30*(1-EXP(-S13_PSP_Species_Support!AL30*2))^S13_PSP_Species_Support!AM30))^0.976,0)+IFERROR(S13_PSP_Species_Support!AQ30*0.0673*(S13_PSP_Species_Support!AR30*(S13_PSP_Species_Support!AS30*(1-EXP(-S13_PSP_Species_Support!AT30*2))^S13_PSP_Species_Support!AU30)^2*(S13_PSP_Species_Support!AV30*(1-EXP(-S13_PSP_Species_Support!AW30*2))^S13_PSP_Species_Support!AX30))^0.976,0)+IFERROR(S13_PSP_Species_Support!BB30*0.0673*(S13_PSP_Species_Support!BC30*(S13_PSP_Species_Support!BD30*(1-EXP(-S13_PSP_Species_Support!BE30*2))^S13_PSP_Species_Support!BF30)^2*(S13_PSP_Species_Support!BG30*(1-EXP(-S13_PSP_Species_Support!BH30*2))^S13_PSP_Species_Support!BI30))^0.976,0)+IFERROR(S13_PSP_Species_Support!BM30*0.0673*(S13_PSP_Species_Support!BN30*(S13_PSP_Species_Support!BO30*(1-EXP(-S13_PSP_Species_Support!BP30*2))^S13_PSP_Species_Support!BQ30)^2*(S13_PSP_Species_Support!BR30*(1-EXP(-S13_PSP_Species_Support!BS30*2))^S13_PSP_Species_Support!BT30))^0.976,0)+IFERROR(S13_PSP_Species_Support!BX30*0.0673*(S13_PSP_Species_Support!BY30*(S13_PSP_Species_Support!BZ30*(1-EXP(-S13_PSP_Species_Support!CA30*2))^S13_PSP_Species_Support!CB30)^2*(S13_PSP_Species_Support!CC30*(1-EXP(-S13_PSP_Species_Support!CD30*2))^S13_PSP_Species_Support!CE30))^0.976,0)+IFERROR(S13_PSP_Species_Support!CI30*0.0673*(S13_PSP_Species_Support!CJ30*(S13_PSP_Species_Support!CK30*(1-EXP(-S13_PSP_Species_Support!CL30*2))^S13_PSP_Species_Support!CM30)^2*(S13_PSP_Species_Support!CN30*(1-EXP(-S13_PSP_Species_Support!CO30*2))^S13_PSP_Species_Support!CP30))^0.976,0)+IFERROR(S13_PSP_Species_Support!CT30*0.0673*(S13_PSP_Species_Support!CU30*(S13_PSP_Species_Support!CV30*(1-EXP(-S13_PSP_Species_Support!CW30*2))^S13_PSP_Species_Support!CX30)^2*(S13_PSP_Species_Support!CY30*(1-EXP(-S13_PSP_Species_Support!CZ30*2))^S13_PSP_Species_Support!DA30))^0.976,0))/1000/$G43*K$108,0)</x:f>
        <x:v>1.2070432385154557</x:v>
      </x:c>
      <x:c r="L43" s="147" t="n">
        <x:f aca="0">IFERROR((IFERROR(S13_PSP_Species_Support!U30*0.0673*(S13_PSP_Species_Support!V30*(S13_PSP_Species_Support!W30*(1-EXP(-S13_PSP_Species_Support!X30*3))^S13_PSP_Species_Support!Y30)^2*(S13_PSP_Species_Support!Z30*(1-EXP(-S13_PSP_Species_Support!AA30*3))^S13_PSP_Species_Support!AB30))^0.976,0)+IFERROR(S13_PSP_Species_Support!AF30*0.0673*(S13_PSP_Species_Support!AG30*(S13_PSP_Species_Support!AH30*(1-EXP(-S13_PSP_Species_Support!AI30*3))^S13_PSP_Species_Support!AJ30)^2*(S13_PSP_Species_Support!AK30*(1-EXP(-S13_PSP_Species_Support!AL30*3))^S13_PSP_Species_Support!AM30))^0.976,0)+IFERROR(S13_PSP_Species_Support!AQ30*0.0673*(S13_PSP_Species_Support!AR30*(S13_PSP_Species_Support!AS30*(1-EXP(-S13_PSP_Species_Support!AT30*3))^S13_PSP_Species_Support!AU30)^2*(S13_PSP_Species_Support!AV30*(1-EXP(-S13_PSP_Species_Support!AW30*3))^S13_PSP_Species_Support!AX30))^0.976,0)+IFERROR(S13_PSP_Species_Support!BB30*0.0673*(S13_PSP_Species_Support!BC30*(S13_PSP_Species_Support!BD30*(1-EXP(-S13_PSP_Species_Support!BE30*3))^S13_PSP_Species_Support!BF30)^2*(S13_PSP_Species_Support!BG30*(1-EXP(-S13_PSP_Species_Support!BH30*3))^S13_PSP_Species_Support!BI30))^0.976,0)+IFERROR(S13_PSP_Species_Support!BM30*0.0673*(S13_PSP_Species_Support!BN30*(S13_PSP_Species_Support!BO30*(1-EXP(-S13_PSP_Species_Support!BP30*3))^S13_PSP_Species_Support!BQ30)^2*(S13_PSP_Species_Support!BR30*(1-EXP(-S13_PSP_Species_Support!BS30*3))^S13_PSP_Species_Support!BT30))^0.976,0)+IFERROR(S13_PSP_Species_Support!BX30*0.0673*(S13_PSP_Species_Support!BY30*(S13_PSP_Species_Support!BZ30*(1-EXP(-S13_PSP_Species_Support!CA30*3))^S13_PSP_Species_Support!CB30)^2*(S13_PSP_Species_Support!CC30*(1-EXP(-S13_PSP_Species_Support!CD30*3))^S13_PSP_Species_Support!CE30))^0.976,0)+IFERROR(S13_PSP_Species_Support!CI30*0.0673*(S13_PSP_Species_Support!CJ30*(S13_PSP_Species_Support!CK30*(1-EXP(-S13_PSP_Species_Support!CL30*3))^S13_PSP_Species_Support!CM30)^2*(S13_PSP_Species_Support!CN30*(1-EXP(-S13_PSP_Species_Support!CO30*3))^S13_PSP_Species_Support!CP30))^0.976,0)+IFERROR(S13_PSP_Species_Support!CT30*0.0673*(S13_PSP_Species_Support!CU30*(S13_PSP_Species_Support!CV30*(1-EXP(-S13_PSP_Species_Support!CW30*3))^S13_PSP_Species_Support!CX30)^2*(S13_PSP_Species_Support!CY30*(1-EXP(-S13_PSP_Species_Support!CZ30*3))^S13_PSP_Species_Support!DA30))^0.976,0))/1000/$G43*L$108,0)</x:f>
        <x:v>4.631123298687542</x:v>
      </x:c>
      <x:c r="M43" s="147" t="n">
        <x:f aca="0">IFERROR((IFERROR(S13_PSP_Species_Support!U30*0.0673*(S13_PSP_Species_Support!V30*(S13_PSP_Species_Support!W30*(1-EXP(-S13_PSP_Species_Support!X30*4))^S13_PSP_Species_Support!Y30)^2*(S13_PSP_Species_Support!Z30*(1-EXP(-S13_PSP_Species_Support!AA30*4))^S13_PSP_Species_Support!AB30))^0.976,0)+IFERROR(S13_PSP_Species_Support!AF30*0.0673*(S13_PSP_Species_Support!AG30*(S13_PSP_Species_Support!AH30*(1-EXP(-S13_PSP_Species_Support!AI30*4))^S13_PSP_Species_Support!AJ30)^2*(S13_PSP_Species_Support!AK30*(1-EXP(-S13_PSP_Species_Support!AL30*4))^S13_PSP_Species_Support!AM30))^0.976,0)+IFERROR(S13_PSP_Species_Support!AQ30*0.0673*(S13_PSP_Species_Support!AR30*(S13_PSP_Species_Support!AS30*(1-EXP(-S13_PSP_Species_Support!AT30*4))^S13_PSP_Species_Support!AU30)^2*(S13_PSP_Species_Support!AV30*(1-EXP(-S13_PSP_Species_Support!AW30*4))^S13_PSP_Species_Support!AX30))^0.976,0)+IFERROR(S13_PSP_Species_Support!BB30*0.0673*(S13_PSP_Species_Support!BC30*(S13_PSP_Species_Support!BD30*(1-EXP(-S13_PSP_Species_Support!BE30*4))^S13_PSP_Species_Support!BF30)^2*(S13_PSP_Species_Support!BG30*(1-EXP(-S13_PSP_Species_Support!BH30*4))^S13_PSP_Species_Support!BI30))^0.976,0)+IFERROR(S13_PSP_Species_Support!BM30*0.0673*(S13_PSP_Species_Support!BN30*(S13_PSP_Species_Support!BO30*(1-EXP(-S13_PSP_Species_Support!BP30*4))^S13_PSP_Species_Support!BQ30)^2*(S13_PSP_Species_Support!BR30*(1-EXP(-S13_PSP_Species_Support!BS30*4))^S13_PSP_Species_Support!BT30))^0.976,0)+IFERROR(S13_PSP_Species_Support!BX30*0.0673*(S13_PSP_Species_Support!BY30*(S13_PSP_Species_Support!BZ30*(1-EXP(-S13_PSP_Species_Support!CA30*4))^S13_PSP_Species_Support!CB30)^2*(S13_PSP_Species_Support!CC30*(1-EXP(-S13_PSP_Species_Support!CD30*4))^S13_PSP_Species_Support!CE30))^0.976,0)+IFERROR(S13_PSP_Species_Support!CI30*0.0673*(S13_PSP_Species_Support!CJ30*(S13_PSP_Species_Support!CK30*(1-EXP(-S13_PSP_Species_Support!CL30*4))^S13_PSP_Species_Support!CM30)^2*(S13_PSP_Species_Support!CN30*(1-EXP(-S13_PSP_Species_Support!CO30*4))^S13_PSP_Species_Support!CP30))^0.976,0)+IFERROR(S13_PSP_Species_Support!CT30*0.0673*(S13_PSP_Species_Support!CU30*(S13_PSP_Species_Support!CV30*(1-EXP(-S13_PSP_Species_Support!CW30*4))^S13_PSP_Species_Support!CX30)^2*(S13_PSP_Species_Support!CY30*(1-EXP(-S13_PSP_Species_Support!CZ30*4))^S13_PSP_Species_Support!DA30))^0.976,0))/1000/$G43*M$108,0)</x:f>
        <x:v>11.26919433642003</x:v>
      </x:c>
      <x:c r="N43" s="147" t="n">
        <x:f aca="0">IFERROR((IFERROR(S13_PSP_Species_Support!U30*0.0673*(S13_PSP_Species_Support!V30*(S13_PSP_Species_Support!W30*(1-EXP(-S13_PSP_Species_Support!X30*5))^S13_PSP_Species_Support!Y30)^2*(S13_PSP_Species_Support!Z30*(1-EXP(-S13_PSP_Species_Support!AA30*5))^S13_PSP_Species_Support!AB30))^0.976,0)+IFERROR(S13_PSP_Species_Support!AF30*0.0673*(S13_PSP_Species_Support!AG30*(S13_PSP_Species_Support!AH30*(1-EXP(-S13_PSP_Species_Support!AI30*5))^S13_PSP_Species_Support!AJ30)^2*(S13_PSP_Species_Support!AK30*(1-EXP(-S13_PSP_Species_Support!AL30*5))^S13_PSP_Species_Support!AM30))^0.976,0)+IFERROR(S13_PSP_Species_Support!AQ30*0.0673*(S13_PSP_Species_Support!AR30*(S13_PSP_Species_Support!AS30*(1-EXP(-S13_PSP_Species_Support!AT30*5))^S13_PSP_Species_Support!AU30)^2*(S13_PSP_Species_Support!AV30*(1-EXP(-S13_PSP_Species_Support!AW30*5))^S13_PSP_Species_Support!AX30))^0.976,0)+IFERROR(S13_PSP_Species_Support!BB30*0.0673*(S13_PSP_Species_Support!BC30*(S13_PSP_Species_Support!BD30*(1-EXP(-S13_PSP_Species_Support!BE30*5))^S13_PSP_Species_Support!BF30)^2*(S13_PSP_Species_Support!BG30*(1-EXP(-S13_PSP_Species_Support!BH30*5))^S13_PSP_Species_Support!BI30))^0.976,0)+IFERROR(S13_PSP_Species_Support!BM30*0.0673*(S13_PSP_Species_Support!BN30*(S13_PSP_Species_Support!BO30*(1-EXP(-S13_PSP_Species_Support!BP30*5))^S13_PSP_Species_Support!BQ30)^2*(S13_PSP_Species_Support!BR30*(1-EXP(-S13_PSP_Species_Support!BS30*5))^S13_PSP_Species_Support!BT30))^0.976,0)+IFERROR(S13_PSP_Species_Support!BX30*0.0673*(S13_PSP_Species_Support!BY30*(S13_PSP_Species_Support!BZ30*(1-EXP(-S13_PSP_Species_Support!CA30*5))^S13_PSP_Species_Support!CB30)^2*(S13_PSP_Species_Support!CC30*(1-EXP(-S13_PSP_Species_Support!CD30*5))^S13_PSP_Species_Support!CE30))^0.976,0)+IFERROR(S13_PSP_Species_Support!CI30*0.0673*(S13_PSP_Species_Support!CJ30*(S13_PSP_Species_Support!CK30*(1-EXP(-S13_PSP_Species_Support!CL30*5))^S13_PSP_Species_Support!CM30)^2*(S13_PSP_Species_Support!CN30*(1-EXP(-S13_PSP_Species_Support!CO30*5))^S13_PSP_Species_Support!CP30))^0.976,0)+IFERROR(S13_PSP_Species_Support!CT30*0.0673*(S13_PSP_Species_Support!CU30*(S13_PSP_Species_Support!CV30*(1-EXP(-S13_PSP_Species_Support!CW30*5))^S13_PSP_Species_Support!CX30)^2*(S13_PSP_Species_Support!CY30*(1-EXP(-S13_PSP_Species_Support!CZ30*5))^S13_PSP_Species_Support!DA30))^0.976,0))/1000/$G43*N$108,0)</x:f>
        <x:v>21.319245392715377</x:v>
      </x:c>
      <x:c r="O43" s="147" t="n">
        <x:f aca="0">IFERROR((IFERROR(S13_PSP_Species_Support!U30*0.0673*(S13_PSP_Species_Support!V30*(S13_PSP_Species_Support!W30*(1-EXP(-S13_PSP_Species_Support!X30*6))^S13_PSP_Species_Support!Y30)^2*(S13_PSP_Species_Support!Z30*(1-EXP(-S13_PSP_Species_Support!AA30*6))^S13_PSP_Species_Support!AB30))^0.976,0)+IFERROR(S13_PSP_Species_Support!AF30*0.0673*(S13_PSP_Species_Support!AG30*(S13_PSP_Species_Support!AH30*(1-EXP(-S13_PSP_Species_Support!AI30*6))^S13_PSP_Species_Support!AJ30)^2*(S13_PSP_Species_Support!AK30*(1-EXP(-S13_PSP_Species_Support!AL30*6))^S13_PSP_Species_Support!AM30))^0.976,0)+IFERROR(S13_PSP_Species_Support!AQ30*0.0673*(S13_PSP_Species_Support!AR30*(S13_PSP_Species_Support!AS30*(1-EXP(-S13_PSP_Species_Support!AT30*6))^S13_PSP_Species_Support!AU30)^2*(S13_PSP_Species_Support!AV30*(1-EXP(-S13_PSP_Species_Support!AW30*6))^S13_PSP_Species_Support!AX30))^0.976,0)+IFERROR(S13_PSP_Species_Support!BB30*0.0673*(S13_PSP_Species_Support!BC30*(S13_PSP_Species_Support!BD30*(1-EXP(-S13_PSP_Species_Support!BE30*6))^S13_PSP_Species_Support!BF30)^2*(S13_PSP_Species_Support!BG30*(1-EXP(-S13_PSP_Species_Support!BH30*6))^S13_PSP_Species_Support!BI30))^0.976,0)+IFERROR(S13_PSP_Species_Support!BM30*0.0673*(S13_PSP_Species_Support!BN30*(S13_PSP_Species_Support!BO30*(1-EXP(-S13_PSP_Species_Support!BP30*6))^S13_PSP_Species_Support!BQ30)^2*(S13_PSP_Species_Support!BR30*(1-EXP(-S13_PSP_Species_Support!BS30*6))^S13_PSP_Species_Support!BT30))^0.976,0)+IFERROR(S13_PSP_Species_Support!BX30*0.0673*(S13_PSP_Species_Support!BY30*(S13_PSP_Species_Support!BZ30*(1-EXP(-S13_PSP_Species_Support!CA30*6))^S13_PSP_Species_Support!CB30)^2*(S13_PSP_Species_Support!CC30*(1-EXP(-S13_PSP_Species_Support!CD30*6))^S13_PSP_Species_Support!CE30))^0.976,0)+IFERROR(S13_PSP_Species_Support!CI30*0.0673*(S13_PSP_Species_Support!CJ30*(S13_PSP_Species_Support!CK30*(1-EXP(-S13_PSP_Species_Support!CL30*6))^S13_PSP_Species_Support!CM30)^2*(S13_PSP_Species_Support!CN30*(1-EXP(-S13_PSP_Species_Support!CO30*6))^S13_PSP_Species_Support!CP30))^0.976,0)+IFERROR(S13_PSP_Species_Support!CT30*0.0673*(S13_PSP_Species_Support!CU30*(S13_PSP_Species_Support!CV30*(1-EXP(-S13_PSP_Species_Support!CW30*6))^S13_PSP_Species_Support!CX30)^2*(S13_PSP_Species_Support!CY30*(1-EXP(-S13_PSP_Species_Support!CZ30*6))^S13_PSP_Species_Support!DA30))^0.976,0))/1000/$G43*O$108,0)</x:f>
        <x:v>34.485074728387715</x:v>
      </x:c>
      <x:c r="P43" s="147" t="n">
        <x:f aca="0">IFERROR((IFERROR(S13_PSP_Species_Support!U30*0.0673*(S13_PSP_Species_Support!V30*(S13_PSP_Species_Support!W30*(1-EXP(-S13_PSP_Species_Support!X30*7))^S13_PSP_Species_Support!Y30)^2*(S13_PSP_Species_Support!Z30*(1-EXP(-S13_PSP_Species_Support!AA30*7))^S13_PSP_Species_Support!AB30))^0.976,0)+IFERROR(S13_PSP_Species_Support!AF30*0.0673*(S13_PSP_Species_Support!AG30*(S13_PSP_Species_Support!AH30*(1-EXP(-S13_PSP_Species_Support!AI30*7))^S13_PSP_Species_Support!AJ30)^2*(S13_PSP_Species_Support!AK30*(1-EXP(-S13_PSP_Species_Support!AL30*7))^S13_PSP_Species_Support!AM30))^0.976,0)+IFERROR(S13_PSP_Species_Support!AQ30*0.0673*(S13_PSP_Species_Support!AR30*(S13_PSP_Species_Support!AS30*(1-EXP(-S13_PSP_Species_Support!AT30*7))^S13_PSP_Species_Support!AU30)^2*(S13_PSP_Species_Support!AV30*(1-EXP(-S13_PSP_Species_Support!AW30*7))^S13_PSP_Species_Support!AX30))^0.976,0)+IFERROR(S13_PSP_Species_Support!BB30*0.0673*(S13_PSP_Species_Support!BC30*(S13_PSP_Species_Support!BD30*(1-EXP(-S13_PSP_Species_Support!BE30*7))^S13_PSP_Species_Support!BF30)^2*(S13_PSP_Species_Support!BG30*(1-EXP(-S13_PSP_Species_Support!BH30*7))^S13_PSP_Species_Support!BI30))^0.976,0)+IFERROR(S13_PSP_Species_Support!BM30*0.0673*(S13_PSP_Species_Support!BN30*(S13_PSP_Species_Support!BO30*(1-EXP(-S13_PSP_Species_Support!BP30*7))^S13_PSP_Species_Support!BQ30)^2*(S13_PSP_Species_Support!BR30*(1-EXP(-S13_PSP_Species_Support!BS30*7))^S13_PSP_Species_Support!BT30))^0.976,0)+IFERROR(S13_PSP_Species_Support!BX30*0.0673*(S13_PSP_Species_Support!BY30*(S13_PSP_Species_Support!BZ30*(1-EXP(-S13_PSP_Species_Support!CA30*7))^S13_PSP_Species_Support!CB30)^2*(S13_PSP_Species_Support!CC30*(1-EXP(-S13_PSP_Species_Support!CD30*7))^S13_PSP_Species_Support!CE30))^0.976,0)+IFERROR(S13_PSP_Species_Support!CI30*0.0673*(S13_PSP_Species_Support!CJ30*(S13_PSP_Species_Support!CK30*(1-EXP(-S13_PSP_Species_Support!CL30*7))^S13_PSP_Species_Support!CM30)^2*(S13_PSP_Species_Support!CN30*(1-EXP(-S13_PSP_Species_Support!CO30*7))^S13_PSP_Species_Support!CP30))^0.976,0)+IFERROR(S13_PSP_Species_Support!CT30*0.0673*(S13_PSP_Species_Support!CU30*(S13_PSP_Species_Support!CV30*(1-EXP(-S13_PSP_Species_Support!CW30*7))^S13_PSP_Species_Support!CX30)^2*(S13_PSP_Species_Support!CY30*(1-EXP(-S13_PSP_Species_Support!CZ30*7))^S13_PSP_Species_Support!DA30))^0.976,0))/1000/$G43*P$108,0)</x:f>
        <x:v>50.17376950161748</x:v>
      </x:c>
      <x:c r="Q43" s="147" t="n">
        <x:f aca="0">IFERROR((IFERROR(S13_PSP_Species_Support!U30*0.0673*(S13_PSP_Species_Support!V30*(S13_PSP_Species_Support!W30*(1-EXP(-S13_PSP_Species_Support!X30*8))^S13_PSP_Species_Support!Y30)^2*(S13_PSP_Species_Support!Z30*(1-EXP(-S13_PSP_Species_Support!AA30*8))^S13_PSP_Species_Support!AB30))^0.976,0)+IFERROR(S13_PSP_Species_Support!AF30*0.0673*(S13_PSP_Species_Support!AG30*(S13_PSP_Species_Support!AH30*(1-EXP(-S13_PSP_Species_Support!AI30*8))^S13_PSP_Species_Support!AJ30)^2*(S13_PSP_Species_Support!AK30*(1-EXP(-S13_PSP_Species_Support!AL30*8))^S13_PSP_Species_Support!AM30))^0.976,0)+IFERROR(S13_PSP_Species_Support!AQ30*0.0673*(S13_PSP_Species_Support!AR30*(S13_PSP_Species_Support!AS30*(1-EXP(-S13_PSP_Species_Support!AT30*8))^S13_PSP_Species_Support!AU30)^2*(S13_PSP_Species_Support!AV30*(1-EXP(-S13_PSP_Species_Support!AW30*8))^S13_PSP_Species_Support!AX30))^0.976,0)+IFERROR(S13_PSP_Species_Support!BB30*0.0673*(S13_PSP_Species_Support!BC30*(S13_PSP_Species_Support!BD30*(1-EXP(-S13_PSP_Species_Support!BE30*8))^S13_PSP_Species_Support!BF30)^2*(S13_PSP_Species_Support!BG30*(1-EXP(-S13_PSP_Species_Support!BH30*8))^S13_PSP_Species_Support!BI30))^0.976,0)+IFERROR(S13_PSP_Species_Support!BM30*0.0673*(S13_PSP_Species_Support!BN30*(S13_PSP_Species_Support!BO30*(1-EXP(-S13_PSP_Species_Support!BP30*8))^S13_PSP_Species_Support!BQ30)^2*(S13_PSP_Species_Support!BR30*(1-EXP(-S13_PSP_Species_Support!BS30*8))^S13_PSP_Species_Support!BT30))^0.976,0)+IFERROR(S13_PSP_Species_Support!BX30*0.0673*(S13_PSP_Species_Support!BY30*(S13_PSP_Species_Support!BZ30*(1-EXP(-S13_PSP_Species_Support!CA30*8))^S13_PSP_Species_Support!CB30)^2*(S13_PSP_Species_Support!CC30*(1-EXP(-S13_PSP_Species_Support!CD30*8))^S13_PSP_Species_Support!CE30))^0.976,0)+IFERROR(S13_PSP_Species_Support!CI30*0.0673*(S13_PSP_Species_Support!CJ30*(S13_PSP_Species_Support!CK30*(1-EXP(-S13_PSP_Species_Support!CL30*8))^S13_PSP_Species_Support!CM30)^2*(S13_PSP_Species_Support!CN30*(1-EXP(-S13_PSP_Species_Support!CO30*8))^S13_PSP_Species_Support!CP30))^0.976,0)+IFERROR(S13_PSP_Species_Support!CT30*0.0673*(S13_PSP_Species_Support!CU30*(S13_PSP_Species_Support!CV30*(1-EXP(-S13_PSP_Species_Support!CW30*8))^S13_PSP_Species_Support!CX30)^2*(S13_PSP_Species_Support!CY30*(1-EXP(-S13_PSP_Species_Support!CZ30*8))^S13_PSP_Species_Support!DA30))^0.976,0))/1000/$G43*Q$108,0)</x:f>
        <x:v>67.67299617320968</x:v>
      </x:c>
      <x:c r="R43" s="147" t="n">
        <x:f aca="0">IFERROR((IFERROR(S13_PSP_Species_Support!U30*0.0673*(S13_PSP_Species_Support!V30*(S13_PSP_Species_Support!W30*(1-EXP(-S13_PSP_Species_Support!X30*9))^S13_PSP_Species_Support!Y30)^2*(S13_PSP_Species_Support!Z30*(1-EXP(-S13_PSP_Species_Support!AA30*9))^S13_PSP_Species_Support!AB30))^0.976,0)+IFERROR(S13_PSP_Species_Support!AF30*0.0673*(S13_PSP_Species_Support!AG30*(S13_PSP_Species_Support!AH30*(1-EXP(-S13_PSP_Species_Support!AI30*9))^S13_PSP_Species_Support!AJ30)^2*(S13_PSP_Species_Support!AK30*(1-EXP(-S13_PSP_Species_Support!AL30*9))^S13_PSP_Species_Support!AM30))^0.976,0)+IFERROR(S13_PSP_Species_Support!AQ30*0.0673*(S13_PSP_Species_Support!AR30*(S13_PSP_Species_Support!AS30*(1-EXP(-S13_PSP_Species_Support!AT30*9))^S13_PSP_Species_Support!AU30)^2*(S13_PSP_Species_Support!AV30*(1-EXP(-S13_PSP_Species_Support!AW30*9))^S13_PSP_Species_Support!AX30))^0.976,0)+IFERROR(S13_PSP_Species_Support!BB30*0.0673*(S13_PSP_Species_Support!BC30*(S13_PSP_Species_Support!BD30*(1-EXP(-S13_PSP_Species_Support!BE30*9))^S13_PSP_Species_Support!BF30)^2*(S13_PSP_Species_Support!BG30*(1-EXP(-S13_PSP_Species_Support!BH30*9))^S13_PSP_Species_Support!BI30))^0.976,0)+IFERROR(S13_PSP_Species_Support!BM30*0.0673*(S13_PSP_Species_Support!BN30*(S13_PSP_Species_Support!BO30*(1-EXP(-S13_PSP_Species_Support!BP30*9))^S13_PSP_Species_Support!BQ30)^2*(S13_PSP_Species_Support!BR30*(1-EXP(-S13_PSP_Species_Support!BS30*9))^S13_PSP_Species_Support!BT30))^0.976,0)+IFERROR(S13_PSP_Species_Support!BX30*0.0673*(S13_PSP_Species_Support!BY30*(S13_PSP_Species_Support!BZ30*(1-EXP(-S13_PSP_Species_Support!CA30*9))^S13_PSP_Species_Support!CB30)^2*(S13_PSP_Species_Support!CC30*(1-EXP(-S13_PSP_Species_Support!CD30*9))^S13_PSP_Species_Support!CE30))^0.976,0)+IFERROR(S13_PSP_Species_Support!CI30*0.0673*(S13_PSP_Species_Support!CJ30*(S13_PSP_Species_Support!CK30*(1-EXP(-S13_PSP_Species_Support!CL30*9))^S13_PSP_Species_Support!CM30)^2*(S13_PSP_Species_Support!CN30*(1-EXP(-S13_PSP_Species_Support!CO30*9))^S13_PSP_Species_Support!CP30))^0.976,0)+IFERROR(S13_PSP_Species_Support!CT30*0.0673*(S13_PSP_Species_Support!CU30*(S13_PSP_Species_Support!CV30*(1-EXP(-S13_PSP_Species_Support!CW30*9))^S13_PSP_Species_Support!CX30)^2*(S13_PSP_Species_Support!CY30*(1-EXP(-S13_PSP_Species_Support!CZ30*9))^S13_PSP_Species_Support!DA30))^0.976,0))/1000/$G43*R$108,0)</x:f>
        <x:v>86.27289752138074</x:v>
      </x:c>
      <x:c r="S43" s="147" t="n">
        <x:f aca="0">IFERROR((IFERROR(S13_PSP_Species_Support!U30*0.0673*(S13_PSP_Species_Support!V30*(S13_PSP_Species_Support!W30*(1-EXP(-S13_PSP_Species_Support!X30*10))^S13_PSP_Species_Support!Y30)^2*(S13_PSP_Species_Support!Z30*(1-EXP(-S13_PSP_Species_Support!AA30*10))^S13_PSP_Species_Support!AB30))^0.976,0)+IFERROR(S13_PSP_Species_Support!AF30*0.0673*(S13_PSP_Species_Support!AG30*(S13_PSP_Species_Support!AH30*(1-EXP(-S13_PSP_Species_Support!AI30*10))^S13_PSP_Species_Support!AJ30)^2*(S13_PSP_Species_Support!AK30*(1-EXP(-S13_PSP_Species_Support!AL30*10))^S13_PSP_Species_Support!AM30))^0.976,0)+IFERROR(S13_PSP_Species_Support!AQ30*0.0673*(S13_PSP_Species_Support!AR30*(S13_PSP_Species_Support!AS30*(1-EXP(-S13_PSP_Species_Support!AT30*10))^S13_PSP_Species_Support!AU30)^2*(S13_PSP_Species_Support!AV30*(1-EXP(-S13_PSP_Species_Support!AW30*10))^S13_PSP_Species_Support!AX30))^0.976,0)+IFERROR(S13_PSP_Species_Support!BB30*0.0673*(S13_PSP_Species_Support!BC30*(S13_PSP_Species_Support!BD30*(1-EXP(-S13_PSP_Species_Support!BE30*10))^S13_PSP_Species_Support!BF30)^2*(S13_PSP_Species_Support!BG30*(1-EXP(-S13_PSP_Species_Support!BH30*10))^S13_PSP_Species_Support!BI30))^0.976,0)+IFERROR(S13_PSP_Species_Support!BM30*0.0673*(S13_PSP_Species_Support!BN30*(S13_PSP_Species_Support!BO30*(1-EXP(-S13_PSP_Species_Support!BP30*10))^S13_PSP_Species_Support!BQ30)^2*(S13_PSP_Species_Support!BR30*(1-EXP(-S13_PSP_Species_Support!BS30*10))^S13_PSP_Species_Support!BT30))^0.976,0)+IFERROR(S13_PSP_Species_Support!BX30*0.0673*(S13_PSP_Species_Support!BY30*(S13_PSP_Species_Support!BZ30*(1-EXP(-S13_PSP_Species_Support!CA30*10))^S13_PSP_Species_Support!CB30)^2*(S13_PSP_Species_Support!CC30*(1-EXP(-S13_PSP_Species_Support!CD30*10))^S13_PSP_Species_Support!CE30))^0.976,0)+IFERROR(S13_PSP_Species_Support!CI30*0.0673*(S13_PSP_Species_Support!CJ30*(S13_PSP_Species_Support!CK30*(1-EXP(-S13_PSP_Species_Support!CL30*10))^S13_PSP_Species_Support!CM30)^2*(S13_PSP_Species_Support!CN30*(1-EXP(-S13_PSP_Species_Support!CO30*10))^S13_PSP_Species_Support!CP30))^0.976,0)+IFERROR(S13_PSP_Species_Support!CT30*0.0673*(S13_PSP_Species_Support!CU30*(S13_PSP_Species_Support!CV30*(1-EXP(-S13_PSP_Species_Support!CW30*10))^S13_PSP_Species_Support!CX30)^2*(S13_PSP_Species_Support!CY30*(1-EXP(-S13_PSP_Species_Support!CZ30*10))^S13_PSP_Species_Support!DA30))^0.976,0))/1000/$G43*S$108,0)</x:f>
        <x:v>105.33737602767832</x:v>
      </x:c>
      <x:c r="T43" s="147" t="n">
        <x:f aca="0">IFERROR((IFERROR(S13_PSP_Species_Support!U30*0.0673*(S13_PSP_Species_Support!V30*(S13_PSP_Species_Support!W30*(1-EXP(-S13_PSP_Species_Support!X30*11))^S13_PSP_Species_Support!Y30)^2*(S13_PSP_Species_Support!Z30*(1-EXP(-S13_PSP_Species_Support!AA30*11))^S13_PSP_Species_Support!AB30))^0.976,0)+IFERROR(S13_PSP_Species_Support!AF30*0.0673*(S13_PSP_Species_Support!AG30*(S13_PSP_Species_Support!AH30*(1-EXP(-S13_PSP_Species_Support!AI30*11))^S13_PSP_Species_Support!AJ30)^2*(S13_PSP_Species_Support!AK30*(1-EXP(-S13_PSP_Species_Support!AL30*11))^S13_PSP_Species_Support!AM30))^0.976,0)+IFERROR(S13_PSP_Species_Support!AQ30*0.0673*(S13_PSP_Species_Support!AR30*(S13_PSP_Species_Support!AS30*(1-EXP(-S13_PSP_Species_Support!AT30*11))^S13_PSP_Species_Support!AU30)^2*(S13_PSP_Species_Support!AV30*(1-EXP(-S13_PSP_Species_Support!AW30*11))^S13_PSP_Species_Support!AX30))^0.976,0)+IFERROR(S13_PSP_Species_Support!BB30*0.0673*(S13_PSP_Species_Support!BC30*(S13_PSP_Species_Support!BD30*(1-EXP(-S13_PSP_Species_Support!BE30*11))^S13_PSP_Species_Support!BF30)^2*(S13_PSP_Species_Support!BG30*(1-EXP(-S13_PSP_Species_Support!BH30*11))^S13_PSP_Species_Support!BI30))^0.976,0)+IFERROR(S13_PSP_Species_Support!BM30*0.0673*(S13_PSP_Species_Support!BN30*(S13_PSP_Species_Support!BO30*(1-EXP(-S13_PSP_Species_Support!BP30*11))^S13_PSP_Species_Support!BQ30)^2*(S13_PSP_Species_Support!BR30*(1-EXP(-S13_PSP_Species_Support!BS30*11))^S13_PSP_Species_Support!BT30))^0.976,0)+IFERROR(S13_PSP_Species_Support!BX30*0.0673*(S13_PSP_Species_Support!BY30*(S13_PSP_Species_Support!BZ30*(1-EXP(-S13_PSP_Species_Support!CA30*11))^S13_PSP_Species_Support!CB30)^2*(S13_PSP_Species_Support!CC30*(1-EXP(-S13_PSP_Species_Support!CD30*11))^S13_PSP_Species_Support!CE30))^0.976,0)+IFERROR(S13_PSP_Species_Support!CI30*0.0673*(S13_PSP_Species_Support!CJ30*(S13_PSP_Species_Support!CK30*(1-EXP(-S13_PSP_Species_Support!CL30*11))^S13_PSP_Species_Support!CM30)^2*(S13_PSP_Species_Support!CN30*(1-EXP(-S13_PSP_Species_Support!CO30*11))^S13_PSP_Species_Support!CP30))^0.976,0)+IFERROR(S13_PSP_Species_Support!CT30*0.0673*(S13_PSP_Species_Support!CU30*(S13_PSP_Species_Support!CV30*(1-EXP(-S13_PSP_Species_Support!CW30*11))^S13_PSP_Species_Support!CX30)^2*(S13_PSP_Species_Support!CY30*(1-EXP(-S13_PSP_Species_Support!CZ30*11))^S13_PSP_Species_Support!DA30))^0.976,0))/1000/$G43*T$108,0)</x:f>
        <x:v>124.33760506886148</x:v>
      </x:c>
      <x:c r="U43" s="147" t="n">
        <x:f aca="0">IFERROR((IFERROR(S13_PSP_Species_Support!U30*0.0673*(S13_PSP_Species_Support!V30*(S13_PSP_Species_Support!W30*(1-EXP(-S13_PSP_Species_Support!X30*12))^S13_PSP_Species_Support!Y30)^2*(S13_PSP_Species_Support!Z30*(1-EXP(-S13_PSP_Species_Support!AA30*12))^S13_PSP_Species_Support!AB30))^0.976,0)+IFERROR(S13_PSP_Species_Support!AF30*0.0673*(S13_PSP_Species_Support!AG30*(S13_PSP_Species_Support!AH30*(1-EXP(-S13_PSP_Species_Support!AI30*12))^S13_PSP_Species_Support!AJ30)^2*(S13_PSP_Species_Support!AK30*(1-EXP(-S13_PSP_Species_Support!AL30*12))^S13_PSP_Species_Support!AM30))^0.976,0)+IFERROR(S13_PSP_Species_Support!AQ30*0.0673*(S13_PSP_Species_Support!AR30*(S13_PSP_Species_Support!AS30*(1-EXP(-S13_PSP_Species_Support!AT30*12))^S13_PSP_Species_Support!AU30)^2*(S13_PSP_Species_Support!AV30*(1-EXP(-S13_PSP_Species_Support!AW30*12))^S13_PSP_Species_Support!AX30))^0.976,0)+IFERROR(S13_PSP_Species_Support!BB30*0.0673*(S13_PSP_Species_Support!BC30*(S13_PSP_Species_Support!BD30*(1-EXP(-S13_PSP_Species_Support!BE30*12))^S13_PSP_Species_Support!BF30)^2*(S13_PSP_Species_Support!BG30*(1-EXP(-S13_PSP_Species_Support!BH30*12))^S13_PSP_Species_Support!BI30))^0.976,0)+IFERROR(S13_PSP_Species_Support!BM30*0.0673*(S13_PSP_Species_Support!BN30*(S13_PSP_Species_Support!BO30*(1-EXP(-S13_PSP_Species_Support!BP30*12))^S13_PSP_Species_Support!BQ30)^2*(S13_PSP_Species_Support!BR30*(1-EXP(-S13_PSP_Species_Support!BS30*12))^S13_PSP_Species_Support!BT30))^0.976,0)+IFERROR(S13_PSP_Species_Support!BX30*0.0673*(S13_PSP_Species_Support!BY30*(S13_PSP_Species_Support!BZ30*(1-EXP(-S13_PSP_Species_Support!CA30*12))^S13_PSP_Species_Support!CB30)^2*(S13_PSP_Species_Support!CC30*(1-EXP(-S13_PSP_Species_Support!CD30*12))^S13_PSP_Species_Support!CE30))^0.976,0)+IFERROR(S13_PSP_Species_Support!CI30*0.0673*(S13_PSP_Species_Support!CJ30*(S13_PSP_Species_Support!CK30*(1-EXP(-S13_PSP_Species_Support!CL30*12))^S13_PSP_Species_Support!CM30)^2*(S13_PSP_Species_Support!CN30*(1-EXP(-S13_PSP_Species_Support!CO30*12))^S13_PSP_Species_Support!CP30))^0.976,0)+IFERROR(S13_PSP_Species_Support!CT30*0.0673*(S13_PSP_Species_Support!CU30*(S13_PSP_Species_Support!CV30*(1-EXP(-S13_PSP_Species_Support!CW30*12))^S13_PSP_Species_Support!CX30)^2*(S13_PSP_Species_Support!CY30*(1-EXP(-S13_PSP_Species_Support!CZ30*12))^S13_PSP_Species_Support!DA30))^0.976,0))/1000/$G43*U$108,0)</x:f>
        <x:v>142.86062048055757</x:v>
      </x:c>
      <x:c r="V43" s="147" t="n">
        <x:f aca="0">IFERROR((IFERROR(S13_PSP_Species_Support!U30*0.0673*(S13_PSP_Species_Support!V30*(S13_PSP_Species_Support!W30*(1-EXP(-S13_PSP_Species_Support!X30*13))^S13_PSP_Species_Support!Y30)^2*(S13_PSP_Species_Support!Z30*(1-EXP(-S13_PSP_Species_Support!AA30*13))^S13_PSP_Species_Support!AB30))^0.976,0)+IFERROR(S13_PSP_Species_Support!AF30*0.0673*(S13_PSP_Species_Support!AG30*(S13_PSP_Species_Support!AH30*(1-EXP(-S13_PSP_Species_Support!AI30*13))^S13_PSP_Species_Support!AJ30)^2*(S13_PSP_Species_Support!AK30*(1-EXP(-S13_PSP_Species_Support!AL30*13))^S13_PSP_Species_Support!AM30))^0.976,0)+IFERROR(S13_PSP_Species_Support!AQ30*0.0673*(S13_PSP_Species_Support!AR30*(S13_PSP_Species_Support!AS30*(1-EXP(-S13_PSP_Species_Support!AT30*13))^S13_PSP_Species_Support!AU30)^2*(S13_PSP_Species_Support!AV30*(1-EXP(-S13_PSP_Species_Support!AW30*13))^S13_PSP_Species_Support!AX30))^0.976,0)+IFERROR(S13_PSP_Species_Support!BB30*0.0673*(S13_PSP_Species_Support!BC30*(S13_PSP_Species_Support!BD30*(1-EXP(-S13_PSP_Species_Support!BE30*13))^S13_PSP_Species_Support!BF30)^2*(S13_PSP_Species_Support!BG30*(1-EXP(-S13_PSP_Species_Support!BH30*13))^S13_PSP_Species_Support!BI30))^0.976,0)+IFERROR(S13_PSP_Species_Support!BM30*0.0673*(S13_PSP_Species_Support!BN30*(S13_PSP_Species_Support!BO30*(1-EXP(-S13_PSP_Species_Support!BP30*13))^S13_PSP_Species_Support!BQ30)^2*(S13_PSP_Species_Support!BR30*(1-EXP(-S13_PSP_Species_Support!BS30*13))^S13_PSP_Species_Support!BT30))^0.976,0)+IFERROR(S13_PSP_Species_Support!BX30*0.0673*(S13_PSP_Species_Support!BY30*(S13_PSP_Species_Support!BZ30*(1-EXP(-S13_PSP_Species_Support!CA30*13))^S13_PSP_Species_Support!CB30)^2*(S13_PSP_Species_Support!CC30*(1-EXP(-S13_PSP_Species_Support!CD30*13))^S13_PSP_Species_Support!CE30))^0.976,0)+IFERROR(S13_PSP_Species_Support!CI30*0.0673*(S13_PSP_Species_Support!CJ30*(S13_PSP_Species_Support!CK30*(1-EXP(-S13_PSP_Species_Support!CL30*13))^S13_PSP_Species_Support!CM30)^2*(S13_PSP_Species_Support!CN30*(1-EXP(-S13_PSP_Species_Support!CO30*13))^S13_PSP_Species_Support!CP30))^0.976,0)+IFERROR(S13_PSP_Species_Support!CT30*0.0673*(S13_PSP_Species_Support!CU30*(S13_PSP_Species_Support!CV30*(1-EXP(-S13_PSP_Species_Support!CW30*13))^S13_PSP_Species_Support!CX30)^2*(S13_PSP_Species_Support!CY30*(1-EXP(-S13_PSP_Species_Support!CZ30*13))^S13_PSP_Species_Support!DA30))^0.976,0))/1000/$G43*V$108,0)</x:f>
        <x:v>160.60320828635793</x:v>
      </x:c>
      <x:c r="W43" s="147" t="n">
        <x:f aca="0">IFERROR((IFERROR(S13_PSP_Species_Support!U30*0.0673*(S13_PSP_Species_Support!V30*(S13_PSP_Species_Support!W30*(1-EXP(-S13_PSP_Species_Support!X30*14))^S13_PSP_Species_Support!Y30)^2*(S13_PSP_Species_Support!Z30*(1-EXP(-S13_PSP_Species_Support!AA30*14))^S13_PSP_Species_Support!AB30))^0.976,0)+IFERROR(S13_PSP_Species_Support!AF30*0.0673*(S13_PSP_Species_Support!AG30*(S13_PSP_Species_Support!AH30*(1-EXP(-S13_PSP_Species_Support!AI30*14))^S13_PSP_Species_Support!AJ30)^2*(S13_PSP_Species_Support!AK30*(1-EXP(-S13_PSP_Species_Support!AL30*14))^S13_PSP_Species_Support!AM30))^0.976,0)+IFERROR(S13_PSP_Species_Support!AQ30*0.0673*(S13_PSP_Species_Support!AR30*(S13_PSP_Species_Support!AS30*(1-EXP(-S13_PSP_Species_Support!AT30*14))^S13_PSP_Species_Support!AU30)^2*(S13_PSP_Species_Support!AV30*(1-EXP(-S13_PSP_Species_Support!AW30*14))^S13_PSP_Species_Support!AX30))^0.976,0)+IFERROR(S13_PSP_Species_Support!BB30*0.0673*(S13_PSP_Species_Support!BC30*(S13_PSP_Species_Support!BD30*(1-EXP(-S13_PSP_Species_Support!BE30*14))^S13_PSP_Species_Support!BF30)^2*(S13_PSP_Species_Support!BG30*(1-EXP(-S13_PSP_Species_Support!BH30*14))^S13_PSP_Species_Support!BI30))^0.976,0)+IFERROR(S13_PSP_Species_Support!BM30*0.0673*(S13_PSP_Species_Support!BN30*(S13_PSP_Species_Support!BO30*(1-EXP(-S13_PSP_Species_Support!BP30*14))^S13_PSP_Species_Support!BQ30)^2*(S13_PSP_Species_Support!BR30*(1-EXP(-S13_PSP_Species_Support!BS30*14))^S13_PSP_Species_Support!BT30))^0.976,0)+IFERROR(S13_PSP_Species_Support!BX30*0.0673*(S13_PSP_Species_Support!BY30*(S13_PSP_Species_Support!BZ30*(1-EXP(-S13_PSP_Species_Support!CA30*14))^S13_PSP_Species_Support!CB30)^2*(S13_PSP_Species_Support!CC30*(1-EXP(-S13_PSP_Species_Support!CD30*14))^S13_PSP_Species_Support!CE30))^0.976,0)+IFERROR(S13_PSP_Species_Support!CI30*0.0673*(S13_PSP_Species_Support!CJ30*(S13_PSP_Species_Support!CK30*(1-EXP(-S13_PSP_Species_Support!CL30*14))^S13_PSP_Species_Support!CM30)^2*(S13_PSP_Species_Support!CN30*(1-EXP(-S13_PSP_Species_Support!CO30*14))^S13_PSP_Species_Support!CP30))^0.976,0)+IFERROR(S13_PSP_Species_Support!CT30*0.0673*(S13_PSP_Species_Support!CU30*(S13_PSP_Species_Support!CV30*(1-EXP(-S13_PSP_Species_Support!CW30*14))^S13_PSP_Species_Support!CX30)^2*(S13_PSP_Species_Support!CY30*(1-EXP(-S13_PSP_Species_Support!CZ30*14))^S13_PSP_Species_Support!DA30))^0.976,0))/1000/$G43*W$108,0)</x:f>
        <x:v>177.35830226264034</x:v>
      </x:c>
      <x:c r="X43" s="147" t="n">
        <x:f aca="0">IFERROR((IFERROR(S13_PSP_Species_Support!U30*0.0673*(S13_PSP_Species_Support!V30*(S13_PSP_Species_Support!W30*(1-EXP(-S13_PSP_Species_Support!X30*15))^S13_PSP_Species_Support!Y30)^2*(S13_PSP_Species_Support!Z30*(1-EXP(-S13_PSP_Species_Support!AA30*15))^S13_PSP_Species_Support!AB30))^0.976,0)+IFERROR(S13_PSP_Species_Support!AF30*0.0673*(S13_PSP_Species_Support!AG30*(S13_PSP_Species_Support!AH30*(1-EXP(-S13_PSP_Species_Support!AI30*15))^S13_PSP_Species_Support!AJ30)^2*(S13_PSP_Species_Support!AK30*(1-EXP(-S13_PSP_Species_Support!AL30*15))^S13_PSP_Species_Support!AM30))^0.976,0)+IFERROR(S13_PSP_Species_Support!AQ30*0.0673*(S13_PSP_Species_Support!AR30*(S13_PSP_Species_Support!AS30*(1-EXP(-S13_PSP_Species_Support!AT30*15))^S13_PSP_Species_Support!AU30)^2*(S13_PSP_Species_Support!AV30*(1-EXP(-S13_PSP_Species_Support!AW30*15))^S13_PSP_Species_Support!AX30))^0.976,0)+IFERROR(S13_PSP_Species_Support!BB30*0.0673*(S13_PSP_Species_Support!BC30*(S13_PSP_Species_Support!BD30*(1-EXP(-S13_PSP_Species_Support!BE30*15))^S13_PSP_Species_Support!BF30)^2*(S13_PSP_Species_Support!BG30*(1-EXP(-S13_PSP_Species_Support!BH30*15))^S13_PSP_Species_Support!BI30))^0.976,0)+IFERROR(S13_PSP_Species_Support!BM30*0.0673*(S13_PSP_Species_Support!BN30*(S13_PSP_Species_Support!BO30*(1-EXP(-S13_PSP_Species_Support!BP30*15))^S13_PSP_Species_Support!BQ30)^2*(S13_PSP_Species_Support!BR30*(1-EXP(-S13_PSP_Species_Support!BS30*15))^S13_PSP_Species_Support!BT30))^0.976,0)+IFERROR(S13_PSP_Species_Support!BX30*0.0673*(S13_PSP_Species_Support!BY30*(S13_PSP_Species_Support!BZ30*(1-EXP(-S13_PSP_Species_Support!CA30*15))^S13_PSP_Species_Support!CB30)^2*(S13_PSP_Species_Support!CC30*(1-EXP(-S13_PSP_Species_Support!CD30*15))^S13_PSP_Species_Support!CE30))^0.976,0)+IFERROR(S13_PSP_Species_Support!CI30*0.0673*(S13_PSP_Species_Support!CJ30*(S13_PSP_Species_Support!CK30*(1-EXP(-S13_PSP_Species_Support!CL30*15))^S13_PSP_Species_Support!CM30)^2*(S13_PSP_Species_Support!CN30*(1-EXP(-S13_PSP_Species_Support!CO30*15))^S13_PSP_Species_Support!CP30))^0.976,0)+IFERROR(S13_PSP_Species_Support!CT30*0.0673*(S13_PSP_Species_Support!CU30*(S13_PSP_Species_Support!CV30*(1-EXP(-S13_PSP_Species_Support!CW30*15))^S13_PSP_Species_Support!CX30)^2*(S13_PSP_Species_Support!CY30*(1-EXP(-S13_PSP_Species_Support!CZ30*15))^S13_PSP_Species_Support!DA30))^0.976,0))/1000/$G43*X$108,0)</x:f>
        <x:v>192.99856455930515</x:v>
      </x:c>
      <x:c r="Y43" s="147" t="n">
        <x:f aca="0">IFERROR((IFERROR(S13_PSP_Species_Support!U30*0.0673*(S13_PSP_Species_Support!V30*(S13_PSP_Species_Support!W30*(1-EXP(-S13_PSP_Species_Support!X30*16))^S13_PSP_Species_Support!Y30)^2*(S13_PSP_Species_Support!Z30*(1-EXP(-S13_PSP_Species_Support!AA30*16))^S13_PSP_Species_Support!AB30))^0.976,0)+IFERROR(S13_PSP_Species_Support!AF30*0.0673*(S13_PSP_Species_Support!AG30*(S13_PSP_Species_Support!AH30*(1-EXP(-S13_PSP_Species_Support!AI30*16))^S13_PSP_Species_Support!AJ30)^2*(S13_PSP_Species_Support!AK30*(1-EXP(-S13_PSP_Species_Support!AL30*16))^S13_PSP_Species_Support!AM30))^0.976,0)+IFERROR(S13_PSP_Species_Support!AQ30*0.0673*(S13_PSP_Species_Support!AR30*(S13_PSP_Species_Support!AS30*(1-EXP(-S13_PSP_Species_Support!AT30*16))^S13_PSP_Species_Support!AU30)^2*(S13_PSP_Species_Support!AV30*(1-EXP(-S13_PSP_Species_Support!AW30*16))^S13_PSP_Species_Support!AX30))^0.976,0)+IFERROR(S13_PSP_Species_Support!BB30*0.0673*(S13_PSP_Species_Support!BC30*(S13_PSP_Species_Support!BD30*(1-EXP(-S13_PSP_Species_Support!BE30*16))^S13_PSP_Species_Support!BF30)^2*(S13_PSP_Species_Support!BG30*(1-EXP(-S13_PSP_Species_Support!BH30*16))^S13_PSP_Species_Support!BI30))^0.976,0)+IFERROR(S13_PSP_Species_Support!BM30*0.0673*(S13_PSP_Species_Support!BN30*(S13_PSP_Species_Support!BO30*(1-EXP(-S13_PSP_Species_Support!BP30*16))^S13_PSP_Species_Support!BQ30)^2*(S13_PSP_Species_Support!BR30*(1-EXP(-S13_PSP_Species_Support!BS30*16))^S13_PSP_Species_Support!BT30))^0.976,0)+IFERROR(S13_PSP_Species_Support!BX30*0.0673*(S13_PSP_Species_Support!BY30*(S13_PSP_Species_Support!BZ30*(1-EXP(-S13_PSP_Species_Support!CA30*16))^S13_PSP_Species_Support!CB30)^2*(S13_PSP_Species_Support!CC30*(1-EXP(-S13_PSP_Species_Support!CD30*16))^S13_PSP_Species_Support!CE30))^0.976,0)+IFERROR(S13_PSP_Species_Support!CI30*0.0673*(S13_PSP_Species_Support!CJ30*(S13_PSP_Species_Support!CK30*(1-EXP(-S13_PSP_Species_Support!CL30*16))^S13_PSP_Species_Support!CM30)^2*(S13_PSP_Species_Support!CN30*(1-EXP(-S13_PSP_Species_Support!CO30*16))^S13_PSP_Species_Support!CP30))^0.976,0)+IFERROR(S13_PSP_Species_Support!CT30*0.0673*(S13_PSP_Species_Support!CU30*(S13_PSP_Species_Support!CV30*(1-EXP(-S13_PSP_Species_Support!CW30*16))^S13_PSP_Species_Support!CX30)^2*(S13_PSP_Species_Support!CY30*(1-EXP(-S13_PSP_Species_Support!CZ30*16))^S13_PSP_Species_Support!DA30))^0.976,0))/1000/$G43*Y$108,0)</x:f>
        <x:v>207.4599341861582</x:v>
      </x:c>
      <x:c r="Z43" s="147" t="n">
        <x:f aca="0">IFERROR((IFERROR(S13_PSP_Species_Support!U30*0.0673*(S13_PSP_Species_Support!V30*(S13_PSP_Species_Support!W30*(1-EXP(-S13_PSP_Species_Support!X30*17))^S13_PSP_Species_Support!Y30)^2*(S13_PSP_Species_Support!Z30*(1-EXP(-S13_PSP_Species_Support!AA30*17))^S13_PSP_Species_Support!AB30))^0.976,0)+IFERROR(S13_PSP_Species_Support!AF30*0.0673*(S13_PSP_Species_Support!AG30*(S13_PSP_Species_Support!AH30*(1-EXP(-S13_PSP_Species_Support!AI30*17))^S13_PSP_Species_Support!AJ30)^2*(S13_PSP_Species_Support!AK30*(1-EXP(-S13_PSP_Species_Support!AL30*17))^S13_PSP_Species_Support!AM30))^0.976,0)+IFERROR(S13_PSP_Species_Support!AQ30*0.0673*(S13_PSP_Species_Support!AR30*(S13_PSP_Species_Support!AS30*(1-EXP(-S13_PSP_Species_Support!AT30*17))^S13_PSP_Species_Support!AU30)^2*(S13_PSP_Species_Support!AV30*(1-EXP(-S13_PSP_Species_Support!AW30*17))^S13_PSP_Species_Support!AX30))^0.976,0)+IFERROR(S13_PSP_Species_Support!BB30*0.0673*(S13_PSP_Species_Support!BC30*(S13_PSP_Species_Support!BD30*(1-EXP(-S13_PSP_Species_Support!BE30*17))^S13_PSP_Species_Support!BF30)^2*(S13_PSP_Species_Support!BG30*(1-EXP(-S13_PSP_Species_Support!BH30*17))^S13_PSP_Species_Support!BI30))^0.976,0)+IFERROR(S13_PSP_Species_Support!BM30*0.0673*(S13_PSP_Species_Support!BN30*(S13_PSP_Species_Support!BO30*(1-EXP(-S13_PSP_Species_Support!BP30*17))^S13_PSP_Species_Support!BQ30)^2*(S13_PSP_Species_Support!BR30*(1-EXP(-S13_PSP_Species_Support!BS30*17))^S13_PSP_Species_Support!BT30))^0.976,0)+IFERROR(S13_PSP_Species_Support!BX30*0.0673*(S13_PSP_Species_Support!BY30*(S13_PSP_Species_Support!BZ30*(1-EXP(-S13_PSP_Species_Support!CA30*17))^S13_PSP_Species_Support!CB30)^2*(S13_PSP_Species_Support!CC30*(1-EXP(-S13_PSP_Species_Support!CD30*17))^S13_PSP_Species_Support!CE30))^0.976,0)+IFERROR(S13_PSP_Species_Support!CI30*0.0673*(S13_PSP_Species_Support!CJ30*(S13_PSP_Species_Support!CK30*(1-EXP(-S13_PSP_Species_Support!CL30*17))^S13_PSP_Species_Support!CM30)^2*(S13_PSP_Species_Support!CN30*(1-EXP(-S13_PSP_Species_Support!CO30*17))^S13_PSP_Species_Support!CP30))^0.976,0)+IFERROR(S13_PSP_Species_Support!CT30*0.0673*(S13_PSP_Species_Support!CU30*(S13_PSP_Species_Support!CV30*(1-EXP(-S13_PSP_Species_Support!CW30*17))^S13_PSP_Species_Support!CX30)^2*(S13_PSP_Species_Support!CY30*(1-EXP(-S13_PSP_Species_Support!CZ30*17))^S13_PSP_Species_Support!DA30))^0.976,0))/1000/$G43*Z$108,0)</x:f>
        <x:v>220.72663402791918</x:v>
      </x:c>
      <x:c r="AA43" s="147" t="n">
        <x:f aca="0">IFERROR((IFERROR(S13_PSP_Species_Support!U30*0.0673*(S13_PSP_Species_Support!V30*(S13_PSP_Species_Support!W30*(1-EXP(-S13_PSP_Species_Support!X30*18))^S13_PSP_Species_Support!Y30)^2*(S13_PSP_Species_Support!Z30*(1-EXP(-S13_PSP_Species_Support!AA30*18))^S13_PSP_Species_Support!AB30))^0.976,0)+IFERROR(S13_PSP_Species_Support!AF30*0.0673*(S13_PSP_Species_Support!AG30*(S13_PSP_Species_Support!AH30*(1-EXP(-S13_PSP_Species_Support!AI30*18))^S13_PSP_Species_Support!AJ30)^2*(S13_PSP_Species_Support!AK30*(1-EXP(-S13_PSP_Species_Support!AL30*18))^S13_PSP_Species_Support!AM30))^0.976,0)+IFERROR(S13_PSP_Species_Support!AQ30*0.0673*(S13_PSP_Species_Support!AR30*(S13_PSP_Species_Support!AS30*(1-EXP(-S13_PSP_Species_Support!AT30*18))^S13_PSP_Species_Support!AU30)^2*(S13_PSP_Species_Support!AV30*(1-EXP(-S13_PSP_Species_Support!AW30*18))^S13_PSP_Species_Support!AX30))^0.976,0)+IFERROR(S13_PSP_Species_Support!BB30*0.0673*(S13_PSP_Species_Support!BC30*(S13_PSP_Species_Support!BD30*(1-EXP(-S13_PSP_Species_Support!BE30*18))^S13_PSP_Species_Support!BF30)^2*(S13_PSP_Species_Support!BG30*(1-EXP(-S13_PSP_Species_Support!BH30*18))^S13_PSP_Species_Support!BI30))^0.976,0)+IFERROR(S13_PSP_Species_Support!BM30*0.0673*(S13_PSP_Species_Support!BN30*(S13_PSP_Species_Support!BO30*(1-EXP(-S13_PSP_Species_Support!BP30*18))^S13_PSP_Species_Support!BQ30)^2*(S13_PSP_Species_Support!BR30*(1-EXP(-S13_PSP_Species_Support!BS30*18))^S13_PSP_Species_Support!BT30))^0.976,0)+IFERROR(S13_PSP_Species_Support!BX30*0.0673*(S13_PSP_Species_Support!BY30*(S13_PSP_Species_Support!BZ30*(1-EXP(-S13_PSP_Species_Support!CA30*18))^S13_PSP_Species_Support!CB30)^2*(S13_PSP_Species_Support!CC30*(1-EXP(-S13_PSP_Species_Support!CD30*18))^S13_PSP_Species_Support!CE30))^0.976,0)+IFERROR(S13_PSP_Species_Support!CI30*0.0673*(S13_PSP_Species_Support!CJ30*(S13_PSP_Species_Support!CK30*(1-EXP(-S13_PSP_Species_Support!CL30*18))^S13_PSP_Species_Support!CM30)^2*(S13_PSP_Species_Support!CN30*(1-EXP(-S13_PSP_Species_Support!CO30*18))^S13_PSP_Species_Support!CP30))^0.976,0)+IFERROR(S13_PSP_Species_Support!CT30*0.0673*(S13_PSP_Species_Support!CU30*(S13_PSP_Species_Support!CV30*(1-EXP(-S13_PSP_Species_Support!CW30*18))^S13_PSP_Species_Support!CX30)^2*(S13_PSP_Species_Support!CY30*(1-EXP(-S13_PSP_Species_Support!CZ30*18))^S13_PSP_Species_Support!DA30))^0.976,0))/1000/$G43*AA$108,0)</x:f>
        <x:v>232.81829622269876</x:v>
      </x:c>
      <x:c r="AB43" s="147" t="n">
        <x:f aca="0">IFERROR((IFERROR(S13_PSP_Species_Support!U30*0.0673*(S13_PSP_Species_Support!V30*(S13_PSP_Species_Support!W30*(1-EXP(-S13_PSP_Species_Support!X30*19))^S13_PSP_Species_Support!Y30)^2*(S13_PSP_Species_Support!Z30*(1-EXP(-S13_PSP_Species_Support!AA30*19))^S13_PSP_Species_Support!AB30))^0.976,0)+IFERROR(S13_PSP_Species_Support!AF30*0.0673*(S13_PSP_Species_Support!AG30*(S13_PSP_Species_Support!AH30*(1-EXP(-S13_PSP_Species_Support!AI30*19))^S13_PSP_Species_Support!AJ30)^2*(S13_PSP_Species_Support!AK30*(1-EXP(-S13_PSP_Species_Support!AL30*19))^S13_PSP_Species_Support!AM30))^0.976,0)+IFERROR(S13_PSP_Species_Support!AQ30*0.0673*(S13_PSP_Species_Support!AR30*(S13_PSP_Species_Support!AS30*(1-EXP(-S13_PSP_Species_Support!AT30*19))^S13_PSP_Species_Support!AU30)^2*(S13_PSP_Species_Support!AV30*(1-EXP(-S13_PSP_Species_Support!AW30*19))^S13_PSP_Species_Support!AX30))^0.976,0)+IFERROR(S13_PSP_Species_Support!BB30*0.0673*(S13_PSP_Species_Support!BC30*(S13_PSP_Species_Support!BD30*(1-EXP(-S13_PSP_Species_Support!BE30*19))^S13_PSP_Species_Support!BF30)^2*(S13_PSP_Species_Support!BG30*(1-EXP(-S13_PSP_Species_Support!BH30*19))^S13_PSP_Species_Support!BI30))^0.976,0)+IFERROR(S13_PSP_Species_Support!BM30*0.0673*(S13_PSP_Species_Support!BN30*(S13_PSP_Species_Support!BO30*(1-EXP(-S13_PSP_Species_Support!BP30*19))^S13_PSP_Species_Support!BQ30)^2*(S13_PSP_Species_Support!BR30*(1-EXP(-S13_PSP_Species_Support!BS30*19))^S13_PSP_Species_Support!BT30))^0.976,0)+IFERROR(S13_PSP_Species_Support!BX30*0.0673*(S13_PSP_Species_Support!BY30*(S13_PSP_Species_Support!BZ30*(1-EXP(-S13_PSP_Species_Support!CA30*19))^S13_PSP_Species_Support!CB30)^2*(S13_PSP_Species_Support!CC30*(1-EXP(-S13_PSP_Species_Support!CD30*19))^S13_PSP_Species_Support!CE30))^0.976,0)+IFERROR(S13_PSP_Species_Support!CI30*0.0673*(S13_PSP_Species_Support!CJ30*(S13_PSP_Species_Support!CK30*(1-EXP(-S13_PSP_Species_Support!CL30*19))^S13_PSP_Species_Support!CM30)^2*(S13_PSP_Species_Support!CN30*(1-EXP(-S13_PSP_Species_Support!CO30*19))^S13_PSP_Species_Support!CP30))^0.976,0)+IFERROR(S13_PSP_Species_Support!CT30*0.0673*(S13_PSP_Species_Support!CU30*(S13_PSP_Species_Support!CV30*(1-EXP(-S13_PSP_Species_Support!CW30*19))^S13_PSP_Species_Support!CX30)^2*(S13_PSP_Species_Support!CY30*(1-EXP(-S13_PSP_Species_Support!CZ30*19))^S13_PSP_Species_Support!DA30))^0.976,0))/1000/$G43*AB$108,0)</x:f>
        <x:v>243.7793662462217</x:v>
      </x:c>
      <x:c r="AC43" s="147" t="n">
        <x:f aca="0">IFERROR((IFERROR(S13_PSP_Species_Support!U30*0.0673*(S13_PSP_Species_Support!V30*(S13_PSP_Species_Support!W30*(1-EXP(-S13_PSP_Species_Support!X30*20))^S13_PSP_Species_Support!Y30)^2*(S13_PSP_Species_Support!Z30*(1-EXP(-S13_PSP_Species_Support!AA30*20))^S13_PSP_Species_Support!AB30))^0.976,0)+IFERROR(S13_PSP_Species_Support!AF30*0.0673*(S13_PSP_Species_Support!AG30*(S13_PSP_Species_Support!AH30*(1-EXP(-S13_PSP_Species_Support!AI30*20))^S13_PSP_Species_Support!AJ30)^2*(S13_PSP_Species_Support!AK30*(1-EXP(-S13_PSP_Species_Support!AL30*20))^S13_PSP_Species_Support!AM30))^0.976,0)+IFERROR(S13_PSP_Species_Support!AQ30*0.0673*(S13_PSP_Species_Support!AR30*(S13_PSP_Species_Support!AS30*(1-EXP(-S13_PSP_Species_Support!AT30*20))^S13_PSP_Species_Support!AU30)^2*(S13_PSP_Species_Support!AV30*(1-EXP(-S13_PSP_Species_Support!AW30*20))^S13_PSP_Species_Support!AX30))^0.976,0)+IFERROR(S13_PSP_Species_Support!BB30*0.0673*(S13_PSP_Species_Support!BC30*(S13_PSP_Species_Support!BD30*(1-EXP(-S13_PSP_Species_Support!BE30*20))^S13_PSP_Species_Support!BF30)^2*(S13_PSP_Species_Support!BG30*(1-EXP(-S13_PSP_Species_Support!BH30*20))^S13_PSP_Species_Support!BI30))^0.976,0)+IFERROR(S13_PSP_Species_Support!BM30*0.0673*(S13_PSP_Species_Support!BN30*(S13_PSP_Species_Support!BO30*(1-EXP(-S13_PSP_Species_Support!BP30*20))^S13_PSP_Species_Support!BQ30)^2*(S13_PSP_Species_Support!BR30*(1-EXP(-S13_PSP_Species_Support!BS30*20))^S13_PSP_Species_Support!BT30))^0.976,0)+IFERROR(S13_PSP_Species_Support!BX30*0.0673*(S13_PSP_Species_Support!BY30*(S13_PSP_Species_Support!BZ30*(1-EXP(-S13_PSP_Species_Support!CA30*20))^S13_PSP_Species_Support!CB30)^2*(S13_PSP_Species_Support!CC30*(1-EXP(-S13_PSP_Species_Support!CD30*20))^S13_PSP_Species_Support!CE30))^0.976,0)+IFERROR(S13_PSP_Species_Support!CI30*0.0673*(S13_PSP_Species_Support!CJ30*(S13_PSP_Species_Support!CK30*(1-EXP(-S13_PSP_Species_Support!CL30*20))^S13_PSP_Species_Support!CM30)^2*(S13_PSP_Species_Support!CN30*(1-EXP(-S13_PSP_Species_Support!CO30*20))^S13_PSP_Species_Support!CP30))^0.976,0)+IFERROR(S13_PSP_Species_Support!CT30*0.0673*(S13_PSP_Species_Support!CU30*(S13_PSP_Species_Support!CV30*(1-EXP(-S13_PSP_Species_Support!CW30*20))^S13_PSP_Species_Support!CX30)^2*(S13_PSP_Species_Support!CY30*(1-EXP(-S13_PSP_Species_Support!CZ30*20))^S13_PSP_Species_Support!DA30))^0.976,0))/1000/$G43*AC$108,0)</x:f>
        <x:v>253.6706695298092</x:v>
      </x:c>
      <x:c r="AD43" s="148" t="n">
        <x:f aca="0">IF(2020&lt;$F43,0,INDEX($I43:$AC43,1,2020-$F43+1))</x:f>
        <x:v>0</x:v>
      </x:c>
      <x:c r="AE43" s="148" t="n">
        <x:f aca="0">IF(2021&lt;$F43,0,INDEX($I43:$AC43,1,2021-$F43+1))</x:f>
        <x:v>0</x:v>
      </x:c>
      <x:c r="AF43" s="148" t="n">
        <x:f aca="0">IF(2022&lt;$F43,0,INDEX($I43:$AC43,1,2022-$F43+1))</x:f>
        <x:v>0.10091290737247254</x:v>
      </x:c>
      <x:c r="AG43" s="148" t="n">
        <x:f aca="0">IF(2023&lt;$F43,0,INDEX($I43:$AC43,1,2023-$F43+1))</x:f>
        <x:v>1.2070432385154557</x:v>
      </x:c>
      <x:c r="AH43" s="148" t="n">
        <x:f aca="0">IF(2024&lt;$F43,0,INDEX($I43:$AC43,1,2024-$F43+1))</x:f>
        <x:v>4.631123298687542</x:v>
      </x:c>
      <x:c r="AI43" s="148" t="n">
        <x:f aca="0">IF(2025&lt;$F43,0,INDEX($I43:$AC43,1,2025-$F43+1))</x:f>
        <x:v>11.26919433642003</x:v>
      </x:c>
      <x:c r="AJ43" s="148" t="n">
        <x:f aca="0">IF(2026&lt;$F43,0,INDEX($I43:$AC43,1,2026-$F43+1))</x:f>
        <x:v>21.319245392715377</x:v>
      </x:c>
      <x:c r="AK43" s="148" t="n">
        <x:f aca="0">IF(2027&lt;$F43,0,INDEX($I43:$AC43,1,2027-$F43+1))</x:f>
        <x:v>34.485074728387715</x:v>
      </x:c>
      <x:c r="AL43" s="148" t="n">
        <x:f aca="0">IF(2028&lt;$F43,0,INDEX($I43:$AC43,1,2028-$F43+1))</x:f>
        <x:v>50.17376950161748</x:v>
      </x:c>
      <x:c r="AM43" s="148" t="n">
        <x:f aca="0">IF(2029&lt;$F43,0,INDEX($I43:$AC43,1,2029-$F43+1))</x:f>
        <x:v>67.67299617320968</x:v>
      </x:c>
      <x:c r="AN43" s="148" t="n">
        <x:f aca="0">IF(2030&lt;$F43,0,INDEX($I43:$AC43,1,2030-$F43+1))</x:f>
        <x:v>86.27289752138074</x:v>
      </x:c>
      <x:c r="AO43" s="148" t="n">
        <x:f aca="0">IF(2031&lt;$F43,0,INDEX($I43:$AC43,1,2031-$F43+1))</x:f>
        <x:v>105.33737602767832</x:v>
      </x:c>
      <x:c r="AP43" s="148" t="n">
        <x:f aca="0">IF(2032&lt;$F43,0,INDEX($I43:$AC43,1,2032-$F43+1))</x:f>
        <x:v>124.33760506886148</x:v>
      </x:c>
      <x:c r="AQ43" s="148" t="n">
        <x:f aca="0">IF(2033&lt;$F43,0,INDEX($I43:$AC43,1,2033-$F43+1))</x:f>
        <x:v>142.86062048055757</x:v>
      </x:c>
      <x:c r="AR43" s="148" t="n">
        <x:f aca="0">IF(2034&lt;$F43,0,INDEX($I43:$AC43,1,2034-$F43+1))</x:f>
        <x:v>160.60320828635793</x:v>
      </x:c>
      <x:c r="AS43" s="148" t="n">
        <x:f aca="0">IF(2035&lt;$F43,0,INDEX($I43:$AC43,1,2035-$F43+1))</x:f>
        <x:v>177.35830226264034</x:v>
      </x:c>
      <x:c r="AT43" s="148" t="n">
        <x:f aca="0">IF(2036&lt;$F43,0,INDEX($I43:$AC43,1,2036-$F43+1))</x:f>
        <x:v>192.99856455930515</x:v>
      </x:c>
      <x:c r="AU43" s="148" t="n">
        <x:f aca="0">IF(2037&lt;$F43,0,INDEX($I43:$AC43,1,2037-$F43+1))</x:f>
        <x:v>207.4599341861582</x:v>
      </x:c>
      <x:c r="AV43" s="148" t="n">
        <x:f aca="0">IF(2038&lt;$F43,0,INDEX($I43:$AC43,1,2038-$F43+1))</x:f>
        <x:v>220.72663402791918</x:v>
      </x:c>
      <x:c r="AW43" s="148" t="n">
        <x:f aca="0">IF(2039&lt;$F43,0,INDEX($I43:$AC43,1,2039-$F43+1))</x:f>
        <x:v>232.81829622269876</x:v>
      </x:c>
      <x:c r="AX43" s="148" t="n">
        <x:f aca="0">IF(2040&lt;$F43,0,INDEX($I43:$AC43,1,2040-$F43+1))</x:f>
        <x:v>243.7793662462217</x:v>
      </x:c>
      <x:c r="AY43" s="1" t="str">
        <x:f aca="0">LEFT($C43,FIND("@",SUBSTITUTE($C43,"|","@",2))-1)</x:f>
        <x:v>Horti-Silviculture|Medium</x:v>
      </x:c>
      <x:c r="AZ43" s="1" t="str">
        <x:f aca="0">LEFT($C43,FIND("|",$C43)-1)</x:f>
        <x:v>Horti-Silviculture</x:v>
      </x:c>
      <x:c r="BA43" s="149" t="n">
        <x:f aca="0">I43*I43</x:f>
        <x:v>0</x:v>
      </x:c>
      <x:c r="BB43" s="149" t="n">
        <x:f aca="0">J43*J43</x:f>
        <x:v>0.01018341487436522</x:v>
      </x:c>
      <x:c r="BC43" s="149" t="n">
        <x:f aca="0">K43*K43</x:f>
        <x:v>1.4569533796458793</x:v>
      </x:c>
      <x:c r="BD43" s="149" t="n">
        <x:f aca="0">L43*L43</x:f>
        <x:v>21.44730300764658</x:v>
      </x:c>
      <x:c r="BE43" s="149" t="n">
        <x:f aca="0">M43*M43</x:f>
        <x:v>126.99474099200128</x:v>
      </x:c>
      <x:c r="BF43" s="149" t="n">
        <x:f aca="0">N43*N43</x:f>
        <x:v>454.51022411481586</x:v>
      </x:c>
      <x:c r="BG43" s="149" t="n">
        <x:f aca="0">O43*O43</x:f>
        <x:v>1189.220379022485</x:v>
      </x:c>
      <x:c r="BH43" s="149" t="n">
        <x:f aca="0">P43*P43</x:f>
        <x:v>2517.40714600144</x:v>
      </x:c>
      <x:c r="BI43" s="149" t="n">
        <x:f aca="0">Q43*Q43</x:f>
        <x:v>4579.634411059253</x:v>
      </x:c>
      <x:c r="BJ43" s="149" t="n">
        <x:f aca="0">R43*R43</x:f>
        <x:v>7443.012846734663</x:v>
      </x:c>
      <x:c r="BK43" s="149" t="n">
        <x:f aca="0">S43*S43</x:f>
        <x:v>11095.962788396499</x:v>
      </x:c>
      <x:c r="BL43" s="149" t="n">
        <x:f aca="0">T43*T43</x:f>
        <x:v>15459.840034260167</x:v>
      </x:c>
      <x:c r="BM43" s="149" t="n">
        <x:f aca="0">U43*U43</x:f>
        <x:v>20409.156884089905</x:v>
      </x:c>
      <x:c r="BN43" s="149" t="n">
        <x:f aca="0">V43*V43</x:f>
        <x:v>25793.39051187127</x:v>
      </x:c>
      <x:c r="BO43" s="149" t="n">
        <x:f aca="0">W43*W43</x:f>
        <x:v>31455.96738148609</x:v>
      </x:c>
      <x:c r="BP43" s="149" t="n">
        <x:f aca="0">X43*X43</x:f>
        <x:v>37248.445921952276</x:v>
      </x:c>
      <x:c r="BQ43" s="149" t="n">
        <x:f aca="0">Y43*Y43</x:f>
        <x:v>43039.62429252509</x:v>
      </x:c>
      <x:c r="BR43" s="149" t="n">
        <x:f aca="0">Z43*Z43</x:f>
        <x:v>48720.24696929497</x:v>
      </x:c>
      <x:c r="BS43" s="149" t="n">
        <x:f aca="0">AA43*AA43</x:f>
        <x:v>54204.35905604031</x:v>
      </x:c>
      <x:c r="BT43" s="149" t="n">
        <x:f aca="0">AB43*AB43</x:f>
        <x:v>59428.3794074095</x:v>
      </x:c>
      <x:c r="BU43" s="149" t="n">
        <x:f aca="0">AC43*AC43</x:f>
        <x:v>64348.80857970167</x:v>
      </x:c>
    </x:row>
    <x:row r="44" ht="15" hidden="0" customHeight="1">
      <x:c r="A44" s="1" t="str">
        <x:f aca="0">S13_PSP_Species_Support!A31</x:f>
        <x:v>PSP-HS-017</x:v>
      </x:c>
      <x:c r="B44" s="1" t="n">
        <x:f aca="0">31</x:f>
        <x:v>31</x:v>
      </x:c>
      <x:c r="C44" s="1" t="str">
        <x:f aca="0">S13_PSP_Species_Support!I31</x:f>
        <x:v>Horti-Silviculture|Low|2022</x:v>
      </x:c>
      <x:c r="D44" s="1" t="str">
        <x:f aca="0">S13_PSP_Species_Support!C31</x:f>
        <x:v>Horti-Silviculture</x:v>
      </x:c>
      <x:c r="E44" s="1" t="str">
        <x:f aca="0">S13_PSP_Species_Support!D31</x:f>
        <x:v>Low</x:v>
      </x:c>
      <x:c r="F44" s="1" t="n">
        <x:f aca="0">S13_PSP_Species_Support!E31</x:f>
        <x:v>2022</x:v>
      </x:c>
      <x:c r="G44" s="645" t="n">
        <x:f aca="0">'S13_PSP_Species_Support'!DJ31</x:f>
        <x:v>0.09</x:v>
      </x:c>
      <x:c r="H44" s="714" t="n">
        <x:f aca="0">'S13_PSP_Species_Support'!DK31</x:f>
        <x:v>18.665405326735552</x:v>
      </x:c>
      <x:c r="I44" s="147" t="n">
        <x:f aca="0">IFERROR((IFERROR(S13_PSP_Species_Support!U31*0.0673*(S13_PSP_Species_Support!V31*(S13_PSP_Species_Support!W31*(1-EXP(-S13_PSP_Species_Support!X31*0))^S13_PSP_Species_Support!Y31)^2*(S13_PSP_Species_Support!Z31*(1-EXP(-S13_PSP_Species_Support!AA31*0))^S13_PSP_Species_Support!AB31))^0.976,0)+IFERROR(S13_PSP_Species_Support!AF31*0.0673*(S13_PSP_Species_Support!AG31*(S13_PSP_Species_Support!AH31*(1-EXP(-S13_PSP_Species_Support!AI31*0))^S13_PSP_Species_Support!AJ31)^2*(S13_PSP_Species_Support!AK31*(1-EXP(-S13_PSP_Species_Support!AL31*0))^S13_PSP_Species_Support!AM31))^0.976,0)+IFERROR(S13_PSP_Species_Support!AQ31*0.0673*(S13_PSP_Species_Support!AR31*(S13_PSP_Species_Support!AS31*(1-EXP(-S13_PSP_Species_Support!AT31*0))^S13_PSP_Species_Support!AU31)^2*(S13_PSP_Species_Support!AV31*(1-EXP(-S13_PSP_Species_Support!AW31*0))^S13_PSP_Species_Support!AX31))^0.976,0)+IFERROR(S13_PSP_Species_Support!BB31*0.0673*(S13_PSP_Species_Support!BC31*(S13_PSP_Species_Support!BD31*(1-EXP(-S13_PSP_Species_Support!BE31*0))^S13_PSP_Species_Support!BF31)^2*(S13_PSP_Species_Support!BG31*(1-EXP(-S13_PSP_Species_Support!BH31*0))^S13_PSP_Species_Support!BI31))^0.976,0)+IFERROR(S13_PSP_Species_Support!BM31*0.0673*(S13_PSP_Species_Support!BN31*(S13_PSP_Species_Support!BO31*(1-EXP(-S13_PSP_Species_Support!BP31*0))^S13_PSP_Species_Support!BQ31)^2*(S13_PSP_Species_Support!BR31*(1-EXP(-S13_PSP_Species_Support!BS31*0))^S13_PSP_Species_Support!BT31))^0.976,0)+IFERROR(S13_PSP_Species_Support!BX31*0.0673*(S13_PSP_Species_Support!BY31*(S13_PSP_Species_Support!BZ31*(1-EXP(-S13_PSP_Species_Support!CA31*0))^S13_PSP_Species_Support!CB31)^2*(S13_PSP_Species_Support!CC31*(1-EXP(-S13_PSP_Species_Support!CD31*0))^S13_PSP_Species_Support!CE31))^0.976,0)+IFERROR(S13_PSP_Species_Support!CI31*0.0673*(S13_PSP_Species_Support!CJ31*(S13_PSP_Species_Support!CK31*(1-EXP(-S13_PSP_Species_Support!CL31*0))^S13_PSP_Species_Support!CM31)^2*(S13_PSP_Species_Support!CN31*(1-EXP(-S13_PSP_Species_Support!CO31*0))^S13_PSP_Species_Support!CP31))^0.976,0)+IFERROR(S13_PSP_Species_Support!CT31*0.0673*(S13_PSP_Species_Support!CU31*(S13_PSP_Species_Support!CV31*(1-EXP(-S13_PSP_Species_Support!CW31*0))^S13_PSP_Species_Support!CX31)^2*(S13_PSP_Species_Support!CY31*(1-EXP(-S13_PSP_Species_Support!CZ31*0))^S13_PSP_Species_Support!DA31))^0.976,0))/1000/$G44*I$108,0)</x:f>
        <x:v>0</x:v>
      </x:c>
      <x:c r="J44" s="147" t="n">
        <x:f aca="0">IFERROR((IFERROR(S13_PSP_Species_Support!U31*0.0673*(S13_PSP_Species_Support!V31*(S13_PSP_Species_Support!W31*(1-EXP(-S13_PSP_Species_Support!X31*1))^S13_PSP_Species_Support!Y31)^2*(S13_PSP_Species_Support!Z31*(1-EXP(-S13_PSP_Species_Support!AA31*1))^S13_PSP_Species_Support!AB31))^0.976,0)+IFERROR(S13_PSP_Species_Support!AF31*0.0673*(S13_PSP_Species_Support!AG31*(S13_PSP_Species_Support!AH31*(1-EXP(-S13_PSP_Species_Support!AI31*1))^S13_PSP_Species_Support!AJ31)^2*(S13_PSP_Species_Support!AK31*(1-EXP(-S13_PSP_Species_Support!AL31*1))^S13_PSP_Species_Support!AM31))^0.976,0)+IFERROR(S13_PSP_Species_Support!AQ31*0.0673*(S13_PSP_Species_Support!AR31*(S13_PSP_Species_Support!AS31*(1-EXP(-S13_PSP_Species_Support!AT31*1))^S13_PSP_Species_Support!AU31)^2*(S13_PSP_Species_Support!AV31*(1-EXP(-S13_PSP_Species_Support!AW31*1))^S13_PSP_Species_Support!AX31))^0.976,0)+IFERROR(S13_PSP_Species_Support!BB31*0.0673*(S13_PSP_Species_Support!BC31*(S13_PSP_Species_Support!BD31*(1-EXP(-S13_PSP_Species_Support!BE31*1))^S13_PSP_Species_Support!BF31)^2*(S13_PSP_Species_Support!BG31*(1-EXP(-S13_PSP_Species_Support!BH31*1))^S13_PSP_Species_Support!BI31))^0.976,0)+IFERROR(S13_PSP_Species_Support!BM31*0.0673*(S13_PSP_Species_Support!BN31*(S13_PSP_Species_Support!BO31*(1-EXP(-S13_PSP_Species_Support!BP31*1))^S13_PSP_Species_Support!BQ31)^2*(S13_PSP_Species_Support!BR31*(1-EXP(-S13_PSP_Species_Support!BS31*1))^S13_PSP_Species_Support!BT31))^0.976,0)+IFERROR(S13_PSP_Species_Support!BX31*0.0673*(S13_PSP_Species_Support!BY31*(S13_PSP_Species_Support!BZ31*(1-EXP(-S13_PSP_Species_Support!CA31*1))^S13_PSP_Species_Support!CB31)^2*(S13_PSP_Species_Support!CC31*(1-EXP(-S13_PSP_Species_Support!CD31*1))^S13_PSP_Species_Support!CE31))^0.976,0)+IFERROR(S13_PSP_Species_Support!CI31*0.0673*(S13_PSP_Species_Support!CJ31*(S13_PSP_Species_Support!CK31*(1-EXP(-S13_PSP_Species_Support!CL31*1))^S13_PSP_Species_Support!CM31)^2*(S13_PSP_Species_Support!CN31*(1-EXP(-S13_PSP_Species_Support!CO31*1))^S13_PSP_Species_Support!CP31))^0.976,0)+IFERROR(S13_PSP_Species_Support!CT31*0.0673*(S13_PSP_Species_Support!CU31*(S13_PSP_Species_Support!CV31*(1-EXP(-S13_PSP_Species_Support!CW31*1))^S13_PSP_Species_Support!CX31)^2*(S13_PSP_Species_Support!CY31*(1-EXP(-S13_PSP_Species_Support!CZ31*1))^S13_PSP_Species_Support!DA31))^0.976,0))/1000/$G44*J$108,0)</x:f>
        <x:v>0.06859312033735458</x:v>
      </x:c>
      <x:c r="K44" s="147" t="n">
        <x:f aca="0">IFERROR((IFERROR(S13_PSP_Species_Support!U31*0.0673*(S13_PSP_Species_Support!V31*(S13_PSP_Species_Support!W31*(1-EXP(-S13_PSP_Species_Support!X31*2))^S13_PSP_Species_Support!Y31)^2*(S13_PSP_Species_Support!Z31*(1-EXP(-S13_PSP_Species_Support!AA31*2))^S13_PSP_Species_Support!AB31))^0.976,0)+IFERROR(S13_PSP_Species_Support!AF31*0.0673*(S13_PSP_Species_Support!AG31*(S13_PSP_Species_Support!AH31*(1-EXP(-S13_PSP_Species_Support!AI31*2))^S13_PSP_Species_Support!AJ31)^2*(S13_PSP_Species_Support!AK31*(1-EXP(-S13_PSP_Species_Support!AL31*2))^S13_PSP_Species_Support!AM31))^0.976,0)+IFERROR(S13_PSP_Species_Support!AQ31*0.0673*(S13_PSP_Species_Support!AR31*(S13_PSP_Species_Support!AS31*(1-EXP(-S13_PSP_Species_Support!AT31*2))^S13_PSP_Species_Support!AU31)^2*(S13_PSP_Species_Support!AV31*(1-EXP(-S13_PSP_Species_Support!AW31*2))^S13_PSP_Species_Support!AX31))^0.976,0)+IFERROR(S13_PSP_Species_Support!BB31*0.0673*(S13_PSP_Species_Support!BC31*(S13_PSP_Species_Support!BD31*(1-EXP(-S13_PSP_Species_Support!BE31*2))^S13_PSP_Species_Support!BF31)^2*(S13_PSP_Species_Support!BG31*(1-EXP(-S13_PSP_Species_Support!BH31*2))^S13_PSP_Species_Support!BI31))^0.976,0)+IFERROR(S13_PSP_Species_Support!BM31*0.0673*(S13_PSP_Species_Support!BN31*(S13_PSP_Species_Support!BO31*(1-EXP(-S13_PSP_Species_Support!BP31*2))^S13_PSP_Species_Support!BQ31)^2*(S13_PSP_Species_Support!BR31*(1-EXP(-S13_PSP_Species_Support!BS31*2))^S13_PSP_Species_Support!BT31))^0.976,0)+IFERROR(S13_PSP_Species_Support!BX31*0.0673*(S13_PSP_Species_Support!BY31*(S13_PSP_Species_Support!BZ31*(1-EXP(-S13_PSP_Species_Support!CA31*2))^S13_PSP_Species_Support!CB31)^2*(S13_PSP_Species_Support!CC31*(1-EXP(-S13_PSP_Species_Support!CD31*2))^S13_PSP_Species_Support!CE31))^0.976,0)+IFERROR(S13_PSP_Species_Support!CI31*0.0673*(S13_PSP_Species_Support!CJ31*(S13_PSP_Species_Support!CK31*(1-EXP(-S13_PSP_Species_Support!CL31*2))^S13_PSP_Species_Support!CM31)^2*(S13_PSP_Species_Support!CN31*(1-EXP(-S13_PSP_Species_Support!CO31*2))^S13_PSP_Species_Support!CP31))^0.976,0)+IFERROR(S13_PSP_Species_Support!CT31*0.0673*(S13_PSP_Species_Support!CU31*(S13_PSP_Species_Support!CV31*(1-EXP(-S13_PSP_Species_Support!CW31*2))^S13_PSP_Species_Support!CX31)^2*(S13_PSP_Species_Support!CY31*(1-EXP(-S13_PSP_Species_Support!CZ31*2))^S13_PSP_Species_Support!DA31))^0.976,0))/1000/$G44*K$108,0)</x:f>
        <x:v>0.8346809844352459</x:v>
      </x:c>
      <x:c r="L44" s="147" t="n">
        <x:f aca="0">IFERROR((IFERROR(S13_PSP_Species_Support!U31*0.0673*(S13_PSP_Species_Support!V31*(S13_PSP_Species_Support!W31*(1-EXP(-S13_PSP_Species_Support!X31*3))^S13_PSP_Species_Support!Y31)^2*(S13_PSP_Species_Support!Z31*(1-EXP(-S13_PSP_Species_Support!AA31*3))^S13_PSP_Species_Support!AB31))^0.976,0)+IFERROR(S13_PSP_Species_Support!AF31*0.0673*(S13_PSP_Species_Support!AG31*(S13_PSP_Species_Support!AH31*(1-EXP(-S13_PSP_Species_Support!AI31*3))^S13_PSP_Species_Support!AJ31)^2*(S13_PSP_Species_Support!AK31*(1-EXP(-S13_PSP_Species_Support!AL31*3))^S13_PSP_Species_Support!AM31))^0.976,0)+IFERROR(S13_PSP_Species_Support!AQ31*0.0673*(S13_PSP_Species_Support!AR31*(S13_PSP_Species_Support!AS31*(1-EXP(-S13_PSP_Species_Support!AT31*3))^S13_PSP_Species_Support!AU31)^2*(S13_PSP_Species_Support!AV31*(1-EXP(-S13_PSP_Species_Support!AW31*3))^S13_PSP_Species_Support!AX31))^0.976,0)+IFERROR(S13_PSP_Species_Support!BB31*0.0673*(S13_PSP_Species_Support!BC31*(S13_PSP_Species_Support!BD31*(1-EXP(-S13_PSP_Species_Support!BE31*3))^S13_PSP_Species_Support!BF31)^2*(S13_PSP_Species_Support!BG31*(1-EXP(-S13_PSP_Species_Support!BH31*3))^S13_PSP_Species_Support!BI31))^0.976,0)+IFERROR(S13_PSP_Species_Support!BM31*0.0673*(S13_PSP_Species_Support!BN31*(S13_PSP_Species_Support!BO31*(1-EXP(-S13_PSP_Species_Support!BP31*3))^S13_PSP_Species_Support!BQ31)^2*(S13_PSP_Species_Support!BR31*(1-EXP(-S13_PSP_Species_Support!BS31*3))^S13_PSP_Species_Support!BT31))^0.976,0)+IFERROR(S13_PSP_Species_Support!BX31*0.0673*(S13_PSP_Species_Support!BY31*(S13_PSP_Species_Support!BZ31*(1-EXP(-S13_PSP_Species_Support!CA31*3))^S13_PSP_Species_Support!CB31)^2*(S13_PSP_Species_Support!CC31*(1-EXP(-S13_PSP_Species_Support!CD31*3))^S13_PSP_Species_Support!CE31))^0.976,0)+IFERROR(S13_PSP_Species_Support!CI31*0.0673*(S13_PSP_Species_Support!CJ31*(S13_PSP_Species_Support!CK31*(1-EXP(-S13_PSP_Species_Support!CL31*3))^S13_PSP_Species_Support!CM31)^2*(S13_PSP_Species_Support!CN31*(1-EXP(-S13_PSP_Species_Support!CO31*3))^S13_PSP_Species_Support!CP31))^0.976,0)+IFERROR(S13_PSP_Species_Support!CT31*0.0673*(S13_PSP_Species_Support!CU31*(S13_PSP_Species_Support!CV31*(1-EXP(-S13_PSP_Species_Support!CW31*3))^S13_PSP_Species_Support!CX31)^2*(S13_PSP_Species_Support!CY31*(1-EXP(-S13_PSP_Species_Support!CZ31*3))^S13_PSP_Species_Support!DA31))^0.976,0))/1000/$G44*L$108,0)</x:f>
        <x:v>3.2644132366920537</x:v>
      </x:c>
      <x:c r="M44" s="147" t="n">
        <x:f aca="0">IFERROR((IFERROR(S13_PSP_Species_Support!U31*0.0673*(S13_PSP_Species_Support!V31*(S13_PSP_Species_Support!W31*(1-EXP(-S13_PSP_Species_Support!X31*4))^S13_PSP_Species_Support!Y31)^2*(S13_PSP_Species_Support!Z31*(1-EXP(-S13_PSP_Species_Support!AA31*4))^S13_PSP_Species_Support!AB31))^0.976,0)+IFERROR(S13_PSP_Species_Support!AF31*0.0673*(S13_PSP_Species_Support!AG31*(S13_PSP_Species_Support!AH31*(1-EXP(-S13_PSP_Species_Support!AI31*4))^S13_PSP_Species_Support!AJ31)^2*(S13_PSP_Species_Support!AK31*(1-EXP(-S13_PSP_Species_Support!AL31*4))^S13_PSP_Species_Support!AM31))^0.976,0)+IFERROR(S13_PSP_Species_Support!AQ31*0.0673*(S13_PSP_Species_Support!AR31*(S13_PSP_Species_Support!AS31*(1-EXP(-S13_PSP_Species_Support!AT31*4))^S13_PSP_Species_Support!AU31)^2*(S13_PSP_Species_Support!AV31*(1-EXP(-S13_PSP_Species_Support!AW31*4))^S13_PSP_Species_Support!AX31))^0.976,0)+IFERROR(S13_PSP_Species_Support!BB31*0.0673*(S13_PSP_Species_Support!BC31*(S13_PSP_Species_Support!BD31*(1-EXP(-S13_PSP_Species_Support!BE31*4))^S13_PSP_Species_Support!BF31)^2*(S13_PSP_Species_Support!BG31*(1-EXP(-S13_PSP_Species_Support!BH31*4))^S13_PSP_Species_Support!BI31))^0.976,0)+IFERROR(S13_PSP_Species_Support!BM31*0.0673*(S13_PSP_Species_Support!BN31*(S13_PSP_Species_Support!BO31*(1-EXP(-S13_PSP_Species_Support!BP31*4))^S13_PSP_Species_Support!BQ31)^2*(S13_PSP_Species_Support!BR31*(1-EXP(-S13_PSP_Species_Support!BS31*4))^S13_PSP_Species_Support!BT31))^0.976,0)+IFERROR(S13_PSP_Species_Support!BX31*0.0673*(S13_PSP_Species_Support!BY31*(S13_PSP_Species_Support!BZ31*(1-EXP(-S13_PSP_Species_Support!CA31*4))^S13_PSP_Species_Support!CB31)^2*(S13_PSP_Species_Support!CC31*(1-EXP(-S13_PSP_Species_Support!CD31*4))^S13_PSP_Species_Support!CE31))^0.976,0)+IFERROR(S13_PSP_Species_Support!CI31*0.0673*(S13_PSP_Species_Support!CJ31*(S13_PSP_Species_Support!CK31*(1-EXP(-S13_PSP_Species_Support!CL31*4))^S13_PSP_Species_Support!CM31)^2*(S13_PSP_Species_Support!CN31*(1-EXP(-S13_PSP_Species_Support!CO31*4))^S13_PSP_Species_Support!CP31))^0.976,0)+IFERROR(S13_PSP_Species_Support!CT31*0.0673*(S13_PSP_Species_Support!CU31*(S13_PSP_Species_Support!CV31*(1-EXP(-S13_PSP_Species_Support!CW31*4))^S13_PSP_Species_Support!CX31)^2*(S13_PSP_Species_Support!CY31*(1-EXP(-S13_PSP_Species_Support!CZ31*4))^S13_PSP_Species_Support!DA31))^0.976,0))/1000/$G44*M$108,0)</x:f>
        <x:v>8.097154077875066</x:v>
      </x:c>
      <x:c r="N44" s="147" t="n">
        <x:f aca="0">IFERROR((IFERROR(S13_PSP_Species_Support!U31*0.0673*(S13_PSP_Species_Support!V31*(S13_PSP_Species_Support!W31*(1-EXP(-S13_PSP_Species_Support!X31*5))^S13_PSP_Species_Support!Y31)^2*(S13_PSP_Species_Support!Z31*(1-EXP(-S13_PSP_Species_Support!AA31*5))^S13_PSP_Species_Support!AB31))^0.976,0)+IFERROR(S13_PSP_Species_Support!AF31*0.0673*(S13_PSP_Species_Support!AG31*(S13_PSP_Species_Support!AH31*(1-EXP(-S13_PSP_Species_Support!AI31*5))^S13_PSP_Species_Support!AJ31)^2*(S13_PSP_Species_Support!AK31*(1-EXP(-S13_PSP_Species_Support!AL31*5))^S13_PSP_Species_Support!AM31))^0.976,0)+IFERROR(S13_PSP_Species_Support!AQ31*0.0673*(S13_PSP_Species_Support!AR31*(S13_PSP_Species_Support!AS31*(1-EXP(-S13_PSP_Species_Support!AT31*5))^S13_PSP_Species_Support!AU31)^2*(S13_PSP_Species_Support!AV31*(1-EXP(-S13_PSP_Species_Support!AW31*5))^S13_PSP_Species_Support!AX31))^0.976,0)+IFERROR(S13_PSP_Species_Support!BB31*0.0673*(S13_PSP_Species_Support!BC31*(S13_PSP_Species_Support!BD31*(1-EXP(-S13_PSP_Species_Support!BE31*5))^S13_PSP_Species_Support!BF31)^2*(S13_PSP_Species_Support!BG31*(1-EXP(-S13_PSP_Species_Support!BH31*5))^S13_PSP_Species_Support!BI31))^0.976,0)+IFERROR(S13_PSP_Species_Support!BM31*0.0673*(S13_PSP_Species_Support!BN31*(S13_PSP_Species_Support!BO31*(1-EXP(-S13_PSP_Species_Support!BP31*5))^S13_PSP_Species_Support!BQ31)^2*(S13_PSP_Species_Support!BR31*(1-EXP(-S13_PSP_Species_Support!BS31*5))^S13_PSP_Species_Support!BT31))^0.976,0)+IFERROR(S13_PSP_Species_Support!BX31*0.0673*(S13_PSP_Species_Support!BY31*(S13_PSP_Species_Support!BZ31*(1-EXP(-S13_PSP_Species_Support!CA31*5))^S13_PSP_Species_Support!CB31)^2*(S13_PSP_Species_Support!CC31*(1-EXP(-S13_PSP_Species_Support!CD31*5))^S13_PSP_Species_Support!CE31))^0.976,0)+IFERROR(S13_PSP_Species_Support!CI31*0.0673*(S13_PSP_Species_Support!CJ31*(S13_PSP_Species_Support!CK31*(1-EXP(-S13_PSP_Species_Support!CL31*5))^S13_PSP_Species_Support!CM31)^2*(S13_PSP_Species_Support!CN31*(1-EXP(-S13_PSP_Species_Support!CO31*5))^S13_PSP_Species_Support!CP31))^0.976,0)+IFERROR(S13_PSP_Species_Support!CT31*0.0673*(S13_PSP_Species_Support!CU31*(S13_PSP_Species_Support!CV31*(1-EXP(-S13_PSP_Species_Support!CW31*5))^S13_PSP_Species_Support!CX31)^2*(S13_PSP_Species_Support!CY31*(1-EXP(-S13_PSP_Species_Support!CZ31*5))^S13_PSP_Species_Support!DA31))^0.976,0))/1000/$G44*N$108,0)</x:f>
        <x:v>15.604342795293633</x:v>
      </x:c>
      <x:c r="O44" s="147" t="n">
        <x:f aca="0">IFERROR((IFERROR(S13_PSP_Species_Support!U31*0.0673*(S13_PSP_Species_Support!V31*(S13_PSP_Species_Support!W31*(1-EXP(-S13_PSP_Species_Support!X31*6))^S13_PSP_Species_Support!Y31)^2*(S13_PSP_Species_Support!Z31*(1-EXP(-S13_PSP_Species_Support!AA31*6))^S13_PSP_Species_Support!AB31))^0.976,0)+IFERROR(S13_PSP_Species_Support!AF31*0.0673*(S13_PSP_Species_Support!AG31*(S13_PSP_Species_Support!AH31*(1-EXP(-S13_PSP_Species_Support!AI31*6))^S13_PSP_Species_Support!AJ31)^2*(S13_PSP_Species_Support!AK31*(1-EXP(-S13_PSP_Species_Support!AL31*6))^S13_PSP_Species_Support!AM31))^0.976,0)+IFERROR(S13_PSP_Species_Support!AQ31*0.0673*(S13_PSP_Species_Support!AR31*(S13_PSP_Species_Support!AS31*(1-EXP(-S13_PSP_Species_Support!AT31*6))^S13_PSP_Species_Support!AU31)^2*(S13_PSP_Species_Support!AV31*(1-EXP(-S13_PSP_Species_Support!AW31*6))^S13_PSP_Species_Support!AX31))^0.976,0)+IFERROR(S13_PSP_Species_Support!BB31*0.0673*(S13_PSP_Species_Support!BC31*(S13_PSP_Species_Support!BD31*(1-EXP(-S13_PSP_Species_Support!BE31*6))^S13_PSP_Species_Support!BF31)^2*(S13_PSP_Species_Support!BG31*(1-EXP(-S13_PSP_Species_Support!BH31*6))^S13_PSP_Species_Support!BI31))^0.976,0)+IFERROR(S13_PSP_Species_Support!BM31*0.0673*(S13_PSP_Species_Support!BN31*(S13_PSP_Species_Support!BO31*(1-EXP(-S13_PSP_Species_Support!BP31*6))^S13_PSP_Species_Support!BQ31)^2*(S13_PSP_Species_Support!BR31*(1-EXP(-S13_PSP_Species_Support!BS31*6))^S13_PSP_Species_Support!BT31))^0.976,0)+IFERROR(S13_PSP_Species_Support!BX31*0.0673*(S13_PSP_Species_Support!BY31*(S13_PSP_Species_Support!BZ31*(1-EXP(-S13_PSP_Species_Support!CA31*6))^S13_PSP_Species_Support!CB31)^2*(S13_PSP_Species_Support!CC31*(1-EXP(-S13_PSP_Species_Support!CD31*6))^S13_PSP_Species_Support!CE31))^0.976,0)+IFERROR(S13_PSP_Species_Support!CI31*0.0673*(S13_PSP_Species_Support!CJ31*(S13_PSP_Species_Support!CK31*(1-EXP(-S13_PSP_Species_Support!CL31*6))^S13_PSP_Species_Support!CM31)^2*(S13_PSP_Species_Support!CN31*(1-EXP(-S13_PSP_Species_Support!CO31*6))^S13_PSP_Species_Support!CP31))^0.976,0)+IFERROR(S13_PSP_Species_Support!CT31*0.0673*(S13_PSP_Species_Support!CU31*(S13_PSP_Species_Support!CV31*(1-EXP(-S13_PSP_Species_Support!CW31*6))^S13_PSP_Species_Support!CX31)^2*(S13_PSP_Species_Support!CY31*(1-EXP(-S13_PSP_Species_Support!CZ31*6))^S13_PSP_Species_Support!DA31))^0.976,0))/1000/$G44*O$108,0)</x:f>
        <x:v>25.688152408258343</x:v>
      </x:c>
      <x:c r="P44" s="147" t="n">
        <x:f aca="0">IFERROR((IFERROR(S13_PSP_Species_Support!U31*0.0673*(S13_PSP_Species_Support!V31*(S13_PSP_Species_Support!W31*(1-EXP(-S13_PSP_Species_Support!X31*7))^S13_PSP_Species_Support!Y31)^2*(S13_PSP_Species_Support!Z31*(1-EXP(-S13_PSP_Species_Support!AA31*7))^S13_PSP_Species_Support!AB31))^0.976,0)+IFERROR(S13_PSP_Species_Support!AF31*0.0673*(S13_PSP_Species_Support!AG31*(S13_PSP_Species_Support!AH31*(1-EXP(-S13_PSP_Species_Support!AI31*7))^S13_PSP_Species_Support!AJ31)^2*(S13_PSP_Species_Support!AK31*(1-EXP(-S13_PSP_Species_Support!AL31*7))^S13_PSP_Species_Support!AM31))^0.976,0)+IFERROR(S13_PSP_Species_Support!AQ31*0.0673*(S13_PSP_Species_Support!AR31*(S13_PSP_Species_Support!AS31*(1-EXP(-S13_PSP_Species_Support!AT31*7))^S13_PSP_Species_Support!AU31)^2*(S13_PSP_Species_Support!AV31*(1-EXP(-S13_PSP_Species_Support!AW31*7))^S13_PSP_Species_Support!AX31))^0.976,0)+IFERROR(S13_PSP_Species_Support!BB31*0.0673*(S13_PSP_Species_Support!BC31*(S13_PSP_Species_Support!BD31*(1-EXP(-S13_PSP_Species_Support!BE31*7))^S13_PSP_Species_Support!BF31)^2*(S13_PSP_Species_Support!BG31*(1-EXP(-S13_PSP_Species_Support!BH31*7))^S13_PSP_Species_Support!BI31))^0.976,0)+IFERROR(S13_PSP_Species_Support!BM31*0.0673*(S13_PSP_Species_Support!BN31*(S13_PSP_Species_Support!BO31*(1-EXP(-S13_PSP_Species_Support!BP31*7))^S13_PSP_Species_Support!BQ31)^2*(S13_PSP_Species_Support!BR31*(1-EXP(-S13_PSP_Species_Support!BS31*7))^S13_PSP_Species_Support!BT31))^0.976,0)+IFERROR(S13_PSP_Species_Support!BX31*0.0673*(S13_PSP_Species_Support!BY31*(S13_PSP_Species_Support!BZ31*(1-EXP(-S13_PSP_Species_Support!CA31*7))^S13_PSP_Species_Support!CB31)^2*(S13_PSP_Species_Support!CC31*(1-EXP(-S13_PSP_Species_Support!CD31*7))^S13_PSP_Species_Support!CE31))^0.976,0)+IFERROR(S13_PSP_Species_Support!CI31*0.0673*(S13_PSP_Species_Support!CJ31*(S13_PSP_Species_Support!CK31*(1-EXP(-S13_PSP_Species_Support!CL31*7))^S13_PSP_Species_Support!CM31)^2*(S13_PSP_Species_Support!CN31*(1-EXP(-S13_PSP_Species_Support!CO31*7))^S13_PSP_Species_Support!CP31))^0.976,0)+IFERROR(S13_PSP_Species_Support!CT31*0.0673*(S13_PSP_Species_Support!CU31*(S13_PSP_Species_Support!CV31*(1-EXP(-S13_PSP_Species_Support!CW31*7))^S13_PSP_Species_Support!CX31)^2*(S13_PSP_Species_Support!CY31*(1-EXP(-S13_PSP_Species_Support!CZ31*7))^S13_PSP_Species_Support!DA31))^0.976,0))/1000/$G44*P$108,0)</x:f>
        <x:v>37.99700520256815</x:v>
      </x:c>
      <x:c r="Q44" s="147" t="n">
        <x:f aca="0">IFERROR((IFERROR(S13_PSP_Species_Support!U31*0.0673*(S13_PSP_Species_Support!V31*(S13_PSP_Species_Support!W31*(1-EXP(-S13_PSP_Species_Support!X31*8))^S13_PSP_Species_Support!Y31)^2*(S13_PSP_Species_Support!Z31*(1-EXP(-S13_PSP_Species_Support!AA31*8))^S13_PSP_Species_Support!AB31))^0.976,0)+IFERROR(S13_PSP_Species_Support!AF31*0.0673*(S13_PSP_Species_Support!AG31*(S13_PSP_Species_Support!AH31*(1-EXP(-S13_PSP_Species_Support!AI31*8))^S13_PSP_Species_Support!AJ31)^2*(S13_PSP_Species_Support!AK31*(1-EXP(-S13_PSP_Species_Support!AL31*8))^S13_PSP_Species_Support!AM31))^0.976,0)+IFERROR(S13_PSP_Species_Support!AQ31*0.0673*(S13_PSP_Species_Support!AR31*(S13_PSP_Species_Support!AS31*(1-EXP(-S13_PSP_Species_Support!AT31*8))^S13_PSP_Species_Support!AU31)^2*(S13_PSP_Species_Support!AV31*(1-EXP(-S13_PSP_Species_Support!AW31*8))^S13_PSP_Species_Support!AX31))^0.976,0)+IFERROR(S13_PSP_Species_Support!BB31*0.0673*(S13_PSP_Species_Support!BC31*(S13_PSP_Species_Support!BD31*(1-EXP(-S13_PSP_Species_Support!BE31*8))^S13_PSP_Species_Support!BF31)^2*(S13_PSP_Species_Support!BG31*(1-EXP(-S13_PSP_Species_Support!BH31*8))^S13_PSP_Species_Support!BI31))^0.976,0)+IFERROR(S13_PSP_Species_Support!BM31*0.0673*(S13_PSP_Species_Support!BN31*(S13_PSP_Species_Support!BO31*(1-EXP(-S13_PSP_Species_Support!BP31*8))^S13_PSP_Species_Support!BQ31)^2*(S13_PSP_Species_Support!BR31*(1-EXP(-S13_PSP_Species_Support!BS31*8))^S13_PSP_Species_Support!BT31))^0.976,0)+IFERROR(S13_PSP_Species_Support!BX31*0.0673*(S13_PSP_Species_Support!BY31*(S13_PSP_Species_Support!BZ31*(1-EXP(-S13_PSP_Species_Support!CA31*8))^S13_PSP_Species_Support!CB31)^2*(S13_PSP_Species_Support!CC31*(1-EXP(-S13_PSP_Species_Support!CD31*8))^S13_PSP_Species_Support!CE31))^0.976,0)+IFERROR(S13_PSP_Species_Support!CI31*0.0673*(S13_PSP_Species_Support!CJ31*(S13_PSP_Species_Support!CK31*(1-EXP(-S13_PSP_Species_Support!CL31*8))^S13_PSP_Species_Support!CM31)^2*(S13_PSP_Species_Support!CN31*(1-EXP(-S13_PSP_Species_Support!CO31*8))^S13_PSP_Species_Support!CP31))^0.976,0)+IFERROR(S13_PSP_Species_Support!CT31*0.0673*(S13_PSP_Species_Support!CU31*(S13_PSP_Species_Support!CV31*(1-EXP(-S13_PSP_Species_Support!CW31*8))^S13_PSP_Species_Support!CX31)^2*(S13_PSP_Species_Support!CY31*(1-EXP(-S13_PSP_Species_Support!CZ31*8))^S13_PSP_Species_Support!DA31))^0.976,0))/1000/$G44*Q$108,0)</x:f>
        <x:v>52.045621185920325</x:v>
      </x:c>
      <x:c r="R44" s="147" t="n">
        <x:f aca="0">IFERROR((IFERROR(S13_PSP_Species_Support!U31*0.0673*(S13_PSP_Species_Support!V31*(S13_PSP_Species_Support!W31*(1-EXP(-S13_PSP_Species_Support!X31*9))^S13_PSP_Species_Support!Y31)^2*(S13_PSP_Species_Support!Z31*(1-EXP(-S13_PSP_Species_Support!AA31*9))^S13_PSP_Species_Support!AB31))^0.976,0)+IFERROR(S13_PSP_Species_Support!AF31*0.0673*(S13_PSP_Species_Support!AG31*(S13_PSP_Species_Support!AH31*(1-EXP(-S13_PSP_Species_Support!AI31*9))^S13_PSP_Species_Support!AJ31)^2*(S13_PSP_Species_Support!AK31*(1-EXP(-S13_PSP_Species_Support!AL31*9))^S13_PSP_Species_Support!AM31))^0.976,0)+IFERROR(S13_PSP_Species_Support!AQ31*0.0673*(S13_PSP_Species_Support!AR31*(S13_PSP_Species_Support!AS31*(1-EXP(-S13_PSP_Species_Support!AT31*9))^S13_PSP_Species_Support!AU31)^2*(S13_PSP_Species_Support!AV31*(1-EXP(-S13_PSP_Species_Support!AW31*9))^S13_PSP_Species_Support!AX31))^0.976,0)+IFERROR(S13_PSP_Species_Support!BB31*0.0673*(S13_PSP_Species_Support!BC31*(S13_PSP_Species_Support!BD31*(1-EXP(-S13_PSP_Species_Support!BE31*9))^S13_PSP_Species_Support!BF31)^2*(S13_PSP_Species_Support!BG31*(1-EXP(-S13_PSP_Species_Support!BH31*9))^S13_PSP_Species_Support!BI31))^0.976,0)+IFERROR(S13_PSP_Species_Support!BM31*0.0673*(S13_PSP_Species_Support!BN31*(S13_PSP_Species_Support!BO31*(1-EXP(-S13_PSP_Species_Support!BP31*9))^S13_PSP_Species_Support!BQ31)^2*(S13_PSP_Species_Support!BR31*(1-EXP(-S13_PSP_Species_Support!BS31*9))^S13_PSP_Species_Support!BT31))^0.976,0)+IFERROR(S13_PSP_Species_Support!BX31*0.0673*(S13_PSP_Species_Support!BY31*(S13_PSP_Species_Support!BZ31*(1-EXP(-S13_PSP_Species_Support!CA31*9))^S13_PSP_Species_Support!CB31)^2*(S13_PSP_Species_Support!CC31*(1-EXP(-S13_PSP_Species_Support!CD31*9))^S13_PSP_Species_Support!CE31))^0.976,0)+IFERROR(S13_PSP_Species_Support!CI31*0.0673*(S13_PSP_Species_Support!CJ31*(S13_PSP_Species_Support!CK31*(1-EXP(-S13_PSP_Species_Support!CL31*9))^S13_PSP_Species_Support!CM31)^2*(S13_PSP_Species_Support!CN31*(1-EXP(-S13_PSP_Species_Support!CO31*9))^S13_PSP_Species_Support!CP31))^0.976,0)+IFERROR(S13_PSP_Species_Support!CT31*0.0673*(S13_PSP_Species_Support!CU31*(S13_PSP_Species_Support!CV31*(1-EXP(-S13_PSP_Species_Support!CW31*9))^S13_PSP_Species_Support!CX31)^2*(S13_PSP_Species_Support!CY31*(1-EXP(-S13_PSP_Species_Support!CZ31*9))^S13_PSP_Species_Support!DA31))^0.976,0))/1000/$G44*R$108,0)</x:f>
        <x:v>67.30771793181567</x:v>
      </x:c>
      <x:c r="S44" s="147" t="n">
        <x:f aca="0">IFERROR((IFERROR(S13_PSP_Species_Support!U31*0.0673*(S13_PSP_Species_Support!V31*(S13_PSP_Species_Support!W31*(1-EXP(-S13_PSP_Species_Support!X31*10))^S13_PSP_Species_Support!Y31)^2*(S13_PSP_Species_Support!Z31*(1-EXP(-S13_PSP_Species_Support!AA31*10))^S13_PSP_Species_Support!AB31))^0.976,0)+IFERROR(S13_PSP_Species_Support!AF31*0.0673*(S13_PSP_Species_Support!AG31*(S13_PSP_Species_Support!AH31*(1-EXP(-S13_PSP_Species_Support!AI31*10))^S13_PSP_Species_Support!AJ31)^2*(S13_PSP_Species_Support!AK31*(1-EXP(-S13_PSP_Species_Support!AL31*10))^S13_PSP_Species_Support!AM31))^0.976,0)+IFERROR(S13_PSP_Species_Support!AQ31*0.0673*(S13_PSP_Species_Support!AR31*(S13_PSP_Species_Support!AS31*(1-EXP(-S13_PSP_Species_Support!AT31*10))^S13_PSP_Species_Support!AU31)^2*(S13_PSP_Species_Support!AV31*(1-EXP(-S13_PSP_Species_Support!AW31*10))^S13_PSP_Species_Support!AX31))^0.976,0)+IFERROR(S13_PSP_Species_Support!BB31*0.0673*(S13_PSP_Species_Support!BC31*(S13_PSP_Species_Support!BD31*(1-EXP(-S13_PSP_Species_Support!BE31*10))^S13_PSP_Species_Support!BF31)^2*(S13_PSP_Species_Support!BG31*(1-EXP(-S13_PSP_Species_Support!BH31*10))^S13_PSP_Species_Support!BI31))^0.976,0)+IFERROR(S13_PSP_Species_Support!BM31*0.0673*(S13_PSP_Species_Support!BN31*(S13_PSP_Species_Support!BO31*(1-EXP(-S13_PSP_Species_Support!BP31*10))^S13_PSP_Species_Support!BQ31)^2*(S13_PSP_Species_Support!BR31*(1-EXP(-S13_PSP_Species_Support!BS31*10))^S13_PSP_Species_Support!BT31))^0.976,0)+IFERROR(S13_PSP_Species_Support!BX31*0.0673*(S13_PSP_Species_Support!BY31*(S13_PSP_Species_Support!BZ31*(1-EXP(-S13_PSP_Species_Support!CA31*10))^S13_PSP_Species_Support!CB31)^2*(S13_PSP_Species_Support!CC31*(1-EXP(-S13_PSP_Species_Support!CD31*10))^S13_PSP_Species_Support!CE31))^0.976,0)+IFERROR(S13_PSP_Species_Support!CI31*0.0673*(S13_PSP_Species_Support!CJ31*(S13_PSP_Species_Support!CK31*(1-EXP(-S13_PSP_Species_Support!CL31*10))^S13_PSP_Species_Support!CM31)^2*(S13_PSP_Species_Support!CN31*(1-EXP(-S13_PSP_Species_Support!CO31*10))^S13_PSP_Species_Support!CP31))^0.976,0)+IFERROR(S13_PSP_Species_Support!CT31*0.0673*(S13_PSP_Species_Support!CU31*(S13_PSP_Species_Support!CV31*(1-EXP(-S13_PSP_Species_Support!CW31*10))^S13_PSP_Species_Support!CX31)^2*(S13_PSP_Species_Support!CY31*(1-EXP(-S13_PSP_Species_Support!CZ31*10))^S13_PSP_Species_Support!DA31))^0.976,0))/1000/$G44*S$108,0)</x:f>
        <x:v>83.27811337227944</x:v>
      </x:c>
      <x:c r="T44" s="147" t="n">
        <x:f aca="0">IFERROR((IFERROR(S13_PSP_Species_Support!U31*0.0673*(S13_PSP_Species_Support!V31*(S13_PSP_Species_Support!W31*(1-EXP(-S13_PSP_Species_Support!X31*11))^S13_PSP_Species_Support!Y31)^2*(S13_PSP_Species_Support!Z31*(1-EXP(-S13_PSP_Species_Support!AA31*11))^S13_PSP_Species_Support!AB31))^0.976,0)+IFERROR(S13_PSP_Species_Support!AF31*0.0673*(S13_PSP_Species_Support!AG31*(S13_PSP_Species_Support!AH31*(1-EXP(-S13_PSP_Species_Support!AI31*11))^S13_PSP_Species_Support!AJ31)^2*(S13_PSP_Species_Support!AK31*(1-EXP(-S13_PSP_Species_Support!AL31*11))^S13_PSP_Species_Support!AM31))^0.976,0)+IFERROR(S13_PSP_Species_Support!AQ31*0.0673*(S13_PSP_Species_Support!AR31*(S13_PSP_Species_Support!AS31*(1-EXP(-S13_PSP_Species_Support!AT31*11))^S13_PSP_Species_Support!AU31)^2*(S13_PSP_Species_Support!AV31*(1-EXP(-S13_PSP_Species_Support!AW31*11))^S13_PSP_Species_Support!AX31))^0.976,0)+IFERROR(S13_PSP_Species_Support!BB31*0.0673*(S13_PSP_Species_Support!BC31*(S13_PSP_Species_Support!BD31*(1-EXP(-S13_PSP_Species_Support!BE31*11))^S13_PSP_Species_Support!BF31)^2*(S13_PSP_Species_Support!BG31*(1-EXP(-S13_PSP_Species_Support!BH31*11))^S13_PSP_Species_Support!BI31))^0.976,0)+IFERROR(S13_PSP_Species_Support!BM31*0.0673*(S13_PSP_Species_Support!BN31*(S13_PSP_Species_Support!BO31*(1-EXP(-S13_PSP_Species_Support!BP31*11))^S13_PSP_Species_Support!BQ31)^2*(S13_PSP_Species_Support!BR31*(1-EXP(-S13_PSP_Species_Support!BS31*11))^S13_PSP_Species_Support!BT31))^0.976,0)+IFERROR(S13_PSP_Species_Support!BX31*0.0673*(S13_PSP_Species_Support!BY31*(S13_PSP_Species_Support!BZ31*(1-EXP(-S13_PSP_Species_Support!CA31*11))^S13_PSP_Species_Support!CB31)^2*(S13_PSP_Species_Support!CC31*(1-EXP(-S13_PSP_Species_Support!CD31*11))^S13_PSP_Species_Support!CE31))^0.976,0)+IFERROR(S13_PSP_Species_Support!CI31*0.0673*(S13_PSP_Species_Support!CJ31*(S13_PSP_Species_Support!CK31*(1-EXP(-S13_PSP_Species_Support!CL31*11))^S13_PSP_Species_Support!CM31)^2*(S13_PSP_Species_Support!CN31*(1-EXP(-S13_PSP_Species_Support!CO31*11))^S13_PSP_Species_Support!CP31))^0.976,0)+IFERROR(S13_PSP_Species_Support!CT31*0.0673*(S13_PSP_Species_Support!CU31*(S13_PSP_Species_Support!CV31*(1-EXP(-S13_PSP_Species_Support!CW31*11))^S13_PSP_Species_Support!CX31)^2*(S13_PSP_Species_Support!CY31*(1-EXP(-S13_PSP_Species_Support!CZ31*11))^S13_PSP_Species_Support!DA31))^0.976,0))/1000/$G44*T$108,0)</x:f>
        <x:v>99.50887378195699</x:v>
      </x:c>
      <x:c r="U44" s="147" t="n">
        <x:f aca="0">IFERROR((IFERROR(S13_PSP_Species_Support!U31*0.0673*(S13_PSP_Species_Support!V31*(S13_PSP_Species_Support!W31*(1-EXP(-S13_PSP_Species_Support!X31*12))^S13_PSP_Species_Support!Y31)^2*(S13_PSP_Species_Support!Z31*(1-EXP(-S13_PSP_Species_Support!AA31*12))^S13_PSP_Species_Support!AB31))^0.976,0)+IFERROR(S13_PSP_Species_Support!AF31*0.0673*(S13_PSP_Species_Support!AG31*(S13_PSP_Species_Support!AH31*(1-EXP(-S13_PSP_Species_Support!AI31*12))^S13_PSP_Species_Support!AJ31)^2*(S13_PSP_Species_Support!AK31*(1-EXP(-S13_PSP_Species_Support!AL31*12))^S13_PSP_Species_Support!AM31))^0.976,0)+IFERROR(S13_PSP_Species_Support!AQ31*0.0673*(S13_PSP_Species_Support!AR31*(S13_PSP_Species_Support!AS31*(1-EXP(-S13_PSP_Species_Support!AT31*12))^S13_PSP_Species_Support!AU31)^2*(S13_PSP_Species_Support!AV31*(1-EXP(-S13_PSP_Species_Support!AW31*12))^S13_PSP_Species_Support!AX31))^0.976,0)+IFERROR(S13_PSP_Species_Support!BB31*0.0673*(S13_PSP_Species_Support!BC31*(S13_PSP_Species_Support!BD31*(1-EXP(-S13_PSP_Species_Support!BE31*12))^S13_PSP_Species_Support!BF31)^2*(S13_PSP_Species_Support!BG31*(1-EXP(-S13_PSP_Species_Support!BH31*12))^S13_PSP_Species_Support!BI31))^0.976,0)+IFERROR(S13_PSP_Species_Support!BM31*0.0673*(S13_PSP_Species_Support!BN31*(S13_PSP_Species_Support!BO31*(1-EXP(-S13_PSP_Species_Support!BP31*12))^S13_PSP_Species_Support!BQ31)^2*(S13_PSP_Species_Support!BR31*(1-EXP(-S13_PSP_Species_Support!BS31*12))^S13_PSP_Species_Support!BT31))^0.976,0)+IFERROR(S13_PSP_Species_Support!BX31*0.0673*(S13_PSP_Species_Support!BY31*(S13_PSP_Species_Support!BZ31*(1-EXP(-S13_PSP_Species_Support!CA31*12))^S13_PSP_Species_Support!CB31)^2*(S13_PSP_Species_Support!CC31*(1-EXP(-S13_PSP_Species_Support!CD31*12))^S13_PSP_Species_Support!CE31))^0.976,0)+IFERROR(S13_PSP_Species_Support!CI31*0.0673*(S13_PSP_Species_Support!CJ31*(S13_PSP_Species_Support!CK31*(1-EXP(-S13_PSP_Species_Support!CL31*12))^S13_PSP_Species_Support!CM31)^2*(S13_PSP_Species_Support!CN31*(1-EXP(-S13_PSP_Species_Support!CO31*12))^S13_PSP_Species_Support!CP31))^0.976,0)+IFERROR(S13_PSP_Species_Support!CT31*0.0673*(S13_PSP_Species_Support!CU31*(S13_PSP_Species_Support!CV31*(1-EXP(-S13_PSP_Species_Support!CW31*12))^S13_PSP_Species_Support!CX31)^2*(S13_PSP_Species_Support!CY31*(1-EXP(-S13_PSP_Species_Support!CZ31*12))^S13_PSP_Species_Support!DA31))^0.976,0))/1000/$G44*U$108,0)</x:f>
        <x:v>115.62621131019837</x:v>
      </x:c>
      <x:c r="V44" s="147" t="n">
        <x:f aca="0">IFERROR((IFERROR(S13_PSP_Species_Support!U31*0.0673*(S13_PSP_Species_Support!V31*(S13_PSP_Species_Support!W31*(1-EXP(-S13_PSP_Species_Support!X31*13))^S13_PSP_Species_Support!Y31)^2*(S13_PSP_Species_Support!Z31*(1-EXP(-S13_PSP_Species_Support!AA31*13))^S13_PSP_Species_Support!AB31))^0.976,0)+IFERROR(S13_PSP_Species_Support!AF31*0.0673*(S13_PSP_Species_Support!AG31*(S13_PSP_Species_Support!AH31*(1-EXP(-S13_PSP_Species_Support!AI31*13))^S13_PSP_Species_Support!AJ31)^2*(S13_PSP_Species_Support!AK31*(1-EXP(-S13_PSP_Species_Support!AL31*13))^S13_PSP_Species_Support!AM31))^0.976,0)+IFERROR(S13_PSP_Species_Support!AQ31*0.0673*(S13_PSP_Species_Support!AR31*(S13_PSP_Species_Support!AS31*(1-EXP(-S13_PSP_Species_Support!AT31*13))^S13_PSP_Species_Support!AU31)^2*(S13_PSP_Species_Support!AV31*(1-EXP(-S13_PSP_Species_Support!AW31*13))^S13_PSP_Species_Support!AX31))^0.976,0)+IFERROR(S13_PSP_Species_Support!BB31*0.0673*(S13_PSP_Species_Support!BC31*(S13_PSP_Species_Support!BD31*(1-EXP(-S13_PSP_Species_Support!BE31*13))^S13_PSP_Species_Support!BF31)^2*(S13_PSP_Species_Support!BG31*(1-EXP(-S13_PSP_Species_Support!BH31*13))^S13_PSP_Species_Support!BI31))^0.976,0)+IFERROR(S13_PSP_Species_Support!BM31*0.0673*(S13_PSP_Species_Support!BN31*(S13_PSP_Species_Support!BO31*(1-EXP(-S13_PSP_Species_Support!BP31*13))^S13_PSP_Species_Support!BQ31)^2*(S13_PSP_Species_Support!BR31*(1-EXP(-S13_PSP_Species_Support!BS31*13))^S13_PSP_Species_Support!BT31))^0.976,0)+IFERROR(S13_PSP_Species_Support!BX31*0.0673*(S13_PSP_Species_Support!BY31*(S13_PSP_Species_Support!BZ31*(1-EXP(-S13_PSP_Species_Support!CA31*13))^S13_PSP_Species_Support!CB31)^2*(S13_PSP_Species_Support!CC31*(1-EXP(-S13_PSP_Species_Support!CD31*13))^S13_PSP_Species_Support!CE31))^0.976,0)+IFERROR(S13_PSP_Species_Support!CI31*0.0673*(S13_PSP_Species_Support!CJ31*(S13_PSP_Species_Support!CK31*(1-EXP(-S13_PSP_Species_Support!CL31*13))^S13_PSP_Species_Support!CM31)^2*(S13_PSP_Species_Support!CN31*(1-EXP(-S13_PSP_Species_Support!CO31*13))^S13_PSP_Species_Support!CP31))^0.976,0)+IFERROR(S13_PSP_Species_Support!CT31*0.0673*(S13_PSP_Species_Support!CU31*(S13_PSP_Species_Support!CV31*(1-EXP(-S13_PSP_Species_Support!CW31*13))^S13_PSP_Species_Support!CX31)^2*(S13_PSP_Species_Support!CY31*(1-EXP(-S13_PSP_Species_Support!CZ31*13))^S13_PSP_Species_Support!DA31))^0.976,0))/1000/$G44*V$108,0)</x:f>
        <x:v>131.33441794090479</x:v>
      </x:c>
      <x:c r="W44" s="147" t="n">
        <x:f aca="0">IFERROR((IFERROR(S13_PSP_Species_Support!U31*0.0673*(S13_PSP_Species_Support!V31*(S13_PSP_Species_Support!W31*(1-EXP(-S13_PSP_Species_Support!X31*14))^S13_PSP_Species_Support!Y31)^2*(S13_PSP_Species_Support!Z31*(1-EXP(-S13_PSP_Species_Support!AA31*14))^S13_PSP_Species_Support!AB31))^0.976,0)+IFERROR(S13_PSP_Species_Support!AF31*0.0673*(S13_PSP_Species_Support!AG31*(S13_PSP_Species_Support!AH31*(1-EXP(-S13_PSP_Species_Support!AI31*14))^S13_PSP_Species_Support!AJ31)^2*(S13_PSP_Species_Support!AK31*(1-EXP(-S13_PSP_Species_Support!AL31*14))^S13_PSP_Species_Support!AM31))^0.976,0)+IFERROR(S13_PSP_Species_Support!AQ31*0.0673*(S13_PSP_Species_Support!AR31*(S13_PSP_Species_Support!AS31*(1-EXP(-S13_PSP_Species_Support!AT31*14))^S13_PSP_Species_Support!AU31)^2*(S13_PSP_Species_Support!AV31*(1-EXP(-S13_PSP_Species_Support!AW31*14))^S13_PSP_Species_Support!AX31))^0.976,0)+IFERROR(S13_PSP_Species_Support!BB31*0.0673*(S13_PSP_Species_Support!BC31*(S13_PSP_Species_Support!BD31*(1-EXP(-S13_PSP_Species_Support!BE31*14))^S13_PSP_Species_Support!BF31)^2*(S13_PSP_Species_Support!BG31*(1-EXP(-S13_PSP_Species_Support!BH31*14))^S13_PSP_Species_Support!BI31))^0.976,0)+IFERROR(S13_PSP_Species_Support!BM31*0.0673*(S13_PSP_Species_Support!BN31*(S13_PSP_Species_Support!BO31*(1-EXP(-S13_PSP_Species_Support!BP31*14))^S13_PSP_Species_Support!BQ31)^2*(S13_PSP_Species_Support!BR31*(1-EXP(-S13_PSP_Species_Support!BS31*14))^S13_PSP_Species_Support!BT31))^0.976,0)+IFERROR(S13_PSP_Species_Support!BX31*0.0673*(S13_PSP_Species_Support!BY31*(S13_PSP_Species_Support!BZ31*(1-EXP(-S13_PSP_Species_Support!CA31*14))^S13_PSP_Species_Support!CB31)^2*(S13_PSP_Species_Support!CC31*(1-EXP(-S13_PSP_Species_Support!CD31*14))^S13_PSP_Species_Support!CE31))^0.976,0)+IFERROR(S13_PSP_Species_Support!CI31*0.0673*(S13_PSP_Species_Support!CJ31*(S13_PSP_Species_Support!CK31*(1-EXP(-S13_PSP_Species_Support!CL31*14))^S13_PSP_Species_Support!CM31)^2*(S13_PSP_Species_Support!CN31*(1-EXP(-S13_PSP_Species_Support!CO31*14))^S13_PSP_Species_Support!CP31))^0.976,0)+IFERROR(S13_PSP_Species_Support!CT31*0.0673*(S13_PSP_Species_Support!CU31*(S13_PSP_Species_Support!CV31*(1-EXP(-S13_PSP_Species_Support!CW31*14))^S13_PSP_Species_Support!CX31)^2*(S13_PSP_Species_Support!CY31*(1-EXP(-S13_PSP_Species_Support!CZ31*14))^S13_PSP_Species_Support!DA31))^0.976,0))/1000/$G44*W$108,0)</x:f>
        <x:v>146.4118591997399</x:v>
      </x:c>
      <x:c r="X44" s="147" t="n">
        <x:f aca="0">IFERROR((IFERROR(S13_PSP_Species_Support!U31*0.0673*(S13_PSP_Species_Support!V31*(S13_PSP_Species_Support!W31*(1-EXP(-S13_PSP_Species_Support!X31*15))^S13_PSP_Species_Support!Y31)^2*(S13_PSP_Species_Support!Z31*(1-EXP(-S13_PSP_Species_Support!AA31*15))^S13_PSP_Species_Support!AB31))^0.976,0)+IFERROR(S13_PSP_Species_Support!AF31*0.0673*(S13_PSP_Species_Support!AG31*(S13_PSP_Species_Support!AH31*(1-EXP(-S13_PSP_Species_Support!AI31*15))^S13_PSP_Species_Support!AJ31)^2*(S13_PSP_Species_Support!AK31*(1-EXP(-S13_PSP_Species_Support!AL31*15))^S13_PSP_Species_Support!AM31))^0.976,0)+IFERROR(S13_PSP_Species_Support!AQ31*0.0673*(S13_PSP_Species_Support!AR31*(S13_PSP_Species_Support!AS31*(1-EXP(-S13_PSP_Species_Support!AT31*15))^S13_PSP_Species_Support!AU31)^2*(S13_PSP_Species_Support!AV31*(1-EXP(-S13_PSP_Species_Support!AW31*15))^S13_PSP_Species_Support!AX31))^0.976,0)+IFERROR(S13_PSP_Species_Support!BB31*0.0673*(S13_PSP_Species_Support!BC31*(S13_PSP_Species_Support!BD31*(1-EXP(-S13_PSP_Species_Support!BE31*15))^S13_PSP_Species_Support!BF31)^2*(S13_PSP_Species_Support!BG31*(1-EXP(-S13_PSP_Species_Support!BH31*15))^S13_PSP_Species_Support!BI31))^0.976,0)+IFERROR(S13_PSP_Species_Support!BM31*0.0673*(S13_PSP_Species_Support!BN31*(S13_PSP_Species_Support!BO31*(1-EXP(-S13_PSP_Species_Support!BP31*15))^S13_PSP_Species_Support!BQ31)^2*(S13_PSP_Species_Support!BR31*(1-EXP(-S13_PSP_Species_Support!BS31*15))^S13_PSP_Species_Support!BT31))^0.976,0)+IFERROR(S13_PSP_Species_Support!BX31*0.0673*(S13_PSP_Species_Support!BY31*(S13_PSP_Species_Support!BZ31*(1-EXP(-S13_PSP_Species_Support!CA31*15))^S13_PSP_Species_Support!CB31)^2*(S13_PSP_Species_Support!CC31*(1-EXP(-S13_PSP_Species_Support!CD31*15))^S13_PSP_Species_Support!CE31))^0.976,0)+IFERROR(S13_PSP_Species_Support!CI31*0.0673*(S13_PSP_Species_Support!CJ31*(S13_PSP_Species_Support!CK31*(1-EXP(-S13_PSP_Species_Support!CL31*15))^S13_PSP_Species_Support!CM31)^2*(S13_PSP_Species_Support!CN31*(1-EXP(-S13_PSP_Species_Support!CO31*15))^S13_PSP_Species_Support!CP31))^0.976,0)+IFERROR(S13_PSP_Species_Support!CT31*0.0673*(S13_PSP_Species_Support!CU31*(S13_PSP_Species_Support!CV31*(1-EXP(-S13_PSP_Species_Support!CW31*15))^S13_PSP_Species_Support!CX31)^2*(S13_PSP_Species_Support!CY31*(1-EXP(-S13_PSP_Species_Support!CZ31*15))^S13_PSP_Species_Support!DA31))^0.976,0))/1000/$G44*X$108,0)</x:f>
        <x:v>160.7026825683234</x:v>
      </x:c>
      <x:c r="Y44" s="147" t="n">
        <x:f aca="0">IFERROR((IFERROR(S13_PSP_Species_Support!U31*0.0673*(S13_PSP_Species_Support!V31*(S13_PSP_Species_Support!W31*(1-EXP(-S13_PSP_Species_Support!X31*16))^S13_PSP_Species_Support!Y31)^2*(S13_PSP_Species_Support!Z31*(1-EXP(-S13_PSP_Species_Support!AA31*16))^S13_PSP_Species_Support!AB31))^0.976,0)+IFERROR(S13_PSP_Species_Support!AF31*0.0673*(S13_PSP_Species_Support!AG31*(S13_PSP_Species_Support!AH31*(1-EXP(-S13_PSP_Species_Support!AI31*16))^S13_PSP_Species_Support!AJ31)^2*(S13_PSP_Species_Support!AK31*(1-EXP(-S13_PSP_Species_Support!AL31*16))^S13_PSP_Species_Support!AM31))^0.976,0)+IFERROR(S13_PSP_Species_Support!AQ31*0.0673*(S13_PSP_Species_Support!AR31*(S13_PSP_Species_Support!AS31*(1-EXP(-S13_PSP_Species_Support!AT31*16))^S13_PSP_Species_Support!AU31)^2*(S13_PSP_Species_Support!AV31*(1-EXP(-S13_PSP_Species_Support!AW31*16))^S13_PSP_Species_Support!AX31))^0.976,0)+IFERROR(S13_PSP_Species_Support!BB31*0.0673*(S13_PSP_Species_Support!BC31*(S13_PSP_Species_Support!BD31*(1-EXP(-S13_PSP_Species_Support!BE31*16))^S13_PSP_Species_Support!BF31)^2*(S13_PSP_Species_Support!BG31*(1-EXP(-S13_PSP_Species_Support!BH31*16))^S13_PSP_Species_Support!BI31))^0.976,0)+IFERROR(S13_PSP_Species_Support!BM31*0.0673*(S13_PSP_Species_Support!BN31*(S13_PSP_Species_Support!BO31*(1-EXP(-S13_PSP_Species_Support!BP31*16))^S13_PSP_Species_Support!BQ31)^2*(S13_PSP_Species_Support!BR31*(1-EXP(-S13_PSP_Species_Support!BS31*16))^S13_PSP_Species_Support!BT31))^0.976,0)+IFERROR(S13_PSP_Species_Support!BX31*0.0673*(S13_PSP_Species_Support!BY31*(S13_PSP_Species_Support!BZ31*(1-EXP(-S13_PSP_Species_Support!CA31*16))^S13_PSP_Species_Support!CB31)^2*(S13_PSP_Species_Support!CC31*(1-EXP(-S13_PSP_Species_Support!CD31*16))^S13_PSP_Species_Support!CE31))^0.976,0)+IFERROR(S13_PSP_Species_Support!CI31*0.0673*(S13_PSP_Species_Support!CJ31*(S13_PSP_Species_Support!CK31*(1-EXP(-S13_PSP_Species_Support!CL31*16))^S13_PSP_Species_Support!CM31)^2*(S13_PSP_Species_Support!CN31*(1-EXP(-S13_PSP_Species_Support!CO31*16))^S13_PSP_Species_Support!CP31))^0.976,0)+IFERROR(S13_PSP_Species_Support!CT31*0.0673*(S13_PSP_Species_Support!CU31*(S13_PSP_Species_Support!CV31*(1-EXP(-S13_PSP_Species_Support!CW31*16))^S13_PSP_Species_Support!CX31)^2*(S13_PSP_Species_Support!CY31*(1-EXP(-S13_PSP_Species_Support!CZ31*16))^S13_PSP_Species_Support!DA31))^0.976,0))/1000/$G44*Y$108,0)</x:f>
        <x:v>174.10671557408344</x:v>
      </x:c>
      <x:c r="Z44" s="147" t="n">
        <x:f aca="0">IFERROR((IFERROR(S13_PSP_Species_Support!U31*0.0673*(S13_PSP_Species_Support!V31*(S13_PSP_Species_Support!W31*(1-EXP(-S13_PSP_Species_Support!X31*17))^S13_PSP_Species_Support!Y31)^2*(S13_PSP_Species_Support!Z31*(1-EXP(-S13_PSP_Species_Support!AA31*17))^S13_PSP_Species_Support!AB31))^0.976,0)+IFERROR(S13_PSP_Species_Support!AF31*0.0673*(S13_PSP_Species_Support!AG31*(S13_PSP_Species_Support!AH31*(1-EXP(-S13_PSP_Species_Support!AI31*17))^S13_PSP_Species_Support!AJ31)^2*(S13_PSP_Species_Support!AK31*(1-EXP(-S13_PSP_Species_Support!AL31*17))^S13_PSP_Species_Support!AM31))^0.976,0)+IFERROR(S13_PSP_Species_Support!AQ31*0.0673*(S13_PSP_Species_Support!AR31*(S13_PSP_Species_Support!AS31*(1-EXP(-S13_PSP_Species_Support!AT31*17))^S13_PSP_Species_Support!AU31)^2*(S13_PSP_Species_Support!AV31*(1-EXP(-S13_PSP_Species_Support!AW31*17))^S13_PSP_Species_Support!AX31))^0.976,0)+IFERROR(S13_PSP_Species_Support!BB31*0.0673*(S13_PSP_Species_Support!BC31*(S13_PSP_Species_Support!BD31*(1-EXP(-S13_PSP_Species_Support!BE31*17))^S13_PSP_Species_Support!BF31)^2*(S13_PSP_Species_Support!BG31*(1-EXP(-S13_PSP_Species_Support!BH31*17))^S13_PSP_Species_Support!BI31))^0.976,0)+IFERROR(S13_PSP_Species_Support!BM31*0.0673*(S13_PSP_Species_Support!BN31*(S13_PSP_Species_Support!BO31*(1-EXP(-S13_PSP_Species_Support!BP31*17))^S13_PSP_Species_Support!BQ31)^2*(S13_PSP_Species_Support!BR31*(1-EXP(-S13_PSP_Species_Support!BS31*17))^S13_PSP_Species_Support!BT31))^0.976,0)+IFERROR(S13_PSP_Species_Support!BX31*0.0673*(S13_PSP_Species_Support!BY31*(S13_PSP_Species_Support!BZ31*(1-EXP(-S13_PSP_Species_Support!CA31*17))^S13_PSP_Species_Support!CB31)^2*(S13_PSP_Species_Support!CC31*(1-EXP(-S13_PSP_Species_Support!CD31*17))^S13_PSP_Species_Support!CE31))^0.976,0)+IFERROR(S13_PSP_Species_Support!CI31*0.0673*(S13_PSP_Species_Support!CJ31*(S13_PSP_Species_Support!CK31*(1-EXP(-S13_PSP_Species_Support!CL31*17))^S13_PSP_Species_Support!CM31)^2*(S13_PSP_Species_Support!CN31*(1-EXP(-S13_PSP_Species_Support!CO31*17))^S13_PSP_Species_Support!CP31))^0.976,0)+IFERROR(S13_PSP_Species_Support!CT31*0.0673*(S13_PSP_Species_Support!CU31*(S13_PSP_Species_Support!CV31*(1-EXP(-S13_PSP_Species_Support!CW31*17))^S13_PSP_Species_Support!CX31)^2*(S13_PSP_Species_Support!CY31*(1-EXP(-S13_PSP_Species_Support!CZ31*17))^S13_PSP_Species_Support!DA31))^0.976,0))/1000/$G44*Z$108,0)</x:f>
        <x:v>186.56911676149176</x:v>
      </x:c>
      <x:c r="AA44" s="147" t="n">
        <x:f aca="0">IFERROR((IFERROR(S13_PSP_Species_Support!U31*0.0673*(S13_PSP_Species_Support!V31*(S13_PSP_Species_Support!W31*(1-EXP(-S13_PSP_Species_Support!X31*18))^S13_PSP_Species_Support!Y31)^2*(S13_PSP_Species_Support!Z31*(1-EXP(-S13_PSP_Species_Support!AA31*18))^S13_PSP_Species_Support!AB31))^0.976,0)+IFERROR(S13_PSP_Species_Support!AF31*0.0673*(S13_PSP_Species_Support!AG31*(S13_PSP_Species_Support!AH31*(1-EXP(-S13_PSP_Species_Support!AI31*18))^S13_PSP_Species_Support!AJ31)^2*(S13_PSP_Species_Support!AK31*(1-EXP(-S13_PSP_Species_Support!AL31*18))^S13_PSP_Species_Support!AM31))^0.976,0)+IFERROR(S13_PSP_Species_Support!AQ31*0.0673*(S13_PSP_Species_Support!AR31*(S13_PSP_Species_Support!AS31*(1-EXP(-S13_PSP_Species_Support!AT31*18))^S13_PSP_Species_Support!AU31)^2*(S13_PSP_Species_Support!AV31*(1-EXP(-S13_PSP_Species_Support!AW31*18))^S13_PSP_Species_Support!AX31))^0.976,0)+IFERROR(S13_PSP_Species_Support!BB31*0.0673*(S13_PSP_Species_Support!BC31*(S13_PSP_Species_Support!BD31*(1-EXP(-S13_PSP_Species_Support!BE31*18))^S13_PSP_Species_Support!BF31)^2*(S13_PSP_Species_Support!BG31*(1-EXP(-S13_PSP_Species_Support!BH31*18))^S13_PSP_Species_Support!BI31))^0.976,0)+IFERROR(S13_PSP_Species_Support!BM31*0.0673*(S13_PSP_Species_Support!BN31*(S13_PSP_Species_Support!BO31*(1-EXP(-S13_PSP_Species_Support!BP31*18))^S13_PSP_Species_Support!BQ31)^2*(S13_PSP_Species_Support!BR31*(1-EXP(-S13_PSP_Species_Support!BS31*18))^S13_PSP_Species_Support!BT31))^0.976,0)+IFERROR(S13_PSP_Species_Support!BX31*0.0673*(S13_PSP_Species_Support!BY31*(S13_PSP_Species_Support!BZ31*(1-EXP(-S13_PSP_Species_Support!CA31*18))^S13_PSP_Species_Support!CB31)^2*(S13_PSP_Species_Support!CC31*(1-EXP(-S13_PSP_Species_Support!CD31*18))^S13_PSP_Species_Support!CE31))^0.976,0)+IFERROR(S13_PSP_Species_Support!CI31*0.0673*(S13_PSP_Species_Support!CJ31*(S13_PSP_Species_Support!CK31*(1-EXP(-S13_PSP_Species_Support!CL31*18))^S13_PSP_Species_Support!CM31)^2*(S13_PSP_Species_Support!CN31*(1-EXP(-S13_PSP_Species_Support!CO31*18))^S13_PSP_Species_Support!CP31))^0.976,0)+IFERROR(S13_PSP_Species_Support!CT31*0.0673*(S13_PSP_Species_Support!CU31*(S13_PSP_Species_Support!CV31*(1-EXP(-S13_PSP_Species_Support!CW31*18))^S13_PSP_Species_Support!CX31)^2*(S13_PSP_Species_Support!CY31*(1-EXP(-S13_PSP_Species_Support!CZ31*18))^S13_PSP_Species_Support!DA31))^0.976,0))/1000/$G44*AA$108,0)</x:f>
        <x:v>198.0706865015365</x:v>
      </x:c>
      <x:c r="AB44" s="147" t="n">
        <x:f aca="0">IFERROR((IFERROR(S13_PSP_Species_Support!U31*0.0673*(S13_PSP_Species_Support!V31*(S13_PSP_Species_Support!W31*(1-EXP(-S13_PSP_Species_Support!X31*19))^S13_PSP_Species_Support!Y31)^2*(S13_PSP_Species_Support!Z31*(1-EXP(-S13_PSP_Species_Support!AA31*19))^S13_PSP_Species_Support!AB31))^0.976,0)+IFERROR(S13_PSP_Species_Support!AF31*0.0673*(S13_PSP_Species_Support!AG31*(S13_PSP_Species_Support!AH31*(1-EXP(-S13_PSP_Species_Support!AI31*19))^S13_PSP_Species_Support!AJ31)^2*(S13_PSP_Species_Support!AK31*(1-EXP(-S13_PSP_Species_Support!AL31*19))^S13_PSP_Species_Support!AM31))^0.976,0)+IFERROR(S13_PSP_Species_Support!AQ31*0.0673*(S13_PSP_Species_Support!AR31*(S13_PSP_Species_Support!AS31*(1-EXP(-S13_PSP_Species_Support!AT31*19))^S13_PSP_Species_Support!AU31)^2*(S13_PSP_Species_Support!AV31*(1-EXP(-S13_PSP_Species_Support!AW31*19))^S13_PSP_Species_Support!AX31))^0.976,0)+IFERROR(S13_PSP_Species_Support!BB31*0.0673*(S13_PSP_Species_Support!BC31*(S13_PSP_Species_Support!BD31*(1-EXP(-S13_PSP_Species_Support!BE31*19))^S13_PSP_Species_Support!BF31)^2*(S13_PSP_Species_Support!BG31*(1-EXP(-S13_PSP_Species_Support!BH31*19))^S13_PSP_Species_Support!BI31))^0.976,0)+IFERROR(S13_PSP_Species_Support!BM31*0.0673*(S13_PSP_Species_Support!BN31*(S13_PSP_Species_Support!BO31*(1-EXP(-S13_PSP_Species_Support!BP31*19))^S13_PSP_Species_Support!BQ31)^2*(S13_PSP_Species_Support!BR31*(1-EXP(-S13_PSP_Species_Support!BS31*19))^S13_PSP_Species_Support!BT31))^0.976,0)+IFERROR(S13_PSP_Species_Support!BX31*0.0673*(S13_PSP_Species_Support!BY31*(S13_PSP_Species_Support!BZ31*(1-EXP(-S13_PSP_Species_Support!CA31*19))^S13_PSP_Species_Support!CB31)^2*(S13_PSP_Species_Support!CC31*(1-EXP(-S13_PSP_Species_Support!CD31*19))^S13_PSP_Species_Support!CE31))^0.976,0)+IFERROR(S13_PSP_Species_Support!CI31*0.0673*(S13_PSP_Species_Support!CJ31*(S13_PSP_Species_Support!CK31*(1-EXP(-S13_PSP_Species_Support!CL31*19))^S13_PSP_Species_Support!CM31)^2*(S13_PSP_Species_Support!CN31*(1-EXP(-S13_PSP_Species_Support!CO31*19))^S13_PSP_Species_Support!CP31))^0.976,0)+IFERROR(S13_PSP_Species_Support!CT31*0.0673*(S13_PSP_Species_Support!CU31*(S13_PSP_Species_Support!CV31*(1-EXP(-S13_PSP_Species_Support!CW31*19))^S13_PSP_Species_Support!CX31)^2*(S13_PSP_Species_Support!CY31*(1-EXP(-S13_PSP_Species_Support!CZ31*19))^S13_PSP_Species_Support!DA31))^0.976,0))/1000/$G44*AB$108,0)</x:f>
        <x:v>208.61929817047866</x:v>
      </x:c>
      <x:c r="AC44" s="147" t="n">
        <x:f aca="0">IFERROR((IFERROR(S13_PSP_Species_Support!U31*0.0673*(S13_PSP_Species_Support!V31*(S13_PSP_Species_Support!W31*(1-EXP(-S13_PSP_Species_Support!X31*20))^S13_PSP_Species_Support!Y31)^2*(S13_PSP_Species_Support!Z31*(1-EXP(-S13_PSP_Species_Support!AA31*20))^S13_PSP_Species_Support!AB31))^0.976,0)+IFERROR(S13_PSP_Species_Support!AF31*0.0673*(S13_PSP_Species_Support!AG31*(S13_PSP_Species_Support!AH31*(1-EXP(-S13_PSP_Species_Support!AI31*20))^S13_PSP_Species_Support!AJ31)^2*(S13_PSP_Species_Support!AK31*(1-EXP(-S13_PSP_Species_Support!AL31*20))^S13_PSP_Species_Support!AM31))^0.976,0)+IFERROR(S13_PSP_Species_Support!AQ31*0.0673*(S13_PSP_Species_Support!AR31*(S13_PSP_Species_Support!AS31*(1-EXP(-S13_PSP_Species_Support!AT31*20))^S13_PSP_Species_Support!AU31)^2*(S13_PSP_Species_Support!AV31*(1-EXP(-S13_PSP_Species_Support!AW31*20))^S13_PSP_Species_Support!AX31))^0.976,0)+IFERROR(S13_PSP_Species_Support!BB31*0.0673*(S13_PSP_Species_Support!BC31*(S13_PSP_Species_Support!BD31*(1-EXP(-S13_PSP_Species_Support!BE31*20))^S13_PSP_Species_Support!BF31)^2*(S13_PSP_Species_Support!BG31*(1-EXP(-S13_PSP_Species_Support!BH31*20))^S13_PSP_Species_Support!BI31))^0.976,0)+IFERROR(S13_PSP_Species_Support!BM31*0.0673*(S13_PSP_Species_Support!BN31*(S13_PSP_Species_Support!BO31*(1-EXP(-S13_PSP_Species_Support!BP31*20))^S13_PSP_Species_Support!BQ31)^2*(S13_PSP_Species_Support!BR31*(1-EXP(-S13_PSP_Species_Support!BS31*20))^S13_PSP_Species_Support!BT31))^0.976,0)+IFERROR(S13_PSP_Species_Support!BX31*0.0673*(S13_PSP_Species_Support!BY31*(S13_PSP_Species_Support!BZ31*(1-EXP(-S13_PSP_Species_Support!CA31*20))^S13_PSP_Species_Support!CB31)^2*(S13_PSP_Species_Support!CC31*(1-EXP(-S13_PSP_Species_Support!CD31*20))^S13_PSP_Species_Support!CE31))^0.976,0)+IFERROR(S13_PSP_Species_Support!CI31*0.0673*(S13_PSP_Species_Support!CJ31*(S13_PSP_Species_Support!CK31*(1-EXP(-S13_PSP_Species_Support!CL31*20))^S13_PSP_Species_Support!CM31)^2*(S13_PSP_Species_Support!CN31*(1-EXP(-S13_PSP_Species_Support!CO31*20))^S13_PSP_Species_Support!CP31))^0.976,0)+IFERROR(S13_PSP_Species_Support!CT31*0.0673*(S13_PSP_Species_Support!CU31*(S13_PSP_Species_Support!CV31*(1-EXP(-S13_PSP_Species_Support!CW31*20))^S13_PSP_Species_Support!CX31)^2*(S13_PSP_Species_Support!CY31*(1-EXP(-S13_PSP_Species_Support!CZ31*20))^S13_PSP_Species_Support!DA31))^0.976,0))/1000/$G44*AC$108,0)</x:f>
        <x:v>218.242622508511</x:v>
      </x:c>
      <x:c r="AD44" s="148" t="n">
        <x:f aca="0">IF(2020&lt;$F44,0,INDEX($I44:$AC44,1,2020-$F44+1))</x:f>
        <x:v>0</x:v>
      </x:c>
      <x:c r="AE44" s="148" t="n">
        <x:f aca="0">IF(2021&lt;$F44,0,INDEX($I44:$AC44,1,2021-$F44+1))</x:f>
        <x:v>0</x:v>
      </x:c>
      <x:c r="AF44" s="148" t="n">
        <x:f aca="0">IF(2022&lt;$F44,0,INDEX($I44:$AC44,1,2022-$F44+1))</x:f>
        <x:v>0</x:v>
      </x:c>
      <x:c r="AG44" s="148" t="n">
        <x:f aca="0">IF(2023&lt;$F44,0,INDEX($I44:$AC44,1,2023-$F44+1))</x:f>
        <x:v>0.06859312033735458</x:v>
      </x:c>
      <x:c r="AH44" s="148" t="n">
        <x:f aca="0">IF(2024&lt;$F44,0,INDEX($I44:$AC44,1,2024-$F44+1))</x:f>
        <x:v>0.8346809844352459</x:v>
      </x:c>
      <x:c r="AI44" s="148" t="n">
        <x:f aca="0">IF(2025&lt;$F44,0,INDEX($I44:$AC44,1,2025-$F44+1))</x:f>
        <x:v>3.2644132366920537</x:v>
      </x:c>
      <x:c r="AJ44" s="148" t="n">
        <x:f aca="0">IF(2026&lt;$F44,0,INDEX($I44:$AC44,1,2026-$F44+1))</x:f>
        <x:v>8.097154077875066</x:v>
      </x:c>
      <x:c r="AK44" s="148" t="n">
        <x:f aca="0">IF(2027&lt;$F44,0,INDEX($I44:$AC44,1,2027-$F44+1))</x:f>
        <x:v>15.604342795293633</x:v>
      </x:c>
      <x:c r="AL44" s="148" t="n">
        <x:f aca="0">IF(2028&lt;$F44,0,INDEX($I44:$AC44,1,2028-$F44+1))</x:f>
        <x:v>25.688152408258343</x:v>
      </x:c>
      <x:c r="AM44" s="148" t="n">
        <x:f aca="0">IF(2029&lt;$F44,0,INDEX($I44:$AC44,1,2029-$F44+1))</x:f>
        <x:v>37.99700520256815</x:v>
      </x:c>
      <x:c r="AN44" s="148" t="n">
        <x:f aca="0">IF(2030&lt;$F44,0,INDEX($I44:$AC44,1,2030-$F44+1))</x:f>
        <x:v>52.045621185920325</x:v>
      </x:c>
      <x:c r="AO44" s="148" t="n">
        <x:f aca="0">IF(2031&lt;$F44,0,INDEX($I44:$AC44,1,2031-$F44+1))</x:f>
        <x:v>67.30771793181567</x:v>
      </x:c>
      <x:c r="AP44" s="148" t="n">
        <x:f aca="0">IF(2032&lt;$F44,0,INDEX($I44:$AC44,1,2032-$F44+1))</x:f>
        <x:v>83.27811337227944</x:v>
      </x:c>
      <x:c r="AQ44" s="148" t="n">
        <x:f aca="0">IF(2033&lt;$F44,0,INDEX($I44:$AC44,1,2033-$F44+1))</x:f>
        <x:v>99.50887378195699</x:v>
      </x:c>
      <x:c r="AR44" s="148" t="n">
        <x:f aca="0">IF(2034&lt;$F44,0,INDEX($I44:$AC44,1,2034-$F44+1))</x:f>
        <x:v>115.62621131019837</x:v>
      </x:c>
      <x:c r="AS44" s="148" t="n">
        <x:f aca="0">IF(2035&lt;$F44,0,INDEX($I44:$AC44,1,2035-$F44+1))</x:f>
        <x:v>131.33441794090479</x:v>
      </x:c>
      <x:c r="AT44" s="148" t="n">
        <x:f aca="0">IF(2036&lt;$F44,0,INDEX($I44:$AC44,1,2036-$F44+1))</x:f>
        <x:v>146.4118591997399</x:v>
      </x:c>
      <x:c r="AU44" s="148" t="n">
        <x:f aca="0">IF(2037&lt;$F44,0,INDEX($I44:$AC44,1,2037-$F44+1))</x:f>
        <x:v>160.7026825683234</x:v>
      </x:c>
      <x:c r="AV44" s="148" t="n">
        <x:f aca="0">IF(2038&lt;$F44,0,INDEX($I44:$AC44,1,2038-$F44+1))</x:f>
        <x:v>174.10671557408344</x:v>
      </x:c>
      <x:c r="AW44" s="148" t="n">
        <x:f aca="0">IF(2039&lt;$F44,0,INDEX($I44:$AC44,1,2039-$F44+1))</x:f>
        <x:v>186.56911676149176</x:v>
      </x:c>
      <x:c r="AX44" s="148" t="n">
        <x:f aca="0">IF(2040&lt;$F44,0,INDEX($I44:$AC44,1,2040-$F44+1))</x:f>
        <x:v>198.0706865015365</x:v>
      </x:c>
      <x:c r="AY44" s="1" t="str">
        <x:f aca="0">LEFT($C44,FIND("@",SUBSTITUTE($C44,"|","@",2))-1)</x:f>
        <x:v>Horti-Silviculture|Low</x:v>
      </x:c>
      <x:c r="AZ44" s="1" t="str">
        <x:f aca="0">LEFT($C44,FIND("|",$C44)-1)</x:f>
        <x:v>Horti-Silviculture</x:v>
      </x:c>
      <x:c r="BA44" s="149" t="n">
        <x:f aca="0">I44*I44</x:f>
        <x:v>0</x:v>
      </x:c>
      <x:c r="BB44" s="149" t="n">
        <x:f aca="0">J44*J44</x:f>
        <x:v>0.004705016157614807</x:v>
      </x:c>
      <x:c r="BC44" s="149" t="n">
        <x:f aca="0">K44*K44</x:f>
        <x:v>0.6966923457777912</x:v>
      </x:c>
      <x:c r="BD44" s="149" t="n">
        <x:f aca="0">L44*L44</x:f>
        <x:v>10.65639377989029</x:v>
      </x:c>
      <x:c r="BE44" s="149" t="n">
        <x:f aca="0">M44*M44</x:f>
        <x:v>65.56390416084881</x:v>
      </x:c>
      <x:c r="BF44" s="149" t="n">
        <x:f aca="0">N44*N44</x:f>
        <x:v>243.4955140730323</x:v>
      </x:c>
      <x:c r="BG44" s="149" t="n">
        <x:f aca="0">O44*O44</x:f>
        <x:v>659.8811741499089</x:v>
      </x:c>
      <x:c r="BH44" s="149" t="n">
        <x:f aca="0">P44*P44</x:f>
        <x:v>1443.7724043639907</x:v>
      </x:c>
      <x:c r="BI44" s="149" t="n">
        <x:f aca="0">Q44*Q44</x:f>
        <x:v>2708.7466846283187</x:v>
      </x:c>
      <x:c r="BJ44" s="149" t="n">
        <x:f aca="0">R44*R44</x:f>
        <x:v>4530.328893188861</x:v>
      </x:c>
      <x:c r="BK44" s="149" t="n">
        <x:f aca="0">S44*S44</x:f>
        <x:v>6935.244166846227</x:v>
      </x:c>
      <x:c r="BL44" s="149" t="n">
        <x:f aca="0">T44*T44</x:f>
        <x:v>9902.015961353447</x:v>
      </x:c>
      <x:c r="BM44" s="149" t="n">
        <x:f aca="0">U44*U44</x:f>
        <x:v>13369.420741950646</x:v>
      </x:c>
      <x:c r="BN44" s="149" t="n">
        <x:f aca="0">V44*V44</x:f>
        <x:v>17248.729335876254</x:v>
      </x:c>
      <x:c r="BO44" s="149" t="n">
        <x:f aca="0">W44*W44</x:f>
        <x:v>21436.43251432446</x:v>
      </x:c>
      <x:c r="BP44" s="149" t="n">
        <x:f aca="0">X44*X44</x:f>
        <x:v>25825.352184655316</x:v>
      </x:c>
      <x:c r="BQ44" s="149" t="n">
        <x:f aca="0">Y44*Y44</x:f>
        <x:v>30313.148407994788</x:v>
      </x:c>
      <x:c r="BR44" s="149" t="n">
        <x:f aca="0">Z44*Z44</x:f>
        <x:v>34808.03532916315</x:v>
      </x:c>
      <x:c r="BS44" s="149" t="n">
        <x:f aca="0">AA44*AA44</x:f>
        <x:v>39231.99685118996</x:v>
      </x:c>
      <x:c r="BT44" s="149" t="n">
        <x:f aca="0">AB44*AB44</x:f>
        <x:v>43522.01156914308</x:v>
      </x:c>
      <x:c r="BU44" s="149" t="n">
        <x:f aca="0">AC44*AC44</x:f>
        <x:v>47629.84227939243</x:v>
      </x:c>
    </x:row>
    <x:row r="45" ht="15" hidden="0" customHeight="1">
      <x:c r="A45" s="1" t="str">
        <x:f aca="0">S13_PSP_Species_Support!A32</x:f>
        <x:v>PSP-HS-018</x:v>
      </x:c>
      <x:c r="B45" s="1" t="n">
        <x:f aca="0">32</x:f>
        <x:v>32</x:v>
      </x:c>
      <x:c r="C45" s="1" t="str">
        <x:f aca="0">S13_PSP_Species_Support!I32</x:f>
        <x:v>Horti-Silviculture|Medium|2023</x:v>
      </x:c>
      <x:c r="D45" s="1" t="str">
        <x:f aca="0">S13_PSP_Species_Support!C32</x:f>
        <x:v>Horti-Silviculture</x:v>
      </x:c>
      <x:c r="E45" s="1" t="str">
        <x:f aca="0">S13_PSP_Species_Support!D32</x:f>
        <x:v>Medium</x:v>
      </x:c>
      <x:c r="F45" s="1" t="n">
        <x:f aca="0">S13_PSP_Species_Support!E32</x:f>
        <x:v>2023</x:v>
      </x:c>
      <x:c r="G45" s="645" t="n">
        <x:f aca="0">'S13_PSP_Species_Support'!DJ32</x:f>
        <x:v>0.09</x:v>
      </x:c>
      <x:c r="H45" s="714" t="n">
        <x:f aca="0">'S13_PSP_Species_Support'!DK32</x:f>
        <x:v>31.13673805601318</x:v>
      </x:c>
      <x:c r="I45" s="147" t="n">
        <x:f aca="0">IFERROR((IFERROR(S13_PSP_Species_Support!U32*0.0673*(S13_PSP_Species_Support!V32*(S13_PSP_Species_Support!W32*(1-EXP(-S13_PSP_Species_Support!X32*0))^S13_PSP_Species_Support!Y32)^2*(S13_PSP_Species_Support!Z32*(1-EXP(-S13_PSP_Species_Support!AA32*0))^S13_PSP_Species_Support!AB32))^0.976,0)+IFERROR(S13_PSP_Species_Support!AF32*0.0673*(S13_PSP_Species_Support!AG32*(S13_PSP_Species_Support!AH32*(1-EXP(-S13_PSP_Species_Support!AI32*0))^S13_PSP_Species_Support!AJ32)^2*(S13_PSP_Species_Support!AK32*(1-EXP(-S13_PSP_Species_Support!AL32*0))^S13_PSP_Species_Support!AM32))^0.976,0)+IFERROR(S13_PSP_Species_Support!AQ32*0.0673*(S13_PSP_Species_Support!AR32*(S13_PSP_Species_Support!AS32*(1-EXP(-S13_PSP_Species_Support!AT32*0))^S13_PSP_Species_Support!AU32)^2*(S13_PSP_Species_Support!AV32*(1-EXP(-S13_PSP_Species_Support!AW32*0))^S13_PSP_Species_Support!AX32))^0.976,0)+IFERROR(S13_PSP_Species_Support!BB32*0.0673*(S13_PSP_Species_Support!BC32*(S13_PSP_Species_Support!BD32*(1-EXP(-S13_PSP_Species_Support!BE32*0))^S13_PSP_Species_Support!BF32)^2*(S13_PSP_Species_Support!BG32*(1-EXP(-S13_PSP_Species_Support!BH32*0))^S13_PSP_Species_Support!BI32))^0.976,0)+IFERROR(S13_PSP_Species_Support!BM32*0.0673*(S13_PSP_Species_Support!BN32*(S13_PSP_Species_Support!BO32*(1-EXP(-S13_PSP_Species_Support!BP32*0))^S13_PSP_Species_Support!BQ32)^2*(S13_PSP_Species_Support!BR32*(1-EXP(-S13_PSP_Species_Support!BS32*0))^S13_PSP_Species_Support!BT32))^0.976,0)+IFERROR(S13_PSP_Species_Support!BX32*0.0673*(S13_PSP_Species_Support!BY32*(S13_PSP_Species_Support!BZ32*(1-EXP(-S13_PSP_Species_Support!CA32*0))^S13_PSP_Species_Support!CB32)^2*(S13_PSP_Species_Support!CC32*(1-EXP(-S13_PSP_Species_Support!CD32*0))^S13_PSP_Species_Support!CE32))^0.976,0)+IFERROR(S13_PSP_Species_Support!CI32*0.0673*(S13_PSP_Species_Support!CJ32*(S13_PSP_Species_Support!CK32*(1-EXP(-S13_PSP_Species_Support!CL32*0))^S13_PSP_Species_Support!CM32)^2*(S13_PSP_Species_Support!CN32*(1-EXP(-S13_PSP_Species_Support!CO32*0))^S13_PSP_Species_Support!CP32))^0.976,0)+IFERROR(S13_PSP_Species_Support!CT32*0.0673*(S13_PSP_Species_Support!CU32*(S13_PSP_Species_Support!CV32*(1-EXP(-S13_PSP_Species_Support!CW32*0))^S13_PSP_Species_Support!CX32)^2*(S13_PSP_Species_Support!CY32*(1-EXP(-S13_PSP_Species_Support!CZ32*0))^S13_PSP_Species_Support!DA32))^0.976,0))/1000/$G45*I$108,0)</x:f>
        <x:v>0</x:v>
      </x:c>
      <x:c r="J45" s="147" t="n">
        <x:f aca="0">IFERROR((IFERROR(S13_PSP_Species_Support!U32*0.0673*(S13_PSP_Species_Support!V32*(S13_PSP_Species_Support!W32*(1-EXP(-S13_PSP_Species_Support!X32*1))^S13_PSP_Species_Support!Y32)^2*(S13_PSP_Species_Support!Z32*(1-EXP(-S13_PSP_Species_Support!AA32*1))^S13_PSP_Species_Support!AB32))^0.976,0)+IFERROR(S13_PSP_Species_Support!AF32*0.0673*(S13_PSP_Species_Support!AG32*(S13_PSP_Species_Support!AH32*(1-EXP(-S13_PSP_Species_Support!AI32*1))^S13_PSP_Species_Support!AJ32)^2*(S13_PSP_Species_Support!AK32*(1-EXP(-S13_PSP_Species_Support!AL32*1))^S13_PSP_Species_Support!AM32))^0.976,0)+IFERROR(S13_PSP_Species_Support!AQ32*0.0673*(S13_PSP_Species_Support!AR32*(S13_PSP_Species_Support!AS32*(1-EXP(-S13_PSP_Species_Support!AT32*1))^S13_PSP_Species_Support!AU32)^2*(S13_PSP_Species_Support!AV32*(1-EXP(-S13_PSP_Species_Support!AW32*1))^S13_PSP_Species_Support!AX32))^0.976,0)+IFERROR(S13_PSP_Species_Support!BB32*0.0673*(S13_PSP_Species_Support!BC32*(S13_PSP_Species_Support!BD32*(1-EXP(-S13_PSP_Species_Support!BE32*1))^S13_PSP_Species_Support!BF32)^2*(S13_PSP_Species_Support!BG32*(1-EXP(-S13_PSP_Species_Support!BH32*1))^S13_PSP_Species_Support!BI32))^0.976,0)+IFERROR(S13_PSP_Species_Support!BM32*0.0673*(S13_PSP_Species_Support!BN32*(S13_PSP_Species_Support!BO32*(1-EXP(-S13_PSP_Species_Support!BP32*1))^S13_PSP_Species_Support!BQ32)^2*(S13_PSP_Species_Support!BR32*(1-EXP(-S13_PSP_Species_Support!BS32*1))^S13_PSP_Species_Support!BT32))^0.976,0)+IFERROR(S13_PSP_Species_Support!BX32*0.0673*(S13_PSP_Species_Support!BY32*(S13_PSP_Species_Support!BZ32*(1-EXP(-S13_PSP_Species_Support!CA32*1))^S13_PSP_Species_Support!CB32)^2*(S13_PSP_Species_Support!CC32*(1-EXP(-S13_PSP_Species_Support!CD32*1))^S13_PSP_Species_Support!CE32))^0.976,0)+IFERROR(S13_PSP_Species_Support!CI32*0.0673*(S13_PSP_Species_Support!CJ32*(S13_PSP_Species_Support!CK32*(1-EXP(-S13_PSP_Species_Support!CL32*1))^S13_PSP_Species_Support!CM32)^2*(S13_PSP_Species_Support!CN32*(1-EXP(-S13_PSP_Species_Support!CO32*1))^S13_PSP_Species_Support!CP32))^0.976,0)+IFERROR(S13_PSP_Species_Support!CT32*0.0673*(S13_PSP_Species_Support!CU32*(S13_PSP_Species_Support!CV32*(1-EXP(-S13_PSP_Species_Support!CW32*1))^S13_PSP_Species_Support!CX32)^2*(S13_PSP_Species_Support!CY32*(1-EXP(-S13_PSP_Species_Support!CZ32*1))^S13_PSP_Species_Support!DA32))^0.976,0))/1000/$G45*J$108,0)</x:f>
        <x:v>0.08275092089337965</x:v>
      </x:c>
      <x:c r="K45" s="147" t="n">
        <x:f aca="0">IFERROR((IFERROR(S13_PSP_Species_Support!U32*0.0673*(S13_PSP_Species_Support!V32*(S13_PSP_Species_Support!W32*(1-EXP(-S13_PSP_Species_Support!X32*2))^S13_PSP_Species_Support!Y32)^2*(S13_PSP_Species_Support!Z32*(1-EXP(-S13_PSP_Species_Support!AA32*2))^S13_PSP_Species_Support!AB32))^0.976,0)+IFERROR(S13_PSP_Species_Support!AF32*0.0673*(S13_PSP_Species_Support!AG32*(S13_PSP_Species_Support!AH32*(1-EXP(-S13_PSP_Species_Support!AI32*2))^S13_PSP_Species_Support!AJ32)^2*(S13_PSP_Species_Support!AK32*(1-EXP(-S13_PSP_Species_Support!AL32*2))^S13_PSP_Species_Support!AM32))^0.976,0)+IFERROR(S13_PSP_Species_Support!AQ32*0.0673*(S13_PSP_Species_Support!AR32*(S13_PSP_Species_Support!AS32*(1-EXP(-S13_PSP_Species_Support!AT32*2))^S13_PSP_Species_Support!AU32)^2*(S13_PSP_Species_Support!AV32*(1-EXP(-S13_PSP_Species_Support!AW32*2))^S13_PSP_Species_Support!AX32))^0.976,0)+IFERROR(S13_PSP_Species_Support!BB32*0.0673*(S13_PSP_Species_Support!BC32*(S13_PSP_Species_Support!BD32*(1-EXP(-S13_PSP_Species_Support!BE32*2))^S13_PSP_Species_Support!BF32)^2*(S13_PSP_Species_Support!BG32*(1-EXP(-S13_PSP_Species_Support!BH32*2))^S13_PSP_Species_Support!BI32))^0.976,0)+IFERROR(S13_PSP_Species_Support!BM32*0.0673*(S13_PSP_Species_Support!BN32*(S13_PSP_Species_Support!BO32*(1-EXP(-S13_PSP_Species_Support!BP32*2))^S13_PSP_Species_Support!BQ32)^2*(S13_PSP_Species_Support!BR32*(1-EXP(-S13_PSP_Species_Support!BS32*2))^S13_PSP_Species_Support!BT32))^0.976,0)+IFERROR(S13_PSP_Species_Support!BX32*0.0673*(S13_PSP_Species_Support!BY32*(S13_PSP_Species_Support!BZ32*(1-EXP(-S13_PSP_Species_Support!CA32*2))^S13_PSP_Species_Support!CB32)^2*(S13_PSP_Species_Support!CC32*(1-EXP(-S13_PSP_Species_Support!CD32*2))^S13_PSP_Species_Support!CE32))^0.976,0)+IFERROR(S13_PSP_Species_Support!CI32*0.0673*(S13_PSP_Species_Support!CJ32*(S13_PSP_Species_Support!CK32*(1-EXP(-S13_PSP_Species_Support!CL32*2))^S13_PSP_Species_Support!CM32)^2*(S13_PSP_Species_Support!CN32*(1-EXP(-S13_PSP_Species_Support!CO32*2))^S13_PSP_Species_Support!CP32))^0.976,0)+IFERROR(S13_PSP_Species_Support!CT32*0.0673*(S13_PSP_Species_Support!CU32*(S13_PSP_Species_Support!CV32*(1-EXP(-S13_PSP_Species_Support!CW32*2))^S13_PSP_Species_Support!CX32)^2*(S13_PSP_Species_Support!CY32*(1-EXP(-S13_PSP_Species_Support!CZ32*2))^S13_PSP_Species_Support!DA32))^0.976,0))/1000/$G45*K$108,0)</x:f>
        <x:v>0.9877483518914745</x:v>
      </x:c>
      <x:c r="L45" s="147" t="n">
        <x:f aca="0">IFERROR((IFERROR(S13_PSP_Species_Support!U32*0.0673*(S13_PSP_Species_Support!V32*(S13_PSP_Species_Support!W32*(1-EXP(-S13_PSP_Species_Support!X32*3))^S13_PSP_Species_Support!Y32)^2*(S13_PSP_Species_Support!Z32*(1-EXP(-S13_PSP_Species_Support!AA32*3))^S13_PSP_Species_Support!AB32))^0.976,0)+IFERROR(S13_PSP_Species_Support!AF32*0.0673*(S13_PSP_Species_Support!AG32*(S13_PSP_Species_Support!AH32*(1-EXP(-S13_PSP_Species_Support!AI32*3))^S13_PSP_Species_Support!AJ32)^2*(S13_PSP_Species_Support!AK32*(1-EXP(-S13_PSP_Species_Support!AL32*3))^S13_PSP_Species_Support!AM32))^0.976,0)+IFERROR(S13_PSP_Species_Support!AQ32*0.0673*(S13_PSP_Species_Support!AR32*(S13_PSP_Species_Support!AS32*(1-EXP(-S13_PSP_Species_Support!AT32*3))^S13_PSP_Species_Support!AU32)^2*(S13_PSP_Species_Support!AV32*(1-EXP(-S13_PSP_Species_Support!AW32*3))^S13_PSP_Species_Support!AX32))^0.976,0)+IFERROR(S13_PSP_Species_Support!BB32*0.0673*(S13_PSP_Species_Support!BC32*(S13_PSP_Species_Support!BD32*(1-EXP(-S13_PSP_Species_Support!BE32*3))^S13_PSP_Species_Support!BF32)^2*(S13_PSP_Species_Support!BG32*(1-EXP(-S13_PSP_Species_Support!BH32*3))^S13_PSP_Species_Support!BI32))^0.976,0)+IFERROR(S13_PSP_Species_Support!BM32*0.0673*(S13_PSP_Species_Support!BN32*(S13_PSP_Species_Support!BO32*(1-EXP(-S13_PSP_Species_Support!BP32*3))^S13_PSP_Species_Support!BQ32)^2*(S13_PSP_Species_Support!BR32*(1-EXP(-S13_PSP_Species_Support!BS32*3))^S13_PSP_Species_Support!BT32))^0.976,0)+IFERROR(S13_PSP_Species_Support!BX32*0.0673*(S13_PSP_Species_Support!BY32*(S13_PSP_Species_Support!BZ32*(1-EXP(-S13_PSP_Species_Support!CA32*3))^S13_PSP_Species_Support!CB32)^2*(S13_PSP_Species_Support!CC32*(1-EXP(-S13_PSP_Species_Support!CD32*3))^S13_PSP_Species_Support!CE32))^0.976,0)+IFERROR(S13_PSP_Species_Support!CI32*0.0673*(S13_PSP_Species_Support!CJ32*(S13_PSP_Species_Support!CK32*(1-EXP(-S13_PSP_Species_Support!CL32*3))^S13_PSP_Species_Support!CM32)^2*(S13_PSP_Species_Support!CN32*(1-EXP(-S13_PSP_Species_Support!CO32*3))^S13_PSP_Species_Support!CP32))^0.976,0)+IFERROR(S13_PSP_Species_Support!CT32*0.0673*(S13_PSP_Species_Support!CU32*(S13_PSP_Species_Support!CV32*(1-EXP(-S13_PSP_Species_Support!CW32*3))^S13_PSP_Species_Support!CX32)^2*(S13_PSP_Species_Support!CY32*(1-EXP(-S13_PSP_Species_Support!CZ32*3))^S13_PSP_Species_Support!DA32))^0.976,0))/1000/$G45*L$108,0)</x:f>
        <x:v>3.795123214501784</x:v>
      </x:c>
      <x:c r="M45" s="147" t="n">
        <x:f aca="0">IFERROR((IFERROR(S13_PSP_Species_Support!U32*0.0673*(S13_PSP_Species_Support!V32*(S13_PSP_Species_Support!W32*(1-EXP(-S13_PSP_Species_Support!X32*4))^S13_PSP_Species_Support!Y32)^2*(S13_PSP_Species_Support!Z32*(1-EXP(-S13_PSP_Species_Support!AA32*4))^S13_PSP_Species_Support!AB32))^0.976,0)+IFERROR(S13_PSP_Species_Support!AF32*0.0673*(S13_PSP_Species_Support!AG32*(S13_PSP_Species_Support!AH32*(1-EXP(-S13_PSP_Species_Support!AI32*4))^S13_PSP_Species_Support!AJ32)^2*(S13_PSP_Species_Support!AK32*(1-EXP(-S13_PSP_Species_Support!AL32*4))^S13_PSP_Species_Support!AM32))^0.976,0)+IFERROR(S13_PSP_Species_Support!AQ32*0.0673*(S13_PSP_Species_Support!AR32*(S13_PSP_Species_Support!AS32*(1-EXP(-S13_PSP_Species_Support!AT32*4))^S13_PSP_Species_Support!AU32)^2*(S13_PSP_Species_Support!AV32*(1-EXP(-S13_PSP_Species_Support!AW32*4))^S13_PSP_Species_Support!AX32))^0.976,0)+IFERROR(S13_PSP_Species_Support!BB32*0.0673*(S13_PSP_Species_Support!BC32*(S13_PSP_Species_Support!BD32*(1-EXP(-S13_PSP_Species_Support!BE32*4))^S13_PSP_Species_Support!BF32)^2*(S13_PSP_Species_Support!BG32*(1-EXP(-S13_PSP_Species_Support!BH32*4))^S13_PSP_Species_Support!BI32))^0.976,0)+IFERROR(S13_PSP_Species_Support!BM32*0.0673*(S13_PSP_Species_Support!BN32*(S13_PSP_Species_Support!BO32*(1-EXP(-S13_PSP_Species_Support!BP32*4))^S13_PSP_Species_Support!BQ32)^2*(S13_PSP_Species_Support!BR32*(1-EXP(-S13_PSP_Species_Support!BS32*4))^S13_PSP_Species_Support!BT32))^0.976,0)+IFERROR(S13_PSP_Species_Support!BX32*0.0673*(S13_PSP_Species_Support!BY32*(S13_PSP_Species_Support!BZ32*(1-EXP(-S13_PSP_Species_Support!CA32*4))^S13_PSP_Species_Support!CB32)^2*(S13_PSP_Species_Support!CC32*(1-EXP(-S13_PSP_Species_Support!CD32*4))^S13_PSP_Species_Support!CE32))^0.976,0)+IFERROR(S13_PSP_Species_Support!CI32*0.0673*(S13_PSP_Species_Support!CJ32*(S13_PSP_Species_Support!CK32*(1-EXP(-S13_PSP_Species_Support!CL32*4))^S13_PSP_Species_Support!CM32)^2*(S13_PSP_Species_Support!CN32*(1-EXP(-S13_PSP_Species_Support!CO32*4))^S13_PSP_Species_Support!CP32))^0.976,0)+IFERROR(S13_PSP_Species_Support!CT32*0.0673*(S13_PSP_Species_Support!CU32*(S13_PSP_Species_Support!CV32*(1-EXP(-S13_PSP_Species_Support!CW32*4))^S13_PSP_Species_Support!CX32)^2*(S13_PSP_Species_Support!CY32*(1-EXP(-S13_PSP_Species_Support!CZ32*4))^S13_PSP_Species_Support!DA32))^0.976,0))/1000/$G45*M$108,0)</x:f>
        <x:v>9.261248759982841</x:v>
      </x:c>
      <x:c r="N45" s="147" t="n">
        <x:f aca="0">IFERROR((IFERROR(S13_PSP_Species_Support!U32*0.0673*(S13_PSP_Species_Support!V32*(S13_PSP_Species_Support!W32*(1-EXP(-S13_PSP_Species_Support!X32*5))^S13_PSP_Species_Support!Y32)^2*(S13_PSP_Species_Support!Z32*(1-EXP(-S13_PSP_Species_Support!AA32*5))^S13_PSP_Species_Support!AB32))^0.976,0)+IFERROR(S13_PSP_Species_Support!AF32*0.0673*(S13_PSP_Species_Support!AG32*(S13_PSP_Species_Support!AH32*(1-EXP(-S13_PSP_Species_Support!AI32*5))^S13_PSP_Species_Support!AJ32)^2*(S13_PSP_Species_Support!AK32*(1-EXP(-S13_PSP_Species_Support!AL32*5))^S13_PSP_Species_Support!AM32))^0.976,0)+IFERROR(S13_PSP_Species_Support!AQ32*0.0673*(S13_PSP_Species_Support!AR32*(S13_PSP_Species_Support!AS32*(1-EXP(-S13_PSP_Species_Support!AT32*5))^S13_PSP_Species_Support!AU32)^2*(S13_PSP_Species_Support!AV32*(1-EXP(-S13_PSP_Species_Support!AW32*5))^S13_PSP_Species_Support!AX32))^0.976,0)+IFERROR(S13_PSP_Species_Support!BB32*0.0673*(S13_PSP_Species_Support!BC32*(S13_PSP_Species_Support!BD32*(1-EXP(-S13_PSP_Species_Support!BE32*5))^S13_PSP_Species_Support!BF32)^2*(S13_PSP_Species_Support!BG32*(1-EXP(-S13_PSP_Species_Support!BH32*5))^S13_PSP_Species_Support!BI32))^0.976,0)+IFERROR(S13_PSP_Species_Support!BM32*0.0673*(S13_PSP_Species_Support!BN32*(S13_PSP_Species_Support!BO32*(1-EXP(-S13_PSP_Species_Support!BP32*5))^S13_PSP_Species_Support!BQ32)^2*(S13_PSP_Species_Support!BR32*(1-EXP(-S13_PSP_Species_Support!BS32*5))^S13_PSP_Species_Support!BT32))^0.976,0)+IFERROR(S13_PSP_Species_Support!BX32*0.0673*(S13_PSP_Species_Support!BY32*(S13_PSP_Species_Support!BZ32*(1-EXP(-S13_PSP_Species_Support!CA32*5))^S13_PSP_Species_Support!CB32)^2*(S13_PSP_Species_Support!CC32*(1-EXP(-S13_PSP_Species_Support!CD32*5))^S13_PSP_Species_Support!CE32))^0.976,0)+IFERROR(S13_PSP_Species_Support!CI32*0.0673*(S13_PSP_Species_Support!CJ32*(S13_PSP_Species_Support!CK32*(1-EXP(-S13_PSP_Species_Support!CL32*5))^S13_PSP_Species_Support!CM32)^2*(S13_PSP_Species_Support!CN32*(1-EXP(-S13_PSP_Species_Support!CO32*5))^S13_PSP_Species_Support!CP32))^0.976,0)+IFERROR(S13_PSP_Species_Support!CT32*0.0673*(S13_PSP_Species_Support!CU32*(S13_PSP_Species_Support!CV32*(1-EXP(-S13_PSP_Species_Support!CW32*5))^S13_PSP_Species_Support!CX32)^2*(S13_PSP_Species_Support!CY32*(1-EXP(-S13_PSP_Species_Support!CZ32*5))^S13_PSP_Species_Support!DA32))^0.976,0))/1000/$G45*N$108,0)</x:f>
        <x:v>17.582514636869522</x:v>
      </x:c>
      <x:c r="O45" s="147" t="n">
        <x:f aca="0">IFERROR((IFERROR(S13_PSP_Species_Support!U32*0.0673*(S13_PSP_Species_Support!V32*(S13_PSP_Species_Support!W32*(1-EXP(-S13_PSP_Species_Support!X32*6))^S13_PSP_Species_Support!Y32)^2*(S13_PSP_Species_Support!Z32*(1-EXP(-S13_PSP_Species_Support!AA32*6))^S13_PSP_Species_Support!AB32))^0.976,0)+IFERROR(S13_PSP_Species_Support!AF32*0.0673*(S13_PSP_Species_Support!AG32*(S13_PSP_Species_Support!AH32*(1-EXP(-S13_PSP_Species_Support!AI32*6))^S13_PSP_Species_Support!AJ32)^2*(S13_PSP_Species_Support!AK32*(1-EXP(-S13_PSP_Species_Support!AL32*6))^S13_PSP_Species_Support!AM32))^0.976,0)+IFERROR(S13_PSP_Species_Support!AQ32*0.0673*(S13_PSP_Species_Support!AR32*(S13_PSP_Species_Support!AS32*(1-EXP(-S13_PSP_Species_Support!AT32*6))^S13_PSP_Species_Support!AU32)^2*(S13_PSP_Species_Support!AV32*(1-EXP(-S13_PSP_Species_Support!AW32*6))^S13_PSP_Species_Support!AX32))^0.976,0)+IFERROR(S13_PSP_Species_Support!BB32*0.0673*(S13_PSP_Species_Support!BC32*(S13_PSP_Species_Support!BD32*(1-EXP(-S13_PSP_Species_Support!BE32*6))^S13_PSP_Species_Support!BF32)^2*(S13_PSP_Species_Support!BG32*(1-EXP(-S13_PSP_Species_Support!BH32*6))^S13_PSP_Species_Support!BI32))^0.976,0)+IFERROR(S13_PSP_Species_Support!BM32*0.0673*(S13_PSP_Species_Support!BN32*(S13_PSP_Species_Support!BO32*(1-EXP(-S13_PSP_Species_Support!BP32*6))^S13_PSP_Species_Support!BQ32)^2*(S13_PSP_Species_Support!BR32*(1-EXP(-S13_PSP_Species_Support!BS32*6))^S13_PSP_Species_Support!BT32))^0.976,0)+IFERROR(S13_PSP_Species_Support!BX32*0.0673*(S13_PSP_Species_Support!BY32*(S13_PSP_Species_Support!BZ32*(1-EXP(-S13_PSP_Species_Support!CA32*6))^S13_PSP_Species_Support!CB32)^2*(S13_PSP_Species_Support!CC32*(1-EXP(-S13_PSP_Species_Support!CD32*6))^S13_PSP_Species_Support!CE32))^0.976,0)+IFERROR(S13_PSP_Species_Support!CI32*0.0673*(S13_PSP_Species_Support!CJ32*(S13_PSP_Species_Support!CK32*(1-EXP(-S13_PSP_Species_Support!CL32*6))^S13_PSP_Species_Support!CM32)^2*(S13_PSP_Species_Support!CN32*(1-EXP(-S13_PSP_Species_Support!CO32*6))^S13_PSP_Species_Support!CP32))^0.976,0)+IFERROR(S13_PSP_Species_Support!CT32*0.0673*(S13_PSP_Species_Support!CU32*(S13_PSP_Species_Support!CV32*(1-EXP(-S13_PSP_Species_Support!CW32*6))^S13_PSP_Species_Support!CX32)^2*(S13_PSP_Species_Support!CY32*(1-EXP(-S13_PSP_Species_Support!CZ32*6))^S13_PSP_Species_Support!DA32))^0.976,0))/1000/$G45*O$108,0)</x:f>
        <x:v>28.550261174446828</x:v>
      </x:c>
      <x:c r="P45" s="147" t="n">
        <x:f aca="0">IFERROR((IFERROR(S13_PSP_Species_Support!U32*0.0673*(S13_PSP_Species_Support!V32*(S13_PSP_Species_Support!W32*(1-EXP(-S13_PSP_Species_Support!X32*7))^S13_PSP_Species_Support!Y32)^2*(S13_PSP_Species_Support!Z32*(1-EXP(-S13_PSP_Species_Support!AA32*7))^S13_PSP_Species_Support!AB32))^0.976,0)+IFERROR(S13_PSP_Species_Support!AF32*0.0673*(S13_PSP_Species_Support!AG32*(S13_PSP_Species_Support!AH32*(1-EXP(-S13_PSP_Species_Support!AI32*7))^S13_PSP_Species_Support!AJ32)^2*(S13_PSP_Species_Support!AK32*(1-EXP(-S13_PSP_Species_Support!AL32*7))^S13_PSP_Species_Support!AM32))^0.976,0)+IFERROR(S13_PSP_Species_Support!AQ32*0.0673*(S13_PSP_Species_Support!AR32*(S13_PSP_Species_Support!AS32*(1-EXP(-S13_PSP_Species_Support!AT32*7))^S13_PSP_Species_Support!AU32)^2*(S13_PSP_Species_Support!AV32*(1-EXP(-S13_PSP_Species_Support!AW32*7))^S13_PSP_Species_Support!AX32))^0.976,0)+IFERROR(S13_PSP_Species_Support!BB32*0.0673*(S13_PSP_Species_Support!BC32*(S13_PSP_Species_Support!BD32*(1-EXP(-S13_PSP_Species_Support!BE32*7))^S13_PSP_Species_Support!BF32)^2*(S13_PSP_Species_Support!BG32*(1-EXP(-S13_PSP_Species_Support!BH32*7))^S13_PSP_Species_Support!BI32))^0.976,0)+IFERROR(S13_PSP_Species_Support!BM32*0.0673*(S13_PSP_Species_Support!BN32*(S13_PSP_Species_Support!BO32*(1-EXP(-S13_PSP_Species_Support!BP32*7))^S13_PSP_Species_Support!BQ32)^2*(S13_PSP_Species_Support!BR32*(1-EXP(-S13_PSP_Species_Support!BS32*7))^S13_PSP_Species_Support!BT32))^0.976,0)+IFERROR(S13_PSP_Species_Support!BX32*0.0673*(S13_PSP_Species_Support!BY32*(S13_PSP_Species_Support!BZ32*(1-EXP(-S13_PSP_Species_Support!CA32*7))^S13_PSP_Species_Support!CB32)^2*(S13_PSP_Species_Support!CC32*(1-EXP(-S13_PSP_Species_Support!CD32*7))^S13_PSP_Species_Support!CE32))^0.976,0)+IFERROR(S13_PSP_Species_Support!CI32*0.0673*(S13_PSP_Species_Support!CJ32*(S13_PSP_Species_Support!CK32*(1-EXP(-S13_PSP_Species_Support!CL32*7))^S13_PSP_Species_Support!CM32)^2*(S13_PSP_Species_Support!CN32*(1-EXP(-S13_PSP_Species_Support!CO32*7))^S13_PSP_Species_Support!CP32))^0.976,0)+IFERROR(S13_PSP_Species_Support!CT32*0.0673*(S13_PSP_Species_Support!CU32*(S13_PSP_Species_Support!CV32*(1-EXP(-S13_PSP_Species_Support!CW32*7))^S13_PSP_Species_Support!CX32)^2*(S13_PSP_Species_Support!CY32*(1-EXP(-S13_PSP_Species_Support!CZ32*7))^S13_PSP_Species_Support!DA32))^0.976,0))/1000/$G45*P$108,0)</x:f>
        <x:v>41.70366082152206</x:v>
      </x:c>
      <x:c r="Q45" s="147" t="n">
        <x:f aca="0">IFERROR((IFERROR(S13_PSP_Species_Support!U32*0.0673*(S13_PSP_Species_Support!V32*(S13_PSP_Species_Support!W32*(1-EXP(-S13_PSP_Species_Support!X32*8))^S13_PSP_Species_Support!Y32)^2*(S13_PSP_Species_Support!Z32*(1-EXP(-S13_PSP_Species_Support!AA32*8))^S13_PSP_Species_Support!AB32))^0.976,0)+IFERROR(S13_PSP_Species_Support!AF32*0.0673*(S13_PSP_Species_Support!AG32*(S13_PSP_Species_Support!AH32*(1-EXP(-S13_PSP_Species_Support!AI32*8))^S13_PSP_Species_Support!AJ32)^2*(S13_PSP_Species_Support!AK32*(1-EXP(-S13_PSP_Species_Support!AL32*8))^S13_PSP_Species_Support!AM32))^0.976,0)+IFERROR(S13_PSP_Species_Support!AQ32*0.0673*(S13_PSP_Species_Support!AR32*(S13_PSP_Species_Support!AS32*(1-EXP(-S13_PSP_Species_Support!AT32*8))^S13_PSP_Species_Support!AU32)^2*(S13_PSP_Species_Support!AV32*(1-EXP(-S13_PSP_Species_Support!AW32*8))^S13_PSP_Species_Support!AX32))^0.976,0)+IFERROR(S13_PSP_Species_Support!BB32*0.0673*(S13_PSP_Species_Support!BC32*(S13_PSP_Species_Support!BD32*(1-EXP(-S13_PSP_Species_Support!BE32*8))^S13_PSP_Species_Support!BF32)^2*(S13_PSP_Species_Support!BG32*(1-EXP(-S13_PSP_Species_Support!BH32*8))^S13_PSP_Species_Support!BI32))^0.976,0)+IFERROR(S13_PSP_Species_Support!BM32*0.0673*(S13_PSP_Species_Support!BN32*(S13_PSP_Species_Support!BO32*(1-EXP(-S13_PSP_Species_Support!BP32*8))^S13_PSP_Species_Support!BQ32)^2*(S13_PSP_Species_Support!BR32*(1-EXP(-S13_PSP_Species_Support!BS32*8))^S13_PSP_Species_Support!BT32))^0.976,0)+IFERROR(S13_PSP_Species_Support!BX32*0.0673*(S13_PSP_Species_Support!BY32*(S13_PSP_Species_Support!BZ32*(1-EXP(-S13_PSP_Species_Support!CA32*8))^S13_PSP_Species_Support!CB32)^2*(S13_PSP_Species_Support!CC32*(1-EXP(-S13_PSP_Species_Support!CD32*8))^S13_PSP_Species_Support!CE32))^0.976,0)+IFERROR(S13_PSP_Species_Support!CI32*0.0673*(S13_PSP_Species_Support!CJ32*(S13_PSP_Species_Support!CK32*(1-EXP(-S13_PSP_Species_Support!CL32*8))^S13_PSP_Species_Support!CM32)^2*(S13_PSP_Species_Support!CN32*(1-EXP(-S13_PSP_Species_Support!CO32*8))^S13_PSP_Species_Support!CP32))^0.976,0)+IFERROR(S13_PSP_Species_Support!CT32*0.0673*(S13_PSP_Species_Support!CU32*(S13_PSP_Species_Support!CV32*(1-EXP(-S13_PSP_Species_Support!CW32*8))^S13_PSP_Species_Support!CX32)^2*(S13_PSP_Species_Support!CY32*(1-EXP(-S13_PSP_Species_Support!CZ32*8))^S13_PSP_Species_Support!DA32))^0.976,0))/1000/$G45*Q$108,0)</x:f>
        <x:v>56.47111751489342</x:v>
      </x:c>
      <x:c r="R45" s="147" t="n">
        <x:f aca="0">IFERROR((IFERROR(S13_PSP_Species_Support!U32*0.0673*(S13_PSP_Species_Support!V32*(S13_PSP_Species_Support!W32*(1-EXP(-S13_PSP_Species_Support!X32*9))^S13_PSP_Species_Support!Y32)^2*(S13_PSP_Species_Support!Z32*(1-EXP(-S13_PSP_Species_Support!AA32*9))^S13_PSP_Species_Support!AB32))^0.976,0)+IFERROR(S13_PSP_Species_Support!AF32*0.0673*(S13_PSP_Species_Support!AG32*(S13_PSP_Species_Support!AH32*(1-EXP(-S13_PSP_Species_Support!AI32*9))^S13_PSP_Species_Support!AJ32)^2*(S13_PSP_Species_Support!AK32*(1-EXP(-S13_PSP_Species_Support!AL32*9))^S13_PSP_Species_Support!AM32))^0.976,0)+IFERROR(S13_PSP_Species_Support!AQ32*0.0673*(S13_PSP_Species_Support!AR32*(S13_PSP_Species_Support!AS32*(1-EXP(-S13_PSP_Species_Support!AT32*9))^S13_PSP_Species_Support!AU32)^2*(S13_PSP_Species_Support!AV32*(1-EXP(-S13_PSP_Species_Support!AW32*9))^S13_PSP_Species_Support!AX32))^0.976,0)+IFERROR(S13_PSP_Species_Support!BB32*0.0673*(S13_PSP_Species_Support!BC32*(S13_PSP_Species_Support!BD32*(1-EXP(-S13_PSP_Species_Support!BE32*9))^S13_PSP_Species_Support!BF32)^2*(S13_PSP_Species_Support!BG32*(1-EXP(-S13_PSP_Species_Support!BH32*9))^S13_PSP_Species_Support!BI32))^0.976,0)+IFERROR(S13_PSP_Species_Support!BM32*0.0673*(S13_PSP_Species_Support!BN32*(S13_PSP_Species_Support!BO32*(1-EXP(-S13_PSP_Species_Support!BP32*9))^S13_PSP_Species_Support!BQ32)^2*(S13_PSP_Species_Support!BR32*(1-EXP(-S13_PSP_Species_Support!BS32*9))^S13_PSP_Species_Support!BT32))^0.976,0)+IFERROR(S13_PSP_Species_Support!BX32*0.0673*(S13_PSP_Species_Support!BY32*(S13_PSP_Species_Support!BZ32*(1-EXP(-S13_PSP_Species_Support!CA32*9))^S13_PSP_Species_Support!CB32)^2*(S13_PSP_Species_Support!CC32*(1-EXP(-S13_PSP_Species_Support!CD32*9))^S13_PSP_Species_Support!CE32))^0.976,0)+IFERROR(S13_PSP_Species_Support!CI32*0.0673*(S13_PSP_Species_Support!CJ32*(S13_PSP_Species_Support!CK32*(1-EXP(-S13_PSP_Species_Support!CL32*9))^S13_PSP_Species_Support!CM32)^2*(S13_PSP_Species_Support!CN32*(1-EXP(-S13_PSP_Species_Support!CO32*9))^S13_PSP_Species_Support!CP32))^0.976,0)+IFERROR(S13_PSP_Species_Support!CT32*0.0673*(S13_PSP_Species_Support!CU32*(S13_PSP_Species_Support!CV32*(1-EXP(-S13_PSP_Species_Support!CW32*9))^S13_PSP_Species_Support!CX32)^2*(S13_PSP_Species_Support!CY32*(1-EXP(-S13_PSP_Species_Support!CZ32*9))^S13_PSP_Species_Support!DA32))^0.976,0))/1000/$G45*R$108,0)</x:f>
        <x:v>72.27026156615167</x:v>
      </x:c>
      <x:c r="S45" s="147" t="n">
        <x:f aca="0">IFERROR((IFERROR(S13_PSP_Species_Support!U32*0.0673*(S13_PSP_Species_Support!V32*(S13_PSP_Species_Support!W32*(1-EXP(-S13_PSP_Species_Support!X32*10))^S13_PSP_Species_Support!Y32)^2*(S13_PSP_Species_Support!Z32*(1-EXP(-S13_PSP_Species_Support!AA32*10))^S13_PSP_Species_Support!AB32))^0.976,0)+IFERROR(S13_PSP_Species_Support!AF32*0.0673*(S13_PSP_Species_Support!AG32*(S13_PSP_Species_Support!AH32*(1-EXP(-S13_PSP_Species_Support!AI32*10))^S13_PSP_Species_Support!AJ32)^2*(S13_PSP_Species_Support!AK32*(1-EXP(-S13_PSP_Species_Support!AL32*10))^S13_PSP_Species_Support!AM32))^0.976,0)+IFERROR(S13_PSP_Species_Support!AQ32*0.0673*(S13_PSP_Species_Support!AR32*(S13_PSP_Species_Support!AS32*(1-EXP(-S13_PSP_Species_Support!AT32*10))^S13_PSP_Species_Support!AU32)^2*(S13_PSP_Species_Support!AV32*(1-EXP(-S13_PSP_Species_Support!AW32*10))^S13_PSP_Species_Support!AX32))^0.976,0)+IFERROR(S13_PSP_Species_Support!BB32*0.0673*(S13_PSP_Species_Support!BC32*(S13_PSP_Species_Support!BD32*(1-EXP(-S13_PSP_Species_Support!BE32*10))^S13_PSP_Species_Support!BF32)^2*(S13_PSP_Species_Support!BG32*(1-EXP(-S13_PSP_Species_Support!BH32*10))^S13_PSP_Species_Support!BI32))^0.976,0)+IFERROR(S13_PSP_Species_Support!BM32*0.0673*(S13_PSP_Species_Support!BN32*(S13_PSP_Species_Support!BO32*(1-EXP(-S13_PSP_Species_Support!BP32*10))^S13_PSP_Species_Support!BQ32)^2*(S13_PSP_Species_Support!BR32*(1-EXP(-S13_PSP_Species_Support!BS32*10))^S13_PSP_Species_Support!BT32))^0.976,0)+IFERROR(S13_PSP_Species_Support!BX32*0.0673*(S13_PSP_Species_Support!BY32*(S13_PSP_Species_Support!BZ32*(1-EXP(-S13_PSP_Species_Support!CA32*10))^S13_PSP_Species_Support!CB32)^2*(S13_PSP_Species_Support!CC32*(1-EXP(-S13_PSP_Species_Support!CD32*10))^S13_PSP_Species_Support!CE32))^0.976,0)+IFERROR(S13_PSP_Species_Support!CI32*0.0673*(S13_PSP_Species_Support!CJ32*(S13_PSP_Species_Support!CK32*(1-EXP(-S13_PSP_Species_Support!CL32*10))^S13_PSP_Species_Support!CM32)^2*(S13_PSP_Species_Support!CN32*(1-EXP(-S13_PSP_Species_Support!CO32*10))^S13_PSP_Species_Support!CP32))^0.976,0)+IFERROR(S13_PSP_Species_Support!CT32*0.0673*(S13_PSP_Species_Support!CU32*(S13_PSP_Species_Support!CV32*(1-EXP(-S13_PSP_Species_Support!CW32*10))^S13_PSP_Species_Support!CX32)^2*(S13_PSP_Species_Support!CY32*(1-EXP(-S13_PSP_Species_Support!CZ32*10))^S13_PSP_Species_Support!DA32))^0.976,0))/1000/$G45*S$108,0)</x:f>
        <x:v>88.56874248803068</x:v>
      </x:c>
      <x:c r="T45" s="147" t="n">
        <x:f aca="0">IFERROR((IFERROR(S13_PSP_Species_Support!U32*0.0673*(S13_PSP_Species_Support!V32*(S13_PSP_Species_Support!W32*(1-EXP(-S13_PSP_Species_Support!X32*11))^S13_PSP_Species_Support!Y32)^2*(S13_PSP_Species_Support!Z32*(1-EXP(-S13_PSP_Species_Support!AA32*11))^S13_PSP_Species_Support!AB32))^0.976,0)+IFERROR(S13_PSP_Species_Support!AF32*0.0673*(S13_PSP_Species_Support!AG32*(S13_PSP_Species_Support!AH32*(1-EXP(-S13_PSP_Species_Support!AI32*11))^S13_PSP_Species_Support!AJ32)^2*(S13_PSP_Species_Support!AK32*(1-EXP(-S13_PSP_Species_Support!AL32*11))^S13_PSP_Species_Support!AM32))^0.976,0)+IFERROR(S13_PSP_Species_Support!AQ32*0.0673*(S13_PSP_Species_Support!AR32*(S13_PSP_Species_Support!AS32*(1-EXP(-S13_PSP_Species_Support!AT32*11))^S13_PSP_Species_Support!AU32)^2*(S13_PSP_Species_Support!AV32*(1-EXP(-S13_PSP_Species_Support!AW32*11))^S13_PSP_Species_Support!AX32))^0.976,0)+IFERROR(S13_PSP_Species_Support!BB32*0.0673*(S13_PSP_Species_Support!BC32*(S13_PSP_Species_Support!BD32*(1-EXP(-S13_PSP_Species_Support!BE32*11))^S13_PSP_Species_Support!BF32)^2*(S13_PSP_Species_Support!BG32*(1-EXP(-S13_PSP_Species_Support!BH32*11))^S13_PSP_Species_Support!BI32))^0.976,0)+IFERROR(S13_PSP_Species_Support!BM32*0.0673*(S13_PSP_Species_Support!BN32*(S13_PSP_Species_Support!BO32*(1-EXP(-S13_PSP_Species_Support!BP32*11))^S13_PSP_Species_Support!BQ32)^2*(S13_PSP_Species_Support!BR32*(1-EXP(-S13_PSP_Species_Support!BS32*11))^S13_PSP_Species_Support!BT32))^0.976,0)+IFERROR(S13_PSP_Species_Support!BX32*0.0673*(S13_PSP_Species_Support!BY32*(S13_PSP_Species_Support!BZ32*(1-EXP(-S13_PSP_Species_Support!CA32*11))^S13_PSP_Species_Support!CB32)^2*(S13_PSP_Species_Support!CC32*(1-EXP(-S13_PSP_Species_Support!CD32*11))^S13_PSP_Species_Support!CE32))^0.976,0)+IFERROR(S13_PSP_Species_Support!CI32*0.0673*(S13_PSP_Species_Support!CJ32*(S13_PSP_Species_Support!CK32*(1-EXP(-S13_PSP_Species_Support!CL32*11))^S13_PSP_Species_Support!CM32)^2*(S13_PSP_Species_Support!CN32*(1-EXP(-S13_PSP_Species_Support!CO32*11))^S13_PSP_Species_Support!CP32))^0.976,0)+IFERROR(S13_PSP_Species_Support!CT32*0.0673*(S13_PSP_Species_Support!CU32*(S13_PSP_Species_Support!CV32*(1-EXP(-S13_PSP_Species_Support!CW32*11))^S13_PSP_Species_Support!CX32)^2*(S13_PSP_Species_Support!CY32*(1-EXP(-S13_PSP_Species_Support!CZ32*11))^S13_PSP_Species_Support!DA32))^0.976,0))/1000/$G45*T$108,0)</x:f>
        <x:v>104.9149314762007</x:v>
      </x:c>
      <x:c r="U45" s="147" t="n">
        <x:f aca="0">IFERROR((IFERROR(S13_PSP_Species_Support!U32*0.0673*(S13_PSP_Species_Support!V32*(S13_PSP_Species_Support!W32*(1-EXP(-S13_PSP_Species_Support!X32*12))^S13_PSP_Species_Support!Y32)^2*(S13_PSP_Species_Support!Z32*(1-EXP(-S13_PSP_Species_Support!AA32*12))^S13_PSP_Species_Support!AB32))^0.976,0)+IFERROR(S13_PSP_Species_Support!AF32*0.0673*(S13_PSP_Species_Support!AG32*(S13_PSP_Species_Support!AH32*(1-EXP(-S13_PSP_Species_Support!AI32*12))^S13_PSP_Species_Support!AJ32)^2*(S13_PSP_Species_Support!AK32*(1-EXP(-S13_PSP_Species_Support!AL32*12))^S13_PSP_Species_Support!AM32))^0.976,0)+IFERROR(S13_PSP_Species_Support!AQ32*0.0673*(S13_PSP_Species_Support!AR32*(S13_PSP_Species_Support!AS32*(1-EXP(-S13_PSP_Species_Support!AT32*12))^S13_PSP_Species_Support!AU32)^2*(S13_PSP_Species_Support!AV32*(1-EXP(-S13_PSP_Species_Support!AW32*12))^S13_PSP_Species_Support!AX32))^0.976,0)+IFERROR(S13_PSP_Species_Support!BB32*0.0673*(S13_PSP_Species_Support!BC32*(S13_PSP_Species_Support!BD32*(1-EXP(-S13_PSP_Species_Support!BE32*12))^S13_PSP_Species_Support!BF32)^2*(S13_PSP_Species_Support!BG32*(1-EXP(-S13_PSP_Species_Support!BH32*12))^S13_PSP_Species_Support!BI32))^0.976,0)+IFERROR(S13_PSP_Species_Support!BM32*0.0673*(S13_PSP_Species_Support!BN32*(S13_PSP_Species_Support!BO32*(1-EXP(-S13_PSP_Species_Support!BP32*12))^S13_PSP_Species_Support!BQ32)^2*(S13_PSP_Species_Support!BR32*(1-EXP(-S13_PSP_Species_Support!BS32*12))^S13_PSP_Species_Support!BT32))^0.976,0)+IFERROR(S13_PSP_Species_Support!BX32*0.0673*(S13_PSP_Species_Support!BY32*(S13_PSP_Species_Support!BZ32*(1-EXP(-S13_PSP_Species_Support!CA32*12))^S13_PSP_Species_Support!CB32)^2*(S13_PSP_Species_Support!CC32*(1-EXP(-S13_PSP_Species_Support!CD32*12))^S13_PSP_Species_Support!CE32))^0.976,0)+IFERROR(S13_PSP_Species_Support!CI32*0.0673*(S13_PSP_Species_Support!CJ32*(S13_PSP_Species_Support!CK32*(1-EXP(-S13_PSP_Species_Support!CL32*12))^S13_PSP_Species_Support!CM32)^2*(S13_PSP_Species_Support!CN32*(1-EXP(-S13_PSP_Species_Support!CO32*12))^S13_PSP_Species_Support!CP32))^0.976,0)+IFERROR(S13_PSP_Species_Support!CT32*0.0673*(S13_PSP_Species_Support!CU32*(S13_PSP_Species_Support!CV32*(1-EXP(-S13_PSP_Species_Support!CW32*12))^S13_PSP_Species_Support!CX32)^2*(S13_PSP_Species_Support!CY32*(1-EXP(-S13_PSP_Species_Support!CZ32*12))^S13_PSP_Species_Support!DA32))^0.976,0))/1000/$G45*U$108,0)</x:f>
        <x:v>120.94816070768843</x:v>
      </x:c>
      <x:c r="V45" s="147" t="n">
        <x:f aca="0">IFERROR((IFERROR(S13_PSP_Species_Support!U32*0.0673*(S13_PSP_Species_Support!V32*(S13_PSP_Species_Support!W32*(1-EXP(-S13_PSP_Species_Support!X32*13))^S13_PSP_Species_Support!Y32)^2*(S13_PSP_Species_Support!Z32*(1-EXP(-S13_PSP_Species_Support!AA32*13))^S13_PSP_Species_Support!AB32))^0.976,0)+IFERROR(S13_PSP_Species_Support!AF32*0.0673*(S13_PSP_Species_Support!AG32*(S13_PSP_Species_Support!AH32*(1-EXP(-S13_PSP_Species_Support!AI32*13))^S13_PSP_Species_Support!AJ32)^2*(S13_PSP_Species_Support!AK32*(1-EXP(-S13_PSP_Species_Support!AL32*13))^S13_PSP_Species_Support!AM32))^0.976,0)+IFERROR(S13_PSP_Species_Support!AQ32*0.0673*(S13_PSP_Species_Support!AR32*(S13_PSP_Species_Support!AS32*(1-EXP(-S13_PSP_Species_Support!AT32*13))^S13_PSP_Species_Support!AU32)^2*(S13_PSP_Species_Support!AV32*(1-EXP(-S13_PSP_Species_Support!AW32*13))^S13_PSP_Species_Support!AX32))^0.976,0)+IFERROR(S13_PSP_Species_Support!BB32*0.0673*(S13_PSP_Species_Support!BC32*(S13_PSP_Species_Support!BD32*(1-EXP(-S13_PSP_Species_Support!BE32*13))^S13_PSP_Species_Support!BF32)^2*(S13_PSP_Species_Support!BG32*(1-EXP(-S13_PSP_Species_Support!BH32*13))^S13_PSP_Species_Support!BI32))^0.976,0)+IFERROR(S13_PSP_Species_Support!BM32*0.0673*(S13_PSP_Species_Support!BN32*(S13_PSP_Species_Support!BO32*(1-EXP(-S13_PSP_Species_Support!BP32*13))^S13_PSP_Species_Support!BQ32)^2*(S13_PSP_Species_Support!BR32*(1-EXP(-S13_PSP_Species_Support!BS32*13))^S13_PSP_Species_Support!BT32))^0.976,0)+IFERROR(S13_PSP_Species_Support!BX32*0.0673*(S13_PSP_Species_Support!BY32*(S13_PSP_Species_Support!BZ32*(1-EXP(-S13_PSP_Species_Support!CA32*13))^S13_PSP_Species_Support!CB32)^2*(S13_PSP_Species_Support!CC32*(1-EXP(-S13_PSP_Species_Support!CD32*13))^S13_PSP_Species_Support!CE32))^0.976,0)+IFERROR(S13_PSP_Species_Support!CI32*0.0673*(S13_PSP_Species_Support!CJ32*(S13_PSP_Species_Support!CK32*(1-EXP(-S13_PSP_Species_Support!CL32*13))^S13_PSP_Species_Support!CM32)^2*(S13_PSP_Species_Support!CN32*(1-EXP(-S13_PSP_Species_Support!CO32*13))^S13_PSP_Species_Support!CP32))^0.976,0)+IFERROR(S13_PSP_Species_Support!CT32*0.0673*(S13_PSP_Species_Support!CU32*(S13_PSP_Species_Support!CV32*(1-EXP(-S13_PSP_Species_Support!CW32*13))^S13_PSP_Species_Support!CX32)^2*(S13_PSP_Species_Support!CY32*(1-EXP(-S13_PSP_Species_Support!CZ32*13))^S13_PSP_Species_Support!DA32))^0.976,0))/1000/$G45*V$108,0)</x:f>
        <x:v>136.39640255078976</x:v>
      </x:c>
      <x:c r="W45" s="147" t="n">
        <x:f aca="0">IFERROR((IFERROR(S13_PSP_Species_Support!U32*0.0673*(S13_PSP_Species_Support!V32*(S13_PSP_Species_Support!W32*(1-EXP(-S13_PSP_Species_Support!X32*14))^S13_PSP_Species_Support!Y32)^2*(S13_PSP_Species_Support!Z32*(1-EXP(-S13_PSP_Species_Support!AA32*14))^S13_PSP_Species_Support!AB32))^0.976,0)+IFERROR(S13_PSP_Species_Support!AF32*0.0673*(S13_PSP_Species_Support!AG32*(S13_PSP_Species_Support!AH32*(1-EXP(-S13_PSP_Species_Support!AI32*14))^S13_PSP_Species_Support!AJ32)^2*(S13_PSP_Species_Support!AK32*(1-EXP(-S13_PSP_Species_Support!AL32*14))^S13_PSP_Species_Support!AM32))^0.976,0)+IFERROR(S13_PSP_Species_Support!AQ32*0.0673*(S13_PSP_Species_Support!AR32*(S13_PSP_Species_Support!AS32*(1-EXP(-S13_PSP_Species_Support!AT32*14))^S13_PSP_Species_Support!AU32)^2*(S13_PSP_Species_Support!AV32*(1-EXP(-S13_PSP_Species_Support!AW32*14))^S13_PSP_Species_Support!AX32))^0.976,0)+IFERROR(S13_PSP_Species_Support!BB32*0.0673*(S13_PSP_Species_Support!BC32*(S13_PSP_Species_Support!BD32*(1-EXP(-S13_PSP_Species_Support!BE32*14))^S13_PSP_Species_Support!BF32)^2*(S13_PSP_Species_Support!BG32*(1-EXP(-S13_PSP_Species_Support!BH32*14))^S13_PSP_Species_Support!BI32))^0.976,0)+IFERROR(S13_PSP_Species_Support!BM32*0.0673*(S13_PSP_Species_Support!BN32*(S13_PSP_Species_Support!BO32*(1-EXP(-S13_PSP_Species_Support!BP32*14))^S13_PSP_Species_Support!BQ32)^2*(S13_PSP_Species_Support!BR32*(1-EXP(-S13_PSP_Species_Support!BS32*14))^S13_PSP_Species_Support!BT32))^0.976,0)+IFERROR(S13_PSP_Species_Support!BX32*0.0673*(S13_PSP_Species_Support!BY32*(S13_PSP_Species_Support!BZ32*(1-EXP(-S13_PSP_Species_Support!CA32*14))^S13_PSP_Species_Support!CB32)^2*(S13_PSP_Species_Support!CC32*(1-EXP(-S13_PSP_Species_Support!CD32*14))^S13_PSP_Species_Support!CE32))^0.976,0)+IFERROR(S13_PSP_Species_Support!CI32*0.0673*(S13_PSP_Species_Support!CJ32*(S13_PSP_Species_Support!CK32*(1-EXP(-S13_PSP_Species_Support!CL32*14))^S13_PSP_Species_Support!CM32)^2*(S13_PSP_Species_Support!CN32*(1-EXP(-S13_PSP_Species_Support!CO32*14))^S13_PSP_Species_Support!CP32))^0.976,0)+IFERROR(S13_PSP_Species_Support!CT32*0.0673*(S13_PSP_Species_Support!CU32*(S13_PSP_Species_Support!CV32*(1-EXP(-S13_PSP_Species_Support!CW32*14))^S13_PSP_Species_Support!CX32)^2*(S13_PSP_Species_Support!CY32*(1-EXP(-S13_PSP_Species_Support!CZ32*14))^S13_PSP_Species_Support!DA32))^0.976,0))/1000/$G45*W$108,0)</x:f>
        <x:v>151.0671324629595</x:v>
      </x:c>
      <x:c r="X45" s="147" t="n">
        <x:f aca="0">IFERROR((IFERROR(S13_PSP_Species_Support!U32*0.0673*(S13_PSP_Species_Support!V32*(S13_PSP_Species_Support!W32*(1-EXP(-S13_PSP_Species_Support!X32*15))^S13_PSP_Species_Support!Y32)^2*(S13_PSP_Species_Support!Z32*(1-EXP(-S13_PSP_Species_Support!AA32*15))^S13_PSP_Species_Support!AB32))^0.976,0)+IFERROR(S13_PSP_Species_Support!AF32*0.0673*(S13_PSP_Species_Support!AG32*(S13_PSP_Species_Support!AH32*(1-EXP(-S13_PSP_Species_Support!AI32*15))^S13_PSP_Species_Support!AJ32)^2*(S13_PSP_Species_Support!AK32*(1-EXP(-S13_PSP_Species_Support!AL32*15))^S13_PSP_Species_Support!AM32))^0.976,0)+IFERROR(S13_PSP_Species_Support!AQ32*0.0673*(S13_PSP_Species_Support!AR32*(S13_PSP_Species_Support!AS32*(1-EXP(-S13_PSP_Species_Support!AT32*15))^S13_PSP_Species_Support!AU32)^2*(S13_PSP_Species_Support!AV32*(1-EXP(-S13_PSP_Species_Support!AW32*15))^S13_PSP_Species_Support!AX32))^0.976,0)+IFERROR(S13_PSP_Species_Support!BB32*0.0673*(S13_PSP_Species_Support!BC32*(S13_PSP_Species_Support!BD32*(1-EXP(-S13_PSP_Species_Support!BE32*15))^S13_PSP_Species_Support!BF32)^2*(S13_PSP_Species_Support!BG32*(1-EXP(-S13_PSP_Species_Support!BH32*15))^S13_PSP_Species_Support!BI32))^0.976,0)+IFERROR(S13_PSP_Species_Support!BM32*0.0673*(S13_PSP_Species_Support!BN32*(S13_PSP_Species_Support!BO32*(1-EXP(-S13_PSP_Species_Support!BP32*15))^S13_PSP_Species_Support!BQ32)^2*(S13_PSP_Species_Support!BR32*(1-EXP(-S13_PSP_Species_Support!BS32*15))^S13_PSP_Species_Support!BT32))^0.976,0)+IFERROR(S13_PSP_Species_Support!BX32*0.0673*(S13_PSP_Species_Support!BY32*(S13_PSP_Species_Support!BZ32*(1-EXP(-S13_PSP_Species_Support!CA32*15))^S13_PSP_Species_Support!CB32)^2*(S13_PSP_Species_Support!CC32*(1-EXP(-S13_PSP_Species_Support!CD32*15))^S13_PSP_Species_Support!CE32))^0.976,0)+IFERROR(S13_PSP_Species_Support!CI32*0.0673*(S13_PSP_Species_Support!CJ32*(S13_PSP_Species_Support!CK32*(1-EXP(-S13_PSP_Species_Support!CL32*15))^S13_PSP_Species_Support!CM32)^2*(S13_PSP_Species_Support!CN32*(1-EXP(-S13_PSP_Species_Support!CO32*15))^S13_PSP_Species_Support!CP32))^0.976,0)+IFERROR(S13_PSP_Species_Support!CT32*0.0673*(S13_PSP_Species_Support!CU32*(S13_PSP_Species_Support!CV32*(1-EXP(-S13_PSP_Species_Support!CW32*15))^S13_PSP_Species_Support!CX32)^2*(S13_PSP_Species_Support!CY32*(1-EXP(-S13_PSP_Species_Support!CZ32*15))^S13_PSP_Species_Support!DA32))^0.976,0))/1000/$G45*X$108,0)</x:f>
        <x:v>164.8352149521697</x:v>
      </x:c>
      <x:c r="Y45" s="147" t="n">
        <x:f aca="0">IFERROR((IFERROR(S13_PSP_Species_Support!U32*0.0673*(S13_PSP_Species_Support!V32*(S13_PSP_Species_Support!W32*(1-EXP(-S13_PSP_Species_Support!X32*16))^S13_PSP_Species_Support!Y32)^2*(S13_PSP_Species_Support!Z32*(1-EXP(-S13_PSP_Species_Support!AA32*16))^S13_PSP_Species_Support!AB32))^0.976,0)+IFERROR(S13_PSP_Species_Support!AF32*0.0673*(S13_PSP_Species_Support!AG32*(S13_PSP_Species_Support!AH32*(1-EXP(-S13_PSP_Species_Support!AI32*16))^S13_PSP_Species_Support!AJ32)^2*(S13_PSP_Species_Support!AK32*(1-EXP(-S13_PSP_Species_Support!AL32*16))^S13_PSP_Species_Support!AM32))^0.976,0)+IFERROR(S13_PSP_Species_Support!AQ32*0.0673*(S13_PSP_Species_Support!AR32*(S13_PSP_Species_Support!AS32*(1-EXP(-S13_PSP_Species_Support!AT32*16))^S13_PSP_Species_Support!AU32)^2*(S13_PSP_Species_Support!AV32*(1-EXP(-S13_PSP_Species_Support!AW32*16))^S13_PSP_Species_Support!AX32))^0.976,0)+IFERROR(S13_PSP_Species_Support!BB32*0.0673*(S13_PSP_Species_Support!BC32*(S13_PSP_Species_Support!BD32*(1-EXP(-S13_PSP_Species_Support!BE32*16))^S13_PSP_Species_Support!BF32)^2*(S13_PSP_Species_Support!BG32*(1-EXP(-S13_PSP_Species_Support!BH32*16))^S13_PSP_Species_Support!BI32))^0.976,0)+IFERROR(S13_PSP_Species_Support!BM32*0.0673*(S13_PSP_Species_Support!BN32*(S13_PSP_Species_Support!BO32*(1-EXP(-S13_PSP_Species_Support!BP32*16))^S13_PSP_Species_Support!BQ32)^2*(S13_PSP_Species_Support!BR32*(1-EXP(-S13_PSP_Species_Support!BS32*16))^S13_PSP_Species_Support!BT32))^0.976,0)+IFERROR(S13_PSP_Species_Support!BX32*0.0673*(S13_PSP_Species_Support!BY32*(S13_PSP_Species_Support!BZ32*(1-EXP(-S13_PSP_Species_Support!CA32*16))^S13_PSP_Species_Support!CB32)^2*(S13_PSP_Species_Support!CC32*(1-EXP(-S13_PSP_Species_Support!CD32*16))^S13_PSP_Species_Support!CE32))^0.976,0)+IFERROR(S13_PSP_Species_Support!CI32*0.0673*(S13_PSP_Species_Support!CJ32*(S13_PSP_Species_Support!CK32*(1-EXP(-S13_PSP_Species_Support!CL32*16))^S13_PSP_Species_Support!CM32)^2*(S13_PSP_Species_Support!CN32*(1-EXP(-S13_PSP_Species_Support!CO32*16))^S13_PSP_Species_Support!CP32))^0.976,0)+IFERROR(S13_PSP_Species_Support!CT32*0.0673*(S13_PSP_Species_Support!CU32*(S13_PSP_Species_Support!CV32*(1-EXP(-S13_PSP_Species_Support!CW32*16))^S13_PSP_Species_Support!CX32)^2*(S13_PSP_Species_Support!CY32*(1-EXP(-S13_PSP_Species_Support!CZ32*16))^S13_PSP_Species_Support!DA32))^0.976,0))/1000/$G45*Y$108,0)</x:f>
        <x:v>177.63019218886663</x:v>
      </x:c>
      <x:c r="Z45" s="147" t="n">
        <x:f aca="0">IFERROR((IFERROR(S13_PSP_Species_Support!U32*0.0673*(S13_PSP_Species_Support!V32*(S13_PSP_Species_Support!W32*(1-EXP(-S13_PSP_Species_Support!X32*17))^S13_PSP_Species_Support!Y32)^2*(S13_PSP_Species_Support!Z32*(1-EXP(-S13_PSP_Species_Support!AA32*17))^S13_PSP_Species_Support!AB32))^0.976,0)+IFERROR(S13_PSP_Species_Support!AF32*0.0673*(S13_PSP_Species_Support!AG32*(S13_PSP_Species_Support!AH32*(1-EXP(-S13_PSP_Species_Support!AI32*17))^S13_PSP_Species_Support!AJ32)^2*(S13_PSP_Species_Support!AK32*(1-EXP(-S13_PSP_Species_Support!AL32*17))^S13_PSP_Species_Support!AM32))^0.976,0)+IFERROR(S13_PSP_Species_Support!AQ32*0.0673*(S13_PSP_Species_Support!AR32*(S13_PSP_Species_Support!AS32*(1-EXP(-S13_PSP_Species_Support!AT32*17))^S13_PSP_Species_Support!AU32)^2*(S13_PSP_Species_Support!AV32*(1-EXP(-S13_PSP_Species_Support!AW32*17))^S13_PSP_Species_Support!AX32))^0.976,0)+IFERROR(S13_PSP_Species_Support!BB32*0.0673*(S13_PSP_Species_Support!BC32*(S13_PSP_Species_Support!BD32*(1-EXP(-S13_PSP_Species_Support!BE32*17))^S13_PSP_Species_Support!BF32)^2*(S13_PSP_Species_Support!BG32*(1-EXP(-S13_PSP_Species_Support!BH32*17))^S13_PSP_Species_Support!BI32))^0.976,0)+IFERROR(S13_PSP_Species_Support!BM32*0.0673*(S13_PSP_Species_Support!BN32*(S13_PSP_Species_Support!BO32*(1-EXP(-S13_PSP_Species_Support!BP32*17))^S13_PSP_Species_Support!BQ32)^2*(S13_PSP_Species_Support!BR32*(1-EXP(-S13_PSP_Species_Support!BS32*17))^S13_PSP_Species_Support!BT32))^0.976,0)+IFERROR(S13_PSP_Species_Support!BX32*0.0673*(S13_PSP_Species_Support!BY32*(S13_PSP_Species_Support!BZ32*(1-EXP(-S13_PSP_Species_Support!CA32*17))^S13_PSP_Species_Support!CB32)^2*(S13_PSP_Species_Support!CC32*(1-EXP(-S13_PSP_Species_Support!CD32*17))^S13_PSP_Species_Support!CE32))^0.976,0)+IFERROR(S13_PSP_Species_Support!CI32*0.0673*(S13_PSP_Species_Support!CJ32*(S13_PSP_Species_Support!CK32*(1-EXP(-S13_PSP_Species_Support!CL32*17))^S13_PSP_Species_Support!CM32)^2*(S13_PSP_Species_Support!CN32*(1-EXP(-S13_PSP_Species_Support!CO32*17))^S13_PSP_Species_Support!CP32))^0.976,0)+IFERROR(S13_PSP_Species_Support!CT32*0.0673*(S13_PSP_Species_Support!CU32*(S13_PSP_Species_Support!CV32*(1-EXP(-S13_PSP_Species_Support!CW32*17))^S13_PSP_Species_Support!CX32)^2*(S13_PSP_Species_Support!CY32*(1-EXP(-S13_PSP_Species_Support!CZ32*17))^S13_PSP_Species_Support!DA32))^0.976,0))/1000/$G45*Z$108,0)</x:f>
        <x:v>189.42432493091368</x:v>
      </x:c>
      <x:c r="AA45" s="147" t="n">
        <x:f aca="0">IFERROR((IFERROR(S13_PSP_Species_Support!U32*0.0673*(S13_PSP_Species_Support!V32*(S13_PSP_Species_Support!W32*(1-EXP(-S13_PSP_Species_Support!X32*18))^S13_PSP_Species_Support!Y32)^2*(S13_PSP_Species_Support!Z32*(1-EXP(-S13_PSP_Species_Support!AA32*18))^S13_PSP_Species_Support!AB32))^0.976,0)+IFERROR(S13_PSP_Species_Support!AF32*0.0673*(S13_PSP_Species_Support!AG32*(S13_PSP_Species_Support!AH32*(1-EXP(-S13_PSP_Species_Support!AI32*18))^S13_PSP_Species_Support!AJ32)^2*(S13_PSP_Species_Support!AK32*(1-EXP(-S13_PSP_Species_Support!AL32*18))^S13_PSP_Species_Support!AM32))^0.976,0)+IFERROR(S13_PSP_Species_Support!AQ32*0.0673*(S13_PSP_Species_Support!AR32*(S13_PSP_Species_Support!AS32*(1-EXP(-S13_PSP_Species_Support!AT32*18))^S13_PSP_Species_Support!AU32)^2*(S13_PSP_Species_Support!AV32*(1-EXP(-S13_PSP_Species_Support!AW32*18))^S13_PSP_Species_Support!AX32))^0.976,0)+IFERROR(S13_PSP_Species_Support!BB32*0.0673*(S13_PSP_Species_Support!BC32*(S13_PSP_Species_Support!BD32*(1-EXP(-S13_PSP_Species_Support!BE32*18))^S13_PSP_Species_Support!BF32)^2*(S13_PSP_Species_Support!BG32*(1-EXP(-S13_PSP_Species_Support!BH32*18))^S13_PSP_Species_Support!BI32))^0.976,0)+IFERROR(S13_PSP_Species_Support!BM32*0.0673*(S13_PSP_Species_Support!BN32*(S13_PSP_Species_Support!BO32*(1-EXP(-S13_PSP_Species_Support!BP32*18))^S13_PSP_Species_Support!BQ32)^2*(S13_PSP_Species_Support!BR32*(1-EXP(-S13_PSP_Species_Support!BS32*18))^S13_PSP_Species_Support!BT32))^0.976,0)+IFERROR(S13_PSP_Species_Support!BX32*0.0673*(S13_PSP_Species_Support!BY32*(S13_PSP_Species_Support!BZ32*(1-EXP(-S13_PSP_Species_Support!CA32*18))^S13_PSP_Species_Support!CB32)^2*(S13_PSP_Species_Support!CC32*(1-EXP(-S13_PSP_Species_Support!CD32*18))^S13_PSP_Species_Support!CE32))^0.976,0)+IFERROR(S13_PSP_Species_Support!CI32*0.0673*(S13_PSP_Species_Support!CJ32*(S13_PSP_Species_Support!CK32*(1-EXP(-S13_PSP_Species_Support!CL32*18))^S13_PSP_Species_Support!CM32)^2*(S13_PSP_Species_Support!CN32*(1-EXP(-S13_PSP_Species_Support!CO32*18))^S13_PSP_Species_Support!CP32))^0.976,0)+IFERROR(S13_PSP_Species_Support!CT32*0.0673*(S13_PSP_Species_Support!CU32*(S13_PSP_Species_Support!CV32*(1-EXP(-S13_PSP_Species_Support!CW32*18))^S13_PSP_Species_Support!CX32)^2*(S13_PSP_Species_Support!CY32*(1-EXP(-S13_PSP_Species_Support!CZ32*18))^S13_PSP_Species_Support!DA32))^0.976,0))/1000/$G45*AA$108,0)</x:f>
        <x:v>200.22205289773365</x:v>
      </x:c>
      <x:c r="AB45" s="147" t="n">
        <x:f aca="0">IFERROR((IFERROR(S13_PSP_Species_Support!U32*0.0673*(S13_PSP_Species_Support!V32*(S13_PSP_Species_Support!W32*(1-EXP(-S13_PSP_Species_Support!X32*19))^S13_PSP_Species_Support!Y32)^2*(S13_PSP_Species_Support!Z32*(1-EXP(-S13_PSP_Species_Support!AA32*19))^S13_PSP_Species_Support!AB32))^0.976,0)+IFERROR(S13_PSP_Species_Support!AF32*0.0673*(S13_PSP_Species_Support!AG32*(S13_PSP_Species_Support!AH32*(1-EXP(-S13_PSP_Species_Support!AI32*19))^S13_PSP_Species_Support!AJ32)^2*(S13_PSP_Species_Support!AK32*(1-EXP(-S13_PSP_Species_Support!AL32*19))^S13_PSP_Species_Support!AM32))^0.976,0)+IFERROR(S13_PSP_Species_Support!AQ32*0.0673*(S13_PSP_Species_Support!AR32*(S13_PSP_Species_Support!AS32*(1-EXP(-S13_PSP_Species_Support!AT32*19))^S13_PSP_Species_Support!AU32)^2*(S13_PSP_Species_Support!AV32*(1-EXP(-S13_PSP_Species_Support!AW32*19))^S13_PSP_Species_Support!AX32))^0.976,0)+IFERROR(S13_PSP_Species_Support!BB32*0.0673*(S13_PSP_Species_Support!BC32*(S13_PSP_Species_Support!BD32*(1-EXP(-S13_PSP_Species_Support!BE32*19))^S13_PSP_Species_Support!BF32)^2*(S13_PSP_Species_Support!BG32*(1-EXP(-S13_PSP_Species_Support!BH32*19))^S13_PSP_Species_Support!BI32))^0.976,0)+IFERROR(S13_PSP_Species_Support!BM32*0.0673*(S13_PSP_Species_Support!BN32*(S13_PSP_Species_Support!BO32*(1-EXP(-S13_PSP_Species_Support!BP32*19))^S13_PSP_Species_Support!BQ32)^2*(S13_PSP_Species_Support!BR32*(1-EXP(-S13_PSP_Species_Support!BS32*19))^S13_PSP_Species_Support!BT32))^0.976,0)+IFERROR(S13_PSP_Species_Support!BX32*0.0673*(S13_PSP_Species_Support!BY32*(S13_PSP_Species_Support!BZ32*(1-EXP(-S13_PSP_Species_Support!CA32*19))^S13_PSP_Species_Support!CB32)^2*(S13_PSP_Species_Support!CC32*(1-EXP(-S13_PSP_Species_Support!CD32*19))^S13_PSP_Species_Support!CE32))^0.976,0)+IFERROR(S13_PSP_Species_Support!CI32*0.0673*(S13_PSP_Species_Support!CJ32*(S13_PSP_Species_Support!CK32*(1-EXP(-S13_PSP_Species_Support!CL32*19))^S13_PSP_Species_Support!CM32)^2*(S13_PSP_Species_Support!CN32*(1-EXP(-S13_PSP_Species_Support!CO32*19))^S13_PSP_Species_Support!CP32))^0.976,0)+IFERROR(S13_PSP_Species_Support!CT32*0.0673*(S13_PSP_Species_Support!CU32*(S13_PSP_Species_Support!CV32*(1-EXP(-S13_PSP_Species_Support!CW32*19))^S13_PSP_Species_Support!CX32)^2*(S13_PSP_Species_Support!CY32*(1-EXP(-S13_PSP_Species_Support!CZ32*19))^S13_PSP_Species_Support!DA32))^0.976,0))/1000/$G45*AB$108,0)</x:f>
        <x:v>210.05111513962945</x:v>
      </x:c>
      <x:c r="AC45" s="147" t="n">
        <x:f aca="0">IFERROR((IFERROR(S13_PSP_Species_Support!U32*0.0673*(S13_PSP_Species_Support!V32*(S13_PSP_Species_Support!W32*(1-EXP(-S13_PSP_Species_Support!X32*20))^S13_PSP_Species_Support!Y32)^2*(S13_PSP_Species_Support!Z32*(1-EXP(-S13_PSP_Species_Support!AA32*20))^S13_PSP_Species_Support!AB32))^0.976,0)+IFERROR(S13_PSP_Species_Support!AF32*0.0673*(S13_PSP_Species_Support!AG32*(S13_PSP_Species_Support!AH32*(1-EXP(-S13_PSP_Species_Support!AI32*20))^S13_PSP_Species_Support!AJ32)^2*(S13_PSP_Species_Support!AK32*(1-EXP(-S13_PSP_Species_Support!AL32*20))^S13_PSP_Species_Support!AM32))^0.976,0)+IFERROR(S13_PSP_Species_Support!AQ32*0.0673*(S13_PSP_Species_Support!AR32*(S13_PSP_Species_Support!AS32*(1-EXP(-S13_PSP_Species_Support!AT32*20))^S13_PSP_Species_Support!AU32)^2*(S13_PSP_Species_Support!AV32*(1-EXP(-S13_PSP_Species_Support!AW32*20))^S13_PSP_Species_Support!AX32))^0.976,0)+IFERROR(S13_PSP_Species_Support!BB32*0.0673*(S13_PSP_Species_Support!BC32*(S13_PSP_Species_Support!BD32*(1-EXP(-S13_PSP_Species_Support!BE32*20))^S13_PSP_Species_Support!BF32)^2*(S13_PSP_Species_Support!BG32*(1-EXP(-S13_PSP_Species_Support!BH32*20))^S13_PSP_Species_Support!BI32))^0.976,0)+IFERROR(S13_PSP_Species_Support!BM32*0.0673*(S13_PSP_Species_Support!BN32*(S13_PSP_Species_Support!BO32*(1-EXP(-S13_PSP_Species_Support!BP32*20))^S13_PSP_Species_Support!BQ32)^2*(S13_PSP_Species_Support!BR32*(1-EXP(-S13_PSP_Species_Support!BS32*20))^S13_PSP_Species_Support!BT32))^0.976,0)+IFERROR(S13_PSP_Species_Support!BX32*0.0673*(S13_PSP_Species_Support!BY32*(S13_PSP_Species_Support!BZ32*(1-EXP(-S13_PSP_Species_Support!CA32*20))^S13_PSP_Species_Support!CB32)^2*(S13_PSP_Species_Support!CC32*(1-EXP(-S13_PSP_Species_Support!CD32*20))^S13_PSP_Species_Support!CE32))^0.976,0)+IFERROR(S13_PSP_Species_Support!CI32*0.0673*(S13_PSP_Species_Support!CJ32*(S13_PSP_Species_Support!CK32*(1-EXP(-S13_PSP_Species_Support!CL32*20))^S13_PSP_Species_Support!CM32)^2*(S13_PSP_Species_Support!CN32*(1-EXP(-S13_PSP_Species_Support!CO32*20))^S13_PSP_Species_Support!CP32))^0.976,0)+IFERROR(S13_PSP_Species_Support!CT32*0.0673*(S13_PSP_Species_Support!CU32*(S13_PSP_Species_Support!CV32*(1-EXP(-S13_PSP_Species_Support!CW32*20))^S13_PSP_Species_Support!CX32)^2*(S13_PSP_Species_Support!CY32*(1-EXP(-S13_PSP_Species_Support!CZ32*20))^S13_PSP_Species_Support!DA32))^0.976,0))/1000/$G45*AC$108,0)</x:f>
        <x:v>218.95532168637905</x:v>
      </x:c>
      <x:c r="AD45" s="148" t="n">
        <x:f aca="0">IF(2020&lt;$F45,0,INDEX($I45:$AC45,1,2020-$F45+1))</x:f>
        <x:v>0</x:v>
      </x:c>
      <x:c r="AE45" s="148" t="n">
        <x:f aca="0">IF(2021&lt;$F45,0,INDEX($I45:$AC45,1,2021-$F45+1))</x:f>
        <x:v>0</x:v>
      </x:c>
      <x:c r="AF45" s="148" t="n">
        <x:f aca="0">IF(2022&lt;$F45,0,INDEX($I45:$AC45,1,2022-$F45+1))</x:f>
        <x:v>0</x:v>
      </x:c>
      <x:c r="AG45" s="148" t="n">
        <x:f aca="0">IF(2023&lt;$F45,0,INDEX($I45:$AC45,1,2023-$F45+1))</x:f>
        <x:v>0</x:v>
      </x:c>
      <x:c r="AH45" s="148" t="n">
        <x:f aca="0">IF(2024&lt;$F45,0,INDEX($I45:$AC45,1,2024-$F45+1))</x:f>
        <x:v>0.08275092089337965</x:v>
      </x:c>
      <x:c r="AI45" s="148" t="n">
        <x:f aca="0">IF(2025&lt;$F45,0,INDEX($I45:$AC45,1,2025-$F45+1))</x:f>
        <x:v>0.9877483518914745</x:v>
      </x:c>
      <x:c r="AJ45" s="148" t="n">
        <x:f aca="0">IF(2026&lt;$F45,0,INDEX($I45:$AC45,1,2026-$F45+1))</x:f>
        <x:v>3.795123214501784</x:v>
      </x:c>
      <x:c r="AK45" s="148" t="n">
        <x:f aca="0">IF(2027&lt;$F45,0,INDEX($I45:$AC45,1,2027-$F45+1))</x:f>
        <x:v>9.261248759982841</x:v>
      </x:c>
      <x:c r="AL45" s="148" t="n">
        <x:f aca="0">IF(2028&lt;$F45,0,INDEX($I45:$AC45,1,2028-$F45+1))</x:f>
        <x:v>17.582514636869522</x:v>
      </x:c>
      <x:c r="AM45" s="148" t="n">
        <x:f aca="0">IF(2029&lt;$F45,0,INDEX($I45:$AC45,1,2029-$F45+1))</x:f>
        <x:v>28.550261174446828</x:v>
      </x:c>
      <x:c r="AN45" s="148" t="n">
        <x:f aca="0">IF(2030&lt;$F45,0,INDEX($I45:$AC45,1,2030-$F45+1))</x:f>
        <x:v>41.70366082152206</x:v>
      </x:c>
      <x:c r="AO45" s="148" t="n">
        <x:f aca="0">IF(2031&lt;$F45,0,INDEX($I45:$AC45,1,2031-$F45+1))</x:f>
        <x:v>56.47111751489342</x:v>
      </x:c>
      <x:c r="AP45" s="148" t="n">
        <x:f aca="0">IF(2032&lt;$F45,0,INDEX($I45:$AC45,1,2032-$F45+1))</x:f>
        <x:v>72.27026156615167</x:v>
      </x:c>
      <x:c r="AQ45" s="148" t="n">
        <x:f aca="0">IF(2033&lt;$F45,0,INDEX($I45:$AC45,1,2033-$F45+1))</x:f>
        <x:v>88.56874248803068</x:v>
      </x:c>
      <x:c r="AR45" s="148" t="n">
        <x:f aca="0">IF(2034&lt;$F45,0,INDEX($I45:$AC45,1,2034-$F45+1))</x:f>
        <x:v>104.9149314762007</x:v>
      </x:c>
      <x:c r="AS45" s="148" t="n">
        <x:f aca="0">IF(2035&lt;$F45,0,INDEX($I45:$AC45,1,2035-$F45+1))</x:f>
        <x:v>120.94816070768843</x:v>
      </x:c>
      <x:c r="AT45" s="148" t="n">
        <x:f aca="0">IF(2036&lt;$F45,0,INDEX($I45:$AC45,1,2036-$F45+1))</x:f>
        <x:v>136.39640255078976</x:v>
      </x:c>
      <x:c r="AU45" s="148" t="n">
        <x:f aca="0">IF(2037&lt;$F45,0,INDEX($I45:$AC45,1,2037-$F45+1))</x:f>
        <x:v>151.0671324629595</x:v>
      </x:c>
      <x:c r="AV45" s="148" t="n">
        <x:f aca="0">IF(2038&lt;$F45,0,INDEX($I45:$AC45,1,2038-$F45+1))</x:f>
        <x:v>164.8352149521697</x:v>
      </x:c>
      <x:c r="AW45" s="148" t="n">
        <x:f aca="0">IF(2039&lt;$F45,0,INDEX($I45:$AC45,1,2039-$F45+1))</x:f>
        <x:v>177.63019218886663</x:v>
      </x:c>
      <x:c r="AX45" s="148" t="n">
        <x:f aca="0">IF(2040&lt;$F45,0,INDEX($I45:$AC45,1,2040-$F45+1))</x:f>
        <x:v>189.42432493091368</x:v>
      </x:c>
      <x:c r="AY45" s="1" t="str">
        <x:f aca="0">LEFT($C45,FIND("@",SUBSTITUTE($C45,"|","@",2))-1)</x:f>
        <x:v>Horti-Silviculture|Medium</x:v>
      </x:c>
      <x:c r="AZ45" s="1" t="str">
        <x:f aca="0">LEFT($C45,FIND("|",$C45)-1)</x:f>
        <x:v>Horti-Silviculture</x:v>
      </x:c>
      <x:c r="BA45" s="149" t="n">
        <x:f aca="0">I45*I45</x:f>
        <x:v>0</x:v>
      </x:c>
      <x:c r="BB45" s="149" t="n">
        <x:f aca="0">J45*J45</x:f>
        <x:v>0.006847714908702378</x:v>
      </x:c>
      <x:c r="BC45" s="149" t="n">
        <x:f aca="0">K45*K45</x:f>
        <x:v>0.9756468066643241</x:v>
      </x:c>
      <x:c r="BD45" s="149" t="n">
        <x:f aca="0">L45*L45</x:f>
        <x:v>14.402960213250354</x:v>
      </x:c>
      <x:c r="BE45" s="149" t="n">
        <x:f aca="0">M45*M45</x:f>
        <x:v>85.77072859428371</x:v>
      </x:c>
      <x:c r="BF45" s="149" t="n">
        <x:f aca="0">N45*N45</x:f>
        <x:v>309.144820955731</x:v>
      </x:c>
      <x:c r="BG45" s="149" t="n">
        <x:f aca="0">O45*O45</x:f>
        <x:v>815.1174131291259</x:v>
      </x:c>
      <x:c r="BH45" s="149" t="n">
        <x:f aca="0">P45*P45</x:f>
        <x:v>1739.1953259165537</x:v>
      </x:c>
      <x:c r="BI45" s="149" t="n">
        <x:f aca="0">Q45*Q45</x:f>
        <x:v>3188.9871133809024</x:v>
      </x:c>
      <x:c r="BJ45" s="149" t="n">
        <x:f aca="0">R45*R45</x:f>
        <x:v>5222.99070683998</x:v>
      </x:c>
      <x:c r="BK45" s="149" t="n">
        <x:f aca="0">S45*S45</x:f>
        <x:v>7844.422145911091</x:v>
      </x:c>
      <x:c r="BL45" s="149" t="n">
        <x:f aca="0">T45*T45</x:f>
        <x:v>11007.14284665589</x:v>
      </x:c>
      <x:c r="BM45" s="149" t="n">
        <x:f aca="0">U45*U45</x:f>
        <x:v>14628.457578572827</x:v>
      </x:c>
      <x:c r="BN45" s="149" t="n">
        <x:f aca="0">V45*V45</x:f>
        <x:v>18603.978628797086</x:v>
      </x:c>
      <x:c r="BO45" s="149" t="n">
        <x:f aca="0">W45*W45</x:f>
        <x:v>22821.278510581353</x:v>
      </x:c>
      <x:c r="BP45" s="149" t="n">
        <x:f aca="0">X45*X45</x:f>
        <x:v>27170.64808832799</x:v>
      </x:c>
      <x:c r="BQ45" s="149" t="n">
        <x:f aca="0">Y45*Y45</x:f>
        <x:v>31552.485177053695</x:v>
      </x:c>
      <x:c r="BR45" s="149" t="n">
        <x:f aca="0">Z45*Z45</x:f>
        <x:v>35881.574875532366</x:v>
      </x:c>
      <x:c r="BS45" s="149" t="n">
        <x:f aca="0">AA45*AA45</x:f>
        <x:v>40088.87046658285</x:v>
      </x:c>
      <x:c r="BT45" s="149" t="n">
        <x:f aca="0">AB45*AB45</x:f>
        <x:v>44121.47097140187</x:v>
      </x:c>
      <x:c r="BU45" s="149" t="n">
        <x:f aca="0">AC45*AC45</x:f>
        <x:v>47941.432894785736</x:v>
      </x:c>
    </x:row>
    <x:row r="46" ht="15" hidden="0" customHeight="1">
      <x:c r="A46" s="1" t="str">
        <x:f aca="0">S13_PSP_Species_Support!A33</x:f>
        <x:v>PSP-HS-019</x:v>
      </x:c>
      <x:c r="B46" s="1" t="n">
        <x:f aca="0">33</x:f>
        <x:v>33</x:v>
      </x:c>
      <x:c r="C46" s="1" t="str">
        <x:f aca="0">S13_PSP_Species_Support!I33</x:f>
        <x:v>Horti-Silviculture|Low|2024</x:v>
      </x:c>
      <x:c r="D46" s="1" t="str">
        <x:f aca="0">S13_PSP_Species_Support!C33</x:f>
        <x:v>Horti-Silviculture</x:v>
      </x:c>
      <x:c r="E46" s="1" t="str">
        <x:f aca="0">S13_PSP_Species_Support!D33</x:f>
        <x:v>Low</x:v>
      </x:c>
      <x:c r="F46" s="1" t="n">
        <x:f aca="0">S13_PSP_Species_Support!E33</x:f>
        <x:v>2024</x:v>
      </x:c>
      <x:c r="G46" s="645" t="n">
        <x:f aca="0">'S13_PSP_Species_Support'!DJ33</x:f>
        <x:v>0.09</x:v>
      </x:c>
      <x:c r="H46" s="714" t="n">
        <x:f aca="0">'S13_PSP_Species_Support'!DK33</x:f>
        <x:v>20.255671588044653</x:v>
      </x:c>
      <x:c r="I46" s="147" t="n">
        <x:f aca="0">IFERROR((IFERROR(S13_PSP_Species_Support!U33*0.0673*(S13_PSP_Species_Support!V33*(S13_PSP_Species_Support!W33*(1-EXP(-S13_PSP_Species_Support!X33*0))^S13_PSP_Species_Support!Y33)^2*(S13_PSP_Species_Support!Z33*(1-EXP(-S13_PSP_Species_Support!AA33*0))^S13_PSP_Species_Support!AB33))^0.976,0)+IFERROR(S13_PSP_Species_Support!AF33*0.0673*(S13_PSP_Species_Support!AG33*(S13_PSP_Species_Support!AH33*(1-EXP(-S13_PSP_Species_Support!AI33*0))^S13_PSP_Species_Support!AJ33)^2*(S13_PSP_Species_Support!AK33*(1-EXP(-S13_PSP_Species_Support!AL33*0))^S13_PSP_Species_Support!AM33))^0.976,0)+IFERROR(S13_PSP_Species_Support!AQ33*0.0673*(S13_PSP_Species_Support!AR33*(S13_PSP_Species_Support!AS33*(1-EXP(-S13_PSP_Species_Support!AT33*0))^S13_PSP_Species_Support!AU33)^2*(S13_PSP_Species_Support!AV33*(1-EXP(-S13_PSP_Species_Support!AW33*0))^S13_PSP_Species_Support!AX33))^0.976,0)+IFERROR(S13_PSP_Species_Support!BB33*0.0673*(S13_PSP_Species_Support!BC33*(S13_PSP_Species_Support!BD33*(1-EXP(-S13_PSP_Species_Support!BE33*0))^S13_PSP_Species_Support!BF33)^2*(S13_PSP_Species_Support!BG33*(1-EXP(-S13_PSP_Species_Support!BH33*0))^S13_PSP_Species_Support!BI33))^0.976,0)+IFERROR(S13_PSP_Species_Support!BM33*0.0673*(S13_PSP_Species_Support!BN33*(S13_PSP_Species_Support!BO33*(1-EXP(-S13_PSP_Species_Support!BP33*0))^S13_PSP_Species_Support!BQ33)^2*(S13_PSP_Species_Support!BR33*(1-EXP(-S13_PSP_Species_Support!BS33*0))^S13_PSP_Species_Support!BT33))^0.976,0)+IFERROR(S13_PSP_Species_Support!BX33*0.0673*(S13_PSP_Species_Support!BY33*(S13_PSP_Species_Support!BZ33*(1-EXP(-S13_PSP_Species_Support!CA33*0))^S13_PSP_Species_Support!CB33)^2*(S13_PSP_Species_Support!CC33*(1-EXP(-S13_PSP_Species_Support!CD33*0))^S13_PSP_Species_Support!CE33))^0.976,0)+IFERROR(S13_PSP_Species_Support!CI33*0.0673*(S13_PSP_Species_Support!CJ33*(S13_PSP_Species_Support!CK33*(1-EXP(-S13_PSP_Species_Support!CL33*0))^S13_PSP_Species_Support!CM33)^2*(S13_PSP_Species_Support!CN33*(1-EXP(-S13_PSP_Species_Support!CO33*0))^S13_PSP_Species_Support!CP33))^0.976,0)+IFERROR(S13_PSP_Species_Support!CT33*0.0673*(S13_PSP_Species_Support!CU33*(S13_PSP_Species_Support!CV33*(1-EXP(-S13_PSP_Species_Support!CW33*0))^S13_PSP_Species_Support!CX33)^2*(S13_PSP_Species_Support!CY33*(1-EXP(-S13_PSP_Species_Support!CZ33*0))^S13_PSP_Species_Support!DA33))^0.976,0))/1000/$G46*I$108,0)</x:f>
        <x:v>0</x:v>
      </x:c>
      <x:c r="J46" s="147" t="n">
        <x:f aca="0">IFERROR((IFERROR(S13_PSP_Species_Support!U33*0.0673*(S13_PSP_Species_Support!V33*(S13_PSP_Species_Support!W33*(1-EXP(-S13_PSP_Species_Support!X33*1))^S13_PSP_Species_Support!Y33)^2*(S13_PSP_Species_Support!Z33*(1-EXP(-S13_PSP_Species_Support!AA33*1))^S13_PSP_Species_Support!AB33))^0.976,0)+IFERROR(S13_PSP_Species_Support!AF33*0.0673*(S13_PSP_Species_Support!AG33*(S13_PSP_Species_Support!AH33*(1-EXP(-S13_PSP_Species_Support!AI33*1))^S13_PSP_Species_Support!AJ33)^2*(S13_PSP_Species_Support!AK33*(1-EXP(-S13_PSP_Species_Support!AL33*1))^S13_PSP_Species_Support!AM33))^0.976,0)+IFERROR(S13_PSP_Species_Support!AQ33*0.0673*(S13_PSP_Species_Support!AR33*(S13_PSP_Species_Support!AS33*(1-EXP(-S13_PSP_Species_Support!AT33*1))^S13_PSP_Species_Support!AU33)^2*(S13_PSP_Species_Support!AV33*(1-EXP(-S13_PSP_Species_Support!AW33*1))^S13_PSP_Species_Support!AX33))^0.976,0)+IFERROR(S13_PSP_Species_Support!BB33*0.0673*(S13_PSP_Species_Support!BC33*(S13_PSP_Species_Support!BD33*(1-EXP(-S13_PSP_Species_Support!BE33*1))^S13_PSP_Species_Support!BF33)^2*(S13_PSP_Species_Support!BG33*(1-EXP(-S13_PSP_Species_Support!BH33*1))^S13_PSP_Species_Support!BI33))^0.976,0)+IFERROR(S13_PSP_Species_Support!BM33*0.0673*(S13_PSP_Species_Support!BN33*(S13_PSP_Species_Support!BO33*(1-EXP(-S13_PSP_Species_Support!BP33*1))^S13_PSP_Species_Support!BQ33)^2*(S13_PSP_Species_Support!BR33*(1-EXP(-S13_PSP_Species_Support!BS33*1))^S13_PSP_Species_Support!BT33))^0.976,0)+IFERROR(S13_PSP_Species_Support!BX33*0.0673*(S13_PSP_Species_Support!BY33*(S13_PSP_Species_Support!BZ33*(1-EXP(-S13_PSP_Species_Support!CA33*1))^S13_PSP_Species_Support!CB33)^2*(S13_PSP_Species_Support!CC33*(1-EXP(-S13_PSP_Species_Support!CD33*1))^S13_PSP_Species_Support!CE33))^0.976,0)+IFERROR(S13_PSP_Species_Support!CI33*0.0673*(S13_PSP_Species_Support!CJ33*(S13_PSP_Species_Support!CK33*(1-EXP(-S13_PSP_Species_Support!CL33*1))^S13_PSP_Species_Support!CM33)^2*(S13_PSP_Species_Support!CN33*(1-EXP(-S13_PSP_Species_Support!CO33*1))^S13_PSP_Species_Support!CP33))^0.976,0)+IFERROR(S13_PSP_Species_Support!CT33*0.0673*(S13_PSP_Species_Support!CU33*(S13_PSP_Species_Support!CV33*(1-EXP(-S13_PSP_Species_Support!CW33*1))^S13_PSP_Species_Support!CX33)^2*(S13_PSP_Species_Support!CY33*(1-EXP(-S13_PSP_Species_Support!CZ33*1))^S13_PSP_Species_Support!DA33))^0.976,0))/1000/$G46*J$108,0)</x:f>
        <x:v>0.05446922184717709</x:v>
      </x:c>
      <x:c r="K46" s="147" t="n">
        <x:f aca="0">IFERROR((IFERROR(S13_PSP_Species_Support!U33*0.0673*(S13_PSP_Species_Support!V33*(S13_PSP_Species_Support!W33*(1-EXP(-S13_PSP_Species_Support!X33*2))^S13_PSP_Species_Support!Y33)^2*(S13_PSP_Species_Support!Z33*(1-EXP(-S13_PSP_Species_Support!AA33*2))^S13_PSP_Species_Support!AB33))^0.976,0)+IFERROR(S13_PSP_Species_Support!AF33*0.0673*(S13_PSP_Species_Support!AG33*(S13_PSP_Species_Support!AH33*(1-EXP(-S13_PSP_Species_Support!AI33*2))^S13_PSP_Species_Support!AJ33)^2*(S13_PSP_Species_Support!AK33*(1-EXP(-S13_PSP_Species_Support!AL33*2))^S13_PSP_Species_Support!AM33))^0.976,0)+IFERROR(S13_PSP_Species_Support!AQ33*0.0673*(S13_PSP_Species_Support!AR33*(S13_PSP_Species_Support!AS33*(1-EXP(-S13_PSP_Species_Support!AT33*2))^S13_PSP_Species_Support!AU33)^2*(S13_PSP_Species_Support!AV33*(1-EXP(-S13_PSP_Species_Support!AW33*2))^S13_PSP_Species_Support!AX33))^0.976,0)+IFERROR(S13_PSP_Species_Support!BB33*0.0673*(S13_PSP_Species_Support!BC33*(S13_PSP_Species_Support!BD33*(1-EXP(-S13_PSP_Species_Support!BE33*2))^S13_PSP_Species_Support!BF33)^2*(S13_PSP_Species_Support!BG33*(1-EXP(-S13_PSP_Species_Support!BH33*2))^S13_PSP_Species_Support!BI33))^0.976,0)+IFERROR(S13_PSP_Species_Support!BM33*0.0673*(S13_PSP_Species_Support!BN33*(S13_PSP_Species_Support!BO33*(1-EXP(-S13_PSP_Species_Support!BP33*2))^S13_PSP_Species_Support!BQ33)^2*(S13_PSP_Species_Support!BR33*(1-EXP(-S13_PSP_Species_Support!BS33*2))^S13_PSP_Species_Support!BT33))^0.976,0)+IFERROR(S13_PSP_Species_Support!BX33*0.0673*(S13_PSP_Species_Support!BY33*(S13_PSP_Species_Support!BZ33*(1-EXP(-S13_PSP_Species_Support!CA33*2))^S13_PSP_Species_Support!CB33)^2*(S13_PSP_Species_Support!CC33*(1-EXP(-S13_PSP_Species_Support!CD33*2))^S13_PSP_Species_Support!CE33))^0.976,0)+IFERROR(S13_PSP_Species_Support!CI33*0.0673*(S13_PSP_Species_Support!CJ33*(S13_PSP_Species_Support!CK33*(1-EXP(-S13_PSP_Species_Support!CL33*2))^S13_PSP_Species_Support!CM33)^2*(S13_PSP_Species_Support!CN33*(1-EXP(-S13_PSP_Species_Support!CO33*2))^S13_PSP_Species_Support!CP33))^0.976,0)+IFERROR(S13_PSP_Species_Support!CT33*0.0673*(S13_PSP_Species_Support!CU33*(S13_PSP_Species_Support!CV33*(1-EXP(-S13_PSP_Species_Support!CW33*2))^S13_PSP_Species_Support!CX33)^2*(S13_PSP_Species_Support!CY33*(1-EXP(-S13_PSP_Species_Support!CZ33*2))^S13_PSP_Species_Support!DA33))^0.976,0))/1000/$G46*K$108,0)</x:f>
        <x:v>0.6553539580283798</x:v>
      </x:c>
      <x:c r="L46" s="147" t="n">
        <x:f aca="0">IFERROR((IFERROR(S13_PSP_Species_Support!U33*0.0673*(S13_PSP_Species_Support!V33*(S13_PSP_Species_Support!W33*(1-EXP(-S13_PSP_Species_Support!X33*3))^S13_PSP_Species_Support!Y33)^2*(S13_PSP_Species_Support!Z33*(1-EXP(-S13_PSP_Species_Support!AA33*3))^S13_PSP_Species_Support!AB33))^0.976,0)+IFERROR(S13_PSP_Species_Support!AF33*0.0673*(S13_PSP_Species_Support!AG33*(S13_PSP_Species_Support!AH33*(1-EXP(-S13_PSP_Species_Support!AI33*3))^S13_PSP_Species_Support!AJ33)^2*(S13_PSP_Species_Support!AK33*(1-EXP(-S13_PSP_Species_Support!AL33*3))^S13_PSP_Species_Support!AM33))^0.976,0)+IFERROR(S13_PSP_Species_Support!AQ33*0.0673*(S13_PSP_Species_Support!AR33*(S13_PSP_Species_Support!AS33*(1-EXP(-S13_PSP_Species_Support!AT33*3))^S13_PSP_Species_Support!AU33)^2*(S13_PSP_Species_Support!AV33*(1-EXP(-S13_PSP_Species_Support!AW33*3))^S13_PSP_Species_Support!AX33))^0.976,0)+IFERROR(S13_PSP_Species_Support!BB33*0.0673*(S13_PSP_Species_Support!BC33*(S13_PSP_Species_Support!BD33*(1-EXP(-S13_PSP_Species_Support!BE33*3))^S13_PSP_Species_Support!BF33)^2*(S13_PSP_Species_Support!BG33*(1-EXP(-S13_PSP_Species_Support!BH33*3))^S13_PSP_Species_Support!BI33))^0.976,0)+IFERROR(S13_PSP_Species_Support!BM33*0.0673*(S13_PSP_Species_Support!BN33*(S13_PSP_Species_Support!BO33*(1-EXP(-S13_PSP_Species_Support!BP33*3))^S13_PSP_Species_Support!BQ33)^2*(S13_PSP_Species_Support!BR33*(1-EXP(-S13_PSP_Species_Support!BS33*3))^S13_PSP_Species_Support!BT33))^0.976,0)+IFERROR(S13_PSP_Species_Support!BX33*0.0673*(S13_PSP_Species_Support!BY33*(S13_PSP_Species_Support!BZ33*(1-EXP(-S13_PSP_Species_Support!CA33*3))^S13_PSP_Species_Support!CB33)^2*(S13_PSP_Species_Support!CC33*(1-EXP(-S13_PSP_Species_Support!CD33*3))^S13_PSP_Species_Support!CE33))^0.976,0)+IFERROR(S13_PSP_Species_Support!CI33*0.0673*(S13_PSP_Species_Support!CJ33*(S13_PSP_Species_Support!CK33*(1-EXP(-S13_PSP_Species_Support!CL33*3))^S13_PSP_Species_Support!CM33)^2*(S13_PSP_Species_Support!CN33*(1-EXP(-S13_PSP_Species_Support!CO33*3))^S13_PSP_Species_Support!CP33))^0.976,0)+IFERROR(S13_PSP_Species_Support!CT33*0.0673*(S13_PSP_Species_Support!CU33*(S13_PSP_Species_Support!CV33*(1-EXP(-S13_PSP_Species_Support!CW33*3))^S13_PSP_Species_Support!CX33)^2*(S13_PSP_Species_Support!CY33*(1-EXP(-S13_PSP_Species_Support!CZ33*3))^S13_PSP_Species_Support!DA33))^0.976,0))/1000/$G46*L$108,0)</x:f>
        <x:v>2.5357730324149226</x:v>
      </x:c>
      <x:c r="M46" s="147" t="n">
        <x:f aca="0">IFERROR((IFERROR(S13_PSP_Species_Support!U33*0.0673*(S13_PSP_Species_Support!V33*(S13_PSP_Species_Support!W33*(1-EXP(-S13_PSP_Species_Support!X33*4))^S13_PSP_Species_Support!Y33)^2*(S13_PSP_Species_Support!Z33*(1-EXP(-S13_PSP_Species_Support!AA33*4))^S13_PSP_Species_Support!AB33))^0.976,0)+IFERROR(S13_PSP_Species_Support!AF33*0.0673*(S13_PSP_Species_Support!AG33*(S13_PSP_Species_Support!AH33*(1-EXP(-S13_PSP_Species_Support!AI33*4))^S13_PSP_Species_Support!AJ33)^2*(S13_PSP_Species_Support!AK33*(1-EXP(-S13_PSP_Species_Support!AL33*4))^S13_PSP_Species_Support!AM33))^0.976,0)+IFERROR(S13_PSP_Species_Support!AQ33*0.0673*(S13_PSP_Species_Support!AR33*(S13_PSP_Species_Support!AS33*(1-EXP(-S13_PSP_Species_Support!AT33*4))^S13_PSP_Species_Support!AU33)^2*(S13_PSP_Species_Support!AV33*(1-EXP(-S13_PSP_Species_Support!AW33*4))^S13_PSP_Species_Support!AX33))^0.976,0)+IFERROR(S13_PSP_Species_Support!BB33*0.0673*(S13_PSP_Species_Support!BC33*(S13_PSP_Species_Support!BD33*(1-EXP(-S13_PSP_Species_Support!BE33*4))^S13_PSP_Species_Support!BF33)^2*(S13_PSP_Species_Support!BG33*(1-EXP(-S13_PSP_Species_Support!BH33*4))^S13_PSP_Species_Support!BI33))^0.976,0)+IFERROR(S13_PSP_Species_Support!BM33*0.0673*(S13_PSP_Species_Support!BN33*(S13_PSP_Species_Support!BO33*(1-EXP(-S13_PSP_Species_Support!BP33*4))^S13_PSP_Species_Support!BQ33)^2*(S13_PSP_Species_Support!BR33*(1-EXP(-S13_PSP_Species_Support!BS33*4))^S13_PSP_Species_Support!BT33))^0.976,0)+IFERROR(S13_PSP_Species_Support!BX33*0.0673*(S13_PSP_Species_Support!BY33*(S13_PSP_Species_Support!BZ33*(1-EXP(-S13_PSP_Species_Support!CA33*4))^S13_PSP_Species_Support!CB33)^2*(S13_PSP_Species_Support!CC33*(1-EXP(-S13_PSP_Species_Support!CD33*4))^S13_PSP_Species_Support!CE33))^0.976,0)+IFERROR(S13_PSP_Species_Support!CI33*0.0673*(S13_PSP_Species_Support!CJ33*(S13_PSP_Species_Support!CK33*(1-EXP(-S13_PSP_Species_Support!CL33*4))^S13_PSP_Species_Support!CM33)^2*(S13_PSP_Species_Support!CN33*(1-EXP(-S13_PSP_Species_Support!CO33*4))^S13_PSP_Species_Support!CP33))^0.976,0)+IFERROR(S13_PSP_Species_Support!CT33*0.0673*(S13_PSP_Species_Support!CU33*(S13_PSP_Species_Support!CV33*(1-EXP(-S13_PSP_Species_Support!CW33*4))^S13_PSP_Species_Support!CX33)^2*(S13_PSP_Species_Support!CY33*(1-EXP(-S13_PSP_Species_Support!CZ33*4))^S13_PSP_Species_Support!DA33))^0.976,0))/1000/$G46*M$108,0)</x:f>
        <x:v>6.226653741490617</x:v>
      </x:c>
      <x:c r="N46" s="147" t="n">
        <x:f aca="0">IFERROR((IFERROR(S13_PSP_Species_Support!U33*0.0673*(S13_PSP_Species_Support!V33*(S13_PSP_Species_Support!W33*(1-EXP(-S13_PSP_Species_Support!X33*5))^S13_PSP_Species_Support!Y33)^2*(S13_PSP_Species_Support!Z33*(1-EXP(-S13_PSP_Species_Support!AA33*5))^S13_PSP_Species_Support!AB33))^0.976,0)+IFERROR(S13_PSP_Species_Support!AF33*0.0673*(S13_PSP_Species_Support!AG33*(S13_PSP_Species_Support!AH33*(1-EXP(-S13_PSP_Species_Support!AI33*5))^S13_PSP_Species_Support!AJ33)^2*(S13_PSP_Species_Support!AK33*(1-EXP(-S13_PSP_Species_Support!AL33*5))^S13_PSP_Species_Support!AM33))^0.976,0)+IFERROR(S13_PSP_Species_Support!AQ33*0.0673*(S13_PSP_Species_Support!AR33*(S13_PSP_Species_Support!AS33*(1-EXP(-S13_PSP_Species_Support!AT33*5))^S13_PSP_Species_Support!AU33)^2*(S13_PSP_Species_Support!AV33*(1-EXP(-S13_PSP_Species_Support!AW33*5))^S13_PSP_Species_Support!AX33))^0.976,0)+IFERROR(S13_PSP_Species_Support!BB33*0.0673*(S13_PSP_Species_Support!BC33*(S13_PSP_Species_Support!BD33*(1-EXP(-S13_PSP_Species_Support!BE33*5))^S13_PSP_Species_Support!BF33)^2*(S13_PSP_Species_Support!BG33*(1-EXP(-S13_PSP_Species_Support!BH33*5))^S13_PSP_Species_Support!BI33))^0.976,0)+IFERROR(S13_PSP_Species_Support!BM33*0.0673*(S13_PSP_Species_Support!BN33*(S13_PSP_Species_Support!BO33*(1-EXP(-S13_PSP_Species_Support!BP33*5))^S13_PSP_Species_Support!BQ33)^2*(S13_PSP_Species_Support!BR33*(1-EXP(-S13_PSP_Species_Support!BS33*5))^S13_PSP_Species_Support!BT33))^0.976,0)+IFERROR(S13_PSP_Species_Support!BX33*0.0673*(S13_PSP_Species_Support!BY33*(S13_PSP_Species_Support!BZ33*(1-EXP(-S13_PSP_Species_Support!CA33*5))^S13_PSP_Species_Support!CB33)^2*(S13_PSP_Species_Support!CC33*(1-EXP(-S13_PSP_Species_Support!CD33*5))^S13_PSP_Species_Support!CE33))^0.976,0)+IFERROR(S13_PSP_Species_Support!CI33*0.0673*(S13_PSP_Species_Support!CJ33*(S13_PSP_Species_Support!CK33*(1-EXP(-S13_PSP_Species_Support!CL33*5))^S13_PSP_Species_Support!CM33)^2*(S13_PSP_Species_Support!CN33*(1-EXP(-S13_PSP_Species_Support!CO33*5))^S13_PSP_Species_Support!CP33))^0.976,0)+IFERROR(S13_PSP_Species_Support!CT33*0.0673*(S13_PSP_Species_Support!CU33*(S13_PSP_Species_Support!CV33*(1-EXP(-S13_PSP_Species_Support!CW33*5))^S13_PSP_Species_Support!CX33)^2*(S13_PSP_Species_Support!CY33*(1-EXP(-S13_PSP_Species_Support!CZ33*5))^S13_PSP_Species_Support!DA33))^0.976,0))/1000/$G46*N$108,0)</x:f>
        <x:v>11.886441985897841</x:v>
      </x:c>
      <x:c r="O46" s="147" t="n">
        <x:f aca="0">IFERROR((IFERROR(S13_PSP_Species_Support!U33*0.0673*(S13_PSP_Species_Support!V33*(S13_PSP_Species_Support!W33*(1-EXP(-S13_PSP_Species_Support!X33*6))^S13_PSP_Species_Support!Y33)^2*(S13_PSP_Species_Support!Z33*(1-EXP(-S13_PSP_Species_Support!AA33*6))^S13_PSP_Species_Support!AB33))^0.976,0)+IFERROR(S13_PSP_Species_Support!AF33*0.0673*(S13_PSP_Species_Support!AG33*(S13_PSP_Species_Support!AH33*(1-EXP(-S13_PSP_Species_Support!AI33*6))^S13_PSP_Species_Support!AJ33)^2*(S13_PSP_Species_Support!AK33*(1-EXP(-S13_PSP_Species_Support!AL33*6))^S13_PSP_Species_Support!AM33))^0.976,0)+IFERROR(S13_PSP_Species_Support!AQ33*0.0673*(S13_PSP_Species_Support!AR33*(S13_PSP_Species_Support!AS33*(1-EXP(-S13_PSP_Species_Support!AT33*6))^S13_PSP_Species_Support!AU33)^2*(S13_PSP_Species_Support!AV33*(1-EXP(-S13_PSP_Species_Support!AW33*6))^S13_PSP_Species_Support!AX33))^0.976,0)+IFERROR(S13_PSP_Species_Support!BB33*0.0673*(S13_PSP_Species_Support!BC33*(S13_PSP_Species_Support!BD33*(1-EXP(-S13_PSP_Species_Support!BE33*6))^S13_PSP_Species_Support!BF33)^2*(S13_PSP_Species_Support!BG33*(1-EXP(-S13_PSP_Species_Support!BH33*6))^S13_PSP_Species_Support!BI33))^0.976,0)+IFERROR(S13_PSP_Species_Support!BM33*0.0673*(S13_PSP_Species_Support!BN33*(S13_PSP_Species_Support!BO33*(1-EXP(-S13_PSP_Species_Support!BP33*6))^S13_PSP_Species_Support!BQ33)^2*(S13_PSP_Species_Support!BR33*(1-EXP(-S13_PSP_Species_Support!BS33*6))^S13_PSP_Species_Support!BT33))^0.976,0)+IFERROR(S13_PSP_Species_Support!BX33*0.0673*(S13_PSP_Species_Support!BY33*(S13_PSP_Species_Support!BZ33*(1-EXP(-S13_PSP_Species_Support!CA33*6))^S13_PSP_Species_Support!CB33)^2*(S13_PSP_Species_Support!CC33*(1-EXP(-S13_PSP_Species_Support!CD33*6))^S13_PSP_Species_Support!CE33))^0.976,0)+IFERROR(S13_PSP_Species_Support!CI33*0.0673*(S13_PSP_Species_Support!CJ33*(S13_PSP_Species_Support!CK33*(1-EXP(-S13_PSP_Species_Support!CL33*6))^S13_PSP_Species_Support!CM33)^2*(S13_PSP_Species_Support!CN33*(1-EXP(-S13_PSP_Species_Support!CO33*6))^S13_PSP_Species_Support!CP33))^0.976,0)+IFERROR(S13_PSP_Species_Support!CT33*0.0673*(S13_PSP_Species_Support!CU33*(S13_PSP_Species_Support!CV33*(1-EXP(-S13_PSP_Species_Support!CW33*6))^S13_PSP_Species_Support!CX33)^2*(S13_PSP_Species_Support!CY33*(1-EXP(-S13_PSP_Species_Support!CZ33*6))^S13_PSP_Species_Support!DA33))^0.976,0))/1000/$G46*O$108,0)</x:f>
        <x:v>19.394918707209293</x:v>
      </x:c>
      <x:c r="P46" s="147" t="n">
        <x:f aca="0">IFERROR((IFERROR(S13_PSP_Species_Support!U33*0.0673*(S13_PSP_Species_Support!V33*(S13_PSP_Species_Support!W33*(1-EXP(-S13_PSP_Species_Support!X33*7))^S13_PSP_Species_Support!Y33)^2*(S13_PSP_Species_Support!Z33*(1-EXP(-S13_PSP_Species_Support!AA33*7))^S13_PSP_Species_Support!AB33))^0.976,0)+IFERROR(S13_PSP_Species_Support!AF33*0.0673*(S13_PSP_Species_Support!AG33*(S13_PSP_Species_Support!AH33*(1-EXP(-S13_PSP_Species_Support!AI33*7))^S13_PSP_Species_Support!AJ33)^2*(S13_PSP_Species_Support!AK33*(1-EXP(-S13_PSP_Species_Support!AL33*7))^S13_PSP_Species_Support!AM33))^0.976,0)+IFERROR(S13_PSP_Species_Support!AQ33*0.0673*(S13_PSP_Species_Support!AR33*(S13_PSP_Species_Support!AS33*(1-EXP(-S13_PSP_Species_Support!AT33*7))^S13_PSP_Species_Support!AU33)^2*(S13_PSP_Species_Support!AV33*(1-EXP(-S13_PSP_Species_Support!AW33*7))^S13_PSP_Species_Support!AX33))^0.976,0)+IFERROR(S13_PSP_Species_Support!BB33*0.0673*(S13_PSP_Species_Support!BC33*(S13_PSP_Species_Support!BD33*(1-EXP(-S13_PSP_Species_Support!BE33*7))^S13_PSP_Species_Support!BF33)^2*(S13_PSP_Species_Support!BG33*(1-EXP(-S13_PSP_Species_Support!BH33*7))^S13_PSP_Species_Support!BI33))^0.976,0)+IFERROR(S13_PSP_Species_Support!BM33*0.0673*(S13_PSP_Species_Support!BN33*(S13_PSP_Species_Support!BO33*(1-EXP(-S13_PSP_Species_Support!BP33*7))^S13_PSP_Species_Support!BQ33)^2*(S13_PSP_Species_Support!BR33*(1-EXP(-S13_PSP_Species_Support!BS33*7))^S13_PSP_Species_Support!BT33))^0.976,0)+IFERROR(S13_PSP_Species_Support!BX33*0.0673*(S13_PSP_Species_Support!BY33*(S13_PSP_Species_Support!BZ33*(1-EXP(-S13_PSP_Species_Support!CA33*7))^S13_PSP_Species_Support!CB33)^2*(S13_PSP_Species_Support!CC33*(1-EXP(-S13_PSP_Species_Support!CD33*7))^S13_PSP_Species_Support!CE33))^0.976,0)+IFERROR(S13_PSP_Species_Support!CI33*0.0673*(S13_PSP_Species_Support!CJ33*(S13_PSP_Species_Support!CK33*(1-EXP(-S13_PSP_Species_Support!CL33*7))^S13_PSP_Species_Support!CM33)^2*(S13_PSP_Species_Support!CN33*(1-EXP(-S13_PSP_Species_Support!CO33*7))^S13_PSP_Species_Support!CP33))^0.976,0)+IFERROR(S13_PSP_Species_Support!CT33*0.0673*(S13_PSP_Species_Support!CU33*(S13_PSP_Species_Support!CV33*(1-EXP(-S13_PSP_Species_Support!CW33*7))^S13_PSP_Species_Support!CX33)^2*(S13_PSP_Species_Support!CY33*(1-EXP(-S13_PSP_Species_Support!CZ33*7))^S13_PSP_Species_Support!DA33))^0.976,0))/1000/$G46*P$108,0)</x:f>
        <x:v>28.452039972473614</x:v>
      </x:c>
      <x:c r="Q46" s="147" t="n">
        <x:f aca="0">IFERROR((IFERROR(S13_PSP_Species_Support!U33*0.0673*(S13_PSP_Species_Support!V33*(S13_PSP_Species_Support!W33*(1-EXP(-S13_PSP_Species_Support!X33*8))^S13_PSP_Species_Support!Y33)^2*(S13_PSP_Species_Support!Z33*(1-EXP(-S13_PSP_Species_Support!AA33*8))^S13_PSP_Species_Support!AB33))^0.976,0)+IFERROR(S13_PSP_Species_Support!AF33*0.0673*(S13_PSP_Species_Support!AG33*(S13_PSP_Species_Support!AH33*(1-EXP(-S13_PSP_Species_Support!AI33*8))^S13_PSP_Species_Support!AJ33)^2*(S13_PSP_Species_Support!AK33*(1-EXP(-S13_PSP_Species_Support!AL33*8))^S13_PSP_Species_Support!AM33))^0.976,0)+IFERROR(S13_PSP_Species_Support!AQ33*0.0673*(S13_PSP_Species_Support!AR33*(S13_PSP_Species_Support!AS33*(1-EXP(-S13_PSP_Species_Support!AT33*8))^S13_PSP_Species_Support!AU33)^2*(S13_PSP_Species_Support!AV33*(1-EXP(-S13_PSP_Species_Support!AW33*8))^S13_PSP_Species_Support!AX33))^0.976,0)+IFERROR(S13_PSP_Species_Support!BB33*0.0673*(S13_PSP_Species_Support!BC33*(S13_PSP_Species_Support!BD33*(1-EXP(-S13_PSP_Species_Support!BE33*8))^S13_PSP_Species_Support!BF33)^2*(S13_PSP_Species_Support!BG33*(1-EXP(-S13_PSP_Species_Support!BH33*8))^S13_PSP_Species_Support!BI33))^0.976,0)+IFERROR(S13_PSP_Species_Support!BM33*0.0673*(S13_PSP_Species_Support!BN33*(S13_PSP_Species_Support!BO33*(1-EXP(-S13_PSP_Species_Support!BP33*8))^S13_PSP_Species_Support!BQ33)^2*(S13_PSP_Species_Support!BR33*(1-EXP(-S13_PSP_Species_Support!BS33*8))^S13_PSP_Species_Support!BT33))^0.976,0)+IFERROR(S13_PSP_Species_Support!BX33*0.0673*(S13_PSP_Species_Support!BY33*(S13_PSP_Species_Support!BZ33*(1-EXP(-S13_PSP_Species_Support!CA33*8))^S13_PSP_Species_Support!CB33)^2*(S13_PSP_Species_Support!CC33*(1-EXP(-S13_PSP_Species_Support!CD33*8))^S13_PSP_Species_Support!CE33))^0.976,0)+IFERROR(S13_PSP_Species_Support!CI33*0.0673*(S13_PSP_Species_Support!CJ33*(S13_PSP_Species_Support!CK33*(1-EXP(-S13_PSP_Species_Support!CL33*8))^S13_PSP_Species_Support!CM33)^2*(S13_PSP_Species_Support!CN33*(1-EXP(-S13_PSP_Species_Support!CO33*8))^S13_PSP_Species_Support!CP33))^0.976,0)+IFERROR(S13_PSP_Species_Support!CT33*0.0673*(S13_PSP_Species_Support!CU33*(S13_PSP_Species_Support!CV33*(1-EXP(-S13_PSP_Species_Support!CW33*8))^S13_PSP_Species_Support!CX33)^2*(S13_PSP_Species_Support!CY33*(1-EXP(-S13_PSP_Species_Support!CZ33*8))^S13_PSP_Species_Support!DA33))^0.976,0))/1000/$G46*Q$108,0)</x:f>
        <x:v>38.67330624693061</x:v>
      </x:c>
      <x:c r="R46" s="147" t="n">
        <x:f aca="0">IFERROR((IFERROR(S13_PSP_Species_Support!U33*0.0673*(S13_PSP_Species_Support!V33*(S13_PSP_Species_Support!W33*(1-EXP(-S13_PSP_Species_Support!X33*9))^S13_PSP_Species_Support!Y33)^2*(S13_PSP_Species_Support!Z33*(1-EXP(-S13_PSP_Species_Support!AA33*9))^S13_PSP_Species_Support!AB33))^0.976,0)+IFERROR(S13_PSP_Species_Support!AF33*0.0673*(S13_PSP_Species_Support!AG33*(S13_PSP_Species_Support!AH33*(1-EXP(-S13_PSP_Species_Support!AI33*9))^S13_PSP_Species_Support!AJ33)^2*(S13_PSP_Species_Support!AK33*(1-EXP(-S13_PSP_Species_Support!AL33*9))^S13_PSP_Species_Support!AM33))^0.976,0)+IFERROR(S13_PSP_Species_Support!AQ33*0.0673*(S13_PSP_Species_Support!AR33*(S13_PSP_Species_Support!AS33*(1-EXP(-S13_PSP_Species_Support!AT33*9))^S13_PSP_Species_Support!AU33)^2*(S13_PSP_Species_Support!AV33*(1-EXP(-S13_PSP_Species_Support!AW33*9))^S13_PSP_Species_Support!AX33))^0.976,0)+IFERROR(S13_PSP_Species_Support!BB33*0.0673*(S13_PSP_Species_Support!BC33*(S13_PSP_Species_Support!BD33*(1-EXP(-S13_PSP_Species_Support!BE33*9))^S13_PSP_Species_Support!BF33)^2*(S13_PSP_Species_Support!BG33*(1-EXP(-S13_PSP_Species_Support!BH33*9))^S13_PSP_Species_Support!BI33))^0.976,0)+IFERROR(S13_PSP_Species_Support!BM33*0.0673*(S13_PSP_Species_Support!BN33*(S13_PSP_Species_Support!BO33*(1-EXP(-S13_PSP_Species_Support!BP33*9))^S13_PSP_Species_Support!BQ33)^2*(S13_PSP_Species_Support!BR33*(1-EXP(-S13_PSP_Species_Support!BS33*9))^S13_PSP_Species_Support!BT33))^0.976,0)+IFERROR(S13_PSP_Species_Support!BX33*0.0673*(S13_PSP_Species_Support!BY33*(S13_PSP_Species_Support!BZ33*(1-EXP(-S13_PSP_Species_Support!CA33*9))^S13_PSP_Species_Support!CB33)^2*(S13_PSP_Species_Support!CC33*(1-EXP(-S13_PSP_Species_Support!CD33*9))^S13_PSP_Species_Support!CE33))^0.976,0)+IFERROR(S13_PSP_Species_Support!CI33*0.0673*(S13_PSP_Species_Support!CJ33*(S13_PSP_Species_Support!CK33*(1-EXP(-S13_PSP_Species_Support!CL33*9))^S13_PSP_Species_Support!CM33)^2*(S13_PSP_Species_Support!CN33*(1-EXP(-S13_PSP_Species_Support!CO33*9))^S13_PSP_Species_Support!CP33))^0.976,0)+IFERROR(S13_PSP_Species_Support!CT33*0.0673*(S13_PSP_Species_Support!CU33*(S13_PSP_Species_Support!CV33*(1-EXP(-S13_PSP_Species_Support!CW33*9))^S13_PSP_Species_Support!CX33)^2*(S13_PSP_Species_Support!CY33*(1-EXP(-S13_PSP_Species_Support!CZ33*9))^S13_PSP_Species_Support!DA33))^0.976,0))/1000/$G46*R$108,0)</x:f>
        <x:v>49.659404112153446</x:v>
      </x:c>
      <x:c r="S46" s="147" t="n">
        <x:f aca="0">IFERROR((IFERROR(S13_PSP_Species_Support!U33*0.0673*(S13_PSP_Species_Support!V33*(S13_PSP_Species_Support!W33*(1-EXP(-S13_PSP_Species_Support!X33*10))^S13_PSP_Species_Support!Y33)^2*(S13_PSP_Species_Support!Z33*(1-EXP(-S13_PSP_Species_Support!AA33*10))^S13_PSP_Species_Support!AB33))^0.976,0)+IFERROR(S13_PSP_Species_Support!AF33*0.0673*(S13_PSP_Species_Support!AG33*(S13_PSP_Species_Support!AH33*(1-EXP(-S13_PSP_Species_Support!AI33*10))^S13_PSP_Species_Support!AJ33)^2*(S13_PSP_Species_Support!AK33*(1-EXP(-S13_PSP_Species_Support!AL33*10))^S13_PSP_Species_Support!AM33))^0.976,0)+IFERROR(S13_PSP_Species_Support!AQ33*0.0673*(S13_PSP_Species_Support!AR33*(S13_PSP_Species_Support!AS33*(1-EXP(-S13_PSP_Species_Support!AT33*10))^S13_PSP_Species_Support!AU33)^2*(S13_PSP_Species_Support!AV33*(1-EXP(-S13_PSP_Species_Support!AW33*10))^S13_PSP_Species_Support!AX33))^0.976,0)+IFERROR(S13_PSP_Species_Support!BB33*0.0673*(S13_PSP_Species_Support!BC33*(S13_PSP_Species_Support!BD33*(1-EXP(-S13_PSP_Species_Support!BE33*10))^S13_PSP_Species_Support!BF33)^2*(S13_PSP_Species_Support!BG33*(1-EXP(-S13_PSP_Species_Support!BH33*10))^S13_PSP_Species_Support!BI33))^0.976,0)+IFERROR(S13_PSP_Species_Support!BM33*0.0673*(S13_PSP_Species_Support!BN33*(S13_PSP_Species_Support!BO33*(1-EXP(-S13_PSP_Species_Support!BP33*10))^S13_PSP_Species_Support!BQ33)^2*(S13_PSP_Species_Support!BR33*(1-EXP(-S13_PSP_Species_Support!BS33*10))^S13_PSP_Species_Support!BT33))^0.976,0)+IFERROR(S13_PSP_Species_Support!BX33*0.0673*(S13_PSP_Species_Support!BY33*(S13_PSP_Species_Support!BZ33*(1-EXP(-S13_PSP_Species_Support!CA33*10))^S13_PSP_Species_Support!CB33)^2*(S13_PSP_Species_Support!CC33*(1-EXP(-S13_PSP_Species_Support!CD33*10))^S13_PSP_Species_Support!CE33))^0.976,0)+IFERROR(S13_PSP_Species_Support!CI33*0.0673*(S13_PSP_Species_Support!CJ33*(S13_PSP_Species_Support!CK33*(1-EXP(-S13_PSP_Species_Support!CL33*10))^S13_PSP_Species_Support!CM33)^2*(S13_PSP_Species_Support!CN33*(1-EXP(-S13_PSP_Species_Support!CO33*10))^S13_PSP_Species_Support!CP33))^0.976,0)+IFERROR(S13_PSP_Species_Support!CT33*0.0673*(S13_PSP_Species_Support!CU33*(S13_PSP_Species_Support!CV33*(1-EXP(-S13_PSP_Species_Support!CW33*10))^S13_PSP_Species_Support!CX33)^2*(S13_PSP_Species_Support!CY33*(1-EXP(-S13_PSP_Species_Support!CZ33*10))^S13_PSP_Species_Support!DA33))^0.976,0))/1000/$G46*S$108,0)</x:f>
        <x:v>61.04000865272948</x:v>
      </x:c>
      <x:c r="T46" s="147" t="n">
        <x:f aca="0">IFERROR((IFERROR(S13_PSP_Species_Support!U33*0.0673*(S13_PSP_Species_Support!V33*(S13_PSP_Species_Support!W33*(1-EXP(-S13_PSP_Species_Support!X33*11))^S13_PSP_Species_Support!Y33)^2*(S13_PSP_Species_Support!Z33*(1-EXP(-S13_PSP_Species_Support!AA33*11))^S13_PSP_Species_Support!AB33))^0.976,0)+IFERROR(S13_PSP_Species_Support!AF33*0.0673*(S13_PSP_Species_Support!AG33*(S13_PSP_Species_Support!AH33*(1-EXP(-S13_PSP_Species_Support!AI33*11))^S13_PSP_Species_Support!AJ33)^2*(S13_PSP_Species_Support!AK33*(1-EXP(-S13_PSP_Species_Support!AL33*11))^S13_PSP_Species_Support!AM33))^0.976,0)+IFERROR(S13_PSP_Species_Support!AQ33*0.0673*(S13_PSP_Species_Support!AR33*(S13_PSP_Species_Support!AS33*(1-EXP(-S13_PSP_Species_Support!AT33*11))^S13_PSP_Species_Support!AU33)^2*(S13_PSP_Species_Support!AV33*(1-EXP(-S13_PSP_Species_Support!AW33*11))^S13_PSP_Species_Support!AX33))^0.976,0)+IFERROR(S13_PSP_Species_Support!BB33*0.0673*(S13_PSP_Species_Support!BC33*(S13_PSP_Species_Support!BD33*(1-EXP(-S13_PSP_Species_Support!BE33*11))^S13_PSP_Species_Support!BF33)^2*(S13_PSP_Species_Support!BG33*(1-EXP(-S13_PSP_Species_Support!BH33*11))^S13_PSP_Species_Support!BI33))^0.976,0)+IFERROR(S13_PSP_Species_Support!BM33*0.0673*(S13_PSP_Species_Support!BN33*(S13_PSP_Species_Support!BO33*(1-EXP(-S13_PSP_Species_Support!BP33*11))^S13_PSP_Species_Support!BQ33)^2*(S13_PSP_Species_Support!BR33*(1-EXP(-S13_PSP_Species_Support!BS33*11))^S13_PSP_Species_Support!BT33))^0.976,0)+IFERROR(S13_PSP_Species_Support!BX33*0.0673*(S13_PSP_Species_Support!BY33*(S13_PSP_Species_Support!BZ33*(1-EXP(-S13_PSP_Species_Support!CA33*11))^S13_PSP_Species_Support!CB33)^2*(S13_PSP_Species_Support!CC33*(1-EXP(-S13_PSP_Species_Support!CD33*11))^S13_PSP_Species_Support!CE33))^0.976,0)+IFERROR(S13_PSP_Species_Support!CI33*0.0673*(S13_PSP_Species_Support!CJ33*(S13_PSP_Species_Support!CK33*(1-EXP(-S13_PSP_Species_Support!CL33*11))^S13_PSP_Species_Support!CM33)^2*(S13_PSP_Species_Support!CN33*(1-EXP(-S13_PSP_Species_Support!CO33*11))^S13_PSP_Species_Support!CP33))^0.976,0)+IFERROR(S13_PSP_Species_Support!CT33*0.0673*(S13_PSP_Species_Support!CU33*(S13_PSP_Species_Support!CV33*(1-EXP(-S13_PSP_Species_Support!CW33*11))^S13_PSP_Species_Support!CX33)^2*(S13_PSP_Species_Support!CY33*(1-EXP(-S13_PSP_Species_Support!CZ33*11))^S13_PSP_Species_Support!DA33))^0.976,0))/1000/$G46*T$108,0)</x:f>
        <x:v>72.49702005325437</x:v>
      </x:c>
      <x:c r="U46" s="147" t="n">
        <x:f aca="0">IFERROR((IFERROR(S13_PSP_Species_Support!U33*0.0673*(S13_PSP_Species_Support!V33*(S13_PSP_Species_Support!W33*(1-EXP(-S13_PSP_Species_Support!X33*12))^S13_PSP_Species_Support!Y33)^2*(S13_PSP_Species_Support!Z33*(1-EXP(-S13_PSP_Species_Support!AA33*12))^S13_PSP_Species_Support!AB33))^0.976,0)+IFERROR(S13_PSP_Species_Support!AF33*0.0673*(S13_PSP_Species_Support!AG33*(S13_PSP_Species_Support!AH33*(1-EXP(-S13_PSP_Species_Support!AI33*12))^S13_PSP_Species_Support!AJ33)^2*(S13_PSP_Species_Support!AK33*(1-EXP(-S13_PSP_Species_Support!AL33*12))^S13_PSP_Species_Support!AM33))^0.976,0)+IFERROR(S13_PSP_Species_Support!AQ33*0.0673*(S13_PSP_Species_Support!AR33*(S13_PSP_Species_Support!AS33*(1-EXP(-S13_PSP_Species_Support!AT33*12))^S13_PSP_Species_Support!AU33)^2*(S13_PSP_Species_Support!AV33*(1-EXP(-S13_PSP_Species_Support!AW33*12))^S13_PSP_Species_Support!AX33))^0.976,0)+IFERROR(S13_PSP_Species_Support!BB33*0.0673*(S13_PSP_Species_Support!BC33*(S13_PSP_Species_Support!BD33*(1-EXP(-S13_PSP_Species_Support!BE33*12))^S13_PSP_Species_Support!BF33)^2*(S13_PSP_Species_Support!BG33*(1-EXP(-S13_PSP_Species_Support!BH33*12))^S13_PSP_Species_Support!BI33))^0.976,0)+IFERROR(S13_PSP_Species_Support!BM33*0.0673*(S13_PSP_Species_Support!BN33*(S13_PSP_Species_Support!BO33*(1-EXP(-S13_PSP_Species_Support!BP33*12))^S13_PSP_Species_Support!BQ33)^2*(S13_PSP_Species_Support!BR33*(1-EXP(-S13_PSP_Species_Support!BS33*12))^S13_PSP_Species_Support!BT33))^0.976,0)+IFERROR(S13_PSP_Species_Support!BX33*0.0673*(S13_PSP_Species_Support!BY33*(S13_PSP_Species_Support!BZ33*(1-EXP(-S13_PSP_Species_Support!CA33*12))^S13_PSP_Species_Support!CB33)^2*(S13_PSP_Species_Support!CC33*(1-EXP(-S13_PSP_Species_Support!CD33*12))^S13_PSP_Species_Support!CE33))^0.976,0)+IFERROR(S13_PSP_Species_Support!CI33*0.0673*(S13_PSP_Species_Support!CJ33*(S13_PSP_Species_Support!CK33*(1-EXP(-S13_PSP_Species_Support!CL33*12))^S13_PSP_Species_Support!CM33)^2*(S13_PSP_Species_Support!CN33*(1-EXP(-S13_PSP_Species_Support!CO33*12))^S13_PSP_Species_Support!CP33))^0.976,0)+IFERROR(S13_PSP_Species_Support!CT33*0.0673*(S13_PSP_Species_Support!CU33*(S13_PSP_Species_Support!CV33*(1-EXP(-S13_PSP_Species_Support!CW33*12))^S13_PSP_Species_Support!CX33)^2*(S13_PSP_Species_Support!CY33*(1-EXP(-S13_PSP_Species_Support!CZ33*12))^S13_PSP_Species_Support!DA33))^0.976,0))/1000/$G46*U$108,0)</x:f>
        <x:v>83.77338278121321</x:v>
      </x:c>
      <x:c r="V46" s="147" t="n">
        <x:f aca="0">IFERROR((IFERROR(S13_PSP_Species_Support!U33*0.0673*(S13_PSP_Species_Support!V33*(S13_PSP_Species_Support!W33*(1-EXP(-S13_PSP_Species_Support!X33*13))^S13_PSP_Species_Support!Y33)^2*(S13_PSP_Species_Support!Z33*(1-EXP(-S13_PSP_Species_Support!AA33*13))^S13_PSP_Species_Support!AB33))^0.976,0)+IFERROR(S13_PSP_Species_Support!AF33*0.0673*(S13_PSP_Species_Support!AG33*(S13_PSP_Species_Support!AH33*(1-EXP(-S13_PSP_Species_Support!AI33*13))^S13_PSP_Species_Support!AJ33)^2*(S13_PSP_Species_Support!AK33*(1-EXP(-S13_PSP_Species_Support!AL33*13))^S13_PSP_Species_Support!AM33))^0.976,0)+IFERROR(S13_PSP_Species_Support!AQ33*0.0673*(S13_PSP_Species_Support!AR33*(S13_PSP_Species_Support!AS33*(1-EXP(-S13_PSP_Species_Support!AT33*13))^S13_PSP_Species_Support!AU33)^2*(S13_PSP_Species_Support!AV33*(1-EXP(-S13_PSP_Species_Support!AW33*13))^S13_PSP_Species_Support!AX33))^0.976,0)+IFERROR(S13_PSP_Species_Support!BB33*0.0673*(S13_PSP_Species_Support!BC33*(S13_PSP_Species_Support!BD33*(1-EXP(-S13_PSP_Species_Support!BE33*13))^S13_PSP_Species_Support!BF33)^2*(S13_PSP_Species_Support!BG33*(1-EXP(-S13_PSP_Species_Support!BH33*13))^S13_PSP_Species_Support!BI33))^0.976,0)+IFERROR(S13_PSP_Species_Support!BM33*0.0673*(S13_PSP_Species_Support!BN33*(S13_PSP_Species_Support!BO33*(1-EXP(-S13_PSP_Species_Support!BP33*13))^S13_PSP_Species_Support!BQ33)^2*(S13_PSP_Species_Support!BR33*(1-EXP(-S13_PSP_Species_Support!BS33*13))^S13_PSP_Species_Support!BT33))^0.976,0)+IFERROR(S13_PSP_Species_Support!BX33*0.0673*(S13_PSP_Species_Support!BY33*(S13_PSP_Species_Support!BZ33*(1-EXP(-S13_PSP_Species_Support!CA33*13))^S13_PSP_Species_Support!CB33)^2*(S13_PSP_Species_Support!CC33*(1-EXP(-S13_PSP_Species_Support!CD33*13))^S13_PSP_Species_Support!CE33))^0.976,0)+IFERROR(S13_PSP_Species_Support!CI33*0.0673*(S13_PSP_Species_Support!CJ33*(S13_PSP_Species_Support!CK33*(1-EXP(-S13_PSP_Species_Support!CL33*13))^S13_PSP_Species_Support!CM33)^2*(S13_PSP_Species_Support!CN33*(1-EXP(-S13_PSP_Species_Support!CO33*13))^S13_PSP_Species_Support!CP33))^0.976,0)+IFERROR(S13_PSP_Species_Support!CT33*0.0673*(S13_PSP_Species_Support!CU33*(S13_PSP_Species_Support!CV33*(1-EXP(-S13_PSP_Species_Support!CW33*13))^S13_PSP_Species_Support!CX33)^2*(S13_PSP_Species_Support!CY33*(1-EXP(-S13_PSP_Species_Support!CZ33*13))^S13_PSP_Species_Support!DA33))^0.976,0))/1000/$G46*V$108,0)</x:f>
        <x:v>94.6727769373112</x:v>
      </x:c>
      <x:c r="W46" s="147" t="n">
        <x:f aca="0">IFERROR((IFERROR(S13_PSP_Species_Support!U33*0.0673*(S13_PSP_Species_Support!V33*(S13_PSP_Species_Support!W33*(1-EXP(-S13_PSP_Species_Support!X33*14))^S13_PSP_Species_Support!Y33)^2*(S13_PSP_Species_Support!Z33*(1-EXP(-S13_PSP_Species_Support!AA33*14))^S13_PSP_Species_Support!AB33))^0.976,0)+IFERROR(S13_PSP_Species_Support!AF33*0.0673*(S13_PSP_Species_Support!AG33*(S13_PSP_Species_Support!AH33*(1-EXP(-S13_PSP_Species_Support!AI33*14))^S13_PSP_Species_Support!AJ33)^2*(S13_PSP_Species_Support!AK33*(1-EXP(-S13_PSP_Species_Support!AL33*14))^S13_PSP_Species_Support!AM33))^0.976,0)+IFERROR(S13_PSP_Species_Support!AQ33*0.0673*(S13_PSP_Species_Support!AR33*(S13_PSP_Species_Support!AS33*(1-EXP(-S13_PSP_Species_Support!AT33*14))^S13_PSP_Species_Support!AU33)^2*(S13_PSP_Species_Support!AV33*(1-EXP(-S13_PSP_Species_Support!AW33*14))^S13_PSP_Species_Support!AX33))^0.976,0)+IFERROR(S13_PSP_Species_Support!BB33*0.0673*(S13_PSP_Species_Support!BC33*(S13_PSP_Species_Support!BD33*(1-EXP(-S13_PSP_Species_Support!BE33*14))^S13_PSP_Species_Support!BF33)^2*(S13_PSP_Species_Support!BG33*(1-EXP(-S13_PSP_Species_Support!BH33*14))^S13_PSP_Species_Support!BI33))^0.976,0)+IFERROR(S13_PSP_Species_Support!BM33*0.0673*(S13_PSP_Species_Support!BN33*(S13_PSP_Species_Support!BO33*(1-EXP(-S13_PSP_Species_Support!BP33*14))^S13_PSP_Species_Support!BQ33)^2*(S13_PSP_Species_Support!BR33*(1-EXP(-S13_PSP_Species_Support!BS33*14))^S13_PSP_Species_Support!BT33))^0.976,0)+IFERROR(S13_PSP_Species_Support!BX33*0.0673*(S13_PSP_Species_Support!BY33*(S13_PSP_Species_Support!BZ33*(1-EXP(-S13_PSP_Species_Support!CA33*14))^S13_PSP_Species_Support!CB33)^2*(S13_PSP_Species_Support!CC33*(1-EXP(-S13_PSP_Species_Support!CD33*14))^S13_PSP_Species_Support!CE33))^0.976,0)+IFERROR(S13_PSP_Species_Support!CI33*0.0673*(S13_PSP_Species_Support!CJ33*(S13_PSP_Species_Support!CK33*(1-EXP(-S13_PSP_Species_Support!CL33*14))^S13_PSP_Species_Support!CM33)^2*(S13_PSP_Species_Support!CN33*(1-EXP(-S13_PSP_Species_Support!CO33*14))^S13_PSP_Species_Support!CP33))^0.976,0)+IFERROR(S13_PSP_Species_Support!CT33*0.0673*(S13_PSP_Species_Support!CU33*(S13_PSP_Species_Support!CV33*(1-EXP(-S13_PSP_Species_Support!CW33*14))^S13_PSP_Species_Support!CX33)^2*(S13_PSP_Species_Support!CY33*(1-EXP(-S13_PSP_Species_Support!CZ33*14))^S13_PSP_Species_Support!DA33))^0.976,0))/1000/$G46*W$108,0)</x:f>
        <x:v>105.05415615568484</x:v>
      </x:c>
      <x:c r="X46" s="147" t="n">
        <x:f aca="0">IFERROR((IFERROR(S13_PSP_Species_Support!U33*0.0673*(S13_PSP_Species_Support!V33*(S13_PSP_Species_Support!W33*(1-EXP(-S13_PSP_Species_Support!X33*15))^S13_PSP_Species_Support!Y33)^2*(S13_PSP_Species_Support!Z33*(1-EXP(-S13_PSP_Species_Support!AA33*15))^S13_PSP_Species_Support!AB33))^0.976,0)+IFERROR(S13_PSP_Species_Support!AF33*0.0673*(S13_PSP_Species_Support!AG33*(S13_PSP_Species_Support!AH33*(1-EXP(-S13_PSP_Species_Support!AI33*15))^S13_PSP_Species_Support!AJ33)^2*(S13_PSP_Species_Support!AK33*(1-EXP(-S13_PSP_Species_Support!AL33*15))^S13_PSP_Species_Support!AM33))^0.976,0)+IFERROR(S13_PSP_Species_Support!AQ33*0.0673*(S13_PSP_Species_Support!AR33*(S13_PSP_Species_Support!AS33*(1-EXP(-S13_PSP_Species_Support!AT33*15))^S13_PSP_Species_Support!AU33)^2*(S13_PSP_Species_Support!AV33*(1-EXP(-S13_PSP_Species_Support!AW33*15))^S13_PSP_Species_Support!AX33))^0.976,0)+IFERROR(S13_PSP_Species_Support!BB33*0.0673*(S13_PSP_Species_Support!BC33*(S13_PSP_Species_Support!BD33*(1-EXP(-S13_PSP_Species_Support!BE33*15))^S13_PSP_Species_Support!BF33)^2*(S13_PSP_Species_Support!BG33*(1-EXP(-S13_PSP_Species_Support!BH33*15))^S13_PSP_Species_Support!BI33))^0.976,0)+IFERROR(S13_PSP_Species_Support!BM33*0.0673*(S13_PSP_Species_Support!BN33*(S13_PSP_Species_Support!BO33*(1-EXP(-S13_PSP_Species_Support!BP33*15))^S13_PSP_Species_Support!BQ33)^2*(S13_PSP_Species_Support!BR33*(1-EXP(-S13_PSP_Species_Support!BS33*15))^S13_PSP_Species_Support!BT33))^0.976,0)+IFERROR(S13_PSP_Species_Support!BX33*0.0673*(S13_PSP_Species_Support!BY33*(S13_PSP_Species_Support!BZ33*(1-EXP(-S13_PSP_Species_Support!CA33*15))^S13_PSP_Species_Support!CB33)^2*(S13_PSP_Species_Support!CC33*(1-EXP(-S13_PSP_Species_Support!CD33*15))^S13_PSP_Species_Support!CE33))^0.976,0)+IFERROR(S13_PSP_Species_Support!CI33*0.0673*(S13_PSP_Species_Support!CJ33*(S13_PSP_Species_Support!CK33*(1-EXP(-S13_PSP_Species_Support!CL33*15))^S13_PSP_Species_Support!CM33)^2*(S13_PSP_Species_Support!CN33*(1-EXP(-S13_PSP_Species_Support!CO33*15))^S13_PSP_Species_Support!CP33))^0.976,0)+IFERROR(S13_PSP_Species_Support!CT33*0.0673*(S13_PSP_Species_Support!CU33*(S13_PSP_Species_Support!CV33*(1-EXP(-S13_PSP_Species_Support!CW33*15))^S13_PSP_Species_Support!CX33)^2*(S13_PSP_Species_Support!CY33*(1-EXP(-S13_PSP_Species_Support!CZ33*15))^S13_PSP_Species_Support!DA33))^0.976,0))/1000/$G46*X$108,0)</x:f>
        <x:v>114.82386549049568</x:v>
      </x:c>
      <x:c r="Y46" s="147" t="n">
        <x:f aca="0">IFERROR((IFERROR(S13_PSP_Species_Support!U33*0.0673*(S13_PSP_Species_Support!V33*(S13_PSP_Species_Support!W33*(1-EXP(-S13_PSP_Species_Support!X33*16))^S13_PSP_Species_Support!Y33)^2*(S13_PSP_Species_Support!Z33*(1-EXP(-S13_PSP_Species_Support!AA33*16))^S13_PSP_Species_Support!AB33))^0.976,0)+IFERROR(S13_PSP_Species_Support!AF33*0.0673*(S13_PSP_Species_Support!AG33*(S13_PSP_Species_Support!AH33*(1-EXP(-S13_PSP_Species_Support!AI33*16))^S13_PSP_Species_Support!AJ33)^2*(S13_PSP_Species_Support!AK33*(1-EXP(-S13_PSP_Species_Support!AL33*16))^S13_PSP_Species_Support!AM33))^0.976,0)+IFERROR(S13_PSP_Species_Support!AQ33*0.0673*(S13_PSP_Species_Support!AR33*(S13_PSP_Species_Support!AS33*(1-EXP(-S13_PSP_Species_Support!AT33*16))^S13_PSP_Species_Support!AU33)^2*(S13_PSP_Species_Support!AV33*(1-EXP(-S13_PSP_Species_Support!AW33*16))^S13_PSP_Species_Support!AX33))^0.976,0)+IFERROR(S13_PSP_Species_Support!BB33*0.0673*(S13_PSP_Species_Support!BC33*(S13_PSP_Species_Support!BD33*(1-EXP(-S13_PSP_Species_Support!BE33*16))^S13_PSP_Species_Support!BF33)^2*(S13_PSP_Species_Support!BG33*(1-EXP(-S13_PSP_Species_Support!BH33*16))^S13_PSP_Species_Support!BI33))^0.976,0)+IFERROR(S13_PSP_Species_Support!BM33*0.0673*(S13_PSP_Species_Support!BN33*(S13_PSP_Species_Support!BO33*(1-EXP(-S13_PSP_Species_Support!BP33*16))^S13_PSP_Species_Support!BQ33)^2*(S13_PSP_Species_Support!BR33*(1-EXP(-S13_PSP_Species_Support!BS33*16))^S13_PSP_Species_Support!BT33))^0.976,0)+IFERROR(S13_PSP_Species_Support!BX33*0.0673*(S13_PSP_Species_Support!BY33*(S13_PSP_Species_Support!BZ33*(1-EXP(-S13_PSP_Species_Support!CA33*16))^S13_PSP_Species_Support!CB33)^2*(S13_PSP_Species_Support!CC33*(1-EXP(-S13_PSP_Species_Support!CD33*16))^S13_PSP_Species_Support!CE33))^0.976,0)+IFERROR(S13_PSP_Species_Support!CI33*0.0673*(S13_PSP_Species_Support!CJ33*(S13_PSP_Species_Support!CK33*(1-EXP(-S13_PSP_Species_Support!CL33*16))^S13_PSP_Species_Support!CM33)^2*(S13_PSP_Species_Support!CN33*(1-EXP(-S13_PSP_Species_Support!CO33*16))^S13_PSP_Species_Support!CP33))^0.976,0)+IFERROR(S13_PSP_Species_Support!CT33*0.0673*(S13_PSP_Species_Support!CU33*(S13_PSP_Species_Support!CV33*(1-EXP(-S13_PSP_Species_Support!CW33*16))^S13_PSP_Species_Support!CX33)^2*(S13_PSP_Species_Support!CY33*(1-EXP(-S13_PSP_Species_Support!CZ33*16))^S13_PSP_Species_Support!DA33))^0.976,0))/1000/$G46*Y$108,0)</x:f>
        <x:v>123.92708194036771</x:v>
      </x:c>
      <x:c r="Z46" s="147" t="n">
        <x:f aca="0">IFERROR((IFERROR(S13_PSP_Species_Support!U33*0.0673*(S13_PSP_Species_Support!V33*(S13_PSP_Species_Support!W33*(1-EXP(-S13_PSP_Species_Support!X33*17))^S13_PSP_Species_Support!Y33)^2*(S13_PSP_Species_Support!Z33*(1-EXP(-S13_PSP_Species_Support!AA33*17))^S13_PSP_Species_Support!AB33))^0.976,0)+IFERROR(S13_PSP_Species_Support!AF33*0.0673*(S13_PSP_Species_Support!AG33*(S13_PSP_Species_Support!AH33*(1-EXP(-S13_PSP_Species_Support!AI33*17))^S13_PSP_Species_Support!AJ33)^2*(S13_PSP_Species_Support!AK33*(1-EXP(-S13_PSP_Species_Support!AL33*17))^S13_PSP_Species_Support!AM33))^0.976,0)+IFERROR(S13_PSP_Species_Support!AQ33*0.0673*(S13_PSP_Species_Support!AR33*(S13_PSP_Species_Support!AS33*(1-EXP(-S13_PSP_Species_Support!AT33*17))^S13_PSP_Species_Support!AU33)^2*(S13_PSP_Species_Support!AV33*(1-EXP(-S13_PSP_Species_Support!AW33*17))^S13_PSP_Species_Support!AX33))^0.976,0)+IFERROR(S13_PSP_Species_Support!BB33*0.0673*(S13_PSP_Species_Support!BC33*(S13_PSP_Species_Support!BD33*(1-EXP(-S13_PSP_Species_Support!BE33*17))^S13_PSP_Species_Support!BF33)^2*(S13_PSP_Species_Support!BG33*(1-EXP(-S13_PSP_Species_Support!BH33*17))^S13_PSP_Species_Support!BI33))^0.976,0)+IFERROR(S13_PSP_Species_Support!BM33*0.0673*(S13_PSP_Species_Support!BN33*(S13_PSP_Species_Support!BO33*(1-EXP(-S13_PSP_Species_Support!BP33*17))^S13_PSP_Species_Support!BQ33)^2*(S13_PSP_Species_Support!BR33*(1-EXP(-S13_PSP_Species_Support!BS33*17))^S13_PSP_Species_Support!BT33))^0.976,0)+IFERROR(S13_PSP_Species_Support!BX33*0.0673*(S13_PSP_Species_Support!BY33*(S13_PSP_Species_Support!BZ33*(1-EXP(-S13_PSP_Species_Support!CA33*17))^S13_PSP_Species_Support!CB33)^2*(S13_PSP_Species_Support!CC33*(1-EXP(-S13_PSP_Species_Support!CD33*17))^S13_PSP_Species_Support!CE33))^0.976,0)+IFERROR(S13_PSP_Species_Support!CI33*0.0673*(S13_PSP_Species_Support!CJ33*(S13_PSP_Species_Support!CK33*(1-EXP(-S13_PSP_Species_Support!CL33*17))^S13_PSP_Species_Support!CM33)^2*(S13_PSP_Species_Support!CN33*(1-EXP(-S13_PSP_Species_Support!CO33*17))^S13_PSP_Species_Support!CP33))^0.976,0)+IFERROR(S13_PSP_Species_Support!CT33*0.0673*(S13_PSP_Species_Support!CU33*(S13_PSP_Species_Support!CV33*(1-EXP(-S13_PSP_Species_Support!CW33*17))^S13_PSP_Species_Support!CX33)^2*(S13_PSP_Species_Support!CY33*(1-EXP(-S13_PSP_Species_Support!CZ33*17))^S13_PSP_Species_Support!DA33))^0.976,0))/1000/$G46*Z$108,0)</x:f>
        <x:v>132.33959934918434</x:v>
      </x:c>
      <x:c r="AA46" s="147" t="n">
        <x:f aca="0">IFERROR((IFERROR(S13_PSP_Species_Support!U33*0.0673*(S13_PSP_Species_Support!V33*(S13_PSP_Species_Support!W33*(1-EXP(-S13_PSP_Species_Support!X33*18))^S13_PSP_Species_Support!Y33)^2*(S13_PSP_Species_Support!Z33*(1-EXP(-S13_PSP_Species_Support!AA33*18))^S13_PSP_Species_Support!AB33))^0.976,0)+IFERROR(S13_PSP_Species_Support!AF33*0.0673*(S13_PSP_Species_Support!AG33*(S13_PSP_Species_Support!AH33*(1-EXP(-S13_PSP_Species_Support!AI33*18))^S13_PSP_Species_Support!AJ33)^2*(S13_PSP_Species_Support!AK33*(1-EXP(-S13_PSP_Species_Support!AL33*18))^S13_PSP_Species_Support!AM33))^0.976,0)+IFERROR(S13_PSP_Species_Support!AQ33*0.0673*(S13_PSP_Species_Support!AR33*(S13_PSP_Species_Support!AS33*(1-EXP(-S13_PSP_Species_Support!AT33*18))^S13_PSP_Species_Support!AU33)^2*(S13_PSP_Species_Support!AV33*(1-EXP(-S13_PSP_Species_Support!AW33*18))^S13_PSP_Species_Support!AX33))^0.976,0)+IFERROR(S13_PSP_Species_Support!BB33*0.0673*(S13_PSP_Species_Support!BC33*(S13_PSP_Species_Support!BD33*(1-EXP(-S13_PSP_Species_Support!BE33*18))^S13_PSP_Species_Support!BF33)^2*(S13_PSP_Species_Support!BG33*(1-EXP(-S13_PSP_Species_Support!BH33*18))^S13_PSP_Species_Support!BI33))^0.976,0)+IFERROR(S13_PSP_Species_Support!BM33*0.0673*(S13_PSP_Species_Support!BN33*(S13_PSP_Species_Support!BO33*(1-EXP(-S13_PSP_Species_Support!BP33*18))^S13_PSP_Species_Support!BQ33)^2*(S13_PSP_Species_Support!BR33*(1-EXP(-S13_PSP_Species_Support!BS33*18))^S13_PSP_Species_Support!BT33))^0.976,0)+IFERROR(S13_PSP_Species_Support!BX33*0.0673*(S13_PSP_Species_Support!BY33*(S13_PSP_Species_Support!BZ33*(1-EXP(-S13_PSP_Species_Support!CA33*18))^S13_PSP_Species_Support!CB33)^2*(S13_PSP_Species_Support!CC33*(1-EXP(-S13_PSP_Species_Support!CD33*18))^S13_PSP_Species_Support!CE33))^0.976,0)+IFERROR(S13_PSP_Species_Support!CI33*0.0673*(S13_PSP_Species_Support!CJ33*(S13_PSP_Species_Support!CK33*(1-EXP(-S13_PSP_Species_Support!CL33*18))^S13_PSP_Species_Support!CM33)^2*(S13_PSP_Species_Support!CN33*(1-EXP(-S13_PSP_Species_Support!CO33*18))^S13_PSP_Species_Support!CP33))^0.976,0)+IFERROR(S13_PSP_Species_Support!CT33*0.0673*(S13_PSP_Species_Support!CU33*(S13_PSP_Species_Support!CV33*(1-EXP(-S13_PSP_Species_Support!CW33*18))^S13_PSP_Species_Support!CX33)^2*(S13_PSP_Species_Support!CY33*(1-EXP(-S13_PSP_Species_Support!CZ33*18))^S13_PSP_Species_Support!DA33))^0.976,0))/1000/$G46*AA$108,0)</x:f>
        <x:v>140.06048879046503</x:v>
      </x:c>
      <x:c r="AB46" s="147" t="n">
        <x:f aca="0">IFERROR((IFERROR(S13_PSP_Species_Support!U33*0.0673*(S13_PSP_Species_Support!V33*(S13_PSP_Species_Support!W33*(1-EXP(-S13_PSP_Species_Support!X33*19))^S13_PSP_Species_Support!Y33)^2*(S13_PSP_Species_Support!Z33*(1-EXP(-S13_PSP_Species_Support!AA33*19))^S13_PSP_Species_Support!AB33))^0.976,0)+IFERROR(S13_PSP_Species_Support!AF33*0.0673*(S13_PSP_Species_Support!AG33*(S13_PSP_Species_Support!AH33*(1-EXP(-S13_PSP_Species_Support!AI33*19))^S13_PSP_Species_Support!AJ33)^2*(S13_PSP_Species_Support!AK33*(1-EXP(-S13_PSP_Species_Support!AL33*19))^S13_PSP_Species_Support!AM33))^0.976,0)+IFERROR(S13_PSP_Species_Support!AQ33*0.0673*(S13_PSP_Species_Support!AR33*(S13_PSP_Species_Support!AS33*(1-EXP(-S13_PSP_Species_Support!AT33*19))^S13_PSP_Species_Support!AU33)^2*(S13_PSP_Species_Support!AV33*(1-EXP(-S13_PSP_Species_Support!AW33*19))^S13_PSP_Species_Support!AX33))^0.976,0)+IFERROR(S13_PSP_Species_Support!BB33*0.0673*(S13_PSP_Species_Support!BC33*(S13_PSP_Species_Support!BD33*(1-EXP(-S13_PSP_Species_Support!BE33*19))^S13_PSP_Species_Support!BF33)^2*(S13_PSP_Species_Support!BG33*(1-EXP(-S13_PSP_Species_Support!BH33*19))^S13_PSP_Species_Support!BI33))^0.976,0)+IFERROR(S13_PSP_Species_Support!BM33*0.0673*(S13_PSP_Species_Support!BN33*(S13_PSP_Species_Support!BO33*(1-EXP(-S13_PSP_Species_Support!BP33*19))^S13_PSP_Species_Support!BQ33)^2*(S13_PSP_Species_Support!BR33*(1-EXP(-S13_PSP_Species_Support!BS33*19))^S13_PSP_Species_Support!BT33))^0.976,0)+IFERROR(S13_PSP_Species_Support!BX33*0.0673*(S13_PSP_Species_Support!BY33*(S13_PSP_Species_Support!BZ33*(1-EXP(-S13_PSP_Species_Support!CA33*19))^S13_PSP_Species_Support!CB33)^2*(S13_PSP_Species_Support!CC33*(1-EXP(-S13_PSP_Species_Support!CD33*19))^S13_PSP_Species_Support!CE33))^0.976,0)+IFERROR(S13_PSP_Species_Support!CI33*0.0673*(S13_PSP_Species_Support!CJ33*(S13_PSP_Species_Support!CK33*(1-EXP(-S13_PSP_Species_Support!CL33*19))^S13_PSP_Species_Support!CM33)^2*(S13_PSP_Species_Support!CN33*(1-EXP(-S13_PSP_Species_Support!CO33*19))^S13_PSP_Species_Support!CP33))^0.976,0)+IFERROR(S13_PSP_Species_Support!CT33*0.0673*(S13_PSP_Species_Support!CU33*(S13_PSP_Species_Support!CV33*(1-EXP(-S13_PSP_Species_Support!CW33*19))^S13_PSP_Species_Support!CX33)^2*(S13_PSP_Species_Support!CY33*(1-EXP(-S13_PSP_Species_Support!CZ33*19))^S13_PSP_Species_Support!DA33))^0.976,0))/1000/$G46*AB$108,0)</x:f>
        <x:v>147.10585089387166</x:v>
      </x:c>
      <x:c r="AC46" s="147" t="n">
        <x:f aca="0">IFERROR((IFERROR(S13_PSP_Species_Support!U33*0.0673*(S13_PSP_Species_Support!V33*(S13_PSP_Species_Support!W33*(1-EXP(-S13_PSP_Species_Support!X33*20))^S13_PSP_Species_Support!Y33)^2*(S13_PSP_Species_Support!Z33*(1-EXP(-S13_PSP_Species_Support!AA33*20))^S13_PSP_Species_Support!AB33))^0.976,0)+IFERROR(S13_PSP_Species_Support!AF33*0.0673*(S13_PSP_Species_Support!AG33*(S13_PSP_Species_Support!AH33*(1-EXP(-S13_PSP_Species_Support!AI33*20))^S13_PSP_Species_Support!AJ33)^2*(S13_PSP_Species_Support!AK33*(1-EXP(-S13_PSP_Species_Support!AL33*20))^S13_PSP_Species_Support!AM33))^0.976,0)+IFERROR(S13_PSP_Species_Support!AQ33*0.0673*(S13_PSP_Species_Support!AR33*(S13_PSP_Species_Support!AS33*(1-EXP(-S13_PSP_Species_Support!AT33*20))^S13_PSP_Species_Support!AU33)^2*(S13_PSP_Species_Support!AV33*(1-EXP(-S13_PSP_Species_Support!AW33*20))^S13_PSP_Species_Support!AX33))^0.976,0)+IFERROR(S13_PSP_Species_Support!BB33*0.0673*(S13_PSP_Species_Support!BC33*(S13_PSP_Species_Support!BD33*(1-EXP(-S13_PSP_Species_Support!BE33*20))^S13_PSP_Species_Support!BF33)^2*(S13_PSP_Species_Support!BG33*(1-EXP(-S13_PSP_Species_Support!BH33*20))^S13_PSP_Species_Support!BI33))^0.976,0)+IFERROR(S13_PSP_Species_Support!BM33*0.0673*(S13_PSP_Species_Support!BN33*(S13_PSP_Species_Support!BO33*(1-EXP(-S13_PSP_Species_Support!BP33*20))^S13_PSP_Species_Support!BQ33)^2*(S13_PSP_Species_Support!BR33*(1-EXP(-S13_PSP_Species_Support!BS33*20))^S13_PSP_Species_Support!BT33))^0.976,0)+IFERROR(S13_PSP_Species_Support!BX33*0.0673*(S13_PSP_Species_Support!BY33*(S13_PSP_Species_Support!BZ33*(1-EXP(-S13_PSP_Species_Support!CA33*20))^S13_PSP_Species_Support!CB33)^2*(S13_PSP_Species_Support!CC33*(1-EXP(-S13_PSP_Species_Support!CD33*20))^S13_PSP_Species_Support!CE33))^0.976,0)+IFERROR(S13_PSP_Species_Support!CI33*0.0673*(S13_PSP_Species_Support!CJ33*(S13_PSP_Species_Support!CK33*(1-EXP(-S13_PSP_Species_Support!CL33*20))^S13_PSP_Species_Support!CM33)^2*(S13_PSP_Species_Support!CN33*(1-EXP(-S13_PSP_Species_Support!CO33*20))^S13_PSP_Species_Support!CP33))^0.976,0)+IFERROR(S13_PSP_Species_Support!CT33*0.0673*(S13_PSP_Species_Support!CU33*(S13_PSP_Species_Support!CV33*(1-EXP(-S13_PSP_Species_Support!CW33*20))^S13_PSP_Species_Support!CX33)^2*(S13_PSP_Species_Support!CY33*(1-EXP(-S13_PSP_Species_Support!CZ33*20))^S13_PSP_Species_Support!DA33))^0.976,0))/1000/$G46*AC$108,0)</x:f>
        <x:v>153.5036874027838</x:v>
      </x:c>
      <x:c r="AD46" s="148" t="n">
        <x:f aca="0">IF(2020&lt;$F46,0,INDEX($I46:$AC46,1,2020-$F46+1))</x:f>
        <x:v>0</x:v>
      </x:c>
      <x:c r="AE46" s="148" t="n">
        <x:f aca="0">IF(2021&lt;$F46,0,INDEX($I46:$AC46,1,2021-$F46+1))</x:f>
        <x:v>0</x:v>
      </x:c>
      <x:c r="AF46" s="148" t="n">
        <x:f aca="0">IF(2022&lt;$F46,0,INDEX($I46:$AC46,1,2022-$F46+1))</x:f>
        <x:v>0</x:v>
      </x:c>
      <x:c r="AG46" s="148" t="n">
        <x:f aca="0">IF(2023&lt;$F46,0,INDEX($I46:$AC46,1,2023-$F46+1))</x:f>
        <x:v>0</x:v>
      </x:c>
      <x:c r="AH46" s="148" t="n">
        <x:f aca="0">IF(2024&lt;$F46,0,INDEX($I46:$AC46,1,2024-$F46+1))</x:f>
        <x:v>0</x:v>
      </x:c>
      <x:c r="AI46" s="148" t="n">
        <x:f aca="0">IF(2025&lt;$F46,0,INDEX($I46:$AC46,1,2025-$F46+1))</x:f>
        <x:v>0.05446922184717709</x:v>
      </x:c>
      <x:c r="AJ46" s="148" t="n">
        <x:f aca="0">IF(2026&lt;$F46,0,INDEX($I46:$AC46,1,2026-$F46+1))</x:f>
        <x:v>0.6553539580283798</x:v>
      </x:c>
      <x:c r="AK46" s="148" t="n">
        <x:f aca="0">IF(2027&lt;$F46,0,INDEX($I46:$AC46,1,2027-$F46+1))</x:f>
        <x:v>2.5357730324149226</x:v>
      </x:c>
      <x:c r="AL46" s="148" t="n">
        <x:f aca="0">IF(2028&lt;$F46,0,INDEX($I46:$AC46,1,2028-$F46+1))</x:f>
        <x:v>6.226653741490617</x:v>
      </x:c>
      <x:c r="AM46" s="148" t="n">
        <x:f aca="0">IF(2029&lt;$F46,0,INDEX($I46:$AC46,1,2029-$F46+1))</x:f>
        <x:v>11.886441985897841</x:v>
      </x:c>
      <x:c r="AN46" s="148" t="n">
        <x:f aca="0">IF(2030&lt;$F46,0,INDEX($I46:$AC46,1,2030-$F46+1))</x:f>
        <x:v>19.394918707209293</x:v>
      </x:c>
      <x:c r="AO46" s="148" t="n">
        <x:f aca="0">IF(2031&lt;$F46,0,INDEX($I46:$AC46,1,2031-$F46+1))</x:f>
        <x:v>28.452039972473614</x:v>
      </x:c>
      <x:c r="AP46" s="148" t="n">
        <x:f aca="0">IF(2032&lt;$F46,0,INDEX($I46:$AC46,1,2032-$F46+1))</x:f>
        <x:v>38.67330624693061</x:v>
      </x:c>
      <x:c r="AQ46" s="148" t="n">
        <x:f aca="0">IF(2033&lt;$F46,0,INDEX($I46:$AC46,1,2033-$F46+1))</x:f>
        <x:v>49.659404112153446</x:v>
      </x:c>
      <x:c r="AR46" s="148" t="n">
        <x:f aca="0">IF(2034&lt;$F46,0,INDEX($I46:$AC46,1,2034-$F46+1))</x:f>
        <x:v>61.04000865272948</x:v>
      </x:c>
      <x:c r="AS46" s="148" t="n">
        <x:f aca="0">IF(2035&lt;$F46,0,INDEX($I46:$AC46,1,2035-$F46+1))</x:f>
        <x:v>72.49702005325437</x:v>
      </x:c>
      <x:c r="AT46" s="148" t="n">
        <x:f aca="0">IF(2036&lt;$F46,0,INDEX($I46:$AC46,1,2036-$F46+1))</x:f>
        <x:v>83.77338278121321</x:v>
      </x:c>
      <x:c r="AU46" s="148" t="n">
        <x:f aca="0">IF(2037&lt;$F46,0,INDEX($I46:$AC46,1,2037-$F46+1))</x:f>
        <x:v>94.6727769373112</x:v>
      </x:c>
      <x:c r="AV46" s="148" t="n">
        <x:f aca="0">IF(2038&lt;$F46,0,INDEX($I46:$AC46,1,2038-$F46+1))</x:f>
        <x:v>105.05415615568484</x:v>
      </x:c>
      <x:c r="AW46" s="148" t="n">
        <x:f aca="0">IF(2039&lt;$F46,0,INDEX($I46:$AC46,1,2039-$F46+1))</x:f>
        <x:v>114.82386549049568</x:v>
      </x:c>
      <x:c r="AX46" s="148" t="n">
        <x:f aca="0">IF(2040&lt;$F46,0,INDEX($I46:$AC46,1,2040-$F46+1))</x:f>
        <x:v>123.92708194036771</x:v>
      </x:c>
      <x:c r="AY46" s="1" t="str">
        <x:f aca="0">LEFT($C46,FIND("@",SUBSTITUTE($C46,"|","@",2))-1)</x:f>
        <x:v>Horti-Silviculture|Low</x:v>
      </x:c>
      <x:c r="AZ46" s="1" t="str">
        <x:f aca="0">LEFT($C46,FIND("|",$C46)-1)</x:f>
        <x:v>Horti-Silviculture</x:v>
      </x:c>
      <x:c r="BA46" s="149" t="n">
        <x:f aca="0">I46*I46</x:f>
        <x:v>0</x:v>
      </x:c>
      <x:c r="BB46" s="149" t="n">
        <x:f aca="0">J46*J46</x:f>
        <x:v>0.002966896128636994</x:v>
      </x:c>
      <x:c r="BC46" s="149" t="n">
        <x:f aca="0">K46*K46</x:f>
        <x:v>0.4294888103034634</x:v>
      </x:c>
      <x:c r="BD46" s="149" t="n">
        <x:f aca="0">L46*L46</x:f>
        <x:v>6.430144871922772</x:v>
      </x:c>
      <x:c r="BE46" s="149" t="n">
        <x:f aca="0">M46*M46</x:f>
        <x:v>38.7712168164191</x:v>
      </x:c>
      <x:c r="BF46" s="149" t="n">
        <x:f aca="0">N46*N46</x:f>
        <x:v>141.287503084115</x:v>
      </x:c>
      <x:c r="BG46" s="149" t="n">
        <x:f aca="0">O46*O46</x:f>
        <x:v>376.16287165925695</x:v>
      </x:c>
      <x:c r="BH46" s="149" t="n">
        <x:f aca="0">P46*P46</x:f>
        <x:v>809.5185785952364</x:v>
      </x:c>
      <x:c r="BI46" s="149" t="n">
        <x:f aca="0">Q46*Q46</x:f>
        <x:v>1495.624616068882</x:v>
      </x:c>
      <x:c r="BJ46" s="149" t="n">
        <x:f aca="0">R46*R46</x:f>
        <x:v>2466.0564167741627</x:v>
      </x:c>
      <x:c r="BK46" s="149" t="n">
        <x:f aca="0">S46*S46</x:f>
        <x:v>3725.88265632529</x:v>
      </x:c>
      <x:c r="BL46" s="149" t="n">
        <x:f aca="0">T46*T46</x:f>
        <x:v>5255.817916601967</x:v>
      </x:c>
      <x:c r="BM46" s="149" t="n">
        <x:f aca="0">U46*U46</x:f>
        <x:v>7017.97966260767</x:v>
      </x:c>
      <x:c r="BN46" s="149" t="n">
        <x:f aca="0">V46*V46</x:f>
        <x:v>8962.934693021884</x:v>
      </x:c>
      <x:c r="BO46" s="149" t="n">
        <x:f aca="0">W46*W46</x:f>
        <x:v>11036.375725583015</x:v>
      </x:c>
      <x:c r="BP46" s="149" t="n">
        <x:f aca="0">X46*X46</x:f>
        <x:v>13184.520086179444</x:v>
      </x:c>
      <x:c r="BQ46" s="149" t="n">
        <x:f aca="0">Y46*Y46</x:f>
        <x:v>15357.921638254613</x:v>
      </x:c>
      <x:c r="BR46" s="149" t="n">
        <x:f aca="0">Z46*Z46</x:f>
        <x:v>17513.769555902632</x:v>
      </x:c>
      <x:c r="BS46" s="149" t="n">
        <x:f aca="0">AA46*AA46</x:f>
        <x:v>19616.94052022398</x:v>
      </x:c>
      <x:c r="BT46" s="149" t="n">
        <x:f aca="0">AB46*AB46</x:f>
        <x:v>21640.13136721</x:v>
      </x:c>
      <x:c r="BU46" s="149" t="n">
        <x:f aca="0">AC46*AC46</x:f>
        <x:v>23563.38204625157</x:v>
      </x:c>
    </x:row>
    <x:row r="47" ht="15" hidden="0" customHeight="1">
      <x:c r="A47" s="1" t="str">
        <x:f aca="0">S13_PSP_Species_Support!A34</x:f>
        <x:v>PSP-MA-001</x:v>
      </x:c>
      <x:c r="B47" s="1" t="n">
        <x:f aca="0">34</x:f>
        <x:v>34</x:v>
      </x:c>
      <x:c r="C47" s="1" t="str">
        <x:f aca="0">S13_PSP_Species_Support!I34</x:f>
        <x:v>Mixed Agroforestry|High|2020</x:v>
      </x:c>
      <x:c r="D47" s="1" t="str">
        <x:f aca="0">S13_PSP_Species_Support!C34</x:f>
        <x:v>Mixed Agroforestry Model</x:v>
      </x:c>
      <x:c r="E47" s="1" t="str">
        <x:f aca="0">S13_PSP_Species_Support!D34</x:f>
        <x:v>High</x:v>
      </x:c>
      <x:c r="F47" s="1" t="n">
        <x:f aca="0">S13_PSP_Species_Support!E34</x:f>
        <x:v>2020</x:v>
      </x:c>
      <x:c r="G47" s="645" t="n">
        <x:f aca="0">'S13_PSP_Species_Support'!DJ34</x:f>
        <x:v>0.09</x:v>
      </x:c>
      <x:c r="H47" s="714" t="n">
        <x:f aca="0">'S13_PSP_Species_Support'!DK34</x:f>
        <x:v>250.1751927119832</x:v>
      </x:c>
      <x:c r="I47" s="147" t="n">
        <x:f aca="0">IFERROR((IFERROR(S13_PSP_Species_Support!U34*0.0673*(S13_PSP_Species_Support!V34*(S13_PSP_Species_Support!W34*(1-EXP(-S13_PSP_Species_Support!X34*0))^S13_PSP_Species_Support!Y34)^2*(S13_PSP_Species_Support!Z34*(1-EXP(-S13_PSP_Species_Support!AA34*0))^S13_PSP_Species_Support!AB34))^0.976,0)+IFERROR(S13_PSP_Species_Support!AF34*0.0673*(S13_PSP_Species_Support!AG34*(S13_PSP_Species_Support!AH34*(1-EXP(-S13_PSP_Species_Support!AI34*0))^S13_PSP_Species_Support!AJ34)^2*(S13_PSP_Species_Support!AK34*(1-EXP(-S13_PSP_Species_Support!AL34*0))^S13_PSP_Species_Support!AM34))^0.976,0)+IFERROR(S13_PSP_Species_Support!AQ34*0.0673*(S13_PSP_Species_Support!AR34*(S13_PSP_Species_Support!AS34*(1-EXP(-S13_PSP_Species_Support!AT34*0))^S13_PSP_Species_Support!AU34)^2*(S13_PSP_Species_Support!AV34*(1-EXP(-S13_PSP_Species_Support!AW34*0))^S13_PSP_Species_Support!AX34))^0.976,0)+IFERROR(S13_PSP_Species_Support!BB34*0.0673*(S13_PSP_Species_Support!BC34*(S13_PSP_Species_Support!BD34*(1-EXP(-S13_PSP_Species_Support!BE34*0))^S13_PSP_Species_Support!BF34)^2*(S13_PSP_Species_Support!BG34*(1-EXP(-S13_PSP_Species_Support!BH34*0))^S13_PSP_Species_Support!BI34))^0.976,0)+IFERROR(S13_PSP_Species_Support!BM34*0.0673*(S13_PSP_Species_Support!BN34*(S13_PSP_Species_Support!BO34*(1-EXP(-S13_PSP_Species_Support!BP34*0))^S13_PSP_Species_Support!BQ34)^2*(S13_PSP_Species_Support!BR34*(1-EXP(-S13_PSP_Species_Support!BS34*0))^S13_PSP_Species_Support!BT34))^0.976,0)+IFERROR(S13_PSP_Species_Support!BX34*0.0673*(S13_PSP_Species_Support!BY34*(S13_PSP_Species_Support!BZ34*(1-EXP(-S13_PSP_Species_Support!CA34*0))^S13_PSP_Species_Support!CB34)^2*(S13_PSP_Species_Support!CC34*(1-EXP(-S13_PSP_Species_Support!CD34*0))^S13_PSP_Species_Support!CE34))^0.976,0)+IFERROR(S13_PSP_Species_Support!CI34*0.0673*(S13_PSP_Species_Support!CJ34*(S13_PSP_Species_Support!CK34*(1-EXP(-S13_PSP_Species_Support!CL34*0))^S13_PSP_Species_Support!CM34)^2*(S13_PSP_Species_Support!CN34*(1-EXP(-S13_PSP_Species_Support!CO34*0))^S13_PSP_Species_Support!CP34))^0.976,0)+IFERROR(S13_PSP_Species_Support!CT34*0.0673*(S13_PSP_Species_Support!CU34*(S13_PSP_Species_Support!CV34*(1-EXP(-S13_PSP_Species_Support!CW34*0))^S13_PSP_Species_Support!CX34)^2*(S13_PSP_Species_Support!CY34*(1-EXP(-S13_PSP_Species_Support!CZ34*0))^S13_PSP_Species_Support!DA34))^0.976,0))/1000/$G47*I$108,0)</x:f>
        <x:v>0</x:v>
      </x:c>
      <x:c r="J47" s="147" t="n">
        <x:f aca="0">IFERROR((IFERROR(S13_PSP_Species_Support!U34*0.0673*(S13_PSP_Species_Support!V34*(S13_PSP_Species_Support!W34*(1-EXP(-S13_PSP_Species_Support!X34*1))^S13_PSP_Species_Support!Y34)^2*(S13_PSP_Species_Support!Z34*(1-EXP(-S13_PSP_Species_Support!AA34*1))^S13_PSP_Species_Support!AB34))^0.976,0)+IFERROR(S13_PSP_Species_Support!AF34*0.0673*(S13_PSP_Species_Support!AG34*(S13_PSP_Species_Support!AH34*(1-EXP(-S13_PSP_Species_Support!AI34*1))^S13_PSP_Species_Support!AJ34)^2*(S13_PSP_Species_Support!AK34*(1-EXP(-S13_PSP_Species_Support!AL34*1))^S13_PSP_Species_Support!AM34))^0.976,0)+IFERROR(S13_PSP_Species_Support!AQ34*0.0673*(S13_PSP_Species_Support!AR34*(S13_PSP_Species_Support!AS34*(1-EXP(-S13_PSP_Species_Support!AT34*1))^S13_PSP_Species_Support!AU34)^2*(S13_PSP_Species_Support!AV34*(1-EXP(-S13_PSP_Species_Support!AW34*1))^S13_PSP_Species_Support!AX34))^0.976,0)+IFERROR(S13_PSP_Species_Support!BB34*0.0673*(S13_PSP_Species_Support!BC34*(S13_PSP_Species_Support!BD34*(1-EXP(-S13_PSP_Species_Support!BE34*1))^S13_PSP_Species_Support!BF34)^2*(S13_PSP_Species_Support!BG34*(1-EXP(-S13_PSP_Species_Support!BH34*1))^S13_PSP_Species_Support!BI34))^0.976,0)+IFERROR(S13_PSP_Species_Support!BM34*0.0673*(S13_PSP_Species_Support!BN34*(S13_PSP_Species_Support!BO34*(1-EXP(-S13_PSP_Species_Support!BP34*1))^S13_PSP_Species_Support!BQ34)^2*(S13_PSP_Species_Support!BR34*(1-EXP(-S13_PSP_Species_Support!BS34*1))^S13_PSP_Species_Support!BT34))^0.976,0)+IFERROR(S13_PSP_Species_Support!BX34*0.0673*(S13_PSP_Species_Support!BY34*(S13_PSP_Species_Support!BZ34*(1-EXP(-S13_PSP_Species_Support!CA34*1))^S13_PSP_Species_Support!CB34)^2*(S13_PSP_Species_Support!CC34*(1-EXP(-S13_PSP_Species_Support!CD34*1))^S13_PSP_Species_Support!CE34))^0.976,0)+IFERROR(S13_PSP_Species_Support!CI34*0.0673*(S13_PSP_Species_Support!CJ34*(S13_PSP_Species_Support!CK34*(1-EXP(-S13_PSP_Species_Support!CL34*1))^S13_PSP_Species_Support!CM34)^2*(S13_PSP_Species_Support!CN34*(1-EXP(-S13_PSP_Species_Support!CO34*1))^S13_PSP_Species_Support!CP34))^0.976,0)+IFERROR(S13_PSP_Species_Support!CT34*0.0673*(S13_PSP_Species_Support!CU34*(S13_PSP_Species_Support!CV34*(1-EXP(-S13_PSP_Species_Support!CW34*1))^S13_PSP_Species_Support!CX34)^2*(S13_PSP_Species_Support!CY34*(1-EXP(-S13_PSP_Species_Support!CZ34*1))^S13_PSP_Species_Support!DA34))^0.976,0))/1000/$G47*J$108,0)</x:f>
        <x:v>5.196195303415404</x:v>
      </x:c>
      <x:c r="K47" s="147" t="n">
        <x:f aca="0">IFERROR((IFERROR(S13_PSP_Species_Support!U34*0.0673*(S13_PSP_Species_Support!V34*(S13_PSP_Species_Support!W34*(1-EXP(-S13_PSP_Species_Support!X34*2))^S13_PSP_Species_Support!Y34)^2*(S13_PSP_Species_Support!Z34*(1-EXP(-S13_PSP_Species_Support!AA34*2))^S13_PSP_Species_Support!AB34))^0.976,0)+IFERROR(S13_PSP_Species_Support!AF34*0.0673*(S13_PSP_Species_Support!AG34*(S13_PSP_Species_Support!AH34*(1-EXP(-S13_PSP_Species_Support!AI34*2))^S13_PSP_Species_Support!AJ34)^2*(S13_PSP_Species_Support!AK34*(1-EXP(-S13_PSP_Species_Support!AL34*2))^S13_PSP_Species_Support!AM34))^0.976,0)+IFERROR(S13_PSP_Species_Support!AQ34*0.0673*(S13_PSP_Species_Support!AR34*(S13_PSP_Species_Support!AS34*(1-EXP(-S13_PSP_Species_Support!AT34*2))^S13_PSP_Species_Support!AU34)^2*(S13_PSP_Species_Support!AV34*(1-EXP(-S13_PSP_Species_Support!AW34*2))^S13_PSP_Species_Support!AX34))^0.976,0)+IFERROR(S13_PSP_Species_Support!BB34*0.0673*(S13_PSP_Species_Support!BC34*(S13_PSP_Species_Support!BD34*(1-EXP(-S13_PSP_Species_Support!BE34*2))^S13_PSP_Species_Support!BF34)^2*(S13_PSP_Species_Support!BG34*(1-EXP(-S13_PSP_Species_Support!BH34*2))^S13_PSP_Species_Support!BI34))^0.976,0)+IFERROR(S13_PSP_Species_Support!BM34*0.0673*(S13_PSP_Species_Support!BN34*(S13_PSP_Species_Support!BO34*(1-EXP(-S13_PSP_Species_Support!BP34*2))^S13_PSP_Species_Support!BQ34)^2*(S13_PSP_Species_Support!BR34*(1-EXP(-S13_PSP_Species_Support!BS34*2))^S13_PSP_Species_Support!BT34))^0.976,0)+IFERROR(S13_PSP_Species_Support!BX34*0.0673*(S13_PSP_Species_Support!BY34*(S13_PSP_Species_Support!BZ34*(1-EXP(-S13_PSP_Species_Support!CA34*2))^S13_PSP_Species_Support!CB34)^2*(S13_PSP_Species_Support!CC34*(1-EXP(-S13_PSP_Species_Support!CD34*2))^S13_PSP_Species_Support!CE34))^0.976,0)+IFERROR(S13_PSP_Species_Support!CI34*0.0673*(S13_PSP_Species_Support!CJ34*(S13_PSP_Species_Support!CK34*(1-EXP(-S13_PSP_Species_Support!CL34*2))^S13_PSP_Species_Support!CM34)^2*(S13_PSP_Species_Support!CN34*(1-EXP(-S13_PSP_Species_Support!CO34*2))^S13_PSP_Species_Support!CP34))^0.976,0)+IFERROR(S13_PSP_Species_Support!CT34*0.0673*(S13_PSP_Species_Support!CU34*(S13_PSP_Species_Support!CV34*(1-EXP(-S13_PSP_Species_Support!CW34*2))^S13_PSP_Species_Support!CX34)^2*(S13_PSP_Species_Support!CY34*(1-EXP(-S13_PSP_Species_Support!CZ34*2))^S13_PSP_Species_Support!DA34))^0.976,0))/1000/$G47*K$108,0)</x:f>
        <x:v>49.683330579535635</x:v>
      </x:c>
      <x:c r="L47" s="147" t="n">
        <x:f aca="0">IFERROR((IFERROR(S13_PSP_Species_Support!U34*0.0673*(S13_PSP_Species_Support!V34*(S13_PSP_Species_Support!W34*(1-EXP(-S13_PSP_Species_Support!X34*3))^S13_PSP_Species_Support!Y34)^2*(S13_PSP_Species_Support!Z34*(1-EXP(-S13_PSP_Species_Support!AA34*3))^S13_PSP_Species_Support!AB34))^0.976,0)+IFERROR(S13_PSP_Species_Support!AF34*0.0673*(S13_PSP_Species_Support!AG34*(S13_PSP_Species_Support!AH34*(1-EXP(-S13_PSP_Species_Support!AI34*3))^S13_PSP_Species_Support!AJ34)^2*(S13_PSP_Species_Support!AK34*(1-EXP(-S13_PSP_Species_Support!AL34*3))^S13_PSP_Species_Support!AM34))^0.976,0)+IFERROR(S13_PSP_Species_Support!AQ34*0.0673*(S13_PSP_Species_Support!AR34*(S13_PSP_Species_Support!AS34*(1-EXP(-S13_PSP_Species_Support!AT34*3))^S13_PSP_Species_Support!AU34)^2*(S13_PSP_Species_Support!AV34*(1-EXP(-S13_PSP_Species_Support!AW34*3))^S13_PSP_Species_Support!AX34))^0.976,0)+IFERROR(S13_PSP_Species_Support!BB34*0.0673*(S13_PSP_Species_Support!BC34*(S13_PSP_Species_Support!BD34*(1-EXP(-S13_PSP_Species_Support!BE34*3))^S13_PSP_Species_Support!BF34)^2*(S13_PSP_Species_Support!BG34*(1-EXP(-S13_PSP_Species_Support!BH34*3))^S13_PSP_Species_Support!BI34))^0.976,0)+IFERROR(S13_PSP_Species_Support!BM34*0.0673*(S13_PSP_Species_Support!BN34*(S13_PSP_Species_Support!BO34*(1-EXP(-S13_PSP_Species_Support!BP34*3))^S13_PSP_Species_Support!BQ34)^2*(S13_PSP_Species_Support!BR34*(1-EXP(-S13_PSP_Species_Support!BS34*3))^S13_PSP_Species_Support!BT34))^0.976,0)+IFERROR(S13_PSP_Species_Support!BX34*0.0673*(S13_PSP_Species_Support!BY34*(S13_PSP_Species_Support!BZ34*(1-EXP(-S13_PSP_Species_Support!CA34*3))^S13_PSP_Species_Support!CB34)^2*(S13_PSP_Species_Support!CC34*(1-EXP(-S13_PSP_Species_Support!CD34*3))^S13_PSP_Species_Support!CE34))^0.976,0)+IFERROR(S13_PSP_Species_Support!CI34*0.0673*(S13_PSP_Species_Support!CJ34*(S13_PSP_Species_Support!CK34*(1-EXP(-S13_PSP_Species_Support!CL34*3))^S13_PSP_Species_Support!CM34)^2*(S13_PSP_Species_Support!CN34*(1-EXP(-S13_PSP_Species_Support!CO34*3))^S13_PSP_Species_Support!CP34))^0.976,0)+IFERROR(S13_PSP_Species_Support!CT34*0.0673*(S13_PSP_Species_Support!CU34*(S13_PSP_Species_Support!CV34*(1-EXP(-S13_PSP_Species_Support!CW34*3))^S13_PSP_Species_Support!CX34)^2*(S13_PSP_Species_Support!CY34*(1-EXP(-S13_PSP_Species_Support!CZ34*3))^S13_PSP_Species_Support!DA34))^0.976,0))/1000/$G47*L$108,0)</x:f>
        <x:v>166.09280745282888</x:v>
      </x:c>
      <x:c r="M47" s="147" t="n">
        <x:f aca="0">IFERROR((IFERROR(S13_PSP_Species_Support!U34*0.0673*(S13_PSP_Species_Support!V34*(S13_PSP_Species_Support!W34*(1-EXP(-S13_PSP_Species_Support!X34*4))^S13_PSP_Species_Support!Y34)^2*(S13_PSP_Species_Support!Z34*(1-EXP(-S13_PSP_Species_Support!AA34*4))^S13_PSP_Species_Support!AB34))^0.976,0)+IFERROR(S13_PSP_Species_Support!AF34*0.0673*(S13_PSP_Species_Support!AG34*(S13_PSP_Species_Support!AH34*(1-EXP(-S13_PSP_Species_Support!AI34*4))^S13_PSP_Species_Support!AJ34)^2*(S13_PSP_Species_Support!AK34*(1-EXP(-S13_PSP_Species_Support!AL34*4))^S13_PSP_Species_Support!AM34))^0.976,0)+IFERROR(S13_PSP_Species_Support!AQ34*0.0673*(S13_PSP_Species_Support!AR34*(S13_PSP_Species_Support!AS34*(1-EXP(-S13_PSP_Species_Support!AT34*4))^S13_PSP_Species_Support!AU34)^2*(S13_PSP_Species_Support!AV34*(1-EXP(-S13_PSP_Species_Support!AW34*4))^S13_PSP_Species_Support!AX34))^0.976,0)+IFERROR(S13_PSP_Species_Support!BB34*0.0673*(S13_PSP_Species_Support!BC34*(S13_PSP_Species_Support!BD34*(1-EXP(-S13_PSP_Species_Support!BE34*4))^S13_PSP_Species_Support!BF34)^2*(S13_PSP_Species_Support!BG34*(1-EXP(-S13_PSP_Species_Support!BH34*4))^S13_PSP_Species_Support!BI34))^0.976,0)+IFERROR(S13_PSP_Species_Support!BM34*0.0673*(S13_PSP_Species_Support!BN34*(S13_PSP_Species_Support!BO34*(1-EXP(-S13_PSP_Species_Support!BP34*4))^S13_PSP_Species_Support!BQ34)^2*(S13_PSP_Species_Support!BR34*(1-EXP(-S13_PSP_Species_Support!BS34*4))^S13_PSP_Species_Support!BT34))^0.976,0)+IFERROR(S13_PSP_Species_Support!BX34*0.0673*(S13_PSP_Species_Support!BY34*(S13_PSP_Species_Support!BZ34*(1-EXP(-S13_PSP_Species_Support!CA34*4))^S13_PSP_Species_Support!CB34)^2*(S13_PSP_Species_Support!CC34*(1-EXP(-S13_PSP_Species_Support!CD34*4))^S13_PSP_Species_Support!CE34))^0.976,0)+IFERROR(S13_PSP_Species_Support!CI34*0.0673*(S13_PSP_Species_Support!CJ34*(S13_PSP_Species_Support!CK34*(1-EXP(-S13_PSP_Species_Support!CL34*4))^S13_PSP_Species_Support!CM34)^2*(S13_PSP_Species_Support!CN34*(1-EXP(-S13_PSP_Species_Support!CO34*4))^S13_PSP_Species_Support!CP34))^0.976,0)+IFERROR(S13_PSP_Species_Support!CT34*0.0673*(S13_PSP_Species_Support!CU34*(S13_PSP_Species_Support!CV34*(1-EXP(-S13_PSP_Species_Support!CW34*4))^S13_PSP_Species_Support!CX34)^2*(S13_PSP_Species_Support!CY34*(1-EXP(-S13_PSP_Species_Support!CZ34*4))^S13_PSP_Species_Support!DA34))^0.976,0))/1000/$G47*M$108,0)</x:f>
        <x:v>365.1335810752275</x:v>
      </x:c>
      <x:c r="N47" s="147" t="n">
        <x:f aca="0">IFERROR((IFERROR(S13_PSP_Species_Support!U34*0.0673*(S13_PSP_Species_Support!V34*(S13_PSP_Species_Support!W34*(1-EXP(-S13_PSP_Species_Support!X34*5))^S13_PSP_Species_Support!Y34)^2*(S13_PSP_Species_Support!Z34*(1-EXP(-S13_PSP_Species_Support!AA34*5))^S13_PSP_Species_Support!AB34))^0.976,0)+IFERROR(S13_PSP_Species_Support!AF34*0.0673*(S13_PSP_Species_Support!AG34*(S13_PSP_Species_Support!AH34*(1-EXP(-S13_PSP_Species_Support!AI34*5))^S13_PSP_Species_Support!AJ34)^2*(S13_PSP_Species_Support!AK34*(1-EXP(-S13_PSP_Species_Support!AL34*5))^S13_PSP_Species_Support!AM34))^0.976,0)+IFERROR(S13_PSP_Species_Support!AQ34*0.0673*(S13_PSP_Species_Support!AR34*(S13_PSP_Species_Support!AS34*(1-EXP(-S13_PSP_Species_Support!AT34*5))^S13_PSP_Species_Support!AU34)^2*(S13_PSP_Species_Support!AV34*(1-EXP(-S13_PSP_Species_Support!AW34*5))^S13_PSP_Species_Support!AX34))^0.976,0)+IFERROR(S13_PSP_Species_Support!BB34*0.0673*(S13_PSP_Species_Support!BC34*(S13_PSP_Species_Support!BD34*(1-EXP(-S13_PSP_Species_Support!BE34*5))^S13_PSP_Species_Support!BF34)^2*(S13_PSP_Species_Support!BG34*(1-EXP(-S13_PSP_Species_Support!BH34*5))^S13_PSP_Species_Support!BI34))^0.976,0)+IFERROR(S13_PSP_Species_Support!BM34*0.0673*(S13_PSP_Species_Support!BN34*(S13_PSP_Species_Support!BO34*(1-EXP(-S13_PSP_Species_Support!BP34*5))^S13_PSP_Species_Support!BQ34)^2*(S13_PSP_Species_Support!BR34*(1-EXP(-S13_PSP_Species_Support!BS34*5))^S13_PSP_Species_Support!BT34))^0.976,0)+IFERROR(S13_PSP_Species_Support!BX34*0.0673*(S13_PSP_Species_Support!BY34*(S13_PSP_Species_Support!BZ34*(1-EXP(-S13_PSP_Species_Support!CA34*5))^S13_PSP_Species_Support!CB34)^2*(S13_PSP_Species_Support!CC34*(1-EXP(-S13_PSP_Species_Support!CD34*5))^S13_PSP_Species_Support!CE34))^0.976,0)+IFERROR(S13_PSP_Species_Support!CI34*0.0673*(S13_PSP_Species_Support!CJ34*(S13_PSP_Species_Support!CK34*(1-EXP(-S13_PSP_Species_Support!CL34*5))^S13_PSP_Species_Support!CM34)^2*(S13_PSP_Species_Support!CN34*(1-EXP(-S13_PSP_Species_Support!CO34*5))^S13_PSP_Species_Support!CP34))^0.976,0)+IFERROR(S13_PSP_Species_Support!CT34*0.0673*(S13_PSP_Species_Support!CU34*(S13_PSP_Species_Support!CV34*(1-EXP(-S13_PSP_Species_Support!CW34*5))^S13_PSP_Species_Support!CX34)^2*(S13_PSP_Species_Support!CY34*(1-EXP(-S13_PSP_Species_Support!CZ34*5))^S13_PSP_Species_Support!DA34))^0.976,0))/1000/$G47*N$108,0)</x:f>
        <x:v>636.975944821302</x:v>
      </x:c>
      <x:c r="O47" s="147" t="n">
        <x:f aca="0">IFERROR((IFERROR(S13_PSP_Species_Support!U34*0.0673*(S13_PSP_Species_Support!V34*(S13_PSP_Species_Support!W34*(1-EXP(-S13_PSP_Species_Support!X34*6))^S13_PSP_Species_Support!Y34)^2*(S13_PSP_Species_Support!Z34*(1-EXP(-S13_PSP_Species_Support!AA34*6))^S13_PSP_Species_Support!AB34))^0.976,0)+IFERROR(S13_PSP_Species_Support!AF34*0.0673*(S13_PSP_Species_Support!AG34*(S13_PSP_Species_Support!AH34*(1-EXP(-S13_PSP_Species_Support!AI34*6))^S13_PSP_Species_Support!AJ34)^2*(S13_PSP_Species_Support!AK34*(1-EXP(-S13_PSP_Species_Support!AL34*6))^S13_PSP_Species_Support!AM34))^0.976,0)+IFERROR(S13_PSP_Species_Support!AQ34*0.0673*(S13_PSP_Species_Support!AR34*(S13_PSP_Species_Support!AS34*(1-EXP(-S13_PSP_Species_Support!AT34*6))^S13_PSP_Species_Support!AU34)^2*(S13_PSP_Species_Support!AV34*(1-EXP(-S13_PSP_Species_Support!AW34*6))^S13_PSP_Species_Support!AX34))^0.976,0)+IFERROR(S13_PSP_Species_Support!BB34*0.0673*(S13_PSP_Species_Support!BC34*(S13_PSP_Species_Support!BD34*(1-EXP(-S13_PSP_Species_Support!BE34*6))^S13_PSP_Species_Support!BF34)^2*(S13_PSP_Species_Support!BG34*(1-EXP(-S13_PSP_Species_Support!BH34*6))^S13_PSP_Species_Support!BI34))^0.976,0)+IFERROR(S13_PSP_Species_Support!BM34*0.0673*(S13_PSP_Species_Support!BN34*(S13_PSP_Species_Support!BO34*(1-EXP(-S13_PSP_Species_Support!BP34*6))^S13_PSP_Species_Support!BQ34)^2*(S13_PSP_Species_Support!BR34*(1-EXP(-S13_PSP_Species_Support!BS34*6))^S13_PSP_Species_Support!BT34))^0.976,0)+IFERROR(S13_PSP_Species_Support!BX34*0.0673*(S13_PSP_Species_Support!BY34*(S13_PSP_Species_Support!BZ34*(1-EXP(-S13_PSP_Species_Support!CA34*6))^S13_PSP_Species_Support!CB34)^2*(S13_PSP_Species_Support!CC34*(1-EXP(-S13_PSP_Species_Support!CD34*6))^S13_PSP_Species_Support!CE34))^0.976,0)+IFERROR(S13_PSP_Species_Support!CI34*0.0673*(S13_PSP_Species_Support!CJ34*(S13_PSP_Species_Support!CK34*(1-EXP(-S13_PSP_Species_Support!CL34*6))^S13_PSP_Species_Support!CM34)^2*(S13_PSP_Species_Support!CN34*(1-EXP(-S13_PSP_Species_Support!CO34*6))^S13_PSP_Species_Support!CP34))^0.976,0)+IFERROR(S13_PSP_Species_Support!CT34*0.0673*(S13_PSP_Species_Support!CU34*(S13_PSP_Species_Support!CV34*(1-EXP(-S13_PSP_Species_Support!CW34*6))^S13_PSP_Species_Support!CX34)^2*(S13_PSP_Species_Support!CY34*(1-EXP(-S13_PSP_Species_Support!CZ34*6))^S13_PSP_Species_Support!DA34))^0.976,0))/1000/$G47*O$108,0)</x:f>
        <x:v>963.0007554701642</x:v>
      </x:c>
      <x:c r="P47" s="147" t="n">
        <x:f aca="0">IFERROR((IFERROR(S13_PSP_Species_Support!U34*0.0673*(S13_PSP_Species_Support!V34*(S13_PSP_Species_Support!W34*(1-EXP(-S13_PSP_Species_Support!X34*7))^S13_PSP_Species_Support!Y34)^2*(S13_PSP_Species_Support!Z34*(1-EXP(-S13_PSP_Species_Support!AA34*7))^S13_PSP_Species_Support!AB34))^0.976,0)+IFERROR(S13_PSP_Species_Support!AF34*0.0673*(S13_PSP_Species_Support!AG34*(S13_PSP_Species_Support!AH34*(1-EXP(-S13_PSP_Species_Support!AI34*7))^S13_PSP_Species_Support!AJ34)^2*(S13_PSP_Species_Support!AK34*(1-EXP(-S13_PSP_Species_Support!AL34*7))^S13_PSP_Species_Support!AM34))^0.976,0)+IFERROR(S13_PSP_Species_Support!AQ34*0.0673*(S13_PSP_Species_Support!AR34*(S13_PSP_Species_Support!AS34*(1-EXP(-S13_PSP_Species_Support!AT34*7))^S13_PSP_Species_Support!AU34)^2*(S13_PSP_Species_Support!AV34*(1-EXP(-S13_PSP_Species_Support!AW34*7))^S13_PSP_Species_Support!AX34))^0.976,0)+IFERROR(S13_PSP_Species_Support!BB34*0.0673*(S13_PSP_Species_Support!BC34*(S13_PSP_Species_Support!BD34*(1-EXP(-S13_PSP_Species_Support!BE34*7))^S13_PSP_Species_Support!BF34)^2*(S13_PSP_Species_Support!BG34*(1-EXP(-S13_PSP_Species_Support!BH34*7))^S13_PSP_Species_Support!BI34))^0.976,0)+IFERROR(S13_PSP_Species_Support!BM34*0.0673*(S13_PSP_Species_Support!BN34*(S13_PSP_Species_Support!BO34*(1-EXP(-S13_PSP_Species_Support!BP34*7))^S13_PSP_Species_Support!BQ34)^2*(S13_PSP_Species_Support!BR34*(1-EXP(-S13_PSP_Species_Support!BS34*7))^S13_PSP_Species_Support!BT34))^0.976,0)+IFERROR(S13_PSP_Species_Support!BX34*0.0673*(S13_PSP_Species_Support!BY34*(S13_PSP_Species_Support!BZ34*(1-EXP(-S13_PSP_Species_Support!CA34*7))^S13_PSP_Species_Support!CB34)^2*(S13_PSP_Species_Support!CC34*(1-EXP(-S13_PSP_Species_Support!CD34*7))^S13_PSP_Species_Support!CE34))^0.976,0)+IFERROR(S13_PSP_Species_Support!CI34*0.0673*(S13_PSP_Species_Support!CJ34*(S13_PSP_Species_Support!CK34*(1-EXP(-S13_PSP_Species_Support!CL34*7))^S13_PSP_Species_Support!CM34)^2*(S13_PSP_Species_Support!CN34*(1-EXP(-S13_PSP_Species_Support!CO34*7))^S13_PSP_Species_Support!CP34))^0.976,0)+IFERROR(S13_PSP_Species_Support!CT34*0.0673*(S13_PSP_Species_Support!CU34*(S13_PSP_Species_Support!CV34*(1-EXP(-S13_PSP_Species_Support!CW34*7))^S13_PSP_Species_Support!CX34)^2*(S13_PSP_Species_Support!CY34*(1-EXP(-S13_PSP_Species_Support!CZ34*7))^S13_PSP_Species_Support!DA34))^0.976,0))/1000/$G47*P$108,0)</x:f>
        <x:v>1322.3194356283743</x:v>
      </x:c>
      <x:c r="Q47" s="147" t="n">
        <x:f aca="0">IFERROR((IFERROR(S13_PSP_Species_Support!U34*0.0673*(S13_PSP_Species_Support!V34*(S13_PSP_Species_Support!W34*(1-EXP(-S13_PSP_Species_Support!X34*8))^S13_PSP_Species_Support!Y34)^2*(S13_PSP_Species_Support!Z34*(1-EXP(-S13_PSP_Species_Support!AA34*8))^S13_PSP_Species_Support!AB34))^0.976,0)+IFERROR(S13_PSP_Species_Support!AF34*0.0673*(S13_PSP_Species_Support!AG34*(S13_PSP_Species_Support!AH34*(1-EXP(-S13_PSP_Species_Support!AI34*8))^S13_PSP_Species_Support!AJ34)^2*(S13_PSP_Species_Support!AK34*(1-EXP(-S13_PSP_Species_Support!AL34*8))^S13_PSP_Species_Support!AM34))^0.976,0)+IFERROR(S13_PSP_Species_Support!AQ34*0.0673*(S13_PSP_Species_Support!AR34*(S13_PSP_Species_Support!AS34*(1-EXP(-S13_PSP_Species_Support!AT34*8))^S13_PSP_Species_Support!AU34)^2*(S13_PSP_Species_Support!AV34*(1-EXP(-S13_PSP_Species_Support!AW34*8))^S13_PSP_Species_Support!AX34))^0.976,0)+IFERROR(S13_PSP_Species_Support!BB34*0.0673*(S13_PSP_Species_Support!BC34*(S13_PSP_Species_Support!BD34*(1-EXP(-S13_PSP_Species_Support!BE34*8))^S13_PSP_Species_Support!BF34)^2*(S13_PSP_Species_Support!BG34*(1-EXP(-S13_PSP_Species_Support!BH34*8))^S13_PSP_Species_Support!BI34))^0.976,0)+IFERROR(S13_PSP_Species_Support!BM34*0.0673*(S13_PSP_Species_Support!BN34*(S13_PSP_Species_Support!BO34*(1-EXP(-S13_PSP_Species_Support!BP34*8))^S13_PSP_Species_Support!BQ34)^2*(S13_PSP_Species_Support!BR34*(1-EXP(-S13_PSP_Species_Support!BS34*8))^S13_PSP_Species_Support!BT34))^0.976,0)+IFERROR(S13_PSP_Species_Support!BX34*0.0673*(S13_PSP_Species_Support!BY34*(S13_PSP_Species_Support!BZ34*(1-EXP(-S13_PSP_Species_Support!CA34*8))^S13_PSP_Species_Support!CB34)^2*(S13_PSP_Species_Support!CC34*(1-EXP(-S13_PSP_Species_Support!CD34*8))^S13_PSP_Species_Support!CE34))^0.976,0)+IFERROR(S13_PSP_Species_Support!CI34*0.0673*(S13_PSP_Species_Support!CJ34*(S13_PSP_Species_Support!CK34*(1-EXP(-S13_PSP_Species_Support!CL34*8))^S13_PSP_Species_Support!CM34)^2*(S13_PSP_Species_Support!CN34*(1-EXP(-S13_PSP_Species_Support!CO34*8))^S13_PSP_Species_Support!CP34))^0.976,0)+IFERROR(S13_PSP_Species_Support!CT34*0.0673*(S13_PSP_Species_Support!CU34*(S13_PSP_Species_Support!CV34*(1-EXP(-S13_PSP_Species_Support!CW34*8))^S13_PSP_Species_Support!CX34)^2*(S13_PSP_Species_Support!CY34*(1-EXP(-S13_PSP_Species_Support!CZ34*8))^S13_PSP_Species_Support!DA34))^0.976,0))/1000/$G47*Q$108,0)</x:f>
        <x:v>1695.810557851834</x:v>
      </x:c>
      <x:c r="R47" s="147" t="n">
        <x:f aca="0">IFERROR((IFERROR(S13_PSP_Species_Support!U34*0.0673*(S13_PSP_Species_Support!V34*(S13_PSP_Species_Support!W34*(1-EXP(-S13_PSP_Species_Support!X34*9))^S13_PSP_Species_Support!Y34)^2*(S13_PSP_Species_Support!Z34*(1-EXP(-S13_PSP_Species_Support!AA34*9))^S13_PSP_Species_Support!AB34))^0.976,0)+IFERROR(S13_PSP_Species_Support!AF34*0.0673*(S13_PSP_Species_Support!AG34*(S13_PSP_Species_Support!AH34*(1-EXP(-S13_PSP_Species_Support!AI34*9))^S13_PSP_Species_Support!AJ34)^2*(S13_PSP_Species_Support!AK34*(1-EXP(-S13_PSP_Species_Support!AL34*9))^S13_PSP_Species_Support!AM34))^0.976,0)+IFERROR(S13_PSP_Species_Support!AQ34*0.0673*(S13_PSP_Species_Support!AR34*(S13_PSP_Species_Support!AS34*(1-EXP(-S13_PSP_Species_Support!AT34*9))^S13_PSP_Species_Support!AU34)^2*(S13_PSP_Species_Support!AV34*(1-EXP(-S13_PSP_Species_Support!AW34*9))^S13_PSP_Species_Support!AX34))^0.976,0)+IFERROR(S13_PSP_Species_Support!BB34*0.0673*(S13_PSP_Species_Support!BC34*(S13_PSP_Species_Support!BD34*(1-EXP(-S13_PSP_Species_Support!BE34*9))^S13_PSP_Species_Support!BF34)^2*(S13_PSP_Species_Support!BG34*(1-EXP(-S13_PSP_Species_Support!BH34*9))^S13_PSP_Species_Support!BI34))^0.976,0)+IFERROR(S13_PSP_Species_Support!BM34*0.0673*(S13_PSP_Species_Support!BN34*(S13_PSP_Species_Support!BO34*(1-EXP(-S13_PSP_Species_Support!BP34*9))^S13_PSP_Species_Support!BQ34)^2*(S13_PSP_Species_Support!BR34*(1-EXP(-S13_PSP_Species_Support!BS34*9))^S13_PSP_Species_Support!BT34))^0.976,0)+IFERROR(S13_PSP_Species_Support!BX34*0.0673*(S13_PSP_Species_Support!BY34*(S13_PSP_Species_Support!BZ34*(1-EXP(-S13_PSP_Species_Support!CA34*9))^S13_PSP_Species_Support!CB34)^2*(S13_PSP_Species_Support!CC34*(1-EXP(-S13_PSP_Species_Support!CD34*9))^S13_PSP_Species_Support!CE34))^0.976,0)+IFERROR(S13_PSP_Species_Support!CI34*0.0673*(S13_PSP_Species_Support!CJ34*(S13_PSP_Species_Support!CK34*(1-EXP(-S13_PSP_Species_Support!CL34*9))^S13_PSP_Species_Support!CM34)^2*(S13_PSP_Species_Support!CN34*(1-EXP(-S13_PSP_Species_Support!CO34*9))^S13_PSP_Species_Support!CP34))^0.976,0)+IFERROR(S13_PSP_Species_Support!CT34*0.0673*(S13_PSP_Species_Support!CU34*(S13_PSP_Species_Support!CV34*(1-EXP(-S13_PSP_Species_Support!CW34*9))^S13_PSP_Species_Support!CX34)^2*(S13_PSP_Species_Support!CY34*(1-EXP(-S13_PSP_Species_Support!CZ34*9))^S13_PSP_Species_Support!DA34))^0.976,0))/1000/$G47*R$108,0)</x:f>
        <x:v>2067.926972455941</x:v>
      </x:c>
      <x:c r="S47" s="147" t="n">
        <x:f aca="0">IFERROR((IFERROR(S13_PSP_Species_Support!U34*0.0673*(S13_PSP_Species_Support!V34*(S13_PSP_Species_Support!W34*(1-EXP(-S13_PSP_Species_Support!X34*10))^S13_PSP_Species_Support!Y34)^2*(S13_PSP_Species_Support!Z34*(1-EXP(-S13_PSP_Species_Support!AA34*10))^S13_PSP_Species_Support!AB34))^0.976,0)+IFERROR(S13_PSP_Species_Support!AF34*0.0673*(S13_PSP_Species_Support!AG34*(S13_PSP_Species_Support!AH34*(1-EXP(-S13_PSP_Species_Support!AI34*10))^S13_PSP_Species_Support!AJ34)^2*(S13_PSP_Species_Support!AK34*(1-EXP(-S13_PSP_Species_Support!AL34*10))^S13_PSP_Species_Support!AM34))^0.976,0)+IFERROR(S13_PSP_Species_Support!AQ34*0.0673*(S13_PSP_Species_Support!AR34*(S13_PSP_Species_Support!AS34*(1-EXP(-S13_PSP_Species_Support!AT34*10))^S13_PSP_Species_Support!AU34)^2*(S13_PSP_Species_Support!AV34*(1-EXP(-S13_PSP_Species_Support!AW34*10))^S13_PSP_Species_Support!AX34))^0.976,0)+IFERROR(S13_PSP_Species_Support!BB34*0.0673*(S13_PSP_Species_Support!BC34*(S13_PSP_Species_Support!BD34*(1-EXP(-S13_PSP_Species_Support!BE34*10))^S13_PSP_Species_Support!BF34)^2*(S13_PSP_Species_Support!BG34*(1-EXP(-S13_PSP_Species_Support!BH34*10))^S13_PSP_Species_Support!BI34))^0.976,0)+IFERROR(S13_PSP_Species_Support!BM34*0.0673*(S13_PSP_Species_Support!BN34*(S13_PSP_Species_Support!BO34*(1-EXP(-S13_PSP_Species_Support!BP34*10))^S13_PSP_Species_Support!BQ34)^2*(S13_PSP_Species_Support!BR34*(1-EXP(-S13_PSP_Species_Support!BS34*10))^S13_PSP_Species_Support!BT34))^0.976,0)+IFERROR(S13_PSP_Species_Support!BX34*0.0673*(S13_PSP_Species_Support!BY34*(S13_PSP_Species_Support!BZ34*(1-EXP(-S13_PSP_Species_Support!CA34*10))^S13_PSP_Species_Support!CB34)^2*(S13_PSP_Species_Support!CC34*(1-EXP(-S13_PSP_Species_Support!CD34*10))^S13_PSP_Species_Support!CE34))^0.976,0)+IFERROR(S13_PSP_Species_Support!CI34*0.0673*(S13_PSP_Species_Support!CJ34*(S13_PSP_Species_Support!CK34*(1-EXP(-S13_PSP_Species_Support!CL34*10))^S13_PSP_Species_Support!CM34)^2*(S13_PSP_Species_Support!CN34*(1-EXP(-S13_PSP_Species_Support!CO34*10))^S13_PSP_Species_Support!CP34))^0.976,0)+IFERROR(S13_PSP_Species_Support!CT34*0.0673*(S13_PSP_Species_Support!CU34*(S13_PSP_Species_Support!CV34*(1-EXP(-S13_PSP_Species_Support!CW34*10))^S13_PSP_Species_Support!CX34)^2*(S13_PSP_Species_Support!CY34*(1-EXP(-S13_PSP_Species_Support!CZ34*10))^S13_PSP_Species_Support!DA34))^0.976,0))/1000/$G47*S$108,0)</x:f>
        <x:v>2427.1266023744847</x:v>
      </x:c>
      <x:c r="T47" s="147" t="n">
        <x:f aca="0">IFERROR((IFERROR(S13_PSP_Species_Support!U34*0.0673*(S13_PSP_Species_Support!V34*(S13_PSP_Species_Support!W34*(1-EXP(-S13_PSP_Species_Support!X34*11))^S13_PSP_Species_Support!Y34)^2*(S13_PSP_Species_Support!Z34*(1-EXP(-S13_PSP_Species_Support!AA34*11))^S13_PSP_Species_Support!AB34))^0.976,0)+IFERROR(S13_PSP_Species_Support!AF34*0.0673*(S13_PSP_Species_Support!AG34*(S13_PSP_Species_Support!AH34*(1-EXP(-S13_PSP_Species_Support!AI34*11))^S13_PSP_Species_Support!AJ34)^2*(S13_PSP_Species_Support!AK34*(1-EXP(-S13_PSP_Species_Support!AL34*11))^S13_PSP_Species_Support!AM34))^0.976,0)+IFERROR(S13_PSP_Species_Support!AQ34*0.0673*(S13_PSP_Species_Support!AR34*(S13_PSP_Species_Support!AS34*(1-EXP(-S13_PSP_Species_Support!AT34*11))^S13_PSP_Species_Support!AU34)^2*(S13_PSP_Species_Support!AV34*(1-EXP(-S13_PSP_Species_Support!AW34*11))^S13_PSP_Species_Support!AX34))^0.976,0)+IFERROR(S13_PSP_Species_Support!BB34*0.0673*(S13_PSP_Species_Support!BC34*(S13_PSP_Species_Support!BD34*(1-EXP(-S13_PSP_Species_Support!BE34*11))^S13_PSP_Species_Support!BF34)^2*(S13_PSP_Species_Support!BG34*(1-EXP(-S13_PSP_Species_Support!BH34*11))^S13_PSP_Species_Support!BI34))^0.976,0)+IFERROR(S13_PSP_Species_Support!BM34*0.0673*(S13_PSP_Species_Support!BN34*(S13_PSP_Species_Support!BO34*(1-EXP(-S13_PSP_Species_Support!BP34*11))^S13_PSP_Species_Support!BQ34)^2*(S13_PSP_Species_Support!BR34*(1-EXP(-S13_PSP_Species_Support!BS34*11))^S13_PSP_Species_Support!BT34))^0.976,0)+IFERROR(S13_PSP_Species_Support!BX34*0.0673*(S13_PSP_Species_Support!BY34*(S13_PSP_Species_Support!BZ34*(1-EXP(-S13_PSP_Species_Support!CA34*11))^S13_PSP_Species_Support!CB34)^2*(S13_PSP_Species_Support!CC34*(1-EXP(-S13_PSP_Species_Support!CD34*11))^S13_PSP_Species_Support!CE34))^0.976,0)+IFERROR(S13_PSP_Species_Support!CI34*0.0673*(S13_PSP_Species_Support!CJ34*(S13_PSP_Species_Support!CK34*(1-EXP(-S13_PSP_Species_Support!CL34*11))^S13_PSP_Species_Support!CM34)^2*(S13_PSP_Species_Support!CN34*(1-EXP(-S13_PSP_Species_Support!CO34*11))^S13_PSP_Species_Support!CP34))^0.976,0)+IFERROR(S13_PSP_Species_Support!CT34*0.0673*(S13_PSP_Species_Support!CU34*(S13_PSP_Species_Support!CV34*(1-EXP(-S13_PSP_Species_Support!CW34*11))^S13_PSP_Species_Support!CX34)^2*(S13_PSP_Species_Support!CY34*(1-EXP(-S13_PSP_Species_Support!CZ34*11))^S13_PSP_Species_Support!DA34))^0.976,0))/1000/$G47*T$108,0)</x:f>
        <x:v>2765.5729140435096</x:v>
      </x:c>
      <x:c r="U47" s="147" t="n">
        <x:f aca="0">IFERROR((IFERROR(S13_PSP_Species_Support!U34*0.0673*(S13_PSP_Species_Support!V34*(S13_PSP_Species_Support!W34*(1-EXP(-S13_PSP_Species_Support!X34*12))^S13_PSP_Species_Support!Y34)^2*(S13_PSP_Species_Support!Z34*(1-EXP(-S13_PSP_Species_Support!AA34*12))^S13_PSP_Species_Support!AB34))^0.976,0)+IFERROR(S13_PSP_Species_Support!AF34*0.0673*(S13_PSP_Species_Support!AG34*(S13_PSP_Species_Support!AH34*(1-EXP(-S13_PSP_Species_Support!AI34*12))^S13_PSP_Species_Support!AJ34)^2*(S13_PSP_Species_Support!AK34*(1-EXP(-S13_PSP_Species_Support!AL34*12))^S13_PSP_Species_Support!AM34))^0.976,0)+IFERROR(S13_PSP_Species_Support!AQ34*0.0673*(S13_PSP_Species_Support!AR34*(S13_PSP_Species_Support!AS34*(1-EXP(-S13_PSP_Species_Support!AT34*12))^S13_PSP_Species_Support!AU34)^2*(S13_PSP_Species_Support!AV34*(1-EXP(-S13_PSP_Species_Support!AW34*12))^S13_PSP_Species_Support!AX34))^0.976,0)+IFERROR(S13_PSP_Species_Support!BB34*0.0673*(S13_PSP_Species_Support!BC34*(S13_PSP_Species_Support!BD34*(1-EXP(-S13_PSP_Species_Support!BE34*12))^S13_PSP_Species_Support!BF34)^2*(S13_PSP_Species_Support!BG34*(1-EXP(-S13_PSP_Species_Support!BH34*12))^S13_PSP_Species_Support!BI34))^0.976,0)+IFERROR(S13_PSP_Species_Support!BM34*0.0673*(S13_PSP_Species_Support!BN34*(S13_PSP_Species_Support!BO34*(1-EXP(-S13_PSP_Species_Support!BP34*12))^S13_PSP_Species_Support!BQ34)^2*(S13_PSP_Species_Support!BR34*(1-EXP(-S13_PSP_Species_Support!BS34*12))^S13_PSP_Species_Support!BT34))^0.976,0)+IFERROR(S13_PSP_Species_Support!BX34*0.0673*(S13_PSP_Species_Support!BY34*(S13_PSP_Species_Support!BZ34*(1-EXP(-S13_PSP_Species_Support!CA34*12))^S13_PSP_Species_Support!CB34)^2*(S13_PSP_Species_Support!CC34*(1-EXP(-S13_PSP_Species_Support!CD34*12))^S13_PSP_Species_Support!CE34))^0.976,0)+IFERROR(S13_PSP_Species_Support!CI34*0.0673*(S13_PSP_Species_Support!CJ34*(S13_PSP_Species_Support!CK34*(1-EXP(-S13_PSP_Species_Support!CL34*12))^S13_PSP_Species_Support!CM34)^2*(S13_PSP_Species_Support!CN34*(1-EXP(-S13_PSP_Species_Support!CO34*12))^S13_PSP_Species_Support!CP34))^0.976,0)+IFERROR(S13_PSP_Species_Support!CT34*0.0673*(S13_PSP_Species_Support!CU34*(S13_PSP_Species_Support!CV34*(1-EXP(-S13_PSP_Species_Support!CW34*12))^S13_PSP_Species_Support!CX34)^2*(S13_PSP_Species_Support!CY34*(1-EXP(-S13_PSP_Species_Support!CZ34*12))^S13_PSP_Species_Support!DA34))^0.976,0))/1000/$G47*U$108,0)</x:f>
        <x:v>3078.521346683609</x:v>
      </x:c>
      <x:c r="V47" s="147" t="n">
        <x:f aca="0">IFERROR((IFERROR(S13_PSP_Species_Support!U34*0.0673*(S13_PSP_Species_Support!V34*(S13_PSP_Species_Support!W34*(1-EXP(-S13_PSP_Species_Support!X34*13))^S13_PSP_Species_Support!Y34)^2*(S13_PSP_Species_Support!Z34*(1-EXP(-S13_PSP_Species_Support!AA34*13))^S13_PSP_Species_Support!AB34))^0.976,0)+IFERROR(S13_PSP_Species_Support!AF34*0.0673*(S13_PSP_Species_Support!AG34*(S13_PSP_Species_Support!AH34*(1-EXP(-S13_PSP_Species_Support!AI34*13))^S13_PSP_Species_Support!AJ34)^2*(S13_PSP_Species_Support!AK34*(1-EXP(-S13_PSP_Species_Support!AL34*13))^S13_PSP_Species_Support!AM34))^0.976,0)+IFERROR(S13_PSP_Species_Support!AQ34*0.0673*(S13_PSP_Species_Support!AR34*(S13_PSP_Species_Support!AS34*(1-EXP(-S13_PSP_Species_Support!AT34*13))^S13_PSP_Species_Support!AU34)^2*(S13_PSP_Species_Support!AV34*(1-EXP(-S13_PSP_Species_Support!AW34*13))^S13_PSP_Species_Support!AX34))^0.976,0)+IFERROR(S13_PSP_Species_Support!BB34*0.0673*(S13_PSP_Species_Support!BC34*(S13_PSP_Species_Support!BD34*(1-EXP(-S13_PSP_Species_Support!BE34*13))^S13_PSP_Species_Support!BF34)^2*(S13_PSP_Species_Support!BG34*(1-EXP(-S13_PSP_Species_Support!BH34*13))^S13_PSP_Species_Support!BI34))^0.976,0)+IFERROR(S13_PSP_Species_Support!BM34*0.0673*(S13_PSP_Species_Support!BN34*(S13_PSP_Species_Support!BO34*(1-EXP(-S13_PSP_Species_Support!BP34*13))^S13_PSP_Species_Support!BQ34)^2*(S13_PSP_Species_Support!BR34*(1-EXP(-S13_PSP_Species_Support!BS34*13))^S13_PSP_Species_Support!BT34))^0.976,0)+IFERROR(S13_PSP_Species_Support!BX34*0.0673*(S13_PSP_Species_Support!BY34*(S13_PSP_Species_Support!BZ34*(1-EXP(-S13_PSP_Species_Support!CA34*13))^S13_PSP_Species_Support!CB34)^2*(S13_PSP_Species_Support!CC34*(1-EXP(-S13_PSP_Species_Support!CD34*13))^S13_PSP_Species_Support!CE34))^0.976,0)+IFERROR(S13_PSP_Species_Support!CI34*0.0673*(S13_PSP_Species_Support!CJ34*(S13_PSP_Species_Support!CK34*(1-EXP(-S13_PSP_Species_Support!CL34*13))^S13_PSP_Species_Support!CM34)^2*(S13_PSP_Species_Support!CN34*(1-EXP(-S13_PSP_Species_Support!CO34*13))^S13_PSP_Species_Support!CP34))^0.976,0)+IFERROR(S13_PSP_Species_Support!CT34*0.0673*(S13_PSP_Species_Support!CU34*(S13_PSP_Species_Support!CV34*(1-EXP(-S13_PSP_Species_Support!CW34*13))^S13_PSP_Species_Support!CX34)^2*(S13_PSP_Species_Support!CY34*(1-EXP(-S13_PSP_Species_Support!CZ34*13))^S13_PSP_Species_Support!DA34))^0.976,0))/1000/$G47*V$108,0)</x:f>
        <x:v>3363.6313784284503</x:v>
      </x:c>
      <x:c r="W47" s="147" t="n">
        <x:f aca="0">IFERROR((IFERROR(S13_PSP_Species_Support!U34*0.0673*(S13_PSP_Species_Support!V34*(S13_PSP_Species_Support!W34*(1-EXP(-S13_PSP_Species_Support!X34*14))^S13_PSP_Species_Support!Y34)^2*(S13_PSP_Species_Support!Z34*(1-EXP(-S13_PSP_Species_Support!AA34*14))^S13_PSP_Species_Support!AB34))^0.976,0)+IFERROR(S13_PSP_Species_Support!AF34*0.0673*(S13_PSP_Species_Support!AG34*(S13_PSP_Species_Support!AH34*(1-EXP(-S13_PSP_Species_Support!AI34*14))^S13_PSP_Species_Support!AJ34)^2*(S13_PSP_Species_Support!AK34*(1-EXP(-S13_PSP_Species_Support!AL34*14))^S13_PSP_Species_Support!AM34))^0.976,0)+IFERROR(S13_PSP_Species_Support!AQ34*0.0673*(S13_PSP_Species_Support!AR34*(S13_PSP_Species_Support!AS34*(1-EXP(-S13_PSP_Species_Support!AT34*14))^S13_PSP_Species_Support!AU34)^2*(S13_PSP_Species_Support!AV34*(1-EXP(-S13_PSP_Species_Support!AW34*14))^S13_PSP_Species_Support!AX34))^0.976,0)+IFERROR(S13_PSP_Species_Support!BB34*0.0673*(S13_PSP_Species_Support!BC34*(S13_PSP_Species_Support!BD34*(1-EXP(-S13_PSP_Species_Support!BE34*14))^S13_PSP_Species_Support!BF34)^2*(S13_PSP_Species_Support!BG34*(1-EXP(-S13_PSP_Species_Support!BH34*14))^S13_PSP_Species_Support!BI34))^0.976,0)+IFERROR(S13_PSP_Species_Support!BM34*0.0673*(S13_PSP_Species_Support!BN34*(S13_PSP_Species_Support!BO34*(1-EXP(-S13_PSP_Species_Support!BP34*14))^S13_PSP_Species_Support!BQ34)^2*(S13_PSP_Species_Support!BR34*(1-EXP(-S13_PSP_Species_Support!BS34*14))^S13_PSP_Species_Support!BT34))^0.976,0)+IFERROR(S13_PSP_Species_Support!BX34*0.0673*(S13_PSP_Species_Support!BY34*(S13_PSP_Species_Support!BZ34*(1-EXP(-S13_PSP_Species_Support!CA34*14))^S13_PSP_Species_Support!CB34)^2*(S13_PSP_Species_Support!CC34*(1-EXP(-S13_PSP_Species_Support!CD34*14))^S13_PSP_Species_Support!CE34))^0.976,0)+IFERROR(S13_PSP_Species_Support!CI34*0.0673*(S13_PSP_Species_Support!CJ34*(S13_PSP_Species_Support!CK34*(1-EXP(-S13_PSP_Species_Support!CL34*14))^S13_PSP_Species_Support!CM34)^2*(S13_PSP_Species_Support!CN34*(1-EXP(-S13_PSP_Species_Support!CO34*14))^S13_PSP_Species_Support!CP34))^0.976,0)+IFERROR(S13_PSP_Species_Support!CT34*0.0673*(S13_PSP_Species_Support!CU34*(S13_PSP_Species_Support!CV34*(1-EXP(-S13_PSP_Species_Support!CW34*14))^S13_PSP_Species_Support!CX34)^2*(S13_PSP_Species_Support!CY34*(1-EXP(-S13_PSP_Species_Support!CZ34*14))^S13_PSP_Species_Support!DA34))^0.976,0))/1000/$G47*W$108,0)</x:f>
        <x:v>3620.3266248046175</x:v>
      </x:c>
      <x:c r="X47" s="147" t="n">
        <x:f aca="0">IFERROR((IFERROR(S13_PSP_Species_Support!U34*0.0673*(S13_PSP_Species_Support!V34*(S13_PSP_Species_Support!W34*(1-EXP(-S13_PSP_Species_Support!X34*15))^S13_PSP_Species_Support!Y34)^2*(S13_PSP_Species_Support!Z34*(1-EXP(-S13_PSP_Species_Support!AA34*15))^S13_PSP_Species_Support!AB34))^0.976,0)+IFERROR(S13_PSP_Species_Support!AF34*0.0673*(S13_PSP_Species_Support!AG34*(S13_PSP_Species_Support!AH34*(1-EXP(-S13_PSP_Species_Support!AI34*15))^S13_PSP_Species_Support!AJ34)^2*(S13_PSP_Species_Support!AK34*(1-EXP(-S13_PSP_Species_Support!AL34*15))^S13_PSP_Species_Support!AM34))^0.976,0)+IFERROR(S13_PSP_Species_Support!AQ34*0.0673*(S13_PSP_Species_Support!AR34*(S13_PSP_Species_Support!AS34*(1-EXP(-S13_PSP_Species_Support!AT34*15))^S13_PSP_Species_Support!AU34)^2*(S13_PSP_Species_Support!AV34*(1-EXP(-S13_PSP_Species_Support!AW34*15))^S13_PSP_Species_Support!AX34))^0.976,0)+IFERROR(S13_PSP_Species_Support!BB34*0.0673*(S13_PSP_Species_Support!BC34*(S13_PSP_Species_Support!BD34*(1-EXP(-S13_PSP_Species_Support!BE34*15))^S13_PSP_Species_Support!BF34)^2*(S13_PSP_Species_Support!BG34*(1-EXP(-S13_PSP_Species_Support!BH34*15))^S13_PSP_Species_Support!BI34))^0.976,0)+IFERROR(S13_PSP_Species_Support!BM34*0.0673*(S13_PSP_Species_Support!BN34*(S13_PSP_Species_Support!BO34*(1-EXP(-S13_PSP_Species_Support!BP34*15))^S13_PSP_Species_Support!BQ34)^2*(S13_PSP_Species_Support!BR34*(1-EXP(-S13_PSP_Species_Support!BS34*15))^S13_PSP_Species_Support!BT34))^0.976,0)+IFERROR(S13_PSP_Species_Support!BX34*0.0673*(S13_PSP_Species_Support!BY34*(S13_PSP_Species_Support!BZ34*(1-EXP(-S13_PSP_Species_Support!CA34*15))^S13_PSP_Species_Support!CB34)^2*(S13_PSP_Species_Support!CC34*(1-EXP(-S13_PSP_Species_Support!CD34*15))^S13_PSP_Species_Support!CE34))^0.976,0)+IFERROR(S13_PSP_Species_Support!CI34*0.0673*(S13_PSP_Species_Support!CJ34*(S13_PSP_Species_Support!CK34*(1-EXP(-S13_PSP_Species_Support!CL34*15))^S13_PSP_Species_Support!CM34)^2*(S13_PSP_Species_Support!CN34*(1-EXP(-S13_PSP_Species_Support!CO34*15))^S13_PSP_Species_Support!CP34))^0.976,0)+IFERROR(S13_PSP_Species_Support!CT34*0.0673*(S13_PSP_Species_Support!CU34*(S13_PSP_Species_Support!CV34*(1-EXP(-S13_PSP_Species_Support!CW34*15))^S13_PSP_Species_Support!CX34)^2*(S13_PSP_Species_Support!CY34*(1-EXP(-S13_PSP_Species_Support!CZ34*15))^S13_PSP_Species_Support!DA34))^0.976,0))/1000/$G47*X$108,0)</x:f>
        <x:v>3849.2544737553994</x:v>
      </x:c>
      <x:c r="Y47" s="147" t="n">
        <x:f aca="0">IFERROR((IFERROR(S13_PSP_Species_Support!U34*0.0673*(S13_PSP_Species_Support!V34*(S13_PSP_Species_Support!W34*(1-EXP(-S13_PSP_Species_Support!X34*16))^S13_PSP_Species_Support!Y34)^2*(S13_PSP_Species_Support!Z34*(1-EXP(-S13_PSP_Species_Support!AA34*16))^S13_PSP_Species_Support!AB34))^0.976,0)+IFERROR(S13_PSP_Species_Support!AF34*0.0673*(S13_PSP_Species_Support!AG34*(S13_PSP_Species_Support!AH34*(1-EXP(-S13_PSP_Species_Support!AI34*16))^S13_PSP_Species_Support!AJ34)^2*(S13_PSP_Species_Support!AK34*(1-EXP(-S13_PSP_Species_Support!AL34*16))^S13_PSP_Species_Support!AM34))^0.976,0)+IFERROR(S13_PSP_Species_Support!AQ34*0.0673*(S13_PSP_Species_Support!AR34*(S13_PSP_Species_Support!AS34*(1-EXP(-S13_PSP_Species_Support!AT34*16))^S13_PSP_Species_Support!AU34)^2*(S13_PSP_Species_Support!AV34*(1-EXP(-S13_PSP_Species_Support!AW34*16))^S13_PSP_Species_Support!AX34))^0.976,0)+IFERROR(S13_PSP_Species_Support!BB34*0.0673*(S13_PSP_Species_Support!BC34*(S13_PSP_Species_Support!BD34*(1-EXP(-S13_PSP_Species_Support!BE34*16))^S13_PSP_Species_Support!BF34)^2*(S13_PSP_Species_Support!BG34*(1-EXP(-S13_PSP_Species_Support!BH34*16))^S13_PSP_Species_Support!BI34))^0.976,0)+IFERROR(S13_PSP_Species_Support!BM34*0.0673*(S13_PSP_Species_Support!BN34*(S13_PSP_Species_Support!BO34*(1-EXP(-S13_PSP_Species_Support!BP34*16))^S13_PSP_Species_Support!BQ34)^2*(S13_PSP_Species_Support!BR34*(1-EXP(-S13_PSP_Species_Support!BS34*16))^S13_PSP_Species_Support!BT34))^0.976,0)+IFERROR(S13_PSP_Species_Support!BX34*0.0673*(S13_PSP_Species_Support!BY34*(S13_PSP_Species_Support!BZ34*(1-EXP(-S13_PSP_Species_Support!CA34*16))^S13_PSP_Species_Support!CB34)^2*(S13_PSP_Species_Support!CC34*(1-EXP(-S13_PSP_Species_Support!CD34*16))^S13_PSP_Species_Support!CE34))^0.976,0)+IFERROR(S13_PSP_Species_Support!CI34*0.0673*(S13_PSP_Species_Support!CJ34*(S13_PSP_Species_Support!CK34*(1-EXP(-S13_PSP_Species_Support!CL34*16))^S13_PSP_Species_Support!CM34)^2*(S13_PSP_Species_Support!CN34*(1-EXP(-S13_PSP_Species_Support!CO34*16))^S13_PSP_Species_Support!CP34))^0.976,0)+IFERROR(S13_PSP_Species_Support!CT34*0.0673*(S13_PSP_Species_Support!CU34*(S13_PSP_Species_Support!CV34*(1-EXP(-S13_PSP_Species_Support!CW34*16))^S13_PSP_Species_Support!CX34)^2*(S13_PSP_Species_Support!CY34*(1-EXP(-S13_PSP_Species_Support!CZ34*16))^S13_PSP_Species_Support!DA34))^0.976,0))/1000/$G47*Y$108,0)</x:f>
        <x:v>4051.857413145793</x:v>
      </x:c>
      <x:c r="Z47" s="147" t="n">
        <x:f aca="0">IFERROR((IFERROR(S13_PSP_Species_Support!U34*0.0673*(S13_PSP_Species_Support!V34*(S13_PSP_Species_Support!W34*(1-EXP(-S13_PSP_Species_Support!X34*17))^S13_PSP_Species_Support!Y34)^2*(S13_PSP_Species_Support!Z34*(1-EXP(-S13_PSP_Species_Support!AA34*17))^S13_PSP_Species_Support!AB34))^0.976,0)+IFERROR(S13_PSP_Species_Support!AF34*0.0673*(S13_PSP_Species_Support!AG34*(S13_PSP_Species_Support!AH34*(1-EXP(-S13_PSP_Species_Support!AI34*17))^S13_PSP_Species_Support!AJ34)^2*(S13_PSP_Species_Support!AK34*(1-EXP(-S13_PSP_Species_Support!AL34*17))^S13_PSP_Species_Support!AM34))^0.976,0)+IFERROR(S13_PSP_Species_Support!AQ34*0.0673*(S13_PSP_Species_Support!AR34*(S13_PSP_Species_Support!AS34*(1-EXP(-S13_PSP_Species_Support!AT34*17))^S13_PSP_Species_Support!AU34)^2*(S13_PSP_Species_Support!AV34*(1-EXP(-S13_PSP_Species_Support!AW34*17))^S13_PSP_Species_Support!AX34))^0.976,0)+IFERROR(S13_PSP_Species_Support!BB34*0.0673*(S13_PSP_Species_Support!BC34*(S13_PSP_Species_Support!BD34*(1-EXP(-S13_PSP_Species_Support!BE34*17))^S13_PSP_Species_Support!BF34)^2*(S13_PSP_Species_Support!BG34*(1-EXP(-S13_PSP_Species_Support!BH34*17))^S13_PSP_Species_Support!BI34))^0.976,0)+IFERROR(S13_PSP_Species_Support!BM34*0.0673*(S13_PSP_Species_Support!BN34*(S13_PSP_Species_Support!BO34*(1-EXP(-S13_PSP_Species_Support!BP34*17))^S13_PSP_Species_Support!BQ34)^2*(S13_PSP_Species_Support!BR34*(1-EXP(-S13_PSP_Species_Support!BS34*17))^S13_PSP_Species_Support!BT34))^0.976,0)+IFERROR(S13_PSP_Species_Support!BX34*0.0673*(S13_PSP_Species_Support!BY34*(S13_PSP_Species_Support!BZ34*(1-EXP(-S13_PSP_Species_Support!CA34*17))^S13_PSP_Species_Support!CB34)^2*(S13_PSP_Species_Support!CC34*(1-EXP(-S13_PSP_Species_Support!CD34*17))^S13_PSP_Species_Support!CE34))^0.976,0)+IFERROR(S13_PSP_Species_Support!CI34*0.0673*(S13_PSP_Species_Support!CJ34*(S13_PSP_Species_Support!CK34*(1-EXP(-S13_PSP_Species_Support!CL34*17))^S13_PSP_Species_Support!CM34)^2*(S13_PSP_Species_Support!CN34*(1-EXP(-S13_PSP_Species_Support!CO34*17))^S13_PSP_Species_Support!CP34))^0.976,0)+IFERROR(S13_PSP_Species_Support!CT34*0.0673*(S13_PSP_Species_Support!CU34*(S13_PSP_Species_Support!CV34*(1-EXP(-S13_PSP_Species_Support!CW34*17))^S13_PSP_Species_Support!CX34)^2*(S13_PSP_Species_Support!CY34*(1-EXP(-S13_PSP_Species_Support!CZ34*17))^S13_PSP_Species_Support!DA34))^0.976,0))/1000/$G47*Z$108,0)</x:f>
        <x:v>4230.048563622077</x:v>
      </x:c>
      <x:c r="AA47" s="147" t="n">
        <x:f aca="0">IFERROR((IFERROR(S13_PSP_Species_Support!U34*0.0673*(S13_PSP_Species_Support!V34*(S13_PSP_Species_Support!W34*(1-EXP(-S13_PSP_Species_Support!X34*18))^S13_PSP_Species_Support!Y34)^2*(S13_PSP_Species_Support!Z34*(1-EXP(-S13_PSP_Species_Support!AA34*18))^S13_PSP_Species_Support!AB34))^0.976,0)+IFERROR(S13_PSP_Species_Support!AF34*0.0673*(S13_PSP_Species_Support!AG34*(S13_PSP_Species_Support!AH34*(1-EXP(-S13_PSP_Species_Support!AI34*18))^S13_PSP_Species_Support!AJ34)^2*(S13_PSP_Species_Support!AK34*(1-EXP(-S13_PSP_Species_Support!AL34*18))^S13_PSP_Species_Support!AM34))^0.976,0)+IFERROR(S13_PSP_Species_Support!AQ34*0.0673*(S13_PSP_Species_Support!AR34*(S13_PSP_Species_Support!AS34*(1-EXP(-S13_PSP_Species_Support!AT34*18))^S13_PSP_Species_Support!AU34)^2*(S13_PSP_Species_Support!AV34*(1-EXP(-S13_PSP_Species_Support!AW34*18))^S13_PSP_Species_Support!AX34))^0.976,0)+IFERROR(S13_PSP_Species_Support!BB34*0.0673*(S13_PSP_Species_Support!BC34*(S13_PSP_Species_Support!BD34*(1-EXP(-S13_PSP_Species_Support!BE34*18))^S13_PSP_Species_Support!BF34)^2*(S13_PSP_Species_Support!BG34*(1-EXP(-S13_PSP_Species_Support!BH34*18))^S13_PSP_Species_Support!BI34))^0.976,0)+IFERROR(S13_PSP_Species_Support!BM34*0.0673*(S13_PSP_Species_Support!BN34*(S13_PSP_Species_Support!BO34*(1-EXP(-S13_PSP_Species_Support!BP34*18))^S13_PSP_Species_Support!BQ34)^2*(S13_PSP_Species_Support!BR34*(1-EXP(-S13_PSP_Species_Support!BS34*18))^S13_PSP_Species_Support!BT34))^0.976,0)+IFERROR(S13_PSP_Species_Support!BX34*0.0673*(S13_PSP_Species_Support!BY34*(S13_PSP_Species_Support!BZ34*(1-EXP(-S13_PSP_Species_Support!CA34*18))^S13_PSP_Species_Support!CB34)^2*(S13_PSP_Species_Support!CC34*(1-EXP(-S13_PSP_Species_Support!CD34*18))^S13_PSP_Species_Support!CE34))^0.976,0)+IFERROR(S13_PSP_Species_Support!CI34*0.0673*(S13_PSP_Species_Support!CJ34*(S13_PSP_Species_Support!CK34*(1-EXP(-S13_PSP_Species_Support!CL34*18))^S13_PSP_Species_Support!CM34)^2*(S13_PSP_Species_Support!CN34*(1-EXP(-S13_PSP_Species_Support!CO34*18))^S13_PSP_Species_Support!CP34))^0.976,0)+IFERROR(S13_PSP_Species_Support!CT34*0.0673*(S13_PSP_Species_Support!CU34*(S13_PSP_Species_Support!CV34*(1-EXP(-S13_PSP_Species_Support!CW34*18))^S13_PSP_Species_Support!CX34)^2*(S13_PSP_Species_Support!CY34*(1-EXP(-S13_PSP_Species_Support!CZ34*18))^S13_PSP_Species_Support!DA34))^0.976,0))/1000/$G47*AA$108,0)</x:f>
        <x:v>4385.975779874927</x:v>
      </x:c>
      <x:c r="AB47" s="147" t="n">
        <x:f aca="0">IFERROR((IFERROR(S13_PSP_Species_Support!U34*0.0673*(S13_PSP_Species_Support!V34*(S13_PSP_Species_Support!W34*(1-EXP(-S13_PSP_Species_Support!X34*19))^S13_PSP_Species_Support!Y34)^2*(S13_PSP_Species_Support!Z34*(1-EXP(-S13_PSP_Species_Support!AA34*19))^S13_PSP_Species_Support!AB34))^0.976,0)+IFERROR(S13_PSP_Species_Support!AF34*0.0673*(S13_PSP_Species_Support!AG34*(S13_PSP_Species_Support!AH34*(1-EXP(-S13_PSP_Species_Support!AI34*19))^S13_PSP_Species_Support!AJ34)^2*(S13_PSP_Species_Support!AK34*(1-EXP(-S13_PSP_Species_Support!AL34*19))^S13_PSP_Species_Support!AM34))^0.976,0)+IFERROR(S13_PSP_Species_Support!AQ34*0.0673*(S13_PSP_Species_Support!AR34*(S13_PSP_Species_Support!AS34*(1-EXP(-S13_PSP_Species_Support!AT34*19))^S13_PSP_Species_Support!AU34)^2*(S13_PSP_Species_Support!AV34*(1-EXP(-S13_PSP_Species_Support!AW34*19))^S13_PSP_Species_Support!AX34))^0.976,0)+IFERROR(S13_PSP_Species_Support!BB34*0.0673*(S13_PSP_Species_Support!BC34*(S13_PSP_Species_Support!BD34*(1-EXP(-S13_PSP_Species_Support!BE34*19))^S13_PSP_Species_Support!BF34)^2*(S13_PSP_Species_Support!BG34*(1-EXP(-S13_PSP_Species_Support!BH34*19))^S13_PSP_Species_Support!BI34))^0.976,0)+IFERROR(S13_PSP_Species_Support!BM34*0.0673*(S13_PSP_Species_Support!BN34*(S13_PSP_Species_Support!BO34*(1-EXP(-S13_PSP_Species_Support!BP34*19))^S13_PSP_Species_Support!BQ34)^2*(S13_PSP_Species_Support!BR34*(1-EXP(-S13_PSP_Species_Support!BS34*19))^S13_PSP_Species_Support!BT34))^0.976,0)+IFERROR(S13_PSP_Species_Support!BX34*0.0673*(S13_PSP_Species_Support!BY34*(S13_PSP_Species_Support!BZ34*(1-EXP(-S13_PSP_Species_Support!CA34*19))^S13_PSP_Species_Support!CB34)^2*(S13_PSP_Species_Support!CC34*(1-EXP(-S13_PSP_Species_Support!CD34*19))^S13_PSP_Species_Support!CE34))^0.976,0)+IFERROR(S13_PSP_Species_Support!CI34*0.0673*(S13_PSP_Species_Support!CJ34*(S13_PSP_Species_Support!CK34*(1-EXP(-S13_PSP_Species_Support!CL34*19))^S13_PSP_Species_Support!CM34)^2*(S13_PSP_Species_Support!CN34*(1-EXP(-S13_PSP_Species_Support!CO34*19))^S13_PSP_Species_Support!CP34))^0.976,0)+IFERROR(S13_PSP_Species_Support!CT34*0.0673*(S13_PSP_Species_Support!CU34*(S13_PSP_Species_Support!CV34*(1-EXP(-S13_PSP_Species_Support!CW34*19))^S13_PSP_Species_Support!CX34)^2*(S13_PSP_Species_Support!CY34*(1-EXP(-S13_PSP_Species_Support!CZ34*19))^S13_PSP_Species_Support!DA34))^0.976,0))/1000/$G47*AB$108,0)</x:f>
        <x:v>4521.856769216241</x:v>
      </x:c>
      <x:c r="AC47" s="147" t="n">
        <x:f aca="0">IFERROR((IFERROR(S13_PSP_Species_Support!U34*0.0673*(S13_PSP_Species_Support!V34*(S13_PSP_Species_Support!W34*(1-EXP(-S13_PSP_Species_Support!X34*20))^S13_PSP_Species_Support!Y34)^2*(S13_PSP_Species_Support!Z34*(1-EXP(-S13_PSP_Species_Support!AA34*20))^S13_PSP_Species_Support!AB34))^0.976,0)+IFERROR(S13_PSP_Species_Support!AF34*0.0673*(S13_PSP_Species_Support!AG34*(S13_PSP_Species_Support!AH34*(1-EXP(-S13_PSP_Species_Support!AI34*20))^S13_PSP_Species_Support!AJ34)^2*(S13_PSP_Species_Support!AK34*(1-EXP(-S13_PSP_Species_Support!AL34*20))^S13_PSP_Species_Support!AM34))^0.976,0)+IFERROR(S13_PSP_Species_Support!AQ34*0.0673*(S13_PSP_Species_Support!AR34*(S13_PSP_Species_Support!AS34*(1-EXP(-S13_PSP_Species_Support!AT34*20))^S13_PSP_Species_Support!AU34)^2*(S13_PSP_Species_Support!AV34*(1-EXP(-S13_PSP_Species_Support!AW34*20))^S13_PSP_Species_Support!AX34))^0.976,0)+IFERROR(S13_PSP_Species_Support!BB34*0.0673*(S13_PSP_Species_Support!BC34*(S13_PSP_Species_Support!BD34*(1-EXP(-S13_PSP_Species_Support!BE34*20))^S13_PSP_Species_Support!BF34)^2*(S13_PSP_Species_Support!BG34*(1-EXP(-S13_PSP_Species_Support!BH34*20))^S13_PSP_Species_Support!BI34))^0.976,0)+IFERROR(S13_PSP_Species_Support!BM34*0.0673*(S13_PSP_Species_Support!BN34*(S13_PSP_Species_Support!BO34*(1-EXP(-S13_PSP_Species_Support!BP34*20))^S13_PSP_Species_Support!BQ34)^2*(S13_PSP_Species_Support!BR34*(1-EXP(-S13_PSP_Species_Support!BS34*20))^S13_PSP_Species_Support!BT34))^0.976,0)+IFERROR(S13_PSP_Species_Support!BX34*0.0673*(S13_PSP_Species_Support!BY34*(S13_PSP_Species_Support!BZ34*(1-EXP(-S13_PSP_Species_Support!CA34*20))^S13_PSP_Species_Support!CB34)^2*(S13_PSP_Species_Support!CC34*(1-EXP(-S13_PSP_Species_Support!CD34*20))^S13_PSP_Species_Support!CE34))^0.976,0)+IFERROR(S13_PSP_Species_Support!CI34*0.0673*(S13_PSP_Species_Support!CJ34*(S13_PSP_Species_Support!CK34*(1-EXP(-S13_PSP_Species_Support!CL34*20))^S13_PSP_Species_Support!CM34)^2*(S13_PSP_Species_Support!CN34*(1-EXP(-S13_PSP_Species_Support!CO34*20))^S13_PSP_Species_Support!CP34))^0.976,0)+IFERROR(S13_PSP_Species_Support!CT34*0.0673*(S13_PSP_Species_Support!CU34*(S13_PSP_Species_Support!CV34*(1-EXP(-S13_PSP_Species_Support!CW34*20))^S13_PSP_Species_Support!CX34)^2*(S13_PSP_Species_Support!CY34*(1-EXP(-S13_PSP_Species_Support!CZ34*20))^S13_PSP_Species_Support!DA34))^0.976,0))/1000/$G47*AC$108,0)</x:f>
        <x:v>4639.868827697042</x:v>
      </x:c>
      <x:c r="AD47" s="148" t="n">
        <x:f aca="0">IF(2020&lt;$F47,0,INDEX($I47:$AC47,1,2020-$F47+1))</x:f>
        <x:v>0</x:v>
      </x:c>
      <x:c r="AE47" s="148" t="n">
        <x:f aca="0">IF(2021&lt;$F47,0,INDEX($I47:$AC47,1,2021-$F47+1))</x:f>
        <x:v>5.196195303415404</x:v>
      </x:c>
      <x:c r="AF47" s="148" t="n">
        <x:f aca="0">IF(2022&lt;$F47,0,INDEX($I47:$AC47,1,2022-$F47+1))</x:f>
        <x:v>49.683330579535635</x:v>
      </x:c>
      <x:c r="AG47" s="148" t="n">
        <x:f aca="0">IF(2023&lt;$F47,0,INDEX($I47:$AC47,1,2023-$F47+1))</x:f>
        <x:v>166.09280745282888</x:v>
      </x:c>
      <x:c r="AH47" s="148" t="n">
        <x:f aca="0">IF(2024&lt;$F47,0,INDEX($I47:$AC47,1,2024-$F47+1))</x:f>
        <x:v>365.1335810752275</x:v>
      </x:c>
      <x:c r="AI47" s="148" t="n">
        <x:f aca="0">IF(2025&lt;$F47,0,INDEX($I47:$AC47,1,2025-$F47+1))</x:f>
        <x:v>636.975944821302</x:v>
      </x:c>
      <x:c r="AJ47" s="148" t="n">
        <x:f aca="0">IF(2026&lt;$F47,0,INDEX($I47:$AC47,1,2026-$F47+1))</x:f>
        <x:v>963.0007554701642</x:v>
      </x:c>
      <x:c r="AK47" s="148" t="n">
        <x:f aca="0">IF(2027&lt;$F47,0,INDEX($I47:$AC47,1,2027-$F47+1))</x:f>
        <x:v>1322.3194356283743</x:v>
      </x:c>
      <x:c r="AL47" s="148" t="n">
        <x:f aca="0">IF(2028&lt;$F47,0,INDEX($I47:$AC47,1,2028-$F47+1))</x:f>
        <x:v>1695.810557851834</x:v>
      </x:c>
      <x:c r="AM47" s="148" t="n">
        <x:f aca="0">IF(2029&lt;$F47,0,INDEX($I47:$AC47,1,2029-$F47+1))</x:f>
        <x:v>2067.926972455941</x:v>
      </x:c>
      <x:c r="AN47" s="148" t="n">
        <x:f aca="0">IF(2030&lt;$F47,0,INDEX($I47:$AC47,1,2030-$F47+1))</x:f>
        <x:v>2427.1266023744847</x:v>
      </x:c>
      <x:c r="AO47" s="148" t="n">
        <x:f aca="0">IF(2031&lt;$F47,0,INDEX($I47:$AC47,1,2031-$F47+1))</x:f>
        <x:v>2765.5729140435096</x:v>
      </x:c>
      <x:c r="AP47" s="148" t="n">
        <x:f aca="0">IF(2032&lt;$F47,0,INDEX($I47:$AC47,1,2032-$F47+1))</x:f>
        <x:v>3078.521346683609</x:v>
      </x:c>
      <x:c r="AQ47" s="148" t="n">
        <x:f aca="0">IF(2033&lt;$F47,0,INDEX($I47:$AC47,1,2033-$F47+1))</x:f>
        <x:v>3363.6313784284503</x:v>
      </x:c>
      <x:c r="AR47" s="148" t="n">
        <x:f aca="0">IF(2034&lt;$F47,0,INDEX($I47:$AC47,1,2034-$F47+1))</x:f>
        <x:v>3620.3266248046175</x:v>
      </x:c>
      <x:c r="AS47" s="148" t="n">
        <x:f aca="0">IF(2035&lt;$F47,0,INDEX($I47:$AC47,1,2035-$F47+1))</x:f>
        <x:v>3849.2544737553994</x:v>
      </x:c>
      <x:c r="AT47" s="148" t="n">
        <x:f aca="0">IF(2036&lt;$F47,0,INDEX($I47:$AC47,1,2036-$F47+1))</x:f>
        <x:v>4051.857413145793</x:v>
      </x:c>
      <x:c r="AU47" s="148" t="n">
        <x:f aca="0">IF(2037&lt;$F47,0,INDEX($I47:$AC47,1,2037-$F47+1))</x:f>
        <x:v>4230.048563622077</x:v>
      </x:c>
      <x:c r="AV47" s="148" t="n">
        <x:f aca="0">IF(2038&lt;$F47,0,INDEX($I47:$AC47,1,2038-$F47+1))</x:f>
        <x:v>4385.975779874927</x:v>
      </x:c>
      <x:c r="AW47" s="148" t="n">
        <x:f aca="0">IF(2039&lt;$F47,0,INDEX($I47:$AC47,1,2039-$F47+1))</x:f>
        <x:v>4521.856769216241</x:v>
      </x:c>
      <x:c r="AX47" s="148" t="n">
        <x:f aca="0">IF(2040&lt;$F47,0,INDEX($I47:$AC47,1,2040-$F47+1))</x:f>
        <x:v>4639.868827697042</x:v>
      </x:c>
      <x:c r="AY47" s="1" t="str">
        <x:f aca="0">LEFT($C47,FIND("@",SUBSTITUTE($C47,"|","@",2))-1)</x:f>
        <x:v>Mixed Agroforestry|High</x:v>
      </x:c>
      <x:c r="AZ47" s="1" t="str">
        <x:f aca="0">LEFT($C47,FIND("|",$C47)-1)</x:f>
        <x:v>Mixed Agroforestry</x:v>
      </x:c>
      <x:c r="BA47" s="149" t="n">
        <x:f aca="0">I47*I47</x:f>
        <x:v>0</x:v>
      </x:c>
      <x:c r="BB47" s="149" t="n">
        <x:f aca="0">J47*J47</x:f>
        <x:v>27.000445631236307</x:v>
      </x:c>
      <x:c r="BC47" s="149" t="n">
        <x:f aca="0">K47*K47</x:f>
        <x:v>2468.4333374754206</x:v>
      </x:c>
      <x:c r="BD47" s="149" t="n">
        <x:f aca="0">L47*L47</x:f>
        <x:v>27586.82068756249</x:v>
      </x:c>
      <x:c r="BE47" s="149" t="n">
        <x:f aca="0">M47*M47</x:f>
        <x:v>133322.53202881973</x:v>
      </x:c>
      <x:c r="BF47" s="149" t="n">
        <x:f aca="0">N47*N47</x:f>
        <x:v>405738.35428099043</x:v>
      </x:c>
      <x:c r="BG47" s="149" t="n">
        <x:f aca="0">O47*O47</x:f>
        <x:v>927370.455036107</x:v>
      </x:c>
      <x:c r="BH47" s="149" t="n">
        <x:f aca="0">P47*P47</x:f>
        <x:v>1748528.6898405424</x:v>
      </x:c>
      <x:c r="BI47" s="149" t="n">
        <x:f aca="0">Q47*Q47</x:f>
        <x:v>2875773.448121748</x:v>
      </x:c>
      <x:c r="BJ47" s="149" t="n">
        <x:f aca="0">R47*R47</x:f>
        <x:v>4276321.963410794</x:v>
      </x:c>
      <x:c r="BK47" s="149" t="n">
        <x:f aca="0">S47*S47</x:f>
        <x:v>5890943.5439539105</x:v>
      </x:c>
      <x:c r="BL47" s="149" t="n">
        <x:f aca="0">T47*T47</x:f>
        <x:v>7648393.542891109</x:v>
      </x:c>
      <x:c r="BM47" s="149" t="n">
        <x:f aca="0">U47*U47</x:f>
        <x:v>9477293.681986662</x:v>
      </x:c>
      <x:c r="BN47" s="149" t="n">
        <x:f aca="0">V47*V47</x:f>
        <x:v>11314016.049948476</x:v>
      </x:c>
      <x:c r="BO47" s="149" t="n">
        <x:f aca="0">W47*W47</x:f>
        <x:v>13106764.870269194</x:v>
      </x:c>
      <x:c r="BP47" s="149" t="n">
        <x:f aca="0">X47*X47</x:f>
        <x:v>14816760.003725957</x:v>
      </x:c>
      <x:c r="BQ47" s="149" t="n">
        <x:f aca="0">Y47*Y47</x:f>
        <x:v>16417548.496464519</x:v>
      </x:c>
      <x:c r="BR47" s="149" t="n">
        <x:f aca="0">Z47*Z47</x:f>
        <x:v>17893310.8506012</x:v>
      </x:c>
      <x:c r="BS47" s="149" t="n">
        <x:f aca="0">AA47*AA47</x:f>
        <x:v>19236783.541649472</x:v>
      </x:c>
      <x:c r="BT47" s="149" t="n">
        <x:f aca="0">AB47*AB47</x:f>
        <x:v>20447188.641306747</x:v>
      </x:c>
      <x:c r="BU47" s="149" t="n">
        <x:f aca="0">AC47*AC47</x:f>
        <x:v>21528382.73823473</x:v>
      </x:c>
    </x:row>
    <x:row r="48" ht="15" hidden="0" customHeight="1">
      <x:c r="A48" s="1" t="str">
        <x:f aca="0">S13_PSP_Species_Support!A35</x:f>
        <x:v>PSP-MA-002</x:v>
      </x:c>
      <x:c r="B48" s="1" t="n">
        <x:f aca="0">35</x:f>
        <x:v>35</x:v>
      </x:c>
      <x:c r="C48" s="1" t="str">
        <x:f aca="0">S13_PSP_Species_Support!I35</x:f>
        <x:v>Mixed Agroforestry|High|2020</x:v>
      </x:c>
      <x:c r="D48" s="1" t="str">
        <x:f aca="0">S13_PSP_Species_Support!C35</x:f>
        <x:v>Mixed Agroforestry Model</x:v>
      </x:c>
      <x:c r="E48" s="1" t="str">
        <x:f aca="0">S13_PSP_Species_Support!D35</x:f>
        <x:v>High</x:v>
      </x:c>
      <x:c r="F48" s="1" t="n">
        <x:f aca="0">S13_PSP_Species_Support!E35</x:f>
        <x:v>2020</x:v>
      </x:c>
      <x:c r="G48" s="645" t="n">
        <x:f aca="0">'S13_PSP_Species_Support'!DJ35</x:f>
        <x:v>0.09</x:v>
      </x:c>
      <x:c r="H48" s="714" t="n">
        <x:f aca="0">'S13_PSP_Species_Support'!DK35</x:f>
        <x:v>513.3888388838884</x:v>
      </x:c>
      <x:c r="I48" s="147" t="n">
        <x:f aca="0">IFERROR((IFERROR(S13_PSP_Species_Support!U35*0.0673*(S13_PSP_Species_Support!V35*(S13_PSP_Species_Support!W35*(1-EXP(-S13_PSP_Species_Support!X35*0))^S13_PSP_Species_Support!Y35)^2*(S13_PSP_Species_Support!Z35*(1-EXP(-S13_PSP_Species_Support!AA35*0))^S13_PSP_Species_Support!AB35))^0.976,0)+IFERROR(S13_PSP_Species_Support!AF35*0.0673*(S13_PSP_Species_Support!AG35*(S13_PSP_Species_Support!AH35*(1-EXP(-S13_PSP_Species_Support!AI35*0))^S13_PSP_Species_Support!AJ35)^2*(S13_PSP_Species_Support!AK35*(1-EXP(-S13_PSP_Species_Support!AL35*0))^S13_PSP_Species_Support!AM35))^0.976,0)+IFERROR(S13_PSP_Species_Support!AQ35*0.0673*(S13_PSP_Species_Support!AR35*(S13_PSP_Species_Support!AS35*(1-EXP(-S13_PSP_Species_Support!AT35*0))^S13_PSP_Species_Support!AU35)^2*(S13_PSP_Species_Support!AV35*(1-EXP(-S13_PSP_Species_Support!AW35*0))^S13_PSP_Species_Support!AX35))^0.976,0)+IFERROR(S13_PSP_Species_Support!BB35*0.0673*(S13_PSP_Species_Support!BC35*(S13_PSP_Species_Support!BD35*(1-EXP(-S13_PSP_Species_Support!BE35*0))^S13_PSP_Species_Support!BF35)^2*(S13_PSP_Species_Support!BG35*(1-EXP(-S13_PSP_Species_Support!BH35*0))^S13_PSP_Species_Support!BI35))^0.976,0)+IFERROR(S13_PSP_Species_Support!BM35*0.0673*(S13_PSP_Species_Support!BN35*(S13_PSP_Species_Support!BO35*(1-EXP(-S13_PSP_Species_Support!BP35*0))^S13_PSP_Species_Support!BQ35)^2*(S13_PSP_Species_Support!BR35*(1-EXP(-S13_PSP_Species_Support!BS35*0))^S13_PSP_Species_Support!BT35))^0.976,0)+IFERROR(S13_PSP_Species_Support!BX35*0.0673*(S13_PSP_Species_Support!BY35*(S13_PSP_Species_Support!BZ35*(1-EXP(-S13_PSP_Species_Support!CA35*0))^S13_PSP_Species_Support!CB35)^2*(S13_PSP_Species_Support!CC35*(1-EXP(-S13_PSP_Species_Support!CD35*0))^S13_PSP_Species_Support!CE35))^0.976,0)+IFERROR(S13_PSP_Species_Support!CI35*0.0673*(S13_PSP_Species_Support!CJ35*(S13_PSP_Species_Support!CK35*(1-EXP(-S13_PSP_Species_Support!CL35*0))^S13_PSP_Species_Support!CM35)^2*(S13_PSP_Species_Support!CN35*(1-EXP(-S13_PSP_Species_Support!CO35*0))^S13_PSP_Species_Support!CP35))^0.976,0)+IFERROR(S13_PSP_Species_Support!CT35*0.0673*(S13_PSP_Species_Support!CU35*(S13_PSP_Species_Support!CV35*(1-EXP(-S13_PSP_Species_Support!CW35*0))^S13_PSP_Species_Support!CX35)^2*(S13_PSP_Species_Support!CY35*(1-EXP(-S13_PSP_Species_Support!CZ35*0))^S13_PSP_Species_Support!DA35))^0.976,0))/1000/$G48*I$108,0)</x:f>
        <x:v>0</x:v>
      </x:c>
      <x:c r="J48" s="147" t="n">
        <x:f aca="0">IFERROR((IFERROR(S13_PSP_Species_Support!U35*0.0673*(S13_PSP_Species_Support!V35*(S13_PSP_Species_Support!W35*(1-EXP(-S13_PSP_Species_Support!X35*1))^S13_PSP_Species_Support!Y35)^2*(S13_PSP_Species_Support!Z35*(1-EXP(-S13_PSP_Species_Support!AA35*1))^S13_PSP_Species_Support!AB35))^0.976,0)+IFERROR(S13_PSP_Species_Support!AF35*0.0673*(S13_PSP_Species_Support!AG35*(S13_PSP_Species_Support!AH35*(1-EXP(-S13_PSP_Species_Support!AI35*1))^S13_PSP_Species_Support!AJ35)^2*(S13_PSP_Species_Support!AK35*(1-EXP(-S13_PSP_Species_Support!AL35*1))^S13_PSP_Species_Support!AM35))^0.976,0)+IFERROR(S13_PSP_Species_Support!AQ35*0.0673*(S13_PSP_Species_Support!AR35*(S13_PSP_Species_Support!AS35*(1-EXP(-S13_PSP_Species_Support!AT35*1))^S13_PSP_Species_Support!AU35)^2*(S13_PSP_Species_Support!AV35*(1-EXP(-S13_PSP_Species_Support!AW35*1))^S13_PSP_Species_Support!AX35))^0.976,0)+IFERROR(S13_PSP_Species_Support!BB35*0.0673*(S13_PSP_Species_Support!BC35*(S13_PSP_Species_Support!BD35*(1-EXP(-S13_PSP_Species_Support!BE35*1))^S13_PSP_Species_Support!BF35)^2*(S13_PSP_Species_Support!BG35*(1-EXP(-S13_PSP_Species_Support!BH35*1))^S13_PSP_Species_Support!BI35))^0.976,0)+IFERROR(S13_PSP_Species_Support!BM35*0.0673*(S13_PSP_Species_Support!BN35*(S13_PSP_Species_Support!BO35*(1-EXP(-S13_PSP_Species_Support!BP35*1))^S13_PSP_Species_Support!BQ35)^2*(S13_PSP_Species_Support!BR35*(1-EXP(-S13_PSP_Species_Support!BS35*1))^S13_PSP_Species_Support!BT35))^0.976,0)+IFERROR(S13_PSP_Species_Support!BX35*0.0673*(S13_PSP_Species_Support!BY35*(S13_PSP_Species_Support!BZ35*(1-EXP(-S13_PSP_Species_Support!CA35*1))^S13_PSP_Species_Support!CB35)^2*(S13_PSP_Species_Support!CC35*(1-EXP(-S13_PSP_Species_Support!CD35*1))^S13_PSP_Species_Support!CE35))^0.976,0)+IFERROR(S13_PSP_Species_Support!CI35*0.0673*(S13_PSP_Species_Support!CJ35*(S13_PSP_Species_Support!CK35*(1-EXP(-S13_PSP_Species_Support!CL35*1))^S13_PSP_Species_Support!CM35)^2*(S13_PSP_Species_Support!CN35*(1-EXP(-S13_PSP_Species_Support!CO35*1))^S13_PSP_Species_Support!CP35))^0.976,0)+IFERROR(S13_PSP_Species_Support!CT35*0.0673*(S13_PSP_Species_Support!CU35*(S13_PSP_Species_Support!CV35*(1-EXP(-S13_PSP_Species_Support!CW35*1))^S13_PSP_Species_Support!CX35)^2*(S13_PSP_Species_Support!CY35*(1-EXP(-S13_PSP_Species_Support!CZ35*1))^S13_PSP_Species_Support!DA35))^0.976,0))/1000/$G48*J$108,0)</x:f>
        <x:v>2.3033933211614013</x:v>
      </x:c>
      <x:c r="K48" s="147" t="n">
        <x:f aca="0">IFERROR((IFERROR(S13_PSP_Species_Support!U35*0.0673*(S13_PSP_Species_Support!V35*(S13_PSP_Species_Support!W35*(1-EXP(-S13_PSP_Species_Support!X35*2))^S13_PSP_Species_Support!Y35)^2*(S13_PSP_Species_Support!Z35*(1-EXP(-S13_PSP_Species_Support!AA35*2))^S13_PSP_Species_Support!AB35))^0.976,0)+IFERROR(S13_PSP_Species_Support!AF35*0.0673*(S13_PSP_Species_Support!AG35*(S13_PSP_Species_Support!AH35*(1-EXP(-S13_PSP_Species_Support!AI35*2))^S13_PSP_Species_Support!AJ35)^2*(S13_PSP_Species_Support!AK35*(1-EXP(-S13_PSP_Species_Support!AL35*2))^S13_PSP_Species_Support!AM35))^0.976,0)+IFERROR(S13_PSP_Species_Support!AQ35*0.0673*(S13_PSP_Species_Support!AR35*(S13_PSP_Species_Support!AS35*(1-EXP(-S13_PSP_Species_Support!AT35*2))^S13_PSP_Species_Support!AU35)^2*(S13_PSP_Species_Support!AV35*(1-EXP(-S13_PSP_Species_Support!AW35*2))^S13_PSP_Species_Support!AX35))^0.976,0)+IFERROR(S13_PSP_Species_Support!BB35*0.0673*(S13_PSP_Species_Support!BC35*(S13_PSP_Species_Support!BD35*(1-EXP(-S13_PSP_Species_Support!BE35*2))^S13_PSP_Species_Support!BF35)^2*(S13_PSP_Species_Support!BG35*(1-EXP(-S13_PSP_Species_Support!BH35*2))^S13_PSP_Species_Support!BI35))^0.976,0)+IFERROR(S13_PSP_Species_Support!BM35*0.0673*(S13_PSP_Species_Support!BN35*(S13_PSP_Species_Support!BO35*(1-EXP(-S13_PSP_Species_Support!BP35*2))^S13_PSP_Species_Support!BQ35)^2*(S13_PSP_Species_Support!BR35*(1-EXP(-S13_PSP_Species_Support!BS35*2))^S13_PSP_Species_Support!BT35))^0.976,0)+IFERROR(S13_PSP_Species_Support!BX35*0.0673*(S13_PSP_Species_Support!BY35*(S13_PSP_Species_Support!BZ35*(1-EXP(-S13_PSP_Species_Support!CA35*2))^S13_PSP_Species_Support!CB35)^2*(S13_PSP_Species_Support!CC35*(1-EXP(-S13_PSP_Species_Support!CD35*2))^S13_PSP_Species_Support!CE35))^0.976,0)+IFERROR(S13_PSP_Species_Support!CI35*0.0673*(S13_PSP_Species_Support!CJ35*(S13_PSP_Species_Support!CK35*(1-EXP(-S13_PSP_Species_Support!CL35*2))^S13_PSP_Species_Support!CM35)^2*(S13_PSP_Species_Support!CN35*(1-EXP(-S13_PSP_Species_Support!CO35*2))^S13_PSP_Species_Support!CP35))^0.976,0)+IFERROR(S13_PSP_Species_Support!CT35*0.0673*(S13_PSP_Species_Support!CU35*(S13_PSP_Species_Support!CV35*(1-EXP(-S13_PSP_Species_Support!CW35*2))^S13_PSP_Species_Support!CX35)^2*(S13_PSP_Species_Support!CY35*(1-EXP(-S13_PSP_Species_Support!CZ35*2))^S13_PSP_Species_Support!DA35))^0.976,0))/1000/$G48*K$108,0)</x:f>
        <x:v>27.461940330305175</x:v>
      </x:c>
      <x:c r="L48" s="147" t="n">
        <x:f aca="0">IFERROR((IFERROR(S13_PSP_Species_Support!U35*0.0673*(S13_PSP_Species_Support!V35*(S13_PSP_Species_Support!W35*(1-EXP(-S13_PSP_Species_Support!X35*3))^S13_PSP_Species_Support!Y35)^2*(S13_PSP_Species_Support!Z35*(1-EXP(-S13_PSP_Species_Support!AA35*3))^S13_PSP_Species_Support!AB35))^0.976,0)+IFERROR(S13_PSP_Species_Support!AF35*0.0673*(S13_PSP_Species_Support!AG35*(S13_PSP_Species_Support!AH35*(1-EXP(-S13_PSP_Species_Support!AI35*3))^S13_PSP_Species_Support!AJ35)^2*(S13_PSP_Species_Support!AK35*(1-EXP(-S13_PSP_Species_Support!AL35*3))^S13_PSP_Species_Support!AM35))^0.976,0)+IFERROR(S13_PSP_Species_Support!AQ35*0.0673*(S13_PSP_Species_Support!AR35*(S13_PSP_Species_Support!AS35*(1-EXP(-S13_PSP_Species_Support!AT35*3))^S13_PSP_Species_Support!AU35)^2*(S13_PSP_Species_Support!AV35*(1-EXP(-S13_PSP_Species_Support!AW35*3))^S13_PSP_Species_Support!AX35))^0.976,0)+IFERROR(S13_PSP_Species_Support!BB35*0.0673*(S13_PSP_Species_Support!BC35*(S13_PSP_Species_Support!BD35*(1-EXP(-S13_PSP_Species_Support!BE35*3))^S13_PSP_Species_Support!BF35)^2*(S13_PSP_Species_Support!BG35*(1-EXP(-S13_PSP_Species_Support!BH35*3))^S13_PSP_Species_Support!BI35))^0.976,0)+IFERROR(S13_PSP_Species_Support!BM35*0.0673*(S13_PSP_Species_Support!BN35*(S13_PSP_Species_Support!BO35*(1-EXP(-S13_PSP_Species_Support!BP35*3))^S13_PSP_Species_Support!BQ35)^2*(S13_PSP_Species_Support!BR35*(1-EXP(-S13_PSP_Species_Support!BS35*3))^S13_PSP_Species_Support!BT35))^0.976,0)+IFERROR(S13_PSP_Species_Support!BX35*0.0673*(S13_PSP_Species_Support!BY35*(S13_PSP_Species_Support!BZ35*(1-EXP(-S13_PSP_Species_Support!CA35*3))^S13_PSP_Species_Support!CB35)^2*(S13_PSP_Species_Support!CC35*(1-EXP(-S13_PSP_Species_Support!CD35*3))^S13_PSP_Species_Support!CE35))^0.976,0)+IFERROR(S13_PSP_Species_Support!CI35*0.0673*(S13_PSP_Species_Support!CJ35*(S13_PSP_Species_Support!CK35*(1-EXP(-S13_PSP_Species_Support!CL35*3))^S13_PSP_Species_Support!CM35)^2*(S13_PSP_Species_Support!CN35*(1-EXP(-S13_PSP_Species_Support!CO35*3))^S13_PSP_Species_Support!CP35))^0.976,0)+IFERROR(S13_PSP_Species_Support!CT35*0.0673*(S13_PSP_Species_Support!CU35*(S13_PSP_Species_Support!CV35*(1-EXP(-S13_PSP_Species_Support!CW35*3))^S13_PSP_Species_Support!CX35)^2*(S13_PSP_Species_Support!CY35*(1-EXP(-S13_PSP_Species_Support!CZ35*3))^S13_PSP_Species_Support!DA35))^0.976,0))/1000/$G48*L$108,0)</x:f>
        <x:v>105.32532387660375</x:v>
      </x:c>
      <x:c r="M48" s="147" t="n">
        <x:f aca="0">IFERROR((IFERROR(S13_PSP_Species_Support!U35*0.0673*(S13_PSP_Species_Support!V35*(S13_PSP_Species_Support!W35*(1-EXP(-S13_PSP_Species_Support!X35*4))^S13_PSP_Species_Support!Y35)^2*(S13_PSP_Species_Support!Z35*(1-EXP(-S13_PSP_Species_Support!AA35*4))^S13_PSP_Species_Support!AB35))^0.976,0)+IFERROR(S13_PSP_Species_Support!AF35*0.0673*(S13_PSP_Species_Support!AG35*(S13_PSP_Species_Support!AH35*(1-EXP(-S13_PSP_Species_Support!AI35*4))^S13_PSP_Species_Support!AJ35)^2*(S13_PSP_Species_Support!AK35*(1-EXP(-S13_PSP_Species_Support!AL35*4))^S13_PSP_Species_Support!AM35))^0.976,0)+IFERROR(S13_PSP_Species_Support!AQ35*0.0673*(S13_PSP_Species_Support!AR35*(S13_PSP_Species_Support!AS35*(1-EXP(-S13_PSP_Species_Support!AT35*4))^S13_PSP_Species_Support!AU35)^2*(S13_PSP_Species_Support!AV35*(1-EXP(-S13_PSP_Species_Support!AW35*4))^S13_PSP_Species_Support!AX35))^0.976,0)+IFERROR(S13_PSP_Species_Support!BB35*0.0673*(S13_PSP_Species_Support!BC35*(S13_PSP_Species_Support!BD35*(1-EXP(-S13_PSP_Species_Support!BE35*4))^S13_PSP_Species_Support!BF35)^2*(S13_PSP_Species_Support!BG35*(1-EXP(-S13_PSP_Species_Support!BH35*4))^S13_PSP_Species_Support!BI35))^0.976,0)+IFERROR(S13_PSP_Species_Support!BM35*0.0673*(S13_PSP_Species_Support!BN35*(S13_PSP_Species_Support!BO35*(1-EXP(-S13_PSP_Species_Support!BP35*4))^S13_PSP_Species_Support!BQ35)^2*(S13_PSP_Species_Support!BR35*(1-EXP(-S13_PSP_Species_Support!BS35*4))^S13_PSP_Species_Support!BT35))^0.976,0)+IFERROR(S13_PSP_Species_Support!BX35*0.0673*(S13_PSP_Species_Support!BY35*(S13_PSP_Species_Support!BZ35*(1-EXP(-S13_PSP_Species_Support!CA35*4))^S13_PSP_Species_Support!CB35)^2*(S13_PSP_Species_Support!CC35*(1-EXP(-S13_PSP_Species_Support!CD35*4))^S13_PSP_Species_Support!CE35))^0.976,0)+IFERROR(S13_PSP_Species_Support!CI35*0.0673*(S13_PSP_Species_Support!CJ35*(S13_PSP_Species_Support!CK35*(1-EXP(-S13_PSP_Species_Support!CL35*4))^S13_PSP_Species_Support!CM35)^2*(S13_PSP_Species_Support!CN35*(1-EXP(-S13_PSP_Species_Support!CO35*4))^S13_PSP_Species_Support!CP35))^0.976,0)+IFERROR(S13_PSP_Species_Support!CT35*0.0673*(S13_PSP_Species_Support!CU35*(S13_PSP_Species_Support!CV35*(1-EXP(-S13_PSP_Species_Support!CW35*4))^S13_PSP_Species_Support!CX35)^2*(S13_PSP_Species_Support!CY35*(1-EXP(-S13_PSP_Species_Support!CZ35*4))^S13_PSP_Species_Support!DA35))^0.976,0))/1000/$G48*M$108,0)</x:f>
        <x:v>256.43364617901955</x:v>
      </x:c>
      <x:c r="N48" s="147" t="n">
        <x:f aca="0">IFERROR((IFERROR(S13_PSP_Species_Support!U35*0.0673*(S13_PSP_Species_Support!V35*(S13_PSP_Species_Support!W35*(1-EXP(-S13_PSP_Species_Support!X35*5))^S13_PSP_Species_Support!Y35)^2*(S13_PSP_Species_Support!Z35*(1-EXP(-S13_PSP_Species_Support!AA35*5))^S13_PSP_Species_Support!AB35))^0.976,0)+IFERROR(S13_PSP_Species_Support!AF35*0.0673*(S13_PSP_Species_Support!AG35*(S13_PSP_Species_Support!AH35*(1-EXP(-S13_PSP_Species_Support!AI35*5))^S13_PSP_Species_Support!AJ35)^2*(S13_PSP_Species_Support!AK35*(1-EXP(-S13_PSP_Species_Support!AL35*5))^S13_PSP_Species_Support!AM35))^0.976,0)+IFERROR(S13_PSP_Species_Support!AQ35*0.0673*(S13_PSP_Species_Support!AR35*(S13_PSP_Species_Support!AS35*(1-EXP(-S13_PSP_Species_Support!AT35*5))^S13_PSP_Species_Support!AU35)^2*(S13_PSP_Species_Support!AV35*(1-EXP(-S13_PSP_Species_Support!AW35*5))^S13_PSP_Species_Support!AX35))^0.976,0)+IFERROR(S13_PSP_Species_Support!BB35*0.0673*(S13_PSP_Species_Support!BC35*(S13_PSP_Species_Support!BD35*(1-EXP(-S13_PSP_Species_Support!BE35*5))^S13_PSP_Species_Support!BF35)^2*(S13_PSP_Species_Support!BG35*(1-EXP(-S13_PSP_Species_Support!BH35*5))^S13_PSP_Species_Support!BI35))^0.976,0)+IFERROR(S13_PSP_Species_Support!BM35*0.0673*(S13_PSP_Species_Support!BN35*(S13_PSP_Species_Support!BO35*(1-EXP(-S13_PSP_Species_Support!BP35*5))^S13_PSP_Species_Support!BQ35)^2*(S13_PSP_Species_Support!BR35*(1-EXP(-S13_PSP_Species_Support!BS35*5))^S13_PSP_Species_Support!BT35))^0.976,0)+IFERROR(S13_PSP_Species_Support!BX35*0.0673*(S13_PSP_Species_Support!BY35*(S13_PSP_Species_Support!BZ35*(1-EXP(-S13_PSP_Species_Support!CA35*5))^S13_PSP_Species_Support!CB35)^2*(S13_PSP_Species_Support!CC35*(1-EXP(-S13_PSP_Species_Support!CD35*5))^S13_PSP_Species_Support!CE35))^0.976,0)+IFERROR(S13_PSP_Species_Support!CI35*0.0673*(S13_PSP_Species_Support!CJ35*(S13_PSP_Species_Support!CK35*(1-EXP(-S13_PSP_Species_Support!CL35*5))^S13_PSP_Species_Support!CM35)^2*(S13_PSP_Species_Support!CN35*(1-EXP(-S13_PSP_Species_Support!CO35*5))^S13_PSP_Species_Support!CP35))^0.976,0)+IFERROR(S13_PSP_Species_Support!CT35*0.0673*(S13_PSP_Species_Support!CU35*(S13_PSP_Species_Support!CV35*(1-EXP(-S13_PSP_Species_Support!CW35*5))^S13_PSP_Species_Support!CX35)^2*(S13_PSP_Species_Support!CY35*(1-EXP(-S13_PSP_Species_Support!CZ35*5))^S13_PSP_Species_Support!DA35))^0.976,0))/1000/$G48*N$108,0)</x:f>
        <x:v>485.51477887255857</x:v>
      </x:c>
      <x:c r="O48" s="147" t="n">
        <x:f aca="0">IFERROR((IFERROR(S13_PSP_Species_Support!U35*0.0673*(S13_PSP_Species_Support!V35*(S13_PSP_Species_Support!W35*(1-EXP(-S13_PSP_Species_Support!X35*6))^S13_PSP_Species_Support!Y35)^2*(S13_PSP_Species_Support!Z35*(1-EXP(-S13_PSP_Species_Support!AA35*6))^S13_PSP_Species_Support!AB35))^0.976,0)+IFERROR(S13_PSP_Species_Support!AF35*0.0673*(S13_PSP_Species_Support!AG35*(S13_PSP_Species_Support!AH35*(1-EXP(-S13_PSP_Species_Support!AI35*6))^S13_PSP_Species_Support!AJ35)^2*(S13_PSP_Species_Support!AK35*(1-EXP(-S13_PSP_Species_Support!AL35*6))^S13_PSP_Species_Support!AM35))^0.976,0)+IFERROR(S13_PSP_Species_Support!AQ35*0.0673*(S13_PSP_Species_Support!AR35*(S13_PSP_Species_Support!AS35*(1-EXP(-S13_PSP_Species_Support!AT35*6))^S13_PSP_Species_Support!AU35)^2*(S13_PSP_Species_Support!AV35*(1-EXP(-S13_PSP_Species_Support!AW35*6))^S13_PSP_Species_Support!AX35))^0.976,0)+IFERROR(S13_PSP_Species_Support!BB35*0.0673*(S13_PSP_Species_Support!BC35*(S13_PSP_Species_Support!BD35*(1-EXP(-S13_PSP_Species_Support!BE35*6))^S13_PSP_Species_Support!BF35)^2*(S13_PSP_Species_Support!BG35*(1-EXP(-S13_PSP_Species_Support!BH35*6))^S13_PSP_Species_Support!BI35))^0.976,0)+IFERROR(S13_PSP_Species_Support!BM35*0.0673*(S13_PSP_Species_Support!BN35*(S13_PSP_Species_Support!BO35*(1-EXP(-S13_PSP_Species_Support!BP35*6))^S13_PSP_Species_Support!BQ35)^2*(S13_PSP_Species_Support!BR35*(1-EXP(-S13_PSP_Species_Support!BS35*6))^S13_PSP_Species_Support!BT35))^0.976,0)+IFERROR(S13_PSP_Species_Support!BX35*0.0673*(S13_PSP_Species_Support!BY35*(S13_PSP_Species_Support!BZ35*(1-EXP(-S13_PSP_Species_Support!CA35*6))^S13_PSP_Species_Support!CB35)^2*(S13_PSP_Species_Support!CC35*(1-EXP(-S13_PSP_Species_Support!CD35*6))^S13_PSP_Species_Support!CE35))^0.976,0)+IFERROR(S13_PSP_Species_Support!CI35*0.0673*(S13_PSP_Species_Support!CJ35*(S13_PSP_Species_Support!CK35*(1-EXP(-S13_PSP_Species_Support!CL35*6))^S13_PSP_Species_Support!CM35)^2*(S13_PSP_Species_Support!CN35*(1-EXP(-S13_PSP_Species_Support!CO35*6))^S13_PSP_Species_Support!CP35))^0.976,0)+IFERROR(S13_PSP_Species_Support!CT35*0.0673*(S13_PSP_Species_Support!CU35*(S13_PSP_Species_Support!CV35*(1-EXP(-S13_PSP_Species_Support!CW35*6))^S13_PSP_Species_Support!CX35)^2*(S13_PSP_Species_Support!CY35*(1-EXP(-S13_PSP_Species_Support!CZ35*6))^S13_PSP_Species_Support!DA35))^0.976,0))/1000/$G48*O$108,0)</x:f>
        <x:v>785.9639312673766</x:v>
      </x:c>
      <x:c r="P48" s="147" t="n">
        <x:f aca="0">IFERROR((IFERROR(S13_PSP_Species_Support!U35*0.0673*(S13_PSP_Species_Support!V35*(S13_PSP_Species_Support!W35*(1-EXP(-S13_PSP_Species_Support!X35*7))^S13_PSP_Species_Support!Y35)^2*(S13_PSP_Species_Support!Z35*(1-EXP(-S13_PSP_Species_Support!AA35*7))^S13_PSP_Species_Support!AB35))^0.976,0)+IFERROR(S13_PSP_Species_Support!AF35*0.0673*(S13_PSP_Species_Support!AG35*(S13_PSP_Species_Support!AH35*(1-EXP(-S13_PSP_Species_Support!AI35*7))^S13_PSP_Species_Support!AJ35)^2*(S13_PSP_Species_Support!AK35*(1-EXP(-S13_PSP_Species_Support!AL35*7))^S13_PSP_Species_Support!AM35))^0.976,0)+IFERROR(S13_PSP_Species_Support!AQ35*0.0673*(S13_PSP_Species_Support!AR35*(S13_PSP_Species_Support!AS35*(1-EXP(-S13_PSP_Species_Support!AT35*7))^S13_PSP_Species_Support!AU35)^2*(S13_PSP_Species_Support!AV35*(1-EXP(-S13_PSP_Species_Support!AW35*7))^S13_PSP_Species_Support!AX35))^0.976,0)+IFERROR(S13_PSP_Species_Support!BB35*0.0673*(S13_PSP_Species_Support!BC35*(S13_PSP_Species_Support!BD35*(1-EXP(-S13_PSP_Species_Support!BE35*7))^S13_PSP_Species_Support!BF35)^2*(S13_PSP_Species_Support!BG35*(1-EXP(-S13_PSP_Species_Support!BH35*7))^S13_PSP_Species_Support!BI35))^0.976,0)+IFERROR(S13_PSP_Species_Support!BM35*0.0673*(S13_PSP_Species_Support!BN35*(S13_PSP_Species_Support!BO35*(1-EXP(-S13_PSP_Species_Support!BP35*7))^S13_PSP_Species_Support!BQ35)^2*(S13_PSP_Species_Support!BR35*(1-EXP(-S13_PSP_Species_Support!BS35*7))^S13_PSP_Species_Support!BT35))^0.976,0)+IFERROR(S13_PSP_Species_Support!BX35*0.0673*(S13_PSP_Species_Support!BY35*(S13_PSP_Species_Support!BZ35*(1-EXP(-S13_PSP_Species_Support!CA35*7))^S13_PSP_Species_Support!CB35)^2*(S13_PSP_Species_Support!CC35*(1-EXP(-S13_PSP_Species_Support!CD35*7))^S13_PSP_Species_Support!CE35))^0.976,0)+IFERROR(S13_PSP_Species_Support!CI35*0.0673*(S13_PSP_Species_Support!CJ35*(S13_PSP_Species_Support!CK35*(1-EXP(-S13_PSP_Species_Support!CL35*7))^S13_PSP_Species_Support!CM35)^2*(S13_PSP_Species_Support!CN35*(1-EXP(-S13_PSP_Species_Support!CO35*7))^S13_PSP_Species_Support!CP35))^0.976,0)+IFERROR(S13_PSP_Species_Support!CT35*0.0673*(S13_PSP_Species_Support!CU35*(S13_PSP_Species_Support!CV35*(1-EXP(-S13_PSP_Species_Support!CW35*7))^S13_PSP_Species_Support!CX35)^2*(S13_PSP_Species_Support!CY35*(1-EXP(-S13_PSP_Species_Support!CZ35*7))^S13_PSP_Species_Support!DA35))^0.976,0))/1000/$G48*P$108,0)</x:f>
        <x:v>1144.2658463486405</x:v>
      </x:c>
      <x:c r="Q48" s="147" t="n">
        <x:f aca="0">IFERROR((IFERROR(S13_PSP_Species_Support!U35*0.0673*(S13_PSP_Species_Support!V35*(S13_PSP_Species_Support!W35*(1-EXP(-S13_PSP_Species_Support!X35*8))^S13_PSP_Species_Support!Y35)^2*(S13_PSP_Species_Support!Z35*(1-EXP(-S13_PSP_Species_Support!AA35*8))^S13_PSP_Species_Support!AB35))^0.976,0)+IFERROR(S13_PSP_Species_Support!AF35*0.0673*(S13_PSP_Species_Support!AG35*(S13_PSP_Species_Support!AH35*(1-EXP(-S13_PSP_Species_Support!AI35*8))^S13_PSP_Species_Support!AJ35)^2*(S13_PSP_Species_Support!AK35*(1-EXP(-S13_PSP_Species_Support!AL35*8))^S13_PSP_Species_Support!AM35))^0.976,0)+IFERROR(S13_PSP_Species_Support!AQ35*0.0673*(S13_PSP_Species_Support!AR35*(S13_PSP_Species_Support!AS35*(1-EXP(-S13_PSP_Species_Support!AT35*8))^S13_PSP_Species_Support!AU35)^2*(S13_PSP_Species_Support!AV35*(1-EXP(-S13_PSP_Species_Support!AW35*8))^S13_PSP_Species_Support!AX35))^0.976,0)+IFERROR(S13_PSP_Species_Support!BB35*0.0673*(S13_PSP_Species_Support!BC35*(S13_PSP_Species_Support!BD35*(1-EXP(-S13_PSP_Species_Support!BE35*8))^S13_PSP_Species_Support!BF35)^2*(S13_PSP_Species_Support!BG35*(1-EXP(-S13_PSP_Species_Support!BH35*8))^S13_PSP_Species_Support!BI35))^0.976,0)+IFERROR(S13_PSP_Species_Support!BM35*0.0673*(S13_PSP_Species_Support!BN35*(S13_PSP_Species_Support!BO35*(1-EXP(-S13_PSP_Species_Support!BP35*8))^S13_PSP_Species_Support!BQ35)^2*(S13_PSP_Species_Support!BR35*(1-EXP(-S13_PSP_Species_Support!BS35*8))^S13_PSP_Species_Support!BT35))^0.976,0)+IFERROR(S13_PSP_Species_Support!BX35*0.0673*(S13_PSP_Species_Support!BY35*(S13_PSP_Species_Support!BZ35*(1-EXP(-S13_PSP_Species_Support!CA35*8))^S13_PSP_Species_Support!CB35)^2*(S13_PSP_Species_Support!CC35*(1-EXP(-S13_PSP_Species_Support!CD35*8))^S13_PSP_Species_Support!CE35))^0.976,0)+IFERROR(S13_PSP_Species_Support!CI35*0.0673*(S13_PSP_Species_Support!CJ35*(S13_PSP_Species_Support!CK35*(1-EXP(-S13_PSP_Species_Support!CL35*8))^S13_PSP_Species_Support!CM35)^2*(S13_PSP_Species_Support!CN35*(1-EXP(-S13_PSP_Species_Support!CO35*8))^S13_PSP_Species_Support!CP35))^0.976,0)+IFERROR(S13_PSP_Species_Support!CT35*0.0673*(S13_PSP_Species_Support!CU35*(S13_PSP_Species_Support!CV35*(1-EXP(-S13_PSP_Species_Support!CW35*8))^S13_PSP_Species_Support!CX35)^2*(S13_PSP_Species_Support!CY35*(1-EXP(-S13_PSP_Species_Support!CZ35*8))^S13_PSP_Species_Support!DA35))^0.976,0))/1000/$G48*Q$108,0)</x:f>
        <x:v>1544.0420627087788</x:v>
      </x:c>
      <x:c r="R48" s="147" t="n">
        <x:f aca="0">IFERROR((IFERROR(S13_PSP_Species_Support!U35*0.0673*(S13_PSP_Species_Support!V35*(S13_PSP_Species_Support!W35*(1-EXP(-S13_PSP_Species_Support!X35*9))^S13_PSP_Species_Support!Y35)^2*(S13_PSP_Species_Support!Z35*(1-EXP(-S13_PSP_Species_Support!AA35*9))^S13_PSP_Species_Support!AB35))^0.976,0)+IFERROR(S13_PSP_Species_Support!AF35*0.0673*(S13_PSP_Species_Support!AG35*(S13_PSP_Species_Support!AH35*(1-EXP(-S13_PSP_Species_Support!AI35*9))^S13_PSP_Species_Support!AJ35)^2*(S13_PSP_Species_Support!AK35*(1-EXP(-S13_PSP_Species_Support!AL35*9))^S13_PSP_Species_Support!AM35))^0.976,0)+IFERROR(S13_PSP_Species_Support!AQ35*0.0673*(S13_PSP_Species_Support!AR35*(S13_PSP_Species_Support!AS35*(1-EXP(-S13_PSP_Species_Support!AT35*9))^S13_PSP_Species_Support!AU35)^2*(S13_PSP_Species_Support!AV35*(1-EXP(-S13_PSP_Species_Support!AW35*9))^S13_PSP_Species_Support!AX35))^0.976,0)+IFERROR(S13_PSP_Species_Support!BB35*0.0673*(S13_PSP_Species_Support!BC35*(S13_PSP_Species_Support!BD35*(1-EXP(-S13_PSP_Species_Support!BE35*9))^S13_PSP_Species_Support!BF35)^2*(S13_PSP_Species_Support!BG35*(1-EXP(-S13_PSP_Species_Support!BH35*9))^S13_PSP_Species_Support!BI35))^0.976,0)+IFERROR(S13_PSP_Species_Support!BM35*0.0673*(S13_PSP_Species_Support!BN35*(S13_PSP_Species_Support!BO35*(1-EXP(-S13_PSP_Species_Support!BP35*9))^S13_PSP_Species_Support!BQ35)^2*(S13_PSP_Species_Support!BR35*(1-EXP(-S13_PSP_Species_Support!BS35*9))^S13_PSP_Species_Support!BT35))^0.976,0)+IFERROR(S13_PSP_Species_Support!BX35*0.0673*(S13_PSP_Species_Support!BY35*(S13_PSP_Species_Support!BZ35*(1-EXP(-S13_PSP_Species_Support!CA35*9))^S13_PSP_Species_Support!CB35)^2*(S13_PSP_Species_Support!CC35*(1-EXP(-S13_PSP_Species_Support!CD35*9))^S13_PSP_Species_Support!CE35))^0.976,0)+IFERROR(S13_PSP_Species_Support!CI35*0.0673*(S13_PSP_Species_Support!CJ35*(S13_PSP_Species_Support!CK35*(1-EXP(-S13_PSP_Species_Support!CL35*9))^S13_PSP_Species_Support!CM35)^2*(S13_PSP_Species_Support!CN35*(1-EXP(-S13_PSP_Species_Support!CO35*9))^S13_PSP_Species_Support!CP35))^0.976,0)+IFERROR(S13_PSP_Species_Support!CT35*0.0673*(S13_PSP_Species_Support!CU35*(S13_PSP_Species_Support!CV35*(1-EXP(-S13_PSP_Species_Support!CW35*9))^S13_PSP_Species_Support!CX35)^2*(S13_PSP_Species_Support!CY35*(1-EXP(-S13_PSP_Species_Support!CZ35*9))^S13_PSP_Species_Support!DA35))^0.976,0))/1000/$G48*R$108,0)</x:f>
        <x:v>1968.8801118703602</x:v>
      </x:c>
      <x:c r="S48" s="147" t="n">
        <x:f aca="0">IFERROR((IFERROR(S13_PSP_Species_Support!U35*0.0673*(S13_PSP_Species_Support!V35*(S13_PSP_Species_Support!W35*(1-EXP(-S13_PSP_Species_Support!X35*10))^S13_PSP_Species_Support!Y35)^2*(S13_PSP_Species_Support!Z35*(1-EXP(-S13_PSP_Species_Support!AA35*10))^S13_PSP_Species_Support!AB35))^0.976,0)+IFERROR(S13_PSP_Species_Support!AF35*0.0673*(S13_PSP_Species_Support!AG35*(S13_PSP_Species_Support!AH35*(1-EXP(-S13_PSP_Species_Support!AI35*10))^S13_PSP_Species_Support!AJ35)^2*(S13_PSP_Species_Support!AK35*(1-EXP(-S13_PSP_Species_Support!AL35*10))^S13_PSP_Species_Support!AM35))^0.976,0)+IFERROR(S13_PSP_Species_Support!AQ35*0.0673*(S13_PSP_Species_Support!AR35*(S13_PSP_Species_Support!AS35*(1-EXP(-S13_PSP_Species_Support!AT35*10))^S13_PSP_Species_Support!AU35)^2*(S13_PSP_Species_Support!AV35*(1-EXP(-S13_PSP_Species_Support!AW35*10))^S13_PSP_Species_Support!AX35))^0.976,0)+IFERROR(S13_PSP_Species_Support!BB35*0.0673*(S13_PSP_Species_Support!BC35*(S13_PSP_Species_Support!BD35*(1-EXP(-S13_PSP_Species_Support!BE35*10))^S13_PSP_Species_Support!BF35)^2*(S13_PSP_Species_Support!BG35*(1-EXP(-S13_PSP_Species_Support!BH35*10))^S13_PSP_Species_Support!BI35))^0.976,0)+IFERROR(S13_PSP_Species_Support!BM35*0.0673*(S13_PSP_Species_Support!BN35*(S13_PSP_Species_Support!BO35*(1-EXP(-S13_PSP_Species_Support!BP35*10))^S13_PSP_Species_Support!BQ35)^2*(S13_PSP_Species_Support!BR35*(1-EXP(-S13_PSP_Species_Support!BS35*10))^S13_PSP_Species_Support!BT35))^0.976,0)+IFERROR(S13_PSP_Species_Support!BX35*0.0673*(S13_PSP_Species_Support!BY35*(S13_PSP_Species_Support!BZ35*(1-EXP(-S13_PSP_Species_Support!CA35*10))^S13_PSP_Species_Support!CB35)^2*(S13_PSP_Species_Support!CC35*(1-EXP(-S13_PSP_Species_Support!CD35*10))^S13_PSP_Species_Support!CE35))^0.976,0)+IFERROR(S13_PSP_Species_Support!CI35*0.0673*(S13_PSP_Species_Support!CJ35*(S13_PSP_Species_Support!CK35*(1-EXP(-S13_PSP_Species_Support!CL35*10))^S13_PSP_Species_Support!CM35)^2*(S13_PSP_Species_Support!CN35*(1-EXP(-S13_PSP_Species_Support!CO35*10))^S13_PSP_Species_Support!CP35))^0.976,0)+IFERROR(S13_PSP_Species_Support!CT35*0.0673*(S13_PSP_Species_Support!CU35*(S13_PSP_Species_Support!CV35*(1-EXP(-S13_PSP_Species_Support!CW35*10))^S13_PSP_Species_Support!CX35)^2*(S13_PSP_Species_Support!CY35*(1-EXP(-S13_PSP_Species_Support!CZ35*10))^S13_PSP_Species_Support!DA35))^0.976,0))/1000/$G48*S$108,0)</x:f>
        <x:v>2404.0180658426752</x:v>
      </x:c>
      <x:c r="T48" s="147" t="n">
        <x:f aca="0">IFERROR((IFERROR(S13_PSP_Species_Support!U35*0.0673*(S13_PSP_Species_Support!V35*(S13_PSP_Species_Support!W35*(1-EXP(-S13_PSP_Species_Support!X35*11))^S13_PSP_Species_Support!Y35)^2*(S13_PSP_Species_Support!Z35*(1-EXP(-S13_PSP_Species_Support!AA35*11))^S13_PSP_Species_Support!AB35))^0.976,0)+IFERROR(S13_PSP_Species_Support!AF35*0.0673*(S13_PSP_Species_Support!AG35*(S13_PSP_Species_Support!AH35*(1-EXP(-S13_PSP_Species_Support!AI35*11))^S13_PSP_Species_Support!AJ35)^2*(S13_PSP_Species_Support!AK35*(1-EXP(-S13_PSP_Species_Support!AL35*11))^S13_PSP_Species_Support!AM35))^0.976,0)+IFERROR(S13_PSP_Species_Support!AQ35*0.0673*(S13_PSP_Species_Support!AR35*(S13_PSP_Species_Support!AS35*(1-EXP(-S13_PSP_Species_Support!AT35*11))^S13_PSP_Species_Support!AU35)^2*(S13_PSP_Species_Support!AV35*(1-EXP(-S13_PSP_Species_Support!AW35*11))^S13_PSP_Species_Support!AX35))^0.976,0)+IFERROR(S13_PSP_Species_Support!BB35*0.0673*(S13_PSP_Species_Support!BC35*(S13_PSP_Species_Support!BD35*(1-EXP(-S13_PSP_Species_Support!BE35*11))^S13_PSP_Species_Support!BF35)^2*(S13_PSP_Species_Support!BG35*(1-EXP(-S13_PSP_Species_Support!BH35*11))^S13_PSP_Species_Support!BI35))^0.976,0)+IFERROR(S13_PSP_Species_Support!BM35*0.0673*(S13_PSP_Species_Support!BN35*(S13_PSP_Species_Support!BO35*(1-EXP(-S13_PSP_Species_Support!BP35*11))^S13_PSP_Species_Support!BQ35)^2*(S13_PSP_Species_Support!BR35*(1-EXP(-S13_PSP_Species_Support!BS35*11))^S13_PSP_Species_Support!BT35))^0.976,0)+IFERROR(S13_PSP_Species_Support!BX35*0.0673*(S13_PSP_Species_Support!BY35*(S13_PSP_Species_Support!BZ35*(1-EXP(-S13_PSP_Species_Support!CA35*11))^S13_PSP_Species_Support!CB35)^2*(S13_PSP_Species_Support!CC35*(1-EXP(-S13_PSP_Species_Support!CD35*11))^S13_PSP_Species_Support!CE35))^0.976,0)+IFERROR(S13_PSP_Species_Support!CI35*0.0673*(S13_PSP_Species_Support!CJ35*(S13_PSP_Species_Support!CK35*(1-EXP(-S13_PSP_Species_Support!CL35*11))^S13_PSP_Species_Support!CM35)^2*(S13_PSP_Species_Support!CN35*(1-EXP(-S13_PSP_Species_Support!CO35*11))^S13_PSP_Species_Support!CP35))^0.976,0)+IFERROR(S13_PSP_Species_Support!CT35*0.0673*(S13_PSP_Species_Support!CU35*(S13_PSP_Species_Support!CV35*(1-EXP(-S13_PSP_Species_Support!CW35*11))^S13_PSP_Species_Support!CX35)^2*(S13_PSP_Species_Support!CY35*(1-EXP(-S13_PSP_Species_Support!CZ35*11))^S13_PSP_Species_Support!DA35))^0.976,0))/1000/$G48*T$108,0)</x:f>
        <x:v>2837.157462665378</x:v>
      </x:c>
      <x:c r="U48" s="147" t="n">
        <x:f aca="0">IFERROR((IFERROR(S13_PSP_Species_Support!U35*0.0673*(S13_PSP_Species_Support!V35*(S13_PSP_Species_Support!W35*(1-EXP(-S13_PSP_Species_Support!X35*12))^S13_PSP_Species_Support!Y35)^2*(S13_PSP_Species_Support!Z35*(1-EXP(-S13_PSP_Species_Support!AA35*12))^S13_PSP_Species_Support!AB35))^0.976,0)+IFERROR(S13_PSP_Species_Support!AF35*0.0673*(S13_PSP_Species_Support!AG35*(S13_PSP_Species_Support!AH35*(1-EXP(-S13_PSP_Species_Support!AI35*12))^S13_PSP_Species_Support!AJ35)^2*(S13_PSP_Species_Support!AK35*(1-EXP(-S13_PSP_Species_Support!AL35*12))^S13_PSP_Species_Support!AM35))^0.976,0)+IFERROR(S13_PSP_Species_Support!AQ35*0.0673*(S13_PSP_Species_Support!AR35*(S13_PSP_Species_Support!AS35*(1-EXP(-S13_PSP_Species_Support!AT35*12))^S13_PSP_Species_Support!AU35)^2*(S13_PSP_Species_Support!AV35*(1-EXP(-S13_PSP_Species_Support!AW35*12))^S13_PSP_Species_Support!AX35))^0.976,0)+IFERROR(S13_PSP_Species_Support!BB35*0.0673*(S13_PSP_Species_Support!BC35*(S13_PSP_Species_Support!BD35*(1-EXP(-S13_PSP_Species_Support!BE35*12))^S13_PSP_Species_Support!BF35)^2*(S13_PSP_Species_Support!BG35*(1-EXP(-S13_PSP_Species_Support!BH35*12))^S13_PSP_Species_Support!BI35))^0.976,0)+IFERROR(S13_PSP_Species_Support!BM35*0.0673*(S13_PSP_Species_Support!BN35*(S13_PSP_Species_Support!BO35*(1-EXP(-S13_PSP_Species_Support!BP35*12))^S13_PSP_Species_Support!BQ35)^2*(S13_PSP_Species_Support!BR35*(1-EXP(-S13_PSP_Species_Support!BS35*12))^S13_PSP_Species_Support!BT35))^0.976,0)+IFERROR(S13_PSP_Species_Support!BX35*0.0673*(S13_PSP_Species_Support!BY35*(S13_PSP_Species_Support!BZ35*(1-EXP(-S13_PSP_Species_Support!CA35*12))^S13_PSP_Species_Support!CB35)^2*(S13_PSP_Species_Support!CC35*(1-EXP(-S13_PSP_Species_Support!CD35*12))^S13_PSP_Species_Support!CE35))^0.976,0)+IFERROR(S13_PSP_Species_Support!CI35*0.0673*(S13_PSP_Species_Support!CJ35*(S13_PSP_Species_Support!CK35*(1-EXP(-S13_PSP_Species_Support!CL35*12))^S13_PSP_Species_Support!CM35)^2*(S13_PSP_Species_Support!CN35*(1-EXP(-S13_PSP_Species_Support!CO35*12))^S13_PSP_Species_Support!CP35))^0.976,0)+IFERROR(S13_PSP_Species_Support!CT35*0.0673*(S13_PSP_Species_Support!CU35*(S13_PSP_Species_Support!CV35*(1-EXP(-S13_PSP_Species_Support!CW35*12))^S13_PSP_Species_Support!CX35)^2*(S13_PSP_Species_Support!CY35*(1-EXP(-S13_PSP_Species_Support!CZ35*12))^S13_PSP_Species_Support!DA35))^0.976,0))/1000/$G48*U$108,0)</x:f>
        <x:v>3258.6907445710103</x:v>
      </x:c>
      <x:c r="V48" s="147" t="n">
        <x:f aca="0">IFERROR((IFERROR(S13_PSP_Species_Support!U35*0.0673*(S13_PSP_Species_Support!V35*(S13_PSP_Species_Support!W35*(1-EXP(-S13_PSP_Species_Support!X35*13))^S13_PSP_Species_Support!Y35)^2*(S13_PSP_Species_Support!Z35*(1-EXP(-S13_PSP_Species_Support!AA35*13))^S13_PSP_Species_Support!AB35))^0.976,0)+IFERROR(S13_PSP_Species_Support!AF35*0.0673*(S13_PSP_Species_Support!AG35*(S13_PSP_Species_Support!AH35*(1-EXP(-S13_PSP_Species_Support!AI35*13))^S13_PSP_Species_Support!AJ35)^2*(S13_PSP_Species_Support!AK35*(1-EXP(-S13_PSP_Species_Support!AL35*13))^S13_PSP_Species_Support!AM35))^0.976,0)+IFERROR(S13_PSP_Species_Support!AQ35*0.0673*(S13_PSP_Species_Support!AR35*(S13_PSP_Species_Support!AS35*(1-EXP(-S13_PSP_Species_Support!AT35*13))^S13_PSP_Species_Support!AU35)^2*(S13_PSP_Species_Support!AV35*(1-EXP(-S13_PSP_Species_Support!AW35*13))^S13_PSP_Species_Support!AX35))^0.976,0)+IFERROR(S13_PSP_Species_Support!BB35*0.0673*(S13_PSP_Species_Support!BC35*(S13_PSP_Species_Support!BD35*(1-EXP(-S13_PSP_Species_Support!BE35*13))^S13_PSP_Species_Support!BF35)^2*(S13_PSP_Species_Support!BG35*(1-EXP(-S13_PSP_Species_Support!BH35*13))^S13_PSP_Species_Support!BI35))^0.976,0)+IFERROR(S13_PSP_Species_Support!BM35*0.0673*(S13_PSP_Species_Support!BN35*(S13_PSP_Species_Support!BO35*(1-EXP(-S13_PSP_Species_Support!BP35*13))^S13_PSP_Species_Support!BQ35)^2*(S13_PSP_Species_Support!BR35*(1-EXP(-S13_PSP_Species_Support!BS35*13))^S13_PSP_Species_Support!BT35))^0.976,0)+IFERROR(S13_PSP_Species_Support!BX35*0.0673*(S13_PSP_Species_Support!BY35*(S13_PSP_Species_Support!BZ35*(1-EXP(-S13_PSP_Species_Support!CA35*13))^S13_PSP_Species_Support!CB35)^2*(S13_PSP_Species_Support!CC35*(1-EXP(-S13_PSP_Species_Support!CD35*13))^S13_PSP_Species_Support!CE35))^0.976,0)+IFERROR(S13_PSP_Species_Support!CI35*0.0673*(S13_PSP_Species_Support!CJ35*(S13_PSP_Species_Support!CK35*(1-EXP(-S13_PSP_Species_Support!CL35*13))^S13_PSP_Species_Support!CM35)^2*(S13_PSP_Species_Support!CN35*(1-EXP(-S13_PSP_Species_Support!CO35*13))^S13_PSP_Species_Support!CP35))^0.976,0)+IFERROR(S13_PSP_Species_Support!CT35*0.0673*(S13_PSP_Species_Support!CU35*(S13_PSP_Species_Support!CV35*(1-EXP(-S13_PSP_Species_Support!CW35*13))^S13_PSP_Species_Support!CX35)^2*(S13_PSP_Species_Support!CY35*(1-EXP(-S13_PSP_Species_Support!CZ35*13))^S13_PSP_Species_Support!DA35))^0.976,0))/1000/$G48*V$108,0)</x:f>
        <x:v>3661.5767128498883</x:v>
      </x:c>
      <x:c r="W48" s="147" t="n">
        <x:f aca="0">IFERROR((IFERROR(S13_PSP_Species_Support!U35*0.0673*(S13_PSP_Species_Support!V35*(S13_PSP_Species_Support!W35*(1-EXP(-S13_PSP_Species_Support!X35*14))^S13_PSP_Species_Support!Y35)^2*(S13_PSP_Species_Support!Z35*(1-EXP(-S13_PSP_Species_Support!AA35*14))^S13_PSP_Species_Support!AB35))^0.976,0)+IFERROR(S13_PSP_Species_Support!AF35*0.0673*(S13_PSP_Species_Support!AG35*(S13_PSP_Species_Support!AH35*(1-EXP(-S13_PSP_Species_Support!AI35*14))^S13_PSP_Species_Support!AJ35)^2*(S13_PSP_Species_Support!AK35*(1-EXP(-S13_PSP_Species_Support!AL35*14))^S13_PSP_Species_Support!AM35))^0.976,0)+IFERROR(S13_PSP_Species_Support!AQ35*0.0673*(S13_PSP_Species_Support!AR35*(S13_PSP_Species_Support!AS35*(1-EXP(-S13_PSP_Species_Support!AT35*14))^S13_PSP_Species_Support!AU35)^2*(S13_PSP_Species_Support!AV35*(1-EXP(-S13_PSP_Species_Support!AW35*14))^S13_PSP_Species_Support!AX35))^0.976,0)+IFERROR(S13_PSP_Species_Support!BB35*0.0673*(S13_PSP_Species_Support!BC35*(S13_PSP_Species_Support!BD35*(1-EXP(-S13_PSP_Species_Support!BE35*14))^S13_PSP_Species_Support!BF35)^2*(S13_PSP_Species_Support!BG35*(1-EXP(-S13_PSP_Species_Support!BH35*14))^S13_PSP_Species_Support!BI35))^0.976,0)+IFERROR(S13_PSP_Species_Support!BM35*0.0673*(S13_PSP_Species_Support!BN35*(S13_PSP_Species_Support!BO35*(1-EXP(-S13_PSP_Species_Support!BP35*14))^S13_PSP_Species_Support!BQ35)^2*(S13_PSP_Species_Support!BR35*(1-EXP(-S13_PSP_Species_Support!BS35*14))^S13_PSP_Species_Support!BT35))^0.976,0)+IFERROR(S13_PSP_Species_Support!BX35*0.0673*(S13_PSP_Species_Support!BY35*(S13_PSP_Species_Support!BZ35*(1-EXP(-S13_PSP_Species_Support!CA35*14))^S13_PSP_Species_Support!CB35)^2*(S13_PSP_Species_Support!CC35*(1-EXP(-S13_PSP_Species_Support!CD35*14))^S13_PSP_Species_Support!CE35))^0.976,0)+IFERROR(S13_PSP_Species_Support!CI35*0.0673*(S13_PSP_Species_Support!CJ35*(S13_PSP_Species_Support!CK35*(1-EXP(-S13_PSP_Species_Support!CL35*14))^S13_PSP_Species_Support!CM35)^2*(S13_PSP_Species_Support!CN35*(1-EXP(-S13_PSP_Species_Support!CO35*14))^S13_PSP_Species_Support!CP35))^0.976,0)+IFERROR(S13_PSP_Species_Support!CT35*0.0673*(S13_PSP_Species_Support!CU35*(S13_PSP_Species_Support!CV35*(1-EXP(-S13_PSP_Species_Support!CW35*14))^S13_PSP_Species_Support!CX35)^2*(S13_PSP_Species_Support!CY35*(1-EXP(-S13_PSP_Species_Support!CZ35*14))^S13_PSP_Species_Support!DA35))^0.976,0))/1000/$G48*W$108,0)</x:f>
        <x:v>4041.032297339473</x:v>
      </x:c>
      <x:c r="X48" s="147" t="n">
        <x:f aca="0">IFERROR((IFERROR(S13_PSP_Species_Support!U35*0.0673*(S13_PSP_Species_Support!V35*(S13_PSP_Species_Support!W35*(1-EXP(-S13_PSP_Species_Support!X35*15))^S13_PSP_Species_Support!Y35)^2*(S13_PSP_Species_Support!Z35*(1-EXP(-S13_PSP_Species_Support!AA35*15))^S13_PSP_Species_Support!AB35))^0.976,0)+IFERROR(S13_PSP_Species_Support!AF35*0.0673*(S13_PSP_Species_Support!AG35*(S13_PSP_Species_Support!AH35*(1-EXP(-S13_PSP_Species_Support!AI35*15))^S13_PSP_Species_Support!AJ35)^2*(S13_PSP_Species_Support!AK35*(1-EXP(-S13_PSP_Species_Support!AL35*15))^S13_PSP_Species_Support!AM35))^0.976,0)+IFERROR(S13_PSP_Species_Support!AQ35*0.0673*(S13_PSP_Species_Support!AR35*(S13_PSP_Species_Support!AS35*(1-EXP(-S13_PSP_Species_Support!AT35*15))^S13_PSP_Species_Support!AU35)^2*(S13_PSP_Species_Support!AV35*(1-EXP(-S13_PSP_Species_Support!AW35*15))^S13_PSP_Species_Support!AX35))^0.976,0)+IFERROR(S13_PSP_Species_Support!BB35*0.0673*(S13_PSP_Species_Support!BC35*(S13_PSP_Species_Support!BD35*(1-EXP(-S13_PSP_Species_Support!BE35*15))^S13_PSP_Species_Support!BF35)^2*(S13_PSP_Species_Support!BG35*(1-EXP(-S13_PSP_Species_Support!BH35*15))^S13_PSP_Species_Support!BI35))^0.976,0)+IFERROR(S13_PSP_Species_Support!BM35*0.0673*(S13_PSP_Species_Support!BN35*(S13_PSP_Species_Support!BO35*(1-EXP(-S13_PSP_Species_Support!BP35*15))^S13_PSP_Species_Support!BQ35)^2*(S13_PSP_Species_Support!BR35*(1-EXP(-S13_PSP_Species_Support!BS35*15))^S13_PSP_Species_Support!BT35))^0.976,0)+IFERROR(S13_PSP_Species_Support!BX35*0.0673*(S13_PSP_Species_Support!BY35*(S13_PSP_Species_Support!BZ35*(1-EXP(-S13_PSP_Species_Support!CA35*15))^S13_PSP_Species_Support!CB35)^2*(S13_PSP_Species_Support!CC35*(1-EXP(-S13_PSP_Species_Support!CD35*15))^S13_PSP_Species_Support!CE35))^0.976,0)+IFERROR(S13_PSP_Species_Support!CI35*0.0673*(S13_PSP_Species_Support!CJ35*(S13_PSP_Species_Support!CK35*(1-EXP(-S13_PSP_Species_Support!CL35*15))^S13_PSP_Species_Support!CM35)^2*(S13_PSP_Species_Support!CN35*(1-EXP(-S13_PSP_Species_Support!CO35*15))^S13_PSP_Species_Support!CP35))^0.976,0)+IFERROR(S13_PSP_Species_Support!CT35*0.0673*(S13_PSP_Species_Support!CU35*(S13_PSP_Species_Support!CV35*(1-EXP(-S13_PSP_Species_Support!CW35*15))^S13_PSP_Species_Support!CX35)^2*(S13_PSP_Species_Support!CY35*(1-EXP(-S13_PSP_Species_Support!CZ35*15))^S13_PSP_Species_Support!DA35))^0.976,0))/1000/$G48*X$108,0)</x:f>
        <x:v>4394.151693648321</x:v>
      </x:c>
      <x:c r="Y48" s="147" t="n">
        <x:f aca="0">IFERROR((IFERROR(S13_PSP_Species_Support!U35*0.0673*(S13_PSP_Species_Support!V35*(S13_PSP_Species_Support!W35*(1-EXP(-S13_PSP_Species_Support!X35*16))^S13_PSP_Species_Support!Y35)^2*(S13_PSP_Species_Support!Z35*(1-EXP(-S13_PSP_Species_Support!AA35*16))^S13_PSP_Species_Support!AB35))^0.976,0)+IFERROR(S13_PSP_Species_Support!AF35*0.0673*(S13_PSP_Species_Support!AG35*(S13_PSP_Species_Support!AH35*(1-EXP(-S13_PSP_Species_Support!AI35*16))^S13_PSP_Species_Support!AJ35)^2*(S13_PSP_Species_Support!AK35*(1-EXP(-S13_PSP_Species_Support!AL35*16))^S13_PSP_Species_Support!AM35))^0.976,0)+IFERROR(S13_PSP_Species_Support!AQ35*0.0673*(S13_PSP_Species_Support!AR35*(S13_PSP_Species_Support!AS35*(1-EXP(-S13_PSP_Species_Support!AT35*16))^S13_PSP_Species_Support!AU35)^2*(S13_PSP_Species_Support!AV35*(1-EXP(-S13_PSP_Species_Support!AW35*16))^S13_PSP_Species_Support!AX35))^0.976,0)+IFERROR(S13_PSP_Species_Support!BB35*0.0673*(S13_PSP_Species_Support!BC35*(S13_PSP_Species_Support!BD35*(1-EXP(-S13_PSP_Species_Support!BE35*16))^S13_PSP_Species_Support!BF35)^2*(S13_PSP_Species_Support!BG35*(1-EXP(-S13_PSP_Species_Support!BH35*16))^S13_PSP_Species_Support!BI35))^0.976,0)+IFERROR(S13_PSP_Species_Support!BM35*0.0673*(S13_PSP_Species_Support!BN35*(S13_PSP_Species_Support!BO35*(1-EXP(-S13_PSP_Species_Support!BP35*16))^S13_PSP_Species_Support!BQ35)^2*(S13_PSP_Species_Support!BR35*(1-EXP(-S13_PSP_Species_Support!BS35*16))^S13_PSP_Species_Support!BT35))^0.976,0)+IFERROR(S13_PSP_Species_Support!BX35*0.0673*(S13_PSP_Species_Support!BY35*(S13_PSP_Species_Support!BZ35*(1-EXP(-S13_PSP_Species_Support!CA35*16))^S13_PSP_Species_Support!CB35)^2*(S13_PSP_Species_Support!CC35*(1-EXP(-S13_PSP_Species_Support!CD35*16))^S13_PSP_Species_Support!CE35))^0.976,0)+IFERROR(S13_PSP_Species_Support!CI35*0.0673*(S13_PSP_Species_Support!CJ35*(S13_PSP_Species_Support!CK35*(1-EXP(-S13_PSP_Species_Support!CL35*16))^S13_PSP_Species_Support!CM35)^2*(S13_PSP_Species_Support!CN35*(1-EXP(-S13_PSP_Species_Support!CO35*16))^S13_PSP_Species_Support!CP35))^0.976,0)+IFERROR(S13_PSP_Species_Support!CT35*0.0673*(S13_PSP_Species_Support!CU35*(S13_PSP_Species_Support!CV35*(1-EXP(-S13_PSP_Species_Support!CW35*16))^S13_PSP_Species_Support!CX35)^2*(S13_PSP_Species_Support!CY35*(1-EXP(-S13_PSP_Species_Support!CZ35*16))^S13_PSP_Species_Support!DA35))^0.976,0))/1000/$G48*Y$108,0)</x:f>
        <x:v>4719.52029351287</x:v>
      </x:c>
      <x:c r="Z48" s="147" t="n">
        <x:f aca="0">IFERROR((IFERROR(S13_PSP_Species_Support!U35*0.0673*(S13_PSP_Species_Support!V35*(S13_PSP_Species_Support!W35*(1-EXP(-S13_PSP_Species_Support!X35*17))^S13_PSP_Species_Support!Y35)^2*(S13_PSP_Species_Support!Z35*(1-EXP(-S13_PSP_Species_Support!AA35*17))^S13_PSP_Species_Support!AB35))^0.976,0)+IFERROR(S13_PSP_Species_Support!AF35*0.0673*(S13_PSP_Species_Support!AG35*(S13_PSP_Species_Support!AH35*(1-EXP(-S13_PSP_Species_Support!AI35*17))^S13_PSP_Species_Support!AJ35)^2*(S13_PSP_Species_Support!AK35*(1-EXP(-S13_PSP_Species_Support!AL35*17))^S13_PSP_Species_Support!AM35))^0.976,0)+IFERROR(S13_PSP_Species_Support!AQ35*0.0673*(S13_PSP_Species_Support!AR35*(S13_PSP_Species_Support!AS35*(1-EXP(-S13_PSP_Species_Support!AT35*17))^S13_PSP_Species_Support!AU35)^2*(S13_PSP_Species_Support!AV35*(1-EXP(-S13_PSP_Species_Support!AW35*17))^S13_PSP_Species_Support!AX35))^0.976,0)+IFERROR(S13_PSP_Species_Support!BB35*0.0673*(S13_PSP_Species_Support!BC35*(S13_PSP_Species_Support!BD35*(1-EXP(-S13_PSP_Species_Support!BE35*17))^S13_PSP_Species_Support!BF35)^2*(S13_PSP_Species_Support!BG35*(1-EXP(-S13_PSP_Species_Support!BH35*17))^S13_PSP_Species_Support!BI35))^0.976,0)+IFERROR(S13_PSP_Species_Support!BM35*0.0673*(S13_PSP_Species_Support!BN35*(S13_PSP_Species_Support!BO35*(1-EXP(-S13_PSP_Species_Support!BP35*17))^S13_PSP_Species_Support!BQ35)^2*(S13_PSP_Species_Support!BR35*(1-EXP(-S13_PSP_Species_Support!BS35*17))^S13_PSP_Species_Support!BT35))^0.976,0)+IFERROR(S13_PSP_Species_Support!BX35*0.0673*(S13_PSP_Species_Support!BY35*(S13_PSP_Species_Support!BZ35*(1-EXP(-S13_PSP_Species_Support!CA35*17))^S13_PSP_Species_Support!CB35)^2*(S13_PSP_Species_Support!CC35*(1-EXP(-S13_PSP_Species_Support!CD35*17))^S13_PSP_Species_Support!CE35))^0.976,0)+IFERROR(S13_PSP_Species_Support!CI35*0.0673*(S13_PSP_Species_Support!CJ35*(S13_PSP_Species_Support!CK35*(1-EXP(-S13_PSP_Species_Support!CL35*17))^S13_PSP_Species_Support!CM35)^2*(S13_PSP_Species_Support!CN35*(1-EXP(-S13_PSP_Species_Support!CO35*17))^S13_PSP_Species_Support!CP35))^0.976,0)+IFERROR(S13_PSP_Species_Support!CT35*0.0673*(S13_PSP_Species_Support!CU35*(S13_PSP_Species_Support!CV35*(1-EXP(-S13_PSP_Species_Support!CW35*17))^S13_PSP_Species_Support!CX35)^2*(S13_PSP_Species_Support!CY35*(1-EXP(-S13_PSP_Species_Support!CZ35*17))^S13_PSP_Species_Support!DA35))^0.976,0))/1000/$G48*Z$108,0)</x:f>
        <x:v>5016.860323310291</x:v>
      </x:c>
      <x:c r="AA48" s="147" t="n">
        <x:f aca="0">IFERROR((IFERROR(S13_PSP_Species_Support!U35*0.0673*(S13_PSP_Species_Support!V35*(S13_PSP_Species_Support!W35*(1-EXP(-S13_PSP_Species_Support!X35*18))^S13_PSP_Species_Support!Y35)^2*(S13_PSP_Species_Support!Z35*(1-EXP(-S13_PSP_Species_Support!AA35*18))^S13_PSP_Species_Support!AB35))^0.976,0)+IFERROR(S13_PSP_Species_Support!AF35*0.0673*(S13_PSP_Species_Support!AG35*(S13_PSP_Species_Support!AH35*(1-EXP(-S13_PSP_Species_Support!AI35*18))^S13_PSP_Species_Support!AJ35)^2*(S13_PSP_Species_Support!AK35*(1-EXP(-S13_PSP_Species_Support!AL35*18))^S13_PSP_Species_Support!AM35))^0.976,0)+IFERROR(S13_PSP_Species_Support!AQ35*0.0673*(S13_PSP_Species_Support!AR35*(S13_PSP_Species_Support!AS35*(1-EXP(-S13_PSP_Species_Support!AT35*18))^S13_PSP_Species_Support!AU35)^2*(S13_PSP_Species_Support!AV35*(1-EXP(-S13_PSP_Species_Support!AW35*18))^S13_PSP_Species_Support!AX35))^0.976,0)+IFERROR(S13_PSP_Species_Support!BB35*0.0673*(S13_PSP_Species_Support!BC35*(S13_PSP_Species_Support!BD35*(1-EXP(-S13_PSP_Species_Support!BE35*18))^S13_PSP_Species_Support!BF35)^2*(S13_PSP_Species_Support!BG35*(1-EXP(-S13_PSP_Species_Support!BH35*18))^S13_PSP_Species_Support!BI35))^0.976,0)+IFERROR(S13_PSP_Species_Support!BM35*0.0673*(S13_PSP_Species_Support!BN35*(S13_PSP_Species_Support!BO35*(1-EXP(-S13_PSP_Species_Support!BP35*18))^S13_PSP_Species_Support!BQ35)^2*(S13_PSP_Species_Support!BR35*(1-EXP(-S13_PSP_Species_Support!BS35*18))^S13_PSP_Species_Support!BT35))^0.976,0)+IFERROR(S13_PSP_Species_Support!BX35*0.0673*(S13_PSP_Species_Support!BY35*(S13_PSP_Species_Support!BZ35*(1-EXP(-S13_PSP_Species_Support!CA35*18))^S13_PSP_Species_Support!CB35)^2*(S13_PSP_Species_Support!CC35*(1-EXP(-S13_PSP_Species_Support!CD35*18))^S13_PSP_Species_Support!CE35))^0.976,0)+IFERROR(S13_PSP_Species_Support!CI35*0.0673*(S13_PSP_Species_Support!CJ35*(S13_PSP_Species_Support!CK35*(1-EXP(-S13_PSP_Species_Support!CL35*18))^S13_PSP_Species_Support!CM35)^2*(S13_PSP_Species_Support!CN35*(1-EXP(-S13_PSP_Species_Support!CO35*18))^S13_PSP_Species_Support!CP35))^0.976,0)+IFERROR(S13_PSP_Species_Support!CT35*0.0673*(S13_PSP_Species_Support!CU35*(S13_PSP_Species_Support!CV35*(1-EXP(-S13_PSP_Species_Support!CW35*18))^S13_PSP_Species_Support!CX35)^2*(S13_PSP_Species_Support!CY35*(1-EXP(-S13_PSP_Species_Support!CZ35*18))^S13_PSP_Species_Support!DA35))^0.976,0))/1000/$G48*AA$108,0)</x:f>
        <x:v>5286.72515613103</x:v>
      </x:c>
      <x:c r="AB48" s="147" t="n">
        <x:f aca="0">IFERROR((IFERROR(S13_PSP_Species_Support!U35*0.0673*(S13_PSP_Species_Support!V35*(S13_PSP_Species_Support!W35*(1-EXP(-S13_PSP_Species_Support!X35*19))^S13_PSP_Species_Support!Y35)^2*(S13_PSP_Species_Support!Z35*(1-EXP(-S13_PSP_Species_Support!AA35*19))^S13_PSP_Species_Support!AB35))^0.976,0)+IFERROR(S13_PSP_Species_Support!AF35*0.0673*(S13_PSP_Species_Support!AG35*(S13_PSP_Species_Support!AH35*(1-EXP(-S13_PSP_Species_Support!AI35*19))^S13_PSP_Species_Support!AJ35)^2*(S13_PSP_Species_Support!AK35*(1-EXP(-S13_PSP_Species_Support!AL35*19))^S13_PSP_Species_Support!AM35))^0.976,0)+IFERROR(S13_PSP_Species_Support!AQ35*0.0673*(S13_PSP_Species_Support!AR35*(S13_PSP_Species_Support!AS35*(1-EXP(-S13_PSP_Species_Support!AT35*19))^S13_PSP_Species_Support!AU35)^2*(S13_PSP_Species_Support!AV35*(1-EXP(-S13_PSP_Species_Support!AW35*19))^S13_PSP_Species_Support!AX35))^0.976,0)+IFERROR(S13_PSP_Species_Support!BB35*0.0673*(S13_PSP_Species_Support!BC35*(S13_PSP_Species_Support!BD35*(1-EXP(-S13_PSP_Species_Support!BE35*19))^S13_PSP_Species_Support!BF35)^2*(S13_PSP_Species_Support!BG35*(1-EXP(-S13_PSP_Species_Support!BH35*19))^S13_PSP_Species_Support!BI35))^0.976,0)+IFERROR(S13_PSP_Species_Support!BM35*0.0673*(S13_PSP_Species_Support!BN35*(S13_PSP_Species_Support!BO35*(1-EXP(-S13_PSP_Species_Support!BP35*19))^S13_PSP_Species_Support!BQ35)^2*(S13_PSP_Species_Support!BR35*(1-EXP(-S13_PSP_Species_Support!BS35*19))^S13_PSP_Species_Support!BT35))^0.976,0)+IFERROR(S13_PSP_Species_Support!BX35*0.0673*(S13_PSP_Species_Support!BY35*(S13_PSP_Species_Support!BZ35*(1-EXP(-S13_PSP_Species_Support!CA35*19))^S13_PSP_Species_Support!CB35)^2*(S13_PSP_Species_Support!CC35*(1-EXP(-S13_PSP_Species_Support!CD35*19))^S13_PSP_Species_Support!CE35))^0.976,0)+IFERROR(S13_PSP_Species_Support!CI35*0.0673*(S13_PSP_Species_Support!CJ35*(S13_PSP_Species_Support!CK35*(1-EXP(-S13_PSP_Species_Support!CL35*19))^S13_PSP_Species_Support!CM35)^2*(S13_PSP_Species_Support!CN35*(1-EXP(-S13_PSP_Species_Support!CO35*19))^S13_PSP_Species_Support!CP35))^0.976,0)+IFERROR(S13_PSP_Species_Support!CT35*0.0673*(S13_PSP_Species_Support!CU35*(S13_PSP_Species_Support!CV35*(1-EXP(-S13_PSP_Species_Support!CW35*19))^S13_PSP_Species_Support!CX35)^2*(S13_PSP_Species_Support!CY35*(1-EXP(-S13_PSP_Species_Support!CZ35*19))^S13_PSP_Species_Support!DA35))^0.976,0))/1000/$G48*AB$108,0)</x:f>
        <x:v>5530.247046609643</x:v>
      </x:c>
      <x:c r="AC48" s="147" t="n">
        <x:f aca="0">IFERROR((IFERROR(S13_PSP_Species_Support!U35*0.0673*(S13_PSP_Species_Support!V35*(S13_PSP_Species_Support!W35*(1-EXP(-S13_PSP_Species_Support!X35*20))^S13_PSP_Species_Support!Y35)^2*(S13_PSP_Species_Support!Z35*(1-EXP(-S13_PSP_Species_Support!AA35*20))^S13_PSP_Species_Support!AB35))^0.976,0)+IFERROR(S13_PSP_Species_Support!AF35*0.0673*(S13_PSP_Species_Support!AG35*(S13_PSP_Species_Support!AH35*(1-EXP(-S13_PSP_Species_Support!AI35*20))^S13_PSP_Species_Support!AJ35)^2*(S13_PSP_Species_Support!AK35*(1-EXP(-S13_PSP_Species_Support!AL35*20))^S13_PSP_Species_Support!AM35))^0.976,0)+IFERROR(S13_PSP_Species_Support!AQ35*0.0673*(S13_PSP_Species_Support!AR35*(S13_PSP_Species_Support!AS35*(1-EXP(-S13_PSP_Species_Support!AT35*20))^S13_PSP_Species_Support!AU35)^2*(S13_PSP_Species_Support!AV35*(1-EXP(-S13_PSP_Species_Support!AW35*20))^S13_PSP_Species_Support!AX35))^0.976,0)+IFERROR(S13_PSP_Species_Support!BB35*0.0673*(S13_PSP_Species_Support!BC35*(S13_PSP_Species_Support!BD35*(1-EXP(-S13_PSP_Species_Support!BE35*20))^S13_PSP_Species_Support!BF35)^2*(S13_PSP_Species_Support!BG35*(1-EXP(-S13_PSP_Species_Support!BH35*20))^S13_PSP_Species_Support!BI35))^0.976,0)+IFERROR(S13_PSP_Species_Support!BM35*0.0673*(S13_PSP_Species_Support!BN35*(S13_PSP_Species_Support!BO35*(1-EXP(-S13_PSP_Species_Support!BP35*20))^S13_PSP_Species_Support!BQ35)^2*(S13_PSP_Species_Support!BR35*(1-EXP(-S13_PSP_Species_Support!BS35*20))^S13_PSP_Species_Support!BT35))^0.976,0)+IFERROR(S13_PSP_Species_Support!BX35*0.0673*(S13_PSP_Species_Support!BY35*(S13_PSP_Species_Support!BZ35*(1-EXP(-S13_PSP_Species_Support!CA35*20))^S13_PSP_Species_Support!CB35)^2*(S13_PSP_Species_Support!CC35*(1-EXP(-S13_PSP_Species_Support!CD35*20))^S13_PSP_Species_Support!CE35))^0.976,0)+IFERROR(S13_PSP_Species_Support!CI35*0.0673*(S13_PSP_Species_Support!CJ35*(S13_PSP_Species_Support!CK35*(1-EXP(-S13_PSP_Species_Support!CL35*20))^S13_PSP_Species_Support!CM35)^2*(S13_PSP_Species_Support!CN35*(1-EXP(-S13_PSP_Species_Support!CO35*20))^S13_PSP_Species_Support!CP35))^0.976,0)+IFERROR(S13_PSP_Species_Support!CT35*0.0673*(S13_PSP_Species_Support!CU35*(S13_PSP_Species_Support!CV35*(1-EXP(-S13_PSP_Species_Support!CW35*20))^S13_PSP_Species_Support!CX35)^2*(S13_PSP_Species_Support!CY35*(1-EXP(-S13_PSP_Species_Support!CZ35*20))^S13_PSP_Species_Support!DA35))^0.976,0))/1000/$G48*AC$108,0)</x:f>
        <x:v>5748.936129798104</x:v>
      </x:c>
      <x:c r="AD48" s="148" t="n">
        <x:f aca="0">IF(2020&lt;$F48,0,INDEX($I48:$AC48,1,2020-$F48+1))</x:f>
        <x:v>0</x:v>
      </x:c>
      <x:c r="AE48" s="148" t="n">
        <x:f aca="0">IF(2021&lt;$F48,0,INDEX($I48:$AC48,1,2021-$F48+1))</x:f>
        <x:v>2.3033933211614013</x:v>
      </x:c>
      <x:c r="AF48" s="148" t="n">
        <x:f aca="0">IF(2022&lt;$F48,0,INDEX($I48:$AC48,1,2022-$F48+1))</x:f>
        <x:v>27.461940330305175</x:v>
      </x:c>
      <x:c r="AG48" s="148" t="n">
        <x:f aca="0">IF(2023&lt;$F48,0,INDEX($I48:$AC48,1,2023-$F48+1))</x:f>
        <x:v>105.32532387660375</x:v>
      </x:c>
      <x:c r="AH48" s="148" t="n">
        <x:f aca="0">IF(2024&lt;$F48,0,INDEX($I48:$AC48,1,2024-$F48+1))</x:f>
        <x:v>256.43364617901955</x:v>
      </x:c>
      <x:c r="AI48" s="148" t="n">
        <x:f aca="0">IF(2025&lt;$F48,0,INDEX($I48:$AC48,1,2025-$F48+1))</x:f>
        <x:v>485.51477887255857</x:v>
      </x:c>
      <x:c r="AJ48" s="148" t="n">
        <x:f aca="0">IF(2026&lt;$F48,0,INDEX($I48:$AC48,1,2026-$F48+1))</x:f>
        <x:v>785.9639312673766</x:v>
      </x:c>
      <x:c r="AK48" s="148" t="n">
        <x:f aca="0">IF(2027&lt;$F48,0,INDEX($I48:$AC48,1,2027-$F48+1))</x:f>
        <x:v>1144.2658463486405</x:v>
      </x:c>
      <x:c r="AL48" s="148" t="n">
        <x:f aca="0">IF(2028&lt;$F48,0,INDEX($I48:$AC48,1,2028-$F48+1))</x:f>
        <x:v>1544.0420627087788</x:v>
      </x:c>
      <x:c r="AM48" s="148" t="n">
        <x:f aca="0">IF(2029&lt;$F48,0,INDEX($I48:$AC48,1,2029-$F48+1))</x:f>
        <x:v>1968.8801118703602</x:v>
      </x:c>
      <x:c r="AN48" s="148" t="n">
        <x:f aca="0">IF(2030&lt;$F48,0,INDEX($I48:$AC48,1,2030-$F48+1))</x:f>
        <x:v>2404.0180658426752</x:v>
      </x:c>
      <x:c r="AO48" s="148" t="n">
        <x:f aca="0">IF(2031&lt;$F48,0,INDEX($I48:$AC48,1,2031-$F48+1))</x:f>
        <x:v>2837.157462665378</x:v>
      </x:c>
      <x:c r="AP48" s="148" t="n">
        <x:f aca="0">IF(2032&lt;$F48,0,INDEX($I48:$AC48,1,2032-$F48+1))</x:f>
        <x:v>3258.6907445710103</x:v>
      </x:c>
      <x:c r="AQ48" s="148" t="n">
        <x:f aca="0">IF(2033&lt;$F48,0,INDEX($I48:$AC48,1,2033-$F48+1))</x:f>
        <x:v>3661.5767128498883</x:v>
      </x:c>
      <x:c r="AR48" s="148" t="n">
        <x:f aca="0">IF(2034&lt;$F48,0,INDEX($I48:$AC48,1,2034-$F48+1))</x:f>
        <x:v>4041.032297339473</x:v>
      </x:c>
      <x:c r="AS48" s="148" t="n">
        <x:f aca="0">IF(2035&lt;$F48,0,INDEX($I48:$AC48,1,2035-$F48+1))</x:f>
        <x:v>4394.151693648321</x:v>
      </x:c>
      <x:c r="AT48" s="148" t="n">
        <x:f aca="0">IF(2036&lt;$F48,0,INDEX($I48:$AC48,1,2036-$F48+1))</x:f>
        <x:v>4719.52029351287</x:v>
      </x:c>
      <x:c r="AU48" s="148" t="n">
        <x:f aca="0">IF(2037&lt;$F48,0,INDEX($I48:$AC48,1,2037-$F48+1))</x:f>
        <x:v>5016.860323310291</x:v>
      </x:c>
      <x:c r="AV48" s="148" t="n">
        <x:f aca="0">IF(2038&lt;$F48,0,INDEX($I48:$AC48,1,2038-$F48+1))</x:f>
        <x:v>5286.72515613103</x:v>
      </x:c>
      <x:c r="AW48" s="148" t="n">
        <x:f aca="0">IF(2039&lt;$F48,0,INDEX($I48:$AC48,1,2039-$F48+1))</x:f>
        <x:v>5530.247046609643</x:v>
      </x:c>
      <x:c r="AX48" s="148" t="n">
        <x:f aca="0">IF(2040&lt;$F48,0,INDEX($I48:$AC48,1,2040-$F48+1))</x:f>
        <x:v>5748.936129798104</x:v>
      </x:c>
      <x:c r="AY48" s="1" t="str">
        <x:f aca="0">LEFT($C48,FIND("@",SUBSTITUTE($C48,"|","@",2))-1)</x:f>
        <x:v>Mixed Agroforestry|High</x:v>
      </x:c>
      <x:c r="AZ48" s="1" t="str">
        <x:f aca="0">LEFT($C48,FIND("|",$C48)-1)</x:f>
        <x:v>Mixed Agroforestry</x:v>
      </x:c>
      <x:c r="BA48" s="149" t="n">
        <x:f aca="0">I48*I48</x:f>
        <x:v>0</x:v>
      </x:c>
      <x:c r="BB48" s="149" t="n">
        <x:f aca="0">J48*J48</x:f>
        <x:v>5.30562079197095</x:v>
      </x:c>
      <x:c r="BC48" s="149" t="n">
        <x:f aca="0">K48*K48</x:f>
        <x:v>754.1581667052419</x:v>
      </x:c>
      <x:c r="BD48" s="149" t="n">
        <x:f aca="0">L48*L48</x:f>
        <x:v>11093.423849711475</x:v>
      </x:c>
      <x:c r="BE48" s="149" t="n">
        <x:f aca="0">M48*M48</x:f>
        <x:v>65758.21489266658</x:v>
      </x:c>
      <x:c r="BF48" s="149" t="n">
        <x:f aca="0">N48*N48</x:f>
        <x:v>235724.60050366944</x:v>
      </x:c>
      <x:c r="BG48" s="149" t="n">
        <x:f aca="0">O48*O48</x:f>
        <x:v>617739.3012532694</x:v>
      </x:c>
      <x:c r="BH48" s="149" t="n">
        <x:f aca="0">P48*P48</x:f>
        <x:v>1309344.3271199705</x:v>
      </x:c>
      <x:c r="BI48" s="149" t="n">
        <x:f aca="0">Q48*Q48</x:f>
        <x:v>2384065.89141398</x:v>
      </x:c>
      <x:c r="BJ48" s="149" t="n">
        <x:f aca="0">R48*R48</x:f>
        <x:v>3876488.894918642</x:v>
      </x:c>
      <x:c r="BK48" s="149" t="n">
        <x:f aca="0">S48*S48</x:f>
        <x:v>5779302.860897957</x:v>
      </x:c>
      <x:c r="BL48" s="149" t="n">
        <x:f aca="0">T48*T48</x:f>
        <x:v>8049462.467957845</x:v>
      </x:c>
      <x:c r="BM48" s="149" t="n">
        <x:f aca="0">U48*U48</x:f>
        <x:v>10619065.368752766</x:v>
      </x:c>
      <x:c r="BN48" s="149" t="n">
        <x:f aca="0">V48*V48</x:f>
        <x:v>13407144.024084594</x:v>
      </x:c>
      <x:c r="BO48" s="149" t="n">
        <x:f aca="0">W48*W48</x:f>
        <x:v>16329942.02814074</x:v>
      </x:c>
      <x:c r="BP48" s="149" t="n">
        <x:f aca="0">X48*X48</x:f>
        <x:v>19308569.10679241</x:v>
      </x:c>
      <x:c r="BQ48" s="149" t="n">
        <x:f aca="0">Y48*Y48</x:f>
        <x:v>22273871.800879806</x:v>
      </x:c>
      <x:c r="BR48" s="149" t="n">
        <x:f aca="0">Z48*Z48</x:f>
        <x:v>25168887.50360504</x:v>
      </x:c>
      <x:c r="BS48" s="149" t="n">
        <x:f aca="0">AA48*AA48</x:f>
        <x:v>27949462.87646867</x:v>
      </x:c>
      <x:c r="BT48" s="149" t="n">
        <x:f aca="0">AB48*AB48</x:f>
        <x:v>30583632.396534678</x:v>
      </x:c>
      <x:c r="BU48" s="149" t="n">
        <x:f aca="0">AC48*AC48</x:f>
        <x:v>33050266.624498002</x:v>
      </x:c>
    </x:row>
    <x:row r="49" ht="15" hidden="0" customHeight="1">
      <x:c r="A49" s="1" t="str">
        <x:f aca="0">S13_PSP_Species_Support!A36</x:f>
        <x:v>PSP-MA-003</x:v>
      </x:c>
      <x:c r="B49" s="1" t="n">
        <x:f aca="0">36</x:f>
        <x:v>36</x:v>
      </x:c>
      <x:c r="C49" s="1" t="str">
        <x:f aca="0">S13_PSP_Species_Support!I36</x:f>
        <x:v>Mixed Agroforestry|Low|2020</x:v>
      </x:c>
      <x:c r="D49" s="1" t="str">
        <x:f aca="0">S13_PSP_Species_Support!C36</x:f>
        <x:v>Mixed Agroforestry Model</x:v>
      </x:c>
      <x:c r="E49" s="1" t="str">
        <x:f aca="0">S13_PSP_Species_Support!D36</x:f>
        <x:v>Low</x:v>
      </x:c>
      <x:c r="F49" s="1" t="n">
        <x:f aca="0">S13_PSP_Species_Support!E36</x:f>
        <x:v>2020</x:v>
      </x:c>
      <x:c r="G49" s="645" t="n">
        <x:f aca="0">'S13_PSP_Species_Support'!DJ36</x:f>
        <x:v>0.09</x:v>
      </x:c>
      <x:c r="H49" s="714" t="n">
        <x:f aca="0">'S13_PSP_Species_Support'!DK36</x:f>
        <x:v>12.552568538727709</x:v>
      </x:c>
      <x:c r="I49" s="147" t="n">
        <x:f aca="0">IFERROR((IFERROR(S13_PSP_Species_Support!U36*0.0673*(S13_PSP_Species_Support!V36*(S13_PSP_Species_Support!W36*(1-EXP(-S13_PSP_Species_Support!X36*0))^S13_PSP_Species_Support!Y36)^2*(S13_PSP_Species_Support!Z36*(1-EXP(-S13_PSP_Species_Support!AA36*0))^S13_PSP_Species_Support!AB36))^0.976,0)+IFERROR(S13_PSP_Species_Support!AF36*0.0673*(S13_PSP_Species_Support!AG36*(S13_PSP_Species_Support!AH36*(1-EXP(-S13_PSP_Species_Support!AI36*0))^S13_PSP_Species_Support!AJ36)^2*(S13_PSP_Species_Support!AK36*(1-EXP(-S13_PSP_Species_Support!AL36*0))^S13_PSP_Species_Support!AM36))^0.976,0)+IFERROR(S13_PSP_Species_Support!AQ36*0.0673*(S13_PSP_Species_Support!AR36*(S13_PSP_Species_Support!AS36*(1-EXP(-S13_PSP_Species_Support!AT36*0))^S13_PSP_Species_Support!AU36)^2*(S13_PSP_Species_Support!AV36*(1-EXP(-S13_PSP_Species_Support!AW36*0))^S13_PSP_Species_Support!AX36))^0.976,0)+IFERROR(S13_PSP_Species_Support!BB36*0.0673*(S13_PSP_Species_Support!BC36*(S13_PSP_Species_Support!BD36*(1-EXP(-S13_PSP_Species_Support!BE36*0))^S13_PSP_Species_Support!BF36)^2*(S13_PSP_Species_Support!BG36*(1-EXP(-S13_PSP_Species_Support!BH36*0))^S13_PSP_Species_Support!BI36))^0.976,0)+IFERROR(S13_PSP_Species_Support!BM36*0.0673*(S13_PSP_Species_Support!BN36*(S13_PSP_Species_Support!BO36*(1-EXP(-S13_PSP_Species_Support!BP36*0))^S13_PSP_Species_Support!BQ36)^2*(S13_PSP_Species_Support!BR36*(1-EXP(-S13_PSP_Species_Support!BS36*0))^S13_PSP_Species_Support!BT36))^0.976,0)+IFERROR(S13_PSP_Species_Support!BX36*0.0673*(S13_PSP_Species_Support!BY36*(S13_PSP_Species_Support!BZ36*(1-EXP(-S13_PSP_Species_Support!CA36*0))^S13_PSP_Species_Support!CB36)^2*(S13_PSP_Species_Support!CC36*(1-EXP(-S13_PSP_Species_Support!CD36*0))^S13_PSP_Species_Support!CE36))^0.976,0)+IFERROR(S13_PSP_Species_Support!CI36*0.0673*(S13_PSP_Species_Support!CJ36*(S13_PSP_Species_Support!CK36*(1-EXP(-S13_PSP_Species_Support!CL36*0))^S13_PSP_Species_Support!CM36)^2*(S13_PSP_Species_Support!CN36*(1-EXP(-S13_PSP_Species_Support!CO36*0))^S13_PSP_Species_Support!CP36))^0.976,0)+IFERROR(S13_PSP_Species_Support!CT36*0.0673*(S13_PSP_Species_Support!CU36*(S13_PSP_Species_Support!CV36*(1-EXP(-S13_PSP_Species_Support!CW36*0))^S13_PSP_Species_Support!CX36)^2*(S13_PSP_Species_Support!CY36*(1-EXP(-S13_PSP_Species_Support!CZ36*0))^S13_PSP_Species_Support!DA36))^0.976,0))/1000/$G49*I$108,0)</x:f>
        <x:v>0</x:v>
      </x:c>
      <x:c r="J49" s="147" t="n">
        <x:f aca="0">IFERROR((IFERROR(S13_PSP_Species_Support!U36*0.0673*(S13_PSP_Species_Support!V36*(S13_PSP_Species_Support!W36*(1-EXP(-S13_PSP_Species_Support!X36*1))^S13_PSP_Species_Support!Y36)^2*(S13_PSP_Species_Support!Z36*(1-EXP(-S13_PSP_Species_Support!AA36*1))^S13_PSP_Species_Support!AB36))^0.976,0)+IFERROR(S13_PSP_Species_Support!AF36*0.0673*(S13_PSP_Species_Support!AG36*(S13_PSP_Species_Support!AH36*(1-EXP(-S13_PSP_Species_Support!AI36*1))^S13_PSP_Species_Support!AJ36)^2*(S13_PSP_Species_Support!AK36*(1-EXP(-S13_PSP_Species_Support!AL36*1))^S13_PSP_Species_Support!AM36))^0.976,0)+IFERROR(S13_PSP_Species_Support!AQ36*0.0673*(S13_PSP_Species_Support!AR36*(S13_PSP_Species_Support!AS36*(1-EXP(-S13_PSP_Species_Support!AT36*1))^S13_PSP_Species_Support!AU36)^2*(S13_PSP_Species_Support!AV36*(1-EXP(-S13_PSP_Species_Support!AW36*1))^S13_PSP_Species_Support!AX36))^0.976,0)+IFERROR(S13_PSP_Species_Support!BB36*0.0673*(S13_PSP_Species_Support!BC36*(S13_PSP_Species_Support!BD36*(1-EXP(-S13_PSP_Species_Support!BE36*1))^S13_PSP_Species_Support!BF36)^2*(S13_PSP_Species_Support!BG36*(1-EXP(-S13_PSP_Species_Support!BH36*1))^S13_PSP_Species_Support!BI36))^0.976,0)+IFERROR(S13_PSP_Species_Support!BM36*0.0673*(S13_PSP_Species_Support!BN36*(S13_PSP_Species_Support!BO36*(1-EXP(-S13_PSP_Species_Support!BP36*1))^S13_PSP_Species_Support!BQ36)^2*(S13_PSP_Species_Support!BR36*(1-EXP(-S13_PSP_Species_Support!BS36*1))^S13_PSP_Species_Support!BT36))^0.976,0)+IFERROR(S13_PSP_Species_Support!BX36*0.0673*(S13_PSP_Species_Support!BY36*(S13_PSP_Species_Support!BZ36*(1-EXP(-S13_PSP_Species_Support!CA36*1))^S13_PSP_Species_Support!CB36)^2*(S13_PSP_Species_Support!CC36*(1-EXP(-S13_PSP_Species_Support!CD36*1))^S13_PSP_Species_Support!CE36))^0.976,0)+IFERROR(S13_PSP_Species_Support!CI36*0.0673*(S13_PSP_Species_Support!CJ36*(S13_PSP_Species_Support!CK36*(1-EXP(-S13_PSP_Species_Support!CL36*1))^S13_PSP_Species_Support!CM36)^2*(S13_PSP_Species_Support!CN36*(1-EXP(-S13_PSP_Species_Support!CO36*1))^S13_PSP_Species_Support!CP36))^0.976,0)+IFERROR(S13_PSP_Species_Support!CT36*0.0673*(S13_PSP_Species_Support!CU36*(S13_PSP_Species_Support!CV36*(1-EXP(-S13_PSP_Species_Support!CW36*1))^S13_PSP_Species_Support!CX36)^2*(S13_PSP_Species_Support!CY36*(1-EXP(-S13_PSP_Species_Support!CZ36*1))^S13_PSP_Species_Support!DA36))^0.976,0))/1000/$G49*J$108,0)</x:f>
        <x:v>0.03216179903572121</x:v>
      </x:c>
      <x:c r="K49" s="147" t="n">
        <x:f aca="0">IFERROR((IFERROR(S13_PSP_Species_Support!U36*0.0673*(S13_PSP_Species_Support!V36*(S13_PSP_Species_Support!W36*(1-EXP(-S13_PSP_Species_Support!X36*2))^S13_PSP_Species_Support!Y36)^2*(S13_PSP_Species_Support!Z36*(1-EXP(-S13_PSP_Species_Support!AA36*2))^S13_PSP_Species_Support!AB36))^0.976,0)+IFERROR(S13_PSP_Species_Support!AF36*0.0673*(S13_PSP_Species_Support!AG36*(S13_PSP_Species_Support!AH36*(1-EXP(-S13_PSP_Species_Support!AI36*2))^S13_PSP_Species_Support!AJ36)^2*(S13_PSP_Species_Support!AK36*(1-EXP(-S13_PSP_Species_Support!AL36*2))^S13_PSP_Species_Support!AM36))^0.976,0)+IFERROR(S13_PSP_Species_Support!AQ36*0.0673*(S13_PSP_Species_Support!AR36*(S13_PSP_Species_Support!AS36*(1-EXP(-S13_PSP_Species_Support!AT36*2))^S13_PSP_Species_Support!AU36)^2*(S13_PSP_Species_Support!AV36*(1-EXP(-S13_PSP_Species_Support!AW36*2))^S13_PSP_Species_Support!AX36))^0.976,0)+IFERROR(S13_PSP_Species_Support!BB36*0.0673*(S13_PSP_Species_Support!BC36*(S13_PSP_Species_Support!BD36*(1-EXP(-S13_PSP_Species_Support!BE36*2))^S13_PSP_Species_Support!BF36)^2*(S13_PSP_Species_Support!BG36*(1-EXP(-S13_PSP_Species_Support!BH36*2))^S13_PSP_Species_Support!BI36))^0.976,0)+IFERROR(S13_PSP_Species_Support!BM36*0.0673*(S13_PSP_Species_Support!BN36*(S13_PSP_Species_Support!BO36*(1-EXP(-S13_PSP_Species_Support!BP36*2))^S13_PSP_Species_Support!BQ36)^2*(S13_PSP_Species_Support!BR36*(1-EXP(-S13_PSP_Species_Support!BS36*2))^S13_PSP_Species_Support!BT36))^0.976,0)+IFERROR(S13_PSP_Species_Support!BX36*0.0673*(S13_PSP_Species_Support!BY36*(S13_PSP_Species_Support!BZ36*(1-EXP(-S13_PSP_Species_Support!CA36*2))^S13_PSP_Species_Support!CB36)^2*(S13_PSP_Species_Support!CC36*(1-EXP(-S13_PSP_Species_Support!CD36*2))^S13_PSP_Species_Support!CE36))^0.976,0)+IFERROR(S13_PSP_Species_Support!CI36*0.0673*(S13_PSP_Species_Support!CJ36*(S13_PSP_Species_Support!CK36*(1-EXP(-S13_PSP_Species_Support!CL36*2))^S13_PSP_Species_Support!CM36)^2*(S13_PSP_Species_Support!CN36*(1-EXP(-S13_PSP_Species_Support!CO36*2))^S13_PSP_Species_Support!CP36))^0.976,0)+IFERROR(S13_PSP_Species_Support!CT36*0.0673*(S13_PSP_Species_Support!CU36*(S13_PSP_Species_Support!CV36*(1-EXP(-S13_PSP_Species_Support!CW36*2))^S13_PSP_Species_Support!CX36)^2*(S13_PSP_Species_Support!CY36*(1-EXP(-S13_PSP_Species_Support!CZ36*2))^S13_PSP_Species_Support!DA36))^0.976,0))/1000/$G49*K$108,0)</x:f>
        <x:v>0.3860927620746518</x:v>
      </x:c>
      <x:c r="L49" s="147" t="n">
        <x:f aca="0">IFERROR((IFERROR(S13_PSP_Species_Support!U36*0.0673*(S13_PSP_Species_Support!V36*(S13_PSP_Species_Support!W36*(1-EXP(-S13_PSP_Species_Support!X36*3))^S13_PSP_Species_Support!Y36)^2*(S13_PSP_Species_Support!Z36*(1-EXP(-S13_PSP_Species_Support!AA36*3))^S13_PSP_Species_Support!AB36))^0.976,0)+IFERROR(S13_PSP_Species_Support!AF36*0.0673*(S13_PSP_Species_Support!AG36*(S13_PSP_Species_Support!AH36*(1-EXP(-S13_PSP_Species_Support!AI36*3))^S13_PSP_Species_Support!AJ36)^2*(S13_PSP_Species_Support!AK36*(1-EXP(-S13_PSP_Species_Support!AL36*3))^S13_PSP_Species_Support!AM36))^0.976,0)+IFERROR(S13_PSP_Species_Support!AQ36*0.0673*(S13_PSP_Species_Support!AR36*(S13_PSP_Species_Support!AS36*(1-EXP(-S13_PSP_Species_Support!AT36*3))^S13_PSP_Species_Support!AU36)^2*(S13_PSP_Species_Support!AV36*(1-EXP(-S13_PSP_Species_Support!AW36*3))^S13_PSP_Species_Support!AX36))^0.976,0)+IFERROR(S13_PSP_Species_Support!BB36*0.0673*(S13_PSP_Species_Support!BC36*(S13_PSP_Species_Support!BD36*(1-EXP(-S13_PSP_Species_Support!BE36*3))^S13_PSP_Species_Support!BF36)^2*(S13_PSP_Species_Support!BG36*(1-EXP(-S13_PSP_Species_Support!BH36*3))^S13_PSP_Species_Support!BI36))^0.976,0)+IFERROR(S13_PSP_Species_Support!BM36*0.0673*(S13_PSP_Species_Support!BN36*(S13_PSP_Species_Support!BO36*(1-EXP(-S13_PSP_Species_Support!BP36*3))^S13_PSP_Species_Support!BQ36)^2*(S13_PSP_Species_Support!BR36*(1-EXP(-S13_PSP_Species_Support!BS36*3))^S13_PSP_Species_Support!BT36))^0.976,0)+IFERROR(S13_PSP_Species_Support!BX36*0.0673*(S13_PSP_Species_Support!BY36*(S13_PSP_Species_Support!BZ36*(1-EXP(-S13_PSP_Species_Support!CA36*3))^S13_PSP_Species_Support!CB36)^2*(S13_PSP_Species_Support!CC36*(1-EXP(-S13_PSP_Species_Support!CD36*3))^S13_PSP_Species_Support!CE36))^0.976,0)+IFERROR(S13_PSP_Species_Support!CI36*0.0673*(S13_PSP_Species_Support!CJ36*(S13_PSP_Species_Support!CK36*(1-EXP(-S13_PSP_Species_Support!CL36*3))^S13_PSP_Species_Support!CM36)^2*(S13_PSP_Species_Support!CN36*(1-EXP(-S13_PSP_Species_Support!CO36*3))^S13_PSP_Species_Support!CP36))^0.976,0)+IFERROR(S13_PSP_Species_Support!CT36*0.0673*(S13_PSP_Species_Support!CU36*(S13_PSP_Species_Support!CV36*(1-EXP(-S13_PSP_Species_Support!CW36*3))^S13_PSP_Species_Support!CX36)^2*(S13_PSP_Species_Support!CY36*(1-EXP(-S13_PSP_Species_Support!CZ36*3))^S13_PSP_Species_Support!DA36))^0.976,0))/1000/$G49*L$108,0)</x:f>
        <x:v>1.490723398105946</x:v>
      </x:c>
      <x:c r="M49" s="147" t="n">
        <x:f aca="0">IFERROR((IFERROR(S13_PSP_Species_Support!U36*0.0673*(S13_PSP_Species_Support!V36*(S13_PSP_Species_Support!W36*(1-EXP(-S13_PSP_Species_Support!X36*4))^S13_PSP_Species_Support!Y36)^2*(S13_PSP_Species_Support!Z36*(1-EXP(-S13_PSP_Species_Support!AA36*4))^S13_PSP_Species_Support!AB36))^0.976,0)+IFERROR(S13_PSP_Species_Support!AF36*0.0673*(S13_PSP_Species_Support!AG36*(S13_PSP_Species_Support!AH36*(1-EXP(-S13_PSP_Species_Support!AI36*4))^S13_PSP_Species_Support!AJ36)^2*(S13_PSP_Species_Support!AK36*(1-EXP(-S13_PSP_Species_Support!AL36*4))^S13_PSP_Species_Support!AM36))^0.976,0)+IFERROR(S13_PSP_Species_Support!AQ36*0.0673*(S13_PSP_Species_Support!AR36*(S13_PSP_Species_Support!AS36*(1-EXP(-S13_PSP_Species_Support!AT36*4))^S13_PSP_Species_Support!AU36)^2*(S13_PSP_Species_Support!AV36*(1-EXP(-S13_PSP_Species_Support!AW36*4))^S13_PSP_Species_Support!AX36))^0.976,0)+IFERROR(S13_PSP_Species_Support!BB36*0.0673*(S13_PSP_Species_Support!BC36*(S13_PSP_Species_Support!BD36*(1-EXP(-S13_PSP_Species_Support!BE36*4))^S13_PSP_Species_Support!BF36)^2*(S13_PSP_Species_Support!BG36*(1-EXP(-S13_PSP_Species_Support!BH36*4))^S13_PSP_Species_Support!BI36))^0.976,0)+IFERROR(S13_PSP_Species_Support!BM36*0.0673*(S13_PSP_Species_Support!BN36*(S13_PSP_Species_Support!BO36*(1-EXP(-S13_PSP_Species_Support!BP36*4))^S13_PSP_Species_Support!BQ36)^2*(S13_PSP_Species_Support!BR36*(1-EXP(-S13_PSP_Species_Support!BS36*4))^S13_PSP_Species_Support!BT36))^0.976,0)+IFERROR(S13_PSP_Species_Support!BX36*0.0673*(S13_PSP_Species_Support!BY36*(S13_PSP_Species_Support!BZ36*(1-EXP(-S13_PSP_Species_Support!CA36*4))^S13_PSP_Species_Support!CB36)^2*(S13_PSP_Species_Support!CC36*(1-EXP(-S13_PSP_Species_Support!CD36*4))^S13_PSP_Species_Support!CE36))^0.976,0)+IFERROR(S13_PSP_Species_Support!CI36*0.0673*(S13_PSP_Species_Support!CJ36*(S13_PSP_Species_Support!CK36*(1-EXP(-S13_PSP_Species_Support!CL36*4))^S13_PSP_Species_Support!CM36)^2*(S13_PSP_Species_Support!CN36*(1-EXP(-S13_PSP_Species_Support!CO36*4))^S13_PSP_Species_Support!CP36))^0.976,0)+IFERROR(S13_PSP_Species_Support!CT36*0.0673*(S13_PSP_Species_Support!CU36*(S13_PSP_Species_Support!CV36*(1-EXP(-S13_PSP_Species_Support!CW36*4))^S13_PSP_Species_Support!CX36)^2*(S13_PSP_Species_Support!CY36*(1-EXP(-S13_PSP_Species_Support!CZ36*4))^S13_PSP_Species_Support!DA36))^0.976,0))/1000/$G49*M$108,0)</x:f>
        <x:v>3.653071391264014</x:v>
      </x:c>
      <x:c r="N49" s="147" t="n">
        <x:f aca="0">IFERROR((IFERROR(S13_PSP_Species_Support!U36*0.0673*(S13_PSP_Species_Support!V36*(S13_PSP_Species_Support!W36*(1-EXP(-S13_PSP_Species_Support!X36*5))^S13_PSP_Species_Support!Y36)^2*(S13_PSP_Species_Support!Z36*(1-EXP(-S13_PSP_Species_Support!AA36*5))^S13_PSP_Species_Support!AB36))^0.976,0)+IFERROR(S13_PSP_Species_Support!AF36*0.0673*(S13_PSP_Species_Support!AG36*(S13_PSP_Species_Support!AH36*(1-EXP(-S13_PSP_Species_Support!AI36*5))^S13_PSP_Species_Support!AJ36)^2*(S13_PSP_Species_Support!AK36*(1-EXP(-S13_PSP_Species_Support!AL36*5))^S13_PSP_Species_Support!AM36))^0.976,0)+IFERROR(S13_PSP_Species_Support!AQ36*0.0673*(S13_PSP_Species_Support!AR36*(S13_PSP_Species_Support!AS36*(1-EXP(-S13_PSP_Species_Support!AT36*5))^S13_PSP_Species_Support!AU36)^2*(S13_PSP_Species_Support!AV36*(1-EXP(-S13_PSP_Species_Support!AW36*5))^S13_PSP_Species_Support!AX36))^0.976,0)+IFERROR(S13_PSP_Species_Support!BB36*0.0673*(S13_PSP_Species_Support!BC36*(S13_PSP_Species_Support!BD36*(1-EXP(-S13_PSP_Species_Support!BE36*5))^S13_PSP_Species_Support!BF36)^2*(S13_PSP_Species_Support!BG36*(1-EXP(-S13_PSP_Species_Support!BH36*5))^S13_PSP_Species_Support!BI36))^0.976,0)+IFERROR(S13_PSP_Species_Support!BM36*0.0673*(S13_PSP_Species_Support!BN36*(S13_PSP_Species_Support!BO36*(1-EXP(-S13_PSP_Species_Support!BP36*5))^S13_PSP_Species_Support!BQ36)^2*(S13_PSP_Species_Support!BR36*(1-EXP(-S13_PSP_Species_Support!BS36*5))^S13_PSP_Species_Support!BT36))^0.976,0)+IFERROR(S13_PSP_Species_Support!BX36*0.0673*(S13_PSP_Species_Support!BY36*(S13_PSP_Species_Support!BZ36*(1-EXP(-S13_PSP_Species_Support!CA36*5))^S13_PSP_Species_Support!CB36)^2*(S13_PSP_Species_Support!CC36*(1-EXP(-S13_PSP_Species_Support!CD36*5))^S13_PSP_Species_Support!CE36))^0.976,0)+IFERROR(S13_PSP_Species_Support!CI36*0.0673*(S13_PSP_Species_Support!CJ36*(S13_PSP_Species_Support!CK36*(1-EXP(-S13_PSP_Species_Support!CL36*5))^S13_PSP_Species_Support!CM36)^2*(S13_PSP_Species_Support!CN36*(1-EXP(-S13_PSP_Species_Support!CO36*5))^S13_PSP_Species_Support!CP36))^0.976,0)+IFERROR(S13_PSP_Species_Support!CT36*0.0673*(S13_PSP_Species_Support!CU36*(S13_PSP_Species_Support!CV36*(1-EXP(-S13_PSP_Species_Support!CW36*5))^S13_PSP_Species_Support!CX36)^2*(S13_PSP_Species_Support!CY36*(1-EXP(-S13_PSP_Species_Support!CZ36*5))^S13_PSP_Species_Support!DA36))^0.976,0))/1000/$G49*N$108,0)</x:f>
        <x:v>6.960154078013774</x:v>
      </x:c>
      <x:c r="O49" s="147" t="n">
        <x:f aca="0">IFERROR((IFERROR(S13_PSP_Species_Support!U36*0.0673*(S13_PSP_Species_Support!V36*(S13_PSP_Species_Support!W36*(1-EXP(-S13_PSP_Species_Support!X36*6))^S13_PSP_Species_Support!Y36)^2*(S13_PSP_Species_Support!Z36*(1-EXP(-S13_PSP_Species_Support!AA36*6))^S13_PSP_Species_Support!AB36))^0.976,0)+IFERROR(S13_PSP_Species_Support!AF36*0.0673*(S13_PSP_Species_Support!AG36*(S13_PSP_Species_Support!AH36*(1-EXP(-S13_PSP_Species_Support!AI36*6))^S13_PSP_Species_Support!AJ36)^2*(S13_PSP_Species_Support!AK36*(1-EXP(-S13_PSP_Species_Support!AL36*6))^S13_PSP_Species_Support!AM36))^0.976,0)+IFERROR(S13_PSP_Species_Support!AQ36*0.0673*(S13_PSP_Species_Support!AR36*(S13_PSP_Species_Support!AS36*(1-EXP(-S13_PSP_Species_Support!AT36*6))^S13_PSP_Species_Support!AU36)^2*(S13_PSP_Species_Support!AV36*(1-EXP(-S13_PSP_Species_Support!AW36*6))^S13_PSP_Species_Support!AX36))^0.976,0)+IFERROR(S13_PSP_Species_Support!BB36*0.0673*(S13_PSP_Species_Support!BC36*(S13_PSP_Species_Support!BD36*(1-EXP(-S13_PSP_Species_Support!BE36*6))^S13_PSP_Species_Support!BF36)^2*(S13_PSP_Species_Support!BG36*(1-EXP(-S13_PSP_Species_Support!BH36*6))^S13_PSP_Species_Support!BI36))^0.976,0)+IFERROR(S13_PSP_Species_Support!BM36*0.0673*(S13_PSP_Species_Support!BN36*(S13_PSP_Species_Support!BO36*(1-EXP(-S13_PSP_Species_Support!BP36*6))^S13_PSP_Species_Support!BQ36)^2*(S13_PSP_Species_Support!BR36*(1-EXP(-S13_PSP_Species_Support!BS36*6))^S13_PSP_Species_Support!BT36))^0.976,0)+IFERROR(S13_PSP_Species_Support!BX36*0.0673*(S13_PSP_Species_Support!BY36*(S13_PSP_Species_Support!BZ36*(1-EXP(-S13_PSP_Species_Support!CA36*6))^S13_PSP_Species_Support!CB36)^2*(S13_PSP_Species_Support!CC36*(1-EXP(-S13_PSP_Species_Support!CD36*6))^S13_PSP_Species_Support!CE36))^0.976,0)+IFERROR(S13_PSP_Species_Support!CI36*0.0673*(S13_PSP_Species_Support!CJ36*(S13_PSP_Species_Support!CK36*(1-EXP(-S13_PSP_Species_Support!CL36*6))^S13_PSP_Species_Support!CM36)^2*(S13_PSP_Species_Support!CN36*(1-EXP(-S13_PSP_Species_Support!CO36*6))^S13_PSP_Species_Support!CP36))^0.976,0)+IFERROR(S13_PSP_Species_Support!CT36*0.0673*(S13_PSP_Species_Support!CU36*(S13_PSP_Species_Support!CV36*(1-EXP(-S13_PSP_Species_Support!CW36*6))^S13_PSP_Species_Support!CX36)^2*(S13_PSP_Species_Support!CY36*(1-EXP(-S13_PSP_Species_Support!CZ36*6))^S13_PSP_Species_Support!DA36))^0.976,0))/1000/$G49*O$108,0)</x:f>
        <x:v>11.336155831697205</x:v>
      </x:c>
      <x:c r="P49" s="147" t="n">
        <x:f aca="0">IFERROR((IFERROR(S13_PSP_Species_Support!U36*0.0673*(S13_PSP_Species_Support!V36*(S13_PSP_Species_Support!W36*(1-EXP(-S13_PSP_Species_Support!X36*7))^S13_PSP_Species_Support!Y36)^2*(S13_PSP_Species_Support!Z36*(1-EXP(-S13_PSP_Species_Support!AA36*7))^S13_PSP_Species_Support!AB36))^0.976,0)+IFERROR(S13_PSP_Species_Support!AF36*0.0673*(S13_PSP_Species_Support!AG36*(S13_PSP_Species_Support!AH36*(1-EXP(-S13_PSP_Species_Support!AI36*7))^S13_PSP_Species_Support!AJ36)^2*(S13_PSP_Species_Support!AK36*(1-EXP(-S13_PSP_Species_Support!AL36*7))^S13_PSP_Species_Support!AM36))^0.976,0)+IFERROR(S13_PSP_Species_Support!AQ36*0.0673*(S13_PSP_Species_Support!AR36*(S13_PSP_Species_Support!AS36*(1-EXP(-S13_PSP_Species_Support!AT36*7))^S13_PSP_Species_Support!AU36)^2*(S13_PSP_Species_Support!AV36*(1-EXP(-S13_PSP_Species_Support!AW36*7))^S13_PSP_Species_Support!AX36))^0.976,0)+IFERROR(S13_PSP_Species_Support!BB36*0.0673*(S13_PSP_Species_Support!BC36*(S13_PSP_Species_Support!BD36*(1-EXP(-S13_PSP_Species_Support!BE36*7))^S13_PSP_Species_Support!BF36)^2*(S13_PSP_Species_Support!BG36*(1-EXP(-S13_PSP_Species_Support!BH36*7))^S13_PSP_Species_Support!BI36))^0.976,0)+IFERROR(S13_PSP_Species_Support!BM36*0.0673*(S13_PSP_Species_Support!BN36*(S13_PSP_Species_Support!BO36*(1-EXP(-S13_PSP_Species_Support!BP36*7))^S13_PSP_Species_Support!BQ36)^2*(S13_PSP_Species_Support!BR36*(1-EXP(-S13_PSP_Species_Support!BS36*7))^S13_PSP_Species_Support!BT36))^0.976,0)+IFERROR(S13_PSP_Species_Support!BX36*0.0673*(S13_PSP_Species_Support!BY36*(S13_PSP_Species_Support!BZ36*(1-EXP(-S13_PSP_Species_Support!CA36*7))^S13_PSP_Species_Support!CB36)^2*(S13_PSP_Species_Support!CC36*(1-EXP(-S13_PSP_Species_Support!CD36*7))^S13_PSP_Species_Support!CE36))^0.976,0)+IFERROR(S13_PSP_Species_Support!CI36*0.0673*(S13_PSP_Species_Support!CJ36*(S13_PSP_Species_Support!CK36*(1-EXP(-S13_PSP_Species_Support!CL36*7))^S13_PSP_Species_Support!CM36)^2*(S13_PSP_Species_Support!CN36*(1-EXP(-S13_PSP_Species_Support!CO36*7))^S13_PSP_Species_Support!CP36))^0.976,0)+IFERROR(S13_PSP_Species_Support!CT36*0.0673*(S13_PSP_Species_Support!CU36*(S13_PSP_Species_Support!CV36*(1-EXP(-S13_PSP_Species_Support!CW36*7))^S13_PSP_Species_Support!CX36)^2*(S13_PSP_Species_Support!CY36*(1-EXP(-S13_PSP_Species_Support!CZ36*7))^S13_PSP_Species_Support!DA36))^0.976,0))/1000/$G49*P$108,0)</x:f>
        <x:v>16.601585996749975</x:v>
      </x:c>
      <x:c r="Q49" s="147" t="n">
        <x:f aca="0">IFERROR((IFERROR(S13_PSP_Species_Support!U36*0.0673*(S13_PSP_Species_Support!V36*(S13_PSP_Species_Support!W36*(1-EXP(-S13_PSP_Species_Support!X36*8))^S13_PSP_Species_Support!Y36)^2*(S13_PSP_Species_Support!Z36*(1-EXP(-S13_PSP_Species_Support!AA36*8))^S13_PSP_Species_Support!AB36))^0.976,0)+IFERROR(S13_PSP_Species_Support!AF36*0.0673*(S13_PSP_Species_Support!AG36*(S13_PSP_Species_Support!AH36*(1-EXP(-S13_PSP_Species_Support!AI36*8))^S13_PSP_Species_Support!AJ36)^2*(S13_PSP_Species_Support!AK36*(1-EXP(-S13_PSP_Species_Support!AL36*8))^S13_PSP_Species_Support!AM36))^0.976,0)+IFERROR(S13_PSP_Species_Support!AQ36*0.0673*(S13_PSP_Species_Support!AR36*(S13_PSP_Species_Support!AS36*(1-EXP(-S13_PSP_Species_Support!AT36*8))^S13_PSP_Species_Support!AU36)^2*(S13_PSP_Species_Support!AV36*(1-EXP(-S13_PSP_Species_Support!AW36*8))^S13_PSP_Species_Support!AX36))^0.976,0)+IFERROR(S13_PSP_Species_Support!BB36*0.0673*(S13_PSP_Species_Support!BC36*(S13_PSP_Species_Support!BD36*(1-EXP(-S13_PSP_Species_Support!BE36*8))^S13_PSP_Species_Support!BF36)^2*(S13_PSP_Species_Support!BG36*(1-EXP(-S13_PSP_Species_Support!BH36*8))^S13_PSP_Species_Support!BI36))^0.976,0)+IFERROR(S13_PSP_Species_Support!BM36*0.0673*(S13_PSP_Species_Support!BN36*(S13_PSP_Species_Support!BO36*(1-EXP(-S13_PSP_Species_Support!BP36*8))^S13_PSP_Species_Support!BQ36)^2*(S13_PSP_Species_Support!BR36*(1-EXP(-S13_PSP_Species_Support!BS36*8))^S13_PSP_Species_Support!BT36))^0.976,0)+IFERROR(S13_PSP_Species_Support!BX36*0.0673*(S13_PSP_Species_Support!BY36*(S13_PSP_Species_Support!BZ36*(1-EXP(-S13_PSP_Species_Support!CA36*8))^S13_PSP_Species_Support!CB36)^2*(S13_PSP_Species_Support!CC36*(1-EXP(-S13_PSP_Species_Support!CD36*8))^S13_PSP_Species_Support!CE36))^0.976,0)+IFERROR(S13_PSP_Species_Support!CI36*0.0673*(S13_PSP_Species_Support!CJ36*(S13_PSP_Species_Support!CK36*(1-EXP(-S13_PSP_Species_Support!CL36*8))^S13_PSP_Species_Support!CM36)^2*(S13_PSP_Species_Support!CN36*(1-EXP(-S13_PSP_Species_Support!CO36*8))^S13_PSP_Species_Support!CP36))^0.976,0)+IFERROR(S13_PSP_Species_Support!CT36*0.0673*(S13_PSP_Species_Support!CU36*(S13_PSP_Species_Support!CV36*(1-EXP(-S13_PSP_Species_Support!CW36*8))^S13_PSP_Species_Support!CX36)^2*(S13_PSP_Species_Support!CY36*(1-EXP(-S13_PSP_Species_Support!CZ36*8))^S13_PSP_Species_Support!DA36))^0.976,0))/1000/$G49*Q$108,0)</x:f>
        <x:v>22.529574463802494</x:v>
      </x:c>
      <x:c r="R49" s="147" t="n">
        <x:f aca="0">IFERROR((IFERROR(S13_PSP_Species_Support!U36*0.0673*(S13_PSP_Species_Support!V36*(S13_PSP_Species_Support!W36*(1-EXP(-S13_PSP_Species_Support!X36*9))^S13_PSP_Species_Support!Y36)^2*(S13_PSP_Species_Support!Z36*(1-EXP(-S13_PSP_Species_Support!AA36*9))^S13_PSP_Species_Support!AB36))^0.976,0)+IFERROR(S13_PSP_Species_Support!AF36*0.0673*(S13_PSP_Species_Support!AG36*(S13_PSP_Species_Support!AH36*(1-EXP(-S13_PSP_Species_Support!AI36*9))^S13_PSP_Species_Support!AJ36)^2*(S13_PSP_Species_Support!AK36*(1-EXP(-S13_PSP_Species_Support!AL36*9))^S13_PSP_Species_Support!AM36))^0.976,0)+IFERROR(S13_PSP_Species_Support!AQ36*0.0673*(S13_PSP_Species_Support!AR36*(S13_PSP_Species_Support!AS36*(1-EXP(-S13_PSP_Species_Support!AT36*9))^S13_PSP_Species_Support!AU36)^2*(S13_PSP_Species_Support!AV36*(1-EXP(-S13_PSP_Species_Support!AW36*9))^S13_PSP_Species_Support!AX36))^0.976,0)+IFERROR(S13_PSP_Species_Support!BB36*0.0673*(S13_PSP_Species_Support!BC36*(S13_PSP_Species_Support!BD36*(1-EXP(-S13_PSP_Species_Support!BE36*9))^S13_PSP_Species_Support!BF36)^2*(S13_PSP_Species_Support!BG36*(1-EXP(-S13_PSP_Species_Support!BH36*9))^S13_PSP_Species_Support!BI36))^0.976,0)+IFERROR(S13_PSP_Species_Support!BM36*0.0673*(S13_PSP_Species_Support!BN36*(S13_PSP_Species_Support!BO36*(1-EXP(-S13_PSP_Species_Support!BP36*9))^S13_PSP_Species_Support!BQ36)^2*(S13_PSP_Species_Support!BR36*(1-EXP(-S13_PSP_Species_Support!BS36*9))^S13_PSP_Species_Support!BT36))^0.976,0)+IFERROR(S13_PSP_Species_Support!BX36*0.0673*(S13_PSP_Species_Support!BY36*(S13_PSP_Species_Support!BZ36*(1-EXP(-S13_PSP_Species_Support!CA36*9))^S13_PSP_Species_Support!CB36)^2*(S13_PSP_Species_Support!CC36*(1-EXP(-S13_PSP_Species_Support!CD36*9))^S13_PSP_Species_Support!CE36))^0.976,0)+IFERROR(S13_PSP_Species_Support!CI36*0.0673*(S13_PSP_Species_Support!CJ36*(S13_PSP_Species_Support!CK36*(1-EXP(-S13_PSP_Species_Support!CL36*9))^S13_PSP_Species_Support!CM36)^2*(S13_PSP_Species_Support!CN36*(1-EXP(-S13_PSP_Species_Support!CO36*9))^S13_PSP_Species_Support!CP36))^0.976,0)+IFERROR(S13_PSP_Species_Support!CT36*0.0673*(S13_PSP_Species_Support!CU36*(S13_PSP_Species_Support!CV36*(1-EXP(-S13_PSP_Species_Support!CW36*9))^S13_PSP_Species_Support!CX36)^2*(S13_PSP_Species_Support!CY36*(1-EXP(-S13_PSP_Species_Support!CZ36*9))^S13_PSP_Species_Support!DA36))^0.976,0))/1000/$G49*R$108,0)</x:f>
        <x:v>28.886522336683445</x:v>
      </x:c>
      <x:c r="S49" s="147" t="n">
        <x:f aca="0">IFERROR((IFERROR(S13_PSP_Species_Support!U36*0.0673*(S13_PSP_Species_Support!V36*(S13_PSP_Species_Support!W36*(1-EXP(-S13_PSP_Species_Support!X36*10))^S13_PSP_Species_Support!Y36)^2*(S13_PSP_Species_Support!Z36*(1-EXP(-S13_PSP_Species_Support!AA36*10))^S13_PSP_Species_Support!AB36))^0.976,0)+IFERROR(S13_PSP_Species_Support!AF36*0.0673*(S13_PSP_Species_Support!AG36*(S13_PSP_Species_Support!AH36*(1-EXP(-S13_PSP_Species_Support!AI36*10))^S13_PSP_Species_Support!AJ36)^2*(S13_PSP_Species_Support!AK36*(1-EXP(-S13_PSP_Species_Support!AL36*10))^S13_PSP_Species_Support!AM36))^0.976,0)+IFERROR(S13_PSP_Species_Support!AQ36*0.0673*(S13_PSP_Species_Support!AR36*(S13_PSP_Species_Support!AS36*(1-EXP(-S13_PSP_Species_Support!AT36*10))^S13_PSP_Species_Support!AU36)^2*(S13_PSP_Species_Support!AV36*(1-EXP(-S13_PSP_Species_Support!AW36*10))^S13_PSP_Species_Support!AX36))^0.976,0)+IFERROR(S13_PSP_Species_Support!BB36*0.0673*(S13_PSP_Species_Support!BC36*(S13_PSP_Species_Support!BD36*(1-EXP(-S13_PSP_Species_Support!BE36*10))^S13_PSP_Species_Support!BF36)^2*(S13_PSP_Species_Support!BG36*(1-EXP(-S13_PSP_Species_Support!BH36*10))^S13_PSP_Species_Support!BI36))^0.976,0)+IFERROR(S13_PSP_Species_Support!BM36*0.0673*(S13_PSP_Species_Support!BN36*(S13_PSP_Species_Support!BO36*(1-EXP(-S13_PSP_Species_Support!BP36*10))^S13_PSP_Species_Support!BQ36)^2*(S13_PSP_Species_Support!BR36*(1-EXP(-S13_PSP_Species_Support!BS36*10))^S13_PSP_Species_Support!BT36))^0.976,0)+IFERROR(S13_PSP_Species_Support!BX36*0.0673*(S13_PSP_Species_Support!BY36*(S13_PSP_Species_Support!BZ36*(1-EXP(-S13_PSP_Species_Support!CA36*10))^S13_PSP_Species_Support!CB36)^2*(S13_PSP_Species_Support!CC36*(1-EXP(-S13_PSP_Species_Support!CD36*10))^S13_PSP_Species_Support!CE36))^0.976,0)+IFERROR(S13_PSP_Species_Support!CI36*0.0673*(S13_PSP_Species_Support!CJ36*(S13_PSP_Species_Support!CK36*(1-EXP(-S13_PSP_Species_Support!CL36*10))^S13_PSP_Species_Support!CM36)^2*(S13_PSP_Species_Support!CN36*(1-EXP(-S13_PSP_Species_Support!CO36*10))^S13_PSP_Species_Support!CP36))^0.976,0)+IFERROR(S13_PSP_Species_Support!CT36*0.0673*(S13_PSP_Species_Support!CU36*(S13_PSP_Species_Support!CV36*(1-EXP(-S13_PSP_Species_Support!CW36*10))^S13_PSP_Species_Support!CX36)^2*(S13_PSP_Species_Support!CY36*(1-EXP(-S13_PSP_Species_Support!CZ36*10))^S13_PSP_Species_Support!DA36))^0.976,0))/1000/$G49*S$108,0)</x:f>
        <x:v>35.45732661629734</x:v>
      </x:c>
      <x:c r="T49" s="147" t="n">
        <x:f aca="0">IFERROR((IFERROR(S13_PSP_Species_Support!U36*0.0673*(S13_PSP_Species_Support!V36*(S13_PSP_Species_Support!W36*(1-EXP(-S13_PSP_Species_Support!X36*11))^S13_PSP_Species_Support!Y36)^2*(S13_PSP_Species_Support!Z36*(1-EXP(-S13_PSP_Species_Support!AA36*11))^S13_PSP_Species_Support!AB36))^0.976,0)+IFERROR(S13_PSP_Species_Support!AF36*0.0673*(S13_PSP_Species_Support!AG36*(S13_PSP_Species_Support!AH36*(1-EXP(-S13_PSP_Species_Support!AI36*11))^S13_PSP_Species_Support!AJ36)^2*(S13_PSP_Species_Support!AK36*(1-EXP(-S13_PSP_Species_Support!AL36*11))^S13_PSP_Species_Support!AM36))^0.976,0)+IFERROR(S13_PSP_Species_Support!AQ36*0.0673*(S13_PSP_Species_Support!AR36*(S13_PSP_Species_Support!AS36*(1-EXP(-S13_PSP_Species_Support!AT36*11))^S13_PSP_Species_Support!AU36)^2*(S13_PSP_Species_Support!AV36*(1-EXP(-S13_PSP_Species_Support!AW36*11))^S13_PSP_Species_Support!AX36))^0.976,0)+IFERROR(S13_PSP_Species_Support!BB36*0.0673*(S13_PSP_Species_Support!BC36*(S13_PSP_Species_Support!BD36*(1-EXP(-S13_PSP_Species_Support!BE36*11))^S13_PSP_Species_Support!BF36)^2*(S13_PSP_Species_Support!BG36*(1-EXP(-S13_PSP_Species_Support!BH36*11))^S13_PSP_Species_Support!BI36))^0.976,0)+IFERROR(S13_PSP_Species_Support!BM36*0.0673*(S13_PSP_Species_Support!BN36*(S13_PSP_Species_Support!BO36*(1-EXP(-S13_PSP_Species_Support!BP36*11))^S13_PSP_Species_Support!BQ36)^2*(S13_PSP_Species_Support!BR36*(1-EXP(-S13_PSP_Species_Support!BS36*11))^S13_PSP_Species_Support!BT36))^0.976,0)+IFERROR(S13_PSP_Species_Support!BX36*0.0673*(S13_PSP_Species_Support!BY36*(S13_PSP_Species_Support!BZ36*(1-EXP(-S13_PSP_Species_Support!CA36*11))^S13_PSP_Species_Support!CB36)^2*(S13_PSP_Species_Support!CC36*(1-EXP(-S13_PSP_Species_Support!CD36*11))^S13_PSP_Species_Support!CE36))^0.976,0)+IFERROR(S13_PSP_Species_Support!CI36*0.0673*(S13_PSP_Species_Support!CJ36*(S13_PSP_Species_Support!CK36*(1-EXP(-S13_PSP_Species_Support!CL36*11))^S13_PSP_Species_Support!CM36)^2*(S13_PSP_Species_Support!CN36*(1-EXP(-S13_PSP_Species_Support!CO36*11))^S13_PSP_Species_Support!CP36))^0.976,0)+IFERROR(S13_PSP_Species_Support!CT36*0.0673*(S13_PSP_Species_Support!CU36*(S13_PSP_Species_Support!CV36*(1-EXP(-S13_PSP_Species_Support!CW36*11))^S13_PSP_Species_Support!CX36)^2*(S13_PSP_Species_Support!CY36*(1-EXP(-S13_PSP_Species_Support!CZ36*11))^S13_PSP_Species_Support!DA36))^0.976,0))/1000/$G49*T$108,0)</x:f>
        <x:v>42.05847335974368</x:v>
      </x:c>
      <x:c r="U49" s="147" t="n">
        <x:f aca="0">IFERROR((IFERROR(S13_PSP_Species_Support!U36*0.0673*(S13_PSP_Species_Support!V36*(S13_PSP_Species_Support!W36*(1-EXP(-S13_PSP_Species_Support!X36*12))^S13_PSP_Species_Support!Y36)^2*(S13_PSP_Species_Support!Z36*(1-EXP(-S13_PSP_Species_Support!AA36*12))^S13_PSP_Species_Support!AB36))^0.976,0)+IFERROR(S13_PSP_Species_Support!AF36*0.0673*(S13_PSP_Species_Support!AG36*(S13_PSP_Species_Support!AH36*(1-EXP(-S13_PSP_Species_Support!AI36*12))^S13_PSP_Species_Support!AJ36)^2*(S13_PSP_Species_Support!AK36*(1-EXP(-S13_PSP_Species_Support!AL36*12))^S13_PSP_Species_Support!AM36))^0.976,0)+IFERROR(S13_PSP_Species_Support!AQ36*0.0673*(S13_PSP_Species_Support!AR36*(S13_PSP_Species_Support!AS36*(1-EXP(-S13_PSP_Species_Support!AT36*12))^S13_PSP_Species_Support!AU36)^2*(S13_PSP_Species_Support!AV36*(1-EXP(-S13_PSP_Species_Support!AW36*12))^S13_PSP_Species_Support!AX36))^0.976,0)+IFERROR(S13_PSP_Species_Support!BB36*0.0673*(S13_PSP_Species_Support!BC36*(S13_PSP_Species_Support!BD36*(1-EXP(-S13_PSP_Species_Support!BE36*12))^S13_PSP_Species_Support!BF36)^2*(S13_PSP_Species_Support!BG36*(1-EXP(-S13_PSP_Species_Support!BH36*12))^S13_PSP_Species_Support!BI36))^0.976,0)+IFERROR(S13_PSP_Species_Support!BM36*0.0673*(S13_PSP_Species_Support!BN36*(S13_PSP_Species_Support!BO36*(1-EXP(-S13_PSP_Species_Support!BP36*12))^S13_PSP_Species_Support!BQ36)^2*(S13_PSP_Species_Support!BR36*(1-EXP(-S13_PSP_Species_Support!BS36*12))^S13_PSP_Species_Support!BT36))^0.976,0)+IFERROR(S13_PSP_Species_Support!BX36*0.0673*(S13_PSP_Species_Support!BY36*(S13_PSP_Species_Support!BZ36*(1-EXP(-S13_PSP_Species_Support!CA36*12))^S13_PSP_Species_Support!CB36)^2*(S13_PSP_Species_Support!CC36*(1-EXP(-S13_PSP_Species_Support!CD36*12))^S13_PSP_Species_Support!CE36))^0.976,0)+IFERROR(S13_PSP_Species_Support!CI36*0.0673*(S13_PSP_Species_Support!CJ36*(S13_PSP_Species_Support!CK36*(1-EXP(-S13_PSP_Species_Support!CL36*12))^S13_PSP_Species_Support!CM36)^2*(S13_PSP_Species_Support!CN36*(1-EXP(-S13_PSP_Species_Support!CO36*12))^S13_PSP_Species_Support!CP36))^0.976,0)+IFERROR(S13_PSP_Species_Support!CT36*0.0673*(S13_PSP_Species_Support!CU36*(S13_PSP_Species_Support!CV36*(1-EXP(-S13_PSP_Species_Support!CW36*12))^S13_PSP_Species_Support!CX36)^2*(S13_PSP_Species_Support!CY36*(1-EXP(-S13_PSP_Species_Support!CZ36*12))^S13_PSP_Species_Support!DA36))^0.976,0))/1000/$G49*U$108,0)</x:f>
        <x:v>48.542721791466064</x:v>
      </x:c>
      <x:c r="V49" s="147" t="n">
        <x:f aca="0">IFERROR((IFERROR(S13_PSP_Species_Support!U36*0.0673*(S13_PSP_Species_Support!V36*(S13_PSP_Species_Support!W36*(1-EXP(-S13_PSP_Species_Support!X36*13))^S13_PSP_Species_Support!Y36)^2*(S13_PSP_Species_Support!Z36*(1-EXP(-S13_PSP_Species_Support!AA36*13))^S13_PSP_Species_Support!AB36))^0.976,0)+IFERROR(S13_PSP_Species_Support!AF36*0.0673*(S13_PSP_Species_Support!AG36*(S13_PSP_Species_Support!AH36*(1-EXP(-S13_PSP_Species_Support!AI36*13))^S13_PSP_Species_Support!AJ36)^2*(S13_PSP_Species_Support!AK36*(1-EXP(-S13_PSP_Species_Support!AL36*13))^S13_PSP_Species_Support!AM36))^0.976,0)+IFERROR(S13_PSP_Species_Support!AQ36*0.0673*(S13_PSP_Species_Support!AR36*(S13_PSP_Species_Support!AS36*(1-EXP(-S13_PSP_Species_Support!AT36*13))^S13_PSP_Species_Support!AU36)^2*(S13_PSP_Species_Support!AV36*(1-EXP(-S13_PSP_Species_Support!AW36*13))^S13_PSP_Species_Support!AX36))^0.976,0)+IFERROR(S13_PSP_Species_Support!BB36*0.0673*(S13_PSP_Species_Support!BC36*(S13_PSP_Species_Support!BD36*(1-EXP(-S13_PSP_Species_Support!BE36*13))^S13_PSP_Species_Support!BF36)^2*(S13_PSP_Species_Support!BG36*(1-EXP(-S13_PSP_Species_Support!BH36*13))^S13_PSP_Species_Support!BI36))^0.976,0)+IFERROR(S13_PSP_Species_Support!BM36*0.0673*(S13_PSP_Species_Support!BN36*(S13_PSP_Species_Support!BO36*(1-EXP(-S13_PSP_Species_Support!BP36*13))^S13_PSP_Species_Support!BQ36)^2*(S13_PSP_Species_Support!BR36*(1-EXP(-S13_PSP_Species_Support!BS36*13))^S13_PSP_Species_Support!BT36))^0.976,0)+IFERROR(S13_PSP_Species_Support!BX36*0.0673*(S13_PSP_Species_Support!BY36*(S13_PSP_Species_Support!BZ36*(1-EXP(-S13_PSP_Species_Support!CA36*13))^S13_PSP_Species_Support!CB36)^2*(S13_PSP_Species_Support!CC36*(1-EXP(-S13_PSP_Species_Support!CD36*13))^S13_PSP_Species_Support!CE36))^0.976,0)+IFERROR(S13_PSP_Species_Support!CI36*0.0673*(S13_PSP_Species_Support!CJ36*(S13_PSP_Species_Support!CK36*(1-EXP(-S13_PSP_Species_Support!CL36*13))^S13_PSP_Species_Support!CM36)^2*(S13_PSP_Species_Support!CN36*(1-EXP(-S13_PSP_Species_Support!CO36*13))^S13_PSP_Species_Support!CP36))^0.976,0)+IFERROR(S13_PSP_Species_Support!CT36*0.0673*(S13_PSP_Species_Support!CU36*(S13_PSP_Species_Support!CV36*(1-EXP(-S13_PSP_Species_Support!CW36*13))^S13_PSP_Species_Support!CX36)^2*(S13_PSP_Species_Support!CY36*(1-EXP(-S13_PSP_Species_Support!CZ36*13))^S13_PSP_Species_Support!DA36))^0.976,0))/1000/$G49*V$108,0)</x:f>
        <x:v>54.79853443411465</x:v>
      </x:c>
      <x:c r="W49" s="147" t="n">
        <x:f aca="0">IFERROR((IFERROR(S13_PSP_Species_Support!U36*0.0673*(S13_PSP_Species_Support!V36*(S13_PSP_Species_Support!W36*(1-EXP(-S13_PSP_Species_Support!X36*14))^S13_PSP_Species_Support!Y36)^2*(S13_PSP_Species_Support!Z36*(1-EXP(-S13_PSP_Species_Support!AA36*14))^S13_PSP_Species_Support!AB36))^0.976,0)+IFERROR(S13_PSP_Species_Support!AF36*0.0673*(S13_PSP_Species_Support!AG36*(S13_PSP_Species_Support!AH36*(1-EXP(-S13_PSP_Species_Support!AI36*14))^S13_PSP_Species_Support!AJ36)^2*(S13_PSP_Species_Support!AK36*(1-EXP(-S13_PSP_Species_Support!AL36*14))^S13_PSP_Species_Support!AM36))^0.976,0)+IFERROR(S13_PSP_Species_Support!AQ36*0.0673*(S13_PSP_Species_Support!AR36*(S13_PSP_Species_Support!AS36*(1-EXP(-S13_PSP_Species_Support!AT36*14))^S13_PSP_Species_Support!AU36)^2*(S13_PSP_Species_Support!AV36*(1-EXP(-S13_PSP_Species_Support!AW36*14))^S13_PSP_Species_Support!AX36))^0.976,0)+IFERROR(S13_PSP_Species_Support!BB36*0.0673*(S13_PSP_Species_Support!BC36*(S13_PSP_Species_Support!BD36*(1-EXP(-S13_PSP_Species_Support!BE36*14))^S13_PSP_Species_Support!BF36)^2*(S13_PSP_Species_Support!BG36*(1-EXP(-S13_PSP_Species_Support!BH36*14))^S13_PSP_Species_Support!BI36))^0.976,0)+IFERROR(S13_PSP_Species_Support!BM36*0.0673*(S13_PSP_Species_Support!BN36*(S13_PSP_Species_Support!BO36*(1-EXP(-S13_PSP_Species_Support!BP36*14))^S13_PSP_Species_Support!BQ36)^2*(S13_PSP_Species_Support!BR36*(1-EXP(-S13_PSP_Species_Support!BS36*14))^S13_PSP_Species_Support!BT36))^0.976,0)+IFERROR(S13_PSP_Species_Support!BX36*0.0673*(S13_PSP_Species_Support!BY36*(S13_PSP_Species_Support!BZ36*(1-EXP(-S13_PSP_Species_Support!CA36*14))^S13_PSP_Species_Support!CB36)^2*(S13_PSP_Species_Support!CC36*(1-EXP(-S13_PSP_Species_Support!CD36*14))^S13_PSP_Species_Support!CE36))^0.976,0)+IFERROR(S13_PSP_Species_Support!CI36*0.0673*(S13_PSP_Species_Support!CJ36*(S13_PSP_Species_Support!CK36*(1-EXP(-S13_PSP_Species_Support!CL36*14))^S13_PSP_Species_Support!CM36)^2*(S13_PSP_Species_Support!CN36*(1-EXP(-S13_PSP_Species_Support!CO36*14))^S13_PSP_Species_Support!CP36))^0.976,0)+IFERROR(S13_PSP_Species_Support!CT36*0.0673*(S13_PSP_Species_Support!CU36*(S13_PSP_Species_Support!CV36*(1-EXP(-S13_PSP_Species_Support!CW36*14))^S13_PSP_Species_Support!CX36)^2*(S13_PSP_Species_Support!CY36*(1-EXP(-S13_PSP_Species_Support!CZ36*14))^S13_PSP_Species_Support!DA36))^0.976,0))/1000/$G49*W$108,0)</x:f>
        <x:v>60.74659661341688</x:v>
      </x:c>
      <x:c r="X49" s="147" t="n">
        <x:f aca="0">IFERROR((IFERROR(S13_PSP_Species_Support!U36*0.0673*(S13_PSP_Species_Support!V36*(S13_PSP_Species_Support!W36*(1-EXP(-S13_PSP_Species_Support!X36*15))^S13_PSP_Species_Support!Y36)^2*(S13_PSP_Species_Support!Z36*(1-EXP(-S13_PSP_Species_Support!AA36*15))^S13_PSP_Species_Support!AB36))^0.976,0)+IFERROR(S13_PSP_Species_Support!AF36*0.0673*(S13_PSP_Species_Support!AG36*(S13_PSP_Species_Support!AH36*(1-EXP(-S13_PSP_Species_Support!AI36*15))^S13_PSP_Species_Support!AJ36)^2*(S13_PSP_Species_Support!AK36*(1-EXP(-S13_PSP_Species_Support!AL36*15))^S13_PSP_Species_Support!AM36))^0.976,0)+IFERROR(S13_PSP_Species_Support!AQ36*0.0673*(S13_PSP_Species_Support!AR36*(S13_PSP_Species_Support!AS36*(1-EXP(-S13_PSP_Species_Support!AT36*15))^S13_PSP_Species_Support!AU36)^2*(S13_PSP_Species_Support!AV36*(1-EXP(-S13_PSP_Species_Support!AW36*15))^S13_PSP_Species_Support!AX36))^0.976,0)+IFERROR(S13_PSP_Species_Support!BB36*0.0673*(S13_PSP_Species_Support!BC36*(S13_PSP_Species_Support!BD36*(1-EXP(-S13_PSP_Species_Support!BE36*15))^S13_PSP_Species_Support!BF36)^2*(S13_PSP_Species_Support!BG36*(1-EXP(-S13_PSP_Species_Support!BH36*15))^S13_PSP_Species_Support!BI36))^0.976,0)+IFERROR(S13_PSP_Species_Support!BM36*0.0673*(S13_PSP_Species_Support!BN36*(S13_PSP_Species_Support!BO36*(1-EXP(-S13_PSP_Species_Support!BP36*15))^S13_PSP_Species_Support!BQ36)^2*(S13_PSP_Species_Support!BR36*(1-EXP(-S13_PSP_Species_Support!BS36*15))^S13_PSP_Species_Support!BT36))^0.976,0)+IFERROR(S13_PSP_Species_Support!BX36*0.0673*(S13_PSP_Species_Support!BY36*(S13_PSP_Species_Support!BZ36*(1-EXP(-S13_PSP_Species_Support!CA36*15))^S13_PSP_Species_Support!CB36)^2*(S13_PSP_Species_Support!CC36*(1-EXP(-S13_PSP_Species_Support!CD36*15))^S13_PSP_Species_Support!CE36))^0.976,0)+IFERROR(S13_PSP_Species_Support!CI36*0.0673*(S13_PSP_Species_Support!CJ36*(S13_PSP_Species_Support!CK36*(1-EXP(-S13_PSP_Species_Support!CL36*15))^S13_PSP_Species_Support!CM36)^2*(S13_PSP_Species_Support!CN36*(1-EXP(-S13_PSP_Species_Support!CO36*15))^S13_PSP_Species_Support!CP36))^0.976,0)+IFERROR(S13_PSP_Species_Support!CT36*0.0673*(S13_PSP_Species_Support!CU36*(S13_PSP_Species_Support!CV36*(1-EXP(-S13_PSP_Species_Support!CW36*15))^S13_PSP_Species_Support!CX36)^2*(S13_PSP_Species_Support!CY36*(1-EXP(-S13_PSP_Species_Support!CZ36*15))^S13_PSP_Species_Support!DA36))^0.976,0))/1000/$G49*X$108,0)</x:f>
        <x:v>66.33501893893046</x:v>
      </x:c>
      <x:c r="Y49" s="147" t="n">
        <x:f aca="0">IFERROR((IFERROR(S13_PSP_Species_Support!U36*0.0673*(S13_PSP_Species_Support!V36*(S13_PSP_Species_Support!W36*(1-EXP(-S13_PSP_Species_Support!X36*16))^S13_PSP_Species_Support!Y36)^2*(S13_PSP_Species_Support!Z36*(1-EXP(-S13_PSP_Species_Support!AA36*16))^S13_PSP_Species_Support!AB36))^0.976,0)+IFERROR(S13_PSP_Species_Support!AF36*0.0673*(S13_PSP_Species_Support!AG36*(S13_PSP_Species_Support!AH36*(1-EXP(-S13_PSP_Species_Support!AI36*16))^S13_PSP_Species_Support!AJ36)^2*(S13_PSP_Species_Support!AK36*(1-EXP(-S13_PSP_Species_Support!AL36*16))^S13_PSP_Species_Support!AM36))^0.976,0)+IFERROR(S13_PSP_Species_Support!AQ36*0.0673*(S13_PSP_Species_Support!AR36*(S13_PSP_Species_Support!AS36*(1-EXP(-S13_PSP_Species_Support!AT36*16))^S13_PSP_Species_Support!AU36)^2*(S13_PSP_Species_Support!AV36*(1-EXP(-S13_PSP_Species_Support!AW36*16))^S13_PSP_Species_Support!AX36))^0.976,0)+IFERROR(S13_PSP_Species_Support!BB36*0.0673*(S13_PSP_Species_Support!BC36*(S13_PSP_Species_Support!BD36*(1-EXP(-S13_PSP_Species_Support!BE36*16))^S13_PSP_Species_Support!BF36)^2*(S13_PSP_Species_Support!BG36*(1-EXP(-S13_PSP_Species_Support!BH36*16))^S13_PSP_Species_Support!BI36))^0.976,0)+IFERROR(S13_PSP_Species_Support!BM36*0.0673*(S13_PSP_Species_Support!BN36*(S13_PSP_Species_Support!BO36*(1-EXP(-S13_PSP_Species_Support!BP36*16))^S13_PSP_Species_Support!BQ36)^2*(S13_PSP_Species_Support!BR36*(1-EXP(-S13_PSP_Species_Support!BS36*16))^S13_PSP_Species_Support!BT36))^0.976,0)+IFERROR(S13_PSP_Species_Support!BX36*0.0673*(S13_PSP_Species_Support!BY36*(S13_PSP_Species_Support!BZ36*(1-EXP(-S13_PSP_Species_Support!CA36*16))^S13_PSP_Species_Support!CB36)^2*(S13_PSP_Species_Support!CC36*(1-EXP(-S13_PSP_Species_Support!CD36*16))^S13_PSP_Species_Support!CE36))^0.976,0)+IFERROR(S13_PSP_Species_Support!CI36*0.0673*(S13_PSP_Species_Support!CJ36*(S13_PSP_Species_Support!CK36*(1-EXP(-S13_PSP_Species_Support!CL36*16))^S13_PSP_Species_Support!CM36)^2*(S13_PSP_Species_Support!CN36*(1-EXP(-S13_PSP_Species_Support!CO36*16))^S13_PSP_Species_Support!CP36))^0.976,0)+IFERROR(S13_PSP_Species_Support!CT36*0.0673*(S13_PSP_Species_Support!CU36*(S13_PSP_Species_Support!CV36*(1-EXP(-S13_PSP_Species_Support!CW36*16))^S13_PSP_Species_Support!CX36)^2*(S13_PSP_Species_Support!CY36*(1-EXP(-S13_PSP_Species_Support!CZ36*16))^S13_PSP_Species_Support!DA36))^0.976,0))/1000/$G49*Y$108,0)</x:f>
        <x:v>71.53422572915623</x:v>
      </x:c>
      <x:c r="Z49" s="147" t="n">
        <x:f aca="0">IFERROR((IFERROR(S13_PSP_Species_Support!U36*0.0673*(S13_PSP_Species_Support!V36*(S13_PSP_Species_Support!W36*(1-EXP(-S13_PSP_Species_Support!X36*17))^S13_PSP_Species_Support!Y36)^2*(S13_PSP_Species_Support!Z36*(1-EXP(-S13_PSP_Species_Support!AA36*17))^S13_PSP_Species_Support!AB36))^0.976,0)+IFERROR(S13_PSP_Species_Support!AF36*0.0673*(S13_PSP_Species_Support!AG36*(S13_PSP_Species_Support!AH36*(1-EXP(-S13_PSP_Species_Support!AI36*17))^S13_PSP_Species_Support!AJ36)^2*(S13_PSP_Species_Support!AK36*(1-EXP(-S13_PSP_Species_Support!AL36*17))^S13_PSP_Species_Support!AM36))^0.976,0)+IFERROR(S13_PSP_Species_Support!AQ36*0.0673*(S13_PSP_Species_Support!AR36*(S13_PSP_Species_Support!AS36*(1-EXP(-S13_PSP_Species_Support!AT36*17))^S13_PSP_Species_Support!AU36)^2*(S13_PSP_Species_Support!AV36*(1-EXP(-S13_PSP_Species_Support!AW36*17))^S13_PSP_Species_Support!AX36))^0.976,0)+IFERROR(S13_PSP_Species_Support!BB36*0.0673*(S13_PSP_Species_Support!BC36*(S13_PSP_Species_Support!BD36*(1-EXP(-S13_PSP_Species_Support!BE36*17))^S13_PSP_Species_Support!BF36)^2*(S13_PSP_Species_Support!BG36*(1-EXP(-S13_PSP_Species_Support!BH36*17))^S13_PSP_Species_Support!BI36))^0.976,0)+IFERROR(S13_PSP_Species_Support!BM36*0.0673*(S13_PSP_Species_Support!BN36*(S13_PSP_Species_Support!BO36*(1-EXP(-S13_PSP_Species_Support!BP36*17))^S13_PSP_Species_Support!BQ36)^2*(S13_PSP_Species_Support!BR36*(1-EXP(-S13_PSP_Species_Support!BS36*17))^S13_PSP_Species_Support!BT36))^0.976,0)+IFERROR(S13_PSP_Species_Support!BX36*0.0673*(S13_PSP_Species_Support!BY36*(S13_PSP_Species_Support!BZ36*(1-EXP(-S13_PSP_Species_Support!CA36*17))^S13_PSP_Species_Support!CB36)^2*(S13_PSP_Species_Support!CC36*(1-EXP(-S13_PSP_Species_Support!CD36*17))^S13_PSP_Species_Support!CE36))^0.976,0)+IFERROR(S13_PSP_Species_Support!CI36*0.0673*(S13_PSP_Species_Support!CJ36*(S13_PSP_Species_Support!CK36*(1-EXP(-S13_PSP_Species_Support!CL36*17))^S13_PSP_Species_Support!CM36)^2*(S13_PSP_Species_Support!CN36*(1-EXP(-S13_PSP_Species_Support!CO36*17))^S13_PSP_Species_Support!CP36))^0.976,0)+IFERROR(S13_PSP_Species_Support!CT36*0.0673*(S13_PSP_Species_Support!CU36*(S13_PSP_Species_Support!CV36*(1-EXP(-S13_PSP_Species_Support!CW36*17))^S13_PSP_Species_Support!CX36)^2*(S13_PSP_Species_Support!CY36*(1-EXP(-S13_PSP_Species_Support!CZ36*17))^S13_PSP_Species_Support!DA36))^0.976,0))/1000/$G49*Z$108,0)</x:f>
        <x:v>76.33210741347656</x:v>
      </x:c>
      <x:c r="AA49" s="147" t="n">
        <x:f aca="0">IFERROR((IFERROR(S13_PSP_Species_Support!U36*0.0673*(S13_PSP_Species_Support!V36*(S13_PSP_Species_Support!W36*(1-EXP(-S13_PSP_Species_Support!X36*18))^S13_PSP_Species_Support!Y36)^2*(S13_PSP_Species_Support!Z36*(1-EXP(-S13_PSP_Species_Support!AA36*18))^S13_PSP_Species_Support!AB36))^0.976,0)+IFERROR(S13_PSP_Species_Support!AF36*0.0673*(S13_PSP_Species_Support!AG36*(S13_PSP_Species_Support!AH36*(1-EXP(-S13_PSP_Species_Support!AI36*18))^S13_PSP_Species_Support!AJ36)^2*(S13_PSP_Species_Support!AK36*(1-EXP(-S13_PSP_Species_Support!AL36*18))^S13_PSP_Species_Support!AM36))^0.976,0)+IFERROR(S13_PSP_Species_Support!AQ36*0.0673*(S13_PSP_Species_Support!AR36*(S13_PSP_Species_Support!AS36*(1-EXP(-S13_PSP_Species_Support!AT36*18))^S13_PSP_Species_Support!AU36)^2*(S13_PSP_Species_Support!AV36*(1-EXP(-S13_PSP_Species_Support!AW36*18))^S13_PSP_Species_Support!AX36))^0.976,0)+IFERROR(S13_PSP_Species_Support!BB36*0.0673*(S13_PSP_Species_Support!BC36*(S13_PSP_Species_Support!BD36*(1-EXP(-S13_PSP_Species_Support!BE36*18))^S13_PSP_Species_Support!BF36)^2*(S13_PSP_Species_Support!BG36*(1-EXP(-S13_PSP_Species_Support!BH36*18))^S13_PSP_Species_Support!BI36))^0.976,0)+IFERROR(S13_PSP_Species_Support!BM36*0.0673*(S13_PSP_Species_Support!BN36*(S13_PSP_Species_Support!BO36*(1-EXP(-S13_PSP_Species_Support!BP36*18))^S13_PSP_Species_Support!BQ36)^2*(S13_PSP_Species_Support!BR36*(1-EXP(-S13_PSP_Species_Support!BS36*18))^S13_PSP_Species_Support!BT36))^0.976,0)+IFERROR(S13_PSP_Species_Support!BX36*0.0673*(S13_PSP_Species_Support!BY36*(S13_PSP_Species_Support!BZ36*(1-EXP(-S13_PSP_Species_Support!CA36*18))^S13_PSP_Species_Support!CB36)^2*(S13_PSP_Species_Support!CC36*(1-EXP(-S13_PSP_Species_Support!CD36*18))^S13_PSP_Species_Support!CE36))^0.976,0)+IFERROR(S13_PSP_Species_Support!CI36*0.0673*(S13_PSP_Species_Support!CJ36*(S13_PSP_Species_Support!CK36*(1-EXP(-S13_PSP_Species_Support!CL36*18))^S13_PSP_Species_Support!CM36)^2*(S13_PSP_Species_Support!CN36*(1-EXP(-S13_PSP_Species_Support!CO36*18))^S13_PSP_Species_Support!CP36))^0.976,0)+IFERROR(S13_PSP_Species_Support!CT36*0.0673*(S13_PSP_Species_Support!CU36*(S13_PSP_Species_Support!CV36*(1-EXP(-S13_PSP_Species_Support!CW36*18))^S13_PSP_Species_Support!CX36)^2*(S13_PSP_Species_Support!CY36*(1-EXP(-S13_PSP_Species_Support!CZ36*18))^S13_PSP_Species_Support!DA36))^0.976,0))/1000/$G49*AA$108,0)</x:f>
        <x:v>80.72972896211611</x:v>
      </x:c>
      <x:c r="AB49" s="147" t="n">
        <x:f aca="0">IFERROR((IFERROR(S13_PSP_Species_Support!U36*0.0673*(S13_PSP_Species_Support!V36*(S13_PSP_Species_Support!W36*(1-EXP(-S13_PSP_Species_Support!X36*19))^S13_PSP_Species_Support!Y36)^2*(S13_PSP_Species_Support!Z36*(1-EXP(-S13_PSP_Species_Support!AA36*19))^S13_PSP_Species_Support!AB36))^0.976,0)+IFERROR(S13_PSP_Species_Support!AF36*0.0673*(S13_PSP_Species_Support!AG36*(S13_PSP_Species_Support!AH36*(1-EXP(-S13_PSP_Species_Support!AI36*19))^S13_PSP_Species_Support!AJ36)^2*(S13_PSP_Species_Support!AK36*(1-EXP(-S13_PSP_Species_Support!AL36*19))^S13_PSP_Species_Support!AM36))^0.976,0)+IFERROR(S13_PSP_Species_Support!AQ36*0.0673*(S13_PSP_Species_Support!AR36*(S13_PSP_Species_Support!AS36*(1-EXP(-S13_PSP_Species_Support!AT36*19))^S13_PSP_Species_Support!AU36)^2*(S13_PSP_Species_Support!AV36*(1-EXP(-S13_PSP_Species_Support!AW36*19))^S13_PSP_Species_Support!AX36))^0.976,0)+IFERROR(S13_PSP_Species_Support!BB36*0.0673*(S13_PSP_Species_Support!BC36*(S13_PSP_Species_Support!BD36*(1-EXP(-S13_PSP_Species_Support!BE36*19))^S13_PSP_Species_Support!BF36)^2*(S13_PSP_Species_Support!BG36*(1-EXP(-S13_PSP_Species_Support!BH36*19))^S13_PSP_Species_Support!BI36))^0.976,0)+IFERROR(S13_PSP_Species_Support!BM36*0.0673*(S13_PSP_Species_Support!BN36*(S13_PSP_Species_Support!BO36*(1-EXP(-S13_PSP_Species_Support!BP36*19))^S13_PSP_Species_Support!BQ36)^2*(S13_PSP_Species_Support!BR36*(1-EXP(-S13_PSP_Species_Support!BS36*19))^S13_PSP_Species_Support!BT36))^0.976,0)+IFERROR(S13_PSP_Species_Support!BX36*0.0673*(S13_PSP_Species_Support!BY36*(S13_PSP_Species_Support!BZ36*(1-EXP(-S13_PSP_Species_Support!CA36*19))^S13_PSP_Species_Support!CB36)^2*(S13_PSP_Species_Support!CC36*(1-EXP(-S13_PSP_Species_Support!CD36*19))^S13_PSP_Species_Support!CE36))^0.976,0)+IFERROR(S13_PSP_Species_Support!CI36*0.0673*(S13_PSP_Species_Support!CJ36*(S13_PSP_Species_Support!CK36*(1-EXP(-S13_PSP_Species_Support!CL36*19))^S13_PSP_Species_Support!CM36)^2*(S13_PSP_Species_Support!CN36*(1-EXP(-S13_PSP_Species_Support!CO36*19))^S13_PSP_Species_Support!CP36))^0.976,0)+IFERROR(S13_PSP_Species_Support!CT36*0.0673*(S13_PSP_Species_Support!CU36*(S13_PSP_Species_Support!CV36*(1-EXP(-S13_PSP_Species_Support!CW36*19))^S13_PSP_Species_Support!CX36)^2*(S13_PSP_Species_Support!CY36*(1-EXP(-S13_PSP_Species_Support!CZ36*19))^S13_PSP_Species_Support!DA36))^0.976,0))/1000/$G49*AB$108,0)</x:f>
        <x:v>84.73770528032988</x:v>
      </x:c>
      <x:c r="AC49" s="147" t="n">
        <x:f aca="0">IFERROR((IFERROR(S13_PSP_Species_Support!U36*0.0673*(S13_PSP_Species_Support!V36*(S13_PSP_Species_Support!W36*(1-EXP(-S13_PSP_Species_Support!X36*20))^S13_PSP_Species_Support!Y36)^2*(S13_PSP_Species_Support!Z36*(1-EXP(-S13_PSP_Species_Support!AA36*20))^S13_PSP_Species_Support!AB36))^0.976,0)+IFERROR(S13_PSP_Species_Support!AF36*0.0673*(S13_PSP_Species_Support!AG36*(S13_PSP_Species_Support!AH36*(1-EXP(-S13_PSP_Species_Support!AI36*20))^S13_PSP_Species_Support!AJ36)^2*(S13_PSP_Species_Support!AK36*(1-EXP(-S13_PSP_Species_Support!AL36*20))^S13_PSP_Species_Support!AM36))^0.976,0)+IFERROR(S13_PSP_Species_Support!AQ36*0.0673*(S13_PSP_Species_Support!AR36*(S13_PSP_Species_Support!AS36*(1-EXP(-S13_PSP_Species_Support!AT36*20))^S13_PSP_Species_Support!AU36)^2*(S13_PSP_Species_Support!AV36*(1-EXP(-S13_PSP_Species_Support!AW36*20))^S13_PSP_Species_Support!AX36))^0.976,0)+IFERROR(S13_PSP_Species_Support!BB36*0.0673*(S13_PSP_Species_Support!BC36*(S13_PSP_Species_Support!BD36*(1-EXP(-S13_PSP_Species_Support!BE36*20))^S13_PSP_Species_Support!BF36)^2*(S13_PSP_Species_Support!BG36*(1-EXP(-S13_PSP_Species_Support!BH36*20))^S13_PSP_Species_Support!BI36))^0.976,0)+IFERROR(S13_PSP_Species_Support!BM36*0.0673*(S13_PSP_Species_Support!BN36*(S13_PSP_Species_Support!BO36*(1-EXP(-S13_PSP_Species_Support!BP36*20))^S13_PSP_Species_Support!BQ36)^2*(S13_PSP_Species_Support!BR36*(1-EXP(-S13_PSP_Species_Support!BS36*20))^S13_PSP_Species_Support!BT36))^0.976,0)+IFERROR(S13_PSP_Species_Support!BX36*0.0673*(S13_PSP_Species_Support!BY36*(S13_PSP_Species_Support!BZ36*(1-EXP(-S13_PSP_Species_Support!CA36*20))^S13_PSP_Species_Support!CB36)^2*(S13_PSP_Species_Support!CC36*(1-EXP(-S13_PSP_Species_Support!CD36*20))^S13_PSP_Species_Support!CE36))^0.976,0)+IFERROR(S13_PSP_Species_Support!CI36*0.0673*(S13_PSP_Species_Support!CJ36*(S13_PSP_Species_Support!CK36*(1-EXP(-S13_PSP_Species_Support!CL36*20))^S13_PSP_Species_Support!CM36)^2*(S13_PSP_Species_Support!CN36*(1-EXP(-S13_PSP_Species_Support!CO36*20))^S13_PSP_Species_Support!CP36))^0.976,0)+IFERROR(S13_PSP_Species_Support!CT36*0.0673*(S13_PSP_Species_Support!CU36*(S13_PSP_Species_Support!CV36*(1-EXP(-S13_PSP_Species_Support!CW36*20))^S13_PSP_Species_Support!CX36)^2*(S13_PSP_Species_Support!CY36*(1-EXP(-S13_PSP_Species_Support!CZ36*20))^S13_PSP_Species_Support!DA36))^0.976,0))/1000/$G49*AC$108,0)</x:f>
        <x:v>88.37324733774008</x:v>
      </x:c>
      <x:c r="AD49" s="148" t="n">
        <x:f aca="0">IF(2020&lt;$F49,0,INDEX($I49:$AC49,1,2020-$F49+1))</x:f>
        <x:v>0</x:v>
      </x:c>
      <x:c r="AE49" s="148" t="n">
        <x:f aca="0">IF(2021&lt;$F49,0,INDEX($I49:$AC49,1,2021-$F49+1))</x:f>
        <x:v>0.03216179903572121</x:v>
      </x:c>
      <x:c r="AF49" s="148" t="n">
        <x:f aca="0">IF(2022&lt;$F49,0,INDEX($I49:$AC49,1,2022-$F49+1))</x:f>
        <x:v>0.3860927620746518</x:v>
      </x:c>
      <x:c r="AG49" s="148" t="n">
        <x:f aca="0">IF(2023&lt;$F49,0,INDEX($I49:$AC49,1,2023-$F49+1))</x:f>
        <x:v>1.490723398105946</x:v>
      </x:c>
      <x:c r="AH49" s="148" t="n">
        <x:f aca="0">IF(2024&lt;$F49,0,INDEX($I49:$AC49,1,2024-$F49+1))</x:f>
        <x:v>3.653071391264014</x:v>
      </x:c>
      <x:c r="AI49" s="148" t="n">
        <x:f aca="0">IF(2025&lt;$F49,0,INDEX($I49:$AC49,1,2025-$F49+1))</x:f>
        <x:v>6.960154078013774</x:v>
      </x:c>
      <x:c r="AJ49" s="148" t="n">
        <x:f aca="0">IF(2026&lt;$F49,0,INDEX($I49:$AC49,1,2026-$F49+1))</x:f>
        <x:v>11.336155831697205</x:v>
      </x:c>
      <x:c r="AK49" s="148" t="n">
        <x:f aca="0">IF(2027&lt;$F49,0,INDEX($I49:$AC49,1,2027-$F49+1))</x:f>
        <x:v>16.601585996749975</x:v>
      </x:c>
      <x:c r="AL49" s="148" t="n">
        <x:f aca="0">IF(2028&lt;$F49,0,INDEX($I49:$AC49,1,2028-$F49+1))</x:f>
        <x:v>22.529574463802494</x:v>
      </x:c>
      <x:c r="AM49" s="148" t="n">
        <x:f aca="0">IF(2029&lt;$F49,0,INDEX($I49:$AC49,1,2029-$F49+1))</x:f>
        <x:v>28.886522336683445</x:v>
      </x:c>
      <x:c r="AN49" s="148" t="n">
        <x:f aca="0">IF(2030&lt;$F49,0,INDEX($I49:$AC49,1,2030-$F49+1))</x:f>
        <x:v>35.45732661629734</x:v>
      </x:c>
      <x:c r="AO49" s="148" t="n">
        <x:f aca="0">IF(2031&lt;$F49,0,INDEX($I49:$AC49,1,2031-$F49+1))</x:f>
        <x:v>42.05847335974368</x:v>
      </x:c>
      <x:c r="AP49" s="148" t="n">
        <x:f aca="0">IF(2032&lt;$F49,0,INDEX($I49:$AC49,1,2032-$F49+1))</x:f>
        <x:v>48.542721791466064</x:v>
      </x:c>
      <x:c r="AQ49" s="148" t="n">
        <x:f aca="0">IF(2033&lt;$F49,0,INDEX($I49:$AC49,1,2033-$F49+1))</x:f>
        <x:v>54.79853443411465</x:v>
      </x:c>
      <x:c r="AR49" s="148" t="n">
        <x:f aca="0">IF(2034&lt;$F49,0,INDEX($I49:$AC49,1,2034-$F49+1))</x:f>
        <x:v>60.74659661341688</x:v>
      </x:c>
      <x:c r="AS49" s="148" t="n">
        <x:f aca="0">IF(2035&lt;$F49,0,INDEX($I49:$AC49,1,2035-$F49+1))</x:f>
        <x:v>66.33501893893046</x:v>
      </x:c>
      <x:c r="AT49" s="148" t="n">
        <x:f aca="0">IF(2036&lt;$F49,0,INDEX($I49:$AC49,1,2036-$F49+1))</x:f>
        <x:v>71.53422572915623</x:v>
      </x:c>
      <x:c r="AU49" s="148" t="n">
        <x:f aca="0">IF(2037&lt;$F49,0,INDEX($I49:$AC49,1,2037-$F49+1))</x:f>
        <x:v>76.33210741347656</x:v>
      </x:c>
      <x:c r="AV49" s="148" t="n">
        <x:f aca="0">IF(2038&lt;$F49,0,INDEX($I49:$AC49,1,2038-$F49+1))</x:f>
        <x:v>80.72972896211611</x:v>
      </x:c>
      <x:c r="AW49" s="148" t="n">
        <x:f aca="0">IF(2039&lt;$F49,0,INDEX($I49:$AC49,1,2039-$F49+1))</x:f>
        <x:v>84.73770528032988</x:v>
      </x:c>
      <x:c r="AX49" s="148" t="n">
        <x:f aca="0">IF(2040&lt;$F49,0,INDEX($I49:$AC49,1,2040-$F49+1))</x:f>
        <x:v>88.37324733774008</x:v>
      </x:c>
      <x:c r="AY49" s="1" t="str">
        <x:f aca="0">LEFT($C49,FIND("@",SUBSTITUTE($C49,"|","@",2))-1)</x:f>
        <x:v>Mixed Agroforestry|Low</x:v>
      </x:c>
      <x:c r="AZ49" s="1" t="str">
        <x:f aca="0">LEFT($C49,FIND("|",$C49)-1)</x:f>
        <x:v>Mixed Agroforestry</x:v>
      </x:c>
      <x:c r="BA49" s="149" t="n">
        <x:f aca="0">I49*I49</x:f>
        <x:v>0</x:v>
      </x:c>
      <x:c r="BB49" s="149" t="n">
        <x:f aca="0">J49*J49</x:f>
        <x:v>0.0010343813172141176</x:v>
      </x:c>
      <x:c r="BC49" s="149" t="n">
        <x:f aca="0">K49*K49</x:f>
        <x:v>0.1490676209264337</x:v>
      </x:c>
      <x:c r="BD49" s="149" t="n">
        <x:f aca="0">L49*L49</x:f>
        <x:v>2.2222562496605387</x:v>
      </x:c>
      <x:c r="BE49" s="149" t="n">
        <x:f aca="0">M49*M49</x:f>
        <x:v>13.344930589671597</x:v>
      </x:c>
      <x:c r="BF49" s="149" t="n">
        <x:f aca="0">N49*N49</x:f>
        <x:v>48.44374478969177</x:v>
      </x:c>
      <x:c r="BG49" s="149" t="n">
        <x:f aca="0">O49*O49</x:f>
        <x:v>128.50842904052254</x:v>
      </x:c>
      <x:c r="BH49" s="149" t="n">
        <x:f aca="0">P49*P49</x:f>
        <x:v>275.61265760748483</x:v>
      </x:c>
      <x:c r="BI49" s="149" t="n">
        <x:f aca="0">Q49*Q49</x:f>
        <x:v>507.5817255200214</x:v>
      </x:c>
      <x:c r="BJ49" s="149" t="n">
        <x:f aca="0">R49*R49</x:f>
        <x:v>834.4311727077115</x:v>
      </x:c>
      <x:c r="BK49" s="149" t="n">
        <x:f aca="0">S49*S49</x:f>
        <x:v>1257.2220107747876</x:v>
      </x:c>
      <x:c r="BL49" s="149" t="n">
        <x:f aca="0">T49*T49</x:f>
        <x:v>1768.9151813522687</x:v>
      </x:c>
      <x:c r="BM49" s="149" t="n">
        <x:f aca="0">U49*U49</x:f>
        <x:v>2356.3958389236745</x:v>
      </x:c>
      <x:c r="BN49" s="149" t="n">
        <x:f aca="0">V49*V49</x:f>
        <x:v>3002.879376126849</x:v>
      </x:c>
      <x:c r="BO49" s="149" t="n">
        <x:f aca="0">W49*W49</x:f>
        <x:v>3690.1490001131906</x:v>
      </x:c>
      <x:c r="BP49" s="149" t="n">
        <x:f aca="0">X49*X49</x:f>
        <x:v>4400.334737628263</x:v>
      </x:c>
      <x:c r="BQ49" s="149" t="n">
        <x:f aca="0">Y49*Y49</x:f>
        <x:v>5117.145450669877</x:v>
      </x:c>
      <x:c r="BR49" s="149" t="n">
        <x:f aca="0">Z49*Z49</x:f>
        <x:v>5826.5906221825235</x:v>
      </x:c>
      <x:c r="BS49" s="149" t="n">
        <x:f aca="0">AA49*AA49</x:f>
        <x:v>6517.289138296729</x:v>
      </x:c>
      <x:c r="BT49" s="149" t="n">
        <x:f aca="0">AB49*AB49</x:f>
        <x:v>7180.478696176046</x:v>
      </x:c>
      <x:c r="BU49" s="149" t="n">
        <x:f aca="0">AC49*AC49</x:f>
        <x:v>7809.8308450173845</x:v>
      </x:c>
    </x:row>
    <x:row r="50" ht="15" hidden="0" customHeight="1">
      <x:c r="A50" s="1" t="str">
        <x:f aca="0">S13_PSP_Species_Support!A37</x:f>
        <x:v>PSP-MA-004</x:v>
      </x:c>
      <x:c r="B50" s="1" t="n">
        <x:f aca="0">37</x:f>
        <x:v>37</x:v>
      </x:c>
      <x:c r="C50" s="1" t="str">
        <x:f aca="0">S13_PSP_Species_Support!I37</x:f>
        <x:v>Mixed Agroforestry|Medium|2020</x:v>
      </x:c>
      <x:c r="D50" s="1" t="str">
        <x:f aca="0">S13_PSP_Species_Support!C37</x:f>
        <x:v>Mixed Agroforestry Model</x:v>
      </x:c>
      <x:c r="E50" s="1" t="str">
        <x:f aca="0">S13_PSP_Species_Support!D37</x:f>
        <x:v>Medium</x:v>
      </x:c>
      <x:c r="F50" s="1" t="n">
        <x:f aca="0">S13_PSP_Species_Support!E37</x:f>
        <x:v>2020</x:v>
      </x:c>
      <x:c r="G50" s="645" t="n">
        <x:f aca="0">'S13_PSP_Species_Support'!DJ37</x:f>
        <x:v>0.09</x:v>
      </x:c>
      <x:c r="H50" s="714" t="n">
        <x:f aca="0">'S13_PSP_Species_Support'!DK37</x:f>
        <x:v>80.41911148365466</x:v>
      </x:c>
      <x:c r="I50" s="147" t="n">
        <x:f aca="0">IFERROR((IFERROR(S13_PSP_Species_Support!U37*0.0673*(S13_PSP_Species_Support!V37*(S13_PSP_Species_Support!W37*(1-EXP(-S13_PSP_Species_Support!X37*0))^S13_PSP_Species_Support!Y37)^2*(S13_PSP_Species_Support!Z37*(1-EXP(-S13_PSP_Species_Support!AA37*0))^S13_PSP_Species_Support!AB37))^0.976,0)+IFERROR(S13_PSP_Species_Support!AF37*0.0673*(S13_PSP_Species_Support!AG37*(S13_PSP_Species_Support!AH37*(1-EXP(-S13_PSP_Species_Support!AI37*0))^S13_PSP_Species_Support!AJ37)^2*(S13_PSP_Species_Support!AK37*(1-EXP(-S13_PSP_Species_Support!AL37*0))^S13_PSP_Species_Support!AM37))^0.976,0)+IFERROR(S13_PSP_Species_Support!AQ37*0.0673*(S13_PSP_Species_Support!AR37*(S13_PSP_Species_Support!AS37*(1-EXP(-S13_PSP_Species_Support!AT37*0))^S13_PSP_Species_Support!AU37)^2*(S13_PSP_Species_Support!AV37*(1-EXP(-S13_PSP_Species_Support!AW37*0))^S13_PSP_Species_Support!AX37))^0.976,0)+IFERROR(S13_PSP_Species_Support!BB37*0.0673*(S13_PSP_Species_Support!BC37*(S13_PSP_Species_Support!BD37*(1-EXP(-S13_PSP_Species_Support!BE37*0))^S13_PSP_Species_Support!BF37)^2*(S13_PSP_Species_Support!BG37*(1-EXP(-S13_PSP_Species_Support!BH37*0))^S13_PSP_Species_Support!BI37))^0.976,0)+IFERROR(S13_PSP_Species_Support!BM37*0.0673*(S13_PSP_Species_Support!BN37*(S13_PSP_Species_Support!BO37*(1-EXP(-S13_PSP_Species_Support!BP37*0))^S13_PSP_Species_Support!BQ37)^2*(S13_PSP_Species_Support!BR37*(1-EXP(-S13_PSP_Species_Support!BS37*0))^S13_PSP_Species_Support!BT37))^0.976,0)+IFERROR(S13_PSP_Species_Support!BX37*0.0673*(S13_PSP_Species_Support!BY37*(S13_PSP_Species_Support!BZ37*(1-EXP(-S13_PSP_Species_Support!CA37*0))^S13_PSP_Species_Support!CB37)^2*(S13_PSP_Species_Support!CC37*(1-EXP(-S13_PSP_Species_Support!CD37*0))^S13_PSP_Species_Support!CE37))^0.976,0)+IFERROR(S13_PSP_Species_Support!CI37*0.0673*(S13_PSP_Species_Support!CJ37*(S13_PSP_Species_Support!CK37*(1-EXP(-S13_PSP_Species_Support!CL37*0))^S13_PSP_Species_Support!CM37)^2*(S13_PSP_Species_Support!CN37*(1-EXP(-S13_PSP_Species_Support!CO37*0))^S13_PSP_Species_Support!CP37))^0.976,0)+IFERROR(S13_PSP_Species_Support!CT37*0.0673*(S13_PSP_Species_Support!CU37*(S13_PSP_Species_Support!CV37*(1-EXP(-S13_PSP_Species_Support!CW37*0))^S13_PSP_Species_Support!CX37)^2*(S13_PSP_Species_Support!CY37*(1-EXP(-S13_PSP_Species_Support!CZ37*0))^S13_PSP_Species_Support!DA37))^0.976,0))/1000/$G50*I$108,0)</x:f>
        <x:v>0</x:v>
      </x:c>
      <x:c r="J50" s="147" t="n">
        <x:f aca="0">IFERROR((IFERROR(S13_PSP_Species_Support!U37*0.0673*(S13_PSP_Species_Support!V37*(S13_PSP_Species_Support!W37*(1-EXP(-S13_PSP_Species_Support!X37*1))^S13_PSP_Species_Support!Y37)^2*(S13_PSP_Species_Support!Z37*(1-EXP(-S13_PSP_Species_Support!AA37*1))^S13_PSP_Species_Support!AB37))^0.976,0)+IFERROR(S13_PSP_Species_Support!AF37*0.0673*(S13_PSP_Species_Support!AG37*(S13_PSP_Species_Support!AH37*(1-EXP(-S13_PSP_Species_Support!AI37*1))^S13_PSP_Species_Support!AJ37)^2*(S13_PSP_Species_Support!AK37*(1-EXP(-S13_PSP_Species_Support!AL37*1))^S13_PSP_Species_Support!AM37))^0.976,0)+IFERROR(S13_PSP_Species_Support!AQ37*0.0673*(S13_PSP_Species_Support!AR37*(S13_PSP_Species_Support!AS37*(1-EXP(-S13_PSP_Species_Support!AT37*1))^S13_PSP_Species_Support!AU37)^2*(S13_PSP_Species_Support!AV37*(1-EXP(-S13_PSP_Species_Support!AW37*1))^S13_PSP_Species_Support!AX37))^0.976,0)+IFERROR(S13_PSP_Species_Support!BB37*0.0673*(S13_PSP_Species_Support!BC37*(S13_PSP_Species_Support!BD37*(1-EXP(-S13_PSP_Species_Support!BE37*1))^S13_PSP_Species_Support!BF37)^2*(S13_PSP_Species_Support!BG37*(1-EXP(-S13_PSP_Species_Support!BH37*1))^S13_PSP_Species_Support!BI37))^0.976,0)+IFERROR(S13_PSP_Species_Support!BM37*0.0673*(S13_PSP_Species_Support!BN37*(S13_PSP_Species_Support!BO37*(1-EXP(-S13_PSP_Species_Support!BP37*1))^S13_PSP_Species_Support!BQ37)^2*(S13_PSP_Species_Support!BR37*(1-EXP(-S13_PSP_Species_Support!BS37*1))^S13_PSP_Species_Support!BT37))^0.976,0)+IFERROR(S13_PSP_Species_Support!BX37*0.0673*(S13_PSP_Species_Support!BY37*(S13_PSP_Species_Support!BZ37*(1-EXP(-S13_PSP_Species_Support!CA37*1))^S13_PSP_Species_Support!CB37)^2*(S13_PSP_Species_Support!CC37*(1-EXP(-S13_PSP_Species_Support!CD37*1))^S13_PSP_Species_Support!CE37))^0.976,0)+IFERROR(S13_PSP_Species_Support!CI37*0.0673*(S13_PSP_Species_Support!CJ37*(S13_PSP_Species_Support!CK37*(1-EXP(-S13_PSP_Species_Support!CL37*1))^S13_PSP_Species_Support!CM37)^2*(S13_PSP_Species_Support!CN37*(1-EXP(-S13_PSP_Species_Support!CO37*1))^S13_PSP_Species_Support!CP37))^0.976,0)+IFERROR(S13_PSP_Species_Support!CT37*0.0673*(S13_PSP_Species_Support!CU37*(S13_PSP_Species_Support!CV37*(1-EXP(-S13_PSP_Species_Support!CW37*1))^S13_PSP_Species_Support!CX37)^2*(S13_PSP_Species_Support!CY37*(1-EXP(-S13_PSP_Species_Support!CZ37*1))^S13_PSP_Species_Support!DA37))^0.976,0))/1000/$G50*J$108,0)</x:f>
        <x:v>0.10559137390922502</x:v>
      </x:c>
      <x:c r="K50" s="147" t="n">
        <x:f aca="0">IFERROR((IFERROR(S13_PSP_Species_Support!U37*0.0673*(S13_PSP_Species_Support!V37*(S13_PSP_Species_Support!W37*(1-EXP(-S13_PSP_Species_Support!X37*2))^S13_PSP_Species_Support!Y37)^2*(S13_PSP_Species_Support!Z37*(1-EXP(-S13_PSP_Species_Support!AA37*2))^S13_PSP_Species_Support!AB37))^0.976,0)+IFERROR(S13_PSP_Species_Support!AF37*0.0673*(S13_PSP_Species_Support!AG37*(S13_PSP_Species_Support!AH37*(1-EXP(-S13_PSP_Species_Support!AI37*2))^S13_PSP_Species_Support!AJ37)^2*(S13_PSP_Species_Support!AK37*(1-EXP(-S13_PSP_Species_Support!AL37*2))^S13_PSP_Species_Support!AM37))^0.976,0)+IFERROR(S13_PSP_Species_Support!AQ37*0.0673*(S13_PSP_Species_Support!AR37*(S13_PSP_Species_Support!AS37*(1-EXP(-S13_PSP_Species_Support!AT37*2))^S13_PSP_Species_Support!AU37)^2*(S13_PSP_Species_Support!AV37*(1-EXP(-S13_PSP_Species_Support!AW37*2))^S13_PSP_Species_Support!AX37))^0.976,0)+IFERROR(S13_PSP_Species_Support!BB37*0.0673*(S13_PSP_Species_Support!BC37*(S13_PSP_Species_Support!BD37*(1-EXP(-S13_PSP_Species_Support!BE37*2))^S13_PSP_Species_Support!BF37)^2*(S13_PSP_Species_Support!BG37*(1-EXP(-S13_PSP_Species_Support!BH37*2))^S13_PSP_Species_Support!BI37))^0.976,0)+IFERROR(S13_PSP_Species_Support!BM37*0.0673*(S13_PSP_Species_Support!BN37*(S13_PSP_Species_Support!BO37*(1-EXP(-S13_PSP_Species_Support!BP37*2))^S13_PSP_Species_Support!BQ37)^2*(S13_PSP_Species_Support!BR37*(1-EXP(-S13_PSP_Species_Support!BS37*2))^S13_PSP_Species_Support!BT37))^0.976,0)+IFERROR(S13_PSP_Species_Support!BX37*0.0673*(S13_PSP_Species_Support!BY37*(S13_PSP_Species_Support!BZ37*(1-EXP(-S13_PSP_Species_Support!CA37*2))^S13_PSP_Species_Support!CB37)^2*(S13_PSP_Species_Support!CC37*(1-EXP(-S13_PSP_Species_Support!CD37*2))^S13_PSP_Species_Support!CE37))^0.976,0)+IFERROR(S13_PSP_Species_Support!CI37*0.0673*(S13_PSP_Species_Support!CJ37*(S13_PSP_Species_Support!CK37*(1-EXP(-S13_PSP_Species_Support!CL37*2))^S13_PSP_Species_Support!CM37)^2*(S13_PSP_Species_Support!CN37*(1-EXP(-S13_PSP_Species_Support!CO37*2))^S13_PSP_Species_Support!CP37))^0.976,0)+IFERROR(S13_PSP_Species_Support!CT37*0.0673*(S13_PSP_Species_Support!CU37*(S13_PSP_Species_Support!CV37*(1-EXP(-S13_PSP_Species_Support!CW37*2))^S13_PSP_Species_Support!CX37)^2*(S13_PSP_Species_Support!CY37*(1-EXP(-S13_PSP_Species_Support!CZ37*2))^S13_PSP_Species_Support!DA37))^0.976,0))/1000/$G50*K$108,0)</x:f>
        <x:v>1.251731758969847</x:v>
      </x:c>
      <x:c r="L50" s="147" t="n">
        <x:f aca="0">IFERROR((IFERROR(S13_PSP_Species_Support!U37*0.0673*(S13_PSP_Species_Support!V37*(S13_PSP_Species_Support!W37*(1-EXP(-S13_PSP_Species_Support!X37*3))^S13_PSP_Species_Support!Y37)^2*(S13_PSP_Species_Support!Z37*(1-EXP(-S13_PSP_Species_Support!AA37*3))^S13_PSP_Species_Support!AB37))^0.976,0)+IFERROR(S13_PSP_Species_Support!AF37*0.0673*(S13_PSP_Species_Support!AG37*(S13_PSP_Species_Support!AH37*(1-EXP(-S13_PSP_Species_Support!AI37*3))^S13_PSP_Species_Support!AJ37)^2*(S13_PSP_Species_Support!AK37*(1-EXP(-S13_PSP_Species_Support!AL37*3))^S13_PSP_Species_Support!AM37))^0.976,0)+IFERROR(S13_PSP_Species_Support!AQ37*0.0673*(S13_PSP_Species_Support!AR37*(S13_PSP_Species_Support!AS37*(1-EXP(-S13_PSP_Species_Support!AT37*3))^S13_PSP_Species_Support!AU37)^2*(S13_PSP_Species_Support!AV37*(1-EXP(-S13_PSP_Species_Support!AW37*3))^S13_PSP_Species_Support!AX37))^0.976,0)+IFERROR(S13_PSP_Species_Support!BB37*0.0673*(S13_PSP_Species_Support!BC37*(S13_PSP_Species_Support!BD37*(1-EXP(-S13_PSP_Species_Support!BE37*3))^S13_PSP_Species_Support!BF37)^2*(S13_PSP_Species_Support!BG37*(1-EXP(-S13_PSP_Species_Support!BH37*3))^S13_PSP_Species_Support!BI37))^0.976,0)+IFERROR(S13_PSP_Species_Support!BM37*0.0673*(S13_PSP_Species_Support!BN37*(S13_PSP_Species_Support!BO37*(1-EXP(-S13_PSP_Species_Support!BP37*3))^S13_PSP_Species_Support!BQ37)^2*(S13_PSP_Species_Support!BR37*(1-EXP(-S13_PSP_Species_Support!BS37*3))^S13_PSP_Species_Support!BT37))^0.976,0)+IFERROR(S13_PSP_Species_Support!BX37*0.0673*(S13_PSP_Species_Support!BY37*(S13_PSP_Species_Support!BZ37*(1-EXP(-S13_PSP_Species_Support!CA37*3))^S13_PSP_Species_Support!CB37)^2*(S13_PSP_Species_Support!CC37*(1-EXP(-S13_PSP_Species_Support!CD37*3))^S13_PSP_Species_Support!CE37))^0.976,0)+IFERROR(S13_PSP_Species_Support!CI37*0.0673*(S13_PSP_Species_Support!CJ37*(S13_PSP_Species_Support!CK37*(1-EXP(-S13_PSP_Species_Support!CL37*3))^S13_PSP_Species_Support!CM37)^2*(S13_PSP_Species_Support!CN37*(1-EXP(-S13_PSP_Species_Support!CO37*3))^S13_PSP_Species_Support!CP37))^0.976,0)+IFERROR(S13_PSP_Species_Support!CT37*0.0673*(S13_PSP_Species_Support!CU37*(S13_PSP_Species_Support!CV37*(1-EXP(-S13_PSP_Species_Support!CW37*3))^S13_PSP_Species_Support!CX37)^2*(S13_PSP_Species_Support!CY37*(1-EXP(-S13_PSP_Species_Support!CZ37*3))^S13_PSP_Species_Support!DA37))^0.976,0))/1000/$G50*L$108,0)</x:f>
        <x:v>4.699008307200092</x:v>
      </x:c>
      <x:c r="M50" s="147" t="n">
        <x:f aca="0">IFERROR((IFERROR(S13_PSP_Species_Support!U37*0.0673*(S13_PSP_Species_Support!V37*(S13_PSP_Species_Support!W37*(1-EXP(-S13_PSP_Species_Support!X37*4))^S13_PSP_Species_Support!Y37)^2*(S13_PSP_Species_Support!Z37*(1-EXP(-S13_PSP_Species_Support!AA37*4))^S13_PSP_Species_Support!AB37))^0.976,0)+IFERROR(S13_PSP_Species_Support!AF37*0.0673*(S13_PSP_Species_Support!AG37*(S13_PSP_Species_Support!AH37*(1-EXP(-S13_PSP_Species_Support!AI37*4))^S13_PSP_Species_Support!AJ37)^2*(S13_PSP_Species_Support!AK37*(1-EXP(-S13_PSP_Species_Support!AL37*4))^S13_PSP_Species_Support!AM37))^0.976,0)+IFERROR(S13_PSP_Species_Support!AQ37*0.0673*(S13_PSP_Species_Support!AR37*(S13_PSP_Species_Support!AS37*(1-EXP(-S13_PSP_Species_Support!AT37*4))^S13_PSP_Species_Support!AU37)^2*(S13_PSP_Species_Support!AV37*(1-EXP(-S13_PSP_Species_Support!AW37*4))^S13_PSP_Species_Support!AX37))^0.976,0)+IFERROR(S13_PSP_Species_Support!BB37*0.0673*(S13_PSP_Species_Support!BC37*(S13_PSP_Species_Support!BD37*(1-EXP(-S13_PSP_Species_Support!BE37*4))^S13_PSP_Species_Support!BF37)^2*(S13_PSP_Species_Support!BG37*(1-EXP(-S13_PSP_Species_Support!BH37*4))^S13_PSP_Species_Support!BI37))^0.976,0)+IFERROR(S13_PSP_Species_Support!BM37*0.0673*(S13_PSP_Species_Support!BN37*(S13_PSP_Species_Support!BO37*(1-EXP(-S13_PSP_Species_Support!BP37*4))^S13_PSP_Species_Support!BQ37)^2*(S13_PSP_Species_Support!BR37*(1-EXP(-S13_PSP_Species_Support!BS37*4))^S13_PSP_Species_Support!BT37))^0.976,0)+IFERROR(S13_PSP_Species_Support!BX37*0.0673*(S13_PSP_Species_Support!BY37*(S13_PSP_Species_Support!BZ37*(1-EXP(-S13_PSP_Species_Support!CA37*4))^S13_PSP_Species_Support!CB37)^2*(S13_PSP_Species_Support!CC37*(1-EXP(-S13_PSP_Species_Support!CD37*4))^S13_PSP_Species_Support!CE37))^0.976,0)+IFERROR(S13_PSP_Species_Support!CI37*0.0673*(S13_PSP_Species_Support!CJ37*(S13_PSP_Species_Support!CK37*(1-EXP(-S13_PSP_Species_Support!CL37*4))^S13_PSP_Species_Support!CM37)^2*(S13_PSP_Species_Support!CN37*(1-EXP(-S13_PSP_Species_Support!CO37*4))^S13_PSP_Species_Support!CP37))^0.976,0)+IFERROR(S13_PSP_Species_Support!CT37*0.0673*(S13_PSP_Species_Support!CU37*(S13_PSP_Species_Support!CV37*(1-EXP(-S13_PSP_Species_Support!CW37*4))^S13_PSP_Species_Support!CX37)^2*(S13_PSP_Species_Support!CY37*(1-EXP(-S13_PSP_Species_Support!CZ37*4))^S13_PSP_Species_Support!DA37))^0.976,0))/1000/$G50*M$108,0)</x:f>
        <x:v>11.142131604393665</x:v>
      </x:c>
      <x:c r="N50" s="147" t="n">
        <x:f aca="0">IFERROR((IFERROR(S13_PSP_Species_Support!U37*0.0673*(S13_PSP_Species_Support!V37*(S13_PSP_Species_Support!W37*(1-EXP(-S13_PSP_Species_Support!X37*5))^S13_PSP_Species_Support!Y37)^2*(S13_PSP_Species_Support!Z37*(1-EXP(-S13_PSP_Species_Support!AA37*5))^S13_PSP_Species_Support!AB37))^0.976,0)+IFERROR(S13_PSP_Species_Support!AF37*0.0673*(S13_PSP_Species_Support!AG37*(S13_PSP_Species_Support!AH37*(1-EXP(-S13_PSP_Species_Support!AI37*5))^S13_PSP_Species_Support!AJ37)^2*(S13_PSP_Species_Support!AK37*(1-EXP(-S13_PSP_Species_Support!AL37*5))^S13_PSP_Species_Support!AM37))^0.976,0)+IFERROR(S13_PSP_Species_Support!AQ37*0.0673*(S13_PSP_Species_Support!AR37*(S13_PSP_Species_Support!AS37*(1-EXP(-S13_PSP_Species_Support!AT37*5))^S13_PSP_Species_Support!AU37)^2*(S13_PSP_Species_Support!AV37*(1-EXP(-S13_PSP_Species_Support!AW37*5))^S13_PSP_Species_Support!AX37))^0.976,0)+IFERROR(S13_PSP_Species_Support!BB37*0.0673*(S13_PSP_Species_Support!BC37*(S13_PSP_Species_Support!BD37*(1-EXP(-S13_PSP_Species_Support!BE37*5))^S13_PSP_Species_Support!BF37)^2*(S13_PSP_Species_Support!BG37*(1-EXP(-S13_PSP_Species_Support!BH37*5))^S13_PSP_Species_Support!BI37))^0.976,0)+IFERROR(S13_PSP_Species_Support!BM37*0.0673*(S13_PSP_Species_Support!BN37*(S13_PSP_Species_Support!BO37*(1-EXP(-S13_PSP_Species_Support!BP37*5))^S13_PSP_Species_Support!BQ37)^2*(S13_PSP_Species_Support!BR37*(1-EXP(-S13_PSP_Species_Support!BS37*5))^S13_PSP_Species_Support!BT37))^0.976,0)+IFERROR(S13_PSP_Species_Support!BX37*0.0673*(S13_PSP_Species_Support!BY37*(S13_PSP_Species_Support!BZ37*(1-EXP(-S13_PSP_Species_Support!CA37*5))^S13_PSP_Species_Support!CB37)^2*(S13_PSP_Species_Support!CC37*(1-EXP(-S13_PSP_Species_Support!CD37*5))^S13_PSP_Species_Support!CE37))^0.976,0)+IFERROR(S13_PSP_Species_Support!CI37*0.0673*(S13_PSP_Species_Support!CJ37*(S13_PSP_Species_Support!CK37*(1-EXP(-S13_PSP_Species_Support!CL37*5))^S13_PSP_Species_Support!CM37)^2*(S13_PSP_Species_Support!CN37*(1-EXP(-S13_PSP_Species_Support!CO37*5))^S13_PSP_Species_Support!CP37))^0.976,0)+IFERROR(S13_PSP_Species_Support!CT37*0.0673*(S13_PSP_Species_Support!CU37*(S13_PSP_Species_Support!CV37*(1-EXP(-S13_PSP_Species_Support!CW37*5))^S13_PSP_Species_Support!CX37)^2*(S13_PSP_Species_Support!CY37*(1-EXP(-S13_PSP_Species_Support!CZ37*5))^S13_PSP_Species_Support!DA37))^0.976,0))/1000/$G50*N$108,0)</x:f>
        <x:v>20.518032895131576</x:v>
      </x:c>
      <x:c r="O50" s="147" t="n">
        <x:f aca="0">IFERROR((IFERROR(S13_PSP_Species_Support!U37*0.0673*(S13_PSP_Species_Support!V37*(S13_PSP_Species_Support!W37*(1-EXP(-S13_PSP_Species_Support!X37*6))^S13_PSP_Species_Support!Y37)^2*(S13_PSP_Species_Support!Z37*(1-EXP(-S13_PSP_Species_Support!AA37*6))^S13_PSP_Species_Support!AB37))^0.976,0)+IFERROR(S13_PSP_Species_Support!AF37*0.0673*(S13_PSP_Species_Support!AG37*(S13_PSP_Species_Support!AH37*(1-EXP(-S13_PSP_Species_Support!AI37*6))^S13_PSP_Species_Support!AJ37)^2*(S13_PSP_Species_Support!AK37*(1-EXP(-S13_PSP_Species_Support!AL37*6))^S13_PSP_Species_Support!AM37))^0.976,0)+IFERROR(S13_PSP_Species_Support!AQ37*0.0673*(S13_PSP_Species_Support!AR37*(S13_PSP_Species_Support!AS37*(1-EXP(-S13_PSP_Species_Support!AT37*6))^S13_PSP_Species_Support!AU37)^2*(S13_PSP_Species_Support!AV37*(1-EXP(-S13_PSP_Species_Support!AW37*6))^S13_PSP_Species_Support!AX37))^0.976,0)+IFERROR(S13_PSP_Species_Support!BB37*0.0673*(S13_PSP_Species_Support!BC37*(S13_PSP_Species_Support!BD37*(1-EXP(-S13_PSP_Species_Support!BE37*6))^S13_PSP_Species_Support!BF37)^2*(S13_PSP_Species_Support!BG37*(1-EXP(-S13_PSP_Species_Support!BH37*6))^S13_PSP_Species_Support!BI37))^0.976,0)+IFERROR(S13_PSP_Species_Support!BM37*0.0673*(S13_PSP_Species_Support!BN37*(S13_PSP_Species_Support!BO37*(1-EXP(-S13_PSP_Species_Support!BP37*6))^S13_PSP_Species_Support!BQ37)^2*(S13_PSP_Species_Support!BR37*(1-EXP(-S13_PSP_Species_Support!BS37*6))^S13_PSP_Species_Support!BT37))^0.976,0)+IFERROR(S13_PSP_Species_Support!BX37*0.0673*(S13_PSP_Species_Support!BY37*(S13_PSP_Species_Support!BZ37*(1-EXP(-S13_PSP_Species_Support!CA37*6))^S13_PSP_Species_Support!CB37)^2*(S13_PSP_Species_Support!CC37*(1-EXP(-S13_PSP_Species_Support!CD37*6))^S13_PSP_Species_Support!CE37))^0.976,0)+IFERROR(S13_PSP_Species_Support!CI37*0.0673*(S13_PSP_Species_Support!CJ37*(S13_PSP_Species_Support!CK37*(1-EXP(-S13_PSP_Species_Support!CL37*6))^S13_PSP_Species_Support!CM37)^2*(S13_PSP_Species_Support!CN37*(1-EXP(-S13_PSP_Species_Support!CO37*6))^S13_PSP_Species_Support!CP37))^0.976,0)+IFERROR(S13_PSP_Species_Support!CT37*0.0673*(S13_PSP_Species_Support!CU37*(S13_PSP_Species_Support!CV37*(1-EXP(-S13_PSP_Species_Support!CW37*6))^S13_PSP_Species_Support!CX37)^2*(S13_PSP_Species_Support!CY37*(1-EXP(-S13_PSP_Species_Support!CZ37*6))^S13_PSP_Species_Support!DA37))^0.976,0))/1000/$G50*O$108,0)</x:f>
        <x:v>32.315040565160594</x:v>
      </x:c>
      <x:c r="P50" s="147" t="n">
        <x:f aca="0">IFERROR((IFERROR(S13_PSP_Species_Support!U37*0.0673*(S13_PSP_Species_Support!V37*(S13_PSP_Species_Support!W37*(1-EXP(-S13_PSP_Species_Support!X37*7))^S13_PSP_Species_Support!Y37)^2*(S13_PSP_Species_Support!Z37*(1-EXP(-S13_PSP_Species_Support!AA37*7))^S13_PSP_Species_Support!AB37))^0.976,0)+IFERROR(S13_PSP_Species_Support!AF37*0.0673*(S13_PSP_Species_Support!AG37*(S13_PSP_Species_Support!AH37*(1-EXP(-S13_PSP_Species_Support!AI37*7))^S13_PSP_Species_Support!AJ37)^2*(S13_PSP_Species_Support!AK37*(1-EXP(-S13_PSP_Species_Support!AL37*7))^S13_PSP_Species_Support!AM37))^0.976,0)+IFERROR(S13_PSP_Species_Support!AQ37*0.0673*(S13_PSP_Species_Support!AR37*(S13_PSP_Species_Support!AS37*(1-EXP(-S13_PSP_Species_Support!AT37*7))^S13_PSP_Species_Support!AU37)^2*(S13_PSP_Species_Support!AV37*(1-EXP(-S13_PSP_Species_Support!AW37*7))^S13_PSP_Species_Support!AX37))^0.976,0)+IFERROR(S13_PSP_Species_Support!BB37*0.0673*(S13_PSP_Species_Support!BC37*(S13_PSP_Species_Support!BD37*(1-EXP(-S13_PSP_Species_Support!BE37*7))^S13_PSP_Species_Support!BF37)^2*(S13_PSP_Species_Support!BG37*(1-EXP(-S13_PSP_Species_Support!BH37*7))^S13_PSP_Species_Support!BI37))^0.976,0)+IFERROR(S13_PSP_Species_Support!BM37*0.0673*(S13_PSP_Species_Support!BN37*(S13_PSP_Species_Support!BO37*(1-EXP(-S13_PSP_Species_Support!BP37*7))^S13_PSP_Species_Support!BQ37)^2*(S13_PSP_Species_Support!BR37*(1-EXP(-S13_PSP_Species_Support!BS37*7))^S13_PSP_Species_Support!BT37))^0.976,0)+IFERROR(S13_PSP_Species_Support!BX37*0.0673*(S13_PSP_Species_Support!BY37*(S13_PSP_Species_Support!BZ37*(1-EXP(-S13_PSP_Species_Support!CA37*7))^S13_PSP_Species_Support!CB37)^2*(S13_PSP_Species_Support!CC37*(1-EXP(-S13_PSP_Species_Support!CD37*7))^S13_PSP_Species_Support!CE37))^0.976,0)+IFERROR(S13_PSP_Species_Support!CI37*0.0673*(S13_PSP_Species_Support!CJ37*(S13_PSP_Species_Support!CK37*(1-EXP(-S13_PSP_Species_Support!CL37*7))^S13_PSP_Species_Support!CM37)^2*(S13_PSP_Species_Support!CN37*(1-EXP(-S13_PSP_Species_Support!CO37*7))^S13_PSP_Species_Support!CP37))^0.976,0)+IFERROR(S13_PSP_Species_Support!CT37*0.0673*(S13_PSP_Species_Support!CU37*(S13_PSP_Species_Support!CV37*(1-EXP(-S13_PSP_Species_Support!CW37*7))^S13_PSP_Species_Support!CX37)^2*(S13_PSP_Species_Support!CY37*(1-EXP(-S13_PSP_Species_Support!CZ37*7))^S13_PSP_Species_Support!DA37))^0.976,0))/1000/$G50*P$108,0)</x:f>
        <x:v>45.82205901748746</x:v>
      </x:c>
      <x:c r="Q50" s="147" t="n">
        <x:f aca="0">IFERROR((IFERROR(S13_PSP_Species_Support!U37*0.0673*(S13_PSP_Species_Support!V37*(S13_PSP_Species_Support!W37*(1-EXP(-S13_PSP_Species_Support!X37*8))^S13_PSP_Species_Support!Y37)^2*(S13_PSP_Species_Support!Z37*(1-EXP(-S13_PSP_Species_Support!AA37*8))^S13_PSP_Species_Support!AB37))^0.976,0)+IFERROR(S13_PSP_Species_Support!AF37*0.0673*(S13_PSP_Species_Support!AG37*(S13_PSP_Species_Support!AH37*(1-EXP(-S13_PSP_Species_Support!AI37*8))^S13_PSP_Species_Support!AJ37)^2*(S13_PSP_Species_Support!AK37*(1-EXP(-S13_PSP_Species_Support!AL37*8))^S13_PSP_Species_Support!AM37))^0.976,0)+IFERROR(S13_PSP_Species_Support!AQ37*0.0673*(S13_PSP_Species_Support!AR37*(S13_PSP_Species_Support!AS37*(1-EXP(-S13_PSP_Species_Support!AT37*8))^S13_PSP_Species_Support!AU37)^2*(S13_PSP_Species_Support!AV37*(1-EXP(-S13_PSP_Species_Support!AW37*8))^S13_PSP_Species_Support!AX37))^0.976,0)+IFERROR(S13_PSP_Species_Support!BB37*0.0673*(S13_PSP_Species_Support!BC37*(S13_PSP_Species_Support!BD37*(1-EXP(-S13_PSP_Species_Support!BE37*8))^S13_PSP_Species_Support!BF37)^2*(S13_PSP_Species_Support!BG37*(1-EXP(-S13_PSP_Species_Support!BH37*8))^S13_PSP_Species_Support!BI37))^0.976,0)+IFERROR(S13_PSP_Species_Support!BM37*0.0673*(S13_PSP_Species_Support!BN37*(S13_PSP_Species_Support!BO37*(1-EXP(-S13_PSP_Species_Support!BP37*8))^S13_PSP_Species_Support!BQ37)^2*(S13_PSP_Species_Support!BR37*(1-EXP(-S13_PSP_Species_Support!BS37*8))^S13_PSP_Species_Support!BT37))^0.976,0)+IFERROR(S13_PSP_Species_Support!BX37*0.0673*(S13_PSP_Species_Support!BY37*(S13_PSP_Species_Support!BZ37*(1-EXP(-S13_PSP_Species_Support!CA37*8))^S13_PSP_Species_Support!CB37)^2*(S13_PSP_Species_Support!CC37*(1-EXP(-S13_PSP_Species_Support!CD37*8))^S13_PSP_Species_Support!CE37))^0.976,0)+IFERROR(S13_PSP_Species_Support!CI37*0.0673*(S13_PSP_Species_Support!CJ37*(S13_PSP_Species_Support!CK37*(1-EXP(-S13_PSP_Species_Support!CL37*8))^S13_PSP_Species_Support!CM37)^2*(S13_PSP_Species_Support!CN37*(1-EXP(-S13_PSP_Species_Support!CO37*8))^S13_PSP_Species_Support!CP37))^0.976,0)+IFERROR(S13_PSP_Species_Support!CT37*0.0673*(S13_PSP_Species_Support!CU37*(S13_PSP_Species_Support!CV37*(1-EXP(-S13_PSP_Species_Support!CW37*8))^S13_PSP_Species_Support!CX37)^2*(S13_PSP_Species_Support!CY37*(1-EXP(-S13_PSP_Species_Support!CZ37*8))^S13_PSP_Species_Support!DA37))^0.976,0))/1000/$G50*Q$108,0)</x:f>
        <x:v>60.31177271018547</x:v>
      </x:c>
      <x:c r="R50" s="147" t="n">
        <x:f aca="0">IFERROR((IFERROR(S13_PSP_Species_Support!U37*0.0673*(S13_PSP_Species_Support!V37*(S13_PSP_Species_Support!W37*(1-EXP(-S13_PSP_Species_Support!X37*9))^S13_PSP_Species_Support!Y37)^2*(S13_PSP_Species_Support!Z37*(1-EXP(-S13_PSP_Species_Support!AA37*9))^S13_PSP_Species_Support!AB37))^0.976,0)+IFERROR(S13_PSP_Species_Support!AF37*0.0673*(S13_PSP_Species_Support!AG37*(S13_PSP_Species_Support!AH37*(1-EXP(-S13_PSP_Species_Support!AI37*9))^S13_PSP_Species_Support!AJ37)^2*(S13_PSP_Species_Support!AK37*(1-EXP(-S13_PSP_Species_Support!AL37*9))^S13_PSP_Species_Support!AM37))^0.976,0)+IFERROR(S13_PSP_Species_Support!AQ37*0.0673*(S13_PSP_Species_Support!AR37*(S13_PSP_Species_Support!AS37*(1-EXP(-S13_PSP_Species_Support!AT37*9))^S13_PSP_Species_Support!AU37)^2*(S13_PSP_Species_Support!AV37*(1-EXP(-S13_PSP_Species_Support!AW37*9))^S13_PSP_Species_Support!AX37))^0.976,0)+IFERROR(S13_PSP_Species_Support!BB37*0.0673*(S13_PSP_Species_Support!BC37*(S13_PSP_Species_Support!BD37*(1-EXP(-S13_PSP_Species_Support!BE37*9))^S13_PSP_Species_Support!BF37)^2*(S13_PSP_Species_Support!BG37*(1-EXP(-S13_PSP_Species_Support!BH37*9))^S13_PSP_Species_Support!BI37))^0.976,0)+IFERROR(S13_PSP_Species_Support!BM37*0.0673*(S13_PSP_Species_Support!BN37*(S13_PSP_Species_Support!BO37*(1-EXP(-S13_PSP_Species_Support!BP37*9))^S13_PSP_Species_Support!BQ37)^2*(S13_PSP_Species_Support!BR37*(1-EXP(-S13_PSP_Species_Support!BS37*9))^S13_PSP_Species_Support!BT37))^0.976,0)+IFERROR(S13_PSP_Species_Support!BX37*0.0673*(S13_PSP_Species_Support!BY37*(S13_PSP_Species_Support!BZ37*(1-EXP(-S13_PSP_Species_Support!CA37*9))^S13_PSP_Species_Support!CB37)^2*(S13_PSP_Species_Support!CC37*(1-EXP(-S13_PSP_Species_Support!CD37*9))^S13_PSP_Species_Support!CE37))^0.976,0)+IFERROR(S13_PSP_Species_Support!CI37*0.0673*(S13_PSP_Species_Support!CJ37*(S13_PSP_Species_Support!CK37*(1-EXP(-S13_PSP_Species_Support!CL37*9))^S13_PSP_Species_Support!CM37)^2*(S13_PSP_Species_Support!CN37*(1-EXP(-S13_PSP_Species_Support!CO37*9))^S13_PSP_Species_Support!CP37))^0.976,0)+IFERROR(S13_PSP_Species_Support!CT37*0.0673*(S13_PSP_Species_Support!CU37*(S13_PSP_Species_Support!CV37*(1-EXP(-S13_PSP_Species_Support!CW37*9))^S13_PSP_Species_Support!CX37)^2*(S13_PSP_Species_Support!CY37*(1-EXP(-S13_PSP_Species_Support!CZ37*9))^S13_PSP_Species_Support!DA37))^0.976,0))/1000/$G50*R$108,0)</x:f>
        <x:v>75.14263348727776</x:v>
      </x:c>
      <x:c r="S50" s="147" t="n">
        <x:f aca="0">IFERROR((IFERROR(S13_PSP_Species_Support!U37*0.0673*(S13_PSP_Species_Support!V37*(S13_PSP_Species_Support!W37*(1-EXP(-S13_PSP_Species_Support!X37*10))^S13_PSP_Species_Support!Y37)^2*(S13_PSP_Species_Support!Z37*(1-EXP(-S13_PSP_Species_Support!AA37*10))^S13_PSP_Species_Support!AB37))^0.976,0)+IFERROR(S13_PSP_Species_Support!AF37*0.0673*(S13_PSP_Species_Support!AG37*(S13_PSP_Species_Support!AH37*(1-EXP(-S13_PSP_Species_Support!AI37*10))^S13_PSP_Species_Support!AJ37)^2*(S13_PSP_Species_Support!AK37*(1-EXP(-S13_PSP_Species_Support!AL37*10))^S13_PSP_Species_Support!AM37))^0.976,0)+IFERROR(S13_PSP_Species_Support!AQ37*0.0673*(S13_PSP_Species_Support!AR37*(S13_PSP_Species_Support!AS37*(1-EXP(-S13_PSP_Species_Support!AT37*10))^S13_PSP_Species_Support!AU37)^2*(S13_PSP_Species_Support!AV37*(1-EXP(-S13_PSP_Species_Support!AW37*10))^S13_PSP_Species_Support!AX37))^0.976,0)+IFERROR(S13_PSP_Species_Support!BB37*0.0673*(S13_PSP_Species_Support!BC37*(S13_PSP_Species_Support!BD37*(1-EXP(-S13_PSP_Species_Support!BE37*10))^S13_PSP_Species_Support!BF37)^2*(S13_PSP_Species_Support!BG37*(1-EXP(-S13_PSP_Species_Support!BH37*10))^S13_PSP_Species_Support!BI37))^0.976,0)+IFERROR(S13_PSP_Species_Support!BM37*0.0673*(S13_PSP_Species_Support!BN37*(S13_PSP_Species_Support!BO37*(1-EXP(-S13_PSP_Species_Support!BP37*10))^S13_PSP_Species_Support!BQ37)^2*(S13_PSP_Species_Support!BR37*(1-EXP(-S13_PSP_Species_Support!BS37*10))^S13_PSP_Species_Support!BT37))^0.976,0)+IFERROR(S13_PSP_Species_Support!BX37*0.0673*(S13_PSP_Species_Support!BY37*(S13_PSP_Species_Support!BZ37*(1-EXP(-S13_PSP_Species_Support!CA37*10))^S13_PSP_Species_Support!CB37)^2*(S13_PSP_Species_Support!CC37*(1-EXP(-S13_PSP_Species_Support!CD37*10))^S13_PSP_Species_Support!CE37))^0.976,0)+IFERROR(S13_PSP_Species_Support!CI37*0.0673*(S13_PSP_Species_Support!CJ37*(S13_PSP_Species_Support!CK37*(1-EXP(-S13_PSP_Species_Support!CL37*10))^S13_PSP_Species_Support!CM37)^2*(S13_PSP_Species_Support!CN37*(1-EXP(-S13_PSP_Species_Support!CO37*10))^S13_PSP_Species_Support!CP37))^0.976,0)+IFERROR(S13_PSP_Species_Support!CT37*0.0673*(S13_PSP_Species_Support!CU37*(S13_PSP_Species_Support!CV37*(1-EXP(-S13_PSP_Species_Support!CW37*10))^S13_PSP_Species_Support!CX37)^2*(S13_PSP_Species_Support!CY37*(1-EXP(-S13_PSP_Species_Support!CZ37*10))^S13_PSP_Species_Support!DA37))^0.976,0))/1000/$G50*S$108,0)</x:f>
        <x:v>89.80151109611673</x:v>
      </x:c>
      <x:c r="T50" s="147" t="n">
        <x:f aca="0">IFERROR((IFERROR(S13_PSP_Species_Support!U37*0.0673*(S13_PSP_Species_Support!V37*(S13_PSP_Species_Support!W37*(1-EXP(-S13_PSP_Species_Support!X37*11))^S13_PSP_Species_Support!Y37)^2*(S13_PSP_Species_Support!Z37*(1-EXP(-S13_PSP_Species_Support!AA37*11))^S13_PSP_Species_Support!AB37))^0.976,0)+IFERROR(S13_PSP_Species_Support!AF37*0.0673*(S13_PSP_Species_Support!AG37*(S13_PSP_Species_Support!AH37*(1-EXP(-S13_PSP_Species_Support!AI37*11))^S13_PSP_Species_Support!AJ37)^2*(S13_PSP_Species_Support!AK37*(1-EXP(-S13_PSP_Species_Support!AL37*11))^S13_PSP_Species_Support!AM37))^0.976,0)+IFERROR(S13_PSP_Species_Support!AQ37*0.0673*(S13_PSP_Species_Support!AR37*(S13_PSP_Species_Support!AS37*(1-EXP(-S13_PSP_Species_Support!AT37*11))^S13_PSP_Species_Support!AU37)^2*(S13_PSP_Species_Support!AV37*(1-EXP(-S13_PSP_Species_Support!AW37*11))^S13_PSP_Species_Support!AX37))^0.976,0)+IFERROR(S13_PSP_Species_Support!BB37*0.0673*(S13_PSP_Species_Support!BC37*(S13_PSP_Species_Support!BD37*(1-EXP(-S13_PSP_Species_Support!BE37*11))^S13_PSP_Species_Support!BF37)^2*(S13_PSP_Species_Support!BG37*(1-EXP(-S13_PSP_Species_Support!BH37*11))^S13_PSP_Species_Support!BI37))^0.976,0)+IFERROR(S13_PSP_Species_Support!BM37*0.0673*(S13_PSP_Species_Support!BN37*(S13_PSP_Species_Support!BO37*(1-EXP(-S13_PSP_Species_Support!BP37*11))^S13_PSP_Species_Support!BQ37)^2*(S13_PSP_Species_Support!BR37*(1-EXP(-S13_PSP_Species_Support!BS37*11))^S13_PSP_Species_Support!BT37))^0.976,0)+IFERROR(S13_PSP_Species_Support!BX37*0.0673*(S13_PSP_Species_Support!BY37*(S13_PSP_Species_Support!BZ37*(1-EXP(-S13_PSP_Species_Support!CA37*11))^S13_PSP_Species_Support!CB37)^2*(S13_PSP_Species_Support!CC37*(1-EXP(-S13_PSP_Species_Support!CD37*11))^S13_PSP_Species_Support!CE37))^0.976,0)+IFERROR(S13_PSP_Species_Support!CI37*0.0673*(S13_PSP_Species_Support!CJ37*(S13_PSP_Species_Support!CK37*(1-EXP(-S13_PSP_Species_Support!CL37*11))^S13_PSP_Species_Support!CM37)^2*(S13_PSP_Species_Support!CN37*(1-EXP(-S13_PSP_Species_Support!CO37*11))^S13_PSP_Species_Support!CP37))^0.976,0)+IFERROR(S13_PSP_Species_Support!CT37*0.0673*(S13_PSP_Species_Support!CU37*(S13_PSP_Species_Support!CV37*(1-EXP(-S13_PSP_Species_Support!CW37*11))^S13_PSP_Species_Support!CX37)^2*(S13_PSP_Species_Support!CY37*(1-EXP(-S13_PSP_Species_Support!CZ37*11))^S13_PSP_Species_Support!DA37))^0.976,0))/1000/$G50*T$108,0)</x:f>
        <x:v>103.90993983953439</x:v>
      </x:c>
      <x:c r="U50" s="147" t="n">
        <x:f aca="0">IFERROR((IFERROR(S13_PSP_Species_Support!U37*0.0673*(S13_PSP_Species_Support!V37*(S13_PSP_Species_Support!W37*(1-EXP(-S13_PSP_Species_Support!X37*12))^S13_PSP_Species_Support!Y37)^2*(S13_PSP_Species_Support!Z37*(1-EXP(-S13_PSP_Species_Support!AA37*12))^S13_PSP_Species_Support!AB37))^0.976,0)+IFERROR(S13_PSP_Species_Support!AF37*0.0673*(S13_PSP_Species_Support!AG37*(S13_PSP_Species_Support!AH37*(1-EXP(-S13_PSP_Species_Support!AI37*12))^S13_PSP_Species_Support!AJ37)^2*(S13_PSP_Species_Support!AK37*(1-EXP(-S13_PSP_Species_Support!AL37*12))^S13_PSP_Species_Support!AM37))^0.976,0)+IFERROR(S13_PSP_Species_Support!AQ37*0.0673*(S13_PSP_Species_Support!AR37*(S13_PSP_Species_Support!AS37*(1-EXP(-S13_PSP_Species_Support!AT37*12))^S13_PSP_Species_Support!AU37)^2*(S13_PSP_Species_Support!AV37*(1-EXP(-S13_PSP_Species_Support!AW37*12))^S13_PSP_Species_Support!AX37))^0.976,0)+IFERROR(S13_PSP_Species_Support!BB37*0.0673*(S13_PSP_Species_Support!BC37*(S13_PSP_Species_Support!BD37*(1-EXP(-S13_PSP_Species_Support!BE37*12))^S13_PSP_Species_Support!BF37)^2*(S13_PSP_Species_Support!BG37*(1-EXP(-S13_PSP_Species_Support!BH37*12))^S13_PSP_Species_Support!BI37))^0.976,0)+IFERROR(S13_PSP_Species_Support!BM37*0.0673*(S13_PSP_Species_Support!BN37*(S13_PSP_Species_Support!BO37*(1-EXP(-S13_PSP_Species_Support!BP37*12))^S13_PSP_Species_Support!BQ37)^2*(S13_PSP_Species_Support!BR37*(1-EXP(-S13_PSP_Species_Support!BS37*12))^S13_PSP_Species_Support!BT37))^0.976,0)+IFERROR(S13_PSP_Species_Support!BX37*0.0673*(S13_PSP_Species_Support!BY37*(S13_PSP_Species_Support!BZ37*(1-EXP(-S13_PSP_Species_Support!CA37*12))^S13_PSP_Species_Support!CB37)^2*(S13_PSP_Species_Support!CC37*(1-EXP(-S13_PSP_Species_Support!CD37*12))^S13_PSP_Species_Support!CE37))^0.976,0)+IFERROR(S13_PSP_Species_Support!CI37*0.0673*(S13_PSP_Species_Support!CJ37*(S13_PSP_Species_Support!CK37*(1-EXP(-S13_PSP_Species_Support!CL37*12))^S13_PSP_Species_Support!CM37)^2*(S13_PSP_Species_Support!CN37*(1-EXP(-S13_PSP_Species_Support!CO37*12))^S13_PSP_Species_Support!CP37))^0.976,0)+IFERROR(S13_PSP_Species_Support!CT37*0.0673*(S13_PSP_Species_Support!CU37*(S13_PSP_Species_Support!CV37*(1-EXP(-S13_PSP_Species_Support!CW37*12))^S13_PSP_Species_Support!CX37)^2*(S13_PSP_Species_Support!CY37*(1-EXP(-S13_PSP_Species_Support!CZ37*12))^S13_PSP_Species_Support!DA37))^0.976,0))/1000/$G50*U$108,0)</x:f>
        <x:v>117.21124060869498</x:v>
      </x:c>
      <x:c r="V50" s="147" t="n">
        <x:f aca="0">IFERROR((IFERROR(S13_PSP_Species_Support!U37*0.0673*(S13_PSP_Species_Support!V37*(S13_PSP_Species_Support!W37*(1-EXP(-S13_PSP_Species_Support!X37*13))^S13_PSP_Species_Support!Y37)^2*(S13_PSP_Species_Support!Z37*(1-EXP(-S13_PSP_Species_Support!AA37*13))^S13_PSP_Species_Support!AB37))^0.976,0)+IFERROR(S13_PSP_Species_Support!AF37*0.0673*(S13_PSP_Species_Support!AG37*(S13_PSP_Species_Support!AH37*(1-EXP(-S13_PSP_Species_Support!AI37*13))^S13_PSP_Species_Support!AJ37)^2*(S13_PSP_Species_Support!AK37*(1-EXP(-S13_PSP_Species_Support!AL37*13))^S13_PSP_Species_Support!AM37))^0.976,0)+IFERROR(S13_PSP_Species_Support!AQ37*0.0673*(S13_PSP_Species_Support!AR37*(S13_PSP_Species_Support!AS37*(1-EXP(-S13_PSP_Species_Support!AT37*13))^S13_PSP_Species_Support!AU37)^2*(S13_PSP_Species_Support!AV37*(1-EXP(-S13_PSP_Species_Support!AW37*13))^S13_PSP_Species_Support!AX37))^0.976,0)+IFERROR(S13_PSP_Species_Support!BB37*0.0673*(S13_PSP_Species_Support!BC37*(S13_PSP_Species_Support!BD37*(1-EXP(-S13_PSP_Species_Support!BE37*13))^S13_PSP_Species_Support!BF37)^2*(S13_PSP_Species_Support!BG37*(1-EXP(-S13_PSP_Species_Support!BH37*13))^S13_PSP_Species_Support!BI37))^0.976,0)+IFERROR(S13_PSP_Species_Support!BM37*0.0673*(S13_PSP_Species_Support!BN37*(S13_PSP_Species_Support!BO37*(1-EXP(-S13_PSP_Species_Support!BP37*13))^S13_PSP_Species_Support!BQ37)^2*(S13_PSP_Species_Support!BR37*(1-EXP(-S13_PSP_Species_Support!BS37*13))^S13_PSP_Species_Support!BT37))^0.976,0)+IFERROR(S13_PSP_Species_Support!BX37*0.0673*(S13_PSP_Species_Support!BY37*(S13_PSP_Species_Support!BZ37*(1-EXP(-S13_PSP_Species_Support!CA37*13))^S13_PSP_Species_Support!CB37)^2*(S13_PSP_Species_Support!CC37*(1-EXP(-S13_PSP_Species_Support!CD37*13))^S13_PSP_Species_Support!CE37))^0.976,0)+IFERROR(S13_PSP_Species_Support!CI37*0.0673*(S13_PSP_Species_Support!CJ37*(S13_PSP_Species_Support!CK37*(1-EXP(-S13_PSP_Species_Support!CL37*13))^S13_PSP_Species_Support!CM37)^2*(S13_PSP_Species_Support!CN37*(1-EXP(-S13_PSP_Species_Support!CO37*13))^S13_PSP_Species_Support!CP37))^0.976,0)+IFERROR(S13_PSP_Species_Support!CT37*0.0673*(S13_PSP_Species_Support!CU37*(S13_PSP_Species_Support!CV37*(1-EXP(-S13_PSP_Species_Support!CW37*13))^S13_PSP_Species_Support!CX37)^2*(S13_PSP_Species_Support!CY37*(1-EXP(-S13_PSP_Species_Support!CZ37*13))^S13_PSP_Species_Support!DA37))^0.976,0))/1000/$G50*V$108,0)</x:f>
        <x:v>129.54969828067897</x:v>
      </x:c>
      <x:c r="W50" s="147" t="n">
        <x:f aca="0">IFERROR((IFERROR(S13_PSP_Species_Support!U37*0.0673*(S13_PSP_Species_Support!V37*(S13_PSP_Species_Support!W37*(1-EXP(-S13_PSP_Species_Support!X37*14))^S13_PSP_Species_Support!Y37)^2*(S13_PSP_Species_Support!Z37*(1-EXP(-S13_PSP_Species_Support!AA37*14))^S13_PSP_Species_Support!AB37))^0.976,0)+IFERROR(S13_PSP_Species_Support!AF37*0.0673*(S13_PSP_Species_Support!AG37*(S13_PSP_Species_Support!AH37*(1-EXP(-S13_PSP_Species_Support!AI37*14))^S13_PSP_Species_Support!AJ37)^2*(S13_PSP_Species_Support!AK37*(1-EXP(-S13_PSP_Species_Support!AL37*14))^S13_PSP_Species_Support!AM37))^0.976,0)+IFERROR(S13_PSP_Species_Support!AQ37*0.0673*(S13_PSP_Species_Support!AR37*(S13_PSP_Species_Support!AS37*(1-EXP(-S13_PSP_Species_Support!AT37*14))^S13_PSP_Species_Support!AU37)^2*(S13_PSP_Species_Support!AV37*(1-EXP(-S13_PSP_Species_Support!AW37*14))^S13_PSP_Species_Support!AX37))^0.976,0)+IFERROR(S13_PSP_Species_Support!BB37*0.0673*(S13_PSP_Species_Support!BC37*(S13_PSP_Species_Support!BD37*(1-EXP(-S13_PSP_Species_Support!BE37*14))^S13_PSP_Species_Support!BF37)^2*(S13_PSP_Species_Support!BG37*(1-EXP(-S13_PSP_Species_Support!BH37*14))^S13_PSP_Species_Support!BI37))^0.976,0)+IFERROR(S13_PSP_Species_Support!BM37*0.0673*(S13_PSP_Species_Support!BN37*(S13_PSP_Species_Support!BO37*(1-EXP(-S13_PSP_Species_Support!BP37*14))^S13_PSP_Species_Support!BQ37)^2*(S13_PSP_Species_Support!BR37*(1-EXP(-S13_PSP_Species_Support!BS37*14))^S13_PSP_Species_Support!BT37))^0.976,0)+IFERROR(S13_PSP_Species_Support!BX37*0.0673*(S13_PSP_Species_Support!BY37*(S13_PSP_Species_Support!BZ37*(1-EXP(-S13_PSP_Species_Support!CA37*14))^S13_PSP_Species_Support!CB37)^2*(S13_PSP_Species_Support!CC37*(1-EXP(-S13_PSP_Species_Support!CD37*14))^S13_PSP_Species_Support!CE37))^0.976,0)+IFERROR(S13_PSP_Species_Support!CI37*0.0673*(S13_PSP_Species_Support!CJ37*(S13_PSP_Species_Support!CK37*(1-EXP(-S13_PSP_Species_Support!CL37*14))^S13_PSP_Species_Support!CM37)^2*(S13_PSP_Species_Support!CN37*(1-EXP(-S13_PSP_Species_Support!CO37*14))^S13_PSP_Species_Support!CP37))^0.976,0)+IFERROR(S13_PSP_Species_Support!CT37*0.0673*(S13_PSP_Species_Support!CU37*(S13_PSP_Species_Support!CV37*(1-EXP(-S13_PSP_Species_Support!CW37*14))^S13_PSP_Species_Support!CX37)^2*(S13_PSP_Species_Support!CY37*(1-EXP(-S13_PSP_Species_Support!CZ37*14))^S13_PSP_Species_Support!DA37))^0.976,0))/1000/$G50*W$108,0)</x:f>
        <x:v>140.84825736813508</x:v>
      </x:c>
      <x:c r="X50" s="147" t="n">
        <x:f aca="0">IFERROR((IFERROR(S13_PSP_Species_Support!U37*0.0673*(S13_PSP_Species_Support!V37*(S13_PSP_Species_Support!W37*(1-EXP(-S13_PSP_Species_Support!X37*15))^S13_PSP_Species_Support!Y37)^2*(S13_PSP_Species_Support!Z37*(1-EXP(-S13_PSP_Species_Support!AA37*15))^S13_PSP_Species_Support!AB37))^0.976,0)+IFERROR(S13_PSP_Species_Support!AF37*0.0673*(S13_PSP_Species_Support!AG37*(S13_PSP_Species_Support!AH37*(1-EXP(-S13_PSP_Species_Support!AI37*15))^S13_PSP_Species_Support!AJ37)^2*(S13_PSP_Species_Support!AK37*(1-EXP(-S13_PSP_Species_Support!AL37*15))^S13_PSP_Species_Support!AM37))^0.976,0)+IFERROR(S13_PSP_Species_Support!AQ37*0.0673*(S13_PSP_Species_Support!AR37*(S13_PSP_Species_Support!AS37*(1-EXP(-S13_PSP_Species_Support!AT37*15))^S13_PSP_Species_Support!AU37)^2*(S13_PSP_Species_Support!AV37*(1-EXP(-S13_PSP_Species_Support!AW37*15))^S13_PSP_Species_Support!AX37))^0.976,0)+IFERROR(S13_PSP_Species_Support!BB37*0.0673*(S13_PSP_Species_Support!BC37*(S13_PSP_Species_Support!BD37*(1-EXP(-S13_PSP_Species_Support!BE37*15))^S13_PSP_Species_Support!BF37)^2*(S13_PSP_Species_Support!BG37*(1-EXP(-S13_PSP_Species_Support!BH37*15))^S13_PSP_Species_Support!BI37))^0.976,0)+IFERROR(S13_PSP_Species_Support!BM37*0.0673*(S13_PSP_Species_Support!BN37*(S13_PSP_Species_Support!BO37*(1-EXP(-S13_PSP_Species_Support!BP37*15))^S13_PSP_Species_Support!BQ37)^2*(S13_PSP_Species_Support!BR37*(1-EXP(-S13_PSP_Species_Support!BS37*15))^S13_PSP_Species_Support!BT37))^0.976,0)+IFERROR(S13_PSP_Species_Support!BX37*0.0673*(S13_PSP_Species_Support!BY37*(S13_PSP_Species_Support!BZ37*(1-EXP(-S13_PSP_Species_Support!CA37*15))^S13_PSP_Species_Support!CB37)^2*(S13_PSP_Species_Support!CC37*(1-EXP(-S13_PSP_Species_Support!CD37*15))^S13_PSP_Species_Support!CE37))^0.976,0)+IFERROR(S13_PSP_Species_Support!CI37*0.0673*(S13_PSP_Species_Support!CJ37*(S13_PSP_Species_Support!CK37*(1-EXP(-S13_PSP_Species_Support!CL37*15))^S13_PSP_Species_Support!CM37)^2*(S13_PSP_Species_Support!CN37*(1-EXP(-S13_PSP_Species_Support!CO37*15))^S13_PSP_Species_Support!CP37))^0.976,0)+IFERROR(S13_PSP_Species_Support!CT37*0.0673*(S13_PSP_Species_Support!CU37*(S13_PSP_Species_Support!CV37*(1-EXP(-S13_PSP_Species_Support!CW37*15))^S13_PSP_Species_Support!CX37)^2*(S13_PSP_Species_Support!CY37*(1-EXP(-S13_PSP_Species_Support!CZ37*15))^S13_PSP_Species_Support!DA37))^0.976,0))/1000/$G50*X$108,0)</x:f>
        <x:v>151.08803794852304</x:v>
      </x:c>
      <x:c r="Y50" s="147" t="n">
        <x:f aca="0">IFERROR((IFERROR(S13_PSP_Species_Support!U37*0.0673*(S13_PSP_Species_Support!V37*(S13_PSP_Species_Support!W37*(1-EXP(-S13_PSP_Species_Support!X37*16))^S13_PSP_Species_Support!Y37)^2*(S13_PSP_Species_Support!Z37*(1-EXP(-S13_PSP_Species_Support!AA37*16))^S13_PSP_Species_Support!AB37))^0.976,0)+IFERROR(S13_PSP_Species_Support!AF37*0.0673*(S13_PSP_Species_Support!AG37*(S13_PSP_Species_Support!AH37*(1-EXP(-S13_PSP_Species_Support!AI37*16))^S13_PSP_Species_Support!AJ37)^2*(S13_PSP_Species_Support!AK37*(1-EXP(-S13_PSP_Species_Support!AL37*16))^S13_PSP_Species_Support!AM37))^0.976,0)+IFERROR(S13_PSP_Species_Support!AQ37*0.0673*(S13_PSP_Species_Support!AR37*(S13_PSP_Species_Support!AS37*(1-EXP(-S13_PSP_Species_Support!AT37*16))^S13_PSP_Species_Support!AU37)^2*(S13_PSP_Species_Support!AV37*(1-EXP(-S13_PSP_Species_Support!AW37*16))^S13_PSP_Species_Support!AX37))^0.976,0)+IFERROR(S13_PSP_Species_Support!BB37*0.0673*(S13_PSP_Species_Support!BC37*(S13_PSP_Species_Support!BD37*(1-EXP(-S13_PSP_Species_Support!BE37*16))^S13_PSP_Species_Support!BF37)^2*(S13_PSP_Species_Support!BG37*(1-EXP(-S13_PSP_Species_Support!BH37*16))^S13_PSP_Species_Support!BI37))^0.976,0)+IFERROR(S13_PSP_Species_Support!BM37*0.0673*(S13_PSP_Species_Support!BN37*(S13_PSP_Species_Support!BO37*(1-EXP(-S13_PSP_Species_Support!BP37*16))^S13_PSP_Species_Support!BQ37)^2*(S13_PSP_Species_Support!BR37*(1-EXP(-S13_PSP_Species_Support!BS37*16))^S13_PSP_Species_Support!BT37))^0.976,0)+IFERROR(S13_PSP_Species_Support!BX37*0.0673*(S13_PSP_Species_Support!BY37*(S13_PSP_Species_Support!BZ37*(1-EXP(-S13_PSP_Species_Support!CA37*16))^S13_PSP_Species_Support!CB37)^2*(S13_PSP_Species_Support!CC37*(1-EXP(-S13_PSP_Species_Support!CD37*16))^S13_PSP_Species_Support!CE37))^0.976,0)+IFERROR(S13_PSP_Species_Support!CI37*0.0673*(S13_PSP_Species_Support!CJ37*(S13_PSP_Species_Support!CK37*(1-EXP(-S13_PSP_Species_Support!CL37*16))^S13_PSP_Species_Support!CM37)^2*(S13_PSP_Species_Support!CN37*(1-EXP(-S13_PSP_Species_Support!CO37*16))^S13_PSP_Species_Support!CP37))^0.976,0)+IFERROR(S13_PSP_Species_Support!CT37*0.0673*(S13_PSP_Species_Support!CU37*(S13_PSP_Species_Support!CV37*(1-EXP(-S13_PSP_Species_Support!CW37*16))^S13_PSP_Species_Support!CX37)^2*(S13_PSP_Species_Support!CY37*(1-EXP(-S13_PSP_Species_Support!CZ37*16))^S13_PSP_Species_Support!DA37))^0.976,0))/1000/$G50*Y$108,0)</x:f>
        <x:v>160.29104657292044</x:v>
      </x:c>
      <x:c r="Z50" s="147" t="n">
        <x:f aca="0">IFERROR((IFERROR(S13_PSP_Species_Support!U37*0.0673*(S13_PSP_Species_Support!V37*(S13_PSP_Species_Support!W37*(1-EXP(-S13_PSP_Species_Support!X37*17))^S13_PSP_Species_Support!Y37)^2*(S13_PSP_Species_Support!Z37*(1-EXP(-S13_PSP_Species_Support!AA37*17))^S13_PSP_Species_Support!AB37))^0.976,0)+IFERROR(S13_PSP_Species_Support!AF37*0.0673*(S13_PSP_Species_Support!AG37*(S13_PSP_Species_Support!AH37*(1-EXP(-S13_PSP_Species_Support!AI37*17))^S13_PSP_Species_Support!AJ37)^2*(S13_PSP_Species_Support!AK37*(1-EXP(-S13_PSP_Species_Support!AL37*17))^S13_PSP_Species_Support!AM37))^0.976,0)+IFERROR(S13_PSP_Species_Support!AQ37*0.0673*(S13_PSP_Species_Support!AR37*(S13_PSP_Species_Support!AS37*(1-EXP(-S13_PSP_Species_Support!AT37*17))^S13_PSP_Species_Support!AU37)^2*(S13_PSP_Species_Support!AV37*(1-EXP(-S13_PSP_Species_Support!AW37*17))^S13_PSP_Species_Support!AX37))^0.976,0)+IFERROR(S13_PSP_Species_Support!BB37*0.0673*(S13_PSP_Species_Support!BC37*(S13_PSP_Species_Support!BD37*(1-EXP(-S13_PSP_Species_Support!BE37*17))^S13_PSP_Species_Support!BF37)^2*(S13_PSP_Species_Support!BG37*(1-EXP(-S13_PSP_Species_Support!BH37*17))^S13_PSP_Species_Support!BI37))^0.976,0)+IFERROR(S13_PSP_Species_Support!BM37*0.0673*(S13_PSP_Species_Support!BN37*(S13_PSP_Species_Support!BO37*(1-EXP(-S13_PSP_Species_Support!BP37*17))^S13_PSP_Species_Support!BQ37)^2*(S13_PSP_Species_Support!BR37*(1-EXP(-S13_PSP_Species_Support!BS37*17))^S13_PSP_Species_Support!BT37))^0.976,0)+IFERROR(S13_PSP_Species_Support!BX37*0.0673*(S13_PSP_Species_Support!BY37*(S13_PSP_Species_Support!BZ37*(1-EXP(-S13_PSP_Species_Support!CA37*17))^S13_PSP_Species_Support!CB37)^2*(S13_PSP_Species_Support!CC37*(1-EXP(-S13_PSP_Species_Support!CD37*17))^S13_PSP_Species_Support!CE37))^0.976,0)+IFERROR(S13_PSP_Species_Support!CI37*0.0673*(S13_PSP_Species_Support!CJ37*(S13_PSP_Species_Support!CK37*(1-EXP(-S13_PSP_Species_Support!CL37*17))^S13_PSP_Species_Support!CM37)^2*(S13_PSP_Species_Support!CN37*(1-EXP(-S13_PSP_Species_Support!CO37*17))^S13_PSP_Species_Support!CP37))^0.976,0)+IFERROR(S13_PSP_Species_Support!CT37*0.0673*(S13_PSP_Species_Support!CU37*(S13_PSP_Species_Support!CV37*(1-EXP(-S13_PSP_Species_Support!CW37*17))^S13_PSP_Species_Support!CX37)^2*(S13_PSP_Species_Support!CY37*(1-EXP(-S13_PSP_Species_Support!CZ37*17))^S13_PSP_Species_Support!DA37))^0.976,0))/1000/$G50*Z$108,0)</x:f>
        <x:v>168.50637804979058</x:v>
      </x:c>
      <x:c r="AA50" s="147" t="n">
        <x:f aca="0">IFERROR((IFERROR(S13_PSP_Species_Support!U37*0.0673*(S13_PSP_Species_Support!V37*(S13_PSP_Species_Support!W37*(1-EXP(-S13_PSP_Species_Support!X37*18))^S13_PSP_Species_Support!Y37)^2*(S13_PSP_Species_Support!Z37*(1-EXP(-S13_PSP_Species_Support!AA37*18))^S13_PSP_Species_Support!AB37))^0.976,0)+IFERROR(S13_PSP_Species_Support!AF37*0.0673*(S13_PSP_Species_Support!AG37*(S13_PSP_Species_Support!AH37*(1-EXP(-S13_PSP_Species_Support!AI37*18))^S13_PSP_Species_Support!AJ37)^2*(S13_PSP_Species_Support!AK37*(1-EXP(-S13_PSP_Species_Support!AL37*18))^S13_PSP_Species_Support!AM37))^0.976,0)+IFERROR(S13_PSP_Species_Support!AQ37*0.0673*(S13_PSP_Species_Support!AR37*(S13_PSP_Species_Support!AS37*(1-EXP(-S13_PSP_Species_Support!AT37*18))^S13_PSP_Species_Support!AU37)^2*(S13_PSP_Species_Support!AV37*(1-EXP(-S13_PSP_Species_Support!AW37*18))^S13_PSP_Species_Support!AX37))^0.976,0)+IFERROR(S13_PSP_Species_Support!BB37*0.0673*(S13_PSP_Species_Support!BC37*(S13_PSP_Species_Support!BD37*(1-EXP(-S13_PSP_Species_Support!BE37*18))^S13_PSP_Species_Support!BF37)^2*(S13_PSP_Species_Support!BG37*(1-EXP(-S13_PSP_Species_Support!BH37*18))^S13_PSP_Species_Support!BI37))^0.976,0)+IFERROR(S13_PSP_Species_Support!BM37*0.0673*(S13_PSP_Species_Support!BN37*(S13_PSP_Species_Support!BO37*(1-EXP(-S13_PSP_Species_Support!BP37*18))^S13_PSP_Species_Support!BQ37)^2*(S13_PSP_Species_Support!BR37*(1-EXP(-S13_PSP_Species_Support!BS37*18))^S13_PSP_Species_Support!BT37))^0.976,0)+IFERROR(S13_PSP_Species_Support!BX37*0.0673*(S13_PSP_Species_Support!BY37*(S13_PSP_Species_Support!BZ37*(1-EXP(-S13_PSP_Species_Support!CA37*18))^S13_PSP_Species_Support!CB37)^2*(S13_PSP_Species_Support!CC37*(1-EXP(-S13_PSP_Species_Support!CD37*18))^S13_PSP_Species_Support!CE37))^0.976,0)+IFERROR(S13_PSP_Species_Support!CI37*0.0673*(S13_PSP_Species_Support!CJ37*(S13_PSP_Species_Support!CK37*(1-EXP(-S13_PSP_Species_Support!CL37*18))^S13_PSP_Species_Support!CM37)^2*(S13_PSP_Species_Support!CN37*(1-EXP(-S13_PSP_Species_Support!CO37*18))^S13_PSP_Species_Support!CP37))^0.976,0)+IFERROR(S13_PSP_Species_Support!CT37*0.0673*(S13_PSP_Species_Support!CU37*(S13_PSP_Species_Support!CV37*(1-EXP(-S13_PSP_Species_Support!CW37*18))^S13_PSP_Species_Support!CX37)^2*(S13_PSP_Species_Support!CY37*(1-EXP(-S13_PSP_Species_Support!CZ37*18))^S13_PSP_Species_Support!DA37))^0.976,0))/1000/$G50*AA$108,0)</x:f>
        <x:v>175.7996608494061</x:v>
      </x:c>
      <x:c r="AB50" s="147" t="n">
        <x:f aca="0">IFERROR((IFERROR(S13_PSP_Species_Support!U37*0.0673*(S13_PSP_Species_Support!V37*(S13_PSP_Species_Support!W37*(1-EXP(-S13_PSP_Species_Support!X37*19))^S13_PSP_Species_Support!Y37)^2*(S13_PSP_Species_Support!Z37*(1-EXP(-S13_PSP_Species_Support!AA37*19))^S13_PSP_Species_Support!AB37))^0.976,0)+IFERROR(S13_PSP_Species_Support!AF37*0.0673*(S13_PSP_Species_Support!AG37*(S13_PSP_Species_Support!AH37*(1-EXP(-S13_PSP_Species_Support!AI37*19))^S13_PSP_Species_Support!AJ37)^2*(S13_PSP_Species_Support!AK37*(1-EXP(-S13_PSP_Species_Support!AL37*19))^S13_PSP_Species_Support!AM37))^0.976,0)+IFERROR(S13_PSP_Species_Support!AQ37*0.0673*(S13_PSP_Species_Support!AR37*(S13_PSP_Species_Support!AS37*(1-EXP(-S13_PSP_Species_Support!AT37*19))^S13_PSP_Species_Support!AU37)^2*(S13_PSP_Species_Support!AV37*(1-EXP(-S13_PSP_Species_Support!AW37*19))^S13_PSP_Species_Support!AX37))^0.976,0)+IFERROR(S13_PSP_Species_Support!BB37*0.0673*(S13_PSP_Species_Support!BC37*(S13_PSP_Species_Support!BD37*(1-EXP(-S13_PSP_Species_Support!BE37*19))^S13_PSP_Species_Support!BF37)^2*(S13_PSP_Species_Support!BG37*(1-EXP(-S13_PSP_Species_Support!BH37*19))^S13_PSP_Species_Support!BI37))^0.976,0)+IFERROR(S13_PSP_Species_Support!BM37*0.0673*(S13_PSP_Species_Support!BN37*(S13_PSP_Species_Support!BO37*(1-EXP(-S13_PSP_Species_Support!BP37*19))^S13_PSP_Species_Support!BQ37)^2*(S13_PSP_Species_Support!BR37*(1-EXP(-S13_PSP_Species_Support!BS37*19))^S13_PSP_Species_Support!BT37))^0.976,0)+IFERROR(S13_PSP_Species_Support!BX37*0.0673*(S13_PSP_Species_Support!BY37*(S13_PSP_Species_Support!BZ37*(1-EXP(-S13_PSP_Species_Support!CA37*19))^S13_PSP_Species_Support!CB37)^2*(S13_PSP_Species_Support!CC37*(1-EXP(-S13_PSP_Species_Support!CD37*19))^S13_PSP_Species_Support!CE37))^0.976,0)+IFERROR(S13_PSP_Species_Support!CI37*0.0673*(S13_PSP_Species_Support!CJ37*(S13_PSP_Species_Support!CK37*(1-EXP(-S13_PSP_Species_Support!CL37*19))^S13_PSP_Species_Support!CM37)^2*(S13_PSP_Species_Support!CN37*(1-EXP(-S13_PSP_Species_Support!CO37*19))^S13_PSP_Species_Support!CP37))^0.976,0)+IFERROR(S13_PSP_Species_Support!CT37*0.0673*(S13_PSP_Species_Support!CU37*(S13_PSP_Species_Support!CV37*(1-EXP(-S13_PSP_Species_Support!CW37*19))^S13_PSP_Species_Support!CX37)^2*(S13_PSP_Species_Support!CY37*(1-EXP(-S13_PSP_Species_Support!CZ37*19))^S13_PSP_Species_Support!DA37))^0.976,0))/1000/$G50*AB$108,0)</x:f>
        <x:v>182.24527146223858</x:v>
      </x:c>
      <x:c r="AC50" s="147" t="n">
        <x:f aca="0">IFERROR((IFERROR(S13_PSP_Species_Support!U37*0.0673*(S13_PSP_Species_Support!V37*(S13_PSP_Species_Support!W37*(1-EXP(-S13_PSP_Species_Support!X37*20))^S13_PSP_Species_Support!Y37)^2*(S13_PSP_Species_Support!Z37*(1-EXP(-S13_PSP_Species_Support!AA37*20))^S13_PSP_Species_Support!AB37))^0.976,0)+IFERROR(S13_PSP_Species_Support!AF37*0.0673*(S13_PSP_Species_Support!AG37*(S13_PSP_Species_Support!AH37*(1-EXP(-S13_PSP_Species_Support!AI37*20))^S13_PSP_Species_Support!AJ37)^2*(S13_PSP_Species_Support!AK37*(1-EXP(-S13_PSP_Species_Support!AL37*20))^S13_PSP_Species_Support!AM37))^0.976,0)+IFERROR(S13_PSP_Species_Support!AQ37*0.0673*(S13_PSP_Species_Support!AR37*(S13_PSP_Species_Support!AS37*(1-EXP(-S13_PSP_Species_Support!AT37*20))^S13_PSP_Species_Support!AU37)^2*(S13_PSP_Species_Support!AV37*(1-EXP(-S13_PSP_Species_Support!AW37*20))^S13_PSP_Species_Support!AX37))^0.976,0)+IFERROR(S13_PSP_Species_Support!BB37*0.0673*(S13_PSP_Species_Support!BC37*(S13_PSP_Species_Support!BD37*(1-EXP(-S13_PSP_Species_Support!BE37*20))^S13_PSP_Species_Support!BF37)^2*(S13_PSP_Species_Support!BG37*(1-EXP(-S13_PSP_Species_Support!BH37*20))^S13_PSP_Species_Support!BI37))^0.976,0)+IFERROR(S13_PSP_Species_Support!BM37*0.0673*(S13_PSP_Species_Support!BN37*(S13_PSP_Species_Support!BO37*(1-EXP(-S13_PSP_Species_Support!BP37*20))^S13_PSP_Species_Support!BQ37)^2*(S13_PSP_Species_Support!BR37*(1-EXP(-S13_PSP_Species_Support!BS37*20))^S13_PSP_Species_Support!BT37))^0.976,0)+IFERROR(S13_PSP_Species_Support!BX37*0.0673*(S13_PSP_Species_Support!BY37*(S13_PSP_Species_Support!BZ37*(1-EXP(-S13_PSP_Species_Support!CA37*20))^S13_PSP_Species_Support!CB37)^2*(S13_PSP_Species_Support!CC37*(1-EXP(-S13_PSP_Species_Support!CD37*20))^S13_PSP_Species_Support!CE37))^0.976,0)+IFERROR(S13_PSP_Species_Support!CI37*0.0673*(S13_PSP_Species_Support!CJ37*(S13_PSP_Species_Support!CK37*(1-EXP(-S13_PSP_Species_Support!CL37*20))^S13_PSP_Species_Support!CM37)^2*(S13_PSP_Species_Support!CN37*(1-EXP(-S13_PSP_Species_Support!CO37*20))^S13_PSP_Species_Support!CP37))^0.976,0)+IFERROR(S13_PSP_Species_Support!CT37*0.0673*(S13_PSP_Species_Support!CU37*(S13_PSP_Species_Support!CV37*(1-EXP(-S13_PSP_Species_Support!CW37*20))^S13_PSP_Species_Support!CX37)^2*(S13_PSP_Species_Support!CY37*(1-EXP(-S13_PSP_Species_Support!CZ37*20))^S13_PSP_Species_Support!DA37))^0.976,0))/1000/$G50*AC$108,0)</x:f>
        <x:v>187.92078901462952</x:v>
      </x:c>
      <x:c r="AD50" s="148" t="n">
        <x:f aca="0">IF(2020&lt;$F50,0,INDEX($I50:$AC50,1,2020-$F50+1))</x:f>
        <x:v>0</x:v>
      </x:c>
      <x:c r="AE50" s="148" t="n">
        <x:f aca="0">IF(2021&lt;$F50,0,INDEX($I50:$AC50,1,2021-$F50+1))</x:f>
        <x:v>0.10559137390922502</x:v>
      </x:c>
      <x:c r="AF50" s="148" t="n">
        <x:f aca="0">IF(2022&lt;$F50,0,INDEX($I50:$AC50,1,2022-$F50+1))</x:f>
        <x:v>1.251731758969847</x:v>
      </x:c>
      <x:c r="AG50" s="148" t="n">
        <x:f aca="0">IF(2023&lt;$F50,0,INDEX($I50:$AC50,1,2023-$F50+1))</x:f>
        <x:v>4.699008307200092</x:v>
      </x:c>
      <x:c r="AH50" s="148" t="n">
        <x:f aca="0">IF(2024&lt;$F50,0,INDEX($I50:$AC50,1,2024-$F50+1))</x:f>
        <x:v>11.142131604393665</x:v>
      </x:c>
      <x:c r="AI50" s="148" t="n">
        <x:f aca="0">IF(2025&lt;$F50,0,INDEX($I50:$AC50,1,2025-$F50+1))</x:f>
        <x:v>20.518032895131576</x:v>
      </x:c>
      <x:c r="AJ50" s="148" t="n">
        <x:f aca="0">IF(2026&lt;$F50,0,INDEX($I50:$AC50,1,2026-$F50+1))</x:f>
        <x:v>32.315040565160594</x:v>
      </x:c>
      <x:c r="AK50" s="148" t="n">
        <x:f aca="0">IF(2027&lt;$F50,0,INDEX($I50:$AC50,1,2027-$F50+1))</x:f>
        <x:v>45.82205901748746</x:v>
      </x:c>
      <x:c r="AL50" s="148" t="n">
        <x:f aca="0">IF(2028&lt;$F50,0,INDEX($I50:$AC50,1,2028-$F50+1))</x:f>
        <x:v>60.31177271018547</x:v>
      </x:c>
      <x:c r="AM50" s="148" t="n">
        <x:f aca="0">IF(2029&lt;$F50,0,INDEX($I50:$AC50,1,2029-$F50+1))</x:f>
        <x:v>75.14263348727776</x:v>
      </x:c>
      <x:c r="AN50" s="148" t="n">
        <x:f aca="0">IF(2030&lt;$F50,0,INDEX($I50:$AC50,1,2030-$F50+1))</x:f>
        <x:v>89.80151109611673</x:v>
      </x:c>
      <x:c r="AO50" s="148" t="n">
        <x:f aca="0">IF(2031&lt;$F50,0,INDEX($I50:$AC50,1,2031-$F50+1))</x:f>
        <x:v>103.90993983953439</x:v>
      </x:c>
      <x:c r="AP50" s="148" t="n">
        <x:f aca="0">IF(2032&lt;$F50,0,INDEX($I50:$AC50,1,2032-$F50+1))</x:f>
        <x:v>117.21124060869498</x:v>
      </x:c>
      <x:c r="AQ50" s="148" t="n">
        <x:f aca="0">IF(2033&lt;$F50,0,INDEX($I50:$AC50,1,2033-$F50+1))</x:f>
        <x:v>129.54969828067897</x:v>
      </x:c>
      <x:c r="AR50" s="148" t="n">
        <x:f aca="0">IF(2034&lt;$F50,0,INDEX($I50:$AC50,1,2034-$F50+1))</x:f>
        <x:v>140.84825736813508</x:v>
      </x:c>
      <x:c r="AS50" s="148" t="n">
        <x:f aca="0">IF(2035&lt;$F50,0,INDEX($I50:$AC50,1,2035-$F50+1))</x:f>
        <x:v>151.08803794852304</x:v>
      </x:c>
      <x:c r="AT50" s="148" t="n">
        <x:f aca="0">IF(2036&lt;$F50,0,INDEX($I50:$AC50,1,2036-$F50+1))</x:f>
        <x:v>160.29104657292044</x:v>
      </x:c>
      <x:c r="AU50" s="148" t="n">
        <x:f aca="0">IF(2037&lt;$F50,0,INDEX($I50:$AC50,1,2037-$F50+1))</x:f>
        <x:v>168.50637804979058</x:v>
      </x:c>
      <x:c r="AV50" s="148" t="n">
        <x:f aca="0">IF(2038&lt;$F50,0,INDEX($I50:$AC50,1,2038-$F50+1))</x:f>
        <x:v>175.7996608494061</x:v>
      </x:c>
      <x:c r="AW50" s="148" t="n">
        <x:f aca="0">IF(2039&lt;$F50,0,INDEX($I50:$AC50,1,2039-$F50+1))</x:f>
        <x:v>182.24527146223858</x:v>
      </x:c>
      <x:c r="AX50" s="148" t="n">
        <x:f aca="0">IF(2040&lt;$F50,0,INDEX($I50:$AC50,1,2040-$F50+1))</x:f>
        <x:v>187.92078901462952</x:v>
      </x:c>
      <x:c r="AY50" s="1" t="str">
        <x:f aca="0">LEFT($C50,FIND("@",SUBSTITUTE($C50,"|","@",2))-1)</x:f>
        <x:v>Mixed Agroforestry|Medium</x:v>
      </x:c>
      <x:c r="AZ50" s="1" t="str">
        <x:f aca="0">LEFT($C50,FIND("|",$C50)-1)</x:f>
        <x:v>Mixed Agroforestry</x:v>
      </x:c>
      <x:c r="BA50" s="149" t="n">
        <x:f aca="0">I50*I50</x:f>
        <x:v>0</x:v>
      </x:c>
      <x:c r="BB50" s="149" t="n">
        <x:f aca="0">J50*J50</x:f>
        <x:v>0.011149538244037766</x:v>
      </x:c>
      <x:c r="BC50" s="149" t="n">
        <x:f aca="0">K50*K50</x:f>
        <x:v>1.566832396413747</x:v>
      </x:c>
      <x:c r="BD50" s="149" t="n">
        <x:f aca="0">L50*L50</x:f>
        <x:v>22.080679071135474</x:v>
      </x:c>
      <x:c r="BE50" s="149" t="n">
        <x:f aca="0">M50*M50</x:f>
        <x:v>124.14709668962814</x:v>
      </x:c>
      <x:c r="BF50" s="149" t="n">
        <x:f aca="0">N50*N50</x:f>
        <x:v>420.98967388570145</x:v>
      </x:c>
      <x:c r="BG50" s="149" t="n">
        <x:f aca="0">O50*O50</x:f>
        <x:v>1044.2618467279747</x:v>
      </x:c>
      <x:c r="BH50" s="149" t="n">
        <x:f aca="0">P50*P50</x:f>
        <x:v>2099.661092602104</x:v>
      </x:c>
      <x:c r="BI50" s="149" t="n">
        <x:f aca="0">Q50*Q50</x:f>
        <x:v>3637.509927445073</x:v>
      </x:c>
      <x:c r="BJ50" s="149" t="n">
        <x:f aca="0">R50*R50</x:f>
        <x:v>5646.415367403358</x:v>
      </x:c>
      <x:c r="BK50" s="149" t="n">
        <x:f aca="0">S50*S50</x:f>
        <x:v>8064.311395145975</x:v>
      </x:c>
      <x:c r="BL50" s="149" t="n">
        <x:f aca="0">T50*T50</x:f>
        <x:v>10797.275597455657</x:v>
      </x:c>
      <x:c r="BM50" s="149" t="n">
        <x:f aca="0">U50*U50</x:f>
        <x:v>13738.474925029386</x:v>
      </x:c>
      <x:c r="BN50" s="149" t="n">
        <x:f aca="0">V50*V50</x:f>
        <x:v>16783.124324614953</x:v>
      </x:c>
      <x:c r="BO50" s="149" t="n">
        <x:f aca="0">W50*W50</x:f>
        <x:v>19838.23160364042</x:v>
      </x:c>
      <x:c r="BP50" s="149" t="n">
        <x:f aca="0">X50*X50</x:f>
        <x:v>22827.595211134336</x:v>
      </x:c>
      <x:c r="BQ50" s="149" t="n">
        <x:f aca="0">Y50*Y50</x:f>
        <x:v>25693.21961144215</x:v>
      </x:c>
      <x:c r="BR50" s="149" t="n">
        <x:f aca="0">Z50*Z50</x:f>
        <x:v>28394.399443458948</x:v>
      </x:c>
      <x:c r="BS50" s="149" t="n">
        <x:f aca="0">AA50*AA50</x:f>
        <x:v>30905.52075476621</x:v>
      </x:c>
      <x:c r="BT50" s="149" t="n">
        <x:f aca="0">AB50*AB50</x:f>
        <x:v>33213.33897034503</x:v>
      </x:c>
      <x:c r="BU50" s="149" t="n">
        <x:f aca="0">AC50*AC50</x:f>
        <x:v>35314.2229438809</x:v>
      </x:c>
    </x:row>
    <x:row r="51" ht="15" hidden="0" customHeight="1">
      <x:c r="A51" s="1" t="str">
        <x:f aca="0">S13_PSP_Species_Support!A38</x:f>
        <x:v>PSP-MA-005</x:v>
      </x:c>
      <x:c r="B51" s="1" t="n">
        <x:f aca="0">38</x:f>
        <x:v>38</x:v>
      </x:c>
      <x:c r="C51" s="1" t="str">
        <x:f aca="0">S13_PSP_Species_Support!I38</x:f>
        <x:v>Mixed Agroforestry|Medium|2021</x:v>
      </x:c>
      <x:c r="D51" s="1" t="str">
        <x:f aca="0">S13_PSP_Species_Support!C38</x:f>
        <x:v>Mixed Agroforestry Model</x:v>
      </x:c>
      <x:c r="E51" s="1" t="str">
        <x:f aca="0">S13_PSP_Species_Support!D38</x:f>
        <x:v>Medium</x:v>
      </x:c>
      <x:c r="F51" s="1" t="n">
        <x:f aca="0">S13_PSP_Species_Support!E38</x:f>
        <x:v>2021</x:v>
      </x:c>
      <x:c r="G51" s="645" t="n">
        <x:f aca="0">'S13_PSP_Species_Support'!DJ38</x:f>
        <x:v>0.09</x:v>
      </x:c>
      <x:c r="H51" s="714" t="n">
        <x:f aca="0">'S13_PSP_Species_Support'!DK38</x:f>
        <x:v>110.96797938903202</x:v>
      </x:c>
      <x:c r="I51" s="147" t="n">
        <x:f aca="0">IFERROR((IFERROR(S13_PSP_Species_Support!U38*0.0673*(S13_PSP_Species_Support!V38*(S13_PSP_Species_Support!W38*(1-EXP(-S13_PSP_Species_Support!X38*0))^S13_PSP_Species_Support!Y38)^2*(S13_PSP_Species_Support!Z38*(1-EXP(-S13_PSP_Species_Support!AA38*0))^S13_PSP_Species_Support!AB38))^0.976,0)+IFERROR(S13_PSP_Species_Support!AF38*0.0673*(S13_PSP_Species_Support!AG38*(S13_PSP_Species_Support!AH38*(1-EXP(-S13_PSP_Species_Support!AI38*0))^S13_PSP_Species_Support!AJ38)^2*(S13_PSP_Species_Support!AK38*(1-EXP(-S13_PSP_Species_Support!AL38*0))^S13_PSP_Species_Support!AM38))^0.976,0)+IFERROR(S13_PSP_Species_Support!AQ38*0.0673*(S13_PSP_Species_Support!AR38*(S13_PSP_Species_Support!AS38*(1-EXP(-S13_PSP_Species_Support!AT38*0))^S13_PSP_Species_Support!AU38)^2*(S13_PSP_Species_Support!AV38*(1-EXP(-S13_PSP_Species_Support!AW38*0))^S13_PSP_Species_Support!AX38))^0.976,0)+IFERROR(S13_PSP_Species_Support!BB38*0.0673*(S13_PSP_Species_Support!BC38*(S13_PSP_Species_Support!BD38*(1-EXP(-S13_PSP_Species_Support!BE38*0))^S13_PSP_Species_Support!BF38)^2*(S13_PSP_Species_Support!BG38*(1-EXP(-S13_PSP_Species_Support!BH38*0))^S13_PSP_Species_Support!BI38))^0.976,0)+IFERROR(S13_PSP_Species_Support!BM38*0.0673*(S13_PSP_Species_Support!BN38*(S13_PSP_Species_Support!BO38*(1-EXP(-S13_PSP_Species_Support!BP38*0))^S13_PSP_Species_Support!BQ38)^2*(S13_PSP_Species_Support!BR38*(1-EXP(-S13_PSP_Species_Support!BS38*0))^S13_PSP_Species_Support!BT38))^0.976,0)+IFERROR(S13_PSP_Species_Support!BX38*0.0673*(S13_PSP_Species_Support!BY38*(S13_PSP_Species_Support!BZ38*(1-EXP(-S13_PSP_Species_Support!CA38*0))^S13_PSP_Species_Support!CB38)^2*(S13_PSP_Species_Support!CC38*(1-EXP(-S13_PSP_Species_Support!CD38*0))^S13_PSP_Species_Support!CE38))^0.976,0)+IFERROR(S13_PSP_Species_Support!CI38*0.0673*(S13_PSP_Species_Support!CJ38*(S13_PSP_Species_Support!CK38*(1-EXP(-S13_PSP_Species_Support!CL38*0))^S13_PSP_Species_Support!CM38)^2*(S13_PSP_Species_Support!CN38*(1-EXP(-S13_PSP_Species_Support!CO38*0))^S13_PSP_Species_Support!CP38))^0.976,0)+IFERROR(S13_PSP_Species_Support!CT38*0.0673*(S13_PSP_Species_Support!CU38*(S13_PSP_Species_Support!CV38*(1-EXP(-S13_PSP_Species_Support!CW38*0))^S13_PSP_Species_Support!CX38)^2*(S13_PSP_Species_Support!CY38*(1-EXP(-S13_PSP_Species_Support!CZ38*0))^S13_PSP_Species_Support!DA38))^0.976,0))/1000/$G51*I$108,0)</x:f>
        <x:v>0</x:v>
      </x:c>
      <x:c r="J51" s="147" t="n">
        <x:f aca="0">IFERROR((IFERROR(S13_PSP_Species_Support!U38*0.0673*(S13_PSP_Species_Support!V38*(S13_PSP_Species_Support!W38*(1-EXP(-S13_PSP_Species_Support!X38*1))^S13_PSP_Species_Support!Y38)^2*(S13_PSP_Species_Support!Z38*(1-EXP(-S13_PSP_Species_Support!AA38*1))^S13_PSP_Species_Support!AB38))^0.976,0)+IFERROR(S13_PSP_Species_Support!AF38*0.0673*(S13_PSP_Species_Support!AG38*(S13_PSP_Species_Support!AH38*(1-EXP(-S13_PSP_Species_Support!AI38*1))^S13_PSP_Species_Support!AJ38)^2*(S13_PSP_Species_Support!AK38*(1-EXP(-S13_PSP_Species_Support!AL38*1))^S13_PSP_Species_Support!AM38))^0.976,0)+IFERROR(S13_PSP_Species_Support!AQ38*0.0673*(S13_PSP_Species_Support!AR38*(S13_PSP_Species_Support!AS38*(1-EXP(-S13_PSP_Species_Support!AT38*1))^S13_PSP_Species_Support!AU38)^2*(S13_PSP_Species_Support!AV38*(1-EXP(-S13_PSP_Species_Support!AW38*1))^S13_PSP_Species_Support!AX38))^0.976,0)+IFERROR(S13_PSP_Species_Support!BB38*0.0673*(S13_PSP_Species_Support!BC38*(S13_PSP_Species_Support!BD38*(1-EXP(-S13_PSP_Species_Support!BE38*1))^S13_PSP_Species_Support!BF38)^2*(S13_PSP_Species_Support!BG38*(1-EXP(-S13_PSP_Species_Support!BH38*1))^S13_PSP_Species_Support!BI38))^0.976,0)+IFERROR(S13_PSP_Species_Support!BM38*0.0673*(S13_PSP_Species_Support!BN38*(S13_PSP_Species_Support!BO38*(1-EXP(-S13_PSP_Species_Support!BP38*1))^S13_PSP_Species_Support!BQ38)^2*(S13_PSP_Species_Support!BR38*(1-EXP(-S13_PSP_Species_Support!BS38*1))^S13_PSP_Species_Support!BT38))^0.976,0)+IFERROR(S13_PSP_Species_Support!BX38*0.0673*(S13_PSP_Species_Support!BY38*(S13_PSP_Species_Support!BZ38*(1-EXP(-S13_PSP_Species_Support!CA38*1))^S13_PSP_Species_Support!CB38)^2*(S13_PSP_Species_Support!CC38*(1-EXP(-S13_PSP_Species_Support!CD38*1))^S13_PSP_Species_Support!CE38))^0.976,0)+IFERROR(S13_PSP_Species_Support!CI38*0.0673*(S13_PSP_Species_Support!CJ38*(S13_PSP_Species_Support!CK38*(1-EXP(-S13_PSP_Species_Support!CL38*1))^S13_PSP_Species_Support!CM38)^2*(S13_PSP_Species_Support!CN38*(1-EXP(-S13_PSP_Species_Support!CO38*1))^S13_PSP_Species_Support!CP38))^0.976,0)+IFERROR(S13_PSP_Species_Support!CT38*0.0673*(S13_PSP_Species_Support!CU38*(S13_PSP_Species_Support!CV38*(1-EXP(-S13_PSP_Species_Support!CW38*1))^S13_PSP_Species_Support!CX38)^2*(S13_PSP_Species_Support!CY38*(1-EXP(-S13_PSP_Species_Support!CZ38*1))^S13_PSP_Species_Support!DA38))^0.976,0))/1000/$G51*J$108,0)</x:f>
        <x:v>0.2678215822064095</x:v>
      </x:c>
      <x:c r="K51" s="147" t="n">
        <x:f aca="0">IFERROR((IFERROR(S13_PSP_Species_Support!U38*0.0673*(S13_PSP_Species_Support!V38*(S13_PSP_Species_Support!W38*(1-EXP(-S13_PSP_Species_Support!X38*2))^S13_PSP_Species_Support!Y38)^2*(S13_PSP_Species_Support!Z38*(1-EXP(-S13_PSP_Species_Support!AA38*2))^S13_PSP_Species_Support!AB38))^0.976,0)+IFERROR(S13_PSP_Species_Support!AF38*0.0673*(S13_PSP_Species_Support!AG38*(S13_PSP_Species_Support!AH38*(1-EXP(-S13_PSP_Species_Support!AI38*2))^S13_PSP_Species_Support!AJ38)^2*(S13_PSP_Species_Support!AK38*(1-EXP(-S13_PSP_Species_Support!AL38*2))^S13_PSP_Species_Support!AM38))^0.976,0)+IFERROR(S13_PSP_Species_Support!AQ38*0.0673*(S13_PSP_Species_Support!AR38*(S13_PSP_Species_Support!AS38*(1-EXP(-S13_PSP_Species_Support!AT38*2))^S13_PSP_Species_Support!AU38)^2*(S13_PSP_Species_Support!AV38*(1-EXP(-S13_PSP_Species_Support!AW38*2))^S13_PSP_Species_Support!AX38))^0.976,0)+IFERROR(S13_PSP_Species_Support!BB38*0.0673*(S13_PSP_Species_Support!BC38*(S13_PSP_Species_Support!BD38*(1-EXP(-S13_PSP_Species_Support!BE38*2))^S13_PSP_Species_Support!BF38)^2*(S13_PSP_Species_Support!BG38*(1-EXP(-S13_PSP_Species_Support!BH38*2))^S13_PSP_Species_Support!BI38))^0.976,0)+IFERROR(S13_PSP_Species_Support!BM38*0.0673*(S13_PSP_Species_Support!BN38*(S13_PSP_Species_Support!BO38*(1-EXP(-S13_PSP_Species_Support!BP38*2))^S13_PSP_Species_Support!BQ38)^2*(S13_PSP_Species_Support!BR38*(1-EXP(-S13_PSP_Species_Support!BS38*2))^S13_PSP_Species_Support!BT38))^0.976,0)+IFERROR(S13_PSP_Species_Support!BX38*0.0673*(S13_PSP_Species_Support!BY38*(S13_PSP_Species_Support!BZ38*(1-EXP(-S13_PSP_Species_Support!CA38*2))^S13_PSP_Species_Support!CB38)^2*(S13_PSP_Species_Support!CC38*(1-EXP(-S13_PSP_Species_Support!CD38*2))^S13_PSP_Species_Support!CE38))^0.976,0)+IFERROR(S13_PSP_Species_Support!CI38*0.0673*(S13_PSP_Species_Support!CJ38*(S13_PSP_Species_Support!CK38*(1-EXP(-S13_PSP_Species_Support!CL38*2))^S13_PSP_Species_Support!CM38)^2*(S13_PSP_Species_Support!CN38*(1-EXP(-S13_PSP_Species_Support!CO38*2))^S13_PSP_Species_Support!CP38))^0.976,0)+IFERROR(S13_PSP_Species_Support!CT38*0.0673*(S13_PSP_Species_Support!CU38*(S13_PSP_Species_Support!CV38*(1-EXP(-S13_PSP_Species_Support!CW38*2))^S13_PSP_Species_Support!CX38)^2*(S13_PSP_Species_Support!CY38*(1-EXP(-S13_PSP_Species_Support!CZ38*2))^S13_PSP_Species_Support!DA38))^0.976,0))/1000/$G51*K$108,0)</x:f>
        <x:v>3.1917630886093726</x:v>
      </x:c>
      <x:c r="L51" s="147" t="n">
        <x:f aca="0">IFERROR((IFERROR(S13_PSP_Species_Support!U38*0.0673*(S13_PSP_Species_Support!V38*(S13_PSP_Species_Support!W38*(1-EXP(-S13_PSP_Species_Support!X38*3))^S13_PSP_Species_Support!Y38)^2*(S13_PSP_Species_Support!Z38*(1-EXP(-S13_PSP_Species_Support!AA38*3))^S13_PSP_Species_Support!AB38))^0.976,0)+IFERROR(S13_PSP_Species_Support!AF38*0.0673*(S13_PSP_Species_Support!AG38*(S13_PSP_Species_Support!AH38*(1-EXP(-S13_PSP_Species_Support!AI38*3))^S13_PSP_Species_Support!AJ38)^2*(S13_PSP_Species_Support!AK38*(1-EXP(-S13_PSP_Species_Support!AL38*3))^S13_PSP_Species_Support!AM38))^0.976,0)+IFERROR(S13_PSP_Species_Support!AQ38*0.0673*(S13_PSP_Species_Support!AR38*(S13_PSP_Species_Support!AS38*(1-EXP(-S13_PSP_Species_Support!AT38*3))^S13_PSP_Species_Support!AU38)^2*(S13_PSP_Species_Support!AV38*(1-EXP(-S13_PSP_Species_Support!AW38*3))^S13_PSP_Species_Support!AX38))^0.976,0)+IFERROR(S13_PSP_Species_Support!BB38*0.0673*(S13_PSP_Species_Support!BC38*(S13_PSP_Species_Support!BD38*(1-EXP(-S13_PSP_Species_Support!BE38*3))^S13_PSP_Species_Support!BF38)^2*(S13_PSP_Species_Support!BG38*(1-EXP(-S13_PSP_Species_Support!BH38*3))^S13_PSP_Species_Support!BI38))^0.976,0)+IFERROR(S13_PSP_Species_Support!BM38*0.0673*(S13_PSP_Species_Support!BN38*(S13_PSP_Species_Support!BO38*(1-EXP(-S13_PSP_Species_Support!BP38*3))^S13_PSP_Species_Support!BQ38)^2*(S13_PSP_Species_Support!BR38*(1-EXP(-S13_PSP_Species_Support!BS38*3))^S13_PSP_Species_Support!BT38))^0.976,0)+IFERROR(S13_PSP_Species_Support!BX38*0.0673*(S13_PSP_Species_Support!BY38*(S13_PSP_Species_Support!BZ38*(1-EXP(-S13_PSP_Species_Support!CA38*3))^S13_PSP_Species_Support!CB38)^2*(S13_PSP_Species_Support!CC38*(1-EXP(-S13_PSP_Species_Support!CD38*3))^S13_PSP_Species_Support!CE38))^0.976,0)+IFERROR(S13_PSP_Species_Support!CI38*0.0673*(S13_PSP_Species_Support!CJ38*(S13_PSP_Species_Support!CK38*(1-EXP(-S13_PSP_Species_Support!CL38*3))^S13_PSP_Species_Support!CM38)^2*(S13_PSP_Species_Support!CN38*(1-EXP(-S13_PSP_Species_Support!CO38*3))^S13_PSP_Species_Support!CP38))^0.976,0)+IFERROR(S13_PSP_Species_Support!CT38*0.0673*(S13_PSP_Species_Support!CU38*(S13_PSP_Species_Support!CV38*(1-EXP(-S13_PSP_Species_Support!CW38*3))^S13_PSP_Species_Support!CX38)^2*(S13_PSP_Species_Support!CY38*(1-EXP(-S13_PSP_Species_Support!CZ38*3))^S13_PSP_Species_Support!DA38))^0.976,0))/1000/$G51*L$108,0)</x:f>
        <x:v>12.238338800334008</x:v>
      </x:c>
      <x:c r="M51" s="147" t="n">
        <x:f aca="0">IFERROR((IFERROR(S13_PSP_Species_Support!U38*0.0673*(S13_PSP_Species_Support!V38*(S13_PSP_Species_Support!W38*(1-EXP(-S13_PSP_Species_Support!X38*4))^S13_PSP_Species_Support!Y38)^2*(S13_PSP_Species_Support!Z38*(1-EXP(-S13_PSP_Species_Support!AA38*4))^S13_PSP_Species_Support!AB38))^0.976,0)+IFERROR(S13_PSP_Species_Support!AF38*0.0673*(S13_PSP_Species_Support!AG38*(S13_PSP_Species_Support!AH38*(1-EXP(-S13_PSP_Species_Support!AI38*4))^S13_PSP_Species_Support!AJ38)^2*(S13_PSP_Species_Support!AK38*(1-EXP(-S13_PSP_Species_Support!AL38*4))^S13_PSP_Species_Support!AM38))^0.976,0)+IFERROR(S13_PSP_Species_Support!AQ38*0.0673*(S13_PSP_Species_Support!AR38*(S13_PSP_Species_Support!AS38*(1-EXP(-S13_PSP_Species_Support!AT38*4))^S13_PSP_Species_Support!AU38)^2*(S13_PSP_Species_Support!AV38*(1-EXP(-S13_PSP_Species_Support!AW38*4))^S13_PSP_Species_Support!AX38))^0.976,0)+IFERROR(S13_PSP_Species_Support!BB38*0.0673*(S13_PSP_Species_Support!BC38*(S13_PSP_Species_Support!BD38*(1-EXP(-S13_PSP_Species_Support!BE38*4))^S13_PSP_Species_Support!BF38)^2*(S13_PSP_Species_Support!BG38*(1-EXP(-S13_PSP_Species_Support!BH38*4))^S13_PSP_Species_Support!BI38))^0.976,0)+IFERROR(S13_PSP_Species_Support!BM38*0.0673*(S13_PSP_Species_Support!BN38*(S13_PSP_Species_Support!BO38*(1-EXP(-S13_PSP_Species_Support!BP38*4))^S13_PSP_Species_Support!BQ38)^2*(S13_PSP_Species_Support!BR38*(1-EXP(-S13_PSP_Species_Support!BS38*4))^S13_PSP_Species_Support!BT38))^0.976,0)+IFERROR(S13_PSP_Species_Support!BX38*0.0673*(S13_PSP_Species_Support!BY38*(S13_PSP_Species_Support!BZ38*(1-EXP(-S13_PSP_Species_Support!CA38*4))^S13_PSP_Species_Support!CB38)^2*(S13_PSP_Species_Support!CC38*(1-EXP(-S13_PSP_Species_Support!CD38*4))^S13_PSP_Species_Support!CE38))^0.976,0)+IFERROR(S13_PSP_Species_Support!CI38*0.0673*(S13_PSP_Species_Support!CJ38*(S13_PSP_Species_Support!CK38*(1-EXP(-S13_PSP_Species_Support!CL38*4))^S13_PSP_Species_Support!CM38)^2*(S13_PSP_Species_Support!CN38*(1-EXP(-S13_PSP_Species_Support!CO38*4))^S13_PSP_Species_Support!CP38))^0.976,0)+IFERROR(S13_PSP_Species_Support!CT38*0.0673*(S13_PSP_Species_Support!CU38*(S13_PSP_Species_Support!CV38*(1-EXP(-S13_PSP_Species_Support!CW38*4))^S13_PSP_Species_Support!CX38)^2*(S13_PSP_Species_Support!CY38*(1-EXP(-S13_PSP_Species_Support!CZ38*4))^S13_PSP_Species_Support!DA38))^0.976,0))/1000/$G51*M$108,0)</x:f>
        <x:v>29.793369851981627</x:v>
      </x:c>
      <x:c r="N51" s="147" t="n">
        <x:f aca="0">IFERROR((IFERROR(S13_PSP_Species_Support!U38*0.0673*(S13_PSP_Species_Support!V38*(S13_PSP_Species_Support!W38*(1-EXP(-S13_PSP_Species_Support!X38*5))^S13_PSP_Species_Support!Y38)^2*(S13_PSP_Species_Support!Z38*(1-EXP(-S13_PSP_Species_Support!AA38*5))^S13_PSP_Species_Support!AB38))^0.976,0)+IFERROR(S13_PSP_Species_Support!AF38*0.0673*(S13_PSP_Species_Support!AG38*(S13_PSP_Species_Support!AH38*(1-EXP(-S13_PSP_Species_Support!AI38*5))^S13_PSP_Species_Support!AJ38)^2*(S13_PSP_Species_Support!AK38*(1-EXP(-S13_PSP_Species_Support!AL38*5))^S13_PSP_Species_Support!AM38))^0.976,0)+IFERROR(S13_PSP_Species_Support!AQ38*0.0673*(S13_PSP_Species_Support!AR38*(S13_PSP_Species_Support!AS38*(1-EXP(-S13_PSP_Species_Support!AT38*5))^S13_PSP_Species_Support!AU38)^2*(S13_PSP_Species_Support!AV38*(1-EXP(-S13_PSP_Species_Support!AW38*5))^S13_PSP_Species_Support!AX38))^0.976,0)+IFERROR(S13_PSP_Species_Support!BB38*0.0673*(S13_PSP_Species_Support!BC38*(S13_PSP_Species_Support!BD38*(1-EXP(-S13_PSP_Species_Support!BE38*5))^S13_PSP_Species_Support!BF38)^2*(S13_PSP_Species_Support!BG38*(1-EXP(-S13_PSP_Species_Support!BH38*5))^S13_PSP_Species_Support!BI38))^0.976,0)+IFERROR(S13_PSP_Species_Support!BM38*0.0673*(S13_PSP_Species_Support!BN38*(S13_PSP_Species_Support!BO38*(1-EXP(-S13_PSP_Species_Support!BP38*5))^S13_PSP_Species_Support!BQ38)^2*(S13_PSP_Species_Support!BR38*(1-EXP(-S13_PSP_Species_Support!BS38*5))^S13_PSP_Species_Support!BT38))^0.976,0)+IFERROR(S13_PSP_Species_Support!BX38*0.0673*(S13_PSP_Species_Support!BY38*(S13_PSP_Species_Support!BZ38*(1-EXP(-S13_PSP_Species_Support!CA38*5))^S13_PSP_Species_Support!CB38)^2*(S13_PSP_Species_Support!CC38*(1-EXP(-S13_PSP_Species_Support!CD38*5))^S13_PSP_Species_Support!CE38))^0.976,0)+IFERROR(S13_PSP_Species_Support!CI38*0.0673*(S13_PSP_Species_Support!CJ38*(S13_PSP_Species_Support!CK38*(1-EXP(-S13_PSP_Species_Support!CL38*5))^S13_PSP_Species_Support!CM38)^2*(S13_PSP_Species_Support!CN38*(1-EXP(-S13_PSP_Species_Support!CO38*5))^S13_PSP_Species_Support!CP38))^0.976,0)+IFERROR(S13_PSP_Species_Support!CT38*0.0673*(S13_PSP_Species_Support!CU38*(S13_PSP_Species_Support!CV38*(1-EXP(-S13_PSP_Species_Support!CW38*5))^S13_PSP_Species_Support!CX38)^2*(S13_PSP_Species_Support!CY38*(1-EXP(-S13_PSP_Species_Support!CZ38*5))^S13_PSP_Species_Support!DA38))^0.976,0))/1000/$G51*N$108,0)</x:f>
        <x:v>56.4108624286688</x:v>
      </x:c>
      <x:c r="O51" s="147" t="n">
        <x:f aca="0">IFERROR((IFERROR(S13_PSP_Species_Support!U38*0.0673*(S13_PSP_Species_Support!V38*(S13_PSP_Species_Support!W38*(1-EXP(-S13_PSP_Species_Support!X38*6))^S13_PSP_Species_Support!Y38)^2*(S13_PSP_Species_Support!Z38*(1-EXP(-S13_PSP_Species_Support!AA38*6))^S13_PSP_Species_Support!AB38))^0.976,0)+IFERROR(S13_PSP_Species_Support!AF38*0.0673*(S13_PSP_Species_Support!AG38*(S13_PSP_Species_Support!AH38*(1-EXP(-S13_PSP_Species_Support!AI38*6))^S13_PSP_Species_Support!AJ38)^2*(S13_PSP_Species_Support!AK38*(1-EXP(-S13_PSP_Species_Support!AL38*6))^S13_PSP_Species_Support!AM38))^0.976,0)+IFERROR(S13_PSP_Species_Support!AQ38*0.0673*(S13_PSP_Species_Support!AR38*(S13_PSP_Species_Support!AS38*(1-EXP(-S13_PSP_Species_Support!AT38*6))^S13_PSP_Species_Support!AU38)^2*(S13_PSP_Species_Support!AV38*(1-EXP(-S13_PSP_Species_Support!AW38*6))^S13_PSP_Species_Support!AX38))^0.976,0)+IFERROR(S13_PSP_Species_Support!BB38*0.0673*(S13_PSP_Species_Support!BC38*(S13_PSP_Species_Support!BD38*(1-EXP(-S13_PSP_Species_Support!BE38*6))^S13_PSP_Species_Support!BF38)^2*(S13_PSP_Species_Support!BG38*(1-EXP(-S13_PSP_Species_Support!BH38*6))^S13_PSP_Species_Support!BI38))^0.976,0)+IFERROR(S13_PSP_Species_Support!BM38*0.0673*(S13_PSP_Species_Support!BN38*(S13_PSP_Species_Support!BO38*(1-EXP(-S13_PSP_Species_Support!BP38*6))^S13_PSP_Species_Support!BQ38)^2*(S13_PSP_Species_Support!BR38*(1-EXP(-S13_PSP_Species_Support!BS38*6))^S13_PSP_Species_Support!BT38))^0.976,0)+IFERROR(S13_PSP_Species_Support!BX38*0.0673*(S13_PSP_Species_Support!BY38*(S13_PSP_Species_Support!BZ38*(1-EXP(-S13_PSP_Species_Support!CA38*6))^S13_PSP_Species_Support!CB38)^2*(S13_PSP_Species_Support!CC38*(1-EXP(-S13_PSP_Species_Support!CD38*6))^S13_PSP_Species_Support!CE38))^0.976,0)+IFERROR(S13_PSP_Species_Support!CI38*0.0673*(S13_PSP_Species_Support!CJ38*(S13_PSP_Species_Support!CK38*(1-EXP(-S13_PSP_Species_Support!CL38*6))^S13_PSP_Species_Support!CM38)^2*(S13_PSP_Species_Support!CN38*(1-EXP(-S13_PSP_Species_Support!CO38*6))^S13_PSP_Species_Support!CP38))^0.976,0)+IFERROR(S13_PSP_Species_Support!CT38*0.0673*(S13_PSP_Species_Support!CU38*(S13_PSP_Species_Support!CV38*(1-EXP(-S13_PSP_Species_Support!CW38*6))^S13_PSP_Species_Support!CX38)^2*(S13_PSP_Species_Support!CY38*(1-EXP(-S13_PSP_Species_Support!CZ38*6))^S13_PSP_Species_Support!DA38))^0.976,0))/1000/$G51*O$108,0)</x:f>
        <x:v>91.33451123948981</x:v>
      </x:c>
      <x:c r="P51" s="147" t="n">
        <x:f aca="0">IFERROR((IFERROR(S13_PSP_Species_Support!U38*0.0673*(S13_PSP_Species_Support!V38*(S13_PSP_Species_Support!W38*(1-EXP(-S13_PSP_Species_Support!X38*7))^S13_PSP_Species_Support!Y38)^2*(S13_PSP_Species_Support!Z38*(1-EXP(-S13_PSP_Species_Support!AA38*7))^S13_PSP_Species_Support!AB38))^0.976,0)+IFERROR(S13_PSP_Species_Support!AF38*0.0673*(S13_PSP_Species_Support!AG38*(S13_PSP_Species_Support!AH38*(1-EXP(-S13_PSP_Species_Support!AI38*7))^S13_PSP_Species_Support!AJ38)^2*(S13_PSP_Species_Support!AK38*(1-EXP(-S13_PSP_Species_Support!AL38*7))^S13_PSP_Species_Support!AM38))^0.976,0)+IFERROR(S13_PSP_Species_Support!AQ38*0.0673*(S13_PSP_Species_Support!AR38*(S13_PSP_Species_Support!AS38*(1-EXP(-S13_PSP_Species_Support!AT38*7))^S13_PSP_Species_Support!AU38)^2*(S13_PSP_Species_Support!AV38*(1-EXP(-S13_PSP_Species_Support!AW38*7))^S13_PSP_Species_Support!AX38))^0.976,0)+IFERROR(S13_PSP_Species_Support!BB38*0.0673*(S13_PSP_Species_Support!BC38*(S13_PSP_Species_Support!BD38*(1-EXP(-S13_PSP_Species_Support!BE38*7))^S13_PSP_Species_Support!BF38)^2*(S13_PSP_Species_Support!BG38*(1-EXP(-S13_PSP_Species_Support!BH38*7))^S13_PSP_Species_Support!BI38))^0.976,0)+IFERROR(S13_PSP_Species_Support!BM38*0.0673*(S13_PSP_Species_Support!BN38*(S13_PSP_Species_Support!BO38*(1-EXP(-S13_PSP_Species_Support!BP38*7))^S13_PSP_Species_Support!BQ38)^2*(S13_PSP_Species_Support!BR38*(1-EXP(-S13_PSP_Species_Support!BS38*7))^S13_PSP_Species_Support!BT38))^0.976,0)+IFERROR(S13_PSP_Species_Support!BX38*0.0673*(S13_PSP_Species_Support!BY38*(S13_PSP_Species_Support!BZ38*(1-EXP(-S13_PSP_Species_Support!CA38*7))^S13_PSP_Species_Support!CB38)^2*(S13_PSP_Species_Support!CC38*(1-EXP(-S13_PSP_Species_Support!CD38*7))^S13_PSP_Species_Support!CE38))^0.976,0)+IFERROR(S13_PSP_Species_Support!CI38*0.0673*(S13_PSP_Species_Support!CJ38*(S13_PSP_Species_Support!CK38*(1-EXP(-S13_PSP_Species_Support!CL38*7))^S13_PSP_Species_Support!CM38)^2*(S13_PSP_Species_Support!CN38*(1-EXP(-S13_PSP_Species_Support!CO38*7))^S13_PSP_Species_Support!CP38))^0.976,0)+IFERROR(S13_PSP_Species_Support!CT38*0.0673*(S13_PSP_Species_Support!CU38*(S13_PSP_Species_Support!CV38*(1-EXP(-S13_PSP_Species_Support!CW38*7))^S13_PSP_Species_Support!CX38)^2*(S13_PSP_Species_Support!CY38*(1-EXP(-S13_PSP_Species_Support!CZ38*7))^S13_PSP_Species_Support!DA38))^0.976,0))/1000/$G51*P$108,0)</x:f>
        <x:v>133.00957532149408</x:v>
      </x:c>
      <x:c r="Q51" s="147" t="n">
        <x:f aca="0">IFERROR((IFERROR(S13_PSP_Species_Support!U38*0.0673*(S13_PSP_Species_Support!V38*(S13_PSP_Species_Support!W38*(1-EXP(-S13_PSP_Species_Support!X38*8))^S13_PSP_Species_Support!Y38)^2*(S13_PSP_Species_Support!Z38*(1-EXP(-S13_PSP_Species_Support!AA38*8))^S13_PSP_Species_Support!AB38))^0.976,0)+IFERROR(S13_PSP_Species_Support!AF38*0.0673*(S13_PSP_Species_Support!AG38*(S13_PSP_Species_Support!AH38*(1-EXP(-S13_PSP_Species_Support!AI38*8))^S13_PSP_Species_Support!AJ38)^2*(S13_PSP_Species_Support!AK38*(1-EXP(-S13_PSP_Species_Support!AL38*8))^S13_PSP_Species_Support!AM38))^0.976,0)+IFERROR(S13_PSP_Species_Support!AQ38*0.0673*(S13_PSP_Species_Support!AR38*(S13_PSP_Species_Support!AS38*(1-EXP(-S13_PSP_Species_Support!AT38*8))^S13_PSP_Species_Support!AU38)^2*(S13_PSP_Species_Support!AV38*(1-EXP(-S13_PSP_Species_Support!AW38*8))^S13_PSP_Species_Support!AX38))^0.976,0)+IFERROR(S13_PSP_Species_Support!BB38*0.0673*(S13_PSP_Species_Support!BC38*(S13_PSP_Species_Support!BD38*(1-EXP(-S13_PSP_Species_Support!BE38*8))^S13_PSP_Species_Support!BF38)^2*(S13_PSP_Species_Support!BG38*(1-EXP(-S13_PSP_Species_Support!BH38*8))^S13_PSP_Species_Support!BI38))^0.976,0)+IFERROR(S13_PSP_Species_Support!BM38*0.0673*(S13_PSP_Species_Support!BN38*(S13_PSP_Species_Support!BO38*(1-EXP(-S13_PSP_Species_Support!BP38*8))^S13_PSP_Species_Support!BQ38)^2*(S13_PSP_Species_Support!BR38*(1-EXP(-S13_PSP_Species_Support!BS38*8))^S13_PSP_Species_Support!BT38))^0.976,0)+IFERROR(S13_PSP_Species_Support!BX38*0.0673*(S13_PSP_Species_Support!BY38*(S13_PSP_Species_Support!BZ38*(1-EXP(-S13_PSP_Species_Support!CA38*8))^S13_PSP_Species_Support!CB38)^2*(S13_PSP_Species_Support!CC38*(1-EXP(-S13_PSP_Species_Support!CD38*8))^S13_PSP_Species_Support!CE38))^0.976,0)+IFERROR(S13_PSP_Species_Support!CI38*0.0673*(S13_PSP_Species_Support!CJ38*(S13_PSP_Species_Support!CK38*(1-EXP(-S13_PSP_Species_Support!CL38*8))^S13_PSP_Species_Support!CM38)^2*(S13_PSP_Species_Support!CN38*(1-EXP(-S13_PSP_Species_Support!CO38*8))^S13_PSP_Species_Support!CP38))^0.976,0)+IFERROR(S13_PSP_Species_Support!CT38*0.0673*(S13_PSP_Species_Support!CU38*(S13_PSP_Species_Support!CV38*(1-EXP(-S13_PSP_Species_Support!CW38*8))^S13_PSP_Species_Support!CX38)^2*(S13_PSP_Species_Support!CY38*(1-EXP(-S13_PSP_Species_Support!CZ38*8))^S13_PSP_Species_Support!DA38))^0.976,0))/1000/$G51*Q$108,0)</x:f>
        <x:v>179.5500584788864</x:v>
      </x:c>
      <x:c r="R51" s="147" t="n">
        <x:f aca="0">IFERROR((IFERROR(S13_PSP_Species_Support!U38*0.0673*(S13_PSP_Species_Support!V38*(S13_PSP_Species_Support!W38*(1-EXP(-S13_PSP_Species_Support!X38*9))^S13_PSP_Species_Support!Y38)^2*(S13_PSP_Species_Support!Z38*(1-EXP(-S13_PSP_Species_Support!AA38*9))^S13_PSP_Species_Support!AB38))^0.976,0)+IFERROR(S13_PSP_Species_Support!AF38*0.0673*(S13_PSP_Species_Support!AG38*(S13_PSP_Species_Support!AH38*(1-EXP(-S13_PSP_Species_Support!AI38*9))^S13_PSP_Species_Support!AJ38)^2*(S13_PSP_Species_Support!AK38*(1-EXP(-S13_PSP_Species_Support!AL38*9))^S13_PSP_Species_Support!AM38))^0.976,0)+IFERROR(S13_PSP_Species_Support!AQ38*0.0673*(S13_PSP_Species_Support!AR38*(S13_PSP_Species_Support!AS38*(1-EXP(-S13_PSP_Species_Support!AT38*9))^S13_PSP_Species_Support!AU38)^2*(S13_PSP_Species_Support!AV38*(1-EXP(-S13_PSP_Species_Support!AW38*9))^S13_PSP_Species_Support!AX38))^0.976,0)+IFERROR(S13_PSP_Species_Support!BB38*0.0673*(S13_PSP_Species_Support!BC38*(S13_PSP_Species_Support!BD38*(1-EXP(-S13_PSP_Species_Support!BE38*9))^S13_PSP_Species_Support!BF38)^2*(S13_PSP_Species_Support!BG38*(1-EXP(-S13_PSP_Species_Support!BH38*9))^S13_PSP_Species_Support!BI38))^0.976,0)+IFERROR(S13_PSP_Species_Support!BM38*0.0673*(S13_PSP_Species_Support!BN38*(S13_PSP_Species_Support!BO38*(1-EXP(-S13_PSP_Species_Support!BP38*9))^S13_PSP_Species_Support!BQ38)^2*(S13_PSP_Species_Support!BR38*(1-EXP(-S13_PSP_Species_Support!BS38*9))^S13_PSP_Species_Support!BT38))^0.976,0)+IFERROR(S13_PSP_Species_Support!BX38*0.0673*(S13_PSP_Species_Support!BY38*(S13_PSP_Species_Support!BZ38*(1-EXP(-S13_PSP_Species_Support!CA38*9))^S13_PSP_Species_Support!CB38)^2*(S13_PSP_Species_Support!CC38*(1-EXP(-S13_PSP_Species_Support!CD38*9))^S13_PSP_Species_Support!CE38))^0.976,0)+IFERROR(S13_PSP_Species_Support!CI38*0.0673*(S13_PSP_Species_Support!CJ38*(S13_PSP_Species_Support!CK38*(1-EXP(-S13_PSP_Species_Support!CL38*9))^S13_PSP_Species_Support!CM38)^2*(S13_PSP_Species_Support!CN38*(1-EXP(-S13_PSP_Species_Support!CO38*9))^S13_PSP_Species_Support!CP38))^0.976,0)+IFERROR(S13_PSP_Species_Support!CT38*0.0673*(S13_PSP_Species_Support!CU38*(S13_PSP_Species_Support!CV38*(1-EXP(-S13_PSP_Species_Support!CW38*9))^S13_PSP_Species_Support!CX38)^2*(S13_PSP_Species_Support!CY38*(1-EXP(-S13_PSP_Species_Support!CZ38*9))^S13_PSP_Species_Support!DA38))^0.976,0))/1000/$G51*R$108,0)</x:f>
        <x:v>229.06454781066049</x:v>
      </x:c>
      <x:c r="S51" s="147" t="n">
        <x:f aca="0">IFERROR((IFERROR(S13_PSP_Species_Support!U38*0.0673*(S13_PSP_Species_Support!V38*(S13_PSP_Species_Support!W38*(1-EXP(-S13_PSP_Species_Support!X38*10))^S13_PSP_Species_Support!Y38)^2*(S13_PSP_Species_Support!Z38*(1-EXP(-S13_PSP_Species_Support!AA38*10))^S13_PSP_Species_Support!AB38))^0.976,0)+IFERROR(S13_PSP_Species_Support!AF38*0.0673*(S13_PSP_Species_Support!AG38*(S13_PSP_Species_Support!AH38*(1-EXP(-S13_PSP_Species_Support!AI38*10))^S13_PSP_Species_Support!AJ38)^2*(S13_PSP_Species_Support!AK38*(1-EXP(-S13_PSP_Species_Support!AL38*10))^S13_PSP_Species_Support!AM38))^0.976,0)+IFERROR(S13_PSP_Species_Support!AQ38*0.0673*(S13_PSP_Species_Support!AR38*(S13_PSP_Species_Support!AS38*(1-EXP(-S13_PSP_Species_Support!AT38*10))^S13_PSP_Species_Support!AU38)^2*(S13_PSP_Species_Support!AV38*(1-EXP(-S13_PSP_Species_Support!AW38*10))^S13_PSP_Species_Support!AX38))^0.976,0)+IFERROR(S13_PSP_Species_Support!BB38*0.0673*(S13_PSP_Species_Support!BC38*(S13_PSP_Species_Support!BD38*(1-EXP(-S13_PSP_Species_Support!BE38*10))^S13_PSP_Species_Support!BF38)^2*(S13_PSP_Species_Support!BG38*(1-EXP(-S13_PSP_Species_Support!BH38*10))^S13_PSP_Species_Support!BI38))^0.976,0)+IFERROR(S13_PSP_Species_Support!BM38*0.0673*(S13_PSP_Species_Support!BN38*(S13_PSP_Species_Support!BO38*(1-EXP(-S13_PSP_Species_Support!BP38*10))^S13_PSP_Species_Support!BQ38)^2*(S13_PSP_Species_Support!BR38*(1-EXP(-S13_PSP_Species_Support!BS38*10))^S13_PSP_Species_Support!BT38))^0.976,0)+IFERROR(S13_PSP_Species_Support!BX38*0.0673*(S13_PSP_Species_Support!BY38*(S13_PSP_Species_Support!BZ38*(1-EXP(-S13_PSP_Species_Support!CA38*10))^S13_PSP_Species_Support!CB38)^2*(S13_PSP_Species_Support!CC38*(1-EXP(-S13_PSP_Species_Support!CD38*10))^S13_PSP_Species_Support!CE38))^0.976,0)+IFERROR(S13_PSP_Species_Support!CI38*0.0673*(S13_PSP_Species_Support!CJ38*(S13_PSP_Species_Support!CK38*(1-EXP(-S13_PSP_Species_Support!CL38*10))^S13_PSP_Species_Support!CM38)^2*(S13_PSP_Species_Support!CN38*(1-EXP(-S13_PSP_Species_Support!CO38*10))^S13_PSP_Species_Support!CP38))^0.976,0)+IFERROR(S13_PSP_Species_Support!CT38*0.0673*(S13_PSP_Species_Support!CU38*(S13_PSP_Species_Support!CV38*(1-EXP(-S13_PSP_Species_Support!CW38*10))^S13_PSP_Species_Support!CX38)^2*(S13_PSP_Species_Support!CY38*(1-EXP(-S13_PSP_Species_Support!CZ38*10))^S13_PSP_Species_Support!DA38))^0.976,0))/1000/$G51*S$108,0)</x:f>
        <x:v>279.8498887526674</x:v>
      </x:c>
      <x:c r="T51" s="147" t="n">
        <x:f aca="0">IFERROR((IFERROR(S13_PSP_Species_Support!U38*0.0673*(S13_PSP_Species_Support!V38*(S13_PSP_Species_Support!W38*(1-EXP(-S13_PSP_Species_Support!X38*11))^S13_PSP_Species_Support!Y38)^2*(S13_PSP_Species_Support!Z38*(1-EXP(-S13_PSP_Species_Support!AA38*11))^S13_PSP_Species_Support!AB38))^0.976,0)+IFERROR(S13_PSP_Species_Support!AF38*0.0673*(S13_PSP_Species_Support!AG38*(S13_PSP_Species_Support!AH38*(1-EXP(-S13_PSP_Species_Support!AI38*11))^S13_PSP_Species_Support!AJ38)^2*(S13_PSP_Species_Support!AK38*(1-EXP(-S13_PSP_Species_Support!AL38*11))^S13_PSP_Species_Support!AM38))^0.976,0)+IFERROR(S13_PSP_Species_Support!AQ38*0.0673*(S13_PSP_Species_Support!AR38*(S13_PSP_Species_Support!AS38*(1-EXP(-S13_PSP_Species_Support!AT38*11))^S13_PSP_Species_Support!AU38)^2*(S13_PSP_Species_Support!AV38*(1-EXP(-S13_PSP_Species_Support!AW38*11))^S13_PSP_Species_Support!AX38))^0.976,0)+IFERROR(S13_PSP_Species_Support!BB38*0.0673*(S13_PSP_Species_Support!BC38*(S13_PSP_Species_Support!BD38*(1-EXP(-S13_PSP_Species_Support!BE38*11))^S13_PSP_Species_Support!BF38)^2*(S13_PSP_Species_Support!BG38*(1-EXP(-S13_PSP_Species_Support!BH38*11))^S13_PSP_Species_Support!BI38))^0.976,0)+IFERROR(S13_PSP_Species_Support!BM38*0.0673*(S13_PSP_Species_Support!BN38*(S13_PSP_Species_Support!BO38*(1-EXP(-S13_PSP_Species_Support!BP38*11))^S13_PSP_Species_Support!BQ38)^2*(S13_PSP_Species_Support!BR38*(1-EXP(-S13_PSP_Species_Support!BS38*11))^S13_PSP_Species_Support!BT38))^0.976,0)+IFERROR(S13_PSP_Species_Support!BX38*0.0673*(S13_PSP_Species_Support!BY38*(S13_PSP_Species_Support!BZ38*(1-EXP(-S13_PSP_Species_Support!CA38*11))^S13_PSP_Species_Support!CB38)^2*(S13_PSP_Species_Support!CC38*(1-EXP(-S13_PSP_Species_Support!CD38*11))^S13_PSP_Species_Support!CE38))^0.976,0)+IFERROR(S13_PSP_Species_Support!CI38*0.0673*(S13_PSP_Species_Support!CJ38*(S13_PSP_Species_Support!CK38*(1-EXP(-S13_PSP_Species_Support!CL38*11))^S13_PSP_Species_Support!CM38)^2*(S13_PSP_Species_Support!CN38*(1-EXP(-S13_PSP_Species_Support!CO38*11))^S13_PSP_Species_Support!CP38))^0.976,0)+IFERROR(S13_PSP_Species_Support!CT38*0.0673*(S13_PSP_Species_Support!CU38*(S13_PSP_Species_Support!CV38*(1-EXP(-S13_PSP_Species_Support!CW38*11))^S13_PSP_Species_Support!CX38)^2*(S13_PSP_Species_Support!CY38*(1-EXP(-S13_PSP_Species_Support!CZ38*11))^S13_PSP_Species_Support!DA38))^0.976,0))/1000/$G51*T$108,0)</x:f>
        <x:v>330.48456501165487</x:v>
      </x:c>
      <x:c r="U51" s="147" t="n">
        <x:f aca="0">IFERROR((IFERROR(S13_PSP_Species_Support!U38*0.0673*(S13_PSP_Species_Support!V38*(S13_PSP_Species_Support!W38*(1-EXP(-S13_PSP_Species_Support!X38*12))^S13_PSP_Species_Support!Y38)^2*(S13_PSP_Species_Support!Z38*(1-EXP(-S13_PSP_Species_Support!AA38*12))^S13_PSP_Species_Support!AB38))^0.976,0)+IFERROR(S13_PSP_Species_Support!AF38*0.0673*(S13_PSP_Species_Support!AG38*(S13_PSP_Species_Support!AH38*(1-EXP(-S13_PSP_Species_Support!AI38*12))^S13_PSP_Species_Support!AJ38)^2*(S13_PSP_Species_Support!AK38*(1-EXP(-S13_PSP_Species_Support!AL38*12))^S13_PSP_Species_Support!AM38))^0.976,0)+IFERROR(S13_PSP_Species_Support!AQ38*0.0673*(S13_PSP_Species_Support!AR38*(S13_PSP_Species_Support!AS38*(1-EXP(-S13_PSP_Species_Support!AT38*12))^S13_PSP_Species_Support!AU38)^2*(S13_PSP_Species_Support!AV38*(1-EXP(-S13_PSP_Species_Support!AW38*12))^S13_PSP_Species_Support!AX38))^0.976,0)+IFERROR(S13_PSP_Species_Support!BB38*0.0673*(S13_PSP_Species_Support!BC38*(S13_PSP_Species_Support!BD38*(1-EXP(-S13_PSP_Species_Support!BE38*12))^S13_PSP_Species_Support!BF38)^2*(S13_PSP_Species_Support!BG38*(1-EXP(-S13_PSP_Species_Support!BH38*12))^S13_PSP_Species_Support!BI38))^0.976,0)+IFERROR(S13_PSP_Species_Support!BM38*0.0673*(S13_PSP_Species_Support!BN38*(S13_PSP_Species_Support!BO38*(1-EXP(-S13_PSP_Species_Support!BP38*12))^S13_PSP_Species_Support!BQ38)^2*(S13_PSP_Species_Support!BR38*(1-EXP(-S13_PSP_Species_Support!BS38*12))^S13_PSP_Species_Support!BT38))^0.976,0)+IFERROR(S13_PSP_Species_Support!BX38*0.0673*(S13_PSP_Species_Support!BY38*(S13_PSP_Species_Support!BZ38*(1-EXP(-S13_PSP_Species_Support!CA38*12))^S13_PSP_Species_Support!CB38)^2*(S13_PSP_Species_Support!CC38*(1-EXP(-S13_PSP_Species_Support!CD38*12))^S13_PSP_Species_Support!CE38))^0.976,0)+IFERROR(S13_PSP_Species_Support!CI38*0.0673*(S13_PSP_Species_Support!CJ38*(S13_PSP_Species_Support!CK38*(1-EXP(-S13_PSP_Species_Support!CL38*12))^S13_PSP_Species_Support!CM38)^2*(S13_PSP_Species_Support!CN38*(1-EXP(-S13_PSP_Species_Support!CO38*12))^S13_PSP_Species_Support!CP38))^0.976,0)+IFERROR(S13_PSP_Species_Support!CT38*0.0673*(S13_PSP_Species_Support!CU38*(S13_PSP_Species_Support!CV38*(1-EXP(-S13_PSP_Species_Support!CW38*12))^S13_PSP_Species_Support!CX38)^2*(S13_PSP_Species_Support!CY38*(1-EXP(-S13_PSP_Species_Support!CZ38*12))^S13_PSP_Species_Support!DA38))^0.976,0))/1000/$G51*U$108,0)</x:f>
        <x:v>379.85489779156995</x:v>
      </x:c>
      <x:c r="V51" s="147" t="n">
        <x:f aca="0">IFERROR((IFERROR(S13_PSP_Species_Support!U38*0.0673*(S13_PSP_Species_Support!V38*(S13_PSP_Species_Support!W38*(1-EXP(-S13_PSP_Species_Support!X38*13))^S13_PSP_Species_Support!Y38)^2*(S13_PSP_Species_Support!Z38*(1-EXP(-S13_PSP_Species_Support!AA38*13))^S13_PSP_Species_Support!AB38))^0.976,0)+IFERROR(S13_PSP_Species_Support!AF38*0.0673*(S13_PSP_Species_Support!AG38*(S13_PSP_Species_Support!AH38*(1-EXP(-S13_PSP_Species_Support!AI38*13))^S13_PSP_Species_Support!AJ38)^2*(S13_PSP_Species_Support!AK38*(1-EXP(-S13_PSP_Species_Support!AL38*13))^S13_PSP_Species_Support!AM38))^0.976,0)+IFERROR(S13_PSP_Species_Support!AQ38*0.0673*(S13_PSP_Species_Support!AR38*(S13_PSP_Species_Support!AS38*(1-EXP(-S13_PSP_Species_Support!AT38*13))^S13_PSP_Species_Support!AU38)^2*(S13_PSP_Species_Support!AV38*(1-EXP(-S13_PSP_Species_Support!AW38*13))^S13_PSP_Species_Support!AX38))^0.976,0)+IFERROR(S13_PSP_Species_Support!BB38*0.0673*(S13_PSP_Species_Support!BC38*(S13_PSP_Species_Support!BD38*(1-EXP(-S13_PSP_Species_Support!BE38*13))^S13_PSP_Species_Support!BF38)^2*(S13_PSP_Species_Support!BG38*(1-EXP(-S13_PSP_Species_Support!BH38*13))^S13_PSP_Species_Support!BI38))^0.976,0)+IFERROR(S13_PSP_Species_Support!BM38*0.0673*(S13_PSP_Species_Support!BN38*(S13_PSP_Species_Support!BO38*(1-EXP(-S13_PSP_Species_Support!BP38*13))^S13_PSP_Species_Support!BQ38)^2*(S13_PSP_Species_Support!BR38*(1-EXP(-S13_PSP_Species_Support!BS38*13))^S13_PSP_Species_Support!BT38))^0.976,0)+IFERROR(S13_PSP_Species_Support!BX38*0.0673*(S13_PSP_Species_Support!BY38*(S13_PSP_Species_Support!BZ38*(1-EXP(-S13_PSP_Species_Support!CA38*13))^S13_PSP_Species_Support!CB38)^2*(S13_PSP_Species_Support!CC38*(1-EXP(-S13_PSP_Species_Support!CD38*13))^S13_PSP_Species_Support!CE38))^0.976,0)+IFERROR(S13_PSP_Species_Support!CI38*0.0673*(S13_PSP_Species_Support!CJ38*(S13_PSP_Species_Support!CK38*(1-EXP(-S13_PSP_Species_Support!CL38*13))^S13_PSP_Species_Support!CM38)^2*(S13_PSP_Species_Support!CN38*(1-EXP(-S13_PSP_Species_Support!CO38*13))^S13_PSP_Species_Support!CP38))^0.976,0)+IFERROR(S13_PSP_Species_Support!CT38*0.0673*(S13_PSP_Species_Support!CU38*(S13_PSP_Species_Support!CV38*(1-EXP(-S13_PSP_Species_Support!CW38*13))^S13_PSP_Species_Support!CX38)^2*(S13_PSP_Species_Support!CY38*(1-EXP(-S13_PSP_Species_Support!CZ38*13))^S13_PSP_Species_Support!DA38))^0.976,0))/1000/$G51*V$108,0)</x:f>
        <x:v>427.14095649622914</x:v>
      </x:c>
      <x:c r="W51" s="147" t="n">
        <x:f aca="0">IFERROR((IFERROR(S13_PSP_Species_Support!U38*0.0673*(S13_PSP_Species_Support!V38*(S13_PSP_Species_Support!W38*(1-EXP(-S13_PSP_Species_Support!X38*14))^S13_PSP_Species_Support!Y38)^2*(S13_PSP_Species_Support!Z38*(1-EXP(-S13_PSP_Species_Support!AA38*14))^S13_PSP_Species_Support!AB38))^0.976,0)+IFERROR(S13_PSP_Species_Support!AF38*0.0673*(S13_PSP_Species_Support!AG38*(S13_PSP_Species_Support!AH38*(1-EXP(-S13_PSP_Species_Support!AI38*14))^S13_PSP_Species_Support!AJ38)^2*(S13_PSP_Species_Support!AK38*(1-EXP(-S13_PSP_Species_Support!AL38*14))^S13_PSP_Species_Support!AM38))^0.976,0)+IFERROR(S13_PSP_Species_Support!AQ38*0.0673*(S13_PSP_Species_Support!AR38*(S13_PSP_Species_Support!AS38*(1-EXP(-S13_PSP_Species_Support!AT38*14))^S13_PSP_Species_Support!AU38)^2*(S13_PSP_Species_Support!AV38*(1-EXP(-S13_PSP_Species_Support!AW38*14))^S13_PSP_Species_Support!AX38))^0.976,0)+IFERROR(S13_PSP_Species_Support!BB38*0.0673*(S13_PSP_Species_Support!BC38*(S13_PSP_Species_Support!BD38*(1-EXP(-S13_PSP_Species_Support!BE38*14))^S13_PSP_Species_Support!BF38)^2*(S13_PSP_Species_Support!BG38*(1-EXP(-S13_PSP_Species_Support!BH38*14))^S13_PSP_Species_Support!BI38))^0.976,0)+IFERROR(S13_PSP_Species_Support!BM38*0.0673*(S13_PSP_Species_Support!BN38*(S13_PSP_Species_Support!BO38*(1-EXP(-S13_PSP_Species_Support!BP38*14))^S13_PSP_Species_Support!BQ38)^2*(S13_PSP_Species_Support!BR38*(1-EXP(-S13_PSP_Species_Support!BS38*14))^S13_PSP_Species_Support!BT38))^0.976,0)+IFERROR(S13_PSP_Species_Support!BX38*0.0673*(S13_PSP_Species_Support!BY38*(S13_PSP_Species_Support!BZ38*(1-EXP(-S13_PSP_Species_Support!CA38*14))^S13_PSP_Species_Support!CB38)^2*(S13_PSP_Species_Support!CC38*(1-EXP(-S13_PSP_Species_Support!CD38*14))^S13_PSP_Species_Support!CE38))^0.976,0)+IFERROR(S13_PSP_Species_Support!CI38*0.0673*(S13_PSP_Species_Support!CJ38*(S13_PSP_Species_Support!CK38*(1-EXP(-S13_PSP_Species_Support!CL38*14))^S13_PSP_Species_Support!CM38)^2*(S13_PSP_Species_Support!CN38*(1-EXP(-S13_PSP_Species_Support!CO38*14))^S13_PSP_Species_Support!CP38))^0.976,0)+IFERROR(S13_PSP_Species_Support!CT38*0.0673*(S13_PSP_Species_Support!CU38*(S13_PSP_Species_Support!CV38*(1-EXP(-S13_PSP_Species_Support!CW38*14))^S13_PSP_Species_Support!CX38)^2*(S13_PSP_Species_Support!CY38*(1-EXP(-S13_PSP_Species_Support!CZ38*14))^S13_PSP_Species_Support!DA38))^0.976,0))/1000/$G51*W$108,0)</x:f>
        <x:v>471.7814904616817</x:v>
      </x:c>
      <x:c r="X51" s="147" t="n">
        <x:f aca="0">IFERROR((IFERROR(S13_PSP_Species_Support!U38*0.0673*(S13_PSP_Species_Support!V38*(S13_PSP_Species_Support!W38*(1-EXP(-S13_PSP_Species_Support!X38*15))^S13_PSP_Species_Support!Y38)^2*(S13_PSP_Species_Support!Z38*(1-EXP(-S13_PSP_Species_Support!AA38*15))^S13_PSP_Species_Support!AB38))^0.976,0)+IFERROR(S13_PSP_Species_Support!AF38*0.0673*(S13_PSP_Species_Support!AG38*(S13_PSP_Species_Support!AH38*(1-EXP(-S13_PSP_Species_Support!AI38*15))^S13_PSP_Species_Support!AJ38)^2*(S13_PSP_Species_Support!AK38*(1-EXP(-S13_PSP_Species_Support!AL38*15))^S13_PSP_Species_Support!AM38))^0.976,0)+IFERROR(S13_PSP_Species_Support!AQ38*0.0673*(S13_PSP_Species_Support!AR38*(S13_PSP_Species_Support!AS38*(1-EXP(-S13_PSP_Species_Support!AT38*15))^S13_PSP_Species_Support!AU38)^2*(S13_PSP_Species_Support!AV38*(1-EXP(-S13_PSP_Species_Support!AW38*15))^S13_PSP_Species_Support!AX38))^0.976,0)+IFERROR(S13_PSP_Species_Support!BB38*0.0673*(S13_PSP_Species_Support!BC38*(S13_PSP_Species_Support!BD38*(1-EXP(-S13_PSP_Species_Support!BE38*15))^S13_PSP_Species_Support!BF38)^2*(S13_PSP_Species_Support!BG38*(1-EXP(-S13_PSP_Species_Support!BH38*15))^S13_PSP_Species_Support!BI38))^0.976,0)+IFERROR(S13_PSP_Species_Support!BM38*0.0673*(S13_PSP_Species_Support!BN38*(S13_PSP_Species_Support!BO38*(1-EXP(-S13_PSP_Species_Support!BP38*15))^S13_PSP_Species_Support!BQ38)^2*(S13_PSP_Species_Support!BR38*(1-EXP(-S13_PSP_Species_Support!BS38*15))^S13_PSP_Species_Support!BT38))^0.976,0)+IFERROR(S13_PSP_Species_Support!BX38*0.0673*(S13_PSP_Species_Support!BY38*(S13_PSP_Species_Support!BZ38*(1-EXP(-S13_PSP_Species_Support!CA38*15))^S13_PSP_Species_Support!CB38)^2*(S13_PSP_Species_Support!CC38*(1-EXP(-S13_PSP_Species_Support!CD38*15))^S13_PSP_Species_Support!CE38))^0.976,0)+IFERROR(S13_PSP_Species_Support!CI38*0.0673*(S13_PSP_Species_Support!CJ38*(S13_PSP_Species_Support!CK38*(1-EXP(-S13_PSP_Species_Support!CL38*15))^S13_PSP_Species_Support!CM38)^2*(S13_PSP_Species_Support!CN38*(1-EXP(-S13_PSP_Species_Support!CO38*15))^S13_PSP_Species_Support!CP38))^0.976,0)+IFERROR(S13_PSP_Species_Support!CT38*0.0673*(S13_PSP_Species_Support!CU38*(S13_PSP_Species_Support!CV38*(1-EXP(-S13_PSP_Species_Support!CW38*15))^S13_PSP_Species_Support!CX38)^2*(S13_PSP_Species_Support!CY38*(1-EXP(-S13_PSP_Species_Support!CZ38*15))^S13_PSP_Species_Support!DA38))^0.976,0))/1000/$G51*X$108,0)</x:f>
        <x:v>513.4305815696347</x:v>
      </x:c>
      <x:c r="Y51" s="147" t="n">
        <x:f aca="0">IFERROR((IFERROR(S13_PSP_Species_Support!U38*0.0673*(S13_PSP_Species_Support!V38*(S13_PSP_Species_Support!W38*(1-EXP(-S13_PSP_Species_Support!X38*16))^S13_PSP_Species_Support!Y38)^2*(S13_PSP_Species_Support!Z38*(1-EXP(-S13_PSP_Species_Support!AA38*16))^S13_PSP_Species_Support!AB38))^0.976,0)+IFERROR(S13_PSP_Species_Support!AF38*0.0673*(S13_PSP_Species_Support!AG38*(S13_PSP_Species_Support!AH38*(1-EXP(-S13_PSP_Species_Support!AI38*16))^S13_PSP_Species_Support!AJ38)^2*(S13_PSP_Species_Support!AK38*(1-EXP(-S13_PSP_Species_Support!AL38*16))^S13_PSP_Species_Support!AM38))^0.976,0)+IFERROR(S13_PSP_Species_Support!AQ38*0.0673*(S13_PSP_Species_Support!AR38*(S13_PSP_Species_Support!AS38*(1-EXP(-S13_PSP_Species_Support!AT38*16))^S13_PSP_Species_Support!AU38)^2*(S13_PSP_Species_Support!AV38*(1-EXP(-S13_PSP_Species_Support!AW38*16))^S13_PSP_Species_Support!AX38))^0.976,0)+IFERROR(S13_PSP_Species_Support!BB38*0.0673*(S13_PSP_Species_Support!BC38*(S13_PSP_Species_Support!BD38*(1-EXP(-S13_PSP_Species_Support!BE38*16))^S13_PSP_Species_Support!BF38)^2*(S13_PSP_Species_Support!BG38*(1-EXP(-S13_PSP_Species_Support!BH38*16))^S13_PSP_Species_Support!BI38))^0.976,0)+IFERROR(S13_PSP_Species_Support!BM38*0.0673*(S13_PSP_Species_Support!BN38*(S13_PSP_Species_Support!BO38*(1-EXP(-S13_PSP_Species_Support!BP38*16))^S13_PSP_Species_Support!BQ38)^2*(S13_PSP_Species_Support!BR38*(1-EXP(-S13_PSP_Species_Support!BS38*16))^S13_PSP_Species_Support!BT38))^0.976,0)+IFERROR(S13_PSP_Species_Support!BX38*0.0673*(S13_PSP_Species_Support!BY38*(S13_PSP_Species_Support!BZ38*(1-EXP(-S13_PSP_Species_Support!CA38*16))^S13_PSP_Species_Support!CB38)^2*(S13_PSP_Species_Support!CC38*(1-EXP(-S13_PSP_Species_Support!CD38*16))^S13_PSP_Species_Support!CE38))^0.976,0)+IFERROR(S13_PSP_Species_Support!CI38*0.0673*(S13_PSP_Species_Support!CJ38*(S13_PSP_Species_Support!CK38*(1-EXP(-S13_PSP_Species_Support!CL38*16))^S13_PSP_Species_Support!CM38)^2*(S13_PSP_Species_Support!CN38*(1-EXP(-S13_PSP_Species_Support!CO38*16))^S13_PSP_Species_Support!CP38))^0.976,0)+IFERROR(S13_PSP_Species_Support!CT38*0.0673*(S13_PSP_Species_Support!CU38*(S13_PSP_Species_Support!CV38*(1-EXP(-S13_PSP_Species_Support!CW38*16))^S13_PSP_Species_Support!CX38)^2*(S13_PSP_Species_Support!CY38*(1-EXP(-S13_PSP_Species_Support!CZ38*16))^S13_PSP_Species_Support!DA38))^0.976,0))/1000/$G51*Y$108,0)</x:f>
        <x:v>551.9137048911444</x:v>
      </x:c>
      <x:c r="Z51" s="147" t="n">
        <x:f aca="0">IFERROR((IFERROR(S13_PSP_Species_Support!U38*0.0673*(S13_PSP_Species_Support!V38*(S13_PSP_Species_Support!W38*(1-EXP(-S13_PSP_Species_Support!X38*17))^S13_PSP_Species_Support!Y38)^2*(S13_PSP_Species_Support!Z38*(1-EXP(-S13_PSP_Species_Support!AA38*17))^S13_PSP_Species_Support!AB38))^0.976,0)+IFERROR(S13_PSP_Species_Support!AF38*0.0673*(S13_PSP_Species_Support!AG38*(S13_PSP_Species_Support!AH38*(1-EXP(-S13_PSP_Species_Support!AI38*17))^S13_PSP_Species_Support!AJ38)^2*(S13_PSP_Species_Support!AK38*(1-EXP(-S13_PSP_Species_Support!AL38*17))^S13_PSP_Species_Support!AM38))^0.976,0)+IFERROR(S13_PSP_Species_Support!AQ38*0.0673*(S13_PSP_Species_Support!AR38*(S13_PSP_Species_Support!AS38*(1-EXP(-S13_PSP_Species_Support!AT38*17))^S13_PSP_Species_Support!AU38)^2*(S13_PSP_Species_Support!AV38*(1-EXP(-S13_PSP_Species_Support!AW38*17))^S13_PSP_Species_Support!AX38))^0.976,0)+IFERROR(S13_PSP_Species_Support!BB38*0.0673*(S13_PSP_Species_Support!BC38*(S13_PSP_Species_Support!BD38*(1-EXP(-S13_PSP_Species_Support!BE38*17))^S13_PSP_Species_Support!BF38)^2*(S13_PSP_Species_Support!BG38*(1-EXP(-S13_PSP_Species_Support!BH38*17))^S13_PSP_Species_Support!BI38))^0.976,0)+IFERROR(S13_PSP_Species_Support!BM38*0.0673*(S13_PSP_Species_Support!BN38*(S13_PSP_Species_Support!BO38*(1-EXP(-S13_PSP_Species_Support!BP38*17))^S13_PSP_Species_Support!BQ38)^2*(S13_PSP_Species_Support!BR38*(1-EXP(-S13_PSP_Species_Support!BS38*17))^S13_PSP_Species_Support!BT38))^0.976,0)+IFERROR(S13_PSP_Species_Support!BX38*0.0673*(S13_PSP_Species_Support!BY38*(S13_PSP_Species_Support!BZ38*(1-EXP(-S13_PSP_Species_Support!CA38*17))^S13_PSP_Species_Support!CB38)^2*(S13_PSP_Species_Support!CC38*(1-EXP(-S13_PSP_Species_Support!CD38*17))^S13_PSP_Species_Support!CE38))^0.976,0)+IFERROR(S13_PSP_Species_Support!CI38*0.0673*(S13_PSP_Species_Support!CJ38*(S13_PSP_Species_Support!CK38*(1-EXP(-S13_PSP_Species_Support!CL38*17))^S13_PSP_Species_Support!CM38)^2*(S13_PSP_Species_Support!CN38*(1-EXP(-S13_PSP_Species_Support!CO38*17))^S13_PSP_Species_Support!CP38))^0.976,0)+IFERROR(S13_PSP_Species_Support!CT38*0.0673*(S13_PSP_Species_Support!CU38*(S13_PSP_Species_Support!CV38*(1-EXP(-S13_PSP_Species_Support!CW38*17))^S13_PSP_Species_Support!CX38)^2*(S13_PSP_Species_Support!CY38*(1-EXP(-S13_PSP_Species_Support!CZ38*17))^S13_PSP_Species_Support!DA38))^0.976,0))/1000/$G51*Z$108,0)</x:f>
        <x:v>587.1873931643495</x:v>
      </x:c>
      <x:c r="AA51" s="147" t="n">
        <x:f aca="0">IFERROR((IFERROR(S13_PSP_Species_Support!U38*0.0673*(S13_PSP_Species_Support!V38*(S13_PSP_Species_Support!W38*(1-EXP(-S13_PSP_Species_Support!X38*18))^S13_PSP_Species_Support!Y38)^2*(S13_PSP_Species_Support!Z38*(1-EXP(-S13_PSP_Species_Support!AA38*18))^S13_PSP_Species_Support!AB38))^0.976,0)+IFERROR(S13_PSP_Species_Support!AF38*0.0673*(S13_PSP_Species_Support!AG38*(S13_PSP_Species_Support!AH38*(1-EXP(-S13_PSP_Species_Support!AI38*18))^S13_PSP_Species_Support!AJ38)^2*(S13_PSP_Species_Support!AK38*(1-EXP(-S13_PSP_Species_Support!AL38*18))^S13_PSP_Species_Support!AM38))^0.976,0)+IFERROR(S13_PSP_Species_Support!AQ38*0.0673*(S13_PSP_Species_Support!AR38*(S13_PSP_Species_Support!AS38*(1-EXP(-S13_PSP_Species_Support!AT38*18))^S13_PSP_Species_Support!AU38)^2*(S13_PSP_Species_Support!AV38*(1-EXP(-S13_PSP_Species_Support!AW38*18))^S13_PSP_Species_Support!AX38))^0.976,0)+IFERROR(S13_PSP_Species_Support!BB38*0.0673*(S13_PSP_Species_Support!BC38*(S13_PSP_Species_Support!BD38*(1-EXP(-S13_PSP_Species_Support!BE38*18))^S13_PSP_Species_Support!BF38)^2*(S13_PSP_Species_Support!BG38*(1-EXP(-S13_PSP_Species_Support!BH38*18))^S13_PSP_Species_Support!BI38))^0.976,0)+IFERROR(S13_PSP_Species_Support!BM38*0.0673*(S13_PSP_Species_Support!BN38*(S13_PSP_Species_Support!BO38*(1-EXP(-S13_PSP_Species_Support!BP38*18))^S13_PSP_Species_Support!BQ38)^2*(S13_PSP_Species_Support!BR38*(1-EXP(-S13_PSP_Species_Support!BS38*18))^S13_PSP_Species_Support!BT38))^0.976,0)+IFERROR(S13_PSP_Species_Support!BX38*0.0673*(S13_PSP_Species_Support!BY38*(S13_PSP_Species_Support!BZ38*(1-EXP(-S13_PSP_Species_Support!CA38*18))^S13_PSP_Species_Support!CB38)^2*(S13_PSP_Species_Support!CC38*(1-EXP(-S13_PSP_Species_Support!CD38*18))^S13_PSP_Species_Support!CE38))^0.976,0)+IFERROR(S13_PSP_Species_Support!CI38*0.0673*(S13_PSP_Species_Support!CJ38*(S13_PSP_Species_Support!CK38*(1-EXP(-S13_PSP_Species_Support!CL38*18))^S13_PSP_Species_Support!CM38)^2*(S13_PSP_Species_Support!CN38*(1-EXP(-S13_PSP_Species_Support!CO38*18))^S13_PSP_Species_Support!CP38))^0.976,0)+IFERROR(S13_PSP_Species_Support!CT38*0.0673*(S13_PSP_Species_Support!CU38*(S13_PSP_Species_Support!CV38*(1-EXP(-S13_PSP_Species_Support!CW38*18))^S13_PSP_Species_Support!CX38)^2*(S13_PSP_Species_Support!CY38*(1-EXP(-S13_PSP_Species_Support!CZ38*18))^S13_PSP_Species_Support!DA38))^0.976,0))/1000/$G51*AA$108,0)</x:f>
        <x:v>619.3044263996267</x:v>
      </x:c>
      <x:c r="AB51" s="147" t="n">
        <x:f aca="0">IFERROR((IFERROR(S13_PSP_Species_Support!U38*0.0673*(S13_PSP_Species_Support!V38*(S13_PSP_Species_Support!W38*(1-EXP(-S13_PSP_Species_Support!X38*19))^S13_PSP_Species_Support!Y38)^2*(S13_PSP_Species_Support!Z38*(1-EXP(-S13_PSP_Species_Support!AA38*19))^S13_PSP_Species_Support!AB38))^0.976,0)+IFERROR(S13_PSP_Species_Support!AF38*0.0673*(S13_PSP_Species_Support!AG38*(S13_PSP_Species_Support!AH38*(1-EXP(-S13_PSP_Species_Support!AI38*19))^S13_PSP_Species_Support!AJ38)^2*(S13_PSP_Species_Support!AK38*(1-EXP(-S13_PSP_Species_Support!AL38*19))^S13_PSP_Species_Support!AM38))^0.976,0)+IFERROR(S13_PSP_Species_Support!AQ38*0.0673*(S13_PSP_Species_Support!AR38*(S13_PSP_Species_Support!AS38*(1-EXP(-S13_PSP_Species_Support!AT38*19))^S13_PSP_Species_Support!AU38)^2*(S13_PSP_Species_Support!AV38*(1-EXP(-S13_PSP_Species_Support!AW38*19))^S13_PSP_Species_Support!AX38))^0.976,0)+IFERROR(S13_PSP_Species_Support!BB38*0.0673*(S13_PSP_Species_Support!BC38*(S13_PSP_Species_Support!BD38*(1-EXP(-S13_PSP_Species_Support!BE38*19))^S13_PSP_Species_Support!BF38)^2*(S13_PSP_Species_Support!BG38*(1-EXP(-S13_PSP_Species_Support!BH38*19))^S13_PSP_Species_Support!BI38))^0.976,0)+IFERROR(S13_PSP_Species_Support!BM38*0.0673*(S13_PSP_Species_Support!BN38*(S13_PSP_Species_Support!BO38*(1-EXP(-S13_PSP_Species_Support!BP38*19))^S13_PSP_Species_Support!BQ38)^2*(S13_PSP_Species_Support!BR38*(1-EXP(-S13_PSP_Species_Support!BS38*19))^S13_PSP_Species_Support!BT38))^0.976,0)+IFERROR(S13_PSP_Species_Support!BX38*0.0673*(S13_PSP_Species_Support!BY38*(S13_PSP_Species_Support!BZ38*(1-EXP(-S13_PSP_Species_Support!CA38*19))^S13_PSP_Species_Support!CB38)^2*(S13_PSP_Species_Support!CC38*(1-EXP(-S13_PSP_Species_Support!CD38*19))^S13_PSP_Species_Support!CE38))^0.976,0)+IFERROR(S13_PSP_Species_Support!CI38*0.0673*(S13_PSP_Species_Support!CJ38*(S13_PSP_Species_Support!CK38*(1-EXP(-S13_PSP_Species_Support!CL38*19))^S13_PSP_Species_Support!CM38)^2*(S13_PSP_Species_Support!CN38*(1-EXP(-S13_PSP_Species_Support!CO38*19))^S13_PSP_Species_Support!CP38))^0.976,0)+IFERROR(S13_PSP_Species_Support!CT38*0.0673*(S13_PSP_Species_Support!CU38*(S13_PSP_Species_Support!CV38*(1-EXP(-S13_PSP_Species_Support!CW38*19))^S13_PSP_Species_Support!CX38)^2*(S13_PSP_Species_Support!CY38*(1-EXP(-S13_PSP_Species_Support!CZ38*19))^S13_PSP_Species_Support!DA38))^0.976,0))/1000/$G51*AB$108,0)</x:f>
        <x:v>648.3850800129474</x:v>
      </x:c>
      <x:c r="AC51" s="147" t="n">
        <x:f aca="0">IFERROR((IFERROR(S13_PSP_Species_Support!U38*0.0673*(S13_PSP_Species_Support!V38*(S13_PSP_Species_Support!W38*(1-EXP(-S13_PSP_Species_Support!X38*20))^S13_PSP_Species_Support!Y38)^2*(S13_PSP_Species_Support!Z38*(1-EXP(-S13_PSP_Species_Support!AA38*20))^S13_PSP_Species_Support!AB38))^0.976,0)+IFERROR(S13_PSP_Species_Support!AF38*0.0673*(S13_PSP_Species_Support!AG38*(S13_PSP_Species_Support!AH38*(1-EXP(-S13_PSP_Species_Support!AI38*20))^S13_PSP_Species_Support!AJ38)^2*(S13_PSP_Species_Support!AK38*(1-EXP(-S13_PSP_Species_Support!AL38*20))^S13_PSP_Species_Support!AM38))^0.976,0)+IFERROR(S13_PSP_Species_Support!AQ38*0.0673*(S13_PSP_Species_Support!AR38*(S13_PSP_Species_Support!AS38*(1-EXP(-S13_PSP_Species_Support!AT38*20))^S13_PSP_Species_Support!AU38)^2*(S13_PSP_Species_Support!AV38*(1-EXP(-S13_PSP_Species_Support!AW38*20))^S13_PSP_Species_Support!AX38))^0.976,0)+IFERROR(S13_PSP_Species_Support!BB38*0.0673*(S13_PSP_Species_Support!BC38*(S13_PSP_Species_Support!BD38*(1-EXP(-S13_PSP_Species_Support!BE38*20))^S13_PSP_Species_Support!BF38)^2*(S13_PSP_Species_Support!BG38*(1-EXP(-S13_PSP_Species_Support!BH38*20))^S13_PSP_Species_Support!BI38))^0.976,0)+IFERROR(S13_PSP_Species_Support!BM38*0.0673*(S13_PSP_Species_Support!BN38*(S13_PSP_Species_Support!BO38*(1-EXP(-S13_PSP_Species_Support!BP38*20))^S13_PSP_Species_Support!BQ38)^2*(S13_PSP_Species_Support!BR38*(1-EXP(-S13_PSP_Species_Support!BS38*20))^S13_PSP_Species_Support!BT38))^0.976,0)+IFERROR(S13_PSP_Species_Support!BX38*0.0673*(S13_PSP_Species_Support!BY38*(S13_PSP_Species_Support!BZ38*(1-EXP(-S13_PSP_Species_Support!CA38*20))^S13_PSP_Species_Support!CB38)^2*(S13_PSP_Species_Support!CC38*(1-EXP(-S13_PSP_Species_Support!CD38*20))^S13_PSP_Species_Support!CE38))^0.976,0)+IFERROR(S13_PSP_Species_Support!CI38*0.0673*(S13_PSP_Species_Support!CJ38*(S13_PSP_Species_Support!CK38*(1-EXP(-S13_PSP_Species_Support!CL38*20))^S13_PSP_Species_Support!CM38)^2*(S13_PSP_Species_Support!CN38*(1-EXP(-S13_PSP_Species_Support!CO38*20))^S13_PSP_Species_Support!CP38))^0.976,0)+IFERROR(S13_PSP_Species_Support!CT38*0.0673*(S13_PSP_Species_Support!CU38*(S13_PSP_Species_Support!CV38*(1-EXP(-S13_PSP_Species_Support!CW38*20))^S13_PSP_Species_Support!CX38)^2*(S13_PSP_Species_Support!CY38*(1-EXP(-S13_PSP_Species_Support!CZ38*20))^S13_PSP_Species_Support!DA38))^0.976,0))/1000/$G51*AC$108,0)</x:f>
        <x:v>674.5941829660063</x:v>
      </x:c>
      <x:c r="AD51" s="148" t="n">
        <x:f aca="0">IF(2020&lt;$F51,0,INDEX($I51:$AC51,1,2020-$F51+1))</x:f>
        <x:v>0</x:v>
      </x:c>
      <x:c r="AE51" s="148" t="n">
        <x:f aca="0">IF(2021&lt;$F51,0,INDEX($I51:$AC51,1,2021-$F51+1))</x:f>
        <x:v>0</x:v>
      </x:c>
      <x:c r="AF51" s="148" t="n">
        <x:f aca="0">IF(2022&lt;$F51,0,INDEX($I51:$AC51,1,2022-$F51+1))</x:f>
        <x:v>0.2678215822064095</x:v>
      </x:c>
      <x:c r="AG51" s="148" t="n">
        <x:f aca="0">IF(2023&lt;$F51,0,INDEX($I51:$AC51,1,2023-$F51+1))</x:f>
        <x:v>3.1917630886093726</x:v>
      </x:c>
      <x:c r="AH51" s="148" t="n">
        <x:f aca="0">IF(2024&lt;$F51,0,INDEX($I51:$AC51,1,2024-$F51+1))</x:f>
        <x:v>12.238338800334008</x:v>
      </x:c>
      <x:c r="AI51" s="148" t="n">
        <x:f aca="0">IF(2025&lt;$F51,0,INDEX($I51:$AC51,1,2025-$F51+1))</x:f>
        <x:v>29.793369851981627</x:v>
      </x:c>
      <x:c r="AJ51" s="148" t="n">
        <x:f aca="0">IF(2026&lt;$F51,0,INDEX($I51:$AC51,1,2026-$F51+1))</x:f>
        <x:v>56.4108624286688</x:v>
      </x:c>
      <x:c r="AK51" s="148" t="n">
        <x:f aca="0">IF(2027&lt;$F51,0,INDEX($I51:$AC51,1,2027-$F51+1))</x:f>
        <x:v>91.33451123948981</x:v>
      </x:c>
      <x:c r="AL51" s="148" t="n">
        <x:f aca="0">IF(2028&lt;$F51,0,INDEX($I51:$AC51,1,2028-$F51+1))</x:f>
        <x:v>133.00957532149408</x:v>
      </x:c>
      <x:c r="AM51" s="148" t="n">
        <x:f aca="0">IF(2029&lt;$F51,0,INDEX($I51:$AC51,1,2029-$F51+1))</x:f>
        <x:v>179.5500584788864</x:v>
      </x:c>
      <x:c r="AN51" s="148" t="n">
        <x:f aca="0">IF(2030&lt;$F51,0,INDEX($I51:$AC51,1,2030-$F51+1))</x:f>
        <x:v>229.06454781066049</x:v>
      </x:c>
      <x:c r="AO51" s="148" t="n">
        <x:f aca="0">IF(2031&lt;$F51,0,INDEX($I51:$AC51,1,2031-$F51+1))</x:f>
        <x:v>279.8498887526674</x:v>
      </x:c>
      <x:c r="AP51" s="148" t="n">
        <x:f aca="0">IF(2032&lt;$F51,0,INDEX($I51:$AC51,1,2032-$F51+1))</x:f>
        <x:v>330.48456501165487</x:v>
      </x:c>
      <x:c r="AQ51" s="148" t="n">
        <x:f aca="0">IF(2033&lt;$F51,0,INDEX($I51:$AC51,1,2033-$F51+1))</x:f>
        <x:v>379.85489779156995</x:v>
      </x:c>
      <x:c r="AR51" s="148" t="n">
        <x:f aca="0">IF(2034&lt;$F51,0,INDEX($I51:$AC51,1,2034-$F51+1))</x:f>
        <x:v>427.14095649622914</x:v>
      </x:c>
      <x:c r="AS51" s="148" t="n">
        <x:f aca="0">IF(2035&lt;$F51,0,INDEX($I51:$AC51,1,2035-$F51+1))</x:f>
        <x:v>471.7814904616817</x:v>
      </x:c>
      <x:c r="AT51" s="148" t="n">
        <x:f aca="0">IF(2036&lt;$F51,0,INDEX($I51:$AC51,1,2036-$F51+1))</x:f>
        <x:v>513.4305815696347</x:v>
      </x:c>
      <x:c r="AU51" s="148" t="n">
        <x:f aca="0">IF(2037&lt;$F51,0,INDEX($I51:$AC51,1,2037-$F51+1))</x:f>
        <x:v>551.9137048911444</x:v>
      </x:c>
      <x:c r="AV51" s="148" t="n">
        <x:f aca="0">IF(2038&lt;$F51,0,INDEX($I51:$AC51,1,2038-$F51+1))</x:f>
        <x:v>587.1873931643495</x:v>
      </x:c>
      <x:c r="AW51" s="148" t="n">
        <x:f aca="0">IF(2039&lt;$F51,0,INDEX($I51:$AC51,1,2039-$F51+1))</x:f>
        <x:v>619.3044263996267</x:v>
      </x:c>
      <x:c r="AX51" s="148" t="n">
        <x:f aca="0">IF(2040&lt;$F51,0,INDEX($I51:$AC51,1,2040-$F51+1))</x:f>
        <x:v>648.3850800129474</x:v>
      </x:c>
      <x:c r="AY51" s="1" t="str">
        <x:f aca="0">LEFT($C51,FIND("@",SUBSTITUTE($C51,"|","@",2))-1)</x:f>
        <x:v>Mixed Agroforestry|Medium</x:v>
      </x:c>
      <x:c r="AZ51" s="1" t="str">
        <x:f aca="0">LEFT($C51,FIND("|",$C51)-1)</x:f>
        <x:v>Mixed Agroforestry</x:v>
      </x:c>
      <x:c r="BA51" s="149" t="n">
        <x:f aca="0">I51*I51</x:f>
        <x:v>0</x:v>
      </x:c>
      <x:c r="BB51" s="149" t="n">
        <x:f aca="0">J51*J51</x:f>
        <x:v>0.07172839989554457</x:v>
      </x:c>
      <x:c r="BC51" s="149" t="n">
        <x:f aca="0">K51*K51</x:f>
        <x:v>10.187351613809241</x:v>
      </x:c>
      <x:c r="BD51" s="149" t="n">
        <x:f aca="0">L51*L51</x:f>
        <x:v>149.77693659176083</x:v>
      </x:c>
      <x:c r="BE51" s="149" t="n">
        <x:f aca="0">M51*M51</x:f>
        <x:v>887.6448871369677</x:v>
      </x:c>
      <x:c r="BF51" s="149" t="n">
        <x:f aca="0">N51*N51</x:f>
        <x:v>3182.1853999461973</x:v>
      </x:c>
      <x:c r="BG51" s="149" t="n">
        <x:f aca="0">O51*O51</x:f>
        <x:v>8341.99294335649</x:v>
      </x:c>
      <x:c r="BH51" s="149" t="n">
        <x:f aca="0">P51*P51</x:f>
        <x:v>17691.54712720421</x:v>
      </x:c>
      <x:c r="BI51" s="149" t="n">
        <x:f aca="0">Q51*Q51</x:f>
        <x:v>32238.223499771524</x:v>
      </x:c>
      <x:c r="BJ51" s="149" t="n">
        <x:f aca="0">R51*R51</x:f>
        <x:v>52470.567063702365</x:v>
      </x:c>
      <x:c r="BK51" s="149" t="n">
        <x:f aca="0">S51*S51</x:f>
        <x:v>78315.96023488033</x:v>
      </x:c>
      <x:c r="BL51" s="149" t="n">
        <x:f aca="0">T51*T51</x:f>
        <x:v>109220.04771094273</x:v>
      </x:c>
      <x:c r="BM51" s="149" t="n">
        <x:f aca="0">U51*U51</x:f>
        <x:v>144289.74337624406</x:v>
      </x:c>
      <x:c r="BN51" s="149" t="n">
        <x:f aca="0">V51*V51</x:f>
        <x:v>182449.39671651353</x:v>
      </x:c>
      <x:c r="BO51" s="149" t="n">
        <x:f aca="0">W51*W51</x:f>
        <x:v>222577.77474224585</x:v>
      </x:c>
      <x:c r="BP51" s="149" t="n">
        <x:f aca="0">X51*X51</x:f>
        <x:v>263610.9620909333</x:v>
      </x:c>
      <x:c r="BQ51" s="149" t="n">
        <x:f aca="0">Y51*Y51</x:f>
        <x:v>304608.73764666927</x:v>
      </x:c>
      <x:c r="BR51" s="149" t="n">
        <x:f aca="0">Z51*Z51</x:f>
        <x:v>344789.03469114436</x:v>
      </x:c>
      <x:c r="BS51" s="149" t="n">
        <x:f aca="0">AA51*AA51</x:f>
        <x:v>383537.9725581706</x:v>
      </x:c>
      <x:c r="BT51" s="149" t="n">
        <x:f aca="0">AB51*AB51</x:f>
        <x:v>420403.21198339615</x:v>
      </x:c>
      <x:c r="BU51" s="149" t="n">
        <x:f aca="0">AC51*AC51</x:f>
        <x:v>455077.3116915736</x:v>
      </x:c>
    </x:row>
    <x:row r="52" ht="15" hidden="0" customHeight="1">
      <x:c r="A52" s="1" t="str">
        <x:f aca="0">S13_PSP_Species_Support!A39</x:f>
        <x:v>PSP-MA-006</x:v>
      </x:c>
      <x:c r="B52" s="1" t="n">
        <x:f aca="0">39</x:f>
        <x:v>39</x:v>
      </x:c>
      <x:c r="C52" s="1" t="str">
        <x:f aca="0">S13_PSP_Species_Support!I39</x:f>
        <x:v>Mixed Agroforestry|High|2022</x:v>
      </x:c>
      <x:c r="D52" s="1" t="str">
        <x:f aca="0">S13_PSP_Species_Support!C39</x:f>
        <x:v>Mixed Agroforestry Model</x:v>
      </x:c>
      <x:c r="E52" s="1" t="str">
        <x:f aca="0">S13_PSP_Species_Support!D39</x:f>
        <x:v>High</x:v>
      </x:c>
      <x:c r="F52" s="1" t="n">
        <x:f aca="0">S13_PSP_Species_Support!E39</x:f>
        <x:v>2022</x:v>
      </x:c>
      <x:c r="G52" s="645" t="n">
        <x:f aca="0">'S13_PSP_Species_Support'!DJ39</x:f>
        <x:v>0.09</x:v>
      </x:c>
      <x:c r="H52" s="714" t="n">
        <x:f aca="0">'S13_PSP_Species_Support'!DK39</x:f>
        <x:v>190.04602991944765</x:v>
      </x:c>
      <x:c r="I52" s="147" t="n">
        <x:f aca="0">IFERROR((IFERROR(S13_PSP_Species_Support!U39*0.0673*(S13_PSP_Species_Support!V39*(S13_PSP_Species_Support!W39*(1-EXP(-S13_PSP_Species_Support!X39*0))^S13_PSP_Species_Support!Y39)^2*(S13_PSP_Species_Support!Z39*(1-EXP(-S13_PSP_Species_Support!AA39*0))^S13_PSP_Species_Support!AB39))^0.976,0)+IFERROR(S13_PSP_Species_Support!AF39*0.0673*(S13_PSP_Species_Support!AG39*(S13_PSP_Species_Support!AH39*(1-EXP(-S13_PSP_Species_Support!AI39*0))^S13_PSP_Species_Support!AJ39)^2*(S13_PSP_Species_Support!AK39*(1-EXP(-S13_PSP_Species_Support!AL39*0))^S13_PSP_Species_Support!AM39))^0.976,0)+IFERROR(S13_PSP_Species_Support!AQ39*0.0673*(S13_PSP_Species_Support!AR39*(S13_PSP_Species_Support!AS39*(1-EXP(-S13_PSP_Species_Support!AT39*0))^S13_PSP_Species_Support!AU39)^2*(S13_PSP_Species_Support!AV39*(1-EXP(-S13_PSP_Species_Support!AW39*0))^S13_PSP_Species_Support!AX39))^0.976,0)+IFERROR(S13_PSP_Species_Support!BB39*0.0673*(S13_PSP_Species_Support!BC39*(S13_PSP_Species_Support!BD39*(1-EXP(-S13_PSP_Species_Support!BE39*0))^S13_PSP_Species_Support!BF39)^2*(S13_PSP_Species_Support!BG39*(1-EXP(-S13_PSP_Species_Support!BH39*0))^S13_PSP_Species_Support!BI39))^0.976,0)+IFERROR(S13_PSP_Species_Support!BM39*0.0673*(S13_PSP_Species_Support!BN39*(S13_PSP_Species_Support!BO39*(1-EXP(-S13_PSP_Species_Support!BP39*0))^S13_PSP_Species_Support!BQ39)^2*(S13_PSP_Species_Support!BR39*(1-EXP(-S13_PSP_Species_Support!BS39*0))^S13_PSP_Species_Support!BT39))^0.976,0)+IFERROR(S13_PSP_Species_Support!BX39*0.0673*(S13_PSP_Species_Support!BY39*(S13_PSP_Species_Support!BZ39*(1-EXP(-S13_PSP_Species_Support!CA39*0))^S13_PSP_Species_Support!CB39)^2*(S13_PSP_Species_Support!CC39*(1-EXP(-S13_PSP_Species_Support!CD39*0))^S13_PSP_Species_Support!CE39))^0.976,0)+IFERROR(S13_PSP_Species_Support!CI39*0.0673*(S13_PSP_Species_Support!CJ39*(S13_PSP_Species_Support!CK39*(1-EXP(-S13_PSP_Species_Support!CL39*0))^S13_PSP_Species_Support!CM39)^2*(S13_PSP_Species_Support!CN39*(1-EXP(-S13_PSP_Species_Support!CO39*0))^S13_PSP_Species_Support!CP39))^0.976,0)+IFERROR(S13_PSP_Species_Support!CT39*0.0673*(S13_PSP_Species_Support!CU39*(S13_PSP_Species_Support!CV39*(1-EXP(-S13_PSP_Species_Support!CW39*0))^S13_PSP_Species_Support!CX39)^2*(S13_PSP_Species_Support!CY39*(1-EXP(-S13_PSP_Species_Support!CZ39*0))^S13_PSP_Species_Support!DA39))^0.976,0))/1000/$G52*I$108,0)</x:f>
        <x:v>0</x:v>
      </x:c>
      <x:c r="J52" s="147" t="n">
        <x:f aca="0">IFERROR((IFERROR(S13_PSP_Species_Support!U39*0.0673*(S13_PSP_Species_Support!V39*(S13_PSP_Species_Support!W39*(1-EXP(-S13_PSP_Species_Support!X39*1))^S13_PSP_Species_Support!Y39)^2*(S13_PSP_Species_Support!Z39*(1-EXP(-S13_PSP_Species_Support!AA39*1))^S13_PSP_Species_Support!AB39))^0.976,0)+IFERROR(S13_PSP_Species_Support!AF39*0.0673*(S13_PSP_Species_Support!AG39*(S13_PSP_Species_Support!AH39*(1-EXP(-S13_PSP_Species_Support!AI39*1))^S13_PSP_Species_Support!AJ39)^2*(S13_PSP_Species_Support!AK39*(1-EXP(-S13_PSP_Species_Support!AL39*1))^S13_PSP_Species_Support!AM39))^0.976,0)+IFERROR(S13_PSP_Species_Support!AQ39*0.0673*(S13_PSP_Species_Support!AR39*(S13_PSP_Species_Support!AS39*(1-EXP(-S13_PSP_Species_Support!AT39*1))^S13_PSP_Species_Support!AU39)^2*(S13_PSP_Species_Support!AV39*(1-EXP(-S13_PSP_Species_Support!AW39*1))^S13_PSP_Species_Support!AX39))^0.976,0)+IFERROR(S13_PSP_Species_Support!BB39*0.0673*(S13_PSP_Species_Support!BC39*(S13_PSP_Species_Support!BD39*(1-EXP(-S13_PSP_Species_Support!BE39*1))^S13_PSP_Species_Support!BF39)^2*(S13_PSP_Species_Support!BG39*(1-EXP(-S13_PSP_Species_Support!BH39*1))^S13_PSP_Species_Support!BI39))^0.976,0)+IFERROR(S13_PSP_Species_Support!BM39*0.0673*(S13_PSP_Species_Support!BN39*(S13_PSP_Species_Support!BO39*(1-EXP(-S13_PSP_Species_Support!BP39*1))^S13_PSP_Species_Support!BQ39)^2*(S13_PSP_Species_Support!BR39*(1-EXP(-S13_PSP_Species_Support!BS39*1))^S13_PSP_Species_Support!BT39))^0.976,0)+IFERROR(S13_PSP_Species_Support!BX39*0.0673*(S13_PSP_Species_Support!BY39*(S13_PSP_Species_Support!BZ39*(1-EXP(-S13_PSP_Species_Support!CA39*1))^S13_PSP_Species_Support!CB39)^2*(S13_PSP_Species_Support!CC39*(1-EXP(-S13_PSP_Species_Support!CD39*1))^S13_PSP_Species_Support!CE39))^0.976,0)+IFERROR(S13_PSP_Species_Support!CI39*0.0673*(S13_PSP_Species_Support!CJ39*(S13_PSP_Species_Support!CK39*(1-EXP(-S13_PSP_Species_Support!CL39*1))^S13_PSP_Species_Support!CM39)^2*(S13_PSP_Species_Support!CN39*(1-EXP(-S13_PSP_Species_Support!CO39*1))^S13_PSP_Species_Support!CP39))^0.976,0)+IFERROR(S13_PSP_Species_Support!CT39*0.0673*(S13_PSP_Species_Support!CU39*(S13_PSP_Species_Support!CV39*(1-EXP(-S13_PSP_Species_Support!CW39*1))^S13_PSP_Species_Support!CX39)^2*(S13_PSP_Species_Support!CY39*(1-EXP(-S13_PSP_Species_Support!CZ39*1))^S13_PSP_Species_Support!DA39))^0.976,0))/1000/$G52*J$108,0)</x:f>
        <x:v>0.12118901733511145</x:v>
      </x:c>
      <x:c r="K52" s="147" t="n">
        <x:f aca="0">IFERROR((IFERROR(S13_PSP_Species_Support!U39*0.0673*(S13_PSP_Species_Support!V39*(S13_PSP_Species_Support!W39*(1-EXP(-S13_PSP_Species_Support!X39*2))^S13_PSP_Species_Support!Y39)^2*(S13_PSP_Species_Support!Z39*(1-EXP(-S13_PSP_Species_Support!AA39*2))^S13_PSP_Species_Support!AB39))^0.976,0)+IFERROR(S13_PSP_Species_Support!AF39*0.0673*(S13_PSP_Species_Support!AG39*(S13_PSP_Species_Support!AH39*(1-EXP(-S13_PSP_Species_Support!AI39*2))^S13_PSP_Species_Support!AJ39)^2*(S13_PSP_Species_Support!AK39*(1-EXP(-S13_PSP_Species_Support!AL39*2))^S13_PSP_Species_Support!AM39))^0.976,0)+IFERROR(S13_PSP_Species_Support!AQ39*0.0673*(S13_PSP_Species_Support!AR39*(S13_PSP_Species_Support!AS39*(1-EXP(-S13_PSP_Species_Support!AT39*2))^S13_PSP_Species_Support!AU39)^2*(S13_PSP_Species_Support!AV39*(1-EXP(-S13_PSP_Species_Support!AW39*2))^S13_PSP_Species_Support!AX39))^0.976,0)+IFERROR(S13_PSP_Species_Support!BB39*0.0673*(S13_PSP_Species_Support!BC39*(S13_PSP_Species_Support!BD39*(1-EXP(-S13_PSP_Species_Support!BE39*2))^S13_PSP_Species_Support!BF39)^2*(S13_PSP_Species_Support!BG39*(1-EXP(-S13_PSP_Species_Support!BH39*2))^S13_PSP_Species_Support!BI39))^0.976,0)+IFERROR(S13_PSP_Species_Support!BM39*0.0673*(S13_PSP_Species_Support!BN39*(S13_PSP_Species_Support!BO39*(1-EXP(-S13_PSP_Species_Support!BP39*2))^S13_PSP_Species_Support!BQ39)^2*(S13_PSP_Species_Support!BR39*(1-EXP(-S13_PSP_Species_Support!BS39*2))^S13_PSP_Species_Support!BT39))^0.976,0)+IFERROR(S13_PSP_Species_Support!BX39*0.0673*(S13_PSP_Species_Support!BY39*(S13_PSP_Species_Support!BZ39*(1-EXP(-S13_PSP_Species_Support!CA39*2))^S13_PSP_Species_Support!CB39)^2*(S13_PSP_Species_Support!CC39*(1-EXP(-S13_PSP_Species_Support!CD39*2))^S13_PSP_Species_Support!CE39))^0.976,0)+IFERROR(S13_PSP_Species_Support!CI39*0.0673*(S13_PSP_Species_Support!CJ39*(S13_PSP_Species_Support!CK39*(1-EXP(-S13_PSP_Species_Support!CL39*2))^S13_PSP_Species_Support!CM39)^2*(S13_PSP_Species_Support!CN39*(1-EXP(-S13_PSP_Species_Support!CO39*2))^S13_PSP_Species_Support!CP39))^0.976,0)+IFERROR(S13_PSP_Species_Support!CT39*0.0673*(S13_PSP_Species_Support!CU39*(S13_PSP_Species_Support!CV39*(1-EXP(-S13_PSP_Species_Support!CW39*2))^S13_PSP_Species_Support!CX39)^2*(S13_PSP_Species_Support!CY39*(1-EXP(-S13_PSP_Species_Support!CZ39*2))^S13_PSP_Species_Support!DA39))^0.976,0))/1000/$G52*K$108,0)</x:f>
        <x:v>1.5365915006716209</x:v>
      </x:c>
      <x:c r="L52" s="147" t="n">
        <x:f aca="0">IFERROR((IFERROR(S13_PSP_Species_Support!U39*0.0673*(S13_PSP_Species_Support!V39*(S13_PSP_Species_Support!W39*(1-EXP(-S13_PSP_Species_Support!X39*3))^S13_PSP_Species_Support!Y39)^2*(S13_PSP_Species_Support!Z39*(1-EXP(-S13_PSP_Species_Support!AA39*3))^S13_PSP_Species_Support!AB39))^0.976,0)+IFERROR(S13_PSP_Species_Support!AF39*0.0673*(S13_PSP_Species_Support!AG39*(S13_PSP_Species_Support!AH39*(1-EXP(-S13_PSP_Species_Support!AI39*3))^S13_PSP_Species_Support!AJ39)^2*(S13_PSP_Species_Support!AK39*(1-EXP(-S13_PSP_Species_Support!AL39*3))^S13_PSP_Species_Support!AM39))^0.976,0)+IFERROR(S13_PSP_Species_Support!AQ39*0.0673*(S13_PSP_Species_Support!AR39*(S13_PSP_Species_Support!AS39*(1-EXP(-S13_PSP_Species_Support!AT39*3))^S13_PSP_Species_Support!AU39)^2*(S13_PSP_Species_Support!AV39*(1-EXP(-S13_PSP_Species_Support!AW39*3))^S13_PSP_Species_Support!AX39))^0.976,0)+IFERROR(S13_PSP_Species_Support!BB39*0.0673*(S13_PSP_Species_Support!BC39*(S13_PSP_Species_Support!BD39*(1-EXP(-S13_PSP_Species_Support!BE39*3))^S13_PSP_Species_Support!BF39)^2*(S13_PSP_Species_Support!BG39*(1-EXP(-S13_PSP_Species_Support!BH39*3))^S13_PSP_Species_Support!BI39))^0.976,0)+IFERROR(S13_PSP_Species_Support!BM39*0.0673*(S13_PSP_Species_Support!BN39*(S13_PSP_Species_Support!BO39*(1-EXP(-S13_PSP_Species_Support!BP39*3))^S13_PSP_Species_Support!BQ39)^2*(S13_PSP_Species_Support!BR39*(1-EXP(-S13_PSP_Species_Support!BS39*3))^S13_PSP_Species_Support!BT39))^0.976,0)+IFERROR(S13_PSP_Species_Support!BX39*0.0673*(S13_PSP_Species_Support!BY39*(S13_PSP_Species_Support!BZ39*(1-EXP(-S13_PSP_Species_Support!CA39*3))^S13_PSP_Species_Support!CB39)^2*(S13_PSP_Species_Support!CC39*(1-EXP(-S13_PSP_Species_Support!CD39*3))^S13_PSP_Species_Support!CE39))^0.976,0)+IFERROR(S13_PSP_Species_Support!CI39*0.0673*(S13_PSP_Species_Support!CJ39*(S13_PSP_Species_Support!CK39*(1-EXP(-S13_PSP_Species_Support!CL39*3))^S13_PSP_Species_Support!CM39)^2*(S13_PSP_Species_Support!CN39*(1-EXP(-S13_PSP_Species_Support!CO39*3))^S13_PSP_Species_Support!CP39))^0.976,0)+IFERROR(S13_PSP_Species_Support!CT39*0.0673*(S13_PSP_Species_Support!CU39*(S13_PSP_Species_Support!CV39*(1-EXP(-S13_PSP_Species_Support!CW39*3))^S13_PSP_Species_Support!CX39)^2*(S13_PSP_Species_Support!CY39*(1-EXP(-S13_PSP_Species_Support!CZ39*3))^S13_PSP_Species_Support!DA39))^0.976,0))/1000/$G52*L$108,0)</x:f>
        <x:v>5.836184476622616</x:v>
      </x:c>
      <x:c r="M52" s="147" t="n">
        <x:f aca="0">IFERROR((IFERROR(S13_PSP_Species_Support!U39*0.0673*(S13_PSP_Species_Support!V39*(S13_PSP_Species_Support!W39*(1-EXP(-S13_PSP_Species_Support!X39*4))^S13_PSP_Species_Support!Y39)^2*(S13_PSP_Species_Support!Z39*(1-EXP(-S13_PSP_Species_Support!AA39*4))^S13_PSP_Species_Support!AB39))^0.976,0)+IFERROR(S13_PSP_Species_Support!AF39*0.0673*(S13_PSP_Species_Support!AG39*(S13_PSP_Species_Support!AH39*(1-EXP(-S13_PSP_Species_Support!AI39*4))^S13_PSP_Species_Support!AJ39)^2*(S13_PSP_Species_Support!AK39*(1-EXP(-S13_PSP_Species_Support!AL39*4))^S13_PSP_Species_Support!AM39))^0.976,0)+IFERROR(S13_PSP_Species_Support!AQ39*0.0673*(S13_PSP_Species_Support!AR39*(S13_PSP_Species_Support!AS39*(1-EXP(-S13_PSP_Species_Support!AT39*4))^S13_PSP_Species_Support!AU39)^2*(S13_PSP_Species_Support!AV39*(1-EXP(-S13_PSP_Species_Support!AW39*4))^S13_PSP_Species_Support!AX39))^0.976,0)+IFERROR(S13_PSP_Species_Support!BB39*0.0673*(S13_PSP_Species_Support!BC39*(S13_PSP_Species_Support!BD39*(1-EXP(-S13_PSP_Species_Support!BE39*4))^S13_PSP_Species_Support!BF39)^2*(S13_PSP_Species_Support!BG39*(1-EXP(-S13_PSP_Species_Support!BH39*4))^S13_PSP_Species_Support!BI39))^0.976,0)+IFERROR(S13_PSP_Species_Support!BM39*0.0673*(S13_PSP_Species_Support!BN39*(S13_PSP_Species_Support!BO39*(1-EXP(-S13_PSP_Species_Support!BP39*4))^S13_PSP_Species_Support!BQ39)^2*(S13_PSP_Species_Support!BR39*(1-EXP(-S13_PSP_Species_Support!BS39*4))^S13_PSP_Species_Support!BT39))^0.976,0)+IFERROR(S13_PSP_Species_Support!BX39*0.0673*(S13_PSP_Species_Support!BY39*(S13_PSP_Species_Support!BZ39*(1-EXP(-S13_PSP_Species_Support!CA39*4))^S13_PSP_Species_Support!CB39)^2*(S13_PSP_Species_Support!CC39*(1-EXP(-S13_PSP_Species_Support!CD39*4))^S13_PSP_Species_Support!CE39))^0.976,0)+IFERROR(S13_PSP_Species_Support!CI39*0.0673*(S13_PSP_Species_Support!CJ39*(S13_PSP_Species_Support!CK39*(1-EXP(-S13_PSP_Species_Support!CL39*4))^S13_PSP_Species_Support!CM39)^2*(S13_PSP_Species_Support!CN39*(1-EXP(-S13_PSP_Species_Support!CO39*4))^S13_PSP_Species_Support!CP39))^0.976,0)+IFERROR(S13_PSP_Species_Support!CT39*0.0673*(S13_PSP_Species_Support!CU39*(S13_PSP_Species_Support!CV39*(1-EXP(-S13_PSP_Species_Support!CW39*4))^S13_PSP_Species_Support!CX39)^2*(S13_PSP_Species_Support!CY39*(1-EXP(-S13_PSP_Species_Support!CZ39*4))^S13_PSP_Species_Support!DA39))^0.976,0))/1000/$G52*M$108,0)</x:f>
        <x:v>13.725526639976016</x:v>
      </x:c>
      <x:c r="N52" s="147" t="n">
        <x:f aca="0">IFERROR((IFERROR(S13_PSP_Species_Support!U39*0.0673*(S13_PSP_Species_Support!V39*(S13_PSP_Species_Support!W39*(1-EXP(-S13_PSP_Species_Support!X39*5))^S13_PSP_Species_Support!Y39)^2*(S13_PSP_Species_Support!Z39*(1-EXP(-S13_PSP_Species_Support!AA39*5))^S13_PSP_Species_Support!AB39))^0.976,0)+IFERROR(S13_PSP_Species_Support!AF39*0.0673*(S13_PSP_Species_Support!AG39*(S13_PSP_Species_Support!AH39*(1-EXP(-S13_PSP_Species_Support!AI39*5))^S13_PSP_Species_Support!AJ39)^2*(S13_PSP_Species_Support!AK39*(1-EXP(-S13_PSP_Species_Support!AL39*5))^S13_PSP_Species_Support!AM39))^0.976,0)+IFERROR(S13_PSP_Species_Support!AQ39*0.0673*(S13_PSP_Species_Support!AR39*(S13_PSP_Species_Support!AS39*(1-EXP(-S13_PSP_Species_Support!AT39*5))^S13_PSP_Species_Support!AU39)^2*(S13_PSP_Species_Support!AV39*(1-EXP(-S13_PSP_Species_Support!AW39*5))^S13_PSP_Species_Support!AX39))^0.976,0)+IFERROR(S13_PSP_Species_Support!BB39*0.0673*(S13_PSP_Species_Support!BC39*(S13_PSP_Species_Support!BD39*(1-EXP(-S13_PSP_Species_Support!BE39*5))^S13_PSP_Species_Support!BF39)^2*(S13_PSP_Species_Support!BG39*(1-EXP(-S13_PSP_Species_Support!BH39*5))^S13_PSP_Species_Support!BI39))^0.976,0)+IFERROR(S13_PSP_Species_Support!BM39*0.0673*(S13_PSP_Species_Support!BN39*(S13_PSP_Species_Support!BO39*(1-EXP(-S13_PSP_Species_Support!BP39*5))^S13_PSP_Species_Support!BQ39)^2*(S13_PSP_Species_Support!BR39*(1-EXP(-S13_PSP_Species_Support!BS39*5))^S13_PSP_Species_Support!BT39))^0.976,0)+IFERROR(S13_PSP_Species_Support!BX39*0.0673*(S13_PSP_Species_Support!BY39*(S13_PSP_Species_Support!BZ39*(1-EXP(-S13_PSP_Species_Support!CA39*5))^S13_PSP_Species_Support!CB39)^2*(S13_PSP_Species_Support!CC39*(1-EXP(-S13_PSP_Species_Support!CD39*5))^S13_PSP_Species_Support!CE39))^0.976,0)+IFERROR(S13_PSP_Species_Support!CI39*0.0673*(S13_PSP_Species_Support!CJ39*(S13_PSP_Species_Support!CK39*(1-EXP(-S13_PSP_Species_Support!CL39*5))^S13_PSP_Species_Support!CM39)^2*(S13_PSP_Species_Support!CN39*(1-EXP(-S13_PSP_Species_Support!CO39*5))^S13_PSP_Species_Support!CP39))^0.976,0)+IFERROR(S13_PSP_Species_Support!CT39*0.0673*(S13_PSP_Species_Support!CU39*(S13_PSP_Species_Support!CV39*(1-EXP(-S13_PSP_Species_Support!CW39*5))^S13_PSP_Species_Support!CX39)^2*(S13_PSP_Species_Support!CY39*(1-EXP(-S13_PSP_Species_Support!CZ39*5))^S13_PSP_Species_Support!DA39))^0.976,0))/1000/$G52*N$108,0)</x:f>
        <x:v>24.843338068828697</x:v>
      </x:c>
      <x:c r="O52" s="147" t="n">
        <x:f aca="0">IFERROR((IFERROR(S13_PSP_Species_Support!U39*0.0673*(S13_PSP_Species_Support!V39*(S13_PSP_Species_Support!W39*(1-EXP(-S13_PSP_Species_Support!X39*6))^S13_PSP_Species_Support!Y39)^2*(S13_PSP_Species_Support!Z39*(1-EXP(-S13_PSP_Species_Support!AA39*6))^S13_PSP_Species_Support!AB39))^0.976,0)+IFERROR(S13_PSP_Species_Support!AF39*0.0673*(S13_PSP_Species_Support!AG39*(S13_PSP_Species_Support!AH39*(1-EXP(-S13_PSP_Species_Support!AI39*6))^S13_PSP_Species_Support!AJ39)^2*(S13_PSP_Species_Support!AK39*(1-EXP(-S13_PSP_Species_Support!AL39*6))^S13_PSP_Species_Support!AM39))^0.976,0)+IFERROR(S13_PSP_Species_Support!AQ39*0.0673*(S13_PSP_Species_Support!AR39*(S13_PSP_Species_Support!AS39*(1-EXP(-S13_PSP_Species_Support!AT39*6))^S13_PSP_Species_Support!AU39)^2*(S13_PSP_Species_Support!AV39*(1-EXP(-S13_PSP_Species_Support!AW39*6))^S13_PSP_Species_Support!AX39))^0.976,0)+IFERROR(S13_PSP_Species_Support!BB39*0.0673*(S13_PSP_Species_Support!BC39*(S13_PSP_Species_Support!BD39*(1-EXP(-S13_PSP_Species_Support!BE39*6))^S13_PSP_Species_Support!BF39)^2*(S13_PSP_Species_Support!BG39*(1-EXP(-S13_PSP_Species_Support!BH39*6))^S13_PSP_Species_Support!BI39))^0.976,0)+IFERROR(S13_PSP_Species_Support!BM39*0.0673*(S13_PSP_Species_Support!BN39*(S13_PSP_Species_Support!BO39*(1-EXP(-S13_PSP_Species_Support!BP39*6))^S13_PSP_Species_Support!BQ39)^2*(S13_PSP_Species_Support!BR39*(1-EXP(-S13_PSP_Species_Support!BS39*6))^S13_PSP_Species_Support!BT39))^0.976,0)+IFERROR(S13_PSP_Species_Support!BX39*0.0673*(S13_PSP_Species_Support!BY39*(S13_PSP_Species_Support!BZ39*(1-EXP(-S13_PSP_Species_Support!CA39*6))^S13_PSP_Species_Support!CB39)^2*(S13_PSP_Species_Support!CC39*(1-EXP(-S13_PSP_Species_Support!CD39*6))^S13_PSP_Species_Support!CE39))^0.976,0)+IFERROR(S13_PSP_Species_Support!CI39*0.0673*(S13_PSP_Species_Support!CJ39*(S13_PSP_Species_Support!CK39*(1-EXP(-S13_PSP_Species_Support!CL39*6))^S13_PSP_Species_Support!CM39)^2*(S13_PSP_Species_Support!CN39*(1-EXP(-S13_PSP_Species_Support!CO39*6))^S13_PSP_Species_Support!CP39))^0.976,0)+IFERROR(S13_PSP_Species_Support!CT39*0.0673*(S13_PSP_Species_Support!CU39*(S13_PSP_Species_Support!CV39*(1-EXP(-S13_PSP_Species_Support!CW39*6))^S13_PSP_Species_Support!CX39)^2*(S13_PSP_Species_Support!CY39*(1-EXP(-S13_PSP_Species_Support!CZ39*6))^S13_PSP_Species_Support!DA39))^0.976,0))/1000/$G52*O$108,0)</x:f>
        <x:v>38.292532172383865</x:v>
      </x:c>
      <x:c r="P52" s="147" t="n">
        <x:f aca="0">IFERROR((IFERROR(S13_PSP_Species_Support!U39*0.0673*(S13_PSP_Species_Support!V39*(S13_PSP_Species_Support!W39*(1-EXP(-S13_PSP_Species_Support!X39*7))^S13_PSP_Species_Support!Y39)^2*(S13_PSP_Species_Support!Z39*(1-EXP(-S13_PSP_Species_Support!AA39*7))^S13_PSP_Species_Support!AB39))^0.976,0)+IFERROR(S13_PSP_Species_Support!AF39*0.0673*(S13_PSP_Species_Support!AG39*(S13_PSP_Species_Support!AH39*(1-EXP(-S13_PSP_Species_Support!AI39*7))^S13_PSP_Species_Support!AJ39)^2*(S13_PSP_Species_Support!AK39*(1-EXP(-S13_PSP_Species_Support!AL39*7))^S13_PSP_Species_Support!AM39))^0.976,0)+IFERROR(S13_PSP_Species_Support!AQ39*0.0673*(S13_PSP_Species_Support!AR39*(S13_PSP_Species_Support!AS39*(1-EXP(-S13_PSP_Species_Support!AT39*7))^S13_PSP_Species_Support!AU39)^2*(S13_PSP_Species_Support!AV39*(1-EXP(-S13_PSP_Species_Support!AW39*7))^S13_PSP_Species_Support!AX39))^0.976,0)+IFERROR(S13_PSP_Species_Support!BB39*0.0673*(S13_PSP_Species_Support!BC39*(S13_PSP_Species_Support!BD39*(1-EXP(-S13_PSP_Species_Support!BE39*7))^S13_PSP_Species_Support!BF39)^2*(S13_PSP_Species_Support!BG39*(1-EXP(-S13_PSP_Species_Support!BH39*7))^S13_PSP_Species_Support!BI39))^0.976,0)+IFERROR(S13_PSP_Species_Support!BM39*0.0673*(S13_PSP_Species_Support!BN39*(S13_PSP_Species_Support!BO39*(1-EXP(-S13_PSP_Species_Support!BP39*7))^S13_PSP_Species_Support!BQ39)^2*(S13_PSP_Species_Support!BR39*(1-EXP(-S13_PSP_Species_Support!BS39*7))^S13_PSP_Species_Support!BT39))^0.976,0)+IFERROR(S13_PSP_Species_Support!BX39*0.0673*(S13_PSP_Species_Support!BY39*(S13_PSP_Species_Support!BZ39*(1-EXP(-S13_PSP_Species_Support!CA39*7))^S13_PSP_Species_Support!CB39)^2*(S13_PSP_Species_Support!CC39*(1-EXP(-S13_PSP_Species_Support!CD39*7))^S13_PSP_Species_Support!CE39))^0.976,0)+IFERROR(S13_PSP_Species_Support!CI39*0.0673*(S13_PSP_Species_Support!CJ39*(S13_PSP_Species_Support!CK39*(1-EXP(-S13_PSP_Species_Support!CL39*7))^S13_PSP_Species_Support!CM39)^2*(S13_PSP_Species_Support!CN39*(1-EXP(-S13_PSP_Species_Support!CO39*7))^S13_PSP_Species_Support!CP39))^0.976,0)+IFERROR(S13_PSP_Species_Support!CT39*0.0673*(S13_PSP_Species_Support!CU39*(S13_PSP_Species_Support!CV39*(1-EXP(-S13_PSP_Species_Support!CW39*7))^S13_PSP_Species_Support!CX39)^2*(S13_PSP_Species_Support!CY39*(1-EXP(-S13_PSP_Species_Support!CZ39*7))^S13_PSP_Species_Support!DA39))^0.976,0))/1000/$G52*P$108,0)</x:f>
        <x:v>53.039530424532906</x:v>
      </x:c>
      <x:c r="Q52" s="147" t="n">
        <x:f aca="0">IFERROR((IFERROR(S13_PSP_Species_Support!U39*0.0673*(S13_PSP_Species_Support!V39*(S13_PSP_Species_Support!W39*(1-EXP(-S13_PSP_Species_Support!X39*8))^S13_PSP_Species_Support!Y39)^2*(S13_PSP_Species_Support!Z39*(1-EXP(-S13_PSP_Species_Support!AA39*8))^S13_PSP_Species_Support!AB39))^0.976,0)+IFERROR(S13_PSP_Species_Support!AF39*0.0673*(S13_PSP_Species_Support!AG39*(S13_PSP_Species_Support!AH39*(1-EXP(-S13_PSP_Species_Support!AI39*8))^S13_PSP_Species_Support!AJ39)^2*(S13_PSP_Species_Support!AK39*(1-EXP(-S13_PSP_Species_Support!AL39*8))^S13_PSP_Species_Support!AM39))^0.976,0)+IFERROR(S13_PSP_Species_Support!AQ39*0.0673*(S13_PSP_Species_Support!AR39*(S13_PSP_Species_Support!AS39*(1-EXP(-S13_PSP_Species_Support!AT39*8))^S13_PSP_Species_Support!AU39)^2*(S13_PSP_Species_Support!AV39*(1-EXP(-S13_PSP_Species_Support!AW39*8))^S13_PSP_Species_Support!AX39))^0.976,0)+IFERROR(S13_PSP_Species_Support!BB39*0.0673*(S13_PSP_Species_Support!BC39*(S13_PSP_Species_Support!BD39*(1-EXP(-S13_PSP_Species_Support!BE39*8))^S13_PSP_Species_Support!BF39)^2*(S13_PSP_Species_Support!BG39*(1-EXP(-S13_PSP_Species_Support!BH39*8))^S13_PSP_Species_Support!BI39))^0.976,0)+IFERROR(S13_PSP_Species_Support!BM39*0.0673*(S13_PSP_Species_Support!BN39*(S13_PSP_Species_Support!BO39*(1-EXP(-S13_PSP_Species_Support!BP39*8))^S13_PSP_Species_Support!BQ39)^2*(S13_PSP_Species_Support!BR39*(1-EXP(-S13_PSP_Species_Support!BS39*8))^S13_PSP_Species_Support!BT39))^0.976,0)+IFERROR(S13_PSP_Species_Support!BX39*0.0673*(S13_PSP_Species_Support!BY39*(S13_PSP_Species_Support!BZ39*(1-EXP(-S13_PSP_Species_Support!CA39*8))^S13_PSP_Species_Support!CB39)^2*(S13_PSP_Species_Support!CC39*(1-EXP(-S13_PSP_Species_Support!CD39*8))^S13_PSP_Species_Support!CE39))^0.976,0)+IFERROR(S13_PSP_Species_Support!CI39*0.0673*(S13_PSP_Species_Support!CJ39*(S13_PSP_Species_Support!CK39*(1-EXP(-S13_PSP_Species_Support!CL39*8))^S13_PSP_Species_Support!CM39)^2*(S13_PSP_Species_Support!CN39*(1-EXP(-S13_PSP_Species_Support!CO39*8))^S13_PSP_Species_Support!CP39))^0.976,0)+IFERROR(S13_PSP_Species_Support!CT39*0.0673*(S13_PSP_Species_Support!CU39*(S13_PSP_Species_Support!CV39*(1-EXP(-S13_PSP_Species_Support!CW39*8))^S13_PSP_Species_Support!CX39)^2*(S13_PSP_Species_Support!CY39*(1-EXP(-S13_PSP_Species_Support!CZ39*8))^S13_PSP_Species_Support!DA39))^0.976,0))/1000/$G52*Q$108,0)</x:f>
        <x:v>68.15973498301413</x:v>
      </x:c>
      <x:c r="R52" s="147" t="n">
        <x:f aca="0">IFERROR((IFERROR(S13_PSP_Species_Support!U39*0.0673*(S13_PSP_Species_Support!V39*(S13_PSP_Species_Support!W39*(1-EXP(-S13_PSP_Species_Support!X39*9))^S13_PSP_Species_Support!Y39)^2*(S13_PSP_Species_Support!Z39*(1-EXP(-S13_PSP_Species_Support!AA39*9))^S13_PSP_Species_Support!AB39))^0.976,0)+IFERROR(S13_PSP_Species_Support!AF39*0.0673*(S13_PSP_Species_Support!AG39*(S13_PSP_Species_Support!AH39*(1-EXP(-S13_PSP_Species_Support!AI39*9))^S13_PSP_Species_Support!AJ39)^2*(S13_PSP_Species_Support!AK39*(1-EXP(-S13_PSP_Species_Support!AL39*9))^S13_PSP_Species_Support!AM39))^0.976,0)+IFERROR(S13_PSP_Species_Support!AQ39*0.0673*(S13_PSP_Species_Support!AR39*(S13_PSP_Species_Support!AS39*(1-EXP(-S13_PSP_Species_Support!AT39*9))^S13_PSP_Species_Support!AU39)^2*(S13_PSP_Species_Support!AV39*(1-EXP(-S13_PSP_Species_Support!AW39*9))^S13_PSP_Species_Support!AX39))^0.976,0)+IFERROR(S13_PSP_Species_Support!BB39*0.0673*(S13_PSP_Species_Support!BC39*(S13_PSP_Species_Support!BD39*(1-EXP(-S13_PSP_Species_Support!BE39*9))^S13_PSP_Species_Support!BF39)^2*(S13_PSP_Species_Support!BG39*(1-EXP(-S13_PSP_Species_Support!BH39*9))^S13_PSP_Species_Support!BI39))^0.976,0)+IFERROR(S13_PSP_Species_Support!BM39*0.0673*(S13_PSP_Species_Support!BN39*(S13_PSP_Species_Support!BO39*(1-EXP(-S13_PSP_Species_Support!BP39*9))^S13_PSP_Species_Support!BQ39)^2*(S13_PSP_Species_Support!BR39*(1-EXP(-S13_PSP_Species_Support!BS39*9))^S13_PSP_Species_Support!BT39))^0.976,0)+IFERROR(S13_PSP_Species_Support!BX39*0.0673*(S13_PSP_Species_Support!BY39*(S13_PSP_Species_Support!BZ39*(1-EXP(-S13_PSP_Species_Support!CA39*9))^S13_PSP_Species_Support!CB39)^2*(S13_PSP_Species_Support!CC39*(1-EXP(-S13_PSP_Species_Support!CD39*9))^S13_PSP_Species_Support!CE39))^0.976,0)+IFERROR(S13_PSP_Species_Support!CI39*0.0673*(S13_PSP_Species_Support!CJ39*(S13_PSP_Species_Support!CK39*(1-EXP(-S13_PSP_Species_Support!CL39*9))^S13_PSP_Species_Support!CM39)^2*(S13_PSP_Species_Support!CN39*(1-EXP(-S13_PSP_Species_Support!CO39*9))^S13_PSP_Species_Support!CP39))^0.976,0)+IFERROR(S13_PSP_Species_Support!CT39*0.0673*(S13_PSP_Species_Support!CU39*(S13_PSP_Species_Support!CV39*(1-EXP(-S13_PSP_Species_Support!CW39*9))^S13_PSP_Species_Support!CX39)^2*(S13_PSP_Species_Support!CY39*(1-EXP(-S13_PSP_Species_Support!CZ39*9))^S13_PSP_Species_Support!DA39))^0.976,0))/1000/$G52*R$108,0)</x:f>
        <x:v>82.93953753698347</x:v>
      </x:c>
      <x:c r="S52" s="147" t="n">
        <x:f aca="0">IFERROR((IFERROR(S13_PSP_Species_Support!U39*0.0673*(S13_PSP_Species_Support!V39*(S13_PSP_Species_Support!W39*(1-EXP(-S13_PSP_Species_Support!X39*10))^S13_PSP_Species_Support!Y39)^2*(S13_PSP_Species_Support!Z39*(1-EXP(-S13_PSP_Species_Support!AA39*10))^S13_PSP_Species_Support!AB39))^0.976,0)+IFERROR(S13_PSP_Species_Support!AF39*0.0673*(S13_PSP_Species_Support!AG39*(S13_PSP_Species_Support!AH39*(1-EXP(-S13_PSP_Species_Support!AI39*10))^S13_PSP_Species_Support!AJ39)^2*(S13_PSP_Species_Support!AK39*(1-EXP(-S13_PSP_Species_Support!AL39*10))^S13_PSP_Species_Support!AM39))^0.976,0)+IFERROR(S13_PSP_Species_Support!AQ39*0.0673*(S13_PSP_Species_Support!AR39*(S13_PSP_Species_Support!AS39*(1-EXP(-S13_PSP_Species_Support!AT39*10))^S13_PSP_Species_Support!AU39)^2*(S13_PSP_Species_Support!AV39*(1-EXP(-S13_PSP_Species_Support!AW39*10))^S13_PSP_Species_Support!AX39))^0.976,0)+IFERROR(S13_PSP_Species_Support!BB39*0.0673*(S13_PSP_Species_Support!BC39*(S13_PSP_Species_Support!BD39*(1-EXP(-S13_PSP_Species_Support!BE39*10))^S13_PSP_Species_Support!BF39)^2*(S13_PSP_Species_Support!BG39*(1-EXP(-S13_PSP_Species_Support!BH39*10))^S13_PSP_Species_Support!BI39))^0.976,0)+IFERROR(S13_PSP_Species_Support!BM39*0.0673*(S13_PSP_Species_Support!BN39*(S13_PSP_Species_Support!BO39*(1-EXP(-S13_PSP_Species_Support!BP39*10))^S13_PSP_Species_Support!BQ39)^2*(S13_PSP_Species_Support!BR39*(1-EXP(-S13_PSP_Species_Support!BS39*10))^S13_PSP_Species_Support!BT39))^0.976,0)+IFERROR(S13_PSP_Species_Support!BX39*0.0673*(S13_PSP_Species_Support!BY39*(S13_PSP_Species_Support!BZ39*(1-EXP(-S13_PSP_Species_Support!CA39*10))^S13_PSP_Species_Support!CB39)^2*(S13_PSP_Species_Support!CC39*(1-EXP(-S13_PSP_Species_Support!CD39*10))^S13_PSP_Species_Support!CE39))^0.976,0)+IFERROR(S13_PSP_Species_Support!CI39*0.0673*(S13_PSP_Species_Support!CJ39*(S13_PSP_Species_Support!CK39*(1-EXP(-S13_PSP_Species_Support!CL39*10))^S13_PSP_Species_Support!CM39)^2*(S13_PSP_Species_Support!CN39*(1-EXP(-S13_PSP_Species_Support!CO39*10))^S13_PSP_Species_Support!CP39))^0.976,0)+IFERROR(S13_PSP_Species_Support!CT39*0.0673*(S13_PSP_Species_Support!CU39*(S13_PSP_Species_Support!CV39*(1-EXP(-S13_PSP_Species_Support!CW39*10))^S13_PSP_Species_Support!CX39)^2*(S13_PSP_Species_Support!CY39*(1-EXP(-S13_PSP_Species_Support!CZ39*10))^S13_PSP_Species_Support!DA39))^0.976,0))/1000/$G52*S$108,0)</x:f>
        <x:v>96.89016183348411</x:v>
      </x:c>
      <x:c r="T52" s="147" t="n">
        <x:f aca="0">IFERROR((IFERROR(S13_PSP_Species_Support!U39*0.0673*(S13_PSP_Species_Support!V39*(S13_PSP_Species_Support!W39*(1-EXP(-S13_PSP_Species_Support!X39*11))^S13_PSP_Species_Support!Y39)^2*(S13_PSP_Species_Support!Z39*(1-EXP(-S13_PSP_Species_Support!AA39*11))^S13_PSP_Species_Support!AB39))^0.976,0)+IFERROR(S13_PSP_Species_Support!AF39*0.0673*(S13_PSP_Species_Support!AG39*(S13_PSP_Species_Support!AH39*(1-EXP(-S13_PSP_Species_Support!AI39*11))^S13_PSP_Species_Support!AJ39)^2*(S13_PSP_Species_Support!AK39*(1-EXP(-S13_PSP_Species_Support!AL39*11))^S13_PSP_Species_Support!AM39))^0.976,0)+IFERROR(S13_PSP_Species_Support!AQ39*0.0673*(S13_PSP_Species_Support!AR39*(S13_PSP_Species_Support!AS39*(1-EXP(-S13_PSP_Species_Support!AT39*11))^S13_PSP_Species_Support!AU39)^2*(S13_PSP_Species_Support!AV39*(1-EXP(-S13_PSP_Species_Support!AW39*11))^S13_PSP_Species_Support!AX39))^0.976,0)+IFERROR(S13_PSP_Species_Support!BB39*0.0673*(S13_PSP_Species_Support!BC39*(S13_PSP_Species_Support!BD39*(1-EXP(-S13_PSP_Species_Support!BE39*11))^S13_PSP_Species_Support!BF39)^2*(S13_PSP_Species_Support!BG39*(1-EXP(-S13_PSP_Species_Support!BH39*11))^S13_PSP_Species_Support!BI39))^0.976,0)+IFERROR(S13_PSP_Species_Support!BM39*0.0673*(S13_PSP_Species_Support!BN39*(S13_PSP_Species_Support!BO39*(1-EXP(-S13_PSP_Species_Support!BP39*11))^S13_PSP_Species_Support!BQ39)^2*(S13_PSP_Species_Support!BR39*(1-EXP(-S13_PSP_Species_Support!BS39*11))^S13_PSP_Species_Support!BT39))^0.976,0)+IFERROR(S13_PSP_Species_Support!BX39*0.0673*(S13_PSP_Species_Support!BY39*(S13_PSP_Species_Support!BZ39*(1-EXP(-S13_PSP_Species_Support!CA39*11))^S13_PSP_Species_Support!CB39)^2*(S13_PSP_Species_Support!CC39*(1-EXP(-S13_PSP_Species_Support!CD39*11))^S13_PSP_Species_Support!CE39))^0.976,0)+IFERROR(S13_PSP_Species_Support!CI39*0.0673*(S13_PSP_Species_Support!CJ39*(S13_PSP_Species_Support!CK39*(1-EXP(-S13_PSP_Species_Support!CL39*11))^S13_PSP_Species_Support!CM39)^2*(S13_PSP_Species_Support!CN39*(1-EXP(-S13_PSP_Species_Support!CO39*11))^S13_PSP_Species_Support!CP39))^0.976,0)+IFERROR(S13_PSP_Species_Support!CT39*0.0673*(S13_PSP_Species_Support!CU39*(S13_PSP_Species_Support!CV39*(1-EXP(-S13_PSP_Species_Support!CW39*11))^S13_PSP_Species_Support!CX39)^2*(S13_PSP_Species_Support!CY39*(1-EXP(-S13_PSP_Species_Support!CZ39*11))^S13_PSP_Species_Support!DA39))^0.976,0))/1000/$G52*T$108,0)</x:f>
        <x:v>109.71852028325812</x:v>
      </x:c>
      <x:c r="U52" s="147" t="n">
        <x:f aca="0">IFERROR((IFERROR(S13_PSP_Species_Support!U39*0.0673*(S13_PSP_Species_Support!V39*(S13_PSP_Species_Support!W39*(1-EXP(-S13_PSP_Species_Support!X39*12))^S13_PSP_Species_Support!Y39)^2*(S13_PSP_Species_Support!Z39*(1-EXP(-S13_PSP_Species_Support!AA39*12))^S13_PSP_Species_Support!AB39))^0.976,0)+IFERROR(S13_PSP_Species_Support!AF39*0.0673*(S13_PSP_Species_Support!AG39*(S13_PSP_Species_Support!AH39*(1-EXP(-S13_PSP_Species_Support!AI39*12))^S13_PSP_Species_Support!AJ39)^2*(S13_PSP_Species_Support!AK39*(1-EXP(-S13_PSP_Species_Support!AL39*12))^S13_PSP_Species_Support!AM39))^0.976,0)+IFERROR(S13_PSP_Species_Support!AQ39*0.0673*(S13_PSP_Species_Support!AR39*(S13_PSP_Species_Support!AS39*(1-EXP(-S13_PSP_Species_Support!AT39*12))^S13_PSP_Species_Support!AU39)^2*(S13_PSP_Species_Support!AV39*(1-EXP(-S13_PSP_Species_Support!AW39*12))^S13_PSP_Species_Support!AX39))^0.976,0)+IFERROR(S13_PSP_Species_Support!BB39*0.0673*(S13_PSP_Species_Support!BC39*(S13_PSP_Species_Support!BD39*(1-EXP(-S13_PSP_Species_Support!BE39*12))^S13_PSP_Species_Support!BF39)^2*(S13_PSP_Species_Support!BG39*(1-EXP(-S13_PSP_Species_Support!BH39*12))^S13_PSP_Species_Support!BI39))^0.976,0)+IFERROR(S13_PSP_Species_Support!BM39*0.0673*(S13_PSP_Species_Support!BN39*(S13_PSP_Species_Support!BO39*(1-EXP(-S13_PSP_Species_Support!BP39*12))^S13_PSP_Species_Support!BQ39)^2*(S13_PSP_Species_Support!BR39*(1-EXP(-S13_PSP_Species_Support!BS39*12))^S13_PSP_Species_Support!BT39))^0.976,0)+IFERROR(S13_PSP_Species_Support!BX39*0.0673*(S13_PSP_Species_Support!BY39*(S13_PSP_Species_Support!BZ39*(1-EXP(-S13_PSP_Species_Support!CA39*12))^S13_PSP_Species_Support!CB39)^2*(S13_PSP_Species_Support!CC39*(1-EXP(-S13_PSP_Species_Support!CD39*12))^S13_PSP_Species_Support!CE39))^0.976,0)+IFERROR(S13_PSP_Species_Support!CI39*0.0673*(S13_PSP_Species_Support!CJ39*(S13_PSP_Species_Support!CK39*(1-EXP(-S13_PSP_Species_Support!CL39*12))^S13_PSP_Species_Support!CM39)^2*(S13_PSP_Species_Support!CN39*(1-EXP(-S13_PSP_Species_Support!CO39*12))^S13_PSP_Species_Support!CP39))^0.976,0)+IFERROR(S13_PSP_Species_Support!CT39*0.0673*(S13_PSP_Species_Support!CU39*(S13_PSP_Species_Support!CV39*(1-EXP(-S13_PSP_Species_Support!CW39*12))^S13_PSP_Species_Support!CX39)^2*(S13_PSP_Species_Support!CY39*(1-EXP(-S13_PSP_Species_Support!CZ39*12))^S13_PSP_Species_Support!DA39))^0.976,0))/1000/$G52*U$108,0)</x:f>
        <x:v>121.28344161391658</x:v>
      </x:c>
      <x:c r="V52" s="147" t="n">
        <x:f aca="0">IFERROR((IFERROR(S13_PSP_Species_Support!U39*0.0673*(S13_PSP_Species_Support!V39*(S13_PSP_Species_Support!W39*(1-EXP(-S13_PSP_Species_Support!X39*13))^S13_PSP_Species_Support!Y39)^2*(S13_PSP_Species_Support!Z39*(1-EXP(-S13_PSP_Species_Support!AA39*13))^S13_PSP_Species_Support!AB39))^0.976,0)+IFERROR(S13_PSP_Species_Support!AF39*0.0673*(S13_PSP_Species_Support!AG39*(S13_PSP_Species_Support!AH39*(1-EXP(-S13_PSP_Species_Support!AI39*13))^S13_PSP_Species_Support!AJ39)^2*(S13_PSP_Species_Support!AK39*(1-EXP(-S13_PSP_Species_Support!AL39*13))^S13_PSP_Species_Support!AM39))^0.976,0)+IFERROR(S13_PSP_Species_Support!AQ39*0.0673*(S13_PSP_Species_Support!AR39*(S13_PSP_Species_Support!AS39*(1-EXP(-S13_PSP_Species_Support!AT39*13))^S13_PSP_Species_Support!AU39)^2*(S13_PSP_Species_Support!AV39*(1-EXP(-S13_PSP_Species_Support!AW39*13))^S13_PSP_Species_Support!AX39))^0.976,0)+IFERROR(S13_PSP_Species_Support!BB39*0.0673*(S13_PSP_Species_Support!BC39*(S13_PSP_Species_Support!BD39*(1-EXP(-S13_PSP_Species_Support!BE39*13))^S13_PSP_Species_Support!BF39)^2*(S13_PSP_Species_Support!BG39*(1-EXP(-S13_PSP_Species_Support!BH39*13))^S13_PSP_Species_Support!BI39))^0.976,0)+IFERROR(S13_PSP_Species_Support!BM39*0.0673*(S13_PSP_Species_Support!BN39*(S13_PSP_Species_Support!BO39*(1-EXP(-S13_PSP_Species_Support!BP39*13))^S13_PSP_Species_Support!BQ39)^2*(S13_PSP_Species_Support!BR39*(1-EXP(-S13_PSP_Species_Support!BS39*13))^S13_PSP_Species_Support!BT39))^0.976,0)+IFERROR(S13_PSP_Species_Support!BX39*0.0673*(S13_PSP_Species_Support!BY39*(S13_PSP_Species_Support!BZ39*(1-EXP(-S13_PSP_Species_Support!CA39*13))^S13_PSP_Species_Support!CB39)^2*(S13_PSP_Species_Support!CC39*(1-EXP(-S13_PSP_Species_Support!CD39*13))^S13_PSP_Species_Support!CE39))^0.976,0)+IFERROR(S13_PSP_Species_Support!CI39*0.0673*(S13_PSP_Species_Support!CJ39*(S13_PSP_Species_Support!CK39*(1-EXP(-S13_PSP_Species_Support!CL39*13))^S13_PSP_Species_Support!CM39)^2*(S13_PSP_Species_Support!CN39*(1-EXP(-S13_PSP_Species_Support!CO39*13))^S13_PSP_Species_Support!CP39))^0.976,0)+IFERROR(S13_PSP_Species_Support!CT39*0.0673*(S13_PSP_Species_Support!CU39*(S13_PSP_Species_Support!CV39*(1-EXP(-S13_PSP_Species_Support!CW39*13))^S13_PSP_Species_Support!CX39)^2*(S13_PSP_Species_Support!CY39*(1-EXP(-S13_PSP_Species_Support!CZ39*13))^S13_PSP_Species_Support!DA39))^0.976,0))/1000/$G52*V$108,0)</x:f>
        <x:v>131.55220444487796</x:v>
      </x:c>
      <x:c r="W52" s="147" t="n">
        <x:f aca="0">IFERROR((IFERROR(S13_PSP_Species_Support!U39*0.0673*(S13_PSP_Species_Support!V39*(S13_PSP_Species_Support!W39*(1-EXP(-S13_PSP_Species_Support!X39*14))^S13_PSP_Species_Support!Y39)^2*(S13_PSP_Species_Support!Z39*(1-EXP(-S13_PSP_Species_Support!AA39*14))^S13_PSP_Species_Support!AB39))^0.976,0)+IFERROR(S13_PSP_Species_Support!AF39*0.0673*(S13_PSP_Species_Support!AG39*(S13_PSP_Species_Support!AH39*(1-EXP(-S13_PSP_Species_Support!AI39*14))^S13_PSP_Species_Support!AJ39)^2*(S13_PSP_Species_Support!AK39*(1-EXP(-S13_PSP_Species_Support!AL39*14))^S13_PSP_Species_Support!AM39))^0.976,0)+IFERROR(S13_PSP_Species_Support!AQ39*0.0673*(S13_PSP_Species_Support!AR39*(S13_PSP_Species_Support!AS39*(1-EXP(-S13_PSP_Species_Support!AT39*14))^S13_PSP_Species_Support!AU39)^2*(S13_PSP_Species_Support!AV39*(1-EXP(-S13_PSP_Species_Support!AW39*14))^S13_PSP_Species_Support!AX39))^0.976,0)+IFERROR(S13_PSP_Species_Support!BB39*0.0673*(S13_PSP_Species_Support!BC39*(S13_PSP_Species_Support!BD39*(1-EXP(-S13_PSP_Species_Support!BE39*14))^S13_PSP_Species_Support!BF39)^2*(S13_PSP_Species_Support!BG39*(1-EXP(-S13_PSP_Species_Support!BH39*14))^S13_PSP_Species_Support!BI39))^0.976,0)+IFERROR(S13_PSP_Species_Support!BM39*0.0673*(S13_PSP_Species_Support!BN39*(S13_PSP_Species_Support!BO39*(1-EXP(-S13_PSP_Species_Support!BP39*14))^S13_PSP_Species_Support!BQ39)^2*(S13_PSP_Species_Support!BR39*(1-EXP(-S13_PSP_Species_Support!BS39*14))^S13_PSP_Species_Support!BT39))^0.976,0)+IFERROR(S13_PSP_Species_Support!BX39*0.0673*(S13_PSP_Species_Support!BY39*(S13_PSP_Species_Support!BZ39*(1-EXP(-S13_PSP_Species_Support!CA39*14))^S13_PSP_Species_Support!CB39)^2*(S13_PSP_Species_Support!CC39*(1-EXP(-S13_PSP_Species_Support!CD39*14))^S13_PSP_Species_Support!CE39))^0.976,0)+IFERROR(S13_PSP_Species_Support!CI39*0.0673*(S13_PSP_Species_Support!CJ39*(S13_PSP_Species_Support!CK39*(1-EXP(-S13_PSP_Species_Support!CL39*14))^S13_PSP_Species_Support!CM39)^2*(S13_PSP_Species_Support!CN39*(1-EXP(-S13_PSP_Species_Support!CO39*14))^S13_PSP_Species_Support!CP39))^0.976,0)+IFERROR(S13_PSP_Species_Support!CT39*0.0673*(S13_PSP_Species_Support!CU39*(S13_PSP_Species_Support!CV39*(1-EXP(-S13_PSP_Species_Support!CW39*14))^S13_PSP_Species_Support!CX39)^2*(S13_PSP_Species_Support!CY39*(1-EXP(-S13_PSP_Species_Support!CZ39*14))^S13_PSP_Species_Support!DA39))^0.976,0))/1000/$G52*W$108,0)</x:f>
        <x:v>140.5637772019795</x:v>
      </x:c>
      <x:c r="X52" s="147" t="n">
        <x:f aca="0">IFERROR((IFERROR(S13_PSP_Species_Support!U39*0.0673*(S13_PSP_Species_Support!V39*(S13_PSP_Species_Support!W39*(1-EXP(-S13_PSP_Species_Support!X39*15))^S13_PSP_Species_Support!Y39)^2*(S13_PSP_Species_Support!Z39*(1-EXP(-S13_PSP_Species_Support!AA39*15))^S13_PSP_Species_Support!AB39))^0.976,0)+IFERROR(S13_PSP_Species_Support!AF39*0.0673*(S13_PSP_Species_Support!AG39*(S13_PSP_Species_Support!AH39*(1-EXP(-S13_PSP_Species_Support!AI39*15))^S13_PSP_Species_Support!AJ39)^2*(S13_PSP_Species_Support!AK39*(1-EXP(-S13_PSP_Species_Support!AL39*15))^S13_PSP_Species_Support!AM39))^0.976,0)+IFERROR(S13_PSP_Species_Support!AQ39*0.0673*(S13_PSP_Species_Support!AR39*(S13_PSP_Species_Support!AS39*(1-EXP(-S13_PSP_Species_Support!AT39*15))^S13_PSP_Species_Support!AU39)^2*(S13_PSP_Species_Support!AV39*(1-EXP(-S13_PSP_Species_Support!AW39*15))^S13_PSP_Species_Support!AX39))^0.976,0)+IFERROR(S13_PSP_Species_Support!BB39*0.0673*(S13_PSP_Species_Support!BC39*(S13_PSP_Species_Support!BD39*(1-EXP(-S13_PSP_Species_Support!BE39*15))^S13_PSP_Species_Support!BF39)^2*(S13_PSP_Species_Support!BG39*(1-EXP(-S13_PSP_Species_Support!BH39*15))^S13_PSP_Species_Support!BI39))^0.976,0)+IFERROR(S13_PSP_Species_Support!BM39*0.0673*(S13_PSP_Species_Support!BN39*(S13_PSP_Species_Support!BO39*(1-EXP(-S13_PSP_Species_Support!BP39*15))^S13_PSP_Species_Support!BQ39)^2*(S13_PSP_Species_Support!BR39*(1-EXP(-S13_PSP_Species_Support!BS39*15))^S13_PSP_Species_Support!BT39))^0.976,0)+IFERROR(S13_PSP_Species_Support!BX39*0.0673*(S13_PSP_Species_Support!BY39*(S13_PSP_Species_Support!BZ39*(1-EXP(-S13_PSP_Species_Support!CA39*15))^S13_PSP_Species_Support!CB39)^2*(S13_PSP_Species_Support!CC39*(1-EXP(-S13_PSP_Species_Support!CD39*15))^S13_PSP_Species_Support!CE39))^0.976,0)+IFERROR(S13_PSP_Species_Support!CI39*0.0673*(S13_PSP_Species_Support!CJ39*(S13_PSP_Species_Support!CK39*(1-EXP(-S13_PSP_Species_Support!CL39*15))^S13_PSP_Species_Support!CM39)^2*(S13_PSP_Species_Support!CN39*(1-EXP(-S13_PSP_Species_Support!CO39*15))^S13_PSP_Species_Support!CP39))^0.976,0)+IFERROR(S13_PSP_Species_Support!CT39*0.0673*(S13_PSP_Species_Support!CU39*(S13_PSP_Species_Support!CV39*(1-EXP(-S13_PSP_Species_Support!CW39*15))^S13_PSP_Species_Support!CX39)^2*(S13_PSP_Species_Support!CY39*(1-EXP(-S13_PSP_Species_Support!CZ39*15))^S13_PSP_Species_Support!DA39))^0.976,0))/1000/$G52*X$108,0)</x:f>
        <x:v>148.40046468608688</x:v>
      </x:c>
      <x:c r="Y52" s="147" t="n">
        <x:f aca="0">IFERROR((IFERROR(S13_PSP_Species_Support!U39*0.0673*(S13_PSP_Species_Support!V39*(S13_PSP_Species_Support!W39*(1-EXP(-S13_PSP_Species_Support!X39*16))^S13_PSP_Species_Support!Y39)^2*(S13_PSP_Species_Support!Z39*(1-EXP(-S13_PSP_Species_Support!AA39*16))^S13_PSP_Species_Support!AB39))^0.976,0)+IFERROR(S13_PSP_Species_Support!AF39*0.0673*(S13_PSP_Species_Support!AG39*(S13_PSP_Species_Support!AH39*(1-EXP(-S13_PSP_Species_Support!AI39*16))^S13_PSP_Species_Support!AJ39)^2*(S13_PSP_Species_Support!AK39*(1-EXP(-S13_PSP_Species_Support!AL39*16))^S13_PSP_Species_Support!AM39))^0.976,0)+IFERROR(S13_PSP_Species_Support!AQ39*0.0673*(S13_PSP_Species_Support!AR39*(S13_PSP_Species_Support!AS39*(1-EXP(-S13_PSP_Species_Support!AT39*16))^S13_PSP_Species_Support!AU39)^2*(S13_PSP_Species_Support!AV39*(1-EXP(-S13_PSP_Species_Support!AW39*16))^S13_PSP_Species_Support!AX39))^0.976,0)+IFERROR(S13_PSP_Species_Support!BB39*0.0673*(S13_PSP_Species_Support!BC39*(S13_PSP_Species_Support!BD39*(1-EXP(-S13_PSP_Species_Support!BE39*16))^S13_PSP_Species_Support!BF39)^2*(S13_PSP_Species_Support!BG39*(1-EXP(-S13_PSP_Species_Support!BH39*16))^S13_PSP_Species_Support!BI39))^0.976,0)+IFERROR(S13_PSP_Species_Support!BM39*0.0673*(S13_PSP_Species_Support!BN39*(S13_PSP_Species_Support!BO39*(1-EXP(-S13_PSP_Species_Support!BP39*16))^S13_PSP_Species_Support!BQ39)^2*(S13_PSP_Species_Support!BR39*(1-EXP(-S13_PSP_Species_Support!BS39*16))^S13_PSP_Species_Support!BT39))^0.976,0)+IFERROR(S13_PSP_Species_Support!BX39*0.0673*(S13_PSP_Species_Support!BY39*(S13_PSP_Species_Support!BZ39*(1-EXP(-S13_PSP_Species_Support!CA39*16))^S13_PSP_Species_Support!CB39)^2*(S13_PSP_Species_Support!CC39*(1-EXP(-S13_PSP_Species_Support!CD39*16))^S13_PSP_Species_Support!CE39))^0.976,0)+IFERROR(S13_PSP_Species_Support!CI39*0.0673*(S13_PSP_Species_Support!CJ39*(S13_PSP_Species_Support!CK39*(1-EXP(-S13_PSP_Species_Support!CL39*16))^S13_PSP_Species_Support!CM39)^2*(S13_PSP_Species_Support!CN39*(1-EXP(-S13_PSP_Species_Support!CO39*16))^S13_PSP_Species_Support!CP39))^0.976,0)+IFERROR(S13_PSP_Species_Support!CT39*0.0673*(S13_PSP_Species_Support!CU39*(S13_PSP_Species_Support!CV39*(1-EXP(-S13_PSP_Species_Support!CW39*16))^S13_PSP_Species_Support!CX39)^2*(S13_PSP_Species_Support!CY39*(1-EXP(-S13_PSP_Species_Support!CZ39*16))^S13_PSP_Species_Support!DA39))^0.976,0))/1000/$G52*Y$108,0)</x:f>
        <x:v>155.16742026020344</x:v>
      </x:c>
      <x:c r="Z52" s="147" t="n">
        <x:f aca="0">IFERROR((IFERROR(S13_PSP_Species_Support!U39*0.0673*(S13_PSP_Species_Support!V39*(S13_PSP_Species_Support!W39*(1-EXP(-S13_PSP_Species_Support!X39*17))^S13_PSP_Species_Support!Y39)^2*(S13_PSP_Species_Support!Z39*(1-EXP(-S13_PSP_Species_Support!AA39*17))^S13_PSP_Species_Support!AB39))^0.976,0)+IFERROR(S13_PSP_Species_Support!AF39*0.0673*(S13_PSP_Species_Support!AG39*(S13_PSP_Species_Support!AH39*(1-EXP(-S13_PSP_Species_Support!AI39*17))^S13_PSP_Species_Support!AJ39)^2*(S13_PSP_Species_Support!AK39*(1-EXP(-S13_PSP_Species_Support!AL39*17))^S13_PSP_Species_Support!AM39))^0.976,0)+IFERROR(S13_PSP_Species_Support!AQ39*0.0673*(S13_PSP_Species_Support!AR39*(S13_PSP_Species_Support!AS39*(1-EXP(-S13_PSP_Species_Support!AT39*17))^S13_PSP_Species_Support!AU39)^2*(S13_PSP_Species_Support!AV39*(1-EXP(-S13_PSP_Species_Support!AW39*17))^S13_PSP_Species_Support!AX39))^0.976,0)+IFERROR(S13_PSP_Species_Support!BB39*0.0673*(S13_PSP_Species_Support!BC39*(S13_PSP_Species_Support!BD39*(1-EXP(-S13_PSP_Species_Support!BE39*17))^S13_PSP_Species_Support!BF39)^2*(S13_PSP_Species_Support!BG39*(1-EXP(-S13_PSP_Species_Support!BH39*17))^S13_PSP_Species_Support!BI39))^0.976,0)+IFERROR(S13_PSP_Species_Support!BM39*0.0673*(S13_PSP_Species_Support!BN39*(S13_PSP_Species_Support!BO39*(1-EXP(-S13_PSP_Species_Support!BP39*17))^S13_PSP_Species_Support!BQ39)^2*(S13_PSP_Species_Support!BR39*(1-EXP(-S13_PSP_Species_Support!BS39*17))^S13_PSP_Species_Support!BT39))^0.976,0)+IFERROR(S13_PSP_Species_Support!BX39*0.0673*(S13_PSP_Species_Support!BY39*(S13_PSP_Species_Support!BZ39*(1-EXP(-S13_PSP_Species_Support!CA39*17))^S13_PSP_Species_Support!CB39)^2*(S13_PSP_Species_Support!CC39*(1-EXP(-S13_PSP_Species_Support!CD39*17))^S13_PSP_Species_Support!CE39))^0.976,0)+IFERROR(S13_PSP_Species_Support!CI39*0.0673*(S13_PSP_Species_Support!CJ39*(S13_PSP_Species_Support!CK39*(1-EXP(-S13_PSP_Species_Support!CL39*17))^S13_PSP_Species_Support!CM39)^2*(S13_PSP_Species_Support!CN39*(1-EXP(-S13_PSP_Species_Support!CO39*17))^S13_PSP_Species_Support!CP39))^0.976,0)+IFERROR(S13_PSP_Species_Support!CT39*0.0673*(S13_PSP_Species_Support!CU39*(S13_PSP_Species_Support!CV39*(1-EXP(-S13_PSP_Species_Support!CW39*17))^S13_PSP_Species_Support!CX39)^2*(S13_PSP_Species_Support!CY39*(1-EXP(-S13_PSP_Species_Support!CZ39*17))^S13_PSP_Species_Support!DA39))^0.976,0))/1000/$G52*Z$108,0)</x:f>
        <x:v>160.97863455199365</x:v>
      </x:c>
      <x:c r="AA52" s="147" t="n">
        <x:f aca="0">IFERROR((IFERROR(S13_PSP_Species_Support!U39*0.0673*(S13_PSP_Species_Support!V39*(S13_PSP_Species_Support!W39*(1-EXP(-S13_PSP_Species_Support!X39*18))^S13_PSP_Species_Support!Y39)^2*(S13_PSP_Species_Support!Z39*(1-EXP(-S13_PSP_Species_Support!AA39*18))^S13_PSP_Species_Support!AB39))^0.976,0)+IFERROR(S13_PSP_Species_Support!AF39*0.0673*(S13_PSP_Species_Support!AG39*(S13_PSP_Species_Support!AH39*(1-EXP(-S13_PSP_Species_Support!AI39*18))^S13_PSP_Species_Support!AJ39)^2*(S13_PSP_Species_Support!AK39*(1-EXP(-S13_PSP_Species_Support!AL39*18))^S13_PSP_Species_Support!AM39))^0.976,0)+IFERROR(S13_PSP_Species_Support!AQ39*0.0673*(S13_PSP_Species_Support!AR39*(S13_PSP_Species_Support!AS39*(1-EXP(-S13_PSP_Species_Support!AT39*18))^S13_PSP_Species_Support!AU39)^2*(S13_PSP_Species_Support!AV39*(1-EXP(-S13_PSP_Species_Support!AW39*18))^S13_PSP_Species_Support!AX39))^0.976,0)+IFERROR(S13_PSP_Species_Support!BB39*0.0673*(S13_PSP_Species_Support!BC39*(S13_PSP_Species_Support!BD39*(1-EXP(-S13_PSP_Species_Support!BE39*18))^S13_PSP_Species_Support!BF39)^2*(S13_PSP_Species_Support!BG39*(1-EXP(-S13_PSP_Species_Support!BH39*18))^S13_PSP_Species_Support!BI39))^0.976,0)+IFERROR(S13_PSP_Species_Support!BM39*0.0673*(S13_PSP_Species_Support!BN39*(S13_PSP_Species_Support!BO39*(1-EXP(-S13_PSP_Species_Support!BP39*18))^S13_PSP_Species_Support!BQ39)^2*(S13_PSP_Species_Support!BR39*(1-EXP(-S13_PSP_Species_Support!BS39*18))^S13_PSP_Species_Support!BT39))^0.976,0)+IFERROR(S13_PSP_Species_Support!BX39*0.0673*(S13_PSP_Species_Support!BY39*(S13_PSP_Species_Support!BZ39*(1-EXP(-S13_PSP_Species_Support!CA39*18))^S13_PSP_Species_Support!CB39)^2*(S13_PSP_Species_Support!CC39*(1-EXP(-S13_PSP_Species_Support!CD39*18))^S13_PSP_Species_Support!CE39))^0.976,0)+IFERROR(S13_PSP_Species_Support!CI39*0.0673*(S13_PSP_Species_Support!CJ39*(S13_PSP_Species_Support!CK39*(1-EXP(-S13_PSP_Species_Support!CL39*18))^S13_PSP_Species_Support!CM39)^2*(S13_PSP_Species_Support!CN39*(1-EXP(-S13_PSP_Species_Support!CO39*18))^S13_PSP_Species_Support!CP39))^0.976,0)+IFERROR(S13_PSP_Species_Support!CT39*0.0673*(S13_PSP_Species_Support!CU39*(S13_PSP_Species_Support!CV39*(1-EXP(-S13_PSP_Species_Support!CW39*18))^S13_PSP_Species_Support!CX39)^2*(S13_PSP_Species_Support!CY39*(1-EXP(-S13_PSP_Species_Support!CZ39*18))^S13_PSP_Species_Support!DA39))^0.976,0))/1000/$G52*AA$108,0)</x:f>
        <x:v>165.9478696965608</x:v>
      </x:c>
      <x:c r="AB52" s="147" t="n">
        <x:f aca="0">IFERROR((IFERROR(S13_PSP_Species_Support!U39*0.0673*(S13_PSP_Species_Support!V39*(S13_PSP_Species_Support!W39*(1-EXP(-S13_PSP_Species_Support!X39*19))^S13_PSP_Species_Support!Y39)^2*(S13_PSP_Species_Support!Z39*(1-EXP(-S13_PSP_Species_Support!AA39*19))^S13_PSP_Species_Support!AB39))^0.976,0)+IFERROR(S13_PSP_Species_Support!AF39*0.0673*(S13_PSP_Species_Support!AG39*(S13_PSP_Species_Support!AH39*(1-EXP(-S13_PSP_Species_Support!AI39*19))^S13_PSP_Species_Support!AJ39)^2*(S13_PSP_Species_Support!AK39*(1-EXP(-S13_PSP_Species_Support!AL39*19))^S13_PSP_Species_Support!AM39))^0.976,0)+IFERROR(S13_PSP_Species_Support!AQ39*0.0673*(S13_PSP_Species_Support!AR39*(S13_PSP_Species_Support!AS39*(1-EXP(-S13_PSP_Species_Support!AT39*19))^S13_PSP_Species_Support!AU39)^2*(S13_PSP_Species_Support!AV39*(1-EXP(-S13_PSP_Species_Support!AW39*19))^S13_PSP_Species_Support!AX39))^0.976,0)+IFERROR(S13_PSP_Species_Support!BB39*0.0673*(S13_PSP_Species_Support!BC39*(S13_PSP_Species_Support!BD39*(1-EXP(-S13_PSP_Species_Support!BE39*19))^S13_PSP_Species_Support!BF39)^2*(S13_PSP_Species_Support!BG39*(1-EXP(-S13_PSP_Species_Support!BH39*19))^S13_PSP_Species_Support!BI39))^0.976,0)+IFERROR(S13_PSP_Species_Support!BM39*0.0673*(S13_PSP_Species_Support!BN39*(S13_PSP_Species_Support!BO39*(1-EXP(-S13_PSP_Species_Support!BP39*19))^S13_PSP_Species_Support!BQ39)^2*(S13_PSP_Species_Support!BR39*(1-EXP(-S13_PSP_Species_Support!BS39*19))^S13_PSP_Species_Support!BT39))^0.976,0)+IFERROR(S13_PSP_Species_Support!BX39*0.0673*(S13_PSP_Species_Support!BY39*(S13_PSP_Species_Support!BZ39*(1-EXP(-S13_PSP_Species_Support!CA39*19))^S13_PSP_Species_Support!CB39)^2*(S13_PSP_Species_Support!CC39*(1-EXP(-S13_PSP_Species_Support!CD39*19))^S13_PSP_Species_Support!CE39))^0.976,0)+IFERROR(S13_PSP_Species_Support!CI39*0.0673*(S13_PSP_Species_Support!CJ39*(S13_PSP_Species_Support!CK39*(1-EXP(-S13_PSP_Species_Support!CL39*19))^S13_PSP_Species_Support!CM39)^2*(S13_PSP_Species_Support!CN39*(1-EXP(-S13_PSP_Species_Support!CO39*19))^S13_PSP_Species_Support!CP39))^0.976,0)+IFERROR(S13_PSP_Species_Support!CT39*0.0673*(S13_PSP_Species_Support!CU39*(S13_PSP_Species_Support!CV39*(1-EXP(-S13_PSP_Species_Support!CW39*19))^S13_PSP_Species_Support!CX39)^2*(S13_PSP_Species_Support!CY39*(1-EXP(-S13_PSP_Species_Support!CZ39*19))^S13_PSP_Species_Support!DA39))^0.976,0))/1000/$G52*AB$108,0)</x:f>
        <x:v>170.1831754855321</x:v>
      </x:c>
      <x:c r="AC52" s="147" t="n">
        <x:f aca="0">IFERROR((IFERROR(S13_PSP_Species_Support!U39*0.0673*(S13_PSP_Species_Support!V39*(S13_PSP_Species_Support!W39*(1-EXP(-S13_PSP_Species_Support!X39*20))^S13_PSP_Species_Support!Y39)^2*(S13_PSP_Species_Support!Z39*(1-EXP(-S13_PSP_Species_Support!AA39*20))^S13_PSP_Species_Support!AB39))^0.976,0)+IFERROR(S13_PSP_Species_Support!AF39*0.0673*(S13_PSP_Species_Support!AG39*(S13_PSP_Species_Support!AH39*(1-EXP(-S13_PSP_Species_Support!AI39*20))^S13_PSP_Species_Support!AJ39)^2*(S13_PSP_Species_Support!AK39*(1-EXP(-S13_PSP_Species_Support!AL39*20))^S13_PSP_Species_Support!AM39))^0.976,0)+IFERROR(S13_PSP_Species_Support!AQ39*0.0673*(S13_PSP_Species_Support!AR39*(S13_PSP_Species_Support!AS39*(1-EXP(-S13_PSP_Species_Support!AT39*20))^S13_PSP_Species_Support!AU39)^2*(S13_PSP_Species_Support!AV39*(1-EXP(-S13_PSP_Species_Support!AW39*20))^S13_PSP_Species_Support!AX39))^0.976,0)+IFERROR(S13_PSP_Species_Support!BB39*0.0673*(S13_PSP_Species_Support!BC39*(S13_PSP_Species_Support!BD39*(1-EXP(-S13_PSP_Species_Support!BE39*20))^S13_PSP_Species_Support!BF39)^2*(S13_PSP_Species_Support!BG39*(1-EXP(-S13_PSP_Species_Support!BH39*20))^S13_PSP_Species_Support!BI39))^0.976,0)+IFERROR(S13_PSP_Species_Support!BM39*0.0673*(S13_PSP_Species_Support!BN39*(S13_PSP_Species_Support!BO39*(1-EXP(-S13_PSP_Species_Support!BP39*20))^S13_PSP_Species_Support!BQ39)^2*(S13_PSP_Species_Support!BR39*(1-EXP(-S13_PSP_Species_Support!BS39*20))^S13_PSP_Species_Support!BT39))^0.976,0)+IFERROR(S13_PSP_Species_Support!BX39*0.0673*(S13_PSP_Species_Support!BY39*(S13_PSP_Species_Support!BZ39*(1-EXP(-S13_PSP_Species_Support!CA39*20))^S13_PSP_Species_Support!CB39)^2*(S13_PSP_Species_Support!CC39*(1-EXP(-S13_PSP_Species_Support!CD39*20))^S13_PSP_Species_Support!CE39))^0.976,0)+IFERROR(S13_PSP_Species_Support!CI39*0.0673*(S13_PSP_Species_Support!CJ39*(S13_PSP_Species_Support!CK39*(1-EXP(-S13_PSP_Species_Support!CL39*20))^S13_PSP_Species_Support!CM39)^2*(S13_PSP_Species_Support!CN39*(1-EXP(-S13_PSP_Species_Support!CO39*20))^S13_PSP_Species_Support!CP39))^0.976,0)+IFERROR(S13_PSP_Species_Support!CT39*0.0673*(S13_PSP_Species_Support!CU39*(S13_PSP_Species_Support!CV39*(1-EXP(-S13_PSP_Species_Support!CW39*20))^S13_PSP_Species_Support!CX39)^2*(S13_PSP_Species_Support!CY39*(1-EXP(-S13_PSP_Species_Support!CZ39*20))^S13_PSP_Species_Support!DA39))^0.976,0))/1000/$G52*AC$108,0)</x:f>
        <x:v>173.7838911496356</x:v>
      </x:c>
      <x:c r="AD52" s="148" t="n">
        <x:f aca="0">IF(2020&lt;$F52,0,INDEX($I52:$AC52,1,2020-$F52+1))</x:f>
        <x:v>0</x:v>
      </x:c>
      <x:c r="AE52" s="148" t="n">
        <x:f aca="0">IF(2021&lt;$F52,0,INDEX($I52:$AC52,1,2021-$F52+1))</x:f>
        <x:v>0</x:v>
      </x:c>
      <x:c r="AF52" s="148" t="n">
        <x:f aca="0">IF(2022&lt;$F52,0,INDEX($I52:$AC52,1,2022-$F52+1))</x:f>
        <x:v>0</x:v>
      </x:c>
      <x:c r="AG52" s="148" t="n">
        <x:f aca="0">IF(2023&lt;$F52,0,INDEX($I52:$AC52,1,2023-$F52+1))</x:f>
        <x:v>0.12118901733511145</x:v>
      </x:c>
      <x:c r="AH52" s="148" t="n">
        <x:f aca="0">IF(2024&lt;$F52,0,INDEX($I52:$AC52,1,2024-$F52+1))</x:f>
        <x:v>1.5365915006716209</x:v>
      </x:c>
      <x:c r="AI52" s="148" t="n">
        <x:f aca="0">IF(2025&lt;$F52,0,INDEX($I52:$AC52,1,2025-$F52+1))</x:f>
        <x:v>5.836184476622616</x:v>
      </x:c>
      <x:c r="AJ52" s="148" t="n">
        <x:f aca="0">IF(2026&lt;$F52,0,INDEX($I52:$AC52,1,2026-$F52+1))</x:f>
        <x:v>13.725526639976016</x:v>
      </x:c>
      <x:c r="AK52" s="148" t="n">
        <x:f aca="0">IF(2027&lt;$F52,0,INDEX($I52:$AC52,1,2027-$F52+1))</x:f>
        <x:v>24.843338068828697</x:v>
      </x:c>
      <x:c r="AL52" s="148" t="n">
        <x:f aca="0">IF(2028&lt;$F52,0,INDEX($I52:$AC52,1,2028-$F52+1))</x:f>
        <x:v>38.292532172383865</x:v>
      </x:c>
      <x:c r="AM52" s="148" t="n">
        <x:f aca="0">IF(2029&lt;$F52,0,INDEX($I52:$AC52,1,2029-$F52+1))</x:f>
        <x:v>53.039530424532906</x:v>
      </x:c>
      <x:c r="AN52" s="148" t="n">
        <x:f aca="0">IF(2030&lt;$F52,0,INDEX($I52:$AC52,1,2030-$F52+1))</x:f>
        <x:v>68.15973498301413</x:v>
      </x:c>
      <x:c r="AO52" s="148" t="n">
        <x:f aca="0">IF(2031&lt;$F52,0,INDEX($I52:$AC52,1,2031-$F52+1))</x:f>
        <x:v>82.93953753698347</x:v>
      </x:c>
      <x:c r="AP52" s="148" t="n">
        <x:f aca="0">IF(2032&lt;$F52,0,INDEX($I52:$AC52,1,2032-$F52+1))</x:f>
        <x:v>96.89016183348411</x:v>
      </x:c>
      <x:c r="AQ52" s="148" t="n">
        <x:f aca="0">IF(2033&lt;$F52,0,INDEX($I52:$AC52,1,2033-$F52+1))</x:f>
        <x:v>109.71852028325812</x:v>
      </x:c>
      <x:c r="AR52" s="148" t="n">
        <x:f aca="0">IF(2034&lt;$F52,0,INDEX($I52:$AC52,1,2034-$F52+1))</x:f>
        <x:v>121.28344161391658</x:v>
      </x:c>
      <x:c r="AS52" s="148" t="n">
        <x:f aca="0">IF(2035&lt;$F52,0,INDEX($I52:$AC52,1,2035-$F52+1))</x:f>
        <x:v>131.55220444487796</x:v>
      </x:c>
      <x:c r="AT52" s="148" t="n">
        <x:f aca="0">IF(2036&lt;$F52,0,INDEX($I52:$AC52,1,2036-$F52+1))</x:f>
        <x:v>140.5637772019795</x:v>
      </x:c>
      <x:c r="AU52" s="148" t="n">
        <x:f aca="0">IF(2037&lt;$F52,0,INDEX($I52:$AC52,1,2037-$F52+1))</x:f>
        <x:v>148.40046468608688</x:v>
      </x:c>
      <x:c r="AV52" s="148" t="n">
        <x:f aca="0">IF(2038&lt;$F52,0,INDEX($I52:$AC52,1,2038-$F52+1))</x:f>
        <x:v>155.16742026020344</x:v>
      </x:c>
      <x:c r="AW52" s="148" t="n">
        <x:f aca="0">IF(2039&lt;$F52,0,INDEX($I52:$AC52,1,2039-$F52+1))</x:f>
        <x:v>160.97863455199365</x:v>
      </x:c>
      <x:c r="AX52" s="148" t="n">
        <x:f aca="0">IF(2040&lt;$F52,0,INDEX($I52:$AC52,1,2040-$F52+1))</x:f>
        <x:v>165.9478696965608</x:v>
      </x:c>
      <x:c r="AY52" s="1" t="str">
        <x:f aca="0">LEFT($C52,FIND("@",SUBSTITUTE($C52,"|","@",2))-1)</x:f>
        <x:v>Mixed Agroforestry|High</x:v>
      </x:c>
      <x:c r="AZ52" s="1" t="str">
        <x:f aca="0">LEFT($C52,FIND("|",$C52)-1)</x:f>
        <x:v>Mixed Agroforestry</x:v>
      </x:c>
      <x:c r="BA52" s="149" t="n">
        <x:f aca="0">I52*I52</x:f>
        <x:v>0</x:v>
      </x:c>
      <x:c r="BB52" s="149" t="n">
        <x:f aca="0">J52*J52</x:f>
        <x:v>0.014686777922649942</x:v>
      </x:c>
      <x:c r="BC52" s="149" t="n">
        <x:f aca="0">K52*K52</x:f>
        <x:v>2.361113439936264</x:v>
      </x:c>
      <x:c r="BD52" s="149" t="n">
        <x:f aca="0">L52*L52</x:f>
        <x:v>34.0610492451708</x:v>
      </x:c>
      <x:c r="BE52" s="149" t="n">
        <x:f aca="0">M52*M52</x:f>
        <x:v>188.3900815446913</x:v>
      </x:c>
      <x:c r="BF52" s="149" t="n">
        <x:f aca="0">N52*N52</x:f>
        <x:v>617.1914464021131</x:v>
      </x:c>
      <x:c r="BG52" s="149" t="n">
        <x:f aca="0">O52*O52</x:f>
        <x:v>1466.3180201730534</x:v>
      </x:c>
      <x:c r="BH52" s="149" t="n">
        <x:f aca="0">P52*P52</x:f>
        <x:v>2813.191787654952</x:v>
      </x:c>
      <x:c r="BI52" s="149" t="n">
        <x:f aca="0">Q52*Q52</x:f>
        <x:v>4645.749472954721</x:v>
      </x:c>
      <x:c r="BJ52" s="149" t="n">
        <x:f aca="0">R52*R52</x:f>
        <x:v>6878.96688684869</x:v>
      </x:c>
      <x:c r="BK52" s="149" t="n">
        <x:f aca="0">S52*S52</x:f>
        <x:v>9387.703460118742</x:v>
      </x:c>
      <x:c r="BL52" s="149" t="n">
        <x:f aca="0">T52*T52</x:f>
        <x:v>12038.153693147722</x:v>
      </x:c>
      <x:c r="BM52" s="149" t="n">
        <x:f aca="0">U52*U52</x:f>
        <x:v>14709.673209716311</x:v>
      </x:c>
      <x:c r="BN52" s="149" t="n">
        <x:f aca="0">V52*V52</x:f>
        <x:v>17305.98249430697</x:v>
      </x:c>
      <x:c r="BO52" s="149" t="n">
        <x:f aca="0">W52*W52</x:f>
        <x:v>19758.17546128773</x:v>
      </x:c>
      <x:c r="BP52" s="149" t="n">
        <x:f aca="0">X52*X52</x:f>
        <x:v>22022.697919046517</x:v>
      </x:c>
      <x:c r="BQ52" s="149" t="n">
        <x:f aca="0">Y52*Y52</x:f>
        <x:v>24076.928310206593</x:v>
      </x:c>
      <x:c r="BR52" s="149" t="n">
        <x:f aca="0">Z52*Z52</x:f>
        <x:v>25914.120782224323</x:v>
      </x:c>
      <x:c r="BS52" s="149" t="n">
        <x:f aca="0">AA52*AA52</x:f>
        <x:v>27538.695456826717</x:v>
      </x:c>
      <x:c r="BT52" s="149" t="n">
        <x:f aca="0">AB52*AB52</x:f>
        <x:v>28962.313218339415</x:v>
      </x:c>
      <x:c r="BU52" s="149" t="n">
        <x:f aca="0">AC52*AC52</x:f>
        <x:v>30200.840823108392</x:v>
      </x:c>
    </x:row>
    <x:row r="53" ht="15" hidden="0" customHeight="1">
      <x:c r="A53" s="1" t="str">
        <x:f aca="0">S13_PSP_Species_Support!A40</x:f>
        <x:v>PSP-MA-007</x:v>
      </x:c>
      <x:c r="B53" s="1" t="n">
        <x:f aca="0">40</x:f>
        <x:v>40</x:v>
      </x:c>
      <x:c r="C53" s="1" t="str">
        <x:f aca="0">S13_PSP_Species_Support!I40</x:f>
        <x:v>Mixed Agroforestry|Medium|2023</x:v>
      </x:c>
      <x:c r="D53" s="1" t="str">
        <x:f aca="0">S13_PSP_Species_Support!C40</x:f>
        <x:v>Mixed Agroforestry Model</x:v>
      </x:c>
      <x:c r="E53" s="1" t="str">
        <x:f aca="0">S13_PSP_Species_Support!D40</x:f>
        <x:v>Medium</x:v>
      </x:c>
      <x:c r="F53" s="1" t="n">
        <x:f aca="0">S13_PSP_Species_Support!E40</x:f>
        <x:v>2023</x:v>
      </x:c>
      <x:c r="G53" s="645" t="n">
        <x:f aca="0">'S13_PSP_Species_Support'!DJ40</x:f>
        <x:v>0.09</x:v>
      </x:c>
      <x:c r="H53" s="714" t="n">
        <x:f aca="0">'S13_PSP_Species_Support'!DK40</x:f>
        <x:v>41.91244954982924</x:v>
      </x:c>
      <x:c r="I53" s="147" t="n">
        <x:f aca="0">IFERROR((IFERROR(S13_PSP_Species_Support!U40*0.0673*(S13_PSP_Species_Support!V40*(S13_PSP_Species_Support!W40*(1-EXP(-S13_PSP_Species_Support!X40*0))^S13_PSP_Species_Support!Y40)^2*(S13_PSP_Species_Support!Z40*(1-EXP(-S13_PSP_Species_Support!AA40*0))^S13_PSP_Species_Support!AB40))^0.976,0)+IFERROR(S13_PSP_Species_Support!AF40*0.0673*(S13_PSP_Species_Support!AG40*(S13_PSP_Species_Support!AH40*(1-EXP(-S13_PSP_Species_Support!AI40*0))^S13_PSP_Species_Support!AJ40)^2*(S13_PSP_Species_Support!AK40*(1-EXP(-S13_PSP_Species_Support!AL40*0))^S13_PSP_Species_Support!AM40))^0.976,0)+IFERROR(S13_PSP_Species_Support!AQ40*0.0673*(S13_PSP_Species_Support!AR40*(S13_PSP_Species_Support!AS40*(1-EXP(-S13_PSP_Species_Support!AT40*0))^S13_PSP_Species_Support!AU40)^2*(S13_PSP_Species_Support!AV40*(1-EXP(-S13_PSP_Species_Support!AW40*0))^S13_PSP_Species_Support!AX40))^0.976,0)+IFERROR(S13_PSP_Species_Support!BB40*0.0673*(S13_PSP_Species_Support!BC40*(S13_PSP_Species_Support!BD40*(1-EXP(-S13_PSP_Species_Support!BE40*0))^S13_PSP_Species_Support!BF40)^2*(S13_PSP_Species_Support!BG40*(1-EXP(-S13_PSP_Species_Support!BH40*0))^S13_PSP_Species_Support!BI40))^0.976,0)+IFERROR(S13_PSP_Species_Support!BM40*0.0673*(S13_PSP_Species_Support!BN40*(S13_PSP_Species_Support!BO40*(1-EXP(-S13_PSP_Species_Support!BP40*0))^S13_PSP_Species_Support!BQ40)^2*(S13_PSP_Species_Support!BR40*(1-EXP(-S13_PSP_Species_Support!BS40*0))^S13_PSP_Species_Support!BT40))^0.976,0)+IFERROR(S13_PSP_Species_Support!BX40*0.0673*(S13_PSP_Species_Support!BY40*(S13_PSP_Species_Support!BZ40*(1-EXP(-S13_PSP_Species_Support!CA40*0))^S13_PSP_Species_Support!CB40)^2*(S13_PSP_Species_Support!CC40*(1-EXP(-S13_PSP_Species_Support!CD40*0))^S13_PSP_Species_Support!CE40))^0.976,0)+IFERROR(S13_PSP_Species_Support!CI40*0.0673*(S13_PSP_Species_Support!CJ40*(S13_PSP_Species_Support!CK40*(1-EXP(-S13_PSP_Species_Support!CL40*0))^S13_PSP_Species_Support!CM40)^2*(S13_PSP_Species_Support!CN40*(1-EXP(-S13_PSP_Species_Support!CO40*0))^S13_PSP_Species_Support!CP40))^0.976,0)+IFERROR(S13_PSP_Species_Support!CT40*0.0673*(S13_PSP_Species_Support!CU40*(S13_PSP_Species_Support!CV40*(1-EXP(-S13_PSP_Species_Support!CW40*0))^S13_PSP_Species_Support!CX40)^2*(S13_PSP_Species_Support!CY40*(1-EXP(-S13_PSP_Species_Support!CZ40*0))^S13_PSP_Species_Support!DA40))^0.976,0))/1000/$G53*I$108,0)</x:f>
        <x:v>0</x:v>
      </x:c>
      <x:c r="J53" s="147" t="n">
        <x:f aca="0">IFERROR((IFERROR(S13_PSP_Species_Support!U40*0.0673*(S13_PSP_Species_Support!V40*(S13_PSP_Species_Support!W40*(1-EXP(-S13_PSP_Species_Support!X40*1))^S13_PSP_Species_Support!Y40)^2*(S13_PSP_Species_Support!Z40*(1-EXP(-S13_PSP_Species_Support!AA40*1))^S13_PSP_Species_Support!AB40))^0.976,0)+IFERROR(S13_PSP_Species_Support!AF40*0.0673*(S13_PSP_Species_Support!AG40*(S13_PSP_Species_Support!AH40*(1-EXP(-S13_PSP_Species_Support!AI40*1))^S13_PSP_Species_Support!AJ40)^2*(S13_PSP_Species_Support!AK40*(1-EXP(-S13_PSP_Species_Support!AL40*1))^S13_PSP_Species_Support!AM40))^0.976,0)+IFERROR(S13_PSP_Species_Support!AQ40*0.0673*(S13_PSP_Species_Support!AR40*(S13_PSP_Species_Support!AS40*(1-EXP(-S13_PSP_Species_Support!AT40*1))^S13_PSP_Species_Support!AU40)^2*(S13_PSP_Species_Support!AV40*(1-EXP(-S13_PSP_Species_Support!AW40*1))^S13_PSP_Species_Support!AX40))^0.976,0)+IFERROR(S13_PSP_Species_Support!BB40*0.0673*(S13_PSP_Species_Support!BC40*(S13_PSP_Species_Support!BD40*(1-EXP(-S13_PSP_Species_Support!BE40*1))^S13_PSP_Species_Support!BF40)^2*(S13_PSP_Species_Support!BG40*(1-EXP(-S13_PSP_Species_Support!BH40*1))^S13_PSP_Species_Support!BI40))^0.976,0)+IFERROR(S13_PSP_Species_Support!BM40*0.0673*(S13_PSP_Species_Support!BN40*(S13_PSP_Species_Support!BO40*(1-EXP(-S13_PSP_Species_Support!BP40*1))^S13_PSP_Species_Support!BQ40)^2*(S13_PSP_Species_Support!BR40*(1-EXP(-S13_PSP_Species_Support!BS40*1))^S13_PSP_Species_Support!BT40))^0.976,0)+IFERROR(S13_PSP_Species_Support!BX40*0.0673*(S13_PSP_Species_Support!BY40*(S13_PSP_Species_Support!BZ40*(1-EXP(-S13_PSP_Species_Support!CA40*1))^S13_PSP_Species_Support!CB40)^2*(S13_PSP_Species_Support!CC40*(1-EXP(-S13_PSP_Species_Support!CD40*1))^S13_PSP_Species_Support!CE40))^0.976,0)+IFERROR(S13_PSP_Species_Support!CI40*0.0673*(S13_PSP_Species_Support!CJ40*(S13_PSP_Species_Support!CK40*(1-EXP(-S13_PSP_Species_Support!CL40*1))^S13_PSP_Species_Support!CM40)^2*(S13_PSP_Species_Support!CN40*(1-EXP(-S13_PSP_Species_Support!CO40*1))^S13_PSP_Species_Support!CP40))^0.976,0)+IFERROR(S13_PSP_Species_Support!CT40*0.0673*(S13_PSP_Species_Support!CU40*(S13_PSP_Species_Support!CV40*(1-EXP(-S13_PSP_Species_Support!CW40*1))^S13_PSP_Species_Support!CX40)^2*(S13_PSP_Species_Support!CY40*(1-EXP(-S13_PSP_Species_Support!CZ40*1))^S13_PSP_Species_Support!DA40))^0.976,0))/1000/$G53*J$108,0)</x:f>
        <x:v>0.1363675738863669</x:v>
      </x:c>
      <x:c r="K53" s="147" t="n">
        <x:f aca="0">IFERROR((IFERROR(S13_PSP_Species_Support!U40*0.0673*(S13_PSP_Species_Support!V40*(S13_PSP_Species_Support!W40*(1-EXP(-S13_PSP_Species_Support!X40*2))^S13_PSP_Species_Support!Y40)^2*(S13_PSP_Species_Support!Z40*(1-EXP(-S13_PSP_Species_Support!AA40*2))^S13_PSP_Species_Support!AB40))^0.976,0)+IFERROR(S13_PSP_Species_Support!AF40*0.0673*(S13_PSP_Species_Support!AG40*(S13_PSP_Species_Support!AH40*(1-EXP(-S13_PSP_Species_Support!AI40*2))^S13_PSP_Species_Support!AJ40)^2*(S13_PSP_Species_Support!AK40*(1-EXP(-S13_PSP_Species_Support!AL40*2))^S13_PSP_Species_Support!AM40))^0.976,0)+IFERROR(S13_PSP_Species_Support!AQ40*0.0673*(S13_PSP_Species_Support!AR40*(S13_PSP_Species_Support!AS40*(1-EXP(-S13_PSP_Species_Support!AT40*2))^S13_PSP_Species_Support!AU40)^2*(S13_PSP_Species_Support!AV40*(1-EXP(-S13_PSP_Species_Support!AW40*2))^S13_PSP_Species_Support!AX40))^0.976,0)+IFERROR(S13_PSP_Species_Support!BB40*0.0673*(S13_PSP_Species_Support!BC40*(S13_PSP_Species_Support!BD40*(1-EXP(-S13_PSP_Species_Support!BE40*2))^S13_PSP_Species_Support!BF40)^2*(S13_PSP_Species_Support!BG40*(1-EXP(-S13_PSP_Species_Support!BH40*2))^S13_PSP_Species_Support!BI40))^0.976,0)+IFERROR(S13_PSP_Species_Support!BM40*0.0673*(S13_PSP_Species_Support!BN40*(S13_PSP_Species_Support!BO40*(1-EXP(-S13_PSP_Species_Support!BP40*2))^S13_PSP_Species_Support!BQ40)^2*(S13_PSP_Species_Support!BR40*(1-EXP(-S13_PSP_Species_Support!BS40*2))^S13_PSP_Species_Support!BT40))^0.976,0)+IFERROR(S13_PSP_Species_Support!BX40*0.0673*(S13_PSP_Species_Support!BY40*(S13_PSP_Species_Support!BZ40*(1-EXP(-S13_PSP_Species_Support!CA40*2))^S13_PSP_Species_Support!CB40)^2*(S13_PSP_Species_Support!CC40*(1-EXP(-S13_PSP_Species_Support!CD40*2))^S13_PSP_Species_Support!CE40))^0.976,0)+IFERROR(S13_PSP_Species_Support!CI40*0.0673*(S13_PSP_Species_Support!CJ40*(S13_PSP_Species_Support!CK40*(1-EXP(-S13_PSP_Species_Support!CL40*2))^S13_PSP_Species_Support!CM40)^2*(S13_PSP_Species_Support!CN40*(1-EXP(-S13_PSP_Species_Support!CO40*2))^S13_PSP_Species_Support!CP40))^0.976,0)+IFERROR(S13_PSP_Species_Support!CT40*0.0673*(S13_PSP_Species_Support!CU40*(S13_PSP_Species_Support!CV40*(1-EXP(-S13_PSP_Species_Support!CW40*2))^S13_PSP_Species_Support!CX40)^2*(S13_PSP_Species_Support!CY40*(1-EXP(-S13_PSP_Species_Support!CZ40*2))^S13_PSP_Species_Support!DA40))^0.976,0))/1000/$G53*K$108,0)</x:f>
        <x:v>1.6379215981373978</x:v>
      </x:c>
      <x:c r="L53" s="147" t="n">
        <x:f aca="0">IFERROR((IFERROR(S13_PSP_Species_Support!U40*0.0673*(S13_PSP_Species_Support!V40*(S13_PSP_Species_Support!W40*(1-EXP(-S13_PSP_Species_Support!X40*3))^S13_PSP_Species_Support!Y40)^2*(S13_PSP_Species_Support!Z40*(1-EXP(-S13_PSP_Species_Support!AA40*3))^S13_PSP_Species_Support!AB40))^0.976,0)+IFERROR(S13_PSP_Species_Support!AF40*0.0673*(S13_PSP_Species_Support!AG40*(S13_PSP_Species_Support!AH40*(1-EXP(-S13_PSP_Species_Support!AI40*3))^S13_PSP_Species_Support!AJ40)^2*(S13_PSP_Species_Support!AK40*(1-EXP(-S13_PSP_Species_Support!AL40*3))^S13_PSP_Species_Support!AM40))^0.976,0)+IFERROR(S13_PSP_Species_Support!AQ40*0.0673*(S13_PSP_Species_Support!AR40*(S13_PSP_Species_Support!AS40*(1-EXP(-S13_PSP_Species_Support!AT40*3))^S13_PSP_Species_Support!AU40)^2*(S13_PSP_Species_Support!AV40*(1-EXP(-S13_PSP_Species_Support!AW40*3))^S13_PSP_Species_Support!AX40))^0.976,0)+IFERROR(S13_PSP_Species_Support!BB40*0.0673*(S13_PSP_Species_Support!BC40*(S13_PSP_Species_Support!BD40*(1-EXP(-S13_PSP_Species_Support!BE40*3))^S13_PSP_Species_Support!BF40)^2*(S13_PSP_Species_Support!BG40*(1-EXP(-S13_PSP_Species_Support!BH40*3))^S13_PSP_Species_Support!BI40))^0.976,0)+IFERROR(S13_PSP_Species_Support!BM40*0.0673*(S13_PSP_Species_Support!BN40*(S13_PSP_Species_Support!BO40*(1-EXP(-S13_PSP_Species_Support!BP40*3))^S13_PSP_Species_Support!BQ40)^2*(S13_PSP_Species_Support!BR40*(1-EXP(-S13_PSP_Species_Support!BS40*3))^S13_PSP_Species_Support!BT40))^0.976,0)+IFERROR(S13_PSP_Species_Support!BX40*0.0673*(S13_PSP_Species_Support!BY40*(S13_PSP_Species_Support!BZ40*(1-EXP(-S13_PSP_Species_Support!CA40*3))^S13_PSP_Species_Support!CB40)^2*(S13_PSP_Species_Support!CC40*(1-EXP(-S13_PSP_Species_Support!CD40*3))^S13_PSP_Species_Support!CE40))^0.976,0)+IFERROR(S13_PSP_Species_Support!CI40*0.0673*(S13_PSP_Species_Support!CJ40*(S13_PSP_Species_Support!CK40*(1-EXP(-S13_PSP_Species_Support!CL40*3))^S13_PSP_Species_Support!CM40)^2*(S13_PSP_Species_Support!CN40*(1-EXP(-S13_PSP_Species_Support!CO40*3))^S13_PSP_Species_Support!CP40))^0.976,0)+IFERROR(S13_PSP_Species_Support!CT40*0.0673*(S13_PSP_Species_Support!CU40*(S13_PSP_Species_Support!CV40*(1-EXP(-S13_PSP_Species_Support!CW40*3))^S13_PSP_Species_Support!CX40)^2*(S13_PSP_Species_Support!CY40*(1-EXP(-S13_PSP_Species_Support!CZ40*3))^S13_PSP_Species_Support!DA40))^0.976,0))/1000/$G53*L$108,0)</x:f>
        <x:v>6.280964278325986</x:v>
      </x:c>
      <x:c r="M53" s="147" t="n">
        <x:f aca="0">IFERROR((IFERROR(S13_PSP_Species_Support!U40*0.0673*(S13_PSP_Species_Support!V40*(S13_PSP_Species_Support!W40*(1-EXP(-S13_PSP_Species_Support!X40*4))^S13_PSP_Species_Support!Y40)^2*(S13_PSP_Species_Support!Z40*(1-EXP(-S13_PSP_Species_Support!AA40*4))^S13_PSP_Species_Support!AB40))^0.976,0)+IFERROR(S13_PSP_Species_Support!AF40*0.0673*(S13_PSP_Species_Support!AG40*(S13_PSP_Species_Support!AH40*(1-EXP(-S13_PSP_Species_Support!AI40*4))^S13_PSP_Species_Support!AJ40)^2*(S13_PSP_Species_Support!AK40*(1-EXP(-S13_PSP_Species_Support!AL40*4))^S13_PSP_Species_Support!AM40))^0.976,0)+IFERROR(S13_PSP_Species_Support!AQ40*0.0673*(S13_PSP_Species_Support!AR40*(S13_PSP_Species_Support!AS40*(1-EXP(-S13_PSP_Species_Support!AT40*4))^S13_PSP_Species_Support!AU40)^2*(S13_PSP_Species_Support!AV40*(1-EXP(-S13_PSP_Species_Support!AW40*4))^S13_PSP_Species_Support!AX40))^0.976,0)+IFERROR(S13_PSP_Species_Support!BB40*0.0673*(S13_PSP_Species_Support!BC40*(S13_PSP_Species_Support!BD40*(1-EXP(-S13_PSP_Species_Support!BE40*4))^S13_PSP_Species_Support!BF40)^2*(S13_PSP_Species_Support!BG40*(1-EXP(-S13_PSP_Species_Support!BH40*4))^S13_PSP_Species_Support!BI40))^0.976,0)+IFERROR(S13_PSP_Species_Support!BM40*0.0673*(S13_PSP_Species_Support!BN40*(S13_PSP_Species_Support!BO40*(1-EXP(-S13_PSP_Species_Support!BP40*4))^S13_PSP_Species_Support!BQ40)^2*(S13_PSP_Species_Support!BR40*(1-EXP(-S13_PSP_Species_Support!BS40*4))^S13_PSP_Species_Support!BT40))^0.976,0)+IFERROR(S13_PSP_Species_Support!BX40*0.0673*(S13_PSP_Species_Support!BY40*(S13_PSP_Species_Support!BZ40*(1-EXP(-S13_PSP_Species_Support!CA40*4))^S13_PSP_Species_Support!CB40)^2*(S13_PSP_Species_Support!CC40*(1-EXP(-S13_PSP_Species_Support!CD40*4))^S13_PSP_Species_Support!CE40))^0.976,0)+IFERROR(S13_PSP_Species_Support!CI40*0.0673*(S13_PSP_Species_Support!CJ40*(S13_PSP_Species_Support!CK40*(1-EXP(-S13_PSP_Species_Support!CL40*4))^S13_PSP_Species_Support!CM40)^2*(S13_PSP_Species_Support!CN40*(1-EXP(-S13_PSP_Species_Support!CO40*4))^S13_PSP_Species_Support!CP40))^0.976,0)+IFERROR(S13_PSP_Species_Support!CT40*0.0673*(S13_PSP_Species_Support!CU40*(S13_PSP_Species_Support!CV40*(1-EXP(-S13_PSP_Species_Support!CW40*4))^S13_PSP_Species_Support!CX40)^2*(S13_PSP_Species_Support!CY40*(1-EXP(-S13_PSP_Species_Support!CZ40*4))^S13_PSP_Species_Support!DA40))^0.976,0))/1000/$G53*M$108,0)</x:f>
        <x:v>15.24960406308962</x:v>
      </x:c>
      <x:c r="N53" s="147" t="n">
        <x:f aca="0">IFERROR((IFERROR(S13_PSP_Species_Support!U40*0.0673*(S13_PSP_Species_Support!V40*(S13_PSP_Species_Support!W40*(1-EXP(-S13_PSP_Species_Support!X40*5))^S13_PSP_Species_Support!Y40)^2*(S13_PSP_Species_Support!Z40*(1-EXP(-S13_PSP_Species_Support!AA40*5))^S13_PSP_Species_Support!AB40))^0.976,0)+IFERROR(S13_PSP_Species_Support!AF40*0.0673*(S13_PSP_Species_Support!AG40*(S13_PSP_Species_Support!AH40*(1-EXP(-S13_PSP_Species_Support!AI40*5))^S13_PSP_Species_Support!AJ40)^2*(S13_PSP_Species_Support!AK40*(1-EXP(-S13_PSP_Species_Support!AL40*5))^S13_PSP_Species_Support!AM40))^0.976,0)+IFERROR(S13_PSP_Species_Support!AQ40*0.0673*(S13_PSP_Species_Support!AR40*(S13_PSP_Species_Support!AS40*(1-EXP(-S13_PSP_Species_Support!AT40*5))^S13_PSP_Species_Support!AU40)^2*(S13_PSP_Species_Support!AV40*(1-EXP(-S13_PSP_Species_Support!AW40*5))^S13_PSP_Species_Support!AX40))^0.976,0)+IFERROR(S13_PSP_Species_Support!BB40*0.0673*(S13_PSP_Species_Support!BC40*(S13_PSP_Species_Support!BD40*(1-EXP(-S13_PSP_Species_Support!BE40*5))^S13_PSP_Species_Support!BF40)^2*(S13_PSP_Species_Support!BG40*(1-EXP(-S13_PSP_Species_Support!BH40*5))^S13_PSP_Species_Support!BI40))^0.976,0)+IFERROR(S13_PSP_Species_Support!BM40*0.0673*(S13_PSP_Species_Support!BN40*(S13_PSP_Species_Support!BO40*(1-EXP(-S13_PSP_Species_Support!BP40*5))^S13_PSP_Species_Support!BQ40)^2*(S13_PSP_Species_Support!BR40*(1-EXP(-S13_PSP_Species_Support!BS40*5))^S13_PSP_Species_Support!BT40))^0.976,0)+IFERROR(S13_PSP_Species_Support!BX40*0.0673*(S13_PSP_Species_Support!BY40*(S13_PSP_Species_Support!BZ40*(1-EXP(-S13_PSP_Species_Support!CA40*5))^S13_PSP_Species_Support!CB40)^2*(S13_PSP_Species_Support!CC40*(1-EXP(-S13_PSP_Species_Support!CD40*5))^S13_PSP_Species_Support!CE40))^0.976,0)+IFERROR(S13_PSP_Species_Support!CI40*0.0673*(S13_PSP_Species_Support!CJ40*(S13_PSP_Species_Support!CK40*(1-EXP(-S13_PSP_Species_Support!CL40*5))^S13_PSP_Species_Support!CM40)^2*(S13_PSP_Species_Support!CN40*(1-EXP(-S13_PSP_Species_Support!CO40*5))^S13_PSP_Species_Support!CP40))^0.976,0)+IFERROR(S13_PSP_Species_Support!CT40*0.0673*(S13_PSP_Species_Support!CU40*(S13_PSP_Species_Support!CV40*(1-EXP(-S13_PSP_Species_Support!CW40*5))^S13_PSP_Species_Support!CX40)^2*(S13_PSP_Species_Support!CY40*(1-EXP(-S13_PSP_Species_Support!CZ40*5))^S13_PSP_Species_Support!DA40))^0.976,0))/1000/$G53*N$108,0)</x:f>
        <x:v>28.76510645848385</x:v>
      </x:c>
      <x:c r="O53" s="147" t="n">
        <x:f aca="0">IFERROR((IFERROR(S13_PSP_Species_Support!U40*0.0673*(S13_PSP_Species_Support!V40*(S13_PSP_Species_Support!W40*(1-EXP(-S13_PSP_Species_Support!X40*6))^S13_PSP_Species_Support!Y40)^2*(S13_PSP_Species_Support!Z40*(1-EXP(-S13_PSP_Species_Support!AA40*6))^S13_PSP_Species_Support!AB40))^0.976,0)+IFERROR(S13_PSP_Species_Support!AF40*0.0673*(S13_PSP_Species_Support!AG40*(S13_PSP_Species_Support!AH40*(1-EXP(-S13_PSP_Species_Support!AI40*6))^S13_PSP_Species_Support!AJ40)^2*(S13_PSP_Species_Support!AK40*(1-EXP(-S13_PSP_Species_Support!AL40*6))^S13_PSP_Species_Support!AM40))^0.976,0)+IFERROR(S13_PSP_Species_Support!AQ40*0.0673*(S13_PSP_Species_Support!AR40*(S13_PSP_Species_Support!AS40*(1-EXP(-S13_PSP_Species_Support!AT40*6))^S13_PSP_Species_Support!AU40)^2*(S13_PSP_Species_Support!AV40*(1-EXP(-S13_PSP_Species_Support!AW40*6))^S13_PSP_Species_Support!AX40))^0.976,0)+IFERROR(S13_PSP_Species_Support!BB40*0.0673*(S13_PSP_Species_Support!BC40*(S13_PSP_Species_Support!BD40*(1-EXP(-S13_PSP_Species_Support!BE40*6))^S13_PSP_Species_Support!BF40)^2*(S13_PSP_Species_Support!BG40*(1-EXP(-S13_PSP_Species_Support!BH40*6))^S13_PSP_Species_Support!BI40))^0.976,0)+IFERROR(S13_PSP_Species_Support!BM40*0.0673*(S13_PSP_Species_Support!BN40*(S13_PSP_Species_Support!BO40*(1-EXP(-S13_PSP_Species_Support!BP40*6))^S13_PSP_Species_Support!BQ40)^2*(S13_PSP_Species_Support!BR40*(1-EXP(-S13_PSP_Species_Support!BS40*6))^S13_PSP_Species_Support!BT40))^0.976,0)+IFERROR(S13_PSP_Species_Support!BX40*0.0673*(S13_PSP_Species_Support!BY40*(S13_PSP_Species_Support!BZ40*(1-EXP(-S13_PSP_Species_Support!CA40*6))^S13_PSP_Species_Support!CB40)^2*(S13_PSP_Species_Support!CC40*(1-EXP(-S13_PSP_Species_Support!CD40*6))^S13_PSP_Species_Support!CE40))^0.976,0)+IFERROR(S13_PSP_Species_Support!CI40*0.0673*(S13_PSP_Species_Support!CJ40*(S13_PSP_Species_Support!CK40*(1-EXP(-S13_PSP_Species_Support!CL40*6))^S13_PSP_Species_Support!CM40)^2*(S13_PSP_Species_Support!CN40*(1-EXP(-S13_PSP_Species_Support!CO40*6))^S13_PSP_Species_Support!CP40))^0.976,0)+IFERROR(S13_PSP_Species_Support!CT40*0.0673*(S13_PSP_Species_Support!CU40*(S13_PSP_Species_Support!CV40*(1-EXP(-S13_PSP_Species_Support!CW40*6))^S13_PSP_Species_Support!CX40)^2*(S13_PSP_Species_Support!CY40*(1-EXP(-S13_PSP_Species_Support!CZ40*6))^S13_PSP_Species_Support!DA40))^0.976,0))/1000/$G53*O$108,0)</x:f>
        <x:v>46.38218409812797</x:v>
      </x:c>
      <x:c r="P53" s="147" t="n">
        <x:f aca="0">IFERROR((IFERROR(S13_PSP_Species_Support!U40*0.0673*(S13_PSP_Species_Support!V40*(S13_PSP_Species_Support!W40*(1-EXP(-S13_PSP_Species_Support!X40*7))^S13_PSP_Species_Support!Y40)^2*(S13_PSP_Species_Support!Z40*(1-EXP(-S13_PSP_Species_Support!AA40*7))^S13_PSP_Species_Support!AB40))^0.976,0)+IFERROR(S13_PSP_Species_Support!AF40*0.0673*(S13_PSP_Species_Support!AG40*(S13_PSP_Species_Support!AH40*(1-EXP(-S13_PSP_Species_Support!AI40*7))^S13_PSP_Species_Support!AJ40)^2*(S13_PSP_Species_Support!AK40*(1-EXP(-S13_PSP_Species_Support!AL40*7))^S13_PSP_Species_Support!AM40))^0.976,0)+IFERROR(S13_PSP_Species_Support!AQ40*0.0673*(S13_PSP_Species_Support!AR40*(S13_PSP_Species_Support!AS40*(1-EXP(-S13_PSP_Species_Support!AT40*7))^S13_PSP_Species_Support!AU40)^2*(S13_PSP_Species_Support!AV40*(1-EXP(-S13_PSP_Species_Support!AW40*7))^S13_PSP_Species_Support!AX40))^0.976,0)+IFERROR(S13_PSP_Species_Support!BB40*0.0673*(S13_PSP_Species_Support!BC40*(S13_PSP_Species_Support!BD40*(1-EXP(-S13_PSP_Species_Support!BE40*7))^S13_PSP_Species_Support!BF40)^2*(S13_PSP_Species_Support!BG40*(1-EXP(-S13_PSP_Species_Support!BH40*7))^S13_PSP_Species_Support!BI40))^0.976,0)+IFERROR(S13_PSP_Species_Support!BM40*0.0673*(S13_PSP_Species_Support!BN40*(S13_PSP_Species_Support!BO40*(1-EXP(-S13_PSP_Species_Support!BP40*7))^S13_PSP_Species_Support!BQ40)^2*(S13_PSP_Species_Support!BR40*(1-EXP(-S13_PSP_Species_Support!BS40*7))^S13_PSP_Species_Support!BT40))^0.976,0)+IFERROR(S13_PSP_Species_Support!BX40*0.0673*(S13_PSP_Species_Support!BY40*(S13_PSP_Species_Support!BZ40*(1-EXP(-S13_PSP_Species_Support!CA40*7))^S13_PSP_Species_Support!CB40)^2*(S13_PSP_Species_Support!CC40*(1-EXP(-S13_PSP_Species_Support!CD40*7))^S13_PSP_Species_Support!CE40))^0.976,0)+IFERROR(S13_PSP_Species_Support!CI40*0.0673*(S13_PSP_Species_Support!CJ40*(S13_PSP_Species_Support!CK40*(1-EXP(-S13_PSP_Species_Support!CL40*7))^S13_PSP_Species_Support!CM40)^2*(S13_PSP_Species_Support!CN40*(1-EXP(-S13_PSP_Species_Support!CO40*7))^S13_PSP_Species_Support!CP40))^0.976,0)+IFERROR(S13_PSP_Species_Support!CT40*0.0673*(S13_PSP_Species_Support!CU40*(S13_PSP_Species_Support!CV40*(1-EXP(-S13_PSP_Species_Support!CW40*7))^S13_PSP_Species_Support!CX40)^2*(S13_PSP_Species_Support!CY40*(1-EXP(-S13_PSP_Species_Support!CZ40*7))^S13_PSP_Species_Support!DA40))^0.976,0))/1000/$G53*P$108,0)</x:f>
        <x:v>67.268602079297</x:v>
      </x:c>
      <x:c r="Q53" s="147" t="n">
        <x:f aca="0">IFERROR((IFERROR(S13_PSP_Species_Support!U40*0.0673*(S13_PSP_Species_Support!V40*(S13_PSP_Species_Support!W40*(1-EXP(-S13_PSP_Species_Support!X40*8))^S13_PSP_Species_Support!Y40)^2*(S13_PSP_Species_Support!Z40*(1-EXP(-S13_PSP_Species_Support!AA40*8))^S13_PSP_Species_Support!AB40))^0.976,0)+IFERROR(S13_PSP_Species_Support!AF40*0.0673*(S13_PSP_Species_Support!AG40*(S13_PSP_Species_Support!AH40*(1-EXP(-S13_PSP_Species_Support!AI40*8))^S13_PSP_Species_Support!AJ40)^2*(S13_PSP_Species_Support!AK40*(1-EXP(-S13_PSP_Species_Support!AL40*8))^S13_PSP_Species_Support!AM40))^0.976,0)+IFERROR(S13_PSP_Species_Support!AQ40*0.0673*(S13_PSP_Species_Support!AR40*(S13_PSP_Species_Support!AS40*(1-EXP(-S13_PSP_Species_Support!AT40*8))^S13_PSP_Species_Support!AU40)^2*(S13_PSP_Species_Support!AV40*(1-EXP(-S13_PSP_Species_Support!AW40*8))^S13_PSP_Species_Support!AX40))^0.976,0)+IFERROR(S13_PSP_Species_Support!BB40*0.0673*(S13_PSP_Species_Support!BC40*(S13_PSP_Species_Support!BD40*(1-EXP(-S13_PSP_Species_Support!BE40*8))^S13_PSP_Species_Support!BF40)^2*(S13_PSP_Species_Support!BG40*(1-EXP(-S13_PSP_Species_Support!BH40*8))^S13_PSP_Species_Support!BI40))^0.976,0)+IFERROR(S13_PSP_Species_Support!BM40*0.0673*(S13_PSP_Species_Support!BN40*(S13_PSP_Species_Support!BO40*(1-EXP(-S13_PSP_Species_Support!BP40*8))^S13_PSP_Species_Support!BQ40)^2*(S13_PSP_Species_Support!BR40*(1-EXP(-S13_PSP_Species_Support!BS40*8))^S13_PSP_Species_Support!BT40))^0.976,0)+IFERROR(S13_PSP_Species_Support!BX40*0.0673*(S13_PSP_Species_Support!BY40*(S13_PSP_Species_Support!BZ40*(1-EXP(-S13_PSP_Species_Support!CA40*8))^S13_PSP_Species_Support!CB40)^2*(S13_PSP_Species_Support!CC40*(1-EXP(-S13_PSP_Species_Support!CD40*8))^S13_PSP_Species_Support!CE40))^0.976,0)+IFERROR(S13_PSP_Species_Support!CI40*0.0673*(S13_PSP_Species_Support!CJ40*(S13_PSP_Species_Support!CK40*(1-EXP(-S13_PSP_Species_Support!CL40*8))^S13_PSP_Species_Support!CM40)^2*(S13_PSP_Species_Support!CN40*(1-EXP(-S13_PSP_Species_Support!CO40*8))^S13_PSP_Species_Support!CP40))^0.976,0)+IFERROR(S13_PSP_Species_Support!CT40*0.0673*(S13_PSP_Species_Support!CU40*(S13_PSP_Species_Support!CV40*(1-EXP(-S13_PSP_Species_Support!CW40*8))^S13_PSP_Species_Support!CX40)^2*(S13_PSP_Species_Support!CY40*(1-EXP(-S13_PSP_Species_Support!CZ40*8))^S13_PSP_Species_Support!DA40))^0.976,0))/1000/$G53*Q$108,0)</x:f>
        <x:v>90.44843189549387</x:v>
      </x:c>
      <x:c r="R53" s="147" t="n">
        <x:f aca="0">IFERROR((IFERROR(S13_PSP_Species_Support!U40*0.0673*(S13_PSP_Species_Support!V40*(S13_PSP_Species_Support!W40*(1-EXP(-S13_PSP_Species_Support!X40*9))^S13_PSP_Species_Support!Y40)^2*(S13_PSP_Species_Support!Z40*(1-EXP(-S13_PSP_Species_Support!AA40*9))^S13_PSP_Species_Support!AB40))^0.976,0)+IFERROR(S13_PSP_Species_Support!AF40*0.0673*(S13_PSP_Species_Support!AG40*(S13_PSP_Species_Support!AH40*(1-EXP(-S13_PSP_Species_Support!AI40*9))^S13_PSP_Species_Support!AJ40)^2*(S13_PSP_Species_Support!AK40*(1-EXP(-S13_PSP_Species_Support!AL40*9))^S13_PSP_Species_Support!AM40))^0.976,0)+IFERROR(S13_PSP_Species_Support!AQ40*0.0673*(S13_PSP_Species_Support!AR40*(S13_PSP_Species_Support!AS40*(1-EXP(-S13_PSP_Species_Support!AT40*9))^S13_PSP_Species_Support!AU40)^2*(S13_PSP_Species_Support!AV40*(1-EXP(-S13_PSP_Species_Support!AW40*9))^S13_PSP_Species_Support!AX40))^0.976,0)+IFERROR(S13_PSP_Species_Support!BB40*0.0673*(S13_PSP_Species_Support!BC40*(S13_PSP_Species_Support!BD40*(1-EXP(-S13_PSP_Species_Support!BE40*9))^S13_PSP_Species_Support!BF40)^2*(S13_PSP_Species_Support!BG40*(1-EXP(-S13_PSP_Species_Support!BH40*9))^S13_PSP_Species_Support!BI40))^0.976,0)+IFERROR(S13_PSP_Species_Support!BM40*0.0673*(S13_PSP_Species_Support!BN40*(S13_PSP_Species_Support!BO40*(1-EXP(-S13_PSP_Species_Support!BP40*9))^S13_PSP_Species_Support!BQ40)^2*(S13_PSP_Species_Support!BR40*(1-EXP(-S13_PSP_Species_Support!BS40*9))^S13_PSP_Species_Support!BT40))^0.976,0)+IFERROR(S13_PSP_Species_Support!BX40*0.0673*(S13_PSP_Species_Support!BY40*(S13_PSP_Species_Support!BZ40*(1-EXP(-S13_PSP_Species_Support!CA40*9))^S13_PSP_Species_Support!CB40)^2*(S13_PSP_Species_Support!CC40*(1-EXP(-S13_PSP_Species_Support!CD40*9))^S13_PSP_Species_Support!CE40))^0.976,0)+IFERROR(S13_PSP_Species_Support!CI40*0.0673*(S13_PSP_Species_Support!CJ40*(S13_PSP_Species_Support!CK40*(1-EXP(-S13_PSP_Species_Support!CL40*9))^S13_PSP_Species_Support!CM40)^2*(S13_PSP_Species_Support!CN40*(1-EXP(-S13_PSP_Species_Support!CO40*9))^S13_PSP_Species_Support!CP40))^0.976,0)+IFERROR(S13_PSP_Species_Support!CT40*0.0673*(S13_PSP_Species_Support!CU40*(S13_PSP_Species_Support!CV40*(1-EXP(-S13_PSP_Species_Support!CW40*9))^S13_PSP_Species_Support!CX40)^2*(S13_PSP_Species_Support!CY40*(1-EXP(-S13_PSP_Species_Support!CZ40*9))^S13_PSP_Species_Support!DA40))^0.976,0))/1000/$G53*R$108,0)</x:f>
        <x:v>114.96478965605016</x:v>
      </x:c>
      <x:c r="S53" s="147" t="n">
        <x:f aca="0">IFERROR((IFERROR(S13_PSP_Species_Support!U40*0.0673*(S13_PSP_Species_Support!V40*(S13_PSP_Species_Support!W40*(1-EXP(-S13_PSP_Species_Support!X40*10))^S13_PSP_Species_Support!Y40)^2*(S13_PSP_Species_Support!Z40*(1-EXP(-S13_PSP_Species_Support!AA40*10))^S13_PSP_Species_Support!AB40))^0.976,0)+IFERROR(S13_PSP_Species_Support!AF40*0.0673*(S13_PSP_Species_Support!AG40*(S13_PSP_Species_Support!AH40*(1-EXP(-S13_PSP_Species_Support!AI40*10))^S13_PSP_Species_Support!AJ40)^2*(S13_PSP_Species_Support!AK40*(1-EXP(-S13_PSP_Species_Support!AL40*10))^S13_PSP_Species_Support!AM40))^0.976,0)+IFERROR(S13_PSP_Species_Support!AQ40*0.0673*(S13_PSP_Species_Support!AR40*(S13_PSP_Species_Support!AS40*(1-EXP(-S13_PSP_Species_Support!AT40*10))^S13_PSP_Species_Support!AU40)^2*(S13_PSP_Species_Support!AV40*(1-EXP(-S13_PSP_Species_Support!AW40*10))^S13_PSP_Species_Support!AX40))^0.976,0)+IFERROR(S13_PSP_Species_Support!BB40*0.0673*(S13_PSP_Species_Support!BC40*(S13_PSP_Species_Support!BD40*(1-EXP(-S13_PSP_Species_Support!BE40*10))^S13_PSP_Species_Support!BF40)^2*(S13_PSP_Species_Support!BG40*(1-EXP(-S13_PSP_Species_Support!BH40*10))^S13_PSP_Species_Support!BI40))^0.976,0)+IFERROR(S13_PSP_Species_Support!BM40*0.0673*(S13_PSP_Species_Support!BN40*(S13_PSP_Species_Support!BO40*(1-EXP(-S13_PSP_Species_Support!BP40*10))^S13_PSP_Species_Support!BQ40)^2*(S13_PSP_Species_Support!BR40*(1-EXP(-S13_PSP_Species_Support!BS40*10))^S13_PSP_Species_Support!BT40))^0.976,0)+IFERROR(S13_PSP_Species_Support!BX40*0.0673*(S13_PSP_Species_Support!BY40*(S13_PSP_Species_Support!BZ40*(1-EXP(-S13_PSP_Species_Support!CA40*10))^S13_PSP_Species_Support!CB40)^2*(S13_PSP_Species_Support!CC40*(1-EXP(-S13_PSP_Species_Support!CD40*10))^S13_PSP_Species_Support!CE40))^0.976,0)+IFERROR(S13_PSP_Species_Support!CI40*0.0673*(S13_PSP_Species_Support!CJ40*(S13_PSP_Species_Support!CK40*(1-EXP(-S13_PSP_Species_Support!CL40*10))^S13_PSP_Species_Support!CM40)^2*(S13_PSP_Species_Support!CN40*(1-EXP(-S13_PSP_Species_Support!CO40*10))^S13_PSP_Species_Support!CP40))^0.976,0)+IFERROR(S13_PSP_Species_Support!CT40*0.0673*(S13_PSP_Species_Support!CU40*(S13_PSP_Species_Support!CV40*(1-EXP(-S13_PSP_Species_Support!CW40*10))^S13_PSP_Species_Support!CX40)^2*(S13_PSP_Species_Support!CY40*(1-EXP(-S13_PSP_Species_Support!CZ40*10))^S13_PSP_Species_Support!DA40))^0.976,0))/1000/$G53*S$108,0)</x:f>
        <x:v>139.97189140440278</x:v>
      </x:c>
      <x:c r="T53" s="147" t="n">
        <x:f aca="0">IFERROR((IFERROR(S13_PSP_Species_Support!U40*0.0673*(S13_PSP_Species_Support!V40*(S13_PSP_Species_Support!W40*(1-EXP(-S13_PSP_Species_Support!X40*11))^S13_PSP_Species_Support!Y40)^2*(S13_PSP_Species_Support!Z40*(1-EXP(-S13_PSP_Species_Support!AA40*11))^S13_PSP_Species_Support!AB40))^0.976,0)+IFERROR(S13_PSP_Species_Support!AF40*0.0673*(S13_PSP_Species_Support!AG40*(S13_PSP_Species_Support!AH40*(1-EXP(-S13_PSP_Species_Support!AI40*11))^S13_PSP_Species_Support!AJ40)^2*(S13_PSP_Species_Support!AK40*(1-EXP(-S13_PSP_Species_Support!AL40*11))^S13_PSP_Species_Support!AM40))^0.976,0)+IFERROR(S13_PSP_Species_Support!AQ40*0.0673*(S13_PSP_Species_Support!AR40*(S13_PSP_Species_Support!AS40*(1-EXP(-S13_PSP_Species_Support!AT40*11))^S13_PSP_Species_Support!AU40)^2*(S13_PSP_Species_Support!AV40*(1-EXP(-S13_PSP_Species_Support!AW40*11))^S13_PSP_Species_Support!AX40))^0.976,0)+IFERROR(S13_PSP_Species_Support!BB40*0.0673*(S13_PSP_Species_Support!BC40*(S13_PSP_Species_Support!BD40*(1-EXP(-S13_PSP_Species_Support!BE40*11))^S13_PSP_Species_Support!BF40)^2*(S13_PSP_Species_Support!BG40*(1-EXP(-S13_PSP_Species_Support!BH40*11))^S13_PSP_Species_Support!BI40))^0.976,0)+IFERROR(S13_PSP_Species_Support!BM40*0.0673*(S13_PSP_Species_Support!BN40*(S13_PSP_Species_Support!BO40*(1-EXP(-S13_PSP_Species_Support!BP40*11))^S13_PSP_Species_Support!BQ40)^2*(S13_PSP_Species_Support!BR40*(1-EXP(-S13_PSP_Species_Support!BS40*11))^S13_PSP_Species_Support!BT40))^0.976,0)+IFERROR(S13_PSP_Species_Support!BX40*0.0673*(S13_PSP_Species_Support!BY40*(S13_PSP_Species_Support!BZ40*(1-EXP(-S13_PSP_Species_Support!CA40*11))^S13_PSP_Species_Support!CB40)^2*(S13_PSP_Species_Support!CC40*(1-EXP(-S13_PSP_Species_Support!CD40*11))^S13_PSP_Species_Support!CE40))^0.976,0)+IFERROR(S13_PSP_Species_Support!CI40*0.0673*(S13_PSP_Species_Support!CJ40*(S13_PSP_Species_Support!CK40*(1-EXP(-S13_PSP_Species_Support!CL40*11))^S13_PSP_Species_Support!CM40)^2*(S13_PSP_Species_Support!CN40*(1-EXP(-S13_PSP_Species_Support!CO40*11))^S13_PSP_Species_Support!CP40))^0.976,0)+IFERROR(S13_PSP_Species_Support!CT40*0.0673*(S13_PSP_Species_Support!CU40*(S13_PSP_Species_Support!CV40*(1-EXP(-S13_PSP_Species_Support!CW40*11))^S13_PSP_Species_Support!CX40)^2*(S13_PSP_Species_Support!CY40*(1-EXP(-S13_PSP_Species_Support!CZ40*11))^S13_PSP_Species_Support!DA40))^0.976,0))/1000/$G53*T$108,0)</x:f>
        <x:v>164.77585750361496</x:v>
      </x:c>
      <x:c r="U53" s="147" t="n">
        <x:f aca="0">IFERROR((IFERROR(S13_PSP_Species_Support!U40*0.0673*(S13_PSP_Species_Support!V40*(S13_PSP_Species_Support!W40*(1-EXP(-S13_PSP_Species_Support!X40*12))^S13_PSP_Species_Support!Y40)^2*(S13_PSP_Species_Support!Z40*(1-EXP(-S13_PSP_Species_Support!AA40*12))^S13_PSP_Species_Support!AB40))^0.976,0)+IFERROR(S13_PSP_Species_Support!AF40*0.0673*(S13_PSP_Species_Support!AG40*(S13_PSP_Species_Support!AH40*(1-EXP(-S13_PSP_Species_Support!AI40*12))^S13_PSP_Species_Support!AJ40)^2*(S13_PSP_Species_Support!AK40*(1-EXP(-S13_PSP_Species_Support!AL40*12))^S13_PSP_Species_Support!AM40))^0.976,0)+IFERROR(S13_PSP_Species_Support!AQ40*0.0673*(S13_PSP_Species_Support!AR40*(S13_PSP_Species_Support!AS40*(1-EXP(-S13_PSP_Species_Support!AT40*12))^S13_PSP_Species_Support!AU40)^2*(S13_PSP_Species_Support!AV40*(1-EXP(-S13_PSP_Species_Support!AW40*12))^S13_PSP_Species_Support!AX40))^0.976,0)+IFERROR(S13_PSP_Species_Support!BB40*0.0673*(S13_PSP_Species_Support!BC40*(S13_PSP_Species_Support!BD40*(1-EXP(-S13_PSP_Species_Support!BE40*12))^S13_PSP_Species_Support!BF40)^2*(S13_PSP_Species_Support!BG40*(1-EXP(-S13_PSP_Species_Support!BH40*12))^S13_PSP_Species_Support!BI40))^0.976,0)+IFERROR(S13_PSP_Species_Support!BM40*0.0673*(S13_PSP_Species_Support!BN40*(S13_PSP_Species_Support!BO40*(1-EXP(-S13_PSP_Species_Support!BP40*12))^S13_PSP_Species_Support!BQ40)^2*(S13_PSP_Species_Support!BR40*(1-EXP(-S13_PSP_Species_Support!BS40*12))^S13_PSP_Species_Support!BT40))^0.976,0)+IFERROR(S13_PSP_Species_Support!BX40*0.0673*(S13_PSP_Species_Support!BY40*(S13_PSP_Species_Support!BZ40*(1-EXP(-S13_PSP_Species_Support!CA40*12))^S13_PSP_Species_Support!CB40)^2*(S13_PSP_Species_Support!CC40*(1-EXP(-S13_PSP_Species_Support!CD40*12))^S13_PSP_Species_Support!CE40))^0.976,0)+IFERROR(S13_PSP_Species_Support!CI40*0.0673*(S13_PSP_Species_Support!CJ40*(S13_PSP_Species_Support!CK40*(1-EXP(-S13_PSP_Species_Support!CL40*12))^S13_PSP_Species_Support!CM40)^2*(S13_PSP_Species_Support!CN40*(1-EXP(-S13_PSP_Species_Support!CO40*12))^S13_PSP_Species_Support!CP40))^0.976,0)+IFERROR(S13_PSP_Species_Support!CT40*0.0673*(S13_PSP_Species_Support!CU40*(S13_PSP_Species_Support!CV40*(1-EXP(-S13_PSP_Species_Support!CW40*12))^S13_PSP_Species_Support!CX40)^2*(S13_PSP_Species_Support!CY40*(1-EXP(-S13_PSP_Species_Support!CZ40*12))^S13_PSP_Species_Support!DA40))^0.976,0))/1000/$G53*U$108,0)</x:f>
        <x:v>188.84258943711006</x:v>
      </x:c>
      <x:c r="V53" s="147" t="n">
        <x:f aca="0">IFERROR((IFERROR(S13_PSP_Species_Support!U40*0.0673*(S13_PSP_Species_Support!V40*(S13_PSP_Species_Support!W40*(1-EXP(-S13_PSP_Species_Support!X40*13))^S13_PSP_Species_Support!Y40)^2*(S13_PSP_Species_Support!Z40*(1-EXP(-S13_PSP_Species_Support!AA40*13))^S13_PSP_Species_Support!AB40))^0.976,0)+IFERROR(S13_PSP_Species_Support!AF40*0.0673*(S13_PSP_Species_Support!AG40*(S13_PSP_Species_Support!AH40*(1-EXP(-S13_PSP_Species_Support!AI40*13))^S13_PSP_Species_Support!AJ40)^2*(S13_PSP_Species_Support!AK40*(1-EXP(-S13_PSP_Species_Support!AL40*13))^S13_PSP_Species_Support!AM40))^0.976,0)+IFERROR(S13_PSP_Species_Support!AQ40*0.0673*(S13_PSP_Species_Support!AR40*(S13_PSP_Species_Support!AS40*(1-EXP(-S13_PSP_Species_Support!AT40*13))^S13_PSP_Species_Support!AU40)^2*(S13_PSP_Species_Support!AV40*(1-EXP(-S13_PSP_Species_Support!AW40*13))^S13_PSP_Species_Support!AX40))^0.976,0)+IFERROR(S13_PSP_Species_Support!BB40*0.0673*(S13_PSP_Species_Support!BC40*(S13_PSP_Species_Support!BD40*(1-EXP(-S13_PSP_Species_Support!BE40*13))^S13_PSP_Species_Support!BF40)^2*(S13_PSP_Species_Support!BG40*(1-EXP(-S13_PSP_Species_Support!BH40*13))^S13_PSP_Species_Support!BI40))^0.976,0)+IFERROR(S13_PSP_Species_Support!BM40*0.0673*(S13_PSP_Species_Support!BN40*(S13_PSP_Species_Support!BO40*(1-EXP(-S13_PSP_Species_Support!BP40*13))^S13_PSP_Species_Support!BQ40)^2*(S13_PSP_Species_Support!BR40*(1-EXP(-S13_PSP_Species_Support!BS40*13))^S13_PSP_Species_Support!BT40))^0.976,0)+IFERROR(S13_PSP_Species_Support!BX40*0.0673*(S13_PSP_Species_Support!BY40*(S13_PSP_Species_Support!BZ40*(1-EXP(-S13_PSP_Species_Support!CA40*13))^S13_PSP_Species_Support!CB40)^2*(S13_PSP_Species_Support!CC40*(1-EXP(-S13_PSP_Species_Support!CD40*13))^S13_PSP_Species_Support!CE40))^0.976,0)+IFERROR(S13_PSP_Species_Support!CI40*0.0673*(S13_PSP_Species_Support!CJ40*(S13_PSP_Species_Support!CK40*(1-EXP(-S13_PSP_Species_Support!CL40*13))^S13_PSP_Species_Support!CM40)^2*(S13_PSP_Species_Support!CN40*(1-EXP(-S13_PSP_Species_Support!CO40*13))^S13_PSP_Species_Support!CP40))^0.976,0)+IFERROR(S13_PSP_Species_Support!CT40*0.0673*(S13_PSP_Species_Support!CU40*(S13_PSP_Species_Support!CV40*(1-EXP(-S13_PSP_Species_Support!CW40*13))^S13_PSP_Species_Support!CX40)^2*(S13_PSP_Species_Support!CY40*(1-EXP(-S13_PSP_Species_Support!CZ40*13))^S13_PSP_Species_Support!DA40))^0.976,0))/1000/$G53*V$108,0)</x:f>
        <x:v>211.78679037186984</x:v>
      </x:c>
      <x:c r="W53" s="147" t="n">
        <x:f aca="0">IFERROR((IFERROR(S13_PSP_Species_Support!U40*0.0673*(S13_PSP_Species_Support!V40*(S13_PSP_Species_Support!W40*(1-EXP(-S13_PSP_Species_Support!X40*14))^S13_PSP_Species_Support!Y40)^2*(S13_PSP_Species_Support!Z40*(1-EXP(-S13_PSP_Species_Support!AA40*14))^S13_PSP_Species_Support!AB40))^0.976,0)+IFERROR(S13_PSP_Species_Support!AF40*0.0673*(S13_PSP_Species_Support!AG40*(S13_PSP_Species_Support!AH40*(1-EXP(-S13_PSP_Species_Support!AI40*14))^S13_PSP_Species_Support!AJ40)^2*(S13_PSP_Species_Support!AK40*(1-EXP(-S13_PSP_Species_Support!AL40*14))^S13_PSP_Species_Support!AM40))^0.976,0)+IFERROR(S13_PSP_Species_Support!AQ40*0.0673*(S13_PSP_Species_Support!AR40*(S13_PSP_Species_Support!AS40*(1-EXP(-S13_PSP_Species_Support!AT40*14))^S13_PSP_Species_Support!AU40)^2*(S13_PSP_Species_Support!AV40*(1-EXP(-S13_PSP_Species_Support!AW40*14))^S13_PSP_Species_Support!AX40))^0.976,0)+IFERROR(S13_PSP_Species_Support!BB40*0.0673*(S13_PSP_Species_Support!BC40*(S13_PSP_Species_Support!BD40*(1-EXP(-S13_PSP_Species_Support!BE40*14))^S13_PSP_Species_Support!BF40)^2*(S13_PSP_Species_Support!BG40*(1-EXP(-S13_PSP_Species_Support!BH40*14))^S13_PSP_Species_Support!BI40))^0.976,0)+IFERROR(S13_PSP_Species_Support!BM40*0.0673*(S13_PSP_Species_Support!BN40*(S13_PSP_Species_Support!BO40*(1-EXP(-S13_PSP_Species_Support!BP40*14))^S13_PSP_Species_Support!BQ40)^2*(S13_PSP_Species_Support!BR40*(1-EXP(-S13_PSP_Species_Support!BS40*14))^S13_PSP_Species_Support!BT40))^0.976,0)+IFERROR(S13_PSP_Species_Support!BX40*0.0673*(S13_PSP_Species_Support!BY40*(S13_PSP_Species_Support!BZ40*(1-EXP(-S13_PSP_Species_Support!CA40*14))^S13_PSP_Species_Support!CB40)^2*(S13_PSP_Species_Support!CC40*(1-EXP(-S13_PSP_Species_Support!CD40*14))^S13_PSP_Species_Support!CE40))^0.976,0)+IFERROR(S13_PSP_Species_Support!CI40*0.0673*(S13_PSP_Species_Support!CJ40*(S13_PSP_Species_Support!CK40*(1-EXP(-S13_PSP_Species_Support!CL40*14))^S13_PSP_Species_Support!CM40)^2*(S13_PSP_Species_Support!CN40*(1-EXP(-S13_PSP_Species_Support!CO40*14))^S13_PSP_Species_Support!CP40))^0.976,0)+IFERROR(S13_PSP_Species_Support!CT40*0.0673*(S13_PSP_Species_Support!CU40*(S13_PSP_Species_Support!CV40*(1-EXP(-S13_PSP_Species_Support!CW40*14))^S13_PSP_Species_Support!CX40)^2*(S13_PSP_Species_Support!CY40*(1-EXP(-S13_PSP_Species_Support!CZ40*14))^S13_PSP_Species_Support!DA40))^0.976,0))/1000/$G53*W$108,0)</x:f>
        <x:v>233.3518064849158</x:v>
      </x:c>
      <x:c r="X53" s="147" t="n">
        <x:f aca="0">IFERROR((IFERROR(S13_PSP_Species_Support!U40*0.0673*(S13_PSP_Species_Support!V40*(S13_PSP_Species_Support!W40*(1-EXP(-S13_PSP_Species_Support!X40*15))^S13_PSP_Species_Support!Y40)^2*(S13_PSP_Species_Support!Z40*(1-EXP(-S13_PSP_Species_Support!AA40*15))^S13_PSP_Species_Support!AB40))^0.976,0)+IFERROR(S13_PSP_Species_Support!AF40*0.0673*(S13_PSP_Species_Support!AG40*(S13_PSP_Species_Support!AH40*(1-EXP(-S13_PSP_Species_Support!AI40*15))^S13_PSP_Species_Support!AJ40)^2*(S13_PSP_Species_Support!AK40*(1-EXP(-S13_PSP_Species_Support!AL40*15))^S13_PSP_Species_Support!AM40))^0.976,0)+IFERROR(S13_PSP_Species_Support!AQ40*0.0673*(S13_PSP_Species_Support!AR40*(S13_PSP_Species_Support!AS40*(1-EXP(-S13_PSP_Species_Support!AT40*15))^S13_PSP_Species_Support!AU40)^2*(S13_PSP_Species_Support!AV40*(1-EXP(-S13_PSP_Species_Support!AW40*15))^S13_PSP_Species_Support!AX40))^0.976,0)+IFERROR(S13_PSP_Species_Support!BB40*0.0673*(S13_PSP_Species_Support!BC40*(S13_PSP_Species_Support!BD40*(1-EXP(-S13_PSP_Species_Support!BE40*15))^S13_PSP_Species_Support!BF40)^2*(S13_PSP_Species_Support!BG40*(1-EXP(-S13_PSP_Species_Support!BH40*15))^S13_PSP_Species_Support!BI40))^0.976,0)+IFERROR(S13_PSP_Species_Support!BM40*0.0673*(S13_PSP_Species_Support!BN40*(S13_PSP_Species_Support!BO40*(1-EXP(-S13_PSP_Species_Support!BP40*15))^S13_PSP_Species_Support!BQ40)^2*(S13_PSP_Species_Support!BR40*(1-EXP(-S13_PSP_Species_Support!BS40*15))^S13_PSP_Species_Support!BT40))^0.976,0)+IFERROR(S13_PSP_Species_Support!BX40*0.0673*(S13_PSP_Species_Support!BY40*(S13_PSP_Species_Support!BZ40*(1-EXP(-S13_PSP_Species_Support!CA40*15))^S13_PSP_Species_Support!CB40)^2*(S13_PSP_Species_Support!CC40*(1-EXP(-S13_PSP_Species_Support!CD40*15))^S13_PSP_Species_Support!CE40))^0.976,0)+IFERROR(S13_PSP_Species_Support!CI40*0.0673*(S13_PSP_Species_Support!CJ40*(S13_PSP_Species_Support!CK40*(1-EXP(-S13_PSP_Species_Support!CL40*15))^S13_PSP_Species_Support!CM40)^2*(S13_PSP_Species_Support!CN40*(1-EXP(-S13_PSP_Species_Support!CO40*15))^S13_PSP_Species_Support!CP40))^0.976,0)+IFERROR(S13_PSP_Species_Support!CT40*0.0673*(S13_PSP_Species_Support!CU40*(S13_PSP_Species_Support!CV40*(1-EXP(-S13_PSP_Species_Support!CW40*15))^S13_PSP_Species_Support!CX40)^2*(S13_PSP_Species_Support!CY40*(1-EXP(-S13_PSP_Species_Support!CZ40*15))^S13_PSP_Species_Support!DA40))^0.976,0))/1000/$G53*X$108,0)</x:f>
        <x:v>253.3864097979749</x:v>
      </x:c>
      <x:c r="Y53" s="147" t="n">
        <x:f aca="0">IFERROR((IFERROR(S13_PSP_Species_Support!U40*0.0673*(S13_PSP_Species_Support!V40*(S13_PSP_Species_Support!W40*(1-EXP(-S13_PSP_Species_Support!X40*16))^S13_PSP_Species_Support!Y40)^2*(S13_PSP_Species_Support!Z40*(1-EXP(-S13_PSP_Species_Support!AA40*16))^S13_PSP_Species_Support!AB40))^0.976,0)+IFERROR(S13_PSP_Species_Support!AF40*0.0673*(S13_PSP_Species_Support!AG40*(S13_PSP_Species_Support!AH40*(1-EXP(-S13_PSP_Species_Support!AI40*16))^S13_PSP_Species_Support!AJ40)^2*(S13_PSP_Species_Support!AK40*(1-EXP(-S13_PSP_Species_Support!AL40*16))^S13_PSP_Species_Support!AM40))^0.976,0)+IFERROR(S13_PSP_Species_Support!AQ40*0.0673*(S13_PSP_Species_Support!AR40*(S13_PSP_Species_Support!AS40*(1-EXP(-S13_PSP_Species_Support!AT40*16))^S13_PSP_Species_Support!AU40)^2*(S13_PSP_Species_Support!AV40*(1-EXP(-S13_PSP_Species_Support!AW40*16))^S13_PSP_Species_Support!AX40))^0.976,0)+IFERROR(S13_PSP_Species_Support!BB40*0.0673*(S13_PSP_Species_Support!BC40*(S13_PSP_Species_Support!BD40*(1-EXP(-S13_PSP_Species_Support!BE40*16))^S13_PSP_Species_Support!BF40)^2*(S13_PSP_Species_Support!BG40*(1-EXP(-S13_PSP_Species_Support!BH40*16))^S13_PSP_Species_Support!BI40))^0.976,0)+IFERROR(S13_PSP_Species_Support!BM40*0.0673*(S13_PSP_Species_Support!BN40*(S13_PSP_Species_Support!BO40*(1-EXP(-S13_PSP_Species_Support!BP40*16))^S13_PSP_Species_Support!BQ40)^2*(S13_PSP_Species_Support!BR40*(1-EXP(-S13_PSP_Species_Support!BS40*16))^S13_PSP_Species_Support!BT40))^0.976,0)+IFERROR(S13_PSP_Species_Support!BX40*0.0673*(S13_PSP_Species_Support!BY40*(S13_PSP_Species_Support!BZ40*(1-EXP(-S13_PSP_Species_Support!CA40*16))^S13_PSP_Species_Support!CB40)^2*(S13_PSP_Species_Support!CC40*(1-EXP(-S13_PSP_Species_Support!CD40*16))^S13_PSP_Species_Support!CE40))^0.976,0)+IFERROR(S13_PSP_Species_Support!CI40*0.0673*(S13_PSP_Species_Support!CJ40*(S13_PSP_Species_Support!CK40*(1-EXP(-S13_PSP_Species_Support!CL40*16))^S13_PSP_Species_Support!CM40)^2*(S13_PSP_Species_Support!CN40*(1-EXP(-S13_PSP_Species_Support!CO40*16))^S13_PSP_Species_Support!CP40))^0.976,0)+IFERROR(S13_PSP_Species_Support!CT40*0.0673*(S13_PSP_Species_Support!CU40*(S13_PSP_Species_Support!CV40*(1-EXP(-S13_PSP_Species_Support!CW40*16))^S13_PSP_Species_Support!CX40)^2*(S13_PSP_Species_Support!CY40*(1-EXP(-S13_PSP_Species_Support!CZ40*16))^S13_PSP_Species_Support!DA40))^0.976,0))/1000/$G53*Y$108,0)</x:f>
        <x:v>271.8220769552251</x:v>
      </x:c>
      <x:c r="Z53" s="147" t="n">
        <x:f aca="0">IFERROR((IFERROR(S13_PSP_Species_Support!U40*0.0673*(S13_PSP_Species_Support!V40*(S13_PSP_Species_Support!W40*(1-EXP(-S13_PSP_Species_Support!X40*17))^S13_PSP_Species_Support!Y40)^2*(S13_PSP_Species_Support!Z40*(1-EXP(-S13_PSP_Species_Support!AA40*17))^S13_PSP_Species_Support!AB40))^0.976,0)+IFERROR(S13_PSP_Species_Support!AF40*0.0673*(S13_PSP_Species_Support!AG40*(S13_PSP_Species_Support!AH40*(1-EXP(-S13_PSP_Species_Support!AI40*17))^S13_PSP_Species_Support!AJ40)^2*(S13_PSP_Species_Support!AK40*(1-EXP(-S13_PSP_Species_Support!AL40*17))^S13_PSP_Species_Support!AM40))^0.976,0)+IFERROR(S13_PSP_Species_Support!AQ40*0.0673*(S13_PSP_Species_Support!AR40*(S13_PSP_Species_Support!AS40*(1-EXP(-S13_PSP_Species_Support!AT40*17))^S13_PSP_Species_Support!AU40)^2*(S13_PSP_Species_Support!AV40*(1-EXP(-S13_PSP_Species_Support!AW40*17))^S13_PSP_Species_Support!AX40))^0.976,0)+IFERROR(S13_PSP_Species_Support!BB40*0.0673*(S13_PSP_Species_Support!BC40*(S13_PSP_Species_Support!BD40*(1-EXP(-S13_PSP_Species_Support!BE40*17))^S13_PSP_Species_Support!BF40)^2*(S13_PSP_Species_Support!BG40*(1-EXP(-S13_PSP_Species_Support!BH40*17))^S13_PSP_Species_Support!BI40))^0.976,0)+IFERROR(S13_PSP_Species_Support!BM40*0.0673*(S13_PSP_Species_Support!BN40*(S13_PSP_Species_Support!BO40*(1-EXP(-S13_PSP_Species_Support!BP40*17))^S13_PSP_Species_Support!BQ40)^2*(S13_PSP_Species_Support!BR40*(1-EXP(-S13_PSP_Species_Support!BS40*17))^S13_PSP_Species_Support!BT40))^0.976,0)+IFERROR(S13_PSP_Species_Support!BX40*0.0673*(S13_PSP_Species_Support!BY40*(S13_PSP_Species_Support!BZ40*(1-EXP(-S13_PSP_Species_Support!CA40*17))^S13_PSP_Species_Support!CB40)^2*(S13_PSP_Species_Support!CC40*(1-EXP(-S13_PSP_Species_Support!CD40*17))^S13_PSP_Species_Support!CE40))^0.976,0)+IFERROR(S13_PSP_Species_Support!CI40*0.0673*(S13_PSP_Species_Support!CJ40*(S13_PSP_Species_Support!CK40*(1-EXP(-S13_PSP_Species_Support!CL40*17))^S13_PSP_Species_Support!CM40)^2*(S13_PSP_Species_Support!CN40*(1-EXP(-S13_PSP_Species_Support!CO40*17))^S13_PSP_Species_Support!CP40))^0.976,0)+IFERROR(S13_PSP_Species_Support!CT40*0.0673*(S13_PSP_Species_Support!CU40*(S13_PSP_Species_Support!CV40*(1-EXP(-S13_PSP_Species_Support!CW40*17))^S13_PSP_Species_Support!CX40)^2*(S13_PSP_Species_Support!CY40*(1-EXP(-S13_PSP_Species_Support!CZ40*17))^S13_PSP_Species_Support!DA40))^0.976,0))/1000/$G53*Z$108,0)</x:f>
        <x:v>288.65260004922413</x:v>
      </x:c>
      <x:c r="AA53" s="147" t="n">
        <x:f aca="0">IFERROR((IFERROR(S13_PSP_Species_Support!U40*0.0673*(S13_PSP_Species_Support!V40*(S13_PSP_Species_Support!W40*(1-EXP(-S13_PSP_Species_Support!X40*18))^S13_PSP_Species_Support!Y40)^2*(S13_PSP_Species_Support!Z40*(1-EXP(-S13_PSP_Species_Support!AA40*18))^S13_PSP_Species_Support!AB40))^0.976,0)+IFERROR(S13_PSP_Species_Support!AF40*0.0673*(S13_PSP_Species_Support!AG40*(S13_PSP_Species_Support!AH40*(1-EXP(-S13_PSP_Species_Support!AI40*18))^S13_PSP_Species_Support!AJ40)^2*(S13_PSP_Species_Support!AK40*(1-EXP(-S13_PSP_Species_Support!AL40*18))^S13_PSP_Species_Support!AM40))^0.976,0)+IFERROR(S13_PSP_Species_Support!AQ40*0.0673*(S13_PSP_Species_Support!AR40*(S13_PSP_Species_Support!AS40*(1-EXP(-S13_PSP_Species_Support!AT40*18))^S13_PSP_Species_Support!AU40)^2*(S13_PSP_Species_Support!AV40*(1-EXP(-S13_PSP_Species_Support!AW40*18))^S13_PSP_Species_Support!AX40))^0.976,0)+IFERROR(S13_PSP_Species_Support!BB40*0.0673*(S13_PSP_Species_Support!BC40*(S13_PSP_Species_Support!BD40*(1-EXP(-S13_PSP_Species_Support!BE40*18))^S13_PSP_Species_Support!BF40)^2*(S13_PSP_Species_Support!BG40*(1-EXP(-S13_PSP_Species_Support!BH40*18))^S13_PSP_Species_Support!BI40))^0.976,0)+IFERROR(S13_PSP_Species_Support!BM40*0.0673*(S13_PSP_Species_Support!BN40*(S13_PSP_Species_Support!BO40*(1-EXP(-S13_PSP_Species_Support!BP40*18))^S13_PSP_Species_Support!BQ40)^2*(S13_PSP_Species_Support!BR40*(1-EXP(-S13_PSP_Species_Support!BS40*18))^S13_PSP_Species_Support!BT40))^0.976,0)+IFERROR(S13_PSP_Species_Support!BX40*0.0673*(S13_PSP_Species_Support!BY40*(S13_PSP_Species_Support!BZ40*(1-EXP(-S13_PSP_Species_Support!CA40*18))^S13_PSP_Species_Support!CB40)^2*(S13_PSP_Species_Support!CC40*(1-EXP(-S13_PSP_Species_Support!CD40*18))^S13_PSP_Species_Support!CE40))^0.976,0)+IFERROR(S13_PSP_Species_Support!CI40*0.0673*(S13_PSP_Species_Support!CJ40*(S13_PSP_Species_Support!CK40*(1-EXP(-S13_PSP_Species_Support!CL40*18))^S13_PSP_Species_Support!CM40)^2*(S13_PSP_Species_Support!CN40*(1-EXP(-S13_PSP_Species_Support!CO40*18))^S13_PSP_Species_Support!CP40))^0.976,0)+IFERROR(S13_PSP_Species_Support!CT40*0.0673*(S13_PSP_Species_Support!CU40*(S13_PSP_Species_Support!CV40*(1-EXP(-S13_PSP_Species_Support!CW40*18))^S13_PSP_Species_Support!CX40)^2*(S13_PSP_Species_Support!CY40*(1-EXP(-S13_PSP_Species_Support!CZ40*18))^S13_PSP_Species_Support!DA40))^0.976,0))/1000/$G53*AA$108,0)</x:f>
        <x:v>303.91678511785847</x:v>
      </x:c>
      <x:c r="AB53" s="147" t="n">
        <x:f aca="0">IFERROR((IFERROR(S13_PSP_Species_Support!U40*0.0673*(S13_PSP_Species_Support!V40*(S13_PSP_Species_Support!W40*(1-EXP(-S13_PSP_Species_Support!X40*19))^S13_PSP_Species_Support!Y40)^2*(S13_PSP_Species_Support!Z40*(1-EXP(-S13_PSP_Species_Support!AA40*19))^S13_PSP_Species_Support!AB40))^0.976,0)+IFERROR(S13_PSP_Species_Support!AF40*0.0673*(S13_PSP_Species_Support!AG40*(S13_PSP_Species_Support!AH40*(1-EXP(-S13_PSP_Species_Support!AI40*19))^S13_PSP_Species_Support!AJ40)^2*(S13_PSP_Species_Support!AK40*(1-EXP(-S13_PSP_Species_Support!AL40*19))^S13_PSP_Species_Support!AM40))^0.976,0)+IFERROR(S13_PSP_Species_Support!AQ40*0.0673*(S13_PSP_Species_Support!AR40*(S13_PSP_Species_Support!AS40*(1-EXP(-S13_PSP_Species_Support!AT40*19))^S13_PSP_Species_Support!AU40)^2*(S13_PSP_Species_Support!AV40*(1-EXP(-S13_PSP_Species_Support!AW40*19))^S13_PSP_Species_Support!AX40))^0.976,0)+IFERROR(S13_PSP_Species_Support!BB40*0.0673*(S13_PSP_Species_Support!BC40*(S13_PSP_Species_Support!BD40*(1-EXP(-S13_PSP_Species_Support!BE40*19))^S13_PSP_Species_Support!BF40)^2*(S13_PSP_Species_Support!BG40*(1-EXP(-S13_PSP_Species_Support!BH40*19))^S13_PSP_Species_Support!BI40))^0.976,0)+IFERROR(S13_PSP_Species_Support!BM40*0.0673*(S13_PSP_Species_Support!BN40*(S13_PSP_Species_Support!BO40*(1-EXP(-S13_PSP_Species_Support!BP40*19))^S13_PSP_Species_Support!BQ40)^2*(S13_PSP_Species_Support!BR40*(1-EXP(-S13_PSP_Species_Support!BS40*19))^S13_PSP_Species_Support!BT40))^0.976,0)+IFERROR(S13_PSP_Species_Support!BX40*0.0673*(S13_PSP_Species_Support!BY40*(S13_PSP_Species_Support!BZ40*(1-EXP(-S13_PSP_Species_Support!CA40*19))^S13_PSP_Species_Support!CB40)^2*(S13_PSP_Species_Support!CC40*(1-EXP(-S13_PSP_Species_Support!CD40*19))^S13_PSP_Species_Support!CE40))^0.976,0)+IFERROR(S13_PSP_Species_Support!CI40*0.0673*(S13_PSP_Species_Support!CJ40*(S13_PSP_Species_Support!CK40*(1-EXP(-S13_PSP_Species_Support!CL40*19))^S13_PSP_Species_Support!CM40)^2*(S13_PSP_Species_Support!CN40*(1-EXP(-S13_PSP_Species_Support!CO40*19))^S13_PSP_Species_Support!CP40))^0.976,0)+IFERROR(S13_PSP_Species_Support!CT40*0.0673*(S13_PSP_Species_Support!CU40*(S13_PSP_Species_Support!CV40*(1-EXP(-S13_PSP_Species_Support!CW40*19))^S13_PSP_Species_Support!CX40)^2*(S13_PSP_Species_Support!CY40*(1-EXP(-S13_PSP_Species_Support!CZ40*19))^S13_PSP_Species_Support!DA40))^0.976,0))/1000/$G53*AB$108,0)</x:f>
        <x:v>317.68435827818365</x:v>
      </x:c>
      <x:c r="AC53" s="147" t="n">
        <x:f aca="0">IFERROR((IFERROR(S13_PSP_Species_Support!U40*0.0673*(S13_PSP_Species_Support!V40*(S13_PSP_Species_Support!W40*(1-EXP(-S13_PSP_Species_Support!X40*20))^S13_PSP_Species_Support!Y40)^2*(S13_PSP_Species_Support!Z40*(1-EXP(-S13_PSP_Species_Support!AA40*20))^S13_PSP_Species_Support!AB40))^0.976,0)+IFERROR(S13_PSP_Species_Support!AF40*0.0673*(S13_PSP_Species_Support!AG40*(S13_PSP_Species_Support!AH40*(1-EXP(-S13_PSP_Species_Support!AI40*20))^S13_PSP_Species_Support!AJ40)^2*(S13_PSP_Species_Support!AK40*(1-EXP(-S13_PSP_Species_Support!AL40*20))^S13_PSP_Species_Support!AM40))^0.976,0)+IFERROR(S13_PSP_Species_Support!AQ40*0.0673*(S13_PSP_Species_Support!AR40*(S13_PSP_Species_Support!AS40*(1-EXP(-S13_PSP_Species_Support!AT40*20))^S13_PSP_Species_Support!AU40)^2*(S13_PSP_Species_Support!AV40*(1-EXP(-S13_PSP_Species_Support!AW40*20))^S13_PSP_Species_Support!AX40))^0.976,0)+IFERROR(S13_PSP_Species_Support!BB40*0.0673*(S13_PSP_Species_Support!BC40*(S13_PSP_Species_Support!BD40*(1-EXP(-S13_PSP_Species_Support!BE40*20))^S13_PSP_Species_Support!BF40)^2*(S13_PSP_Species_Support!BG40*(1-EXP(-S13_PSP_Species_Support!BH40*20))^S13_PSP_Species_Support!BI40))^0.976,0)+IFERROR(S13_PSP_Species_Support!BM40*0.0673*(S13_PSP_Species_Support!BN40*(S13_PSP_Species_Support!BO40*(1-EXP(-S13_PSP_Species_Support!BP40*20))^S13_PSP_Species_Support!BQ40)^2*(S13_PSP_Species_Support!BR40*(1-EXP(-S13_PSP_Species_Support!BS40*20))^S13_PSP_Species_Support!BT40))^0.976,0)+IFERROR(S13_PSP_Species_Support!BX40*0.0673*(S13_PSP_Species_Support!BY40*(S13_PSP_Species_Support!BZ40*(1-EXP(-S13_PSP_Species_Support!CA40*20))^S13_PSP_Species_Support!CB40)^2*(S13_PSP_Species_Support!CC40*(1-EXP(-S13_PSP_Species_Support!CD40*20))^S13_PSP_Species_Support!CE40))^0.976,0)+IFERROR(S13_PSP_Species_Support!CI40*0.0673*(S13_PSP_Species_Support!CJ40*(S13_PSP_Species_Support!CK40*(1-EXP(-S13_PSP_Species_Support!CL40*20))^S13_PSP_Species_Support!CM40)^2*(S13_PSP_Species_Support!CN40*(1-EXP(-S13_PSP_Species_Support!CO40*20))^S13_PSP_Species_Support!CP40))^0.976,0)+IFERROR(S13_PSP_Species_Support!CT40*0.0673*(S13_PSP_Species_Support!CU40*(S13_PSP_Species_Support!CV40*(1-EXP(-S13_PSP_Species_Support!CW40*20))^S13_PSP_Species_Support!CX40)^2*(S13_PSP_Species_Support!CY40*(1-EXP(-S13_PSP_Species_Support!CZ40*20))^S13_PSP_Species_Support!DA40))^0.976,0))/1000/$G53*AC$108,0)</x:f>
        <x:v>330.0448572881747</x:v>
      </x:c>
      <x:c r="AD53" s="148" t="n">
        <x:f aca="0">IF(2020&lt;$F53,0,INDEX($I53:$AC53,1,2020-$F53+1))</x:f>
        <x:v>0</x:v>
      </x:c>
      <x:c r="AE53" s="148" t="n">
        <x:f aca="0">IF(2021&lt;$F53,0,INDEX($I53:$AC53,1,2021-$F53+1))</x:f>
        <x:v>0</x:v>
      </x:c>
      <x:c r="AF53" s="148" t="n">
        <x:f aca="0">IF(2022&lt;$F53,0,INDEX($I53:$AC53,1,2022-$F53+1))</x:f>
        <x:v>0</x:v>
      </x:c>
      <x:c r="AG53" s="148" t="n">
        <x:f aca="0">IF(2023&lt;$F53,0,INDEX($I53:$AC53,1,2023-$F53+1))</x:f>
        <x:v>0</x:v>
      </x:c>
      <x:c r="AH53" s="148" t="n">
        <x:f aca="0">IF(2024&lt;$F53,0,INDEX($I53:$AC53,1,2024-$F53+1))</x:f>
        <x:v>0.1363675738863669</x:v>
      </x:c>
      <x:c r="AI53" s="148" t="n">
        <x:f aca="0">IF(2025&lt;$F53,0,INDEX($I53:$AC53,1,2025-$F53+1))</x:f>
        <x:v>1.6379215981373978</x:v>
      </x:c>
      <x:c r="AJ53" s="148" t="n">
        <x:f aca="0">IF(2026&lt;$F53,0,INDEX($I53:$AC53,1,2026-$F53+1))</x:f>
        <x:v>6.280964278325986</x:v>
      </x:c>
      <x:c r="AK53" s="148" t="n">
        <x:f aca="0">IF(2027&lt;$F53,0,INDEX($I53:$AC53,1,2027-$F53+1))</x:f>
        <x:v>15.24960406308962</x:v>
      </x:c>
      <x:c r="AL53" s="148" t="n">
        <x:f aca="0">IF(2028&lt;$F53,0,INDEX($I53:$AC53,1,2028-$F53+1))</x:f>
        <x:v>28.76510645848385</x:v>
      </x:c>
      <x:c r="AM53" s="148" t="n">
        <x:f aca="0">IF(2029&lt;$F53,0,INDEX($I53:$AC53,1,2029-$F53+1))</x:f>
        <x:v>46.38218409812797</x:v>
      </x:c>
      <x:c r="AN53" s="148" t="n">
        <x:f aca="0">IF(2030&lt;$F53,0,INDEX($I53:$AC53,1,2030-$F53+1))</x:f>
        <x:v>67.268602079297</x:v>
      </x:c>
      <x:c r="AO53" s="148" t="n">
        <x:f aca="0">IF(2031&lt;$F53,0,INDEX($I53:$AC53,1,2031-$F53+1))</x:f>
        <x:v>90.44843189549387</x:v>
      </x:c>
      <x:c r="AP53" s="148" t="n">
        <x:f aca="0">IF(2032&lt;$F53,0,INDEX($I53:$AC53,1,2032-$F53+1))</x:f>
        <x:v>114.96478965605016</x:v>
      </x:c>
      <x:c r="AQ53" s="148" t="n">
        <x:f aca="0">IF(2033&lt;$F53,0,INDEX($I53:$AC53,1,2033-$F53+1))</x:f>
        <x:v>139.97189140440278</x:v>
      </x:c>
      <x:c r="AR53" s="148" t="n">
        <x:f aca="0">IF(2034&lt;$F53,0,INDEX($I53:$AC53,1,2034-$F53+1))</x:f>
        <x:v>164.77585750361496</x:v>
      </x:c>
      <x:c r="AS53" s="148" t="n">
        <x:f aca="0">IF(2035&lt;$F53,0,INDEX($I53:$AC53,1,2035-$F53+1))</x:f>
        <x:v>188.84258943711006</x:v>
      </x:c>
      <x:c r="AT53" s="148" t="n">
        <x:f aca="0">IF(2036&lt;$F53,0,INDEX($I53:$AC53,1,2036-$F53+1))</x:f>
        <x:v>211.78679037186984</x:v>
      </x:c>
      <x:c r="AU53" s="148" t="n">
        <x:f aca="0">IF(2037&lt;$F53,0,INDEX($I53:$AC53,1,2037-$F53+1))</x:f>
        <x:v>233.3518064849158</x:v>
      </x:c>
      <x:c r="AV53" s="148" t="n">
        <x:f aca="0">IF(2038&lt;$F53,0,INDEX($I53:$AC53,1,2038-$F53+1))</x:f>
        <x:v>253.3864097979749</x:v>
      </x:c>
      <x:c r="AW53" s="148" t="n">
        <x:f aca="0">IF(2039&lt;$F53,0,INDEX($I53:$AC53,1,2039-$F53+1))</x:f>
        <x:v>271.8220769552251</x:v>
      </x:c>
      <x:c r="AX53" s="148" t="n">
        <x:f aca="0">IF(2040&lt;$F53,0,INDEX($I53:$AC53,1,2040-$F53+1))</x:f>
        <x:v>288.65260004922413</x:v>
      </x:c>
      <x:c r="AY53" s="1" t="str">
        <x:f aca="0">LEFT($C53,FIND("@",SUBSTITUTE($C53,"|","@",2))-1)</x:f>
        <x:v>Mixed Agroforestry|Medium</x:v>
      </x:c>
      <x:c r="AZ53" s="1" t="str">
        <x:f aca="0">LEFT($C53,FIND("|",$C53)-1)</x:f>
        <x:v>Mixed Agroforestry</x:v>
      </x:c>
      <x:c r="BA53" s="149" t="n">
        <x:f aca="0">I53*I53</x:f>
        <x:v>0</x:v>
      </x:c>
      <x:c r="BB53" s="149" t="n">
        <x:f aca="0">J53*J53</x:f>
        <x:v>0.01859611520765373</x:v>
      </x:c>
      <x:c r="BC53" s="149" t="n">
        <x:f aca="0">K53*K53</x:f>
        <x:v>2.6827871616449674</x:v>
      </x:c>
      <x:c r="BD53" s="149" t="n">
        <x:f aca="0">L53*L53</x:f>
        <x:v>39.450512265607074</x:v>
      </x:c>
      <x:c r="BE53" s="149" t="n">
        <x:f aca="0">M53*M53</x:f>
        <x:v>232.55042408099945</x:v>
      </x:c>
      <x:c r="BF53" s="149" t="n">
        <x:f aca="0">N53*N53</x:f>
        <x:v>827.4313495679093</x:v>
      </x:c>
      <x:c r="BG53" s="149" t="n">
        <x:f aca="0">O53*O53</x:f>
        <x:v>2151.307001712635</x:v>
      </x:c>
      <x:c r="BH53" s="149" t="n">
        <x:f aca="0">P53*P53</x:f>
        <x:v>4525.064825702801</x:v>
      </x:c>
      <x:c r="BI53" s="149" t="n">
        <x:f aca="0">Q53*Q53</x:f>
        <x:v>8180.918832353793</x:v>
      </x:c>
      <x:c r="BJ53" s="149" t="n">
        <x:f aca="0">R53*R53</x:f>
        <x:v>13216.902860659857</x:v>
      </x:c>
      <x:c r="BK53" s="149" t="n">
        <x:f aca="0">S53*S53</x:f>
        <x:v>19592.130383325926</x:v>
      </x:c>
      <x:c r="BL53" s="149" t="n">
        <x:f aca="0">T53*T53</x:f>
        <x:v>27151.083216051622</x:v>
      </x:c>
      <x:c r="BM53" s="149" t="n">
        <x:f aca="0">U53*U53</x:f>
        <x:v>35661.52358531291</x:v>
      </x:c>
      <x:c r="BN53" s="149" t="n">
        <x:f aca="0">V53*V53</x:f>
        <x:v>44853.64457601834</x:v>
      </x:c>
      <x:c r="BO53" s="149" t="n">
        <x:f aca="0">W53*W53</x:f>
        <x:v>54453.0655897736</x:v>
      </x:c>
      <x:c r="BP53" s="149" t="n">
        <x:f aca="0">X53*X53</x:f>
        <x:v>64204.67267030726</x:v>
      </x:c>
      <x:c r="BQ53" s="149" t="n">
        <x:f aca="0">Y53*Y53</x:f>
        <x:v>73887.24152025231</x:v>
      </x:c>
      <x:c r="BR53" s="149" t="n">
        <x:f aca="0">Z53*Z53</x:f>
        <x:v>83320.32351517736</x:v>
      </x:c>
      <x:c r="BS53" s="149" t="n">
        <x:f aca="0">AA53*AA53</x:f>
        <x:v>92365.41227637455</x:v>
      </x:c>
      <x:c r="BT53" s="149" t="n">
        <x:f aca="0">AB53*AB53</x:f>
        <x:v>100923.35149462135</x:v>
      </x:c>
      <x:c r="BU53" s="149" t="n">
        <x:f aca="0">AC53*AC53</x:f>
        <x:v>108929.60782237159</x:v>
      </x:c>
    </x:row>
    <x:row r="54" ht="15" hidden="0" customHeight="1">
      <x:c r="A54" s="1" t="str">
        <x:f aca="0">S13_PSP_Species_Support!A41</x:f>
        <x:v>PSP-MA-008</x:v>
      </x:c>
      <x:c r="B54" s="1" t="n">
        <x:f aca="0">41</x:f>
        <x:v>41</x:v>
      </x:c>
      <x:c r="C54" s="1" t="str">
        <x:f aca="0">S13_PSP_Species_Support!I41</x:f>
        <x:v>Mixed Agroforestry|Low|2024</x:v>
      </x:c>
      <x:c r="D54" s="1" t="str">
        <x:f aca="0">S13_PSP_Species_Support!C41</x:f>
        <x:v>Mixed Agroforestry Model</x:v>
      </x:c>
      <x:c r="E54" s="1" t="str">
        <x:f aca="0">S13_PSP_Species_Support!D41</x:f>
        <x:v>Low</x:v>
      </x:c>
      <x:c r="F54" s="1" t="n">
        <x:f aca="0">S13_PSP_Species_Support!E41</x:f>
        <x:v>2024</x:v>
      </x:c>
      <x:c r="G54" s="645" t="n">
        <x:f aca="0">'S13_PSP_Species_Support'!DJ41</x:f>
        <x:v>0.09</x:v>
      </x:c>
      <x:c r="H54" s="714" t="n">
        <x:f aca="0">'S13_PSP_Species_Support'!DK41</x:f>
        <x:v>15.325077399380802</x:v>
      </x:c>
      <x:c r="I54" s="147" t="n">
        <x:f aca="0">IFERROR((IFERROR(S13_PSP_Species_Support!U41*0.0673*(S13_PSP_Species_Support!V41*(S13_PSP_Species_Support!W41*(1-EXP(-S13_PSP_Species_Support!X41*0))^S13_PSP_Species_Support!Y41)^2*(S13_PSP_Species_Support!Z41*(1-EXP(-S13_PSP_Species_Support!AA41*0))^S13_PSP_Species_Support!AB41))^0.976,0)+IFERROR(S13_PSP_Species_Support!AF41*0.0673*(S13_PSP_Species_Support!AG41*(S13_PSP_Species_Support!AH41*(1-EXP(-S13_PSP_Species_Support!AI41*0))^S13_PSP_Species_Support!AJ41)^2*(S13_PSP_Species_Support!AK41*(1-EXP(-S13_PSP_Species_Support!AL41*0))^S13_PSP_Species_Support!AM41))^0.976,0)+IFERROR(S13_PSP_Species_Support!AQ41*0.0673*(S13_PSP_Species_Support!AR41*(S13_PSP_Species_Support!AS41*(1-EXP(-S13_PSP_Species_Support!AT41*0))^S13_PSP_Species_Support!AU41)^2*(S13_PSP_Species_Support!AV41*(1-EXP(-S13_PSP_Species_Support!AW41*0))^S13_PSP_Species_Support!AX41))^0.976,0)+IFERROR(S13_PSP_Species_Support!BB41*0.0673*(S13_PSP_Species_Support!BC41*(S13_PSP_Species_Support!BD41*(1-EXP(-S13_PSP_Species_Support!BE41*0))^S13_PSP_Species_Support!BF41)^2*(S13_PSP_Species_Support!BG41*(1-EXP(-S13_PSP_Species_Support!BH41*0))^S13_PSP_Species_Support!BI41))^0.976,0)+IFERROR(S13_PSP_Species_Support!BM41*0.0673*(S13_PSP_Species_Support!BN41*(S13_PSP_Species_Support!BO41*(1-EXP(-S13_PSP_Species_Support!BP41*0))^S13_PSP_Species_Support!BQ41)^2*(S13_PSP_Species_Support!BR41*(1-EXP(-S13_PSP_Species_Support!BS41*0))^S13_PSP_Species_Support!BT41))^0.976,0)+IFERROR(S13_PSP_Species_Support!BX41*0.0673*(S13_PSP_Species_Support!BY41*(S13_PSP_Species_Support!BZ41*(1-EXP(-S13_PSP_Species_Support!CA41*0))^S13_PSP_Species_Support!CB41)^2*(S13_PSP_Species_Support!CC41*(1-EXP(-S13_PSP_Species_Support!CD41*0))^S13_PSP_Species_Support!CE41))^0.976,0)+IFERROR(S13_PSP_Species_Support!CI41*0.0673*(S13_PSP_Species_Support!CJ41*(S13_PSP_Species_Support!CK41*(1-EXP(-S13_PSP_Species_Support!CL41*0))^S13_PSP_Species_Support!CM41)^2*(S13_PSP_Species_Support!CN41*(1-EXP(-S13_PSP_Species_Support!CO41*0))^S13_PSP_Species_Support!CP41))^0.976,0)+IFERROR(S13_PSP_Species_Support!CT41*0.0673*(S13_PSP_Species_Support!CU41*(S13_PSP_Species_Support!CV41*(1-EXP(-S13_PSP_Species_Support!CW41*0))^S13_PSP_Species_Support!CX41)^2*(S13_PSP_Species_Support!CY41*(1-EXP(-S13_PSP_Species_Support!CZ41*0))^S13_PSP_Species_Support!DA41))^0.976,0))/1000/$G54*I$108,0)</x:f>
        <x:v>0</x:v>
      </x:c>
      <x:c r="J54" s="147" t="n">
        <x:f aca="0">IFERROR((IFERROR(S13_PSP_Species_Support!U41*0.0673*(S13_PSP_Species_Support!V41*(S13_PSP_Species_Support!W41*(1-EXP(-S13_PSP_Species_Support!X41*1))^S13_PSP_Species_Support!Y41)^2*(S13_PSP_Species_Support!Z41*(1-EXP(-S13_PSP_Species_Support!AA41*1))^S13_PSP_Species_Support!AB41))^0.976,0)+IFERROR(S13_PSP_Species_Support!AF41*0.0673*(S13_PSP_Species_Support!AG41*(S13_PSP_Species_Support!AH41*(1-EXP(-S13_PSP_Species_Support!AI41*1))^S13_PSP_Species_Support!AJ41)^2*(S13_PSP_Species_Support!AK41*(1-EXP(-S13_PSP_Species_Support!AL41*1))^S13_PSP_Species_Support!AM41))^0.976,0)+IFERROR(S13_PSP_Species_Support!AQ41*0.0673*(S13_PSP_Species_Support!AR41*(S13_PSP_Species_Support!AS41*(1-EXP(-S13_PSP_Species_Support!AT41*1))^S13_PSP_Species_Support!AU41)^2*(S13_PSP_Species_Support!AV41*(1-EXP(-S13_PSP_Species_Support!AW41*1))^S13_PSP_Species_Support!AX41))^0.976,0)+IFERROR(S13_PSP_Species_Support!BB41*0.0673*(S13_PSP_Species_Support!BC41*(S13_PSP_Species_Support!BD41*(1-EXP(-S13_PSP_Species_Support!BE41*1))^S13_PSP_Species_Support!BF41)^2*(S13_PSP_Species_Support!BG41*(1-EXP(-S13_PSP_Species_Support!BH41*1))^S13_PSP_Species_Support!BI41))^0.976,0)+IFERROR(S13_PSP_Species_Support!BM41*0.0673*(S13_PSP_Species_Support!BN41*(S13_PSP_Species_Support!BO41*(1-EXP(-S13_PSP_Species_Support!BP41*1))^S13_PSP_Species_Support!BQ41)^2*(S13_PSP_Species_Support!BR41*(1-EXP(-S13_PSP_Species_Support!BS41*1))^S13_PSP_Species_Support!BT41))^0.976,0)+IFERROR(S13_PSP_Species_Support!BX41*0.0673*(S13_PSP_Species_Support!BY41*(S13_PSP_Species_Support!BZ41*(1-EXP(-S13_PSP_Species_Support!CA41*1))^S13_PSP_Species_Support!CB41)^2*(S13_PSP_Species_Support!CC41*(1-EXP(-S13_PSP_Species_Support!CD41*1))^S13_PSP_Species_Support!CE41))^0.976,0)+IFERROR(S13_PSP_Species_Support!CI41*0.0673*(S13_PSP_Species_Support!CJ41*(S13_PSP_Species_Support!CK41*(1-EXP(-S13_PSP_Species_Support!CL41*1))^S13_PSP_Species_Support!CM41)^2*(S13_PSP_Species_Support!CN41*(1-EXP(-S13_PSP_Species_Support!CO41*1))^S13_PSP_Species_Support!CP41))^0.976,0)+IFERROR(S13_PSP_Species_Support!CT41*0.0673*(S13_PSP_Species_Support!CU41*(S13_PSP_Species_Support!CV41*(1-EXP(-S13_PSP_Species_Support!CW41*1))^S13_PSP_Species_Support!CX41)^2*(S13_PSP_Species_Support!CY41*(1-EXP(-S13_PSP_Species_Support!CZ41*1))^S13_PSP_Species_Support!DA41))^0.976,0))/1000/$G54*J$108,0)</x:f>
        <x:v>0.025559406943906616</x:v>
      </x:c>
      <x:c r="K54" s="147" t="n">
        <x:f aca="0">IFERROR((IFERROR(S13_PSP_Species_Support!U41*0.0673*(S13_PSP_Species_Support!V41*(S13_PSP_Species_Support!W41*(1-EXP(-S13_PSP_Species_Support!X41*2))^S13_PSP_Species_Support!Y41)^2*(S13_PSP_Species_Support!Z41*(1-EXP(-S13_PSP_Species_Support!AA41*2))^S13_PSP_Species_Support!AB41))^0.976,0)+IFERROR(S13_PSP_Species_Support!AF41*0.0673*(S13_PSP_Species_Support!AG41*(S13_PSP_Species_Support!AH41*(1-EXP(-S13_PSP_Species_Support!AI41*2))^S13_PSP_Species_Support!AJ41)^2*(S13_PSP_Species_Support!AK41*(1-EXP(-S13_PSP_Species_Support!AL41*2))^S13_PSP_Species_Support!AM41))^0.976,0)+IFERROR(S13_PSP_Species_Support!AQ41*0.0673*(S13_PSP_Species_Support!AR41*(S13_PSP_Species_Support!AS41*(1-EXP(-S13_PSP_Species_Support!AT41*2))^S13_PSP_Species_Support!AU41)^2*(S13_PSP_Species_Support!AV41*(1-EXP(-S13_PSP_Species_Support!AW41*2))^S13_PSP_Species_Support!AX41))^0.976,0)+IFERROR(S13_PSP_Species_Support!BB41*0.0673*(S13_PSP_Species_Support!BC41*(S13_PSP_Species_Support!BD41*(1-EXP(-S13_PSP_Species_Support!BE41*2))^S13_PSP_Species_Support!BF41)^2*(S13_PSP_Species_Support!BG41*(1-EXP(-S13_PSP_Species_Support!BH41*2))^S13_PSP_Species_Support!BI41))^0.976,0)+IFERROR(S13_PSP_Species_Support!BM41*0.0673*(S13_PSP_Species_Support!BN41*(S13_PSP_Species_Support!BO41*(1-EXP(-S13_PSP_Species_Support!BP41*2))^S13_PSP_Species_Support!BQ41)^2*(S13_PSP_Species_Support!BR41*(1-EXP(-S13_PSP_Species_Support!BS41*2))^S13_PSP_Species_Support!BT41))^0.976,0)+IFERROR(S13_PSP_Species_Support!BX41*0.0673*(S13_PSP_Species_Support!BY41*(S13_PSP_Species_Support!BZ41*(1-EXP(-S13_PSP_Species_Support!CA41*2))^S13_PSP_Species_Support!CB41)^2*(S13_PSP_Species_Support!CC41*(1-EXP(-S13_PSP_Species_Support!CD41*2))^S13_PSP_Species_Support!CE41))^0.976,0)+IFERROR(S13_PSP_Species_Support!CI41*0.0673*(S13_PSP_Species_Support!CJ41*(S13_PSP_Species_Support!CK41*(1-EXP(-S13_PSP_Species_Support!CL41*2))^S13_PSP_Species_Support!CM41)^2*(S13_PSP_Species_Support!CN41*(1-EXP(-S13_PSP_Species_Support!CO41*2))^S13_PSP_Species_Support!CP41))^0.976,0)+IFERROR(S13_PSP_Species_Support!CT41*0.0673*(S13_PSP_Species_Support!CU41*(S13_PSP_Species_Support!CV41*(1-EXP(-S13_PSP_Species_Support!CW41*2))^S13_PSP_Species_Support!CX41)^2*(S13_PSP_Species_Support!CY41*(1-EXP(-S13_PSP_Species_Support!CZ41*2))^S13_PSP_Species_Support!DA41))^0.976,0))/1000/$G54*K$108,0)</x:f>
        <x:v>0.3124628051096665</x:v>
      </x:c>
      <x:c r="L54" s="147" t="n">
        <x:f aca="0">IFERROR((IFERROR(S13_PSP_Species_Support!U41*0.0673*(S13_PSP_Species_Support!V41*(S13_PSP_Species_Support!W41*(1-EXP(-S13_PSP_Species_Support!X41*3))^S13_PSP_Species_Support!Y41)^2*(S13_PSP_Species_Support!Z41*(1-EXP(-S13_PSP_Species_Support!AA41*3))^S13_PSP_Species_Support!AB41))^0.976,0)+IFERROR(S13_PSP_Species_Support!AF41*0.0673*(S13_PSP_Species_Support!AG41*(S13_PSP_Species_Support!AH41*(1-EXP(-S13_PSP_Species_Support!AI41*3))^S13_PSP_Species_Support!AJ41)^2*(S13_PSP_Species_Support!AK41*(1-EXP(-S13_PSP_Species_Support!AL41*3))^S13_PSP_Species_Support!AM41))^0.976,0)+IFERROR(S13_PSP_Species_Support!AQ41*0.0673*(S13_PSP_Species_Support!AR41*(S13_PSP_Species_Support!AS41*(1-EXP(-S13_PSP_Species_Support!AT41*3))^S13_PSP_Species_Support!AU41)^2*(S13_PSP_Species_Support!AV41*(1-EXP(-S13_PSP_Species_Support!AW41*3))^S13_PSP_Species_Support!AX41))^0.976,0)+IFERROR(S13_PSP_Species_Support!BB41*0.0673*(S13_PSP_Species_Support!BC41*(S13_PSP_Species_Support!BD41*(1-EXP(-S13_PSP_Species_Support!BE41*3))^S13_PSP_Species_Support!BF41)^2*(S13_PSP_Species_Support!BG41*(1-EXP(-S13_PSP_Species_Support!BH41*3))^S13_PSP_Species_Support!BI41))^0.976,0)+IFERROR(S13_PSP_Species_Support!BM41*0.0673*(S13_PSP_Species_Support!BN41*(S13_PSP_Species_Support!BO41*(1-EXP(-S13_PSP_Species_Support!BP41*3))^S13_PSP_Species_Support!BQ41)^2*(S13_PSP_Species_Support!BR41*(1-EXP(-S13_PSP_Species_Support!BS41*3))^S13_PSP_Species_Support!BT41))^0.976,0)+IFERROR(S13_PSP_Species_Support!BX41*0.0673*(S13_PSP_Species_Support!BY41*(S13_PSP_Species_Support!BZ41*(1-EXP(-S13_PSP_Species_Support!CA41*3))^S13_PSP_Species_Support!CB41)^2*(S13_PSP_Species_Support!CC41*(1-EXP(-S13_PSP_Species_Support!CD41*3))^S13_PSP_Species_Support!CE41))^0.976,0)+IFERROR(S13_PSP_Species_Support!CI41*0.0673*(S13_PSP_Species_Support!CJ41*(S13_PSP_Species_Support!CK41*(1-EXP(-S13_PSP_Species_Support!CL41*3))^S13_PSP_Species_Support!CM41)^2*(S13_PSP_Species_Support!CN41*(1-EXP(-S13_PSP_Species_Support!CO41*3))^S13_PSP_Species_Support!CP41))^0.976,0)+IFERROR(S13_PSP_Species_Support!CT41*0.0673*(S13_PSP_Species_Support!CU41*(S13_PSP_Species_Support!CV41*(1-EXP(-S13_PSP_Species_Support!CW41*3))^S13_PSP_Species_Support!CX41)^2*(S13_PSP_Species_Support!CY41*(1-EXP(-S13_PSP_Species_Support!CZ41*3))^S13_PSP_Species_Support!DA41))^0.976,0))/1000/$G54*L$108,0)</x:f>
        <x:v>1.1954460605637534</x:v>
      </x:c>
      <x:c r="M54" s="147" t="n">
        <x:f aca="0">IFERROR((IFERROR(S13_PSP_Species_Support!U41*0.0673*(S13_PSP_Species_Support!V41*(S13_PSP_Species_Support!W41*(1-EXP(-S13_PSP_Species_Support!X41*4))^S13_PSP_Species_Support!Y41)^2*(S13_PSP_Species_Support!Z41*(1-EXP(-S13_PSP_Species_Support!AA41*4))^S13_PSP_Species_Support!AB41))^0.976,0)+IFERROR(S13_PSP_Species_Support!AF41*0.0673*(S13_PSP_Species_Support!AG41*(S13_PSP_Species_Support!AH41*(1-EXP(-S13_PSP_Species_Support!AI41*4))^S13_PSP_Species_Support!AJ41)^2*(S13_PSP_Species_Support!AK41*(1-EXP(-S13_PSP_Species_Support!AL41*4))^S13_PSP_Species_Support!AM41))^0.976,0)+IFERROR(S13_PSP_Species_Support!AQ41*0.0673*(S13_PSP_Species_Support!AR41*(S13_PSP_Species_Support!AS41*(1-EXP(-S13_PSP_Species_Support!AT41*4))^S13_PSP_Species_Support!AU41)^2*(S13_PSP_Species_Support!AV41*(1-EXP(-S13_PSP_Species_Support!AW41*4))^S13_PSP_Species_Support!AX41))^0.976,0)+IFERROR(S13_PSP_Species_Support!BB41*0.0673*(S13_PSP_Species_Support!BC41*(S13_PSP_Species_Support!BD41*(1-EXP(-S13_PSP_Species_Support!BE41*4))^S13_PSP_Species_Support!BF41)^2*(S13_PSP_Species_Support!BG41*(1-EXP(-S13_PSP_Species_Support!BH41*4))^S13_PSP_Species_Support!BI41))^0.976,0)+IFERROR(S13_PSP_Species_Support!BM41*0.0673*(S13_PSP_Species_Support!BN41*(S13_PSP_Species_Support!BO41*(1-EXP(-S13_PSP_Species_Support!BP41*4))^S13_PSP_Species_Support!BQ41)^2*(S13_PSP_Species_Support!BR41*(1-EXP(-S13_PSP_Species_Support!BS41*4))^S13_PSP_Species_Support!BT41))^0.976,0)+IFERROR(S13_PSP_Species_Support!BX41*0.0673*(S13_PSP_Species_Support!BY41*(S13_PSP_Species_Support!BZ41*(1-EXP(-S13_PSP_Species_Support!CA41*4))^S13_PSP_Species_Support!CB41)^2*(S13_PSP_Species_Support!CC41*(1-EXP(-S13_PSP_Species_Support!CD41*4))^S13_PSP_Species_Support!CE41))^0.976,0)+IFERROR(S13_PSP_Species_Support!CI41*0.0673*(S13_PSP_Species_Support!CJ41*(S13_PSP_Species_Support!CK41*(1-EXP(-S13_PSP_Species_Support!CL41*4))^S13_PSP_Species_Support!CM41)^2*(S13_PSP_Species_Support!CN41*(1-EXP(-S13_PSP_Species_Support!CO41*4))^S13_PSP_Species_Support!CP41))^0.976,0)+IFERROR(S13_PSP_Species_Support!CT41*0.0673*(S13_PSP_Species_Support!CU41*(S13_PSP_Species_Support!CV41*(1-EXP(-S13_PSP_Species_Support!CW41*4))^S13_PSP_Species_Support!CX41)^2*(S13_PSP_Species_Support!CY41*(1-EXP(-S13_PSP_Species_Support!CZ41*4))^S13_PSP_Species_Support!DA41))^0.976,0))/1000/$G54*M$108,0)</x:f>
        <x:v>2.8758561051772924</x:v>
      </x:c>
      <x:c r="N54" s="147" t="n">
        <x:f aca="0">IFERROR((IFERROR(S13_PSP_Species_Support!U41*0.0673*(S13_PSP_Species_Support!V41*(S13_PSP_Species_Support!W41*(1-EXP(-S13_PSP_Species_Support!X41*5))^S13_PSP_Species_Support!Y41)^2*(S13_PSP_Species_Support!Z41*(1-EXP(-S13_PSP_Species_Support!AA41*5))^S13_PSP_Species_Support!AB41))^0.976,0)+IFERROR(S13_PSP_Species_Support!AF41*0.0673*(S13_PSP_Species_Support!AG41*(S13_PSP_Species_Support!AH41*(1-EXP(-S13_PSP_Species_Support!AI41*5))^S13_PSP_Species_Support!AJ41)^2*(S13_PSP_Species_Support!AK41*(1-EXP(-S13_PSP_Species_Support!AL41*5))^S13_PSP_Species_Support!AM41))^0.976,0)+IFERROR(S13_PSP_Species_Support!AQ41*0.0673*(S13_PSP_Species_Support!AR41*(S13_PSP_Species_Support!AS41*(1-EXP(-S13_PSP_Species_Support!AT41*5))^S13_PSP_Species_Support!AU41)^2*(S13_PSP_Species_Support!AV41*(1-EXP(-S13_PSP_Species_Support!AW41*5))^S13_PSP_Species_Support!AX41))^0.976,0)+IFERROR(S13_PSP_Species_Support!BB41*0.0673*(S13_PSP_Species_Support!BC41*(S13_PSP_Species_Support!BD41*(1-EXP(-S13_PSP_Species_Support!BE41*5))^S13_PSP_Species_Support!BF41)^2*(S13_PSP_Species_Support!BG41*(1-EXP(-S13_PSP_Species_Support!BH41*5))^S13_PSP_Species_Support!BI41))^0.976,0)+IFERROR(S13_PSP_Species_Support!BM41*0.0673*(S13_PSP_Species_Support!BN41*(S13_PSP_Species_Support!BO41*(1-EXP(-S13_PSP_Species_Support!BP41*5))^S13_PSP_Species_Support!BQ41)^2*(S13_PSP_Species_Support!BR41*(1-EXP(-S13_PSP_Species_Support!BS41*5))^S13_PSP_Species_Support!BT41))^0.976,0)+IFERROR(S13_PSP_Species_Support!BX41*0.0673*(S13_PSP_Species_Support!BY41*(S13_PSP_Species_Support!BZ41*(1-EXP(-S13_PSP_Species_Support!CA41*5))^S13_PSP_Species_Support!CB41)^2*(S13_PSP_Species_Support!CC41*(1-EXP(-S13_PSP_Species_Support!CD41*5))^S13_PSP_Species_Support!CE41))^0.976,0)+IFERROR(S13_PSP_Species_Support!CI41*0.0673*(S13_PSP_Species_Support!CJ41*(S13_PSP_Species_Support!CK41*(1-EXP(-S13_PSP_Species_Support!CL41*5))^S13_PSP_Species_Support!CM41)^2*(S13_PSP_Species_Support!CN41*(1-EXP(-S13_PSP_Species_Support!CO41*5))^S13_PSP_Species_Support!CP41))^0.976,0)+IFERROR(S13_PSP_Species_Support!CT41*0.0673*(S13_PSP_Species_Support!CU41*(S13_PSP_Species_Support!CV41*(1-EXP(-S13_PSP_Species_Support!CW41*5))^S13_PSP_Species_Support!CX41)^2*(S13_PSP_Species_Support!CY41*(1-EXP(-S13_PSP_Species_Support!CZ41*5))^S13_PSP_Species_Support!DA41))^0.976,0))/1000/$G54*N$108,0)</x:f>
        <x:v>5.361092790206285</x:v>
      </x:c>
      <x:c r="O54" s="147" t="n">
        <x:f aca="0">IFERROR((IFERROR(S13_PSP_Species_Support!U41*0.0673*(S13_PSP_Species_Support!V41*(S13_PSP_Species_Support!W41*(1-EXP(-S13_PSP_Species_Support!X41*6))^S13_PSP_Species_Support!Y41)^2*(S13_PSP_Species_Support!Z41*(1-EXP(-S13_PSP_Species_Support!AA41*6))^S13_PSP_Species_Support!AB41))^0.976,0)+IFERROR(S13_PSP_Species_Support!AF41*0.0673*(S13_PSP_Species_Support!AG41*(S13_PSP_Species_Support!AH41*(1-EXP(-S13_PSP_Species_Support!AI41*6))^S13_PSP_Species_Support!AJ41)^2*(S13_PSP_Species_Support!AK41*(1-EXP(-S13_PSP_Species_Support!AL41*6))^S13_PSP_Species_Support!AM41))^0.976,0)+IFERROR(S13_PSP_Species_Support!AQ41*0.0673*(S13_PSP_Species_Support!AR41*(S13_PSP_Species_Support!AS41*(1-EXP(-S13_PSP_Species_Support!AT41*6))^S13_PSP_Species_Support!AU41)^2*(S13_PSP_Species_Support!AV41*(1-EXP(-S13_PSP_Species_Support!AW41*6))^S13_PSP_Species_Support!AX41))^0.976,0)+IFERROR(S13_PSP_Species_Support!BB41*0.0673*(S13_PSP_Species_Support!BC41*(S13_PSP_Species_Support!BD41*(1-EXP(-S13_PSP_Species_Support!BE41*6))^S13_PSP_Species_Support!BF41)^2*(S13_PSP_Species_Support!BG41*(1-EXP(-S13_PSP_Species_Support!BH41*6))^S13_PSP_Species_Support!BI41))^0.976,0)+IFERROR(S13_PSP_Species_Support!BM41*0.0673*(S13_PSP_Species_Support!BN41*(S13_PSP_Species_Support!BO41*(1-EXP(-S13_PSP_Species_Support!BP41*6))^S13_PSP_Species_Support!BQ41)^2*(S13_PSP_Species_Support!BR41*(1-EXP(-S13_PSP_Species_Support!BS41*6))^S13_PSP_Species_Support!BT41))^0.976,0)+IFERROR(S13_PSP_Species_Support!BX41*0.0673*(S13_PSP_Species_Support!BY41*(S13_PSP_Species_Support!BZ41*(1-EXP(-S13_PSP_Species_Support!CA41*6))^S13_PSP_Species_Support!CB41)^2*(S13_PSP_Species_Support!CC41*(1-EXP(-S13_PSP_Species_Support!CD41*6))^S13_PSP_Species_Support!CE41))^0.976,0)+IFERROR(S13_PSP_Species_Support!CI41*0.0673*(S13_PSP_Species_Support!CJ41*(S13_PSP_Species_Support!CK41*(1-EXP(-S13_PSP_Species_Support!CL41*6))^S13_PSP_Species_Support!CM41)^2*(S13_PSP_Species_Support!CN41*(1-EXP(-S13_PSP_Species_Support!CO41*6))^S13_PSP_Species_Support!CP41))^0.976,0)+IFERROR(S13_PSP_Species_Support!CT41*0.0673*(S13_PSP_Species_Support!CU41*(S13_PSP_Species_Support!CV41*(1-EXP(-S13_PSP_Species_Support!CW41*6))^S13_PSP_Species_Support!CX41)^2*(S13_PSP_Species_Support!CY41*(1-EXP(-S13_PSP_Species_Support!CZ41*6))^S13_PSP_Species_Support!DA41))^0.976,0))/1000/$G54*O$108,0)</x:f>
        <x:v>8.536976980756275</x:v>
      </x:c>
      <x:c r="P54" s="147" t="n">
        <x:f aca="0">IFERROR((IFERROR(S13_PSP_Species_Support!U41*0.0673*(S13_PSP_Species_Support!V41*(S13_PSP_Species_Support!W41*(1-EXP(-S13_PSP_Species_Support!X41*7))^S13_PSP_Species_Support!Y41)^2*(S13_PSP_Species_Support!Z41*(1-EXP(-S13_PSP_Species_Support!AA41*7))^S13_PSP_Species_Support!AB41))^0.976,0)+IFERROR(S13_PSP_Species_Support!AF41*0.0673*(S13_PSP_Species_Support!AG41*(S13_PSP_Species_Support!AH41*(1-EXP(-S13_PSP_Species_Support!AI41*7))^S13_PSP_Species_Support!AJ41)^2*(S13_PSP_Species_Support!AK41*(1-EXP(-S13_PSP_Species_Support!AL41*7))^S13_PSP_Species_Support!AM41))^0.976,0)+IFERROR(S13_PSP_Species_Support!AQ41*0.0673*(S13_PSP_Species_Support!AR41*(S13_PSP_Species_Support!AS41*(1-EXP(-S13_PSP_Species_Support!AT41*7))^S13_PSP_Species_Support!AU41)^2*(S13_PSP_Species_Support!AV41*(1-EXP(-S13_PSP_Species_Support!AW41*7))^S13_PSP_Species_Support!AX41))^0.976,0)+IFERROR(S13_PSP_Species_Support!BB41*0.0673*(S13_PSP_Species_Support!BC41*(S13_PSP_Species_Support!BD41*(1-EXP(-S13_PSP_Species_Support!BE41*7))^S13_PSP_Species_Support!BF41)^2*(S13_PSP_Species_Support!BG41*(1-EXP(-S13_PSP_Species_Support!BH41*7))^S13_PSP_Species_Support!BI41))^0.976,0)+IFERROR(S13_PSP_Species_Support!BM41*0.0673*(S13_PSP_Species_Support!BN41*(S13_PSP_Species_Support!BO41*(1-EXP(-S13_PSP_Species_Support!BP41*7))^S13_PSP_Species_Support!BQ41)^2*(S13_PSP_Species_Support!BR41*(1-EXP(-S13_PSP_Species_Support!BS41*7))^S13_PSP_Species_Support!BT41))^0.976,0)+IFERROR(S13_PSP_Species_Support!BX41*0.0673*(S13_PSP_Species_Support!BY41*(S13_PSP_Species_Support!BZ41*(1-EXP(-S13_PSP_Species_Support!CA41*7))^S13_PSP_Species_Support!CB41)^2*(S13_PSP_Species_Support!CC41*(1-EXP(-S13_PSP_Species_Support!CD41*7))^S13_PSP_Species_Support!CE41))^0.976,0)+IFERROR(S13_PSP_Species_Support!CI41*0.0673*(S13_PSP_Species_Support!CJ41*(S13_PSP_Species_Support!CK41*(1-EXP(-S13_PSP_Species_Support!CL41*7))^S13_PSP_Species_Support!CM41)^2*(S13_PSP_Species_Support!CN41*(1-EXP(-S13_PSP_Species_Support!CO41*7))^S13_PSP_Species_Support!CP41))^0.976,0)+IFERROR(S13_PSP_Species_Support!CT41*0.0673*(S13_PSP_Species_Support!CU41*(S13_PSP_Species_Support!CV41*(1-EXP(-S13_PSP_Species_Support!CW41*7))^S13_PSP_Species_Support!CX41)^2*(S13_PSP_Species_Support!CY41*(1-EXP(-S13_PSP_Species_Support!CZ41*7))^S13_PSP_Species_Support!DA41))^0.976,0))/1000/$G54*P$108,0)</x:f>
        <x:v>12.229638164542404</x:v>
      </x:c>
      <x:c r="Q54" s="147" t="n">
        <x:f aca="0">IFERROR((IFERROR(S13_PSP_Species_Support!U41*0.0673*(S13_PSP_Species_Support!V41*(S13_PSP_Species_Support!W41*(1-EXP(-S13_PSP_Species_Support!X41*8))^S13_PSP_Species_Support!Y41)^2*(S13_PSP_Species_Support!Z41*(1-EXP(-S13_PSP_Species_Support!AA41*8))^S13_PSP_Species_Support!AB41))^0.976,0)+IFERROR(S13_PSP_Species_Support!AF41*0.0673*(S13_PSP_Species_Support!AG41*(S13_PSP_Species_Support!AH41*(1-EXP(-S13_PSP_Species_Support!AI41*8))^S13_PSP_Species_Support!AJ41)^2*(S13_PSP_Species_Support!AK41*(1-EXP(-S13_PSP_Species_Support!AL41*8))^S13_PSP_Species_Support!AM41))^0.976,0)+IFERROR(S13_PSP_Species_Support!AQ41*0.0673*(S13_PSP_Species_Support!AR41*(S13_PSP_Species_Support!AS41*(1-EXP(-S13_PSP_Species_Support!AT41*8))^S13_PSP_Species_Support!AU41)^2*(S13_PSP_Species_Support!AV41*(1-EXP(-S13_PSP_Species_Support!AW41*8))^S13_PSP_Species_Support!AX41))^0.976,0)+IFERROR(S13_PSP_Species_Support!BB41*0.0673*(S13_PSP_Species_Support!BC41*(S13_PSP_Species_Support!BD41*(1-EXP(-S13_PSP_Species_Support!BE41*8))^S13_PSP_Species_Support!BF41)^2*(S13_PSP_Species_Support!BG41*(1-EXP(-S13_PSP_Species_Support!BH41*8))^S13_PSP_Species_Support!BI41))^0.976,0)+IFERROR(S13_PSP_Species_Support!BM41*0.0673*(S13_PSP_Species_Support!BN41*(S13_PSP_Species_Support!BO41*(1-EXP(-S13_PSP_Species_Support!BP41*8))^S13_PSP_Species_Support!BQ41)^2*(S13_PSP_Species_Support!BR41*(1-EXP(-S13_PSP_Species_Support!BS41*8))^S13_PSP_Species_Support!BT41))^0.976,0)+IFERROR(S13_PSP_Species_Support!BX41*0.0673*(S13_PSP_Species_Support!BY41*(S13_PSP_Species_Support!BZ41*(1-EXP(-S13_PSP_Species_Support!CA41*8))^S13_PSP_Species_Support!CB41)^2*(S13_PSP_Species_Support!CC41*(1-EXP(-S13_PSP_Species_Support!CD41*8))^S13_PSP_Species_Support!CE41))^0.976,0)+IFERROR(S13_PSP_Species_Support!CI41*0.0673*(S13_PSP_Species_Support!CJ41*(S13_PSP_Species_Support!CK41*(1-EXP(-S13_PSP_Species_Support!CL41*8))^S13_PSP_Species_Support!CM41)^2*(S13_PSP_Species_Support!CN41*(1-EXP(-S13_PSP_Species_Support!CO41*8))^S13_PSP_Species_Support!CP41))^0.976,0)+IFERROR(S13_PSP_Species_Support!CT41*0.0673*(S13_PSP_Species_Support!CU41*(S13_PSP_Species_Support!CV41*(1-EXP(-S13_PSP_Species_Support!CW41*8))^S13_PSP_Species_Support!CX41)^2*(S13_PSP_Species_Support!CY41*(1-EXP(-S13_PSP_Species_Support!CZ41*8))^S13_PSP_Species_Support!DA41))^0.976,0))/1000/$G54*Q$108,0)</x:f>
        <x:v>16.25292649190145</x:v>
      </x:c>
      <x:c r="R54" s="147" t="n">
        <x:f aca="0">IFERROR((IFERROR(S13_PSP_Species_Support!U41*0.0673*(S13_PSP_Species_Support!V41*(S13_PSP_Species_Support!W41*(1-EXP(-S13_PSP_Species_Support!X41*9))^S13_PSP_Species_Support!Y41)^2*(S13_PSP_Species_Support!Z41*(1-EXP(-S13_PSP_Species_Support!AA41*9))^S13_PSP_Species_Support!AB41))^0.976,0)+IFERROR(S13_PSP_Species_Support!AF41*0.0673*(S13_PSP_Species_Support!AG41*(S13_PSP_Species_Support!AH41*(1-EXP(-S13_PSP_Species_Support!AI41*9))^S13_PSP_Species_Support!AJ41)^2*(S13_PSP_Species_Support!AK41*(1-EXP(-S13_PSP_Species_Support!AL41*9))^S13_PSP_Species_Support!AM41))^0.976,0)+IFERROR(S13_PSP_Species_Support!AQ41*0.0673*(S13_PSP_Species_Support!AR41*(S13_PSP_Species_Support!AS41*(1-EXP(-S13_PSP_Species_Support!AT41*9))^S13_PSP_Species_Support!AU41)^2*(S13_PSP_Species_Support!AV41*(1-EXP(-S13_PSP_Species_Support!AW41*9))^S13_PSP_Species_Support!AX41))^0.976,0)+IFERROR(S13_PSP_Species_Support!BB41*0.0673*(S13_PSP_Species_Support!BC41*(S13_PSP_Species_Support!BD41*(1-EXP(-S13_PSP_Species_Support!BE41*9))^S13_PSP_Species_Support!BF41)^2*(S13_PSP_Species_Support!BG41*(1-EXP(-S13_PSP_Species_Support!BH41*9))^S13_PSP_Species_Support!BI41))^0.976,0)+IFERROR(S13_PSP_Species_Support!BM41*0.0673*(S13_PSP_Species_Support!BN41*(S13_PSP_Species_Support!BO41*(1-EXP(-S13_PSP_Species_Support!BP41*9))^S13_PSP_Species_Support!BQ41)^2*(S13_PSP_Species_Support!BR41*(1-EXP(-S13_PSP_Species_Support!BS41*9))^S13_PSP_Species_Support!BT41))^0.976,0)+IFERROR(S13_PSP_Species_Support!BX41*0.0673*(S13_PSP_Species_Support!BY41*(S13_PSP_Species_Support!BZ41*(1-EXP(-S13_PSP_Species_Support!CA41*9))^S13_PSP_Species_Support!CB41)^2*(S13_PSP_Species_Support!CC41*(1-EXP(-S13_PSP_Species_Support!CD41*9))^S13_PSP_Species_Support!CE41))^0.976,0)+IFERROR(S13_PSP_Species_Support!CI41*0.0673*(S13_PSP_Species_Support!CJ41*(S13_PSP_Species_Support!CK41*(1-EXP(-S13_PSP_Species_Support!CL41*9))^S13_PSP_Species_Support!CM41)^2*(S13_PSP_Species_Support!CN41*(1-EXP(-S13_PSP_Species_Support!CO41*9))^S13_PSP_Species_Support!CP41))^0.976,0)+IFERROR(S13_PSP_Species_Support!CT41*0.0673*(S13_PSP_Species_Support!CU41*(S13_PSP_Species_Support!CV41*(1-EXP(-S13_PSP_Species_Support!CW41*9))^S13_PSP_Species_Support!CX41)^2*(S13_PSP_Species_Support!CY41*(1-EXP(-S13_PSP_Species_Support!CZ41*9))^S13_PSP_Species_Support!DA41))^0.976,0))/1000/$G54*R$108,0)</x:f>
        <x:v>20.436212004276175</x:v>
      </x:c>
      <x:c r="S54" s="147" t="n">
        <x:f aca="0">IFERROR((IFERROR(S13_PSP_Species_Support!U41*0.0673*(S13_PSP_Species_Support!V41*(S13_PSP_Species_Support!W41*(1-EXP(-S13_PSP_Species_Support!X41*10))^S13_PSP_Species_Support!Y41)^2*(S13_PSP_Species_Support!Z41*(1-EXP(-S13_PSP_Species_Support!AA41*10))^S13_PSP_Species_Support!AB41))^0.976,0)+IFERROR(S13_PSP_Species_Support!AF41*0.0673*(S13_PSP_Species_Support!AG41*(S13_PSP_Species_Support!AH41*(1-EXP(-S13_PSP_Species_Support!AI41*10))^S13_PSP_Species_Support!AJ41)^2*(S13_PSP_Species_Support!AK41*(1-EXP(-S13_PSP_Species_Support!AL41*10))^S13_PSP_Species_Support!AM41))^0.976,0)+IFERROR(S13_PSP_Species_Support!AQ41*0.0673*(S13_PSP_Species_Support!AR41*(S13_PSP_Species_Support!AS41*(1-EXP(-S13_PSP_Species_Support!AT41*10))^S13_PSP_Species_Support!AU41)^2*(S13_PSP_Species_Support!AV41*(1-EXP(-S13_PSP_Species_Support!AW41*10))^S13_PSP_Species_Support!AX41))^0.976,0)+IFERROR(S13_PSP_Species_Support!BB41*0.0673*(S13_PSP_Species_Support!BC41*(S13_PSP_Species_Support!BD41*(1-EXP(-S13_PSP_Species_Support!BE41*10))^S13_PSP_Species_Support!BF41)^2*(S13_PSP_Species_Support!BG41*(1-EXP(-S13_PSP_Species_Support!BH41*10))^S13_PSP_Species_Support!BI41))^0.976,0)+IFERROR(S13_PSP_Species_Support!BM41*0.0673*(S13_PSP_Species_Support!BN41*(S13_PSP_Species_Support!BO41*(1-EXP(-S13_PSP_Species_Support!BP41*10))^S13_PSP_Species_Support!BQ41)^2*(S13_PSP_Species_Support!BR41*(1-EXP(-S13_PSP_Species_Support!BS41*10))^S13_PSP_Species_Support!BT41))^0.976,0)+IFERROR(S13_PSP_Species_Support!BX41*0.0673*(S13_PSP_Species_Support!BY41*(S13_PSP_Species_Support!BZ41*(1-EXP(-S13_PSP_Species_Support!CA41*10))^S13_PSP_Species_Support!CB41)^2*(S13_PSP_Species_Support!CC41*(1-EXP(-S13_PSP_Species_Support!CD41*10))^S13_PSP_Species_Support!CE41))^0.976,0)+IFERROR(S13_PSP_Species_Support!CI41*0.0673*(S13_PSP_Species_Support!CJ41*(S13_PSP_Species_Support!CK41*(1-EXP(-S13_PSP_Species_Support!CL41*10))^S13_PSP_Species_Support!CM41)^2*(S13_PSP_Species_Support!CN41*(1-EXP(-S13_PSP_Species_Support!CO41*10))^S13_PSP_Species_Support!CP41))^0.976,0)+IFERROR(S13_PSP_Species_Support!CT41*0.0673*(S13_PSP_Species_Support!CU41*(S13_PSP_Species_Support!CV41*(1-EXP(-S13_PSP_Species_Support!CW41*10))^S13_PSP_Species_Support!CX41)^2*(S13_PSP_Species_Support!CY41*(1-EXP(-S13_PSP_Species_Support!CZ41*10))^S13_PSP_Species_Support!DA41))^0.976,0))/1000/$G54*S$108,0)</x:f>
        <x:v>24.637362606851042</x:v>
      </x:c>
      <x:c r="T54" s="147" t="n">
        <x:f aca="0">IFERROR((IFERROR(S13_PSP_Species_Support!U41*0.0673*(S13_PSP_Species_Support!V41*(S13_PSP_Species_Support!W41*(1-EXP(-S13_PSP_Species_Support!X41*11))^S13_PSP_Species_Support!Y41)^2*(S13_PSP_Species_Support!Z41*(1-EXP(-S13_PSP_Species_Support!AA41*11))^S13_PSP_Species_Support!AB41))^0.976,0)+IFERROR(S13_PSP_Species_Support!AF41*0.0673*(S13_PSP_Species_Support!AG41*(S13_PSP_Species_Support!AH41*(1-EXP(-S13_PSP_Species_Support!AI41*11))^S13_PSP_Species_Support!AJ41)^2*(S13_PSP_Species_Support!AK41*(1-EXP(-S13_PSP_Species_Support!AL41*11))^S13_PSP_Species_Support!AM41))^0.976,0)+IFERROR(S13_PSP_Species_Support!AQ41*0.0673*(S13_PSP_Species_Support!AR41*(S13_PSP_Species_Support!AS41*(1-EXP(-S13_PSP_Species_Support!AT41*11))^S13_PSP_Species_Support!AU41)^2*(S13_PSP_Species_Support!AV41*(1-EXP(-S13_PSP_Species_Support!AW41*11))^S13_PSP_Species_Support!AX41))^0.976,0)+IFERROR(S13_PSP_Species_Support!BB41*0.0673*(S13_PSP_Species_Support!BC41*(S13_PSP_Species_Support!BD41*(1-EXP(-S13_PSP_Species_Support!BE41*11))^S13_PSP_Species_Support!BF41)^2*(S13_PSP_Species_Support!BG41*(1-EXP(-S13_PSP_Species_Support!BH41*11))^S13_PSP_Species_Support!BI41))^0.976,0)+IFERROR(S13_PSP_Species_Support!BM41*0.0673*(S13_PSP_Species_Support!BN41*(S13_PSP_Species_Support!BO41*(1-EXP(-S13_PSP_Species_Support!BP41*11))^S13_PSP_Species_Support!BQ41)^2*(S13_PSP_Species_Support!BR41*(1-EXP(-S13_PSP_Species_Support!BS41*11))^S13_PSP_Species_Support!BT41))^0.976,0)+IFERROR(S13_PSP_Species_Support!BX41*0.0673*(S13_PSP_Species_Support!BY41*(S13_PSP_Species_Support!BZ41*(1-EXP(-S13_PSP_Species_Support!CA41*11))^S13_PSP_Species_Support!CB41)^2*(S13_PSP_Species_Support!CC41*(1-EXP(-S13_PSP_Species_Support!CD41*11))^S13_PSP_Species_Support!CE41))^0.976,0)+IFERROR(S13_PSP_Species_Support!CI41*0.0673*(S13_PSP_Species_Support!CJ41*(S13_PSP_Species_Support!CK41*(1-EXP(-S13_PSP_Species_Support!CL41*11))^S13_PSP_Species_Support!CM41)^2*(S13_PSP_Species_Support!CN41*(1-EXP(-S13_PSP_Species_Support!CO41*11))^S13_PSP_Species_Support!CP41))^0.976,0)+IFERROR(S13_PSP_Species_Support!CT41*0.0673*(S13_PSP_Species_Support!CU41*(S13_PSP_Species_Support!CV41*(1-EXP(-S13_PSP_Species_Support!CW41*11))^S13_PSP_Species_Support!CX41)^2*(S13_PSP_Species_Support!CY41*(1-EXP(-S13_PSP_Species_Support!CZ41*11))^S13_PSP_Species_Support!DA41))^0.976,0))/1000/$G54*T$108,0)</x:f>
        <x:v>28.74630294360866</x:v>
      </x:c>
      <x:c r="U54" s="147" t="n">
        <x:f aca="0">IFERROR((IFERROR(S13_PSP_Species_Support!U41*0.0673*(S13_PSP_Species_Support!V41*(S13_PSP_Species_Support!W41*(1-EXP(-S13_PSP_Species_Support!X41*12))^S13_PSP_Species_Support!Y41)^2*(S13_PSP_Species_Support!Z41*(1-EXP(-S13_PSP_Species_Support!AA41*12))^S13_PSP_Species_Support!AB41))^0.976,0)+IFERROR(S13_PSP_Species_Support!AF41*0.0673*(S13_PSP_Species_Support!AG41*(S13_PSP_Species_Support!AH41*(1-EXP(-S13_PSP_Species_Support!AI41*12))^S13_PSP_Species_Support!AJ41)^2*(S13_PSP_Species_Support!AK41*(1-EXP(-S13_PSP_Species_Support!AL41*12))^S13_PSP_Species_Support!AM41))^0.976,0)+IFERROR(S13_PSP_Species_Support!AQ41*0.0673*(S13_PSP_Species_Support!AR41*(S13_PSP_Species_Support!AS41*(1-EXP(-S13_PSP_Species_Support!AT41*12))^S13_PSP_Species_Support!AU41)^2*(S13_PSP_Species_Support!AV41*(1-EXP(-S13_PSP_Species_Support!AW41*12))^S13_PSP_Species_Support!AX41))^0.976,0)+IFERROR(S13_PSP_Species_Support!BB41*0.0673*(S13_PSP_Species_Support!BC41*(S13_PSP_Species_Support!BD41*(1-EXP(-S13_PSP_Species_Support!BE41*12))^S13_PSP_Species_Support!BF41)^2*(S13_PSP_Species_Support!BG41*(1-EXP(-S13_PSP_Species_Support!BH41*12))^S13_PSP_Species_Support!BI41))^0.976,0)+IFERROR(S13_PSP_Species_Support!BM41*0.0673*(S13_PSP_Species_Support!BN41*(S13_PSP_Species_Support!BO41*(1-EXP(-S13_PSP_Species_Support!BP41*12))^S13_PSP_Species_Support!BQ41)^2*(S13_PSP_Species_Support!BR41*(1-EXP(-S13_PSP_Species_Support!BS41*12))^S13_PSP_Species_Support!BT41))^0.976,0)+IFERROR(S13_PSP_Species_Support!BX41*0.0673*(S13_PSP_Species_Support!BY41*(S13_PSP_Species_Support!BZ41*(1-EXP(-S13_PSP_Species_Support!CA41*12))^S13_PSP_Species_Support!CB41)^2*(S13_PSP_Species_Support!CC41*(1-EXP(-S13_PSP_Species_Support!CD41*12))^S13_PSP_Species_Support!CE41))^0.976,0)+IFERROR(S13_PSP_Species_Support!CI41*0.0673*(S13_PSP_Species_Support!CJ41*(S13_PSP_Species_Support!CK41*(1-EXP(-S13_PSP_Species_Support!CL41*12))^S13_PSP_Species_Support!CM41)^2*(S13_PSP_Species_Support!CN41*(1-EXP(-S13_PSP_Species_Support!CO41*12))^S13_PSP_Species_Support!CP41))^0.976,0)+IFERROR(S13_PSP_Species_Support!CT41*0.0673*(S13_PSP_Species_Support!CU41*(S13_PSP_Species_Support!CV41*(1-EXP(-S13_PSP_Species_Support!CW41*12))^S13_PSP_Species_Support!CX41)^2*(S13_PSP_Species_Support!CY41*(1-EXP(-S13_PSP_Species_Support!CZ41*12))^S13_PSP_Species_Support!DA41))^0.976,0))/1000/$G54*U$108,0)</x:f>
        <x:v>32.683341783777266</x:v>
      </x:c>
      <x:c r="V54" s="147" t="n">
        <x:f aca="0">IFERROR((IFERROR(S13_PSP_Species_Support!U41*0.0673*(S13_PSP_Species_Support!V41*(S13_PSP_Species_Support!W41*(1-EXP(-S13_PSP_Species_Support!X41*13))^S13_PSP_Species_Support!Y41)^2*(S13_PSP_Species_Support!Z41*(1-EXP(-S13_PSP_Species_Support!AA41*13))^S13_PSP_Species_Support!AB41))^0.976,0)+IFERROR(S13_PSP_Species_Support!AF41*0.0673*(S13_PSP_Species_Support!AG41*(S13_PSP_Species_Support!AH41*(1-EXP(-S13_PSP_Species_Support!AI41*13))^S13_PSP_Species_Support!AJ41)^2*(S13_PSP_Species_Support!AK41*(1-EXP(-S13_PSP_Species_Support!AL41*13))^S13_PSP_Species_Support!AM41))^0.976,0)+IFERROR(S13_PSP_Species_Support!AQ41*0.0673*(S13_PSP_Species_Support!AR41*(S13_PSP_Species_Support!AS41*(1-EXP(-S13_PSP_Species_Support!AT41*13))^S13_PSP_Species_Support!AU41)^2*(S13_PSP_Species_Support!AV41*(1-EXP(-S13_PSP_Species_Support!AW41*13))^S13_PSP_Species_Support!AX41))^0.976,0)+IFERROR(S13_PSP_Species_Support!BB41*0.0673*(S13_PSP_Species_Support!BC41*(S13_PSP_Species_Support!BD41*(1-EXP(-S13_PSP_Species_Support!BE41*13))^S13_PSP_Species_Support!BF41)^2*(S13_PSP_Species_Support!BG41*(1-EXP(-S13_PSP_Species_Support!BH41*13))^S13_PSP_Species_Support!BI41))^0.976,0)+IFERROR(S13_PSP_Species_Support!BM41*0.0673*(S13_PSP_Species_Support!BN41*(S13_PSP_Species_Support!BO41*(1-EXP(-S13_PSP_Species_Support!BP41*13))^S13_PSP_Species_Support!BQ41)^2*(S13_PSP_Species_Support!BR41*(1-EXP(-S13_PSP_Species_Support!BS41*13))^S13_PSP_Species_Support!BT41))^0.976,0)+IFERROR(S13_PSP_Species_Support!BX41*0.0673*(S13_PSP_Species_Support!BY41*(S13_PSP_Species_Support!BZ41*(1-EXP(-S13_PSP_Species_Support!CA41*13))^S13_PSP_Species_Support!CB41)^2*(S13_PSP_Species_Support!CC41*(1-EXP(-S13_PSP_Species_Support!CD41*13))^S13_PSP_Species_Support!CE41))^0.976,0)+IFERROR(S13_PSP_Species_Support!CI41*0.0673*(S13_PSP_Species_Support!CJ41*(S13_PSP_Species_Support!CK41*(1-EXP(-S13_PSP_Species_Support!CL41*13))^S13_PSP_Species_Support!CM41)^2*(S13_PSP_Species_Support!CN41*(1-EXP(-S13_PSP_Species_Support!CO41*13))^S13_PSP_Species_Support!CP41))^0.976,0)+IFERROR(S13_PSP_Species_Support!CT41*0.0673*(S13_PSP_Species_Support!CU41*(S13_PSP_Species_Support!CV41*(1-EXP(-S13_PSP_Species_Support!CW41*13))^S13_PSP_Species_Support!CX41)^2*(S13_PSP_Species_Support!CY41*(1-EXP(-S13_PSP_Species_Support!CZ41*13))^S13_PSP_Species_Support!DA41))^0.976,0))/1000/$G54*V$108,0)</x:f>
        <x:v>36.39504841202247</x:v>
      </x:c>
      <x:c r="W54" s="147" t="n">
        <x:f aca="0">IFERROR((IFERROR(S13_PSP_Species_Support!U41*0.0673*(S13_PSP_Species_Support!V41*(S13_PSP_Species_Support!W41*(1-EXP(-S13_PSP_Species_Support!X41*14))^S13_PSP_Species_Support!Y41)^2*(S13_PSP_Species_Support!Z41*(1-EXP(-S13_PSP_Species_Support!AA41*14))^S13_PSP_Species_Support!AB41))^0.976,0)+IFERROR(S13_PSP_Species_Support!AF41*0.0673*(S13_PSP_Species_Support!AG41*(S13_PSP_Species_Support!AH41*(1-EXP(-S13_PSP_Species_Support!AI41*14))^S13_PSP_Species_Support!AJ41)^2*(S13_PSP_Species_Support!AK41*(1-EXP(-S13_PSP_Species_Support!AL41*14))^S13_PSP_Species_Support!AM41))^0.976,0)+IFERROR(S13_PSP_Species_Support!AQ41*0.0673*(S13_PSP_Species_Support!AR41*(S13_PSP_Species_Support!AS41*(1-EXP(-S13_PSP_Species_Support!AT41*14))^S13_PSP_Species_Support!AU41)^2*(S13_PSP_Species_Support!AV41*(1-EXP(-S13_PSP_Species_Support!AW41*14))^S13_PSP_Species_Support!AX41))^0.976,0)+IFERROR(S13_PSP_Species_Support!BB41*0.0673*(S13_PSP_Species_Support!BC41*(S13_PSP_Species_Support!BD41*(1-EXP(-S13_PSP_Species_Support!BE41*14))^S13_PSP_Species_Support!BF41)^2*(S13_PSP_Species_Support!BG41*(1-EXP(-S13_PSP_Species_Support!BH41*14))^S13_PSP_Species_Support!BI41))^0.976,0)+IFERROR(S13_PSP_Species_Support!BM41*0.0673*(S13_PSP_Species_Support!BN41*(S13_PSP_Species_Support!BO41*(1-EXP(-S13_PSP_Species_Support!BP41*14))^S13_PSP_Species_Support!BQ41)^2*(S13_PSP_Species_Support!BR41*(1-EXP(-S13_PSP_Species_Support!BS41*14))^S13_PSP_Species_Support!BT41))^0.976,0)+IFERROR(S13_PSP_Species_Support!BX41*0.0673*(S13_PSP_Species_Support!BY41*(S13_PSP_Species_Support!BZ41*(1-EXP(-S13_PSP_Species_Support!CA41*14))^S13_PSP_Species_Support!CB41)^2*(S13_PSP_Species_Support!CC41*(1-EXP(-S13_PSP_Species_Support!CD41*14))^S13_PSP_Species_Support!CE41))^0.976,0)+IFERROR(S13_PSP_Species_Support!CI41*0.0673*(S13_PSP_Species_Support!CJ41*(S13_PSP_Species_Support!CK41*(1-EXP(-S13_PSP_Species_Support!CL41*14))^S13_PSP_Species_Support!CM41)^2*(S13_PSP_Species_Support!CN41*(1-EXP(-S13_PSP_Species_Support!CO41*14))^S13_PSP_Species_Support!CP41))^0.976,0)+IFERROR(S13_PSP_Species_Support!CT41*0.0673*(S13_PSP_Species_Support!CU41*(S13_PSP_Species_Support!CV41*(1-EXP(-S13_PSP_Species_Support!CW41*14))^S13_PSP_Species_Support!CX41)^2*(S13_PSP_Species_Support!CY41*(1-EXP(-S13_PSP_Species_Support!CZ41*14))^S13_PSP_Species_Support!DA41))^0.976,0))/1000/$G54*W$108,0)</x:f>
        <x:v>39.84934450165249</x:v>
      </x:c>
      <x:c r="X54" s="147" t="n">
        <x:f aca="0">IFERROR((IFERROR(S13_PSP_Species_Support!U41*0.0673*(S13_PSP_Species_Support!V41*(S13_PSP_Species_Support!W41*(1-EXP(-S13_PSP_Species_Support!X41*15))^S13_PSP_Species_Support!Y41)^2*(S13_PSP_Species_Support!Z41*(1-EXP(-S13_PSP_Species_Support!AA41*15))^S13_PSP_Species_Support!AB41))^0.976,0)+IFERROR(S13_PSP_Species_Support!AF41*0.0673*(S13_PSP_Species_Support!AG41*(S13_PSP_Species_Support!AH41*(1-EXP(-S13_PSP_Species_Support!AI41*15))^S13_PSP_Species_Support!AJ41)^2*(S13_PSP_Species_Support!AK41*(1-EXP(-S13_PSP_Species_Support!AL41*15))^S13_PSP_Species_Support!AM41))^0.976,0)+IFERROR(S13_PSP_Species_Support!AQ41*0.0673*(S13_PSP_Species_Support!AR41*(S13_PSP_Species_Support!AS41*(1-EXP(-S13_PSP_Species_Support!AT41*15))^S13_PSP_Species_Support!AU41)^2*(S13_PSP_Species_Support!AV41*(1-EXP(-S13_PSP_Species_Support!AW41*15))^S13_PSP_Species_Support!AX41))^0.976,0)+IFERROR(S13_PSP_Species_Support!BB41*0.0673*(S13_PSP_Species_Support!BC41*(S13_PSP_Species_Support!BD41*(1-EXP(-S13_PSP_Species_Support!BE41*15))^S13_PSP_Species_Support!BF41)^2*(S13_PSP_Species_Support!BG41*(1-EXP(-S13_PSP_Species_Support!BH41*15))^S13_PSP_Species_Support!BI41))^0.976,0)+IFERROR(S13_PSP_Species_Support!BM41*0.0673*(S13_PSP_Species_Support!BN41*(S13_PSP_Species_Support!BO41*(1-EXP(-S13_PSP_Species_Support!BP41*15))^S13_PSP_Species_Support!BQ41)^2*(S13_PSP_Species_Support!BR41*(1-EXP(-S13_PSP_Species_Support!BS41*15))^S13_PSP_Species_Support!BT41))^0.976,0)+IFERROR(S13_PSP_Species_Support!BX41*0.0673*(S13_PSP_Species_Support!BY41*(S13_PSP_Species_Support!BZ41*(1-EXP(-S13_PSP_Species_Support!CA41*15))^S13_PSP_Species_Support!CB41)^2*(S13_PSP_Species_Support!CC41*(1-EXP(-S13_PSP_Species_Support!CD41*15))^S13_PSP_Species_Support!CE41))^0.976,0)+IFERROR(S13_PSP_Species_Support!CI41*0.0673*(S13_PSP_Species_Support!CJ41*(S13_PSP_Species_Support!CK41*(1-EXP(-S13_PSP_Species_Support!CL41*15))^S13_PSP_Species_Support!CM41)^2*(S13_PSP_Species_Support!CN41*(1-EXP(-S13_PSP_Species_Support!CO41*15))^S13_PSP_Species_Support!CP41))^0.976,0)+IFERROR(S13_PSP_Species_Support!CT41*0.0673*(S13_PSP_Species_Support!CU41*(S13_PSP_Species_Support!CV41*(1-EXP(-S13_PSP_Species_Support!CW41*15))^S13_PSP_Species_Support!CX41)^2*(S13_PSP_Species_Support!CY41*(1-EXP(-S13_PSP_Species_Support!CZ41*15))^S13_PSP_Species_Support!DA41))^0.976,0))/1000/$G54*X$108,0)</x:f>
        <x:v>43.030717160318375</x:v>
      </x:c>
      <x:c r="Y54" s="147" t="n">
        <x:f aca="0">IFERROR((IFERROR(S13_PSP_Species_Support!U41*0.0673*(S13_PSP_Species_Support!V41*(S13_PSP_Species_Support!W41*(1-EXP(-S13_PSP_Species_Support!X41*16))^S13_PSP_Species_Support!Y41)^2*(S13_PSP_Species_Support!Z41*(1-EXP(-S13_PSP_Species_Support!AA41*16))^S13_PSP_Species_Support!AB41))^0.976,0)+IFERROR(S13_PSP_Species_Support!AF41*0.0673*(S13_PSP_Species_Support!AG41*(S13_PSP_Species_Support!AH41*(1-EXP(-S13_PSP_Species_Support!AI41*16))^S13_PSP_Species_Support!AJ41)^2*(S13_PSP_Species_Support!AK41*(1-EXP(-S13_PSP_Species_Support!AL41*16))^S13_PSP_Species_Support!AM41))^0.976,0)+IFERROR(S13_PSP_Species_Support!AQ41*0.0673*(S13_PSP_Species_Support!AR41*(S13_PSP_Species_Support!AS41*(1-EXP(-S13_PSP_Species_Support!AT41*16))^S13_PSP_Species_Support!AU41)^2*(S13_PSP_Species_Support!AV41*(1-EXP(-S13_PSP_Species_Support!AW41*16))^S13_PSP_Species_Support!AX41))^0.976,0)+IFERROR(S13_PSP_Species_Support!BB41*0.0673*(S13_PSP_Species_Support!BC41*(S13_PSP_Species_Support!BD41*(1-EXP(-S13_PSP_Species_Support!BE41*16))^S13_PSP_Species_Support!BF41)^2*(S13_PSP_Species_Support!BG41*(1-EXP(-S13_PSP_Species_Support!BH41*16))^S13_PSP_Species_Support!BI41))^0.976,0)+IFERROR(S13_PSP_Species_Support!BM41*0.0673*(S13_PSP_Species_Support!BN41*(S13_PSP_Species_Support!BO41*(1-EXP(-S13_PSP_Species_Support!BP41*16))^S13_PSP_Species_Support!BQ41)^2*(S13_PSP_Species_Support!BR41*(1-EXP(-S13_PSP_Species_Support!BS41*16))^S13_PSP_Species_Support!BT41))^0.976,0)+IFERROR(S13_PSP_Species_Support!BX41*0.0673*(S13_PSP_Species_Support!BY41*(S13_PSP_Species_Support!BZ41*(1-EXP(-S13_PSP_Species_Support!CA41*16))^S13_PSP_Species_Support!CB41)^2*(S13_PSP_Species_Support!CC41*(1-EXP(-S13_PSP_Species_Support!CD41*16))^S13_PSP_Species_Support!CE41))^0.976,0)+IFERROR(S13_PSP_Species_Support!CI41*0.0673*(S13_PSP_Species_Support!CJ41*(S13_PSP_Species_Support!CK41*(1-EXP(-S13_PSP_Species_Support!CL41*16))^S13_PSP_Species_Support!CM41)^2*(S13_PSP_Species_Support!CN41*(1-EXP(-S13_PSP_Species_Support!CO41*16))^S13_PSP_Species_Support!CP41))^0.976,0)+IFERROR(S13_PSP_Species_Support!CT41*0.0673*(S13_PSP_Species_Support!CU41*(S13_PSP_Species_Support!CV41*(1-EXP(-S13_PSP_Species_Support!CW41*16))^S13_PSP_Species_Support!CX41)^2*(S13_PSP_Species_Support!CY41*(1-EXP(-S13_PSP_Species_Support!CZ41*16))^S13_PSP_Species_Support!DA41))^0.976,0))/1000/$G54*Y$108,0)</x:f>
        <x:v>45.93598311301493</x:v>
      </x:c>
      <x:c r="Z54" s="147" t="n">
        <x:f aca="0">IFERROR((IFERROR(S13_PSP_Species_Support!U41*0.0673*(S13_PSP_Species_Support!V41*(S13_PSP_Species_Support!W41*(1-EXP(-S13_PSP_Species_Support!X41*17))^S13_PSP_Species_Support!Y41)^2*(S13_PSP_Species_Support!Z41*(1-EXP(-S13_PSP_Species_Support!AA41*17))^S13_PSP_Species_Support!AB41))^0.976,0)+IFERROR(S13_PSP_Species_Support!AF41*0.0673*(S13_PSP_Species_Support!AG41*(S13_PSP_Species_Support!AH41*(1-EXP(-S13_PSP_Species_Support!AI41*17))^S13_PSP_Species_Support!AJ41)^2*(S13_PSP_Species_Support!AK41*(1-EXP(-S13_PSP_Species_Support!AL41*17))^S13_PSP_Species_Support!AM41))^0.976,0)+IFERROR(S13_PSP_Species_Support!AQ41*0.0673*(S13_PSP_Species_Support!AR41*(S13_PSP_Species_Support!AS41*(1-EXP(-S13_PSP_Species_Support!AT41*17))^S13_PSP_Species_Support!AU41)^2*(S13_PSP_Species_Support!AV41*(1-EXP(-S13_PSP_Species_Support!AW41*17))^S13_PSP_Species_Support!AX41))^0.976,0)+IFERROR(S13_PSP_Species_Support!BB41*0.0673*(S13_PSP_Species_Support!BC41*(S13_PSP_Species_Support!BD41*(1-EXP(-S13_PSP_Species_Support!BE41*17))^S13_PSP_Species_Support!BF41)^2*(S13_PSP_Species_Support!BG41*(1-EXP(-S13_PSP_Species_Support!BH41*17))^S13_PSP_Species_Support!BI41))^0.976,0)+IFERROR(S13_PSP_Species_Support!BM41*0.0673*(S13_PSP_Species_Support!BN41*(S13_PSP_Species_Support!BO41*(1-EXP(-S13_PSP_Species_Support!BP41*17))^S13_PSP_Species_Support!BQ41)^2*(S13_PSP_Species_Support!BR41*(1-EXP(-S13_PSP_Species_Support!BS41*17))^S13_PSP_Species_Support!BT41))^0.976,0)+IFERROR(S13_PSP_Species_Support!BX41*0.0673*(S13_PSP_Species_Support!BY41*(S13_PSP_Species_Support!BZ41*(1-EXP(-S13_PSP_Species_Support!CA41*17))^S13_PSP_Species_Support!CB41)^2*(S13_PSP_Species_Support!CC41*(1-EXP(-S13_PSP_Species_Support!CD41*17))^S13_PSP_Species_Support!CE41))^0.976,0)+IFERROR(S13_PSP_Species_Support!CI41*0.0673*(S13_PSP_Species_Support!CJ41*(S13_PSP_Species_Support!CK41*(1-EXP(-S13_PSP_Species_Support!CL41*17))^S13_PSP_Species_Support!CM41)^2*(S13_PSP_Species_Support!CN41*(1-EXP(-S13_PSP_Species_Support!CO41*17))^S13_PSP_Species_Support!CP41))^0.976,0)+IFERROR(S13_PSP_Species_Support!CT41*0.0673*(S13_PSP_Species_Support!CU41*(S13_PSP_Species_Support!CV41*(1-EXP(-S13_PSP_Species_Support!CW41*17))^S13_PSP_Species_Support!CX41)^2*(S13_PSP_Species_Support!CY41*(1-EXP(-S13_PSP_Species_Support!CZ41*17))^S13_PSP_Species_Support!DA41))^0.976,0))/1000/$G54*Z$108,0)</x:f>
        <x:v>48.570756902958394</x:v>
      </x:c>
      <x:c r="AA54" s="147" t="n">
        <x:f aca="0">IFERROR((IFERROR(S13_PSP_Species_Support!U41*0.0673*(S13_PSP_Species_Support!V41*(S13_PSP_Species_Support!W41*(1-EXP(-S13_PSP_Species_Support!X41*18))^S13_PSP_Species_Support!Y41)^2*(S13_PSP_Species_Support!Z41*(1-EXP(-S13_PSP_Species_Support!AA41*18))^S13_PSP_Species_Support!AB41))^0.976,0)+IFERROR(S13_PSP_Species_Support!AF41*0.0673*(S13_PSP_Species_Support!AG41*(S13_PSP_Species_Support!AH41*(1-EXP(-S13_PSP_Species_Support!AI41*18))^S13_PSP_Species_Support!AJ41)^2*(S13_PSP_Species_Support!AK41*(1-EXP(-S13_PSP_Species_Support!AL41*18))^S13_PSP_Species_Support!AM41))^0.976,0)+IFERROR(S13_PSP_Species_Support!AQ41*0.0673*(S13_PSP_Species_Support!AR41*(S13_PSP_Species_Support!AS41*(1-EXP(-S13_PSP_Species_Support!AT41*18))^S13_PSP_Species_Support!AU41)^2*(S13_PSP_Species_Support!AV41*(1-EXP(-S13_PSP_Species_Support!AW41*18))^S13_PSP_Species_Support!AX41))^0.976,0)+IFERROR(S13_PSP_Species_Support!BB41*0.0673*(S13_PSP_Species_Support!BC41*(S13_PSP_Species_Support!BD41*(1-EXP(-S13_PSP_Species_Support!BE41*18))^S13_PSP_Species_Support!BF41)^2*(S13_PSP_Species_Support!BG41*(1-EXP(-S13_PSP_Species_Support!BH41*18))^S13_PSP_Species_Support!BI41))^0.976,0)+IFERROR(S13_PSP_Species_Support!BM41*0.0673*(S13_PSP_Species_Support!BN41*(S13_PSP_Species_Support!BO41*(1-EXP(-S13_PSP_Species_Support!BP41*18))^S13_PSP_Species_Support!BQ41)^2*(S13_PSP_Species_Support!BR41*(1-EXP(-S13_PSP_Species_Support!BS41*18))^S13_PSP_Species_Support!BT41))^0.976,0)+IFERROR(S13_PSP_Species_Support!BX41*0.0673*(S13_PSP_Species_Support!BY41*(S13_PSP_Species_Support!BZ41*(1-EXP(-S13_PSP_Species_Support!CA41*18))^S13_PSP_Species_Support!CB41)^2*(S13_PSP_Species_Support!CC41*(1-EXP(-S13_PSP_Species_Support!CD41*18))^S13_PSP_Species_Support!CE41))^0.976,0)+IFERROR(S13_PSP_Species_Support!CI41*0.0673*(S13_PSP_Species_Support!CJ41*(S13_PSP_Species_Support!CK41*(1-EXP(-S13_PSP_Species_Support!CL41*18))^S13_PSP_Species_Support!CM41)^2*(S13_PSP_Species_Support!CN41*(1-EXP(-S13_PSP_Species_Support!CO41*18))^S13_PSP_Species_Support!CP41))^0.976,0)+IFERROR(S13_PSP_Species_Support!CT41*0.0673*(S13_PSP_Species_Support!CU41*(S13_PSP_Species_Support!CV41*(1-EXP(-S13_PSP_Species_Support!CW41*18))^S13_PSP_Species_Support!CX41)^2*(S13_PSP_Species_Support!CY41*(1-EXP(-S13_PSP_Species_Support!CZ41*18))^S13_PSP_Species_Support!DA41))^0.976,0))/1000/$G54*AA$108,0)</x:f>
        <x:v>50.94662649640022</x:v>
      </x:c>
      <x:c r="AB54" s="147" t="n">
        <x:f aca="0">IFERROR((IFERROR(S13_PSP_Species_Support!U41*0.0673*(S13_PSP_Species_Support!V41*(S13_PSP_Species_Support!W41*(1-EXP(-S13_PSP_Species_Support!X41*19))^S13_PSP_Species_Support!Y41)^2*(S13_PSP_Species_Support!Z41*(1-EXP(-S13_PSP_Species_Support!AA41*19))^S13_PSP_Species_Support!AB41))^0.976,0)+IFERROR(S13_PSP_Species_Support!AF41*0.0673*(S13_PSP_Species_Support!AG41*(S13_PSP_Species_Support!AH41*(1-EXP(-S13_PSP_Species_Support!AI41*19))^S13_PSP_Species_Support!AJ41)^2*(S13_PSP_Species_Support!AK41*(1-EXP(-S13_PSP_Species_Support!AL41*19))^S13_PSP_Species_Support!AM41))^0.976,0)+IFERROR(S13_PSP_Species_Support!AQ41*0.0673*(S13_PSP_Species_Support!AR41*(S13_PSP_Species_Support!AS41*(1-EXP(-S13_PSP_Species_Support!AT41*19))^S13_PSP_Species_Support!AU41)^2*(S13_PSP_Species_Support!AV41*(1-EXP(-S13_PSP_Species_Support!AW41*19))^S13_PSP_Species_Support!AX41))^0.976,0)+IFERROR(S13_PSP_Species_Support!BB41*0.0673*(S13_PSP_Species_Support!BC41*(S13_PSP_Species_Support!BD41*(1-EXP(-S13_PSP_Species_Support!BE41*19))^S13_PSP_Species_Support!BF41)^2*(S13_PSP_Species_Support!BG41*(1-EXP(-S13_PSP_Species_Support!BH41*19))^S13_PSP_Species_Support!BI41))^0.976,0)+IFERROR(S13_PSP_Species_Support!BM41*0.0673*(S13_PSP_Species_Support!BN41*(S13_PSP_Species_Support!BO41*(1-EXP(-S13_PSP_Species_Support!BP41*19))^S13_PSP_Species_Support!BQ41)^2*(S13_PSP_Species_Support!BR41*(1-EXP(-S13_PSP_Species_Support!BS41*19))^S13_PSP_Species_Support!BT41))^0.976,0)+IFERROR(S13_PSP_Species_Support!BX41*0.0673*(S13_PSP_Species_Support!BY41*(S13_PSP_Species_Support!BZ41*(1-EXP(-S13_PSP_Species_Support!CA41*19))^S13_PSP_Species_Support!CB41)^2*(S13_PSP_Species_Support!CC41*(1-EXP(-S13_PSP_Species_Support!CD41*19))^S13_PSP_Species_Support!CE41))^0.976,0)+IFERROR(S13_PSP_Species_Support!CI41*0.0673*(S13_PSP_Species_Support!CJ41*(S13_PSP_Species_Support!CK41*(1-EXP(-S13_PSP_Species_Support!CL41*19))^S13_PSP_Species_Support!CM41)^2*(S13_PSP_Species_Support!CN41*(1-EXP(-S13_PSP_Species_Support!CO41*19))^S13_PSP_Species_Support!CP41))^0.976,0)+IFERROR(S13_PSP_Species_Support!CT41*0.0673*(S13_PSP_Species_Support!CU41*(S13_PSP_Species_Support!CV41*(1-EXP(-S13_PSP_Species_Support!CW41*19))^S13_PSP_Species_Support!CX41)^2*(S13_PSP_Species_Support!CY41*(1-EXP(-S13_PSP_Species_Support!CZ41*19))^S13_PSP_Species_Support!DA41))^0.976,0))/1000/$G54*AB$108,0)</x:f>
        <x:v>53.07896748326078</x:v>
      </x:c>
      <x:c r="AC54" s="147" t="n">
        <x:f aca="0">IFERROR((IFERROR(S13_PSP_Species_Support!U41*0.0673*(S13_PSP_Species_Support!V41*(S13_PSP_Species_Support!W41*(1-EXP(-S13_PSP_Species_Support!X41*20))^S13_PSP_Species_Support!Y41)^2*(S13_PSP_Species_Support!Z41*(1-EXP(-S13_PSP_Species_Support!AA41*20))^S13_PSP_Species_Support!AB41))^0.976,0)+IFERROR(S13_PSP_Species_Support!AF41*0.0673*(S13_PSP_Species_Support!AG41*(S13_PSP_Species_Support!AH41*(1-EXP(-S13_PSP_Species_Support!AI41*20))^S13_PSP_Species_Support!AJ41)^2*(S13_PSP_Species_Support!AK41*(1-EXP(-S13_PSP_Species_Support!AL41*20))^S13_PSP_Species_Support!AM41))^0.976,0)+IFERROR(S13_PSP_Species_Support!AQ41*0.0673*(S13_PSP_Species_Support!AR41*(S13_PSP_Species_Support!AS41*(1-EXP(-S13_PSP_Species_Support!AT41*20))^S13_PSP_Species_Support!AU41)^2*(S13_PSP_Species_Support!AV41*(1-EXP(-S13_PSP_Species_Support!AW41*20))^S13_PSP_Species_Support!AX41))^0.976,0)+IFERROR(S13_PSP_Species_Support!BB41*0.0673*(S13_PSP_Species_Support!BC41*(S13_PSP_Species_Support!BD41*(1-EXP(-S13_PSP_Species_Support!BE41*20))^S13_PSP_Species_Support!BF41)^2*(S13_PSP_Species_Support!BG41*(1-EXP(-S13_PSP_Species_Support!BH41*20))^S13_PSP_Species_Support!BI41))^0.976,0)+IFERROR(S13_PSP_Species_Support!BM41*0.0673*(S13_PSP_Species_Support!BN41*(S13_PSP_Species_Support!BO41*(1-EXP(-S13_PSP_Species_Support!BP41*20))^S13_PSP_Species_Support!BQ41)^2*(S13_PSP_Species_Support!BR41*(1-EXP(-S13_PSP_Species_Support!BS41*20))^S13_PSP_Species_Support!BT41))^0.976,0)+IFERROR(S13_PSP_Species_Support!BX41*0.0673*(S13_PSP_Species_Support!BY41*(S13_PSP_Species_Support!BZ41*(1-EXP(-S13_PSP_Species_Support!CA41*20))^S13_PSP_Species_Support!CB41)^2*(S13_PSP_Species_Support!CC41*(1-EXP(-S13_PSP_Species_Support!CD41*20))^S13_PSP_Species_Support!CE41))^0.976,0)+IFERROR(S13_PSP_Species_Support!CI41*0.0673*(S13_PSP_Species_Support!CJ41*(S13_PSP_Species_Support!CK41*(1-EXP(-S13_PSP_Species_Support!CL41*20))^S13_PSP_Species_Support!CM41)^2*(S13_PSP_Species_Support!CN41*(1-EXP(-S13_PSP_Species_Support!CO41*20))^S13_PSP_Species_Support!CP41))^0.976,0)+IFERROR(S13_PSP_Species_Support!CT41*0.0673*(S13_PSP_Species_Support!CU41*(S13_PSP_Species_Support!CV41*(1-EXP(-S13_PSP_Species_Support!CW41*20))^S13_PSP_Species_Support!CX41)^2*(S13_PSP_Species_Support!CY41*(1-EXP(-S13_PSP_Species_Support!CZ41*20))^S13_PSP_Species_Support!DA41))^0.976,0))/1000/$G54*AC$108,0)</x:f>
        <x:v>54.98529926872387</x:v>
      </x:c>
      <x:c r="AD54" s="148" t="n">
        <x:f aca="0">IF(2020&lt;$F54,0,INDEX($I54:$AC54,1,2020-$F54+1))</x:f>
        <x:v>0</x:v>
      </x:c>
      <x:c r="AE54" s="148" t="n">
        <x:f aca="0">IF(2021&lt;$F54,0,INDEX($I54:$AC54,1,2021-$F54+1))</x:f>
        <x:v>0</x:v>
      </x:c>
      <x:c r="AF54" s="148" t="n">
        <x:f aca="0">IF(2022&lt;$F54,0,INDEX($I54:$AC54,1,2022-$F54+1))</x:f>
        <x:v>0</x:v>
      </x:c>
      <x:c r="AG54" s="148" t="n">
        <x:f aca="0">IF(2023&lt;$F54,0,INDEX($I54:$AC54,1,2023-$F54+1))</x:f>
        <x:v>0</x:v>
      </x:c>
      <x:c r="AH54" s="148" t="n">
        <x:f aca="0">IF(2024&lt;$F54,0,INDEX($I54:$AC54,1,2024-$F54+1))</x:f>
        <x:v>0</x:v>
      </x:c>
      <x:c r="AI54" s="148" t="n">
        <x:f aca="0">IF(2025&lt;$F54,0,INDEX($I54:$AC54,1,2025-$F54+1))</x:f>
        <x:v>0.025559406943906616</x:v>
      </x:c>
      <x:c r="AJ54" s="148" t="n">
        <x:f aca="0">IF(2026&lt;$F54,0,INDEX($I54:$AC54,1,2026-$F54+1))</x:f>
        <x:v>0.3124628051096665</x:v>
      </x:c>
      <x:c r="AK54" s="148" t="n">
        <x:f aca="0">IF(2027&lt;$F54,0,INDEX($I54:$AC54,1,2027-$F54+1))</x:f>
        <x:v>1.1954460605637534</x:v>
      </x:c>
      <x:c r="AL54" s="148" t="n">
        <x:f aca="0">IF(2028&lt;$F54,0,INDEX($I54:$AC54,1,2028-$F54+1))</x:f>
        <x:v>2.8758561051772924</x:v>
      </x:c>
      <x:c r="AM54" s="148" t="n">
        <x:f aca="0">IF(2029&lt;$F54,0,INDEX($I54:$AC54,1,2029-$F54+1))</x:f>
        <x:v>5.361092790206285</x:v>
      </x:c>
      <x:c r="AN54" s="148" t="n">
        <x:f aca="0">IF(2030&lt;$F54,0,INDEX($I54:$AC54,1,2030-$F54+1))</x:f>
        <x:v>8.536976980756275</x:v>
      </x:c>
      <x:c r="AO54" s="148" t="n">
        <x:f aca="0">IF(2031&lt;$F54,0,INDEX($I54:$AC54,1,2031-$F54+1))</x:f>
        <x:v>12.229638164542404</x:v>
      </x:c>
      <x:c r="AP54" s="148" t="n">
        <x:f aca="0">IF(2032&lt;$F54,0,INDEX($I54:$AC54,1,2032-$F54+1))</x:f>
        <x:v>16.25292649190145</x:v>
      </x:c>
      <x:c r="AQ54" s="148" t="n">
        <x:f aca="0">IF(2033&lt;$F54,0,INDEX($I54:$AC54,1,2033-$F54+1))</x:f>
        <x:v>20.436212004276175</x:v>
      </x:c>
      <x:c r="AR54" s="148" t="n">
        <x:f aca="0">IF(2034&lt;$F54,0,INDEX($I54:$AC54,1,2034-$F54+1))</x:f>
        <x:v>24.637362606851042</x:v>
      </x:c>
      <x:c r="AS54" s="148" t="n">
        <x:f aca="0">IF(2035&lt;$F54,0,INDEX($I54:$AC54,1,2035-$F54+1))</x:f>
        <x:v>28.74630294360866</x:v>
      </x:c>
      <x:c r="AT54" s="148" t="n">
        <x:f aca="0">IF(2036&lt;$F54,0,INDEX($I54:$AC54,1,2036-$F54+1))</x:f>
        <x:v>32.683341783777266</x:v>
      </x:c>
      <x:c r="AU54" s="148" t="n">
        <x:f aca="0">IF(2037&lt;$F54,0,INDEX($I54:$AC54,1,2037-$F54+1))</x:f>
        <x:v>36.39504841202247</x:v>
      </x:c>
      <x:c r="AV54" s="148" t="n">
        <x:f aca="0">IF(2038&lt;$F54,0,INDEX($I54:$AC54,1,2038-$F54+1))</x:f>
        <x:v>39.84934450165249</x:v>
      </x:c>
      <x:c r="AW54" s="148" t="n">
        <x:f aca="0">IF(2039&lt;$F54,0,INDEX($I54:$AC54,1,2039-$F54+1))</x:f>
        <x:v>43.030717160318375</x:v>
      </x:c>
      <x:c r="AX54" s="148" t="n">
        <x:f aca="0">IF(2040&lt;$F54,0,INDEX($I54:$AC54,1,2040-$F54+1))</x:f>
        <x:v>45.93598311301493</x:v>
      </x:c>
      <x:c r="AY54" s="1" t="str">
        <x:f aca="0">LEFT($C54,FIND("@",SUBSTITUTE($C54,"|","@",2))-1)</x:f>
        <x:v>Mixed Agroforestry|Low</x:v>
      </x:c>
      <x:c r="AZ54" s="1" t="str">
        <x:f aca="0">LEFT($C54,FIND("|",$C54)-1)</x:f>
        <x:v>Mixed Agroforestry</x:v>
      </x:c>
      <x:c r="BA54" s="149" t="n">
        <x:f aca="0">I54*I54</x:f>
        <x:v>0</x:v>
      </x:c>
      <x:c r="BB54" s="149" t="n">
        <x:f aca="0">J54*J54</x:f>
        <x:v>0.0006532832833242218</x:v>
      </x:c>
      <x:c r="BC54" s="149" t="n">
        <x:f aca="0">K54*K54</x:f>
        <x:v>0.09763300457700143</x:v>
      </x:c>
      <x:c r="BD54" s="149" t="n">
        <x:f aca="0">L54*L54</x:f>
        <x:v>1.429091283717397</x:v>
      </x:c>
      <x:c r="BE54" s="149" t="n">
        <x:f aca="0">M54*M54</x:f>
        <x:v>8.270548337685506</x:v>
      </x:c>
      <x:c r="BF54" s="149" t="n">
        <x:f aca="0">N54*N54</x:f>
        <x:v>28.741315905201805</x:v>
      </x:c>
      <x:c r="BG54" s="149" t="n">
        <x:f aca="0">O54*O54</x:f>
        <x:v>72.87997596996253</x:v>
      </x:c>
      <x:c r="BH54" s="149" t="n">
        <x:f aca="0">P54*P54</x:f>
        <x:v>149.5640496356321</x:v>
      </x:c>
      <x:c r="BI54" s="149" t="n">
        <x:f aca="0">Q54*Q54</x:f>
        <x:v>264.15761955115204</x:v>
      </x:c>
      <x:c r="BJ54" s="149" t="n">
        <x:f aca="0">R54*R54</x:f>
        <x:v>417.63876108372165</x:v>
      </x:c>
      <x:c r="BK54" s="149" t="n">
        <x:f aca="0">S54*S54</x:f>
        <x:v>606.999636221462</x:v>
      </x:c>
      <x:c r="BL54" s="149" t="n">
        <x:f aca="0">T54*T54</x:f>
        <x:v>826.349932925724</x:v>
      </x:c>
      <x:c r="BM54" s="149" t="n">
        <x:f aca="0">U54*U54</x:f>
        <x:v>1068.200830155201</x:v>
      </x:c>
      <x:c r="BN54" s="149" t="n">
        <x:f aca="0">V54*V54</x:f>
        <x:v>1324.5995489134593</x:v>
      </x:c>
      <x:c r="BO54" s="149" t="n">
        <x:f aca="0">W54*W54</x:f>
        <x:v>1587.9702572113815</x:v>
      </x:c>
      <x:c r="BP54" s="149" t="n">
        <x:f aca="0">X54*X54</x:f>
        <x:v>1851.6426193313182</x:v>
      </x:c>
      <x:c r="BQ54" s="149" t="n">
        <x:f aca="0">Y54*Y54</x:f>
        <x:v>2110.1145445591924</x:v>
      </x:c>
      <x:c r="BR54" s="149" t="n">
        <x:f aca="0">Z54*Z54</x:f>
        <x:v>2359.1184261262806</x:v>
      </x:c>
      <x:c r="BS54" s="149" t="n">
        <x:f aca="0">AA54*AA54</x:f>
        <x:v>2595.5587513637092</x:v>
      </x:c>
      <x:c r="BT54" s="149" t="n">
        <x:f aca="0">AB54*AB54</x:f>
        <x:v>2817.3767890890554</x:v>
      </x:c>
      <x:c r="BU54" s="149" t="n">
        <x:f aca="0">AC54*AC54</x:f>
        <x:v>3023.3831356711257</x:v>
      </x:c>
    </x:row>
    <x:row r="55" ht="15" hidden="0" customHeight="1">
      <x:c r="A55" s="1" t="str">
        <x:f aca="0">S13_PSP_Species_Support!A42</x:f>
        <x:v>PSP-TP-001</x:v>
      </x:c>
      <x:c r="B55" s="1" t="n">
        <x:f aca="0">42</x:f>
        <x:v>42</x:v>
      </x:c>
      <x:c r="C55" s="1" t="str">
        <x:f aca="0">S13_PSP_Species_Support!I42</x:f>
        <x:v>Timber Plantation|High|2020</x:v>
      </x:c>
      <x:c r="D55" s="1" t="str">
        <x:f aca="0">S13_PSP_Species_Support!C42</x:f>
        <x:v>Timber Plantation</x:v>
      </x:c>
      <x:c r="E55" s="1" t="str">
        <x:f aca="0">S13_PSP_Species_Support!D42</x:f>
        <x:v>High</x:v>
      </x:c>
      <x:c r="F55" s="1" t="n">
        <x:f aca="0">S13_PSP_Species_Support!E42</x:f>
        <x:v>2020</x:v>
      </x:c>
      <x:c r="G55" s="645" t="n">
        <x:f aca="0">'S13_PSP_Species_Support'!DJ42</x:f>
        <x:v>0.09</x:v>
      </x:c>
      <x:c r="H55" s="714" t="n">
        <x:f aca="0">'S13_PSP_Species_Support'!DK42</x:f>
        <x:v>250.67934782608694</x:v>
      </x:c>
      <x:c r="I55" s="147" t="n">
        <x:f aca="0">IFERROR((IFERROR(S13_PSP_Species_Support!U42*0.0673*(S13_PSP_Species_Support!V42*(S13_PSP_Species_Support!W42*(1-EXP(-S13_PSP_Species_Support!X42*0))^S13_PSP_Species_Support!Y42)^2*(S13_PSP_Species_Support!Z42*(1-EXP(-S13_PSP_Species_Support!AA42*0))^S13_PSP_Species_Support!AB42))^0.976,0)+IFERROR(S13_PSP_Species_Support!AF42*0.0673*(S13_PSP_Species_Support!AG42*(S13_PSP_Species_Support!AH42*(1-EXP(-S13_PSP_Species_Support!AI42*0))^S13_PSP_Species_Support!AJ42)^2*(S13_PSP_Species_Support!AK42*(1-EXP(-S13_PSP_Species_Support!AL42*0))^S13_PSP_Species_Support!AM42))^0.976,0)+IFERROR(S13_PSP_Species_Support!AQ42*0.0673*(S13_PSP_Species_Support!AR42*(S13_PSP_Species_Support!AS42*(1-EXP(-S13_PSP_Species_Support!AT42*0))^S13_PSP_Species_Support!AU42)^2*(S13_PSP_Species_Support!AV42*(1-EXP(-S13_PSP_Species_Support!AW42*0))^S13_PSP_Species_Support!AX42))^0.976,0)+IFERROR(S13_PSP_Species_Support!BB42*0.0673*(S13_PSP_Species_Support!BC42*(S13_PSP_Species_Support!BD42*(1-EXP(-S13_PSP_Species_Support!BE42*0))^S13_PSP_Species_Support!BF42)^2*(S13_PSP_Species_Support!BG42*(1-EXP(-S13_PSP_Species_Support!BH42*0))^S13_PSP_Species_Support!BI42))^0.976,0)+IFERROR(S13_PSP_Species_Support!BM42*0.0673*(S13_PSP_Species_Support!BN42*(S13_PSP_Species_Support!BO42*(1-EXP(-S13_PSP_Species_Support!BP42*0))^S13_PSP_Species_Support!BQ42)^2*(S13_PSP_Species_Support!BR42*(1-EXP(-S13_PSP_Species_Support!BS42*0))^S13_PSP_Species_Support!BT42))^0.976,0)+IFERROR(S13_PSP_Species_Support!BX42*0.0673*(S13_PSP_Species_Support!BY42*(S13_PSP_Species_Support!BZ42*(1-EXP(-S13_PSP_Species_Support!CA42*0))^S13_PSP_Species_Support!CB42)^2*(S13_PSP_Species_Support!CC42*(1-EXP(-S13_PSP_Species_Support!CD42*0))^S13_PSP_Species_Support!CE42))^0.976,0)+IFERROR(S13_PSP_Species_Support!CI42*0.0673*(S13_PSP_Species_Support!CJ42*(S13_PSP_Species_Support!CK42*(1-EXP(-S13_PSP_Species_Support!CL42*0))^S13_PSP_Species_Support!CM42)^2*(S13_PSP_Species_Support!CN42*(1-EXP(-S13_PSP_Species_Support!CO42*0))^S13_PSP_Species_Support!CP42))^0.976,0)+IFERROR(S13_PSP_Species_Support!CT42*0.0673*(S13_PSP_Species_Support!CU42*(S13_PSP_Species_Support!CV42*(1-EXP(-S13_PSP_Species_Support!CW42*0))^S13_PSP_Species_Support!CX42)^2*(S13_PSP_Species_Support!CY42*(1-EXP(-S13_PSP_Species_Support!CZ42*0))^S13_PSP_Species_Support!DA42))^0.976,0))/1000/$G55*I$108,0)</x:f>
        <x:v>0</x:v>
      </x:c>
      <x:c r="J55" s="147" t="n">
        <x:f aca="0">IFERROR((IFERROR(S13_PSP_Species_Support!U42*0.0673*(S13_PSP_Species_Support!V42*(S13_PSP_Species_Support!W42*(1-EXP(-S13_PSP_Species_Support!X42*1))^S13_PSP_Species_Support!Y42)^2*(S13_PSP_Species_Support!Z42*(1-EXP(-S13_PSP_Species_Support!AA42*1))^S13_PSP_Species_Support!AB42))^0.976,0)+IFERROR(S13_PSP_Species_Support!AF42*0.0673*(S13_PSP_Species_Support!AG42*(S13_PSP_Species_Support!AH42*(1-EXP(-S13_PSP_Species_Support!AI42*1))^S13_PSP_Species_Support!AJ42)^2*(S13_PSP_Species_Support!AK42*(1-EXP(-S13_PSP_Species_Support!AL42*1))^S13_PSP_Species_Support!AM42))^0.976,0)+IFERROR(S13_PSP_Species_Support!AQ42*0.0673*(S13_PSP_Species_Support!AR42*(S13_PSP_Species_Support!AS42*(1-EXP(-S13_PSP_Species_Support!AT42*1))^S13_PSP_Species_Support!AU42)^2*(S13_PSP_Species_Support!AV42*(1-EXP(-S13_PSP_Species_Support!AW42*1))^S13_PSP_Species_Support!AX42))^0.976,0)+IFERROR(S13_PSP_Species_Support!BB42*0.0673*(S13_PSP_Species_Support!BC42*(S13_PSP_Species_Support!BD42*(1-EXP(-S13_PSP_Species_Support!BE42*1))^S13_PSP_Species_Support!BF42)^2*(S13_PSP_Species_Support!BG42*(1-EXP(-S13_PSP_Species_Support!BH42*1))^S13_PSP_Species_Support!BI42))^0.976,0)+IFERROR(S13_PSP_Species_Support!BM42*0.0673*(S13_PSP_Species_Support!BN42*(S13_PSP_Species_Support!BO42*(1-EXP(-S13_PSP_Species_Support!BP42*1))^S13_PSP_Species_Support!BQ42)^2*(S13_PSP_Species_Support!BR42*(1-EXP(-S13_PSP_Species_Support!BS42*1))^S13_PSP_Species_Support!BT42))^0.976,0)+IFERROR(S13_PSP_Species_Support!BX42*0.0673*(S13_PSP_Species_Support!BY42*(S13_PSP_Species_Support!BZ42*(1-EXP(-S13_PSP_Species_Support!CA42*1))^S13_PSP_Species_Support!CB42)^2*(S13_PSP_Species_Support!CC42*(1-EXP(-S13_PSP_Species_Support!CD42*1))^S13_PSP_Species_Support!CE42))^0.976,0)+IFERROR(S13_PSP_Species_Support!CI42*0.0673*(S13_PSP_Species_Support!CJ42*(S13_PSP_Species_Support!CK42*(1-EXP(-S13_PSP_Species_Support!CL42*1))^S13_PSP_Species_Support!CM42)^2*(S13_PSP_Species_Support!CN42*(1-EXP(-S13_PSP_Species_Support!CO42*1))^S13_PSP_Species_Support!CP42))^0.976,0)+IFERROR(S13_PSP_Species_Support!CT42*0.0673*(S13_PSP_Species_Support!CU42*(S13_PSP_Species_Support!CV42*(1-EXP(-S13_PSP_Species_Support!CW42*1))^S13_PSP_Species_Support!CX42)^2*(S13_PSP_Species_Support!CY42*(1-EXP(-S13_PSP_Species_Support!CZ42*1))^S13_PSP_Species_Support!DA42))^0.976,0))/1000/$G55*J$108,0)</x:f>
        <x:v>6.398366509901856</x:v>
      </x:c>
      <x:c r="K55" s="147" t="n">
        <x:f aca="0">IFERROR((IFERROR(S13_PSP_Species_Support!U42*0.0673*(S13_PSP_Species_Support!V42*(S13_PSP_Species_Support!W42*(1-EXP(-S13_PSP_Species_Support!X42*2))^S13_PSP_Species_Support!Y42)^2*(S13_PSP_Species_Support!Z42*(1-EXP(-S13_PSP_Species_Support!AA42*2))^S13_PSP_Species_Support!AB42))^0.976,0)+IFERROR(S13_PSP_Species_Support!AF42*0.0673*(S13_PSP_Species_Support!AG42*(S13_PSP_Species_Support!AH42*(1-EXP(-S13_PSP_Species_Support!AI42*2))^S13_PSP_Species_Support!AJ42)^2*(S13_PSP_Species_Support!AK42*(1-EXP(-S13_PSP_Species_Support!AL42*2))^S13_PSP_Species_Support!AM42))^0.976,0)+IFERROR(S13_PSP_Species_Support!AQ42*0.0673*(S13_PSP_Species_Support!AR42*(S13_PSP_Species_Support!AS42*(1-EXP(-S13_PSP_Species_Support!AT42*2))^S13_PSP_Species_Support!AU42)^2*(S13_PSP_Species_Support!AV42*(1-EXP(-S13_PSP_Species_Support!AW42*2))^S13_PSP_Species_Support!AX42))^0.976,0)+IFERROR(S13_PSP_Species_Support!BB42*0.0673*(S13_PSP_Species_Support!BC42*(S13_PSP_Species_Support!BD42*(1-EXP(-S13_PSP_Species_Support!BE42*2))^S13_PSP_Species_Support!BF42)^2*(S13_PSP_Species_Support!BG42*(1-EXP(-S13_PSP_Species_Support!BH42*2))^S13_PSP_Species_Support!BI42))^0.976,0)+IFERROR(S13_PSP_Species_Support!BM42*0.0673*(S13_PSP_Species_Support!BN42*(S13_PSP_Species_Support!BO42*(1-EXP(-S13_PSP_Species_Support!BP42*2))^S13_PSP_Species_Support!BQ42)^2*(S13_PSP_Species_Support!BR42*(1-EXP(-S13_PSP_Species_Support!BS42*2))^S13_PSP_Species_Support!BT42))^0.976,0)+IFERROR(S13_PSP_Species_Support!BX42*0.0673*(S13_PSP_Species_Support!BY42*(S13_PSP_Species_Support!BZ42*(1-EXP(-S13_PSP_Species_Support!CA42*2))^S13_PSP_Species_Support!CB42)^2*(S13_PSP_Species_Support!CC42*(1-EXP(-S13_PSP_Species_Support!CD42*2))^S13_PSP_Species_Support!CE42))^0.976,0)+IFERROR(S13_PSP_Species_Support!CI42*0.0673*(S13_PSP_Species_Support!CJ42*(S13_PSP_Species_Support!CK42*(1-EXP(-S13_PSP_Species_Support!CL42*2))^S13_PSP_Species_Support!CM42)^2*(S13_PSP_Species_Support!CN42*(1-EXP(-S13_PSP_Species_Support!CO42*2))^S13_PSP_Species_Support!CP42))^0.976,0)+IFERROR(S13_PSP_Species_Support!CT42*0.0673*(S13_PSP_Species_Support!CU42*(S13_PSP_Species_Support!CV42*(1-EXP(-S13_PSP_Species_Support!CW42*2))^S13_PSP_Species_Support!CX42)^2*(S13_PSP_Species_Support!CY42*(1-EXP(-S13_PSP_Species_Support!CZ42*2))^S13_PSP_Species_Support!DA42))^0.976,0))/1000/$G55*K$108,0)</x:f>
        <x:v>60.43537258690186</x:v>
      </x:c>
      <x:c r="L55" s="147" t="n">
        <x:f aca="0">IFERROR((IFERROR(S13_PSP_Species_Support!U42*0.0673*(S13_PSP_Species_Support!V42*(S13_PSP_Species_Support!W42*(1-EXP(-S13_PSP_Species_Support!X42*3))^S13_PSP_Species_Support!Y42)^2*(S13_PSP_Species_Support!Z42*(1-EXP(-S13_PSP_Species_Support!AA42*3))^S13_PSP_Species_Support!AB42))^0.976,0)+IFERROR(S13_PSP_Species_Support!AF42*0.0673*(S13_PSP_Species_Support!AG42*(S13_PSP_Species_Support!AH42*(1-EXP(-S13_PSP_Species_Support!AI42*3))^S13_PSP_Species_Support!AJ42)^2*(S13_PSP_Species_Support!AK42*(1-EXP(-S13_PSP_Species_Support!AL42*3))^S13_PSP_Species_Support!AM42))^0.976,0)+IFERROR(S13_PSP_Species_Support!AQ42*0.0673*(S13_PSP_Species_Support!AR42*(S13_PSP_Species_Support!AS42*(1-EXP(-S13_PSP_Species_Support!AT42*3))^S13_PSP_Species_Support!AU42)^2*(S13_PSP_Species_Support!AV42*(1-EXP(-S13_PSP_Species_Support!AW42*3))^S13_PSP_Species_Support!AX42))^0.976,0)+IFERROR(S13_PSP_Species_Support!BB42*0.0673*(S13_PSP_Species_Support!BC42*(S13_PSP_Species_Support!BD42*(1-EXP(-S13_PSP_Species_Support!BE42*3))^S13_PSP_Species_Support!BF42)^2*(S13_PSP_Species_Support!BG42*(1-EXP(-S13_PSP_Species_Support!BH42*3))^S13_PSP_Species_Support!BI42))^0.976,0)+IFERROR(S13_PSP_Species_Support!BM42*0.0673*(S13_PSP_Species_Support!BN42*(S13_PSP_Species_Support!BO42*(1-EXP(-S13_PSP_Species_Support!BP42*3))^S13_PSP_Species_Support!BQ42)^2*(S13_PSP_Species_Support!BR42*(1-EXP(-S13_PSP_Species_Support!BS42*3))^S13_PSP_Species_Support!BT42))^0.976,0)+IFERROR(S13_PSP_Species_Support!BX42*0.0673*(S13_PSP_Species_Support!BY42*(S13_PSP_Species_Support!BZ42*(1-EXP(-S13_PSP_Species_Support!CA42*3))^S13_PSP_Species_Support!CB42)^2*(S13_PSP_Species_Support!CC42*(1-EXP(-S13_PSP_Species_Support!CD42*3))^S13_PSP_Species_Support!CE42))^0.976,0)+IFERROR(S13_PSP_Species_Support!CI42*0.0673*(S13_PSP_Species_Support!CJ42*(S13_PSP_Species_Support!CK42*(1-EXP(-S13_PSP_Species_Support!CL42*3))^S13_PSP_Species_Support!CM42)^2*(S13_PSP_Species_Support!CN42*(1-EXP(-S13_PSP_Species_Support!CO42*3))^S13_PSP_Species_Support!CP42))^0.976,0)+IFERROR(S13_PSP_Species_Support!CT42*0.0673*(S13_PSP_Species_Support!CU42*(S13_PSP_Species_Support!CV42*(1-EXP(-S13_PSP_Species_Support!CW42*3))^S13_PSP_Species_Support!CX42)^2*(S13_PSP_Species_Support!CY42*(1-EXP(-S13_PSP_Species_Support!CZ42*3))^S13_PSP_Species_Support!DA42))^0.976,0))/1000/$G55*L$108,0)</x:f>
        <x:v>200.2059277796654</x:v>
      </x:c>
      <x:c r="M55" s="147" t="n">
        <x:f aca="0">IFERROR((IFERROR(S13_PSP_Species_Support!U42*0.0673*(S13_PSP_Species_Support!V42*(S13_PSP_Species_Support!W42*(1-EXP(-S13_PSP_Species_Support!X42*4))^S13_PSP_Species_Support!Y42)^2*(S13_PSP_Species_Support!Z42*(1-EXP(-S13_PSP_Species_Support!AA42*4))^S13_PSP_Species_Support!AB42))^0.976,0)+IFERROR(S13_PSP_Species_Support!AF42*0.0673*(S13_PSP_Species_Support!AG42*(S13_PSP_Species_Support!AH42*(1-EXP(-S13_PSP_Species_Support!AI42*4))^S13_PSP_Species_Support!AJ42)^2*(S13_PSP_Species_Support!AK42*(1-EXP(-S13_PSP_Species_Support!AL42*4))^S13_PSP_Species_Support!AM42))^0.976,0)+IFERROR(S13_PSP_Species_Support!AQ42*0.0673*(S13_PSP_Species_Support!AR42*(S13_PSP_Species_Support!AS42*(1-EXP(-S13_PSP_Species_Support!AT42*4))^S13_PSP_Species_Support!AU42)^2*(S13_PSP_Species_Support!AV42*(1-EXP(-S13_PSP_Species_Support!AW42*4))^S13_PSP_Species_Support!AX42))^0.976,0)+IFERROR(S13_PSP_Species_Support!BB42*0.0673*(S13_PSP_Species_Support!BC42*(S13_PSP_Species_Support!BD42*(1-EXP(-S13_PSP_Species_Support!BE42*4))^S13_PSP_Species_Support!BF42)^2*(S13_PSP_Species_Support!BG42*(1-EXP(-S13_PSP_Species_Support!BH42*4))^S13_PSP_Species_Support!BI42))^0.976,0)+IFERROR(S13_PSP_Species_Support!BM42*0.0673*(S13_PSP_Species_Support!BN42*(S13_PSP_Species_Support!BO42*(1-EXP(-S13_PSP_Species_Support!BP42*4))^S13_PSP_Species_Support!BQ42)^2*(S13_PSP_Species_Support!BR42*(1-EXP(-S13_PSP_Species_Support!BS42*4))^S13_PSP_Species_Support!BT42))^0.976,0)+IFERROR(S13_PSP_Species_Support!BX42*0.0673*(S13_PSP_Species_Support!BY42*(S13_PSP_Species_Support!BZ42*(1-EXP(-S13_PSP_Species_Support!CA42*4))^S13_PSP_Species_Support!CB42)^2*(S13_PSP_Species_Support!CC42*(1-EXP(-S13_PSP_Species_Support!CD42*4))^S13_PSP_Species_Support!CE42))^0.976,0)+IFERROR(S13_PSP_Species_Support!CI42*0.0673*(S13_PSP_Species_Support!CJ42*(S13_PSP_Species_Support!CK42*(1-EXP(-S13_PSP_Species_Support!CL42*4))^S13_PSP_Species_Support!CM42)^2*(S13_PSP_Species_Support!CN42*(1-EXP(-S13_PSP_Species_Support!CO42*4))^S13_PSP_Species_Support!CP42))^0.976,0)+IFERROR(S13_PSP_Species_Support!CT42*0.0673*(S13_PSP_Species_Support!CU42*(S13_PSP_Species_Support!CV42*(1-EXP(-S13_PSP_Species_Support!CW42*4))^S13_PSP_Species_Support!CX42)^2*(S13_PSP_Species_Support!CY42*(1-EXP(-S13_PSP_Species_Support!CZ42*4))^S13_PSP_Species_Support!DA42))^0.976,0))/1000/$G55*M$108,0)</x:f>
        <x:v>436.7789443683148</x:v>
      </x:c>
      <x:c r="N55" s="147" t="n">
        <x:f aca="0">IFERROR((IFERROR(S13_PSP_Species_Support!U42*0.0673*(S13_PSP_Species_Support!V42*(S13_PSP_Species_Support!W42*(1-EXP(-S13_PSP_Species_Support!X42*5))^S13_PSP_Species_Support!Y42)^2*(S13_PSP_Species_Support!Z42*(1-EXP(-S13_PSP_Species_Support!AA42*5))^S13_PSP_Species_Support!AB42))^0.976,0)+IFERROR(S13_PSP_Species_Support!AF42*0.0673*(S13_PSP_Species_Support!AG42*(S13_PSP_Species_Support!AH42*(1-EXP(-S13_PSP_Species_Support!AI42*5))^S13_PSP_Species_Support!AJ42)^2*(S13_PSP_Species_Support!AK42*(1-EXP(-S13_PSP_Species_Support!AL42*5))^S13_PSP_Species_Support!AM42))^0.976,0)+IFERROR(S13_PSP_Species_Support!AQ42*0.0673*(S13_PSP_Species_Support!AR42*(S13_PSP_Species_Support!AS42*(1-EXP(-S13_PSP_Species_Support!AT42*5))^S13_PSP_Species_Support!AU42)^2*(S13_PSP_Species_Support!AV42*(1-EXP(-S13_PSP_Species_Support!AW42*5))^S13_PSP_Species_Support!AX42))^0.976,0)+IFERROR(S13_PSP_Species_Support!BB42*0.0673*(S13_PSP_Species_Support!BC42*(S13_PSP_Species_Support!BD42*(1-EXP(-S13_PSP_Species_Support!BE42*5))^S13_PSP_Species_Support!BF42)^2*(S13_PSP_Species_Support!BG42*(1-EXP(-S13_PSP_Species_Support!BH42*5))^S13_PSP_Species_Support!BI42))^0.976,0)+IFERROR(S13_PSP_Species_Support!BM42*0.0673*(S13_PSP_Species_Support!BN42*(S13_PSP_Species_Support!BO42*(1-EXP(-S13_PSP_Species_Support!BP42*5))^S13_PSP_Species_Support!BQ42)^2*(S13_PSP_Species_Support!BR42*(1-EXP(-S13_PSP_Species_Support!BS42*5))^S13_PSP_Species_Support!BT42))^0.976,0)+IFERROR(S13_PSP_Species_Support!BX42*0.0673*(S13_PSP_Species_Support!BY42*(S13_PSP_Species_Support!BZ42*(1-EXP(-S13_PSP_Species_Support!CA42*5))^S13_PSP_Species_Support!CB42)^2*(S13_PSP_Species_Support!CC42*(1-EXP(-S13_PSP_Species_Support!CD42*5))^S13_PSP_Species_Support!CE42))^0.976,0)+IFERROR(S13_PSP_Species_Support!CI42*0.0673*(S13_PSP_Species_Support!CJ42*(S13_PSP_Species_Support!CK42*(1-EXP(-S13_PSP_Species_Support!CL42*5))^S13_PSP_Species_Support!CM42)^2*(S13_PSP_Species_Support!CN42*(1-EXP(-S13_PSP_Species_Support!CO42*5))^S13_PSP_Species_Support!CP42))^0.976,0)+IFERROR(S13_PSP_Species_Support!CT42*0.0673*(S13_PSP_Species_Support!CU42*(S13_PSP_Species_Support!CV42*(1-EXP(-S13_PSP_Species_Support!CW42*5))^S13_PSP_Species_Support!CX42)^2*(S13_PSP_Species_Support!CY42*(1-EXP(-S13_PSP_Species_Support!CZ42*5))^S13_PSP_Species_Support!DA42))^0.976,0))/1000/$G55*N$108,0)</x:f>
        <x:v>756.8600167501786</x:v>
      </x:c>
      <x:c r="O55" s="147" t="n">
        <x:f aca="0">IFERROR((IFERROR(S13_PSP_Species_Support!U42*0.0673*(S13_PSP_Species_Support!V42*(S13_PSP_Species_Support!W42*(1-EXP(-S13_PSP_Species_Support!X42*6))^S13_PSP_Species_Support!Y42)^2*(S13_PSP_Species_Support!Z42*(1-EXP(-S13_PSP_Species_Support!AA42*6))^S13_PSP_Species_Support!AB42))^0.976,0)+IFERROR(S13_PSP_Species_Support!AF42*0.0673*(S13_PSP_Species_Support!AG42*(S13_PSP_Species_Support!AH42*(1-EXP(-S13_PSP_Species_Support!AI42*6))^S13_PSP_Species_Support!AJ42)^2*(S13_PSP_Species_Support!AK42*(1-EXP(-S13_PSP_Species_Support!AL42*6))^S13_PSP_Species_Support!AM42))^0.976,0)+IFERROR(S13_PSP_Species_Support!AQ42*0.0673*(S13_PSP_Species_Support!AR42*(S13_PSP_Species_Support!AS42*(1-EXP(-S13_PSP_Species_Support!AT42*6))^S13_PSP_Species_Support!AU42)^2*(S13_PSP_Species_Support!AV42*(1-EXP(-S13_PSP_Species_Support!AW42*6))^S13_PSP_Species_Support!AX42))^0.976,0)+IFERROR(S13_PSP_Species_Support!BB42*0.0673*(S13_PSP_Species_Support!BC42*(S13_PSP_Species_Support!BD42*(1-EXP(-S13_PSP_Species_Support!BE42*6))^S13_PSP_Species_Support!BF42)^2*(S13_PSP_Species_Support!BG42*(1-EXP(-S13_PSP_Species_Support!BH42*6))^S13_PSP_Species_Support!BI42))^0.976,0)+IFERROR(S13_PSP_Species_Support!BM42*0.0673*(S13_PSP_Species_Support!BN42*(S13_PSP_Species_Support!BO42*(1-EXP(-S13_PSP_Species_Support!BP42*6))^S13_PSP_Species_Support!BQ42)^2*(S13_PSP_Species_Support!BR42*(1-EXP(-S13_PSP_Species_Support!BS42*6))^S13_PSP_Species_Support!BT42))^0.976,0)+IFERROR(S13_PSP_Species_Support!BX42*0.0673*(S13_PSP_Species_Support!BY42*(S13_PSP_Species_Support!BZ42*(1-EXP(-S13_PSP_Species_Support!CA42*6))^S13_PSP_Species_Support!CB42)^2*(S13_PSP_Species_Support!CC42*(1-EXP(-S13_PSP_Species_Support!CD42*6))^S13_PSP_Species_Support!CE42))^0.976,0)+IFERROR(S13_PSP_Species_Support!CI42*0.0673*(S13_PSP_Species_Support!CJ42*(S13_PSP_Species_Support!CK42*(1-EXP(-S13_PSP_Species_Support!CL42*6))^S13_PSP_Species_Support!CM42)^2*(S13_PSP_Species_Support!CN42*(1-EXP(-S13_PSP_Species_Support!CO42*6))^S13_PSP_Species_Support!CP42))^0.976,0)+IFERROR(S13_PSP_Species_Support!CT42*0.0673*(S13_PSP_Species_Support!CU42*(S13_PSP_Species_Support!CV42*(1-EXP(-S13_PSP_Species_Support!CW42*6))^S13_PSP_Species_Support!CX42)^2*(S13_PSP_Species_Support!CY42*(1-EXP(-S13_PSP_Species_Support!CZ42*6))^S13_PSP_Species_Support!DA42))^0.976,0))/1000/$G55*O$108,0)</x:f>
        <x:v>1137.3423528284031</x:v>
      </x:c>
      <x:c r="P55" s="147" t="n">
        <x:f aca="0">IFERROR((IFERROR(S13_PSP_Species_Support!U42*0.0673*(S13_PSP_Species_Support!V42*(S13_PSP_Species_Support!W42*(1-EXP(-S13_PSP_Species_Support!X42*7))^S13_PSP_Species_Support!Y42)^2*(S13_PSP_Species_Support!Z42*(1-EXP(-S13_PSP_Species_Support!AA42*7))^S13_PSP_Species_Support!AB42))^0.976,0)+IFERROR(S13_PSP_Species_Support!AF42*0.0673*(S13_PSP_Species_Support!AG42*(S13_PSP_Species_Support!AH42*(1-EXP(-S13_PSP_Species_Support!AI42*7))^S13_PSP_Species_Support!AJ42)^2*(S13_PSP_Species_Support!AK42*(1-EXP(-S13_PSP_Species_Support!AL42*7))^S13_PSP_Species_Support!AM42))^0.976,0)+IFERROR(S13_PSP_Species_Support!AQ42*0.0673*(S13_PSP_Species_Support!AR42*(S13_PSP_Species_Support!AS42*(1-EXP(-S13_PSP_Species_Support!AT42*7))^S13_PSP_Species_Support!AU42)^2*(S13_PSP_Species_Support!AV42*(1-EXP(-S13_PSP_Species_Support!AW42*7))^S13_PSP_Species_Support!AX42))^0.976,0)+IFERROR(S13_PSP_Species_Support!BB42*0.0673*(S13_PSP_Species_Support!BC42*(S13_PSP_Species_Support!BD42*(1-EXP(-S13_PSP_Species_Support!BE42*7))^S13_PSP_Species_Support!BF42)^2*(S13_PSP_Species_Support!BG42*(1-EXP(-S13_PSP_Species_Support!BH42*7))^S13_PSP_Species_Support!BI42))^0.976,0)+IFERROR(S13_PSP_Species_Support!BM42*0.0673*(S13_PSP_Species_Support!BN42*(S13_PSP_Species_Support!BO42*(1-EXP(-S13_PSP_Species_Support!BP42*7))^S13_PSP_Species_Support!BQ42)^2*(S13_PSP_Species_Support!BR42*(1-EXP(-S13_PSP_Species_Support!BS42*7))^S13_PSP_Species_Support!BT42))^0.976,0)+IFERROR(S13_PSP_Species_Support!BX42*0.0673*(S13_PSP_Species_Support!BY42*(S13_PSP_Species_Support!BZ42*(1-EXP(-S13_PSP_Species_Support!CA42*7))^S13_PSP_Species_Support!CB42)^2*(S13_PSP_Species_Support!CC42*(1-EXP(-S13_PSP_Species_Support!CD42*7))^S13_PSP_Species_Support!CE42))^0.976,0)+IFERROR(S13_PSP_Species_Support!CI42*0.0673*(S13_PSP_Species_Support!CJ42*(S13_PSP_Species_Support!CK42*(1-EXP(-S13_PSP_Species_Support!CL42*7))^S13_PSP_Species_Support!CM42)^2*(S13_PSP_Species_Support!CN42*(1-EXP(-S13_PSP_Species_Support!CO42*7))^S13_PSP_Species_Support!CP42))^0.976,0)+IFERROR(S13_PSP_Species_Support!CT42*0.0673*(S13_PSP_Species_Support!CU42*(S13_PSP_Species_Support!CV42*(1-EXP(-S13_PSP_Species_Support!CW42*7))^S13_PSP_Species_Support!CX42)^2*(S13_PSP_Species_Support!CY42*(1-EXP(-S13_PSP_Species_Support!CZ42*7))^S13_PSP_Species_Support!DA42))^0.976,0))/1000/$G55*P$108,0)</x:f>
        <x:v>1553.115943812739</x:v>
      </x:c>
      <x:c r="Q55" s="147" t="n">
        <x:f aca="0">IFERROR((IFERROR(S13_PSP_Species_Support!U42*0.0673*(S13_PSP_Species_Support!V42*(S13_PSP_Species_Support!W42*(1-EXP(-S13_PSP_Species_Support!X42*8))^S13_PSP_Species_Support!Y42)^2*(S13_PSP_Species_Support!Z42*(1-EXP(-S13_PSP_Species_Support!AA42*8))^S13_PSP_Species_Support!AB42))^0.976,0)+IFERROR(S13_PSP_Species_Support!AF42*0.0673*(S13_PSP_Species_Support!AG42*(S13_PSP_Species_Support!AH42*(1-EXP(-S13_PSP_Species_Support!AI42*8))^S13_PSP_Species_Support!AJ42)^2*(S13_PSP_Species_Support!AK42*(1-EXP(-S13_PSP_Species_Support!AL42*8))^S13_PSP_Species_Support!AM42))^0.976,0)+IFERROR(S13_PSP_Species_Support!AQ42*0.0673*(S13_PSP_Species_Support!AR42*(S13_PSP_Species_Support!AS42*(1-EXP(-S13_PSP_Species_Support!AT42*8))^S13_PSP_Species_Support!AU42)^2*(S13_PSP_Species_Support!AV42*(1-EXP(-S13_PSP_Species_Support!AW42*8))^S13_PSP_Species_Support!AX42))^0.976,0)+IFERROR(S13_PSP_Species_Support!BB42*0.0673*(S13_PSP_Species_Support!BC42*(S13_PSP_Species_Support!BD42*(1-EXP(-S13_PSP_Species_Support!BE42*8))^S13_PSP_Species_Support!BF42)^2*(S13_PSP_Species_Support!BG42*(1-EXP(-S13_PSP_Species_Support!BH42*8))^S13_PSP_Species_Support!BI42))^0.976,0)+IFERROR(S13_PSP_Species_Support!BM42*0.0673*(S13_PSP_Species_Support!BN42*(S13_PSP_Species_Support!BO42*(1-EXP(-S13_PSP_Species_Support!BP42*8))^S13_PSP_Species_Support!BQ42)^2*(S13_PSP_Species_Support!BR42*(1-EXP(-S13_PSP_Species_Support!BS42*8))^S13_PSP_Species_Support!BT42))^0.976,0)+IFERROR(S13_PSP_Species_Support!BX42*0.0673*(S13_PSP_Species_Support!BY42*(S13_PSP_Species_Support!BZ42*(1-EXP(-S13_PSP_Species_Support!CA42*8))^S13_PSP_Species_Support!CB42)^2*(S13_PSP_Species_Support!CC42*(1-EXP(-S13_PSP_Species_Support!CD42*8))^S13_PSP_Species_Support!CE42))^0.976,0)+IFERROR(S13_PSP_Species_Support!CI42*0.0673*(S13_PSP_Species_Support!CJ42*(S13_PSP_Species_Support!CK42*(1-EXP(-S13_PSP_Species_Support!CL42*8))^S13_PSP_Species_Support!CM42)^2*(S13_PSP_Species_Support!CN42*(1-EXP(-S13_PSP_Species_Support!CO42*8))^S13_PSP_Species_Support!CP42))^0.976,0)+IFERROR(S13_PSP_Species_Support!CT42*0.0673*(S13_PSP_Species_Support!CU42*(S13_PSP_Species_Support!CV42*(1-EXP(-S13_PSP_Species_Support!CW42*8))^S13_PSP_Species_Support!CX42)^2*(S13_PSP_Species_Support!CY42*(1-EXP(-S13_PSP_Species_Support!CZ42*8))^S13_PSP_Species_Support!DA42))^0.976,0))/1000/$G55*Q$108,0)</x:f>
        <x:v>1981.7263486973627</x:v>
      </x:c>
      <x:c r="R55" s="147" t="n">
        <x:f aca="0">IFERROR((IFERROR(S13_PSP_Species_Support!U42*0.0673*(S13_PSP_Species_Support!V42*(S13_PSP_Species_Support!W42*(1-EXP(-S13_PSP_Species_Support!X42*9))^S13_PSP_Species_Support!Y42)^2*(S13_PSP_Species_Support!Z42*(1-EXP(-S13_PSP_Species_Support!AA42*9))^S13_PSP_Species_Support!AB42))^0.976,0)+IFERROR(S13_PSP_Species_Support!AF42*0.0673*(S13_PSP_Species_Support!AG42*(S13_PSP_Species_Support!AH42*(1-EXP(-S13_PSP_Species_Support!AI42*9))^S13_PSP_Species_Support!AJ42)^2*(S13_PSP_Species_Support!AK42*(1-EXP(-S13_PSP_Species_Support!AL42*9))^S13_PSP_Species_Support!AM42))^0.976,0)+IFERROR(S13_PSP_Species_Support!AQ42*0.0673*(S13_PSP_Species_Support!AR42*(S13_PSP_Species_Support!AS42*(1-EXP(-S13_PSP_Species_Support!AT42*9))^S13_PSP_Species_Support!AU42)^2*(S13_PSP_Species_Support!AV42*(1-EXP(-S13_PSP_Species_Support!AW42*9))^S13_PSP_Species_Support!AX42))^0.976,0)+IFERROR(S13_PSP_Species_Support!BB42*0.0673*(S13_PSP_Species_Support!BC42*(S13_PSP_Species_Support!BD42*(1-EXP(-S13_PSP_Species_Support!BE42*9))^S13_PSP_Species_Support!BF42)^2*(S13_PSP_Species_Support!BG42*(1-EXP(-S13_PSP_Species_Support!BH42*9))^S13_PSP_Species_Support!BI42))^0.976,0)+IFERROR(S13_PSP_Species_Support!BM42*0.0673*(S13_PSP_Species_Support!BN42*(S13_PSP_Species_Support!BO42*(1-EXP(-S13_PSP_Species_Support!BP42*9))^S13_PSP_Species_Support!BQ42)^2*(S13_PSP_Species_Support!BR42*(1-EXP(-S13_PSP_Species_Support!BS42*9))^S13_PSP_Species_Support!BT42))^0.976,0)+IFERROR(S13_PSP_Species_Support!BX42*0.0673*(S13_PSP_Species_Support!BY42*(S13_PSP_Species_Support!BZ42*(1-EXP(-S13_PSP_Species_Support!CA42*9))^S13_PSP_Species_Support!CB42)^2*(S13_PSP_Species_Support!CC42*(1-EXP(-S13_PSP_Species_Support!CD42*9))^S13_PSP_Species_Support!CE42))^0.976,0)+IFERROR(S13_PSP_Species_Support!CI42*0.0673*(S13_PSP_Species_Support!CJ42*(S13_PSP_Species_Support!CK42*(1-EXP(-S13_PSP_Species_Support!CL42*9))^S13_PSP_Species_Support!CM42)^2*(S13_PSP_Species_Support!CN42*(1-EXP(-S13_PSP_Species_Support!CO42*9))^S13_PSP_Species_Support!CP42))^0.976,0)+IFERROR(S13_PSP_Species_Support!CT42*0.0673*(S13_PSP_Species_Support!CU42*(S13_PSP_Species_Support!CV42*(1-EXP(-S13_PSP_Species_Support!CW42*9))^S13_PSP_Species_Support!CX42)^2*(S13_PSP_Species_Support!CY42*(1-EXP(-S13_PSP_Species_Support!CZ42*9))^S13_PSP_Species_Support!DA42))^0.976,0))/1000/$G55*R$108,0)</x:f>
        <x:v>2405.324304670489</x:v>
      </x:c>
      <x:c r="S55" s="147" t="n">
        <x:f aca="0">IFERROR((IFERROR(S13_PSP_Species_Support!U42*0.0673*(S13_PSP_Species_Support!V42*(S13_PSP_Species_Support!W42*(1-EXP(-S13_PSP_Species_Support!X42*10))^S13_PSP_Species_Support!Y42)^2*(S13_PSP_Species_Support!Z42*(1-EXP(-S13_PSP_Species_Support!AA42*10))^S13_PSP_Species_Support!AB42))^0.976,0)+IFERROR(S13_PSP_Species_Support!AF42*0.0673*(S13_PSP_Species_Support!AG42*(S13_PSP_Species_Support!AH42*(1-EXP(-S13_PSP_Species_Support!AI42*10))^S13_PSP_Species_Support!AJ42)^2*(S13_PSP_Species_Support!AK42*(1-EXP(-S13_PSP_Species_Support!AL42*10))^S13_PSP_Species_Support!AM42))^0.976,0)+IFERROR(S13_PSP_Species_Support!AQ42*0.0673*(S13_PSP_Species_Support!AR42*(S13_PSP_Species_Support!AS42*(1-EXP(-S13_PSP_Species_Support!AT42*10))^S13_PSP_Species_Support!AU42)^2*(S13_PSP_Species_Support!AV42*(1-EXP(-S13_PSP_Species_Support!AW42*10))^S13_PSP_Species_Support!AX42))^0.976,0)+IFERROR(S13_PSP_Species_Support!BB42*0.0673*(S13_PSP_Species_Support!BC42*(S13_PSP_Species_Support!BD42*(1-EXP(-S13_PSP_Species_Support!BE42*10))^S13_PSP_Species_Support!BF42)^2*(S13_PSP_Species_Support!BG42*(1-EXP(-S13_PSP_Species_Support!BH42*10))^S13_PSP_Species_Support!BI42))^0.976,0)+IFERROR(S13_PSP_Species_Support!BM42*0.0673*(S13_PSP_Species_Support!BN42*(S13_PSP_Species_Support!BO42*(1-EXP(-S13_PSP_Species_Support!BP42*10))^S13_PSP_Species_Support!BQ42)^2*(S13_PSP_Species_Support!BR42*(1-EXP(-S13_PSP_Species_Support!BS42*10))^S13_PSP_Species_Support!BT42))^0.976,0)+IFERROR(S13_PSP_Species_Support!BX42*0.0673*(S13_PSP_Species_Support!BY42*(S13_PSP_Species_Support!BZ42*(1-EXP(-S13_PSP_Species_Support!CA42*10))^S13_PSP_Species_Support!CB42)^2*(S13_PSP_Species_Support!CC42*(1-EXP(-S13_PSP_Species_Support!CD42*10))^S13_PSP_Species_Support!CE42))^0.976,0)+IFERROR(S13_PSP_Species_Support!CI42*0.0673*(S13_PSP_Species_Support!CJ42*(S13_PSP_Species_Support!CK42*(1-EXP(-S13_PSP_Species_Support!CL42*10))^S13_PSP_Species_Support!CM42)^2*(S13_PSP_Species_Support!CN42*(1-EXP(-S13_PSP_Species_Support!CO42*10))^S13_PSP_Species_Support!CP42))^0.976,0)+IFERROR(S13_PSP_Species_Support!CT42*0.0673*(S13_PSP_Species_Support!CU42*(S13_PSP_Species_Support!CV42*(1-EXP(-S13_PSP_Species_Support!CW42*10))^S13_PSP_Species_Support!CX42)^2*(S13_PSP_Species_Support!CY42*(1-EXP(-S13_PSP_Species_Support!CZ42*10))^S13_PSP_Species_Support!DA42))^0.976,0))/1000/$G55*S$108,0)</x:f>
        <x:v>2810.9960111319497</x:v>
      </x:c>
      <x:c r="T55" s="147" t="n">
        <x:f aca="0">IFERROR((IFERROR(S13_PSP_Species_Support!U42*0.0673*(S13_PSP_Species_Support!V42*(S13_PSP_Species_Support!W42*(1-EXP(-S13_PSP_Species_Support!X42*11))^S13_PSP_Species_Support!Y42)^2*(S13_PSP_Species_Support!Z42*(1-EXP(-S13_PSP_Species_Support!AA42*11))^S13_PSP_Species_Support!AB42))^0.976,0)+IFERROR(S13_PSP_Species_Support!AF42*0.0673*(S13_PSP_Species_Support!AG42*(S13_PSP_Species_Support!AH42*(1-EXP(-S13_PSP_Species_Support!AI42*11))^S13_PSP_Species_Support!AJ42)^2*(S13_PSP_Species_Support!AK42*(1-EXP(-S13_PSP_Species_Support!AL42*11))^S13_PSP_Species_Support!AM42))^0.976,0)+IFERROR(S13_PSP_Species_Support!AQ42*0.0673*(S13_PSP_Species_Support!AR42*(S13_PSP_Species_Support!AS42*(1-EXP(-S13_PSP_Species_Support!AT42*11))^S13_PSP_Species_Support!AU42)^2*(S13_PSP_Species_Support!AV42*(1-EXP(-S13_PSP_Species_Support!AW42*11))^S13_PSP_Species_Support!AX42))^0.976,0)+IFERROR(S13_PSP_Species_Support!BB42*0.0673*(S13_PSP_Species_Support!BC42*(S13_PSP_Species_Support!BD42*(1-EXP(-S13_PSP_Species_Support!BE42*11))^S13_PSP_Species_Support!BF42)^2*(S13_PSP_Species_Support!BG42*(1-EXP(-S13_PSP_Species_Support!BH42*11))^S13_PSP_Species_Support!BI42))^0.976,0)+IFERROR(S13_PSP_Species_Support!BM42*0.0673*(S13_PSP_Species_Support!BN42*(S13_PSP_Species_Support!BO42*(1-EXP(-S13_PSP_Species_Support!BP42*11))^S13_PSP_Species_Support!BQ42)^2*(S13_PSP_Species_Support!BR42*(1-EXP(-S13_PSP_Species_Support!BS42*11))^S13_PSP_Species_Support!BT42))^0.976,0)+IFERROR(S13_PSP_Species_Support!BX42*0.0673*(S13_PSP_Species_Support!BY42*(S13_PSP_Species_Support!BZ42*(1-EXP(-S13_PSP_Species_Support!CA42*11))^S13_PSP_Species_Support!CB42)^2*(S13_PSP_Species_Support!CC42*(1-EXP(-S13_PSP_Species_Support!CD42*11))^S13_PSP_Species_Support!CE42))^0.976,0)+IFERROR(S13_PSP_Species_Support!CI42*0.0673*(S13_PSP_Species_Support!CJ42*(S13_PSP_Species_Support!CK42*(1-EXP(-S13_PSP_Species_Support!CL42*11))^S13_PSP_Species_Support!CM42)^2*(S13_PSP_Species_Support!CN42*(1-EXP(-S13_PSP_Species_Support!CO42*11))^S13_PSP_Species_Support!CP42))^0.976,0)+IFERROR(S13_PSP_Species_Support!CT42*0.0673*(S13_PSP_Species_Support!CU42*(S13_PSP_Species_Support!CV42*(1-EXP(-S13_PSP_Species_Support!CW42*11))^S13_PSP_Species_Support!CX42)^2*(S13_PSP_Species_Support!CY42*(1-EXP(-S13_PSP_Species_Support!CZ42*11))^S13_PSP_Species_Support!DA42))^0.976,0))/1000/$G55*T$108,0)</x:f>
        <x:v>3190.2696745260523</x:v>
      </x:c>
      <x:c r="U55" s="147" t="n">
        <x:f aca="0">IFERROR((IFERROR(S13_PSP_Species_Support!U42*0.0673*(S13_PSP_Species_Support!V42*(S13_PSP_Species_Support!W42*(1-EXP(-S13_PSP_Species_Support!X42*12))^S13_PSP_Species_Support!Y42)^2*(S13_PSP_Species_Support!Z42*(1-EXP(-S13_PSP_Species_Support!AA42*12))^S13_PSP_Species_Support!AB42))^0.976,0)+IFERROR(S13_PSP_Species_Support!AF42*0.0673*(S13_PSP_Species_Support!AG42*(S13_PSP_Species_Support!AH42*(1-EXP(-S13_PSP_Species_Support!AI42*12))^S13_PSP_Species_Support!AJ42)^2*(S13_PSP_Species_Support!AK42*(1-EXP(-S13_PSP_Species_Support!AL42*12))^S13_PSP_Species_Support!AM42))^0.976,0)+IFERROR(S13_PSP_Species_Support!AQ42*0.0673*(S13_PSP_Species_Support!AR42*(S13_PSP_Species_Support!AS42*(1-EXP(-S13_PSP_Species_Support!AT42*12))^S13_PSP_Species_Support!AU42)^2*(S13_PSP_Species_Support!AV42*(1-EXP(-S13_PSP_Species_Support!AW42*12))^S13_PSP_Species_Support!AX42))^0.976,0)+IFERROR(S13_PSP_Species_Support!BB42*0.0673*(S13_PSP_Species_Support!BC42*(S13_PSP_Species_Support!BD42*(1-EXP(-S13_PSP_Species_Support!BE42*12))^S13_PSP_Species_Support!BF42)^2*(S13_PSP_Species_Support!BG42*(1-EXP(-S13_PSP_Species_Support!BH42*12))^S13_PSP_Species_Support!BI42))^0.976,0)+IFERROR(S13_PSP_Species_Support!BM42*0.0673*(S13_PSP_Species_Support!BN42*(S13_PSP_Species_Support!BO42*(1-EXP(-S13_PSP_Species_Support!BP42*12))^S13_PSP_Species_Support!BQ42)^2*(S13_PSP_Species_Support!BR42*(1-EXP(-S13_PSP_Species_Support!BS42*12))^S13_PSP_Species_Support!BT42))^0.976,0)+IFERROR(S13_PSP_Species_Support!BX42*0.0673*(S13_PSP_Species_Support!BY42*(S13_PSP_Species_Support!BZ42*(1-EXP(-S13_PSP_Species_Support!CA42*12))^S13_PSP_Species_Support!CB42)^2*(S13_PSP_Species_Support!CC42*(1-EXP(-S13_PSP_Species_Support!CD42*12))^S13_PSP_Species_Support!CE42))^0.976,0)+IFERROR(S13_PSP_Species_Support!CI42*0.0673*(S13_PSP_Species_Support!CJ42*(S13_PSP_Species_Support!CK42*(1-EXP(-S13_PSP_Species_Support!CL42*12))^S13_PSP_Species_Support!CM42)^2*(S13_PSP_Species_Support!CN42*(1-EXP(-S13_PSP_Species_Support!CO42*12))^S13_PSP_Species_Support!CP42))^0.976,0)+IFERROR(S13_PSP_Species_Support!CT42*0.0673*(S13_PSP_Species_Support!CU42*(S13_PSP_Species_Support!CV42*(1-EXP(-S13_PSP_Species_Support!CW42*12))^S13_PSP_Species_Support!CX42)^2*(S13_PSP_Species_Support!CY42*(1-EXP(-S13_PSP_Species_Support!CZ42*12))^S13_PSP_Species_Support!DA42))^0.976,0))/1000/$G55*U$108,0)</x:f>
        <x:v>3538.2960034857183</x:v>
      </x:c>
      <x:c r="V55" s="147" t="n">
        <x:f aca="0">IFERROR((IFERROR(S13_PSP_Species_Support!U42*0.0673*(S13_PSP_Species_Support!V42*(S13_PSP_Species_Support!W42*(1-EXP(-S13_PSP_Species_Support!X42*13))^S13_PSP_Species_Support!Y42)^2*(S13_PSP_Species_Support!Z42*(1-EXP(-S13_PSP_Species_Support!AA42*13))^S13_PSP_Species_Support!AB42))^0.976,0)+IFERROR(S13_PSP_Species_Support!AF42*0.0673*(S13_PSP_Species_Support!AG42*(S13_PSP_Species_Support!AH42*(1-EXP(-S13_PSP_Species_Support!AI42*13))^S13_PSP_Species_Support!AJ42)^2*(S13_PSP_Species_Support!AK42*(1-EXP(-S13_PSP_Species_Support!AL42*13))^S13_PSP_Species_Support!AM42))^0.976,0)+IFERROR(S13_PSP_Species_Support!AQ42*0.0673*(S13_PSP_Species_Support!AR42*(S13_PSP_Species_Support!AS42*(1-EXP(-S13_PSP_Species_Support!AT42*13))^S13_PSP_Species_Support!AU42)^2*(S13_PSP_Species_Support!AV42*(1-EXP(-S13_PSP_Species_Support!AW42*13))^S13_PSP_Species_Support!AX42))^0.976,0)+IFERROR(S13_PSP_Species_Support!BB42*0.0673*(S13_PSP_Species_Support!BC42*(S13_PSP_Species_Support!BD42*(1-EXP(-S13_PSP_Species_Support!BE42*13))^S13_PSP_Species_Support!BF42)^2*(S13_PSP_Species_Support!BG42*(1-EXP(-S13_PSP_Species_Support!BH42*13))^S13_PSP_Species_Support!BI42))^0.976,0)+IFERROR(S13_PSP_Species_Support!BM42*0.0673*(S13_PSP_Species_Support!BN42*(S13_PSP_Species_Support!BO42*(1-EXP(-S13_PSP_Species_Support!BP42*13))^S13_PSP_Species_Support!BQ42)^2*(S13_PSP_Species_Support!BR42*(1-EXP(-S13_PSP_Species_Support!BS42*13))^S13_PSP_Species_Support!BT42))^0.976,0)+IFERROR(S13_PSP_Species_Support!BX42*0.0673*(S13_PSP_Species_Support!BY42*(S13_PSP_Species_Support!BZ42*(1-EXP(-S13_PSP_Species_Support!CA42*13))^S13_PSP_Species_Support!CB42)^2*(S13_PSP_Species_Support!CC42*(1-EXP(-S13_PSP_Species_Support!CD42*13))^S13_PSP_Species_Support!CE42))^0.976,0)+IFERROR(S13_PSP_Species_Support!CI42*0.0673*(S13_PSP_Species_Support!CJ42*(S13_PSP_Species_Support!CK42*(1-EXP(-S13_PSP_Species_Support!CL42*13))^S13_PSP_Species_Support!CM42)^2*(S13_PSP_Species_Support!CN42*(1-EXP(-S13_PSP_Species_Support!CO42*13))^S13_PSP_Species_Support!CP42))^0.976,0)+IFERROR(S13_PSP_Species_Support!CT42*0.0673*(S13_PSP_Species_Support!CU42*(S13_PSP_Species_Support!CV42*(1-EXP(-S13_PSP_Species_Support!CW42*13))^S13_PSP_Species_Support!CX42)^2*(S13_PSP_Species_Support!CY42*(1-EXP(-S13_PSP_Species_Support!CZ42*13))^S13_PSP_Species_Support!DA42))^0.976,0))/1000/$G55*V$108,0)</x:f>
        <x:v>3852.9799122507575</x:v>
      </x:c>
      <x:c r="W55" s="147" t="n">
        <x:f aca="0">IFERROR((IFERROR(S13_PSP_Species_Support!U42*0.0673*(S13_PSP_Species_Support!V42*(S13_PSP_Species_Support!W42*(1-EXP(-S13_PSP_Species_Support!X42*14))^S13_PSP_Species_Support!Y42)^2*(S13_PSP_Species_Support!Z42*(1-EXP(-S13_PSP_Species_Support!AA42*14))^S13_PSP_Species_Support!AB42))^0.976,0)+IFERROR(S13_PSP_Species_Support!AF42*0.0673*(S13_PSP_Species_Support!AG42*(S13_PSP_Species_Support!AH42*(1-EXP(-S13_PSP_Species_Support!AI42*14))^S13_PSP_Species_Support!AJ42)^2*(S13_PSP_Species_Support!AK42*(1-EXP(-S13_PSP_Species_Support!AL42*14))^S13_PSP_Species_Support!AM42))^0.976,0)+IFERROR(S13_PSP_Species_Support!AQ42*0.0673*(S13_PSP_Species_Support!AR42*(S13_PSP_Species_Support!AS42*(1-EXP(-S13_PSP_Species_Support!AT42*14))^S13_PSP_Species_Support!AU42)^2*(S13_PSP_Species_Support!AV42*(1-EXP(-S13_PSP_Species_Support!AW42*14))^S13_PSP_Species_Support!AX42))^0.976,0)+IFERROR(S13_PSP_Species_Support!BB42*0.0673*(S13_PSP_Species_Support!BC42*(S13_PSP_Species_Support!BD42*(1-EXP(-S13_PSP_Species_Support!BE42*14))^S13_PSP_Species_Support!BF42)^2*(S13_PSP_Species_Support!BG42*(1-EXP(-S13_PSP_Species_Support!BH42*14))^S13_PSP_Species_Support!BI42))^0.976,0)+IFERROR(S13_PSP_Species_Support!BM42*0.0673*(S13_PSP_Species_Support!BN42*(S13_PSP_Species_Support!BO42*(1-EXP(-S13_PSP_Species_Support!BP42*14))^S13_PSP_Species_Support!BQ42)^2*(S13_PSP_Species_Support!BR42*(1-EXP(-S13_PSP_Species_Support!BS42*14))^S13_PSP_Species_Support!BT42))^0.976,0)+IFERROR(S13_PSP_Species_Support!BX42*0.0673*(S13_PSP_Species_Support!BY42*(S13_PSP_Species_Support!BZ42*(1-EXP(-S13_PSP_Species_Support!CA42*14))^S13_PSP_Species_Support!CB42)^2*(S13_PSP_Species_Support!CC42*(1-EXP(-S13_PSP_Species_Support!CD42*14))^S13_PSP_Species_Support!CE42))^0.976,0)+IFERROR(S13_PSP_Species_Support!CI42*0.0673*(S13_PSP_Species_Support!CJ42*(S13_PSP_Species_Support!CK42*(1-EXP(-S13_PSP_Species_Support!CL42*14))^S13_PSP_Species_Support!CM42)^2*(S13_PSP_Species_Support!CN42*(1-EXP(-S13_PSP_Species_Support!CO42*14))^S13_PSP_Species_Support!CP42))^0.976,0)+IFERROR(S13_PSP_Species_Support!CT42*0.0673*(S13_PSP_Species_Support!CU42*(S13_PSP_Species_Support!CV42*(1-EXP(-S13_PSP_Species_Support!CW42*14))^S13_PSP_Species_Support!CX42)^2*(S13_PSP_Species_Support!CY42*(1-EXP(-S13_PSP_Species_Support!CZ42*14))^S13_PSP_Species_Support!DA42))^0.976,0))/1000/$G55*W$108,0)</x:f>
        <x:v>4134.198429530971</x:v>
      </x:c>
      <x:c r="X55" s="147" t="n">
        <x:f aca="0">IFERROR((IFERROR(S13_PSP_Species_Support!U42*0.0673*(S13_PSP_Species_Support!V42*(S13_PSP_Species_Support!W42*(1-EXP(-S13_PSP_Species_Support!X42*15))^S13_PSP_Species_Support!Y42)^2*(S13_PSP_Species_Support!Z42*(1-EXP(-S13_PSP_Species_Support!AA42*15))^S13_PSP_Species_Support!AB42))^0.976,0)+IFERROR(S13_PSP_Species_Support!AF42*0.0673*(S13_PSP_Species_Support!AG42*(S13_PSP_Species_Support!AH42*(1-EXP(-S13_PSP_Species_Support!AI42*15))^S13_PSP_Species_Support!AJ42)^2*(S13_PSP_Species_Support!AK42*(1-EXP(-S13_PSP_Species_Support!AL42*15))^S13_PSP_Species_Support!AM42))^0.976,0)+IFERROR(S13_PSP_Species_Support!AQ42*0.0673*(S13_PSP_Species_Support!AR42*(S13_PSP_Species_Support!AS42*(1-EXP(-S13_PSP_Species_Support!AT42*15))^S13_PSP_Species_Support!AU42)^2*(S13_PSP_Species_Support!AV42*(1-EXP(-S13_PSP_Species_Support!AW42*15))^S13_PSP_Species_Support!AX42))^0.976,0)+IFERROR(S13_PSP_Species_Support!BB42*0.0673*(S13_PSP_Species_Support!BC42*(S13_PSP_Species_Support!BD42*(1-EXP(-S13_PSP_Species_Support!BE42*15))^S13_PSP_Species_Support!BF42)^2*(S13_PSP_Species_Support!BG42*(1-EXP(-S13_PSP_Species_Support!BH42*15))^S13_PSP_Species_Support!BI42))^0.976,0)+IFERROR(S13_PSP_Species_Support!BM42*0.0673*(S13_PSP_Species_Support!BN42*(S13_PSP_Species_Support!BO42*(1-EXP(-S13_PSP_Species_Support!BP42*15))^S13_PSP_Species_Support!BQ42)^2*(S13_PSP_Species_Support!BR42*(1-EXP(-S13_PSP_Species_Support!BS42*15))^S13_PSP_Species_Support!BT42))^0.976,0)+IFERROR(S13_PSP_Species_Support!BX42*0.0673*(S13_PSP_Species_Support!BY42*(S13_PSP_Species_Support!BZ42*(1-EXP(-S13_PSP_Species_Support!CA42*15))^S13_PSP_Species_Support!CB42)^2*(S13_PSP_Species_Support!CC42*(1-EXP(-S13_PSP_Species_Support!CD42*15))^S13_PSP_Species_Support!CE42))^0.976,0)+IFERROR(S13_PSP_Species_Support!CI42*0.0673*(S13_PSP_Species_Support!CJ42*(S13_PSP_Species_Support!CK42*(1-EXP(-S13_PSP_Species_Support!CL42*15))^S13_PSP_Species_Support!CM42)^2*(S13_PSP_Species_Support!CN42*(1-EXP(-S13_PSP_Species_Support!CO42*15))^S13_PSP_Species_Support!CP42))^0.976,0)+IFERROR(S13_PSP_Species_Support!CT42*0.0673*(S13_PSP_Species_Support!CU42*(S13_PSP_Species_Support!CV42*(1-EXP(-S13_PSP_Species_Support!CW42*15))^S13_PSP_Species_Support!CX42)^2*(S13_PSP_Species_Support!CY42*(1-EXP(-S13_PSP_Species_Support!CZ42*15))^S13_PSP_Species_Support!DA42))^0.976,0))/1000/$G55*X$108,0)</x:f>
        <x:v>4383.156241957503</x:v>
      </x:c>
      <x:c r="Y55" s="147" t="n">
        <x:f aca="0">IFERROR((IFERROR(S13_PSP_Species_Support!U42*0.0673*(S13_PSP_Species_Support!V42*(S13_PSP_Species_Support!W42*(1-EXP(-S13_PSP_Species_Support!X42*16))^S13_PSP_Species_Support!Y42)^2*(S13_PSP_Species_Support!Z42*(1-EXP(-S13_PSP_Species_Support!AA42*16))^S13_PSP_Species_Support!AB42))^0.976,0)+IFERROR(S13_PSP_Species_Support!AF42*0.0673*(S13_PSP_Species_Support!AG42*(S13_PSP_Species_Support!AH42*(1-EXP(-S13_PSP_Species_Support!AI42*16))^S13_PSP_Species_Support!AJ42)^2*(S13_PSP_Species_Support!AK42*(1-EXP(-S13_PSP_Species_Support!AL42*16))^S13_PSP_Species_Support!AM42))^0.976,0)+IFERROR(S13_PSP_Species_Support!AQ42*0.0673*(S13_PSP_Species_Support!AR42*(S13_PSP_Species_Support!AS42*(1-EXP(-S13_PSP_Species_Support!AT42*16))^S13_PSP_Species_Support!AU42)^2*(S13_PSP_Species_Support!AV42*(1-EXP(-S13_PSP_Species_Support!AW42*16))^S13_PSP_Species_Support!AX42))^0.976,0)+IFERROR(S13_PSP_Species_Support!BB42*0.0673*(S13_PSP_Species_Support!BC42*(S13_PSP_Species_Support!BD42*(1-EXP(-S13_PSP_Species_Support!BE42*16))^S13_PSP_Species_Support!BF42)^2*(S13_PSP_Species_Support!BG42*(1-EXP(-S13_PSP_Species_Support!BH42*16))^S13_PSP_Species_Support!BI42))^0.976,0)+IFERROR(S13_PSP_Species_Support!BM42*0.0673*(S13_PSP_Species_Support!BN42*(S13_PSP_Species_Support!BO42*(1-EXP(-S13_PSP_Species_Support!BP42*16))^S13_PSP_Species_Support!BQ42)^2*(S13_PSP_Species_Support!BR42*(1-EXP(-S13_PSP_Species_Support!BS42*16))^S13_PSP_Species_Support!BT42))^0.976,0)+IFERROR(S13_PSP_Species_Support!BX42*0.0673*(S13_PSP_Species_Support!BY42*(S13_PSP_Species_Support!BZ42*(1-EXP(-S13_PSP_Species_Support!CA42*16))^S13_PSP_Species_Support!CB42)^2*(S13_PSP_Species_Support!CC42*(1-EXP(-S13_PSP_Species_Support!CD42*16))^S13_PSP_Species_Support!CE42))^0.976,0)+IFERROR(S13_PSP_Species_Support!CI42*0.0673*(S13_PSP_Species_Support!CJ42*(S13_PSP_Species_Support!CK42*(1-EXP(-S13_PSP_Species_Support!CL42*16))^S13_PSP_Species_Support!CM42)^2*(S13_PSP_Species_Support!CN42*(1-EXP(-S13_PSP_Species_Support!CO42*16))^S13_PSP_Species_Support!CP42))^0.976,0)+IFERROR(S13_PSP_Species_Support!CT42*0.0673*(S13_PSP_Species_Support!CU42*(S13_PSP_Species_Support!CV42*(1-EXP(-S13_PSP_Species_Support!CW42*16))^S13_PSP_Species_Support!CX42)^2*(S13_PSP_Species_Support!CY42*(1-EXP(-S13_PSP_Species_Support!CZ42*16))^S13_PSP_Species_Support!DA42))^0.976,0))/1000/$G55*Y$108,0)</x:f>
        <x:v>4601.885517072949</x:v>
      </x:c>
      <x:c r="Z55" s="147" t="n">
        <x:f aca="0">IFERROR((IFERROR(S13_PSP_Species_Support!U42*0.0673*(S13_PSP_Species_Support!V42*(S13_PSP_Species_Support!W42*(1-EXP(-S13_PSP_Species_Support!X42*17))^S13_PSP_Species_Support!Y42)^2*(S13_PSP_Species_Support!Z42*(1-EXP(-S13_PSP_Species_Support!AA42*17))^S13_PSP_Species_Support!AB42))^0.976,0)+IFERROR(S13_PSP_Species_Support!AF42*0.0673*(S13_PSP_Species_Support!AG42*(S13_PSP_Species_Support!AH42*(1-EXP(-S13_PSP_Species_Support!AI42*17))^S13_PSP_Species_Support!AJ42)^2*(S13_PSP_Species_Support!AK42*(1-EXP(-S13_PSP_Species_Support!AL42*17))^S13_PSP_Species_Support!AM42))^0.976,0)+IFERROR(S13_PSP_Species_Support!AQ42*0.0673*(S13_PSP_Species_Support!AR42*(S13_PSP_Species_Support!AS42*(1-EXP(-S13_PSP_Species_Support!AT42*17))^S13_PSP_Species_Support!AU42)^2*(S13_PSP_Species_Support!AV42*(1-EXP(-S13_PSP_Species_Support!AW42*17))^S13_PSP_Species_Support!AX42))^0.976,0)+IFERROR(S13_PSP_Species_Support!BB42*0.0673*(S13_PSP_Species_Support!BC42*(S13_PSP_Species_Support!BD42*(1-EXP(-S13_PSP_Species_Support!BE42*17))^S13_PSP_Species_Support!BF42)^2*(S13_PSP_Species_Support!BG42*(1-EXP(-S13_PSP_Species_Support!BH42*17))^S13_PSP_Species_Support!BI42))^0.976,0)+IFERROR(S13_PSP_Species_Support!BM42*0.0673*(S13_PSP_Species_Support!BN42*(S13_PSP_Species_Support!BO42*(1-EXP(-S13_PSP_Species_Support!BP42*17))^S13_PSP_Species_Support!BQ42)^2*(S13_PSP_Species_Support!BR42*(1-EXP(-S13_PSP_Species_Support!BS42*17))^S13_PSP_Species_Support!BT42))^0.976,0)+IFERROR(S13_PSP_Species_Support!BX42*0.0673*(S13_PSP_Species_Support!BY42*(S13_PSP_Species_Support!BZ42*(1-EXP(-S13_PSP_Species_Support!CA42*17))^S13_PSP_Species_Support!CB42)^2*(S13_PSP_Species_Support!CC42*(1-EXP(-S13_PSP_Species_Support!CD42*17))^S13_PSP_Species_Support!CE42))^0.976,0)+IFERROR(S13_PSP_Species_Support!CI42*0.0673*(S13_PSP_Species_Support!CJ42*(S13_PSP_Species_Support!CK42*(1-EXP(-S13_PSP_Species_Support!CL42*17))^S13_PSP_Species_Support!CM42)^2*(S13_PSP_Species_Support!CN42*(1-EXP(-S13_PSP_Species_Support!CO42*17))^S13_PSP_Species_Support!CP42))^0.976,0)+IFERROR(S13_PSP_Species_Support!CT42*0.0673*(S13_PSP_Species_Support!CU42*(S13_PSP_Species_Support!CV42*(1-EXP(-S13_PSP_Species_Support!CW42*17))^S13_PSP_Species_Support!CX42)^2*(S13_PSP_Species_Support!CY42*(1-EXP(-S13_PSP_Species_Support!CZ42*17))^S13_PSP_Species_Support!DA42))^0.976,0))/1000/$G55*Z$108,0)</x:f>
        <x:v>4792.87546642605</x:v>
      </x:c>
      <x:c r="AA55" s="147" t="n">
        <x:f aca="0">IFERROR((IFERROR(S13_PSP_Species_Support!U42*0.0673*(S13_PSP_Species_Support!V42*(S13_PSP_Species_Support!W42*(1-EXP(-S13_PSP_Species_Support!X42*18))^S13_PSP_Species_Support!Y42)^2*(S13_PSP_Species_Support!Z42*(1-EXP(-S13_PSP_Species_Support!AA42*18))^S13_PSP_Species_Support!AB42))^0.976,0)+IFERROR(S13_PSP_Species_Support!AF42*0.0673*(S13_PSP_Species_Support!AG42*(S13_PSP_Species_Support!AH42*(1-EXP(-S13_PSP_Species_Support!AI42*18))^S13_PSP_Species_Support!AJ42)^2*(S13_PSP_Species_Support!AK42*(1-EXP(-S13_PSP_Species_Support!AL42*18))^S13_PSP_Species_Support!AM42))^0.976,0)+IFERROR(S13_PSP_Species_Support!AQ42*0.0673*(S13_PSP_Species_Support!AR42*(S13_PSP_Species_Support!AS42*(1-EXP(-S13_PSP_Species_Support!AT42*18))^S13_PSP_Species_Support!AU42)^2*(S13_PSP_Species_Support!AV42*(1-EXP(-S13_PSP_Species_Support!AW42*18))^S13_PSP_Species_Support!AX42))^0.976,0)+IFERROR(S13_PSP_Species_Support!BB42*0.0673*(S13_PSP_Species_Support!BC42*(S13_PSP_Species_Support!BD42*(1-EXP(-S13_PSP_Species_Support!BE42*18))^S13_PSP_Species_Support!BF42)^2*(S13_PSP_Species_Support!BG42*(1-EXP(-S13_PSP_Species_Support!BH42*18))^S13_PSP_Species_Support!BI42))^0.976,0)+IFERROR(S13_PSP_Species_Support!BM42*0.0673*(S13_PSP_Species_Support!BN42*(S13_PSP_Species_Support!BO42*(1-EXP(-S13_PSP_Species_Support!BP42*18))^S13_PSP_Species_Support!BQ42)^2*(S13_PSP_Species_Support!BR42*(1-EXP(-S13_PSP_Species_Support!BS42*18))^S13_PSP_Species_Support!BT42))^0.976,0)+IFERROR(S13_PSP_Species_Support!BX42*0.0673*(S13_PSP_Species_Support!BY42*(S13_PSP_Species_Support!BZ42*(1-EXP(-S13_PSP_Species_Support!CA42*18))^S13_PSP_Species_Support!CB42)^2*(S13_PSP_Species_Support!CC42*(1-EXP(-S13_PSP_Species_Support!CD42*18))^S13_PSP_Species_Support!CE42))^0.976,0)+IFERROR(S13_PSP_Species_Support!CI42*0.0673*(S13_PSP_Species_Support!CJ42*(S13_PSP_Species_Support!CK42*(1-EXP(-S13_PSP_Species_Support!CL42*18))^S13_PSP_Species_Support!CM42)^2*(S13_PSP_Species_Support!CN42*(1-EXP(-S13_PSP_Species_Support!CO42*18))^S13_PSP_Species_Support!CP42))^0.976,0)+IFERROR(S13_PSP_Species_Support!CT42*0.0673*(S13_PSP_Species_Support!CU42*(S13_PSP_Species_Support!CV42*(1-EXP(-S13_PSP_Species_Support!CW42*18))^S13_PSP_Species_Support!CX42)^2*(S13_PSP_Species_Support!CY42*(1-EXP(-S13_PSP_Species_Support!CZ42*18))^S13_PSP_Species_Support!DA42))^0.976,0))/1000/$G55*AA$108,0)</x:f>
        <x:v>4958.809294979081</x:v>
      </x:c>
      <x:c r="AB55" s="147" t="n">
        <x:f aca="0">IFERROR((IFERROR(S13_PSP_Species_Support!U42*0.0673*(S13_PSP_Species_Support!V42*(S13_PSP_Species_Support!W42*(1-EXP(-S13_PSP_Species_Support!X42*19))^S13_PSP_Species_Support!Y42)^2*(S13_PSP_Species_Support!Z42*(1-EXP(-S13_PSP_Species_Support!AA42*19))^S13_PSP_Species_Support!AB42))^0.976,0)+IFERROR(S13_PSP_Species_Support!AF42*0.0673*(S13_PSP_Species_Support!AG42*(S13_PSP_Species_Support!AH42*(1-EXP(-S13_PSP_Species_Support!AI42*19))^S13_PSP_Species_Support!AJ42)^2*(S13_PSP_Species_Support!AK42*(1-EXP(-S13_PSP_Species_Support!AL42*19))^S13_PSP_Species_Support!AM42))^0.976,0)+IFERROR(S13_PSP_Species_Support!AQ42*0.0673*(S13_PSP_Species_Support!AR42*(S13_PSP_Species_Support!AS42*(1-EXP(-S13_PSP_Species_Support!AT42*19))^S13_PSP_Species_Support!AU42)^2*(S13_PSP_Species_Support!AV42*(1-EXP(-S13_PSP_Species_Support!AW42*19))^S13_PSP_Species_Support!AX42))^0.976,0)+IFERROR(S13_PSP_Species_Support!BB42*0.0673*(S13_PSP_Species_Support!BC42*(S13_PSP_Species_Support!BD42*(1-EXP(-S13_PSP_Species_Support!BE42*19))^S13_PSP_Species_Support!BF42)^2*(S13_PSP_Species_Support!BG42*(1-EXP(-S13_PSP_Species_Support!BH42*19))^S13_PSP_Species_Support!BI42))^0.976,0)+IFERROR(S13_PSP_Species_Support!BM42*0.0673*(S13_PSP_Species_Support!BN42*(S13_PSP_Species_Support!BO42*(1-EXP(-S13_PSP_Species_Support!BP42*19))^S13_PSP_Species_Support!BQ42)^2*(S13_PSP_Species_Support!BR42*(1-EXP(-S13_PSP_Species_Support!BS42*19))^S13_PSP_Species_Support!BT42))^0.976,0)+IFERROR(S13_PSP_Species_Support!BX42*0.0673*(S13_PSP_Species_Support!BY42*(S13_PSP_Species_Support!BZ42*(1-EXP(-S13_PSP_Species_Support!CA42*19))^S13_PSP_Species_Support!CB42)^2*(S13_PSP_Species_Support!CC42*(1-EXP(-S13_PSP_Species_Support!CD42*19))^S13_PSP_Species_Support!CE42))^0.976,0)+IFERROR(S13_PSP_Species_Support!CI42*0.0673*(S13_PSP_Species_Support!CJ42*(S13_PSP_Species_Support!CK42*(1-EXP(-S13_PSP_Species_Support!CL42*19))^S13_PSP_Species_Support!CM42)^2*(S13_PSP_Species_Support!CN42*(1-EXP(-S13_PSP_Species_Support!CO42*19))^S13_PSP_Species_Support!CP42))^0.976,0)+IFERROR(S13_PSP_Species_Support!CT42*0.0673*(S13_PSP_Species_Support!CU42*(S13_PSP_Species_Support!CV42*(1-EXP(-S13_PSP_Species_Support!CW42*19))^S13_PSP_Species_Support!CX42)^2*(S13_PSP_Species_Support!CY42*(1-EXP(-S13_PSP_Species_Support!CZ42*19))^S13_PSP_Species_Support!DA42))^0.976,0))/1000/$G55*AB$108,0)</x:f>
        <x:v>5102.385352258927</x:v>
      </x:c>
      <x:c r="AC55" s="147" t="n">
        <x:f aca="0">IFERROR((IFERROR(S13_PSP_Species_Support!U42*0.0673*(S13_PSP_Species_Support!V42*(S13_PSP_Species_Support!W42*(1-EXP(-S13_PSP_Species_Support!X42*20))^S13_PSP_Species_Support!Y42)^2*(S13_PSP_Species_Support!Z42*(1-EXP(-S13_PSP_Species_Support!AA42*20))^S13_PSP_Species_Support!AB42))^0.976,0)+IFERROR(S13_PSP_Species_Support!AF42*0.0673*(S13_PSP_Species_Support!AG42*(S13_PSP_Species_Support!AH42*(1-EXP(-S13_PSP_Species_Support!AI42*20))^S13_PSP_Species_Support!AJ42)^2*(S13_PSP_Species_Support!AK42*(1-EXP(-S13_PSP_Species_Support!AL42*20))^S13_PSP_Species_Support!AM42))^0.976,0)+IFERROR(S13_PSP_Species_Support!AQ42*0.0673*(S13_PSP_Species_Support!AR42*(S13_PSP_Species_Support!AS42*(1-EXP(-S13_PSP_Species_Support!AT42*20))^S13_PSP_Species_Support!AU42)^2*(S13_PSP_Species_Support!AV42*(1-EXP(-S13_PSP_Species_Support!AW42*20))^S13_PSP_Species_Support!AX42))^0.976,0)+IFERROR(S13_PSP_Species_Support!BB42*0.0673*(S13_PSP_Species_Support!BC42*(S13_PSP_Species_Support!BD42*(1-EXP(-S13_PSP_Species_Support!BE42*20))^S13_PSP_Species_Support!BF42)^2*(S13_PSP_Species_Support!BG42*(1-EXP(-S13_PSP_Species_Support!BH42*20))^S13_PSP_Species_Support!BI42))^0.976,0)+IFERROR(S13_PSP_Species_Support!BM42*0.0673*(S13_PSP_Species_Support!BN42*(S13_PSP_Species_Support!BO42*(1-EXP(-S13_PSP_Species_Support!BP42*20))^S13_PSP_Species_Support!BQ42)^2*(S13_PSP_Species_Support!BR42*(1-EXP(-S13_PSP_Species_Support!BS42*20))^S13_PSP_Species_Support!BT42))^0.976,0)+IFERROR(S13_PSP_Species_Support!BX42*0.0673*(S13_PSP_Species_Support!BY42*(S13_PSP_Species_Support!BZ42*(1-EXP(-S13_PSP_Species_Support!CA42*20))^S13_PSP_Species_Support!CB42)^2*(S13_PSP_Species_Support!CC42*(1-EXP(-S13_PSP_Species_Support!CD42*20))^S13_PSP_Species_Support!CE42))^0.976,0)+IFERROR(S13_PSP_Species_Support!CI42*0.0673*(S13_PSP_Species_Support!CJ42*(S13_PSP_Species_Support!CK42*(1-EXP(-S13_PSP_Species_Support!CL42*20))^S13_PSP_Species_Support!CM42)^2*(S13_PSP_Species_Support!CN42*(1-EXP(-S13_PSP_Species_Support!CO42*20))^S13_PSP_Species_Support!CP42))^0.976,0)+IFERROR(S13_PSP_Species_Support!CT42*0.0673*(S13_PSP_Species_Support!CU42*(S13_PSP_Species_Support!CV42*(1-EXP(-S13_PSP_Species_Support!CW42*20))^S13_PSP_Species_Support!CX42)^2*(S13_PSP_Species_Support!CY42*(1-EXP(-S13_PSP_Species_Support!CZ42*20))^S13_PSP_Species_Support!DA42))^0.976,0))/1000/$G55*AC$108,0)</x:f>
        <x:v>5226.201700719533</x:v>
      </x:c>
      <x:c r="AD55" s="148" t="n">
        <x:f aca="0">IF(2020&lt;$F55,0,INDEX($I55:$AC55,1,2020-$F55+1))</x:f>
        <x:v>0</x:v>
      </x:c>
      <x:c r="AE55" s="148" t="n">
        <x:f aca="0">IF(2021&lt;$F55,0,INDEX($I55:$AC55,1,2021-$F55+1))</x:f>
        <x:v>6.398366509901856</x:v>
      </x:c>
      <x:c r="AF55" s="148" t="n">
        <x:f aca="0">IF(2022&lt;$F55,0,INDEX($I55:$AC55,1,2022-$F55+1))</x:f>
        <x:v>60.43537258690186</x:v>
      </x:c>
      <x:c r="AG55" s="148" t="n">
        <x:f aca="0">IF(2023&lt;$F55,0,INDEX($I55:$AC55,1,2023-$F55+1))</x:f>
        <x:v>200.2059277796654</x:v>
      </x:c>
      <x:c r="AH55" s="148" t="n">
        <x:f aca="0">IF(2024&lt;$F55,0,INDEX($I55:$AC55,1,2024-$F55+1))</x:f>
        <x:v>436.7789443683148</x:v>
      </x:c>
      <x:c r="AI55" s="148" t="n">
        <x:f aca="0">IF(2025&lt;$F55,0,INDEX($I55:$AC55,1,2025-$F55+1))</x:f>
        <x:v>756.8600167501786</x:v>
      </x:c>
      <x:c r="AJ55" s="148" t="n">
        <x:f aca="0">IF(2026&lt;$F55,0,INDEX($I55:$AC55,1,2026-$F55+1))</x:f>
        <x:v>1137.3423528284031</x:v>
      </x:c>
      <x:c r="AK55" s="148" t="n">
        <x:f aca="0">IF(2027&lt;$F55,0,INDEX($I55:$AC55,1,2027-$F55+1))</x:f>
        <x:v>1553.115943812739</x:v>
      </x:c>
      <x:c r="AL55" s="148" t="n">
        <x:f aca="0">IF(2028&lt;$F55,0,INDEX($I55:$AC55,1,2028-$F55+1))</x:f>
        <x:v>1981.7263486973627</x:v>
      </x:c>
      <x:c r="AM55" s="148" t="n">
        <x:f aca="0">IF(2029&lt;$F55,0,INDEX($I55:$AC55,1,2029-$F55+1))</x:f>
        <x:v>2405.324304670489</x:v>
      </x:c>
      <x:c r="AN55" s="148" t="n">
        <x:f aca="0">IF(2030&lt;$F55,0,INDEX($I55:$AC55,1,2030-$F55+1))</x:f>
        <x:v>2810.9960111319497</x:v>
      </x:c>
      <x:c r="AO55" s="148" t="n">
        <x:f aca="0">IF(2031&lt;$F55,0,INDEX($I55:$AC55,1,2031-$F55+1))</x:f>
        <x:v>3190.2696745260523</x:v>
      </x:c>
      <x:c r="AP55" s="148" t="n">
        <x:f aca="0">IF(2032&lt;$F55,0,INDEX($I55:$AC55,1,2032-$F55+1))</x:f>
        <x:v>3538.2960034857183</x:v>
      </x:c>
      <x:c r="AQ55" s="148" t="n">
        <x:f aca="0">IF(2033&lt;$F55,0,INDEX($I55:$AC55,1,2033-$F55+1))</x:f>
        <x:v>3852.9799122507575</x:v>
      </x:c>
      <x:c r="AR55" s="148" t="n">
        <x:f aca="0">IF(2034&lt;$F55,0,INDEX($I55:$AC55,1,2034-$F55+1))</x:f>
        <x:v>4134.198429530971</x:v>
      </x:c>
      <x:c r="AS55" s="148" t="n">
        <x:f aca="0">IF(2035&lt;$F55,0,INDEX($I55:$AC55,1,2035-$F55+1))</x:f>
        <x:v>4383.156241957503</x:v>
      </x:c>
      <x:c r="AT55" s="148" t="n">
        <x:f aca="0">IF(2036&lt;$F55,0,INDEX($I55:$AC55,1,2036-$F55+1))</x:f>
        <x:v>4601.885517072949</x:v>
      </x:c>
      <x:c r="AU55" s="148" t="n">
        <x:f aca="0">IF(2037&lt;$F55,0,INDEX($I55:$AC55,1,2037-$F55+1))</x:f>
        <x:v>4792.87546642605</x:v>
      </x:c>
      <x:c r="AV55" s="148" t="n">
        <x:f aca="0">IF(2038&lt;$F55,0,INDEX($I55:$AC55,1,2038-$F55+1))</x:f>
        <x:v>4958.809294979081</x:v>
      </x:c>
      <x:c r="AW55" s="148" t="n">
        <x:f aca="0">IF(2039&lt;$F55,0,INDEX($I55:$AC55,1,2039-$F55+1))</x:f>
        <x:v>5102.385352258927</x:v>
      </x:c>
      <x:c r="AX55" s="148" t="n">
        <x:f aca="0">IF(2040&lt;$F55,0,INDEX($I55:$AC55,1,2040-$F55+1))</x:f>
        <x:v>5226.201700719533</x:v>
      </x:c>
      <x:c r="AY55" s="1" t="str">
        <x:f aca="0">LEFT($C55,FIND("@",SUBSTITUTE($C55,"|","@",2))-1)</x:f>
        <x:v>Timber Plantation|High</x:v>
      </x:c>
      <x:c r="AZ55" s="1" t="str">
        <x:f aca="0">LEFT($C55,FIND("|",$C55)-1)</x:f>
        <x:v>Timber Plantation</x:v>
      </x:c>
      <x:c r="BA55" s="149" t="n">
        <x:f aca="0">I55*I55</x:f>
        <x:v>0</x:v>
      </x:c>
      <x:c r="BB55" s="149" t="n">
        <x:f aca="0">J55*J55</x:f>
        <x:v>40.93909399503366</x:v>
      </x:c>
      <x:c r="BC55" s="149" t="n">
        <x:f aca="0">K55*K55</x:f>
        <x:v>3652.434259717649</x:v>
      </x:c>
      <x:c r="BD55" s="149" t="n">
        <x:f aca="0">L55*L55</x:f>
        <x:v>40082.41351811659</x:v>
      </x:c>
      <x:c r="BE55" s="149" t="n">
        <x:f aca="0">M55*M55</x:f>
        <x:v>190775.84624349943</x:v>
      </x:c>
      <x:c r="BF55" s="149" t="n">
        <x:f aca="0">N55*N55</x:f>
        <x:v>572837.0849550806</x:v>
      </x:c>
      <x:c r="BG55" s="149" t="n">
        <x:f aca="0">O55*O55</x:f>
        <x:v>1293547.627537248</x:v>
      </x:c>
      <x:c r="BH55" s="149" t="n">
        <x:f aca="0">P55*P55</x:f>
        <x:v>2412169.134925335</x:v>
      </x:c>
      <x:c r="BI55" s="149" t="n">
        <x:f aca="0">Q55*Q55</x:f>
        <x:v>3927239.321121381</x:v>
      </x:c>
      <x:c r="BJ55" s="149" t="n">
        <x:f aca="0">R55*R55</x:f>
        <x:v>5785585.01063857</x:v>
      </x:c>
      <x:c r="BK55" s="149" t="n">
        <x:f aca="0">S55*S55</x:f>
        <x:v>7901698.574599732</x:v>
      </x:c>
      <x:c r="BL55" s="149" t="n">
        <x:f aca="0">T55*T55</x:f>
        <x:v>10177820.596200563</x:v>
      </x:c>
      <x:c r="BM55" s="149" t="n">
        <x:f aca="0">U55*U55</x:f>
        <x:v>12519538.608283006</x:v>
      </x:c>
      <x:c r="BN55" s="149" t="n">
        <x:f aca="0">V55*V55</x:f>
        <x:v>14845454.204207854</x:v>
      </x:c>
      <x:c r="BO55" s="149" t="n">
        <x:f aca="0">W55*W55</x:f>
        <x:v>17091596.654736347</x:v>
      </x:c>
      <x:c r="BP55" s="149" t="n">
        <x:f aca="0">X55*X55</x:f>
        <x:v>19212058.64141102</x:v>
      </x:c>
      <x:c r="BQ55" s="149" t="n">
        <x:f aca="0">Y55*Y55</x:f>
        <x:v>21177350.312245768</x:v>
      </x:c>
      <x:c r="BR55" s="149" t="n">
        <x:f aca="0">Z55*Z55</x:f>
        <x:v>22971655.23666872</x:v>
      </x:c>
      <x:c r="BS55" s="149" t="n">
        <x:f aca="0">AA55*AA55</x:f>
        <x:v>24589789.62397093</x:v>
      </x:c>
      <x:c r="BT55" s="149" t="n">
        <x:f aca="0">AB55*AB55</x:f>
        <x:v>26034336.282946456</x:v>
      </x:c>
      <x:c r="BU55" s="149" t="n">
        <x:f aca="0">AC55*AC55</x:f>
        <x:v>27313184.216603737</x:v>
      </x:c>
    </x:row>
    <x:row r="56" ht="15" hidden="0" customHeight="1">
      <x:c r="A56" s="1" t="str">
        <x:f aca="0">S13_PSP_Species_Support!A43</x:f>
        <x:v>PSP-TP-002</x:v>
      </x:c>
      <x:c r="B56" s="1" t="n">
        <x:f aca="0">43</x:f>
        <x:v>43</x:v>
      </x:c>
      <x:c r="C56" s="1" t="str">
        <x:f aca="0">S13_PSP_Species_Support!I43</x:f>
        <x:v>Timber Plantation|High|2020</x:v>
      </x:c>
      <x:c r="D56" s="1" t="str">
        <x:f aca="0">S13_PSP_Species_Support!C43</x:f>
        <x:v>Timber Plantation</x:v>
      </x:c>
      <x:c r="E56" s="1" t="str">
        <x:f aca="0">S13_PSP_Species_Support!D43</x:f>
        <x:v>High</x:v>
      </x:c>
      <x:c r="F56" s="1" t="n">
        <x:f aca="0">S13_PSP_Species_Support!E43</x:f>
        <x:v>2020</x:v>
      </x:c>
      <x:c r="G56" s="645" t="n">
        <x:f aca="0">'S13_PSP_Species_Support'!DJ43</x:f>
        <x:v>0.09</x:v>
      </x:c>
      <x:c r="H56" s="714" t="n">
        <x:f aca="0">'S13_PSP_Species_Support'!DK43</x:f>
        <x:v>195.53072625698326</x:v>
      </x:c>
      <x:c r="I56" s="147" t="n">
        <x:f aca="0">IFERROR((IFERROR(S13_PSP_Species_Support!U43*0.0673*(S13_PSP_Species_Support!V43*(S13_PSP_Species_Support!W43*(1-EXP(-S13_PSP_Species_Support!X43*0))^S13_PSP_Species_Support!Y43)^2*(S13_PSP_Species_Support!Z43*(1-EXP(-S13_PSP_Species_Support!AA43*0))^S13_PSP_Species_Support!AB43))^0.976,0)+IFERROR(S13_PSP_Species_Support!AF43*0.0673*(S13_PSP_Species_Support!AG43*(S13_PSP_Species_Support!AH43*(1-EXP(-S13_PSP_Species_Support!AI43*0))^S13_PSP_Species_Support!AJ43)^2*(S13_PSP_Species_Support!AK43*(1-EXP(-S13_PSP_Species_Support!AL43*0))^S13_PSP_Species_Support!AM43))^0.976,0)+IFERROR(S13_PSP_Species_Support!AQ43*0.0673*(S13_PSP_Species_Support!AR43*(S13_PSP_Species_Support!AS43*(1-EXP(-S13_PSP_Species_Support!AT43*0))^S13_PSP_Species_Support!AU43)^2*(S13_PSP_Species_Support!AV43*(1-EXP(-S13_PSP_Species_Support!AW43*0))^S13_PSP_Species_Support!AX43))^0.976,0)+IFERROR(S13_PSP_Species_Support!BB43*0.0673*(S13_PSP_Species_Support!BC43*(S13_PSP_Species_Support!BD43*(1-EXP(-S13_PSP_Species_Support!BE43*0))^S13_PSP_Species_Support!BF43)^2*(S13_PSP_Species_Support!BG43*(1-EXP(-S13_PSP_Species_Support!BH43*0))^S13_PSP_Species_Support!BI43))^0.976,0)+IFERROR(S13_PSP_Species_Support!BM43*0.0673*(S13_PSP_Species_Support!BN43*(S13_PSP_Species_Support!BO43*(1-EXP(-S13_PSP_Species_Support!BP43*0))^S13_PSP_Species_Support!BQ43)^2*(S13_PSP_Species_Support!BR43*(1-EXP(-S13_PSP_Species_Support!BS43*0))^S13_PSP_Species_Support!BT43))^0.976,0)+IFERROR(S13_PSP_Species_Support!BX43*0.0673*(S13_PSP_Species_Support!BY43*(S13_PSP_Species_Support!BZ43*(1-EXP(-S13_PSP_Species_Support!CA43*0))^S13_PSP_Species_Support!CB43)^2*(S13_PSP_Species_Support!CC43*(1-EXP(-S13_PSP_Species_Support!CD43*0))^S13_PSP_Species_Support!CE43))^0.976,0)+IFERROR(S13_PSP_Species_Support!CI43*0.0673*(S13_PSP_Species_Support!CJ43*(S13_PSP_Species_Support!CK43*(1-EXP(-S13_PSP_Species_Support!CL43*0))^S13_PSP_Species_Support!CM43)^2*(S13_PSP_Species_Support!CN43*(1-EXP(-S13_PSP_Species_Support!CO43*0))^S13_PSP_Species_Support!CP43))^0.976,0)+IFERROR(S13_PSP_Species_Support!CT43*0.0673*(S13_PSP_Species_Support!CU43*(S13_PSP_Species_Support!CV43*(1-EXP(-S13_PSP_Species_Support!CW43*0))^S13_PSP_Species_Support!CX43)^2*(S13_PSP_Species_Support!CY43*(1-EXP(-S13_PSP_Species_Support!CZ43*0))^S13_PSP_Species_Support!DA43))^0.976,0))/1000/$G56*I$108,0)</x:f>
        <x:v>0</x:v>
      </x:c>
      <x:c r="J56" s="147" t="n">
        <x:f aca="0">IFERROR((IFERROR(S13_PSP_Species_Support!U43*0.0673*(S13_PSP_Species_Support!V43*(S13_PSP_Species_Support!W43*(1-EXP(-S13_PSP_Species_Support!X43*1))^S13_PSP_Species_Support!Y43)^2*(S13_PSP_Species_Support!Z43*(1-EXP(-S13_PSP_Species_Support!AA43*1))^S13_PSP_Species_Support!AB43))^0.976,0)+IFERROR(S13_PSP_Species_Support!AF43*0.0673*(S13_PSP_Species_Support!AG43*(S13_PSP_Species_Support!AH43*(1-EXP(-S13_PSP_Species_Support!AI43*1))^S13_PSP_Species_Support!AJ43)^2*(S13_PSP_Species_Support!AK43*(1-EXP(-S13_PSP_Species_Support!AL43*1))^S13_PSP_Species_Support!AM43))^0.976,0)+IFERROR(S13_PSP_Species_Support!AQ43*0.0673*(S13_PSP_Species_Support!AR43*(S13_PSP_Species_Support!AS43*(1-EXP(-S13_PSP_Species_Support!AT43*1))^S13_PSP_Species_Support!AU43)^2*(S13_PSP_Species_Support!AV43*(1-EXP(-S13_PSP_Species_Support!AW43*1))^S13_PSP_Species_Support!AX43))^0.976,0)+IFERROR(S13_PSP_Species_Support!BB43*0.0673*(S13_PSP_Species_Support!BC43*(S13_PSP_Species_Support!BD43*(1-EXP(-S13_PSP_Species_Support!BE43*1))^S13_PSP_Species_Support!BF43)^2*(S13_PSP_Species_Support!BG43*(1-EXP(-S13_PSP_Species_Support!BH43*1))^S13_PSP_Species_Support!BI43))^0.976,0)+IFERROR(S13_PSP_Species_Support!BM43*0.0673*(S13_PSP_Species_Support!BN43*(S13_PSP_Species_Support!BO43*(1-EXP(-S13_PSP_Species_Support!BP43*1))^S13_PSP_Species_Support!BQ43)^2*(S13_PSP_Species_Support!BR43*(1-EXP(-S13_PSP_Species_Support!BS43*1))^S13_PSP_Species_Support!BT43))^0.976,0)+IFERROR(S13_PSP_Species_Support!BX43*0.0673*(S13_PSP_Species_Support!BY43*(S13_PSP_Species_Support!BZ43*(1-EXP(-S13_PSP_Species_Support!CA43*1))^S13_PSP_Species_Support!CB43)^2*(S13_PSP_Species_Support!CC43*(1-EXP(-S13_PSP_Species_Support!CD43*1))^S13_PSP_Species_Support!CE43))^0.976,0)+IFERROR(S13_PSP_Species_Support!CI43*0.0673*(S13_PSP_Species_Support!CJ43*(S13_PSP_Species_Support!CK43*(1-EXP(-S13_PSP_Species_Support!CL43*1))^S13_PSP_Species_Support!CM43)^2*(S13_PSP_Species_Support!CN43*(1-EXP(-S13_PSP_Species_Support!CO43*1))^S13_PSP_Species_Support!CP43))^0.976,0)+IFERROR(S13_PSP_Species_Support!CT43*0.0673*(S13_PSP_Species_Support!CU43*(S13_PSP_Species_Support!CV43*(1-EXP(-S13_PSP_Species_Support!CW43*1))^S13_PSP_Species_Support!CX43)^2*(S13_PSP_Species_Support!CY43*(1-EXP(-S13_PSP_Species_Support!CZ43*1))^S13_PSP_Species_Support!DA43))^0.976,0))/1000/$G56*J$108,0)</x:f>
        <x:v>0.04102442173026943</x:v>
      </x:c>
      <x:c r="K56" s="147" t="n">
        <x:f aca="0">IFERROR((IFERROR(S13_PSP_Species_Support!U43*0.0673*(S13_PSP_Species_Support!V43*(S13_PSP_Species_Support!W43*(1-EXP(-S13_PSP_Species_Support!X43*2))^S13_PSP_Species_Support!Y43)^2*(S13_PSP_Species_Support!Z43*(1-EXP(-S13_PSP_Species_Support!AA43*2))^S13_PSP_Species_Support!AB43))^0.976,0)+IFERROR(S13_PSP_Species_Support!AF43*0.0673*(S13_PSP_Species_Support!AG43*(S13_PSP_Species_Support!AH43*(1-EXP(-S13_PSP_Species_Support!AI43*2))^S13_PSP_Species_Support!AJ43)^2*(S13_PSP_Species_Support!AK43*(1-EXP(-S13_PSP_Species_Support!AL43*2))^S13_PSP_Species_Support!AM43))^0.976,0)+IFERROR(S13_PSP_Species_Support!AQ43*0.0673*(S13_PSP_Species_Support!AR43*(S13_PSP_Species_Support!AS43*(1-EXP(-S13_PSP_Species_Support!AT43*2))^S13_PSP_Species_Support!AU43)^2*(S13_PSP_Species_Support!AV43*(1-EXP(-S13_PSP_Species_Support!AW43*2))^S13_PSP_Species_Support!AX43))^0.976,0)+IFERROR(S13_PSP_Species_Support!BB43*0.0673*(S13_PSP_Species_Support!BC43*(S13_PSP_Species_Support!BD43*(1-EXP(-S13_PSP_Species_Support!BE43*2))^S13_PSP_Species_Support!BF43)^2*(S13_PSP_Species_Support!BG43*(1-EXP(-S13_PSP_Species_Support!BH43*2))^S13_PSP_Species_Support!BI43))^0.976,0)+IFERROR(S13_PSP_Species_Support!BM43*0.0673*(S13_PSP_Species_Support!BN43*(S13_PSP_Species_Support!BO43*(1-EXP(-S13_PSP_Species_Support!BP43*2))^S13_PSP_Species_Support!BQ43)^2*(S13_PSP_Species_Support!BR43*(1-EXP(-S13_PSP_Species_Support!BS43*2))^S13_PSP_Species_Support!BT43))^0.976,0)+IFERROR(S13_PSP_Species_Support!BX43*0.0673*(S13_PSP_Species_Support!BY43*(S13_PSP_Species_Support!BZ43*(1-EXP(-S13_PSP_Species_Support!CA43*2))^S13_PSP_Species_Support!CB43)^2*(S13_PSP_Species_Support!CC43*(1-EXP(-S13_PSP_Species_Support!CD43*2))^S13_PSP_Species_Support!CE43))^0.976,0)+IFERROR(S13_PSP_Species_Support!CI43*0.0673*(S13_PSP_Species_Support!CJ43*(S13_PSP_Species_Support!CK43*(1-EXP(-S13_PSP_Species_Support!CL43*2))^S13_PSP_Species_Support!CM43)^2*(S13_PSP_Species_Support!CN43*(1-EXP(-S13_PSP_Species_Support!CO43*2))^S13_PSP_Species_Support!CP43))^0.976,0)+IFERROR(S13_PSP_Species_Support!CT43*0.0673*(S13_PSP_Species_Support!CU43*(S13_PSP_Species_Support!CV43*(1-EXP(-S13_PSP_Species_Support!CW43*2))^S13_PSP_Species_Support!CX43)^2*(S13_PSP_Species_Support!CY43*(1-EXP(-S13_PSP_Species_Support!CZ43*2))^S13_PSP_Species_Support!DA43))^0.976,0))/1000/$G56*K$108,0)</x:f>
        <x:v>0.623638898058351</x:v>
      </x:c>
      <x:c r="L56" s="147" t="n">
        <x:f aca="0">IFERROR((IFERROR(S13_PSP_Species_Support!U43*0.0673*(S13_PSP_Species_Support!V43*(S13_PSP_Species_Support!W43*(1-EXP(-S13_PSP_Species_Support!X43*3))^S13_PSP_Species_Support!Y43)^2*(S13_PSP_Species_Support!Z43*(1-EXP(-S13_PSP_Species_Support!AA43*3))^S13_PSP_Species_Support!AB43))^0.976,0)+IFERROR(S13_PSP_Species_Support!AF43*0.0673*(S13_PSP_Species_Support!AG43*(S13_PSP_Species_Support!AH43*(1-EXP(-S13_PSP_Species_Support!AI43*3))^S13_PSP_Species_Support!AJ43)^2*(S13_PSP_Species_Support!AK43*(1-EXP(-S13_PSP_Species_Support!AL43*3))^S13_PSP_Species_Support!AM43))^0.976,0)+IFERROR(S13_PSP_Species_Support!AQ43*0.0673*(S13_PSP_Species_Support!AR43*(S13_PSP_Species_Support!AS43*(1-EXP(-S13_PSP_Species_Support!AT43*3))^S13_PSP_Species_Support!AU43)^2*(S13_PSP_Species_Support!AV43*(1-EXP(-S13_PSP_Species_Support!AW43*3))^S13_PSP_Species_Support!AX43))^0.976,0)+IFERROR(S13_PSP_Species_Support!BB43*0.0673*(S13_PSP_Species_Support!BC43*(S13_PSP_Species_Support!BD43*(1-EXP(-S13_PSP_Species_Support!BE43*3))^S13_PSP_Species_Support!BF43)^2*(S13_PSP_Species_Support!BG43*(1-EXP(-S13_PSP_Species_Support!BH43*3))^S13_PSP_Species_Support!BI43))^0.976,0)+IFERROR(S13_PSP_Species_Support!BM43*0.0673*(S13_PSP_Species_Support!BN43*(S13_PSP_Species_Support!BO43*(1-EXP(-S13_PSP_Species_Support!BP43*3))^S13_PSP_Species_Support!BQ43)^2*(S13_PSP_Species_Support!BR43*(1-EXP(-S13_PSP_Species_Support!BS43*3))^S13_PSP_Species_Support!BT43))^0.976,0)+IFERROR(S13_PSP_Species_Support!BX43*0.0673*(S13_PSP_Species_Support!BY43*(S13_PSP_Species_Support!BZ43*(1-EXP(-S13_PSP_Species_Support!CA43*3))^S13_PSP_Species_Support!CB43)^2*(S13_PSP_Species_Support!CC43*(1-EXP(-S13_PSP_Species_Support!CD43*3))^S13_PSP_Species_Support!CE43))^0.976,0)+IFERROR(S13_PSP_Species_Support!CI43*0.0673*(S13_PSP_Species_Support!CJ43*(S13_PSP_Species_Support!CK43*(1-EXP(-S13_PSP_Species_Support!CL43*3))^S13_PSP_Species_Support!CM43)^2*(S13_PSP_Species_Support!CN43*(1-EXP(-S13_PSP_Species_Support!CO43*3))^S13_PSP_Species_Support!CP43))^0.976,0)+IFERROR(S13_PSP_Species_Support!CT43*0.0673*(S13_PSP_Species_Support!CU43*(S13_PSP_Species_Support!CV43*(1-EXP(-S13_PSP_Species_Support!CW43*3))^S13_PSP_Species_Support!CX43)^2*(S13_PSP_Species_Support!CY43*(1-EXP(-S13_PSP_Species_Support!CZ43*3))^S13_PSP_Species_Support!DA43))^0.976,0))/1000/$G56*L$108,0)</x:f>
        <x:v>2.7971703498012324</x:v>
      </x:c>
      <x:c r="M56" s="147" t="n">
        <x:f aca="0">IFERROR((IFERROR(S13_PSP_Species_Support!U43*0.0673*(S13_PSP_Species_Support!V43*(S13_PSP_Species_Support!W43*(1-EXP(-S13_PSP_Species_Support!X43*4))^S13_PSP_Species_Support!Y43)^2*(S13_PSP_Species_Support!Z43*(1-EXP(-S13_PSP_Species_Support!AA43*4))^S13_PSP_Species_Support!AB43))^0.976,0)+IFERROR(S13_PSP_Species_Support!AF43*0.0673*(S13_PSP_Species_Support!AG43*(S13_PSP_Species_Support!AH43*(1-EXP(-S13_PSP_Species_Support!AI43*4))^S13_PSP_Species_Support!AJ43)^2*(S13_PSP_Species_Support!AK43*(1-EXP(-S13_PSP_Species_Support!AL43*4))^S13_PSP_Species_Support!AM43))^0.976,0)+IFERROR(S13_PSP_Species_Support!AQ43*0.0673*(S13_PSP_Species_Support!AR43*(S13_PSP_Species_Support!AS43*(1-EXP(-S13_PSP_Species_Support!AT43*4))^S13_PSP_Species_Support!AU43)^2*(S13_PSP_Species_Support!AV43*(1-EXP(-S13_PSP_Species_Support!AW43*4))^S13_PSP_Species_Support!AX43))^0.976,0)+IFERROR(S13_PSP_Species_Support!BB43*0.0673*(S13_PSP_Species_Support!BC43*(S13_PSP_Species_Support!BD43*(1-EXP(-S13_PSP_Species_Support!BE43*4))^S13_PSP_Species_Support!BF43)^2*(S13_PSP_Species_Support!BG43*(1-EXP(-S13_PSP_Species_Support!BH43*4))^S13_PSP_Species_Support!BI43))^0.976,0)+IFERROR(S13_PSP_Species_Support!BM43*0.0673*(S13_PSP_Species_Support!BN43*(S13_PSP_Species_Support!BO43*(1-EXP(-S13_PSP_Species_Support!BP43*4))^S13_PSP_Species_Support!BQ43)^2*(S13_PSP_Species_Support!BR43*(1-EXP(-S13_PSP_Species_Support!BS43*4))^S13_PSP_Species_Support!BT43))^0.976,0)+IFERROR(S13_PSP_Species_Support!BX43*0.0673*(S13_PSP_Species_Support!BY43*(S13_PSP_Species_Support!BZ43*(1-EXP(-S13_PSP_Species_Support!CA43*4))^S13_PSP_Species_Support!CB43)^2*(S13_PSP_Species_Support!CC43*(1-EXP(-S13_PSP_Species_Support!CD43*4))^S13_PSP_Species_Support!CE43))^0.976,0)+IFERROR(S13_PSP_Species_Support!CI43*0.0673*(S13_PSP_Species_Support!CJ43*(S13_PSP_Species_Support!CK43*(1-EXP(-S13_PSP_Species_Support!CL43*4))^S13_PSP_Species_Support!CM43)^2*(S13_PSP_Species_Support!CN43*(1-EXP(-S13_PSP_Species_Support!CO43*4))^S13_PSP_Species_Support!CP43))^0.976,0)+IFERROR(S13_PSP_Species_Support!CT43*0.0673*(S13_PSP_Species_Support!CU43*(S13_PSP_Species_Support!CV43*(1-EXP(-S13_PSP_Species_Support!CW43*4))^S13_PSP_Species_Support!CX43)^2*(S13_PSP_Species_Support!CY43*(1-EXP(-S13_PSP_Species_Support!CZ43*4))^S13_PSP_Species_Support!DA43))^0.976,0))/1000/$G56*M$108,0)</x:f>
        <x:v>7.677423570967299</x:v>
      </x:c>
      <x:c r="N56" s="147" t="n">
        <x:f aca="0">IFERROR((IFERROR(S13_PSP_Species_Support!U43*0.0673*(S13_PSP_Species_Support!V43*(S13_PSP_Species_Support!W43*(1-EXP(-S13_PSP_Species_Support!X43*5))^S13_PSP_Species_Support!Y43)^2*(S13_PSP_Species_Support!Z43*(1-EXP(-S13_PSP_Species_Support!AA43*5))^S13_PSP_Species_Support!AB43))^0.976,0)+IFERROR(S13_PSP_Species_Support!AF43*0.0673*(S13_PSP_Species_Support!AG43*(S13_PSP_Species_Support!AH43*(1-EXP(-S13_PSP_Species_Support!AI43*5))^S13_PSP_Species_Support!AJ43)^2*(S13_PSP_Species_Support!AK43*(1-EXP(-S13_PSP_Species_Support!AL43*5))^S13_PSP_Species_Support!AM43))^0.976,0)+IFERROR(S13_PSP_Species_Support!AQ43*0.0673*(S13_PSP_Species_Support!AR43*(S13_PSP_Species_Support!AS43*(1-EXP(-S13_PSP_Species_Support!AT43*5))^S13_PSP_Species_Support!AU43)^2*(S13_PSP_Species_Support!AV43*(1-EXP(-S13_PSP_Species_Support!AW43*5))^S13_PSP_Species_Support!AX43))^0.976,0)+IFERROR(S13_PSP_Species_Support!BB43*0.0673*(S13_PSP_Species_Support!BC43*(S13_PSP_Species_Support!BD43*(1-EXP(-S13_PSP_Species_Support!BE43*5))^S13_PSP_Species_Support!BF43)^2*(S13_PSP_Species_Support!BG43*(1-EXP(-S13_PSP_Species_Support!BH43*5))^S13_PSP_Species_Support!BI43))^0.976,0)+IFERROR(S13_PSP_Species_Support!BM43*0.0673*(S13_PSP_Species_Support!BN43*(S13_PSP_Species_Support!BO43*(1-EXP(-S13_PSP_Species_Support!BP43*5))^S13_PSP_Species_Support!BQ43)^2*(S13_PSP_Species_Support!BR43*(1-EXP(-S13_PSP_Species_Support!BS43*5))^S13_PSP_Species_Support!BT43))^0.976,0)+IFERROR(S13_PSP_Species_Support!BX43*0.0673*(S13_PSP_Species_Support!BY43*(S13_PSP_Species_Support!BZ43*(1-EXP(-S13_PSP_Species_Support!CA43*5))^S13_PSP_Species_Support!CB43)^2*(S13_PSP_Species_Support!CC43*(1-EXP(-S13_PSP_Species_Support!CD43*5))^S13_PSP_Species_Support!CE43))^0.976,0)+IFERROR(S13_PSP_Species_Support!CI43*0.0673*(S13_PSP_Species_Support!CJ43*(S13_PSP_Species_Support!CK43*(1-EXP(-S13_PSP_Species_Support!CL43*5))^S13_PSP_Species_Support!CM43)^2*(S13_PSP_Species_Support!CN43*(1-EXP(-S13_PSP_Species_Support!CO43*5))^S13_PSP_Species_Support!CP43))^0.976,0)+IFERROR(S13_PSP_Species_Support!CT43*0.0673*(S13_PSP_Species_Support!CU43*(S13_PSP_Species_Support!CV43*(1-EXP(-S13_PSP_Species_Support!CW43*5))^S13_PSP_Species_Support!CX43)^2*(S13_PSP_Species_Support!CY43*(1-EXP(-S13_PSP_Species_Support!CZ43*5))^S13_PSP_Species_Support!DA43))^0.976,0))/1000/$G56*N$108,0)</x:f>
        <x:v>16.04540935752507</x:v>
      </x:c>
      <x:c r="O56" s="147" t="n">
        <x:f aca="0">IFERROR((IFERROR(S13_PSP_Species_Support!U43*0.0673*(S13_PSP_Species_Support!V43*(S13_PSP_Species_Support!W43*(1-EXP(-S13_PSP_Species_Support!X43*6))^S13_PSP_Species_Support!Y43)^2*(S13_PSP_Species_Support!Z43*(1-EXP(-S13_PSP_Species_Support!AA43*6))^S13_PSP_Species_Support!AB43))^0.976,0)+IFERROR(S13_PSP_Species_Support!AF43*0.0673*(S13_PSP_Species_Support!AG43*(S13_PSP_Species_Support!AH43*(1-EXP(-S13_PSP_Species_Support!AI43*6))^S13_PSP_Species_Support!AJ43)^2*(S13_PSP_Species_Support!AK43*(1-EXP(-S13_PSP_Species_Support!AL43*6))^S13_PSP_Species_Support!AM43))^0.976,0)+IFERROR(S13_PSP_Species_Support!AQ43*0.0673*(S13_PSP_Species_Support!AR43*(S13_PSP_Species_Support!AS43*(1-EXP(-S13_PSP_Species_Support!AT43*6))^S13_PSP_Species_Support!AU43)^2*(S13_PSP_Species_Support!AV43*(1-EXP(-S13_PSP_Species_Support!AW43*6))^S13_PSP_Species_Support!AX43))^0.976,0)+IFERROR(S13_PSP_Species_Support!BB43*0.0673*(S13_PSP_Species_Support!BC43*(S13_PSP_Species_Support!BD43*(1-EXP(-S13_PSP_Species_Support!BE43*6))^S13_PSP_Species_Support!BF43)^2*(S13_PSP_Species_Support!BG43*(1-EXP(-S13_PSP_Species_Support!BH43*6))^S13_PSP_Species_Support!BI43))^0.976,0)+IFERROR(S13_PSP_Species_Support!BM43*0.0673*(S13_PSP_Species_Support!BN43*(S13_PSP_Species_Support!BO43*(1-EXP(-S13_PSP_Species_Support!BP43*6))^S13_PSP_Species_Support!BQ43)^2*(S13_PSP_Species_Support!BR43*(1-EXP(-S13_PSP_Species_Support!BS43*6))^S13_PSP_Species_Support!BT43))^0.976,0)+IFERROR(S13_PSP_Species_Support!BX43*0.0673*(S13_PSP_Species_Support!BY43*(S13_PSP_Species_Support!BZ43*(1-EXP(-S13_PSP_Species_Support!CA43*6))^S13_PSP_Species_Support!CB43)^2*(S13_PSP_Species_Support!CC43*(1-EXP(-S13_PSP_Species_Support!CD43*6))^S13_PSP_Species_Support!CE43))^0.976,0)+IFERROR(S13_PSP_Species_Support!CI43*0.0673*(S13_PSP_Species_Support!CJ43*(S13_PSP_Species_Support!CK43*(1-EXP(-S13_PSP_Species_Support!CL43*6))^S13_PSP_Species_Support!CM43)^2*(S13_PSP_Species_Support!CN43*(1-EXP(-S13_PSP_Species_Support!CO43*6))^S13_PSP_Species_Support!CP43))^0.976,0)+IFERROR(S13_PSP_Species_Support!CT43*0.0673*(S13_PSP_Species_Support!CU43*(S13_PSP_Species_Support!CV43*(1-EXP(-S13_PSP_Species_Support!CW43*6))^S13_PSP_Species_Support!CX43)^2*(S13_PSP_Species_Support!CY43*(1-EXP(-S13_PSP_Species_Support!CZ43*6))^S13_PSP_Species_Support!DA43))^0.976,0))/1000/$G56*O$108,0)</x:f>
        <x:v>28.271183104061542</x:v>
      </x:c>
      <x:c r="P56" s="147" t="n">
        <x:f aca="0">IFERROR((IFERROR(S13_PSP_Species_Support!U43*0.0673*(S13_PSP_Species_Support!V43*(S13_PSP_Species_Support!W43*(1-EXP(-S13_PSP_Species_Support!X43*7))^S13_PSP_Species_Support!Y43)^2*(S13_PSP_Species_Support!Z43*(1-EXP(-S13_PSP_Species_Support!AA43*7))^S13_PSP_Species_Support!AB43))^0.976,0)+IFERROR(S13_PSP_Species_Support!AF43*0.0673*(S13_PSP_Species_Support!AG43*(S13_PSP_Species_Support!AH43*(1-EXP(-S13_PSP_Species_Support!AI43*7))^S13_PSP_Species_Support!AJ43)^2*(S13_PSP_Species_Support!AK43*(1-EXP(-S13_PSP_Species_Support!AL43*7))^S13_PSP_Species_Support!AM43))^0.976,0)+IFERROR(S13_PSP_Species_Support!AQ43*0.0673*(S13_PSP_Species_Support!AR43*(S13_PSP_Species_Support!AS43*(1-EXP(-S13_PSP_Species_Support!AT43*7))^S13_PSP_Species_Support!AU43)^2*(S13_PSP_Species_Support!AV43*(1-EXP(-S13_PSP_Species_Support!AW43*7))^S13_PSP_Species_Support!AX43))^0.976,0)+IFERROR(S13_PSP_Species_Support!BB43*0.0673*(S13_PSP_Species_Support!BC43*(S13_PSP_Species_Support!BD43*(1-EXP(-S13_PSP_Species_Support!BE43*7))^S13_PSP_Species_Support!BF43)^2*(S13_PSP_Species_Support!BG43*(1-EXP(-S13_PSP_Species_Support!BH43*7))^S13_PSP_Species_Support!BI43))^0.976,0)+IFERROR(S13_PSP_Species_Support!BM43*0.0673*(S13_PSP_Species_Support!BN43*(S13_PSP_Species_Support!BO43*(1-EXP(-S13_PSP_Species_Support!BP43*7))^S13_PSP_Species_Support!BQ43)^2*(S13_PSP_Species_Support!BR43*(1-EXP(-S13_PSP_Species_Support!BS43*7))^S13_PSP_Species_Support!BT43))^0.976,0)+IFERROR(S13_PSP_Species_Support!BX43*0.0673*(S13_PSP_Species_Support!BY43*(S13_PSP_Species_Support!BZ43*(1-EXP(-S13_PSP_Species_Support!CA43*7))^S13_PSP_Species_Support!CB43)^2*(S13_PSP_Species_Support!CC43*(1-EXP(-S13_PSP_Species_Support!CD43*7))^S13_PSP_Species_Support!CE43))^0.976,0)+IFERROR(S13_PSP_Species_Support!CI43*0.0673*(S13_PSP_Species_Support!CJ43*(S13_PSP_Species_Support!CK43*(1-EXP(-S13_PSP_Species_Support!CL43*7))^S13_PSP_Species_Support!CM43)^2*(S13_PSP_Species_Support!CN43*(1-EXP(-S13_PSP_Species_Support!CO43*7))^S13_PSP_Species_Support!CP43))^0.976,0)+IFERROR(S13_PSP_Species_Support!CT43*0.0673*(S13_PSP_Species_Support!CU43*(S13_PSP_Species_Support!CV43*(1-EXP(-S13_PSP_Species_Support!CW43*7))^S13_PSP_Species_Support!CX43)^2*(S13_PSP_Species_Support!CY43*(1-EXP(-S13_PSP_Species_Support!CZ43*7))^S13_PSP_Species_Support!DA43))^0.976,0))/1000/$G56*P$108,0)</x:f>
        <x:v>44.337802716701276</x:v>
      </x:c>
      <x:c r="Q56" s="147" t="n">
        <x:f aca="0">IFERROR((IFERROR(S13_PSP_Species_Support!U43*0.0673*(S13_PSP_Species_Support!V43*(S13_PSP_Species_Support!W43*(1-EXP(-S13_PSP_Species_Support!X43*8))^S13_PSP_Species_Support!Y43)^2*(S13_PSP_Species_Support!Z43*(1-EXP(-S13_PSP_Species_Support!AA43*8))^S13_PSP_Species_Support!AB43))^0.976,0)+IFERROR(S13_PSP_Species_Support!AF43*0.0673*(S13_PSP_Species_Support!AG43*(S13_PSP_Species_Support!AH43*(1-EXP(-S13_PSP_Species_Support!AI43*8))^S13_PSP_Species_Support!AJ43)^2*(S13_PSP_Species_Support!AK43*(1-EXP(-S13_PSP_Species_Support!AL43*8))^S13_PSP_Species_Support!AM43))^0.976,0)+IFERROR(S13_PSP_Species_Support!AQ43*0.0673*(S13_PSP_Species_Support!AR43*(S13_PSP_Species_Support!AS43*(1-EXP(-S13_PSP_Species_Support!AT43*8))^S13_PSP_Species_Support!AU43)^2*(S13_PSP_Species_Support!AV43*(1-EXP(-S13_PSP_Species_Support!AW43*8))^S13_PSP_Species_Support!AX43))^0.976,0)+IFERROR(S13_PSP_Species_Support!BB43*0.0673*(S13_PSP_Species_Support!BC43*(S13_PSP_Species_Support!BD43*(1-EXP(-S13_PSP_Species_Support!BE43*8))^S13_PSP_Species_Support!BF43)^2*(S13_PSP_Species_Support!BG43*(1-EXP(-S13_PSP_Species_Support!BH43*8))^S13_PSP_Species_Support!BI43))^0.976,0)+IFERROR(S13_PSP_Species_Support!BM43*0.0673*(S13_PSP_Species_Support!BN43*(S13_PSP_Species_Support!BO43*(1-EXP(-S13_PSP_Species_Support!BP43*8))^S13_PSP_Species_Support!BQ43)^2*(S13_PSP_Species_Support!BR43*(1-EXP(-S13_PSP_Species_Support!BS43*8))^S13_PSP_Species_Support!BT43))^0.976,0)+IFERROR(S13_PSP_Species_Support!BX43*0.0673*(S13_PSP_Species_Support!BY43*(S13_PSP_Species_Support!BZ43*(1-EXP(-S13_PSP_Species_Support!CA43*8))^S13_PSP_Species_Support!CB43)^2*(S13_PSP_Species_Support!CC43*(1-EXP(-S13_PSP_Species_Support!CD43*8))^S13_PSP_Species_Support!CE43))^0.976,0)+IFERROR(S13_PSP_Species_Support!CI43*0.0673*(S13_PSP_Species_Support!CJ43*(S13_PSP_Species_Support!CK43*(1-EXP(-S13_PSP_Species_Support!CL43*8))^S13_PSP_Species_Support!CM43)^2*(S13_PSP_Species_Support!CN43*(1-EXP(-S13_PSP_Species_Support!CO43*8))^S13_PSP_Species_Support!CP43))^0.976,0)+IFERROR(S13_PSP_Species_Support!CT43*0.0673*(S13_PSP_Species_Support!CU43*(S13_PSP_Species_Support!CV43*(1-EXP(-S13_PSP_Species_Support!CW43*8))^S13_PSP_Species_Support!CX43)^2*(S13_PSP_Species_Support!CY43*(1-EXP(-S13_PSP_Species_Support!CZ43*8))^S13_PSP_Species_Support!DA43))^0.976,0))/1000/$G56*Q$108,0)</x:f>
        <x:v>63.930353822680985</x:v>
      </x:c>
      <x:c r="R56" s="147" t="n">
        <x:f aca="0">IFERROR((IFERROR(S13_PSP_Species_Support!U43*0.0673*(S13_PSP_Species_Support!V43*(S13_PSP_Species_Support!W43*(1-EXP(-S13_PSP_Species_Support!X43*9))^S13_PSP_Species_Support!Y43)^2*(S13_PSP_Species_Support!Z43*(1-EXP(-S13_PSP_Species_Support!AA43*9))^S13_PSP_Species_Support!AB43))^0.976,0)+IFERROR(S13_PSP_Species_Support!AF43*0.0673*(S13_PSP_Species_Support!AG43*(S13_PSP_Species_Support!AH43*(1-EXP(-S13_PSP_Species_Support!AI43*9))^S13_PSP_Species_Support!AJ43)^2*(S13_PSP_Species_Support!AK43*(1-EXP(-S13_PSP_Species_Support!AL43*9))^S13_PSP_Species_Support!AM43))^0.976,0)+IFERROR(S13_PSP_Species_Support!AQ43*0.0673*(S13_PSP_Species_Support!AR43*(S13_PSP_Species_Support!AS43*(1-EXP(-S13_PSP_Species_Support!AT43*9))^S13_PSP_Species_Support!AU43)^2*(S13_PSP_Species_Support!AV43*(1-EXP(-S13_PSP_Species_Support!AW43*9))^S13_PSP_Species_Support!AX43))^0.976,0)+IFERROR(S13_PSP_Species_Support!BB43*0.0673*(S13_PSP_Species_Support!BC43*(S13_PSP_Species_Support!BD43*(1-EXP(-S13_PSP_Species_Support!BE43*9))^S13_PSP_Species_Support!BF43)^2*(S13_PSP_Species_Support!BG43*(1-EXP(-S13_PSP_Species_Support!BH43*9))^S13_PSP_Species_Support!BI43))^0.976,0)+IFERROR(S13_PSP_Species_Support!BM43*0.0673*(S13_PSP_Species_Support!BN43*(S13_PSP_Species_Support!BO43*(1-EXP(-S13_PSP_Species_Support!BP43*9))^S13_PSP_Species_Support!BQ43)^2*(S13_PSP_Species_Support!BR43*(1-EXP(-S13_PSP_Species_Support!BS43*9))^S13_PSP_Species_Support!BT43))^0.976,0)+IFERROR(S13_PSP_Species_Support!BX43*0.0673*(S13_PSP_Species_Support!BY43*(S13_PSP_Species_Support!BZ43*(1-EXP(-S13_PSP_Species_Support!CA43*9))^S13_PSP_Species_Support!CB43)^2*(S13_PSP_Species_Support!CC43*(1-EXP(-S13_PSP_Species_Support!CD43*9))^S13_PSP_Species_Support!CE43))^0.976,0)+IFERROR(S13_PSP_Species_Support!CI43*0.0673*(S13_PSP_Species_Support!CJ43*(S13_PSP_Species_Support!CK43*(1-EXP(-S13_PSP_Species_Support!CL43*9))^S13_PSP_Species_Support!CM43)^2*(S13_PSP_Species_Support!CN43*(1-EXP(-S13_PSP_Species_Support!CO43*9))^S13_PSP_Species_Support!CP43))^0.976,0)+IFERROR(S13_PSP_Species_Support!CT43*0.0673*(S13_PSP_Species_Support!CU43*(S13_PSP_Species_Support!CV43*(1-EXP(-S13_PSP_Species_Support!CW43*9))^S13_PSP_Species_Support!CX43)^2*(S13_PSP_Species_Support!CY43*(1-EXP(-S13_PSP_Species_Support!CZ43*9))^S13_PSP_Species_Support!DA43))^0.976,0))/1000/$G56*R$108,0)</x:f>
        <x:v>86.5379502067227</x:v>
      </x:c>
      <x:c r="S56" s="147" t="n">
        <x:f aca="0">IFERROR((IFERROR(S13_PSP_Species_Support!U43*0.0673*(S13_PSP_Species_Support!V43*(S13_PSP_Species_Support!W43*(1-EXP(-S13_PSP_Species_Support!X43*10))^S13_PSP_Species_Support!Y43)^2*(S13_PSP_Species_Support!Z43*(1-EXP(-S13_PSP_Species_Support!AA43*10))^S13_PSP_Species_Support!AB43))^0.976,0)+IFERROR(S13_PSP_Species_Support!AF43*0.0673*(S13_PSP_Species_Support!AG43*(S13_PSP_Species_Support!AH43*(1-EXP(-S13_PSP_Species_Support!AI43*10))^S13_PSP_Species_Support!AJ43)^2*(S13_PSP_Species_Support!AK43*(1-EXP(-S13_PSP_Species_Support!AL43*10))^S13_PSP_Species_Support!AM43))^0.976,0)+IFERROR(S13_PSP_Species_Support!AQ43*0.0673*(S13_PSP_Species_Support!AR43*(S13_PSP_Species_Support!AS43*(1-EXP(-S13_PSP_Species_Support!AT43*10))^S13_PSP_Species_Support!AU43)^2*(S13_PSP_Species_Support!AV43*(1-EXP(-S13_PSP_Species_Support!AW43*10))^S13_PSP_Species_Support!AX43))^0.976,0)+IFERROR(S13_PSP_Species_Support!BB43*0.0673*(S13_PSP_Species_Support!BC43*(S13_PSP_Species_Support!BD43*(1-EXP(-S13_PSP_Species_Support!BE43*10))^S13_PSP_Species_Support!BF43)^2*(S13_PSP_Species_Support!BG43*(1-EXP(-S13_PSP_Species_Support!BH43*10))^S13_PSP_Species_Support!BI43))^0.976,0)+IFERROR(S13_PSP_Species_Support!BM43*0.0673*(S13_PSP_Species_Support!BN43*(S13_PSP_Species_Support!BO43*(1-EXP(-S13_PSP_Species_Support!BP43*10))^S13_PSP_Species_Support!BQ43)^2*(S13_PSP_Species_Support!BR43*(1-EXP(-S13_PSP_Species_Support!BS43*10))^S13_PSP_Species_Support!BT43))^0.976,0)+IFERROR(S13_PSP_Species_Support!BX43*0.0673*(S13_PSP_Species_Support!BY43*(S13_PSP_Species_Support!BZ43*(1-EXP(-S13_PSP_Species_Support!CA43*10))^S13_PSP_Species_Support!CB43)^2*(S13_PSP_Species_Support!CC43*(1-EXP(-S13_PSP_Species_Support!CD43*10))^S13_PSP_Species_Support!CE43))^0.976,0)+IFERROR(S13_PSP_Species_Support!CI43*0.0673*(S13_PSP_Species_Support!CJ43*(S13_PSP_Species_Support!CK43*(1-EXP(-S13_PSP_Species_Support!CL43*10))^S13_PSP_Species_Support!CM43)^2*(S13_PSP_Species_Support!CN43*(1-EXP(-S13_PSP_Species_Support!CO43*10))^S13_PSP_Species_Support!CP43))^0.976,0)+IFERROR(S13_PSP_Species_Support!CT43*0.0673*(S13_PSP_Species_Support!CU43*(S13_PSP_Species_Support!CV43*(1-EXP(-S13_PSP_Species_Support!CW43*10))^S13_PSP_Species_Support!CX43)^2*(S13_PSP_Species_Support!CY43*(1-EXP(-S13_PSP_Species_Support!CZ43*10))^S13_PSP_Species_Support!DA43))^0.976,0))/1000/$G56*S$108,0)</x:f>
        <x:v>111.54561542646641</x:v>
      </x:c>
      <x:c r="T56" s="147" t="n">
        <x:f aca="0">IFERROR((IFERROR(S13_PSP_Species_Support!U43*0.0673*(S13_PSP_Species_Support!V43*(S13_PSP_Species_Support!W43*(1-EXP(-S13_PSP_Species_Support!X43*11))^S13_PSP_Species_Support!Y43)^2*(S13_PSP_Species_Support!Z43*(1-EXP(-S13_PSP_Species_Support!AA43*11))^S13_PSP_Species_Support!AB43))^0.976,0)+IFERROR(S13_PSP_Species_Support!AF43*0.0673*(S13_PSP_Species_Support!AG43*(S13_PSP_Species_Support!AH43*(1-EXP(-S13_PSP_Species_Support!AI43*11))^S13_PSP_Species_Support!AJ43)^2*(S13_PSP_Species_Support!AK43*(1-EXP(-S13_PSP_Species_Support!AL43*11))^S13_PSP_Species_Support!AM43))^0.976,0)+IFERROR(S13_PSP_Species_Support!AQ43*0.0673*(S13_PSP_Species_Support!AR43*(S13_PSP_Species_Support!AS43*(1-EXP(-S13_PSP_Species_Support!AT43*11))^S13_PSP_Species_Support!AU43)^2*(S13_PSP_Species_Support!AV43*(1-EXP(-S13_PSP_Species_Support!AW43*11))^S13_PSP_Species_Support!AX43))^0.976,0)+IFERROR(S13_PSP_Species_Support!BB43*0.0673*(S13_PSP_Species_Support!BC43*(S13_PSP_Species_Support!BD43*(1-EXP(-S13_PSP_Species_Support!BE43*11))^S13_PSP_Species_Support!BF43)^2*(S13_PSP_Species_Support!BG43*(1-EXP(-S13_PSP_Species_Support!BH43*11))^S13_PSP_Species_Support!BI43))^0.976,0)+IFERROR(S13_PSP_Species_Support!BM43*0.0673*(S13_PSP_Species_Support!BN43*(S13_PSP_Species_Support!BO43*(1-EXP(-S13_PSP_Species_Support!BP43*11))^S13_PSP_Species_Support!BQ43)^2*(S13_PSP_Species_Support!BR43*(1-EXP(-S13_PSP_Species_Support!BS43*11))^S13_PSP_Species_Support!BT43))^0.976,0)+IFERROR(S13_PSP_Species_Support!BX43*0.0673*(S13_PSP_Species_Support!BY43*(S13_PSP_Species_Support!BZ43*(1-EXP(-S13_PSP_Species_Support!CA43*11))^S13_PSP_Species_Support!CB43)^2*(S13_PSP_Species_Support!CC43*(1-EXP(-S13_PSP_Species_Support!CD43*11))^S13_PSP_Species_Support!CE43))^0.976,0)+IFERROR(S13_PSP_Species_Support!CI43*0.0673*(S13_PSP_Species_Support!CJ43*(S13_PSP_Species_Support!CK43*(1-EXP(-S13_PSP_Species_Support!CL43*11))^S13_PSP_Species_Support!CM43)^2*(S13_PSP_Species_Support!CN43*(1-EXP(-S13_PSP_Species_Support!CO43*11))^S13_PSP_Species_Support!CP43))^0.976,0)+IFERROR(S13_PSP_Species_Support!CT43*0.0673*(S13_PSP_Species_Support!CU43*(S13_PSP_Species_Support!CV43*(1-EXP(-S13_PSP_Species_Support!CW43*11))^S13_PSP_Species_Support!CX43)^2*(S13_PSP_Species_Support!CY43*(1-EXP(-S13_PSP_Species_Support!CZ43*11))^S13_PSP_Species_Support!DA43))^0.976,0))/1000/$G56*T$108,0)</x:f>
        <x:v>138.3069238388022</x:v>
      </x:c>
      <x:c r="U56" s="147" t="n">
        <x:f aca="0">IFERROR((IFERROR(S13_PSP_Species_Support!U43*0.0673*(S13_PSP_Species_Support!V43*(S13_PSP_Species_Support!W43*(1-EXP(-S13_PSP_Species_Support!X43*12))^S13_PSP_Species_Support!Y43)^2*(S13_PSP_Species_Support!Z43*(1-EXP(-S13_PSP_Species_Support!AA43*12))^S13_PSP_Species_Support!AB43))^0.976,0)+IFERROR(S13_PSP_Species_Support!AF43*0.0673*(S13_PSP_Species_Support!AG43*(S13_PSP_Species_Support!AH43*(1-EXP(-S13_PSP_Species_Support!AI43*12))^S13_PSP_Species_Support!AJ43)^2*(S13_PSP_Species_Support!AK43*(1-EXP(-S13_PSP_Species_Support!AL43*12))^S13_PSP_Species_Support!AM43))^0.976,0)+IFERROR(S13_PSP_Species_Support!AQ43*0.0673*(S13_PSP_Species_Support!AR43*(S13_PSP_Species_Support!AS43*(1-EXP(-S13_PSP_Species_Support!AT43*12))^S13_PSP_Species_Support!AU43)^2*(S13_PSP_Species_Support!AV43*(1-EXP(-S13_PSP_Species_Support!AW43*12))^S13_PSP_Species_Support!AX43))^0.976,0)+IFERROR(S13_PSP_Species_Support!BB43*0.0673*(S13_PSP_Species_Support!BC43*(S13_PSP_Species_Support!BD43*(1-EXP(-S13_PSP_Species_Support!BE43*12))^S13_PSP_Species_Support!BF43)^2*(S13_PSP_Species_Support!BG43*(1-EXP(-S13_PSP_Species_Support!BH43*12))^S13_PSP_Species_Support!BI43))^0.976,0)+IFERROR(S13_PSP_Species_Support!BM43*0.0673*(S13_PSP_Species_Support!BN43*(S13_PSP_Species_Support!BO43*(1-EXP(-S13_PSP_Species_Support!BP43*12))^S13_PSP_Species_Support!BQ43)^2*(S13_PSP_Species_Support!BR43*(1-EXP(-S13_PSP_Species_Support!BS43*12))^S13_PSP_Species_Support!BT43))^0.976,0)+IFERROR(S13_PSP_Species_Support!BX43*0.0673*(S13_PSP_Species_Support!BY43*(S13_PSP_Species_Support!BZ43*(1-EXP(-S13_PSP_Species_Support!CA43*12))^S13_PSP_Species_Support!CB43)^2*(S13_PSP_Species_Support!CC43*(1-EXP(-S13_PSP_Species_Support!CD43*12))^S13_PSP_Species_Support!CE43))^0.976,0)+IFERROR(S13_PSP_Species_Support!CI43*0.0673*(S13_PSP_Species_Support!CJ43*(S13_PSP_Species_Support!CK43*(1-EXP(-S13_PSP_Species_Support!CL43*12))^S13_PSP_Species_Support!CM43)^2*(S13_PSP_Species_Support!CN43*(1-EXP(-S13_PSP_Species_Support!CO43*12))^S13_PSP_Species_Support!CP43))^0.976,0)+IFERROR(S13_PSP_Species_Support!CT43*0.0673*(S13_PSP_Species_Support!CU43*(S13_PSP_Species_Support!CV43*(1-EXP(-S13_PSP_Species_Support!CW43*12))^S13_PSP_Species_Support!CX43)^2*(S13_PSP_Species_Support!CY43*(1-EXP(-S13_PSP_Species_Support!CZ43*12))^S13_PSP_Species_Support!DA43))^0.976,0))/1000/$G56*U$108,0)</x:f>
        <x:v>166.19595947588004</x:v>
      </x:c>
      <x:c r="V56" s="147" t="n">
        <x:f aca="0">IFERROR((IFERROR(S13_PSP_Species_Support!U43*0.0673*(S13_PSP_Species_Support!V43*(S13_PSP_Species_Support!W43*(1-EXP(-S13_PSP_Species_Support!X43*13))^S13_PSP_Species_Support!Y43)^2*(S13_PSP_Species_Support!Z43*(1-EXP(-S13_PSP_Species_Support!AA43*13))^S13_PSP_Species_Support!AB43))^0.976,0)+IFERROR(S13_PSP_Species_Support!AF43*0.0673*(S13_PSP_Species_Support!AG43*(S13_PSP_Species_Support!AH43*(1-EXP(-S13_PSP_Species_Support!AI43*13))^S13_PSP_Species_Support!AJ43)^2*(S13_PSP_Species_Support!AK43*(1-EXP(-S13_PSP_Species_Support!AL43*13))^S13_PSP_Species_Support!AM43))^0.976,0)+IFERROR(S13_PSP_Species_Support!AQ43*0.0673*(S13_PSP_Species_Support!AR43*(S13_PSP_Species_Support!AS43*(1-EXP(-S13_PSP_Species_Support!AT43*13))^S13_PSP_Species_Support!AU43)^2*(S13_PSP_Species_Support!AV43*(1-EXP(-S13_PSP_Species_Support!AW43*13))^S13_PSP_Species_Support!AX43))^0.976,0)+IFERROR(S13_PSP_Species_Support!BB43*0.0673*(S13_PSP_Species_Support!BC43*(S13_PSP_Species_Support!BD43*(1-EXP(-S13_PSP_Species_Support!BE43*13))^S13_PSP_Species_Support!BF43)^2*(S13_PSP_Species_Support!BG43*(1-EXP(-S13_PSP_Species_Support!BH43*13))^S13_PSP_Species_Support!BI43))^0.976,0)+IFERROR(S13_PSP_Species_Support!BM43*0.0673*(S13_PSP_Species_Support!BN43*(S13_PSP_Species_Support!BO43*(1-EXP(-S13_PSP_Species_Support!BP43*13))^S13_PSP_Species_Support!BQ43)^2*(S13_PSP_Species_Support!BR43*(1-EXP(-S13_PSP_Species_Support!BS43*13))^S13_PSP_Species_Support!BT43))^0.976,0)+IFERROR(S13_PSP_Species_Support!BX43*0.0673*(S13_PSP_Species_Support!BY43*(S13_PSP_Species_Support!BZ43*(1-EXP(-S13_PSP_Species_Support!CA43*13))^S13_PSP_Species_Support!CB43)^2*(S13_PSP_Species_Support!CC43*(1-EXP(-S13_PSP_Species_Support!CD43*13))^S13_PSP_Species_Support!CE43))^0.976,0)+IFERROR(S13_PSP_Species_Support!CI43*0.0673*(S13_PSP_Species_Support!CJ43*(S13_PSP_Species_Support!CK43*(1-EXP(-S13_PSP_Species_Support!CL43*13))^S13_PSP_Species_Support!CM43)^2*(S13_PSP_Species_Support!CN43*(1-EXP(-S13_PSP_Species_Support!CO43*13))^S13_PSP_Species_Support!CP43))^0.976,0)+IFERROR(S13_PSP_Species_Support!CT43*0.0673*(S13_PSP_Species_Support!CU43*(S13_PSP_Species_Support!CV43*(1-EXP(-S13_PSP_Species_Support!CW43*13))^S13_PSP_Species_Support!CX43)^2*(S13_PSP_Species_Support!CY43*(1-EXP(-S13_PSP_Species_Support!CZ43*13))^S13_PSP_Species_Support!DA43))^0.976,0))/1000/$G56*V$108,0)</x:f>
        <x:v>194.64085091690626</x:v>
      </x:c>
      <x:c r="W56" s="147" t="n">
        <x:f aca="0">IFERROR((IFERROR(S13_PSP_Species_Support!U43*0.0673*(S13_PSP_Species_Support!V43*(S13_PSP_Species_Support!W43*(1-EXP(-S13_PSP_Species_Support!X43*14))^S13_PSP_Species_Support!Y43)^2*(S13_PSP_Species_Support!Z43*(1-EXP(-S13_PSP_Species_Support!AA43*14))^S13_PSP_Species_Support!AB43))^0.976,0)+IFERROR(S13_PSP_Species_Support!AF43*0.0673*(S13_PSP_Species_Support!AG43*(S13_PSP_Species_Support!AH43*(1-EXP(-S13_PSP_Species_Support!AI43*14))^S13_PSP_Species_Support!AJ43)^2*(S13_PSP_Species_Support!AK43*(1-EXP(-S13_PSP_Species_Support!AL43*14))^S13_PSP_Species_Support!AM43))^0.976,0)+IFERROR(S13_PSP_Species_Support!AQ43*0.0673*(S13_PSP_Species_Support!AR43*(S13_PSP_Species_Support!AS43*(1-EXP(-S13_PSP_Species_Support!AT43*14))^S13_PSP_Species_Support!AU43)^2*(S13_PSP_Species_Support!AV43*(1-EXP(-S13_PSP_Species_Support!AW43*14))^S13_PSP_Species_Support!AX43))^0.976,0)+IFERROR(S13_PSP_Species_Support!BB43*0.0673*(S13_PSP_Species_Support!BC43*(S13_PSP_Species_Support!BD43*(1-EXP(-S13_PSP_Species_Support!BE43*14))^S13_PSP_Species_Support!BF43)^2*(S13_PSP_Species_Support!BG43*(1-EXP(-S13_PSP_Species_Support!BH43*14))^S13_PSP_Species_Support!BI43))^0.976,0)+IFERROR(S13_PSP_Species_Support!BM43*0.0673*(S13_PSP_Species_Support!BN43*(S13_PSP_Species_Support!BO43*(1-EXP(-S13_PSP_Species_Support!BP43*14))^S13_PSP_Species_Support!BQ43)^2*(S13_PSP_Species_Support!BR43*(1-EXP(-S13_PSP_Species_Support!BS43*14))^S13_PSP_Species_Support!BT43))^0.976,0)+IFERROR(S13_PSP_Species_Support!BX43*0.0673*(S13_PSP_Species_Support!BY43*(S13_PSP_Species_Support!BZ43*(1-EXP(-S13_PSP_Species_Support!CA43*14))^S13_PSP_Species_Support!CB43)^2*(S13_PSP_Species_Support!CC43*(1-EXP(-S13_PSP_Species_Support!CD43*14))^S13_PSP_Species_Support!CE43))^0.976,0)+IFERROR(S13_PSP_Species_Support!CI43*0.0673*(S13_PSP_Species_Support!CJ43*(S13_PSP_Species_Support!CK43*(1-EXP(-S13_PSP_Species_Support!CL43*14))^S13_PSP_Species_Support!CM43)^2*(S13_PSP_Species_Support!CN43*(1-EXP(-S13_PSP_Species_Support!CO43*14))^S13_PSP_Species_Support!CP43))^0.976,0)+IFERROR(S13_PSP_Species_Support!CT43*0.0673*(S13_PSP_Species_Support!CU43*(S13_PSP_Species_Support!CV43*(1-EXP(-S13_PSP_Species_Support!CW43*14))^S13_PSP_Species_Support!CX43)^2*(S13_PSP_Species_Support!CY43*(1-EXP(-S13_PSP_Species_Support!CZ43*14))^S13_PSP_Species_Support!DA43))^0.976,0))/1000/$G56*W$108,0)</x:f>
        <x:v>223.14252549143902</x:v>
      </x:c>
      <x:c r="X56" s="147" t="n">
        <x:f aca="0">IFERROR((IFERROR(S13_PSP_Species_Support!U43*0.0673*(S13_PSP_Species_Support!V43*(S13_PSP_Species_Support!W43*(1-EXP(-S13_PSP_Species_Support!X43*15))^S13_PSP_Species_Support!Y43)^2*(S13_PSP_Species_Support!Z43*(1-EXP(-S13_PSP_Species_Support!AA43*15))^S13_PSP_Species_Support!AB43))^0.976,0)+IFERROR(S13_PSP_Species_Support!AF43*0.0673*(S13_PSP_Species_Support!AG43*(S13_PSP_Species_Support!AH43*(1-EXP(-S13_PSP_Species_Support!AI43*15))^S13_PSP_Species_Support!AJ43)^2*(S13_PSP_Species_Support!AK43*(1-EXP(-S13_PSP_Species_Support!AL43*15))^S13_PSP_Species_Support!AM43))^0.976,0)+IFERROR(S13_PSP_Species_Support!AQ43*0.0673*(S13_PSP_Species_Support!AR43*(S13_PSP_Species_Support!AS43*(1-EXP(-S13_PSP_Species_Support!AT43*15))^S13_PSP_Species_Support!AU43)^2*(S13_PSP_Species_Support!AV43*(1-EXP(-S13_PSP_Species_Support!AW43*15))^S13_PSP_Species_Support!AX43))^0.976,0)+IFERROR(S13_PSP_Species_Support!BB43*0.0673*(S13_PSP_Species_Support!BC43*(S13_PSP_Species_Support!BD43*(1-EXP(-S13_PSP_Species_Support!BE43*15))^S13_PSP_Species_Support!BF43)^2*(S13_PSP_Species_Support!BG43*(1-EXP(-S13_PSP_Species_Support!BH43*15))^S13_PSP_Species_Support!BI43))^0.976,0)+IFERROR(S13_PSP_Species_Support!BM43*0.0673*(S13_PSP_Species_Support!BN43*(S13_PSP_Species_Support!BO43*(1-EXP(-S13_PSP_Species_Support!BP43*15))^S13_PSP_Species_Support!BQ43)^2*(S13_PSP_Species_Support!BR43*(1-EXP(-S13_PSP_Species_Support!BS43*15))^S13_PSP_Species_Support!BT43))^0.976,0)+IFERROR(S13_PSP_Species_Support!BX43*0.0673*(S13_PSP_Species_Support!BY43*(S13_PSP_Species_Support!BZ43*(1-EXP(-S13_PSP_Species_Support!CA43*15))^S13_PSP_Species_Support!CB43)^2*(S13_PSP_Species_Support!CC43*(1-EXP(-S13_PSP_Species_Support!CD43*15))^S13_PSP_Species_Support!CE43))^0.976,0)+IFERROR(S13_PSP_Species_Support!CI43*0.0673*(S13_PSP_Species_Support!CJ43*(S13_PSP_Species_Support!CK43*(1-EXP(-S13_PSP_Species_Support!CL43*15))^S13_PSP_Species_Support!CM43)^2*(S13_PSP_Species_Support!CN43*(1-EXP(-S13_PSP_Species_Support!CO43*15))^S13_PSP_Species_Support!CP43))^0.976,0)+IFERROR(S13_PSP_Species_Support!CT43*0.0673*(S13_PSP_Species_Support!CU43*(S13_PSP_Species_Support!CV43*(1-EXP(-S13_PSP_Species_Support!CW43*15))^S13_PSP_Species_Support!CX43)^2*(S13_PSP_Species_Support!CY43*(1-EXP(-S13_PSP_Species_Support!CZ43*15))^S13_PSP_Species_Support!DA43))^0.976,0))/1000/$G56*X$108,0)</x:f>
        <x:v>251.28247729439093</x:v>
      </x:c>
      <x:c r="Y56" s="147" t="n">
        <x:f aca="0">IFERROR((IFERROR(S13_PSP_Species_Support!U43*0.0673*(S13_PSP_Species_Support!V43*(S13_PSP_Species_Support!W43*(1-EXP(-S13_PSP_Species_Support!X43*16))^S13_PSP_Species_Support!Y43)^2*(S13_PSP_Species_Support!Z43*(1-EXP(-S13_PSP_Species_Support!AA43*16))^S13_PSP_Species_Support!AB43))^0.976,0)+IFERROR(S13_PSP_Species_Support!AF43*0.0673*(S13_PSP_Species_Support!AG43*(S13_PSP_Species_Support!AH43*(1-EXP(-S13_PSP_Species_Support!AI43*16))^S13_PSP_Species_Support!AJ43)^2*(S13_PSP_Species_Support!AK43*(1-EXP(-S13_PSP_Species_Support!AL43*16))^S13_PSP_Species_Support!AM43))^0.976,0)+IFERROR(S13_PSP_Species_Support!AQ43*0.0673*(S13_PSP_Species_Support!AR43*(S13_PSP_Species_Support!AS43*(1-EXP(-S13_PSP_Species_Support!AT43*16))^S13_PSP_Species_Support!AU43)^2*(S13_PSP_Species_Support!AV43*(1-EXP(-S13_PSP_Species_Support!AW43*16))^S13_PSP_Species_Support!AX43))^0.976,0)+IFERROR(S13_PSP_Species_Support!BB43*0.0673*(S13_PSP_Species_Support!BC43*(S13_PSP_Species_Support!BD43*(1-EXP(-S13_PSP_Species_Support!BE43*16))^S13_PSP_Species_Support!BF43)^2*(S13_PSP_Species_Support!BG43*(1-EXP(-S13_PSP_Species_Support!BH43*16))^S13_PSP_Species_Support!BI43))^0.976,0)+IFERROR(S13_PSP_Species_Support!BM43*0.0673*(S13_PSP_Species_Support!BN43*(S13_PSP_Species_Support!BO43*(1-EXP(-S13_PSP_Species_Support!BP43*16))^S13_PSP_Species_Support!BQ43)^2*(S13_PSP_Species_Support!BR43*(1-EXP(-S13_PSP_Species_Support!BS43*16))^S13_PSP_Species_Support!BT43))^0.976,0)+IFERROR(S13_PSP_Species_Support!BX43*0.0673*(S13_PSP_Species_Support!BY43*(S13_PSP_Species_Support!BZ43*(1-EXP(-S13_PSP_Species_Support!CA43*16))^S13_PSP_Species_Support!CB43)^2*(S13_PSP_Species_Support!CC43*(1-EXP(-S13_PSP_Species_Support!CD43*16))^S13_PSP_Species_Support!CE43))^0.976,0)+IFERROR(S13_PSP_Species_Support!CI43*0.0673*(S13_PSP_Species_Support!CJ43*(S13_PSP_Species_Support!CK43*(1-EXP(-S13_PSP_Species_Support!CL43*16))^S13_PSP_Species_Support!CM43)^2*(S13_PSP_Species_Support!CN43*(1-EXP(-S13_PSP_Species_Support!CO43*16))^S13_PSP_Species_Support!CP43))^0.976,0)+IFERROR(S13_PSP_Species_Support!CT43*0.0673*(S13_PSP_Species_Support!CU43*(S13_PSP_Species_Support!CV43*(1-EXP(-S13_PSP_Species_Support!CW43*16))^S13_PSP_Species_Support!CX43)^2*(S13_PSP_Species_Support!CY43*(1-EXP(-S13_PSP_Species_Support!CZ43*16))^S13_PSP_Species_Support!DA43))^0.976,0))/1000/$G56*Y$108,0)</x:f>
        <x:v>278.72291411766497</x:v>
      </x:c>
      <x:c r="Z56" s="147" t="n">
        <x:f aca="0">IFERROR((IFERROR(S13_PSP_Species_Support!U43*0.0673*(S13_PSP_Species_Support!V43*(S13_PSP_Species_Support!W43*(1-EXP(-S13_PSP_Species_Support!X43*17))^S13_PSP_Species_Support!Y43)^2*(S13_PSP_Species_Support!Z43*(1-EXP(-S13_PSP_Species_Support!AA43*17))^S13_PSP_Species_Support!AB43))^0.976,0)+IFERROR(S13_PSP_Species_Support!AF43*0.0673*(S13_PSP_Species_Support!AG43*(S13_PSP_Species_Support!AH43*(1-EXP(-S13_PSP_Species_Support!AI43*17))^S13_PSP_Species_Support!AJ43)^2*(S13_PSP_Species_Support!AK43*(1-EXP(-S13_PSP_Species_Support!AL43*17))^S13_PSP_Species_Support!AM43))^0.976,0)+IFERROR(S13_PSP_Species_Support!AQ43*0.0673*(S13_PSP_Species_Support!AR43*(S13_PSP_Species_Support!AS43*(1-EXP(-S13_PSP_Species_Support!AT43*17))^S13_PSP_Species_Support!AU43)^2*(S13_PSP_Species_Support!AV43*(1-EXP(-S13_PSP_Species_Support!AW43*17))^S13_PSP_Species_Support!AX43))^0.976,0)+IFERROR(S13_PSP_Species_Support!BB43*0.0673*(S13_PSP_Species_Support!BC43*(S13_PSP_Species_Support!BD43*(1-EXP(-S13_PSP_Species_Support!BE43*17))^S13_PSP_Species_Support!BF43)^2*(S13_PSP_Species_Support!BG43*(1-EXP(-S13_PSP_Species_Support!BH43*17))^S13_PSP_Species_Support!BI43))^0.976,0)+IFERROR(S13_PSP_Species_Support!BM43*0.0673*(S13_PSP_Species_Support!BN43*(S13_PSP_Species_Support!BO43*(1-EXP(-S13_PSP_Species_Support!BP43*17))^S13_PSP_Species_Support!BQ43)^2*(S13_PSP_Species_Support!BR43*(1-EXP(-S13_PSP_Species_Support!BS43*17))^S13_PSP_Species_Support!BT43))^0.976,0)+IFERROR(S13_PSP_Species_Support!BX43*0.0673*(S13_PSP_Species_Support!BY43*(S13_PSP_Species_Support!BZ43*(1-EXP(-S13_PSP_Species_Support!CA43*17))^S13_PSP_Species_Support!CB43)^2*(S13_PSP_Species_Support!CC43*(1-EXP(-S13_PSP_Species_Support!CD43*17))^S13_PSP_Species_Support!CE43))^0.976,0)+IFERROR(S13_PSP_Species_Support!CI43*0.0673*(S13_PSP_Species_Support!CJ43*(S13_PSP_Species_Support!CK43*(1-EXP(-S13_PSP_Species_Support!CL43*17))^S13_PSP_Species_Support!CM43)^2*(S13_PSP_Species_Support!CN43*(1-EXP(-S13_PSP_Species_Support!CO43*17))^S13_PSP_Species_Support!CP43))^0.976,0)+IFERROR(S13_PSP_Species_Support!CT43*0.0673*(S13_PSP_Species_Support!CU43*(S13_PSP_Species_Support!CV43*(1-EXP(-S13_PSP_Species_Support!CW43*17))^S13_PSP_Species_Support!CX43)^2*(S13_PSP_Species_Support!CY43*(1-EXP(-S13_PSP_Species_Support!CZ43*17))^S13_PSP_Species_Support!DA43))^0.976,0))/1000/$G56*Z$108,0)</x:f>
        <x:v>305.20200919046033</x:v>
      </x:c>
      <x:c r="AA56" s="147" t="n">
        <x:f aca="0">IFERROR((IFERROR(S13_PSP_Species_Support!U43*0.0673*(S13_PSP_Species_Support!V43*(S13_PSP_Species_Support!W43*(1-EXP(-S13_PSP_Species_Support!X43*18))^S13_PSP_Species_Support!Y43)^2*(S13_PSP_Species_Support!Z43*(1-EXP(-S13_PSP_Species_Support!AA43*18))^S13_PSP_Species_Support!AB43))^0.976,0)+IFERROR(S13_PSP_Species_Support!AF43*0.0673*(S13_PSP_Species_Support!AG43*(S13_PSP_Species_Support!AH43*(1-EXP(-S13_PSP_Species_Support!AI43*18))^S13_PSP_Species_Support!AJ43)^2*(S13_PSP_Species_Support!AK43*(1-EXP(-S13_PSP_Species_Support!AL43*18))^S13_PSP_Species_Support!AM43))^0.976,0)+IFERROR(S13_PSP_Species_Support!AQ43*0.0673*(S13_PSP_Species_Support!AR43*(S13_PSP_Species_Support!AS43*(1-EXP(-S13_PSP_Species_Support!AT43*18))^S13_PSP_Species_Support!AU43)^2*(S13_PSP_Species_Support!AV43*(1-EXP(-S13_PSP_Species_Support!AW43*18))^S13_PSP_Species_Support!AX43))^0.976,0)+IFERROR(S13_PSP_Species_Support!BB43*0.0673*(S13_PSP_Species_Support!BC43*(S13_PSP_Species_Support!BD43*(1-EXP(-S13_PSP_Species_Support!BE43*18))^S13_PSP_Species_Support!BF43)^2*(S13_PSP_Species_Support!BG43*(1-EXP(-S13_PSP_Species_Support!BH43*18))^S13_PSP_Species_Support!BI43))^0.976,0)+IFERROR(S13_PSP_Species_Support!BM43*0.0673*(S13_PSP_Species_Support!BN43*(S13_PSP_Species_Support!BO43*(1-EXP(-S13_PSP_Species_Support!BP43*18))^S13_PSP_Species_Support!BQ43)^2*(S13_PSP_Species_Support!BR43*(1-EXP(-S13_PSP_Species_Support!BS43*18))^S13_PSP_Species_Support!BT43))^0.976,0)+IFERROR(S13_PSP_Species_Support!BX43*0.0673*(S13_PSP_Species_Support!BY43*(S13_PSP_Species_Support!BZ43*(1-EXP(-S13_PSP_Species_Support!CA43*18))^S13_PSP_Species_Support!CB43)^2*(S13_PSP_Species_Support!CC43*(1-EXP(-S13_PSP_Species_Support!CD43*18))^S13_PSP_Species_Support!CE43))^0.976,0)+IFERROR(S13_PSP_Species_Support!CI43*0.0673*(S13_PSP_Species_Support!CJ43*(S13_PSP_Species_Support!CK43*(1-EXP(-S13_PSP_Species_Support!CL43*18))^S13_PSP_Species_Support!CM43)^2*(S13_PSP_Species_Support!CN43*(1-EXP(-S13_PSP_Species_Support!CO43*18))^S13_PSP_Species_Support!CP43))^0.976,0)+IFERROR(S13_PSP_Species_Support!CT43*0.0673*(S13_PSP_Species_Support!CU43*(S13_PSP_Species_Support!CV43*(1-EXP(-S13_PSP_Species_Support!CW43*18))^S13_PSP_Species_Support!CX43)^2*(S13_PSP_Species_Support!CY43*(1-EXP(-S13_PSP_Species_Support!CZ43*18))^S13_PSP_Species_Support!DA43))^0.976,0))/1000/$G56*AA$108,0)</x:f>
        <x:v>330.52632903116677</x:v>
      </x:c>
      <x:c r="AB56" s="147" t="n">
        <x:f aca="0">IFERROR((IFERROR(S13_PSP_Species_Support!U43*0.0673*(S13_PSP_Species_Support!V43*(S13_PSP_Species_Support!W43*(1-EXP(-S13_PSP_Species_Support!X43*19))^S13_PSP_Species_Support!Y43)^2*(S13_PSP_Species_Support!Z43*(1-EXP(-S13_PSP_Species_Support!AA43*19))^S13_PSP_Species_Support!AB43))^0.976,0)+IFERROR(S13_PSP_Species_Support!AF43*0.0673*(S13_PSP_Species_Support!AG43*(S13_PSP_Species_Support!AH43*(1-EXP(-S13_PSP_Species_Support!AI43*19))^S13_PSP_Species_Support!AJ43)^2*(S13_PSP_Species_Support!AK43*(1-EXP(-S13_PSP_Species_Support!AL43*19))^S13_PSP_Species_Support!AM43))^0.976,0)+IFERROR(S13_PSP_Species_Support!AQ43*0.0673*(S13_PSP_Species_Support!AR43*(S13_PSP_Species_Support!AS43*(1-EXP(-S13_PSP_Species_Support!AT43*19))^S13_PSP_Species_Support!AU43)^2*(S13_PSP_Species_Support!AV43*(1-EXP(-S13_PSP_Species_Support!AW43*19))^S13_PSP_Species_Support!AX43))^0.976,0)+IFERROR(S13_PSP_Species_Support!BB43*0.0673*(S13_PSP_Species_Support!BC43*(S13_PSP_Species_Support!BD43*(1-EXP(-S13_PSP_Species_Support!BE43*19))^S13_PSP_Species_Support!BF43)^2*(S13_PSP_Species_Support!BG43*(1-EXP(-S13_PSP_Species_Support!BH43*19))^S13_PSP_Species_Support!BI43))^0.976,0)+IFERROR(S13_PSP_Species_Support!BM43*0.0673*(S13_PSP_Species_Support!BN43*(S13_PSP_Species_Support!BO43*(1-EXP(-S13_PSP_Species_Support!BP43*19))^S13_PSP_Species_Support!BQ43)^2*(S13_PSP_Species_Support!BR43*(1-EXP(-S13_PSP_Species_Support!BS43*19))^S13_PSP_Species_Support!BT43))^0.976,0)+IFERROR(S13_PSP_Species_Support!BX43*0.0673*(S13_PSP_Species_Support!BY43*(S13_PSP_Species_Support!BZ43*(1-EXP(-S13_PSP_Species_Support!CA43*19))^S13_PSP_Species_Support!CB43)^2*(S13_PSP_Species_Support!CC43*(1-EXP(-S13_PSP_Species_Support!CD43*19))^S13_PSP_Species_Support!CE43))^0.976,0)+IFERROR(S13_PSP_Species_Support!CI43*0.0673*(S13_PSP_Species_Support!CJ43*(S13_PSP_Species_Support!CK43*(1-EXP(-S13_PSP_Species_Support!CL43*19))^S13_PSP_Species_Support!CM43)^2*(S13_PSP_Species_Support!CN43*(1-EXP(-S13_PSP_Species_Support!CO43*19))^S13_PSP_Species_Support!CP43))^0.976,0)+IFERROR(S13_PSP_Species_Support!CT43*0.0673*(S13_PSP_Species_Support!CU43*(S13_PSP_Species_Support!CV43*(1-EXP(-S13_PSP_Species_Support!CW43*19))^S13_PSP_Species_Support!CX43)^2*(S13_PSP_Species_Support!CY43*(1-EXP(-S13_PSP_Species_Support!CZ43*19))^S13_PSP_Species_Support!DA43))^0.976,0))/1000/$G56*AB$108,0)</x:f>
        <x:v>354.5619289745863</x:v>
      </x:c>
      <x:c r="AC56" s="147" t="n">
        <x:f aca="0">IFERROR((IFERROR(S13_PSP_Species_Support!U43*0.0673*(S13_PSP_Species_Support!V43*(S13_PSP_Species_Support!W43*(1-EXP(-S13_PSP_Species_Support!X43*20))^S13_PSP_Species_Support!Y43)^2*(S13_PSP_Species_Support!Z43*(1-EXP(-S13_PSP_Species_Support!AA43*20))^S13_PSP_Species_Support!AB43))^0.976,0)+IFERROR(S13_PSP_Species_Support!AF43*0.0673*(S13_PSP_Species_Support!AG43*(S13_PSP_Species_Support!AH43*(1-EXP(-S13_PSP_Species_Support!AI43*20))^S13_PSP_Species_Support!AJ43)^2*(S13_PSP_Species_Support!AK43*(1-EXP(-S13_PSP_Species_Support!AL43*20))^S13_PSP_Species_Support!AM43))^0.976,0)+IFERROR(S13_PSP_Species_Support!AQ43*0.0673*(S13_PSP_Species_Support!AR43*(S13_PSP_Species_Support!AS43*(1-EXP(-S13_PSP_Species_Support!AT43*20))^S13_PSP_Species_Support!AU43)^2*(S13_PSP_Species_Support!AV43*(1-EXP(-S13_PSP_Species_Support!AW43*20))^S13_PSP_Species_Support!AX43))^0.976,0)+IFERROR(S13_PSP_Species_Support!BB43*0.0673*(S13_PSP_Species_Support!BC43*(S13_PSP_Species_Support!BD43*(1-EXP(-S13_PSP_Species_Support!BE43*20))^S13_PSP_Species_Support!BF43)^2*(S13_PSP_Species_Support!BG43*(1-EXP(-S13_PSP_Species_Support!BH43*20))^S13_PSP_Species_Support!BI43))^0.976,0)+IFERROR(S13_PSP_Species_Support!BM43*0.0673*(S13_PSP_Species_Support!BN43*(S13_PSP_Species_Support!BO43*(1-EXP(-S13_PSP_Species_Support!BP43*20))^S13_PSP_Species_Support!BQ43)^2*(S13_PSP_Species_Support!BR43*(1-EXP(-S13_PSP_Species_Support!BS43*20))^S13_PSP_Species_Support!BT43))^0.976,0)+IFERROR(S13_PSP_Species_Support!BX43*0.0673*(S13_PSP_Species_Support!BY43*(S13_PSP_Species_Support!BZ43*(1-EXP(-S13_PSP_Species_Support!CA43*20))^S13_PSP_Species_Support!CB43)^2*(S13_PSP_Species_Support!CC43*(1-EXP(-S13_PSP_Species_Support!CD43*20))^S13_PSP_Species_Support!CE43))^0.976,0)+IFERROR(S13_PSP_Species_Support!CI43*0.0673*(S13_PSP_Species_Support!CJ43*(S13_PSP_Species_Support!CK43*(1-EXP(-S13_PSP_Species_Support!CL43*20))^S13_PSP_Species_Support!CM43)^2*(S13_PSP_Species_Support!CN43*(1-EXP(-S13_PSP_Species_Support!CO43*20))^S13_PSP_Species_Support!CP43))^0.976,0)+IFERROR(S13_PSP_Species_Support!CT43*0.0673*(S13_PSP_Species_Support!CU43*(S13_PSP_Species_Support!CV43*(1-EXP(-S13_PSP_Species_Support!CW43*20))^S13_PSP_Species_Support!CX43)^2*(S13_PSP_Species_Support!CY43*(1-EXP(-S13_PSP_Species_Support!CZ43*20))^S13_PSP_Species_Support!DA43))^0.976,0))/1000/$G56*AC$108,0)</x:f>
        <x:v>377.2251349593497</x:v>
      </x:c>
      <x:c r="AD56" s="148" t="n">
        <x:f aca="0">IF(2020&lt;$F56,0,INDEX($I56:$AC56,1,2020-$F56+1))</x:f>
        <x:v>0</x:v>
      </x:c>
      <x:c r="AE56" s="148" t="n">
        <x:f aca="0">IF(2021&lt;$F56,0,INDEX($I56:$AC56,1,2021-$F56+1))</x:f>
        <x:v>0.04102442173026943</x:v>
      </x:c>
      <x:c r="AF56" s="148" t="n">
        <x:f aca="0">IF(2022&lt;$F56,0,INDEX($I56:$AC56,1,2022-$F56+1))</x:f>
        <x:v>0.623638898058351</x:v>
      </x:c>
      <x:c r="AG56" s="148" t="n">
        <x:f aca="0">IF(2023&lt;$F56,0,INDEX($I56:$AC56,1,2023-$F56+1))</x:f>
        <x:v>2.7971703498012324</x:v>
      </x:c>
      <x:c r="AH56" s="148" t="n">
        <x:f aca="0">IF(2024&lt;$F56,0,INDEX($I56:$AC56,1,2024-$F56+1))</x:f>
        <x:v>7.677423570967299</x:v>
      </x:c>
      <x:c r="AI56" s="148" t="n">
        <x:f aca="0">IF(2025&lt;$F56,0,INDEX($I56:$AC56,1,2025-$F56+1))</x:f>
        <x:v>16.04540935752507</x:v>
      </x:c>
      <x:c r="AJ56" s="148" t="n">
        <x:f aca="0">IF(2026&lt;$F56,0,INDEX($I56:$AC56,1,2026-$F56+1))</x:f>
        <x:v>28.271183104061542</x:v>
      </x:c>
      <x:c r="AK56" s="148" t="n">
        <x:f aca="0">IF(2027&lt;$F56,0,INDEX($I56:$AC56,1,2027-$F56+1))</x:f>
        <x:v>44.337802716701276</x:v>
      </x:c>
      <x:c r="AL56" s="148" t="n">
        <x:f aca="0">IF(2028&lt;$F56,0,INDEX($I56:$AC56,1,2028-$F56+1))</x:f>
        <x:v>63.930353822680985</x:v>
      </x:c>
      <x:c r="AM56" s="148" t="n">
        <x:f aca="0">IF(2029&lt;$F56,0,INDEX($I56:$AC56,1,2029-$F56+1))</x:f>
        <x:v>86.5379502067227</x:v>
      </x:c>
      <x:c r="AN56" s="148" t="n">
        <x:f aca="0">IF(2030&lt;$F56,0,INDEX($I56:$AC56,1,2030-$F56+1))</x:f>
        <x:v>111.54561542646641</x:v>
      </x:c>
      <x:c r="AO56" s="148" t="n">
        <x:f aca="0">IF(2031&lt;$F56,0,INDEX($I56:$AC56,1,2031-$F56+1))</x:f>
        <x:v>138.3069238388022</x:v>
      </x:c>
      <x:c r="AP56" s="148" t="n">
        <x:f aca="0">IF(2032&lt;$F56,0,INDEX($I56:$AC56,1,2032-$F56+1))</x:f>
        <x:v>166.19595947588004</x:v>
      </x:c>
      <x:c r="AQ56" s="148" t="n">
        <x:f aca="0">IF(2033&lt;$F56,0,INDEX($I56:$AC56,1,2033-$F56+1))</x:f>
        <x:v>194.64085091690626</x:v>
      </x:c>
      <x:c r="AR56" s="148" t="n">
        <x:f aca="0">IF(2034&lt;$F56,0,INDEX($I56:$AC56,1,2034-$F56+1))</x:f>
        <x:v>223.14252549143902</x:v>
      </x:c>
      <x:c r="AS56" s="148" t="n">
        <x:f aca="0">IF(2035&lt;$F56,0,INDEX($I56:$AC56,1,2035-$F56+1))</x:f>
        <x:v>251.28247729439093</x:v>
      </x:c>
      <x:c r="AT56" s="148" t="n">
        <x:f aca="0">IF(2036&lt;$F56,0,INDEX($I56:$AC56,1,2036-$F56+1))</x:f>
        <x:v>278.72291411766497</x:v>
      </x:c>
      <x:c r="AU56" s="148" t="n">
        <x:f aca="0">IF(2037&lt;$F56,0,INDEX($I56:$AC56,1,2037-$F56+1))</x:f>
        <x:v>305.20200919046033</x:v>
      </x:c>
      <x:c r="AV56" s="148" t="n">
        <x:f aca="0">IF(2038&lt;$F56,0,INDEX($I56:$AC56,1,2038-$F56+1))</x:f>
        <x:v>330.52632903116677</x:v>
      </x:c>
      <x:c r="AW56" s="148" t="n">
        <x:f aca="0">IF(2039&lt;$F56,0,INDEX($I56:$AC56,1,2039-$F56+1))</x:f>
        <x:v>354.5619289745863</x:v>
      </x:c>
      <x:c r="AX56" s="148" t="n">
        <x:f aca="0">IF(2040&lt;$F56,0,INDEX($I56:$AC56,1,2040-$F56+1))</x:f>
        <x:v>377.2251349593497</x:v>
      </x:c>
      <x:c r="AY56" s="1" t="str">
        <x:f aca="0">LEFT($C56,FIND("@",SUBSTITUTE($C56,"|","@",2))-1)</x:f>
        <x:v>Timber Plantation|High</x:v>
      </x:c>
      <x:c r="AZ56" s="1" t="str">
        <x:f aca="0">LEFT($C56,FIND("|",$C56)-1)</x:f>
        <x:v>Timber Plantation</x:v>
      </x:c>
      <x:c r="BA56" s="149" t="n">
        <x:f aca="0">I56*I56</x:f>
        <x:v>0</x:v>
      </x:c>
      <x:c r="BB56" s="149" t="n">
        <x:f aca="0">J56*J56</x:f>
        <x:v>0.0016830031783030023</x:v>
      </x:c>
      <x:c r="BC56" s="149" t="n">
        <x:f aca="0">K56*K56</x:f>
        <x:v>0.3889254751714344</x:v>
      </x:c>
      <x:c r="BD56" s="149" t="n">
        <x:f aca="0">L56*L56</x:f>
        <x:v>7.824161965807148</x:v>
      </x:c>
      <x:c r="BE56" s="149" t="n">
        <x:f aca="0">M56*M56</x:f>
        <x:v>58.94283268804428</x:v>
      </x:c>
      <x:c r="BF56" s="149" t="n">
        <x:f aca="0">N56*N56</x:f>
        <x:v>257.4551614505531</x:v>
      </x:c>
      <x:c r="BG56" s="149" t="n">
        <x:f aca="0">O56*O56</x:f>
        <x:v>799.2597941033748</x:v>
      </x:c>
      <x:c r="BH56" s="149" t="n">
        <x:f aca="0">P56*P56</x:f>
        <x:v>1965.840749745123</x:v>
      </x:c>
      <x:c r="BI56" s="149" t="n">
        <x:f aca="0">Q56*Q56</x:f>
        <x:v>4087.090139893181</x:v>
      </x:c>
      <x:c r="BJ56" s="149" t="n">
        <x:f aca="0">R56*R56</x:f>
        <x:v>7488.816825981217</x:v>
      </x:c>
      <x:c r="BK56" s="149" t="n">
        <x:f aca="0">S56*S56</x:f>
        <x:v>12442.424320869142</x:v>
      </x:c>
      <x:c r="BL56" s="149" t="n">
        <x:f aca="0">T56*T56</x:f>
        <x:v>19128.80518175223</x:v>
      </x:c>
      <x:c r="BM56" s="149" t="n">
        <x:f aca="0">U56*U56</x:f>
        <x:v>27621.096946108362</x:v>
      </x:c>
      <x:c r="BN56" s="149" t="n">
        <x:f aca="0">V56*V56</x:f>
        <x:v>37885.06084565733</x:v>
      </x:c>
      <x:c r="BO56" s="149" t="n">
        <x:f aca="0">W56*W56</x:f>
        <x:v>49792.58668269751</x:v>
      </x:c>
      <x:c r="BP56" s="149" t="n">
        <x:f aca="0">X56*X56</x:f>
        <x:v>63142.883395206096</x:v>
      </x:c>
      <x:c r="BQ56" s="149" t="n">
        <x:f aca="0">Y56*Y56</x:f>
        <x:v>77686.46285424325</x:v>
      </x:c>
      <x:c r="BR56" s="149" t="n">
        <x:f aca="0">Z56*Z56</x:f>
        <x:v>93148.26641389383</x:v>
      </x:c>
      <x:c r="BS56" s="149" t="n">
        <x:f aca="0">AA56*AA56</x:f>
        <x:v>109247.65418281911</x:v>
      </x:c>
      <x:c r="BT56" s="149" t="n">
        <x:f aca="0">AB56*AB56</x:f>
        <x:v>125714.16147817958</x:v>
      </x:c>
      <x:c r="BU56" s="149" t="n">
        <x:f aca="0">AC56*AC56</x:f>
        <x:v>142298.8024450996</x:v>
      </x:c>
    </x:row>
    <x:row r="57" ht="15" hidden="0" customHeight="1">
      <x:c r="A57" s="1" t="str">
        <x:f aca="0">S13_PSP_Species_Support!A44</x:f>
        <x:v>PSP-TP-003</x:v>
      </x:c>
      <x:c r="B57" s="1" t="n">
        <x:f aca="0">44</x:f>
        <x:v>44</x:v>
      </x:c>
      <x:c r="C57" s="1" t="str">
        <x:f aca="0">S13_PSP_Species_Support!I44</x:f>
        <x:v>Timber Plantation|High|2020</x:v>
      </x:c>
      <x:c r="D57" s="1" t="str">
        <x:f aca="0">S13_PSP_Species_Support!C44</x:f>
        <x:v>Timber Plantation</x:v>
      </x:c>
      <x:c r="E57" s="1" t="str">
        <x:f aca="0">S13_PSP_Species_Support!D44</x:f>
        <x:v>High</x:v>
      </x:c>
      <x:c r="F57" s="1" t="n">
        <x:f aca="0">S13_PSP_Species_Support!E44</x:f>
        <x:v>2020</x:v>
      </x:c>
      <x:c r="G57" s="645" t="n">
        <x:f aca="0">'S13_PSP_Species_Support'!DJ44</x:f>
        <x:v>0.09</x:v>
      </x:c>
      <x:c r="H57" s="714" t="n">
        <x:f aca="0">'S13_PSP_Species_Support'!DK44</x:f>
        <x:v>240.44838860345632</x:v>
      </x:c>
      <x:c r="I57" s="147" t="n">
        <x:f aca="0">IFERROR((IFERROR(S13_PSP_Species_Support!U44*0.0673*(S13_PSP_Species_Support!V44*(S13_PSP_Species_Support!W44*(1-EXP(-S13_PSP_Species_Support!X44*0))^S13_PSP_Species_Support!Y44)^2*(S13_PSP_Species_Support!Z44*(1-EXP(-S13_PSP_Species_Support!AA44*0))^S13_PSP_Species_Support!AB44))^0.976,0)+IFERROR(S13_PSP_Species_Support!AF44*0.0673*(S13_PSP_Species_Support!AG44*(S13_PSP_Species_Support!AH44*(1-EXP(-S13_PSP_Species_Support!AI44*0))^S13_PSP_Species_Support!AJ44)^2*(S13_PSP_Species_Support!AK44*(1-EXP(-S13_PSP_Species_Support!AL44*0))^S13_PSP_Species_Support!AM44))^0.976,0)+IFERROR(S13_PSP_Species_Support!AQ44*0.0673*(S13_PSP_Species_Support!AR44*(S13_PSP_Species_Support!AS44*(1-EXP(-S13_PSP_Species_Support!AT44*0))^S13_PSP_Species_Support!AU44)^2*(S13_PSP_Species_Support!AV44*(1-EXP(-S13_PSP_Species_Support!AW44*0))^S13_PSP_Species_Support!AX44))^0.976,0)+IFERROR(S13_PSP_Species_Support!BB44*0.0673*(S13_PSP_Species_Support!BC44*(S13_PSP_Species_Support!BD44*(1-EXP(-S13_PSP_Species_Support!BE44*0))^S13_PSP_Species_Support!BF44)^2*(S13_PSP_Species_Support!BG44*(1-EXP(-S13_PSP_Species_Support!BH44*0))^S13_PSP_Species_Support!BI44))^0.976,0)+IFERROR(S13_PSP_Species_Support!BM44*0.0673*(S13_PSP_Species_Support!BN44*(S13_PSP_Species_Support!BO44*(1-EXP(-S13_PSP_Species_Support!BP44*0))^S13_PSP_Species_Support!BQ44)^2*(S13_PSP_Species_Support!BR44*(1-EXP(-S13_PSP_Species_Support!BS44*0))^S13_PSP_Species_Support!BT44))^0.976,0)+IFERROR(S13_PSP_Species_Support!BX44*0.0673*(S13_PSP_Species_Support!BY44*(S13_PSP_Species_Support!BZ44*(1-EXP(-S13_PSP_Species_Support!CA44*0))^S13_PSP_Species_Support!CB44)^2*(S13_PSP_Species_Support!CC44*(1-EXP(-S13_PSP_Species_Support!CD44*0))^S13_PSP_Species_Support!CE44))^0.976,0)+IFERROR(S13_PSP_Species_Support!CI44*0.0673*(S13_PSP_Species_Support!CJ44*(S13_PSP_Species_Support!CK44*(1-EXP(-S13_PSP_Species_Support!CL44*0))^S13_PSP_Species_Support!CM44)^2*(S13_PSP_Species_Support!CN44*(1-EXP(-S13_PSP_Species_Support!CO44*0))^S13_PSP_Species_Support!CP44))^0.976,0)+IFERROR(S13_PSP_Species_Support!CT44*0.0673*(S13_PSP_Species_Support!CU44*(S13_PSP_Species_Support!CV44*(1-EXP(-S13_PSP_Species_Support!CW44*0))^S13_PSP_Species_Support!CX44)^2*(S13_PSP_Species_Support!CY44*(1-EXP(-S13_PSP_Species_Support!CZ44*0))^S13_PSP_Species_Support!DA44))^0.976,0))/1000/$G57*I$108,0)</x:f>
        <x:v>0</x:v>
      </x:c>
      <x:c r="J57" s="147" t="n">
        <x:f aca="0">IFERROR((IFERROR(S13_PSP_Species_Support!U44*0.0673*(S13_PSP_Species_Support!V44*(S13_PSP_Species_Support!W44*(1-EXP(-S13_PSP_Species_Support!X44*1))^S13_PSP_Species_Support!Y44)^2*(S13_PSP_Species_Support!Z44*(1-EXP(-S13_PSP_Species_Support!AA44*1))^S13_PSP_Species_Support!AB44))^0.976,0)+IFERROR(S13_PSP_Species_Support!AF44*0.0673*(S13_PSP_Species_Support!AG44*(S13_PSP_Species_Support!AH44*(1-EXP(-S13_PSP_Species_Support!AI44*1))^S13_PSP_Species_Support!AJ44)^2*(S13_PSP_Species_Support!AK44*(1-EXP(-S13_PSP_Species_Support!AL44*1))^S13_PSP_Species_Support!AM44))^0.976,0)+IFERROR(S13_PSP_Species_Support!AQ44*0.0673*(S13_PSP_Species_Support!AR44*(S13_PSP_Species_Support!AS44*(1-EXP(-S13_PSP_Species_Support!AT44*1))^S13_PSP_Species_Support!AU44)^2*(S13_PSP_Species_Support!AV44*(1-EXP(-S13_PSP_Species_Support!AW44*1))^S13_PSP_Species_Support!AX44))^0.976,0)+IFERROR(S13_PSP_Species_Support!BB44*0.0673*(S13_PSP_Species_Support!BC44*(S13_PSP_Species_Support!BD44*(1-EXP(-S13_PSP_Species_Support!BE44*1))^S13_PSP_Species_Support!BF44)^2*(S13_PSP_Species_Support!BG44*(1-EXP(-S13_PSP_Species_Support!BH44*1))^S13_PSP_Species_Support!BI44))^0.976,0)+IFERROR(S13_PSP_Species_Support!BM44*0.0673*(S13_PSP_Species_Support!BN44*(S13_PSP_Species_Support!BO44*(1-EXP(-S13_PSP_Species_Support!BP44*1))^S13_PSP_Species_Support!BQ44)^2*(S13_PSP_Species_Support!BR44*(1-EXP(-S13_PSP_Species_Support!BS44*1))^S13_PSP_Species_Support!BT44))^0.976,0)+IFERROR(S13_PSP_Species_Support!BX44*0.0673*(S13_PSP_Species_Support!BY44*(S13_PSP_Species_Support!BZ44*(1-EXP(-S13_PSP_Species_Support!CA44*1))^S13_PSP_Species_Support!CB44)^2*(S13_PSP_Species_Support!CC44*(1-EXP(-S13_PSP_Species_Support!CD44*1))^S13_PSP_Species_Support!CE44))^0.976,0)+IFERROR(S13_PSP_Species_Support!CI44*0.0673*(S13_PSP_Species_Support!CJ44*(S13_PSP_Species_Support!CK44*(1-EXP(-S13_PSP_Species_Support!CL44*1))^S13_PSP_Species_Support!CM44)^2*(S13_PSP_Species_Support!CN44*(1-EXP(-S13_PSP_Species_Support!CO44*1))^S13_PSP_Species_Support!CP44))^0.976,0)+IFERROR(S13_PSP_Species_Support!CT44*0.0673*(S13_PSP_Species_Support!CU44*(S13_PSP_Species_Support!CV44*(1-EXP(-S13_PSP_Species_Support!CW44*1))^S13_PSP_Species_Support!CX44)^2*(S13_PSP_Species_Support!CY44*(1-EXP(-S13_PSP_Species_Support!CZ44*1))^S13_PSP_Species_Support!DA44))^0.976,0))/1000/$G57*J$108,0)</x:f>
        <x:v>7.1134412571287875</x:v>
      </x:c>
      <x:c r="K57" s="147" t="n">
        <x:f aca="0">IFERROR((IFERROR(S13_PSP_Species_Support!U44*0.0673*(S13_PSP_Species_Support!V44*(S13_PSP_Species_Support!W44*(1-EXP(-S13_PSP_Species_Support!X44*2))^S13_PSP_Species_Support!Y44)^2*(S13_PSP_Species_Support!Z44*(1-EXP(-S13_PSP_Species_Support!AA44*2))^S13_PSP_Species_Support!AB44))^0.976,0)+IFERROR(S13_PSP_Species_Support!AF44*0.0673*(S13_PSP_Species_Support!AG44*(S13_PSP_Species_Support!AH44*(1-EXP(-S13_PSP_Species_Support!AI44*2))^S13_PSP_Species_Support!AJ44)^2*(S13_PSP_Species_Support!AK44*(1-EXP(-S13_PSP_Species_Support!AL44*2))^S13_PSP_Species_Support!AM44))^0.976,0)+IFERROR(S13_PSP_Species_Support!AQ44*0.0673*(S13_PSP_Species_Support!AR44*(S13_PSP_Species_Support!AS44*(1-EXP(-S13_PSP_Species_Support!AT44*2))^S13_PSP_Species_Support!AU44)^2*(S13_PSP_Species_Support!AV44*(1-EXP(-S13_PSP_Species_Support!AW44*2))^S13_PSP_Species_Support!AX44))^0.976,0)+IFERROR(S13_PSP_Species_Support!BB44*0.0673*(S13_PSP_Species_Support!BC44*(S13_PSP_Species_Support!BD44*(1-EXP(-S13_PSP_Species_Support!BE44*2))^S13_PSP_Species_Support!BF44)^2*(S13_PSP_Species_Support!BG44*(1-EXP(-S13_PSP_Species_Support!BH44*2))^S13_PSP_Species_Support!BI44))^0.976,0)+IFERROR(S13_PSP_Species_Support!BM44*0.0673*(S13_PSP_Species_Support!BN44*(S13_PSP_Species_Support!BO44*(1-EXP(-S13_PSP_Species_Support!BP44*2))^S13_PSP_Species_Support!BQ44)^2*(S13_PSP_Species_Support!BR44*(1-EXP(-S13_PSP_Species_Support!BS44*2))^S13_PSP_Species_Support!BT44))^0.976,0)+IFERROR(S13_PSP_Species_Support!BX44*0.0673*(S13_PSP_Species_Support!BY44*(S13_PSP_Species_Support!BZ44*(1-EXP(-S13_PSP_Species_Support!CA44*2))^S13_PSP_Species_Support!CB44)^2*(S13_PSP_Species_Support!CC44*(1-EXP(-S13_PSP_Species_Support!CD44*2))^S13_PSP_Species_Support!CE44))^0.976,0)+IFERROR(S13_PSP_Species_Support!CI44*0.0673*(S13_PSP_Species_Support!CJ44*(S13_PSP_Species_Support!CK44*(1-EXP(-S13_PSP_Species_Support!CL44*2))^S13_PSP_Species_Support!CM44)^2*(S13_PSP_Species_Support!CN44*(1-EXP(-S13_PSP_Species_Support!CO44*2))^S13_PSP_Species_Support!CP44))^0.976,0)+IFERROR(S13_PSP_Species_Support!CT44*0.0673*(S13_PSP_Species_Support!CU44*(S13_PSP_Species_Support!CV44*(1-EXP(-S13_PSP_Species_Support!CW44*2))^S13_PSP_Species_Support!CX44)^2*(S13_PSP_Species_Support!CY44*(1-EXP(-S13_PSP_Species_Support!CZ44*2))^S13_PSP_Species_Support!DA44))^0.976,0))/1000/$G57*K$108,0)</x:f>
        <x:v>64.88695727107995</x:v>
      </x:c>
      <x:c r="L57" s="147" t="n">
        <x:f aca="0">IFERROR((IFERROR(S13_PSP_Species_Support!U44*0.0673*(S13_PSP_Species_Support!V44*(S13_PSP_Species_Support!W44*(1-EXP(-S13_PSP_Species_Support!X44*3))^S13_PSP_Species_Support!Y44)^2*(S13_PSP_Species_Support!Z44*(1-EXP(-S13_PSP_Species_Support!AA44*3))^S13_PSP_Species_Support!AB44))^0.976,0)+IFERROR(S13_PSP_Species_Support!AF44*0.0673*(S13_PSP_Species_Support!AG44*(S13_PSP_Species_Support!AH44*(1-EXP(-S13_PSP_Species_Support!AI44*3))^S13_PSP_Species_Support!AJ44)^2*(S13_PSP_Species_Support!AK44*(1-EXP(-S13_PSP_Species_Support!AL44*3))^S13_PSP_Species_Support!AM44))^0.976,0)+IFERROR(S13_PSP_Species_Support!AQ44*0.0673*(S13_PSP_Species_Support!AR44*(S13_PSP_Species_Support!AS44*(1-EXP(-S13_PSP_Species_Support!AT44*3))^S13_PSP_Species_Support!AU44)^2*(S13_PSP_Species_Support!AV44*(1-EXP(-S13_PSP_Species_Support!AW44*3))^S13_PSP_Species_Support!AX44))^0.976,0)+IFERROR(S13_PSP_Species_Support!BB44*0.0673*(S13_PSP_Species_Support!BC44*(S13_PSP_Species_Support!BD44*(1-EXP(-S13_PSP_Species_Support!BE44*3))^S13_PSP_Species_Support!BF44)^2*(S13_PSP_Species_Support!BG44*(1-EXP(-S13_PSP_Species_Support!BH44*3))^S13_PSP_Species_Support!BI44))^0.976,0)+IFERROR(S13_PSP_Species_Support!BM44*0.0673*(S13_PSP_Species_Support!BN44*(S13_PSP_Species_Support!BO44*(1-EXP(-S13_PSP_Species_Support!BP44*3))^S13_PSP_Species_Support!BQ44)^2*(S13_PSP_Species_Support!BR44*(1-EXP(-S13_PSP_Species_Support!BS44*3))^S13_PSP_Species_Support!BT44))^0.976,0)+IFERROR(S13_PSP_Species_Support!BX44*0.0673*(S13_PSP_Species_Support!BY44*(S13_PSP_Species_Support!BZ44*(1-EXP(-S13_PSP_Species_Support!CA44*3))^S13_PSP_Species_Support!CB44)^2*(S13_PSP_Species_Support!CC44*(1-EXP(-S13_PSP_Species_Support!CD44*3))^S13_PSP_Species_Support!CE44))^0.976,0)+IFERROR(S13_PSP_Species_Support!CI44*0.0673*(S13_PSP_Species_Support!CJ44*(S13_PSP_Species_Support!CK44*(1-EXP(-S13_PSP_Species_Support!CL44*3))^S13_PSP_Species_Support!CM44)^2*(S13_PSP_Species_Support!CN44*(1-EXP(-S13_PSP_Species_Support!CO44*3))^S13_PSP_Species_Support!CP44))^0.976,0)+IFERROR(S13_PSP_Species_Support!CT44*0.0673*(S13_PSP_Species_Support!CU44*(S13_PSP_Species_Support!CV44*(1-EXP(-S13_PSP_Species_Support!CW44*3))^S13_PSP_Species_Support!CX44)^2*(S13_PSP_Species_Support!CY44*(1-EXP(-S13_PSP_Species_Support!CZ44*3))^S13_PSP_Species_Support!DA44))^0.976,0))/1000/$G57*L$108,0)</x:f>
        <x:v>208.09328138653436</x:v>
      </x:c>
      <x:c r="M57" s="147" t="n">
        <x:f aca="0">IFERROR((IFERROR(S13_PSP_Species_Support!U44*0.0673*(S13_PSP_Species_Support!V44*(S13_PSP_Species_Support!W44*(1-EXP(-S13_PSP_Species_Support!X44*4))^S13_PSP_Species_Support!Y44)^2*(S13_PSP_Species_Support!Z44*(1-EXP(-S13_PSP_Species_Support!AA44*4))^S13_PSP_Species_Support!AB44))^0.976,0)+IFERROR(S13_PSP_Species_Support!AF44*0.0673*(S13_PSP_Species_Support!AG44*(S13_PSP_Species_Support!AH44*(1-EXP(-S13_PSP_Species_Support!AI44*4))^S13_PSP_Species_Support!AJ44)^2*(S13_PSP_Species_Support!AK44*(1-EXP(-S13_PSP_Species_Support!AL44*4))^S13_PSP_Species_Support!AM44))^0.976,0)+IFERROR(S13_PSP_Species_Support!AQ44*0.0673*(S13_PSP_Species_Support!AR44*(S13_PSP_Species_Support!AS44*(1-EXP(-S13_PSP_Species_Support!AT44*4))^S13_PSP_Species_Support!AU44)^2*(S13_PSP_Species_Support!AV44*(1-EXP(-S13_PSP_Species_Support!AW44*4))^S13_PSP_Species_Support!AX44))^0.976,0)+IFERROR(S13_PSP_Species_Support!BB44*0.0673*(S13_PSP_Species_Support!BC44*(S13_PSP_Species_Support!BD44*(1-EXP(-S13_PSP_Species_Support!BE44*4))^S13_PSP_Species_Support!BF44)^2*(S13_PSP_Species_Support!BG44*(1-EXP(-S13_PSP_Species_Support!BH44*4))^S13_PSP_Species_Support!BI44))^0.976,0)+IFERROR(S13_PSP_Species_Support!BM44*0.0673*(S13_PSP_Species_Support!BN44*(S13_PSP_Species_Support!BO44*(1-EXP(-S13_PSP_Species_Support!BP44*4))^S13_PSP_Species_Support!BQ44)^2*(S13_PSP_Species_Support!BR44*(1-EXP(-S13_PSP_Species_Support!BS44*4))^S13_PSP_Species_Support!BT44))^0.976,0)+IFERROR(S13_PSP_Species_Support!BX44*0.0673*(S13_PSP_Species_Support!BY44*(S13_PSP_Species_Support!BZ44*(1-EXP(-S13_PSP_Species_Support!CA44*4))^S13_PSP_Species_Support!CB44)^2*(S13_PSP_Species_Support!CC44*(1-EXP(-S13_PSP_Species_Support!CD44*4))^S13_PSP_Species_Support!CE44))^0.976,0)+IFERROR(S13_PSP_Species_Support!CI44*0.0673*(S13_PSP_Species_Support!CJ44*(S13_PSP_Species_Support!CK44*(1-EXP(-S13_PSP_Species_Support!CL44*4))^S13_PSP_Species_Support!CM44)^2*(S13_PSP_Species_Support!CN44*(1-EXP(-S13_PSP_Species_Support!CO44*4))^S13_PSP_Species_Support!CP44))^0.976,0)+IFERROR(S13_PSP_Species_Support!CT44*0.0673*(S13_PSP_Species_Support!CU44*(S13_PSP_Species_Support!CV44*(1-EXP(-S13_PSP_Species_Support!CW44*4))^S13_PSP_Species_Support!CX44)^2*(S13_PSP_Species_Support!CY44*(1-EXP(-S13_PSP_Species_Support!CZ44*4))^S13_PSP_Species_Support!DA44))^0.976,0))/1000/$G57*M$108,0)</x:f>
        <x:v>440.501966142985</x:v>
      </x:c>
      <x:c r="N57" s="147" t="n">
        <x:f aca="0">IFERROR((IFERROR(S13_PSP_Species_Support!U44*0.0673*(S13_PSP_Species_Support!V44*(S13_PSP_Species_Support!W44*(1-EXP(-S13_PSP_Species_Support!X44*5))^S13_PSP_Species_Support!Y44)^2*(S13_PSP_Species_Support!Z44*(1-EXP(-S13_PSP_Species_Support!AA44*5))^S13_PSP_Species_Support!AB44))^0.976,0)+IFERROR(S13_PSP_Species_Support!AF44*0.0673*(S13_PSP_Species_Support!AG44*(S13_PSP_Species_Support!AH44*(1-EXP(-S13_PSP_Species_Support!AI44*5))^S13_PSP_Species_Support!AJ44)^2*(S13_PSP_Species_Support!AK44*(1-EXP(-S13_PSP_Species_Support!AL44*5))^S13_PSP_Species_Support!AM44))^0.976,0)+IFERROR(S13_PSP_Species_Support!AQ44*0.0673*(S13_PSP_Species_Support!AR44*(S13_PSP_Species_Support!AS44*(1-EXP(-S13_PSP_Species_Support!AT44*5))^S13_PSP_Species_Support!AU44)^2*(S13_PSP_Species_Support!AV44*(1-EXP(-S13_PSP_Species_Support!AW44*5))^S13_PSP_Species_Support!AX44))^0.976,0)+IFERROR(S13_PSP_Species_Support!BB44*0.0673*(S13_PSP_Species_Support!BC44*(S13_PSP_Species_Support!BD44*(1-EXP(-S13_PSP_Species_Support!BE44*5))^S13_PSP_Species_Support!BF44)^2*(S13_PSP_Species_Support!BG44*(1-EXP(-S13_PSP_Species_Support!BH44*5))^S13_PSP_Species_Support!BI44))^0.976,0)+IFERROR(S13_PSP_Species_Support!BM44*0.0673*(S13_PSP_Species_Support!BN44*(S13_PSP_Species_Support!BO44*(1-EXP(-S13_PSP_Species_Support!BP44*5))^S13_PSP_Species_Support!BQ44)^2*(S13_PSP_Species_Support!BR44*(1-EXP(-S13_PSP_Species_Support!BS44*5))^S13_PSP_Species_Support!BT44))^0.976,0)+IFERROR(S13_PSP_Species_Support!BX44*0.0673*(S13_PSP_Species_Support!BY44*(S13_PSP_Species_Support!BZ44*(1-EXP(-S13_PSP_Species_Support!CA44*5))^S13_PSP_Species_Support!CB44)^2*(S13_PSP_Species_Support!CC44*(1-EXP(-S13_PSP_Species_Support!CD44*5))^S13_PSP_Species_Support!CE44))^0.976,0)+IFERROR(S13_PSP_Species_Support!CI44*0.0673*(S13_PSP_Species_Support!CJ44*(S13_PSP_Species_Support!CK44*(1-EXP(-S13_PSP_Species_Support!CL44*5))^S13_PSP_Species_Support!CM44)^2*(S13_PSP_Species_Support!CN44*(1-EXP(-S13_PSP_Species_Support!CO44*5))^S13_PSP_Species_Support!CP44))^0.976,0)+IFERROR(S13_PSP_Species_Support!CT44*0.0673*(S13_PSP_Species_Support!CU44*(S13_PSP_Species_Support!CV44*(1-EXP(-S13_PSP_Species_Support!CW44*5))^S13_PSP_Species_Support!CX44)^2*(S13_PSP_Species_Support!CY44*(1-EXP(-S13_PSP_Species_Support!CZ44*5))^S13_PSP_Species_Support!DA44))^0.976,0))/1000/$G57*N$108,0)</x:f>
        <x:v>742.2629928286347</x:v>
      </x:c>
      <x:c r="O57" s="147" t="n">
        <x:f aca="0">IFERROR((IFERROR(S13_PSP_Species_Support!U44*0.0673*(S13_PSP_Species_Support!V44*(S13_PSP_Species_Support!W44*(1-EXP(-S13_PSP_Species_Support!X44*6))^S13_PSP_Species_Support!Y44)^2*(S13_PSP_Species_Support!Z44*(1-EXP(-S13_PSP_Species_Support!AA44*6))^S13_PSP_Species_Support!AB44))^0.976,0)+IFERROR(S13_PSP_Species_Support!AF44*0.0673*(S13_PSP_Species_Support!AG44*(S13_PSP_Species_Support!AH44*(1-EXP(-S13_PSP_Species_Support!AI44*6))^S13_PSP_Species_Support!AJ44)^2*(S13_PSP_Species_Support!AK44*(1-EXP(-S13_PSP_Species_Support!AL44*6))^S13_PSP_Species_Support!AM44))^0.976,0)+IFERROR(S13_PSP_Species_Support!AQ44*0.0673*(S13_PSP_Species_Support!AR44*(S13_PSP_Species_Support!AS44*(1-EXP(-S13_PSP_Species_Support!AT44*6))^S13_PSP_Species_Support!AU44)^2*(S13_PSP_Species_Support!AV44*(1-EXP(-S13_PSP_Species_Support!AW44*6))^S13_PSP_Species_Support!AX44))^0.976,0)+IFERROR(S13_PSP_Species_Support!BB44*0.0673*(S13_PSP_Species_Support!BC44*(S13_PSP_Species_Support!BD44*(1-EXP(-S13_PSP_Species_Support!BE44*6))^S13_PSP_Species_Support!BF44)^2*(S13_PSP_Species_Support!BG44*(1-EXP(-S13_PSP_Species_Support!BH44*6))^S13_PSP_Species_Support!BI44))^0.976,0)+IFERROR(S13_PSP_Species_Support!BM44*0.0673*(S13_PSP_Species_Support!BN44*(S13_PSP_Species_Support!BO44*(1-EXP(-S13_PSP_Species_Support!BP44*6))^S13_PSP_Species_Support!BQ44)^2*(S13_PSP_Species_Support!BR44*(1-EXP(-S13_PSP_Species_Support!BS44*6))^S13_PSP_Species_Support!BT44))^0.976,0)+IFERROR(S13_PSP_Species_Support!BX44*0.0673*(S13_PSP_Species_Support!BY44*(S13_PSP_Species_Support!BZ44*(1-EXP(-S13_PSP_Species_Support!CA44*6))^S13_PSP_Species_Support!CB44)^2*(S13_PSP_Species_Support!CC44*(1-EXP(-S13_PSP_Species_Support!CD44*6))^S13_PSP_Species_Support!CE44))^0.976,0)+IFERROR(S13_PSP_Species_Support!CI44*0.0673*(S13_PSP_Species_Support!CJ44*(S13_PSP_Species_Support!CK44*(1-EXP(-S13_PSP_Species_Support!CL44*6))^S13_PSP_Species_Support!CM44)^2*(S13_PSP_Species_Support!CN44*(1-EXP(-S13_PSP_Species_Support!CO44*6))^S13_PSP_Species_Support!CP44))^0.976,0)+IFERROR(S13_PSP_Species_Support!CT44*0.0673*(S13_PSP_Species_Support!CU44*(S13_PSP_Species_Support!CV44*(1-EXP(-S13_PSP_Species_Support!CW44*6))^S13_PSP_Species_Support!CX44)^2*(S13_PSP_Species_Support!CY44*(1-EXP(-S13_PSP_Species_Support!CZ44*6))^S13_PSP_Species_Support!DA44))^0.976,0))/1000/$G57*O$108,0)</x:f>
        <x:v>1086.9411058029489</x:v>
      </x:c>
      <x:c r="P57" s="147" t="n">
        <x:f aca="0">IFERROR((IFERROR(S13_PSP_Species_Support!U44*0.0673*(S13_PSP_Species_Support!V44*(S13_PSP_Species_Support!W44*(1-EXP(-S13_PSP_Species_Support!X44*7))^S13_PSP_Species_Support!Y44)^2*(S13_PSP_Species_Support!Z44*(1-EXP(-S13_PSP_Species_Support!AA44*7))^S13_PSP_Species_Support!AB44))^0.976,0)+IFERROR(S13_PSP_Species_Support!AF44*0.0673*(S13_PSP_Species_Support!AG44*(S13_PSP_Species_Support!AH44*(1-EXP(-S13_PSP_Species_Support!AI44*7))^S13_PSP_Species_Support!AJ44)^2*(S13_PSP_Species_Support!AK44*(1-EXP(-S13_PSP_Species_Support!AL44*7))^S13_PSP_Species_Support!AM44))^0.976,0)+IFERROR(S13_PSP_Species_Support!AQ44*0.0673*(S13_PSP_Species_Support!AR44*(S13_PSP_Species_Support!AS44*(1-EXP(-S13_PSP_Species_Support!AT44*7))^S13_PSP_Species_Support!AU44)^2*(S13_PSP_Species_Support!AV44*(1-EXP(-S13_PSP_Species_Support!AW44*7))^S13_PSP_Species_Support!AX44))^0.976,0)+IFERROR(S13_PSP_Species_Support!BB44*0.0673*(S13_PSP_Species_Support!BC44*(S13_PSP_Species_Support!BD44*(1-EXP(-S13_PSP_Species_Support!BE44*7))^S13_PSP_Species_Support!BF44)^2*(S13_PSP_Species_Support!BG44*(1-EXP(-S13_PSP_Species_Support!BH44*7))^S13_PSP_Species_Support!BI44))^0.976,0)+IFERROR(S13_PSP_Species_Support!BM44*0.0673*(S13_PSP_Species_Support!BN44*(S13_PSP_Species_Support!BO44*(1-EXP(-S13_PSP_Species_Support!BP44*7))^S13_PSP_Species_Support!BQ44)^2*(S13_PSP_Species_Support!BR44*(1-EXP(-S13_PSP_Species_Support!BS44*7))^S13_PSP_Species_Support!BT44))^0.976,0)+IFERROR(S13_PSP_Species_Support!BX44*0.0673*(S13_PSP_Species_Support!BY44*(S13_PSP_Species_Support!BZ44*(1-EXP(-S13_PSP_Species_Support!CA44*7))^S13_PSP_Species_Support!CB44)^2*(S13_PSP_Species_Support!CC44*(1-EXP(-S13_PSP_Species_Support!CD44*7))^S13_PSP_Species_Support!CE44))^0.976,0)+IFERROR(S13_PSP_Species_Support!CI44*0.0673*(S13_PSP_Species_Support!CJ44*(S13_PSP_Species_Support!CK44*(1-EXP(-S13_PSP_Species_Support!CL44*7))^S13_PSP_Species_Support!CM44)^2*(S13_PSP_Species_Support!CN44*(1-EXP(-S13_PSP_Species_Support!CO44*7))^S13_PSP_Species_Support!CP44))^0.976,0)+IFERROR(S13_PSP_Species_Support!CT44*0.0673*(S13_PSP_Species_Support!CU44*(S13_PSP_Species_Support!CV44*(1-EXP(-S13_PSP_Species_Support!CW44*7))^S13_PSP_Species_Support!CX44)^2*(S13_PSP_Species_Support!CY44*(1-EXP(-S13_PSP_Species_Support!CZ44*7))^S13_PSP_Species_Support!DA44))^0.976,0))/1000/$G57*P$108,0)</x:f>
        <x:v>1449.3462252597155</x:v>
      </x:c>
      <x:c r="Q57" s="147" t="n">
        <x:f aca="0">IFERROR((IFERROR(S13_PSP_Species_Support!U44*0.0673*(S13_PSP_Species_Support!V44*(S13_PSP_Species_Support!W44*(1-EXP(-S13_PSP_Species_Support!X44*8))^S13_PSP_Species_Support!Y44)^2*(S13_PSP_Species_Support!Z44*(1-EXP(-S13_PSP_Species_Support!AA44*8))^S13_PSP_Species_Support!AB44))^0.976,0)+IFERROR(S13_PSP_Species_Support!AF44*0.0673*(S13_PSP_Species_Support!AG44*(S13_PSP_Species_Support!AH44*(1-EXP(-S13_PSP_Species_Support!AI44*8))^S13_PSP_Species_Support!AJ44)^2*(S13_PSP_Species_Support!AK44*(1-EXP(-S13_PSP_Species_Support!AL44*8))^S13_PSP_Species_Support!AM44))^0.976,0)+IFERROR(S13_PSP_Species_Support!AQ44*0.0673*(S13_PSP_Species_Support!AR44*(S13_PSP_Species_Support!AS44*(1-EXP(-S13_PSP_Species_Support!AT44*8))^S13_PSP_Species_Support!AU44)^2*(S13_PSP_Species_Support!AV44*(1-EXP(-S13_PSP_Species_Support!AW44*8))^S13_PSP_Species_Support!AX44))^0.976,0)+IFERROR(S13_PSP_Species_Support!BB44*0.0673*(S13_PSP_Species_Support!BC44*(S13_PSP_Species_Support!BD44*(1-EXP(-S13_PSP_Species_Support!BE44*8))^S13_PSP_Species_Support!BF44)^2*(S13_PSP_Species_Support!BG44*(1-EXP(-S13_PSP_Species_Support!BH44*8))^S13_PSP_Species_Support!BI44))^0.976,0)+IFERROR(S13_PSP_Species_Support!BM44*0.0673*(S13_PSP_Species_Support!BN44*(S13_PSP_Species_Support!BO44*(1-EXP(-S13_PSP_Species_Support!BP44*8))^S13_PSP_Species_Support!BQ44)^2*(S13_PSP_Species_Support!BR44*(1-EXP(-S13_PSP_Species_Support!BS44*8))^S13_PSP_Species_Support!BT44))^0.976,0)+IFERROR(S13_PSP_Species_Support!BX44*0.0673*(S13_PSP_Species_Support!BY44*(S13_PSP_Species_Support!BZ44*(1-EXP(-S13_PSP_Species_Support!CA44*8))^S13_PSP_Species_Support!CB44)^2*(S13_PSP_Species_Support!CC44*(1-EXP(-S13_PSP_Species_Support!CD44*8))^S13_PSP_Species_Support!CE44))^0.976,0)+IFERROR(S13_PSP_Species_Support!CI44*0.0673*(S13_PSP_Species_Support!CJ44*(S13_PSP_Species_Support!CK44*(1-EXP(-S13_PSP_Species_Support!CL44*8))^S13_PSP_Species_Support!CM44)^2*(S13_PSP_Species_Support!CN44*(1-EXP(-S13_PSP_Species_Support!CO44*8))^S13_PSP_Species_Support!CP44))^0.976,0)+IFERROR(S13_PSP_Species_Support!CT44*0.0673*(S13_PSP_Species_Support!CU44*(S13_PSP_Species_Support!CV44*(1-EXP(-S13_PSP_Species_Support!CW44*8))^S13_PSP_Species_Support!CX44)^2*(S13_PSP_Species_Support!CY44*(1-EXP(-S13_PSP_Species_Support!CZ44*8))^S13_PSP_Species_Support!DA44))^0.976,0))/1000/$G57*Q$108,0)</x:f>
        <x:v>1809.2910650385136</x:v>
      </x:c>
      <x:c r="R57" s="147" t="n">
        <x:f aca="0">IFERROR((IFERROR(S13_PSP_Species_Support!U44*0.0673*(S13_PSP_Species_Support!V44*(S13_PSP_Species_Support!W44*(1-EXP(-S13_PSP_Species_Support!X44*9))^S13_PSP_Species_Support!Y44)^2*(S13_PSP_Species_Support!Z44*(1-EXP(-S13_PSP_Species_Support!AA44*9))^S13_PSP_Species_Support!AB44))^0.976,0)+IFERROR(S13_PSP_Species_Support!AF44*0.0673*(S13_PSP_Species_Support!AG44*(S13_PSP_Species_Support!AH44*(1-EXP(-S13_PSP_Species_Support!AI44*9))^S13_PSP_Species_Support!AJ44)^2*(S13_PSP_Species_Support!AK44*(1-EXP(-S13_PSP_Species_Support!AL44*9))^S13_PSP_Species_Support!AM44))^0.976,0)+IFERROR(S13_PSP_Species_Support!AQ44*0.0673*(S13_PSP_Species_Support!AR44*(S13_PSP_Species_Support!AS44*(1-EXP(-S13_PSP_Species_Support!AT44*9))^S13_PSP_Species_Support!AU44)^2*(S13_PSP_Species_Support!AV44*(1-EXP(-S13_PSP_Species_Support!AW44*9))^S13_PSP_Species_Support!AX44))^0.976,0)+IFERROR(S13_PSP_Species_Support!BB44*0.0673*(S13_PSP_Species_Support!BC44*(S13_PSP_Species_Support!BD44*(1-EXP(-S13_PSP_Species_Support!BE44*9))^S13_PSP_Species_Support!BF44)^2*(S13_PSP_Species_Support!BG44*(1-EXP(-S13_PSP_Species_Support!BH44*9))^S13_PSP_Species_Support!BI44))^0.976,0)+IFERROR(S13_PSP_Species_Support!BM44*0.0673*(S13_PSP_Species_Support!BN44*(S13_PSP_Species_Support!BO44*(1-EXP(-S13_PSP_Species_Support!BP44*9))^S13_PSP_Species_Support!BQ44)^2*(S13_PSP_Species_Support!BR44*(1-EXP(-S13_PSP_Species_Support!BS44*9))^S13_PSP_Species_Support!BT44))^0.976,0)+IFERROR(S13_PSP_Species_Support!BX44*0.0673*(S13_PSP_Species_Support!BY44*(S13_PSP_Species_Support!BZ44*(1-EXP(-S13_PSP_Species_Support!CA44*9))^S13_PSP_Species_Support!CB44)^2*(S13_PSP_Species_Support!CC44*(1-EXP(-S13_PSP_Species_Support!CD44*9))^S13_PSP_Species_Support!CE44))^0.976,0)+IFERROR(S13_PSP_Species_Support!CI44*0.0673*(S13_PSP_Species_Support!CJ44*(S13_PSP_Species_Support!CK44*(1-EXP(-S13_PSP_Species_Support!CL44*9))^S13_PSP_Species_Support!CM44)^2*(S13_PSP_Species_Support!CN44*(1-EXP(-S13_PSP_Species_Support!CO44*9))^S13_PSP_Species_Support!CP44))^0.976,0)+IFERROR(S13_PSP_Species_Support!CT44*0.0673*(S13_PSP_Species_Support!CU44*(S13_PSP_Species_Support!CV44*(1-EXP(-S13_PSP_Species_Support!CW44*9))^S13_PSP_Species_Support!CX44)^2*(S13_PSP_Species_Support!CY44*(1-EXP(-S13_PSP_Species_Support!CZ44*9))^S13_PSP_Species_Support!DA44))^0.976,0))/1000/$G57*R$108,0)</x:f>
        <x:v>2152.4723699512765</x:v>
      </x:c>
      <x:c r="S57" s="147" t="n">
        <x:f aca="0">IFERROR((IFERROR(S13_PSP_Species_Support!U44*0.0673*(S13_PSP_Species_Support!V44*(S13_PSP_Species_Support!W44*(1-EXP(-S13_PSP_Species_Support!X44*10))^S13_PSP_Species_Support!Y44)^2*(S13_PSP_Species_Support!Z44*(1-EXP(-S13_PSP_Species_Support!AA44*10))^S13_PSP_Species_Support!AB44))^0.976,0)+IFERROR(S13_PSP_Species_Support!AF44*0.0673*(S13_PSP_Species_Support!AG44*(S13_PSP_Species_Support!AH44*(1-EXP(-S13_PSP_Species_Support!AI44*10))^S13_PSP_Species_Support!AJ44)^2*(S13_PSP_Species_Support!AK44*(1-EXP(-S13_PSP_Species_Support!AL44*10))^S13_PSP_Species_Support!AM44))^0.976,0)+IFERROR(S13_PSP_Species_Support!AQ44*0.0673*(S13_PSP_Species_Support!AR44*(S13_PSP_Species_Support!AS44*(1-EXP(-S13_PSP_Species_Support!AT44*10))^S13_PSP_Species_Support!AU44)^2*(S13_PSP_Species_Support!AV44*(1-EXP(-S13_PSP_Species_Support!AW44*10))^S13_PSP_Species_Support!AX44))^0.976,0)+IFERROR(S13_PSP_Species_Support!BB44*0.0673*(S13_PSP_Species_Support!BC44*(S13_PSP_Species_Support!BD44*(1-EXP(-S13_PSP_Species_Support!BE44*10))^S13_PSP_Species_Support!BF44)^2*(S13_PSP_Species_Support!BG44*(1-EXP(-S13_PSP_Species_Support!BH44*10))^S13_PSP_Species_Support!BI44))^0.976,0)+IFERROR(S13_PSP_Species_Support!BM44*0.0673*(S13_PSP_Species_Support!BN44*(S13_PSP_Species_Support!BO44*(1-EXP(-S13_PSP_Species_Support!BP44*10))^S13_PSP_Species_Support!BQ44)^2*(S13_PSP_Species_Support!BR44*(1-EXP(-S13_PSP_Species_Support!BS44*10))^S13_PSP_Species_Support!BT44))^0.976,0)+IFERROR(S13_PSP_Species_Support!BX44*0.0673*(S13_PSP_Species_Support!BY44*(S13_PSP_Species_Support!BZ44*(1-EXP(-S13_PSP_Species_Support!CA44*10))^S13_PSP_Species_Support!CB44)^2*(S13_PSP_Species_Support!CC44*(1-EXP(-S13_PSP_Species_Support!CD44*10))^S13_PSP_Species_Support!CE44))^0.976,0)+IFERROR(S13_PSP_Species_Support!CI44*0.0673*(S13_PSP_Species_Support!CJ44*(S13_PSP_Species_Support!CK44*(1-EXP(-S13_PSP_Species_Support!CL44*10))^S13_PSP_Species_Support!CM44)^2*(S13_PSP_Species_Support!CN44*(1-EXP(-S13_PSP_Species_Support!CO44*10))^S13_PSP_Species_Support!CP44))^0.976,0)+IFERROR(S13_PSP_Species_Support!CT44*0.0673*(S13_PSP_Species_Support!CU44*(S13_PSP_Species_Support!CV44*(1-EXP(-S13_PSP_Species_Support!CW44*10))^S13_PSP_Species_Support!CX44)^2*(S13_PSP_Species_Support!CY44*(1-EXP(-S13_PSP_Species_Support!CZ44*10))^S13_PSP_Species_Support!DA44))^0.976,0))/1000/$G57*S$108,0)</x:f>
        <x:v>2469.9244038846205</x:v>
      </x:c>
      <x:c r="T57" s="147" t="n">
        <x:f aca="0">IFERROR((IFERROR(S13_PSP_Species_Support!U44*0.0673*(S13_PSP_Species_Support!V44*(S13_PSP_Species_Support!W44*(1-EXP(-S13_PSP_Species_Support!X44*11))^S13_PSP_Species_Support!Y44)^2*(S13_PSP_Species_Support!Z44*(1-EXP(-S13_PSP_Species_Support!AA44*11))^S13_PSP_Species_Support!AB44))^0.976,0)+IFERROR(S13_PSP_Species_Support!AF44*0.0673*(S13_PSP_Species_Support!AG44*(S13_PSP_Species_Support!AH44*(1-EXP(-S13_PSP_Species_Support!AI44*11))^S13_PSP_Species_Support!AJ44)^2*(S13_PSP_Species_Support!AK44*(1-EXP(-S13_PSP_Species_Support!AL44*11))^S13_PSP_Species_Support!AM44))^0.976,0)+IFERROR(S13_PSP_Species_Support!AQ44*0.0673*(S13_PSP_Species_Support!AR44*(S13_PSP_Species_Support!AS44*(1-EXP(-S13_PSP_Species_Support!AT44*11))^S13_PSP_Species_Support!AU44)^2*(S13_PSP_Species_Support!AV44*(1-EXP(-S13_PSP_Species_Support!AW44*11))^S13_PSP_Species_Support!AX44))^0.976,0)+IFERROR(S13_PSP_Species_Support!BB44*0.0673*(S13_PSP_Species_Support!BC44*(S13_PSP_Species_Support!BD44*(1-EXP(-S13_PSP_Species_Support!BE44*11))^S13_PSP_Species_Support!BF44)^2*(S13_PSP_Species_Support!BG44*(1-EXP(-S13_PSP_Species_Support!BH44*11))^S13_PSP_Species_Support!BI44))^0.976,0)+IFERROR(S13_PSP_Species_Support!BM44*0.0673*(S13_PSP_Species_Support!BN44*(S13_PSP_Species_Support!BO44*(1-EXP(-S13_PSP_Species_Support!BP44*11))^S13_PSP_Species_Support!BQ44)^2*(S13_PSP_Species_Support!BR44*(1-EXP(-S13_PSP_Species_Support!BS44*11))^S13_PSP_Species_Support!BT44))^0.976,0)+IFERROR(S13_PSP_Species_Support!BX44*0.0673*(S13_PSP_Species_Support!BY44*(S13_PSP_Species_Support!BZ44*(1-EXP(-S13_PSP_Species_Support!CA44*11))^S13_PSP_Species_Support!CB44)^2*(S13_PSP_Species_Support!CC44*(1-EXP(-S13_PSP_Species_Support!CD44*11))^S13_PSP_Species_Support!CE44))^0.976,0)+IFERROR(S13_PSP_Species_Support!CI44*0.0673*(S13_PSP_Species_Support!CJ44*(S13_PSP_Species_Support!CK44*(1-EXP(-S13_PSP_Species_Support!CL44*11))^S13_PSP_Species_Support!CM44)^2*(S13_PSP_Species_Support!CN44*(1-EXP(-S13_PSP_Species_Support!CO44*11))^S13_PSP_Species_Support!CP44))^0.976,0)+IFERROR(S13_PSP_Species_Support!CT44*0.0673*(S13_PSP_Species_Support!CU44*(S13_PSP_Species_Support!CV44*(1-EXP(-S13_PSP_Species_Support!CW44*11))^S13_PSP_Species_Support!CX44)^2*(S13_PSP_Species_Support!CY44*(1-EXP(-S13_PSP_Species_Support!CZ44*11))^S13_PSP_Species_Support!DA44))^0.976,0))/1000/$G57*T$108,0)</x:f>
        <x:v>2756.9358553422157</x:v>
      </x:c>
      <x:c r="U57" s="147" t="n">
        <x:f aca="0">IFERROR((IFERROR(S13_PSP_Species_Support!U44*0.0673*(S13_PSP_Species_Support!V44*(S13_PSP_Species_Support!W44*(1-EXP(-S13_PSP_Species_Support!X44*12))^S13_PSP_Species_Support!Y44)^2*(S13_PSP_Species_Support!Z44*(1-EXP(-S13_PSP_Species_Support!AA44*12))^S13_PSP_Species_Support!AB44))^0.976,0)+IFERROR(S13_PSP_Species_Support!AF44*0.0673*(S13_PSP_Species_Support!AG44*(S13_PSP_Species_Support!AH44*(1-EXP(-S13_PSP_Species_Support!AI44*12))^S13_PSP_Species_Support!AJ44)^2*(S13_PSP_Species_Support!AK44*(1-EXP(-S13_PSP_Species_Support!AL44*12))^S13_PSP_Species_Support!AM44))^0.976,0)+IFERROR(S13_PSP_Species_Support!AQ44*0.0673*(S13_PSP_Species_Support!AR44*(S13_PSP_Species_Support!AS44*(1-EXP(-S13_PSP_Species_Support!AT44*12))^S13_PSP_Species_Support!AU44)^2*(S13_PSP_Species_Support!AV44*(1-EXP(-S13_PSP_Species_Support!AW44*12))^S13_PSP_Species_Support!AX44))^0.976,0)+IFERROR(S13_PSP_Species_Support!BB44*0.0673*(S13_PSP_Species_Support!BC44*(S13_PSP_Species_Support!BD44*(1-EXP(-S13_PSP_Species_Support!BE44*12))^S13_PSP_Species_Support!BF44)^2*(S13_PSP_Species_Support!BG44*(1-EXP(-S13_PSP_Species_Support!BH44*12))^S13_PSP_Species_Support!BI44))^0.976,0)+IFERROR(S13_PSP_Species_Support!BM44*0.0673*(S13_PSP_Species_Support!BN44*(S13_PSP_Species_Support!BO44*(1-EXP(-S13_PSP_Species_Support!BP44*12))^S13_PSP_Species_Support!BQ44)^2*(S13_PSP_Species_Support!BR44*(1-EXP(-S13_PSP_Species_Support!BS44*12))^S13_PSP_Species_Support!BT44))^0.976,0)+IFERROR(S13_PSP_Species_Support!BX44*0.0673*(S13_PSP_Species_Support!BY44*(S13_PSP_Species_Support!BZ44*(1-EXP(-S13_PSP_Species_Support!CA44*12))^S13_PSP_Species_Support!CB44)^2*(S13_PSP_Species_Support!CC44*(1-EXP(-S13_PSP_Species_Support!CD44*12))^S13_PSP_Species_Support!CE44))^0.976,0)+IFERROR(S13_PSP_Species_Support!CI44*0.0673*(S13_PSP_Species_Support!CJ44*(S13_PSP_Species_Support!CK44*(1-EXP(-S13_PSP_Species_Support!CL44*12))^S13_PSP_Species_Support!CM44)^2*(S13_PSP_Species_Support!CN44*(1-EXP(-S13_PSP_Species_Support!CO44*12))^S13_PSP_Species_Support!CP44))^0.976,0)+IFERROR(S13_PSP_Species_Support!CT44*0.0673*(S13_PSP_Species_Support!CU44*(S13_PSP_Species_Support!CV44*(1-EXP(-S13_PSP_Species_Support!CW44*12))^S13_PSP_Species_Support!CX44)^2*(S13_PSP_Species_Support!CY44*(1-EXP(-S13_PSP_Species_Support!CZ44*12))^S13_PSP_Species_Support!DA44))^0.976,0))/1000/$G57*U$108,0)</x:f>
        <x:v>3011.901265155527</x:v>
      </x:c>
      <x:c r="V57" s="147" t="n">
        <x:f aca="0">IFERROR((IFERROR(S13_PSP_Species_Support!U44*0.0673*(S13_PSP_Species_Support!V44*(S13_PSP_Species_Support!W44*(1-EXP(-S13_PSP_Species_Support!X44*13))^S13_PSP_Species_Support!Y44)^2*(S13_PSP_Species_Support!Z44*(1-EXP(-S13_PSP_Species_Support!AA44*13))^S13_PSP_Species_Support!AB44))^0.976,0)+IFERROR(S13_PSP_Species_Support!AF44*0.0673*(S13_PSP_Species_Support!AG44*(S13_PSP_Species_Support!AH44*(1-EXP(-S13_PSP_Species_Support!AI44*13))^S13_PSP_Species_Support!AJ44)^2*(S13_PSP_Species_Support!AK44*(1-EXP(-S13_PSP_Species_Support!AL44*13))^S13_PSP_Species_Support!AM44))^0.976,0)+IFERROR(S13_PSP_Species_Support!AQ44*0.0673*(S13_PSP_Species_Support!AR44*(S13_PSP_Species_Support!AS44*(1-EXP(-S13_PSP_Species_Support!AT44*13))^S13_PSP_Species_Support!AU44)^2*(S13_PSP_Species_Support!AV44*(1-EXP(-S13_PSP_Species_Support!AW44*13))^S13_PSP_Species_Support!AX44))^0.976,0)+IFERROR(S13_PSP_Species_Support!BB44*0.0673*(S13_PSP_Species_Support!BC44*(S13_PSP_Species_Support!BD44*(1-EXP(-S13_PSP_Species_Support!BE44*13))^S13_PSP_Species_Support!BF44)^2*(S13_PSP_Species_Support!BG44*(1-EXP(-S13_PSP_Species_Support!BH44*13))^S13_PSP_Species_Support!BI44))^0.976,0)+IFERROR(S13_PSP_Species_Support!BM44*0.0673*(S13_PSP_Species_Support!BN44*(S13_PSP_Species_Support!BO44*(1-EXP(-S13_PSP_Species_Support!BP44*13))^S13_PSP_Species_Support!BQ44)^2*(S13_PSP_Species_Support!BR44*(1-EXP(-S13_PSP_Species_Support!BS44*13))^S13_PSP_Species_Support!BT44))^0.976,0)+IFERROR(S13_PSP_Species_Support!BX44*0.0673*(S13_PSP_Species_Support!BY44*(S13_PSP_Species_Support!BZ44*(1-EXP(-S13_PSP_Species_Support!CA44*13))^S13_PSP_Species_Support!CB44)^2*(S13_PSP_Species_Support!CC44*(1-EXP(-S13_PSP_Species_Support!CD44*13))^S13_PSP_Species_Support!CE44))^0.976,0)+IFERROR(S13_PSP_Species_Support!CI44*0.0673*(S13_PSP_Species_Support!CJ44*(S13_PSP_Species_Support!CK44*(1-EXP(-S13_PSP_Species_Support!CL44*13))^S13_PSP_Species_Support!CM44)^2*(S13_PSP_Species_Support!CN44*(1-EXP(-S13_PSP_Species_Support!CO44*13))^S13_PSP_Species_Support!CP44))^0.976,0)+IFERROR(S13_PSP_Species_Support!CT44*0.0673*(S13_PSP_Species_Support!CU44*(S13_PSP_Species_Support!CV44*(1-EXP(-S13_PSP_Species_Support!CW44*13))^S13_PSP_Species_Support!CX44)^2*(S13_PSP_Species_Support!CY44*(1-EXP(-S13_PSP_Species_Support!CZ44*13))^S13_PSP_Species_Support!DA44))^0.976,0))/1000/$G57*V$108,0)</x:f>
        <x:v>3235.317317403283</x:v>
      </x:c>
      <x:c r="W57" s="147" t="n">
        <x:f aca="0">IFERROR((IFERROR(S13_PSP_Species_Support!U44*0.0673*(S13_PSP_Species_Support!V44*(S13_PSP_Species_Support!W44*(1-EXP(-S13_PSP_Species_Support!X44*14))^S13_PSP_Species_Support!Y44)^2*(S13_PSP_Species_Support!Z44*(1-EXP(-S13_PSP_Species_Support!AA44*14))^S13_PSP_Species_Support!AB44))^0.976,0)+IFERROR(S13_PSP_Species_Support!AF44*0.0673*(S13_PSP_Species_Support!AG44*(S13_PSP_Species_Support!AH44*(1-EXP(-S13_PSP_Species_Support!AI44*14))^S13_PSP_Species_Support!AJ44)^2*(S13_PSP_Species_Support!AK44*(1-EXP(-S13_PSP_Species_Support!AL44*14))^S13_PSP_Species_Support!AM44))^0.976,0)+IFERROR(S13_PSP_Species_Support!AQ44*0.0673*(S13_PSP_Species_Support!AR44*(S13_PSP_Species_Support!AS44*(1-EXP(-S13_PSP_Species_Support!AT44*14))^S13_PSP_Species_Support!AU44)^2*(S13_PSP_Species_Support!AV44*(1-EXP(-S13_PSP_Species_Support!AW44*14))^S13_PSP_Species_Support!AX44))^0.976,0)+IFERROR(S13_PSP_Species_Support!BB44*0.0673*(S13_PSP_Species_Support!BC44*(S13_PSP_Species_Support!BD44*(1-EXP(-S13_PSP_Species_Support!BE44*14))^S13_PSP_Species_Support!BF44)^2*(S13_PSP_Species_Support!BG44*(1-EXP(-S13_PSP_Species_Support!BH44*14))^S13_PSP_Species_Support!BI44))^0.976,0)+IFERROR(S13_PSP_Species_Support!BM44*0.0673*(S13_PSP_Species_Support!BN44*(S13_PSP_Species_Support!BO44*(1-EXP(-S13_PSP_Species_Support!BP44*14))^S13_PSP_Species_Support!BQ44)^2*(S13_PSP_Species_Support!BR44*(1-EXP(-S13_PSP_Species_Support!BS44*14))^S13_PSP_Species_Support!BT44))^0.976,0)+IFERROR(S13_PSP_Species_Support!BX44*0.0673*(S13_PSP_Species_Support!BY44*(S13_PSP_Species_Support!BZ44*(1-EXP(-S13_PSP_Species_Support!CA44*14))^S13_PSP_Species_Support!CB44)^2*(S13_PSP_Species_Support!CC44*(1-EXP(-S13_PSP_Species_Support!CD44*14))^S13_PSP_Species_Support!CE44))^0.976,0)+IFERROR(S13_PSP_Species_Support!CI44*0.0673*(S13_PSP_Species_Support!CJ44*(S13_PSP_Species_Support!CK44*(1-EXP(-S13_PSP_Species_Support!CL44*14))^S13_PSP_Species_Support!CM44)^2*(S13_PSP_Species_Support!CN44*(1-EXP(-S13_PSP_Species_Support!CO44*14))^S13_PSP_Species_Support!CP44))^0.976,0)+IFERROR(S13_PSP_Species_Support!CT44*0.0673*(S13_PSP_Species_Support!CU44*(S13_PSP_Species_Support!CV44*(1-EXP(-S13_PSP_Species_Support!CW44*14))^S13_PSP_Species_Support!CX44)^2*(S13_PSP_Species_Support!CY44*(1-EXP(-S13_PSP_Species_Support!CZ44*14))^S13_PSP_Species_Support!DA44))^0.976,0))/1000/$G57*W$108,0)</x:f>
        <x:v>3428.9909003008656</x:v>
      </x:c>
      <x:c r="X57" s="147" t="n">
        <x:f aca="0">IFERROR((IFERROR(S13_PSP_Species_Support!U44*0.0673*(S13_PSP_Species_Support!V44*(S13_PSP_Species_Support!W44*(1-EXP(-S13_PSP_Species_Support!X44*15))^S13_PSP_Species_Support!Y44)^2*(S13_PSP_Species_Support!Z44*(1-EXP(-S13_PSP_Species_Support!AA44*15))^S13_PSP_Species_Support!AB44))^0.976,0)+IFERROR(S13_PSP_Species_Support!AF44*0.0673*(S13_PSP_Species_Support!AG44*(S13_PSP_Species_Support!AH44*(1-EXP(-S13_PSP_Species_Support!AI44*15))^S13_PSP_Species_Support!AJ44)^2*(S13_PSP_Species_Support!AK44*(1-EXP(-S13_PSP_Species_Support!AL44*15))^S13_PSP_Species_Support!AM44))^0.976,0)+IFERROR(S13_PSP_Species_Support!AQ44*0.0673*(S13_PSP_Species_Support!AR44*(S13_PSP_Species_Support!AS44*(1-EXP(-S13_PSP_Species_Support!AT44*15))^S13_PSP_Species_Support!AU44)^2*(S13_PSP_Species_Support!AV44*(1-EXP(-S13_PSP_Species_Support!AW44*15))^S13_PSP_Species_Support!AX44))^0.976,0)+IFERROR(S13_PSP_Species_Support!BB44*0.0673*(S13_PSP_Species_Support!BC44*(S13_PSP_Species_Support!BD44*(1-EXP(-S13_PSP_Species_Support!BE44*15))^S13_PSP_Species_Support!BF44)^2*(S13_PSP_Species_Support!BG44*(1-EXP(-S13_PSP_Species_Support!BH44*15))^S13_PSP_Species_Support!BI44))^0.976,0)+IFERROR(S13_PSP_Species_Support!BM44*0.0673*(S13_PSP_Species_Support!BN44*(S13_PSP_Species_Support!BO44*(1-EXP(-S13_PSP_Species_Support!BP44*15))^S13_PSP_Species_Support!BQ44)^2*(S13_PSP_Species_Support!BR44*(1-EXP(-S13_PSP_Species_Support!BS44*15))^S13_PSP_Species_Support!BT44))^0.976,0)+IFERROR(S13_PSP_Species_Support!BX44*0.0673*(S13_PSP_Species_Support!BY44*(S13_PSP_Species_Support!BZ44*(1-EXP(-S13_PSP_Species_Support!CA44*15))^S13_PSP_Species_Support!CB44)^2*(S13_PSP_Species_Support!CC44*(1-EXP(-S13_PSP_Species_Support!CD44*15))^S13_PSP_Species_Support!CE44))^0.976,0)+IFERROR(S13_PSP_Species_Support!CI44*0.0673*(S13_PSP_Species_Support!CJ44*(S13_PSP_Species_Support!CK44*(1-EXP(-S13_PSP_Species_Support!CL44*15))^S13_PSP_Species_Support!CM44)^2*(S13_PSP_Species_Support!CN44*(1-EXP(-S13_PSP_Species_Support!CO44*15))^S13_PSP_Species_Support!CP44))^0.976,0)+IFERROR(S13_PSP_Species_Support!CT44*0.0673*(S13_PSP_Species_Support!CU44*(S13_PSP_Species_Support!CV44*(1-EXP(-S13_PSP_Species_Support!CW44*15))^S13_PSP_Species_Support!CX44)^2*(S13_PSP_Species_Support!CY44*(1-EXP(-S13_PSP_Species_Support!CZ44*15))^S13_PSP_Species_Support!DA44))^0.976,0))/1000/$G57*X$108,0)</x:f>
        <x:v>3595.45580584656</x:v>
      </x:c>
      <x:c r="Y57" s="147" t="n">
        <x:f aca="0">IFERROR((IFERROR(S13_PSP_Species_Support!U44*0.0673*(S13_PSP_Species_Support!V44*(S13_PSP_Species_Support!W44*(1-EXP(-S13_PSP_Species_Support!X44*16))^S13_PSP_Species_Support!Y44)^2*(S13_PSP_Species_Support!Z44*(1-EXP(-S13_PSP_Species_Support!AA44*16))^S13_PSP_Species_Support!AB44))^0.976,0)+IFERROR(S13_PSP_Species_Support!AF44*0.0673*(S13_PSP_Species_Support!AG44*(S13_PSP_Species_Support!AH44*(1-EXP(-S13_PSP_Species_Support!AI44*16))^S13_PSP_Species_Support!AJ44)^2*(S13_PSP_Species_Support!AK44*(1-EXP(-S13_PSP_Species_Support!AL44*16))^S13_PSP_Species_Support!AM44))^0.976,0)+IFERROR(S13_PSP_Species_Support!AQ44*0.0673*(S13_PSP_Species_Support!AR44*(S13_PSP_Species_Support!AS44*(1-EXP(-S13_PSP_Species_Support!AT44*16))^S13_PSP_Species_Support!AU44)^2*(S13_PSP_Species_Support!AV44*(1-EXP(-S13_PSP_Species_Support!AW44*16))^S13_PSP_Species_Support!AX44))^0.976,0)+IFERROR(S13_PSP_Species_Support!BB44*0.0673*(S13_PSP_Species_Support!BC44*(S13_PSP_Species_Support!BD44*(1-EXP(-S13_PSP_Species_Support!BE44*16))^S13_PSP_Species_Support!BF44)^2*(S13_PSP_Species_Support!BG44*(1-EXP(-S13_PSP_Species_Support!BH44*16))^S13_PSP_Species_Support!BI44))^0.976,0)+IFERROR(S13_PSP_Species_Support!BM44*0.0673*(S13_PSP_Species_Support!BN44*(S13_PSP_Species_Support!BO44*(1-EXP(-S13_PSP_Species_Support!BP44*16))^S13_PSP_Species_Support!BQ44)^2*(S13_PSP_Species_Support!BR44*(1-EXP(-S13_PSP_Species_Support!BS44*16))^S13_PSP_Species_Support!BT44))^0.976,0)+IFERROR(S13_PSP_Species_Support!BX44*0.0673*(S13_PSP_Species_Support!BY44*(S13_PSP_Species_Support!BZ44*(1-EXP(-S13_PSP_Species_Support!CA44*16))^S13_PSP_Species_Support!CB44)^2*(S13_PSP_Species_Support!CC44*(1-EXP(-S13_PSP_Species_Support!CD44*16))^S13_PSP_Species_Support!CE44))^0.976,0)+IFERROR(S13_PSP_Species_Support!CI44*0.0673*(S13_PSP_Species_Support!CJ44*(S13_PSP_Species_Support!CK44*(1-EXP(-S13_PSP_Species_Support!CL44*16))^S13_PSP_Species_Support!CM44)^2*(S13_PSP_Species_Support!CN44*(1-EXP(-S13_PSP_Species_Support!CO44*16))^S13_PSP_Species_Support!CP44))^0.976,0)+IFERROR(S13_PSP_Species_Support!CT44*0.0673*(S13_PSP_Species_Support!CU44*(S13_PSP_Species_Support!CV44*(1-EXP(-S13_PSP_Species_Support!CW44*16))^S13_PSP_Species_Support!CX44)^2*(S13_PSP_Species_Support!CY44*(1-EXP(-S13_PSP_Species_Support!CZ44*16))^S13_PSP_Species_Support!DA44))^0.976,0))/1000/$G57*Y$108,0)</x:f>
        <x:v>3737.5663796776203</x:v>
      </x:c>
      <x:c r="Z57" s="147" t="n">
        <x:f aca="0">IFERROR((IFERROR(S13_PSP_Species_Support!U44*0.0673*(S13_PSP_Species_Support!V44*(S13_PSP_Species_Support!W44*(1-EXP(-S13_PSP_Species_Support!X44*17))^S13_PSP_Species_Support!Y44)^2*(S13_PSP_Species_Support!Z44*(1-EXP(-S13_PSP_Species_Support!AA44*17))^S13_PSP_Species_Support!AB44))^0.976,0)+IFERROR(S13_PSP_Species_Support!AF44*0.0673*(S13_PSP_Species_Support!AG44*(S13_PSP_Species_Support!AH44*(1-EXP(-S13_PSP_Species_Support!AI44*17))^S13_PSP_Species_Support!AJ44)^2*(S13_PSP_Species_Support!AK44*(1-EXP(-S13_PSP_Species_Support!AL44*17))^S13_PSP_Species_Support!AM44))^0.976,0)+IFERROR(S13_PSP_Species_Support!AQ44*0.0673*(S13_PSP_Species_Support!AR44*(S13_PSP_Species_Support!AS44*(1-EXP(-S13_PSP_Species_Support!AT44*17))^S13_PSP_Species_Support!AU44)^2*(S13_PSP_Species_Support!AV44*(1-EXP(-S13_PSP_Species_Support!AW44*17))^S13_PSP_Species_Support!AX44))^0.976,0)+IFERROR(S13_PSP_Species_Support!BB44*0.0673*(S13_PSP_Species_Support!BC44*(S13_PSP_Species_Support!BD44*(1-EXP(-S13_PSP_Species_Support!BE44*17))^S13_PSP_Species_Support!BF44)^2*(S13_PSP_Species_Support!BG44*(1-EXP(-S13_PSP_Species_Support!BH44*17))^S13_PSP_Species_Support!BI44))^0.976,0)+IFERROR(S13_PSP_Species_Support!BM44*0.0673*(S13_PSP_Species_Support!BN44*(S13_PSP_Species_Support!BO44*(1-EXP(-S13_PSP_Species_Support!BP44*17))^S13_PSP_Species_Support!BQ44)^2*(S13_PSP_Species_Support!BR44*(1-EXP(-S13_PSP_Species_Support!BS44*17))^S13_PSP_Species_Support!BT44))^0.976,0)+IFERROR(S13_PSP_Species_Support!BX44*0.0673*(S13_PSP_Species_Support!BY44*(S13_PSP_Species_Support!BZ44*(1-EXP(-S13_PSP_Species_Support!CA44*17))^S13_PSP_Species_Support!CB44)^2*(S13_PSP_Species_Support!CC44*(1-EXP(-S13_PSP_Species_Support!CD44*17))^S13_PSP_Species_Support!CE44))^0.976,0)+IFERROR(S13_PSP_Species_Support!CI44*0.0673*(S13_PSP_Species_Support!CJ44*(S13_PSP_Species_Support!CK44*(1-EXP(-S13_PSP_Species_Support!CL44*17))^S13_PSP_Species_Support!CM44)^2*(S13_PSP_Species_Support!CN44*(1-EXP(-S13_PSP_Species_Support!CO44*17))^S13_PSP_Species_Support!CP44))^0.976,0)+IFERROR(S13_PSP_Species_Support!CT44*0.0673*(S13_PSP_Species_Support!CU44*(S13_PSP_Species_Support!CV44*(1-EXP(-S13_PSP_Species_Support!CW44*17))^S13_PSP_Species_Support!CX44)^2*(S13_PSP_Species_Support!CY44*(1-EXP(-S13_PSP_Species_Support!CZ44*17))^S13_PSP_Species_Support!DA44))^0.976,0))/1000/$G57*Z$108,0)</x:f>
        <x:v>3858.2292623750805</x:v>
      </x:c>
      <x:c r="AA57" s="147" t="n">
        <x:f aca="0">IFERROR((IFERROR(S13_PSP_Species_Support!U44*0.0673*(S13_PSP_Species_Support!V44*(S13_PSP_Species_Support!W44*(1-EXP(-S13_PSP_Species_Support!X44*18))^S13_PSP_Species_Support!Y44)^2*(S13_PSP_Species_Support!Z44*(1-EXP(-S13_PSP_Species_Support!AA44*18))^S13_PSP_Species_Support!AB44))^0.976,0)+IFERROR(S13_PSP_Species_Support!AF44*0.0673*(S13_PSP_Species_Support!AG44*(S13_PSP_Species_Support!AH44*(1-EXP(-S13_PSP_Species_Support!AI44*18))^S13_PSP_Species_Support!AJ44)^2*(S13_PSP_Species_Support!AK44*(1-EXP(-S13_PSP_Species_Support!AL44*18))^S13_PSP_Species_Support!AM44))^0.976,0)+IFERROR(S13_PSP_Species_Support!AQ44*0.0673*(S13_PSP_Species_Support!AR44*(S13_PSP_Species_Support!AS44*(1-EXP(-S13_PSP_Species_Support!AT44*18))^S13_PSP_Species_Support!AU44)^2*(S13_PSP_Species_Support!AV44*(1-EXP(-S13_PSP_Species_Support!AW44*18))^S13_PSP_Species_Support!AX44))^0.976,0)+IFERROR(S13_PSP_Species_Support!BB44*0.0673*(S13_PSP_Species_Support!BC44*(S13_PSP_Species_Support!BD44*(1-EXP(-S13_PSP_Species_Support!BE44*18))^S13_PSP_Species_Support!BF44)^2*(S13_PSP_Species_Support!BG44*(1-EXP(-S13_PSP_Species_Support!BH44*18))^S13_PSP_Species_Support!BI44))^0.976,0)+IFERROR(S13_PSP_Species_Support!BM44*0.0673*(S13_PSP_Species_Support!BN44*(S13_PSP_Species_Support!BO44*(1-EXP(-S13_PSP_Species_Support!BP44*18))^S13_PSP_Species_Support!BQ44)^2*(S13_PSP_Species_Support!BR44*(1-EXP(-S13_PSP_Species_Support!BS44*18))^S13_PSP_Species_Support!BT44))^0.976,0)+IFERROR(S13_PSP_Species_Support!BX44*0.0673*(S13_PSP_Species_Support!BY44*(S13_PSP_Species_Support!BZ44*(1-EXP(-S13_PSP_Species_Support!CA44*18))^S13_PSP_Species_Support!CB44)^2*(S13_PSP_Species_Support!CC44*(1-EXP(-S13_PSP_Species_Support!CD44*18))^S13_PSP_Species_Support!CE44))^0.976,0)+IFERROR(S13_PSP_Species_Support!CI44*0.0673*(S13_PSP_Species_Support!CJ44*(S13_PSP_Species_Support!CK44*(1-EXP(-S13_PSP_Species_Support!CL44*18))^S13_PSP_Species_Support!CM44)^2*(S13_PSP_Species_Support!CN44*(1-EXP(-S13_PSP_Species_Support!CO44*18))^S13_PSP_Species_Support!CP44))^0.976,0)+IFERROR(S13_PSP_Species_Support!CT44*0.0673*(S13_PSP_Species_Support!CU44*(S13_PSP_Species_Support!CV44*(1-EXP(-S13_PSP_Species_Support!CW44*18))^S13_PSP_Species_Support!CX44)^2*(S13_PSP_Species_Support!CY44*(1-EXP(-S13_PSP_Species_Support!CZ44*18))^S13_PSP_Species_Support!DA44))^0.976,0))/1000/$G57*AA$108,0)</x:f>
        <x:v>3960.2370004685617</x:v>
      </x:c>
      <x:c r="AB57" s="147" t="n">
        <x:f aca="0">IFERROR((IFERROR(S13_PSP_Species_Support!U44*0.0673*(S13_PSP_Species_Support!V44*(S13_PSP_Species_Support!W44*(1-EXP(-S13_PSP_Species_Support!X44*19))^S13_PSP_Species_Support!Y44)^2*(S13_PSP_Species_Support!Z44*(1-EXP(-S13_PSP_Species_Support!AA44*19))^S13_PSP_Species_Support!AB44))^0.976,0)+IFERROR(S13_PSP_Species_Support!AF44*0.0673*(S13_PSP_Species_Support!AG44*(S13_PSP_Species_Support!AH44*(1-EXP(-S13_PSP_Species_Support!AI44*19))^S13_PSP_Species_Support!AJ44)^2*(S13_PSP_Species_Support!AK44*(1-EXP(-S13_PSP_Species_Support!AL44*19))^S13_PSP_Species_Support!AM44))^0.976,0)+IFERROR(S13_PSP_Species_Support!AQ44*0.0673*(S13_PSP_Species_Support!AR44*(S13_PSP_Species_Support!AS44*(1-EXP(-S13_PSP_Species_Support!AT44*19))^S13_PSP_Species_Support!AU44)^2*(S13_PSP_Species_Support!AV44*(1-EXP(-S13_PSP_Species_Support!AW44*19))^S13_PSP_Species_Support!AX44))^0.976,0)+IFERROR(S13_PSP_Species_Support!BB44*0.0673*(S13_PSP_Species_Support!BC44*(S13_PSP_Species_Support!BD44*(1-EXP(-S13_PSP_Species_Support!BE44*19))^S13_PSP_Species_Support!BF44)^2*(S13_PSP_Species_Support!BG44*(1-EXP(-S13_PSP_Species_Support!BH44*19))^S13_PSP_Species_Support!BI44))^0.976,0)+IFERROR(S13_PSP_Species_Support!BM44*0.0673*(S13_PSP_Species_Support!BN44*(S13_PSP_Species_Support!BO44*(1-EXP(-S13_PSP_Species_Support!BP44*19))^S13_PSP_Species_Support!BQ44)^2*(S13_PSP_Species_Support!BR44*(1-EXP(-S13_PSP_Species_Support!BS44*19))^S13_PSP_Species_Support!BT44))^0.976,0)+IFERROR(S13_PSP_Species_Support!BX44*0.0673*(S13_PSP_Species_Support!BY44*(S13_PSP_Species_Support!BZ44*(1-EXP(-S13_PSP_Species_Support!CA44*19))^S13_PSP_Species_Support!CB44)^2*(S13_PSP_Species_Support!CC44*(1-EXP(-S13_PSP_Species_Support!CD44*19))^S13_PSP_Species_Support!CE44))^0.976,0)+IFERROR(S13_PSP_Species_Support!CI44*0.0673*(S13_PSP_Species_Support!CJ44*(S13_PSP_Species_Support!CK44*(1-EXP(-S13_PSP_Species_Support!CL44*19))^S13_PSP_Species_Support!CM44)^2*(S13_PSP_Species_Support!CN44*(1-EXP(-S13_PSP_Species_Support!CO44*19))^S13_PSP_Species_Support!CP44))^0.976,0)+IFERROR(S13_PSP_Species_Support!CT44*0.0673*(S13_PSP_Species_Support!CU44*(S13_PSP_Species_Support!CV44*(1-EXP(-S13_PSP_Species_Support!CW44*19))^S13_PSP_Species_Support!CX44)^2*(S13_PSP_Species_Support!CY44*(1-EXP(-S13_PSP_Species_Support!CZ44*19))^S13_PSP_Species_Support!DA44))^0.976,0))/1000/$G57*AB$108,0)</x:f>
        <x:v>4046.1735587413314</x:v>
      </x:c>
      <x:c r="AC57" s="147" t="n">
        <x:f aca="0">IFERROR((IFERROR(S13_PSP_Species_Support!U44*0.0673*(S13_PSP_Species_Support!V44*(S13_PSP_Species_Support!W44*(1-EXP(-S13_PSP_Species_Support!X44*20))^S13_PSP_Species_Support!Y44)^2*(S13_PSP_Species_Support!Z44*(1-EXP(-S13_PSP_Species_Support!AA44*20))^S13_PSP_Species_Support!AB44))^0.976,0)+IFERROR(S13_PSP_Species_Support!AF44*0.0673*(S13_PSP_Species_Support!AG44*(S13_PSP_Species_Support!AH44*(1-EXP(-S13_PSP_Species_Support!AI44*20))^S13_PSP_Species_Support!AJ44)^2*(S13_PSP_Species_Support!AK44*(1-EXP(-S13_PSP_Species_Support!AL44*20))^S13_PSP_Species_Support!AM44))^0.976,0)+IFERROR(S13_PSP_Species_Support!AQ44*0.0673*(S13_PSP_Species_Support!AR44*(S13_PSP_Species_Support!AS44*(1-EXP(-S13_PSP_Species_Support!AT44*20))^S13_PSP_Species_Support!AU44)^2*(S13_PSP_Species_Support!AV44*(1-EXP(-S13_PSP_Species_Support!AW44*20))^S13_PSP_Species_Support!AX44))^0.976,0)+IFERROR(S13_PSP_Species_Support!BB44*0.0673*(S13_PSP_Species_Support!BC44*(S13_PSP_Species_Support!BD44*(1-EXP(-S13_PSP_Species_Support!BE44*20))^S13_PSP_Species_Support!BF44)^2*(S13_PSP_Species_Support!BG44*(1-EXP(-S13_PSP_Species_Support!BH44*20))^S13_PSP_Species_Support!BI44))^0.976,0)+IFERROR(S13_PSP_Species_Support!BM44*0.0673*(S13_PSP_Species_Support!BN44*(S13_PSP_Species_Support!BO44*(1-EXP(-S13_PSP_Species_Support!BP44*20))^S13_PSP_Species_Support!BQ44)^2*(S13_PSP_Species_Support!BR44*(1-EXP(-S13_PSP_Species_Support!BS44*20))^S13_PSP_Species_Support!BT44))^0.976,0)+IFERROR(S13_PSP_Species_Support!BX44*0.0673*(S13_PSP_Species_Support!BY44*(S13_PSP_Species_Support!BZ44*(1-EXP(-S13_PSP_Species_Support!CA44*20))^S13_PSP_Species_Support!CB44)^2*(S13_PSP_Species_Support!CC44*(1-EXP(-S13_PSP_Species_Support!CD44*20))^S13_PSP_Species_Support!CE44))^0.976,0)+IFERROR(S13_PSP_Species_Support!CI44*0.0673*(S13_PSP_Species_Support!CJ44*(S13_PSP_Species_Support!CK44*(1-EXP(-S13_PSP_Species_Support!CL44*20))^S13_PSP_Species_Support!CM44)^2*(S13_PSP_Species_Support!CN44*(1-EXP(-S13_PSP_Species_Support!CO44*20))^S13_PSP_Species_Support!CP44))^0.976,0)+IFERROR(S13_PSP_Species_Support!CT44*0.0673*(S13_PSP_Species_Support!CU44*(S13_PSP_Species_Support!CV44*(1-EXP(-S13_PSP_Species_Support!CW44*20))^S13_PSP_Species_Support!CX44)^2*(S13_PSP_Species_Support!CY44*(1-EXP(-S13_PSP_Species_Support!CZ44*20))^S13_PSP_Species_Support!DA44))^0.976,0))/1000/$G57*AC$108,0)</x:f>
        <x:v>4118.3685957596235</x:v>
      </x:c>
      <x:c r="AD57" s="148" t="n">
        <x:f aca="0">IF(2020&lt;$F57,0,INDEX($I57:$AC57,1,2020-$F57+1))</x:f>
        <x:v>0</x:v>
      </x:c>
      <x:c r="AE57" s="148" t="n">
        <x:f aca="0">IF(2021&lt;$F57,0,INDEX($I57:$AC57,1,2021-$F57+1))</x:f>
        <x:v>7.1134412571287875</x:v>
      </x:c>
      <x:c r="AF57" s="148" t="n">
        <x:f aca="0">IF(2022&lt;$F57,0,INDEX($I57:$AC57,1,2022-$F57+1))</x:f>
        <x:v>64.88695727107995</x:v>
      </x:c>
      <x:c r="AG57" s="148" t="n">
        <x:f aca="0">IF(2023&lt;$F57,0,INDEX($I57:$AC57,1,2023-$F57+1))</x:f>
        <x:v>208.09328138653436</x:v>
      </x:c>
      <x:c r="AH57" s="148" t="n">
        <x:f aca="0">IF(2024&lt;$F57,0,INDEX($I57:$AC57,1,2024-$F57+1))</x:f>
        <x:v>440.501966142985</x:v>
      </x:c>
      <x:c r="AI57" s="148" t="n">
        <x:f aca="0">IF(2025&lt;$F57,0,INDEX($I57:$AC57,1,2025-$F57+1))</x:f>
        <x:v>742.2629928286347</x:v>
      </x:c>
      <x:c r="AJ57" s="148" t="n">
        <x:f aca="0">IF(2026&lt;$F57,0,INDEX($I57:$AC57,1,2026-$F57+1))</x:f>
        <x:v>1086.9411058029489</x:v>
      </x:c>
      <x:c r="AK57" s="148" t="n">
        <x:f aca="0">IF(2027&lt;$F57,0,INDEX($I57:$AC57,1,2027-$F57+1))</x:f>
        <x:v>1449.3462252597155</x:v>
      </x:c>
      <x:c r="AL57" s="148" t="n">
        <x:f aca="0">IF(2028&lt;$F57,0,INDEX($I57:$AC57,1,2028-$F57+1))</x:f>
        <x:v>1809.2910650385136</x:v>
      </x:c>
      <x:c r="AM57" s="148" t="n">
        <x:f aca="0">IF(2029&lt;$F57,0,INDEX($I57:$AC57,1,2029-$F57+1))</x:f>
        <x:v>2152.4723699512765</x:v>
      </x:c>
      <x:c r="AN57" s="148" t="n">
        <x:f aca="0">IF(2030&lt;$F57,0,INDEX($I57:$AC57,1,2030-$F57+1))</x:f>
        <x:v>2469.9244038846205</x:v>
      </x:c>
      <x:c r="AO57" s="148" t="n">
        <x:f aca="0">IF(2031&lt;$F57,0,INDEX($I57:$AC57,1,2031-$F57+1))</x:f>
        <x:v>2756.9358553422157</x:v>
      </x:c>
      <x:c r="AP57" s="148" t="n">
        <x:f aca="0">IF(2032&lt;$F57,0,INDEX($I57:$AC57,1,2032-$F57+1))</x:f>
        <x:v>3011.901265155527</x:v>
      </x:c>
      <x:c r="AQ57" s="148" t="n">
        <x:f aca="0">IF(2033&lt;$F57,0,INDEX($I57:$AC57,1,2033-$F57+1))</x:f>
        <x:v>3235.317317403283</x:v>
      </x:c>
      <x:c r="AR57" s="148" t="n">
        <x:f aca="0">IF(2034&lt;$F57,0,INDEX($I57:$AC57,1,2034-$F57+1))</x:f>
        <x:v>3428.9909003008656</x:v>
      </x:c>
      <x:c r="AS57" s="148" t="n">
        <x:f aca="0">IF(2035&lt;$F57,0,INDEX($I57:$AC57,1,2035-$F57+1))</x:f>
        <x:v>3595.45580584656</x:v>
      </x:c>
      <x:c r="AT57" s="148" t="n">
        <x:f aca="0">IF(2036&lt;$F57,0,INDEX($I57:$AC57,1,2036-$F57+1))</x:f>
        <x:v>3737.5663796776203</x:v>
      </x:c>
      <x:c r="AU57" s="148" t="n">
        <x:f aca="0">IF(2037&lt;$F57,0,INDEX($I57:$AC57,1,2037-$F57+1))</x:f>
        <x:v>3858.2292623750805</x:v>
      </x:c>
      <x:c r="AV57" s="148" t="n">
        <x:f aca="0">IF(2038&lt;$F57,0,INDEX($I57:$AC57,1,2038-$F57+1))</x:f>
        <x:v>3960.2370004685617</x:v>
      </x:c>
      <x:c r="AW57" s="148" t="n">
        <x:f aca="0">IF(2039&lt;$F57,0,INDEX($I57:$AC57,1,2039-$F57+1))</x:f>
        <x:v>4046.1735587413314</x:v>
      </x:c>
      <x:c r="AX57" s="148" t="n">
        <x:f aca="0">IF(2040&lt;$F57,0,INDEX($I57:$AC57,1,2040-$F57+1))</x:f>
        <x:v>4118.3685957596235</x:v>
      </x:c>
      <x:c r="AY57" s="1" t="str">
        <x:f aca="0">LEFT($C57,FIND("@",SUBSTITUTE($C57,"|","@",2))-1)</x:f>
        <x:v>Timber Plantation|High</x:v>
      </x:c>
      <x:c r="AZ57" s="1" t="str">
        <x:f aca="0">LEFT($C57,FIND("|",$C57)-1)</x:f>
        <x:v>Timber Plantation</x:v>
      </x:c>
      <x:c r="BA57" s="149" t="n">
        <x:f aca="0">I57*I57</x:f>
        <x:v>0</x:v>
      </x:c>
      <x:c r="BB57" s="149" t="n">
        <x:f aca="0">J57*J57</x:f>
        <x:v>50.601046518621985</x:v>
      </x:c>
      <x:c r="BC57" s="149" t="n">
        <x:f aca="0">K57*K57</x:f>
        <x:v>4210.3172238989555</x:v>
      </x:c>
      <x:c r="BD57" s="149" t="n">
        <x:f aca="0">L57*L57</x:f>
        <x:v>43302.813758215365</x:v>
      </x:c>
      <x:c r="BE57" s="149" t="n">
        <x:f aca="0">M57*M57</x:f>
        <x:v>194041.9821758355</x:v>
      </x:c>
      <x:c r="BF57" s="149" t="n">
        <x:f aca="0">N57*N57</x:f>
        <x:v>550954.3505229218</x:v>
      </x:c>
      <x:c r="BG57" s="149" t="n">
        <x:f aca="0">O57*O57</x:f>
        <x:v>1181440.9674841373</x:v>
      </x:c>
      <x:c r="BH57" s="149" t="n">
        <x:f aca="0">P57*P57</x:f>
        <x:v>2100604.4806745863</x:v>
      </x:c>
      <x:c r="BI57" s="149" t="n">
        <x:f aca="0">Q57*Q57</x:f>
        <x:v>3273534.158028199</x:v>
      </x:c>
      <x:c r="BJ57" s="149" t="n">
        <x:f aca="0">R57*R57</x:f>
        <x:v>4633137.303403665</x:v>
      </x:c>
      <x:c r="BK57" s="149" t="n">
        <x:f aca="0">S57*S57</x:f>
        <x:v>6100526.560904798</x:v>
      </x:c>
      <x:c r="BL57" s="149" t="n">
        <x:f aca="0">T57*T57</x:f>
        <x:v>7600695.310471515</x:v>
      </x:c>
      <x:c r="BM57" s="149" t="n">
        <x:f aca="0">U57*U57</x:f>
        <x:v>9071549.231045466</x:v>
      </x:c>
      <x:c r="BN57" s="149" t="n">
        <x:f aca="0">V57*V57</x:f>
        <x:v>10467278.144289576</x:v>
      </x:c>
      <x:c r="BO57" s="149" t="n">
        <x:f aca="0">W57*W57</x:f>
        <x:v>11757978.594346141</x:v>
      </x:c>
      <x:c r="BP57" s="149" t="n">
        <x:f aca="0">X57*X57</x:f>
        <x:v>12927302.451795736</x:v>
      </x:c>
      <x:c r="BQ57" s="149" t="n">
        <x:f aca="0">Y57*Y57</x:f>
        <x:v>13969402.442496473</x:v>
      </x:c>
      <x:c r="BR57" s="149" t="n">
        <x:f aca="0">Z57*Z57</x:f>
        <x:v>14885933.041047357</x:v>
      </x:c>
      <x:c r="BS57" s="149" t="n">
        <x:f aca="0">AA57*AA57</x:f>
        <x:v>15683477.099880232</x:v>
      </x:c>
      <x:c r="BT57" s="149" t="n">
        <x:f aca="0">AB57*AB57</x:f>
        <x:v>16371520.46745749</x:v>
      </x:c>
      <x:c r="BU57" s="149" t="n">
        <x:f aca="0">AC57*AC57</x:f>
        <x:v>16960959.890539095</x:v>
      </x:c>
    </x:row>
    <x:row r="58" ht="15" hidden="0" customHeight="1">
      <x:c r="A58" s="1" t="str">
        <x:f aca="0">S13_PSP_Species_Support!A45</x:f>
        <x:v>PSP-TP-004</x:v>
      </x:c>
      <x:c r="B58" s="1" t="n">
        <x:f aca="0">45</x:f>
        <x:v>45</x:v>
      </x:c>
      <x:c r="C58" s="1" t="str">
        <x:f aca="0">S13_PSP_Species_Support!I45</x:f>
        <x:v>Timber Plantation|High|2020</x:v>
      </x:c>
      <x:c r="D58" s="1" t="str">
        <x:f aca="0">S13_PSP_Species_Support!C45</x:f>
        <x:v>Timber Plantation</x:v>
      </x:c>
      <x:c r="E58" s="1" t="str">
        <x:f aca="0">S13_PSP_Species_Support!D45</x:f>
        <x:v>High</x:v>
      </x:c>
      <x:c r="F58" s="1" t="n">
        <x:f aca="0">S13_PSP_Species_Support!E45</x:f>
        <x:v>2020</x:v>
      </x:c>
      <x:c r="G58" s="645" t="n">
        <x:f aca="0">'S13_PSP_Species_Support'!DJ45</x:f>
        <x:v>0.09</x:v>
      </x:c>
      <x:c r="H58" s="714" t="n">
        <x:f aca="0">'S13_PSP_Species_Support'!DK45</x:f>
        <x:v>470.2467343976778</x:v>
      </x:c>
      <x:c r="I58" s="147" t="n">
        <x:f aca="0">IFERROR((IFERROR(S13_PSP_Species_Support!U45*0.0673*(S13_PSP_Species_Support!V45*(S13_PSP_Species_Support!W45*(1-EXP(-S13_PSP_Species_Support!X45*0))^S13_PSP_Species_Support!Y45)^2*(S13_PSP_Species_Support!Z45*(1-EXP(-S13_PSP_Species_Support!AA45*0))^S13_PSP_Species_Support!AB45))^0.976,0)+IFERROR(S13_PSP_Species_Support!AF45*0.0673*(S13_PSP_Species_Support!AG45*(S13_PSP_Species_Support!AH45*(1-EXP(-S13_PSP_Species_Support!AI45*0))^S13_PSP_Species_Support!AJ45)^2*(S13_PSP_Species_Support!AK45*(1-EXP(-S13_PSP_Species_Support!AL45*0))^S13_PSP_Species_Support!AM45))^0.976,0)+IFERROR(S13_PSP_Species_Support!AQ45*0.0673*(S13_PSP_Species_Support!AR45*(S13_PSP_Species_Support!AS45*(1-EXP(-S13_PSP_Species_Support!AT45*0))^S13_PSP_Species_Support!AU45)^2*(S13_PSP_Species_Support!AV45*(1-EXP(-S13_PSP_Species_Support!AW45*0))^S13_PSP_Species_Support!AX45))^0.976,0)+IFERROR(S13_PSP_Species_Support!BB45*0.0673*(S13_PSP_Species_Support!BC45*(S13_PSP_Species_Support!BD45*(1-EXP(-S13_PSP_Species_Support!BE45*0))^S13_PSP_Species_Support!BF45)^2*(S13_PSP_Species_Support!BG45*(1-EXP(-S13_PSP_Species_Support!BH45*0))^S13_PSP_Species_Support!BI45))^0.976,0)+IFERROR(S13_PSP_Species_Support!BM45*0.0673*(S13_PSP_Species_Support!BN45*(S13_PSP_Species_Support!BO45*(1-EXP(-S13_PSP_Species_Support!BP45*0))^S13_PSP_Species_Support!BQ45)^2*(S13_PSP_Species_Support!BR45*(1-EXP(-S13_PSP_Species_Support!BS45*0))^S13_PSP_Species_Support!BT45))^0.976,0)+IFERROR(S13_PSP_Species_Support!BX45*0.0673*(S13_PSP_Species_Support!BY45*(S13_PSP_Species_Support!BZ45*(1-EXP(-S13_PSP_Species_Support!CA45*0))^S13_PSP_Species_Support!CB45)^2*(S13_PSP_Species_Support!CC45*(1-EXP(-S13_PSP_Species_Support!CD45*0))^S13_PSP_Species_Support!CE45))^0.976,0)+IFERROR(S13_PSP_Species_Support!CI45*0.0673*(S13_PSP_Species_Support!CJ45*(S13_PSP_Species_Support!CK45*(1-EXP(-S13_PSP_Species_Support!CL45*0))^S13_PSP_Species_Support!CM45)^2*(S13_PSP_Species_Support!CN45*(1-EXP(-S13_PSP_Species_Support!CO45*0))^S13_PSP_Species_Support!CP45))^0.976,0)+IFERROR(S13_PSP_Species_Support!CT45*0.0673*(S13_PSP_Species_Support!CU45*(S13_PSP_Species_Support!CV45*(1-EXP(-S13_PSP_Species_Support!CW45*0))^S13_PSP_Species_Support!CX45)^2*(S13_PSP_Species_Support!CY45*(1-EXP(-S13_PSP_Species_Support!CZ45*0))^S13_PSP_Species_Support!DA45))^0.976,0))/1000/$G58*I$108,0)</x:f>
        <x:v>0</x:v>
      </x:c>
      <x:c r="J58" s="147" t="n">
        <x:f aca="0">IFERROR((IFERROR(S13_PSP_Species_Support!U45*0.0673*(S13_PSP_Species_Support!V45*(S13_PSP_Species_Support!W45*(1-EXP(-S13_PSP_Species_Support!X45*1))^S13_PSP_Species_Support!Y45)^2*(S13_PSP_Species_Support!Z45*(1-EXP(-S13_PSP_Species_Support!AA45*1))^S13_PSP_Species_Support!AB45))^0.976,0)+IFERROR(S13_PSP_Species_Support!AF45*0.0673*(S13_PSP_Species_Support!AG45*(S13_PSP_Species_Support!AH45*(1-EXP(-S13_PSP_Species_Support!AI45*1))^S13_PSP_Species_Support!AJ45)^2*(S13_PSP_Species_Support!AK45*(1-EXP(-S13_PSP_Species_Support!AL45*1))^S13_PSP_Species_Support!AM45))^0.976,0)+IFERROR(S13_PSP_Species_Support!AQ45*0.0673*(S13_PSP_Species_Support!AR45*(S13_PSP_Species_Support!AS45*(1-EXP(-S13_PSP_Species_Support!AT45*1))^S13_PSP_Species_Support!AU45)^2*(S13_PSP_Species_Support!AV45*(1-EXP(-S13_PSP_Species_Support!AW45*1))^S13_PSP_Species_Support!AX45))^0.976,0)+IFERROR(S13_PSP_Species_Support!BB45*0.0673*(S13_PSP_Species_Support!BC45*(S13_PSP_Species_Support!BD45*(1-EXP(-S13_PSP_Species_Support!BE45*1))^S13_PSP_Species_Support!BF45)^2*(S13_PSP_Species_Support!BG45*(1-EXP(-S13_PSP_Species_Support!BH45*1))^S13_PSP_Species_Support!BI45))^0.976,0)+IFERROR(S13_PSP_Species_Support!BM45*0.0673*(S13_PSP_Species_Support!BN45*(S13_PSP_Species_Support!BO45*(1-EXP(-S13_PSP_Species_Support!BP45*1))^S13_PSP_Species_Support!BQ45)^2*(S13_PSP_Species_Support!BR45*(1-EXP(-S13_PSP_Species_Support!BS45*1))^S13_PSP_Species_Support!BT45))^0.976,0)+IFERROR(S13_PSP_Species_Support!BX45*0.0673*(S13_PSP_Species_Support!BY45*(S13_PSP_Species_Support!BZ45*(1-EXP(-S13_PSP_Species_Support!CA45*1))^S13_PSP_Species_Support!CB45)^2*(S13_PSP_Species_Support!CC45*(1-EXP(-S13_PSP_Species_Support!CD45*1))^S13_PSP_Species_Support!CE45))^0.976,0)+IFERROR(S13_PSP_Species_Support!CI45*0.0673*(S13_PSP_Species_Support!CJ45*(S13_PSP_Species_Support!CK45*(1-EXP(-S13_PSP_Species_Support!CL45*1))^S13_PSP_Species_Support!CM45)^2*(S13_PSP_Species_Support!CN45*(1-EXP(-S13_PSP_Species_Support!CO45*1))^S13_PSP_Species_Support!CP45))^0.976,0)+IFERROR(S13_PSP_Species_Support!CT45*0.0673*(S13_PSP_Species_Support!CU45*(S13_PSP_Species_Support!CV45*(1-EXP(-S13_PSP_Species_Support!CW45*1))^S13_PSP_Species_Support!CX45)^2*(S13_PSP_Species_Support!CY45*(1-EXP(-S13_PSP_Species_Support!CZ45*1))^S13_PSP_Species_Support!DA45))^0.976,0))/1000/$G58*J$108,0)</x:f>
        <x:v>12.254267007073292</x:v>
      </x:c>
      <x:c r="K58" s="147" t="n">
        <x:f aca="0">IFERROR((IFERROR(S13_PSP_Species_Support!U45*0.0673*(S13_PSP_Species_Support!V45*(S13_PSP_Species_Support!W45*(1-EXP(-S13_PSP_Species_Support!X45*2))^S13_PSP_Species_Support!Y45)^2*(S13_PSP_Species_Support!Z45*(1-EXP(-S13_PSP_Species_Support!AA45*2))^S13_PSP_Species_Support!AB45))^0.976,0)+IFERROR(S13_PSP_Species_Support!AF45*0.0673*(S13_PSP_Species_Support!AG45*(S13_PSP_Species_Support!AH45*(1-EXP(-S13_PSP_Species_Support!AI45*2))^S13_PSP_Species_Support!AJ45)^2*(S13_PSP_Species_Support!AK45*(1-EXP(-S13_PSP_Species_Support!AL45*2))^S13_PSP_Species_Support!AM45))^0.976,0)+IFERROR(S13_PSP_Species_Support!AQ45*0.0673*(S13_PSP_Species_Support!AR45*(S13_PSP_Species_Support!AS45*(1-EXP(-S13_PSP_Species_Support!AT45*2))^S13_PSP_Species_Support!AU45)^2*(S13_PSP_Species_Support!AV45*(1-EXP(-S13_PSP_Species_Support!AW45*2))^S13_PSP_Species_Support!AX45))^0.976,0)+IFERROR(S13_PSP_Species_Support!BB45*0.0673*(S13_PSP_Species_Support!BC45*(S13_PSP_Species_Support!BD45*(1-EXP(-S13_PSP_Species_Support!BE45*2))^S13_PSP_Species_Support!BF45)^2*(S13_PSP_Species_Support!BG45*(1-EXP(-S13_PSP_Species_Support!BH45*2))^S13_PSP_Species_Support!BI45))^0.976,0)+IFERROR(S13_PSP_Species_Support!BM45*0.0673*(S13_PSP_Species_Support!BN45*(S13_PSP_Species_Support!BO45*(1-EXP(-S13_PSP_Species_Support!BP45*2))^S13_PSP_Species_Support!BQ45)^2*(S13_PSP_Species_Support!BR45*(1-EXP(-S13_PSP_Species_Support!BS45*2))^S13_PSP_Species_Support!BT45))^0.976,0)+IFERROR(S13_PSP_Species_Support!BX45*0.0673*(S13_PSP_Species_Support!BY45*(S13_PSP_Species_Support!BZ45*(1-EXP(-S13_PSP_Species_Support!CA45*2))^S13_PSP_Species_Support!CB45)^2*(S13_PSP_Species_Support!CC45*(1-EXP(-S13_PSP_Species_Support!CD45*2))^S13_PSP_Species_Support!CE45))^0.976,0)+IFERROR(S13_PSP_Species_Support!CI45*0.0673*(S13_PSP_Species_Support!CJ45*(S13_PSP_Species_Support!CK45*(1-EXP(-S13_PSP_Species_Support!CL45*2))^S13_PSP_Species_Support!CM45)^2*(S13_PSP_Species_Support!CN45*(1-EXP(-S13_PSP_Species_Support!CO45*2))^S13_PSP_Species_Support!CP45))^0.976,0)+IFERROR(S13_PSP_Species_Support!CT45*0.0673*(S13_PSP_Species_Support!CU45*(S13_PSP_Species_Support!CV45*(1-EXP(-S13_PSP_Species_Support!CW45*2))^S13_PSP_Species_Support!CX45)^2*(S13_PSP_Species_Support!CY45*(1-EXP(-S13_PSP_Species_Support!CZ45*2))^S13_PSP_Species_Support!DA45))^0.976,0))/1000/$G58*K$108,0)</x:f>
        <x:v>115.61268689203037</x:v>
      </x:c>
      <x:c r="L58" s="147" t="n">
        <x:f aca="0">IFERROR((IFERROR(S13_PSP_Species_Support!U45*0.0673*(S13_PSP_Species_Support!V45*(S13_PSP_Species_Support!W45*(1-EXP(-S13_PSP_Species_Support!X45*3))^S13_PSP_Species_Support!Y45)^2*(S13_PSP_Species_Support!Z45*(1-EXP(-S13_PSP_Species_Support!AA45*3))^S13_PSP_Species_Support!AB45))^0.976,0)+IFERROR(S13_PSP_Species_Support!AF45*0.0673*(S13_PSP_Species_Support!AG45*(S13_PSP_Species_Support!AH45*(1-EXP(-S13_PSP_Species_Support!AI45*3))^S13_PSP_Species_Support!AJ45)^2*(S13_PSP_Species_Support!AK45*(1-EXP(-S13_PSP_Species_Support!AL45*3))^S13_PSP_Species_Support!AM45))^0.976,0)+IFERROR(S13_PSP_Species_Support!AQ45*0.0673*(S13_PSP_Species_Support!AR45*(S13_PSP_Species_Support!AS45*(1-EXP(-S13_PSP_Species_Support!AT45*3))^S13_PSP_Species_Support!AU45)^2*(S13_PSP_Species_Support!AV45*(1-EXP(-S13_PSP_Species_Support!AW45*3))^S13_PSP_Species_Support!AX45))^0.976,0)+IFERROR(S13_PSP_Species_Support!BB45*0.0673*(S13_PSP_Species_Support!BC45*(S13_PSP_Species_Support!BD45*(1-EXP(-S13_PSP_Species_Support!BE45*3))^S13_PSP_Species_Support!BF45)^2*(S13_PSP_Species_Support!BG45*(1-EXP(-S13_PSP_Species_Support!BH45*3))^S13_PSP_Species_Support!BI45))^0.976,0)+IFERROR(S13_PSP_Species_Support!BM45*0.0673*(S13_PSP_Species_Support!BN45*(S13_PSP_Species_Support!BO45*(1-EXP(-S13_PSP_Species_Support!BP45*3))^S13_PSP_Species_Support!BQ45)^2*(S13_PSP_Species_Support!BR45*(1-EXP(-S13_PSP_Species_Support!BS45*3))^S13_PSP_Species_Support!BT45))^0.976,0)+IFERROR(S13_PSP_Species_Support!BX45*0.0673*(S13_PSP_Species_Support!BY45*(S13_PSP_Species_Support!BZ45*(1-EXP(-S13_PSP_Species_Support!CA45*3))^S13_PSP_Species_Support!CB45)^2*(S13_PSP_Species_Support!CC45*(1-EXP(-S13_PSP_Species_Support!CD45*3))^S13_PSP_Species_Support!CE45))^0.976,0)+IFERROR(S13_PSP_Species_Support!CI45*0.0673*(S13_PSP_Species_Support!CJ45*(S13_PSP_Species_Support!CK45*(1-EXP(-S13_PSP_Species_Support!CL45*3))^S13_PSP_Species_Support!CM45)^2*(S13_PSP_Species_Support!CN45*(1-EXP(-S13_PSP_Species_Support!CO45*3))^S13_PSP_Species_Support!CP45))^0.976,0)+IFERROR(S13_PSP_Species_Support!CT45*0.0673*(S13_PSP_Species_Support!CU45*(S13_PSP_Species_Support!CV45*(1-EXP(-S13_PSP_Species_Support!CW45*3))^S13_PSP_Species_Support!CX45)^2*(S13_PSP_Species_Support!CY45*(1-EXP(-S13_PSP_Species_Support!CZ45*3))^S13_PSP_Species_Support!DA45))^0.976,0))/1000/$G58*L$108,0)</x:f>
        <x:v>382.63090233386725</x:v>
      </x:c>
      <x:c r="M58" s="147" t="n">
        <x:f aca="0">IFERROR((IFERROR(S13_PSP_Species_Support!U45*0.0673*(S13_PSP_Species_Support!V45*(S13_PSP_Species_Support!W45*(1-EXP(-S13_PSP_Species_Support!X45*4))^S13_PSP_Species_Support!Y45)^2*(S13_PSP_Species_Support!Z45*(1-EXP(-S13_PSP_Species_Support!AA45*4))^S13_PSP_Species_Support!AB45))^0.976,0)+IFERROR(S13_PSP_Species_Support!AF45*0.0673*(S13_PSP_Species_Support!AG45*(S13_PSP_Species_Support!AH45*(1-EXP(-S13_PSP_Species_Support!AI45*4))^S13_PSP_Species_Support!AJ45)^2*(S13_PSP_Species_Support!AK45*(1-EXP(-S13_PSP_Species_Support!AL45*4))^S13_PSP_Species_Support!AM45))^0.976,0)+IFERROR(S13_PSP_Species_Support!AQ45*0.0673*(S13_PSP_Species_Support!AR45*(S13_PSP_Species_Support!AS45*(1-EXP(-S13_PSP_Species_Support!AT45*4))^S13_PSP_Species_Support!AU45)^2*(S13_PSP_Species_Support!AV45*(1-EXP(-S13_PSP_Species_Support!AW45*4))^S13_PSP_Species_Support!AX45))^0.976,0)+IFERROR(S13_PSP_Species_Support!BB45*0.0673*(S13_PSP_Species_Support!BC45*(S13_PSP_Species_Support!BD45*(1-EXP(-S13_PSP_Species_Support!BE45*4))^S13_PSP_Species_Support!BF45)^2*(S13_PSP_Species_Support!BG45*(1-EXP(-S13_PSP_Species_Support!BH45*4))^S13_PSP_Species_Support!BI45))^0.976,0)+IFERROR(S13_PSP_Species_Support!BM45*0.0673*(S13_PSP_Species_Support!BN45*(S13_PSP_Species_Support!BO45*(1-EXP(-S13_PSP_Species_Support!BP45*4))^S13_PSP_Species_Support!BQ45)^2*(S13_PSP_Species_Support!BR45*(1-EXP(-S13_PSP_Species_Support!BS45*4))^S13_PSP_Species_Support!BT45))^0.976,0)+IFERROR(S13_PSP_Species_Support!BX45*0.0673*(S13_PSP_Species_Support!BY45*(S13_PSP_Species_Support!BZ45*(1-EXP(-S13_PSP_Species_Support!CA45*4))^S13_PSP_Species_Support!CB45)^2*(S13_PSP_Species_Support!CC45*(1-EXP(-S13_PSP_Species_Support!CD45*4))^S13_PSP_Species_Support!CE45))^0.976,0)+IFERROR(S13_PSP_Species_Support!CI45*0.0673*(S13_PSP_Species_Support!CJ45*(S13_PSP_Species_Support!CK45*(1-EXP(-S13_PSP_Species_Support!CL45*4))^S13_PSP_Species_Support!CM45)^2*(S13_PSP_Species_Support!CN45*(1-EXP(-S13_PSP_Species_Support!CO45*4))^S13_PSP_Species_Support!CP45))^0.976,0)+IFERROR(S13_PSP_Species_Support!CT45*0.0673*(S13_PSP_Species_Support!CU45*(S13_PSP_Species_Support!CV45*(1-EXP(-S13_PSP_Species_Support!CW45*4))^S13_PSP_Species_Support!CX45)^2*(S13_PSP_Species_Support!CY45*(1-EXP(-S13_PSP_Species_Support!CZ45*4))^S13_PSP_Species_Support!DA45))^0.976,0))/1000/$G58*M$108,0)</x:f>
        <x:v>834.0528282372823</x:v>
      </x:c>
      <x:c r="N58" s="147" t="n">
        <x:f aca="0">IFERROR((IFERROR(S13_PSP_Species_Support!U45*0.0673*(S13_PSP_Species_Support!V45*(S13_PSP_Species_Support!W45*(1-EXP(-S13_PSP_Species_Support!X45*5))^S13_PSP_Species_Support!Y45)^2*(S13_PSP_Species_Support!Z45*(1-EXP(-S13_PSP_Species_Support!AA45*5))^S13_PSP_Species_Support!AB45))^0.976,0)+IFERROR(S13_PSP_Species_Support!AF45*0.0673*(S13_PSP_Species_Support!AG45*(S13_PSP_Species_Support!AH45*(1-EXP(-S13_PSP_Species_Support!AI45*5))^S13_PSP_Species_Support!AJ45)^2*(S13_PSP_Species_Support!AK45*(1-EXP(-S13_PSP_Species_Support!AL45*5))^S13_PSP_Species_Support!AM45))^0.976,0)+IFERROR(S13_PSP_Species_Support!AQ45*0.0673*(S13_PSP_Species_Support!AR45*(S13_PSP_Species_Support!AS45*(1-EXP(-S13_PSP_Species_Support!AT45*5))^S13_PSP_Species_Support!AU45)^2*(S13_PSP_Species_Support!AV45*(1-EXP(-S13_PSP_Species_Support!AW45*5))^S13_PSP_Species_Support!AX45))^0.976,0)+IFERROR(S13_PSP_Species_Support!BB45*0.0673*(S13_PSP_Species_Support!BC45*(S13_PSP_Species_Support!BD45*(1-EXP(-S13_PSP_Species_Support!BE45*5))^S13_PSP_Species_Support!BF45)^2*(S13_PSP_Species_Support!BG45*(1-EXP(-S13_PSP_Species_Support!BH45*5))^S13_PSP_Species_Support!BI45))^0.976,0)+IFERROR(S13_PSP_Species_Support!BM45*0.0673*(S13_PSP_Species_Support!BN45*(S13_PSP_Species_Support!BO45*(1-EXP(-S13_PSP_Species_Support!BP45*5))^S13_PSP_Species_Support!BQ45)^2*(S13_PSP_Species_Support!BR45*(1-EXP(-S13_PSP_Species_Support!BS45*5))^S13_PSP_Species_Support!BT45))^0.976,0)+IFERROR(S13_PSP_Species_Support!BX45*0.0673*(S13_PSP_Species_Support!BY45*(S13_PSP_Species_Support!BZ45*(1-EXP(-S13_PSP_Species_Support!CA45*5))^S13_PSP_Species_Support!CB45)^2*(S13_PSP_Species_Support!CC45*(1-EXP(-S13_PSP_Species_Support!CD45*5))^S13_PSP_Species_Support!CE45))^0.976,0)+IFERROR(S13_PSP_Species_Support!CI45*0.0673*(S13_PSP_Species_Support!CJ45*(S13_PSP_Species_Support!CK45*(1-EXP(-S13_PSP_Species_Support!CL45*5))^S13_PSP_Species_Support!CM45)^2*(S13_PSP_Species_Support!CN45*(1-EXP(-S13_PSP_Species_Support!CO45*5))^S13_PSP_Species_Support!CP45))^0.976,0)+IFERROR(S13_PSP_Species_Support!CT45*0.0673*(S13_PSP_Species_Support!CU45*(S13_PSP_Species_Support!CV45*(1-EXP(-S13_PSP_Species_Support!CW45*5))^S13_PSP_Species_Support!CX45)^2*(S13_PSP_Species_Support!CY45*(1-EXP(-S13_PSP_Species_Support!CZ45*5))^S13_PSP_Species_Support!DA45))^0.976,0))/1000/$G58*N$108,0)</x:f>
        <x:v>1444.1073616616604</x:v>
      </x:c>
      <x:c r="O58" s="147" t="n">
        <x:f aca="0">IFERROR((IFERROR(S13_PSP_Species_Support!U45*0.0673*(S13_PSP_Species_Support!V45*(S13_PSP_Species_Support!W45*(1-EXP(-S13_PSP_Species_Support!X45*6))^S13_PSP_Species_Support!Y45)^2*(S13_PSP_Species_Support!Z45*(1-EXP(-S13_PSP_Species_Support!AA45*6))^S13_PSP_Species_Support!AB45))^0.976,0)+IFERROR(S13_PSP_Species_Support!AF45*0.0673*(S13_PSP_Species_Support!AG45*(S13_PSP_Species_Support!AH45*(1-EXP(-S13_PSP_Species_Support!AI45*6))^S13_PSP_Species_Support!AJ45)^2*(S13_PSP_Species_Support!AK45*(1-EXP(-S13_PSP_Species_Support!AL45*6))^S13_PSP_Species_Support!AM45))^0.976,0)+IFERROR(S13_PSP_Species_Support!AQ45*0.0673*(S13_PSP_Species_Support!AR45*(S13_PSP_Species_Support!AS45*(1-EXP(-S13_PSP_Species_Support!AT45*6))^S13_PSP_Species_Support!AU45)^2*(S13_PSP_Species_Support!AV45*(1-EXP(-S13_PSP_Species_Support!AW45*6))^S13_PSP_Species_Support!AX45))^0.976,0)+IFERROR(S13_PSP_Species_Support!BB45*0.0673*(S13_PSP_Species_Support!BC45*(S13_PSP_Species_Support!BD45*(1-EXP(-S13_PSP_Species_Support!BE45*6))^S13_PSP_Species_Support!BF45)^2*(S13_PSP_Species_Support!BG45*(1-EXP(-S13_PSP_Species_Support!BH45*6))^S13_PSP_Species_Support!BI45))^0.976,0)+IFERROR(S13_PSP_Species_Support!BM45*0.0673*(S13_PSP_Species_Support!BN45*(S13_PSP_Species_Support!BO45*(1-EXP(-S13_PSP_Species_Support!BP45*6))^S13_PSP_Species_Support!BQ45)^2*(S13_PSP_Species_Support!BR45*(1-EXP(-S13_PSP_Species_Support!BS45*6))^S13_PSP_Species_Support!BT45))^0.976,0)+IFERROR(S13_PSP_Species_Support!BX45*0.0673*(S13_PSP_Species_Support!BY45*(S13_PSP_Species_Support!BZ45*(1-EXP(-S13_PSP_Species_Support!CA45*6))^S13_PSP_Species_Support!CB45)^2*(S13_PSP_Species_Support!CC45*(1-EXP(-S13_PSP_Species_Support!CD45*6))^S13_PSP_Species_Support!CE45))^0.976,0)+IFERROR(S13_PSP_Species_Support!CI45*0.0673*(S13_PSP_Species_Support!CJ45*(S13_PSP_Species_Support!CK45*(1-EXP(-S13_PSP_Species_Support!CL45*6))^S13_PSP_Species_Support!CM45)^2*(S13_PSP_Species_Support!CN45*(1-EXP(-S13_PSP_Species_Support!CO45*6))^S13_PSP_Species_Support!CP45))^0.976,0)+IFERROR(S13_PSP_Species_Support!CT45*0.0673*(S13_PSP_Species_Support!CU45*(S13_PSP_Species_Support!CV45*(1-EXP(-S13_PSP_Species_Support!CW45*6))^S13_PSP_Species_Support!CX45)^2*(S13_PSP_Species_Support!CY45*(1-EXP(-S13_PSP_Species_Support!CZ45*6))^S13_PSP_Species_Support!DA45))^0.976,0))/1000/$G58*O$108,0)</x:f>
        <x:v>2168.421737306732</x:v>
      </x:c>
      <x:c r="P58" s="147" t="n">
        <x:f aca="0">IFERROR((IFERROR(S13_PSP_Species_Support!U45*0.0673*(S13_PSP_Species_Support!V45*(S13_PSP_Species_Support!W45*(1-EXP(-S13_PSP_Species_Support!X45*7))^S13_PSP_Species_Support!Y45)^2*(S13_PSP_Species_Support!Z45*(1-EXP(-S13_PSP_Species_Support!AA45*7))^S13_PSP_Species_Support!AB45))^0.976,0)+IFERROR(S13_PSP_Species_Support!AF45*0.0673*(S13_PSP_Species_Support!AG45*(S13_PSP_Species_Support!AH45*(1-EXP(-S13_PSP_Species_Support!AI45*7))^S13_PSP_Species_Support!AJ45)^2*(S13_PSP_Species_Support!AK45*(1-EXP(-S13_PSP_Species_Support!AL45*7))^S13_PSP_Species_Support!AM45))^0.976,0)+IFERROR(S13_PSP_Species_Support!AQ45*0.0673*(S13_PSP_Species_Support!AR45*(S13_PSP_Species_Support!AS45*(1-EXP(-S13_PSP_Species_Support!AT45*7))^S13_PSP_Species_Support!AU45)^2*(S13_PSP_Species_Support!AV45*(1-EXP(-S13_PSP_Species_Support!AW45*7))^S13_PSP_Species_Support!AX45))^0.976,0)+IFERROR(S13_PSP_Species_Support!BB45*0.0673*(S13_PSP_Species_Support!BC45*(S13_PSP_Species_Support!BD45*(1-EXP(-S13_PSP_Species_Support!BE45*7))^S13_PSP_Species_Support!BF45)^2*(S13_PSP_Species_Support!BG45*(1-EXP(-S13_PSP_Species_Support!BH45*7))^S13_PSP_Species_Support!BI45))^0.976,0)+IFERROR(S13_PSP_Species_Support!BM45*0.0673*(S13_PSP_Species_Support!BN45*(S13_PSP_Species_Support!BO45*(1-EXP(-S13_PSP_Species_Support!BP45*7))^S13_PSP_Species_Support!BQ45)^2*(S13_PSP_Species_Support!BR45*(1-EXP(-S13_PSP_Species_Support!BS45*7))^S13_PSP_Species_Support!BT45))^0.976,0)+IFERROR(S13_PSP_Species_Support!BX45*0.0673*(S13_PSP_Species_Support!BY45*(S13_PSP_Species_Support!BZ45*(1-EXP(-S13_PSP_Species_Support!CA45*7))^S13_PSP_Species_Support!CB45)^2*(S13_PSP_Species_Support!CC45*(1-EXP(-S13_PSP_Species_Support!CD45*7))^S13_PSP_Species_Support!CE45))^0.976,0)+IFERROR(S13_PSP_Species_Support!CI45*0.0673*(S13_PSP_Species_Support!CJ45*(S13_PSP_Species_Support!CK45*(1-EXP(-S13_PSP_Species_Support!CL45*7))^S13_PSP_Species_Support!CM45)^2*(S13_PSP_Species_Support!CN45*(1-EXP(-S13_PSP_Species_Support!CO45*7))^S13_PSP_Species_Support!CP45))^0.976,0)+IFERROR(S13_PSP_Species_Support!CT45*0.0673*(S13_PSP_Species_Support!CU45*(S13_PSP_Species_Support!CV45*(1-EXP(-S13_PSP_Species_Support!CW45*7))^S13_PSP_Species_Support!CX45)^2*(S13_PSP_Species_Support!CY45*(1-EXP(-S13_PSP_Species_Support!CZ45*7))^S13_PSP_Species_Support!DA45))^0.976,0))/1000/$G58*P$108,0)</x:f>
        <x:v>2958.9573244626904</x:v>
      </x:c>
      <x:c r="Q58" s="147" t="n">
        <x:f aca="0">IFERROR((IFERROR(S13_PSP_Species_Support!U45*0.0673*(S13_PSP_Species_Support!V45*(S13_PSP_Species_Support!W45*(1-EXP(-S13_PSP_Species_Support!X45*8))^S13_PSP_Species_Support!Y45)^2*(S13_PSP_Species_Support!Z45*(1-EXP(-S13_PSP_Species_Support!AA45*8))^S13_PSP_Species_Support!AB45))^0.976,0)+IFERROR(S13_PSP_Species_Support!AF45*0.0673*(S13_PSP_Species_Support!AG45*(S13_PSP_Species_Support!AH45*(1-EXP(-S13_PSP_Species_Support!AI45*8))^S13_PSP_Species_Support!AJ45)^2*(S13_PSP_Species_Support!AK45*(1-EXP(-S13_PSP_Species_Support!AL45*8))^S13_PSP_Species_Support!AM45))^0.976,0)+IFERROR(S13_PSP_Species_Support!AQ45*0.0673*(S13_PSP_Species_Support!AR45*(S13_PSP_Species_Support!AS45*(1-EXP(-S13_PSP_Species_Support!AT45*8))^S13_PSP_Species_Support!AU45)^2*(S13_PSP_Species_Support!AV45*(1-EXP(-S13_PSP_Species_Support!AW45*8))^S13_PSP_Species_Support!AX45))^0.976,0)+IFERROR(S13_PSP_Species_Support!BB45*0.0673*(S13_PSP_Species_Support!BC45*(S13_PSP_Species_Support!BD45*(1-EXP(-S13_PSP_Species_Support!BE45*8))^S13_PSP_Species_Support!BF45)^2*(S13_PSP_Species_Support!BG45*(1-EXP(-S13_PSP_Species_Support!BH45*8))^S13_PSP_Species_Support!BI45))^0.976,0)+IFERROR(S13_PSP_Species_Support!BM45*0.0673*(S13_PSP_Species_Support!BN45*(S13_PSP_Species_Support!BO45*(1-EXP(-S13_PSP_Species_Support!BP45*8))^S13_PSP_Species_Support!BQ45)^2*(S13_PSP_Species_Support!BR45*(1-EXP(-S13_PSP_Species_Support!BS45*8))^S13_PSP_Species_Support!BT45))^0.976,0)+IFERROR(S13_PSP_Species_Support!BX45*0.0673*(S13_PSP_Species_Support!BY45*(S13_PSP_Species_Support!BZ45*(1-EXP(-S13_PSP_Species_Support!CA45*8))^S13_PSP_Species_Support!CB45)^2*(S13_PSP_Species_Support!CC45*(1-EXP(-S13_PSP_Species_Support!CD45*8))^S13_PSP_Species_Support!CE45))^0.976,0)+IFERROR(S13_PSP_Species_Support!CI45*0.0673*(S13_PSP_Species_Support!CJ45*(S13_PSP_Species_Support!CK45*(1-EXP(-S13_PSP_Species_Support!CL45*8))^S13_PSP_Species_Support!CM45)^2*(S13_PSP_Species_Support!CN45*(1-EXP(-S13_PSP_Species_Support!CO45*8))^S13_PSP_Species_Support!CP45))^0.976,0)+IFERROR(S13_PSP_Species_Support!CT45*0.0673*(S13_PSP_Species_Support!CU45*(S13_PSP_Species_Support!CV45*(1-EXP(-S13_PSP_Species_Support!CW45*8))^S13_PSP_Species_Support!CX45)^2*(S13_PSP_Species_Support!CY45*(1-EXP(-S13_PSP_Species_Support!CZ45*8))^S13_PSP_Species_Support!DA45))^0.976,0))/1000/$G58*Q$108,0)</x:f>
        <x:v>3772.882540404717</x:v>
      </x:c>
      <x:c r="R58" s="147" t="n">
        <x:f aca="0">IFERROR((IFERROR(S13_PSP_Species_Support!U45*0.0673*(S13_PSP_Species_Support!V45*(S13_PSP_Species_Support!W45*(1-EXP(-S13_PSP_Species_Support!X45*9))^S13_PSP_Species_Support!Y45)^2*(S13_PSP_Species_Support!Z45*(1-EXP(-S13_PSP_Species_Support!AA45*9))^S13_PSP_Species_Support!AB45))^0.976,0)+IFERROR(S13_PSP_Species_Support!AF45*0.0673*(S13_PSP_Species_Support!AG45*(S13_PSP_Species_Support!AH45*(1-EXP(-S13_PSP_Species_Support!AI45*9))^S13_PSP_Species_Support!AJ45)^2*(S13_PSP_Species_Support!AK45*(1-EXP(-S13_PSP_Species_Support!AL45*9))^S13_PSP_Species_Support!AM45))^0.976,0)+IFERROR(S13_PSP_Species_Support!AQ45*0.0673*(S13_PSP_Species_Support!AR45*(S13_PSP_Species_Support!AS45*(1-EXP(-S13_PSP_Species_Support!AT45*9))^S13_PSP_Species_Support!AU45)^2*(S13_PSP_Species_Support!AV45*(1-EXP(-S13_PSP_Species_Support!AW45*9))^S13_PSP_Species_Support!AX45))^0.976,0)+IFERROR(S13_PSP_Species_Support!BB45*0.0673*(S13_PSP_Species_Support!BC45*(S13_PSP_Species_Support!BD45*(1-EXP(-S13_PSP_Species_Support!BE45*9))^S13_PSP_Species_Support!BF45)^2*(S13_PSP_Species_Support!BG45*(1-EXP(-S13_PSP_Species_Support!BH45*9))^S13_PSP_Species_Support!BI45))^0.976,0)+IFERROR(S13_PSP_Species_Support!BM45*0.0673*(S13_PSP_Species_Support!BN45*(S13_PSP_Species_Support!BO45*(1-EXP(-S13_PSP_Species_Support!BP45*9))^S13_PSP_Species_Support!BQ45)^2*(S13_PSP_Species_Support!BR45*(1-EXP(-S13_PSP_Species_Support!BS45*9))^S13_PSP_Species_Support!BT45))^0.976,0)+IFERROR(S13_PSP_Species_Support!BX45*0.0673*(S13_PSP_Species_Support!BY45*(S13_PSP_Species_Support!BZ45*(1-EXP(-S13_PSP_Species_Support!CA45*9))^S13_PSP_Species_Support!CB45)^2*(S13_PSP_Species_Support!CC45*(1-EXP(-S13_PSP_Species_Support!CD45*9))^S13_PSP_Species_Support!CE45))^0.976,0)+IFERROR(S13_PSP_Species_Support!CI45*0.0673*(S13_PSP_Species_Support!CJ45*(S13_PSP_Species_Support!CK45*(1-EXP(-S13_PSP_Species_Support!CL45*9))^S13_PSP_Species_Support!CM45)^2*(S13_PSP_Species_Support!CN45*(1-EXP(-S13_PSP_Species_Support!CO45*9))^S13_PSP_Species_Support!CP45))^0.976,0)+IFERROR(S13_PSP_Species_Support!CT45*0.0673*(S13_PSP_Species_Support!CU45*(S13_PSP_Species_Support!CV45*(1-EXP(-S13_PSP_Species_Support!CW45*9))^S13_PSP_Species_Support!CX45)^2*(S13_PSP_Species_Support!CY45*(1-EXP(-S13_PSP_Species_Support!CZ45*9))^S13_PSP_Species_Support!DA45))^0.976,0))/1000/$G58*R$108,0)</x:f>
        <x:v>4576.254746492977</x:v>
      </x:c>
      <x:c r="S58" s="147" t="n">
        <x:f aca="0">IFERROR((IFERROR(S13_PSP_Species_Support!U45*0.0673*(S13_PSP_Species_Support!V45*(S13_PSP_Species_Support!W45*(1-EXP(-S13_PSP_Species_Support!X45*10))^S13_PSP_Species_Support!Y45)^2*(S13_PSP_Species_Support!Z45*(1-EXP(-S13_PSP_Species_Support!AA45*10))^S13_PSP_Species_Support!AB45))^0.976,0)+IFERROR(S13_PSP_Species_Support!AF45*0.0673*(S13_PSP_Species_Support!AG45*(S13_PSP_Species_Support!AH45*(1-EXP(-S13_PSP_Species_Support!AI45*10))^S13_PSP_Species_Support!AJ45)^2*(S13_PSP_Species_Support!AK45*(1-EXP(-S13_PSP_Species_Support!AL45*10))^S13_PSP_Species_Support!AM45))^0.976,0)+IFERROR(S13_PSP_Species_Support!AQ45*0.0673*(S13_PSP_Species_Support!AR45*(S13_PSP_Species_Support!AS45*(1-EXP(-S13_PSP_Species_Support!AT45*10))^S13_PSP_Species_Support!AU45)^2*(S13_PSP_Species_Support!AV45*(1-EXP(-S13_PSP_Species_Support!AW45*10))^S13_PSP_Species_Support!AX45))^0.976,0)+IFERROR(S13_PSP_Species_Support!BB45*0.0673*(S13_PSP_Species_Support!BC45*(S13_PSP_Species_Support!BD45*(1-EXP(-S13_PSP_Species_Support!BE45*10))^S13_PSP_Species_Support!BF45)^2*(S13_PSP_Species_Support!BG45*(1-EXP(-S13_PSP_Species_Support!BH45*10))^S13_PSP_Species_Support!BI45))^0.976,0)+IFERROR(S13_PSP_Species_Support!BM45*0.0673*(S13_PSP_Species_Support!BN45*(S13_PSP_Species_Support!BO45*(1-EXP(-S13_PSP_Species_Support!BP45*10))^S13_PSP_Species_Support!BQ45)^2*(S13_PSP_Species_Support!BR45*(1-EXP(-S13_PSP_Species_Support!BS45*10))^S13_PSP_Species_Support!BT45))^0.976,0)+IFERROR(S13_PSP_Species_Support!BX45*0.0673*(S13_PSP_Species_Support!BY45*(S13_PSP_Species_Support!BZ45*(1-EXP(-S13_PSP_Species_Support!CA45*10))^S13_PSP_Species_Support!CB45)^2*(S13_PSP_Species_Support!CC45*(1-EXP(-S13_PSP_Species_Support!CD45*10))^S13_PSP_Species_Support!CE45))^0.976,0)+IFERROR(S13_PSP_Species_Support!CI45*0.0673*(S13_PSP_Species_Support!CJ45*(S13_PSP_Species_Support!CK45*(1-EXP(-S13_PSP_Species_Support!CL45*10))^S13_PSP_Species_Support!CM45)^2*(S13_PSP_Species_Support!CN45*(1-EXP(-S13_PSP_Species_Support!CO45*10))^S13_PSP_Species_Support!CP45))^0.976,0)+IFERROR(S13_PSP_Species_Support!CT45*0.0673*(S13_PSP_Species_Support!CU45*(S13_PSP_Species_Support!CV45*(1-EXP(-S13_PSP_Species_Support!CW45*10))^S13_PSP_Species_Support!CX45)^2*(S13_PSP_Species_Support!CY45*(1-EXP(-S13_PSP_Species_Support!CZ45*10))^S13_PSP_Species_Support!DA45))^0.976,0))/1000/$G58*S$108,0)</x:f>
        <x:v>5344.609731656404</x:v>
      </x:c>
      <x:c r="T58" s="147" t="n">
        <x:f aca="0">IFERROR((IFERROR(S13_PSP_Species_Support!U45*0.0673*(S13_PSP_Species_Support!V45*(S13_PSP_Species_Support!W45*(1-EXP(-S13_PSP_Species_Support!X45*11))^S13_PSP_Species_Support!Y45)^2*(S13_PSP_Species_Support!Z45*(1-EXP(-S13_PSP_Species_Support!AA45*11))^S13_PSP_Species_Support!AB45))^0.976,0)+IFERROR(S13_PSP_Species_Support!AF45*0.0673*(S13_PSP_Species_Support!AG45*(S13_PSP_Species_Support!AH45*(1-EXP(-S13_PSP_Species_Support!AI45*11))^S13_PSP_Species_Support!AJ45)^2*(S13_PSP_Species_Support!AK45*(1-EXP(-S13_PSP_Species_Support!AL45*11))^S13_PSP_Species_Support!AM45))^0.976,0)+IFERROR(S13_PSP_Species_Support!AQ45*0.0673*(S13_PSP_Species_Support!AR45*(S13_PSP_Species_Support!AS45*(1-EXP(-S13_PSP_Species_Support!AT45*11))^S13_PSP_Species_Support!AU45)^2*(S13_PSP_Species_Support!AV45*(1-EXP(-S13_PSP_Species_Support!AW45*11))^S13_PSP_Species_Support!AX45))^0.976,0)+IFERROR(S13_PSP_Species_Support!BB45*0.0673*(S13_PSP_Species_Support!BC45*(S13_PSP_Species_Support!BD45*(1-EXP(-S13_PSP_Species_Support!BE45*11))^S13_PSP_Species_Support!BF45)^2*(S13_PSP_Species_Support!BG45*(1-EXP(-S13_PSP_Species_Support!BH45*11))^S13_PSP_Species_Support!BI45))^0.976,0)+IFERROR(S13_PSP_Species_Support!BM45*0.0673*(S13_PSP_Species_Support!BN45*(S13_PSP_Species_Support!BO45*(1-EXP(-S13_PSP_Species_Support!BP45*11))^S13_PSP_Species_Support!BQ45)^2*(S13_PSP_Species_Support!BR45*(1-EXP(-S13_PSP_Species_Support!BS45*11))^S13_PSP_Species_Support!BT45))^0.976,0)+IFERROR(S13_PSP_Species_Support!BX45*0.0673*(S13_PSP_Species_Support!BY45*(S13_PSP_Species_Support!BZ45*(1-EXP(-S13_PSP_Species_Support!CA45*11))^S13_PSP_Species_Support!CB45)^2*(S13_PSP_Species_Support!CC45*(1-EXP(-S13_PSP_Species_Support!CD45*11))^S13_PSP_Species_Support!CE45))^0.976,0)+IFERROR(S13_PSP_Species_Support!CI45*0.0673*(S13_PSP_Species_Support!CJ45*(S13_PSP_Species_Support!CK45*(1-EXP(-S13_PSP_Species_Support!CL45*11))^S13_PSP_Species_Support!CM45)^2*(S13_PSP_Species_Support!CN45*(1-EXP(-S13_PSP_Species_Support!CO45*11))^S13_PSP_Species_Support!CP45))^0.976,0)+IFERROR(S13_PSP_Species_Support!CT45*0.0673*(S13_PSP_Species_Support!CU45*(S13_PSP_Species_Support!CV45*(1-EXP(-S13_PSP_Species_Support!CW45*11))^S13_PSP_Species_Support!CX45)^2*(S13_PSP_Species_Support!CY45*(1-EXP(-S13_PSP_Species_Support!CZ45*11))^S13_PSP_Species_Support!DA45))^0.976,0))/1000/$G58*T$108,0)</x:f>
        <x:v>6061.98572007012</x:v>
      </x:c>
      <x:c r="U58" s="147" t="n">
        <x:f aca="0">IFERROR((IFERROR(S13_PSP_Species_Support!U45*0.0673*(S13_PSP_Species_Support!V45*(S13_PSP_Species_Support!W45*(1-EXP(-S13_PSP_Species_Support!X45*12))^S13_PSP_Species_Support!Y45)^2*(S13_PSP_Species_Support!Z45*(1-EXP(-S13_PSP_Species_Support!AA45*12))^S13_PSP_Species_Support!AB45))^0.976,0)+IFERROR(S13_PSP_Species_Support!AF45*0.0673*(S13_PSP_Species_Support!AG45*(S13_PSP_Species_Support!AH45*(1-EXP(-S13_PSP_Species_Support!AI45*12))^S13_PSP_Species_Support!AJ45)^2*(S13_PSP_Species_Support!AK45*(1-EXP(-S13_PSP_Species_Support!AL45*12))^S13_PSP_Species_Support!AM45))^0.976,0)+IFERROR(S13_PSP_Species_Support!AQ45*0.0673*(S13_PSP_Species_Support!AR45*(S13_PSP_Species_Support!AS45*(1-EXP(-S13_PSP_Species_Support!AT45*12))^S13_PSP_Species_Support!AU45)^2*(S13_PSP_Species_Support!AV45*(1-EXP(-S13_PSP_Species_Support!AW45*12))^S13_PSP_Species_Support!AX45))^0.976,0)+IFERROR(S13_PSP_Species_Support!BB45*0.0673*(S13_PSP_Species_Support!BC45*(S13_PSP_Species_Support!BD45*(1-EXP(-S13_PSP_Species_Support!BE45*12))^S13_PSP_Species_Support!BF45)^2*(S13_PSP_Species_Support!BG45*(1-EXP(-S13_PSP_Species_Support!BH45*12))^S13_PSP_Species_Support!BI45))^0.976,0)+IFERROR(S13_PSP_Species_Support!BM45*0.0673*(S13_PSP_Species_Support!BN45*(S13_PSP_Species_Support!BO45*(1-EXP(-S13_PSP_Species_Support!BP45*12))^S13_PSP_Species_Support!BQ45)^2*(S13_PSP_Species_Support!BR45*(1-EXP(-S13_PSP_Species_Support!BS45*12))^S13_PSP_Species_Support!BT45))^0.976,0)+IFERROR(S13_PSP_Species_Support!BX45*0.0673*(S13_PSP_Species_Support!BY45*(S13_PSP_Species_Support!BZ45*(1-EXP(-S13_PSP_Species_Support!CA45*12))^S13_PSP_Species_Support!CB45)^2*(S13_PSP_Species_Support!CC45*(1-EXP(-S13_PSP_Species_Support!CD45*12))^S13_PSP_Species_Support!CE45))^0.976,0)+IFERROR(S13_PSP_Species_Support!CI45*0.0673*(S13_PSP_Species_Support!CJ45*(S13_PSP_Species_Support!CK45*(1-EXP(-S13_PSP_Species_Support!CL45*12))^S13_PSP_Species_Support!CM45)^2*(S13_PSP_Species_Support!CN45*(1-EXP(-S13_PSP_Species_Support!CO45*12))^S13_PSP_Species_Support!CP45))^0.976,0)+IFERROR(S13_PSP_Species_Support!CT45*0.0673*(S13_PSP_Species_Support!CU45*(S13_PSP_Species_Support!CV45*(1-EXP(-S13_PSP_Species_Support!CW45*12))^S13_PSP_Species_Support!CX45)^2*(S13_PSP_Species_Support!CY45*(1-EXP(-S13_PSP_Species_Support!CZ45*12))^S13_PSP_Species_Support!DA45))^0.976,0))/1000/$G58*U$108,0)</x:f>
        <x:v>6719.334348871125</x:v>
      </x:c>
      <x:c r="V58" s="147" t="n">
        <x:f aca="0">IFERROR((IFERROR(S13_PSP_Species_Support!U45*0.0673*(S13_PSP_Species_Support!V45*(S13_PSP_Species_Support!W45*(1-EXP(-S13_PSP_Species_Support!X45*13))^S13_PSP_Species_Support!Y45)^2*(S13_PSP_Species_Support!Z45*(1-EXP(-S13_PSP_Species_Support!AA45*13))^S13_PSP_Species_Support!AB45))^0.976,0)+IFERROR(S13_PSP_Species_Support!AF45*0.0673*(S13_PSP_Species_Support!AG45*(S13_PSP_Species_Support!AH45*(1-EXP(-S13_PSP_Species_Support!AI45*13))^S13_PSP_Species_Support!AJ45)^2*(S13_PSP_Species_Support!AK45*(1-EXP(-S13_PSP_Species_Support!AL45*13))^S13_PSP_Species_Support!AM45))^0.976,0)+IFERROR(S13_PSP_Species_Support!AQ45*0.0673*(S13_PSP_Species_Support!AR45*(S13_PSP_Species_Support!AS45*(1-EXP(-S13_PSP_Species_Support!AT45*13))^S13_PSP_Species_Support!AU45)^2*(S13_PSP_Species_Support!AV45*(1-EXP(-S13_PSP_Species_Support!AW45*13))^S13_PSP_Species_Support!AX45))^0.976,0)+IFERROR(S13_PSP_Species_Support!BB45*0.0673*(S13_PSP_Species_Support!BC45*(S13_PSP_Species_Support!BD45*(1-EXP(-S13_PSP_Species_Support!BE45*13))^S13_PSP_Species_Support!BF45)^2*(S13_PSP_Species_Support!BG45*(1-EXP(-S13_PSP_Species_Support!BH45*13))^S13_PSP_Species_Support!BI45))^0.976,0)+IFERROR(S13_PSP_Species_Support!BM45*0.0673*(S13_PSP_Species_Support!BN45*(S13_PSP_Species_Support!BO45*(1-EXP(-S13_PSP_Species_Support!BP45*13))^S13_PSP_Species_Support!BQ45)^2*(S13_PSP_Species_Support!BR45*(1-EXP(-S13_PSP_Species_Support!BS45*13))^S13_PSP_Species_Support!BT45))^0.976,0)+IFERROR(S13_PSP_Species_Support!BX45*0.0673*(S13_PSP_Species_Support!BY45*(S13_PSP_Species_Support!BZ45*(1-EXP(-S13_PSP_Species_Support!CA45*13))^S13_PSP_Species_Support!CB45)^2*(S13_PSP_Species_Support!CC45*(1-EXP(-S13_PSP_Species_Support!CD45*13))^S13_PSP_Species_Support!CE45))^0.976,0)+IFERROR(S13_PSP_Species_Support!CI45*0.0673*(S13_PSP_Species_Support!CJ45*(S13_PSP_Species_Support!CK45*(1-EXP(-S13_PSP_Species_Support!CL45*13))^S13_PSP_Species_Support!CM45)^2*(S13_PSP_Species_Support!CN45*(1-EXP(-S13_PSP_Species_Support!CO45*13))^S13_PSP_Species_Support!CP45))^0.976,0)+IFERROR(S13_PSP_Species_Support!CT45*0.0673*(S13_PSP_Species_Support!CU45*(S13_PSP_Species_Support!CV45*(1-EXP(-S13_PSP_Species_Support!CW45*13))^S13_PSP_Species_Support!CX45)^2*(S13_PSP_Species_Support!CY45*(1-EXP(-S13_PSP_Species_Support!CZ45*13))^S13_PSP_Species_Support!DA45))^0.976,0))/1000/$G58*V$108,0)</x:f>
        <x:v>7312.847354664915</x:v>
      </x:c>
      <x:c r="W58" s="147" t="n">
        <x:f aca="0">IFERROR((IFERROR(S13_PSP_Species_Support!U45*0.0673*(S13_PSP_Species_Support!V45*(S13_PSP_Species_Support!W45*(1-EXP(-S13_PSP_Species_Support!X45*14))^S13_PSP_Species_Support!Y45)^2*(S13_PSP_Species_Support!Z45*(1-EXP(-S13_PSP_Species_Support!AA45*14))^S13_PSP_Species_Support!AB45))^0.976,0)+IFERROR(S13_PSP_Species_Support!AF45*0.0673*(S13_PSP_Species_Support!AG45*(S13_PSP_Species_Support!AH45*(1-EXP(-S13_PSP_Species_Support!AI45*14))^S13_PSP_Species_Support!AJ45)^2*(S13_PSP_Species_Support!AK45*(1-EXP(-S13_PSP_Species_Support!AL45*14))^S13_PSP_Species_Support!AM45))^0.976,0)+IFERROR(S13_PSP_Species_Support!AQ45*0.0673*(S13_PSP_Species_Support!AR45*(S13_PSP_Species_Support!AS45*(1-EXP(-S13_PSP_Species_Support!AT45*14))^S13_PSP_Species_Support!AU45)^2*(S13_PSP_Species_Support!AV45*(1-EXP(-S13_PSP_Species_Support!AW45*14))^S13_PSP_Species_Support!AX45))^0.976,0)+IFERROR(S13_PSP_Species_Support!BB45*0.0673*(S13_PSP_Species_Support!BC45*(S13_PSP_Species_Support!BD45*(1-EXP(-S13_PSP_Species_Support!BE45*14))^S13_PSP_Species_Support!BF45)^2*(S13_PSP_Species_Support!BG45*(1-EXP(-S13_PSP_Species_Support!BH45*14))^S13_PSP_Species_Support!BI45))^0.976,0)+IFERROR(S13_PSP_Species_Support!BM45*0.0673*(S13_PSP_Species_Support!BN45*(S13_PSP_Species_Support!BO45*(1-EXP(-S13_PSP_Species_Support!BP45*14))^S13_PSP_Species_Support!BQ45)^2*(S13_PSP_Species_Support!BR45*(1-EXP(-S13_PSP_Species_Support!BS45*14))^S13_PSP_Species_Support!BT45))^0.976,0)+IFERROR(S13_PSP_Species_Support!BX45*0.0673*(S13_PSP_Species_Support!BY45*(S13_PSP_Species_Support!BZ45*(1-EXP(-S13_PSP_Species_Support!CA45*14))^S13_PSP_Species_Support!CB45)^2*(S13_PSP_Species_Support!CC45*(1-EXP(-S13_PSP_Species_Support!CD45*14))^S13_PSP_Species_Support!CE45))^0.976,0)+IFERROR(S13_PSP_Species_Support!CI45*0.0673*(S13_PSP_Species_Support!CJ45*(S13_PSP_Species_Support!CK45*(1-EXP(-S13_PSP_Species_Support!CL45*14))^S13_PSP_Species_Support!CM45)^2*(S13_PSP_Species_Support!CN45*(1-EXP(-S13_PSP_Species_Support!CO45*14))^S13_PSP_Species_Support!CP45))^0.976,0)+IFERROR(S13_PSP_Species_Support!CT45*0.0673*(S13_PSP_Species_Support!CU45*(S13_PSP_Species_Support!CV45*(1-EXP(-S13_PSP_Species_Support!CW45*14))^S13_PSP_Species_Support!CX45)^2*(S13_PSP_Species_Support!CY45*(1-EXP(-S13_PSP_Species_Support!CZ45*14))^S13_PSP_Species_Support!DA45))^0.976,0))/1000/$G58*W$108,0)</x:f>
        <x:v>7842.454973215898</x:v>
      </x:c>
      <x:c r="X58" s="147" t="n">
        <x:f aca="0">IFERROR((IFERROR(S13_PSP_Species_Support!U45*0.0673*(S13_PSP_Species_Support!V45*(S13_PSP_Species_Support!W45*(1-EXP(-S13_PSP_Species_Support!X45*15))^S13_PSP_Species_Support!Y45)^2*(S13_PSP_Species_Support!Z45*(1-EXP(-S13_PSP_Species_Support!AA45*15))^S13_PSP_Species_Support!AB45))^0.976,0)+IFERROR(S13_PSP_Species_Support!AF45*0.0673*(S13_PSP_Species_Support!AG45*(S13_PSP_Species_Support!AH45*(1-EXP(-S13_PSP_Species_Support!AI45*15))^S13_PSP_Species_Support!AJ45)^2*(S13_PSP_Species_Support!AK45*(1-EXP(-S13_PSP_Species_Support!AL45*15))^S13_PSP_Species_Support!AM45))^0.976,0)+IFERROR(S13_PSP_Species_Support!AQ45*0.0673*(S13_PSP_Species_Support!AR45*(S13_PSP_Species_Support!AS45*(1-EXP(-S13_PSP_Species_Support!AT45*15))^S13_PSP_Species_Support!AU45)^2*(S13_PSP_Species_Support!AV45*(1-EXP(-S13_PSP_Species_Support!AW45*15))^S13_PSP_Species_Support!AX45))^0.976,0)+IFERROR(S13_PSP_Species_Support!BB45*0.0673*(S13_PSP_Species_Support!BC45*(S13_PSP_Species_Support!BD45*(1-EXP(-S13_PSP_Species_Support!BE45*15))^S13_PSP_Species_Support!BF45)^2*(S13_PSP_Species_Support!BG45*(1-EXP(-S13_PSP_Species_Support!BH45*15))^S13_PSP_Species_Support!BI45))^0.976,0)+IFERROR(S13_PSP_Species_Support!BM45*0.0673*(S13_PSP_Species_Support!BN45*(S13_PSP_Species_Support!BO45*(1-EXP(-S13_PSP_Species_Support!BP45*15))^S13_PSP_Species_Support!BQ45)^2*(S13_PSP_Species_Support!BR45*(1-EXP(-S13_PSP_Species_Support!BS45*15))^S13_PSP_Species_Support!BT45))^0.976,0)+IFERROR(S13_PSP_Species_Support!BX45*0.0673*(S13_PSP_Species_Support!BY45*(S13_PSP_Species_Support!BZ45*(1-EXP(-S13_PSP_Species_Support!CA45*15))^S13_PSP_Species_Support!CB45)^2*(S13_PSP_Species_Support!CC45*(1-EXP(-S13_PSP_Species_Support!CD45*15))^S13_PSP_Species_Support!CE45))^0.976,0)+IFERROR(S13_PSP_Species_Support!CI45*0.0673*(S13_PSP_Species_Support!CJ45*(S13_PSP_Species_Support!CK45*(1-EXP(-S13_PSP_Species_Support!CL45*15))^S13_PSP_Species_Support!CM45)^2*(S13_PSP_Species_Support!CN45*(1-EXP(-S13_PSP_Species_Support!CO45*15))^S13_PSP_Species_Support!CP45))^0.976,0)+IFERROR(S13_PSP_Species_Support!CT45*0.0673*(S13_PSP_Species_Support!CU45*(S13_PSP_Species_Support!CV45*(1-EXP(-S13_PSP_Species_Support!CW45*15))^S13_PSP_Species_Support!CX45)^2*(S13_PSP_Species_Support!CY45*(1-EXP(-S13_PSP_Species_Support!CZ45*15))^S13_PSP_Species_Support!DA45))^0.976,0))/1000/$G58*X$108,0)</x:f>
        <x:v>8310.592298425814</x:v>
      </x:c>
      <x:c r="Y58" s="147" t="n">
        <x:f aca="0">IFERROR((IFERROR(S13_PSP_Species_Support!U45*0.0673*(S13_PSP_Species_Support!V45*(S13_PSP_Species_Support!W45*(1-EXP(-S13_PSP_Species_Support!X45*16))^S13_PSP_Species_Support!Y45)^2*(S13_PSP_Species_Support!Z45*(1-EXP(-S13_PSP_Species_Support!AA45*16))^S13_PSP_Species_Support!AB45))^0.976,0)+IFERROR(S13_PSP_Species_Support!AF45*0.0673*(S13_PSP_Species_Support!AG45*(S13_PSP_Species_Support!AH45*(1-EXP(-S13_PSP_Species_Support!AI45*16))^S13_PSP_Species_Support!AJ45)^2*(S13_PSP_Species_Support!AK45*(1-EXP(-S13_PSP_Species_Support!AL45*16))^S13_PSP_Species_Support!AM45))^0.976,0)+IFERROR(S13_PSP_Species_Support!AQ45*0.0673*(S13_PSP_Species_Support!AR45*(S13_PSP_Species_Support!AS45*(1-EXP(-S13_PSP_Species_Support!AT45*16))^S13_PSP_Species_Support!AU45)^2*(S13_PSP_Species_Support!AV45*(1-EXP(-S13_PSP_Species_Support!AW45*16))^S13_PSP_Species_Support!AX45))^0.976,0)+IFERROR(S13_PSP_Species_Support!BB45*0.0673*(S13_PSP_Species_Support!BC45*(S13_PSP_Species_Support!BD45*(1-EXP(-S13_PSP_Species_Support!BE45*16))^S13_PSP_Species_Support!BF45)^2*(S13_PSP_Species_Support!BG45*(1-EXP(-S13_PSP_Species_Support!BH45*16))^S13_PSP_Species_Support!BI45))^0.976,0)+IFERROR(S13_PSP_Species_Support!BM45*0.0673*(S13_PSP_Species_Support!BN45*(S13_PSP_Species_Support!BO45*(1-EXP(-S13_PSP_Species_Support!BP45*16))^S13_PSP_Species_Support!BQ45)^2*(S13_PSP_Species_Support!BR45*(1-EXP(-S13_PSP_Species_Support!BS45*16))^S13_PSP_Species_Support!BT45))^0.976,0)+IFERROR(S13_PSP_Species_Support!BX45*0.0673*(S13_PSP_Species_Support!BY45*(S13_PSP_Species_Support!BZ45*(1-EXP(-S13_PSP_Species_Support!CA45*16))^S13_PSP_Species_Support!CB45)^2*(S13_PSP_Species_Support!CC45*(1-EXP(-S13_PSP_Species_Support!CD45*16))^S13_PSP_Species_Support!CE45))^0.976,0)+IFERROR(S13_PSP_Species_Support!CI45*0.0673*(S13_PSP_Species_Support!CJ45*(S13_PSP_Species_Support!CK45*(1-EXP(-S13_PSP_Species_Support!CL45*16))^S13_PSP_Species_Support!CM45)^2*(S13_PSP_Species_Support!CN45*(1-EXP(-S13_PSP_Species_Support!CO45*16))^S13_PSP_Species_Support!CP45))^0.976,0)+IFERROR(S13_PSP_Species_Support!CT45*0.0673*(S13_PSP_Species_Support!CU45*(S13_PSP_Species_Support!CV45*(1-EXP(-S13_PSP_Species_Support!CW45*16))^S13_PSP_Species_Support!CX45)^2*(S13_PSP_Species_Support!CY45*(1-EXP(-S13_PSP_Species_Support!CZ45*16))^S13_PSP_Species_Support!DA45))^0.976,0))/1000/$G58*Y$108,0)</x:f>
        <x:v>8721.244557952692</x:v>
      </x:c>
      <x:c r="Z58" s="147" t="n">
        <x:f aca="0">IFERROR((IFERROR(S13_PSP_Species_Support!U45*0.0673*(S13_PSP_Species_Support!V45*(S13_PSP_Species_Support!W45*(1-EXP(-S13_PSP_Species_Support!X45*17))^S13_PSP_Species_Support!Y45)^2*(S13_PSP_Species_Support!Z45*(1-EXP(-S13_PSP_Species_Support!AA45*17))^S13_PSP_Species_Support!AB45))^0.976,0)+IFERROR(S13_PSP_Species_Support!AF45*0.0673*(S13_PSP_Species_Support!AG45*(S13_PSP_Species_Support!AH45*(1-EXP(-S13_PSP_Species_Support!AI45*17))^S13_PSP_Species_Support!AJ45)^2*(S13_PSP_Species_Support!AK45*(1-EXP(-S13_PSP_Species_Support!AL45*17))^S13_PSP_Species_Support!AM45))^0.976,0)+IFERROR(S13_PSP_Species_Support!AQ45*0.0673*(S13_PSP_Species_Support!AR45*(S13_PSP_Species_Support!AS45*(1-EXP(-S13_PSP_Species_Support!AT45*17))^S13_PSP_Species_Support!AU45)^2*(S13_PSP_Species_Support!AV45*(1-EXP(-S13_PSP_Species_Support!AW45*17))^S13_PSP_Species_Support!AX45))^0.976,0)+IFERROR(S13_PSP_Species_Support!BB45*0.0673*(S13_PSP_Species_Support!BC45*(S13_PSP_Species_Support!BD45*(1-EXP(-S13_PSP_Species_Support!BE45*17))^S13_PSP_Species_Support!BF45)^2*(S13_PSP_Species_Support!BG45*(1-EXP(-S13_PSP_Species_Support!BH45*17))^S13_PSP_Species_Support!BI45))^0.976,0)+IFERROR(S13_PSP_Species_Support!BM45*0.0673*(S13_PSP_Species_Support!BN45*(S13_PSP_Species_Support!BO45*(1-EXP(-S13_PSP_Species_Support!BP45*17))^S13_PSP_Species_Support!BQ45)^2*(S13_PSP_Species_Support!BR45*(1-EXP(-S13_PSP_Species_Support!BS45*17))^S13_PSP_Species_Support!BT45))^0.976,0)+IFERROR(S13_PSP_Species_Support!BX45*0.0673*(S13_PSP_Species_Support!BY45*(S13_PSP_Species_Support!BZ45*(1-EXP(-S13_PSP_Species_Support!CA45*17))^S13_PSP_Species_Support!CB45)^2*(S13_PSP_Species_Support!CC45*(1-EXP(-S13_PSP_Species_Support!CD45*17))^S13_PSP_Species_Support!CE45))^0.976,0)+IFERROR(S13_PSP_Species_Support!CI45*0.0673*(S13_PSP_Species_Support!CJ45*(S13_PSP_Species_Support!CK45*(1-EXP(-S13_PSP_Species_Support!CL45*17))^S13_PSP_Species_Support!CM45)^2*(S13_PSP_Species_Support!CN45*(1-EXP(-S13_PSP_Species_Support!CO45*17))^S13_PSP_Species_Support!CP45))^0.976,0)+IFERROR(S13_PSP_Species_Support!CT45*0.0673*(S13_PSP_Species_Support!CU45*(S13_PSP_Species_Support!CV45*(1-EXP(-S13_PSP_Species_Support!CW45*17))^S13_PSP_Species_Support!CX45)^2*(S13_PSP_Species_Support!CY45*(1-EXP(-S13_PSP_Species_Support!CZ45*17))^S13_PSP_Species_Support!DA45))^0.976,0))/1000/$G58*Z$108,0)</x:f>
        <x:v>9079.242177859807</x:v>
      </x:c>
      <x:c r="AA58" s="147" t="n">
        <x:f aca="0">IFERROR((IFERROR(S13_PSP_Species_Support!U45*0.0673*(S13_PSP_Species_Support!V45*(S13_PSP_Species_Support!W45*(1-EXP(-S13_PSP_Species_Support!X45*18))^S13_PSP_Species_Support!Y45)^2*(S13_PSP_Species_Support!Z45*(1-EXP(-S13_PSP_Species_Support!AA45*18))^S13_PSP_Species_Support!AB45))^0.976,0)+IFERROR(S13_PSP_Species_Support!AF45*0.0673*(S13_PSP_Species_Support!AG45*(S13_PSP_Species_Support!AH45*(1-EXP(-S13_PSP_Species_Support!AI45*18))^S13_PSP_Species_Support!AJ45)^2*(S13_PSP_Species_Support!AK45*(1-EXP(-S13_PSP_Species_Support!AL45*18))^S13_PSP_Species_Support!AM45))^0.976,0)+IFERROR(S13_PSP_Species_Support!AQ45*0.0673*(S13_PSP_Species_Support!AR45*(S13_PSP_Species_Support!AS45*(1-EXP(-S13_PSP_Species_Support!AT45*18))^S13_PSP_Species_Support!AU45)^2*(S13_PSP_Species_Support!AV45*(1-EXP(-S13_PSP_Species_Support!AW45*18))^S13_PSP_Species_Support!AX45))^0.976,0)+IFERROR(S13_PSP_Species_Support!BB45*0.0673*(S13_PSP_Species_Support!BC45*(S13_PSP_Species_Support!BD45*(1-EXP(-S13_PSP_Species_Support!BE45*18))^S13_PSP_Species_Support!BF45)^2*(S13_PSP_Species_Support!BG45*(1-EXP(-S13_PSP_Species_Support!BH45*18))^S13_PSP_Species_Support!BI45))^0.976,0)+IFERROR(S13_PSP_Species_Support!BM45*0.0673*(S13_PSP_Species_Support!BN45*(S13_PSP_Species_Support!BO45*(1-EXP(-S13_PSP_Species_Support!BP45*18))^S13_PSP_Species_Support!BQ45)^2*(S13_PSP_Species_Support!BR45*(1-EXP(-S13_PSP_Species_Support!BS45*18))^S13_PSP_Species_Support!BT45))^0.976,0)+IFERROR(S13_PSP_Species_Support!BX45*0.0673*(S13_PSP_Species_Support!BY45*(S13_PSP_Species_Support!BZ45*(1-EXP(-S13_PSP_Species_Support!CA45*18))^S13_PSP_Species_Support!CB45)^2*(S13_PSP_Species_Support!CC45*(1-EXP(-S13_PSP_Species_Support!CD45*18))^S13_PSP_Species_Support!CE45))^0.976,0)+IFERROR(S13_PSP_Species_Support!CI45*0.0673*(S13_PSP_Species_Support!CJ45*(S13_PSP_Species_Support!CK45*(1-EXP(-S13_PSP_Species_Support!CL45*18))^S13_PSP_Species_Support!CM45)^2*(S13_PSP_Species_Support!CN45*(1-EXP(-S13_PSP_Species_Support!CO45*18))^S13_PSP_Species_Support!CP45))^0.976,0)+IFERROR(S13_PSP_Species_Support!CT45*0.0673*(S13_PSP_Species_Support!CU45*(S13_PSP_Species_Support!CV45*(1-EXP(-S13_PSP_Species_Support!CW45*18))^S13_PSP_Species_Support!CX45)^2*(S13_PSP_Species_Support!CY45*(1-EXP(-S13_PSP_Species_Support!CZ45*18))^S13_PSP_Species_Support!DA45))^0.976,0))/1000/$G58*AA$108,0)</x:f>
        <x:v>9389.761957966082</x:v>
      </x:c>
      <x:c r="AB58" s="147" t="n">
        <x:f aca="0">IFERROR((IFERROR(S13_PSP_Species_Support!U45*0.0673*(S13_PSP_Species_Support!V45*(S13_PSP_Species_Support!W45*(1-EXP(-S13_PSP_Species_Support!X45*19))^S13_PSP_Species_Support!Y45)^2*(S13_PSP_Species_Support!Z45*(1-EXP(-S13_PSP_Species_Support!AA45*19))^S13_PSP_Species_Support!AB45))^0.976,0)+IFERROR(S13_PSP_Species_Support!AF45*0.0673*(S13_PSP_Species_Support!AG45*(S13_PSP_Species_Support!AH45*(1-EXP(-S13_PSP_Species_Support!AI45*19))^S13_PSP_Species_Support!AJ45)^2*(S13_PSP_Species_Support!AK45*(1-EXP(-S13_PSP_Species_Support!AL45*19))^S13_PSP_Species_Support!AM45))^0.976,0)+IFERROR(S13_PSP_Species_Support!AQ45*0.0673*(S13_PSP_Species_Support!AR45*(S13_PSP_Species_Support!AS45*(1-EXP(-S13_PSP_Species_Support!AT45*19))^S13_PSP_Species_Support!AU45)^2*(S13_PSP_Species_Support!AV45*(1-EXP(-S13_PSP_Species_Support!AW45*19))^S13_PSP_Species_Support!AX45))^0.976,0)+IFERROR(S13_PSP_Species_Support!BB45*0.0673*(S13_PSP_Species_Support!BC45*(S13_PSP_Species_Support!BD45*(1-EXP(-S13_PSP_Species_Support!BE45*19))^S13_PSP_Species_Support!BF45)^2*(S13_PSP_Species_Support!BG45*(1-EXP(-S13_PSP_Species_Support!BH45*19))^S13_PSP_Species_Support!BI45))^0.976,0)+IFERROR(S13_PSP_Species_Support!BM45*0.0673*(S13_PSP_Species_Support!BN45*(S13_PSP_Species_Support!BO45*(1-EXP(-S13_PSP_Species_Support!BP45*19))^S13_PSP_Species_Support!BQ45)^2*(S13_PSP_Species_Support!BR45*(1-EXP(-S13_PSP_Species_Support!BS45*19))^S13_PSP_Species_Support!BT45))^0.976,0)+IFERROR(S13_PSP_Species_Support!BX45*0.0673*(S13_PSP_Species_Support!BY45*(S13_PSP_Species_Support!BZ45*(1-EXP(-S13_PSP_Species_Support!CA45*19))^S13_PSP_Species_Support!CB45)^2*(S13_PSP_Species_Support!CC45*(1-EXP(-S13_PSP_Species_Support!CD45*19))^S13_PSP_Species_Support!CE45))^0.976,0)+IFERROR(S13_PSP_Species_Support!CI45*0.0673*(S13_PSP_Species_Support!CJ45*(S13_PSP_Species_Support!CK45*(1-EXP(-S13_PSP_Species_Support!CL45*19))^S13_PSP_Species_Support!CM45)^2*(S13_PSP_Species_Support!CN45*(1-EXP(-S13_PSP_Species_Support!CO45*19))^S13_PSP_Species_Support!CP45))^0.976,0)+IFERROR(S13_PSP_Species_Support!CT45*0.0673*(S13_PSP_Species_Support!CU45*(S13_PSP_Species_Support!CV45*(1-EXP(-S13_PSP_Species_Support!CW45*19))^S13_PSP_Species_Support!CX45)^2*(S13_PSP_Species_Support!CY45*(1-EXP(-S13_PSP_Species_Support!CZ45*19))^S13_PSP_Species_Support!DA45))^0.976,0))/1000/$G58*AB$108,0)</x:f>
        <x:v>9657.989410440501</x:v>
      </x:c>
      <x:c r="AC58" s="147" t="n">
        <x:f aca="0">IFERROR((IFERROR(S13_PSP_Species_Support!U45*0.0673*(S13_PSP_Species_Support!V45*(S13_PSP_Species_Support!W45*(1-EXP(-S13_PSP_Species_Support!X45*20))^S13_PSP_Species_Support!Y45)^2*(S13_PSP_Species_Support!Z45*(1-EXP(-S13_PSP_Species_Support!AA45*20))^S13_PSP_Species_Support!AB45))^0.976,0)+IFERROR(S13_PSP_Species_Support!AF45*0.0673*(S13_PSP_Species_Support!AG45*(S13_PSP_Species_Support!AH45*(1-EXP(-S13_PSP_Species_Support!AI45*20))^S13_PSP_Species_Support!AJ45)^2*(S13_PSP_Species_Support!AK45*(1-EXP(-S13_PSP_Species_Support!AL45*20))^S13_PSP_Species_Support!AM45))^0.976,0)+IFERROR(S13_PSP_Species_Support!AQ45*0.0673*(S13_PSP_Species_Support!AR45*(S13_PSP_Species_Support!AS45*(1-EXP(-S13_PSP_Species_Support!AT45*20))^S13_PSP_Species_Support!AU45)^2*(S13_PSP_Species_Support!AV45*(1-EXP(-S13_PSP_Species_Support!AW45*20))^S13_PSP_Species_Support!AX45))^0.976,0)+IFERROR(S13_PSP_Species_Support!BB45*0.0673*(S13_PSP_Species_Support!BC45*(S13_PSP_Species_Support!BD45*(1-EXP(-S13_PSP_Species_Support!BE45*20))^S13_PSP_Species_Support!BF45)^2*(S13_PSP_Species_Support!BG45*(1-EXP(-S13_PSP_Species_Support!BH45*20))^S13_PSP_Species_Support!BI45))^0.976,0)+IFERROR(S13_PSP_Species_Support!BM45*0.0673*(S13_PSP_Species_Support!BN45*(S13_PSP_Species_Support!BO45*(1-EXP(-S13_PSP_Species_Support!BP45*20))^S13_PSP_Species_Support!BQ45)^2*(S13_PSP_Species_Support!BR45*(1-EXP(-S13_PSP_Species_Support!BS45*20))^S13_PSP_Species_Support!BT45))^0.976,0)+IFERROR(S13_PSP_Species_Support!BX45*0.0673*(S13_PSP_Species_Support!BY45*(S13_PSP_Species_Support!BZ45*(1-EXP(-S13_PSP_Species_Support!CA45*20))^S13_PSP_Species_Support!CB45)^2*(S13_PSP_Species_Support!CC45*(1-EXP(-S13_PSP_Species_Support!CD45*20))^S13_PSP_Species_Support!CE45))^0.976,0)+IFERROR(S13_PSP_Species_Support!CI45*0.0673*(S13_PSP_Species_Support!CJ45*(S13_PSP_Species_Support!CK45*(1-EXP(-S13_PSP_Species_Support!CL45*20))^S13_PSP_Species_Support!CM45)^2*(S13_PSP_Species_Support!CN45*(1-EXP(-S13_PSP_Species_Support!CO45*20))^S13_PSP_Species_Support!CP45))^0.976,0)+IFERROR(S13_PSP_Species_Support!CT45*0.0673*(S13_PSP_Species_Support!CU45*(S13_PSP_Species_Support!CV45*(1-EXP(-S13_PSP_Species_Support!CW45*20))^S13_PSP_Species_Support!CX45)^2*(S13_PSP_Species_Support!CY45*(1-EXP(-S13_PSP_Species_Support!CZ45*20))^S13_PSP_Species_Support!DA45))^0.976,0))/1000/$G58*AC$108,0)</x:f>
        <x:v>9888.902144303462</x:v>
      </x:c>
      <x:c r="AD58" s="148" t="n">
        <x:f aca="0">IF(2020&lt;$F58,0,INDEX($I58:$AC58,1,2020-$F58+1))</x:f>
        <x:v>0</x:v>
      </x:c>
      <x:c r="AE58" s="148" t="n">
        <x:f aca="0">IF(2021&lt;$F58,0,INDEX($I58:$AC58,1,2021-$F58+1))</x:f>
        <x:v>12.254267007073292</x:v>
      </x:c>
      <x:c r="AF58" s="148" t="n">
        <x:f aca="0">IF(2022&lt;$F58,0,INDEX($I58:$AC58,1,2022-$F58+1))</x:f>
        <x:v>115.61268689203037</x:v>
      </x:c>
      <x:c r="AG58" s="148" t="n">
        <x:f aca="0">IF(2023&lt;$F58,0,INDEX($I58:$AC58,1,2023-$F58+1))</x:f>
        <x:v>382.63090233386725</x:v>
      </x:c>
      <x:c r="AH58" s="148" t="n">
        <x:f aca="0">IF(2024&lt;$F58,0,INDEX($I58:$AC58,1,2024-$F58+1))</x:f>
        <x:v>834.0528282372823</x:v>
      </x:c>
      <x:c r="AI58" s="148" t="n">
        <x:f aca="0">IF(2025&lt;$F58,0,INDEX($I58:$AC58,1,2025-$F58+1))</x:f>
        <x:v>1444.1073616616604</x:v>
      </x:c>
      <x:c r="AJ58" s="148" t="n">
        <x:f aca="0">IF(2026&lt;$F58,0,INDEX($I58:$AC58,1,2026-$F58+1))</x:f>
        <x:v>2168.421737306732</x:v>
      </x:c>
      <x:c r="AK58" s="148" t="n">
        <x:f aca="0">IF(2027&lt;$F58,0,INDEX($I58:$AC58,1,2027-$F58+1))</x:f>
        <x:v>2958.9573244626904</x:v>
      </x:c>
      <x:c r="AL58" s="148" t="n">
        <x:f aca="0">IF(2028&lt;$F58,0,INDEX($I58:$AC58,1,2028-$F58+1))</x:f>
        <x:v>3772.882540404717</x:v>
      </x:c>
      <x:c r="AM58" s="148" t="n">
        <x:f aca="0">IF(2029&lt;$F58,0,INDEX($I58:$AC58,1,2029-$F58+1))</x:f>
        <x:v>4576.254746492977</x:v>
      </x:c>
      <x:c r="AN58" s="148" t="n">
        <x:f aca="0">IF(2030&lt;$F58,0,INDEX($I58:$AC58,1,2030-$F58+1))</x:f>
        <x:v>5344.609731656404</x:v>
      </x:c>
      <x:c r="AO58" s="148" t="n">
        <x:f aca="0">IF(2031&lt;$F58,0,INDEX($I58:$AC58,1,2031-$F58+1))</x:f>
        <x:v>6061.98572007012</x:v>
      </x:c>
      <x:c r="AP58" s="148" t="n">
        <x:f aca="0">IF(2032&lt;$F58,0,INDEX($I58:$AC58,1,2032-$F58+1))</x:f>
        <x:v>6719.334348871125</x:v>
      </x:c>
      <x:c r="AQ58" s="148" t="n">
        <x:f aca="0">IF(2033&lt;$F58,0,INDEX($I58:$AC58,1,2033-$F58+1))</x:f>
        <x:v>7312.847354664915</x:v>
      </x:c>
      <x:c r="AR58" s="148" t="n">
        <x:f aca="0">IF(2034&lt;$F58,0,INDEX($I58:$AC58,1,2034-$F58+1))</x:f>
        <x:v>7842.454973215898</x:v>
      </x:c>
      <x:c r="AS58" s="148" t="n">
        <x:f aca="0">IF(2035&lt;$F58,0,INDEX($I58:$AC58,1,2035-$F58+1))</x:f>
        <x:v>8310.592298425814</x:v>
      </x:c>
      <x:c r="AT58" s="148" t="n">
        <x:f aca="0">IF(2036&lt;$F58,0,INDEX($I58:$AC58,1,2036-$F58+1))</x:f>
        <x:v>8721.244557952692</x:v>
      </x:c>
      <x:c r="AU58" s="148" t="n">
        <x:f aca="0">IF(2037&lt;$F58,0,INDEX($I58:$AC58,1,2037-$F58+1))</x:f>
        <x:v>9079.242177859807</x:v>
      </x:c>
      <x:c r="AV58" s="148" t="n">
        <x:f aca="0">IF(2038&lt;$F58,0,INDEX($I58:$AC58,1,2038-$F58+1))</x:f>
        <x:v>9389.761957966082</x:v>
      </x:c>
      <x:c r="AW58" s="148" t="n">
        <x:f aca="0">IF(2039&lt;$F58,0,INDEX($I58:$AC58,1,2039-$F58+1))</x:f>
        <x:v>9657.989410440501</x:v>
      </x:c>
      <x:c r="AX58" s="148" t="n">
        <x:f aca="0">IF(2040&lt;$F58,0,INDEX($I58:$AC58,1,2040-$F58+1))</x:f>
        <x:v>9888.902144303462</x:v>
      </x:c>
      <x:c r="AY58" s="1" t="str">
        <x:f aca="0">LEFT($C58,FIND("@",SUBSTITUTE($C58,"|","@",2))-1)</x:f>
        <x:v>Timber Plantation|High</x:v>
      </x:c>
      <x:c r="AZ58" s="1" t="str">
        <x:f aca="0">LEFT($C58,FIND("|",$C58)-1)</x:f>
        <x:v>Timber Plantation</x:v>
      </x:c>
      <x:c r="BA58" s="149" t="n">
        <x:f aca="0">I58*I58</x:f>
        <x:v>0</x:v>
      </x:c>
      <x:c r="BB58" s="149" t="n">
        <x:f aca="0">J58*J58</x:f>
        <x:v>150.167059880645</x:v>
      </x:c>
      <x:c r="BC58" s="149" t="n">
        <x:f aca="0">K58*K58</x:f>
        <x:v>13366.293370394651</x:v>
      </x:c>
      <x:c r="BD58" s="149" t="n">
        <x:f aca="0">L58*L58</x:f>
        <x:v>146406.40742082946</x:v>
      </x:c>
      <x:c r="BE58" s="149" t="n">
        <x:f aca="0">M58*M58</x:f>
        <x:v>695644.1202906094</x:v>
      </x:c>
      <x:c r="BF58" s="149" t="n">
        <x:f aca="0">N58*N58</x:f>
        <x:v>2085446.0720054018</x:v>
      </x:c>
      <x:c r="BG58" s="149" t="n">
        <x:f aca="0">O58*O58</x:f>
        <x:v>4702052.830824347</x:v>
      </x:c>
      <x:c r="BH58" s="149" t="n">
        <x:f aca="0">P58*P58</x:f>
        <x:v>8755428.447991403</x:v>
      </x:c>
      <x:c r="BI58" s="149" t="n">
        <x:f aca="0">Q58*Q58</x:f>
        <x:v>14234642.663690751</x:v>
      </x:c>
      <x:c r="BJ58" s="149" t="n">
        <x:f aca="0">R58*R58</x:f>
        <x:v>20942107.504799496</x:v>
      </x:c>
      <x:c r="BK58" s="149" t="n">
        <x:f aca="0">S58*S58</x:f>
        <x:v>28564853.183716334</x:v>
      </x:c>
      <x:c r="BL58" s="149" t="n">
        <x:f aca="0">T58*T58</x:f>
        <x:v>36747670.87033405</x:v>
      </x:c>
      <x:c r="BM58" s="149" t="n">
        <x:f aca="0">U58*U58</x:f>
        <x:v>45149454.09191935</x:v>
      </x:c>
      <x:c r="BN58" s="149" t="n">
        <x:f aca="0">V58*V58</x:f>
        <x:v>53477736.432629645</x:v>
      </x:c>
      <x:c r="BO58" s="149" t="n">
        <x:f aca="0">W58*W58</x:f>
        <x:v>61504100.006918766</x:v>
      </x:c>
      <x:c r="BP58" s="149" t="n">
        <x:f aca="0">X58*X58</x:f>
        <x:v>69065944.35065445</x:v>
      </x:c>
      <x:c r="BQ58" s="149" t="n">
        <x:f aca="0">Y58*Y58</x:f>
        <x:v>76060106.63961944</x:v>
      </x:c>
      <x:c r="BR58" s="149" t="n">
        <x:f aca="0">Z58*Z58</x:f>
        <x:v>82432638.5242285</x:v>
      </x:c>
      <x:c r="BS58" s="149" t="n">
        <x:f aca="0">AA58*AA58</x:f>
        <x:v>88167629.62726703</x:v>
      </x:c>
      <x:c r="BT58" s="149" t="n">
        <x:f aca="0">AB58*AB58</x:f>
        <x:v>93276759.45218086</x:v>
      </x:c>
      <x:c r="BU58" s="149" t="n">
        <x:f aca="0">AC58*AC58</x:f>
        <x:v>97790385.61960961</x:v>
      </x:c>
    </x:row>
    <x:row r="59" ht="15" hidden="0" customHeight="1">
      <x:c r="A59" s="1" t="str">
        <x:f aca="0">S13_PSP_Species_Support!A46</x:f>
        <x:v>PSP-TP-005</x:v>
      </x:c>
      <x:c r="B59" s="1" t="n">
        <x:f aca="0">46</x:f>
        <x:v>46</x:v>
      </x:c>
      <x:c r="C59" s="1" t="str">
        <x:f aca="0">S13_PSP_Species_Support!I46</x:f>
        <x:v>Timber Plantation|High|2020</x:v>
      </x:c>
      <x:c r="D59" s="1" t="str">
        <x:f aca="0">S13_PSP_Species_Support!C46</x:f>
        <x:v>Timber Plantation</x:v>
      </x:c>
      <x:c r="E59" s="1" t="str">
        <x:f aca="0">S13_PSP_Species_Support!D46</x:f>
        <x:v>High</x:v>
      </x:c>
      <x:c r="F59" s="1" t="n">
        <x:f aca="0">S13_PSP_Species_Support!E46</x:f>
        <x:v>2020</x:v>
      </x:c>
      <x:c r="G59" s="645" t="n">
        <x:f aca="0">'S13_PSP_Species_Support'!DJ46</x:f>
        <x:v>0.09</x:v>
      </x:c>
      <x:c r="H59" s="714" t="n">
        <x:f aca="0">'S13_PSP_Species_Support'!DK46</x:f>
        <x:v>186.64454583160514</x:v>
      </x:c>
      <x:c r="I59" s="147" t="n">
        <x:f aca="0">IFERROR((IFERROR(S13_PSP_Species_Support!U46*0.0673*(S13_PSP_Species_Support!V46*(S13_PSP_Species_Support!W46*(1-EXP(-S13_PSP_Species_Support!X46*0))^S13_PSP_Species_Support!Y46)^2*(S13_PSP_Species_Support!Z46*(1-EXP(-S13_PSP_Species_Support!AA46*0))^S13_PSP_Species_Support!AB46))^0.976,0)+IFERROR(S13_PSP_Species_Support!AF46*0.0673*(S13_PSP_Species_Support!AG46*(S13_PSP_Species_Support!AH46*(1-EXP(-S13_PSP_Species_Support!AI46*0))^S13_PSP_Species_Support!AJ46)^2*(S13_PSP_Species_Support!AK46*(1-EXP(-S13_PSP_Species_Support!AL46*0))^S13_PSP_Species_Support!AM46))^0.976,0)+IFERROR(S13_PSP_Species_Support!AQ46*0.0673*(S13_PSP_Species_Support!AR46*(S13_PSP_Species_Support!AS46*(1-EXP(-S13_PSP_Species_Support!AT46*0))^S13_PSP_Species_Support!AU46)^2*(S13_PSP_Species_Support!AV46*(1-EXP(-S13_PSP_Species_Support!AW46*0))^S13_PSP_Species_Support!AX46))^0.976,0)+IFERROR(S13_PSP_Species_Support!BB46*0.0673*(S13_PSP_Species_Support!BC46*(S13_PSP_Species_Support!BD46*(1-EXP(-S13_PSP_Species_Support!BE46*0))^S13_PSP_Species_Support!BF46)^2*(S13_PSP_Species_Support!BG46*(1-EXP(-S13_PSP_Species_Support!BH46*0))^S13_PSP_Species_Support!BI46))^0.976,0)+IFERROR(S13_PSP_Species_Support!BM46*0.0673*(S13_PSP_Species_Support!BN46*(S13_PSP_Species_Support!BO46*(1-EXP(-S13_PSP_Species_Support!BP46*0))^S13_PSP_Species_Support!BQ46)^2*(S13_PSP_Species_Support!BR46*(1-EXP(-S13_PSP_Species_Support!BS46*0))^S13_PSP_Species_Support!BT46))^0.976,0)+IFERROR(S13_PSP_Species_Support!BX46*0.0673*(S13_PSP_Species_Support!BY46*(S13_PSP_Species_Support!BZ46*(1-EXP(-S13_PSP_Species_Support!CA46*0))^S13_PSP_Species_Support!CB46)^2*(S13_PSP_Species_Support!CC46*(1-EXP(-S13_PSP_Species_Support!CD46*0))^S13_PSP_Species_Support!CE46))^0.976,0)+IFERROR(S13_PSP_Species_Support!CI46*0.0673*(S13_PSP_Species_Support!CJ46*(S13_PSP_Species_Support!CK46*(1-EXP(-S13_PSP_Species_Support!CL46*0))^S13_PSP_Species_Support!CM46)^2*(S13_PSP_Species_Support!CN46*(1-EXP(-S13_PSP_Species_Support!CO46*0))^S13_PSP_Species_Support!CP46))^0.976,0)+IFERROR(S13_PSP_Species_Support!CT46*0.0673*(S13_PSP_Species_Support!CU46*(S13_PSP_Species_Support!CV46*(1-EXP(-S13_PSP_Species_Support!CW46*0))^S13_PSP_Species_Support!CX46)^2*(S13_PSP_Species_Support!CY46*(1-EXP(-S13_PSP_Species_Support!CZ46*0))^S13_PSP_Species_Support!DA46))^0.976,0))/1000/$G59*I$108,0)</x:f>
        <x:v>0</x:v>
      </x:c>
      <x:c r="J59" s="147" t="n">
        <x:f aca="0">IFERROR((IFERROR(S13_PSP_Species_Support!U46*0.0673*(S13_PSP_Species_Support!V46*(S13_PSP_Species_Support!W46*(1-EXP(-S13_PSP_Species_Support!X46*1))^S13_PSP_Species_Support!Y46)^2*(S13_PSP_Species_Support!Z46*(1-EXP(-S13_PSP_Species_Support!AA46*1))^S13_PSP_Species_Support!AB46))^0.976,0)+IFERROR(S13_PSP_Species_Support!AF46*0.0673*(S13_PSP_Species_Support!AG46*(S13_PSP_Species_Support!AH46*(1-EXP(-S13_PSP_Species_Support!AI46*1))^S13_PSP_Species_Support!AJ46)^2*(S13_PSP_Species_Support!AK46*(1-EXP(-S13_PSP_Species_Support!AL46*1))^S13_PSP_Species_Support!AM46))^0.976,0)+IFERROR(S13_PSP_Species_Support!AQ46*0.0673*(S13_PSP_Species_Support!AR46*(S13_PSP_Species_Support!AS46*(1-EXP(-S13_PSP_Species_Support!AT46*1))^S13_PSP_Species_Support!AU46)^2*(S13_PSP_Species_Support!AV46*(1-EXP(-S13_PSP_Species_Support!AW46*1))^S13_PSP_Species_Support!AX46))^0.976,0)+IFERROR(S13_PSP_Species_Support!BB46*0.0673*(S13_PSP_Species_Support!BC46*(S13_PSP_Species_Support!BD46*(1-EXP(-S13_PSP_Species_Support!BE46*1))^S13_PSP_Species_Support!BF46)^2*(S13_PSP_Species_Support!BG46*(1-EXP(-S13_PSP_Species_Support!BH46*1))^S13_PSP_Species_Support!BI46))^0.976,0)+IFERROR(S13_PSP_Species_Support!BM46*0.0673*(S13_PSP_Species_Support!BN46*(S13_PSP_Species_Support!BO46*(1-EXP(-S13_PSP_Species_Support!BP46*1))^S13_PSP_Species_Support!BQ46)^2*(S13_PSP_Species_Support!BR46*(1-EXP(-S13_PSP_Species_Support!BS46*1))^S13_PSP_Species_Support!BT46))^0.976,0)+IFERROR(S13_PSP_Species_Support!BX46*0.0673*(S13_PSP_Species_Support!BY46*(S13_PSP_Species_Support!BZ46*(1-EXP(-S13_PSP_Species_Support!CA46*1))^S13_PSP_Species_Support!CB46)^2*(S13_PSP_Species_Support!CC46*(1-EXP(-S13_PSP_Species_Support!CD46*1))^S13_PSP_Species_Support!CE46))^0.976,0)+IFERROR(S13_PSP_Species_Support!CI46*0.0673*(S13_PSP_Species_Support!CJ46*(S13_PSP_Species_Support!CK46*(1-EXP(-S13_PSP_Species_Support!CL46*1))^S13_PSP_Species_Support!CM46)^2*(S13_PSP_Species_Support!CN46*(1-EXP(-S13_PSP_Species_Support!CO46*1))^S13_PSP_Species_Support!CP46))^0.976,0)+IFERROR(S13_PSP_Species_Support!CT46*0.0673*(S13_PSP_Species_Support!CU46*(S13_PSP_Species_Support!CV46*(1-EXP(-S13_PSP_Species_Support!CW46*1))^S13_PSP_Species_Support!CX46)^2*(S13_PSP_Species_Support!CY46*(1-EXP(-S13_PSP_Species_Support!CZ46*1))^S13_PSP_Species_Support!DA46))^0.976,0))/1000/$G59*J$108,0)</x:f>
        <x:v>4.863812830011463</x:v>
      </x:c>
      <x:c r="K59" s="147" t="n">
        <x:f aca="0">IFERROR((IFERROR(S13_PSP_Species_Support!U46*0.0673*(S13_PSP_Species_Support!V46*(S13_PSP_Species_Support!W46*(1-EXP(-S13_PSP_Species_Support!X46*2))^S13_PSP_Species_Support!Y46)^2*(S13_PSP_Species_Support!Z46*(1-EXP(-S13_PSP_Species_Support!AA46*2))^S13_PSP_Species_Support!AB46))^0.976,0)+IFERROR(S13_PSP_Species_Support!AF46*0.0673*(S13_PSP_Species_Support!AG46*(S13_PSP_Species_Support!AH46*(1-EXP(-S13_PSP_Species_Support!AI46*2))^S13_PSP_Species_Support!AJ46)^2*(S13_PSP_Species_Support!AK46*(1-EXP(-S13_PSP_Species_Support!AL46*2))^S13_PSP_Species_Support!AM46))^0.976,0)+IFERROR(S13_PSP_Species_Support!AQ46*0.0673*(S13_PSP_Species_Support!AR46*(S13_PSP_Species_Support!AS46*(1-EXP(-S13_PSP_Species_Support!AT46*2))^S13_PSP_Species_Support!AU46)^2*(S13_PSP_Species_Support!AV46*(1-EXP(-S13_PSP_Species_Support!AW46*2))^S13_PSP_Species_Support!AX46))^0.976,0)+IFERROR(S13_PSP_Species_Support!BB46*0.0673*(S13_PSP_Species_Support!BC46*(S13_PSP_Species_Support!BD46*(1-EXP(-S13_PSP_Species_Support!BE46*2))^S13_PSP_Species_Support!BF46)^2*(S13_PSP_Species_Support!BG46*(1-EXP(-S13_PSP_Species_Support!BH46*2))^S13_PSP_Species_Support!BI46))^0.976,0)+IFERROR(S13_PSP_Species_Support!BM46*0.0673*(S13_PSP_Species_Support!BN46*(S13_PSP_Species_Support!BO46*(1-EXP(-S13_PSP_Species_Support!BP46*2))^S13_PSP_Species_Support!BQ46)^2*(S13_PSP_Species_Support!BR46*(1-EXP(-S13_PSP_Species_Support!BS46*2))^S13_PSP_Species_Support!BT46))^0.976,0)+IFERROR(S13_PSP_Species_Support!BX46*0.0673*(S13_PSP_Species_Support!BY46*(S13_PSP_Species_Support!BZ46*(1-EXP(-S13_PSP_Species_Support!CA46*2))^S13_PSP_Species_Support!CB46)^2*(S13_PSP_Species_Support!CC46*(1-EXP(-S13_PSP_Species_Support!CD46*2))^S13_PSP_Species_Support!CE46))^0.976,0)+IFERROR(S13_PSP_Species_Support!CI46*0.0673*(S13_PSP_Species_Support!CJ46*(S13_PSP_Species_Support!CK46*(1-EXP(-S13_PSP_Species_Support!CL46*2))^S13_PSP_Species_Support!CM46)^2*(S13_PSP_Species_Support!CN46*(1-EXP(-S13_PSP_Species_Support!CO46*2))^S13_PSP_Species_Support!CP46))^0.976,0)+IFERROR(S13_PSP_Species_Support!CT46*0.0673*(S13_PSP_Species_Support!CU46*(S13_PSP_Species_Support!CV46*(1-EXP(-S13_PSP_Species_Support!CW46*2))^S13_PSP_Species_Support!CX46)^2*(S13_PSP_Species_Support!CY46*(1-EXP(-S13_PSP_Species_Support!CZ46*2))^S13_PSP_Species_Support!DA46))^0.976,0))/1000/$G59*K$108,0)</x:f>
        <x:v>45.887564673838035</x:v>
      </x:c>
      <x:c r="L59" s="147" t="n">
        <x:f aca="0">IFERROR((IFERROR(S13_PSP_Species_Support!U46*0.0673*(S13_PSP_Species_Support!V46*(S13_PSP_Species_Support!W46*(1-EXP(-S13_PSP_Species_Support!X46*3))^S13_PSP_Species_Support!Y46)^2*(S13_PSP_Species_Support!Z46*(1-EXP(-S13_PSP_Species_Support!AA46*3))^S13_PSP_Species_Support!AB46))^0.976,0)+IFERROR(S13_PSP_Species_Support!AF46*0.0673*(S13_PSP_Species_Support!AG46*(S13_PSP_Species_Support!AH46*(1-EXP(-S13_PSP_Species_Support!AI46*3))^S13_PSP_Species_Support!AJ46)^2*(S13_PSP_Species_Support!AK46*(1-EXP(-S13_PSP_Species_Support!AL46*3))^S13_PSP_Species_Support!AM46))^0.976,0)+IFERROR(S13_PSP_Species_Support!AQ46*0.0673*(S13_PSP_Species_Support!AR46*(S13_PSP_Species_Support!AS46*(1-EXP(-S13_PSP_Species_Support!AT46*3))^S13_PSP_Species_Support!AU46)^2*(S13_PSP_Species_Support!AV46*(1-EXP(-S13_PSP_Species_Support!AW46*3))^S13_PSP_Species_Support!AX46))^0.976,0)+IFERROR(S13_PSP_Species_Support!BB46*0.0673*(S13_PSP_Species_Support!BC46*(S13_PSP_Species_Support!BD46*(1-EXP(-S13_PSP_Species_Support!BE46*3))^S13_PSP_Species_Support!BF46)^2*(S13_PSP_Species_Support!BG46*(1-EXP(-S13_PSP_Species_Support!BH46*3))^S13_PSP_Species_Support!BI46))^0.976,0)+IFERROR(S13_PSP_Species_Support!BM46*0.0673*(S13_PSP_Species_Support!BN46*(S13_PSP_Species_Support!BO46*(1-EXP(-S13_PSP_Species_Support!BP46*3))^S13_PSP_Species_Support!BQ46)^2*(S13_PSP_Species_Support!BR46*(1-EXP(-S13_PSP_Species_Support!BS46*3))^S13_PSP_Species_Support!BT46))^0.976,0)+IFERROR(S13_PSP_Species_Support!BX46*0.0673*(S13_PSP_Species_Support!BY46*(S13_PSP_Species_Support!BZ46*(1-EXP(-S13_PSP_Species_Support!CA46*3))^S13_PSP_Species_Support!CB46)^2*(S13_PSP_Species_Support!CC46*(1-EXP(-S13_PSP_Species_Support!CD46*3))^S13_PSP_Species_Support!CE46))^0.976,0)+IFERROR(S13_PSP_Species_Support!CI46*0.0673*(S13_PSP_Species_Support!CJ46*(S13_PSP_Species_Support!CK46*(1-EXP(-S13_PSP_Species_Support!CL46*3))^S13_PSP_Species_Support!CM46)^2*(S13_PSP_Species_Support!CN46*(1-EXP(-S13_PSP_Species_Support!CO46*3))^S13_PSP_Species_Support!CP46))^0.976,0)+IFERROR(S13_PSP_Species_Support!CT46*0.0673*(S13_PSP_Species_Support!CU46*(S13_PSP_Species_Support!CV46*(1-EXP(-S13_PSP_Species_Support!CW46*3))^S13_PSP_Species_Support!CX46)^2*(S13_PSP_Species_Support!CY46*(1-EXP(-S13_PSP_Species_Support!CZ46*3))^S13_PSP_Species_Support!DA46))^0.976,0))/1000/$G59*L$108,0)</x:f>
        <x:v>151.86914817965948</x:v>
      </x:c>
      <x:c r="M59" s="147" t="n">
        <x:f aca="0">IFERROR((IFERROR(S13_PSP_Species_Support!U46*0.0673*(S13_PSP_Species_Support!V46*(S13_PSP_Species_Support!W46*(1-EXP(-S13_PSP_Species_Support!X46*4))^S13_PSP_Species_Support!Y46)^2*(S13_PSP_Species_Support!Z46*(1-EXP(-S13_PSP_Species_Support!AA46*4))^S13_PSP_Species_Support!AB46))^0.976,0)+IFERROR(S13_PSP_Species_Support!AF46*0.0673*(S13_PSP_Species_Support!AG46*(S13_PSP_Species_Support!AH46*(1-EXP(-S13_PSP_Species_Support!AI46*4))^S13_PSP_Species_Support!AJ46)^2*(S13_PSP_Species_Support!AK46*(1-EXP(-S13_PSP_Species_Support!AL46*4))^S13_PSP_Species_Support!AM46))^0.976,0)+IFERROR(S13_PSP_Species_Support!AQ46*0.0673*(S13_PSP_Species_Support!AR46*(S13_PSP_Species_Support!AS46*(1-EXP(-S13_PSP_Species_Support!AT46*4))^S13_PSP_Species_Support!AU46)^2*(S13_PSP_Species_Support!AV46*(1-EXP(-S13_PSP_Species_Support!AW46*4))^S13_PSP_Species_Support!AX46))^0.976,0)+IFERROR(S13_PSP_Species_Support!BB46*0.0673*(S13_PSP_Species_Support!BC46*(S13_PSP_Species_Support!BD46*(1-EXP(-S13_PSP_Species_Support!BE46*4))^S13_PSP_Species_Support!BF46)^2*(S13_PSP_Species_Support!BG46*(1-EXP(-S13_PSP_Species_Support!BH46*4))^S13_PSP_Species_Support!BI46))^0.976,0)+IFERROR(S13_PSP_Species_Support!BM46*0.0673*(S13_PSP_Species_Support!BN46*(S13_PSP_Species_Support!BO46*(1-EXP(-S13_PSP_Species_Support!BP46*4))^S13_PSP_Species_Support!BQ46)^2*(S13_PSP_Species_Support!BR46*(1-EXP(-S13_PSP_Species_Support!BS46*4))^S13_PSP_Species_Support!BT46))^0.976,0)+IFERROR(S13_PSP_Species_Support!BX46*0.0673*(S13_PSP_Species_Support!BY46*(S13_PSP_Species_Support!BZ46*(1-EXP(-S13_PSP_Species_Support!CA46*4))^S13_PSP_Species_Support!CB46)^2*(S13_PSP_Species_Support!CC46*(1-EXP(-S13_PSP_Species_Support!CD46*4))^S13_PSP_Species_Support!CE46))^0.976,0)+IFERROR(S13_PSP_Species_Support!CI46*0.0673*(S13_PSP_Species_Support!CJ46*(S13_PSP_Species_Support!CK46*(1-EXP(-S13_PSP_Species_Support!CL46*4))^S13_PSP_Species_Support!CM46)^2*(S13_PSP_Species_Support!CN46*(1-EXP(-S13_PSP_Species_Support!CO46*4))^S13_PSP_Species_Support!CP46))^0.976,0)+IFERROR(S13_PSP_Species_Support!CT46*0.0673*(S13_PSP_Species_Support!CU46*(S13_PSP_Species_Support!CV46*(1-EXP(-S13_PSP_Species_Support!CW46*4))^S13_PSP_Species_Support!CX46)^2*(S13_PSP_Species_Support!CY46*(1-EXP(-S13_PSP_Species_Support!CZ46*4))^S13_PSP_Species_Support!DA46))^0.976,0))/1000/$G59*M$108,0)</x:f>
        <x:v>331.0419827270194</x:v>
      </x:c>
      <x:c r="N59" s="147" t="n">
        <x:f aca="0">IFERROR((IFERROR(S13_PSP_Species_Support!U46*0.0673*(S13_PSP_Species_Support!V46*(S13_PSP_Species_Support!W46*(1-EXP(-S13_PSP_Species_Support!X46*5))^S13_PSP_Species_Support!Y46)^2*(S13_PSP_Species_Support!Z46*(1-EXP(-S13_PSP_Species_Support!AA46*5))^S13_PSP_Species_Support!AB46))^0.976,0)+IFERROR(S13_PSP_Species_Support!AF46*0.0673*(S13_PSP_Species_Support!AG46*(S13_PSP_Species_Support!AH46*(1-EXP(-S13_PSP_Species_Support!AI46*5))^S13_PSP_Species_Support!AJ46)^2*(S13_PSP_Species_Support!AK46*(1-EXP(-S13_PSP_Species_Support!AL46*5))^S13_PSP_Species_Support!AM46))^0.976,0)+IFERROR(S13_PSP_Species_Support!AQ46*0.0673*(S13_PSP_Species_Support!AR46*(S13_PSP_Species_Support!AS46*(1-EXP(-S13_PSP_Species_Support!AT46*5))^S13_PSP_Species_Support!AU46)^2*(S13_PSP_Species_Support!AV46*(1-EXP(-S13_PSP_Species_Support!AW46*5))^S13_PSP_Species_Support!AX46))^0.976,0)+IFERROR(S13_PSP_Species_Support!BB46*0.0673*(S13_PSP_Species_Support!BC46*(S13_PSP_Species_Support!BD46*(1-EXP(-S13_PSP_Species_Support!BE46*5))^S13_PSP_Species_Support!BF46)^2*(S13_PSP_Species_Support!BG46*(1-EXP(-S13_PSP_Species_Support!BH46*5))^S13_PSP_Species_Support!BI46))^0.976,0)+IFERROR(S13_PSP_Species_Support!BM46*0.0673*(S13_PSP_Species_Support!BN46*(S13_PSP_Species_Support!BO46*(1-EXP(-S13_PSP_Species_Support!BP46*5))^S13_PSP_Species_Support!BQ46)^2*(S13_PSP_Species_Support!BR46*(1-EXP(-S13_PSP_Species_Support!BS46*5))^S13_PSP_Species_Support!BT46))^0.976,0)+IFERROR(S13_PSP_Species_Support!BX46*0.0673*(S13_PSP_Species_Support!BY46*(S13_PSP_Species_Support!BZ46*(1-EXP(-S13_PSP_Species_Support!CA46*5))^S13_PSP_Species_Support!CB46)^2*(S13_PSP_Species_Support!CC46*(1-EXP(-S13_PSP_Species_Support!CD46*5))^S13_PSP_Species_Support!CE46))^0.976,0)+IFERROR(S13_PSP_Species_Support!CI46*0.0673*(S13_PSP_Species_Support!CJ46*(S13_PSP_Species_Support!CK46*(1-EXP(-S13_PSP_Species_Support!CL46*5))^S13_PSP_Species_Support!CM46)^2*(S13_PSP_Species_Support!CN46*(1-EXP(-S13_PSP_Species_Support!CO46*5))^S13_PSP_Species_Support!CP46))^0.976,0)+IFERROR(S13_PSP_Species_Support!CT46*0.0673*(S13_PSP_Species_Support!CU46*(S13_PSP_Species_Support!CV46*(1-EXP(-S13_PSP_Species_Support!CW46*5))^S13_PSP_Species_Support!CX46)^2*(S13_PSP_Species_Support!CY46*(1-EXP(-S13_PSP_Species_Support!CZ46*5))^S13_PSP_Species_Support!DA46))^0.976,0))/1000/$G59*N$108,0)</x:f>
        <x:v>573.1773193378059</x:v>
      </x:c>
      <x:c r="O59" s="147" t="n">
        <x:f aca="0">IFERROR((IFERROR(S13_PSP_Species_Support!U46*0.0673*(S13_PSP_Species_Support!V46*(S13_PSP_Species_Support!W46*(1-EXP(-S13_PSP_Species_Support!X46*6))^S13_PSP_Species_Support!Y46)^2*(S13_PSP_Species_Support!Z46*(1-EXP(-S13_PSP_Species_Support!AA46*6))^S13_PSP_Species_Support!AB46))^0.976,0)+IFERROR(S13_PSP_Species_Support!AF46*0.0673*(S13_PSP_Species_Support!AG46*(S13_PSP_Species_Support!AH46*(1-EXP(-S13_PSP_Species_Support!AI46*6))^S13_PSP_Species_Support!AJ46)^2*(S13_PSP_Species_Support!AK46*(1-EXP(-S13_PSP_Species_Support!AL46*6))^S13_PSP_Species_Support!AM46))^0.976,0)+IFERROR(S13_PSP_Species_Support!AQ46*0.0673*(S13_PSP_Species_Support!AR46*(S13_PSP_Species_Support!AS46*(1-EXP(-S13_PSP_Species_Support!AT46*6))^S13_PSP_Species_Support!AU46)^2*(S13_PSP_Species_Support!AV46*(1-EXP(-S13_PSP_Species_Support!AW46*6))^S13_PSP_Species_Support!AX46))^0.976,0)+IFERROR(S13_PSP_Species_Support!BB46*0.0673*(S13_PSP_Species_Support!BC46*(S13_PSP_Species_Support!BD46*(1-EXP(-S13_PSP_Species_Support!BE46*6))^S13_PSP_Species_Support!BF46)^2*(S13_PSP_Species_Support!BG46*(1-EXP(-S13_PSP_Species_Support!BH46*6))^S13_PSP_Species_Support!BI46))^0.976,0)+IFERROR(S13_PSP_Species_Support!BM46*0.0673*(S13_PSP_Species_Support!BN46*(S13_PSP_Species_Support!BO46*(1-EXP(-S13_PSP_Species_Support!BP46*6))^S13_PSP_Species_Support!BQ46)^2*(S13_PSP_Species_Support!BR46*(1-EXP(-S13_PSP_Species_Support!BS46*6))^S13_PSP_Species_Support!BT46))^0.976,0)+IFERROR(S13_PSP_Species_Support!BX46*0.0673*(S13_PSP_Species_Support!BY46*(S13_PSP_Species_Support!BZ46*(1-EXP(-S13_PSP_Species_Support!CA46*6))^S13_PSP_Species_Support!CB46)^2*(S13_PSP_Species_Support!CC46*(1-EXP(-S13_PSP_Species_Support!CD46*6))^S13_PSP_Species_Support!CE46))^0.976,0)+IFERROR(S13_PSP_Species_Support!CI46*0.0673*(S13_PSP_Species_Support!CJ46*(S13_PSP_Species_Support!CK46*(1-EXP(-S13_PSP_Species_Support!CL46*6))^S13_PSP_Species_Support!CM46)^2*(S13_PSP_Species_Support!CN46*(1-EXP(-S13_PSP_Species_Support!CO46*6))^S13_PSP_Species_Support!CP46))^0.976,0)+IFERROR(S13_PSP_Species_Support!CT46*0.0673*(S13_PSP_Species_Support!CU46*(S13_PSP_Species_Support!CV46*(1-EXP(-S13_PSP_Species_Support!CW46*6))^S13_PSP_Species_Support!CX46)^2*(S13_PSP_Species_Support!CY46*(1-EXP(-S13_PSP_Species_Support!CZ46*6))^S13_PSP_Species_Support!DA46))^0.976,0))/1000/$G59*O$108,0)</x:f>
        <x:v>860.6632661668383</x:v>
      </x:c>
      <x:c r="P59" s="147" t="n">
        <x:f aca="0">IFERROR((IFERROR(S13_PSP_Species_Support!U46*0.0673*(S13_PSP_Species_Support!V46*(S13_PSP_Species_Support!W46*(1-EXP(-S13_PSP_Species_Support!X46*7))^S13_PSP_Species_Support!Y46)^2*(S13_PSP_Species_Support!Z46*(1-EXP(-S13_PSP_Species_Support!AA46*7))^S13_PSP_Species_Support!AB46))^0.976,0)+IFERROR(S13_PSP_Species_Support!AF46*0.0673*(S13_PSP_Species_Support!AG46*(S13_PSP_Species_Support!AH46*(1-EXP(-S13_PSP_Species_Support!AI46*7))^S13_PSP_Species_Support!AJ46)^2*(S13_PSP_Species_Support!AK46*(1-EXP(-S13_PSP_Species_Support!AL46*7))^S13_PSP_Species_Support!AM46))^0.976,0)+IFERROR(S13_PSP_Species_Support!AQ46*0.0673*(S13_PSP_Species_Support!AR46*(S13_PSP_Species_Support!AS46*(1-EXP(-S13_PSP_Species_Support!AT46*7))^S13_PSP_Species_Support!AU46)^2*(S13_PSP_Species_Support!AV46*(1-EXP(-S13_PSP_Species_Support!AW46*7))^S13_PSP_Species_Support!AX46))^0.976,0)+IFERROR(S13_PSP_Species_Support!BB46*0.0673*(S13_PSP_Species_Support!BC46*(S13_PSP_Species_Support!BD46*(1-EXP(-S13_PSP_Species_Support!BE46*7))^S13_PSP_Species_Support!BF46)^2*(S13_PSP_Species_Support!BG46*(1-EXP(-S13_PSP_Species_Support!BH46*7))^S13_PSP_Species_Support!BI46))^0.976,0)+IFERROR(S13_PSP_Species_Support!BM46*0.0673*(S13_PSP_Species_Support!BN46*(S13_PSP_Species_Support!BO46*(1-EXP(-S13_PSP_Species_Support!BP46*7))^S13_PSP_Species_Support!BQ46)^2*(S13_PSP_Species_Support!BR46*(1-EXP(-S13_PSP_Species_Support!BS46*7))^S13_PSP_Species_Support!BT46))^0.976,0)+IFERROR(S13_PSP_Species_Support!BX46*0.0673*(S13_PSP_Species_Support!BY46*(S13_PSP_Species_Support!BZ46*(1-EXP(-S13_PSP_Species_Support!CA46*7))^S13_PSP_Species_Support!CB46)^2*(S13_PSP_Species_Support!CC46*(1-EXP(-S13_PSP_Species_Support!CD46*7))^S13_PSP_Species_Support!CE46))^0.976,0)+IFERROR(S13_PSP_Species_Support!CI46*0.0673*(S13_PSP_Species_Support!CJ46*(S13_PSP_Species_Support!CK46*(1-EXP(-S13_PSP_Species_Support!CL46*7))^S13_PSP_Species_Support!CM46)^2*(S13_PSP_Species_Support!CN46*(1-EXP(-S13_PSP_Species_Support!CO46*7))^S13_PSP_Species_Support!CP46))^0.976,0)+IFERROR(S13_PSP_Species_Support!CT46*0.0673*(S13_PSP_Species_Support!CU46*(S13_PSP_Species_Support!CV46*(1-EXP(-S13_PSP_Species_Support!CW46*7))^S13_PSP_Species_Support!CX46)^2*(S13_PSP_Species_Support!CY46*(1-EXP(-S13_PSP_Species_Support!CZ46*7))^S13_PSP_Species_Support!DA46))^0.976,0))/1000/$G59*P$108,0)</x:f>
        <x:v>1174.4329211915258</x:v>
      </x:c>
      <x:c r="Q59" s="147" t="n">
        <x:f aca="0">IFERROR((IFERROR(S13_PSP_Species_Support!U46*0.0673*(S13_PSP_Species_Support!V46*(S13_PSP_Species_Support!W46*(1-EXP(-S13_PSP_Species_Support!X46*8))^S13_PSP_Species_Support!Y46)^2*(S13_PSP_Species_Support!Z46*(1-EXP(-S13_PSP_Species_Support!AA46*8))^S13_PSP_Species_Support!AB46))^0.976,0)+IFERROR(S13_PSP_Species_Support!AF46*0.0673*(S13_PSP_Species_Support!AG46*(S13_PSP_Species_Support!AH46*(1-EXP(-S13_PSP_Species_Support!AI46*8))^S13_PSP_Species_Support!AJ46)^2*(S13_PSP_Species_Support!AK46*(1-EXP(-S13_PSP_Species_Support!AL46*8))^S13_PSP_Species_Support!AM46))^0.976,0)+IFERROR(S13_PSP_Species_Support!AQ46*0.0673*(S13_PSP_Species_Support!AR46*(S13_PSP_Species_Support!AS46*(1-EXP(-S13_PSP_Species_Support!AT46*8))^S13_PSP_Species_Support!AU46)^2*(S13_PSP_Species_Support!AV46*(1-EXP(-S13_PSP_Species_Support!AW46*8))^S13_PSP_Species_Support!AX46))^0.976,0)+IFERROR(S13_PSP_Species_Support!BB46*0.0673*(S13_PSP_Species_Support!BC46*(S13_PSP_Species_Support!BD46*(1-EXP(-S13_PSP_Species_Support!BE46*8))^S13_PSP_Species_Support!BF46)^2*(S13_PSP_Species_Support!BG46*(1-EXP(-S13_PSP_Species_Support!BH46*8))^S13_PSP_Species_Support!BI46))^0.976,0)+IFERROR(S13_PSP_Species_Support!BM46*0.0673*(S13_PSP_Species_Support!BN46*(S13_PSP_Species_Support!BO46*(1-EXP(-S13_PSP_Species_Support!BP46*8))^S13_PSP_Species_Support!BQ46)^2*(S13_PSP_Species_Support!BR46*(1-EXP(-S13_PSP_Species_Support!BS46*8))^S13_PSP_Species_Support!BT46))^0.976,0)+IFERROR(S13_PSP_Species_Support!BX46*0.0673*(S13_PSP_Species_Support!BY46*(S13_PSP_Species_Support!BZ46*(1-EXP(-S13_PSP_Species_Support!CA46*8))^S13_PSP_Species_Support!CB46)^2*(S13_PSP_Species_Support!CC46*(1-EXP(-S13_PSP_Species_Support!CD46*8))^S13_PSP_Species_Support!CE46))^0.976,0)+IFERROR(S13_PSP_Species_Support!CI46*0.0673*(S13_PSP_Species_Support!CJ46*(S13_PSP_Species_Support!CK46*(1-EXP(-S13_PSP_Species_Support!CL46*8))^S13_PSP_Species_Support!CM46)^2*(S13_PSP_Species_Support!CN46*(1-EXP(-S13_PSP_Species_Support!CO46*8))^S13_PSP_Species_Support!CP46))^0.976,0)+IFERROR(S13_PSP_Species_Support!CT46*0.0673*(S13_PSP_Species_Support!CU46*(S13_PSP_Species_Support!CV46*(1-EXP(-S13_PSP_Species_Support!CW46*8))^S13_PSP_Species_Support!CX46)^2*(S13_PSP_Species_Support!CY46*(1-EXP(-S13_PSP_Species_Support!CZ46*8))^S13_PSP_Species_Support!DA46))^0.976,0))/1000/$G59*Q$108,0)</x:f>
        <x:v>1497.4860997850421</x:v>
      </x:c>
      <x:c r="R59" s="147" t="n">
        <x:f aca="0">IFERROR((IFERROR(S13_PSP_Species_Support!U46*0.0673*(S13_PSP_Species_Support!V46*(S13_PSP_Species_Support!W46*(1-EXP(-S13_PSP_Species_Support!X46*9))^S13_PSP_Species_Support!Y46)^2*(S13_PSP_Species_Support!Z46*(1-EXP(-S13_PSP_Species_Support!AA46*9))^S13_PSP_Species_Support!AB46))^0.976,0)+IFERROR(S13_PSP_Species_Support!AF46*0.0673*(S13_PSP_Species_Support!AG46*(S13_PSP_Species_Support!AH46*(1-EXP(-S13_PSP_Species_Support!AI46*9))^S13_PSP_Species_Support!AJ46)^2*(S13_PSP_Species_Support!AK46*(1-EXP(-S13_PSP_Species_Support!AL46*9))^S13_PSP_Species_Support!AM46))^0.976,0)+IFERROR(S13_PSP_Species_Support!AQ46*0.0673*(S13_PSP_Species_Support!AR46*(S13_PSP_Species_Support!AS46*(1-EXP(-S13_PSP_Species_Support!AT46*9))^S13_PSP_Species_Support!AU46)^2*(S13_PSP_Species_Support!AV46*(1-EXP(-S13_PSP_Species_Support!AW46*9))^S13_PSP_Species_Support!AX46))^0.976,0)+IFERROR(S13_PSP_Species_Support!BB46*0.0673*(S13_PSP_Species_Support!BC46*(S13_PSP_Species_Support!BD46*(1-EXP(-S13_PSP_Species_Support!BE46*9))^S13_PSP_Species_Support!BF46)^2*(S13_PSP_Species_Support!BG46*(1-EXP(-S13_PSP_Species_Support!BH46*9))^S13_PSP_Species_Support!BI46))^0.976,0)+IFERROR(S13_PSP_Species_Support!BM46*0.0673*(S13_PSP_Species_Support!BN46*(S13_PSP_Species_Support!BO46*(1-EXP(-S13_PSP_Species_Support!BP46*9))^S13_PSP_Species_Support!BQ46)^2*(S13_PSP_Species_Support!BR46*(1-EXP(-S13_PSP_Species_Support!BS46*9))^S13_PSP_Species_Support!BT46))^0.976,0)+IFERROR(S13_PSP_Species_Support!BX46*0.0673*(S13_PSP_Species_Support!BY46*(S13_PSP_Species_Support!BZ46*(1-EXP(-S13_PSP_Species_Support!CA46*9))^S13_PSP_Species_Support!CB46)^2*(S13_PSP_Species_Support!CC46*(1-EXP(-S13_PSP_Species_Support!CD46*9))^S13_PSP_Species_Support!CE46))^0.976,0)+IFERROR(S13_PSP_Species_Support!CI46*0.0673*(S13_PSP_Species_Support!CJ46*(S13_PSP_Species_Support!CK46*(1-EXP(-S13_PSP_Species_Support!CL46*9))^S13_PSP_Species_Support!CM46)^2*(S13_PSP_Species_Support!CN46*(1-EXP(-S13_PSP_Species_Support!CO46*9))^S13_PSP_Species_Support!CP46))^0.976,0)+IFERROR(S13_PSP_Species_Support!CT46*0.0673*(S13_PSP_Species_Support!CU46*(S13_PSP_Species_Support!CV46*(1-EXP(-S13_PSP_Species_Support!CW46*9))^S13_PSP_Species_Support!CX46)^2*(S13_PSP_Species_Support!CY46*(1-EXP(-S13_PSP_Species_Support!CZ46*9))^S13_PSP_Species_Support!DA46))^0.976,0))/1000/$G59*R$108,0)</x:f>
        <x:v>1816.3507075980808</x:v>
      </x:c>
      <x:c r="S59" s="147" t="n">
        <x:f aca="0">IFERROR((IFERROR(S13_PSP_Species_Support!U46*0.0673*(S13_PSP_Species_Support!V46*(S13_PSP_Species_Support!W46*(1-EXP(-S13_PSP_Species_Support!X46*10))^S13_PSP_Species_Support!Y46)^2*(S13_PSP_Species_Support!Z46*(1-EXP(-S13_PSP_Species_Support!AA46*10))^S13_PSP_Species_Support!AB46))^0.976,0)+IFERROR(S13_PSP_Species_Support!AF46*0.0673*(S13_PSP_Species_Support!AG46*(S13_PSP_Species_Support!AH46*(1-EXP(-S13_PSP_Species_Support!AI46*10))^S13_PSP_Species_Support!AJ46)^2*(S13_PSP_Species_Support!AK46*(1-EXP(-S13_PSP_Species_Support!AL46*10))^S13_PSP_Species_Support!AM46))^0.976,0)+IFERROR(S13_PSP_Species_Support!AQ46*0.0673*(S13_PSP_Species_Support!AR46*(S13_PSP_Species_Support!AS46*(1-EXP(-S13_PSP_Species_Support!AT46*10))^S13_PSP_Species_Support!AU46)^2*(S13_PSP_Species_Support!AV46*(1-EXP(-S13_PSP_Species_Support!AW46*10))^S13_PSP_Species_Support!AX46))^0.976,0)+IFERROR(S13_PSP_Species_Support!BB46*0.0673*(S13_PSP_Species_Support!BC46*(S13_PSP_Species_Support!BD46*(1-EXP(-S13_PSP_Species_Support!BE46*10))^S13_PSP_Species_Support!BF46)^2*(S13_PSP_Species_Support!BG46*(1-EXP(-S13_PSP_Species_Support!BH46*10))^S13_PSP_Species_Support!BI46))^0.976,0)+IFERROR(S13_PSP_Species_Support!BM46*0.0673*(S13_PSP_Species_Support!BN46*(S13_PSP_Species_Support!BO46*(1-EXP(-S13_PSP_Species_Support!BP46*10))^S13_PSP_Species_Support!BQ46)^2*(S13_PSP_Species_Support!BR46*(1-EXP(-S13_PSP_Species_Support!BS46*10))^S13_PSP_Species_Support!BT46))^0.976,0)+IFERROR(S13_PSP_Species_Support!BX46*0.0673*(S13_PSP_Species_Support!BY46*(S13_PSP_Species_Support!BZ46*(1-EXP(-S13_PSP_Species_Support!CA46*10))^S13_PSP_Species_Support!CB46)^2*(S13_PSP_Species_Support!CC46*(1-EXP(-S13_PSP_Species_Support!CD46*10))^S13_PSP_Species_Support!CE46))^0.976,0)+IFERROR(S13_PSP_Species_Support!CI46*0.0673*(S13_PSP_Species_Support!CJ46*(S13_PSP_Species_Support!CK46*(1-EXP(-S13_PSP_Species_Support!CL46*10))^S13_PSP_Species_Support!CM46)^2*(S13_PSP_Species_Support!CN46*(1-EXP(-S13_PSP_Species_Support!CO46*10))^S13_PSP_Species_Support!CP46))^0.976,0)+IFERROR(S13_PSP_Species_Support!CT46*0.0673*(S13_PSP_Species_Support!CU46*(S13_PSP_Species_Support!CV46*(1-EXP(-S13_PSP_Species_Support!CW46*10))^S13_PSP_Species_Support!CX46)^2*(S13_PSP_Species_Support!CY46*(1-EXP(-S13_PSP_Species_Support!CZ46*10))^S13_PSP_Species_Support!DA46))^0.976,0))/1000/$G59*S$108,0)</x:f>
        <x:v>2121.316711087643</x:v>
      </x:c>
      <x:c r="T59" s="147" t="n">
        <x:f aca="0">IFERROR((IFERROR(S13_PSP_Species_Support!U46*0.0673*(S13_PSP_Species_Support!V46*(S13_PSP_Species_Support!W46*(1-EXP(-S13_PSP_Species_Support!X46*11))^S13_PSP_Species_Support!Y46)^2*(S13_PSP_Species_Support!Z46*(1-EXP(-S13_PSP_Species_Support!AA46*11))^S13_PSP_Species_Support!AB46))^0.976,0)+IFERROR(S13_PSP_Species_Support!AF46*0.0673*(S13_PSP_Species_Support!AG46*(S13_PSP_Species_Support!AH46*(1-EXP(-S13_PSP_Species_Support!AI46*11))^S13_PSP_Species_Support!AJ46)^2*(S13_PSP_Species_Support!AK46*(1-EXP(-S13_PSP_Species_Support!AL46*11))^S13_PSP_Species_Support!AM46))^0.976,0)+IFERROR(S13_PSP_Species_Support!AQ46*0.0673*(S13_PSP_Species_Support!AR46*(S13_PSP_Species_Support!AS46*(1-EXP(-S13_PSP_Species_Support!AT46*11))^S13_PSP_Species_Support!AU46)^2*(S13_PSP_Species_Support!AV46*(1-EXP(-S13_PSP_Species_Support!AW46*11))^S13_PSP_Species_Support!AX46))^0.976,0)+IFERROR(S13_PSP_Species_Support!BB46*0.0673*(S13_PSP_Species_Support!BC46*(S13_PSP_Species_Support!BD46*(1-EXP(-S13_PSP_Species_Support!BE46*11))^S13_PSP_Species_Support!BF46)^2*(S13_PSP_Species_Support!BG46*(1-EXP(-S13_PSP_Species_Support!BH46*11))^S13_PSP_Species_Support!BI46))^0.976,0)+IFERROR(S13_PSP_Species_Support!BM46*0.0673*(S13_PSP_Species_Support!BN46*(S13_PSP_Species_Support!BO46*(1-EXP(-S13_PSP_Species_Support!BP46*11))^S13_PSP_Species_Support!BQ46)^2*(S13_PSP_Species_Support!BR46*(1-EXP(-S13_PSP_Species_Support!BS46*11))^S13_PSP_Species_Support!BT46))^0.976,0)+IFERROR(S13_PSP_Species_Support!BX46*0.0673*(S13_PSP_Species_Support!BY46*(S13_PSP_Species_Support!BZ46*(1-EXP(-S13_PSP_Species_Support!CA46*11))^S13_PSP_Species_Support!CB46)^2*(S13_PSP_Species_Support!CC46*(1-EXP(-S13_PSP_Species_Support!CD46*11))^S13_PSP_Species_Support!CE46))^0.976,0)+IFERROR(S13_PSP_Species_Support!CI46*0.0673*(S13_PSP_Species_Support!CJ46*(S13_PSP_Species_Support!CK46*(1-EXP(-S13_PSP_Species_Support!CL46*11))^S13_PSP_Species_Support!CM46)^2*(S13_PSP_Species_Support!CN46*(1-EXP(-S13_PSP_Species_Support!CO46*11))^S13_PSP_Species_Support!CP46))^0.976,0)+IFERROR(S13_PSP_Species_Support!CT46*0.0673*(S13_PSP_Species_Support!CU46*(S13_PSP_Species_Support!CV46*(1-EXP(-S13_PSP_Species_Support!CW46*11))^S13_PSP_Species_Support!CX46)^2*(S13_PSP_Species_Support!CY46*(1-EXP(-S13_PSP_Species_Support!CZ46*11))^S13_PSP_Species_Support!DA46))^0.976,0))/1000/$G59*T$108,0)</x:f>
        <x:v>2406.0487586572604</x:v>
      </x:c>
      <x:c r="U59" s="147" t="n">
        <x:f aca="0">IFERROR((IFERROR(S13_PSP_Species_Support!U46*0.0673*(S13_PSP_Species_Support!V46*(S13_PSP_Species_Support!W46*(1-EXP(-S13_PSP_Species_Support!X46*12))^S13_PSP_Species_Support!Y46)^2*(S13_PSP_Species_Support!Z46*(1-EXP(-S13_PSP_Species_Support!AA46*12))^S13_PSP_Species_Support!AB46))^0.976,0)+IFERROR(S13_PSP_Species_Support!AF46*0.0673*(S13_PSP_Species_Support!AG46*(S13_PSP_Species_Support!AH46*(1-EXP(-S13_PSP_Species_Support!AI46*12))^S13_PSP_Species_Support!AJ46)^2*(S13_PSP_Species_Support!AK46*(1-EXP(-S13_PSP_Species_Support!AL46*12))^S13_PSP_Species_Support!AM46))^0.976,0)+IFERROR(S13_PSP_Species_Support!AQ46*0.0673*(S13_PSP_Species_Support!AR46*(S13_PSP_Species_Support!AS46*(1-EXP(-S13_PSP_Species_Support!AT46*12))^S13_PSP_Species_Support!AU46)^2*(S13_PSP_Species_Support!AV46*(1-EXP(-S13_PSP_Species_Support!AW46*12))^S13_PSP_Species_Support!AX46))^0.976,0)+IFERROR(S13_PSP_Species_Support!BB46*0.0673*(S13_PSP_Species_Support!BC46*(S13_PSP_Species_Support!BD46*(1-EXP(-S13_PSP_Species_Support!BE46*12))^S13_PSP_Species_Support!BF46)^2*(S13_PSP_Species_Support!BG46*(1-EXP(-S13_PSP_Species_Support!BH46*12))^S13_PSP_Species_Support!BI46))^0.976,0)+IFERROR(S13_PSP_Species_Support!BM46*0.0673*(S13_PSP_Species_Support!BN46*(S13_PSP_Species_Support!BO46*(1-EXP(-S13_PSP_Species_Support!BP46*12))^S13_PSP_Species_Support!BQ46)^2*(S13_PSP_Species_Support!BR46*(1-EXP(-S13_PSP_Species_Support!BS46*12))^S13_PSP_Species_Support!BT46))^0.976,0)+IFERROR(S13_PSP_Species_Support!BX46*0.0673*(S13_PSP_Species_Support!BY46*(S13_PSP_Species_Support!BZ46*(1-EXP(-S13_PSP_Species_Support!CA46*12))^S13_PSP_Species_Support!CB46)^2*(S13_PSP_Species_Support!CC46*(1-EXP(-S13_PSP_Species_Support!CD46*12))^S13_PSP_Species_Support!CE46))^0.976,0)+IFERROR(S13_PSP_Species_Support!CI46*0.0673*(S13_PSP_Species_Support!CJ46*(S13_PSP_Species_Support!CK46*(1-EXP(-S13_PSP_Species_Support!CL46*12))^S13_PSP_Species_Support!CM46)^2*(S13_PSP_Species_Support!CN46*(1-EXP(-S13_PSP_Species_Support!CO46*12))^S13_PSP_Species_Support!CP46))^0.976,0)+IFERROR(S13_PSP_Species_Support!CT46*0.0673*(S13_PSP_Species_Support!CU46*(S13_PSP_Species_Support!CV46*(1-EXP(-S13_PSP_Species_Support!CW46*12))^S13_PSP_Species_Support!CX46)^2*(S13_PSP_Species_Support!CY46*(1-EXP(-S13_PSP_Species_Support!CZ46*12))^S13_PSP_Species_Support!DA46))^0.976,0))/1000/$G59*U$108,0)</x:f>
        <x:v>2666.955485490233</x:v>
      </x:c>
      <x:c r="V59" s="147" t="n">
        <x:f aca="0">IFERROR((IFERROR(S13_PSP_Species_Support!U46*0.0673*(S13_PSP_Species_Support!V46*(S13_PSP_Species_Support!W46*(1-EXP(-S13_PSP_Species_Support!X46*13))^S13_PSP_Species_Support!Y46)^2*(S13_PSP_Species_Support!Z46*(1-EXP(-S13_PSP_Species_Support!AA46*13))^S13_PSP_Species_Support!AB46))^0.976,0)+IFERROR(S13_PSP_Species_Support!AF46*0.0673*(S13_PSP_Species_Support!AG46*(S13_PSP_Species_Support!AH46*(1-EXP(-S13_PSP_Species_Support!AI46*13))^S13_PSP_Species_Support!AJ46)^2*(S13_PSP_Species_Support!AK46*(1-EXP(-S13_PSP_Species_Support!AL46*13))^S13_PSP_Species_Support!AM46))^0.976,0)+IFERROR(S13_PSP_Species_Support!AQ46*0.0673*(S13_PSP_Species_Support!AR46*(S13_PSP_Species_Support!AS46*(1-EXP(-S13_PSP_Species_Support!AT46*13))^S13_PSP_Species_Support!AU46)^2*(S13_PSP_Species_Support!AV46*(1-EXP(-S13_PSP_Species_Support!AW46*13))^S13_PSP_Species_Support!AX46))^0.976,0)+IFERROR(S13_PSP_Species_Support!BB46*0.0673*(S13_PSP_Species_Support!BC46*(S13_PSP_Species_Support!BD46*(1-EXP(-S13_PSP_Species_Support!BE46*13))^S13_PSP_Species_Support!BF46)^2*(S13_PSP_Species_Support!BG46*(1-EXP(-S13_PSP_Species_Support!BH46*13))^S13_PSP_Species_Support!BI46))^0.976,0)+IFERROR(S13_PSP_Species_Support!BM46*0.0673*(S13_PSP_Species_Support!BN46*(S13_PSP_Species_Support!BO46*(1-EXP(-S13_PSP_Species_Support!BP46*13))^S13_PSP_Species_Support!BQ46)^2*(S13_PSP_Species_Support!BR46*(1-EXP(-S13_PSP_Species_Support!BS46*13))^S13_PSP_Species_Support!BT46))^0.976,0)+IFERROR(S13_PSP_Species_Support!BX46*0.0673*(S13_PSP_Species_Support!BY46*(S13_PSP_Species_Support!BZ46*(1-EXP(-S13_PSP_Species_Support!CA46*13))^S13_PSP_Species_Support!CB46)^2*(S13_PSP_Species_Support!CC46*(1-EXP(-S13_PSP_Species_Support!CD46*13))^S13_PSP_Species_Support!CE46))^0.976,0)+IFERROR(S13_PSP_Species_Support!CI46*0.0673*(S13_PSP_Species_Support!CJ46*(S13_PSP_Species_Support!CK46*(1-EXP(-S13_PSP_Species_Support!CL46*13))^S13_PSP_Species_Support!CM46)^2*(S13_PSP_Species_Support!CN46*(1-EXP(-S13_PSP_Species_Support!CO46*13))^S13_PSP_Species_Support!CP46))^0.976,0)+IFERROR(S13_PSP_Species_Support!CT46*0.0673*(S13_PSP_Species_Support!CU46*(S13_PSP_Species_Support!CV46*(1-EXP(-S13_PSP_Species_Support!CW46*13))^S13_PSP_Species_Support!CX46)^2*(S13_PSP_Species_Support!CY46*(1-EXP(-S13_PSP_Species_Support!CZ46*13))^S13_PSP_Species_Support!DA46))^0.976,0))/1000/$G59*V$108,0)</x:f>
        <x:v>2902.525362553646</x:v>
      </x:c>
      <x:c r="W59" s="147" t="n">
        <x:f aca="0">IFERROR((IFERROR(S13_PSP_Species_Support!U46*0.0673*(S13_PSP_Species_Support!V46*(S13_PSP_Species_Support!W46*(1-EXP(-S13_PSP_Species_Support!X46*14))^S13_PSP_Species_Support!Y46)^2*(S13_PSP_Species_Support!Z46*(1-EXP(-S13_PSP_Species_Support!AA46*14))^S13_PSP_Species_Support!AB46))^0.976,0)+IFERROR(S13_PSP_Species_Support!AF46*0.0673*(S13_PSP_Species_Support!AG46*(S13_PSP_Species_Support!AH46*(1-EXP(-S13_PSP_Species_Support!AI46*14))^S13_PSP_Species_Support!AJ46)^2*(S13_PSP_Species_Support!AK46*(1-EXP(-S13_PSP_Species_Support!AL46*14))^S13_PSP_Species_Support!AM46))^0.976,0)+IFERROR(S13_PSP_Species_Support!AQ46*0.0673*(S13_PSP_Species_Support!AR46*(S13_PSP_Species_Support!AS46*(1-EXP(-S13_PSP_Species_Support!AT46*14))^S13_PSP_Species_Support!AU46)^2*(S13_PSP_Species_Support!AV46*(1-EXP(-S13_PSP_Species_Support!AW46*14))^S13_PSP_Species_Support!AX46))^0.976,0)+IFERROR(S13_PSP_Species_Support!BB46*0.0673*(S13_PSP_Species_Support!BC46*(S13_PSP_Species_Support!BD46*(1-EXP(-S13_PSP_Species_Support!BE46*14))^S13_PSP_Species_Support!BF46)^2*(S13_PSP_Species_Support!BG46*(1-EXP(-S13_PSP_Species_Support!BH46*14))^S13_PSP_Species_Support!BI46))^0.976,0)+IFERROR(S13_PSP_Species_Support!BM46*0.0673*(S13_PSP_Species_Support!BN46*(S13_PSP_Species_Support!BO46*(1-EXP(-S13_PSP_Species_Support!BP46*14))^S13_PSP_Species_Support!BQ46)^2*(S13_PSP_Species_Support!BR46*(1-EXP(-S13_PSP_Species_Support!BS46*14))^S13_PSP_Species_Support!BT46))^0.976,0)+IFERROR(S13_PSP_Species_Support!BX46*0.0673*(S13_PSP_Species_Support!BY46*(S13_PSP_Species_Support!BZ46*(1-EXP(-S13_PSP_Species_Support!CA46*14))^S13_PSP_Species_Support!CB46)^2*(S13_PSP_Species_Support!CC46*(1-EXP(-S13_PSP_Species_Support!CD46*14))^S13_PSP_Species_Support!CE46))^0.976,0)+IFERROR(S13_PSP_Species_Support!CI46*0.0673*(S13_PSP_Species_Support!CJ46*(S13_PSP_Species_Support!CK46*(1-EXP(-S13_PSP_Species_Support!CL46*14))^S13_PSP_Species_Support!CM46)^2*(S13_PSP_Species_Support!CN46*(1-EXP(-S13_PSP_Species_Support!CO46*14))^S13_PSP_Species_Support!CP46))^0.976,0)+IFERROR(S13_PSP_Species_Support!CT46*0.0673*(S13_PSP_Species_Support!CU46*(S13_PSP_Species_Support!CV46*(1-EXP(-S13_PSP_Species_Support!CW46*14))^S13_PSP_Species_Support!CX46)^2*(S13_PSP_Species_Support!CY46*(1-EXP(-S13_PSP_Species_Support!CZ46*14))^S13_PSP_Species_Support!DA46))^0.976,0))/1000/$G59*W$108,0)</x:f>
        <x:v>3112.7306998857966</x:v>
      </x:c>
      <x:c r="X59" s="147" t="n">
        <x:f aca="0">IFERROR((IFERROR(S13_PSP_Species_Support!U46*0.0673*(S13_PSP_Species_Support!V46*(S13_PSP_Species_Support!W46*(1-EXP(-S13_PSP_Species_Support!X46*15))^S13_PSP_Species_Support!Y46)^2*(S13_PSP_Species_Support!Z46*(1-EXP(-S13_PSP_Species_Support!AA46*15))^S13_PSP_Species_Support!AB46))^0.976,0)+IFERROR(S13_PSP_Species_Support!AF46*0.0673*(S13_PSP_Species_Support!AG46*(S13_PSP_Species_Support!AH46*(1-EXP(-S13_PSP_Species_Support!AI46*15))^S13_PSP_Species_Support!AJ46)^2*(S13_PSP_Species_Support!AK46*(1-EXP(-S13_PSP_Species_Support!AL46*15))^S13_PSP_Species_Support!AM46))^0.976,0)+IFERROR(S13_PSP_Species_Support!AQ46*0.0673*(S13_PSP_Species_Support!AR46*(S13_PSP_Species_Support!AS46*(1-EXP(-S13_PSP_Species_Support!AT46*15))^S13_PSP_Species_Support!AU46)^2*(S13_PSP_Species_Support!AV46*(1-EXP(-S13_PSP_Species_Support!AW46*15))^S13_PSP_Species_Support!AX46))^0.976,0)+IFERROR(S13_PSP_Species_Support!BB46*0.0673*(S13_PSP_Species_Support!BC46*(S13_PSP_Species_Support!BD46*(1-EXP(-S13_PSP_Species_Support!BE46*15))^S13_PSP_Species_Support!BF46)^2*(S13_PSP_Species_Support!BG46*(1-EXP(-S13_PSP_Species_Support!BH46*15))^S13_PSP_Species_Support!BI46))^0.976,0)+IFERROR(S13_PSP_Species_Support!BM46*0.0673*(S13_PSP_Species_Support!BN46*(S13_PSP_Species_Support!BO46*(1-EXP(-S13_PSP_Species_Support!BP46*15))^S13_PSP_Species_Support!BQ46)^2*(S13_PSP_Species_Support!BR46*(1-EXP(-S13_PSP_Species_Support!BS46*15))^S13_PSP_Species_Support!BT46))^0.976,0)+IFERROR(S13_PSP_Species_Support!BX46*0.0673*(S13_PSP_Species_Support!BY46*(S13_PSP_Species_Support!BZ46*(1-EXP(-S13_PSP_Species_Support!CA46*15))^S13_PSP_Species_Support!CB46)^2*(S13_PSP_Species_Support!CC46*(1-EXP(-S13_PSP_Species_Support!CD46*15))^S13_PSP_Species_Support!CE46))^0.976,0)+IFERROR(S13_PSP_Species_Support!CI46*0.0673*(S13_PSP_Species_Support!CJ46*(S13_PSP_Species_Support!CK46*(1-EXP(-S13_PSP_Species_Support!CL46*15))^S13_PSP_Species_Support!CM46)^2*(S13_PSP_Species_Support!CN46*(1-EXP(-S13_PSP_Species_Support!CO46*15))^S13_PSP_Species_Support!CP46))^0.976,0)+IFERROR(S13_PSP_Species_Support!CT46*0.0673*(S13_PSP_Species_Support!CU46*(S13_PSP_Species_Support!CV46*(1-EXP(-S13_PSP_Species_Support!CW46*15))^S13_PSP_Species_Support!CX46)^2*(S13_PSP_Species_Support!CY46*(1-EXP(-S13_PSP_Species_Support!CZ46*15))^S13_PSP_Species_Support!DA46))^0.976,0))/1000/$G59*X$108,0)</x:f>
        <x:v>3298.5380049860505</x:v>
      </x:c>
      <x:c r="Y59" s="147" t="n">
        <x:f aca="0">IFERROR((IFERROR(S13_PSP_Species_Support!U46*0.0673*(S13_PSP_Species_Support!V46*(S13_PSP_Species_Support!W46*(1-EXP(-S13_PSP_Species_Support!X46*16))^S13_PSP_Species_Support!Y46)^2*(S13_PSP_Species_Support!Z46*(1-EXP(-S13_PSP_Species_Support!AA46*16))^S13_PSP_Species_Support!AB46))^0.976,0)+IFERROR(S13_PSP_Species_Support!AF46*0.0673*(S13_PSP_Species_Support!AG46*(S13_PSP_Species_Support!AH46*(1-EXP(-S13_PSP_Species_Support!AI46*16))^S13_PSP_Species_Support!AJ46)^2*(S13_PSP_Species_Support!AK46*(1-EXP(-S13_PSP_Species_Support!AL46*16))^S13_PSP_Species_Support!AM46))^0.976,0)+IFERROR(S13_PSP_Species_Support!AQ46*0.0673*(S13_PSP_Species_Support!AR46*(S13_PSP_Species_Support!AS46*(1-EXP(-S13_PSP_Species_Support!AT46*16))^S13_PSP_Species_Support!AU46)^2*(S13_PSP_Species_Support!AV46*(1-EXP(-S13_PSP_Species_Support!AW46*16))^S13_PSP_Species_Support!AX46))^0.976,0)+IFERROR(S13_PSP_Species_Support!BB46*0.0673*(S13_PSP_Species_Support!BC46*(S13_PSP_Species_Support!BD46*(1-EXP(-S13_PSP_Species_Support!BE46*16))^S13_PSP_Species_Support!BF46)^2*(S13_PSP_Species_Support!BG46*(1-EXP(-S13_PSP_Species_Support!BH46*16))^S13_PSP_Species_Support!BI46))^0.976,0)+IFERROR(S13_PSP_Species_Support!BM46*0.0673*(S13_PSP_Species_Support!BN46*(S13_PSP_Species_Support!BO46*(1-EXP(-S13_PSP_Species_Support!BP46*16))^S13_PSP_Species_Support!BQ46)^2*(S13_PSP_Species_Support!BR46*(1-EXP(-S13_PSP_Species_Support!BS46*16))^S13_PSP_Species_Support!BT46))^0.976,0)+IFERROR(S13_PSP_Species_Support!BX46*0.0673*(S13_PSP_Species_Support!BY46*(S13_PSP_Species_Support!BZ46*(1-EXP(-S13_PSP_Species_Support!CA46*16))^S13_PSP_Species_Support!CB46)^2*(S13_PSP_Species_Support!CC46*(1-EXP(-S13_PSP_Species_Support!CD46*16))^S13_PSP_Species_Support!CE46))^0.976,0)+IFERROR(S13_PSP_Species_Support!CI46*0.0673*(S13_PSP_Species_Support!CJ46*(S13_PSP_Species_Support!CK46*(1-EXP(-S13_PSP_Species_Support!CL46*16))^S13_PSP_Species_Support!CM46)^2*(S13_PSP_Species_Support!CN46*(1-EXP(-S13_PSP_Species_Support!CO46*16))^S13_PSP_Species_Support!CP46))^0.976,0)+IFERROR(S13_PSP_Species_Support!CT46*0.0673*(S13_PSP_Species_Support!CU46*(S13_PSP_Species_Support!CV46*(1-EXP(-S13_PSP_Species_Support!CW46*16))^S13_PSP_Species_Support!CX46)^2*(S13_PSP_Species_Support!CY46*(1-EXP(-S13_PSP_Species_Support!CZ46*16))^S13_PSP_Species_Support!DA46))^0.976,0))/1000/$G59*Y$108,0)</x:f>
        <x:v>3461.5290453646503</x:v>
      </x:c>
      <x:c r="Z59" s="147" t="n">
        <x:f aca="0">IFERROR((IFERROR(S13_PSP_Species_Support!U46*0.0673*(S13_PSP_Species_Support!V46*(S13_PSP_Species_Support!W46*(1-EXP(-S13_PSP_Species_Support!X46*17))^S13_PSP_Species_Support!Y46)^2*(S13_PSP_Species_Support!Z46*(1-EXP(-S13_PSP_Species_Support!AA46*17))^S13_PSP_Species_Support!AB46))^0.976,0)+IFERROR(S13_PSP_Species_Support!AF46*0.0673*(S13_PSP_Species_Support!AG46*(S13_PSP_Species_Support!AH46*(1-EXP(-S13_PSP_Species_Support!AI46*17))^S13_PSP_Species_Support!AJ46)^2*(S13_PSP_Species_Support!AK46*(1-EXP(-S13_PSP_Species_Support!AL46*17))^S13_PSP_Species_Support!AM46))^0.976,0)+IFERROR(S13_PSP_Species_Support!AQ46*0.0673*(S13_PSP_Species_Support!AR46*(S13_PSP_Species_Support!AS46*(1-EXP(-S13_PSP_Species_Support!AT46*17))^S13_PSP_Species_Support!AU46)^2*(S13_PSP_Species_Support!AV46*(1-EXP(-S13_PSP_Species_Support!AW46*17))^S13_PSP_Species_Support!AX46))^0.976,0)+IFERROR(S13_PSP_Species_Support!BB46*0.0673*(S13_PSP_Species_Support!BC46*(S13_PSP_Species_Support!BD46*(1-EXP(-S13_PSP_Species_Support!BE46*17))^S13_PSP_Species_Support!BF46)^2*(S13_PSP_Species_Support!BG46*(1-EXP(-S13_PSP_Species_Support!BH46*17))^S13_PSP_Species_Support!BI46))^0.976,0)+IFERROR(S13_PSP_Species_Support!BM46*0.0673*(S13_PSP_Species_Support!BN46*(S13_PSP_Species_Support!BO46*(1-EXP(-S13_PSP_Species_Support!BP46*17))^S13_PSP_Species_Support!BQ46)^2*(S13_PSP_Species_Support!BR46*(1-EXP(-S13_PSP_Species_Support!BS46*17))^S13_PSP_Species_Support!BT46))^0.976,0)+IFERROR(S13_PSP_Species_Support!BX46*0.0673*(S13_PSP_Species_Support!BY46*(S13_PSP_Species_Support!BZ46*(1-EXP(-S13_PSP_Species_Support!CA46*17))^S13_PSP_Species_Support!CB46)^2*(S13_PSP_Species_Support!CC46*(1-EXP(-S13_PSP_Species_Support!CD46*17))^S13_PSP_Species_Support!CE46))^0.976,0)+IFERROR(S13_PSP_Species_Support!CI46*0.0673*(S13_PSP_Species_Support!CJ46*(S13_PSP_Species_Support!CK46*(1-EXP(-S13_PSP_Species_Support!CL46*17))^S13_PSP_Species_Support!CM46)^2*(S13_PSP_Species_Support!CN46*(1-EXP(-S13_PSP_Species_Support!CO46*17))^S13_PSP_Species_Support!CP46))^0.976,0)+IFERROR(S13_PSP_Species_Support!CT46*0.0673*(S13_PSP_Species_Support!CU46*(S13_PSP_Species_Support!CV46*(1-EXP(-S13_PSP_Species_Support!CW46*17))^S13_PSP_Species_Support!CX46)^2*(S13_PSP_Species_Support!CY46*(1-EXP(-S13_PSP_Species_Support!CZ46*17))^S13_PSP_Species_Support!DA46))^0.976,0))/1000/$G59*Z$108,0)</x:f>
        <x:v>3603.621054279809</x:v>
      </x:c>
      <x:c r="AA59" s="147" t="n">
        <x:f aca="0">IFERROR((IFERROR(S13_PSP_Species_Support!U46*0.0673*(S13_PSP_Species_Support!V46*(S13_PSP_Species_Support!W46*(1-EXP(-S13_PSP_Species_Support!X46*18))^S13_PSP_Species_Support!Y46)^2*(S13_PSP_Species_Support!Z46*(1-EXP(-S13_PSP_Species_Support!AA46*18))^S13_PSP_Species_Support!AB46))^0.976,0)+IFERROR(S13_PSP_Species_Support!AF46*0.0673*(S13_PSP_Species_Support!AG46*(S13_PSP_Species_Support!AH46*(1-EXP(-S13_PSP_Species_Support!AI46*18))^S13_PSP_Species_Support!AJ46)^2*(S13_PSP_Species_Support!AK46*(1-EXP(-S13_PSP_Species_Support!AL46*18))^S13_PSP_Species_Support!AM46))^0.976,0)+IFERROR(S13_PSP_Species_Support!AQ46*0.0673*(S13_PSP_Species_Support!AR46*(S13_PSP_Species_Support!AS46*(1-EXP(-S13_PSP_Species_Support!AT46*18))^S13_PSP_Species_Support!AU46)^2*(S13_PSP_Species_Support!AV46*(1-EXP(-S13_PSP_Species_Support!AW46*18))^S13_PSP_Species_Support!AX46))^0.976,0)+IFERROR(S13_PSP_Species_Support!BB46*0.0673*(S13_PSP_Species_Support!BC46*(S13_PSP_Species_Support!BD46*(1-EXP(-S13_PSP_Species_Support!BE46*18))^S13_PSP_Species_Support!BF46)^2*(S13_PSP_Species_Support!BG46*(1-EXP(-S13_PSP_Species_Support!BH46*18))^S13_PSP_Species_Support!BI46))^0.976,0)+IFERROR(S13_PSP_Species_Support!BM46*0.0673*(S13_PSP_Species_Support!BN46*(S13_PSP_Species_Support!BO46*(1-EXP(-S13_PSP_Species_Support!BP46*18))^S13_PSP_Species_Support!BQ46)^2*(S13_PSP_Species_Support!BR46*(1-EXP(-S13_PSP_Species_Support!BS46*18))^S13_PSP_Species_Support!BT46))^0.976,0)+IFERROR(S13_PSP_Species_Support!BX46*0.0673*(S13_PSP_Species_Support!BY46*(S13_PSP_Species_Support!BZ46*(1-EXP(-S13_PSP_Species_Support!CA46*18))^S13_PSP_Species_Support!CB46)^2*(S13_PSP_Species_Support!CC46*(1-EXP(-S13_PSP_Species_Support!CD46*18))^S13_PSP_Species_Support!CE46))^0.976,0)+IFERROR(S13_PSP_Species_Support!CI46*0.0673*(S13_PSP_Species_Support!CJ46*(S13_PSP_Species_Support!CK46*(1-EXP(-S13_PSP_Species_Support!CL46*18))^S13_PSP_Species_Support!CM46)^2*(S13_PSP_Species_Support!CN46*(1-EXP(-S13_PSP_Species_Support!CO46*18))^S13_PSP_Species_Support!CP46))^0.976,0)+IFERROR(S13_PSP_Species_Support!CT46*0.0673*(S13_PSP_Species_Support!CU46*(S13_PSP_Species_Support!CV46*(1-EXP(-S13_PSP_Species_Support!CW46*18))^S13_PSP_Species_Support!CX46)^2*(S13_PSP_Species_Support!CY46*(1-EXP(-S13_PSP_Species_Support!CZ46*18))^S13_PSP_Species_Support!DA46))^0.976,0))/1000/$G59*AA$108,0)</x:f>
        <x:v>3726.8687433975233</x:v>
      </x:c>
      <x:c r="AB59" s="147" t="n">
        <x:f aca="0">IFERROR((IFERROR(S13_PSP_Species_Support!U46*0.0673*(S13_PSP_Species_Support!V46*(S13_PSP_Species_Support!W46*(1-EXP(-S13_PSP_Species_Support!X46*19))^S13_PSP_Species_Support!Y46)^2*(S13_PSP_Species_Support!Z46*(1-EXP(-S13_PSP_Species_Support!AA46*19))^S13_PSP_Species_Support!AB46))^0.976,0)+IFERROR(S13_PSP_Species_Support!AF46*0.0673*(S13_PSP_Species_Support!AG46*(S13_PSP_Species_Support!AH46*(1-EXP(-S13_PSP_Species_Support!AI46*19))^S13_PSP_Species_Support!AJ46)^2*(S13_PSP_Species_Support!AK46*(1-EXP(-S13_PSP_Species_Support!AL46*19))^S13_PSP_Species_Support!AM46))^0.976,0)+IFERROR(S13_PSP_Species_Support!AQ46*0.0673*(S13_PSP_Species_Support!AR46*(S13_PSP_Species_Support!AS46*(1-EXP(-S13_PSP_Species_Support!AT46*19))^S13_PSP_Species_Support!AU46)^2*(S13_PSP_Species_Support!AV46*(1-EXP(-S13_PSP_Species_Support!AW46*19))^S13_PSP_Species_Support!AX46))^0.976,0)+IFERROR(S13_PSP_Species_Support!BB46*0.0673*(S13_PSP_Species_Support!BC46*(S13_PSP_Species_Support!BD46*(1-EXP(-S13_PSP_Species_Support!BE46*19))^S13_PSP_Species_Support!BF46)^2*(S13_PSP_Species_Support!BG46*(1-EXP(-S13_PSP_Species_Support!BH46*19))^S13_PSP_Species_Support!BI46))^0.976,0)+IFERROR(S13_PSP_Species_Support!BM46*0.0673*(S13_PSP_Species_Support!BN46*(S13_PSP_Species_Support!BO46*(1-EXP(-S13_PSP_Species_Support!BP46*19))^S13_PSP_Species_Support!BQ46)^2*(S13_PSP_Species_Support!BR46*(1-EXP(-S13_PSP_Species_Support!BS46*19))^S13_PSP_Species_Support!BT46))^0.976,0)+IFERROR(S13_PSP_Species_Support!BX46*0.0673*(S13_PSP_Species_Support!BY46*(S13_PSP_Species_Support!BZ46*(1-EXP(-S13_PSP_Species_Support!CA46*19))^S13_PSP_Species_Support!CB46)^2*(S13_PSP_Species_Support!CC46*(1-EXP(-S13_PSP_Species_Support!CD46*19))^S13_PSP_Species_Support!CE46))^0.976,0)+IFERROR(S13_PSP_Species_Support!CI46*0.0673*(S13_PSP_Species_Support!CJ46*(S13_PSP_Species_Support!CK46*(1-EXP(-S13_PSP_Species_Support!CL46*19))^S13_PSP_Species_Support!CM46)^2*(S13_PSP_Species_Support!CN46*(1-EXP(-S13_PSP_Species_Support!CO46*19))^S13_PSP_Species_Support!CP46))^0.976,0)+IFERROR(S13_PSP_Species_Support!CT46*0.0673*(S13_PSP_Species_Support!CU46*(S13_PSP_Species_Support!CV46*(1-EXP(-S13_PSP_Species_Support!CW46*19))^S13_PSP_Species_Support!CX46)^2*(S13_PSP_Species_Support!CY46*(1-EXP(-S13_PSP_Species_Support!CZ46*19))^S13_PSP_Species_Support!DA46))^0.976,0))/1000/$G59*AB$108,0)</x:f>
        <x:v>3833.3302823825425</x:v>
      </x:c>
      <x:c r="AC59" s="147" t="n">
        <x:f aca="0">IFERROR((IFERROR(S13_PSP_Species_Support!U46*0.0673*(S13_PSP_Species_Support!V46*(S13_PSP_Species_Support!W46*(1-EXP(-S13_PSP_Species_Support!X46*20))^S13_PSP_Species_Support!Y46)^2*(S13_PSP_Species_Support!Z46*(1-EXP(-S13_PSP_Species_Support!AA46*20))^S13_PSP_Species_Support!AB46))^0.976,0)+IFERROR(S13_PSP_Species_Support!AF46*0.0673*(S13_PSP_Species_Support!AG46*(S13_PSP_Species_Support!AH46*(1-EXP(-S13_PSP_Species_Support!AI46*20))^S13_PSP_Species_Support!AJ46)^2*(S13_PSP_Species_Support!AK46*(1-EXP(-S13_PSP_Species_Support!AL46*20))^S13_PSP_Species_Support!AM46))^0.976,0)+IFERROR(S13_PSP_Species_Support!AQ46*0.0673*(S13_PSP_Species_Support!AR46*(S13_PSP_Species_Support!AS46*(1-EXP(-S13_PSP_Species_Support!AT46*20))^S13_PSP_Species_Support!AU46)^2*(S13_PSP_Species_Support!AV46*(1-EXP(-S13_PSP_Species_Support!AW46*20))^S13_PSP_Species_Support!AX46))^0.976,0)+IFERROR(S13_PSP_Species_Support!BB46*0.0673*(S13_PSP_Species_Support!BC46*(S13_PSP_Species_Support!BD46*(1-EXP(-S13_PSP_Species_Support!BE46*20))^S13_PSP_Species_Support!BF46)^2*(S13_PSP_Species_Support!BG46*(1-EXP(-S13_PSP_Species_Support!BH46*20))^S13_PSP_Species_Support!BI46))^0.976,0)+IFERROR(S13_PSP_Species_Support!BM46*0.0673*(S13_PSP_Species_Support!BN46*(S13_PSP_Species_Support!BO46*(1-EXP(-S13_PSP_Species_Support!BP46*20))^S13_PSP_Species_Support!BQ46)^2*(S13_PSP_Species_Support!BR46*(1-EXP(-S13_PSP_Species_Support!BS46*20))^S13_PSP_Species_Support!BT46))^0.976,0)+IFERROR(S13_PSP_Species_Support!BX46*0.0673*(S13_PSP_Species_Support!BY46*(S13_PSP_Species_Support!BZ46*(1-EXP(-S13_PSP_Species_Support!CA46*20))^S13_PSP_Species_Support!CB46)^2*(S13_PSP_Species_Support!CC46*(1-EXP(-S13_PSP_Species_Support!CD46*20))^S13_PSP_Species_Support!CE46))^0.976,0)+IFERROR(S13_PSP_Species_Support!CI46*0.0673*(S13_PSP_Species_Support!CJ46*(S13_PSP_Species_Support!CK46*(1-EXP(-S13_PSP_Species_Support!CL46*20))^S13_PSP_Species_Support!CM46)^2*(S13_PSP_Species_Support!CN46*(1-EXP(-S13_PSP_Species_Support!CO46*20))^S13_PSP_Species_Support!CP46))^0.976,0)+IFERROR(S13_PSP_Species_Support!CT46*0.0673*(S13_PSP_Species_Support!CU46*(S13_PSP_Species_Support!CV46*(1-EXP(-S13_PSP_Species_Support!CW46*20))^S13_PSP_Species_Support!CX46)^2*(S13_PSP_Species_Support!CY46*(1-EXP(-S13_PSP_Species_Support!CZ46*20))^S13_PSP_Species_Support!DA46))^0.976,0))/1000/$G59*AC$108,0)</x:f>
        <x:v>3924.981322540834</x:v>
      </x:c>
      <x:c r="AD59" s="148" t="n">
        <x:f aca="0">IF(2020&lt;$F59,0,INDEX($I59:$AC59,1,2020-$F59+1))</x:f>
        <x:v>0</x:v>
      </x:c>
      <x:c r="AE59" s="148" t="n">
        <x:f aca="0">IF(2021&lt;$F59,0,INDEX($I59:$AC59,1,2021-$F59+1))</x:f>
        <x:v>4.863812830011463</x:v>
      </x:c>
      <x:c r="AF59" s="148" t="n">
        <x:f aca="0">IF(2022&lt;$F59,0,INDEX($I59:$AC59,1,2022-$F59+1))</x:f>
        <x:v>45.887564673838035</x:v>
      </x:c>
      <x:c r="AG59" s="148" t="n">
        <x:f aca="0">IF(2023&lt;$F59,0,INDEX($I59:$AC59,1,2023-$F59+1))</x:f>
        <x:v>151.86914817965948</x:v>
      </x:c>
      <x:c r="AH59" s="148" t="n">
        <x:f aca="0">IF(2024&lt;$F59,0,INDEX($I59:$AC59,1,2024-$F59+1))</x:f>
        <x:v>331.0419827270194</x:v>
      </x:c>
      <x:c r="AI59" s="148" t="n">
        <x:f aca="0">IF(2025&lt;$F59,0,INDEX($I59:$AC59,1,2025-$F59+1))</x:f>
        <x:v>573.1773193378059</x:v>
      </x:c>
      <x:c r="AJ59" s="148" t="n">
        <x:f aca="0">IF(2026&lt;$F59,0,INDEX($I59:$AC59,1,2026-$F59+1))</x:f>
        <x:v>860.6632661668383</x:v>
      </x:c>
      <x:c r="AK59" s="148" t="n">
        <x:f aca="0">IF(2027&lt;$F59,0,INDEX($I59:$AC59,1,2027-$F59+1))</x:f>
        <x:v>1174.4329211915258</x:v>
      </x:c>
      <x:c r="AL59" s="148" t="n">
        <x:f aca="0">IF(2028&lt;$F59,0,INDEX($I59:$AC59,1,2028-$F59+1))</x:f>
        <x:v>1497.4860997850421</x:v>
      </x:c>
      <x:c r="AM59" s="148" t="n">
        <x:f aca="0">IF(2029&lt;$F59,0,INDEX($I59:$AC59,1,2029-$F59+1))</x:f>
        <x:v>1816.3507075980808</x:v>
      </x:c>
      <x:c r="AN59" s="148" t="n">
        <x:f aca="0">IF(2030&lt;$F59,0,INDEX($I59:$AC59,1,2030-$F59+1))</x:f>
        <x:v>2121.316711087643</x:v>
      </x:c>
      <x:c r="AO59" s="148" t="n">
        <x:f aca="0">IF(2031&lt;$F59,0,INDEX($I59:$AC59,1,2031-$F59+1))</x:f>
        <x:v>2406.0487586572604</x:v>
      </x:c>
      <x:c r="AP59" s="148" t="n">
        <x:f aca="0">IF(2032&lt;$F59,0,INDEX($I59:$AC59,1,2032-$F59+1))</x:f>
        <x:v>2666.955485490233</x:v>
      </x:c>
      <x:c r="AQ59" s="148" t="n">
        <x:f aca="0">IF(2033&lt;$F59,0,INDEX($I59:$AC59,1,2033-$F59+1))</x:f>
        <x:v>2902.525362553646</x:v>
      </x:c>
      <x:c r="AR59" s="148" t="n">
        <x:f aca="0">IF(2034&lt;$F59,0,INDEX($I59:$AC59,1,2034-$F59+1))</x:f>
        <x:v>3112.7306998857966</x:v>
      </x:c>
      <x:c r="AS59" s="148" t="n">
        <x:f aca="0">IF(2035&lt;$F59,0,INDEX($I59:$AC59,1,2035-$F59+1))</x:f>
        <x:v>3298.5380049860505</x:v>
      </x:c>
      <x:c r="AT59" s="148" t="n">
        <x:f aca="0">IF(2036&lt;$F59,0,INDEX($I59:$AC59,1,2036-$F59+1))</x:f>
        <x:v>3461.5290453646503</x:v>
      </x:c>
      <x:c r="AU59" s="148" t="n">
        <x:f aca="0">IF(2037&lt;$F59,0,INDEX($I59:$AC59,1,2037-$F59+1))</x:f>
        <x:v>3603.621054279809</x:v>
      </x:c>
      <x:c r="AV59" s="148" t="n">
        <x:f aca="0">IF(2038&lt;$F59,0,INDEX($I59:$AC59,1,2038-$F59+1))</x:f>
        <x:v>3726.8687433975233</x:v>
      </x:c>
      <x:c r="AW59" s="148" t="n">
        <x:f aca="0">IF(2039&lt;$F59,0,INDEX($I59:$AC59,1,2039-$F59+1))</x:f>
        <x:v>3833.3302823825425</x:v>
      </x:c>
      <x:c r="AX59" s="148" t="n">
        <x:f aca="0">IF(2040&lt;$F59,0,INDEX($I59:$AC59,1,2040-$F59+1))</x:f>
        <x:v>3924.981322540834</x:v>
      </x:c>
      <x:c r="AY59" s="1" t="str">
        <x:f aca="0">LEFT($C59,FIND("@",SUBSTITUTE($C59,"|","@",2))-1)</x:f>
        <x:v>Timber Plantation|High</x:v>
      </x:c>
      <x:c r="AZ59" s="1" t="str">
        <x:f aca="0">LEFT($C59,FIND("|",$C59)-1)</x:f>
        <x:v>Timber Plantation</x:v>
      </x:c>
      <x:c r="BA59" s="149" t="n">
        <x:f aca="0">I59*I59</x:f>
        <x:v>0</x:v>
      </x:c>
      <x:c r="BB59" s="149" t="n">
        <x:f aca="0">J59*J59</x:f>
        <x:v>23.656675245384122</x:v>
      </x:c>
      <x:c r="BC59" s="149" t="n">
        <x:f aca="0">K59*K59</x:f>
        <x:v>2105.6685916956685</x:v>
      </x:c>
      <x:c r="BD59" s="149" t="n">
        <x:f aca="0">L59*L59</x:f>
        <x:v>23064.238168815365</x:v>
      </x:c>
      <x:c r="BE59" s="149" t="n">
        <x:f aca="0">M59*M59</x:f>
        <x:v>109588.7943278362</x:v>
      </x:c>
      <x:c r="BF59" s="149" t="n">
        <x:f aca="0">N59*N59</x:f>
        <x:v>328532.2394032731</x:v>
      </x:c>
      <x:c r="BG59" s="149" t="n">
        <x:f aca="0">O59*O59</x:f>
        <x:v>740741.2577289699</x:v>
      </x:c>
      <x:c r="BH59" s="149" t="n">
        <x:f aca="0">P59*P59</x:f>
        <x:v>1379292.6863784606</x:v>
      </x:c>
      <x:c r="BI59" s="149" t="n">
        <x:f aca="0">Q59*Q59</x:f>
        <x:v>2242464.6190494173</x:v>
      </x:c>
      <x:c r="BJ59" s="149" t="n">
        <x:f aca="0">R59*R59</x:f>
        <x:v>3299129.892992049</x:v>
      </x:c>
      <x:c r="BK59" s="149" t="n">
        <x:f aca="0">S59*S59</x:f>
        <x:v>4499984.588739694</x:v>
      </x:c>
      <x:c r="BL59" s="149" t="n">
        <x:f aca="0">T59*T59</x:f>
        <x:v>5789070.629036143</x:v>
      </x:c>
      <x:c r="BM59" s="149" t="n">
        <x:f aca="0">U59*U59</x:f>
        <x:v>7112651.561586444</x:v>
      </x:c>
      <x:c r="BN59" s="149" t="n">
        <x:f aca="0">V59*V59</x:f>
        <x:v>8424653.480267175</x:v>
      </x:c>
      <x:c r="BO59" s="149" t="n">
        <x:f aca="0">W59*W59</x:f>
        <x:v>9689092.41001152</x:v>
      </x:c>
      <x:c r="BP59" s="149" t="n">
        <x:f aca="0">X59*X59</x:f>
        <x:v>10880352.970337354</x:v>
      </x:c>
      <x:c r="BQ59" s="149" t="n">
        <x:f aca="0">Y59*Y59</x:f>
        <x:v>11982183.331903107</x:v>
      </x:c>
      <x:c r="BR59" s="149" t="n">
        <x:f aca="0">Z59*Z59</x:f>
        <x:v>12986084.702848721</x:v>
      </x:c>
      <x:c r="BS59" s="149" t="n">
        <x:f aca="0">AA59*AA59</x:f>
        <x:v>13889550.630513435</x:v>
      </x:c>
      <x:c r="BT59" s="149" t="n">
        <x:f aca="0">AB59*AB59</x:f>
        <x:v>14694421.053831022</x:v>
      </x:c>
      <x:c r="BU59" s="149" t="n">
        <x:f aca="0">AC59*AC59</x:f>
        <x:v>15405478.382294394</x:v>
      </x:c>
    </x:row>
    <x:row r="60" ht="15" hidden="0" customHeight="1">
      <x:c r="A60" s="1" t="str">
        <x:f aca="0">S13_PSP_Species_Support!A47</x:f>
        <x:v>PSP-TP-006</x:v>
      </x:c>
      <x:c r="B60" s="1" t="n">
        <x:f aca="0">47</x:f>
        <x:v>47</x:v>
      </x:c>
      <x:c r="C60" s="1" t="str">
        <x:f aca="0">S13_PSP_Species_Support!I47</x:f>
        <x:v>Timber Plantation|High|2020</x:v>
      </x:c>
      <x:c r="D60" s="1" t="str">
        <x:f aca="0">S13_PSP_Species_Support!C47</x:f>
        <x:v>Timber Plantation</x:v>
      </x:c>
      <x:c r="E60" s="1" t="str">
        <x:f aca="0">S13_PSP_Species_Support!D47</x:f>
        <x:v>High</x:v>
      </x:c>
      <x:c r="F60" s="1" t="n">
        <x:f aca="0">S13_PSP_Species_Support!E47</x:f>
        <x:v>2020</x:v>
      </x:c>
      <x:c r="G60" s="645" t="n">
        <x:f aca="0">'S13_PSP_Species_Support'!DJ47</x:f>
        <x:v>0.09</x:v>
      </x:c>
      <x:c r="H60" s="714" t="n">
        <x:f aca="0">'S13_PSP_Species_Support'!DK47</x:f>
        <x:v>219.51219512195124</x:v>
      </x:c>
      <x:c r="I60" s="147" t="n">
        <x:f aca="0">IFERROR((IFERROR(S13_PSP_Species_Support!U47*0.0673*(S13_PSP_Species_Support!V47*(S13_PSP_Species_Support!W47*(1-EXP(-S13_PSP_Species_Support!X47*0))^S13_PSP_Species_Support!Y47)^2*(S13_PSP_Species_Support!Z47*(1-EXP(-S13_PSP_Species_Support!AA47*0))^S13_PSP_Species_Support!AB47))^0.976,0)+IFERROR(S13_PSP_Species_Support!AF47*0.0673*(S13_PSP_Species_Support!AG47*(S13_PSP_Species_Support!AH47*(1-EXP(-S13_PSP_Species_Support!AI47*0))^S13_PSP_Species_Support!AJ47)^2*(S13_PSP_Species_Support!AK47*(1-EXP(-S13_PSP_Species_Support!AL47*0))^S13_PSP_Species_Support!AM47))^0.976,0)+IFERROR(S13_PSP_Species_Support!AQ47*0.0673*(S13_PSP_Species_Support!AR47*(S13_PSP_Species_Support!AS47*(1-EXP(-S13_PSP_Species_Support!AT47*0))^S13_PSP_Species_Support!AU47)^2*(S13_PSP_Species_Support!AV47*(1-EXP(-S13_PSP_Species_Support!AW47*0))^S13_PSP_Species_Support!AX47))^0.976,0)+IFERROR(S13_PSP_Species_Support!BB47*0.0673*(S13_PSP_Species_Support!BC47*(S13_PSP_Species_Support!BD47*(1-EXP(-S13_PSP_Species_Support!BE47*0))^S13_PSP_Species_Support!BF47)^2*(S13_PSP_Species_Support!BG47*(1-EXP(-S13_PSP_Species_Support!BH47*0))^S13_PSP_Species_Support!BI47))^0.976,0)+IFERROR(S13_PSP_Species_Support!BM47*0.0673*(S13_PSP_Species_Support!BN47*(S13_PSP_Species_Support!BO47*(1-EXP(-S13_PSP_Species_Support!BP47*0))^S13_PSP_Species_Support!BQ47)^2*(S13_PSP_Species_Support!BR47*(1-EXP(-S13_PSP_Species_Support!BS47*0))^S13_PSP_Species_Support!BT47))^0.976,0)+IFERROR(S13_PSP_Species_Support!BX47*0.0673*(S13_PSP_Species_Support!BY47*(S13_PSP_Species_Support!BZ47*(1-EXP(-S13_PSP_Species_Support!CA47*0))^S13_PSP_Species_Support!CB47)^2*(S13_PSP_Species_Support!CC47*(1-EXP(-S13_PSP_Species_Support!CD47*0))^S13_PSP_Species_Support!CE47))^0.976,0)+IFERROR(S13_PSP_Species_Support!CI47*0.0673*(S13_PSP_Species_Support!CJ47*(S13_PSP_Species_Support!CK47*(1-EXP(-S13_PSP_Species_Support!CL47*0))^S13_PSP_Species_Support!CM47)^2*(S13_PSP_Species_Support!CN47*(1-EXP(-S13_PSP_Species_Support!CO47*0))^S13_PSP_Species_Support!CP47))^0.976,0)+IFERROR(S13_PSP_Species_Support!CT47*0.0673*(S13_PSP_Species_Support!CU47*(S13_PSP_Species_Support!CV47*(1-EXP(-S13_PSP_Species_Support!CW47*0))^S13_PSP_Species_Support!CX47)^2*(S13_PSP_Species_Support!CY47*(1-EXP(-S13_PSP_Species_Support!CZ47*0))^S13_PSP_Species_Support!DA47))^0.976,0))/1000/$G60*I$108,0)</x:f>
        <x:v>0</x:v>
      </x:c>
      <x:c r="J60" s="147" t="n">
        <x:f aca="0">IFERROR((IFERROR(S13_PSP_Species_Support!U47*0.0673*(S13_PSP_Species_Support!V47*(S13_PSP_Species_Support!W47*(1-EXP(-S13_PSP_Species_Support!X47*1))^S13_PSP_Species_Support!Y47)^2*(S13_PSP_Species_Support!Z47*(1-EXP(-S13_PSP_Species_Support!AA47*1))^S13_PSP_Species_Support!AB47))^0.976,0)+IFERROR(S13_PSP_Species_Support!AF47*0.0673*(S13_PSP_Species_Support!AG47*(S13_PSP_Species_Support!AH47*(1-EXP(-S13_PSP_Species_Support!AI47*1))^S13_PSP_Species_Support!AJ47)^2*(S13_PSP_Species_Support!AK47*(1-EXP(-S13_PSP_Species_Support!AL47*1))^S13_PSP_Species_Support!AM47))^0.976,0)+IFERROR(S13_PSP_Species_Support!AQ47*0.0673*(S13_PSP_Species_Support!AR47*(S13_PSP_Species_Support!AS47*(1-EXP(-S13_PSP_Species_Support!AT47*1))^S13_PSP_Species_Support!AU47)^2*(S13_PSP_Species_Support!AV47*(1-EXP(-S13_PSP_Species_Support!AW47*1))^S13_PSP_Species_Support!AX47))^0.976,0)+IFERROR(S13_PSP_Species_Support!BB47*0.0673*(S13_PSP_Species_Support!BC47*(S13_PSP_Species_Support!BD47*(1-EXP(-S13_PSP_Species_Support!BE47*1))^S13_PSP_Species_Support!BF47)^2*(S13_PSP_Species_Support!BG47*(1-EXP(-S13_PSP_Species_Support!BH47*1))^S13_PSP_Species_Support!BI47))^0.976,0)+IFERROR(S13_PSP_Species_Support!BM47*0.0673*(S13_PSP_Species_Support!BN47*(S13_PSP_Species_Support!BO47*(1-EXP(-S13_PSP_Species_Support!BP47*1))^S13_PSP_Species_Support!BQ47)^2*(S13_PSP_Species_Support!BR47*(1-EXP(-S13_PSP_Species_Support!BS47*1))^S13_PSP_Species_Support!BT47))^0.976,0)+IFERROR(S13_PSP_Species_Support!BX47*0.0673*(S13_PSP_Species_Support!BY47*(S13_PSP_Species_Support!BZ47*(1-EXP(-S13_PSP_Species_Support!CA47*1))^S13_PSP_Species_Support!CB47)^2*(S13_PSP_Species_Support!CC47*(1-EXP(-S13_PSP_Species_Support!CD47*1))^S13_PSP_Species_Support!CE47))^0.976,0)+IFERROR(S13_PSP_Species_Support!CI47*0.0673*(S13_PSP_Species_Support!CJ47*(S13_PSP_Species_Support!CK47*(1-EXP(-S13_PSP_Species_Support!CL47*1))^S13_PSP_Species_Support!CM47)^2*(S13_PSP_Species_Support!CN47*(1-EXP(-S13_PSP_Species_Support!CO47*1))^S13_PSP_Species_Support!CP47))^0.976,0)+IFERROR(S13_PSP_Species_Support!CT47*0.0673*(S13_PSP_Species_Support!CU47*(S13_PSP_Species_Support!CV47*(1-EXP(-S13_PSP_Species_Support!CW47*1))^S13_PSP_Species_Support!CX47)^2*(S13_PSP_Species_Support!CY47*(1-EXP(-S13_PSP_Species_Support!CZ47*1))^S13_PSP_Species_Support!DA47))^0.976,0))/1000/$G60*J$108,0)</x:f>
        <x:v>5.720318406418361</x:v>
      </x:c>
      <x:c r="K60" s="147" t="n">
        <x:f aca="0">IFERROR((IFERROR(S13_PSP_Species_Support!U47*0.0673*(S13_PSP_Species_Support!V47*(S13_PSP_Species_Support!W47*(1-EXP(-S13_PSP_Species_Support!X47*2))^S13_PSP_Species_Support!Y47)^2*(S13_PSP_Species_Support!Z47*(1-EXP(-S13_PSP_Species_Support!AA47*2))^S13_PSP_Species_Support!AB47))^0.976,0)+IFERROR(S13_PSP_Species_Support!AF47*0.0673*(S13_PSP_Species_Support!AG47*(S13_PSP_Species_Support!AH47*(1-EXP(-S13_PSP_Species_Support!AI47*2))^S13_PSP_Species_Support!AJ47)^2*(S13_PSP_Species_Support!AK47*(1-EXP(-S13_PSP_Species_Support!AL47*2))^S13_PSP_Species_Support!AM47))^0.976,0)+IFERROR(S13_PSP_Species_Support!AQ47*0.0673*(S13_PSP_Species_Support!AR47*(S13_PSP_Species_Support!AS47*(1-EXP(-S13_PSP_Species_Support!AT47*2))^S13_PSP_Species_Support!AU47)^2*(S13_PSP_Species_Support!AV47*(1-EXP(-S13_PSP_Species_Support!AW47*2))^S13_PSP_Species_Support!AX47))^0.976,0)+IFERROR(S13_PSP_Species_Support!BB47*0.0673*(S13_PSP_Species_Support!BC47*(S13_PSP_Species_Support!BD47*(1-EXP(-S13_PSP_Species_Support!BE47*2))^S13_PSP_Species_Support!BF47)^2*(S13_PSP_Species_Support!BG47*(1-EXP(-S13_PSP_Species_Support!BH47*2))^S13_PSP_Species_Support!BI47))^0.976,0)+IFERROR(S13_PSP_Species_Support!BM47*0.0673*(S13_PSP_Species_Support!BN47*(S13_PSP_Species_Support!BO47*(1-EXP(-S13_PSP_Species_Support!BP47*2))^S13_PSP_Species_Support!BQ47)^2*(S13_PSP_Species_Support!BR47*(1-EXP(-S13_PSP_Species_Support!BS47*2))^S13_PSP_Species_Support!BT47))^0.976,0)+IFERROR(S13_PSP_Species_Support!BX47*0.0673*(S13_PSP_Species_Support!BY47*(S13_PSP_Species_Support!BZ47*(1-EXP(-S13_PSP_Species_Support!CA47*2))^S13_PSP_Species_Support!CB47)^2*(S13_PSP_Species_Support!CC47*(1-EXP(-S13_PSP_Species_Support!CD47*2))^S13_PSP_Species_Support!CE47))^0.976,0)+IFERROR(S13_PSP_Species_Support!CI47*0.0673*(S13_PSP_Species_Support!CJ47*(S13_PSP_Species_Support!CK47*(1-EXP(-S13_PSP_Species_Support!CL47*2))^S13_PSP_Species_Support!CM47)^2*(S13_PSP_Species_Support!CN47*(1-EXP(-S13_PSP_Species_Support!CO47*2))^S13_PSP_Species_Support!CP47))^0.976,0)+IFERROR(S13_PSP_Species_Support!CT47*0.0673*(S13_PSP_Species_Support!CU47*(S13_PSP_Species_Support!CV47*(1-EXP(-S13_PSP_Species_Support!CW47*2))^S13_PSP_Species_Support!CX47)^2*(S13_PSP_Species_Support!CY47*(1-EXP(-S13_PSP_Species_Support!CZ47*2))^S13_PSP_Species_Support!DA47))^0.976,0))/1000/$G60*K$108,0)</x:f>
        <x:v>53.96825289201147</x:v>
      </x:c>
      <x:c r="L60" s="147" t="n">
        <x:f aca="0">IFERROR((IFERROR(S13_PSP_Species_Support!U47*0.0673*(S13_PSP_Species_Support!V47*(S13_PSP_Species_Support!W47*(1-EXP(-S13_PSP_Species_Support!X47*3))^S13_PSP_Species_Support!Y47)^2*(S13_PSP_Species_Support!Z47*(1-EXP(-S13_PSP_Species_Support!AA47*3))^S13_PSP_Species_Support!AB47))^0.976,0)+IFERROR(S13_PSP_Species_Support!AF47*0.0673*(S13_PSP_Species_Support!AG47*(S13_PSP_Species_Support!AH47*(1-EXP(-S13_PSP_Species_Support!AI47*3))^S13_PSP_Species_Support!AJ47)^2*(S13_PSP_Species_Support!AK47*(1-EXP(-S13_PSP_Species_Support!AL47*3))^S13_PSP_Species_Support!AM47))^0.976,0)+IFERROR(S13_PSP_Species_Support!AQ47*0.0673*(S13_PSP_Species_Support!AR47*(S13_PSP_Species_Support!AS47*(1-EXP(-S13_PSP_Species_Support!AT47*3))^S13_PSP_Species_Support!AU47)^2*(S13_PSP_Species_Support!AV47*(1-EXP(-S13_PSP_Species_Support!AW47*3))^S13_PSP_Species_Support!AX47))^0.976,0)+IFERROR(S13_PSP_Species_Support!BB47*0.0673*(S13_PSP_Species_Support!BC47*(S13_PSP_Species_Support!BD47*(1-EXP(-S13_PSP_Species_Support!BE47*3))^S13_PSP_Species_Support!BF47)^2*(S13_PSP_Species_Support!BG47*(1-EXP(-S13_PSP_Species_Support!BH47*3))^S13_PSP_Species_Support!BI47))^0.976,0)+IFERROR(S13_PSP_Species_Support!BM47*0.0673*(S13_PSP_Species_Support!BN47*(S13_PSP_Species_Support!BO47*(1-EXP(-S13_PSP_Species_Support!BP47*3))^S13_PSP_Species_Support!BQ47)^2*(S13_PSP_Species_Support!BR47*(1-EXP(-S13_PSP_Species_Support!BS47*3))^S13_PSP_Species_Support!BT47))^0.976,0)+IFERROR(S13_PSP_Species_Support!BX47*0.0673*(S13_PSP_Species_Support!BY47*(S13_PSP_Species_Support!BZ47*(1-EXP(-S13_PSP_Species_Support!CA47*3))^S13_PSP_Species_Support!CB47)^2*(S13_PSP_Species_Support!CC47*(1-EXP(-S13_PSP_Species_Support!CD47*3))^S13_PSP_Species_Support!CE47))^0.976,0)+IFERROR(S13_PSP_Species_Support!CI47*0.0673*(S13_PSP_Species_Support!CJ47*(S13_PSP_Species_Support!CK47*(1-EXP(-S13_PSP_Species_Support!CL47*3))^S13_PSP_Species_Support!CM47)^2*(S13_PSP_Species_Support!CN47*(1-EXP(-S13_PSP_Species_Support!CO47*3))^S13_PSP_Species_Support!CP47))^0.976,0)+IFERROR(S13_PSP_Species_Support!CT47*0.0673*(S13_PSP_Species_Support!CU47*(S13_PSP_Species_Support!CV47*(1-EXP(-S13_PSP_Species_Support!CW47*3))^S13_PSP_Species_Support!CX47)^2*(S13_PSP_Species_Support!CY47*(1-EXP(-S13_PSP_Species_Support!CZ47*3))^S13_PSP_Species_Support!DA47))^0.976,0))/1000/$G60*L$108,0)</x:f>
        <x:v>178.61293476154103</x:v>
      </x:c>
      <x:c r="M60" s="147" t="n">
        <x:f aca="0">IFERROR((IFERROR(S13_PSP_Species_Support!U47*0.0673*(S13_PSP_Species_Support!V47*(S13_PSP_Species_Support!W47*(1-EXP(-S13_PSP_Species_Support!X47*4))^S13_PSP_Species_Support!Y47)^2*(S13_PSP_Species_Support!Z47*(1-EXP(-S13_PSP_Species_Support!AA47*4))^S13_PSP_Species_Support!AB47))^0.976,0)+IFERROR(S13_PSP_Species_Support!AF47*0.0673*(S13_PSP_Species_Support!AG47*(S13_PSP_Species_Support!AH47*(1-EXP(-S13_PSP_Species_Support!AI47*4))^S13_PSP_Species_Support!AJ47)^2*(S13_PSP_Species_Support!AK47*(1-EXP(-S13_PSP_Species_Support!AL47*4))^S13_PSP_Species_Support!AM47))^0.976,0)+IFERROR(S13_PSP_Species_Support!AQ47*0.0673*(S13_PSP_Species_Support!AR47*(S13_PSP_Species_Support!AS47*(1-EXP(-S13_PSP_Species_Support!AT47*4))^S13_PSP_Species_Support!AU47)^2*(S13_PSP_Species_Support!AV47*(1-EXP(-S13_PSP_Species_Support!AW47*4))^S13_PSP_Species_Support!AX47))^0.976,0)+IFERROR(S13_PSP_Species_Support!BB47*0.0673*(S13_PSP_Species_Support!BC47*(S13_PSP_Species_Support!BD47*(1-EXP(-S13_PSP_Species_Support!BE47*4))^S13_PSP_Species_Support!BF47)^2*(S13_PSP_Species_Support!BG47*(1-EXP(-S13_PSP_Species_Support!BH47*4))^S13_PSP_Species_Support!BI47))^0.976,0)+IFERROR(S13_PSP_Species_Support!BM47*0.0673*(S13_PSP_Species_Support!BN47*(S13_PSP_Species_Support!BO47*(1-EXP(-S13_PSP_Species_Support!BP47*4))^S13_PSP_Species_Support!BQ47)^2*(S13_PSP_Species_Support!BR47*(1-EXP(-S13_PSP_Species_Support!BS47*4))^S13_PSP_Species_Support!BT47))^0.976,0)+IFERROR(S13_PSP_Species_Support!BX47*0.0673*(S13_PSP_Species_Support!BY47*(S13_PSP_Species_Support!BZ47*(1-EXP(-S13_PSP_Species_Support!CA47*4))^S13_PSP_Species_Support!CB47)^2*(S13_PSP_Species_Support!CC47*(1-EXP(-S13_PSP_Species_Support!CD47*4))^S13_PSP_Species_Support!CE47))^0.976,0)+IFERROR(S13_PSP_Species_Support!CI47*0.0673*(S13_PSP_Species_Support!CJ47*(S13_PSP_Species_Support!CK47*(1-EXP(-S13_PSP_Species_Support!CL47*4))^S13_PSP_Species_Support!CM47)^2*(S13_PSP_Species_Support!CN47*(1-EXP(-S13_PSP_Species_Support!CO47*4))^S13_PSP_Species_Support!CP47))^0.976,0)+IFERROR(S13_PSP_Species_Support!CT47*0.0673*(S13_PSP_Species_Support!CU47*(S13_PSP_Species_Support!CV47*(1-EXP(-S13_PSP_Species_Support!CW47*4))^S13_PSP_Species_Support!CX47)^2*(S13_PSP_Species_Support!CY47*(1-EXP(-S13_PSP_Species_Support!CZ47*4))^S13_PSP_Species_Support!DA47))^0.976,0))/1000/$G60*M$108,0)</x:f>
        <x:v>389.3376684657775</x:v>
      </x:c>
      <x:c r="N60" s="147" t="n">
        <x:f aca="0">IFERROR((IFERROR(S13_PSP_Species_Support!U47*0.0673*(S13_PSP_Species_Support!V47*(S13_PSP_Species_Support!W47*(1-EXP(-S13_PSP_Species_Support!X47*5))^S13_PSP_Species_Support!Y47)^2*(S13_PSP_Species_Support!Z47*(1-EXP(-S13_PSP_Species_Support!AA47*5))^S13_PSP_Species_Support!AB47))^0.976,0)+IFERROR(S13_PSP_Species_Support!AF47*0.0673*(S13_PSP_Species_Support!AG47*(S13_PSP_Species_Support!AH47*(1-EXP(-S13_PSP_Species_Support!AI47*5))^S13_PSP_Species_Support!AJ47)^2*(S13_PSP_Species_Support!AK47*(1-EXP(-S13_PSP_Species_Support!AL47*5))^S13_PSP_Species_Support!AM47))^0.976,0)+IFERROR(S13_PSP_Species_Support!AQ47*0.0673*(S13_PSP_Species_Support!AR47*(S13_PSP_Species_Support!AS47*(1-EXP(-S13_PSP_Species_Support!AT47*5))^S13_PSP_Species_Support!AU47)^2*(S13_PSP_Species_Support!AV47*(1-EXP(-S13_PSP_Species_Support!AW47*5))^S13_PSP_Species_Support!AX47))^0.976,0)+IFERROR(S13_PSP_Species_Support!BB47*0.0673*(S13_PSP_Species_Support!BC47*(S13_PSP_Species_Support!BD47*(1-EXP(-S13_PSP_Species_Support!BE47*5))^S13_PSP_Species_Support!BF47)^2*(S13_PSP_Species_Support!BG47*(1-EXP(-S13_PSP_Species_Support!BH47*5))^S13_PSP_Species_Support!BI47))^0.976,0)+IFERROR(S13_PSP_Species_Support!BM47*0.0673*(S13_PSP_Species_Support!BN47*(S13_PSP_Species_Support!BO47*(1-EXP(-S13_PSP_Species_Support!BP47*5))^S13_PSP_Species_Support!BQ47)^2*(S13_PSP_Species_Support!BR47*(1-EXP(-S13_PSP_Species_Support!BS47*5))^S13_PSP_Species_Support!BT47))^0.976,0)+IFERROR(S13_PSP_Species_Support!BX47*0.0673*(S13_PSP_Species_Support!BY47*(S13_PSP_Species_Support!BZ47*(1-EXP(-S13_PSP_Species_Support!CA47*5))^S13_PSP_Species_Support!CB47)^2*(S13_PSP_Species_Support!CC47*(1-EXP(-S13_PSP_Species_Support!CD47*5))^S13_PSP_Species_Support!CE47))^0.976,0)+IFERROR(S13_PSP_Species_Support!CI47*0.0673*(S13_PSP_Species_Support!CJ47*(S13_PSP_Species_Support!CK47*(1-EXP(-S13_PSP_Species_Support!CL47*5))^S13_PSP_Species_Support!CM47)^2*(S13_PSP_Species_Support!CN47*(1-EXP(-S13_PSP_Species_Support!CO47*5))^S13_PSP_Species_Support!CP47))^0.976,0)+IFERROR(S13_PSP_Species_Support!CT47*0.0673*(S13_PSP_Species_Support!CU47*(S13_PSP_Species_Support!CV47*(1-EXP(-S13_PSP_Species_Support!CW47*5))^S13_PSP_Species_Support!CX47)^2*(S13_PSP_Species_Support!CY47*(1-EXP(-S13_PSP_Species_Support!CZ47*5))^S13_PSP_Species_Support!DA47))^0.976,0))/1000/$G60*N$108,0)</x:f>
        <x:v>674.1124472797318</x:v>
      </x:c>
      <x:c r="O60" s="147" t="n">
        <x:f aca="0">IFERROR((IFERROR(S13_PSP_Species_Support!U47*0.0673*(S13_PSP_Species_Support!V47*(S13_PSP_Species_Support!W47*(1-EXP(-S13_PSP_Species_Support!X47*6))^S13_PSP_Species_Support!Y47)^2*(S13_PSP_Species_Support!Z47*(1-EXP(-S13_PSP_Species_Support!AA47*6))^S13_PSP_Species_Support!AB47))^0.976,0)+IFERROR(S13_PSP_Species_Support!AF47*0.0673*(S13_PSP_Species_Support!AG47*(S13_PSP_Species_Support!AH47*(1-EXP(-S13_PSP_Species_Support!AI47*6))^S13_PSP_Species_Support!AJ47)^2*(S13_PSP_Species_Support!AK47*(1-EXP(-S13_PSP_Species_Support!AL47*6))^S13_PSP_Species_Support!AM47))^0.976,0)+IFERROR(S13_PSP_Species_Support!AQ47*0.0673*(S13_PSP_Species_Support!AR47*(S13_PSP_Species_Support!AS47*(1-EXP(-S13_PSP_Species_Support!AT47*6))^S13_PSP_Species_Support!AU47)^2*(S13_PSP_Species_Support!AV47*(1-EXP(-S13_PSP_Species_Support!AW47*6))^S13_PSP_Species_Support!AX47))^0.976,0)+IFERROR(S13_PSP_Species_Support!BB47*0.0673*(S13_PSP_Species_Support!BC47*(S13_PSP_Species_Support!BD47*(1-EXP(-S13_PSP_Species_Support!BE47*6))^S13_PSP_Species_Support!BF47)^2*(S13_PSP_Species_Support!BG47*(1-EXP(-S13_PSP_Species_Support!BH47*6))^S13_PSP_Species_Support!BI47))^0.976,0)+IFERROR(S13_PSP_Species_Support!BM47*0.0673*(S13_PSP_Species_Support!BN47*(S13_PSP_Species_Support!BO47*(1-EXP(-S13_PSP_Species_Support!BP47*6))^S13_PSP_Species_Support!BQ47)^2*(S13_PSP_Species_Support!BR47*(1-EXP(-S13_PSP_Species_Support!BS47*6))^S13_PSP_Species_Support!BT47))^0.976,0)+IFERROR(S13_PSP_Species_Support!BX47*0.0673*(S13_PSP_Species_Support!BY47*(S13_PSP_Species_Support!BZ47*(1-EXP(-S13_PSP_Species_Support!CA47*6))^S13_PSP_Species_Support!CB47)^2*(S13_PSP_Species_Support!CC47*(1-EXP(-S13_PSP_Species_Support!CD47*6))^S13_PSP_Species_Support!CE47))^0.976,0)+IFERROR(S13_PSP_Species_Support!CI47*0.0673*(S13_PSP_Species_Support!CJ47*(S13_PSP_Species_Support!CK47*(1-EXP(-S13_PSP_Species_Support!CL47*6))^S13_PSP_Species_Support!CM47)^2*(S13_PSP_Species_Support!CN47*(1-EXP(-S13_PSP_Species_Support!CO47*6))^S13_PSP_Species_Support!CP47))^0.976,0)+IFERROR(S13_PSP_Species_Support!CT47*0.0673*(S13_PSP_Species_Support!CU47*(S13_PSP_Species_Support!CV47*(1-EXP(-S13_PSP_Species_Support!CW47*6))^S13_PSP_Species_Support!CX47)^2*(S13_PSP_Species_Support!CY47*(1-EXP(-S13_PSP_Species_Support!CZ47*6))^S13_PSP_Species_Support!DA47))^0.976,0))/1000/$G60*O$108,0)</x:f>
        <x:v>1012.2239681601206</x:v>
      </x:c>
      <x:c r="P60" s="147" t="n">
        <x:f aca="0">IFERROR((IFERROR(S13_PSP_Species_Support!U47*0.0673*(S13_PSP_Species_Support!V47*(S13_PSP_Species_Support!W47*(1-EXP(-S13_PSP_Species_Support!X47*7))^S13_PSP_Species_Support!Y47)^2*(S13_PSP_Species_Support!Z47*(1-EXP(-S13_PSP_Species_Support!AA47*7))^S13_PSP_Species_Support!AB47))^0.976,0)+IFERROR(S13_PSP_Species_Support!AF47*0.0673*(S13_PSP_Species_Support!AG47*(S13_PSP_Species_Support!AH47*(1-EXP(-S13_PSP_Species_Support!AI47*7))^S13_PSP_Species_Support!AJ47)^2*(S13_PSP_Species_Support!AK47*(1-EXP(-S13_PSP_Species_Support!AL47*7))^S13_PSP_Species_Support!AM47))^0.976,0)+IFERROR(S13_PSP_Species_Support!AQ47*0.0673*(S13_PSP_Species_Support!AR47*(S13_PSP_Species_Support!AS47*(1-EXP(-S13_PSP_Species_Support!AT47*7))^S13_PSP_Species_Support!AU47)^2*(S13_PSP_Species_Support!AV47*(1-EXP(-S13_PSP_Species_Support!AW47*7))^S13_PSP_Species_Support!AX47))^0.976,0)+IFERROR(S13_PSP_Species_Support!BB47*0.0673*(S13_PSP_Species_Support!BC47*(S13_PSP_Species_Support!BD47*(1-EXP(-S13_PSP_Species_Support!BE47*7))^S13_PSP_Species_Support!BF47)^2*(S13_PSP_Species_Support!BG47*(1-EXP(-S13_PSP_Species_Support!BH47*7))^S13_PSP_Species_Support!BI47))^0.976,0)+IFERROR(S13_PSP_Species_Support!BM47*0.0673*(S13_PSP_Species_Support!BN47*(S13_PSP_Species_Support!BO47*(1-EXP(-S13_PSP_Species_Support!BP47*7))^S13_PSP_Species_Support!BQ47)^2*(S13_PSP_Species_Support!BR47*(1-EXP(-S13_PSP_Species_Support!BS47*7))^S13_PSP_Species_Support!BT47))^0.976,0)+IFERROR(S13_PSP_Species_Support!BX47*0.0673*(S13_PSP_Species_Support!BY47*(S13_PSP_Species_Support!BZ47*(1-EXP(-S13_PSP_Species_Support!CA47*7))^S13_PSP_Species_Support!CB47)^2*(S13_PSP_Species_Support!CC47*(1-EXP(-S13_PSP_Species_Support!CD47*7))^S13_PSP_Species_Support!CE47))^0.976,0)+IFERROR(S13_PSP_Species_Support!CI47*0.0673*(S13_PSP_Species_Support!CJ47*(S13_PSP_Species_Support!CK47*(1-EXP(-S13_PSP_Species_Support!CL47*7))^S13_PSP_Species_Support!CM47)^2*(S13_PSP_Species_Support!CN47*(1-EXP(-S13_PSP_Species_Support!CO47*7))^S13_PSP_Species_Support!CP47))^0.976,0)+IFERROR(S13_PSP_Species_Support!CT47*0.0673*(S13_PSP_Species_Support!CU47*(S13_PSP_Species_Support!CV47*(1-EXP(-S13_PSP_Species_Support!CW47*7))^S13_PSP_Species_Support!CX47)^2*(S13_PSP_Species_Support!CY47*(1-EXP(-S13_PSP_Species_Support!CZ47*7))^S13_PSP_Species_Support!DA47))^0.976,0))/1000/$G60*P$108,0)</x:f>
        <x:v>1381.2476941428142</x:v>
      </x:c>
      <x:c r="Q60" s="147" t="n">
        <x:f aca="0">IFERROR((IFERROR(S13_PSP_Species_Support!U47*0.0673*(S13_PSP_Species_Support!V47*(S13_PSP_Species_Support!W47*(1-EXP(-S13_PSP_Species_Support!X47*8))^S13_PSP_Species_Support!Y47)^2*(S13_PSP_Species_Support!Z47*(1-EXP(-S13_PSP_Species_Support!AA47*8))^S13_PSP_Species_Support!AB47))^0.976,0)+IFERROR(S13_PSP_Species_Support!AF47*0.0673*(S13_PSP_Species_Support!AG47*(S13_PSP_Species_Support!AH47*(1-EXP(-S13_PSP_Species_Support!AI47*8))^S13_PSP_Species_Support!AJ47)^2*(S13_PSP_Species_Support!AK47*(1-EXP(-S13_PSP_Species_Support!AL47*8))^S13_PSP_Species_Support!AM47))^0.976,0)+IFERROR(S13_PSP_Species_Support!AQ47*0.0673*(S13_PSP_Species_Support!AR47*(S13_PSP_Species_Support!AS47*(1-EXP(-S13_PSP_Species_Support!AT47*8))^S13_PSP_Species_Support!AU47)^2*(S13_PSP_Species_Support!AV47*(1-EXP(-S13_PSP_Species_Support!AW47*8))^S13_PSP_Species_Support!AX47))^0.976,0)+IFERROR(S13_PSP_Species_Support!BB47*0.0673*(S13_PSP_Species_Support!BC47*(S13_PSP_Species_Support!BD47*(1-EXP(-S13_PSP_Species_Support!BE47*8))^S13_PSP_Species_Support!BF47)^2*(S13_PSP_Species_Support!BG47*(1-EXP(-S13_PSP_Species_Support!BH47*8))^S13_PSP_Species_Support!BI47))^0.976,0)+IFERROR(S13_PSP_Species_Support!BM47*0.0673*(S13_PSP_Species_Support!BN47*(S13_PSP_Species_Support!BO47*(1-EXP(-S13_PSP_Species_Support!BP47*8))^S13_PSP_Species_Support!BQ47)^2*(S13_PSP_Species_Support!BR47*(1-EXP(-S13_PSP_Species_Support!BS47*8))^S13_PSP_Species_Support!BT47))^0.976,0)+IFERROR(S13_PSP_Species_Support!BX47*0.0673*(S13_PSP_Species_Support!BY47*(S13_PSP_Species_Support!BZ47*(1-EXP(-S13_PSP_Species_Support!CA47*8))^S13_PSP_Species_Support!CB47)^2*(S13_PSP_Species_Support!CC47*(1-EXP(-S13_PSP_Species_Support!CD47*8))^S13_PSP_Species_Support!CE47))^0.976,0)+IFERROR(S13_PSP_Species_Support!CI47*0.0673*(S13_PSP_Species_Support!CJ47*(S13_PSP_Species_Support!CK47*(1-EXP(-S13_PSP_Species_Support!CL47*8))^S13_PSP_Species_Support!CM47)^2*(S13_PSP_Species_Support!CN47*(1-EXP(-S13_PSP_Species_Support!CO47*8))^S13_PSP_Species_Support!CP47))^0.976,0)+IFERROR(S13_PSP_Species_Support!CT47*0.0673*(S13_PSP_Species_Support!CU47*(S13_PSP_Species_Support!CV47*(1-EXP(-S13_PSP_Species_Support!CW47*8))^S13_PSP_Species_Support!CX47)^2*(S13_PSP_Species_Support!CY47*(1-EXP(-S13_PSP_Species_Support!CZ47*8))^S13_PSP_Species_Support!DA47))^0.976,0))/1000/$G60*Q$108,0)</x:f>
        <x:v>1761.1897495520666</x:v>
      </x:c>
      <x:c r="R60" s="147" t="n">
        <x:f aca="0">IFERROR((IFERROR(S13_PSP_Species_Support!U47*0.0673*(S13_PSP_Species_Support!V47*(S13_PSP_Species_Support!W47*(1-EXP(-S13_PSP_Species_Support!X47*9))^S13_PSP_Species_Support!Y47)^2*(S13_PSP_Species_Support!Z47*(1-EXP(-S13_PSP_Species_Support!AA47*9))^S13_PSP_Species_Support!AB47))^0.976,0)+IFERROR(S13_PSP_Species_Support!AF47*0.0673*(S13_PSP_Species_Support!AG47*(S13_PSP_Species_Support!AH47*(1-EXP(-S13_PSP_Species_Support!AI47*9))^S13_PSP_Species_Support!AJ47)^2*(S13_PSP_Species_Support!AK47*(1-EXP(-S13_PSP_Species_Support!AL47*9))^S13_PSP_Species_Support!AM47))^0.976,0)+IFERROR(S13_PSP_Species_Support!AQ47*0.0673*(S13_PSP_Species_Support!AR47*(S13_PSP_Species_Support!AS47*(1-EXP(-S13_PSP_Species_Support!AT47*9))^S13_PSP_Species_Support!AU47)^2*(S13_PSP_Species_Support!AV47*(1-EXP(-S13_PSP_Species_Support!AW47*9))^S13_PSP_Species_Support!AX47))^0.976,0)+IFERROR(S13_PSP_Species_Support!BB47*0.0673*(S13_PSP_Species_Support!BC47*(S13_PSP_Species_Support!BD47*(1-EXP(-S13_PSP_Species_Support!BE47*9))^S13_PSP_Species_Support!BF47)^2*(S13_PSP_Species_Support!BG47*(1-EXP(-S13_PSP_Species_Support!BH47*9))^S13_PSP_Species_Support!BI47))^0.976,0)+IFERROR(S13_PSP_Species_Support!BM47*0.0673*(S13_PSP_Species_Support!BN47*(S13_PSP_Species_Support!BO47*(1-EXP(-S13_PSP_Species_Support!BP47*9))^S13_PSP_Species_Support!BQ47)^2*(S13_PSP_Species_Support!BR47*(1-EXP(-S13_PSP_Species_Support!BS47*9))^S13_PSP_Species_Support!BT47))^0.976,0)+IFERROR(S13_PSP_Species_Support!BX47*0.0673*(S13_PSP_Species_Support!BY47*(S13_PSP_Species_Support!BZ47*(1-EXP(-S13_PSP_Species_Support!CA47*9))^S13_PSP_Species_Support!CB47)^2*(S13_PSP_Species_Support!CC47*(1-EXP(-S13_PSP_Species_Support!CD47*9))^S13_PSP_Species_Support!CE47))^0.976,0)+IFERROR(S13_PSP_Species_Support!CI47*0.0673*(S13_PSP_Species_Support!CJ47*(S13_PSP_Species_Support!CK47*(1-EXP(-S13_PSP_Species_Support!CL47*9))^S13_PSP_Species_Support!CM47)^2*(S13_PSP_Species_Support!CN47*(1-EXP(-S13_PSP_Species_Support!CO47*9))^S13_PSP_Species_Support!CP47))^0.976,0)+IFERROR(S13_PSP_Species_Support!CT47*0.0673*(S13_PSP_Species_Support!CU47*(S13_PSP_Species_Support!CV47*(1-EXP(-S13_PSP_Species_Support!CW47*9))^S13_PSP_Species_Support!CX47)^2*(S13_PSP_Species_Support!CY47*(1-EXP(-S13_PSP_Species_Support!CZ47*9))^S13_PSP_Species_Support!DA47))^0.976,0))/1000/$G60*R$108,0)</x:f>
        <x:v>2136.205637082426</x:v>
      </x:c>
      <x:c r="S60" s="147" t="n">
        <x:f aca="0">IFERROR((IFERROR(S13_PSP_Species_Support!U47*0.0673*(S13_PSP_Species_Support!V47*(S13_PSP_Species_Support!W47*(1-EXP(-S13_PSP_Species_Support!X47*10))^S13_PSP_Species_Support!Y47)^2*(S13_PSP_Species_Support!Z47*(1-EXP(-S13_PSP_Species_Support!AA47*10))^S13_PSP_Species_Support!AB47))^0.976,0)+IFERROR(S13_PSP_Species_Support!AF47*0.0673*(S13_PSP_Species_Support!AG47*(S13_PSP_Species_Support!AH47*(1-EXP(-S13_PSP_Species_Support!AI47*10))^S13_PSP_Species_Support!AJ47)^2*(S13_PSP_Species_Support!AK47*(1-EXP(-S13_PSP_Species_Support!AL47*10))^S13_PSP_Species_Support!AM47))^0.976,0)+IFERROR(S13_PSP_Species_Support!AQ47*0.0673*(S13_PSP_Species_Support!AR47*(S13_PSP_Species_Support!AS47*(1-EXP(-S13_PSP_Species_Support!AT47*10))^S13_PSP_Species_Support!AU47)^2*(S13_PSP_Species_Support!AV47*(1-EXP(-S13_PSP_Species_Support!AW47*10))^S13_PSP_Species_Support!AX47))^0.976,0)+IFERROR(S13_PSP_Species_Support!BB47*0.0673*(S13_PSP_Species_Support!BC47*(S13_PSP_Species_Support!BD47*(1-EXP(-S13_PSP_Species_Support!BE47*10))^S13_PSP_Species_Support!BF47)^2*(S13_PSP_Species_Support!BG47*(1-EXP(-S13_PSP_Species_Support!BH47*10))^S13_PSP_Species_Support!BI47))^0.976,0)+IFERROR(S13_PSP_Species_Support!BM47*0.0673*(S13_PSP_Species_Support!BN47*(S13_PSP_Species_Support!BO47*(1-EXP(-S13_PSP_Species_Support!BP47*10))^S13_PSP_Species_Support!BQ47)^2*(S13_PSP_Species_Support!BR47*(1-EXP(-S13_PSP_Species_Support!BS47*10))^S13_PSP_Species_Support!BT47))^0.976,0)+IFERROR(S13_PSP_Species_Support!BX47*0.0673*(S13_PSP_Species_Support!BY47*(S13_PSP_Species_Support!BZ47*(1-EXP(-S13_PSP_Species_Support!CA47*10))^S13_PSP_Species_Support!CB47)^2*(S13_PSP_Species_Support!CC47*(1-EXP(-S13_PSP_Species_Support!CD47*10))^S13_PSP_Species_Support!CE47))^0.976,0)+IFERROR(S13_PSP_Species_Support!CI47*0.0673*(S13_PSP_Species_Support!CJ47*(S13_PSP_Species_Support!CK47*(1-EXP(-S13_PSP_Species_Support!CL47*10))^S13_PSP_Species_Support!CM47)^2*(S13_PSP_Species_Support!CN47*(1-EXP(-S13_PSP_Species_Support!CO47*10))^S13_PSP_Species_Support!CP47))^0.976,0)+IFERROR(S13_PSP_Species_Support!CT47*0.0673*(S13_PSP_Species_Support!CU47*(S13_PSP_Species_Support!CV47*(1-EXP(-S13_PSP_Species_Support!CW47*10))^S13_PSP_Species_Support!CX47)^2*(S13_PSP_Species_Support!CY47*(1-EXP(-S13_PSP_Species_Support!CZ47*10))^S13_PSP_Species_Support!DA47))^0.976,0))/1000/$G60*S$108,0)</x:f>
        <x:v>2494.87540996698</x:v>
      </x:c>
      <x:c r="T60" s="147" t="n">
        <x:f aca="0">IFERROR((IFERROR(S13_PSP_Species_Support!U47*0.0673*(S13_PSP_Species_Support!V47*(S13_PSP_Species_Support!W47*(1-EXP(-S13_PSP_Species_Support!X47*11))^S13_PSP_Species_Support!Y47)^2*(S13_PSP_Species_Support!Z47*(1-EXP(-S13_PSP_Species_Support!AA47*11))^S13_PSP_Species_Support!AB47))^0.976,0)+IFERROR(S13_PSP_Species_Support!AF47*0.0673*(S13_PSP_Species_Support!AG47*(S13_PSP_Species_Support!AH47*(1-EXP(-S13_PSP_Species_Support!AI47*11))^S13_PSP_Species_Support!AJ47)^2*(S13_PSP_Species_Support!AK47*(1-EXP(-S13_PSP_Species_Support!AL47*11))^S13_PSP_Species_Support!AM47))^0.976,0)+IFERROR(S13_PSP_Species_Support!AQ47*0.0673*(S13_PSP_Species_Support!AR47*(S13_PSP_Species_Support!AS47*(1-EXP(-S13_PSP_Species_Support!AT47*11))^S13_PSP_Species_Support!AU47)^2*(S13_PSP_Species_Support!AV47*(1-EXP(-S13_PSP_Species_Support!AW47*11))^S13_PSP_Species_Support!AX47))^0.976,0)+IFERROR(S13_PSP_Species_Support!BB47*0.0673*(S13_PSP_Species_Support!BC47*(S13_PSP_Species_Support!BD47*(1-EXP(-S13_PSP_Species_Support!BE47*11))^S13_PSP_Species_Support!BF47)^2*(S13_PSP_Species_Support!BG47*(1-EXP(-S13_PSP_Species_Support!BH47*11))^S13_PSP_Species_Support!BI47))^0.976,0)+IFERROR(S13_PSP_Species_Support!BM47*0.0673*(S13_PSP_Species_Support!BN47*(S13_PSP_Species_Support!BO47*(1-EXP(-S13_PSP_Species_Support!BP47*11))^S13_PSP_Species_Support!BQ47)^2*(S13_PSP_Species_Support!BR47*(1-EXP(-S13_PSP_Species_Support!BS47*11))^S13_PSP_Species_Support!BT47))^0.976,0)+IFERROR(S13_PSP_Species_Support!BX47*0.0673*(S13_PSP_Species_Support!BY47*(S13_PSP_Species_Support!BZ47*(1-EXP(-S13_PSP_Species_Support!CA47*11))^S13_PSP_Species_Support!CB47)^2*(S13_PSP_Species_Support!CC47*(1-EXP(-S13_PSP_Species_Support!CD47*11))^S13_PSP_Species_Support!CE47))^0.976,0)+IFERROR(S13_PSP_Species_Support!CI47*0.0673*(S13_PSP_Species_Support!CJ47*(S13_PSP_Species_Support!CK47*(1-EXP(-S13_PSP_Species_Support!CL47*11))^S13_PSP_Species_Support!CM47)^2*(S13_PSP_Species_Support!CN47*(1-EXP(-S13_PSP_Species_Support!CO47*11))^S13_PSP_Species_Support!CP47))^0.976,0)+IFERROR(S13_PSP_Species_Support!CT47*0.0673*(S13_PSP_Species_Support!CU47*(S13_PSP_Species_Support!CV47*(1-EXP(-S13_PSP_Species_Support!CW47*11))^S13_PSP_Species_Support!CX47)^2*(S13_PSP_Species_Support!CY47*(1-EXP(-S13_PSP_Species_Support!CZ47*11))^S13_PSP_Species_Support!DA47))^0.976,0))/1000/$G60*T$108,0)</x:f>
        <x:v>2829.748076645198</x:v>
      </x:c>
      <x:c r="U60" s="147" t="n">
        <x:f aca="0">IFERROR((IFERROR(S13_PSP_Species_Support!U47*0.0673*(S13_PSP_Species_Support!V47*(S13_PSP_Species_Support!W47*(1-EXP(-S13_PSP_Species_Support!X47*12))^S13_PSP_Species_Support!Y47)^2*(S13_PSP_Species_Support!Z47*(1-EXP(-S13_PSP_Species_Support!AA47*12))^S13_PSP_Species_Support!AB47))^0.976,0)+IFERROR(S13_PSP_Species_Support!AF47*0.0673*(S13_PSP_Species_Support!AG47*(S13_PSP_Species_Support!AH47*(1-EXP(-S13_PSP_Species_Support!AI47*12))^S13_PSP_Species_Support!AJ47)^2*(S13_PSP_Species_Support!AK47*(1-EXP(-S13_PSP_Species_Support!AL47*12))^S13_PSP_Species_Support!AM47))^0.976,0)+IFERROR(S13_PSP_Species_Support!AQ47*0.0673*(S13_PSP_Species_Support!AR47*(S13_PSP_Species_Support!AS47*(1-EXP(-S13_PSP_Species_Support!AT47*12))^S13_PSP_Species_Support!AU47)^2*(S13_PSP_Species_Support!AV47*(1-EXP(-S13_PSP_Species_Support!AW47*12))^S13_PSP_Species_Support!AX47))^0.976,0)+IFERROR(S13_PSP_Species_Support!BB47*0.0673*(S13_PSP_Species_Support!BC47*(S13_PSP_Species_Support!BD47*(1-EXP(-S13_PSP_Species_Support!BE47*12))^S13_PSP_Species_Support!BF47)^2*(S13_PSP_Species_Support!BG47*(1-EXP(-S13_PSP_Species_Support!BH47*12))^S13_PSP_Species_Support!BI47))^0.976,0)+IFERROR(S13_PSP_Species_Support!BM47*0.0673*(S13_PSP_Species_Support!BN47*(S13_PSP_Species_Support!BO47*(1-EXP(-S13_PSP_Species_Support!BP47*12))^S13_PSP_Species_Support!BQ47)^2*(S13_PSP_Species_Support!BR47*(1-EXP(-S13_PSP_Species_Support!BS47*12))^S13_PSP_Species_Support!BT47))^0.976,0)+IFERROR(S13_PSP_Species_Support!BX47*0.0673*(S13_PSP_Species_Support!BY47*(S13_PSP_Species_Support!BZ47*(1-EXP(-S13_PSP_Species_Support!CA47*12))^S13_PSP_Species_Support!CB47)^2*(S13_PSP_Species_Support!CC47*(1-EXP(-S13_PSP_Species_Support!CD47*12))^S13_PSP_Species_Support!CE47))^0.976,0)+IFERROR(S13_PSP_Species_Support!CI47*0.0673*(S13_PSP_Species_Support!CJ47*(S13_PSP_Species_Support!CK47*(1-EXP(-S13_PSP_Species_Support!CL47*12))^S13_PSP_Species_Support!CM47)^2*(S13_PSP_Species_Support!CN47*(1-EXP(-S13_PSP_Species_Support!CO47*12))^S13_PSP_Species_Support!CP47))^0.976,0)+IFERROR(S13_PSP_Species_Support!CT47*0.0673*(S13_PSP_Species_Support!CU47*(S13_PSP_Species_Support!CV47*(1-EXP(-S13_PSP_Species_Support!CW47*12))^S13_PSP_Species_Support!CX47)^2*(S13_PSP_Species_Support!CY47*(1-EXP(-S13_PSP_Species_Support!CZ47*12))^S13_PSP_Species_Support!DA47))^0.976,0))/1000/$G60*U$108,0)</x:f>
        <x:v>3136.5998417155865</x:v>
      </x:c>
      <x:c r="V60" s="147" t="n">
        <x:f aca="0">IFERROR((IFERROR(S13_PSP_Species_Support!U47*0.0673*(S13_PSP_Species_Support!V47*(S13_PSP_Species_Support!W47*(1-EXP(-S13_PSP_Species_Support!X47*13))^S13_PSP_Species_Support!Y47)^2*(S13_PSP_Species_Support!Z47*(1-EXP(-S13_PSP_Species_Support!AA47*13))^S13_PSP_Species_Support!AB47))^0.976,0)+IFERROR(S13_PSP_Species_Support!AF47*0.0673*(S13_PSP_Species_Support!AG47*(S13_PSP_Species_Support!AH47*(1-EXP(-S13_PSP_Species_Support!AI47*13))^S13_PSP_Species_Support!AJ47)^2*(S13_PSP_Species_Support!AK47*(1-EXP(-S13_PSP_Species_Support!AL47*13))^S13_PSP_Species_Support!AM47))^0.976,0)+IFERROR(S13_PSP_Species_Support!AQ47*0.0673*(S13_PSP_Species_Support!AR47*(S13_PSP_Species_Support!AS47*(1-EXP(-S13_PSP_Species_Support!AT47*13))^S13_PSP_Species_Support!AU47)^2*(S13_PSP_Species_Support!AV47*(1-EXP(-S13_PSP_Species_Support!AW47*13))^S13_PSP_Species_Support!AX47))^0.976,0)+IFERROR(S13_PSP_Species_Support!BB47*0.0673*(S13_PSP_Species_Support!BC47*(S13_PSP_Species_Support!BD47*(1-EXP(-S13_PSP_Species_Support!BE47*13))^S13_PSP_Species_Support!BF47)^2*(S13_PSP_Species_Support!BG47*(1-EXP(-S13_PSP_Species_Support!BH47*13))^S13_PSP_Species_Support!BI47))^0.976,0)+IFERROR(S13_PSP_Species_Support!BM47*0.0673*(S13_PSP_Species_Support!BN47*(S13_PSP_Species_Support!BO47*(1-EXP(-S13_PSP_Species_Support!BP47*13))^S13_PSP_Species_Support!BQ47)^2*(S13_PSP_Species_Support!BR47*(1-EXP(-S13_PSP_Species_Support!BS47*13))^S13_PSP_Species_Support!BT47))^0.976,0)+IFERROR(S13_PSP_Species_Support!BX47*0.0673*(S13_PSP_Species_Support!BY47*(S13_PSP_Species_Support!BZ47*(1-EXP(-S13_PSP_Species_Support!CA47*13))^S13_PSP_Species_Support!CB47)^2*(S13_PSP_Species_Support!CC47*(1-EXP(-S13_PSP_Species_Support!CD47*13))^S13_PSP_Species_Support!CE47))^0.976,0)+IFERROR(S13_PSP_Species_Support!CI47*0.0673*(S13_PSP_Species_Support!CJ47*(S13_PSP_Species_Support!CK47*(1-EXP(-S13_PSP_Species_Support!CL47*13))^S13_PSP_Species_Support!CM47)^2*(S13_PSP_Species_Support!CN47*(1-EXP(-S13_PSP_Species_Support!CO47*13))^S13_PSP_Species_Support!CP47))^0.976,0)+IFERROR(S13_PSP_Species_Support!CT47*0.0673*(S13_PSP_Species_Support!CU47*(S13_PSP_Species_Support!CV47*(1-EXP(-S13_PSP_Species_Support!CW47*13))^S13_PSP_Species_Support!CX47)^2*(S13_PSP_Species_Support!CY47*(1-EXP(-S13_PSP_Species_Support!CZ47*13))^S13_PSP_Species_Support!DA47))^0.976,0))/1000/$G60*V$108,0)</x:f>
        <x:v>3413.652999569191</x:v>
      </x:c>
      <x:c r="W60" s="147" t="n">
        <x:f aca="0">IFERROR((IFERROR(S13_PSP_Species_Support!U47*0.0673*(S13_PSP_Species_Support!V47*(S13_PSP_Species_Support!W47*(1-EXP(-S13_PSP_Species_Support!X47*14))^S13_PSP_Species_Support!Y47)^2*(S13_PSP_Species_Support!Z47*(1-EXP(-S13_PSP_Species_Support!AA47*14))^S13_PSP_Species_Support!AB47))^0.976,0)+IFERROR(S13_PSP_Species_Support!AF47*0.0673*(S13_PSP_Species_Support!AG47*(S13_PSP_Species_Support!AH47*(1-EXP(-S13_PSP_Species_Support!AI47*14))^S13_PSP_Species_Support!AJ47)^2*(S13_PSP_Species_Support!AK47*(1-EXP(-S13_PSP_Species_Support!AL47*14))^S13_PSP_Species_Support!AM47))^0.976,0)+IFERROR(S13_PSP_Species_Support!AQ47*0.0673*(S13_PSP_Species_Support!AR47*(S13_PSP_Species_Support!AS47*(1-EXP(-S13_PSP_Species_Support!AT47*14))^S13_PSP_Species_Support!AU47)^2*(S13_PSP_Species_Support!AV47*(1-EXP(-S13_PSP_Species_Support!AW47*14))^S13_PSP_Species_Support!AX47))^0.976,0)+IFERROR(S13_PSP_Species_Support!BB47*0.0673*(S13_PSP_Species_Support!BC47*(S13_PSP_Species_Support!BD47*(1-EXP(-S13_PSP_Species_Support!BE47*14))^S13_PSP_Species_Support!BF47)^2*(S13_PSP_Species_Support!BG47*(1-EXP(-S13_PSP_Species_Support!BH47*14))^S13_PSP_Species_Support!BI47))^0.976,0)+IFERROR(S13_PSP_Species_Support!BM47*0.0673*(S13_PSP_Species_Support!BN47*(S13_PSP_Species_Support!BO47*(1-EXP(-S13_PSP_Species_Support!BP47*14))^S13_PSP_Species_Support!BQ47)^2*(S13_PSP_Species_Support!BR47*(1-EXP(-S13_PSP_Species_Support!BS47*14))^S13_PSP_Species_Support!BT47))^0.976,0)+IFERROR(S13_PSP_Species_Support!BX47*0.0673*(S13_PSP_Species_Support!BY47*(S13_PSP_Species_Support!BZ47*(1-EXP(-S13_PSP_Species_Support!CA47*14))^S13_PSP_Species_Support!CB47)^2*(S13_PSP_Species_Support!CC47*(1-EXP(-S13_PSP_Species_Support!CD47*14))^S13_PSP_Species_Support!CE47))^0.976,0)+IFERROR(S13_PSP_Species_Support!CI47*0.0673*(S13_PSP_Species_Support!CJ47*(S13_PSP_Species_Support!CK47*(1-EXP(-S13_PSP_Species_Support!CL47*14))^S13_PSP_Species_Support!CM47)^2*(S13_PSP_Species_Support!CN47*(1-EXP(-S13_PSP_Species_Support!CO47*14))^S13_PSP_Species_Support!CP47))^0.976,0)+IFERROR(S13_PSP_Species_Support!CT47*0.0673*(S13_PSP_Species_Support!CU47*(S13_PSP_Species_Support!CV47*(1-EXP(-S13_PSP_Species_Support!CW47*14))^S13_PSP_Species_Support!CX47)^2*(S13_PSP_Species_Support!CY47*(1-EXP(-S13_PSP_Species_Support!CZ47*14))^S13_PSP_Species_Support!DA47))^0.976,0))/1000/$G60*W$108,0)</x:f>
        <x:v>3660.874984109589</x:v>
      </x:c>
      <x:c r="X60" s="147" t="n">
        <x:f aca="0">IFERROR((IFERROR(S13_PSP_Species_Support!U47*0.0673*(S13_PSP_Species_Support!V47*(S13_PSP_Species_Support!W47*(1-EXP(-S13_PSP_Species_Support!X47*15))^S13_PSP_Species_Support!Y47)^2*(S13_PSP_Species_Support!Z47*(1-EXP(-S13_PSP_Species_Support!AA47*15))^S13_PSP_Species_Support!AB47))^0.976,0)+IFERROR(S13_PSP_Species_Support!AF47*0.0673*(S13_PSP_Species_Support!AG47*(S13_PSP_Species_Support!AH47*(1-EXP(-S13_PSP_Species_Support!AI47*15))^S13_PSP_Species_Support!AJ47)^2*(S13_PSP_Species_Support!AK47*(1-EXP(-S13_PSP_Species_Support!AL47*15))^S13_PSP_Species_Support!AM47))^0.976,0)+IFERROR(S13_PSP_Species_Support!AQ47*0.0673*(S13_PSP_Species_Support!AR47*(S13_PSP_Species_Support!AS47*(1-EXP(-S13_PSP_Species_Support!AT47*15))^S13_PSP_Species_Support!AU47)^2*(S13_PSP_Species_Support!AV47*(1-EXP(-S13_PSP_Species_Support!AW47*15))^S13_PSP_Species_Support!AX47))^0.976,0)+IFERROR(S13_PSP_Species_Support!BB47*0.0673*(S13_PSP_Species_Support!BC47*(S13_PSP_Species_Support!BD47*(1-EXP(-S13_PSP_Species_Support!BE47*15))^S13_PSP_Species_Support!BF47)^2*(S13_PSP_Species_Support!BG47*(1-EXP(-S13_PSP_Species_Support!BH47*15))^S13_PSP_Species_Support!BI47))^0.976,0)+IFERROR(S13_PSP_Species_Support!BM47*0.0673*(S13_PSP_Species_Support!BN47*(S13_PSP_Species_Support!BO47*(1-EXP(-S13_PSP_Species_Support!BP47*15))^S13_PSP_Species_Support!BQ47)^2*(S13_PSP_Species_Support!BR47*(1-EXP(-S13_PSP_Species_Support!BS47*15))^S13_PSP_Species_Support!BT47))^0.976,0)+IFERROR(S13_PSP_Species_Support!BX47*0.0673*(S13_PSP_Species_Support!BY47*(S13_PSP_Species_Support!BZ47*(1-EXP(-S13_PSP_Species_Support!CA47*15))^S13_PSP_Species_Support!CB47)^2*(S13_PSP_Species_Support!CC47*(1-EXP(-S13_PSP_Species_Support!CD47*15))^S13_PSP_Species_Support!CE47))^0.976,0)+IFERROR(S13_PSP_Species_Support!CI47*0.0673*(S13_PSP_Species_Support!CJ47*(S13_PSP_Species_Support!CK47*(1-EXP(-S13_PSP_Species_Support!CL47*15))^S13_PSP_Species_Support!CM47)^2*(S13_PSP_Species_Support!CN47*(1-EXP(-S13_PSP_Species_Support!CO47*15))^S13_PSP_Species_Support!CP47))^0.976,0)+IFERROR(S13_PSP_Species_Support!CT47*0.0673*(S13_PSP_Species_Support!CU47*(S13_PSP_Species_Support!CV47*(1-EXP(-S13_PSP_Species_Support!CW47*15))^S13_PSP_Species_Support!CX47)^2*(S13_PSP_Species_Support!CY47*(1-EXP(-S13_PSP_Species_Support!CZ47*15))^S13_PSP_Species_Support!DA47))^0.976,0))/1000/$G60*X$108,0)</x:f>
        <x:v>3879.402502449448</x:v>
      </x:c>
      <x:c r="Y60" s="147" t="n">
        <x:f aca="0">IFERROR((IFERROR(S13_PSP_Species_Support!U47*0.0673*(S13_PSP_Species_Support!V47*(S13_PSP_Species_Support!W47*(1-EXP(-S13_PSP_Species_Support!X47*16))^S13_PSP_Species_Support!Y47)^2*(S13_PSP_Species_Support!Z47*(1-EXP(-S13_PSP_Species_Support!AA47*16))^S13_PSP_Species_Support!AB47))^0.976,0)+IFERROR(S13_PSP_Species_Support!AF47*0.0673*(S13_PSP_Species_Support!AG47*(S13_PSP_Species_Support!AH47*(1-EXP(-S13_PSP_Species_Support!AI47*16))^S13_PSP_Species_Support!AJ47)^2*(S13_PSP_Species_Support!AK47*(1-EXP(-S13_PSP_Species_Support!AL47*16))^S13_PSP_Species_Support!AM47))^0.976,0)+IFERROR(S13_PSP_Species_Support!AQ47*0.0673*(S13_PSP_Species_Support!AR47*(S13_PSP_Species_Support!AS47*(1-EXP(-S13_PSP_Species_Support!AT47*16))^S13_PSP_Species_Support!AU47)^2*(S13_PSP_Species_Support!AV47*(1-EXP(-S13_PSP_Species_Support!AW47*16))^S13_PSP_Species_Support!AX47))^0.976,0)+IFERROR(S13_PSP_Species_Support!BB47*0.0673*(S13_PSP_Species_Support!BC47*(S13_PSP_Species_Support!BD47*(1-EXP(-S13_PSP_Species_Support!BE47*16))^S13_PSP_Species_Support!BF47)^2*(S13_PSP_Species_Support!BG47*(1-EXP(-S13_PSP_Species_Support!BH47*16))^S13_PSP_Species_Support!BI47))^0.976,0)+IFERROR(S13_PSP_Species_Support!BM47*0.0673*(S13_PSP_Species_Support!BN47*(S13_PSP_Species_Support!BO47*(1-EXP(-S13_PSP_Species_Support!BP47*16))^S13_PSP_Species_Support!BQ47)^2*(S13_PSP_Species_Support!BR47*(1-EXP(-S13_PSP_Species_Support!BS47*16))^S13_PSP_Species_Support!BT47))^0.976,0)+IFERROR(S13_PSP_Species_Support!BX47*0.0673*(S13_PSP_Species_Support!BY47*(S13_PSP_Species_Support!BZ47*(1-EXP(-S13_PSP_Species_Support!CA47*16))^S13_PSP_Species_Support!CB47)^2*(S13_PSP_Species_Support!CC47*(1-EXP(-S13_PSP_Species_Support!CD47*16))^S13_PSP_Species_Support!CE47))^0.976,0)+IFERROR(S13_PSP_Species_Support!CI47*0.0673*(S13_PSP_Species_Support!CJ47*(S13_PSP_Species_Support!CK47*(1-EXP(-S13_PSP_Species_Support!CL47*16))^S13_PSP_Species_Support!CM47)^2*(S13_PSP_Species_Support!CN47*(1-EXP(-S13_PSP_Species_Support!CO47*16))^S13_PSP_Species_Support!CP47))^0.976,0)+IFERROR(S13_PSP_Species_Support!CT47*0.0673*(S13_PSP_Species_Support!CU47*(S13_PSP_Species_Support!CV47*(1-EXP(-S13_PSP_Species_Support!CW47*16))^S13_PSP_Species_Support!CX47)^2*(S13_PSP_Species_Support!CY47*(1-EXP(-S13_PSP_Species_Support!CZ47*16))^S13_PSP_Species_Support!DA47))^0.976,0))/1000/$G60*Y$108,0)</x:f>
        <x:v>4071.0958674995973</x:v>
      </x:c>
      <x:c r="Z60" s="147" t="n">
        <x:f aca="0">IFERROR((IFERROR(S13_PSP_Species_Support!U47*0.0673*(S13_PSP_Species_Support!V47*(S13_PSP_Species_Support!W47*(1-EXP(-S13_PSP_Species_Support!X47*17))^S13_PSP_Species_Support!Y47)^2*(S13_PSP_Species_Support!Z47*(1-EXP(-S13_PSP_Species_Support!AA47*17))^S13_PSP_Species_Support!AB47))^0.976,0)+IFERROR(S13_PSP_Species_Support!AF47*0.0673*(S13_PSP_Species_Support!AG47*(S13_PSP_Species_Support!AH47*(1-EXP(-S13_PSP_Species_Support!AI47*17))^S13_PSP_Species_Support!AJ47)^2*(S13_PSP_Species_Support!AK47*(1-EXP(-S13_PSP_Species_Support!AL47*17))^S13_PSP_Species_Support!AM47))^0.976,0)+IFERROR(S13_PSP_Species_Support!AQ47*0.0673*(S13_PSP_Species_Support!AR47*(S13_PSP_Species_Support!AS47*(1-EXP(-S13_PSP_Species_Support!AT47*17))^S13_PSP_Species_Support!AU47)^2*(S13_PSP_Species_Support!AV47*(1-EXP(-S13_PSP_Species_Support!AW47*17))^S13_PSP_Species_Support!AX47))^0.976,0)+IFERROR(S13_PSP_Species_Support!BB47*0.0673*(S13_PSP_Species_Support!BC47*(S13_PSP_Species_Support!BD47*(1-EXP(-S13_PSP_Species_Support!BE47*17))^S13_PSP_Species_Support!BF47)^2*(S13_PSP_Species_Support!BG47*(1-EXP(-S13_PSP_Species_Support!BH47*17))^S13_PSP_Species_Support!BI47))^0.976,0)+IFERROR(S13_PSP_Species_Support!BM47*0.0673*(S13_PSP_Species_Support!BN47*(S13_PSP_Species_Support!BO47*(1-EXP(-S13_PSP_Species_Support!BP47*17))^S13_PSP_Species_Support!BQ47)^2*(S13_PSP_Species_Support!BR47*(1-EXP(-S13_PSP_Species_Support!BS47*17))^S13_PSP_Species_Support!BT47))^0.976,0)+IFERROR(S13_PSP_Species_Support!BX47*0.0673*(S13_PSP_Species_Support!BY47*(S13_PSP_Species_Support!BZ47*(1-EXP(-S13_PSP_Species_Support!CA47*17))^S13_PSP_Species_Support!CB47)^2*(S13_PSP_Species_Support!CC47*(1-EXP(-S13_PSP_Species_Support!CD47*17))^S13_PSP_Species_Support!CE47))^0.976,0)+IFERROR(S13_PSP_Species_Support!CI47*0.0673*(S13_PSP_Species_Support!CJ47*(S13_PSP_Species_Support!CK47*(1-EXP(-S13_PSP_Species_Support!CL47*17))^S13_PSP_Species_Support!CM47)^2*(S13_PSP_Species_Support!CN47*(1-EXP(-S13_PSP_Species_Support!CO47*17))^S13_PSP_Species_Support!CP47))^0.976,0)+IFERROR(S13_PSP_Species_Support!CT47*0.0673*(S13_PSP_Species_Support!CU47*(S13_PSP_Species_Support!CV47*(1-EXP(-S13_PSP_Species_Support!CW47*17))^S13_PSP_Species_Support!CX47)^2*(S13_PSP_Species_Support!CY47*(1-EXP(-S13_PSP_Species_Support!CZ47*17))^S13_PSP_Species_Support!DA47))^0.976,0))/1000/$G60*Z$108,0)</x:f>
        <x:v>4238.209932618839</x:v>
      </x:c>
      <x:c r="AA60" s="147" t="n">
        <x:f aca="0">IFERROR((IFERROR(S13_PSP_Species_Support!U47*0.0673*(S13_PSP_Species_Support!V47*(S13_PSP_Species_Support!W47*(1-EXP(-S13_PSP_Species_Support!X47*18))^S13_PSP_Species_Support!Y47)^2*(S13_PSP_Species_Support!Z47*(1-EXP(-S13_PSP_Species_Support!AA47*18))^S13_PSP_Species_Support!AB47))^0.976,0)+IFERROR(S13_PSP_Species_Support!AF47*0.0673*(S13_PSP_Species_Support!AG47*(S13_PSP_Species_Support!AH47*(1-EXP(-S13_PSP_Species_Support!AI47*18))^S13_PSP_Species_Support!AJ47)^2*(S13_PSP_Species_Support!AK47*(1-EXP(-S13_PSP_Species_Support!AL47*18))^S13_PSP_Species_Support!AM47))^0.976,0)+IFERROR(S13_PSP_Species_Support!AQ47*0.0673*(S13_PSP_Species_Support!AR47*(S13_PSP_Species_Support!AS47*(1-EXP(-S13_PSP_Species_Support!AT47*18))^S13_PSP_Species_Support!AU47)^2*(S13_PSP_Species_Support!AV47*(1-EXP(-S13_PSP_Species_Support!AW47*18))^S13_PSP_Species_Support!AX47))^0.976,0)+IFERROR(S13_PSP_Species_Support!BB47*0.0673*(S13_PSP_Species_Support!BC47*(S13_PSP_Species_Support!BD47*(1-EXP(-S13_PSP_Species_Support!BE47*18))^S13_PSP_Species_Support!BF47)^2*(S13_PSP_Species_Support!BG47*(1-EXP(-S13_PSP_Species_Support!BH47*18))^S13_PSP_Species_Support!BI47))^0.976,0)+IFERROR(S13_PSP_Species_Support!BM47*0.0673*(S13_PSP_Species_Support!BN47*(S13_PSP_Species_Support!BO47*(1-EXP(-S13_PSP_Species_Support!BP47*18))^S13_PSP_Species_Support!BQ47)^2*(S13_PSP_Species_Support!BR47*(1-EXP(-S13_PSP_Species_Support!BS47*18))^S13_PSP_Species_Support!BT47))^0.976,0)+IFERROR(S13_PSP_Species_Support!BX47*0.0673*(S13_PSP_Species_Support!BY47*(S13_PSP_Species_Support!BZ47*(1-EXP(-S13_PSP_Species_Support!CA47*18))^S13_PSP_Species_Support!CB47)^2*(S13_PSP_Species_Support!CC47*(1-EXP(-S13_PSP_Species_Support!CD47*18))^S13_PSP_Species_Support!CE47))^0.976,0)+IFERROR(S13_PSP_Species_Support!CI47*0.0673*(S13_PSP_Species_Support!CJ47*(S13_PSP_Species_Support!CK47*(1-EXP(-S13_PSP_Species_Support!CL47*18))^S13_PSP_Species_Support!CM47)^2*(S13_PSP_Species_Support!CN47*(1-EXP(-S13_PSP_Species_Support!CO47*18))^S13_PSP_Species_Support!CP47))^0.976,0)+IFERROR(S13_PSP_Species_Support!CT47*0.0673*(S13_PSP_Species_Support!CU47*(S13_PSP_Species_Support!CV47*(1-EXP(-S13_PSP_Species_Support!CW47*18))^S13_PSP_Species_Support!CX47)^2*(S13_PSP_Species_Support!CY47*(1-EXP(-S13_PSP_Species_Support!CZ47*18))^S13_PSP_Species_Support!DA47))^0.976,0))/1000/$G60*AA$108,0)</x:f>
        <x:v>4383.161239186064</x:v>
      </x:c>
      <x:c r="AB60" s="147" t="n">
        <x:f aca="0">IFERROR((IFERROR(S13_PSP_Species_Support!U47*0.0673*(S13_PSP_Species_Support!V47*(S13_PSP_Species_Support!W47*(1-EXP(-S13_PSP_Species_Support!X47*19))^S13_PSP_Species_Support!Y47)^2*(S13_PSP_Species_Support!Z47*(1-EXP(-S13_PSP_Species_Support!AA47*19))^S13_PSP_Species_Support!AB47))^0.976,0)+IFERROR(S13_PSP_Species_Support!AF47*0.0673*(S13_PSP_Species_Support!AG47*(S13_PSP_Species_Support!AH47*(1-EXP(-S13_PSP_Species_Support!AI47*19))^S13_PSP_Species_Support!AJ47)^2*(S13_PSP_Species_Support!AK47*(1-EXP(-S13_PSP_Species_Support!AL47*19))^S13_PSP_Species_Support!AM47))^0.976,0)+IFERROR(S13_PSP_Species_Support!AQ47*0.0673*(S13_PSP_Species_Support!AR47*(S13_PSP_Species_Support!AS47*(1-EXP(-S13_PSP_Species_Support!AT47*19))^S13_PSP_Species_Support!AU47)^2*(S13_PSP_Species_Support!AV47*(1-EXP(-S13_PSP_Species_Support!AW47*19))^S13_PSP_Species_Support!AX47))^0.976,0)+IFERROR(S13_PSP_Species_Support!BB47*0.0673*(S13_PSP_Species_Support!BC47*(S13_PSP_Species_Support!BD47*(1-EXP(-S13_PSP_Species_Support!BE47*19))^S13_PSP_Species_Support!BF47)^2*(S13_PSP_Species_Support!BG47*(1-EXP(-S13_PSP_Species_Support!BH47*19))^S13_PSP_Species_Support!BI47))^0.976,0)+IFERROR(S13_PSP_Species_Support!BM47*0.0673*(S13_PSP_Species_Support!BN47*(S13_PSP_Species_Support!BO47*(1-EXP(-S13_PSP_Species_Support!BP47*19))^S13_PSP_Species_Support!BQ47)^2*(S13_PSP_Species_Support!BR47*(1-EXP(-S13_PSP_Species_Support!BS47*19))^S13_PSP_Species_Support!BT47))^0.976,0)+IFERROR(S13_PSP_Species_Support!BX47*0.0673*(S13_PSP_Species_Support!BY47*(S13_PSP_Species_Support!BZ47*(1-EXP(-S13_PSP_Species_Support!CA47*19))^S13_PSP_Species_Support!CB47)^2*(S13_PSP_Species_Support!CC47*(1-EXP(-S13_PSP_Species_Support!CD47*19))^S13_PSP_Species_Support!CE47))^0.976,0)+IFERROR(S13_PSP_Species_Support!CI47*0.0673*(S13_PSP_Species_Support!CJ47*(S13_PSP_Species_Support!CK47*(1-EXP(-S13_PSP_Species_Support!CL47*19))^S13_PSP_Species_Support!CM47)^2*(S13_PSP_Species_Support!CN47*(1-EXP(-S13_PSP_Species_Support!CO47*19))^S13_PSP_Species_Support!CP47))^0.976,0)+IFERROR(S13_PSP_Species_Support!CT47*0.0673*(S13_PSP_Species_Support!CU47*(S13_PSP_Species_Support!CV47*(1-EXP(-S13_PSP_Species_Support!CW47*19))^S13_PSP_Species_Support!CX47)^2*(S13_PSP_Species_Support!CY47*(1-EXP(-S13_PSP_Species_Support!CZ47*19))^S13_PSP_Species_Support!DA47))^0.976,0))/1000/$G60*AB$108,0)</x:f>
        <x:v>4508.370395524054</x:v>
      </x:c>
      <x:c r="AC60" s="147" t="n">
        <x:f aca="0">IFERROR((IFERROR(S13_PSP_Species_Support!U47*0.0673*(S13_PSP_Species_Support!V47*(S13_PSP_Species_Support!W47*(1-EXP(-S13_PSP_Species_Support!X47*20))^S13_PSP_Species_Support!Y47)^2*(S13_PSP_Species_Support!Z47*(1-EXP(-S13_PSP_Species_Support!AA47*20))^S13_PSP_Species_Support!AB47))^0.976,0)+IFERROR(S13_PSP_Species_Support!AF47*0.0673*(S13_PSP_Species_Support!AG47*(S13_PSP_Species_Support!AH47*(1-EXP(-S13_PSP_Species_Support!AI47*20))^S13_PSP_Species_Support!AJ47)^2*(S13_PSP_Species_Support!AK47*(1-EXP(-S13_PSP_Species_Support!AL47*20))^S13_PSP_Species_Support!AM47))^0.976,0)+IFERROR(S13_PSP_Species_Support!AQ47*0.0673*(S13_PSP_Species_Support!AR47*(S13_PSP_Species_Support!AS47*(1-EXP(-S13_PSP_Species_Support!AT47*20))^S13_PSP_Species_Support!AU47)^2*(S13_PSP_Species_Support!AV47*(1-EXP(-S13_PSP_Species_Support!AW47*20))^S13_PSP_Species_Support!AX47))^0.976,0)+IFERROR(S13_PSP_Species_Support!BB47*0.0673*(S13_PSP_Species_Support!BC47*(S13_PSP_Species_Support!BD47*(1-EXP(-S13_PSP_Species_Support!BE47*20))^S13_PSP_Species_Support!BF47)^2*(S13_PSP_Species_Support!BG47*(1-EXP(-S13_PSP_Species_Support!BH47*20))^S13_PSP_Species_Support!BI47))^0.976,0)+IFERROR(S13_PSP_Species_Support!BM47*0.0673*(S13_PSP_Species_Support!BN47*(S13_PSP_Species_Support!BO47*(1-EXP(-S13_PSP_Species_Support!BP47*20))^S13_PSP_Species_Support!BQ47)^2*(S13_PSP_Species_Support!BR47*(1-EXP(-S13_PSP_Species_Support!BS47*20))^S13_PSP_Species_Support!BT47))^0.976,0)+IFERROR(S13_PSP_Species_Support!BX47*0.0673*(S13_PSP_Species_Support!BY47*(S13_PSP_Species_Support!BZ47*(1-EXP(-S13_PSP_Species_Support!CA47*20))^S13_PSP_Species_Support!CB47)^2*(S13_PSP_Species_Support!CC47*(1-EXP(-S13_PSP_Species_Support!CD47*20))^S13_PSP_Species_Support!CE47))^0.976,0)+IFERROR(S13_PSP_Species_Support!CI47*0.0673*(S13_PSP_Species_Support!CJ47*(S13_PSP_Species_Support!CK47*(1-EXP(-S13_PSP_Species_Support!CL47*20))^S13_PSP_Species_Support!CM47)^2*(S13_PSP_Species_Support!CN47*(1-EXP(-S13_PSP_Species_Support!CO47*20))^S13_PSP_Species_Support!CP47))^0.976,0)+IFERROR(S13_PSP_Species_Support!CT47*0.0673*(S13_PSP_Species_Support!CU47*(S13_PSP_Species_Support!CV47*(1-EXP(-S13_PSP_Species_Support!CW47*20))^S13_PSP_Species_Support!CX47)^2*(S13_PSP_Species_Support!CY47*(1-EXP(-S13_PSP_Species_Support!CZ47*20))^S13_PSP_Species_Support!DA47))^0.976,0))/1000/$G60*AC$108,0)</x:f>
        <x:v>4616.160960315098</x:v>
      </x:c>
      <x:c r="AD60" s="148" t="n">
        <x:f aca="0">IF(2020&lt;$F60,0,INDEX($I60:$AC60,1,2020-$F60+1))</x:f>
        <x:v>0</x:v>
      </x:c>
      <x:c r="AE60" s="148" t="n">
        <x:f aca="0">IF(2021&lt;$F60,0,INDEX($I60:$AC60,1,2021-$F60+1))</x:f>
        <x:v>5.720318406418361</x:v>
      </x:c>
      <x:c r="AF60" s="148" t="n">
        <x:f aca="0">IF(2022&lt;$F60,0,INDEX($I60:$AC60,1,2022-$F60+1))</x:f>
        <x:v>53.96825289201147</x:v>
      </x:c>
      <x:c r="AG60" s="148" t="n">
        <x:f aca="0">IF(2023&lt;$F60,0,INDEX($I60:$AC60,1,2023-$F60+1))</x:f>
        <x:v>178.61293476154103</x:v>
      </x:c>
      <x:c r="AH60" s="148" t="n">
        <x:f aca="0">IF(2024&lt;$F60,0,INDEX($I60:$AC60,1,2024-$F60+1))</x:f>
        <x:v>389.3376684657775</x:v>
      </x:c>
      <x:c r="AI60" s="148" t="n">
        <x:f aca="0">IF(2025&lt;$F60,0,INDEX($I60:$AC60,1,2025-$F60+1))</x:f>
        <x:v>674.1124472797318</x:v>
      </x:c>
      <x:c r="AJ60" s="148" t="n">
        <x:f aca="0">IF(2026&lt;$F60,0,INDEX($I60:$AC60,1,2026-$F60+1))</x:f>
        <x:v>1012.2239681601206</x:v>
      </x:c>
      <x:c r="AK60" s="148" t="n">
        <x:f aca="0">IF(2027&lt;$F60,0,INDEX($I60:$AC60,1,2027-$F60+1))</x:f>
        <x:v>1381.2476941428142</x:v>
      </x:c>
      <x:c r="AL60" s="148" t="n">
        <x:f aca="0">IF(2028&lt;$F60,0,INDEX($I60:$AC60,1,2028-$F60+1))</x:f>
        <x:v>1761.1897495520666</x:v>
      </x:c>
      <x:c r="AM60" s="148" t="n">
        <x:f aca="0">IF(2029&lt;$F60,0,INDEX($I60:$AC60,1,2029-$F60+1))</x:f>
        <x:v>2136.205637082426</x:v>
      </x:c>
      <x:c r="AN60" s="148" t="n">
        <x:f aca="0">IF(2030&lt;$F60,0,INDEX($I60:$AC60,1,2030-$F60+1))</x:f>
        <x:v>2494.87540996698</x:v>
      </x:c>
      <x:c r="AO60" s="148" t="n">
        <x:f aca="0">IF(2031&lt;$F60,0,INDEX($I60:$AC60,1,2031-$F60+1))</x:f>
        <x:v>2829.748076645198</x:v>
      </x:c>
      <x:c r="AP60" s="148" t="n">
        <x:f aca="0">IF(2032&lt;$F60,0,INDEX($I60:$AC60,1,2032-$F60+1))</x:f>
        <x:v>3136.5998417155865</x:v>
      </x:c>
      <x:c r="AQ60" s="148" t="n">
        <x:f aca="0">IF(2033&lt;$F60,0,INDEX($I60:$AC60,1,2033-$F60+1))</x:f>
        <x:v>3413.652999569191</x:v>
      </x:c>
      <x:c r="AR60" s="148" t="n">
        <x:f aca="0">IF(2034&lt;$F60,0,INDEX($I60:$AC60,1,2034-$F60+1))</x:f>
        <x:v>3660.874984109589</x:v>
      </x:c>
      <x:c r="AS60" s="148" t="n">
        <x:f aca="0">IF(2035&lt;$F60,0,INDEX($I60:$AC60,1,2035-$F60+1))</x:f>
        <x:v>3879.402502449448</x:v>
      </x:c>
      <x:c r="AT60" s="148" t="n">
        <x:f aca="0">IF(2036&lt;$F60,0,INDEX($I60:$AC60,1,2036-$F60+1))</x:f>
        <x:v>4071.0958674995973</x:v>
      </x:c>
      <x:c r="AU60" s="148" t="n">
        <x:f aca="0">IF(2037&lt;$F60,0,INDEX($I60:$AC60,1,2037-$F60+1))</x:f>
        <x:v>4238.209932618839</x:v>
      </x:c>
      <x:c r="AV60" s="148" t="n">
        <x:f aca="0">IF(2038&lt;$F60,0,INDEX($I60:$AC60,1,2038-$F60+1))</x:f>
        <x:v>4383.161239186064</x:v>
      </x:c>
      <x:c r="AW60" s="148" t="n">
        <x:f aca="0">IF(2039&lt;$F60,0,INDEX($I60:$AC60,1,2039-$F60+1))</x:f>
        <x:v>4508.370395524054</x:v>
      </x:c>
      <x:c r="AX60" s="148" t="n">
        <x:f aca="0">IF(2040&lt;$F60,0,INDEX($I60:$AC60,1,2040-$F60+1))</x:f>
        <x:v>4616.160960315098</x:v>
      </x:c>
      <x:c r="AY60" s="1" t="str">
        <x:f aca="0">LEFT($C60,FIND("@",SUBSTITUTE($C60,"|","@",2))-1)</x:f>
        <x:v>Timber Plantation|High</x:v>
      </x:c>
      <x:c r="AZ60" s="1" t="str">
        <x:f aca="0">LEFT($C60,FIND("|",$C60)-1)</x:f>
        <x:v>Timber Plantation</x:v>
      </x:c>
      <x:c r="BA60" s="149" t="n">
        <x:f aca="0">I60*I60</x:f>
        <x:v>0</x:v>
      </x:c>
      <x:c r="BB60" s="149" t="n">
        <x:f aca="0">J60*J60</x:f>
        <x:v>32.7220426708087</x:v>
      </x:c>
      <x:c r="BC60" s="149" t="n">
        <x:f aca="0">K60*K60</x:f>
        <x:v>2912.5723202161043</x:v>
      </x:c>
      <x:c r="BD60" s="149" t="n">
        <x:f aca="0">L60*L60</x:f>
        <x:v>31902.58046413051</x:v>
      </x:c>
      <x:c r="BE60" s="149" t="n">
        <x:f aca="0">M60*M60</x:f>
        <x:v>151583.82008636766</x:v>
      </x:c>
      <x:c r="BF60" s="149" t="n">
        <x:f aca="0">N60*N60</x:f>
        <x:v>454427.59157746914</x:v>
      </x:c>
      <x:c r="BG60" s="149" t="n">
        <x:f aca="0">O60*O60</x:f>
        <x:v>1024597.361717821</x:v>
      </x:c>
      <x:c r="BH60" s="149" t="n">
        <x:f aca="0">P60*P60</x:f>
        <x:v>1907845.1925748412</x:v>
      </x:c>
      <x:c r="BI60" s="149" t="n">
        <x:f aca="0">Q60*Q60</x:f>
        <x:v>3101789.333927271</x:v>
      </x:c>
      <x:c r="BJ60" s="149" t="n">
        <x:f aca="0">R60*R60</x:f>
        <x:v>4563374.523902734</x:v>
      </x:c>
      <x:c r="BK60" s="149" t="n">
        <x:f aca="0">S60*S60</x:f>
        <x:v>6224403.311257906</x:v>
      </x:c>
      <x:c r="BL60" s="149" t="n">
        <x:f aca="0">T60*T60</x:f>
        <x:v>8007474.177277198</x:v>
      </x:c>
      <x:c r="BM60" s="149" t="n">
        <x:f aca="0">U60*U60</x:f>
        <x:v>9838258.567050243</x:v>
      </x:c>
      <x:c r="BN60" s="149" t="n">
        <x:f aca="0">V60*V60</x:f>
        <x:v>11653026.801467733</x:v>
      </x:c>
      <x:c r="BO60" s="149" t="n">
        <x:f aca="0">W60*W60</x:f>
        <x:v>13402005.649279384</x:v>
      </x:c>
      <x:c r="BP60" s="149" t="n">
        <x:f aca="0">X60*X60</x:f>
        <x:v>15049763.77601104</x:v>
      </x:c>
      <x:c r="BQ60" s="149" t="n">
        <x:f aca="0">Y60*Y60</x:f>
        <x:v>16573821.562372299</x:v>
      </x:c>
      <x:c r="BR60" s="149" t="n">
        <x:f aca="0">Z60*Z60</x:f>
        <x:v>17962423.432948984</x:v>
      </x:c>
      <x:c r="BS60" s="149" t="n">
        <x:f aca="0">AA60*AA60</x:f>
        <x:v>19212102.448703118</x:v>
      </x:c>
      <x:c r="BT60" s="149" t="n">
        <x:f aca="0">AB60*AB60</x:f>
        <x:v>20325403.623237718</x:v>
      </x:c>
      <x:c r="BU60" s="149" t="n">
        <x:f aca="0">AC60*AC60</x:f>
        <x:v>21308942.01153721</x:v>
      </x:c>
    </x:row>
    <x:row r="61" ht="15" hidden="0" customHeight="1">
      <x:c r="A61" s="1" t="str">
        <x:f aca="0">S13_PSP_Species_Support!A48</x:f>
        <x:v>PSP-TP-007</x:v>
      </x:c>
      <x:c r="B61" s="1" t="n">
        <x:f aca="0">48</x:f>
        <x:v>48</x:v>
      </x:c>
      <x:c r="C61" s="1" t="str">
        <x:f aca="0">S13_PSP_Species_Support!I48</x:f>
        <x:v>Timber Plantation|High|2020</x:v>
      </x:c>
      <x:c r="D61" s="1" t="str">
        <x:f aca="0">S13_PSP_Species_Support!C48</x:f>
        <x:v>Timber Plantation</x:v>
      </x:c>
      <x:c r="E61" s="1" t="str">
        <x:f aca="0">S13_PSP_Species_Support!D48</x:f>
        <x:v>High</x:v>
      </x:c>
      <x:c r="F61" s="1" t="n">
        <x:f aca="0">S13_PSP_Species_Support!E48</x:f>
        <x:v>2020</x:v>
      </x:c>
      <x:c r="G61" s="645" t="n">
        <x:f aca="0">'S13_PSP_Species_Support'!DJ48</x:f>
        <x:v>0.09</x:v>
      </x:c>
      <x:c r="H61" s="714" t="n">
        <x:f aca="0">'S13_PSP_Species_Support'!DK48</x:f>
        <x:v>201.56145438322554</x:v>
      </x:c>
      <x:c r="I61" s="147" t="n">
        <x:f aca="0">IFERROR((IFERROR(S13_PSP_Species_Support!U48*0.0673*(S13_PSP_Species_Support!V48*(S13_PSP_Species_Support!W48*(1-EXP(-S13_PSP_Species_Support!X48*0))^S13_PSP_Species_Support!Y48)^2*(S13_PSP_Species_Support!Z48*(1-EXP(-S13_PSP_Species_Support!AA48*0))^S13_PSP_Species_Support!AB48))^0.976,0)+IFERROR(S13_PSP_Species_Support!AF48*0.0673*(S13_PSP_Species_Support!AG48*(S13_PSP_Species_Support!AH48*(1-EXP(-S13_PSP_Species_Support!AI48*0))^S13_PSP_Species_Support!AJ48)^2*(S13_PSP_Species_Support!AK48*(1-EXP(-S13_PSP_Species_Support!AL48*0))^S13_PSP_Species_Support!AM48))^0.976,0)+IFERROR(S13_PSP_Species_Support!AQ48*0.0673*(S13_PSP_Species_Support!AR48*(S13_PSP_Species_Support!AS48*(1-EXP(-S13_PSP_Species_Support!AT48*0))^S13_PSP_Species_Support!AU48)^2*(S13_PSP_Species_Support!AV48*(1-EXP(-S13_PSP_Species_Support!AW48*0))^S13_PSP_Species_Support!AX48))^0.976,0)+IFERROR(S13_PSP_Species_Support!BB48*0.0673*(S13_PSP_Species_Support!BC48*(S13_PSP_Species_Support!BD48*(1-EXP(-S13_PSP_Species_Support!BE48*0))^S13_PSP_Species_Support!BF48)^2*(S13_PSP_Species_Support!BG48*(1-EXP(-S13_PSP_Species_Support!BH48*0))^S13_PSP_Species_Support!BI48))^0.976,0)+IFERROR(S13_PSP_Species_Support!BM48*0.0673*(S13_PSP_Species_Support!BN48*(S13_PSP_Species_Support!BO48*(1-EXP(-S13_PSP_Species_Support!BP48*0))^S13_PSP_Species_Support!BQ48)^2*(S13_PSP_Species_Support!BR48*(1-EXP(-S13_PSP_Species_Support!BS48*0))^S13_PSP_Species_Support!BT48))^0.976,0)+IFERROR(S13_PSP_Species_Support!BX48*0.0673*(S13_PSP_Species_Support!BY48*(S13_PSP_Species_Support!BZ48*(1-EXP(-S13_PSP_Species_Support!CA48*0))^S13_PSP_Species_Support!CB48)^2*(S13_PSP_Species_Support!CC48*(1-EXP(-S13_PSP_Species_Support!CD48*0))^S13_PSP_Species_Support!CE48))^0.976,0)+IFERROR(S13_PSP_Species_Support!CI48*0.0673*(S13_PSP_Species_Support!CJ48*(S13_PSP_Species_Support!CK48*(1-EXP(-S13_PSP_Species_Support!CL48*0))^S13_PSP_Species_Support!CM48)^2*(S13_PSP_Species_Support!CN48*(1-EXP(-S13_PSP_Species_Support!CO48*0))^S13_PSP_Species_Support!CP48))^0.976,0)+IFERROR(S13_PSP_Species_Support!CT48*0.0673*(S13_PSP_Species_Support!CU48*(S13_PSP_Species_Support!CV48*(1-EXP(-S13_PSP_Species_Support!CW48*0))^S13_PSP_Species_Support!CX48)^2*(S13_PSP_Species_Support!CY48*(1-EXP(-S13_PSP_Species_Support!CZ48*0))^S13_PSP_Species_Support!DA48))^0.976,0))/1000/$G61*I$108,0)</x:f>
        <x:v>0</x:v>
      </x:c>
      <x:c r="J61" s="147" t="n">
        <x:f aca="0">IFERROR((IFERROR(S13_PSP_Species_Support!U48*0.0673*(S13_PSP_Species_Support!V48*(S13_PSP_Species_Support!W48*(1-EXP(-S13_PSP_Species_Support!X48*1))^S13_PSP_Species_Support!Y48)^2*(S13_PSP_Species_Support!Z48*(1-EXP(-S13_PSP_Species_Support!AA48*1))^S13_PSP_Species_Support!AB48))^0.976,0)+IFERROR(S13_PSP_Species_Support!AF48*0.0673*(S13_PSP_Species_Support!AG48*(S13_PSP_Species_Support!AH48*(1-EXP(-S13_PSP_Species_Support!AI48*1))^S13_PSP_Species_Support!AJ48)^2*(S13_PSP_Species_Support!AK48*(1-EXP(-S13_PSP_Species_Support!AL48*1))^S13_PSP_Species_Support!AM48))^0.976,0)+IFERROR(S13_PSP_Species_Support!AQ48*0.0673*(S13_PSP_Species_Support!AR48*(S13_PSP_Species_Support!AS48*(1-EXP(-S13_PSP_Species_Support!AT48*1))^S13_PSP_Species_Support!AU48)^2*(S13_PSP_Species_Support!AV48*(1-EXP(-S13_PSP_Species_Support!AW48*1))^S13_PSP_Species_Support!AX48))^0.976,0)+IFERROR(S13_PSP_Species_Support!BB48*0.0673*(S13_PSP_Species_Support!BC48*(S13_PSP_Species_Support!BD48*(1-EXP(-S13_PSP_Species_Support!BE48*1))^S13_PSP_Species_Support!BF48)^2*(S13_PSP_Species_Support!BG48*(1-EXP(-S13_PSP_Species_Support!BH48*1))^S13_PSP_Species_Support!BI48))^0.976,0)+IFERROR(S13_PSP_Species_Support!BM48*0.0673*(S13_PSP_Species_Support!BN48*(S13_PSP_Species_Support!BO48*(1-EXP(-S13_PSP_Species_Support!BP48*1))^S13_PSP_Species_Support!BQ48)^2*(S13_PSP_Species_Support!BR48*(1-EXP(-S13_PSP_Species_Support!BS48*1))^S13_PSP_Species_Support!BT48))^0.976,0)+IFERROR(S13_PSP_Species_Support!BX48*0.0673*(S13_PSP_Species_Support!BY48*(S13_PSP_Species_Support!BZ48*(1-EXP(-S13_PSP_Species_Support!CA48*1))^S13_PSP_Species_Support!CB48)^2*(S13_PSP_Species_Support!CC48*(1-EXP(-S13_PSP_Species_Support!CD48*1))^S13_PSP_Species_Support!CE48))^0.976,0)+IFERROR(S13_PSP_Species_Support!CI48*0.0673*(S13_PSP_Species_Support!CJ48*(S13_PSP_Species_Support!CK48*(1-EXP(-S13_PSP_Species_Support!CL48*1))^S13_PSP_Species_Support!CM48)^2*(S13_PSP_Species_Support!CN48*(1-EXP(-S13_PSP_Species_Support!CO48*1))^S13_PSP_Species_Support!CP48))^0.976,0)+IFERROR(S13_PSP_Species_Support!CT48*0.0673*(S13_PSP_Species_Support!CU48*(S13_PSP_Species_Support!CV48*(1-EXP(-S13_PSP_Species_Support!CW48*1))^S13_PSP_Species_Support!CX48)^2*(S13_PSP_Species_Support!CY48*(1-EXP(-S13_PSP_Species_Support!CZ48*1))^S13_PSP_Species_Support!DA48))^0.976,0))/1000/$G61*J$108,0)</x:f>
        <x:v>5.252535955427289</x:v>
      </x:c>
      <x:c r="K61" s="147" t="n">
        <x:f aca="0">IFERROR((IFERROR(S13_PSP_Species_Support!U48*0.0673*(S13_PSP_Species_Support!V48*(S13_PSP_Species_Support!W48*(1-EXP(-S13_PSP_Species_Support!X48*2))^S13_PSP_Species_Support!Y48)^2*(S13_PSP_Species_Support!Z48*(1-EXP(-S13_PSP_Species_Support!AA48*2))^S13_PSP_Species_Support!AB48))^0.976,0)+IFERROR(S13_PSP_Species_Support!AF48*0.0673*(S13_PSP_Species_Support!AG48*(S13_PSP_Species_Support!AH48*(1-EXP(-S13_PSP_Species_Support!AI48*2))^S13_PSP_Species_Support!AJ48)^2*(S13_PSP_Species_Support!AK48*(1-EXP(-S13_PSP_Species_Support!AL48*2))^S13_PSP_Species_Support!AM48))^0.976,0)+IFERROR(S13_PSP_Species_Support!AQ48*0.0673*(S13_PSP_Species_Support!AR48*(S13_PSP_Species_Support!AS48*(1-EXP(-S13_PSP_Species_Support!AT48*2))^S13_PSP_Species_Support!AU48)^2*(S13_PSP_Species_Support!AV48*(1-EXP(-S13_PSP_Species_Support!AW48*2))^S13_PSP_Species_Support!AX48))^0.976,0)+IFERROR(S13_PSP_Species_Support!BB48*0.0673*(S13_PSP_Species_Support!BC48*(S13_PSP_Species_Support!BD48*(1-EXP(-S13_PSP_Species_Support!BE48*2))^S13_PSP_Species_Support!BF48)^2*(S13_PSP_Species_Support!BG48*(1-EXP(-S13_PSP_Species_Support!BH48*2))^S13_PSP_Species_Support!BI48))^0.976,0)+IFERROR(S13_PSP_Species_Support!BM48*0.0673*(S13_PSP_Species_Support!BN48*(S13_PSP_Species_Support!BO48*(1-EXP(-S13_PSP_Species_Support!BP48*2))^S13_PSP_Species_Support!BQ48)^2*(S13_PSP_Species_Support!BR48*(1-EXP(-S13_PSP_Species_Support!BS48*2))^S13_PSP_Species_Support!BT48))^0.976,0)+IFERROR(S13_PSP_Species_Support!BX48*0.0673*(S13_PSP_Species_Support!BY48*(S13_PSP_Species_Support!BZ48*(1-EXP(-S13_PSP_Species_Support!CA48*2))^S13_PSP_Species_Support!CB48)^2*(S13_PSP_Species_Support!CC48*(1-EXP(-S13_PSP_Species_Support!CD48*2))^S13_PSP_Species_Support!CE48))^0.976,0)+IFERROR(S13_PSP_Species_Support!CI48*0.0673*(S13_PSP_Species_Support!CJ48*(S13_PSP_Species_Support!CK48*(1-EXP(-S13_PSP_Species_Support!CL48*2))^S13_PSP_Species_Support!CM48)^2*(S13_PSP_Species_Support!CN48*(1-EXP(-S13_PSP_Species_Support!CO48*2))^S13_PSP_Species_Support!CP48))^0.976,0)+IFERROR(S13_PSP_Species_Support!CT48*0.0673*(S13_PSP_Species_Support!CU48*(S13_PSP_Species_Support!CV48*(1-EXP(-S13_PSP_Species_Support!CW48*2))^S13_PSP_Species_Support!CX48)^2*(S13_PSP_Species_Support!CY48*(1-EXP(-S13_PSP_Species_Support!CZ48*2))^S13_PSP_Species_Support!DA48))^0.976,0))/1000/$G61*K$108,0)</x:f>
        <x:v>49.55496680898417</x:v>
      </x:c>
      <x:c r="L61" s="147" t="n">
        <x:f aca="0">IFERROR((IFERROR(S13_PSP_Species_Support!U48*0.0673*(S13_PSP_Species_Support!V48*(S13_PSP_Species_Support!W48*(1-EXP(-S13_PSP_Species_Support!X48*3))^S13_PSP_Species_Support!Y48)^2*(S13_PSP_Species_Support!Z48*(1-EXP(-S13_PSP_Species_Support!AA48*3))^S13_PSP_Species_Support!AB48))^0.976,0)+IFERROR(S13_PSP_Species_Support!AF48*0.0673*(S13_PSP_Species_Support!AG48*(S13_PSP_Species_Support!AH48*(1-EXP(-S13_PSP_Species_Support!AI48*3))^S13_PSP_Species_Support!AJ48)^2*(S13_PSP_Species_Support!AK48*(1-EXP(-S13_PSP_Species_Support!AL48*3))^S13_PSP_Species_Support!AM48))^0.976,0)+IFERROR(S13_PSP_Species_Support!AQ48*0.0673*(S13_PSP_Species_Support!AR48*(S13_PSP_Species_Support!AS48*(1-EXP(-S13_PSP_Species_Support!AT48*3))^S13_PSP_Species_Support!AU48)^2*(S13_PSP_Species_Support!AV48*(1-EXP(-S13_PSP_Species_Support!AW48*3))^S13_PSP_Species_Support!AX48))^0.976,0)+IFERROR(S13_PSP_Species_Support!BB48*0.0673*(S13_PSP_Species_Support!BC48*(S13_PSP_Species_Support!BD48*(1-EXP(-S13_PSP_Species_Support!BE48*3))^S13_PSP_Species_Support!BF48)^2*(S13_PSP_Species_Support!BG48*(1-EXP(-S13_PSP_Species_Support!BH48*3))^S13_PSP_Species_Support!BI48))^0.976,0)+IFERROR(S13_PSP_Species_Support!BM48*0.0673*(S13_PSP_Species_Support!BN48*(S13_PSP_Species_Support!BO48*(1-EXP(-S13_PSP_Species_Support!BP48*3))^S13_PSP_Species_Support!BQ48)^2*(S13_PSP_Species_Support!BR48*(1-EXP(-S13_PSP_Species_Support!BS48*3))^S13_PSP_Species_Support!BT48))^0.976,0)+IFERROR(S13_PSP_Species_Support!BX48*0.0673*(S13_PSP_Species_Support!BY48*(S13_PSP_Species_Support!BZ48*(1-EXP(-S13_PSP_Species_Support!CA48*3))^S13_PSP_Species_Support!CB48)^2*(S13_PSP_Species_Support!CC48*(1-EXP(-S13_PSP_Species_Support!CD48*3))^S13_PSP_Species_Support!CE48))^0.976,0)+IFERROR(S13_PSP_Species_Support!CI48*0.0673*(S13_PSP_Species_Support!CJ48*(S13_PSP_Species_Support!CK48*(1-EXP(-S13_PSP_Species_Support!CL48*3))^S13_PSP_Species_Support!CM48)^2*(S13_PSP_Species_Support!CN48*(1-EXP(-S13_PSP_Species_Support!CO48*3))^S13_PSP_Species_Support!CP48))^0.976,0)+IFERROR(S13_PSP_Species_Support!CT48*0.0673*(S13_PSP_Species_Support!CU48*(S13_PSP_Species_Support!CV48*(1-EXP(-S13_PSP_Species_Support!CW48*3))^S13_PSP_Species_Support!CX48)^2*(S13_PSP_Species_Support!CY48*(1-EXP(-S13_PSP_Species_Support!CZ48*3))^S13_PSP_Species_Support!DA48))^0.976,0))/1000/$G61*L$108,0)</x:f>
        <x:v>164.00675544332086</x:v>
      </x:c>
      <x:c r="M61" s="147" t="n">
        <x:f aca="0">IFERROR((IFERROR(S13_PSP_Species_Support!U48*0.0673*(S13_PSP_Species_Support!V48*(S13_PSP_Species_Support!W48*(1-EXP(-S13_PSP_Species_Support!X48*4))^S13_PSP_Species_Support!Y48)^2*(S13_PSP_Species_Support!Z48*(1-EXP(-S13_PSP_Species_Support!AA48*4))^S13_PSP_Species_Support!AB48))^0.976,0)+IFERROR(S13_PSP_Species_Support!AF48*0.0673*(S13_PSP_Species_Support!AG48*(S13_PSP_Species_Support!AH48*(1-EXP(-S13_PSP_Species_Support!AI48*4))^S13_PSP_Species_Support!AJ48)^2*(S13_PSP_Species_Support!AK48*(1-EXP(-S13_PSP_Species_Support!AL48*4))^S13_PSP_Species_Support!AM48))^0.976,0)+IFERROR(S13_PSP_Species_Support!AQ48*0.0673*(S13_PSP_Species_Support!AR48*(S13_PSP_Species_Support!AS48*(1-EXP(-S13_PSP_Species_Support!AT48*4))^S13_PSP_Species_Support!AU48)^2*(S13_PSP_Species_Support!AV48*(1-EXP(-S13_PSP_Species_Support!AW48*4))^S13_PSP_Species_Support!AX48))^0.976,0)+IFERROR(S13_PSP_Species_Support!BB48*0.0673*(S13_PSP_Species_Support!BC48*(S13_PSP_Species_Support!BD48*(1-EXP(-S13_PSP_Species_Support!BE48*4))^S13_PSP_Species_Support!BF48)^2*(S13_PSP_Species_Support!BG48*(1-EXP(-S13_PSP_Species_Support!BH48*4))^S13_PSP_Species_Support!BI48))^0.976,0)+IFERROR(S13_PSP_Species_Support!BM48*0.0673*(S13_PSP_Species_Support!BN48*(S13_PSP_Species_Support!BO48*(1-EXP(-S13_PSP_Species_Support!BP48*4))^S13_PSP_Species_Support!BQ48)^2*(S13_PSP_Species_Support!BR48*(1-EXP(-S13_PSP_Species_Support!BS48*4))^S13_PSP_Species_Support!BT48))^0.976,0)+IFERROR(S13_PSP_Species_Support!BX48*0.0673*(S13_PSP_Species_Support!BY48*(S13_PSP_Species_Support!BZ48*(1-EXP(-S13_PSP_Species_Support!CA48*4))^S13_PSP_Species_Support!CB48)^2*(S13_PSP_Species_Support!CC48*(1-EXP(-S13_PSP_Species_Support!CD48*4))^S13_PSP_Species_Support!CE48))^0.976,0)+IFERROR(S13_PSP_Species_Support!CI48*0.0673*(S13_PSP_Species_Support!CJ48*(S13_PSP_Species_Support!CK48*(1-EXP(-S13_PSP_Species_Support!CL48*4))^S13_PSP_Species_Support!CM48)^2*(S13_PSP_Species_Support!CN48*(1-EXP(-S13_PSP_Species_Support!CO48*4))^S13_PSP_Species_Support!CP48))^0.976,0)+IFERROR(S13_PSP_Species_Support!CT48*0.0673*(S13_PSP_Species_Support!CU48*(S13_PSP_Species_Support!CV48*(1-EXP(-S13_PSP_Species_Support!CW48*4))^S13_PSP_Species_Support!CX48)^2*(S13_PSP_Species_Support!CY48*(1-EXP(-S13_PSP_Species_Support!CZ48*4))^S13_PSP_Species_Support!DA48))^0.976,0))/1000/$G61*M$108,0)</x:f>
        <x:v>357.4993483097315</x:v>
      </x:c>
      <x:c r="N61" s="147" t="n">
        <x:f aca="0">IFERROR((IFERROR(S13_PSP_Species_Support!U48*0.0673*(S13_PSP_Species_Support!V48*(S13_PSP_Species_Support!W48*(1-EXP(-S13_PSP_Species_Support!X48*5))^S13_PSP_Species_Support!Y48)^2*(S13_PSP_Species_Support!Z48*(1-EXP(-S13_PSP_Species_Support!AA48*5))^S13_PSP_Species_Support!AB48))^0.976,0)+IFERROR(S13_PSP_Species_Support!AF48*0.0673*(S13_PSP_Species_Support!AG48*(S13_PSP_Species_Support!AH48*(1-EXP(-S13_PSP_Species_Support!AI48*5))^S13_PSP_Species_Support!AJ48)^2*(S13_PSP_Species_Support!AK48*(1-EXP(-S13_PSP_Species_Support!AL48*5))^S13_PSP_Species_Support!AM48))^0.976,0)+IFERROR(S13_PSP_Species_Support!AQ48*0.0673*(S13_PSP_Species_Support!AR48*(S13_PSP_Species_Support!AS48*(1-EXP(-S13_PSP_Species_Support!AT48*5))^S13_PSP_Species_Support!AU48)^2*(S13_PSP_Species_Support!AV48*(1-EXP(-S13_PSP_Species_Support!AW48*5))^S13_PSP_Species_Support!AX48))^0.976,0)+IFERROR(S13_PSP_Species_Support!BB48*0.0673*(S13_PSP_Species_Support!BC48*(S13_PSP_Species_Support!BD48*(1-EXP(-S13_PSP_Species_Support!BE48*5))^S13_PSP_Species_Support!BF48)^2*(S13_PSP_Species_Support!BG48*(1-EXP(-S13_PSP_Species_Support!BH48*5))^S13_PSP_Species_Support!BI48))^0.976,0)+IFERROR(S13_PSP_Species_Support!BM48*0.0673*(S13_PSP_Species_Support!BN48*(S13_PSP_Species_Support!BO48*(1-EXP(-S13_PSP_Species_Support!BP48*5))^S13_PSP_Species_Support!BQ48)^2*(S13_PSP_Species_Support!BR48*(1-EXP(-S13_PSP_Species_Support!BS48*5))^S13_PSP_Species_Support!BT48))^0.976,0)+IFERROR(S13_PSP_Species_Support!BX48*0.0673*(S13_PSP_Species_Support!BY48*(S13_PSP_Species_Support!BZ48*(1-EXP(-S13_PSP_Species_Support!CA48*5))^S13_PSP_Species_Support!CB48)^2*(S13_PSP_Species_Support!CC48*(1-EXP(-S13_PSP_Species_Support!CD48*5))^S13_PSP_Species_Support!CE48))^0.976,0)+IFERROR(S13_PSP_Species_Support!CI48*0.0673*(S13_PSP_Species_Support!CJ48*(S13_PSP_Species_Support!CK48*(1-EXP(-S13_PSP_Species_Support!CL48*5))^S13_PSP_Species_Support!CM48)^2*(S13_PSP_Species_Support!CN48*(1-EXP(-S13_PSP_Species_Support!CO48*5))^S13_PSP_Species_Support!CP48))^0.976,0)+IFERROR(S13_PSP_Species_Support!CT48*0.0673*(S13_PSP_Species_Support!CU48*(S13_PSP_Species_Support!CV48*(1-EXP(-S13_PSP_Species_Support!CW48*5))^S13_PSP_Species_Support!CX48)^2*(S13_PSP_Species_Support!CY48*(1-EXP(-S13_PSP_Species_Support!CZ48*5))^S13_PSP_Species_Support!DA48))^0.976,0))/1000/$G61*N$108,0)</x:f>
        <x:v>618.9864996614518</x:v>
      </x:c>
      <x:c r="O61" s="147" t="n">
        <x:f aca="0">IFERROR((IFERROR(S13_PSP_Species_Support!U48*0.0673*(S13_PSP_Species_Support!V48*(S13_PSP_Species_Support!W48*(1-EXP(-S13_PSP_Species_Support!X48*6))^S13_PSP_Species_Support!Y48)^2*(S13_PSP_Species_Support!Z48*(1-EXP(-S13_PSP_Species_Support!AA48*6))^S13_PSP_Species_Support!AB48))^0.976,0)+IFERROR(S13_PSP_Species_Support!AF48*0.0673*(S13_PSP_Species_Support!AG48*(S13_PSP_Species_Support!AH48*(1-EXP(-S13_PSP_Species_Support!AI48*6))^S13_PSP_Species_Support!AJ48)^2*(S13_PSP_Species_Support!AK48*(1-EXP(-S13_PSP_Species_Support!AL48*6))^S13_PSP_Species_Support!AM48))^0.976,0)+IFERROR(S13_PSP_Species_Support!AQ48*0.0673*(S13_PSP_Species_Support!AR48*(S13_PSP_Species_Support!AS48*(1-EXP(-S13_PSP_Species_Support!AT48*6))^S13_PSP_Species_Support!AU48)^2*(S13_PSP_Species_Support!AV48*(1-EXP(-S13_PSP_Species_Support!AW48*6))^S13_PSP_Species_Support!AX48))^0.976,0)+IFERROR(S13_PSP_Species_Support!BB48*0.0673*(S13_PSP_Species_Support!BC48*(S13_PSP_Species_Support!BD48*(1-EXP(-S13_PSP_Species_Support!BE48*6))^S13_PSP_Species_Support!BF48)^2*(S13_PSP_Species_Support!BG48*(1-EXP(-S13_PSP_Species_Support!BH48*6))^S13_PSP_Species_Support!BI48))^0.976,0)+IFERROR(S13_PSP_Species_Support!BM48*0.0673*(S13_PSP_Species_Support!BN48*(S13_PSP_Species_Support!BO48*(1-EXP(-S13_PSP_Species_Support!BP48*6))^S13_PSP_Species_Support!BQ48)^2*(S13_PSP_Species_Support!BR48*(1-EXP(-S13_PSP_Species_Support!BS48*6))^S13_PSP_Species_Support!BT48))^0.976,0)+IFERROR(S13_PSP_Species_Support!BX48*0.0673*(S13_PSP_Species_Support!BY48*(S13_PSP_Species_Support!BZ48*(1-EXP(-S13_PSP_Species_Support!CA48*6))^S13_PSP_Species_Support!CB48)^2*(S13_PSP_Species_Support!CC48*(1-EXP(-S13_PSP_Species_Support!CD48*6))^S13_PSP_Species_Support!CE48))^0.976,0)+IFERROR(S13_PSP_Species_Support!CI48*0.0673*(S13_PSP_Species_Support!CJ48*(S13_PSP_Species_Support!CK48*(1-EXP(-S13_PSP_Species_Support!CL48*6))^S13_PSP_Species_Support!CM48)^2*(S13_PSP_Species_Support!CN48*(1-EXP(-S13_PSP_Species_Support!CO48*6))^S13_PSP_Species_Support!CP48))^0.976,0)+IFERROR(S13_PSP_Species_Support!CT48*0.0673*(S13_PSP_Species_Support!CU48*(S13_PSP_Species_Support!CV48*(1-EXP(-S13_PSP_Species_Support!CW48*6))^S13_PSP_Species_Support!CX48)^2*(S13_PSP_Species_Support!CY48*(1-EXP(-S13_PSP_Species_Support!CZ48*6))^S13_PSP_Species_Support!DA48))^0.976,0))/1000/$G61*O$108,0)</x:f>
        <x:v>929.4487491711626</x:v>
      </x:c>
      <x:c r="P61" s="147" t="n">
        <x:f aca="0">IFERROR((IFERROR(S13_PSP_Species_Support!U48*0.0673*(S13_PSP_Species_Support!V48*(S13_PSP_Species_Support!W48*(1-EXP(-S13_PSP_Species_Support!X48*7))^S13_PSP_Species_Support!Y48)^2*(S13_PSP_Species_Support!Z48*(1-EXP(-S13_PSP_Species_Support!AA48*7))^S13_PSP_Species_Support!AB48))^0.976,0)+IFERROR(S13_PSP_Species_Support!AF48*0.0673*(S13_PSP_Species_Support!AG48*(S13_PSP_Species_Support!AH48*(1-EXP(-S13_PSP_Species_Support!AI48*7))^S13_PSP_Species_Support!AJ48)^2*(S13_PSP_Species_Support!AK48*(1-EXP(-S13_PSP_Species_Support!AL48*7))^S13_PSP_Species_Support!AM48))^0.976,0)+IFERROR(S13_PSP_Species_Support!AQ48*0.0673*(S13_PSP_Species_Support!AR48*(S13_PSP_Species_Support!AS48*(1-EXP(-S13_PSP_Species_Support!AT48*7))^S13_PSP_Species_Support!AU48)^2*(S13_PSP_Species_Support!AV48*(1-EXP(-S13_PSP_Species_Support!AW48*7))^S13_PSP_Species_Support!AX48))^0.976,0)+IFERROR(S13_PSP_Species_Support!BB48*0.0673*(S13_PSP_Species_Support!BC48*(S13_PSP_Species_Support!BD48*(1-EXP(-S13_PSP_Species_Support!BE48*7))^S13_PSP_Species_Support!BF48)^2*(S13_PSP_Species_Support!BG48*(1-EXP(-S13_PSP_Species_Support!BH48*7))^S13_PSP_Species_Support!BI48))^0.976,0)+IFERROR(S13_PSP_Species_Support!BM48*0.0673*(S13_PSP_Species_Support!BN48*(S13_PSP_Species_Support!BO48*(1-EXP(-S13_PSP_Species_Support!BP48*7))^S13_PSP_Species_Support!BQ48)^2*(S13_PSP_Species_Support!BR48*(1-EXP(-S13_PSP_Species_Support!BS48*7))^S13_PSP_Species_Support!BT48))^0.976,0)+IFERROR(S13_PSP_Species_Support!BX48*0.0673*(S13_PSP_Species_Support!BY48*(S13_PSP_Species_Support!BZ48*(1-EXP(-S13_PSP_Species_Support!CA48*7))^S13_PSP_Species_Support!CB48)^2*(S13_PSP_Species_Support!CC48*(1-EXP(-S13_PSP_Species_Support!CD48*7))^S13_PSP_Species_Support!CE48))^0.976,0)+IFERROR(S13_PSP_Species_Support!CI48*0.0673*(S13_PSP_Species_Support!CJ48*(S13_PSP_Species_Support!CK48*(1-EXP(-S13_PSP_Species_Support!CL48*7))^S13_PSP_Species_Support!CM48)^2*(S13_PSP_Species_Support!CN48*(1-EXP(-S13_PSP_Species_Support!CO48*7))^S13_PSP_Species_Support!CP48))^0.976,0)+IFERROR(S13_PSP_Species_Support!CT48*0.0673*(S13_PSP_Species_Support!CU48*(S13_PSP_Species_Support!CV48*(1-EXP(-S13_PSP_Species_Support!CW48*7))^S13_PSP_Species_Support!CX48)^2*(S13_PSP_Species_Support!CY48*(1-EXP(-S13_PSP_Species_Support!CZ48*7))^S13_PSP_Species_Support!DA48))^0.976,0))/1000/$G61*P$108,0)</x:f>
        <x:v>1268.295339765666</x:v>
      </x:c>
      <x:c r="Q61" s="147" t="n">
        <x:f aca="0">IFERROR((IFERROR(S13_PSP_Species_Support!U48*0.0673*(S13_PSP_Species_Support!V48*(S13_PSP_Species_Support!W48*(1-EXP(-S13_PSP_Species_Support!X48*8))^S13_PSP_Species_Support!Y48)^2*(S13_PSP_Species_Support!Z48*(1-EXP(-S13_PSP_Species_Support!AA48*8))^S13_PSP_Species_Support!AB48))^0.976,0)+IFERROR(S13_PSP_Species_Support!AF48*0.0673*(S13_PSP_Species_Support!AG48*(S13_PSP_Species_Support!AH48*(1-EXP(-S13_PSP_Species_Support!AI48*8))^S13_PSP_Species_Support!AJ48)^2*(S13_PSP_Species_Support!AK48*(1-EXP(-S13_PSP_Species_Support!AL48*8))^S13_PSP_Species_Support!AM48))^0.976,0)+IFERROR(S13_PSP_Species_Support!AQ48*0.0673*(S13_PSP_Species_Support!AR48*(S13_PSP_Species_Support!AS48*(1-EXP(-S13_PSP_Species_Support!AT48*8))^S13_PSP_Species_Support!AU48)^2*(S13_PSP_Species_Support!AV48*(1-EXP(-S13_PSP_Species_Support!AW48*8))^S13_PSP_Species_Support!AX48))^0.976,0)+IFERROR(S13_PSP_Species_Support!BB48*0.0673*(S13_PSP_Species_Support!BC48*(S13_PSP_Species_Support!BD48*(1-EXP(-S13_PSP_Species_Support!BE48*8))^S13_PSP_Species_Support!BF48)^2*(S13_PSP_Species_Support!BG48*(1-EXP(-S13_PSP_Species_Support!BH48*8))^S13_PSP_Species_Support!BI48))^0.976,0)+IFERROR(S13_PSP_Species_Support!BM48*0.0673*(S13_PSP_Species_Support!BN48*(S13_PSP_Species_Support!BO48*(1-EXP(-S13_PSP_Species_Support!BP48*8))^S13_PSP_Species_Support!BQ48)^2*(S13_PSP_Species_Support!BR48*(1-EXP(-S13_PSP_Species_Support!BS48*8))^S13_PSP_Species_Support!BT48))^0.976,0)+IFERROR(S13_PSP_Species_Support!BX48*0.0673*(S13_PSP_Species_Support!BY48*(S13_PSP_Species_Support!BZ48*(1-EXP(-S13_PSP_Species_Support!CA48*8))^S13_PSP_Species_Support!CB48)^2*(S13_PSP_Species_Support!CC48*(1-EXP(-S13_PSP_Species_Support!CD48*8))^S13_PSP_Species_Support!CE48))^0.976,0)+IFERROR(S13_PSP_Species_Support!CI48*0.0673*(S13_PSP_Species_Support!CJ48*(S13_PSP_Species_Support!CK48*(1-EXP(-S13_PSP_Species_Support!CL48*8))^S13_PSP_Species_Support!CM48)^2*(S13_PSP_Species_Support!CN48*(1-EXP(-S13_PSP_Species_Support!CO48*8))^S13_PSP_Species_Support!CP48))^0.976,0)+IFERROR(S13_PSP_Species_Support!CT48*0.0673*(S13_PSP_Species_Support!CU48*(S13_PSP_Species_Support!CV48*(1-EXP(-S13_PSP_Species_Support!CW48*8))^S13_PSP_Species_Support!CX48)^2*(S13_PSP_Species_Support!CY48*(1-EXP(-S13_PSP_Species_Support!CZ48*8))^S13_PSP_Species_Support!DA48))^0.976,0))/1000/$G61*Q$108,0)</x:f>
        <x:v>1617.1674068829195</x:v>
      </x:c>
      <x:c r="R61" s="147" t="n">
        <x:f aca="0">IFERROR((IFERROR(S13_PSP_Species_Support!U48*0.0673*(S13_PSP_Species_Support!V48*(S13_PSP_Species_Support!W48*(1-EXP(-S13_PSP_Species_Support!X48*9))^S13_PSP_Species_Support!Y48)^2*(S13_PSP_Species_Support!Z48*(1-EXP(-S13_PSP_Species_Support!AA48*9))^S13_PSP_Species_Support!AB48))^0.976,0)+IFERROR(S13_PSP_Species_Support!AF48*0.0673*(S13_PSP_Species_Support!AG48*(S13_PSP_Species_Support!AH48*(1-EXP(-S13_PSP_Species_Support!AI48*9))^S13_PSP_Species_Support!AJ48)^2*(S13_PSP_Species_Support!AK48*(1-EXP(-S13_PSP_Species_Support!AL48*9))^S13_PSP_Species_Support!AM48))^0.976,0)+IFERROR(S13_PSP_Species_Support!AQ48*0.0673*(S13_PSP_Species_Support!AR48*(S13_PSP_Species_Support!AS48*(1-EXP(-S13_PSP_Species_Support!AT48*9))^S13_PSP_Species_Support!AU48)^2*(S13_PSP_Species_Support!AV48*(1-EXP(-S13_PSP_Species_Support!AW48*9))^S13_PSP_Species_Support!AX48))^0.976,0)+IFERROR(S13_PSP_Species_Support!BB48*0.0673*(S13_PSP_Species_Support!BC48*(S13_PSP_Species_Support!BD48*(1-EXP(-S13_PSP_Species_Support!BE48*9))^S13_PSP_Species_Support!BF48)^2*(S13_PSP_Species_Support!BG48*(1-EXP(-S13_PSP_Species_Support!BH48*9))^S13_PSP_Species_Support!BI48))^0.976,0)+IFERROR(S13_PSP_Species_Support!BM48*0.0673*(S13_PSP_Species_Support!BN48*(S13_PSP_Species_Support!BO48*(1-EXP(-S13_PSP_Species_Support!BP48*9))^S13_PSP_Species_Support!BQ48)^2*(S13_PSP_Species_Support!BR48*(1-EXP(-S13_PSP_Species_Support!BS48*9))^S13_PSP_Species_Support!BT48))^0.976,0)+IFERROR(S13_PSP_Species_Support!BX48*0.0673*(S13_PSP_Species_Support!BY48*(S13_PSP_Species_Support!BZ48*(1-EXP(-S13_PSP_Species_Support!CA48*9))^S13_PSP_Species_Support!CB48)^2*(S13_PSP_Species_Support!CC48*(1-EXP(-S13_PSP_Species_Support!CD48*9))^S13_PSP_Species_Support!CE48))^0.976,0)+IFERROR(S13_PSP_Species_Support!CI48*0.0673*(S13_PSP_Species_Support!CJ48*(S13_PSP_Species_Support!CK48*(1-EXP(-S13_PSP_Species_Support!CL48*9))^S13_PSP_Species_Support!CM48)^2*(S13_PSP_Species_Support!CN48*(1-EXP(-S13_PSP_Species_Support!CO48*9))^S13_PSP_Species_Support!CP48))^0.976,0)+IFERROR(S13_PSP_Species_Support!CT48*0.0673*(S13_PSP_Species_Support!CU48*(S13_PSP_Species_Support!CV48*(1-EXP(-S13_PSP_Species_Support!CW48*9))^S13_PSP_Species_Support!CX48)^2*(S13_PSP_Species_Support!CY48*(1-EXP(-S13_PSP_Species_Support!CZ48*9))^S13_PSP_Species_Support!DA48))^0.976,0))/1000/$G61*R$108,0)</x:f>
        <x:v>1961.5161464390144</x:v>
      </x:c>
      <x:c r="S61" s="147" t="n">
        <x:f aca="0">IFERROR((IFERROR(S13_PSP_Species_Support!U48*0.0673*(S13_PSP_Species_Support!V48*(S13_PSP_Species_Support!W48*(1-EXP(-S13_PSP_Species_Support!X48*10))^S13_PSP_Species_Support!Y48)^2*(S13_PSP_Species_Support!Z48*(1-EXP(-S13_PSP_Species_Support!AA48*10))^S13_PSP_Species_Support!AB48))^0.976,0)+IFERROR(S13_PSP_Species_Support!AF48*0.0673*(S13_PSP_Species_Support!AG48*(S13_PSP_Species_Support!AH48*(1-EXP(-S13_PSP_Species_Support!AI48*10))^S13_PSP_Species_Support!AJ48)^2*(S13_PSP_Species_Support!AK48*(1-EXP(-S13_PSP_Species_Support!AL48*10))^S13_PSP_Species_Support!AM48))^0.976,0)+IFERROR(S13_PSP_Species_Support!AQ48*0.0673*(S13_PSP_Species_Support!AR48*(S13_PSP_Species_Support!AS48*(1-EXP(-S13_PSP_Species_Support!AT48*10))^S13_PSP_Species_Support!AU48)^2*(S13_PSP_Species_Support!AV48*(1-EXP(-S13_PSP_Species_Support!AW48*10))^S13_PSP_Species_Support!AX48))^0.976,0)+IFERROR(S13_PSP_Species_Support!BB48*0.0673*(S13_PSP_Species_Support!BC48*(S13_PSP_Species_Support!BD48*(1-EXP(-S13_PSP_Species_Support!BE48*10))^S13_PSP_Species_Support!BF48)^2*(S13_PSP_Species_Support!BG48*(1-EXP(-S13_PSP_Species_Support!BH48*10))^S13_PSP_Species_Support!BI48))^0.976,0)+IFERROR(S13_PSP_Species_Support!BM48*0.0673*(S13_PSP_Species_Support!BN48*(S13_PSP_Species_Support!BO48*(1-EXP(-S13_PSP_Species_Support!BP48*10))^S13_PSP_Species_Support!BQ48)^2*(S13_PSP_Species_Support!BR48*(1-EXP(-S13_PSP_Species_Support!BS48*10))^S13_PSP_Species_Support!BT48))^0.976,0)+IFERROR(S13_PSP_Species_Support!BX48*0.0673*(S13_PSP_Species_Support!BY48*(S13_PSP_Species_Support!BZ48*(1-EXP(-S13_PSP_Species_Support!CA48*10))^S13_PSP_Species_Support!CB48)^2*(S13_PSP_Species_Support!CC48*(1-EXP(-S13_PSP_Species_Support!CD48*10))^S13_PSP_Species_Support!CE48))^0.976,0)+IFERROR(S13_PSP_Species_Support!CI48*0.0673*(S13_PSP_Species_Support!CJ48*(S13_PSP_Species_Support!CK48*(1-EXP(-S13_PSP_Species_Support!CL48*10))^S13_PSP_Species_Support!CM48)^2*(S13_PSP_Species_Support!CN48*(1-EXP(-S13_PSP_Species_Support!CO48*10))^S13_PSP_Species_Support!CP48))^0.976,0)+IFERROR(S13_PSP_Species_Support!CT48*0.0673*(S13_PSP_Species_Support!CU48*(S13_PSP_Species_Support!CV48*(1-EXP(-S13_PSP_Species_Support!CW48*10))^S13_PSP_Species_Support!CX48)^2*(S13_PSP_Species_Support!CY48*(1-EXP(-S13_PSP_Species_Support!CZ48*10))^S13_PSP_Species_Support!DA48))^0.976,0))/1000/$G61*S$108,0)</x:f>
        <x:v>2290.855484628168</x:v>
      </x:c>
      <x:c r="T61" s="147" t="n">
        <x:f aca="0">IFERROR((IFERROR(S13_PSP_Species_Support!U48*0.0673*(S13_PSP_Species_Support!V48*(S13_PSP_Species_Support!W48*(1-EXP(-S13_PSP_Species_Support!X48*11))^S13_PSP_Species_Support!Y48)^2*(S13_PSP_Species_Support!Z48*(1-EXP(-S13_PSP_Species_Support!AA48*11))^S13_PSP_Species_Support!AB48))^0.976,0)+IFERROR(S13_PSP_Species_Support!AF48*0.0673*(S13_PSP_Species_Support!AG48*(S13_PSP_Species_Support!AH48*(1-EXP(-S13_PSP_Species_Support!AI48*11))^S13_PSP_Species_Support!AJ48)^2*(S13_PSP_Species_Support!AK48*(1-EXP(-S13_PSP_Species_Support!AL48*11))^S13_PSP_Species_Support!AM48))^0.976,0)+IFERROR(S13_PSP_Species_Support!AQ48*0.0673*(S13_PSP_Species_Support!AR48*(S13_PSP_Species_Support!AS48*(1-EXP(-S13_PSP_Species_Support!AT48*11))^S13_PSP_Species_Support!AU48)^2*(S13_PSP_Species_Support!AV48*(1-EXP(-S13_PSP_Species_Support!AW48*11))^S13_PSP_Species_Support!AX48))^0.976,0)+IFERROR(S13_PSP_Species_Support!BB48*0.0673*(S13_PSP_Species_Support!BC48*(S13_PSP_Species_Support!BD48*(1-EXP(-S13_PSP_Species_Support!BE48*11))^S13_PSP_Species_Support!BF48)^2*(S13_PSP_Species_Support!BG48*(1-EXP(-S13_PSP_Species_Support!BH48*11))^S13_PSP_Species_Support!BI48))^0.976,0)+IFERROR(S13_PSP_Species_Support!BM48*0.0673*(S13_PSP_Species_Support!BN48*(S13_PSP_Species_Support!BO48*(1-EXP(-S13_PSP_Species_Support!BP48*11))^S13_PSP_Species_Support!BQ48)^2*(S13_PSP_Species_Support!BR48*(1-EXP(-S13_PSP_Species_Support!BS48*11))^S13_PSP_Species_Support!BT48))^0.976,0)+IFERROR(S13_PSP_Species_Support!BX48*0.0673*(S13_PSP_Species_Support!BY48*(S13_PSP_Species_Support!BZ48*(1-EXP(-S13_PSP_Species_Support!CA48*11))^S13_PSP_Species_Support!CB48)^2*(S13_PSP_Species_Support!CC48*(1-EXP(-S13_PSP_Species_Support!CD48*11))^S13_PSP_Species_Support!CE48))^0.976,0)+IFERROR(S13_PSP_Species_Support!CI48*0.0673*(S13_PSP_Species_Support!CJ48*(S13_PSP_Species_Support!CK48*(1-EXP(-S13_PSP_Species_Support!CL48*11))^S13_PSP_Species_Support!CM48)^2*(S13_PSP_Species_Support!CN48*(1-EXP(-S13_PSP_Species_Support!CO48*11))^S13_PSP_Species_Support!CP48))^0.976,0)+IFERROR(S13_PSP_Species_Support!CT48*0.0673*(S13_PSP_Species_Support!CU48*(S13_PSP_Species_Support!CV48*(1-EXP(-S13_PSP_Species_Support!CW48*11))^S13_PSP_Species_Support!CX48)^2*(S13_PSP_Species_Support!CY48*(1-EXP(-S13_PSP_Species_Support!CZ48*11))^S13_PSP_Species_Support!DA48))^0.976,0))/1000/$G61*T$108,0)</x:f>
        <x:v>2598.3437391707103</x:v>
      </x:c>
      <x:c r="U61" s="147" t="n">
        <x:f aca="0">IFERROR((IFERROR(S13_PSP_Species_Support!U48*0.0673*(S13_PSP_Species_Support!V48*(S13_PSP_Species_Support!W48*(1-EXP(-S13_PSP_Species_Support!X48*12))^S13_PSP_Species_Support!Y48)^2*(S13_PSP_Species_Support!Z48*(1-EXP(-S13_PSP_Species_Support!AA48*12))^S13_PSP_Species_Support!AB48))^0.976,0)+IFERROR(S13_PSP_Species_Support!AF48*0.0673*(S13_PSP_Species_Support!AG48*(S13_PSP_Species_Support!AH48*(1-EXP(-S13_PSP_Species_Support!AI48*12))^S13_PSP_Species_Support!AJ48)^2*(S13_PSP_Species_Support!AK48*(1-EXP(-S13_PSP_Species_Support!AL48*12))^S13_PSP_Species_Support!AM48))^0.976,0)+IFERROR(S13_PSP_Species_Support!AQ48*0.0673*(S13_PSP_Species_Support!AR48*(S13_PSP_Species_Support!AS48*(1-EXP(-S13_PSP_Species_Support!AT48*12))^S13_PSP_Species_Support!AU48)^2*(S13_PSP_Species_Support!AV48*(1-EXP(-S13_PSP_Species_Support!AW48*12))^S13_PSP_Species_Support!AX48))^0.976,0)+IFERROR(S13_PSP_Species_Support!BB48*0.0673*(S13_PSP_Species_Support!BC48*(S13_PSP_Species_Support!BD48*(1-EXP(-S13_PSP_Species_Support!BE48*12))^S13_PSP_Species_Support!BF48)^2*(S13_PSP_Species_Support!BG48*(1-EXP(-S13_PSP_Species_Support!BH48*12))^S13_PSP_Species_Support!BI48))^0.976,0)+IFERROR(S13_PSP_Species_Support!BM48*0.0673*(S13_PSP_Species_Support!BN48*(S13_PSP_Species_Support!BO48*(1-EXP(-S13_PSP_Species_Support!BP48*12))^S13_PSP_Species_Support!BQ48)^2*(S13_PSP_Species_Support!BR48*(1-EXP(-S13_PSP_Species_Support!BS48*12))^S13_PSP_Species_Support!BT48))^0.976,0)+IFERROR(S13_PSP_Species_Support!BX48*0.0673*(S13_PSP_Species_Support!BY48*(S13_PSP_Species_Support!BZ48*(1-EXP(-S13_PSP_Species_Support!CA48*12))^S13_PSP_Species_Support!CB48)^2*(S13_PSP_Species_Support!CC48*(1-EXP(-S13_PSP_Species_Support!CD48*12))^S13_PSP_Species_Support!CE48))^0.976,0)+IFERROR(S13_PSP_Species_Support!CI48*0.0673*(S13_PSP_Species_Support!CJ48*(S13_PSP_Species_Support!CK48*(1-EXP(-S13_PSP_Species_Support!CL48*12))^S13_PSP_Species_Support!CM48)^2*(S13_PSP_Species_Support!CN48*(1-EXP(-S13_PSP_Species_Support!CO48*12))^S13_PSP_Species_Support!CP48))^0.976,0)+IFERROR(S13_PSP_Species_Support!CT48*0.0673*(S13_PSP_Species_Support!CU48*(S13_PSP_Species_Support!CV48*(1-EXP(-S13_PSP_Species_Support!CW48*12))^S13_PSP_Species_Support!CX48)^2*(S13_PSP_Species_Support!CY48*(1-EXP(-S13_PSP_Species_Support!CZ48*12))^S13_PSP_Species_Support!DA48))^0.976,0))/1000/$G61*U$108,0)</x:f>
        <x:v>2880.102518054437</x:v>
      </x:c>
      <x:c r="V61" s="147" t="n">
        <x:f aca="0">IFERROR((IFERROR(S13_PSP_Species_Support!U48*0.0673*(S13_PSP_Species_Support!V48*(S13_PSP_Species_Support!W48*(1-EXP(-S13_PSP_Species_Support!X48*13))^S13_PSP_Species_Support!Y48)^2*(S13_PSP_Species_Support!Z48*(1-EXP(-S13_PSP_Species_Support!AA48*13))^S13_PSP_Species_Support!AB48))^0.976,0)+IFERROR(S13_PSP_Species_Support!AF48*0.0673*(S13_PSP_Species_Support!AG48*(S13_PSP_Species_Support!AH48*(1-EXP(-S13_PSP_Species_Support!AI48*13))^S13_PSP_Species_Support!AJ48)^2*(S13_PSP_Species_Support!AK48*(1-EXP(-S13_PSP_Species_Support!AL48*13))^S13_PSP_Species_Support!AM48))^0.976,0)+IFERROR(S13_PSP_Species_Support!AQ48*0.0673*(S13_PSP_Species_Support!AR48*(S13_PSP_Species_Support!AS48*(1-EXP(-S13_PSP_Species_Support!AT48*13))^S13_PSP_Species_Support!AU48)^2*(S13_PSP_Species_Support!AV48*(1-EXP(-S13_PSP_Species_Support!AW48*13))^S13_PSP_Species_Support!AX48))^0.976,0)+IFERROR(S13_PSP_Species_Support!BB48*0.0673*(S13_PSP_Species_Support!BC48*(S13_PSP_Species_Support!BD48*(1-EXP(-S13_PSP_Species_Support!BE48*13))^S13_PSP_Species_Support!BF48)^2*(S13_PSP_Species_Support!BG48*(1-EXP(-S13_PSP_Species_Support!BH48*13))^S13_PSP_Species_Support!BI48))^0.976,0)+IFERROR(S13_PSP_Species_Support!BM48*0.0673*(S13_PSP_Species_Support!BN48*(S13_PSP_Species_Support!BO48*(1-EXP(-S13_PSP_Species_Support!BP48*13))^S13_PSP_Species_Support!BQ48)^2*(S13_PSP_Species_Support!BR48*(1-EXP(-S13_PSP_Species_Support!BS48*13))^S13_PSP_Species_Support!BT48))^0.976,0)+IFERROR(S13_PSP_Species_Support!BX48*0.0673*(S13_PSP_Species_Support!BY48*(S13_PSP_Species_Support!BZ48*(1-EXP(-S13_PSP_Species_Support!CA48*13))^S13_PSP_Species_Support!CB48)^2*(S13_PSP_Species_Support!CC48*(1-EXP(-S13_PSP_Species_Support!CD48*13))^S13_PSP_Species_Support!CE48))^0.976,0)+IFERROR(S13_PSP_Species_Support!CI48*0.0673*(S13_PSP_Species_Support!CJ48*(S13_PSP_Species_Support!CK48*(1-EXP(-S13_PSP_Species_Support!CL48*13))^S13_PSP_Species_Support!CM48)^2*(S13_PSP_Species_Support!CN48*(1-EXP(-S13_PSP_Species_Support!CO48*13))^S13_PSP_Species_Support!CP48))^0.976,0)+IFERROR(S13_PSP_Species_Support!CT48*0.0673*(S13_PSP_Species_Support!CU48*(S13_PSP_Species_Support!CV48*(1-EXP(-S13_PSP_Species_Support!CW48*13))^S13_PSP_Species_Support!CX48)^2*(S13_PSP_Species_Support!CY48*(1-EXP(-S13_PSP_Species_Support!CZ48*13))^S13_PSP_Species_Support!DA48))^0.976,0))/1000/$G61*V$108,0)</x:f>
        <x:v>3134.499488607321</x:v>
      </x:c>
      <x:c r="W61" s="147" t="n">
        <x:f aca="0">IFERROR((IFERROR(S13_PSP_Species_Support!U48*0.0673*(S13_PSP_Species_Support!V48*(S13_PSP_Species_Support!W48*(1-EXP(-S13_PSP_Species_Support!X48*14))^S13_PSP_Species_Support!Y48)^2*(S13_PSP_Species_Support!Z48*(1-EXP(-S13_PSP_Species_Support!AA48*14))^S13_PSP_Species_Support!AB48))^0.976,0)+IFERROR(S13_PSP_Species_Support!AF48*0.0673*(S13_PSP_Species_Support!AG48*(S13_PSP_Species_Support!AH48*(1-EXP(-S13_PSP_Species_Support!AI48*14))^S13_PSP_Species_Support!AJ48)^2*(S13_PSP_Species_Support!AK48*(1-EXP(-S13_PSP_Species_Support!AL48*14))^S13_PSP_Species_Support!AM48))^0.976,0)+IFERROR(S13_PSP_Species_Support!AQ48*0.0673*(S13_PSP_Species_Support!AR48*(S13_PSP_Species_Support!AS48*(1-EXP(-S13_PSP_Species_Support!AT48*14))^S13_PSP_Species_Support!AU48)^2*(S13_PSP_Species_Support!AV48*(1-EXP(-S13_PSP_Species_Support!AW48*14))^S13_PSP_Species_Support!AX48))^0.976,0)+IFERROR(S13_PSP_Species_Support!BB48*0.0673*(S13_PSP_Species_Support!BC48*(S13_PSP_Species_Support!BD48*(1-EXP(-S13_PSP_Species_Support!BE48*14))^S13_PSP_Species_Support!BF48)^2*(S13_PSP_Species_Support!BG48*(1-EXP(-S13_PSP_Species_Support!BH48*14))^S13_PSP_Species_Support!BI48))^0.976,0)+IFERROR(S13_PSP_Species_Support!BM48*0.0673*(S13_PSP_Species_Support!BN48*(S13_PSP_Species_Support!BO48*(1-EXP(-S13_PSP_Species_Support!BP48*14))^S13_PSP_Species_Support!BQ48)^2*(S13_PSP_Species_Support!BR48*(1-EXP(-S13_PSP_Species_Support!BS48*14))^S13_PSP_Species_Support!BT48))^0.976,0)+IFERROR(S13_PSP_Species_Support!BX48*0.0673*(S13_PSP_Species_Support!BY48*(S13_PSP_Species_Support!BZ48*(1-EXP(-S13_PSP_Species_Support!CA48*14))^S13_PSP_Species_Support!CB48)^2*(S13_PSP_Species_Support!CC48*(1-EXP(-S13_PSP_Species_Support!CD48*14))^S13_PSP_Species_Support!CE48))^0.976,0)+IFERROR(S13_PSP_Species_Support!CI48*0.0673*(S13_PSP_Species_Support!CJ48*(S13_PSP_Species_Support!CK48*(1-EXP(-S13_PSP_Species_Support!CL48*14))^S13_PSP_Species_Support!CM48)^2*(S13_PSP_Species_Support!CN48*(1-EXP(-S13_PSP_Species_Support!CO48*14))^S13_PSP_Species_Support!CP48))^0.976,0)+IFERROR(S13_PSP_Species_Support!CT48*0.0673*(S13_PSP_Species_Support!CU48*(S13_PSP_Species_Support!CV48*(1-EXP(-S13_PSP_Species_Support!CW48*14))^S13_PSP_Species_Support!CX48)^2*(S13_PSP_Species_Support!CY48*(1-EXP(-S13_PSP_Species_Support!CZ48*14))^S13_PSP_Species_Support!DA48))^0.976,0))/1000/$G61*W$108,0)</x:f>
        <x:v>3361.5047478449064</x:v>
      </x:c>
      <x:c r="X61" s="147" t="n">
        <x:f aca="0">IFERROR((IFERROR(S13_PSP_Species_Support!U48*0.0673*(S13_PSP_Species_Support!V48*(S13_PSP_Species_Support!W48*(1-EXP(-S13_PSP_Species_Support!X48*15))^S13_PSP_Species_Support!Y48)^2*(S13_PSP_Species_Support!Z48*(1-EXP(-S13_PSP_Species_Support!AA48*15))^S13_PSP_Species_Support!AB48))^0.976,0)+IFERROR(S13_PSP_Species_Support!AF48*0.0673*(S13_PSP_Species_Support!AG48*(S13_PSP_Species_Support!AH48*(1-EXP(-S13_PSP_Species_Support!AI48*15))^S13_PSP_Species_Support!AJ48)^2*(S13_PSP_Species_Support!AK48*(1-EXP(-S13_PSP_Species_Support!AL48*15))^S13_PSP_Species_Support!AM48))^0.976,0)+IFERROR(S13_PSP_Species_Support!AQ48*0.0673*(S13_PSP_Species_Support!AR48*(S13_PSP_Species_Support!AS48*(1-EXP(-S13_PSP_Species_Support!AT48*15))^S13_PSP_Species_Support!AU48)^2*(S13_PSP_Species_Support!AV48*(1-EXP(-S13_PSP_Species_Support!AW48*15))^S13_PSP_Species_Support!AX48))^0.976,0)+IFERROR(S13_PSP_Species_Support!BB48*0.0673*(S13_PSP_Species_Support!BC48*(S13_PSP_Species_Support!BD48*(1-EXP(-S13_PSP_Species_Support!BE48*15))^S13_PSP_Species_Support!BF48)^2*(S13_PSP_Species_Support!BG48*(1-EXP(-S13_PSP_Species_Support!BH48*15))^S13_PSP_Species_Support!BI48))^0.976,0)+IFERROR(S13_PSP_Species_Support!BM48*0.0673*(S13_PSP_Species_Support!BN48*(S13_PSP_Species_Support!BO48*(1-EXP(-S13_PSP_Species_Support!BP48*15))^S13_PSP_Species_Support!BQ48)^2*(S13_PSP_Species_Support!BR48*(1-EXP(-S13_PSP_Species_Support!BS48*15))^S13_PSP_Species_Support!BT48))^0.976,0)+IFERROR(S13_PSP_Species_Support!BX48*0.0673*(S13_PSP_Species_Support!BY48*(S13_PSP_Species_Support!BZ48*(1-EXP(-S13_PSP_Species_Support!CA48*15))^S13_PSP_Species_Support!CB48)^2*(S13_PSP_Species_Support!CC48*(1-EXP(-S13_PSP_Species_Support!CD48*15))^S13_PSP_Species_Support!CE48))^0.976,0)+IFERROR(S13_PSP_Species_Support!CI48*0.0673*(S13_PSP_Species_Support!CJ48*(S13_PSP_Species_Support!CK48*(1-EXP(-S13_PSP_Species_Support!CL48*15))^S13_PSP_Species_Support!CM48)^2*(S13_PSP_Species_Support!CN48*(1-EXP(-S13_PSP_Species_Support!CO48*15))^S13_PSP_Species_Support!CP48))^0.976,0)+IFERROR(S13_PSP_Species_Support!CT48*0.0673*(S13_PSP_Species_Support!CU48*(S13_PSP_Species_Support!CV48*(1-EXP(-S13_PSP_Species_Support!CW48*15))^S13_PSP_Species_Support!CX48)^2*(S13_PSP_Species_Support!CY48*(1-EXP(-S13_PSP_Species_Support!CZ48*15))^S13_PSP_Species_Support!DA48))^0.976,0))/1000/$G61*X$108,0)</x:f>
        <x:v>3562.162047977451</x:v>
      </x:c>
      <x:c r="Y61" s="147" t="n">
        <x:f aca="0">IFERROR((IFERROR(S13_PSP_Species_Support!U48*0.0673*(S13_PSP_Species_Support!V48*(S13_PSP_Species_Support!W48*(1-EXP(-S13_PSP_Species_Support!X48*16))^S13_PSP_Species_Support!Y48)^2*(S13_PSP_Species_Support!Z48*(1-EXP(-S13_PSP_Species_Support!AA48*16))^S13_PSP_Species_Support!AB48))^0.976,0)+IFERROR(S13_PSP_Species_Support!AF48*0.0673*(S13_PSP_Species_Support!AG48*(S13_PSP_Species_Support!AH48*(1-EXP(-S13_PSP_Species_Support!AI48*16))^S13_PSP_Species_Support!AJ48)^2*(S13_PSP_Species_Support!AK48*(1-EXP(-S13_PSP_Species_Support!AL48*16))^S13_PSP_Species_Support!AM48))^0.976,0)+IFERROR(S13_PSP_Species_Support!AQ48*0.0673*(S13_PSP_Species_Support!AR48*(S13_PSP_Species_Support!AS48*(1-EXP(-S13_PSP_Species_Support!AT48*16))^S13_PSP_Species_Support!AU48)^2*(S13_PSP_Species_Support!AV48*(1-EXP(-S13_PSP_Species_Support!AW48*16))^S13_PSP_Species_Support!AX48))^0.976,0)+IFERROR(S13_PSP_Species_Support!BB48*0.0673*(S13_PSP_Species_Support!BC48*(S13_PSP_Species_Support!BD48*(1-EXP(-S13_PSP_Species_Support!BE48*16))^S13_PSP_Species_Support!BF48)^2*(S13_PSP_Species_Support!BG48*(1-EXP(-S13_PSP_Species_Support!BH48*16))^S13_PSP_Species_Support!BI48))^0.976,0)+IFERROR(S13_PSP_Species_Support!BM48*0.0673*(S13_PSP_Species_Support!BN48*(S13_PSP_Species_Support!BO48*(1-EXP(-S13_PSP_Species_Support!BP48*16))^S13_PSP_Species_Support!BQ48)^2*(S13_PSP_Species_Support!BR48*(1-EXP(-S13_PSP_Species_Support!BS48*16))^S13_PSP_Species_Support!BT48))^0.976,0)+IFERROR(S13_PSP_Species_Support!BX48*0.0673*(S13_PSP_Species_Support!BY48*(S13_PSP_Species_Support!BZ48*(1-EXP(-S13_PSP_Species_Support!CA48*16))^S13_PSP_Species_Support!CB48)^2*(S13_PSP_Species_Support!CC48*(1-EXP(-S13_PSP_Species_Support!CD48*16))^S13_PSP_Species_Support!CE48))^0.976,0)+IFERROR(S13_PSP_Species_Support!CI48*0.0673*(S13_PSP_Species_Support!CJ48*(S13_PSP_Species_Support!CK48*(1-EXP(-S13_PSP_Species_Support!CL48*16))^S13_PSP_Species_Support!CM48)^2*(S13_PSP_Species_Support!CN48*(1-EXP(-S13_PSP_Species_Support!CO48*16))^S13_PSP_Species_Support!CP48))^0.976,0)+IFERROR(S13_PSP_Species_Support!CT48*0.0673*(S13_PSP_Species_Support!CU48*(S13_PSP_Species_Support!CV48*(1-EXP(-S13_PSP_Species_Support!CW48*16))^S13_PSP_Species_Support!CX48)^2*(S13_PSP_Species_Support!CY48*(1-EXP(-S13_PSP_Species_Support!CZ48*16))^S13_PSP_Species_Support!DA48))^0.976,0))/1000/$G61*Y$108,0)</x:f>
        <x:v>3738.179573717453</x:v>
      </x:c>
      <x:c r="Z61" s="147" t="n">
        <x:f aca="0">IFERROR((IFERROR(S13_PSP_Species_Support!U48*0.0673*(S13_PSP_Species_Support!V48*(S13_PSP_Species_Support!W48*(1-EXP(-S13_PSP_Species_Support!X48*17))^S13_PSP_Species_Support!Y48)^2*(S13_PSP_Species_Support!Z48*(1-EXP(-S13_PSP_Species_Support!AA48*17))^S13_PSP_Species_Support!AB48))^0.976,0)+IFERROR(S13_PSP_Species_Support!AF48*0.0673*(S13_PSP_Species_Support!AG48*(S13_PSP_Species_Support!AH48*(1-EXP(-S13_PSP_Species_Support!AI48*17))^S13_PSP_Species_Support!AJ48)^2*(S13_PSP_Species_Support!AK48*(1-EXP(-S13_PSP_Species_Support!AL48*17))^S13_PSP_Species_Support!AM48))^0.976,0)+IFERROR(S13_PSP_Species_Support!AQ48*0.0673*(S13_PSP_Species_Support!AR48*(S13_PSP_Species_Support!AS48*(1-EXP(-S13_PSP_Species_Support!AT48*17))^S13_PSP_Species_Support!AU48)^2*(S13_PSP_Species_Support!AV48*(1-EXP(-S13_PSP_Species_Support!AW48*17))^S13_PSP_Species_Support!AX48))^0.976,0)+IFERROR(S13_PSP_Species_Support!BB48*0.0673*(S13_PSP_Species_Support!BC48*(S13_PSP_Species_Support!BD48*(1-EXP(-S13_PSP_Species_Support!BE48*17))^S13_PSP_Species_Support!BF48)^2*(S13_PSP_Species_Support!BG48*(1-EXP(-S13_PSP_Species_Support!BH48*17))^S13_PSP_Species_Support!BI48))^0.976,0)+IFERROR(S13_PSP_Species_Support!BM48*0.0673*(S13_PSP_Species_Support!BN48*(S13_PSP_Species_Support!BO48*(1-EXP(-S13_PSP_Species_Support!BP48*17))^S13_PSP_Species_Support!BQ48)^2*(S13_PSP_Species_Support!BR48*(1-EXP(-S13_PSP_Species_Support!BS48*17))^S13_PSP_Species_Support!BT48))^0.976,0)+IFERROR(S13_PSP_Species_Support!BX48*0.0673*(S13_PSP_Species_Support!BY48*(S13_PSP_Species_Support!BZ48*(1-EXP(-S13_PSP_Species_Support!CA48*17))^S13_PSP_Species_Support!CB48)^2*(S13_PSP_Species_Support!CC48*(1-EXP(-S13_PSP_Species_Support!CD48*17))^S13_PSP_Species_Support!CE48))^0.976,0)+IFERROR(S13_PSP_Species_Support!CI48*0.0673*(S13_PSP_Species_Support!CJ48*(S13_PSP_Species_Support!CK48*(1-EXP(-S13_PSP_Species_Support!CL48*17))^S13_PSP_Species_Support!CM48)^2*(S13_PSP_Species_Support!CN48*(1-EXP(-S13_PSP_Species_Support!CO48*17))^S13_PSP_Species_Support!CP48))^0.976,0)+IFERROR(S13_PSP_Species_Support!CT48*0.0673*(S13_PSP_Species_Support!CU48*(S13_PSP_Species_Support!CV48*(1-EXP(-S13_PSP_Species_Support!CW48*17))^S13_PSP_Species_Support!CX48)^2*(S13_PSP_Species_Support!CY48*(1-EXP(-S13_PSP_Species_Support!CZ48*17))^S13_PSP_Species_Support!DA48))^0.976,0))/1000/$G61*Z$108,0)</x:f>
        <x:v>3891.627786444834</x:v>
      </x:c>
      <x:c r="AA61" s="147" t="n">
        <x:f aca="0">IFERROR((IFERROR(S13_PSP_Species_Support!U48*0.0673*(S13_PSP_Species_Support!V48*(S13_PSP_Species_Support!W48*(1-EXP(-S13_PSP_Species_Support!X48*18))^S13_PSP_Species_Support!Y48)^2*(S13_PSP_Species_Support!Z48*(1-EXP(-S13_PSP_Species_Support!AA48*18))^S13_PSP_Species_Support!AB48))^0.976,0)+IFERROR(S13_PSP_Species_Support!AF48*0.0673*(S13_PSP_Species_Support!AG48*(S13_PSP_Species_Support!AH48*(1-EXP(-S13_PSP_Species_Support!AI48*18))^S13_PSP_Species_Support!AJ48)^2*(S13_PSP_Species_Support!AK48*(1-EXP(-S13_PSP_Species_Support!AL48*18))^S13_PSP_Species_Support!AM48))^0.976,0)+IFERROR(S13_PSP_Species_Support!AQ48*0.0673*(S13_PSP_Species_Support!AR48*(S13_PSP_Species_Support!AS48*(1-EXP(-S13_PSP_Species_Support!AT48*18))^S13_PSP_Species_Support!AU48)^2*(S13_PSP_Species_Support!AV48*(1-EXP(-S13_PSP_Species_Support!AW48*18))^S13_PSP_Species_Support!AX48))^0.976,0)+IFERROR(S13_PSP_Species_Support!BB48*0.0673*(S13_PSP_Species_Support!BC48*(S13_PSP_Species_Support!BD48*(1-EXP(-S13_PSP_Species_Support!BE48*18))^S13_PSP_Species_Support!BF48)^2*(S13_PSP_Species_Support!BG48*(1-EXP(-S13_PSP_Species_Support!BH48*18))^S13_PSP_Species_Support!BI48))^0.976,0)+IFERROR(S13_PSP_Species_Support!BM48*0.0673*(S13_PSP_Species_Support!BN48*(S13_PSP_Species_Support!BO48*(1-EXP(-S13_PSP_Species_Support!BP48*18))^S13_PSP_Species_Support!BQ48)^2*(S13_PSP_Species_Support!BR48*(1-EXP(-S13_PSP_Species_Support!BS48*18))^S13_PSP_Species_Support!BT48))^0.976,0)+IFERROR(S13_PSP_Species_Support!BX48*0.0673*(S13_PSP_Species_Support!BY48*(S13_PSP_Species_Support!BZ48*(1-EXP(-S13_PSP_Species_Support!CA48*18))^S13_PSP_Species_Support!CB48)^2*(S13_PSP_Species_Support!CC48*(1-EXP(-S13_PSP_Species_Support!CD48*18))^S13_PSP_Species_Support!CE48))^0.976,0)+IFERROR(S13_PSP_Species_Support!CI48*0.0673*(S13_PSP_Species_Support!CJ48*(S13_PSP_Species_Support!CK48*(1-EXP(-S13_PSP_Species_Support!CL48*18))^S13_PSP_Species_Support!CM48)^2*(S13_PSP_Species_Support!CN48*(1-EXP(-S13_PSP_Species_Support!CO48*18))^S13_PSP_Species_Support!CP48))^0.976,0)+IFERROR(S13_PSP_Species_Support!CT48*0.0673*(S13_PSP_Species_Support!CU48*(S13_PSP_Species_Support!CV48*(1-EXP(-S13_PSP_Species_Support!CW48*18))^S13_PSP_Species_Support!CX48)^2*(S13_PSP_Species_Support!CY48*(1-EXP(-S13_PSP_Species_Support!CZ48*18))^S13_PSP_Species_Support!DA48))^0.976,0))/1000/$G61*AA$108,0)</x:f>
        <x:v>4024.7256134252766</x:v>
      </x:c>
      <x:c r="AB61" s="147" t="n">
        <x:f aca="0">IFERROR((IFERROR(S13_PSP_Species_Support!U48*0.0673*(S13_PSP_Species_Support!V48*(S13_PSP_Species_Support!W48*(1-EXP(-S13_PSP_Species_Support!X48*19))^S13_PSP_Species_Support!Y48)^2*(S13_PSP_Species_Support!Z48*(1-EXP(-S13_PSP_Species_Support!AA48*19))^S13_PSP_Species_Support!AB48))^0.976,0)+IFERROR(S13_PSP_Species_Support!AF48*0.0673*(S13_PSP_Species_Support!AG48*(S13_PSP_Species_Support!AH48*(1-EXP(-S13_PSP_Species_Support!AI48*19))^S13_PSP_Species_Support!AJ48)^2*(S13_PSP_Species_Support!AK48*(1-EXP(-S13_PSP_Species_Support!AL48*19))^S13_PSP_Species_Support!AM48))^0.976,0)+IFERROR(S13_PSP_Species_Support!AQ48*0.0673*(S13_PSP_Species_Support!AR48*(S13_PSP_Species_Support!AS48*(1-EXP(-S13_PSP_Species_Support!AT48*19))^S13_PSP_Species_Support!AU48)^2*(S13_PSP_Species_Support!AV48*(1-EXP(-S13_PSP_Species_Support!AW48*19))^S13_PSP_Species_Support!AX48))^0.976,0)+IFERROR(S13_PSP_Species_Support!BB48*0.0673*(S13_PSP_Species_Support!BC48*(S13_PSP_Species_Support!BD48*(1-EXP(-S13_PSP_Species_Support!BE48*19))^S13_PSP_Species_Support!BF48)^2*(S13_PSP_Species_Support!BG48*(1-EXP(-S13_PSP_Species_Support!BH48*19))^S13_PSP_Species_Support!BI48))^0.976,0)+IFERROR(S13_PSP_Species_Support!BM48*0.0673*(S13_PSP_Species_Support!BN48*(S13_PSP_Species_Support!BO48*(1-EXP(-S13_PSP_Species_Support!BP48*19))^S13_PSP_Species_Support!BQ48)^2*(S13_PSP_Species_Support!BR48*(1-EXP(-S13_PSP_Species_Support!BS48*19))^S13_PSP_Species_Support!BT48))^0.976,0)+IFERROR(S13_PSP_Species_Support!BX48*0.0673*(S13_PSP_Species_Support!BY48*(S13_PSP_Species_Support!BZ48*(1-EXP(-S13_PSP_Species_Support!CA48*19))^S13_PSP_Species_Support!CB48)^2*(S13_PSP_Species_Support!CC48*(1-EXP(-S13_PSP_Species_Support!CD48*19))^S13_PSP_Species_Support!CE48))^0.976,0)+IFERROR(S13_PSP_Species_Support!CI48*0.0673*(S13_PSP_Species_Support!CJ48*(S13_PSP_Species_Support!CK48*(1-EXP(-S13_PSP_Species_Support!CL48*19))^S13_PSP_Species_Support!CM48)^2*(S13_PSP_Species_Support!CN48*(1-EXP(-S13_PSP_Species_Support!CO48*19))^S13_PSP_Species_Support!CP48))^0.976,0)+IFERROR(S13_PSP_Species_Support!CT48*0.0673*(S13_PSP_Species_Support!CU48*(S13_PSP_Species_Support!CV48*(1-EXP(-S13_PSP_Species_Support!CW48*19))^S13_PSP_Species_Support!CX48)^2*(S13_PSP_Species_Support!CY48*(1-EXP(-S13_PSP_Species_Support!CZ48*19))^S13_PSP_Species_Support!DA48))^0.976,0))/1000/$G61*AB$108,0)</x:f>
        <x:v>4139.695716291595</x:v>
      </x:c>
      <x:c r="AC61" s="147" t="n">
        <x:f aca="0">IFERROR((IFERROR(S13_PSP_Species_Support!U48*0.0673*(S13_PSP_Species_Support!V48*(S13_PSP_Species_Support!W48*(1-EXP(-S13_PSP_Species_Support!X48*20))^S13_PSP_Species_Support!Y48)^2*(S13_PSP_Species_Support!Z48*(1-EXP(-S13_PSP_Species_Support!AA48*20))^S13_PSP_Species_Support!AB48))^0.976,0)+IFERROR(S13_PSP_Species_Support!AF48*0.0673*(S13_PSP_Species_Support!AG48*(S13_PSP_Species_Support!AH48*(1-EXP(-S13_PSP_Species_Support!AI48*20))^S13_PSP_Species_Support!AJ48)^2*(S13_PSP_Species_Support!AK48*(1-EXP(-S13_PSP_Species_Support!AL48*20))^S13_PSP_Species_Support!AM48))^0.976,0)+IFERROR(S13_PSP_Species_Support!AQ48*0.0673*(S13_PSP_Species_Support!AR48*(S13_PSP_Species_Support!AS48*(1-EXP(-S13_PSP_Species_Support!AT48*20))^S13_PSP_Species_Support!AU48)^2*(S13_PSP_Species_Support!AV48*(1-EXP(-S13_PSP_Species_Support!AW48*20))^S13_PSP_Species_Support!AX48))^0.976,0)+IFERROR(S13_PSP_Species_Support!BB48*0.0673*(S13_PSP_Species_Support!BC48*(S13_PSP_Species_Support!BD48*(1-EXP(-S13_PSP_Species_Support!BE48*20))^S13_PSP_Species_Support!BF48)^2*(S13_PSP_Species_Support!BG48*(1-EXP(-S13_PSP_Species_Support!BH48*20))^S13_PSP_Species_Support!BI48))^0.976,0)+IFERROR(S13_PSP_Species_Support!BM48*0.0673*(S13_PSP_Species_Support!BN48*(S13_PSP_Species_Support!BO48*(1-EXP(-S13_PSP_Species_Support!BP48*20))^S13_PSP_Species_Support!BQ48)^2*(S13_PSP_Species_Support!BR48*(1-EXP(-S13_PSP_Species_Support!BS48*20))^S13_PSP_Species_Support!BT48))^0.976,0)+IFERROR(S13_PSP_Species_Support!BX48*0.0673*(S13_PSP_Species_Support!BY48*(S13_PSP_Species_Support!BZ48*(1-EXP(-S13_PSP_Species_Support!CA48*20))^S13_PSP_Species_Support!CB48)^2*(S13_PSP_Species_Support!CC48*(1-EXP(-S13_PSP_Species_Support!CD48*20))^S13_PSP_Species_Support!CE48))^0.976,0)+IFERROR(S13_PSP_Species_Support!CI48*0.0673*(S13_PSP_Species_Support!CJ48*(S13_PSP_Species_Support!CK48*(1-EXP(-S13_PSP_Species_Support!CL48*20))^S13_PSP_Species_Support!CM48)^2*(S13_PSP_Species_Support!CN48*(1-EXP(-S13_PSP_Species_Support!CO48*20))^S13_PSP_Species_Support!CP48))^0.976,0)+IFERROR(S13_PSP_Species_Support!CT48*0.0673*(S13_PSP_Species_Support!CU48*(S13_PSP_Species_Support!CV48*(1-EXP(-S13_PSP_Species_Support!CW48*20))^S13_PSP_Species_Support!CX48)^2*(S13_PSP_Species_Support!CY48*(1-EXP(-S13_PSP_Species_Support!CZ48*20))^S13_PSP_Species_Support!DA48))^0.976,0))/1000/$G61*AC$108,0)</x:f>
        <x:v>4238.671643328368</x:v>
      </x:c>
      <x:c r="AD61" s="148" t="n">
        <x:f aca="0">IF(2020&lt;$F61,0,INDEX($I61:$AC61,1,2020-$F61+1))</x:f>
        <x:v>0</x:v>
      </x:c>
      <x:c r="AE61" s="148" t="n">
        <x:f aca="0">IF(2021&lt;$F61,0,INDEX($I61:$AC61,1,2021-$F61+1))</x:f>
        <x:v>5.252535955427289</x:v>
      </x:c>
      <x:c r="AF61" s="148" t="n">
        <x:f aca="0">IF(2022&lt;$F61,0,INDEX($I61:$AC61,1,2022-$F61+1))</x:f>
        <x:v>49.55496680898417</x:v>
      </x:c>
      <x:c r="AG61" s="148" t="n">
        <x:f aca="0">IF(2023&lt;$F61,0,INDEX($I61:$AC61,1,2023-$F61+1))</x:f>
        <x:v>164.00675544332086</x:v>
      </x:c>
      <x:c r="AH61" s="148" t="n">
        <x:f aca="0">IF(2024&lt;$F61,0,INDEX($I61:$AC61,1,2024-$F61+1))</x:f>
        <x:v>357.4993483097315</x:v>
      </x:c>
      <x:c r="AI61" s="148" t="n">
        <x:f aca="0">IF(2025&lt;$F61,0,INDEX($I61:$AC61,1,2025-$F61+1))</x:f>
        <x:v>618.9864996614518</x:v>
      </x:c>
      <x:c r="AJ61" s="148" t="n">
        <x:f aca="0">IF(2026&lt;$F61,0,INDEX($I61:$AC61,1,2026-$F61+1))</x:f>
        <x:v>929.4487491711626</x:v>
      </x:c>
      <x:c r="AK61" s="148" t="n">
        <x:f aca="0">IF(2027&lt;$F61,0,INDEX($I61:$AC61,1,2027-$F61+1))</x:f>
        <x:v>1268.295339765666</x:v>
      </x:c>
      <x:c r="AL61" s="148" t="n">
        <x:f aca="0">IF(2028&lt;$F61,0,INDEX($I61:$AC61,1,2028-$F61+1))</x:f>
        <x:v>1617.1674068829195</x:v>
      </x:c>
      <x:c r="AM61" s="148" t="n">
        <x:f aca="0">IF(2029&lt;$F61,0,INDEX($I61:$AC61,1,2029-$F61+1))</x:f>
        <x:v>1961.5161464390144</x:v>
      </x:c>
      <x:c r="AN61" s="148" t="n">
        <x:f aca="0">IF(2030&lt;$F61,0,INDEX($I61:$AC61,1,2030-$F61+1))</x:f>
        <x:v>2290.855484628168</x:v>
      </x:c>
      <x:c r="AO61" s="148" t="n">
        <x:f aca="0">IF(2031&lt;$F61,0,INDEX($I61:$AC61,1,2031-$F61+1))</x:f>
        <x:v>2598.3437391707103</x:v>
      </x:c>
      <x:c r="AP61" s="148" t="n">
        <x:f aca="0">IF(2032&lt;$F61,0,INDEX($I61:$AC61,1,2032-$F61+1))</x:f>
        <x:v>2880.102518054437</x:v>
      </x:c>
      <x:c r="AQ61" s="148" t="n">
        <x:f aca="0">IF(2033&lt;$F61,0,INDEX($I61:$AC61,1,2033-$F61+1))</x:f>
        <x:v>3134.499488607321</x:v>
      </x:c>
      <x:c r="AR61" s="148" t="n">
        <x:f aca="0">IF(2034&lt;$F61,0,INDEX($I61:$AC61,1,2034-$F61+1))</x:f>
        <x:v>3361.5047478449064</x:v>
      </x:c>
      <x:c r="AS61" s="148" t="n">
        <x:f aca="0">IF(2035&lt;$F61,0,INDEX($I61:$AC61,1,2035-$F61+1))</x:f>
        <x:v>3562.162047977451</x:v>
      </x:c>
      <x:c r="AT61" s="148" t="n">
        <x:f aca="0">IF(2036&lt;$F61,0,INDEX($I61:$AC61,1,2036-$F61+1))</x:f>
        <x:v>3738.179573717453</x:v>
      </x:c>
      <x:c r="AU61" s="148" t="n">
        <x:f aca="0">IF(2037&lt;$F61,0,INDEX($I61:$AC61,1,2037-$F61+1))</x:f>
        <x:v>3891.627786444834</x:v>
      </x:c>
      <x:c r="AV61" s="148" t="n">
        <x:f aca="0">IF(2038&lt;$F61,0,INDEX($I61:$AC61,1,2038-$F61+1))</x:f>
        <x:v>4024.7256134252766</x:v>
      </x:c>
      <x:c r="AW61" s="148" t="n">
        <x:f aca="0">IF(2039&lt;$F61,0,INDEX($I61:$AC61,1,2039-$F61+1))</x:f>
        <x:v>4139.695716291595</x:v>
      </x:c>
      <x:c r="AX61" s="148" t="n">
        <x:f aca="0">IF(2040&lt;$F61,0,INDEX($I61:$AC61,1,2040-$F61+1))</x:f>
        <x:v>4238.671643328368</x:v>
      </x:c>
      <x:c r="AY61" s="1" t="str">
        <x:f aca="0">LEFT($C61,FIND("@",SUBSTITUTE($C61,"|","@",2))-1)</x:f>
        <x:v>Timber Plantation|High</x:v>
      </x:c>
      <x:c r="AZ61" s="1" t="str">
        <x:f aca="0">LEFT($C61,FIND("|",$C61)-1)</x:f>
        <x:v>Timber Plantation</x:v>
      </x:c>
      <x:c r="BA61" s="149" t="n">
        <x:f aca="0">I61*I61</x:f>
        <x:v>0</x:v>
      </x:c>
      <x:c r="BB61" s="149" t="n">
        <x:f aca="0">J61*J61</x:f>
        <x:v>27.589133963056465</x:v>
      </x:c>
      <x:c r="BC61" s="149" t="n">
        <x:f aca="0">K61*K61</x:f>
        <x:v>2455.6947354395224</x:v>
      </x:c>
      <x:c r="BD61" s="149" t="n">
        <x:f aca="0">L61*L61</x:f>
        <x:v>26898.215831045254</x:v>
      </x:c>
      <x:c r="BE61" s="149" t="n">
        <x:f aca="0">M61*M61</x:f>
        <x:v>127805.78404188271</x:v>
      </x:c>
      <x:c r="BF61" s="149" t="n">
        <x:f aca="0">N61*N61</x:f>
        <x:v>383144.2867631365</x:v>
      </x:c>
      <x:c r="BG61" s="149" t="n">
        <x:f aca="0">O61*O61</x:f>
        <x:v>863874.9773358387</x:v>
      </x:c>
      <x:c r="BH61" s="149" t="n">
        <x:f aca="0">P61*P61</x:f>
        <x:v>1608573.0688713065</x:v>
      </x:c>
      <x:c r="BI61" s="149" t="n">
        <x:f aca="0">Q61*Q61</x:f>
        <x:v>2615230.4218844264</x:v>
      </x:c>
      <x:c r="BJ61" s="149" t="n">
        <x:f aca="0">R61*R61</x:f>
        <x:v>3847545.592740961</x:v>
      </x:c>
      <x:c r="BK61" s="149" t="n">
        <x:f aca="0">S61*S61</x:f>
        <x:v>5248018.851450959</x:v>
      </x:c>
      <x:c r="BL61" s="149" t="n">
        <x:f aca="0">T61*T61</x:f>
        <x:v>6751390.186887628</x:v>
      </x:c>
      <x:c r="BM61" s="149" t="n">
        <x:f aca="0">U61*U61</x:f>
        <x:v>8294990.514503509</x:v>
      </x:c>
      <x:c r="BN61" s="149" t="n">
        <x:f aca="0">V61*V61</x:f>
        <x:v>9825087.044079557</x:v>
      </x:c>
      <x:c r="BO61" s="149" t="n">
        <x:f aca="0">W61*W61</x:f>
        <x:v>11299714.169783847</x:v>
      </x:c>
      <x:c r="BP61" s="149" t="n">
        <x:f aca="0">X61*X61</x:f>
        <x:v>12688998.456050908</x:v>
      </x:c>
      <x:c r="BQ61" s="149" t="n">
        <x:f aca="0">Y61*Y61</x:f>
        <x:v>13973986.525358398</x:v>
      </x:c>
      <x:c r="BR61" s="149" t="n">
        <x:f aca="0">Z61*Z61</x:f>
        <x:v>15144766.828229517</x:v>
      </x:c>
      <x:c r="BS61" s="149" t="n">
        <x:f aca="0">AA61*AA61</x:f>
        <x:v>16198416.263361469</x:v>
      </x:c>
      <x:c r="BT61" s="149" t="n">
        <x:f aca="0">AB61*AB61</x:f>
        <x:v>17137080.623482984</x:v>
      </x:c>
      <x:c r="BU61" s="149" t="n">
        <x:f aca="0">AC61*AC61</x:f>
        <x:v>17966337.29995601</x:v>
      </x:c>
    </x:row>
    <x:row r="62" ht="15" hidden="0" customHeight="1">
      <x:c r="A62" s="1" t="str">
        <x:f aca="0">S13_PSP_Species_Support!A49</x:f>
        <x:v>PSP-TP-008</x:v>
      </x:c>
      <x:c r="B62" s="1" t="n">
        <x:f aca="0">49</x:f>
        <x:v>49</x:v>
      </x:c>
      <x:c r="C62" s="1" t="str">
        <x:f aca="0">S13_PSP_Species_Support!I49</x:f>
        <x:v>Timber Plantation|High|2020</x:v>
      </x:c>
      <x:c r="D62" s="1" t="str">
        <x:f aca="0">S13_PSP_Species_Support!C49</x:f>
        <x:v>Timber Plantation</x:v>
      </x:c>
      <x:c r="E62" s="1" t="str">
        <x:f aca="0">S13_PSP_Species_Support!D49</x:f>
        <x:v>High</x:v>
      </x:c>
      <x:c r="F62" s="1" t="n">
        <x:f aca="0">S13_PSP_Species_Support!E49</x:f>
        <x:v>2020</x:v>
      </x:c>
      <x:c r="G62" s="645" t="n">
        <x:f aca="0">'S13_PSP_Species_Support'!DJ49</x:f>
        <x:v>0.09</x:v>
      </x:c>
      <x:c r="H62" s="714" t="n">
        <x:f aca="0">'S13_PSP_Species_Support'!DK49</x:f>
        <x:v>215.31100478468898</x:v>
      </x:c>
      <x:c r="I62" s="147" t="n">
        <x:f aca="0">IFERROR((IFERROR(S13_PSP_Species_Support!U49*0.0673*(S13_PSP_Species_Support!V49*(S13_PSP_Species_Support!W49*(1-EXP(-S13_PSP_Species_Support!X49*0))^S13_PSP_Species_Support!Y49)^2*(S13_PSP_Species_Support!Z49*(1-EXP(-S13_PSP_Species_Support!AA49*0))^S13_PSP_Species_Support!AB49))^0.976,0)+IFERROR(S13_PSP_Species_Support!AF49*0.0673*(S13_PSP_Species_Support!AG49*(S13_PSP_Species_Support!AH49*(1-EXP(-S13_PSP_Species_Support!AI49*0))^S13_PSP_Species_Support!AJ49)^2*(S13_PSP_Species_Support!AK49*(1-EXP(-S13_PSP_Species_Support!AL49*0))^S13_PSP_Species_Support!AM49))^0.976,0)+IFERROR(S13_PSP_Species_Support!AQ49*0.0673*(S13_PSP_Species_Support!AR49*(S13_PSP_Species_Support!AS49*(1-EXP(-S13_PSP_Species_Support!AT49*0))^S13_PSP_Species_Support!AU49)^2*(S13_PSP_Species_Support!AV49*(1-EXP(-S13_PSP_Species_Support!AW49*0))^S13_PSP_Species_Support!AX49))^0.976,0)+IFERROR(S13_PSP_Species_Support!BB49*0.0673*(S13_PSP_Species_Support!BC49*(S13_PSP_Species_Support!BD49*(1-EXP(-S13_PSP_Species_Support!BE49*0))^S13_PSP_Species_Support!BF49)^2*(S13_PSP_Species_Support!BG49*(1-EXP(-S13_PSP_Species_Support!BH49*0))^S13_PSP_Species_Support!BI49))^0.976,0)+IFERROR(S13_PSP_Species_Support!BM49*0.0673*(S13_PSP_Species_Support!BN49*(S13_PSP_Species_Support!BO49*(1-EXP(-S13_PSP_Species_Support!BP49*0))^S13_PSP_Species_Support!BQ49)^2*(S13_PSP_Species_Support!BR49*(1-EXP(-S13_PSP_Species_Support!BS49*0))^S13_PSP_Species_Support!BT49))^0.976,0)+IFERROR(S13_PSP_Species_Support!BX49*0.0673*(S13_PSP_Species_Support!BY49*(S13_PSP_Species_Support!BZ49*(1-EXP(-S13_PSP_Species_Support!CA49*0))^S13_PSP_Species_Support!CB49)^2*(S13_PSP_Species_Support!CC49*(1-EXP(-S13_PSP_Species_Support!CD49*0))^S13_PSP_Species_Support!CE49))^0.976,0)+IFERROR(S13_PSP_Species_Support!CI49*0.0673*(S13_PSP_Species_Support!CJ49*(S13_PSP_Species_Support!CK49*(1-EXP(-S13_PSP_Species_Support!CL49*0))^S13_PSP_Species_Support!CM49)^2*(S13_PSP_Species_Support!CN49*(1-EXP(-S13_PSP_Species_Support!CO49*0))^S13_PSP_Species_Support!CP49))^0.976,0)+IFERROR(S13_PSP_Species_Support!CT49*0.0673*(S13_PSP_Species_Support!CU49*(S13_PSP_Species_Support!CV49*(1-EXP(-S13_PSP_Species_Support!CW49*0))^S13_PSP_Species_Support!CX49)^2*(S13_PSP_Species_Support!CY49*(1-EXP(-S13_PSP_Species_Support!CZ49*0))^S13_PSP_Species_Support!DA49))^0.976,0))/1000/$G62*I$108,0)</x:f>
        <x:v>0</x:v>
      </x:c>
      <x:c r="J62" s="147" t="n">
        <x:f aca="0">IFERROR((IFERROR(S13_PSP_Species_Support!U49*0.0673*(S13_PSP_Species_Support!V49*(S13_PSP_Species_Support!W49*(1-EXP(-S13_PSP_Species_Support!X49*1))^S13_PSP_Species_Support!Y49)^2*(S13_PSP_Species_Support!Z49*(1-EXP(-S13_PSP_Species_Support!AA49*1))^S13_PSP_Species_Support!AB49))^0.976,0)+IFERROR(S13_PSP_Species_Support!AF49*0.0673*(S13_PSP_Species_Support!AG49*(S13_PSP_Species_Support!AH49*(1-EXP(-S13_PSP_Species_Support!AI49*1))^S13_PSP_Species_Support!AJ49)^2*(S13_PSP_Species_Support!AK49*(1-EXP(-S13_PSP_Species_Support!AL49*1))^S13_PSP_Species_Support!AM49))^0.976,0)+IFERROR(S13_PSP_Species_Support!AQ49*0.0673*(S13_PSP_Species_Support!AR49*(S13_PSP_Species_Support!AS49*(1-EXP(-S13_PSP_Species_Support!AT49*1))^S13_PSP_Species_Support!AU49)^2*(S13_PSP_Species_Support!AV49*(1-EXP(-S13_PSP_Species_Support!AW49*1))^S13_PSP_Species_Support!AX49))^0.976,0)+IFERROR(S13_PSP_Species_Support!BB49*0.0673*(S13_PSP_Species_Support!BC49*(S13_PSP_Species_Support!BD49*(1-EXP(-S13_PSP_Species_Support!BE49*1))^S13_PSP_Species_Support!BF49)^2*(S13_PSP_Species_Support!BG49*(1-EXP(-S13_PSP_Species_Support!BH49*1))^S13_PSP_Species_Support!BI49))^0.976,0)+IFERROR(S13_PSP_Species_Support!BM49*0.0673*(S13_PSP_Species_Support!BN49*(S13_PSP_Species_Support!BO49*(1-EXP(-S13_PSP_Species_Support!BP49*1))^S13_PSP_Species_Support!BQ49)^2*(S13_PSP_Species_Support!BR49*(1-EXP(-S13_PSP_Species_Support!BS49*1))^S13_PSP_Species_Support!BT49))^0.976,0)+IFERROR(S13_PSP_Species_Support!BX49*0.0673*(S13_PSP_Species_Support!BY49*(S13_PSP_Species_Support!BZ49*(1-EXP(-S13_PSP_Species_Support!CA49*1))^S13_PSP_Species_Support!CB49)^2*(S13_PSP_Species_Support!CC49*(1-EXP(-S13_PSP_Species_Support!CD49*1))^S13_PSP_Species_Support!CE49))^0.976,0)+IFERROR(S13_PSP_Species_Support!CI49*0.0673*(S13_PSP_Species_Support!CJ49*(S13_PSP_Species_Support!CK49*(1-EXP(-S13_PSP_Species_Support!CL49*1))^S13_PSP_Species_Support!CM49)^2*(S13_PSP_Species_Support!CN49*(1-EXP(-S13_PSP_Species_Support!CO49*1))^S13_PSP_Species_Support!CP49))^0.976,0)+IFERROR(S13_PSP_Species_Support!CT49*0.0673*(S13_PSP_Species_Support!CU49*(S13_PSP_Species_Support!CV49*(1-EXP(-S13_PSP_Species_Support!CW49*1))^S13_PSP_Species_Support!CX49)^2*(S13_PSP_Species_Support!CY49*(1-EXP(-S13_PSP_Species_Support!CZ49*1))^S13_PSP_Species_Support!DA49))^0.976,0))/1000/$G62*J$108,0)</x:f>
        <x:v>5.61083862830509</x:v>
      </x:c>
      <x:c r="K62" s="147" t="n">
        <x:f aca="0">IFERROR((IFERROR(S13_PSP_Species_Support!U49*0.0673*(S13_PSP_Species_Support!V49*(S13_PSP_Species_Support!W49*(1-EXP(-S13_PSP_Species_Support!X49*2))^S13_PSP_Species_Support!Y49)^2*(S13_PSP_Species_Support!Z49*(1-EXP(-S13_PSP_Species_Support!AA49*2))^S13_PSP_Species_Support!AB49))^0.976,0)+IFERROR(S13_PSP_Species_Support!AF49*0.0673*(S13_PSP_Species_Support!AG49*(S13_PSP_Species_Support!AH49*(1-EXP(-S13_PSP_Species_Support!AI49*2))^S13_PSP_Species_Support!AJ49)^2*(S13_PSP_Species_Support!AK49*(1-EXP(-S13_PSP_Species_Support!AL49*2))^S13_PSP_Species_Support!AM49))^0.976,0)+IFERROR(S13_PSP_Species_Support!AQ49*0.0673*(S13_PSP_Species_Support!AR49*(S13_PSP_Species_Support!AS49*(1-EXP(-S13_PSP_Species_Support!AT49*2))^S13_PSP_Species_Support!AU49)^2*(S13_PSP_Species_Support!AV49*(1-EXP(-S13_PSP_Species_Support!AW49*2))^S13_PSP_Species_Support!AX49))^0.976,0)+IFERROR(S13_PSP_Species_Support!BB49*0.0673*(S13_PSP_Species_Support!BC49*(S13_PSP_Species_Support!BD49*(1-EXP(-S13_PSP_Species_Support!BE49*2))^S13_PSP_Species_Support!BF49)^2*(S13_PSP_Species_Support!BG49*(1-EXP(-S13_PSP_Species_Support!BH49*2))^S13_PSP_Species_Support!BI49))^0.976,0)+IFERROR(S13_PSP_Species_Support!BM49*0.0673*(S13_PSP_Species_Support!BN49*(S13_PSP_Species_Support!BO49*(1-EXP(-S13_PSP_Species_Support!BP49*2))^S13_PSP_Species_Support!BQ49)^2*(S13_PSP_Species_Support!BR49*(1-EXP(-S13_PSP_Species_Support!BS49*2))^S13_PSP_Species_Support!BT49))^0.976,0)+IFERROR(S13_PSP_Species_Support!BX49*0.0673*(S13_PSP_Species_Support!BY49*(S13_PSP_Species_Support!BZ49*(1-EXP(-S13_PSP_Species_Support!CA49*2))^S13_PSP_Species_Support!CB49)^2*(S13_PSP_Species_Support!CC49*(1-EXP(-S13_PSP_Species_Support!CD49*2))^S13_PSP_Species_Support!CE49))^0.976,0)+IFERROR(S13_PSP_Species_Support!CI49*0.0673*(S13_PSP_Species_Support!CJ49*(S13_PSP_Species_Support!CK49*(1-EXP(-S13_PSP_Species_Support!CL49*2))^S13_PSP_Species_Support!CM49)^2*(S13_PSP_Species_Support!CN49*(1-EXP(-S13_PSP_Species_Support!CO49*2))^S13_PSP_Species_Support!CP49))^0.976,0)+IFERROR(S13_PSP_Species_Support!CT49*0.0673*(S13_PSP_Species_Support!CU49*(S13_PSP_Species_Support!CV49*(1-EXP(-S13_PSP_Species_Support!CW49*2))^S13_PSP_Species_Support!CX49)^2*(S13_PSP_Species_Support!CY49*(1-EXP(-S13_PSP_Species_Support!CZ49*2))^S13_PSP_Species_Support!DA49))^0.976,0))/1000/$G62*K$108,0)</x:f>
        <x:v>52.93536766919784</x:v>
      </x:c>
      <x:c r="L62" s="147" t="n">
        <x:f aca="0">IFERROR((IFERROR(S13_PSP_Species_Support!U49*0.0673*(S13_PSP_Species_Support!V49*(S13_PSP_Species_Support!W49*(1-EXP(-S13_PSP_Species_Support!X49*3))^S13_PSP_Species_Support!Y49)^2*(S13_PSP_Species_Support!Z49*(1-EXP(-S13_PSP_Species_Support!AA49*3))^S13_PSP_Species_Support!AB49))^0.976,0)+IFERROR(S13_PSP_Species_Support!AF49*0.0673*(S13_PSP_Species_Support!AG49*(S13_PSP_Species_Support!AH49*(1-EXP(-S13_PSP_Species_Support!AI49*3))^S13_PSP_Species_Support!AJ49)^2*(S13_PSP_Species_Support!AK49*(1-EXP(-S13_PSP_Species_Support!AL49*3))^S13_PSP_Species_Support!AM49))^0.976,0)+IFERROR(S13_PSP_Species_Support!AQ49*0.0673*(S13_PSP_Species_Support!AR49*(S13_PSP_Species_Support!AS49*(1-EXP(-S13_PSP_Species_Support!AT49*3))^S13_PSP_Species_Support!AU49)^2*(S13_PSP_Species_Support!AV49*(1-EXP(-S13_PSP_Species_Support!AW49*3))^S13_PSP_Species_Support!AX49))^0.976,0)+IFERROR(S13_PSP_Species_Support!BB49*0.0673*(S13_PSP_Species_Support!BC49*(S13_PSP_Species_Support!BD49*(1-EXP(-S13_PSP_Species_Support!BE49*3))^S13_PSP_Species_Support!BF49)^2*(S13_PSP_Species_Support!BG49*(1-EXP(-S13_PSP_Species_Support!BH49*3))^S13_PSP_Species_Support!BI49))^0.976,0)+IFERROR(S13_PSP_Species_Support!BM49*0.0673*(S13_PSP_Species_Support!BN49*(S13_PSP_Species_Support!BO49*(1-EXP(-S13_PSP_Species_Support!BP49*3))^S13_PSP_Species_Support!BQ49)^2*(S13_PSP_Species_Support!BR49*(1-EXP(-S13_PSP_Species_Support!BS49*3))^S13_PSP_Species_Support!BT49))^0.976,0)+IFERROR(S13_PSP_Species_Support!BX49*0.0673*(S13_PSP_Species_Support!BY49*(S13_PSP_Species_Support!BZ49*(1-EXP(-S13_PSP_Species_Support!CA49*3))^S13_PSP_Species_Support!CB49)^2*(S13_PSP_Species_Support!CC49*(1-EXP(-S13_PSP_Species_Support!CD49*3))^S13_PSP_Species_Support!CE49))^0.976,0)+IFERROR(S13_PSP_Species_Support!CI49*0.0673*(S13_PSP_Species_Support!CJ49*(S13_PSP_Species_Support!CK49*(1-EXP(-S13_PSP_Species_Support!CL49*3))^S13_PSP_Species_Support!CM49)^2*(S13_PSP_Species_Support!CN49*(1-EXP(-S13_PSP_Species_Support!CO49*3))^S13_PSP_Species_Support!CP49))^0.976,0)+IFERROR(S13_PSP_Species_Support!CT49*0.0673*(S13_PSP_Species_Support!CU49*(S13_PSP_Species_Support!CV49*(1-EXP(-S13_PSP_Species_Support!CW49*3))^S13_PSP_Species_Support!CX49)^2*(S13_PSP_Species_Support!CY49*(1-EXP(-S13_PSP_Species_Support!CZ49*3))^S13_PSP_Species_Support!DA49))^0.976,0))/1000/$G62*L$108,0)</x:f>
        <x:v>175.19450538811435</x:v>
      </x:c>
      <x:c r="M62" s="147" t="n">
        <x:f aca="0">IFERROR((IFERROR(S13_PSP_Species_Support!U49*0.0673*(S13_PSP_Species_Support!V49*(S13_PSP_Species_Support!W49*(1-EXP(-S13_PSP_Species_Support!X49*4))^S13_PSP_Species_Support!Y49)^2*(S13_PSP_Species_Support!Z49*(1-EXP(-S13_PSP_Species_Support!AA49*4))^S13_PSP_Species_Support!AB49))^0.976,0)+IFERROR(S13_PSP_Species_Support!AF49*0.0673*(S13_PSP_Species_Support!AG49*(S13_PSP_Species_Support!AH49*(1-EXP(-S13_PSP_Species_Support!AI49*4))^S13_PSP_Species_Support!AJ49)^2*(S13_PSP_Species_Support!AK49*(1-EXP(-S13_PSP_Species_Support!AL49*4))^S13_PSP_Species_Support!AM49))^0.976,0)+IFERROR(S13_PSP_Species_Support!AQ49*0.0673*(S13_PSP_Species_Support!AR49*(S13_PSP_Species_Support!AS49*(1-EXP(-S13_PSP_Species_Support!AT49*4))^S13_PSP_Species_Support!AU49)^2*(S13_PSP_Species_Support!AV49*(1-EXP(-S13_PSP_Species_Support!AW49*4))^S13_PSP_Species_Support!AX49))^0.976,0)+IFERROR(S13_PSP_Species_Support!BB49*0.0673*(S13_PSP_Species_Support!BC49*(S13_PSP_Species_Support!BD49*(1-EXP(-S13_PSP_Species_Support!BE49*4))^S13_PSP_Species_Support!BF49)^2*(S13_PSP_Species_Support!BG49*(1-EXP(-S13_PSP_Species_Support!BH49*4))^S13_PSP_Species_Support!BI49))^0.976,0)+IFERROR(S13_PSP_Species_Support!BM49*0.0673*(S13_PSP_Species_Support!BN49*(S13_PSP_Species_Support!BO49*(1-EXP(-S13_PSP_Species_Support!BP49*4))^S13_PSP_Species_Support!BQ49)^2*(S13_PSP_Species_Support!BR49*(1-EXP(-S13_PSP_Species_Support!BS49*4))^S13_PSP_Species_Support!BT49))^0.976,0)+IFERROR(S13_PSP_Species_Support!BX49*0.0673*(S13_PSP_Species_Support!BY49*(S13_PSP_Species_Support!BZ49*(1-EXP(-S13_PSP_Species_Support!CA49*4))^S13_PSP_Species_Support!CB49)^2*(S13_PSP_Species_Support!CC49*(1-EXP(-S13_PSP_Species_Support!CD49*4))^S13_PSP_Species_Support!CE49))^0.976,0)+IFERROR(S13_PSP_Species_Support!CI49*0.0673*(S13_PSP_Species_Support!CJ49*(S13_PSP_Species_Support!CK49*(1-EXP(-S13_PSP_Species_Support!CL49*4))^S13_PSP_Species_Support!CM49)^2*(S13_PSP_Species_Support!CN49*(1-EXP(-S13_PSP_Species_Support!CO49*4))^S13_PSP_Species_Support!CP49))^0.976,0)+IFERROR(S13_PSP_Species_Support!CT49*0.0673*(S13_PSP_Species_Support!CU49*(S13_PSP_Species_Support!CV49*(1-EXP(-S13_PSP_Species_Support!CW49*4))^S13_PSP_Species_Support!CX49)^2*(S13_PSP_Species_Support!CY49*(1-EXP(-S13_PSP_Species_Support!CZ49*4))^S13_PSP_Species_Support!DA49))^0.976,0))/1000/$G62*M$108,0)</x:f>
        <x:v>381.8862298348535</x:v>
      </x:c>
      <x:c r="N62" s="147" t="n">
        <x:f aca="0">IFERROR((IFERROR(S13_PSP_Species_Support!U49*0.0673*(S13_PSP_Species_Support!V49*(S13_PSP_Species_Support!W49*(1-EXP(-S13_PSP_Species_Support!X49*5))^S13_PSP_Species_Support!Y49)^2*(S13_PSP_Species_Support!Z49*(1-EXP(-S13_PSP_Species_Support!AA49*5))^S13_PSP_Species_Support!AB49))^0.976,0)+IFERROR(S13_PSP_Species_Support!AF49*0.0673*(S13_PSP_Species_Support!AG49*(S13_PSP_Species_Support!AH49*(1-EXP(-S13_PSP_Species_Support!AI49*5))^S13_PSP_Species_Support!AJ49)^2*(S13_PSP_Species_Support!AK49*(1-EXP(-S13_PSP_Species_Support!AL49*5))^S13_PSP_Species_Support!AM49))^0.976,0)+IFERROR(S13_PSP_Species_Support!AQ49*0.0673*(S13_PSP_Species_Support!AR49*(S13_PSP_Species_Support!AS49*(1-EXP(-S13_PSP_Species_Support!AT49*5))^S13_PSP_Species_Support!AU49)^2*(S13_PSP_Species_Support!AV49*(1-EXP(-S13_PSP_Species_Support!AW49*5))^S13_PSP_Species_Support!AX49))^0.976,0)+IFERROR(S13_PSP_Species_Support!BB49*0.0673*(S13_PSP_Species_Support!BC49*(S13_PSP_Species_Support!BD49*(1-EXP(-S13_PSP_Species_Support!BE49*5))^S13_PSP_Species_Support!BF49)^2*(S13_PSP_Species_Support!BG49*(1-EXP(-S13_PSP_Species_Support!BH49*5))^S13_PSP_Species_Support!BI49))^0.976,0)+IFERROR(S13_PSP_Species_Support!BM49*0.0673*(S13_PSP_Species_Support!BN49*(S13_PSP_Species_Support!BO49*(1-EXP(-S13_PSP_Species_Support!BP49*5))^S13_PSP_Species_Support!BQ49)^2*(S13_PSP_Species_Support!BR49*(1-EXP(-S13_PSP_Species_Support!BS49*5))^S13_PSP_Species_Support!BT49))^0.976,0)+IFERROR(S13_PSP_Species_Support!BX49*0.0673*(S13_PSP_Species_Support!BY49*(S13_PSP_Species_Support!BZ49*(1-EXP(-S13_PSP_Species_Support!CA49*5))^S13_PSP_Species_Support!CB49)^2*(S13_PSP_Species_Support!CC49*(1-EXP(-S13_PSP_Species_Support!CD49*5))^S13_PSP_Species_Support!CE49))^0.976,0)+IFERROR(S13_PSP_Species_Support!CI49*0.0673*(S13_PSP_Species_Support!CJ49*(S13_PSP_Species_Support!CK49*(1-EXP(-S13_PSP_Species_Support!CL49*5))^S13_PSP_Species_Support!CM49)^2*(S13_PSP_Species_Support!CN49*(1-EXP(-S13_PSP_Species_Support!CO49*5))^S13_PSP_Species_Support!CP49))^0.976,0)+IFERROR(S13_PSP_Species_Support!CT49*0.0673*(S13_PSP_Species_Support!CU49*(S13_PSP_Species_Support!CV49*(1-EXP(-S13_PSP_Species_Support!CW49*5))^S13_PSP_Species_Support!CX49)^2*(S13_PSP_Species_Support!CY49*(1-EXP(-S13_PSP_Species_Support!CZ49*5))^S13_PSP_Species_Support!DA49))^0.976,0))/1000/$G62*N$108,0)</x:f>
        <x:v>661.2107736475837</x:v>
      </x:c>
      <x:c r="O62" s="147" t="n">
        <x:f aca="0">IFERROR((IFERROR(S13_PSP_Species_Support!U49*0.0673*(S13_PSP_Species_Support!V49*(S13_PSP_Species_Support!W49*(1-EXP(-S13_PSP_Species_Support!X49*6))^S13_PSP_Species_Support!Y49)^2*(S13_PSP_Species_Support!Z49*(1-EXP(-S13_PSP_Species_Support!AA49*6))^S13_PSP_Species_Support!AB49))^0.976,0)+IFERROR(S13_PSP_Species_Support!AF49*0.0673*(S13_PSP_Species_Support!AG49*(S13_PSP_Species_Support!AH49*(1-EXP(-S13_PSP_Species_Support!AI49*6))^S13_PSP_Species_Support!AJ49)^2*(S13_PSP_Species_Support!AK49*(1-EXP(-S13_PSP_Species_Support!AL49*6))^S13_PSP_Species_Support!AM49))^0.976,0)+IFERROR(S13_PSP_Species_Support!AQ49*0.0673*(S13_PSP_Species_Support!AR49*(S13_PSP_Species_Support!AS49*(1-EXP(-S13_PSP_Species_Support!AT49*6))^S13_PSP_Species_Support!AU49)^2*(S13_PSP_Species_Support!AV49*(1-EXP(-S13_PSP_Species_Support!AW49*6))^S13_PSP_Species_Support!AX49))^0.976,0)+IFERROR(S13_PSP_Species_Support!BB49*0.0673*(S13_PSP_Species_Support!BC49*(S13_PSP_Species_Support!BD49*(1-EXP(-S13_PSP_Species_Support!BE49*6))^S13_PSP_Species_Support!BF49)^2*(S13_PSP_Species_Support!BG49*(1-EXP(-S13_PSP_Species_Support!BH49*6))^S13_PSP_Species_Support!BI49))^0.976,0)+IFERROR(S13_PSP_Species_Support!BM49*0.0673*(S13_PSP_Species_Support!BN49*(S13_PSP_Species_Support!BO49*(1-EXP(-S13_PSP_Species_Support!BP49*6))^S13_PSP_Species_Support!BQ49)^2*(S13_PSP_Species_Support!BR49*(1-EXP(-S13_PSP_Species_Support!BS49*6))^S13_PSP_Species_Support!BT49))^0.976,0)+IFERROR(S13_PSP_Species_Support!BX49*0.0673*(S13_PSP_Species_Support!BY49*(S13_PSP_Species_Support!BZ49*(1-EXP(-S13_PSP_Species_Support!CA49*6))^S13_PSP_Species_Support!CB49)^2*(S13_PSP_Species_Support!CC49*(1-EXP(-S13_PSP_Species_Support!CD49*6))^S13_PSP_Species_Support!CE49))^0.976,0)+IFERROR(S13_PSP_Species_Support!CI49*0.0673*(S13_PSP_Species_Support!CJ49*(S13_PSP_Species_Support!CK49*(1-EXP(-S13_PSP_Species_Support!CL49*6))^S13_PSP_Species_Support!CM49)^2*(S13_PSP_Species_Support!CN49*(1-EXP(-S13_PSP_Species_Support!CO49*6))^S13_PSP_Species_Support!CP49))^0.976,0)+IFERROR(S13_PSP_Species_Support!CT49*0.0673*(S13_PSP_Species_Support!CU49*(S13_PSP_Species_Support!CV49*(1-EXP(-S13_PSP_Species_Support!CW49*6))^S13_PSP_Species_Support!CX49)^2*(S13_PSP_Species_Support!CY49*(1-EXP(-S13_PSP_Species_Support!CZ49*6))^S13_PSP_Species_Support!DA49))^0.976,0))/1000/$G62*O$108,0)</x:f>
        <x:v>992.8512606355249</x:v>
      </x:c>
      <x:c r="P62" s="147" t="n">
        <x:f aca="0">IFERROR((IFERROR(S13_PSP_Species_Support!U49*0.0673*(S13_PSP_Species_Support!V49*(S13_PSP_Species_Support!W49*(1-EXP(-S13_PSP_Species_Support!X49*7))^S13_PSP_Species_Support!Y49)^2*(S13_PSP_Species_Support!Z49*(1-EXP(-S13_PSP_Species_Support!AA49*7))^S13_PSP_Species_Support!AB49))^0.976,0)+IFERROR(S13_PSP_Species_Support!AF49*0.0673*(S13_PSP_Species_Support!AG49*(S13_PSP_Species_Support!AH49*(1-EXP(-S13_PSP_Species_Support!AI49*7))^S13_PSP_Species_Support!AJ49)^2*(S13_PSP_Species_Support!AK49*(1-EXP(-S13_PSP_Species_Support!AL49*7))^S13_PSP_Species_Support!AM49))^0.976,0)+IFERROR(S13_PSP_Species_Support!AQ49*0.0673*(S13_PSP_Species_Support!AR49*(S13_PSP_Species_Support!AS49*(1-EXP(-S13_PSP_Species_Support!AT49*7))^S13_PSP_Species_Support!AU49)^2*(S13_PSP_Species_Support!AV49*(1-EXP(-S13_PSP_Species_Support!AW49*7))^S13_PSP_Species_Support!AX49))^0.976,0)+IFERROR(S13_PSP_Species_Support!BB49*0.0673*(S13_PSP_Species_Support!BC49*(S13_PSP_Species_Support!BD49*(1-EXP(-S13_PSP_Species_Support!BE49*7))^S13_PSP_Species_Support!BF49)^2*(S13_PSP_Species_Support!BG49*(1-EXP(-S13_PSP_Species_Support!BH49*7))^S13_PSP_Species_Support!BI49))^0.976,0)+IFERROR(S13_PSP_Species_Support!BM49*0.0673*(S13_PSP_Species_Support!BN49*(S13_PSP_Species_Support!BO49*(1-EXP(-S13_PSP_Species_Support!BP49*7))^S13_PSP_Species_Support!BQ49)^2*(S13_PSP_Species_Support!BR49*(1-EXP(-S13_PSP_Species_Support!BS49*7))^S13_PSP_Species_Support!BT49))^0.976,0)+IFERROR(S13_PSP_Species_Support!BX49*0.0673*(S13_PSP_Species_Support!BY49*(S13_PSP_Species_Support!BZ49*(1-EXP(-S13_PSP_Species_Support!CA49*7))^S13_PSP_Species_Support!CB49)^2*(S13_PSP_Species_Support!CC49*(1-EXP(-S13_PSP_Species_Support!CD49*7))^S13_PSP_Species_Support!CE49))^0.976,0)+IFERROR(S13_PSP_Species_Support!CI49*0.0673*(S13_PSP_Species_Support!CJ49*(S13_PSP_Species_Support!CK49*(1-EXP(-S13_PSP_Species_Support!CL49*7))^S13_PSP_Species_Support!CM49)^2*(S13_PSP_Species_Support!CN49*(1-EXP(-S13_PSP_Species_Support!CO49*7))^S13_PSP_Species_Support!CP49))^0.976,0)+IFERROR(S13_PSP_Species_Support!CT49*0.0673*(S13_PSP_Species_Support!CU49*(S13_PSP_Species_Support!CV49*(1-EXP(-S13_PSP_Species_Support!CW49*7))^S13_PSP_Species_Support!CX49)^2*(S13_PSP_Species_Support!CY49*(1-EXP(-S13_PSP_Species_Support!CZ49*7))^S13_PSP_Species_Support!DA49))^0.976,0))/1000/$G62*P$108,0)</x:f>
        <x:v>1354.8123315754874</x:v>
      </x:c>
      <x:c r="Q62" s="147" t="n">
        <x:f aca="0">IFERROR((IFERROR(S13_PSP_Species_Support!U49*0.0673*(S13_PSP_Species_Support!V49*(S13_PSP_Species_Support!W49*(1-EXP(-S13_PSP_Species_Support!X49*8))^S13_PSP_Species_Support!Y49)^2*(S13_PSP_Species_Support!Z49*(1-EXP(-S13_PSP_Species_Support!AA49*8))^S13_PSP_Species_Support!AB49))^0.976,0)+IFERROR(S13_PSP_Species_Support!AF49*0.0673*(S13_PSP_Species_Support!AG49*(S13_PSP_Species_Support!AH49*(1-EXP(-S13_PSP_Species_Support!AI49*8))^S13_PSP_Species_Support!AJ49)^2*(S13_PSP_Species_Support!AK49*(1-EXP(-S13_PSP_Species_Support!AL49*8))^S13_PSP_Species_Support!AM49))^0.976,0)+IFERROR(S13_PSP_Species_Support!AQ49*0.0673*(S13_PSP_Species_Support!AR49*(S13_PSP_Species_Support!AS49*(1-EXP(-S13_PSP_Species_Support!AT49*8))^S13_PSP_Species_Support!AU49)^2*(S13_PSP_Species_Support!AV49*(1-EXP(-S13_PSP_Species_Support!AW49*8))^S13_PSP_Species_Support!AX49))^0.976,0)+IFERROR(S13_PSP_Species_Support!BB49*0.0673*(S13_PSP_Species_Support!BC49*(S13_PSP_Species_Support!BD49*(1-EXP(-S13_PSP_Species_Support!BE49*8))^S13_PSP_Species_Support!BF49)^2*(S13_PSP_Species_Support!BG49*(1-EXP(-S13_PSP_Species_Support!BH49*8))^S13_PSP_Species_Support!BI49))^0.976,0)+IFERROR(S13_PSP_Species_Support!BM49*0.0673*(S13_PSP_Species_Support!BN49*(S13_PSP_Species_Support!BO49*(1-EXP(-S13_PSP_Species_Support!BP49*8))^S13_PSP_Species_Support!BQ49)^2*(S13_PSP_Species_Support!BR49*(1-EXP(-S13_PSP_Species_Support!BS49*8))^S13_PSP_Species_Support!BT49))^0.976,0)+IFERROR(S13_PSP_Species_Support!BX49*0.0673*(S13_PSP_Species_Support!BY49*(S13_PSP_Species_Support!BZ49*(1-EXP(-S13_PSP_Species_Support!CA49*8))^S13_PSP_Species_Support!CB49)^2*(S13_PSP_Species_Support!CC49*(1-EXP(-S13_PSP_Species_Support!CD49*8))^S13_PSP_Species_Support!CE49))^0.976,0)+IFERROR(S13_PSP_Species_Support!CI49*0.0673*(S13_PSP_Species_Support!CJ49*(S13_PSP_Species_Support!CK49*(1-EXP(-S13_PSP_Species_Support!CL49*8))^S13_PSP_Species_Support!CM49)^2*(S13_PSP_Species_Support!CN49*(1-EXP(-S13_PSP_Species_Support!CO49*8))^S13_PSP_Species_Support!CP49))^0.976,0)+IFERROR(S13_PSP_Species_Support!CT49*0.0673*(S13_PSP_Species_Support!CU49*(S13_PSP_Species_Support!CV49*(1-EXP(-S13_PSP_Species_Support!CW49*8))^S13_PSP_Species_Support!CX49)^2*(S13_PSP_Species_Support!CY49*(1-EXP(-S13_PSP_Species_Support!CZ49*8))^S13_PSP_Species_Support!DA49))^0.976,0))/1000/$G62*Q$108,0)</x:f>
        <x:v>1727.4827686993951</x:v>
      </x:c>
      <x:c r="R62" s="147" t="n">
        <x:f aca="0">IFERROR((IFERROR(S13_PSP_Species_Support!U49*0.0673*(S13_PSP_Species_Support!V49*(S13_PSP_Species_Support!W49*(1-EXP(-S13_PSP_Species_Support!X49*9))^S13_PSP_Species_Support!Y49)^2*(S13_PSP_Species_Support!Z49*(1-EXP(-S13_PSP_Species_Support!AA49*9))^S13_PSP_Species_Support!AB49))^0.976,0)+IFERROR(S13_PSP_Species_Support!AF49*0.0673*(S13_PSP_Species_Support!AG49*(S13_PSP_Species_Support!AH49*(1-EXP(-S13_PSP_Species_Support!AI49*9))^S13_PSP_Species_Support!AJ49)^2*(S13_PSP_Species_Support!AK49*(1-EXP(-S13_PSP_Species_Support!AL49*9))^S13_PSP_Species_Support!AM49))^0.976,0)+IFERROR(S13_PSP_Species_Support!AQ49*0.0673*(S13_PSP_Species_Support!AR49*(S13_PSP_Species_Support!AS49*(1-EXP(-S13_PSP_Species_Support!AT49*9))^S13_PSP_Species_Support!AU49)^2*(S13_PSP_Species_Support!AV49*(1-EXP(-S13_PSP_Species_Support!AW49*9))^S13_PSP_Species_Support!AX49))^0.976,0)+IFERROR(S13_PSP_Species_Support!BB49*0.0673*(S13_PSP_Species_Support!BC49*(S13_PSP_Species_Support!BD49*(1-EXP(-S13_PSP_Species_Support!BE49*9))^S13_PSP_Species_Support!BF49)^2*(S13_PSP_Species_Support!BG49*(1-EXP(-S13_PSP_Species_Support!BH49*9))^S13_PSP_Species_Support!BI49))^0.976,0)+IFERROR(S13_PSP_Species_Support!BM49*0.0673*(S13_PSP_Species_Support!BN49*(S13_PSP_Species_Support!BO49*(1-EXP(-S13_PSP_Species_Support!BP49*9))^S13_PSP_Species_Support!BQ49)^2*(S13_PSP_Species_Support!BR49*(1-EXP(-S13_PSP_Species_Support!BS49*9))^S13_PSP_Species_Support!BT49))^0.976,0)+IFERROR(S13_PSP_Species_Support!BX49*0.0673*(S13_PSP_Species_Support!BY49*(S13_PSP_Species_Support!BZ49*(1-EXP(-S13_PSP_Species_Support!CA49*9))^S13_PSP_Species_Support!CB49)^2*(S13_PSP_Species_Support!CC49*(1-EXP(-S13_PSP_Species_Support!CD49*9))^S13_PSP_Species_Support!CE49))^0.976,0)+IFERROR(S13_PSP_Species_Support!CI49*0.0673*(S13_PSP_Species_Support!CJ49*(S13_PSP_Species_Support!CK49*(1-EXP(-S13_PSP_Species_Support!CL49*9))^S13_PSP_Species_Support!CM49)^2*(S13_PSP_Species_Support!CN49*(1-EXP(-S13_PSP_Species_Support!CO49*9))^S13_PSP_Species_Support!CP49))^0.976,0)+IFERROR(S13_PSP_Species_Support!CT49*0.0673*(S13_PSP_Species_Support!CU49*(S13_PSP_Species_Support!CV49*(1-EXP(-S13_PSP_Species_Support!CW49*9))^S13_PSP_Species_Support!CX49)^2*(S13_PSP_Species_Support!CY49*(1-EXP(-S13_PSP_Species_Support!CZ49*9))^S13_PSP_Species_Support!DA49))^0.976,0))/1000/$G62*R$108,0)</x:f>
        <x:v>2095.321318669365</x:v>
      </x:c>
      <x:c r="S62" s="147" t="n">
        <x:f aca="0">IFERROR((IFERROR(S13_PSP_Species_Support!U49*0.0673*(S13_PSP_Species_Support!V49*(S13_PSP_Species_Support!W49*(1-EXP(-S13_PSP_Species_Support!X49*10))^S13_PSP_Species_Support!Y49)^2*(S13_PSP_Species_Support!Z49*(1-EXP(-S13_PSP_Species_Support!AA49*10))^S13_PSP_Species_Support!AB49))^0.976,0)+IFERROR(S13_PSP_Species_Support!AF49*0.0673*(S13_PSP_Species_Support!AG49*(S13_PSP_Species_Support!AH49*(1-EXP(-S13_PSP_Species_Support!AI49*10))^S13_PSP_Species_Support!AJ49)^2*(S13_PSP_Species_Support!AK49*(1-EXP(-S13_PSP_Species_Support!AL49*10))^S13_PSP_Species_Support!AM49))^0.976,0)+IFERROR(S13_PSP_Species_Support!AQ49*0.0673*(S13_PSP_Species_Support!AR49*(S13_PSP_Species_Support!AS49*(1-EXP(-S13_PSP_Species_Support!AT49*10))^S13_PSP_Species_Support!AU49)^2*(S13_PSP_Species_Support!AV49*(1-EXP(-S13_PSP_Species_Support!AW49*10))^S13_PSP_Species_Support!AX49))^0.976,0)+IFERROR(S13_PSP_Species_Support!BB49*0.0673*(S13_PSP_Species_Support!BC49*(S13_PSP_Species_Support!BD49*(1-EXP(-S13_PSP_Species_Support!BE49*10))^S13_PSP_Species_Support!BF49)^2*(S13_PSP_Species_Support!BG49*(1-EXP(-S13_PSP_Species_Support!BH49*10))^S13_PSP_Species_Support!BI49))^0.976,0)+IFERROR(S13_PSP_Species_Support!BM49*0.0673*(S13_PSP_Species_Support!BN49*(S13_PSP_Species_Support!BO49*(1-EXP(-S13_PSP_Species_Support!BP49*10))^S13_PSP_Species_Support!BQ49)^2*(S13_PSP_Species_Support!BR49*(1-EXP(-S13_PSP_Species_Support!BS49*10))^S13_PSP_Species_Support!BT49))^0.976,0)+IFERROR(S13_PSP_Species_Support!BX49*0.0673*(S13_PSP_Species_Support!BY49*(S13_PSP_Species_Support!BZ49*(1-EXP(-S13_PSP_Species_Support!CA49*10))^S13_PSP_Species_Support!CB49)^2*(S13_PSP_Species_Support!CC49*(1-EXP(-S13_PSP_Species_Support!CD49*10))^S13_PSP_Species_Support!CE49))^0.976,0)+IFERROR(S13_PSP_Species_Support!CI49*0.0673*(S13_PSP_Species_Support!CJ49*(S13_PSP_Species_Support!CK49*(1-EXP(-S13_PSP_Species_Support!CL49*10))^S13_PSP_Species_Support!CM49)^2*(S13_PSP_Species_Support!CN49*(1-EXP(-S13_PSP_Species_Support!CO49*10))^S13_PSP_Species_Support!CP49))^0.976,0)+IFERROR(S13_PSP_Species_Support!CT49*0.0673*(S13_PSP_Species_Support!CU49*(S13_PSP_Species_Support!CV49*(1-EXP(-S13_PSP_Species_Support!CW49*10))^S13_PSP_Species_Support!CX49)^2*(S13_PSP_Species_Support!CY49*(1-EXP(-S13_PSP_Species_Support!CZ49*10))^S13_PSP_Species_Support!DA49))^0.976,0))/1000/$G62*S$108,0)</x:f>
        <x:v>2447.1265982929704</x:v>
      </x:c>
      <x:c r="T62" s="147" t="n">
        <x:f aca="0">IFERROR((IFERROR(S13_PSP_Species_Support!U49*0.0673*(S13_PSP_Species_Support!V49*(S13_PSP_Species_Support!W49*(1-EXP(-S13_PSP_Species_Support!X49*11))^S13_PSP_Species_Support!Y49)^2*(S13_PSP_Species_Support!Z49*(1-EXP(-S13_PSP_Species_Support!AA49*11))^S13_PSP_Species_Support!AB49))^0.976,0)+IFERROR(S13_PSP_Species_Support!AF49*0.0673*(S13_PSP_Species_Support!AG49*(S13_PSP_Species_Support!AH49*(1-EXP(-S13_PSP_Species_Support!AI49*11))^S13_PSP_Species_Support!AJ49)^2*(S13_PSP_Species_Support!AK49*(1-EXP(-S13_PSP_Species_Support!AL49*11))^S13_PSP_Species_Support!AM49))^0.976,0)+IFERROR(S13_PSP_Species_Support!AQ49*0.0673*(S13_PSP_Species_Support!AR49*(S13_PSP_Species_Support!AS49*(1-EXP(-S13_PSP_Species_Support!AT49*11))^S13_PSP_Species_Support!AU49)^2*(S13_PSP_Species_Support!AV49*(1-EXP(-S13_PSP_Species_Support!AW49*11))^S13_PSP_Species_Support!AX49))^0.976,0)+IFERROR(S13_PSP_Species_Support!BB49*0.0673*(S13_PSP_Species_Support!BC49*(S13_PSP_Species_Support!BD49*(1-EXP(-S13_PSP_Species_Support!BE49*11))^S13_PSP_Species_Support!BF49)^2*(S13_PSP_Species_Support!BG49*(1-EXP(-S13_PSP_Species_Support!BH49*11))^S13_PSP_Species_Support!BI49))^0.976,0)+IFERROR(S13_PSP_Species_Support!BM49*0.0673*(S13_PSP_Species_Support!BN49*(S13_PSP_Species_Support!BO49*(1-EXP(-S13_PSP_Species_Support!BP49*11))^S13_PSP_Species_Support!BQ49)^2*(S13_PSP_Species_Support!BR49*(1-EXP(-S13_PSP_Species_Support!BS49*11))^S13_PSP_Species_Support!BT49))^0.976,0)+IFERROR(S13_PSP_Species_Support!BX49*0.0673*(S13_PSP_Species_Support!BY49*(S13_PSP_Species_Support!BZ49*(1-EXP(-S13_PSP_Species_Support!CA49*11))^S13_PSP_Species_Support!CB49)^2*(S13_PSP_Species_Support!CC49*(1-EXP(-S13_PSP_Species_Support!CD49*11))^S13_PSP_Species_Support!CE49))^0.976,0)+IFERROR(S13_PSP_Species_Support!CI49*0.0673*(S13_PSP_Species_Support!CJ49*(S13_PSP_Species_Support!CK49*(1-EXP(-S13_PSP_Species_Support!CL49*11))^S13_PSP_Species_Support!CM49)^2*(S13_PSP_Species_Support!CN49*(1-EXP(-S13_PSP_Species_Support!CO49*11))^S13_PSP_Species_Support!CP49))^0.976,0)+IFERROR(S13_PSP_Species_Support!CT49*0.0673*(S13_PSP_Species_Support!CU49*(S13_PSP_Species_Support!CV49*(1-EXP(-S13_PSP_Species_Support!CW49*11))^S13_PSP_Species_Support!CX49)^2*(S13_PSP_Species_Support!CY49*(1-EXP(-S13_PSP_Species_Support!CZ49*11))^S13_PSP_Species_Support!DA49))^0.976,0))/1000/$G62*T$108,0)</x:f>
        <x:v>2775.5902187189736</x:v>
      </x:c>
      <x:c r="U62" s="147" t="n">
        <x:f aca="0">IFERROR((IFERROR(S13_PSP_Species_Support!U49*0.0673*(S13_PSP_Species_Support!V49*(S13_PSP_Species_Support!W49*(1-EXP(-S13_PSP_Species_Support!X49*12))^S13_PSP_Species_Support!Y49)^2*(S13_PSP_Species_Support!Z49*(1-EXP(-S13_PSP_Species_Support!AA49*12))^S13_PSP_Species_Support!AB49))^0.976,0)+IFERROR(S13_PSP_Species_Support!AF49*0.0673*(S13_PSP_Species_Support!AG49*(S13_PSP_Species_Support!AH49*(1-EXP(-S13_PSP_Species_Support!AI49*12))^S13_PSP_Species_Support!AJ49)^2*(S13_PSP_Species_Support!AK49*(1-EXP(-S13_PSP_Species_Support!AL49*12))^S13_PSP_Species_Support!AM49))^0.976,0)+IFERROR(S13_PSP_Species_Support!AQ49*0.0673*(S13_PSP_Species_Support!AR49*(S13_PSP_Species_Support!AS49*(1-EXP(-S13_PSP_Species_Support!AT49*12))^S13_PSP_Species_Support!AU49)^2*(S13_PSP_Species_Support!AV49*(1-EXP(-S13_PSP_Species_Support!AW49*12))^S13_PSP_Species_Support!AX49))^0.976,0)+IFERROR(S13_PSP_Species_Support!BB49*0.0673*(S13_PSP_Species_Support!BC49*(S13_PSP_Species_Support!BD49*(1-EXP(-S13_PSP_Species_Support!BE49*12))^S13_PSP_Species_Support!BF49)^2*(S13_PSP_Species_Support!BG49*(1-EXP(-S13_PSP_Species_Support!BH49*12))^S13_PSP_Species_Support!BI49))^0.976,0)+IFERROR(S13_PSP_Species_Support!BM49*0.0673*(S13_PSP_Species_Support!BN49*(S13_PSP_Species_Support!BO49*(1-EXP(-S13_PSP_Species_Support!BP49*12))^S13_PSP_Species_Support!BQ49)^2*(S13_PSP_Species_Support!BR49*(1-EXP(-S13_PSP_Species_Support!BS49*12))^S13_PSP_Species_Support!BT49))^0.976,0)+IFERROR(S13_PSP_Species_Support!BX49*0.0673*(S13_PSP_Species_Support!BY49*(S13_PSP_Species_Support!BZ49*(1-EXP(-S13_PSP_Species_Support!CA49*12))^S13_PSP_Species_Support!CB49)^2*(S13_PSP_Species_Support!CC49*(1-EXP(-S13_PSP_Species_Support!CD49*12))^S13_PSP_Species_Support!CE49))^0.976,0)+IFERROR(S13_PSP_Species_Support!CI49*0.0673*(S13_PSP_Species_Support!CJ49*(S13_PSP_Species_Support!CK49*(1-EXP(-S13_PSP_Species_Support!CL49*12))^S13_PSP_Species_Support!CM49)^2*(S13_PSP_Species_Support!CN49*(1-EXP(-S13_PSP_Species_Support!CO49*12))^S13_PSP_Species_Support!CP49))^0.976,0)+IFERROR(S13_PSP_Species_Support!CT49*0.0673*(S13_PSP_Species_Support!CU49*(S13_PSP_Species_Support!CV49*(1-EXP(-S13_PSP_Species_Support!CW49*12))^S13_PSP_Species_Support!CX49)^2*(S13_PSP_Species_Support!CY49*(1-EXP(-S13_PSP_Species_Support!CZ49*12))^S13_PSP_Species_Support!DA49))^0.976,0))/1000/$G62*U$108,0)</x:f>
        <x:v>3076.569222735383</x:v>
      </x:c>
      <x:c r="V62" s="147" t="n">
        <x:f aca="0">IFERROR((IFERROR(S13_PSP_Species_Support!U49*0.0673*(S13_PSP_Species_Support!V49*(S13_PSP_Species_Support!W49*(1-EXP(-S13_PSP_Species_Support!X49*13))^S13_PSP_Species_Support!Y49)^2*(S13_PSP_Species_Support!Z49*(1-EXP(-S13_PSP_Species_Support!AA49*13))^S13_PSP_Species_Support!AB49))^0.976,0)+IFERROR(S13_PSP_Species_Support!AF49*0.0673*(S13_PSP_Species_Support!AG49*(S13_PSP_Species_Support!AH49*(1-EXP(-S13_PSP_Species_Support!AI49*13))^S13_PSP_Species_Support!AJ49)^2*(S13_PSP_Species_Support!AK49*(1-EXP(-S13_PSP_Species_Support!AL49*13))^S13_PSP_Species_Support!AM49))^0.976,0)+IFERROR(S13_PSP_Species_Support!AQ49*0.0673*(S13_PSP_Species_Support!AR49*(S13_PSP_Species_Support!AS49*(1-EXP(-S13_PSP_Species_Support!AT49*13))^S13_PSP_Species_Support!AU49)^2*(S13_PSP_Species_Support!AV49*(1-EXP(-S13_PSP_Species_Support!AW49*13))^S13_PSP_Species_Support!AX49))^0.976,0)+IFERROR(S13_PSP_Species_Support!BB49*0.0673*(S13_PSP_Species_Support!BC49*(S13_PSP_Species_Support!BD49*(1-EXP(-S13_PSP_Species_Support!BE49*13))^S13_PSP_Species_Support!BF49)^2*(S13_PSP_Species_Support!BG49*(1-EXP(-S13_PSP_Species_Support!BH49*13))^S13_PSP_Species_Support!BI49))^0.976,0)+IFERROR(S13_PSP_Species_Support!BM49*0.0673*(S13_PSP_Species_Support!BN49*(S13_PSP_Species_Support!BO49*(1-EXP(-S13_PSP_Species_Support!BP49*13))^S13_PSP_Species_Support!BQ49)^2*(S13_PSP_Species_Support!BR49*(1-EXP(-S13_PSP_Species_Support!BS49*13))^S13_PSP_Species_Support!BT49))^0.976,0)+IFERROR(S13_PSP_Species_Support!BX49*0.0673*(S13_PSP_Species_Support!BY49*(S13_PSP_Species_Support!BZ49*(1-EXP(-S13_PSP_Species_Support!CA49*13))^S13_PSP_Species_Support!CB49)^2*(S13_PSP_Species_Support!CC49*(1-EXP(-S13_PSP_Species_Support!CD49*13))^S13_PSP_Species_Support!CE49))^0.976,0)+IFERROR(S13_PSP_Species_Support!CI49*0.0673*(S13_PSP_Species_Support!CJ49*(S13_PSP_Species_Support!CK49*(1-EXP(-S13_PSP_Species_Support!CL49*13))^S13_PSP_Species_Support!CM49)^2*(S13_PSP_Species_Support!CN49*(1-EXP(-S13_PSP_Species_Support!CO49*13))^S13_PSP_Species_Support!CP49))^0.976,0)+IFERROR(S13_PSP_Species_Support!CT49*0.0673*(S13_PSP_Species_Support!CU49*(S13_PSP_Species_Support!CV49*(1-EXP(-S13_PSP_Species_Support!CW49*13))^S13_PSP_Species_Support!CX49)^2*(S13_PSP_Species_Support!CY49*(1-EXP(-S13_PSP_Species_Support!CZ49*13))^S13_PSP_Species_Support!DA49))^0.976,0))/1000/$G62*V$108,0)</x:f>
        <x:v>3348.3199278071006</x:v>
      </x:c>
      <x:c r="W62" s="147" t="n">
        <x:f aca="0">IFERROR((IFERROR(S13_PSP_Species_Support!U49*0.0673*(S13_PSP_Species_Support!V49*(S13_PSP_Species_Support!W49*(1-EXP(-S13_PSP_Species_Support!X49*14))^S13_PSP_Species_Support!Y49)^2*(S13_PSP_Species_Support!Z49*(1-EXP(-S13_PSP_Species_Support!AA49*14))^S13_PSP_Species_Support!AB49))^0.976,0)+IFERROR(S13_PSP_Species_Support!AF49*0.0673*(S13_PSP_Species_Support!AG49*(S13_PSP_Species_Support!AH49*(1-EXP(-S13_PSP_Species_Support!AI49*14))^S13_PSP_Species_Support!AJ49)^2*(S13_PSP_Species_Support!AK49*(1-EXP(-S13_PSP_Species_Support!AL49*14))^S13_PSP_Species_Support!AM49))^0.976,0)+IFERROR(S13_PSP_Species_Support!AQ49*0.0673*(S13_PSP_Species_Support!AR49*(S13_PSP_Species_Support!AS49*(1-EXP(-S13_PSP_Species_Support!AT49*14))^S13_PSP_Species_Support!AU49)^2*(S13_PSP_Species_Support!AV49*(1-EXP(-S13_PSP_Species_Support!AW49*14))^S13_PSP_Species_Support!AX49))^0.976,0)+IFERROR(S13_PSP_Species_Support!BB49*0.0673*(S13_PSP_Species_Support!BC49*(S13_PSP_Species_Support!BD49*(1-EXP(-S13_PSP_Species_Support!BE49*14))^S13_PSP_Species_Support!BF49)^2*(S13_PSP_Species_Support!BG49*(1-EXP(-S13_PSP_Species_Support!BH49*14))^S13_PSP_Species_Support!BI49))^0.976,0)+IFERROR(S13_PSP_Species_Support!BM49*0.0673*(S13_PSP_Species_Support!BN49*(S13_PSP_Species_Support!BO49*(1-EXP(-S13_PSP_Species_Support!BP49*14))^S13_PSP_Species_Support!BQ49)^2*(S13_PSP_Species_Support!BR49*(1-EXP(-S13_PSP_Species_Support!BS49*14))^S13_PSP_Species_Support!BT49))^0.976,0)+IFERROR(S13_PSP_Species_Support!BX49*0.0673*(S13_PSP_Species_Support!BY49*(S13_PSP_Species_Support!BZ49*(1-EXP(-S13_PSP_Species_Support!CA49*14))^S13_PSP_Species_Support!CB49)^2*(S13_PSP_Species_Support!CC49*(1-EXP(-S13_PSP_Species_Support!CD49*14))^S13_PSP_Species_Support!CE49))^0.976,0)+IFERROR(S13_PSP_Species_Support!CI49*0.0673*(S13_PSP_Species_Support!CJ49*(S13_PSP_Species_Support!CK49*(1-EXP(-S13_PSP_Species_Support!CL49*14))^S13_PSP_Species_Support!CM49)^2*(S13_PSP_Species_Support!CN49*(1-EXP(-S13_PSP_Species_Support!CO49*14))^S13_PSP_Species_Support!CP49))^0.976,0)+IFERROR(S13_PSP_Species_Support!CT49*0.0673*(S13_PSP_Species_Support!CU49*(S13_PSP_Species_Support!CV49*(1-EXP(-S13_PSP_Species_Support!CW49*14))^S13_PSP_Species_Support!CX49)^2*(S13_PSP_Species_Support!CY49*(1-EXP(-S13_PSP_Species_Support!CZ49*14))^S13_PSP_Species_Support!DA49))^0.976,0))/1000/$G62*W$108,0)</x:f>
        <x:v>3590.8103911122757</x:v>
      </x:c>
      <x:c r="X62" s="147" t="n">
        <x:f aca="0">IFERROR((IFERROR(S13_PSP_Species_Support!U49*0.0673*(S13_PSP_Species_Support!V49*(S13_PSP_Species_Support!W49*(1-EXP(-S13_PSP_Species_Support!X49*15))^S13_PSP_Species_Support!Y49)^2*(S13_PSP_Species_Support!Z49*(1-EXP(-S13_PSP_Species_Support!AA49*15))^S13_PSP_Species_Support!AB49))^0.976,0)+IFERROR(S13_PSP_Species_Support!AF49*0.0673*(S13_PSP_Species_Support!AG49*(S13_PSP_Species_Support!AH49*(1-EXP(-S13_PSP_Species_Support!AI49*15))^S13_PSP_Species_Support!AJ49)^2*(S13_PSP_Species_Support!AK49*(1-EXP(-S13_PSP_Species_Support!AL49*15))^S13_PSP_Species_Support!AM49))^0.976,0)+IFERROR(S13_PSP_Species_Support!AQ49*0.0673*(S13_PSP_Species_Support!AR49*(S13_PSP_Species_Support!AS49*(1-EXP(-S13_PSP_Species_Support!AT49*15))^S13_PSP_Species_Support!AU49)^2*(S13_PSP_Species_Support!AV49*(1-EXP(-S13_PSP_Species_Support!AW49*15))^S13_PSP_Species_Support!AX49))^0.976,0)+IFERROR(S13_PSP_Species_Support!BB49*0.0673*(S13_PSP_Species_Support!BC49*(S13_PSP_Species_Support!BD49*(1-EXP(-S13_PSP_Species_Support!BE49*15))^S13_PSP_Species_Support!BF49)^2*(S13_PSP_Species_Support!BG49*(1-EXP(-S13_PSP_Species_Support!BH49*15))^S13_PSP_Species_Support!BI49))^0.976,0)+IFERROR(S13_PSP_Species_Support!BM49*0.0673*(S13_PSP_Species_Support!BN49*(S13_PSP_Species_Support!BO49*(1-EXP(-S13_PSP_Species_Support!BP49*15))^S13_PSP_Species_Support!BQ49)^2*(S13_PSP_Species_Support!BR49*(1-EXP(-S13_PSP_Species_Support!BS49*15))^S13_PSP_Species_Support!BT49))^0.976,0)+IFERROR(S13_PSP_Species_Support!BX49*0.0673*(S13_PSP_Species_Support!BY49*(S13_PSP_Species_Support!BZ49*(1-EXP(-S13_PSP_Species_Support!CA49*15))^S13_PSP_Species_Support!CB49)^2*(S13_PSP_Species_Support!CC49*(1-EXP(-S13_PSP_Species_Support!CD49*15))^S13_PSP_Species_Support!CE49))^0.976,0)+IFERROR(S13_PSP_Species_Support!CI49*0.0673*(S13_PSP_Species_Support!CJ49*(S13_PSP_Species_Support!CK49*(1-EXP(-S13_PSP_Species_Support!CL49*15))^S13_PSP_Species_Support!CM49)^2*(S13_PSP_Species_Support!CN49*(1-EXP(-S13_PSP_Species_Support!CO49*15))^S13_PSP_Species_Support!CP49))^0.976,0)+IFERROR(S13_PSP_Species_Support!CT49*0.0673*(S13_PSP_Species_Support!CU49*(S13_PSP_Species_Support!CV49*(1-EXP(-S13_PSP_Species_Support!CW49*15))^S13_PSP_Species_Support!CX49)^2*(S13_PSP_Species_Support!CY49*(1-EXP(-S13_PSP_Species_Support!CZ49*15))^S13_PSP_Species_Support!DA49))^0.976,0))/1000/$G62*X$108,0)</x:f>
        <x:v>3805.155564603525</x:v>
      </x:c>
      <x:c r="Y62" s="147" t="n">
        <x:f aca="0">IFERROR((IFERROR(S13_PSP_Species_Support!U49*0.0673*(S13_PSP_Species_Support!V49*(S13_PSP_Species_Support!W49*(1-EXP(-S13_PSP_Species_Support!X49*16))^S13_PSP_Species_Support!Y49)^2*(S13_PSP_Species_Support!Z49*(1-EXP(-S13_PSP_Species_Support!AA49*16))^S13_PSP_Species_Support!AB49))^0.976,0)+IFERROR(S13_PSP_Species_Support!AF49*0.0673*(S13_PSP_Species_Support!AG49*(S13_PSP_Species_Support!AH49*(1-EXP(-S13_PSP_Species_Support!AI49*16))^S13_PSP_Species_Support!AJ49)^2*(S13_PSP_Species_Support!AK49*(1-EXP(-S13_PSP_Species_Support!AL49*16))^S13_PSP_Species_Support!AM49))^0.976,0)+IFERROR(S13_PSP_Species_Support!AQ49*0.0673*(S13_PSP_Species_Support!AR49*(S13_PSP_Species_Support!AS49*(1-EXP(-S13_PSP_Species_Support!AT49*16))^S13_PSP_Species_Support!AU49)^2*(S13_PSP_Species_Support!AV49*(1-EXP(-S13_PSP_Species_Support!AW49*16))^S13_PSP_Species_Support!AX49))^0.976,0)+IFERROR(S13_PSP_Species_Support!BB49*0.0673*(S13_PSP_Species_Support!BC49*(S13_PSP_Species_Support!BD49*(1-EXP(-S13_PSP_Species_Support!BE49*16))^S13_PSP_Species_Support!BF49)^2*(S13_PSP_Species_Support!BG49*(1-EXP(-S13_PSP_Species_Support!BH49*16))^S13_PSP_Species_Support!BI49))^0.976,0)+IFERROR(S13_PSP_Species_Support!BM49*0.0673*(S13_PSP_Species_Support!BN49*(S13_PSP_Species_Support!BO49*(1-EXP(-S13_PSP_Species_Support!BP49*16))^S13_PSP_Species_Support!BQ49)^2*(S13_PSP_Species_Support!BR49*(1-EXP(-S13_PSP_Species_Support!BS49*16))^S13_PSP_Species_Support!BT49))^0.976,0)+IFERROR(S13_PSP_Species_Support!BX49*0.0673*(S13_PSP_Species_Support!BY49*(S13_PSP_Species_Support!BZ49*(1-EXP(-S13_PSP_Species_Support!CA49*16))^S13_PSP_Species_Support!CB49)^2*(S13_PSP_Species_Support!CC49*(1-EXP(-S13_PSP_Species_Support!CD49*16))^S13_PSP_Species_Support!CE49))^0.976,0)+IFERROR(S13_PSP_Species_Support!CI49*0.0673*(S13_PSP_Species_Support!CJ49*(S13_PSP_Species_Support!CK49*(1-EXP(-S13_PSP_Species_Support!CL49*16))^S13_PSP_Species_Support!CM49)^2*(S13_PSP_Species_Support!CN49*(1-EXP(-S13_PSP_Species_Support!CO49*16))^S13_PSP_Species_Support!CP49))^0.976,0)+IFERROR(S13_PSP_Species_Support!CT49*0.0673*(S13_PSP_Species_Support!CU49*(S13_PSP_Species_Support!CV49*(1-EXP(-S13_PSP_Species_Support!CW49*16))^S13_PSP_Species_Support!CX49)^2*(S13_PSP_Species_Support!CY49*(1-EXP(-S13_PSP_Species_Support!CZ49*16))^S13_PSP_Species_Support!DA49))^0.976,0))/1000/$G62*Y$108,0)</x:f>
        <x:v>3993.180157116829</x:v>
      </x:c>
      <x:c r="Z62" s="147" t="n">
        <x:f aca="0">IFERROR((IFERROR(S13_PSP_Species_Support!U49*0.0673*(S13_PSP_Species_Support!V49*(S13_PSP_Species_Support!W49*(1-EXP(-S13_PSP_Species_Support!X49*17))^S13_PSP_Species_Support!Y49)^2*(S13_PSP_Species_Support!Z49*(1-EXP(-S13_PSP_Species_Support!AA49*17))^S13_PSP_Species_Support!AB49))^0.976,0)+IFERROR(S13_PSP_Species_Support!AF49*0.0673*(S13_PSP_Species_Support!AG49*(S13_PSP_Species_Support!AH49*(1-EXP(-S13_PSP_Species_Support!AI49*17))^S13_PSP_Species_Support!AJ49)^2*(S13_PSP_Species_Support!AK49*(1-EXP(-S13_PSP_Species_Support!AL49*17))^S13_PSP_Species_Support!AM49))^0.976,0)+IFERROR(S13_PSP_Species_Support!AQ49*0.0673*(S13_PSP_Species_Support!AR49*(S13_PSP_Species_Support!AS49*(1-EXP(-S13_PSP_Species_Support!AT49*17))^S13_PSP_Species_Support!AU49)^2*(S13_PSP_Species_Support!AV49*(1-EXP(-S13_PSP_Species_Support!AW49*17))^S13_PSP_Species_Support!AX49))^0.976,0)+IFERROR(S13_PSP_Species_Support!BB49*0.0673*(S13_PSP_Species_Support!BC49*(S13_PSP_Species_Support!BD49*(1-EXP(-S13_PSP_Species_Support!BE49*17))^S13_PSP_Species_Support!BF49)^2*(S13_PSP_Species_Support!BG49*(1-EXP(-S13_PSP_Species_Support!BH49*17))^S13_PSP_Species_Support!BI49))^0.976,0)+IFERROR(S13_PSP_Species_Support!BM49*0.0673*(S13_PSP_Species_Support!BN49*(S13_PSP_Species_Support!BO49*(1-EXP(-S13_PSP_Species_Support!BP49*17))^S13_PSP_Species_Support!BQ49)^2*(S13_PSP_Species_Support!BR49*(1-EXP(-S13_PSP_Species_Support!BS49*17))^S13_PSP_Species_Support!BT49))^0.976,0)+IFERROR(S13_PSP_Species_Support!BX49*0.0673*(S13_PSP_Species_Support!BY49*(S13_PSP_Species_Support!BZ49*(1-EXP(-S13_PSP_Species_Support!CA49*17))^S13_PSP_Species_Support!CB49)^2*(S13_PSP_Species_Support!CC49*(1-EXP(-S13_PSP_Species_Support!CD49*17))^S13_PSP_Species_Support!CE49))^0.976,0)+IFERROR(S13_PSP_Species_Support!CI49*0.0673*(S13_PSP_Species_Support!CJ49*(S13_PSP_Species_Support!CK49*(1-EXP(-S13_PSP_Species_Support!CL49*17))^S13_PSP_Species_Support!CM49)^2*(S13_PSP_Species_Support!CN49*(1-EXP(-S13_PSP_Species_Support!CO49*17))^S13_PSP_Species_Support!CP49))^0.976,0)+IFERROR(S13_PSP_Species_Support!CT49*0.0673*(S13_PSP_Species_Support!CU49*(S13_PSP_Species_Support!CV49*(1-EXP(-S13_PSP_Species_Support!CW49*17))^S13_PSP_Species_Support!CX49)^2*(S13_PSP_Species_Support!CY49*(1-EXP(-S13_PSP_Species_Support!CZ49*17))^S13_PSP_Species_Support!DA49))^0.976,0))/1000/$G62*Z$108,0)</x:f>
        <x:v>4157.095866922785</x:v>
      </x:c>
      <x:c r="AA62" s="147" t="n">
        <x:f aca="0">IFERROR((IFERROR(S13_PSP_Species_Support!U49*0.0673*(S13_PSP_Species_Support!V49*(S13_PSP_Species_Support!W49*(1-EXP(-S13_PSP_Species_Support!X49*18))^S13_PSP_Species_Support!Y49)^2*(S13_PSP_Species_Support!Z49*(1-EXP(-S13_PSP_Species_Support!AA49*18))^S13_PSP_Species_Support!AB49))^0.976,0)+IFERROR(S13_PSP_Species_Support!AF49*0.0673*(S13_PSP_Species_Support!AG49*(S13_PSP_Species_Support!AH49*(1-EXP(-S13_PSP_Species_Support!AI49*18))^S13_PSP_Species_Support!AJ49)^2*(S13_PSP_Species_Support!AK49*(1-EXP(-S13_PSP_Species_Support!AL49*18))^S13_PSP_Species_Support!AM49))^0.976,0)+IFERROR(S13_PSP_Species_Support!AQ49*0.0673*(S13_PSP_Species_Support!AR49*(S13_PSP_Species_Support!AS49*(1-EXP(-S13_PSP_Species_Support!AT49*18))^S13_PSP_Species_Support!AU49)^2*(S13_PSP_Species_Support!AV49*(1-EXP(-S13_PSP_Species_Support!AW49*18))^S13_PSP_Species_Support!AX49))^0.976,0)+IFERROR(S13_PSP_Species_Support!BB49*0.0673*(S13_PSP_Species_Support!BC49*(S13_PSP_Species_Support!BD49*(1-EXP(-S13_PSP_Species_Support!BE49*18))^S13_PSP_Species_Support!BF49)^2*(S13_PSP_Species_Support!BG49*(1-EXP(-S13_PSP_Species_Support!BH49*18))^S13_PSP_Species_Support!BI49))^0.976,0)+IFERROR(S13_PSP_Species_Support!BM49*0.0673*(S13_PSP_Species_Support!BN49*(S13_PSP_Species_Support!BO49*(1-EXP(-S13_PSP_Species_Support!BP49*18))^S13_PSP_Species_Support!BQ49)^2*(S13_PSP_Species_Support!BR49*(1-EXP(-S13_PSP_Species_Support!BS49*18))^S13_PSP_Species_Support!BT49))^0.976,0)+IFERROR(S13_PSP_Species_Support!BX49*0.0673*(S13_PSP_Species_Support!BY49*(S13_PSP_Species_Support!BZ49*(1-EXP(-S13_PSP_Species_Support!CA49*18))^S13_PSP_Species_Support!CB49)^2*(S13_PSP_Species_Support!CC49*(1-EXP(-S13_PSP_Species_Support!CD49*18))^S13_PSP_Species_Support!CE49))^0.976,0)+IFERROR(S13_PSP_Species_Support!CI49*0.0673*(S13_PSP_Species_Support!CJ49*(S13_PSP_Species_Support!CK49*(1-EXP(-S13_PSP_Species_Support!CL49*18))^S13_PSP_Species_Support!CM49)^2*(S13_PSP_Species_Support!CN49*(1-EXP(-S13_PSP_Species_Support!CO49*18))^S13_PSP_Species_Support!CP49))^0.976,0)+IFERROR(S13_PSP_Species_Support!CT49*0.0673*(S13_PSP_Species_Support!CU49*(S13_PSP_Species_Support!CV49*(1-EXP(-S13_PSP_Species_Support!CW49*18))^S13_PSP_Species_Support!CX49)^2*(S13_PSP_Species_Support!CY49*(1-EXP(-S13_PSP_Species_Support!CZ49*18))^S13_PSP_Species_Support!DA49))^0.976,0))/1000/$G62*AA$108,0)</x:f>
        <x:v>4299.272985804512</x:v>
      </x:c>
      <x:c r="AB62" s="147" t="n">
        <x:f aca="0">IFERROR((IFERROR(S13_PSP_Species_Support!U49*0.0673*(S13_PSP_Species_Support!V49*(S13_PSP_Species_Support!W49*(1-EXP(-S13_PSP_Species_Support!X49*19))^S13_PSP_Species_Support!Y49)^2*(S13_PSP_Species_Support!Z49*(1-EXP(-S13_PSP_Species_Support!AA49*19))^S13_PSP_Species_Support!AB49))^0.976,0)+IFERROR(S13_PSP_Species_Support!AF49*0.0673*(S13_PSP_Species_Support!AG49*(S13_PSP_Species_Support!AH49*(1-EXP(-S13_PSP_Species_Support!AI49*19))^S13_PSP_Species_Support!AJ49)^2*(S13_PSP_Species_Support!AK49*(1-EXP(-S13_PSP_Species_Support!AL49*19))^S13_PSP_Species_Support!AM49))^0.976,0)+IFERROR(S13_PSP_Species_Support!AQ49*0.0673*(S13_PSP_Species_Support!AR49*(S13_PSP_Species_Support!AS49*(1-EXP(-S13_PSP_Species_Support!AT49*19))^S13_PSP_Species_Support!AU49)^2*(S13_PSP_Species_Support!AV49*(1-EXP(-S13_PSP_Species_Support!AW49*19))^S13_PSP_Species_Support!AX49))^0.976,0)+IFERROR(S13_PSP_Species_Support!BB49*0.0673*(S13_PSP_Species_Support!BC49*(S13_PSP_Species_Support!BD49*(1-EXP(-S13_PSP_Species_Support!BE49*19))^S13_PSP_Species_Support!BF49)^2*(S13_PSP_Species_Support!BG49*(1-EXP(-S13_PSP_Species_Support!BH49*19))^S13_PSP_Species_Support!BI49))^0.976,0)+IFERROR(S13_PSP_Species_Support!BM49*0.0673*(S13_PSP_Species_Support!BN49*(S13_PSP_Species_Support!BO49*(1-EXP(-S13_PSP_Species_Support!BP49*19))^S13_PSP_Species_Support!BQ49)^2*(S13_PSP_Species_Support!BR49*(1-EXP(-S13_PSP_Species_Support!BS49*19))^S13_PSP_Species_Support!BT49))^0.976,0)+IFERROR(S13_PSP_Species_Support!BX49*0.0673*(S13_PSP_Species_Support!BY49*(S13_PSP_Species_Support!BZ49*(1-EXP(-S13_PSP_Species_Support!CA49*19))^S13_PSP_Species_Support!CB49)^2*(S13_PSP_Species_Support!CC49*(1-EXP(-S13_PSP_Species_Support!CD49*19))^S13_PSP_Species_Support!CE49))^0.976,0)+IFERROR(S13_PSP_Species_Support!CI49*0.0673*(S13_PSP_Species_Support!CJ49*(S13_PSP_Species_Support!CK49*(1-EXP(-S13_PSP_Species_Support!CL49*19))^S13_PSP_Species_Support!CM49)^2*(S13_PSP_Species_Support!CN49*(1-EXP(-S13_PSP_Species_Support!CO49*19))^S13_PSP_Species_Support!CP49))^0.976,0)+IFERROR(S13_PSP_Species_Support!CT49*0.0673*(S13_PSP_Species_Support!CU49*(S13_PSP_Species_Support!CV49*(1-EXP(-S13_PSP_Species_Support!CW49*19))^S13_PSP_Species_Support!CX49)^2*(S13_PSP_Species_Support!CY49*(1-EXP(-S13_PSP_Species_Support!CZ49*19))^S13_PSP_Species_Support!DA49))^0.976,0))/1000/$G62*AB$108,0)</x:f>
        <x:v>4422.085794652779</x:v>
      </x:c>
      <x:c r="AC62" s="147" t="n">
        <x:f aca="0">IFERROR((IFERROR(S13_PSP_Species_Support!U49*0.0673*(S13_PSP_Species_Support!V49*(S13_PSP_Species_Support!W49*(1-EXP(-S13_PSP_Species_Support!X49*20))^S13_PSP_Species_Support!Y49)^2*(S13_PSP_Species_Support!Z49*(1-EXP(-S13_PSP_Species_Support!AA49*20))^S13_PSP_Species_Support!AB49))^0.976,0)+IFERROR(S13_PSP_Species_Support!AF49*0.0673*(S13_PSP_Species_Support!AG49*(S13_PSP_Species_Support!AH49*(1-EXP(-S13_PSP_Species_Support!AI49*20))^S13_PSP_Species_Support!AJ49)^2*(S13_PSP_Species_Support!AK49*(1-EXP(-S13_PSP_Species_Support!AL49*20))^S13_PSP_Species_Support!AM49))^0.976,0)+IFERROR(S13_PSP_Species_Support!AQ49*0.0673*(S13_PSP_Species_Support!AR49*(S13_PSP_Species_Support!AS49*(1-EXP(-S13_PSP_Species_Support!AT49*20))^S13_PSP_Species_Support!AU49)^2*(S13_PSP_Species_Support!AV49*(1-EXP(-S13_PSP_Species_Support!AW49*20))^S13_PSP_Species_Support!AX49))^0.976,0)+IFERROR(S13_PSP_Species_Support!BB49*0.0673*(S13_PSP_Species_Support!BC49*(S13_PSP_Species_Support!BD49*(1-EXP(-S13_PSP_Species_Support!BE49*20))^S13_PSP_Species_Support!BF49)^2*(S13_PSP_Species_Support!BG49*(1-EXP(-S13_PSP_Species_Support!BH49*20))^S13_PSP_Species_Support!BI49))^0.976,0)+IFERROR(S13_PSP_Species_Support!BM49*0.0673*(S13_PSP_Species_Support!BN49*(S13_PSP_Species_Support!BO49*(1-EXP(-S13_PSP_Species_Support!BP49*20))^S13_PSP_Species_Support!BQ49)^2*(S13_PSP_Species_Support!BR49*(1-EXP(-S13_PSP_Species_Support!BS49*20))^S13_PSP_Species_Support!BT49))^0.976,0)+IFERROR(S13_PSP_Species_Support!BX49*0.0673*(S13_PSP_Species_Support!BY49*(S13_PSP_Species_Support!BZ49*(1-EXP(-S13_PSP_Species_Support!CA49*20))^S13_PSP_Species_Support!CB49)^2*(S13_PSP_Species_Support!CC49*(1-EXP(-S13_PSP_Species_Support!CD49*20))^S13_PSP_Species_Support!CE49))^0.976,0)+IFERROR(S13_PSP_Species_Support!CI49*0.0673*(S13_PSP_Species_Support!CJ49*(S13_PSP_Species_Support!CK49*(1-EXP(-S13_PSP_Species_Support!CL49*20))^S13_PSP_Species_Support!CM49)^2*(S13_PSP_Species_Support!CN49*(1-EXP(-S13_PSP_Species_Support!CO49*20))^S13_PSP_Species_Support!CP49))^0.976,0)+IFERROR(S13_PSP_Species_Support!CT49*0.0673*(S13_PSP_Species_Support!CU49*(S13_PSP_Species_Support!CV49*(1-EXP(-S13_PSP_Species_Support!CW49*20))^S13_PSP_Species_Support!CX49)^2*(S13_PSP_Species_Support!CY49*(1-EXP(-S13_PSP_Species_Support!CZ49*20))^S13_PSP_Species_Support!DA49))^0.976,0))/1000/$G62*AC$108,0)</x:f>
        <x:v>4527.8133821272495</x:v>
      </x:c>
      <x:c r="AD62" s="148" t="n">
        <x:f aca="0">IF(2020&lt;$F62,0,INDEX($I62:$AC62,1,2020-$F62+1))</x:f>
        <x:v>0</x:v>
      </x:c>
      <x:c r="AE62" s="148" t="n">
        <x:f aca="0">IF(2021&lt;$F62,0,INDEX($I62:$AC62,1,2021-$F62+1))</x:f>
        <x:v>5.61083862830509</x:v>
      </x:c>
      <x:c r="AF62" s="148" t="n">
        <x:f aca="0">IF(2022&lt;$F62,0,INDEX($I62:$AC62,1,2022-$F62+1))</x:f>
        <x:v>52.93536766919784</x:v>
      </x:c>
      <x:c r="AG62" s="148" t="n">
        <x:f aca="0">IF(2023&lt;$F62,0,INDEX($I62:$AC62,1,2023-$F62+1))</x:f>
        <x:v>175.19450538811435</x:v>
      </x:c>
      <x:c r="AH62" s="148" t="n">
        <x:f aca="0">IF(2024&lt;$F62,0,INDEX($I62:$AC62,1,2024-$F62+1))</x:f>
        <x:v>381.8862298348535</x:v>
      </x:c>
      <x:c r="AI62" s="148" t="n">
        <x:f aca="0">IF(2025&lt;$F62,0,INDEX($I62:$AC62,1,2025-$F62+1))</x:f>
        <x:v>661.2107736475837</x:v>
      </x:c>
      <x:c r="AJ62" s="148" t="n">
        <x:f aca="0">IF(2026&lt;$F62,0,INDEX($I62:$AC62,1,2026-$F62+1))</x:f>
        <x:v>992.8512606355249</x:v>
      </x:c>
      <x:c r="AK62" s="148" t="n">
        <x:f aca="0">IF(2027&lt;$F62,0,INDEX($I62:$AC62,1,2027-$F62+1))</x:f>
        <x:v>1354.8123315754874</x:v>
      </x:c>
      <x:c r="AL62" s="148" t="n">
        <x:f aca="0">IF(2028&lt;$F62,0,INDEX($I62:$AC62,1,2028-$F62+1))</x:f>
        <x:v>1727.4827686993951</x:v>
      </x:c>
      <x:c r="AM62" s="148" t="n">
        <x:f aca="0">IF(2029&lt;$F62,0,INDEX($I62:$AC62,1,2029-$F62+1))</x:f>
        <x:v>2095.321318669365</x:v>
      </x:c>
      <x:c r="AN62" s="148" t="n">
        <x:f aca="0">IF(2030&lt;$F62,0,INDEX($I62:$AC62,1,2030-$F62+1))</x:f>
        <x:v>2447.1265982929704</x:v>
      </x:c>
      <x:c r="AO62" s="148" t="n">
        <x:f aca="0">IF(2031&lt;$F62,0,INDEX($I62:$AC62,1,2031-$F62+1))</x:f>
        <x:v>2775.5902187189736</x:v>
      </x:c>
      <x:c r="AP62" s="148" t="n">
        <x:f aca="0">IF(2032&lt;$F62,0,INDEX($I62:$AC62,1,2032-$F62+1))</x:f>
        <x:v>3076.569222735383</x:v>
      </x:c>
      <x:c r="AQ62" s="148" t="n">
        <x:f aca="0">IF(2033&lt;$F62,0,INDEX($I62:$AC62,1,2033-$F62+1))</x:f>
        <x:v>3348.3199278071006</x:v>
      </x:c>
      <x:c r="AR62" s="148" t="n">
        <x:f aca="0">IF(2034&lt;$F62,0,INDEX($I62:$AC62,1,2034-$F62+1))</x:f>
        <x:v>3590.8103911122757</x:v>
      </x:c>
      <x:c r="AS62" s="148" t="n">
        <x:f aca="0">IF(2035&lt;$F62,0,INDEX($I62:$AC62,1,2035-$F62+1))</x:f>
        <x:v>3805.155564603525</x:v>
      </x:c>
      <x:c r="AT62" s="148" t="n">
        <x:f aca="0">IF(2036&lt;$F62,0,INDEX($I62:$AC62,1,2036-$F62+1))</x:f>
        <x:v>3993.180157116829</x:v>
      </x:c>
      <x:c r="AU62" s="148" t="n">
        <x:f aca="0">IF(2037&lt;$F62,0,INDEX($I62:$AC62,1,2037-$F62+1))</x:f>
        <x:v>4157.095866922785</x:v>
      </x:c>
      <x:c r="AV62" s="148" t="n">
        <x:f aca="0">IF(2038&lt;$F62,0,INDEX($I62:$AC62,1,2038-$F62+1))</x:f>
        <x:v>4299.272985804512</x:v>
      </x:c>
      <x:c r="AW62" s="148" t="n">
        <x:f aca="0">IF(2039&lt;$F62,0,INDEX($I62:$AC62,1,2039-$F62+1))</x:f>
        <x:v>4422.085794652779</x:v>
      </x:c>
      <x:c r="AX62" s="148" t="n">
        <x:f aca="0">IF(2040&lt;$F62,0,INDEX($I62:$AC62,1,2040-$F62+1))</x:f>
        <x:v>4527.8133821272495</x:v>
      </x:c>
      <x:c r="AY62" s="1" t="str">
        <x:f aca="0">LEFT($C62,FIND("@",SUBSTITUTE($C62,"|","@",2))-1)</x:f>
        <x:v>Timber Plantation|High</x:v>
      </x:c>
      <x:c r="AZ62" s="1" t="str">
        <x:f aca="0">LEFT($C62,FIND("|",$C62)-1)</x:f>
        <x:v>Timber Plantation</x:v>
      </x:c>
      <x:c r="BA62" s="149" t="n">
        <x:f aca="0">I62*I62</x:f>
        <x:v>0</x:v>
      </x:c>
      <x:c r="BB62" s="149" t="n">
        <x:f aca="0">J62*J62</x:f>
        <x:v>31.481510112880542</x:v>
      </x:c>
      <x:c r="BC62" s="149" t="n">
        <x:f aca="0">K62*K62</x:f>
        <x:v>2802.153150273156</x:v>
      </x:c>
      <x:c r="BD62" s="149" t="n">
        <x:f aca="0">L62*L62</x:f>
        <x:v>30693.11471818603</x:v>
      </x:c>
      <x:c r="BE62" s="149" t="n">
        <x:f aca="0">M62*M62</x:f>
        <x:v>145837.09253747857</x:v>
      </x:c>
      <x:c r="BF62" s="149" t="n">
        <x:f aca="0">N62*N62</x:f>
        <x:v>437199.6871876361</x:v>
      </x:c>
      <x:c r="BG62" s="149" t="n">
        <x:f aca="0">O62*O62</x:f>
        <x:v>985753.625745551</x:v>
      </x:c>
      <x:c r="BH62" s="149" t="n">
        <x:f aca="0">P62*P62</x:f>
        <x:v>1835516.4537890083</x:v>
      </x:c>
      <x:c r="BI62" s="149" t="n">
        <x:f aca="0">Q62*Q62</x:f>
        <x:v>2984196.716153328</x:v>
      </x:c>
      <x:c r="BJ62" s="149" t="n">
        <x:f aca="0">R62*R62</x:f>
        <x:v>4390371.4284703275</x:v>
      </x:c>
      <x:c r="BK62" s="149" t="n">
        <x:f aca="0">S62*S62</x:f>
        <x:v>5988428.588072925</x:v>
      </x:c>
      <x:c r="BL62" s="149" t="n">
        <x:f aca="0">T62*T62</x:f>
        <x:v>7703901.0622484395</x:v>
      </x:c>
      <x:c r="BM62" s="149" t="n">
        <x:f aca="0">U62*U62</x:f>
        <x:v>9465278.182282599</x:v>
      </x:c>
      <x:c r="BN62" s="149" t="n">
        <x:f aca="0">V62*V62</x:f>
        <x:v>11211246.338950148</x:v>
      </x:c>
      <x:c r="BO62" s="149" t="n">
        <x:f aca="0">W62*W62</x:f>
        <x:v>12893919.264919894</x:v>
      </x:c>
      <x:c r="BP62" s="149" t="n">
        <x:f aca="0">X62*X62</x:f>
        <x:v>14479208.87083317</x:v>
      </x:c>
      <x:c r="BQ62" s="149" t="n">
        <x:f aca="0">Y62*Y62</x:f>
        <x:v>15945487.767191583</x:v>
      </x:c>
      <x:c r="BR62" s="149" t="n">
        <x:f aca="0">Z62*Z62</x:f>
        <x:v>17281446.0467865</x:v>
      </x:c>
      <x:c r="BS62" s="149" t="n">
        <x:f aca="0">AA62*AA62</x:f>
        <x:v>18483748.206468444</x:v>
      </x:c>
      <x:c r="BT62" s="149" t="n">
        <x:f aca="0">AB62*AB62</x:f>
        <x:v>19554842.775269903</x:v>
      </x:c>
      <x:c r="BU62" s="149" t="n">
        <x:f aca="0">AC62*AC62</x:f>
        <x:v>20501094.0233706</x:v>
      </x:c>
    </x:row>
    <x:row r="63" ht="15" hidden="0" customHeight="1">
      <x:c r="A63" s="1" t="str">
        <x:f aca="0">S13_PSP_Species_Support!A50</x:f>
        <x:v>PSP-TP-009</x:v>
      </x:c>
      <x:c r="B63" s="1" t="n">
        <x:f aca="0">50</x:f>
        <x:v>50</x:v>
      </x:c>
      <x:c r="C63" s="1" t="str">
        <x:f aca="0">S13_PSP_Species_Support!I50</x:f>
        <x:v>Timber Plantation|Low|2020</x:v>
      </x:c>
      <x:c r="D63" s="1" t="str">
        <x:f aca="0">S13_PSP_Species_Support!C50</x:f>
        <x:v>Timber Plantation</x:v>
      </x:c>
      <x:c r="E63" s="1" t="str">
        <x:f aca="0">S13_PSP_Species_Support!D50</x:f>
        <x:v>Low</x:v>
      </x:c>
      <x:c r="F63" s="1" t="n">
        <x:f aca="0">S13_PSP_Species_Support!E50</x:f>
        <x:v>2020</x:v>
      </x:c>
      <x:c r="G63" s="645" t="n">
        <x:f aca="0">'S13_PSP_Species_Support'!DJ50</x:f>
        <x:v>0.09</x:v>
      </x:c>
      <x:c r="H63" s="714" t="n">
        <x:f aca="0">'S13_PSP_Species_Support'!DK50</x:f>
        <x:v>30.887500857986133</x:v>
      </x:c>
      <x:c r="I63" s="147" t="n">
        <x:f aca="0">IFERROR((IFERROR(S13_PSP_Species_Support!U50*0.0673*(S13_PSP_Species_Support!V50*(S13_PSP_Species_Support!W50*(1-EXP(-S13_PSP_Species_Support!X50*0))^S13_PSP_Species_Support!Y50)^2*(S13_PSP_Species_Support!Z50*(1-EXP(-S13_PSP_Species_Support!AA50*0))^S13_PSP_Species_Support!AB50))^0.976,0)+IFERROR(S13_PSP_Species_Support!AF50*0.0673*(S13_PSP_Species_Support!AG50*(S13_PSP_Species_Support!AH50*(1-EXP(-S13_PSP_Species_Support!AI50*0))^S13_PSP_Species_Support!AJ50)^2*(S13_PSP_Species_Support!AK50*(1-EXP(-S13_PSP_Species_Support!AL50*0))^S13_PSP_Species_Support!AM50))^0.976,0)+IFERROR(S13_PSP_Species_Support!AQ50*0.0673*(S13_PSP_Species_Support!AR50*(S13_PSP_Species_Support!AS50*(1-EXP(-S13_PSP_Species_Support!AT50*0))^S13_PSP_Species_Support!AU50)^2*(S13_PSP_Species_Support!AV50*(1-EXP(-S13_PSP_Species_Support!AW50*0))^S13_PSP_Species_Support!AX50))^0.976,0)+IFERROR(S13_PSP_Species_Support!BB50*0.0673*(S13_PSP_Species_Support!BC50*(S13_PSP_Species_Support!BD50*(1-EXP(-S13_PSP_Species_Support!BE50*0))^S13_PSP_Species_Support!BF50)^2*(S13_PSP_Species_Support!BG50*(1-EXP(-S13_PSP_Species_Support!BH50*0))^S13_PSP_Species_Support!BI50))^0.976,0)+IFERROR(S13_PSP_Species_Support!BM50*0.0673*(S13_PSP_Species_Support!BN50*(S13_PSP_Species_Support!BO50*(1-EXP(-S13_PSP_Species_Support!BP50*0))^S13_PSP_Species_Support!BQ50)^2*(S13_PSP_Species_Support!BR50*(1-EXP(-S13_PSP_Species_Support!BS50*0))^S13_PSP_Species_Support!BT50))^0.976,0)+IFERROR(S13_PSP_Species_Support!BX50*0.0673*(S13_PSP_Species_Support!BY50*(S13_PSP_Species_Support!BZ50*(1-EXP(-S13_PSP_Species_Support!CA50*0))^S13_PSP_Species_Support!CB50)^2*(S13_PSP_Species_Support!CC50*(1-EXP(-S13_PSP_Species_Support!CD50*0))^S13_PSP_Species_Support!CE50))^0.976,0)+IFERROR(S13_PSP_Species_Support!CI50*0.0673*(S13_PSP_Species_Support!CJ50*(S13_PSP_Species_Support!CK50*(1-EXP(-S13_PSP_Species_Support!CL50*0))^S13_PSP_Species_Support!CM50)^2*(S13_PSP_Species_Support!CN50*(1-EXP(-S13_PSP_Species_Support!CO50*0))^S13_PSP_Species_Support!CP50))^0.976,0)+IFERROR(S13_PSP_Species_Support!CT50*0.0673*(S13_PSP_Species_Support!CU50*(S13_PSP_Species_Support!CV50*(1-EXP(-S13_PSP_Species_Support!CW50*0))^S13_PSP_Species_Support!CX50)^2*(S13_PSP_Species_Support!CY50*(1-EXP(-S13_PSP_Species_Support!CZ50*0))^S13_PSP_Species_Support!DA50))^0.976,0))/1000/$G63*I$108,0)</x:f>
        <x:v>0</x:v>
      </x:c>
      <x:c r="J63" s="147" t="n">
        <x:f aca="0">IFERROR((IFERROR(S13_PSP_Species_Support!U50*0.0673*(S13_PSP_Species_Support!V50*(S13_PSP_Species_Support!W50*(1-EXP(-S13_PSP_Species_Support!X50*1))^S13_PSP_Species_Support!Y50)^2*(S13_PSP_Species_Support!Z50*(1-EXP(-S13_PSP_Species_Support!AA50*1))^S13_PSP_Species_Support!AB50))^0.976,0)+IFERROR(S13_PSP_Species_Support!AF50*0.0673*(S13_PSP_Species_Support!AG50*(S13_PSP_Species_Support!AH50*(1-EXP(-S13_PSP_Species_Support!AI50*1))^S13_PSP_Species_Support!AJ50)^2*(S13_PSP_Species_Support!AK50*(1-EXP(-S13_PSP_Species_Support!AL50*1))^S13_PSP_Species_Support!AM50))^0.976,0)+IFERROR(S13_PSP_Species_Support!AQ50*0.0673*(S13_PSP_Species_Support!AR50*(S13_PSP_Species_Support!AS50*(1-EXP(-S13_PSP_Species_Support!AT50*1))^S13_PSP_Species_Support!AU50)^2*(S13_PSP_Species_Support!AV50*(1-EXP(-S13_PSP_Species_Support!AW50*1))^S13_PSP_Species_Support!AX50))^0.976,0)+IFERROR(S13_PSP_Species_Support!BB50*0.0673*(S13_PSP_Species_Support!BC50*(S13_PSP_Species_Support!BD50*(1-EXP(-S13_PSP_Species_Support!BE50*1))^S13_PSP_Species_Support!BF50)^2*(S13_PSP_Species_Support!BG50*(1-EXP(-S13_PSP_Species_Support!BH50*1))^S13_PSP_Species_Support!BI50))^0.976,0)+IFERROR(S13_PSP_Species_Support!BM50*0.0673*(S13_PSP_Species_Support!BN50*(S13_PSP_Species_Support!BO50*(1-EXP(-S13_PSP_Species_Support!BP50*1))^S13_PSP_Species_Support!BQ50)^2*(S13_PSP_Species_Support!BR50*(1-EXP(-S13_PSP_Species_Support!BS50*1))^S13_PSP_Species_Support!BT50))^0.976,0)+IFERROR(S13_PSP_Species_Support!BX50*0.0673*(S13_PSP_Species_Support!BY50*(S13_PSP_Species_Support!BZ50*(1-EXP(-S13_PSP_Species_Support!CA50*1))^S13_PSP_Species_Support!CB50)^2*(S13_PSP_Species_Support!CC50*(1-EXP(-S13_PSP_Species_Support!CD50*1))^S13_PSP_Species_Support!CE50))^0.976,0)+IFERROR(S13_PSP_Species_Support!CI50*0.0673*(S13_PSP_Species_Support!CJ50*(S13_PSP_Species_Support!CK50*(1-EXP(-S13_PSP_Species_Support!CL50*1))^S13_PSP_Species_Support!CM50)^2*(S13_PSP_Species_Support!CN50*(1-EXP(-S13_PSP_Species_Support!CO50*1))^S13_PSP_Species_Support!CP50))^0.976,0)+IFERROR(S13_PSP_Species_Support!CT50*0.0673*(S13_PSP_Species_Support!CU50*(S13_PSP_Species_Support!CV50*(1-EXP(-S13_PSP_Species_Support!CW50*1))^S13_PSP_Species_Support!CX50)^2*(S13_PSP_Species_Support!CY50*(1-EXP(-S13_PSP_Species_Support!CZ50*1))^S13_PSP_Species_Support!DA50))^0.976,0))/1000/$G63*J$108,0)</x:f>
        <x:v>0.5338360876438337</x:v>
      </x:c>
      <x:c r="K63" s="147" t="n">
        <x:f aca="0">IFERROR((IFERROR(S13_PSP_Species_Support!U50*0.0673*(S13_PSP_Species_Support!V50*(S13_PSP_Species_Support!W50*(1-EXP(-S13_PSP_Species_Support!X50*2))^S13_PSP_Species_Support!Y50)^2*(S13_PSP_Species_Support!Z50*(1-EXP(-S13_PSP_Species_Support!AA50*2))^S13_PSP_Species_Support!AB50))^0.976,0)+IFERROR(S13_PSP_Species_Support!AF50*0.0673*(S13_PSP_Species_Support!AG50*(S13_PSP_Species_Support!AH50*(1-EXP(-S13_PSP_Species_Support!AI50*2))^S13_PSP_Species_Support!AJ50)^2*(S13_PSP_Species_Support!AK50*(1-EXP(-S13_PSP_Species_Support!AL50*2))^S13_PSP_Species_Support!AM50))^0.976,0)+IFERROR(S13_PSP_Species_Support!AQ50*0.0673*(S13_PSP_Species_Support!AR50*(S13_PSP_Species_Support!AS50*(1-EXP(-S13_PSP_Species_Support!AT50*2))^S13_PSP_Species_Support!AU50)^2*(S13_PSP_Species_Support!AV50*(1-EXP(-S13_PSP_Species_Support!AW50*2))^S13_PSP_Species_Support!AX50))^0.976,0)+IFERROR(S13_PSP_Species_Support!BB50*0.0673*(S13_PSP_Species_Support!BC50*(S13_PSP_Species_Support!BD50*(1-EXP(-S13_PSP_Species_Support!BE50*2))^S13_PSP_Species_Support!BF50)^2*(S13_PSP_Species_Support!BG50*(1-EXP(-S13_PSP_Species_Support!BH50*2))^S13_PSP_Species_Support!BI50))^0.976,0)+IFERROR(S13_PSP_Species_Support!BM50*0.0673*(S13_PSP_Species_Support!BN50*(S13_PSP_Species_Support!BO50*(1-EXP(-S13_PSP_Species_Support!BP50*2))^S13_PSP_Species_Support!BQ50)^2*(S13_PSP_Species_Support!BR50*(1-EXP(-S13_PSP_Species_Support!BS50*2))^S13_PSP_Species_Support!BT50))^0.976,0)+IFERROR(S13_PSP_Species_Support!BX50*0.0673*(S13_PSP_Species_Support!BY50*(S13_PSP_Species_Support!BZ50*(1-EXP(-S13_PSP_Species_Support!CA50*2))^S13_PSP_Species_Support!CB50)^2*(S13_PSP_Species_Support!CC50*(1-EXP(-S13_PSP_Species_Support!CD50*2))^S13_PSP_Species_Support!CE50))^0.976,0)+IFERROR(S13_PSP_Species_Support!CI50*0.0673*(S13_PSP_Species_Support!CJ50*(S13_PSP_Species_Support!CK50*(1-EXP(-S13_PSP_Species_Support!CL50*2))^S13_PSP_Species_Support!CM50)^2*(S13_PSP_Species_Support!CN50*(1-EXP(-S13_PSP_Species_Support!CO50*2))^S13_PSP_Species_Support!CP50))^0.976,0)+IFERROR(S13_PSP_Species_Support!CT50*0.0673*(S13_PSP_Species_Support!CU50*(S13_PSP_Species_Support!CV50*(1-EXP(-S13_PSP_Species_Support!CW50*2))^S13_PSP_Species_Support!CX50)^2*(S13_PSP_Species_Support!CY50*(1-EXP(-S13_PSP_Species_Support!CZ50*2))^S13_PSP_Species_Support!DA50))^0.976,0))/1000/$G63*K$108,0)</x:f>
        <x:v>5.1780921928470915</x:v>
      </x:c>
      <x:c r="L63" s="147" t="n">
        <x:f aca="0">IFERROR((IFERROR(S13_PSP_Species_Support!U50*0.0673*(S13_PSP_Species_Support!V50*(S13_PSP_Species_Support!W50*(1-EXP(-S13_PSP_Species_Support!X50*3))^S13_PSP_Species_Support!Y50)^2*(S13_PSP_Species_Support!Z50*(1-EXP(-S13_PSP_Species_Support!AA50*3))^S13_PSP_Species_Support!AB50))^0.976,0)+IFERROR(S13_PSP_Species_Support!AF50*0.0673*(S13_PSP_Species_Support!AG50*(S13_PSP_Species_Support!AH50*(1-EXP(-S13_PSP_Species_Support!AI50*3))^S13_PSP_Species_Support!AJ50)^2*(S13_PSP_Species_Support!AK50*(1-EXP(-S13_PSP_Species_Support!AL50*3))^S13_PSP_Species_Support!AM50))^0.976,0)+IFERROR(S13_PSP_Species_Support!AQ50*0.0673*(S13_PSP_Species_Support!AR50*(S13_PSP_Species_Support!AS50*(1-EXP(-S13_PSP_Species_Support!AT50*3))^S13_PSP_Species_Support!AU50)^2*(S13_PSP_Species_Support!AV50*(1-EXP(-S13_PSP_Species_Support!AW50*3))^S13_PSP_Species_Support!AX50))^0.976,0)+IFERROR(S13_PSP_Species_Support!BB50*0.0673*(S13_PSP_Species_Support!BC50*(S13_PSP_Species_Support!BD50*(1-EXP(-S13_PSP_Species_Support!BE50*3))^S13_PSP_Species_Support!BF50)^2*(S13_PSP_Species_Support!BG50*(1-EXP(-S13_PSP_Species_Support!BH50*3))^S13_PSP_Species_Support!BI50))^0.976,0)+IFERROR(S13_PSP_Species_Support!BM50*0.0673*(S13_PSP_Species_Support!BN50*(S13_PSP_Species_Support!BO50*(1-EXP(-S13_PSP_Species_Support!BP50*3))^S13_PSP_Species_Support!BQ50)^2*(S13_PSP_Species_Support!BR50*(1-EXP(-S13_PSP_Species_Support!BS50*3))^S13_PSP_Species_Support!BT50))^0.976,0)+IFERROR(S13_PSP_Species_Support!BX50*0.0673*(S13_PSP_Species_Support!BY50*(S13_PSP_Species_Support!BZ50*(1-EXP(-S13_PSP_Species_Support!CA50*3))^S13_PSP_Species_Support!CB50)^2*(S13_PSP_Species_Support!CC50*(1-EXP(-S13_PSP_Species_Support!CD50*3))^S13_PSP_Species_Support!CE50))^0.976,0)+IFERROR(S13_PSP_Species_Support!CI50*0.0673*(S13_PSP_Species_Support!CJ50*(S13_PSP_Species_Support!CK50*(1-EXP(-S13_PSP_Species_Support!CL50*3))^S13_PSP_Species_Support!CM50)^2*(S13_PSP_Species_Support!CN50*(1-EXP(-S13_PSP_Species_Support!CO50*3))^S13_PSP_Species_Support!CP50))^0.976,0)+IFERROR(S13_PSP_Species_Support!CT50*0.0673*(S13_PSP_Species_Support!CU50*(S13_PSP_Species_Support!CV50*(1-EXP(-S13_PSP_Species_Support!CW50*3))^S13_PSP_Species_Support!CX50)^2*(S13_PSP_Species_Support!CY50*(1-EXP(-S13_PSP_Species_Support!CZ50*3))^S13_PSP_Species_Support!DA50))^0.976,0))/1000/$G63*L$108,0)</x:f>
        <x:v>17.52022536972334</x:v>
      </x:c>
      <x:c r="M63" s="147" t="n">
        <x:f aca="0">IFERROR((IFERROR(S13_PSP_Species_Support!U50*0.0673*(S13_PSP_Species_Support!V50*(S13_PSP_Species_Support!W50*(1-EXP(-S13_PSP_Species_Support!X50*4))^S13_PSP_Species_Support!Y50)^2*(S13_PSP_Species_Support!Z50*(1-EXP(-S13_PSP_Species_Support!AA50*4))^S13_PSP_Species_Support!AB50))^0.976,0)+IFERROR(S13_PSP_Species_Support!AF50*0.0673*(S13_PSP_Species_Support!AG50*(S13_PSP_Species_Support!AH50*(1-EXP(-S13_PSP_Species_Support!AI50*4))^S13_PSP_Species_Support!AJ50)^2*(S13_PSP_Species_Support!AK50*(1-EXP(-S13_PSP_Species_Support!AL50*4))^S13_PSP_Species_Support!AM50))^0.976,0)+IFERROR(S13_PSP_Species_Support!AQ50*0.0673*(S13_PSP_Species_Support!AR50*(S13_PSP_Species_Support!AS50*(1-EXP(-S13_PSP_Species_Support!AT50*4))^S13_PSP_Species_Support!AU50)^2*(S13_PSP_Species_Support!AV50*(1-EXP(-S13_PSP_Species_Support!AW50*4))^S13_PSP_Species_Support!AX50))^0.976,0)+IFERROR(S13_PSP_Species_Support!BB50*0.0673*(S13_PSP_Species_Support!BC50*(S13_PSP_Species_Support!BD50*(1-EXP(-S13_PSP_Species_Support!BE50*4))^S13_PSP_Species_Support!BF50)^2*(S13_PSP_Species_Support!BG50*(1-EXP(-S13_PSP_Species_Support!BH50*4))^S13_PSP_Species_Support!BI50))^0.976,0)+IFERROR(S13_PSP_Species_Support!BM50*0.0673*(S13_PSP_Species_Support!BN50*(S13_PSP_Species_Support!BO50*(1-EXP(-S13_PSP_Species_Support!BP50*4))^S13_PSP_Species_Support!BQ50)^2*(S13_PSP_Species_Support!BR50*(1-EXP(-S13_PSP_Species_Support!BS50*4))^S13_PSP_Species_Support!BT50))^0.976,0)+IFERROR(S13_PSP_Species_Support!BX50*0.0673*(S13_PSP_Species_Support!BY50*(S13_PSP_Species_Support!BZ50*(1-EXP(-S13_PSP_Species_Support!CA50*4))^S13_PSP_Species_Support!CB50)^2*(S13_PSP_Species_Support!CC50*(1-EXP(-S13_PSP_Species_Support!CD50*4))^S13_PSP_Species_Support!CE50))^0.976,0)+IFERROR(S13_PSP_Species_Support!CI50*0.0673*(S13_PSP_Species_Support!CJ50*(S13_PSP_Species_Support!CK50*(1-EXP(-S13_PSP_Species_Support!CL50*4))^S13_PSP_Species_Support!CM50)^2*(S13_PSP_Species_Support!CN50*(1-EXP(-S13_PSP_Species_Support!CO50*4))^S13_PSP_Species_Support!CP50))^0.976,0)+IFERROR(S13_PSP_Species_Support!CT50*0.0673*(S13_PSP_Species_Support!CU50*(S13_PSP_Species_Support!CV50*(1-EXP(-S13_PSP_Species_Support!CW50*4))^S13_PSP_Species_Support!CX50)^2*(S13_PSP_Species_Support!CY50*(1-EXP(-S13_PSP_Species_Support!CZ50*4))^S13_PSP_Species_Support!DA50))^0.976,0))/1000/$G63*M$108,0)</x:f>
        <x:v>38.944466246042516</x:v>
      </x:c>
      <x:c r="N63" s="147" t="n">
        <x:f aca="0">IFERROR((IFERROR(S13_PSP_Species_Support!U50*0.0673*(S13_PSP_Species_Support!V50*(S13_PSP_Species_Support!W50*(1-EXP(-S13_PSP_Species_Support!X50*5))^S13_PSP_Species_Support!Y50)^2*(S13_PSP_Species_Support!Z50*(1-EXP(-S13_PSP_Species_Support!AA50*5))^S13_PSP_Species_Support!AB50))^0.976,0)+IFERROR(S13_PSP_Species_Support!AF50*0.0673*(S13_PSP_Species_Support!AG50*(S13_PSP_Species_Support!AH50*(1-EXP(-S13_PSP_Species_Support!AI50*5))^S13_PSP_Species_Support!AJ50)^2*(S13_PSP_Species_Support!AK50*(1-EXP(-S13_PSP_Species_Support!AL50*5))^S13_PSP_Species_Support!AM50))^0.976,0)+IFERROR(S13_PSP_Species_Support!AQ50*0.0673*(S13_PSP_Species_Support!AR50*(S13_PSP_Species_Support!AS50*(1-EXP(-S13_PSP_Species_Support!AT50*5))^S13_PSP_Species_Support!AU50)^2*(S13_PSP_Species_Support!AV50*(1-EXP(-S13_PSP_Species_Support!AW50*5))^S13_PSP_Species_Support!AX50))^0.976,0)+IFERROR(S13_PSP_Species_Support!BB50*0.0673*(S13_PSP_Species_Support!BC50*(S13_PSP_Species_Support!BD50*(1-EXP(-S13_PSP_Species_Support!BE50*5))^S13_PSP_Species_Support!BF50)^2*(S13_PSP_Species_Support!BG50*(1-EXP(-S13_PSP_Species_Support!BH50*5))^S13_PSP_Species_Support!BI50))^0.976,0)+IFERROR(S13_PSP_Species_Support!BM50*0.0673*(S13_PSP_Species_Support!BN50*(S13_PSP_Species_Support!BO50*(1-EXP(-S13_PSP_Species_Support!BP50*5))^S13_PSP_Species_Support!BQ50)^2*(S13_PSP_Species_Support!BR50*(1-EXP(-S13_PSP_Species_Support!BS50*5))^S13_PSP_Species_Support!BT50))^0.976,0)+IFERROR(S13_PSP_Species_Support!BX50*0.0673*(S13_PSP_Species_Support!BY50*(S13_PSP_Species_Support!BZ50*(1-EXP(-S13_PSP_Species_Support!CA50*5))^S13_PSP_Species_Support!CB50)^2*(S13_PSP_Species_Support!CC50*(1-EXP(-S13_PSP_Species_Support!CD50*5))^S13_PSP_Species_Support!CE50))^0.976,0)+IFERROR(S13_PSP_Species_Support!CI50*0.0673*(S13_PSP_Species_Support!CJ50*(S13_PSP_Species_Support!CK50*(1-EXP(-S13_PSP_Species_Support!CL50*5))^S13_PSP_Species_Support!CM50)^2*(S13_PSP_Species_Support!CN50*(1-EXP(-S13_PSP_Species_Support!CO50*5))^S13_PSP_Species_Support!CP50))^0.976,0)+IFERROR(S13_PSP_Species_Support!CT50*0.0673*(S13_PSP_Species_Support!CU50*(S13_PSP_Species_Support!CV50*(1-EXP(-S13_PSP_Species_Support!CW50*5))^S13_PSP_Species_Support!CX50)^2*(S13_PSP_Species_Support!CY50*(1-EXP(-S13_PSP_Species_Support!CZ50*5))^S13_PSP_Species_Support!DA50))^0.976,0))/1000/$G63*N$108,0)</x:f>
        <x:v>68.65460446867496</x:v>
      </x:c>
      <x:c r="O63" s="147" t="n">
        <x:f aca="0">IFERROR((IFERROR(S13_PSP_Species_Support!U50*0.0673*(S13_PSP_Species_Support!V50*(S13_PSP_Species_Support!W50*(1-EXP(-S13_PSP_Species_Support!X50*6))^S13_PSP_Species_Support!Y50)^2*(S13_PSP_Species_Support!Z50*(1-EXP(-S13_PSP_Species_Support!AA50*6))^S13_PSP_Species_Support!AB50))^0.976,0)+IFERROR(S13_PSP_Species_Support!AF50*0.0673*(S13_PSP_Species_Support!AG50*(S13_PSP_Species_Support!AH50*(1-EXP(-S13_PSP_Species_Support!AI50*6))^S13_PSP_Species_Support!AJ50)^2*(S13_PSP_Species_Support!AK50*(1-EXP(-S13_PSP_Species_Support!AL50*6))^S13_PSP_Species_Support!AM50))^0.976,0)+IFERROR(S13_PSP_Species_Support!AQ50*0.0673*(S13_PSP_Species_Support!AR50*(S13_PSP_Species_Support!AS50*(1-EXP(-S13_PSP_Species_Support!AT50*6))^S13_PSP_Species_Support!AU50)^2*(S13_PSP_Species_Support!AV50*(1-EXP(-S13_PSP_Species_Support!AW50*6))^S13_PSP_Species_Support!AX50))^0.976,0)+IFERROR(S13_PSP_Species_Support!BB50*0.0673*(S13_PSP_Species_Support!BC50*(S13_PSP_Species_Support!BD50*(1-EXP(-S13_PSP_Species_Support!BE50*6))^S13_PSP_Species_Support!BF50)^2*(S13_PSP_Species_Support!BG50*(1-EXP(-S13_PSP_Species_Support!BH50*6))^S13_PSP_Species_Support!BI50))^0.976,0)+IFERROR(S13_PSP_Species_Support!BM50*0.0673*(S13_PSP_Species_Support!BN50*(S13_PSP_Species_Support!BO50*(1-EXP(-S13_PSP_Species_Support!BP50*6))^S13_PSP_Species_Support!BQ50)^2*(S13_PSP_Species_Support!BR50*(1-EXP(-S13_PSP_Species_Support!BS50*6))^S13_PSP_Species_Support!BT50))^0.976,0)+IFERROR(S13_PSP_Species_Support!BX50*0.0673*(S13_PSP_Species_Support!BY50*(S13_PSP_Species_Support!BZ50*(1-EXP(-S13_PSP_Species_Support!CA50*6))^S13_PSP_Species_Support!CB50)^2*(S13_PSP_Species_Support!CC50*(1-EXP(-S13_PSP_Species_Support!CD50*6))^S13_PSP_Species_Support!CE50))^0.976,0)+IFERROR(S13_PSP_Species_Support!CI50*0.0673*(S13_PSP_Species_Support!CJ50*(S13_PSP_Species_Support!CK50*(1-EXP(-S13_PSP_Species_Support!CL50*6))^S13_PSP_Species_Support!CM50)^2*(S13_PSP_Species_Support!CN50*(1-EXP(-S13_PSP_Species_Support!CO50*6))^S13_PSP_Species_Support!CP50))^0.976,0)+IFERROR(S13_PSP_Species_Support!CT50*0.0673*(S13_PSP_Species_Support!CU50*(S13_PSP_Species_Support!CV50*(1-EXP(-S13_PSP_Species_Support!CW50*6))^S13_PSP_Species_Support!CX50)^2*(S13_PSP_Species_Support!CY50*(1-EXP(-S13_PSP_Species_Support!CZ50*6))^S13_PSP_Species_Support!DA50))^0.976,0))/1000/$G63*O$108,0)</x:f>
        <x:v>104.84234967761554</x:v>
      </x:c>
      <x:c r="P63" s="147" t="n">
        <x:f aca="0">IFERROR((IFERROR(S13_PSP_Species_Support!U50*0.0673*(S13_PSP_Species_Support!V50*(S13_PSP_Species_Support!W50*(1-EXP(-S13_PSP_Species_Support!X50*7))^S13_PSP_Species_Support!Y50)^2*(S13_PSP_Species_Support!Z50*(1-EXP(-S13_PSP_Species_Support!AA50*7))^S13_PSP_Species_Support!AB50))^0.976,0)+IFERROR(S13_PSP_Species_Support!AF50*0.0673*(S13_PSP_Species_Support!AG50*(S13_PSP_Species_Support!AH50*(1-EXP(-S13_PSP_Species_Support!AI50*7))^S13_PSP_Species_Support!AJ50)^2*(S13_PSP_Species_Support!AK50*(1-EXP(-S13_PSP_Species_Support!AL50*7))^S13_PSP_Species_Support!AM50))^0.976,0)+IFERROR(S13_PSP_Species_Support!AQ50*0.0673*(S13_PSP_Species_Support!AR50*(S13_PSP_Species_Support!AS50*(1-EXP(-S13_PSP_Species_Support!AT50*7))^S13_PSP_Species_Support!AU50)^2*(S13_PSP_Species_Support!AV50*(1-EXP(-S13_PSP_Species_Support!AW50*7))^S13_PSP_Species_Support!AX50))^0.976,0)+IFERROR(S13_PSP_Species_Support!BB50*0.0673*(S13_PSP_Species_Support!BC50*(S13_PSP_Species_Support!BD50*(1-EXP(-S13_PSP_Species_Support!BE50*7))^S13_PSP_Species_Support!BF50)^2*(S13_PSP_Species_Support!BG50*(1-EXP(-S13_PSP_Species_Support!BH50*7))^S13_PSP_Species_Support!BI50))^0.976,0)+IFERROR(S13_PSP_Species_Support!BM50*0.0673*(S13_PSP_Species_Support!BN50*(S13_PSP_Species_Support!BO50*(1-EXP(-S13_PSP_Species_Support!BP50*7))^S13_PSP_Species_Support!BQ50)^2*(S13_PSP_Species_Support!BR50*(1-EXP(-S13_PSP_Species_Support!BS50*7))^S13_PSP_Species_Support!BT50))^0.976,0)+IFERROR(S13_PSP_Species_Support!BX50*0.0673*(S13_PSP_Species_Support!BY50*(S13_PSP_Species_Support!BZ50*(1-EXP(-S13_PSP_Species_Support!CA50*7))^S13_PSP_Species_Support!CB50)^2*(S13_PSP_Species_Support!CC50*(1-EXP(-S13_PSP_Species_Support!CD50*7))^S13_PSP_Species_Support!CE50))^0.976,0)+IFERROR(S13_PSP_Species_Support!CI50*0.0673*(S13_PSP_Species_Support!CJ50*(S13_PSP_Species_Support!CK50*(1-EXP(-S13_PSP_Species_Support!CL50*7))^S13_PSP_Species_Support!CM50)^2*(S13_PSP_Species_Support!CN50*(1-EXP(-S13_PSP_Species_Support!CO50*7))^S13_PSP_Species_Support!CP50))^0.976,0)+IFERROR(S13_PSP_Species_Support!CT50*0.0673*(S13_PSP_Species_Support!CU50*(S13_PSP_Species_Support!CV50*(1-EXP(-S13_PSP_Species_Support!CW50*7))^S13_PSP_Species_Support!CX50)^2*(S13_PSP_Species_Support!CY50*(1-EXP(-S13_PSP_Species_Support!CZ50*7))^S13_PSP_Species_Support!DA50))^0.976,0))/1000/$G63*P$108,0)</x:f>
        <x:v>145.35957730512732</x:v>
      </x:c>
      <x:c r="Q63" s="147" t="n">
        <x:f aca="0">IFERROR((IFERROR(S13_PSP_Species_Support!U50*0.0673*(S13_PSP_Species_Support!V50*(S13_PSP_Species_Support!W50*(1-EXP(-S13_PSP_Species_Support!X50*8))^S13_PSP_Species_Support!Y50)^2*(S13_PSP_Species_Support!Z50*(1-EXP(-S13_PSP_Species_Support!AA50*8))^S13_PSP_Species_Support!AB50))^0.976,0)+IFERROR(S13_PSP_Species_Support!AF50*0.0673*(S13_PSP_Species_Support!AG50*(S13_PSP_Species_Support!AH50*(1-EXP(-S13_PSP_Species_Support!AI50*8))^S13_PSP_Species_Support!AJ50)^2*(S13_PSP_Species_Support!AK50*(1-EXP(-S13_PSP_Species_Support!AL50*8))^S13_PSP_Species_Support!AM50))^0.976,0)+IFERROR(S13_PSP_Species_Support!AQ50*0.0673*(S13_PSP_Species_Support!AR50*(S13_PSP_Species_Support!AS50*(1-EXP(-S13_PSP_Species_Support!AT50*8))^S13_PSP_Species_Support!AU50)^2*(S13_PSP_Species_Support!AV50*(1-EXP(-S13_PSP_Species_Support!AW50*8))^S13_PSP_Species_Support!AX50))^0.976,0)+IFERROR(S13_PSP_Species_Support!BB50*0.0673*(S13_PSP_Species_Support!BC50*(S13_PSP_Species_Support!BD50*(1-EXP(-S13_PSP_Species_Support!BE50*8))^S13_PSP_Species_Support!BF50)^2*(S13_PSP_Species_Support!BG50*(1-EXP(-S13_PSP_Species_Support!BH50*8))^S13_PSP_Species_Support!BI50))^0.976,0)+IFERROR(S13_PSP_Species_Support!BM50*0.0673*(S13_PSP_Species_Support!BN50*(S13_PSP_Species_Support!BO50*(1-EXP(-S13_PSP_Species_Support!BP50*8))^S13_PSP_Species_Support!BQ50)^2*(S13_PSP_Species_Support!BR50*(1-EXP(-S13_PSP_Species_Support!BS50*8))^S13_PSP_Species_Support!BT50))^0.976,0)+IFERROR(S13_PSP_Species_Support!BX50*0.0673*(S13_PSP_Species_Support!BY50*(S13_PSP_Species_Support!BZ50*(1-EXP(-S13_PSP_Species_Support!CA50*8))^S13_PSP_Species_Support!CB50)^2*(S13_PSP_Species_Support!CC50*(1-EXP(-S13_PSP_Species_Support!CD50*8))^S13_PSP_Species_Support!CE50))^0.976,0)+IFERROR(S13_PSP_Species_Support!CI50*0.0673*(S13_PSP_Species_Support!CJ50*(S13_PSP_Species_Support!CK50*(1-EXP(-S13_PSP_Species_Support!CL50*8))^S13_PSP_Species_Support!CM50)^2*(S13_PSP_Species_Support!CN50*(1-EXP(-S13_PSP_Species_Support!CO50*8))^S13_PSP_Species_Support!CP50))^0.976,0)+IFERROR(S13_PSP_Species_Support!CT50*0.0673*(S13_PSP_Species_Support!CU50*(S13_PSP_Species_Support!CV50*(1-EXP(-S13_PSP_Species_Support!CW50*8))^S13_PSP_Species_Support!CX50)^2*(S13_PSP_Species_Support!CY50*(1-EXP(-S13_PSP_Species_Support!CZ50*8))^S13_PSP_Species_Support!DA50))^0.976,0))/1000/$G63*Q$108,0)</x:f>
        <x:v>188.1572731341628</x:v>
      </x:c>
      <x:c r="R63" s="147" t="n">
        <x:f aca="0">IFERROR((IFERROR(S13_PSP_Species_Support!U50*0.0673*(S13_PSP_Species_Support!V50*(S13_PSP_Species_Support!W50*(1-EXP(-S13_PSP_Species_Support!X50*9))^S13_PSP_Species_Support!Y50)^2*(S13_PSP_Species_Support!Z50*(1-EXP(-S13_PSP_Species_Support!AA50*9))^S13_PSP_Species_Support!AB50))^0.976,0)+IFERROR(S13_PSP_Species_Support!AF50*0.0673*(S13_PSP_Species_Support!AG50*(S13_PSP_Species_Support!AH50*(1-EXP(-S13_PSP_Species_Support!AI50*9))^S13_PSP_Species_Support!AJ50)^2*(S13_PSP_Species_Support!AK50*(1-EXP(-S13_PSP_Species_Support!AL50*9))^S13_PSP_Species_Support!AM50))^0.976,0)+IFERROR(S13_PSP_Species_Support!AQ50*0.0673*(S13_PSP_Species_Support!AR50*(S13_PSP_Species_Support!AS50*(1-EXP(-S13_PSP_Species_Support!AT50*9))^S13_PSP_Species_Support!AU50)^2*(S13_PSP_Species_Support!AV50*(1-EXP(-S13_PSP_Species_Support!AW50*9))^S13_PSP_Species_Support!AX50))^0.976,0)+IFERROR(S13_PSP_Species_Support!BB50*0.0673*(S13_PSP_Species_Support!BC50*(S13_PSP_Species_Support!BD50*(1-EXP(-S13_PSP_Species_Support!BE50*9))^S13_PSP_Species_Support!BF50)^2*(S13_PSP_Species_Support!BG50*(1-EXP(-S13_PSP_Species_Support!BH50*9))^S13_PSP_Species_Support!BI50))^0.976,0)+IFERROR(S13_PSP_Species_Support!BM50*0.0673*(S13_PSP_Species_Support!BN50*(S13_PSP_Species_Support!BO50*(1-EXP(-S13_PSP_Species_Support!BP50*9))^S13_PSP_Species_Support!BQ50)^2*(S13_PSP_Species_Support!BR50*(1-EXP(-S13_PSP_Species_Support!BS50*9))^S13_PSP_Species_Support!BT50))^0.976,0)+IFERROR(S13_PSP_Species_Support!BX50*0.0673*(S13_PSP_Species_Support!BY50*(S13_PSP_Species_Support!BZ50*(1-EXP(-S13_PSP_Species_Support!CA50*9))^S13_PSP_Species_Support!CB50)^2*(S13_PSP_Species_Support!CC50*(1-EXP(-S13_PSP_Species_Support!CD50*9))^S13_PSP_Species_Support!CE50))^0.976,0)+IFERROR(S13_PSP_Species_Support!CI50*0.0673*(S13_PSP_Species_Support!CJ50*(S13_PSP_Species_Support!CK50*(1-EXP(-S13_PSP_Species_Support!CL50*9))^S13_PSP_Species_Support!CM50)^2*(S13_PSP_Species_Support!CN50*(1-EXP(-S13_PSP_Species_Support!CO50*9))^S13_PSP_Species_Support!CP50))^0.976,0)+IFERROR(S13_PSP_Species_Support!CT50*0.0673*(S13_PSP_Species_Support!CU50*(S13_PSP_Species_Support!CV50*(1-EXP(-S13_PSP_Species_Support!CW50*9))^S13_PSP_Species_Support!CX50)^2*(S13_PSP_Species_Support!CY50*(1-EXP(-S13_PSP_Species_Support!CZ50*9))^S13_PSP_Species_Support!DA50))^0.976,0))/1000/$G63*R$108,0)</x:f>
        <x:v>231.5008282522477</x:v>
      </x:c>
      <x:c r="S63" s="147" t="n">
        <x:f aca="0">IFERROR((IFERROR(S13_PSP_Species_Support!U50*0.0673*(S13_PSP_Species_Support!V50*(S13_PSP_Species_Support!W50*(1-EXP(-S13_PSP_Species_Support!X50*10))^S13_PSP_Species_Support!Y50)^2*(S13_PSP_Species_Support!Z50*(1-EXP(-S13_PSP_Species_Support!AA50*10))^S13_PSP_Species_Support!AB50))^0.976,0)+IFERROR(S13_PSP_Species_Support!AF50*0.0673*(S13_PSP_Species_Support!AG50*(S13_PSP_Species_Support!AH50*(1-EXP(-S13_PSP_Species_Support!AI50*10))^S13_PSP_Species_Support!AJ50)^2*(S13_PSP_Species_Support!AK50*(1-EXP(-S13_PSP_Species_Support!AL50*10))^S13_PSP_Species_Support!AM50))^0.976,0)+IFERROR(S13_PSP_Species_Support!AQ50*0.0673*(S13_PSP_Species_Support!AR50*(S13_PSP_Species_Support!AS50*(1-EXP(-S13_PSP_Species_Support!AT50*10))^S13_PSP_Species_Support!AU50)^2*(S13_PSP_Species_Support!AV50*(1-EXP(-S13_PSP_Species_Support!AW50*10))^S13_PSP_Species_Support!AX50))^0.976,0)+IFERROR(S13_PSP_Species_Support!BB50*0.0673*(S13_PSP_Species_Support!BC50*(S13_PSP_Species_Support!BD50*(1-EXP(-S13_PSP_Species_Support!BE50*10))^S13_PSP_Species_Support!BF50)^2*(S13_PSP_Species_Support!BG50*(1-EXP(-S13_PSP_Species_Support!BH50*10))^S13_PSP_Species_Support!BI50))^0.976,0)+IFERROR(S13_PSP_Species_Support!BM50*0.0673*(S13_PSP_Species_Support!BN50*(S13_PSP_Species_Support!BO50*(1-EXP(-S13_PSP_Species_Support!BP50*10))^S13_PSP_Species_Support!BQ50)^2*(S13_PSP_Species_Support!BR50*(1-EXP(-S13_PSP_Species_Support!BS50*10))^S13_PSP_Species_Support!BT50))^0.976,0)+IFERROR(S13_PSP_Species_Support!BX50*0.0673*(S13_PSP_Species_Support!BY50*(S13_PSP_Species_Support!BZ50*(1-EXP(-S13_PSP_Species_Support!CA50*10))^S13_PSP_Species_Support!CB50)^2*(S13_PSP_Species_Support!CC50*(1-EXP(-S13_PSP_Species_Support!CD50*10))^S13_PSP_Species_Support!CE50))^0.976,0)+IFERROR(S13_PSP_Species_Support!CI50*0.0673*(S13_PSP_Species_Support!CJ50*(S13_PSP_Species_Support!CK50*(1-EXP(-S13_PSP_Species_Support!CL50*10))^S13_PSP_Species_Support!CM50)^2*(S13_PSP_Species_Support!CN50*(1-EXP(-S13_PSP_Species_Support!CO50*10))^S13_PSP_Species_Support!CP50))^0.976,0)+IFERROR(S13_PSP_Species_Support!CT50*0.0673*(S13_PSP_Species_Support!CU50*(S13_PSP_Species_Support!CV50*(1-EXP(-S13_PSP_Species_Support!CW50*10))^S13_PSP_Species_Support!CX50)^2*(S13_PSP_Species_Support!CY50*(1-EXP(-S13_PSP_Species_Support!CZ50*10))^S13_PSP_Species_Support!DA50))^0.976,0))/1000/$G63*S$108,0)</x:f>
        <x:v>274.04117475921777</x:v>
      </x:c>
      <x:c r="T63" s="147" t="n">
        <x:f aca="0">IFERROR((IFERROR(S13_PSP_Species_Support!U50*0.0673*(S13_PSP_Species_Support!V50*(S13_PSP_Species_Support!W50*(1-EXP(-S13_PSP_Species_Support!X50*11))^S13_PSP_Species_Support!Y50)^2*(S13_PSP_Species_Support!Z50*(1-EXP(-S13_PSP_Species_Support!AA50*11))^S13_PSP_Species_Support!AB50))^0.976,0)+IFERROR(S13_PSP_Species_Support!AF50*0.0673*(S13_PSP_Species_Support!AG50*(S13_PSP_Species_Support!AH50*(1-EXP(-S13_PSP_Species_Support!AI50*11))^S13_PSP_Species_Support!AJ50)^2*(S13_PSP_Species_Support!AK50*(1-EXP(-S13_PSP_Species_Support!AL50*11))^S13_PSP_Species_Support!AM50))^0.976,0)+IFERROR(S13_PSP_Species_Support!AQ50*0.0673*(S13_PSP_Species_Support!AR50*(S13_PSP_Species_Support!AS50*(1-EXP(-S13_PSP_Species_Support!AT50*11))^S13_PSP_Species_Support!AU50)^2*(S13_PSP_Species_Support!AV50*(1-EXP(-S13_PSP_Species_Support!AW50*11))^S13_PSP_Species_Support!AX50))^0.976,0)+IFERROR(S13_PSP_Species_Support!BB50*0.0673*(S13_PSP_Species_Support!BC50*(S13_PSP_Species_Support!BD50*(1-EXP(-S13_PSP_Species_Support!BE50*11))^S13_PSP_Species_Support!BF50)^2*(S13_PSP_Species_Support!BG50*(1-EXP(-S13_PSP_Species_Support!BH50*11))^S13_PSP_Species_Support!BI50))^0.976,0)+IFERROR(S13_PSP_Species_Support!BM50*0.0673*(S13_PSP_Species_Support!BN50*(S13_PSP_Species_Support!BO50*(1-EXP(-S13_PSP_Species_Support!BP50*11))^S13_PSP_Species_Support!BQ50)^2*(S13_PSP_Species_Support!BR50*(1-EXP(-S13_PSP_Species_Support!BS50*11))^S13_PSP_Species_Support!BT50))^0.976,0)+IFERROR(S13_PSP_Species_Support!BX50*0.0673*(S13_PSP_Species_Support!BY50*(S13_PSP_Species_Support!BZ50*(1-EXP(-S13_PSP_Species_Support!CA50*11))^S13_PSP_Species_Support!CB50)^2*(S13_PSP_Species_Support!CC50*(1-EXP(-S13_PSP_Species_Support!CD50*11))^S13_PSP_Species_Support!CE50))^0.976,0)+IFERROR(S13_PSP_Species_Support!CI50*0.0673*(S13_PSP_Species_Support!CJ50*(S13_PSP_Species_Support!CK50*(1-EXP(-S13_PSP_Species_Support!CL50*11))^S13_PSP_Species_Support!CM50)^2*(S13_PSP_Species_Support!CN50*(1-EXP(-S13_PSP_Species_Support!CO50*11))^S13_PSP_Species_Support!CP50))^0.976,0)+IFERROR(S13_PSP_Species_Support!CT50*0.0673*(S13_PSP_Species_Support!CU50*(S13_PSP_Species_Support!CV50*(1-EXP(-S13_PSP_Species_Support!CW50*11))^S13_PSP_Species_Support!CX50)^2*(S13_PSP_Species_Support!CY50*(1-EXP(-S13_PSP_Species_Support!CZ50*11))^S13_PSP_Species_Support!DA50))^0.976,0))/1000/$G63*T$108,0)</x:f>
        <x:v>314.8048897218818</x:v>
      </x:c>
      <x:c r="U63" s="147" t="n">
        <x:f aca="0">IFERROR((IFERROR(S13_PSP_Species_Support!U50*0.0673*(S13_PSP_Species_Support!V50*(S13_PSP_Species_Support!W50*(1-EXP(-S13_PSP_Species_Support!X50*12))^S13_PSP_Species_Support!Y50)^2*(S13_PSP_Species_Support!Z50*(1-EXP(-S13_PSP_Species_Support!AA50*12))^S13_PSP_Species_Support!AB50))^0.976,0)+IFERROR(S13_PSP_Species_Support!AF50*0.0673*(S13_PSP_Species_Support!AG50*(S13_PSP_Species_Support!AH50*(1-EXP(-S13_PSP_Species_Support!AI50*12))^S13_PSP_Species_Support!AJ50)^2*(S13_PSP_Species_Support!AK50*(1-EXP(-S13_PSP_Species_Support!AL50*12))^S13_PSP_Species_Support!AM50))^0.976,0)+IFERROR(S13_PSP_Species_Support!AQ50*0.0673*(S13_PSP_Species_Support!AR50*(S13_PSP_Species_Support!AS50*(1-EXP(-S13_PSP_Species_Support!AT50*12))^S13_PSP_Species_Support!AU50)^2*(S13_PSP_Species_Support!AV50*(1-EXP(-S13_PSP_Species_Support!AW50*12))^S13_PSP_Species_Support!AX50))^0.976,0)+IFERROR(S13_PSP_Species_Support!BB50*0.0673*(S13_PSP_Species_Support!BC50*(S13_PSP_Species_Support!BD50*(1-EXP(-S13_PSP_Species_Support!BE50*12))^S13_PSP_Species_Support!BF50)^2*(S13_PSP_Species_Support!BG50*(1-EXP(-S13_PSP_Species_Support!BH50*12))^S13_PSP_Species_Support!BI50))^0.976,0)+IFERROR(S13_PSP_Species_Support!BM50*0.0673*(S13_PSP_Species_Support!BN50*(S13_PSP_Species_Support!BO50*(1-EXP(-S13_PSP_Species_Support!BP50*12))^S13_PSP_Species_Support!BQ50)^2*(S13_PSP_Species_Support!BR50*(1-EXP(-S13_PSP_Species_Support!BS50*12))^S13_PSP_Species_Support!BT50))^0.976,0)+IFERROR(S13_PSP_Species_Support!BX50*0.0673*(S13_PSP_Species_Support!BY50*(S13_PSP_Species_Support!BZ50*(1-EXP(-S13_PSP_Species_Support!CA50*12))^S13_PSP_Species_Support!CB50)^2*(S13_PSP_Species_Support!CC50*(1-EXP(-S13_PSP_Species_Support!CD50*12))^S13_PSP_Species_Support!CE50))^0.976,0)+IFERROR(S13_PSP_Species_Support!CI50*0.0673*(S13_PSP_Species_Support!CJ50*(S13_PSP_Species_Support!CK50*(1-EXP(-S13_PSP_Species_Support!CL50*12))^S13_PSP_Species_Support!CM50)^2*(S13_PSP_Species_Support!CN50*(1-EXP(-S13_PSP_Species_Support!CO50*12))^S13_PSP_Species_Support!CP50))^0.976,0)+IFERROR(S13_PSP_Species_Support!CT50*0.0673*(S13_PSP_Species_Support!CU50*(S13_PSP_Species_Support!CV50*(1-EXP(-S13_PSP_Species_Support!CW50*12))^S13_PSP_Species_Support!CX50)^2*(S13_PSP_Species_Support!CY50*(1-EXP(-S13_PSP_Species_Support!CZ50*12))^S13_PSP_Species_Support!DA50))^0.976,0))/1000/$G63*U$108,0)</x:f>
        <x:v>353.1455377622689</x:v>
      </x:c>
      <x:c r="V63" s="147" t="n">
        <x:f aca="0">IFERROR((IFERROR(S13_PSP_Species_Support!U50*0.0673*(S13_PSP_Species_Support!V50*(S13_PSP_Species_Support!W50*(1-EXP(-S13_PSP_Species_Support!X50*13))^S13_PSP_Species_Support!Y50)^2*(S13_PSP_Species_Support!Z50*(1-EXP(-S13_PSP_Species_Support!AA50*13))^S13_PSP_Species_Support!AB50))^0.976,0)+IFERROR(S13_PSP_Species_Support!AF50*0.0673*(S13_PSP_Species_Support!AG50*(S13_PSP_Species_Support!AH50*(1-EXP(-S13_PSP_Species_Support!AI50*13))^S13_PSP_Species_Support!AJ50)^2*(S13_PSP_Species_Support!AK50*(1-EXP(-S13_PSP_Species_Support!AL50*13))^S13_PSP_Species_Support!AM50))^0.976,0)+IFERROR(S13_PSP_Species_Support!AQ50*0.0673*(S13_PSP_Species_Support!AR50*(S13_PSP_Species_Support!AS50*(1-EXP(-S13_PSP_Species_Support!AT50*13))^S13_PSP_Species_Support!AU50)^2*(S13_PSP_Species_Support!AV50*(1-EXP(-S13_PSP_Species_Support!AW50*13))^S13_PSP_Species_Support!AX50))^0.976,0)+IFERROR(S13_PSP_Species_Support!BB50*0.0673*(S13_PSP_Species_Support!BC50*(S13_PSP_Species_Support!BD50*(1-EXP(-S13_PSP_Species_Support!BE50*13))^S13_PSP_Species_Support!BF50)^2*(S13_PSP_Species_Support!BG50*(1-EXP(-S13_PSP_Species_Support!BH50*13))^S13_PSP_Species_Support!BI50))^0.976,0)+IFERROR(S13_PSP_Species_Support!BM50*0.0673*(S13_PSP_Species_Support!BN50*(S13_PSP_Species_Support!BO50*(1-EXP(-S13_PSP_Species_Support!BP50*13))^S13_PSP_Species_Support!BQ50)^2*(S13_PSP_Species_Support!BR50*(1-EXP(-S13_PSP_Species_Support!BS50*13))^S13_PSP_Species_Support!BT50))^0.976,0)+IFERROR(S13_PSP_Species_Support!BX50*0.0673*(S13_PSP_Species_Support!BY50*(S13_PSP_Species_Support!BZ50*(1-EXP(-S13_PSP_Species_Support!CA50*13))^S13_PSP_Species_Support!CB50)^2*(S13_PSP_Species_Support!CC50*(1-EXP(-S13_PSP_Species_Support!CD50*13))^S13_PSP_Species_Support!CE50))^0.976,0)+IFERROR(S13_PSP_Species_Support!CI50*0.0673*(S13_PSP_Species_Support!CJ50*(S13_PSP_Species_Support!CK50*(1-EXP(-S13_PSP_Species_Support!CL50*13))^S13_PSP_Species_Support!CM50)^2*(S13_PSP_Species_Support!CN50*(1-EXP(-S13_PSP_Species_Support!CO50*13))^S13_PSP_Species_Support!CP50))^0.976,0)+IFERROR(S13_PSP_Species_Support!CT50*0.0673*(S13_PSP_Species_Support!CU50*(S13_PSP_Species_Support!CV50*(1-EXP(-S13_PSP_Species_Support!CW50*13))^S13_PSP_Species_Support!CX50)^2*(S13_PSP_Species_Support!CY50*(1-EXP(-S13_PSP_Species_Support!CZ50*13))^S13_PSP_Species_Support!DA50))^0.976,0))/1000/$G63*V$108,0)</x:f>
        <x:v>388.6816816708734</x:v>
      </x:c>
      <x:c r="W63" s="147" t="n">
        <x:f aca="0">IFERROR((IFERROR(S13_PSP_Species_Support!U50*0.0673*(S13_PSP_Species_Support!V50*(S13_PSP_Species_Support!W50*(1-EXP(-S13_PSP_Species_Support!X50*14))^S13_PSP_Species_Support!Y50)^2*(S13_PSP_Species_Support!Z50*(1-EXP(-S13_PSP_Species_Support!AA50*14))^S13_PSP_Species_Support!AB50))^0.976,0)+IFERROR(S13_PSP_Species_Support!AF50*0.0673*(S13_PSP_Species_Support!AG50*(S13_PSP_Species_Support!AH50*(1-EXP(-S13_PSP_Species_Support!AI50*14))^S13_PSP_Species_Support!AJ50)^2*(S13_PSP_Species_Support!AK50*(1-EXP(-S13_PSP_Species_Support!AL50*14))^S13_PSP_Species_Support!AM50))^0.976,0)+IFERROR(S13_PSP_Species_Support!AQ50*0.0673*(S13_PSP_Species_Support!AR50*(S13_PSP_Species_Support!AS50*(1-EXP(-S13_PSP_Species_Support!AT50*14))^S13_PSP_Species_Support!AU50)^2*(S13_PSP_Species_Support!AV50*(1-EXP(-S13_PSP_Species_Support!AW50*14))^S13_PSP_Species_Support!AX50))^0.976,0)+IFERROR(S13_PSP_Species_Support!BB50*0.0673*(S13_PSP_Species_Support!BC50*(S13_PSP_Species_Support!BD50*(1-EXP(-S13_PSP_Species_Support!BE50*14))^S13_PSP_Species_Support!BF50)^2*(S13_PSP_Species_Support!BG50*(1-EXP(-S13_PSP_Species_Support!BH50*14))^S13_PSP_Species_Support!BI50))^0.976,0)+IFERROR(S13_PSP_Species_Support!BM50*0.0673*(S13_PSP_Species_Support!BN50*(S13_PSP_Species_Support!BO50*(1-EXP(-S13_PSP_Species_Support!BP50*14))^S13_PSP_Species_Support!BQ50)^2*(S13_PSP_Species_Support!BR50*(1-EXP(-S13_PSP_Species_Support!BS50*14))^S13_PSP_Species_Support!BT50))^0.976,0)+IFERROR(S13_PSP_Species_Support!BX50*0.0673*(S13_PSP_Species_Support!BY50*(S13_PSP_Species_Support!BZ50*(1-EXP(-S13_PSP_Species_Support!CA50*14))^S13_PSP_Species_Support!CB50)^2*(S13_PSP_Species_Support!CC50*(1-EXP(-S13_PSP_Species_Support!CD50*14))^S13_PSP_Species_Support!CE50))^0.976,0)+IFERROR(S13_PSP_Species_Support!CI50*0.0673*(S13_PSP_Species_Support!CJ50*(S13_PSP_Species_Support!CK50*(1-EXP(-S13_PSP_Species_Support!CL50*14))^S13_PSP_Species_Support!CM50)^2*(S13_PSP_Species_Support!CN50*(1-EXP(-S13_PSP_Species_Support!CO50*14))^S13_PSP_Species_Support!CP50))^0.976,0)+IFERROR(S13_PSP_Species_Support!CT50*0.0673*(S13_PSP_Species_Support!CU50*(S13_PSP_Species_Support!CV50*(1-EXP(-S13_PSP_Species_Support!CW50*14))^S13_PSP_Species_Support!CX50)^2*(S13_PSP_Species_Support!CY50*(1-EXP(-S13_PSP_Species_Support!CZ50*14))^S13_PSP_Species_Support!DA50))^0.976,0))/1000/$G63*W$108,0)</x:f>
        <x:v>421.2353982464191</x:v>
      </x:c>
      <x:c r="X63" s="147" t="n">
        <x:f aca="0">IFERROR((IFERROR(S13_PSP_Species_Support!U50*0.0673*(S13_PSP_Species_Support!V50*(S13_PSP_Species_Support!W50*(1-EXP(-S13_PSP_Species_Support!X50*15))^S13_PSP_Species_Support!Y50)^2*(S13_PSP_Species_Support!Z50*(1-EXP(-S13_PSP_Species_Support!AA50*15))^S13_PSP_Species_Support!AB50))^0.976,0)+IFERROR(S13_PSP_Species_Support!AF50*0.0673*(S13_PSP_Species_Support!AG50*(S13_PSP_Species_Support!AH50*(1-EXP(-S13_PSP_Species_Support!AI50*15))^S13_PSP_Species_Support!AJ50)^2*(S13_PSP_Species_Support!AK50*(1-EXP(-S13_PSP_Species_Support!AL50*15))^S13_PSP_Species_Support!AM50))^0.976,0)+IFERROR(S13_PSP_Species_Support!AQ50*0.0673*(S13_PSP_Species_Support!AR50*(S13_PSP_Species_Support!AS50*(1-EXP(-S13_PSP_Species_Support!AT50*15))^S13_PSP_Species_Support!AU50)^2*(S13_PSP_Species_Support!AV50*(1-EXP(-S13_PSP_Species_Support!AW50*15))^S13_PSP_Species_Support!AX50))^0.976,0)+IFERROR(S13_PSP_Species_Support!BB50*0.0673*(S13_PSP_Species_Support!BC50*(S13_PSP_Species_Support!BD50*(1-EXP(-S13_PSP_Species_Support!BE50*15))^S13_PSP_Species_Support!BF50)^2*(S13_PSP_Species_Support!BG50*(1-EXP(-S13_PSP_Species_Support!BH50*15))^S13_PSP_Species_Support!BI50))^0.976,0)+IFERROR(S13_PSP_Species_Support!BM50*0.0673*(S13_PSP_Species_Support!BN50*(S13_PSP_Species_Support!BO50*(1-EXP(-S13_PSP_Species_Support!BP50*15))^S13_PSP_Species_Support!BQ50)^2*(S13_PSP_Species_Support!BR50*(1-EXP(-S13_PSP_Species_Support!BS50*15))^S13_PSP_Species_Support!BT50))^0.976,0)+IFERROR(S13_PSP_Species_Support!BX50*0.0673*(S13_PSP_Species_Support!BY50*(S13_PSP_Species_Support!BZ50*(1-EXP(-S13_PSP_Species_Support!CA50*15))^S13_PSP_Species_Support!CB50)^2*(S13_PSP_Species_Support!CC50*(1-EXP(-S13_PSP_Species_Support!CD50*15))^S13_PSP_Species_Support!CE50))^0.976,0)+IFERROR(S13_PSP_Species_Support!CI50*0.0673*(S13_PSP_Species_Support!CJ50*(S13_PSP_Species_Support!CK50*(1-EXP(-S13_PSP_Species_Support!CL50*15))^S13_PSP_Species_Support!CM50)^2*(S13_PSP_Species_Support!CN50*(1-EXP(-S13_PSP_Species_Support!CO50*15))^S13_PSP_Species_Support!CP50))^0.976,0)+IFERROR(S13_PSP_Species_Support!CT50*0.0673*(S13_PSP_Species_Support!CU50*(S13_PSP_Species_Support!CV50*(1-EXP(-S13_PSP_Species_Support!CW50*15))^S13_PSP_Species_Support!CX50)^2*(S13_PSP_Species_Support!CY50*(1-EXP(-S13_PSP_Species_Support!CZ50*15))^S13_PSP_Species_Support!DA50))^0.976,0))/1000/$G63*X$108,0)</x:f>
        <x:v>450.7778681378129</x:v>
      </x:c>
      <x:c r="Y63" s="147" t="n">
        <x:f aca="0">IFERROR((IFERROR(S13_PSP_Species_Support!U50*0.0673*(S13_PSP_Species_Support!V50*(S13_PSP_Species_Support!W50*(1-EXP(-S13_PSP_Species_Support!X50*16))^S13_PSP_Species_Support!Y50)^2*(S13_PSP_Species_Support!Z50*(1-EXP(-S13_PSP_Species_Support!AA50*16))^S13_PSP_Species_Support!AB50))^0.976,0)+IFERROR(S13_PSP_Species_Support!AF50*0.0673*(S13_PSP_Species_Support!AG50*(S13_PSP_Species_Support!AH50*(1-EXP(-S13_PSP_Species_Support!AI50*16))^S13_PSP_Species_Support!AJ50)^2*(S13_PSP_Species_Support!AK50*(1-EXP(-S13_PSP_Species_Support!AL50*16))^S13_PSP_Species_Support!AM50))^0.976,0)+IFERROR(S13_PSP_Species_Support!AQ50*0.0673*(S13_PSP_Species_Support!AR50*(S13_PSP_Species_Support!AS50*(1-EXP(-S13_PSP_Species_Support!AT50*16))^S13_PSP_Species_Support!AU50)^2*(S13_PSP_Species_Support!AV50*(1-EXP(-S13_PSP_Species_Support!AW50*16))^S13_PSP_Species_Support!AX50))^0.976,0)+IFERROR(S13_PSP_Species_Support!BB50*0.0673*(S13_PSP_Species_Support!BC50*(S13_PSP_Species_Support!BD50*(1-EXP(-S13_PSP_Species_Support!BE50*16))^S13_PSP_Species_Support!BF50)^2*(S13_PSP_Species_Support!BG50*(1-EXP(-S13_PSP_Species_Support!BH50*16))^S13_PSP_Species_Support!BI50))^0.976,0)+IFERROR(S13_PSP_Species_Support!BM50*0.0673*(S13_PSP_Species_Support!BN50*(S13_PSP_Species_Support!BO50*(1-EXP(-S13_PSP_Species_Support!BP50*16))^S13_PSP_Species_Support!BQ50)^2*(S13_PSP_Species_Support!BR50*(1-EXP(-S13_PSP_Species_Support!BS50*16))^S13_PSP_Species_Support!BT50))^0.976,0)+IFERROR(S13_PSP_Species_Support!BX50*0.0673*(S13_PSP_Species_Support!BY50*(S13_PSP_Species_Support!BZ50*(1-EXP(-S13_PSP_Species_Support!CA50*16))^S13_PSP_Species_Support!CB50)^2*(S13_PSP_Species_Support!CC50*(1-EXP(-S13_PSP_Species_Support!CD50*16))^S13_PSP_Species_Support!CE50))^0.976,0)+IFERROR(S13_PSP_Species_Support!CI50*0.0673*(S13_PSP_Species_Support!CJ50*(S13_PSP_Species_Support!CK50*(1-EXP(-S13_PSP_Species_Support!CL50*16))^S13_PSP_Species_Support!CM50)^2*(S13_PSP_Species_Support!CN50*(1-EXP(-S13_PSP_Species_Support!CO50*16))^S13_PSP_Species_Support!CP50))^0.976,0)+IFERROR(S13_PSP_Species_Support!CT50*0.0673*(S13_PSP_Species_Support!CU50*(S13_PSP_Species_Support!CV50*(1-EXP(-S13_PSP_Species_Support!CW50*16))^S13_PSP_Species_Support!CX50)^2*(S13_PSP_Species_Support!CY50*(1-EXP(-S13_PSP_Species_Support!CZ50*16))^S13_PSP_Species_Support!DA50))^0.976,0))/1000/$G63*Y$108,0)</x:f>
        <x:v>477.3843836684323</x:v>
      </x:c>
      <x:c r="Z63" s="147" t="n">
        <x:f aca="0">IFERROR((IFERROR(S13_PSP_Species_Support!U50*0.0673*(S13_PSP_Species_Support!V50*(S13_PSP_Species_Support!W50*(1-EXP(-S13_PSP_Species_Support!X50*17))^S13_PSP_Species_Support!Y50)^2*(S13_PSP_Species_Support!Z50*(1-EXP(-S13_PSP_Species_Support!AA50*17))^S13_PSP_Species_Support!AB50))^0.976,0)+IFERROR(S13_PSP_Species_Support!AF50*0.0673*(S13_PSP_Species_Support!AG50*(S13_PSP_Species_Support!AH50*(1-EXP(-S13_PSP_Species_Support!AI50*17))^S13_PSP_Species_Support!AJ50)^2*(S13_PSP_Species_Support!AK50*(1-EXP(-S13_PSP_Species_Support!AL50*17))^S13_PSP_Species_Support!AM50))^0.976,0)+IFERROR(S13_PSP_Species_Support!AQ50*0.0673*(S13_PSP_Species_Support!AR50*(S13_PSP_Species_Support!AS50*(1-EXP(-S13_PSP_Species_Support!AT50*17))^S13_PSP_Species_Support!AU50)^2*(S13_PSP_Species_Support!AV50*(1-EXP(-S13_PSP_Species_Support!AW50*17))^S13_PSP_Species_Support!AX50))^0.976,0)+IFERROR(S13_PSP_Species_Support!BB50*0.0673*(S13_PSP_Species_Support!BC50*(S13_PSP_Species_Support!BD50*(1-EXP(-S13_PSP_Species_Support!BE50*17))^S13_PSP_Species_Support!BF50)^2*(S13_PSP_Species_Support!BG50*(1-EXP(-S13_PSP_Species_Support!BH50*17))^S13_PSP_Species_Support!BI50))^0.976,0)+IFERROR(S13_PSP_Species_Support!BM50*0.0673*(S13_PSP_Species_Support!BN50*(S13_PSP_Species_Support!BO50*(1-EXP(-S13_PSP_Species_Support!BP50*17))^S13_PSP_Species_Support!BQ50)^2*(S13_PSP_Species_Support!BR50*(1-EXP(-S13_PSP_Species_Support!BS50*17))^S13_PSP_Species_Support!BT50))^0.976,0)+IFERROR(S13_PSP_Species_Support!BX50*0.0673*(S13_PSP_Species_Support!BY50*(S13_PSP_Species_Support!BZ50*(1-EXP(-S13_PSP_Species_Support!CA50*17))^S13_PSP_Species_Support!CB50)^2*(S13_PSP_Species_Support!CC50*(1-EXP(-S13_PSP_Species_Support!CD50*17))^S13_PSP_Species_Support!CE50))^0.976,0)+IFERROR(S13_PSP_Species_Support!CI50*0.0673*(S13_PSP_Species_Support!CJ50*(S13_PSP_Species_Support!CK50*(1-EXP(-S13_PSP_Species_Support!CL50*17))^S13_PSP_Species_Support!CM50)^2*(S13_PSP_Species_Support!CN50*(1-EXP(-S13_PSP_Species_Support!CO50*17))^S13_PSP_Species_Support!CP50))^0.976,0)+IFERROR(S13_PSP_Species_Support!CT50*0.0673*(S13_PSP_Species_Support!CU50*(S13_PSP_Species_Support!CV50*(1-EXP(-S13_PSP_Species_Support!CW50*17))^S13_PSP_Species_Support!CX50)^2*(S13_PSP_Species_Support!CY50*(1-EXP(-S13_PSP_Species_Support!CZ50*17))^S13_PSP_Species_Support!DA50))^0.976,0))/1000/$G63*Z$108,0)</x:f>
        <x:v>501.198857766912</x:v>
      </x:c>
      <x:c r="AA63" s="147" t="n">
        <x:f aca="0">IFERROR((IFERROR(S13_PSP_Species_Support!U50*0.0673*(S13_PSP_Species_Support!V50*(S13_PSP_Species_Support!W50*(1-EXP(-S13_PSP_Species_Support!X50*18))^S13_PSP_Species_Support!Y50)^2*(S13_PSP_Species_Support!Z50*(1-EXP(-S13_PSP_Species_Support!AA50*18))^S13_PSP_Species_Support!AB50))^0.976,0)+IFERROR(S13_PSP_Species_Support!AF50*0.0673*(S13_PSP_Species_Support!AG50*(S13_PSP_Species_Support!AH50*(1-EXP(-S13_PSP_Species_Support!AI50*18))^S13_PSP_Species_Support!AJ50)^2*(S13_PSP_Species_Support!AK50*(1-EXP(-S13_PSP_Species_Support!AL50*18))^S13_PSP_Species_Support!AM50))^0.976,0)+IFERROR(S13_PSP_Species_Support!AQ50*0.0673*(S13_PSP_Species_Support!AR50*(S13_PSP_Species_Support!AS50*(1-EXP(-S13_PSP_Species_Support!AT50*18))^S13_PSP_Species_Support!AU50)^2*(S13_PSP_Species_Support!AV50*(1-EXP(-S13_PSP_Species_Support!AW50*18))^S13_PSP_Species_Support!AX50))^0.976,0)+IFERROR(S13_PSP_Species_Support!BB50*0.0673*(S13_PSP_Species_Support!BC50*(S13_PSP_Species_Support!BD50*(1-EXP(-S13_PSP_Species_Support!BE50*18))^S13_PSP_Species_Support!BF50)^2*(S13_PSP_Species_Support!BG50*(1-EXP(-S13_PSP_Species_Support!BH50*18))^S13_PSP_Species_Support!BI50))^0.976,0)+IFERROR(S13_PSP_Species_Support!BM50*0.0673*(S13_PSP_Species_Support!BN50*(S13_PSP_Species_Support!BO50*(1-EXP(-S13_PSP_Species_Support!BP50*18))^S13_PSP_Species_Support!BQ50)^2*(S13_PSP_Species_Support!BR50*(1-EXP(-S13_PSP_Species_Support!BS50*18))^S13_PSP_Species_Support!BT50))^0.976,0)+IFERROR(S13_PSP_Species_Support!BX50*0.0673*(S13_PSP_Species_Support!BY50*(S13_PSP_Species_Support!BZ50*(1-EXP(-S13_PSP_Species_Support!CA50*18))^S13_PSP_Species_Support!CB50)^2*(S13_PSP_Species_Support!CC50*(1-EXP(-S13_PSP_Species_Support!CD50*18))^S13_PSP_Species_Support!CE50))^0.976,0)+IFERROR(S13_PSP_Species_Support!CI50*0.0673*(S13_PSP_Species_Support!CJ50*(S13_PSP_Species_Support!CK50*(1-EXP(-S13_PSP_Species_Support!CL50*18))^S13_PSP_Species_Support!CM50)^2*(S13_PSP_Species_Support!CN50*(1-EXP(-S13_PSP_Species_Support!CO50*18))^S13_PSP_Species_Support!CP50))^0.976,0)+IFERROR(S13_PSP_Species_Support!CT50*0.0673*(S13_PSP_Species_Support!CU50*(S13_PSP_Species_Support!CV50*(1-EXP(-S13_PSP_Species_Support!CW50*18))^S13_PSP_Species_Support!CX50)^2*(S13_PSP_Species_Support!CY50*(1-EXP(-S13_PSP_Species_Support!CZ50*18))^S13_PSP_Species_Support!DA50))^0.976,0))/1000/$G63*AA$108,0)</x:f>
        <x:v>522.4068448816046</x:v>
      </x:c>
      <x:c r="AB63" s="147" t="n">
        <x:f aca="0">IFERROR((IFERROR(S13_PSP_Species_Support!U50*0.0673*(S13_PSP_Species_Support!V50*(S13_PSP_Species_Support!W50*(1-EXP(-S13_PSP_Species_Support!X50*19))^S13_PSP_Species_Support!Y50)^2*(S13_PSP_Species_Support!Z50*(1-EXP(-S13_PSP_Species_Support!AA50*19))^S13_PSP_Species_Support!AB50))^0.976,0)+IFERROR(S13_PSP_Species_Support!AF50*0.0673*(S13_PSP_Species_Support!AG50*(S13_PSP_Species_Support!AH50*(1-EXP(-S13_PSP_Species_Support!AI50*19))^S13_PSP_Species_Support!AJ50)^2*(S13_PSP_Species_Support!AK50*(1-EXP(-S13_PSP_Species_Support!AL50*19))^S13_PSP_Species_Support!AM50))^0.976,0)+IFERROR(S13_PSP_Species_Support!AQ50*0.0673*(S13_PSP_Species_Support!AR50*(S13_PSP_Species_Support!AS50*(1-EXP(-S13_PSP_Species_Support!AT50*19))^S13_PSP_Species_Support!AU50)^2*(S13_PSP_Species_Support!AV50*(1-EXP(-S13_PSP_Species_Support!AW50*19))^S13_PSP_Species_Support!AX50))^0.976,0)+IFERROR(S13_PSP_Species_Support!BB50*0.0673*(S13_PSP_Species_Support!BC50*(S13_PSP_Species_Support!BD50*(1-EXP(-S13_PSP_Species_Support!BE50*19))^S13_PSP_Species_Support!BF50)^2*(S13_PSP_Species_Support!BG50*(1-EXP(-S13_PSP_Species_Support!BH50*19))^S13_PSP_Species_Support!BI50))^0.976,0)+IFERROR(S13_PSP_Species_Support!BM50*0.0673*(S13_PSP_Species_Support!BN50*(S13_PSP_Species_Support!BO50*(1-EXP(-S13_PSP_Species_Support!BP50*19))^S13_PSP_Species_Support!BQ50)^2*(S13_PSP_Species_Support!BR50*(1-EXP(-S13_PSP_Species_Support!BS50*19))^S13_PSP_Species_Support!BT50))^0.976,0)+IFERROR(S13_PSP_Species_Support!BX50*0.0673*(S13_PSP_Species_Support!BY50*(S13_PSP_Species_Support!BZ50*(1-EXP(-S13_PSP_Species_Support!CA50*19))^S13_PSP_Species_Support!CB50)^2*(S13_PSP_Species_Support!CC50*(1-EXP(-S13_PSP_Species_Support!CD50*19))^S13_PSP_Species_Support!CE50))^0.976,0)+IFERROR(S13_PSP_Species_Support!CI50*0.0673*(S13_PSP_Species_Support!CJ50*(S13_PSP_Species_Support!CK50*(1-EXP(-S13_PSP_Species_Support!CL50*19))^S13_PSP_Species_Support!CM50)^2*(S13_PSP_Species_Support!CN50*(1-EXP(-S13_PSP_Species_Support!CO50*19))^S13_PSP_Species_Support!CP50))^0.976,0)+IFERROR(S13_PSP_Species_Support!CT50*0.0673*(S13_PSP_Species_Support!CU50*(S13_PSP_Species_Support!CV50*(1-EXP(-S13_PSP_Species_Support!CW50*19))^S13_PSP_Species_Support!CX50)^2*(S13_PSP_Species_Support!CY50*(1-EXP(-S13_PSP_Species_Support!CZ50*19))^S13_PSP_Species_Support!DA50))^0.976,0))/1000/$G63*AB$108,0)</x:f>
        <x:v>541.2156897390649</x:v>
      </x:c>
      <x:c r="AC63" s="147" t="n">
        <x:f aca="0">IFERROR((IFERROR(S13_PSP_Species_Support!U50*0.0673*(S13_PSP_Species_Support!V50*(S13_PSP_Species_Support!W50*(1-EXP(-S13_PSP_Species_Support!X50*20))^S13_PSP_Species_Support!Y50)^2*(S13_PSP_Species_Support!Z50*(1-EXP(-S13_PSP_Species_Support!AA50*20))^S13_PSP_Species_Support!AB50))^0.976,0)+IFERROR(S13_PSP_Species_Support!AF50*0.0673*(S13_PSP_Species_Support!AG50*(S13_PSP_Species_Support!AH50*(1-EXP(-S13_PSP_Species_Support!AI50*20))^S13_PSP_Species_Support!AJ50)^2*(S13_PSP_Species_Support!AK50*(1-EXP(-S13_PSP_Species_Support!AL50*20))^S13_PSP_Species_Support!AM50))^0.976,0)+IFERROR(S13_PSP_Species_Support!AQ50*0.0673*(S13_PSP_Species_Support!AR50*(S13_PSP_Species_Support!AS50*(1-EXP(-S13_PSP_Species_Support!AT50*20))^S13_PSP_Species_Support!AU50)^2*(S13_PSP_Species_Support!AV50*(1-EXP(-S13_PSP_Species_Support!AW50*20))^S13_PSP_Species_Support!AX50))^0.976,0)+IFERROR(S13_PSP_Species_Support!BB50*0.0673*(S13_PSP_Species_Support!BC50*(S13_PSP_Species_Support!BD50*(1-EXP(-S13_PSP_Species_Support!BE50*20))^S13_PSP_Species_Support!BF50)^2*(S13_PSP_Species_Support!BG50*(1-EXP(-S13_PSP_Species_Support!BH50*20))^S13_PSP_Species_Support!BI50))^0.976,0)+IFERROR(S13_PSP_Species_Support!BM50*0.0673*(S13_PSP_Species_Support!BN50*(S13_PSP_Species_Support!BO50*(1-EXP(-S13_PSP_Species_Support!BP50*20))^S13_PSP_Species_Support!BQ50)^2*(S13_PSP_Species_Support!BR50*(1-EXP(-S13_PSP_Species_Support!BS50*20))^S13_PSP_Species_Support!BT50))^0.976,0)+IFERROR(S13_PSP_Species_Support!BX50*0.0673*(S13_PSP_Species_Support!BY50*(S13_PSP_Species_Support!BZ50*(1-EXP(-S13_PSP_Species_Support!CA50*20))^S13_PSP_Species_Support!CB50)^2*(S13_PSP_Species_Support!CC50*(1-EXP(-S13_PSP_Species_Support!CD50*20))^S13_PSP_Species_Support!CE50))^0.976,0)+IFERROR(S13_PSP_Species_Support!CI50*0.0673*(S13_PSP_Species_Support!CJ50*(S13_PSP_Species_Support!CK50*(1-EXP(-S13_PSP_Species_Support!CL50*20))^S13_PSP_Species_Support!CM50)^2*(S13_PSP_Species_Support!CN50*(1-EXP(-S13_PSP_Species_Support!CO50*20))^S13_PSP_Species_Support!CP50))^0.976,0)+IFERROR(S13_PSP_Species_Support!CT50*0.0673*(S13_PSP_Species_Support!CU50*(S13_PSP_Species_Support!CV50*(1-EXP(-S13_PSP_Species_Support!CW50*20))^S13_PSP_Species_Support!CX50)^2*(S13_PSP_Species_Support!CY50*(1-EXP(-S13_PSP_Species_Support!CZ50*20))^S13_PSP_Species_Support!DA50))^0.976,0))/1000/$G63*AC$108,0)</x:f>
        <x:v>557.8403838311075</x:v>
      </x:c>
      <x:c r="AD63" s="148" t="n">
        <x:f aca="0">IF(2020&lt;$F63,0,INDEX($I63:$AC63,1,2020-$F63+1))</x:f>
        <x:v>0</x:v>
      </x:c>
      <x:c r="AE63" s="148" t="n">
        <x:f aca="0">IF(2021&lt;$F63,0,INDEX($I63:$AC63,1,2021-$F63+1))</x:f>
        <x:v>0.5338360876438337</x:v>
      </x:c>
      <x:c r="AF63" s="148" t="n">
        <x:f aca="0">IF(2022&lt;$F63,0,INDEX($I63:$AC63,1,2022-$F63+1))</x:f>
        <x:v>5.1780921928470915</x:v>
      </x:c>
      <x:c r="AG63" s="148" t="n">
        <x:f aca="0">IF(2023&lt;$F63,0,INDEX($I63:$AC63,1,2023-$F63+1))</x:f>
        <x:v>17.52022536972334</x:v>
      </x:c>
      <x:c r="AH63" s="148" t="n">
        <x:f aca="0">IF(2024&lt;$F63,0,INDEX($I63:$AC63,1,2024-$F63+1))</x:f>
        <x:v>38.944466246042516</x:v>
      </x:c>
      <x:c r="AI63" s="148" t="n">
        <x:f aca="0">IF(2025&lt;$F63,0,INDEX($I63:$AC63,1,2025-$F63+1))</x:f>
        <x:v>68.65460446867496</x:v>
      </x:c>
      <x:c r="AJ63" s="148" t="n">
        <x:f aca="0">IF(2026&lt;$F63,0,INDEX($I63:$AC63,1,2026-$F63+1))</x:f>
        <x:v>104.84234967761554</x:v>
      </x:c>
      <x:c r="AK63" s="148" t="n">
        <x:f aca="0">IF(2027&lt;$F63,0,INDEX($I63:$AC63,1,2027-$F63+1))</x:f>
        <x:v>145.35957730512732</x:v>
      </x:c>
      <x:c r="AL63" s="148" t="n">
        <x:f aca="0">IF(2028&lt;$F63,0,INDEX($I63:$AC63,1,2028-$F63+1))</x:f>
        <x:v>188.1572731341628</x:v>
      </x:c>
      <x:c r="AM63" s="148" t="n">
        <x:f aca="0">IF(2029&lt;$F63,0,INDEX($I63:$AC63,1,2029-$F63+1))</x:f>
        <x:v>231.5008282522477</x:v>
      </x:c>
      <x:c r="AN63" s="148" t="n">
        <x:f aca="0">IF(2030&lt;$F63,0,INDEX($I63:$AC63,1,2030-$F63+1))</x:f>
        <x:v>274.04117475921777</x:v>
      </x:c>
      <x:c r="AO63" s="148" t="n">
        <x:f aca="0">IF(2031&lt;$F63,0,INDEX($I63:$AC63,1,2031-$F63+1))</x:f>
        <x:v>314.8048897218818</x:v>
      </x:c>
      <x:c r="AP63" s="148" t="n">
        <x:f aca="0">IF(2032&lt;$F63,0,INDEX($I63:$AC63,1,2032-$F63+1))</x:f>
        <x:v>353.1455377622689</x:v>
      </x:c>
      <x:c r="AQ63" s="148" t="n">
        <x:f aca="0">IF(2033&lt;$F63,0,INDEX($I63:$AC63,1,2033-$F63+1))</x:f>
        <x:v>388.6816816708734</x:v>
      </x:c>
      <x:c r="AR63" s="148" t="n">
        <x:f aca="0">IF(2034&lt;$F63,0,INDEX($I63:$AC63,1,2034-$F63+1))</x:f>
        <x:v>421.2353982464191</x:v>
      </x:c>
      <x:c r="AS63" s="148" t="n">
        <x:f aca="0">IF(2035&lt;$F63,0,INDEX($I63:$AC63,1,2035-$F63+1))</x:f>
        <x:v>450.7778681378129</x:v>
      </x:c>
      <x:c r="AT63" s="148" t="n">
        <x:f aca="0">IF(2036&lt;$F63,0,INDEX($I63:$AC63,1,2036-$F63+1))</x:f>
        <x:v>477.3843836684323</x:v>
      </x:c>
      <x:c r="AU63" s="148" t="n">
        <x:f aca="0">IF(2037&lt;$F63,0,INDEX($I63:$AC63,1,2037-$F63+1))</x:f>
        <x:v>501.198857766912</x:v>
      </x:c>
      <x:c r="AV63" s="148" t="n">
        <x:f aca="0">IF(2038&lt;$F63,0,INDEX($I63:$AC63,1,2038-$F63+1))</x:f>
        <x:v>522.4068448816046</x:v>
      </x:c>
      <x:c r="AW63" s="148" t="n">
        <x:f aca="0">IF(2039&lt;$F63,0,INDEX($I63:$AC63,1,2039-$F63+1))</x:f>
        <x:v>541.2156897390649</x:v>
      </x:c>
      <x:c r="AX63" s="148" t="n">
        <x:f aca="0">IF(2040&lt;$F63,0,INDEX($I63:$AC63,1,2040-$F63+1))</x:f>
        <x:v>557.8403838311075</x:v>
      </x:c>
      <x:c r="AY63" s="1" t="str">
        <x:f aca="0">LEFT($C63,FIND("@",SUBSTITUTE($C63,"|","@",2))-1)</x:f>
        <x:v>Timber Plantation|Low</x:v>
      </x:c>
      <x:c r="AZ63" s="1" t="str">
        <x:f aca="0">LEFT($C63,FIND("|",$C63)-1)</x:f>
        <x:v>Timber Plantation</x:v>
      </x:c>
      <x:c r="BA63" s="149" t="n">
        <x:f aca="0">I63*I63</x:f>
        <x:v>0</x:v>
      </x:c>
      <x:c r="BB63" s="149" t="n">
        <x:f aca="0">J63*J63</x:f>
        <x:v>0.2849809684708749</x:v>
      </x:c>
      <x:c r="BC63" s="149" t="n">
        <x:f aca="0">K63*K63</x:f>
        <x:v>26.812638757624</x:v>
      </x:c>
      <x:c r="BD63" s="149" t="n">
        <x:f aca="0">L63*L63</x:f>
        <x:v>306.9582970058974</x:v>
      </x:c>
      <x:c r="BE63" s="149" t="n">
        <x:f aca="0">M63*M63</x:f>
        <x:v>1516.6714511891448</x:v>
      </x:c>
      <x:c r="BF63" s="149" t="n">
        <x:f aca="0">N63*N63</x:f>
        <x:v>4713.4547147502035</x:v>
      </x:c>
      <x:c r="BG63" s="149" t="n">
        <x:f aca="0">O63*O63</x:f>
        <x:v>10991.918285923412</x:v>
      </x:c>
      <x:c r="BH63" s="149" t="n">
        <x:f aca="0">P63*P63</x:f>
        <x:v>21129.406714325283</x:v>
      </x:c>
      <x:c r="BI63" s="149" t="n">
        <x:f aca="0">Q63*Q63</x:f>
        <x:v>35403.159433283945</x:v>
      </x:c>
      <x:c r="BJ63" s="149" t="n">
        <x:f aca="0">R63*R63</x:f>
        <x:v>53592.63348147668</x:v>
      </x:c>
      <x:c r="BK63" s="149" t="n">
        <x:f aca="0">S63*S63</x:f>
        <x:v>75098.56546341213</x:v>
      </x:c>
      <x:c r="BL63" s="149" t="n">
        <x:f aca="0">T63*T63</x:f>
        <x:v>99102.11859280616</x:v>
      </x:c>
      <x:c r="BM63" s="149" t="n">
        <x:f aca="0">U63*U63</x:f>
        <x:v>124711.77084140207</x:v>
      </x:c>
      <x:c r="BN63" s="149" t="n">
        <x:f aca="0">V63*V63</x:f>
        <x:v>151073.44966649814</x:v>
      </x:c>
      <x:c r="BO63" s="149" t="n">
        <x:f aca="0">W63*W63</x:f>
        <x:v>177439.2607358193</x:v>
      </x:c>
      <x:c r="BP63" s="149" t="n">
        <x:f aca="0">X63*X63</x:f>
        <x:v>203200.68640287145</x:v>
      </x:c>
      <x:c r="BQ63" s="149" t="n">
        <x:f aca="0">Y63*Y63</x:f>
        <x:v>227895.84977048897</x:v>
      </x:c>
      <x:c r="BR63" s="149" t="n">
        <x:f aca="0">Z63*Z63</x:f>
        <x:v>251200.2950268573</x:v>
      </x:c>
      <x:c r="BS63" s="149" t="n">
        <x:f aca="0">AA63*AA63</x:f>
        <x:v>272908.91157915286</x:v>
      </x:c>
      <x:c r="BT63" s="149" t="n">
        <x:f aca="0">AB63*AB63</x:f>
        <x:v>292914.4228197318</x:v>
      </x:c>
      <x:c r="BU63" s="149" t="n">
        <x:f aca="0">AC63*AC63</x:f>
        <x:v>311185.89383283735</x:v>
      </x:c>
    </x:row>
    <x:row r="64" ht="15" hidden="0" customHeight="1">
      <x:c r="A64" s="1" t="str">
        <x:f aca="0">S13_PSP_Species_Support!A51</x:f>
        <x:v>PSP-TP-010</x:v>
      </x:c>
      <x:c r="B64" s="1" t="n">
        <x:f aca="0">51</x:f>
        <x:v>51</x:v>
      </x:c>
      <x:c r="C64" s="1" t="str">
        <x:f aca="0">S13_PSP_Species_Support!I51</x:f>
        <x:v>Timber Plantation|Low|2020</x:v>
      </x:c>
      <x:c r="D64" s="1" t="str">
        <x:f aca="0">S13_PSP_Species_Support!C51</x:f>
        <x:v>Timber Plantation</x:v>
      </x:c>
      <x:c r="E64" s="1" t="str">
        <x:f aca="0">S13_PSP_Species_Support!D51</x:f>
        <x:v>Low</x:v>
      </x:c>
      <x:c r="F64" s="1" t="n">
        <x:f aca="0">S13_PSP_Species_Support!E51</x:f>
        <x:v>2020</x:v>
      </x:c>
      <x:c r="G64" s="645" t="n">
        <x:f aca="0">'S13_PSP_Species_Support'!DJ51</x:f>
        <x:v>0.09</x:v>
      </x:c>
      <x:c r="H64" s="714" t="n">
        <x:f aca="0">'S13_PSP_Species_Support'!DK51</x:f>
        <x:v>51.54639175257732</x:v>
      </x:c>
      <x:c r="I64" s="147" t="n">
        <x:f aca="0">IFERROR((IFERROR(S13_PSP_Species_Support!U51*0.0673*(S13_PSP_Species_Support!V51*(S13_PSP_Species_Support!W51*(1-EXP(-S13_PSP_Species_Support!X51*0))^S13_PSP_Species_Support!Y51)^2*(S13_PSP_Species_Support!Z51*(1-EXP(-S13_PSP_Species_Support!AA51*0))^S13_PSP_Species_Support!AB51))^0.976,0)+IFERROR(S13_PSP_Species_Support!AF51*0.0673*(S13_PSP_Species_Support!AG51*(S13_PSP_Species_Support!AH51*(1-EXP(-S13_PSP_Species_Support!AI51*0))^S13_PSP_Species_Support!AJ51)^2*(S13_PSP_Species_Support!AK51*(1-EXP(-S13_PSP_Species_Support!AL51*0))^S13_PSP_Species_Support!AM51))^0.976,0)+IFERROR(S13_PSP_Species_Support!AQ51*0.0673*(S13_PSP_Species_Support!AR51*(S13_PSP_Species_Support!AS51*(1-EXP(-S13_PSP_Species_Support!AT51*0))^S13_PSP_Species_Support!AU51)^2*(S13_PSP_Species_Support!AV51*(1-EXP(-S13_PSP_Species_Support!AW51*0))^S13_PSP_Species_Support!AX51))^0.976,0)+IFERROR(S13_PSP_Species_Support!BB51*0.0673*(S13_PSP_Species_Support!BC51*(S13_PSP_Species_Support!BD51*(1-EXP(-S13_PSP_Species_Support!BE51*0))^S13_PSP_Species_Support!BF51)^2*(S13_PSP_Species_Support!BG51*(1-EXP(-S13_PSP_Species_Support!BH51*0))^S13_PSP_Species_Support!BI51))^0.976,0)+IFERROR(S13_PSP_Species_Support!BM51*0.0673*(S13_PSP_Species_Support!BN51*(S13_PSP_Species_Support!BO51*(1-EXP(-S13_PSP_Species_Support!BP51*0))^S13_PSP_Species_Support!BQ51)^2*(S13_PSP_Species_Support!BR51*(1-EXP(-S13_PSP_Species_Support!BS51*0))^S13_PSP_Species_Support!BT51))^0.976,0)+IFERROR(S13_PSP_Species_Support!BX51*0.0673*(S13_PSP_Species_Support!BY51*(S13_PSP_Species_Support!BZ51*(1-EXP(-S13_PSP_Species_Support!CA51*0))^S13_PSP_Species_Support!CB51)^2*(S13_PSP_Species_Support!CC51*(1-EXP(-S13_PSP_Species_Support!CD51*0))^S13_PSP_Species_Support!CE51))^0.976,0)+IFERROR(S13_PSP_Species_Support!CI51*0.0673*(S13_PSP_Species_Support!CJ51*(S13_PSP_Species_Support!CK51*(1-EXP(-S13_PSP_Species_Support!CL51*0))^S13_PSP_Species_Support!CM51)^2*(S13_PSP_Species_Support!CN51*(1-EXP(-S13_PSP_Species_Support!CO51*0))^S13_PSP_Species_Support!CP51))^0.976,0)+IFERROR(S13_PSP_Species_Support!CT51*0.0673*(S13_PSP_Species_Support!CU51*(S13_PSP_Species_Support!CV51*(1-EXP(-S13_PSP_Species_Support!CW51*0))^S13_PSP_Species_Support!CX51)^2*(S13_PSP_Species_Support!CY51*(1-EXP(-S13_PSP_Species_Support!CZ51*0))^S13_PSP_Species_Support!DA51))^0.976,0))/1000/$G64*I$108,0)</x:f>
        <x:v>0</x:v>
      </x:c>
      <x:c r="J64" s="147" t="n">
        <x:f aca="0">IFERROR((IFERROR(S13_PSP_Species_Support!U51*0.0673*(S13_PSP_Species_Support!V51*(S13_PSP_Species_Support!W51*(1-EXP(-S13_PSP_Species_Support!X51*1))^S13_PSP_Species_Support!Y51)^2*(S13_PSP_Species_Support!Z51*(1-EXP(-S13_PSP_Species_Support!AA51*1))^S13_PSP_Species_Support!AB51))^0.976,0)+IFERROR(S13_PSP_Species_Support!AF51*0.0673*(S13_PSP_Species_Support!AG51*(S13_PSP_Species_Support!AH51*(1-EXP(-S13_PSP_Species_Support!AI51*1))^S13_PSP_Species_Support!AJ51)^2*(S13_PSP_Species_Support!AK51*(1-EXP(-S13_PSP_Species_Support!AL51*1))^S13_PSP_Species_Support!AM51))^0.976,0)+IFERROR(S13_PSP_Species_Support!AQ51*0.0673*(S13_PSP_Species_Support!AR51*(S13_PSP_Species_Support!AS51*(1-EXP(-S13_PSP_Species_Support!AT51*1))^S13_PSP_Species_Support!AU51)^2*(S13_PSP_Species_Support!AV51*(1-EXP(-S13_PSP_Species_Support!AW51*1))^S13_PSP_Species_Support!AX51))^0.976,0)+IFERROR(S13_PSP_Species_Support!BB51*0.0673*(S13_PSP_Species_Support!BC51*(S13_PSP_Species_Support!BD51*(1-EXP(-S13_PSP_Species_Support!BE51*1))^S13_PSP_Species_Support!BF51)^2*(S13_PSP_Species_Support!BG51*(1-EXP(-S13_PSP_Species_Support!BH51*1))^S13_PSP_Species_Support!BI51))^0.976,0)+IFERROR(S13_PSP_Species_Support!BM51*0.0673*(S13_PSP_Species_Support!BN51*(S13_PSP_Species_Support!BO51*(1-EXP(-S13_PSP_Species_Support!BP51*1))^S13_PSP_Species_Support!BQ51)^2*(S13_PSP_Species_Support!BR51*(1-EXP(-S13_PSP_Species_Support!BS51*1))^S13_PSP_Species_Support!BT51))^0.976,0)+IFERROR(S13_PSP_Species_Support!BX51*0.0673*(S13_PSP_Species_Support!BY51*(S13_PSP_Species_Support!BZ51*(1-EXP(-S13_PSP_Species_Support!CA51*1))^S13_PSP_Species_Support!CB51)^2*(S13_PSP_Species_Support!CC51*(1-EXP(-S13_PSP_Species_Support!CD51*1))^S13_PSP_Species_Support!CE51))^0.976,0)+IFERROR(S13_PSP_Species_Support!CI51*0.0673*(S13_PSP_Species_Support!CJ51*(S13_PSP_Species_Support!CK51*(1-EXP(-S13_PSP_Species_Support!CL51*1))^S13_PSP_Species_Support!CM51)^2*(S13_PSP_Species_Support!CN51*(1-EXP(-S13_PSP_Species_Support!CO51*1))^S13_PSP_Species_Support!CP51))^0.976,0)+IFERROR(S13_PSP_Species_Support!CT51*0.0673*(S13_PSP_Species_Support!CU51*(S13_PSP_Species_Support!CV51*(1-EXP(-S13_PSP_Species_Support!CW51*1))^S13_PSP_Species_Support!CX51)^2*(S13_PSP_Species_Support!CY51*(1-EXP(-S13_PSP_Species_Support!CZ51*1))^S13_PSP_Species_Support!DA51))^0.976,0))/1000/$G64*J$108,0)</x:f>
        <x:v>0.010814980102677802</x:v>
      </x:c>
      <x:c r="K64" s="147" t="n">
        <x:f aca="0">IFERROR((IFERROR(S13_PSP_Species_Support!U51*0.0673*(S13_PSP_Species_Support!V51*(S13_PSP_Species_Support!W51*(1-EXP(-S13_PSP_Species_Support!X51*2))^S13_PSP_Species_Support!Y51)^2*(S13_PSP_Species_Support!Z51*(1-EXP(-S13_PSP_Species_Support!AA51*2))^S13_PSP_Species_Support!AB51))^0.976,0)+IFERROR(S13_PSP_Species_Support!AF51*0.0673*(S13_PSP_Species_Support!AG51*(S13_PSP_Species_Support!AH51*(1-EXP(-S13_PSP_Species_Support!AI51*2))^S13_PSP_Species_Support!AJ51)^2*(S13_PSP_Species_Support!AK51*(1-EXP(-S13_PSP_Species_Support!AL51*2))^S13_PSP_Species_Support!AM51))^0.976,0)+IFERROR(S13_PSP_Species_Support!AQ51*0.0673*(S13_PSP_Species_Support!AR51*(S13_PSP_Species_Support!AS51*(1-EXP(-S13_PSP_Species_Support!AT51*2))^S13_PSP_Species_Support!AU51)^2*(S13_PSP_Species_Support!AV51*(1-EXP(-S13_PSP_Species_Support!AW51*2))^S13_PSP_Species_Support!AX51))^0.976,0)+IFERROR(S13_PSP_Species_Support!BB51*0.0673*(S13_PSP_Species_Support!BC51*(S13_PSP_Species_Support!BD51*(1-EXP(-S13_PSP_Species_Support!BE51*2))^S13_PSP_Species_Support!BF51)^2*(S13_PSP_Species_Support!BG51*(1-EXP(-S13_PSP_Species_Support!BH51*2))^S13_PSP_Species_Support!BI51))^0.976,0)+IFERROR(S13_PSP_Species_Support!BM51*0.0673*(S13_PSP_Species_Support!BN51*(S13_PSP_Species_Support!BO51*(1-EXP(-S13_PSP_Species_Support!BP51*2))^S13_PSP_Species_Support!BQ51)^2*(S13_PSP_Species_Support!BR51*(1-EXP(-S13_PSP_Species_Support!BS51*2))^S13_PSP_Species_Support!BT51))^0.976,0)+IFERROR(S13_PSP_Species_Support!BX51*0.0673*(S13_PSP_Species_Support!BY51*(S13_PSP_Species_Support!BZ51*(1-EXP(-S13_PSP_Species_Support!CA51*2))^S13_PSP_Species_Support!CB51)^2*(S13_PSP_Species_Support!CC51*(1-EXP(-S13_PSP_Species_Support!CD51*2))^S13_PSP_Species_Support!CE51))^0.976,0)+IFERROR(S13_PSP_Species_Support!CI51*0.0673*(S13_PSP_Species_Support!CJ51*(S13_PSP_Species_Support!CK51*(1-EXP(-S13_PSP_Species_Support!CL51*2))^S13_PSP_Species_Support!CM51)^2*(S13_PSP_Species_Support!CN51*(1-EXP(-S13_PSP_Species_Support!CO51*2))^S13_PSP_Species_Support!CP51))^0.976,0)+IFERROR(S13_PSP_Species_Support!CT51*0.0673*(S13_PSP_Species_Support!CU51*(S13_PSP_Species_Support!CV51*(1-EXP(-S13_PSP_Species_Support!CW51*2))^S13_PSP_Species_Support!CX51)^2*(S13_PSP_Species_Support!CY51*(1-EXP(-S13_PSP_Species_Support!CZ51*2))^S13_PSP_Species_Support!DA51))^0.976,0))/1000/$G64*K$108,0)</x:f>
        <x:v>0.16440554160890256</x:v>
      </x:c>
      <x:c r="L64" s="147" t="n">
        <x:f aca="0">IFERROR((IFERROR(S13_PSP_Species_Support!U51*0.0673*(S13_PSP_Species_Support!V51*(S13_PSP_Species_Support!W51*(1-EXP(-S13_PSP_Species_Support!X51*3))^S13_PSP_Species_Support!Y51)^2*(S13_PSP_Species_Support!Z51*(1-EXP(-S13_PSP_Species_Support!AA51*3))^S13_PSP_Species_Support!AB51))^0.976,0)+IFERROR(S13_PSP_Species_Support!AF51*0.0673*(S13_PSP_Species_Support!AG51*(S13_PSP_Species_Support!AH51*(1-EXP(-S13_PSP_Species_Support!AI51*3))^S13_PSP_Species_Support!AJ51)^2*(S13_PSP_Species_Support!AK51*(1-EXP(-S13_PSP_Species_Support!AL51*3))^S13_PSP_Species_Support!AM51))^0.976,0)+IFERROR(S13_PSP_Species_Support!AQ51*0.0673*(S13_PSP_Species_Support!AR51*(S13_PSP_Species_Support!AS51*(1-EXP(-S13_PSP_Species_Support!AT51*3))^S13_PSP_Species_Support!AU51)^2*(S13_PSP_Species_Support!AV51*(1-EXP(-S13_PSP_Species_Support!AW51*3))^S13_PSP_Species_Support!AX51))^0.976,0)+IFERROR(S13_PSP_Species_Support!BB51*0.0673*(S13_PSP_Species_Support!BC51*(S13_PSP_Species_Support!BD51*(1-EXP(-S13_PSP_Species_Support!BE51*3))^S13_PSP_Species_Support!BF51)^2*(S13_PSP_Species_Support!BG51*(1-EXP(-S13_PSP_Species_Support!BH51*3))^S13_PSP_Species_Support!BI51))^0.976,0)+IFERROR(S13_PSP_Species_Support!BM51*0.0673*(S13_PSP_Species_Support!BN51*(S13_PSP_Species_Support!BO51*(1-EXP(-S13_PSP_Species_Support!BP51*3))^S13_PSP_Species_Support!BQ51)^2*(S13_PSP_Species_Support!BR51*(1-EXP(-S13_PSP_Species_Support!BS51*3))^S13_PSP_Species_Support!BT51))^0.976,0)+IFERROR(S13_PSP_Species_Support!BX51*0.0673*(S13_PSP_Species_Support!BY51*(S13_PSP_Species_Support!BZ51*(1-EXP(-S13_PSP_Species_Support!CA51*3))^S13_PSP_Species_Support!CB51)^2*(S13_PSP_Species_Support!CC51*(1-EXP(-S13_PSP_Species_Support!CD51*3))^S13_PSP_Species_Support!CE51))^0.976,0)+IFERROR(S13_PSP_Species_Support!CI51*0.0673*(S13_PSP_Species_Support!CJ51*(S13_PSP_Species_Support!CK51*(1-EXP(-S13_PSP_Species_Support!CL51*3))^S13_PSP_Species_Support!CM51)^2*(S13_PSP_Species_Support!CN51*(1-EXP(-S13_PSP_Species_Support!CO51*3))^S13_PSP_Species_Support!CP51))^0.976,0)+IFERROR(S13_PSP_Species_Support!CT51*0.0673*(S13_PSP_Species_Support!CU51*(S13_PSP_Species_Support!CV51*(1-EXP(-S13_PSP_Species_Support!CW51*3))^S13_PSP_Species_Support!CX51)^2*(S13_PSP_Species_Support!CY51*(1-EXP(-S13_PSP_Species_Support!CZ51*3))^S13_PSP_Species_Support!DA51))^0.976,0))/1000/$G64*L$108,0)</x:f>
        <x:v>0.737398369093403</x:v>
      </x:c>
      <x:c r="M64" s="147" t="n">
        <x:f aca="0">IFERROR((IFERROR(S13_PSP_Species_Support!U51*0.0673*(S13_PSP_Species_Support!V51*(S13_PSP_Species_Support!W51*(1-EXP(-S13_PSP_Species_Support!X51*4))^S13_PSP_Species_Support!Y51)^2*(S13_PSP_Species_Support!Z51*(1-EXP(-S13_PSP_Species_Support!AA51*4))^S13_PSP_Species_Support!AB51))^0.976,0)+IFERROR(S13_PSP_Species_Support!AF51*0.0673*(S13_PSP_Species_Support!AG51*(S13_PSP_Species_Support!AH51*(1-EXP(-S13_PSP_Species_Support!AI51*4))^S13_PSP_Species_Support!AJ51)^2*(S13_PSP_Species_Support!AK51*(1-EXP(-S13_PSP_Species_Support!AL51*4))^S13_PSP_Species_Support!AM51))^0.976,0)+IFERROR(S13_PSP_Species_Support!AQ51*0.0673*(S13_PSP_Species_Support!AR51*(S13_PSP_Species_Support!AS51*(1-EXP(-S13_PSP_Species_Support!AT51*4))^S13_PSP_Species_Support!AU51)^2*(S13_PSP_Species_Support!AV51*(1-EXP(-S13_PSP_Species_Support!AW51*4))^S13_PSP_Species_Support!AX51))^0.976,0)+IFERROR(S13_PSP_Species_Support!BB51*0.0673*(S13_PSP_Species_Support!BC51*(S13_PSP_Species_Support!BD51*(1-EXP(-S13_PSP_Species_Support!BE51*4))^S13_PSP_Species_Support!BF51)^2*(S13_PSP_Species_Support!BG51*(1-EXP(-S13_PSP_Species_Support!BH51*4))^S13_PSP_Species_Support!BI51))^0.976,0)+IFERROR(S13_PSP_Species_Support!BM51*0.0673*(S13_PSP_Species_Support!BN51*(S13_PSP_Species_Support!BO51*(1-EXP(-S13_PSP_Species_Support!BP51*4))^S13_PSP_Species_Support!BQ51)^2*(S13_PSP_Species_Support!BR51*(1-EXP(-S13_PSP_Species_Support!BS51*4))^S13_PSP_Species_Support!BT51))^0.976,0)+IFERROR(S13_PSP_Species_Support!BX51*0.0673*(S13_PSP_Species_Support!BY51*(S13_PSP_Species_Support!BZ51*(1-EXP(-S13_PSP_Species_Support!CA51*4))^S13_PSP_Species_Support!CB51)^2*(S13_PSP_Species_Support!CC51*(1-EXP(-S13_PSP_Species_Support!CD51*4))^S13_PSP_Species_Support!CE51))^0.976,0)+IFERROR(S13_PSP_Species_Support!CI51*0.0673*(S13_PSP_Species_Support!CJ51*(S13_PSP_Species_Support!CK51*(1-EXP(-S13_PSP_Species_Support!CL51*4))^S13_PSP_Species_Support!CM51)^2*(S13_PSP_Species_Support!CN51*(1-EXP(-S13_PSP_Species_Support!CO51*4))^S13_PSP_Species_Support!CP51))^0.976,0)+IFERROR(S13_PSP_Species_Support!CT51*0.0673*(S13_PSP_Species_Support!CU51*(S13_PSP_Species_Support!CV51*(1-EXP(-S13_PSP_Species_Support!CW51*4))^S13_PSP_Species_Support!CX51)^2*(S13_PSP_Species_Support!CY51*(1-EXP(-S13_PSP_Species_Support!CZ51*4))^S13_PSP_Species_Support!DA51))^0.976,0))/1000/$G64*M$108,0)</x:f>
        <x:v>2.0239452418308486</x:v>
      </x:c>
      <x:c r="N64" s="147" t="n">
        <x:f aca="0">IFERROR((IFERROR(S13_PSP_Species_Support!U51*0.0673*(S13_PSP_Species_Support!V51*(S13_PSP_Species_Support!W51*(1-EXP(-S13_PSP_Species_Support!X51*5))^S13_PSP_Species_Support!Y51)^2*(S13_PSP_Species_Support!Z51*(1-EXP(-S13_PSP_Species_Support!AA51*5))^S13_PSP_Species_Support!AB51))^0.976,0)+IFERROR(S13_PSP_Species_Support!AF51*0.0673*(S13_PSP_Species_Support!AG51*(S13_PSP_Species_Support!AH51*(1-EXP(-S13_PSP_Species_Support!AI51*5))^S13_PSP_Species_Support!AJ51)^2*(S13_PSP_Species_Support!AK51*(1-EXP(-S13_PSP_Species_Support!AL51*5))^S13_PSP_Species_Support!AM51))^0.976,0)+IFERROR(S13_PSP_Species_Support!AQ51*0.0673*(S13_PSP_Species_Support!AR51*(S13_PSP_Species_Support!AS51*(1-EXP(-S13_PSP_Species_Support!AT51*5))^S13_PSP_Species_Support!AU51)^2*(S13_PSP_Species_Support!AV51*(1-EXP(-S13_PSP_Species_Support!AW51*5))^S13_PSP_Species_Support!AX51))^0.976,0)+IFERROR(S13_PSP_Species_Support!BB51*0.0673*(S13_PSP_Species_Support!BC51*(S13_PSP_Species_Support!BD51*(1-EXP(-S13_PSP_Species_Support!BE51*5))^S13_PSP_Species_Support!BF51)^2*(S13_PSP_Species_Support!BG51*(1-EXP(-S13_PSP_Species_Support!BH51*5))^S13_PSP_Species_Support!BI51))^0.976,0)+IFERROR(S13_PSP_Species_Support!BM51*0.0673*(S13_PSP_Species_Support!BN51*(S13_PSP_Species_Support!BO51*(1-EXP(-S13_PSP_Species_Support!BP51*5))^S13_PSP_Species_Support!BQ51)^2*(S13_PSP_Species_Support!BR51*(1-EXP(-S13_PSP_Species_Support!BS51*5))^S13_PSP_Species_Support!BT51))^0.976,0)+IFERROR(S13_PSP_Species_Support!BX51*0.0673*(S13_PSP_Species_Support!BY51*(S13_PSP_Species_Support!BZ51*(1-EXP(-S13_PSP_Species_Support!CA51*5))^S13_PSP_Species_Support!CB51)^2*(S13_PSP_Species_Support!CC51*(1-EXP(-S13_PSP_Species_Support!CD51*5))^S13_PSP_Species_Support!CE51))^0.976,0)+IFERROR(S13_PSP_Species_Support!CI51*0.0673*(S13_PSP_Species_Support!CJ51*(S13_PSP_Species_Support!CK51*(1-EXP(-S13_PSP_Species_Support!CL51*5))^S13_PSP_Species_Support!CM51)^2*(S13_PSP_Species_Support!CN51*(1-EXP(-S13_PSP_Species_Support!CO51*5))^S13_PSP_Species_Support!CP51))^0.976,0)+IFERROR(S13_PSP_Species_Support!CT51*0.0673*(S13_PSP_Species_Support!CU51*(S13_PSP_Species_Support!CV51*(1-EXP(-S13_PSP_Species_Support!CW51*5))^S13_PSP_Species_Support!CX51)^2*(S13_PSP_Species_Support!CY51*(1-EXP(-S13_PSP_Species_Support!CZ51*5))^S13_PSP_Species_Support!DA51))^0.976,0))/1000/$G64*N$108,0)</x:f>
        <x:v>4.229938549332824</x:v>
      </x:c>
      <x:c r="O64" s="147" t="n">
        <x:f aca="0">IFERROR((IFERROR(S13_PSP_Species_Support!U51*0.0673*(S13_PSP_Species_Support!V51*(S13_PSP_Species_Support!W51*(1-EXP(-S13_PSP_Species_Support!X51*6))^S13_PSP_Species_Support!Y51)^2*(S13_PSP_Species_Support!Z51*(1-EXP(-S13_PSP_Species_Support!AA51*6))^S13_PSP_Species_Support!AB51))^0.976,0)+IFERROR(S13_PSP_Species_Support!AF51*0.0673*(S13_PSP_Species_Support!AG51*(S13_PSP_Species_Support!AH51*(1-EXP(-S13_PSP_Species_Support!AI51*6))^S13_PSP_Species_Support!AJ51)^2*(S13_PSP_Species_Support!AK51*(1-EXP(-S13_PSP_Species_Support!AL51*6))^S13_PSP_Species_Support!AM51))^0.976,0)+IFERROR(S13_PSP_Species_Support!AQ51*0.0673*(S13_PSP_Species_Support!AR51*(S13_PSP_Species_Support!AS51*(1-EXP(-S13_PSP_Species_Support!AT51*6))^S13_PSP_Species_Support!AU51)^2*(S13_PSP_Species_Support!AV51*(1-EXP(-S13_PSP_Species_Support!AW51*6))^S13_PSP_Species_Support!AX51))^0.976,0)+IFERROR(S13_PSP_Species_Support!BB51*0.0673*(S13_PSP_Species_Support!BC51*(S13_PSP_Species_Support!BD51*(1-EXP(-S13_PSP_Species_Support!BE51*6))^S13_PSP_Species_Support!BF51)^2*(S13_PSP_Species_Support!BG51*(1-EXP(-S13_PSP_Species_Support!BH51*6))^S13_PSP_Species_Support!BI51))^0.976,0)+IFERROR(S13_PSP_Species_Support!BM51*0.0673*(S13_PSP_Species_Support!BN51*(S13_PSP_Species_Support!BO51*(1-EXP(-S13_PSP_Species_Support!BP51*6))^S13_PSP_Species_Support!BQ51)^2*(S13_PSP_Species_Support!BR51*(1-EXP(-S13_PSP_Species_Support!BS51*6))^S13_PSP_Species_Support!BT51))^0.976,0)+IFERROR(S13_PSP_Species_Support!BX51*0.0673*(S13_PSP_Species_Support!BY51*(S13_PSP_Species_Support!BZ51*(1-EXP(-S13_PSP_Species_Support!CA51*6))^S13_PSP_Species_Support!CB51)^2*(S13_PSP_Species_Support!CC51*(1-EXP(-S13_PSP_Species_Support!CD51*6))^S13_PSP_Species_Support!CE51))^0.976,0)+IFERROR(S13_PSP_Species_Support!CI51*0.0673*(S13_PSP_Species_Support!CJ51*(S13_PSP_Species_Support!CK51*(1-EXP(-S13_PSP_Species_Support!CL51*6))^S13_PSP_Species_Support!CM51)^2*(S13_PSP_Species_Support!CN51*(1-EXP(-S13_PSP_Species_Support!CO51*6))^S13_PSP_Species_Support!CP51))^0.976,0)+IFERROR(S13_PSP_Species_Support!CT51*0.0673*(S13_PSP_Species_Support!CU51*(S13_PSP_Species_Support!CV51*(1-EXP(-S13_PSP_Species_Support!CW51*6))^S13_PSP_Species_Support!CX51)^2*(S13_PSP_Species_Support!CY51*(1-EXP(-S13_PSP_Species_Support!CZ51*6))^S13_PSP_Species_Support!DA51))^0.976,0))/1000/$G64*O$108,0)</x:f>
        <x:v>7.452933395621526</x:v>
      </x:c>
      <x:c r="P64" s="147" t="n">
        <x:f aca="0">IFERROR((IFERROR(S13_PSP_Species_Support!U51*0.0673*(S13_PSP_Species_Support!V51*(S13_PSP_Species_Support!W51*(1-EXP(-S13_PSP_Species_Support!X51*7))^S13_PSP_Species_Support!Y51)^2*(S13_PSP_Species_Support!Z51*(1-EXP(-S13_PSP_Species_Support!AA51*7))^S13_PSP_Species_Support!AB51))^0.976,0)+IFERROR(S13_PSP_Species_Support!AF51*0.0673*(S13_PSP_Species_Support!AG51*(S13_PSP_Species_Support!AH51*(1-EXP(-S13_PSP_Species_Support!AI51*7))^S13_PSP_Species_Support!AJ51)^2*(S13_PSP_Species_Support!AK51*(1-EXP(-S13_PSP_Species_Support!AL51*7))^S13_PSP_Species_Support!AM51))^0.976,0)+IFERROR(S13_PSP_Species_Support!AQ51*0.0673*(S13_PSP_Species_Support!AR51*(S13_PSP_Species_Support!AS51*(1-EXP(-S13_PSP_Species_Support!AT51*7))^S13_PSP_Species_Support!AU51)^2*(S13_PSP_Species_Support!AV51*(1-EXP(-S13_PSP_Species_Support!AW51*7))^S13_PSP_Species_Support!AX51))^0.976,0)+IFERROR(S13_PSP_Species_Support!BB51*0.0673*(S13_PSP_Species_Support!BC51*(S13_PSP_Species_Support!BD51*(1-EXP(-S13_PSP_Species_Support!BE51*7))^S13_PSP_Species_Support!BF51)^2*(S13_PSP_Species_Support!BG51*(1-EXP(-S13_PSP_Species_Support!BH51*7))^S13_PSP_Species_Support!BI51))^0.976,0)+IFERROR(S13_PSP_Species_Support!BM51*0.0673*(S13_PSP_Species_Support!BN51*(S13_PSP_Species_Support!BO51*(1-EXP(-S13_PSP_Species_Support!BP51*7))^S13_PSP_Species_Support!BQ51)^2*(S13_PSP_Species_Support!BR51*(1-EXP(-S13_PSP_Species_Support!BS51*7))^S13_PSP_Species_Support!BT51))^0.976,0)+IFERROR(S13_PSP_Species_Support!BX51*0.0673*(S13_PSP_Species_Support!BY51*(S13_PSP_Species_Support!BZ51*(1-EXP(-S13_PSP_Species_Support!CA51*7))^S13_PSP_Species_Support!CB51)^2*(S13_PSP_Species_Support!CC51*(1-EXP(-S13_PSP_Species_Support!CD51*7))^S13_PSP_Species_Support!CE51))^0.976,0)+IFERROR(S13_PSP_Species_Support!CI51*0.0673*(S13_PSP_Species_Support!CJ51*(S13_PSP_Species_Support!CK51*(1-EXP(-S13_PSP_Species_Support!CL51*7))^S13_PSP_Species_Support!CM51)^2*(S13_PSP_Species_Support!CN51*(1-EXP(-S13_PSP_Species_Support!CO51*7))^S13_PSP_Species_Support!CP51))^0.976,0)+IFERROR(S13_PSP_Species_Support!CT51*0.0673*(S13_PSP_Species_Support!CU51*(S13_PSP_Species_Support!CV51*(1-EXP(-S13_PSP_Species_Support!CW51*7))^S13_PSP_Species_Support!CX51)^2*(S13_PSP_Species_Support!CY51*(1-EXP(-S13_PSP_Species_Support!CZ51*7))^S13_PSP_Species_Support!DA51))^0.976,0))/1000/$G64*P$108,0)</x:f>
        <x:v>11.688463455507407</x:v>
      </x:c>
      <x:c r="Q64" s="147" t="n">
        <x:f aca="0">IFERROR((IFERROR(S13_PSP_Species_Support!U51*0.0673*(S13_PSP_Species_Support!V51*(S13_PSP_Species_Support!W51*(1-EXP(-S13_PSP_Species_Support!X51*8))^S13_PSP_Species_Support!Y51)^2*(S13_PSP_Species_Support!Z51*(1-EXP(-S13_PSP_Species_Support!AA51*8))^S13_PSP_Species_Support!AB51))^0.976,0)+IFERROR(S13_PSP_Species_Support!AF51*0.0673*(S13_PSP_Species_Support!AG51*(S13_PSP_Species_Support!AH51*(1-EXP(-S13_PSP_Species_Support!AI51*8))^S13_PSP_Species_Support!AJ51)^2*(S13_PSP_Species_Support!AK51*(1-EXP(-S13_PSP_Species_Support!AL51*8))^S13_PSP_Species_Support!AM51))^0.976,0)+IFERROR(S13_PSP_Species_Support!AQ51*0.0673*(S13_PSP_Species_Support!AR51*(S13_PSP_Species_Support!AS51*(1-EXP(-S13_PSP_Species_Support!AT51*8))^S13_PSP_Species_Support!AU51)^2*(S13_PSP_Species_Support!AV51*(1-EXP(-S13_PSP_Species_Support!AW51*8))^S13_PSP_Species_Support!AX51))^0.976,0)+IFERROR(S13_PSP_Species_Support!BB51*0.0673*(S13_PSP_Species_Support!BC51*(S13_PSP_Species_Support!BD51*(1-EXP(-S13_PSP_Species_Support!BE51*8))^S13_PSP_Species_Support!BF51)^2*(S13_PSP_Species_Support!BG51*(1-EXP(-S13_PSP_Species_Support!BH51*8))^S13_PSP_Species_Support!BI51))^0.976,0)+IFERROR(S13_PSP_Species_Support!BM51*0.0673*(S13_PSP_Species_Support!BN51*(S13_PSP_Species_Support!BO51*(1-EXP(-S13_PSP_Species_Support!BP51*8))^S13_PSP_Species_Support!BQ51)^2*(S13_PSP_Species_Support!BR51*(1-EXP(-S13_PSP_Species_Support!BS51*8))^S13_PSP_Species_Support!BT51))^0.976,0)+IFERROR(S13_PSP_Species_Support!BX51*0.0673*(S13_PSP_Species_Support!BY51*(S13_PSP_Species_Support!BZ51*(1-EXP(-S13_PSP_Species_Support!CA51*8))^S13_PSP_Species_Support!CB51)^2*(S13_PSP_Species_Support!CC51*(1-EXP(-S13_PSP_Species_Support!CD51*8))^S13_PSP_Species_Support!CE51))^0.976,0)+IFERROR(S13_PSP_Species_Support!CI51*0.0673*(S13_PSP_Species_Support!CJ51*(S13_PSP_Species_Support!CK51*(1-EXP(-S13_PSP_Species_Support!CL51*8))^S13_PSP_Species_Support!CM51)^2*(S13_PSP_Species_Support!CN51*(1-EXP(-S13_PSP_Species_Support!CO51*8))^S13_PSP_Species_Support!CP51))^0.976,0)+IFERROR(S13_PSP_Species_Support!CT51*0.0673*(S13_PSP_Species_Support!CU51*(S13_PSP_Species_Support!CV51*(1-EXP(-S13_PSP_Species_Support!CW51*8))^S13_PSP_Species_Support!CX51)^2*(S13_PSP_Species_Support!CY51*(1-EXP(-S13_PSP_Species_Support!CZ51*8))^S13_PSP_Species_Support!DA51))^0.976,0))/1000/$G64*Q$108,0)</x:f>
        <x:v>16.853510065183944</x:v>
      </x:c>
      <x:c r="R64" s="147" t="n">
        <x:f aca="0">IFERROR((IFERROR(S13_PSP_Species_Support!U51*0.0673*(S13_PSP_Species_Support!V51*(S13_PSP_Species_Support!W51*(1-EXP(-S13_PSP_Species_Support!X51*9))^S13_PSP_Species_Support!Y51)^2*(S13_PSP_Species_Support!Z51*(1-EXP(-S13_PSP_Species_Support!AA51*9))^S13_PSP_Species_Support!AB51))^0.976,0)+IFERROR(S13_PSP_Species_Support!AF51*0.0673*(S13_PSP_Species_Support!AG51*(S13_PSP_Species_Support!AH51*(1-EXP(-S13_PSP_Species_Support!AI51*9))^S13_PSP_Species_Support!AJ51)^2*(S13_PSP_Species_Support!AK51*(1-EXP(-S13_PSP_Species_Support!AL51*9))^S13_PSP_Species_Support!AM51))^0.976,0)+IFERROR(S13_PSP_Species_Support!AQ51*0.0673*(S13_PSP_Species_Support!AR51*(S13_PSP_Species_Support!AS51*(1-EXP(-S13_PSP_Species_Support!AT51*9))^S13_PSP_Species_Support!AU51)^2*(S13_PSP_Species_Support!AV51*(1-EXP(-S13_PSP_Species_Support!AW51*9))^S13_PSP_Species_Support!AX51))^0.976,0)+IFERROR(S13_PSP_Species_Support!BB51*0.0673*(S13_PSP_Species_Support!BC51*(S13_PSP_Species_Support!BD51*(1-EXP(-S13_PSP_Species_Support!BE51*9))^S13_PSP_Species_Support!BF51)^2*(S13_PSP_Species_Support!BG51*(1-EXP(-S13_PSP_Species_Support!BH51*9))^S13_PSP_Species_Support!BI51))^0.976,0)+IFERROR(S13_PSP_Species_Support!BM51*0.0673*(S13_PSP_Species_Support!BN51*(S13_PSP_Species_Support!BO51*(1-EXP(-S13_PSP_Species_Support!BP51*9))^S13_PSP_Species_Support!BQ51)^2*(S13_PSP_Species_Support!BR51*(1-EXP(-S13_PSP_Species_Support!BS51*9))^S13_PSP_Species_Support!BT51))^0.976,0)+IFERROR(S13_PSP_Species_Support!BX51*0.0673*(S13_PSP_Species_Support!BY51*(S13_PSP_Species_Support!BZ51*(1-EXP(-S13_PSP_Species_Support!CA51*9))^S13_PSP_Species_Support!CB51)^2*(S13_PSP_Species_Support!CC51*(1-EXP(-S13_PSP_Species_Support!CD51*9))^S13_PSP_Species_Support!CE51))^0.976,0)+IFERROR(S13_PSP_Species_Support!CI51*0.0673*(S13_PSP_Species_Support!CJ51*(S13_PSP_Species_Support!CK51*(1-EXP(-S13_PSP_Species_Support!CL51*9))^S13_PSP_Species_Support!CM51)^2*(S13_PSP_Species_Support!CN51*(1-EXP(-S13_PSP_Species_Support!CO51*9))^S13_PSP_Species_Support!CP51))^0.976,0)+IFERROR(S13_PSP_Species_Support!CT51*0.0673*(S13_PSP_Species_Support!CU51*(S13_PSP_Species_Support!CV51*(1-EXP(-S13_PSP_Species_Support!CW51*9))^S13_PSP_Species_Support!CX51)^2*(S13_PSP_Species_Support!CY51*(1-EXP(-S13_PSP_Species_Support!CZ51*9))^S13_PSP_Species_Support!DA51))^0.976,0))/1000/$G64*R$108,0)</x:f>
        <x:v>22.813391880711876</x:v>
      </x:c>
      <x:c r="S64" s="147" t="n">
        <x:f aca="0">IFERROR((IFERROR(S13_PSP_Species_Support!U51*0.0673*(S13_PSP_Species_Support!V51*(S13_PSP_Species_Support!W51*(1-EXP(-S13_PSP_Species_Support!X51*10))^S13_PSP_Species_Support!Y51)^2*(S13_PSP_Species_Support!Z51*(1-EXP(-S13_PSP_Species_Support!AA51*10))^S13_PSP_Species_Support!AB51))^0.976,0)+IFERROR(S13_PSP_Species_Support!AF51*0.0673*(S13_PSP_Species_Support!AG51*(S13_PSP_Species_Support!AH51*(1-EXP(-S13_PSP_Species_Support!AI51*10))^S13_PSP_Species_Support!AJ51)^2*(S13_PSP_Species_Support!AK51*(1-EXP(-S13_PSP_Species_Support!AL51*10))^S13_PSP_Species_Support!AM51))^0.976,0)+IFERROR(S13_PSP_Species_Support!AQ51*0.0673*(S13_PSP_Species_Support!AR51*(S13_PSP_Species_Support!AS51*(1-EXP(-S13_PSP_Species_Support!AT51*10))^S13_PSP_Species_Support!AU51)^2*(S13_PSP_Species_Support!AV51*(1-EXP(-S13_PSP_Species_Support!AW51*10))^S13_PSP_Species_Support!AX51))^0.976,0)+IFERROR(S13_PSP_Species_Support!BB51*0.0673*(S13_PSP_Species_Support!BC51*(S13_PSP_Species_Support!BD51*(1-EXP(-S13_PSP_Species_Support!BE51*10))^S13_PSP_Species_Support!BF51)^2*(S13_PSP_Species_Support!BG51*(1-EXP(-S13_PSP_Species_Support!BH51*10))^S13_PSP_Species_Support!BI51))^0.976,0)+IFERROR(S13_PSP_Species_Support!BM51*0.0673*(S13_PSP_Species_Support!BN51*(S13_PSP_Species_Support!BO51*(1-EXP(-S13_PSP_Species_Support!BP51*10))^S13_PSP_Species_Support!BQ51)^2*(S13_PSP_Species_Support!BR51*(1-EXP(-S13_PSP_Species_Support!BS51*10))^S13_PSP_Species_Support!BT51))^0.976,0)+IFERROR(S13_PSP_Species_Support!BX51*0.0673*(S13_PSP_Species_Support!BY51*(S13_PSP_Species_Support!BZ51*(1-EXP(-S13_PSP_Species_Support!CA51*10))^S13_PSP_Species_Support!CB51)^2*(S13_PSP_Species_Support!CC51*(1-EXP(-S13_PSP_Species_Support!CD51*10))^S13_PSP_Species_Support!CE51))^0.976,0)+IFERROR(S13_PSP_Species_Support!CI51*0.0673*(S13_PSP_Species_Support!CJ51*(S13_PSP_Species_Support!CK51*(1-EXP(-S13_PSP_Species_Support!CL51*10))^S13_PSP_Species_Support!CM51)^2*(S13_PSP_Species_Support!CN51*(1-EXP(-S13_PSP_Species_Support!CO51*10))^S13_PSP_Species_Support!CP51))^0.976,0)+IFERROR(S13_PSP_Species_Support!CT51*0.0673*(S13_PSP_Species_Support!CU51*(S13_PSP_Species_Support!CV51*(1-EXP(-S13_PSP_Species_Support!CW51*10))^S13_PSP_Species_Support!CX51)^2*(S13_PSP_Species_Support!CY51*(1-EXP(-S13_PSP_Species_Support!CZ51*10))^S13_PSP_Species_Support!DA51))^0.976,0))/1000/$G64*S$108,0)</x:f>
        <x:v>29.40598698282399</x:v>
      </x:c>
      <x:c r="T64" s="147" t="n">
        <x:f aca="0">IFERROR((IFERROR(S13_PSP_Species_Support!U51*0.0673*(S13_PSP_Species_Support!V51*(S13_PSP_Species_Support!W51*(1-EXP(-S13_PSP_Species_Support!X51*11))^S13_PSP_Species_Support!Y51)^2*(S13_PSP_Species_Support!Z51*(1-EXP(-S13_PSP_Species_Support!AA51*11))^S13_PSP_Species_Support!AB51))^0.976,0)+IFERROR(S13_PSP_Species_Support!AF51*0.0673*(S13_PSP_Species_Support!AG51*(S13_PSP_Species_Support!AH51*(1-EXP(-S13_PSP_Species_Support!AI51*11))^S13_PSP_Species_Support!AJ51)^2*(S13_PSP_Species_Support!AK51*(1-EXP(-S13_PSP_Species_Support!AL51*11))^S13_PSP_Species_Support!AM51))^0.976,0)+IFERROR(S13_PSP_Species_Support!AQ51*0.0673*(S13_PSP_Species_Support!AR51*(S13_PSP_Species_Support!AS51*(1-EXP(-S13_PSP_Species_Support!AT51*11))^S13_PSP_Species_Support!AU51)^2*(S13_PSP_Species_Support!AV51*(1-EXP(-S13_PSP_Species_Support!AW51*11))^S13_PSP_Species_Support!AX51))^0.976,0)+IFERROR(S13_PSP_Species_Support!BB51*0.0673*(S13_PSP_Species_Support!BC51*(S13_PSP_Species_Support!BD51*(1-EXP(-S13_PSP_Species_Support!BE51*11))^S13_PSP_Species_Support!BF51)^2*(S13_PSP_Species_Support!BG51*(1-EXP(-S13_PSP_Species_Support!BH51*11))^S13_PSP_Species_Support!BI51))^0.976,0)+IFERROR(S13_PSP_Species_Support!BM51*0.0673*(S13_PSP_Species_Support!BN51*(S13_PSP_Species_Support!BO51*(1-EXP(-S13_PSP_Species_Support!BP51*11))^S13_PSP_Species_Support!BQ51)^2*(S13_PSP_Species_Support!BR51*(1-EXP(-S13_PSP_Species_Support!BS51*11))^S13_PSP_Species_Support!BT51))^0.976,0)+IFERROR(S13_PSP_Species_Support!BX51*0.0673*(S13_PSP_Species_Support!BY51*(S13_PSP_Species_Support!BZ51*(1-EXP(-S13_PSP_Species_Support!CA51*11))^S13_PSP_Species_Support!CB51)^2*(S13_PSP_Species_Support!CC51*(1-EXP(-S13_PSP_Species_Support!CD51*11))^S13_PSP_Species_Support!CE51))^0.976,0)+IFERROR(S13_PSP_Species_Support!CI51*0.0673*(S13_PSP_Species_Support!CJ51*(S13_PSP_Species_Support!CK51*(1-EXP(-S13_PSP_Species_Support!CL51*11))^S13_PSP_Species_Support!CM51)^2*(S13_PSP_Species_Support!CN51*(1-EXP(-S13_PSP_Species_Support!CO51*11))^S13_PSP_Species_Support!CP51))^0.976,0)+IFERROR(S13_PSP_Species_Support!CT51*0.0673*(S13_PSP_Species_Support!CU51*(S13_PSP_Species_Support!CV51*(1-EXP(-S13_PSP_Species_Support!CW51*11))^S13_PSP_Species_Support!CX51)^2*(S13_PSP_Species_Support!CY51*(1-EXP(-S13_PSP_Species_Support!CZ51*11))^S13_PSP_Species_Support!DA51))^0.976,0))/1000/$G64*T$108,0)</x:f>
        <x:v>36.46088272039114</x:v>
      </x:c>
      <x:c r="U64" s="147" t="n">
        <x:f aca="0">IFERROR((IFERROR(S13_PSP_Species_Support!U51*0.0673*(S13_PSP_Species_Support!V51*(S13_PSP_Species_Support!W51*(1-EXP(-S13_PSP_Species_Support!X51*12))^S13_PSP_Species_Support!Y51)^2*(S13_PSP_Species_Support!Z51*(1-EXP(-S13_PSP_Species_Support!AA51*12))^S13_PSP_Species_Support!AB51))^0.976,0)+IFERROR(S13_PSP_Species_Support!AF51*0.0673*(S13_PSP_Species_Support!AG51*(S13_PSP_Species_Support!AH51*(1-EXP(-S13_PSP_Species_Support!AI51*12))^S13_PSP_Species_Support!AJ51)^2*(S13_PSP_Species_Support!AK51*(1-EXP(-S13_PSP_Species_Support!AL51*12))^S13_PSP_Species_Support!AM51))^0.976,0)+IFERROR(S13_PSP_Species_Support!AQ51*0.0673*(S13_PSP_Species_Support!AR51*(S13_PSP_Species_Support!AS51*(1-EXP(-S13_PSP_Species_Support!AT51*12))^S13_PSP_Species_Support!AU51)^2*(S13_PSP_Species_Support!AV51*(1-EXP(-S13_PSP_Species_Support!AW51*12))^S13_PSP_Species_Support!AX51))^0.976,0)+IFERROR(S13_PSP_Species_Support!BB51*0.0673*(S13_PSP_Species_Support!BC51*(S13_PSP_Species_Support!BD51*(1-EXP(-S13_PSP_Species_Support!BE51*12))^S13_PSP_Species_Support!BF51)^2*(S13_PSP_Species_Support!BG51*(1-EXP(-S13_PSP_Species_Support!BH51*12))^S13_PSP_Species_Support!BI51))^0.976,0)+IFERROR(S13_PSP_Species_Support!BM51*0.0673*(S13_PSP_Species_Support!BN51*(S13_PSP_Species_Support!BO51*(1-EXP(-S13_PSP_Species_Support!BP51*12))^S13_PSP_Species_Support!BQ51)^2*(S13_PSP_Species_Support!BR51*(1-EXP(-S13_PSP_Species_Support!BS51*12))^S13_PSP_Species_Support!BT51))^0.976,0)+IFERROR(S13_PSP_Species_Support!BX51*0.0673*(S13_PSP_Species_Support!BY51*(S13_PSP_Species_Support!BZ51*(1-EXP(-S13_PSP_Species_Support!CA51*12))^S13_PSP_Species_Support!CB51)^2*(S13_PSP_Species_Support!CC51*(1-EXP(-S13_PSP_Species_Support!CD51*12))^S13_PSP_Species_Support!CE51))^0.976,0)+IFERROR(S13_PSP_Species_Support!CI51*0.0673*(S13_PSP_Species_Support!CJ51*(S13_PSP_Species_Support!CK51*(1-EXP(-S13_PSP_Species_Support!CL51*12))^S13_PSP_Species_Support!CM51)^2*(S13_PSP_Species_Support!CN51*(1-EXP(-S13_PSP_Species_Support!CO51*12))^S13_PSP_Species_Support!CP51))^0.976,0)+IFERROR(S13_PSP_Species_Support!CT51*0.0673*(S13_PSP_Species_Support!CU51*(S13_PSP_Species_Support!CV51*(1-EXP(-S13_PSP_Species_Support!CW51*12))^S13_PSP_Species_Support!CX51)^2*(S13_PSP_Species_Support!CY51*(1-EXP(-S13_PSP_Species_Support!CZ51*12))^S13_PSP_Species_Support!DA51))^0.976,0))/1000/$G64*U$108,0)</x:f>
        <x:v>43.81307326389178</x:v>
      </x:c>
      <x:c r="V64" s="147" t="n">
        <x:f aca="0">IFERROR((IFERROR(S13_PSP_Species_Support!U51*0.0673*(S13_PSP_Species_Support!V51*(S13_PSP_Species_Support!W51*(1-EXP(-S13_PSP_Species_Support!X51*13))^S13_PSP_Species_Support!Y51)^2*(S13_PSP_Species_Support!Z51*(1-EXP(-S13_PSP_Species_Support!AA51*13))^S13_PSP_Species_Support!AB51))^0.976,0)+IFERROR(S13_PSP_Species_Support!AF51*0.0673*(S13_PSP_Species_Support!AG51*(S13_PSP_Species_Support!AH51*(1-EXP(-S13_PSP_Species_Support!AI51*13))^S13_PSP_Species_Support!AJ51)^2*(S13_PSP_Species_Support!AK51*(1-EXP(-S13_PSP_Species_Support!AL51*13))^S13_PSP_Species_Support!AM51))^0.976,0)+IFERROR(S13_PSP_Species_Support!AQ51*0.0673*(S13_PSP_Species_Support!AR51*(S13_PSP_Species_Support!AS51*(1-EXP(-S13_PSP_Species_Support!AT51*13))^S13_PSP_Species_Support!AU51)^2*(S13_PSP_Species_Support!AV51*(1-EXP(-S13_PSP_Species_Support!AW51*13))^S13_PSP_Species_Support!AX51))^0.976,0)+IFERROR(S13_PSP_Species_Support!BB51*0.0673*(S13_PSP_Species_Support!BC51*(S13_PSP_Species_Support!BD51*(1-EXP(-S13_PSP_Species_Support!BE51*13))^S13_PSP_Species_Support!BF51)^2*(S13_PSP_Species_Support!BG51*(1-EXP(-S13_PSP_Species_Support!BH51*13))^S13_PSP_Species_Support!BI51))^0.976,0)+IFERROR(S13_PSP_Species_Support!BM51*0.0673*(S13_PSP_Species_Support!BN51*(S13_PSP_Species_Support!BO51*(1-EXP(-S13_PSP_Species_Support!BP51*13))^S13_PSP_Species_Support!BQ51)^2*(S13_PSP_Species_Support!BR51*(1-EXP(-S13_PSP_Species_Support!BS51*13))^S13_PSP_Species_Support!BT51))^0.976,0)+IFERROR(S13_PSP_Species_Support!BX51*0.0673*(S13_PSP_Species_Support!BY51*(S13_PSP_Species_Support!BZ51*(1-EXP(-S13_PSP_Species_Support!CA51*13))^S13_PSP_Species_Support!CB51)^2*(S13_PSP_Species_Support!CC51*(1-EXP(-S13_PSP_Species_Support!CD51*13))^S13_PSP_Species_Support!CE51))^0.976,0)+IFERROR(S13_PSP_Species_Support!CI51*0.0673*(S13_PSP_Species_Support!CJ51*(S13_PSP_Species_Support!CK51*(1-EXP(-S13_PSP_Species_Support!CL51*13))^S13_PSP_Species_Support!CM51)^2*(S13_PSP_Species_Support!CN51*(1-EXP(-S13_PSP_Species_Support!CO51*13))^S13_PSP_Species_Support!CP51))^0.976,0)+IFERROR(S13_PSP_Species_Support!CT51*0.0673*(S13_PSP_Species_Support!CU51*(S13_PSP_Species_Support!CV51*(1-EXP(-S13_PSP_Species_Support!CW51*13))^S13_PSP_Species_Support!CX51)^2*(S13_PSP_Species_Support!CY51*(1-EXP(-S13_PSP_Species_Support!CZ51*13))^S13_PSP_Species_Support!DA51))^0.976,0))/1000/$G64*V$108,0)</x:f>
        <x:v>51.311800168079856</x:v>
      </x:c>
      <x:c r="W64" s="147" t="n">
        <x:f aca="0">IFERROR((IFERROR(S13_PSP_Species_Support!U51*0.0673*(S13_PSP_Species_Support!V51*(S13_PSP_Species_Support!W51*(1-EXP(-S13_PSP_Species_Support!X51*14))^S13_PSP_Species_Support!Y51)^2*(S13_PSP_Species_Support!Z51*(1-EXP(-S13_PSP_Species_Support!AA51*14))^S13_PSP_Species_Support!AB51))^0.976,0)+IFERROR(S13_PSP_Species_Support!AF51*0.0673*(S13_PSP_Species_Support!AG51*(S13_PSP_Species_Support!AH51*(1-EXP(-S13_PSP_Species_Support!AI51*14))^S13_PSP_Species_Support!AJ51)^2*(S13_PSP_Species_Support!AK51*(1-EXP(-S13_PSP_Species_Support!AL51*14))^S13_PSP_Species_Support!AM51))^0.976,0)+IFERROR(S13_PSP_Species_Support!AQ51*0.0673*(S13_PSP_Species_Support!AR51*(S13_PSP_Species_Support!AS51*(1-EXP(-S13_PSP_Species_Support!AT51*14))^S13_PSP_Species_Support!AU51)^2*(S13_PSP_Species_Support!AV51*(1-EXP(-S13_PSP_Species_Support!AW51*14))^S13_PSP_Species_Support!AX51))^0.976,0)+IFERROR(S13_PSP_Species_Support!BB51*0.0673*(S13_PSP_Species_Support!BC51*(S13_PSP_Species_Support!BD51*(1-EXP(-S13_PSP_Species_Support!BE51*14))^S13_PSP_Species_Support!BF51)^2*(S13_PSP_Species_Support!BG51*(1-EXP(-S13_PSP_Species_Support!BH51*14))^S13_PSP_Species_Support!BI51))^0.976,0)+IFERROR(S13_PSP_Species_Support!BM51*0.0673*(S13_PSP_Species_Support!BN51*(S13_PSP_Species_Support!BO51*(1-EXP(-S13_PSP_Species_Support!BP51*14))^S13_PSP_Species_Support!BQ51)^2*(S13_PSP_Species_Support!BR51*(1-EXP(-S13_PSP_Species_Support!BS51*14))^S13_PSP_Species_Support!BT51))^0.976,0)+IFERROR(S13_PSP_Species_Support!BX51*0.0673*(S13_PSP_Species_Support!BY51*(S13_PSP_Species_Support!BZ51*(1-EXP(-S13_PSP_Species_Support!CA51*14))^S13_PSP_Species_Support!CB51)^2*(S13_PSP_Species_Support!CC51*(1-EXP(-S13_PSP_Species_Support!CD51*14))^S13_PSP_Species_Support!CE51))^0.976,0)+IFERROR(S13_PSP_Species_Support!CI51*0.0673*(S13_PSP_Species_Support!CJ51*(S13_PSP_Species_Support!CK51*(1-EXP(-S13_PSP_Species_Support!CL51*14))^S13_PSP_Species_Support!CM51)^2*(S13_PSP_Species_Support!CN51*(1-EXP(-S13_PSP_Species_Support!CO51*14))^S13_PSP_Species_Support!CP51))^0.976,0)+IFERROR(S13_PSP_Species_Support!CT51*0.0673*(S13_PSP_Species_Support!CU51*(S13_PSP_Species_Support!CV51*(1-EXP(-S13_PSP_Species_Support!CW51*14))^S13_PSP_Species_Support!CX51)^2*(S13_PSP_Species_Support!CY51*(1-EXP(-S13_PSP_Species_Support!CZ51*14))^S13_PSP_Species_Support!DA51))^0.976,0))/1000/$G64*W$108,0)</x:f>
        <x:v>58.82549641085063</x:v>
      </x:c>
      <x:c r="X64" s="147" t="n">
        <x:f aca="0">IFERROR((IFERROR(S13_PSP_Species_Support!U51*0.0673*(S13_PSP_Species_Support!V51*(S13_PSP_Species_Support!W51*(1-EXP(-S13_PSP_Species_Support!X51*15))^S13_PSP_Species_Support!Y51)^2*(S13_PSP_Species_Support!Z51*(1-EXP(-S13_PSP_Species_Support!AA51*15))^S13_PSP_Species_Support!AB51))^0.976,0)+IFERROR(S13_PSP_Species_Support!AF51*0.0673*(S13_PSP_Species_Support!AG51*(S13_PSP_Species_Support!AH51*(1-EXP(-S13_PSP_Species_Support!AI51*15))^S13_PSP_Species_Support!AJ51)^2*(S13_PSP_Species_Support!AK51*(1-EXP(-S13_PSP_Species_Support!AL51*15))^S13_PSP_Species_Support!AM51))^0.976,0)+IFERROR(S13_PSP_Species_Support!AQ51*0.0673*(S13_PSP_Species_Support!AR51*(S13_PSP_Species_Support!AS51*(1-EXP(-S13_PSP_Species_Support!AT51*15))^S13_PSP_Species_Support!AU51)^2*(S13_PSP_Species_Support!AV51*(1-EXP(-S13_PSP_Species_Support!AW51*15))^S13_PSP_Species_Support!AX51))^0.976,0)+IFERROR(S13_PSP_Species_Support!BB51*0.0673*(S13_PSP_Species_Support!BC51*(S13_PSP_Species_Support!BD51*(1-EXP(-S13_PSP_Species_Support!BE51*15))^S13_PSP_Species_Support!BF51)^2*(S13_PSP_Species_Support!BG51*(1-EXP(-S13_PSP_Species_Support!BH51*15))^S13_PSP_Species_Support!BI51))^0.976,0)+IFERROR(S13_PSP_Species_Support!BM51*0.0673*(S13_PSP_Species_Support!BN51*(S13_PSP_Species_Support!BO51*(1-EXP(-S13_PSP_Species_Support!BP51*15))^S13_PSP_Species_Support!BQ51)^2*(S13_PSP_Species_Support!BR51*(1-EXP(-S13_PSP_Species_Support!BS51*15))^S13_PSP_Species_Support!BT51))^0.976,0)+IFERROR(S13_PSP_Species_Support!BX51*0.0673*(S13_PSP_Species_Support!BY51*(S13_PSP_Species_Support!BZ51*(1-EXP(-S13_PSP_Species_Support!CA51*15))^S13_PSP_Species_Support!CB51)^2*(S13_PSP_Species_Support!CC51*(1-EXP(-S13_PSP_Species_Support!CD51*15))^S13_PSP_Species_Support!CE51))^0.976,0)+IFERROR(S13_PSP_Species_Support!CI51*0.0673*(S13_PSP_Species_Support!CJ51*(S13_PSP_Species_Support!CK51*(1-EXP(-S13_PSP_Species_Support!CL51*15))^S13_PSP_Species_Support!CM51)^2*(S13_PSP_Species_Support!CN51*(1-EXP(-S13_PSP_Species_Support!CO51*15))^S13_PSP_Species_Support!CP51))^0.976,0)+IFERROR(S13_PSP_Species_Support!CT51*0.0673*(S13_PSP_Species_Support!CU51*(S13_PSP_Species_Support!CV51*(1-EXP(-S13_PSP_Species_Support!CW51*15))^S13_PSP_Species_Support!CX51)^2*(S13_PSP_Species_Support!CY51*(1-EXP(-S13_PSP_Species_Support!CZ51*15))^S13_PSP_Species_Support!DA51))^0.976,0))/1000/$G64*X$108,0)</x:f>
        <x:v>66.24383422046536</x:v>
      </x:c>
      <x:c r="Y64" s="147" t="n">
        <x:f aca="0">IFERROR((IFERROR(S13_PSP_Species_Support!U51*0.0673*(S13_PSP_Species_Support!V51*(S13_PSP_Species_Support!W51*(1-EXP(-S13_PSP_Species_Support!X51*16))^S13_PSP_Species_Support!Y51)^2*(S13_PSP_Species_Support!Z51*(1-EXP(-S13_PSP_Species_Support!AA51*16))^S13_PSP_Species_Support!AB51))^0.976,0)+IFERROR(S13_PSP_Species_Support!AF51*0.0673*(S13_PSP_Species_Support!AG51*(S13_PSP_Species_Support!AH51*(1-EXP(-S13_PSP_Species_Support!AI51*16))^S13_PSP_Species_Support!AJ51)^2*(S13_PSP_Species_Support!AK51*(1-EXP(-S13_PSP_Species_Support!AL51*16))^S13_PSP_Species_Support!AM51))^0.976,0)+IFERROR(S13_PSP_Species_Support!AQ51*0.0673*(S13_PSP_Species_Support!AR51*(S13_PSP_Species_Support!AS51*(1-EXP(-S13_PSP_Species_Support!AT51*16))^S13_PSP_Species_Support!AU51)^2*(S13_PSP_Species_Support!AV51*(1-EXP(-S13_PSP_Species_Support!AW51*16))^S13_PSP_Species_Support!AX51))^0.976,0)+IFERROR(S13_PSP_Species_Support!BB51*0.0673*(S13_PSP_Species_Support!BC51*(S13_PSP_Species_Support!BD51*(1-EXP(-S13_PSP_Species_Support!BE51*16))^S13_PSP_Species_Support!BF51)^2*(S13_PSP_Species_Support!BG51*(1-EXP(-S13_PSP_Species_Support!BH51*16))^S13_PSP_Species_Support!BI51))^0.976,0)+IFERROR(S13_PSP_Species_Support!BM51*0.0673*(S13_PSP_Species_Support!BN51*(S13_PSP_Species_Support!BO51*(1-EXP(-S13_PSP_Species_Support!BP51*16))^S13_PSP_Species_Support!BQ51)^2*(S13_PSP_Species_Support!BR51*(1-EXP(-S13_PSP_Species_Support!BS51*16))^S13_PSP_Species_Support!BT51))^0.976,0)+IFERROR(S13_PSP_Species_Support!BX51*0.0673*(S13_PSP_Species_Support!BY51*(S13_PSP_Species_Support!BZ51*(1-EXP(-S13_PSP_Species_Support!CA51*16))^S13_PSP_Species_Support!CB51)^2*(S13_PSP_Species_Support!CC51*(1-EXP(-S13_PSP_Species_Support!CD51*16))^S13_PSP_Species_Support!CE51))^0.976,0)+IFERROR(S13_PSP_Species_Support!CI51*0.0673*(S13_PSP_Species_Support!CJ51*(S13_PSP_Species_Support!CK51*(1-EXP(-S13_PSP_Species_Support!CL51*16))^S13_PSP_Species_Support!CM51)^2*(S13_PSP_Species_Support!CN51*(1-EXP(-S13_PSP_Species_Support!CO51*16))^S13_PSP_Species_Support!CP51))^0.976,0)+IFERROR(S13_PSP_Species_Support!CT51*0.0673*(S13_PSP_Species_Support!CU51*(S13_PSP_Species_Support!CV51*(1-EXP(-S13_PSP_Species_Support!CW51*16))^S13_PSP_Species_Support!CX51)^2*(S13_PSP_Species_Support!CY51*(1-EXP(-S13_PSP_Species_Support!CZ51*16))^S13_PSP_Species_Support!DA51))^0.976,0))/1000/$G64*Y$108,0)</x:f>
        <x:v>73.47776381010608</x:v>
      </x:c>
      <x:c r="Z64" s="147" t="n">
        <x:f aca="0">IFERROR((IFERROR(S13_PSP_Species_Support!U51*0.0673*(S13_PSP_Species_Support!V51*(S13_PSP_Species_Support!W51*(1-EXP(-S13_PSP_Species_Support!X51*17))^S13_PSP_Species_Support!Y51)^2*(S13_PSP_Species_Support!Z51*(1-EXP(-S13_PSP_Species_Support!AA51*17))^S13_PSP_Species_Support!AB51))^0.976,0)+IFERROR(S13_PSP_Species_Support!AF51*0.0673*(S13_PSP_Species_Support!AG51*(S13_PSP_Species_Support!AH51*(1-EXP(-S13_PSP_Species_Support!AI51*17))^S13_PSP_Species_Support!AJ51)^2*(S13_PSP_Species_Support!AK51*(1-EXP(-S13_PSP_Species_Support!AL51*17))^S13_PSP_Species_Support!AM51))^0.976,0)+IFERROR(S13_PSP_Species_Support!AQ51*0.0673*(S13_PSP_Species_Support!AR51*(S13_PSP_Species_Support!AS51*(1-EXP(-S13_PSP_Species_Support!AT51*17))^S13_PSP_Species_Support!AU51)^2*(S13_PSP_Species_Support!AV51*(1-EXP(-S13_PSP_Species_Support!AW51*17))^S13_PSP_Species_Support!AX51))^0.976,0)+IFERROR(S13_PSP_Species_Support!BB51*0.0673*(S13_PSP_Species_Support!BC51*(S13_PSP_Species_Support!BD51*(1-EXP(-S13_PSP_Species_Support!BE51*17))^S13_PSP_Species_Support!BF51)^2*(S13_PSP_Species_Support!BG51*(1-EXP(-S13_PSP_Species_Support!BH51*17))^S13_PSP_Species_Support!BI51))^0.976,0)+IFERROR(S13_PSP_Species_Support!BM51*0.0673*(S13_PSP_Species_Support!BN51*(S13_PSP_Species_Support!BO51*(1-EXP(-S13_PSP_Species_Support!BP51*17))^S13_PSP_Species_Support!BQ51)^2*(S13_PSP_Species_Support!BR51*(1-EXP(-S13_PSP_Species_Support!BS51*17))^S13_PSP_Species_Support!BT51))^0.976,0)+IFERROR(S13_PSP_Species_Support!BX51*0.0673*(S13_PSP_Species_Support!BY51*(S13_PSP_Species_Support!BZ51*(1-EXP(-S13_PSP_Species_Support!CA51*17))^S13_PSP_Species_Support!CB51)^2*(S13_PSP_Species_Support!CC51*(1-EXP(-S13_PSP_Species_Support!CD51*17))^S13_PSP_Species_Support!CE51))^0.976,0)+IFERROR(S13_PSP_Species_Support!CI51*0.0673*(S13_PSP_Species_Support!CJ51*(S13_PSP_Species_Support!CK51*(1-EXP(-S13_PSP_Species_Support!CL51*17))^S13_PSP_Species_Support!CM51)^2*(S13_PSP_Species_Support!CN51*(1-EXP(-S13_PSP_Species_Support!CO51*17))^S13_PSP_Species_Support!CP51))^0.976,0)+IFERROR(S13_PSP_Species_Support!CT51*0.0673*(S13_PSP_Species_Support!CU51*(S13_PSP_Species_Support!CV51*(1-EXP(-S13_PSP_Species_Support!CW51*17))^S13_PSP_Species_Support!CX51)^2*(S13_PSP_Species_Support!CY51*(1-EXP(-S13_PSP_Species_Support!CZ51*17))^S13_PSP_Species_Support!DA51))^0.976,0))/1000/$G64*Z$108,0)</x:f>
        <x:v>80.45826162752928</x:v>
      </x:c>
      <x:c r="AA64" s="147" t="n">
        <x:f aca="0">IFERROR((IFERROR(S13_PSP_Species_Support!U51*0.0673*(S13_PSP_Species_Support!V51*(S13_PSP_Species_Support!W51*(1-EXP(-S13_PSP_Species_Support!X51*18))^S13_PSP_Species_Support!Y51)^2*(S13_PSP_Species_Support!Z51*(1-EXP(-S13_PSP_Species_Support!AA51*18))^S13_PSP_Species_Support!AB51))^0.976,0)+IFERROR(S13_PSP_Species_Support!AF51*0.0673*(S13_PSP_Species_Support!AG51*(S13_PSP_Species_Support!AH51*(1-EXP(-S13_PSP_Species_Support!AI51*18))^S13_PSP_Species_Support!AJ51)^2*(S13_PSP_Species_Support!AK51*(1-EXP(-S13_PSP_Species_Support!AL51*18))^S13_PSP_Species_Support!AM51))^0.976,0)+IFERROR(S13_PSP_Species_Support!AQ51*0.0673*(S13_PSP_Species_Support!AR51*(S13_PSP_Species_Support!AS51*(1-EXP(-S13_PSP_Species_Support!AT51*18))^S13_PSP_Species_Support!AU51)^2*(S13_PSP_Species_Support!AV51*(1-EXP(-S13_PSP_Species_Support!AW51*18))^S13_PSP_Species_Support!AX51))^0.976,0)+IFERROR(S13_PSP_Species_Support!BB51*0.0673*(S13_PSP_Species_Support!BC51*(S13_PSP_Species_Support!BD51*(1-EXP(-S13_PSP_Species_Support!BE51*18))^S13_PSP_Species_Support!BF51)^2*(S13_PSP_Species_Support!BG51*(1-EXP(-S13_PSP_Species_Support!BH51*18))^S13_PSP_Species_Support!BI51))^0.976,0)+IFERROR(S13_PSP_Species_Support!BM51*0.0673*(S13_PSP_Species_Support!BN51*(S13_PSP_Species_Support!BO51*(1-EXP(-S13_PSP_Species_Support!BP51*18))^S13_PSP_Species_Support!BQ51)^2*(S13_PSP_Species_Support!BR51*(1-EXP(-S13_PSP_Species_Support!BS51*18))^S13_PSP_Species_Support!BT51))^0.976,0)+IFERROR(S13_PSP_Species_Support!BX51*0.0673*(S13_PSP_Species_Support!BY51*(S13_PSP_Species_Support!BZ51*(1-EXP(-S13_PSP_Species_Support!CA51*18))^S13_PSP_Species_Support!CB51)^2*(S13_PSP_Species_Support!CC51*(1-EXP(-S13_PSP_Species_Support!CD51*18))^S13_PSP_Species_Support!CE51))^0.976,0)+IFERROR(S13_PSP_Species_Support!CI51*0.0673*(S13_PSP_Species_Support!CJ51*(S13_PSP_Species_Support!CK51*(1-EXP(-S13_PSP_Species_Support!CL51*18))^S13_PSP_Species_Support!CM51)^2*(S13_PSP_Species_Support!CN51*(1-EXP(-S13_PSP_Species_Support!CO51*18))^S13_PSP_Species_Support!CP51))^0.976,0)+IFERROR(S13_PSP_Species_Support!CT51*0.0673*(S13_PSP_Species_Support!CU51*(S13_PSP_Species_Support!CV51*(1-EXP(-S13_PSP_Species_Support!CW51*18))^S13_PSP_Species_Support!CX51)^2*(S13_PSP_Species_Support!CY51*(1-EXP(-S13_PSP_Species_Support!CZ51*18))^S13_PSP_Species_Support!DA51))^0.976,0))/1000/$G64*AA$108,0)</x:f>
        <x:v>87.13433416285545</x:v>
      </x:c>
      <x:c r="AB64" s="147" t="n">
        <x:f aca="0">IFERROR((IFERROR(S13_PSP_Species_Support!U51*0.0673*(S13_PSP_Species_Support!V51*(S13_PSP_Species_Support!W51*(1-EXP(-S13_PSP_Species_Support!X51*19))^S13_PSP_Species_Support!Y51)^2*(S13_PSP_Species_Support!Z51*(1-EXP(-S13_PSP_Species_Support!AA51*19))^S13_PSP_Species_Support!AB51))^0.976,0)+IFERROR(S13_PSP_Species_Support!AF51*0.0673*(S13_PSP_Species_Support!AG51*(S13_PSP_Species_Support!AH51*(1-EXP(-S13_PSP_Species_Support!AI51*19))^S13_PSP_Species_Support!AJ51)^2*(S13_PSP_Species_Support!AK51*(1-EXP(-S13_PSP_Species_Support!AL51*19))^S13_PSP_Species_Support!AM51))^0.976,0)+IFERROR(S13_PSP_Species_Support!AQ51*0.0673*(S13_PSP_Species_Support!AR51*(S13_PSP_Species_Support!AS51*(1-EXP(-S13_PSP_Species_Support!AT51*19))^S13_PSP_Species_Support!AU51)^2*(S13_PSP_Species_Support!AV51*(1-EXP(-S13_PSP_Species_Support!AW51*19))^S13_PSP_Species_Support!AX51))^0.976,0)+IFERROR(S13_PSP_Species_Support!BB51*0.0673*(S13_PSP_Species_Support!BC51*(S13_PSP_Species_Support!BD51*(1-EXP(-S13_PSP_Species_Support!BE51*19))^S13_PSP_Species_Support!BF51)^2*(S13_PSP_Species_Support!BG51*(1-EXP(-S13_PSP_Species_Support!BH51*19))^S13_PSP_Species_Support!BI51))^0.976,0)+IFERROR(S13_PSP_Species_Support!BM51*0.0673*(S13_PSP_Species_Support!BN51*(S13_PSP_Species_Support!BO51*(1-EXP(-S13_PSP_Species_Support!BP51*19))^S13_PSP_Species_Support!BQ51)^2*(S13_PSP_Species_Support!BR51*(1-EXP(-S13_PSP_Species_Support!BS51*19))^S13_PSP_Species_Support!BT51))^0.976,0)+IFERROR(S13_PSP_Species_Support!BX51*0.0673*(S13_PSP_Species_Support!BY51*(S13_PSP_Species_Support!BZ51*(1-EXP(-S13_PSP_Species_Support!CA51*19))^S13_PSP_Species_Support!CB51)^2*(S13_PSP_Species_Support!CC51*(1-EXP(-S13_PSP_Species_Support!CD51*19))^S13_PSP_Species_Support!CE51))^0.976,0)+IFERROR(S13_PSP_Species_Support!CI51*0.0673*(S13_PSP_Species_Support!CJ51*(S13_PSP_Species_Support!CK51*(1-EXP(-S13_PSP_Species_Support!CL51*19))^S13_PSP_Species_Support!CM51)^2*(S13_PSP_Species_Support!CN51*(1-EXP(-S13_PSP_Species_Support!CO51*19))^S13_PSP_Species_Support!CP51))^0.976,0)+IFERROR(S13_PSP_Species_Support!CT51*0.0673*(S13_PSP_Species_Support!CU51*(S13_PSP_Species_Support!CV51*(1-EXP(-S13_PSP_Species_Support!CW51*19))^S13_PSP_Species_Support!CX51)^2*(S13_PSP_Species_Support!CY51*(1-EXP(-S13_PSP_Species_Support!CZ51*19))^S13_PSP_Species_Support!DA51))^0.976,0))/1000/$G64*AB$108,0)</x:f>
        <x:v>93.47067052496456</x:v>
      </x:c>
      <x:c r="AC64" s="147" t="n">
        <x:f aca="0">IFERROR((IFERROR(S13_PSP_Species_Support!U51*0.0673*(S13_PSP_Species_Support!V51*(S13_PSP_Species_Support!W51*(1-EXP(-S13_PSP_Species_Support!X51*20))^S13_PSP_Species_Support!Y51)^2*(S13_PSP_Species_Support!Z51*(1-EXP(-S13_PSP_Species_Support!AA51*20))^S13_PSP_Species_Support!AB51))^0.976,0)+IFERROR(S13_PSP_Species_Support!AF51*0.0673*(S13_PSP_Species_Support!AG51*(S13_PSP_Species_Support!AH51*(1-EXP(-S13_PSP_Species_Support!AI51*20))^S13_PSP_Species_Support!AJ51)^2*(S13_PSP_Species_Support!AK51*(1-EXP(-S13_PSP_Species_Support!AL51*20))^S13_PSP_Species_Support!AM51))^0.976,0)+IFERROR(S13_PSP_Species_Support!AQ51*0.0673*(S13_PSP_Species_Support!AR51*(S13_PSP_Species_Support!AS51*(1-EXP(-S13_PSP_Species_Support!AT51*20))^S13_PSP_Species_Support!AU51)^2*(S13_PSP_Species_Support!AV51*(1-EXP(-S13_PSP_Species_Support!AW51*20))^S13_PSP_Species_Support!AX51))^0.976,0)+IFERROR(S13_PSP_Species_Support!BB51*0.0673*(S13_PSP_Species_Support!BC51*(S13_PSP_Species_Support!BD51*(1-EXP(-S13_PSP_Species_Support!BE51*20))^S13_PSP_Species_Support!BF51)^2*(S13_PSP_Species_Support!BG51*(1-EXP(-S13_PSP_Species_Support!BH51*20))^S13_PSP_Species_Support!BI51))^0.976,0)+IFERROR(S13_PSP_Species_Support!BM51*0.0673*(S13_PSP_Species_Support!BN51*(S13_PSP_Species_Support!BO51*(1-EXP(-S13_PSP_Species_Support!BP51*20))^S13_PSP_Species_Support!BQ51)^2*(S13_PSP_Species_Support!BR51*(1-EXP(-S13_PSP_Species_Support!BS51*20))^S13_PSP_Species_Support!BT51))^0.976,0)+IFERROR(S13_PSP_Species_Support!BX51*0.0673*(S13_PSP_Species_Support!BY51*(S13_PSP_Species_Support!BZ51*(1-EXP(-S13_PSP_Species_Support!CA51*20))^S13_PSP_Species_Support!CB51)^2*(S13_PSP_Species_Support!CC51*(1-EXP(-S13_PSP_Species_Support!CD51*20))^S13_PSP_Species_Support!CE51))^0.976,0)+IFERROR(S13_PSP_Species_Support!CI51*0.0673*(S13_PSP_Species_Support!CJ51*(S13_PSP_Species_Support!CK51*(1-EXP(-S13_PSP_Species_Support!CL51*20))^S13_PSP_Species_Support!CM51)^2*(S13_PSP_Species_Support!CN51*(1-EXP(-S13_PSP_Species_Support!CO51*20))^S13_PSP_Species_Support!CP51))^0.976,0)+IFERROR(S13_PSP_Species_Support!CT51*0.0673*(S13_PSP_Species_Support!CU51*(S13_PSP_Species_Support!CV51*(1-EXP(-S13_PSP_Species_Support!CW51*20))^S13_PSP_Species_Support!CX51)^2*(S13_PSP_Species_Support!CY51*(1-EXP(-S13_PSP_Species_Support!CZ51*20))^S13_PSP_Species_Support!DA51))^0.976,0))/1000/$G64*AC$108,0)</x:f>
        <x:v>99.44521230887128</x:v>
      </x:c>
      <x:c r="AD64" s="148" t="n">
        <x:f aca="0">IF(2020&lt;$F64,0,INDEX($I64:$AC64,1,2020-$F64+1))</x:f>
        <x:v>0</x:v>
      </x:c>
      <x:c r="AE64" s="148" t="n">
        <x:f aca="0">IF(2021&lt;$F64,0,INDEX($I64:$AC64,1,2021-$F64+1))</x:f>
        <x:v>0.010814980102677802</x:v>
      </x:c>
      <x:c r="AF64" s="148" t="n">
        <x:f aca="0">IF(2022&lt;$F64,0,INDEX($I64:$AC64,1,2022-$F64+1))</x:f>
        <x:v>0.16440554160890256</x:v>
      </x:c>
      <x:c r="AG64" s="148" t="n">
        <x:f aca="0">IF(2023&lt;$F64,0,INDEX($I64:$AC64,1,2023-$F64+1))</x:f>
        <x:v>0.737398369093403</x:v>
      </x:c>
      <x:c r="AH64" s="148" t="n">
        <x:f aca="0">IF(2024&lt;$F64,0,INDEX($I64:$AC64,1,2024-$F64+1))</x:f>
        <x:v>2.0239452418308486</x:v>
      </x:c>
      <x:c r="AI64" s="148" t="n">
        <x:f aca="0">IF(2025&lt;$F64,0,INDEX($I64:$AC64,1,2025-$F64+1))</x:f>
        <x:v>4.229938549332824</x:v>
      </x:c>
      <x:c r="AJ64" s="148" t="n">
        <x:f aca="0">IF(2026&lt;$F64,0,INDEX($I64:$AC64,1,2026-$F64+1))</x:f>
        <x:v>7.452933395621526</x:v>
      </x:c>
      <x:c r="AK64" s="148" t="n">
        <x:f aca="0">IF(2027&lt;$F64,0,INDEX($I64:$AC64,1,2027-$F64+1))</x:f>
        <x:v>11.688463455507407</x:v>
      </x:c>
      <x:c r="AL64" s="148" t="n">
        <x:f aca="0">IF(2028&lt;$F64,0,INDEX($I64:$AC64,1,2028-$F64+1))</x:f>
        <x:v>16.853510065183944</x:v>
      </x:c>
      <x:c r="AM64" s="148" t="n">
        <x:f aca="0">IF(2029&lt;$F64,0,INDEX($I64:$AC64,1,2029-$F64+1))</x:f>
        <x:v>22.813391880711876</x:v>
      </x:c>
      <x:c r="AN64" s="148" t="n">
        <x:f aca="0">IF(2030&lt;$F64,0,INDEX($I64:$AC64,1,2030-$F64+1))</x:f>
        <x:v>29.40598698282399</x:v>
      </x:c>
      <x:c r="AO64" s="148" t="n">
        <x:f aca="0">IF(2031&lt;$F64,0,INDEX($I64:$AC64,1,2031-$F64+1))</x:f>
        <x:v>36.46088272039114</x:v>
      </x:c>
      <x:c r="AP64" s="148" t="n">
        <x:f aca="0">IF(2032&lt;$F64,0,INDEX($I64:$AC64,1,2032-$F64+1))</x:f>
        <x:v>43.81307326389178</x:v>
      </x:c>
      <x:c r="AQ64" s="148" t="n">
        <x:f aca="0">IF(2033&lt;$F64,0,INDEX($I64:$AC64,1,2033-$F64+1))</x:f>
        <x:v>51.311800168079856</x:v>
      </x:c>
      <x:c r="AR64" s="148" t="n">
        <x:f aca="0">IF(2034&lt;$F64,0,INDEX($I64:$AC64,1,2034-$F64+1))</x:f>
        <x:v>58.82549641085063</x:v>
      </x:c>
      <x:c r="AS64" s="148" t="n">
        <x:f aca="0">IF(2035&lt;$F64,0,INDEX($I64:$AC64,1,2035-$F64+1))</x:f>
        <x:v>66.24383422046536</x:v>
      </x:c>
      <x:c r="AT64" s="148" t="n">
        <x:f aca="0">IF(2036&lt;$F64,0,INDEX($I64:$AC64,1,2036-$F64+1))</x:f>
        <x:v>73.47776381010608</x:v>
      </x:c>
      <x:c r="AU64" s="148" t="n">
        <x:f aca="0">IF(2037&lt;$F64,0,INDEX($I64:$AC64,1,2037-$F64+1))</x:f>
        <x:v>80.45826162752928</x:v>
      </x:c>
      <x:c r="AV64" s="148" t="n">
        <x:f aca="0">IF(2038&lt;$F64,0,INDEX($I64:$AC64,1,2038-$F64+1))</x:f>
        <x:v>87.13433416285545</x:v>
      </x:c>
      <x:c r="AW64" s="148" t="n">
        <x:f aca="0">IF(2039&lt;$F64,0,INDEX($I64:$AC64,1,2039-$F64+1))</x:f>
        <x:v>93.47067052496456</x:v>
      </x:c>
      <x:c r="AX64" s="148" t="n">
        <x:f aca="0">IF(2040&lt;$F64,0,INDEX($I64:$AC64,1,2040-$F64+1))</x:f>
        <x:v>99.44521230887128</x:v>
      </x:c>
      <x:c r="AY64" s="1" t="str">
        <x:f aca="0">LEFT($C64,FIND("@",SUBSTITUTE($C64,"|","@",2))-1)</x:f>
        <x:v>Timber Plantation|Low</x:v>
      </x:c>
      <x:c r="AZ64" s="1" t="str">
        <x:f aca="0">LEFT($C64,FIND("|",$C64)-1)</x:f>
        <x:v>Timber Plantation</x:v>
      </x:c>
      <x:c r="BA64" s="149" t="n">
        <x:f aca="0">I64*I64</x:f>
        <x:v>0</x:v>
      </x:c>
      <x:c r="BB64" s="149" t="n">
        <x:f aca="0">J64*J64</x:f>
        <x:v>0.00011696379462131677</x:v>
      </x:c>
      <x:c r="BC64" s="149" t="n">
        <x:f aca="0">K64*K64</x:f>
        <x:v>0.02702918211171659</x:v>
      </x:c>
      <x:c r="BD64" s="149" t="n">
        <x:f aca="0">L64*L64</x:f>
        <x:v>0.5437563547416105</x:v>
      </x:c>
      <x:c r="BE64" s="149" t="n">
        <x:f aca="0">M64*M64</x:f>
        <x:v>4.096354341929732</x:v>
      </x:c>
      <x:c r="BF64" s="149" t="n">
        <x:f aca="0">N64*N64</x:f>
        <x:v>17.89238013113188</x:v>
      </x:c>
      <x:c r="BG64" s="149" t="n">
        <x:f aca="0">O64*O64</x:f>
        <x:v>55.5462161995706</x:v>
      </x:c>
      <x:c r="BH64" s="149" t="n">
        <x:f aca="0">P64*P64</x:f>
        <x:v>136.62017795073214</x:v>
      </x:c>
      <x:c r="BI64" s="149" t="n">
        <x:f aca="0">Q64*Q64</x:f>
        <x:v>284.0408015172565</x:v>
      </x:c>
      <x:c r="BJ64" s="149" t="n">
        <x:f aca="0">R64*R64</x:f>
        <x:v>520.4508491029305</x:v>
      </x:c>
      <x:c r="BK64" s="149" t="n">
        <x:f aca="0">S64*S64</x:f>
        <x:v>864.712070434014</x:v>
      </x:c>
      <x:c r="BL64" s="149" t="n">
        <x:f aca="0">T64*T64</x:f>
        <x:v>1329.3959687501172</x:v>
      </x:c>
      <x:c r="BM64" s="149" t="n">
        <x:f aca="0">U64*U64</x:f>
        <x:v>1919.5853888271488</x:v>
      </x:c>
      <x:c r="BN64" s="149" t="n">
        <x:f aca="0">V64*V64</x:f>
        <x:v>2632.90083648896</x:v>
      </x:c>
      <x:c r="BO64" s="149" t="n">
        <x:f aca="0">W64*W64</x:f>
        <x:v>3460.439027983001</x:v>
      </x:c>
      <x:c r="BP64" s="149" t="n">
        <x:f aca="0">X64*X64</x:f>
        <x:v>4388.245572228498</x:v>
      </x:c>
      <x:c r="BQ64" s="149" t="n">
        <x:f aca="0">Y64*Y64</x:f>
        <x:v>5398.981774533735</x:v>
      </x:c>
      <x:c r="BR64" s="149" t="n">
        <x:f aca="0">Z64*Z64</x:f>
        <x:v>6473.531864123951</x:v>
      </x:c>
      <x:c r="BS64" s="149" t="n">
        <x:f aca="0">AA64*AA64</x:f>
        <x:v>7592.392190004159</x:v>
      </x:c>
      <x:c r="BT64" s="149" t="n">
        <x:f aca="0">AB64*AB64</x:f>
        <x:v>8736.766248386479</x:v>
      </x:c>
      <x:c r="BU64" s="149" t="n">
        <x:f aca="0">AC64*AC64</x:f>
        <x:v>9889.350251156484</x:v>
      </x:c>
    </x:row>
    <x:row r="65" ht="15" hidden="0" customHeight="1">
      <x:c r="A65" s="1" t="str">
        <x:f aca="0">S13_PSP_Species_Support!A52</x:f>
        <x:v>PSP-TP-011</x:v>
      </x:c>
      <x:c r="B65" s="1" t="n">
        <x:f aca="0">52</x:f>
        <x:v>52</x:v>
      </x:c>
      <x:c r="C65" s="1" t="str">
        <x:f aca="0">S13_PSP_Species_Support!I52</x:f>
        <x:v>Timber Plantation|Low|2020</x:v>
      </x:c>
      <x:c r="D65" s="1" t="str">
        <x:f aca="0">S13_PSP_Species_Support!C52</x:f>
        <x:v>Timber Plantation</x:v>
      </x:c>
      <x:c r="E65" s="1" t="str">
        <x:f aca="0">S13_PSP_Species_Support!D52</x:f>
        <x:v>Low</x:v>
      </x:c>
      <x:c r="F65" s="1" t="n">
        <x:f aca="0">S13_PSP_Species_Support!E52</x:f>
        <x:v>2020</x:v>
      </x:c>
      <x:c r="G65" s="645" t="n">
        <x:f aca="0">'S13_PSP_Species_Support'!DJ52</x:f>
        <x:v>0.09</x:v>
      </x:c>
      <x:c r="H65" s="714" t="n">
        <x:f aca="0">'S13_PSP_Species_Support'!DK52</x:f>
        <x:v>11.766243953457968</x:v>
      </x:c>
      <x:c r="I65" s="147" t="n">
        <x:f aca="0">IFERROR((IFERROR(S13_PSP_Species_Support!U52*0.0673*(S13_PSP_Species_Support!V52*(S13_PSP_Species_Support!W52*(1-EXP(-S13_PSP_Species_Support!X52*0))^S13_PSP_Species_Support!Y52)^2*(S13_PSP_Species_Support!Z52*(1-EXP(-S13_PSP_Species_Support!AA52*0))^S13_PSP_Species_Support!AB52))^0.976,0)+IFERROR(S13_PSP_Species_Support!AF52*0.0673*(S13_PSP_Species_Support!AG52*(S13_PSP_Species_Support!AH52*(1-EXP(-S13_PSP_Species_Support!AI52*0))^S13_PSP_Species_Support!AJ52)^2*(S13_PSP_Species_Support!AK52*(1-EXP(-S13_PSP_Species_Support!AL52*0))^S13_PSP_Species_Support!AM52))^0.976,0)+IFERROR(S13_PSP_Species_Support!AQ52*0.0673*(S13_PSP_Species_Support!AR52*(S13_PSP_Species_Support!AS52*(1-EXP(-S13_PSP_Species_Support!AT52*0))^S13_PSP_Species_Support!AU52)^2*(S13_PSP_Species_Support!AV52*(1-EXP(-S13_PSP_Species_Support!AW52*0))^S13_PSP_Species_Support!AX52))^0.976,0)+IFERROR(S13_PSP_Species_Support!BB52*0.0673*(S13_PSP_Species_Support!BC52*(S13_PSP_Species_Support!BD52*(1-EXP(-S13_PSP_Species_Support!BE52*0))^S13_PSP_Species_Support!BF52)^2*(S13_PSP_Species_Support!BG52*(1-EXP(-S13_PSP_Species_Support!BH52*0))^S13_PSP_Species_Support!BI52))^0.976,0)+IFERROR(S13_PSP_Species_Support!BM52*0.0673*(S13_PSP_Species_Support!BN52*(S13_PSP_Species_Support!BO52*(1-EXP(-S13_PSP_Species_Support!BP52*0))^S13_PSP_Species_Support!BQ52)^2*(S13_PSP_Species_Support!BR52*(1-EXP(-S13_PSP_Species_Support!BS52*0))^S13_PSP_Species_Support!BT52))^0.976,0)+IFERROR(S13_PSP_Species_Support!BX52*0.0673*(S13_PSP_Species_Support!BY52*(S13_PSP_Species_Support!BZ52*(1-EXP(-S13_PSP_Species_Support!CA52*0))^S13_PSP_Species_Support!CB52)^2*(S13_PSP_Species_Support!CC52*(1-EXP(-S13_PSP_Species_Support!CD52*0))^S13_PSP_Species_Support!CE52))^0.976,0)+IFERROR(S13_PSP_Species_Support!CI52*0.0673*(S13_PSP_Species_Support!CJ52*(S13_PSP_Species_Support!CK52*(1-EXP(-S13_PSP_Species_Support!CL52*0))^S13_PSP_Species_Support!CM52)^2*(S13_PSP_Species_Support!CN52*(1-EXP(-S13_PSP_Species_Support!CO52*0))^S13_PSP_Species_Support!CP52))^0.976,0)+IFERROR(S13_PSP_Species_Support!CT52*0.0673*(S13_PSP_Species_Support!CU52*(S13_PSP_Species_Support!CV52*(1-EXP(-S13_PSP_Species_Support!CW52*0))^S13_PSP_Species_Support!CX52)^2*(S13_PSP_Species_Support!CY52*(1-EXP(-S13_PSP_Species_Support!CZ52*0))^S13_PSP_Species_Support!DA52))^0.976,0))/1000/$G65*I$108,0)</x:f>
        <x:v>0</x:v>
      </x:c>
      <x:c r="J65" s="147" t="n">
        <x:f aca="0">IFERROR((IFERROR(S13_PSP_Species_Support!U52*0.0673*(S13_PSP_Species_Support!V52*(S13_PSP_Species_Support!W52*(1-EXP(-S13_PSP_Species_Support!X52*1))^S13_PSP_Species_Support!Y52)^2*(S13_PSP_Species_Support!Z52*(1-EXP(-S13_PSP_Species_Support!AA52*1))^S13_PSP_Species_Support!AB52))^0.976,0)+IFERROR(S13_PSP_Species_Support!AF52*0.0673*(S13_PSP_Species_Support!AG52*(S13_PSP_Species_Support!AH52*(1-EXP(-S13_PSP_Species_Support!AI52*1))^S13_PSP_Species_Support!AJ52)^2*(S13_PSP_Species_Support!AK52*(1-EXP(-S13_PSP_Species_Support!AL52*1))^S13_PSP_Species_Support!AM52))^0.976,0)+IFERROR(S13_PSP_Species_Support!AQ52*0.0673*(S13_PSP_Species_Support!AR52*(S13_PSP_Species_Support!AS52*(1-EXP(-S13_PSP_Species_Support!AT52*1))^S13_PSP_Species_Support!AU52)^2*(S13_PSP_Species_Support!AV52*(1-EXP(-S13_PSP_Species_Support!AW52*1))^S13_PSP_Species_Support!AX52))^0.976,0)+IFERROR(S13_PSP_Species_Support!BB52*0.0673*(S13_PSP_Species_Support!BC52*(S13_PSP_Species_Support!BD52*(1-EXP(-S13_PSP_Species_Support!BE52*1))^S13_PSP_Species_Support!BF52)^2*(S13_PSP_Species_Support!BG52*(1-EXP(-S13_PSP_Species_Support!BH52*1))^S13_PSP_Species_Support!BI52))^0.976,0)+IFERROR(S13_PSP_Species_Support!BM52*0.0673*(S13_PSP_Species_Support!BN52*(S13_PSP_Species_Support!BO52*(1-EXP(-S13_PSP_Species_Support!BP52*1))^S13_PSP_Species_Support!BQ52)^2*(S13_PSP_Species_Support!BR52*(1-EXP(-S13_PSP_Species_Support!BS52*1))^S13_PSP_Species_Support!BT52))^0.976,0)+IFERROR(S13_PSP_Species_Support!BX52*0.0673*(S13_PSP_Species_Support!BY52*(S13_PSP_Species_Support!BZ52*(1-EXP(-S13_PSP_Species_Support!CA52*1))^S13_PSP_Species_Support!CB52)^2*(S13_PSP_Species_Support!CC52*(1-EXP(-S13_PSP_Species_Support!CD52*1))^S13_PSP_Species_Support!CE52))^0.976,0)+IFERROR(S13_PSP_Species_Support!CI52*0.0673*(S13_PSP_Species_Support!CJ52*(S13_PSP_Species_Support!CK52*(1-EXP(-S13_PSP_Species_Support!CL52*1))^S13_PSP_Species_Support!CM52)^2*(S13_PSP_Species_Support!CN52*(1-EXP(-S13_PSP_Species_Support!CO52*1))^S13_PSP_Species_Support!CP52))^0.976,0)+IFERROR(S13_PSP_Species_Support!CT52*0.0673*(S13_PSP_Species_Support!CU52*(S13_PSP_Species_Support!CV52*(1-EXP(-S13_PSP_Species_Support!CW52*1))^S13_PSP_Species_Support!CX52)^2*(S13_PSP_Species_Support!CY52*(1-EXP(-S13_PSP_Species_Support!CZ52*1))^S13_PSP_Species_Support!DA52))^0.976,0))/1000/$G65*J$108,0)</x:f>
        <x:v>0.04846818675568249</x:v>
      </x:c>
      <x:c r="K65" s="147" t="n">
        <x:f aca="0">IFERROR((IFERROR(S13_PSP_Species_Support!U52*0.0673*(S13_PSP_Species_Support!V52*(S13_PSP_Species_Support!W52*(1-EXP(-S13_PSP_Species_Support!X52*2))^S13_PSP_Species_Support!Y52)^2*(S13_PSP_Species_Support!Z52*(1-EXP(-S13_PSP_Species_Support!AA52*2))^S13_PSP_Species_Support!AB52))^0.976,0)+IFERROR(S13_PSP_Species_Support!AF52*0.0673*(S13_PSP_Species_Support!AG52*(S13_PSP_Species_Support!AH52*(1-EXP(-S13_PSP_Species_Support!AI52*2))^S13_PSP_Species_Support!AJ52)^2*(S13_PSP_Species_Support!AK52*(1-EXP(-S13_PSP_Species_Support!AL52*2))^S13_PSP_Species_Support!AM52))^0.976,0)+IFERROR(S13_PSP_Species_Support!AQ52*0.0673*(S13_PSP_Species_Support!AR52*(S13_PSP_Species_Support!AS52*(1-EXP(-S13_PSP_Species_Support!AT52*2))^S13_PSP_Species_Support!AU52)^2*(S13_PSP_Species_Support!AV52*(1-EXP(-S13_PSP_Species_Support!AW52*2))^S13_PSP_Species_Support!AX52))^0.976,0)+IFERROR(S13_PSP_Species_Support!BB52*0.0673*(S13_PSP_Species_Support!BC52*(S13_PSP_Species_Support!BD52*(1-EXP(-S13_PSP_Species_Support!BE52*2))^S13_PSP_Species_Support!BF52)^2*(S13_PSP_Species_Support!BG52*(1-EXP(-S13_PSP_Species_Support!BH52*2))^S13_PSP_Species_Support!BI52))^0.976,0)+IFERROR(S13_PSP_Species_Support!BM52*0.0673*(S13_PSP_Species_Support!BN52*(S13_PSP_Species_Support!BO52*(1-EXP(-S13_PSP_Species_Support!BP52*2))^S13_PSP_Species_Support!BQ52)^2*(S13_PSP_Species_Support!BR52*(1-EXP(-S13_PSP_Species_Support!BS52*2))^S13_PSP_Species_Support!BT52))^0.976,0)+IFERROR(S13_PSP_Species_Support!BX52*0.0673*(S13_PSP_Species_Support!BY52*(S13_PSP_Species_Support!BZ52*(1-EXP(-S13_PSP_Species_Support!CA52*2))^S13_PSP_Species_Support!CB52)^2*(S13_PSP_Species_Support!CC52*(1-EXP(-S13_PSP_Species_Support!CD52*2))^S13_PSP_Species_Support!CE52))^0.976,0)+IFERROR(S13_PSP_Species_Support!CI52*0.0673*(S13_PSP_Species_Support!CJ52*(S13_PSP_Species_Support!CK52*(1-EXP(-S13_PSP_Species_Support!CL52*2))^S13_PSP_Species_Support!CM52)^2*(S13_PSP_Species_Support!CN52*(1-EXP(-S13_PSP_Species_Support!CO52*2))^S13_PSP_Species_Support!CP52))^0.976,0)+IFERROR(S13_PSP_Species_Support!CT52*0.0673*(S13_PSP_Species_Support!CU52*(S13_PSP_Species_Support!CV52*(1-EXP(-S13_PSP_Species_Support!CW52*2))^S13_PSP_Species_Support!CX52)^2*(S13_PSP_Species_Support!CY52*(1-EXP(-S13_PSP_Species_Support!CZ52*2))^S13_PSP_Species_Support!DA52))^0.976,0))/1000/$G65*K$108,0)</x:f>
        <x:v>0.5921476075575364</x:v>
      </x:c>
      <x:c r="L65" s="147" t="n">
        <x:f aca="0">IFERROR((IFERROR(S13_PSP_Species_Support!U52*0.0673*(S13_PSP_Species_Support!V52*(S13_PSP_Species_Support!W52*(1-EXP(-S13_PSP_Species_Support!X52*3))^S13_PSP_Species_Support!Y52)^2*(S13_PSP_Species_Support!Z52*(1-EXP(-S13_PSP_Species_Support!AA52*3))^S13_PSP_Species_Support!AB52))^0.976,0)+IFERROR(S13_PSP_Species_Support!AF52*0.0673*(S13_PSP_Species_Support!AG52*(S13_PSP_Species_Support!AH52*(1-EXP(-S13_PSP_Species_Support!AI52*3))^S13_PSP_Species_Support!AJ52)^2*(S13_PSP_Species_Support!AK52*(1-EXP(-S13_PSP_Species_Support!AL52*3))^S13_PSP_Species_Support!AM52))^0.976,0)+IFERROR(S13_PSP_Species_Support!AQ52*0.0673*(S13_PSP_Species_Support!AR52*(S13_PSP_Species_Support!AS52*(1-EXP(-S13_PSP_Species_Support!AT52*3))^S13_PSP_Species_Support!AU52)^2*(S13_PSP_Species_Support!AV52*(1-EXP(-S13_PSP_Species_Support!AW52*3))^S13_PSP_Species_Support!AX52))^0.976,0)+IFERROR(S13_PSP_Species_Support!BB52*0.0673*(S13_PSP_Species_Support!BC52*(S13_PSP_Species_Support!BD52*(1-EXP(-S13_PSP_Species_Support!BE52*3))^S13_PSP_Species_Support!BF52)^2*(S13_PSP_Species_Support!BG52*(1-EXP(-S13_PSP_Species_Support!BH52*3))^S13_PSP_Species_Support!BI52))^0.976,0)+IFERROR(S13_PSP_Species_Support!BM52*0.0673*(S13_PSP_Species_Support!BN52*(S13_PSP_Species_Support!BO52*(1-EXP(-S13_PSP_Species_Support!BP52*3))^S13_PSP_Species_Support!BQ52)^2*(S13_PSP_Species_Support!BR52*(1-EXP(-S13_PSP_Species_Support!BS52*3))^S13_PSP_Species_Support!BT52))^0.976,0)+IFERROR(S13_PSP_Species_Support!BX52*0.0673*(S13_PSP_Species_Support!BY52*(S13_PSP_Species_Support!BZ52*(1-EXP(-S13_PSP_Species_Support!CA52*3))^S13_PSP_Species_Support!CB52)^2*(S13_PSP_Species_Support!CC52*(1-EXP(-S13_PSP_Species_Support!CD52*3))^S13_PSP_Species_Support!CE52))^0.976,0)+IFERROR(S13_PSP_Species_Support!CI52*0.0673*(S13_PSP_Species_Support!CJ52*(S13_PSP_Species_Support!CK52*(1-EXP(-S13_PSP_Species_Support!CL52*3))^S13_PSP_Species_Support!CM52)^2*(S13_PSP_Species_Support!CN52*(1-EXP(-S13_PSP_Species_Support!CO52*3))^S13_PSP_Species_Support!CP52))^0.976,0)+IFERROR(S13_PSP_Species_Support!CT52*0.0673*(S13_PSP_Species_Support!CU52*(S13_PSP_Species_Support!CV52*(1-EXP(-S13_PSP_Species_Support!CW52*3))^S13_PSP_Species_Support!CX52)^2*(S13_PSP_Species_Support!CY52*(1-EXP(-S13_PSP_Species_Support!CZ52*3))^S13_PSP_Species_Support!DA52))^0.976,0))/1000/$G65*L$108,0)</x:f>
        <x:v>2.3243727058964554</x:v>
      </x:c>
      <x:c r="M65" s="147" t="n">
        <x:f aca="0">IFERROR((IFERROR(S13_PSP_Species_Support!U52*0.0673*(S13_PSP_Species_Support!V52*(S13_PSP_Species_Support!W52*(1-EXP(-S13_PSP_Species_Support!X52*4))^S13_PSP_Species_Support!Y52)^2*(S13_PSP_Species_Support!Z52*(1-EXP(-S13_PSP_Species_Support!AA52*4))^S13_PSP_Species_Support!AB52))^0.976,0)+IFERROR(S13_PSP_Species_Support!AF52*0.0673*(S13_PSP_Species_Support!AG52*(S13_PSP_Species_Support!AH52*(1-EXP(-S13_PSP_Species_Support!AI52*4))^S13_PSP_Species_Support!AJ52)^2*(S13_PSP_Species_Support!AK52*(1-EXP(-S13_PSP_Species_Support!AL52*4))^S13_PSP_Species_Support!AM52))^0.976,0)+IFERROR(S13_PSP_Species_Support!AQ52*0.0673*(S13_PSP_Species_Support!AR52*(S13_PSP_Species_Support!AS52*(1-EXP(-S13_PSP_Species_Support!AT52*4))^S13_PSP_Species_Support!AU52)^2*(S13_PSP_Species_Support!AV52*(1-EXP(-S13_PSP_Species_Support!AW52*4))^S13_PSP_Species_Support!AX52))^0.976,0)+IFERROR(S13_PSP_Species_Support!BB52*0.0673*(S13_PSP_Species_Support!BC52*(S13_PSP_Species_Support!BD52*(1-EXP(-S13_PSP_Species_Support!BE52*4))^S13_PSP_Species_Support!BF52)^2*(S13_PSP_Species_Support!BG52*(1-EXP(-S13_PSP_Species_Support!BH52*4))^S13_PSP_Species_Support!BI52))^0.976,0)+IFERROR(S13_PSP_Species_Support!BM52*0.0673*(S13_PSP_Species_Support!BN52*(S13_PSP_Species_Support!BO52*(1-EXP(-S13_PSP_Species_Support!BP52*4))^S13_PSP_Species_Support!BQ52)^2*(S13_PSP_Species_Support!BR52*(1-EXP(-S13_PSP_Species_Support!BS52*4))^S13_PSP_Species_Support!BT52))^0.976,0)+IFERROR(S13_PSP_Species_Support!BX52*0.0673*(S13_PSP_Species_Support!BY52*(S13_PSP_Species_Support!BZ52*(1-EXP(-S13_PSP_Species_Support!CA52*4))^S13_PSP_Species_Support!CB52)^2*(S13_PSP_Species_Support!CC52*(1-EXP(-S13_PSP_Species_Support!CD52*4))^S13_PSP_Species_Support!CE52))^0.976,0)+IFERROR(S13_PSP_Species_Support!CI52*0.0673*(S13_PSP_Species_Support!CJ52*(S13_PSP_Species_Support!CK52*(1-EXP(-S13_PSP_Species_Support!CL52*4))^S13_PSP_Species_Support!CM52)^2*(S13_PSP_Species_Support!CN52*(1-EXP(-S13_PSP_Species_Support!CO52*4))^S13_PSP_Species_Support!CP52))^0.976,0)+IFERROR(S13_PSP_Species_Support!CT52*0.0673*(S13_PSP_Species_Support!CU52*(S13_PSP_Species_Support!CV52*(1-EXP(-S13_PSP_Species_Support!CW52*4))^S13_PSP_Species_Support!CX52)^2*(S13_PSP_Species_Support!CY52*(1-EXP(-S13_PSP_Species_Support!CZ52*4))^S13_PSP_Species_Support!DA52))^0.976,0))/1000/$G65*M$108,0)</x:f>
        <x:v>5.784847465399864</x:v>
      </x:c>
      <x:c r="N65" s="147" t="n">
        <x:f aca="0">IFERROR((IFERROR(S13_PSP_Species_Support!U52*0.0673*(S13_PSP_Species_Support!V52*(S13_PSP_Species_Support!W52*(1-EXP(-S13_PSP_Species_Support!X52*5))^S13_PSP_Species_Support!Y52)^2*(S13_PSP_Species_Support!Z52*(1-EXP(-S13_PSP_Species_Support!AA52*5))^S13_PSP_Species_Support!AB52))^0.976,0)+IFERROR(S13_PSP_Species_Support!AF52*0.0673*(S13_PSP_Species_Support!AG52*(S13_PSP_Species_Support!AH52*(1-EXP(-S13_PSP_Species_Support!AI52*5))^S13_PSP_Species_Support!AJ52)^2*(S13_PSP_Species_Support!AK52*(1-EXP(-S13_PSP_Species_Support!AL52*5))^S13_PSP_Species_Support!AM52))^0.976,0)+IFERROR(S13_PSP_Species_Support!AQ52*0.0673*(S13_PSP_Species_Support!AR52*(S13_PSP_Species_Support!AS52*(1-EXP(-S13_PSP_Species_Support!AT52*5))^S13_PSP_Species_Support!AU52)^2*(S13_PSP_Species_Support!AV52*(1-EXP(-S13_PSP_Species_Support!AW52*5))^S13_PSP_Species_Support!AX52))^0.976,0)+IFERROR(S13_PSP_Species_Support!BB52*0.0673*(S13_PSP_Species_Support!BC52*(S13_PSP_Species_Support!BD52*(1-EXP(-S13_PSP_Species_Support!BE52*5))^S13_PSP_Species_Support!BF52)^2*(S13_PSP_Species_Support!BG52*(1-EXP(-S13_PSP_Species_Support!BH52*5))^S13_PSP_Species_Support!BI52))^0.976,0)+IFERROR(S13_PSP_Species_Support!BM52*0.0673*(S13_PSP_Species_Support!BN52*(S13_PSP_Species_Support!BO52*(1-EXP(-S13_PSP_Species_Support!BP52*5))^S13_PSP_Species_Support!BQ52)^2*(S13_PSP_Species_Support!BR52*(1-EXP(-S13_PSP_Species_Support!BS52*5))^S13_PSP_Species_Support!BT52))^0.976,0)+IFERROR(S13_PSP_Species_Support!BX52*0.0673*(S13_PSP_Species_Support!BY52*(S13_PSP_Species_Support!BZ52*(1-EXP(-S13_PSP_Species_Support!CA52*5))^S13_PSP_Species_Support!CB52)^2*(S13_PSP_Species_Support!CC52*(1-EXP(-S13_PSP_Species_Support!CD52*5))^S13_PSP_Species_Support!CE52))^0.976,0)+IFERROR(S13_PSP_Species_Support!CI52*0.0673*(S13_PSP_Species_Support!CJ52*(S13_PSP_Species_Support!CK52*(1-EXP(-S13_PSP_Species_Support!CL52*5))^S13_PSP_Species_Support!CM52)^2*(S13_PSP_Species_Support!CN52*(1-EXP(-S13_PSP_Species_Support!CO52*5))^S13_PSP_Species_Support!CP52))^0.976,0)+IFERROR(S13_PSP_Species_Support!CT52*0.0673*(S13_PSP_Species_Support!CU52*(S13_PSP_Species_Support!CV52*(1-EXP(-S13_PSP_Species_Support!CW52*5))^S13_PSP_Species_Support!CX52)^2*(S13_PSP_Species_Support!CY52*(1-EXP(-S13_PSP_Species_Support!CZ52*5))^S13_PSP_Species_Support!DA52))^0.976,0))/1000/$G65*N$108,0)</x:f>
        <x:v>11.18254819911462</x:v>
      </x:c>
      <x:c r="O65" s="147" t="n">
        <x:f aca="0">IFERROR((IFERROR(S13_PSP_Species_Support!U52*0.0673*(S13_PSP_Species_Support!V52*(S13_PSP_Species_Support!W52*(1-EXP(-S13_PSP_Species_Support!X52*6))^S13_PSP_Species_Support!Y52)^2*(S13_PSP_Species_Support!Z52*(1-EXP(-S13_PSP_Species_Support!AA52*6))^S13_PSP_Species_Support!AB52))^0.976,0)+IFERROR(S13_PSP_Species_Support!AF52*0.0673*(S13_PSP_Species_Support!AG52*(S13_PSP_Species_Support!AH52*(1-EXP(-S13_PSP_Species_Support!AI52*6))^S13_PSP_Species_Support!AJ52)^2*(S13_PSP_Species_Support!AK52*(1-EXP(-S13_PSP_Species_Support!AL52*6))^S13_PSP_Species_Support!AM52))^0.976,0)+IFERROR(S13_PSP_Species_Support!AQ52*0.0673*(S13_PSP_Species_Support!AR52*(S13_PSP_Species_Support!AS52*(1-EXP(-S13_PSP_Species_Support!AT52*6))^S13_PSP_Species_Support!AU52)^2*(S13_PSP_Species_Support!AV52*(1-EXP(-S13_PSP_Species_Support!AW52*6))^S13_PSP_Species_Support!AX52))^0.976,0)+IFERROR(S13_PSP_Species_Support!BB52*0.0673*(S13_PSP_Species_Support!BC52*(S13_PSP_Species_Support!BD52*(1-EXP(-S13_PSP_Species_Support!BE52*6))^S13_PSP_Species_Support!BF52)^2*(S13_PSP_Species_Support!BG52*(1-EXP(-S13_PSP_Species_Support!BH52*6))^S13_PSP_Species_Support!BI52))^0.976,0)+IFERROR(S13_PSP_Species_Support!BM52*0.0673*(S13_PSP_Species_Support!BN52*(S13_PSP_Species_Support!BO52*(1-EXP(-S13_PSP_Species_Support!BP52*6))^S13_PSP_Species_Support!BQ52)^2*(S13_PSP_Species_Support!BR52*(1-EXP(-S13_PSP_Species_Support!BS52*6))^S13_PSP_Species_Support!BT52))^0.976,0)+IFERROR(S13_PSP_Species_Support!BX52*0.0673*(S13_PSP_Species_Support!BY52*(S13_PSP_Species_Support!BZ52*(1-EXP(-S13_PSP_Species_Support!CA52*6))^S13_PSP_Species_Support!CB52)^2*(S13_PSP_Species_Support!CC52*(1-EXP(-S13_PSP_Species_Support!CD52*6))^S13_PSP_Species_Support!CE52))^0.976,0)+IFERROR(S13_PSP_Species_Support!CI52*0.0673*(S13_PSP_Species_Support!CJ52*(S13_PSP_Species_Support!CK52*(1-EXP(-S13_PSP_Species_Support!CL52*6))^S13_PSP_Species_Support!CM52)^2*(S13_PSP_Species_Support!CN52*(1-EXP(-S13_PSP_Species_Support!CO52*6))^S13_PSP_Species_Support!CP52))^0.976,0)+IFERROR(S13_PSP_Species_Support!CT52*0.0673*(S13_PSP_Species_Support!CU52*(S13_PSP_Species_Support!CV52*(1-EXP(-S13_PSP_Species_Support!CW52*6))^S13_PSP_Species_Support!CX52)^2*(S13_PSP_Species_Support!CY52*(1-EXP(-S13_PSP_Species_Support!CZ52*6))^S13_PSP_Species_Support!DA52))^0.976,0))/1000/$G65*O$108,0)</x:f>
        <x:v>18.460760335745363</x:v>
      </x:c>
      <x:c r="P65" s="147" t="n">
        <x:f aca="0">IFERROR((IFERROR(S13_PSP_Species_Support!U52*0.0673*(S13_PSP_Species_Support!V52*(S13_PSP_Species_Support!W52*(1-EXP(-S13_PSP_Species_Support!X52*7))^S13_PSP_Species_Support!Y52)^2*(S13_PSP_Species_Support!Z52*(1-EXP(-S13_PSP_Species_Support!AA52*7))^S13_PSP_Species_Support!AB52))^0.976,0)+IFERROR(S13_PSP_Species_Support!AF52*0.0673*(S13_PSP_Species_Support!AG52*(S13_PSP_Species_Support!AH52*(1-EXP(-S13_PSP_Species_Support!AI52*7))^S13_PSP_Species_Support!AJ52)^2*(S13_PSP_Species_Support!AK52*(1-EXP(-S13_PSP_Species_Support!AL52*7))^S13_PSP_Species_Support!AM52))^0.976,0)+IFERROR(S13_PSP_Species_Support!AQ52*0.0673*(S13_PSP_Species_Support!AR52*(S13_PSP_Species_Support!AS52*(1-EXP(-S13_PSP_Species_Support!AT52*7))^S13_PSP_Species_Support!AU52)^2*(S13_PSP_Species_Support!AV52*(1-EXP(-S13_PSP_Species_Support!AW52*7))^S13_PSP_Species_Support!AX52))^0.976,0)+IFERROR(S13_PSP_Species_Support!BB52*0.0673*(S13_PSP_Species_Support!BC52*(S13_PSP_Species_Support!BD52*(1-EXP(-S13_PSP_Species_Support!BE52*7))^S13_PSP_Species_Support!BF52)^2*(S13_PSP_Species_Support!BG52*(1-EXP(-S13_PSP_Species_Support!BH52*7))^S13_PSP_Species_Support!BI52))^0.976,0)+IFERROR(S13_PSP_Species_Support!BM52*0.0673*(S13_PSP_Species_Support!BN52*(S13_PSP_Species_Support!BO52*(1-EXP(-S13_PSP_Species_Support!BP52*7))^S13_PSP_Species_Support!BQ52)^2*(S13_PSP_Species_Support!BR52*(1-EXP(-S13_PSP_Species_Support!BS52*7))^S13_PSP_Species_Support!BT52))^0.976,0)+IFERROR(S13_PSP_Species_Support!BX52*0.0673*(S13_PSP_Species_Support!BY52*(S13_PSP_Species_Support!BZ52*(1-EXP(-S13_PSP_Species_Support!CA52*7))^S13_PSP_Species_Support!CB52)^2*(S13_PSP_Species_Support!CC52*(1-EXP(-S13_PSP_Species_Support!CD52*7))^S13_PSP_Species_Support!CE52))^0.976,0)+IFERROR(S13_PSP_Species_Support!CI52*0.0673*(S13_PSP_Species_Support!CJ52*(S13_PSP_Species_Support!CK52*(1-EXP(-S13_PSP_Species_Support!CL52*7))^S13_PSP_Species_Support!CM52)^2*(S13_PSP_Species_Support!CN52*(1-EXP(-S13_PSP_Species_Support!CO52*7))^S13_PSP_Species_Support!CP52))^0.976,0)+IFERROR(S13_PSP_Species_Support!CT52*0.0673*(S13_PSP_Species_Support!CU52*(S13_PSP_Species_Support!CV52*(1-EXP(-S13_PSP_Species_Support!CW52*7))^S13_PSP_Species_Support!CX52)^2*(S13_PSP_Species_Support!CY52*(1-EXP(-S13_PSP_Species_Support!CZ52*7))^S13_PSP_Species_Support!DA52))^0.976,0))/1000/$G65*P$108,0)</x:f>
        <x:v>27.376717084765232</x:v>
      </x:c>
      <x:c r="Q65" s="147" t="n">
        <x:f aca="0">IFERROR((IFERROR(S13_PSP_Species_Support!U52*0.0673*(S13_PSP_Species_Support!V52*(S13_PSP_Species_Support!W52*(1-EXP(-S13_PSP_Species_Support!X52*8))^S13_PSP_Species_Support!Y52)^2*(S13_PSP_Species_Support!Z52*(1-EXP(-S13_PSP_Species_Support!AA52*8))^S13_PSP_Species_Support!AB52))^0.976,0)+IFERROR(S13_PSP_Species_Support!AF52*0.0673*(S13_PSP_Species_Support!AG52*(S13_PSP_Species_Support!AH52*(1-EXP(-S13_PSP_Species_Support!AI52*8))^S13_PSP_Species_Support!AJ52)^2*(S13_PSP_Species_Support!AK52*(1-EXP(-S13_PSP_Species_Support!AL52*8))^S13_PSP_Species_Support!AM52))^0.976,0)+IFERROR(S13_PSP_Species_Support!AQ52*0.0673*(S13_PSP_Species_Support!AR52*(S13_PSP_Species_Support!AS52*(1-EXP(-S13_PSP_Species_Support!AT52*8))^S13_PSP_Species_Support!AU52)^2*(S13_PSP_Species_Support!AV52*(1-EXP(-S13_PSP_Species_Support!AW52*8))^S13_PSP_Species_Support!AX52))^0.976,0)+IFERROR(S13_PSP_Species_Support!BB52*0.0673*(S13_PSP_Species_Support!BC52*(S13_PSP_Species_Support!BD52*(1-EXP(-S13_PSP_Species_Support!BE52*8))^S13_PSP_Species_Support!BF52)^2*(S13_PSP_Species_Support!BG52*(1-EXP(-S13_PSP_Species_Support!BH52*8))^S13_PSP_Species_Support!BI52))^0.976,0)+IFERROR(S13_PSP_Species_Support!BM52*0.0673*(S13_PSP_Species_Support!BN52*(S13_PSP_Species_Support!BO52*(1-EXP(-S13_PSP_Species_Support!BP52*8))^S13_PSP_Species_Support!BQ52)^2*(S13_PSP_Species_Support!BR52*(1-EXP(-S13_PSP_Species_Support!BS52*8))^S13_PSP_Species_Support!BT52))^0.976,0)+IFERROR(S13_PSP_Species_Support!BX52*0.0673*(S13_PSP_Species_Support!BY52*(S13_PSP_Species_Support!BZ52*(1-EXP(-S13_PSP_Species_Support!CA52*8))^S13_PSP_Species_Support!CB52)^2*(S13_PSP_Species_Support!CC52*(1-EXP(-S13_PSP_Species_Support!CD52*8))^S13_PSP_Species_Support!CE52))^0.976,0)+IFERROR(S13_PSP_Species_Support!CI52*0.0673*(S13_PSP_Species_Support!CJ52*(S13_PSP_Species_Support!CK52*(1-EXP(-S13_PSP_Species_Support!CL52*8))^S13_PSP_Species_Support!CM52)^2*(S13_PSP_Species_Support!CN52*(1-EXP(-S13_PSP_Species_Support!CO52*8))^S13_PSP_Species_Support!CP52))^0.976,0)+IFERROR(S13_PSP_Species_Support!CT52*0.0673*(S13_PSP_Species_Support!CU52*(S13_PSP_Species_Support!CV52*(1-EXP(-S13_PSP_Species_Support!CW52*8))^S13_PSP_Species_Support!CX52)^2*(S13_PSP_Species_Support!CY52*(1-EXP(-S13_PSP_Species_Support!CZ52*8))^S13_PSP_Species_Support!DA52))^0.976,0))/1000/$G65*Q$108,0)</x:f>
        <x:v>37.58660742205364</x:v>
      </x:c>
      <x:c r="R65" s="147" t="n">
        <x:f aca="0">IFERROR((IFERROR(S13_PSP_Species_Support!U52*0.0673*(S13_PSP_Species_Support!V52*(S13_PSP_Species_Support!W52*(1-EXP(-S13_PSP_Species_Support!X52*9))^S13_PSP_Species_Support!Y52)^2*(S13_PSP_Species_Support!Z52*(1-EXP(-S13_PSP_Species_Support!AA52*9))^S13_PSP_Species_Support!AB52))^0.976,0)+IFERROR(S13_PSP_Species_Support!AF52*0.0673*(S13_PSP_Species_Support!AG52*(S13_PSP_Species_Support!AH52*(1-EXP(-S13_PSP_Species_Support!AI52*9))^S13_PSP_Species_Support!AJ52)^2*(S13_PSP_Species_Support!AK52*(1-EXP(-S13_PSP_Species_Support!AL52*9))^S13_PSP_Species_Support!AM52))^0.976,0)+IFERROR(S13_PSP_Species_Support!AQ52*0.0673*(S13_PSP_Species_Support!AR52*(S13_PSP_Species_Support!AS52*(1-EXP(-S13_PSP_Species_Support!AT52*9))^S13_PSP_Species_Support!AU52)^2*(S13_PSP_Species_Support!AV52*(1-EXP(-S13_PSP_Species_Support!AW52*9))^S13_PSP_Species_Support!AX52))^0.976,0)+IFERROR(S13_PSP_Species_Support!BB52*0.0673*(S13_PSP_Species_Support!BC52*(S13_PSP_Species_Support!BD52*(1-EXP(-S13_PSP_Species_Support!BE52*9))^S13_PSP_Species_Support!BF52)^2*(S13_PSP_Species_Support!BG52*(1-EXP(-S13_PSP_Species_Support!BH52*9))^S13_PSP_Species_Support!BI52))^0.976,0)+IFERROR(S13_PSP_Species_Support!BM52*0.0673*(S13_PSP_Species_Support!BN52*(S13_PSP_Species_Support!BO52*(1-EXP(-S13_PSP_Species_Support!BP52*9))^S13_PSP_Species_Support!BQ52)^2*(S13_PSP_Species_Support!BR52*(1-EXP(-S13_PSP_Species_Support!BS52*9))^S13_PSP_Species_Support!BT52))^0.976,0)+IFERROR(S13_PSP_Species_Support!BX52*0.0673*(S13_PSP_Species_Support!BY52*(S13_PSP_Species_Support!BZ52*(1-EXP(-S13_PSP_Species_Support!CA52*9))^S13_PSP_Species_Support!CB52)^2*(S13_PSP_Species_Support!CC52*(1-EXP(-S13_PSP_Species_Support!CD52*9))^S13_PSP_Species_Support!CE52))^0.976,0)+IFERROR(S13_PSP_Species_Support!CI52*0.0673*(S13_PSP_Species_Support!CJ52*(S13_PSP_Species_Support!CK52*(1-EXP(-S13_PSP_Species_Support!CL52*9))^S13_PSP_Species_Support!CM52)^2*(S13_PSP_Species_Support!CN52*(1-EXP(-S13_PSP_Species_Support!CO52*9))^S13_PSP_Species_Support!CP52))^0.976,0)+IFERROR(S13_PSP_Species_Support!CT52*0.0673*(S13_PSP_Species_Support!CU52*(S13_PSP_Species_Support!CV52*(1-EXP(-S13_PSP_Species_Support!CW52*9))^S13_PSP_Species_Support!CX52)^2*(S13_PSP_Species_Support!CY52*(1-EXP(-S13_PSP_Species_Support!CZ52*9))^S13_PSP_Species_Support!DA52))^0.976,0))/1000/$G65*R$108,0)</x:f>
        <x:v>48.712422094104596</x:v>
      </x:c>
      <x:c r="S65" s="147" t="n">
        <x:f aca="0">IFERROR((IFERROR(S13_PSP_Species_Support!U52*0.0673*(S13_PSP_Species_Support!V52*(S13_PSP_Species_Support!W52*(1-EXP(-S13_PSP_Species_Support!X52*10))^S13_PSP_Species_Support!Y52)^2*(S13_PSP_Species_Support!Z52*(1-EXP(-S13_PSP_Species_Support!AA52*10))^S13_PSP_Species_Support!AB52))^0.976,0)+IFERROR(S13_PSP_Species_Support!AF52*0.0673*(S13_PSP_Species_Support!AG52*(S13_PSP_Species_Support!AH52*(1-EXP(-S13_PSP_Species_Support!AI52*10))^S13_PSP_Species_Support!AJ52)^2*(S13_PSP_Species_Support!AK52*(1-EXP(-S13_PSP_Species_Support!AL52*10))^S13_PSP_Species_Support!AM52))^0.976,0)+IFERROR(S13_PSP_Species_Support!AQ52*0.0673*(S13_PSP_Species_Support!AR52*(S13_PSP_Species_Support!AS52*(1-EXP(-S13_PSP_Species_Support!AT52*10))^S13_PSP_Species_Support!AU52)^2*(S13_PSP_Species_Support!AV52*(1-EXP(-S13_PSP_Species_Support!AW52*10))^S13_PSP_Species_Support!AX52))^0.976,0)+IFERROR(S13_PSP_Species_Support!BB52*0.0673*(S13_PSP_Species_Support!BC52*(S13_PSP_Species_Support!BD52*(1-EXP(-S13_PSP_Species_Support!BE52*10))^S13_PSP_Species_Support!BF52)^2*(S13_PSP_Species_Support!BG52*(1-EXP(-S13_PSP_Species_Support!BH52*10))^S13_PSP_Species_Support!BI52))^0.976,0)+IFERROR(S13_PSP_Species_Support!BM52*0.0673*(S13_PSP_Species_Support!BN52*(S13_PSP_Species_Support!BO52*(1-EXP(-S13_PSP_Species_Support!BP52*10))^S13_PSP_Species_Support!BQ52)^2*(S13_PSP_Species_Support!BR52*(1-EXP(-S13_PSP_Species_Support!BS52*10))^S13_PSP_Species_Support!BT52))^0.976,0)+IFERROR(S13_PSP_Species_Support!BX52*0.0673*(S13_PSP_Species_Support!BY52*(S13_PSP_Species_Support!BZ52*(1-EXP(-S13_PSP_Species_Support!CA52*10))^S13_PSP_Species_Support!CB52)^2*(S13_PSP_Species_Support!CC52*(1-EXP(-S13_PSP_Species_Support!CD52*10))^S13_PSP_Species_Support!CE52))^0.976,0)+IFERROR(S13_PSP_Species_Support!CI52*0.0673*(S13_PSP_Species_Support!CJ52*(S13_PSP_Species_Support!CK52*(1-EXP(-S13_PSP_Species_Support!CL52*10))^S13_PSP_Species_Support!CM52)^2*(S13_PSP_Species_Support!CN52*(1-EXP(-S13_PSP_Species_Support!CO52*10))^S13_PSP_Species_Support!CP52))^0.976,0)+IFERROR(S13_PSP_Species_Support!CT52*0.0673*(S13_PSP_Species_Support!CU52*(S13_PSP_Species_Support!CV52*(1-EXP(-S13_PSP_Species_Support!CW52*10))^S13_PSP_Species_Support!CX52)^2*(S13_PSP_Species_Support!CY52*(1-EXP(-S13_PSP_Species_Support!CZ52*10))^S13_PSP_Species_Support!DA52))^0.976,0))/1000/$G65*S$108,0)</x:f>
        <x:v>60.38757489918025</x:v>
      </x:c>
      <x:c r="T65" s="147" t="n">
        <x:f aca="0">IFERROR((IFERROR(S13_PSP_Species_Support!U52*0.0673*(S13_PSP_Species_Support!V52*(S13_PSP_Species_Support!W52*(1-EXP(-S13_PSP_Species_Support!X52*11))^S13_PSP_Species_Support!Y52)^2*(S13_PSP_Species_Support!Z52*(1-EXP(-S13_PSP_Species_Support!AA52*11))^S13_PSP_Species_Support!AB52))^0.976,0)+IFERROR(S13_PSP_Species_Support!AF52*0.0673*(S13_PSP_Species_Support!AG52*(S13_PSP_Species_Support!AH52*(1-EXP(-S13_PSP_Species_Support!AI52*11))^S13_PSP_Species_Support!AJ52)^2*(S13_PSP_Species_Support!AK52*(1-EXP(-S13_PSP_Species_Support!AL52*11))^S13_PSP_Species_Support!AM52))^0.976,0)+IFERROR(S13_PSP_Species_Support!AQ52*0.0673*(S13_PSP_Species_Support!AR52*(S13_PSP_Species_Support!AS52*(1-EXP(-S13_PSP_Species_Support!AT52*11))^S13_PSP_Species_Support!AU52)^2*(S13_PSP_Species_Support!AV52*(1-EXP(-S13_PSP_Species_Support!AW52*11))^S13_PSP_Species_Support!AX52))^0.976,0)+IFERROR(S13_PSP_Species_Support!BB52*0.0673*(S13_PSP_Species_Support!BC52*(S13_PSP_Species_Support!BD52*(1-EXP(-S13_PSP_Species_Support!BE52*11))^S13_PSP_Species_Support!BF52)^2*(S13_PSP_Species_Support!BG52*(1-EXP(-S13_PSP_Species_Support!BH52*11))^S13_PSP_Species_Support!BI52))^0.976,0)+IFERROR(S13_PSP_Species_Support!BM52*0.0673*(S13_PSP_Species_Support!BN52*(S13_PSP_Species_Support!BO52*(1-EXP(-S13_PSP_Species_Support!BP52*11))^S13_PSP_Species_Support!BQ52)^2*(S13_PSP_Species_Support!BR52*(1-EXP(-S13_PSP_Species_Support!BS52*11))^S13_PSP_Species_Support!BT52))^0.976,0)+IFERROR(S13_PSP_Species_Support!BX52*0.0673*(S13_PSP_Species_Support!BY52*(S13_PSP_Species_Support!BZ52*(1-EXP(-S13_PSP_Species_Support!CA52*11))^S13_PSP_Species_Support!CB52)^2*(S13_PSP_Species_Support!CC52*(1-EXP(-S13_PSP_Species_Support!CD52*11))^S13_PSP_Species_Support!CE52))^0.976,0)+IFERROR(S13_PSP_Species_Support!CI52*0.0673*(S13_PSP_Species_Support!CJ52*(S13_PSP_Species_Support!CK52*(1-EXP(-S13_PSP_Species_Support!CL52*11))^S13_PSP_Species_Support!CM52)^2*(S13_PSP_Species_Support!CN52*(1-EXP(-S13_PSP_Species_Support!CO52*11))^S13_PSP_Species_Support!CP52))^0.976,0)+IFERROR(S13_PSP_Species_Support!CT52*0.0673*(S13_PSP_Species_Support!CU52*(S13_PSP_Species_Support!CV52*(1-EXP(-S13_PSP_Species_Support!CW52*11))^S13_PSP_Species_Support!CX52)^2*(S13_PSP_Species_Support!CY52*(1-EXP(-S13_PSP_Species_Support!CZ52*11))^S13_PSP_Species_Support!DA52))^0.976,0))/1000/$G65*T$108,0)</x:f>
        <x:v>72.28410930085654</x:v>
      </x:c>
      <x:c r="U65" s="147" t="n">
        <x:f aca="0">IFERROR((IFERROR(S13_PSP_Species_Support!U52*0.0673*(S13_PSP_Species_Support!V52*(S13_PSP_Species_Support!W52*(1-EXP(-S13_PSP_Species_Support!X52*12))^S13_PSP_Species_Support!Y52)^2*(S13_PSP_Species_Support!Z52*(1-EXP(-S13_PSP_Species_Support!AA52*12))^S13_PSP_Species_Support!AB52))^0.976,0)+IFERROR(S13_PSP_Species_Support!AF52*0.0673*(S13_PSP_Species_Support!AG52*(S13_PSP_Species_Support!AH52*(1-EXP(-S13_PSP_Species_Support!AI52*12))^S13_PSP_Species_Support!AJ52)^2*(S13_PSP_Species_Support!AK52*(1-EXP(-S13_PSP_Species_Support!AL52*12))^S13_PSP_Species_Support!AM52))^0.976,0)+IFERROR(S13_PSP_Species_Support!AQ52*0.0673*(S13_PSP_Species_Support!AR52*(S13_PSP_Species_Support!AS52*(1-EXP(-S13_PSP_Species_Support!AT52*12))^S13_PSP_Species_Support!AU52)^2*(S13_PSP_Species_Support!AV52*(1-EXP(-S13_PSP_Species_Support!AW52*12))^S13_PSP_Species_Support!AX52))^0.976,0)+IFERROR(S13_PSP_Species_Support!BB52*0.0673*(S13_PSP_Species_Support!BC52*(S13_PSP_Species_Support!BD52*(1-EXP(-S13_PSP_Species_Support!BE52*12))^S13_PSP_Species_Support!BF52)^2*(S13_PSP_Species_Support!BG52*(1-EXP(-S13_PSP_Species_Support!BH52*12))^S13_PSP_Species_Support!BI52))^0.976,0)+IFERROR(S13_PSP_Species_Support!BM52*0.0673*(S13_PSP_Species_Support!BN52*(S13_PSP_Species_Support!BO52*(1-EXP(-S13_PSP_Species_Support!BP52*12))^S13_PSP_Species_Support!BQ52)^2*(S13_PSP_Species_Support!BR52*(1-EXP(-S13_PSP_Species_Support!BS52*12))^S13_PSP_Species_Support!BT52))^0.976,0)+IFERROR(S13_PSP_Species_Support!BX52*0.0673*(S13_PSP_Species_Support!BY52*(S13_PSP_Species_Support!BZ52*(1-EXP(-S13_PSP_Species_Support!CA52*12))^S13_PSP_Species_Support!CB52)^2*(S13_PSP_Species_Support!CC52*(1-EXP(-S13_PSP_Species_Support!CD52*12))^S13_PSP_Species_Support!CE52))^0.976,0)+IFERROR(S13_PSP_Species_Support!CI52*0.0673*(S13_PSP_Species_Support!CJ52*(S13_PSP_Species_Support!CK52*(1-EXP(-S13_PSP_Species_Support!CL52*12))^S13_PSP_Species_Support!CM52)^2*(S13_PSP_Species_Support!CN52*(1-EXP(-S13_PSP_Species_Support!CO52*12))^S13_PSP_Species_Support!CP52))^0.976,0)+IFERROR(S13_PSP_Species_Support!CT52*0.0673*(S13_PSP_Species_Support!CU52*(S13_PSP_Species_Support!CV52*(1-EXP(-S13_PSP_Species_Support!CW52*12))^S13_PSP_Species_Support!CX52)^2*(S13_PSP_Species_Support!CY52*(1-EXP(-S13_PSP_Species_Support!CZ52*12))^S13_PSP_Species_Support!DA52))^0.976,0))/1000/$G65*U$108,0)</x:f>
        <x:v>84.12599910761696</x:v>
      </x:c>
      <x:c r="V65" s="147" t="n">
        <x:f aca="0">IFERROR((IFERROR(S13_PSP_Species_Support!U52*0.0673*(S13_PSP_Species_Support!V52*(S13_PSP_Species_Support!W52*(1-EXP(-S13_PSP_Species_Support!X52*13))^S13_PSP_Species_Support!Y52)^2*(S13_PSP_Species_Support!Z52*(1-EXP(-S13_PSP_Species_Support!AA52*13))^S13_PSP_Species_Support!AB52))^0.976,0)+IFERROR(S13_PSP_Species_Support!AF52*0.0673*(S13_PSP_Species_Support!AG52*(S13_PSP_Species_Support!AH52*(1-EXP(-S13_PSP_Species_Support!AI52*13))^S13_PSP_Species_Support!AJ52)^2*(S13_PSP_Species_Support!AK52*(1-EXP(-S13_PSP_Species_Support!AL52*13))^S13_PSP_Species_Support!AM52))^0.976,0)+IFERROR(S13_PSP_Species_Support!AQ52*0.0673*(S13_PSP_Species_Support!AR52*(S13_PSP_Species_Support!AS52*(1-EXP(-S13_PSP_Species_Support!AT52*13))^S13_PSP_Species_Support!AU52)^2*(S13_PSP_Species_Support!AV52*(1-EXP(-S13_PSP_Species_Support!AW52*13))^S13_PSP_Species_Support!AX52))^0.976,0)+IFERROR(S13_PSP_Species_Support!BB52*0.0673*(S13_PSP_Species_Support!BC52*(S13_PSP_Species_Support!BD52*(1-EXP(-S13_PSP_Species_Support!BE52*13))^S13_PSP_Species_Support!BF52)^2*(S13_PSP_Species_Support!BG52*(1-EXP(-S13_PSP_Species_Support!BH52*13))^S13_PSP_Species_Support!BI52))^0.976,0)+IFERROR(S13_PSP_Species_Support!BM52*0.0673*(S13_PSP_Species_Support!BN52*(S13_PSP_Species_Support!BO52*(1-EXP(-S13_PSP_Species_Support!BP52*13))^S13_PSP_Species_Support!BQ52)^2*(S13_PSP_Species_Support!BR52*(1-EXP(-S13_PSP_Species_Support!BS52*13))^S13_PSP_Species_Support!BT52))^0.976,0)+IFERROR(S13_PSP_Species_Support!BX52*0.0673*(S13_PSP_Species_Support!BY52*(S13_PSP_Species_Support!BZ52*(1-EXP(-S13_PSP_Species_Support!CA52*13))^S13_PSP_Species_Support!CB52)^2*(S13_PSP_Species_Support!CC52*(1-EXP(-S13_PSP_Species_Support!CD52*13))^S13_PSP_Species_Support!CE52))^0.976,0)+IFERROR(S13_PSP_Species_Support!CI52*0.0673*(S13_PSP_Species_Support!CJ52*(S13_PSP_Species_Support!CK52*(1-EXP(-S13_PSP_Species_Support!CL52*13))^S13_PSP_Species_Support!CM52)^2*(S13_PSP_Species_Support!CN52*(1-EXP(-S13_PSP_Species_Support!CO52*13))^S13_PSP_Species_Support!CP52))^0.976,0)+IFERROR(S13_PSP_Species_Support!CT52*0.0673*(S13_PSP_Species_Support!CU52*(S13_PSP_Species_Support!CV52*(1-EXP(-S13_PSP_Species_Support!CW52*13))^S13_PSP_Species_Support!CX52)^2*(S13_PSP_Species_Support!CY52*(1-EXP(-S13_PSP_Species_Support!CZ52*13))^S13_PSP_Species_Support!DA52))^0.976,0))/1000/$G65*V$108,0)</x:f>
        <x:v>95.6929161192868</x:v>
      </x:c>
      <x:c r="W65" s="147" t="n">
        <x:f aca="0">IFERROR((IFERROR(S13_PSP_Species_Support!U52*0.0673*(S13_PSP_Species_Support!V52*(S13_PSP_Species_Support!W52*(1-EXP(-S13_PSP_Species_Support!X52*14))^S13_PSP_Species_Support!Y52)^2*(S13_PSP_Species_Support!Z52*(1-EXP(-S13_PSP_Species_Support!AA52*14))^S13_PSP_Species_Support!AB52))^0.976,0)+IFERROR(S13_PSP_Species_Support!AF52*0.0673*(S13_PSP_Species_Support!AG52*(S13_PSP_Species_Support!AH52*(1-EXP(-S13_PSP_Species_Support!AI52*14))^S13_PSP_Species_Support!AJ52)^2*(S13_PSP_Species_Support!AK52*(1-EXP(-S13_PSP_Species_Support!AL52*14))^S13_PSP_Species_Support!AM52))^0.976,0)+IFERROR(S13_PSP_Species_Support!AQ52*0.0673*(S13_PSP_Species_Support!AR52*(S13_PSP_Species_Support!AS52*(1-EXP(-S13_PSP_Species_Support!AT52*14))^S13_PSP_Species_Support!AU52)^2*(S13_PSP_Species_Support!AV52*(1-EXP(-S13_PSP_Species_Support!AW52*14))^S13_PSP_Species_Support!AX52))^0.976,0)+IFERROR(S13_PSP_Species_Support!BB52*0.0673*(S13_PSP_Species_Support!BC52*(S13_PSP_Species_Support!BD52*(1-EXP(-S13_PSP_Species_Support!BE52*14))^S13_PSP_Species_Support!BF52)^2*(S13_PSP_Species_Support!BG52*(1-EXP(-S13_PSP_Species_Support!BH52*14))^S13_PSP_Species_Support!BI52))^0.976,0)+IFERROR(S13_PSP_Species_Support!BM52*0.0673*(S13_PSP_Species_Support!BN52*(S13_PSP_Species_Support!BO52*(1-EXP(-S13_PSP_Species_Support!BP52*14))^S13_PSP_Species_Support!BQ52)^2*(S13_PSP_Species_Support!BR52*(1-EXP(-S13_PSP_Species_Support!BS52*14))^S13_PSP_Species_Support!BT52))^0.976,0)+IFERROR(S13_PSP_Species_Support!BX52*0.0673*(S13_PSP_Species_Support!BY52*(S13_PSP_Species_Support!BZ52*(1-EXP(-S13_PSP_Species_Support!CA52*14))^S13_PSP_Species_Support!CB52)^2*(S13_PSP_Species_Support!CC52*(1-EXP(-S13_PSP_Species_Support!CD52*14))^S13_PSP_Species_Support!CE52))^0.976,0)+IFERROR(S13_PSP_Species_Support!CI52*0.0673*(S13_PSP_Species_Support!CJ52*(S13_PSP_Species_Support!CK52*(1-EXP(-S13_PSP_Species_Support!CL52*14))^S13_PSP_Species_Support!CM52)^2*(S13_PSP_Species_Support!CN52*(1-EXP(-S13_PSP_Species_Support!CO52*14))^S13_PSP_Species_Support!CP52))^0.976,0)+IFERROR(S13_PSP_Species_Support!CT52*0.0673*(S13_PSP_Species_Support!CU52*(S13_PSP_Species_Support!CV52*(1-EXP(-S13_PSP_Species_Support!CW52*14))^S13_PSP_Species_Support!CX52)^2*(S13_PSP_Species_Support!CY52*(1-EXP(-S13_PSP_Species_Support!CZ52*14))^S13_PSP_Species_Support!DA52))^0.976,0))/1000/$G65*W$108,0)</x:f>
        <x:v>106.81803416115086</x:v>
      </x:c>
      <x:c r="X65" s="147" t="n">
        <x:f aca="0">IFERROR((IFERROR(S13_PSP_Species_Support!U52*0.0673*(S13_PSP_Species_Support!V52*(S13_PSP_Species_Support!W52*(1-EXP(-S13_PSP_Species_Support!X52*15))^S13_PSP_Species_Support!Y52)^2*(S13_PSP_Species_Support!Z52*(1-EXP(-S13_PSP_Species_Support!AA52*15))^S13_PSP_Species_Support!AB52))^0.976,0)+IFERROR(S13_PSP_Species_Support!AF52*0.0673*(S13_PSP_Species_Support!AG52*(S13_PSP_Species_Support!AH52*(1-EXP(-S13_PSP_Species_Support!AI52*15))^S13_PSP_Species_Support!AJ52)^2*(S13_PSP_Species_Support!AK52*(1-EXP(-S13_PSP_Species_Support!AL52*15))^S13_PSP_Species_Support!AM52))^0.976,0)+IFERROR(S13_PSP_Species_Support!AQ52*0.0673*(S13_PSP_Species_Support!AR52*(S13_PSP_Species_Support!AS52*(1-EXP(-S13_PSP_Species_Support!AT52*15))^S13_PSP_Species_Support!AU52)^2*(S13_PSP_Species_Support!AV52*(1-EXP(-S13_PSP_Species_Support!AW52*15))^S13_PSP_Species_Support!AX52))^0.976,0)+IFERROR(S13_PSP_Species_Support!BB52*0.0673*(S13_PSP_Species_Support!BC52*(S13_PSP_Species_Support!BD52*(1-EXP(-S13_PSP_Species_Support!BE52*15))^S13_PSP_Species_Support!BF52)^2*(S13_PSP_Species_Support!BG52*(1-EXP(-S13_PSP_Species_Support!BH52*15))^S13_PSP_Species_Support!BI52))^0.976,0)+IFERROR(S13_PSP_Species_Support!BM52*0.0673*(S13_PSP_Species_Support!BN52*(S13_PSP_Species_Support!BO52*(1-EXP(-S13_PSP_Species_Support!BP52*15))^S13_PSP_Species_Support!BQ52)^2*(S13_PSP_Species_Support!BR52*(1-EXP(-S13_PSP_Species_Support!BS52*15))^S13_PSP_Species_Support!BT52))^0.976,0)+IFERROR(S13_PSP_Species_Support!BX52*0.0673*(S13_PSP_Species_Support!BY52*(S13_PSP_Species_Support!BZ52*(1-EXP(-S13_PSP_Species_Support!CA52*15))^S13_PSP_Species_Support!CB52)^2*(S13_PSP_Species_Support!CC52*(1-EXP(-S13_PSP_Species_Support!CD52*15))^S13_PSP_Species_Support!CE52))^0.976,0)+IFERROR(S13_PSP_Species_Support!CI52*0.0673*(S13_PSP_Species_Support!CJ52*(S13_PSP_Species_Support!CK52*(1-EXP(-S13_PSP_Species_Support!CL52*15))^S13_PSP_Species_Support!CM52)^2*(S13_PSP_Species_Support!CN52*(1-EXP(-S13_PSP_Species_Support!CO52*15))^S13_PSP_Species_Support!CP52))^0.976,0)+IFERROR(S13_PSP_Species_Support!CT52*0.0673*(S13_PSP_Species_Support!CU52*(S13_PSP_Species_Support!CV52*(1-EXP(-S13_PSP_Species_Support!CW52*15))^S13_PSP_Species_Support!CX52)^2*(S13_PSP_Species_Support!CY52*(1-EXP(-S13_PSP_Species_Support!CZ52*15))^S13_PSP_Species_Support!DA52))^0.976,0))/1000/$G65*X$108,0)</x:f>
        <x:v>117.3825129354801</x:v>
      </x:c>
      <x:c r="Y65" s="147" t="n">
        <x:f aca="0">IFERROR((IFERROR(S13_PSP_Species_Support!U52*0.0673*(S13_PSP_Species_Support!V52*(S13_PSP_Species_Support!W52*(1-EXP(-S13_PSP_Species_Support!X52*16))^S13_PSP_Species_Support!Y52)^2*(S13_PSP_Species_Support!Z52*(1-EXP(-S13_PSP_Species_Support!AA52*16))^S13_PSP_Species_Support!AB52))^0.976,0)+IFERROR(S13_PSP_Species_Support!AF52*0.0673*(S13_PSP_Species_Support!AG52*(S13_PSP_Species_Support!AH52*(1-EXP(-S13_PSP_Species_Support!AI52*16))^S13_PSP_Species_Support!AJ52)^2*(S13_PSP_Species_Support!AK52*(1-EXP(-S13_PSP_Species_Support!AL52*16))^S13_PSP_Species_Support!AM52))^0.976,0)+IFERROR(S13_PSP_Species_Support!AQ52*0.0673*(S13_PSP_Species_Support!AR52*(S13_PSP_Species_Support!AS52*(1-EXP(-S13_PSP_Species_Support!AT52*16))^S13_PSP_Species_Support!AU52)^2*(S13_PSP_Species_Support!AV52*(1-EXP(-S13_PSP_Species_Support!AW52*16))^S13_PSP_Species_Support!AX52))^0.976,0)+IFERROR(S13_PSP_Species_Support!BB52*0.0673*(S13_PSP_Species_Support!BC52*(S13_PSP_Species_Support!BD52*(1-EXP(-S13_PSP_Species_Support!BE52*16))^S13_PSP_Species_Support!BF52)^2*(S13_PSP_Species_Support!BG52*(1-EXP(-S13_PSP_Species_Support!BH52*16))^S13_PSP_Species_Support!BI52))^0.976,0)+IFERROR(S13_PSP_Species_Support!BM52*0.0673*(S13_PSP_Species_Support!BN52*(S13_PSP_Species_Support!BO52*(1-EXP(-S13_PSP_Species_Support!BP52*16))^S13_PSP_Species_Support!BQ52)^2*(S13_PSP_Species_Support!BR52*(1-EXP(-S13_PSP_Species_Support!BS52*16))^S13_PSP_Species_Support!BT52))^0.976,0)+IFERROR(S13_PSP_Species_Support!BX52*0.0673*(S13_PSP_Species_Support!BY52*(S13_PSP_Species_Support!BZ52*(1-EXP(-S13_PSP_Species_Support!CA52*16))^S13_PSP_Species_Support!CB52)^2*(S13_PSP_Species_Support!CC52*(1-EXP(-S13_PSP_Species_Support!CD52*16))^S13_PSP_Species_Support!CE52))^0.976,0)+IFERROR(S13_PSP_Species_Support!CI52*0.0673*(S13_PSP_Species_Support!CJ52*(S13_PSP_Species_Support!CK52*(1-EXP(-S13_PSP_Species_Support!CL52*16))^S13_PSP_Species_Support!CM52)^2*(S13_PSP_Species_Support!CN52*(1-EXP(-S13_PSP_Species_Support!CO52*16))^S13_PSP_Species_Support!CP52))^0.976,0)+IFERROR(S13_PSP_Species_Support!CT52*0.0673*(S13_PSP_Species_Support!CU52*(S13_PSP_Species_Support!CV52*(1-EXP(-S13_PSP_Species_Support!CW52*16))^S13_PSP_Species_Support!CX52)^2*(S13_PSP_Species_Support!CY52*(1-EXP(-S13_PSP_Species_Support!CZ52*16))^S13_PSP_Species_Support!DA52))^0.976,0))/1000/$G65*Y$108,0)</x:f>
        <x:v>127.30848271936767</x:v>
      </x:c>
      <x:c r="Z65" s="147" t="n">
        <x:f aca="0">IFERROR((IFERROR(S13_PSP_Species_Support!U52*0.0673*(S13_PSP_Species_Support!V52*(S13_PSP_Species_Support!W52*(1-EXP(-S13_PSP_Species_Support!X52*17))^S13_PSP_Species_Support!Y52)^2*(S13_PSP_Species_Support!Z52*(1-EXP(-S13_PSP_Species_Support!AA52*17))^S13_PSP_Species_Support!AB52))^0.976,0)+IFERROR(S13_PSP_Species_Support!AF52*0.0673*(S13_PSP_Species_Support!AG52*(S13_PSP_Species_Support!AH52*(1-EXP(-S13_PSP_Species_Support!AI52*17))^S13_PSP_Species_Support!AJ52)^2*(S13_PSP_Species_Support!AK52*(1-EXP(-S13_PSP_Species_Support!AL52*17))^S13_PSP_Species_Support!AM52))^0.976,0)+IFERROR(S13_PSP_Species_Support!AQ52*0.0673*(S13_PSP_Species_Support!AR52*(S13_PSP_Species_Support!AS52*(1-EXP(-S13_PSP_Species_Support!AT52*17))^S13_PSP_Species_Support!AU52)^2*(S13_PSP_Species_Support!AV52*(1-EXP(-S13_PSP_Species_Support!AW52*17))^S13_PSP_Species_Support!AX52))^0.976,0)+IFERROR(S13_PSP_Species_Support!BB52*0.0673*(S13_PSP_Species_Support!BC52*(S13_PSP_Species_Support!BD52*(1-EXP(-S13_PSP_Species_Support!BE52*17))^S13_PSP_Species_Support!BF52)^2*(S13_PSP_Species_Support!BG52*(1-EXP(-S13_PSP_Species_Support!BH52*17))^S13_PSP_Species_Support!BI52))^0.976,0)+IFERROR(S13_PSP_Species_Support!BM52*0.0673*(S13_PSP_Species_Support!BN52*(S13_PSP_Species_Support!BO52*(1-EXP(-S13_PSP_Species_Support!BP52*17))^S13_PSP_Species_Support!BQ52)^2*(S13_PSP_Species_Support!BR52*(1-EXP(-S13_PSP_Species_Support!BS52*17))^S13_PSP_Species_Support!BT52))^0.976,0)+IFERROR(S13_PSP_Species_Support!BX52*0.0673*(S13_PSP_Species_Support!BY52*(S13_PSP_Species_Support!BZ52*(1-EXP(-S13_PSP_Species_Support!CA52*17))^S13_PSP_Species_Support!CB52)^2*(S13_PSP_Species_Support!CC52*(1-EXP(-S13_PSP_Species_Support!CD52*17))^S13_PSP_Species_Support!CE52))^0.976,0)+IFERROR(S13_PSP_Species_Support!CI52*0.0673*(S13_PSP_Species_Support!CJ52*(S13_PSP_Species_Support!CK52*(1-EXP(-S13_PSP_Species_Support!CL52*17))^S13_PSP_Species_Support!CM52)^2*(S13_PSP_Species_Support!CN52*(1-EXP(-S13_PSP_Species_Support!CO52*17))^S13_PSP_Species_Support!CP52))^0.976,0)+IFERROR(S13_PSP_Species_Support!CT52*0.0673*(S13_PSP_Species_Support!CU52*(S13_PSP_Species_Support!CV52*(1-EXP(-S13_PSP_Species_Support!CW52*17))^S13_PSP_Species_Support!CX52)^2*(S13_PSP_Species_Support!CY52*(1-EXP(-S13_PSP_Species_Support!CZ52*17))^S13_PSP_Species_Support!DA52))^0.976,0))/1000/$G65*Z$108,0)</x:f>
        <x:v>136.551702293435</x:v>
      </x:c>
      <x:c r="AA65" s="147" t="n">
        <x:f aca="0">IFERROR((IFERROR(S13_PSP_Species_Support!U52*0.0673*(S13_PSP_Species_Support!V52*(S13_PSP_Species_Support!W52*(1-EXP(-S13_PSP_Species_Support!X52*18))^S13_PSP_Species_Support!Y52)^2*(S13_PSP_Species_Support!Z52*(1-EXP(-S13_PSP_Species_Support!AA52*18))^S13_PSP_Species_Support!AB52))^0.976,0)+IFERROR(S13_PSP_Species_Support!AF52*0.0673*(S13_PSP_Species_Support!AG52*(S13_PSP_Species_Support!AH52*(1-EXP(-S13_PSP_Species_Support!AI52*18))^S13_PSP_Species_Support!AJ52)^2*(S13_PSP_Species_Support!AK52*(1-EXP(-S13_PSP_Species_Support!AL52*18))^S13_PSP_Species_Support!AM52))^0.976,0)+IFERROR(S13_PSP_Species_Support!AQ52*0.0673*(S13_PSP_Species_Support!AR52*(S13_PSP_Species_Support!AS52*(1-EXP(-S13_PSP_Species_Support!AT52*18))^S13_PSP_Species_Support!AU52)^2*(S13_PSP_Species_Support!AV52*(1-EXP(-S13_PSP_Species_Support!AW52*18))^S13_PSP_Species_Support!AX52))^0.976,0)+IFERROR(S13_PSP_Species_Support!BB52*0.0673*(S13_PSP_Species_Support!BC52*(S13_PSP_Species_Support!BD52*(1-EXP(-S13_PSP_Species_Support!BE52*18))^S13_PSP_Species_Support!BF52)^2*(S13_PSP_Species_Support!BG52*(1-EXP(-S13_PSP_Species_Support!BH52*18))^S13_PSP_Species_Support!BI52))^0.976,0)+IFERROR(S13_PSP_Species_Support!BM52*0.0673*(S13_PSP_Species_Support!BN52*(S13_PSP_Species_Support!BO52*(1-EXP(-S13_PSP_Species_Support!BP52*18))^S13_PSP_Species_Support!BQ52)^2*(S13_PSP_Species_Support!BR52*(1-EXP(-S13_PSP_Species_Support!BS52*18))^S13_PSP_Species_Support!BT52))^0.976,0)+IFERROR(S13_PSP_Species_Support!BX52*0.0673*(S13_PSP_Species_Support!BY52*(S13_PSP_Species_Support!BZ52*(1-EXP(-S13_PSP_Species_Support!CA52*18))^S13_PSP_Species_Support!CB52)^2*(S13_PSP_Species_Support!CC52*(1-EXP(-S13_PSP_Species_Support!CD52*18))^S13_PSP_Species_Support!CE52))^0.976,0)+IFERROR(S13_PSP_Species_Support!CI52*0.0673*(S13_PSP_Species_Support!CJ52*(S13_PSP_Species_Support!CK52*(1-EXP(-S13_PSP_Species_Support!CL52*18))^S13_PSP_Species_Support!CM52)^2*(S13_PSP_Species_Support!CN52*(1-EXP(-S13_PSP_Species_Support!CO52*18))^S13_PSP_Species_Support!CP52))^0.976,0)+IFERROR(S13_PSP_Species_Support!CT52*0.0673*(S13_PSP_Species_Support!CU52*(S13_PSP_Species_Support!CV52*(1-EXP(-S13_PSP_Species_Support!CW52*18))^S13_PSP_Species_Support!CX52)^2*(S13_PSP_Species_Support!CY52*(1-EXP(-S13_PSP_Species_Support!CZ52*18))^S13_PSP_Species_Support!DA52))^0.976,0))/1000/$G65*AA$108,0)</x:f>
        <x:v>145.0945874546503</x:v>
      </x:c>
      <x:c r="AB65" s="147" t="n">
        <x:f aca="0">IFERROR((IFERROR(S13_PSP_Species_Support!U52*0.0673*(S13_PSP_Species_Support!V52*(S13_PSP_Species_Support!W52*(1-EXP(-S13_PSP_Species_Support!X52*19))^S13_PSP_Species_Support!Y52)^2*(S13_PSP_Species_Support!Z52*(1-EXP(-S13_PSP_Species_Support!AA52*19))^S13_PSP_Species_Support!AB52))^0.976,0)+IFERROR(S13_PSP_Species_Support!AF52*0.0673*(S13_PSP_Species_Support!AG52*(S13_PSP_Species_Support!AH52*(1-EXP(-S13_PSP_Species_Support!AI52*19))^S13_PSP_Species_Support!AJ52)^2*(S13_PSP_Species_Support!AK52*(1-EXP(-S13_PSP_Species_Support!AL52*19))^S13_PSP_Species_Support!AM52))^0.976,0)+IFERROR(S13_PSP_Species_Support!AQ52*0.0673*(S13_PSP_Species_Support!AR52*(S13_PSP_Species_Support!AS52*(1-EXP(-S13_PSP_Species_Support!AT52*19))^S13_PSP_Species_Support!AU52)^2*(S13_PSP_Species_Support!AV52*(1-EXP(-S13_PSP_Species_Support!AW52*19))^S13_PSP_Species_Support!AX52))^0.976,0)+IFERROR(S13_PSP_Species_Support!BB52*0.0673*(S13_PSP_Species_Support!BC52*(S13_PSP_Species_Support!BD52*(1-EXP(-S13_PSP_Species_Support!BE52*19))^S13_PSP_Species_Support!BF52)^2*(S13_PSP_Species_Support!BG52*(1-EXP(-S13_PSP_Species_Support!BH52*19))^S13_PSP_Species_Support!BI52))^0.976,0)+IFERROR(S13_PSP_Species_Support!BM52*0.0673*(S13_PSP_Species_Support!BN52*(S13_PSP_Species_Support!BO52*(1-EXP(-S13_PSP_Species_Support!BP52*19))^S13_PSP_Species_Support!BQ52)^2*(S13_PSP_Species_Support!BR52*(1-EXP(-S13_PSP_Species_Support!BS52*19))^S13_PSP_Species_Support!BT52))^0.976,0)+IFERROR(S13_PSP_Species_Support!BX52*0.0673*(S13_PSP_Species_Support!BY52*(S13_PSP_Species_Support!BZ52*(1-EXP(-S13_PSP_Species_Support!CA52*19))^S13_PSP_Species_Support!CB52)^2*(S13_PSP_Species_Support!CC52*(1-EXP(-S13_PSP_Species_Support!CD52*19))^S13_PSP_Species_Support!CE52))^0.976,0)+IFERROR(S13_PSP_Species_Support!CI52*0.0673*(S13_PSP_Species_Support!CJ52*(S13_PSP_Species_Support!CK52*(1-EXP(-S13_PSP_Species_Support!CL52*19))^S13_PSP_Species_Support!CM52)^2*(S13_PSP_Species_Support!CN52*(1-EXP(-S13_PSP_Species_Support!CO52*19))^S13_PSP_Species_Support!CP52))^0.976,0)+IFERROR(S13_PSP_Species_Support!CT52*0.0673*(S13_PSP_Species_Support!CU52*(S13_PSP_Species_Support!CV52*(1-EXP(-S13_PSP_Species_Support!CW52*19))^S13_PSP_Species_Support!CX52)^2*(S13_PSP_Species_Support!CY52*(1-EXP(-S13_PSP_Species_Support!CZ52*19))^S13_PSP_Species_Support!DA52))^0.976,0))/1000/$G65*AB$108,0)</x:f>
        <x:v>152.9399789066446</x:v>
      </x:c>
      <x:c r="AC65" s="147" t="n">
        <x:f aca="0">IFERROR((IFERROR(S13_PSP_Species_Support!U52*0.0673*(S13_PSP_Species_Support!V52*(S13_PSP_Species_Support!W52*(1-EXP(-S13_PSP_Species_Support!X52*20))^S13_PSP_Species_Support!Y52)^2*(S13_PSP_Species_Support!Z52*(1-EXP(-S13_PSP_Species_Support!AA52*20))^S13_PSP_Species_Support!AB52))^0.976,0)+IFERROR(S13_PSP_Species_Support!AF52*0.0673*(S13_PSP_Species_Support!AG52*(S13_PSP_Species_Support!AH52*(1-EXP(-S13_PSP_Species_Support!AI52*20))^S13_PSP_Species_Support!AJ52)^2*(S13_PSP_Species_Support!AK52*(1-EXP(-S13_PSP_Species_Support!AL52*20))^S13_PSP_Species_Support!AM52))^0.976,0)+IFERROR(S13_PSP_Species_Support!AQ52*0.0673*(S13_PSP_Species_Support!AR52*(S13_PSP_Species_Support!AS52*(1-EXP(-S13_PSP_Species_Support!AT52*20))^S13_PSP_Species_Support!AU52)^2*(S13_PSP_Species_Support!AV52*(1-EXP(-S13_PSP_Species_Support!AW52*20))^S13_PSP_Species_Support!AX52))^0.976,0)+IFERROR(S13_PSP_Species_Support!BB52*0.0673*(S13_PSP_Species_Support!BC52*(S13_PSP_Species_Support!BD52*(1-EXP(-S13_PSP_Species_Support!BE52*20))^S13_PSP_Species_Support!BF52)^2*(S13_PSP_Species_Support!BG52*(1-EXP(-S13_PSP_Species_Support!BH52*20))^S13_PSP_Species_Support!BI52))^0.976,0)+IFERROR(S13_PSP_Species_Support!BM52*0.0673*(S13_PSP_Species_Support!BN52*(S13_PSP_Species_Support!BO52*(1-EXP(-S13_PSP_Species_Support!BP52*20))^S13_PSP_Species_Support!BQ52)^2*(S13_PSP_Species_Support!BR52*(1-EXP(-S13_PSP_Species_Support!BS52*20))^S13_PSP_Species_Support!BT52))^0.976,0)+IFERROR(S13_PSP_Species_Support!BX52*0.0673*(S13_PSP_Species_Support!BY52*(S13_PSP_Species_Support!BZ52*(1-EXP(-S13_PSP_Species_Support!CA52*20))^S13_PSP_Species_Support!CB52)^2*(S13_PSP_Species_Support!CC52*(1-EXP(-S13_PSP_Species_Support!CD52*20))^S13_PSP_Species_Support!CE52))^0.976,0)+IFERROR(S13_PSP_Species_Support!CI52*0.0673*(S13_PSP_Species_Support!CJ52*(S13_PSP_Species_Support!CK52*(1-EXP(-S13_PSP_Species_Support!CL52*20))^S13_PSP_Species_Support!CM52)^2*(S13_PSP_Species_Support!CN52*(1-EXP(-S13_PSP_Species_Support!CO52*20))^S13_PSP_Species_Support!CP52))^0.976,0)+IFERROR(S13_PSP_Species_Support!CT52*0.0673*(S13_PSP_Species_Support!CU52*(S13_PSP_Species_Support!CV52*(1-EXP(-S13_PSP_Species_Support!CW52*20))^S13_PSP_Species_Support!CX52)^2*(S13_PSP_Species_Support!CY52*(1-EXP(-S13_PSP_Species_Support!CZ52*20))^S13_PSP_Species_Support!DA52))^0.976,0))/1000/$G65*AC$108,0)</x:f>
        <x:v>160.10580277473102</x:v>
      </x:c>
      <x:c r="AD65" s="148" t="n">
        <x:f aca="0">IF(2020&lt;$F65,0,INDEX($I65:$AC65,1,2020-$F65+1))</x:f>
        <x:v>0</x:v>
      </x:c>
      <x:c r="AE65" s="148" t="n">
        <x:f aca="0">IF(2021&lt;$F65,0,INDEX($I65:$AC65,1,2021-$F65+1))</x:f>
        <x:v>0.04846818675568249</x:v>
      </x:c>
      <x:c r="AF65" s="148" t="n">
        <x:f aca="0">IF(2022&lt;$F65,0,INDEX($I65:$AC65,1,2022-$F65+1))</x:f>
        <x:v>0.5921476075575364</x:v>
      </x:c>
      <x:c r="AG65" s="148" t="n">
        <x:f aca="0">IF(2023&lt;$F65,0,INDEX($I65:$AC65,1,2023-$F65+1))</x:f>
        <x:v>2.3243727058964554</x:v>
      </x:c>
      <x:c r="AH65" s="148" t="n">
        <x:f aca="0">IF(2024&lt;$F65,0,INDEX($I65:$AC65,1,2024-$F65+1))</x:f>
        <x:v>5.784847465399864</x:v>
      </x:c>
      <x:c r="AI65" s="148" t="n">
        <x:f aca="0">IF(2025&lt;$F65,0,INDEX($I65:$AC65,1,2025-$F65+1))</x:f>
        <x:v>11.18254819911462</x:v>
      </x:c>
      <x:c r="AJ65" s="148" t="n">
        <x:f aca="0">IF(2026&lt;$F65,0,INDEX($I65:$AC65,1,2026-$F65+1))</x:f>
        <x:v>18.460760335745363</x:v>
      </x:c>
      <x:c r="AK65" s="148" t="n">
        <x:f aca="0">IF(2027&lt;$F65,0,INDEX($I65:$AC65,1,2027-$F65+1))</x:f>
        <x:v>27.376717084765232</x:v>
      </x:c>
      <x:c r="AL65" s="148" t="n">
        <x:f aca="0">IF(2028&lt;$F65,0,INDEX($I65:$AC65,1,2028-$F65+1))</x:f>
        <x:v>37.58660742205364</x:v>
      </x:c>
      <x:c r="AM65" s="148" t="n">
        <x:f aca="0">IF(2029&lt;$F65,0,INDEX($I65:$AC65,1,2029-$F65+1))</x:f>
        <x:v>48.712422094104596</x:v>
      </x:c>
      <x:c r="AN65" s="148" t="n">
        <x:f aca="0">IF(2030&lt;$F65,0,INDEX($I65:$AC65,1,2030-$F65+1))</x:f>
        <x:v>60.38757489918025</x:v>
      </x:c>
      <x:c r="AO65" s="148" t="n">
        <x:f aca="0">IF(2031&lt;$F65,0,INDEX($I65:$AC65,1,2031-$F65+1))</x:f>
        <x:v>72.28410930085654</x:v>
      </x:c>
      <x:c r="AP65" s="148" t="n">
        <x:f aca="0">IF(2032&lt;$F65,0,INDEX($I65:$AC65,1,2032-$F65+1))</x:f>
        <x:v>84.12599910761696</x:v>
      </x:c>
      <x:c r="AQ65" s="148" t="n">
        <x:f aca="0">IF(2033&lt;$F65,0,INDEX($I65:$AC65,1,2033-$F65+1))</x:f>
        <x:v>95.6929161192868</x:v>
      </x:c>
      <x:c r="AR65" s="148" t="n">
        <x:f aca="0">IF(2034&lt;$F65,0,INDEX($I65:$AC65,1,2034-$F65+1))</x:f>
        <x:v>106.81803416115086</x:v>
      </x:c>
      <x:c r="AS65" s="148" t="n">
        <x:f aca="0">IF(2035&lt;$F65,0,INDEX($I65:$AC65,1,2035-$F65+1))</x:f>
        <x:v>117.3825129354801</x:v>
      </x:c>
      <x:c r="AT65" s="148" t="n">
        <x:f aca="0">IF(2036&lt;$F65,0,INDEX($I65:$AC65,1,2036-$F65+1))</x:f>
        <x:v>127.30848271936767</x:v>
      </x:c>
      <x:c r="AU65" s="148" t="n">
        <x:f aca="0">IF(2037&lt;$F65,0,INDEX($I65:$AC65,1,2037-$F65+1))</x:f>
        <x:v>136.551702293435</x:v>
      </x:c>
      <x:c r="AV65" s="148" t="n">
        <x:f aca="0">IF(2038&lt;$F65,0,INDEX($I65:$AC65,1,2038-$F65+1))</x:f>
        <x:v>145.0945874546503</x:v>
      </x:c>
      <x:c r="AW65" s="148" t="n">
        <x:f aca="0">IF(2039&lt;$F65,0,INDEX($I65:$AC65,1,2039-$F65+1))</x:f>
        <x:v>152.9399789066446</x:v>
      </x:c>
      <x:c r="AX65" s="148" t="n">
        <x:f aca="0">IF(2040&lt;$F65,0,INDEX($I65:$AC65,1,2040-$F65+1))</x:f>
        <x:v>160.10580277473102</x:v>
      </x:c>
      <x:c r="AY65" s="1" t="str">
        <x:f aca="0">LEFT($C65,FIND("@",SUBSTITUTE($C65,"|","@",2))-1)</x:f>
        <x:v>Timber Plantation|Low</x:v>
      </x:c>
      <x:c r="AZ65" s="1" t="str">
        <x:f aca="0">LEFT($C65,FIND("|",$C65)-1)</x:f>
        <x:v>Timber Plantation</x:v>
      </x:c>
      <x:c r="BA65" s="149" t="n">
        <x:f aca="0">I65*I65</x:f>
        <x:v>0</x:v>
      </x:c>
      <x:c r="BB65" s="149" t="n">
        <x:f aca="0">J65*J65</x:f>
        <x:v>0.002349165127383716</x:v>
      </x:c>
      <x:c r="BC65" s="149" t="n">
        <x:f aca="0">K65*K65</x:f>
        <x:v>0.3506387891361141</x:v>
      </x:c>
      <x:c r="BD65" s="149" t="n">
        <x:f aca="0">L65*L65</x:f>
        <x:v>5.40270847591641</x:v>
      </x:c>
      <x:c r="BE65" s="149" t="n">
        <x:f aca="0">M65*M65</x:f>
        <x:v>33.464460197943225</x:v>
      </x:c>
      <x:c r="BF65" s="149" t="n">
        <x:f aca="0">N65*N65</x:f>
        <x:v>125.04938422552165</x:v>
      </x:c>
      <x:c r="BG65" s="149" t="n">
        <x:f aca="0">O65*O65</x:f>
        <x:v>340.7996721738292</x:v>
      </x:c>
      <x:c r="BH65" s="149" t="n">
        <x:f aca="0">P65*P65</x:f>
        <x:v>749.4846383392766</x:v>
      </x:c>
      <x:c r="BI65" s="149" t="n">
        <x:f aca="0">Q65*Q65</x:f>
        <x:v>1412.7530574995776</x:v>
      </x:c>
      <x:c r="BJ65" s="149" t="n">
        <x:f aca="0">R65*R65</x:f>
        <x:v>2372.9000662742096</x:v>
      </x:c>
      <x:c r="BK65" s="149" t="n">
        <x:f aca="0">S65*S65</x:f>
        <x:v>3646.6592022041045</x:v>
      </x:c>
      <x:c r="BL65" s="149" t="n">
        <x:f aca="0">T65*T65</x:f>
        <x:v>5224.992457418175</x:v>
      </x:c>
      <x:c r="BM65" s="149" t="n">
        <x:f aca="0">U65*U65</x:f>
        <x:v>7077.18372585477</x:v>
      </x:c>
      <x:c r="BN65" s="149" t="n">
        <x:f aca="0">V65*V65</x:f>
        <x:v>9157.13419541286</x:v>
      </x:c>
      <x:c r="BO65" s="149" t="n">
        <x:f aca="0">W65*W65</x:f>
        <x:v>11410.092422052792</x:v>
      </x:c>
      <x:c r="BP65" s="149" t="n">
        <x:f aca="0">X65*X65</x:f>
        <x:v>13778.65434304815</x:v>
      </x:c>
      <x:c r="BQ65" s="149" t="n">
        <x:f aca="0">Y65*Y65</x:f>
        <x:v>16207.449772307538</x:v>
      </x:c>
      <x:c r="BR65" s="149" t="n">
        <x:f aca="0">Z65*Z65</x:f>
        <x:v>18646.367399234903</x:v>
      </x:c>
      <x:c r="BS65" s="149" t="n">
        <x:f aca="0">AA65*AA65</x:f>
        <x:v>21052.439308635167</x:v>
      </x:c>
      <x:c r="BT65" s="149" t="n">
        <x:f aca="0">AB65*AB65</x:f>
        <x:v>23390.637147964895</x:v>
      </x:c>
      <x:c r="BU65" s="149" t="n">
        <x:f aca="0">AC65*AC65</x:f>
        <x:v>25633.868082141067</x:v>
      </x:c>
    </x:row>
    <x:row r="66" ht="15" hidden="0" customHeight="1">
      <x:c r="A66" s="1" t="str">
        <x:f aca="0">S13_PSP_Species_Support!A53</x:f>
        <x:v>PSP-TP-012</x:v>
      </x:c>
      <x:c r="B66" s="1" t="n">
        <x:f aca="0">53</x:f>
        <x:v>53</x:v>
      </x:c>
      <x:c r="C66" s="1" t="str">
        <x:f aca="0">S13_PSP_Species_Support!I53</x:f>
        <x:v>Timber Plantation|Medium|2020</x:v>
      </x:c>
      <x:c r="D66" s="1" t="str">
        <x:f aca="0">S13_PSP_Species_Support!C53</x:f>
        <x:v>Timber Plantation</x:v>
      </x:c>
      <x:c r="E66" s="1" t="str">
        <x:f aca="0">S13_PSP_Species_Support!D53</x:f>
        <x:v>Medium</x:v>
      </x:c>
      <x:c r="F66" s="1" t="n">
        <x:f aca="0">S13_PSP_Species_Support!E53</x:f>
        <x:v>2020</x:v>
      </x:c>
      <x:c r="G66" s="645" t="n">
        <x:f aca="0">'S13_PSP_Species_Support'!DJ53</x:f>
        <x:v>0.09</x:v>
      </x:c>
      <x:c r="H66" s="714" t="n">
        <x:f aca="0">'S13_PSP_Species_Support'!DK53</x:f>
        <x:v>66.26213592233009</x:v>
      </x:c>
      <x:c r="I66" s="147" t="n">
        <x:f aca="0">IFERROR((IFERROR(S13_PSP_Species_Support!U53*0.0673*(S13_PSP_Species_Support!V53*(S13_PSP_Species_Support!W53*(1-EXP(-S13_PSP_Species_Support!X53*0))^S13_PSP_Species_Support!Y53)^2*(S13_PSP_Species_Support!Z53*(1-EXP(-S13_PSP_Species_Support!AA53*0))^S13_PSP_Species_Support!AB53))^0.976,0)+IFERROR(S13_PSP_Species_Support!AF53*0.0673*(S13_PSP_Species_Support!AG53*(S13_PSP_Species_Support!AH53*(1-EXP(-S13_PSP_Species_Support!AI53*0))^S13_PSP_Species_Support!AJ53)^2*(S13_PSP_Species_Support!AK53*(1-EXP(-S13_PSP_Species_Support!AL53*0))^S13_PSP_Species_Support!AM53))^0.976,0)+IFERROR(S13_PSP_Species_Support!AQ53*0.0673*(S13_PSP_Species_Support!AR53*(S13_PSP_Species_Support!AS53*(1-EXP(-S13_PSP_Species_Support!AT53*0))^S13_PSP_Species_Support!AU53)^2*(S13_PSP_Species_Support!AV53*(1-EXP(-S13_PSP_Species_Support!AW53*0))^S13_PSP_Species_Support!AX53))^0.976,0)+IFERROR(S13_PSP_Species_Support!BB53*0.0673*(S13_PSP_Species_Support!BC53*(S13_PSP_Species_Support!BD53*(1-EXP(-S13_PSP_Species_Support!BE53*0))^S13_PSP_Species_Support!BF53)^2*(S13_PSP_Species_Support!BG53*(1-EXP(-S13_PSP_Species_Support!BH53*0))^S13_PSP_Species_Support!BI53))^0.976,0)+IFERROR(S13_PSP_Species_Support!BM53*0.0673*(S13_PSP_Species_Support!BN53*(S13_PSP_Species_Support!BO53*(1-EXP(-S13_PSP_Species_Support!BP53*0))^S13_PSP_Species_Support!BQ53)^2*(S13_PSP_Species_Support!BR53*(1-EXP(-S13_PSP_Species_Support!BS53*0))^S13_PSP_Species_Support!BT53))^0.976,0)+IFERROR(S13_PSP_Species_Support!BX53*0.0673*(S13_PSP_Species_Support!BY53*(S13_PSP_Species_Support!BZ53*(1-EXP(-S13_PSP_Species_Support!CA53*0))^S13_PSP_Species_Support!CB53)^2*(S13_PSP_Species_Support!CC53*(1-EXP(-S13_PSP_Species_Support!CD53*0))^S13_PSP_Species_Support!CE53))^0.976,0)+IFERROR(S13_PSP_Species_Support!CI53*0.0673*(S13_PSP_Species_Support!CJ53*(S13_PSP_Species_Support!CK53*(1-EXP(-S13_PSP_Species_Support!CL53*0))^S13_PSP_Species_Support!CM53)^2*(S13_PSP_Species_Support!CN53*(1-EXP(-S13_PSP_Species_Support!CO53*0))^S13_PSP_Species_Support!CP53))^0.976,0)+IFERROR(S13_PSP_Species_Support!CT53*0.0673*(S13_PSP_Species_Support!CU53*(S13_PSP_Species_Support!CV53*(1-EXP(-S13_PSP_Species_Support!CW53*0))^S13_PSP_Species_Support!CX53)^2*(S13_PSP_Species_Support!CY53*(1-EXP(-S13_PSP_Species_Support!CZ53*0))^S13_PSP_Species_Support!DA53))^0.976,0))/1000/$G66*I$108,0)</x:f>
        <x:v>0</x:v>
      </x:c>
      <x:c r="J66" s="147" t="n">
        <x:f aca="0">IFERROR((IFERROR(S13_PSP_Species_Support!U53*0.0673*(S13_PSP_Species_Support!V53*(S13_PSP_Species_Support!W53*(1-EXP(-S13_PSP_Species_Support!X53*1))^S13_PSP_Species_Support!Y53)^2*(S13_PSP_Species_Support!Z53*(1-EXP(-S13_PSP_Species_Support!AA53*1))^S13_PSP_Species_Support!AB53))^0.976,0)+IFERROR(S13_PSP_Species_Support!AF53*0.0673*(S13_PSP_Species_Support!AG53*(S13_PSP_Species_Support!AH53*(1-EXP(-S13_PSP_Species_Support!AI53*1))^S13_PSP_Species_Support!AJ53)^2*(S13_PSP_Species_Support!AK53*(1-EXP(-S13_PSP_Species_Support!AL53*1))^S13_PSP_Species_Support!AM53))^0.976,0)+IFERROR(S13_PSP_Species_Support!AQ53*0.0673*(S13_PSP_Species_Support!AR53*(S13_PSP_Species_Support!AS53*(1-EXP(-S13_PSP_Species_Support!AT53*1))^S13_PSP_Species_Support!AU53)^2*(S13_PSP_Species_Support!AV53*(1-EXP(-S13_PSP_Species_Support!AW53*1))^S13_PSP_Species_Support!AX53))^0.976,0)+IFERROR(S13_PSP_Species_Support!BB53*0.0673*(S13_PSP_Species_Support!BC53*(S13_PSP_Species_Support!BD53*(1-EXP(-S13_PSP_Species_Support!BE53*1))^S13_PSP_Species_Support!BF53)^2*(S13_PSP_Species_Support!BG53*(1-EXP(-S13_PSP_Species_Support!BH53*1))^S13_PSP_Species_Support!BI53))^0.976,0)+IFERROR(S13_PSP_Species_Support!BM53*0.0673*(S13_PSP_Species_Support!BN53*(S13_PSP_Species_Support!BO53*(1-EXP(-S13_PSP_Species_Support!BP53*1))^S13_PSP_Species_Support!BQ53)^2*(S13_PSP_Species_Support!BR53*(1-EXP(-S13_PSP_Species_Support!BS53*1))^S13_PSP_Species_Support!BT53))^0.976,0)+IFERROR(S13_PSP_Species_Support!BX53*0.0673*(S13_PSP_Species_Support!BY53*(S13_PSP_Species_Support!BZ53*(1-EXP(-S13_PSP_Species_Support!CA53*1))^S13_PSP_Species_Support!CB53)^2*(S13_PSP_Species_Support!CC53*(1-EXP(-S13_PSP_Species_Support!CD53*1))^S13_PSP_Species_Support!CE53))^0.976,0)+IFERROR(S13_PSP_Species_Support!CI53*0.0673*(S13_PSP_Species_Support!CJ53*(S13_PSP_Species_Support!CK53*(1-EXP(-S13_PSP_Species_Support!CL53*1))^S13_PSP_Species_Support!CM53)^2*(S13_PSP_Species_Support!CN53*(1-EXP(-S13_PSP_Species_Support!CO53*1))^S13_PSP_Species_Support!CP53))^0.976,0)+IFERROR(S13_PSP_Species_Support!CT53*0.0673*(S13_PSP_Species_Support!CU53*(S13_PSP_Species_Support!CV53*(1-EXP(-S13_PSP_Species_Support!CW53*1))^S13_PSP_Species_Support!CX53)^2*(S13_PSP_Species_Support!CY53*(1-EXP(-S13_PSP_Species_Support!CZ53*1))^S13_PSP_Species_Support!DA53))^0.976,0))/1000/$G66*J$108,0)</x:f>
        <x:v>1.5792056025731753</x:v>
      </x:c>
      <x:c r="K66" s="147" t="n">
        <x:f aca="0">IFERROR((IFERROR(S13_PSP_Species_Support!U53*0.0673*(S13_PSP_Species_Support!V53*(S13_PSP_Species_Support!W53*(1-EXP(-S13_PSP_Species_Support!X53*2))^S13_PSP_Species_Support!Y53)^2*(S13_PSP_Species_Support!Z53*(1-EXP(-S13_PSP_Species_Support!AA53*2))^S13_PSP_Species_Support!AB53))^0.976,0)+IFERROR(S13_PSP_Species_Support!AF53*0.0673*(S13_PSP_Species_Support!AG53*(S13_PSP_Species_Support!AH53*(1-EXP(-S13_PSP_Species_Support!AI53*2))^S13_PSP_Species_Support!AJ53)^2*(S13_PSP_Species_Support!AK53*(1-EXP(-S13_PSP_Species_Support!AL53*2))^S13_PSP_Species_Support!AM53))^0.976,0)+IFERROR(S13_PSP_Species_Support!AQ53*0.0673*(S13_PSP_Species_Support!AR53*(S13_PSP_Species_Support!AS53*(1-EXP(-S13_PSP_Species_Support!AT53*2))^S13_PSP_Species_Support!AU53)^2*(S13_PSP_Species_Support!AV53*(1-EXP(-S13_PSP_Species_Support!AW53*2))^S13_PSP_Species_Support!AX53))^0.976,0)+IFERROR(S13_PSP_Species_Support!BB53*0.0673*(S13_PSP_Species_Support!BC53*(S13_PSP_Species_Support!BD53*(1-EXP(-S13_PSP_Species_Support!BE53*2))^S13_PSP_Species_Support!BF53)^2*(S13_PSP_Species_Support!BG53*(1-EXP(-S13_PSP_Species_Support!BH53*2))^S13_PSP_Species_Support!BI53))^0.976,0)+IFERROR(S13_PSP_Species_Support!BM53*0.0673*(S13_PSP_Species_Support!BN53*(S13_PSP_Species_Support!BO53*(1-EXP(-S13_PSP_Species_Support!BP53*2))^S13_PSP_Species_Support!BQ53)^2*(S13_PSP_Species_Support!BR53*(1-EXP(-S13_PSP_Species_Support!BS53*2))^S13_PSP_Species_Support!BT53))^0.976,0)+IFERROR(S13_PSP_Species_Support!BX53*0.0673*(S13_PSP_Species_Support!BY53*(S13_PSP_Species_Support!BZ53*(1-EXP(-S13_PSP_Species_Support!CA53*2))^S13_PSP_Species_Support!CB53)^2*(S13_PSP_Species_Support!CC53*(1-EXP(-S13_PSP_Species_Support!CD53*2))^S13_PSP_Species_Support!CE53))^0.976,0)+IFERROR(S13_PSP_Species_Support!CI53*0.0673*(S13_PSP_Species_Support!CJ53*(S13_PSP_Species_Support!CK53*(1-EXP(-S13_PSP_Species_Support!CL53*2))^S13_PSP_Species_Support!CM53)^2*(S13_PSP_Species_Support!CN53*(1-EXP(-S13_PSP_Species_Support!CO53*2))^S13_PSP_Species_Support!CP53))^0.976,0)+IFERROR(S13_PSP_Species_Support!CT53*0.0673*(S13_PSP_Species_Support!CU53*(S13_PSP_Species_Support!CV53*(1-EXP(-S13_PSP_Species_Support!CW53*2))^S13_PSP_Species_Support!CX53)^2*(S13_PSP_Species_Support!CY53*(1-EXP(-S13_PSP_Species_Support!CZ53*2))^S13_PSP_Species_Support!DA53))^0.976,0))/1000/$G66*K$108,0)</x:f>
        <x:v>14.788771869854763</x:v>
      </x:c>
      <x:c r="L66" s="147" t="n">
        <x:f aca="0">IFERROR((IFERROR(S13_PSP_Species_Support!U53*0.0673*(S13_PSP_Species_Support!V53*(S13_PSP_Species_Support!W53*(1-EXP(-S13_PSP_Species_Support!X53*3))^S13_PSP_Species_Support!Y53)^2*(S13_PSP_Species_Support!Z53*(1-EXP(-S13_PSP_Species_Support!AA53*3))^S13_PSP_Species_Support!AB53))^0.976,0)+IFERROR(S13_PSP_Species_Support!AF53*0.0673*(S13_PSP_Species_Support!AG53*(S13_PSP_Species_Support!AH53*(1-EXP(-S13_PSP_Species_Support!AI53*3))^S13_PSP_Species_Support!AJ53)^2*(S13_PSP_Species_Support!AK53*(1-EXP(-S13_PSP_Species_Support!AL53*3))^S13_PSP_Species_Support!AM53))^0.976,0)+IFERROR(S13_PSP_Species_Support!AQ53*0.0673*(S13_PSP_Species_Support!AR53*(S13_PSP_Species_Support!AS53*(1-EXP(-S13_PSP_Species_Support!AT53*3))^S13_PSP_Species_Support!AU53)^2*(S13_PSP_Species_Support!AV53*(1-EXP(-S13_PSP_Species_Support!AW53*3))^S13_PSP_Species_Support!AX53))^0.976,0)+IFERROR(S13_PSP_Species_Support!BB53*0.0673*(S13_PSP_Species_Support!BC53*(S13_PSP_Species_Support!BD53*(1-EXP(-S13_PSP_Species_Support!BE53*3))^S13_PSP_Species_Support!BF53)^2*(S13_PSP_Species_Support!BG53*(1-EXP(-S13_PSP_Species_Support!BH53*3))^S13_PSP_Species_Support!BI53))^0.976,0)+IFERROR(S13_PSP_Species_Support!BM53*0.0673*(S13_PSP_Species_Support!BN53*(S13_PSP_Species_Support!BO53*(1-EXP(-S13_PSP_Species_Support!BP53*3))^S13_PSP_Species_Support!BQ53)^2*(S13_PSP_Species_Support!BR53*(1-EXP(-S13_PSP_Species_Support!BS53*3))^S13_PSP_Species_Support!BT53))^0.976,0)+IFERROR(S13_PSP_Species_Support!BX53*0.0673*(S13_PSP_Species_Support!BY53*(S13_PSP_Species_Support!BZ53*(1-EXP(-S13_PSP_Species_Support!CA53*3))^S13_PSP_Species_Support!CB53)^2*(S13_PSP_Species_Support!CC53*(1-EXP(-S13_PSP_Species_Support!CD53*3))^S13_PSP_Species_Support!CE53))^0.976,0)+IFERROR(S13_PSP_Species_Support!CI53*0.0673*(S13_PSP_Species_Support!CJ53*(S13_PSP_Species_Support!CK53*(1-EXP(-S13_PSP_Species_Support!CL53*3))^S13_PSP_Species_Support!CM53)^2*(S13_PSP_Species_Support!CN53*(1-EXP(-S13_PSP_Species_Support!CO53*3))^S13_PSP_Species_Support!CP53))^0.976,0)+IFERROR(S13_PSP_Species_Support!CT53*0.0673*(S13_PSP_Species_Support!CU53*(S13_PSP_Species_Support!CV53*(1-EXP(-S13_PSP_Species_Support!CW53*3))^S13_PSP_Species_Support!CX53)^2*(S13_PSP_Species_Support!CY53*(1-EXP(-S13_PSP_Species_Support!CZ53*3))^S13_PSP_Species_Support!DA53))^0.976,0))/1000/$G66*L$108,0)</x:f>
        <x:v>48.603445554670095</x:v>
      </x:c>
      <x:c r="M66" s="147" t="n">
        <x:f aca="0">IFERROR((IFERROR(S13_PSP_Species_Support!U53*0.0673*(S13_PSP_Species_Support!V53*(S13_PSP_Species_Support!W53*(1-EXP(-S13_PSP_Species_Support!X53*4))^S13_PSP_Species_Support!Y53)^2*(S13_PSP_Species_Support!Z53*(1-EXP(-S13_PSP_Species_Support!AA53*4))^S13_PSP_Species_Support!AB53))^0.976,0)+IFERROR(S13_PSP_Species_Support!AF53*0.0673*(S13_PSP_Species_Support!AG53*(S13_PSP_Species_Support!AH53*(1-EXP(-S13_PSP_Species_Support!AI53*4))^S13_PSP_Species_Support!AJ53)^2*(S13_PSP_Species_Support!AK53*(1-EXP(-S13_PSP_Species_Support!AL53*4))^S13_PSP_Species_Support!AM53))^0.976,0)+IFERROR(S13_PSP_Species_Support!AQ53*0.0673*(S13_PSP_Species_Support!AR53*(S13_PSP_Species_Support!AS53*(1-EXP(-S13_PSP_Species_Support!AT53*4))^S13_PSP_Species_Support!AU53)^2*(S13_PSP_Species_Support!AV53*(1-EXP(-S13_PSP_Species_Support!AW53*4))^S13_PSP_Species_Support!AX53))^0.976,0)+IFERROR(S13_PSP_Species_Support!BB53*0.0673*(S13_PSP_Species_Support!BC53*(S13_PSP_Species_Support!BD53*(1-EXP(-S13_PSP_Species_Support!BE53*4))^S13_PSP_Species_Support!BF53)^2*(S13_PSP_Species_Support!BG53*(1-EXP(-S13_PSP_Species_Support!BH53*4))^S13_PSP_Species_Support!BI53))^0.976,0)+IFERROR(S13_PSP_Species_Support!BM53*0.0673*(S13_PSP_Species_Support!BN53*(S13_PSP_Species_Support!BO53*(1-EXP(-S13_PSP_Species_Support!BP53*4))^S13_PSP_Species_Support!BQ53)^2*(S13_PSP_Species_Support!BR53*(1-EXP(-S13_PSP_Species_Support!BS53*4))^S13_PSP_Species_Support!BT53))^0.976,0)+IFERROR(S13_PSP_Species_Support!BX53*0.0673*(S13_PSP_Species_Support!BY53*(S13_PSP_Species_Support!BZ53*(1-EXP(-S13_PSP_Species_Support!CA53*4))^S13_PSP_Species_Support!CB53)^2*(S13_PSP_Species_Support!CC53*(1-EXP(-S13_PSP_Species_Support!CD53*4))^S13_PSP_Species_Support!CE53))^0.976,0)+IFERROR(S13_PSP_Species_Support!CI53*0.0673*(S13_PSP_Species_Support!CJ53*(S13_PSP_Species_Support!CK53*(1-EXP(-S13_PSP_Species_Support!CL53*4))^S13_PSP_Species_Support!CM53)^2*(S13_PSP_Species_Support!CN53*(1-EXP(-S13_PSP_Species_Support!CO53*4))^S13_PSP_Species_Support!CP53))^0.976,0)+IFERROR(S13_PSP_Species_Support!CT53*0.0673*(S13_PSP_Species_Support!CU53*(S13_PSP_Species_Support!CV53*(1-EXP(-S13_PSP_Species_Support!CW53*4))^S13_PSP_Species_Support!CX53)^2*(S13_PSP_Species_Support!CY53*(1-EXP(-S13_PSP_Species_Support!CZ53*4))^S13_PSP_Species_Support!DA53))^0.976,0))/1000/$G66*M$108,0)</x:f>
        <x:v>105.26666695560067</x:v>
      </x:c>
      <x:c r="N66" s="147" t="n">
        <x:f aca="0">IFERROR((IFERROR(S13_PSP_Species_Support!U53*0.0673*(S13_PSP_Species_Support!V53*(S13_PSP_Species_Support!W53*(1-EXP(-S13_PSP_Species_Support!X53*5))^S13_PSP_Species_Support!Y53)^2*(S13_PSP_Species_Support!Z53*(1-EXP(-S13_PSP_Species_Support!AA53*5))^S13_PSP_Species_Support!AB53))^0.976,0)+IFERROR(S13_PSP_Species_Support!AF53*0.0673*(S13_PSP_Species_Support!AG53*(S13_PSP_Species_Support!AH53*(1-EXP(-S13_PSP_Species_Support!AI53*5))^S13_PSP_Species_Support!AJ53)^2*(S13_PSP_Species_Support!AK53*(1-EXP(-S13_PSP_Species_Support!AL53*5))^S13_PSP_Species_Support!AM53))^0.976,0)+IFERROR(S13_PSP_Species_Support!AQ53*0.0673*(S13_PSP_Species_Support!AR53*(S13_PSP_Species_Support!AS53*(1-EXP(-S13_PSP_Species_Support!AT53*5))^S13_PSP_Species_Support!AU53)^2*(S13_PSP_Species_Support!AV53*(1-EXP(-S13_PSP_Species_Support!AW53*5))^S13_PSP_Species_Support!AX53))^0.976,0)+IFERROR(S13_PSP_Species_Support!BB53*0.0673*(S13_PSP_Species_Support!BC53*(S13_PSP_Species_Support!BD53*(1-EXP(-S13_PSP_Species_Support!BE53*5))^S13_PSP_Species_Support!BF53)^2*(S13_PSP_Species_Support!BG53*(1-EXP(-S13_PSP_Species_Support!BH53*5))^S13_PSP_Species_Support!BI53))^0.976,0)+IFERROR(S13_PSP_Species_Support!BM53*0.0673*(S13_PSP_Species_Support!BN53*(S13_PSP_Species_Support!BO53*(1-EXP(-S13_PSP_Species_Support!BP53*5))^S13_PSP_Species_Support!BQ53)^2*(S13_PSP_Species_Support!BR53*(1-EXP(-S13_PSP_Species_Support!BS53*5))^S13_PSP_Species_Support!BT53))^0.976,0)+IFERROR(S13_PSP_Species_Support!BX53*0.0673*(S13_PSP_Species_Support!BY53*(S13_PSP_Species_Support!BZ53*(1-EXP(-S13_PSP_Species_Support!CA53*5))^S13_PSP_Species_Support!CB53)^2*(S13_PSP_Species_Support!CC53*(1-EXP(-S13_PSP_Species_Support!CD53*5))^S13_PSP_Species_Support!CE53))^0.976,0)+IFERROR(S13_PSP_Species_Support!CI53*0.0673*(S13_PSP_Species_Support!CJ53*(S13_PSP_Species_Support!CK53*(1-EXP(-S13_PSP_Species_Support!CL53*5))^S13_PSP_Species_Support!CM53)^2*(S13_PSP_Species_Support!CN53*(1-EXP(-S13_PSP_Species_Support!CO53*5))^S13_PSP_Species_Support!CP53))^0.976,0)+IFERROR(S13_PSP_Species_Support!CT53*0.0673*(S13_PSP_Species_Support!CU53*(S13_PSP_Species_Support!CV53*(1-EXP(-S13_PSP_Species_Support!CW53*5))^S13_PSP_Species_Support!CX53)^2*(S13_PSP_Species_Support!CY53*(1-EXP(-S13_PSP_Species_Support!CZ53*5))^S13_PSP_Species_Support!DA53))^0.976,0))/1000/$G66*N$108,0)</x:f>
        <x:v>181.20205496150442</x:v>
      </x:c>
      <x:c r="O66" s="147" t="n">
        <x:f aca="0">IFERROR((IFERROR(S13_PSP_Species_Support!U53*0.0673*(S13_PSP_Species_Support!V53*(S13_PSP_Species_Support!W53*(1-EXP(-S13_PSP_Species_Support!X53*6))^S13_PSP_Species_Support!Y53)^2*(S13_PSP_Species_Support!Z53*(1-EXP(-S13_PSP_Species_Support!AA53*6))^S13_PSP_Species_Support!AB53))^0.976,0)+IFERROR(S13_PSP_Species_Support!AF53*0.0673*(S13_PSP_Species_Support!AG53*(S13_PSP_Species_Support!AH53*(1-EXP(-S13_PSP_Species_Support!AI53*6))^S13_PSP_Species_Support!AJ53)^2*(S13_PSP_Species_Support!AK53*(1-EXP(-S13_PSP_Species_Support!AL53*6))^S13_PSP_Species_Support!AM53))^0.976,0)+IFERROR(S13_PSP_Species_Support!AQ53*0.0673*(S13_PSP_Species_Support!AR53*(S13_PSP_Species_Support!AS53*(1-EXP(-S13_PSP_Species_Support!AT53*6))^S13_PSP_Species_Support!AU53)^2*(S13_PSP_Species_Support!AV53*(1-EXP(-S13_PSP_Species_Support!AW53*6))^S13_PSP_Species_Support!AX53))^0.976,0)+IFERROR(S13_PSP_Species_Support!BB53*0.0673*(S13_PSP_Species_Support!BC53*(S13_PSP_Species_Support!BD53*(1-EXP(-S13_PSP_Species_Support!BE53*6))^S13_PSP_Species_Support!BF53)^2*(S13_PSP_Species_Support!BG53*(1-EXP(-S13_PSP_Species_Support!BH53*6))^S13_PSP_Species_Support!BI53))^0.976,0)+IFERROR(S13_PSP_Species_Support!BM53*0.0673*(S13_PSP_Species_Support!BN53*(S13_PSP_Species_Support!BO53*(1-EXP(-S13_PSP_Species_Support!BP53*6))^S13_PSP_Species_Support!BQ53)^2*(S13_PSP_Species_Support!BR53*(1-EXP(-S13_PSP_Species_Support!BS53*6))^S13_PSP_Species_Support!BT53))^0.976,0)+IFERROR(S13_PSP_Species_Support!BX53*0.0673*(S13_PSP_Species_Support!BY53*(S13_PSP_Species_Support!BZ53*(1-EXP(-S13_PSP_Species_Support!CA53*6))^S13_PSP_Species_Support!CB53)^2*(S13_PSP_Species_Support!CC53*(1-EXP(-S13_PSP_Species_Support!CD53*6))^S13_PSP_Species_Support!CE53))^0.976,0)+IFERROR(S13_PSP_Species_Support!CI53*0.0673*(S13_PSP_Species_Support!CJ53*(S13_PSP_Species_Support!CK53*(1-EXP(-S13_PSP_Species_Support!CL53*6))^S13_PSP_Species_Support!CM53)^2*(S13_PSP_Species_Support!CN53*(1-EXP(-S13_PSP_Species_Support!CO53*6))^S13_PSP_Species_Support!CP53))^0.976,0)+IFERROR(S13_PSP_Species_Support!CT53*0.0673*(S13_PSP_Species_Support!CU53*(S13_PSP_Species_Support!CV53*(1-EXP(-S13_PSP_Species_Support!CW53*6))^S13_PSP_Species_Support!CX53)^2*(S13_PSP_Species_Support!CY53*(1-EXP(-S13_PSP_Species_Support!CZ53*6))^S13_PSP_Species_Support!DA53))^0.976,0))/1000/$G66*O$108,0)</x:f>
        <x:v>270.6576569024902</x:v>
      </x:c>
      <x:c r="P66" s="147" t="n">
        <x:f aca="0">IFERROR((IFERROR(S13_PSP_Species_Support!U53*0.0673*(S13_PSP_Species_Support!V53*(S13_PSP_Species_Support!W53*(1-EXP(-S13_PSP_Species_Support!X53*7))^S13_PSP_Species_Support!Y53)^2*(S13_PSP_Species_Support!Z53*(1-EXP(-S13_PSP_Species_Support!AA53*7))^S13_PSP_Species_Support!AB53))^0.976,0)+IFERROR(S13_PSP_Species_Support!AF53*0.0673*(S13_PSP_Species_Support!AG53*(S13_PSP_Species_Support!AH53*(1-EXP(-S13_PSP_Species_Support!AI53*7))^S13_PSP_Species_Support!AJ53)^2*(S13_PSP_Species_Support!AK53*(1-EXP(-S13_PSP_Species_Support!AL53*7))^S13_PSP_Species_Support!AM53))^0.976,0)+IFERROR(S13_PSP_Species_Support!AQ53*0.0673*(S13_PSP_Species_Support!AR53*(S13_PSP_Species_Support!AS53*(1-EXP(-S13_PSP_Species_Support!AT53*7))^S13_PSP_Species_Support!AU53)^2*(S13_PSP_Species_Support!AV53*(1-EXP(-S13_PSP_Species_Support!AW53*7))^S13_PSP_Species_Support!AX53))^0.976,0)+IFERROR(S13_PSP_Species_Support!BB53*0.0673*(S13_PSP_Species_Support!BC53*(S13_PSP_Species_Support!BD53*(1-EXP(-S13_PSP_Species_Support!BE53*7))^S13_PSP_Species_Support!BF53)^2*(S13_PSP_Species_Support!BG53*(1-EXP(-S13_PSP_Species_Support!BH53*7))^S13_PSP_Species_Support!BI53))^0.976,0)+IFERROR(S13_PSP_Species_Support!BM53*0.0673*(S13_PSP_Species_Support!BN53*(S13_PSP_Species_Support!BO53*(1-EXP(-S13_PSP_Species_Support!BP53*7))^S13_PSP_Species_Support!BQ53)^2*(S13_PSP_Species_Support!BR53*(1-EXP(-S13_PSP_Species_Support!BS53*7))^S13_PSP_Species_Support!BT53))^0.976,0)+IFERROR(S13_PSP_Species_Support!BX53*0.0673*(S13_PSP_Species_Support!BY53*(S13_PSP_Species_Support!BZ53*(1-EXP(-S13_PSP_Species_Support!CA53*7))^S13_PSP_Species_Support!CB53)^2*(S13_PSP_Species_Support!CC53*(1-EXP(-S13_PSP_Species_Support!CD53*7))^S13_PSP_Species_Support!CE53))^0.976,0)+IFERROR(S13_PSP_Species_Support!CI53*0.0673*(S13_PSP_Species_Support!CJ53*(S13_PSP_Species_Support!CK53*(1-EXP(-S13_PSP_Species_Support!CL53*7))^S13_PSP_Species_Support!CM53)^2*(S13_PSP_Species_Support!CN53*(1-EXP(-S13_PSP_Species_Support!CO53*7))^S13_PSP_Species_Support!CP53))^0.976,0)+IFERROR(S13_PSP_Species_Support!CT53*0.0673*(S13_PSP_Species_Support!CU53*(S13_PSP_Species_Support!CV53*(1-EXP(-S13_PSP_Species_Support!CW53*7))^S13_PSP_Species_Support!CX53)^2*(S13_PSP_Species_Support!CY53*(1-EXP(-S13_PSP_Species_Support!CZ53*7))^S13_PSP_Species_Support!DA53))^0.976,0))/1000/$G66*P$108,0)</x:f>
        <x:v>367.5867880237863</x:v>
      </x:c>
      <x:c r="Q66" s="147" t="n">
        <x:f aca="0">IFERROR((IFERROR(S13_PSP_Species_Support!U53*0.0673*(S13_PSP_Species_Support!V53*(S13_PSP_Species_Support!W53*(1-EXP(-S13_PSP_Species_Support!X53*8))^S13_PSP_Species_Support!Y53)^2*(S13_PSP_Species_Support!Z53*(1-EXP(-S13_PSP_Species_Support!AA53*8))^S13_PSP_Species_Support!AB53))^0.976,0)+IFERROR(S13_PSP_Species_Support!AF53*0.0673*(S13_PSP_Species_Support!AG53*(S13_PSP_Species_Support!AH53*(1-EXP(-S13_PSP_Species_Support!AI53*8))^S13_PSP_Species_Support!AJ53)^2*(S13_PSP_Species_Support!AK53*(1-EXP(-S13_PSP_Species_Support!AL53*8))^S13_PSP_Species_Support!AM53))^0.976,0)+IFERROR(S13_PSP_Species_Support!AQ53*0.0673*(S13_PSP_Species_Support!AR53*(S13_PSP_Species_Support!AS53*(1-EXP(-S13_PSP_Species_Support!AT53*8))^S13_PSP_Species_Support!AU53)^2*(S13_PSP_Species_Support!AV53*(1-EXP(-S13_PSP_Species_Support!AW53*8))^S13_PSP_Species_Support!AX53))^0.976,0)+IFERROR(S13_PSP_Species_Support!BB53*0.0673*(S13_PSP_Species_Support!BC53*(S13_PSP_Species_Support!BD53*(1-EXP(-S13_PSP_Species_Support!BE53*8))^S13_PSP_Species_Support!BF53)^2*(S13_PSP_Species_Support!BG53*(1-EXP(-S13_PSP_Species_Support!BH53*8))^S13_PSP_Species_Support!BI53))^0.976,0)+IFERROR(S13_PSP_Species_Support!BM53*0.0673*(S13_PSP_Species_Support!BN53*(S13_PSP_Species_Support!BO53*(1-EXP(-S13_PSP_Species_Support!BP53*8))^S13_PSP_Species_Support!BQ53)^2*(S13_PSP_Species_Support!BR53*(1-EXP(-S13_PSP_Species_Support!BS53*8))^S13_PSP_Species_Support!BT53))^0.976,0)+IFERROR(S13_PSP_Species_Support!BX53*0.0673*(S13_PSP_Species_Support!BY53*(S13_PSP_Species_Support!BZ53*(1-EXP(-S13_PSP_Species_Support!CA53*8))^S13_PSP_Species_Support!CB53)^2*(S13_PSP_Species_Support!CC53*(1-EXP(-S13_PSP_Species_Support!CD53*8))^S13_PSP_Species_Support!CE53))^0.976,0)+IFERROR(S13_PSP_Species_Support!CI53*0.0673*(S13_PSP_Species_Support!CJ53*(S13_PSP_Species_Support!CK53*(1-EXP(-S13_PSP_Species_Support!CL53*8))^S13_PSP_Species_Support!CM53)^2*(S13_PSP_Species_Support!CN53*(1-EXP(-S13_PSP_Species_Support!CO53*8))^S13_PSP_Species_Support!CP53))^0.976,0)+IFERROR(S13_PSP_Species_Support!CT53*0.0673*(S13_PSP_Species_Support!CU53*(S13_PSP_Species_Support!CV53*(1-EXP(-S13_PSP_Species_Support!CW53*8))^S13_PSP_Species_Support!CX53)^2*(S13_PSP_Species_Support!CY53*(1-EXP(-S13_PSP_Species_Support!CZ53*8))^S13_PSP_Species_Support!DA53))^0.976,0))/1000/$G66*Q$108,0)</x:f>
        <x:v>466.7172997329135</x:v>
      </x:c>
      <x:c r="R66" s="147" t="n">
        <x:f aca="0">IFERROR((IFERROR(S13_PSP_Species_Support!U53*0.0673*(S13_PSP_Species_Support!V53*(S13_PSP_Species_Support!W53*(1-EXP(-S13_PSP_Species_Support!X53*9))^S13_PSP_Species_Support!Y53)^2*(S13_PSP_Species_Support!Z53*(1-EXP(-S13_PSP_Species_Support!AA53*9))^S13_PSP_Species_Support!AB53))^0.976,0)+IFERROR(S13_PSP_Species_Support!AF53*0.0673*(S13_PSP_Species_Support!AG53*(S13_PSP_Species_Support!AH53*(1-EXP(-S13_PSP_Species_Support!AI53*9))^S13_PSP_Species_Support!AJ53)^2*(S13_PSP_Species_Support!AK53*(1-EXP(-S13_PSP_Species_Support!AL53*9))^S13_PSP_Species_Support!AM53))^0.976,0)+IFERROR(S13_PSP_Species_Support!AQ53*0.0673*(S13_PSP_Species_Support!AR53*(S13_PSP_Species_Support!AS53*(1-EXP(-S13_PSP_Species_Support!AT53*9))^S13_PSP_Species_Support!AU53)^2*(S13_PSP_Species_Support!AV53*(1-EXP(-S13_PSP_Species_Support!AW53*9))^S13_PSP_Species_Support!AX53))^0.976,0)+IFERROR(S13_PSP_Species_Support!BB53*0.0673*(S13_PSP_Species_Support!BC53*(S13_PSP_Species_Support!BD53*(1-EXP(-S13_PSP_Species_Support!BE53*9))^S13_PSP_Species_Support!BF53)^2*(S13_PSP_Species_Support!BG53*(1-EXP(-S13_PSP_Species_Support!BH53*9))^S13_PSP_Species_Support!BI53))^0.976,0)+IFERROR(S13_PSP_Species_Support!BM53*0.0673*(S13_PSP_Species_Support!BN53*(S13_PSP_Species_Support!BO53*(1-EXP(-S13_PSP_Species_Support!BP53*9))^S13_PSP_Species_Support!BQ53)^2*(S13_PSP_Species_Support!BR53*(1-EXP(-S13_PSP_Species_Support!BS53*9))^S13_PSP_Species_Support!BT53))^0.976,0)+IFERROR(S13_PSP_Species_Support!BX53*0.0673*(S13_PSP_Species_Support!BY53*(S13_PSP_Species_Support!BZ53*(1-EXP(-S13_PSP_Species_Support!CA53*9))^S13_PSP_Species_Support!CB53)^2*(S13_PSP_Species_Support!CC53*(1-EXP(-S13_PSP_Species_Support!CD53*9))^S13_PSP_Species_Support!CE53))^0.976,0)+IFERROR(S13_PSP_Species_Support!CI53*0.0673*(S13_PSP_Species_Support!CJ53*(S13_PSP_Species_Support!CK53*(1-EXP(-S13_PSP_Species_Support!CL53*9))^S13_PSP_Species_Support!CM53)^2*(S13_PSP_Species_Support!CN53*(1-EXP(-S13_PSP_Species_Support!CO53*9))^S13_PSP_Species_Support!CP53))^0.976,0)+IFERROR(S13_PSP_Species_Support!CT53*0.0673*(S13_PSP_Species_Support!CU53*(S13_PSP_Species_Support!CV53*(1-EXP(-S13_PSP_Species_Support!CW53*9))^S13_PSP_Species_Support!CX53)^2*(S13_PSP_Species_Support!CY53*(1-EXP(-S13_PSP_Species_Support!CZ53*9))^S13_PSP_Species_Support!DA53))^0.976,0))/1000/$G66*R$108,0)</x:f>
        <x:v>563.9591353492232</x:v>
      </x:c>
      <x:c r="S66" s="147" t="n">
        <x:f aca="0">IFERROR((IFERROR(S13_PSP_Species_Support!U53*0.0673*(S13_PSP_Species_Support!V53*(S13_PSP_Species_Support!W53*(1-EXP(-S13_PSP_Species_Support!X53*10))^S13_PSP_Species_Support!Y53)^2*(S13_PSP_Species_Support!Z53*(1-EXP(-S13_PSP_Species_Support!AA53*10))^S13_PSP_Species_Support!AB53))^0.976,0)+IFERROR(S13_PSP_Species_Support!AF53*0.0673*(S13_PSP_Species_Support!AG53*(S13_PSP_Species_Support!AH53*(1-EXP(-S13_PSP_Species_Support!AI53*10))^S13_PSP_Species_Support!AJ53)^2*(S13_PSP_Species_Support!AK53*(1-EXP(-S13_PSP_Species_Support!AL53*10))^S13_PSP_Species_Support!AM53))^0.976,0)+IFERROR(S13_PSP_Species_Support!AQ53*0.0673*(S13_PSP_Species_Support!AR53*(S13_PSP_Species_Support!AS53*(1-EXP(-S13_PSP_Species_Support!AT53*10))^S13_PSP_Species_Support!AU53)^2*(S13_PSP_Species_Support!AV53*(1-EXP(-S13_PSP_Species_Support!AW53*10))^S13_PSP_Species_Support!AX53))^0.976,0)+IFERROR(S13_PSP_Species_Support!BB53*0.0673*(S13_PSP_Species_Support!BC53*(S13_PSP_Species_Support!BD53*(1-EXP(-S13_PSP_Species_Support!BE53*10))^S13_PSP_Species_Support!BF53)^2*(S13_PSP_Species_Support!BG53*(1-EXP(-S13_PSP_Species_Support!BH53*10))^S13_PSP_Species_Support!BI53))^0.976,0)+IFERROR(S13_PSP_Species_Support!BM53*0.0673*(S13_PSP_Species_Support!BN53*(S13_PSP_Species_Support!BO53*(1-EXP(-S13_PSP_Species_Support!BP53*10))^S13_PSP_Species_Support!BQ53)^2*(S13_PSP_Species_Support!BR53*(1-EXP(-S13_PSP_Species_Support!BS53*10))^S13_PSP_Species_Support!BT53))^0.976,0)+IFERROR(S13_PSP_Species_Support!BX53*0.0673*(S13_PSP_Species_Support!BY53*(S13_PSP_Species_Support!BZ53*(1-EXP(-S13_PSP_Species_Support!CA53*10))^S13_PSP_Species_Support!CB53)^2*(S13_PSP_Species_Support!CC53*(1-EXP(-S13_PSP_Species_Support!CD53*10))^S13_PSP_Species_Support!CE53))^0.976,0)+IFERROR(S13_PSP_Species_Support!CI53*0.0673*(S13_PSP_Species_Support!CJ53*(S13_PSP_Species_Support!CK53*(1-EXP(-S13_PSP_Species_Support!CL53*10))^S13_PSP_Species_Support!CM53)^2*(S13_PSP_Species_Support!CN53*(1-EXP(-S13_PSP_Species_Support!CO53*10))^S13_PSP_Species_Support!CP53))^0.976,0)+IFERROR(S13_PSP_Species_Support!CT53*0.0673*(S13_PSP_Species_Support!CU53*(S13_PSP_Species_Support!CV53*(1-EXP(-S13_PSP_Species_Support!CW53*10))^S13_PSP_Species_Support!CX53)^2*(S13_PSP_Species_Support!CY53*(1-EXP(-S13_PSP_Species_Support!CZ53*10))^S13_PSP_Species_Support!DA53))^0.976,0))/1000/$G66*S$108,0)</x:f>
        <x:v>656.4332036043039</x:v>
      </x:c>
      <x:c r="T66" s="147" t="n">
        <x:f aca="0">IFERROR((IFERROR(S13_PSP_Species_Support!U53*0.0673*(S13_PSP_Species_Support!V53*(S13_PSP_Species_Support!W53*(1-EXP(-S13_PSP_Species_Support!X53*11))^S13_PSP_Species_Support!Y53)^2*(S13_PSP_Species_Support!Z53*(1-EXP(-S13_PSP_Species_Support!AA53*11))^S13_PSP_Species_Support!AB53))^0.976,0)+IFERROR(S13_PSP_Species_Support!AF53*0.0673*(S13_PSP_Species_Support!AG53*(S13_PSP_Species_Support!AH53*(1-EXP(-S13_PSP_Species_Support!AI53*11))^S13_PSP_Species_Support!AJ53)^2*(S13_PSP_Species_Support!AK53*(1-EXP(-S13_PSP_Species_Support!AL53*11))^S13_PSP_Species_Support!AM53))^0.976,0)+IFERROR(S13_PSP_Species_Support!AQ53*0.0673*(S13_PSP_Species_Support!AR53*(S13_PSP_Species_Support!AS53*(1-EXP(-S13_PSP_Species_Support!AT53*11))^S13_PSP_Species_Support!AU53)^2*(S13_PSP_Species_Support!AV53*(1-EXP(-S13_PSP_Species_Support!AW53*11))^S13_PSP_Species_Support!AX53))^0.976,0)+IFERROR(S13_PSP_Species_Support!BB53*0.0673*(S13_PSP_Species_Support!BC53*(S13_PSP_Species_Support!BD53*(1-EXP(-S13_PSP_Species_Support!BE53*11))^S13_PSP_Species_Support!BF53)^2*(S13_PSP_Species_Support!BG53*(1-EXP(-S13_PSP_Species_Support!BH53*11))^S13_PSP_Species_Support!BI53))^0.976,0)+IFERROR(S13_PSP_Species_Support!BM53*0.0673*(S13_PSP_Species_Support!BN53*(S13_PSP_Species_Support!BO53*(1-EXP(-S13_PSP_Species_Support!BP53*11))^S13_PSP_Species_Support!BQ53)^2*(S13_PSP_Species_Support!BR53*(1-EXP(-S13_PSP_Species_Support!BS53*11))^S13_PSP_Species_Support!BT53))^0.976,0)+IFERROR(S13_PSP_Species_Support!BX53*0.0673*(S13_PSP_Species_Support!BY53*(S13_PSP_Species_Support!BZ53*(1-EXP(-S13_PSP_Species_Support!CA53*11))^S13_PSP_Species_Support!CB53)^2*(S13_PSP_Species_Support!CC53*(1-EXP(-S13_PSP_Species_Support!CD53*11))^S13_PSP_Species_Support!CE53))^0.976,0)+IFERROR(S13_PSP_Species_Support!CI53*0.0673*(S13_PSP_Species_Support!CJ53*(S13_PSP_Species_Support!CK53*(1-EXP(-S13_PSP_Species_Support!CL53*11))^S13_PSP_Species_Support!CM53)^2*(S13_PSP_Species_Support!CN53*(1-EXP(-S13_PSP_Species_Support!CO53*11))^S13_PSP_Species_Support!CP53))^0.976,0)+IFERROR(S13_PSP_Species_Support!CT53*0.0673*(S13_PSP_Species_Support!CU53*(S13_PSP_Species_Support!CV53*(1-EXP(-S13_PSP_Species_Support!CW53*11))^S13_PSP_Species_Support!CX53)^2*(S13_PSP_Species_Support!CY53*(1-EXP(-S13_PSP_Species_Support!CZ53*11))^S13_PSP_Species_Support!DA53))^0.976,0))/1000/$G66*T$108,0)</x:f>
        <x:v>742.318578141844</x:v>
      </x:c>
      <x:c r="U66" s="147" t="n">
        <x:f aca="0">IFERROR((IFERROR(S13_PSP_Species_Support!U53*0.0673*(S13_PSP_Species_Support!V53*(S13_PSP_Species_Support!W53*(1-EXP(-S13_PSP_Species_Support!X53*12))^S13_PSP_Species_Support!Y53)^2*(S13_PSP_Species_Support!Z53*(1-EXP(-S13_PSP_Species_Support!AA53*12))^S13_PSP_Species_Support!AB53))^0.976,0)+IFERROR(S13_PSP_Species_Support!AF53*0.0673*(S13_PSP_Species_Support!AG53*(S13_PSP_Species_Support!AH53*(1-EXP(-S13_PSP_Species_Support!AI53*12))^S13_PSP_Species_Support!AJ53)^2*(S13_PSP_Species_Support!AK53*(1-EXP(-S13_PSP_Species_Support!AL53*12))^S13_PSP_Species_Support!AM53))^0.976,0)+IFERROR(S13_PSP_Species_Support!AQ53*0.0673*(S13_PSP_Species_Support!AR53*(S13_PSP_Species_Support!AS53*(1-EXP(-S13_PSP_Species_Support!AT53*12))^S13_PSP_Species_Support!AU53)^2*(S13_PSP_Species_Support!AV53*(1-EXP(-S13_PSP_Species_Support!AW53*12))^S13_PSP_Species_Support!AX53))^0.976,0)+IFERROR(S13_PSP_Species_Support!BB53*0.0673*(S13_PSP_Species_Support!BC53*(S13_PSP_Species_Support!BD53*(1-EXP(-S13_PSP_Species_Support!BE53*12))^S13_PSP_Species_Support!BF53)^2*(S13_PSP_Species_Support!BG53*(1-EXP(-S13_PSP_Species_Support!BH53*12))^S13_PSP_Species_Support!BI53))^0.976,0)+IFERROR(S13_PSP_Species_Support!BM53*0.0673*(S13_PSP_Species_Support!BN53*(S13_PSP_Species_Support!BO53*(1-EXP(-S13_PSP_Species_Support!BP53*12))^S13_PSP_Species_Support!BQ53)^2*(S13_PSP_Species_Support!BR53*(1-EXP(-S13_PSP_Species_Support!BS53*12))^S13_PSP_Species_Support!BT53))^0.976,0)+IFERROR(S13_PSP_Species_Support!BX53*0.0673*(S13_PSP_Species_Support!BY53*(S13_PSP_Species_Support!BZ53*(1-EXP(-S13_PSP_Species_Support!CA53*12))^S13_PSP_Species_Support!CB53)^2*(S13_PSP_Species_Support!CC53*(1-EXP(-S13_PSP_Species_Support!CD53*12))^S13_PSP_Species_Support!CE53))^0.976,0)+IFERROR(S13_PSP_Species_Support!CI53*0.0673*(S13_PSP_Species_Support!CJ53*(S13_PSP_Species_Support!CK53*(1-EXP(-S13_PSP_Species_Support!CL53*12))^S13_PSP_Species_Support!CM53)^2*(S13_PSP_Species_Support!CN53*(1-EXP(-S13_PSP_Species_Support!CO53*12))^S13_PSP_Species_Support!CP53))^0.976,0)+IFERROR(S13_PSP_Species_Support!CT53*0.0673*(S13_PSP_Species_Support!CU53*(S13_PSP_Species_Support!CV53*(1-EXP(-S13_PSP_Species_Support!CW53*12))^S13_PSP_Species_Support!CX53)^2*(S13_PSP_Species_Support!CY53*(1-EXP(-S13_PSP_Species_Support!CZ53*12))^S13_PSP_Species_Support!DA53))^0.976,0))/1000/$G66*U$108,0)</x:f>
        <x:v>820.6362707385016</x:v>
      </x:c>
      <x:c r="V66" s="147" t="n">
        <x:f aca="0">IFERROR((IFERROR(S13_PSP_Species_Support!U53*0.0673*(S13_PSP_Species_Support!V53*(S13_PSP_Species_Support!W53*(1-EXP(-S13_PSP_Species_Support!X53*13))^S13_PSP_Species_Support!Y53)^2*(S13_PSP_Species_Support!Z53*(1-EXP(-S13_PSP_Species_Support!AA53*13))^S13_PSP_Species_Support!AB53))^0.976,0)+IFERROR(S13_PSP_Species_Support!AF53*0.0673*(S13_PSP_Species_Support!AG53*(S13_PSP_Species_Support!AH53*(1-EXP(-S13_PSP_Species_Support!AI53*13))^S13_PSP_Species_Support!AJ53)^2*(S13_PSP_Species_Support!AK53*(1-EXP(-S13_PSP_Species_Support!AL53*13))^S13_PSP_Species_Support!AM53))^0.976,0)+IFERROR(S13_PSP_Species_Support!AQ53*0.0673*(S13_PSP_Species_Support!AR53*(S13_PSP_Species_Support!AS53*(1-EXP(-S13_PSP_Species_Support!AT53*13))^S13_PSP_Species_Support!AU53)^2*(S13_PSP_Species_Support!AV53*(1-EXP(-S13_PSP_Species_Support!AW53*13))^S13_PSP_Species_Support!AX53))^0.976,0)+IFERROR(S13_PSP_Species_Support!BB53*0.0673*(S13_PSP_Species_Support!BC53*(S13_PSP_Species_Support!BD53*(1-EXP(-S13_PSP_Species_Support!BE53*13))^S13_PSP_Species_Support!BF53)^2*(S13_PSP_Species_Support!BG53*(1-EXP(-S13_PSP_Species_Support!BH53*13))^S13_PSP_Species_Support!BI53))^0.976,0)+IFERROR(S13_PSP_Species_Support!BM53*0.0673*(S13_PSP_Species_Support!BN53*(S13_PSP_Species_Support!BO53*(1-EXP(-S13_PSP_Species_Support!BP53*13))^S13_PSP_Species_Support!BQ53)^2*(S13_PSP_Species_Support!BR53*(1-EXP(-S13_PSP_Species_Support!BS53*13))^S13_PSP_Species_Support!BT53))^0.976,0)+IFERROR(S13_PSP_Species_Support!BX53*0.0673*(S13_PSP_Species_Support!BY53*(S13_PSP_Species_Support!BZ53*(1-EXP(-S13_PSP_Species_Support!CA53*13))^S13_PSP_Species_Support!CB53)^2*(S13_PSP_Species_Support!CC53*(1-EXP(-S13_PSP_Species_Support!CD53*13))^S13_PSP_Species_Support!CE53))^0.976,0)+IFERROR(S13_PSP_Species_Support!CI53*0.0673*(S13_PSP_Species_Support!CJ53*(S13_PSP_Species_Support!CK53*(1-EXP(-S13_PSP_Species_Support!CL53*13))^S13_PSP_Species_Support!CM53)^2*(S13_PSP_Species_Support!CN53*(1-EXP(-S13_PSP_Species_Support!CO53*13))^S13_PSP_Species_Support!CP53))^0.976,0)+IFERROR(S13_PSP_Species_Support!CT53*0.0673*(S13_PSP_Species_Support!CU53*(S13_PSP_Species_Support!CV53*(1-EXP(-S13_PSP_Species_Support!CW53*13))^S13_PSP_Species_Support!CX53)^2*(S13_PSP_Species_Support!CY53*(1-EXP(-S13_PSP_Species_Support!CZ53*13))^S13_PSP_Species_Support!DA53))^0.976,0))/1000/$G66*V$108,0)</x:f>
        <x:v>891.032441284471</x:v>
      </x:c>
      <x:c r="W66" s="147" t="n">
        <x:f aca="0">IFERROR((IFERROR(S13_PSP_Species_Support!U53*0.0673*(S13_PSP_Species_Support!V53*(S13_PSP_Species_Support!W53*(1-EXP(-S13_PSP_Species_Support!X53*14))^S13_PSP_Species_Support!Y53)^2*(S13_PSP_Species_Support!Z53*(1-EXP(-S13_PSP_Species_Support!AA53*14))^S13_PSP_Species_Support!AB53))^0.976,0)+IFERROR(S13_PSP_Species_Support!AF53*0.0673*(S13_PSP_Species_Support!AG53*(S13_PSP_Species_Support!AH53*(1-EXP(-S13_PSP_Species_Support!AI53*14))^S13_PSP_Species_Support!AJ53)^2*(S13_PSP_Species_Support!AK53*(1-EXP(-S13_PSP_Species_Support!AL53*14))^S13_PSP_Species_Support!AM53))^0.976,0)+IFERROR(S13_PSP_Species_Support!AQ53*0.0673*(S13_PSP_Species_Support!AR53*(S13_PSP_Species_Support!AS53*(1-EXP(-S13_PSP_Species_Support!AT53*14))^S13_PSP_Species_Support!AU53)^2*(S13_PSP_Species_Support!AV53*(1-EXP(-S13_PSP_Species_Support!AW53*14))^S13_PSP_Species_Support!AX53))^0.976,0)+IFERROR(S13_PSP_Species_Support!BB53*0.0673*(S13_PSP_Species_Support!BC53*(S13_PSP_Species_Support!BD53*(1-EXP(-S13_PSP_Species_Support!BE53*14))^S13_PSP_Species_Support!BF53)^2*(S13_PSP_Species_Support!BG53*(1-EXP(-S13_PSP_Species_Support!BH53*14))^S13_PSP_Species_Support!BI53))^0.976,0)+IFERROR(S13_PSP_Species_Support!BM53*0.0673*(S13_PSP_Species_Support!BN53*(S13_PSP_Species_Support!BO53*(1-EXP(-S13_PSP_Species_Support!BP53*14))^S13_PSP_Species_Support!BQ53)^2*(S13_PSP_Species_Support!BR53*(1-EXP(-S13_PSP_Species_Support!BS53*14))^S13_PSP_Species_Support!BT53))^0.976,0)+IFERROR(S13_PSP_Species_Support!BX53*0.0673*(S13_PSP_Species_Support!BY53*(S13_PSP_Species_Support!BZ53*(1-EXP(-S13_PSP_Species_Support!CA53*14))^S13_PSP_Species_Support!CB53)^2*(S13_PSP_Species_Support!CC53*(1-EXP(-S13_PSP_Species_Support!CD53*14))^S13_PSP_Species_Support!CE53))^0.976,0)+IFERROR(S13_PSP_Species_Support!CI53*0.0673*(S13_PSP_Species_Support!CJ53*(S13_PSP_Species_Support!CK53*(1-EXP(-S13_PSP_Species_Support!CL53*14))^S13_PSP_Species_Support!CM53)^2*(S13_PSP_Species_Support!CN53*(1-EXP(-S13_PSP_Species_Support!CO53*14))^S13_PSP_Species_Support!CP53))^0.976,0)+IFERROR(S13_PSP_Species_Support!CT53*0.0673*(S13_PSP_Species_Support!CU53*(S13_PSP_Species_Support!CV53*(1-EXP(-S13_PSP_Species_Support!CW53*14))^S13_PSP_Species_Support!CX53)^2*(S13_PSP_Species_Support!CY53*(1-EXP(-S13_PSP_Species_Support!CZ53*14))^S13_PSP_Species_Support!DA53))^0.976,0))/1000/$G66*W$108,0)</x:f>
        <x:v>953.5896019038975</x:v>
      </x:c>
      <x:c r="X66" s="147" t="n">
        <x:f aca="0">IFERROR((IFERROR(S13_PSP_Species_Support!U53*0.0673*(S13_PSP_Species_Support!V53*(S13_PSP_Species_Support!W53*(1-EXP(-S13_PSP_Species_Support!X53*15))^S13_PSP_Species_Support!Y53)^2*(S13_PSP_Species_Support!Z53*(1-EXP(-S13_PSP_Species_Support!AA53*15))^S13_PSP_Species_Support!AB53))^0.976,0)+IFERROR(S13_PSP_Species_Support!AF53*0.0673*(S13_PSP_Species_Support!AG53*(S13_PSP_Species_Support!AH53*(1-EXP(-S13_PSP_Species_Support!AI53*15))^S13_PSP_Species_Support!AJ53)^2*(S13_PSP_Species_Support!AK53*(1-EXP(-S13_PSP_Species_Support!AL53*15))^S13_PSP_Species_Support!AM53))^0.976,0)+IFERROR(S13_PSP_Species_Support!AQ53*0.0673*(S13_PSP_Species_Support!AR53*(S13_PSP_Species_Support!AS53*(1-EXP(-S13_PSP_Species_Support!AT53*15))^S13_PSP_Species_Support!AU53)^2*(S13_PSP_Species_Support!AV53*(1-EXP(-S13_PSP_Species_Support!AW53*15))^S13_PSP_Species_Support!AX53))^0.976,0)+IFERROR(S13_PSP_Species_Support!BB53*0.0673*(S13_PSP_Species_Support!BC53*(S13_PSP_Species_Support!BD53*(1-EXP(-S13_PSP_Species_Support!BE53*15))^S13_PSP_Species_Support!BF53)^2*(S13_PSP_Species_Support!BG53*(1-EXP(-S13_PSP_Species_Support!BH53*15))^S13_PSP_Species_Support!BI53))^0.976,0)+IFERROR(S13_PSP_Species_Support!BM53*0.0673*(S13_PSP_Species_Support!BN53*(S13_PSP_Species_Support!BO53*(1-EXP(-S13_PSP_Species_Support!BP53*15))^S13_PSP_Species_Support!BQ53)^2*(S13_PSP_Species_Support!BR53*(1-EXP(-S13_PSP_Species_Support!BS53*15))^S13_PSP_Species_Support!BT53))^0.976,0)+IFERROR(S13_PSP_Species_Support!BX53*0.0673*(S13_PSP_Species_Support!BY53*(S13_PSP_Species_Support!BZ53*(1-EXP(-S13_PSP_Species_Support!CA53*15))^S13_PSP_Species_Support!CB53)^2*(S13_PSP_Species_Support!CC53*(1-EXP(-S13_PSP_Species_Support!CD53*15))^S13_PSP_Species_Support!CE53))^0.976,0)+IFERROR(S13_PSP_Species_Support!CI53*0.0673*(S13_PSP_Species_Support!CJ53*(S13_PSP_Species_Support!CK53*(1-EXP(-S13_PSP_Species_Support!CL53*15))^S13_PSP_Species_Support!CM53)^2*(S13_PSP_Species_Support!CN53*(1-EXP(-S13_PSP_Species_Support!CO53*15))^S13_PSP_Species_Support!CP53))^0.976,0)+IFERROR(S13_PSP_Species_Support!CT53*0.0673*(S13_PSP_Species_Support!CU53*(S13_PSP_Species_Support!CV53*(1-EXP(-S13_PSP_Species_Support!CW53*15))^S13_PSP_Species_Support!CX53)^2*(S13_PSP_Species_Support!CY53*(1-EXP(-S13_PSP_Species_Support!CZ53*15))^S13_PSP_Species_Support!DA53))^0.976,0))/1000/$G66*X$108,0)</x:f>
        <x:v>1008.6750427845977</x:v>
      </x:c>
      <x:c r="Y66" s="147" t="n">
        <x:f aca="0">IFERROR((IFERROR(S13_PSP_Species_Support!U53*0.0673*(S13_PSP_Species_Support!V53*(S13_PSP_Species_Support!W53*(1-EXP(-S13_PSP_Species_Support!X53*16))^S13_PSP_Species_Support!Y53)^2*(S13_PSP_Species_Support!Z53*(1-EXP(-S13_PSP_Species_Support!AA53*16))^S13_PSP_Species_Support!AB53))^0.976,0)+IFERROR(S13_PSP_Species_Support!AF53*0.0673*(S13_PSP_Species_Support!AG53*(S13_PSP_Species_Support!AH53*(1-EXP(-S13_PSP_Species_Support!AI53*16))^S13_PSP_Species_Support!AJ53)^2*(S13_PSP_Species_Support!AK53*(1-EXP(-S13_PSP_Species_Support!AL53*16))^S13_PSP_Species_Support!AM53))^0.976,0)+IFERROR(S13_PSP_Species_Support!AQ53*0.0673*(S13_PSP_Species_Support!AR53*(S13_PSP_Species_Support!AS53*(1-EXP(-S13_PSP_Species_Support!AT53*16))^S13_PSP_Species_Support!AU53)^2*(S13_PSP_Species_Support!AV53*(1-EXP(-S13_PSP_Species_Support!AW53*16))^S13_PSP_Species_Support!AX53))^0.976,0)+IFERROR(S13_PSP_Species_Support!BB53*0.0673*(S13_PSP_Species_Support!BC53*(S13_PSP_Species_Support!BD53*(1-EXP(-S13_PSP_Species_Support!BE53*16))^S13_PSP_Species_Support!BF53)^2*(S13_PSP_Species_Support!BG53*(1-EXP(-S13_PSP_Species_Support!BH53*16))^S13_PSP_Species_Support!BI53))^0.976,0)+IFERROR(S13_PSP_Species_Support!BM53*0.0673*(S13_PSP_Species_Support!BN53*(S13_PSP_Species_Support!BO53*(1-EXP(-S13_PSP_Species_Support!BP53*16))^S13_PSP_Species_Support!BQ53)^2*(S13_PSP_Species_Support!BR53*(1-EXP(-S13_PSP_Species_Support!BS53*16))^S13_PSP_Species_Support!BT53))^0.976,0)+IFERROR(S13_PSP_Species_Support!BX53*0.0673*(S13_PSP_Species_Support!BY53*(S13_PSP_Species_Support!BZ53*(1-EXP(-S13_PSP_Species_Support!CA53*16))^S13_PSP_Species_Support!CB53)^2*(S13_PSP_Species_Support!CC53*(1-EXP(-S13_PSP_Species_Support!CD53*16))^S13_PSP_Species_Support!CE53))^0.976,0)+IFERROR(S13_PSP_Species_Support!CI53*0.0673*(S13_PSP_Species_Support!CJ53*(S13_PSP_Species_Support!CK53*(1-EXP(-S13_PSP_Species_Support!CL53*16))^S13_PSP_Species_Support!CM53)^2*(S13_PSP_Species_Support!CN53*(1-EXP(-S13_PSP_Species_Support!CO53*16))^S13_PSP_Species_Support!CP53))^0.976,0)+IFERROR(S13_PSP_Species_Support!CT53*0.0673*(S13_PSP_Species_Support!CU53*(S13_PSP_Species_Support!CV53*(1-EXP(-S13_PSP_Species_Support!CW53*16))^S13_PSP_Species_Support!CX53)^2*(S13_PSP_Species_Support!CY53*(1-EXP(-S13_PSP_Species_Support!CZ53*16))^S13_PSP_Species_Support!DA53))^0.976,0))/1000/$G66*Y$108,0)</x:f>
        <x:v>1056.8258669341603</x:v>
      </x:c>
      <x:c r="Z66" s="147" t="n">
        <x:f aca="0">IFERROR((IFERROR(S13_PSP_Species_Support!U53*0.0673*(S13_PSP_Species_Support!V53*(S13_PSP_Species_Support!W53*(1-EXP(-S13_PSP_Species_Support!X53*17))^S13_PSP_Species_Support!Y53)^2*(S13_PSP_Species_Support!Z53*(1-EXP(-S13_PSP_Species_Support!AA53*17))^S13_PSP_Species_Support!AB53))^0.976,0)+IFERROR(S13_PSP_Species_Support!AF53*0.0673*(S13_PSP_Species_Support!AG53*(S13_PSP_Species_Support!AH53*(1-EXP(-S13_PSP_Species_Support!AI53*17))^S13_PSP_Species_Support!AJ53)^2*(S13_PSP_Species_Support!AK53*(1-EXP(-S13_PSP_Species_Support!AL53*17))^S13_PSP_Species_Support!AM53))^0.976,0)+IFERROR(S13_PSP_Species_Support!AQ53*0.0673*(S13_PSP_Species_Support!AR53*(S13_PSP_Species_Support!AS53*(1-EXP(-S13_PSP_Species_Support!AT53*17))^S13_PSP_Species_Support!AU53)^2*(S13_PSP_Species_Support!AV53*(1-EXP(-S13_PSP_Species_Support!AW53*17))^S13_PSP_Species_Support!AX53))^0.976,0)+IFERROR(S13_PSP_Species_Support!BB53*0.0673*(S13_PSP_Species_Support!BC53*(S13_PSP_Species_Support!BD53*(1-EXP(-S13_PSP_Species_Support!BE53*17))^S13_PSP_Species_Support!BF53)^2*(S13_PSP_Species_Support!BG53*(1-EXP(-S13_PSP_Species_Support!BH53*17))^S13_PSP_Species_Support!BI53))^0.976,0)+IFERROR(S13_PSP_Species_Support!BM53*0.0673*(S13_PSP_Species_Support!BN53*(S13_PSP_Species_Support!BO53*(1-EXP(-S13_PSP_Species_Support!BP53*17))^S13_PSP_Species_Support!BQ53)^2*(S13_PSP_Species_Support!BR53*(1-EXP(-S13_PSP_Species_Support!BS53*17))^S13_PSP_Species_Support!BT53))^0.976,0)+IFERROR(S13_PSP_Species_Support!BX53*0.0673*(S13_PSP_Species_Support!BY53*(S13_PSP_Species_Support!BZ53*(1-EXP(-S13_PSP_Species_Support!CA53*17))^S13_PSP_Species_Support!CB53)^2*(S13_PSP_Species_Support!CC53*(1-EXP(-S13_PSP_Species_Support!CD53*17))^S13_PSP_Species_Support!CE53))^0.976,0)+IFERROR(S13_PSP_Species_Support!CI53*0.0673*(S13_PSP_Species_Support!CJ53*(S13_PSP_Species_Support!CK53*(1-EXP(-S13_PSP_Species_Support!CL53*17))^S13_PSP_Species_Support!CM53)^2*(S13_PSP_Species_Support!CN53*(1-EXP(-S13_PSP_Species_Support!CO53*17))^S13_PSP_Species_Support!CP53))^0.976,0)+IFERROR(S13_PSP_Species_Support!CT53*0.0673*(S13_PSP_Species_Support!CU53*(S13_PSP_Species_Support!CV53*(1-EXP(-S13_PSP_Species_Support!CW53*17))^S13_PSP_Species_Support!CX53)^2*(S13_PSP_Species_Support!CY53*(1-EXP(-S13_PSP_Species_Support!CZ53*17))^S13_PSP_Species_Support!DA53))^0.976,0))/1000/$G66*Z$108,0)</x:f>
        <x:v>1098.6657320198196</x:v>
      </x:c>
      <x:c r="AA66" s="147" t="n">
        <x:f aca="0">IFERROR((IFERROR(S13_PSP_Species_Support!U53*0.0673*(S13_PSP_Species_Support!V53*(S13_PSP_Species_Support!W53*(1-EXP(-S13_PSP_Species_Support!X53*18))^S13_PSP_Species_Support!Y53)^2*(S13_PSP_Species_Support!Z53*(1-EXP(-S13_PSP_Species_Support!AA53*18))^S13_PSP_Species_Support!AB53))^0.976,0)+IFERROR(S13_PSP_Species_Support!AF53*0.0673*(S13_PSP_Species_Support!AG53*(S13_PSP_Species_Support!AH53*(1-EXP(-S13_PSP_Species_Support!AI53*18))^S13_PSP_Species_Support!AJ53)^2*(S13_PSP_Species_Support!AK53*(1-EXP(-S13_PSP_Species_Support!AL53*18))^S13_PSP_Species_Support!AM53))^0.976,0)+IFERROR(S13_PSP_Species_Support!AQ53*0.0673*(S13_PSP_Species_Support!AR53*(S13_PSP_Species_Support!AS53*(1-EXP(-S13_PSP_Species_Support!AT53*18))^S13_PSP_Species_Support!AU53)^2*(S13_PSP_Species_Support!AV53*(1-EXP(-S13_PSP_Species_Support!AW53*18))^S13_PSP_Species_Support!AX53))^0.976,0)+IFERROR(S13_PSP_Species_Support!BB53*0.0673*(S13_PSP_Species_Support!BC53*(S13_PSP_Species_Support!BD53*(1-EXP(-S13_PSP_Species_Support!BE53*18))^S13_PSP_Species_Support!BF53)^2*(S13_PSP_Species_Support!BG53*(1-EXP(-S13_PSP_Species_Support!BH53*18))^S13_PSP_Species_Support!BI53))^0.976,0)+IFERROR(S13_PSP_Species_Support!BM53*0.0673*(S13_PSP_Species_Support!BN53*(S13_PSP_Species_Support!BO53*(1-EXP(-S13_PSP_Species_Support!BP53*18))^S13_PSP_Species_Support!BQ53)^2*(S13_PSP_Species_Support!BR53*(1-EXP(-S13_PSP_Species_Support!BS53*18))^S13_PSP_Species_Support!BT53))^0.976,0)+IFERROR(S13_PSP_Species_Support!BX53*0.0673*(S13_PSP_Species_Support!BY53*(S13_PSP_Species_Support!BZ53*(1-EXP(-S13_PSP_Species_Support!CA53*18))^S13_PSP_Species_Support!CB53)^2*(S13_PSP_Species_Support!CC53*(1-EXP(-S13_PSP_Species_Support!CD53*18))^S13_PSP_Species_Support!CE53))^0.976,0)+IFERROR(S13_PSP_Species_Support!CI53*0.0673*(S13_PSP_Species_Support!CJ53*(S13_PSP_Species_Support!CK53*(1-EXP(-S13_PSP_Species_Support!CL53*18))^S13_PSP_Species_Support!CM53)^2*(S13_PSP_Species_Support!CN53*(1-EXP(-S13_PSP_Species_Support!CO53*18))^S13_PSP_Species_Support!CP53))^0.976,0)+IFERROR(S13_PSP_Species_Support!CT53*0.0673*(S13_PSP_Species_Support!CU53*(S13_PSP_Species_Support!CV53*(1-EXP(-S13_PSP_Species_Support!CW53*18))^S13_PSP_Species_Support!CX53)^2*(S13_PSP_Species_Support!CY53*(1-EXP(-S13_PSP_Species_Support!CZ53*18))^S13_PSP_Species_Support!DA53))^0.976,0))/1000/$G66*AA$108,0)</x:f>
        <x:v>1134.8471199210383</x:v>
      </x:c>
      <x:c r="AB66" s="147" t="n">
        <x:f aca="0">IFERROR((IFERROR(S13_PSP_Species_Support!U53*0.0673*(S13_PSP_Species_Support!V53*(S13_PSP_Species_Support!W53*(1-EXP(-S13_PSP_Species_Support!X53*19))^S13_PSP_Species_Support!Y53)^2*(S13_PSP_Species_Support!Z53*(1-EXP(-S13_PSP_Species_Support!AA53*19))^S13_PSP_Species_Support!AB53))^0.976,0)+IFERROR(S13_PSP_Species_Support!AF53*0.0673*(S13_PSP_Species_Support!AG53*(S13_PSP_Species_Support!AH53*(1-EXP(-S13_PSP_Species_Support!AI53*19))^S13_PSP_Species_Support!AJ53)^2*(S13_PSP_Species_Support!AK53*(1-EXP(-S13_PSP_Species_Support!AL53*19))^S13_PSP_Species_Support!AM53))^0.976,0)+IFERROR(S13_PSP_Species_Support!AQ53*0.0673*(S13_PSP_Species_Support!AR53*(S13_PSP_Species_Support!AS53*(1-EXP(-S13_PSP_Species_Support!AT53*19))^S13_PSP_Species_Support!AU53)^2*(S13_PSP_Species_Support!AV53*(1-EXP(-S13_PSP_Species_Support!AW53*19))^S13_PSP_Species_Support!AX53))^0.976,0)+IFERROR(S13_PSP_Species_Support!BB53*0.0673*(S13_PSP_Species_Support!BC53*(S13_PSP_Species_Support!BD53*(1-EXP(-S13_PSP_Species_Support!BE53*19))^S13_PSP_Species_Support!BF53)^2*(S13_PSP_Species_Support!BG53*(1-EXP(-S13_PSP_Species_Support!BH53*19))^S13_PSP_Species_Support!BI53))^0.976,0)+IFERROR(S13_PSP_Species_Support!BM53*0.0673*(S13_PSP_Species_Support!BN53*(S13_PSP_Species_Support!BO53*(1-EXP(-S13_PSP_Species_Support!BP53*19))^S13_PSP_Species_Support!BQ53)^2*(S13_PSP_Species_Support!BR53*(1-EXP(-S13_PSP_Species_Support!BS53*19))^S13_PSP_Species_Support!BT53))^0.976,0)+IFERROR(S13_PSP_Species_Support!BX53*0.0673*(S13_PSP_Species_Support!BY53*(S13_PSP_Species_Support!BZ53*(1-EXP(-S13_PSP_Species_Support!CA53*19))^S13_PSP_Species_Support!CB53)^2*(S13_PSP_Species_Support!CC53*(1-EXP(-S13_PSP_Species_Support!CD53*19))^S13_PSP_Species_Support!CE53))^0.976,0)+IFERROR(S13_PSP_Species_Support!CI53*0.0673*(S13_PSP_Species_Support!CJ53*(S13_PSP_Species_Support!CK53*(1-EXP(-S13_PSP_Species_Support!CL53*19))^S13_PSP_Species_Support!CM53)^2*(S13_PSP_Species_Support!CN53*(1-EXP(-S13_PSP_Species_Support!CO53*19))^S13_PSP_Species_Support!CP53))^0.976,0)+IFERROR(S13_PSP_Species_Support!CT53*0.0673*(S13_PSP_Species_Support!CU53*(S13_PSP_Species_Support!CV53*(1-EXP(-S13_PSP_Species_Support!CW53*19))^S13_PSP_Species_Support!CX53)^2*(S13_PSP_Species_Support!CY53*(1-EXP(-S13_PSP_Species_Support!CZ53*19))^S13_PSP_Species_Support!DA53))^0.976,0))/1000/$G66*AB$108,0)</x:f>
        <x:v>1166.013163190208</x:v>
      </x:c>
      <x:c r="AC66" s="147" t="n">
        <x:f aca="0">IFERROR((IFERROR(S13_PSP_Species_Support!U53*0.0673*(S13_PSP_Species_Support!V53*(S13_PSP_Species_Support!W53*(1-EXP(-S13_PSP_Species_Support!X53*20))^S13_PSP_Species_Support!Y53)^2*(S13_PSP_Species_Support!Z53*(1-EXP(-S13_PSP_Species_Support!AA53*20))^S13_PSP_Species_Support!AB53))^0.976,0)+IFERROR(S13_PSP_Species_Support!AF53*0.0673*(S13_PSP_Species_Support!AG53*(S13_PSP_Species_Support!AH53*(1-EXP(-S13_PSP_Species_Support!AI53*20))^S13_PSP_Species_Support!AJ53)^2*(S13_PSP_Species_Support!AK53*(1-EXP(-S13_PSP_Species_Support!AL53*20))^S13_PSP_Species_Support!AM53))^0.976,0)+IFERROR(S13_PSP_Species_Support!AQ53*0.0673*(S13_PSP_Species_Support!AR53*(S13_PSP_Species_Support!AS53*(1-EXP(-S13_PSP_Species_Support!AT53*20))^S13_PSP_Species_Support!AU53)^2*(S13_PSP_Species_Support!AV53*(1-EXP(-S13_PSP_Species_Support!AW53*20))^S13_PSP_Species_Support!AX53))^0.976,0)+IFERROR(S13_PSP_Species_Support!BB53*0.0673*(S13_PSP_Species_Support!BC53*(S13_PSP_Species_Support!BD53*(1-EXP(-S13_PSP_Species_Support!BE53*20))^S13_PSP_Species_Support!BF53)^2*(S13_PSP_Species_Support!BG53*(1-EXP(-S13_PSP_Species_Support!BH53*20))^S13_PSP_Species_Support!BI53))^0.976,0)+IFERROR(S13_PSP_Species_Support!BM53*0.0673*(S13_PSP_Species_Support!BN53*(S13_PSP_Species_Support!BO53*(1-EXP(-S13_PSP_Species_Support!BP53*20))^S13_PSP_Species_Support!BQ53)^2*(S13_PSP_Species_Support!BR53*(1-EXP(-S13_PSP_Species_Support!BS53*20))^S13_PSP_Species_Support!BT53))^0.976,0)+IFERROR(S13_PSP_Species_Support!BX53*0.0673*(S13_PSP_Species_Support!BY53*(S13_PSP_Species_Support!BZ53*(1-EXP(-S13_PSP_Species_Support!CA53*20))^S13_PSP_Species_Support!CB53)^2*(S13_PSP_Species_Support!CC53*(1-EXP(-S13_PSP_Species_Support!CD53*20))^S13_PSP_Species_Support!CE53))^0.976,0)+IFERROR(S13_PSP_Species_Support!CI53*0.0673*(S13_PSP_Species_Support!CJ53*(S13_PSP_Species_Support!CK53*(1-EXP(-S13_PSP_Species_Support!CL53*20))^S13_PSP_Species_Support!CM53)^2*(S13_PSP_Species_Support!CN53*(1-EXP(-S13_PSP_Species_Support!CO53*20))^S13_PSP_Species_Support!CP53))^0.976,0)+IFERROR(S13_PSP_Species_Support!CT53*0.0673*(S13_PSP_Species_Support!CU53*(S13_PSP_Species_Support!CV53*(1-EXP(-S13_PSP_Species_Support!CW53*20))^S13_PSP_Species_Support!CX53)^2*(S13_PSP_Species_Support!CY53*(1-EXP(-S13_PSP_Species_Support!CZ53*20))^S13_PSP_Species_Support!DA53))^0.976,0))/1000/$G66*AC$108,0)</x:f>
        <x:v>1192.7738905155713</x:v>
      </x:c>
      <x:c r="AD66" s="148" t="n">
        <x:f aca="0">IF(2020&lt;$F66,0,INDEX($I66:$AC66,1,2020-$F66+1))</x:f>
        <x:v>0</x:v>
      </x:c>
      <x:c r="AE66" s="148" t="n">
        <x:f aca="0">IF(2021&lt;$F66,0,INDEX($I66:$AC66,1,2021-$F66+1))</x:f>
        <x:v>1.5792056025731753</x:v>
      </x:c>
      <x:c r="AF66" s="148" t="n">
        <x:f aca="0">IF(2022&lt;$F66,0,INDEX($I66:$AC66,1,2022-$F66+1))</x:f>
        <x:v>14.788771869854763</x:v>
      </x:c>
      <x:c r="AG66" s="148" t="n">
        <x:f aca="0">IF(2023&lt;$F66,0,INDEX($I66:$AC66,1,2023-$F66+1))</x:f>
        <x:v>48.603445554670095</x:v>
      </x:c>
      <x:c r="AH66" s="148" t="n">
        <x:f aca="0">IF(2024&lt;$F66,0,INDEX($I66:$AC66,1,2024-$F66+1))</x:f>
        <x:v>105.26666695560067</x:v>
      </x:c>
      <x:c r="AI66" s="148" t="n">
        <x:f aca="0">IF(2025&lt;$F66,0,INDEX($I66:$AC66,1,2025-$F66+1))</x:f>
        <x:v>181.20205496150442</x:v>
      </x:c>
      <x:c r="AJ66" s="148" t="n">
        <x:f aca="0">IF(2026&lt;$F66,0,INDEX($I66:$AC66,1,2026-$F66+1))</x:f>
        <x:v>270.6576569024902</x:v>
      </x:c>
      <x:c r="AK66" s="148" t="n">
        <x:f aca="0">IF(2027&lt;$F66,0,INDEX($I66:$AC66,1,2027-$F66+1))</x:f>
        <x:v>367.5867880237863</x:v>
      </x:c>
      <x:c r="AL66" s="148" t="n">
        <x:f aca="0">IF(2028&lt;$F66,0,INDEX($I66:$AC66,1,2028-$F66+1))</x:f>
        <x:v>466.7172997329135</x:v>
      </x:c>
      <x:c r="AM66" s="148" t="n">
        <x:f aca="0">IF(2029&lt;$F66,0,INDEX($I66:$AC66,1,2029-$F66+1))</x:f>
        <x:v>563.9591353492232</x:v>
      </x:c>
      <x:c r="AN66" s="148" t="n">
        <x:f aca="0">IF(2030&lt;$F66,0,INDEX($I66:$AC66,1,2030-$F66+1))</x:f>
        <x:v>656.4332036043039</x:v>
      </x:c>
      <x:c r="AO66" s="148" t="n">
        <x:f aca="0">IF(2031&lt;$F66,0,INDEX($I66:$AC66,1,2031-$F66+1))</x:f>
        <x:v>742.318578141844</x:v>
      </x:c>
      <x:c r="AP66" s="148" t="n">
        <x:f aca="0">IF(2032&lt;$F66,0,INDEX($I66:$AC66,1,2032-$F66+1))</x:f>
        <x:v>820.6362707385016</x:v>
      </x:c>
      <x:c r="AQ66" s="148" t="n">
        <x:f aca="0">IF(2033&lt;$F66,0,INDEX($I66:$AC66,1,2033-$F66+1))</x:f>
        <x:v>891.032441284471</x:v>
      </x:c>
      <x:c r="AR66" s="148" t="n">
        <x:f aca="0">IF(2034&lt;$F66,0,INDEX($I66:$AC66,1,2034-$F66+1))</x:f>
        <x:v>953.5896019038975</x:v>
      </x:c>
      <x:c r="AS66" s="148" t="n">
        <x:f aca="0">IF(2035&lt;$F66,0,INDEX($I66:$AC66,1,2035-$F66+1))</x:f>
        <x:v>1008.6750427845977</x:v>
      </x:c>
      <x:c r="AT66" s="148" t="n">
        <x:f aca="0">IF(2036&lt;$F66,0,INDEX($I66:$AC66,1,2036-$F66+1))</x:f>
        <x:v>1056.8258669341603</x:v>
      </x:c>
      <x:c r="AU66" s="148" t="n">
        <x:f aca="0">IF(2037&lt;$F66,0,INDEX($I66:$AC66,1,2037-$F66+1))</x:f>
        <x:v>1098.6657320198196</x:v>
      </x:c>
      <x:c r="AV66" s="148" t="n">
        <x:f aca="0">IF(2038&lt;$F66,0,INDEX($I66:$AC66,1,2038-$F66+1))</x:f>
        <x:v>1134.8471199210383</x:v>
      </x:c>
      <x:c r="AW66" s="148" t="n">
        <x:f aca="0">IF(2039&lt;$F66,0,INDEX($I66:$AC66,1,2039-$F66+1))</x:f>
        <x:v>1166.013163190208</x:v>
      </x:c>
      <x:c r="AX66" s="148" t="n">
        <x:f aca="0">IF(2040&lt;$F66,0,INDEX($I66:$AC66,1,2040-$F66+1))</x:f>
        <x:v>1192.7738905155713</x:v>
      </x:c>
      <x:c r="AY66" s="1" t="str">
        <x:f aca="0">LEFT($C66,FIND("@",SUBSTITUTE($C66,"|","@",2))-1)</x:f>
        <x:v>Timber Plantation|Medium</x:v>
      </x:c>
      <x:c r="AZ66" s="1" t="str">
        <x:f aca="0">LEFT($C66,FIND("|",$C66)-1)</x:f>
        <x:v>Timber Plantation</x:v>
      </x:c>
      <x:c r="BA66" s="149" t="n">
        <x:f aca="0">I66*I66</x:f>
        <x:v>0</x:v>
      </x:c>
      <x:c r="BB66" s="149" t="n">
        <x:f aca="0">J66*J66</x:f>
        <x:v>2.493890335198506</x:v>
      </x:c>
      <x:c r="BC66" s="149" t="n">
        <x:f aca="0">K66*K66</x:f>
        <x:v>218.70777341860753</x:v>
      </x:c>
      <x:c r="BD66" s="149" t="n">
        <x:f aca="0">L66*L66</x:f>
        <x:v>2362.29491978578</x:v>
      </x:c>
      <x:c r="BE66" s="149" t="n">
        <x:f aca="0">M66*M66</x:f>
        <x:v>11081.07117194135</x:v>
      </x:c>
      <x:c r="BF66" s="149" t="n">
        <x:f aca="0">N66*N66</x:f>
        <x:v>32834.18472227207</x:v>
      </x:c>
      <x:c r="BG66" s="149" t="n">
        <x:f aca="0">O66*O66</x:f>
        <x:v>73255.5672399461</x:v>
      </x:c>
      <x:c r="BH66" s="149" t="n">
        <x:f aca="0">P66*P66</x:f>
        <x:v>135120.046729644</x:v>
      </x:c>
      <x:c r="BI66" s="149" t="n">
        <x:f aca="0">Q66*Q66</x:f>
        <x:v>217825.03786998222</x:v>
      </x:c>
      <x:c r="BJ66" s="149" t="n">
        <x:f aca="0">R66*R66</x:f>
        <x:v>318049.90634384344</x:v>
      </x:c>
      <x:c r="BK66" s="149" t="n">
        <x:f aca="0">S66*S66</x:f>
        <x:v>430904.5507942095</x:v>
      </x:c>
      <x:c r="BL66" s="149" t="n">
        <x:f aca="0">T66*T66</x:f>
        <x:v>551036.871454529</x:v>
      </x:c>
      <x:c r="BM66" s="149" t="n">
        <x:f aca="0">U66*U66</x:f>
        <x:v>673443.8888515953</x:v>
      </x:c>
      <x:c r="BN66" s="149" t="n">
        <x:f aca="0">V66*V66</x:f>
        <x:v>793938.8114213643</x:v>
      </x:c>
      <x:c r="BO66" s="149" t="n">
        <x:f aca="0">W66*W66</x:f>
        <x:v>909333.1288592337</x:v>
      </x:c>
      <x:c r="BP66" s="149" t="n">
        <x:f aca="0">X66*X66</x:f>
        <x:v>1017425.34193651</x:v>
      </x:c>
      <x:c r="BQ66" s="149" t="n">
        <x:f aca="0">Y66*Y66</x:f>
        <x:v>1116880.9130211396</x:v>
      </x:c>
      <x:c r="BR66" s="149" t="n">
        <x:f aca="0">Z66*Z66</x:f>
        <x:v>1207066.390714646</x:v>
      </x:c>
      <x:c r="BS66" s="149" t="n">
        <x:f aca="0">AA66*AA66</x:f>
        <x:v>1287877.9855930754</x:v>
      </x:c>
      <x:c r="BT66" s="149" t="n">
        <x:f aca="0">AB66*AB66</x:f>
        <x:v>1359586.6967328344</x:v>
      </x:c>
      <x:c r="BU66" s="149" t="n">
        <x:f aca="0">AC66*AC66</x:f>
        <x:v>1422709.553895652</x:v>
      </x:c>
    </x:row>
    <x:row r="67" ht="15" hidden="0" customHeight="1">
      <x:c r="A67" s="1" t="str">
        <x:f aca="0">S13_PSP_Species_Support!A54</x:f>
        <x:v>PSP-TP-013</x:v>
      </x:c>
      <x:c r="B67" s="1" t="n">
        <x:f aca="0">54</x:f>
        <x:v>54</x:v>
      </x:c>
      <x:c r="C67" s="1" t="str">
        <x:f aca="0">S13_PSP_Species_Support!I54</x:f>
        <x:v>Timber Plantation|Medium|2020</x:v>
      </x:c>
      <x:c r="D67" s="1" t="str">
        <x:f aca="0">S13_PSP_Species_Support!C54</x:f>
        <x:v>Timber Plantation</x:v>
      </x:c>
      <x:c r="E67" s="1" t="str">
        <x:f aca="0">S13_PSP_Species_Support!D54</x:f>
        <x:v>Medium</x:v>
      </x:c>
      <x:c r="F67" s="1" t="n">
        <x:f aca="0">S13_PSP_Species_Support!E54</x:f>
        <x:v>2020</x:v>
      </x:c>
      <x:c r="G67" s="645" t="n">
        <x:f aca="0">'S13_PSP_Species_Support'!DJ54</x:f>
        <x:v>0.09</x:v>
      </x:c>
      <x:c r="H67" s="714" t="n">
        <x:f aca="0">'S13_PSP_Species_Support'!DK54</x:f>
        <x:v>85.68164508758568</x:v>
      </x:c>
      <x:c r="I67" s="147" t="n">
        <x:f aca="0">IFERROR((IFERROR(S13_PSP_Species_Support!U54*0.0673*(S13_PSP_Species_Support!V54*(S13_PSP_Species_Support!W54*(1-EXP(-S13_PSP_Species_Support!X54*0))^S13_PSP_Species_Support!Y54)^2*(S13_PSP_Species_Support!Z54*(1-EXP(-S13_PSP_Species_Support!AA54*0))^S13_PSP_Species_Support!AB54))^0.976,0)+IFERROR(S13_PSP_Species_Support!AF54*0.0673*(S13_PSP_Species_Support!AG54*(S13_PSP_Species_Support!AH54*(1-EXP(-S13_PSP_Species_Support!AI54*0))^S13_PSP_Species_Support!AJ54)^2*(S13_PSP_Species_Support!AK54*(1-EXP(-S13_PSP_Species_Support!AL54*0))^S13_PSP_Species_Support!AM54))^0.976,0)+IFERROR(S13_PSP_Species_Support!AQ54*0.0673*(S13_PSP_Species_Support!AR54*(S13_PSP_Species_Support!AS54*(1-EXP(-S13_PSP_Species_Support!AT54*0))^S13_PSP_Species_Support!AU54)^2*(S13_PSP_Species_Support!AV54*(1-EXP(-S13_PSP_Species_Support!AW54*0))^S13_PSP_Species_Support!AX54))^0.976,0)+IFERROR(S13_PSP_Species_Support!BB54*0.0673*(S13_PSP_Species_Support!BC54*(S13_PSP_Species_Support!BD54*(1-EXP(-S13_PSP_Species_Support!BE54*0))^S13_PSP_Species_Support!BF54)^2*(S13_PSP_Species_Support!BG54*(1-EXP(-S13_PSP_Species_Support!BH54*0))^S13_PSP_Species_Support!BI54))^0.976,0)+IFERROR(S13_PSP_Species_Support!BM54*0.0673*(S13_PSP_Species_Support!BN54*(S13_PSP_Species_Support!BO54*(1-EXP(-S13_PSP_Species_Support!BP54*0))^S13_PSP_Species_Support!BQ54)^2*(S13_PSP_Species_Support!BR54*(1-EXP(-S13_PSP_Species_Support!BS54*0))^S13_PSP_Species_Support!BT54))^0.976,0)+IFERROR(S13_PSP_Species_Support!BX54*0.0673*(S13_PSP_Species_Support!BY54*(S13_PSP_Species_Support!BZ54*(1-EXP(-S13_PSP_Species_Support!CA54*0))^S13_PSP_Species_Support!CB54)^2*(S13_PSP_Species_Support!CC54*(1-EXP(-S13_PSP_Species_Support!CD54*0))^S13_PSP_Species_Support!CE54))^0.976,0)+IFERROR(S13_PSP_Species_Support!CI54*0.0673*(S13_PSP_Species_Support!CJ54*(S13_PSP_Species_Support!CK54*(1-EXP(-S13_PSP_Species_Support!CL54*0))^S13_PSP_Species_Support!CM54)^2*(S13_PSP_Species_Support!CN54*(1-EXP(-S13_PSP_Species_Support!CO54*0))^S13_PSP_Species_Support!CP54))^0.976,0)+IFERROR(S13_PSP_Species_Support!CT54*0.0673*(S13_PSP_Species_Support!CU54*(S13_PSP_Species_Support!CV54*(1-EXP(-S13_PSP_Species_Support!CW54*0))^S13_PSP_Species_Support!CX54)^2*(S13_PSP_Species_Support!CY54*(1-EXP(-S13_PSP_Species_Support!CZ54*0))^S13_PSP_Species_Support!DA54))^0.976,0))/1000/$G67*I$108,0)</x:f>
        <x:v>0</x:v>
      </x:c>
      <x:c r="J67" s="147" t="n">
        <x:f aca="0">IFERROR((IFERROR(S13_PSP_Species_Support!U54*0.0673*(S13_PSP_Species_Support!V54*(S13_PSP_Species_Support!W54*(1-EXP(-S13_PSP_Species_Support!X54*1))^S13_PSP_Species_Support!Y54)^2*(S13_PSP_Species_Support!Z54*(1-EXP(-S13_PSP_Species_Support!AA54*1))^S13_PSP_Species_Support!AB54))^0.976,0)+IFERROR(S13_PSP_Species_Support!AF54*0.0673*(S13_PSP_Species_Support!AG54*(S13_PSP_Species_Support!AH54*(1-EXP(-S13_PSP_Species_Support!AI54*1))^S13_PSP_Species_Support!AJ54)^2*(S13_PSP_Species_Support!AK54*(1-EXP(-S13_PSP_Species_Support!AL54*1))^S13_PSP_Species_Support!AM54))^0.976,0)+IFERROR(S13_PSP_Species_Support!AQ54*0.0673*(S13_PSP_Species_Support!AR54*(S13_PSP_Species_Support!AS54*(1-EXP(-S13_PSP_Species_Support!AT54*1))^S13_PSP_Species_Support!AU54)^2*(S13_PSP_Species_Support!AV54*(1-EXP(-S13_PSP_Species_Support!AW54*1))^S13_PSP_Species_Support!AX54))^0.976,0)+IFERROR(S13_PSP_Species_Support!BB54*0.0673*(S13_PSP_Species_Support!BC54*(S13_PSP_Species_Support!BD54*(1-EXP(-S13_PSP_Species_Support!BE54*1))^S13_PSP_Species_Support!BF54)^2*(S13_PSP_Species_Support!BG54*(1-EXP(-S13_PSP_Species_Support!BH54*1))^S13_PSP_Species_Support!BI54))^0.976,0)+IFERROR(S13_PSP_Species_Support!BM54*0.0673*(S13_PSP_Species_Support!BN54*(S13_PSP_Species_Support!BO54*(1-EXP(-S13_PSP_Species_Support!BP54*1))^S13_PSP_Species_Support!BQ54)^2*(S13_PSP_Species_Support!BR54*(1-EXP(-S13_PSP_Species_Support!BS54*1))^S13_PSP_Species_Support!BT54))^0.976,0)+IFERROR(S13_PSP_Species_Support!BX54*0.0673*(S13_PSP_Species_Support!BY54*(S13_PSP_Species_Support!BZ54*(1-EXP(-S13_PSP_Species_Support!CA54*1))^S13_PSP_Species_Support!CB54)^2*(S13_PSP_Species_Support!CC54*(1-EXP(-S13_PSP_Species_Support!CD54*1))^S13_PSP_Species_Support!CE54))^0.976,0)+IFERROR(S13_PSP_Species_Support!CI54*0.0673*(S13_PSP_Species_Support!CJ54*(S13_PSP_Species_Support!CK54*(1-EXP(-S13_PSP_Species_Support!CL54*1))^S13_PSP_Species_Support!CM54)^2*(S13_PSP_Species_Support!CN54*(1-EXP(-S13_PSP_Species_Support!CO54*1))^S13_PSP_Species_Support!CP54))^0.976,0)+IFERROR(S13_PSP_Species_Support!CT54*0.0673*(S13_PSP_Species_Support!CU54*(S13_PSP_Species_Support!CV54*(1-EXP(-S13_PSP_Species_Support!CW54*1))^S13_PSP_Species_Support!CX54)^2*(S13_PSP_Species_Support!CY54*(1-EXP(-S13_PSP_Species_Support!CZ54*1))^S13_PSP_Species_Support!DA54))^0.976,0))/1000/$G67*J$108,0)</x:f>
        <x:v>0.25987049135102147</x:v>
      </x:c>
      <x:c r="K67" s="147" t="n">
        <x:f aca="0">IFERROR((IFERROR(S13_PSP_Species_Support!U54*0.0673*(S13_PSP_Species_Support!V54*(S13_PSP_Species_Support!W54*(1-EXP(-S13_PSP_Species_Support!X54*2))^S13_PSP_Species_Support!Y54)^2*(S13_PSP_Species_Support!Z54*(1-EXP(-S13_PSP_Species_Support!AA54*2))^S13_PSP_Species_Support!AB54))^0.976,0)+IFERROR(S13_PSP_Species_Support!AF54*0.0673*(S13_PSP_Species_Support!AG54*(S13_PSP_Species_Support!AH54*(1-EXP(-S13_PSP_Species_Support!AI54*2))^S13_PSP_Species_Support!AJ54)^2*(S13_PSP_Species_Support!AK54*(1-EXP(-S13_PSP_Species_Support!AL54*2))^S13_PSP_Species_Support!AM54))^0.976,0)+IFERROR(S13_PSP_Species_Support!AQ54*0.0673*(S13_PSP_Species_Support!AR54*(S13_PSP_Species_Support!AS54*(1-EXP(-S13_PSP_Species_Support!AT54*2))^S13_PSP_Species_Support!AU54)^2*(S13_PSP_Species_Support!AV54*(1-EXP(-S13_PSP_Species_Support!AW54*2))^S13_PSP_Species_Support!AX54))^0.976,0)+IFERROR(S13_PSP_Species_Support!BB54*0.0673*(S13_PSP_Species_Support!BC54*(S13_PSP_Species_Support!BD54*(1-EXP(-S13_PSP_Species_Support!BE54*2))^S13_PSP_Species_Support!BF54)^2*(S13_PSP_Species_Support!BG54*(1-EXP(-S13_PSP_Species_Support!BH54*2))^S13_PSP_Species_Support!BI54))^0.976,0)+IFERROR(S13_PSP_Species_Support!BM54*0.0673*(S13_PSP_Species_Support!BN54*(S13_PSP_Species_Support!BO54*(1-EXP(-S13_PSP_Species_Support!BP54*2))^S13_PSP_Species_Support!BQ54)^2*(S13_PSP_Species_Support!BR54*(1-EXP(-S13_PSP_Species_Support!BS54*2))^S13_PSP_Species_Support!BT54))^0.976,0)+IFERROR(S13_PSP_Species_Support!BX54*0.0673*(S13_PSP_Species_Support!BY54*(S13_PSP_Species_Support!BZ54*(1-EXP(-S13_PSP_Species_Support!CA54*2))^S13_PSP_Species_Support!CB54)^2*(S13_PSP_Species_Support!CC54*(1-EXP(-S13_PSP_Species_Support!CD54*2))^S13_PSP_Species_Support!CE54))^0.976,0)+IFERROR(S13_PSP_Species_Support!CI54*0.0673*(S13_PSP_Species_Support!CJ54*(S13_PSP_Species_Support!CK54*(1-EXP(-S13_PSP_Species_Support!CL54*2))^S13_PSP_Species_Support!CM54)^2*(S13_PSP_Species_Support!CN54*(1-EXP(-S13_PSP_Species_Support!CO54*2))^S13_PSP_Species_Support!CP54))^0.976,0)+IFERROR(S13_PSP_Species_Support!CT54*0.0673*(S13_PSP_Species_Support!CU54*(S13_PSP_Species_Support!CV54*(1-EXP(-S13_PSP_Species_Support!CW54*2))^S13_PSP_Species_Support!CX54)^2*(S13_PSP_Species_Support!CY54*(1-EXP(-S13_PSP_Species_Support!CZ54*2))^S13_PSP_Species_Support!DA54))^0.976,0))/1000/$G67*K$108,0)</x:f>
        <x:v>3.1275850934224905</x:v>
      </x:c>
      <x:c r="L67" s="147" t="n">
        <x:f aca="0">IFERROR((IFERROR(S13_PSP_Species_Support!U54*0.0673*(S13_PSP_Species_Support!V54*(S13_PSP_Species_Support!W54*(1-EXP(-S13_PSP_Species_Support!X54*3))^S13_PSP_Species_Support!Y54)^2*(S13_PSP_Species_Support!Z54*(1-EXP(-S13_PSP_Species_Support!AA54*3))^S13_PSP_Species_Support!AB54))^0.976,0)+IFERROR(S13_PSP_Species_Support!AF54*0.0673*(S13_PSP_Species_Support!AG54*(S13_PSP_Species_Support!AH54*(1-EXP(-S13_PSP_Species_Support!AI54*3))^S13_PSP_Species_Support!AJ54)^2*(S13_PSP_Species_Support!AK54*(1-EXP(-S13_PSP_Species_Support!AL54*3))^S13_PSP_Species_Support!AM54))^0.976,0)+IFERROR(S13_PSP_Species_Support!AQ54*0.0673*(S13_PSP_Species_Support!AR54*(S13_PSP_Species_Support!AS54*(1-EXP(-S13_PSP_Species_Support!AT54*3))^S13_PSP_Species_Support!AU54)^2*(S13_PSP_Species_Support!AV54*(1-EXP(-S13_PSP_Species_Support!AW54*3))^S13_PSP_Species_Support!AX54))^0.976,0)+IFERROR(S13_PSP_Species_Support!BB54*0.0673*(S13_PSP_Species_Support!BC54*(S13_PSP_Species_Support!BD54*(1-EXP(-S13_PSP_Species_Support!BE54*3))^S13_PSP_Species_Support!BF54)^2*(S13_PSP_Species_Support!BG54*(1-EXP(-S13_PSP_Species_Support!BH54*3))^S13_PSP_Species_Support!BI54))^0.976,0)+IFERROR(S13_PSP_Species_Support!BM54*0.0673*(S13_PSP_Species_Support!BN54*(S13_PSP_Species_Support!BO54*(1-EXP(-S13_PSP_Species_Support!BP54*3))^S13_PSP_Species_Support!BQ54)^2*(S13_PSP_Species_Support!BR54*(1-EXP(-S13_PSP_Species_Support!BS54*3))^S13_PSP_Species_Support!BT54))^0.976,0)+IFERROR(S13_PSP_Species_Support!BX54*0.0673*(S13_PSP_Species_Support!BY54*(S13_PSP_Species_Support!BZ54*(1-EXP(-S13_PSP_Species_Support!CA54*3))^S13_PSP_Species_Support!CB54)^2*(S13_PSP_Species_Support!CC54*(1-EXP(-S13_PSP_Species_Support!CD54*3))^S13_PSP_Species_Support!CE54))^0.976,0)+IFERROR(S13_PSP_Species_Support!CI54*0.0673*(S13_PSP_Species_Support!CJ54*(S13_PSP_Species_Support!CK54*(1-EXP(-S13_PSP_Species_Support!CL54*3))^S13_PSP_Species_Support!CM54)^2*(S13_PSP_Species_Support!CN54*(1-EXP(-S13_PSP_Species_Support!CO54*3))^S13_PSP_Species_Support!CP54))^0.976,0)+IFERROR(S13_PSP_Species_Support!CT54*0.0673*(S13_PSP_Species_Support!CU54*(S13_PSP_Species_Support!CV54*(1-EXP(-S13_PSP_Species_Support!CW54*3))^S13_PSP_Species_Support!CX54)^2*(S13_PSP_Species_Support!CY54*(1-EXP(-S13_PSP_Species_Support!CZ54*3))^S13_PSP_Species_Support!DA54))^0.976,0))/1000/$G67*L$108,0)</x:f>
        <x:v>12.083469929422963</x:v>
      </x:c>
      <x:c r="M67" s="147" t="n">
        <x:f aca="0">IFERROR((IFERROR(S13_PSP_Species_Support!U54*0.0673*(S13_PSP_Species_Support!V54*(S13_PSP_Species_Support!W54*(1-EXP(-S13_PSP_Species_Support!X54*4))^S13_PSP_Species_Support!Y54)^2*(S13_PSP_Species_Support!Z54*(1-EXP(-S13_PSP_Species_Support!AA54*4))^S13_PSP_Species_Support!AB54))^0.976,0)+IFERROR(S13_PSP_Species_Support!AF54*0.0673*(S13_PSP_Species_Support!AG54*(S13_PSP_Species_Support!AH54*(1-EXP(-S13_PSP_Species_Support!AI54*4))^S13_PSP_Species_Support!AJ54)^2*(S13_PSP_Species_Support!AK54*(1-EXP(-S13_PSP_Species_Support!AL54*4))^S13_PSP_Species_Support!AM54))^0.976,0)+IFERROR(S13_PSP_Species_Support!AQ54*0.0673*(S13_PSP_Species_Support!AR54*(S13_PSP_Species_Support!AS54*(1-EXP(-S13_PSP_Species_Support!AT54*4))^S13_PSP_Species_Support!AU54)^2*(S13_PSP_Species_Support!AV54*(1-EXP(-S13_PSP_Species_Support!AW54*4))^S13_PSP_Species_Support!AX54))^0.976,0)+IFERROR(S13_PSP_Species_Support!BB54*0.0673*(S13_PSP_Species_Support!BC54*(S13_PSP_Species_Support!BD54*(1-EXP(-S13_PSP_Species_Support!BE54*4))^S13_PSP_Species_Support!BF54)^2*(S13_PSP_Species_Support!BG54*(1-EXP(-S13_PSP_Species_Support!BH54*4))^S13_PSP_Species_Support!BI54))^0.976,0)+IFERROR(S13_PSP_Species_Support!BM54*0.0673*(S13_PSP_Species_Support!BN54*(S13_PSP_Species_Support!BO54*(1-EXP(-S13_PSP_Species_Support!BP54*4))^S13_PSP_Species_Support!BQ54)^2*(S13_PSP_Species_Support!BR54*(1-EXP(-S13_PSP_Species_Support!BS54*4))^S13_PSP_Species_Support!BT54))^0.976,0)+IFERROR(S13_PSP_Species_Support!BX54*0.0673*(S13_PSP_Species_Support!BY54*(S13_PSP_Species_Support!BZ54*(1-EXP(-S13_PSP_Species_Support!CA54*4))^S13_PSP_Species_Support!CB54)^2*(S13_PSP_Species_Support!CC54*(1-EXP(-S13_PSP_Species_Support!CD54*4))^S13_PSP_Species_Support!CE54))^0.976,0)+IFERROR(S13_PSP_Species_Support!CI54*0.0673*(S13_PSP_Species_Support!CJ54*(S13_PSP_Species_Support!CK54*(1-EXP(-S13_PSP_Species_Support!CL54*4))^S13_PSP_Species_Support!CM54)^2*(S13_PSP_Species_Support!CN54*(1-EXP(-S13_PSP_Species_Support!CO54*4))^S13_PSP_Species_Support!CP54))^0.976,0)+IFERROR(S13_PSP_Species_Support!CT54*0.0673*(S13_PSP_Species_Support!CU54*(S13_PSP_Species_Support!CV54*(1-EXP(-S13_PSP_Species_Support!CW54*4))^S13_PSP_Species_Support!CX54)^2*(S13_PSP_Species_Support!CY54*(1-EXP(-S13_PSP_Species_Support!CZ54*4))^S13_PSP_Species_Support!DA54))^0.976,0))/1000/$G67*M$108,0)</x:f>
        <x:v>29.607924588257134</x:v>
      </x:c>
      <x:c r="N67" s="147" t="n">
        <x:f aca="0">IFERROR((IFERROR(S13_PSP_Species_Support!U54*0.0673*(S13_PSP_Species_Support!V54*(S13_PSP_Species_Support!W54*(1-EXP(-S13_PSP_Species_Support!X54*5))^S13_PSP_Species_Support!Y54)^2*(S13_PSP_Species_Support!Z54*(1-EXP(-S13_PSP_Species_Support!AA54*5))^S13_PSP_Species_Support!AB54))^0.976,0)+IFERROR(S13_PSP_Species_Support!AF54*0.0673*(S13_PSP_Species_Support!AG54*(S13_PSP_Species_Support!AH54*(1-EXP(-S13_PSP_Species_Support!AI54*5))^S13_PSP_Species_Support!AJ54)^2*(S13_PSP_Species_Support!AK54*(1-EXP(-S13_PSP_Species_Support!AL54*5))^S13_PSP_Species_Support!AM54))^0.976,0)+IFERROR(S13_PSP_Species_Support!AQ54*0.0673*(S13_PSP_Species_Support!AR54*(S13_PSP_Species_Support!AS54*(1-EXP(-S13_PSP_Species_Support!AT54*5))^S13_PSP_Species_Support!AU54)^2*(S13_PSP_Species_Support!AV54*(1-EXP(-S13_PSP_Species_Support!AW54*5))^S13_PSP_Species_Support!AX54))^0.976,0)+IFERROR(S13_PSP_Species_Support!BB54*0.0673*(S13_PSP_Species_Support!BC54*(S13_PSP_Species_Support!BD54*(1-EXP(-S13_PSP_Species_Support!BE54*5))^S13_PSP_Species_Support!BF54)^2*(S13_PSP_Species_Support!BG54*(1-EXP(-S13_PSP_Species_Support!BH54*5))^S13_PSP_Species_Support!BI54))^0.976,0)+IFERROR(S13_PSP_Species_Support!BM54*0.0673*(S13_PSP_Species_Support!BN54*(S13_PSP_Species_Support!BO54*(1-EXP(-S13_PSP_Species_Support!BP54*5))^S13_PSP_Species_Support!BQ54)^2*(S13_PSP_Species_Support!BR54*(1-EXP(-S13_PSP_Species_Support!BS54*5))^S13_PSP_Species_Support!BT54))^0.976,0)+IFERROR(S13_PSP_Species_Support!BX54*0.0673*(S13_PSP_Species_Support!BY54*(S13_PSP_Species_Support!BZ54*(1-EXP(-S13_PSP_Species_Support!CA54*5))^S13_PSP_Species_Support!CB54)^2*(S13_PSP_Species_Support!CC54*(1-EXP(-S13_PSP_Species_Support!CD54*5))^S13_PSP_Species_Support!CE54))^0.976,0)+IFERROR(S13_PSP_Species_Support!CI54*0.0673*(S13_PSP_Species_Support!CJ54*(S13_PSP_Species_Support!CK54*(1-EXP(-S13_PSP_Species_Support!CL54*5))^S13_PSP_Species_Support!CM54)^2*(S13_PSP_Species_Support!CN54*(1-EXP(-S13_PSP_Species_Support!CO54*5))^S13_PSP_Species_Support!CP54))^0.976,0)+IFERROR(S13_PSP_Species_Support!CT54*0.0673*(S13_PSP_Species_Support!CU54*(S13_PSP_Species_Support!CV54*(1-EXP(-S13_PSP_Species_Support!CW54*5))^S13_PSP_Species_Support!CX54)^2*(S13_PSP_Species_Support!CY54*(1-EXP(-S13_PSP_Species_Support!CZ54*5))^S13_PSP_Species_Support!DA54))^0.976,0))/1000/$G67*N$108,0)</x:f>
        <x:v>56.385703052341626</x:v>
      </x:c>
      <x:c r="O67" s="147" t="n">
        <x:f aca="0">IFERROR((IFERROR(S13_PSP_Species_Support!U54*0.0673*(S13_PSP_Species_Support!V54*(S13_PSP_Species_Support!W54*(1-EXP(-S13_PSP_Species_Support!X54*6))^S13_PSP_Species_Support!Y54)^2*(S13_PSP_Species_Support!Z54*(1-EXP(-S13_PSP_Species_Support!AA54*6))^S13_PSP_Species_Support!AB54))^0.976,0)+IFERROR(S13_PSP_Species_Support!AF54*0.0673*(S13_PSP_Species_Support!AG54*(S13_PSP_Species_Support!AH54*(1-EXP(-S13_PSP_Species_Support!AI54*6))^S13_PSP_Species_Support!AJ54)^2*(S13_PSP_Species_Support!AK54*(1-EXP(-S13_PSP_Species_Support!AL54*6))^S13_PSP_Species_Support!AM54))^0.976,0)+IFERROR(S13_PSP_Species_Support!AQ54*0.0673*(S13_PSP_Species_Support!AR54*(S13_PSP_Species_Support!AS54*(1-EXP(-S13_PSP_Species_Support!AT54*6))^S13_PSP_Species_Support!AU54)^2*(S13_PSP_Species_Support!AV54*(1-EXP(-S13_PSP_Species_Support!AW54*6))^S13_PSP_Species_Support!AX54))^0.976,0)+IFERROR(S13_PSP_Species_Support!BB54*0.0673*(S13_PSP_Species_Support!BC54*(S13_PSP_Species_Support!BD54*(1-EXP(-S13_PSP_Species_Support!BE54*6))^S13_PSP_Species_Support!BF54)^2*(S13_PSP_Species_Support!BG54*(1-EXP(-S13_PSP_Species_Support!BH54*6))^S13_PSP_Species_Support!BI54))^0.976,0)+IFERROR(S13_PSP_Species_Support!BM54*0.0673*(S13_PSP_Species_Support!BN54*(S13_PSP_Species_Support!BO54*(1-EXP(-S13_PSP_Species_Support!BP54*6))^S13_PSP_Species_Support!BQ54)^2*(S13_PSP_Species_Support!BR54*(1-EXP(-S13_PSP_Species_Support!BS54*6))^S13_PSP_Species_Support!BT54))^0.976,0)+IFERROR(S13_PSP_Species_Support!BX54*0.0673*(S13_PSP_Species_Support!BY54*(S13_PSP_Species_Support!BZ54*(1-EXP(-S13_PSP_Species_Support!CA54*6))^S13_PSP_Species_Support!CB54)^2*(S13_PSP_Species_Support!CC54*(1-EXP(-S13_PSP_Species_Support!CD54*6))^S13_PSP_Species_Support!CE54))^0.976,0)+IFERROR(S13_PSP_Species_Support!CI54*0.0673*(S13_PSP_Species_Support!CJ54*(S13_PSP_Species_Support!CK54*(1-EXP(-S13_PSP_Species_Support!CL54*6))^S13_PSP_Species_Support!CM54)^2*(S13_PSP_Species_Support!CN54*(1-EXP(-S13_PSP_Species_Support!CO54*6))^S13_PSP_Species_Support!CP54))^0.976,0)+IFERROR(S13_PSP_Species_Support!CT54*0.0673*(S13_PSP_Species_Support!CU54*(S13_PSP_Species_Support!CV54*(1-EXP(-S13_PSP_Species_Support!CW54*6))^S13_PSP_Species_Support!CX54)^2*(S13_PSP_Species_Support!CY54*(1-EXP(-S13_PSP_Species_Support!CZ54*6))^S13_PSP_Species_Support!DA54))^0.976,0))/1000/$G67*O$108,0)</x:f>
        <x:v>91.77747214042424</x:v>
      </x:c>
      <x:c r="P67" s="147" t="n">
        <x:f aca="0">IFERROR((IFERROR(S13_PSP_Species_Support!U54*0.0673*(S13_PSP_Species_Support!V54*(S13_PSP_Species_Support!W54*(1-EXP(-S13_PSP_Species_Support!X54*7))^S13_PSP_Species_Support!Y54)^2*(S13_PSP_Species_Support!Z54*(1-EXP(-S13_PSP_Species_Support!AA54*7))^S13_PSP_Species_Support!AB54))^0.976,0)+IFERROR(S13_PSP_Species_Support!AF54*0.0673*(S13_PSP_Species_Support!AG54*(S13_PSP_Species_Support!AH54*(1-EXP(-S13_PSP_Species_Support!AI54*7))^S13_PSP_Species_Support!AJ54)^2*(S13_PSP_Species_Support!AK54*(1-EXP(-S13_PSP_Species_Support!AL54*7))^S13_PSP_Species_Support!AM54))^0.976,0)+IFERROR(S13_PSP_Species_Support!AQ54*0.0673*(S13_PSP_Species_Support!AR54*(S13_PSP_Species_Support!AS54*(1-EXP(-S13_PSP_Species_Support!AT54*7))^S13_PSP_Species_Support!AU54)^2*(S13_PSP_Species_Support!AV54*(1-EXP(-S13_PSP_Species_Support!AW54*7))^S13_PSP_Species_Support!AX54))^0.976,0)+IFERROR(S13_PSP_Species_Support!BB54*0.0673*(S13_PSP_Species_Support!BC54*(S13_PSP_Species_Support!BD54*(1-EXP(-S13_PSP_Species_Support!BE54*7))^S13_PSP_Species_Support!BF54)^2*(S13_PSP_Species_Support!BG54*(1-EXP(-S13_PSP_Species_Support!BH54*7))^S13_PSP_Species_Support!BI54))^0.976,0)+IFERROR(S13_PSP_Species_Support!BM54*0.0673*(S13_PSP_Species_Support!BN54*(S13_PSP_Species_Support!BO54*(1-EXP(-S13_PSP_Species_Support!BP54*7))^S13_PSP_Species_Support!BQ54)^2*(S13_PSP_Species_Support!BR54*(1-EXP(-S13_PSP_Species_Support!BS54*7))^S13_PSP_Species_Support!BT54))^0.976,0)+IFERROR(S13_PSP_Species_Support!BX54*0.0673*(S13_PSP_Species_Support!BY54*(S13_PSP_Species_Support!BZ54*(1-EXP(-S13_PSP_Species_Support!CA54*7))^S13_PSP_Species_Support!CB54)^2*(S13_PSP_Species_Support!CC54*(1-EXP(-S13_PSP_Species_Support!CD54*7))^S13_PSP_Species_Support!CE54))^0.976,0)+IFERROR(S13_PSP_Species_Support!CI54*0.0673*(S13_PSP_Species_Support!CJ54*(S13_PSP_Species_Support!CK54*(1-EXP(-S13_PSP_Species_Support!CL54*7))^S13_PSP_Species_Support!CM54)^2*(S13_PSP_Species_Support!CN54*(1-EXP(-S13_PSP_Species_Support!CO54*7))^S13_PSP_Species_Support!CP54))^0.976,0)+IFERROR(S13_PSP_Species_Support!CT54*0.0673*(S13_PSP_Species_Support!CU54*(S13_PSP_Species_Support!CV54*(1-EXP(-S13_PSP_Species_Support!CW54*7))^S13_PSP_Species_Support!CX54)^2*(S13_PSP_Species_Support!CY54*(1-EXP(-S13_PSP_Species_Support!CZ54*7))^S13_PSP_Species_Support!DA54))^0.976,0))/1000/$G67*P$108,0)</x:f>
        <x:v>134.30688170012394</x:v>
      </x:c>
      <x:c r="Q67" s="147" t="n">
        <x:f aca="0">IFERROR((IFERROR(S13_PSP_Species_Support!U54*0.0673*(S13_PSP_Species_Support!V54*(S13_PSP_Species_Support!W54*(1-EXP(-S13_PSP_Species_Support!X54*8))^S13_PSP_Species_Support!Y54)^2*(S13_PSP_Species_Support!Z54*(1-EXP(-S13_PSP_Species_Support!AA54*8))^S13_PSP_Species_Support!AB54))^0.976,0)+IFERROR(S13_PSP_Species_Support!AF54*0.0673*(S13_PSP_Species_Support!AG54*(S13_PSP_Species_Support!AH54*(1-EXP(-S13_PSP_Species_Support!AI54*8))^S13_PSP_Species_Support!AJ54)^2*(S13_PSP_Species_Support!AK54*(1-EXP(-S13_PSP_Species_Support!AL54*8))^S13_PSP_Species_Support!AM54))^0.976,0)+IFERROR(S13_PSP_Species_Support!AQ54*0.0673*(S13_PSP_Species_Support!AR54*(S13_PSP_Species_Support!AS54*(1-EXP(-S13_PSP_Species_Support!AT54*8))^S13_PSP_Species_Support!AU54)^2*(S13_PSP_Species_Support!AV54*(1-EXP(-S13_PSP_Species_Support!AW54*8))^S13_PSP_Species_Support!AX54))^0.976,0)+IFERROR(S13_PSP_Species_Support!BB54*0.0673*(S13_PSP_Species_Support!BC54*(S13_PSP_Species_Support!BD54*(1-EXP(-S13_PSP_Species_Support!BE54*8))^S13_PSP_Species_Support!BF54)^2*(S13_PSP_Species_Support!BG54*(1-EXP(-S13_PSP_Species_Support!BH54*8))^S13_PSP_Species_Support!BI54))^0.976,0)+IFERROR(S13_PSP_Species_Support!BM54*0.0673*(S13_PSP_Species_Support!BN54*(S13_PSP_Species_Support!BO54*(1-EXP(-S13_PSP_Species_Support!BP54*8))^S13_PSP_Species_Support!BQ54)^2*(S13_PSP_Species_Support!BR54*(1-EXP(-S13_PSP_Species_Support!BS54*8))^S13_PSP_Species_Support!BT54))^0.976,0)+IFERROR(S13_PSP_Species_Support!BX54*0.0673*(S13_PSP_Species_Support!BY54*(S13_PSP_Species_Support!BZ54*(1-EXP(-S13_PSP_Species_Support!CA54*8))^S13_PSP_Species_Support!CB54)^2*(S13_PSP_Species_Support!CC54*(1-EXP(-S13_PSP_Species_Support!CD54*8))^S13_PSP_Species_Support!CE54))^0.976,0)+IFERROR(S13_PSP_Species_Support!CI54*0.0673*(S13_PSP_Species_Support!CJ54*(S13_PSP_Species_Support!CK54*(1-EXP(-S13_PSP_Species_Support!CL54*8))^S13_PSP_Species_Support!CM54)^2*(S13_PSP_Species_Support!CN54*(1-EXP(-S13_PSP_Species_Support!CO54*8))^S13_PSP_Species_Support!CP54))^0.976,0)+IFERROR(S13_PSP_Species_Support!CT54*0.0673*(S13_PSP_Species_Support!CU54*(S13_PSP_Species_Support!CV54*(1-EXP(-S13_PSP_Species_Support!CW54*8))^S13_PSP_Species_Support!CX54)^2*(S13_PSP_Species_Support!CY54*(1-EXP(-S13_PSP_Species_Support!CZ54*8))^S13_PSP_Species_Support!DA54))^0.976,0))/1000/$G67*Q$108,0)</x:f>
        <x:v>182.12090476811065</x:v>
      </x:c>
      <x:c r="R67" s="147" t="n">
        <x:f aca="0">IFERROR((IFERROR(S13_PSP_Species_Support!U54*0.0673*(S13_PSP_Species_Support!V54*(S13_PSP_Species_Support!W54*(1-EXP(-S13_PSP_Species_Support!X54*9))^S13_PSP_Species_Support!Y54)^2*(S13_PSP_Species_Support!Z54*(1-EXP(-S13_PSP_Species_Support!AA54*9))^S13_PSP_Species_Support!AB54))^0.976,0)+IFERROR(S13_PSP_Species_Support!AF54*0.0673*(S13_PSP_Species_Support!AG54*(S13_PSP_Species_Support!AH54*(1-EXP(-S13_PSP_Species_Support!AI54*9))^S13_PSP_Species_Support!AJ54)^2*(S13_PSP_Species_Support!AK54*(1-EXP(-S13_PSP_Species_Support!AL54*9))^S13_PSP_Species_Support!AM54))^0.976,0)+IFERROR(S13_PSP_Species_Support!AQ54*0.0673*(S13_PSP_Species_Support!AR54*(S13_PSP_Species_Support!AS54*(1-EXP(-S13_PSP_Species_Support!AT54*9))^S13_PSP_Species_Support!AU54)^2*(S13_PSP_Species_Support!AV54*(1-EXP(-S13_PSP_Species_Support!AW54*9))^S13_PSP_Species_Support!AX54))^0.976,0)+IFERROR(S13_PSP_Species_Support!BB54*0.0673*(S13_PSP_Species_Support!BC54*(S13_PSP_Species_Support!BD54*(1-EXP(-S13_PSP_Species_Support!BE54*9))^S13_PSP_Species_Support!BF54)^2*(S13_PSP_Species_Support!BG54*(1-EXP(-S13_PSP_Species_Support!BH54*9))^S13_PSP_Species_Support!BI54))^0.976,0)+IFERROR(S13_PSP_Species_Support!BM54*0.0673*(S13_PSP_Species_Support!BN54*(S13_PSP_Species_Support!BO54*(1-EXP(-S13_PSP_Species_Support!BP54*9))^S13_PSP_Species_Support!BQ54)^2*(S13_PSP_Species_Support!BR54*(1-EXP(-S13_PSP_Species_Support!BS54*9))^S13_PSP_Species_Support!BT54))^0.976,0)+IFERROR(S13_PSP_Species_Support!BX54*0.0673*(S13_PSP_Species_Support!BY54*(S13_PSP_Species_Support!BZ54*(1-EXP(-S13_PSP_Species_Support!CA54*9))^S13_PSP_Species_Support!CB54)^2*(S13_PSP_Species_Support!CC54*(1-EXP(-S13_PSP_Species_Support!CD54*9))^S13_PSP_Species_Support!CE54))^0.976,0)+IFERROR(S13_PSP_Species_Support!CI54*0.0673*(S13_PSP_Species_Support!CJ54*(S13_PSP_Species_Support!CK54*(1-EXP(-S13_PSP_Species_Support!CL54*9))^S13_PSP_Species_Support!CM54)^2*(S13_PSP_Species_Support!CN54*(1-EXP(-S13_PSP_Species_Support!CO54*9))^S13_PSP_Species_Support!CP54))^0.976,0)+IFERROR(S13_PSP_Species_Support!CT54*0.0673*(S13_PSP_Species_Support!CU54*(S13_PSP_Species_Support!CV54*(1-EXP(-S13_PSP_Species_Support!CW54*9))^S13_PSP_Species_Support!CX54)^2*(S13_PSP_Species_Support!CY54*(1-EXP(-S13_PSP_Species_Support!CZ54*9))^S13_PSP_Species_Support!DA54))^0.976,0))/1000/$G67*R$108,0)</x:f>
        <x:v>233.3202653777463</x:v>
      </x:c>
      <x:c r="S67" s="147" t="n">
        <x:f aca="0">IFERROR((IFERROR(S13_PSP_Species_Support!U54*0.0673*(S13_PSP_Species_Support!V54*(S13_PSP_Species_Support!W54*(1-EXP(-S13_PSP_Species_Support!X54*10))^S13_PSP_Species_Support!Y54)^2*(S13_PSP_Species_Support!Z54*(1-EXP(-S13_PSP_Species_Support!AA54*10))^S13_PSP_Species_Support!AB54))^0.976,0)+IFERROR(S13_PSP_Species_Support!AF54*0.0673*(S13_PSP_Species_Support!AG54*(S13_PSP_Species_Support!AH54*(1-EXP(-S13_PSP_Species_Support!AI54*10))^S13_PSP_Species_Support!AJ54)^2*(S13_PSP_Species_Support!AK54*(1-EXP(-S13_PSP_Species_Support!AL54*10))^S13_PSP_Species_Support!AM54))^0.976,0)+IFERROR(S13_PSP_Species_Support!AQ54*0.0673*(S13_PSP_Species_Support!AR54*(S13_PSP_Species_Support!AS54*(1-EXP(-S13_PSP_Species_Support!AT54*10))^S13_PSP_Species_Support!AU54)^2*(S13_PSP_Species_Support!AV54*(1-EXP(-S13_PSP_Species_Support!AW54*10))^S13_PSP_Species_Support!AX54))^0.976,0)+IFERROR(S13_PSP_Species_Support!BB54*0.0673*(S13_PSP_Species_Support!BC54*(S13_PSP_Species_Support!BD54*(1-EXP(-S13_PSP_Species_Support!BE54*10))^S13_PSP_Species_Support!BF54)^2*(S13_PSP_Species_Support!BG54*(1-EXP(-S13_PSP_Species_Support!BH54*10))^S13_PSP_Species_Support!BI54))^0.976,0)+IFERROR(S13_PSP_Species_Support!BM54*0.0673*(S13_PSP_Species_Support!BN54*(S13_PSP_Species_Support!BO54*(1-EXP(-S13_PSP_Species_Support!BP54*10))^S13_PSP_Species_Support!BQ54)^2*(S13_PSP_Species_Support!BR54*(1-EXP(-S13_PSP_Species_Support!BS54*10))^S13_PSP_Species_Support!BT54))^0.976,0)+IFERROR(S13_PSP_Species_Support!BX54*0.0673*(S13_PSP_Species_Support!BY54*(S13_PSP_Species_Support!BZ54*(1-EXP(-S13_PSP_Species_Support!CA54*10))^S13_PSP_Species_Support!CB54)^2*(S13_PSP_Species_Support!CC54*(1-EXP(-S13_PSP_Species_Support!CD54*10))^S13_PSP_Species_Support!CE54))^0.976,0)+IFERROR(S13_PSP_Species_Support!CI54*0.0673*(S13_PSP_Species_Support!CJ54*(S13_PSP_Species_Support!CK54*(1-EXP(-S13_PSP_Species_Support!CL54*10))^S13_PSP_Species_Support!CM54)^2*(S13_PSP_Species_Support!CN54*(1-EXP(-S13_PSP_Species_Support!CO54*10))^S13_PSP_Species_Support!CP54))^0.976,0)+IFERROR(S13_PSP_Species_Support!CT54*0.0673*(S13_PSP_Species_Support!CU54*(S13_PSP_Species_Support!CV54*(1-EXP(-S13_PSP_Species_Support!CW54*10))^S13_PSP_Species_Support!CX54)^2*(S13_PSP_Species_Support!CY54*(1-EXP(-S13_PSP_Species_Support!CZ54*10))^S13_PSP_Species_Support!DA54))^0.976,0))/1000/$G67*S$108,0)</x:f>
        <x:v>286.1629409997732</x:v>
      </x:c>
      <x:c r="T67" s="147" t="n">
        <x:f aca="0">IFERROR((IFERROR(S13_PSP_Species_Support!U54*0.0673*(S13_PSP_Species_Support!V54*(S13_PSP_Species_Support!W54*(1-EXP(-S13_PSP_Species_Support!X54*11))^S13_PSP_Species_Support!Y54)^2*(S13_PSP_Species_Support!Z54*(1-EXP(-S13_PSP_Species_Support!AA54*11))^S13_PSP_Species_Support!AB54))^0.976,0)+IFERROR(S13_PSP_Species_Support!AF54*0.0673*(S13_PSP_Species_Support!AG54*(S13_PSP_Species_Support!AH54*(1-EXP(-S13_PSP_Species_Support!AI54*11))^S13_PSP_Species_Support!AJ54)^2*(S13_PSP_Species_Support!AK54*(1-EXP(-S13_PSP_Species_Support!AL54*11))^S13_PSP_Species_Support!AM54))^0.976,0)+IFERROR(S13_PSP_Species_Support!AQ54*0.0673*(S13_PSP_Species_Support!AR54*(S13_PSP_Species_Support!AS54*(1-EXP(-S13_PSP_Species_Support!AT54*11))^S13_PSP_Species_Support!AU54)^2*(S13_PSP_Species_Support!AV54*(1-EXP(-S13_PSP_Species_Support!AW54*11))^S13_PSP_Species_Support!AX54))^0.976,0)+IFERROR(S13_PSP_Species_Support!BB54*0.0673*(S13_PSP_Species_Support!BC54*(S13_PSP_Species_Support!BD54*(1-EXP(-S13_PSP_Species_Support!BE54*11))^S13_PSP_Species_Support!BF54)^2*(S13_PSP_Species_Support!BG54*(1-EXP(-S13_PSP_Species_Support!BH54*11))^S13_PSP_Species_Support!BI54))^0.976,0)+IFERROR(S13_PSP_Species_Support!BM54*0.0673*(S13_PSP_Species_Support!BN54*(S13_PSP_Species_Support!BO54*(1-EXP(-S13_PSP_Species_Support!BP54*11))^S13_PSP_Species_Support!BQ54)^2*(S13_PSP_Species_Support!BR54*(1-EXP(-S13_PSP_Species_Support!BS54*11))^S13_PSP_Species_Support!BT54))^0.976,0)+IFERROR(S13_PSP_Species_Support!BX54*0.0673*(S13_PSP_Species_Support!BY54*(S13_PSP_Species_Support!BZ54*(1-EXP(-S13_PSP_Species_Support!CA54*11))^S13_PSP_Species_Support!CB54)^2*(S13_PSP_Species_Support!CC54*(1-EXP(-S13_PSP_Species_Support!CD54*11))^S13_PSP_Species_Support!CE54))^0.976,0)+IFERROR(S13_PSP_Species_Support!CI54*0.0673*(S13_PSP_Species_Support!CJ54*(S13_PSP_Species_Support!CK54*(1-EXP(-S13_PSP_Species_Support!CL54*11))^S13_PSP_Species_Support!CM54)^2*(S13_PSP_Species_Support!CN54*(1-EXP(-S13_PSP_Species_Support!CO54*11))^S13_PSP_Species_Support!CP54))^0.976,0)+IFERROR(S13_PSP_Species_Support!CT54*0.0673*(S13_PSP_Species_Support!CU54*(S13_PSP_Species_Support!CV54*(1-EXP(-S13_PSP_Species_Support!CW54*11))^S13_PSP_Species_Support!CX54)^2*(S13_PSP_Species_Support!CY54*(1-EXP(-S13_PSP_Species_Support!CZ54*11))^S13_PSP_Species_Support!DA54))^0.976,0))/1000/$G67*T$108,0)</x:f>
        <x:v>339.1685113094035</x:v>
      </x:c>
      <x:c r="U67" s="147" t="n">
        <x:f aca="0">IFERROR((IFERROR(S13_PSP_Species_Support!U54*0.0673*(S13_PSP_Species_Support!V54*(S13_PSP_Species_Support!W54*(1-EXP(-S13_PSP_Species_Support!X54*12))^S13_PSP_Species_Support!Y54)^2*(S13_PSP_Species_Support!Z54*(1-EXP(-S13_PSP_Species_Support!AA54*12))^S13_PSP_Species_Support!AB54))^0.976,0)+IFERROR(S13_PSP_Species_Support!AF54*0.0673*(S13_PSP_Species_Support!AG54*(S13_PSP_Species_Support!AH54*(1-EXP(-S13_PSP_Species_Support!AI54*12))^S13_PSP_Species_Support!AJ54)^2*(S13_PSP_Species_Support!AK54*(1-EXP(-S13_PSP_Species_Support!AL54*12))^S13_PSP_Species_Support!AM54))^0.976,0)+IFERROR(S13_PSP_Species_Support!AQ54*0.0673*(S13_PSP_Species_Support!AR54*(S13_PSP_Species_Support!AS54*(1-EXP(-S13_PSP_Species_Support!AT54*12))^S13_PSP_Species_Support!AU54)^2*(S13_PSP_Species_Support!AV54*(1-EXP(-S13_PSP_Species_Support!AW54*12))^S13_PSP_Species_Support!AX54))^0.976,0)+IFERROR(S13_PSP_Species_Support!BB54*0.0673*(S13_PSP_Species_Support!BC54*(S13_PSP_Species_Support!BD54*(1-EXP(-S13_PSP_Species_Support!BE54*12))^S13_PSP_Species_Support!BF54)^2*(S13_PSP_Species_Support!BG54*(1-EXP(-S13_PSP_Species_Support!BH54*12))^S13_PSP_Species_Support!BI54))^0.976,0)+IFERROR(S13_PSP_Species_Support!BM54*0.0673*(S13_PSP_Species_Support!BN54*(S13_PSP_Species_Support!BO54*(1-EXP(-S13_PSP_Species_Support!BP54*12))^S13_PSP_Species_Support!BQ54)^2*(S13_PSP_Species_Support!BR54*(1-EXP(-S13_PSP_Species_Support!BS54*12))^S13_PSP_Species_Support!BT54))^0.976,0)+IFERROR(S13_PSP_Species_Support!BX54*0.0673*(S13_PSP_Species_Support!BY54*(S13_PSP_Species_Support!BZ54*(1-EXP(-S13_PSP_Species_Support!CA54*12))^S13_PSP_Species_Support!CB54)^2*(S13_PSP_Species_Support!CC54*(1-EXP(-S13_PSP_Species_Support!CD54*12))^S13_PSP_Species_Support!CE54))^0.976,0)+IFERROR(S13_PSP_Species_Support!CI54*0.0673*(S13_PSP_Species_Support!CJ54*(S13_PSP_Species_Support!CK54*(1-EXP(-S13_PSP_Species_Support!CL54*12))^S13_PSP_Species_Support!CM54)^2*(S13_PSP_Species_Support!CN54*(1-EXP(-S13_PSP_Species_Support!CO54*12))^S13_PSP_Species_Support!CP54))^0.976,0)+IFERROR(S13_PSP_Species_Support!CT54*0.0673*(S13_PSP_Species_Support!CU54*(S13_PSP_Species_Support!CV54*(1-EXP(-S13_PSP_Species_Support!CW54*12))^S13_PSP_Species_Support!CX54)^2*(S13_PSP_Species_Support!CY54*(1-EXP(-S13_PSP_Species_Support!CZ54*12))^S13_PSP_Species_Support!DA54))^0.976,0))/1000/$G67*U$108,0)</x:f>
        <x:v>391.15421988301887</x:v>
      </x:c>
      <x:c r="V67" s="147" t="n">
        <x:f aca="0">IFERROR((IFERROR(S13_PSP_Species_Support!U54*0.0673*(S13_PSP_Species_Support!V54*(S13_PSP_Species_Support!W54*(1-EXP(-S13_PSP_Species_Support!X54*13))^S13_PSP_Species_Support!Y54)^2*(S13_PSP_Species_Support!Z54*(1-EXP(-S13_PSP_Species_Support!AA54*13))^S13_PSP_Species_Support!AB54))^0.976,0)+IFERROR(S13_PSP_Species_Support!AF54*0.0673*(S13_PSP_Species_Support!AG54*(S13_PSP_Species_Support!AH54*(1-EXP(-S13_PSP_Species_Support!AI54*13))^S13_PSP_Species_Support!AJ54)^2*(S13_PSP_Species_Support!AK54*(1-EXP(-S13_PSP_Species_Support!AL54*13))^S13_PSP_Species_Support!AM54))^0.976,0)+IFERROR(S13_PSP_Species_Support!AQ54*0.0673*(S13_PSP_Species_Support!AR54*(S13_PSP_Species_Support!AS54*(1-EXP(-S13_PSP_Species_Support!AT54*13))^S13_PSP_Species_Support!AU54)^2*(S13_PSP_Species_Support!AV54*(1-EXP(-S13_PSP_Species_Support!AW54*13))^S13_PSP_Species_Support!AX54))^0.976,0)+IFERROR(S13_PSP_Species_Support!BB54*0.0673*(S13_PSP_Species_Support!BC54*(S13_PSP_Species_Support!BD54*(1-EXP(-S13_PSP_Species_Support!BE54*13))^S13_PSP_Species_Support!BF54)^2*(S13_PSP_Species_Support!BG54*(1-EXP(-S13_PSP_Species_Support!BH54*13))^S13_PSP_Species_Support!BI54))^0.976,0)+IFERROR(S13_PSP_Species_Support!BM54*0.0673*(S13_PSP_Species_Support!BN54*(S13_PSP_Species_Support!BO54*(1-EXP(-S13_PSP_Species_Support!BP54*13))^S13_PSP_Species_Support!BQ54)^2*(S13_PSP_Species_Support!BR54*(1-EXP(-S13_PSP_Species_Support!BS54*13))^S13_PSP_Species_Support!BT54))^0.976,0)+IFERROR(S13_PSP_Species_Support!BX54*0.0673*(S13_PSP_Species_Support!BY54*(S13_PSP_Species_Support!BZ54*(1-EXP(-S13_PSP_Species_Support!CA54*13))^S13_PSP_Species_Support!CB54)^2*(S13_PSP_Species_Support!CC54*(1-EXP(-S13_PSP_Species_Support!CD54*13))^S13_PSP_Species_Support!CE54))^0.976,0)+IFERROR(S13_PSP_Species_Support!CI54*0.0673*(S13_PSP_Species_Support!CJ54*(S13_PSP_Species_Support!CK54*(1-EXP(-S13_PSP_Species_Support!CL54*13))^S13_PSP_Species_Support!CM54)^2*(S13_PSP_Species_Support!CN54*(1-EXP(-S13_PSP_Species_Support!CO54*13))^S13_PSP_Species_Support!CP54))^0.976,0)+IFERROR(S13_PSP_Species_Support!CT54*0.0673*(S13_PSP_Species_Support!CU54*(S13_PSP_Species_Support!CV54*(1-EXP(-S13_PSP_Species_Support!CW54*13))^S13_PSP_Species_Support!CX54)^2*(S13_PSP_Species_Support!CY54*(1-EXP(-S13_PSP_Species_Support!CZ54*13))^S13_PSP_Species_Support!DA54))^0.976,0))/1000/$G67*V$108,0)</x:f>
        <x:v>441.2286830747353</x:v>
      </x:c>
      <x:c r="W67" s="147" t="n">
        <x:f aca="0">IFERROR((IFERROR(S13_PSP_Species_Support!U54*0.0673*(S13_PSP_Species_Support!V54*(S13_PSP_Species_Support!W54*(1-EXP(-S13_PSP_Species_Support!X54*14))^S13_PSP_Species_Support!Y54)^2*(S13_PSP_Species_Support!Z54*(1-EXP(-S13_PSP_Species_Support!AA54*14))^S13_PSP_Species_Support!AB54))^0.976,0)+IFERROR(S13_PSP_Species_Support!AF54*0.0673*(S13_PSP_Species_Support!AG54*(S13_PSP_Species_Support!AH54*(1-EXP(-S13_PSP_Species_Support!AI54*14))^S13_PSP_Species_Support!AJ54)^2*(S13_PSP_Species_Support!AK54*(1-EXP(-S13_PSP_Species_Support!AL54*14))^S13_PSP_Species_Support!AM54))^0.976,0)+IFERROR(S13_PSP_Species_Support!AQ54*0.0673*(S13_PSP_Species_Support!AR54*(S13_PSP_Species_Support!AS54*(1-EXP(-S13_PSP_Species_Support!AT54*14))^S13_PSP_Species_Support!AU54)^2*(S13_PSP_Species_Support!AV54*(1-EXP(-S13_PSP_Species_Support!AW54*14))^S13_PSP_Species_Support!AX54))^0.976,0)+IFERROR(S13_PSP_Species_Support!BB54*0.0673*(S13_PSP_Species_Support!BC54*(S13_PSP_Species_Support!BD54*(1-EXP(-S13_PSP_Species_Support!BE54*14))^S13_PSP_Species_Support!BF54)^2*(S13_PSP_Species_Support!BG54*(1-EXP(-S13_PSP_Species_Support!BH54*14))^S13_PSP_Species_Support!BI54))^0.976,0)+IFERROR(S13_PSP_Species_Support!BM54*0.0673*(S13_PSP_Species_Support!BN54*(S13_PSP_Species_Support!BO54*(1-EXP(-S13_PSP_Species_Support!BP54*14))^S13_PSP_Species_Support!BQ54)^2*(S13_PSP_Species_Support!BR54*(1-EXP(-S13_PSP_Species_Support!BS54*14))^S13_PSP_Species_Support!BT54))^0.976,0)+IFERROR(S13_PSP_Species_Support!BX54*0.0673*(S13_PSP_Species_Support!BY54*(S13_PSP_Species_Support!BZ54*(1-EXP(-S13_PSP_Species_Support!CA54*14))^S13_PSP_Species_Support!CB54)^2*(S13_PSP_Species_Support!CC54*(1-EXP(-S13_PSP_Species_Support!CD54*14))^S13_PSP_Species_Support!CE54))^0.976,0)+IFERROR(S13_PSP_Species_Support!CI54*0.0673*(S13_PSP_Species_Support!CJ54*(S13_PSP_Species_Support!CK54*(1-EXP(-S13_PSP_Species_Support!CL54*14))^S13_PSP_Species_Support!CM54)^2*(S13_PSP_Species_Support!CN54*(1-EXP(-S13_PSP_Species_Support!CO54*14))^S13_PSP_Species_Support!CP54))^0.976,0)+IFERROR(S13_PSP_Species_Support!CT54*0.0673*(S13_PSP_Species_Support!CU54*(S13_PSP_Species_Support!CV54*(1-EXP(-S13_PSP_Species_Support!CW54*14))^S13_PSP_Species_Support!CX54)^2*(S13_PSP_Species_Support!CY54*(1-EXP(-S13_PSP_Species_Support!CZ54*14))^S13_PSP_Species_Support!DA54))^0.976,0))/1000/$G67*W$108,0)</x:f>
        <x:v>488.76237546533457</x:v>
      </x:c>
      <x:c r="X67" s="147" t="n">
        <x:f aca="0">IFERROR((IFERROR(S13_PSP_Species_Support!U54*0.0673*(S13_PSP_Species_Support!V54*(S13_PSP_Species_Support!W54*(1-EXP(-S13_PSP_Species_Support!X54*15))^S13_PSP_Species_Support!Y54)^2*(S13_PSP_Species_Support!Z54*(1-EXP(-S13_PSP_Species_Support!AA54*15))^S13_PSP_Species_Support!AB54))^0.976,0)+IFERROR(S13_PSP_Species_Support!AF54*0.0673*(S13_PSP_Species_Support!AG54*(S13_PSP_Species_Support!AH54*(1-EXP(-S13_PSP_Species_Support!AI54*15))^S13_PSP_Species_Support!AJ54)^2*(S13_PSP_Species_Support!AK54*(1-EXP(-S13_PSP_Species_Support!AL54*15))^S13_PSP_Species_Support!AM54))^0.976,0)+IFERROR(S13_PSP_Species_Support!AQ54*0.0673*(S13_PSP_Species_Support!AR54*(S13_PSP_Species_Support!AS54*(1-EXP(-S13_PSP_Species_Support!AT54*15))^S13_PSP_Species_Support!AU54)^2*(S13_PSP_Species_Support!AV54*(1-EXP(-S13_PSP_Species_Support!AW54*15))^S13_PSP_Species_Support!AX54))^0.976,0)+IFERROR(S13_PSP_Species_Support!BB54*0.0673*(S13_PSP_Species_Support!BC54*(S13_PSP_Species_Support!BD54*(1-EXP(-S13_PSP_Species_Support!BE54*15))^S13_PSP_Species_Support!BF54)^2*(S13_PSP_Species_Support!BG54*(1-EXP(-S13_PSP_Species_Support!BH54*15))^S13_PSP_Species_Support!BI54))^0.976,0)+IFERROR(S13_PSP_Species_Support!BM54*0.0673*(S13_PSP_Species_Support!BN54*(S13_PSP_Species_Support!BO54*(1-EXP(-S13_PSP_Species_Support!BP54*15))^S13_PSP_Species_Support!BQ54)^2*(S13_PSP_Species_Support!BR54*(1-EXP(-S13_PSP_Species_Support!BS54*15))^S13_PSP_Species_Support!BT54))^0.976,0)+IFERROR(S13_PSP_Species_Support!BX54*0.0673*(S13_PSP_Species_Support!BY54*(S13_PSP_Species_Support!BZ54*(1-EXP(-S13_PSP_Species_Support!CA54*15))^S13_PSP_Species_Support!CB54)^2*(S13_PSP_Species_Support!CC54*(1-EXP(-S13_PSP_Species_Support!CD54*15))^S13_PSP_Species_Support!CE54))^0.976,0)+IFERROR(S13_PSP_Species_Support!CI54*0.0673*(S13_PSP_Species_Support!CJ54*(S13_PSP_Species_Support!CK54*(1-EXP(-S13_PSP_Species_Support!CL54*15))^S13_PSP_Species_Support!CM54)^2*(S13_PSP_Species_Support!CN54*(1-EXP(-S13_PSP_Species_Support!CO54*15))^S13_PSP_Species_Support!CP54))^0.976,0)+IFERROR(S13_PSP_Species_Support!CT54*0.0673*(S13_PSP_Species_Support!CU54*(S13_PSP_Species_Support!CV54*(1-EXP(-S13_PSP_Species_Support!CW54*15))^S13_PSP_Species_Support!CX54)^2*(S13_PSP_Species_Support!CY54*(1-EXP(-S13_PSP_Species_Support!CZ54*15))^S13_PSP_Species_Support!DA54))^0.976,0))/1000/$G67*X$108,0)</x:f>
        <x:v>533.3478162695995</x:v>
      </x:c>
      <x:c r="Y67" s="147" t="n">
        <x:f aca="0">IFERROR((IFERROR(S13_PSP_Species_Support!U54*0.0673*(S13_PSP_Species_Support!V54*(S13_PSP_Species_Support!W54*(1-EXP(-S13_PSP_Species_Support!X54*16))^S13_PSP_Species_Support!Y54)^2*(S13_PSP_Species_Support!Z54*(1-EXP(-S13_PSP_Species_Support!AA54*16))^S13_PSP_Species_Support!AB54))^0.976,0)+IFERROR(S13_PSP_Species_Support!AF54*0.0673*(S13_PSP_Species_Support!AG54*(S13_PSP_Species_Support!AH54*(1-EXP(-S13_PSP_Species_Support!AI54*16))^S13_PSP_Species_Support!AJ54)^2*(S13_PSP_Species_Support!AK54*(1-EXP(-S13_PSP_Species_Support!AL54*16))^S13_PSP_Species_Support!AM54))^0.976,0)+IFERROR(S13_PSP_Species_Support!AQ54*0.0673*(S13_PSP_Species_Support!AR54*(S13_PSP_Species_Support!AS54*(1-EXP(-S13_PSP_Species_Support!AT54*16))^S13_PSP_Species_Support!AU54)^2*(S13_PSP_Species_Support!AV54*(1-EXP(-S13_PSP_Species_Support!AW54*16))^S13_PSP_Species_Support!AX54))^0.976,0)+IFERROR(S13_PSP_Species_Support!BB54*0.0673*(S13_PSP_Species_Support!BC54*(S13_PSP_Species_Support!BD54*(1-EXP(-S13_PSP_Species_Support!BE54*16))^S13_PSP_Species_Support!BF54)^2*(S13_PSP_Species_Support!BG54*(1-EXP(-S13_PSP_Species_Support!BH54*16))^S13_PSP_Species_Support!BI54))^0.976,0)+IFERROR(S13_PSP_Species_Support!BM54*0.0673*(S13_PSP_Species_Support!BN54*(S13_PSP_Species_Support!BO54*(1-EXP(-S13_PSP_Species_Support!BP54*16))^S13_PSP_Species_Support!BQ54)^2*(S13_PSP_Species_Support!BR54*(1-EXP(-S13_PSP_Species_Support!BS54*16))^S13_PSP_Species_Support!BT54))^0.976,0)+IFERROR(S13_PSP_Species_Support!BX54*0.0673*(S13_PSP_Species_Support!BY54*(S13_PSP_Species_Support!BZ54*(1-EXP(-S13_PSP_Species_Support!CA54*16))^S13_PSP_Species_Support!CB54)^2*(S13_PSP_Species_Support!CC54*(1-EXP(-S13_PSP_Species_Support!CD54*16))^S13_PSP_Species_Support!CE54))^0.976,0)+IFERROR(S13_PSP_Species_Support!CI54*0.0673*(S13_PSP_Species_Support!CJ54*(S13_PSP_Species_Support!CK54*(1-EXP(-S13_PSP_Species_Support!CL54*16))^S13_PSP_Species_Support!CM54)^2*(S13_PSP_Species_Support!CN54*(1-EXP(-S13_PSP_Species_Support!CO54*16))^S13_PSP_Species_Support!CP54))^0.976,0)+IFERROR(S13_PSP_Species_Support!CT54*0.0673*(S13_PSP_Species_Support!CU54*(S13_PSP_Species_Support!CV54*(1-EXP(-S13_PSP_Species_Support!CW54*16))^S13_PSP_Species_Support!CX54)^2*(S13_PSP_Species_Support!CY54*(1-EXP(-S13_PSP_Species_Support!CZ54*16))^S13_PSP_Species_Support!DA54))^0.976,0))/1000/$G67*Y$108,0)</x:f>
        <x:v>574.7575339912049</x:v>
      </x:c>
      <x:c r="Z67" s="147" t="n">
        <x:f aca="0">IFERROR((IFERROR(S13_PSP_Species_Support!U54*0.0673*(S13_PSP_Species_Support!V54*(S13_PSP_Species_Support!W54*(1-EXP(-S13_PSP_Species_Support!X54*17))^S13_PSP_Species_Support!Y54)^2*(S13_PSP_Species_Support!Z54*(1-EXP(-S13_PSP_Species_Support!AA54*17))^S13_PSP_Species_Support!AB54))^0.976,0)+IFERROR(S13_PSP_Species_Support!AF54*0.0673*(S13_PSP_Species_Support!AG54*(S13_PSP_Species_Support!AH54*(1-EXP(-S13_PSP_Species_Support!AI54*17))^S13_PSP_Species_Support!AJ54)^2*(S13_PSP_Species_Support!AK54*(1-EXP(-S13_PSP_Species_Support!AL54*17))^S13_PSP_Species_Support!AM54))^0.976,0)+IFERROR(S13_PSP_Species_Support!AQ54*0.0673*(S13_PSP_Species_Support!AR54*(S13_PSP_Species_Support!AS54*(1-EXP(-S13_PSP_Species_Support!AT54*17))^S13_PSP_Species_Support!AU54)^2*(S13_PSP_Species_Support!AV54*(1-EXP(-S13_PSP_Species_Support!AW54*17))^S13_PSP_Species_Support!AX54))^0.976,0)+IFERROR(S13_PSP_Species_Support!BB54*0.0673*(S13_PSP_Species_Support!BC54*(S13_PSP_Species_Support!BD54*(1-EXP(-S13_PSP_Species_Support!BE54*17))^S13_PSP_Species_Support!BF54)^2*(S13_PSP_Species_Support!BG54*(1-EXP(-S13_PSP_Species_Support!BH54*17))^S13_PSP_Species_Support!BI54))^0.976,0)+IFERROR(S13_PSP_Species_Support!BM54*0.0673*(S13_PSP_Species_Support!BN54*(S13_PSP_Species_Support!BO54*(1-EXP(-S13_PSP_Species_Support!BP54*17))^S13_PSP_Species_Support!BQ54)^2*(S13_PSP_Species_Support!BR54*(1-EXP(-S13_PSP_Species_Support!BS54*17))^S13_PSP_Species_Support!BT54))^0.976,0)+IFERROR(S13_PSP_Species_Support!BX54*0.0673*(S13_PSP_Species_Support!BY54*(S13_PSP_Species_Support!BZ54*(1-EXP(-S13_PSP_Species_Support!CA54*17))^S13_PSP_Species_Support!CB54)^2*(S13_PSP_Species_Support!CC54*(1-EXP(-S13_PSP_Species_Support!CD54*17))^S13_PSP_Species_Support!CE54))^0.976,0)+IFERROR(S13_PSP_Species_Support!CI54*0.0673*(S13_PSP_Species_Support!CJ54*(S13_PSP_Species_Support!CK54*(1-EXP(-S13_PSP_Species_Support!CL54*17))^S13_PSP_Species_Support!CM54)^2*(S13_PSP_Species_Support!CN54*(1-EXP(-S13_PSP_Species_Support!CO54*17))^S13_PSP_Species_Support!CP54))^0.976,0)+IFERROR(S13_PSP_Species_Support!CT54*0.0673*(S13_PSP_Species_Support!CU54*(S13_PSP_Species_Support!CV54*(1-EXP(-S13_PSP_Species_Support!CW54*17))^S13_PSP_Species_Support!CX54)^2*(S13_PSP_Species_Support!CY54*(1-EXP(-S13_PSP_Species_Support!CZ54*17))^S13_PSP_Species_Support!DA54))^0.976,0))/1000/$G67*Z$108,0)</x:f>
        <x:v>612.9044233575635</x:v>
      </x:c>
      <x:c r="AA67" s="147" t="n">
        <x:f aca="0">IFERROR((IFERROR(S13_PSP_Species_Support!U54*0.0673*(S13_PSP_Species_Support!V54*(S13_PSP_Species_Support!W54*(1-EXP(-S13_PSP_Species_Support!X54*18))^S13_PSP_Species_Support!Y54)^2*(S13_PSP_Species_Support!Z54*(1-EXP(-S13_PSP_Species_Support!AA54*18))^S13_PSP_Species_Support!AB54))^0.976,0)+IFERROR(S13_PSP_Species_Support!AF54*0.0673*(S13_PSP_Species_Support!AG54*(S13_PSP_Species_Support!AH54*(1-EXP(-S13_PSP_Species_Support!AI54*18))^S13_PSP_Species_Support!AJ54)^2*(S13_PSP_Species_Support!AK54*(1-EXP(-S13_PSP_Species_Support!AL54*18))^S13_PSP_Species_Support!AM54))^0.976,0)+IFERROR(S13_PSP_Species_Support!AQ54*0.0673*(S13_PSP_Species_Support!AR54*(S13_PSP_Species_Support!AS54*(1-EXP(-S13_PSP_Species_Support!AT54*18))^S13_PSP_Species_Support!AU54)^2*(S13_PSP_Species_Support!AV54*(1-EXP(-S13_PSP_Species_Support!AW54*18))^S13_PSP_Species_Support!AX54))^0.976,0)+IFERROR(S13_PSP_Species_Support!BB54*0.0673*(S13_PSP_Species_Support!BC54*(S13_PSP_Species_Support!BD54*(1-EXP(-S13_PSP_Species_Support!BE54*18))^S13_PSP_Species_Support!BF54)^2*(S13_PSP_Species_Support!BG54*(1-EXP(-S13_PSP_Species_Support!BH54*18))^S13_PSP_Species_Support!BI54))^0.976,0)+IFERROR(S13_PSP_Species_Support!BM54*0.0673*(S13_PSP_Species_Support!BN54*(S13_PSP_Species_Support!BO54*(1-EXP(-S13_PSP_Species_Support!BP54*18))^S13_PSP_Species_Support!BQ54)^2*(S13_PSP_Species_Support!BR54*(1-EXP(-S13_PSP_Species_Support!BS54*18))^S13_PSP_Species_Support!BT54))^0.976,0)+IFERROR(S13_PSP_Species_Support!BX54*0.0673*(S13_PSP_Species_Support!BY54*(S13_PSP_Species_Support!BZ54*(1-EXP(-S13_PSP_Species_Support!CA54*18))^S13_PSP_Species_Support!CB54)^2*(S13_PSP_Species_Support!CC54*(1-EXP(-S13_PSP_Species_Support!CD54*18))^S13_PSP_Species_Support!CE54))^0.976,0)+IFERROR(S13_PSP_Species_Support!CI54*0.0673*(S13_PSP_Species_Support!CJ54*(S13_PSP_Species_Support!CK54*(1-EXP(-S13_PSP_Species_Support!CL54*18))^S13_PSP_Species_Support!CM54)^2*(S13_PSP_Species_Support!CN54*(1-EXP(-S13_PSP_Species_Support!CO54*18))^S13_PSP_Species_Support!CP54))^0.976,0)+IFERROR(S13_PSP_Species_Support!CT54*0.0673*(S13_PSP_Species_Support!CU54*(S13_PSP_Species_Support!CV54*(1-EXP(-S13_PSP_Species_Support!CW54*18))^S13_PSP_Species_Support!CX54)^2*(S13_PSP_Species_Support!CY54*(1-EXP(-S13_PSP_Species_Support!CZ54*18))^S13_PSP_Species_Support!DA54))^0.976,0))/1000/$G67*AA$108,0)</x:f>
        <x:v>647.8067927351865</x:v>
      </x:c>
      <x:c r="AB67" s="147" t="n">
        <x:f aca="0">IFERROR((IFERROR(S13_PSP_Species_Support!U54*0.0673*(S13_PSP_Species_Support!V54*(S13_PSP_Species_Support!W54*(1-EXP(-S13_PSP_Species_Support!X54*19))^S13_PSP_Species_Support!Y54)^2*(S13_PSP_Species_Support!Z54*(1-EXP(-S13_PSP_Species_Support!AA54*19))^S13_PSP_Species_Support!AB54))^0.976,0)+IFERROR(S13_PSP_Species_Support!AF54*0.0673*(S13_PSP_Species_Support!AG54*(S13_PSP_Species_Support!AH54*(1-EXP(-S13_PSP_Species_Support!AI54*19))^S13_PSP_Species_Support!AJ54)^2*(S13_PSP_Species_Support!AK54*(1-EXP(-S13_PSP_Species_Support!AL54*19))^S13_PSP_Species_Support!AM54))^0.976,0)+IFERROR(S13_PSP_Species_Support!AQ54*0.0673*(S13_PSP_Species_Support!AR54*(S13_PSP_Species_Support!AS54*(1-EXP(-S13_PSP_Species_Support!AT54*19))^S13_PSP_Species_Support!AU54)^2*(S13_PSP_Species_Support!AV54*(1-EXP(-S13_PSP_Species_Support!AW54*19))^S13_PSP_Species_Support!AX54))^0.976,0)+IFERROR(S13_PSP_Species_Support!BB54*0.0673*(S13_PSP_Species_Support!BC54*(S13_PSP_Species_Support!BD54*(1-EXP(-S13_PSP_Species_Support!BE54*19))^S13_PSP_Species_Support!BF54)^2*(S13_PSP_Species_Support!BG54*(1-EXP(-S13_PSP_Species_Support!BH54*19))^S13_PSP_Species_Support!BI54))^0.976,0)+IFERROR(S13_PSP_Species_Support!BM54*0.0673*(S13_PSP_Species_Support!BN54*(S13_PSP_Species_Support!BO54*(1-EXP(-S13_PSP_Species_Support!BP54*19))^S13_PSP_Species_Support!BQ54)^2*(S13_PSP_Species_Support!BR54*(1-EXP(-S13_PSP_Species_Support!BS54*19))^S13_PSP_Species_Support!BT54))^0.976,0)+IFERROR(S13_PSP_Species_Support!BX54*0.0673*(S13_PSP_Species_Support!BY54*(S13_PSP_Species_Support!BZ54*(1-EXP(-S13_PSP_Species_Support!CA54*19))^S13_PSP_Species_Support!CB54)^2*(S13_PSP_Species_Support!CC54*(1-EXP(-S13_PSP_Species_Support!CD54*19))^S13_PSP_Species_Support!CE54))^0.976,0)+IFERROR(S13_PSP_Species_Support!CI54*0.0673*(S13_PSP_Species_Support!CJ54*(S13_PSP_Species_Support!CK54*(1-EXP(-S13_PSP_Species_Support!CL54*19))^S13_PSP_Species_Support!CM54)^2*(S13_PSP_Species_Support!CN54*(1-EXP(-S13_PSP_Species_Support!CO54*19))^S13_PSP_Species_Support!CP54))^0.976,0)+IFERROR(S13_PSP_Species_Support!CT54*0.0673*(S13_PSP_Species_Support!CU54*(S13_PSP_Species_Support!CV54*(1-EXP(-S13_PSP_Species_Support!CW54*19))^S13_PSP_Species_Support!CX54)^2*(S13_PSP_Species_Support!CY54*(1-EXP(-S13_PSP_Species_Support!CZ54*19))^S13_PSP_Species_Support!DA54))^0.976,0))/1000/$G67*AB$108,0)</x:f>
        <x:v>679.5589432998094</x:v>
      </x:c>
      <x:c r="AC67" s="147" t="n">
        <x:f aca="0">IFERROR((IFERROR(S13_PSP_Species_Support!U54*0.0673*(S13_PSP_Species_Support!V54*(S13_PSP_Species_Support!W54*(1-EXP(-S13_PSP_Species_Support!X54*20))^S13_PSP_Species_Support!Y54)^2*(S13_PSP_Species_Support!Z54*(1-EXP(-S13_PSP_Species_Support!AA54*20))^S13_PSP_Species_Support!AB54))^0.976,0)+IFERROR(S13_PSP_Species_Support!AF54*0.0673*(S13_PSP_Species_Support!AG54*(S13_PSP_Species_Support!AH54*(1-EXP(-S13_PSP_Species_Support!AI54*20))^S13_PSP_Species_Support!AJ54)^2*(S13_PSP_Species_Support!AK54*(1-EXP(-S13_PSP_Species_Support!AL54*20))^S13_PSP_Species_Support!AM54))^0.976,0)+IFERROR(S13_PSP_Species_Support!AQ54*0.0673*(S13_PSP_Species_Support!AR54*(S13_PSP_Species_Support!AS54*(1-EXP(-S13_PSP_Species_Support!AT54*20))^S13_PSP_Species_Support!AU54)^2*(S13_PSP_Species_Support!AV54*(1-EXP(-S13_PSP_Species_Support!AW54*20))^S13_PSP_Species_Support!AX54))^0.976,0)+IFERROR(S13_PSP_Species_Support!BB54*0.0673*(S13_PSP_Species_Support!BC54*(S13_PSP_Species_Support!BD54*(1-EXP(-S13_PSP_Species_Support!BE54*20))^S13_PSP_Species_Support!BF54)^2*(S13_PSP_Species_Support!BG54*(1-EXP(-S13_PSP_Species_Support!BH54*20))^S13_PSP_Species_Support!BI54))^0.976,0)+IFERROR(S13_PSP_Species_Support!BM54*0.0673*(S13_PSP_Species_Support!BN54*(S13_PSP_Species_Support!BO54*(1-EXP(-S13_PSP_Species_Support!BP54*20))^S13_PSP_Species_Support!BQ54)^2*(S13_PSP_Species_Support!BR54*(1-EXP(-S13_PSP_Species_Support!BS54*20))^S13_PSP_Species_Support!BT54))^0.976,0)+IFERROR(S13_PSP_Species_Support!BX54*0.0673*(S13_PSP_Species_Support!BY54*(S13_PSP_Species_Support!BZ54*(1-EXP(-S13_PSP_Species_Support!CA54*20))^S13_PSP_Species_Support!CB54)^2*(S13_PSP_Species_Support!CC54*(1-EXP(-S13_PSP_Species_Support!CD54*20))^S13_PSP_Species_Support!CE54))^0.976,0)+IFERROR(S13_PSP_Species_Support!CI54*0.0673*(S13_PSP_Species_Support!CJ54*(S13_PSP_Species_Support!CK54*(1-EXP(-S13_PSP_Species_Support!CL54*20))^S13_PSP_Species_Support!CM54)^2*(S13_PSP_Species_Support!CN54*(1-EXP(-S13_PSP_Species_Support!CO54*20))^S13_PSP_Species_Support!CP54))^0.976,0)+IFERROR(S13_PSP_Species_Support!CT54*0.0673*(S13_PSP_Species_Support!CU54*(S13_PSP_Species_Support!CV54*(1-EXP(-S13_PSP_Species_Support!CW54*20))^S13_PSP_Species_Support!CX54)^2*(S13_PSP_Species_Support!CY54*(1-EXP(-S13_PSP_Species_Support!CZ54*20))^S13_PSP_Species_Support!DA54))^0.976,0))/1000/$G67*AC$108,0)</x:f>
        <x:v>708.3072658807783</x:v>
      </x:c>
      <x:c r="AD67" s="148" t="n">
        <x:f aca="0">IF(2020&lt;$F67,0,INDEX($I67:$AC67,1,2020-$F67+1))</x:f>
        <x:v>0</x:v>
      </x:c>
      <x:c r="AE67" s="148" t="n">
        <x:f aca="0">IF(2021&lt;$F67,0,INDEX($I67:$AC67,1,2021-$F67+1))</x:f>
        <x:v>0.25987049135102147</x:v>
      </x:c>
      <x:c r="AF67" s="148" t="n">
        <x:f aca="0">IF(2022&lt;$F67,0,INDEX($I67:$AC67,1,2022-$F67+1))</x:f>
        <x:v>3.1275850934224905</x:v>
      </x:c>
      <x:c r="AG67" s="148" t="n">
        <x:f aca="0">IF(2023&lt;$F67,0,INDEX($I67:$AC67,1,2023-$F67+1))</x:f>
        <x:v>12.083469929422963</x:v>
      </x:c>
      <x:c r="AH67" s="148" t="n">
        <x:f aca="0">IF(2024&lt;$F67,0,INDEX($I67:$AC67,1,2024-$F67+1))</x:f>
        <x:v>29.607924588257134</x:v>
      </x:c>
      <x:c r="AI67" s="148" t="n">
        <x:f aca="0">IF(2025&lt;$F67,0,INDEX($I67:$AC67,1,2025-$F67+1))</x:f>
        <x:v>56.385703052341626</x:v>
      </x:c>
      <x:c r="AJ67" s="148" t="n">
        <x:f aca="0">IF(2026&lt;$F67,0,INDEX($I67:$AC67,1,2026-$F67+1))</x:f>
        <x:v>91.77747214042424</x:v>
      </x:c>
      <x:c r="AK67" s="148" t="n">
        <x:f aca="0">IF(2027&lt;$F67,0,INDEX($I67:$AC67,1,2027-$F67+1))</x:f>
        <x:v>134.30688170012394</x:v>
      </x:c>
      <x:c r="AL67" s="148" t="n">
        <x:f aca="0">IF(2028&lt;$F67,0,INDEX($I67:$AC67,1,2028-$F67+1))</x:f>
        <x:v>182.12090476811065</x:v>
      </x:c>
      <x:c r="AM67" s="148" t="n">
        <x:f aca="0">IF(2029&lt;$F67,0,INDEX($I67:$AC67,1,2029-$F67+1))</x:f>
        <x:v>233.3202653777463</x:v>
      </x:c>
      <x:c r="AN67" s="148" t="n">
        <x:f aca="0">IF(2030&lt;$F67,0,INDEX($I67:$AC67,1,2030-$F67+1))</x:f>
        <x:v>286.1629409997732</x:v>
      </x:c>
      <x:c r="AO67" s="148" t="n">
        <x:f aca="0">IF(2031&lt;$F67,0,INDEX($I67:$AC67,1,2031-$F67+1))</x:f>
        <x:v>339.1685113094035</x:v>
      </x:c>
      <x:c r="AP67" s="148" t="n">
        <x:f aca="0">IF(2032&lt;$F67,0,INDEX($I67:$AC67,1,2032-$F67+1))</x:f>
        <x:v>391.15421988301887</x:v>
      </x:c>
      <x:c r="AQ67" s="148" t="n">
        <x:f aca="0">IF(2033&lt;$F67,0,INDEX($I67:$AC67,1,2033-$F67+1))</x:f>
        <x:v>441.2286830747353</x:v>
      </x:c>
      <x:c r="AR67" s="148" t="n">
        <x:f aca="0">IF(2034&lt;$F67,0,INDEX($I67:$AC67,1,2034-$F67+1))</x:f>
        <x:v>488.76237546533457</x:v>
      </x:c>
      <x:c r="AS67" s="148" t="n">
        <x:f aca="0">IF(2035&lt;$F67,0,INDEX($I67:$AC67,1,2035-$F67+1))</x:f>
        <x:v>533.3478162695995</x:v>
      </x:c>
      <x:c r="AT67" s="148" t="n">
        <x:f aca="0">IF(2036&lt;$F67,0,INDEX($I67:$AC67,1,2036-$F67+1))</x:f>
        <x:v>574.7575339912049</x:v>
      </x:c>
      <x:c r="AU67" s="148" t="n">
        <x:f aca="0">IF(2037&lt;$F67,0,INDEX($I67:$AC67,1,2037-$F67+1))</x:f>
        <x:v>612.9044233575635</x:v>
      </x:c>
      <x:c r="AV67" s="148" t="n">
        <x:f aca="0">IF(2038&lt;$F67,0,INDEX($I67:$AC67,1,2038-$F67+1))</x:f>
        <x:v>647.8067927351865</x:v>
      </x:c>
      <x:c r="AW67" s="148" t="n">
        <x:f aca="0">IF(2039&lt;$F67,0,INDEX($I67:$AC67,1,2039-$F67+1))</x:f>
        <x:v>679.5589432998094</x:v>
      </x:c>
      <x:c r="AX67" s="148" t="n">
        <x:f aca="0">IF(2040&lt;$F67,0,INDEX($I67:$AC67,1,2040-$F67+1))</x:f>
        <x:v>708.3072658807783</x:v>
      </x:c>
      <x:c r="AY67" s="1" t="str">
        <x:f aca="0">LEFT($C67,FIND("@",SUBSTITUTE($C67,"|","@",2))-1)</x:f>
        <x:v>Timber Plantation|Medium</x:v>
      </x:c>
      <x:c r="AZ67" s="1" t="str">
        <x:f aca="0">LEFT($C67,FIND("|",$C67)-1)</x:f>
        <x:v>Timber Plantation</x:v>
      </x:c>
      <x:c r="BA67" s="149" t="n">
        <x:f aca="0">I67*I67</x:f>
        <x:v>0</x:v>
      </x:c>
      <x:c r="BB67" s="149" t="n">
        <x:f aca="0">J67*J67</x:f>
        <x:v>0.06753267227502133</x:v>
      </x:c>
      <x:c r="BC67" s="149" t="n">
        <x:f aca="0">K67*K67</x:f>
        <x:v>9.781788516598569</x:v>
      </x:c>
      <x:c r="BD67" s="149" t="n">
        <x:f aca="0">L67*L67</x:f>
        <x:v>146.01024553526898</x:v>
      </x:c>
      <x:c r="BE67" s="149" t="n">
        <x:f aca="0">M67*M67</x:f>
        <x:v>876.6291984239214</x:v>
      </x:c>
      <x:c r="BF67" s="149" t="n">
        <x:f aca="0">N67*N67</x:f>
        <x:v>3179.3475087068477</x:v>
      </x:c>
      <x:c r="BG67" s="149" t="n">
        <x:f aca="0">O67*O67</x:f>
        <x:v>8423.104392486346</x:v>
      </x:c>
      <x:c r="BH67" s="149" t="n">
        <x:f aca="0">P67*P67</x:f>
        <x:v>18038.338472011088</x:v>
      </x:c>
      <x:c r="BI67" s="149" t="n">
        <x:f aca="0">Q67*Q67</x:f>
        <x:v>33168.023953555225</x:v>
      </x:c>
      <x:c r="BJ67" s="149" t="n">
        <x:f aca="0">R67*R67</x:f>
        <x:v>54438.34623594196</x:v>
      </x:c>
      <x:c r="BK67" s="149" t="n">
        <x:f aca="0">S67*S67</x:f>
        <x:v>81889.22880163966</x:v>
      </x:c>
      <x:c r="BL67" s="149" t="n">
        <x:f aca="0">T67*T67</x:f>
        <x:v>115035.27906383699</x:v>
      </x:c>
      <x:c r="BM67" s="149" t="n">
        <x:f aca="0">U67*U67</x:f>
        <x:v>153001.62373229308</x:v>
      </x:c>
      <x:c r="BN67" s="149" t="n">
        <x:f aca="0">V67*V67</x:f>
        <x:v>194682.7507678652</x:v>
      </x:c>
      <x:c r="BO67" s="149" t="n">
        <x:f aca="0">W67*W67</x:f>
        <x:v>238888.65967051667</x:v>
      </x:c>
      <x:c r="BP67" s="149" t="n">
        <x:f aca="0">X67*X67</x:f>
        <x:v>284459.89311955054</x:v>
      </x:c>
      <x:c r="BQ67" s="149" t="n">
        <x:f aca="0">Y67*Y67</x:f>
        <x:v>330346.22287965106</x:v>
      </x:c>
      <x:c r="BR67" s="149" t="n">
        <x:f aca="0">Z67*Z67</x:f>
        <x:v>375651.8321712674</x:v>
      </x:c>
      <x:c r="BS67" s="149" t="n">
        <x:f aca="0">AA67*AA67</x:f>
        <x:v>419653.6407138489</x:v>
      </x:c>
      <x:c r="BT67" s="149" t="n">
        <x:f aca="0">AB67*AB67</x:f>
        <x:v>461800.3574187535</x:v>
      </x:c>
      <x:c r="BU67" s="149" t="n">
        <x:f aca="0">AC67*AC67</x:f>
        <x:v>501699.1828995036</x:v>
      </x:c>
    </x:row>
    <x:row r="68" ht="15" hidden="0" customHeight="1">
      <x:c r="A68" s="1" t="str">
        <x:f aca="0">S13_PSP_Species_Support!A55</x:f>
        <x:v>PSP-TP-014</x:v>
      </x:c>
      <x:c r="B68" s="1" t="n">
        <x:f aca="0">55</x:f>
        <x:v>55</x:v>
      </x:c>
      <x:c r="C68" s="1" t="str">
        <x:f aca="0">S13_PSP_Species_Support!I55</x:f>
        <x:v>Timber Plantation|Medium|2020</x:v>
      </x:c>
      <x:c r="D68" s="1" t="str">
        <x:f aca="0">S13_PSP_Species_Support!C55</x:f>
        <x:v>Timber Plantation</x:v>
      </x:c>
      <x:c r="E68" s="1" t="str">
        <x:f aca="0">S13_PSP_Species_Support!D55</x:f>
        <x:v>Medium</x:v>
      </x:c>
      <x:c r="F68" s="1" t="n">
        <x:f aca="0">S13_PSP_Species_Support!E55</x:f>
        <x:v>2020</x:v>
      </x:c>
      <x:c r="G68" s="645" t="n">
        <x:f aca="0">'S13_PSP_Species_Support'!DJ55</x:f>
        <x:v>0.09</x:v>
      </x:c>
      <x:c r="H68" s="714" t="n">
        <x:f aca="0">'S13_PSP_Species_Support'!DK55</x:f>
        <x:v>155.9251559251559</x:v>
      </x:c>
      <x:c r="I68" s="147" t="n">
        <x:f aca="0">IFERROR((IFERROR(S13_PSP_Species_Support!U55*0.0673*(S13_PSP_Species_Support!V55*(S13_PSP_Species_Support!W55*(1-EXP(-S13_PSP_Species_Support!X55*0))^S13_PSP_Species_Support!Y55)^2*(S13_PSP_Species_Support!Z55*(1-EXP(-S13_PSP_Species_Support!AA55*0))^S13_PSP_Species_Support!AB55))^0.976,0)+IFERROR(S13_PSP_Species_Support!AF55*0.0673*(S13_PSP_Species_Support!AG55*(S13_PSP_Species_Support!AH55*(1-EXP(-S13_PSP_Species_Support!AI55*0))^S13_PSP_Species_Support!AJ55)^2*(S13_PSP_Species_Support!AK55*(1-EXP(-S13_PSP_Species_Support!AL55*0))^S13_PSP_Species_Support!AM55))^0.976,0)+IFERROR(S13_PSP_Species_Support!AQ55*0.0673*(S13_PSP_Species_Support!AR55*(S13_PSP_Species_Support!AS55*(1-EXP(-S13_PSP_Species_Support!AT55*0))^S13_PSP_Species_Support!AU55)^2*(S13_PSP_Species_Support!AV55*(1-EXP(-S13_PSP_Species_Support!AW55*0))^S13_PSP_Species_Support!AX55))^0.976,0)+IFERROR(S13_PSP_Species_Support!BB55*0.0673*(S13_PSP_Species_Support!BC55*(S13_PSP_Species_Support!BD55*(1-EXP(-S13_PSP_Species_Support!BE55*0))^S13_PSP_Species_Support!BF55)^2*(S13_PSP_Species_Support!BG55*(1-EXP(-S13_PSP_Species_Support!BH55*0))^S13_PSP_Species_Support!BI55))^0.976,0)+IFERROR(S13_PSP_Species_Support!BM55*0.0673*(S13_PSP_Species_Support!BN55*(S13_PSP_Species_Support!BO55*(1-EXP(-S13_PSP_Species_Support!BP55*0))^S13_PSP_Species_Support!BQ55)^2*(S13_PSP_Species_Support!BR55*(1-EXP(-S13_PSP_Species_Support!BS55*0))^S13_PSP_Species_Support!BT55))^0.976,0)+IFERROR(S13_PSP_Species_Support!BX55*0.0673*(S13_PSP_Species_Support!BY55*(S13_PSP_Species_Support!BZ55*(1-EXP(-S13_PSP_Species_Support!CA55*0))^S13_PSP_Species_Support!CB55)^2*(S13_PSP_Species_Support!CC55*(1-EXP(-S13_PSP_Species_Support!CD55*0))^S13_PSP_Species_Support!CE55))^0.976,0)+IFERROR(S13_PSP_Species_Support!CI55*0.0673*(S13_PSP_Species_Support!CJ55*(S13_PSP_Species_Support!CK55*(1-EXP(-S13_PSP_Species_Support!CL55*0))^S13_PSP_Species_Support!CM55)^2*(S13_PSP_Species_Support!CN55*(1-EXP(-S13_PSP_Species_Support!CO55*0))^S13_PSP_Species_Support!CP55))^0.976,0)+IFERROR(S13_PSP_Species_Support!CT55*0.0673*(S13_PSP_Species_Support!CU55*(S13_PSP_Species_Support!CV55*(1-EXP(-S13_PSP_Species_Support!CW55*0))^S13_PSP_Species_Support!CX55)^2*(S13_PSP_Species_Support!CY55*(1-EXP(-S13_PSP_Species_Support!CZ55*0))^S13_PSP_Species_Support!DA55))^0.976,0))/1000/$G68*I$108,0)</x:f>
        <x:v>0</x:v>
      </x:c>
      <x:c r="J68" s="147" t="n">
        <x:f aca="0">IFERROR((IFERROR(S13_PSP_Species_Support!U55*0.0673*(S13_PSP_Species_Support!V55*(S13_PSP_Species_Support!W55*(1-EXP(-S13_PSP_Species_Support!X55*1))^S13_PSP_Species_Support!Y55)^2*(S13_PSP_Species_Support!Z55*(1-EXP(-S13_PSP_Species_Support!AA55*1))^S13_PSP_Species_Support!AB55))^0.976,0)+IFERROR(S13_PSP_Species_Support!AF55*0.0673*(S13_PSP_Species_Support!AG55*(S13_PSP_Species_Support!AH55*(1-EXP(-S13_PSP_Species_Support!AI55*1))^S13_PSP_Species_Support!AJ55)^2*(S13_PSP_Species_Support!AK55*(1-EXP(-S13_PSP_Species_Support!AL55*1))^S13_PSP_Species_Support!AM55))^0.976,0)+IFERROR(S13_PSP_Species_Support!AQ55*0.0673*(S13_PSP_Species_Support!AR55*(S13_PSP_Species_Support!AS55*(1-EXP(-S13_PSP_Species_Support!AT55*1))^S13_PSP_Species_Support!AU55)^2*(S13_PSP_Species_Support!AV55*(1-EXP(-S13_PSP_Species_Support!AW55*1))^S13_PSP_Species_Support!AX55))^0.976,0)+IFERROR(S13_PSP_Species_Support!BB55*0.0673*(S13_PSP_Species_Support!BC55*(S13_PSP_Species_Support!BD55*(1-EXP(-S13_PSP_Species_Support!BE55*1))^S13_PSP_Species_Support!BF55)^2*(S13_PSP_Species_Support!BG55*(1-EXP(-S13_PSP_Species_Support!BH55*1))^S13_PSP_Species_Support!BI55))^0.976,0)+IFERROR(S13_PSP_Species_Support!BM55*0.0673*(S13_PSP_Species_Support!BN55*(S13_PSP_Species_Support!BO55*(1-EXP(-S13_PSP_Species_Support!BP55*1))^S13_PSP_Species_Support!BQ55)^2*(S13_PSP_Species_Support!BR55*(1-EXP(-S13_PSP_Species_Support!BS55*1))^S13_PSP_Species_Support!BT55))^0.976,0)+IFERROR(S13_PSP_Species_Support!BX55*0.0673*(S13_PSP_Species_Support!BY55*(S13_PSP_Species_Support!BZ55*(1-EXP(-S13_PSP_Species_Support!CA55*1))^S13_PSP_Species_Support!CB55)^2*(S13_PSP_Species_Support!CC55*(1-EXP(-S13_PSP_Species_Support!CD55*1))^S13_PSP_Species_Support!CE55))^0.976,0)+IFERROR(S13_PSP_Species_Support!CI55*0.0673*(S13_PSP_Species_Support!CJ55*(S13_PSP_Species_Support!CK55*(1-EXP(-S13_PSP_Species_Support!CL55*1))^S13_PSP_Species_Support!CM55)^2*(S13_PSP_Species_Support!CN55*(1-EXP(-S13_PSP_Species_Support!CO55*1))^S13_PSP_Species_Support!CP55))^0.976,0)+IFERROR(S13_PSP_Species_Support!CT55*0.0673*(S13_PSP_Species_Support!CU55*(S13_PSP_Species_Support!CV55*(1-EXP(-S13_PSP_Species_Support!CW55*1))^S13_PSP_Species_Support!CX55)^2*(S13_PSP_Species_Support!CY55*(1-EXP(-S13_PSP_Species_Support!CZ55*1))^S13_PSP_Species_Support!DA55))^0.976,0))/1000/$G68*J$108,0)</x:f>
        <x:v>0.642295842852071</x:v>
      </x:c>
      <x:c r="K68" s="147" t="n">
        <x:f aca="0">IFERROR((IFERROR(S13_PSP_Species_Support!U55*0.0673*(S13_PSP_Species_Support!V55*(S13_PSP_Species_Support!W55*(1-EXP(-S13_PSP_Species_Support!X55*2))^S13_PSP_Species_Support!Y55)^2*(S13_PSP_Species_Support!Z55*(1-EXP(-S13_PSP_Species_Support!AA55*2))^S13_PSP_Species_Support!AB55))^0.976,0)+IFERROR(S13_PSP_Species_Support!AF55*0.0673*(S13_PSP_Species_Support!AG55*(S13_PSP_Species_Support!AH55*(1-EXP(-S13_PSP_Species_Support!AI55*2))^S13_PSP_Species_Support!AJ55)^2*(S13_PSP_Species_Support!AK55*(1-EXP(-S13_PSP_Species_Support!AL55*2))^S13_PSP_Species_Support!AM55))^0.976,0)+IFERROR(S13_PSP_Species_Support!AQ55*0.0673*(S13_PSP_Species_Support!AR55*(S13_PSP_Species_Support!AS55*(1-EXP(-S13_PSP_Species_Support!AT55*2))^S13_PSP_Species_Support!AU55)^2*(S13_PSP_Species_Support!AV55*(1-EXP(-S13_PSP_Species_Support!AW55*2))^S13_PSP_Species_Support!AX55))^0.976,0)+IFERROR(S13_PSP_Species_Support!BB55*0.0673*(S13_PSP_Species_Support!BC55*(S13_PSP_Species_Support!BD55*(1-EXP(-S13_PSP_Species_Support!BE55*2))^S13_PSP_Species_Support!BF55)^2*(S13_PSP_Species_Support!BG55*(1-EXP(-S13_PSP_Species_Support!BH55*2))^S13_PSP_Species_Support!BI55))^0.976,0)+IFERROR(S13_PSP_Species_Support!BM55*0.0673*(S13_PSP_Species_Support!BN55*(S13_PSP_Species_Support!BO55*(1-EXP(-S13_PSP_Species_Support!BP55*2))^S13_PSP_Species_Support!BQ55)^2*(S13_PSP_Species_Support!BR55*(1-EXP(-S13_PSP_Species_Support!BS55*2))^S13_PSP_Species_Support!BT55))^0.976,0)+IFERROR(S13_PSP_Species_Support!BX55*0.0673*(S13_PSP_Species_Support!BY55*(S13_PSP_Species_Support!BZ55*(1-EXP(-S13_PSP_Species_Support!CA55*2))^S13_PSP_Species_Support!CB55)^2*(S13_PSP_Species_Support!CC55*(1-EXP(-S13_PSP_Species_Support!CD55*2))^S13_PSP_Species_Support!CE55))^0.976,0)+IFERROR(S13_PSP_Species_Support!CI55*0.0673*(S13_PSP_Species_Support!CJ55*(S13_PSP_Species_Support!CK55*(1-EXP(-S13_PSP_Species_Support!CL55*2))^S13_PSP_Species_Support!CM55)^2*(S13_PSP_Species_Support!CN55*(1-EXP(-S13_PSP_Species_Support!CO55*2))^S13_PSP_Species_Support!CP55))^0.976,0)+IFERROR(S13_PSP_Species_Support!CT55*0.0673*(S13_PSP_Species_Support!CU55*(S13_PSP_Species_Support!CV55*(1-EXP(-S13_PSP_Species_Support!CW55*2))^S13_PSP_Species_Support!CX55)^2*(S13_PSP_Species_Support!CY55*(1-EXP(-S13_PSP_Species_Support!CZ55*2))^S13_PSP_Species_Support!DA55))^0.976,0))/1000/$G68*K$108,0)</x:f>
        <x:v>7.847084286568947</x:v>
      </x:c>
      <x:c r="L68" s="147" t="n">
        <x:f aca="0">IFERROR((IFERROR(S13_PSP_Species_Support!U55*0.0673*(S13_PSP_Species_Support!V55*(S13_PSP_Species_Support!W55*(1-EXP(-S13_PSP_Species_Support!X55*3))^S13_PSP_Species_Support!Y55)^2*(S13_PSP_Species_Support!Z55*(1-EXP(-S13_PSP_Species_Support!AA55*3))^S13_PSP_Species_Support!AB55))^0.976,0)+IFERROR(S13_PSP_Species_Support!AF55*0.0673*(S13_PSP_Species_Support!AG55*(S13_PSP_Species_Support!AH55*(1-EXP(-S13_PSP_Species_Support!AI55*3))^S13_PSP_Species_Support!AJ55)^2*(S13_PSP_Species_Support!AK55*(1-EXP(-S13_PSP_Species_Support!AL55*3))^S13_PSP_Species_Support!AM55))^0.976,0)+IFERROR(S13_PSP_Species_Support!AQ55*0.0673*(S13_PSP_Species_Support!AR55*(S13_PSP_Species_Support!AS55*(1-EXP(-S13_PSP_Species_Support!AT55*3))^S13_PSP_Species_Support!AU55)^2*(S13_PSP_Species_Support!AV55*(1-EXP(-S13_PSP_Species_Support!AW55*3))^S13_PSP_Species_Support!AX55))^0.976,0)+IFERROR(S13_PSP_Species_Support!BB55*0.0673*(S13_PSP_Species_Support!BC55*(S13_PSP_Species_Support!BD55*(1-EXP(-S13_PSP_Species_Support!BE55*3))^S13_PSP_Species_Support!BF55)^2*(S13_PSP_Species_Support!BG55*(1-EXP(-S13_PSP_Species_Support!BH55*3))^S13_PSP_Species_Support!BI55))^0.976,0)+IFERROR(S13_PSP_Species_Support!BM55*0.0673*(S13_PSP_Species_Support!BN55*(S13_PSP_Species_Support!BO55*(1-EXP(-S13_PSP_Species_Support!BP55*3))^S13_PSP_Species_Support!BQ55)^2*(S13_PSP_Species_Support!BR55*(1-EXP(-S13_PSP_Species_Support!BS55*3))^S13_PSP_Species_Support!BT55))^0.976,0)+IFERROR(S13_PSP_Species_Support!BX55*0.0673*(S13_PSP_Species_Support!BY55*(S13_PSP_Species_Support!BZ55*(1-EXP(-S13_PSP_Species_Support!CA55*3))^S13_PSP_Species_Support!CB55)^2*(S13_PSP_Species_Support!CC55*(1-EXP(-S13_PSP_Species_Support!CD55*3))^S13_PSP_Species_Support!CE55))^0.976,0)+IFERROR(S13_PSP_Species_Support!CI55*0.0673*(S13_PSP_Species_Support!CJ55*(S13_PSP_Species_Support!CK55*(1-EXP(-S13_PSP_Species_Support!CL55*3))^S13_PSP_Species_Support!CM55)^2*(S13_PSP_Species_Support!CN55*(1-EXP(-S13_PSP_Species_Support!CO55*3))^S13_PSP_Species_Support!CP55))^0.976,0)+IFERROR(S13_PSP_Species_Support!CT55*0.0673*(S13_PSP_Species_Support!CU55*(S13_PSP_Species_Support!CV55*(1-EXP(-S13_PSP_Species_Support!CW55*3))^S13_PSP_Species_Support!CX55)^2*(S13_PSP_Species_Support!CY55*(1-EXP(-S13_PSP_Species_Support!CZ55*3))^S13_PSP_Species_Support!DA55))^0.976,0))/1000/$G68*L$108,0)</x:f>
        <x:v>30.802368030841972</x:v>
      </x:c>
      <x:c r="M68" s="147" t="n">
        <x:f aca="0">IFERROR((IFERROR(S13_PSP_Species_Support!U55*0.0673*(S13_PSP_Species_Support!V55*(S13_PSP_Species_Support!W55*(1-EXP(-S13_PSP_Species_Support!X55*4))^S13_PSP_Species_Support!Y55)^2*(S13_PSP_Species_Support!Z55*(1-EXP(-S13_PSP_Species_Support!AA55*4))^S13_PSP_Species_Support!AB55))^0.976,0)+IFERROR(S13_PSP_Species_Support!AF55*0.0673*(S13_PSP_Species_Support!AG55*(S13_PSP_Species_Support!AH55*(1-EXP(-S13_PSP_Species_Support!AI55*4))^S13_PSP_Species_Support!AJ55)^2*(S13_PSP_Species_Support!AK55*(1-EXP(-S13_PSP_Species_Support!AL55*4))^S13_PSP_Species_Support!AM55))^0.976,0)+IFERROR(S13_PSP_Species_Support!AQ55*0.0673*(S13_PSP_Species_Support!AR55*(S13_PSP_Species_Support!AS55*(1-EXP(-S13_PSP_Species_Support!AT55*4))^S13_PSP_Species_Support!AU55)^2*(S13_PSP_Species_Support!AV55*(1-EXP(-S13_PSP_Species_Support!AW55*4))^S13_PSP_Species_Support!AX55))^0.976,0)+IFERROR(S13_PSP_Species_Support!BB55*0.0673*(S13_PSP_Species_Support!BC55*(S13_PSP_Species_Support!BD55*(1-EXP(-S13_PSP_Species_Support!BE55*4))^S13_PSP_Species_Support!BF55)^2*(S13_PSP_Species_Support!BG55*(1-EXP(-S13_PSP_Species_Support!BH55*4))^S13_PSP_Species_Support!BI55))^0.976,0)+IFERROR(S13_PSP_Species_Support!BM55*0.0673*(S13_PSP_Species_Support!BN55*(S13_PSP_Species_Support!BO55*(1-EXP(-S13_PSP_Species_Support!BP55*4))^S13_PSP_Species_Support!BQ55)^2*(S13_PSP_Species_Support!BR55*(1-EXP(-S13_PSP_Species_Support!BS55*4))^S13_PSP_Species_Support!BT55))^0.976,0)+IFERROR(S13_PSP_Species_Support!BX55*0.0673*(S13_PSP_Species_Support!BY55*(S13_PSP_Species_Support!BZ55*(1-EXP(-S13_PSP_Species_Support!CA55*4))^S13_PSP_Species_Support!CB55)^2*(S13_PSP_Species_Support!CC55*(1-EXP(-S13_PSP_Species_Support!CD55*4))^S13_PSP_Species_Support!CE55))^0.976,0)+IFERROR(S13_PSP_Species_Support!CI55*0.0673*(S13_PSP_Species_Support!CJ55*(S13_PSP_Species_Support!CK55*(1-EXP(-S13_PSP_Species_Support!CL55*4))^S13_PSP_Species_Support!CM55)^2*(S13_PSP_Species_Support!CN55*(1-EXP(-S13_PSP_Species_Support!CO55*4))^S13_PSP_Species_Support!CP55))^0.976,0)+IFERROR(S13_PSP_Species_Support!CT55*0.0673*(S13_PSP_Species_Support!CU55*(S13_PSP_Species_Support!CV55*(1-EXP(-S13_PSP_Species_Support!CW55*4))^S13_PSP_Species_Support!CX55)^2*(S13_PSP_Species_Support!CY55*(1-EXP(-S13_PSP_Species_Support!CZ55*4))^S13_PSP_Species_Support!DA55))^0.976,0))/1000/$G68*M$108,0)</x:f>
        <x:v>76.66025340062986</x:v>
      </x:c>
      <x:c r="N68" s="147" t="n">
        <x:f aca="0">IFERROR((IFERROR(S13_PSP_Species_Support!U55*0.0673*(S13_PSP_Species_Support!V55*(S13_PSP_Species_Support!W55*(1-EXP(-S13_PSP_Species_Support!X55*5))^S13_PSP_Species_Support!Y55)^2*(S13_PSP_Species_Support!Z55*(1-EXP(-S13_PSP_Species_Support!AA55*5))^S13_PSP_Species_Support!AB55))^0.976,0)+IFERROR(S13_PSP_Species_Support!AF55*0.0673*(S13_PSP_Species_Support!AG55*(S13_PSP_Species_Support!AH55*(1-EXP(-S13_PSP_Species_Support!AI55*5))^S13_PSP_Species_Support!AJ55)^2*(S13_PSP_Species_Support!AK55*(1-EXP(-S13_PSP_Species_Support!AL55*5))^S13_PSP_Species_Support!AM55))^0.976,0)+IFERROR(S13_PSP_Species_Support!AQ55*0.0673*(S13_PSP_Species_Support!AR55*(S13_PSP_Species_Support!AS55*(1-EXP(-S13_PSP_Species_Support!AT55*5))^S13_PSP_Species_Support!AU55)^2*(S13_PSP_Species_Support!AV55*(1-EXP(-S13_PSP_Species_Support!AW55*5))^S13_PSP_Species_Support!AX55))^0.976,0)+IFERROR(S13_PSP_Species_Support!BB55*0.0673*(S13_PSP_Species_Support!BC55*(S13_PSP_Species_Support!BD55*(1-EXP(-S13_PSP_Species_Support!BE55*5))^S13_PSP_Species_Support!BF55)^2*(S13_PSP_Species_Support!BG55*(1-EXP(-S13_PSP_Species_Support!BH55*5))^S13_PSP_Species_Support!BI55))^0.976,0)+IFERROR(S13_PSP_Species_Support!BM55*0.0673*(S13_PSP_Species_Support!BN55*(S13_PSP_Species_Support!BO55*(1-EXP(-S13_PSP_Species_Support!BP55*5))^S13_PSP_Species_Support!BQ55)^2*(S13_PSP_Species_Support!BR55*(1-EXP(-S13_PSP_Species_Support!BS55*5))^S13_PSP_Species_Support!BT55))^0.976,0)+IFERROR(S13_PSP_Species_Support!BX55*0.0673*(S13_PSP_Species_Support!BY55*(S13_PSP_Species_Support!BZ55*(1-EXP(-S13_PSP_Species_Support!CA55*5))^S13_PSP_Species_Support!CB55)^2*(S13_PSP_Species_Support!CC55*(1-EXP(-S13_PSP_Species_Support!CD55*5))^S13_PSP_Species_Support!CE55))^0.976,0)+IFERROR(S13_PSP_Species_Support!CI55*0.0673*(S13_PSP_Species_Support!CJ55*(S13_PSP_Species_Support!CK55*(1-EXP(-S13_PSP_Species_Support!CL55*5))^S13_PSP_Species_Support!CM55)^2*(S13_PSP_Species_Support!CN55*(1-EXP(-S13_PSP_Species_Support!CO55*5))^S13_PSP_Species_Support!CP55))^0.976,0)+IFERROR(S13_PSP_Species_Support!CT55*0.0673*(S13_PSP_Species_Support!CU55*(S13_PSP_Species_Support!CV55*(1-EXP(-S13_PSP_Species_Support!CW55*5))^S13_PSP_Species_Support!CX55)^2*(S13_PSP_Species_Support!CY55*(1-EXP(-S13_PSP_Species_Support!CZ55*5))^S13_PSP_Species_Support!DA55))^0.976,0))/1000/$G68*N$108,0)</x:f>
        <x:v>148.19007480081032</x:v>
      </x:c>
      <x:c r="O68" s="147" t="n">
        <x:f aca="0">IFERROR((IFERROR(S13_PSP_Species_Support!U55*0.0673*(S13_PSP_Species_Support!V55*(S13_PSP_Species_Support!W55*(1-EXP(-S13_PSP_Species_Support!X55*6))^S13_PSP_Species_Support!Y55)^2*(S13_PSP_Species_Support!Z55*(1-EXP(-S13_PSP_Species_Support!AA55*6))^S13_PSP_Species_Support!AB55))^0.976,0)+IFERROR(S13_PSP_Species_Support!AF55*0.0673*(S13_PSP_Species_Support!AG55*(S13_PSP_Species_Support!AH55*(1-EXP(-S13_PSP_Species_Support!AI55*6))^S13_PSP_Species_Support!AJ55)^2*(S13_PSP_Species_Support!AK55*(1-EXP(-S13_PSP_Species_Support!AL55*6))^S13_PSP_Species_Support!AM55))^0.976,0)+IFERROR(S13_PSP_Species_Support!AQ55*0.0673*(S13_PSP_Species_Support!AR55*(S13_PSP_Species_Support!AS55*(1-EXP(-S13_PSP_Species_Support!AT55*6))^S13_PSP_Species_Support!AU55)^2*(S13_PSP_Species_Support!AV55*(1-EXP(-S13_PSP_Species_Support!AW55*6))^S13_PSP_Species_Support!AX55))^0.976,0)+IFERROR(S13_PSP_Species_Support!BB55*0.0673*(S13_PSP_Species_Support!BC55*(S13_PSP_Species_Support!BD55*(1-EXP(-S13_PSP_Species_Support!BE55*6))^S13_PSP_Species_Support!BF55)^2*(S13_PSP_Species_Support!BG55*(1-EXP(-S13_PSP_Species_Support!BH55*6))^S13_PSP_Species_Support!BI55))^0.976,0)+IFERROR(S13_PSP_Species_Support!BM55*0.0673*(S13_PSP_Species_Support!BN55*(S13_PSP_Species_Support!BO55*(1-EXP(-S13_PSP_Species_Support!BP55*6))^S13_PSP_Species_Support!BQ55)^2*(S13_PSP_Species_Support!BR55*(1-EXP(-S13_PSP_Species_Support!BS55*6))^S13_PSP_Species_Support!BT55))^0.976,0)+IFERROR(S13_PSP_Species_Support!BX55*0.0673*(S13_PSP_Species_Support!BY55*(S13_PSP_Species_Support!BZ55*(1-EXP(-S13_PSP_Species_Support!CA55*6))^S13_PSP_Species_Support!CB55)^2*(S13_PSP_Species_Support!CC55*(1-EXP(-S13_PSP_Species_Support!CD55*6))^S13_PSP_Species_Support!CE55))^0.976,0)+IFERROR(S13_PSP_Species_Support!CI55*0.0673*(S13_PSP_Species_Support!CJ55*(S13_PSP_Species_Support!CK55*(1-EXP(-S13_PSP_Species_Support!CL55*6))^S13_PSP_Species_Support!CM55)^2*(S13_PSP_Species_Support!CN55*(1-EXP(-S13_PSP_Species_Support!CO55*6))^S13_PSP_Species_Support!CP55))^0.976,0)+IFERROR(S13_PSP_Species_Support!CT55*0.0673*(S13_PSP_Species_Support!CU55*(S13_PSP_Species_Support!CV55*(1-EXP(-S13_PSP_Species_Support!CW55*6))^S13_PSP_Species_Support!CX55)^2*(S13_PSP_Species_Support!CY55*(1-EXP(-S13_PSP_Species_Support!CZ55*6))^S13_PSP_Species_Support!DA55))^0.976,0))/1000/$G68*O$108,0)</x:f>
        <x:v>244.6402560778175</x:v>
      </x:c>
      <x:c r="P68" s="147" t="n">
        <x:f aca="0">IFERROR((IFERROR(S13_PSP_Species_Support!U55*0.0673*(S13_PSP_Species_Support!V55*(S13_PSP_Species_Support!W55*(1-EXP(-S13_PSP_Species_Support!X55*7))^S13_PSP_Species_Support!Y55)^2*(S13_PSP_Species_Support!Z55*(1-EXP(-S13_PSP_Species_Support!AA55*7))^S13_PSP_Species_Support!AB55))^0.976,0)+IFERROR(S13_PSP_Species_Support!AF55*0.0673*(S13_PSP_Species_Support!AG55*(S13_PSP_Species_Support!AH55*(1-EXP(-S13_PSP_Species_Support!AI55*7))^S13_PSP_Species_Support!AJ55)^2*(S13_PSP_Species_Support!AK55*(1-EXP(-S13_PSP_Species_Support!AL55*7))^S13_PSP_Species_Support!AM55))^0.976,0)+IFERROR(S13_PSP_Species_Support!AQ55*0.0673*(S13_PSP_Species_Support!AR55*(S13_PSP_Species_Support!AS55*(1-EXP(-S13_PSP_Species_Support!AT55*7))^S13_PSP_Species_Support!AU55)^2*(S13_PSP_Species_Support!AV55*(1-EXP(-S13_PSP_Species_Support!AW55*7))^S13_PSP_Species_Support!AX55))^0.976,0)+IFERROR(S13_PSP_Species_Support!BB55*0.0673*(S13_PSP_Species_Support!BC55*(S13_PSP_Species_Support!BD55*(1-EXP(-S13_PSP_Species_Support!BE55*7))^S13_PSP_Species_Support!BF55)^2*(S13_PSP_Species_Support!BG55*(1-EXP(-S13_PSP_Species_Support!BH55*7))^S13_PSP_Species_Support!BI55))^0.976,0)+IFERROR(S13_PSP_Species_Support!BM55*0.0673*(S13_PSP_Species_Support!BN55*(S13_PSP_Species_Support!BO55*(1-EXP(-S13_PSP_Species_Support!BP55*7))^S13_PSP_Species_Support!BQ55)^2*(S13_PSP_Species_Support!BR55*(1-EXP(-S13_PSP_Species_Support!BS55*7))^S13_PSP_Species_Support!BT55))^0.976,0)+IFERROR(S13_PSP_Species_Support!BX55*0.0673*(S13_PSP_Species_Support!BY55*(S13_PSP_Species_Support!BZ55*(1-EXP(-S13_PSP_Species_Support!CA55*7))^S13_PSP_Species_Support!CB55)^2*(S13_PSP_Species_Support!CC55*(1-EXP(-S13_PSP_Species_Support!CD55*7))^S13_PSP_Species_Support!CE55))^0.976,0)+IFERROR(S13_PSP_Species_Support!CI55*0.0673*(S13_PSP_Species_Support!CJ55*(S13_PSP_Species_Support!CK55*(1-EXP(-S13_PSP_Species_Support!CL55*7))^S13_PSP_Species_Support!CM55)^2*(S13_PSP_Species_Support!CN55*(1-EXP(-S13_PSP_Species_Support!CO55*7))^S13_PSP_Species_Support!CP55))^0.976,0)+IFERROR(S13_PSP_Species_Support!CT55*0.0673*(S13_PSP_Species_Support!CU55*(S13_PSP_Species_Support!CV55*(1-EXP(-S13_PSP_Species_Support!CW55*7))^S13_PSP_Species_Support!CX55)^2*(S13_PSP_Species_Support!CY55*(1-EXP(-S13_PSP_Species_Support!CZ55*7))^S13_PSP_Species_Support!DA55))^0.976,0))/1000/$G68*P$108,0)</x:f>
        <x:v>362.7936746038968</x:v>
      </x:c>
      <x:c r="Q68" s="147" t="n">
        <x:f aca="0">IFERROR((IFERROR(S13_PSP_Species_Support!U55*0.0673*(S13_PSP_Species_Support!V55*(S13_PSP_Species_Support!W55*(1-EXP(-S13_PSP_Species_Support!X55*8))^S13_PSP_Species_Support!Y55)^2*(S13_PSP_Species_Support!Z55*(1-EXP(-S13_PSP_Species_Support!AA55*8))^S13_PSP_Species_Support!AB55))^0.976,0)+IFERROR(S13_PSP_Species_Support!AF55*0.0673*(S13_PSP_Species_Support!AG55*(S13_PSP_Species_Support!AH55*(1-EXP(-S13_PSP_Species_Support!AI55*8))^S13_PSP_Species_Support!AJ55)^2*(S13_PSP_Species_Support!AK55*(1-EXP(-S13_PSP_Species_Support!AL55*8))^S13_PSP_Species_Support!AM55))^0.976,0)+IFERROR(S13_PSP_Species_Support!AQ55*0.0673*(S13_PSP_Species_Support!AR55*(S13_PSP_Species_Support!AS55*(1-EXP(-S13_PSP_Species_Support!AT55*8))^S13_PSP_Species_Support!AU55)^2*(S13_PSP_Species_Support!AV55*(1-EXP(-S13_PSP_Species_Support!AW55*8))^S13_PSP_Species_Support!AX55))^0.976,0)+IFERROR(S13_PSP_Species_Support!BB55*0.0673*(S13_PSP_Species_Support!BC55*(S13_PSP_Species_Support!BD55*(1-EXP(-S13_PSP_Species_Support!BE55*8))^S13_PSP_Species_Support!BF55)^2*(S13_PSP_Species_Support!BG55*(1-EXP(-S13_PSP_Species_Support!BH55*8))^S13_PSP_Species_Support!BI55))^0.976,0)+IFERROR(S13_PSP_Species_Support!BM55*0.0673*(S13_PSP_Species_Support!BN55*(S13_PSP_Species_Support!BO55*(1-EXP(-S13_PSP_Species_Support!BP55*8))^S13_PSP_Species_Support!BQ55)^2*(S13_PSP_Species_Support!BR55*(1-EXP(-S13_PSP_Species_Support!BS55*8))^S13_PSP_Species_Support!BT55))^0.976,0)+IFERROR(S13_PSP_Species_Support!BX55*0.0673*(S13_PSP_Species_Support!BY55*(S13_PSP_Species_Support!BZ55*(1-EXP(-S13_PSP_Species_Support!CA55*8))^S13_PSP_Species_Support!CB55)^2*(S13_PSP_Species_Support!CC55*(1-EXP(-S13_PSP_Species_Support!CD55*8))^S13_PSP_Species_Support!CE55))^0.976,0)+IFERROR(S13_PSP_Species_Support!CI55*0.0673*(S13_PSP_Species_Support!CJ55*(S13_PSP_Species_Support!CK55*(1-EXP(-S13_PSP_Species_Support!CL55*8))^S13_PSP_Species_Support!CM55)^2*(S13_PSP_Species_Support!CN55*(1-EXP(-S13_PSP_Species_Support!CO55*8))^S13_PSP_Species_Support!CP55))^0.976,0)+IFERROR(S13_PSP_Species_Support!CT55*0.0673*(S13_PSP_Species_Support!CU55*(S13_PSP_Species_Support!CV55*(1-EXP(-S13_PSP_Species_Support!CW55*8))^S13_PSP_Species_Support!CX55)^2*(S13_PSP_Species_Support!CY55*(1-EXP(-S13_PSP_Species_Support!CZ55*8))^S13_PSP_Species_Support!DA55))^0.976,0))/1000/$G68*Q$108,0)</x:f>
        <x:v>498.0941790909359</x:v>
      </x:c>
      <x:c r="R68" s="147" t="n">
        <x:f aca="0">IFERROR((IFERROR(S13_PSP_Species_Support!U55*0.0673*(S13_PSP_Species_Support!V55*(S13_PSP_Species_Support!W55*(1-EXP(-S13_PSP_Species_Support!X55*9))^S13_PSP_Species_Support!Y55)^2*(S13_PSP_Species_Support!Z55*(1-EXP(-S13_PSP_Species_Support!AA55*9))^S13_PSP_Species_Support!AB55))^0.976,0)+IFERROR(S13_PSP_Species_Support!AF55*0.0673*(S13_PSP_Species_Support!AG55*(S13_PSP_Species_Support!AH55*(1-EXP(-S13_PSP_Species_Support!AI55*9))^S13_PSP_Species_Support!AJ55)^2*(S13_PSP_Species_Support!AK55*(1-EXP(-S13_PSP_Species_Support!AL55*9))^S13_PSP_Species_Support!AM55))^0.976,0)+IFERROR(S13_PSP_Species_Support!AQ55*0.0673*(S13_PSP_Species_Support!AR55*(S13_PSP_Species_Support!AS55*(1-EXP(-S13_PSP_Species_Support!AT55*9))^S13_PSP_Species_Support!AU55)^2*(S13_PSP_Species_Support!AV55*(1-EXP(-S13_PSP_Species_Support!AW55*9))^S13_PSP_Species_Support!AX55))^0.976,0)+IFERROR(S13_PSP_Species_Support!BB55*0.0673*(S13_PSP_Species_Support!BC55*(S13_PSP_Species_Support!BD55*(1-EXP(-S13_PSP_Species_Support!BE55*9))^S13_PSP_Species_Support!BF55)^2*(S13_PSP_Species_Support!BG55*(1-EXP(-S13_PSP_Species_Support!BH55*9))^S13_PSP_Species_Support!BI55))^0.976,0)+IFERROR(S13_PSP_Species_Support!BM55*0.0673*(S13_PSP_Species_Support!BN55*(S13_PSP_Species_Support!BO55*(1-EXP(-S13_PSP_Species_Support!BP55*9))^S13_PSP_Species_Support!BQ55)^2*(S13_PSP_Species_Support!BR55*(1-EXP(-S13_PSP_Species_Support!BS55*9))^S13_PSP_Species_Support!BT55))^0.976,0)+IFERROR(S13_PSP_Species_Support!BX55*0.0673*(S13_PSP_Species_Support!BY55*(S13_PSP_Species_Support!BZ55*(1-EXP(-S13_PSP_Species_Support!CA55*9))^S13_PSP_Species_Support!CB55)^2*(S13_PSP_Species_Support!CC55*(1-EXP(-S13_PSP_Species_Support!CD55*9))^S13_PSP_Species_Support!CE55))^0.976,0)+IFERROR(S13_PSP_Species_Support!CI55*0.0673*(S13_PSP_Species_Support!CJ55*(S13_PSP_Species_Support!CK55*(1-EXP(-S13_PSP_Species_Support!CL55*9))^S13_PSP_Species_Support!CM55)^2*(S13_PSP_Species_Support!CN55*(1-EXP(-S13_PSP_Species_Support!CO55*9))^S13_PSP_Species_Support!CP55))^0.976,0)+IFERROR(S13_PSP_Species_Support!CT55*0.0673*(S13_PSP_Species_Support!CU55*(S13_PSP_Species_Support!CV55*(1-EXP(-S13_PSP_Species_Support!CW55*9))^S13_PSP_Species_Support!CX55)^2*(S13_PSP_Species_Support!CY55*(1-EXP(-S13_PSP_Species_Support!CZ55*9))^S13_PSP_Species_Support!DA55))^0.976,0))/1000/$G68*R$108,0)</x:f>
        <x:v>645.5324265381255</x:v>
      </x:c>
      <x:c r="S68" s="147" t="n">
        <x:f aca="0">IFERROR((IFERROR(S13_PSP_Species_Support!U55*0.0673*(S13_PSP_Species_Support!V55*(S13_PSP_Species_Support!W55*(1-EXP(-S13_PSP_Species_Support!X55*10))^S13_PSP_Species_Support!Y55)^2*(S13_PSP_Species_Support!Z55*(1-EXP(-S13_PSP_Species_Support!AA55*10))^S13_PSP_Species_Support!AB55))^0.976,0)+IFERROR(S13_PSP_Species_Support!AF55*0.0673*(S13_PSP_Species_Support!AG55*(S13_PSP_Species_Support!AH55*(1-EXP(-S13_PSP_Species_Support!AI55*10))^S13_PSP_Species_Support!AJ55)^2*(S13_PSP_Species_Support!AK55*(1-EXP(-S13_PSP_Species_Support!AL55*10))^S13_PSP_Species_Support!AM55))^0.976,0)+IFERROR(S13_PSP_Species_Support!AQ55*0.0673*(S13_PSP_Species_Support!AR55*(S13_PSP_Species_Support!AS55*(1-EXP(-S13_PSP_Species_Support!AT55*10))^S13_PSP_Species_Support!AU55)^2*(S13_PSP_Species_Support!AV55*(1-EXP(-S13_PSP_Species_Support!AW55*10))^S13_PSP_Species_Support!AX55))^0.976,0)+IFERROR(S13_PSP_Species_Support!BB55*0.0673*(S13_PSP_Species_Support!BC55*(S13_PSP_Species_Support!BD55*(1-EXP(-S13_PSP_Species_Support!BE55*10))^S13_PSP_Species_Support!BF55)^2*(S13_PSP_Species_Support!BG55*(1-EXP(-S13_PSP_Species_Support!BH55*10))^S13_PSP_Species_Support!BI55))^0.976,0)+IFERROR(S13_PSP_Species_Support!BM55*0.0673*(S13_PSP_Species_Support!BN55*(S13_PSP_Species_Support!BO55*(1-EXP(-S13_PSP_Species_Support!BP55*10))^S13_PSP_Species_Support!BQ55)^2*(S13_PSP_Species_Support!BR55*(1-EXP(-S13_PSP_Species_Support!BS55*10))^S13_PSP_Species_Support!BT55))^0.976,0)+IFERROR(S13_PSP_Species_Support!BX55*0.0673*(S13_PSP_Species_Support!BY55*(S13_PSP_Species_Support!BZ55*(1-EXP(-S13_PSP_Species_Support!CA55*10))^S13_PSP_Species_Support!CB55)^2*(S13_PSP_Species_Support!CC55*(1-EXP(-S13_PSP_Species_Support!CD55*10))^S13_PSP_Species_Support!CE55))^0.976,0)+IFERROR(S13_PSP_Species_Support!CI55*0.0673*(S13_PSP_Species_Support!CJ55*(S13_PSP_Species_Support!CK55*(1-EXP(-S13_PSP_Species_Support!CL55*10))^S13_PSP_Species_Support!CM55)^2*(S13_PSP_Species_Support!CN55*(1-EXP(-S13_PSP_Species_Support!CO55*10))^S13_PSP_Species_Support!CP55))^0.976,0)+IFERROR(S13_PSP_Species_Support!CT55*0.0673*(S13_PSP_Species_Support!CU55*(S13_PSP_Species_Support!CV55*(1-EXP(-S13_PSP_Species_Support!CW55*10))^S13_PSP_Species_Support!CX55)^2*(S13_PSP_Species_Support!CY55*(1-EXP(-S13_PSP_Species_Support!CZ55*10))^S13_PSP_Species_Support!DA55))^0.976,0))/1000/$G68*S$108,0)</x:f>
        <x:v>800.2504511500861</x:v>
      </x:c>
      <x:c r="T68" s="147" t="n">
        <x:f aca="0">IFERROR((IFERROR(S13_PSP_Species_Support!U55*0.0673*(S13_PSP_Species_Support!V55*(S13_PSP_Species_Support!W55*(1-EXP(-S13_PSP_Species_Support!X55*11))^S13_PSP_Species_Support!Y55)^2*(S13_PSP_Species_Support!Z55*(1-EXP(-S13_PSP_Species_Support!AA55*11))^S13_PSP_Species_Support!AB55))^0.976,0)+IFERROR(S13_PSP_Species_Support!AF55*0.0673*(S13_PSP_Species_Support!AG55*(S13_PSP_Species_Support!AH55*(1-EXP(-S13_PSP_Species_Support!AI55*11))^S13_PSP_Species_Support!AJ55)^2*(S13_PSP_Species_Support!AK55*(1-EXP(-S13_PSP_Species_Support!AL55*11))^S13_PSP_Species_Support!AM55))^0.976,0)+IFERROR(S13_PSP_Species_Support!AQ55*0.0673*(S13_PSP_Species_Support!AR55*(S13_PSP_Species_Support!AS55*(1-EXP(-S13_PSP_Species_Support!AT55*11))^S13_PSP_Species_Support!AU55)^2*(S13_PSP_Species_Support!AV55*(1-EXP(-S13_PSP_Species_Support!AW55*11))^S13_PSP_Species_Support!AX55))^0.976,0)+IFERROR(S13_PSP_Species_Support!BB55*0.0673*(S13_PSP_Species_Support!BC55*(S13_PSP_Species_Support!BD55*(1-EXP(-S13_PSP_Species_Support!BE55*11))^S13_PSP_Species_Support!BF55)^2*(S13_PSP_Species_Support!BG55*(1-EXP(-S13_PSP_Species_Support!BH55*11))^S13_PSP_Species_Support!BI55))^0.976,0)+IFERROR(S13_PSP_Species_Support!BM55*0.0673*(S13_PSP_Species_Support!BN55*(S13_PSP_Species_Support!BO55*(1-EXP(-S13_PSP_Species_Support!BP55*11))^S13_PSP_Species_Support!BQ55)^2*(S13_PSP_Species_Support!BR55*(1-EXP(-S13_PSP_Species_Support!BS55*11))^S13_PSP_Species_Support!BT55))^0.976,0)+IFERROR(S13_PSP_Species_Support!BX55*0.0673*(S13_PSP_Species_Support!BY55*(S13_PSP_Species_Support!BZ55*(1-EXP(-S13_PSP_Species_Support!CA55*11))^S13_PSP_Species_Support!CB55)^2*(S13_PSP_Species_Support!CC55*(1-EXP(-S13_PSP_Species_Support!CD55*11))^S13_PSP_Species_Support!CE55))^0.976,0)+IFERROR(S13_PSP_Species_Support!CI55*0.0673*(S13_PSP_Species_Support!CJ55*(S13_PSP_Species_Support!CK55*(1-EXP(-S13_PSP_Species_Support!CL55*11))^S13_PSP_Species_Support!CM55)^2*(S13_PSP_Species_Support!CN55*(1-EXP(-S13_PSP_Species_Support!CO55*11))^S13_PSP_Species_Support!CP55))^0.976,0)+IFERROR(S13_PSP_Species_Support!CT55*0.0673*(S13_PSP_Species_Support!CU55*(S13_PSP_Species_Support!CV55*(1-EXP(-S13_PSP_Species_Support!CW55*11))^S13_PSP_Species_Support!CX55)^2*(S13_PSP_Species_Support!CY55*(1-EXP(-S13_PSP_Species_Support!CZ55*11))^S13_PSP_Species_Support!DA55))^0.976,0))/1000/$G68*T$108,0)</x:f>
        <x:v>957.9022038154048</x:v>
      </x:c>
      <x:c r="U68" s="147" t="n">
        <x:f aca="0">IFERROR((IFERROR(S13_PSP_Species_Support!U55*0.0673*(S13_PSP_Species_Support!V55*(S13_PSP_Species_Support!W55*(1-EXP(-S13_PSP_Species_Support!X55*12))^S13_PSP_Species_Support!Y55)^2*(S13_PSP_Species_Support!Z55*(1-EXP(-S13_PSP_Species_Support!AA55*12))^S13_PSP_Species_Support!AB55))^0.976,0)+IFERROR(S13_PSP_Species_Support!AF55*0.0673*(S13_PSP_Species_Support!AG55*(S13_PSP_Species_Support!AH55*(1-EXP(-S13_PSP_Species_Support!AI55*12))^S13_PSP_Species_Support!AJ55)^2*(S13_PSP_Species_Support!AK55*(1-EXP(-S13_PSP_Species_Support!AL55*12))^S13_PSP_Species_Support!AM55))^0.976,0)+IFERROR(S13_PSP_Species_Support!AQ55*0.0673*(S13_PSP_Species_Support!AR55*(S13_PSP_Species_Support!AS55*(1-EXP(-S13_PSP_Species_Support!AT55*12))^S13_PSP_Species_Support!AU55)^2*(S13_PSP_Species_Support!AV55*(1-EXP(-S13_PSP_Species_Support!AW55*12))^S13_PSP_Species_Support!AX55))^0.976,0)+IFERROR(S13_PSP_Species_Support!BB55*0.0673*(S13_PSP_Species_Support!BC55*(S13_PSP_Species_Support!BD55*(1-EXP(-S13_PSP_Species_Support!BE55*12))^S13_PSP_Species_Support!BF55)^2*(S13_PSP_Species_Support!BG55*(1-EXP(-S13_PSP_Species_Support!BH55*12))^S13_PSP_Species_Support!BI55))^0.976,0)+IFERROR(S13_PSP_Species_Support!BM55*0.0673*(S13_PSP_Species_Support!BN55*(S13_PSP_Species_Support!BO55*(1-EXP(-S13_PSP_Species_Support!BP55*12))^S13_PSP_Species_Support!BQ55)^2*(S13_PSP_Species_Support!BR55*(1-EXP(-S13_PSP_Species_Support!BS55*12))^S13_PSP_Species_Support!BT55))^0.976,0)+IFERROR(S13_PSP_Species_Support!BX55*0.0673*(S13_PSP_Species_Support!BY55*(S13_PSP_Species_Support!BZ55*(1-EXP(-S13_PSP_Species_Support!CA55*12))^S13_PSP_Species_Support!CB55)^2*(S13_PSP_Species_Support!CC55*(1-EXP(-S13_PSP_Species_Support!CD55*12))^S13_PSP_Species_Support!CE55))^0.976,0)+IFERROR(S13_PSP_Species_Support!CI55*0.0673*(S13_PSP_Species_Support!CJ55*(S13_PSP_Species_Support!CK55*(1-EXP(-S13_PSP_Species_Support!CL55*12))^S13_PSP_Species_Support!CM55)^2*(S13_PSP_Species_Support!CN55*(1-EXP(-S13_PSP_Species_Support!CO55*12))^S13_PSP_Species_Support!CP55))^0.976,0)+IFERROR(S13_PSP_Species_Support!CT55*0.0673*(S13_PSP_Species_Support!CU55*(S13_PSP_Species_Support!CV55*(1-EXP(-S13_PSP_Species_Support!CW55*12))^S13_PSP_Species_Support!CX55)^2*(S13_PSP_Species_Support!CY55*(1-EXP(-S13_PSP_Species_Support!CZ55*12))^S13_PSP_Species_Support!DA55))^0.976,0))/1000/$G68*U$108,0)</x:f>
        <x:v>1114.8298114590473</x:v>
      </x:c>
      <x:c r="V68" s="147" t="n">
        <x:f aca="0">IFERROR((IFERROR(S13_PSP_Species_Support!U55*0.0673*(S13_PSP_Species_Support!V55*(S13_PSP_Species_Support!W55*(1-EXP(-S13_PSP_Species_Support!X55*13))^S13_PSP_Species_Support!Y55)^2*(S13_PSP_Species_Support!Z55*(1-EXP(-S13_PSP_Species_Support!AA55*13))^S13_PSP_Species_Support!AB55))^0.976,0)+IFERROR(S13_PSP_Species_Support!AF55*0.0673*(S13_PSP_Species_Support!AG55*(S13_PSP_Species_Support!AH55*(1-EXP(-S13_PSP_Species_Support!AI55*13))^S13_PSP_Species_Support!AJ55)^2*(S13_PSP_Species_Support!AK55*(1-EXP(-S13_PSP_Species_Support!AL55*13))^S13_PSP_Species_Support!AM55))^0.976,0)+IFERROR(S13_PSP_Species_Support!AQ55*0.0673*(S13_PSP_Species_Support!AR55*(S13_PSP_Species_Support!AS55*(1-EXP(-S13_PSP_Species_Support!AT55*13))^S13_PSP_Species_Support!AU55)^2*(S13_PSP_Species_Support!AV55*(1-EXP(-S13_PSP_Species_Support!AW55*13))^S13_PSP_Species_Support!AX55))^0.976,0)+IFERROR(S13_PSP_Species_Support!BB55*0.0673*(S13_PSP_Species_Support!BC55*(S13_PSP_Species_Support!BD55*(1-EXP(-S13_PSP_Species_Support!BE55*13))^S13_PSP_Species_Support!BF55)^2*(S13_PSP_Species_Support!BG55*(1-EXP(-S13_PSP_Species_Support!BH55*13))^S13_PSP_Species_Support!BI55))^0.976,0)+IFERROR(S13_PSP_Species_Support!BM55*0.0673*(S13_PSP_Species_Support!BN55*(S13_PSP_Species_Support!BO55*(1-EXP(-S13_PSP_Species_Support!BP55*13))^S13_PSP_Species_Support!BQ55)^2*(S13_PSP_Species_Support!BR55*(1-EXP(-S13_PSP_Species_Support!BS55*13))^S13_PSP_Species_Support!BT55))^0.976,0)+IFERROR(S13_PSP_Species_Support!BX55*0.0673*(S13_PSP_Species_Support!BY55*(S13_PSP_Species_Support!BZ55*(1-EXP(-S13_PSP_Species_Support!CA55*13))^S13_PSP_Species_Support!CB55)^2*(S13_PSP_Species_Support!CC55*(1-EXP(-S13_PSP_Species_Support!CD55*13))^S13_PSP_Species_Support!CE55))^0.976,0)+IFERROR(S13_PSP_Species_Support!CI55*0.0673*(S13_PSP_Species_Support!CJ55*(S13_PSP_Species_Support!CK55*(1-EXP(-S13_PSP_Species_Support!CL55*13))^S13_PSP_Species_Support!CM55)^2*(S13_PSP_Species_Support!CN55*(1-EXP(-S13_PSP_Species_Support!CO55*13))^S13_PSP_Species_Support!CP55))^0.976,0)+IFERROR(S13_PSP_Species_Support!CT55*0.0673*(S13_PSP_Species_Support!CU55*(S13_PSP_Species_Support!CV55*(1-EXP(-S13_PSP_Species_Support!CW55*13))^S13_PSP_Species_Support!CX55)^2*(S13_PSP_Species_Support!CY55*(1-EXP(-S13_PSP_Species_Support!CZ55*13))^S13_PSP_Species_Support!DA55))^0.976,0))/1000/$G68*V$108,0)</x:f>
        <x:v>1268.1135055378113</x:v>
      </x:c>
      <x:c r="W68" s="147" t="n">
        <x:f aca="0">IFERROR((IFERROR(S13_PSP_Species_Support!U55*0.0673*(S13_PSP_Species_Support!V55*(S13_PSP_Species_Support!W55*(1-EXP(-S13_PSP_Species_Support!X55*14))^S13_PSP_Species_Support!Y55)^2*(S13_PSP_Species_Support!Z55*(1-EXP(-S13_PSP_Species_Support!AA55*14))^S13_PSP_Species_Support!AB55))^0.976,0)+IFERROR(S13_PSP_Species_Support!AF55*0.0673*(S13_PSP_Species_Support!AG55*(S13_PSP_Species_Support!AH55*(1-EXP(-S13_PSP_Species_Support!AI55*14))^S13_PSP_Species_Support!AJ55)^2*(S13_PSP_Species_Support!AK55*(1-EXP(-S13_PSP_Species_Support!AL55*14))^S13_PSP_Species_Support!AM55))^0.976,0)+IFERROR(S13_PSP_Species_Support!AQ55*0.0673*(S13_PSP_Species_Support!AR55*(S13_PSP_Species_Support!AS55*(1-EXP(-S13_PSP_Species_Support!AT55*14))^S13_PSP_Species_Support!AU55)^2*(S13_PSP_Species_Support!AV55*(1-EXP(-S13_PSP_Species_Support!AW55*14))^S13_PSP_Species_Support!AX55))^0.976,0)+IFERROR(S13_PSP_Species_Support!BB55*0.0673*(S13_PSP_Species_Support!BC55*(S13_PSP_Species_Support!BD55*(1-EXP(-S13_PSP_Species_Support!BE55*14))^S13_PSP_Species_Support!BF55)^2*(S13_PSP_Species_Support!BG55*(1-EXP(-S13_PSP_Species_Support!BH55*14))^S13_PSP_Species_Support!BI55))^0.976,0)+IFERROR(S13_PSP_Species_Support!BM55*0.0673*(S13_PSP_Species_Support!BN55*(S13_PSP_Species_Support!BO55*(1-EXP(-S13_PSP_Species_Support!BP55*14))^S13_PSP_Species_Support!BQ55)^2*(S13_PSP_Species_Support!BR55*(1-EXP(-S13_PSP_Species_Support!BS55*14))^S13_PSP_Species_Support!BT55))^0.976,0)+IFERROR(S13_PSP_Species_Support!BX55*0.0673*(S13_PSP_Species_Support!BY55*(S13_PSP_Species_Support!BZ55*(1-EXP(-S13_PSP_Species_Support!CA55*14))^S13_PSP_Species_Support!CB55)^2*(S13_PSP_Species_Support!CC55*(1-EXP(-S13_PSP_Species_Support!CD55*14))^S13_PSP_Species_Support!CE55))^0.976,0)+IFERROR(S13_PSP_Species_Support!CI55*0.0673*(S13_PSP_Species_Support!CJ55*(S13_PSP_Species_Support!CK55*(1-EXP(-S13_PSP_Species_Support!CL55*14))^S13_PSP_Species_Support!CM55)^2*(S13_PSP_Species_Support!CN55*(1-EXP(-S13_PSP_Species_Support!CO55*14))^S13_PSP_Species_Support!CP55))^0.976,0)+IFERROR(S13_PSP_Species_Support!CT55*0.0673*(S13_PSP_Species_Support!CU55*(S13_PSP_Species_Support!CV55*(1-EXP(-S13_PSP_Species_Support!CW55*14))^S13_PSP_Species_Support!CX55)^2*(S13_PSP_Species_Support!CY55*(1-EXP(-S13_PSP_Species_Support!CZ55*14))^S13_PSP_Species_Support!DA55))^0.976,0))/1000/$G68*W$108,0)</x:f>
        <x:v>1415.5425213074204</x:v>
      </x:c>
      <x:c r="X68" s="147" t="n">
        <x:f aca="0">IFERROR((IFERROR(S13_PSP_Species_Support!U55*0.0673*(S13_PSP_Species_Support!V55*(S13_PSP_Species_Support!W55*(1-EXP(-S13_PSP_Species_Support!X55*15))^S13_PSP_Species_Support!Y55)^2*(S13_PSP_Species_Support!Z55*(1-EXP(-S13_PSP_Species_Support!AA55*15))^S13_PSP_Species_Support!AB55))^0.976,0)+IFERROR(S13_PSP_Species_Support!AF55*0.0673*(S13_PSP_Species_Support!AG55*(S13_PSP_Species_Support!AH55*(1-EXP(-S13_PSP_Species_Support!AI55*15))^S13_PSP_Species_Support!AJ55)^2*(S13_PSP_Species_Support!AK55*(1-EXP(-S13_PSP_Species_Support!AL55*15))^S13_PSP_Species_Support!AM55))^0.976,0)+IFERROR(S13_PSP_Species_Support!AQ55*0.0673*(S13_PSP_Species_Support!AR55*(S13_PSP_Species_Support!AS55*(1-EXP(-S13_PSP_Species_Support!AT55*15))^S13_PSP_Species_Support!AU55)^2*(S13_PSP_Species_Support!AV55*(1-EXP(-S13_PSP_Species_Support!AW55*15))^S13_PSP_Species_Support!AX55))^0.976,0)+IFERROR(S13_PSP_Species_Support!BB55*0.0673*(S13_PSP_Species_Support!BC55*(S13_PSP_Species_Support!BD55*(1-EXP(-S13_PSP_Species_Support!BE55*15))^S13_PSP_Species_Support!BF55)^2*(S13_PSP_Species_Support!BG55*(1-EXP(-S13_PSP_Species_Support!BH55*15))^S13_PSP_Species_Support!BI55))^0.976,0)+IFERROR(S13_PSP_Species_Support!BM55*0.0673*(S13_PSP_Species_Support!BN55*(S13_PSP_Species_Support!BO55*(1-EXP(-S13_PSP_Species_Support!BP55*15))^S13_PSP_Species_Support!BQ55)^2*(S13_PSP_Species_Support!BR55*(1-EXP(-S13_PSP_Species_Support!BS55*15))^S13_PSP_Species_Support!BT55))^0.976,0)+IFERROR(S13_PSP_Species_Support!BX55*0.0673*(S13_PSP_Species_Support!BY55*(S13_PSP_Species_Support!BZ55*(1-EXP(-S13_PSP_Species_Support!CA55*15))^S13_PSP_Species_Support!CB55)^2*(S13_PSP_Species_Support!CC55*(1-EXP(-S13_PSP_Species_Support!CD55*15))^S13_PSP_Species_Support!CE55))^0.976,0)+IFERROR(S13_PSP_Species_Support!CI55*0.0673*(S13_PSP_Species_Support!CJ55*(S13_PSP_Species_Support!CK55*(1-EXP(-S13_PSP_Species_Support!CL55*15))^S13_PSP_Species_Support!CM55)^2*(S13_PSP_Species_Support!CN55*(1-EXP(-S13_PSP_Species_Support!CO55*15))^S13_PSP_Species_Support!CP55))^0.976,0)+IFERROR(S13_PSP_Species_Support!CT55*0.0673*(S13_PSP_Species_Support!CU55*(S13_PSP_Species_Support!CV55*(1-EXP(-S13_PSP_Species_Support!CW55*15))^S13_PSP_Species_Support!CX55)^2*(S13_PSP_Species_Support!CY55*(1-EXP(-S13_PSP_Species_Support!CZ55*15))^S13_PSP_Species_Support!DA55))^0.976,0))/1000/$G68*X$108,0)</x:f>
        <x:v>1555.5419983428399</x:v>
      </x:c>
      <x:c r="Y68" s="147" t="n">
        <x:f aca="0">IFERROR((IFERROR(S13_PSP_Species_Support!U55*0.0673*(S13_PSP_Species_Support!V55*(S13_PSP_Species_Support!W55*(1-EXP(-S13_PSP_Species_Support!X55*16))^S13_PSP_Species_Support!Y55)^2*(S13_PSP_Species_Support!Z55*(1-EXP(-S13_PSP_Species_Support!AA55*16))^S13_PSP_Species_Support!AB55))^0.976,0)+IFERROR(S13_PSP_Species_Support!AF55*0.0673*(S13_PSP_Species_Support!AG55*(S13_PSP_Species_Support!AH55*(1-EXP(-S13_PSP_Species_Support!AI55*16))^S13_PSP_Species_Support!AJ55)^2*(S13_PSP_Species_Support!AK55*(1-EXP(-S13_PSP_Species_Support!AL55*16))^S13_PSP_Species_Support!AM55))^0.976,0)+IFERROR(S13_PSP_Species_Support!AQ55*0.0673*(S13_PSP_Species_Support!AR55*(S13_PSP_Species_Support!AS55*(1-EXP(-S13_PSP_Species_Support!AT55*16))^S13_PSP_Species_Support!AU55)^2*(S13_PSP_Species_Support!AV55*(1-EXP(-S13_PSP_Species_Support!AW55*16))^S13_PSP_Species_Support!AX55))^0.976,0)+IFERROR(S13_PSP_Species_Support!BB55*0.0673*(S13_PSP_Species_Support!BC55*(S13_PSP_Species_Support!BD55*(1-EXP(-S13_PSP_Species_Support!BE55*16))^S13_PSP_Species_Support!BF55)^2*(S13_PSP_Species_Support!BG55*(1-EXP(-S13_PSP_Species_Support!BH55*16))^S13_PSP_Species_Support!BI55))^0.976,0)+IFERROR(S13_PSP_Species_Support!BM55*0.0673*(S13_PSP_Species_Support!BN55*(S13_PSP_Species_Support!BO55*(1-EXP(-S13_PSP_Species_Support!BP55*16))^S13_PSP_Species_Support!BQ55)^2*(S13_PSP_Species_Support!BR55*(1-EXP(-S13_PSP_Species_Support!BS55*16))^S13_PSP_Species_Support!BT55))^0.976,0)+IFERROR(S13_PSP_Species_Support!BX55*0.0673*(S13_PSP_Species_Support!BY55*(S13_PSP_Species_Support!BZ55*(1-EXP(-S13_PSP_Species_Support!CA55*16))^S13_PSP_Species_Support!CB55)^2*(S13_PSP_Species_Support!CC55*(1-EXP(-S13_PSP_Species_Support!CD55*16))^S13_PSP_Species_Support!CE55))^0.976,0)+IFERROR(S13_PSP_Species_Support!CI55*0.0673*(S13_PSP_Species_Support!CJ55*(S13_PSP_Species_Support!CK55*(1-EXP(-S13_PSP_Species_Support!CL55*16))^S13_PSP_Species_Support!CM55)^2*(S13_PSP_Species_Support!CN55*(1-EXP(-S13_PSP_Species_Support!CO55*16))^S13_PSP_Species_Support!CP55))^0.976,0)+IFERROR(S13_PSP_Species_Support!CT55*0.0673*(S13_PSP_Species_Support!CU55*(S13_PSP_Species_Support!CV55*(1-EXP(-S13_PSP_Species_Support!CW55*16))^S13_PSP_Species_Support!CX55)^2*(S13_PSP_Species_Support!CY55*(1-EXP(-S13_PSP_Species_Support!CZ55*16))^S13_PSP_Species_Support!DA55))^0.976,0))/1000/$G68*Y$108,0)</x:f>
        <x:v>1687.0800144151822</x:v>
      </x:c>
      <x:c r="Z68" s="147" t="n">
        <x:f aca="0">IFERROR((IFERROR(S13_PSP_Species_Support!U55*0.0673*(S13_PSP_Species_Support!V55*(S13_PSP_Species_Support!W55*(1-EXP(-S13_PSP_Species_Support!X55*17))^S13_PSP_Species_Support!Y55)^2*(S13_PSP_Species_Support!Z55*(1-EXP(-S13_PSP_Species_Support!AA55*17))^S13_PSP_Species_Support!AB55))^0.976,0)+IFERROR(S13_PSP_Species_Support!AF55*0.0673*(S13_PSP_Species_Support!AG55*(S13_PSP_Species_Support!AH55*(1-EXP(-S13_PSP_Species_Support!AI55*17))^S13_PSP_Species_Support!AJ55)^2*(S13_PSP_Species_Support!AK55*(1-EXP(-S13_PSP_Species_Support!AL55*17))^S13_PSP_Species_Support!AM55))^0.976,0)+IFERROR(S13_PSP_Species_Support!AQ55*0.0673*(S13_PSP_Species_Support!AR55*(S13_PSP_Species_Support!AS55*(1-EXP(-S13_PSP_Species_Support!AT55*17))^S13_PSP_Species_Support!AU55)^2*(S13_PSP_Species_Support!AV55*(1-EXP(-S13_PSP_Species_Support!AW55*17))^S13_PSP_Species_Support!AX55))^0.976,0)+IFERROR(S13_PSP_Species_Support!BB55*0.0673*(S13_PSP_Species_Support!BC55*(S13_PSP_Species_Support!BD55*(1-EXP(-S13_PSP_Species_Support!BE55*17))^S13_PSP_Species_Support!BF55)^2*(S13_PSP_Species_Support!BG55*(1-EXP(-S13_PSP_Species_Support!BH55*17))^S13_PSP_Species_Support!BI55))^0.976,0)+IFERROR(S13_PSP_Species_Support!BM55*0.0673*(S13_PSP_Species_Support!BN55*(S13_PSP_Species_Support!BO55*(1-EXP(-S13_PSP_Species_Support!BP55*17))^S13_PSP_Species_Support!BQ55)^2*(S13_PSP_Species_Support!BR55*(1-EXP(-S13_PSP_Species_Support!BS55*17))^S13_PSP_Species_Support!BT55))^0.976,0)+IFERROR(S13_PSP_Species_Support!BX55*0.0673*(S13_PSP_Species_Support!BY55*(S13_PSP_Species_Support!BZ55*(1-EXP(-S13_PSP_Species_Support!CA55*17))^S13_PSP_Species_Support!CB55)^2*(S13_PSP_Species_Support!CC55*(1-EXP(-S13_PSP_Species_Support!CD55*17))^S13_PSP_Species_Support!CE55))^0.976,0)+IFERROR(S13_PSP_Species_Support!CI55*0.0673*(S13_PSP_Species_Support!CJ55*(S13_PSP_Species_Support!CK55*(1-EXP(-S13_PSP_Species_Support!CL55*17))^S13_PSP_Species_Support!CM55)^2*(S13_PSP_Species_Support!CN55*(1-EXP(-S13_PSP_Species_Support!CO55*17))^S13_PSP_Species_Support!CP55))^0.976,0)+IFERROR(S13_PSP_Species_Support!CT55*0.0673*(S13_PSP_Species_Support!CU55*(S13_PSP_Species_Support!CV55*(1-EXP(-S13_PSP_Species_Support!CW55*17))^S13_PSP_Species_Support!CX55)^2*(S13_PSP_Species_Support!CY55*(1-EXP(-S13_PSP_Species_Support!CZ55*17))^S13_PSP_Species_Support!DA55))^0.976,0))/1000/$G68*Z$108,0)</x:f>
        <x:v>1809.570289054893</x:v>
      </x:c>
      <x:c r="AA68" s="147" t="n">
        <x:f aca="0">IFERROR((IFERROR(S13_PSP_Species_Support!U55*0.0673*(S13_PSP_Species_Support!V55*(S13_PSP_Species_Support!W55*(1-EXP(-S13_PSP_Species_Support!X55*18))^S13_PSP_Species_Support!Y55)^2*(S13_PSP_Species_Support!Z55*(1-EXP(-S13_PSP_Species_Support!AA55*18))^S13_PSP_Species_Support!AB55))^0.976,0)+IFERROR(S13_PSP_Species_Support!AF55*0.0673*(S13_PSP_Species_Support!AG55*(S13_PSP_Species_Support!AH55*(1-EXP(-S13_PSP_Species_Support!AI55*18))^S13_PSP_Species_Support!AJ55)^2*(S13_PSP_Species_Support!AK55*(1-EXP(-S13_PSP_Species_Support!AL55*18))^S13_PSP_Species_Support!AM55))^0.976,0)+IFERROR(S13_PSP_Species_Support!AQ55*0.0673*(S13_PSP_Species_Support!AR55*(S13_PSP_Species_Support!AS55*(1-EXP(-S13_PSP_Species_Support!AT55*18))^S13_PSP_Species_Support!AU55)^2*(S13_PSP_Species_Support!AV55*(1-EXP(-S13_PSP_Species_Support!AW55*18))^S13_PSP_Species_Support!AX55))^0.976,0)+IFERROR(S13_PSP_Species_Support!BB55*0.0673*(S13_PSP_Species_Support!BC55*(S13_PSP_Species_Support!BD55*(1-EXP(-S13_PSP_Species_Support!BE55*18))^S13_PSP_Species_Support!BF55)^2*(S13_PSP_Species_Support!BG55*(1-EXP(-S13_PSP_Species_Support!BH55*18))^S13_PSP_Species_Support!BI55))^0.976,0)+IFERROR(S13_PSP_Species_Support!BM55*0.0673*(S13_PSP_Species_Support!BN55*(S13_PSP_Species_Support!BO55*(1-EXP(-S13_PSP_Species_Support!BP55*18))^S13_PSP_Species_Support!BQ55)^2*(S13_PSP_Species_Support!BR55*(1-EXP(-S13_PSP_Species_Support!BS55*18))^S13_PSP_Species_Support!BT55))^0.976,0)+IFERROR(S13_PSP_Species_Support!BX55*0.0673*(S13_PSP_Species_Support!BY55*(S13_PSP_Species_Support!BZ55*(1-EXP(-S13_PSP_Species_Support!CA55*18))^S13_PSP_Species_Support!CB55)^2*(S13_PSP_Species_Support!CC55*(1-EXP(-S13_PSP_Species_Support!CD55*18))^S13_PSP_Species_Support!CE55))^0.976,0)+IFERROR(S13_PSP_Species_Support!CI55*0.0673*(S13_PSP_Species_Support!CJ55*(S13_PSP_Species_Support!CK55*(1-EXP(-S13_PSP_Species_Support!CL55*18))^S13_PSP_Species_Support!CM55)^2*(S13_PSP_Species_Support!CN55*(1-EXP(-S13_PSP_Species_Support!CO55*18))^S13_PSP_Species_Support!CP55))^0.976,0)+IFERROR(S13_PSP_Species_Support!CT55*0.0673*(S13_PSP_Species_Support!CU55*(S13_PSP_Species_Support!CV55*(1-EXP(-S13_PSP_Species_Support!CW55*18))^S13_PSP_Species_Support!CX55)^2*(S13_PSP_Species_Support!CY55*(1-EXP(-S13_PSP_Species_Support!CZ55*18))^S13_PSP_Species_Support!DA55))^0.976,0))/1000/$G68*AA$108,0)</x:f>
        <x:v>1922.779798060672</x:v>
      </x:c>
      <x:c r="AB68" s="147" t="n">
        <x:f aca="0">IFERROR((IFERROR(S13_PSP_Species_Support!U55*0.0673*(S13_PSP_Species_Support!V55*(S13_PSP_Species_Support!W55*(1-EXP(-S13_PSP_Species_Support!X55*19))^S13_PSP_Species_Support!Y55)^2*(S13_PSP_Species_Support!Z55*(1-EXP(-S13_PSP_Species_Support!AA55*19))^S13_PSP_Species_Support!AB55))^0.976,0)+IFERROR(S13_PSP_Species_Support!AF55*0.0673*(S13_PSP_Species_Support!AG55*(S13_PSP_Species_Support!AH55*(1-EXP(-S13_PSP_Species_Support!AI55*19))^S13_PSP_Species_Support!AJ55)^2*(S13_PSP_Species_Support!AK55*(1-EXP(-S13_PSP_Species_Support!AL55*19))^S13_PSP_Species_Support!AM55))^0.976,0)+IFERROR(S13_PSP_Species_Support!AQ55*0.0673*(S13_PSP_Species_Support!AR55*(S13_PSP_Species_Support!AS55*(1-EXP(-S13_PSP_Species_Support!AT55*19))^S13_PSP_Species_Support!AU55)^2*(S13_PSP_Species_Support!AV55*(1-EXP(-S13_PSP_Species_Support!AW55*19))^S13_PSP_Species_Support!AX55))^0.976,0)+IFERROR(S13_PSP_Species_Support!BB55*0.0673*(S13_PSP_Species_Support!BC55*(S13_PSP_Species_Support!BD55*(1-EXP(-S13_PSP_Species_Support!BE55*19))^S13_PSP_Species_Support!BF55)^2*(S13_PSP_Species_Support!BG55*(1-EXP(-S13_PSP_Species_Support!BH55*19))^S13_PSP_Species_Support!BI55))^0.976,0)+IFERROR(S13_PSP_Species_Support!BM55*0.0673*(S13_PSP_Species_Support!BN55*(S13_PSP_Species_Support!BO55*(1-EXP(-S13_PSP_Species_Support!BP55*19))^S13_PSP_Species_Support!BQ55)^2*(S13_PSP_Species_Support!BR55*(1-EXP(-S13_PSP_Species_Support!BS55*19))^S13_PSP_Species_Support!BT55))^0.976,0)+IFERROR(S13_PSP_Species_Support!BX55*0.0673*(S13_PSP_Species_Support!BY55*(S13_PSP_Species_Support!BZ55*(1-EXP(-S13_PSP_Species_Support!CA55*19))^S13_PSP_Species_Support!CB55)^2*(S13_PSP_Species_Support!CC55*(1-EXP(-S13_PSP_Species_Support!CD55*19))^S13_PSP_Species_Support!CE55))^0.976,0)+IFERROR(S13_PSP_Species_Support!CI55*0.0673*(S13_PSP_Species_Support!CJ55*(S13_PSP_Species_Support!CK55*(1-EXP(-S13_PSP_Species_Support!CL55*19))^S13_PSP_Species_Support!CM55)^2*(S13_PSP_Species_Support!CN55*(1-EXP(-S13_PSP_Species_Support!CO55*19))^S13_PSP_Species_Support!CP55))^0.976,0)+IFERROR(S13_PSP_Species_Support!CT55*0.0673*(S13_PSP_Species_Support!CU55*(S13_PSP_Species_Support!CV55*(1-EXP(-S13_PSP_Species_Support!CW55*19))^S13_PSP_Species_Support!CX55)^2*(S13_PSP_Species_Support!CY55*(1-EXP(-S13_PSP_Species_Support!CZ55*19))^S13_PSP_Species_Support!DA55))^0.976,0))/1000/$G68*AB$108,0)</x:f>
        <x:v>2026.7461861693077</x:v>
      </x:c>
      <x:c r="AC68" s="147" t="n">
        <x:f aca="0">IFERROR((IFERROR(S13_PSP_Species_Support!U55*0.0673*(S13_PSP_Species_Support!V55*(S13_PSP_Species_Support!W55*(1-EXP(-S13_PSP_Species_Support!X55*20))^S13_PSP_Species_Support!Y55)^2*(S13_PSP_Species_Support!Z55*(1-EXP(-S13_PSP_Species_Support!AA55*20))^S13_PSP_Species_Support!AB55))^0.976,0)+IFERROR(S13_PSP_Species_Support!AF55*0.0673*(S13_PSP_Species_Support!AG55*(S13_PSP_Species_Support!AH55*(1-EXP(-S13_PSP_Species_Support!AI55*20))^S13_PSP_Species_Support!AJ55)^2*(S13_PSP_Species_Support!AK55*(1-EXP(-S13_PSP_Species_Support!AL55*20))^S13_PSP_Species_Support!AM55))^0.976,0)+IFERROR(S13_PSP_Species_Support!AQ55*0.0673*(S13_PSP_Species_Support!AR55*(S13_PSP_Species_Support!AS55*(1-EXP(-S13_PSP_Species_Support!AT55*20))^S13_PSP_Species_Support!AU55)^2*(S13_PSP_Species_Support!AV55*(1-EXP(-S13_PSP_Species_Support!AW55*20))^S13_PSP_Species_Support!AX55))^0.976,0)+IFERROR(S13_PSP_Species_Support!BB55*0.0673*(S13_PSP_Species_Support!BC55*(S13_PSP_Species_Support!BD55*(1-EXP(-S13_PSP_Species_Support!BE55*20))^S13_PSP_Species_Support!BF55)^2*(S13_PSP_Species_Support!BG55*(1-EXP(-S13_PSP_Species_Support!BH55*20))^S13_PSP_Species_Support!BI55))^0.976,0)+IFERROR(S13_PSP_Species_Support!BM55*0.0673*(S13_PSP_Species_Support!BN55*(S13_PSP_Species_Support!BO55*(1-EXP(-S13_PSP_Species_Support!BP55*20))^S13_PSP_Species_Support!BQ55)^2*(S13_PSP_Species_Support!BR55*(1-EXP(-S13_PSP_Species_Support!BS55*20))^S13_PSP_Species_Support!BT55))^0.976,0)+IFERROR(S13_PSP_Species_Support!BX55*0.0673*(S13_PSP_Species_Support!BY55*(S13_PSP_Species_Support!BZ55*(1-EXP(-S13_PSP_Species_Support!CA55*20))^S13_PSP_Species_Support!CB55)^2*(S13_PSP_Species_Support!CC55*(1-EXP(-S13_PSP_Species_Support!CD55*20))^S13_PSP_Species_Support!CE55))^0.976,0)+IFERROR(S13_PSP_Species_Support!CI55*0.0673*(S13_PSP_Species_Support!CJ55*(S13_PSP_Species_Support!CK55*(1-EXP(-S13_PSP_Species_Support!CL55*20))^S13_PSP_Species_Support!CM55)^2*(S13_PSP_Species_Support!CN55*(1-EXP(-S13_PSP_Species_Support!CO55*20))^S13_PSP_Species_Support!CP55))^0.976,0)+IFERROR(S13_PSP_Species_Support!CT55*0.0673*(S13_PSP_Species_Support!CU55*(S13_PSP_Species_Support!CV55*(1-EXP(-S13_PSP_Species_Support!CW55*20))^S13_PSP_Species_Support!CX55)^2*(S13_PSP_Species_Support!CY55*(1-EXP(-S13_PSP_Species_Support!CZ55*20))^S13_PSP_Species_Support!DA55))^0.976,0))/1000/$G68*AC$108,0)</x:f>
        <x:v>2121.7070087039456</x:v>
      </x:c>
      <x:c r="AD68" s="148" t="n">
        <x:f aca="0">IF(2020&lt;$F68,0,INDEX($I68:$AC68,1,2020-$F68+1))</x:f>
        <x:v>0</x:v>
      </x:c>
      <x:c r="AE68" s="148" t="n">
        <x:f aca="0">IF(2021&lt;$F68,0,INDEX($I68:$AC68,1,2021-$F68+1))</x:f>
        <x:v>0.642295842852071</x:v>
      </x:c>
      <x:c r="AF68" s="148" t="n">
        <x:f aca="0">IF(2022&lt;$F68,0,INDEX($I68:$AC68,1,2022-$F68+1))</x:f>
        <x:v>7.847084286568947</x:v>
      </x:c>
      <x:c r="AG68" s="148" t="n">
        <x:f aca="0">IF(2023&lt;$F68,0,INDEX($I68:$AC68,1,2023-$F68+1))</x:f>
        <x:v>30.802368030841972</x:v>
      </x:c>
      <x:c r="AH68" s="148" t="n">
        <x:f aca="0">IF(2024&lt;$F68,0,INDEX($I68:$AC68,1,2024-$F68+1))</x:f>
        <x:v>76.66025340062986</x:v>
      </x:c>
      <x:c r="AI68" s="148" t="n">
        <x:f aca="0">IF(2025&lt;$F68,0,INDEX($I68:$AC68,1,2025-$F68+1))</x:f>
        <x:v>148.19007480081032</x:v>
      </x:c>
      <x:c r="AJ68" s="148" t="n">
        <x:f aca="0">IF(2026&lt;$F68,0,INDEX($I68:$AC68,1,2026-$F68+1))</x:f>
        <x:v>244.6402560778175</x:v>
      </x:c>
      <x:c r="AK68" s="148" t="n">
        <x:f aca="0">IF(2027&lt;$F68,0,INDEX($I68:$AC68,1,2027-$F68+1))</x:f>
        <x:v>362.7936746038968</x:v>
      </x:c>
      <x:c r="AL68" s="148" t="n">
        <x:f aca="0">IF(2028&lt;$F68,0,INDEX($I68:$AC68,1,2028-$F68+1))</x:f>
        <x:v>498.0941790909359</x:v>
      </x:c>
      <x:c r="AM68" s="148" t="n">
        <x:f aca="0">IF(2029&lt;$F68,0,INDEX($I68:$AC68,1,2029-$F68+1))</x:f>
        <x:v>645.5324265381255</x:v>
      </x:c>
      <x:c r="AN68" s="148" t="n">
        <x:f aca="0">IF(2030&lt;$F68,0,INDEX($I68:$AC68,1,2030-$F68+1))</x:f>
        <x:v>800.2504511500861</x:v>
      </x:c>
      <x:c r="AO68" s="148" t="n">
        <x:f aca="0">IF(2031&lt;$F68,0,INDEX($I68:$AC68,1,2031-$F68+1))</x:f>
        <x:v>957.9022038154048</x:v>
      </x:c>
      <x:c r="AP68" s="148" t="n">
        <x:f aca="0">IF(2032&lt;$F68,0,INDEX($I68:$AC68,1,2032-$F68+1))</x:f>
        <x:v>1114.8298114590473</x:v>
      </x:c>
      <x:c r="AQ68" s="148" t="n">
        <x:f aca="0">IF(2033&lt;$F68,0,INDEX($I68:$AC68,1,2033-$F68+1))</x:f>
        <x:v>1268.1135055378113</x:v>
      </x:c>
      <x:c r="AR68" s="148" t="n">
        <x:f aca="0">IF(2034&lt;$F68,0,INDEX($I68:$AC68,1,2034-$F68+1))</x:f>
        <x:v>1415.5425213074204</x:v>
      </x:c>
      <x:c r="AS68" s="148" t="n">
        <x:f aca="0">IF(2035&lt;$F68,0,INDEX($I68:$AC68,1,2035-$F68+1))</x:f>
        <x:v>1555.5419983428399</x:v>
      </x:c>
      <x:c r="AT68" s="148" t="n">
        <x:f aca="0">IF(2036&lt;$F68,0,INDEX($I68:$AC68,1,2036-$F68+1))</x:f>
        <x:v>1687.0800144151822</x:v>
      </x:c>
      <x:c r="AU68" s="148" t="n">
        <x:f aca="0">IF(2037&lt;$F68,0,INDEX($I68:$AC68,1,2037-$F68+1))</x:f>
        <x:v>1809.570289054893</x:v>
      </x:c>
      <x:c r="AV68" s="148" t="n">
        <x:f aca="0">IF(2038&lt;$F68,0,INDEX($I68:$AC68,1,2038-$F68+1))</x:f>
        <x:v>1922.779798060672</x:v>
      </x:c>
      <x:c r="AW68" s="148" t="n">
        <x:f aca="0">IF(2039&lt;$F68,0,INDEX($I68:$AC68,1,2039-$F68+1))</x:f>
        <x:v>2026.7461861693077</x:v>
      </x:c>
      <x:c r="AX68" s="148" t="n">
        <x:f aca="0">IF(2040&lt;$F68,0,INDEX($I68:$AC68,1,2040-$F68+1))</x:f>
        <x:v>2121.7070087039456</x:v>
      </x:c>
      <x:c r="AY68" s="1" t="str">
        <x:f aca="0">LEFT($C68,FIND("@",SUBSTITUTE($C68,"|","@",2))-1)</x:f>
        <x:v>Timber Plantation|Medium</x:v>
      </x:c>
      <x:c r="AZ68" s="1" t="str">
        <x:f aca="0">LEFT($C68,FIND("|",$C68)-1)</x:f>
        <x:v>Timber Plantation</x:v>
      </x:c>
      <x:c r="BA68" s="149" t="n">
        <x:f aca="0">I68*I68</x:f>
        <x:v>0</x:v>
      </x:c>
      <x:c r="BB68" s="149" t="n">
        <x:f aca="0">J68*J68</x:f>
        <x:v>0.41254394974505226</x:v>
      </x:c>
      <x:c r="BC68" s="149" t="n">
        <x:f aca="0">K68*K68</x:f>
        <x:v>61.57673180051728</x:v>
      </x:c>
      <x:c r="BD68" s="149" t="n">
        <x:f aca="0">L68*L68</x:f>
        <x:v>948.7858763074355</x:v>
      </x:c>
      <x:c r="BE68" s="149" t="n">
        <x:f aca="0">M68*M68</x:f>
        <x:v>5876.794451448782</x:v>
      </x:c>
      <x:c r="BF68" s="149" t="n">
        <x:f aca="0">N68*N68</x:f>
        <x:v>21960.298269469757</x:v>
      </x:c>
      <x:c r="BG68" s="149" t="n">
        <x:f aca="0">O68*O68</x:f>
        <x:v>59848.85489382012</x:v>
      </x:c>
      <x:c r="BH68" s="149" t="n">
        <x:f aca="0">P68*P68</x:f>
        <x:v>131619.25033259817</x:v>
      </x:c>
      <x:c r="BI68" s="149" t="n">
        <x:f aca="0">Q68*Q68</x:f>
        <x:v>248097.8112442733</x:v>
      </x:c>
      <x:c r="BJ68" s="149" t="n">
        <x:f aca="0">R68*R68</x:f>
        <x:v>416712.1137122004</x:v>
      </x:c>
      <x:c r="BK68" s="149" t="n">
        <x:f aca="0">S68*S68</x:f>
        <x:v>640400.7845659163</x:v>
      </x:c>
      <x:c r="BL68" s="149" t="n">
        <x:f aca="0">T68*T68</x:f>
        <x:v>917576.6320744094</x:v>
      </x:c>
      <x:c r="BM68" s="149" t="n">
        <x:f aca="0">U68*U68</x:f>
        <x:v>1242845.5085178148</x:v>
      </x:c>
      <x:c r="BN68" s="149" t="n">
        <x:f aca="0">V68*V68</x:f>
        <x:v>1608111.8629273965</x:v>
      </x:c>
      <x:c r="BO68" s="149" t="n">
        <x:f aca="0">W68*W68</x:f>
        <x:v>2003760.629629369</x:v>
      </x:c>
      <x:c r="BP68" s="149" t="n">
        <x:f aca="0">X68*X68</x:f>
        <x:v>2419710.9086084357</x:v>
      </x:c>
      <x:c r="BQ68" s="149" t="n">
        <x:f aca="0">Y68*Y68</x:f>
        <x:v>2846238.9750391315</x:v>
      </x:c>
      <x:c r="BR68" s="149" t="n">
        <x:f aca="0">Z68*Z68</x:f>
        <x:v>3274544.631030209</x:v>
      </x:c>
      <x:c r="BS68" s="149" t="n">
        <x:f aca="0">AA68*AA68</x:f>
        <x:v>3697082.1518302383</x:v>
      </x:c>
      <x:c r="BT68" s="149" t="n">
        <x:f aca="0">AB68*AB68</x:f>
        <x:v>4107700.103151834</x:v>
      </x:c>
      <x:c r="BU68" s="149" t="n">
        <x:f aca="0">AC68*AC68</x:f>
        <x:v>4501640.630783444</x:v>
      </x:c>
    </x:row>
    <x:row r="69" ht="15" hidden="0" customHeight="1">
      <x:c r="A69" s="1" t="str">
        <x:f aca="0">S13_PSP_Species_Support!A56</x:f>
        <x:v>PSP-TP-015</x:v>
      </x:c>
      <x:c r="B69" s="1" t="n">
        <x:f aca="0">56</x:f>
        <x:v>56</x:v>
      </x:c>
      <x:c r="C69" s="1" t="str">
        <x:f aca="0">S13_PSP_Species_Support!I56</x:f>
        <x:v>Timber Plantation|Medium|2020</x:v>
      </x:c>
      <x:c r="D69" s="1" t="str">
        <x:f aca="0">S13_PSP_Species_Support!C56</x:f>
        <x:v>Timber Plantation</x:v>
      </x:c>
      <x:c r="E69" s="1" t="str">
        <x:f aca="0">S13_PSP_Species_Support!D56</x:f>
        <x:v>Medium</x:v>
      </x:c>
      <x:c r="F69" s="1" t="n">
        <x:f aca="0">S13_PSP_Species_Support!E56</x:f>
        <x:v>2020</x:v>
      </x:c>
      <x:c r="G69" s="645" t="n">
        <x:f aca="0">'S13_PSP_Species_Support'!DJ56</x:f>
        <x:v>0.09</x:v>
      </x:c>
      <x:c r="H69" s="714" t="n">
        <x:f aca="0">'S13_PSP_Species_Support'!DK56</x:f>
        <x:v>67.66296031826992</x:v>
      </x:c>
      <x:c r="I69" s="147" t="n">
        <x:f aca="0">IFERROR((IFERROR(S13_PSP_Species_Support!U56*0.0673*(S13_PSP_Species_Support!V56*(S13_PSP_Species_Support!W56*(1-EXP(-S13_PSP_Species_Support!X56*0))^S13_PSP_Species_Support!Y56)^2*(S13_PSP_Species_Support!Z56*(1-EXP(-S13_PSP_Species_Support!AA56*0))^S13_PSP_Species_Support!AB56))^0.976,0)+IFERROR(S13_PSP_Species_Support!AF56*0.0673*(S13_PSP_Species_Support!AG56*(S13_PSP_Species_Support!AH56*(1-EXP(-S13_PSP_Species_Support!AI56*0))^S13_PSP_Species_Support!AJ56)^2*(S13_PSP_Species_Support!AK56*(1-EXP(-S13_PSP_Species_Support!AL56*0))^S13_PSP_Species_Support!AM56))^0.976,0)+IFERROR(S13_PSP_Species_Support!AQ56*0.0673*(S13_PSP_Species_Support!AR56*(S13_PSP_Species_Support!AS56*(1-EXP(-S13_PSP_Species_Support!AT56*0))^S13_PSP_Species_Support!AU56)^2*(S13_PSP_Species_Support!AV56*(1-EXP(-S13_PSP_Species_Support!AW56*0))^S13_PSP_Species_Support!AX56))^0.976,0)+IFERROR(S13_PSP_Species_Support!BB56*0.0673*(S13_PSP_Species_Support!BC56*(S13_PSP_Species_Support!BD56*(1-EXP(-S13_PSP_Species_Support!BE56*0))^S13_PSP_Species_Support!BF56)^2*(S13_PSP_Species_Support!BG56*(1-EXP(-S13_PSP_Species_Support!BH56*0))^S13_PSP_Species_Support!BI56))^0.976,0)+IFERROR(S13_PSP_Species_Support!BM56*0.0673*(S13_PSP_Species_Support!BN56*(S13_PSP_Species_Support!BO56*(1-EXP(-S13_PSP_Species_Support!BP56*0))^S13_PSP_Species_Support!BQ56)^2*(S13_PSP_Species_Support!BR56*(1-EXP(-S13_PSP_Species_Support!BS56*0))^S13_PSP_Species_Support!BT56))^0.976,0)+IFERROR(S13_PSP_Species_Support!BX56*0.0673*(S13_PSP_Species_Support!BY56*(S13_PSP_Species_Support!BZ56*(1-EXP(-S13_PSP_Species_Support!CA56*0))^S13_PSP_Species_Support!CB56)^2*(S13_PSP_Species_Support!CC56*(1-EXP(-S13_PSP_Species_Support!CD56*0))^S13_PSP_Species_Support!CE56))^0.976,0)+IFERROR(S13_PSP_Species_Support!CI56*0.0673*(S13_PSP_Species_Support!CJ56*(S13_PSP_Species_Support!CK56*(1-EXP(-S13_PSP_Species_Support!CL56*0))^S13_PSP_Species_Support!CM56)^2*(S13_PSP_Species_Support!CN56*(1-EXP(-S13_PSP_Species_Support!CO56*0))^S13_PSP_Species_Support!CP56))^0.976,0)+IFERROR(S13_PSP_Species_Support!CT56*0.0673*(S13_PSP_Species_Support!CU56*(S13_PSP_Species_Support!CV56*(1-EXP(-S13_PSP_Species_Support!CW56*0))^S13_PSP_Species_Support!CX56)^2*(S13_PSP_Species_Support!CY56*(1-EXP(-S13_PSP_Species_Support!CZ56*0))^S13_PSP_Species_Support!DA56))^0.976,0))/1000/$G69*I$108,0)</x:f>
        <x:v>0</x:v>
      </x:c>
      <x:c r="J69" s="147" t="n">
        <x:f aca="0">IFERROR((IFERROR(S13_PSP_Species_Support!U56*0.0673*(S13_PSP_Species_Support!V56*(S13_PSP_Species_Support!W56*(1-EXP(-S13_PSP_Species_Support!X56*1))^S13_PSP_Species_Support!Y56)^2*(S13_PSP_Species_Support!Z56*(1-EXP(-S13_PSP_Species_Support!AA56*1))^S13_PSP_Species_Support!AB56))^0.976,0)+IFERROR(S13_PSP_Species_Support!AF56*0.0673*(S13_PSP_Species_Support!AG56*(S13_PSP_Species_Support!AH56*(1-EXP(-S13_PSP_Species_Support!AI56*1))^S13_PSP_Species_Support!AJ56)^2*(S13_PSP_Species_Support!AK56*(1-EXP(-S13_PSP_Species_Support!AL56*1))^S13_PSP_Species_Support!AM56))^0.976,0)+IFERROR(S13_PSP_Species_Support!AQ56*0.0673*(S13_PSP_Species_Support!AR56*(S13_PSP_Species_Support!AS56*(1-EXP(-S13_PSP_Species_Support!AT56*1))^S13_PSP_Species_Support!AU56)^2*(S13_PSP_Species_Support!AV56*(1-EXP(-S13_PSP_Species_Support!AW56*1))^S13_PSP_Species_Support!AX56))^0.976,0)+IFERROR(S13_PSP_Species_Support!BB56*0.0673*(S13_PSP_Species_Support!BC56*(S13_PSP_Species_Support!BD56*(1-EXP(-S13_PSP_Species_Support!BE56*1))^S13_PSP_Species_Support!BF56)^2*(S13_PSP_Species_Support!BG56*(1-EXP(-S13_PSP_Species_Support!BH56*1))^S13_PSP_Species_Support!BI56))^0.976,0)+IFERROR(S13_PSP_Species_Support!BM56*0.0673*(S13_PSP_Species_Support!BN56*(S13_PSP_Species_Support!BO56*(1-EXP(-S13_PSP_Species_Support!BP56*1))^S13_PSP_Species_Support!BQ56)^2*(S13_PSP_Species_Support!BR56*(1-EXP(-S13_PSP_Species_Support!BS56*1))^S13_PSP_Species_Support!BT56))^0.976,0)+IFERROR(S13_PSP_Species_Support!BX56*0.0673*(S13_PSP_Species_Support!BY56*(S13_PSP_Species_Support!BZ56*(1-EXP(-S13_PSP_Species_Support!CA56*1))^S13_PSP_Species_Support!CB56)^2*(S13_PSP_Species_Support!CC56*(1-EXP(-S13_PSP_Species_Support!CD56*1))^S13_PSP_Species_Support!CE56))^0.976,0)+IFERROR(S13_PSP_Species_Support!CI56*0.0673*(S13_PSP_Species_Support!CJ56*(S13_PSP_Species_Support!CK56*(1-EXP(-S13_PSP_Species_Support!CL56*1))^S13_PSP_Species_Support!CM56)^2*(S13_PSP_Species_Support!CN56*(1-EXP(-S13_PSP_Species_Support!CO56*1))^S13_PSP_Species_Support!CP56))^0.976,0)+IFERROR(S13_PSP_Species_Support!CT56*0.0673*(S13_PSP_Species_Support!CU56*(S13_PSP_Species_Support!CV56*(1-EXP(-S13_PSP_Species_Support!CW56*1))^S13_PSP_Species_Support!CX56)^2*(S13_PSP_Species_Support!CY56*(1-EXP(-S13_PSP_Species_Support!CZ56*1))^S13_PSP_Species_Support!DA56))^0.976,0))/1000/$G69*J$108,0)</x:f>
        <x:v>0.014196407248889115</x:v>
      </x:c>
      <x:c r="K69" s="147" t="n">
        <x:f aca="0">IFERROR((IFERROR(S13_PSP_Species_Support!U56*0.0673*(S13_PSP_Species_Support!V56*(S13_PSP_Species_Support!W56*(1-EXP(-S13_PSP_Species_Support!X56*2))^S13_PSP_Species_Support!Y56)^2*(S13_PSP_Species_Support!Z56*(1-EXP(-S13_PSP_Species_Support!AA56*2))^S13_PSP_Species_Support!AB56))^0.976,0)+IFERROR(S13_PSP_Species_Support!AF56*0.0673*(S13_PSP_Species_Support!AG56*(S13_PSP_Species_Support!AH56*(1-EXP(-S13_PSP_Species_Support!AI56*2))^S13_PSP_Species_Support!AJ56)^2*(S13_PSP_Species_Support!AK56*(1-EXP(-S13_PSP_Species_Support!AL56*2))^S13_PSP_Species_Support!AM56))^0.976,0)+IFERROR(S13_PSP_Species_Support!AQ56*0.0673*(S13_PSP_Species_Support!AR56*(S13_PSP_Species_Support!AS56*(1-EXP(-S13_PSP_Species_Support!AT56*2))^S13_PSP_Species_Support!AU56)^2*(S13_PSP_Species_Support!AV56*(1-EXP(-S13_PSP_Species_Support!AW56*2))^S13_PSP_Species_Support!AX56))^0.976,0)+IFERROR(S13_PSP_Species_Support!BB56*0.0673*(S13_PSP_Species_Support!BC56*(S13_PSP_Species_Support!BD56*(1-EXP(-S13_PSP_Species_Support!BE56*2))^S13_PSP_Species_Support!BF56)^2*(S13_PSP_Species_Support!BG56*(1-EXP(-S13_PSP_Species_Support!BH56*2))^S13_PSP_Species_Support!BI56))^0.976,0)+IFERROR(S13_PSP_Species_Support!BM56*0.0673*(S13_PSP_Species_Support!BN56*(S13_PSP_Species_Support!BO56*(1-EXP(-S13_PSP_Species_Support!BP56*2))^S13_PSP_Species_Support!BQ56)^2*(S13_PSP_Species_Support!BR56*(1-EXP(-S13_PSP_Species_Support!BS56*2))^S13_PSP_Species_Support!BT56))^0.976,0)+IFERROR(S13_PSP_Species_Support!BX56*0.0673*(S13_PSP_Species_Support!BY56*(S13_PSP_Species_Support!BZ56*(1-EXP(-S13_PSP_Species_Support!CA56*2))^S13_PSP_Species_Support!CB56)^2*(S13_PSP_Species_Support!CC56*(1-EXP(-S13_PSP_Species_Support!CD56*2))^S13_PSP_Species_Support!CE56))^0.976,0)+IFERROR(S13_PSP_Species_Support!CI56*0.0673*(S13_PSP_Species_Support!CJ56*(S13_PSP_Species_Support!CK56*(1-EXP(-S13_PSP_Species_Support!CL56*2))^S13_PSP_Species_Support!CM56)^2*(S13_PSP_Species_Support!CN56*(1-EXP(-S13_PSP_Species_Support!CO56*2))^S13_PSP_Species_Support!CP56))^0.976,0)+IFERROR(S13_PSP_Species_Support!CT56*0.0673*(S13_PSP_Species_Support!CU56*(S13_PSP_Species_Support!CV56*(1-EXP(-S13_PSP_Species_Support!CW56*2))^S13_PSP_Species_Support!CX56)^2*(S13_PSP_Species_Support!CY56*(1-EXP(-S13_PSP_Species_Support!CZ56*2))^S13_PSP_Species_Support!DA56))^0.976,0))/1000/$G69*K$108,0)</x:f>
        <x:v>0.21580881337694488</x:v>
      </x:c>
      <x:c r="L69" s="147" t="n">
        <x:f aca="0">IFERROR((IFERROR(S13_PSP_Species_Support!U56*0.0673*(S13_PSP_Species_Support!V56*(S13_PSP_Species_Support!W56*(1-EXP(-S13_PSP_Species_Support!X56*3))^S13_PSP_Species_Support!Y56)^2*(S13_PSP_Species_Support!Z56*(1-EXP(-S13_PSP_Species_Support!AA56*3))^S13_PSP_Species_Support!AB56))^0.976,0)+IFERROR(S13_PSP_Species_Support!AF56*0.0673*(S13_PSP_Species_Support!AG56*(S13_PSP_Species_Support!AH56*(1-EXP(-S13_PSP_Species_Support!AI56*3))^S13_PSP_Species_Support!AJ56)^2*(S13_PSP_Species_Support!AK56*(1-EXP(-S13_PSP_Species_Support!AL56*3))^S13_PSP_Species_Support!AM56))^0.976,0)+IFERROR(S13_PSP_Species_Support!AQ56*0.0673*(S13_PSP_Species_Support!AR56*(S13_PSP_Species_Support!AS56*(1-EXP(-S13_PSP_Species_Support!AT56*3))^S13_PSP_Species_Support!AU56)^2*(S13_PSP_Species_Support!AV56*(1-EXP(-S13_PSP_Species_Support!AW56*3))^S13_PSP_Species_Support!AX56))^0.976,0)+IFERROR(S13_PSP_Species_Support!BB56*0.0673*(S13_PSP_Species_Support!BC56*(S13_PSP_Species_Support!BD56*(1-EXP(-S13_PSP_Species_Support!BE56*3))^S13_PSP_Species_Support!BF56)^2*(S13_PSP_Species_Support!BG56*(1-EXP(-S13_PSP_Species_Support!BH56*3))^S13_PSP_Species_Support!BI56))^0.976,0)+IFERROR(S13_PSP_Species_Support!BM56*0.0673*(S13_PSP_Species_Support!BN56*(S13_PSP_Species_Support!BO56*(1-EXP(-S13_PSP_Species_Support!BP56*3))^S13_PSP_Species_Support!BQ56)^2*(S13_PSP_Species_Support!BR56*(1-EXP(-S13_PSP_Species_Support!BS56*3))^S13_PSP_Species_Support!BT56))^0.976,0)+IFERROR(S13_PSP_Species_Support!BX56*0.0673*(S13_PSP_Species_Support!BY56*(S13_PSP_Species_Support!BZ56*(1-EXP(-S13_PSP_Species_Support!CA56*3))^S13_PSP_Species_Support!CB56)^2*(S13_PSP_Species_Support!CC56*(1-EXP(-S13_PSP_Species_Support!CD56*3))^S13_PSP_Species_Support!CE56))^0.976,0)+IFERROR(S13_PSP_Species_Support!CI56*0.0673*(S13_PSP_Species_Support!CJ56*(S13_PSP_Species_Support!CK56*(1-EXP(-S13_PSP_Species_Support!CL56*3))^S13_PSP_Species_Support!CM56)^2*(S13_PSP_Species_Support!CN56*(1-EXP(-S13_PSP_Species_Support!CO56*3))^S13_PSP_Species_Support!CP56))^0.976,0)+IFERROR(S13_PSP_Species_Support!CT56*0.0673*(S13_PSP_Species_Support!CU56*(S13_PSP_Species_Support!CV56*(1-EXP(-S13_PSP_Species_Support!CW56*3))^S13_PSP_Species_Support!CX56)^2*(S13_PSP_Species_Support!CY56*(1-EXP(-S13_PSP_Species_Support!CZ56*3))^S13_PSP_Species_Support!DA56))^0.976,0))/1000/$G69*L$108,0)</x:f>
        <x:v>0.9679543977824433</x:v>
      </x:c>
      <x:c r="M69" s="147" t="n">
        <x:f aca="0">IFERROR((IFERROR(S13_PSP_Species_Support!U56*0.0673*(S13_PSP_Species_Support!V56*(S13_PSP_Species_Support!W56*(1-EXP(-S13_PSP_Species_Support!X56*4))^S13_PSP_Species_Support!Y56)^2*(S13_PSP_Species_Support!Z56*(1-EXP(-S13_PSP_Species_Support!AA56*4))^S13_PSP_Species_Support!AB56))^0.976,0)+IFERROR(S13_PSP_Species_Support!AF56*0.0673*(S13_PSP_Species_Support!AG56*(S13_PSP_Species_Support!AH56*(1-EXP(-S13_PSP_Species_Support!AI56*4))^S13_PSP_Species_Support!AJ56)^2*(S13_PSP_Species_Support!AK56*(1-EXP(-S13_PSP_Species_Support!AL56*4))^S13_PSP_Species_Support!AM56))^0.976,0)+IFERROR(S13_PSP_Species_Support!AQ56*0.0673*(S13_PSP_Species_Support!AR56*(S13_PSP_Species_Support!AS56*(1-EXP(-S13_PSP_Species_Support!AT56*4))^S13_PSP_Species_Support!AU56)^2*(S13_PSP_Species_Support!AV56*(1-EXP(-S13_PSP_Species_Support!AW56*4))^S13_PSP_Species_Support!AX56))^0.976,0)+IFERROR(S13_PSP_Species_Support!BB56*0.0673*(S13_PSP_Species_Support!BC56*(S13_PSP_Species_Support!BD56*(1-EXP(-S13_PSP_Species_Support!BE56*4))^S13_PSP_Species_Support!BF56)^2*(S13_PSP_Species_Support!BG56*(1-EXP(-S13_PSP_Species_Support!BH56*4))^S13_PSP_Species_Support!BI56))^0.976,0)+IFERROR(S13_PSP_Species_Support!BM56*0.0673*(S13_PSP_Species_Support!BN56*(S13_PSP_Species_Support!BO56*(1-EXP(-S13_PSP_Species_Support!BP56*4))^S13_PSP_Species_Support!BQ56)^2*(S13_PSP_Species_Support!BR56*(1-EXP(-S13_PSP_Species_Support!BS56*4))^S13_PSP_Species_Support!BT56))^0.976,0)+IFERROR(S13_PSP_Species_Support!BX56*0.0673*(S13_PSP_Species_Support!BY56*(S13_PSP_Species_Support!BZ56*(1-EXP(-S13_PSP_Species_Support!CA56*4))^S13_PSP_Species_Support!CB56)^2*(S13_PSP_Species_Support!CC56*(1-EXP(-S13_PSP_Species_Support!CD56*4))^S13_PSP_Species_Support!CE56))^0.976,0)+IFERROR(S13_PSP_Species_Support!CI56*0.0673*(S13_PSP_Species_Support!CJ56*(S13_PSP_Species_Support!CK56*(1-EXP(-S13_PSP_Species_Support!CL56*4))^S13_PSP_Species_Support!CM56)^2*(S13_PSP_Species_Support!CN56*(1-EXP(-S13_PSP_Species_Support!CO56*4))^S13_PSP_Species_Support!CP56))^0.976,0)+IFERROR(S13_PSP_Species_Support!CT56*0.0673*(S13_PSP_Species_Support!CU56*(S13_PSP_Species_Support!CV56*(1-EXP(-S13_PSP_Species_Support!CW56*4))^S13_PSP_Species_Support!CX56)^2*(S13_PSP_Species_Support!CY56*(1-EXP(-S13_PSP_Species_Support!CZ56*4))^S13_PSP_Species_Support!DA56))^0.976,0))/1000/$G69*M$108,0)</x:f>
        <x:v>2.6567548557364273</x:v>
      </x:c>
      <x:c r="N69" s="147" t="n">
        <x:f aca="0">IFERROR((IFERROR(S13_PSP_Species_Support!U56*0.0673*(S13_PSP_Species_Support!V56*(S13_PSP_Species_Support!W56*(1-EXP(-S13_PSP_Species_Support!X56*5))^S13_PSP_Species_Support!Y56)^2*(S13_PSP_Species_Support!Z56*(1-EXP(-S13_PSP_Species_Support!AA56*5))^S13_PSP_Species_Support!AB56))^0.976,0)+IFERROR(S13_PSP_Species_Support!AF56*0.0673*(S13_PSP_Species_Support!AG56*(S13_PSP_Species_Support!AH56*(1-EXP(-S13_PSP_Species_Support!AI56*5))^S13_PSP_Species_Support!AJ56)^2*(S13_PSP_Species_Support!AK56*(1-EXP(-S13_PSP_Species_Support!AL56*5))^S13_PSP_Species_Support!AM56))^0.976,0)+IFERROR(S13_PSP_Species_Support!AQ56*0.0673*(S13_PSP_Species_Support!AR56*(S13_PSP_Species_Support!AS56*(1-EXP(-S13_PSP_Species_Support!AT56*5))^S13_PSP_Species_Support!AU56)^2*(S13_PSP_Species_Support!AV56*(1-EXP(-S13_PSP_Species_Support!AW56*5))^S13_PSP_Species_Support!AX56))^0.976,0)+IFERROR(S13_PSP_Species_Support!BB56*0.0673*(S13_PSP_Species_Support!BC56*(S13_PSP_Species_Support!BD56*(1-EXP(-S13_PSP_Species_Support!BE56*5))^S13_PSP_Species_Support!BF56)^2*(S13_PSP_Species_Support!BG56*(1-EXP(-S13_PSP_Species_Support!BH56*5))^S13_PSP_Species_Support!BI56))^0.976,0)+IFERROR(S13_PSP_Species_Support!BM56*0.0673*(S13_PSP_Species_Support!BN56*(S13_PSP_Species_Support!BO56*(1-EXP(-S13_PSP_Species_Support!BP56*5))^S13_PSP_Species_Support!BQ56)^2*(S13_PSP_Species_Support!BR56*(1-EXP(-S13_PSP_Species_Support!BS56*5))^S13_PSP_Species_Support!BT56))^0.976,0)+IFERROR(S13_PSP_Species_Support!BX56*0.0673*(S13_PSP_Species_Support!BY56*(S13_PSP_Species_Support!BZ56*(1-EXP(-S13_PSP_Species_Support!CA56*5))^S13_PSP_Species_Support!CB56)^2*(S13_PSP_Species_Support!CC56*(1-EXP(-S13_PSP_Species_Support!CD56*5))^S13_PSP_Species_Support!CE56))^0.976,0)+IFERROR(S13_PSP_Species_Support!CI56*0.0673*(S13_PSP_Species_Support!CJ56*(S13_PSP_Species_Support!CK56*(1-EXP(-S13_PSP_Species_Support!CL56*5))^S13_PSP_Species_Support!CM56)^2*(S13_PSP_Species_Support!CN56*(1-EXP(-S13_PSP_Species_Support!CO56*5))^S13_PSP_Species_Support!CP56))^0.976,0)+IFERROR(S13_PSP_Species_Support!CT56*0.0673*(S13_PSP_Species_Support!CU56*(S13_PSP_Species_Support!CV56*(1-EXP(-S13_PSP_Species_Support!CW56*5))^S13_PSP_Species_Support!CX56)^2*(S13_PSP_Species_Support!CY56*(1-EXP(-S13_PSP_Species_Support!CZ56*5))^S13_PSP_Species_Support!DA56))^0.976,0))/1000/$G69*N$108,0)</x:f>
        <x:v>5.552477185717205</x:v>
      </x:c>
      <x:c r="O69" s="147" t="n">
        <x:f aca="0">IFERROR((IFERROR(S13_PSP_Species_Support!U56*0.0673*(S13_PSP_Species_Support!V56*(S13_PSP_Species_Support!W56*(1-EXP(-S13_PSP_Species_Support!X56*6))^S13_PSP_Species_Support!Y56)^2*(S13_PSP_Species_Support!Z56*(1-EXP(-S13_PSP_Species_Support!AA56*6))^S13_PSP_Species_Support!AB56))^0.976,0)+IFERROR(S13_PSP_Species_Support!AF56*0.0673*(S13_PSP_Species_Support!AG56*(S13_PSP_Species_Support!AH56*(1-EXP(-S13_PSP_Species_Support!AI56*6))^S13_PSP_Species_Support!AJ56)^2*(S13_PSP_Species_Support!AK56*(1-EXP(-S13_PSP_Species_Support!AL56*6))^S13_PSP_Species_Support!AM56))^0.976,0)+IFERROR(S13_PSP_Species_Support!AQ56*0.0673*(S13_PSP_Species_Support!AR56*(S13_PSP_Species_Support!AS56*(1-EXP(-S13_PSP_Species_Support!AT56*6))^S13_PSP_Species_Support!AU56)^2*(S13_PSP_Species_Support!AV56*(1-EXP(-S13_PSP_Species_Support!AW56*6))^S13_PSP_Species_Support!AX56))^0.976,0)+IFERROR(S13_PSP_Species_Support!BB56*0.0673*(S13_PSP_Species_Support!BC56*(S13_PSP_Species_Support!BD56*(1-EXP(-S13_PSP_Species_Support!BE56*6))^S13_PSP_Species_Support!BF56)^2*(S13_PSP_Species_Support!BG56*(1-EXP(-S13_PSP_Species_Support!BH56*6))^S13_PSP_Species_Support!BI56))^0.976,0)+IFERROR(S13_PSP_Species_Support!BM56*0.0673*(S13_PSP_Species_Support!BN56*(S13_PSP_Species_Support!BO56*(1-EXP(-S13_PSP_Species_Support!BP56*6))^S13_PSP_Species_Support!BQ56)^2*(S13_PSP_Species_Support!BR56*(1-EXP(-S13_PSP_Species_Support!BS56*6))^S13_PSP_Species_Support!BT56))^0.976,0)+IFERROR(S13_PSP_Species_Support!BX56*0.0673*(S13_PSP_Species_Support!BY56*(S13_PSP_Species_Support!BZ56*(1-EXP(-S13_PSP_Species_Support!CA56*6))^S13_PSP_Species_Support!CB56)^2*(S13_PSP_Species_Support!CC56*(1-EXP(-S13_PSP_Species_Support!CD56*6))^S13_PSP_Species_Support!CE56))^0.976,0)+IFERROR(S13_PSP_Species_Support!CI56*0.0673*(S13_PSP_Species_Support!CJ56*(S13_PSP_Species_Support!CK56*(1-EXP(-S13_PSP_Species_Support!CL56*6))^S13_PSP_Species_Support!CM56)^2*(S13_PSP_Species_Support!CN56*(1-EXP(-S13_PSP_Species_Support!CO56*6))^S13_PSP_Species_Support!CP56))^0.976,0)+IFERROR(S13_PSP_Species_Support!CT56*0.0673*(S13_PSP_Species_Support!CU56*(S13_PSP_Species_Support!CV56*(1-EXP(-S13_PSP_Species_Support!CW56*6))^S13_PSP_Species_Support!CX56)^2*(S13_PSP_Species_Support!CY56*(1-EXP(-S13_PSP_Species_Support!CZ56*6))^S13_PSP_Species_Support!DA56))^0.976,0))/1000/$G69*O$108,0)</x:f>
        <x:v>9.78317821009137</x:v>
      </x:c>
      <x:c r="P69" s="147" t="n">
        <x:f aca="0">IFERROR((IFERROR(S13_PSP_Species_Support!U56*0.0673*(S13_PSP_Species_Support!V56*(S13_PSP_Species_Support!W56*(1-EXP(-S13_PSP_Species_Support!X56*7))^S13_PSP_Species_Support!Y56)^2*(S13_PSP_Species_Support!Z56*(1-EXP(-S13_PSP_Species_Support!AA56*7))^S13_PSP_Species_Support!AB56))^0.976,0)+IFERROR(S13_PSP_Species_Support!AF56*0.0673*(S13_PSP_Species_Support!AG56*(S13_PSP_Species_Support!AH56*(1-EXP(-S13_PSP_Species_Support!AI56*7))^S13_PSP_Species_Support!AJ56)^2*(S13_PSP_Species_Support!AK56*(1-EXP(-S13_PSP_Species_Support!AL56*7))^S13_PSP_Species_Support!AM56))^0.976,0)+IFERROR(S13_PSP_Species_Support!AQ56*0.0673*(S13_PSP_Species_Support!AR56*(S13_PSP_Species_Support!AS56*(1-EXP(-S13_PSP_Species_Support!AT56*7))^S13_PSP_Species_Support!AU56)^2*(S13_PSP_Species_Support!AV56*(1-EXP(-S13_PSP_Species_Support!AW56*7))^S13_PSP_Species_Support!AX56))^0.976,0)+IFERROR(S13_PSP_Species_Support!BB56*0.0673*(S13_PSP_Species_Support!BC56*(S13_PSP_Species_Support!BD56*(1-EXP(-S13_PSP_Species_Support!BE56*7))^S13_PSP_Species_Support!BF56)^2*(S13_PSP_Species_Support!BG56*(1-EXP(-S13_PSP_Species_Support!BH56*7))^S13_PSP_Species_Support!BI56))^0.976,0)+IFERROR(S13_PSP_Species_Support!BM56*0.0673*(S13_PSP_Species_Support!BN56*(S13_PSP_Species_Support!BO56*(1-EXP(-S13_PSP_Species_Support!BP56*7))^S13_PSP_Species_Support!BQ56)^2*(S13_PSP_Species_Support!BR56*(1-EXP(-S13_PSP_Species_Support!BS56*7))^S13_PSP_Species_Support!BT56))^0.976,0)+IFERROR(S13_PSP_Species_Support!BX56*0.0673*(S13_PSP_Species_Support!BY56*(S13_PSP_Species_Support!BZ56*(1-EXP(-S13_PSP_Species_Support!CA56*7))^S13_PSP_Species_Support!CB56)^2*(S13_PSP_Species_Support!CC56*(1-EXP(-S13_PSP_Species_Support!CD56*7))^S13_PSP_Species_Support!CE56))^0.976,0)+IFERROR(S13_PSP_Species_Support!CI56*0.0673*(S13_PSP_Species_Support!CJ56*(S13_PSP_Species_Support!CK56*(1-EXP(-S13_PSP_Species_Support!CL56*7))^S13_PSP_Species_Support!CM56)^2*(S13_PSP_Species_Support!CN56*(1-EXP(-S13_PSP_Species_Support!CO56*7))^S13_PSP_Species_Support!CP56))^0.976,0)+IFERROR(S13_PSP_Species_Support!CT56*0.0673*(S13_PSP_Species_Support!CU56*(S13_PSP_Species_Support!CV56*(1-EXP(-S13_PSP_Species_Support!CW56*7))^S13_PSP_Species_Support!CX56)^2*(S13_PSP_Species_Support!CY56*(1-EXP(-S13_PSP_Species_Support!CZ56*7))^S13_PSP_Species_Support!DA56))^0.976,0))/1000/$G69*P$108,0)</x:f>
        <x:v>15.342995156047989</x:v>
      </x:c>
      <x:c r="Q69" s="147" t="n">
        <x:f aca="0">IFERROR((IFERROR(S13_PSP_Species_Support!U56*0.0673*(S13_PSP_Species_Support!V56*(S13_PSP_Species_Support!W56*(1-EXP(-S13_PSP_Species_Support!X56*8))^S13_PSP_Species_Support!Y56)^2*(S13_PSP_Species_Support!Z56*(1-EXP(-S13_PSP_Species_Support!AA56*8))^S13_PSP_Species_Support!AB56))^0.976,0)+IFERROR(S13_PSP_Species_Support!AF56*0.0673*(S13_PSP_Species_Support!AG56*(S13_PSP_Species_Support!AH56*(1-EXP(-S13_PSP_Species_Support!AI56*8))^S13_PSP_Species_Support!AJ56)^2*(S13_PSP_Species_Support!AK56*(1-EXP(-S13_PSP_Species_Support!AL56*8))^S13_PSP_Species_Support!AM56))^0.976,0)+IFERROR(S13_PSP_Species_Support!AQ56*0.0673*(S13_PSP_Species_Support!AR56*(S13_PSP_Species_Support!AS56*(1-EXP(-S13_PSP_Species_Support!AT56*8))^S13_PSP_Species_Support!AU56)^2*(S13_PSP_Species_Support!AV56*(1-EXP(-S13_PSP_Species_Support!AW56*8))^S13_PSP_Species_Support!AX56))^0.976,0)+IFERROR(S13_PSP_Species_Support!BB56*0.0673*(S13_PSP_Species_Support!BC56*(S13_PSP_Species_Support!BD56*(1-EXP(-S13_PSP_Species_Support!BE56*8))^S13_PSP_Species_Support!BF56)^2*(S13_PSP_Species_Support!BG56*(1-EXP(-S13_PSP_Species_Support!BH56*8))^S13_PSP_Species_Support!BI56))^0.976,0)+IFERROR(S13_PSP_Species_Support!BM56*0.0673*(S13_PSP_Species_Support!BN56*(S13_PSP_Species_Support!BO56*(1-EXP(-S13_PSP_Species_Support!BP56*8))^S13_PSP_Species_Support!BQ56)^2*(S13_PSP_Species_Support!BR56*(1-EXP(-S13_PSP_Species_Support!BS56*8))^S13_PSP_Species_Support!BT56))^0.976,0)+IFERROR(S13_PSP_Species_Support!BX56*0.0673*(S13_PSP_Species_Support!BY56*(S13_PSP_Species_Support!BZ56*(1-EXP(-S13_PSP_Species_Support!CA56*8))^S13_PSP_Species_Support!CB56)^2*(S13_PSP_Species_Support!CC56*(1-EXP(-S13_PSP_Species_Support!CD56*8))^S13_PSP_Species_Support!CE56))^0.976,0)+IFERROR(S13_PSP_Species_Support!CI56*0.0673*(S13_PSP_Species_Support!CJ56*(S13_PSP_Species_Support!CK56*(1-EXP(-S13_PSP_Species_Support!CL56*8))^S13_PSP_Species_Support!CM56)^2*(S13_PSP_Species_Support!CN56*(1-EXP(-S13_PSP_Species_Support!CO56*8))^S13_PSP_Species_Support!CP56))^0.976,0)+IFERROR(S13_PSP_Species_Support!CT56*0.0673*(S13_PSP_Species_Support!CU56*(S13_PSP_Species_Support!CV56*(1-EXP(-S13_PSP_Species_Support!CW56*8))^S13_PSP_Species_Support!CX56)^2*(S13_PSP_Species_Support!CY56*(1-EXP(-S13_PSP_Species_Support!CZ56*8))^S13_PSP_Species_Support!DA56))^0.976,0))/1000/$G69*Q$108,0)</x:f>
        <x:v>22.122952625623615</x:v>
      </x:c>
      <x:c r="R69" s="147" t="n">
        <x:f aca="0">IFERROR((IFERROR(S13_PSP_Species_Support!U56*0.0673*(S13_PSP_Species_Support!V56*(S13_PSP_Species_Support!W56*(1-EXP(-S13_PSP_Species_Support!X56*9))^S13_PSP_Species_Support!Y56)^2*(S13_PSP_Species_Support!Z56*(1-EXP(-S13_PSP_Species_Support!AA56*9))^S13_PSP_Species_Support!AB56))^0.976,0)+IFERROR(S13_PSP_Species_Support!AF56*0.0673*(S13_PSP_Species_Support!AG56*(S13_PSP_Species_Support!AH56*(1-EXP(-S13_PSP_Species_Support!AI56*9))^S13_PSP_Species_Support!AJ56)^2*(S13_PSP_Species_Support!AK56*(1-EXP(-S13_PSP_Species_Support!AL56*9))^S13_PSP_Species_Support!AM56))^0.976,0)+IFERROR(S13_PSP_Species_Support!AQ56*0.0673*(S13_PSP_Species_Support!AR56*(S13_PSP_Species_Support!AS56*(1-EXP(-S13_PSP_Species_Support!AT56*9))^S13_PSP_Species_Support!AU56)^2*(S13_PSP_Species_Support!AV56*(1-EXP(-S13_PSP_Species_Support!AW56*9))^S13_PSP_Species_Support!AX56))^0.976,0)+IFERROR(S13_PSP_Species_Support!BB56*0.0673*(S13_PSP_Species_Support!BC56*(S13_PSP_Species_Support!BD56*(1-EXP(-S13_PSP_Species_Support!BE56*9))^S13_PSP_Species_Support!BF56)^2*(S13_PSP_Species_Support!BG56*(1-EXP(-S13_PSP_Species_Support!BH56*9))^S13_PSP_Species_Support!BI56))^0.976,0)+IFERROR(S13_PSP_Species_Support!BM56*0.0673*(S13_PSP_Species_Support!BN56*(S13_PSP_Species_Support!BO56*(1-EXP(-S13_PSP_Species_Support!BP56*9))^S13_PSP_Species_Support!BQ56)^2*(S13_PSP_Species_Support!BR56*(1-EXP(-S13_PSP_Species_Support!BS56*9))^S13_PSP_Species_Support!BT56))^0.976,0)+IFERROR(S13_PSP_Species_Support!BX56*0.0673*(S13_PSP_Species_Support!BY56*(S13_PSP_Species_Support!BZ56*(1-EXP(-S13_PSP_Species_Support!CA56*9))^S13_PSP_Species_Support!CB56)^2*(S13_PSP_Species_Support!CC56*(1-EXP(-S13_PSP_Species_Support!CD56*9))^S13_PSP_Species_Support!CE56))^0.976,0)+IFERROR(S13_PSP_Species_Support!CI56*0.0673*(S13_PSP_Species_Support!CJ56*(S13_PSP_Species_Support!CK56*(1-EXP(-S13_PSP_Species_Support!CL56*9))^S13_PSP_Species_Support!CM56)^2*(S13_PSP_Species_Support!CN56*(1-EXP(-S13_PSP_Species_Support!CO56*9))^S13_PSP_Species_Support!CP56))^0.976,0)+IFERROR(S13_PSP_Species_Support!CT56*0.0673*(S13_PSP_Species_Support!CU56*(S13_PSP_Species_Support!CV56*(1-EXP(-S13_PSP_Species_Support!CW56*9))^S13_PSP_Species_Support!CX56)^2*(S13_PSP_Species_Support!CY56*(1-EXP(-S13_PSP_Species_Support!CZ56*9))^S13_PSP_Species_Support!DA56))^0.976,0))/1000/$G69*R$108,0)</x:f>
        <x:v>29.946259613265127</x:v>
      </x:c>
      <x:c r="S69" s="147" t="n">
        <x:f aca="0">IFERROR((IFERROR(S13_PSP_Species_Support!U56*0.0673*(S13_PSP_Species_Support!V56*(S13_PSP_Species_Support!W56*(1-EXP(-S13_PSP_Species_Support!X56*10))^S13_PSP_Species_Support!Y56)^2*(S13_PSP_Species_Support!Z56*(1-EXP(-S13_PSP_Species_Support!AA56*10))^S13_PSP_Species_Support!AB56))^0.976,0)+IFERROR(S13_PSP_Species_Support!AF56*0.0673*(S13_PSP_Species_Support!AG56*(S13_PSP_Species_Support!AH56*(1-EXP(-S13_PSP_Species_Support!AI56*10))^S13_PSP_Species_Support!AJ56)^2*(S13_PSP_Species_Support!AK56*(1-EXP(-S13_PSP_Species_Support!AL56*10))^S13_PSP_Species_Support!AM56))^0.976,0)+IFERROR(S13_PSP_Species_Support!AQ56*0.0673*(S13_PSP_Species_Support!AR56*(S13_PSP_Species_Support!AS56*(1-EXP(-S13_PSP_Species_Support!AT56*10))^S13_PSP_Species_Support!AU56)^2*(S13_PSP_Species_Support!AV56*(1-EXP(-S13_PSP_Species_Support!AW56*10))^S13_PSP_Species_Support!AX56))^0.976,0)+IFERROR(S13_PSP_Species_Support!BB56*0.0673*(S13_PSP_Species_Support!BC56*(S13_PSP_Species_Support!BD56*(1-EXP(-S13_PSP_Species_Support!BE56*10))^S13_PSP_Species_Support!BF56)^2*(S13_PSP_Species_Support!BG56*(1-EXP(-S13_PSP_Species_Support!BH56*10))^S13_PSP_Species_Support!BI56))^0.976,0)+IFERROR(S13_PSP_Species_Support!BM56*0.0673*(S13_PSP_Species_Support!BN56*(S13_PSP_Species_Support!BO56*(1-EXP(-S13_PSP_Species_Support!BP56*10))^S13_PSP_Species_Support!BQ56)^2*(S13_PSP_Species_Support!BR56*(1-EXP(-S13_PSP_Species_Support!BS56*10))^S13_PSP_Species_Support!BT56))^0.976,0)+IFERROR(S13_PSP_Species_Support!BX56*0.0673*(S13_PSP_Species_Support!BY56*(S13_PSP_Species_Support!BZ56*(1-EXP(-S13_PSP_Species_Support!CA56*10))^S13_PSP_Species_Support!CB56)^2*(S13_PSP_Species_Support!CC56*(1-EXP(-S13_PSP_Species_Support!CD56*10))^S13_PSP_Species_Support!CE56))^0.976,0)+IFERROR(S13_PSP_Species_Support!CI56*0.0673*(S13_PSP_Species_Support!CJ56*(S13_PSP_Species_Support!CK56*(1-EXP(-S13_PSP_Species_Support!CL56*10))^S13_PSP_Species_Support!CM56)^2*(S13_PSP_Species_Support!CN56*(1-EXP(-S13_PSP_Species_Support!CO56*10))^S13_PSP_Species_Support!CP56))^0.976,0)+IFERROR(S13_PSP_Species_Support!CT56*0.0673*(S13_PSP_Species_Support!CU56*(S13_PSP_Species_Support!CV56*(1-EXP(-S13_PSP_Species_Support!CW56*10))^S13_PSP_Species_Support!CX56)^2*(S13_PSP_Species_Support!CY56*(1-EXP(-S13_PSP_Species_Support!CZ56*10))^S13_PSP_Species_Support!DA56))^0.976,0))/1000/$G69*S$108,0)</x:f>
        <x:v>38.6001049285646</x:v>
      </x:c>
      <x:c r="T69" s="147" t="n">
        <x:f aca="0">IFERROR((IFERROR(S13_PSP_Species_Support!U56*0.0673*(S13_PSP_Species_Support!V56*(S13_PSP_Species_Support!W56*(1-EXP(-S13_PSP_Species_Support!X56*11))^S13_PSP_Species_Support!Y56)^2*(S13_PSP_Species_Support!Z56*(1-EXP(-S13_PSP_Species_Support!AA56*11))^S13_PSP_Species_Support!AB56))^0.976,0)+IFERROR(S13_PSP_Species_Support!AF56*0.0673*(S13_PSP_Species_Support!AG56*(S13_PSP_Species_Support!AH56*(1-EXP(-S13_PSP_Species_Support!AI56*11))^S13_PSP_Species_Support!AJ56)^2*(S13_PSP_Species_Support!AK56*(1-EXP(-S13_PSP_Species_Support!AL56*11))^S13_PSP_Species_Support!AM56))^0.976,0)+IFERROR(S13_PSP_Species_Support!AQ56*0.0673*(S13_PSP_Species_Support!AR56*(S13_PSP_Species_Support!AS56*(1-EXP(-S13_PSP_Species_Support!AT56*11))^S13_PSP_Species_Support!AU56)^2*(S13_PSP_Species_Support!AV56*(1-EXP(-S13_PSP_Species_Support!AW56*11))^S13_PSP_Species_Support!AX56))^0.976,0)+IFERROR(S13_PSP_Species_Support!BB56*0.0673*(S13_PSP_Species_Support!BC56*(S13_PSP_Species_Support!BD56*(1-EXP(-S13_PSP_Species_Support!BE56*11))^S13_PSP_Species_Support!BF56)^2*(S13_PSP_Species_Support!BG56*(1-EXP(-S13_PSP_Species_Support!BH56*11))^S13_PSP_Species_Support!BI56))^0.976,0)+IFERROR(S13_PSP_Species_Support!BM56*0.0673*(S13_PSP_Species_Support!BN56*(S13_PSP_Species_Support!BO56*(1-EXP(-S13_PSP_Species_Support!BP56*11))^S13_PSP_Species_Support!BQ56)^2*(S13_PSP_Species_Support!BR56*(1-EXP(-S13_PSP_Species_Support!BS56*11))^S13_PSP_Species_Support!BT56))^0.976,0)+IFERROR(S13_PSP_Species_Support!BX56*0.0673*(S13_PSP_Species_Support!BY56*(S13_PSP_Species_Support!BZ56*(1-EXP(-S13_PSP_Species_Support!CA56*11))^S13_PSP_Species_Support!CB56)^2*(S13_PSP_Species_Support!CC56*(1-EXP(-S13_PSP_Species_Support!CD56*11))^S13_PSP_Species_Support!CE56))^0.976,0)+IFERROR(S13_PSP_Species_Support!CI56*0.0673*(S13_PSP_Species_Support!CJ56*(S13_PSP_Species_Support!CK56*(1-EXP(-S13_PSP_Species_Support!CL56*11))^S13_PSP_Species_Support!CM56)^2*(S13_PSP_Species_Support!CN56*(1-EXP(-S13_PSP_Species_Support!CO56*11))^S13_PSP_Species_Support!CP56))^0.976,0)+IFERROR(S13_PSP_Species_Support!CT56*0.0673*(S13_PSP_Species_Support!CU56*(S13_PSP_Species_Support!CV56*(1-EXP(-S13_PSP_Species_Support!CW56*11))^S13_PSP_Species_Support!CX56)^2*(S13_PSP_Species_Support!CY56*(1-EXP(-S13_PSP_Species_Support!CZ56*11))^S13_PSP_Species_Support!DA56))^0.976,0))/1000/$G69*T$108,0)</x:f>
        <x:v>47.86079445717104</x:v>
      </x:c>
      <x:c r="U69" s="147" t="n">
        <x:f aca="0">IFERROR((IFERROR(S13_PSP_Species_Support!U56*0.0673*(S13_PSP_Species_Support!V56*(S13_PSP_Species_Support!W56*(1-EXP(-S13_PSP_Species_Support!X56*12))^S13_PSP_Species_Support!Y56)^2*(S13_PSP_Species_Support!Z56*(1-EXP(-S13_PSP_Species_Support!AA56*12))^S13_PSP_Species_Support!AB56))^0.976,0)+IFERROR(S13_PSP_Species_Support!AF56*0.0673*(S13_PSP_Species_Support!AG56*(S13_PSP_Species_Support!AH56*(1-EXP(-S13_PSP_Species_Support!AI56*12))^S13_PSP_Species_Support!AJ56)^2*(S13_PSP_Species_Support!AK56*(1-EXP(-S13_PSP_Species_Support!AL56*12))^S13_PSP_Species_Support!AM56))^0.976,0)+IFERROR(S13_PSP_Species_Support!AQ56*0.0673*(S13_PSP_Species_Support!AR56*(S13_PSP_Species_Support!AS56*(1-EXP(-S13_PSP_Species_Support!AT56*12))^S13_PSP_Species_Support!AU56)^2*(S13_PSP_Species_Support!AV56*(1-EXP(-S13_PSP_Species_Support!AW56*12))^S13_PSP_Species_Support!AX56))^0.976,0)+IFERROR(S13_PSP_Species_Support!BB56*0.0673*(S13_PSP_Species_Support!BC56*(S13_PSP_Species_Support!BD56*(1-EXP(-S13_PSP_Species_Support!BE56*12))^S13_PSP_Species_Support!BF56)^2*(S13_PSP_Species_Support!BG56*(1-EXP(-S13_PSP_Species_Support!BH56*12))^S13_PSP_Species_Support!BI56))^0.976,0)+IFERROR(S13_PSP_Species_Support!BM56*0.0673*(S13_PSP_Species_Support!BN56*(S13_PSP_Species_Support!BO56*(1-EXP(-S13_PSP_Species_Support!BP56*12))^S13_PSP_Species_Support!BQ56)^2*(S13_PSP_Species_Support!BR56*(1-EXP(-S13_PSP_Species_Support!BS56*12))^S13_PSP_Species_Support!BT56))^0.976,0)+IFERROR(S13_PSP_Species_Support!BX56*0.0673*(S13_PSP_Species_Support!BY56*(S13_PSP_Species_Support!BZ56*(1-EXP(-S13_PSP_Species_Support!CA56*12))^S13_PSP_Species_Support!CB56)^2*(S13_PSP_Species_Support!CC56*(1-EXP(-S13_PSP_Species_Support!CD56*12))^S13_PSP_Species_Support!CE56))^0.976,0)+IFERROR(S13_PSP_Species_Support!CI56*0.0673*(S13_PSP_Species_Support!CJ56*(S13_PSP_Species_Support!CK56*(1-EXP(-S13_PSP_Species_Support!CL56*12))^S13_PSP_Species_Support!CM56)^2*(S13_PSP_Species_Support!CN56*(1-EXP(-S13_PSP_Species_Support!CO56*12))^S13_PSP_Species_Support!CP56))^0.976,0)+IFERROR(S13_PSP_Species_Support!CT56*0.0673*(S13_PSP_Species_Support!CU56*(S13_PSP_Species_Support!CV56*(1-EXP(-S13_PSP_Species_Support!CW56*12))^S13_PSP_Species_Support!CX56)^2*(S13_PSP_Species_Support!CY56*(1-EXP(-S13_PSP_Species_Support!CZ56*12))^S13_PSP_Species_Support!DA56))^0.976,0))/1000/$G69*U$108,0)</x:f>
        <x:v>57.511731410917555</x:v>
      </x:c>
      <x:c r="V69" s="147" t="n">
        <x:f aca="0">IFERROR((IFERROR(S13_PSP_Species_Support!U56*0.0673*(S13_PSP_Species_Support!V56*(S13_PSP_Species_Support!W56*(1-EXP(-S13_PSP_Species_Support!X56*13))^S13_PSP_Species_Support!Y56)^2*(S13_PSP_Species_Support!Z56*(1-EXP(-S13_PSP_Species_Support!AA56*13))^S13_PSP_Species_Support!AB56))^0.976,0)+IFERROR(S13_PSP_Species_Support!AF56*0.0673*(S13_PSP_Species_Support!AG56*(S13_PSP_Species_Support!AH56*(1-EXP(-S13_PSP_Species_Support!AI56*13))^S13_PSP_Species_Support!AJ56)^2*(S13_PSP_Species_Support!AK56*(1-EXP(-S13_PSP_Species_Support!AL56*13))^S13_PSP_Species_Support!AM56))^0.976,0)+IFERROR(S13_PSP_Species_Support!AQ56*0.0673*(S13_PSP_Species_Support!AR56*(S13_PSP_Species_Support!AS56*(1-EXP(-S13_PSP_Species_Support!AT56*13))^S13_PSP_Species_Support!AU56)^2*(S13_PSP_Species_Support!AV56*(1-EXP(-S13_PSP_Species_Support!AW56*13))^S13_PSP_Species_Support!AX56))^0.976,0)+IFERROR(S13_PSP_Species_Support!BB56*0.0673*(S13_PSP_Species_Support!BC56*(S13_PSP_Species_Support!BD56*(1-EXP(-S13_PSP_Species_Support!BE56*13))^S13_PSP_Species_Support!BF56)^2*(S13_PSP_Species_Support!BG56*(1-EXP(-S13_PSP_Species_Support!BH56*13))^S13_PSP_Species_Support!BI56))^0.976,0)+IFERROR(S13_PSP_Species_Support!BM56*0.0673*(S13_PSP_Species_Support!BN56*(S13_PSP_Species_Support!BO56*(1-EXP(-S13_PSP_Species_Support!BP56*13))^S13_PSP_Species_Support!BQ56)^2*(S13_PSP_Species_Support!BR56*(1-EXP(-S13_PSP_Species_Support!BS56*13))^S13_PSP_Species_Support!BT56))^0.976,0)+IFERROR(S13_PSP_Species_Support!BX56*0.0673*(S13_PSP_Species_Support!BY56*(S13_PSP_Species_Support!BZ56*(1-EXP(-S13_PSP_Species_Support!CA56*13))^S13_PSP_Species_Support!CB56)^2*(S13_PSP_Species_Support!CC56*(1-EXP(-S13_PSP_Species_Support!CD56*13))^S13_PSP_Species_Support!CE56))^0.976,0)+IFERROR(S13_PSP_Species_Support!CI56*0.0673*(S13_PSP_Species_Support!CJ56*(S13_PSP_Species_Support!CK56*(1-EXP(-S13_PSP_Species_Support!CL56*13))^S13_PSP_Species_Support!CM56)^2*(S13_PSP_Species_Support!CN56*(1-EXP(-S13_PSP_Species_Support!CO56*13))^S13_PSP_Species_Support!CP56))^0.976,0)+IFERROR(S13_PSP_Species_Support!CT56*0.0673*(S13_PSP_Species_Support!CU56*(S13_PSP_Species_Support!CV56*(1-EXP(-S13_PSP_Species_Support!CW56*13))^S13_PSP_Species_Support!CX56)^2*(S13_PSP_Species_Support!CY56*(1-EXP(-S13_PSP_Species_Support!CZ56*13))^S13_PSP_Species_Support!DA56))^0.976,0))/1000/$G69*V$108,0)</x:f>
        <x:v>67.35502099345659</x:v>
      </x:c>
      <x:c r="W69" s="147" t="n">
        <x:f aca="0">IFERROR((IFERROR(S13_PSP_Species_Support!U56*0.0673*(S13_PSP_Species_Support!V56*(S13_PSP_Species_Support!W56*(1-EXP(-S13_PSP_Species_Support!X56*14))^S13_PSP_Species_Support!Y56)^2*(S13_PSP_Species_Support!Z56*(1-EXP(-S13_PSP_Species_Support!AA56*14))^S13_PSP_Species_Support!AB56))^0.976,0)+IFERROR(S13_PSP_Species_Support!AF56*0.0673*(S13_PSP_Species_Support!AG56*(S13_PSP_Species_Support!AH56*(1-EXP(-S13_PSP_Species_Support!AI56*14))^S13_PSP_Species_Support!AJ56)^2*(S13_PSP_Species_Support!AK56*(1-EXP(-S13_PSP_Species_Support!AL56*14))^S13_PSP_Species_Support!AM56))^0.976,0)+IFERROR(S13_PSP_Species_Support!AQ56*0.0673*(S13_PSP_Species_Support!AR56*(S13_PSP_Species_Support!AS56*(1-EXP(-S13_PSP_Species_Support!AT56*14))^S13_PSP_Species_Support!AU56)^2*(S13_PSP_Species_Support!AV56*(1-EXP(-S13_PSP_Species_Support!AW56*14))^S13_PSP_Species_Support!AX56))^0.976,0)+IFERROR(S13_PSP_Species_Support!BB56*0.0673*(S13_PSP_Species_Support!BC56*(S13_PSP_Species_Support!BD56*(1-EXP(-S13_PSP_Species_Support!BE56*14))^S13_PSP_Species_Support!BF56)^2*(S13_PSP_Species_Support!BG56*(1-EXP(-S13_PSP_Species_Support!BH56*14))^S13_PSP_Species_Support!BI56))^0.976,0)+IFERROR(S13_PSP_Species_Support!BM56*0.0673*(S13_PSP_Species_Support!BN56*(S13_PSP_Species_Support!BO56*(1-EXP(-S13_PSP_Species_Support!BP56*14))^S13_PSP_Species_Support!BQ56)^2*(S13_PSP_Species_Support!BR56*(1-EXP(-S13_PSP_Species_Support!BS56*14))^S13_PSP_Species_Support!BT56))^0.976,0)+IFERROR(S13_PSP_Species_Support!BX56*0.0673*(S13_PSP_Species_Support!BY56*(S13_PSP_Species_Support!BZ56*(1-EXP(-S13_PSP_Species_Support!CA56*14))^S13_PSP_Species_Support!CB56)^2*(S13_PSP_Species_Support!CC56*(1-EXP(-S13_PSP_Species_Support!CD56*14))^S13_PSP_Species_Support!CE56))^0.976,0)+IFERROR(S13_PSP_Species_Support!CI56*0.0673*(S13_PSP_Species_Support!CJ56*(S13_PSP_Species_Support!CK56*(1-EXP(-S13_PSP_Species_Support!CL56*14))^S13_PSP_Species_Support!CM56)^2*(S13_PSP_Species_Support!CN56*(1-EXP(-S13_PSP_Species_Support!CO56*14))^S13_PSP_Species_Support!CP56))^0.976,0)+IFERROR(S13_PSP_Species_Support!CT56*0.0673*(S13_PSP_Species_Support!CU56*(S13_PSP_Species_Support!CV56*(1-EXP(-S13_PSP_Species_Support!CW56*14))^S13_PSP_Species_Support!CX56)^2*(S13_PSP_Species_Support!CY56*(1-EXP(-S13_PSP_Species_Support!CZ56*14))^S13_PSP_Species_Support!DA56))^0.976,0))/1000/$G69*W$108,0)</x:f>
        <x:v>77.21796024938837</x:v>
      </x:c>
      <x:c r="X69" s="147" t="n">
        <x:f aca="0">IFERROR((IFERROR(S13_PSP_Species_Support!U56*0.0673*(S13_PSP_Species_Support!V56*(S13_PSP_Species_Support!W56*(1-EXP(-S13_PSP_Species_Support!X56*15))^S13_PSP_Species_Support!Y56)^2*(S13_PSP_Species_Support!Z56*(1-EXP(-S13_PSP_Species_Support!AA56*15))^S13_PSP_Species_Support!AB56))^0.976,0)+IFERROR(S13_PSP_Species_Support!AF56*0.0673*(S13_PSP_Species_Support!AG56*(S13_PSP_Species_Support!AH56*(1-EXP(-S13_PSP_Species_Support!AI56*15))^S13_PSP_Species_Support!AJ56)^2*(S13_PSP_Species_Support!AK56*(1-EXP(-S13_PSP_Species_Support!AL56*15))^S13_PSP_Species_Support!AM56))^0.976,0)+IFERROR(S13_PSP_Species_Support!AQ56*0.0673*(S13_PSP_Species_Support!AR56*(S13_PSP_Species_Support!AS56*(1-EXP(-S13_PSP_Species_Support!AT56*15))^S13_PSP_Species_Support!AU56)^2*(S13_PSP_Species_Support!AV56*(1-EXP(-S13_PSP_Species_Support!AW56*15))^S13_PSP_Species_Support!AX56))^0.976,0)+IFERROR(S13_PSP_Species_Support!BB56*0.0673*(S13_PSP_Species_Support!BC56*(S13_PSP_Species_Support!BD56*(1-EXP(-S13_PSP_Species_Support!BE56*15))^S13_PSP_Species_Support!BF56)^2*(S13_PSP_Species_Support!BG56*(1-EXP(-S13_PSP_Species_Support!BH56*15))^S13_PSP_Species_Support!BI56))^0.976,0)+IFERROR(S13_PSP_Species_Support!BM56*0.0673*(S13_PSP_Species_Support!BN56*(S13_PSP_Species_Support!BO56*(1-EXP(-S13_PSP_Species_Support!BP56*15))^S13_PSP_Species_Support!BQ56)^2*(S13_PSP_Species_Support!BR56*(1-EXP(-S13_PSP_Species_Support!BS56*15))^S13_PSP_Species_Support!BT56))^0.976,0)+IFERROR(S13_PSP_Species_Support!BX56*0.0673*(S13_PSP_Species_Support!BY56*(S13_PSP_Species_Support!BZ56*(1-EXP(-S13_PSP_Species_Support!CA56*15))^S13_PSP_Species_Support!CB56)^2*(S13_PSP_Species_Support!CC56*(1-EXP(-S13_PSP_Species_Support!CD56*15))^S13_PSP_Species_Support!CE56))^0.976,0)+IFERROR(S13_PSP_Species_Support!CI56*0.0673*(S13_PSP_Species_Support!CJ56*(S13_PSP_Species_Support!CK56*(1-EXP(-S13_PSP_Species_Support!CL56*15))^S13_PSP_Species_Support!CM56)^2*(S13_PSP_Species_Support!CN56*(1-EXP(-S13_PSP_Species_Support!CO56*15))^S13_PSP_Species_Support!CP56))^0.976,0)+IFERROR(S13_PSP_Species_Support!CT56*0.0673*(S13_PSP_Species_Support!CU56*(S13_PSP_Species_Support!CV56*(1-EXP(-S13_PSP_Species_Support!CW56*15))^S13_PSP_Species_Support!CX56)^2*(S13_PSP_Species_Support!CY56*(1-EXP(-S13_PSP_Species_Support!CZ56*15))^S13_PSP_Species_Support!DA56))^0.976,0))/1000/$G69*X$108,0)</x:f>
        <x:v>86.95572616807434</x:v>
      </x:c>
      <x:c r="Y69" s="147" t="n">
        <x:f aca="0">IFERROR((IFERROR(S13_PSP_Species_Support!U56*0.0673*(S13_PSP_Species_Support!V56*(S13_PSP_Species_Support!W56*(1-EXP(-S13_PSP_Species_Support!X56*16))^S13_PSP_Species_Support!Y56)^2*(S13_PSP_Species_Support!Z56*(1-EXP(-S13_PSP_Species_Support!AA56*16))^S13_PSP_Species_Support!AB56))^0.976,0)+IFERROR(S13_PSP_Species_Support!AF56*0.0673*(S13_PSP_Species_Support!AG56*(S13_PSP_Species_Support!AH56*(1-EXP(-S13_PSP_Species_Support!AI56*16))^S13_PSP_Species_Support!AJ56)^2*(S13_PSP_Species_Support!AK56*(1-EXP(-S13_PSP_Species_Support!AL56*16))^S13_PSP_Species_Support!AM56))^0.976,0)+IFERROR(S13_PSP_Species_Support!AQ56*0.0673*(S13_PSP_Species_Support!AR56*(S13_PSP_Species_Support!AS56*(1-EXP(-S13_PSP_Species_Support!AT56*16))^S13_PSP_Species_Support!AU56)^2*(S13_PSP_Species_Support!AV56*(1-EXP(-S13_PSP_Species_Support!AW56*16))^S13_PSP_Species_Support!AX56))^0.976,0)+IFERROR(S13_PSP_Species_Support!BB56*0.0673*(S13_PSP_Species_Support!BC56*(S13_PSP_Species_Support!BD56*(1-EXP(-S13_PSP_Species_Support!BE56*16))^S13_PSP_Species_Support!BF56)^2*(S13_PSP_Species_Support!BG56*(1-EXP(-S13_PSP_Species_Support!BH56*16))^S13_PSP_Species_Support!BI56))^0.976,0)+IFERROR(S13_PSP_Species_Support!BM56*0.0673*(S13_PSP_Species_Support!BN56*(S13_PSP_Species_Support!BO56*(1-EXP(-S13_PSP_Species_Support!BP56*16))^S13_PSP_Species_Support!BQ56)^2*(S13_PSP_Species_Support!BR56*(1-EXP(-S13_PSP_Species_Support!BS56*16))^S13_PSP_Species_Support!BT56))^0.976,0)+IFERROR(S13_PSP_Species_Support!BX56*0.0673*(S13_PSP_Species_Support!BY56*(S13_PSP_Species_Support!BZ56*(1-EXP(-S13_PSP_Species_Support!CA56*16))^S13_PSP_Species_Support!CB56)^2*(S13_PSP_Species_Support!CC56*(1-EXP(-S13_PSP_Species_Support!CD56*16))^S13_PSP_Species_Support!CE56))^0.976,0)+IFERROR(S13_PSP_Species_Support!CI56*0.0673*(S13_PSP_Species_Support!CJ56*(S13_PSP_Species_Support!CK56*(1-EXP(-S13_PSP_Species_Support!CL56*16))^S13_PSP_Species_Support!CM56)^2*(S13_PSP_Species_Support!CN56*(1-EXP(-S13_PSP_Species_Support!CO56*16))^S13_PSP_Species_Support!CP56))^0.976,0)+IFERROR(S13_PSP_Species_Support!CT56*0.0673*(S13_PSP_Species_Support!CU56*(S13_PSP_Species_Support!CV56*(1-EXP(-S13_PSP_Species_Support!CW56*16))^S13_PSP_Species_Support!CX56)^2*(S13_PSP_Species_Support!CY56*(1-EXP(-S13_PSP_Species_Support!CZ56*16))^S13_PSP_Species_Support!DA56))^0.976,0))/1000/$G69*Y$108,0)</x:f>
        <x:v>96.45142652899331</x:v>
      </x:c>
      <x:c r="Z69" s="147" t="n">
        <x:f aca="0">IFERROR((IFERROR(S13_PSP_Species_Support!U56*0.0673*(S13_PSP_Species_Support!V56*(S13_PSP_Species_Support!W56*(1-EXP(-S13_PSP_Species_Support!X56*17))^S13_PSP_Species_Support!Y56)^2*(S13_PSP_Species_Support!Z56*(1-EXP(-S13_PSP_Species_Support!AA56*17))^S13_PSP_Species_Support!AB56))^0.976,0)+IFERROR(S13_PSP_Species_Support!AF56*0.0673*(S13_PSP_Species_Support!AG56*(S13_PSP_Species_Support!AH56*(1-EXP(-S13_PSP_Species_Support!AI56*17))^S13_PSP_Species_Support!AJ56)^2*(S13_PSP_Species_Support!AK56*(1-EXP(-S13_PSP_Species_Support!AL56*17))^S13_PSP_Species_Support!AM56))^0.976,0)+IFERROR(S13_PSP_Species_Support!AQ56*0.0673*(S13_PSP_Species_Support!AR56*(S13_PSP_Species_Support!AS56*(1-EXP(-S13_PSP_Species_Support!AT56*17))^S13_PSP_Species_Support!AU56)^2*(S13_PSP_Species_Support!AV56*(1-EXP(-S13_PSP_Species_Support!AW56*17))^S13_PSP_Species_Support!AX56))^0.976,0)+IFERROR(S13_PSP_Species_Support!BB56*0.0673*(S13_PSP_Species_Support!BC56*(S13_PSP_Species_Support!BD56*(1-EXP(-S13_PSP_Species_Support!BE56*17))^S13_PSP_Species_Support!BF56)^2*(S13_PSP_Species_Support!BG56*(1-EXP(-S13_PSP_Species_Support!BH56*17))^S13_PSP_Species_Support!BI56))^0.976,0)+IFERROR(S13_PSP_Species_Support!BM56*0.0673*(S13_PSP_Species_Support!BN56*(S13_PSP_Species_Support!BO56*(1-EXP(-S13_PSP_Species_Support!BP56*17))^S13_PSP_Species_Support!BQ56)^2*(S13_PSP_Species_Support!BR56*(1-EXP(-S13_PSP_Species_Support!BS56*17))^S13_PSP_Species_Support!BT56))^0.976,0)+IFERROR(S13_PSP_Species_Support!BX56*0.0673*(S13_PSP_Species_Support!BY56*(S13_PSP_Species_Support!BZ56*(1-EXP(-S13_PSP_Species_Support!CA56*17))^S13_PSP_Species_Support!CB56)^2*(S13_PSP_Species_Support!CC56*(1-EXP(-S13_PSP_Species_Support!CD56*17))^S13_PSP_Species_Support!CE56))^0.976,0)+IFERROR(S13_PSP_Species_Support!CI56*0.0673*(S13_PSP_Species_Support!CJ56*(S13_PSP_Species_Support!CK56*(1-EXP(-S13_PSP_Species_Support!CL56*17))^S13_PSP_Species_Support!CM56)^2*(S13_PSP_Species_Support!CN56*(1-EXP(-S13_PSP_Species_Support!CO56*17))^S13_PSP_Species_Support!CP56))^0.976,0)+IFERROR(S13_PSP_Species_Support!CT56*0.0673*(S13_PSP_Species_Support!CU56*(S13_PSP_Species_Support!CV56*(1-EXP(-S13_PSP_Species_Support!CW56*17))^S13_PSP_Species_Support!CX56)^2*(S13_PSP_Species_Support!CY56*(1-EXP(-S13_PSP_Species_Support!CZ56*17))^S13_PSP_Species_Support!DA56))^0.976,0))/1000/$G69*Z$108,0)</x:f>
        <x:v>105.61445677734159</x:v>
      </x:c>
      <x:c r="AA69" s="147" t="n">
        <x:f aca="0">IFERROR((IFERROR(S13_PSP_Species_Support!U56*0.0673*(S13_PSP_Species_Support!V56*(S13_PSP_Species_Support!W56*(1-EXP(-S13_PSP_Species_Support!X56*18))^S13_PSP_Species_Support!Y56)^2*(S13_PSP_Species_Support!Z56*(1-EXP(-S13_PSP_Species_Support!AA56*18))^S13_PSP_Species_Support!AB56))^0.976,0)+IFERROR(S13_PSP_Species_Support!AF56*0.0673*(S13_PSP_Species_Support!AG56*(S13_PSP_Species_Support!AH56*(1-EXP(-S13_PSP_Species_Support!AI56*18))^S13_PSP_Species_Support!AJ56)^2*(S13_PSP_Species_Support!AK56*(1-EXP(-S13_PSP_Species_Support!AL56*18))^S13_PSP_Species_Support!AM56))^0.976,0)+IFERROR(S13_PSP_Species_Support!AQ56*0.0673*(S13_PSP_Species_Support!AR56*(S13_PSP_Species_Support!AS56*(1-EXP(-S13_PSP_Species_Support!AT56*18))^S13_PSP_Species_Support!AU56)^2*(S13_PSP_Species_Support!AV56*(1-EXP(-S13_PSP_Species_Support!AW56*18))^S13_PSP_Species_Support!AX56))^0.976,0)+IFERROR(S13_PSP_Species_Support!BB56*0.0673*(S13_PSP_Species_Support!BC56*(S13_PSP_Species_Support!BD56*(1-EXP(-S13_PSP_Species_Support!BE56*18))^S13_PSP_Species_Support!BF56)^2*(S13_PSP_Species_Support!BG56*(1-EXP(-S13_PSP_Species_Support!BH56*18))^S13_PSP_Species_Support!BI56))^0.976,0)+IFERROR(S13_PSP_Species_Support!BM56*0.0673*(S13_PSP_Species_Support!BN56*(S13_PSP_Species_Support!BO56*(1-EXP(-S13_PSP_Species_Support!BP56*18))^S13_PSP_Species_Support!BQ56)^2*(S13_PSP_Species_Support!BR56*(1-EXP(-S13_PSP_Species_Support!BS56*18))^S13_PSP_Species_Support!BT56))^0.976,0)+IFERROR(S13_PSP_Species_Support!BX56*0.0673*(S13_PSP_Species_Support!BY56*(S13_PSP_Species_Support!BZ56*(1-EXP(-S13_PSP_Species_Support!CA56*18))^S13_PSP_Species_Support!CB56)^2*(S13_PSP_Species_Support!CC56*(1-EXP(-S13_PSP_Species_Support!CD56*18))^S13_PSP_Species_Support!CE56))^0.976,0)+IFERROR(S13_PSP_Species_Support!CI56*0.0673*(S13_PSP_Species_Support!CJ56*(S13_PSP_Species_Support!CK56*(1-EXP(-S13_PSP_Species_Support!CL56*18))^S13_PSP_Species_Support!CM56)^2*(S13_PSP_Species_Support!CN56*(1-EXP(-S13_PSP_Species_Support!CO56*18))^S13_PSP_Species_Support!CP56))^0.976,0)+IFERROR(S13_PSP_Species_Support!CT56*0.0673*(S13_PSP_Species_Support!CU56*(S13_PSP_Species_Support!CV56*(1-EXP(-S13_PSP_Species_Support!CW56*18))^S13_PSP_Species_Support!CX56)^2*(S13_PSP_Species_Support!CY56*(1-EXP(-S13_PSP_Species_Support!CZ56*18))^S13_PSP_Species_Support!DA56))^0.976,0))/1000/$G69*AA$108,0)</x:f>
        <x:v>114.37787969951108</x:v>
      </x:c>
      <x:c r="AB69" s="147" t="n">
        <x:f aca="0">IFERROR((IFERROR(S13_PSP_Species_Support!U56*0.0673*(S13_PSP_Species_Support!V56*(S13_PSP_Species_Support!W56*(1-EXP(-S13_PSP_Species_Support!X56*19))^S13_PSP_Species_Support!Y56)^2*(S13_PSP_Species_Support!Z56*(1-EXP(-S13_PSP_Species_Support!AA56*19))^S13_PSP_Species_Support!AB56))^0.976,0)+IFERROR(S13_PSP_Species_Support!AF56*0.0673*(S13_PSP_Species_Support!AG56*(S13_PSP_Species_Support!AH56*(1-EXP(-S13_PSP_Species_Support!AI56*19))^S13_PSP_Species_Support!AJ56)^2*(S13_PSP_Species_Support!AK56*(1-EXP(-S13_PSP_Species_Support!AL56*19))^S13_PSP_Species_Support!AM56))^0.976,0)+IFERROR(S13_PSP_Species_Support!AQ56*0.0673*(S13_PSP_Species_Support!AR56*(S13_PSP_Species_Support!AS56*(1-EXP(-S13_PSP_Species_Support!AT56*19))^S13_PSP_Species_Support!AU56)^2*(S13_PSP_Species_Support!AV56*(1-EXP(-S13_PSP_Species_Support!AW56*19))^S13_PSP_Species_Support!AX56))^0.976,0)+IFERROR(S13_PSP_Species_Support!BB56*0.0673*(S13_PSP_Species_Support!BC56*(S13_PSP_Species_Support!BD56*(1-EXP(-S13_PSP_Species_Support!BE56*19))^S13_PSP_Species_Support!BF56)^2*(S13_PSP_Species_Support!BG56*(1-EXP(-S13_PSP_Species_Support!BH56*19))^S13_PSP_Species_Support!BI56))^0.976,0)+IFERROR(S13_PSP_Species_Support!BM56*0.0673*(S13_PSP_Species_Support!BN56*(S13_PSP_Species_Support!BO56*(1-EXP(-S13_PSP_Species_Support!BP56*19))^S13_PSP_Species_Support!BQ56)^2*(S13_PSP_Species_Support!BR56*(1-EXP(-S13_PSP_Species_Support!BS56*19))^S13_PSP_Species_Support!BT56))^0.976,0)+IFERROR(S13_PSP_Species_Support!BX56*0.0673*(S13_PSP_Species_Support!BY56*(S13_PSP_Species_Support!BZ56*(1-EXP(-S13_PSP_Species_Support!CA56*19))^S13_PSP_Species_Support!CB56)^2*(S13_PSP_Species_Support!CC56*(1-EXP(-S13_PSP_Species_Support!CD56*19))^S13_PSP_Species_Support!CE56))^0.976,0)+IFERROR(S13_PSP_Species_Support!CI56*0.0673*(S13_PSP_Species_Support!CJ56*(S13_PSP_Species_Support!CK56*(1-EXP(-S13_PSP_Species_Support!CL56*19))^S13_PSP_Species_Support!CM56)^2*(S13_PSP_Species_Support!CN56*(1-EXP(-S13_PSP_Species_Support!CO56*19))^S13_PSP_Species_Support!CP56))^0.976,0)+IFERROR(S13_PSP_Species_Support!CT56*0.0673*(S13_PSP_Species_Support!CU56*(S13_PSP_Species_Support!CV56*(1-EXP(-S13_PSP_Species_Support!CW56*19))^S13_PSP_Species_Support!CX56)^2*(S13_PSP_Species_Support!CY56*(1-EXP(-S13_PSP_Species_Support!CZ56*19))^S13_PSP_Species_Support!DA56))^0.976,0))/1000/$G69*AB$108,0)</x:f>
        <x:v>122.69534405066355</x:v>
      </x:c>
      <x:c r="AC69" s="147" t="n">
        <x:f aca="0">IFERROR((IFERROR(S13_PSP_Species_Support!U56*0.0673*(S13_PSP_Species_Support!V56*(S13_PSP_Species_Support!W56*(1-EXP(-S13_PSP_Species_Support!X56*20))^S13_PSP_Species_Support!Y56)^2*(S13_PSP_Species_Support!Z56*(1-EXP(-S13_PSP_Species_Support!AA56*20))^S13_PSP_Species_Support!AB56))^0.976,0)+IFERROR(S13_PSP_Species_Support!AF56*0.0673*(S13_PSP_Species_Support!AG56*(S13_PSP_Species_Support!AH56*(1-EXP(-S13_PSP_Species_Support!AI56*20))^S13_PSP_Species_Support!AJ56)^2*(S13_PSP_Species_Support!AK56*(1-EXP(-S13_PSP_Species_Support!AL56*20))^S13_PSP_Species_Support!AM56))^0.976,0)+IFERROR(S13_PSP_Species_Support!AQ56*0.0673*(S13_PSP_Species_Support!AR56*(S13_PSP_Species_Support!AS56*(1-EXP(-S13_PSP_Species_Support!AT56*20))^S13_PSP_Species_Support!AU56)^2*(S13_PSP_Species_Support!AV56*(1-EXP(-S13_PSP_Species_Support!AW56*20))^S13_PSP_Species_Support!AX56))^0.976,0)+IFERROR(S13_PSP_Species_Support!BB56*0.0673*(S13_PSP_Species_Support!BC56*(S13_PSP_Species_Support!BD56*(1-EXP(-S13_PSP_Species_Support!BE56*20))^S13_PSP_Species_Support!BF56)^2*(S13_PSP_Species_Support!BG56*(1-EXP(-S13_PSP_Species_Support!BH56*20))^S13_PSP_Species_Support!BI56))^0.976,0)+IFERROR(S13_PSP_Species_Support!BM56*0.0673*(S13_PSP_Species_Support!BN56*(S13_PSP_Species_Support!BO56*(1-EXP(-S13_PSP_Species_Support!BP56*20))^S13_PSP_Species_Support!BQ56)^2*(S13_PSP_Species_Support!BR56*(1-EXP(-S13_PSP_Species_Support!BS56*20))^S13_PSP_Species_Support!BT56))^0.976,0)+IFERROR(S13_PSP_Species_Support!BX56*0.0673*(S13_PSP_Species_Support!BY56*(S13_PSP_Species_Support!BZ56*(1-EXP(-S13_PSP_Species_Support!CA56*20))^S13_PSP_Species_Support!CB56)^2*(S13_PSP_Species_Support!CC56*(1-EXP(-S13_PSP_Species_Support!CD56*20))^S13_PSP_Species_Support!CE56))^0.976,0)+IFERROR(S13_PSP_Species_Support!CI56*0.0673*(S13_PSP_Species_Support!CJ56*(S13_PSP_Species_Support!CK56*(1-EXP(-S13_PSP_Species_Support!CL56*20))^S13_PSP_Species_Support!CM56)^2*(S13_PSP_Species_Support!CN56*(1-EXP(-S13_PSP_Species_Support!CO56*20))^S13_PSP_Species_Support!CP56))^0.976,0)+IFERROR(S13_PSP_Species_Support!CT56*0.0673*(S13_PSP_Species_Support!CU56*(S13_PSP_Species_Support!CV56*(1-EXP(-S13_PSP_Species_Support!CW56*20))^S13_PSP_Species_Support!CX56)^2*(S13_PSP_Species_Support!CY56*(1-EXP(-S13_PSP_Species_Support!CZ56*20))^S13_PSP_Species_Support!DA56))^0.976,0))/1000/$G69*AC$108,0)</x:f>
        <x:v>130.53789461336345</x:v>
      </x:c>
      <x:c r="AD69" s="148" t="n">
        <x:f aca="0">IF(2020&lt;$F69,0,INDEX($I69:$AC69,1,2020-$F69+1))</x:f>
        <x:v>0</x:v>
      </x:c>
      <x:c r="AE69" s="148" t="n">
        <x:f aca="0">IF(2021&lt;$F69,0,INDEX($I69:$AC69,1,2021-$F69+1))</x:f>
        <x:v>0.014196407248889115</x:v>
      </x:c>
      <x:c r="AF69" s="148" t="n">
        <x:f aca="0">IF(2022&lt;$F69,0,INDEX($I69:$AC69,1,2022-$F69+1))</x:f>
        <x:v>0.21580881337694488</x:v>
      </x:c>
      <x:c r="AG69" s="148" t="n">
        <x:f aca="0">IF(2023&lt;$F69,0,INDEX($I69:$AC69,1,2023-$F69+1))</x:f>
        <x:v>0.9679543977824433</x:v>
      </x:c>
      <x:c r="AH69" s="148" t="n">
        <x:f aca="0">IF(2024&lt;$F69,0,INDEX($I69:$AC69,1,2024-$F69+1))</x:f>
        <x:v>2.6567548557364273</x:v>
      </x:c>
      <x:c r="AI69" s="148" t="n">
        <x:f aca="0">IF(2025&lt;$F69,0,INDEX($I69:$AC69,1,2025-$F69+1))</x:f>
        <x:v>5.552477185717205</x:v>
      </x:c>
      <x:c r="AJ69" s="148" t="n">
        <x:f aca="0">IF(2026&lt;$F69,0,INDEX($I69:$AC69,1,2026-$F69+1))</x:f>
        <x:v>9.78317821009137</x:v>
      </x:c>
      <x:c r="AK69" s="148" t="n">
        <x:f aca="0">IF(2027&lt;$F69,0,INDEX($I69:$AC69,1,2027-$F69+1))</x:f>
        <x:v>15.342995156047989</x:v>
      </x:c>
      <x:c r="AL69" s="148" t="n">
        <x:f aca="0">IF(2028&lt;$F69,0,INDEX($I69:$AC69,1,2028-$F69+1))</x:f>
        <x:v>22.122952625623615</x:v>
      </x:c>
      <x:c r="AM69" s="148" t="n">
        <x:f aca="0">IF(2029&lt;$F69,0,INDEX($I69:$AC69,1,2029-$F69+1))</x:f>
        <x:v>29.946259613265127</x:v>
      </x:c>
      <x:c r="AN69" s="148" t="n">
        <x:f aca="0">IF(2030&lt;$F69,0,INDEX($I69:$AC69,1,2030-$F69+1))</x:f>
        <x:v>38.6001049285646</x:v>
      </x:c>
      <x:c r="AO69" s="148" t="n">
        <x:f aca="0">IF(2031&lt;$F69,0,INDEX($I69:$AC69,1,2031-$F69+1))</x:f>
        <x:v>47.86079445717104</x:v>
      </x:c>
      <x:c r="AP69" s="148" t="n">
        <x:f aca="0">IF(2032&lt;$F69,0,INDEX($I69:$AC69,1,2032-$F69+1))</x:f>
        <x:v>57.511731410917555</x:v>
      </x:c>
      <x:c r="AQ69" s="148" t="n">
        <x:f aca="0">IF(2033&lt;$F69,0,INDEX($I69:$AC69,1,2033-$F69+1))</x:f>
        <x:v>67.35502099345659</x:v>
      </x:c>
      <x:c r="AR69" s="148" t="n">
        <x:f aca="0">IF(2034&lt;$F69,0,INDEX($I69:$AC69,1,2034-$F69+1))</x:f>
        <x:v>77.21796024938837</x:v>
      </x:c>
      <x:c r="AS69" s="148" t="n">
        <x:f aca="0">IF(2035&lt;$F69,0,INDEX($I69:$AC69,1,2035-$F69+1))</x:f>
        <x:v>86.95572616807434</x:v>
      </x:c>
      <x:c r="AT69" s="148" t="n">
        <x:f aca="0">IF(2036&lt;$F69,0,INDEX($I69:$AC69,1,2036-$F69+1))</x:f>
        <x:v>96.45142652899331</x:v>
      </x:c>
      <x:c r="AU69" s="148" t="n">
        <x:f aca="0">IF(2037&lt;$F69,0,INDEX($I69:$AC69,1,2037-$F69+1))</x:f>
        <x:v>105.61445677734159</x:v>
      </x:c>
      <x:c r="AV69" s="148" t="n">
        <x:f aca="0">IF(2038&lt;$F69,0,INDEX($I69:$AC69,1,2038-$F69+1))</x:f>
        <x:v>114.37787969951108</x:v>
      </x:c>
      <x:c r="AW69" s="148" t="n">
        <x:f aca="0">IF(2039&lt;$F69,0,INDEX($I69:$AC69,1,2039-$F69+1))</x:f>
        <x:v>122.69534405066355</x:v>
      </x:c>
      <x:c r="AX69" s="148" t="n">
        <x:f aca="0">IF(2040&lt;$F69,0,INDEX($I69:$AC69,1,2040-$F69+1))</x:f>
        <x:v>130.53789461336345</x:v>
      </x:c>
      <x:c r="AY69" s="1" t="str">
        <x:f aca="0">LEFT($C69,FIND("@",SUBSTITUTE($C69,"|","@",2))-1)</x:f>
        <x:v>Timber Plantation|Medium</x:v>
      </x:c>
      <x:c r="AZ69" s="1" t="str">
        <x:f aca="0">LEFT($C69,FIND("|",$C69)-1)</x:f>
        <x:v>Timber Plantation</x:v>
      </x:c>
      <x:c r="BA69" s="149" t="n">
        <x:f aca="0">I69*I69</x:f>
        <x:v>0</x:v>
      </x:c>
      <x:c r="BB69" s="149" t="n">
        <x:f aca="0">J69*J69</x:f>
        <x:v>0.00020153797877631142</x:v>
      </x:c>
      <x:c r="BC69" s="149" t="n">
        <x:f aca="0">K69*K69</x:f>
        <x:v>0.046573443931165026</x:v>
      </x:c>
      <x:c r="BD69" s="149" t="n">
        <x:f aca="0">L69*L69</x:f>
        <x:v>0.9369357161863725</x:v>
      </x:c>
      <x:c r="BE69" s="149" t="n">
        <x:f aca="0">M69*M69</x:f>
        <x:v>7.058346363479084</x:v>
      </x:c>
      <x:c r="BF69" s="149" t="n">
        <x:f aca="0">N69*N69</x:f>
        <x:v>30.830002897910052</x:v>
      </x:c>
      <x:c r="BG69" s="149" t="n">
        <x:f aca="0">O69*O69</x:f>
        <x:v>95.71057589040657</x:v>
      </x:c>
      <x:c r="BH69" s="149" t="n">
        <x:f aca="0">P69*P69</x:f>
        <x:v>235.40750035851204</x:v>
      </x:c>
      <x:c r="BI69" s="149" t="n">
        <x:f aca="0">Q69*Q69</x:f>
        <x:v>489.4250328755868</x:v>
      </x:c>
      <x:c r="BJ69" s="149" t="n">
        <x:f aca="0">R69*R69</x:f>
        <x:v>896.778464825074</x:v>
      </x:c>
      <x:c r="BK69" s="149" t="n">
        <x:f aca="0">S69*S69</x:f>
        <x:v>1489.968100496197</x:v>
      </x:c>
      <x:c r="BL69" s="149" t="n">
        <x:f aca="0">T69*T69</x:f>
        <x:v>2290.655646071574</x:v>
      </x:c>
      <x:c r="BM69" s="149" t="n">
        <x:f aca="0">U69*U69</x:f>
        <x:v>3307.599249881521</x:v>
      </x:c>
      <x:c r="BN69" s="149" t="n">
        <x:f aca="0">V69*V69</x:f>
        <x:v>4536.698853028978</x:v>
      </x:c>
      <x:c r="BO69" s="149" t="n">
        <x:f aca="0">W69*W69</x:f>
        <x:v>5962.6133850761225</x:v>
      </x:c>
      <x:c r="BP69" s="149" t="n">
        <x:f aca="0">X69*X69</x:f>
        <x:v>7561.298313417128</x:v>
      </x:c>
      <x:c r="BQ69" s="149" t="n">
        <x:f aca="0">Y69*Y69</x:f>
        <x:v>9302.877679477795</x:v>
      </x:c>
      <x:c r="BR69" s="149" t="n">
        <x:f aca="0">Z69*Z69</x:f>
        <x:v>11154.413480372954</x:v>
      </x:c>
      <x:c r="BS69" s="149" t="n">
        <x:f aca="0">AA69*AA69</x:f>
        <x:v>13082.299364555829</x:v>
      </x:c>
      <x:c r="BT69" s="149" t="n">
        <x:f aca="0">AB69*AB69</x:f>
        <x:v>15054.1474517107</x:v>
      </x:c>
      <x:c r="BU69" s="149" t="n">
        <x:f aca="0">AC69*AC69</x:f>
        <x:v>17040.141930089583</x:v>
      </x:c>
    </x:row>
    <x:row r="70" ht="15" hidden="0" customHeight="1">
      <x:c r="A70" s="1" t="str">
        <x:f aca="0">S13_PSP_Species_Support!A57</x:f>
        <x:v>PSP-TP-016</x:v>
      </x:c>
      <x:c r="B70" s="1" t="n">
        <x:f aca="0">57</x:f>
        <x:v>57</x:v>
      </x:c>
      <x:c r="C70" s="1" t="str">
        <x:f aca="0">S13_PSP_Species_Support!I57</x:f>
        <x:v>Timber Plantation|Medium|2020</x:v>
      </x:c>
      <x:c r="D70" s="1" t="str">
        <x:f aca="0">S13_PSP_Species_Support!C57</x:f>
        <x:v>Timber Plantation</x:v>
      </x:c>
      <x:c r="E70" s="1" t="str">
        <x:f aca="0">S13_PSP_Species_Support!D57</x:f>
        <x:v>Medium</x:v>
      </x:c>
      <x:c r="F70" s="1" t="n">
        <x:f aca="0">S13_PSP_Species_Support!E57</x:f>
        <x:v>2020</x:v>
      </x:c>
      <x:c r="G70" s="645" t="n">
        <x:f aca="0">'S13_PSP_Species_Support'!DJ57</x:f>
        <x:v>0.09</x:v>
      </x:c>
      <x:c r="H70" s="714" t="n">
        <x:f aca="0">'S13_PSP_Species_Support'!DK57</x:f>
        <x:v>67.3211781206171</x:v>
      </x:c>
      <x:c r="I70" s="147" t="n">
        <x:f aca="0">IFERROR((IFERROR(S13_PSP_Species_Support!U57*0.0673*(S13_PSP_Species_Support!V57*(S13_PSP_Species_Support!W57*(1-EXP(-S13_PSP_Species_Support!X57*0))^S13_PSP_Species_Support!Y57)^2*(S13_PSP_Species_Support!Z57*(1-EXP(-S13_PSP_Species_Support!AA57*0))^S13_PSP_Species_Support!AB57))^0.976,0)+IFERROR(S13_PSP_Species_Support!AF57*0.0673*(S13_PSP_Species_Support!AG57*(S13_PSP_Species_Support!AH57*(1-EXP(-S13_PSP_Species_Support!AI57*0))^S13_PSP_Species_Support!AJ57)^2*(S13_PSP_Species_Support!AK57*(1-EXP(-S13_PSP_Species_Support!AL57*0))^S13_PSP_Species_Support!AM57))^0.976,0)+IFERROR(S13_PSP_Species_Support!AQ57*0.0673*(S13_PSP_Species_Support!AR57*(S13_PSP_Species_Support!AS57*(1-EXP(-S13_PSP_Species_Support!AT57*0))^S13_PSP_Species_Support!AU57)^2*(S13_PSP_Species_Support!AV57*(1-EXP(-S13_PSP_Species_Support!AW57*0))^S13_PSP_Species_Support!AX57))^0.976,0)+IFERROR(S13_PSP_Species_Support!BB57*0.0673*(S13_PSP_Species_Support!BC57*(S13_PSP_Species_Support!BD57*(1-EXP(-S13_PSP_Species_Support!BE57*0))^S13_PSP_Species_Support!BF57)^2*(S13_PSP_Species_Support!BG57*(1-EXP(-S13_PSP_Species_Support!BH57*0))^S13_PSP_Species_Support!BI57))^0.976,0)+IFERROR(S13_PSP_Species_Support!BM57*0.0673*(S13_PSP_Species_Support!BN57*(S13_PSP_Species_Support!BO57*(1-EXP(-S13_PSP_Species_Support!BP57*0))^S13_PSP_Species_Support!BQ57)^2*(S13_PSP_Species_Support!BR57*(1-EXP(-S13_PSP_Species_Support!BS57*0))^S13_PSP_Species_Support!BT57))^0.976,0)+IFERROR(S13_PSP_Species_Support!BX57*0.0673*(S13_PSP_Species_Support!BY57*(S13_PSP_Species_Support!BZ57*(1-EXP(-S13_PSP_Species_Support!CA57*0))^S13_PSP_Species_Support!CB57)^2*(S13_PSP_Species_Support!CC57*(1-EXP(-S13_PSP_Species_Support!CD57*0))^S13_PSP_Species_Support!CE57))^0.976,0)+IFERROR(S13_PSP_Species_Support!CI57*0.0673*(S13_PSP_Species_Support!CJ57*(S13_PSP_Species_Support!CK57*(1-EXP(-S13_PSP_Species_Support!CL57*0))^S13_PSP_Species_Support!CM57)^2*(S13_PSP_Species_Support!CN57*(1-EXP(-S13_PSP_Species_Support!CO57*0))^S13_PSP_Species_Support!CP57))^0.976,0)+IFERROR(S13_PSP_Species_Support!CT57*0.0673*(S13_PSP_Species_Support!CU57*(S13_PSP_Species_Support!CV57*(1-EXP(-S13_PSP_Species_Support!CW57*0))^S13_PSP_Species_Support!CX57)^2*(S13_PSP_Species_Support!CY57*(1-EXP(-S13_PSP_Species_Support!CZ57*0))^S13_PSP_Species_Support!DA57))^0.976,0))/1000/$G70*I$108,0)</x:f>
        <x:v>0</x:v>
      </x:c>
      <x:c r="J70" s="147" t="n">
        <x:f aca="0">IFERROR((IFERROR(S13_PSP_Species_Support!U57*0.0673*(S13_PSP_Species_Support!V57*(S13_PSP_Species_Support!W57*(1-EXP(-S13_PSP_Species_Support!X57*1))^S13_PSP_Species_Support!Y57)^2*(S13_PSP_Species_Support!Z57*(1-EXP(-S13_PSP_Species_Support!AA57*1))^S13_PSP_Species_Support!AB57))^0.976,0)+IFERROR(S13_PSP_Species_Support!AF57*0.0673*(S13_PSP_Species_Support!AG57*(S13_PSP_Species_Support!AH57*(1-EXP(-S13_PSP_Species_Support!AI57*1))^S13_PSP_Species_Support!AJ57)^2*(S13_PSP_Species_Support!AK57*(1-EXP(-S13_PSP_Species_Support!AL57*1))^S13_PSP_Species_Support!AM57))^0.976,0)+IFERROR(S13_PSP_Species_Support!AQ57*0.0673*(S13_PSP_Species_Support!AR57*(S13_PSP_Species_Support!AS57*(1-EXP(-S13_PSP_Species_Support!AT57*1))^S13_PSP_Species_Support!AU57)^2*(S13_PSP_Species_Support!AV57*(1-EXP(-S13_PSP_Species_Support!AW57*1))^S13_PSP_Species_Support!AX57))^0.976,0)+IFERROR(S13_PSP_Species_Support!BB57*0.0673*(S13_PSP_Species_Support!BC57*(S13_PSP_Species_Support!BD57*(1-EXP(-S13_PSP_Species_Support!BE57*1))^S13_PSP_Species_Support!BF57)^2*(S13_PSP_Species_Support!BG57*(1-EXP(-S13_PSP_Species_Support!BH57*1))^S13_PSP_Species_Support!BI57))^0.976,0)+IFERROR(S13_PSP_Species_Support!BM57*0.0673*(S13_PSP_Species_Support!BN57*(S13_PSP_Species_Support!BO57*(1-EXP(-S13_PSP_Species_Support!BP57*1))^S13_PSP_Species_Support!BQ57)^2*(S13_PSP_Species_Support!BR57*(1-EXP(-S13_PSP_Species_Support!BS57*1))^S13_PSP_Species_Support!BT57))^0.976,0)+IFERROR(S13_PSP_Species_Support!BX57*0.0673*(S13_PSP_Species_Support!BY57*(S13_PSP_Species_Support!BZ57*(1-EXP(-S13_PSP_Species_Support!CA57*1))^S13_PSP_Species_Support!CB57)^2*(S13_PSP_Species_Support!CC57*(1-EXP(-S13_PSP_Species_Support!CD57*1))^S13_PSP_Species_Support!CE57))^0.976,0)+IFERROR(S13_PSP_Species_Support!CI57*0.0673*(S13_PSP_Species_Support!CJ57*(S13_PSP_Species_Support!CK57*(1-EXP(-S13_PSP_Species_Support!CL57*1))^S13_PSP_Species_Support!CM57)^2*(S13_PSP_Species_Support!CN57*(1-EXP(-S13_PSP_Species_Support!CO57*1))^S13_PSP_Species_Support!CP57))^0.976,0)+IFERROR(S13_PSP_Species_Support!CT57*0.0673*(S13_PSP_Species_Support!CU57*(S13_PSP_Species_Support!CV57*(1-EXP(-S13_PSP_Species_Support!CW57*1))^S13_PSP_Species_Support!CX57)^2*(S13_PSP_Species_Support!CY57*(1-EXP(-S13_PSP_Species_Support!CZ57*1))^S13_PSP_Species_Support!DA57))^0.976,0))/1000/$G70*J$108,0)</x:f>
        <x:v>0.2773132570316712</x:v>
      </x:c>
      <x:c r="K70" s="147" t="n">
        <x:f aca="0">IFERROR((IFERROR(S13_PSP_Species_Support!U57*0.0673*(S13_PSP_Species_Support!V57*(S13_PSP_Species_Support!W57*(1-EXP(-S13_PSP_Species_Support!X57*2))^S13_PSP_Species_Support!Y57)^2*(S13_PSP_Species_Support!Z57*(1-EXP(-S13_PSP_Species_Support!AA57*2))^S13_PSP_Species_Support!AB57))^0.976,0)+IFERROR(S13_PSP_Species_Support!AF57*0.0673*(S13_PSP_Species_Support!AG57*(S13_PSP_Species_Support!AH57*(1-EXP(-S13_PSP_Species_Support!AI57*2))^S13_PSP_Species_Support!AJ57)^2*(S13_PSP_Species_Support!AK57*(1-EXP(-S13_PSP_Species_Support!AL57*2))^S13_PSP_Species_Support!AM57))^0.976,0)+IFERROR(S13_PSP_Species_Support!AQ57*0.0673*(S13_PSP_Species_Support!AR57*(S13_PSP_Species_Support!AS57*(1-EXP(-S13_PSP_Species_Support!AT57*2))^S13_PSP_Species_Support!AU57)^2*(S13_PSP_Species_Support!AV57*(1-EXP(-S13_PSP_Species_Support!AW57*2))^S13_PSP_Species_Support!AX57))^0.976,0)+IFERROR(S13_PSP_Species_Support!BB57*0.0673*(S13_PSP_Species_Support!BC57*(S13_PSP_Species_Support!BD57*(1-EXP(-S13_PSP_Species_Support!BE57*2))^S13_PSP_Species_Support!BF57)^2*(S13_PSP_Species_Support!BG57*(1-EXP(-S13_PSP_Species_Support!BH57*2))^S13_PSP_Species_Support!BI57))^0.976,0)+IFERROR(S13_PSP_Species_Support!BM57*0.0673*(S13_PSP_Species_Support!BN57*(S13_PSP_Species_Support!BO57*(1-EXP(-S13_PSP_Species_Support!BP57*2))^S13_PSP_Species_Support!BQ57)^2*(S13_PSP_Species_Support!BR57*(1-EXP(-S13_PSP_Species_Support!BS57*2))^S13_PSP_Species_Support!BT57))^0.976,0)+IFERROR(S13_PSP_Species_Support!BX57*0.0673*(S13_PSP_Species_Support!BY57*(S13_PSP_Species_Support!BZ57*(1-EXP(-S13_PSP_Species_Support!CA57*2))^S13_PSP_Species_Support!CB57)^2*(S13_PSP_Species_Support!CC57*(1-EXP(-S13_PSP_Species_Support!CD57*2))^S13_PSP_Species_Support!CE57))^0.976,0)+IFERROR(S13_PSP_Species_Support!CI57*0.0673*(S13_PSP_Species_Support!CJ57*(S13_PSP_Species_Support!CK57*(1-EXP(-S13_PSP_Species_Support!CL57*2))^S13_PSP_Species_Support!CM57)^2*(S13_PSP_Species_Support!CN57*(1-EXP(-S13_PSP_Species_Support!CO57*2))^S13_PSP_Species_Support!CP57))^0.976,0)+IFERROR(S13_PSP_Species_Support!CT57*0.0673*(S13_PSP_Species_Support!CU57*(S13_PSP_Species_Support!CV57*(1-EXP(-S13_PSP_Species_Support!CW57*2))^S13_PSP_Species_Support!CX57)^2*(S13_PSP_Species_Support!CY57*(1-EXP(-S13_PSP_Species_Support!CZ57*2))^S13_PSP_Species_Support!DA57))^0.976,0))/1000/$G70*K$108,0)</x:f>
        <x:v>3.3880034036148454</x:v>
      </x:c>
      <x:c r="L70" s="147" t="n">
        <x:f aca="0">IFERROR((IFERROR(S13_PSP_Species_Support!U57*0.0673*(S13_PSP_Species_Support!V57*(S13_PSP_Species_Support!W57*(1-EXP(-S13_PSP_Species_Support!X57*3))^S13_PSP_Species_Support!Y57)^2*(S13_PSP_Species_Support!Z57*(1-EXP(-S13_PSP_Species_Support!AA57*3))^S13_PSP_Species_Support!AB57))^0.976,0)+IFERROR(S13_PSP_Species_Support!AF57*0.0673*(S13_PSP_Species_Support!AG57*(S13_PSP_Species_Support!AH57*(1-EXP(-S13_PSP_Species_Support!AI57*3))^S13_PSP_Species_Support!AJ57)^2*(S13_PSP_Species_Support!AK57*(1-EXP(-S13_PSP_Species_Support!AL57*3))^S13_PSP_Species_Support!AM57))^0.976,0)+IFERROR(S13_PSP_Species_Support!AQ57*0.0673*(S13_PSP_Species_Support!AR57*(S13_PSP_Species_Support!AS57*(1-EXP(-S13_PSP_Species_Support!AT57*3))^S13_PSP_Species_Support!AU57)^2*(S13_PSP_Species_Support!AV57*(1-EXP(-S13_PSP_Species_Support!AW57*3))^S13_PSP_Species_Support!AX57))^0.976,0)+IFERROR(S13_PSP_Species_Support!BB57*0.0673*(S13_PSP_Species_Support!BC57*(S13_PSP_Species_Support!BD57*(1-EXP(-S13_PSP_Species_Support!BE57*3))^S13_PSP_Species_Support!BF57)^2*(S13_PSP_Species_Support!BG57*(1-EXP(-S13_PSP_Species_Support!BH57*3))^S13_PSP_Species_Support!BI57))^0.976,0)+IFERROR(S13_PSP_Species_Support!BM57*0.0673*(S13_PSP_Species_Support!BN57*(S13_PSP_Species_Support!BO57*(1-EXP(-S13_PSP_Species_Support!BP57*3))^S13_PSP_Species_Support!BQ57)^2*(S13_PSP_Species_Support!BR57*(1-EXP(-S13_PSP_Species_Support!BS57*3))^S13_PSP_Species_Support!BT57))^0.976,0)+IFERROR(S13_PSP_Species_Support!BX57*0.0673*(S13_PSP_Species_Support!BY57*(S13_PSP_Species_Support!BZ57*(1-EXP(-S13_PSP_Species_Support!CA57*3))^S13_PSP_Species_Support!CB57)^2*(S13_PSP_Species_Support!CC57*(1-EXP(-S13_PSP_Species_Support!CD57*3))^S13_PSP_Species_Support!CE57))^0.976,0)+IFERROR(S13_PSP_Species_Support!CI57*0.0673*(S13_PSP_Species_Support!CJ57*(S13_PSP_Species_Support!CK57*(1-EXP(-S13_PSP_Species_Support!CL57*3))^S13_PSP_Species_Support!CM57)^2*(S13_PSP_Species_Support!CN57*(1-EXP(-S13_PSP_Species_Support!CO57*3))^S13_PSP_Species_Support!CP57))^0.976,0)+IFERROR(S13_PSP_Species_Support!CT57*0.0673*(S13_PSP_Species_Support!CU57*(S13_PSP_Species_Support!CV57*(1-EXP(-S13_PSP_Species_Support!CW57*3))^S13_PSP_Species_Support!CX57)^2*(S13_PSP_Species_Support!CY57*(1-EXP(-S13_PSP_Species_Support!CZ57*3))^S13_PSP_Species_Support!DA57))^0.976,0))/1000/$G70*L$108,0)</x:f>
        <x:v>13.299019599739681</x:v>
      </x:c>
      <x:c r="M70" s="147" t="n">
        <x:f aca="0">IFERROR((IFERROR(S13_PSP_Species_Support!U57*0.0673*(S13_PSP_Species_Support!V57*(S13_PSP_Species_Support!W57*(1-EXP(-S13_PSP_Species_Support!X57*4))^S13_PSP_Species_Support!Y57)^2*(S13_PSP_Species_Support!Z57*(1-EXP(-S13_PSP_Species_Support!AA57*4))^S13_PSP_Species_Support!AB57))^0.976,0)+IFERROR(S13_PSP_Species_Support!AF57*0.0673*(S13_PSP_Species_Support!AG57*(S13_PSP_Species_Support!AH57*(1-EXP(-S13_PSP_Species_Support!AI57*4))^S13_PSP_Species_Support!AJ57)^2*(S13_PSP_Species_Support!AK57*(1-EXP(-S13_PSP_Species_Support!AL57*4))^S13_PSP_Species_Support!AM57))^0.976,0)+IFERROR(S13_PSP_Species_Support!AQ57*0.0673*(S13_PSP_Species_Support!AR57*(S13_PSP_Species_Support!AS57*(1-EXP(-S13_PSP_Species_Support!AT57*4))^S13_PSP_Species_Support!AU57)^2*(S13_PSP_Species_Support!AV57*(1-EXP(-S13_PSP_Species_Support!AW57*4))^S13_PSP_Species_Support!AX57))^0.976,0)+IFERROR(S13_PSP_Species_Support!BB57*0.0673*(S13_PSP_Species_Support!BC57*(S13_PSP_Species_Support!BD57*(1-EXP(-S13_PSP_Species_Support!BE57*4))^S13_PSP_Species_Support!BF57)^2*(S13_PSP_Species_Support!BG57*(1-EXP(-S13_PSP_Species_Support!BH57*4))^S13_PSP_Species_Support!BI57))^0.976,0)+IFERROR(S13_PSP_Species_Support!BM57*0.0673*(S13_PSP_Species_Support!BN57*(S13_PSP_Species_Support!BO57*(1-EXP(-S13_PSP_Species_Support!BP57*4))^S13_PSP_Species_Support!BQ57)^2*(S13_PSP_Species_Support!BR57*(1-EXP(-S13_PSP_Species_Support!BS57*4))^S13_PSP_Species_Support!BT57))^0.976,0)+IFERROR(S13_PSP_Species_Support!BX57*0.0673*(S13_PSP_Species_Support!BY57*(S13_PSP_Species_Support!BZ57*(1-EXP(-S13_PSP_Species_Support!CA57*4))^S13_PSP_Species_Support!CB57)^2*(S13_PSP_Species_Support!CC57*(1-EXP(-S13_PSP_Species_Support!CD57*4))^S13_PSP_Species_Support!CE57))^0.976,0)+IFERROR(S13_PSP_Species_Support!CI57*0.0673*(S13_PSP_Species_Support!CJ57*(S13_PSP_Species_Support!CK57*(1-EXP(-S13_PSP_Species_Support!CL57*4))^S13_PSP_Species_Support!CM57)^2*(S13_PSP_Species_Support!CN57*(1-EXP(-S13_PSP_Species_Support!CO57*4))^S13_PSP_Species_Support!CP57))^0.976,0)+IFERROR(S13_PSP_Species_Support!CT57*0.0673*(S13_PSP_Species_Support!CU57*(S13_PSP_Species_Support!CV57*(1-EXP(-S13_PSP_Species_Support!CW57*4))^S13_PSP_Species_Support!CX57)^2*(S13_PSP_Species_Support!CY57*(1-EXP(-S13_PSP_Species_Support!CZ57*4))^S13_PSP_Species_Support!DA57))^0.976,0))/1000/$G70*M$108,0)</x:f>
        <x:v>33.098306320967595</x:v>
      </x:c>
      <x:c r="N70" s="147" t="n">
        <x:f aca="0">IFERROR((IFERROR(S13_PSP_Species_Support!U57*0.0673*(S13_PSP_Species_Support!V57*(S13_PSP_Species_Support!W57*(1-EXP(-S13_PSP_Species_Support!X57*5))^S13_PSP_Species_Support!Y57)^2*(S13_PSP_Species_Support!Z57*(1-EXP(-S13_PSP_Species_Support!AA57*5))^S13_PSP_Species_Support!AB57))^0.976,0)+IFERROR(S13_PSP_Species_Support!AF57*0.0673*(S13_PSP_Species_Support!AG57*(S13_PSP_Species_Support!AH57*(1-EXP(-S13_PSP_Species_Support!AI57*5))^S13_PSP_Species_Support!AJ57)^2*(S13_PSP_Species_Support!AK57*(1-EXP(-S13_PSP_Species_Support!AL57*5))^S13_PSP_Species_Support!AM57))^0.976,0)+IFERROR(S13_PSP_Species_Support!AQ57*0.0673*(S13_PSP_Species_Support!AR57*(S13_PSP_Species_Support!AS57*(1-EXP(-S13_PSP_Species_Support!AT57*5))^S13_PSP_Species_Support!AU57)^2*(S13_PSP_Species_Support!AV57*(1-EXP(-S13_PSP_Species_Support!AW57*5))^S13_PSP_Species_Support!AX57))^0.976,0)+IFERROR(S13_PSP_Species_Support!BB57*0.0673*(S13_PSP_Species_Support!BC57*(S13_PSP_Species_Support!BD57*(1-EXP(-S13_PSP_Species_Support!BE57*5))^S13_PSP_Species_Support!BF57)^2*(S13_PSP_Species_Support!BG57*(1-EXP(-S13_PSP_Species_Support!BH57*5))^S13_PSP_Species_Support!BI57))^0.976,0)+IFERROR(S13_PSP_Species_Support!BM57*0.0673*(S13_PSP_Species_Support!BN57*(S13_PSP_Species_Support!BO57*(1-EXP(-S13_PSP_Species_Support!BP57*5))^S13_PSP_Species_Support!BQ57)^2*(S13_PSP_Species_Support!BR57*(1-EXP(-S13_PSP_Species_Support!BS57*5))^S13_PSP_Species_Support!BT57))^0.976,0)+IFERROR(S13_PSP_Species_Support!BX57*0.0673*(S13_PSP_Species_Support!BY57*(S13_PSP_Species_Support!BZ57*(1-EXP(-S13_PSP_Species_Support!CA57*5))^S13_PSP_Species_Support!CB57)^2*(S13_PSP_Species_Support!CC57*(1-EXP(-S13_PSP_Species_Support!CD57*5))^S13_PSP_Species_Support!CE57))^0.976,0)+IFERROR(S13_PSP_Species_Support!CI57*0.0673*(S13_PSP_Species_Support!CJ57*(S13_PSP_Species_Support!CK57*(1-EXP(-S13_PSP_Species_Support!CL57*5))^S13_PSP_Species_Support!CM57)^2*(S13_PSP_Species_Support!CN57*(1-EXP(-S13_PSP_Species_Support!CO57*5))^S13_PSP_Species_Support!CP57))^0.976,0)+IFERROR(S13_PSP_Species_Support!CT57*0.0673*(S13_PSP_Species_Support!CU57*(S13_PSP_Species_Support!CV57*(1-EXP(-S13_PSP_Species_Support!CW57*5))^S13_PSP_Species_Support!CX57)^2*(S13_PSP_Species_Support!CY57*(1-EXP(-S13_PSP_Species_Support!CZ57*5))^S13_PSP_Species_Support!DA57))^0.976,0))/1000/$G70*N$108,0)</x:f>
        <x:v>63.98153243573837</x:v>
      </x:c>
      <x:c r="O70" s="147" t="n">
        <x:f aca="0">IFERROR((IFERROR(S13_PSP_Species_Support!U57*0.0673*(S13_PSP_Species_Support!V57*(S13_PSP_Species_Support!W57*(1-EXP(-S13_PSP_Species_Support!X57*6))^S13_PSP_Species_Support!Y57)^2*(S13_PSP_Species_Support!Z57*(1-EXP(-S13_PSP_Species_Support!AA57*6))^S13_PSP_Species_Support!AB57))^0.976,0)+IFERROR(S13_PSP_Species_Support!AF57*0.0673*(S13_PSP_Species_Support!AG57*(S13_PSP_Species_Support!AH57*(1-EXP(-S13_PSP_Species_Support!AI57*6))^S13_PSP_Species_Support!AJ57)^2*(S13_PSP_Species_Support!AK57*(1-EXP(-S13_PSP_Species_Support!AL57*6))^S13_PSP_Species_Support!AM57))^0.976,0)+IFERROR(S13_PSP_Species_Support!AQ57*0.0673*(S13_PSP_Species_Support!AR57*(S13_PSP_Species_Support!AS57*(1-EXP(-S13_PSP_Species_Support!AT57*6))^S13_PSP_Species_Support!AU57)^2*(S13_PSP_Species_Support!AV57*(1-EXP(-S13_PSP_Species_Support!AW57*6))^S13_PSP_Species_Support!AX57))^0.976,0)+IFERROR(S13_PSP_Species_Support!BB57*0.0673*(S13_PSP_Species_Support!BC57*(S13_PSP_Species_Support!BD57*(1-EXP(-S13_PSP_Species_Support!BE57*6))^S13_PSP_Species_Support!BF57)^2*(S13_PSP_Species_Support!BG57*(1-EXP(-S13_PSP_Species_Support!BH57*6))^S13_PSP_Species_Support!BI57))^0.976,0)+IFERROR(S13_PSP_Species_Support!BM57*0.0673*(S13_PSP_Species_Support!BN57*(S13_PSP_Species_Support!BO57*(1-EXP(-S13_PSP_Species_Support!BP57*6))^S13_PSP_Species_Support!BQ57)^2*(S13_PSP_Species_Support!BR57*(1-EXP(-S13_PSP_Species_Support!BS57*6))^S13_PSP_Species_Support!BT57))^0.976,0)+IFERROR(S13_PSP_Species_Support!BX57*0.0673*(S13_PSP_Species_Support!BY57*(S13_PSP_Species_Support!BZ57*(1-EXP(-S13_PSP_Species_Support!CA57*6))^S13_PSP_Species_Support!CB57)^2*(S13_PSP_Species_Support!CC57*(1-EXP(-S13_PSP_Species_Support!CD57*6))^S13_PSP_Species_Support!CE57))^0.976,0)+IFERROR(S13_PSP_Species_Support!CI57*0.0673*(S13_PSP_Species_Support!CJ57*(S13_PSP_Species_Support!CK57*(1-EXP(-S13_PSP_Species_Support!CL57*6))^S13_PSP_Species_Support!CM57)^2*(S13_PSP_Species_Support!CN57*(1-EXP(-S13_PSP_Species_Support!CO57*6))^S13_PSP_Species_Support!CP57))^0.976,0)+IFERROR(S13_PSP_Species_Support!CT57*0.0673*(S13_PSP_Species_Support!CU57*(S13_PSP_Species_Support!CV57*(1-EXP(-S13_PSP_Species_Support!CW57*6))^S13_PSP_Species_Support!CX57)^2*(S13_PSP_Species_Support!CY57*(1-EXP(-S13_PSP_Species_Support!CZ57*6))^S13_PSP_Species_Support!DA57))^0.976,0))/1000/$G70*O$108,0)</x:f>
        <x:v>105.62420256801592</x:v>
      </x:c>
      <x:c r="P70" s="147" t="n">
        <x:f aca="0">IFERROR((IFERROR(S13_PSP_Species_Support!U57*0.0673*(S13_PSP_Species_Support!V57*(S13_PSP_Species_Support!W57*(1-EXP(-S13_PSP_Species_Support!X57*7))^S13_PSP_Species_Support!Y57)^2*(S13_PSP_Species_Support!Z57*(1-EXP(-S13_PSP_Species_Support!AA57*7))^S13_PSP_Species_Support!AB57))^0.976,0)+IFERROR(S13_PSP_Species_Support!AF57*0.0673*(S13_PSP_Species_Support!AG57*(S13_PSP_Species_Support!AH57*(1-EXP(-S13_PSP_Species_Support!AI57*7))^S13_PSP_Species_Support!AJ57)^2*(S13_PSP_Species_Support!AK57*(1-EXP(-S13_PSP_Species_Support!AL57*7))^S13_PSP_Species_Support!AM57))^0.976,0)+IFERROR(S13_PSP_Species_Support!AQ57*0.0673*(S13_PSP_Species_Support!AR57*(S13_PSP_Species_Support!AS57*(1-EXP(-S13_PSP_Species_Support!AT57*7))^S13_PSP_Species_Support!AU57)^2*(S13_PSP_Species_Support!AV57*(1-EXP(-S13_PSP_Species_Support!AW57*7))^S13_PSP_Species_Support!AX57))^0.976,0)+IFERROR(S13_PSP_Species_Support!BB57*0.0673*(S13_PSP_Species_Support!BC57*(S13_PSP_Species_Support!BD57*(1-EXP(-S13_PSP_Species_Support!BE57*7))^S13_PSP_Species_Support!BF57)^2*(S13_PSP_Species_Support!BG57*(1-EXP(-S13_PSP_Species_Support!BH57*7))^S13_PSP_Species_Support!BI57))^0.976,0)+IFERROR(S13_PSP_Species_Support!BM57*0.0673*(S13_PSP_Species_Support!BN57*(S13_PSP_Species_Support!BO57*(1-EXP(-S13_PSP_Species_Support!BP57*7))^S13_PSP_Species_Support!BQ57)^2*(S13_PSP_Species_Support!BR57*(1-EXP(-S13_PSP_Species_Support!BS57*7))^S13_PSP_Species_Support!BT57))^0.976,0)+IFERROR(S13_PSP_Species_Support!BX57*0.0673*(S13_PSP_Species_Support!BY57*(S13_PSP_Species_Support!BZ57*(1-EXP(-S13_PSP_Species_Support!CA57*7))^S13_PSP_Species_Support!CB57)^2*(S13_PSP_Species_Support!CC57*(1-EXP(-S13_PSP_Species_Support!CD57*7))^S13_PSP_Species_Support!CE57))^0.976,0)+IFERROR(S13_PSP_Species_Support!CI57*0.0673*(S13_PSP_Species_Support!CJ57*(S13_PSP_Species_Support!CK57*(1-EXP(-S13_PSP_Species_Support!CL57*7))^S13_PSP_Species_Support!CM57)^2*(S13_PSP_Species_Support!CN57*(1-EXP(-S13_PSP_Species_Support!CO57*7))^S13_PSP_Species_Support!CP57))^0.976,0)+IFERROR(S13_PSP_Species_Support!CT57*0.0673*(S13_PSP_Species_Support!CU57*(S13_PSP_Species_Support!CV57*(1-EXP(-S13_PSP_Species_Support!CW57*7))^S13_PSP_Species_Support!CX57)^2*(S13_PSP_Species_Support!CY57*(1-EXP(-S13_PSP_Species_Support!CZ57*7))^S13_PSP_Species_Support!DA57))^0.976,0))/1000/$G70*P$108,0)</x:f>
        <x:v>156.63731387105696</x:v>
      </x:c>
      <x:c r="Q70" s="147" t="n">
        <x:f aca="0">IFERROR((IFERROR(S13_PSP_Species_Support!U57*0.0673*(S13_PSP_Species_Support!V57*(S13_PSP_Species_Support!W57*(1-EXP(-S13_PSP_Species_Support!X57*8))^S13_PSP_Species_Support!Y57)^2*(S13_PSP_Species_Support!Z57*(1-EXP(-S13_PSP_Species_Support!AA57*8))^S13_PSP_Species_Support!AB57))^0.976,0)+IFERROR(S13_PSP_Species_Support!AF57*0.0673*(S13_PSP_Species_Support!AG57*(S13_PSP_Species_Support!AH57*(1-EXP(-S13_PSP_Species_Support!AI57*8))^S13_PSP_Species_Support!AJ57)^2*(S13_PSP_Species_Support!AK57*(1-EXP(-S13_PSP_Species_Support!AL57*8))^S13_PSP_Species_Support!AM57))^0.976,0)+IFERROR(S13_PSP_Species_Support!AQ57*0.0673*(S13_PSP_Species_Support!AR57*(S13_PSP_Species_Support!AS57*(1-EXP(-S13_PSP_Species_Support!AT57*8))^S13_PSP_Species_Support!AU57)^2*(S13_PSP_Species_Support!AV57*(1-EXP(-S13_PSP_Species_Support!AW57*8))^S13_PSP_Species_Support!AX57))^0.976,0)+IFERROR(S13_PSP_Species_Support!BB57*0.0673*(S13_PSP_Species_Support!BC57*(S13_PSP_Species_Support!BD57*(1-EXP(-S13_PSP_Species_Support!BE57*8))^S13_PSP_Species_Support!BF57)^2*(S13_PSP_Species_Support!BG57*(1-EXP(-S13_PSP_Species_Support!BH57*8))^S13_PSP_Species_Support!BI57))^0.976,0)+IFERROR(S13_PSP_Species_Support!BM57*0.0673*(S13_PSP_Species_Support!BN57*(S13_PSP_Species_Support!BO57*(1-EXP(-S13_PSP_Species_Support!BP57*8))^S13_PSP_Species_Support!BQ57)^2*(S13_PSP_Species_Support!BR57*(1-EXP(-S13_PSP_Species_Support!BS57*8))^S13_PSP_Species_Support!BT57))^0.976,0)+IFERROR(S13_PSP_Species_Support!BX57*0.0673*(S13_PSP_Species_Support!BY57*(S13_PSP_Species_Support!BZ57*(1-EXP(-S13_PSP_Species_Support!CA57*8))^S13_PSP_Species_Support!CB57)^2*(S13_PSP_Species_Support!CC57*(1-EXP(-S13_PSP_Species_Support!CD57*8))^S13_PSP_Species_Support!CE57))^0.976,0)+IFERROR(S13_PSP_Species_Support!CI57*0.0673*(S13_PSP_Species_Support!CJ57*(S13_PSP_Species_Support!CK57*(1-EXP(-S13_PSP_Species_Support!CL57*8))^S13_PSP_Species_Support!CM57)^2*(S13_PSP_Species_Support!CN57*(1-EXP(-S13_PSP_Species_Support!CO57*8))^S13_PSP_Species_Support!CP57))^0.976,0)+IFERROR(S13_PSP_Species_Support!CT57*0.0673*(S13_PSP_Species_Support!CU57*(S13_PSP_Species_Support!CV57*(1-EXP(-S13_PSP_Species_Support!CW57*8))^S13_PSP_Species_Support!CX57)^2*(S13_PSP_Species_Support!CY57*(1-EXP(-S13_PSP_Species_Support!CZ57*8))^S13_PSP_Species_Support!DA57))^0.976,0))/1000/$G70*Q$108,0)</x:f>
        <x:v>215.0537336484625</x:v>
      </x:c>
      <x:c r="R70" s="147" t="n">
        <x:f aca="0">IFERROR((IFERROR(S13_PSP_Species_Support!U57*0.0673*(S13_PSP_Species_Support!V57*(S13_PSP_Species_Support!W57*(1-EXP(-S13_PSP_Species_Support!X57*9))^S13_PSP_Species_Support!Y57)^2*(S13_PSP_Species_Support!Z57*(1-EXP(-S13_PSP_Species_Support!AA57*9))^S13_PSP_Species_Support!AB57))^0.976,0)+IFERROR(S13_PSP_Species_Support!AF57*0.0673*(S13_PSP_Species_Support!AG57*(S13_PSP_Species_Support!AH57*(1-EXP(-S13_PSP_Species_Support!AI57*9))^S13_PSP_Species_Support!AJ57)^2*(S13_PSP_Species_Support!AK57*(1-EXP(-S13_PSP_Species_Support!AL57*9))^S13_PSP_Species_Support!AM57))^0.976,0)+IFERROR(S13_PSP_Species_Support!AQ57*0.0673*(S13_PSP_Species_Support!AR57*(S13_PSP_Species_Support!AS57*(1-EXP(-S13_PSP_Species_Support!AT57*9))^S13_PSP_Species_Support!AU57)^2*(S13_PSP_Species_Support!AV57*(1-EXP(-S13_PSP_Species_Support!AW57*9))^S13_PSP_Species_Support!AX57))^0.976,0)+IFERROR(S13_PSP_Species_Support!BB57*0.0673*(S13_PSP_Species_Support!BC57*(S13_PSP_Species_Support!BD57*(1-EXP(-S13_PSP_Species_Support!BE57*9))^S13_PSP_Species_Support!BF57)^2*(S13_PSP_Species_Support!BG57*(1-EXP(-S13_PSP_Species_Support!BH57*9))^S13_PSP_Species_Support!BI57))^0.976,0)+IFERROR(S13_PSP_Species_Support!BM57*0.0673*(S13_PSP_Species_Support!BN57*(S13_PSP_Species_Support!BO57*(1-EXP(-S13_PSP_Species_Support!BP57*9))^S13_PSP_Species_Support!BQ57)^2*(S13_PSP_Species_Support!BR57*(1-EXP(-S13_PSP_Species_Support!BS57*9))^S13_PSP_Species_Support!BT57))^0.976,0)+IFERROR(S13_PSP_Species_Support!BX57*0.0673*(S13_PSP_Species_Support!BY57*(S13_PSP_Species_Support!BZ57*(1-EXP(-S13_PSP_Species_Support!CA57*9))^S13_PSP_Species_Support!CB57)^2*(S13_PSP_Species_Support!CC57*(1-EXP(-S13_PSP_Species_Support!CD57*9))^S13_PSP_Species_Support!CE57))^0.976,0)+IFERROR(S13_PSP_Species_Support!CI57*0.0673*(S13_PSP_Species_Support!CJ57*(S13_PSP_Species_Support!CK57*(1-EXP(-S13_PSP_Species_Support!CL57*9))^S13_PSP_Species_Support!CM57)^2*(S13_PSP_Species_Support!CN57*(1-EXP(-S13_PSP_Species_Support!CO57*9))^S13_PSP_Species_Support!CP57))^0.976,0)+IFERROR(S13_PSP_Species_Support!CT57*0.0673*(S13_PSP_Species_Support!CU57*(S13_PSP_Species_Support!CV57*(1-EXP(-S13_PSP_Species_Support!CW57*9))^S13_PSP_Species_Support!CX57)^2*(S13_PSP_Species_Support!CY57*(1-EXP(-S13_PSP_Species_Support!CZ57*9))^S13_PSP_Species_Support!DA57))^0.976,0))/1000/$G70*R$108,0)</x:f>
        <x:v>278.7106622517484</x:v>
      </x:c>
      <x:c r="S70" s="147" t="n">
        <x:f aca="0">IFERROR((IFERROR(S13_PSP_Species_Support!U57*0.0673*(S13_PSP_Species_Support!V57*(S13_PSP_Species_Support!W57*(1-EXP(-S13_PSP_Species_Support!X57*10))^S13_PSP_Species_Support!Y57)^2*(S13_PSP_Species_Support!Z57*(1-EXP(-S13_PSP_Species_Support!AA57*10))^S13_PSP_Species_Support!AB57))^0.976,0)+IFERROR(S13_PSP_Species_Support!AF57*0.0673*(S13_PSP_Species_Support!AG57*(S13_PSP_Species_Support!AH57*(1-EXP(-S13_PSP_Species_Support!AI57*10))^S13_PSP_Species_Support!AJ57)^2*(S13_PSP_Species_Support!AK57*(1-EXP(-S13_PSP_Species_Support!AL57*10))^S13_PSP_Species_Support!AM57))^0.976,0)+IFERROR(S13_PSP_Species_Support!AQ57*0.0673*(S13_PSP_Species_Support!AR57*(S13_PSP_Species_Support!AS57*(1-EXP(-S13_PSP_Species_Support!AT57*10))^S13_PSP_Species_Support!AU57)^2*(S13_PSP_Species_Support!AV57*(1-EXP(-S13_PSP_Species_Support!AW57*10))^S13_PSP_Species_Support!AX57))^0.976,0)+IFERROR(S13_PSP_Species_Support!BB57*0.0673*(S13_PSP_Species_Support!BC57*(S13_PSP_Species_Support!BD57*(1-EXP(-S13_PSP_Species_Support!BE57*10))^S13_PSP_Species_Support!BF57)^2*(S13_PSP_Species_Support!BG57*(1-EXP(-S13_PSP_Species_Support!BH57*10))^S13_PSP_Species_Support!BI57))^0.976,0)+IFERROR(S13_PSP_Species_Support!BM57*0.0673*(S13_PSP_Species_Support!BN57*(S13_PSP_Species_Support!BO57*(1-EXP(-S13_PSP_Species_Support!BP57*10))^S13_PSP_Species_Support!BQ57)^2*(S13_PSP_Species_Support!BR57*(1-EXP(-S13_PSP_Species_Support!BS57*10))^S13_PSP_Species_Support!BT57))^0.976,0)+IFERROR(S13_PSP_Species_Support!BX57*0.0673*(S13_PSP_Species_Support!BY57*(S13_PSP_Species_Support!BZ57*(1-EXP(-S13_PSP_Species_Support!CA57*10))^S13_PSP_Species_Support!CB57)^2*(S13_PSP_Species_Support!CC57*(1-EXP(-S13_PSP_Species_Support!CD57*10))^S13_PSP_Species_Support!CE57))^0.976,0)+IFERROR(S13_PSP_Species_Support!CI57*0.0673*(S13_PSP_Species_Support!CJ57*(S13_PSP_Species_Support!CK57*(1-EXP(-S13_PSP_Species_Support!CL57*10))^S13_PSP_Species_Support!CM57)^2*(S13_PSP_Species_Support!CN57*(1-EXP(-S13_PSP_Species_Support!CO57*10))^S13_PSP_Species_Support!CP57))^0.976,0)+IFERROR(S13_PSP_Species_Support!CT57*0.0673*(S13_PSP_Species_Support!CU57*(S13_PSP_Species_Support!CV57*(1-EXP(-S13_PSP_Species_Support!CW57*10))^S13_PSP_Species_Support!CX57)^2*(S13_PSP_Species_Support!CY57*(1-EXP(-S13_PSP_Species_Support!CZ57*10))^S13_PSP_Species_Support!DA57))^0.976,0))/1000/$G70*S$108,0)</x:f>
        <x:v>345.51065761857296</x:v>
      </x:c>
      <x:c r="T70" s="147" t="n">
        <x:f aca="0">IFERROR((IFERROR(S13_PSP_Species_Support!U57*0.0673*(S13_PSP_Species_Support!V57*(S13_PSP_Species_Support!W57*(1-EXP(-S13_PSP_Species_Support!X57*11))^S13_PSP_Species_Support!Y57)^2*(S13_PSP_Species_Support!Z57*(1-EXP(-S13_PSP_Species_Support!AA57*11))^S13_PSP_Species_Support!AB57))^0.976,0)+IFERROR(S13_PSP_Species_Support!AF57*0.0673*(S13_PSP_Species_Support!AG57*(S13_PSP_Species_Support!AH57*(1-EXP(-S13_PSP_Species_Support!AI57*11))^S13_PSP_Species_Support!AJ57)^2*(S13_PSP_Species_Support!AK57*(1-EXP(-S13_PSP_Species_Support!AL57*11))^S13_PSP_Species_Support!AM57))^0.976,0)+IFERROR(S13_PSP_Species_Support!AQ57*0.0673*(S13_PSP_Species_Support!AR57*(S13_PSP_Species_Support!AS57*(1-EXP(-S13_PSP_Species_Support!AT57*11))^S13_PSP_Species_Support!AU57)^2*(S13_PSP_Species_Support!AV57*(1-EXP(-S13_PSP_Species_Support!AW57*11))^S13_PSP_Species_Support!AX57))^0.976,0)+IFERROR(S13_PSP_Species_Support!BB57*0.0673*(S13_PSP_Species_Support!BC57*(S13_PSP_Species_Support!BD57*(1-EXP(-S13_PSP_Species_Support!BE57*11))^S13_PSP_Species_Support!BF57)^2*(S13_PSP_Species_Support!BG57*(1-EXP(-S13_PSP_Species_Support!BH57*11))^S13_PSP_Species_Support!BI57))^0.976,0)+IFERROR(S13_PSP_Species_Support!BM57*0.0673*(S13_PSP_Species_Support!BN57*(S13_PSP_Species_Support!BO57*(1-EXP(-S13_PSP_Species_Support!BP57*11))^S13_PSP_Species_Support!BQ57)^2*(S13_PSP_Species_Support!BR57*(1-EXP(-S13_PSP_Species_Support!BS57*11))^S13_PSP_Species_Support!BT57))^0.976,0)+IFERROR(S13_PSP_Species_Support!BX57*0.0673*(S13_PSP_Species_Support!BY57*(S13_PSP_Species_Support!BZ57*(1-EXP(-S13_PSP_Species_Support!CA57*11))^S13_PSP_Species_Support!CB57)^2*(S13_PSP_Species_Support!CC57*(1-EXP(-S13_PSP_Species_Support!CD57*11))^S13_PSP_Species_Support!CE57))^0.976,0)+IFERROR(S13_PSP_Species_Support!CI57*0.0673*(S13_PSP_Species_Support!CJ57*(S13_PSP_Species_Support!CK57*(1-EXP(-S13_PSP_Species_Support!CL57*11))^S13_PSP_Species_Support!CM57)^2*(S13_PSP_Species_Support!CN57*(1-EXP(-S13_PSP_Species_Support!CO57*11))^S13_PSP_Species_Support!CP57))^0.976,0)+IFERROR(S13_PSP_Species_Support!CT57*0.0673*(S13_PSP_Species_Support!CU57*(S13_PSP_Species_Support!CV57*(1-EXP(-S13_PSP_Species_Support!CW57*11))^S13_PSP_Species_Support!CX57)^2*(S13_PSP_Species_Support!CY57*(1-EXP(-S13_PSP_Species_Support!CZ57*11))^S13_PSP_Species_Support!DA57))^0.976,0))/1000/$G70*T$108,0)</x:f>
        <x:v>413.57729933034256</x:v>
      </x:c>
      <x:c r="U70" s="147" t="n">
        <x:f aca="0">IFERROR((IFERROR(S13_PSP_Species_Support!U57*0.0673*(S13_PSP_Species_Support!V57*(S13_PSP_Species_Support!W57*(1-EXP(-S13_PSP_Species_Support!X57*12))^S13_PSP_Species_Support!Y57)^2*(S13_PSP_Species_Support!Z57*(1-EXP(-S13_PSP_Species_Support!AA57*12))^S13_PSP_Species_Support!AB57))^0.976,0)+IFERROR(S13_PSP_Species_Support!AF57*0.0673*(S13_PSP_Species_Support!AG57*(S13_PSP_Species_Support!AH57*(1-EXP(-S13_PSP_Species_Support!AI57*12))^S13_PSP_Species_Support!AJ57)^2*(S13_PSP_Species_Support!AK57*(1-EXP(-S13_PSP_Species_Support!AL57*12))^S13_PSP_Species_Support!AM57))^0.976,0)+IFERROR(S13_PSP_Species_Support!AQ57*0.0673*(S13_PSP_Species_Support!AR57*(S13_PSP_Species_Support!AS57*(1-EXP(-S13_PSP_Species_Support!AT57*12))^S13_PSP_Species_Support!AU57)^2*(S13_PSP_Species_Support!AV57*(1-EXP(-S13_PSP_Species_Support!AW57*12))^S13_PSP_Species_Support!AX57))^0.976,0)+IFERROR(S13_PSP_Species_Support!BB57*0.0673*(S13_PSP_Species_Support!BC57*(S13_PSP_Species_Support!BD57*(1-EXP(-S13_PSP_Species_Support!BE57*12))^S13_PSP_Species_Support!BF57)^2*(S13_PSP_Species_Support!BG57*(1-EXP(-S13_PSP_Species_Support!BH57*12))^S13_PSP_Species_Support!BI57))^0.976,0)+IFERROR(S13_PSP_Species_Support!BM57*0.0673*(S13_PSP_Species_Support!BN57*(S13_PSP_Species_Support!BO57*(1-EXP(-S13_PSP_Species_Support!BP57*12))^S13_PSP_Species_Support!BQ57)^2*(S13_PSP_Species_Support!BR57*(1-EXP(-S13_PSP_Species_Support!BS57*12))^S13_PSP_Species_Support!BT57))^0.976,0)+IFERROR(S13_PSP_Species_Support!BX57*0.0673*(S13_PSP_Species_Support!BY57*(S13_PSP_Species_Support!BZ57*(1-EXP(-S13_PSP_Species_Support!CA57*12))^S13_PSP_Species_Support!CB57)^2*(S13_PSP_Species_Support!CC57*(1-EXP(-S13_PSP_Species_Support!CD57*12))^S13_PSP_Species_Support!CE57))^0.976,0)+IFERROR(S13_PSP_Species_Support!CI57*0.0673*(S13_PSP_Species_Support!CJ57*(S13_PSP_Species_Support!CK57*(1-EXP(-S13_PSP_Species_Support!CL57*12))^S13_PSP_Species_Support!CM57)^2*(S13_PSP_Species_Support!CN57*(1-EXP(-S13_PSP_Species_Support!CO57*12))^S13_PSP_Species_Support!CP57))^0.976,0)+IFERROR(S13_PSP_Species_Support!CT57*0.0673*(S13_PSP_Species_Support!CU57*(S13_PSP_Species_Support!CV57*(1-EXP(-S13_PSP_Species_Support!CW57*12))^S13_PSP_Species_Support!CX57)^2*(S13_PSP_Species_Support!CY57*(1-EXP(-S13_PSP_Species_Support!CZ57*12))^S13_PSP_Species_Support!DA57))^0.976,0))/1000/$G70*U$108,0)</x:f>
        <x:v>481.3312891438333</x:v>
      </x:c>
      <x:c r="V70" s="147" t="n">
        <x:f aca="0">IFERROR((IFERROR(S13_PSP_Species_Support!U57*0.0673*(S13_PSP_Species_Support!V57*(S13_PSP_Species_Support!W57*(1-EXP(-S13_PSP_Species_Support!X57*13))^S13_PSP_Species_Support!Y57)^2*(S13_PSP_Species_Support!Z57*(1-EXP(-S13_PSP_Species_Support!AA57*13))^S13_PSP_Species_Support!AB57))^0.976,0)+IFERROR(S13_PSP_Species_Support!AF57*0.0673*(S13_PSP_Species_Support!AG57*(S13_PSP_Species_Support!AH57*(1-EXP(-S13_PSP_Species_Support!AI57*13))^S13_PSP_Species_Support!AJ57)^2*(S13_PSP_Species_Support!AK57*(1-EXP(-S13_PSP_Species_Support!AL57*13))^S13_PSP_Species_Support!AM57))^0.976,0)+IFERROR(S13_PSP_Species_Support!AQ57*0.0673*(S13_PSP_Species_Support!AR57*(S13_PSP_Species_Support!AS57*(1-EXP(-S13_PSP_Species_Support!AT57*13))^S13_PSP_Species_Support!AU57)^2*(S13_PSP_Species_Support!AV57*(1-EXP(-S13_PSP_Species_Support!AW57*13))^S13_PSP_Species_Support!AX57))^0.976,0)+IFERROR(S13_PSP_Species_Support!BB57*0.0673*(S13_PSP_Species_Support!BC57*(S13_PSP_Species_Support!BD57*(1-EXP(-S13_PSP_Species_Support!BE57*13))^S13_PSP_Species_Support!BF57)^2*(S13_PSP_Species_Support!BG57*(1-EXP(-S13_PSP_Species_Support!BH57*13))^S13_PSP_Species_Support!BI57))^0.976,0)+IFERROR(S13_PSP_Species_Support!BM57*0.0673*(S13_PSP_Species_Support!BN57*(S13_PSP_Species_Support!BO57*(1-EXP(-S13_PSP_Species_Support!BP57*13))^S13_PSP_Species_Support!BQ57)^2*(S13_PSP_Species_Support!BR57*(1-EXP(-S13_PSP_Species_Support!BS57*13))^S13_PSP_Species_Support!BT57))^0.976,0)+IFERROR(S13_PSP_Species_Support!BX57*0.0673*(S13_PSP_Species_Support!BY57*(S13_PSP_Species_Support!BZ57*(1-EXP(-S13_PSP_Species_Support!CA57*13))^S13_PSP_Species_Support!CB57)^2*(S13_PSP_Species_Support!CC57*(1-EXP(-S13_PSP_Species_Support!CD57*13))^S13_PSP_Species_Support!CE57))^0.976,0)+IFERROR(S13_PSP_Species_Support!CI57*0.0673*(S13_PSP_Species_Support!CJ57*(S13_PSP_Species_Support!CK57*(1-EXP(-S13_PSP_Species_Support!CL57*13))^S13_PSP_Species_Support!CM57)^2*(S13_PSP_Species_Support!CN57*(1-EXP(-S13_PSP_Species_Support!CO57*13))^S13_PSP_Species_Support!CP57))^0.976,0)+IFERROR(S13_PSP_Species_Support!CT57*0.0673*(S13_PSP_Species_Support!CU57*(S13_PSP_Species_Support!CV57*(1-EXP(-S13_PSP_Species_Support!CW57*13))^S13_PSP_Species_Support!CX57)^2*(S13_PSP_Species_Support!CY57*(1-EXP(-S13_PSP_Species_Support!CZ57*13))^S13_PSP_Species_Support!DA57))^0.976,0))/1000/$G70*V$108,0)</x:f>
        <x:v>547.5120077766618</x:v>
      </x:c>
      <x:c r="W70" s="147" t="n">
        <x:f aca="0">IFERROR((IFERROR(S13_PSP_Species_Support!U57*0.0673*(S13_PSP_Species_Support!V57*(S13_PSP_Species_Support!W57*(1-EXP(-S13_PSP_Species_Support!X57*14))^S13_PSP_Species_Support!Y57)^2*(S13_PSP_Species_Support!Z57*(1-EXP(-S13_PSP_Species_Support!AA57*14))^S13_PSP_Species_Support!AB57))^0.976,0)+IFERROR(S13_PSP_Species_Support!AF57*0.0673*(S13_PSP_Species_Support!AG57*(S13_PSP_Species_Support!AH57*(1-EXP(-S13_PSP_Species_Support!AI57*14))^S13_PSP_Species_Support!AJ57)^2*(S13_PSP_Species_Support!AK57*(1-EXP(-S13_PSP_Species_Support!AL57*14))^S13_PSP_Species_Support!AM57))^0.976,0)+IFERROR(S13_PSP_Species_Support!AQ57*0.0673*(S13_PSP_Species_Support!AR57*(S13_PSP_Species_Support!AS57*(1-EXP(-S13_PSP_Species_Support!AT57*14))^S13_PSP_Species_Support!AU57)^2*(S13_PSP_Species_Support!AV57*(1-EXP(-S13_PSP_Species_Support!AW57*14))^S13_PSP_Species_Support!AX57))^0.976,0)+IFERROR(S13_PSP_Species_Support!BB57*0.0673*(S13_PSP_Species_Support!BC57*(S13_PSP_Species_Support!BD57*(1-EXP(-S13_PSP_Species_Support!BE57*14))^S13_PSP_Species_Support!BF57)^2*(S13_PSP_Species_Support!BG57*(1-EXP(-S13_PSP_Species_Support!BH57*14))^S13_PSP_Species_Support!BI57))^0.976,0)+IFERROR(S13_PSP_Species_Support!BM57*0.0673*(S13_PSP_Species_Support!BN57*(S13_PSP_Species_Support!BO57*(1-EXP(-S13_PSP_Species_Support!BP57*14))^S13_PSP_Species_Support!BQ57)^2*(S13_PSP_Species_Support!BR57*(1-EXP(-S13_PSP_Species_Support!BS57*14))^S13_PSP_Species_Support!BT57))^0.976,0)+IFERROR(S13_PSP_Species_Support!BX57*0.0673*(S13_PSP_Species_Support!BY57*(S13_PSP_Species_Support!BZ57*(1-EXP(-S13_PSP_Species_Support!CA57*14))^S13_PSP_Species_Support!CB57)^2*(S13_PSP_Species_Support!CC57*(1-EXP(-S13_PSP_Species_Support!CD57*14))^S13_PSP_Species_Support!CE57))^0.976,0)+IFERROR(S13_PSP_Species_Support!CI57*0.0673*(S13_PSP_Species_Support!CJ57*(S13_PSP_Species_Support!CK57*(1-EXP(-S13_PSP_Species_Support!CL57*14))^S13_PSP_Species_Support!CM57)^2*(S13_PSP_Species_Support!CN57*(1-EXP(-S13_PSP_Species_Support!CO57*14))^S13_PSP_Species_Support!CP57))^0.976,0)+IFERROR(S13_PSP_Species_Support!CT57*0.0673*(S13_PSP_Species_Support!CU57*(S13_PSP_Species_Support!CV57*(1-EXP(-S13_PSP_Species_Support!CW57*14))^S13_PSP_Species_Support!CX57)^2*(S13_PSP_Species_Support!CY57*(1-EXP(-S13_PSP_Species_Support!CZ57*14))^S13_PSP_Species_Support!DA57))^0.976,0))/1000/$G70*W$108,0)</x:f>
        <x:v>611.16495057402</x:v>
      </x:c>
      <x:c r="X70" s="147" t="n">
        <x:f aca="0">IFERROR((IFERROR(S13_PSP_Species_Support!U57*0.0673*(S13_PSP_Species_Support!V57*(S13_PSP_Species_Support!W57*(1-EXP(-S13_PSP_Species_Support!X57*15))^S13_PSP_Species_Support!Y57)^2*(S13_PSP_Species_Support!Z57*(1-EXP(-S13_PSP_Species_Support!AA57*15))^S13_PSP_Species_Support!AB57))^0.976,0)+IFERROR(S13_PSP_Species_Support!AF57*0.0673*(S13_PSP_Species_Support!AG57*(S13_PSP_Species_Support!AH57*(1-EXP(-S13_PSP_Species_Support!AI57*15))^S13_PSP_Species_Support!AJ57)^2*(S13_PSP_Species_Support!AK57*(1-EXP(-S13_PSP_Species_Support!AL57*15))^S13_PSP_Species_Support!AM57))^0.976,0)+IFERROR(S13_PSP_Species_Support!AQ57*0.0673*(S13_PSP_Species_Support!AR57*(S13_PSP_Species_Support!AS57*(1-EXP(-S13_PSP_Species_Support!AT57*15))^S13_PSP_Species_Support!AU57)^2*(S13_PSP_Species_Support!AV57*(1-EXP(-S13_PSP_Species_Support!AW57*15))^S13_PSP_Species_Support!AX57))^0.976,0)+IFERROR(S13_PSP_Species_Support!BB57*0.0673*(S13_PSP_Species_Support!BC57*(S13_PSP_Species_Support!BD57*(1-EXP(-S13_PSP_Species_Support!BE57*15))^S13_PSP_Species_Support!BF57)^2*(S13_PSP_Species_Support!BG57*(1-EXP(-S13_PSP_Species_Support!BH57*15))^S13_PSP_Species_Support!BI57))^0.976,0)+IFERROR(S13_PSP_Species_Support!BM57*0.0673*(S13_PSP_Species_Support!BN57*(S13_PSP_Species_Support!BO57*(1-EXP(-S13_PSP_Species_Support!BP57*15))^S13_PSP_Species_Support!BQ57)^2*(S13_PSP_Species_Support!BR57*(1-EXP(-S13_PSP_Species_Support!BS57*15))^S13_PSP_Species_Support!BT57))^0.976,0)+IFERROR(S13_PSP_Species_Support!BX57*0.0673*(S13_PSP_Species_Support!BY57*(S13_PSP_Species_Support!BZ57*(1-EXP(-S13_PSP_Species_Support!CA57*15))^S13_PSP_Species_Support!CB57)^2*(S13_PSP_Species_Support!CC57*(1-EXP(-S13_PSP_Species_Support!CD57*15))^S13_PSP_Species_Support!CE57))^0.976,0)+IFERROR(S13_PSP_Species_Support!CI57*0.0673*(S13_PSP_Species_Support!CJ57*(S13_PSP_Species_Support!CK57*(1-EXP(-S13_PSP_Species_Support!CL57*15))^S13_PSP_Species_Support!CM57)^2*(S13_PSP_Species_Support!CN57*(1-EXP(-S13_PSP_Species_Support!CO57*15))^S13_PSP_Species_Support!CP57))^0.976,0)+IFERROR(S13_PSP_Species_Support!CT57*0.0673*(S13_PSP_Species_Support!CU57*(S13_PSP_Species_Support!CV57*(1-EXP(-S13_PSP_Species_Support!CW57*15))^S13_PSP_Species_Support!CX57)^2*(S13_PSP_Species_Support!CY57*(1-EXP(-S13_PSP_Species_Support!CZ57*15))^S13_PSP_Species_Support!DA57))^0.976,0))/1000/$G70*X$108,0)</x:f>
        <x:v>671.6101665776436</x:v>
      </x:c>
      <x:c r="Y70" s="147" t="n">
        <x:f aca="0">IFERROR((IFERROR(S13_PSP_Species_Support!U57*0.0673*(S13_PSP_Species_Support!V57*(S13_PSP_Species_Support!W57*(1-EXP(-S13_PSP_Species_Support!X57*16))^S13_PSP_Species_Support!Y57)^2*(S13_PSP_Species_Support!Z57*(1-EXP(-S13_PSP_Species_Support!AA57*16))^S13_PSP_Species_Support!AB57))^0.976,0)+IFERROR(S13_PSP_Species_Support!AF57*0.0673*(S13_PSP_Species_Support!AG57*(S13_PSP_Species_Support!AH57*(1-EXP(-S13_PSP_Species_Support!AI57*16))^S13_PSP_Species_Support!AJ57)^2*(S13_PSP_Species_Support!AK57*(1-EXP(-S13_PSP_Species_Support!AL57*16))^S13_PSP_Species_Support!AM57))^0.976,0)+IFERROR(S13_PSP_Species_Support!AQ57*0.0673*(S13_PSP_Species_Support!AR57*(S13_PSP_Species_Support!AS57*(1-EXP(-S13_PSP_Species_Support!AT57*16))^S13_PSP_Species_Support!AU57)^2*(S13_PSP_Species_Support!AV57*(1-EXP(-S13_PSP_Species_Support!AW57*16))^S13_PSP_Species_Support!AX57))^0.976,0)+IFERROR(S13_PSP_Species_Support!BB57*0.0673*(S13_PSP_Species_Support!BC57*(S13_PSP_Species_Support!BD57*(1-EXP(-S13_PSP_Species_Support!BE57*16))^S13_PSP_Species_Support!BF57)^2*(S13_PSP_Species_Support!BG57*(1-EXP(-S13_PSP_Species_Support!BH57*16))^S13_PSP_Species_Support!BI57))^0.976,0)+IFERROR(S13_PSP_Species_Support!BM57*0.0673*(S13_PSP_Species_Support!BN57*(S13_PSP_Species_Support!BO57*(1-EXP(-S13_PSP_Species_Support!BP57*16))^S13_PSP_Species_Support!BQ57)^2*(S13_PSP_Species_Support!BR57*(1-EXP(-S13_PSP_Species_Support!BS57*16))^S13_PSP_Species_Support!BT57))^0.976,0)+IFERROR(S13_PSP_Species_Support!BX57*0.0673*(S13_PSP_Species_Support!BY57*(S13_PSP_Species_Support!BZ57*(1-EXP(-S13_PSP_Species_Support!CA57*16))^S13_PSP_Species_Support!CB57)^2*(S13_PSP_Species_Support!CC57*(1-EXP(-S13_PSP_Species_Support!CD57*16))^S13_PSP_Species_Support!CE57))^0.976,0)+IFERROR(S13_PSP_Species_Support!CI57*0.0673*(S13_PSP_Species_Support!CJ57*(S13_PSP_Species_Support!CK57*(1-EXP(-S13_PSP_Species_Support!CL57*16))^S13_PSP_Species_Support!CM57)^2*(S13_PSP_Species_Support!CN57*(1-EXP(-S13_PSP_Species_Support!CO57*16))^S13_PSP_Species_Support!CP57))^0.976,0)+IFERROR(S13_PSP_Species_Support!CT57*0.0673*(S13_PSP_Species_Support!CU57*(S13_PSP_Species_Support!CV57*(1-EXP(-S13_PSP_Species_Support!CW57*16))^S13_PSP_Species_Support!CX57)^2*(S13_PSP_Species_Support!CY57*(1-EXP(-S13_PSP_Species_Support!CZ57*16))^S13_PSP_Species_Support!DA57))^0.976,0))/1000/$G70*Y$108,0)</x:f>
        <x:v>728.4021201087936</x:v>
      </x:c>
      <x:c r="Z70" s="147" t="n">
        <x:f aca="0">IFERROR((IFERROR(S13_PSP_Species_Support!U57*0.0673*(S13_PSP_Species_Support!V57*(S13_PSP_Species_Support!W57*(1-EXP(-S13_PSP_Species_Support!X57*17))^S13_PSP_Species_Support!Y57)^2*(S13_PSP_Species_Support!Z57*(1-EXP(-S13_PSP_Species_Support!AA57*17))^S13_PSP_Species_Support!AB57))^0.976,0)+IFERROR(S13_PSP_Species_Support!AF57*0.0673*(S13_PSP_Species_Support!AG57*(S13_PSP_Species_Support!AH57*(1-EXP(-S13_PSP_Species_Support!AI57*17))^S13_PSP_Species_Support!AJ57)^2*(S13_PSP_Species_Support!AK57*(1-EXP(-S13_PSP_Species_Support!AL57*17))^S13_PSP_Species_Support!AM57))^0.976,0)+IFERROR(S13_PSP_Species_Support!AQ57*0.0673*(S13_PSP_Species_Support!AR57*(S13_PSP_Species_Support!AS57*(1-EXP(-S13_PSP_Species_Support!AT57*17))^S13_PSP_Species_Support!AU57)^2*(S13_PSP_Species_Support!AV57*(1-EXP(-S13_PSP_Species_Support!AW57*17))^S13_PSP_Species_Support!AX57))^0.976,0)+IFERROR(S13_PSP_Species_Support!BB57*0.0673*(S13_PSP_Species_Support!BC57*(S13_PSP_Species_Support!BD57*(1-EXP(-S13_PSP_Species_Support!BE57*17))^S13_PSP_Species_Support!BF57)^2*(S13_PSP_Species_Support!BG57*(1-EXP(-S13_PSP_Species_Support!BH57*17))^S13_PSP_Species_Support!BI57))^0.976,0)+IFERROR(S13_PSP_Species_Support!BM57*0.0673*(S13_PSP_Species_Support!BN57*(S13_PSP_Species_Support!BO57*(1-EXP(-S13_PSP_Species_Support!BP57*17))^S13_PSP_Species_Support!BQ57)^2*(S13_PSP_Species_Support!BR57*(1-EXP(-S13_PSP_Species_Support!BS57*17))^S13_PSP_Species_Support!BT57))^0.976,0)+IFERROR(S13_PSP_Species_Support!BX57*0.0673*(S13_PSP_Species_Support!BY57*(S13_PSP_Species_Support!BZ57*(1-EXP(-S13_PSP_Species_Support!CA57*17))^S13_PSP_Species_Support!CB57)^2*(S13_PSP_Species_Support!CC57*(1-EXP(-S13_PSP_Species_Support!CD57*17))^S13_PSP_Species_Support!CE57))^0.976,0)+IFERROR(S13_PSP_Species_Support!CI57*0.0673*(S13_PSP_Species_Support!CJ57*(S13_PSP_Species_Support!CK57*(1-EXP(-S13_PSP_Species_Support!CL57*17))^S13_PSP_Species_Support!CM57)^2*(S13_PSP_Species_Support!CN57*(1-EXP(-S13_PSP_Species_Support!CO57*17))^S13_PSP_Species_Support!CP57))^0.976,0)+IFERROR(S13_PSP_Species_Support!CT57*0.0673*(S13_PSP_Species_Support!CU57*(S13_PSP_Species_Support!CV57*(1-EXP(-S13_PSP_Species_Support!CW57*17))^S13_PSP_Species_Support!CX57)^2*(S13_PSP_Species_Support!CY57*(1-EXP(-S13_PSP_Species_Support!CZ57*17))^S13_PSP_Species_Support!DA57))^0.976,0))/1000/$G70*Z$108,0)</x:f>
        <x:v>781.2876827246258</x:v>
      </x:c>
      <x:c r="AA70" s="147" t="n">
        <x:f aca="0">IFERROR((IFERROR(S13_PSP_Species_Support!U57*0.0673*(S13_PSP_Species_Support!V57*(S13_PSP_Species_Support!W57*(1-EXP(-S13_PSP_Species_Support!X57*18))^S13_PSP_Species_Support!Y57)^2*(S13_PSP_Species_Support!Z57*(1-EXP(-S13_PSP_Species_Support!AA57*18))^S13_PSP_Species_Support!AB57))^0.976,0)+IFERROR(S13_PSP_Species_Support!AF57*0.0673*(S13_PSP_Species_Support!AG57*(S13_PSP_Species_Support!AH57*(1-EXP(-S13_PSP_Species_Support!AI57*18))^S13_PSP_Species_Support!AJ57)^2*(S13_PSP_Species_Support!AK57*(1-EXP(-S13_PSP_Species_Support!AL57*18))^S13_PSP_Species_Support!AM57))^0.976,0)+IFERROR(S13_PSP_Species_Support!AQ57*0.0673*(S13_PSP_Species_Support!AR57*(S13_PSP_Species_Support!AS57*(1-EXP(-S13_PSP_Species_Support!AT57*18))^S13_PSP_Species_Support!AU57)^2*(S13_PSP_Species_Support!AV57*(1-EXP(-S13_PSP_Species_Support!AW57*18))^S13_PSP_Species_Support!AX57))^0.976,0)+IFERROR(S13_PSP_Species_Support!BB57*0.0673*(S13_PSP_Species_Support!BC57*(S13_PSP_Species_Support!BD57*(1-EXP(-S13_PSP_Species_Support!BE57*18))^S13_PSP_Species_Support!BF57)^2*(S13_PSP_Species_Support!BG57*(1-EXP(-S13_PSP_Species_Support!BH57*18))^S13_PSP_Species_Support!BI57))^0.976,0)+IFERROR(S13_PSP_Species_Support!BM57*0.0673*(S13_PSP_Species_Support!BN57*(S13_PSP_Species_Support!BO57*(1-EXP(-S13_PSP_Species_Support!BP57*18))^S13_PSP_Species_Support!BQ57)^2*(S13_PSP_Species_Support!BR57*(1-EXP(-S13_PSP_Species_Support!BS57*18))^S13_PSP_Species_Support!BT57))^0.976,0)+IFERROR(S13_PSP_Species_Support!BX57*0.0673*(S13_PSP_Species_Support!BY57*(S13_PSP_Species_Support!BZ57*(1-EXP(-S13_PSP_Species_Support!CA57*18))^S13_PSP_Species_Support!CB57)^2*(S13_PSP_Species_Support!CC57*(1-EXP(-S13_PSP_Species_Support!CD57*18))^S13_PSP_Species_Support!CE57))^0.976,0)+IFERROR(S13_PSP_Species_Support!CI57*0.0673*(S13_PSP_Species_Support!CJ57*(S13_PSP_Species_Support!CK57*(1-EXP(-S13_PSP_Species_Support!CL57*18))^S13_PSP_Species_Support!CM57)^2*(S13_PSP_Species_Support!CN57*(1-EXP(-S13_PSP_Species_Support!CO57*18))^S13_PSP_Species_Support!CP57))^0.976,0)+IFERROR(S13_PSP_Species_Support!CT57*0.0673*(S13_PSP_Species_Support!CU57*(S13_PSP_Species_Support!CV57*(1-EXP(-S13_PSP_Species_Support!CW57*18))^S13_PSP_Species_Support!CX57)^2*(S13_PSP_Species_Support!CY57*(1-EXP(-S13_PSP_Species_Support!CZ57*18))^S13_PSP_Species_Support!DA57))^0.976,0))/1000/$G70*AA$108,0)</x:f>
        <x:v>830.1662454908798</x:v>
      </x:c>
      <x:c r="AB70" s="147" t="n">
        <x:f aca="0">IFERROR((IFERROR(S13_PSP_Species_Support!U57*0.0673*(S13_PSP_Species_Support!V57*(S13_PSP_Species_Support!W57*(1-EXP(-S13_PSP_Species_Support!X57*19))^S13_PSP_Species_Support!Y57)^2*(S13_PSP_Species_Support!Z57*(1-EXP(-S13_PSP_Species_Support!AA57*19))^S13_PSP_Species_Support!AB57))^0.976,0)+IFERROR(S13_PSP_Species_Support!AF57*0.0673*(S13_PSP_Species_Support!AG57*(S13_PSP_Species_Support!AH57*(1-EXP(-S13_PSP_Species_Support!AI57*19))^S13_PSP_Species_Support!AJ57)^2*(S13_PSP_Species_Support!AK57*(1-EXP(-S13_PSP_Species_Support!AL57*19))^S13_PSP_Species_Support!AM57))^0.976,0)+IFERROR(S13_PSP_Species_Support!AQ57*0.0673*(S13_PSP_Species_Support!AR57*(S13_PSP_Species_Support!AS57*(1-EXP(-S13_PSP_Species_Support!AT57*19))^S13_PSP_Species_Support!AU57)^2*(S13_PSP_Species_Support!AV57*(1-EXP(-S13_PSP_Species_Support!AW57*19))^S13_PSP_Species_Support!AX57))^0.976,0)+IFERROR(S13_PSP_Species_Support!BB57*0.0673*(S13_PSP_Species_Support!BC57*(S13_PSP_Species_Support!BD57*(1-EXP(-S13_PSP_Species_Support!BE57*19))^S13_PSP_Species_Support!BF57)^2*(S13_PSP_Species_Support!BG57*(1-EXP(-S13_PSP_Species_Support!BH57*19))^S13_PSP_Species_Support!BI57))^0.976,0)+IFERROR(S13_PSP_Species_Support!BM57*0.0673*(S13_PSP_Species_Support!BN57*(S13_PSP_Species_Support!BO57*(1-EXP(-S13_PSP_Species_Support!BP57*19))^S13_PSP_Species_Support!BQ57)^2*(S13_PSP_Species_Support!BR57*(1-EXP(-S13_PSP_Species_Support!BS57*19))^S13_PSP_Species_Support!BT57))^0.976,0)+IFERROR(S13_PSP_Species_Support!BX57*0.0673*(S13_PSP_Species_Support!BY57*(S13_PSP_Species_Support!BZ57*(1-EXP(-S13_PSP_Species_Support!CA57*19))^S13_PSP_Species_Support!CB57)^2*(S13_PSP_Species_Support!CC57*(1-EXP(-S13_PSP_Species_Support!CD57*19))^S13_PSP_Species_Support!CE57))^0.976,0)+IFERROR(S13_PSP_Species_Support!CI57*0.0673*(S13_PSP_Species_Support!CJ57*(S13_PSP_Species_Support!CK57*(1-EXP(-S13_PSP_Species_Support!CL57*19))^S13_PSP_Species_Support!CM57)^2*(S13_PSP_Species_Support!CN57*(1-EXP(-S13_PSP_Species_Support!CO57*19))^S13_PSP_Species_Support!CP57))^0.976,0)+IFERROR(S13_PSP_Species_Support!CT57*0.0673*(S13_PSP_Species_Support!CU57*(S13_PSP_Species_Support!CV57*(1-EXP(-S13_PSP_Species_Support!CW57*19))^S13_PSP_Species_Support!CX57)^2*(S13_PSP_Species_Support!CY57*(1-EXP(-S13_PSP_Species_Support!CZ57*19))^S13_PSP_Species_Support!DA57))^0.976,0))/1000/$G70*AB$108,0)</x:f>
        <x:v>875.0540616414582</x:v>
      </x:c>
      <x:c r="AC70" s="147" t="n">
        <x:f aca="0">IFERROR((IFERROR(S13_PSP_Species_Support!U57*0.0673*(S13_PSP_Species_Support!V57*(S13_PSP_Species_Support!W57*(1-EXP(-S13_PSP_Species_Support!X57*20))^S13_PSP_Species_Support!Y57)^2*(S13_PSP_Species_Support!Z57*(1-EXP(-S13_PSP_Species_Support!AA57*20))^S13_PSP_Species_Support!AB57))^0.976,0)+IFERROR(S13_PSP_Species_Support!AF57*0.0673*(S13_PSP_Species_Support!AG57*(S13_PSP_Species_Support!AH57*(1-EXP(-S13_PSP_Species_Support!AI57*20))^S13_PSP_Species_Support!AJ57)^2*(S13_PSP_Species_Support!AK57*(1-EXP(-S13_PSP_Species_Support!AL57*20))^S13_PSP_Species_Support!AM57))^0.976,0)+IFERROR(S13_PSP_Species_Support!AQ57*0.0673*(S13_PSP_Species_Support!AR57*(S13_PSP_Species_Support!AS57*(1-EXP(-S13_PSP_Species_Support!AT57*20))^S13_PSP_Species_Support!AU57)^2*(S13_PSP_Species_Support!AV57*(1-EXP(-S13_PSP_Species_Support!AW57*20))^S13_PSP_Species_Support!AX57))^0.976,0)+IFERROR(S13_PSP_Species_Support!BB57*0.0673*(S13_PSP_Species_Support!BC57*(S13_PSP_Species_Support!BD57*(1-EXP(-S13_PSP_Species_Support!BE57*20))^S13_PSP_Species_Support!BF57)^2*(S13_PSP_Species_Support!BG57*(1-EXP(-S13_PSP_Species_Support!BH57*20))^S13_PSP_Species_Support!BI57))^0.976,0)+IFERROR(S13_PSP_Species_Support!BM57*0.0673*(S13_PSP_Species_Support!BN57*(S13_PSP_Species_Support!BO57*(1-EXP(-S13_PSP_Species_Support!BP57*20))^S13_PSP_Species_Support!BQ57)^2*(S13_PSP_Species_Support!BR57*(1-EXP(-S13_PSP_Species_Support!BS57*20))^S13_PSP_Species_Support!BT57))^0.976,0)+IFERROR(S13_PSP_Species_Support!BX57*0.0673*(S13_PSP_Species_Support!BY57*(S13_PSP_Species_Support!BZ57*(1-EXP(-S13_PSP_Species_Support!CA57*20))^S13_PSP_Species_Support!CB57)^2*(S13_PSP_Species_Support!CC57*(1-EXP(-S13_PSP_Species_Support!CD57*20))^S13_PSP_Species_Support!CE57))^0.976,0)+IFERROR(S13_PSP_Species_Support!CI57*0.0673*(S13_PSP_Species_Support!CJ57*(S13_PSP_Species_Support!CK57*(1-EXP(-S13_PSP_Species_Support!CL57*20))^S13_PSP_Species_Support!CM57)^2*(S13_PSP_Species_Support!CN57*(1-EXP(-S13_PSP_Species_Support!CO57*20))^S13_PSP_Species_Support!CP57))^0.976,0)+IFERROR(S13_PSP_Species_Support!CT57*0.0673*(S13_PSP_Species_Support!CU57*(S13_PSP_Species_Support!CV57*(1-EXP(-S13_PSP_Species_Support!CW57*20))^S13_PSP_Species_Support!CX57)^2*(S13_PSP_Species_Support!CY57*(1-EXP(-S13_PSP_Species_Support!CZ57*20))^S13_PSP_Species_Support!DA57))^0.976,0))/1000/$G70*AC$108,0)</x:f>
        <x:v>916.053696436778</x:v>
      </x:c>
      <x:c r="AD70" s="148" t="n">
        <x:f aca="0">IF(2020&lt;$F70,0,INDEX($I70:$AC70,1,2020-$F70+1))</x:f>
        <x:v>0</x:v>
      </x:c>
      <x:c r="AE70" s="148" t="n">
        <x:f aca="0">IF(2021&lt;$F70,0,INDEX($I70:$AC70,1,2021-$F70+1))</x:f>
        <x:v>0.2773132570316712</x:v>
      </x:c>
      <x:c r="AF70" s="148" t="n">
        <x:f aca="0">IF(2022&lt;$F70,0,INDEX($I70:$AC70,1,2022-$F70+1))</x:f>
        <x:v>3.3880034036148454</x:v>
      </x:c>
      <x:c r="AG70" s="148" t="n">
        <x:f aca="0">IF(2023&lt;$F70,0,INDEX($I70:$AC70,1,2023-$F70+1))</x:f>
        <x:v>13.299019599739681</x:v>
      </x:c>
      <x:c r="AH70" s="148" t="n">
        <x:f aca="0">IF(2024&lt;$F70,0,INDEX($I70:$AC70,1,2024-$F70+1))</x:f>
        <x:v>33.098306320967595</x:v>
      </x:c>
      <x:c r="AI70" s="148" t="n">
        <x:f aca="0">IF(2025&lt;$F70,0,INDEX($I70:$AC70,1,2025-$F70+1))</x:f>
        <x:v>63.98153243573837</x:v>
      </x:c>
      <x:c r="AJ70" s="148" t="n">
        <x:f aca="0">IF(2026&lt;$F70,0,INDEX($I70:$AC70,1,2026-$F70+1))</x:f>
        <x:v>105.62420256801592</x:v>
      </x:c>
      <x:c r="AK70" s="148" t="n">
        <x:f aca="0">IF(2027&lt;$F70,0,INDEX($I70:$AC70,1,2027-$F70+1))</x:f>
        <x:v>156.63731387105696</x:v>
      </x:c>
      <x:c r="AL70" s="148" t="n">
        <x:f aca="0">IF(2028&lt;$F70,0,INDEX($I70:$AC70,1,2028-$F70+1))</x:f>
        <x:v>215.0537336484625</x:v>
      </x:c>
      <x:c r="AM70" s="148" t="n">
        <x:f aca="0">IF(2029&lt;$F70,0,INDEX($I70:$AC70,1,2029-$F70+1))</x:f>
        <x:v>278.7106622517484</x:v>
      </x:c>
      <x:c r="AN70" s="148" t="n">
        <x:f aca="0">IF(2030&lt;$F70,0,INDEX($I70:$AC70,1,2030-$F70+1))</x:f>
        <x:v>345.51065761857296</x:v>
      </x:c>
      <x:c r="AO70" s="148" t="n">
        <x:f aca="0">IF(2031&lt;$F70,0,INDEX($I70:$AC70,1,2031-$F70+1))</x:f>
        <x:v>413.57729933034256</x:v>
      </x:c>
      <x:c r="AP70" s="148" t="n">
        <x:f aca="0">IF(2032&lt;$F70,0,INDEX($I70:$AC70,1,2032-$F70+1))</x:f>
        <x:v>481.3312891438333</x:v>
      </x:c>
      <x:c r="AQ70" s="148" t="n">
        <x:f aca="0">IF(2033&lt;$F70,0,INDEX($I70:$AC70,1,2033-$F70+1))</x:f>
        <x:v>547.5120077766618</x:v>
      </x:c>
      <x:c r="AR70" s="148" t="n">
        <x:f aca="0">IF(2034&lt;$F70,0,INDEX($I70:$AC70,1,2034-$F70+1))</x:f>
        <x:v>611.16495057402</x:v>
      </x:c>
      <x:c r="AS70" s="148" t="n">
        <x:f aca="0">IF(2035&lt;$F70,0,INDEX($I70:$AC70,1,2035-$F70+1))</x:f>
        <x:v>671.6101665776436</x:v>
      </x:c>
      <x:c r="AT70" s="148" t="n">
        <x:f aca="0">IF(2036&lt;$F70,0,INDEX($I70:$AC70,1,2036-$F70+1))</x:f>
        <x:v>728.4021201087936</x:v>
      </x:c>
      <x:c r="AU70" s="148" t="n">
        <x:f aca="0">IF(2037&lt;$F70,0,INDEX($I70:$AC70,1,2037-$F70+1))</x:f>
        <x:v>781.2876827246258</x:v>
      </x:c>
      <x:c r="AV70" s="148" t="n">
        <x:f aca="0">IF(2038&lt;$F70,0,INDEX($I70:$AC70,1,2038-$F70+1))</x:f>
        <x:v>830.1662454908798</x:v>
      </x:c>
      <x:c r="AW70" s="148" t="n">
        <x:f aca="0">IF(2039&lt;$F70,0,INDEX($I70:$AC70,1,2039-$F70+1))</x:f>
        <x:v>875.0540616414582</x:v>
      </x:c>
      <x:c r="AX70" s="148" t="n">
        <x:f aca="0">IF(2040&lt;$F70,0,INDEX($I70:$AC70,1,2040-$F70+1))</x:f>
        <x:v>916.053696436778</x:v>
      </x:c>
      <x:c r="AY70" s="1" t="str">
        <x:f aca="0">LEFT($C70,FIND("@",SUBSTITUTE($C70,"|","@",2))-1)</x:f>
        <x:v>Timber Plantation|Medium</x:v>
      </x:c>
      <x:c r="AZ70" s="1" t="str">
        <x:f aca="0">LEFT($C70,FIND("|",$C70)-1)</x:f>
        <x:v>Timber Plantation</x:v>
      </x:c>
      <x:c r="BA70" s="149" t="n">
        <x:f aca="0">I70*I70</x:f>
        <x:v>0</x:v>
      </x:c>
      <x:c r="BB70" s="149" t="n">
        <x:f aca="0">J70*J70</x:f>
        <x:v>0.07690264252551374</x:v>
      </x:c>
      <x:c r="BC70" s="149" t="n">
        <x:f aca="0">K70*K70</x:f>
        <x:v>11.478567062905777</x:v>
      </x:c>
      <x:c r="BD70" s="149" t="n">
        <x:f aca="0">L70*L70</x:f>
        <x:v>176.8639223142602</x:v>
      </x:c>
      <x:c r="BE70" s="149" t="n">
        <x:f aca="0">M70*M70</x:f>
        <x:v>1095.4978813166035</x:v>
      </x:c>
      <x:c r="BF70" s="149" t="n">
        <x:f aca="0">N70*N70</x:f>
        <x:v>4093.6364928254416</x:v>
      </x:c>
      <x:c r="BG70" s="149" t="n">
        <x:f aca="0">O70*O70</x:f>
        <x:v>11156.47216812926</x:v>
      </x:c>
      <x:c r="BH70" s="149" t="n">
        <x:f aca="0">P70*P70</x:f>
        <x:v>24535.24809674001</x:v>
      </x:c>
      <x:c r="BI70" s="149" t="n">
        <x:f aca="0">Q70*Q70</x:f>
        <x:v>46248.10835614385</x:v>
      </x:c>
      <x:c r="BJ70" s="149" t="n">
        <x:f aca="0">R70*R70</x:f>
        <x:v>77679.63325280815</x:v>
      </x:c>
      <x:c r="BK70" s="149" t="n">
        <x:f aca="0">S70*S70</x:f>
        <x:v>119377.61452801875</x:v>
      </x:c>
      <x:c r="BL70" s="149" t="n">
        <x:f aca="0">T70*T70</x:f>
        <x:v>171046.18252137976</x:v>
      </x:c>
      <x:c r="BM70" s="149" t="n">
        <x:f aca="0">U70*U70</x:f>
        <x:v>231679.80990886447</x:v>
      </x:c>
      <x:c r="BN70" s="149" t="n">
        <x:f aca="0">V70*V70</x:f>
        <x:v>299769.3986596314</x:v>
      </x:c>
      <x:c r="BO70" s="149" t="n">
        <x:f aca="0">W70*W70</x:f>
        <x:v>373522.5968101444</x:v>
      </x:c>
      <x:c r="BP70" s="149" t="n">
        <x:f aca="0">X70*X70</x:f>
        <x:v>451060.2158504501</x:v>
      </x:c>
      <x:c r="BQ70" s="149" t="n">
        <x:f aca="0">Y70*Y70</x:f>
        <x:v>530569.6485789854</x:v>
      </x:c>
      <x:c r="BR70" s="149" t="n">
        <x:f aca="0">Z70*Z70</x:f>
        <x:v>610410.4431772156</x:v>
      </x:c>
      <x:c r="BS70" s="149" t="n">
        <x:f aca="0">AA70*AA70</x:f>
        <x:v>689175.9951524236</x:v>
      </x:c>
      <x:c r="BT70" s="149" t="n">
        <x:f aca="0">AB70*AB70</x:f>
        <x:v>765719.610795213</x:v>
      </x:c>
      <x:c r="BU70" s="149" t="n">
        <x:f aca="0">AC70*AC70</x:f>
        <x:v>839154.3747554845</x:v>
      </x:c>
    </x:row>
    <x:row r="71" ht="15" hidden="0" customHeight="1">
      <x:c r="A71" s="1" t="str">
        <x:f aca="0">S13_PSP_Species_Support!A58</x:f>
        <x:v>PSP-TP-017</x:v>
      </x:c>
      <x:c r="B71" s="1" t="n">
        <x:f aca="0">58</x:f>
        <x:v>58</x:v>
      </x:c>
      <x:c r="C71" s="1" t="str">
        <x:f aca="0">S13_PSP_Species_Support!I58</x:f>
        <x:v>Timber Plantation|Medium|2020</x:v>
      </x:c>
      <x:c r="D71" s="1" t="str">
        <x:f aca="0">S13_PSP_Species_Support!C58</x:f>
        <x:v>Timber Plantation</x:v>
      </x:c>
      <x:c r="E71" s="1" t="str">
        <x:f aca="0">S13_PSP_Species_Support!D58</x:f>
        <x:v>Medium</x:v>
      </x:c>
      <x:c r="F71" s="1" t="n">
        <x:f aca="0">S13_PSP_Species_Support!E58</x:f>
        <x:v>2020</x:v>
      </x:c>
      <x:c r="G71" s="645" t="n">
        <x:f aca="0">'S13_PSP_Species_Support'!DJ58</x:f>
        <x:v>0.09</x:v>
      </x:c>
      <x:c r="H71" s="714" t="n">
        <x:f aca="0">'S13_PSP_Species_Support'!DK58</x:f>
        <x:v>71.28007128007128</x:v>
      </x:c>
      <x:c r="I71" s="147" t="n">
        <x:f aca="0">IFERROR((IFERROR(S13_PSP_Species_Support!U58*0.0673*(S13_PSP_Species_Support!V58*(S13_PSP_Species_Support!W58*(1-EXP(-S13_PSP_Species_Support!X58*0))^S13_PSP_Species_Support!Y58)^2*(S13_PSP_Species_Support!Z58*(1-EXP(-S13_PSP_Species_Support!AA58*0))^S13_PSP_Species_Support!AB58))^0.976,0)+IFERROR(S13_PSP_Species_Support!AF58*0.0673*(S13_PSP_Species_Support!AG58*(S13_PSP_Species_Support!AH58*(1-EXP(-S13_PSP_Species_Support!AI58*0))^S13_PSP_Species_Support!AJ58)^2*(S13_PSP_Species_Support!AK58*(1-EXP(-S13_PSP_Species_Support!AL58*0))^S13_PSP_Species_Support!AM58))^0.976,0)+IFERROR(S13_PSP_Species_Support!AQ58*0.0673*(S13_PSP_Species_Support!AR58*(S13_PSP_Species_Support!AS58*(1-EXP(-S13_PSP_Species_Support!AT58*0))^S13_PSP_Species_Support!AU58)^2*(S13_PSP_Species_Support!AV58*(1-EXP(-S13_PSP_Species_Support!AW58*0))^S13_PSP_Species_Support!AX58))^0.976,0)+IFERROR(S13_PSP_Species_Support!BB58*0.0673*(S13_PSP_Species_Support!BC58*(S13_PSP_Species_Support!BD58*(1-EXP(-S13_PSP_Species_Support!BE58*0))^S13_PSP_Species_Support!BF58)^2*(S13_PSP_Species_Support!BG58*(1-EXP(-S13_PSP_Species_Support!BH58*0))^S13_PSP_Species_Support!BI58))^0.976,0)+IFERROR(S13_PSP_Species_Support!BM58*0.0673*(S13_PSP_Species_Support!BN58*(S13_PSP_Species_Support!BO58*(1-EXP(-S13_PSP_Species_Support!BP58*0))^S13_PSP_Species_Support!BQ58)^2*(S13_PSP_Species_Support!BR58*(1-EXP(-S13_PSP_Species_Support!BS58*0))^S13_PSP_Species_Support!BT58))^0.976,0)+IFERROR(S13_PSP_Species_Support!BX58*0.0673*(S13_PSP_Species_Support!BY58*(S13_PSP_Species_Support!BZ58*(1-EXP(-S13_PSP_Species_Support!CA58*0))^S13_PSP_Species_Support!CB58)^2*(S13_PSP_Species_Support!CC58*(1-EXP(-S13_PSP_Species_Support!CD58*0))^S13_PSP_Species_Support!CE58))^0.976,0)+IFERROR(S13_PSP_Species_Support!CI58*0.0673*(S13_PSP_Species_Support!CJ58*(S13_PSP_Species_Support!CK58*(1-EXP(-S13_PSP_Species_Support!CL58*0))^S13_PSP_Species_Support!CM58)^2*(S13_PSP_Species_Support!CN58*(1-EXP(-S13_PSP_Species_Support!CO58*0))^S13_PSP_Species_Support!CP58))^0.976,0)+IFERROR(S13_PSP_Species_Support!CT58*0.0673*(S13_PSP_Species_Support!CU58*(S13_PSP_Species_Support!CV58*(1-EXP(-S13_PSP_Species_Support!CW58*0))^S13_PSP_Species_Support!CX58)^2*(S13_PSP_Species_Support!CY58*(1-EXP(-S13_PSP_Species_Support!CZ58*0))^S13_PSP_Species_Support!DA58))^0.976,0))/1000/$G71*I$108,0)</x:f>
        <x:v>0</x:v>
      </x:c>
      <x:c r="J71" s="147" t="n">
        <x:f aca="0">IFERROR((IFERROR(S13_PSP_Species_Support!U58*0.0673*(S13_PSP_Species_Support!V58*(S13_PSP_Species_Support!W58*(1-EXP(-S13_PSP_Species_Support!X58*1))^S13_PSP_Species_Support!Y58)^2*(S13_PSP_Species_Support!Z58*(1-EXP(-S13_PSP_Species_Support!AA58*1))^S13_PSP_Species_Support!AB58))^0.976,0)+IFERROR(S13_PSP_Species_Support!AF58*0.0673*(S13_PSP_Species_Support!AG58*(S13_PSP_Species_Support!AH58*(1-EXP(-S13_PSP_Species_Support!AI58*1))^S13_PSP_Species_Support!AJ58)^2*(S13_PSP_Species_Support!AK58*(1-EXP(-S13_PSP_Species_Support!AL58*1))^S13_PSP_Species_Support!AM58))^0.976,0)+IFERROR(S13_PSP_Species_Support!AQ58*0.0673*(S13_PSP_Species_Support!AR58*(S13_PSP_Species_Support!AS58*(1-EXP(-S13_PSP_Species_Support!AT58*1))^S13_PSP_Species_Support!AU58)^2*(S13_PSP_Species_Support!AV58*(1-EXP(-S13_PSP_Species_Support!AW58*1))^S13_PSP_Species_Support!AX58))^0.976,0)+IFERROR(S13_PSP_Species_Support!BB58*0.0673*(S13_PSP_Species_Support!BC58*(S13_PSP_Species_Support!BD58*(1-EXP(-S13_PSP_Species_Support!BE58*1))^S13_PSP_Species_Support!BF58)^2*(S13_PSP_Species_Support!BG58*(1-EXP(-S13_PSP_Species_Support!BH58*1))^S13_PSP_Species_Support!BI58))^0.976,0)+IFERROR(S13_PSP_Species_Support!BM58*0.0673*(S13_PSP_Species_Support!BN58*(S13_PSP_Species_Support!BO58*(1-EXP(-S13_PSP_Species_Support!BP58*1))^S13_PSP_Species_Support!BQ58)^2*(S13_PSP_Species_Support!BR58*(1-EXP(-S13_PSP_Species_Support!BS58*1))^S13_PSP_Species_Support!BT58))^0.976,0)+IFERROR(S13_PSP_Species_Support!BX58*0.0673*(S13_PSP_Species_Support!BY58*(S13_PSP_Species_Support!BZ58*(1-EXP(-S13_PSP_Species_Support!CA58*1))^S13_PSP_Species_Support!CB58)^2*(S13_PSP_Species_Support!CC58*(1-EXP(-S13_PSP_Species_Support!CD58*1))^S13_PSP_Species_Support!CE58))^0.976,0)+IFERROR(S13_PSP_Species_Support!CI58*0.0673*(S13_PSP_Species_Support!CJ58*(S13_PSP_Species_Support!CK58*(1-EXP(-S13_PSP_Species_Support!CL58*1))^S13_PSP_Species_Support!CM58)^2*(S13_PSP_Species_Support!CN58*(1-EXP(-S13_PSP_Species_Support!CO58*1))^S13_PSP_Species_Support!CP58))^0.976,0)+IFERROR(S13_PSP_Species_Support!CT58*0.0673*(S13_PSP_Species_Support!CU58*(S13_PSP_Species_Support!CV58*(1-EXP(-S13_PSP_Species_Support!CW58*1))^S13_PSP_Species_Support!CX58)^2*(S13_PSP_Species_Support!CY58*(1-EXP(-S13_PSP_Species_Support!CZ58*1))^S13_PSP_Species_Support!DA58))^0.976,0))/1000/$G71*J$108,0)</x:f>
        <x:v>1.85750365043582</x:v>
      </x:c>
      <x:c r="K71" s="147" t="n">
        <x:f aca="0">IFERROR((IFERROR(S13_PSP_Species_Support!U58*0.0673*(S13_PSP_Species_Support!V58*(S13_PSP_Species_Support!W58*(1-EXP(-S13_PSP_Species_Support!X58*2))^S13_PSP_Species_Support!Y58)^2*(S13_PSP_Species_Support!Z58*(1-EXP(-S13_PSP_Species_Support!AA58*2))^S13_PSP_Species_Support!AB58))^0.976,0)+IFERROR(S13_PSP_Species_Support!AF58*0.0673*(S13_PSP_Species_Support!AG58*(S13_PSP_Species_Support!AH58*(1-EXP(-S13_PSP_Species_Support!AI58*2))^S13_PSP_Species_Support!AJ58)^2*(S13_PSP_Species_Support!AK58*(1-EXP(-S13_PSP_Species_Support!AL58*2))^S13_PSP_Species_Support!AM58))^0.976,0)+IFERROR(S13_PSP_Species_Support!AQ58*0.0673*(S13_PSP_Species_Support!AR58*(S13_PSP_Species_Support!AS58*(1-EXP(-S13_PSP_Species_Support!AT58*2))^S13_PSP_Species_Support!AU58)^2*(S13_PSP_Species_Support!AV58*(1-EXP(-S13_PSP_Species_Support!AW58*2))^S13_PSP_Species_Support!AX58))^0.976,0)+IFERROR(S13_PSP_Species_Support!BB58*0.0673*(S13_PSP_Species_Support!BC58*(S13_PSP_Species_Support!BD58*(1-EXP(-S13_PSP_Species_Support!BE58*2))^S13_PSP_Species_Support!BF58)^2*(S13_PSP_Species_Support!BG58*(1-EXP(-S13_PSP_Species_Support!BH58*2))^S13_PSP_Species_Support!BI58))^0.976,0)+IFERROR(S13_PSP_Species_Support!BM58*0.0673*(S13_PSP_Species_Support!BN58*(S13_PSP_Species_Support!BO58*(1-EXP(-S13_PSP_Species_Support!BP58*2))^S13_PSP_Species_Support!BQ58)^2*(S13_PSP_Species_Support!BR58*(1-EXP(-S13_PSP_Species_Support!BS58*2))^S13_PSP_Species_Support!BT58))^0.976,0)+IFERROR(S13_PSP_Species_Support!BX58*0.0673*(S13_PSP_Species_Support!BY58*(S13_PSP_Species_Support!BZ58*(1-EXP(-S13_PSP_Species_Support!CA58*2))^S13_PSP_Species_Support!CB58)^2*(S13_PSP_Species_Support!CC58*(1-EXP(-S13_PSP_Species_Support!CD58*2))^S13_PSP_Species_Support!CE58))^0.976,0)+IFERROR(S13_PSP_Species_Support!CI58*0.0673*(S13_PSP_Species_Support!CJ58*(S13_PSP_Species_Support!CK58*(1-EXP(-S13_PSP_Species_Support!CL58*2))^S13_PSP_Species_Support!CM58)^2*(S13_PSP_Species_Support!CN58*(1-EXP(-S13_PSP_Species_Support!CO58*2))^S13_PSP_Species_Support!CP58))^0.976,0)+IFERROR(S13_PSP_Species_Support!CT58*0.0673*(S13_PSP_Species_Support!CU58*(S13_PSP_Species_Support!CV58*(1-EXP(-S13_PSP_Species_Support!CW58*2))^S13_PSP_Species_Support!CX58)^2*(S13_PSP_Species_Support!CY58*(1-EXP(-S13_PSP_Species_Support!CZ58*2))^S13_PSP_Species_Support!DA58))^0.976,0))/1000/$G71*K$108,0)</x:f>
        <x:v>17.52458860368257</x:v>
      </x:c>
      <x:c r="L71" s="147" t="n">
        <x:f aca="0">IFERROR((IFERROR(S13_PSP_Species_Support!U58*0.0673*(S13_PSP_Species_Support!V58*(S13_PSP_Species_Support!W58*(1-EXP(-S13_PSP_Species_Support!X58*3))^S13_PSP_Species_Support!Y58)^2*(S13_PSP_Species_Support!Z58*(1-EXP(-S13_PSP_Species_Support!AA58*3))^S13_PSP_Species_Support!AB58))^0.976,0)+IFERROR(S13_PSP_Species_Support!AF58*0.0673*(S13_PSP_Species_Support!AG58*(S13_PSP_Species_Support!AH58*(1-EXP(-S13_PSP_Species_Support!AI58*3))^S13_PSP_Species_Support!AJ58)^2*(S13_PSP_Species_Support!AK58*(1-EXP(-S13_PSP_Species_Support!AL58*3))^S13_PSP_Species_Support!AM58))^0.976,0)+IFERROR(S13_PSP_Species_Support!AQ58*0.0673*(S13_PSP_Species_Support!AR58*(S13_PSP_Species_Support!AS58*(1-EXP(-S13_PSP_Species_Support!AT58*3))^S13_PSP_Species_Support!AU58)^2*(S13_PSP_Species_Support!AV58*(1-EXP(-S13_PSP_Species_Support!AW58*3))^S13_PSP_Species_Support!AX58))^0.976,0)+IFERROR(S13_PSP_Species_Support!BB58*0.0673*(S13_PSP_Species_Support!BC58*(S13_PSP_Species_Support!BD58*(1-EXP(-S13_PSP_Species_Support!BE58*3))^S13_PSP_Species_Support!BF58)^2*(S13_PSP_Species_Support!BG58*(1-EXP(-S13_PSP_Species_Support!BH58*3))^S13_PSP_Species_Support!BI58))^0.976,0)+IFERROR(S13_PSP_Species_Support!BM58*0.0673*(S13_PSP_Species_Support!BN58*(S13_PSP_Species_Support!BO58*(1-EXP(-S13_PSP_Species_Support!BP58*3))^S13_PSP_Species_Support!BQ58)^2*(S13_PSP_Species_Support!BR58*(1-EXP(-S13_PSP_Species_Support!BS58*3))^S13_PSP_Species_Support!BT58))^0.976,0)+IFERROR(S13_PSP_Species_Support!BX58*0.0673*(S13_PSP_Species_Support!BY58*(S13_PSP_Species_Support!BZ58*(1-EXP(-S13_PSP_Species_Support!CA58*3))^S13_PSP_Species_Support!CB58)^2*(S13_PSP_Species_Support!CC58*(1-EXP(-S13_PSP_Species_Support!CD58*3))^S13_PSP_Species_Support!CE58))^0.976,0)+IFERROR(S13_PSP_Species_Support!CI58*0.0673*(S13_PSP_Species_Support!CJ58*(S13_PSP_Species_Support!CK58*(1-EXP(-S13_PSP_Species_Support!CL58*3))^S13_PSP_Species_Support!CM58)^2*(S13_PSP_Species_Support!CN58*(1-EXP(-S13_PSP_Species_Support!CO58*3))^S13_PSP_Species_Support!CP58))^0.976,0)+IFERROR(S13_PSP_Species_Support!CT58*0.0673*(S13_PSP_Species_Support!CU58*(S13_PSP_Species_Support!CV58*(1-EXP(-S13_PSP_Species_Support!CW58*3))^S13_PSP_Species_Support!CX58)^2*(S13_PSP_Species_Support!CY58*(1-EXP(-S13_PSP_Species_Support!CZ58*3))^S13_PSP_Species_Support!DA58))^0.976,0))/1000/$G71*L$108,0)</x:f>
        <x:v>57.99925017501778</x:v>
      </x:c>
      <x:c r="M71" s="147" t="n">
        <x:f aca="0">IFERROR((IFERROR(S13_PSP_Species_Support!U58*0.0673*(S13_PSP_Species_Support!V58*(S13_PSP_Species_Support!W58*(1-EXP(-S13_PSP_Species_Support!X58*4))^S13_PSP_Species_Support!Y58)^2*(S13_PSP_Species_Support!Z58*(1-EXP(-S13_PSP_Species_Support!AA58*4))^S13_PSP_Species_Support!AB58))^0.976,0)+IFERROR(S13_PSP_Species_Support!AF58*0.0673*(S13_PSP_Species_Support!AG58*(S13_PSP_Species_Support!AH58*(1-EXP(-S13_PSP_Species_Support!AI58*4))^S13_PSP_Species_Support!AJ58)^2*(S13_PSP_Species_Support!AK58*(1-EXP(-S13_PSP_Species_Support!AL58*4))^S13_PSP_Species_Support!AM58))^0.976,0)+IFERROR(S13_PSP_Species_Support!AQ58*0.0673*(S13_PSP_Species_Support!AR58*(S13_PSP_Species_Support!AS58*(1-EXP(-S13_PSP_Species_Support!AT58*4))^S13_PSP_Species_Support!AU58)^2*(S13_PSP_Species_Support!AV58*(1-EXP(-S13_PSP_Species_Support!AW58*4))^S13_PSP_Species_Support!AX58))^0.976,0)+IFERROR(S13_PSP_Species_Support!BB58*0.0673*(S13_PSP_Species_Support!BC58*(S13_PSP_Species_Support!BD58*(1-EXP(-S13_PSP_Species_Support!BE58*4))^S13_PSP_Species_Support!BF58)^2*(S13_PSP_Species_Support!BG58*(1-EXP(-S13_PSP_Species_Support!BH58*4))^S13_PSP_Species_Support!BI58))^0.976,0)+IFERROR(S13_PSP_Species_Support!BM58*0.0673*(S13_PSP_Species_Support!BN58*(S13_PSP_Species_Support!BO58*(1-EXP(-S13_PSP_Species_Support!BP58*4))^S13_PSP_Species_Support!BQ58)^2*(S13_PSP_Species_Support!BR58*(1-EXP(-S13_PSP_Species_Support!BS58*4))^S13_PSP_Species_Support!BT58))^0.976,0)+IFERROR(S13_PSP_Species_Support!BX58*0.0673*(S13_PSP_Species_Support!BY58*(S13_PSP_Species_Support!BZ58*(1-EXP(-S13_PSP_Species_Support!CA58*4))^S13_PSP_Species_Support!CB58)^2*(S13_PSP_Species_Support!CC58*(1-EXP(-S13_PSP_Species_Support!CD58*4))^S13_PSP_Species_Support!CE58))^0.976,0)+IFERROR(S13_PSP_Species_Support!CI58*0.0673*(S13_PSP_Species_Support!CJ58*(S13_PSP_Species_Support!CK58*(1-EXP(-S13_PSP_Species_Support!CL58*4))^S13_PSP_Species_Support!CM58)^2*(S13_PSP_Species_Support!CN58*(1-EXP(-S13_PSP_Species_Support!CO58*4))^S13_PSP_Species_Support!CP58))^0.976,0)+IFERROR(S13_PSP_Species_Support!CT58*0.0673*(S13_PSP_Species_Support!CU58*(S13_PSP_Species_Support!CV58*(1-EXP(-S13_PSP_Species_Support!CW58*4))^S13_PSP_Species_Support!CX58)^2*(S13_PSP_Species_Support!CY58*(1-EXP(-S13_PSP_Species_Support!CZ58*4))^S13_PSP_Species_Support!DA58))^0.976,0))/1000/$G71*M$108,0)</x:f>
        <x:v>126.42585413006141</x:v>
      </x:c>
      <x:c r="N71" s="147" t="n">
        <x:f aca="0">IFERROR((IFERROR(S13_PSP_Species_Support!U58*0.0673*(S13_PSP_Species_Support!V58*(S13_PSP_Species_Support!W58*(1-EXP(-S13_PSP_Species_Support!X58*5))^S13_PSP_Species_Support!Y58)^2*(S13_PSP_Species_Support!Z58*(1-EXP(-S13_PSP_Species_Support!AA58*5))^S13_PSP_Species_Support!AB58))^0.976,0)+IFERROR(S13_PSP_Species_Support!AF58*0.0673*(S13_PSP_Species_Support!AG58*(S13_PSP_Species_Support!AH58*(1-EXP(-S13_PSP_Species_Support!AI58*5))^S13_PSP_Species_Support!AJ58)^2*(S13_PSP_Species_Support!AK58*(1-EXP(-S13_PSP_Species_Support!AL58*5))^S13_PSP_Species_Support!AM58))^0.976,0)+IFERROR(S13_PSP_Species_Support!AQ58*0.0673*(S13_PSP_Species_Support!AR58*(S13_PSP_Species_Support!AS58*(1-EXP(-S13_PSP_Species_Support!AT58*5))^S13_PSP_Species_Support!AU58)^2*(S13_PSP_Species_Support!AV58*(1-EXP(-S13_PSP_Species_Support!AW58*5))^S13_PSP_Species_Support!AX58))^0.976,0)+IFERROR(S13_PSP_Species_Support!BB58*0.0673*(S13_PSP_Species_Support!BC58*(S13_PSP_Species_Support!BD58*(1-EXP(-S13_PSP_Species_Support!BE58*5))^S13_PSP_Species_Support!BF58)^2*(S13_PSP_Species_Support!BG58*(1-EXP(-S13_PSP_Species_Support!BH58*5))^S13_PSP_Species_Support!BI58))^0.976,0)+IFERROR(S13_PSP_Species_Support!BM58*0.0673*(S13_PSP_Species_Support!BN58*(S13_PSP_Species_Support!BO58*(1-EXP(-S13_PSP_Species_Support!BP58*5))^S13_PSP_Species_Support!BQ58)^2*(S13_PSP_Species_Support!BR58*(1-EXP(-S13_PSP_Species_Support!BS58*5))^S13_PSP_Species_Support!BT58))^0.976,0)+IFERROR(S13_PSP_Species_Support!BX58*0.0673*(S13_PSP_Species_Support!BY58*(S13_PSP_Species_Support!BZ58*(1-EXP(-S13_PSP_Species_Support!CA58*5))^S13_PSP_Species_Support!CB58)^2*(S13_PSP_Species_Support!CC58*(1-EXP(-S13_PSP_Species_Support!CD58*5))^S13_PSP_Species_Support!CE58))^0.976,0)+IFERROR(S13_PSP_Species_Support!CI58*0.0673*(S13_PSP_Species_Support!CJ58*(S13_PSP_Species_Support!CK58*(1-EXP(-S13_PSP_Species_Support!CL58*5))^S13_PSP_Species_Support!CM58)^2*(S13_PSP_Species_Support!CN58*(1-EXP(-S13_PSP_Species_Support!CO58*5))^S13_PSP_Species_Support!CP58))^0.976,0)+IFERROR(S13_PSP_Species_Support!CT58*0.0673*(S13_PSP_Species_Support!CU58*(S13_PSP_Species_Support!CV58*(1-EXP(-S13_PSP_Species_Support!CW58*5))^S13_PSP_Species_Support!CX58)^2*(S13_PSP_Species_Support!CY58*(1-EXP(-S13_PSP_Species_Support!CZ58*5))^S13_PSP_Species_Support!DA58))^0.976,0))/1000/$G71*N$108,0)</x:f>
        <x:v>218.89801277868733</x:v>
      </x:c>
      <x:c r="O71" s="147" t="n">
        <x:f aca="0">IFERROR((IFERROR(S13_PSP_Species_Support!U58*0.0673*(S13_PSP_Species_Support!V58*(S13_PSP_Species_Support!W58*(1-EXP(-S13_PSP_Species_Support!X58*6))^S13_PSP_Species_Support!Y58)^2*(S13_PSP_Species_Support!Z58*(1-EXP(-S13_PSP_Species_Support!AA58*6))^S13_PSP_Species_Support!AB58))^0.976,0)+IFERROR(S13_PSP_Species_Support!AF58*0.0673*(S13_PSP_Species_Support!AG58*(S13_PSP_Species_Support!AH58*(1-EXP(-S13_PSP_Species_Support!AI58*6))^S13_PSP_Species_Support!AJ58)^2*(S13_PSP_Species_Support!AK58*(1-EXP(-S13_PSP_Species_Support!AL58*6))^S13_PSP_Species_Support!AM58))^0.976,0)+IFERROR(S13_PSP_Species_Support!AQ58*0.0673*(S13_PSP_Species_Support!AR58*(S13_PSP_Species_Support!AS58*(1-EXP(-S13_PSP_Species_Support!AT58*6))^S13_PSP_Species_Support!AU58)^2*(S13_PSP_Species_Support!AV58*(1-EXP(-S13_PSP_Species_Support!AW58*6))^S13_PSP_Species_Support!AX58))^0.976,0)+IFERROR(S13_PSP_Species_Support!BB58*0.0673*(S13_PSP_Species_Support!BC58*(S13_PSP_Species_Support!BD58*(1-EXP(-S13_PSP_Species_Support!BE58*6))^S13_PSP_Species_Support!BF58)^2*(S13_PSP_Species_Support!BG58*(1-EXP(-S13_PSP_Species_Support!BH58*6))^S13_PSP_Species_Support!BI58))^0.976,0)+IFERROR(S13_PSP_Species_Support!BM58*0.0673*(S13_PSP_Species_Support!BN58*(S13_PSP_Species_Support!BO58*(1-EXP(-S13_PSP_Species_Support!BP58*6))^S13_PSP_Species_Support!BQ58)^2*(S13_PSP_Species_Support!BR58*(1-EXP(-S13_PSP_Species_Support!BS58*6))^S13_PSP_Species_Support!BT58))^0.976,0)+IFERROR(S13_PSP_Species_Support!BX58*0.0673*(S13_PSP_Species_Support!BY58*(S13_PSP_Species_Support!BZ58*(1-EXP(-S13_PSP_Species_Support!CA58*6))^S13_PSP_Species_Support!CB58)^2*(S13_PSP_Species_Support!CC58*(1-EXP(-S13_PSP_Species_Support!CD58*6))^S13_PSP_Species_Support!CE58))^0.976,0)+IFERROR(S13_PSP_Species_Support!CI58*0.0673*(S13_PSP_Species_Support!CJ58*(S13_PSP_Species_Support!CK58*(1-EXP(-S13_PSP_Species_Support!CL58*6))^S13_PSP_Species_Support!CM58)^2*(S13_PSP_Species_Support!CN58*(1-EXP(-S13_PSP_Species_Support!CO58*6))^S13_PSP_Species_Support!CP58))^0.976,0)+IFERROR(S13_PSP_Species_Support!CT58*0.0673*(S13_PSP_Species_Support!CU58*(S13_PSP_Species_Support!CV58*(1-EXP(-S13_PSP_Species_Support!CW58*6))^S13_PSP_Species_Support!CX58)^2*(S13_PSP_Species_Support!CY58*(1-EXP(-S13_PSP_Species_Support!CZ58*6))^S13_PSP_Species_Support!DA58))^0.976,0))/1000/$G71*O$108,0)</x:f>
        <x:v>328.6896956306501</x:v>
      </x:c>
      <x:c r="P71" s="147" t="n">
        <x:f aca="0">IFERROR((IFERROR(S13_PSP_Species_Support!U58*0.0673*(S13_PSP_Species_Support!V58*(S13_PSP_Species_Support!W58*(1-EXP(-S13_PSP_Species_Support!X58*7))^S13_PSP_Species_Support!Y58)^2*(S13_PSP_Species_Support!Z58*(1-EXP(-S13_PSP_Species_Support!AA58*7))^S13_PSP_Species_Support!AB58))^0.976,0)+IFERROR(S13_PSP_Species_Support!AF58*0.0673*(S13_PSP_Species_Support!AG58*(S13_PSP_Species_Support!AH58*(1-EXP(-S13_PSP_Species_Support!AI58*7))^S13_PSP_Species_Support!AJ58)^2*(S13_PSP_Species_Support!AK58*(1-EXP(-S13_PSP_Species_Support!AL58*7))^S13_PSP_Species_Support!AM58))^0.976,0)+IFERROR(S13_PSP_Species_Support!AQ58*0.0673*(S13_PSP_Species_Support!AR58*(S13_PSP_Species_Support!AS58*(1-EXP(-S13_PSP_Species_Support!AT58*7))^S13_PSP_Species_Support!AU58)^2*(S13_PSP_Species_Support!AV58*(1-EXP(-S13_PSP_Species_Support!AW58*7))^S13_PSP_Species_Support!AX58))^0.976,0)+IFERROR(S13_PSP_Species_Support!BB58*0.0673*(S13_PSP_Species_Support!BC58*(S13_PSP_Species_Support!BD58*(1-EXP(-S13_PSP_Species_Support!BE58*7))^S13_PSP_Species_Support!BF58)^2*(S13_PSP_Species_Support!BG58*(1-EXP(-S13_PSP_Species_Support!BH58*7))^S13_PSP_Species_Support!BI58))^0.976,0)+IFERROR(S13_PSP_Species_Support!BM58*0.0673*(S13_PSP_Species_Support!BN58*(S13_PSP_Species_Support!BO58*(1-EXP(-S13_PSP_Species_Support!BP58*7))^S13_PSP_Species_Support!BQ58)^2*(S13_PSP_Species_Support!BR58*(1-EXP(-S13_PSP_Species_Support!BS58*7))^S13_PSP_Species_Support!BT58))^0.976,0)+IFERROR(S13_PSP_Species_Support!BX58*0.0673*(S13_PSP_Species_Support!BY58*(S13_PSP_Species_Support!BZ58*(1-EXP(-S13_PSP_Species_Support!CA58*7))^S13_PSP_Species_Support!CB58)^2*(S13_PSP_Species_Support!CC58*(1-EXP(-S13_PSP_Species_Support!CD58*7))^S13_PSP_Species_Support!CE58))^0.976,0)+IFERROR(S13_PSP_Species_Support!CI58*0.0673*(S13_PSP_Species_Support!CJ58*(S13_PSP_Species_Support!CK58*(1-EXP(-S13_PSP_Species_Support!CL58*7))^S13_PSP_Species_Support!CM58)^2*(S13_PSP_Species_Support!CN58*(1-EXP(-S13_PSP_Species_Support!CO58*7))^S13_PSP_Species_Support!CP58))^0.976,0)+IFERROR(S13_PSP_Species_Support!CT58*0.0673*(S13_PSP_Species_Support!CU58*(S13_PSP_Species_Support!CV58*(1-EXP(-S13_PSP_Species_Support!CW58*7))^S13_PSP_Species_Support!CX58)^2*(S13_PSP_Species_Support!CY58*(1-EXP(-S13_PSP_Species_Support!CZ58*7))^S13_PSP_Species_Support!DA58))^0.976,0))/1000/$G71*P$108,0)</x:f>
        <x:v>448.5191997612544</x:v>
      </x:c>
      <x:c r="Q71" s="147" t="n">
        <x:f aca="0">IFERROR((IFERROR(S13_PSP_Species_Support!U58*0.0673*(S13_PSP_Species_Support!V58*(S13_PSP_Species_Support!W58*(1-EXP(-S13_PSP_Species_Support!X58*8))^S13_PSP_Species_Support!Y58)^2*(S13_PSP_Species_Support!Z58*(1-EXP(-S13_PSP_Species_Support!AA58*8))^S13_PSP_Species_Support!AB58))^0.976,0)+IFERROR(S13_PSP_Species_Support!AF58*0.0673*(S13_PSP_Species_Support!AG58*(S13_PSP_Species_Support!AH58*(1-EXP(-S13_PSP_Species_Support!AI58*8))^S13_PSP_Species_Support!AJ58)^2*(S13_PSP_Species_Support!AK58*(1-EXP(-S13_PSP_Species_Support!AL58*8))^S13_PSP_Species_Support!AM58))^0.976,0)+IFERROR(S13_PSP_Species_Support!AQ58*0.0673*(S13_PSP_Species_Support!AR58*(S13_PSP_Species_Support!AS58*(1-EXP(-S13_PSP_Species_Support!AT58*8))^S13_PSP_Species_Support!AU58)^2*(S13_PSP_Species_Support!AV58*(1-EXP(-S13_PSP_Species_Support!AW58*8))^S13_PSP_Species_Support!AX58))^0.976,0)+IFERROR(S13_PSP_Species_Support!BB58*0.0673*(S13_PSP_Species_Support!BC58*(S13_PSP_Species_Support!BD58*(1-EXP(-S13_PSP_Species_Support!BE58*8))^S13_PSP_Species_Support!BF58)^2*(S13_PSP_Species_Support!BG58*(1-EXP(-S13_PSP_Species_Support!BH58*8))^S13_PSP_Species_Support!BI58))^0.976,0)+IFERROR(S13_PSP_Species_Support!BM58*0.0673*(S13_PSP_Species_Support!BN58*(S13_PSP_Species_Support!BO58*(1-EXP(-S13_PSP_Species_Support!BP58*8))^S13_PSP_Species_Support!BQ58)^2*(S13_PSP_Species_Support!BR58*(1-EXP(-S13_PSP_Species_Support!BS58*8))^S13_PSP_Species_Support!BT58))^0.976,0)+IFERROR(S13_PSP_Species_Support!BX58*0.0673*(S13_PSP_Species_Support!BY58*(S13_PSP_Species_Support!BZ58*(1-EXP(-S13_PSP_Species_Support!CA58*8))^S13_PSP_Species_Support!CB58)^2*(S13_PSP_Species_Support!CC58*(1-EXP(-S13_PSP_Species_Support!CD58*8))^S13_PSP_Species_Support!CE58))^0.976,0)+IFERROR(S13_PSP_Species_Support!CI58*0.0673*(S13_PSP_Species_Support!CJ58*(S13_PSP_Species_Support!CK58*(1-EXP(-S13_PSP_Species_Support!CL58*8))^S13_PSP_Species_Support!CM58)^2*(S13_PSP_Species_Support!CN58*(1-EXP(-S13_PSP_Species_Support!CO58*8))^S13_PSP_Species_Support!CP58))^0.976,0)+IFERROR(S13_PSP_Species_Support!CT58*0.0673*(S13_PSP_Species_Support!CU58*(S13_PSP_Species_Support!CV58*(1-EXP(-S13_PSP_Species_Support!CW58*8))^S13_PSP_Species_Support!CX58)^2*(S13_PSP_Species_Support!CY58*(1-EXP(-S13_PSP_Species_Support!CZ58*8))^S13_PSP_Species_Support!DA58))^0.976,0))/1000/$G71*Q$108,0)</x:f>
        <x:v>571.8941073686545</x:v>
      </x:c>
      <x:c r="R71" s="147" t="n">
        <x:f aca="0">IFERROR((IFERROR(S13_PSP_Species_Support!U58*0.0673*(S13_PSP_Species_Support!V58*(S13_PSP_Species_Support!W58*(1-EXP(-S13_PSP_Species_Support!X58*9))^S13_PSP_Species_Support!Y58)^2*(S13_PSP_Species_Support!Z58*(1-EXP(-S13_PSP_Species_Support!AA58*9))^S13_PSP_Species_Support!AB58))^0.976,0)+IFERROR(S13_PSP_Species_Support!AF58*0.0673*(S13_PSP_Species_Support!AG58*(S13_PSP_Species_Support!AH58*(1-EXP(-S13_PSP_Species_Support!AI58*9))^S13_PSP_Species_Support!AJ58)^2*(S13_PSP_Species_Support!AK58*(1-EXP(-S13_PSP_Species_Support!AL58*9))^S13_PSP_Species_Support!AM58))^0.976,0)+IFERROR(S13_PSP_Species_Support!AQ58*0.0673*(S13_PSP_Species_Support!AR58*(S13_PSP_Species_Support!AS58*(1-EXP(-S13_PSP_Species_Support!AT58*9))^S13_PSP_Species_Support!AU58)^2*(S13_PSP_Species_Support!AV58*(1-EXP(-S13_PSP_Species_Support!AW58*9))^S13_PSP_Species_Support!AX58))^0.976,0)+IFERROR(S13_PSP_Species_Support!BB58*0.0673*(S13_PSP_Species_Support!BC58*(S13_PSP_Species_Support!BD58*(1-EXP(-S13_PSP_Species_Support!BE58*9))^S13_PSP_Species_Support!BF58)^2*(S13_PSP_Species_Support!BG58*(1-EXP(-S13_PSP_Species_Support!BH58*9))^S13_PSP_Species_Support!BI58))^0.976,0)+IFERROR(S13_PSP_Species_Support!BM58*0.0673*(S13_PSP_Species_Support!BN58*(S13_PSP_Species_Support!BO58*(1-EXP(-S13_PSP_Species_Support!BP58*9))^S13_PSP_Species_Support!BQ58)^2*(S13_PSP_Species_Support!BR58*(1-EXP(-S13_PSP_Species_Support!BS58*9))^S13_PSP_Species_Support!BT58))^0.976,0)+IFERROR(S13_PSP_Species_Support!BX58*0.0673*(S13_PSP_Species_Support!BY58*(S13_PSP_Species_Support!BZ58*(1-EXP(-S13_PSP_Species_Support!CA58*9))^S13_PSP_Species_Support!CB58)^2*(S13_PSP_Species_Support!CC58*(1-EXP(-S13_PSP_Species_Support!CD58*9))^S13_PSP_Species_Support!CE58))^0.976,0)+IFERROR(S13_PSP_Species_Support!CI58*0.0673*(S13_PSP_Species_Support!CJ58*(S13_PSP_Species_Support!CK58*(1-EXP(-S13_PSP_Species_Support!CL58*9))^S13_PSP_Species_Support!CM58)^2*(S13_PSP_Species_Support!CN58*(1-EXP(-S13_PSP_Species_Support!CO58*9))^S13_PSP_Species_Support!CP58))^0.976,0)+IFERROR(S13_PSP_Species_Support!CT58*0.0673*(S13_PSP_Species_Support!CU58*(S13_PSP_Species_Support!CV58*(1-EXP(-S13_PSP_Species_Support!CW58*9))^S13_PSP_Species_Support!CX58)^2*(S13_PSP_Species_Support!CY58*(1-EXP(-S13_PSP_Species_Support!CZ58*9))^S13_PSP_Species_Support!DA58))^0.976,0))/1000/$G71*R$108,0)</x:f>
        <x:v>693.6693881427937</x:v>
      </x:c>
      <x:c r="S71" s="147" t="n">
        <x:f aca="0">IFERROR((IFERROR(S13_PSP_Species_Support!U58*0.0673*(S13_PSP_Species_Support!V58*(S13_PSP_Species_Support!W58*(1-EXP(-S13_PSP_Species_Support!X58*10))^S13_PSP_Species_Support!Y58)^2*(S13_PSP_Species_Support!Z58*(1-EXP(-S13_PSP_Species_Support!AA58*10))^S13_PSP_Species_Support!AB58))^0.976,0)+IFERROR(S13_PSP_Species_Support!AF58*0.0673*(S13_PSP_Species_Support!AG58*(S13_PSP_Species_Support!AH58*(1-EXP(-S13_PSP_Species_Support!AI58*10))^S13_PSP_Species_Support!AJ58)^2*(S13_PSP_Species_Support!AK58*(1-EXP(-S13_PSP_Species_Support!AL58*10))^S13_PSP_Species_Support!AM58))^0.976,0)+IFERROR(S13_PSP_Species_Support!AQ58*0.0673*(S13_PSP_Species_Support!AR58*(S13_PSP_Species_Support!AS58*(1-EXP(-S13_PSP_Species_Support!AT58*10))^S13_PSP_Species_Support!AU58)^2*(S13_PSP_Species_Support!AV58*(1-EXP(-S13_PSP_Species_Support!AW58*10))^S13_PSP_Species_Support!AX58))^0.976,0)+IFERROR(S13_PSP_Species_Support!BB58*0.0673*(S13_PSP_Species_Support!BC58*(S13_PSP_Species_Support!BD58*(1-EXP(-S13_PSP_Species_Support!BE58*10))^S13_PSP_Species_Support!BF58)^2*(S13_PSP_Species_Support!BG58*(1-EXP(-S13_PSP_Species_Support!BH58*10))^S13_PSP_Species_Support!BI58))^0.976,0)+IFERROR(S13_PSP_Species_Support!BM58*0.0673*(S13_PSP_Species_Support!BN58*(S13_PSP_Species_Support!BO58*(1-EXP(-S13_PSP_Species_Support!BP58*10))^S13_PSP_Species_Support!BQ58)^2*(S13_PSP_Species_Support!BR58*(1-EXP(-S13_PSP_Species_Support!BS58*10))^S13_PSP_Species_Support!BT58))^0.976,0)+IFERROR(S13_PSP_Species_Support!BX58*0.0673*(S13_PSP_Species_Support!BY58*(S13_PSP_Species_Support!BZ58*(1-EXP(-S13_PSP_Species_Support!CA58*10))^S13_PSP_Species_Support!CB58)^2*(S13_PSP_Species_Support!CC58*(1-EXP(-S13_PSP_Species_Support!CD58*10))^S13_PSP_Species_Support!CE58))^0.976,0)+IFERROR(S13_PSP_Species_Support!CI58*0.0673*(S13_PSP_Species_Support!CJ58*(S13_PSP_Species_Support!CK58*(1-EXP(-S13_PSP_Species_Support!CL58*10))^S13_PSP_Species_Support!CM58)^2*(S13_PSP_Species_Support!CN58*(1-EXP(-S13_PSP_Species_Support!CO58*10))^S13_PSP_Species_Support!CP58))^0.976,0)+IFERROR(S13_PSP_Species_Support!CT58*0.0673*(S13_PSP_Species_Support!CU58*(S13_PSP_Species_Support!CV58*(1-EXP(-S13_PSP_Species_Support!CW58*10))^S13_PSP_Species_Support!CX58)^2*(S13_PSP_Species_Support!CY58*(1-EXP(-S13_PSP_Species_Support!CZ58*10))^S13_PSP_Species_Support!DA58))^0.976,0))/1000/$G71*S$108,0)</x:f>
        <x:v>810.1367532612311</x:v>
      </x:c>
      <x:c r="T71" s="147" t="n">
        <x:f aca="0">IFERROR((IFERROR(S13_PSP_Species_Support!U58*0.0673*(S13_PSP_Species_Support!V58*(S13_PSP_Species_Support!W58*(1-EXP(-S13_PSP_Species_Support!X58*11))^S13_PSP_Species_Support!Y58)^2*(S13_PSP_Species_Support!Z58*(1-EXP(-S13_PSP_Species_Support!AA58*11))^S13_PSP_Species_Support!AB58))^0.976,0)+IFERROR(S13_PSP_Species_Support!AF58*0.0673*(S13_PSP_Species_Support!AG58*(S13_PSP_Species_Support!AH58*(1-EXP(-S13_PSP_Species_Support!AI58*11))^S13_PSP_Species_Support!AJ58)^2*(S13_PSP_Species_Support!AK58*(1-EXP(-S13_PSP_Species_Support!AL58*11))^S13_PSP_Species_Support!AM58))^0.976,0)+IFERROR(S13_PSP_Species_Support!AQ58*0.0673*(S13_PSP_Species_Support!AR58*(S13_PSP_Species_Support!AS58*(1-EXP(-S13_PSP_Species_Support!AT58*11))^S13_PSP_Species_Support!AU58)^2*(S13_PSP_Species_Support!AV58*(1-EXP(-S13_PSP_Species_Support!AW58*11))^S13_PSP_Species_Support!AX58))^0.976,0)+IFERROR(S13_PSP_Species_Support!BB58*0.0673*(S13_PSP_Species_Support!BC58*(S13_PSP_Species_Support!BD58*(1-EXP(-S13_PSP_Species_Support!BE58*11))^S13_PSP_Species_Support!BF58)^2*(S13_PSP_Species_Support!BG58*(1-EXP(-S13_PSP_Species_Support!BH58*11))^S13_PSP_Species_Support!BI58))^0.976,0)+IFERROR(S13_PSP_Species_Support!BM58*0.0673*(S13_PSP_Species_Support!BN58*(S13_PSP_Species_Support!BO58*(1-EXP(-S13_PSP_Species_Support!BP58*11))^S13_PSP_Species_Support!BQ58)^2*(S13_PSP_Species_Support!BR58*(1-EXP(-S13_PSP_Species_Support!BS58*11))^S13_PSP_Species_Support!BT58))^0.976,0)+IFERROR(S13_PSP_Species_Support!BX58*0.0673*(S13_PSP_Species_Support!BY58*(S13_PSP_Species_Support!BZ58*(1-EXP(-S13_PSP_Species_Support!CA58*11))^S13_PSP_Species_Support!CB58)^2*(S13_PSP_Species_Support!CC58*(1-EXP(-S13_PSP_Species_Support!CD58*11))^S13_PSP_Species_Support!CE58))^0.976,0)+IFERROR(S13_PSP_Species_Support!CI58*0.0673*(S13_PSP_Species_Support!CJ58*(S13_PSP_Species_Support!CK58*(1-EXP(-S13_PSP_Species_Support!CL58*11))^S13_PSP_Species_Support!CM58)^2*(S13_PSP_Species_Support!CN58*(1-EXP(-S13_PSP_Species_Support!CO58*11))^S13_PSP_Species_Support!CP58))^0.976,0)+IFERROR(S13_PSP_Species_Support!CT58*0.0673*(S13_PSP_Species_Support!CU58*(S13_PSP_Species_Support!CV58*(1-EXP(-S13_PSP_Species_Support!CW58*11))^S13_PSP_Species_Support!CX58)^2*(S13_PSP_Species_Support!CY58*(1-EXP(-S13_PSP_Species_Support!CZ58*11))^S13_PSP_Species_Support!DA58))^0.976,0))/1000/$G71*T$108,0)</x:f>
        <x:v>918.8767143249429</x:v>
      </x:c>
      <x:c r="U71" s="147" t="n">
        <x:f aca="0">IFERROR((IFERROR(S13_PSP_Species_Support!U58*0.0673*(S13_PSP_Species_Support!V58*(S13_PSP_Species_Support!W58*(1-EXP(-S13_PSP_Species_Support!X58*12))^S13_PSP_Species_Support!Y58)^2*(S13_PSP_Species_Support!Z58*(1-EXP(-S13_PSP_Species_Support!AA58*12))^S13_PSP_Species_Support!AB58))^0.976,0)+IFERROR(S13_PSP_Species_Support!AF58*0.0673*(S13_PSP_Species_Support!AG58*(S13_PSP_Species_Support!AH58*(1-EXP(-S13_PSP_Species_Support!AI58*12))^S13_PSP_Species_Support!AJ58)^2*(S13_PSP_Species_Support!AK58*(1-EXP(-S13_PSP_Species_Support!AL58*12))^S13_PSP_Species_Support!AM58))^0.976,0)+IFERROR(S13_PSP_Species_Support!AQ58*0.0673*(S13_PSP_Species_Support!AR58*(S13_PSP_Species_Support!AS58*(1-EXP(-S13_PSP_Species_Support!AT58*12))^S13_PSP_Species_Support!AU58)^2*(S13_PSP_Species_Support!AV58*(1-EXP(-S13_PSP_Species_Support!AW58*12))^S13_PSP_Species_Support!AX58))^0.976,0)+IFERROR(S13_PSP_Species_Support!BB58*0.0673*(S13_PSP_Species_Support!BC58*(S13_PSP_Species_Support!BD58*(1-EXP(-S13_PSP_Species_Support!BE58*12))^S13_PSP_Species_Support!BF58)^2*(S13_PSP_Species_Support!BG58*(1-EXP(-S13_PSP_Species_Support!BH58*12))^S13_PSP_Species_Support!BI58))^0.976,0)+IFERROR(S13_PSP_Species_Support!BM58*0.0673*(S13_PSP_Species_Support!BN58*(S13_PSP_Species_Support!BO58*(1-EXP(-S13_PSP_Species_Support!BP58*12))^S13_PSP_Species_Support!BQ58)^2*(S13_PSP_Species_Support!BR58*(1-EXP(-S13_PSP_Species_Support!BS58*12))^S13_PSP_Species_Support!BT58))^0.976,0)+IFERROR(S13_PSP_Species_Support!BX58*0.0673*(S13_PSP_Species_Support!BY58*(S13_PSP_Species_Support!BZ58*(1-EXP(-S13_PSP_Species_Support!CA58*12))^S13_PSP_Species_Support!CB58)^2*(S13_PSP_Species_Support!CC58*(1-EXP(-S13_PSP_Species_Support!CD58*12))^S13_PSP_Species_Support!CE58))^0.976,0)+IFERROR(S13_PSP_Species_Support!CI58*0.0673*(S13_PSP_Species_Support!CJ58*(S13_PSP_Species_Support!CK58*(1-EXP(-S13_PSP_Species_Support!CL58*12))^S13_PSP_Species_Support!CM58)^2*(S13_PSP_Species_Support!CN58*(1-EXP(-S13_PSP_Species_Support!CO58*12))^S13_PSP_Species_Support!CP58))^0.976,0)+IFERROR(S13_PSP_Species_Support!CT58*0.0673*(S13_PSP_Species_Support!CU58*(S13_PSP_Species_Support!CV58*(1-EXP(-S13_PSP_Species_Support!CW58*12))^S13_PSP_Species_Support!CX58)^2*(S13_PSP_Species_Support!CY58*(1-EXP(-S13_PSP_Species_Support!CZ58*12))^S13_PSP_Species_Support!DA58))^0.976,0))/1000/$G71*U$108,0)</x:f>
        <x:v>1018.5177191196043</x:v>
      </x:c>
      <x:c r="V71" s="147" t="n">
        <x:f aca="0">IFERROR((IFERROR(S13_PSP_Species_Support!U58*0.0673*(S13_PSP_Species_Support!V58*(S13_PSP_Species_Support!W58*(1-EXP(-S13_PSP_Species_Support!X58*13))^S13_PSP_Species_Support!Y58)^2*(S13_PSP_Species_Support!Z58*(1-EXP(-S13_PSP_Species_Support!AA58*13))^S13_PSP_Species_Support!AB58))^0.976,0)+IFERROR(S13_PSP_Species_Support!AF58*0.0673*(S13_PSP_Species_Support!AG58*(S13_PSP_Species_Support!AH58*(1-EXP(-S13_PSP_Species_Support!AI58*13))^S13_PSP_Species_Support!AJ58)^2*(S13_PSP_Species_Support!AK58*(1-EXP(-S13_PSP_Species_Support!AL58*13))^S13_PSP_Species_Support!AM58))^0.976,0)+IFERROR(S13_PSP_Species_Support!AQ58*0.0673*(S13_PSP_Species_Support!AR58*(S13_PSP_Species_Support!AS58*(1-EXP(-S13_PSP_Species_Support!AT58*13))^S13_PSP_Species_Support!AU58)^2*(S13_PSP_Species_Support!AV58*(1-EXP(-S13_PSP_Species_Support!AW58*13))^S13_PSP_Species_Support!AX58))^0.976,0)+IFERROR(S13_PSP_Species_Support!BB58*0.0673*(S13_PSP_Species_Support!BC58*(S13_PSP_Species_Support!BD58*(1-EXP(-S13_PSP_Species_Support!BE58*13))^S13_PSP_Species_Support!BF58)^2*(S13_PSP_Species_Support!BG58*(1-EXP(-S13_PSP_Species_Support!BH58*13))^S13_PSP_Species_Support!BI58))^0.976,0)+IFERROR(S13_PSP_Species_Support!BM58*0.0673*(S13_PSP_Species_Support!BN58*(S13_PSP_Species_Support!BO58*(1-EXP(-S13_PSP_Species_Support!BP58*13))^S13_PSP_Species_Support!BQ58)^2*(S13_PSP_Species_Support!BR58*(1-EXP(-S13_PSP_Species_Support!BS58*13))^S13_PSP_Species_Support!BT58))^0.976,0)+IFERROR(S13_PSP_Species_Support!BX58*0.0673*(S13_PSP_Species_Support!BY58*(S13_PSP_Species_Support!BZ58*(1-EXP(-S13_PSP_Species_Support!CA58*13))^S13_PSP_Species_Support!CB58)^2*(S13_PSP_Species_Support!CC58*(1-EXP(-S13_PSP_Species_Support!CD58*13))^S13_PSP_Species_Support!CE58))^0.976,0)+IFERROR(S13_PSP_Species_Support!CI58*0.0673*(S13_PSP_Species_Support!CJ58*(S13_PSP_Species_Support!CK58*(1-EXP(-S13_PSP_Species_Support!CL58*13))^S13_PSP_Species_Support!CM58)^2*(S13_PSP_Species_Support!CN58*(1-EXP(-S13_PSP_Species_Support!CO58*13))^S13_PSP_Species_Support!CP58))^0.976,0)+IFERROR(S13_PSP_Species_Support!CT58*0.0673*(S13_PSP_Species_Support!CU58*(S13_PSP_Species_Support!CV58*(1-EXP(-S13_PSP_Species_Support!CW58*13))^S13_PSP_Species_Support!CX58)^2*(S13_PSP_Species_Support!CY58*(1-EXP(-S13_PSP_Species_Support!CZ58*13))^S13_PSP_Species_Support!DA58))^0.976,0))/1000/$G71*V$108,0)</x:f>
        <x:v>1108.4825105026182</x:v>
      </x:c>
      <x:c r="W71" s="147" t="n">
        <x:f aca="0">IFERROR((IFERROR(S13_PSP_Species_Support!U58*0.0673*(S13_PSP_Species_Support!V58*(S13_PSP_Species_Support!W58*(1-EXP(-S13_PSP_Species_Support!X58*14))^S13_PSP_Species_Support!Y58)^2*(S13_PSP_Species_Support!Z58*(1-EXP(-S13_PSP_Species_Support!AA58*14))^S13_PSP_Species_Support!AB58))^0.976,0)+IFERROR(S13_PSP_Species_Support!AF58*0.0673*(S13_PSP_Species_Support!AG58*(S13_PSP_Species_Support!AH58*(1-EXP(-S13_PSP_Species_Support!AI58*14))^S13_PSP_Species_Support!AJ58)^2*(S13_PSP_Species_Support!AK58*(1-EXP(-S13_PSP_Species_Support!AL58*14))^S13_PSP_Species_Support!AM58))^0.976,0)+IFERROR(S13_PSP_Species_Support!AQ58*0.0673*(S13_PSP_Species_Support!AR58*(S13_PSP_Species_Support!AS58*(1-EXP(-S13_PSP_Species_Support!AT58*14))^S13_PSP_Species_Support!AU58)^2*(S13_PSP_Species_Support!AV58*(1-EXP(-S13_PSP_Species_Support!AW58*14))^S13_PSP_Species_Support!AX58))^0.976,0)+IFERROR(S13_PSP_Species_Support!BB58*0.0673*(S13_PSP_Species_Support!BC58*(S13_PSP_Species_Support!BD58*(1-EXP(-S13_PSP_Species_Support!BE58*14))^S13_PSP_Species_Support!BF58)^2*(S13_PSP_Species_Support!BG58*(1-EXP(-S13_PSP_Species_Support!BH58*14))^S13_PSP_Species_Support!BI58))^0.976,0)+IFERROR(S13_PSP_Species_Support!BM58*0.0673*(S13_PSP_Species_Support!BN58*(S13_PSP_Species_Support!BO58*(1-EXP(-S13_PSP_Species_Support!BP58*14))^S13_PSP_Species_Support!BQ58)^2*(S13_PSP_Species_Support!BR58*(1-EXP(-S13_PSP_Species_Support!BS58*14))^S13_PSP_Species_Support!BT58))^0.976,0)+IFERROR(S13_PSP_Species_Support!BX58*0.0673*(S13_PSP_Species_Support!BY58*(S13_PSP_Species_Support!BZ58*(1-EXP(-S13_PSP_Species_Support!CA58*14))^S13_PSP_Species_Support!CB58)^2*(S13_PSP_Species_Support!CC58*(1-EXP(-S13_PSP_Species_Support!CD58*14))^S13_PSP_Species_Support!CE58))^0.976,0)+IFERROR(S13_PSP_Species_Support!CI58*0.0673*(S13_PSP_Species_Support!CJ58*(S13_PSP_Species_Support!CK58*(1-EXP(-S13_PSP_Species_Support!CL58*14))^S13_PSP_Species_Support!CM58)^2*(S13_PSP_Species_Support!CN58*(1-EXP(-S13_PSP_Species_Support!CO58*14))^S13_PSP_Species_Support!CP58))^0.976,0)+IFERROR(S13_PSP_Species_Support!CT58*0.0673*(S13_PSP_Species_Support!CU58*(S13_PSP_Species_Support!CV58*(1-EXP(-S13_PSP_Species_Support!CW58*14))^S13_PSP_Species_Support!CX58)^2*(S13_PSP_Species_Support!CY58*(1-EXP(-S13_PSP_Species_Support!CZ58*14))^S13_PSP_Species_Support!DA58))^0.976,0))/1000/$G71*W$108,0)</x:f>
        <x:v>1188.7605136005795</x:v>
      </x:c>
      <x:c r="X71" s="147" t="n">
        <x:f aca="0">IFERROR((IFERROR(S13_PSP_Species_Support!U58*0.0673*(S13_PSP_Species_Support!V58*(S13_PSP_Species_Support!W58*(1-EXP(-S13_PSP_Species_Support!X58*15))^S13_PSP_Species_Support!Y58)^2*(S13_PSP_Species_Support!Z58*(1-EXP(-S13_PSP_Species_Support!AA58*15))^S13_PSP_Species_Support!AB58))^0.976,0)+IFERROR(S13_PSP_Species_Support!AF58*0.0673*(S13_PSP_Species_Support!AG58*(S13_PSP_Species_Support!AH58*(1-EXP(-S13_PSP_Species_Support!AI58*15))^S13_PSP_Species_Support!AJ58)^2*(S13_PSP_Species_Support!AK58*(1-EXP(-S13_PSP_Species_Support!AL58*15))^S13_PSP_Species_Support!AM58))^0.976,0)+IFERROR(S13_PSP_Species_Support!AQ58*0.0673*(S13_PSP_Species_Support!AR58*(S13_PSP_Species_Support!AS58*(1-EXP(-S13_PSP_Species_Support!AT58*15))^S13_PSP_Species_Support!AU58)^2*(S13_PSP_Species_Support!AV58*(1-EXP(-S13_PSP_Species_Support!AW58*15))^S13_PSP_Species_Support!AX58))^0.976,0)+IFERROR(S13_PSP_Species_Support!BB58*0.0673*(S13_PSP_Species_Support!BC58*(S13_PSP_Species_Support!BD58*(1-EXP(-S13_PSP_Species_Support!BE58*15))^S13_PSP_Species_Support!BF58)^2*(S13_PSP_Species_Support!BG58*(1-EXP(-S13_PSP_Species_Support!BH58*15))^S13_PSP_Species_Support!BI58))^0.976,0)+IFERROR(S13_PSP_Species_Support!BM58*0.0673*(S13_PSP_Species_Support!BN58*(S13_PSP_Species_Support!BO58*(1-EXP(-S13_PSP_Species_Support!BP58*15))^S13_PSP_Species_Support!BQ58)^2*(S13_PSP_Species_Support!BR58*(1-EXP(-S13_PSP_Species_Support!BS58*15))^S13_PSP_Species_Support!BT58))^0.976,0)+IFERROR(S13_PSP_Species_Support!BX58*0.0673*(S13_PSP_Species_Support!BY58*(S13_PSP_Species_Support!BZ58*(1-EXP(-S13_PSP_Species_Support!CA58*15))^S13_PSP_Species_Support!CB58)^2*(S13_PSP_Species_Support!CC58*(1-EXP(-S13_PSP_Species_Support!CD58*15))^S13_PSP_Species_Support!CE58))^0.976,0)+IFERROR(S13_PSP_Species_Support!CI58*0.0673*(S13_PSP_Species_Support!CJ58*(S13_PSP_Species_Support!CK58*(1-EXP(-S13_PSP_Species_Support!CL58*15))^S13_PSP_Species_Support!CM58)^2*(S13_PSP_Species_Support!CN58*(1-EXP(-S13_PSP_Species_Support!CO58*15))^S13_PSP_Species_Support!CP58))^0.976,0)+IFERROR(S13_PSP_Species_Support!CT58*0.0673*(S13_PSP_Species_Support!CU58*(S13_PSP_Species_Support!CV58*(1-EXP(-S13_PSP_Species_Support!CW58*15))^S13_PSP_Species_Support!CX58)^2*(S13_PSP_Species_Support!CY58*(1-EXP(-S13_PSP_Species_Support!CZ58*15))^S13_PSP_Species_Support!DA58))^0.976,0))/1000/$G71*X$108,0)</x:f>
        <x:v>1259.7208403162253</x:v>
      </x:c>
      <x:c r="Y71" s="147" t="n">
        <x:f aca="0">IFERROR((IFERROR(S13_PSP_Species_Support!U58*0.0673*(S13_PSP_Species_Support!V58*(S13_PSP_Species_Support!W58*(1-EXP(-S13_PSP_Species_Support!X58*16))^S13_PSP_Species_Support!Y58)^2*(S13_PSP_Species_Support!Z58*(1-EXP(-S13_PSP_Species_Support!AA58*16))^S13_PSP_Species_Support!AB58))^0.976,0)+IFERROR(S13_PSP_Species_Support!AF58*0.0673*(S13_PSP_Species_Support!AG58*(S13_PSP_Species_Support!AH58*(1-EXP(-S13_PSP_Species_Support!AI58*16))^S13_PSP_Species_Support!AJ58)^2*(S13_PSP_Species_Support!AK58*(1-EXP(-S13_PSP_Species_Support!AL58*16))^S13_PSP_Species_Support!AM58))^0.976,0)+IFERROR(S13_PSP_Species_Support!AQ58*0.0673*(S13_PSP_Species_Support!AR58*(S13_PSP_Species_Support!AS58*(1-EXP(-S13_PSP_Species_Support!AT58*16))^S13_PSP_Species_Support!AU58)^2*(S13_PSP_Species_Support!AV58*(1-EXP(-S13_PSP_Species_Support!AW58*16))^S13_PSP_Species_Support!AX58))^0.976,0)+IFERROR(S13_PSP_Species_Support!BB58*0.0673*(S13_PSP_Species_Support!BC58*(S13_PSP_Species_Support!BD58*(1-EXP(-S13_PSP_Species_Support!BE58*16))^S13_PSP_Species_Support!BF58)^2*(S13_PSP_Species_Support!BG58*(1-EXP(-S13_PSP_Species_Support!BH58*16))^S13_PSP_Species_Support!BI58))^0.976,0)+IFERROR(S13_PSP_Species_Support!BM58*0.0673*(S13_PSP_Species_Support!BN58*(S13_PSP_Species_Support!BO58*(1-EXP(-S13_PSP_Species_Support!BP58*16))^S13_PSP_Species_Support!BQ58)^2*(S13_PSP_Species_Support!BR58*(1-EXP(-S13_PSP_Species_Support!BS58*16))^S13_PSP_Species_Support!BT58))^0.976,0)+IFERROR(S13_PSP_Species_Support!BX58*0.0673*(S13_PSP_Species_Support!BY58*(S13_PSP_Species_Support!BZ58*(1-EXP(-S13_PSP_Species_Support!CA58*16))^S13_PSP_Species_Support!CB58)^2*(S13_PSP_Species_Support!CC58*(1-EXP(-S13_PSP_Species_Support!CD58*16))^S13_PSP_Species_Support!CE58))^0.976,0)+IFERROR(S13_PSP_Species_Support!CI58*0.0673*(S13_PSP_Species_Support!CJ58*(S13_PSP_Species_Support!CK58*(1-EXP(-S13_PSP_Species_Support!CL58*16))^S13_PSP_Species_Support!CM58)^2*(S13_PSP_Species_Support!CN58*(1-EXP(-S13_PSP_Species_Support!CO58*16))^S13_PSP_Species_Support!CP58))^0.976,0)+IFERROR(S13_PSP_Species_Support!CT58*0.0673*(S13_PSP_Species_Support!CU58*(S13_PSP_Species_Support!CV58*(1-EXP(-S13_PSP_Species_Support!CW58*16))^S13_PSP_Species_Support!CX58)^2*(S13_PSP_Species_Support!CY58*(1-EXP(-S13_PSP_Species_Support!CZ58*16))^S13_PSP_Species_Support!DA58))^0.976,0))/1000/$G71*Y$108,0)</x:f>
        <x:v>1321.9675720620412</x:v>
      </x:c>
      <x:c r="Z71" s="147" t="n">
        <x:f aca="0">IFERROR((IFERROR(S13_PSP_Species_Support!U58*0.0673*(S13_PSP_Species_Support!V58*(S13_PSP_Species_Support!W58*(1-EXP(-S13_PSP_Species_Support!X58*17))^S13_PSP_Species_Support!Y58)^2*(S13_PSP_Species_Support!Z58*(1-EXP(-S13_PSP_Species_Support!AA58*17))^S13_PSP_Species_Support!AB58))^0.976,0)+IFERROR(S13_PSP_Species_Support!AF58*0.0673*(S13_PSP_Species_Support!AG58*(S13_PSP_Species_Support!AH58*(1-EXP(-S13_PSP_Species_Support!AI58*17))^S13_PSP_Species_Support!AJ58)^2*(S13_PSP_Species_Support!AK58*(1-EXP(-S13_PSP_Species_Support!AL58*17))^S13_PSP_Species_Support!AM58))^0.976,0)+IFERROR(S13_PSP_Species_Support!AQ58*0.0673*(S13_PSP_Species_Support!AR58*(S13_PSP_Species_Support!AS58*(1-EXP(-S13_PSP_Species_Support!AT58*17))^S13_PSP_Species_Support!AU58)^2*(S13_PSP_Species_Support!AV58*(1-EXP(-S13_PSP_Species_Support!AW58*17))^S13_PSP_Species_Support!AX58))^0.976,0)+IFERROR(S13_PSP_Species_Support!BB58*0.0673*(S13_PSP_Species_Support!BC58*(S13_PSP_Species_Support!BD58*(1-EXP(-S13_PSP_Species_Support!BE58*17))^S13_PSP_Species_Support!BF58)^2*(S13_PSP_Species_Support!BG58*(1-EXP(-S13_PSP_Species_Support!BH58*17))^S13_PSP_Species_Support!BI58))^0.976,0)+IFERROR(S13_PSP_Species_Support!BM58*0.0673*(S13_PSP_Species_Support!BN58*(S13_PSP_Species_Support!BO58*(1-EXP(-S13_PSP_Species_Support!BP58*17))^S13_PSP_Species_Support!BQ58)^2*(S13_PSP_Species_Support!BR58*(1-EXP(-S13_PSP_Species_Support!BS58*17))^S13_PSP_Species_Support!BT58))^0.976,0)+IFERROR(S13_PSP_Species_Support!BX58*0.0673*(S13_PSP_Species_Support!BY58*(S13_PSP_Species_Support!BZ58*(1-EXP(-S13_PSP_Species_Support!CA58*17))^S13_PSP_Species_Support!CB58)^2*(S13_PSP_Species_Support!CC58*(1-EXP(-S13_PSP_Species_Support!CD58*17))^S13_PSP_Species_Support!CE58))^0.976,0)+IFERROR(S13_PSP_Species_Support!CI58*0.0673*(S13_PSP_Species_Support!CJ58*(S13_PSP_Species_Support!CK58*(1-EXP(-S13_PSP_Species_Support!CL58*17))^S13_PSP_Species_Support!CM58)^2*(S13_PSP_Species_Support!CN58*(1-EXP(-S13_PSP_Species_Support!CO58*17))^S13_PSP_Species_Support!CP58))^0.976,0)+IFERROR(S13_PSP_Species_Support!CT58*0.0673*(S13_PSP_Species_Support!CU58*(S13_PSP_Species_Support!CV58*(1-EXP(-S13_PSP_Species_Support!CW58*17))^S13_PSP_Species_Support!CX58)^2*(S13_PSP_Species_Support!CY58*(1-EXP(-S13_PSP_Species_Support!CZ58*17))^S13_PSP_Species_Support!DA58))^0.976,0))/1000/$G71*Z$108,0)</x:f>
        <x:v>1376.2329055528953</x:v>
      </x:c>
      <x:c r="AA71" s="147" t="n">
        <x:f aca="0">IFERROR((IFERROR(S13_PSP_Species_Support!U58*0.0673*(S13_PSP_Species_Support!V58*(S13_PSP_Species_Support!W58*(1-EXP(-S13_PSP_Species_Support!X58*18))^S13_PSP_Species_Support!Y58)^2*(S13_PSP_Species_Support!Z58*(1-EXP(-S13_PSP_Species_Support!AA58*18))^S13_PSP_Species_Support!AB58))^0.976,0)+IFERROR(S13_PSP_Species_Support!AF58*0.0673*(S13_PSP_Species_Support!AG58*(S13_PSP_Species_Support!AH58*(1-EXP(-S13_PSP_Species_Support!AI58*18))^S13_PSP_Species_Support!AJ58)^2*(S13_PSP_Species_Support!AK58*(1-EXP(-S13_PSP_Species_Support!AL58*18))^S13_PSP_Species_Support!AM58))^0.976,0)+IFERROR(S13_PSP_Species_Support!AQ58*0.0673*(S13_PSP_Species_Support!AR58*(S13_PSP_Species_Support!AS58*(1-EXP(-S13_PSP_Species_Support!AT58*18))^S13_PSP_Species_Support!AU58)^2*(S13_PSP_Species_Support!AV58*(1-EXP(-S13_PSP_Species_Support!AW58*18))^S13_PSP_Species_Support!AX58))^0.976,0)+IFERROR(S13_PSP_Species_Support!BB58*0.0673*(S13_PSP_Species_Support!BC58*(S13_PSP_Species_Support!BD58*(1-EXP(-S13_PSP_Species_Support!BE58*18))^S13_PSP_Species_Support!BF58)^2*(S13_PSP_Species_Support!BG58*(1-EXP(-S13_PSP_Species_Support!BH58*18))^S13_PSP_Species_Support!BI58))^0.976,0)+IFERROR(S13_PSP_Species_Support!BM58*0.0673*(S13_PSP_Species_Support!BN58*(S13_PSP_Species_Support!BO58*(1-EXP(-S13_PSP_Species_Support!BP58*18))^S13_PSP_Species_Support!BQ58)^2*(S13_PSP_Species_Support!BR58*(1-EXP(-S13_PSP_Species_Support!BS58*18))^S13_PSP_Species_Support!BT58))^0.976,0)+IFERROR(S13_PSP_Species_Support!BX58*0.0673*(S13_PSP_Species_Support!BY58*(S13_PSP_Species_Support!BZ58*(1-EXP(-S13_PSP_Species_Support!CA58*18))^S13_PSP_Species_Support!CB58)^2*(S13_PSP_Species_Support!CC58*(1-EXP(-S13_PSP_Species_Support!CD58*18))^S13_PSP_Species_Support!CE58))^0.976,0)+IFERROR(S13_PSP_Species_Support!CI58*0.0673*(S13_PSP_Species_Support!CJ58*(S13_PSP_Species_Support!CK58*(1-EXP(-S13_PSP_Species_Support!CL58*18))^S13_PSP_Species_Support!CM58)^2*(S13_PSP_Species_Support!CN58*(1-EXP(-S13_PSP_Species_Support!CO58*18))^S13_PSP_Species_Support!CP58))^0.976,0)+IFERROR(S13_PSP_Species_Support!CT58*0.0673*(S13_PSP_Species_Support!CU58*(S13_PSP_Species_Support!CV58*(1-EXP(-S13_PSP_Species_Support!CW58*18))^S13_PSP_Species_Support!CX58)^2*(S13_PSP_Species_Support!CY58*(1-EXP(-S13_PSP_Species_Support!CZ58*18))^S13_PSP_Species_Support!DA58))^0.976,0))/1000/$G71*AA$108,0)</x:f>
        <x:v>1423.3015408900399</x:v>
      </x:c>
      <x:c r="AB71" s="147" t="n">
        <x:f aca="0">IFERROR((IFERROR(S13_PSP_Species_Support!U58*0.0673*(S13_PSP_Species_Support!V58*(S13_PSP_Species_Support!W58*(1-EXP(-S13_PSP_Species_Support!X58*19))^S13_PSP_Species_Support!Y58)^2*(S13_PSP_Species_Support!Z58*(1-EXP(-S13_PSP_Species_Support!AA58*19))^S13_PSP_Species_Support!AB58))^0.976,0)+IFERROR(S13_PSP_Species_Support!AF58*0.0673*(S13_PSP_Species_Support!AG58*(S13_PSP_Species_Support!AH58*(1-EXP(-S13_PSP_Species_Support!AI58*19))^S13_PSP_Species_Support!AJ58)^2*(S13_PSP_Species_Support!AK58*(1-EXP(-S13_PSP_Species_Support!AL58*19))^S13_PSP_Species_Support!AM58))^0.976,0)+IFERROR(S13_PSP_Species_Support!AQ58*0.0673*(S13_PSP_Species_Support!AR58*(S13_PSP_Species_Support!AS58*(1-EXP(-S13_PSP_Species_Support!AT58*19))^S13_PSP_Species_Support!AU58)^2*(S13_PSP_Species_Support!AV58*(1-EXP(-S13_PSP_Species_Support!AW58*19))^S13_PSP_Species_Support!AX58))^0.976,0)+IFERROR(S13_PSP_Species_Support!BB58*0.0673*(S13_PSP_Species_Support!BC58*(S13_PSP_Species_Support!BD58*(1-EXP(-S13_PSP_Species_Support!BE58*19))^S13_PSP_Species_Support!BF58)^2*(S13_PSP_Species_Support!BG58*(1-EXP(-S13_PSP_Species_Support!BH58*19))^S13_PSP_Species_Support!BI58))^0.976,0)+IFERROR(S13_PSP_Species_Support!BM58*0.0673*(S13_PSP_Species_Support!BN58*(S13_PSP_Species_Support!BO58*(1-EXP(-S13_PSP_Species_Support!BP58*19))^S13_PSP_Species_Support!BQ58)^2*(S13_PSP_Species_Support!BR58*(1-EXP(-S13_PSP_Species_Support!BS58*19))^S13_PSP_Species_Support!BT58))^0.976,0)+IFERROR(S13_PSP_Species_Support!BX58*0.0673*(S13_PSP_Species_Support!BY58*(S13_PSP_Species_Support!BZ58*(1-EXP(-S13_PSP_Species_Support!CA58*19))^S13_PSP_Species_Support!CB58)^2*(S13_PSP_Species_Support!CC58*(1-EXP(-S13_PSP_Species_Support!CD58*19))^S13_PSP_Species_Support!CE58))^0.976,0)+IFERROR(S13_PSP_Species_Support!CI58*0.0673*(S13_PSP_Species_Support!CJ58*(S13_PSP_Species_Support!CK58*(1-EXP(-S13_PSP_Species_Support!CL58*19))^S13_PSP_Species_Support!CM58)^2*(S13_PSP_Species_Support!CN58*(1-EXP(-S13_PSP_Species_Support!CO58*19))^S13_PSP_Species_Support!CP58))^0.976,0)+IFERROR(S13_PSP_Species_Support!CT58*0.0673*(S13_PSP_Species_Support!CU58*(S13_PSP_Species_Support!CV58*(1-EXP(-S13_PSP_Species_Support!CW58*19))^S13_PSP_Species_Support!CX58)^2*(S13_PSP_Species_Support!CY58*(1-EXP(-S13_PSP_Species_Support!CZ58*19))^S13_PSP_Species_Support!DA58))^0.976,0))/1000/$G71*AB$108,0)</x:f>
        <x:v>1463.9594987940698</x:v>
      </x:c>
      <x:c r="AC71" s="147" t="n">
        <x:f aca="0">IFERROR((IFERROR(S13_PSP_Species_Support!U58*0.0673*(S13_PSP_Species_Support!V58*(S13_PSP_Species_Support!W58*(1-EXP(-S13_PSP_Species_Support!X58*20))^S13_PSP_Species_Support!Y58)^2*(S13_PSP_Species_Support!Z58*(1-EXP(-S13_PSP_Species_Support!AA58*20))^S13_PSP_Species_Support!AB58))^0.976,0)+IFERROR(S13_PSP_Species_Support!AF58*0.0673*(S13_PSP_Species_Support!AG58*(S13_PSP_Species_Support!AH58*(1-EXP(-S13_PSP_Species_Support!AI58*20))^S13_PSP_Species_Support!AJ58)^2*(S13_PSP_Species_Support!AK58*(1-EXP(-S13_PSP_Species_Support!AL58*20))^S13_PSP_Species_Support!AM58))^0.976,0)+IFERROR(S13_PSP_Species_Support!AQ58*0.0673*(S13_PSP_Species_Support!AR58*(S13_PSP_Species_Support!AS58*(1-EXP(-S13_PSP_Species_Support!AT58*20))^S13_PSP_Species_Support!AU58)^2*(S13_PSP_Species_Support!AV58*(1-EXP(-S13_PSP_Species_Support!AW58*20))^S13_PSP_Species_Support!AX58))^0.976,0)+IFERROR(S13_PSP_Species_Support!BB58*0.0673*(S13_PSP_Species_Support!BC58*(S13_PSP_Species_Support!BD58*(1-EXP(-S13_PSP_Species_Support!BE58*20))^S13_PSP_Species_Support!BF58)^2*(S13_PSP_Species_Support!BG58*(1-EXP(-S13_PSP_Species_Support!BH58*20))^S13_PSP_Species_Support!BI58))^0.976,0)+IFERROR(S13_PSP_Species_Support!BM58*0.0673*(S13_PSP_Species_Support!BN58*(S13_PSP_Species_Support!BO58*(1-EXP(-S13_PSP_Species_Support!BP58*20))^S13_PSP_Species_Support!BQ58)^2*(S13_PSP_Species_Support!BR58*(1-EXP(-S13_PSP_Species_Support!BS58*20))^S13_PSP_Species_Support!BT58))^0.976,0)+IFERROR(S13_PSP_Species_Support!BX58*0.0673*(S13_PSP_Species_Support!BY58*(S13_PSP_Species_Support!BZ58*(1-EXP(-S13_PSP_Species_Support!CA58*20))^S13_PSP_Species_Support!CB58)^2*(S13_PSP_Species_Support!CC58*(1-EXP(-S13_PSP_Species_Support!CD58*20))^S13_PSP_Species_Support!CE58))^0.976,0)+IFERROR(S13_PSP_Species_Support!CI58*0.0673*(S13_PSP_Species_Support!CJ58*(S13_PSP_Species_Support!CK58*(1-EXP(-S13_PSP_Species_Support!CL58*20))^S13_PSP_Species_Support!CM58)^2*(S13_PSP_Species_Support!CN58*(1-EXP(-S13_PSP_Species_Support!CO58*20))^S13_PSP_Species_Support!CP58))^0.976,0)+IFERROR(S13_PSP_Species_Support!CT58*0.0673*(S13_PSP_Species_Support!CU58*(S13_PSP_Species_Support!CV58*(1-EXP(-S13_PSP_Species_Support!CW58*20))^S13_PSP_Species_Support!CX58)^2*(S13_PSP_Species_Support!CY58*(1-EXP(-S13_PSP_Species_Support!CZ58*20))^S13_PSP_Species_Support!DA58))^0.976,0))/1000/$G71*AC$108,0)</x:f>
        <x:v>1498.961285994805</x:v>
      </x:c>
      <x:c r="AD71" s="148" t="n">
        <x:f aca="0">IF(2020&lt;$F71,0,INDEX($I71:$AC71,1,2020-$F71+1))</x:f>
        <x:v>0</x:v>
      </x:c>
      <x:c r="AE71" s="148" t="n">
        <x:f aca="0">IF(2021&lt;$F71,0,INDEX($I71:$AC71,1,2021-$F71+1))</x:f>
        <x:v>1.85750365043582</x:v>
      </x:c>
      <x:c r="AF71" s="148" t="n">
        <x:f aca="0">IF(2022&lt;$F71,0,INDEX($I71:$AC71,1,2022-$F71+1))</x:f>
        <x:v>17.52458860368257</x:v>
      </x:c>
      <x:c r="AG71" s="148" t="n">
        <x:f aca="0">IF(2023&lt;$F71,0,INDEX($I71:$AC71,1,2023-$F71+1))</x:f>
        <x:v>57.99925017501778</x:v>
      </x:c>
      <x:c r="AH71" s="148" t="n">
        <x:f aca="0">IF(2024&lt;$F71,0,INDEX($I71:$AC71,1,2024-$F71+1))</x:f>
        <x:v>126.42585413006141</x:v>
      </x:c>
      <x:c r="AI71" s="148" t="n">
        <x:f aca="0">IF(2025&lt;$F71,0,INDEX($I71:$AC71,1,2025-$F71+1))</x:f>
        <x:v>218.89801277868733</x:v>
      </x:c>
      <x:c r="AJ71" s="148" t="n">
        <x:f aca="0">IF(2026&lt;$F71,0,INDEX($I71:$AC71,1,2026-$F71+1))</x:f>
        <x:v>328.6896956306501</x:v>
      </x:c>
      <x:c r="AK71" s="148" t="n">
        <x:f aca="0">IF(2027&lt;$F71,0,INDEX($I71:$AC71,1,2027-$F71+1))</x:f>
        <x:v>448.5191997612544</x:v>
      </x:c>
      <x:c r="AL71" s="148" t="n">
        <x:f aca="0">IF(2028&lt;$F71,0,INDEX($I71:$AC71,1,2028-$F71+1))</x:f>
        <x:v>571.8941073686545</x:v>
      </x:c>
      <x:c r="AM71" s="148" t="n">
        <x:f aca="0">IF(2029&lt;$F71,0,INDEX($I71:$AC71,1,2029-$F71+1))</x:f>
        <x:v>693.6693881427937</x:v>
      </x:c>
      <x:c r="AN71" s="148" t="n">
        <x:f aca="0">IF(2030&lt;$F71,0,INDEX($I71:$AC71,1,2030-$F71+1))</x:f>
        <x:v>810.1367532612311</x:v>
      </x:c>
      <x:c r="AO71" s="148" t="n">
        <x:f aca="0">IF(2031&lt;$F71,0,INDEX($I71:$AC71,1,2031-$F71+1))</x:f>
        <x:v>918.8767143249429</x:v>
      </x:c>
      <x:c r="AP71" s="148" t="n">
        <x:f aca="0">IF(2032&lt;$F71,0,INDEX($I71:$AC71,1,2032-$F71+1))</x:f>
        <x:v>1018.5177191196043</x:v>
      </x:c>
      <x:c r="AQ71" s="148" t="n">
        <x:f aca="0">IF(2033&lt;$F71,0,INDEX($I71:$AC71,1,2033-$F71+1))</x:f>
        <x:v>1108.4825105026182</x:v>
      </x:c>
      <x:c r="AR71" s="148" t="n">
        <x:f aca="0">IF(2034&lt;$F71,0,INDEX($I71:$AC71,1,2034-$F71+1))</x:f>
        <x:v>1188.7605136005795</x:v>
      </x:c>
      <x:c r="AS71" s="148" t="n">
        <x:f aca="0">IF(2035&lt;$F71,0,INDEX($I71:$AC71,1,2035-$F71+1))</x:f>
        <x:v>1259.7208403162253</x:v>
      </x:c>
      <x:c r="AT71" s="148" t="n">
        <x:f aca="0">IF(2036&lt;$F71,0,INDEX($I71:$AC71,1,2036-$F71+1))</x:f>
        <x:v>1321.9675720620412</x:v>
      </x:c>
      <x:c r="AU71" s="148" t="n">
        <x:f aca="0">IF(2037&lt;$F71,0,INDEX($I71:$AC71,1,2037-$F71+1))</x:f>
        <x:v>1376.2329055528953</x:v>
      </x:c>
      <x:c r="AV71" s="148" t="n">
        <x:f aca="0">IF(2038&lt;$F71,0,INDEX($I71:$AC71,1,2038-$F71+1))</x:f>
        <x:v>1423.3015408900399</x:v>
      </x:c>
      <x:c r="AW71" s="148" t="n">
        <x:f aca="0">IF(2039&lt;$F71,0,INDEX($I71:$AC71,1,2039-$F71+1))</x:f>
        <x:v>1463.9594987940698</x:v>
      </x:c>
      <x:c r="AX71" s="148" t="n">
        <x:f aca="0">IF(2040&lt;$F71,0,INDEX($I71:$AC71,1,2040-$F71+1))</x:f>
        <x:v>1498.961285994805</x:v>
      </x:c>
      <x:c r="AY71" s="1" t="str">
        <x:f aca="0">LEFT($C71,FIND("@",SUBSTITUTE($C71,"|","@",2))-1)</x:f>
        <x:v>Timber Plantation|Medium</x:v>
      </x:c>
      <x:c r="AZ71" s="1" t="str">
        <x:f aca="0">LEFT($C71,FIND("|",$C71)-1)</x:f>
        <x:v>Timber Plantation</x:v>
      </x:c>
      <x:c r="BA71" s="149" t="n">
        <x:f aca="0">I71*I71</x:f>
        <x:v>0</x:v>
      </x:c>
      <x:c r="BB71" s="149" t="n">
        <x:f aca="0">J71*J71</x:f>
        <x:v>3.450319811382397</x:v>
      </x:c>
      <x:c r="BC71" s="149" t="n">
        <x:f aca="0">K71*K71</x:f>
        <x:v>307.111205728321</x:v>
      </x:c>
      <x:c r="BD71" s="149" t="n">
        <x:f aca="0">L71*L71</x:f>
        <x:v>3363.9130208642996</x:v>
      </x:c>
      <x:c r="BE71" s="149" t="n">
        <x:f aca="0">M71*M71</x:f>
        <x:v>15983.496592515565</x:v>
      </x:c>
      <x:c r="BF71" s="149" t="n">
        <x:f aca="0">N71*N71</x:f>
        <x:v>47916.33999845836</x:v>
      </x:c>
      <x:c r="BG71" s="149" t="n">
        <x:f aca="0">O71*O71</x:f>
        <x:v>108036.91601376938</x:v>
      </x:c>
      <x:c r="BH71" s="149" t="n">
        <x:f aca="0">P71*P71</x:f>
        <x:v>201169.47255447603</x:v>
      </x:c>
      <x:c r="BI71" s="149" t="n">
        <x:f aca="0">Q71*Q71</x:f>
        <x:v>327062.8700429902</x:v>
      </x:c>
      <x:c r="BJ71" s="149" t="n">
        <x:f aca="0">R71*R71</x:f>
        <x:v>481177.2200463977</x:v>
      </x:c>
      <x:c r="BK71" s="149" t="n">
        <x:f aca="0">S71*S71</x:f>
        <x:v>656321.5589846488</x:v>
      </x:c>
      <x:c r="BL71" s="149" t="n">
        <x:f aca="0">T71*T71</x:f>
        <x:v>844334.4161286027</x:v>
      </x:c>
      <x:c r="BM71" s="149" t="n">
        <x:f aca="0">U71*U71</x:f>
        <x:v>1037378.3441606011</x:v>
      </x:c>
      <x:c r="BN71" s="149" t="n">
        <x:f aca="0">V71*V71</x:f>
        <x:v>1228733.476090187</x:v>
      </x:c>
      <x:c r="BO71" s="149" t="n">
        <x:f aca="0">W71*W71</x:f>
        <x:v>1413151.5586959138</x:v>
      </x:c>
      <x:c r="BP71" s="149" t="n">
        <x:f aca="0">X71*X71</x:f>
        <x:v>1586896.595527017</x:v>
      </x:c>
      <x:c r="BQ71" s="149" t="n">
        <x:f aca="0">Y71*Y71</x:f>
        <x:v>1747598.261583608</x:v>
      </x:c>
      <x:c r="BR71" s="149" t="n">
        <x:f aca="0">Z71*Z71</x:f>
        <x:v>1894017.0103265645</x:v>
      </x:c>
      <x:c r="BS71" s="149" t="n">
        <x:f aca="0">AA71*AA71</x:f>
        <x:v>2025787.2762999618</x:v>
      </x:c>
      <x:c r="BT71" s="149" t="n">
        <x:f aca="0">AB71*AB71</x:f>
        <x:v>2143177.4141093837</x:v>
      </x:c>
      <x:c r="BU71" s="149" t="n">
        <x:f aca="0">AC71*AC71</x:f>
        <x:v>2246884.9369111992</x:v>
      </x:c>
    </x:row>
    <x:row r="72" ht="15" hidden="0" customHeight="1">
      <x:c r="A72" s="1" t="str">
        <x:f aca="0">S13_PSP_Species_Support!A59</x:f>
        <x:v>PSP-TP-018</x:v>
      </x:c>
      <x:c r="B72" s="1" t="n">
        <x:f aca="0">59</x:f>
        <x:v>59</x:v>
      </x:c>
      <x:c r="C72" s="1" t="str">
        <x:f aca="0">S13_PSP_Species_Support!I59</x:f>
        <x:v>Timber Plantation|Medium|2020</x:v>
      </x:c>
      <x:c r="D72" s="1" t="str">
        <x:f aca="0">S13_PSP_Species_Support!C59</x:f>
        <x:v>Timber Plantation</x:v>
      </x:c>
      <x:c r="E72" s="1" t="str">
        <x:f aca="0">S13_PSP_Species_Support!D59</x:f>
        <x:v>Medium</x:v>
      </x:c>
      <x:c r="F72" s="1" t="n">
        <x:f aca="0">S13_PSP_Species_Support!E59</x:f>
        <x:v>2020</x:v>
      </x:c>
      <x:c r="G72" s="645" t="n">
        <x:f aca="0">'S13_PSP_Species_Support'!DJ59</x:f>
        <x:v>0.09</x:v>
      </x:c>
      <x:c r="H72" s="714" t="n">
        <x:f aca="0">'S13_PSP_Species_Support'!DK59</x:f>
        <x:v>82.1917808219178</x:v>
      </x:c>
      <x:c r="I72" s="147" t="n">
        <x:f aca="0">IFERROR((IFERROR(S13_PSP_Species_Support!U59*0.0673*(S13_PSP_Species_Support!V59*(S13_PSP_Species_Support!W59*(1-EXP(-S13_PSP_Species_Support!X59*0))^S13_PSP_Species_Support!Y59)^2*(S13_PSP_Species_Support!Z59*(1-EXP(-S13_PSP_Species_Support!AA59*0))^S13_PSP_Species_Support!AB59))^0.976,0)+IFERROR(S13_PSP_Species_Support!AF59*0.0673*(S13_PSP_Species_Support!AG59*(S13_PSP_Species_Support!AH59*(1-EXP(-S13_PSP_Species_Support!AI59*0))^S13_PSP_Species_Support!AJ59)^2*(S13_PSP_Species_Support!AK59*(1-EXP(-S13_PSP_Species_Support!AL59*0))^S13_PSP_Species_Support!AM59))^0.976,0)+IFERROR(S13_PSP_Species_Support!AQ59*0.0673*(S13_PSP_Species_Support!AR59*(S13_PSP_Species_Support!AS59*(1-EXP(-S13_PSP_Species_Support!AT59*0))^S13_PSP_Species_Support!AU59)^2*(S13_PSP_Species_Support!AV59*(1-EXP(-S13_PSP_Species_Support!AW59*0))^S13_PSP_Species_Support!AX59))^0.976,0)+IFERROR(S13_PSP_Species_Support!BB59*0.0673*(S13_PSP_Species_Support!BC59*(S13_PSP_Species_Support!BD59*(1-EXP(-S13_PSP_Species_Support!BE59*0))^S13_PSP_Species_Support!BF59)^2*(S13_PSP_Species_Support!BG59*(1-EXP(-S13_PSP_Species_Support!BH59*0))^S13_PSP_Species_Support!BI59))^0.976,0)+IFERROR(S13_PSP_Species_Support!BM59*0.0673*(S13_PSP_Species_Support!BN59*(S13_PSP_Species_Support!BO59*(1-EXP(-S13_PSP_Species_Support!BP59*0))^S13_PSP_Species_Support!BQ59)^2*(S13_PSP_Species_Support!BR59*(1-EXP(-S13_PSP_Species_Support!BS59*0))^S13_PSP_Species_Support!BT59))^0.976,0)+IFERROR(S13_PSP_Species_Support!BX59*0.0673*(S13_PSP_Species_Support!BY59*(S13_PSP_Species_Support!BZ59*(1-EXP(-S13_PSP_Species_Support!CA59*0))^S13_PSP_Species_Support!CB59)^2*(S13_PSP_Species_Support!CC59*(1-EXP(-S13_PSP_Species_Support!CD59*0))^S13_PSP_Species_Support!CE59))^0.976,0)+IFERROR(S13_PSP_Species_Support!CI59*0.0673*(S13_PSP_Species_Support!CJ59*(S13_PSP_Species_Support!CK59*(1-EXP(-S13_PSP_Species_Support!CL59*0))^S13_PSP_Species_Support!CM59)^2*(S13_PSP_Species_Support!CN59*(1-EXP(-S13_PSP_Species_Support!CO59*0))^S13_PSP_Species_Support!CP59))^0.976,0)+IFERROR(S13_PSP_Species_Support!CT59*0.0673*(S13_PSP_Species_Support!CU59*(S13_PSP_Species_Support!CV59*(1-EXP(-S13_PSP_Species_Support!CW59*0))^S13_PSP_Species_Support!CX59)^2*(S13_PSP_Species_Support!CY59*(1-EXP(-S13_PSP_Species_Support!CZ59*0))^S13_PSP_Species_Support!DA59))^0.976,0))/1000/$G72*I$108,0)</x:f>
        <x:v>0</x:v>
      </x:c>
      <x:c r="J72" s="147" t="n">
        <x:f aca="0">IFERROR((IFERROR(S13_PSP_Species_Support!U59*0.0673*(S13_PSP_Species_Support!V59*(S13_PSP_Species_Support!W59*(1-EXP(-S13_PSP_Species_Support!X59*1))^S13_PSP_Species_Support!Y59)^2*(S13_PSP_Species_Support!Z59*(1-EXP(-S13_PSP_Species_Support!AA59*1))^S13_PSP_Species_Support!AB59))^0.976,0)+IFERROR(S13_PSP_Species_Support!AF59*0.0673*(S13_PSP_Species_Support!AG59*(S13_PSP_Species_Support!AH59*(1-EXP(-S13_PSP_Species_Support!AI59*1))^S13_PSP_Species_Support!AJ59)^2*(S13_PSP_Species_Support!AK59*(1-EXP(-S13_PSP_Species_Support!AL59*1))^S13_PSP_Species_Support!AM59))^0.976,0)+IFERROR(S13_PSP_Species_Support!AQ59*0.0673*(S13_PSP_Species_Support!AR59*(S13_PSP_Species_Support!AS59*(1-EXP(-S13_PSP_Species_Support!AT59*1))^S13_PSP_Species_Support!AU59)^2*(S13_PSP_Species_Support!AV59*(1-EXP(-S13_PSP_Species_Support!AW59*1))^S13_PSP_Species_Support!AX59))^0.976,0)+IFERROR(S13_PSP_Species_Support!BB59*0.0673*(S13_PSP_Species_Support!BC59*(S13_PSP_Species_Support!BD59*(1-EXP(-S13_PSP_Species_Support!BE59*1))^S13_PSP_Species_Support!BF59)^2*(S13_PSP_Species_Support!BG59*(1-EXP(-S13_PSP_Species_Support!BH59*1))^S13_PSP_Species_Support!BI59))^0.976,0)+IFERROR(S13_PSP_Species_Support!BM59*0.0673*(S13_PSP_Species_Support!BN59*(S13_PSP_Species_Support!BO59*(1-EXP(-S13_PSP_Species_Support!BP59*1))^S13_PSP_Species_Support!BQ59)^2*(S13_PSP_Species_Support!BR59*(1-EXP(-S13_PSP_Species_Support!BS59*1))^S13_PSP_Species_Support!BT59))^0.976,0)+IFERROR(S13_PSP_Species_Support!BX59*0.0673*(S13_PSP_Species_Support!BY59*(S13_PSP_Species_Support!BZ59*(1-EXP(-S13_PSP_Species_Support!CA59*1))^S13_PSP_Species_Support!CB59)^2*(S13_PSP_Species_Support!CC59*(1-EXP(-S13_PSP_Species_Support!CD59*1))^S13_PSP_Species_Support!CE59))^0.976,0)+IFERROR(S13_PSP_Species_Support!CI59*0.0673*(S13_PSP_Species_Support!CJ59*(S13_PSP_Species_Support!CK59*(1-EXP(-S13_PSP_Species_Support!CL59*1))^S13_PSP_Species_Support!CM59)^2*(S13_PSP_Species_Support!CN59*(1-EXP(-S13_PSP_Species_Support!CO59*1))^S13_PSP_Species_Support!CP59))^0.976,0)+IFERROR(S13_PSP_Species_Support!CT59*0.0673*(S13_PSP_Species_Support!CU59*(S13_PSP_Species_Support!CV59*(1-EXP(-S13_PSP_Species_Support!CW59*1))^S13_PSP_Species_Support!CX59)^2*(S13_PSP_Species_Support!CY59*(1-EXP(-S13_PSP_Species_Support!CZ59*1))^S13_PSP_Species_Support!DA59))^0.976,0))/1000/$G72*J$108,0)</x:f>
        <x:v>0.33856909634174925</x:v>
      </x:c>
      <x:c r="K72" s="147" t="n">
        <x:f aca="0">IFERROR((IFERROR(S13_PSP_Species_Support!U59*0.0673*(S13_PSP_Species_Support!V59*(S13_PSP_Species_Support!W59*(1-EXP(-S13_PSP_Species_Support!X59*2))^S13_PSP_Species_Support!Y59)^2*(S13_PSP_Species_Support!Z59*(1-EXP(-S13_PSP_Species_Support!AA59*2))^S13_PSP_Species_Support!AB59))^0.976,0)+IFERROR(S13_PSP_Species_Support!AF59*0.0673*(S13_PSP_Species_Support!AG59*(S13_PSP_Species_Support!AH59*(1-EXP(-S13_PSP_Species_Support!AI59*2))^S13_PSP_Species_Support!AJ59)^2*(S13_PSP_Species_Support!AK59*(1-EXP(-S13_PSP_Species_Support!AL59*2))^S13_PSP_Species_Support!AM59))^0.976,0)+IFERROR(S13_PSP_Species_Support!AQ59*0.0673*(S13_PSP_Species_Support!AR59*(S13_PSP_Species_Support!AS59*(1-EXP(-S13_PSP_Species_Support!AT59*2))^S13_PSP_Species_Support!AU59)^2*(S13_PSP_Species_Support!AV59*(1-EXP(-S13_PSP_Species_Support!AW59*2))^S13_PSP_Species_Support!AX59))^0.976,0)+IFERROR(S13_PSP_Species_Support!BB59*0.0673*(S13_PSP_Species_Support!BC59*(S13_PSP_Species_Support!BD59*(1-EXP(-S13_PSP_Species_Support!BE59*2))^S13_PSP_Species_Support!BF59)^2*(S13_PSP_Species_Support!BG59*(1-EXP(-S13_PSP_Species_Support!BH59*2))^S13_PSP_Species_Support!BI59))^0.976,0)+IFERROR(S13_PSP_Species_Support!BM59*0.0673*(S13_PSP_Species_Support!BN59*(S13_PSP_Species_Support!BO59*(1-EXP(-S13_PSP_Species_Support!BP59*2))^S13_PSP_Species_Support!BQ59)^2*(S13_PSP_Species_Support!BR59*(1-EXP(-S13_PSP_Species_Support!BS59*2))^S13_PSP_Species_Support!BT59))^0.976,0)+IFERROR(S13_PSP_Species_Support!BX59*0.0673*(S13_PSP_Species_Support!BY59*(S13_PSP_Species_Support!BZ59*(1-EXP(-S13_PSP_Species_Support!CA59*2))^S13_PSP_Species_Support!CB59)^2*(S13_PSP_Species_Support!CC59*(1-EXP(-S13_PSP_Species_Support!CD59*2))^S13_PSP_Species_Support!CE59))^0.976,0)+IFERROR(S13_PSP_Species_Support!CI59*0.0673*(S13_PSP_Species_Support!CJ59*(S13_PSP_Species_Support!CK59*(1-EXP(-S13_PSP_Species_Support!CL59*2))^S13_PSP_Species_Support!CM59)^2*(S13_PSP_Species_Support!CN59*(1-EXP(-S13_PSP_Species_Support!CO59*2))^S13_PSP_Species_Support!CP59))^0.976,0)+IFERROR(S13_PSP_Species_Support!CT59*0.0673*(S13_PSP_Species_Support!CU59*(S13_PSP_Species_Support!CV59*(1-EXP(-S13_PSP_Species_Support!CW59*2))^S13_PSP_Species_Support!CX59)^2*(S13_PSP_Species_Support!CY59*(1-EXP(-S13_PSP_Species_Support!CZ59*2))^S13_PSP_Species_Support!DA59))^0.976,0))/1000/$G72*K$108,0)</x:f>
        <x:v>4.136380867769494</x:v>
      </x:c>
      <x:c r="L72" s="147" t="n">
        <x:f aca="0">IFERROR((IFERROR(S13_PSP_Species_Support!U59*0.0673*(S13_PSP_Species_Support!V59*(S13_PSP_Species_Support!W59*(1-EXP(-S13_PSP_Species_Support!X59*3))^S13_PSP_Species_Support!Y59)^2*(S13_PSP_Species_Support!Z59*(1-EXP(-S13_PSP_Species_Support!AA59*3))^S13_PSP_Species_Support!AB59))^0.976,0)+IFERROR(S13_PSP_Species_Support!AF59*0.0673*(S13_PSP_Species_Support!AG59*(S13_PSP_Species_Support!AH59*(1-EXP(-S13_PSP_Species_Support!AI59*3))^S13_PSP_Species_Support!AJ59)^2*(S13_PSP_Species_Support!AK59*(1-EXP(-S13_PSP_Species_Support!AL59*3))^S13_PSP_Species_Support!AM59))^0.976,0)+IFERROR(S13_PSP_Species_Support!AQ59*0.0673*(S13_PSP_Species_Support!AR59*(S13_PSP_Species_Support!AS59*(1-EXP(-S13_PSP_Species_Support!AT59*3))^S13_PSP_Species_Support!AU59)^2*(S13_PSP_Species_Support!AV59*(1-EXP(-S13_PSP_Species_Support!AW59*3))^S13_PSP_Species_Support!AX59))^0.976,0)+IFERROR(S13_PSP_Species_Support!BB59*0.0673*(S13_PSP_Species_Support!BC59*(S13_PSP_Species_Support!BD59*(1-EXP(-S13_PSP_Species_Support!BE59*3))^S13_PSP_Species_Support!BF59)^2*(S13_PSP_Species_Support!BG59*(1-EXP(-S13_PSP_Species_Support!BH59*3))^S13_PSP_Species_Support!BI59))^0.976,0)+IFERROR(S13_PSP_Species_Support!BM59*0.0673*(S13_PSP_Species_Support!BN59*(S13_PSP_Species_Support!BO59*(1-EXP(-S13_PSP_Species_Support!BP59*3))^S13_PSP_Species_Support!BQ59)^2*(S13_PSP_Species_Support!BR59*(1-EXP(-S13_PSP_Species_Support!BS59*3))^S13_PSP_Species_Support!BT59))^0.976,0)+IFERROR(S13_PSP_Species_Support!BX59*0.0673*(S13_PSP_Species_Support!BY59*(S13_PSP_Species_Support!BZ59*(1-EXP(-S13_PSP_Species_Support!CA59*3))^S13_PSP_Species_Support!CB59)^2*(S13_PSP_Species_Support!CC59*(1-EXP(-S13_PSP_Species_Support!CD59*3))^S13_PSP_Species_Support!CE59))^0.976,0)+IFERROR(S13_PSP_Species_Support!CI59*0.0673*(S13_PSP_Species_Support!CJ59*(S13_PSP_Species_Support!CK59*(1-EXP(-S13_PSP_Species_Support!CL59*3))^S13_PSP_Species_Support!CM59)^2*(S13_PSP_Species_Support!CN59*(1-EXP(-S13_PSP_Species_Support!CO59*3))^S13_PSP_Species_Support!CP59))^0.976,0)+IFERROR(S13_PSP_Species_Support!CT59*0.0673*(S13_PSP_Species_Support!CU59*(S13_PSP_Species_Support!CV59*(1-EXP(-S13_PSP_Species_Support!CW59*3))^S13_PSP_Species_Support!CX59)^2*(S13_PSP_Species_Support!CY59*(1-EXP(-S13_PSP_Species_Support!CZ59*3))^S13_PSP_Species_Support!DA59))^0.976,0))/1000/$G72*L$108,0)</x:f>
        <x:v>16.2366455044767</x:v>
      </x:c>
      <x:c r="M72" s="147" t="n">
        <x:f aca="0">IFERROR((IFERROR(S13_PSP_Species_Support!U59*0.0673*(S13_PSP_Species_Support!V59*(S13_PSP_Species_Support!W59*(1-EXP(-S13_PSP_Species_Support!X59*4))^S13_PSP_Species_Support!Y59)^2*(S13_PSP_Species_Support!Z59*(1-EXP(-S13_PSP_Species_Support!AA59*4))^S13_PSP_Species_Support!AB59))^0.976,0)+IFERROR(S13_PSP_Species_Support!AF59*0.0673*(S13_PSP_Species_Support!AG59*(S13_PSP_Species_Support!AH59*(1-EXP(-S13_PSP_Species_Support!AI59*4))^S13_PSP_Species_Support!AJ59)^2*(S13_PSP_Species_Support!AK59*(1-EXP(-S13_PSP_Species_Support!AL59*4))^S13_PSP_Species_Support!AM59))^0.976,0)+IFERROR(S13_PSP_Species_Support!AQ59*0.0673*(S13_PSP_Species_Support!AR59*(S13_PSP_Species_Support!AS59*(1-EXP(-S13_PSP_Species_Support!AT59*4))^S13_PSP_Species_Support!AU59)^2*(S13_PSP_Species_Support!AV59*(1-EXP(-S13_PSP_Species_Support!AW59*4))^S13_PSP_Species_Support!AX59))^0.976,0)+IFERROR(S13_PSP_Species_Support!BB59*0.0673*(S13_PSP_Species_Support!BC59*(S13_PSP_Species_Support!BD59*(1-EXP(-S13_PSP_Species_Support!BE59*4))^S13_PSP_Species_Support!BF59)^2*(S13_PSP_Species_Support!BG59*(1-EXP(-S13_PSP_Species_Support!BH59*4))^S13_PSP_Species_Support!BI59))^0.976,0)+IFERROR(S13_PSP_Species_Support!BM59*0.0673*(S13_PSP_Species_Support!BN59*(S13_PSP_Species_Support!BO59*(1-EXP(-S13_PSP_Species_Support!BP59*4))^S13_PSP_Species_Support!BQ59)^2*(S13_PSP_Species_Support!BR59*(1-EXP(-S13_PSP_Species_Support!BS59*4))^S13_PSP_Species_Support!BT59))^0.976,0)+IFERROR(S13_PSP_Species_Support!BX59*0.0673*(S13_PSP_Species_Support!BY59*(S13_PSP_Species_Support!BZ59*(1-EXP(-S13_PSP_Species_Support!CA59*4))^S13_PSP_Species_Support!CB59)^2*(S13_PSP_Species_Support!CC59*(1-EXP(-S13_PSP_Species_Support!CD59*4))^S13_PSP_Species_Support!CE59))^0.976,0)+IFERROR(S13_PSP_Species_Support!CI59*0.0673*(S13_PSP_Species_Support!CJ59*(S13_PSP_Species_Support!CK59*(1-EXP(-S13_PSP_Species_Support!CL59*4))^S13_PSP_Species_Support!CM59)^2*(S13_PSP_Species_Support!CN59*(1-EXP(-S13_PSP_Species_Support!CO59*4))^S13_PSP_Species_Support!CP59))^0.976,0)+IFERROR(S13_PSP_Species_Support!CT59*0.0673*(S13_PSP_Species_Support!CU59*(S13_PSP_Species_Support!CV59*(1-EXP(-S13_PSP_Species_Support!CW59*4))^S13_PSP_Species_Support!CX59)^2*(S13_PSP_Species_Support!CY59*(1-EXP(-S13_PSP_Species_Support!CZ59*4))^S13_PSP_Species_Support!DA59))^0.976,0))/1000/$G72*M$108,0)</x:f>
        <x:v>40.40940480624982</x:v>
      </x:c>
      <x:c r="N72" s="147" t="n">
        <x:f aca="0">IFERROR((IFERROR(S13_PSP_Species_Support!U59*0.0673*(S13_PSP_Species_Support!V59*(S13_PSP_Species_Support!W59*(1-EXP(-S13_PSP_Species_Support!X59*5))^S13_PSP_Species_Support!Y59)^2*(S13_PSP_Species_Support!Z59*(1-EXP(-S13_PSP_Species_Support!AA59*5))^S13_PSP_Species_Support!AB59))^0.976,0)+IFERROR(S13_PSP_Species_Support!AF59*0.0673*(S13_PSP_Species_Support!AG59*(S13_PSP_Species_Support!AH59*(1-EXP(-S13_PSP_Species_Support!AI59*5))^S13_PSP_Species_Support!AJ59)^2*(S13_PSP_Species_Support!AK59*(1-EXP(-S13_PSP_Species_Support!AL59*5))^S13_PSP_Species_Support!AM59))^0.976,0)+IFERROR(S13_PSP_Species_Support!AQ59*0.0673*(S13_PSP_Species_Support!AR59*(S13_PSP_Species_Support!AS59*(1-EXP(-S13_PSP_Species_Support!AT59*5))^S13_PSP_Species_Support!AU59)^2*(S13_PSP_Species_Support!AV59*(1-EXP(-S13_PSP_Species_Support!AW59*5))^S13_PSP_Species_Support!AX59))^0.976,0)+IFERROR(S13_PSP_Species_Support!BB59*0.0673*(S13_PSP_Species_Support!BC59*(S13_PSP_Species_Support!BD59*(1-EXP(-S13_PSP_Species_Support!BE59*5))^S13_PSP_Species_Support!BF59)^2*(S13_PSP_Species_Support!BG59*(1-EXP(-S13_PSP_Species_Support!BH59*5))^S13_PSP_Species_Support!BI59))^0.976,0)+IFERROR(S13_PSP_Species_Support!BM59*0.0673*(S13_PSP_Species_Support!BN59*(S13_PSP_Species_Support!BO59*(1-EXP(-S13_PSP_Species_Support!BP59*5))^S13_PSP_Species_Support!BQ59)^2*(S13_PSP_Species_Support!BR59*(1-EXP(-S13_PSP_Species_Support!BS59*5))^S13_PSP_Species_Support!BT59))^0.976,0)+IFERROR(S13_PSP_Species_Support!BX59*0.0673*(S13_PSP_Species_Support!BY59*(S13_PSP_Species_Support!BZ59*(1-EXP(-S13_PSP_Species_Support!CA59*5))^S13_PSP_Species_Support!CB59)^2*(S13_PSP_Species_Support!CC59*(1-EXP(-S13_PSP_Species_Support!CD59*5))^S13_PSP_Species_Support!CE59))^0.976,0)+IFERROR(S13_PSP_Species_Support!CI59*0.0673*(S13_PSP_Species_Support!CJ59*(S13_PSP_Species_Support!CK59*(1-EXP(-S13_PSP_Species_Support!CL59*5))^S13_PSP_Species_Support!CM59)^2*(S13_PSP_Species_Support!CN59*(1-EXP(-S13_PSP_Species_Support!CO59*5))^S13_PSP_Species_Support!CP59))^0.976,0)+IFERROR(S13_PSP_Species_Support!CT59*0.0673*(S13_PSP_Species_Support!CU59*(S13_PSP_Species_Support!CV59*(1-EXP(-S13_PSP_Species_Support!CW59*5))^S13_PSP_Species_Support!CX59)^2*(S13_PSP_Species_Support!CY59*(1-EXP(-S13_PSP_Species_Support!CZ59*5))^S13_PSP_Species_Support!DA59))^0.976,0))/1000/$G72*N$108,0)</x:f>
        <x:v>78.11443942924906</x:v>
      </x:c>
      <x:c r="O72" s="147" t="n">
        <x:f aca="0">IFERROR((IFERROR(S13_PSP_Species_Support!U59*0.0673*(S13_PSP_Species_Support!V59*(S13_PSP_Species_Support!W59*(1-EXP(-S13_PSP_Species_Support!X59*6))^S13_PSP_Species_Support!Y59)^2*(S13_PSP_Species_Support!Z59*(1-EXP(-S13_PSP_Species_Support!AA59*6))^S13_PSP_Species_Support!AB59))^0.976,0)+IFERROR(S13_PSP_Species_Support!AF59*0.0673*(S13_PSP_Species_Support!AG59*(S13_PSP_Species_Support!AH59*(1-EXP(-S13_PSP_Species_Support!AI59*6))^S13_PSP_Species_Support!AJ59)^2*(S13_PSP_Species_Support!AK59*(1-EXP(-S13_PSP_Species_Support!AL59*6))^S13_PSP_Species_Support!AM59))^0.976,0)+IFERROR(S13_PSP_Species_Support!AQ59*0.0673*(S13_PSP_Species_Support!AR59*(S13_PSP_Species_Support!AS59*(1-EXP(-S13_PSP_Species_Support!AT59*6))^S13_PSP_Species_Support!AU59)^2*(S13_PSP_Species_Support!AV59*(1-EXP(-S13_PSP_Species_Support!AW59*6))^S13_PSP_Species_Support!AX59))^0.976,0)+IFERROR(S13_PSP_Species_Support!BB59*0.0673*(S13_PSP_Species_Support!BC59*(S13_PSP_Species_Support!BD59*(1-EXP(-S13_PSP_Species_Support!BE59*6))^S13_PSP_Species_Support!BF59)^2*(S13_PSP_Species_Support!BG59*(1-EXP(-S13_PSP_Species_Support!BH59*6))^S13_PSP_Species_Support!BI59))^0.976,0)+IFERROR(S13_PSP_Species_Support!BM59*0.0673*(S13_PSP_Species_Support!BN59*(S13_PSP_Species_Support!BO59*(1-EXP(-S13_PSP_Species_Support!BP59*6))^S13_PSP_Species_Support!BQ59)^2*(S13_PSP_Species_Support!BR59*(1-EXP(-S13_PSP_Species_Support!BS59*6))^S13_PSP_Species_Support!BT59))^0.976,0)+IFERROR(S13_PSP_Species_Support!BX59*0.0673*(S13_PSP_Species_Support!BY59*(S13_PSP_Species_Support!BZ59*(1-EXP(-S13_PSP_Species_Support!CA59*6))^S13_PSP_Species_Support!CB59)^2*(S13_PSP_Species_Support!CC59*(1-EXP(-S13_PSP_Species_Support!CD59*6))^S13_PSP_Species_Support!CE59))^0.976,0)+IFERROR(S13_PSP_Species_Support!CI59*0.0673*(S13_PSP_Species_Support!CJ59*(S13_PSP_Species_Support!CK59*(1-EXP(-S13_PSP_Species_Support!CL59*6))^S13_PSP_Species_Support!CM59)^2*(S13_PSP_Species_Support!CN59*(1-EXP(-S13_PSP_Species_Support!CO59*6))^S13_PSP_Species_Support!CP59))^0.976,0)+IFERROR(S13_PSP_Species_Support!CT59*0.0673*(S13_PSP_Species_Support!CU59*(S13_PSP_Species_Support!CV59*(1-EXP(-S13_PSP_Species_Support!CW59*6))^S13_PSP_Species_Support!CX59)^2*(S13_PSP_Species_Support!CY59*(1-EXP(-S13_PSP_Species_Support!CZ59*6))^S13_PSP_Species_Support!DA59))^0.976,0))/1000/$G72*O$108,0)</x:f>
        <x:v>128.9555760804715</x:v>
      </x:c>
      <x:c r="P72" s="147" t="n">
        <x:f aca="0">IFERROR((IFERROR(S13_PSP_Species_Support!U59*0.0673*(S13_PSP_Species_Support!V59*(S13_PSP_Species_Support!W59*(1-EXP(-S13_PSP_Species_Support!X59*7))^S13_PSP_Species_Support!Y59)^2*(S13_PSP_Species_Support!Z59*(1-EXP(-S13_PSP_Species_Support!AA59*7))^S13_PSP_Species_Support!AB59))^0.976,0)+IFERROR(S13_PSP_Species_Support!AF59*0.0673*(S13_PSP_Species_Support!AG59*(S13_PSP_Species_Support!AH59*(1-EXP(-S13_PSP_Species_Support!AI59*7))^S13_PSP_Species_Support!AJ59)^2*(S13_PSP_Species_Support!AK59*(1-EXP(-S13_PSP_Species_Support!AL59*7))^S13_PSP_Species_Support!AM59))^0.976,0)+IFERROR(S13_PSP_Species_Support!AQ59*0.0673*(S13_PSP_Species_Support!AR59*(S13_PSP_Species_Support!AS59*(1-EXP(-S13_PSP_Species_Support!AT59*7))^S13_PSP_Species_Support!AU59)^2*(S13_PSP_Species_Support!AV59*(1-EXP(-S13_PSP_Species_Support!AW59*7))^S13_PSP_Species_Support!AX59))^0.976,0)+IFERROR(S13_PSP_Species_Support!BB59*0.0673*(S13_PSP_Species_Support!BC59*(S13_PSP_Species_Support!BD59*(1-EXP(-S13_PSP_Species_Support!BE59*7))^S13_PSP_Species_Support!BF59)^2*(S13_PSP_Species_Support!BG59*(1-EXP(-S13_PSP_Species_Support!BH59*7))^S13_PSP_Species_Support!BI59))^0.976,0)+IFERROR(S13_PSP_Species_Support!BM59*0.0673*(S13_PSP_Species_Support!BN59*(S13_PSP_Species_Support!BO59*(1-EXP(-S13_PSP_Species_Support!BP59*7))^S13_PSP_Species_Support!BQ59)^2*(S13_PSP_Species_Support!BR59*(1-EXP(-S13_PSP_Species_Support!BS59*7))^S13_PSP_Species_Support!BT59))^0.976,0)+IFERROR(S13_PSP_Species_Support!BX59*0.0673*(S13_PSP_Species_Support!BY59*(S13_PSP_Species_Support!BZ59*(1-EXP(-S13_PSP_Species_Support!CA59*7))^S13_PSP_Species_Support!CB59)^2*(S13_PSP_Species_Support!CC59*(1-EXP(-S13_PSP_Species_Support!CD59*7))^S13_PSP_Species_Support!CE59))^0.976,0)+IFERROR(S13_PSP_Species_Support!CI59*0.0673*(S13_PSP_Species_Support!CJ59*(S13_PSP_Species_Support!CK59*(1-EXP(-S13_PSP_Species_Support!CL59*7))^S13_PSP_Species_Support!CM59)^2*(S13_PSP_Species_Support!CN59*(1-EXP(-S13_PSP_Species_Support!CO59*7))^S13_PSP_Species_Support!CP59))^0.976,0)+IFERROR(S13_PSP_Species_Support!CT59*0.0673*(S13_PSP_Species_Support!CU59*(S13_PSP_Species_Support!CV59*(1-EXP(-S13_PSP_Species_Support!CW59*7))^S13_PSP_Species_Support!CX59)^2*(S13_PSP_Species_Support!CY59*(1-EXP(-S13_PSP_Species_Support!CZ59*7))^S13_PSP_Species_Support!DA59))^0.976,0))/1000/$G72*P$108,0)</x:f>
        <x:v>191.23699450353357</x:v>
      </x:c>
      <x:c r="Q72" s="147" t="n">
        <x:f aca="0">IFERROR((IFERROR(S13_PSP_Species_Support!U59*0.0673*(S13_PSP_Species_Support!V59*(S13_PSP_Species_Support!W59*(1-EXP(-S13_PSP_Species_Support!X59*8))^S13_PSP_Species_Support!Y59)^2*(S13_PSP_Species_Support!Z59*(1-EXP(-S13_PSP_Species_Support!AA59*8))^S13_PSP_Species_Support!AB59))^0.976,0)+IFERROR(S13_PSP_Species_Support!AF59*0.0673*(S13_PSP_Species_Support!AG59*(S13_PSP_Species_Support!AH59*(1-EXP(-S13_PSP_Species_Support!AI59*8))^S13_PSP_Species_Support!AJ59)^2*(S13_PSP_Species_Support!AK59*(1-EXP(-S13_PSP_Species_Support!AL59*8))^S13_PSP_Species_Support!AM59))^0.976,0)+IFERROR(S13_PSP_Species_Support!AQ59*0.0673*(S13_PSP_Species_Support!AR59*(S13_PSP_Species_Support!AS59*(1-EXP(-S13_PSP_Species_Support!AT59*8))^S13_PSP_Species_Support!AU59)^2*(S13_PSP_Species_Support!AV59*(1-EXP(-S13_PSP_Species_Support!AW59*8))^S13_PSP_Species_Support!AX59))^0.976,0)+IFERROR(S13_PSP_Species_Support!BB59*0.0673*(S13_PSP_Species_Support!BC59*(S13_PSP_Species_Support!BD59*(1-EXP(-S13_PSP_Species_Support!BE59*8))^S13_PSP_Species_Support!BF59)^2*(S13_PSP_Species_Support!BG59*(1-EXP(-S13_PSP_Species_Support!BH59*8))^S13_PSP_Species_Support!BI59))^0.976,0)+IFERROR(S13_PSP_Species_Support!BM59*0.0673*(S13_PSP_Species_Support!BN59*(S13_PSP_Species_Support!BO59*(1-EXP(-S13_PSP_Species_Support!BP59*8))^S13_PSP_Species_Support!BQ59)^2*(S13_PSP_Species_Support!BR59*(1-EXP(-S13_PSP_Species_Support!BS59*8))^S13_PSP_Species_Support!BT59))^0.976,0)+IFERROR(S13_PSP_Species_Support!BX59*0.0673*(S13_PSP_Species_Support!BY59*(S13_PSP_Species_Support!BZ59*(1-EXP(-S13_PSP_Species_Support!CA59*8))^S13_PSP_Species_Support!CB59)^2*(S13_PSP_Species_Support!CC59*(1-EXP(-S13_PSP_Species_Support!CD59*8))^S13_PSP_Species_Support!CE59))^0.976,0)+IFERROR(S13_PSP_Species_Support!CI59*0.0673*(S13_PSP_Species_Support!CJ59*(S13_PSP_Species_Support!CK59*(1-EXP(-S13_PSP_Species_Support!CL59*8))^S13_PSP_Species_Support!CM59)^2*(S13_PSP_Species_Support!CN59*(1-EXP(-S13_PSP_Species_Support!CO59*8))^S13_PSP_Species_Support!CP59))^0.976,0)+IFERROR(S13_PSP_Species_Support!CT59*0.0673*(S13_PSP_Species_Support!CU59*(S13_PSP_Species_Support!CV59*(1-EXP(-S13_PSP_Species_Support!CW59*8))^S13_PSP_Species_Support!CX59)^2*(S13_PSP_Species_Support!CY59*(1-EXP(-S13_PSP_Species_Support!CZ59*8))^S13_PSP_Species_Support!DA59))^0.976,0))/1000/$G72*Q$108,0)</x:f>
        <x:v>262.557041252318</x:v>
      </x:c>
      <x:c r="R72" s="147" t="n">
        <x:f aca="0">IFERROR((IFERROR(S13_PSP_Species_Support!U59*0.0673*(S13_PSP_Species_Support!V59*(S13_PSP_Species_Support!W59*(1-EXP(-S13_PSP_Species_Support!X59*9))^S13_PSP_Species_Support!Y59)^2*(S13_PSP_Species_Support!Z59*(1-EXP(-S13_PSP_Species_Support!AA59*9))^S13_PSP_Species_Support!AB59))^0.976,0)+IFERROR(S13_PSP_Species_Support!AF59*0.0673*(S13_PSP_Species_Support!AG59*(S13_PSP_Species_Support!AH59*(1-EXP(-S13_PSP_Species_Support!AI59*9))^S13_PSP_Species_Support!AJ59)^2*(S13_PSP_Species_Support!AK59*(1-EXP(-S13_PSP_Species_Support!AL59*9))^S13_PSP_Species_Support!AM59))^0.976,0)+IFERROR(S13_PSP_Species_Support!AQ59*0.0673*(S13_PSP_Species_Support!AR59*(S13_PSP_Species_Support!AS59*(1-EXP(-S13_PSP_Species_Support!AT59*9))^S13_PSP_Species_Support!AU59)^2*(S13_PSP_Species_Support!AV59*(1-EXP(-S13_PSP_Species_Support!AW59*9))^S13_PSP_Species_Support!AX59))^0.976,0)+IFERROR(S13_PSP_Species_Support!BB59*0.0673*(S13_PSP_Species_Support!BC59*(S13_PSP_Species_Support!BD59*(1-EXP(-S13_PSP_Species_Support!BE59*9))^S13_PSP_Species_Support!BF59)^2*(S13_PSP_Species_Support!BG59*(1-EXP(-S13_PSP_Species_Support!BH59*9))^S13_PSP_Species_Support!BI59))^0.976,0)+IFERROR(S13_PSP_Species_Support!BM59*0.0673*(S13_PSP_Species_Support!BN59*(S13_PSP_Species_Support!BO59*(1-EXP(-S13_PSP_Species_Support!BP59*9))^S13_PSP_Species_Support!BQ59)^2*(S13_PSP_Species_Support!BR59*(1-EXP(-S13_PSP_Species_Support!BS59*9))^S13_PSP_Species_Support!BT59))^0.976,0)+IFERROR(S13_PSP_Species_Support!BX59*0.0673*(S13_PSP_Species_Support!BY59*(S13_PSP_Species_Support!BZ59*(1-EXP(-S13_PSP_Species_Support!CA59*9))^S13_PSP_Species_Support!CB59)^2*(S13_PSP_Species_Support!CC59*(1-EXP(-S13_PSP_Species_Support!CD59*9))^S13_PSP_Species_Support!CE59))^0.976,0)+IFERROR(S13_PSP_Species_Support!CI59*0.0673*(S13_PSP_Species_Support!CJ59*(S13_PSP_Species_Support!CK59*(1-EXP(-S13_PSP_Species_Support!CL59*9))^S13_PSP_Species_Support!CM59)^2*(S13_PSP_Species_Support!CN59*(1-EXP(-S13_PSP_Species_Support!CO59*9))^S13_PSP_Species_Support!CP59))^0.976,0)+IFERROR(S13_PSP_Species_Support!CT59*0.0673*(S13_PSP_Species_Support!CU59*(S13_PSP_Species_Support!CV59*(1-EXP(-S13_PSP_Species_Support!CW59*9))^S13_PSP_Species_Support!CX59)^2*(S13_PSP_Species_Support!CY59*(1-EXP(-S13_PSP_Species_Support!CZ59*9))^S13_PSP_Species_Support!DA59))^0.976,0))/1000/$G72*R$108,0)</x:f>
        <x:v>340.2751749751654</x:v>
      </x:c>
      <x:c r="S72" s="147" t="n">
        <x:f aca="0">IFERROR((IFERROR(S13_PSP_Species_Support!U59*0.0673*(S13_PSP_Species_Support!V59*(S13_PSP_Species_Support!W59*(1-EXP(-S13_PSP_Species_Support!X59*10))^S13_PSP_Species_Support!Y59)^2*(S13_PSP_Species_Support!Z59*(1-EXP(-S13_PSP_Species_Support!AA59*10))^S13_PSP_Species_Support!AB59))^0.976,0)+IFERROR(S13_PSP_Species_Support!AF59*0.0673*(S13_PSP_Species_Support!AG59*(S13_PSP_Species_Support!AH59*(1-EXP(-S13_PSP_Species_Support!AI59*10))^S13_PSP_Species_Support!AJ59)^2*(S13_PSP_Species_Support!AK59*(1-EXP(-S13_PSP_Species_Support!AL59*10))^S13_PSP_Species_Support!AM59))^0.976,0)+IFERROR(S13_PSP_Species_Support!AQ59*0.0673*(S13_PSP_Species_Support!AR59*(S13_PSP_Species_Support!AS59*(1-EXP(-S13_PSP_Species_Support!AT59*10))^S13_PSP_Species_Support!AU59)^2*(S13_PSP_Species_Support!AV59*(1-EXP(-S13_PSP_Species_Support!AW59*10))^S13_PSP_Species_Support!AX59))^0.976,0)+IFERROR(S13_PSP_Species_Support!BB59*0.0673*(S13_PSP_Species_Support!BC59*(S13_PSP_Species_Support!BD59*(1-EXP(-S13_PSP_Species_Support!BE59*10))^S13_PSP_Species_Support!BF59)^2*(S13_PSP_Species_Support!BG59*(1-EXP(-S13_PSP_Species_Support!BH59*10))^S13_PSP_Species_Support!BI59))^0.976,0)+IFERROR(S13_PSP_Species_Support!BM59*0.0673*(S13_PSP_Species_Support!BN59*(S13_PSP_Species_Support!BO59*(1-EXP(-S13_PSP_Species_Support!BP59*10))^S13_PSP_Species_Support!BQ59)^2*(S13_PSP_Species_Support!BR59*(1-EXP(-S13_PSP_Species_Support!BS59*10))^S13_PSP_Species_Support!BT59))^0.976,0)+IFERROR(S13_PSP_Species_Support!BX59*0.0673*(S13_PSP_Species_Support!BY59*(S13_PSP_Species_Support!BZ59*(1-EXP(-S13_PSP_Species_Support!CA59*10))^S13_PSP_Species_Support!CB59)^2*(S13_PSP_Species_Support!CC59*(1-EXP(-S13_PSP_Species_Support!CD59*10))^S13_PSP_Species_Support!CE59))^0.976,0)+IFERROR(S13_PSP_Species_Support!CI59*0.0673*(S13_PSP_Species_Support!CJ59*(S13_PSP_Species_Support!CK59*(1-EXP(-S13_PSP_Species_Support!CL59*10))^S13_PSP_Species_Support!CM59)^2*(S13_PSP_Species_Support!CN59*(1-EXP(-S13_PSP_Species_Support!CO59*10))^S13_PSP_Species_Support!CP59))^0.976,0)+IFERROR(S13_PSP_Species_Support!CT59*0.0673*(S13_PSP_Species_Support!CU59*(S13_PSP_Species_Support!CV59*(1-EXP(-S13_PSP_Species_Support!CW59*10))^S13_PSP_Species_Support!CX59)^2*(S13_PSP_Species_Support!CY59*(1-EXP(-S13_PSP_Species_Support!CZ59*10))^S13_PSP_Species_Support!DA59))^0.976,0))/1000/$G72*S$108,0)</x:f>
        <x:v>421.83064877062077</x:v>
      </x:c>
      <x:c r="T72" s="147" t="n">
        <x:f aca="0">IFERROR((IFERROR(S13_PSP_Species_Support!U59*0.0673*(S13_PSP_Species_Support!V59*(S13_PSP_Species_Support!W59*(1-EXP(-S13_PSP_Species_Support!X59*11))^S13_PSP_Species_Support!Y59)^2*(S13_PSP_Species_Support!Z59*(1-EXP(-S13_PSP_Species_Support!AA59*11))^S13_PSP_Species_Support!AB59))^0.976,0)+IFERROR(S13_PSP_Species_Support!AF59*0.0673*(S13_PSP_Species_Support!AG59*(S13_PSP_Species_Support!AH59*(1-EXP(-S13_PSP_Species_Support!AI59*11))^S13_PSP_Species_Support!AJ59)^2*(S13_PSP_Species_Support!AK59*(1-EXP(-S13_PSP_Species_Support!AL59*11))^S13_PSP_Species_Support!AM59))^0.976,0)+IFERROR(S13_PSP_Species_Support!AQ59*0.0673*(S13_PSP_Species_Support!AR59*(S13_PSP_Species_Support!AS59*(1-EXP(-S13_PSP_Species_Support!AT59*11))^S13_PSP_Species_Support!AU59)^2*(S13_PSP_Species_Support!AV59*(1-EXP(-S13_PSP_Species_Support!AW59*11))^S13_PSP_Species_Support!AX59))^0.976,0)+IFERROR(S13_PSP_Species_Support!BB59*0.0673*(S13_PSP_Species_Support!BC59*(S13_PSP_Species_Support!BD59*(1-EXP(-S13_PSP_Species_Support!BE59*11))^S13_PSP_Species_Support!BF59)^2*(S13_PSP_Species_Support!BG59*(1-EXP(-S13_PSP_Species_Support!BH59*11))^S13_PSP_Species_Support!BI59))^0.976,0)+IFERROR(S13_PSP_Species_Support!BM59*0.0673*(S13_PSP_Species_Support!BN59*(S13_PSP_Species_Support!BO59*(1-EXP(-S13_PSP_Species_Support!BP59*11))^S13_PSP_Species_Support!BQ59)^2*(S13_PSP_Species_Support!BR59*(1-EXP(-S13_PSP_Species_Support!BS59*11))^S13_PSP_Species_Support!BT59))^0.976,0)+IFERROR(S13_PSP_Species_Support!BX59*0.0673*(S13_PSP_Species_Support!BY59*(S13_PSP_Species_Support!BZ59*(1-EXP(-S13_PSP_Species_Support!CA59*11))^S13_PSP_Species_Support!CB59)^2*(S13_PSP_Species_Support!CC59*(1-EXP(-S13_PSP_Species_Support!CD59*11))^S13_PSP_Species_Support!CE59))^0.976,0)+IFERROR(S13_PSP_Species_Support!CI59*0.0673*(S13_PSP_Species_Support!CJ59*(S13_PSP_Species_Support!CK59*(1-EXP(-S13_PSP_Species_Support!CL59*11))^S13_PSP_Species_Support!CM59)^2*(S13_PSP_Species_Support!CN59*(1-EXP(-S13_PSP_Species_Support!CO59*11))^S13_PSP_Species_Support!CP59))^0.976,0)+IFERROR(S13_PSP_Species_Support!CT59*0.0673*(S13_PSP_Species_Support!CU59*(S13_PSP_Species_Support!CV59*(1-EXP(-S13_PSP_Species_Support!CW59*11))^S13_PSP_Species_Support!CX59)^2*(S13_PSP_Species_Support!CY59*(1-EXP(-S13_PSP_Species_Support!CZ59*11))^S13_PSP_Species_Support!DA59))^0.976,0))/1000/$G72*T$108,0)</x:f>
        <x:v>504.93255894269555</x:v>
      </x:c>
      <x:c r="U72" s="147" t="n">
        <x:f aca="0">IFERROR((IFERROR(S13_PSP_Species_Support!U59*0.0673*(S13_PSP_Species_Support!V59*(S13_PSP_Species_Support!W59*(1-EXP(-S13_PSP_Species_Support!X59*12))^S13_PSP_Species_Support!Y59)^2*(S13_PSP_Species_Support!Z59*(1-EXP(-S13_PSP_Species_Support!AA59*12))^S13_PSP_Species_Support!AB59))^0.976,0)+IFERROR(S13_PSP_Species_Support!AF59*0.0673*(S13_PSP_Species_Support!AG59*(S13_PSP_Species_Support!AH59*(1-EXP(-S13_PSP_Species_Support!AI59*12))^S13_PSP_Species_Support!AJ59)^2*(S13_PSP_Species_Support!AK59*(1-EXP(-S13_PSP_Species_Support!AL59*12))^S13_PSP_Species_Support!AM59))^0.976,0)+IFERROR(S13_PSP_Species_Support!AQ59*0.0673*(S13_PSP_Species_Support!AR59*(S13_PSP_Species_Support!AS59*(1-EXP(-S13_PSP_Species_Support!AT59*12))^S13_PSP_Species_Support!AU59)^2*(S13_PSP_Species_Support!AV59*(1-EXP(-S13_PSP_Species_Support!AW59*12))^S13_PSP_Species_Support!AX59))^0.976,0)+IFERROR(S13_PSP_Species_Support!BB59*0.0673*(S13_PSP_Species_Support!BC59*(S13_PSP_Species_Support!BD59*(1-EXP(-S13_PSP_Species_Support!BE59*12))^S13_PSP_Species_Support!BF59)^2*(S13_PSP_Species_Support!BG59*(1-EXP(-S13_PSP_Species_Support!BH59*12))^S13_PSP_Species_Support!BI59))^0.976,0)+IFERROR(S13_PSP_Species_Support!BM59*0.0673*(S13_PSP_Species_Support!BN59*(S13_PSP_Species_Support!BO59*(1-EXP(-S13_PSP_Species_Support!BP59*12))^S13_PSP_Species_Support!BQ59)^2*(S13_PSP_Species_Support!BR59*(1-EXP(-S13_PSP_Species_Support!BS59*12))^S13_PSP_Species_Support!BT59))^0.976,0)+IFERROR(S13_PSP_Species_Support!BX59*0.0673*(S13_PSP_Species_Support!BY59*(S13_PSP_Species_Support!BZ59*(1-EXP(-S13_PSP_Species_Support!CA59*12))^S13_PSP_Species_Support!CB59)^2*(S13_PSP_Species_Support!CC59*(1-EXP(-S13_PSP_Species_Support!CD59*12))^S13_PSP_Species_Support!CE59))^0.976,0)+IFERROR(S13_PSP_Species_Support!CI59*0.0673*(S13_PSP_Species_Support!CJ59*(S13_PSP_Species_Support!CK59*(1-EXP(-S13_PSP_Species_Support!CL59*12))^S13_PSP_Species_Support!CM59)^2*(S13_PSP_Species_Support!CN59*(1-EXP(-S13_PSP_Species_Support!CO59*12))^S13_PSP_Species_Support!CP59))^0.976,0)+IFERROR(S13_PSP_Species_Support!CT59*0.0673*(S13_PSP_Species_Support!CU59*(S13_PSP_Species_Support!CV59*(1-EXP(-S13_PSP_Species_Support!CW59*12))^S13_PSP_Species_Support!CX59)^2*(S13_PSP_Species_Support!CY59*(1-EXP(-S13_PSP_Species_Support!CZ59*12))^S13_PSP_Species_Support!DA59))^0.976,0))/1000/$G72*U$108,0)</x:f>
        <x:v>587.6527554101937</x:v>
      </x:c>
      <x:c r="V72" s="147" t="n">
        <x:f aca="0">IFERROR((IFERROR(S13_PSP_Species_Support!U59*0.0673*(S13_PSP_Species_Support!V59*(S13_PSP_Species_Support!W59*(1-EXP(-S13_PSP_Species_Support!X59*13))^S13_PSP_Species_Support!Y59)^2*(S13_PSP_Species_Support!Z59*(1-EXP(-S13_PSP_Species_Support!AA59*13))^S13_PSP_Species_Support!AB59))^0.976,0)+IFERROR(S13_PSP_Species_Support!AF59*0.0673*(S13_PSP_Species_Support!AG59*(S13_PSP_Species_Support!AH59*(1-EXP(-S13_PSP_Species_Support!AI59*13))^S13_PSP_Species_Support!AJ59)^2*(S13_PSP_Species_Support!AK59*(1-EXP(-S13_PSP_Species_Support!AL59*13))^S13_PSP_Species_Support!AM59))^0.976,0)+IFERROR(S13_PSP_Species_Support!AQ59*0.0673*(S13_PSP_Species_Support!AR59*(S13_PSP_Species_Support!AS59*(1-EXP(-S13_PSP_Species_Support!AT59*13))^S13_PSP_Species_Support!AU59)^2*(S13_PSP_Species_Support!AV59*(1-EXP(-S13_PSP_Species_Support!AW59*13))^S13_PSP_Species_Support!AX59))^0.976,0)+IFERROR(S13_PSP_Species_Support!BB59*0.0673*(S13_PSP_Species_Support!BC59*(S13_PSP_Species_Support!BD59*(1-EXP(-S13_PSP_Species_Support!BE59*13))^S13_PSP_Species_Support!BF59)^2*(S13_PSP_Species_Support!BG59*(1-EXP(-S13_PSP_Species_Support!BH59*13))^S13_PSP_Species_Support!BI59))^0.976,0)+IFERROR(S13_PSP_Species_Support!BM59*0.0673*(S13_PSP_Species_Support!BN59*(S13_PSP_Species_Support!BO59*(1-EXP(-S13_PSP_Species_Support!BP59*13))^S13_PSP_Species_Support!BQ59)^2*(S13_PSP_Species_Support!BR59*(1-EXP(-S13_PSP_Species_Support!BS59*13))^S13_PSP_Species_Support!BT59))^0.976,0)+IFERROR(S13_PSP_Species_Support!BX59*0.0673*(S13_PSP_Species_Support!BY59*(S13_PSP_Species_Support!BZ59*(1-EXP(-S13_PSP_Species_Support!CA59*13))^S13_PSP_Species_Support!CB59)^2*(S13_PSP_Species_Support!CC59*(1-EXP(-S13_PSP_Species_Support!CD59*13))^S13_PSP_Species_Support!CE59))^0.976,0)+IFERROR(S13_PSP_Species_Support!CI59*0.0673*(S13_PSP_Species_Support!CJ59*(S13_PSP_Species_Support!CK59*(1-EXP(-S13_PSP_Species_Support!CL59*13))^S13_PSP_Species_Support!CM59)^2*(S13_PSP_Species_Support!CN59*(1-EXP(-S13_PSP_Species_Support!CO59*13))^S13_PSP_Species_Support!CP59))^0.976,0)+IFERROR(S13_PSP_Species_Support!CT59*0.0673*(S13_PSP_Species_Support!CU59*(S13_PSP_Species_Support!CV59*(1-EXP(-S13_PSP_Species_Support!CW59*13))^S13_PSP_Species_Support!CX59)^2*(S13_PSP_Species_Support!CY59*(1-EXP(-S13_PSP_Species_Support!CZ59*13))^S13_PSP_Species_Support!DA59))^0.976,0))/1000/$G72*V$108,0)</x:f>
        <x:v>668.4521601793833</x:v>
      </x:c>
      <x:c r="W72" s="147" t="n">
        <x:f aca="0">IFERROR((IFERROR(S13_PSP_Species_Support!U59*0.0673*(S13_PSP_Species_Support!V59*(S13_PSP_Species_Support!W59*(1-EXP(-S13_PSP_Species_Support!X59*14))^S13_PSP_Species_Support!Y59)^2*(S13_PSP_Species_Support!Z59*(1-EXP(-S13_PSP_Species_Support!AA59*14))^S13_PSP_Species_Support!AB59))^0.976,0)+IFERROR(S13_PSP_Species_Support!AF59*0.0673*(S13_PSP_Species_Support!AG59*(S13_PSP_Species_Support!AH59*(1-EXP(-S13_PSP_Species_Support!AI59*14))^S13_PSP_Species_Support!AJ59)^2*(S13_PSP_Species_Support!AK59*(1-EXP(-S13_PSP_Species_Support!AL59*14))^S13_PSP_Species_Support!AM59))^0.976,0)+IFERROR(S13_PSP_Species_Support!AQ59*0.0673*(S13_PSP_Species_Support!AR59*(S13_PSP_Species_Support!AS59*(1-EXP(-S13_PSP_Species_Support!AT59*14))^S13_PSP_Species_Support!AU59)^2*(S13_PSP_Species_Support!AV59*(1-EXP(-S13_PSP_Species_Support!AW59*14))^S13_PSP_Species_Support!AX59))^0.976,0)+IFERROR(S13_PSP_Species_Support!BB59*0.0673*(S13_PSP_Species_Support!BC59*(S13_PSP_Species_Support!BD59*(1-EXP(-S13_PSP_Species_Support!BE59*14))^S13_PSP_Species_Support!BF59)^2*(S13_PSP_Species_Support!BG59*(1-EXP(-S13_PSP_Species_Support!BH59*14))^S13_PSP_Species_Support!BI59))^0.976,0)+IFERROR(S13_PSP_Species_Support!BM59*0.0673*(S13_PSP_Species_Support!BN59*(S13_PSP_Species_Support!BO59*(1-EXP(-S13_PSP_Species_Support!BP59*14))^S13_PSP_Species_Support!BQ59)^2*(S13_PSP_Species_Support!BR59*(1-EXP(-S13_PSP_Species_Support!BS59*14))^S13_PSP_Species_Support!BT59))^0.976,0)+IFERROR(S13_PSP_Species_Support!BX59*0.0673*(S13_PSP_Species_Support!BY59*(S13_PSP_Species_Support!BZ59*(1-EXP(-S13_PSP_Species_Support!CA59*14))^S13_PSP_Species_Support!CB59)^2*(S13_PSP_Species_Support!CC59*(1-EXP(-S13_PSP_Species_Support!CD59*14))^S13_PSP_Species_Support!CE59))^0.976,0)+IFERROR(S13_PSP_Species_Support!CI59*0.0673*(S13_PSP_Species_Support!CJ59*(S13_PSP_Species_Support!CK59*(1-EXP(-S13_PSP_Species_Support!CL59*14))^S13_PSP_Species_Support!CM59)^2*(S13_PSP_Species_Support!CN59*(1-EXP(-S13_PSP_Species_Support!CO59*14))^S13_PSP_Species_Support!CP59))^0.976,0)+IFERROR(S13_PSP_Species_Support!CT59*0.0673*(S13_PSP_Species_Support!CU59*(S13_PSP_Species_Support!CV59*(1-EXP(-S13_PSP_Species_Support!CW59*14))^S13_PSP_Species_Support!CX59)^2*(S13_PSP_Species_Support!CY59*(1-EXP(-S13_PSP_Species_Support!CZ59*14))^S13_PSP_Species_Support!DA59))^0.976,0))/1000/$G72*W$108,0)</x:f>
        <x:v>746.1654276699937</x:v>
      </x:c>
      <x:c r="X72" s="147" t="n">
        <x:f aca="0">IFERROR((IFERROR(S13_PSP_Species_Support!U59*0.0673*(S13_PSP_Species_Support!V59*(S13_PSP_Species_Support!W59*(1-EXP(-S13_PSP_Species_Support!X59*15))^S13_PSP_Species_Support!Y59)^2*(S13_PSP_Species_Support!Z59*(1-EXP(-S13_PSP_Species_Support!AA59*15))^S13_PSP_Species_Support!AB59))^0.976,0)+IFERROR(S13_PSP_Species_Support!AF59*0.0673*(S13_PSP_Species_Support!AG59*(S13_PSP_Species_Support!AH59*(1-EXP(-S13_PSP_Species_Support!AI59*15))^S13_PSP_Species_Support!AJ59)^2*(S13_PSP_Species_Support!AK59*(1-EXP(-S13_PSP_Species_Support!AL59*15))^S13_PSP_Species_Support!AM59))^0.976,0)+IFERROR(S13_PSP_Species_Support!AQ59*0.0673*(S13_PSP_Species_Support!AR59*(S13_PSP_Species_Support!AS59*(1-EXP(-S13_PSP_Species_Support!AT59*15))^S13_PSP_Species_Support!AU59)^2*(S13_PSP_Species_Support!AV59*(1-EXP(-S13_PSP_Species_Support!AW59*15))^S13_PSP_Species_Support!AX59))^0.976,0)+IFERROR(S13_PSP_Species_Support!BB59*0.0673*(S13_PSP_Species_Support!BC59*(S13_PSP_Species_Support!BD59*(1-EXP(-S13_PSP_Species_Support!BE59*15))^S13_PSP_Species_Support!BF59)^2*(S13_PSP_Species_Support!BG59*(1-EXP(-S13_PSP_Species_Support!BH59*15))^S13_PSP_Species_Support!BI59))^0.976,0)+IFERROR(S13_PSP_Species_Support!BM59*0.0673*(S13_PSP_Species_Support!BN59*(S13_PSP_Species_Support!BO59*(1-EXP(-S13_PSP_Species_Support!BP59*15))^S13_PSP_Species_Support!BQ59)^2*(S13_PSP_Species_Support!BR59*(1-EXP(-S13_PSP_Species_Support!BS59*15))^S13_PSP_Species_Support!BT59))^0.976,0)+IFERROR(S13_PSP_Species_Support!BX59*0.0673*(S13_PSP_Species_Support!BY59*(S13_PSP_Species_Support!BZ59*(1-EXP(-S13_PSP_Species_Support!CA59*15))^S13_PSP_Species_Support!CB59)^2*(S13_PSP_Species_Support!CC59*(1-EXP(-S13_PSP_Species_Support!CD59*15))^S13_PSP_Species_Support!CE59))^0.976,0)+IFERROR(S13_PSP_Species_Support!CI59*0.0673*(S13_PSP_Species_Support!CJ59*(S13_PSP_Species_Support!CK59*(1-EXP(-S13_PSP_Species_Support!CL59*15))^S13_PSP_Species_Support!CM59)^2*(S13_PSP_Species_Support!CN59*(1-EXP(-S13_PSP_Species_Support!CO59*15))^S13_PSP_Species_Support!CP59))^0.976,0)+IFERROR(S13_PSP_Species_Support!CT59*0.0673*(S13_PSP_Species_Support!CU59*(S13_PSP_Species_Support!CV59*(1-EXP(-S13_PSP_Species_Support!CW59*15))^S13_PSP_Species_Support!CX59)^2*(S13_PSP_Species_Support!CY59*(1-EXP(-S13_PSP_Species_Support!CZ59*15))^S13_PSP_Species_Support!DA59))^0.976,0))/1000/$G72*X$108,0)</x:f>
        <x:v>819.9624122771575</x:v>
      </x:c>
      <x:c r="Y72" s="147" t="n">
        <x:f aca="0">IFERROR((IFERROR(S13_PSP_Species_Support!U59*0.0673*(S13_PSP_Species_Support!V59*(S13_PSP_Species_Support!W59*(1-EXP(-S13_PSP_Species_Support!X59*16))^S13_PSP_Species_Support!Y59)^2*(S13_PSP_Species_Support!Z59*(1-EXP(-S13_PSP_Species_Support!AA59*16))^S13_PSP_Species_Support!AB59))^0.976,0)+IFERROR(S13_PSP_Species_Support!AF59*0.0673*(S13_PSP_Species_Support!AG59*(S13_PSP_Species_Support!AH59*(1-EXP(-S13_PSP_Species_Support!AI59*16))^S13_PSP_Species_Support!AJ59)^2*(S13_PSP_Species_Support!AK59*(1-EXP(-S13_PSP_Species_Support!AL59*16))^S13_PSP_Species_Support!AM59))^0.976,0)+IFERROR(S13_PSP_Species_Support!AQ59*0.0673*(S13_PSP_Species_Support!AR59*(S13_PSP_Species_Support!AS59*(1-EXP(-S13_PSP_Species_Support!AT59*16))^S13_PSP_Species_Support!AU59)^2*(S13_PSP_Species_Support!AV59*(1-EXP(-S13_PSP_Species_Support!AW59*16))^S13_PSP_Species_Support!AX59))^0.976,0)+IFERROR(S13_PSP_Species_Support!BB59*0.0673*(S13_PSP_Species_Support!BC59*(S13_PSP_Species_Support!BD59*(1-EXP(-S13_PSP_Species_Support!BE59*16))^S13_PSP_Species_Support!BF59)^2*(S13_PSP_Species_Support!BG59*(1-EXP(-S13_PSP_Species_Support!BH59*16))^S13_PSP_Species_Support!BI59))^0.976,0)+IFERROR(S13_PSP_Species_Support!BM59*0.0673*(S13_PSP_Species_Support!BN59*(S13_PSP_Species_Support!BO59*(1-EXP(-S13_PSP_Species_Support!BP59*16))^S13_PSP_Species_Support!BQ59)^2*(S13_PSP_Species_Support!BR59*(1-EXP(-S13_PSP_Species_Support!BS59*16))^S13_PSP_Species_Support!BT59))^0.976,0)+IFERROR(S13_PSP_Species_Support!BX59*0.0673*(S13_PSP_Species_Support!BY59*(S13_PSP_Species_Support!BZ59*(1-EXP(-S13_PSP_Species_Support!CA59*16))^S13_PSP_Species_Support!CB59)^2*(S13_PSP_Species_Support!CC59*(1-EXP(-S13_PSP_Species_Support!CD59*16))^S13_PSP_Species_Support!CE59))^0.976,0)+IFERROR(S13_PSP_Species_Support!CI59*0.0673*(S13_PSP_Species_Support!CJ59*(S13_PSP_Species_Support!CK59*(1-EXP(-S13_PSP_Species_Support!CL59*16))^S13_PSP_Species_Support!CM59)^2*(S13_PSP_Species_Support!CN59*(1-EXP(-S13_PSP_Species_Support!CO59*16))^S13_PSP_Species_Support!CP59))^0.976,0)+IFERROR(S13_PSP_Species_Support!CT59*0.0673*(S13_PSP_Species_Support!CU59*(S13_PSP_Species_Support!CV59*(1-EXP(-S13_PSP_Species_Support!CW59*16))^S13_PSP_Species_Support!CX59)^2*(S13_PSP_Species_Support!CY59*(1-EXP(-S13_PSP_Species_Support!CZ59*16))^S13_PSP_Species_Support!DA59))^0.976,0))/1000/$G72*Y$108,0)</x:f>
        <x:v>889.2991637629619</x:v>
      </x:c>
      <x:c r="Z72" s="147" t="n">
        <x:f aca="0">IFERROR((IFERROR(S13_PSP_Species_Support!U59*0.0673*(S13_PSP_Species_Support!V59*(S13_PSP_Species_Support!W59*(1-EXP(-S13_PSP_Species_Support!X59*17))^S13_PSP_Species_Support!Y59)^2*(S13_PSP_Species_Support!Z59*(1-EXP(-S13_PSP_Species_Support!AA59*17))^S13_PSP_Species_Support!AB59))^0.976,0)+IFERROR(S13_PSP_Species_Support!AF59*0.0673*(S13_PSP_Species_Support!AG59*(S13_PSP_Species_Support!AH59*(1-EXP(-S13_PSP_Species_Support!AI59*17))^S13_PSP_Species_Support!AJ59)^2*(S13_PSP_Species_Support!AK59*(1-EXP(-S13_PSP_Species_Support!AL59*17))^S13_PSP_Species_Support!AM59))^0.976,0)+IFERROR(S13_PSP_Species_Support!AQ59*0.0673*(S13_PSP_Species_Support!AR59*(S13_PSP_Species_Support!AS59*(1-EXP(-S13_PSP_Species_Support!AT59*17))^S13_PSP_Species_Support!AU59)^2*(S13_PSP_Species_Support!AV59*(1-EXP(-S13_PSP_Species_Support!AW59*17))^S13_PSP_Species_Support!AX59))^0.976,0)+IFERROR(S13_PSP_Species_Support!BB59*0.0673*(S13_PSP_Species_Support!BC59*(S13_PSP_Species_Support!BD59*(1-EXP(-S13_PSP_Species_Support!BE59*17))^S13_PSP_Species_Support!BF59)^2*(S13_PSP_Species_Support!BG59*(1-EXP(-S13_PSP_Species_Support!BH59*17))^S13_PSP_Species_Support!BI59))^0.976,0)+IFERROR(S13_PSP_Species_Support!BM59*0.0673*(S13_PSP_Species_Support!BN59*(S13_PSP_Species_Support!BO59*(1-EXP(-S13_PSP_Species_Support!BP59*17))^S13_PSP_Species_Support!BQ59)^2*(S13_PSP_Species_Support!BR59*(1-EXP(-S13_PSP_Species_Support!BS59*17))^S13_PSP_Species_Support!BT59))^0.976,0)+IFERROR(S13_PSP_Species_Support!BX59*0.0673*(S13_PSP_Species_Support!BY59*(S13_PSP_Species_Support!BZ59*(1-EXP(-S13_PSP_Species_Support!CA59*17))^S13_PSP_Species_Support!CB59)^2*(S13_PSP_Species_Support!CC59*(1-EXP(-S13_PSP_Species_Support!CD59*17))^S13_PSP_Species_Support!CE59))^0.976,0)+IFERROR(S13_PSP_Species_Support!CI59*0.0673*(S13_PSP_Species_Support!CJ59*(S13_PSP_Species_Support!CK59*(1-EXP(-S13_PSP_Species_Support!CL59*17))^S13_PSP_Species_Support!CM59)^2*(S13_PSP_Species_Support!CN59*(1-EXP(-S13_PSP_Species_Support!CO59*17))^S13_PSP_Species_Support!CP59))^0.976,0)+IFERROR(S13_PSP_Species_Support!CT59*0.0673*(S13_PSP_Species_Support!CU59*(S13_PSP_Species_Support!CV59*(1-EXP(-S13_PSP_Species_Support!CW59*17))^S13_PSP_Species_Support!CX59)^2*(S13_PSP_Species_Support!CY59*(1-EXP(-S13_PSP_Species_Support!CZ59*17))^S13_PSP_Species_Support!DA59))^0.976,0))/1000/$G72*Z$108,0)</x:f>
        <x:v>953.8666400387984</x:v>
      </x:c>
      <x:c r="AA72" s="147" t="n">
        <x:f aca="0">IFERROR((IFERROR(S13_PSP_Species_Support!U59*0.0673*(S13_PSP_Species_Support!V59*(S13_PSP_Species_Support!W59*(1-EXP(-S13_PSP_Species_Support!X59*18))^S13_PSP_Species_Support!Y59)^2*(S13_PSP_Species_Support!Z59*(1-EXP(-S13_PSP_Species_Support!AA59*18))^S13_PSP_Species_Support!AB59))^0.976,0)+IFERROR(S13_PSP_Species_Support!AF59*0.0673*(S13_PSP_Species_Support!AG59*(S13_PSP_Species_Support!AH59*(1-EXP(-S13_PSP_Species_Support!AI59*18))^S13_PSP_Species_Support!AJ59)^2*(S13_PSP_Species_Support!AK59*(1-EXP(-S13_PSP_Species_Support!AL59*18))^S13_PSP_Species_Support!AM59))^0.976,0)+IFERROR(S13_PSP_Species_Support!AQ59*0.0673*(S13_PSP_Species_Support!AR59*(S13_PSP_Species_Support!AS59*(1-EXP(-S13_PSP_Species_Support!AT59*18))^S13_PSP_Species_Support!AU59)^2*(S13_PSP_Species_Support!AV59*(1-EXP(-S13_PSP_Species_Support!AW59*18))^S13_PSP_Species_Support!AX59))^0.976,0)+IFERROR(S13_PSP_Species_Support!BB59*0.0673*(S13_PSP_Species_Support!BC59*(S13_PSP_Species_Support!BD59*(1-EXP(-S13_PSP_Species_Support!BE59*18))^S13_PSP_Species_Support!BF59)^2*(S13_PSP_Species_Support!BG59*(1-EXP(-S13_PSP_Species_Support!BH59*18))^S13_PSP_Species_Support!BI59))^0.976,0)+IFERROR(S13_PSP_Species_Support!BM59*0.0673*(S13_PSP_Species_Support!BN59*(S13_PSP_Species_Support!BO59*(1-EXP(-S13_PSP_Species_Support!BP59*18))^S13_PSP_Species_Support!BQ59)^2*(S13_PSP_Species_Support!BR59*(1-EXP(-S13_PSP_Species_Support!BS59*18))^S13_PSP_Species_Support!BT59))^0.976,0)+IFERROR(S13_PSP_Species_Support!BX59*0.0673*(S13_PSP_Species_Support!BY59*(S13_PSP_Species_Support!BZ59*(1-EXP(-S13_PSP_Species_Support!CA59*18))^S13_PSP_Species_Support!CB59)^2*(S13_PSP_Species_Support!CC59*(1-EXP(-S13_PSP_Species_Support!CD59*18))^S13_PSP_Species_Support!CE59))^0.976,0)+IFERROR(S13_PSP_Species_Support!CI59*0.0673*(S13_PSP_Species_Support!CJ59*(S13_PSP_Species_Support!CK59*(1-EXP(-S13_PSP_Species_Support!CL59*18))^S13_PSP_Species_Support!CM59)^2*(S13_PSP_Species_Support!CN59*(1-EXP(-S13_PSP_Species_Support!CO59*18))^S13_PSP_Species_Support!CP59))^0.976,0)+IFERROR(S13_PSP_Species_Support!CT59*0.0673*(S13_PSP_Species_Support!CU59*(S13_PSP_Species_Support!CV59*(1-EXP(-S13_PSP_Species_Support!CW59*18))^S13_PSP_Species_Support!CX59)^2*(S13_PSP_Species_Support!CY59*(1-EXP(-S13_PSP_Species_Support!CZ59*18))^S13_PSP_Species_Support!DA59))^0.976,0))/1000/$G72*AA$108,0)</x:f>
        <x:v>1013.5420086215709</x:v>
      </x:c>
      <x:c r="AB72" s="147" t="n">
        <x:f aca="0">IFERROR((IFERROR(S13_PSP_Species_Support!U59*0.0673*(S13_PSP_Species_Support!V59*(S13_PSP_Species_Support!W59*(1-EXP(-S13_PSP_Species_Support!X59*19))^S13_PSP_Species_Support!Y59)^2*(S13_PSP_Species_Support!Z59*(1-EXP(-S13_PSP_Species_Support!AA59*19))^S13_PSP_Species_Support!AB59))^0.976,0)+IFERROR(S13_PSP_Species_Support!AF59*0.0673*(S13_PSP_Species_Support!AG59*(S13_PSP_Species_Support!AH59*(1-EXP(-S13_PSP_Species_Support!AI59*19))^S13_PSP_Species_Support!AJ59)^2*(S13_PSP_Species_Support!AK59*(1-EXP(-S13_PSP_Species_Support!AL59*19))^S13_PSP_Species_Support!AM59))^0.976,0)+IFERROR(S13_PSP_Species_Support!AQ59*0.0673*(S13_PSP_Species_Support!AR59*(S13_PSP_Species_Support!AS59*(1-EXP(-S13_PSP_Species_Support!AT59*19))^S13_PSP_Species_Support!AU59)^2*(S13_PSP_Species_Support!AV59*(1-EXP(-S13_PSP_Species_Support!AW59*19))^S13_PSP_Species_Support!AX59))^0.976,0)+IFERROR(S13_PSP_Species_Support!BB59*0.0673*(S13_PSP_Species_Support!BC59*(S13_PSP_Species_Support!BD59*(1-EXP(-S13_PSP_Species_Support!BE59*19))^S13_PSP_Species_Support!BF59)^2*(S13_PSP_Species_Support!BG59*(1-EXP(-S13_PSP_Species_Support!BH59*19))^S13_PSP_Species_Support!BI59))^0.976,0)+IFERROR(S13_PSP_Species_Support!BM59*0.0673*(S13_PSP_Species_Support!BN59*(S13_PSP_Species_Support!BO59*(1-EXP(-S13_PSP_Species_Support!BP59*19))^S13_PSP_Species_Support!BQ59)^2*(S13_PSP_Species_Support!BR59*(1-EXP(-S13_PSP_Species_Support!BS59*19))^S13_PSP_Species_Support!BT59))^0.976,0)+IFERROR(S13_PSP_Species_Support!BX59*0.0673*(S13_PSP_Species_Support!BY59*(S13_PSP_Species_Support!BZ59*(1-EXP(-S13_PSP_Species_Support!CA59*19))^S13_PSP_Species_Support!CB59)^2*(S13_PSP_Species_Support!CC59*(1-EXP(-S13_PSP_Species_Support!CD59*19))^S13_PSP_Species_Support!CE59))^0.976,0)+IFERROR(S13_PSP_Species_Support!CI59*0.0673*(S13_PSP_Species_Support!CJ59*(S13_PSP_Species_Support!CK59*(1-EXP(-S13_PSP_Species_Support!CL59*19))^S13_PSP_Species_Support!CM59)^2*(S13_PSP_Species_Support!CN59*(1-EXP(-S13_PSP_Species_Support!CO59*19))^S13_PSP_Species_Support!CP59))^0.976,0)+IFERROR(S13_PSP_Species_Support!CT59*0.0673*(S13_PSP_Species_Support!CU59*(S13_PSP_Species_Support!CV59*(1-EXP(-S13_PSP_Species_Support!CW59*19))^S13_PSP_Species_Support!CX59)^2*(S13_PSP_Species_Support!CY59*(1-EXP(-S13_PSP_Species_Support!CZ59*19))^S13_PSP_Species_Support!DA59))^0.976,0))/1000/$G72*AB$108,0)</x:f>
        <x:v>1068.3451129286982</x:v>
      </x:c>
      <x:c r="AC72" s="147" t="n">
        <x:f aca="0">IFERROR((IFERROR(S13_PSP_Species_Support!U59*0.0673*(S13_PSP_Species_Support!V59*(S13_PSP_Species_Support!W59*(1-EXP(-S13_PSP_Species_Support!X59*20))^S13_PSP_Species_Support!Y59)^2*(S13_PSP_Species_Support!Z59*(1-EXP(-S13_PSP_Species_Support!AA59*20))^S13_PSP_Species_Support!AB59))^0.976,0)+IFERROR(S13_PSP_Species_Support!AF59*0.0673*(S13_PSP_Species_Support!AG59*(S13_PSP_Species_Support!AH59*(1-EXP(-S13_PSP_Species_Support!AI59*20))^S13_PSP_Species_Support!AJ59)^2*(S13_PSP_Species_Support!AK59*(1-EXP(-S13_PSP_Species_Support!AL59*20))^S13_PSP_Species_Support!AM59))^0.976,0)+IFERROR(S13_PSP_Species_Support!AQ59*0.0673*(S13_PSP_Species_Support!AR59*(S13_PSP_Species_Support!AS59*(1-EXP(-S13_PSP_Species_Support!AT59*20))^S13_PSP_Species_Support!AU59)^2*(S13_PSP_Species_Support!AV59*(1-EXP(-S13_PSP_Species_Support!AW59*20))^S13_PSP_Species_Support!AX59))^0.976,0)+IFERROR(S13_PSP_Species_Support!BB59*0.0673*(S13_PSP_Species_Support!BC59*(S13_PSP_Species_Support!BD59*(1-EXP(-S13_PSP_Species_Support!BE59*20))^S13_PSP_Species_Support!BF59)^2*(S13_PSP_Species_Support!BG59*(1-EXP(-S13_PSP_Species_Support!BH59*20))^S13_PSP_Species_Support!BI59))^0.976,0)+IFERROR(S13_PSP_Species_Support!BM59*0.0673*(S13_PSP_Species_Support!BN59*(S13_PSP_Species_Support!BO59*(1-EXP(-S13_PSP_Species_Support!BP59*20))^S13_PSP_Species_Support!BQ59)^2*(S13_PSP_Species_Support!BR59*(1-EXP(-S13_PSP_Species_Support!BS59*20))^S13_PSP_Species_Support!BT59))^0.976,0)+IFERROR(S13_PSP_Species_Support!BX59*0.0673*(S13_PSP_Species_Support!BY59*(S13_PSP_Species_Support!BZ59*(1-EXP(-S13_PSP_Species_Support!CA59*20))^S13_PSP_Species_Support!CB59)^2*(S13_PSP_Species_Support!CC59*(1-EXP(-S13_PSP_Species_Support!CD59*20))^S13_PSP_Species_Support!CE59))^0.976,0)+IFERROR(S13_PSP_Species_Support!CI59*0.0673*(S13_PSP_Species_Support!CJ59*(S13_PSP_Species_Support!CK59*(1-EXP(-S13_PSP_Species_Support!CL59*20))^S13_PSP_Species_Support!CM59)^2*(S13_PSP_Species_Support!CN59*(1-EXP(-S13_PSP_Species_Support!CO59*20))^S13_PSP_Species_Support!CP59))^0.976,0)+IFERROR(S13_PSP_Species_Support!CT59*0.0673*(S13_PSP_Species_Support!CU59*(S13_PSP_Species_Support!CV59*(1-EXP(-S13_PSP_Species_Support!CW59*20))^S13_PSP_Species_Support!CX59)^2*(S13_PSP_Species_Support!CY59*(1-EXP(-S13_PSP_Species_Support!CZ59*20))^S13_PSP_Species_Support!DA59))^0.976,0))/1000/$G72*AC$108,0)</x:f>
        <x:v>1118.401173903121</x:v>
      </x:c>
      <x:c r="AD72" s="148" t="n">
        <x:f aca="0">IF(2020&lt;$F72,0,INDEX($I72:$AC72,1,2020-$F72+1))</x:f>
        <x:v>0</x:v>
      </x:c>
      <x:c r="AE72" s="148" t="n">
        <x:f aca="0">IF(2021&lt;$F72,0,INDEX($I72:$AC72,1,2021-$F72+1))</x:f>
        <x:v>0.33856909634174925</x:v>
      </x:c>
      <x:c r="AF72" s="148" t="n">
        <x:f aca="0">IF(2022&lt;$F72,0,INDEX($I72:$AC72,1,2022-$F72+1))</x:f>
        <x:v>4.136380867769494</x:v>
      </x:c>
      <x:c r="AG72" s="148" t="n">
        <x:f aca="0">IF(2023&lt;$F72,0,INDEX($I72:$AC72,1,2023-$F72+1))</x:f>
        <x:v>16.2366455044767</x:v>
      </x:c>
      <x:c r="AH72" s="148" t="n">
        <x:f aca="0">IF(2024&lt;$F72,0,INDEX($I72:$AC72,1,2024-$F72+1))</x:f>
        <x:v>40.40940480624982</x:v>
      </x:c>
      <x:c r="AI72" s="148" t="n">
        <x:f aca="0">IF(2025&lt;$F72,0,INDEX($I72:$AC72,1,2025-$F72+1))</x:f>
        <x:v>78.11443942924906</x:v>
      </x:c>
      <x:c r="AJ72" s="148" t="n">
        <x:f aca="0">IF(2026&lt;$F72,0,INDEX($I72:$AC72,1,2026-$F72+1))</x:f>
        <x:v>128.9555760804715</x:v>
      </x:c>
      <x:c r="AK72" s="148" t="n">
        <x:f aca="0">IF(2027&lt;$F72,0,INDEX($I72:$AC72,1,2027-$F72+1))</x:f>
        <x:v>191.23699450353357</x:v>
      </x:c>
      <x:c r="AL72" s="148" t="n">
        <x:f aca="0">IF(2028&lt;$F72,0,INDEX($I72:$AC72,1,2028-$F72+1))</x:f>
        <x:v>262.557041252318</x:v>
      </x:c>
      <x:c r="AM72" s="148" t="n">
        <x:f aca="0">IF(2029&lt;$F72,0,INDEX($I72:$AC72,1,2029-$F72+1))</x:f>
        <x:v>340.2751749751654</x:v>
      </x:c>
      <x:c r="AN72" s="148" t="n">
        <x:f aca="0">IF(2030&lt;$F72,0,INDEX($I72:$AC72,1,2030-$F72+1))</x:f>
        <x:v>421.83064877062077</x:v>
      </x:c>
      <x:c r="AO72" s="148" t="n">
        <x:f aca="0">IF(2031&lt;$F72,0,INDEX($I72:$AC72,1,2031-$F72+1))</x:f>
        <x:v>504.93255894269555</x:v>
      </x:c>
      <x:c r="AP72" s="148" t="n">
        <x:f aca="0">IF(2032&lt;$F72,0,INDEX($I72:$AC72,1,2032-$F72+1))</x:f>
        <x:v>587.6527554101937</x:v>
      </x:c>
      <x:c r="AQ72" s="148" t="n">
        <x:f aca="0">IF(2033&lt;$F72,0,INDEX($I72:$AC72,1,2033-$F72+1))</x:f>
        <x:v>668.4521601793833</x:v>
      </x:c>
      <x:c r="AR72" s="148" t="n">
        <x:f aca="0">IF(2034&lt;$F72,0,INDEX($I72:$AC72,1,2034-$F72+1))</x:f>
        <x:v>746.1654276699937</x:v>
      </x:c>
      <x:c r="AS72" s="148" t="n">
        <x:f aca="0">IF(2035&lt;$F72,0,INDEX($I72:$AC72,1,2035-$F72+1))</x:f>
        <x:v>819.9624122771575</x:v>
      </x:c>
      <x:c r="AT72" s="148" t="n">
        <x:f aca="0">IF(2036&lt;$F72,0,INDEX($I72:$AC72,1,2036-$F72+1))</x:f>
        <x:v>889.2991637629619</x:v>
      </x:c>
      <x:c r="AU72" s="148" t="n">
        <x:f aca="0">IF(2037&lt;$F72,0,INDEX($I72:$AC72,1,2037-$F72+1))</x:f>
        <x:v>953.8666400387984</x:v>
      </x:c>
      <x:c r="AV72" s="148" t="n">
        <x:f aca="0">IF(2038&lt;$F72,0,INDEX($I72:$AC72,1,2038-$F72+1))</x:f>
        <x:v>1013.5420086215709</x:v>
      </x:c>
      <x:c r="AW72" s="148" t="n">
        <x:f aca="0">IF(2039&lt;$F72,0,INDEX($I72:$AC72,1,2039-$F72+1))</x:f>
        <x:v>1068.3451129286982</x:v>
      </x:c>
      <x:c r="AX72" s="148" t="n">
        <x:f aca="0">IF(2040&lt;$F72,0,INDEX($I72:$AC72,1,2040-$F72+1))</x:f>
        <x:v>1118.401173903121</x:v>
      </x:c>
      <x:c r="AY72" s="1" t="str">
        <x:f aca="0">LEFT($C72,FIND("@",SUBSTITUTE($C72,"|","@",2))-1)</x:f>
        <x:v>Timber Plantation|Medium</x:v>
      </x:c>
      <x:c r="AZ72" s="1" t="str">
        <x:f aca="0">LEFT($C72,FIND("|",$C72)-1)</x:f>
        <x:v>Timber Plantation</x:v>
      </x:c>
      <x:c r="BA72" s="149" t="n">
        <x:f aca="0">I72*I72</x:f>
        <x:v>0</x:v>
      </x:c>
      <x:c r="BB72" s="149" t="n">
        <x:f aca="0">J72*J72</x:f>
        <x:v>0.11462903299766869</x:v>
      </x:c>
      <x:c r="BC72" s="149" t="n">
        <x:f aca="0">K72*K72</x:f>
        <x:v>17.109646683249515</x:v>
      </x:c>
      <x:c r="BD72" s="149" t="n">
        <x:f aca="0">L72*L72</x:f>
        <x:v>263.6286572380435</x:v>
      </x:c>
      <x:c r="BE72" s="149" t="n">
        <x:f aca="0">M72*M72</x:f>
        <x:v>1632.919996795366</x:v>
      </x:c>
      <x:c r="BF72" s="149" t="n">
        <x:f aca="0">N72*N72</x:f>
        <x:v>6101.86564734582</x:v>
      </x:c>
      <x:c r="BG72" s="149" t="n">
        <x:f aca="0">O72*O72</x:f>
        <x:v>16629.540602246274</x:v>
      </x:c>
      <x:c r="BH72" s="149" t="n">
        <x:f aca="0">P72*P72</x:f>
        <x:v>36571.58806674453</x:v>
      </x:c>
      <x:c r="BI72" s="149" t="n">
        <x:f aca="0">Q72*Q72</x:f>
        <x:v>68936.19991117142</x:v>
      </x:c>
      <x:c r="BJ72" s="149" t="n">
        <x:f aca="0">R72*R72</x:f>
        <x:v>115787.19470437942</x:v>
      </x:c>
      <x:c r="BK72" s="149" t="n">
        <x:f aca="0">S72*S72</x:f>
        <x:v>177941.0962422428</x:v>
      </x:c>
      <x:c r="BL72" s="149" t="n">
        <x:f aca="0">T72*T72</x:f>
        <x:v>254956.8890804187</x:v>
      </x:c>
      <x:c r="BM72" s="149" t="n">
        <x:f aca="0">U72*U72</x:f>
        <x:v>345335.7609411929</x:v>
      </x:c>
      <x:c r="BN72" s="149" t="n">
        <x:f aca="0">V72*V72</x:f>
        <x:v>446828.29044848395</x:v>
      </x:c>
      <x:c r="BO72" s="149" t="n">
        <x:f aca="0">W72*W72</x:f>
        <x:v>556762.8454499446</x:v>
      </x:c>
      <x:c r="BP72" s="149" t="n">
        <x:f aca="0">X72*X72</x:f>
        <x:v>672338.3575473751</x:v>
      </x:c>
      <x:c r="BQ72" s="149" t="n">
        <x:f aca="0">Y72*Y72</x:f>
        <x:v>790853.0026695034</x:v>
      </x:c>
      <x:c r="BR72" s="149" t="n">
        <x:f aca="0">Z72*Z72</x:f>
        <x:v>909861.5669789066</x:v>
      </x:c>
      <x:c r="BS72" s="149" t="n">
        <x:f aca="0">AA72*AA72</x:f>
        <x:v>1027267.4032406484</x:v>
      </x:c>
      <x:c r="BT72" s="149" t="n">
        <x:f aca="0">AB72*AB72</x:f>
        <x:v>1141361.280318633</x:v>
      </x:c>
      <x:c r="BU72" s="149" t="n">
        <x:f aca="0">AC72*AC72</x:f>
        <x:v>1250821.185787879</x:v>
      </x:c>
    </x:row>
    <x:row r="73" ht="15" hidden="0" customHeight="1">
      <x:c r="A73" s="1" t="str">
        <x:f aca="0">S13_PSP_Species_Support!A60</x:f>
        <x:v>PSP-TP-019</x:v>
      </x:c>
      <x:c r="B73" s="1" t="n">
        <x:f aca="0">60</x:f>
        <x:v>60</x:v>
      </x:c>
      <x:c r="C73" s="1" t="str">
        <x:f aca="0">S13_PSP_Species_Support!I60</x:f>
        <x:v>Timber Plantation|Medium|2020</x:v>
      </x:c>
      <x:c r="D73" s="1" t="str">
        <x:f aca="0">S13_PSP_Species_Support!C60</x:f>
        <x:v>Timber Plantation</x:v>
      </x:c>
      <x:c r="E73" s="1" t="str">
        <x:f aca="0">S13_PSP_Species_Support!D60</x:f>
        <x:v>Medium</x:v>
      </x:c>
      <x:c r="F73" s="1" t="n">
        <x:f aca="0">S13_PSP_Species_Support!E60</x:f>
        <x:v>2020</x:v>
      </x:c>
      <x:c r="G73" s="645" t="n">
        <x:f aca="0">'S13_PSP_Species_Support'!DJ60</x:f>
        <x:v>0.09</x:v>
      </x:c>
      <x:c r="H73" s="714" t="n">
        <x:f aca="0">'S13_PSP_Species_Support'!DK60</x:f>
        <x:v>138.912707940319</x:v>
      </x:c>
      <x:c r="I73" s="147" t="n">
        <x:f aca="0">IFERROR((IFERROR(S13_PSP_Species_Support!U60*0.0673*(S13_PSP_Species_Support!V60*(S13_PSP_Species_Support!W60*(1-EXP(-S13_PSP_Species_Support!X60*0))^S13_PSP_Species_Support!Y60)^2*(S13_PSP_Species_Support!Z60*(1-EXP(-S13_PSP_Species_Support!AA60*0))^S13_PSP_Species_Support!AB60))^0.976,0)+IFERROR(S13_PSP_Species_Support!AF60*0.0673*(S13_PSP_Species_Support!AG60*(S13_PSP_Species_Support!AH60*(1-EXP(-S13_PSP_Species_Support!AI60*0))^S13_PSP_Species_Support!AJ60)^2*(S13_PSP_Species_Support!AK60*(1-EXP(-S13_PSP_Species_Support!AL60*0))^S13_PSP_Species_Support!AM60))^0.976,0)+IFERROR(S13_PSP_Species_Support!AQ60*0.0673*(S13_PSP_Species_Support!AR60*(S13_PSP_Species_Support!AS60*(1-EXP(-S13_PSP_Species_Support!AT60*0))^S13_PSP_Species_Support!AU60)^2*(S13_PSP_Species_Support!AV60*(1-EXP(-S13_PSP_Species_Support!AW60*0))^S13_PSP_Species_Support!AX60))^0.976,0)+IFERROR(S13_PSP_Species_Support!BB60*0.0673*(S13_PSP_Species_Support!BC60*(S13_PSP_Species_Support!BD60*(1-EXP(-S13_PSP_Species_Support!BE60*0))^S13_PSP_Species_Support!BF60)^2*(S13_PSP_Species_Support!BG60*(1-EXP(-S13_PSP_Species_Support!BH60*0))^S13_PSP_Species_Support!BI60))^0.976,0)+IFERROR(S13_PSP_Species_Support!BM60*0.0673*(S13_PSP_Species_Support!BN60*(S13_PSP_Species_Support!BO60*(1-EXP(-S13_PSP_Species_Support!BP60*0))^S13_PSP_Species_Support!BQ60)^2*(S13_PSP_Species_Support!BR60*(1-EXP(-S13_PSP_Species_Support!BS60*0))^S13_PSP_Species_Support!BT60))^0.976,0)+IFERROR(S13_PSP_Species_Support!BX60*0.0673*(S13_PSP_Species_Support!BY60*(S13_PSP_Species_Support!BZ60*(1-EXP(-S13_PSP_Species_Support!CA60*0))^S13_PSP_Species_Support!CB60)^2*(S13_PSP_Species_Support!CC60*(1-EXP(-S13_PSP_Species_Support!CD60*0))^S13_PSP_Species_Support!CE60))^0.976,0)+IFERROR(S13_PSP_Species_Support!CI60*0.0673*(S13_PSP_Species_Support!CJ60*(S13_PSP_Species_Support!CK60*(1-EXP(-S13_PSP_Species_Support!CL60*0))^S13_PSP_Species_Support!CM60)^2*(S13_PSP_Species_Support!CN60*(1-EXP(-S13_PSP_Species_Support!CO60*0))^S13_PSP_Species_Support!CP60))^0.976,0)+IFERROR(S13_PSP_Species_Support!CT60*0.0673*(S13_PSP_Species_Support!CU60*(S13_PSP_Species_Support!CV60*(1-EXP(-S13_PSP_Species_Support!CW60*0))^S13_PSP_Species_Support!CX60)^2*(S13_PSP_Species_Support!CY60*(1-EXP(-S13_PSP_Species_Support!CZ60*0))^S13_PSP_Species_Support!DA60))^0.976,0))/1000/$G73*I$108,0)</x:f>
        <x:v>0</x:v>
      </x:c>
      <x:c r="J73" s="147" t="n">
        <x:f aca="0">IFERROR((IFERROR(S13_PSP_Species_Support!U60*0.0673*(S13_PSP_Species_Support!V60*(S13_PSP_Species_Support!W60*(1-EXP(-S13_PSP_Species_Support!X60*1))^S13_PSP_Species_Support!Y60)^2*(S13_PSP_Species_Support!Z60*(1-EXP(-S13_PSP_Species_Support!AA60*1))^S13_PSP_Species_Support!AB60))^0.976,0)+IFERROR(S13_PSP_Species_Support!AF60*0.0673*(S13_PSP_Species_Support!AG60*(S13_PSP_Species_Support!AH60*(1-EXP(-S13_PSP_Species_Support!AI60*1))^S13_PSP_Species_Support!AJ60)^2*(S13_PSP_Species_Support!AK60*(1-EXP(-S13_PSP_Species_Support!AL60*1))^S13_PSP_Species_Support!AM60))^0.976,0)+IFERROR(S13_PSP_Species_Support!AQ60*0.0673*(S13_PSP_Species_Support!AR60*(S13_PSP_Species_Support!AS60*(1-EXP(-S13_PSP_Species_Support!AT60*1))^S13_PSP_Species_Support!AU60)^2*(S13_PSP_Species_Support!AV60*(1-EXP(-S13_PSP_Species_Support!AW60*1))^S13_PSP_Species_Support!AX60))^0.976,0)+IFERROR(S13_PSP_Species_Support!BB60*0.0673*(S13_PSP_Species_Support!BC60*(S13_PSP_Species_Support!BD60*(1-EXP(-S13_PSP_Species_Support!BE60*1))^S13_PSP_Species_Support!BF60)^2*(S13_PSP_Species_Support!BG60*(1-EXP(-S13_PSP_Species_Support!BH60*1))^S13_PSP_Species_Support!BI60))^0.976,0)+IFERROR(S13_PSP_Species_Support!BM60*0.0673*(S13_PSP_Species_Support!BN60*(S13_PSP_Species_Support!BO60*(1-EXP(-S13_PSP_Species_Support!BP60*1))^S13_PSP_Species_Support!BQ60)^2*(S13_PSP_Species_Support!BR60*(1-EXP(-S13_PSP_Species_Support!BS60*1))^S13_PSP_Species_Support!BT60))^0.976,0)+IFERROR(S13_PSP_Species_Support!BX60*0.0673*(S13_PSP_Species_Support!BY60*(S13_PSP_Species_Support!BZ60*(1-EXP(-S13_PSP_Species_Support!CA60*1))^S13_PSP_Species_Support!CB60)^2*(S13_PSP_Species_Support!CC60*(1-EXP(-S13_PSP_Species_Support!CD60*1))^S13_PSP_Species_Support!CE60))^0.976,0)+IFERROR(S13_PSP_Species_Support!CI60*0.0673*(S13_PSP_Species_Support!CJ60*(S13_PSP_Species_Support!CK60*(1-EXP(-S13_PSP_Species_Support!CL60*1))^S13_PSP_Species_Support!CM60)^2*(S13_PSP_Species_Support!CN60*(1-EXP(-S13_PSP_Species_Support!CO60*1))^S13_PSP_Species_Support!CP60))^0.976,0)+IFERROR(S13_PSP_Species_Support!CT60*0.0673*(S13_PSP_Species_Support!CU60*(S13_PSP_Species_Support!CV60*(1-EXP(-S13_PSP_Species_Support!CW60*1))^S13_PSP_Species_Support!CX60)^2*(S13_PSP_Species_Support!CY60*(1-EXP(-S13_PSP_Species_Support!CZ60*1))^S13_PSP_Species_Support!DA60))^0.976,0))/1000/$G73*J$108,0)</x:f>
        <x:v>0.02914536054424266</x:v>
      </x:c>
      <x:c r="K73" s="147" t="n">
        <x:f aca="0">IFERROR((IFERROR(S13_PSP_Species_Support!U60*0.0673*(S13_PSP_Species_Support!V60*(S13_PSP_Species_Support!W60*(1-EXP(-S13_PSP_Species_Support!X60*2))^S13_PSP_Species_Support!Y60)^2*(S13_PSP_Species_Support!Z60*(1-EXP(-S13_PSP_Species_Support!AA60*2))^S13_PSP_Species_Support!AB60))^0.976,0)+IFERROR(S13_PSP_Species_Support!AF60*0.0673*(S13_PSP_Species_Support!AG60*(S13_PSP_Species_Support!AH60*(1-EXP(-S13_PSP_Species_Support!AI60*2))^S13_PSP_Species_Support!AJ60)^2*(S13_PSP_Species_Support!AK60*(1-EXP(-S13_PSP_Species_Support!AL60*2))^S13_PSP_Species_Support!AM60))^0.976,0)+IFERROR(S13_PSP_Species_Support!AQ60*0.0673*(S13_PSP_Species_Support!AR60*(S13_PSP_Species_Support!AS60*(1-EXP(-S13_PSP_Species_Support!AT60*2))^S13_PSP_Species_Support!AU60)^2*(S13_PSP_Species_Support!AV60*(1-EXP(-S13_PSP_Species_Support!AW60*2))^S13_PSP_Species_Support!AX60))^0.976,0)+IFERROR(S13_PSP_Species_Support!BB60*0.0673*(S13_PSP_Species_Support!BC60*(S13_PSP_Species_Support!BD60*(1-EXP(-S13_PSP_Species_Support!BE60*2))^S13_PSP_Species_Support!BF60)^2*(S13_PSP_Species_Support!BG60*(1-EXP(-S13_PSP_Species_Support!BH60*2))^S13_PSP_Species_Support!BI60))^0.976,0)+IFERROR(S13_PSP_Species_Support!BM60*0.0673*(S13_PSP_Species_Support!BN60*(S13_PSP_Species_Support!BO60*(1-EXP(-S13_PSP_Species_Support!BP60*2))^S13_PSP_Species_Support!BQ60)^2*(S13_PSP_Species_Support!BR60*(1-EXP(-S13_PSP_Species_Support!BS60*2))^S13_PSP_Species_Support!BT60))^0.976,0)+IFERROR(S13_PSP_Species_Support!BX60*0.0673*(S13_PSP_Species_Support!BY60*(S13_PSP_Species_Support!BZ60*(1-EXP(-S13_PSP_Species_Support!CA60*2))^S13_PSP_Species_Support!CB60)^2*(S13_PSP_Species_Support!CC60*(1-EXP(-S13_PSP_Species_Support!CD60*2))^S13_PSP_Species_Support!CE60))^0.976,0)+IFERROR(S13_PSP_Species_Support!CI60*0.0673*(S13_PSP_Species_Support!CJ60*(S13_PSP_Species_Support!CK60*(1-EXP(-S13_PSP_Species_Support!CL60*2))^S13_PSP_Species_Support!CM60)^2*(S13_PSP_Species_Support!CN60*(1-EXP(-S13_PSP_Species_Support!CO60*2))^S13_PSP_Species_Support!CP60))^0.976,0)+IFERROR(S13_PSP_Species_Support!CT60*0.0673*(S13_PSP_Species_Support!CU60*(S13_PSP_Species_Support!CV60*(1-EXP(-S13_PSP_Species_Support!CW60*2))^S13_PSP_Species_Support!CX60)^2*(S13_PSP_Species_Support!CY60*(1-EXP(-S13_PSP_Species_Support!CZ60*2))^S13_PSP_Species_Support!DA60))^0.976,0))/1000/$G73*K$108,0)</x:f>
        <x:v>0.4430575683145763</x:v>
      </x:c>
      <x:c r="L73" s="147" t="n">
        <x:f aca="0">IFERROR((IFERROR(S13_PSP_Species_Support!U60*0.0673*(S13_PSP_Species_Support!V60*(S13_PSP_Species_Support!W60*(1-EXP(-S13_PSP_Species_Support!X60*3))^S13_PSP_Species_Support!Y60)^2*(S13_PSP_Species_Support!Z60*(1-EXP(-S13_PSP_Species_Support!AA60*3))^S13_PSP_Species_Support!AB60))^0.976,0)+IFERROR(S13_PSP_Species_Support!AF60*0.0673*(S13_PSP_Species_Support!AG60*(S13_PSP_Species_Support!AH60*(1-EXP(-S13_PSP_Species_Support!AI60*3))^S13_PSP_Species_Support!AJ60)^2*(S13_PSP_Species_Support!AK60*(1-EXP(-S13_PSP_Species_Support!AL60*3))^S13_PSP_Species_Support!AM60))^0.976,0)+IFERROR(S13_PSP_Species_Support!AQ60*0.0673*(S13_PSP_Species_Support!AR60*(S13_PSP_Species_Support!AS60*(1-EXP(-S13_PSP_Species_Support!AT60*3))^S13_PSP_Species_Support!AU60)^2*(S13_PSP_Species_Support!AV60*(1-EXP(-S13_PSP_Species_Support!AW60*3))^S13_PSP_Species_Support!AX60))^0.976,0)+IFERROR(S13_PSP_Species_Support!BB60*0.0673*(S13_PSP_Species_Support!BC60*(S13_PSP_Species_Support!BD60*(1-EXP(-S13_PSP_Species_Support!BE60*3))^S13_PSP_Species_Support!BF60)^2*(S13_PSP_Species_Support!BG60*(1-EXP(-S13_PSP_Species_Support!BH60*3))^S13_PSP_Species_Support!BI60))^0.976,0)+IFERROR(S13_PSP_Species_Support!BM60*0.0673*(S13_PSP_Species_Support!BN60*(S13_PSP_Species_Support!BO60*(1-EXP(-S13_PSP_Species_Support!BP60*3))^S13_PSP_Species_Support!BQ60)^2*(S13_PSP_Species_Support!BR60*(1-EXP(-S13_PSP_Species_Support!BS60*3))^S13_PSP_Species_Support!BT60))^0.976,0)+IFERROR(S13_PSP_Species_Support!BX60*0.0673*(S13_PSP_Species_Support!BY60*(S13_PSP_Species_Support!BZ60*(1-EXP(-S13_PSP_Species_Support!CA60*3))^S13_PSP_Species_Support!CB60)^2*(S13_PSP_Species_Support!CC60*(1-EXP(-S13_PSP_Species_Support!CD60*3))^S13_PSP_Species_Support!CE60))^0.976,0)+IFERROR(S13_PSP_Species_Support!CI60*0.0673*(S13_PSP_Species_Support!CJ60*(S13_PSP_Species_Support!CK60*(1-EXP(-S13_PSP_Species_Support!CL60*3))^S13_PSP_Species_Support!CM60)^2*(S13_PSP_Species_Support!CN60*(1-EXP(-S13_PSP_Species_Support!CO60*3))^S13_PSP_Species_Support!CP60))^0.976,0)+IFERROR(S13_PSP_Species_Support!CT60*0.0673*(S13_PSP_Species_Support!CU60*(S13_PSP_Species_Support!CV60*(1-EXP(-S13_PSP_Species_Support!CW60*3))^S13_PSP_Species_Support!CX60)^2*(S13_PSP_Species_Support!CY60*(1-EXP(-S13_PSP_Species_Support!CZ60*3))^S13_PSP_Species_Support!DA60))^0.976,0))/1000/$G73*L$108,0)</x:f>
        <x:v>1.9872196830618647</x:v>
      </x:c>
      <x:c r="M73" s="147" t="n">
        <x:f aca="0">IFERROR((IFERROR(S13_PSP_Species_Support!U60*0.0673*(S13_PSP_Species_Support!V60*(S13_PSP_Species_Support!W60*(1-EXP(-S13_PSP_Species_Support!X60*4))^S13_PSP_Species_Support!Y60)^2*(S13_PSP_Species_Support!Z60*(1-EXP(-S13_PSP_Species_Support!AA60*4))^S13_PSP_Species_Support!AB60))^0.976,0)+IFERROR(S13_PSP_Species_Support!AF60*0.0673*(S13_PSP_Species_Support!AG60*(S13_PSP_Species_Support!AH60*(1-EXP(-S13_PSP_Species_Support!AI60*4))^S13_PSP_Species_Support!AJ60)^2*(S13_PSP_Species_Support!AK60*(1-EXP(-S13_PSP_Species_Support!AL60*4))^S13_PSP_Species_Support!AM60))^0.976,0)+IFERROR(S13_PSP_Species_Support!AQ60*0.0673*(S13_PSP_Species_Support!AR60*(S13_PSP_Species_Support!AS60*(1-EXP(-S13_PSP_Species_Support!AT60*4))^S13_PSP_Species_Support!AU60)^2*(S13_PSP_Species_Support!AV60*(1-EXP(-S13_PSP_Species_Support!AW60*4))^S13_PSP_Species_Support!AX60))^0.976,0)+IFERROR(S13_PSP_Species_Support!BB60*0.0673*(S13_PSP_Species_Support!BC60*(S13_PSP_Species_Support!BD60*(1-EXP(-S13_PSP_Species_Support!BE60*4))^S13_PSP_Species_Support!BF60)^2*(S13_PSP_Species_Support!BG60*(1-EXP(-S13_PSP_Species_Support!BH60*4))^S13_PSP_Species_Support!BI60))^0.976,0)+IFERROR(S13_PSP_Species_Support!BM60*0.0673*(S13_PSP_Species_Support!BN60*(S13_PSP_Species_Support!BO60*(1-EXP(-S13_PSP_Species_Support!BP60*4))^S13_PSP_Species_Support!BQ60)^2*(S13_PSP_Species_Support!BR60*(1-EXP(-S13_PSP_Species_Support!BS60*4))^S13_PSP_Species_Support!BT60))^0.976,0)+IFERROR(S13_PSP_Species_Support!BX60*0.0673*(S13_PSP_Species_Support!BY60*(S13_PSP_Species_Support!BZ60*(1-EXP(-S13_PSP_Species_Support!CA60*4))^S13_PSP_Species_Support!CB60)^2*(S13_PSP_Species_Support!CC60*(1-EXP(-S13_PSP_Species_Support!CD60*4))^S13_PSP_Species_Support!CE60))^0.976,0)+IFERROR(S13_PSP_Species_Support!CI60*0.0673*(S13_PSP_Species_Support!CJ60*(S13_PSP_Species_Support!CK60*(1-EXP(-S13_PSP_Species_Support!CL60*4))^S13_PSP_Species_Support!CM60)^2*(S13_PSP_Species_Support!CN60*(1-EXP(-S13_PSP_Species_Support!CO60*4))^S13_PSP_Species_Support!CP60))^0.976,0)+IFERROR(S13_PSP_Species_Support!CT60*0.0673*(S13_PSP_Species_Support!CU60*(S13_PSP_Species_Support!CV60*(1-EXP(-S13_PSP_Species_Support!CW60*4))^S13_PSP_Species_Support!CX60)^2*(S13_PSP_Species_Support!CY60*(1-EXP(-S13_PSP_Species_Support!CZ60*4))^S13_PSP_Species_Support!DA60))^0.976,0))/1000/$G73*M$108,0)</x:f>
        <x:v>5.4543432567535515</x:v>
      </x:c>
      <x:c r="N73" s="147" t="n">
        <x:f aca="0">IFERROR((IFERROR(S13_PSP_Species_Support!U60*0.0673*(S13_PSP_Species_Support!V60*(S13_PSP_Species_Support!W60*(1-EXP(-S13_PSP_Species_Support!X60*5))^S13_PSP_Species_Support!Y60)^2*(S13_PSP_Species_Support!Z60*(1-EXP(-S13_PSP_Species_Support!AA60*5))^S13_PSP_Species_Support!AB60))^0.976,0)+IFERROR(S13_PSP_Species_Support!AF60*0.0673*(S13_PSP_Species_Support!AG60*(S13_PSP_Species_Support!AH60*(1-EXP(-S13_PSP_Species_Support!AI60*5))^S13_PSP_Species_Support!AJ60)^2*(S13_PSP_Species_Support!AK60*(1-EXP(-S13_PSP_Species_Support!AL60*5))^S13_PSP_Species_Support!AM60))^0.976,0)+IFERROR(S13_PSP_Species_Support!AQ60*0.0673*(S13_PSP_Species_Support!AR60*(S13_PSP_Species_Support!AS60*(1-EXP(-S13_PSP_Species_Support!AT60*5))^S13_PSP_Species_Support!AU60)^2*(S13_PSP_Species_Support!AV60*(1-EXP(-S13_PSP_Species_Support!AW60*5))^S13_PSP_Species_Support!AX60))^0.976,0)+IFERROR(S13_PSP_Species_Support!BB60*0.0673*(S13_PSP_Species_Support!BC60*(S13_PSP_Species_Support!BD60*(1-EXP(-S13_PSP_Species_Support!BE60*5))^S13_PSP_Species_Support!BF60)^2*(S13_PSP_Species_Support!BG60*(1-EXP(-S13_PSP_Species_Support!BH60*5))^S13_PSP_Species_Support!BI60))^0.976,0)+IFERROR(S13_PSP_Species_Support!BM60*0.0673*(S13_PSP_Species_Support!BN60*(S13_PSP_Species_Support!BO60*(1-EXP(-S13_PSP_Species_Support!BP60*5))^S13_PSP_Species_Support!BQ60)^2*(S13_PSP_Species_Support!BR60*(1-EXP(-S13_PSP_Species_Support!BS60*5))^S13_PSP_Species_Support!BT60))^0.976,0)+IFERROR(S13_PSP_Species_Support!BX60*0.0673*(S13_PSP_Species_Support!BY60*(S13_PSP_Species_Support!BZ60*(1-EXP(-S13_PSP_Species_Support!CA60*5))^S13_PSP_Species_Support!CB60)^2*(S13_PSP_Species_Support!CC60*(1-EXP(-S13_PSP_Species_Support!CD60*5))^S13_PSP_Species_Support!CE60))^0.976,0)+IFERROR(S13_PSP_Species_Support!CI60*0.0673*(S13_PSP_Species_Support!CJ60*(S13_PSP_Species_Support!CK60*(1-EXP(-S13_PSP_Species_Support!CL60*5))^S13_PSP_Species_Support!CM60)^2*(S13_PSP_Species_Support!CN60*(1-EXP(-S13_PSP_Species_Support!CO60*5))^S13_PSP_Species_Support!CP60))^0.976,0)+IFERROR(S13_PSP_Species_Support!CT60*0.0673*(S13_PSP_Species_Support!CU60*(S13_PSP_Species_Support!CV60*(1-EXP(-S13_PSP_Species_Support!CW60*5))^S13_PSP_Species_Support!CX60)^2*(S13_PSP_Species_Support!CY60*(1-EXP(-S13_PSP_Species_Support!CZ60*5))^S13_PSP_Species_Support!DA60))^0.976,0))/1000/$G73*N$108,0)</x:f>
        <x:v>11.399289035193961</x:v>
      </x:c>
      <x:c r="O73" s="147" t="n">
        <x:f aca="0">IFERROR((IFERROR(S13_PSP_Species_Support!U60*0.0673*(S13_PSP_Species_Support!V60*(S13_PSP_Species_Support!W60*(1-EXP(-S13_PSP_Species_Support!X60*6))^S13_PSP_Species_Support!Y60)^2*(S13_PSP_Species_Support!Z60*(1-EXP(-S13_PSP_Species_Support!AA60*6))^S13_PSP_Species_Support!AB60))^0.976,0)+IFERROR(S13_PSP_Species_Support!AF60*0.0673*(S13_PSP_Species_Support!AG60*(S13_PSP_Species_Support!AH60*(1-EXP(-S13_PSP_Species_Support!AI60*6))^S13_PSP_Species_Support!AJ60)^2*(S13_PSP_Species_Support!AK60*(1-EXP(-S13_PSP_Species_Support!AL60*6))^S13_PSP_Species_Support!AM60))^0.976,0)+IFERROR(S13_PSP_Species_Support!AQ60*0.0673*(S13_PSP_Species_Support!AR60*(S13_PSP_Species_Support!AS60*(1-EXP(-S13_PSP_Species_Support!AT60*6))^S13_PSP_Species_Support!AU60)^2*(S13_PSP_Species_Support!AV60*(1-EXP(-S13_PSP_Species_Support!AW60*6))^S13_PSP_Species_Support!AX60))^0.976,0)+IFERROR(S13_PSP_Species_Support!BB60*0.0673*(S13_PSP_Species_Support!BC60*(S13_PSP_Species_Support!BD60*(1-EXP(-S13_PSP_Species_Support!BE60*6))^S13_PSP_Species_Support!BF60)^2*(S13_PSP_Species_Support!BG60*(1-EXP(-S13_PSP_Species_Support!BH60*6))^S13_PSP_Species_Support!BI60))^0.976,0)+IFERROR(S13_PSP_Species_Support!BM60*0.0673*(S13_PSP_Species_Support!BN60*(S13_PSP_Species_Support!BO60*(1-EXP(-S13_PSP_Species_Support!BP60*6))^S13_PSP_Species_Support!BQ60)^2*(S13_PSP_Species_Support!BR60*(1-EXP(-S13_PSP_Species_Support!BS60*6))^S13_PSP_Species_Support!BT60))^0.976,0)+IFERROR(S13_PSP_Species_Support!BX60*0.0673*(S13_PSP_Species_Support!BY60*(S13_PSP_Species_Support!BZ60*(1-EXP(-S13_PSP_Species_Support!CA60*6))^S13_PSP_Species_Support!CB60)^2*(S13_PSP_Species_Support!CC60*(1-EXP(-S13_PSP_Species_Support!CD60*6))^S13_PSP_Species_Support!CE60))^0.976,0)+IFERROR(S13_PSP_Species_Support!CI60*0.0673*(S13_PSP_Species_Support!CJ60*(S13_PSP_Species_Support!CK60*(1-EXP(-S13_PSP_Species_Support!CL60*6))^S13_PSP_Species_Support!CM60)^2*(S13_PSP_Species_Support!CN60*(1-EXP(-S13_PSP_Species_Support!CO60*6))^S13_PSP_Species_Support!CP60))^0.976,0)+IFERROR(S13_PSP_Species_Support!CT60*0.0673*(S13_PSP_Species_Support!CU60*(S13_PSP_Species_Support!CV60*(1-EXP(-S13_PSP_Species_Support!CW60*6))^S13_PSP_Species_Support!CX60)^2*(S13_PSP_Species_Support!CY60*(1-EXP(-S13_PSP_Species_Support!CZ60*6))^S13_PSP_Species_Support!DA60))^0.976,0))/1000/$G73*O$108,0)</x:f>
        <x:v>20.08495890564168</x:v>
      </x:c>
      <x:c r="P73" s="147" t="n">
        <x:f aca="0">IFERROR((IFERROR(S13_PSP_Species_Support!U60*0.0673*(S13_PSP_Species_Support!V60*(S13_PSP_Species_Support!W60*(1-EXP(-S13_PSP_Species_Support!X60*7))^S13_PSP_Species_Support!Y60)^2*(S13_PSP_Species_Support!Z60*(1-EXP(-S13_PSP_Species_Support!AA60*7))^S13_PSP_Species_Support!AB60))^0.976,0)+IFERROR(S13_PSP_Species_Support!AF60*0.0673*(S13_PSP_Species_Support!AG60*(S13_PSP_Species_Support!AH60*(1-EXP(-S13_PSP_Species_Support!AI60*7))^S13_PSP_Species_Support!AJ60)^2*(S13_PSP_Species_Support!AK60*(1-EXP(-S13_PSP_Species_Support!AL60*7))^S13_PSP_Species_Support!AM60))^0.976,0)+IFERROR(S13_PSP_Species_Support!AQ60*0.0673*(S13_PSP_Species_Support!AR60*(S13_PSP_Species_Support!AS60*(1-EXP(-S13_PSP_Species_Support!AT60*7))^S13_PSP_Species_Support!AU60)^2*(S13_PSP_Species_Support!AV60*(1-EXP(-S13_PSP_Species_Support!AW60*7))^S13_PSP_Species_Support!AX60))^0.976,0)+IFERROR(S13_PSP_Species_Support!BB60*0.0673*(S13_PSP_Species_Support!BC60*(S13_PSP_Species_Support!BD60*(1-EXP(-S13_PSP_Species_Support!BE60*7))^S13_PSP_Species_Support!BF60)^2*(S13_PSP_Species_Support!BG60*(1-EXP(-S13_PSP_Species_Support!BH60*7))^S13_PSP_Species_Support!BI60))^0.976,0)+IFERROR(S13_PSP_Species_Support!BM60*0.0673*(S13_PSP_Species_Support!BN60*(S13_PSP_Species_Support!BO60*(1-EXP(-S13_PSP_Species_Support!BP60*7))^S13_PSP_Species_Support!BQ60)^2*(S13_PSP_Species_Support!BR60*(1-EXP(-S13_PSP_Species_Support!BS60*7))^S13_PSP_Species_Support!BT60))^0.976,0)+IFERROR(S13_PSP_Species_Support!BX60*0.0673*(S13_PSP_Species_Support!BY60*(S13_PSP_Species_Support!BZ60*(1-EXP(-S13_PSP_Species_Support!CA60*7))^S13_PSP_Species_Support!CB60)^2*(S13_PSP_Species_Support!CC60*(1-EXP(-S13_PSP_Species_Support!CD60*7))^S13_PSP_Species_Support!CE60))^0.976,0)+IFERROR(S13_PSP_Species_Support!CI60*0.0673*(S13_PSP_Species_Support!CJ60*(S13_PSP_Species_Support!CK60*(1-EXP(-S13_PSP_Species_Support!CL60*7))^S13_PSP_Species_Support!CM60)^2*(S13_PSP_Species_Support!CN60*(1-EXP(-S13_PSP_Species_Support!CO60*7))^S13_PSP_Species_Support!CP60))^0.976,0)+IFERROR(S13_PSP_Species_Support!CT60*0.0673*(S13_PSP_Species_Support!CU60*(S13_PSP_Species_Support!CV60*(1-EXP(-S13_PSP_Species_Support!CW60*7))^S13_PSP_Species_Support!CX60)^2*(S13_PSP_Species_Support!CY60*(1-EXP(-S13_PSP_Species_Support!CZ60*7))^S13_PSP_Species_Support!DA60))^0.976,0))/1000/$G73*P$108,0)</x:f>
        <x:v>31.499316539160247</x:v>
      </x:c>
      <x:c r="Q73" s="147" t="n">
        <x:f aca="0">IFERROR((IFERROR(S13_PSP_Species_Support!U60*0.0673*(S13_PSP_Species_Support!V60*(S13_PSP_Species_Support!W60*(1-EXP(-S13_PSP_Species_Support!X60*8))^S13_PSP_Species_Support!Y60)^2*(S13_PSP_Species_Support!Z60*(1-EXP(-S13_PSP_Species_Support!AA60*8))^S13_PSP_Species_Support!AB60))^0.976,0)+IFERROR(S13_PSP_Species_Support!AF60*0.0673*(S13_PSP_Species_Support!AG60*(S13_PSP_Species_Support!AH60*(1-EXP(-S13_PSP_Species_Support!AI60*8))^S13_PSP_Species_Support!AJ60)^2*(S13_PSP_Species_Support!AK60*(1-EXP(-S13_PSP_Species_Support!AL60*8))^S13_PSP_Species_Support!AM60))^0.976,0)+IFERROR(S13_PSP_Species_Support!AQ60*0.0673*(S13_PSP_Species_Support!AR60*(S13_PSP_Species_Support!AS60*(1-EXP(-S13_PSP_Species_Support!AT60*8))^S13_PSP_Species_Support!AU60)^2*(S13_PSP_Species_Support!AV60*(1-EXP(-S13_PSP_Species_Support!AW60*8))^S13_PSP_Species_Support!AX60))^0.976,0)+IFERROR(S13_PSP_Species_Support!BB60*0.0673*(S13_PSP_Species_Support!BC60*(S13_PSP_Species_Support!BD60*(1-EXP(-S13_PSP_Species_Support!BE60*8))^S13_PSP_Species_Support!BF60)^2*(S13_PSP_Species_Support!BG60*(1-EXP(-S13_PSP_Species_Support!BH60*8))^S13_PSP_Species_Support!BI60))^0.976,0)+IFERROR(S13_PSP_Species_Support!BM60*0.0673*(S13_PSP_Species_Support!BN60*(S13_PSP_Species_Support!BO60*(1-EXP(-S13_PSP_Species_Support!BP60*8))^S13_PSP_Species_Support!BQ60)^2*(S13_PSP_Species_Support!BR60*(1-EXP(-S13_PSP_Species_Support!BS60*8))^S13_PSP_Species_Support!BT60))^0.976,0)+IFERROR(S13_PSP_Species_Support!BX60*0.0673*(S13_PSP_Species_Support!BY60*(S13_PSP_Species_Support!BZ60*(1-EXP(-S13_PSP_Species_Support!CA60*8))^S13_PSP_Species_Support!CB60)^2*(S13_PSP_Species_Support!CC60*(1-EXP(-S13_PSP_Species_Support!CD60*8))^S13_PSP_Species_Support!CE60))^0.976,0)+IFERROR(S13_PSP_Species_Support!CI60*0.0673*(S13_PSP_Species_Support!CJ60*(S13_PSP_Species_Support!CK60*(1-EXP(-S13_PSP_Species_Support!CL60*8))^S13_PSP_Species_Support!CM60)^2*(S13_PSP_Species_Support!CN60*(1-EXP(-S13_PSP_Species_Support!CO60*8))^S13_PSP_Species_Support!CP60))^0.976,0)+IFERROR(S13_PSP_Species_Support!CT60*0.0673*(S13_PSP_Species_Support!CU60*(S13_PSP_Species_Support!CV60*(1-EXP(-S13_PSP_Species_Support!CW60*8))^S13_PSP_Species_Support!CX60)^2*(S13_PSP_Species_Support!CY60*(1-EXP(-S13_PSP_Species_Support!CZ60*8))^S13_PSP_Species_Support!DA60))^0.976,0))/1000/$G73*Q$108,0)</x:f>
        <x:v>45.418634396209995</x:v>
      </x:c>
      <x:c r="R73" s="147" t="n">
        <x:f aca="0">IFERROR((IFERROR(S13_PSP_Species_Support!U60*0.0673*(S13_PSP_Species_Support!V60*(S13_PSP_Species_Support!W60*(1-EXP(-S13_PSP_Species_Support!X60*9))^S13_PSP_Species_Support!Y60)^2*(S13_PSP_Species_Support!Z60*(1-EXP(-S13_PSP_Species_Support!AA60*9))^S13_PSP_Species_Support!AB60))^0.976,0)+IFERROR(S13_PSP_Species_Support!AF60*0.0673*(S13_PSP_Species_Support!AG60*(S13_PSP_Species_Support!AH60*(1-EXP(-S13_PSP_Species_Support!AI60*9))^S13_PSP_Species_Support!AJ60)^2*(S13_PSP_Species_Support!AK60*(1-EXP(-S13_PSP_Species_Support!AL60*9))^S13_PSP_Species_Support!AM60))^0.976,0)+IFERROR(S13_PSP_Species_Support!AQ60*0.0673*(S13_PSP_Species_Support!AR60*(S13_PSP_Species_Support!AS60*(1-EXP(-S13_PSP_Species_Support!AT60*9))^S13_PSP_Species_Support!AU60)^2*(S13_PSP_Species_Support!AV60*(1-EXP(-S13_PSP_Species_Support!AW60*9))^S13_PSP_Species_Support!AX60))^0.976,0)+IFERROR(S13_PSP_Species_Support!BB60*0.0673*(S13_PSP_Species_Support!BC60*(S13_PSP_Species_Support!BD60*(1-EXP(-S13_PSP_Species_Support!BE60*9))^S13_PSP_Species_Support!BF60)^2*(S13_PSP_Species_Support!BG60*(1-EXP(-S13_PSP_Species_Support!BH60*9))^S13_PSP_Species_Support!BI60))^0.976,0)+IFERROR(S13_PSP_Species_Support!BM60*0.0673*(S13_PSP_Species_Support!BN60*(S13_PSP_Species_Support!BO60*(1-EXP(-S13_PSP_Species_Support!BP60*9))^S13_PSP_Species_Support!BQ60)^2*(S13_PSP_Species_Support!BR60*(1-EXP(-S13_PSP_Species_Support!BS60*9))^S13_PSP_Species_Support!BT60))^0.976,0)+IFERROR(S13_PSP_Species_Support!BX60*0.0673*(S13_PSP_Species_Support!BY60*(S13_PSP_Species_Support!BZ60*(1-EXP(-S13_PSP_Species_Support!CA60*9))^S13_PSP_Species_Support!CB60)^2*(S13_PSP_Species_Support!CC60*(1-EXP(-S13_PSP_Species_Support!CD60*9))^S13_PSP_Species_Support!CE60))^0.976,0)+IFERROR(S13_PSP_Species_Support!CI60*0.0673*(S13_PSP_Species_Support!CJ60*(S13_PSP_Species_Support!CK60*(1-EXP(-S13_PSP_Species_Support!CL60*9))^S13_PSP_Species_Support!CM60)^2*(S13_PSP_Species_Support!CN60*(1-EXP(-S13_PSP_Species_Support!CO60*9))^S13_PSP_Species_Support!CP60))^0.976,0)+IFERROR(S13_PSP_Species_Support!CT60*0.0673*(S13_PSP_Species_Support!CU60*(S13_PSP_Species_Support!CV60*(1-EXP(-S13_PSP_Species_Support!CW60*9))^S13_PSP_Species_Support!CX60)^2*(S13_PSP_Species_Support!CY60*(1-EXP(-S13_PSP_Species_Support!CZ60*9))^S13_PSP_Species_Support!DA60))^0.976,0))/1000/$G73*R$108,0)</x:f>
        <x:v>61.47995884299544</x:v>
      </x:c>
      <x:c r="S73" s="147" t="n">
        <x:f aca="0">IFERROR((IFERROR(S13_PSP_Species_Support!U60*0.0673*(S13_PSP_Species_Support!V60*(S13_PSP_Species_Support!W60*(1-EXP(-S13_PSP_Species_Support!X60*10))^S13_PSP_Species_Support!Y60)^2*(S13_PSP_Species_Support!Z60*(1-EXP(-S13_PSP_Species_Support!AA60*10))^S13_PSP_Species_Support!AB60))^0.976,0)+IFERROR(S13_PSP_Species_Support!AF60*0.0673*(S13_PSP_Species_Support!AG60*(S13_PSP_Species_Support!AH60*(1-EXP(-S13_PSP_Species_Support!AI60*10))^S13_PSP_Species_Support!AJ60)^2*(S13_PSP_Species_Support!AK60*(1-EXP(-S13_PSP_Species_Support!AL60*10))^S13_PSP_Species_Support!AM60))^0.976,0)+IFERROR(S13_PSP_Species_Support!AQ60*0.0673*(S13_PSP_Species_Support!AR60*(S13_PSP_Species_Support!AS60*(1-EXP(-S13_PSP_Species_Support!AT60*10))^S13_PSP_Species_Support!AU60)^2*(S13_PSP_Species_Support!AV60*(1-EXP(-S13_PSP_Species_Support!AW60*10))^S13_PSP_Species_Support!AX60))^0.976,0)+IFERROR(S13_PSP_Species_Support!BB60*0.0673*(S13_PSP_Species_Support!BC60*(S13_PSP_Species_Support!BD60*(1-EXP(-S13_PSP_Species_Support!BE60*10))^S13_PSP_Species_Support!BF60)^2*(S13_PSP_Species_Support!BG60*(1-EXP(-S13_PSP_Species_Support!BH60*10))^S13_PSP_Species_Support!BI60))^0.976,0)+IFERROR(S13_PSP_Species_Support!BM60*0.0673*(S13_PSP_Species_Support!BN60*(S13_PSP_Species_Support!BO60*(1-EXP(-S13_PSP_Species_Support!BP60*10))^S13_PSP_Species_Support!BQ60)^2*(S13_PSP_Species_Support!BR60*(1-EXP(-S13_PSP_Species_Support!BS60*10))^S13_PSP_Species_Support!BT60))^0.976,0)+IFERROR(S13_PSP_Species_Support!BX60*0.0673*(S13_PSP_Species_Support!BY60*(S13_PSP_Species_Support!BZ60*(1-EXP(-S13_PSP_Species_Support!CA60*10))^S13_PSP_Species_Support!CB60)^2*(S13_PSP_Species_Support!CC60*(1-EXP(-S13_PSP_Species_Support!CD60*10))^S13_PSP_Species_Support!CE60))^0.976,0)+IFERROR(S13_PSP_Species_Support!CI60*0.0673*(S13_PSP_Species_Support!CJ60*(S13_PSP_Species_Support!CK60*(1-EXP(-S13_PSP_Species_Support!CL60*10))^S13_PSP_Species_Support!CM60)^2*(S13_PSP_Species_Support!CN60*(1-EXP(-S13_PSP_Species_Support!CO60*10))^S13_PSP_Species_Support!CP60))^0.976,0)+IFERROR(S13_PSP_Species_Support!CT60*0.0673*(S13_PSP_Species_Support!CU60*(S13_PSP_Species_Support!CV60*(1-EXP(-S13_PSP_Species_Support!CW60*10))^S13_PSP_Species_Support!CX60)^2*(S13_PSP_Species_Support!CY60*(1-EXP(-S13_PSP_Species_Support!CZ60*10))^S13_PSP_Species_Support!DA60))^0.976,0))/1000/$G73*S$108,0)</x:f>
        <x:v>79.2463864599719</x:v>
      </x:c>
      <x:c r="T73" s="147" t="n">
        <x:f aca="0">IFERROR((IFERROR(S13_PSP_Species_Support!U60*0.0673*(S13_PSP_Species_Support!V60*(S13_PSP_Species_Support!W60*(1-EXP(-S13_PSP_Species_Support!X60*11))^S13_PSP_Species_Support!Y60)^2*(S13_PSP_Species_Support!Z60*(1-EXP(-S13_PSP_Species_Support!AA60*11))^S13_PSP_Species_Support!AB60))^0.976,0)+IFERROR(S13_PSP_Species_Support!AF60*0.0673*(S13_PSP_Species_Support!AG60*(S13_PSP_Species_Support!AH60*(1-EXP(-S13_PSP_Species_Support!AI60*11))^S13_PSP_Species_Support!AJ60)^2*(S13_PSP_Species_Support!AK60*(1-EXP(-S13_PSP_Species_Support!AL60*11))^S13_PSP_Species_Support!AM60))^0.976,0)+IFERROR(S13_PSP_Species_Support!AQ60*0.0673*(S13_PSP_Species_Support!AR60*(S13_PSP_Species_Support!AS60*(1-EXP(-S13_PSP_Species_Support!AT60*11))^S13_PSP_Species_Support!AU60)^2*(S13_PSP_Species_Support!AV60*(1-EXP(-S13_PSP_Species_Support!AW60*11))^S13_PSP_Species_Support!AX60))^0.976,0)+IFERROR(S13_PSP_Species_Support!BB60*0.0673*(S13_PSP_Species_Support!BC60*(S13_PSP_Species_Support!BD60*(1-EXP(-S13_PSP_Species_Support!BE60*11))^S13_PSP_Species_Support!BF60)^2*(S13_PSP_Species_Support!BG60*(1-EXP(-S13_PSP_Species_Support!BH60*11))^S13_PSP_Species_Support!BI60))^0.976,0)+IFERROR(S13_PSP_Species_Support!BM60*0.0673*(S13_PSP_Species_Support!BN60*(S13_PSP_Species_Support!BO60*(1-EXP(-S13_PSP_Species_Support!BP60*11))^S13_PSP_Species_Support!BQ60)^2*(S13_PSP_Species_Support!BR60*(1-EXP(-S13_PSP_Species_Support!BS60*11))^S13_PSP_Species_Support!BT60))^0.976,0)+IFERROR(S13_PSP_Species_Support!BX60*0.0673*(S13_PSP_Species_Support!BY60*(S13_PSP_Species_Support!BZ60*(1-EXP(-S13_PSP_Species_Support!CA60*11))^S13_PSP_Species_Support!CB60)^2*(S13_PSP_Species_Support!CC60*(1-EXP(-S13_PSP_Species_Support!CD60*11))^S13_PSP_Species_Support!CE60))^0.976,0)+IFERROR(S13_PSP_Species_Support!CI60*0.0673*(S13_PSP_Species_Support!CJ60*(S13_PSP_Species_Support!CK60*(1-EXP(-S13_PSP_Species_Support!CL60*11))^S13_PSP_Species_Support!CM60)^2*(S13_PSP_Species_Support!CN60*(1-EXP(-S13_PSP_Species_Support!CO60*11))^S13_PSP_Species_Support!CP60))^0.976,0)+IFERROR(S13_PSP_Species_Support!CT60*0.0673*(S13_PSP_Species_Support!CU60*(S13_PSP_Species_Support!CV60*(1-EXP(-S13_PSP_Species_Support!CW60*11))^S13_PSP_Species_Support!CX60)^2*(S13_PSP_Species_Support!CY60*(1-EXP(-S13_PSP_Species_Support!CZ60*11))^S13_PSP_Species_Support!DA60))^0.976,0))/1000/$G73*T$108,0)</x:f>
        <x:v>98.258671080128</x:v>
      </x:c>
      <x:c r="U73" s="147" t="n">
        <x:f aca="0">IFERROR((IFERROR(S13_PSP_Species_Support!U60*0.0673*(S13_PSP_Species_Support!V60*(S13_PSP_Species_Support!W60*(1-EXP(-S13_PSP_Species_Support!X60*12))^S13_PSP_Species_Support!Y60)^2*(S13_PSP_Species_Support!Z60*(1-EXP(-S13_PSP_Species_Support!AA60*12))^S13_PSP_Species_Support!AB60))^0.976,0)+IFERROR(S13_PSP_Species_Support!AF60*0.0673*(S13_PSP_Species_Support!AG60*(S13_PSP_Species_Support!AH60*(1-EXP(-S13_PSP_Species_Support!AI60*12))^S13_PSP_Species_Support!AJ60)^2*(S13_PSP_Species_Support!AK60*(1-EXP(-S13_PSP_Species_Support!AL60*12))^S13_PSP_Species_Support!AM60))^0.976,0)+IFERROR(S13_PSP_Species_Support!AQ60*0.0673*(S13_PSP_Species_Support!AR60*(S13_PSP_Species_Support!AS60*(1-EXP(-S13_PSP_Species_Support!AT60*12))^S13_PSP_Species_Support!AU60)^2*(S13_PSP_Species_Support!AV60*(1-EXP(-S13_PSP_Species_Support!AW60*12))^S13_PSP_Species_Support!AX60))^0.976,0)+IFERROR(S13_PSP_Species_Support!BB60*0.0673*(S13_PSP_Species_Support!BC60*(S13_PSP_Species_Support!BD60*(1-EXP(-S13_PSP_Species_Support!BE60*12))^S13_PSP_Species_Support!BF60)^2*(S13_PSP_Species_Support!BG60*(1-EXP(-S13_PSP_Species_Support!BH60*12))^S13_PSP_Species_Support!BI60))^0.976,0)+IFERROR(S13_PSP_Species_Support!BM60*0.0673*(S13_PSP_Species_Support!BN60*(S13_PSP_Species_Support!BO60*(1-EXP(-S13_PSP_Species_Support!BP60*12))^S13_PSP_Species_Support!BQ60)^2*(S13_PSP_Species_Support!BR60*(1-EXP(-S13_PSP_Species_Support!BS60*12))^S13_PSP_Species_Support!BT60))^0.976,0)+IFERROR(S13_PSP_Species_Support!BX60*0.0673*(S13_PSP_Species_Support!BY60*(S13_PSP_Species_Support!BZ60*(1-EXP(-S13_PSP_Species_Support!CA60*12))^S13_PSP_Species_Support!CB60)^2*(S13_PSP_Species_Support!CC60*(1-EXP(-S13_PSP_Species_Support!CD60*12))^S13_PSP_Species_Support!CE60))^0.976,0)+IFERROR(S13_PSP_Species_Support!CI60*0.0673*(S13_PSP_Species_Support!CJ60*(S13_PSP_Species_Support!CK60*(1-EXP(-S13_PSP_Species_Support!CL60*12))^S13_PSP_Species_Support!CM60)^2*(S13_PSP_Species_Support!CN60*(1-EXP(-S13_PSP_Species_Support!CO60*12))^S13_PSP_Species_Support!CP60))^0.976,0)+IFERROR(S13_PSP_Species_Support!CT60*0.0673*(S13_PSP_Species_Support!CU60*(S13_PSP_Species_Support!CV60*(1-EXP(-S13_PSP_Species_Support!CW60*12))^S13_PSP_Species_Support!CX60)^2*(S13_PSP_Species_Support!CY60*(1-EXP(-S13_PSP_Species_Support!CZ60*12))^S13_PSP_Species_Support!DA60))^0.976,0))/1000/$G73*U$108,0)</x:f>
        <x:v>118.07213741533108</x:v>
      </x:c>
      <x:c r="V73" s="147" t="n">
        <x:f aca="0">IFERROR((IFERROR(S13_PSP_Species_Support!U60*0.0673*(S13_PSP_Species_Support!V60*(S13_PSP_Species_Support!W60*(1-EXP(-S13_PSP_Species_Support!X60*13))^S13_PSP_Species_Support!Y60)^2*(S13_PSP_Species_Support!Z60*(1-EXP(-S13_PSP_Species_Support!AA60*13))^S13_PSP_Species_Support!AB60))^0.976,0)+IFERROR(S13_PSP_Species_Support!AF60*0.0673*(S13_PSP_Species_Support!AG60*(S13_PSP_Species_Support!AH60*(1-EXP(-S13_PSP_Species_Support!AI60*13))^S13_PSP_Species_Support!AJ60)^2*(S13_PSP_Species_Support!AK60*(1-EXP(-S13_PSP_Species_Support!AL60*13))^S13_PSP_Species_Support!AM60))^0.976,0)+IFERROR(S13_PSP_Species_Support!AQ60*0.0673*(S13_PSP_Species_Support!AR60*(S13_PSP_Species_Support!AS60*(1-EXP(-S13_PSP_Species_Support!AT60*13))^S13_PSP_Species_Support!AU60)^2*(S13_PSP_Species_Support!AV60*(1-EXP(-S13_PSP_Species_Support!AW60*13))^S13_PSP_Species_Support!AX60))^0.976,0)+IFERROR(S13_PSP_Species_Support!BB60*0.0673*(S13_PSP_Species_Support!BC60*(S13_PSP_Species_Support!BD60*(1-EXP(-S13_PSP_Species_Support!BE60*13))^S13_PSP_Species_Support!BF60)^2*(S13_PSP_Species_Support!BG60*(1-EXP(-S13_PSP_Species_Support!BH60*13))^S13_PSP_Species_Support!BI60))^0.976,0)+IFERROR(S13_PSP_Species_Support!BM60*0.0673*(S13_PSP_Species_Support!BN60*(S13_PSP_Species_Support!BO60*(1-EXP(-S13_PSP_Species_Support!BP60*13))^S13_PSP_Species_Support!BQ60)^2*(S13_PSP_Species_Support!BR60*(1-EXP(-S13_PSP_Species_Support!BS60*13))^S13_PSP_Species_Support!BT60))^0.976,0)+IFERROR(S13_PSP_Species_Support!BX60*0.0673*(S13_PSP_Species_Support!BY60*(S13_PSP_Species_Support!BZ60*(1-EXP(-S13_PSP_Species_Support!CA60*13))^S13_PSP_Species_Support!CB60)^2*(S13_PSP_Species_Support!CC60*(1-EXP(-S13_PSP_Species_Support!CD60*13))^S13_PSP_Species_Support!CE60))^0.976,0)+IFERROR(S13_PSP_Species_Support!CI60*0.0673*(S13_PSP_Species_Support!CJ60*(S13_PSP_Species_Support!CK60*(1-EXP(-S13_PSP_Species_Support!CL60*13))^S13_PSP_Species_Support!CM60)^2*(S13_PSP_Species_Support!CN60*(1-EXP(-S13_PSP_Species_Support!CO60*13))^S13_PSP_Species_Support!CP60))^0.976,0)+IFERROR(S13_PSP_Species_Support!CT60*0.0673*(S13_PSP_Species_Support!CU60*(S13_PSP_Species_Support!CV60*(1-EXP(-S13_PSP_Species_Support!CW60*13))^S13_PSP_Species_Support!CX60)^2*(S13_PSP_Species_Support!CY60*(1-EXP(-S13_PSP_Species_Support!CZ60*13))^S13_PSP_Species_Support!DA60))^0.976,0))/1000/$G73*V$108,0)</x:f>
        <x:v>138.28050554642545</x:v>
      </x:c>
      <x:c r="W73" s="147" t="n">
        <x:f aca="0">IFERROR((IFERROR(S13_PSP_Species_Support!U60*0.0673*(S13_PSP_Species_Support!V60*(S13_PSP_Species_Support!W60*(1-EXP(-S13_PSP_Species_Support!X60*14))^S13_PSP_Species_Support!Y60)^2*(S13_PSP_Species_Support!Z60*(1-EXP(-S13_PSP_Species_Support!AA60*14))^S13_PSP_Species_Support!AB60))^0.976,0)+IFERROR(S13_PSP_Species_Support!AF60*0.0673*(S13_PSP_Species_Support!AG60*(S13_PSP_Species_Support!AH60*(1-EXP(-S13_PSP_Species_Support!AI60*14))^S13_PSP_Species_Support!AJ60)^2*(S13_PSP_Species_Support!AK60*(1-EXP(-S13_PSP_Species_Support!AL60*14))^S13_PSP_Species_Support!AM60))^0.976,0)+IFERROR(S13_PSP_Species_Support!AQ60*0.0673*(S13_PSP_Species_Support!AR60*(S13_PSP_Species_Support!AS60*(1-EXP(-S13_PSP_Species_Support!AT60*14))^S13_PSP_Species_Support!AU60)^2*(S13_PSP_Species_Support!AV60*(1-EXP(-S13_PSP_Species_Support!AW60*14))^S13_PSP_Species_Support!AX60))^0.976,0)+IFERROR(S13_PSP_Species_Support!BB60*0.0673*(S13_PSP_Species_Support!BC60*(S13_PSP_Species_Support!BD60*(1-EXP(-S13_PSP_Species_Support!BE60*14))^S13_PSP_Species_Support!BF60)^2*(S13_PSP_Species_Support!BG60*(1-EXP(-S13_PSP_Species_Support!BH60*14))^S13_PSP_Species_Support!BI60))^0.976,0)+IFERROR(S13_PSP_Species_Support!BM60*0.0673*(S13_PSP_Species_Support!BN60*(S13_PSP_Species_Support!BO60*(1-EXP(-S13_PSP_Species_Support!BP60*14))^S13_PSP_Species_Support!BQ60)^2*(S13_PSP_Species_Support!BR60*(1-EXP(-S13_PSP_Species_Support!BS60*14))^S13_PSP_Species_Support!BT60))^0.976,0)+IFERROR(S13_PSP_Species_Support!BX60*0.0673*(S13_PSP_Species_Support!BY60*(S13_PSP_Species_Support!BZ60*(1-EXP(-S13_PSP_Species_Support!CA60*14))^S13_PSP_Species_Support!CB60)^2*(S13_PSP_Species_Support!CC60*(1-EXP(-S13_PSP_Species_Support!CD60*14))^S13_PSP_Species_Support!CE60))^0.976,0)+IFERROR(S13_PSP_Species_Support!CI60*0.0673*(S13_PSP_Species_Support!CJ60*(S13_PSP_Species_Support!CK60*(1-EXP(-S13_PSP_Species_Support!CL60*14))^S13_PSP_Species_Support!CM60)^2*(S13_PSP_Species_Support!CN60*(1-EXP(-S13_PSP_Species_Support!CO60*14))^S13_PSP_Species_Support!CP60))^0.976,0)+IFERROR(S13_PSP_Species_Support!CT60*0.0673*(S13_PSP_Species_Support!CU60*(S13_PSP_Species_Support!CV60*(1-EXP(-S13_PSP_Species_Support!CW60*14))^S13_PSP_Species_Support!CX60)^2*(S13_PSP_Species_Support!CY60*(1-EXP(-S13_PSP_Species_Support!CZ60*14))^S13_PSP_Species_Support!DA60))^0.976,0))/1000/$G73*W$108,0)</x:f>
        <x:v>158.52921464587666</x:v>
      </x:c>
      <x:c r="X73" s="147" t="n">
        <x:f aca="0">IFERROR((IFERROR(S13_PSP_Species_Support!U60*0.0673*(S13_PSP_Species_Support!V60*(S13_PSP_Species_Support!W60*(1-EXP(-S13_PSP_Species_Support!X60*15))^S13_PSP_Species_Support!Y60)^2*(S13_PSP_Species_Support!Z60*(1-EXP(-S13_PSP_Species_Support!AA60*15))^S13_PSP_Species_Support!AB60))^0.976,0)+IFERROR(S13_PSP_Species_Support!AF60*0.0673*(S13_PSP_Species_Support!AG60*(S13_PSP_Species_Support!AH60*(1-EXP(-S13_PSP_Species_Support!AI60*15))^S13_PSP_Species_Support!AJ60)^2*(S13_PSP_Species_Support!AK60*(1-EXP(-S13_PSP_Species_Support!AL60*15))^S13_PSP_Species_Support!AM60))^0.976,0)+IFERROR(S13_PSP_Species_Support!AQ60*0.0673*(S13_PSP_Species_Support!AR60*(S13_PSP_Species_Support!AS60*(1-EXP(-S13_PSP_Species_Support!AT60*15))^S13_PSP_Species_Support!AU60)^2*(S13_PSP_Species_Support!AV60*(1-EXP(-S13_PSP_Species_Support!AW60*15))^S13_PSP_Species_Support!AX60))^0.976,0)+IFERROR(S13_PSP_Species_Support!BB60*0.0673*(S13_PSP_Species_Support!BC60*(S13_PSP_Species_Support!BD60*(1-EXP(-S13_PSP_Species_Support!BE60*15))^S13_PSP_Species_Support!BF60)^2*(S13_PSP_Species_Support!BG60*(1-EXP(-S13_PSP_Species_Support!BH60*15))^S13_PSP_Species_Support!BI60))^0.976,0)+IFERROR(S13_PSP_Species_Support!BM60*0.0673*(S13_PSP_Species_Support!BN60*(S13_PSP_Species_Support!BO60*(1-EXP(-S13_PSP_Species_Support!BP60*15))^S13_PSP_Species_Support!BQ60)^2*(S13_PSP_Species_Support!BR60*(1-EXP(-S13_PSP_Species_Support!BS60*15))^S13_PSP_Species_Support!BT60))^0.976,0)+IFERROR(S13_PSP_Species_Support!BX60*0.0673*(S13_PSP_Species_Support!BY60*(S13_PSP_Species_Support!BZ60*(1-EXP(-S13_PSP_Species_Support!CA60*15))^S13_PSP_Species_Support!CB60)^2*(S13_PSP_Species_Support!CC60*(1-EXP(-S13_PSP_Species_Support!CD60*15))^S13_PSP_Species_Support!CE60))^0.976,0)+IFERROR(S13_PSP_Species_Support!CI60*0.0673*(S13_PSP_Species_Support!CJ60*(S13_PSP_Species_Support!CK60*(1-EXP(-S13_PSP_Species_Support!CL60*15))^S13_PSP_Species_Support!CM60)^2*(S13_PSP_Species_Support!CN60*(1-EXP(-S13_PSP_Species_Support!CO60*15))^S13_PSP_Species_Support!CP60))^0.976,0)+IFERROR(S13_PSP_Species_Support!CT60*0.0673*(S13_PSP_Species_Support!CU60*(S13_PSP_Species_Support!CV60*(1-EXP(-S13_PSP_Species_Support!CW60*15))^S13_PSP_Species_Support!CX60)^2*(S13_PSP_Species_Support!CY60*(1-EXP(-S13_PSP_Species_Support!CZ60*15))^S13_PSP_Species_Support!DA60))^0.976,0))/1000/$G73*X$108,0)</x:f>
        <x:v>178.5209416807396</x:v>
      </x:c>
      <x:c r="Y73" s="147" t="n">
        <x:f aca="0">IFERROR((IFERROR(S13_PSP_Species_Support!U60*0.0673*(S13_PSP_Species_Support!V60*(S13_PSP_Species_Support!W60*(1-EXP(-S13_PSP_Species_Support!X60*16))^S13_PSP_Species_Support!Y60)^2*(S13_PSP_Species_Support!Z60*(1-EXP(-S13_PSP_Species_Support!AA60*16))^S13_PSP_Species_Support!AB60))^0.976,0)+IFERROR(S13_PSP_Species_Support!AF60*0.0673*(S13_PSP_Species_Support!AG60*(S13_PSP_Species_Support!AH60*(1-EXP(-S13_PSP_Species_Support!AI60*16))^S13_PSP_Species_Support!AJ60)^2*(S13_PSP_Species_Support!AK60*(1-EXP(-S13_PSP_Species_Support!AL60*16))^S13_PSP_Species_Support!AM60))^0.976,0)+IFERROR(S13_PSP_Species_Support!AQ60*0.0673*(S13_PSP_Species_Support!AR60*(S13_PSP_Species_Support!AS60*(1-EXP(-S13_PSP_Species_Support!AT60*16))^S13_PSP_Species_Support!AU60)^2*(S13_PSP_Species_Support!AV60*(1-EXP(-S13_PSP_Species_Support!AW60*16))^S13_PSP_Species_Support!AX60))^0.976,0)+IFERROR(S13_PSP_Species_Support!BB60*0.0673*(S13_PSP_Species_Support!BC60*(S13_PSP_Species_Support!BD60*(1-EXP(-S13_PSP_Species_Support!BE60*16))^S13_PSP_Species_Support!BF60)^2*(S13_PSP_Species_Support!BG60*(1-EXP(-S13_PSP_Species_Support!BH60*16))^S13_PSP_Species_Support!BI60))^0.976,0)+IFERROR(S13_PSP_Species_Support!BM60*0.0673*(S13_PSP_Species_Support!BN60*(S13_PSP_Species_Support!BO60*(1-EXP(-S13_PSP_Species_Support!BP60*16))^S13_PSP_Species_Support!BQ60)^2*(S13_PSP_Species_Support!BR60*(1-EXP(-S13_PSP_Species_Support!BS60*16))^S13_PSP_Species_Support!BT60))^0.976,0)+IFERROR(S13_PSP_Species_Support!BX60*0.0673*(S13_PSP_Species_Support!BY60*(S13_PSP_Species_Support!BZ60*(1-EXP(-S13_PSP_Species_Support!CA60*16))^S13_PSP_Species_Support!CB60)^2*(S13_PSP_Species_Support!CC60*(1-EXP(-S13_PSP_Species_Support!CD60*16))^S13_PSP_Species_Support!CE60))^0.976,0)+IFERROR(S13_PSP_Species_Support!CI60*0.0673*(S13_PSP_Species_Support!CJ60*(S13_PSP_Species_Support!CK60*(1-EXP(-S13_PSP_Species_Support!CL60*16))^S13_PSP_Species_Support!CM60)^2*(S13_PSP_Species_Support!CN60*(1-EXP(-S13_PSP_Species_Support!CO60*16))^S13_PSP_Species_Support!CP60))^0.976,0)+IFERROR(S13_PSP_Species_Support!CT60*0.0673*(S13_PSP_Species_Support!CU60*(S13_PSP_Species_Support!CV60*(1-EXP(-S13_PSP_Species_Support!CW60*16))^S13_PSP_Species_Support!CX60)^2*(S13_PSP_Species_Support!CY60*(1-EXP(-S13_PSP_Species_Support!CZ60*16))^S13_PSP_Species_Support!DA60))^0.976,0))/1000/$G73*Y$108,0)</x:f>
        <x:v>198.0157057986635</x:v>
      </x:c>
      <x:c r="Z73" s="147" t="n">
        <x:f aca="0">IFERROR((IFERROR(S13_PSP_Species_Support!U60*0.0673*(S13_PSP_Species_Support!V60*(S13_PSP_Species_Support!W60*(1-EXP(-S13_PSP_Species_Support!X60*17))^S13_PSP_Species_Support!Y60)^2*(S13_PSP_Species_Support!Z60*(1-EXP(-S13_PSP_Species_Support!AA60*17))^S13_PSP_Species_Support!AB60))^0.976,0)+IFERROR(S13_PSP_Species_Support!AF60*0.0673*(S13_PSP_Species_Support!AG60*(S13_PSP_Species_Support!AH60*(1-EXP(-S13_PSP_Species_Support!AI60*17))^S13_PSP_Species_Support!AJ60)^2*(S13_PSP_Species_Support!AK60*(1-EXP(-S13_PSP_Species_Support!AL60*17))^S13_PSP_Species_Support!AM60))^0.976,0)+IFERROR(S13_PSP_Species_Support!AQ60*0.0673*(S13_PSP_Species_Support!AR60*(S13_PSP_Species_Support!AS60*(1-EXP(-S13_PSP_Species_Support!AT60*17))^S13_PSP_Species_Support!AU60)^2*(S13_PSP_Species_Support!AV60*(1-EXP(-S13_PSP_Species_Support!AW60*17))^S13_PSP_Species_Support!AX60))^0.976,0)+IFERROR(S13_PSP_Species_Support!BB60*0.0673*(S13_PSP_Species_Support!BC60*(S13_PSP_Species_Support!BD60*(1-EXP(-S13_PSP_Species_Support!BE60*17))^S13_PSP_Species_Support!BF60)^2*(S13_PSP_Species_Support!BG60*(1-EXP(-S13_PSP_Species_Support!BH60*17))^S13_PSP_Species_Support!BI60))^0.976,0)+IFERROR(S13_PSP_Species_Support!BM60*0.0673*(S13_PSP_Species_Support!BN60*(S13_PSP_Species_Support!BO60*(1-EXP(-S13_PSP_Species_Support!BP60*17))^S13_PSP_Species_Support!BQ60)^2*(S13_PSP_Species_Support!BR60*(1-EXP(-S13_PSP_Species_Support!BS60*17))^S13_PSP_Species_Support!BT60))^0.976,0)+IFERROR(S13_PSP_Species_Support!BX60*0.0673*(S13_PSP_Species_Support!BY60*(S13_PSP_Species_Support!BZ60*(1-EXP(-S13_PSP_Species_Support!CA60*17))^S13_PSP_Species_Support!CB60)^2*(S13_PSP_Species_Support!CC60*(1-EXP(-S13_PSP_Species_Support!CD60*17))^S13_PSP_Species_Support!CE60))^0.976,0)+IFERROR(S13_PSP_Species_Support!CI60*0.0673*(S13_PSP_Species_Support!CJ60*(S13_PSP_Species_Support!CK60*(1-EXP(-S13_PSP_Species_Support!CL60*17))^S13_PSP_Species_Support!CM60)^2*(S13_PSP_Species_Support!CN60*(1-EXP(-S13_PSP_Species_Support!CO60*17))^S13_PSP_Species_Support!CP60))^0.976,0)+IFERROR(S13_PSP_Species_Support!CT60*0.0673*(S13_PSP_Species_Support!CU60*(S13_PSP_Species_Support!CV60*(1-EXP(-S13_PSP_Species_Support!CW60*17))^S13_PSP_Species_Support!CX60)^2*(S13_PSP_Species_Support!CY60*(1-EXP(-S13_PSP_Species_Support!CZ60*17))^S13_PSP_Species_Support!DA60))^0.976,0))/1000/$G73*Z$108,0)</x:f>
        <x:v>216.82749497770456</x:v>
      </x:c>
      <x:c r="AA73" s="147" t="n">
        <x:f aca="0">IFERROR((IFERROR(S13_PSP_Species_Support!U60*0.0673*(S13_PSP_Species_Support!V60*(S13_PSP_Species_Support!W60*(1-EXP(-S13_PSP_Species_Support!X60*18))^S13_PSP_Species_Support!Y60)^2*(S13_PSP_Species_Support!Z60*(1-EXP(-S13_PSP_Species_Support!AA60*18))^S13_PSP_Species_Support!AB60))^0.976,0)+IFERROR(S13_PSP_Species_Support!AF60*0.0673*(S13_PSP_Species_Support!AG60*(S13_PSP_Species_Support!AH60*(1-EXP(-S13_PSP_Species_Support!AI60*18))^S13_PSP_Species_Support!AJ60)^2*(S13_PSP_Species_Support!AK60*(1-EXP(-S13_PSP_Species_Support!AL60*18))^S13_PSP_Species_Support!AM60))^0.976,0)+IFERROR(S13_PSP_Species_Support!AQ60*0.0673*(S13_PSP_Species_Support!AR60*(S13_PSP_Species_Support!AS60*(1-EXP(-S13_PSP_Species_Support!AT60*18))^S13_PSP_Species_Support!AU60)^2*(S13_PSP_Species_Support!AV60*(1-EXP(-S13_PSP_Species_Support!AW60*18))^S13_PSP_Species_Support!AX60))^0.976,0)+IFERROR(S13_PSP_Species_Support!BB60*0.0673*(S13_PSP_Species_Support!BC60*(S13_PSP_Species_Support!BD60*(1-EXP(-S13_PSP_Species_Support!BE60*18))^S13_PSP_Species_Support!BF60)^2*(S13_PSP_Species_Support!BG60*(1-EXP(-S13_PSP_Species_Support!BH60*18))^S13_PSP_Species_Support!BI60))^0.976,0)+IFERROR(S13_PSP_Species_Support!BM60*0.0673*(S13_PSP_Species_Support!BN60*(S13_PSP_Species_Support!BO60*(1-EXP(-S13_PSP_Species_Support!BP60*18))^S13_PSP_Species_Support!BQ60)^2*(S13_PSP_Species_Support!BR60*(1-EXP(-S13_PSP_Species_Support!BS60*18))^S13_PSP_Species_Support!BT60))^0.976,0)+IFERROR(S13_PSP_Species_Support!BX60*0.0673*(S13_PSP_Species_Support!BY60*(S13_PSP_Species_Support!BZ60*(1-EXP(-S13_PSP_Species_Support!CA60*18))^S13_PSP_Species_Support!CB60)^2*(S13_PSP_Species_Support!CC60*(1-EXP(-S13_PSP_Species_Support!CD60*18))^S13_PSP_Species_Support!CE60))^0.976,0)+IFERROR(S13_PSP_Species_Support!CI60*0.0673*(S13_PSP_Species_Support!CJ60*(S13_PSP_Species_Support!CK60*(1-EXP(-S13_PSP_Species_Support!CL60*18))^S13_PSP_Species_Support!CM60)^2*(S13_PSP_Species_Support!CN60*(1-EXP(-S13_PSP_Species_Support!CO60*18))^S13_PSP_Species_Support!CP60))^0.976,0)+IFERROR(S13_PSP_Species_Support!CT60*0.0673*(S13_PSP_Species_Support!CU60*(S13_PSP_Species_Support!CV60*(1-EXP(-S13_PSP_Species_Support!CW60*18))^S13_PSP_Species_Support!CX60)^2*(S13_PSP_Species_Support!CY60*(1-EXP(-S13_PSP_Species_Support!CZ60*18))^S13_PSP_Species_Support!DA60))^0.976,0))/1000/$G73*AA$108,0)</x:f>
        <x:v>234.8188864748946</x:v>
      </x:c>
      <x:c r="AB73" s="147" t="n">
        <x:f aca="0">IFERROR((IFERROR(S13_PSP_Species_Support!U60*0.0673*(S13_PSP_Species_Support!V60*(S13_PSP_Species_Support!W60*(1-EXP(-S13_PSP_Species_Support!X60*19))^S13_PSP_Species_Support!Y60)^2*(S13_PSP_Species_Support!Z60*(1-EXP(-S13_PSP_Species_Support!AA60*19))^S13_PSP_Species_Support!AB60))^0.976,0)+IFERROR(S13_PSP_Species_Support!AF60*0.0673*(S13_PSP_Species_Support!AG60*(S13_PSP_Species_Support!AH60*(1-EXP(-S13_PSP_Species_Support!AI60*19))^S13_PSP_Species_Support!AJ60)^2*(S13_PSP_Species_Support!AK60*(1-EXP(-S13_PSP_Species_Support!AL60*19))^S13_PSP_Species_Support!AM60))^0.976,0)+IFERROR(S13_PSP_Species_Support!AQ60*0.0673*(S13_PSP_Species_Support!AR60*(S13_PSP_Species_Support!AS60*(1-EXP(-S13_PSP_Species_Support!AT60*19))^S13_PSP_Species_Support!AU60)^2*(S13_PSP_Species_Support!AV60*(1-EXP(-S13_PSP_Species_Support!AW60*19))^S13_PSP_Species_Support!AX60))^0.976,0)+IFERROR(S13_PSP_Species_Support!BB60*0.0673*(S13_PSP_Species_Support!BC60*(S13_PSP_Species_Support!BD60*(1-EXP(-S13_PSP_Species_Support!BE60*19))^S13_PSP_Species_Support!BF60)^2*(S13_PSP_Species_Support!BG60*(1-EXP(-S13_PSP_Species_Support!BH60*19))^S13_PSP_Species_Support!BI60))^0.976,0)+IFERROR(S13_PSP_Species_Support!BM60*0.0673*(S13_PSP_Species_Support!BN60*(S13_PSP_Species_Support!BO60*(1-EXP(-S13_PSP_Species_Support!BP60*19))^S13_PSP_Species_Support!BQ60)^2*(S13_PSP_Species_Support!BR60*(1-EXP(-S13_PSP_Species_Support!BS60*19))^S13_PSP_Species_Support!BT60))^0.976,0)+IFERROR(S13_PSP_Species_Support!BX60*0.0673*(S13_PSP_Species_Support!BY60*(S13_PSP_Species_Support!BZ60*(1-EXP(-S13_PSP_Species_Support!CA60*19))^S13_PSP_Species_Support!CB60)^2*(S13_PSP_Species_Support!CC60*(1-EXP(-S13_PSP_Species_Support!CD60*19))^S13_PSP_Species_Support!CE60))^0.976,0)+IFERROR(S13_PSP_Species_Support!CI60*0.0673*(S13_PSP_Species_Support!CJ60*(S13_PSP_Species_Support!CK60*(1-EXP(-S13_PSP_Species_Support!CL60*19))^S13_PSP_Species_Support!CM60)^2*(S13_PSP_Species_Support!CN60*(1-EXP(-S13_PSP_Species_Support!CO60*19))^S13_PSP_Species_Support!CP60))^0.976,0)+IFERROR(S13_PSP_Species_Support!CT60*0.0673*(S13_PSP_Species_Support!CU60*(S13_PSP_Species_Support!CV60*(1-EXP(-S13_PSP_Species_Support!CW60*19))^S13_PSP_Species_Support!CX60)^2*(S13_PSP_Species_Support!CY60*(1-EXP(-S13_PSP_Species_Support!CZ60*19))^S13_PSP_Species_Support!DA60))^0.976,0))/1000/$G73*AB$108,0)</x:f>
        <x:v>251.8947207390316</x:v>
      </x:c>
      <x:c r="AC73" s="147" t="n">
        <x:f aca="0">IFERROR((IFERROR(S13_PSP_Species_Support!U60*0.0673*(S13_PSP_Species_Support!V60*(S13_PSP_Species_Support!W60*(1-EXP(-S13_PSP_Species_Support!X60*20))^S13_PSP_Species_Support!Y60)^2*(S13_PSP_Species_Support!Z60*(1-EXP(-S13_PSP_Species_Support!AA60*20))^S13_PSP_Species_Support!AB60))^0.976,0)+IFERROR(S13_PSP_Species_Support!AF60*0.0673*(S13_PSP_Species_Support!AG60*(S13_PSP_Species_Support!AH60*(1-EXP(-S13_PSP_Species_Support!AI60*20))^S13_PSP_Species_Support!AJ60)^2*(S13_PSP_Species_Support!AK60*(1-EXP(-S13_PSP_Species_Support!AL60*20))^S13_PSP_Species_Support!AM60))^0.976,0)+IFERROR(S13_PSP_Species_Support!AQ60*0.0673*(S13_PSP_Species_Support!AR60*(S13_PSP_Species_Support!AS60*(1-EXP(-S13_PSP_Species_Support!AT60*20))^S13_PSP_Species_Support!AU60)^2*(S13_PSP_Species_Support!AV60*(1-EXP(-S13_PSP_Species_Support!AW60*20))^S13_PSP_Species_Support!AX60))^0.976,0)+IFERROR(S13_PSP_Species_Support!BB60*0.0673*(S13_PSP_Species_Support!BC60*(S13_PSP_Species_Support!BD60*(1-EXP(-S13_PSP_Species_Support!BE60*20))^S13_PSP_Species_Support!BF60)^2*(S13_PSP_Species_Support!BG60*(1-EXP(-S13_PSP_Species_Support!BH60*20))^S13_PSP_Species_Support!BI60))^0.976,0)+IFERROR(S13_PSP_Species_Support!BM60*0.0673*(S13_PSP_Species_Support!BN60*(S13_PSP_Species_Support!BO60*(1-EXP(-S13_PSP_Species_Support!BP60*20))^S13_PSP_Species_Support!BQ60)^2*(S13_PSP_Species_Support!BR60*(1-EXP(-S13_PSP_Species_Support!BS60*20))^S13_PSP_Species_Support!BT60))^0.976,0)+IFERROR(S13_PSP_Species_Support!BX60*0.0673*(S13_PSP_Species_Support!BY60*(S13_PSP_Species_Support!BZ60*(1-EXP(-S13_PSP_Species_Support!CA60*20))^S13_PSP_Species_Support!CB60)^2*(S13_PSP_Species_Support!CC60*(1-EXP(-S13_PSP_Species_Support!CD60*20))^S13_PSP_Species_Support!CE60))^0.976,0)+IFERROR(S13_PSP_Species_Support!CI60*0.0673*(S13_PSP_Species_Support!CJ60*(S13_PSP_Species_Support!CK60*(1-EXP(-S13_PSP_Species_Support!CL60*20))^S13_PSP_Species_Support!CM60)^2*(S13_PSP_Species_Support!CN60*(1-EXP(-S13_PSP_Species_Support!CO60*20))^S13_PSP_Species_Support!CP60))^0.976,0)+IFERROR(S13_PSP_Species_Support!CT60*0.0673*(S13_PSP_Species_Support!CU60*(S13_PSP_Species_Support!CV60*(1-EXP(-S13_PSP_Species_Support!CW60*20))^S13_PSP_Species_Support!CX60)^2*(S13_PSP_Species_Support!CY60*(1-EXP(-S13_PSP_Species_Support!CZ60*20))^S13_PSP_Species_Support!DA60))^0.976,0))/1000/$G73*AC$108,0)</x:f>
        <x:v>267.9955524303898</x:v>
      </x:c>
      <x:c r="AD73" s="148" t="n">
        <x:f aca="0">IF(2020&lt;$F73,0,INDEX($I73:$AC73,1,2020-$F73+1))</x:f>
        <x:v>0</x:v>
      </x:c>
      <x:c r="AE73" s="148" t="n">
        <x:f aca="0">IF(2021&lt;$F73,0,INDEX($I73:$AC73,1,2021-$F73+1))</x:f>
        <x:v>0.02914536054424266</x:v>
      </x:c>
      <x:c r="AF73" s="148" t="n">
        <x:f aca="0">IF(2022&lt;$F73,0,INDEX($I73:$AC73,1,2022-$F73+1))</x:f>
        <x:v>0.4430575683145763</x:v>
      </x:c>
      <x:c r="AG73" s="148" t="n">
        <x:f aca="0">IF(2023&lt;$F73,0,INDEX($I73:$AC73,1,2023-$F73+1))</x:f>
        <x:v>1.9872196830618647</x:v>
      </x:c>
      <x:c r="AH73" s="148" t="n">
        <x:f aca="0">IF(2024&lt;$F73,0,INDEX($I73:$AC73,1,2024-$F73+1))</x:f>
        <x:v>5.4543432567535515</x:v>
      </x:c>
      <x:c r="AI73" s="148" t="n">
        <x:f aca="0">IF(2025&lt;$F73,0,INDEX($I73:$AC73,1,2025-$F73+1))</x:f>
        <x:v>11.399289035193961</x:v>
      </x:c>
      <x:c r="AJ73" s="148" t="n">
        <x:f aca="0">IF(2026&lt;$F73,0,INDEX($I73:$AC73,1,2026-$F73+1))</x:f>
        <x:v>20.08495890564168</x:v>
      </x:c>
      <x:c r="AK73" s="148" t="n">
        <x:f aca="0">IF(2027&lt;$F73,0,INDEX($I73:$AC73,1,2027-$F73+1))</x:f>
        <x:v>31.499316539160247</x:v>
      </x:c>
      <x:c r="AL73" s="148" t="n">
        <x:f aca="0">IF(2028&lt;$F73,0,INDEX($I73:$AC73,1,2028-$F73+1))</x:f>
        <x:v>45.418634396209995</x:v>
      </x:c>
      <x:c r="AM73" s="148" t="n">
        <x:f aca="0">IF(2029&lt;$F73,0,INDEX($I73:$AC73,1,2029-$F73+1))</x:f>
        <x:v>61.47995884299544</x:v>
      </x:c>
      <x:c r="AN73" s="148" t="n">
        <x:f aca="0">IF(2030&lt;$F73,0,INDEX($I73:$AC73,1,2030-$F73+1))</x:f>
        <x:v>79.2463864599719</x:v>
      </x:c>
      <x:c r="AO73" s="148" t="n">
        <x:f aca="0">IF(2031&lt;$F73,0,INDEX($I73:$AC73,1,2031-$F73+1))</x:f>
        <x:v>98.258671080128</x:v>
      </x:c>
      <x:c r="AP73" s="148" t="n">
        <x:f aca="0">IF(2032&lt;$F73,0,INDEX($I73:$AC73,1,2032-$F73+1))</x:f>
        <x:v>118.07213741533108</x:v>
      </x:c>
      <x:c r="AQ73" s="148" t="n">
        <x:f aca="0">IF(2033&lt;$F73,0,INDEX($I73:$AC73,1,2033-$F73+1))</x:f>
        <x:v>138.28050554642545</x:v>
      </x:c>
      <x:c r="AR73" s="148" t="n">
        <x:f aca="0">IF(2034&lt;$F73,0,INDEX($I73:$AC73,1,2034-$F73+1))</x:f>
        <x:v>158.52921464587666</x:v>
      </x:c>
      <x:c r="AS73" s="148" t="n">
        <x:f aca="0">IF(2035&lt;$F73,0,INDEX($I73:$AC73,1,2035-$F73+1))</x:f>
        <x:v>178.5209416807396</x:v>
      </x:c>
      <x:c r="AT73" s="148" t="n">
        <x:f aca="0">IF(2036&lt;$F73,0,INDEX($I73:$AC73,1,2036-$F73+1))</x:f>
        <x:v>198.0157057986635</x:v>
      </x:c>
      <x:c r="AU73" s="148" t="n">
        <x:f aca="0">IF(2037&lt;$F73,0,INDEX($I73:$AC73,1,2037-$F73+1))</x:f>
        <x:v>216.82749497770456</x:v>
      </x:c>
      <x:c r="AV73" s="148" t="n">
        <x:f aca="0">IF(2038&lt;$F73,0,INDEX($I73:$AC73,1,2038-$F73+1))</x:f>
        <x:v>234.8188864748946</x:v>
      </x:c>
      <x:c r="AW73" s="148" t="n">
        <x:f aca="0">IF(2039&lt;$F73,0,INDEX($I73:$AC73,1,2039-$F73+1))</x:f>
        <x:v>251.8947207390316</x:v>
      </x:c>
      <x:c r="AX73" s="148" t="n">
        <x:f aca="0">IF(2040&lt;$F73,0,INDEX($I73:$AC73,1,2040-$F73+1))</x:f>
        <x:v>267.9955524303898</x:v>
      </x:c>
      <x:c r="AY73" s="1" t="str">
        <x:f aca="0">LEFT($C73,FIND("@",SUBSTITUTE($C73,"|","@",2))-1)</x:f>
        <x:v>Timber Plantation|Medium</x:v>
      </x:c>
      <x:c r="AZ73" s="1" t="str">
        <x:f aca="0">LEFT($C73,FIND("|",$C73)-1)</x:f>
        <x:v>Timber Plantation</x:v>
      </x:c>
      <x:c r="BA73" s="149" t="n">
        <x:f aca="0">I73*I73</x:f>
        <x:v>0</x:v>
      </x:c>
      <x:c r="BB73" s="149" t="n">
        <x:f aca="0">J73*J73</x:f>
        <x:v>0.0008494520412538968</x:v>
      </x:c>
      <x:c r="BC73" s="149" t="n">
        <x:f aca="0">K73*K73</x:f>
        <x:v>0.19630000884082546</x:v>
      </x:c>
      <x:c r="BD73" s="149" t="n">
        <x:f aca="0">L73*L73</x:f>
        <x:v>3.949042068748498</x:v>
      </x:c>
      <x:c r="BE73" s="149" t="n">
        <x:f aca="0">M73*M73</x:f>
        <x:v>29.74986036249294</x:v>
      </x:c>
      <x:c r="BF73" s="149" t="n">
        <x:f aca="0">N73*N73</x:f>
        <x:v>129.94379050789325</x:v>
      </x:c>
      <x:c r="BG73" s="149" t="n">
        <x:f aca="0">O73*O73</x:f>
        <x:v>403.4055742413151</x:v>
      </x:c>
      <x:c r="BH73" s="149" t="n">
        <x:f aca="0">P73*P73</x:f>
        <x:v>992.2069424342143</x:v>
      </x:c>
      <x:c r="BI73" s="149" t="n">
        <x:f aca="0">Q73*Q73</x:f>
        <x:v>2062.8523504165896</x:v>
      </x:c>
      <x:c r="BJ73" s="149" t="n">
        <x:f aca="0">R73*R73</x:f>
        <x:v>3779.785339336413</x:v>
      </x:c>
      <x:c r="BK73" s="149" t="n">
        <x:f aca="0">S73*S73</x:f>
        <x:v>6279.989766963218</x:v>
      </x:c>
      <x:c r="BL73" s="149" t="n">
        <x:f aca="0">T73*T73</x:f>
        <x:v>9654.766442432781</x:v>
      </x:c>
      <x:c r="BM73" s="149" t="n">
        <x:f aca="0">U73*U73</x:f>
        <x:v>13941.029633824826</x:v>
      </x:c>
      <x:c r="BN73" s="149" t="n">
        <x:f aca="0">V73*V73</x:f>
        <x:v>19121.498214174997</x:v>
      </x:c>
      <x:c r="BO73" s="149" t="n">
        <x:f aca="0">W73*W73</x:f>
        <x:v>25131.511896238437</x:v>
      </x:c>
      <x:c r="BP73" s="149" t="n">
        <x:f aca="0">X73*X73</x:f>
        <x:v>31869.72661857803</x:v>
      </x:c>
      <x:c r="BQ73" s="149" t="n">
        <x:f aca="0">Y73*Y73</x:f>
        <x:v>39210.219742942856</x:v>
      </x:c>
      <x:c r="BR73" s="149" t="n">
        <x:f aca="0">Z73*Z73</x:f>
        <x:v>47014.162578306496</x:v>
      </x:c>
      <x:c r="BS73" s="149" t="n">
        <x:f aca="0">AA73*AA73</x:f>
        <x:v>55139.909445309444</x:v>
      </x:c>
      <x:c r="BT73" s="149" t="n">
        <x:f aca="0">AB73*AB73</x:f>
        <x:v>63450.95033619472</x:v>
      </x:c>
      <x:c r="BU73" s="149" t="n">
        <x:f aca="0">AC73*AC73</x:f>
        <x:v>71821.61612246982</x:v>
      </x:c>
    </x:row>
    <x:row r="74" ht="15" hidden="0" customHeight="1">
      <x:c r="A74" s="1" t="str">
        <x:f aca="0">S13_PSP_Species_Support!A61</x:f>
        <x:v>PSP-TP-020</x:v>
      </x:c>
      <x:c r="B74" s="1" t="n">
        <x:f aca="0">61</x:f>
        <x:v>61</x:v>
      </x:c>
      <x:c r="C74" s="1" t="str">
        <x:f aca="0">S13_PSP_Species_Support!I61</x:f>
        <x:v>Timber Plantation|Medium|2020</x:v>
      </x:c>
      <x:c r="D74" s="1" t="str">
        <x:f aca="0">S13_PSP_Species_Support!C61</x:f>
        <x:v>Timber Plantation</x:v>
      </x:c>
      <x:c r="E74" s="1" t="str">
        <x:f aca="0">S13_PSP_Species_Support!D61</x:f>
        <x:v>Medium</x:v>
      </x:c>
      <x:c r="F74" s="1" t="n">
        <x:f aca="0">S13_PSP_Species_Support!E61</x:f>
        <x:v>2020</x:v>
      </x:c>
      <x:c r="G74" s="645" t="n">
        <x:f aca="0">'S13_PSP_Species_Support'!DJ61</x:f>
        <x:v>0.09</x:v>
      </x:c>
      <x:c r="H74" s="714" t="n">
        <x:f aca="0">'S13_PSP_Species_Support'!DK61</x:f>
        <x:v>130.11152416356876</x:v>
      </x:c>
      <x:c r="I74" s="147" t="n">
        <x:f aca="0">IFERROR((IFERROR(S13_PSP_Species_Support!U61*0.0673*(S13_PSP_Species_Support!V61*(S13_PSP_Species_Support!W61*(1-EXP(-S13_PSP_Species_Support!X61*0))^S13_PSP_Species_Support!Y61)^2*(S13_PSP_Species_Support!Z61*(1-EXP(-S13_PSP_Species_Support!AA61*0))^S13_PSP_Species_Support!AB61))^0.976,0)+IFERROR(S13_PSP_Species_Support!AF61*0.0673*(S13_PSP_Species_Support!AG61*(S13_PSP_Species_Support!AH61*(1-EXP(-S13_PSP_Species_Support!AI61*0))^S13_PSP_Species_Support!AJ61)^2*(S13_PSP_Species_Support!AK61*(1-EXP(-S13_PSP_Species_Support!AL61*0))^S13_PSP_Species_Support!AM61))^0.976,0)+IFERROR(S13_PSP_Species_Support!AQ61*0.0673*(S13_PSP_Species_Support!AR61*(S13_PSP_Species_Support!AS61*(1-EXP(-S13_PSP_Species_Support!AT61*0))^S13_PSP_Species_Support!AU61)^2*(S13_PSP_Species_Support!AV61*(1-EXP(-S13_PSP_Species_Support!AW61*0))^S13_PSP_Species_Support!AX61))^0.976,0)+IFERROR(S13_PSP_Species_Support!BB61*0.0673*(S13_PSP_Species_Support!BC61*(S13_PSP_Species_Support!BD61*(1-EXP(-S13_PSP_Species_Support!BE61*0))^S13_PSP_Species_Support!BF61)^2*(S13_PSP_Species_Support!BG61*(1-EXP(-S13_PSP_Species_Support!BH61*0))^S13_PSP_Species_Support!BI61))^0.976,0)+IFERROR(S13_PSP_Species_Support!BM61*0.0673*(S13_PSP_Species_Support!BN61*(S13_PSP_Species_Support!BO61*(1-EXP(-S13_PSP_Species_Support!BP61*0))^S13_PSP_Species_Support!BQ61)^2*(S13_PSP_Species_Support!BR61*(1-EXP(-S13_PSP_Species_Support!BS61*0))^S13_PSP_Species_Support!BT61))^0.976,0)+IFERROR(S13_PSP_Species_Support!BX61*0.0673*(S13_PSP_Species_Support!BY61*(S13_PSP_Species_Support!BZ61*(1-EXP(-S13_PSP_Species_Support!CA61*0))^S13_PSP_Species_Support!CB61)^2*(S13_PSP_Species_Support!CC61*(1-EXP(-S13_PSP_Species_Support!CD61*0))^S13_PSP_Species_Support!CE61))^0.976,0)+IFERROR(S13_PSP_Species_Support!CI61*0.0673*(S13_PSP_Species_Support!CJ61*(S13_PSP_Species_Support!CK61*(1-EXP(-S13_PSP_Species_Support!CL61*0))^S13_PSP_Species_Support!CM61)^2*(S13_PSP_Species_Support!CN61*(1-EXP(-S13_PSP_Species_Support!CO61*0))^S13_PSP_Species_Support!CP61))^0.976,0)+IFERROR(S13_PSP_Species_Support!CT61*0.0673*(S13_PSP_Species_Support!CU61*(S13_PSP_Species_Support!CV61*(1-EXP(-S13_PSP_Species_Support!CW61*0))^S13_PSP_Species_Support!CX61)^2*(S13_PSP_Species_Support!CY61*(1-EXP(-S13_PSP_Species_Support!CZ61*0))^S13_PSP_Species_Support!DA61))^0.976,0))/1000/$G74*I$108,0)</x:f>
        <x:v>0</x:v>
      </x:c>
      <x:c r="J74" s="147" t="n">
        <x:f aca="0">IFERROR((IFERROR(S13_PSP_Species_Support!U61*0.0673*(S13_PSP_Species_Support!V61*(S13_PSP_Species_Support!W61*(1-EXP(-S13_PSP_Species_Support!X61*1))^S13_PSP_Species_Support!Y61)^2*(S13_PSP_Species_Support!Z61*(1-EXP(-S13_PSP_Species_Support!AA61*1))^S13_PSP_Species_Support!AB61))^0.976,0)+IFERROR(S13_PSP_Species_Support!AF61*0.0673*(S13_PSP_Species_Support!AG61*(S13_PSP_Species_Support!AH61*(1-EXP(-S13_PSP_Species_Support!AI61*1))^S13_PSP_Species_Support!AJ61)^2*(S13_PSP_Species_Support!AK61*(1-EXP(-S13_PSP_Species_Support!AL61*1))^S13_PSP_Species_Support!AM61))^0.976,0)+IFERROR(S13_PSP_Species_Support!AQ61*0.0673*(S13_PSP_Species_Support!AR61*(S13_PSP_Species_Support!AS61*(1-EXP(-S13_PSP_Species_Support!AT61*1))^S13_PSP_Species_Support!AU61)^2*(S13_PSP_Species_Support!AV61*(1-EXP(-S13_PSP_Species_Support!AW61*1))^S13_PSP_Species_Support!AX61))^0.976,0)+IFERROR(S13_PSP_Species_Support!BB61*0.0673*(S13_PSP_Species_Support!BC61*(S13_PSP_Species_Support!BD61*(1-EXP(-S13_PSP_Species_Support!BE61*1))^S13_PSP_Species_Support!BF61)^2*(S13_PSP_Species_Support!BG61*(1-EXP(-S13_PSP_Species_Support!BH61*1))^S13_PSP_Species_Support!BI61))^0.976,0)+IFERROR(S13_PSP_Species_Support!BM61*0.0673*(S13_PSP_Species_Support!BN61*(S13_PSP_Species_Support!BO61*(1-EXP(-S13_PSP_Species_Support!BP61*1))^S13_PSP_Species_Support!BQ61)^2*(S13_PSP_Species_Support!BR61*(1-EXP(-S13_PSP_Species_Support!BS61*1))^S13_PSP_Species_Support!BT61))^0.976,0)+IFERROR(S13_PSP_Species_Support!BX61*0.0673*(S13_PSP_Species_Support!BY61*(S13_PSP_Species_Support!BZ61*(1-EXP(-S13_PSP_Species_Support!CA61*1))^S13_PSP_Species_Support!CB61)^2*(S13_PSP_Species_Support!CC61*(1-EXP(-S13_PSP_Species_Support!CD61*1))^S13_PSP_Species_Support!CE61))^0.976,0)+IFERROR(S13_PSP_Species_Support!CI61*0.0673*(S13_PSP_Species_Support!CJ61*(S13_PSP_Species_Support!CK61*(1-EXP(-S13_PSP_Species_Support!CL61*1))^S13_PSP_Species_Support!CM61)^2*(S13_PSP_Species_Support!CN61*(1-EXP(-S13_PSP_Species_Support!CO61*1))^S13_PSP_Species_Support!CP61))^0.976,0)+IFERROR(S13_PSP_Species_Support!CT61*0.0673*(S13_PSP_Species_Support!CU61*(S13_PSP_Species_Support!CV61*(1-EXP(-S13_PSP_Species_Support!CW61*1))^S13_PSP_Species_Support!CX61)^2*(S13_PSP_Species_Support!CY61*(1-EXP(-S13_PSP_Species_Support!CZ61*1))^S13_PSP_Species_Support!DA61))^0.976,0))/1000/$G74*J$108,0)</x:f>
        <x:v>1.7593813056322682</x:v>
      </x:c>
      <x:c r="K74" s="147" t="n">
        <x:f aca="0">IFERROR((IFERROR(S13_PSP_Species_Support!U61*0.0673*(S13_PSP_Species_Support!V61*(S13_PSP_Species_Support!W61*(1-EXP(-S13_PSP_Species_Support!X61*2))^S13_PSP_Species_Support!Y61)^2*(S13_PSP_Species_Support!Z61*(1-EXP(-S13_PSP_Species_Support!AA61*2))^S13_PSP_Species_Support!AB61))^0.976,0)+IFERROR(S13_PSP_Species_Support!AF61*0.0673*(S13_PSP_Species_Support!AG61*(S13_PSP_Species_Support!AH61*(1-EXP(-S13_PSP_Species_Support!AI61*2))^S13_PSP_Species_Support!AJ61)^2*(S13_PSP_Species_Support!AK61*(1-EXP(-S13_PSP_Species_Support!AL61*2))^S13_PSP_Species_Support!AM61))^0.976,0)+IFERROR(S13_PSP_Species_Support!AQ61*0.0673*(S13_PSP_Species_Support!AR61*(S13_PSP_Species_Support!AS61*(1-EXP(-S13_PSP_Species_Support!AT61*2))^S13_PSP_Species_Support!AU61)^2*(S13_PSP_Species_Support!AV61*(1-EXP(-S13_PSP_Species_Support!AW61*2))^S13_PSP_Species_Support!AX61))^0.976,0)+IFERROR(S13_PSP_Species_Support!BB61*0.0673*(S13_PSP_Species_Support!BC61*(S13_PSP_Species_Support!BD61*(1-EXP(-S13_PSP_Species_Support!BE61*2))^S13_PSP_Species_Support!BF61)^2*(S13_PSP_Species_Support!BG61*(1-EXP(-S13_PSP_Species_Support!BH61*2))^S13_PSP_Species_Support!BI61))^0.976,0)+IFERROR(S13_PSP_Species_Support!BM61*0.0673*(S13_PSP_Species_Support!BN61*(S13_PSP_Species_Support!BO61*(1-EXP(-S13_PSP_Species_Support!BP61*2))^S13_PSP_Species_Support!BQ61)^2*(S13_PSP_Species_Support!BR61*(1-EXP(-S13_PSP_Species_Support!BS61*2))^S13_PSP_Species_Support!BT61))^0.976,0)+IFERROR(S13_PSP_Species_Support!BX61*0.0673*(S13_PSP_Species_Support!BY61*(S13_PSP_Species_Support!BZ61*(1-EXP(-S13_PSP_Species_Support!CA61*2))^S13_PSP_Species_Support!CB61)^2*(S13_PSP_Species_Support!CC61*(1-EXP(-S13_PSP_Species_Support!CD61*2))^S13_PSP_Species_Support!CE61))^0.976,0)+IFERROR(S13_PSP_Species_Support!CI61*0.0673*(S13_PSP_Species_Support!CJ61*(S13_PSP_Species_Support!CK61*(1-EXP(-S13_PSP_Species_Support!CL61*2))^S13_PSP_Species_Support!CM61)^2*(S13_PSP_Species_Support!CN61*(1-EXP(-S13_PSP_Species_Support!CO61*2))^S13_PSP_Species_Support!CP61))^0.976,0)+IFERROR(S13_PSP_Species_Support!CT61*0.0673*(S13_PSP_Species_Support!CU61*(S13_PSP_Species_Support!CV61*(1-EXP(-S13_PSP_Species_Support!CW61*2))^S13_PSP_Species_Support!CX61)^2*(S13_PSP_Species_Support!CY61*(1-EXP(-S13_PSP_Species_Support!CZ61*2))^S13_PSP_Species_Support!DA61))^0.976,0))/1000/$G74*K$108,0)</x:f>
        <x:v>17.45111508839415</x:v>
      </x:c>
      <x:c r="L74" s="147" t="n">
        <x:f aca="0">IFERROR((IFERROR(S13_PSP_Species_Support!U61*0.0673*(S13_PSP_Species_Support!V61*(S13_PSP_Species_Support!W61*(1-EXP(-S13_PSP_Species_Support!X61*3))^S13_PSP_Species_Support!Y61)^2*(S13_PSP_Species_Support!Z61*(1-EXP(-S13_PSP_Species_Support!AA61*3))^S13_PSP_Species_Support!AB61))^0.976,0)+IFERROR(S13_PSP_Species_Support!AF61*0.0673*(S13_PSP_Species_Support!AG61*(S13_PSP_Species_Support!AH61*(1-EXP(-S13_PSP_Species_Support!AI61*3))^S13_PSP_Species_Support!AJ61)^2*(S13_PSP_Species_Support!AK61*(1-EXP(-S13_PSP_Species_Support!AL61*3))^S13_PSP_Species_Support!AM61))^0.976,0)+IFERROR(S13_PSP_Species_Support!AQ61*0.0673*(S13_PSP_Species_Support!AR61*(S13_PSP_Species_Support!AS61*(1-EXP(-S13_PSP_Species_Support!AT61*3))^S13_PSP_Species_Support!AU61)^2*(S13_PSP_Species_Support!AV61*(1-EXP(-S13_PSP_Species_Support!AW61*3))^S13_PSP_Species_Support!AX61))^0.976,0)+IFERROR(S13_PSP_Species_Support!BB61*0.0673*(S13_PSP_Species_Support!BC61*(S13_PSP_Species_Support!BD61*(1-EXP(-S13_PSP_Species_Support!BE61*3))^S13_PSP_Species_Support!BF61)^2*(S13_PSP_Species_Support!BG61*(1-EXP(-S13_PSP_Species_Support!BH61*3))^S13_PSP_Species_Support!BI61))^0.976,0)+IFERROR(S13_PSP_Species_Support!BM61*0.0673*(S13_PSP_Species_Support!BN61*(S13_PSP_Species_Support!BO61*(1-EXP(-S13_PSP_Species_Support!BP61*3))^S13_PSP_Species_Support!BQ61)^2*(S13_PSP_Species_Support!BR61*(1-EXP(-S13_PSP_Species_Support!BS61*3))^S13_PSP_Species_Support!BT61))^0.976,0)+IFERROR(S13_PSP_Species_Support!BX61*0.0673*(S13_PSP_Species_Support!BY61*(S13_PSP_Species_Support!BZ61*(1-EXP(-S13_PSP_Species_Support!CA61*3))^S13_PSP_Species_Support!CB61)^2*(S13_PSP_Species_Support!CC61*(1-EXP(-S13_PSP_Species_Support!CD61*3))^S13_PSP_Species_Support!CE61))^0.976,0)+IFERROR(S13_PSP_Species_Support!CI61*0.0673*(S13_PSP_Species_Support!CJ61*(S13_PSP_Species_Support!CK61*(1-EXP(-S13_PSP_Species_Support!CL61*3))^S13_PSP_Species_Support!CM61)^2*(S13_PSP_Species_Support!CN61*(1-EXP(-S13_PSP_Species_Support!CO61*3))^S13_PSP_Species_Support!CP61))^0.976,0)+IFERROR(S13_PSP_Species_Support!CT61*0.0673*(S13_PSP_Species_Support!CU61*(S13_PSP_Species_Support!CV61*(1-EXP(-S13_PSP_Species_Support!CW61*3))^S13_PSP_Species_Support!CX61)^2*(S13_PSP_Species_Support!CY61*(1-EXP(-S13_PSP_Species_Support!CZ61*3))^S13_PSP_Species_Support!DA61))^0.976,0))/1000/$G74*L$108,0)</x:f>
        <x:v>60.05997874149181</x:v>
      </x:c>
      <x:c r="M74" s="147" t="n">
        <x:f aca="0">IFERROR((IFERROR(S13_PSP_Species_Support!U61*0.0673*(S13_PSP_Species_Support!V61*(S13_PSP_Species_Support!W61*(1-EXP(-S13_PSP_Species_Support!X61*4))^S13_PSP_Species_Support!Y61)^2*(S13_PSP_Species_Support!Z61*(1-EXP(-S13_PSP_Species_Support!AA61*4))^S13_PSP_Species_Support!AB61))^0.976,0)+IFERROR(S13_PSP_Species_Support!AF61*0.0673*(S13_PSP_Species_Support!AG61*(S13_PSP_Species_Support!AH61*(1-EXP(-S13_PSP_Species_Support!AI61*4))^S13_PSP_Species_Support!AJ61)^2*(S13_PSP_Species_Support!AK61*(1-EXP(-S13_PSP_Species_Support!AL61*4))^S13_PSP_Species_Support!AM61))^0.976,0)+IFERROR(S13_PSP_Species_Support!AQ61*0.0673*(S13_PSP_Species_Support!AR61*(S13_PSP_Species_Support!AS61*(1-EXP(-S13_PSP_Species_Support!AT61*4))^S13_PSP_Species_Support!AU61)^2*(S13_PSP_Species_Support!AV61*(1-EXP(-S13_PSP_Species_Support!AW61*4))^S13_PSP_Species_Support!AX61))^0.976,0)+IFERROR(S13_PSP_Species_Support!BB61*0.0673*(S13_PSP_Species_Support!BC61*(S13_PSP_Species_Support!BD61*(1-EXP(-S13_PSP_Species_Support!BE61*4))^S13_PSP_Species_Support!BF61)^2*(S13_PSP_Species_Support!BG61*(1-EXP(-S13_PSP_Species_Support!BH61*4))^S13_PSP_Species_Support!BI61))^0.976,0)+IFERROR(S13_PSP_Species_Support!BM61*0.0673*(S13_PSP_Species_Support!BN61*(S13_PSP_Species_Support!BO61*(1-EXP(-S13_PSP_Species_Support!BP61*4))^S13_PSP_Species_Support!BQ61)^2*(S13_PSP_Species_Support!BR61*(1-EXP(-S13_PSP_Species_Support!BS61*4))^S13_PSP_Species_Support!BT61))^0.976,0)+IFERROR(S13_PSP_Species_Support!BX61*0.0673*(S13_PSP_Species_Support!BY61*(S13_PSP_Species_Support!BZ61*(1-EXP(-S13_PSP_Species_Support!CA61*4))^S13_PSP_Species_Support!CB61)^2*(S13_PSP_Species_Support!CC61*(1-EXP(-S13_PSP_Species_Support!CD61*4))^S13_PSP_Species_Support!CE61))^0.976,0)+IFERROR(S13_PSP_Species_Support!CI61*0.0673*(S13_PSP_Species_Support!CJ61*(S13_PSP_Species_Support!CK61*(1-EXP(-S13_PSP_Species_Support!CL61*4))^S13_PSP_Species_Support!CM61)^2*(S13_PSP_Species_Support!CN61*(1-EXP(-S13_PSP_Species_Support!CO61*4))^S13_PSP_Species_Support!CP61))^0.976,0)+IFERROR(S13_PSP_Species_Support!CT61*0.0673*(S13_PSP_Species_Support!CU61*(S13_PSP_Species_Support!CV61*(1-EXP(-S13_PSP_Species_Support!CW61*4))^S13_PSP_Species_Support!CX61)^2*(S13_PSP_Species_Support!CY61*(1-EXP(-S13_PSP_Species_Support!CZ61*4))^S13_PSP_Species_Support!DA61))^0.976,0))/1000/$G74*M$108,0)</x:f>
        <x:v>135.45611839410998</x:v>
      </x:c>
      <x:c r="N74" s="147" t="n">
        <x:f aca="0">IFERROR((IFERROR(S13_PSP_Species_Support!U61*0.0673*(S13_PSP_Species_Support!V61*(S13_PSP_Species_Support!W61*(1-EXP(-S13_PSP_Species_Support!X61*5))^S13_PSP_Species_Support!Y61)^2*(S13_PSP_Species_Support!Z61*(1-EXP(-S13_PSP_Species_Support!AA61*5))^S13_PSP_Species_Support!AB61))^0.976,0)+IFERROR(S13_PSP_Species_Support!AF61*0.0673*(S13_PSP_Species_Support!AG61*(S13_PSP_Species_Support!AH61*(1-EXP(-S13_PSP_Species_Support!AI61*5))^S13_PSP_Species_Support!AJ61)^2*(S13_PSP_Species_Support!AK61*(1-EXP(-S13_PSP_Species_Support!AL61*5))^S13_PSP_Species_Support!AM61))^0.976,0)+IFERROR(S13_PSP_Species_Support!AQ61*0.0673*(S13_PSP_Species_Support!AR61*(S13_PSP_Species_Support!AS61*(1-EXP(-S13_PSP_Species_Support!AT61*5))^S13_PSP_Species_Support!AU61)^2*(S13_PSP_Species_Support!AV61*(1-EXP(-S13_PSP_Species_Support!AW61*5))^S13_PSP_Species_Support!AX61))^0.976,0)+IFERROR(S13_PSP_Species_Support!BB61*0.0673*(S13_PSP_Species_Support!BC61*(S13_PSP_Species_Support!BD61*(1-EXP(-S13_PSP_Species_Support!BE61*5))^S13_PSP_Species_Support!BF61)^2*(S13_PSP_Species_Support!BG61*(1-EXP(-S13_PSP_Species_Support!BH61*5))^S13_PSP_Species_Support!BI61))^0.976,0)+IFERROR(S13_PSP_Species_Support!BM61*0.0673*(S13_PSP_Species_Support!BN61*(S13_PSP_Species_Support!BO61*(1-EXP(-S13_PSP_Species_Support!BP61*5))^S13_PSP_Species_Support!BQ61)^2*(S13_PSP_Species_Support!BR61*(1-EXP(-S13_PSP_Species_Support!BS61*5))^S13_PSP_Species_Support!BT61))^0.976,0)+IFERROR(S13_PSP_Species_Support!BX61*0.0673*(S13_PSP_Species_Support!BY61*(S13_PSP_Species_Support!BZ61*(1-EXP(-S13_PSP_Species_Support!CA61*5))^S13_PSP_Species_Support!CB61)^2*(S13_PSP_Species_Support!CC61*(1-EXP(-S13_PSP_Species_Support!CD61*5))^S13_PSP_Species_Support!CE61))^0.976,0)+IFERROR(S13_PSP_Species_Support!CI61*0.0673*(S13_PSP_Species_Support!CJ61*(S13_PSP_Species_Support!CK61*(1-EXP(-S13_PSP_Species_Support!CL61*5))^S13_PSP_Species_Support!CM61)^2*(S13_PSP_Species_Support!CN61*(1-EXP(-S13_PSP_Species_Support!CO61*5))^S13_PSP_Species_Support!CP61))^0.976,0)+IFERROR(S13_PSP_Species_Support!CT61*0.0673*(S13_PSP_Species_Support!CU61*(S13_PSP_Species_Support!CV61*(1-EXP(-S13_PSP_Species_Support!CW61*5))^S13_PSP_Species_Support!CX61)^2*(S13_PSP_Species_Support!CY61*(1-EXP(-S13_PSP_Species_Support!CZ61*5))^S13_PSP_Species_Support!DA61))^0.976,0))/1000/$G74*N$108,0)</x:f>
        <x:v>241.90407989553515</x:v>
      </x:c>
      <x:c r="O74" s="147" t="n">
        <x:f aca="0">IFERROR((IFERROR(S13_PSP_Species_Support!U61*0.0673*(S13_PSP_Species_Support!V61*(S13_PSP_Species_Support!W61*(1-EXP(-S13_PSP_Species_Support!X61*6))^S13_PSP_Species_Support!Y61)^2*(S13_PSP_Species_Support!Z61*(1-EXP(-S13_PSP_Species_Support!AA61*6))^S13_PSP_Species_Support!AB61))^0.976,0)+IFERROR(S13_PSP_Species_Support!AF61*0.0673*(S13_PSP_Species_Support!AG61*(S13_PSP_Species_Support!AH61*(1-EXP(-S13_PSP_Species_Support!AI61*6))^S13_PSP_Species_Support!AJ61)^2*(S13_PSP_Species_Support!AK61*(1-EXP(-S13_PSP_Species_Support!AL61*6))^S13_PSP_Species_Support!AM61))^0.976,0)+IFERROR(S13_PSP_Species_Support!AQ61*0.0673*(S13_PSP_Species_Support!AR61*(S13_PSP_Species_Support!AS61*(1-EXP(-S13_PSP_Species_Support!AT61*6))^S13_PSP_Species_Support!AU61)^2*(S13_PSP_Species_Support!AV61*(1-EXP(-S13_PSP_Species_Support!AW61*6))^S13_PSP_Species_Support!AX61))^0.976,0)+IFERROR(S13_PSP_Species_Support!BB61*0.0673*(S13_PSP_Species_Support!BC61*(S13_PSP_Species_Support!BD61*(1-EXP(-S13_PSP_Species_Support!BE61*6))^S13_PSP_Species_Support!BF61)^2*(S13_PSP_Species_Support!BG61*(1-EXP(-S13_PSP_Species_Support!BH61*6))^S13_PSP_Species_Support!BI61))^0.976,0)+IFERROR(S13_PSP_Species_Support!BM61*0.0673*(S13_PSP_Species_Support!BN61*(S13_PSP_Species_Support!BO61*(1-EXP(-S13_PSP_Species_Support!BP61*6))^S13_PSP_Species_Support!BQ61)^2*(S13_PSP_Species_Support!BR61*(1-EXP(-S13_PSP_Species_Support!BS61*6))^S13_PSP_Species_Support!BT61))^0.976,0)+IFERROR(S13_PSP_Species_Support!BX61*0.0673*(S13_PSP_Species_Support!BY61*(S13_PSP_Species_Support!BZ61*(1-EXP(-S13_PSP_Species_Support!CA61*6))^S13_PSP_Species_Support!CB61)^2*(S13_PSP_Species_Support!CC61*(1-EXP(-S13_PSP_Species_Support!CD61*6))^S13_PSP_Species_Support!CE61))^0.976,0)+IFERROR(S13_PSP_Species_Support!CI61*0.0673*(S13_PSP_Species_Support!CJ61*(S13_PSP_Species_Support!CK61*(1-EXP(-S13_PSP_Species_Support!CL61*6))^S13_PSP_Species_Support!CM61)^2*(S13_PSP_Species_Support!CN61*(1-EXP(-S13_PSP_Species_Support!CO61*6))^S13_PSP_Species_Support!CP61))^0.976,0)+IFERROR(S13_PSP_Species_Support!CT61*0.0673*(S13_PSP_Species_Support!CU61*(S13_PSP_Species_Support!CV61*(1-EXP(-S13_PSP_Species_Support!CW61*6))^S13_PSP_Species_Support!CX61)^2*(S13_PSP_Species_Support!CY61*(1-EXP(-S13_PSP_Species_Support!CZ61*6))^S13_PSP_Species_Support!DA61))^0.976,0))/1000/$G74*O$108,0)</x:f>
        <x:v>373.78374722623164</x:v>
      </x:c>
      <x:c r="P74" s="147" t="n">
        <x:f aca="0">IFERROR((IFERROR(S13_PSP_Species_Support!U61*0.0673*(S13_PSP_Species_Support!V61*(S13_PSP_Species_Support!W61*(1-EXP(-S13_PSP_Species_Support!X61*7))^S13_PSP_Species_Support!Y61)^2*(S13_PSP_Species_Support!Z61*(1-EXP(-S13_PSP_Species_Support!AA61*7))^S13_PSP_Species_Support!AB61))^0.976,0)+IFERROR(S13_PSP_Species_Support!AF61*0.0673*(S13_PSP_Species_Support!AG61*(S13_PSP_Species_Support!AH61*(1-EXP(-S13_PSP_Species_Support!AI61*7))^S13_PSP_Species_Support!AJ61)^2*(S13_PSP_Species_Support!AK61*(1-EXP(-S13_PSP_Species_Support!AL61*7))^S13_PSP_Species_Support!AM61))^0.976,0)+IFERROR(S13_PSP_Species_Support!AQ61*0.0673*(S13_PSP_Species_Support!AR61*(S13_PSP_Species_Support!AS61*(1-EXP(-S13_PSP_Species_Support!AT61*7))^S13_PSP_Species_Support!AU61)^2*(S13_PSP_Species_Support!AV61*(1-EXP(-S13_PSP_Species_Support!AW61*7))^S13_PSP_Species_Support!AX61))^0.976,0)+IFERROR(S13_PSP_Species_Support!BB61*0.0673*(S13_PSP_Species_Support!BC61*(S13_PSP_Species_Support!BD61*(1-EXP(-S13_PSP_Species_Support!BE61*7))^S13_PSP_Species_Support!BF61)^2*(S13_PSP_Species_Support!BG61*(1-EXP(-S13_PSP_Species_Support!BH61*7))^S13_PSP_Species_Support!BI61))^0.976,0)+IFERROR(S13_PSP_Species_Support!BM61*0.0673*(S13_PSP_Species_Support!BN61*(S13_PSP_Species_Support!BO61*(1-EXP(-S13_PSP_Species_Support!BP61*7))^S13_PSP_Species_Support!BQ61)^2*(S13_PSP_Species_Support!BR61*(1-EXP(-S13_PSP_Species_Support!BS61*7))^S13_PSP_Species_Support!BT61))^0.976,0)+IFERROR(S13_PSP_Species_Support!BX61*0.0673*(S13_PSP_Species_Support!BY61*(S13_PSP_Species_Support!BZ61*(1-EXP(-S13_PSP_Species_Support!CA61*7))^S13_PSP_Species_Support!CB61)^2*(S13_PSP_Species_Support!CC61*(1-EXP(-S13_PSP_Species_Support!CD61*7))^S13_PSP_Species_Support!CE61))^0.976,0)+IFERROR(S13_PSP_Species_Support!CI61*0.0673*(S13_PSP_Species_Support!CJ61*(S13_PSP_Species_Support!CK61*(1-EXP(-S13_PSP_Species_Support!CL61*7))^S13_PSP_Species_Support!CM61)^2*(S13_PSP_Species_Support!CN61*(1-EXP(-S13_PSP_Species_Support!CO61*7))^S13_PSP_Species_Support!CP61))^0.976,0)+IFERROR(S13_PSP_Species_Support!CT61*0.0673*(S13_PSP_Species_Support!CU61*(S13_PSP_Species_Support!CV61*(1-EXP(-S13_PSP_Species_Support!CW61*7))^S13_PSP_Species_Support!CX61)^2*(S13_PSP_Species_Support!CY61*(1-EXP(-S13_PSP_Species_Support!CZ61*7))^S13_PSP_Species_Support!DA61))^0.976,0))/1000/$G74*P$108,0)</x:f>
        <x:v>523.8646633046548</x:v>
      </x:c>
      <x:c r="Q74" s="147" t="n">
        <x:f aca="0">IFERROR((IFERROR(S13_PSP_Species_Support!U61*0.0673*(S13_PSP_Species_Support!V61*(S13_PSP_Species_Support!W61*(1-EXP(-S13_PSP_Species_Support!X61*8))^S13_PSP_Species_Support!Y61)^2*(S13_PSP_Species_Support!Z61*(1-EXP(-S13_PSP_Species_Support!AA61*8))^S13_PSP_Species_Support!AB61))^0.976,0)+IFERROR(S13_PSP_Species_Support!AF61*0.0673*(S13_PSP_Species_Support!AG61*(S13_PSP_Species_Support!AH61*(1-EXP(-S13_PSP_Species_Support!AI61*8))^S13_PSP_Species_Support!AJ61)^2*(S13_PSP_Species_Support!AK61*(1-EXP(-S13_PSP_Species_Support!AL61*8))^S13_PSP_Species_Support!AM61))^0.976,0)+IFERROR(S13_PSP_Species_Support!AQ61*0.0673*(S13_PSP_Species_Support!AR61*(S13_PSP_Species_Support!AS61*(1-EXP(-S13_PSP_Species_Support!AT61*8))^S13_PSP_Species_Support!AU61)^2*(S13_PSP_Species_Support!AV61*(1-EXP(-S13_PSP_Species_Support!AW61*8))^S13_PSP_Species_Support!AX61))^0.976,0)+IFERROR(S13_PSP_Species_Support!BB61*0.0673*(S13_PSP_Species_Support!BC61*(S13_PSP_Species_Support!BD61*(1-EXP(-S13_PSP_Species_Support!BE61*8))^S13_PSP_Species_Support!BF61)^2*(S13_PSP_Species_Support!BG61*(1-EXP(-S13_PSP_Species_Support!BH61*8))^S13_PSP_Species_Support!BI61))^0.976,0)+IFERROR(S13_PSP_Species_Support!BM61*0.0673*(S13_PSP_Species_Support!BN61*(S13_PSP_Species_Support!BO61*(1-EXP(-S13_PSP_Species_Support!BP61*8))^S13_PSP_Species_Support!BQ61)^2*(S13_PSP_Species_Support!BR61*(1-EXP(-S13_PSP_Species_Support!BS61*8))^S13_PSP_Species_Support!BT61))^0.976,0)+IFERROR(S13_PSP_Species_Support!BX61*0.0673*(S13_PSP_Species_Support!BY61*(S13_PSP_Species_Support!BZ61*(1-EXP(-S13_PSP_Species_Support!CA61*8))^S13_PSP_Species_Support!CB61)^2*(S13_PSP_Species_Support!CC61*(1-EXP(-S13_PSP_Species_Support!CD61*8))^S13_PSP_Species_Support!CE61))^0.976,0)+IFERROR(S13_PSP_Species_Support!CI61*0.0673*(S13_PSP_Species_Support!CJ61*(S13_PSP_Species_Support!CK61*(1-EXP(-S13_PSP_Species_Support!CL61*8))^S13_PSP_Species_Support!CM61)^2*(S13_PSP_Species_Support!CN61*(1-EXP(-S13_PSP_Species_Support!CO61*8))^S13_PSP_Species_Support!CP61))^0.976,0)+IFERROR(S13_PSP_Species_Support!CT61*0.0673*(S13_PSP_Species_Support!CU61*(S13_PSP_Species_Support!CV61*(1-EXP(-S13_PSP_Species_Support!CW61*8))^S13_PSP_Species_Support!CX61)^2*(S13_PSP_Species_Support!CY61*(1-EXP(-S13_PSP_Species_Support!CZ61*8))^S13_PSP_Species_Support!DA61))^0.976,0))/1000/$G74*Q$108,0)</x:f>
        <x:v>684.8953392470456</x:v>
      </x:c>
      <x:c r="R74" s="147" t="n">
        <x:f aca="0">IFERROR((IFERROR(S13_PSP_Species_Support!U61*0.0673*(S13_PSP_Species_Support!V61*(S13_PSP_Species_Support!W61*(1-EXP(-S13_PSP_Species_Support!X61*9))^S13_PSP_Species_Support!Y61)^2*(S13_PSP_Species_Support!Z61*(1-EXP(-S13_PSP_Species_Support!AA61*9))^S13_PSP_Species_Support!AB61))^0.976,0)+IFERROR(S13_PSP_Species_Support!AF61*0.0673*(S13_PSP_Species_Support!AG61*(S13_PSP_Species_Support!AH61*(1-EXP(-S13_PSP_Species_Support!AI61*9))^S13_PSP_Species_Support!AJ61)^2*(S13_PSP_Species_Support!AK61*(1-EXP(-S13_PSP_Species_Support!AL61*9))^S13_PSP_Species_Support!AM61))^0.976,0)+IFERROR(S13_PSP_Species_Support!AQ61*0.0673*(S13_PSP_Species_Support!AR61*(S13_PSP_Species_Support!AS61*(1-EXP(-S13_PSP_Species_Support!AT61*9))^S13_PSP_Species_Support!AU61)^2*(S13_PSP_Species_Support!AV61*(1-EXP(-S13_PSP_Species_Support!AW61*9))^S13_PSP_Species_Support!AX61))^0.976,0)+IFERROR(S13_PSP_Species_Support!BB61*0.0673*(S13_PSP_Species_Support!BC61*(S13_PSP_Species_Support!BD61*(1-EXP(-S13_PSP_Species_Support!BE61*9))^S13_PSP_Species_Support!BF61)^2*(S13_PSP_Species_Support!BG61*(1-EXP(-S13_PSP_Species_Support!BH61*9))^S13_PSP_Species_Support!BI61))^0.976,0)+IFERROR(S13_PSP_Species_Support!BM61*0.0673*(S13_PSP_Species_Support!BN61*(S13_PSP_Species_Support!BO61*(1-EXP(-S13_PSP_Species_Support!BP61*9))^S13_PSP_Species_Support!BQ61)^2*(S13_PSP_Species_Support!BR61*(1-EXP(-S13_PSP_Species_Support!BS61*9))^S13_PSP_Species_Support!BT61))^0.976,0)+IFERROR(S13_PSP_Species_Support!BX61*0.0673*(S13_PSP_Species_Support!BY61*(S13_PSP_Species_Support!BZ61*(1-EXP(-S13_PSP_Species_Support!CA61*9))^S13_PSP_Species_Support!CB61)^2*(S13_PSP_Species_Support!CC61*(1-EXP(-S13_PSP_Species_Support!CD61*9))^S13_PSP_Species_Support!CE61))^0.976,0)+IFERROR(S13_PSP_Species_Support!CI61*0.0673*(S13_PSP_Species_Support!CJ61*(S13_PSP_Species_Support!CK61*(1-EXP(-S13_PSP_Species_Support!CL61*9))^S13_PSP_Species_Support!CM61)^2*(S13_PSP_Species_Support!CN61*(1-EXP(-S13_PSP_Species_Support!CO61*9))^S13_PSP_Species_Support!CP61))^0.976,0)+IFERROR(S13_PSP_Species_Support!CT61*0.0673*(S13_PSP_Species_Support!CU61*(S13_PSP_Species_Support!CV61*(1-EXP(-S13_PSP_Species_Support!CW61*9))^S13_PSP_Species_Support!CX61)^2*(S13_PSP_Species_Support!CY61*(1-EXP(-S13_PSP_Species_Support!CZ61*9))^S13_PSP_Species_Support!DA61))^0.976,0))/1000/$G74*R$108,0)</x:f>
        <x:v>850.4622470059086</x:v>
      </x:c>
      <x:c r="S74" s="147" t="n">
        <x:f aca="0">IFERROR((IFERROR(S13_PSP_Species_Support!U61*0.0673*(S13_PSP_Species_Support!V61*(S13_PSP_Species_Support!W61*(1-EXP(-S13_PSP_Species_Support!X61*10))^S13_PSP_Species_Support!Y61)^2*(S13_PSP_Species_Support!Z61*(1-EXP(-S13_PSP_Species_Support!AA61*10))^S13_PSP_Species_Support!AB61))^0.976,0)+IFERROR(S13_PSP_Species_Support!AF61*0.0673*(S13_PSP_Species_Support!AG61*(S13_PSP_Species_Support!AH61*(1-EXP(-S13_PSP_Species_Support!AI61*10))^S13_PSP_Species_Support!AJ61)^2*(S13_PSP_Species_Support!AK61*(1-EXP(-S13_PSP_Species_Support!AL61*10))^S13_PSP_Species_Support!AM61))^0.976,0)+IFERROR(S13_PSP_Species_Support!AQ61*0.0673*(S13_PSP_Species_Support!AR61*(S13_PSP_Species_Support!AS61*(1-EXP(-S13_PSP_Species_Support!AT61*10))^S13_PSP_Species_Support!AU61)^2*(S13_PSP_Species_Support!AV61*(1-EXP(-S13_PSP_Species_Support!AW61*10))^S13_PSP_Species_Support!AX61))^0.976,0)+IFERROR(S13_PSP_Species_Support!BB61*0.0673*(S13_PSP_Species_Support!BC61*(S13_PSP_Species_Support!BD61*(1-EXP(-S13_PSP_Species_Support!BE61*10))^S13_PSP_Species_Support!BF61)^2*(S13_PSP_Species_Support!BG61*(1-EXP(-S13_PSP_Species_Support!BH61*10))^S13_PSP_Species_Support!BI61))^0.976,0)+IFERROR(S13_PSP_Species_Support!BM61*0.0673*(S13_PSP_Species_Support!BN61*(S13_PSP_Species_Support!BO61*(1-EXP(-S13_PSP_Species_Support!BP61*10))^S13_PSP_Species_Support!BQ61)^2*(S13_PSP_Species_Support!BR61*(1-EXP(-S13_PSP_Species_Support!BS61*10))^S13_PSP_Species_Support!BT61))^0.976,0)+IFERROR(S13_PSP_Species_Support!BX61*0.0673*(S13_PSP_Species_Support!BY61*(S13_PSP_Species_Support!BZ61*(1-EXP(-S13_PSP_Species_Support!CA61*10))^S13_PSP_Species_Support!CB61)^2*(S13_PSP_Species_Support!CC61*(1-EXP(-S13_PSP_Species_Support!CD61*10))^S13_PSP_Species_Support!CE61))^0.976,0)+IFERROR(S13_PSP_Species_Support!CI61*0.0673*(S13_PSP_Species_Support!CJ61*(S13_PSP_Species_Support!CK61*(1-EXP(-S13_PSP_Species_Support!CL61*10))^S13_PSP_Species_Support!CM61)^2*(S13_PSP_Species_Support!CN61*(1-EXP(-S13_PSP_Species_Support!CO61*10))^S13_PSP_Species_Support!CP61))^0.976,0)+IFERROR(S13_PSP_Species_Support!CT61*0.0673*(S13_PSP_Species_Support!CU61*(S13_PSP_Species_Support!CV61*(1-EXP(-S13_PSP_Species_Support!CW61*10))^S13_PSP_Species_Support!CX61)^2*(S13_PSP_Species_Support!CY61*(1-EXP(-S13_PSP_Species_Support!CZ61*10))^S13_PSP_Species_Support!DA61))^0.976,0))/1000/$G74*S$108,0)</x:f>
        <x:v>1015.3479958435984</x:v>
      </x:c>
      <x:c r="T74" s="147" t="n">
        <x:f aca="0">IFERROR((IFERROR(S13_PSP_Species_Support!U61*0.0673*(S13_PSP_Species_Support!V61*(S13_PSP_Species_Support!W61*(1-EXP(-S13_PSP_Species_Support!X61*11))^S13_PSP_Species_Support!Y61)^2*(S13_PSP_Species_Support!Z61*(1-EXP(-S13_PSP_Species_Support!AA61*11))^S13_PSP_Species_Support!AB61))^0.976,0)+IFERROR(S13_PSP_Species_Support!AF61*0.0673*(S13_PSP_Species_Support!AG61*(S13_PSP_Species_Support!AH61*(1-EXP(-S13_PSP_Species_Support!AI61*11))^S13_PSP_Species_Support!AJ61)^2*(S13_PSP_Species_Support!AK61*(1-EXP(-S13_PSP_Species_Support!AL61*11))^S13_PSP_Species_Support!AM61))^0.976,0)+IFERROR(S13_PSP_Species_Support!AQ61*0.0673*(S13_PSP_Species_Support!AR61*(S13_PSP_Species_Support!AS61*(1-EXP(-S13_PSP_Species_Support!AT61*11))^S13_PSP_Species_Support!AU61)^2*(S13_PSP_Species_Support!AV61*(1-EXP(-S13_PSP_Species_Support!AW61*11))^S13_PSP_Species_Support!AX61))^0.976,0)+IFERROR(S13_PSP_Species_Support!BB61*0.0673*(S13_PSP_Species_Support!BC61*(S13_PSP_Species_Support!BD61*(1-EXP(-S13_PSP_Species_Support!BE61*11))^S13_PSP_Species_Support!BF61)^2*(S13_PSP_Species_Support!BG61*(1-EXP(-S13_PSP_Species_Support!BH61*11))^S13_PSP_Species_Support!BI61))^0.976,0)+IFERROR(S13_PSP_Species_Support!BM61*0.0673*(S13_PSP_Species_Support!BN61*(S13_PSP_Species_Support!BO61*(1-EXP(-S13_PSP_Species_Support!BP61*11))^S13_PSP_Species_Support!BQ61)^2*(S13_PSP_Species_Support!BR61*(1-EXP(-S13_PSP_Species_Support!BS61*11))^S13_PSP_Species_Support!BT61))^0.976,0)+IFERROR(S13_PSP_Species_Support!BX61*0.0673*(S13_PSP_Species_Support!BY61*(S13_PSP_Species_Support!BZ61*(1-EXP(-S13_PSP_Species_Support!CA61*11))^S13_PSP_Species_Support!CB61)^2*(S13_PSP_Species_Support!CC61*(1-EXP(-S13_PSP_Species_Support!CD61*11))^S13_PSP_Species_Support!CE61))^0.976,0)+IFERROR(S13_PSP_Species_Support!CI61*0.0673*(S13_PSP_Species_Support!CJ61*(S13_PSP_Species_Support!CK61*(1-EXP(-S13_PSP_Species_Support!CL61*11))^S13_PSP_Species_Support!CM61)^2*(S13_PSP_Species_Support!CN61*(1-EXP(-S13_PSP_Species_Support!CO61*11))^S13_PSP_Species_Support!CP61))^0.976,0)+IFERROR(S13_PSP_Species_Support!CT61*0.0673*(S13_PSP_Species_Support!CU61*(S13_PSP_Species_Support!CV61*(1-EXP(-S13_PSP_Species_Support!CW61*11))^S13_PSP_Species_Support!CX61)^2*(S13_PSP_Species_Support!CY61*(1-EXP(-S13_PSP_Species_Support!CZ61*11))^S13_PSP_Species_Support!DA61))^0.976,0))/1000/$G74*T$108,0)</x:f>
        <x:v>1175.5875139286659</x:v>
      </x:c>
      <x:c r="U74" s="147" t="n">
        <x:f aca="0">IFERROR((IFERROR(S13_PSP_Species_Support!U61*0.0673*(S13_PSP_Species_Support!V61*(S13_PSP_Species_Support!W61*(1-EXP(-S13_PSP_Species_Support!X61*12))^S13_PSP_Species_Support!Y61)^2*(S13_PSP_Species_Support!Z61*(1-EXP(-S13_PSP_Species_Support!AA61*12))^S13_PSP_Species_Support!AB61))^0.976,0)+IFERROR(S13_PSP_Species_Support!AF61*0.0673*(S13_PSP_Species_Support!AG61*(S13_PSP_Species_Support!AH61*(1-EXP(-S13_PSP_Species_Support!AI61*12))^S13_PSP_Species_Support!AJ61)^2*(S13_PSP_Species_Support!AK61*(1-EXP(-S13_PSP_Species_Support!AL61*12))^S13_PSP_Species_Support!AM61))^0.976,0)+IFERROR(S13_PSP_Species_Support!AQ61*0.0673*(S13_PSP_Species_Support!AR61*(S13_PSP_Species_Support!AS61*(1-EXP(-S13_PSP_Species_Support!AT61*12))^S13_PSP_Species_Support!AU61)^2*(S13_PSP_Species_Support!AV61*(1-EXP(-S13_PSP_Species_Support!AW61*12))^S13_PSP_Species_Support!AX61))^0.976,0)+IFERROR(S13_PSP_Species_Support!BB61*0.0673*(S13_PSP_Species_Support!BC61*(S13_PSP_Species_Support!BD61*(1-EXP(-S13_PSP_Species_Support!BE61*12))^S13_PSP_Species_Support!BF61)^2*(S13_PSP_Species_Support!BG61*(1-EXP(-S13_PSP_Species_Support!BH61*12))^S13_PSP_Species_Support!BI61))^0.976,0)+IFERROR(S13_PSP_Species_Support!BM61*0.0673*(S13_PSP_Species_Support!BN61*(S13_PSP_Species_Support!BO61*(1-EXP(-S13_PSP_Species_Support!BP61*12))^S13_PSP_Species_Support!BQ61)^2*(S13_PSP_Species_Support!BR61*(1-EXP(-S13_PSP_Species_Support!BS61*12))^S13_PSP_Species_Support!BT61))^0.976,0)+IFERROR(S13_PSP_Species_Support!BX61*0.0673*(S13_PSP_Species_Support!BY61*(S13_PSP_Species_Support!BZ61*(1-EXP(-S13_PSP_Species_Support!CA61*12))^S13_PSP_Species_Support!CB61)^2*(S13_PSP_Species_Support!CC61*(1-EXP(-S13_PSP_Species_Support!CD61*12))^S13_PSP_Species_Support!CE61))^0.976,0)+IFERROR(S13_PSP_Species_Support!CI61*0.0673*(S13_PSP_Species_Support!CJ61*(S13_PSP_Species_Support!CK61*(1-EXP(-S13_PSP_Species_Support!CL61*12))^S13_PSP_Species_Support!CM61)^2*(S13_PSP_Species_Support!CN61*(1-EXP(-S13_PSP_Species_Support!CO61*12))^S13_PSP_Species_Support!CP61))^0.976,0)+IFERROR(S13_PSP_Species_Support!CT61*0.0673*(S13_PSP_Species_Support!CU61*(S13_PSP_Species_Support!CV61*(1-EXP(-S13_PSP_Species_Support!CW61*12))^S13_PSP_Species_Support!CX61)^2*(S13_PSP_Species_Support!CY61*(1-EXP(-S13_PSP_Species_Support!CZ61*12))^S13_PSP_Species_Support!DA61))^0.976,0))/1000/$G74*U$108,0)</x:f>
        <x:v>1328.363666668075</x:v>
      </x:c>
      <x:c r="V74" s="147" t="n">
        <x:f aca="0">IFERROR((IFERROR(S13_PSP_Species_Support!U61*0.0673*(S13_PSP_Species_Support!V61*(S13_PSP_Species_Support!W61*(1-EXP(-S13_PSP_Species_Support!X61*13))^S13_PSP_Species_Support!Y61)^2*(S13_PSP_Species_Support!Z61*(1-EXP(-S13_PSP_Species_Support!AA61*13))^S13_PSP_Species_Support!AB61))^0.976,0)+IFERROR(S13_PSP_Species_Support!AF61*0.0673*(S13_PSP_Species_Support!AG61*(S13_PSP_Species_Support!AH61*(1-EXP(-S13_PSP_Species_Support!AI61*13))^S13_PSP_Species_Support!AJ61)^2*(S13_PSP_Species_Support!AK61*(1-EXP(-S13_PSP_Species_Support!AL61*13))^S13_PSP_Species_Support!AM61))^0.976,0)+IFERROR(S13_PSP_Species_Support!AQ61*0.0673*(S13_PSP_Species_Support!AR61*(S13_PSP_Species_Support!AS61*(1-EXP(-S13_PSP_Species_Support!AT61*13))^S13_PSP_Species_Support!AU61)^2*(S13_PSP_Species_Support!AV61*(1-EXP(-S13_PSP_Species_Support!AW61*13))^S13_PSP_Species_Support!AX61))^0.976,0)+IFERROR(S13_PSP_Species_Support!BB61*0.0673*(S13_PSP_Species_Support!BC61*(S13_PSP_Species_Support!BD61*(1-EXP(-S13_PSP_Species_Support!BE61*13))^S13_PSP_Species_Support!BF61)^2*(S13_PSP_Species_Support!BG61*(1-EXP(-S13_PSP_Species_Support!BH61*13))^S13_PSP_Species_Support!BI61))^0.976,0)+IFERROR(S13_PSP_Species_Support!BM61*0.0673*(S13_PSP_Species_Support!BN61*(S13_PSP_Species_Support!BO61*(1-EXP(-S13_PSP_Species_Support!BP61*13))^S13_PSP_Species_Support!BQ61)^2*(S13_PSP_Species_Support!BR61*(1-EXP(-S13_PSP_Species_Support!BS61*13))^S13_PSP_Species_Support!BT61))^0.976,0)+IFERROR(S13_PSP_Species_Support!BX61*0.0673*(S13_PSP_Species_Support!BY61*(S13_PSP_Species_Support!BZ61*(1-EXP(-S13_PSP_Species_Support!CA61*13))^S13_PSP_Species_Support!CB61)^2*(S13_PSP_Species_Support!CC61*(1-EXP(-S13_PSP_Species_Support!CD61*13))^S13_PSP_Species_Support!CE61))^0.976,0)+IFERROR(S13_PSP_Species_Support!CI61*0.0673*(S13_PSP_Species_Support!CJ61*(S13_PSP_Species_Support!CK61*(1-EXP(-S13_PSP_Species_Support!CL61*13))^S13_PSP_Species_Support!CM61)^2*(S13_PSP_Species_Support!CN61*(1-EXP(-S13_PSP_Species_Support!CO61*13))^S13_PSP_Species_Support!CP61))^0.976,0)+IFERROR(S13_PSP_Species_Support!CT61*0.0673*(S13_PSP_Species_Support!CU61*(S13_PSP_Species_Support!CV61*(1-EXP(-S13_PSP_Species_Support!CW61*13))^S13_PSP_Species_Support!CX61)^2*(S13_PSP_Species_Support!CY61*(1-EXP(-S13_PSP_Species_Support!CZ61*13))^S13_PSP_Species_Support!DA61))^0.976,0))/1000/$G74*V$108,0)</x:f>
        <x:v>1471.8326416885182</x:v>
      </x:c>
      <x:c r="W74" s="147" t="n">
        <x:f aca="0">IFERROR((IFERROR(S13_PSP_Species_Support!U61*0.0673*(S13_PSP_Species_Support!V61*(S13_PSP_Species_Support!W61*(1-EXP(-S13_PSP_Species_Support!X61*14))^S13_PSP_Species_Support!Y61)^2*(S13_PSP_Species_Support!Z61*(1-EXP(-S13_PSP_Species_Support!AA61*14))^S13_PSP_Species_Support!AB61))^0.976,0)+IFERROR(S13_PSP_Species_Support!AF61*0.0673*(S13_PSP_Species_Support!AG61*(S13_PSP_Species_Support!AH61*(1-EXP(-S13_PSP_Species_Support!AI61*14))^S13_PSP_Species_Support!AJ61)^2*(S13_PSP_Species_Support!AK61*(1-EXP(-S13_PSP_Species_Support!AL61*14))^S13_PSP_Species_Support!AM61))^0.976,0)+IFERROR(S13_PSP_Species_Support!AQ61*0.0673*(S13_PSP_Species_Support!AR61*(S13_PSP_Species_Support!AS61*(1-EXP(-S13_PSP_Species_Support!AT61*14))^S13_PSP_Species_Support!AU61)^2*(S13_PSP_Species_Support!AV61*(1-EXP(-S13_PSP_Species_Support!AW61*14))^S13_PSP_Species_Support!AX61))^0.976,0)+IFERROR(S13_PSP_Species_Support!BB61*0.0673*(S13_PSP_Species_Support!BC61*(S13_PSP_Species_Support!BD61*(1-EXP(-S13_PSP_Species_Support!BE61*14))^S13_PSP_Species_Support!BF61)^2*(S13_PSP_Species_Support!BG61*(1-EXP(-S13_PSP_Species_Support!BH61*14))^S13_PSP_Species_Support!BI61))^0.976,0)+IFERROR(S13_PSP_Species_Support!BM61*0.0673*(S13_PSP_Species_Support!BN61*(S13_PSP_Species_Support!BO61*(1-EXP(-S13_PSP_Species_Support!BP61*14))^S13_PSP_Species_Support!BQ61)^2*(S13_PSP_Species_Support!BR61*(1-EXP(-S13_PSP_Species_Support!BS61*14))^S13_PSP_Species_Support!BT61))^0.976,0)+IFERROR(S13_PSP_Species_Support!BX61*0.0673*(S13_PSP_Species_Support!BY61*(S13_PSP_Species_Support!BZ61*(1-EXP(-S13_PSP_Species_Support!CA61*14))^S13_PSP_Species_Support!CB61)^2*(S13_PSP_Species_Support!CC61*(1-EXP(-S13_PSP_Species_Support!CD61*14))^S13_PSP_Species_Support!CE61))^0.976,0)+IFERROR(S13_PSP_Species_Support!CI61*0.0673*(S13_PSP_Species_Support!CJ61*(S13_PSP_Species_Support!CK61*(1-EXP(-S13_PSP_Species_Support!CL61*14))^S13_PSP_Species_Support!CM61)^2*(S13_PSP_Species_Support!CN61*(1-EXP(-S13_PSP_Species_Support!CO61*14))^S13_PSP_Species_Support!CP61))^0.976,0)+IFERROR(S13_PSP_Species_Support!CT61*0.0673*(S13_PSP_Species_Support!CU61*(S13_PSP_Species_Support!CV61*(1-EXP(-S13_PSP_Species_Support!CW61*14))^S13_PSP_Species_Support!CX61)^2*(S13_PSP_Species_Support!CY61*(1-EXP(-S13_PSP_Species_Support!CZ61*14))^S13_PSP_Species_Support!DA61))^0.976,0))/1000/$G74*W$108,0)</x:f>
        <x:v>1604.9320123191587</x:v>
      </x:c>
      <x:c r="X74" s="147" t="n">
        <x:f aca="0">IFERROR((IFERROR(S13_PSP_Species_Support!U61*0.0673*(S13_PSP_Species_Support!V61*(S13_PSP_Species_Support!W61*(1-EXP(-S13_PSP_Species_Support!X61*15))^S13_PSP_Species_Support!Y61)^2*(S13_PSP_Species_Support!Z61*(1-EXP(-S13_PSP_Species_Support!AA61*15))^S13_PSP_Species_Support!AB61))^0.976,0)+IFERROR(S13_PSP_Species_Support!AF61*0.0673*(S13_PSP_Species_Support!AG61*(S13_PSP_Species_Support!AH61*(1-EXP(-S13_PSP_Species_Support!AI61*15))^S13_PSP_Species_Support!AJ61)^2*(S13_PSP_Species_Support!AK61*(1-EXP(-S13_PSP_Species_Support!AL61*15))^S13_PSP_Species_Support!AM61))^0.976,0)+IFERROR(S13_PSP_Species_Support!AQ61*0.0673*(S13_PSP_Species_Support!AR61*(S13_PSP_Species_Support!AS61*(1-EXP(-S13_PSP_Species_Support!AT61*15))^S13_PSP_Species_Support!AU61)^2*(S13_PSP_Species_Support!AV61*(1-EXP(-S13_PSP_Species_Support!AW61*15))^S13_PSP_Species_Support!AX61))^0.976,0)+IFERROR(S13_PSP_Species_Support!BB61*0.0673*(S13_PSP_Species_Support!BC61*(S13_PSP_Species_Support!BD61*(1-EXP(-S13_PSP_Species_Support!BE61*15))^S13_PSP_Species_Support!BF61)^2*(S13_PSP_Species_Support!BG61*(1-EXP(-S13_PSP_Species_Support!BH61*15))^S13_PSP_Species_Support!BI61))^0.976,0)+IFERROR(S13_PSP_Species_Support!BM61*0.0673*(S13_PSP_Species_Support!BN61*(S13_PSP_Species_Support!BO61*(1-EXP(-S13_PSP_Species_Support!BP61*15))^S13_PSP_Species_Support!BQ61)^2*(S13_PSP_Species_Support!BR61*(1-EXP(-S13_PSP_Species_Support!BS61*15))^S13_PSP_Species_Support!BT61))^0.976,0)+IFERROR(S13_PSP_Species_Support!BX61*0.0673*(S13_PSP_Species_Support!BY61*(S13_PSP_Species_Support!BZ61*(1-EXP(-S13_PSP_Species_Support!CA61*15))^S13_PSP_Species_Support!CB61)^2*(S13_PSP_Species_Support!CC61*(1-EXP(-S13_PSP_Species_Support!CD61*15))^S13_PSP_Species_Support!CE61))^0.976,0)+IFERROR(S13_PSP_Species_Support!CI61*0.0673*(S13_PSP_Species_Support!CJ61*(S13_PSP_Species_Support!CK61*(1-EXP(-S13_PSP_Species_Support!CL61*15))^S13_PSP_Species_Support!CM61)^2*(S13_PSP_Species_Support!CN61*(1-EXP(-S13_PSP_Species_Support!CO61*15))^S13_PSP_Species_Support!CP61))^0.976,0)+IFERROR(S13_PSP_Species_Support!CT61*0.0673*(S13_PSP_Species_Support!CU61*(S13_PSP_Species_Support!CV61*(1-EXP(-S13_PSP_Species_Support!CW61*15))^S13_PSP_Species_Support!CX61)^2*(S13_PSP_Species_Support!CY61*(1-EXP(-S13_PSP_Species_Support!CZ61*15))^S13_PSP_Species_Support!DA61))^0.976,0))/1000/$G74*X$108,0)</x:f>
        <x:v>1727.199595990659</x:v>
      </x:c>
      <x:c r="Y74" s="147" t="n">
        <x:f aca="0">IFERROR((IFERROR(S13_PSP_Species_Support!U61*0.0673*(S13_PSP_Species_Support!V61*(S13_PSP_Species_Support!W61*(1-EXP(-S13_PSP_Species_Support!X61*16))^S13_PSP_Species_Support!Y61)^2*(S13_PSP_Species_Support!Z61*(1-EXP(-S13_PSP_Species_Support!AA61*16))^S13_PSP_Species_Support!AB61))^0.976,0)+IFERROR(S13_PSP_Species_Support!AF61*0.0673*(S13_PSP_Species_Support!AG61*(S13_PSP_Species_Support!AH61*(1-EXP(-S13_PSP_Species_Support!AI61*16))^S13_PSP_Species_Support!AJ61)^2*(S13_PSP_Species_Support!AK61*(1-EXP(-S13_PSP_Species_Support!AL61*16))^S13_PSP_Species_Support!AM61))^0.976,0)+IFERROR(S13_PSP_Species_Support!AQ61*0.0673*(S13_PSP_Species_Support!AR61*(S13_PSP_Species_Support!AS61*(1-EXP(-S13_PSP_Species_Support!AT61*16))^S13_PSP_Species_Support!AU61)^2*(S13_PSP_Species_Support!AV61*(1-EXP(-S13_PSP_Species_Support!AW61*16))^S13_PSP_Species_Support!AX61))^0.976,0)+IFERROR(S13_PSP_Species_Support!BB61*0.0673*(S13_PSP_Species_Support!BC61*(S13_PSP_Species_Support!BD61*(1-EXP(-S13_PSP_Species_Support!BE61*16))^S13_PSP_Species_Support!BF61)^2*(S13_PSP_Species_Support!BG61*(1-EXP(-S13_PSP_Species_Support!BH61*16))^S13_PSP_Species_Support!BI61))^0.976,0)+IFERROR(S13_PSP_Species_Support!BM61*0.0673*(S13_PSP_Species_Support!BN61*(S13_PSP_Species_Support!BO61*(1-EXP(-S13_PSP_Species_Support!BP61*16))^S13_PSP_Species_Support!BQ61)^2*(S13_PSP_Species_Support!BR61*(1-EXP(-S13_PSP_Species_Support!BS61*16))^S13_PSP_Species_Support!BT61))^0.976,0)+IFERROR(S13_PSP_Species_Support!BX61*0.0673*(S13_PSP_Species_Support!BY61*(S13_PSP_Species_Support!BZ61*(1-EXP(-S13_PSP_Species_Support!CA61*16))^S13_PSP_Species_Support!CB61)^2*(S13_PSP_Species_Support!CC61*(1-EXP(-S13_PSP_Species_Support!CD61*16))^S13_PSP_Species_Support!CE61))^0.976,0)+IFERROR(S13_PSP_Species_Support!CI61*0.0673*(S13_PSP_Species_Support!CJ61*(S13_PSP_Species_Support!CK61*(1-EXP(-S13_PSP_Species_Support!CL61*16))^S13_PSP_Species_Support!CM61)^2*(S13_PSP_Species_Support!CN61*(1-EXP(-S13_PSP_Species_Support!CO61*16))^S13_PSP_Species_Support!CP61))^0.976,0)+IFERROR(S13_PSP_Species_Support!CT61*0.0673*(S13_PSP_Species_Support!CU61*(S13_PSP_Species_Support!CV61*(1-EXP(-S13_PSP_Species_Support!CW61*16))^S13_PSP_Species_Support!CX61)^2*(S13_PSP_Species_Support!CY61*(1-EXP(-S13_PSP_Species_Support!CZ61*16))^S13_PSP_Species_Support!DA61))^0.976,0))/1000/$G74*Y$108,0)</x:f>
        <x:v>1838.6159137352906</x:v>
      </x:c>
      <x:c r="Z74" s="147" t="n">
        <x:f aca="0">IFERROR((IFERROR(S13_PSP_Species_Support!U61*0.0673*(S13_PSP_Species_Support!V61*(S13_PSP_Species_Support!W61*(1-EXP(-S13_PSP_Species_Support!X61*17))^S13_PSP_Species_Support!Y61)^2*(S13_PSP_Species_Support!Z61*(1-EXP(-S13_PSP_Species_Support!AA61*17))^S13_PSP_Species_Support!AB61))^0.976,0)+IFERROR(S13_PSP_Species_Support!AF61*0.0673*(S13_PSP_Species_Support!AG61*(S13_PSP_Species_Support!AH61*(1-EXP(-S13_PSP_Species_Support!AI61*17))^S13_PSP_Species_Support!AJ61)^2*(S13_PSP_Species_Support!AK61*(1-EXP(-S13_PSP_Species_Support!AL61*17))^S13_PSP_Species_Support!AM61))^0.976,0)+IFERROR(S13_PSP_Species_Support!AQ61*0.0673*(S13_PSP_Species_Support!AR61*(S13_PSP_Species_Support!AS61*(1-EXP(-S13_PSP_Species_Support!AT61*17))^S13_PSP_Species_Support!AU61)^2*(S13_PSP_Species_Support!AV61*(1-EXP(-S13_PSP_Species_Support!AW61*17))^S13_PSP_Species_Support!AX61))^0.976,0)+IFERROR(S13_PSP_Species_Support!BB61*0.0673*(S13_PSP_Species_Support!BC61*(S13_PSP_Species_Support!BD61*(1-EXP(-S13_PSP_Species_Support!BE61*17))^S13_PSP_Species_Support!BF61)^2*(S13_PSP_Species_Support!BG61*(1-EXP(-S13_PSP_Species_Support!BH61*17))^S13_PSP_Species_Support!BI61))^0.976,0)+IFERROR(S13_PSP_Species_Support!BM61*0.0673*(S13_PSP_Species_Support!BN61*(S13_PSP_Species_Support!BO61*(1-EXP(-S13_PSP_Species_Support!BP61*17))^S13_PSP_Species_Support!BQ61)^2*(S13_PSP_Species_Support!BR61*(1-EXP(-S13_PSP_Species_Support!BS61*17))^S13_PSP_Species_Support!BT61))^0.976,0)+IFERROR(S13_PSP_Species_Support!BX61*0.0673*(S13_PSP_Species_Support!BY61*(S13_PSP_Species_Support!BZ61*(1-EXP(-S13_PSP_Species_Support!CA61*17))^S13_PSP_Species_Support!CB61)^2*(S13_PSP_Species_Support!CC61*(1-EXP(-S13_PSP_Species_Support!CD61*17))^S13_PSP_Species_Support!CE61))^0.976,0)+IFERROR(S13_PSP_Species_Support!CI61*0.0673*(S13_PSP_Species_Support!CJ61*(S13_PSP_Species_Support!CK61*(1-EXP(-S13_PSP_Species_Support!CL61*17))^S13_PSP_Species_Support!CM61)^2*(S13_PSP_Species_Support!CN61*(1-EXP(-S13_PSP_Species_Support!CO61*17))^S13_PSP_Species_Support!CP61))^0.976,0)+IFERROR(S13_PSP_Species_Support!CT61*0.0673*(S13_PSP_Species_Support!CU61*(S13_PSP_Species_Support!CV61*(1-EXP(-S13_PSP_Species_Support!CW61*17))^S13_PSP_Species_Support!CX61)^2*(S13_PSP_Species_Support!CY61*(1-EXP(-S13_PSP_Species_Support!CZ61*17))^S13_PSP_Species_Support!DA61))^0.976,0))/1000/$G74*Z$108,0)</x:f>
        <x:v>1939.474204975446</x:v>
      </x:c>
      <x:c r="AA74" s="147" t="n">
        <x:f aca="0">IFERROR((IFERROR(S13_PSP_Species_Support!U61*0.0673*(S13_PSP_Species_Support!V61*(S13_PSP_Species_Support!W61*(1-EXP(-S13_PSP_Species_Support!X61*18))^S13_PSP_Species_Support!Y61)^2*(S13_PSP_Species_Support!Z61*(1-EXP(-S13_PSP_Species_Support!AA61*18))^S13_PSP_Species_Support!AB61))^0.976,0)+IFERROR(S13_PSP_Species_Support!AF61*0.0673*(S13_PSP_Species_Support!AG61*(S13_PSP_Species_Support!AH61*(1-EXP(-S13_PSP_Species_Support!AI61*18))^S13_PSP_Species_Support!AJ61)^2*(S13_PSP_Species_Support!AK61*(1-EXP(-S13_PSP_Species_Support!AL61*18))^S13_PSP_Species_Support!AM61))^0.976,0)+IFERROR(S13_PSP_Species_Support!AQ61*0.0673*(S13_PSP_Species_Support!AR61*(S13_PSP_Species_Support!AS61*(1-EXP(-S13_PSP_Species_Support!AT61*18))^S13_PSP_Species_Support!AU61)^2*(S13_PSP_Species_Support!AV61*(1-EXP(-S13_PSP_Species_Support!AW61*18))^S13_PSP_Species_Support!AX61))^0.976,0)+IFERROR(S13_PSP_Species_Support!BB61*0.0673*(S13_PSP_Species_Support!BC61*(S13_PSP_Species_Support!BD61*(1-EXP(-S13_PSP_Species_Support!BE61*18))^S13_PSP_Species_Support!BF61)^2*(S13_PSP_Species_Support!BG61*(1-EXP(-S13_PSP_Species_Support!BH61*18))^S13_PSP_Species_Support!BI61))^0.976,0)+IFERROR(S13_PSP_Species_Support!BM61*0.0673*(S13_PSP_Species_Support!BN61*(S13_PSP_Species_Support!BO61*(1-EXP(-S13_PSP_Species_Support!BP61*18))^S13_PSP_Species_Support!BQ61)^2*(S13_PSP_Species_Support!BR61*(1-EXP(-S13_PSP_Species_Support!BS61*18))^S13_PSP_Species_Support!BT61))^0.976,0)+IFERROR(S13_PSP_Species_Support!BX61*0.0673*(S13_PSP_Species_Support!BY61*(S13_PSP_Species_Support!BZ61*(1-EXP(-S13_PSP_Species_Support!CA61*18))^S13_PSP_Species_Support!CB61)^2*(S13_PSP_Species_Support!CC61*(1-EXP(-S13_PSP_Species_Support!CD61*18))^S13_PSP_Species_Support!CE61))^0.976,0)+IFERROR(S13_PSP_Species_Support!CI61*0.0673*(S13_PSP_Species_Support!CJ61*(S13_PSP_Species_Support!CK61*(1-EXP(-S13_PSP_Species_Support!CL61*18))^S13_PSP_Species_Support!CM61)^2*(S13_PSP_Species_Support!CN61*(1-EXP(-S13_PSP_Species_Support!CO61*18))^S13_PSP_Species_Support!CP61))^0.976,0)+IFERROR(S13_PSP_Species_Support!CT61*0.0673*(S13_PSP_Species_Support!CU61*(S13_PSP_Species_Support!CV61*(1-EXP(-S13_PSP_Species_Support!CW61*18))^S13_PSP_Species_Support!CX61)^2*(S13_PSP_Species_Support!CY61*(1-EXP(-S13_PSP_Species_Support!CZ61*18))^S13_PSP_Species_Support!DA61))^0.976,0))/1000/$G74*AA$108,0)</x:f>
        <x:v>2030.2772246925522</x:v>
      </x:c>
      <x:c r="AB74" s="147" t="n">
        <x:f aca="0">IFERROR((IFERROR(S13_PSP_Species_Support!U61*0.0673*(S13_PSP_Species_Support!V61*(S13_PSP_Species_Support!W61*(1-EXP(-S13_PSP_Species_Support!X61*19))^S13_PSP_Species_Support!Y61)^2*(S13_PSP_Species_Support!Z61*(1-EXP(-S13_PSP_Species_Support!AA61*19))^S13_PSP_Species_Support!AB61))^0.976,0)+IFERROR(S13_PSP_Species_Support!AF61*0.0673*(S13_PSP_Species_Support!AG61*(S13_PSP_Species_Support!AH61*(1-EXP(-S13_PSP_Species_Support!AI61*19))^S13_PSP_Species_Support!AJ61)^2*(S13_PSP_Species_Support!AK61*(1-EXP(-S13_PSP_Species_Support!AL61*19))^S13_PSP_Species_Support!AM61))^0.976,0)+IFERROR(S13_PSP_Species_Support!AQ61*0.0673*(S13_PSP_Species_Support!AR61*(S13_PSP_Species_Support!AS61*(1-EXP(-S13_PSP_Species_Support!AT61*19))^S13_PSP_Species_Support!AU61)^2*(S13_PSP_Species_Support!AV61*(1-EXP(-S13_PSP_Species_Support!AW61*19))^S13_PSP_Species_Support!AX61))^0.976,0)+IFERROR(S13_PSP_Species_Support!BB61*0.0673*(S13_PSP_Species_Support!BC61*(S13_PSP_Species_Support!BD61*(1-EXP(-S13_PSP_Species_Support!BE61*19))^S13_PSP_Species_Support!BF61)^2*(S13_PSP_Species_Support!BG61*(1-EXP(-S13_PSP_Species_Support!BH61*19))^S13_PSP_Species_Support!BI61))^0.976,0)+IFERROR(S13_PSP_Species_Support!BM61*0.0673*(S13_PSP_Species_Support!BN61*(S13_PSP_Species_Support!BO61*(1-EXP(-S13_PSP_Species_Support!BP61*19))^S13_PSP_Species_Support!BQ61)^2*(S13_PSP_Species_Support!BR61*(1-EXP(-S13_PSP_Species_Support!BS61*19))^S13_PSP_Species_Support!BT61))^0.976,0)+IFERROR(S13_PSP_Species_Support!BX61*0.0673*(S13_PSP_Species_Support!BY61*(S13_PSP_Species_Support!BZ61*(1-EXP(-S13_PSP_Species_Support!CA61*19))^S13_PSP_Species_Support!CB61)^2*(S13_PSP_Species_Support!CC61*(1-EXP(-S13_PSP_Species_Support!CD61*19))^S13_PSP_Species_Support!CE61))^0.976,0)+IFERROR(S13_PSP_Species_Support!CI61*0.0673*(S13_PSP_Species_Support!CJ61*(S13_PSP_Species_Support!CK61*(1-EXP(-S13_PSP_Species_Support!CL61*19))^S13_PSP_Species_Support!CM61)^2*(S13_PSP_Species_Support!CN61*(1-EXP(-S13_PSP_Species_Support!CO61*19))^S13_PSP_Species_Support!CP61))^0.976,0)+IFERROR(S13_PSP_Species_Support!CT61*0.0673*(S13_PSP_Species_Support!CU61*(S13_PSP_Species_Support!CV61*(1-EXP(-S13_PSP_Species_Support!CW61*19))^S13_PSP_Species_Support!CX61)^2*(S13_PSP_Species_Support!CY61*(1-EXP(-S13_PSP_Species_Support!CZ61*19))^S13_PSP_Species_Support!DA61))^0.976,0))/1000/$G74*AB$108,0)</x:f>
        <x:v>2111.6578234453295</x:v>
      </x:c>
      <x:c r="AC74" s="147" t="n">
        <x:f aca="0">IFERROR((IFERROR(S13_PSP_Species_Support!U61*0.0673*(S13_PSP_Species_Support!V61*(S13_PSP_Species_Support!W61*(1-EXP(-S13_PSP_Species_Support!X61*20))^S13_PSP_Species_Support!Y61)^2*(S13_PSP_Species_Support!Z61*(1-EXP(-S13_PSP_Species_Support!AA61*20))^S13_PSP_Species_Support!AB61))^0.976,0)+IFERROR(S13_PSP_Species_Support!AF61*0.0673*(S13_PSP_Species_Support!AG61*(S13_PSP_Species_Support!AH61*(1-EXP(-S13_PSP_Species_Support!AI61*20))^S13_PSP_Species_Support!AJ61)^2*(S13_PSP_Species_Support!AK61*(1-EXP(-S13_PSP_Species_Support!AL61*20))^S13_PSP_Species_Support!AM61))^0.976,0)+IFERROR(S13_PSP_Species_Support!AQ61*0.0673*(S13_PSP_Species_Support!AR61*(S13_PSP_Species_Support!AS61*(1-EXP(-S13_PSP_Species_Support!AT61*20))^S13_PSP_Species_Support!AU61)^2*(S13_PSP_Species_Support!AV61*(1-EXP(-S13_PSP_Species_Support!AW61*20))^S13_PSP_Species_Support!AX61))^0.976,0)+IFERROR(S13_PSP_Species_Support!BB61*0.0673*(S13_PSP_Species_Support!BC61*(S13_PSP_Species_Support!BD61*(1-EXP(-S13_PSP_Species_Support!BE61*20))^S13_PSP_Species_Support!BF61)^2*(S13_PSP_Species_Support!BG61*(1-EXP(-S13_PSP_Species_Support!BH61*20))^S13_PSP_Species_Support!BI61))^0.976,0)+IFERROR(S13_PSP_Species_Support!BM61*0.0673*(S13_PSP_Species_Support!BN61*(S13_PSP_Species_Support!BO61*(1-EXP(-S13_PSP_Species_Support!BP61*20))^S13_PSP_Species_Support!BQ61)^2*(S13_PSP_Species_Support!BR61*(1-EXP(-S13_PSP_Species_Support!BS61*20))^S13_PSP_Species_Support!BT61))^0.976,0)+IFERROR(S13_PSP_Species_Support!BX61*0.0673*(S13_PSP_Species_Support!BY61*(S13_PSP_Species_Support!BZ61*(1-EXP(-S13_PSP_Species_Support!CA61*20))^S13_PSP_Species_Support!CB61)^2*(S13_PSP_Species_Support!CC61*(1-EXP(-S13_PSP_Species_Support!CD61*20))^S13_PSP_Species_Support!CE61))^0.976,0)+IFERROR(S13_PSP_Species_Support!CI61*0.0673*(S13_PSP_Species_Support!CJ61*(S13_PSP_Species_Support!CK61*(1-EXP(-S13_PSP_Species_Support!CL61*20))^S13_PSP_Species_Support!CM61)^2*(S13_PSP_Species_Support!CN61*(1-EXP(-S13_PSP_Species_Support!CO61*20))^S13_PSP_Species_Support!CP61))^0.976,0)+IFERROR(S13_PSP_Species_Support!CT61*0.0673*(S13_PSP_Species_Support!CU61*(S13_PSP_Species_Support!CV61*(1-EXP(-S13_PSP_Species_Support!CW61*20))^S13_PSP_Species_Support!CX61)^2*(S13_PSP_Species_Support!CY61*(1-EXP(-S13_PSP_Species_Support!CZ61*20))^S13_PSP_Species_Support!DA61))^0.976,0))/1000/$G74*AC$108,0)</x:f>
        <x:v>2184.319521454614</x:v>
      </x:c>
      <x:c r="AD74" s="148" t="n">
        <x:f aca="0">IF(2020&lt;$F74,0,INDEX($I74:$AC74,1,2020-$F74+1))</x:f>
        <x:v>0</x:v>
      </x:c>
      <x:c r="AE74" s="148" t="n">
        <x:f aca="0">IF(2021&lt;$F74,0,INDEX($I74:$AC74,1,2021-$F74+1))</x:f>
        <x:v>1.7593813056322682</x:v>
      </x:c>
      <x:c r="AF74" s="148" t="n">
        <x:f aca="0">IF(2022&lt;$F74,0,INDEX($I74:$AC74,1,2022-$F74+1))</x:f>
        <x:v>17.45111508839415</x:v>
      </x:c>
      <x:c r="AG74" s="148" t="n">
        <x:f aca="0">IF(2023&lt;$F74,0,INDEX($I74:$AC74,1,2023-$F74+1))</x:f>
        <x:v>60.05997874149181</x:v>
      </x:c>
      <x:c r="AH74" s="148" t="n">
        <x:f aca="0">IF(2024&lt;$F74,0,INDEX($I74:$AC74,1,2024-$F74+1))</x:f>
        <x:v>135.45611839410998</x:v>
      </x:c>
      <x:c r="AI74" s="148" t="n">
        <x:f aca="0">IF(2025&lt;$F74,0,INDEX($I74:$AC74,1,2025-$F74+1))</x:f>
        <x:v>241.90407989553515</x:v>
      </x:c>
      <x:c r="AJ74" s="148" t="n">
        <x:f aca="0">IF(2026&lt;$F74,0,INDEX($I74:$AC74,1,2026-$F74+1))</x:f>
        <x:v>373.78374722623164</x:v>
      </x:c>
      <x:c r="AK74" s="148" t="n">
        <x:f aca="0">IF(2027&lt;$F74,0,INDEX($I74:$AC74,1,2027-$F74+1))</x:f>
        <x:v>523.8646633046548</x:v>
      </x:c>
      <x:c r="AL74" s="148" t="n">
        <x:f aca="0">IF(2028&lt;$F74,0,INDEX($I74:$AC74,1,2028-$F74+1))</x:f>
        <x:v>684.8953392470456</x:v>
      </x:c>
      <x:c r="AM74" s="148" t="n">
        <x:f aca="0">IF(2029&lt;$F74,0,INDEX($I74:$AC74,1,2029-$F74+1))</x:f>
        <x:v>850.4622470059086</x:v>
      </x:c>
      <x:c r="AN74" s="148" t="n">
        <x:f aca="0">IF(2030&lt;$F74,0,INDEX($I74:$AC74,1,2030-$F74+1))</x:f>
        <x:v>1015.3479958435984</x:v>
      </x:c>
      <x:c r="AO74" s="148" t="n">
        <x:f aca="0">IF(2031&lt;$F74,0,INDEX($I74:$AC74,1,2031-$F74+1))</x:f>
        <x:v>1175.5875139286659</x:v>
      </x:c>
      <x:c r="AP74" s="148" t="n">
        <x:f aca="0">IF(2032&lt;$F74,0,INDEX($I74:$AC74,1,2032-$F74+1))</x:f>
        <x:v>1328.363666668075</x:v>
      </x:c>
      <x:c r="AQ74" s="148" t="n">
        <x:f aca="0">IF(2033&lt;$F74,0,INDEX($I74:$AC74,1,2033-$F74+1))</x:f>
        <x:v>1471.8326416885182</x:v>
      </x:c>
      <x:c r="AR74" s="148" t="n">
        <x:f aca="0">IF(2034&lt;$F74,0,INDEX($I74:$AC74,1,2034-$F74+1))</x:f>
        <x:v>1604.9320123191587</x:v>
      </x:c>
      <x:c r="AS74" s="148" t="n">
        <x:f aca="0">IF(2035&lt;$F74,0,INDEX($I74:$AC74,1,2035-$F74+1))</x:f>
        <x:v>1727.199595990659</x:v>
      </x:c>
      <x:c r="AT74" s="148" t="n">
        <x:f aca="0">IF(2036&lt;$F74,0,INDEX($I74:$AC74,1,2036-$F74+1))</x:f>
        <x:v>1838.6159137352906</x:v>
      </x:c>
      <x:c r="AU74" s="148" t="n">
        <x:f aca="0">IF(2037&lt;$F74,0,INDEX($I74:$AC74,1,2037-$F74+1))</x:f>
        <x:v>1939.474204975446</x:v>
      </x:c>
      <x:c r="AV74" s="148" t="n">
        <x:f aca="0">IF(2038&lt;$F74,0,INDEX($I74:$AC74,1,2038-$F74+1))</x:f>
        <x:v>2030.2772246925522</x:v>
      </x:c>
      <x:c r="AW74" s="148" t="n">
        <x:f aca="0">IF(2039&lt;$F74,0,INDEX($I74:$AC74,1,2039-$F74+1))</x:f>
        <x:v>2111.6578234453295</x:v>
      </x:c>
      <x:c r="AX74" s="148" t="n">
        <x:f aca="0">IF(2040&lt;$F74,0,INDEX($I74:$AC74,1,2040-$F74+1))</x:f>
        <x:v>2184.319521454614</x:v>
      </x:c>
      <x:c r="AY74" s="1" t="str">
        <x:f aca="0">LEFT($C74,FIND("@",SUBSTITUTE($C74,"|","@",2))-1)</x:f>
        <x:v>Timber Plantation|Medium</x:v>
      </x:c>
      <x:c r="AZ74" s="1" t="str">
        <x:f aca="0">LEFT($C74,FIND("|",$C74)-1)</x:f>
        <x:v>Timber Plantation</x:v>
      </x:c>
      <x:c r="BA74" s="149" t="n">
        <x:f aca="0">I74*I74</x:f>
        <x:v>0</x:v>
      </x:c>
      <x:c r="BB74" s="149" t="n">
        <x:f aca="0">J74*J74</x:f>
        <x:v>3.095422578608305</x:v>
      </x:c>
      <x:c r="BC74" s="149" t="n">
        <x:f aca="0">K74*K74</x:f>
        <x:v>304.541417828378</x:v>
      </x:c>
      <x:c r="BD74" s="149" t="n">
        <x:f aca="0">L74*L74</x:f>
        <x:v>3607.201046428448</x:v>
      </x:c>
      <x:c r="BE74" s="149" t="n">
        <x:f aca="0">M74*M74</x:f>
        <x:v>18348.36001039914</x:v>
      </x:c>
      <x:c r="BF74" s="149" t="n">
        <x:f aca="0">N74*N74</x:f>
        <x:v>58517.58387010545</x:v>
      </x:c>
      <x:c r="BG74" s="149" t="n">
        <x:f aca="0">O74*O74</x:f>
        <x:v>139714.28969048342</x:v>
      </x:c>
      <x:c r="BH74" s="149" t="n">
        <x:f aca="0">P74*P74</x:f>
        <x:v>274434.1854592993</x:v>
      </x:c>
      <x:c r="BI74" s="149" t="n">
        <x:f aca="0">Q74*Q74</x:f>
        <x:v>469081.6257223257</x:v>
      </x:c>
      <x:c r="BJ74" s="149" t="n">
        <x:f aca="0">R74*R74</x:f>
        <x:v>723286.0335823391</x:v>
      </x:c>
      <x:c r="BK74" s="149" t="n">
        <x:f aca="0">S74*S74</x:f>
        <x:v>1030931.5526636118</x:v>
      </x:c>
      <x:c r="BL74" s="149" t="n">
        <x:f aca="0">T74*T74</x:f>
        <x:v>1382006.0029049811</x:v>
      </x:c>
      <x:c r="BM74" s="149" t="n">
        <x:f aca="0">U74*U74</x:f>
        <x:v>1764550.0309238527</x:v>
      </x:c>
      <x:c r="BN74" s="149" t="n">
        <x:f aca="0">V74*V74</x:f>
        <x:v>2166291.325139802</x:v>
      </x:c>
      <x:c r="BO74" s="149" t="n">
        <x:f aca="0">W74*W74</x:f>
        <x:v>2575806.764166824</x:v>
      </x:c>
      <x:c r="BP74" s="149" t="n">
        <x:f aca="0">X74*X74</x:f>
        <x:v>2983218.4443902955</x:v>
      </x:c>
      <x:c r="BQ74" s="149" t="n">
        <x:f aca="0">Y74*Y74</x:f>
        <x:v>3380508.4782406576</x:v>
      </x:c>
      <x:c r="BR74" s="149" t="n">
        <x:f aca="0">Z74*Z74</x:f>
        <x:v>3761560.191765138</x:v>
      </x:c>
      <x:c r="BS74" s="149" t="n">
        <x:f aca="0">AA74*AA74</x:f>
        <x:v>4122025.6091052922</x:v>
      </x:c>
      <x:c r="BT74" s="149" t="n">
        <x:f aca="0">AB74*AB74</x:f>
        <x:v>4459098.763317866</x:v>
      </x:c>
      <x:c r="BU74" s="149" t="n">
        <x:f aca="0">AC74*AC74</x:f>
        <x:v>4771251.771807714</x:v>
      </x:c>
    </x:row>
    <x:row r="75" ht="15" hidden="0" customHeight="1">
      <x:c r="A75" s="1" t="str">
        <x:f aca="0">S13_PSP_Species_Support!A62</x:f>
        <x:v>PSP-TP-021</x:v>
      </x:c>
      <x:c r="B75" s="1" t="n">
        <x:f aca="0">62</x:f>
        <x:v>62</x:v>
      </x:c>
      <x:c r="C75" s="1" t="str">
        <x:f aca="0">S13_PSP_Species_Support!I62</x:f>
        <x:v>Timber Plantation|Medium|2020</x:v>
      </x:c>
      <x:c r="D75" s="1" t="str">
        <x:f aca="0">S13_PSP_Species_Support!C62</x:f>
        <x:v>Timber Plantation</x:v>
      </x:c>
      <x:c r="E75" s="1" t="str">
        <x:f aca="0">S13_PSP_Species_Support!D62</x:f>
        <x:v>Medium</x:v>
      </x:c>
      <x:c r="F75" s="1" t="n">
        <x:f aca="0">S13_PSP_Species_Support!E62</x:f>
        <x:v>2020</x:v>
      </x:c>
      <x:c r="G75" s="645" t="n">
        <x:f aca="0">'S13_PSP_Species_Support'!DJ62</x:f>
        <x:v>0.09</x:v>
      </x:c>
      <x:c r="H75" s="714" t="n">
        <x:f aca="0">'S13_PSP_Species_Support'!DK62</x:f>
        <x:v>126.89460697920337</x:v>
      </x:c>
      <x:c r="I75" s="147" t="n">
        <x:f aca="0">IFERROR((IFERROR(S13_PSP_Species_Support!U62*0.0673*(S13_PSP_Species_Support!V62*(S13_PSP_Species_Support!W62*(1-EXP(-S13_PSP_Species_Support!X62*0))^S13_PSP_Species_Support!Y62)^2*(S13_PSP_Species_Support!Z62*(1-EXP(-S13_PSP_Species_Support!AA62*0))^S13_PSP_Species_Support!AB62))^0.976,0)+IFERROR(S13_PSP_Species_Support!AF62*0.0673*(S13_PSP_Species_Support!AG62*(S13_PSP_Species_Support!AH62*(1-EXP(-S13_PSP_Species_Support!AI62*0))^S13_PSP_Species_Support!AJ62)^2*(S13_PSP_Species_Support!AK62*(1-EXP(-S13_PSP_Species_Support!AL62*0))^S13_PSP_Species_Support!AM62))^0.976,0)+IFERROR(S13_PSP_Species_Support!AQ62*0.0673*(S13_PSP_Species_Support!AR62*(S13_PSP_Species_Support!AS62*(1-EXP(-S13_PSP_Species_Support!AT62*0))^S13_PSP_Species_Support!AU62)^2*(S13_PSP_Species_Support!AV62*(1-EXP(-S13_PSP_Species_Support!AW62*0))^S13_PSP_Species_Support!AX62))^0.976,0)+IFERROR(S13_PSP_Species_Support!BB62*0.0673*(S13_PSP_Species_Support!BC62*(S13_PSP_Species_Support!BD62*(1-EXP(-S13_PSP_Species_Support!BE62*0))^S13_PSP_Species_Support!BF62)^2*(S13_PSP_Species_Support!BG62*(1-EXP(-S13_PSP_Species_Support!BH62*0))^S13_PSP_Species_Support!BI62))^0.976,0)+IFERROR(S13_PSP_Species_Support!BM62*0.0673*(S13_PSP_Species_Support!BN62*(S13_PSP_Species_Support!BO62*(1-EXP(-S13_PSP_Species_Support!BP62*0))^S13_PSP_Species_Support!BQ62)^2*(S13_PSP_Species_Support!BR62*(1-EXP(-S13_PSP_Species_Support!BS62*0))^S13_PSP_Species_Support!BT62))^0.976,0)+IFERROR(S13_PSP_Species_Support!BX62*0.0673*(S13_PSP_Species_Support!BY62*(S13_PSP_Species_Support!BZ62*(1-EXP(-S13_PSP_Species_Support!CA62*0))^S13_PSP_Species_Support!CB62)^2*(S13_PSP_Species_Support!CC62*(1-EXP(-S13_PSP_Species_Support!CD62*0))^S13_PSP_Species_Support!CE62))^0.976,0)+IFERROR(S13_PSP_Species_Support!CI62*0.0673*(S13_PSP_Species_Support!CJ62*(S13_PSP_Species_Support!CK62*(1-EXP(-S13_PSP_Species_Support!CL62*0))^S13_PSP_Species_Support!CM62)^2*(S13_PSP_Species_Support!CN62*(1-EXP(-S13_PSP_Species_Support!CO62*0))^S13_PSP_Species_Support!CP62))^0.976,0)+IFERROR(S13_PSP_Species_Support!CT62*0.0673*(S13_PSP_Species_Support!CU62*(S13_PSP_Species_Support!CV62*(1-EXP(-S13_PSP_Species_Support!CW62*0))^S13_PSP_Species_Support!CX62)^2*(S13_PSP_Species_Support!CY62*(1-EXP(-S13_PSP_Species_Support!CZ62*0))^S13_PSP_Species_Support!DA62))^0.976,0))/1000/$G75*I$108,0)</x:f>
        <x:v>0</x:v>
      </x:c>
      <x:c r="J75" s="147" t="n">
        <x:f aca="0">IFERROR((IFERROR(S13_PSP_Species_Support!U62*0.0673*(S13_PSP_Species_Support!V62*(S13_PSP_Species_Support!W62*(1-EXP(-S13_PSP_Species_Support!X62*1))^S13_PSP_Species_Support!Y62)^2*(S13_PSP_Species_Support!Z62*(1-EXP(-S13_PSP_Species_Support!AA62*1))^S13_PSP_Species_Support!AB62))^0.976,0)+IFERROR(S13_PSP_Species_Support!AF62*0.0673*(S13_PSP_Species_Support!AG62*(S13_PSP_Species_Support!AH62*(1-EXP(-S13_PSP_Species_Support!AI62*1))^S13_PSP_Species_Support!AJ62)^2*(S13_PSP_Species_Support!AK62*(1-EXP(-S13_PSP_Species_Support!AL62*1))^S13_PSP_Species_Support!AM62))^0.976,0)+IFERROR(S13_PSP_Species_Support!AQ62*0.0673*(S13_PSP_Species_Support!AR62*(S13_PSP_Species_Support!AS62*(1-EXP(-S13_PSP_Species_Support!AT62*1))^S13_PSP_Species_Support!AU62)^2*(S13_PSP_Species_Support!AV62*(1-EXP(-S13_PSP_Species_Support!AW62*1))^S13_PSP_Species_Support!AX62))^0.976,0)+IFERROR(S13_PSP_Species_Support!BB62*0.0673*(S13_PSP_Species_Support!BC62*(S13_PSP_Species_Support!BD62*(1-EXP(-S13_PSP_Species_Support!BE62*1))^S13_PSP_Species_Support!BF62)^2*(S13_PSP_Species_Support!BG62*(1-EXP(-S13_PSP_Species_Support!BH62*1))^S13_PSP_Species_Support!BI62))^0.976,0)+IFERROR(S13_PSP_Species_Support!BM62*0.0673*(S13_PSP_Species_Support!BN62*(S13_PSP_Species_Support!BO62*(1-EXP(-S13_PSP_Species_Support!BP62*1))^S13_PSP_Species_Support!BQ62)^2*(S13_PSP_Species_Support!BR62*(1-EXP(-S13_PSP_Species_Support!BS62*1))^S13_PSP_Species_Support!BT62))^0.976,0)+IFERROR(S13_PSP_Species_Support!BX62*0.0673*(S13_PSP_Species_Support!BY62*(S13_PSP_Species_Support!BZ62*(1-EXP(-S13_PSP_Species_Support!CA62*1))^S13_PSP_Species_Support!CB62)^2*(S13_PSP_Species_Support!CC62*(1-EXP(-S13_PSP_Species_Support!CD62*1))^S13_PSP_Species_Support!CE62))^0.976,0)+IFERROR(S13_PSP_Species_Support!CI62*0.0673*(S13_PSP_Species_Support!CJ62*(S13_PSP_Species_Support!CK62*(1-EXP(-S13_PSP_Species_Support!CL62*1))^S13_PSP_Species_Support!CM62)^2*(S13_PSP_Species_Support!CN62*(1-EXP(-S13_PSP_Species_Support!CO62*1))^S13_PSP_Species_Support!CP62))^0.976,0)+IFERROR(S13_PSP_Species_Support!CT62*0.0673*(S13_PSP_Species_Support!CU62*(S13_PSP_Species_Support!CV62*(1-EXP(-S13_PSP_Species_Support!CW62*1))^S13_PSP_Species_Support!CX62)^2*(S13_PSP_Species_Support!CY62*(1-EXP(-S13_PSP_Species_Support!CZ62*1))^S13_PSP_Species_Support!DA62))^0.976,0))/1000/$G75*J$108,0)</x:f>
        <x:v>3.3067755327903097</x:v>
      </x:c>
      <x:c r="K75" s="147" t="n">
        <x:f aca="0">IFERROR((IFERROR(S13_PSP_Species_Support!U62*0.0673*(S13_PSP_Species_Support!V62*(S13_PSP_Species_Support!W62*(1-EXP(-S13_PSP_Species_Support!X62*2))^S13_PSP_Species_Support!Y62)^2*(S13_PSP_Species_Support!Z62*(1-EXP(-S13_PSP_Species_Support!AA62*2))^S13_PSP_Species_Support!AB62))^0.976,0)+IFERROR(S13_PSP_Species_Support!AF62*0.0673*(S13_PSP_Species_Support!AG62*(S13_PSP_Species_Support!AH62*(1-EXP(-S13_PSP_Species_Support!AI62*2))^S13_PSP_Species_Support!AJ62)^2*(S13_PSP_Species_Support!AK62*(1-EXP(-S13_PSP_Species_Support!AL62*2))^S13_PSP_Species_Support!AM62))^0.976,0)+IFERROR(S13_PSP_Species_Support!AQ62*0.0673*(S13_PSP_Species_Support!AR62*(S13_PSP_Species_Support!AS62*(1-EXP(-S13_PSP_Species_Support!AT62*2))^S13_PSP_Species_Support!AU62)^2*(S13_PSP_Species_Support!AV62*(1-EXP(-S13_PSP_Species_Support!AW62*2))^S13_PSP_Species_Support!AX62))^0.976,0)+IFERROR(S13_PSP_Species_Support!BB62*0.0673*(S13_PSP_Species_Support!BC62*(S13_PSP_Species_Support!BD62*(1-EXP(-S13_PSP_Species_Support!BE62*2))^S13_PSP_Species_Support!BF62)^2*(S13_PSP_Species_Support!BG62*(1-EXP(-S13_PSP_Species_Support!BH62*2))^S13_PSP_Species_Support!BI62))^0.976,0)+IFERROR(S13_PSP_Species_Support!BM62*0.0673*(S13_PSP_Species_Support!BN62*(S13_PSP_Species_Support!BO62*(1-EXP(-S13_PSP_Species_Support!BP62*2))^S13_PSP_Species_Support!BQ62)^2*(S13_PSP_Species_Support!BR62*(1-EXP(-S13_PSP_Species_Support!BS62*2))^S13_PSP_Species_Support!BT62))^0.976,0)+IFERROR(S13_PSP_Species_Support!BX62*0.0673*(S13_PSP_Species_Support!BY62*(S13_PSP_Species_Support!BZ62*(1-EXP(-S13_PSP_Species_Support!CA62*2))^S13_PSP_Species_Support!CB62)^2*(S13_PSP_Species_Support!CC62*(1-EXP(-S13_PSP_Species_Support!CD62*2))^S13_PSP_Species_Support!CE62))^0.976,0)+IFERROR(S13_PSP_Species_Support!CI62*0.0673*(S13_PSP_Species_Support!CJ62*(S13_PSP_Species_Support!CK62*(1-EXP(-S13_PSP_Species_Support!CL62*2))^S13_PSP_Species_Support!CM62)^2*(S13_PSP_Species_Support!CN62*(1-EXP(-S13_PSP_Species_Support!CO62*2))^S13_PSP_Species_Support!CP62))^0.976,0)+IFERROR(S13_PSP_Species_Support!CT62*0.0673*(S13_PSP_Species_Support!CU62*(S13_PSP_Species_Support!CV62*(1-EXP(-S13_PSP_Species_Support!CW62*2))^S13_PSP_Species_Support!CX62)^2*(S13_PSP_Species_Support!CY62*(1-EXP(-S13_PSP_Species_Support!CZ62*2))^S13_PSP_Species_Support!DA62))^0.976,0))/1000/$G75*K$108,0)</x:f>
        <x:v>31.19772109372534</x:v>
      </x:c>
      <x:c r="L75" s="147" t="n">
        <x:f aca="0">IFERROR((IFERROR(S13_PSP_Species_Support!U62*0.0673*(S13_PSP_Species_Support!V62*(S13_PSP_Species_Support!W62*(1-EXP(-S13_PSP_Species_Support!X62*3))^S13_PSP_Species_Support!Y62)^2*(S13_PSP_Species_Support!Z62*(1-EXP(-S13_PSP_Species_Support!AA62*3))^S13_PSP_Species_Support!AB62))^0.976,0)+IFERROR(S13_PSP_Species_Support!AF62*0.0673*(S13_PSP_Species_Support!AG62*(S13_PSP_Species_Support!AH62*(1-EXP(-S13_PSP_Species_Support!AI62*3))^S13_PSP_Species_Support!AJ62)^2*(S13_PSP_Species_Support!AK62*(1-EXP(-S13_PSP_Species_Support!AL62*3))^S13_PSP_Species_Support!AM62))^0.976,0)+IFERROR(S13_PSP_Species_Support!AQ62*0.0673*(S13_PSP_Species_Support!AR62*(S13_PSP_Species_Support!AS62*(1-EXP(-S13_PSP_Species_Support!AT62*3))^S13_PSP_Species_Support!AU62)^2*(S13_PSP_Species_Support!AV62*(1-EXP(-S13_PSP_Species_Support!AW62*3))^S13_PSP_Species_Support!AX62))^0.976,0)+IFERROR(S13_PSP_Species_Support!BB62*0.0673*(S13_PSP_Species_Support!BC62*(S13_PSP_Species_Support!BD62*(1-EXP(-S13_PSP_Species_Support!BE62*3))^S13_PSP_Species_Support!BF62)^2*(S13_PSP_Species_Support!BG62*(1-EXP(-S13_PSP_Species_Support!BH62*3))^S13_PSP_Species_Support!BI62))^0.976,0)+IFERROR(S13_PSP_Species_Support!BM62*0.0673*(S13_PSP_Species_Support!BN62*(S13_PSP_Species_Support!BO62*(1-EXP(-S13_PSP_Species_Support!BP62*3))^S13_PSP_Species_Support!BQ62)^2*(S13_PSP_Species_Support!BR62*(1-EXP(-S13_PSP_Species_Support!BS62*3))^S13_PSP_Species_Support!BT62))^0.976,0)+IFERROR(S13_PSP_Species_Support!BX62*0.0673*(S13_PSP_Species_Support!BY62*(S13_PSP_Species_Support!BZ62*(1-EXP(-S13_PSP_Species_Support!CA62*3))^S13_PSP_Species_Support!CB62)^2*(S13_PSP_Species_Support!CC62*(1-EXP(-S13_PSP_Species_Support!CD62*3))^S13_PSP_Species_Support!CE62))^0.976,0)+IFERROR(S13_PSP_Species_Support!CI62*0.0673*(S13_PSP_Species_Support!CJ62*(S13_PSP_Species_Support!CK62*(1-EXP(-S13_PSP_Species_Support!CL62*3))^S13_PSP_Species_Support!CM62)^2*(S13_PSP_Species_Support!CN62*(1-EXP(-S13_PSP_Species_Support!CO62*3))^S13_PSP_Species_Support!CP62))^0.976,0)+IFERROR(S13_PSP_Species_Support!CT62*0.0673*(S13_PSP_Species_Support!CU62*(S13_PSP_Species_Support!CV62*(1-EXP(-S13_PSP_Species_Support!CW62*3))^S13_PSP_Species_Support!CX62)^2*(S13_PSP_Species_Support!CY62*(1-EXP(-S13_PSP_Species_Support!CZ62*3))^S13_PSP_Species_Support!DA62))^0.976,0))/1000/$G75*L$108,0)</x:f>
        <x:v>103.25174938629793</x:v>
      </x:c>
      <x:c r="M75" s="147" t="n">
        <x:f aca="0">IFERROR((IFERROR(S13_PSP_Species_Support!U62*0.0673*(S13_PSP_Species_Support!V62*(S13_PSP_Species_Support!W62*(1-EXP(-S13_PSP_Species_Support!X62*4))^S13_PSP_Species_Support!Y62)^2*(S13_PSP_Species_Support!Z62*(1-EXP(-S13_PSP_Species_Support!AA62*4))^S13_PSP_Species_Support!AB62))^0.976,0)+IFERROR(S13_PSP_Species_Support!AF62*0.0673*(S13_PSP_Species_Support!AG62*(S13_PSP_Species_Support!AH62*(1-EXP(-S13_PSP_Species_Support!AI62*4))^S13_PSP_Species_Support!AJ62)^2*(S13_PSP_Species_Support!AK62*(1-EXP(-S13_PSP_Species_Support!AL62*4))^S13_PSP_Species_Support!AM62))^0.976,0)+IFERROR(S13_PSP_Species_Support!AQ62*0.0673*(S13_PSP_Species_Support!AR62*(S13_PSP_Species_Support!AS62*(1-EXP(-S13_PSP_Species_Support!AT62*4))^S13_PSP_Species_Support!AU62)^2*(S13_PSP_Species_Support!AV62*(1-EXP(-S13_PSP_Species_Support!AW62*4))^S13_PSP_Species_Support!AX62))^0.976,0)+IFERROR(S13_PSP_Species_Support!BB62*0.0673*(S13_PSP_Species_Support!BC62*(S13_PSP_Species_Support!BD62*(1-EXP(-S13_PSP_Species_Support!BE62*4))^S13_PSP_Species_Support!BF62)^2*(S13_PSP_Species_Support!BG62*(1-EXP(-S13_PSP_Species_Support!BH62*4))^S13_PSP_Species_Support!BI62))^0.976,0)+IFERROR(S13_PSP_Species_Support!BM62*0.0673*(S13_PSP_Species_Support!BN62*(S13_PSP_Species_Support!BO62*(1-EXP(-S13_PSP_Species_Support!BP62*4))^S13_PSP_Species_Support!BQ62)^2*(S13_PSP_Species_Support!BR62*(1-EXP(-S13_PSP_Species_Support!BS62*4))^S13_PSP_Species_Support!BT62))^0.976,0)+IFERROR(S13_PSP_Species_Support!BX62*0.0673*(S13_PSP_Species_Support!BY62*(S13_PSP_Species_Support!BZ62*(1-EXP(-S13_PSP_Species_Support!CA62*4))^S13_PSP_Species_Support!CB62)^2*(S13_PSP_Species_Support!CC62*(1-EXP(-S13_PSP_Species_Support!CD62*4))^S13_PSP_Species_Support!CE62))^0.976,0)+IFERROR(S13_PSP_Species_Support!CI62*0.0673*(S13_PSP_Species_Support!CJ62*(S13_PSP_Species_Support!CK62*(1-EXP(-S13_PSP_Species_Support!CL62*4))^S13_PSP_Species_Support!CM62)^2*(S13_PSP_Species_Support!CN62*(1-EXP(-S13_PSP_Species_Support!CO62*4))^S13_PSP_Species_Support!CP62))^0.976,0)+IFERROR(S13_PSP_Species_Support!CT62*0.0673*(S13_PSP_Species_Support!CU62*(S13_PSP_Species_Support!CV62*(1-EXP(-S13_PSP_Species_Support!CW62*4))^S13_PSP_Species_Support!CX62)^2*(S13_PSP_Species_Support!CY62*(1-EXP(-S13_PSP_Species_Support!CZ62*4))^S13_PSP_Species_Support!DA62))^0.976,0))/1000/$G75*M$108,0)</x:f>
        <x:v>225.06654081208143</x:v>
      </x:c>
      <x:c r="N75" s="147" t="n">
        <x:f aca="0">IFERROR((IFERROR(S13_PSP_Species_Support!U62*0.0673*(S13_PSP_Species_Support!V62*(S13_PSP_Species_Support!W62*(1-EXP(-S13_PSP_Species_Support!X62*5))^S13_PSP_Species_Support!Y62)^2*(S13_PSP_Species_Support!Z62*(1-EXP(-S13_PSP_Species_Support!AA62*5))^S13_PSP_Species_Support!AB62))^0.976,0)+IFERROR(S13_PSP_Species_Support!AF62*0.0673*(S13_PSP_Species_Support!AG62*(S13_PSP_Species_Support!AH62*(1-EXP(-S13_PSP_Species_Support!AI62*5))^S13_PSP_Species_Support!AJ62)^2*(S13_PSP_Species_Support!AK62*(1-EXP(-S13_PSP_Species_Support!AL62*5))^S13_PSP_Species_Support!AM62))^0.976,0)+IFERROR(S13_PSP_Species_Support!AQ62*0.0673*(S13_PSP_Species_Support!AR62*(S13_PSP_Species_Support!AS62*(1-EXP(-S13_PSP_Species_Support!AT62*5))^S13_PSP_Species_Support!AU62)^2*(S13_PSP_Species_Support!AV62*(1-EXP(-S13_PSP_Species_Support!AW62*5))^S13_PSP_Species_Support!AX62))^0.976,0)+IFERROR(S13_PSP_Species_Support!BB62*0.0673*(S13_PSP_Species_Support!BC62*(S13_PSP_Species_Support!BD62*(1-EXP(-S13_PSP_Species_Support!BE62*5))^S13_PSP_Species_Support!BF62)^2*(S13_PSP_Species_Support!BG62*(1-EXP(-S13_PSP_Species_Support!BH62*5))^S13_PSP_Species_Support!BI62))^0.976,0)+IFERROR(S13_PSP_Species_Support!BM62*0.0673*(S13_PSP_Species_Support!BN62*(S13_PSP_Species_Support!BO62*(1-EXP(-S13_PSP_Species_Support!BP62*5))^S13_PSP_Species_Support!BQ62)^2*(S13_PSP_Species_Support!BR62*(1-EXP(-S13_PSP_Species_Support!BS62*5))^S13_PSP_Species_Support!BT62))^0.976,0)+IFERROR(S13_PSP_Species_Support!BX62*0.0673*(S13_PSP_Species_Support!BY62*(S13_PSP_Species_Support!BZ62*(1-EXP(-S13_PSP_Species_Support!CA62*5))^S13_PSP_Species_Support!CB62)^2*(S13_PSP_Species_Support!CC62*(1-EXP(-S13_PSP_Species_Support!CD62*5))^S13_PSP_Species_Support!CE62))^0.976,0)+IFERROR(S13_PSP_Species_Support!CI62*0.0673*(S13_PSP_Species_Support!CJ62*(S13_PSP_Species_Support!CK62*(1-EXP(-S13_PSP_Species_Support!CL62*5))^S13_PSP_Species_Support!CM62)^2*(S13_PSP_Species_Support!CN62*(1-EXP(-S13_PSP_Species_Support!CO62*5))^S13_PSP_Species_Support!CP62))^0.976,0)+IFERROR(S13_PSP_Species_Support!CT62*0.0673*(S13_PSP_Species_Support!CU62*(S13_PSP_Species_Support!CV62*(1-EXP(-S13_PSP_Species_Support!CW62*5))^S13_PSP_Species_Support!CX62)^2*(S13_PSP_Species_Support!CY62*(1-EXP(-S13_PSP_Species_Support!CZ62*5))^S13_PSP_Species_Support!DA62))^0.976,0))/1000/$G75*N$108,0)</x:f>
        <x:v>389.6878440390413</x:v>
      </x:c>
      <x:c r="O75" s="147" t="n">
        <x:f aca="0">IFERROR((IFERROR(S13_PSP_Species_Support!U62*0.0673*(S13_PSP_Species_Support!V62*(S13_PSP_Species_Support!W62*(1-EXP(-S13_PSP_Species_Support!X62*6))^S13_PSP_Species_Support!Y62)^2*(S13_PSP_Species_Support!Z62*(1-EXP(-S13_PSP_Species_Support!AA62*6))^S13_PSP_Species_Support!AB62))^0.976,0)+IFERROR(S13_PSP_Species_Support!AF62*0.0673*(S13_PSP_Species_Support!AG62*(S13_PSP_Species_Support!AH62*(1-EXP(-S13_PSP_Species_Support!AI62*6))^S13_PSP_Species_Support!AJ62)^2*(S13_PSP_Species_Support!AK62*(1-EXP(-S13_PSP_Species_Support!AL62*6))^S13_PSP_Species_Support!AM62))^0.976,0)+IFERROR(S13_PSP_Species_Support!AQ62*0.0673*(S13_PSP_Species_Support!AR62*(S13_PSP_Species_Support!AS62*(1-EXP(-S13_PSP_Species_Support!AT62*6))^S13_PSP_Species_Support!AU62)^2*(S13_PSP_Species_Support!AV62*(1-EXP(-S13_PSP_Species_Support!AW62*6))^S13_PSP_Species_Support!AX62))^0.976,0)+IFERROR(S13_PSP_Species_Support!BB62*0.0673*(S13_PSP_Species_Support!BC62*(S13_PSP_Species_Support!BD62*(1-EXP(-S13_PSP_Species_Support!BE62*6))^S13_PSP_Species_Support!BF62)^2*(S13_PSP_Species_Support!BG62*(1-EXP(-S13_PSP_Species_Support!BH62*6))^S13_PSP_Species_Support!BI62))^0.976,0)+IFERROR(S13_PSP_Species_Support!BM62*0.0673*(S13_PSP_Species_Support!BN62*(S13_PSP_Species_Support!BO62*(1-EXP(-S13_PSP_Species_Support!BP62*6))^S13_PSP_Species_Support!BQ62)^2*(S13_PSP_Species_Support!BR62*(1-EXP(-S13_PSP_Species_Support!BS62*6))^S13_PSP_Species_Support!BT62))^0.976,0)+IFERROR(S13_PSP_Species_Support!BX62*0.0673*(S13_PSP_Species_Support!BY62*(S13_PSP_Species_Support!BZ62*(1-EXP(-S13_PSP_Species_Support!CA62*6))^S13_PSP_Species_Support!CB62)^2*(S13_PSP_Species_Support!CC62*(1-EXP(-S13_PSP_Species_Support!CD62*6))^S13_PSP_Species_Support!CE62))^0.976,0)+IFERROR(S13_PSP_Species_Support!CI62*0.0673*(S13_PSP_Species_Support!CJ62*(S13_PSP_Species_Support!CK62*(1-EXP(-S13_PSP_Species_Support!CL62*6))^S13_PSP_Species_Support!CM62)^2*(S13_PSP_Species_Support!CN62*(1-EXP(-S13_PSP_Species_Support!CO62*6))^S13_PSP_Species_Support!CP62))^0.976,0)+IFERROR(S13_PSP_Species_Support!CT62*0.0673*(S13_PSP_Species_Support!CU62*(S13_PSP_Species_Support!CV62*(1-EXP(-S13_PSP_Species_Support!CW62*6))^S13_PSP_Species_Support!CX62)^2*(S13_PSP_Species_Support!CY62*(1-EXP(-S13_PSP_Species_Support!CZ62*6))^S13_PSP_Species_Support!DA62))^0.976,0))/1000/$G75*O$108,0)</x:f>
        <x:v>585.1418074665485</x:v>
      </x:c>
      <x:c r="P75" s="147" t="n">
        <x:f aca="0">IFERROR((IFERROR(S13_PSP_Species_Support!U62*0.0673*(S13_PSP_Species_Support!V62*(S13_PSP_Species_Support!W62*(1-EXP(-S13_PSP_Species_Support!X62*7))^S13_PSP_Species_Support!Y62)^2*(S13_PSP_Species_Support!Z62*(1-EXP(-S13_PSP_Species_Support!AA62*7))^S13_PSP_Species_Support!AB62))^0.976,0)+IFERROR(S13_PSP_Species_Support!AF62*0.0673*(S13_PSP_Species_Support!AG62*(S13_PSP_Species_Support!AH62*(1-EXP(-S13_PSP_Species_Support!AI62*7))^S13_PSP_Species_Support!AJ62)^2*(S13_PSP_Species_Support!AK62*(1-EXP(-S13_PSP_Species_Support!AL62*7))^S13_PSP_Species_Support!AM62))^0.976,0)+IFERROR(S13_PSP_Species_Support!AQ62*0.0673*(S13_PSP_Species_Support!AR62*(S13_PSP_Species_Support!AS62*(1-EXP(-S13_PSP_Species_Support!AT62*7))^S13_PSP_Species_Support!AU62)^2*(S13_PSP_Species_Support!AV62*(1-EXP(-S13_PSP_Species_Support!AW62*7))^S13_PSP_Species_Support!AX62))^0.976,0)+IFERROR(S13_PSP_Species_Support!BB62*0.0673*(S13_PSP_Species_Support!BC62*(S13_PSP_Species_Support!BD62*(1-EXP(-S13_PSP_Species_Support!BE62*7))^S13_PSP_Species_Support!BF62)^2*(S13_PSP_Species_Support!BG62*(1-EXP(-S13_PSP_Species_Support!BH62*7))^S13_PSP_Species_Support!BI62))^0.976,0)+IFERROR(S13_PSP_Species_Support!BM62*0.0673*(S13_PSP_Species_Support!BN62*(S13_PSP_Species_Support!BO62*(1-EXP(-S13_PSP_Species_Support!BP62*7))^S13_PSP_Species_Support!BQ62)^2*(S13_PSP_Species_Support!BR62*(1-EXP(-S13_PSP_Species_Support!BS62*7))^S13_PSP_Species_Support!BT62))^0.976,0)+IFERROR(S13_PSP_Species_Support!BX62*0.0673*(S13_PSP_Species_Support!BY62*(S13_PSP_Species_Support!BZ62*(1-EXP(-S13_PSP_Species_Support!CA62*7))^S13_PSP_Species_Support!CB62)^2*(S13_PSP_Species_Support!CC62*(1-EXP(-S13_PSP_Species_Support!CD62*7))^S13_PSP_Species_Support!CE62))^0.976,0)+IFERROR(S13_PSP_Species_Support!CI62*0.0673*(S13_PSP_Species_Support!CJ62*(S13_PSP_Species_Support!CK62*(1-EXP(-S13_PSP_Species_Support!CL62*7))^S13_PSP_Species_Support!CM62)^2*(S13_PSP_Species_Support!CN62*(1-EXP(-S13_PSP_Species_Support!CO62*7))^S13_PSP_Species_Support!CP62))^0.976,0)+IFERROR(S13_PSP_Species_Support!CT62*0.0673*(S13_PSP_Species_Support!CU62*(S13_PSP_Species_Support!CV62*(1-EXP(-S13_PSP_Species_Support!CW62*7))^S13_PSP_Species_Support!CX62)^2*(S13_PSP_Species_Support!CY62*(1-EXP(-S13_PSP_Species_Support!CZ62*7))^S13_PSP_Species_Support!DA62))^0.976,0))/1000/$G75*P$108,0)</x:f>
        <x:v>798.4653572062796</x:v>
      </x:c>
      <x:c r="Q75" s="147" t="n">
        <x:f aca="0">IFERROR((IFERROR(S13_PSP_Species_Support!U62*0.0673*(S13_PSP_Species_Support!V62*(S13_PSP_Species_Support!W62*(1-EXP(-S13_PSP_Species_Support!X62*8))^S13_PSP_Species_Support!Y62)^2*(S13_PSP_Species_Support!Z62*(1-EXP(-S13_PSP_Species_Support!AA62*8))^S13_PSP_Species_Support!AB62))^0.976,0)+IFERROR(S13_PSP_Species_Support!AF62*0.0673*(S13_PSP_Species_Support!AG62*(S13_PSP_Species_Support!AH62*(1-EXP(-S13_PSP_Species_Support!AI62*8))^S13_PSP_Species_Support!AJ62)^2*(S13_PSP_Species_Support!AK62*(1-EXP(-S13_PSP_Species_Support!AL62*8))^S13_PSP_Species_Support!AM62))^0.976,0)+IFERROR(S13_PSP_Species_Support!AQ62*0.0673*(S13_PSP_Species_Support!AR62*(S13_PSP_Species_Support!AS62*(1-EXP(-S13_PSP_Species_Support!AT62*8))^S13_PSP_Species_Support!AU62)^2*(S13_PSP_Species_Support!AV62*(1-EXP(-S13_PSP_Species_Support!AW62*8))^S13_PSP_Species_Support!AX62))^0.976,0)+IFERROR(S13_PSP_Species_Support!BB62*0.0673*(S13_PSP_Species_Support!BC62*(S13_PSP_Species_Support!BD62*(1-EXP(-S13_PSP_Species_Support!BE62*8))^S13_PSP_Species_Support!BF62)^2*(S13_PSP_Species_Support!BG62*(1-EXP(-S13_PSP_Species_Support!BH62*8))^S13_PSP_Species_Support!BI62))^0.976,0)+IFERROR(S13_PSP_Species_Support!BM62*0.0673*(S13_PSP_Species_Support!BN62*(S13_PSP_Species_Support!BO62*(1-EXP(-S13_PSP_Species_Support!BP62*8))^S13_PSP_Species_Support!BQ62)^2*(S13_PSP_Species_Support!BR62*(1-EXP(-S13_PSP_Species_Support!BS62*8))^S13_PSP_Species_Support!BT62))^0.976,0)+IFERROR(S13_PSP_Species_Support!BX62*0.0673*(S13_PSP_Species_Support!BY62*(S13_PSP_Species_Support!BZ62*(1-EXP(-S13_PSP_Species_Support!CA62*8))^S13_PSP_Species_Support!CB62)^2*(S13_PSP_Species_Support!CC62*(1-EXP(-S13_PSP_Species_Support!CD62*8))^S13_PSP_Species_Support!CE62))^0.976,0)+IFERROR(S13_PSP_Species_Support!CI62*0.0673*(S13_PSP_Species_Support!CJ62*(S13_PSP_Species_Support!CK62*(1-EXP(-S13_PSP_Species_Support!CL62*8))^S13_PSP_Species_Support!CM62)^2*(S13_PSP_Species_Support!CN62*(1-EXP(-S13_PSP_Species_Support!CO62*8))^S13_PSP_Species_Support!CP62))^0.976,0)+IFERROR(S13_PSP_Species_Support!CT62*0.0673*(S13_PSP_Species_Support!CU62*(S13_PSP_Species_Support!CV62*(1-EXP(-S13_PSP_Species_Support!CW62*8))^S13_PSP_Species_Support!CX62)^2*(S13_PSP_Species_Support!CY62*(1-EXP(-S13_PSP_Species_Support!CZ62*8))^S13_PSP_Species_Support!DA62))^0.976,0))/1000/$G75*Q$108,0)</x:f>
        <x:v>1018.1005249437395</x:v>
      </x:c>
      <x:c r="R75" s="147" t="n">
        <x:f aca="0">IFERROR((IFERROR(S13_PSP_Species_Support!U62*0.0673*(S13_PSP_Species_Support!V62*(S13_PSP_Species_Support!W62*(1-EXP(-S13_PSP_Species_Support!X62*9))^S13_PSP_Species_Support!Y62)^2*(S13_PSP_Species_Support!Z62*(1-EXP(-S13_PSP_Species_Support!AA62*9))^S13_PSP_Species_Support!AB62))^0.976,0)+IFERROR(S13_PSP_Species_Support!AF62*0.0673*(S13_PSP_Species_Support!AG62*(S13_PSP_Species_Support!AH62*(1-EXP(-S13_PSP_Species_Support!AI62*9))^S13_PSP_Species_Support!AJ62)^2*(S13_PSP_Species_Support!AK62*(1-EXP(-S13_PSP_Species_Support!AL62*9))^S13_PSP_Species_Support!AM62))^0.976,0)+IFERROR(S13_PSP_Species_Support!AQ62*0.0673*(S13_PSP_Species_Support!AR62*(S13_PSP_Species_Support!AS62*(1-EXP(-S13_PSP_Species_Support!AT62*9))^S13_PSP_Species_Support!AU62)^2*(S13_PSP_Species_Support!AV62*(1-EXP(-S13_PSP_Species_Support!AW62*9))^S13_PSP_Species_Support!AX62))^0.976,0)+IFERROR(S13_PSP_Species_Support!BB62*0.0673*(S13_PSP_Species_Support!BC62*(S13_PSP_Species_Support!BD62*(1-EXP(-S13_PSP_Species_Support!BE62*9))^S13_PSP_Species_Support!BF62)^2*(S13_PSP_Species_Support!BG62*(1-EXP(-S13_PSP_Species_Support!BH62*9))^S13_PSP_Species_Support!BI62))^0.976,0)+IFERROR(S13_PSP_Species_Support!BM62*0.0673*(S13_PSP_Species_Support!BN62*(S13_PSP_Species_Support!BO62*(1-EXP(-S13_PSP_Species_Support!BP62*9))^S13_PSP_Species_Support!BQ62)^2*(S13_PSP_Species_Support!BR62*(1-EXP(-S13_PSP_Species_Support!BS62*9))^S13_PSP_Species_Support!BT62))^0.976,0)+IFERROR(S13_PSP_Species_Support!BX62*0.0673*(S13_PSP_Species_Support!BY62*(S13_PSP_Species_Support!BZ62*(1-EXP(-S13_PSP_Species_Support!CA62*9))^S13_PSP_Species_Support!CB62)^2*(S13_PSP_Species_Support!CC62*(1-EXP(-S13_PSP_Species_Support!CD62*9))^S13_PSP_Species_Support!CE62))^0.976,0)+IFERROR(S13_PSP_Species_Support!CI62*0.0673*(S13_PSP_Species_Support!CJ62*(S13_PSP_Species_Support!CK62*(1-EXP(-S13_PSP_Species_Support!CL62*9))^S13_PSP_Species_Support!CM62)^2*(S13_PSP_Species_Support!CN62*(1-EXP(-S13_PSP_Species_Support!CO62*9))^S13_PSP_Species_Support!CP62))^0.976,0)+IFERROR(S13_PSP_Species_Support!CT62*0.0673*(S13_PSP_Species_Support!CU62*(S13_PSP_Species_Support!CV62*(1-EXP(-S13_PSP_Species_Support!CW62*9))^S13_PSP_Species_Support!CX62)^2*(S13_PSP_Species_Support!CY62*(1-EXP(-S13_PSP_Species_Support!CZ62*9))^S13_PSP_Species_Support!DA62))^0.976,0))/1000/$G75*R$108,0)</x:f>
        <x:v>1234.8879960575182</x:v>
      </x:c>
      <x:c r="S75" s="147" t="n">
        <x:f aca="0">IFERROR((IFERROR(S13_PSP_Species_Support!U62*0.0673*(S13_PSP_Species_Support!V62*(S13_PSP_Species_Support!W62*(1-EXP(-S13_PSP_Species_Support!X62*10))^S13_PSP_Species_Support!Y62)^2*(S13_PSP_Species_Support!Z62*(1-EXP(-S13_PSP_Species_Support!AA62*10))^S13_PSP_Species_Support!AB62))^0.976,0)+IFERROR(S13_PSP_Species_Support!AF62*0.0673*(S13_PSP_Species_Support!AG62*(S13_PSP_Species_Support!AH62*(1-EXP(-S13_PSP_Species_Support!AI62*10))^S13_PSP_Species_Support!AJ62)^2*(S13_PSP_Species_Support!AK62*(1-EXP(-S13_PSP_Species_Support!AL62*10))^S13_PSP_Species_Support!AM62))^0.976,0)+IFERROR(S13_PSP_Species_Support!AQ62*0.0673*(S13_PSP_Species_Support!AR62*(S13_PSP_Species_Support!AS62*(1-EXP(-S13_PSP_Species_Support!AT62*10))^S13_PSP_Species_Support!AU62)^2*(S13_PSP_Species_Support!AV62*(1-EXP(-S13_PSP_Species_Support!AW62*10))^S13_PSP_Species_Support!AX62))^0.976,0)+IFERROR(S13_PSP_Species_Support!BB62*0.0673*(S13_PSP_Species_Support!BC62*(S13_PSP_Species_Support!BD62*(1-EXP(-S13_PSP_Species_Support!BE62*10))^S13_PSP_Species_Support!BF62)^2*(S13_PSP_Species_Support!BG62*(1-EXP(-S13_PSP_Species_Support!BH62*10))^S13_PSP_Species_Support!BI62))^0.976,0)+IFERROR(S13_PSP_Species_Support!BM62*0.0673*(S13_PSP_Species_Support!BN62*(S13_PSP_Species_Support!BO62*(1-EXP(-S13_PSP_Species_Support!BP62*10))^S13_PSP_Species_Support!BQ62)^2*(S13_PSP_Species_Support!BR62*(1-EXP(-S13_PSP_Species_Support!BS62*10))^S13_PSP_Species_Support!BT62))^0.976,0)+IFERROR(S13_PSP_Species_Support!BX62*0.0673*(S13_PSP_Species_Support!BY62*(S13_PSP_Species_Support!BZ62*(1-EXP(-S13_PSP_Species_Support!CA62*10))^S13_PSP_Species_Support!CB62)^2*(S13_PSP_Species_Support!CC62*(1-EXP(-S13_PSP_Species_Support!CD62*10))^S13_PSP_Species_Support!CE62))^0.976,0)+IFERROR(S13_PSP_Species_Support!CI62*0.0673*(S13_PSP_Species_Support!CJ62*(S13_PSP_Species_Support!CK62*(1-EXP(-S13_PSP_Species_Support!CL62*10))^S13_PSP_Species_Support!CM62)^2*(S13_PSP_Species_Support!CN62*(1-EXP(-S13_PSP_Species_Support!CO62*10))^S13_PSP_Species_Support!CP62))^0.976,0)+IFERROR(S13_PSP_Species_Support!CT62*0.0673*(S13_PSP_Species_Support!CU62*(S13_PSP_Species_Support!CV62*(1-EXP(-S13_PSP_Species_Support!CW62*10))^S13_PSP_Species_Support!CX62)^2*(S13_PSP_Species_Support!CY62*(1-EXP(-S13_PSP_Species_Support!CZ62*10))^S13_PSP_Species_Support!DA62))^0.976,0))/1000/$G75*S$108,0)</x:f>
        <x:v>1442.226179889266</x:v>
      </x:c>
      <x:c r="T75" s="147" t="n">
        <x:f aca="0">IFERROR((IFERROR(S13_PSP_Species_Support!U62*0.0673*(S13_PSP_Species_Support!V62*(S13_PSP_Species_Support!W62*(1-EXP(-S13_PSP_Species_Support!X62*11))^S13_PSP_Species_Support!Y62)^2*(S13_PSP_Species_Support!Z62*(1-EXP(-S13_PSP_Species_Support!AA62*11))^S13_PSP_Species_Support!AB62))^0.976,0)+IFERROR(S13_PSP_Species_Support!AF62*0.0673*(S13_PSP_Species_Support!AG62*(S13_PSP_Species_Support!AH62*(1-EXP(-S13_PSP_Species_Support!AI62*11))^S13_PSP_Species_Support!AJ62)^2*(S13_PSP_Species_Support!AK62*(1-EXP(-S13_PSP_Species_Support!AL62*11))^S13_PSP_Species_Support!AM62))^0.976,0)+IFERROR(S13_PSP_Species_Support!AQ62*0.0673*(S13_PSP_Species_Support!AR62*(S13_PSP_Species_Support!AS62*(1-EXP(-S13_PSP_Species_Support!AT62*11))^S13_PSP_Species_Support!AU62)^2*(S13_PSP_Species_Support!AV62*(1-EXP(-S13_PSP_Species_Support!AW62*11))^S13_PSP_Species_Support!AX62))^0.976,0)+IFERROR(S13_PSP_Species_Support!BB62*0.0673*(S13_PSP_Species_Support!BC62*(S13_PSP_Species_Support!BD62*(1-EXP(-S13_PSP_Species_Support!BE62*11))^S13_PSP_Species_Support!BF62)^2*(S13_PSP_Species_Support!BG62*(1-EXP(-S13_PSP_Species_Support!BH62*11))^S13_PSP_Species_Support!BI62))^0.976,0)+IFERROR(S13_PSP_Species_Support!BM62*0.0673*(S13_PSP_Species_Support!BN62*(S13_PSP_Species_Support!BO62*(1-EXP(-S13_PSP_Species_Support!BP62*11))^S13_PSP_Species_Support!BQ62)^2*(S13_PSP_Species_Support!BR62*(1-EXP(-S13_PSP_Species_Support!BS62*11))^S13_PSP_Species_Support!BT62))^0.976,0)+IFERROR(S13_PSP_Species_Support!BX62*0.0673*(S13_PSP_Species_Support!BY62*(S13_PSP_Species_Support!BZ62*(1-EXP(-S13_PSP_Species_Support!CA62*11))^S13_PSP_Species_Support!CB62)^2*(S13_PSP_Species_Support!CC62*(1-EXP(-S13_PSP_Species_Support!CD62*11))^S13_PSP_Species_Support!CE62))^0.976,0)+IFERROR(S13_PSP_Species_Support!CI62*0.0673*(S13_PSP_Species_Support!CJ62*(S13_PSP_Species_Support!CK62*(1-EXP(-S13_PSP_Species_Support!CL62*11))^S13_PSP_Species_Support!CM62)^2*(S13_PSP_Species_Support!CN62*(1-EXP(-S13_PSP_Species_Support!CO62*11))^S13_PSP_Species_Support!CP62))^0.976,0)+IFERROR(S13_PSP_Species_Support!CT62*0.0673*(S13_PSP_Species_Support!CU62*(S13_PSP_Species_Support!CV62*(1-EXP(-S13_PSP_Species_Support!CW62*11))^S13_PSP_Species_Support!CX62)^2*(S13_PSP_Species_Support!CY62*(1-EXP(-S13_PSP_Species_Support!CZ62*11))^S13_PSP_Species_Support!DA62))^0.976,0))/1000/$G75*T$108,0)</x:f>
        <x:v>1635.8078412753343</x:v>
      </x:c>
      <x:c r="U75" s="147" t="n">
        <x:f aca="0">IFERROR((IFERROR(S13_PSP_Species_Support!U62*0.0673*(S13_PSP_Species_Support!V62*(S13_PSP_Species_Support!W62*(1-EXP(-S13_PSP_Species_Support!X62*12))^S13_PSP_Species_Support!Y62)^2*(S13_PSP_Species_Support!Z62*(1-EXP(-S13_PSP_Species_Support!AA62*12))^S13_PSP_Species_Support!AB62))^0.976,0)+IFERROR(S13_PSP_Species_Support!AF62*0.0673*(S13_PSP_Species_Support!AG62*(S13_PSP_Species_Support!AH62*(1-EXP(-S13_PSP_Species_Support!AI62*12))^S13_PSP_Species_Support!AJ62)^2*(S13_PSP_Species_Support!AK62*(1-EXP(-S13_PSP_Species_Support!AL62*12))^S13_PSP_Species_Support!AM62))^0.976,0)+IFERROR(S13_PSP_Species_Support!AQ62*0.0673*(S13_PSP_Species_Support!AR62*(S13_PSP_Species_Support!AS62*(1-EXP(-S13_PSP_Species_Support!AT62*12))^S13_PSP_Species_Support!AU62)^2*(S13_PSP_Species_Support!AV62*(1-EXP(-S13_PSP_Species_Support!AW62*12))^S13_PSP_Species_Support!AX62))^0.976,0)+IFERROR(S13_PSP_Species_Support!BB62*0.0673*(S13_PSP_Species_Support!BC62*(S13_PSP_Species_Support!BD62*(1-EXP(-S13_PSP_Species_Support!BE62*12))^S13_PSP_Species_Support!BF62)^2*(S13_PSP_Species_Support!BG62*(1-EXP(-S13_PSP_Species_Support!BH62*12))^S13_PSP_Species_Support!BI62))^0.976,0)+IFERROR(S13_PSP_Species_Support!BM62*0.0673*(S13_PSP_Species_Support!BN62*(S13_PSP_Species_Support!BO62*(1-EXP(-S13_PSP_Species_Support!BP62*12))^S13_PSP_Species_Support!BQ62)^2*(S13_PSP_Species_Support!BR62*(1-EXP(-S13_PSP_Species_Support!BS62*12))^S13_PSP_Species_Support!BT62))^0.976,0)+IFERROR(S13_PSP_Species_Support!BX62*0.0673*(S13_PSP_Species_Support!BY62*(S13_PSP_Species_Support!BZ62*(1-EXP(-S13_PSP_Species_Support!CA62*12))^S13_PSP_Species_Support!CB62)^2*(S13_PSP_Species_Support!CC62*(1-EXP(-S13_PSP_Species_Support!CD62*12))^S13_PSP_Species_Support!CE62))^0.976,0)+IFERROR(S13_PSP_Species_Support!CI62*0.0673*(S13_PSP_Species_Support!CJ62*(S13_PSP_Species_Support!CK62*(1-EXP(-S13_PSP_Species_Support!CL62*12))^S13_PSP_Species_Support!CM62)^2*(S13_PSP_Species_Support!CN62*(1-EXP(-S13_PSP_Species_Support!CO62*12))^S13_PSP_Species_Support!CP62))^0.976,0)+IFERROR(S13_PSP_Species_Support!CT62*0.0673*(S13_PSP_Species_Support!CU62*(S13_PSP_Species_Support!CV62*(1-EXP(-S13_PSP_Species_Support!CW62*12))^S13_PSP_Species_Support!CX62)^2*(S13_PSP_Species_Support!CY62*(1-EXP(-S13_PSP_Species_Support!CZ62*12))^S13_PSP_Species_Support!DA62))^0.976,0))/1000/$G75*U$108,0)</x:f>
        <x:v>1813.1913078651962</x:v>
      </x:c>
      <x:c r="V75" s="147" t="n">
        <x:f aca="0">IFERROR((IFERROR(S13_PSP_Species_Support!U62*0.0673*(S13_PSP_Species_Support!V62*(S13_PSP_Species_Support!W62*(1-EXP(-S13_PSP_Species_Support!X62*13))^S13_PSP_Species_Support!Y62)^2*(S13_PSP_Species_Support!Z62*(1-EXP(-S13_PSP_Species_Support!AA62*13))^S13_PSP_Species_Support!AB62))^0.976,0)+IFERROR(S13_PSP_Species_Support!AF62*0.0673*(S13_PSP_Species_Support!AG62*(S13_PSP_Species_Support!AH62*(1-EXP(-S13_PSP_Species_Support!AI62*13))^S13_PSP_Species_Support!AJ62)^2*(S13_PSP_Species_Support!AK62*(1-EXP(-S13_PSP_Species_Support!AL62*13))^S13_PSP_Species_Support!AM62))^0.976,0)+IFERROR(S13_PSP_Species_Support!AQ62*0.0673*(S13_PSP_Species_Support!AR62*(S13_PSP_Species_Support!AS62*(1-EXP(-S13_PSP_Species_Support!AT62*13))^S13_PSP_Species_Support!AU62)^2*(S13_PSP_Species_Support!AV62*(1-EXP(-S13_PSP_Species_Support!AW62*13))^S13_PSP_Species_Support!AX62))^0.976,0)+IFERROR(S13_PSP_Species_Support!BB62*0.0673*(S13_PSP_Species_Support!BC62*(S13_PSP_Species_Support!BD62*(1-EXP(-S13_PSP_Species_Support!BE62*13))^S13_PSP_Species_Support!BF62)^2*(S13_PSP_Species_Support!BG62*(1-EXP(-S13_PSP_Species_Support!BH62*13))^S13_PSP_Species_Support!BI62))^0.976,0)+IFERROR(S13_PSP_Species_Support!BM62*0.0673*(S13_PSP_Species_Support!BN62*(S13_PSP_Species_Support!BO62*(1-EXP(-S13_PSP_Species_Support!BP62*13))^S13_PSP_Species_Support!BQ62)^2*(S13_PSP_Species_Support!BR62*(1-EXP(-S13_PSP_Species_Support!BS62*13))^S13_PSP_Species_Support!BT62))^0.976,0)+IFERROR(S13_PSP_Species_Support!BX62*0.0673*(S13_PSP_Species_Support!BY62*(S13_PSP_Species_Support!BZ62*(1-EXP(-S13_PSP_Species_Support!CA62*13))^S13_PSP_Species_Support!CB62)^2*(S13_PSP_Species_Support!CC62*(1-EXP(-S13_PSP_Species_Support!CD62*13))^S13_PSP_Species_Support!CE62))^0.976,0)+IFERROR(S13_PSP_Species_Support!CI62*0.0673*(S13_PSP_Species_Support!CJ62*(S13_PSP_Species_Support!CK62*(1-EXP(-S13_PSP_Species_Support!CL62*13))^S13_PSP_Species_Support!CM62)^2*(S13_PSP_Species_Support!CN62*(1-EXP(-S13_PSP_Species_Support!CO62*13))^S13_PSP_Species_Support!CP62))^0.976,0)+IFERROR(S13_PSP_Species_Support!CT62*0.0673*(S13_PSP_Species_Support!CU62*(S13_PSP_Species_Support!CV62*(1-EXP(-S13_PSP_Species_Support!CW62*13))^S13_PSP_Species_Support!CX62)^2*(S13_PSP_Species_Support!CY62*(1-EXP(-S13_PSP_Species_Support!CZ62*13))^S13_PSP_Species_Support!DA62))^0.976,0))/1000/$G75*V$108,0)</x:f>
        <x:v>1973.348931721351</x:v>
      </x:c>
      <x:c r="W75" s="147" t="n">
        <x:f aca="0">IFERROR((IFERROR(S13_PSP_Species_Support!U62*0.0673*(S13_PSP_Species_Support!V62*(S13_PSP_Species_Support!W62*(1-EXP(-S13_PSP_Species_Support!X62*14))^S13_PSP_Species_Support!Y62)^2*(S13_PSP_Species_Support!Z62*(1-EXP(-S13_PSP_Species_Support!AA62*14))^S13_PSP_Species_Support!AB62))^0.976,0)+IFERROR(S13_PSP_Species_Support!AF62*0.0673*(S13_PSP_Species_Support!AG62*(S13_PSP_Species_Support!AH62*(1-EXP(-S13_PSP_Species_Support!AI62*14))^S13_PSP_Species_Support!AJ62)^2*(S13_PSP_Species_Support!AK62*(1-EXP(-S13_PSP_Species_Support!AL62*14))^S13_PSP_Species_Support!AM62))^0.976,0)+IFERROR(S13_PSP_Species_Support!AQ62*0.0673*(S13_PSP_Species_Support!AR62*(S13_PSP_Species_Support!AS62*(1-EXP(-S13_PSP_Species_Support!AT62*14))^S13_PSP_Species_Support!AU62)^2*(S13_PSP_Species_Support!AV62*(1-EXP(-S13_PSP_Species_Support!AW62*14))^S13_PSP_Species_Support!AX62))^0.976,0)+IFERROR(S13_PSP_Species_Support!BB62*0.0673*(S13_PSP_Species_Support!BC62*(S13_PSP_Species_Support!BD62*(1-EXP(-S13_PSP_Species_Support!BE62*14))^S13_PSP_Species_Support!BF62)^2*(S13_PSP_Species_Support!BG62*(1-EXP(-S13_PSP_Species_Support!BH62*14))^S13_PSP_Species_Support!BI62))^0.976,0)+IFERROR(S13_PSP_Species_Support!BM62*0.0673*(S13_PSP_Species_Support!BN62*(S13_PSP_Species_Support!BO62*(1-EXP(-S13_PSP_Species_Support!BP62*14))^S13_PSP_Species_Support!BQ62)^2*(S13_PSP_Species_Support!BR62*(1-EXP(-S13_PSP_Species_Support!BS62*14))^S13_PSP_Species_Support!BT62))^0.976,0)+IFERROR(S13_PSP_Species_Support!BX62*0.0673*(S13_PSP_Species_Support!BY62*(S13_PSP_Species_Support!BZ62*(1-EXP(-S13_PSP_Species_Support!CA62*14))^S13_PSP_Species_Support!CB62)^2*(S13_PSP_Species_Support!CC62*(1-EXP(-S13_PSP_Species_Support!CD62*14))^S13_PSP_Species_Support!CE62))^0.976,0)+IFERROR(S13_PSP_Species_Support!CI62*0.0673*(S13_PSP_Species_Support!CJ62*(S13_PSP_Species_Support!CK62*(1-EXP(-S13_PSP_Species_Support!CL62*14))^S13_PSP_Species_Support!CM62)^2*(S13_PSP_Species_Support!CN62*(1-EXP(-S13_PSP_Species_Support!CO62*14))^S13_PSP_Species_Support!CP62))^0.976,0)+IFERROR(S13_PSP_Species_Support!CT62*0.0673*(S13_PSP_Species_Support!CU62*(S13_PSP_Species_Support!CV62*(1-EXP(-S13_PSP_Species_Support!CW62*14))^S13_PSP_Species_Support!CX62)^2*(S13_PSP_Species_Support!CY62*(1-EXP(-S13_PSP_Species_Support!CZ62*14))^S13_PSP_Species_Support!DA62))^0.976,0))/1000/$G75*W$108,0)</x:f>
        <x:v>2116.261887183548</x:v>
      </x:c>
      <x:c r="X75" s="147" t="n">
        <x:f aca="0">IFERROR((IFERROR(S13_PSP_Species_Support!U62*0.0673*(S13_PSP_Species_Support!V62*(S13_PSP_Species_Support!W62*(1-EXP(-S13_PSP_Species_Support!X62*15))^S13_PSP_Species_Support!Y62)^2*(S13_PSP_Species_Support!Z62*(1-EXP(-S13_PSP_Species_Support!AA62*15))^S13_PSP_Species_Support!AB62))^0.976,0)+IFERROR(S13_PSP_Species_Support!AF62*0.0673*(S13_PSP_Species_Support!AG62*(S13_PSP_Species_Support!AH62*(1-EXP(-S13_PSP_Species_Support!AI62*15))^S13_PSP_Species_Support!AJ62)^2*(S13_PSP_Species_Support!AK62*(1-EXP(-S13_PSP_Species_Support!AL62*15))^S13_PSP_Species_Support!AM62))^0.976,0)+IFERROR(S13_PSP_Species_Support!AQ62*0.0673*(S13_PSP_Species_Support!AR62*(S13_PSP_Species_Support!AS62*(1-EXP(-S13_PSP_Species_Support!AT62*15))^S13_PSP_Species_Support!AU62)^2*(S13_PSP_Species_Support!AV62*(1-EXP(-S13_PSP_Species_Support!AW62*15))^S13_PSP_Species_Support!AX62))^0.976,0)+IFERROR(S13_PSP_Species_Support!BB62*0.0673*(S13_PSP_Species_Support!BC62*(S13_PSP_Species_Support!BD62*(1-EXP(-S13_PSP_Species_Support!BE62*15))^S13_PSP_Species_Support!BF62)^2*(S13_PSP_Species_Support!BG62*(1-EXP(-S13_PSP_Species_Support!BH62*15))^S13_PSP_Species_Support!BI62))^0.976,0)+IFERROR(S13_PSP_Species_Support!BM62*0.0673*(S13_PSP_Species_Support!BN62*(S13_PSP_Species_Support!BO62*(1-EXP(-S13_PSP_Species_Support!BP62*15))^S13_PSP_Species_Support!BQ62)^2*(S13_PSP_Species_Support!BR62*(1-EXP(-S13_PSP_Species_Support!BS62*15))^S13_PSP_Species_Support!BT62))^0.976,0)+IFERROR(S13_PSP_Species_Support!BX62*0.0673*(S13_PSP_Species_Support!BY62*(S13_PSP_Species_Support!BZ62*(1-EXP(-S13_PSP_Species_Support!CA62*15))^S13_PSP_Species_Support!CB62)^2*(S13_PSP_Species_Support!CC62*(1-EXP(-S13_PSP_Species_Support!CD62*15))^S13_PSP_Species_Support!CE62))^0.976,0)+IFERROR(S13_PSP_Species_Support!CI62*0.0673*(S13_PSP_Species_Support!CJ62*(S13_PSP_Species_Support!CK62*(1-EXP(-S13_PSP_Species_Support!CL62*15))^S13_PSP_Species_Support!CM62)^2*(S13_PSP_Species_Support!CN62*(1-EXP(-S13_PSP_Species_Support!CO62*15))^S13_PSP_Species_Support!CP62))^0.976,0)+IFERROR(S13_PSP_Species_Support!CT62*0.0673*(S13_PSP_Species_Support!CU62*(S13_PSP_Species_Support!CV62*(1-EXP(-S13_PSP_Species_Support!CW62*15))^S13_PSP_Species_Support!CX62)^2*(S13_PSP_Species_Support!CY62*(1-EXP(-S13_PSP_Species_Support!CZ62*15))^S13_PSP_Species_Support!DA62))^0.976,0))/1000/$G75*X$108,0)</x:f>
        <x:v>2242.587276706766</x:v>
      </x:c>
      <x:c r="Y75" s="147" t="n">
        <x:f aca="0">IFERROR((IFERROR(S13_PSP_Species_Support!U62*0.0673*(S13_PSP_Species_Support!V62*(S13_PSP_Species_Support!W62*(1-EXP(-S13_PSP_Species_Support!X62*16))^S13_PSP_Species_Support!Y62)^2*(S13_PSP_Species_Support!Z62*(1-EXP(-S13_PSP_Species_Support!AA62*16))^S13_PSP_Species_Support!AB62))^0.976,0)+IFERROR(S13_PSP_Species_Support!AF62*0.0673*(S13_PSP_Species_Support!AG62*(S13_PSP_Species_Support!AH62*(1-EXP(-S13_PSP_Species_Support!AI62*16))^S13_PSP_Species_Support!AJ62)^2*(S13_PSP_Species_Support!AK62*(1-EXP(-S13_PSP_Species_Support!AL62*16))^S13_PSP_Species_Support!AM62))^0.976,0)+IFERROR(S13_PSP_Species_Support!AQ62*0.0673*(S13_PSP_Species_Support!AR62*(S13_PSP_Species_Support!AS62*(1-EXP(-S13_PSP_Species_Support!AT62*16))^S13_PSP_Species_Support!AU62)^2*(S13_PSP_Species_Support!AV62*(1-EXP(-S13_PSP_Species_Support!AW62*16))^S13_PSP_Species_Support!AX62))^0.976,0)+IFERROR(S13_PSP_Species_Support!BB62*0.0673*(S13_PSP_Species_Support!BC62*(S13_PSP_Species_Support!BD62*(1-EXP(-S13_PSP_Species_Support!BE62*16))^S13_PSP_Species_Support!BF62)^2*(S13_PSP_Species_Support!BG62*(1-EXP(-S13_PSP_Species_Support!BH62*16))^S13_PSP_Species_Support!BI62))^0.976,0)+IFERROR(S13_PSP_Species_Support!BM62*0.0673*(S13_PSP_Species_Support!BN62*(S13_PSP_Species_Support!BO62*(1-EXP(-S13_PSP_Species_Support!BP62*16))^S13_PSP_Species_Support!BQ62)^2*(S13_PSP_Species_Support!BR62*(1-EXP(-S13_PSP_Species_Support!BS62*16))^S13_PSP_Species_Support!BT62))^0.976,0)+IFERROR(S13_PSP_Species_Support!BX62*0.0673*(S13_PSP_Species_Support!BY62*(S13_PSP_Species_Support!BZ62*(1-EXP(-S13_PSP_Species_Support!CA62*16))^S13_PSP_Species_Support!CB62)^2*(S13_PSP_Species_Support!CC62*(1-EXP(-S13_PSP_Species_Support!CD62*16))^S13_PSP_Species_Support!CE62))^0.976,0)+IFERROR(S13_PSP_Species_Support!CI62*0.0673*(S13_PSP_Species_Support!CJ62*(S13_PSP_Species_Support!CK62*(1-EXP(-S13_PSP_Species_Support!CL62*16))^S13_PSP_Species_Support!CM62)^2*(S13_PSP_Species_Support!CN62*(1-EXP(-S13_PSP_Species_Support!CO62*16))^S13_PSP_Species_Support!CP62))^0.976,0)+IFERROR(S13_PSP_Species_Support!CT62*0.0673*(S13_PSP_Species_Support!CU62*(S13_PSP_Species_Support!CV62*(1-EXP(-S13_PSP_Species_Support!CW62*16))^S13_PSP_Species_Support!CX62)^2*(S13_PSP_Species_Support!CY62*(1-EXP(-S13_PSP_Species_Support!CZ62*16))^S13_PSP_Species_Support!DA62))^0.976,0))/1000/$G75*Y$108,0)</x:f>
        <x:v>2353.4005014802037</x:v>
      </x:c>
      <x:c r="Z75" s="147" t="n">
        <x:f aca="0">IFERROR((IFERROR(S13_PSP_Species_Support!U62*0.0673*(S13_PSP_Species_Support!V62*(S13_PSP_Species_Support!W62*(1-EXP(-S13_PSP_Species_Support!X62*17))^S13_PSP_Species_Support!Y62)^2*(S13_PSP_Species_Support!Z62*(1-EXP(-S13_PSP_Species_Support!AA62*17))^S13_PSP_Species_Support!AB62))^0.976,0)+IFERROR(S13_PSP_Species_Support!AF62*0.0673*(S13_PSP_Species_Support!AG62*(S13_PSP_Species_Support!AH62*(1-EXP(-S13_PSP_Species_Support!AI62*17))^S13_PSP_Species_Support!AJ62)^2*(S13_PSP_Species_Support!AK62*(1-EXP(-S13_PSP_Species_Support!AL62*17))^S13_PSP_Species_Support!AM62))^0.976,0)+IFERROR(S13_PSP_Species_Support!AQ62*0.0673*(S13_PSP_Species_Support!AR62*(S13_PSP_Species_Support!AS62*(1-EXP(-S13_PSP_Species_Support!AT62*17))^S13_PSP_Species_Support!AU62)^2*(S13_PSP_Species_Support!AV62*(1-EXP(-S13_PSP_Species_Support!AW62*17))^S13_PSP_Species_Support!AX62))^0.976,0)+IFERROR(S13_PSP_Species_Support!BB62*0.0673*(S13_PSP_Species_Support!BC62*(S13_PSP_Species_Support!BD62*(1-EXP(-S13_PSP_Species_Support!BE62*17))^S13_PSP_Species_Support!BF62)^2*(S13_PSP_Species_Support!BG62*(1-EXP(-S13_PSP_Species_Support!BH62*17))^S13_PSP_Species_Support!BI62))^0.976,0)+IFERROR(S13_PSP_Species_Support!BM62*0.0673*(S13_PSP_Species_Support!BN62*(S13_PSP_Species_Support!BO62*(1-EXP(-S13_PSP_Species_Support!BP62*17))^S13_PSP_Species_Support!BQ62)^2*(S13_PSP_Species_Support!BR62*(1-EXP(-S13_PSP_Species_Support!BS62*17))^S13_PSP_Species_Support!BT62))^0.976,0)+IFERROR(S13_PSP_Species_Support!BX62*0.0673*(S13_PSP_Species_Support!BY62*(S13_PSP_Species_Support!BZ62*(1-EXP(-S13_PSP_Species_Support!CA62*17))^S13_PSP_Species_Support!CB62)^2*(S13_PSP_Species_Support!CC62*(1-EXP(-S13_PSP_Species_Support!CD62*17))^S13_PSP_Species_Support!CE62))^0.976,0)+IFERROR(S13_PSP_Species_Support!CI62*0.0673*(S13_PSP_Species_Support!CJ62*(S13_PSP_Species_Support!CK62*(1-EXP(-S13_PSP_Species_Support!CL62*17))^S13_PSP_Species_Support!CM62)^2*(S13_PSP_Species_Support!CN62*(1-EXP(-S13_PSP_Species_Support!CO62*17))^S13_PSP_Species_Support!CP62))^0.976,0)+IFERROR(S13_PSP_Species_Support!CT62*0.0673*(S13_PSP_Species_Support!CU62*(S13_PSP_Species_Support!CV62*(1-EXP(-S13_PSP_Species_Support!CW62*17))^S13_PSP_Species_Support!CX62)^2*(S13_PSP_Species_Support!CY62*(1-EXP(-S13_PSP_Species_Support!CZ62*17))^S13_PSP_Species_Support!DA62))^0.976,0))/1000/$G75*Z$108,0)</x:f>
        <x:v>2450.0050368328857</x:v>
      </x:c>
      <x:c r="AA75" s="147" t="n">
        <x:f aca="0">IFERROR((IFERROR(S13_PSP_Species_Support!U62*0.0673*(S13_PSP_Species_Support!V62*(S13_PSP_Species_Support!W62*(1-EXP(-S13_PSP_Species_Support!X62*18))^S13_PSP_Species_Support!Y62)^2*(S13_PSP_Species_Support!Z62*(1-EXP(-S13_PSP_Species_Support!AA62*18))^S13_PSP_Species_Support!AB62))^0.976,0)+IFERROR(S13_PSP_Species_Support!AF62*0.0673*(S13_PSP_Species_Support!AG62*(S13_PSP_Species_Support!AH62*(1-EXP(-S13_PSP_Species_Support!AI62*18))^S13_PSP_Species_Support!AJ62)^2*(S13_PSP_Species_Support!AK62*(1-EXP(-S13_PSP_Species_Support!AL62*18))^S13_PSP_Species_Support!AM62))^0.976,0)+IFERROR(S13_PSP_Species_Support!AQ62*0.0673*(S13_PSP_Species_Support!AR62*(S13_PSP_Species_Support!AS62*(1-EXP(-S13_PSP_Species_Support!AT62*18))^S13_PSP_Species_Support!AU62)^2*(S13_PSP_Species_Support!AV62*(1-EXP(-S13_PSP_Species_Support!AW62*18))^S13_PSP_Species_Support!AX62))^0.976,0)+IFERROR(S13_PSP_Species_Support!BB62*0.0673*(S13_PSP_Species_Support!BC62*(S13_PSP_Species_Support!BD62*(1-EXP(-S13_PSP_Species_Support!BE62*18))^S13_PSP_Species_Support!BF62)^2*(S13_PSP_Species_Support!BG62*(1-EXP(-S13_PSP_Species_Support!BH62*18))^S13_PSP_Species_Support!BI62))^0.976,0)+IFERROR(S13_PSP_Species_Support!BM62*0.0673*(S13_PSP_Species_Support!BN62*(S13_PSP_Species_Support!BO62*(1-EXP(-S13_PSP_Species_Support!BP62*18))^S13_PSP_Species_Support!BQ62)^2*(S13_PSP_Species_Support!BR62*(1-EXP(-S13_PSP_Species_Support!BS62*18))^S13_PSP_Species_Support!BT62))^0.976,0)+IFERROR(S13_PSP_Species_Support!BX62*0.0673*(S13_PSP_Species_Support!BY62*(S13_PSP_Species_Support!BZ62*(1-EXP(-S13_PSP_Species_Support!CA62*18))^S13_PSP_Species_Support!CB62)^2*(S13_PSP_Species_Support!CC62*(1-EXP(-S13_PSP_Species_Support!CD62*18))^S13_PSP_Species_Support!CE62))^0.976,0)+IFERROR(S13_PSP_Species_Support!CI62*0.0673*(S13_PSP_Species_Support!CJ62*(S13_PSP_Species_Support!CK62*(1-EXP(-S13_PSP_Species_Support!CL62*18))^S13_PSP_Species_Support!CM62)^2*(S13_PSP_Species_Support!CN62*(1-EXP(-S13_PSP_Species_Support!CO62*18))^S13_PSP_Species_Support!CP62))^0.976,0)+IFERROR(S13_PSP_Species_Support!CT62*0.0673*(S13_PSP_Species_Support!CU62*(S13_PSP_Species_Support!CV62*(1-EXP(-S13_PSP_Species_Support!CW62*18))^S13_PSP_Species_Support!CX62)^2*(S13_PSP_Species_Support!CY62*(1-EXP(-S13_PSP_Species_Support!CZ62*18))^S13_PSP_Species_Support!DA62))^0.976,0))/1000/$G75*AA$108,0)</x:f>
        <x:v>2533.7978259658594</x:v>
      </x:c>
      <x:c r="AB75" s="147" t="n">
        <x:f aca="0">IFERROR((IFERROR(S13_PSP_Species_Support!U62*0.0673*(S13_PSP_Species_Support!V62*(S13_PSP_Species_Support!W62*(1-EXP(-S13_PSP_Species_Support!X62*19))^S13_PSP_Species_Support!Y62)^2*(S13_PSP_Species_Support!Z62*(1-EXP(-S13_PSP_Species_Support!AA62*19))^S13_PSP_Species_Support!AB62))^0.976,0)+IFERROR(S13_PSP_Species_Support!AF62*0.0673*(S13_PSP_Species_Support!AG62*(S13_PSP_Species_Support!AH62*(1-EXP(-S13_PSP_Species_Support!AI62*19))^S13_PSP_Species_Support!AJ62)^2*(S13_PSP_Species_Support!AK62*(1-EXP(-S13_PSP_Species_Support!AL62*19))^S13_PSP_Species_Support!AM62))^0.976,0)+IFERROR(S13_PSP_Species_Support!AQ62*0.0673*(S13_PSP_Species_Support!AR62*(S13_PSP_Species_Support!AS62*(1-EXP(-S13_PSP_Species_Support!AT62*19))^S13_PSP_Species_Support!AU62)^2*(S13_PSP_Species_Support!AV62*(1-EXP(-S13_PSP_Species_Support!AW62*19))^S13_PSP_Species_Support!AX62))^0.976,0)+IFERROR(S13_PSP_Species_Support!BB62*0.0673*(S13_PSP_Species_Support!BC62*(S13_PSP_Species_Support!BD62*(1-EXP(-S13_PSP_Species_Support!BE62*19))^S13_PSP_Species_Support!BF62)^2*(S13_PSP_Species_Support!BG62*(1-EXP(-S13_PSP_Species_Support!BH62*19))^S13_PSP_Species_Support!BI62))^0.976,0)+IFERROR(S13_PSP_Species_Support!BM62*0.0673*(S13_PSP_Species_Support!BN62*(S13_PSP_Species_Support!BO62*(1-EXP(-S13_PSP_Species_Support!BP62*19))^S13_PSP_Species_Support!BQ62)^2*(S13_PSP_Species_Support!BR62*(1-EXP(-S13_PSP_Species_Support!BS62*19))^S13_PSP_Species_Support!BT62))^0.976,0)+IFERROR(S13_PSP_Species_Support!BX62*0.0673*(S13_PSP_Species_Support!BY62*(S13_PSP_Species_Support!BZ62*(1-EXP(-S13_PSP_Species_Support!CA62*19))^S13_PSP_Species_Support!CB62)^2*(S13_PSP_Species_Support!CC62*(1-EXP(-S13_PSP_Species_Support!CD62*19))^S13_PSP_Species_Support!CE62))^0.976,0)+IFERROR(S13_PSP_Species_Support!CI62*0.0673*(S13_PSP_Species_Support!CJ62*(S13_PSP_Species_Support!CK62*(1-EXP(-S13_PSP_Species_Support!CL62*19))^S13_PSP_Species_Support!CM62)^2*(S13_PSP_Species_Support!CN62*(1-EXP(-S13_PSP_Species_Support!CO62*19))^S13_PSP_Species_Support!CP62))^0.976,0)+IFERROR(S13_PSP_Species_Support!CT62*0.0673*(S13_PSP_Species_Support!CU62*(S13_PSP_Species_Support!CV62*(1-EXP(-S13_PSP_Species_Support!CW62*19))^S13_PSP_Species_Support!CX62)^2*(S13_PSP_Species_Support!CY62*(1-EXP(-S13_PSP_Species_Support!CZ62*19))^S13_PSP_Species_Support!DA62))^0.976,0))/1000/$G75*AB$108,0)</x:f>
        <x:v>2606.1781630805244</x:v>
      </x:c>
      <x:c r="AC75" s="147" t="n">
        <x:f aca="0">IFERROR((IFERROR(S13_PSP_Species_Support!U62*0.0673*(S13_PSP_Species_Support!V62*(S13_PSP_Species_Support!W62*(1-EXP(-S13_PSP_Species_Support!X62*20))^S13_PSP_Species_Support!Y62)^2*(S13_PSP_Species_Support!Z62*(1-EXP(-S13_PSP_Species_Support!AA62*20))^S13_PSP_Species_Support!AB62))^0.976,0)+IFERROR(S13_PSP_Species_Support!AF62*0.0673*(S13_PSP_Species_Support!AG62*(S13_PSP_Species_Support!AH62*(1-EXP(-S13_PSP_Species_Support!AI62*20))^S13_PSP_Species_Support!AJ62)^2*(S13_PSP_Species_Support!AK62*(1-EXP(-S13_PSP_Species_Support!AL62*20))^S13_PSP_Species_Support!AM62))^0.976,0)+IFERROR(S13_PSP_Species_Support!AQ62*0.0673*(S13_PSP_Species_Support!AR62*(S13_PSP_Species_Support!AS62*(1-EXP(-S13_PSP_Species_Support!AT62*20))^S13_PSP_Species_Support!AU62)^2*(S13_PSP_Species_Support!AV62*(1-EXP(-S13_PSP_Species_Support!AW62*20))^S13_PSP_Species_Support!AX62))^0.976,0)+IFERROR(S13_PSP_Species_Support!BB62*0.0673*(S13_PSP_Species_Support!BC62*(S13_PSP_Species_Support!BD62*(1-EXP(-S13_PSP_Species_Support!BE62*20))^S13_PSP_Species_Support!BF62)^2*(S13_PSP_Species_Support!BG62*(1-EXP(-S13_PSP_Species_Support!BH62*20))^S13_PSP_Species_Support!BI62))^0.976,0)+IFERROR(S13_PSP_Species_Support!BM62*0.0673*(S13_PSP_Species_Support!BN62*(S13_PSP_Species_Support!BO62*(1-EXP(-S13_PSP_Species_Support!BP62*20))^S13_PSP_Species_Support!BQ62)^2*(S13_PSP_Species_Support!BR62*(1-EXP(-S13_PSP_Species_Support!BS62*20))^S13_PSP_Species_Support!BT62))^0.976,0)+IFERROR(S13_PSP_Species_Support!BX62*0.0673*(S13_PSP_Species_Support!BY62*(S13_PSP_Species_Support!BZ62*(1-EXP(-S13_PSP_Species_Support!CA62*20))^S13_PSP_Species_Support!CB62)^2*(S13_PSP_Species_Support!CC62*(1-EXP(-S13_PSP_Species_Support!CD62*20))^S13_PSP_Species_Support!CE62))^0.976,0)+IFERROR(S13_PSP_Species_Support!CI62*0.0673*(S13_PSP_Species_Support!CJ62*(S13_PSP_Species_Support!CK62*(1-EXP(-S13_PSP_Species_Support!CL62*20))^S13_PSP_Species_Support!CM62)^2*(S13_PSP_Species_Support!CN62*(1-EXP(-S13_PSP_Species_Support!CO62*20))^S13_PSP_Species_Support!CP62))^0.976,0)+IFERROR(S13_PSP_Species_Support!CT62*0.0673*(S13_PSP_Species_Support!CU62*(S13_PSP_Species_Support!CV62*(1-EXP(-S13_PSP_Species_Support!CW62*20))^S13_PSP_Species_Support!CX62)^2*(S13_PSP_Species_Support!CY62*(1-EXP(-S13_PSP_Species_Support!CZ62*20))^S13_PSP_Species_Support!DA62))^0.976,0))/1000/$G75*AC$108,0)</x:f>
        <x:v>2668.489240365443</x:v>
      </x:c>
      <x:c r="AD75" s="148" t="n">
        <x:f aca="0">IF(2020&lt;$F75,0,INDEX($I75:$AC75,1,2020-$F75+1))</x:f>
        <x:v>0</x:v>
      </x:c>
      <x:c r="AE75" s="148" t="n">
        <x:f aca="0">IF(2021&lt;$F75,0,INDEX($I75:$AC75,1,2021-$F75+1))</x:f>
        <x:v>3.3067755327903097</x:v>
      </x:c>
      <x:c r="AF75" s="148" t="n">
        <x:f aca="0">IF(2022&lt;$F75,0,INDEX($I75:$AC75,1,2022-$F75+1))</x:f>
        <x:v>31.19772109372534</x:v>
      </x:c>
      <x:c r="AG75" s="148" t="n">
        <x:f aca="0">IF(2023&lt;$F75,0,INDEX($I75:$AC75,1,2023-$F75+1))</x:f>
        <x:v>103.25174938629793</x:v>
      </x:c>
      <x:c r="AH75" s="148" t="n">
        <x:f aca="0">IF(2024&lt;$F75,0,INDEX($I75:$AC75,1,2024-$F75+1))</x:f>
        <x:v>225.06654081208143</x:v>
      </x:c>
      <x:c r="AI75" s="148" t="n">
        <x:f aca="0">IF(2025&lt;$F75,0,INDEX($I75:$AC75,1,2025-$F75+1))</x:f>
        <x:v>389.6878440390413</x:v>
      </x:c>
      <x:c r="AJ75" s="148" t="n">
        <x:f aca="0">IF(2026&lt;$F75,0,INDEX($I75:$AC75,1,2026-$F75+1))</x:f>
        <x:v>585.1418074665485</x:v>
      </x:c>
      <x:c r="AK75" s="148" t="n">
        <x:f aca="0">IF(2027&lt;$F75,0,INDEX($I75:$AC75,1,2027-$F75+1))</x:f>
        <x:v>798.4653572062796</x:v>
      </x:c>
      <x:c r="AL75" s="148" t="n">
        <x:f aca="0">IF(2028&lt;$F75,0,INDEX($I75:$AC75,1,2028-$F75+1))</x:f>
        <x:v>1018.1005249437395</x:v>
      </x:c>
      <x:c r="AM75" s="148" t="n">
        <x:f aca="0">IF(2029&lt;$F75,0,INDEX($I75:$AC75,1,2029-$F75+1))</x:f>
        <x:v>1234.8879960575182</x:v>
      </x:c>
      <x:c r="AN75" s="148" t="n">
        <x:f aca="0">IF(2030&lt;$F75,0,INDEX($I75:$AC75,1,2030-$F75+1))</x:f>
        <x:v>1442.226179889266</x:v>
      </x:c>
      <x:c r="AO75" s="148" t="n">
        <x:f aca="0">IF(2031&lt;$F75,0,INDEX($I75:$AC75,1,2031-$F75+1))</x:f>
        <x:v>1635.8078412753343</x:v>
      </x:c>
      <x:c r="AP75" s="148" t="n">
        <x:f aca="0">IF(2032&lt;$F75,0,INDEX($I75:$AC75,1,2032-$F75+1))</x:f>
        <x:v>1813.1913078651962</x:v>
      </x:c>
      <x:c r="AQ75" s="148" t="n">
        <x:f aca="0">IF(2033&lt;$F75,0,INDEX($I75:$AC75,1,2033-$F75+1))</x:f>
        <x:v>1973.348931721351</x:v>
      </x:c>
      <x:c r="AR75" s="148" t="n">
        <x:f aca="0">IF(2034&lt;$F75,0,INDEX($I75:$AC75,1,2034-$F75+1))</x:f>
        <x:v>2116.261887183548</x:v>
      </x:c>
      <x:c r="AS75" s="148" t="n">
        <x:f aca="0">IF(2035&lt;$F75,0,INDEX($I75:$AC75,1,2035-$F75+1))</x:f>
        <x:v>2242.587276706766</x:v>
      </x:c>
      <x:c r="AT75" s="148" t="n">
        <x:f aca="0">IF(2036&lt;$F75,0,INDEX($I75:$AC75,1,2036-$F75+1))</x:f>
        <x:v>2353.4005014802037</x:v>
      </x:c>
      <x:c r="AU75" s="148" t="n">
        <x:f aca="0">IF(2037&lt;$F75,0,INDEX($I75:$AC75,1,2037-$F75+1))</x:f>
        <x:v>2450.0050368328857</x:v>
      </x:c>
      <x:c r="AV75" s="148" t="n">
        <x:f aca="0">IF(2038&lt;$F75,0,INDEX($I75:$AC75,1,2038-$F75+1))</x:f>
        <x:v>2533.7978259658594</x:v>
      </x:c>
      <x:c r="AW75" s="148" t="n">
        <x:f aca="0">IF(2039&lt;$F75,0,INDEX($I75:$AC75,1,2039-$F75+1))</x:f>
        <x:v>2606.1781630805244</x:v>
      </x:c>
      <x:c r="AX75" s="148" t="n">
        <x:f aca="0">IF(2040&lt;$F75,0,INDEX($I75:$AC75,1,2040-$F75+1))</x:f>
        <x:v>2668.489240365443</x:v>
      </x:c>
      <x:c r="AY75" s="1" t="str">
        <x:f aca="0">LEFT($C75,FIND("@",SUBSTITUTE($C75,"|","@",2))-1)</x:f>
        <x:v>Timber Plantation|Medium</x:v>
      </x:c>
      <x:c r="AZ75" s="1" t="str">
        <x:f aca="0">LEFT($C75,FIND("|",$C75)-1)</x:f>
        <x:v>Timber Plantation</x:v>
      </x:c>
      <x:c r="BA75" s="149" t="n">
        <x:f aca="0">I75*I75</x:f>
        <x:v>0</x:v>
      </x:c>
      <x:c r="BB75" s="149" t="n">
        <x:f aca="0">J75*J75</x:f>
        <x:v>10.934764424260637</x:v>
      </x:c>
      <x:c r="BC75" s="149" t="n">
        <x:f aca="0">K75*K75</x:f>
        <x:v>973.2978014418751</x:v>
      </x:c>
      <x:c r="BD75" s="149" t="n">
        <x:f aca="0">L75*L75</x:f>
        <x:v>10660.923751330874</x:v>
      </x:c>
      <x:c r="BE75" s="149" t="n">
        <x:f aca="0">M75*M75</x:f>
        <x:v>50654.94779311631</x:v>
      </x:c>
      <x:c r="BF75" s="149" t="n">
        <x:f aca="0">N75*N75</x:f>
        <x:v>151856.61579179618</x:v>
      </x:c>
      <x:c r="BG75" s="149" t="n">
        <x:f aca="0">O75*O75</x:f>
        <x:v>342390.9348452193</x:v>
      </x:c>
      <x:c r="BH75" s="149" t="n">
        <x:f aca="0">P75*P75</x:f>
        <x:v>637546.9266585517</x:v>
      </x:c>
      <x:c r="BI75" s="149" t="n">
        <x:f aca="0">Q75*Q75</x:f>
        <x:v>1036528.6788907179</x:v>
      </x:c>
      <x:c r="BJ75" s="149" t="n">
        <x:f aca="0">R75*R75</x:f>
        <x:v>1524948.362806953</x:v>
      </x:c>
      <x:c r="BK75" s="149" t="n">
        <x:f aca="0">S75*S75</x:f>
        <x:v>2080016.3539579853</x:v>
      </x:c>
      <x:c r="BL75" s="149" t="n">
        <x:f aca="0">T75*T75</x:f>
        <x:v>2675867.2935778694</x:v>
      </x:c>
      <x:c r="BM75" s="149" t="n">
        <x:f aca="0">U75*U75</x:f>
        <x:v>3287662.7189179007</x:v>
      </x:c>
      <x:c r="BN75" s="149" t="n">
        <x:f aca="0">V75*V75</x:f>
        <x:v>3894106.006325797</x:v>
      </x:c>
      <x:c r="BO75" s="149" t="n">
        <x:f aca="0">W75*W75</x:f>
        <x:v>4478564.375145672</x:v>
      </x:c>
      <x:c r="BP75" s="149" t="n">
        <x:f aca="0">X75*X75</x:f>
        <x:v>5029197.693647068</x:v>
      </x:c>
      <x:c r="BQ75" s="149" t="n">
        <x:f aca="0">Y75*Y75</x:f>
        <x:v>5538493.920367274</x:v>
      </x:c>
      <x:c r="BR75" s="149" t="n">
        <x:f aca="0">Z75*Z75</x:f>
        <x:v>6002524.68050651</x:v>
      </x:c>
      <x:c r="BS75" s="149" t="n">
        <x:f aca="0">AA75*AA75</x:f>
        <x:v>6420131.422869315</x:v>
      </x:c>
      <x:c r="BT75" s="149" t="n">
        <x:f aca="0">AB75*AB75</x:f>
        <x:v>6792164.617717776</x:v>
      </x:c>
      <x:c r="BU75" s="149" t="n">
        <x:f aca="0">AC75*AC75</x:f>
        <x:v>7120834.825946139</x:v>
      </x:c>
    </x:row>
    <x:row r="76" ht="15" hidden="0" customHeight="1">
      <x:c r="A76" s="1" t="str">
        <x:f aca="0">S13_PSP_Species_Support!A63</x:f>
        <x:v>PSP-TP-022</x:v>
      </x:c>
      <x:c r="B76" s="1" t="n">
        <x:f aca="0">63</x:f>
        <x:v>63</x:v>
      </x:c>
      <x:c r="C76" s="1" t="str">
        <x:f aca="0">S13_PSP_Species_Support!I63</x:f>
        <x:v>Timber Plantation|Low|2021</x:v>
      </x:c>
      <x:c r="D76" s="1" t="str">
        <x:f aca="0">S13_PSP_Species_Support!C63</x:f>
        <x:v>Timber Plantation</x:v>
      </x:c>
      <x:c r="E76" s="1" t="str">
        <x:f aca="0">S13_PSP_Species_Support!D63</x:f>
        <x:v>Low</x:v>
      </x:c>
      <x:c r="F76" s="1" t="n">
        <x:f aca="0">S13_PSP_Species_Support!E63</x:f>
        <x:v>2021</x:v>
      </x:c>
      <x:c r="G76" s="645" t="n">
        <x:f aca="0">'S13_PSP_Species_Support'!DJ63</x:f>
        <x:v>0.09</x:v>
      </x:c>
      <x:c r="H76" s="714" t="n">
        <x:f aca="0">'S13_PSP_Species_Support'!DK63</x:f>
        <x:v>21.06905969566914</x:v>
      </x:c>
      <x:c r="I76" s="147" t="n">
        <x:f aca="0">IFERROR((IFERROR(S13_PSP_Species_Support!U63*0.0673*(S13_PSP_Species_Support!V63*(S13_PSP_Species_Support!W63*(1-EXP(-S13_PSP_Species_Support!X63*0))^S13_PSP_Species_Support!Y63)^2*(S13_PSP_Species_Support!Z63*(1-EXP(-S13_PSP_Species_Support!AA63*0))^S13_PSP_Species_Support!AB63))^0.976,0)+IFERROR(S13_PSP_Species_Support!AF63*0.0673*(S13_PSP_Species_Support!AG63*(S13_PSP_Species_Support!AH63*(1-EXP(-S13_PSP_Species_Support!AI63*0))^S13_PSP_Species_Support!AJ63)^2*(S13_PSP_Species_Support!AK63*(1-EXP(-S13_PSP_Species_Support!AL63*0))^S13_PSP_Species_Support!AM63))^0.976,0)+IFERROR(S13_PSP_Species_Support!AQ63*0.0673*(S13_PSP_Species_Support!AR63*(S13_PSP_Species_Support!AS63*(1-EXP(-S13_PSP_Species_Support!AT63*0))^S13_PSP_Species_Support!AU63)^2*(S13_PSP_Species_Support!AV63*(1-EXP(-S13_PSP_Species_Support!AW63*0))^S13_PSP_Species_Support!AX63))^0.976,0)+IFERROR(S13_PSP_Species_Support!BB63*0.0673*(S13_PSP_Species_Support!BC63*(S13_PSP_Species_Support!BD63*(1-EXP(-S13_PSP_Species_Support!BE63*0))^S13_PSP_Species_Support!BF63)^2*(S13_PSP_Species_Support!BG63*(1-EXP(-S13_PSP_Species_Support!BH63*0))^S13_PSP_Species_Support!BI63))^0.976,0)+IFERROR(S13_PSP_Species_Support!BM63*0.0673*(S13_PSP_Species_Support!BN63*(S13_PSP_Species_Support!BO63*(1-EXP(-S13_PSP_Species_Support!BP63*0))^S13_PSP_Species_Support!BQ63)^2*(S13_PSP_Species_Support!BR63*(1-EXP(-S13_PSP_Species_Support!BS63*0))^S13_PSP_Species_Support!BT63))^0.976,0)+IFERROR(S13_PSP_Species_Support!BX63*0.0673*(S13_PSP_Species_Support!BY63*(S13_PSP_Species_Support!BZ63*(1-EXP(-S13_PSP_Species_Support!CA63*0))^S13_PSP_Species_Support!CB63)^2*(S13_PSP_Species_Support!CC63*(1-EXP(-S13_PSP_Species_Support!CD63*0))^S13_PSP_Species_Support!CE63))^0.976,0)+IFERROR(S13_PSP_Species_Support!CI63*0.0673*(S13_PSP_Species_Support!CJ63*(S13_PSP_Species_Support!CK63*(1-EXP(-S13_PSP_Species_Support!CL63*0))^S13_PSP_Species_Support!CM63)^2*(S13_PSP_Species_Support!CN63*(1-EXP(-S13_PSP_Species_Support!CO63*0))^S13_PSP_Species_Support!CP63))^0.976,0)+IFERROR(S13_PSP_Species_Support!CT63*0.0673*(S13_PSP_Species_Support!CU63*(S13_PSP_Species_Support!CV63*(1-EXP(-S13_PSP_Species_Support!CW63*0))^S13_PSP_Species_Support!CX63)^2*(S13_PSP_Species_Support!CY63*(1-EXP(-S13_PSP_Species_Support!CZ63*0))^S13_PSP_Species_Support!DA63))^0.976,0))/1000/$G76*I$108,0)</x:f>
        <x:v>0</x:v>
      </x:c>
      <x:c r="J76" s="147" t="n">
        <x:f aca="0">IFERROR((IFERROR(S13_PSP_Species_Support!U63*0.0673*(S13_PSP_Species_Support!V63*(S13_PSP_Species_Support!W63*(1-EXP(-S13_PSP_Species_Support!X63*1))^S13_PSP_Species_Support!Y63)^2*(S13_PSP_Species_Support!Z63*(1-EXP(-S13_PSP_Species_Support!AA63*1))^S13_PSP_Species_Support!AB63))^0.976,0)+IFERROR(S13_PSP_Species_Support!AF63*0.0673*(S13_PSP_Species_Support!AG63*(S13_PSP_Species_Support!AH63*(1-EXP(-S13_PSP_Species_Support!AI63*1))^S13_PSP_Species_Support!AJ63)^2*(S13_PSP_Species_Support!AK63*(1-EXP(-S13_PSP_Species_Support!AL63*1))^S13_PSP_Species_Support!AM63))^0.976,0)+IFERROR(S13_PSP_Species_Support!AQ63*0.0673*(S13_PSP_Species_Support!AR63*(S13_PSP_Species_Support!AS63*(1-EXP(-S13_PSP_Species_Support!AT63*1))^S13_PSP_Species_Support!AU63)^2*(S13_PSP_Species_Support!AV63*(1-EXP(-S13_PSP_Species_Support!AW63*1))^S13_PSP_Species_Support!AX63))^0.976,0)+IFERROR(S13_PSP_Species_Support!BB63*0.0673*(S13_PSP_Species_Support!BC63*(S13_PSP_Species_Support!BD63*(1-EXP(-S13_PSP_Species_Support!BE63*1))^S13_PSP_Species_Support!BF63)^2*(S13_PSP_Species_Support!BG63*(1-EXP(-S13_PSP_Species_Support!BH63*1))^S13_PSP_Species_Support!BI63))^0.976,0)+IFERROR(S13_PSP_Species_Support!BM63*0.0673*(S13_PSP_Species_Support!BN63*(S13_PSP_Species_Support!BO63*(1-EXP(-S13_PSP_Species_Support!BP63*1))^S13_PSP_Species_Support!BQ63)^2*(S13_PSP_Species_Support!BR63*(1-EXP(-S13_PSP_Species_Support!BS63*1))^S13_PSP_Species_Support!BT63))^0.976,0)+IFERROR(S13_PSP_Species_Support!BX63*0.0673*(S13_PSP_Species_Support!BY63*(S13_PSP_Species_Support!BZ63*(1-EXP(-S13_PSP_Species_Support!CA63*1))^S13_PSP_Species_Support!CB63)^2*(S13_PSP_Species_Support!CC63*(1-EXP(-S13_PSP_Species_Support!CD63*1))^S13_PSP_Species_Support!CE63))^0.976,0)+IFERROR(S13_PSP_Species_Support!CI63*0.0673*(S13_PSP_Species_Support!CJ63*(S13_PSP_Species_Support!CK63*(1-EXP(-S13_PSP_Species_Support!CL63*1))^S13_PSP_Species_Support!CM63)^2*(S13_PSP_Species_Support!CN63*(1-EXP(-S13_PSP_Species_Support!CO63*1))^S13_PSP_Species_Support!CP63))^0.976,0)+IFERROR(S13_PSP_Species_Support!CT63*0.0673*(S13_PSP_Species_Support!CU63*(S13_PSP_Species_Support!CV63*(1-EXP(-S13_PSP_Species_Support!CW63*1))^S13_PSP_Species_Support!CX63)^2*(S13_PSP_Species_Support!CY63*(1-EXP(-S13_PSP_Species_Support!CZ63*1))^S13_PSP_Species_Support!DA63))^0.976,0))/1000/$G76*J$108,0)</x:f>
        <x:v>0.08817344710639978</x:v>
      </x:c>
      <x:c r="K76" s="147" t="n">
        <x:f aca="0">IFERROR((IFERROR(S13_PSP_Species_Support!U63*0.0673*(S13_PSP_Species_Support!V63*(S13_PSP_Species_Support!W63*(1-EXP(-S13_PSP_Species_Support!X63*2))^S13_PSP_Species_Support!Y63)^2*(S13_PSP_Species_Support!Z63*(1-EXP(-S13_PSP_Species_Support!AA63*2))^S13_PSP_Species_Support!AB63))^0.976,0)+IFERROR(S13_PSP_Species_Support!AF63*0.0673*(S13_PSP_Species_Support!AG63*(S13_PSP_Species_Support!AH63*(1-EXP(-S13_PSP_Species_Support!AI63*2))^S13_PSP_Species_Support!AJ63)^2*(S13_PSP_Species_Support!AK63*(1-EXP(-S13_PSP_Species_Support!AL63*2))^S13_PSP_Species_Support!AM63))^0.976,0)+IFERROR(S13_PSP_Species_Support!AQ63*0.0673*(S13_PSP_Species_Support!AR63*(S13_PSP_Species_Support!AS63*(1-EXP(-S13_PSP_Species_Support!AT63*2))^S13_PSP_Species_Support!AU63)^2*(S13_PSP_Species_Support!AV63*(1-EXP(-S13_PSP_Species_Support!AW63*2))^S13_PSP_Species_Support!AX63))^0.976,0)+IFERROR(S13_PSP_Species_Support!BB63*0.0673*(S13_PSP_Species_Support!BC63*(S13_PSP_Species_Support!BD63*(1-EXP(-S13_PSP_Species_Support!BE63*2))^S13_PSP_Species_Support!BF63)^2*(S13_PSP_Species_Support!BG63*(1-EXP(-S13_PSP_Species_Support!BH63*2))^S13_PSP_Species_Support!BI63))^0.976,0)+IFERROR(S13_PSP_Species_Support!BM63*0.0673*(S13_PSP_Species_Support!BN63*(S13_PSP_Species_Support!BO63*(1-EXP(-S13_PSP_Species_Support!BP63*2))^S13_PSP_Species_Support!BQ63)^2*(S13_PSP_Species_Support!BR63*(1-EXP(-S13_PSP_Species_Support!BS63*2))^S13_PSP_Species_Support!BT63))^0.976,0)+IFERROR(S13_PSP_Species_Support!BX63*0.0673*(S13_PSP_Species_Support!BY63*(S13_PSP_Species_Support!BZ63*(1-EXP(-S13_PSP_Species_Support!CA63*2))^S13_PSP_Species_Support!CB63)^2*(S13_PSP_Species_Support!CC63*(1-EXP(-S13_PSP_Species_Support!CD63*2))^S13_PSP_Species_Support!CE63))^0.976,0)+IFERROR(S13_PSP_Species_Support!CI63*0.0673*(S13_PSP_Species_Support!CJ63*(S13_PSP_Species_Support!CK63*(1-EXP(-S13_PSP_Species_Support!CL63*2))^S13_PSP_Species_Support!CM63)^2*(S13_PSP_Species_Support!CN63*(1-EXP(-S13_PSP_Species_Support!CO63*2))^S13_PSP_Species_Support!CP63))^0.976,0)+IFERROR(S13_PSP_Species_Support!CT63*0.0673*(S13_PSP_Species_Support!CU63*(S13_PSP_Species_Support!CV63*(1-EXP(-S13_PSP_Species_Support!CW63*2))^S13_PSP_Species_Support!CX63)^2*(S13_PSP_Species_Support!CY63*(1-EXP(-S13_PSP_Species_Support!CZ63*2))^S13_PSP_Species_Support!DA63))^0.976,0))/1000/$G76*K$108,0)</x:f>
        <x:v>1.0725525826828555</x:v>
      </x:c>
      <x:c r="L76" s="147" t="n">
        <x:f aca="0">IFERROR((IFERROR(S13_PSP_Species_Support!U63*0.0673*(S13_PSP_Species_Support!V63*(S13_PSP_Species_Support!W63*(1-EXP(-S13_PSP_Species_Support!X63*3))^S13_PSP_Species_Support!Y63)^2*(S13_PSP_Species_Support!Z63*(1-EXP(-S13_PSP_Species_Support!AA63*3))^S13_PSP_Species_Support!AB63))^0.976,0)+IFERROR(S13_PSP_Species_Support!AF63*0.0673*(S13_PSP_Species_Support!AG63*(S13_PSP_Species_Support!AH63*(1-EXP(-S13_PSP_Species_Support!AI63*3))^S13_PSP_Species_Support!AJ63)^2*(S13_PSP_Species_Support!AK63*(1-EXP(-S13_PSP_Species_Support!AL63*3))^S13_PSP_Species_Support!AM63))^0.976,0)+IFERROR(S13_PSP_Species_Support!AQ63*0.0673*(S13_PSP_Species_Support!AR63*(S13_PSP_Species_Support!AS63*(1-EXP(-S13_PSP_Species_Support!AT63*3))^S13_PSP_Species_Support!AU63)^2*(S13_PSP_Species_Support!AV63*(1-EXP(-S13_PSP_Species_Support!AW63*3))^S13_PSP_Species_Support!AX63))^0.976,0)+IFERROR(S13_PSP_Species_Support!BB63*0.0673*(S13_PSP_Species_Support!BC63*(S13_PSP_Species_Support!BD63*(1-EXP(-S13_PSP_Species_Support!BE63*3))^S13_PSP_Species_Support!BF63)^2*(S13_PSP_Species_Support!BG63*(1-EXP(-S13_PSP_Species_Support!BH63*3))^S13_PSP_Species_Support!BI63))^0.976,0)+IFERROR(S13_PSP_Species_Support!BM63*0.0673*(S13_PSP_Species_Support!BN63*(S13_PSP_Species_Support!BO63*(1-EXP(-S13_PSP_Species_Support!BP63*3))^S13_PSP_Species_Support!BQ63)^2*(S13_PSP_Species_Support!BR63*(1-EXP(-S13_PSP_Species_Support!BS63*3))^S13_PSP_Species_Support!BT63))^0.976,0)+IFERROR(S13_PSP_Species_Support!BX63*0.0673*(S13_PSP_Species_Support!BY63*(S13_PSP_Species_Support!BZ63*(1-EXP(-S13_PSP_Species_Support!CA63*3))^S13_PSP_Species_Support!CB63)^2*(S13_PSP_Species_Support!CC63*(1-EXP(-S13_PSP_Species_Support!CD63*3))^S13_PSP_Species_Support!CE63))^0.976,0)+IFERROR(S13_PSP_Species_Support!CI63*0.0673*(S13_PSP_Species_Support!CJ63*(S13_PSP_Species_Support!CK63*(1-EXP(-S13_PSP_Species_Support!CL63*3))^S13_PSP_Species_Support!CM63)^2*(S13_PSP_Species_Support!CN63*(1-EXP(-S13_PSP_Species_Support!CO63*3))^S13_PSP_Species_Support!CP63))^0.976,0)+IFERROR(S13_PSP_Species_Support!CT63*0.0673*(S13_PSP_Species_Support!CU63*(S13_PSP_Species_Support!CV63*(1-EXP(-S13_PSP_Species_Support!CW63*3))^S13_PSP_Species_Support!CX63)^2*(S13_PSP_Species_Support!CY63*(1-EXP(-S13_PSP_Species_Support!CZ63*3))^S13_PSP_Species_Support!DA63))^0.976,0))/1000/$G76*L$108,0)</x:f>
        <x:v>4.193072740007877</x:v>
      </x:c>
      <x:c r="M76" s="147" t="n">
        <x:f aca="0">IFERROR((IFERROR(S13_PSP_Species_Support!U63*0.0673*(S13_PSP_Species_Support!V63*(S13_PSP_Species_Support!W63*(1-EXP(-S13_PSP_Species_Support!X63*4))^S13_PSP_Species_Support!Y63)^2*(S13_PSP_Species_Support!Z63*(1-EXP(-S13_PSP_Species_Support!AA63*4))^S13_PSP_Species_Support!AB63))^0.976,0)+IFERROR(S13_PSP_Species_Support!AF63*0.0673*(S13_PSP_Species_Support!AG63*(S13_PSP_Species_Support!AH63*(1-EXP(-S13_PSP_Species_Support!AI63*4))^S13_PSP_Species_Support!AJ63)^2*(S13_PSP_Species_Support!AK63*(1-EXP(-S13_PSP_Species_Support!AL63*4))^S13_PSP_Species_Support!AM63))^0.976,0)+IFERROR(S13_PSP_Species_Support!AQ63*0.0673*(S13_PSP_Species_Support!AR63*(S13_PSP_Species_Support!AS63*(1-EXP(-S13_PSP_Species_Support!AT63*4))^S13_PSP_Species_Support!AU63)^2*(S13_PSP_Species_Support!AV63*(1-EXP(-S13_PSP_Species_Support!AW63*4))^S13_PSP_Species_Support!AX63))^0.976,0)+IFERROR(S13_PSP_Species_Support!BB63*0.0673*(S13_PSP_Species_Support!BC63*(S13_PSP_Species_Support!BD63*(1-EXP(-S13_PSP_Species_Support!BE63*4))^S13_PSP_Species_Support!BF63)^2*(S13_PSP_Species_Support!BG63*(1-EXP(-S13_PSP_Species_Support!BH63*4))^S13_PSP_Species_Support!BI63))^0.976,0)+IFERROR(S13_PSP_Species_Support!BM63*0.0673*(S13_PSP_Species_Support!BN63*(S13_PSP_Species_Support!BO63*(1-EXP(-S13_PSP_Species_Support!BP63*4))^S13_PSP_Species_Support!BQ63)^2*(S13_PSP_Species_Support!BR63*(1-EXP(-S13_PSP_Species_Support!BS63*4))^S13_PSP_Species_Support!BT63))^0.976,0)+IFERROR(S13_PSP_Species_Support!BX63*0.0673*(S13_PSP_Species_Support!BY63*(S13_PSP_Species_Support!BZ63*(1-EXP(-S13_PSP_Species_Support!CA63*4))^S13_PSP_Species_Support!CB63)^2*(S13_PSP_Species_Support!CC63*(1-EXP(-S13_PSP_Species_Support!CD63*4))^S13_PSP_Species_Support!CE63))^0.976,0)+IFERROR(S13_PSP_Species_Support!CI63*0.0673*(S13_PSP_Species_Support!CJ63*(S13_PSP_Species_Support!CK63*(1-EXP(-S13_PSP_Species_Support!CL63*4))^S13_PSP_Species_Support!CM63)^2*(S13_PSP_Species_Support!CN63*(1-EXP(-S13_PSP_Species_Support!CO63*4))^S13_PSP_Species_Support!CP63))^0.976,0)+IFERROR(S13_PSP_Species_Support!CT63*0.0673*(S13_PSP_Species_Support!CU63*(S13_PSP_Species_Support!CV63*(1-EXP(-S13_PSP_Species_Support!CW63*4))^S13_PSP_Species_Support!CX63)^2*(S13_PSP_Species_Support!CY63*(1-EXP(-S13_PSP_Species_Support!CZ63*4))^S13_PSP_Species_Support!DA63))^0.976,0))/1000/$G76*M$108,0)</x:f>
        <x:v>10.396332240651919</x:v>
      </x:c>
      <x:c r="N76" s="147" t="n">
        <x:f aca="0">IFERROR((IFERROR(S13_PSP_Species_Support!U63*0.0673*(S13_PSP_Species_Support!V63*(S13_PSP_Species_Support!W63*(1-EXP(-S13_PSP_Species_Support!X63*5))^S13_PSP_Species_Support!Y63)^2*(S13_PSP_Species_Support!Z63*(1-EXP(-S13_PSP_Species_Support!AA63*5))^S13_PSP_Species_Support!AB63))^0.976,0)+IFERROR(S13_PSP_Species_Support!AF63*0.0673*(S13_PSP_Species_Support!AG63*(S13_PSP_Species_Support!AH63*(1-EXP(-S13_PSP_Species_Support!AI63*5))^S13_PSP_Species_Support!AJ63)^2*(S13_PSP_Species_Support!AK63*(1-EXP(-S13_PSP_Species_Support!AL63*5))^S13_PSP_Species_Support!AM63))^0.976,0)+IFERROR(S13_PSP_Species_Support!AQ63*0.0673*(S13_PSP_Species_Support!AR63*(S13_PSP_Species_Support!AS63*(1-EXP(-S13_PSP_Species_Support!AT63*5))^S13_PSP_Species_Support!AU63)^2*(S13_PSP_Species_Support!AV63*(1-EXP(-S13_PSP_Species_Support!AW63*5))^S13_PSP_Species_Support!AX63))^0.976,0)+IFERROR(S13_PSP_Species_Support!BB63*0.0673*(S13_PSP_Species_Support!BC63*(S13_PSP_Species_Support!BD63*(1-EXP(-S13_PSP_Species_Support!BE63*5))^S13_PSP_Species_Support!BF63)^2*(S13_PSP_Species_Support!BG63*(1-EXP(-S13_PSP_Species_Support!BH63*5))^S13_PSP_Species_Support!BI63))^0.976,0)+IFERROR(S13_PSP_Species_Support!BM63*0.0673*(S13_PSP_Species_Support!BN63*(S13_PSP_Species_Support!BO63*(1-EXP(-S13_PSP_Species_Support!BP63*5))^S13_PSP_Species_Support!BQ63)^2*(S13_PSP_Species_Support!BR63*(1-EXP(-S13_PSP_Species_Support!BS63*5))^S13_PSP_Species_Support!BT63))^0.976,0)+IFERROR(S13_PSP_Species_Support!BX63*0.0673*(S13_PSP_Species_Support!BY63*(S13_PSP_Species_Support!BZ63*(1-EXP(-S13_PSP_Species_Support!CA63*5))^S13_PSP_Species_Support!CB63)^2*(S13_PSP_Species_Support!CC63*(1-EXP(-S13_PSP_Species_Support!CD63*5))^S13_PSP_Species_Support!CE63))^0.976,0)+IFERROR(S13_PSP_Species_Support!CI63*0.0673*(S13_PSP_Species_Support!CJ63*(S13_PSP_Species_Support!CK63*(1-EXP(-S13_PSP_Species_Support!CL63*5))^S13_PSP_Species_Support!CM63)^2*(S13_PSP_Species_Support!CN63*(1-EXP(-S13_PSP_Species_Support!CO63*5))^S13_PSP_Species_Support!CP63))^0.976,0)+IFERROR(S13_PSP_Species_Support!CT63*0.0673*(S13_PSP_Species_Support!CU63*(S13_PSP_Species_Support!CV63*(1-EXP(-S13_PSP_Species_Support!CW63*5))^S13_PSP_Species_Support!CX63)^2*(S13_PSP_Species_Support!CY63*(1-EXP(-S13_PSP_Species_Support!CZ63*5))^S13_PSP_Species_Support!DA63))^0.976,0))/1000/$G76*N$108,0)</x:f>
        <x:v>20.02661350201846</x:v>
      </x:c>
      <x:c r="O76" s="147" t="n">
        <x:f aca="0">IFERROR((IFERROR(S13_PSP_Species_Support!U63*0.0673*(S13_PSP_Species_Support!V63*(S13_PSP_Species_Support!W63*(1-EXP(-S13_PSP_Species_Support!X63*6))^S13_PSP_Species_Support!Y63)^2*(S13_PSP_Species_Support!Z63*(1-EXP(-S13_PSP_Species_Support!AA63*6))^S13_PSP_Species_Support!AB63))^0.976,0)+IFERROR(S13_PSP_Species_Support!AF63*0.0673*(S13_PSP_Species_Support!AG63*(S13_PSP_Species_Support!AH63*(1-EXP(-S13_PSP_Species_Support!AI63*6))^S13_PSP_Species_Support!AJ63)^2*(S13_PSP_Species_Support!AK63*(1-EXP(-S13_PSP_Species_Support!AL63*6))^S13_PSP_Species_Support!AM63))^0.976,0)+IFERROR(S13_PSP_Species_Support!AQ63*0.0673*(S13_PSP_Species_Support!AR63*(S13_PSP_Species_Support!AS63*(1-EXP(-S13_PSP_Species_Support!AT63*6))^S13_PSP_Species_Support!AU63)^2*(S13_PSP_Species_Support!AV63*(1-EXP(-S13_PSP_Species_Support!AW63*6))^S13_PSP_Species_Support!AX63))^0.976,0)+IFERROR(S13_PSP_Species_Support!BB63*0.0673*(S13_PSP_Species_Support!BC63*(S13_PSP_Species_Support!BD63*(1-EXP(-S13_PSP_Species_Support!BE63*6))^S13_PSP_Species_Support!BF63)^2*(S13_PSP_Species_Support!BG63*(1-EXP(-S13_PSP_Species_Support!BH63*6))^S13_PSP_Species_Support!BI63))^0.976,0)+IFERROR(S13_PSP_Species_Support!BM63*0.0673*(S13_PSP_Species_Support!BN63*(S13_PSP_Species_Support!BO63*(1-EXP(-S13_PSP_Species_Support!BP63*6))^S13_PSP_Species_Support!BQ63)^2*(S13_PSP_Species_Support!BR63*(1-EXP(-S13_PSP_Species_Support!BS63*6))^S13_PSP_Species_Support!BT63))^0.976,0)+IFERROR(S13_PSP_Species_Support!BX63*0.0673*(S13_PSP_Species_Support!BY63*(S13_PSP_Species_Support!BZ63*(1-EXP(-S13_PSP_Species_Support!CA63*6))^S13_PSP_Species_Support!CB63)^2*(S13_PSP_Species_Support!CC63*(1-EXP(-S13_PSP_Species_Support!CD63*6))^S13_PSP_Species_Support!CE63))^0.976,0)+IFERROR(S13_PSP_Species_Support!CI63*0.0673*(S13_PSP_Species_Support!CJ63*(S13_PSP_Species_Support!CK63*(1-EXP(-S13_PSP_Species_Support!CL63*6))^S13_PSP_Species_Support!CM63)^2*(S13_PSP_Species_Support!CN63*(1-EXP(-S13_PSP_Species_Support!CO63*6))^S13_PSP_Species_Support!CP63))^0.976,0)+IFERROR(S13_PSP_Species_Support!CT63*0.0673*(S13_PSP_Species_Support!CU63*(S13_PSP_Species_Support!CV63*(1-EXP(-S13_PSP_Species_Support!CW63*6))^S13_PSP_Species_Support!CX63)^2*(S13_PSP_Species_Support!CY63*(1-EXP(-S13_PSP_Species_Support!CZ63*6))^S13_PSP_Species_Support!DA63))^0.976,0))/1000/$G76*O$108,0)</x:f>
        <x:v>32.95377543914925</x:v>
      </x:c>
      <x:c r="P76" s="147" t="n">
        <x:f aca="0">IFERROR((IFERROR(S13_PSP_Species_Support!U63*0.0673*(S13_PSP_Species_Support!V63*(S13_PSP_Species_Support!W63*(1-EXP(-S13_PSP_Species_Support!X63*7))^S13_PSP_Species_Support!Y63)^2*(S13_PSP_Species_Support!Z63*(1-EXP(-S13_PSP_Species_Support!AA63*7))^S13_PSP_Species_Support!AB63))^0.976,0)+IFERROR(S13_PSP_Species_Support!AF63*0.0673*(S13_PSP_Species_Support!AG63*(S13_PSP_Species_Support!AH63*(1-EXP(-S13_PSP_Species_Support!AI63*7))^S13_PSP_Species_Support!AJ63)^2*(S13_PSP_Species_Support!AK63*(1-EXP(-S13_PSP_Species_Support!AL63*7))^S13_PSP_Species_Support!AM63))^0.976,0)+IFERROR(S13_PSP_Species_Support!AQ63*0.0673*(S13_PSP_Species_Support!AR63*(S13_PSP_Species_Support!AS63*(1-EXP(-S13_PSP_Species_Support!AT63*7))^S13_PSP_Species_Support!AU63)^2*(S13_PSP_Species_Support!AV63*(1-EXP(-S13_PSP_Species_Support!AW63*7))^S13_PSP_Species_Support!AX63))^0.976,0)+IFERROR(S13_PSP_Species_Support!BB63*0.0673*(S13_PSP_Species_Support!BC63*(S13_PSP_Species_Support!BD63*(1-EXP(-S13_PSP_Species_Support!BE63*7))^S13_PSP_Species_Support!BF63)^2*(S13_PSP_Species_Support!BG63*(1-EXP(-S13_PSP_Species_Support!BH63*7))^S13_PSP_Species_Support!BI63))^0.976,0)+IFERROR(S13_PSP_Species_Support!BM63*0.0673*(S13_PSP_Species_Support!BN63*(S13_PSP_Species_Support!BO63*(1-EXP(-S13_PSP_Species_Support!BP63*7))^S13_PSP_Species_Support!BQ63)^2*(S13_PSP_Species_Support!BR63*(1-EXP(-S13_PSP_Species_Support!BS63*7))^S13_PSP_Species_Support!BT63))^0.976,0)+IFERROR(S13_PSP_Species_Support!BX63*0.0673*(S13_PSP_Species_Support!BY63*(S13_PSP_Species_Support!BZ63*(1-EXP(-S13_PSP_Species_Support!CA63*7))^S13_PSP_Species_Support!CB63)^2*(S13_PSP_Species_Support!CC63*(1-EXP(-S13_PSP_Species_Support!CD63*7))^S13_PSP_Species_Support!CE63))^0.976,0)+IFERROR(S13_PSP_Species_Support!CI63*0.0673*(S13_PSP_Species_Support!CJ63*(S13_PSP_Species_Support!CK63*(1-EXP(-S13_PSP_Species_Support!CL63*7))^S13_PSP_Species_Support!CM63)^2*(S13_PSP_Species_Support!CN63*(1-EXP(-S13_PSP_Species_Support!CO63*7))^S13_PSP_Species_Support!CP63))^0.976,0)+IFERROR(S13_PSP_Species_Support!CT63*0.0673*(S13_PSP_Species_Support!CU63*(S13_PSP_Species_Support!CV63*(1-EXP(-S13_PSP_Species_Support!CW63*7))^S13_PSP_Species_Support!CX63)^2*(S13_PSP_Species_Support!CY63*(1-EXP(-S13_PSP_Species_Support!CZ63*7))^S13_PSP_Species_Support!DA63))^0.976,0))/1000/$G76*P$108,0)</x:f>
        <x:v>48.72252888121333</x:v>
      </x:c>
      <x:c r="Q76" s="147" t="n">
        <x:f aca="0">IFERROR((IFERROR(S13_PSP_Species_Support!U63*0.0673*(S13_PSP_Species_Support!V63*(S13_PSP_Species_Support!W63*(1-EXP(-S13_PSP_Species_Support!X63*8))^S13_PSP_Species_Support!Y63)^2*(S13_PSP_Species_Support!Z63*(1-EXP(-S13_PSP_Species_Support!AA63*8))^S13_PSP_Species_Support!AB63))^0.976,0)+IFERROR(S13_PSP_Species_Support!AF63*0.0673*(S13_PSP_Species_Support!AG63*(S13_PSP_Species_Support!AH63*(1-EXP(-S13_PSP_Species_Support!AI63*8))^S13_PSP_Species_Support!AJ63)^2*(S13_PSP_Species_Support!AK63*(1-EXP(-S13_PSP_Species_Support!AL63*8))^S13_PSP_Species_Support!AM63))^0.976,0)+IFERROR(S13_PSP_Species_Support!AQ63*0.0673*(S13_PSP_Species_Support!AR63*(S13_PSP_Species_Support!AS63*(1-EXP(-S13_PSP_Species_Support!AT63*8))^S13_PSP_Species_Support!AU63)^2*(S13_PSP_Species_Support!AV63*(1-EXP(-S13_PSP_Species_Support!AW63*8))^S13_PSP_Species_Support!AX63))^0.976,0)+IFERROR(S13_PSP_Species_Support!BB63*0.0673*(S13_PSP_Species_Support!BC63*(S13_PSP_Species_Support!BD63*(1-EXP(-S13_PSP_Species_Support!BE63*8))^S13_PSP_Species_Support!BF63)^2*(S13_PSP_Species_Support!BG63*(1-EXP(-S13_PSP_Species_Support!BH63*8))^S13_PSP_Species_Support!BI63))^0.976,0)+IFERROR(S13_PSP_Species_Support!BM63*0.0673*(S13_PSP_Species_Support!BN63*(S13_PSP_Species_Support!BO63*(1-EXP(-S13_PSP_Species_Support!BP63*8))^S13_PSP_Species_Support!BQ63)^2*(S13_PSP_Species_Support!BR63*(1-EXP(-S13_PSP_Species_Support!BS63*8))^S13_PSP_Species_Support!BT63))^0.976,0)+IFERROR(S13_PSP_Species_Support!BX63*0.0673*(S13_PSP_Species_Support!BY63*(S13_PSP_Species_Support!BZ63*(1-EXP(-S13_PSP_Species_Support!CA63*8))^S13_PSP_Species_Support!CB63)^2*(S13_PSP_Species_Support!CC63*(1-EXP(-S13_PSP_Species_Support!CD63*8))^S13_PSP_Species_Support!CE63))^0.976,0)+IFERROR(S13_PSP_Species_Support!CI63*0.0673*(S13_PSP_Species_Support!CJ63*(S13_PSP_Species_Support!CK63*(1-EXP(-S13_PSP_Species_Support!CL63*8))^S13_PSP_Species_Support!CM63)^2*(S13_PSP_Species_Support!CN63*(1-EXP(-S13_PSP_Species_Support!CO63*8))^S13_PSP_Species_Support!CP63))^0.976,0)+IFERROR(S13_PSP_Species_Support!CT63*0.0673*(S13_PSP_Species_Support!CU63*(S13_PSP_Species_Support!CV63*(1-EXP(-S13_PSP_Species_Support!CW63*8))^S13_PSP_Species_Support!CX63)^2*(S13_PSP_Species_Support!CY63*(1-EXP(-S13_PSP_Species_Support!CZ63*8))^S13_PSP_Species_Support!DA63))^0.976,0))/1000/$G76*Q$108,0)</x:f>
        <x:v>66.70713477601963</x:v>
      </x:c>
      <x:c r="R76" s="147" t="n">
        <x:f aca="0">IFERROR((IFERROR(S13_PSP_Species_Support!U63*0.0673*(S13_PSP_Species_Support!V63*(S13_PSP_Species_Support!W63*(1-EXP(-S13_PSP_Species_Support!X63*9))^S13_PSP_Species_Support!Y63)^2*(S13_PSP_Species_Support!Z63*(1-EXP(-S13_PSP_Species_Support!AA63*9))^S13_PSP_Species_Support!AB63))^0.976,0)+IFERROR(S13_PSP_Species_Support!AF63*0.0673*(S13_PSP_Species_Support!AG63*(S13_PSP_Species_Support!AH63*(1-EXP(-S13_PSP_Species_Support!AI63*9))^S13_PSP_Species_Support!AJ63)^2*(S13_PSP_Species_Support!AK63*(1-EXP(-S13_PSP_Species_Support!AL63*9))^S13_PSP_Species_Support!AM63))^0.976,0)+IFERROR(S13_PSP_Species_Support!AQ63*0.0673*(S13_PSP_Species_Support!AR63*(S13_PSP_Species_Support!AS63*(1-EXP(-S13_PSP_Species_Support!AT63*9))^S13_PSP_Species_Support!AU63)^2*(S13_PSP_Species_Support!AV63*(1-EXP(-S13_PSP_Species_Support!AW63*9))^S13_PSP_Species_Support!AX63))^0.976,0)+IFERROR(S13_PSP_Species_Support!BB63*0.0673*(S13_PSP_Species_Support!BC63*(S13_PSP_Species_Support!BD63*(1-EXP(-S13_PSP_Species_Support!BE63*9))^S13_PSP_Species_Support!BF63)^2*(S13_PSP_Species_Support!BG63*(1-EXP(-S13_PSP_Species_Support!BH63*9))^S13_PSP_Species_Support!BI63))^0.976,0)+IFERROR(S13_PSP_Species_Support!BM63*0.0673*(S13_PSP_Species_Support!BN63*(S13_PSP_Species_Support!BO63*(1-EXP(-S13_PSP_Species_Support!BP63*9))^S13_PSP_Species_Support!BQ63)^2*(S13_PSP_Species_Support!BR63*(1-EXP(-S13_PSP_Species_Support!BS63*9))^S13_PSP_Species_Support!BT63))^0.976,0)+IFERROR(S13_PSP_Species_Support!BX63*0.0673*(S13_PSP_Species_Support!BY63*(S13_PSP_Species_Support!BZ63*(1-EXP(-S13_PSP_Species_Support!CA63*9))^S13_PSP_Species_Support!CB63)^2*(S13_PSP_Species_Support!CC63*(1-EXP(-S13_PSP_Species_Support!CD63*9))^S13_PSP_Species_Support!CE63))^0.976,0)+IFERROR(S13_PSP_Species_Support!CI63*0.0673*(S13_PSP_Species_Support!CJ63*(S13_PSP_Species_Support!CK63*(1-EXP(-S13_PSP_Species_Support!CL63*9))^S13_PSP_Species_Support!CM63)^2*(S13_PSP_Species_Support!CN63*(1-EXP(-S13_PSP_Species_Support!CO63*9))^S13_PSP_Species_Support!CP63))^0.976,0)+IFERROR(S13_PSP_Species_Support!CT63*0.0673*(S13_PSP_Species_Support!CU63*(S13_PSP_Species_Support!CV63*(1-EXP(-S13_PSP_Species_Support!CW63*9))^S13_PSP_Species_Support!CX63)^2*(S13_PSP_Species_Support!CY63*(1-EXP(-S13_PSP_Species_Support!CZ63*9))^S13_PSP_Species_Support!DA63))^0.976,0))/1000/$G76*R$108,0)</x:f>
        <x:v>86.230614383398</x:v>
      </x:c>
      <x:c r="S76" s="147" t="n">
        <x:f aca="0">IFERROR((IFERROR(S13_PSP_Species_Support!U63*0.0673*(S13_PSP_Species_Support!V63*(S13_PSP_Species_Support!W63*(1-EXP(-S13_PSP_Species_Support!X63*10))^S13_PSP_Species_Support!Y63)^2*(S13_PSP_Species_Support!Z63*(1-EXP(-S13_PSP_Species_Support!AA63*10))^S13_PSP_Species_Support!AB63))^0.976,0)+IFERROR(S13_PSP_Species_Support!AF63*0.0673*(S13_PSP_Species_Support!AG63*(S13_PSP_Species_Support!AH63*(1-EXP(-S13_PSP_Species_Support!AI63*10))^S13_PSP_Species_Support!AJ63)^2*(S13_PSP_Species_Support!AK63*(1-EXP(-S13_PSP_Species_Support!AL63*10))^S13_PSP_Species_Support!AM63))^0.976,0)+IFERROR(S13_PSP_Species_Support!AQ63*0.0673*(S13_PSP_Species_Support!AR63*(S13_PSP_Species_Support!AS63*(1-EXP(-S13_PSP_Species_Support!AT63*10))^S13_PSP_Species_Support!AU63)^2*(S13_PSP_Species_Support!AV63*(1-EXP(-S13_PSP_Species_Support!AW63*10))^S13_PSP_Species_Support!AX63))^0.976,0)+IFERROR(S13_PSP_Species_Support!BB63*0.0673*(S13_PSP_Species_Support!BC63*(S13_PSP_Species_Support!BD63*(1-EXP(-S13_PSP_Species_Support!BE63*10))^S13_PSP_Species_Support!BF63)^2*(S13_PSP_Species_Support!BG63*(1-EXP(-S13_PSP_Species_Support!BH63*10))^S13_PSP_Species_Support!BI63))^0.976,0)+IFERROR(S13_PSP_Species_Support!BM63*0.0673*(S13_PSP_Species_Support!BN63*(S13_PSP_Species_Support!BO63*(1-EXP(-S13_PSP_Species_Support!BP63*10))^S13_PSP_Species_Support!BQ63)^2*(S13_PSP_Species_Support!BR63*(1-EXP(-S13_PSP_Species_Support!BS63*10))^S13_PSP_Species_Support!BT63))^0.976,0)+IFERROR(S13_PSP_Species_Support!BX63*0.0673*(S13_PSP_Species_Support!BY63*(S13_PSP_Species_Support!BZ63*(1-EXP(-S13_PSP_Species_Support!CA63*10))^S13_PSP_Species_Support!CB63)^2*(S13_PSP_Species_Support!CC63*(1-EXP(-S13_PSP_Species_Support!CD63*10))^S13_PSP_Species_Support!CE63))^0.976,0)+IFERROR(S13_PSP_Species_Support!CI63*0.0673*(S13_PSP_Species_Support!CJ63*(S13_PSP_Species_Support!CK63*(1-EXP(-S13_PSP_Species_Support!CL63*10))^S13_PSP_Species_Support!CM63)^2*(S13_PSP_Species_Support!CN63*(1-EXP(-S13_PSP_Species_Support!CO63*10))^S13_PSP_Species_Support!CP63))^0.976,0)+IFERROR(S13_PSP_Species_Support!CT63*0.0673*(S13_PSP_Species_Support!CU63*(S13_PSP_Species_Support!CV63*(1-EXP(-S13_PSP_Species_Support!CW63*10))^S13_PSP_Species_Support!CX63)^2*(S13_PSP_Species_Support!CY63*(1-EXP(-S13_PSP_Species_Support!CZ63*10))^S13_PSP_Species_Support!DA63))^0.976,0))/1000/$G76*S$108,0)</x:f>
        <x:v>106.64440960442445</x:v>
      </x:c>
      <x:c r="T76" s="147" t="n">
        <x:f aca="0">IFERROR((IFERROR(S13_PSP_Species_Support!U63*0.0673*(S13_PSP_Species_Support!V63*(S13_PSP_Species_Support!W63*(1-EXP(-S13_PSP_Species_Support!X63*11))^S13_PSP_Species_Support!Y63)^2*(S13_PSP_Species_Support!Z63*(1-EXP(-S13_PSP_Species_Support!AA63*11))^S13_PSP_Species_Support!AB63))^0.976,0)+IFERROR(S13_PSP_Species_Support!AF63*0.0673*(S13_PSP_Species_Support!AG63*(S13_PSP_Species_Support!AH63*(1-EXP(-S13_PSP_Species_Support!AI63*11))^S13_PSP_Species_Support!AJ63)^2*(S13_PSP_Species_Support!AK63*(1-EXP(-S13_PSP_Species_Support!AL63*11))^S13_PSP_Species_Support!AM63))^0.976,0)+IFERROR(S13_PSP_Species_Support!AQ63*0.0673*(S13_PSP_Species_Support!AR63*(S13_PSP_Species_Support!AS63*(1-EXP(-S13_PSP_Species_Support!AT63*11))^S13_PSP_Species_Support!AU63)^2*(S13_PSP_Species_Support!AV63*(1-EXP(-S13_PSP_Species_Support!AW63*11))^S13_PSP_Species_Support!AX63))^0.976,0)+IFERROR(S13_PSP_Species_Support!BB63*0.0673*(S13_PSP_Species_Support!BC63*(S13_PSP_Species_Support!BD63*(1-EXP(-S13_PSP_Species_Support!BE63*11))^S13_PSP_Species_Support!BF63)^2*(S13_PSP_Species_Support!BG63*(1-EXP(-S13_PSP_Species_Support!BH63*11))^S13_PSP_Species_Support!BI63))^0.976,0)+IFERROR(S13_PSP_Species_Support!BM63*0.0673*(S13_PSP_Species_Support!BN63*(S13_PSP_Species_Support!BO63*(1-EXP(-S13_PSP_Species_Support!BP63*11))^S13_PSP_Species_Support!BQ63)^2*(S13_PSP_Species_Support!BR63*(1-EXP(-S13_PSP_Species_Support!BS63*11))^S13_PSP_Species_Support!BT63))^0.976,0)+IFERROR(S13_PSP_Species_Support!BX63*0.0673*(S13_PSP_Species_Support!BY63*(S13_PSP_Species_Support!BZ63*(1-EXP(-S13_PSP_Species_Support!CA63*11))^S13_PSP_Species_Support!CB63)^2*(S13_PSP_Species_Support!CC63*(1-EXP(-S13_PSP_Species_Support!CD63*11))^S13_PSP_Species_Support!CE63))^0.976,0)+IFERROR(S13_PSP_Species_Support!CI63*0.0673*(S13_PSP_Species_Support!CJ63*(S13_PSP_Species_Support!CK63*(1-EXP(-S13_PSP_Species_Support!CL63*11))^S13_PSP_Species_Support!CM63)^2*(S13_PSP_Species_Support!CN63*(1-EXP(-S13_PSP_Species_Support!CO63*11))^S13_PSP_Species_Support!CP63))^0.976,0)+IFERROR(S13_PSP_Species_Support!CT63*0.0673*(S13_PSP_Species_Support!CU63*(S13_PSP_Species_Support!CV63*(1-EXP(-S13_PSP_Species_Support!CW63*11))^S13_PSP_Species_Support!CX63)^2*(S13_PSP_Species_Support!CY63*(1-EXP(-S13_PSP_Species_Support!CZ63*11))^S13_PSP_Species_Support!DA63))^0.976,0))/1000/$G76*T$108,0)</x:f>
        <x:v>127.37456732811253</x:v>
      </x:c>
      <x:c r="U76" s="147" t="n">
        <x:f aca="0">IFERROR((IFERROR(S13_PSP_Species_Support!U63*0.0673*(S13_PSP_Species_Support!V63*(S13_PSP_Species_Support!W63*(1-EXP(-S13_PSP_Species_Support!X63*12))^S13_PSP_Species_Support!Y63)^2*(S13_PSP_Species_Support!Z63*(1-EXP(-S13_PSP_Species_Support!AA63*12))^S13_PSP_Species_Support!AB63))^0.976,0)+IFERROR(S13_PSP_Species_Support!AF63*0.0673*(S13_PSP_Species_Support!AG63*(S13_PSP_Species_Support!AH63*(1-EXP(-S13_PSP_Species_Support!AI63*12))^S13_PSP_Species_Support!AJ63)^2*(S13_PSP_Species_Support!AK63*(1-EXP(-S13_PSP_Species_Support!AL63*12))^S13_PSP_Species_Support!AM63))^0.976,0)+IFERROR(S13_PSP_Species_Support!AQ63*0.0673*(S13_PSP_Species_Support!AR63*(S13_PSP_Species_Support!AS63*(1-EXP(-S13_PSP_Species_Support!AT63*12))^S13_PSP_Species_Support!AU63)^2*(S13_PSP_Species_Support!AV63*(1-EXP(-S13_PSP_Species_Support!AW63*12))^S13_PSP_Species_Support!AX63))^0.976,0)+IFERROR(S13_PSP_Species_Support!BB63*0.0673*(S13_PSP_Species_Support!BC63*(S13_PSP_Species_Support!BD63*(1-EXP(-S13_PSP_Species_Support!BE63*12))^S13_PSP_Species_Support!BF63)^2*(S13_PSP_Species_Support!BG63*(1-EXP(-S13_PSP_Species_Support!BH63*12))^S13_PSP_Species_Support!BI63))^0.976,0)+IFERROR(S13_PSP_Species_Support!BM63*0.0673*(S13_PSP_Species_Support!BN63*(S13_PSP_Species_Support!BO63*(1-EXP(-S13_PSP_Species_Support!BP63*12))^S13_PSP_Species_Support!BQ63)^2*(S13_PSP_Species_Support!BR63*(1-EXP(-S13_PSP_Species_Support!BS63*12))^S13_PSP_Species_Support!BT63))^0.976,0)+IFERROR(S13_PSP_Species_Support!BX63*0.0673*(S13_PSP_Species_Support!BY63*(S13_PSP_Species_Support!BZ63*(1-EXP(-S13_PSP_Species_Support!CA63*12))^S13_PSP_Species_Support!CB63)^2*(S13_PSP_Species_Support!CC63*(1-EXP(-S13_PSP_Species_Support!CD63*12))^S13_PSP_Species_Support!CE63))^0.976,0)+IFERROR(S13_PSP_Species_Support!CI63*0.0673*(S13_PSP_Species_Support!CJ63*(S13_PSP_Species_Support!CK63*(1-EXP(-S13_PSP_Species_Support!CL63*12))^S13_PSP_Species_Support!CM63)^2*(S13_PSP_Species_Support!CN63*(1-EXP(-S13_PSP_Species_Support!CO63*12))^S13_PSP_Species_Support!CP63))^0.976,0)+IFERROR(S13_PSP_Species_Support!CT63*0.0673*(S13_PSP_Species_Support!CU63*(S13_PSP_Species_Support!CV63*(1-EXP(-S13_PSP_Species_Support!CW63*12))^S13_PSP_Species_Support!CX63)^2*(S13_PSP_Species_Support!CY63*(1-EXP(-S13_PSP_Species_Support!CZ63*12))^S13_PSP_Species_Support!DA63))^0.976,0))/1000/$G76*U$108,0)</x:f>
        <x:v>147.94314565275494</x:v>
      </x:c>
      <x:c r="V76" s="147" t="n">
        <x:f aca="0">IFERROR((IFERROR(S13_PSP_Species_Support!U63*0.0673*(S13_PSP_Species_Support!V63*(S13_PSP_Species_Support!W63*(1-EXP(-S13_PSP_Species_Support!X63*13))^S13_PSP_Species_Support!Y63)^2*(S13_PSP_Species_Support!Z63*(1-EXP(-S13_PSP_Species_Support!AA63*13))^S13_PSP_Species_Support!AB63))^0.976,0)+IFERROR(S13_PSP_Species_Support!AF63*0.0673*(S13_PSP_Species_Support!AG63*(S13_PSP_Species_Support!AH63*(1-EXP(-S13_PSP_Species_Support!AI63*13))^S13_PSP_Species_Support!AJ63)^2*(S13_PSP_Species_Support!AK63*(1-EXP(-S13_PSP_Species_Support!AL63*13))^S13_PSP_Species_Support!AM63))^0.976,0)+IFERROR(S13_PSP_Species_Support!AQ63*0.0673*(S13_PSP_Species_Support!AR63*(S13_PSP_Species_Support!AS63*(1-EXP(-S13_PSP_Species_Support!AT63*13))^S13_PSP_Species_Support!AU63)^2*(S13_PSP_Species_Support!AV63*(1-EXP(-S13_PSP_Species_Support!AW63*13))^S13_PSP_Species_Support!AX63))^0.976,0)+IFERROR(S13_PSP_Species_Support!BB63*0.0673*(S13_PSP_Species_Support!BC63*(S13_PSP_Species_Support!BD63*(1-EXP(-S13_PSP_Species_Support!BE63*13))^S13_PSP_Species_Support!BF63)^2*(S13_PSP_Species_Support!BG63*(1-EXP(-S13_PSP_Species_Support!BH63*13))^S13_PSP_Species_Support!BI63))^0.976,0)+IFERROR(S13_PSP_Species_Support!BM63*0.0673*(S13_PSP_Species_Support!BN63*(S13_PSP_Species_Support!BO63*(1-EXP(-S13_PSP_Species_Support!BP63*13))^S13_PSP_Species_Support!BQ63)^2*(S13_PSP_Species_Support!BR63*(1-EXP(-S13_PSP_Species_Support!BS63*13))^S13_PSP_Species_Support!BT63))^0.976,0)+IFERROR(S13_PSP_Species_Support!BX63*0.0673*(S13_PSP_Species_Support!BY63*(S13_PSP_Species_Support!BZ63*(1-EXP(-S13_PSP_Species_Support!CA63*13))^S13_PSP_Species_Support!CB63)^2*(S13_PSP_Species_Support!CC63*(1-EXP(-S13_PSP_Species_Support!CD63*13))^S13_PSP_Species_Support!CE63))^0.976,0)+IFERROR(S13_PSP_Species_Support!CI63*0.0673*(S13_PSP_Species_Support!CJ63*(S13_PSP_Species_Support!CK63*(1-EXP(-S13_PSP_Species_Support!CL63*13))^S13_PSP_Species_Support!CM63)^2*(S13_PSP_Species_Support!CN63*(1-EXP(-S13_PSP_Species_Support!CO63*13))^S13_PSP_Species_Support!CP63))^0.976,0)+IFERROR(S13_PSP_Species_Support!CT63*0.0673*(S13_PSP_Species_Support!CU63*(S13_PSP_Species_Support!CV63*(1-EXP(-S13_PSP_Species_Support!CW63*13))^S13_PSP_Species_Support!CX63)^2*(S13_PSP_Species_Support!CY63*(1-EXP(-S13_PSP_Species_Support!CZ63*13))^S13_PSP_Species_Support!DA63))^0.976,0))/1000/$G76*V$108,0)</x:f>
        <x:v>167.97297434036494</x:v>
      </x:c>
      <x:c r="W76" s="147" t="n">
        <x:f aca="0">IFERROR((IFERROR(S13_PSP_Species_Support!U63*0.0673*(S13_PSP_Species_Support!V63*(S13_PSP_Species_Support!W63*(1-EXP(-S13_PSP_Species_Support!X63*14))^S13_PSP_Species_Support!Y63)^2*(S13_PSP_Species_Support!Z63*(1-EXP(-S13_PSP_Species_Support!AA63*14))^S13_PSP_Species_Support!AB63))^0.976,0)+IFERROR(S13_PSP_Species_Support!AF63*0.0673*(S13_PSP_Species_Support!AG63*(S13_PSP_Species_Support!AH63*(1-EXP(-S13_PSP_Species_Support!AI63*14))^S13_PSP_Species_Support!AJ63)^2*(S13_PSP_Species_Support!AK63*(1-EXP(-S13_PSP_Species_Support!AL63*14))^S13_PSP_Species_Support!AM63))^0.976,0)+IFERROR(S13_PSP_Species_Support!AQ63*0.0673*(S13_PSP_Species_Support!AR63*(S13_PSP_Species_Support!AS63*(1-EXP(-S13_PSP_Species_Support!AT63*14))^S13_PSP_Species_Support!AU63)^2*(S13_PSP_Species_Support!AV63*(1-EXP(-S13_PSP_Species_Support!AW63*14))^S13_PSP_Species_Support!AX63))^0.976,0)+IFERROR(S13_PSP_Species_Support!BB63*0.0673*(S13_PSP_Species_Support!BC63*(S13_PSP_Species_Support!BD63*(1-EXP(-S13_PSP_Species_Support!BE63*14))^S13_PSP_Species_Support!BF63)^2*(S13_PSP_Species_Support!BG63*(1-EXP(-S13_PSP_Species_Support!BH63*14))^S13_PSP_Species_Support!BI63))^0.976,0)+IFERROR(S13_PSP_Species_Support!BM63*0.0673*(S13_PSP_Species_Support!BN63*(S13_PSP_Species_Support!BO63*(1-EXP(-S13_PSP_Species_Support!BP63*14))^S13_PSP_Species_Support!BQ63)^2*(S13_PSP_Species_Support!BR63*(1-EXP(-S13_PSP_Species_Support!BS63*14))^S13_PSP_Species_Support!BT63))^0.976,0)+IFERROR(S13_PSP_Species_Support!BX63*0.0673*(S13_PSP_Species_Support!BY63*(S13_PSP_Species_Support!BZ63*(1-EXP(-S13_PSP_Species_Support!CA63*14))^S13_PSP_Species_Support!CB63)^2*(S13_PSP_Species_Support!CC63*(1-EXP(-S13_PSP_Species_Support!CD63*14))^S13_PSP_Species_Support!CE63))^0.976,0)+IFERROR(S13_PSP_Species_Support!CI63*0.0673*(S13_PSP_Species_Support!CJ63*(S13_PSP_Species_Support!CK63*(1-EXP(-S13_PSP_Species_Support!CL63*14))^S13_PSP_Species_Support!CM63)^2*(S13_PSP_Species_Support!CN63*(1-EXP(-S13_PSP_Species_Support!CO63*14))^S13_PSP_Species_Support!CP63))^0.976,0)+IFERROR(S13_PSP_Species_Support!CT63*0.0673*(S13_PSP_Species_Support!CU63*(S13_PSP_Species_Support!CV63*(1-EXP(-S13_PSP_Species_Support!CW63*14))^S13_PSP_Species_Support!CX63)^2*(S13_PSP_Species_Support!CY63*(1-EXP(-S13_PSP_Species_Support!CZ63*14))^S13_PSP_Species_Support!DA63))^0.976,0))/1000/$G76*W$108,0)</x:f>
        <x:v>187.1822538449541</x:v>
      </x:c>
      <x:c r="X76" s="147" t="n">
        <x:f aca="0">IFERROR((IFERROR(S13_PSP_Species_Support!U63*0.0673*(S13_PSP_Species_Support!V63*(S13_PSP_Species_Support!W63*(1-EXP(-S13_PSP_Species_Support!X63*15))^S13_PSP_Species_Support!Y63)^2*(S13_PSP_Species_Support!Z63*(1-EXP(-S13_PSP_Species_Support!AA63*15))^S13_PSP_Species_Support!AB63))^0.976,0)+IFERROR(S13_PSP_Species_Support!AF63*0.0673*(S13_PSP_Species_Support!AG63*(S13_PSP_Species_Support!AH63*(1-EXP(-S13_PSP_Species_Support!AI63*15))^S13_PSP_Species_Support!AJ63)^2*(S13_PSP_Species_Support!AK63*(1-EXP(-S13_PSP_Species_Support!AL63*15))^S13_PSP_Species_Support!AM63))^0.976,0)+IFERROR(S13_PSP_Species_Support!AQ63*0.0673*(S13_PSP_Species_Support!AR63*(S13_PSP_Species_Support!AS63*(1-EXP(-S13_PSP_Species_Support!AT63*15))^S13_PSP_Species_Support!AU63)^2*(S13_PSP_Species_Support!AV63*(1-EXP(-S13_PSP_Species_Support!AW63*15))^S13_PSP_Species_Support!AX63))^0.976,0)+IFERROR(S13_PSP_Species_Support!BB63*0.0673*(S13_PSP_Species_Support!BC63*(S13_PSP_Species_Support!BD63*(1-EXP(-S13_PSP_Species_Support!BE63*15))^S13_PSP_Species_Support!BF63)^2*(S13_PSP_Species_Support!BG63*(1-EXP(-S13_PSP_Species_Support!BH63*15))^S13_PSP_Species_Support!BI63))^0.976,0)+IFERROR(S13_PSP_Species_Support!BM63*0.0673*(S13_PSP_Species_Support!BN63*(S13_PSP_Species_Support!BO63*(1-EXP(-S13_PSP_Species_Support!BP63*15))^S13_PSP_Species_Support!BQ63)^2*(S13_PSP_Species_Support!BR63*(1-EXP(-S13_PSP_Species_Support!BS63*15))^S13_PSP_Species_Support!BT63))^0.976,0)+IFERROR(S13_PSP_Species_Support!BX63*0.0673*(S13_PSP_Species_Support!BY63*(S13_PSP_Species_Support!BZ63*(1-EXP(-S13_PSP_Species_Support!CA63*15))^S13_PSP_Species_Support!CB63)^2*(S13_PSP_Species_Support!CC63*(1-EXP(-S13_PSP_Species_Support!CD63*15))^S13_PSP_Species_Support!CE63))^0.976,0)+IFERROR(S13_PSP_Species_Support!CI63*0.0673*(S13_PSP_Species_Support!CJ63*(S13_PSP_Species_Support!CK63*(1-EXP(-S13_PSP_Species_Support!CL63*15))^S13_PSP_Species_Support!CM63)^2*(S13_PSP_Species_Support!CN63*(1-EXP(-S13_PSP_Species_Support!CO63*15))^S13_PSP_Species_Support!CP63))^0.976,0)+IFERROR(S13_PSP_Species_Support!CT63*0.0673*(S13_PSP_Species_Support!CU63*(S13_PSP_Species_Support!CV63*(1-EXP(-S13_PSP_Species_Support!CW63*15))^S13_PSP_Species_Support!CX63)^2*(S13_PSP_Species_Support!CY63*(1-EXP(-S13_PSP_Species_Support!CZ63*15))^S13_PSP_Species_Support!DA63))^0.976,0))/1000/$G76*X$108,0)</x:f>
        <x:v>205.37370140342864</x:v>
      </x:c>
      <x:c r="Y76" s="147" t="n">
        <x:f aca="0">IFERROR((IFERROR(S13_PSP_Species_Support!U63*0.0673*(S13_PSP_Species_Support!V63*(S13_PSP_Species_Support!W63*(1-EXP(-S13_PSP_Species_Support!X63*16))^S13_PSP_Species_Support!Y63)^2*(S13_PSP_Species_Support!Z63*(1-EXP(-S13_PSP_Species_Support!AA63*16))^S13_PSP_Species_Support!AB63))^0.976,0)+IFERROR(S13_PSP_Species_Support!AF63*0.0673*(S13_PSP_Species_Support!AG63*(S13_PSP_Species_Support!AH63*(1-EXP(-S13_PSP_Species_Support!AI63*16))^S13_PSP_Species_Support!AJ63)^2*(S13_PSP_Species_Support!AK63*(1-EXP(-S13_PSP_Species_Support!AL63*16))^S13_PSP_Species_Support!AM63))^0.976,0)+IFERROR(S13_PSP_Species_Support!AQ63*0.0673*(S13_PSP_Species_Support!AR63*(S13_PSP_Species_Support!AS63*(1-EXP(-S13_PSP_Species_Support!AT63*16))^S13_PSP_Species_Support!AU63)^2*(S13_PSP_Species_Support!AV63*(1-EXP(-S13_PSP_Species_Support!AW63*16))^S13_PSP_Species_Support!AX63))^0.976,0)+IFERROR(S13_PSP_Species_Support!BB63*0.0673*(S13_PSP_Species_Support!BC63*(S13_PSP_Species_Support!BD63*(1-EXP(-S13_PSP_Species_Support!BE63*16))^S13_PSP_Species_Support!BF63)^2*(S13_PSP_Species_Support!BG63*(1-EXP(-S13_PSP_Species_Support!BH63*16))^S13_PSP_Species_Support!BI63))^0.976,0)+IFERROR(S13_PSP_Species_Support!BM63*0.0673*(S13_PSP_Species_Support!BN63*(S13_PSP_Species_Support!BO63*(1-EXP(-S13_PSP_Species_Support!BP63*16))^S13_PSP_Species_Support!BQ63)^2*(S13_PSP_Species_Support!BR63*(1-EXP(-S13_PSP_Species_Support!BS63*16))^S13_PSP_Species_Support!BT63))^0.976,0)+IFERROR(S13_PSP_Species_Support!BX63*0.0673*(S13_PSP_Species_Support!BY63*(S13_PSP_Species_Support!BZ63*(1-EXP(-S13_PSP_Species_Support!CA63*16))^S13_PSP_Species_Support!CB63)^2*(S13_PSP_Species_Support!CC63*(1-EXP(-S13_PSP_Species_Support!CD63*16))^S13_PSP_Species_Support!CE63))^0.976,0)+IFERROR(S13_PSP_Species_Support!CI63*0.0673*(S13_PSP_Species_Support!CJ63*(S13_PSP_Species_Support!CK63*(1-EXP(-S13_PSP_Species_Support!CL63*16))^S13_PSP_Species_Support!CM63)^2*(S13_PSP_Species_Support!CN63*(1-EXP(-S13_PSP_Species_Support!CO63*16))^S13_PSP_Species_Support!CP63))^0.976,0)+IFERROR(S13_PSP_Species_Support!CT63*0.0673*(S13_PSP_Species_Support!CU63*(S13_PSP_Species_Support!CV63*(1-EXP(-S13_PSP_Species_Support!CW63*16))^S13_PSP_Species_Support!CX63)^2*(S13_PSP_Species_Support!CY63*(1-EXP(-S13_PSP_Species_Support!CZ63*16))^S13_PSP_Species_Support!DA63))^0.976,0))/1000/$G76*Y$108,0)</x:f>
        <x:v>222.42142522378055</x:v>
      </x:c>
      <x:c r="Z76" s="147" t="n">
        <x:f aca="0">IFERROR((IFERROR(S13_PSP_Species_Support!U63*0.0673*(S13_PSP_Species_Support!V63*(S13_PSP_Species_Support!W63*(1-EXP(-S13_PSP_Species_Support!X63*17))^S13_PSP_Species_Support!Y63)^2*(S13_PSP_Species_Support!Z63*(1-EXP(-S13_PSP_Species_Support!AA63*17))^S13_PSP_Species_Support!AB63))^0.976,0)+IFERROR(S13_PSP_Species_Support!AF63*0.0673*(S13_PSP_Species_Support!AG63*(S13_PSP_Species_Support!AH63*(1-EXP(-S13_PSP_Species_Support!AI63*17))^S13_PSP_Species_Support!AJ63)^2*(S13_PSP_Species_Support!AK63*(1-EXP(-S13_PSP_Species_Support!AL63*17))^S13_PSP_Species_Support!AM63))^0.976,0)+IFERROR(S13_PSP_Species_Support!AQ63*0.0673*(S13_PSP_Species_Support!AR63*(S13_PSP_Species_Support!AS63*(1-EXP(-S13_PSP_Species_Support!AT63*17))^S13_PSP_Species_Support!AU63)^2*(S13_PSP_Species_Support!AV63*(1-EXP(-S13_PSP_Species_Support!AW63*17))^S13_PSP_Species_Support!AX63))^0.976,0)+IFERROR(S13_PSP_Species_Support!BB63*0.0673*(S13_PSP_Species_Support!BC63*(S13_PSP_Species_Support!BD63*(1-EXP(-S13_PSP_Species_Support!BE63*17))^S13_PSP_Species_Support!BF63)^2*(S13_PSP_Species_Support!BG63*(1-EXP(-S13_PSP_Species_Support!BH63*17))^S13_PSP_Species_Support!BI63))^0.976,0)+IFERROR(S13_PSP_Species_Support!BM63*0.0673*(S13_PSP_Species_Support!BN63*(S13_PSP_Species_Support!BO63*(1-EXP(-S13_PSP_Species_Support!BP63*17))^S13_PSP_Species_Support!BQ63)^2*(S13_PSP_Species_Support!BR63*(1-EXP(-S13_PSP_Species_Support!BS63*17))^S13_PSP_Species_Support!BT63))^0.976,0)+IFERROR(S13_PSP_Species_Support!BX63*0.0673*(S13_PSP_Species_Support!BY63*(S13_PSP_Species_Support!BZ63*(1-EXP(-S13_PSP_Species_Support!CA63*17))^S13_PSP_Species_Support!CB63)^2*(S13_PSP_Species_Support!CC63*(1-EXP(-S13_PSP_Species_Support!CD63*17))^S13_PSP_Species_Support!CE63))^0.976,0)+IFERROR(S13_PSP_Species_Support!CI63*0.0673*(S13_PSP_Species_Support!CJ63*(S13_PSP_Species_Support!CK63*(1-EXP(-S13_PSP_Species_Support!CL63*17))^S13_PSP_Species_Support!CM63)^2*(S13_PSP_Species_Support!CN63*(1-EXP(-S13_PSP_Species_Support!CO63*17))^S13_PSP_Species_Support!CP63))^0.976,0)+IFERROR(S13_PSP_Species_Support!CT63*0.0673*(S13_PSP_Species_Support!CU63*(S13_PSP_Species_Support!CV63*(1-EXP(-S13_PSP_Species_Support!CW63*17))^S13_PSP_Species_Support!CX63)^2*(S13_PSP_Species_Support!CY63*(1-EXP(-S13_PSP_Species_Support!CZ63*17))^S13_PSP_Species_Support!DA63))^0.976,0))/1000/$G76*Z$108,0)</x:f>
        <x:v>238.25752995806047</x:v>
      </x:c>
      <x:c r="AA76" s="147" t="n">
        <x:f aca="0">IFERROR((IFERROR(S13_PSP_Species_Support!U63*0.0673*(S13_PSP_Species_Support!V63*(S13_PSP_Species_Support!W63*(1-EXP(-S13_PSP_Species_Support!X63*18))^S13_PSP_Species_Support!Y63)^2*(S13_PSP_Species_Support!Z63*(1-EXP(-S13_PSP_Species_Support!AA63*18))^S13_PSP_Species_Support!AB63))^0.976,0)+IFERROR(S13_PSP_Species_Support!AF63*0.0673*(S13_PSP_Species_Support!AG63*(S13_PSP_Species_Support!AH63*(1-EXP(-S13_PSP_Species_Support!AI63*18))^S13_PSP_Species_Support!AJ63)^2*(S13_PSP_Species_Support!AK63*(1-EXP(-S13_PSP_Species_Support!AL63*18))^S13_PSP_Species_Support!AM63))^0.976,0)+IFERROR(S13_PSP_Species_Support!AQ63*0.0673*(S13_PSP_Species_Support!AR63*(S13_PSP_Species_Support!AS63*(1-EXP(-S13_PSP_Species_Support!AT63*18))^S13_PSP_Species_Support!AU63)^2*(S13_PSP_Species_Support!AV63*(1-EXP(-S13_PSP_Species_Support!AW63*18))^S13_PSP_Species_Support!AX63))^0.976,0)+IFERROR(S13_PSP_Species_Support!BB63*0.0673*(S13_PSP_Species_Support!BC63*(S13_PSP_Species_Support!BD63*(1-EXP(-S13_PSP_Species_Support!BE63*18))^S13_PSP_Species_Support!BF63)^2*(S13_PSP_Species_Support!BG63*(1-EXP(-S13_PSP_Species_Support!BH63*18))^S13_PSP_Species_Support!BI63))^0.976,0)+IFERROR(S13_PSP_Species_Support!BM63*0.0673*(S13_PSP_Species_Support!BN63*(S13_PSP_Species_Support!BO63*(1-EXP(-S13_PSP_Species_Support!BP63*18))^S13_PSP_Species_Support!BQ63)^2*(S13_PSP_Species_Support!BR63*(1-EXP(-S13_PSP_Species_Support!BS63*18))^S13_PSP_Species_Support!BT63))^0.976,0)+IFERROR(S13_PSP_Species_Support!BX63*0.0673*(S13_PSP_Species_Support!BY63*(S13_PSP_Species_Support!BZ63*(1-EXP(-S13_PSP_Species_Support!CA63*18))^S13_PSP_Species_Support!CB63)^2*(S13_PSP_Species_Support!CC63*(1-EXP(-S13_PSP_Species_Support!CD63*18))^S13_PSP_Species_Support!CE63))^0.976,0)+IFERROR(S13_PSP_Species_Support!CI63*0.0673*(S13_PSP_Species_Support!CJ63*(S13_PSP_Species_Support!CK63*(1-EXP(-S13_PSP_Species_Support!CL63*18))^S13_PSP_Species_Support!CM63)^2*(S13_PSP_Species_Support!CN63*(1-EXP(-S13_PSP_Species_Support!CO63*18))^S13_PSP_Species_Support!CP63))^0.976,0)+IFERROR(S13_PSP_Species_Support!CT63*0.0673*(S13_PSP_Species_Support!CU63*(S13_PSP_Species_Support!CV63*(1-EXP(-S13_PSP_Species_Support!CW63*18))^S13_PSP_Species_Support!CX63)^2*(S13_PSP_Species_Support!CY63*(1-EXP(-S13_PSP_Species_Support!CZ63*18))^S13_PSP_Species_Support!DA63))^0.976,0))/1000/$G76*AA$108,0)</x:f>
        <x:v>252.85961056619527</x:v>
      </x:c>
      <x:c r="AB76" s="147" t="n">
        <x:f aca="0">IFERROR((IFERROR(S13_PSP_Species_Support!U63*0.0673*(S13_PSP_Species_Support!V63*(S13_PSP_Species_Support!W63*(1-EXP(-S13_PSP_Species_Support!X63*19))^S13_PSP_Species_Support!Y63)^2*(S13_PSP_Species_Support!Z63*(1-EXP(-S13_PSP_Species_Support!AA63*19))^S13_PSP_Species_Support!AB63))^0.976,0)+IFERROR(S13_PSP_Species_Support!AF63*0.0673*(S13_PSP_Species_Support!AG63*(S13_PSP_Species_Support!AH63*(1-EXP(-S13_PSP_Species_Support!AI63*19))^S13_PSP_Species_Support!AJ63)^2*(S13_PSP_Species_Support!AK63*(1-EXP(-S13_PSP_Species_Support!AL63*19))^S13_PSP_Species_Support!AM63))^0.976,0)+IFERROR(S13_PSP_Species_Support!AQ63*0.0673*(S13_PSP_Species_Support!AR63*(S13_PSP_Species_Support!AS63*(1-EXP(-S13_PSP_Species_Support!AT63*19))^S13_PSP_Species_Support!AU63)^2*(S13_PSP_Species_Support!AV63*(1-EXP(-S13_PSP_Species_Support!AW63*19))^S13_PSP_Species_Support!AX63))^0.976,0)+IFERROR(S13_PSP_Species_Support!BB63*0.0673*(S13_PSP_Species_Support!BC63*(S13_PSP_Species_Support!BD63*(1-EXP(-S13_PSP_Species_Support!BE63*19))^S13_PSP_Species_Support!BF63)^2*(S13_PSP_Species_Support!BG63*(1-EXP(-S13_PSP_Species_Support!BH63*19))^S13_PSP_Species_Support!BI63))^0.976,0)+IFERROR(S13_PSP_Species_Support!BM63*0.0673*(S13_PSP_Species_Support!BN63*(S13_PSP_Species_Support!BO63*(1-EXP(-S13_PSP_Species_Support!BP63*19))^S13_PSP_Species_Support!BQ63)^2*(S13_PSP_Species_Support!BR63*(1-EXP(-S13_PSP_Species_Support!BS63*19))^S13_PSP_Species_Support!BT63))^0.976,0)+IFERROR(S13_PSP_Species_Support!BX63*0.0673*(S13_PSP_Species_Support!BY63*(S13_PSP_Species_Support!BZ63*(1-EXP(-S13_PSP_Species_Support!CA63*19))^S13_PSP_Species_Support!CB63)^2*(S13_PSP_Species_Support!CC63*(1-EXP(-S13_PSP_Species_Support!CD63*19))^S13_PSP_Species_Support!CE63))^0.976,0)+IFERROR(S13_PSP_Species_Support!CI63*0.0673*(S13_PSP_Species_Support!CJ63*(S13_PSP_Species_Support!CK63*(1-EXP(-S13_PSP_Species_Support!CL63*19))^S13_PSP_Species_Support!CM63)^2*(S13_PSP_Species_Support!CN63*(1-EXP(-S13_PSP_Species_Support!CO63*19))^S13_PSP_Species_Support!CP63))^0.976,0)+IFERROR(S13_PSP_Species_Support!CT63*0.0673*(S13_PSP_Species_Support!CU63*(S13_PSP_Species_Support!CV63*(1-EXP(-S13_PSP_Species_Support!CW63*19))^S13_PSP_Species_Support!CX63)^2*(S13_PSP_Species_Support!CY63*(1-EXP(-S13_PSP_Species_Support!CZ63*19))^S13_PSP_Species_Support!DA63))^0.976,0))/1000/$G76*AB$108,0)</x:f>
        <x:v>266.23971738450064</x:v>
      </x:c>
      <x:c r="AC76" s="147" t="n">
        <x:f aca="0">IFERROR((IFERROR(S13_PSP_Species_Support!U63*0.0673*(S13_PSP_Species_Support!V63*(S13_PSP_Species_Support!W63*(1-EXP(-S13_PSP_Species_Support!X63*20))^S13_PSP_Species_Support!Y63)^2*(S13_PSP_Species_Support!Z63*(1-EXP(-S13_PSP_Species_Support!AA63*20))^S13_PSP_Species_Support!AB63))^0.976,0)+IFERROR(S13_PSP_Species_Support!AF63*0.0673*(S13_PSP_Species_Support!AG63*(S13_PSP_Species_Support!AH63*(1-EXP(-S13_PSP_Species_Support!AI63*20))^S13_PSP_Species_Support!AJ63)^2*(S13_PSP_Species_Support!AK63*(1-EXP(-S13_PSP_Species_Support!AL63*20))^S13_PSP_Species_Support!AM63))^0.976,0)+IFERROR(S13_PSP_Species_Support!AQ63*0.0673*(S13_PSP_Species_Support!AR63*(S13_PSP_Species_Support!AS63*(1-EXP(-S13_PSP_Species_Support!AT63*20))^S13_PSP_Species_Support!AU63)^2*(S13_PSP_Species_Support!AV63*(1-EXP(-S13_PSP_Species_Support!AW63*20))^S13_PSP_Species_Support!AX63))^0.976,0)+IFERROR(S13_PSP_Species_Support!BB63*0.0673*(S13_PSP_Species_Support!BC63*(S13_PSP_Species_Support!BD63*(1-EXP(-S13_PSP_Species_Support!BE63*20))^S13_PSP_Species_Support!BF63)^2*(S13_PSP_Species_Support!BG63*(1-EXP(-S13_PSP_Species_Support!BH63*20))^S13_PSP_Species_Support!BI63))^0.976,0)+IFERROR(S13_PSP_Species_Support!BM63*0.0673*(S13_PSP_Species_Support!BN63*(S13_PSP_Species_Support!BO63*(1-EXP(-S13_PSP_Species_Support!BP63*20))^S13_PSP_Species_Support!BQ63)^2*(S13_PSP_Species_Support!BR63*(1-EXP(-S13_PSP_Species_Support!BS63*20))^S13_PSP_Species_Support!BT63))^0.976,0)+IFERROR(S13_PSP_Species_Support!BX63*0.0673*(S13_PSP_Species_Support!BY63*(S13_PSP_Species_Support!BZ63*(1-EXP(-S13_PSP_Species_Support!CA63*20))^S13_PSP_Species_Support!CB63)^2*(S13_PSP_Species_Support!CC63*(1-EXP(-S13_PSP_Species_Support!CD63*20))^S13_PSP_Species_Support!CE63))^0.976,0)+IFERROR(S13_PSP_Species_Support!CI63*0.0673*(S13_PSP_Species_Support!CJ63*(S13_PSP_Species_Support!CK63*(1-EXP(-S13_PSP_Species_Support!CL63*20))^S13_PSP_Species_Support!CM63)^2*(S13_PSP_Species_Support!CN63*(1-EXP(-S13_PSP_Species_Support!CO63*20))^S13_PSP_Species_Support!CP63))^0.976,0)+IFERROR(S13_PSP_Species_Support!CT63*0.0673*(S13_PSP_Species_Support!CU63*(S13_PSP_Species_Support!CV63*(1-EXP(-S13_PSP_Species_Support!CW63*20))^S13_PSP_Species_Support!CX63)^2*(S13_PSP_Species_Support!CY63*(1-EXP(-S13_PSP_Species_Support!CZ63*20))^S13_PSP_Species_Support!DA63))^0.976,0))/1000/$G76*AC$108,0)</x:f>
        <x:v>278.435006085507</x:v>
      </x:c>
      <x:c r="AD76" s="148" t="n">
        <x:f aca="0">IF(2020&lt;$F76,0,INDEX($I76:$AC76,1,2020-$F76+1))</x:f>
        <x:v>0</x:v>
      </x:c>
      <x:c r="AE76" s="148" t="n">
        <x:f aca="0">IF(2021&lt;$F76,0,INDEX($I76:$AC76,1,2021-$F76+1))</x:f>
        <x:v>0</x:v>
      </x:c>
      <x:c r="AF76" s="148" t="n">
        <x:f aca="0">IF(2022&lt;$F76,0,INDEX($I76:$AC76,1,2022-$F76+1))</x:f>
        <x:v>0.08817344710639978</x:v>
      </x:c>
      <x:c r="AG76" s="148" t="n">
        <x:f aca="0">IF(2023&lt;$F76,0,INDEX($I76:$AC76,1,2023-$F76+1))</x:f>
        <x:v>1.0725525826828555</x:v>
      </x:c>
      <x:c r="AH76" s="148" t="n">
        <x:f aca="0">IF(2024&lt;$F76,0,INDEX($I76:$AC76,1,2024-$F76+1))</x:f>
        <x:v>4.193072740007877</x:v>
      </x:c>
      <x:c r="AI76" s="148" t="n">
        <x:f aca="0">IF(2025&lt;$F76,0,INDEX($I76:$AC76,1,2025-$F76+1))</x:f>
        <x:v>10.396332240651919</x:v>
      </x:c>
      <x:c r="AJ76" s="148" t="n">
        <x:f aca="0">IF(2026&lt;$F76,0,INDEX($I76:$AC76,1,2026-$F76+1))</x:f>
        <x:v>20.02661350201846</x:v>
      </x:c>
      <x:c r="AK76" s="148" t="n">
        <x:f aca="0">IF(2027&lt;$F76,0,INDEX($I76:$AC76,1,2027-$F76+1))</x:f>
        <x:v>32.95377543914925</x:v>
      </x:c>
      <x:c r="AL76" s="148" t="n">
        <x:f aca="0">IF(2028&lt;$F76,0,INDEX($I76:$AC76,1,2028-$F76+1))</x:f>
        <x:v>48.72252888121333</x:v>
      </x:c>
      <x:c r="AM76" s="148" t="n">
        <x:f aca="0">IF(2029&lt;$F76,0,INDEX($I76:$AC76,1,2029-$F76+1))</x:f>
        <x:v>66.70713477601963</x:v>
      </x:c>
      <x:c r="AN76" s="148" t="n">
        <x:f aca="0">IF(2030&lt;$F76,0,INDEX($I76:$AC76,1,2030-$F76+1))</x:f>
        <x:v>86.230614383398</x:v>
      </x:c>
      <x:c r="AO76" s="148" t="n">
        <x:f aca="0">IF(2031&lt;$F76,0,INDEX($I76:$AC76,1,2031-$F76+1))</x:f>
        <x:v>106.64440960442445</x:v>
      </x:c>
      <x:c r="AP76" s="148" t="n">
        <x:f aca="0">IF(2032&lt;$F76,0,INDEX($I76:$AC76,1,2032-$F76+1))</x:f>
        <x:v>127.37456732811253</x:v>
      </x:c>
      <x:c r="AQ76" s="148" t="n">
        <x:f aca="0">IF(2033&lt;$F76,0,INDEX($I76:$AC76,1,2033-$F76+1))</x:f>
        <x:v>147.94314565275494</x:v>
      </x:c>
      <x:c r="AR76" s="148" t="n">
        <x:f aca="0">IF(2034&lt;$F76,0,INDEX($I76:$AC76,1,2034-$F76+1))</x:f>
        <x:v>167.97297434036494</x:v>
      </x:c>
      <x:c r="AS76" s="148" t="n">
        <x:f aca="0">IF(2035&lt;$F76,0,INDEX($I76:$AC76,1,2035-$F76+1))</x:f>
        <x:v>187.1822538449541</x:v>
      </x:c>
      <x:c r="AT76" s="148" t="n">
        <x:f aca="0">IF(2036&lt;$F76,0,INDEX($I76:$AC76,1,2036-$F76+1))</x:f>
        <x:v>205.37370140342864</x:v>
      </x:c>
      <x:c r="AU76" s="148" t="n">
        <x:f aca="0">IF(2037&lt;$F76,0,INDEX($I76:$AC76,1,2037-$F76+1))</x:f>
        <x:v>222.42142522378055</x:v>
      </x:c>
      <x:c r="AV76" s="148" t="n">
        <x:f aca="0">IF(2038&lt;$F76,0,INDEX($I76:$AC76,1,2038-$F76+1))</x:f>
        <x:v>238.25752995806047</x:v>
      </x:c>
      <x:c r="AW76" s="148" t="n">
        <x:f aca="0">IF(2039&lt;$F76,0,INDEX($I76:$AC76,1,2039-$F76+1))</x:f>
        <x:v>252.85961056619527</x:v>
      </x:c>
      <x:c r="AX76" s="148" t="n">
        <x:f aca="0">IF(2040&lt;$F76,0,INDEX($I76:$AC76,1,2040-$F76+1))</x:f>
        <x:v>266.23971738450064</x:v>
      </x:c>
      <x:c r="AY76" s="1" t="str">
        <x:f aca="0">LEFT($C76,FIND("@",SUBSTITUTE($C76,"|","@",2))-1)</x:f>
        <x:v>Timber Plantation|Low</x:v>
      </x:c>
      <x:c r="AZ76" s="1" t="str">
        <x:f aca="0">LEFT($C76,FIND("|",$C76)-1)</x:f>
        <x:v>Timber Plantation</x:v>
      </x:c>
      <x:c r="BA76" s="149" t="n">
        <x:f aca="0">I76*I76</x:f>
        <x:v>0</x:v>
      </x:c>
      <x:c r="BB76" s="149" t="n">
        <x:f aca="0">J76*J76</x:f>
        <x:v>0.0077745567746250795</x:v>
      </x:c>
      <x:c r="BC76" s="149" t="n">
        <x:f aca="0">K76*K76</x:f>
        <x:v>1.1503690426196636</x:v>
      </x:c>
      <x:c r="BD76" s="149" t="n">
        <x:f aca="0">L76*L76</x:f>
        <x:v>17.581859002997167</x:v>
      </x:c>
      <x:c r="BE76" s="149" t="n">
        <x:f aca="0">M76*M76</x:f>
        <x:v>108.08372405801855</x:v>
      </x:c>
      <x:c r="BF76" s="149" t="n">
        <x:f aca="0">N76*N76</x:f>
        <x:v>401.06524835922806</x:v>
      </x:c>
      <x:c r="BG76" s="149" t="n">
        <x:f aca="0">O76*O76</x:f>
        <x:v>1085.951315693876</x:v>
      </x:c>
      <x:c r="BH76" s="149" t="n">
        <x:f aca="0">P76*P76</x:f>
        <x:v>2373.884820580667</x:v>
      </x:c>
      <x:c r="BI76" s="149" t="n">
        <x:f aca="0">Q76*Q76</x:f>
        <x:v>4449.841830026047</x:v>
      </x:c>
      <x:c r="BJ76" s="149" t="n">
        <x:f aca="0">R76*R76</x:f>
        <x:v>7435.718856938287</x:v>
      </x:c>
      <x:c r="BK76" s="149" t="n">
        <x:f aca="0">S76*S76</x:f>
        <x:v>11373.030099876258</x:v>
      </x:c>
      <x:c r="BL76" s="149" t="n">
        <x:f aca="0">T76*T76</x:f>
        <x:v>16224.280402023873</x:v>
      </x:c>
      <x:c r="BM76" s="149" t="n">
        <x:f aca="0">U76*U76</x:f>
        <x:v>21887.174345632262</x:v>
      </x:c>
      <x:c r="BN76" s="149" t="n">
        <x:f aca="0">V76*V76</x:f>
        <x:v>28214.9201087489</x:v>
      </x:c>
      <x:c r="BO76" s="149" t="n">
        <x:f aca="0">W76*W76</x:f>
        <x:v>35037.19615447683</x:v>
      </x:c>
      <x:c r="BP76" s="149" t="n">
        <x:f aca="0">X76*X76</x:f>
        <x:v>42178.35722814467</x:v>
      </x:c>
      <x:c r="BQ76" s="149" t="n">
        <x:f aca="0">Y76*Y76</x:f>
        <x:v>49471.2903985778</x:v>
      </x:c>
      <x:c r="BR76" s="149" t="n">
        <x:f aca="0">Z76*Z76</x:f>
        <x:v>56766.65058171609</x:v>
      </x:c>
      <x:c r="BS76" s="149" t="n">
        <x:f aca="0">AA76*AA76</x:f>
        <x:v>63937.982655687934</x:v>
      </x:c>
      <x:c r="BT76" s="149" t="n">
        <x:f aca="0">AB76*AB76</x:f>
        <x:v>70883.58711297877</x:v>
      </x:c>
      <x:c r="BU76" s="149" t="n">
        <x:f aca="0">AC76*AC76</x:f>
        <x:v>77526.0526138363</x:v>
      </x:c>
    </x:row>
    <x:row r="77" ht="15" hidden="0" customHeight="1">
      <x:c r="A77" s="1" t="str">
        <x:f aca="0">S13_PSP_Species_Support!A64</x:f>
        <x:v>PSP-TP-023</x:v>
      </x:c>
      <x:c r="B77" s="1" t="n">
        <x:f aca="0">64</x:f>
        <x:v>64</x:v>
      </x:c>
      <x:c r="C77" s="1" t="str">
        <x:f aca="0">S13_PSP_Species_Support!I64</x:f>
        <x:v>Timber Plantation|Medium|2021</x:v>
      </x:c>
      <x:c r="D77" s="1" t="str">
        <x:f aca="0">S13_PSP_Species_Support!C64</x:f>
        <x:v>Timber Plantation</x:v>
      </x:c>
      <x:c r="E77" s="1" t="str">
        <x:f aca="0">S13_PSP_Species_Support!D64</x:f>
        <x:v>Medium</x:v>
      </x:c>
      <x:c r="F77" s="1" t="n">
        <x:f aca="0">S13_PSP_Species_Support!E64</x:f>
        <x:v>2021</x:v>
      </x:c>
      <x:c r="G77" s="645" t="n">
        <x:f aca="0">'S13_PSP_Species_Support'!DJ64</x:f>
        <x:v>0.09</x:v>
      </x:c>
      <x:c r="H77" s="714" t="n">
        <x:f aca="0">'S13_PSP_Species_Support'!DK64</x:f>
        <x:v>143.67816091954023</x:v>
      </x:c>
      <x:c r="I77" s="147" t="n">
        <x:f aca="0">IFERROR((IFERROR(S13_PSP_Species_Support!U64*0.0673*(S13_PSP_Species_Support!V64*(S13_PSP_Species_Support!W64*(1-EXP(-S13_PSP_Species_Support!X64*0))^S13_PSP_Species_Support!Y64)^2*(S13_PSP_Species_Support!Z64*(1-EXP(-S13_PSP_Species_Support!AA64*0))^S13_PSP_Species_Support!AB64))^0.976,0)+IFERROR(S13_PSP_Species_Support!AF64*0.0673*(S13_PSP_Species_Support!AG64*(S13_PSP_Species_Support!AH64*(1-EXP(-S13_PSP_Species_Support!AI64*0))^S13_PSP_Species_Support!AJ64)^2*(S13_PSP_Species_Support!AK64*(1-EXP(-S13_PSP_Species_Support!AL64*0))^S13_PSP_Species_Support!AM64))^0.976,0)+IFERROR(S13_PSP_Species_Support!AQ64*0.0673*(S13_PSP_Species_Support!AR64*(S13_PSP_Species_Support!AS64*(1-EXP(-S13_PSP_Species_Support!AT64*0))^S13_PSP_Species_Support!AU64)^2*(S13_PSP_Species_Support!AV64*(1-EXP(-S13_PSP_Species_Support!AW64*0))^S13_PSP_Species_Support!AX64))^0.976,0)+IFERROR(S13_PSP_Species_Support!BB64*0.0673*(S13_PSP_Species_Support!BC64*(S13_PSP_Species_Support!BD64*(1-EXP(-S13_PSP_Species_Support!BE64*0))^S13_PSP_Species_Support!BF64)^2*(S13_PSP_Species_Support!BG64*(1-EXP(-S13_PSP_Species_Support!BH64*0))^S13_PSP_Species_Support!BI64))^0.976,0)+IFERROR(S13_PSP_Species_Support!BM64*0.0673*(S13_PSP_Species_Support!BN64*(S13_PSP_Species_Support!BO64*(1-EXP(-S13_PSP_Species_Support!BP64*0))^S13_PSP_Species_Support!BQ64)^2*(S13_PSP_Species_Support!BR64*(1-EXP(-S13_PSP_Species_Support!BS64*0))^S13_PSP_Species_Support!BT64))^0.976,0)+IFERROR(S13_PSP_Species_Support!BX64*0.0673*(S13_PSP_Species_Support!BY64*(S13_PSP_Species_Support!BZ64*(1-EXP(-S13_PSP_Species_Support!CA64*0))^S13_PSP_Species_Support!CB64)^2*(S13_PSP_Species_Support!CC64*(1-EXP(-S13_PSP_Species_Support!CD64*0))^S13_PSP_Species_Support!CE64))^0.976,0)+IFERROR(S13_PSP_Species_Support!CI64*0.0673*(S13_PSP_Species_Support!CJ64*(S13_PSP_Species_Support!CK64*(1-EXP(-S13_PSP_Species_Support!CL64*0))^S13_PSP_Species_Support!CM64)^2*(S13_PSP_Species_Support!CN64*(1-EXP(-S13_PSP_Species_Support!CO64*0))^S13_PSP_Species_Support!CP64))^0.976,0)+IFERROR(S13_PSP_Species_Support!CT64*0.0673*(S13_PSP_Species_Support!CU64*(S13_PSP_Species_Support!CV64*(1-EXP(-S13_PSP_Species_Support!CW64*0))^S13_PSP_Species_Support!CX64)^2*(S13_PSP_Species_Support!CY64*(1-EXP(-S13_PSP_Species_Support!CZ64*0))^S13_PSP_Species_Support!DA64))^0.976,0))/1000/$G77*I$108,0)</x:f>
        <x:v>0</x:v>
      </x:c>
      <x:c r="J77" s="147" t="n">
        <x:f aca="0">IFERROR((IFERROR(S13_PSP_Species_Support!U64*0.0673*(S13_PSP_Species_Support!V64*(S13_PSP_Species_Support!W64*(1-EXP(-S13_PSP_Species_Support!X64*1))^S13_PSP_Species_Support!Y64)^2*(S13_PSP_Species_Support!Z64*(1-EXP(-S13_PSP_Species_Support!AA64*1))^S13_PSP_Species_Support!AB64))^0.976,0)+IFERROR(S13_PSP_Species_Support!AF64*0.0673*(S13_PSP_Species_Support!AG64*(S13_PSP_Species_Support!AH64*(1-EXP(-S13_PSP_Species_Support!AI64*1))^S13_PSP_Species_Support!AJ64)^2*(S13_PSP_Species_Support!AK64*(1-EXP(-S13_PSP_Species_Support!AL64*1))^S13_PSP_Species_Support!AM64))^0.976,0)+IFERROR(S13_PSP_Species_Support!AQ64*0.0673*(S13_PSP_Species_Support!AR64*(S13_PSP_Species_Support!AS64*(1-EXP(-S13_PSP_Species_Support!AT64*1))^S13_PSP_Species_Support!AU64)^2*(S13_PSP_Species_Support!AV64*(1-EXP(-S13_PSP_Species_Support!AW64*1))^S13_PSP_Species_Support!AX64))^0.976,0)+IFERROR(S13_PSP_Species_Support!BB64*0.0673*(S13_PSP_Species_Support!BC64*(S13_PSP_Species_Support!BD64*(1-EXP(-S13_PSP_Species_Support!BE64*1))^S13_PSP_Species_Support!BF64)^2*(S13_PSP_Species_Support!BG64*(1-EXP(-S13_PSP_Species_Support!BH64*1))^S13_PSP_Species_Support!BI64))^0.976,0)+IFERROR(S13_PSP_Species_Support!BM64*0.0673*(S13_PSP_Species_Support!BN64*(S13_PSP_Species_Support!BO64*(1-EXP(-S13_PSP_Species_Support!BP64*1))^S13_PSP_Species_Support!BQ64)^2*(S13_PSP_Species_Support!BR64*(1-EXP(-S13_PSP_Species_Support!BS64*1))^S13_PSP_Species_Support!BT64))^0.976,0)+IFERROR(S13_PSP_Species_Support!BX64*0.0673*(S13_PSP_Species_Support!BY64*(S13_PSP_Species_Support!BZ64*(1-EXP(-S13_PSP_Species_Support!CA64*1))^S13_PSP_Species_Support!CB64)^2*(S13_PSP_Species_Support!CC64*(1-EXP(-S13_PSP_Species_Support!CD64*1))^S13_PSP_Species_Support!CE64))^0.976,0)+IFERROR(S13_PSP_Species_Support!CI64*0.0673*(S13_PSP_Species_Support!CJ64*(S13_PSP_Species_Support!CK64*(1-EXP(-S13_PSP_Species_Support!CL64*1))^S13_PSP_Species_Support!CM64)^2*(S13_PSP_Species_Support!CN64*(1-EXP(-S13_PSP_Species_Support!CO64*1))^S13_PSP_Species_Support!CP64))^0.976,0)+IFERROR(S13_PSP_Species_Support!CT64*0.0673*(S13_PSP_Species_Support!CU64*(S13_PSP_Species_Support!CV64*(1-EXP(-S13_PSP_Species_Support!CW64*1))^S13_PSP_Species_Support!CX64)^2*(S13_PSP_Species_Support!CY64*(1-EXP(-S13_PSP_Species_Support!CZ64*1))^S13_PSP_Species_Support!DA64))^0.976,0))/1000/$G77*J$108,0)</x:f>
        <x:v>3.4945325301023185</x:v>
      </x:c>
      <x:c r="K77" s="147" t="n">
        <x:f aca="0">IFERROR((IFERROR(S13_PSP_Species_Support!U64*0.0673*(S13_PSP_Species_Support!V64*(S13_PSP_Species_Support!W64*(1-EXP(-S13_PSP_Species_Support!X64*2))^S13_PSP_Species_Support!Y64)^2*(S13_PSP_Species_Support!Z64*(1-EXP(-S13_PSP_Species_Support!AA64*2))^S13_PSP_Species_Support!AB64))^0.976,0)+IFERROR(S13_PSP_Species_Support!AF64*0.0673*(S13_PSP_Species_Support!AG64*(S13_PSP_Species_Support!AH64*(1-EXP(-S13_PSP_Species_Support!AI64*2))^S13_PSP_Species_Support!AJ64)^2*(S13_PSP_Species_Support!AK64*(1-EXP(-S13_PSP_Species_Support!AL64*2))^S13_PSP_Species_Support!AM64))^0.976,0)+IFERROR(S13_PSP_Species_Support!AQ64*0.0673*(S13_PSP_Species_Support!AR64*(S13_PSP_Species_Support!AS64*(1-EXP(-S13_PSP_Species_Support!AT64*2))^S13_PSP_Species_Support!AU64)^2*(S13_PSP_Species_Support!AV64*(1-EXP(-S13_PSP_Species_Support!AW64*2))^S13_PSP_Species_Support!AX64))^0.976,0)+IFERROR(S13_PSP_Species_Support!BB64*0.0673*(S13_PSP_Species_Support!BC64*(S13_PSP_Species_Support!BD64*(1-EXP(-S13_PSP_Species_Support!BE64*2))^S13_PSP_Species_Support!BF64)^2*(S13_PSP_Species_Support!BG64*(1-EXP(-S13_PSP_Species_Support!BH64*2))^S13_PSP_Species_Support!BI64))^0.976,0)+IFERROR(S13_PSP_Species_Support!BM64*0.0673*(S13_PSP_Species_Support!BN64*(S13_PSP_Species_Support!BO64*(1-EXP(-S13_PSP_Species_Support!BP64*2))^S13_PSP_Species_Support!BQ64)^2*(S13_PSP_Species_Support!BR64*(1-EXP(-S13_PSP_Species_Support!BS64*2))^S13_PSP_Species_Support!BT64))^0.976,0)+IFERROR(S13_PSP_Species_Support!BX64*0.0673*(S13_PSP_Species_Support!BY64*(S13_PSP_Species_Support!BZ64*(1-EXP(-S13_PSP_Species_Support!CA64*2))^S13_PSP_Species_Support!CB64)^2*(S13_PSP_Species_Support!CC64*(1-EXP(-S13_PSP_Species_Support!CD64*2))^S13_PSP_Species_Support!CE64))^0.976,0)+IFERROR(S13_PSP_Species_Support!CI64*0.0673*(S13_PSP_Species_Support!CJ64*(S13_PSP_Species_Support!CK64*(1-EXP(-S13_PSP_Species_Support!CL64*2))^S13_PSP_Species_Support!CM64)^2*(S13_PSP_Species_Support!CN64*(1-EXP(-S13_PSP_Species_Support!CO64*2))^S13_PSP_Species_Support!CP64))^0.976,0)+IFERROR(S13_PSP_Species_Support!CT64*0.0673*(S13_PSP_Species_Support!CU64*(S13_PSP_Species_Support!CV64*(1-EXP(-S13_PSP_Species_Support!CW64*2))^S13_PSP_Species_Support!CX64)^2*(S13_PSP_Species_Support!CY64*(1-EXP(-S13_PSP_Species_Support!CZ64*2))^S13_PSP_Species_Support!DA64))^0.976,0))/1000/$G77*K$108,0)</x:f>
        <x:v>32.96911149426839</x:v>
      </x:c>
      <x:c r="L77" s="147" t="n">
        <x:f aca="0">IFERROR((IFERROR(S13_PSP_Species_Support!U64*0.0673*(S13_PSP_Species_Support!V64*(S13_PSP_Species_Support!W64*(1-EXP(-S13_PSP_Species_Support!X64*3))^S13_PSP_Species_Support!Y64)^2*(S13_PSP_Species_Support!Z64*(1-EXP(-S13_PSP_Species_Support!AA64*3))^S13_PSP_Species_Support!AB64))^0.976,0)+IFERROR(S13_PSP_Species_Support!AF64*0.0673*(S13_PSP_Species_Support!AG64*(S13_PSP_Species_Support!AH64*(1-EXP(-S13_PSP_Species_Support!AI64*3))^S13_PSP_Species_Support!AJ64)^2*(S13_PSP_Species_Support!AK64*(1-EXP(-S13_PSP_Species_Support!AL64*3))^S13_PSP_Species_Support!AM64))^0.976,0)+IFERROR(S13_PSP_Species_Support!AQ64*0.0673*(S13_PSP_Species_Support!AR64*(S13_PSP_Species_Support!AS64*(1-EXP(-S13_PSP_Species_Support!AT64*3))^S13_PSP_Species_Support!AU64)^2*(S13_PSP_Species_Support!AV64*(1-EXP(-S13_PSP_Species_Support!AW64*3))^S13_PSP_Species_Support!AX64))^0.976,0)+IFERROR(S13_PSP_Species_Support!BB64*0.0673*(S13_PSP_Species_Support!BC64*(S13_PSP_Species_Support!BD64*(1-EXP(-S13_PSP_Species_Support!BE64*3))^S13_PSP_Species_Support!BF64)^2*(S13_PSP_Species_Support!BG64*(1-EXP(-S13_PSP_Species_Support!BH64*3))^S13_PSP_Species_Support!BI64))^0.976,0)+IFERROR(S13_PSP_Species_Support!BM64*0.0673*(S13_PSP_Species_Support!BN64*(S13_PSP_Species_Support!BO64*(1-EXP(-S13_PSP_Species_Support!BP64*3))^S13_PSP_Species_Support!BQ64)^2*(S13_PSP_Species_Support!BR64*(1-EXP(-S13_PSP_Species_Support!BS64*3))^S13_PSP_Species_Support!BT64))^0.976,0)+IFERROR(S13_PSP_Species_Support!BX64*0.0673*(S13_PSP_Species_Support!BY64*(S13_PSP_Species_Support!BZ64*(1-EXP(-S13_PSP_Species_Support!CA64*3))^S13_PSP_Species_Support!CB64)^2*(S13_PSP_Species_Support!CC64*(1-EXP(-S13_PSP_Species_Support!CD64*3))^S13_PSP_Species_Support!CE64))^0.976,0)+IFERROR(S13_PSP_Species_Support!CI64*0.0673*(S13_PSP_Species_Support!CJ64*(S13_PSP_Species_Support!CK64*(1-EXP(-S13_PSP_Species_Support!CL64*3))^S13_PSP_Species_Support!CM64)^2*(S13_PSP_Species_Support!CN64*(1-EXP(-S13_PSP_Species_Support!CO64*3))^S13_PSP_Species_Support!CP64))^0.976,0)+IFERROR(S13_PSP_Species_Support!CT64*0.0673*(S13_PSP_Species_Support!CU64*(S13_PSP_Species_Support!CV64*(1-EXP(-S13_PSP_Species_Support!CW64*3))^S13_PSP_Species_Support!CX64)^2*(S13_PSP_Species_Support!CY64*(1-EXP(-S13_PSP_Species_Support!CZ64*3))^S13_PSP_Species_Support!DA64))^0.976,0))/1000/$G77*L$108,0)</x:f>
        <x:v>109.11433009059655</x:v>
      </x:c>
      <x:c r="M77" s="147" t="n">
        <x:f aca="0">IFERROR((IFERROR(S13_PSP_Species_Support!U64*0.0673*(S13_PSP_Species_Support!V64*(S13_PSP_Species_Support!W64*(1-EXP(-S13_PSP_Species_Support!X64*4))^S13_PSP_Species_Support!Y64)^2*(S13_PSP_Species_Support!Z64*(1-EXP(-S13_PSP_Species_Support!AA64*4))^S13_PSP_Species_Support!AB64))^0.976,0)+IFERROR(S13_PSP_Species_Support!AF64*0.0673*(S13_PSP_Species_Support!AG64*(S13_PSP_Species_Support!AH64*(1-EXP(-S13_PSP_Species_Support!AI64*4))^S13_PSP_Species_Support!AJ64)^2*(S13_PSP_Species_Support!AK64*(1-EXP(-S13_PSP_Species_Support!AL64*4))^S13_PSP_Species_Support!AM64))^0.976,0)+IFERROR(S13_PSP_Species_Support!AQ64*0.0673*(S13_PSP_Species_Support!AR64*(S13_PSP_Species_Support!AS64*(1-EXP(-S13_PSP_Species_Support!AT64*4))^S13_PSP_Species_Support!AU64)^2*(S13_PSP_Species_Support!AV64*(1-EXP(-S13_PSP_Species_Support!AW64*4))^S13_PSP_Species_Support!AX64))^0.976,0)+IFERROR(S13_PSP_Species_Support!BB64*0.0673*(S13_PSP_Species_Support!BC64*(S13_PSP_Species_Support!BD64*(1-EXP(-S13_PSP_Species_Support!BE64*4))^S13_PSP_Species_Support!BF64)^2*(S13_PSP_Species_Support!BG64*(1-EXP(-S13_PSP_Species_Support!BH64*4))^S13_PSP_Species_Support!BI64))^0.976,0)+IFERROR(S13_PSP_Species_Support!BM64*0.0673*(S13_PSP_Species_Support!BN64*(S13_PSP_Species_Support!BO64*(1-EXP(-S13_PSP_Species_Support!BP64*4))^S13_PSP_Species_Support!BQ64)^2*(S13_PSP_Species_Support!BR64*(1-EXP(-S13_PSP_Species_Support!BS64*4))^S13_PSP_Species_Support!BT64))^0.976,0)+IFERROR(S13_PSP_Species_Support!BX64*0.0673*(S13_PSP_Species_Support!BY64*(S13_PSP_Species_Support!BZ64*(1-EXP(-S13_PSP_Species_Support!CA64*4))^S13_PSP_Species_Support!CB64)^2*(S13_PSP_Species_Support!CC64*(1-EXP(-S13_PSP_Species_Support!CD64*4))^S13_PSP_Species_Support!CE64))^0.976,0)+IFERROR(S13_PSP_Species_Support!CI64*0.0673*(S13_PSP_Species_Support!CJ64*(S13_PSP_Species_Support!CK64*(1-EXP(-S13_PSP_Species_Support!CL64*4))^S13_PSP_Species_Support!CM64)^2*(S13_PSP_Species_Support!CN64*(1-EXP(-S13_PSP_Species_Support!CO64*4))^S13_PSP_Species_Support!CP64))^0.976,0)+IFERROR(S13_PSP_Species_Support!CT64*0.0673*(S13_PSP_Species_Support!CU64*(S13_PSP_Species_Support!CV64*(1-EXP(-S13_PSP_Species_Support!CW64*4))^S13_PSP_Species_Support!CX64)^2*(S13_PSP_Species_Support!CY64*(1-EXP(-S13_PSP_Species_Support!CZ64*4))^S13_PSP_Species_Support!DA64))^0.976,0))/1000/$G77*M$108,0)</x:f>
        <x:v>237.84570210659453</x:v>
      </x:c>
      <x:c r="N77" s="147" t="n">
        <x:f aca="0">IFERROR((IFERROR(S13_PSP_Species_Support!U64*0.0673*(S13_PSP_Species_Support!V64*(S13_PSP_Species_Support!W64*(1-EXP(-S13_PSP_Species_Support!X64*5))^S13_PSP_Species_Support!Y64)^2*(S13_PSP_Species_Support!Z64*(1-EXP(-S13_PSP_Species_Support!AA64*5))^S13_PSP_Species_Support!AB64))^0.976,0)+IFERROR(S13_PSP_Species_Support!AF64*0.0673*(S13_PSP_Species_Support!AG64*(S13_PSP_Species_Support!AH64*(1-EXP(-S13_PSP_Species_Support!AI64*5))^S13_PSP_Species_Support!AJ64)^2*(S13_PSP_Species_Support!AK64*(1-EXP(-S13_PSP_Species_Support!AL64*5))^S13_PSP_Species_Support!AM64))^0.976,0)+IFERROR(S13_PSP_Species_Support!AQ64*0.0673*(S13_PSP_Species_Support!AR64*(S13_PSP_Species_Support!AS64*(1-EXP(-S13_PSP_Species_Support!AT64*5))^S13_PSP_Species_Support!AU64)^2*(S13_PSP_Species_Support!AV64*(1-EXP(-S13_PSP_Species_Support!AW64*5))^S13_PSP_Species_Support!AX64))^0.976,0)+IFERROR(S13_PSP_Species_Support!BB64*0.0673*(S13_PSP_Species_Support!BC64*(S13_PSP_Species_Support!BD64*(1-EXP(-S13_PSP_Species_Support!BE64*5))^S13_PSP_Species_Support!BF64)^2*(S13_PSP_Species_Support!BG64*(1-EXP(-S13_PSP_Species_Support!BH64*5))^S13_PSP_Species_Support!BI64))^0.976,0)+IFERROR(S13_PSP_Species_Support!BM64*0.0673*(S13_PSP_Species_Support!BN64*(S13_PSP_Species_Support!BO64*(1-EXP(-S13_PSP_Species_Support!BP64*5))^S13_PSP_Species_Support!BQ64)^2*(S13_PSP_Species_Support!BR64*(1-EXP(-S13_PSP_Species_Support!BS64*5))^S13_PSP_Species_Support!BT64))^0.976,0)+IFERROR(S13_PSP_Species_Support!BX64*0.0673*(S13_PSP_Species_Support!BY64*(S13_PSP_Species_Support!BZ64*(1-EXP(-S13_PSP_Species_Support!CA64*5))^S13_PSP_Species_Support!CB64)^2*(S13_PSP_Species_Support!CC64*(1-EXP(-S13_PSP_Species_Support!CD64*5))^S13_PSP_Species_Support!CE64))^0.976,0)+IFERROR(S13_PSP_Species_Support!CI64*0.0673*(S13_PSP_Species_Support!CJ64*(S13_PSP_Species_Support!CK64*(1-EXP(-S13_PSP_Species_Support!CL64*5))^S13_PSP_Species_Support!CM64)^2*(S13_PSP_Species_Support!CN64*(1-EXP(-S13_PSP_Species_Support!CO64*5))^S13_PSP_Species_Support!CP64))^0.976,0)+IFERROR(S13_PSP_Species_Support!CT64*0.0673*(S13_PSP_Species_Support!CU64*(S13_PSP_Species_Support!CV64*(1-EXP(-S13_PSP_Species_Support!CW64*5))^S13_PSP_Species_Support!CX64)^2*(S13_PSP_Species_Support!CY64*(1-EXP(-S13_PSP_Species_Support!CZ64*5))^S13_PSP_Species_Support!DA64))^0.976,0))/1000/$G77*N$108,0)</x:f>
        <x:v>411.814117431424</x:v>
      </x:c>
      <x:c r="O77" s="147" t="n">
        <x:f aca="0">IFERROR((IFERROR(S13_PSP_Species_Support!U64*0.0673*(S13_PSP_Species_Support!V64*(S13_PSP_Species_Support!W64*(1-EXP(-S13_PSP_Species_Support!X64*6))^S13_PSP_Species_Support!Y64)^2*(S13_PSP_Species_Support!Z64*(1-EXP(-S13_PSP_Species_Support!AA64*6))^S13_PSP_Species_Support!AB64))^0.976,0)+IFERROR(S13_PSP_Species_Support!AF64*0.0673*(S13_PSP_Species_Support!AG64*(S13_PSP_Species_Support!AH64*(1-EXP(-S13_PSP_Species_Support!AI64*6))^S13_PSP_Species_Support!AJ64)^2*(S13_PSP_Species_Support!AK64*(1-EXP(-S13_PSP_Species_Support!AL64*6))^S13_PSP_Species_Support!AM64))^0.976,0)+IFERROR(S13_PSP_Species_Support!AQ64*0.0673*(S13_PSP_Species_Support!AR64*(S13_PSP_Species_Support!AS64*(1-EXP(-S13_PSP_Species_Support!AT64*6))^S13_PSP_Species_Support!AU64)^2*(S13_PSP_Species_Support!AV64*(1-EXP(-S13_PSP_Species_Support!AW64*6))^S13_PSP_Species_Support!AX64))^0.976,0)+IFERROR(S13_PSP_Species_Support!BB64*0.0673*(S13_PSP_Species_Support!BC64*(S13_PSP_Species_Support!BD64*(1-EXP(-S13_PSP_Species_Support!BE64*6))^S13_PSP_Species_Support!BF64)^2*(S13_PSP_Species_Support!BG64*(1-EXP(-S13_PSP_Species_Support!BH64*6))^S13_PSP_Species_Support!BI64))^0.976,0)+IFERROR(S13_PSP_Species_Support!BM64*0.0673*(S13_PSP_Species_Support!BN64*(S13_PSP_Species_Support!BO64*(1-EXP(-S13_PSP_Species_Support!BP64*6))^S13_PSP_Species_Support!BQ64)^2*(S13_PSP_Species_Support!BR64*(1-EXP(-S13_PSP_Species_Support!BS64*6))^S13_PSP_Species_Support!BT64))^0.976,0)+IFERROR(S13_PSP_Species_Support!BX64*0.0673*(S13_PSP_Species_Support!BY64*(S13_PSP_Species_Support!BZ64*(1-EXP(-S13_PSP_Species_Support!CA64*6))^S13_PSP_Species_Support!CB64)^2*(S13_PSP_Species_Support!CC64*(1-EXP(-S13_PSP_Species_Support!CD64*6))^S13_PSP_Species_Support!CE64))^0.976,0)+IFERROR(S13_PSP_Species_Support!CI64*0.0673*(S13_PSP_Species_Support!CJ64*(S13_PSP_Species_Support!CK64*(1-EXP(-S13_PSP_Species_Support!CL64*6))^S13_PSP_Species_Support!CM64)^2*(S13_PSP_Species_Support!CN64*(1-EXP(-S13_PSP_Species_Support!CO64*6))^S13_PSP_Species_Support!CP64))^0.976,0)+IFERROR(S13_PSP_Species_Support!CT64*0.0673*(S13_PSP_Species_Support!CU64*(S13_PSP_Species_Support!CV64*(1-EXP(-S13_PSP_Species_Support!CW64*6))^S13_PSP_Species_Support!CX64)^2*(S13_PSP_Species_Support!CY64*(1-EXP(-S13_PSP_Species_Support!CZ64*6))^S13_PSP_Species_Support!DA64))^0.976,0))/1000/$G77*O$108,0)</x:f>
        <x:v>618.3658553894309</x:v>
      </x:c>
      <x:c r="P77" s="147" t="n">
        <x:f aca="0">IFERROR((IFERROR(S13_PSP_Species_Support!U64*0.0673*(S13_PSP_Species_Support!V64*(S13_PSP_Species_Support!W64*(1-EXP(-S13_PSP_Species_Support!X64*7))^S13_PSP_Species_Support!Y64)^2*(S13_PSP_Species_Support!Z64*(1-EXP(-S13_PSP_Species_Support!AA64*7))^S13_PSP_Species_Support!AB64))^0.976,0)+IFERROR(S13_PSP_Species_Support!AF64*0.0673*(S13_PSP_Species_Support!AG64*(S13_PSP_Species_Support!AH64*(1-EXP(-S13_PSP_Species_Support!AI64*7))^S13_PSP_Species_Support!AJ64)^2*(S13_PSP_Species_Support!AK64*(1-EXP(-S13_PSP_Species_Support!AL64*7))^S13_PSP_Species_Support!AM64))^0.976,0)+IFERROR(S13_PSP_Species_Support!AQ64*0.0673*(S13_PSP_Species_Support!AR64*(S13_PSP_Species_Support!AS64*(1-EXP(-S13_PSP_Species_Support!AT64*7))^S13_PSP_Species_Support!AU64)^2*(S13_PSP_Species_Support!AV64*(1-EXP(-S13_PSP_Species_Support!AW64*7))^S13_PSP_Species_Support!AX64))^0.976,0)+IFERROR(S13_PSP_Species_Support!BB64*0.0673*(S13_PSP_Species_Support!BC64*(S13_PSP_Species_Support!BD64*(1-EXP(-S13_PSP_Species_Support!BE64*7))^S13_PSP_Species_Support!BF64)^2*(S13_PSP_Species_Support!BG64*(1-EXP(-S13_PSP_Species_Support!BH64*7))^S13_PSP_Species_Support!BI64))^0.976,0)+IFERROR(S13_PSP_Species_Support!BM64*0.0673*(S13_PSP_Species_Support!BN64*(S13_PSP_Species_Support!BO64*(1-EXP(-S13_PSP_Species_Support!BP64*7))^S13_PSP_Species_Support!BQ64)^2*(S13_PSP_Species_Support!BR64*(1-EXP(-S13_PSP_Species_Support!BS64*7))^S13_PSP_Species_Support!BT64))^0.976,0)+IFERROR(S13_PSP_Species_Support!BX64*0.0673*(S13_PSP_Species_Support!BY64*(S13_PSP_Species_Support!BZ64*(1-EXP(-S13_PSP_Species_Support!CA64*7))^S13_PSP_Species_Support!CB64)^2*(S13_PSP_Species_Support!CC64*(1-EXP(-S13_PSP_Species_Support!CD64*7))^S13_PSP_Species_Support!CE64))^0.976,0)+IFERROR(S13_PSP_Species_Support!CI64*0.0673*(S13_PSP_Species_Support!CJ64*(S13_PSP_Species_Support!CK64*(1-EXP(-S13_PSP_Species_Support!CL64*7))^S13_PSP_Species_Support!CM64)^2*(S13_PSP_Species_Support!CN64*(1-EXP(-S13_PSP_Species_Support!CO64*7))^S13_PSP_Species_Support!CP64))^0.976,0)+IFERROR(S13_PSP_Species_Support!CT64*0.0673*(S13_PSP_Species_Support!CU64*(S13_PSP_Species_Support!CV64*(1-EXP(-S13_PSP_Species_Support!CW64*7))^S13_PSP_Species_Support!CX64)^2*(S13_PSP_Species_Support!CY64*(1-EXP(-S13_PSP_Species_Support!CZ64*7))^S13_PSP_Species_Support!DA64))^0.976,0))/1000/$G77*P$108,0)</x:f>
        <x:v>843.8018054895438</x:v>
      </x:c>
      <x:c r="Q77" s="147" t="n">
        <x:f aca="0">IFERROR((IFERROR(S13_PSP_Species_Support!U64*0.0673*(S13_PSP_Species_Support!V64*(S13_PSP_Species_Support!W64*(1-EXP(-S13_PSP_Species_Support!X64*8))^S13_PSP_Species_Support!Y64)^2*(S13_PSP_Species_Support!Z64*(1-EXP(-S13_PSP_Species_Support!AA64*8))^S13_PSP_Species_Support!AB64))^0.976,0)+IFERROR(S13_PSP_Species_Support!AF64*0.0673*(S13_PSP_Species_Support!AG64*(S13_PSP_Species_Support!AH64*(1-EXP(-S13_PSP_Species_Support!AI64*8))^S13_PSP_Species_Support!AJ64)^2*(S13_PSP_Species_Support!AK64*(1-EXP(-S13_PSP_Species_Support!AL64*8))^S13_PSP_Species_Support!AM64))^0.976,0)+IFERROR(S13_PSP_Species_Support!AQ64*0.0673*(S13_PSP_Species_Support!AR64*(S13_PSP_Species_Support!AS64*(1-EXP(-S13_PSP_Species_Support!AT64*8))^S13_PSP_Species_Support!AU64)^2*(S13_PSP_Species_Support!AV64*(1-EXP(-S13_PSP_Species_Support!AW64*8))^S13_PSP_Species_Support!AX64))^0.976,0)+IFERROR(S13_PSP_Species_Support!BB64*0.0673*(S13_PSP_Species_Support!BC64*(S13_PSP_Species_Support!BD64*(1-EXP(-S13_PSP_Species_Support!BE64*8))^S13_PSP_Species_Support!BF64)^2*(S13_PSP_Species_Support!BG64*(1-EXP(-S13_PSP_Species_Support!BH64*8))^S13_PSP_Species_Support!BI64))^0.976,0)+IFERROR(S13_PSP_Species_Support!BM64*0.0673*(S13_PSP_Species_Support!BN64*(S13_PSP_Species_Support!BO64*(1-EXP(-S13_PSP_Species_Support!BP64*8))^S13_PSP_Species_Support!BQ64)^2*(S13_PSP_Species_Support!BR64*(1-EXP(-S13_PSP_Species_Support!BS64*8))^S13_PSP_Species_Support!BT64))^0.976,0)+IFERROR(S13_PSP_Species_Support!BX64*0.0673*(S13_PSP_Species_Support!BY64*(S13_PSP_Species_Support!BZ64*(1-EXP(-S13_PSP_Species_Support!CA64*8))^S13_PSP_Species_Support!CB64)^2*(S13_PSP_Species_Support!CC64*(1-EXP(-S13_PSP_Species_Support!CD64*8))^S13_PSP_Species_Support!CE64))^0.976,0)+IFERROR(S13_PSP_Species_Support!CI64*0.0673*(S13_PSP_Species_Support!CJ64*(S13_PSP_Species_Support!CK64*(1-EXP(-S13_PSP_Species_Support!CL64*8))^S13_PSP_Species_Support!CM64)^2*(S13_PSP_Species_Support!CN64*(1-EXP(-S13_PSP_Species_Support!CO64*8))^S13_PSP_Species_Support!CP64))^0.976,0)+IFERROR(S13_PSP_Species_Support!CT64*0.0673*(S13_PSP_Species_Support!CU64*(S13_PSP_Species_Support!CV64*(1-EXP(-S13_PSP_Species_Support!CW64*8))^S13_PSP_Species_Support!CX64)^2*(S13_PSP_Species_Support!CY64*(1-EXP(-S13_PSP_Species_Support!CZ64*8))^S13_PSP_Species_Support!DA64))^0.976,0))/1000/$G77*Q$108,0)</x:f>
        <x:v>1075.9077439792316</x:v>
      </x:c>
      <x:c r="R77" s="147" t="n">
        <x:f aca="0">IFERROR((IFERROR(S13_PSP_Species_Support!U64*0.0673*(S13_PSP_Species_Support!V64*(S13_PSP_Species_Support!W64*(1-EXP(-S13_PSP_Species_Support!X64*9))^S13_PSP_Species_Support!Y64)^2*(S13_PSP_Species_Support!Z64*(1-EXP(-S13_PSP_Species_Support!AA64*9))^S13_PSP_Species_Support!AB64))^0.976,0)+IFERROR(S13_PSP_Species_Support!AF64*0.0673*(S13_PSP_Species_Support!AG64*(S13_PSP_Species_Support!AH64*(1-EXP(-S13_PSP_Species_Support!AI64*9))^S13_PSP_Species_Support!AJ64)^2*(S13_PSP_Species_Support!AK64*(1-EXP(-S13_PSP_Species_Support!AL64*9))^S13_PSP_Species_Support!AM64))^0.976,0)+IFERROR(S13_PSP_Species_Support!AQ64*0.0673*(S13_PSP_Species_Support!AR64*(S13_PSP_Species_Support!AS64*(1-EXP(-S13_PSP_Species_Support!AT64*9))^S13_PSP_Species_Support!AU64)^2*(S13_PSP_Species_Support!AV64*(1-EXP(-S13_PSP_Species_Support!AW64*9))^S13_PSP_Species_Support!AX64))^0.976,0)+IFERROR(S13_PSP_Species_Support!BB64*0.0673*(S13_PSP_Species_Support!BC64*(S13_PSP_Species_Support!BD64*(1-EXP(-S13_PSP_Species_Support!BE64*9))^S13_PSP_Species_Support!BF64)^2*(S13_PSP_Species_Support!BG64*(1-EXP(-S13_PSP_Species_Support!BH64*9))^S13_PSP_Species_Support!BI64))^0.976,0)+IFERROR(S13_PSP_Species_Support!BM64*0.0673*(S13_PSP_Species_Support!BN64*(S13_PSP_Species_Support!BO64*(1-EXP(-S13_PSP_Species_Support!BP64*9))^S13_PSP_Species_Support!BQ64)^2*(S13_PSP_Species_Support!BR64*(1-EXP(-S13_PSP_Species_Support!BS64*9))^S13_PSP_Species_Support!BT64))^0.976,0)+IFERROR(S13_PSP_Species_Support!BX64*0.0673*(S13_PSP_Species_Support!BY64*(S13_PSP_Species_Support!BZ64*(1-EXP(-S13_PSP_Species_Support!CA64*9))^S13_PSP_Species_Support!CB64)^2*(S13_PSP_Species_Support!CC64*(1-EXP(-S13_PSP_Species_Support!CD64*9))^S13_PSP_Species_Support!CE64))^0.976,0)+IFERROR(S13_PSP_Species_Support!CI64*0.0673*(S13_PSP_Species_Support!CJ64*(S13_PSP_Species_Support!CK64*(1-EXP(-S13_PSP_Species_Support!CL64*9))^S13_PSP_Species_Support!CM64)^2*(S13_PSP_Species_Support!CN64*(1-EXP(-S13_PSP_Species_Support!CO64*9))^S13_PSP_Species_Support!CP64))^0.976,0)+IFERROR(S13_PSP_Species_Support!CT64*0.0673*(S13_PSP_Species_Support!CU64*(S13_PSP_Species_Support!CV64*(1-EXP(-S13_PSP_Species_Support!CW64*9))^S13_PSP_Species_Support!CX64)^2*(S13_PSP_Species_Support!CY64*(1-EXP(-S13_PSP_Species_Support!CZ64*9))^S13_PSP_Species_Support!DA64))^0.976,0))/1000/$G77*R$108,0)</x:f>
        <x:v>1305.0042951099538</x:v>
      </x:c>
      <x:c r="S77" s="147" t="n">
        <x:f aca="0">IFERROR((IFERROR(S13_PSP_Species_Support!U64*0.0673*(S13_PSP_Species_Support!V64*(S13_PSP_Species_Support!W64*(1-EXP(-S13_PSP_Species_Support!X64*10))^S13_PSP_Species_Support!Y64)^2*(S13_PSP_Species_Support!Z64*(1-EXP(-S13_PSP_Species_Support!AA64*10))^S13_PSP_Species_Support!AB64))^0.976,0)+IFERROR(S13_PSP_Species_Support!AF64*0.0673*(S13_PSP_Species_Support!AG64*(S13_PSP_Species_Support!AH64*(1-EXP(-S13_PSP_Species_Support!AI64*10))^S13_PSP_Species_Support!AJ64)^2*(S13_PSP_Species_Support!AK64*(1-EXP(-S13_PSP_Species_Support!AL64*10))^S13_PSP_Species_Support!AM64))^0.976,0)+IFERROR(S13_PSP_Species_Support!AQ64*0.0673*(S13_PSP_Species_Support!AR64*(S13_PSP_Species_Support!AS64*(1-EXP(-S13_PSP_Species_Support!AT64*10))^S13_PSP_Species_Support!AU64)^2*(S13_PSP_Species_Support!AV64*(1-EXP(-S13_PSP_Species_Support!AW64*10))^S13_PSP_Species_Support!AX64))^0.976,0)+IFERROR(S13_PSP_Species_Support!BB64*0.0673*(S13_PSP_Species_Support!BC64*(S13_PSP_Species_Support!BD64*(1-EXP(-S13_PSP_Species_Support!BE64*10))^S13_PSP_Species_Support!BF64)^2*(S13_PSP_Species_Support!BG64*(1-EXP(-S13_PSP_Species_Support!BH64*10))^S13_PSP_Species_Support!BI64))^0.976,0)+IFERROR(S13_PSP_Species_Support!BM64*0.0673*(S13_PSP_Species_Support!BN64*(S13_PSP_Species_Support!BO64*(1-EXP(-S13_PSP_Species_Support!BP64*10))^S13_PSP_Species_Support!BQ64)^2*(S13_PSP_Species_Support!BR64*(1-EXP(-S13_PSP_Species_Support!BS64*10))^S13_PSP_Species_Support!BT64))^0.976,0)+IFERROR(S13_PSP_Species_Support!BX64*0.0673*(S13_PSP_Species_Support!BY64*(S13_PSP_Species_Support!BZ64*(1-EXP(-S13_PSP_Species_Support!CA64*10))^S13_PSP_Species_Support!CB64)^2*(S13_PSP_Species_Support!CC64*(1-EXP(-S13_PSP_Species_Support!CD64*10))^S13_PSP_Species_Support!CE64))^0.976,0)+IFERROR(S13_PSP_Species_Support!CI64*0.0673*(S13_PSP_Species_Support!CJ64*(S13_PSP_Species_Support!CK64*(1-EXP(-S13_PSP_Species_Support!CL64*10))^S13_PSP_Species_Support!CM64)^2*(S13_PSP_Species_Support!CN64*(1-EXP(-S13_PSP_Species_Support!CO64*10))^S13_PSP_Species_Support!CP64))^0.976,0)+IFERROR(S13_PSP_Species_Support!CT64*0.0673*(S13_PSP_Species_Support!CU64*(S13_PSP_Species_Support!CV64*(1-EXP(-S13_PSP_Species_Support!CW64*10))^S13_PSP_Species_Support!CX64)^2*(S13_PSP_Species_Support!CY64*(1-EXP(-S13_PSP_Species_Support!CZ64*10))^S13_PSP_Species_Support!DA64))^0.976,0))/1000/$G77*S$108,0)</x:f>
        <x:v>1524.115033334447</x:v>
      </x:c>
      <x:c r="T77" s="147" t="n">
        <x:f aca="0">IFERROR((IFERROR(S13_PSP_Species_Support!U64*0.0673*(S13_PSP_Species_Support!V64*(S13_PSP_Species_Support!W64*(1-EXP(-S13_PSP_Species_Support!X64*11))^S13_PSP_Species_Support!Y64)^2*(S13_PSP_Species_Support!Z64*(1-EXP(-S13_PSP_Species_Support!AA64*11))^S13_PSP_Species_Support!AB64))^0.976,0)+IFERROR(S13_PSP_Species_Support!AF64*0.0673*(S13_PSP_Species_Support!AG64*(S13_PSP_Species_Support!AH64*(1-EXP(-S13_PSP_Species_Support!AI64*11))^S13_PSP_Species_Support!AJ64)^2*(S13_PSP_Species_Support!AK64*(1-EXP(-S13_PSP_Species_Support!AL64*11))^S13_PSP_Species_Support!AM64))^0.976,0)+IFERROR(S13_PSP_Species_Support!AQ64*0.0673*(S13_PSP_Species_Support!AR64*(S13_PSP_Species_Support!AS64*(1-EXP(-S13_PSP_Species_Support!AT64*11))^S13_PSP_Species_Support!AU64)^2*(S13_PSP_Species_Support!AV64*(1-EXP(-S13_PSP_Species_Support!AW64*11))^S13_PSP_Species_Support!AX64))^0.976,0)+IFERROR(S13_PSP_Species_Support!BB64*0.0673*(S13_PSP_Species_Support!BC64*(S13_PSP_Species_Support!BD64*(1-EXP(-S13_PSP_Species_Support!BE64*11))^S13_PSP_Species_Support!BF64)^2*(S13_PSP_Species_Support!BG64*(1-EXP(-S13_PSP_Species_Support!BH64*11))^S13_PSP_Species_Support!BI64))^0.976,0)+IFERROR(S13_PSP_Species_Support!BM64*0.0673*(S13_PSP_Species_Support!BN64*(S13_PSP_Species_Support!BO64*(1-EXP(-S13_PSP_Species_Support!BP64*11))^S13_PSP_Species_Support!BQ64)^2*(S13_PSP_Species_Support!BR64*(1-EXP(-S13_PSP_Species_Support!BS64*11))^S13_PSP_Species_Support!BT64))^0.976,0)+IFERROR(S13_PSP_Species_Support!BX64*0.0673*(S13_PSP_Species_Support!BY64*(S13_PSP_Species_Support!BZ64*(1-EXP(-S13_PSP_Species_Support!CA64*11))^S13_PSP_Species_Support!CB64)^2*(S13_PSP_Species_Support!CC64*(1-EXP(-S13_PSP_Species_Support!CD64*11))^S13_PSP_Species_Support!CE64))^0.976,0)+IFERROR(S13_PSP_Species_Support!CI64*0.0673*(S13_PSP_Species_Support!CJ64*(S13_PSP_Species_Support!CK64*(1-EXP(-S13_PSP_Species_Support!CL64*11))^S13_PSP_Species_Support!CM64)^2*(S13_PSP_Species_Support!CN64*(1-EXP(-S13_PSP_Species_Support!CO64*11))^S13_PSP_Species_Support!CP64))^0.976,0)+IFERROR(S13_PSP_Species_Support!CT64*0.0673*(S13_PSP_Species_Support!CU64*(S13_PSP_Species_Support!CV64*(1-EXP(-S13_PSP_Species_Support!CW64*11))^S13_PSP_Species_Support!CX64)^2*(S13_PSP_Species_Support!CY64*(1-EXP(-S13_PSP_Species_Support!CZ64*11))^S13_PSP_Species_Support!DA64))^0.976,0))/1000/$G77*T$108,0)</x:f>
        <x:v>1728.68816091352</x:v>
      </x:c>
      <x:c r="U77" s="147" t="n">
        <x:f aca="0">IFERROR((IFERROR(S13_PSP_Species_Support!U64*0.0673*(S13_PSP_Species_Support!V64*(S13_PSP_Species_Support!W64*(1-EXP(-S13_PSP_Species_Support!X64*12))^S13_PSP_Species_Support!Y64)^2*(S13_PSP_Species_Support!Z64*(1-EXP(-S13_PSP_Species_Support!AA64*12))^S13_PSP_Species_Support!AB64))^0.976,0)+IFERROR(S13_PSP_Species_Support!AF64*0.0673*(S13_PSP_Species_Support!AG64*(S13_PSP_Species_Support!AH64*(1-EXP(-S13_PSP_Species_Support!AI64*12))^S13_PSP_Species_Support!AJ64)^2*(S13_PSP_Species_Support!AK64*(1-EXP(-S13_PSP_Species_Support!AL64*12))^S13_PSP_Species_Support!AM64))^0.976,0)+IFERROR(S13_PSP_Species_Support!AQ64*0.0673*(S13_PSP_Species_Support!AR64*(S13_PSP_Species_Support!AS64*(1-EXP(-S13_PSP_Species_Support!AT64*12))^S13_PSP_Species_Support!AU64)^2*(S13_PSP_Species_Support!AV64*(1-EXP(-S13_PSP_Species_Support!AW64*12))^S13_PSP_Species_Support!AX64))^0.976,0)+IFERROR(S13_PSP_Species_Support!BB64*0.0673*(S13_PSP_Species_Support!BC64*(S13_PSP_Species_Support!BD64*(1-EXP(-S13_PSP_Species_Support!BE64*12))^S13_PSP_Species_Support!BF64)^2*(S13_PSP_Species_Support!BG64*(1-EXP(-S13_PSP_Species_Support!BH64*12))^S13_PSP_Species_Support!BI64))^0.976,0)+IFERROR(S13_PSP_Species_Support!BM64*0.0673*(S13_PSP_Species_Support!BN64*(S13_PSP_Species_Support!BO64*(1-EXP(-S13_PSP_Species_Support!BP64*12))^S13_PSP_Species_Support!BQ64)^2*(S13_PSP_Species_Support!BR64*(1-EXP(-S13_PSP_Species_Support!BS64*12))^S13_PSP_Species_Support!BT64))^0.976,0)+IFERROR(S13_PSP_Species_Support!BX64*0.0673*(S13_PSP_Species_Support!BY64*(S13_PSP_Species_Support!BZ64*(1-EXP(-S13_PSP_Species_Support!CA64*12))^S13_PSP_Species_Support!CB64)^2*(S13_PSP_Species_Support!CC64*(1-EXP(-S13_PSP_Species_Support!CD64*12))^S13_PSP_Species_Support!CE64))^0.976,0)+IFERROR(S13_PSP_Species_Support!CI64*0.0673*(S13_PSP_Species_Support!CJ64*(S13_PSP_Species_Support!CK64*(1-EXP(-S13_PSP_Species_Support!CL64*12))^S13_PSP_Species_Support!CM64)^2*(S13_PSP_Species_Support!CN64*(1-EXP(-S13_PSP_Species_Support!CO64*12))^S13_PSP_Species_Support!CP64))^0.976,0)+IFERROR(S13_PSP_Species_Support!CT64*0.0673*(S13_PSP_Species_Support!CU64*(S13_PSP_Species_Support!CV64*(1-EXP(-S13_PSP_Species_Support!CW64*12))^S13_PSP_Species_Support!CX64)^2*(S13_PSP_Species_Support!CY64*(1-EXP(-S13_PSP_Species_Support!CZ64*12))^S13_PSP_Species_Support!DA64))^0.976,0))/1000/$G77*U$108,0)</x:f>
        <x:v>1916.143368608713</x:v>
      </x:c>
      <x:c r="V77" s="147" t="n">
        <x:f aca="0">IFERROR((IFERROR(S13_PSP_Species_Support!U64*0.0673*(S13_PSP_Species_Support!V64*(S13_PSP_Species_Support!W64*(1-EXP(-S13_PSP_Species_Support!X64*13))^S13_PSP_Species_Support!Y64)^2*(S13_PSP_Species_Support!Z64*(1-EXP(-S13_PSP_Species_Support!AA64*13))^S13_PSP_Species_Support!AB64))^0.976,0)+IFERROR(S13_PSP_Species_Support!AF64*0.0673*(S13_PSP_Species_Support!AG64*(S13_PSP_Species_Support!AH64*(1-EXP(-S13_PSP_Species_Support!AI64*13))^S13_PSP_Species_Support!AJ64)^2*(S13_PSP_Species_Support!AK64*(1-EXP(-S13_PSP_Species_Support!AL64*13))^S13_PSP_Species_Support!AM64))^0.976,0)+IFERROR(S13_PSP_Species_Support!AQ64*0.0673*(S13_PSP_Species_Support!AR64*(S13_PSP_Species_Support!AS64*(1-EXP(-S13_PSP_Species_Support!AT64*13))^S13_PSP_Species_Support!AU64)^2*(S13_PSP_Species_Support!AV64*(1-EXP(-S13_PSP_Species_Support!AW64*13))^S13_PSP_Species_Support!AX64))^0.976,0)+IFERROR(S13_PSP_Species_Support!BB64*0.0673*(S13_PSP_Species_Support!BC64*(S13_PSP_Species_Support!BD64*(1-EXP(-S13_PSP_Species_Support!BE64*13))^S13_PSP_Species_Support!BF64)^2*(S13_PSP_Species_Support!BG64*(1-EXP(-S13_PSP_Species_Support!BH64*13))^S13_PSP_Species_Support!BI64))^0.976,0)+IFERROR(S13_PSP_Species_Support!BM64*0.0673*(S13_PSP_Species_Support!BN64*(S13_PSP_Species_Support!BO64*(1-EXP(-S13_PSP_Species_Support!BP64*13))^S13_PSP_Species_Support!BQ64)^2*(S13_PSP_Species_Support!BR64*(1-EXP(-S13_PSP_Species_Support!BS64*13))^S13_PSP_Species_Support!BT64))^0.976,0)+IFERROR(S13_PSP_Species_Support!BX64*0.0673*(S13_PSP_Species_Support!BY64*(S13_PSP_Species_Support!BZ64*(1-EXP(-S13_PSP_Species_Support!CA64*13))^S13_PSP_Species_Support!CB64)^2*(S13_PSP_Species_Support!CC64*(1-EXP(-S13_PSP_Species_Support!CD64*13))^S13_PSP_Species_Support!CE64))^0.976,0)+IFERROR(S13_PSP_Species_Support!CI64*0.0673*(S13_PSP_Species_Support!CJ64*(S13_PSP_Species_Support!CK64*(1-EXP(-S13_PSP_Species_Support!CL64*13))^S13_PSP_Species_Support!CM64)^2*(S13_PSP_Species_Support!CN64*(1-EXP(-S13_PSP_Species_Support!CO64*13))^S13_PSP_Species_Support!CP64))^0.976,0)+IFERROR(S13_PSP_Species_Support!CT64*0.0673*(S13_PSP_Species_Support!CU64*(S13_PSP_Species_Support!CV64*(1-EXP(-S13_PSP_Species_Support!CW64*13))^S13_PSP_Species_Support!CX64)^2*(S13_PSP_Species_Support!CY64*(1-EXP(-S13_PSP_Species_Support!CZ64*13))^S13_PSP_Species_Support!DA64))^0.976,0))/1000/$G77*V$108,0)</x:f>
        <x:v>2085.394659166364</x:v>
      </x:c>
      <x:c r="W77" s="147" t="n">
        <x:f aca="0">IFERROR((IFERROR(S13_PSP_Species_Support!U64*0.0673*(S13_PSP_Species_Support!V64*(S13_PSP_Species_Support!W64*(1-EXP(-S13_PSP_Species_Support!X64*14))^S13_PSP_Species_Support!Y64)^2*(S13_PSP_Species_Support!Z64*(1-EXP(-S13_PSP_Species_Support!AA64*14))^S13_PSP_Species_Support!AB64))^0.976,0)+IFERROR(S13_PSP_Species_Support!AF64*0.0673*(S13_PSP_Species_Support!AG64*(S13_PSP_Species_Support!AH64*(1-EXP(-S13_PSP_Species_Support!AI64*14))^S13_PSP_Species_Support!AJ64)^2*(S13_PSP_Species_Support!AK64*(1-EXP(-S13_PSP_Species_Support!AL64*14))^S13_PSP_Species_Support!AM64))^0.976,0)+IFERROR(S13_PSP_Species_Support!AQ64*0.0673*(S13_PSP_Species_Support!AR64*(S13_PSP_Species_Support!AS64*(1-EXP(-S13_PSP_Species_Support!AT64*14))^S13_PSP_Species_Support!AU64)^2*(S13_PSP_Species_Support!AV64*(1-EXP(-S13_PSP_Species_Support!AW64*14))^S13_PSP_Species_Support!AX64))^0.976,0)+IFERROR(S13_PSP_Species_Support!BB64*0.0673*(S13_PSP_Species_Support!BC64*(S13_PSP_Species_Support!BD64*(1-EXP(-S13_PSP_Species_Support!BE64*14))^S13_PSP_Species_Support!BF64)^2*(S13_PSP_Species_Support!BG64*(1-EXP(-S13_PSP_Species_Support!BH64*14))^S13_PSP_Species_Support!BI64))^0.976,0)+IFERROR(S13_PSP_Species_Support!BM64*0.0673*(S13_PSP_Species_Support!BN64*(S13_PSP_Species_Support!BO64*(1-EXP(-S13_PSP_Species_Support!BP64*14))^S13_PSP_Species_Support!BQ64)^2*(S13_PSP_Species_Support!BR64*(1-EXP(-S13_PSP_Species_Support!BS64*14))^S13_PSP_Species_Support!BT64))^0.976,0)+IFERROR(S13_PSP_Species_Support!BX64*0.0673*(S13_PSP_Species_Support!BY64*(S13_PSP_Species_Support!BZ64*(1-EXP(-S13_PSP_Species_Support!CA64*14))^S13_PSP_Species_Support!CB64)^2*(S13_PSP_Species_Support!CC64*(1-EXP(-S13_PSP_Species_Support!CD64*14))^S13_PSP_Species_Support!CE64))^0.976,0)+IFERROR(S13_PSP_Species_Support!CI64*0.0673*(S13_PSP_Species_Support!CJ64*(S13_PSP_Species_Support!CK64*(1-EXP(-S13_PSP_Species_Support!CL64*14))^S13_PSP_Species_Support!CM64)^2*(S13_PSP_Species_Support!CN64*(1-EXP(-S13_PSP_Species_Support!CO64*14))^S13_PSP_Species_Support!CP64))^0.976,0)+IFERROR(S13_PSP_Species_Support!CT64*0.0673*(S13_PSP_Species_Support!CU64*(S13_PSP_Species_Support!CV64*(1-EXP(-S13_PSP_Species_Support!CW64*14))^S13_PSP_Species_Support!CX64)^2*(S13_PSP_Species_Support!CY64*(1-EXP(-S13_PSP_Species_Support!CZ64*14))^S13_PSP_Species_Support!DA64))^0.976,0))/1000/$G77*W$108,0)</x:f>
        <x:v>2236.4221380150107</x:v>
      </x:c>
      <x:c r="X77" s="147" t="n">
        <x:f aca="0">IFERROR((IFERROR(S13_PSP_Species_Support!U64*0.0673*(S13_PSP_Species_Support!V64*(S13_PSP_Species_Support!W64*(1-EXP(-S13_PSP_Species_Support!X64*15))^S13_PSP_Species_Support!Y64)^2*(S13_PSP_Species_Support!Z64*(1-EXP(-S13_PSP_Species_Support!AA64*15))^S13_PSP_Species_Support!AB64))^0.976,0)+IFERROR(S13_PSP_Species_Support!AF64*0.0673*(S13_PSP_Species_Support!AG64*(S13_PSP_Species_Support!AH64*(1-EXP(-S13_PSP_Species_Support!AI64*15))^S13_PSP_Species_Support!AJ64)^2*(S13_PSP_Species_Support!AK64*(1-EXP(-S13_PSP_Species_Support!AL64*15))^S13_PSP_Species_Support!AM64))^0.976,0)+IFERROR(S13_PSP_Species_Support!AQ64*0.0673*(S13_PSP_Species_Support!AR64*(S13_PSP_Species_Support!AS64*(1-EXP(-S13_PSP_Species_Support!AT64*15))^S13_PSP_Species_Support!AU64)^2*(S13_PSP_Species_Support!AV64*(1-EXP(-S13_PSP_Species_Support!AW64*15))^S13_PSP_Species_Support!AX64))^0.976,0)+IFERROR(S13_PSP_Species_Support!BB64*0.0673*(S13_PSP_Species_Support!BC64*(S13_PSP_Species_Support!BD64*(1-EXP(-S13_PSP_Species_Support!BE64*15))^S13_PSP_Species_Support!BF64)^2*(S13_PSP_Species_Support!BG64*(1-EXP(-S13_PSP_Species_Support!BH64*15))^S13_PSP_Species_Support!BI64))^0.976,0)+IFERROR(S13_PSP_Species_Support!BM64*0.0673*(S13_PSP_Species_Support!BN64*(S13_PSP_Species_Support!BO64*(1-EXP(-S13_PSP_Species_Support!BP64*15))^S13_PSP_Species_Support!BQ64)^2*(S13_PSP_Species_Support!BR64*(1-EXP(-S13_PSP_Species_Support!BS64*15))^S13_PSP_Species_Support!BT64))^0.976,0)+IFERROR(S13_PSP_Species_Support!BX64*0.0673*(S13_PSP_Species_Support!BY64*(S13_PSP_Species_Support!BZ64*(1-EXP(-S13_PSP_Species_Support!CA64*15))^S13_PSP_Species_Support!CB64)^2*(S13_PSP_Species_Support!CC64*(1-EXP(-S13_PSP_Species_Support!CD64*15))^S13_PSP_Species_Support!CE64))^0.976,0)+IFERROR(S13_PSP_Species_Support!CI64*0.0673*(S13_PSP_Species_Support!CJ64*(S13_PSP_Species_Support!CK64*(1-EXP(-S13_PSP_Species_Support!CL64*15))^S13_PSP_Species_Support!CM64)^2*(S13_PSP_Species_Support!CN64*(1-EXP(-S13_PSP_Species_Support!CO64*15))^S13_PSP_Species_Support!CP64))^0.976,0)+IFERROR(S13_PSP_Species_Support!CT64*0.0673*(S13_PSP_Species_Support!CU64*(S13_PSP_Species_Support!CV64*(1-EXP(-S13_PSP_Species_Support!CW64*15))^S13_PSP_Species_Support!CX64)^2*(S13_PSP_Species_Support!CY64*(1-EXP(-S13_PSP_Species_Support!CZ64*15))^S13_PSP_Species_Support!DA64))^0.976,0))/1000/$G77*X$108,0)</x:f>
        <x:v>2369.9202175457467</x:v>
      </x:c>
      <x:c r="Y77" s="147" t="n">
        <x:f aca="0">IFERROR((IFERROR(S13_PSP_Species_Support!U64*0.0673*(S13_PSP_Species_Support!V64*(S13_PSP_Species_Support!W64*(1-EXP(-S13_PSP_Species_Support!X64*16))^S13_PSP_Species_Support!Y64)^2*(S13_PSP_Species_Support!Z64*(1-EXP(-S13_PSP_Species_Support!AA64*16))^S13_PSP_Species_Support!AB64))^0.976,0)+IFERROR(S13_PSP_Species_Support!AF64*0.0673*(S13_PSP_Species_Support!AG64*(S13_PSP_Species_Support!AH64*(1-EXP(-S13_PSP_Species_Support!AI64*16))^S13_PSP_Species_Support!AJ64)^2*(S13_PSP_Species_Support!AK64*(1-EXP(-S13_PSP_Species_Support!AL64*16))^S13_PSP_Species_Support!AM64))^0.976,0)+IFERROR(S13_PSP_Species_Support!AQ64*0.0673*(S13_PSP_Species_Support!AR64*(S13_PSP_Species_Support!AS64*(1-EXP(-S13_PSP_Species_Support!AT64*16))^S13_PSP_Species_Support!AU64)^2*(S13_PSP_Species_Support!AV64*(1-EXP(-S13_PSP_Species_Support!AW64*16))^S13_PSP_Species_Support!AX64))^0.976,0)+IFERROR(S13_PSP_Species_Support!BB64*0.0673*(S13_PSP_Species_Support!BC64*(S13_PSP_Species_Support!BD64*(1-EXP(-S13_PSP_Species_Support!BE64*16))^S13_PSP_Species_Support!BF64)^2*(S13_PSP_Species_Support!BG64*(1-EXP(-S13_PSP_Species_Support!BH64*16))^S13_PSP_Species_Support!BI64))^0.976,0)+IFERROR(S13_PSP_Species_Support!BM64*0.0673*(S13_PSP_Species_Support!BN64*(S13_PSP_Species_Support!BO64*(1-EXP(-S13_PSP_Species_Support!BP64*16))^S13_PSP_Species_Support!BQ64)^2*(S13_PSP_Species_Support!BR64*(1-EXP(-S13_PSP_Species_Support!BS64*16))^S13_PSP_Species_Support!BT64))^0.976,0)+IFERROR(S13_PSP_Species_Support!BX64*0.0673*(S13_PSP_Species_Support!BY64*(S13_PSP_Species_Support!BZ64*(1-EXP(-S13_PSP_Species_Support!CA64*16))^S13_PSP_Species_Support!CB64)^2*(S13_PSP_Species_Support!CC64*(1-EXP(-S13_PSP_Species_Support!CD64*16))^S13_PSP_Species_Support!CE64))^0.976,0)+IFERROR(S13_PSP_Species_Support!CI64*0.0673*(S13_PSP_Species_Support!CJ64*(S13_PSP_Species_Support!CK64*(1-EXP(-S13_PSP_Species_Support!CL64*16))^S13_PSP_Species_Support!CM64)^2*(S13_PSP_Species_Support!CN64*(1-EXP(-S13_PSP_Species_Support!CO64*16))^S13_PSP_Species_Support!CP64))^0.976,0)+IFERROR(S13_PSP_Species_Support!CT64*0.0673*(S13_PSP_Species_Support!CU64*(S13_PSP_Species_Support!CV64*(1-EXP(-S13_PSP_Species_Support!CW64*16))^S13_PSP_Species_Support!CX64)^2*(S13_PSP_Species_Support!CY64*(1-EXP(-S13_PSP_Species_Support!CZ64*16))^S13_PSP_Species_Support!DA64))^0.976,0))/1000/$G77*Y$108,0)</x:f>
        <x:v>2487.0253596687617</x:v>
      </x:c>
      <x:c r="Z77" s="147" t="n">
        <x:f aca="0">IFERROR((IFERROR(S13_PSP_Species_Support!U64*0.0673*(S13_PSP_Species_Support!V64*(S13_PSP_Species_Support!W64*(1-EXP(-S13_PSP_Species_Support!X64*17))^S13_PSP_Species_Support!Y64)^2*(S13_PSP_Species_Support!Z64*(1-EXP(-S13_PSP_Species_Support!AA64*17))^S13_PSP_Species_Support!AB64))^0.976,0)+IFERROR(S13_PSP_Species_Support!AF64*0.0673*(S13_PSP_Species_Support!AG64*(S13_PSP_Species_Support!AH64*(1-EXP(-S13_PSP_Species_Support!AI64*17))^S13_PSP_Species_Support!AJ64)^2*(S13_PSP_Species_Support!AK64*(1-EXP(-S13_PSP_Species_Support!AL64*17))^S13_PSP_Species_Support!AM64))^0.976,0)+IFERROR(S13_PSP_Species_Support!AQ64*0.0673*(S13_PSP_Species_Support!AR64*(S13_PSP_Species_Support!AS64*(1-EXP(-S13_PSP_Species_Support!AT64*17))^S13_PSP_Species_Support!AU64)^2*(S13_PSP_Species_Support!AV64*(1-EXP(-S13_PSP_Species_Support!AW64*17))^S13_PSP_Species_Support!AX64))^0.976,0)+IFERROR(S13_PSP_Species_Support!BB64*0.0673*(S13_PSP_Species_Support!BC64*(S13_PSP_Species_Support!BD64*(1-EXP(-S13_PSP_Species_Support!BE64*17))^S13_PSP_Species_Support!BF64)^2*(S13_PSP_Species_Support!BG64*(1-EXP(-S13_PSP_Species_Support!BH64*17))^S13_PSP_Species_Support!BI64))^0.976,0)+IFERROR(S13_PSP_Species_Support!BM64*0.0673*(S13_PSP_Species_Support!BN64*(S13_PSP_Species_Support!BO64*(1-EXP(-S13_PSP_Species_Support!BP64*17))^S13_PSP_Species_Support!BQ64)^2*(S13_PSP_Species_Support!BR64*(1-EXP(-S13_PSP_Species_Support!BS64*17))^S13_PSP_Species_Support!BT64))^0.976,0)+IFERROR(S13_PSP_Species_Support!BX64*0.0673*(S13_PSP_Species_Support!BY64*(S13_PSP_Species_Support!BZ64*(1-EXP(-S13_PSP_Species_Support!CA64*17))^S13_PSP_Species_Support!CB64)^2*(S13_PSP_Species_Support!CC64*(1-EXP(-S13_PSP_Species_Support!CD64*17))^S13_PSP_Species_Support!CE64))^0.976,0)+IFERROR(S13_PSP_Species_Support!CI64*0.0673*(S13_PSP_Species_Support!CJ64*(S13_PSP_Species_Support!CK64*(1-EXP(-S13_PSP_Species_Support!CL64*17))^S13_PSP_Species_Support!CM64)^2*(S13_PSP_Species_Support!CN64*(1-EXP(-S13_PSP_Species_Support!CO64*17))^S13_PSP_Species_Support!CP64))^0.976,0)+IFERROR(S13_PSP_Species_Support!CT64*0.0673*(S13_PSP_Species_Support!CU64*(S13_PSP_Species_Support!CV64*(1-EXP(-S13_PSP_Species_Support!CW64*17))^S13_PSP_Species_Support!CX64)^2*(S13_PSP_Species_Support!CY64*(1-EXP(-S13_PSP_Species_Support!CZ64*17))^S13_PSP_Species_Support!DA64))^0.976,0))/1000/$G77*Z$108,0)</x:f>
        <x:v>2589.1150503652766</x:v>
      </x:c>
      <x:c r="AA77" s="147" t="n">
        <x:f aca="0">IFERROR((IFERROR(S13_PSP_Species_Support!U64*0.0673*(S13_PSP_Species_Support!V64*(S13_PSP_Species_Support!W64*(1-EXP(-S13_PSP_Species_Support!X64*18))^S13_PSP_Species_Support!Y64)^2*(S13_PSP_Species_Support!Z64*(1-EXP(-S13_PSP_Species_Support!AA64*18))^S13_PSP_Species_Support!AB64))^0.976,0)+IFERROR(S13_PSP_Species_Support!AF64*0.0673*(S13_PSP_Species_Support!AG64*(S13_PSP_Species_Support!AH64*(1-EXP(-S13_PSP_Species_Support!AI64*18))^S13_PSP_Species_Support!AJ64)^2*(S13_PSP_Species_Support!AK64*(1-EXP(-S13_PSP_Species_Support!AL64*18))^S13_PSP_Species_Support!AM64))^0.976,0)+IFERROR(S13_PSP_Species_Support!AQ64*0.0673*(S13_PSP_Species_Support!AR64*(S13_PSP_Species_Support!AS64*(1-EXP(-S13_PSP_Species_Support!AT64*18))^S13_PSP_Species_Support!AU64)^2*(S13_PSP_Species_Support!AV64*(1-EXP(-S13_PSP_Species_Support!AW64*18))^S13_PSP_Species_Support!AX64))^0.976,0)+IFERROR(S13_PSP_Species_Support!BB64*0.0673*(S13_PSP_Species_Support!BC64*(S13_PSP_Species_Support!BD64*(1-EXP(-S13_PSP_Species_Support!BE64*18))^S13_PSP_Species_Support!BF64)^2*(S13_PSP_Species_Support!BG64*(1-EXP(-S13_PSP_Species_Support!BH64*18))^S13_PSP_Species_Support!BI64))^0.976,0)+IFERROR(S13_PSP_Species_Support!BM64*0.0673*(S13_PSP_Species_Support!BN64*(S13_PSP_Species_Support!BO64*(1-EXP(-S13_PSP_Species_Support!BP64*18))^S13_PSP_Species_Support!BQ64)^2*(S13_PSP_Species_Support!BR64*(1-EXP(-S13_PSP_Species_Support!BS64*18))^S13_PSP_Species_Support!BT64))^0.976,0)+IFERROR(S13_PSP_Species_Support!BX64*0.0673*(S13_PSP_Species_Support!BY64*(S13_PSP_Species_Support!BZ64*(1-EXP(-S13_PSP_Species_Support!CA64*18))^S13_PSP_Species_Support!CB64)^2*(S13_PSP_Species_Support!CC64*(1-EXP(-S13_PSP_Species_Support!CD64*18))^S13_PSP_Species_Support!CE64))^0.976,0)+IFERROR(S13_PSP_Species_Support!CI64*0.0673*(S13_PSP_Species_Support!CJ64*(S13_PSP_Species_Support!CK64*(1-EXP(-S13_PSP_Species_Support!CL64*18))^S13_PSP_Species_Support!CM64)^2*(S13_PSP_Species_Support!CN64*(1-EXP(-S13_PSP_Species_Support!CO64*18))^S13_PSP_Species_Support!CP64))^0.976,0)+IFERROR(S13_PSP_Species_Support!CT64*0.0673*(S13_PSP_Species_Support!CU64*(S13_PSP_Species_Support!CV64*(1-EXP(-S13_PSP_Species_Support!CW64*18))^S13_PSP_Species_Support!CX64)^2*(S13_PSP_Species_Support!CY64*(1-EXP(-S13_PSP_Species_Support!CZ64*18))^S13_PSP_Species_Support!DA64))^0.976,0))/1000/$G77*AA$108,0)</x:f>
        <x:v>2677.6655505457647</x:v>
      </x:c>
      <x:c r="AB77" s="147" t="n">
        <x:f aca="0">IFERROR((IFERROR(S13_PSP_Species_Support!U64*0.0673*(S13_PSP_Species_Support!V64*(S13_PSP_Species_Support!W64*(1-EXP(-S13_PSP_Species_Support!X64*19))^S13_PSP_Species_Support!Y64)^2*(S13_PSP_Species_Support!Z64*(1-EXP(-S13_PSP_Species_Support!AA64*19))^S13_PSP_Species_Support!AB64))^0.976,0)+IFERROR(S13_PSP_Species_Support!AF64*0.0673*(S13_PSP_Species_Support!AG64*(S13_PSP_Species_Support!AH64*(1-EXP(-S13_PSP_Species_Support!AI64*19))^S13_PSP_Species_Support!AJ64)^2*(S13_PSP_Species_Support!AK64*(1-EXP(-S13_PSP_Species_Support!AL64*19))^S13_PSP_Species_Support!AM64))^0.976,0)+IFERROR(S13_PSP_Species_Support!AQ64*0.0673*(S13_PSP_Species_Support!AR64*(S13_PSP_Species_Support!AS64*(1-EXP(-S13_PSP_Species_Support!AT64*19))^S13_PSP_Species_Support!AU64)^2*(S13_PSP_Species_Support!AV64*(1-EXP(-S13_PSP_Species_Support!AW64*19))^S13_PSP_Species_Support!AX64))^0.976,0)+IFERROR(S13_PSP_Species_Support!BB64*0.0673*(S13_PSP_Species_Support!BC64*(S13_PSP_Species_Support!BD64*(1-EXP(-S13_PSP_Species_Support!BE64*19))^S13_PSP_Species_Support!BF64)^2*(S13_PSP_Species_Support!BG64*(1-EXP(-S13_PSP_Species_Support!BH64*19))^S13_PSP_Species_Support!BI64))^0.976,0)+IFERROR(S13_PSP_Species_Support!BM64*0.0673*(S13_PSP_Species_Support!BN64*(S13_PSP_Species_Support!BO64*(1-EXP(-S13_PSP_Species_Support!BP64*19))^S13_PSP_Species_Support!BQ64)^2*(S13_PSP_Species_Support!BR64*(1-EXP(-S13_PSP_Species_Support!BS64*19))^S13_PSP_Species_Support!BT64))^0.976,0)+IFERROR(S13_PSP_Species_Support!BX64*0.0673*(S13_PSP_Species_Support!BY64*(S13_PSP_Species_Support!BZ64*(1-EXP(-S13_PSP_Species_Support!CA64*19))^S13_PSP_Species_Support!CB64)^2*(S13_PSP_Species_Support!CC64*(1-EXP(-S13_PSP_Species_Support!CD64*19))^S13_PSP_Species_Support!CE64))^0.976,0)+IFERROR(S13_PSP_Species_Support!CI64*0.0673*(S13_PSP_Species_Support!CJ64*(S13_PSP_Species_Support!CK64*(1-EXP(-S13_PSP_Species_Support!CL64*19))^S13_PSP_Species_Support!CM64)^2*(S13_PSP_Species_Support!CN64*(1-EXP(-S13_PSP_Species_Support!CO64*19))^S13_PSP_Species_Support!CP64))^0.976,0)+IFERROR(S13_PSP_Species_Support!CT64*0.0673*(S13_PSP_Species_Support!CU64*(S13_PSP_Species_Support!CV64*(1-EXP(-S13_PSP_Species_Support!CW64*19))^S13_PSP_Species_Support!CX64)^2*(S13_PSP_Species_Support!CY64*(1-EXP(-S13_PSP_Species_Support!CZ64*19))^S13_PSP_Species_Support!DA64))^0.976,0))/1000/$G77*AB$108,0)</x:f>
        <x:v>2754.155605609629</x:v>
      </x:c>
      <x:c r="AC77" s="147" t="n">
        <x:f aca="0">IFERROR((IFERROR(S13_PSP_Species_Support!U64*0.0673*(S13_PSP_Species_Support!V64*(S13_PSP_Species_Support!W64*(1-EXP(-S13_PSP_Species_Support!X64*20))^S13_PSP_Species_Support!Y64)^2*(S13_PSP_Species_Support!Z64*(1-EXP(-S13_PSP_Species_Support!AA64*20))^S13_PSP_Species_Support!AB64))^0.976,0)+IFERROR(S13_PSP_Species_Support!AF64*0.0673*(S13_PSP_Species_Support!AG64*(S13_PSP_Species_Support!AH64*(1-EXP(-S13_PSP_Species_Support!AI64*20))^S13_PSP_Species_Support!AJ64)^2*(S13_PSP_Species_Support!AK64*(1-EXP(-S13_PSP_Species_Support!AL64*20))^S13_PSP_Species_Support!AM64))^0.976,0)+IFERROR(S13_PSP_Species_Support!AQ64*0.0673*(S13_PSP_Species_Support!AR64*(S13_PSP_Species_Support!AS64*(1-EXP(-S13_PSP_Species_Support!AT64*20))^S13_PSP_Species_Support!AU64)^2*(S13_PSP_Species_Support!AV64*(1-EXP(-S13_PSP_Species_Support!AW64*20))^S13_PSP_Species_Support!AX64))^0.976,0)+IFERROR(S13_PSP_Species_Support!BB64*0.0673*(S13_PSP_Species_Support!BC64*(S13_PSP_Species_Support!BD64*(1-EXP(-S13_PSP_Species_Support!BE64*20))^S13_PSP_Species_Support!BF64)^2*(S13_PSP_Species_Support!BG64*(1-EXP(-S13_PSP_Species_Support!BH64*20))^S13_PSP_Species_Support!BI64))^0.976,0)+IFERROR(S13_PSP_Species_Support!BM64*0.0673*(S13_PSP_Species_Support!BN64*(S13_PSP_Species_Support!BO64*(1-EXP(-S13_PSP_Species_Support!BP64*20))^S13_PSP_Species_Support!BQ64)^2*(S13_PSP_Species_Support!BR64*(1-EXP(-S13_PSP_Species_Support!BS64*20))^S13_PSP_Species_Support!BT64))^0.976,0)+IFERROR(S13_PSP_Species_Support!BX64*0.0673*(S13_PSP_Species_Support!BY64*(S13_PSP_Species_Support!BZ64*(1-EXP(-S13_PSP_Species_Support!CA64*20))^S13_PSP_Species_Support!CB64)^2*(S13_PSP_Species_Support!CC64*(1-EXP(-S13_PSP_Species_Support!CD64*20))^S13_PSP_Species_Support!CE64))^0.976,0)+IFERROR(S13_PSP_Species_Support!CI64*0.0673*(S13_PSP_Species_Support!CJ64*(S13_PSP_Species_Support!CK64*(1-EXP(-S13_PSP_Species_Support!CL64*20))^S13_PSP_Species_Support!CM64)^2*(S13_PSP_Species_Support!CN64*(1-EXP(-S13_PSP_Species_Support!CO64*20))^S13_PSP_Species_Support!CP64))^0.976,0)+IFERROR(S13_PSP_Species_Support!CT64*0.0673*(S13_PSP_Species_Support!CU64*(S13_PSP_Species_Support!CV64*(1-EXP(-S13_PSP_Species_Support!CW64*20))^S13_PSP_Species_Support!CX64)^2*(S13_PSP_Species_Support!CY64*(1-EXP(-S13_PSP_Species_Support!CZ64*20))^S13_PSP_Species_Support!DA64))^0.976,0))/1000/$G77*AC$108,0)</x:f>
        <x:v>2820.0046735002834</x:v>
      </x:c>
      <x:c r="AD77" s="148" t="n">
        <x:f aca="0">IF(2020&lt;$F77,0,INDEX($I77:$AC77,1,2020-$F77+1))</x:f>
        <x:v>0</x:v>
      </x:c>
      <x:c r="AE77" s="148" t="n">
        <x:f aca="0">IF(2021&lt;$F77,0,INDEX($I77:$AC77,1,2021-$F77+1))</x:f>
        <x:v>0</x:v>
      </x:c>
      <x:c r="AF77" s="148" t="n">
        <x:f aca="0">IF(2022&lt;$F77,0,INDEX($I77:$AC77,1,2022-$F77+1))</x:f>
        <x:v>3.4945325301023185</x:v>
      </x:c>
      <x:c r="AG77" s="148" t="n">
        <x:f aca="0">IF(2023&lt;$F77,0,INDEX($I77:$AC77,1,2023-$F77+1))</x:f>
        <x:v>32.96911149426839</x:v>
      </x:c>
      <x:c r="AH77" s="148" t="n">
        <x:f aca="0">IF(2024&lt;$F77,0,INDEX($I77:$AC77,1,2024-$F77+1))</x:f>
        <x:v>109.11433009059655</x:v>
      </x:c>
      <x:c r="AI77" s="148" t="n">
        <x:f aca="0">IF(2025&lt;$F77,0,INDEX($I77:$AC77,1,2025-$F77+1))</x:f>
        <x:v>237.84570210659453</x:v>
      </x:c>
      <x:c r="AJ77" s="148" t="n">
        <x:f aca="0">IF(2026&lt;$F77,0,INDEX($I77:$AC77,1,2026-$F77+1))</x:f>
        <x:v>411.814117431424</x:v>
      </x:c>
      <x:c r="AK77" s="148" t="n">
        <x:f aca="0">IF(2027&lt;$F77,0,INDEX($I77:$AC77,1,2027-$F77+1))</x:f>
        <x:v>618.3658553894309</x:v>
      </x:c>
      <x:c r="AL77" s="148" t="n">
        <x:f aca="0">IF(2028&lt;$F77,0,INDEX($I77:$AC77,1,2028-$F77+1))</x:f>
        <x:v>843.8018054895438</x:v>
      </x:c>
      <x:c r="AM77" s="148" t="n">
        <x:f aca="0">IF(2029&lt;$F77,0,INDEX($I77:$AC77,1,2029-$F77+1))</x:f>
        <x:v>1075.9077439792316</x:v>
      </x:c>
      <x:c r="AN77" s="148" t="n">
        <x:f aca="0">IF(2030&lt;$F77,0,INDEX($I77:$AC77,1,2030-$F77+1))</x:f>
        <x:v>1305.0042951099538</x:v>
      </x:c>
      <x:c r="AO77" s="148" t="n">
        <x:f aca="0">IF(2031&lt;$F77,0,INDEX($I77:$AC77,1,2031-$F77+1))</x:f>
        <x:v>1524.115033334447</x:v>
      </x:c>
      <x:c r="AP77" s="148" t="n">
        <x:f aca="0">IF(2032&lt;$F77,0,INDEX($I77:$AC77,1,2032-$F77+1))</x:f>
        <x:v>1728.68816091352</x:v>
      </x:c>
      <x:c r="AQ77" s="148" t="n">
        <x:f aca="0">IF(2033&lt;$F77,0,INDEX($I77:$AC77,1,2033-$F77+1))</x:f>
        <x:v>1916.143368608713</x:v>
      </x:c>
      <x:c r="AR77" s="148" t="n">
        <x:f aca="0">IF(2034&lt;$F77,0,INDEX($I77:$AC77,1,2034-$F77+1))</x:f>
        <x:v>2085.394659166364</x:v>
      </x:c>
      <x:c r="AS77" s="148" t="n">
        <x:f aca="0">IF(2035&lt;$F77,0,INDEX($I77:$AC77,1,2035-$F77+1))</x:f>
        <x:v>2236.4221380150107</x:v>
      </x:c>
      <x:c r="AT77" s="148" t="n">
        <x:f aca="0">IF(2036&lt;$F77,0,INDEX($I77:$AC77,1,2036-$F77+1))</x:f>
        <x:v>2369.9202175457467</x:v>
      </x:c>
      <x:c r="AU77" s="148" t="n">
        <x:f aca="0">IF(2037&lt;$F77,0,INDEX($I77:$AC77,1,2037-$F77+1))</x:f>
        <x:v>2487.0253596687617</x:v>
      </x:c>
      <x:c r="AV77" s="148" t="n">
        <x:f aca="0">IF(2038&lt;$F77,0,INDEX($I77:$AC77,1,2038-$F77+1))</x:f>
        <x:v>2589.1150503652766</x:v>
      </x:c>
      <x:c r="AW77" s="148" t="n">
        <x:f aca="0">IF(2039&lt;$F77,0,INDEX($I77:$AC77,1,2039-$F77+1))</x:f>
        <x:v>2677.6655505457647</x:v>
      </x:c>
      <x:c r="AX77" s="148" t="n">
        <x:f aca="0">IF(2040&lt;$F77,0,INDEX($I77:$AC77,1,2040-$F77+1))</x:f>
        <x:v>2754.155605609629</x:v>
      </x:c>
      <x:c r="AY77" s="1" t="str">
        <x:f aca="0">LEFT($C77,FIND("@",SUBSTITUTE($C77,"|","@",2))-1)</x:f>
        <x:v>Timber Plantation|Medium</x:v>
      </x:c>
      <x:c r="AZ77" s="1" t="str">
        <x:f aca="0">LEFT($C77,FIND("|",$C77)-1)</x:f>
        <x:v>Timber Plantation</x:v>
      </x:c>
      <x:c r="BA77" s="149" t="n">
        <x:f aca="0">I77*I77</x:f>
        <x:v>0</x:v>
      </x:c>
      <x:c r="BB77" s="149" t="n">
        <x:f aca="0">J77*J77</x:f>
        <x:v>12.211757603943312</x:v>
      </x:c>
      <x:c r="BC77" s="149" t="n">
        <x:f aca="0">K77*K77</x:f>
        <x:v>1086.9623127215</x:v>
      </x:c>
      <x:c r="BD77" s="149" t="n">
        <x:f aca="0">L77*L77</x:f>
        <x:v>11905.937031119664</x:v>
      </x:c>
      <x:c r="BE77" s="149" t="n">
        <x:f aca="0">M77*M77</x:f>
        <x:v>56570.57801057891</x:v>
      </x:c>
      <x:c r="BF77" s="149" t="n">
        <x:f aca="0">N77*N77</x:f>
        <x:v>169590.86731582266</x:v>
      </x:c>
      <x:c r="BG77" s="149" t="n">
        <x:f aca="0">O77*O77</x:f>
        <x:v>382376.33111150254</x:v>
      </x:c>
      <x:c r="BH77" s="149" t="n">
        <x:f aca="0">P77*P77</x:f>
        <x:v>712001.4869474139</x:v>
      </x:c>
      <x:c r="BI77" s="149" t="n">
        <x:f aca="0">Q77*Q77</x:f>
        <x:v>1157577.4735544797</x:v>
      </x:c>
      <x:c r="BJ77" s="149" t="n">
        <x:f aca="0">R77*R77</x:f>
        <x:v>1703036.2102554273</x:v>
      </x:c>
      <x:c r="BK77" s="149" t="n">
        <x:f aca="0">S77*S77</x:f>
        <x:v>2322926.6348360623</x:v>
      </x:c>
      <x:c r="BL77" s="149" t="n">
        <x:f aca="0">T77*T77</x:f>
        <x:v>2988362.7576825684</x:v>
      </x:c>
      <x:c r="BM77" s="149" t="n">
        <x:f aca="0">U77*U77</x:f>
        <x:v>3671605.409063146</x:v>
      </x:c>
      <x:c r="BN77" s="149" t="n">
        <x:f aca="0">V77*V77</x:f>
        <x:v>4348870.884479595</x:v>
      </x:c>
      <x:c r="BO77" s="149" t="n">
        <x:f aca="0">W77*W77</x:f>
        <x:v>5001583.979403632</x:v>
      </x:c>
      <x:c r="BP77" s="149" t="n">
        <x:f aca="0">X77*X77</x:f>
        <x:v>5616521.83753208</x:v>
      </x:c>
      <x:c r="BQ77" s="149" t="n">
        <x:f aca="0">Y77*Y77</x:f>
        <x:v>6185295.139635533</x:v>
      </x:c>
      <x:c r="BR77" s="149" t="n">
        <x:f aca="0">Z77*Z77</x:f>
        <x:v>6703516.744027989</x:v>
      </x:c>
      <x:c r="BS77" s="149" t="n">
        <x:f aca="0">AA77*AA77</x:f>
        <x:v>7169892.8005795535</x:v>
      </x:c>
      <x:c r="BT77" s="149" t="n">
        <x:f aca="0">AB77*AB77</x:f>
        <x:v>7585373.099910944</x:v>
      </x:c>
      <x:c r="BU77" s="149" t="n">
        <x:f aca="0">AC77*AC77</x:f>
        <x:v>7952426.35856344</x:v>
      </x:c>
    </x:row>
    <x:row r="78" ht="15" hidden="0" customHeight="1">
      <x:c r="A78" s="1" t="str">
        <x:f aca="0">S13_PSP_Species_Support!A65</x:f>
        <x:v>PSP-TP-024</x:v>
      </x:c>
      <x:c r="B78" s="1" t="n">
        <x:f aca="0">65</x:f>
        <x:v>65</x:v>
      </x:c>
      <x:c r="C78" s="1" t="str">
        <x:f aca="0">S13_PSP_Species_Support!I65</x:f>
        <x:v>Timber Plantation|Low|2022</x:v>
      </x:c>
      <x:c r="D78" s="1" t="str">
        <x:f aca="0">S13_PSP_Species_Support!C65</x:f>
        <x:v>Timber Plantation</x:v>
      </x:c>
      <x:c r="E78" s="1" t="str">
        <x:f aca="0">S13_PSP_Species_Support!D65</x:f>
        <x:v>Low</x:v>
      </x:c>
      <x:c r="F78" s="1" t="n">
        <x:f aca="0">S13_PSP_Species_Support!E65</x:f>
        <x:v>2022</x:v>
      </x:c>
      <x:c r="G78" s="645" t="n">
        <x:f aca="0">'S13_PSP_Species_Support'!DJ65</x:f>
        <x:v>0.09</x:v>
      </x:c>
      <x:c r="H78" s="714" t="n">
        <x:f aca="0">'S13_PSP_Species_Support'!DK65</x:f>
        <x:v>40.92846991946944</x:v>
      </x:c>
      <x:c r="I78" s="147" t="n">
        <x:f aca="0">IFERROR((IFERROR(S13_PSP_Species_Support!U65*0.0673*(S13_PSP_Species_Support!V65*(S13_PSP_Species_Support!W65*(1-EXP(-S13_PSP_Species_Support!X65*0))^S13_PSP_Species_Support!Y65)^2*(S13_PSP_Species_Support!Z65*(1-EXP(-S13_PSP_Species_Support!AA65*0))^S13_PSP_Species_Support!AB65))^0.976,0)+IFERROR(S13_PSP_Species_Support!AF65*0.0673*(S13_PSP_Species_Support!AG65*(S13_PSP_Species_Support!AH65*(1-EXP(-S13_PSP_Species_Support!AI65*0))^S13_PSP_Species_Support!AJ65)^2*(S13_PSP_Species_Support!AK65*(1-EXP(-S13_PSP_Species_Support!AL65*0))^S13_PSP_Species_Support!AM65))^0.976,0)+IFERROR(S13_PSP_Species_Support!AQ65*0.0673*(S13_PSP_Species_Support!AR65*(S13_PSP_Species_Support!AS65*(1-EXP(-S13_PSP_Species_Support!AT65*0))^S13_PSP_Species_Support!AU65)^2*(S13_PSP_Species_Support!AV65*(1-EXP(-S13_PSP_Species_Support!AW65*0))^S13_PSP_Species_Support!AX65))^0.976,0)+IFERROR(S13_PSP_Species_Support!BB65*0.0673*(S13_PSP_Species_Support!BC65*(S13_PSP_Species_Support!BD65*(1-EXP(-S13_PSP_Species_Support!BE65*0))^S13_PSP_Species_Support!BF65)^2*(S13_PSP_Species_Support!BG65*(1-EXP(-S13_PSP_Species_Support!BH65*0))^S13_PSP_Species_Support!BI65))^0.976,0)+IFERROR(S13_PSP_Species_Support!BM65*0.0673*(S13_PSP_Species_Support!BN65*(S13_PSP_Species_Support!BO65*(1-EXP(-S13_PSP_Species_Support!BP65*0))^S13_PSP_Species_Support!BQ65)^2*(S13_PSP_Species_Support!BR65*(1-EXP(-S13_PSP_Species_Support!BS65*0))^S13_PSP_Species_Support!BT65))^0.976,0)+IFERROR(S13_PSP_Species_Support!BX65*0.0673*(S13_PSP_Species_Support!BY65*(S13_PSP_Species_Support!BZ65*(1-EXP(-S13_PSP_Species_Support!CA65*0))^S13_PSP_Species_Support!CB65)^2*(S13_PSP_Species_Support!CC65*(1-EXP(-S13_PSP_Species_Support!CD65*0))^S13_PSP_Species_Support!CE65))^0.976,0)+IFERROR(S13_PSP_Species_Support!CI65*0.0673*(S13_PSP_Species_Support!CJ65*(S13_PSP_Species_Support!CK65*(1-EXP(-S13_PSP_Species_Support!CL65*0))^S13_PSP_Species_Support!CM65)^2*(S13_PSP_Species_Support!CN65*(1-EXP(-S13_PSP_Species_Support!CO65*0))^S13_PSP_Species_Support!CP65))^0.976,0)+IFERROR(S13_PSP_Species_Support!CT65*0.0673*(S13_PSP_Species_Support!CU65*(S13_PSP_Species_Support!CV65*(1-EXP(-S13_PSP_Species_Support!CW65*0))^S13_PSP_Species_Support!CX65)^2*(S13_PSP_Species_Support!CY65*(1-EXP(-S13_PSP_Species_Support!CZ65*0))^S13_PSP_Species_Support!DA65))^0.976,0))/1000/$G78*I$108,0)</x:f>
        <x:v>0</x:v>
      </x:c>
      <x:c r="J78" s="147" t="n">
        <x:f aca="0">IFERROR((IFERROR(S13_PSP_Species_Support!U65*0.0673*(S13_PSP_Species_Support!V65*(S13_PSP_Species_Support!W65*(1-EXP(-S13_PSP_Species_Support!X65*1))^S13_PSP_Species_Support!Y65)^2*(S13_PSP_Species_Support!Z65*(1-EXP(-S13_PSP_Species_Support!AA65*1))^S13_PSP_Species_Support!AB65))^0.976,0)+IFERROR(S13_PSP_Species_Support!AF65*0.0673*(S13_PSP_Species_Support!AG65*(S13_PSP_Species_Support!AH65*(1-EXP(-S13_PSP_Species_Support!AI65*1))^S13_PSP_Species_Support!AJ65)^2*(S13_PSP_Species_Support!AK65*(1-EXP(-S13_PSP_Species_Support!AL65*1))^S13_PSP_Species_Support!AM65))^0.976,0)+IFERROR(S13_PSP_Species_Support!AQ65*0.0673*(S13_PSP_Species_Support!AR65*(S13_PSP_Species_Support!AS65*(1-EXP(-S13_PSP_Species_Support!AT65*1))^S13_PSP_Species_Support!AU65)^2*(S13_PSP_Species_Support!AV65*(1-EXP(-S13_PSP_Species_Support!AW65*1))^S13_PSP_Species_Support!AX65))^0.976,0)+IFERROR(S13_PSP_Species_Support!BB65*0.0673*(S13_PSP_Species_Support!BC65*(S13_PSP_Species_Support!BD65*(1-EXP(-S13_PSP_Species_Support!BE65*1))^S13_PSP_Species_Support!BF65)^2*(S13_PSP_Species_Support!BG65*(1-EXP(-S13_PSP_Species_Support!BH65*1))^S13_PSP_Species_Support!BI65))^0.976,0)+IFERROR(S13_PSP_Species_Support!BM65*0.0673*(S13_PSP_Species_Support!BN65*(S13_PSP_Species_Support!BO65*(1-EXP(-S13_PSP_Species_Support!BP65*1))^S13_PSP_Species_Support!BQ65)^2*(S13_PSP_Species_Support!BR65*(1-EXP(-S13_PSP_Species_Support!BS65*1))^S13_PSP_Species_Support!BT65))^0.976,0)+IFERROR(S13_PSP_Species_Support!BX65*0.0673*(S13_PSP_Species_Support!BY65*(S13_PSP_Species_Support!BZ65*(1-EXP(-S13_PSP_Species_Support!CA65*1))^S13_PSP_Species_Support!CB65)^2*(S13_PSP_Species_Support!CC65*(1-EXP(-S13_PSP_Species_Support!CD65*1))^S13_PSP_Species_Support!CE65))^0.976,0)+IFERROR(S13_PSP_Species_Support!CI65*0.0673*(S13_PSP_Species_Support!CJ65*(S13_PSP_Species_Support!CK65*(1-EXP(-S13_PSP_Species_Support!CL65*1))^S13_PSP_Species_Support!CM65)^2*(S13_PSP_Species_Support!CN65*(1-EXP(-S13_PSP_Species_Support!CO65*1))^S13_PSP_Species_Support!CP65))^0.976,0)+IFERROR(S13_PSP_Species_Support!CT65*0.0673*(S13_PSP_Species_Support!CU65*(S13_PSP_Species_Support!CV65*(1-EXP(-S13_PSP_Species_Support!CW65*1))^S13_PSP_Species_Support!CX65)^2*(S13_PSP_Species_Support!CY65*(1-EXP(-S13_PSP_Species_Support!CZ65*1))^S13_PSP_Species_Support!DA65))^0.976,0))/1000/$G78*J$108,0)</x:f>
        <x:v>0.05025589216373255</x:v>
      </x:c>
      <x:c r="K78" s="147" t="n">
        <x:f aca="0">IFERROR((IFERROR(S13_PSP_Species_Support!U65*0.0673*(S13_PSP_Species_Support!V65*(S13_PSP_Species_Support!W65*(1-EXP(-S13_PSP_Species_Support!X65*2))^S13_PSP_Species_Support!Y65)^2*(S13_PSP_Species_Support!Z65*(1-EXP(-S13_PSP_Species_Support!AA65*2))^S13_PSP_Species_Support!AB65))^0.976,0)+IFERROR(S13_PSP_Species_Support!AF65*0.0673*(S13_PSP_Species_Support!AG65*(S13_PSP_Species_Support!AH65*(1-EXP(-S13_PSP_Species_Support!AI65*2))^S13_PSP_Species_Support!AJ65)^2*(S13_PSP_Species_Support!AK65*(1-EXP(-S13_PSP_Species_Support!AL65*2))^S13_PSP_Species_Support!AM65))^0.976,0)+IFERROR(S13_PSP_Species_Support!AQ65*0.0673*(S13_PSP_Species_Support!AR65*(S13_PSP_Species_Support!AS65*(1-EXP(-S13_PSP_Species_Support!AT65*2))^S13_PSP_Species_Support!AU65)^2*(S13_PSP_Species_Support!AV65*(1-EXP(-S13_PSP_Species_Support!AW65*2))^S13_PSP_Species_Support!AX65))^0.976,0)+IFERROR(S13_PSP_Species_Support!BB65*0.0673*(S13_PSP_Species_Support!BC65*(S13_PSP_Species_Support!BD65*(1-EXP(-S13_PSP_Species_Support!BE65*2))^S13_PSP_Species_Support!BF65)^2*(S13_PSP_Species_Support!BG65*(1-EXP(-S13_PSP_Species_Support!BH65*2))^S13_PSP_Species_Support!BI65))^0.976,0)+IFERROR(S13_PSP_Species_Support!BM65*0.0673*(S13_PSP_Species_Support!BN65*(S13_PSP_Species_Support!BO65*(1-EXP(-S13_PSP_Species_Support!BP65*2))^S13_PSP_Species_Support!BQ65)^2*(S13_PSP_Species_Support!BR65*(1-EXP(-S13_PSP_Species_Support!BS65*2))^S13_PSP_Species_Support!BT65))^0.976,0)+IFERROR(S13_PSP_Species_Support!BX65*0.0673*(S13_PSP_Species_Support!BY65*(S13_PSP_Species_Support!BZ65*(1-EXP(-S13_PSP_Species_Support!CA65*2))^S13_PSP_Species_Support!CB65)^2*(S13_PSP_Species_Support!CC65*(1-EXP(-S13_PSP_Species_Support!CD65*2))^S13_PSP_Species_Support!CE65))^0.976,0)+IFERROR(S13_PSP_Species_Support!CI65*0.0673*(S13_PSP_Species_Support!CJ65*(S13_PSP_Species_Support!CK65*(1-EXP(-S13_PSP_Species_Support!CL65*2))^S13_PSP_Species_Support!CM65)^2*(S13_PSP_Species_Support!CN65*(1-EXP(-S13_PSP_Species_Support!CO65*2))^S13_PSP_Species_Support!CP65))^0.976,0)+IFERROR(S13_PSP_Species_Support!CT65*0.0673*(S13_PSP_Species_Support!CU65*(S13_PSP_Species_Support!CV65*(1-EXP(-S13_PSP_Species_Support!CW65*2))^S13_PSP_Species_Support!CX65)^2*(S13_PSP_Species_Support!CY65*(1-EXP(-S13_PSP_Species_Support!CZ65*2))^S13_PSP_Species_Support!DA65))^0.976,0))/1000/$G78*K$108,0)</x:f>
        <x:v>0.6329423194044487</x:v>
      </x:c>
      <x:c r="L78" s="147" t="n">
        <x:f aca="0">IFERROR((IFERROR(S13_PSP_Species_Support!U65*0.0673*(S13_PSP_Species_Support!V65*(S13_PSP_Species_Support!W65*(1-EXP(-S13_PSP_Species_Support!X65*3))^S13_PSP_Species_Support!Y65)^2*(S13_PSP_Species_Support!Z65*(1-EXP(-S13_PSP_Species_Support!AA65*3))^S13_PSP_Species_Support!AB65))^0.976,0)+IFERROR(S13_PSP_Species_Support!AF65*0.0673*(S13_PSP_Species_Support!AG65*(S13_PSP_Species_Support!AH65*(1-EXP(-S13_PSP_Species_Support!AI65*3))^S13_PSP_Species_Support!AJ65)^2*(S13_PSP_Species_Support!AK65*(1-EXP(-S13_PSP_Species_Support!AL65*3))^S13_PSP_Species_Support!AM65))^0.976,0)+IFERROR(S13_PSP_Species_Support!AQ65*0.0673*(S13_PSP_Species_Support!AR65*(S13_PSP_Species_Support!AS65*(1-EXP(-S13_PSP_Species_Support!AT65*3))^S13_PSP_Species_Support!AU65)^2*(S13_PSP_Species_Support!AV65*(1-EXP(-S13_PSP_Species_Support!AW65*3))^S13_PSP_Species_Support!AX65))^0.976,0)+IFERROR(S13_PSP_Species_Support!BB65*0.0673*(S13_PSP_Species_Support!BC65*(S13_PSP_Species_Support!BD65*(1-EXP(-S13_PSP_Species_Support!BE65*3))^S13_PSP_Species_Support!BF65)^2*(S13_PSP_Species_Support!BG65*(1-EXP(-S13_PSP_Species_Support!BH65*3))^S13_PSP_Species_Support!BI65))^0.976,0)+IFERROR(S13_PSP_Species_Support!BM65*0.0673*(S13_PSP_Species_Support!BN65*(S13_PSP_Species_Support!BO65*(1-EXP(-S13_PSP_Species_Support!BP65*3))^S13_PSP_Species_Support!BQ65)^2*(S13_PSP_Species_Support!BR65*(1-EXP(-S13_PSP_Species_Support!BS65*3))^S13_PSP_Species_Support!BT65))^0.976,0)+IFERROR(S13_PSP_Species_Support!BX65*0.0673*(S13_PSP_Species_Support!BY65*(S13_PSP_Species_Support!BZ65*(1-EXP(-S13_PSP_Species_Support!CA65*3))^S13_PSP_Species_Support!CB65)^2*(S13_PSP_Species_Support!CC65*(1-EXP(-S13_PSP_Species_Support!CD65*3))^S13_PSP_Species_Support!CE65))^0.976,0)+IFERROR(S13_PSP_Species_Support!CI65*0.0673*(S13_PSP_Species_Support!CJ65*(S13_PSP_Species_Support!CK65*(1-EXP(-S13_PSP_Species_Support!CL65*3))^S13_PSP_Species_Support!CM65)^2*(S13_PSP_Species_Support!CN65*(1-EXP(-S13_PSP_Species_Support!CO65*3))^S13_PSP_Species_Support!CP65))^0.976,0)+IFERROR(S13_PSP_Species_Support!CT65*0.0673*(S13_PSP_Species_Support!CU65*(S13_PSP_Species_Support!CV65*(1-EXP(-S13_PSP_Species_Support!CW65*3))^S13_PSP_Species_Support!CX65)^2*(S13_PSP_Species_Support!CY65*(1-EXP(-S13_PSP_Species_Support!CZ65*3))^S13_PSP_Species_Support!DA65))^0.976,0))/1000/$G78*L$108,0)</x:f>
        <x:v>2.538562278105554</x:v>
      </x:c>
      <x:c r="M78" s="147" t="n">
        <x:f aca="0">IFERROR((IFERROR(S13_PSP_Species_Support!U65*0.0673*(S13_PSP_Species_Support!V65*(S13_PSP_Species_Support!W65*(1-EXP(-S13_PSP_Species_Support!X65*4))^S13_PSP_Species_Support!Y65)^2*(S13_PSP_Species_Support!Z65*(1-EXP(-S13_PSP_Species_Support!AA65*4))^S13_PSP_Species_Support!AB65))^0.976,0)+IFERROR(S13_PSP_Species_Support!AF65*0.0673*(S13_PSP_Species_Support!AG65*(S13_PSP_Species_Support!AH65*(1-EXP(-S13_PSP_Species_Support!AI65*4))^S13_PSP_Species_Support!AJ65)^2*(S13_PSP_Species_Support!AK65*(1-EXP(-S13_PSP_Species_Support!AL65*4))^S13_PSP_Species_Support!AM65))^0.976,0)+IFERROR(S13_PSP_Species_Support!AQ65*0.0673*(S13_PSP_Species_Support!AR65*(S13_PSP_Species_Support!AS65*(1-EXP(-S13_PSP_Species_Support!AT65*4))^S13_PSP_Species_Support!AU65)^2*(S13_PSP_Species_Support!AV65*(1-EXP(-S13_PSP_Species_Support!AW65*4))^S13_PSP_Species_Support!AX65))^0.976,0)+IFERROR(S13_PSP_Species_Support!BB65*0.0673*(S13_PSP_Species_Support!BC65*(S13_PSP_Species_Support!BD65*(1-EXP(-S13_PSP_Species_Support!BE65*4))^S13_PSP_Species_Support!BF65)^2*(S13_PSP_Species_Support!BG65*(1-EXP(-S13_PSP_Species_Support!BH65*4))^S13_PSP_Species_Support!BI65))^0.976,0)+IFERROR(S13_PSP_Species_Support!BM65*0.0673*(S13_PSP_Species_Support!BN65*(S13_PSP_Species_Support!BO65*(1-EXP(-S13_PSP_Species_Support!BP65*4))^S13_PSP_Species_Support!BQ65)^2*(S13_PSP_Species_Support!BR65*(1-EXP(-S13_PSP_Species_Support!BS65*4))^S13_PSP_Species_Support!BT65))^0.976,0)+IFERROR(S13_PSP_Species_Support!BX65*0.0673*(S13_PSP_Species_Support!BY65*(S13_PSP_Species_Support!BZ65*(1-EXP(-S13_PSP_Species_Support!CA65*4))^S13_PSP_Species_Support!CB65)^2*(S13_PSP_Species_Support!CC65*(1-EXP(-S13_PSP_Species_Support!CD65*4))^S13_PSP_Species_Support!CE65))^0.976,0)+IFERROR(S13_PSP_Species_Support!CI65*0.0673*(S13_PSP_Species_Support!CJ65*(S13_PSP_Species_Support!CK65*(1-EXP(-S13_PSP_Species_Support!CL65*4))^S13_PSP_Species_Support!CM65)^2*(S13_PSP_Species_Support!CN65*(1-EXP(-S13_PSP_Species_Support!CO65*4))^S13_PSP_Species_Support!CP65))^0.976,0)+IFERROR(S13_PSP_Species_Support!CT65*0.0673*(S13_PSP_Species_Support!CU65*(S13_PSP_Species_Support!CV65*(1-EXP(-S13_PSP_Species_Support!CW65*4))^S13_PSP_Species_Support!CX65)^2*(S13_PSP_Species_Support!CY65*(1-EXP(-S13_PSP_Species_Support!CZ65*4))^S13_PSP_Species_Support!DA65))^0.976,0))/1000/$G78*M$108,0)</x:f>
        <x:v>6.428743971671681</x:v>
      </x:c>
      <x:c r="N78" s="147" t="n">
        <x:f aca="0">IFERROR((IFERROR(S13_PSP_Species_Support!U65*0.0673*(S13_PSP_Species_Support!V65*(S13_PSP_Species_Support!W65*(1-EXP(-S13_PSP_Species_Support!X65*5))^S13_PSP_Species_Support!Y65)^2*(S13_PSP_Species_Support!Z65*(1-EXP(-S13_PSP_Species_Support!AA65*5))^S13_PSP_Species_Support!AB65))^0.976,0)+IFERROR(S13_PSP_Species_Support!AF65*0.0673*(S13_PSP_Species_Support!AG65*(S13_PSP_Species_Support!AH65*(1-EXP(-S13_PSP_Species_Support!AI65*5))^S13_PSP_Species_Support!AJ65)^2*(S13_PSP_Species_Support!AK65*(1-EXP(-S13_PSP_Species_Support!AL65*5))^S13_PSP_Species_Support!AM65))^0.976,0)+IFERROR(S13_PSP_Species_Support!AQ65*0.0673*(S13_PSP_Species_Support!AR65*(S13_PSP_Species_Support!AS65*(1-EXP(-S13_PSP_Species_Support!AT65*5))^S13_PSP_Species_Support!AU65)^2*(S13_PSP_Species_Support!AV65*(1-EXP(-S13_PSP_Species_Support!AW65*5))^S13_PSP_Species_Support!AX65))^0.976,0)+IFERROR(S13_PSP_Species_Support!BB65*0.0673*(S13_PSP_Species_Support!BC65*(S13_PSP_Species_Support!BD65*(1-EXP(-S13_PSP_Species_Support!BE65*5))^S13_PSP_Species_Support!BF65)^2*(S13_PSP_Species_Support!BG65*(1-EXP(-S13_PSP_Species_Support!BH65*5))^S13_PSP_Species_Support!BI65))^0.976,0)+IFERROR(S13_PSP_Species_Support!BM65*0.0673*(S13_PSP_Species_Support!BN65*(S13_PSP_Species_Support!BO65*(1-EXP(-S13_PSP_Species_Support!BP65*5))^S13_PSP_Species_Support!BQ65)^2*(S13_PSP_Species_Support!BR65*(1-EXP(-S13_PSP_Species_Support!BS65*5))^S13_PSP_Species_Support!BT65))^0.976,0)+IFERROR(S13_PSP_Species_Support!BX65*0.0673*(S13_PSP_Species_Support!BY65*(S13_PSP_Species_Support!BZ65*(1-EXP(-S13_PSP_Species_Support!CA65*5))^S13_PSP_Species_Support!CB65)^2*(S13_PSP_Species_Support!CC65*(1-EXP(-S13_PSP_Species_Support!CD65*5))^S13_PSP_Species_Support!CE65))^0.976,0)+IFERROR(S13_PSP_Species_Support!CI65*0.0673*(S13_PSP_Species_Support!CJ65*(S13_PSP_Species_Support!CK65*(1-EXP(-S13_PSP_Species_Support!CL65*5))^S13_PSP_Species_Support!CM65)^2*(S13_PSP_Species_Support!CN65*(1-EXP(-S13_PSP_Species_Support!CO65*5))^S13_PSP_Species_Support!CP65))^0.976,0)+IFERROR(S13_PSP_Species_Support!CT65*0.0673*(S13_PSP_Species_Support!CU65*(S13_PSP_Species_Support!CV65*(1-EXP(-S13_PSP_Species_Support!CW65*5))^S13_PSP_Species_Support!CX65)^2*(S13_PSP_Species_Support!CY65*(1-EXP(-S13_PSP_Species_Support!CZ65*5))^S13_PSP_Species_Support!DA65))^0.976,0))/1000/$G78*N$108,0)</x:f>
        <x:v>12.613696549418695</x:v>
      </x:c>
      <x:c r="O78" s="147" t="n">
        <x:f aca="0">IFERROR((IFERROR(S13_PSP_Species_Support!U65*0.0673*(S13_PSP_Species_Support!V65*(S13_PSP_Species_Support!W65*(1-EXP(-S13_PSP_Species_Support!X65*6))^S13_PSP_Species_Support!Y65)^2*(S13_PSP_Species_Support!Z65*(1-EXP(-S13_PSP_Species_Support!AA65*6))^S13_PSP_Species_Support!AB65))^0.976,0)+IFERROR(S13_PSP_Species_Support!AF65*0.0673*(S13_PSP_Species_Support!AG65*(S13_PSP_Species_Support!AH65*(1-EXP(-S13_PSP_Species_Support!AI65*6))^S13_PSP_Species_Support!AJ65)^2*(S13_PSP_Species_Support!AK65*(1-EXP(-S13_PSP_Species_Support!AL65*6))^S13_PSP_Species_Support!AM65))^0.976,0)+IFERROR(S13_PSP_Species_Support!AQ65*0.0673*(S13_PSP_Species_Support!AR65*(S13_PSP_Species_Support!AS65*(1-EXP(-S13_PSP_Species_Support!AT65*6))^S13_PSP_Species_Support!AU65)^2*(S13_PSP_Species_Support!AV65*(1-EXP(-S13_PSP_Species_Support!AW65*6))^S13_PSP_Species_Support!AX65))^0.976,0)+IFERROR(S13_PSP_Species_Support!BB65*0.0673*(S13_PSP_Species_Support!BC65*(S13_PSP_Species_Support!BD65*(1-EXP(-S13_PSP_Species_Support!BE65*6))^S13_PSP_Species_Support!BF65)^2*(S13_PSP_Species_Support!BG65*(1-EXP(-S13_PSP_Species_Support!BH65*6))^S13_PSP_Species_Support!BI65))^0.976,0)+IFERROR(S13_PSP_Species_Support!BM65*0.0673*(S13_PSP_Species_Support!BN65*(S13_PSP_Species_Support!BO65*(1-EXP(-S13_PSP_Species_Support!BP65*6))^S13_PSP_Species_Support!BQ65)^2*(S13_PSP_Species_Support!BR65*(1-EXP(-S13_PSP_Species_Support!BS65*6))^S13_PSP_Species_Support!BT65))^0.976,0)+IFERROR(S13_PSP_Species_Support!BX65*0.0673*(S13_PSP_Species_Support!BY65*(S13_PSP_Species_Support!BZ65*(1-EXP(-S13_PSP_Species_Support!CA65*6))^S13_PSP_Species_Support!CB65)^2*(S13_PSP_Species_Support!CC65*(1-EXP(-S13_PSP_Species_Support!CD65*6))^S13_PSP_Species_Support!CE65))^0.976,0)+IFERROR(S13_PSP_Species_Support!CI65*0.0673*(S13_PSP_Species_Support!CJ65*(S13_PSP_Species_Support!CK65*(1-EXP(-S13_PSP_Species_Support!CL65*6))^S13_PSP_Species_Support!CM65)^2*(S13_PSP_Species_Support!CN65*(1-EXP(-S13_PSP_Species_Support!CO65*6))^S13_PSP_Species_Support!CP65))^0.976,0)+IFERROR(S13_PSP_Species_Support!CT65*0.0673*(S13_PSP_Species_Support!CU65*(S13_PSP_Species_Support!CV65*(1-EXP(-S13_PSP_Species_Support!CW65*6))^S13_PSP_Species_Support!CX65)^2*(S13_PSP_Species_Support!CY65*(1-EXP(-S13_PSP_Species_Support!CZ65*6))^S13_PSP_Species_Support!DA65))^0.976,0))/1000/$G78*O$108,0)</x:f>
        <x:v>21.099333190547252</x:v>
      </x:c>
      <x:c r="P78" s="147" t="n">
        <x:f aca="0">IFERROR((IFERROR(S13_PSP_Species_Support!U65*0.0673*(S13_PSP_Species_Support!V65*(S13_PSP_Species_Support!W65*(1-EXP(-S13_PSP_Species_Support!X65*7))^S13_PSP_Species_Support!Y65)^2*(S13_PSP_Species_Support!Z65*(1-EXP(-S13_PSP_Species_Support!AA65*7))^S13_PSP_Species_Support!AB65))^0.976,0)+IFERROR(S13_PSP_Species_Support!AF65*0.0673*(S13_PSP_Species_Support!AG65*(S13_PSP_Species_Support!AH65*(1-EXP(-S13_PSP_Species_Support!AI65*7))^S13_PSP_Species_Support!AJ65)^2*(S13_PSP_Species_Support!AK65*(1-EXP(-S13_PSP_Species_Support!AL65*7))^S13_PSP_Species_Support!AM65))^0.976,0)+IFERROR(S13_PSP_Species_Support!AQ65*0.0673*(S13_PSP_Species_Support!AR65*(S13_PSP_Species_Support!AS65*(1-EXP(-S13_PSP_Species_Support!AT65*7))^S13_PSP_Species_Support!AU65)^2*(S13_PSP_Species_Support!AV65*(1-EXP(-S13_PSP_Species_Support!AW65*7))^S13_PSP_Species_Support!AX65))^0.976,0)+IFERROR(S13_PSP_Species_Support!BB65*0.0673*(S13_PSP_Species_Support!BC65*(S13_PSP_Species_Support!BD65*(1-EXP(-S13_PSP_Species_Support!BE65*7))^S13_PSP_Species_Support!BF65)^2*(S13_PSP_Species_Support!BG65*(1-EXP(-S13_PSP_Species_Support!BH65*7))^S13_PSP_Species_Support!BI65))^0.976,0)+IFERROR(S13_PSP_Species_Support!BM65*0.0673*(S13_PSP_Species_Support!BN65*(S13_PSP_Species_Support!BO65*(1-EXP(-S13_PSP_Species_Support!BP65*7))^S13_PSP_Species_Support!BQ65)^2*(S13_PSP_Species_Support!BR65*(1-EXP(-S13_PSP_Species_Support!BS65*7))^S13_PSP_Species_Support!BT65))^0.976,0)+IFERROR(S13_PSP_Species_Support!BX65*0.0673*(S13_PSP_Species_Support!BY65*(S13_PSP_Species_Support!BZ65*(1-EXP(-S13_PSP_Species_Support!CA65*7))^S13_PSP_Species_Support!CB65)^2*(S13_PSP_Species_Support!CC65*(1-EXP(-S13_PSP_Species_Support!CD65*7))^S13_PSP_Species_Support!CE65))^0.976,0)+IFERROR(S13_PSP_Species_Support!CI65*0.0673*(S13_PSP_Species_Support!CJ65*(S13_PSP_Species_Support!CK65*(1-EXP(-S13_PSP_Species_Support!CL65*7))^S13_PSP_Species_Support!CM65)^2*(S13_PSP_Species_Support!CN65*(1-EXP(-S13_PSP_Species_Support!CO65*7))^S13_PSP_Species_Support!CP65))^0.976,0)+IFERROR(S13_PSP_Species_Support!CT65*0.0673*(S13_PSP_Species_Support!CU65*(S13_PSP_Species_Support!CV65*(1-EXP(-S13_PSP_Species_Support!CW65*7))^S13_PSP_Species_Support!CX65)^2*(S13_PSP_Species_Support!CY65*(1-EXP(-S13_PSP_Species_Support!CZ65*7))^S13_PSP_Species_Support!DA65))^0.976,0))/1000/$G78*P$108,0)</x:f>
        <x:v>31.663120726005037</x:v>
      </x:c>
      <x:c r="Q78" s="147" t="n">
        <x:f aca="0">IFERROR((IFERROR(S13_PSP_Species_Support!U65*0.0673*(S13_PSP_Species_Support!V65*(S13_PSP_Species_Support!W65*(1-EXP(-S13_PSP_Species_Support!X65*8))^S13_PSP_Species_Support!Y65)^2*(S13_PSP_Species_Support!Z65*(1-EXP(-S13_PSP_Species_Support!AA65*8))^S13_PSP_Species_Support!AB65))^0.976,0)+IFERROR(S13_PSP_Species_Support!AF65*0.0673*(S13_PSP_Species_Support!AG65*(S13_PSP_Species_Support!AH65*(1-EXP(-S13_PSP_Species_Support!AI65*8))^S13_PSP_Species_Support!AJ65)^2*(S13_PSP_Species_Support!AK65*(1-EXP(-S13_PSP_Species_Support!AL65*8))^S13_PSP_Species_Support!AM65))^0.976,0)+IFERROR(S13_PSP_Species_Support!AQ65*0.0673*(S13_PSP_Species_Support!AR65*(S13_PSP_Species_Support!AS65*(1-EXP(-S13_PSP_Species_Support!AT65*8))^S13_PSP_Species_Support!AU65)^2*(S13_PSP_Species_Support!AV65*(1-EXP(-S13_PSP_Species_Support!AW65*8))^S13_PSP_Species_Support!AX65))^0.976,0)+IFERROR(S13_PSP_Species_Support!BB65*0.0673*(S13_PSP_Species_Support!BC65*(S13_PSP_Species_Support!BD65*(1-EXP(-S13_PSP_Species_Support!BE65*8))^S13_PSP_Species_Support!BF65)^2*(S13_PSP_Species_Support!BG65*(1-EXP(-S13_PSP_Species_Support!BH65*8))^S13_PSP_Species_Support!BI65))^0.976,0)+IFERROR(S13_PSP_Species_Support!BM65*0.0673*(S13_PSP_Species_Support!BN65*(S13_PSP_Species_Support!BO65*(1-EXP(-S13_PSP_Species_Support!BP65*8))^S13_PSP_Species_Support!BQ65)^2*(S13_PSP_Species_Support!BR65*(1-EXP(-S13_PSP_Species_Support!BS65*8))^S13_PSP_Species_Support!BT65))^0.976,0)+IFERROR(S13_PSP_Species_Support!BX65*0.0673*(S13_PSP_Species_Support!BY65*(S13_PSP_Species_Support!BZ65*(1-EXP(-S13_PSP_Species_Support!CA65*8))^S13_PSP_Species_Support!CB65)^2*(S13_PSP_Species_Support!CC65*(1-EXP(-S13_PSP_Species_Support!CD65*8))^S13_PSP_Species_Support!CE65))^0.976,0)+IFERROR(S13_PSP_Species_Support!CI65*0.0673*(S13_PSP_Species_Support!CJ65*(S13_PSP_Species_Support!CK65*(1-EXP(-S13_PSP_Species_Support!CL65*8))^S13_PSP_Species_Support!CM65)^2*(S13_PSP_Species_Support!CN65*(1-EXP(-S13_PSP_Species_Support!CO65*8))^S13_PSP_Species_Support!CP65))^0.976,0)+IFERROR(S13_PSP_Species_Support!CT65*0.0673*(S13_PSP_Species_Support!CU65*(S13_PSP_Species_Support!CV65*(1-EXP(-S13_PSP_Species_Support!CW65*8))^S13_PSP_Species_Support!CX65)^2*(S13_PSP_Species_Support!CY65*(1-EXP(-S13_PSP_Species_Support!CZ65*8))^S13_PSP_Species_Support!DA65))^0.976,0))/1000/$G78*Q$108,0)</x:f>
        <x:v>43.94486609674467</x:v>
      </x:c>
      <x:c r="R78" s="147" t="n">
        <x:f aca="0">IFERROR((IFERROR(S13_PSP_Species_Support!U65*0.0673*(S13_PSP_Species_Support!V65*(S13_PSP_Species_Support!W65*(1-EXP(-S13_PSP_Species_Support!X65*9))^S13_PSP_Species_Support!Y65)^2*(S13_PSP_Species_Support!Z65*(1-EXP(-S13_PSP_Species_Support!AA65*9))^S13_PSP_Species_Support!AB65))^0.976,0)+IFERROR(S13_PSP_Species_Support!AF65*0.0673*(S13_PSP_Species_Support!AG65*(S13_PSP_Species_Support!AH65*(1-EXP(-S13_PSP_Species_Support!AI65*9))^S13_PSP_Species_Support!AJ65)^2*(S13_PSP_Species_Support!AK65*(1-EXP(-S13_PSP_Species_Support!AL65*9))^S13_PSP_Species_Support!AM65))^0.976,0)+IFERROR(S13_PSP_Species_Support!AQ65*0.0673*(S13_PSP_Species_Support!AR65*(S13_PSP_Species_Support!AS65*(1-EXP(-S13_PSP_Species_Support!AT65*9))^S13_PSP_Species_Support!AU65)^2*(S13_PSP_Species_Support!AV65*(1-EXP(-S13_PSP_Species_Support!AW65*9))^S13_PSP_Species_Support!AX65))^0.976,0)+IFERROR(S13_PSP_Species_Support!BB65*0.0673*(S13_PSP_Species_Support!BC65*(S13_PSP_Species_Support!BD65*(1-EXP(-S13_PSP_Species_Support!BE65*9))^S13_PSP_Species_Support!BF65)^2*(S13_PSP_Species_Support!BG65*(1-EXP(-S13_PSP_Species_Support!BH65*9))^S13_PSP_Species_Support!BI65))^0.976,0)+IFERROR(S13_PSP_Species_Support!BM65*0.0673*(S13_PSP_Species_Support!BN65*(S13_PSP_Species_Support!BO65*(1-EXP(-S13_PSP_Species_Support!BP65*9))^S13_PSP_Species_Support!BQ65)^2*(S13_PSP_Species_Support!BR65*(1-EXP(-S13_PSP_Species_Support!BS65*9))^S13_PSP_Species_Support!BT65))^0.976,0)+IFERROR(S13_PSP_Species_Support!BX65*0.0673*(S13_PSP_Species_Support!BY65*(S13_PSP_Species_Support!BZ65*(1-EXP(-S13_PSP_Species_Support!CA65*9))^S13_PSP_Species_Support!CB65)^2*(S13_PSP_Species_Support!CC65*(1-EXP(-S13_PSP_Species_Support!CD65*9))^S13_PSP_Species_Support!CE65))^0.976,0)+IFERROR(S13_PSP_Species_Support!CI65*0.0673*(S13_PSP_Species_Support!CJ65*(S13_PSP_Species_Support!CK65*(1-EXP(-S13_PSP_Species_Support!CL65*9))^S13_PSP_Species_Support!CM65)^2*(S13_PSP_Species_Support!CN65*(1-EXP(-S13_PSP_Species_Support!CO65*9))^S13_PSP_Species_Support!CP65))^0.976,0)+IFERROR(S13_PSP_Species_Support!CT65*0.0673*(S13_PSP_Species_Support!CU65*(S13_PSP_Species_Support!CV65*(1-EXP(-S13_PSP_Species_Support!CW65*9))^S13_PSP_Species_Support!CX65)^2*(S13_PSP_Species_Support!CY65*(1-EXP(-S13_PSP_Species_Support!CZ65*9))^S13_PSP_Species_Support!DA65))^0.976,0))/1000/$G78*R$108,0)</x:f>
        <x:v>57.5230594639009</x:v>
      </x:c>
      <x:c r="S78" s="147" t="n">
        <x:f aca="0">IFERROR((IFERROR(S13_PSP_Species_Support!U65*0.0673*(S13_PSP_Species_Support!V65*(S13_PSP_Species_Support!W65*(1-EXP(-S13_PSP_Species_Support!X65*10))^S13_PSP_Species_Support!Y65)^2*(S13_PSP_Species_Support!Z65*(1-EXP(-S13_PSP_Species_Support!AA65*10))^S13_PSP_Species_Support!AB65))^0.976,0)+IFERROR(S13_PSP_Species_Support!AF65*0.0673*(S13_PSP_Species_Support!AG65*(S13_PSP_Species_Support!AH65*(1-EXP(-S13_PSP_Species_Support!AI65*10))^S13_PSP_Species_Support!AJ65)^2*(S13_PSP_Species_Support!AK65*(1-EXP(-S13_PSP_Species_Support!AL65*10))^S13_PSP_Species_Support!AM65))^0.976,0)+IFERROR(S13_PSP_Species_Support!AQ65*0.0673*(S13_PSP_Species_Support!AR65*(S13_PSP_Species_Support!AS65*(1-EXP(-S13_PSP_Species_Support!AT65*10))^S13_PSP_Species_Support!AU65)^2*(S13_PSP_Species_Support!AV65*(1-EXP(-S13_PSP_Species_Support!AW65*10))^S13_PSP_Species_Support!AX65))^0.976,0)+IFERROR(S13_PSP_Species_Support!BB65*0.0673*(S13_PSP_Species_Support!BC65*(S13_PSP_Species_Support!BD65*(1-EXP(-S13_PSP_Species_Support!BE65*10))^S13_PSP_Species_Support!BF65)^2*(S13_PSP_Species_Support!BG65*(1-EXP(-S13_PSP_Species_Support!BH65*10))^S13_PSP_Species_Support!BI65))^0.976,0)+IFERROR(S13_PSP_Species_Support!BM65*0.0673*(S13_PSP_Species_Support!BN65*(S13_PSP_Species_Support!BO65*(1-EXP(-S13_PSP_Species_Support!BP65*10))^S13_PSP_Species_Support!BQ65)^2*(S13_PSP_Species_Support!BR65*(1-EXP(-S13_PSP_Species_Support!BS65*10))^S13_PSP_Species_Support!BT65))^0.976,0)+IFERROR(S13_PSP_Species_Support!BX65*0.0673*(S13_PSP_Species_Support!BY65*(S13_PSP_Species_Support!BZ65*(1-EXP(-S13_PSP_Species_Support!CA65*10))^S13_PSP_Species_Support!CB65)^2*(S13_PSP_Species_Support!CC65*(1-EXP(-S13_PSP_Species_Support!CD65*10))^S13_PSP_Species_Support!CE65))^0.976,0)+IFERROR(S13_PSP_Species_Support!CI65*0.0673*(S13_PSP_Species_Support!CJ65*(S13_PSP_Species_Support!CK65*(1-EXP(-S13_PSP_Species_Support!CL65*10))^S13_PSP_Species_Support!CM65)^2*(S13_PSP_Species_Support!CN65*(1-EXP(-S13_PSP_Species_Support!CO65*10))^S13_PSP_Species_Support!CP65))^0.976,0)+IFERROR(S13_PSP_Species_Support!CT65*0.0673*(S13_PSP_Species_Support!CU65*(S13_PSP_Species_Support!CV65*(1-EXP(-S13_PSP_Species_Support!CW65*10))^S13_PSP_Species_Support!CX65)^2*(S13_PSP_Species_Support!CY65*(1-EXP(-S13_PSP_Species_Support!CZ65*10))^S13_PSP_Species_Support!DA65))^0.976,0))/1000/$G78*S$108,0)</x:f>
        <x:v>71.97042440743013</x:v>
      </x:c>
      <x:c r="T78" s="147" t="n">
        <x:f aca="0">IFERROR((IFERROR(S13_PSP_Species_Support!U65*0.0673*(S13_PSP_Species_Support!V65*(S13_PSP_Species_Support!W65*(1-EXP(-S13_PSP_Species_Support!X65*11))^S13_PSP_Species_Support!Y65)^2*(S13_PSP_Species_Support!Z65*(1-EXP(-S13_PSP_Species_Support!AA65*11))^S13_PSP_Species_Support!AB65))^0.976,0)+IFERROR(S13_PSP_Species_Support!AF65*0.0673*(S13_PSP_Species_Support!AG65*(S13_PSP_Species_Support!AH65*(1-EXP(-S13_PSP_Species_Support!AI65*11))^S13_PSP_Species_Support!AJ65)^2*(S13_PSP_Species_Support!AK65*(1-EXP(-S13_PSP_Species_Support!AL65*11))^S13_PSP_Species_Support!AM65))^0.976,0)+IFERROR(S13_PSP_Species_Support!AQ65*0.0673*(S13_PSP_Species_Support!AR65*(S13_PSP_Species_Support!AS65*(1-EXP(-S13_PSP_Species_Support!AT65*11))^S13_PSP_Species_Support!AU65)^2*(S13_PSP_Species_Support!AV65*(1-EXP(-S13_PSP_Species_Support!AW65*11))^S13_PSP_Species_Support!AX65))^0.976,0)+IFERROR(S13_PSP_Species_Support!BB65*0.0673*(S13_PSP_Species_Support!BC65*(S13_PSP_Species_Support!BD65*(1-EXP(-S13_PSP_Species_Support!BE65*11))^S13_PSP_Species_Support!BF65)^2*(S13_PSP_Species_Support!BG65*(1-EXP(-S13_PSP_Species_Support!BH65*11))^S13_PSP_Species_Support!BI65))^0.976,0)+IFERROR(S13_PSP_Species_Support!BM65*0.0673*(S13_PSP_Species_Support!BN65*(S13_PSP_Species_Support!BO65*(1-EXP(-S13_PSP_Species_Support!BP65*11))^S13_PSP_Species_Support!BQ65)^2*(S13_PSP_Species_Support!BR65*(1-EXP(-S13_PSP_Species_Support!BS65*11))^S13_PSP_Species_Support!BT65))^0.976,0)+IFERROR(S13_PSP_Species_Support!BX65*0.0673*(S13_PSP_Species_Support!BY65*(S13_PSP_Species_Support!BZ65*(1-EXP(-S13_PSP_Species_Support!CA65*11))^S13_PSP_Species_Support!CB65)^2*(S13_PSP_Species_Support!CC65*(1-EXP(-S13_PSP_Species_Support!CD65*11))^S13_PSP_Species_Support!CE65))^0.976,0)+IFERROR(S13_PSP_Species_Support!CI65*0.0673*(S13_PSP_Species_Support!CJ65*(S13_PSP_Species_Support!CK65*(1-EXP(-S13_PSP_Species_Support!CL65*11))^S13_PSP_Species_Support!CM65)^2*(S13_PSP_Species_Support!CN65*(1-EXP(-S13_PSP_Species_Support!CO65*11))^S13_PSP_Species_Support!CP65))^0.976,0)+IFERROR(S13_PSP_Species_Support!CT65*0.0673*(S13_PSP_Species_Support!CU65*(S13_PSP_Species_Support!CV65*(1-EXP(-S13_PSP_Species_Support!CW65*11))^S13_PSP_Species_Support!CX65)^2*(S13_PSP_Species_Support!CY65*(1-EXP(-S13_PSP_Species_Support!CZ65*11))^S13_PSP_Species_Support!DA65))^0.976,0))/1000/$G78*T$108,0)</x:f>
        <x:v>86.88980856642493</x:v>
      </x:c>
      <x:c r="U78" s="147" t="n">
        <x:f aca="0">IFERROR((IFERROR(S13_PSP_Species_Support!U65*0.0673*(S13_PSP_Species_Support!V65*(S13_PSP_Species_Support!W65*(1-EXP(-S13_PSP_Species_Support!X65*12))^S13_PSP_Species_Support!Y65)^2*(S13_PSP_Species_Support!Z65*(1-EXP(-S13_PSP_Species_Support!AA65*12))^S13_PSP_Species_Support!AB65))^0.976,0)+IFERROR(S13_PSP_Species_Support!AF65*0.0673*(S13_PSP_Species_Support!AG65*(S13_PSP_Species_Support!AH65*(1-EXP(-S13_PSP_Species_Support!AI65*12))^S13_PSP_Species_Support!AJ65)^2*(S13_PSP_Species_Support!AK65*(1-EXP(-S13_PSP_Species_Support!AL65*12))^S13_PSP_Species_Support!AM65))^0.976,0)+IFERROR(S13_PSP_Species_Support!AQ65*0.0673*(S13_PSP_Species_Support!AR65*(S13_PSP_Species_Support!AS65*(1-EXP(-S13_PSP_Species_Support!AT65*12))^S13_PSP_Species_Support!AU65)^2*(S13_PSP_Species_Support!AV65*(1-EXP(-S13_PSP_Species_Support!AW65*12))^S13_PSP_Species_Support!AX65))^0.976,0)+IFERROR(S13_PSP_Species_Support!BB65*0.0673*(S13_PSP_Species_Support!BC65*(S13_PSP_Species_Support!BD65*(1-EXP(-S13_PSP_Species_Support!BE65*12))^S13_PSP_Species_Support!BF65)^2*(S13_PSP_Species_Support!BG65*(1-EXP(-S13_PSP_Species_Support!BH65*12))^S13_PSP_Species_Support!BI65))^0.976,0)+IFERROR(S13_PSP_Species_Support!BM65*0.0673*(S13_PSP_Species_Support!BN65*(S13_PSP_Species_Support!BO65*(1-EXP(-S13_PSP_Species_Support!BP65*12))^S13_PSP_Species_Support!BQ65)^2*(S13_PSP_Species_Support!BR65*(1-EXP(-S13_PSP_Species_Support!BS65*12))^S13_PSP_Species_Support!BT65))^0.976,0)+IFERROR(S13_PSP_Species_Support!BX65*0.0673*(S13_PSP_Species_Support!BY65*(S13_PSP_Species_Support!BZ65*(1-EXP(-S13_PSP_Species_Support!CA65*12))^S13_PSP_Species_Support!CB65)^2*(S13_PSP_Species_Support!CC65*(1-EXP(-S13_PSP_Species_Support!CD65*12))^S13_PSP_Species_Support!CE65))^0.976,0)+IFERROR(S13_PSP_Species_Support!CI65*0.0673*(S13_PSP_Species_Support!CJ65*(S13_PSP_Species_Support!CK65*(1-EXP(-S13_PSP_Species_Support!CL65*12))^S13_PSP_Species_Support!CM65)^2*(S13_PSP_Species_Support!CN65*(1-EXP(-S13_PSP_Species_Support!CO65*12))^S13_PSP_Species_Support!CP65))^0.976,0)+IFERROR(S13_PSP_Species_Support!CT65*0.0673*(S13_PSP_Species_Support!CU65*(S13_PSP_Species_Support!CV65*(1-EXP(-S13_PSP_Species_Support!CW65*12))^S13_PSP_Species_Support!CX65)^2*(S13_PSP_Species_Support!CY65*(1-EXP(-S13_PSP_Species_Support!CZ65*12))^S13_PSP_Species_Support!DA65))^0.976,0))/1000/$G78*U$108,0)</x:f>
        <x:v>101.93427579150006</x:v>
      </x:c>
      <x:c r="V78" s="147" t="n">
        <x:f aca="0">IFERROR((IFERROR(S13_PSP_Species_Support!U65*0.0673*(S13_PSP_Species_Support!V65*(S13_PSP_Species_Support!W65*(1-EXP(-S13_PSP_Species_Support!X65*13))^S13_PSP_Species_Support!Y65)^2*(S13_PSP_Species_Support!Z65*(1-EXP(-S13_PSP_Species_Support!AA65*13))^S13_PSP_Species_Support!AB65))^0.976,0)+IFERROR(S13_PSP_Species_Support!AF65*0.0673*(S13_PSP_Species_Support!AG65*(S13_PSP_Species_Support!AH65*(1-EXP(-S13_PSP_Species_Support!AI65*13))^S13_PSP_Species_Support!AJ65)^2*(S13_PSP_Species_Support!AK65*(1-EXP(-S13_PSP_Species_Support!AL65*13))^S13_PSP_Species_Support!AM65))^0.976,0)+IFERROR(S13_PSP_Species_Support!AQ65*0.0673*(S13_PSP_Species_Support!AR65*(S13_PSP_Species_Support!AS65*(1-EXP(-S13_PSP_Species_Support!AT65*13))^S13_PSP_Species_Support!AU65)^2*(S13_PSP_Species_Support!AV65*(1-EXP(-S13_PSP_Species_Support!AW65*13))^S13_PSP_Species_Support!AX65))^0.976,0)+IFERROR(S13_PSP_Species_Support!BB65*0.0673*(S13_PSP_Species_Support!BC65*(S13_PSP_Species_Support!BD65*(1-EXP(-S13_PSP_Species_Support!BE65*13))^S13_PSP_Species_Support!BF65)^2*(S13_PSP_Species_Support!BG65*(1-EXP(-S13_PSP_Species_Support!BH65*13))^S13_PSP_Species_Support!BI65))^0.976,0)+IFERROR(S13_PSP_Species_Support!BM65*0.0673*(S13_PSP_Species_Support!BN65*(S13_PSP_Species_Support!BO65*(1-EXP(-S13_PSP_Species_Support!BP65*13))^S13_PSP_Species_Support!BQ65)^2*(S13_PSP_Species_Support!BR65*(1-EXP(-S13_PSP_Species_Support!BS65*13))^S13_PSP_Species_Support!BT65))^0.976,0)+IFERROR(S13_PSP_Species_Support!BX65*0.0673*(S13_PSP_Species_Support!BY65*(S13_PSP_Species_Support!BZ65*(1-EXP(-S13_PSP_Species_Support!CA65*13))^S13_PSP_Species_Support!CB65)^2*(S13_PSP_Species_Support!CC65*(1-EXP(-S13_PSP_Species_Support!CD65*13))^S13_PSP_Species_Support!CE65))^0.976,0)+IFERROR(S13_PSP_Species_Support!CI65*0.0673*(S13_PSP_Species_Support!CJ65*(S13_PSP_Species_Support!CK65*(1-EXP(-S13_PSP_Species_Support!CL65*13))^S13_PSP_Species_Support!CM65)^2*(S13_PSP_Species_Support!CN65*(1-EXP(-S13_PSP_Species_Support!CO65*13))^S13_PSP_Species_Support!CP65))^0.976,0)+IFERROR(S13_PSP_Species_Support!CT65*0.0673*(S13_PSP_Species_Support!CU65*(S13_PSP_Species_Support!CV65*(1-EXP(-S13_PSP_Species_Support!CW65*13))^S13_PSP_Species_Support!CX65)^2*(S13_PSP_Species_Support!CY65*(1-EXP(-S13_PSP_Species_Support!CZ65*13))^S13_PSP_Species_Support!DA65))^0.976,0))/1000/$G78*V$108,0)</x:f>
        <x:v>116.81571058525253</x:v>
      </x:c>
      <x:c r="W78" s="147" t="n">
        <x:f aca="0">IFERROR((IFERROR(S13_PSP_Species_Support!U65*0.0673*(S13_PSP_Species_Support!V65*(S13_PSP_Species_Support!W65*(1-EXP(-S13_PSP_Species_Support!X65*14))^S13_PSP_Species_Support!Y65)^2*(S13_PSP_Species_Support!Z65*(1-EXP(-S13_PSP_Species_Support!AA65*14))^S13_PSP_Species_Support!AB65))^0.976,0)+IFERROR(S13_PSP_Species_Support!AF65*0.0673*(S13_PSP_Species_Support!AG65*(S13_PSP_Species_Support!AH65*(1-EXP(-S13_PSP_Species_Support!AI65*14))^S13_PSP_Species_Support!AJ65)^2*(S13_PSP_Species_Support!AK65*(1-EXP(-S13_PSP_Species_Support!AL65*14))^S13_PSP_Species_Support!AM65))^0.976,0)+IFERROR(S13_PSP_Species_Support!AQ65*0.0673*(S13_PSP_Species_Support!AR65*(S13_PSP_Species_Support!AS65*(1-EXP(-S13_PSP_Species_Support!AT65*14))^S13_PSP_Species_Support!AU65)^2*(S13_PSP_Species_Support!AV65*(1-EXP(-S13_PSP_Species_Support!AW65*14))^S13_PSP_Species_Support!AX65))^0.976,0)+IFERROR(S13_PSP_Species_Support!BB65*0.0673*(S13_PSP_Species_Support!BC65*(S13_PSP_Species_Support!BD65*(1-EXP(-S13_PSP_Species_Support!BE65*14))^S13_PSP_Species_Support!BF65)^2*(S13_PSP_Species_Support!BG65*(1-EXP(-S13_PSP_Species_Support!BH65*14))^S13_PSP_Species_Support!BI65))^0.976,0)+IFERROR(S13_PSP_Species_Support!BM65*0.0673*(S13_PSP_Species_Support!BN65*(S13_PSP_Species_Support!BO65*(1-EXP(-S13_PSP_Species_Support!BP65*14))^S13_PSP_Species_Support!BQ65)^2*(S13_PSP_Species_Support!BR65*(1-EXP(-S13_PSP_Species_Support!BS65*14))^S13_PSP_Species_Support!BT65))^0.976,0)+IFERROR(S13_PSP_Species_Support!BX65*0.0673*(S13_PSP_Species_Support!BY65*(S13_PSP_Species_Support!BZ65*(1-EXP(-S13_PSP_Species_Support!CA65*14))^S13_PSP_Species_Support!CB65)^2*(S13_PSP_Species_Support!CC65*(1-EXP(-S13_PSP_Species_Support!CD65*14))^S13_PSP_Species_Support!CE65))^0.976,0)+IFERROR(S13_PSP_Species_Support!CI65*0.0673*(S13_PSP_Species_Support!CJ65*(S13_PSP_Species_Support!CK65*(1-EXP(-S13_PSP_Species_Support!CL65*14))^S13_PSP_Species_Support!CM65)^2*(S13_PSP_Species_Support!CN65*(1-EXP(-S13_PSP_Species_Support!CO65*14))^S13_PSP_Species_Support!CP65))^0.976,0)+IFERROR(S13_PSP_Species_Support!CT65*0.0673*(S13_PSP_Species_Support!CU65*(S13_PSP_Species_Support!CV65*(1-EXP(-S13_PSP_Species_Support!CW65*14))^S13_PSP_Species_Support!CX65)^2*(S13_PSP_Species_Support!CY65*(1-EXP(-S13_PSP_Species_Support!CZ65*14))^S13_PSP_Species_Support!DA65))^0.976,0))/1000/$G78*W$108,0)</x:f>
        <x:v>131.30573221474936</x:v>
      </x:c>
      <x:c r="X78" s="147" t="n">
        <x:f aca="0">IFERROR((IFERROR(S13_PSP_Species_Support!U65*0.0673*(S13_PSP_Species_Support!V65*(S13_PSP_Species_Support!W65*(1-EXP(-S13_PSP_Species_Support!X65*15))^S13_PSP_Species_Support!Y65)^2*(S13_PSP_Species_Support!Z65*(1-EXP(-S13_PSP_Species_Support!AA65*15))^S13_PSP_Species_Support!AB65))^0.976,0)+IFERROR(S13_PSP_Species_Support!AF65*0.0673*(S13_PSP_Species_Support!AG65*(S13_PSP_Species_Support!AH65*(1-EXP(-S13_PSP_Species_Support!AI65*15))^S13_PSP_Species_Support!AJ65)^2*(S13_PSP_Species_Support!AK65*(1-EXP(-S13_PSP_Species_Support!AL65*15))^S13_PSP_Species_Support!AM65))^0.976,0)+IFERROR(S13_PSP_Species_Support!AQ65*0.0673*(S13_PSP_Species_Support!AR65*(S13_PSP_Species_Support!AS65*(1-EXP(-S13_PSP_Species_Support!AT65*15))^S13_PSP_Species_Support!AU65)^2*(S13_PSP_Species_Support!AV65*(1-EXP(-S13_PSP_Species_Support!AW65*15))^S13_PSP_Species_Support!AX65))^0.976,0)+IFERROR(S13_PSP_Species_Support!BB65*0.0673*(S13_PSP_Species_Support!BC65*(S13_PSP_Species_Support!BD65*(1-EXP(-S13_PSP_Species_Support!BE65*15))^S13_PSP_Species_Support!BF65)^2*(S13_PSP_Species_Support!BG65*(1-EXP(-S13_PSP_Species_Support!BH65*15))^S13_PSP_Species_Support!BI65))^0.976,0)+IFERROR(S13_PSP_Species_Support!BM65*0.0673*(S13_PSP_Species_Support!BN65*(S13_PSP_Species_Support!BO65*(1-EXP(-S13_PSP_Species_Support!BP65*15))^S13_PSP_Species_Support!BQ65)^2*(S13_PSP_Species_Support!BR65*(1-EXP(-S13_PSP_Species_Support!BS65*15))^S13_PSP_Species_Support!BT65))^0.976,0)+IFERROR(S13_PSP_Species_Support!BX65*0.0673*(S13_PSP_Species_Support!BY65*(S13_PSP_Species_Support!BZ65*(1-EXP(-S13_PSP_Species_Support!CA65*15))^S13_PSP_Species_Support!CB65)^2*(S13_PSP_Species_Support!CC65*(1-EXP(-S13_PSP_Species_Support!CD65*15))^S13_PSP_Species_Support!CE65))^0.976,0)+IFERROR(S13_PSP_Species_Support!CI65*0.0673*(S13_PSP_Species_Support!CJ65*(S13_PSP_Species_Support!CK65*(1-EXP(-S13_PSP_Species_Support!CL65*15))^S13_PSP_Species_Support!CM65)^2*(S13_PSP_Species_Support!CN65*(1-EXP(-S13_PSP_Species_Support!CO65*15))^S13_PSP_Species_Support!CP65))^0.976,0)+IFERROR(S13_PSP_Species_Support!CT65*0.0673*(S13_PSP_Species_Support!CU65*(S13_PSP_Species_Support!CV65*(1-EXP(-S13_PSP_Species_Support!CW65*15))^S13_PSP_Species_Support!CX65)^2*(S13_PSP_Species_Support!CY65*(1-EXP(-S13_PSP_Species_Support!CZ65*15))^S13_PSP_Species_Support!DA65))^0.976,0))/1000/$G78*X$108,0)</x:f>
        <x:v>145.23190046926285</x:v>
      </x:c>
      <x:c r="Y78" s="147" t="n">
        <x:f aca="0">IFERROR((IFERROR(S13_PSP_Species_Support!U65*0.0673*(S13_PSP_Species_Support!V65*(S13_PSP_Species_Support!W65*(1-EXP(-S13_PSP_Species_Support!X65*16))^S13_PSP_Species_Support!Y65)^2*(S13_PSP_Species_Support!Z65*(1-EXP(-S13_PSP_Species_Support!AA65*16))^S13_PSP_Species_Support!AB65))^0.976,0)+IFERROR(S13_PSP_Species_Support!AF65*0.0673*(S13_PSP_Species_Support!AG65*(S13_PSP_Species_Support!AH65*(1-EXP(-S13_PSP_Species_Support!AI65*16))^S13_PSP_Species_Support!AJ65)^2*(S13_PSP_Species_Support!AK65*(1-EXP(-S13_PSP_Species_Support!AL65*16))^S13_PSP_Species_Support!AM65))^0.976,0)+IFERROR(S13_PSP_Species_Support!AQ65*0.0673*(S13_PSP_Species_Support!AR65*(S13_PSP_Species_Support!AS65*(1-EXP(-S13_PSP_Species_Support!AT65*16))^S13_PSP_Species_Support!AU65)^2*(S13_PSP_Species_Support!AV65*(1-EXP(-S13_PSP_Species_Support!AW65*16))^S13_PSP_Species_Support!AX65))^0.976,0)+IFERROR(S13_PSP_Species_Support!BB65*0.0673*(S13_PSP_Species_Support!BC65*(S13_PSP_Species_Support!BD65*(1-EXP(-S13_PSP_Species_Support!BE65*16))^S13_PSP_Species_Support!BF65)^2*(S13_PSP_Species_Support!BG65*(1-EXP(-S13_PSP_Species_Support!BH65*16))^S13_PSP_Species_Support!BI65))^0.976,0)+IFERROR(S13_PSP_Species_Support!BM65*0.0673*(S13_PSP_Species_Support!BN65*(S13_PSP_Species_Support!BO65*(1-EXP(-S13_PSP_Species_Support!BP65*16))^S13_PSP_Species_Support!BQ65)^2*(S13_PSP_Species_Support!BR65*(1-EXP(-S13_PSP_Species_Support!BS65*16))^S13_PSP_Species_Support!BT65))^0.976,0)+IFERROR(S13_PSP_Species_Support!BX65*0.0673*(S13_PSP_Species_Support!BY65*(S13_PSP_Species_Support!BZ65*(1-EXP(-S13_PSP_Species_Support!CA65*16))^S13_PSP_Species_Support!CB65)^2*(S13_PSP_Species_Support!CC65*(1-EXP(-S13_PSP_Species_Support!CD65*16))^S13_PSP_Species_Support!CE65))^0.976,0)+IFERROR(S13_PSP_Species_Support!CI65*0.0673*(S13_PSP_Species_Support!CJ65*(S13_PSP_Species_Support!CK65*(1-EXP(-S13_PSP_Species_Support!CL65*16))^S13_PSP_Species_Support!CM65)^2*(S13_PSP_Species_Support!CN65*(1-EXP(-S13_PSP_Species_Support!CO65*16))^S13_PSP_Species_Support!CP65))^0.976,0)+IFERROR(S13_PSP_Species_Support!CT65*0.0673*(S13_PSP_Species_Support!CU65*(S13_PSP_Species_Support!CV65*(1-EXP(-S13_PSP_Species_Support!CW65*16))^S13_PSP_Species_Support!CX65)^2*(S13_PSP_Species_Support!CY65*(1-EXP(-S13_PSP_Species_Support!CZ65*16))^S13_PSP_Species_Support!DA65))^0.976,0))/1000/$G78*Y$108,0)</x:f>
        <x:v>158.4713835930587</x:v>
      </x:c>
      <x:c r="Z78" s="147" t="n">
        <x:f aca="0">IFERROR((IFERROR(S13_PSP_Species_Support!U65*0.0673*(S13_PSP_Species_Support!V65*(S13_PSP_Species_Support!W65*(1-EXP(-S13_PSP_Species_Support!X65*17))^S13_PSP_Species_Support!Y65)^2*(S13_PSP_Species_Support!Z65*(1-EXP(-S13_PSP_Species_Support!AA65*17))^S13_PSP_Species_Support!AB65))^0.976,0)+IFERROR(S13_PSP_Species_Support!AF65*0.0673*(S13_PSP_Species_Support!AG65*(S13_PSP_Species_Support!AH65*(1-EXP(-S13_PSP_Species_Support!AI65*17))^S13_PSP_Species_Support!AJ65)^2*(S13_PSP_Species_Support!AK65*(1-EXP(-S13_PSP_Species_Support!AL65*17))^S13_PSP_Species_Support!AM65))^0.976,0)+IFERROR(S13_PSP_Species_Support!AQ65*0.0673*(S13_PSP_Species_Support!AR65*(S13_PSP_Species_Support!AS65*(1-EXP(-S13_PSP_Species_Support!AT65*17))^S13_PSP_Species_Support!AU65)^2*(S13_PSP_Species_Support!AV65*(1-EXP(-S13_PSP_Species_Support!AW65*17))^S13_PSP_Species_Support!AX65))^0.976,0)+IFERROR(S13_PSP_Species_Support!BB65*0.0673*(S13_PSP_Species_Support!BC65*(S13_PSP_Species_Support!BD65*(1-EXP(-S13_PSP_Species_Support!BE65*17))^S13_PSP_Species_Support!BF65)^2*(S13_PSP_Species_Support!BG65*(1-EXP(-S13_PSP_Species_Support!BH65*17))^S13_PSP_Species_Support!BI65))^0.976,0)+IFERROR(S13_PSP_Species_Support!BM65*0.0673*(S13_PSP_Species_Support!BN65*(S13_PSP_Species_Support!BO65*(1-EXP(-S13_PSP_Species_Support!BP65*17))^S13_PSP_Species_Support!BQ65)^2*(S13_PSP_Species_Support!BR65*(1-EXP(-S13_PSP_Species_Support!BS65*17))^S13_PSP_Species_Support!BT65))^0.976,0)+IFERROR(S13_PSP_Species_Support!BX65*0.0673*(S13_PSP_Species_Support!BY65*(S13_PSP_Species_Support!BZ65*(1-EXP(-S13_PSP_Species_Support!CA65*17))^S13_PSP_Species_Support!CB65)^2*(S13_PSP_Species_Support!CC65*(1-EXP(-S13_PSP_Species_Support!CD65*17))^S13_PSP_Species_Support!CE65))^0.976,0)+IFERROR(S13_PSP_Species_Support!CI65*0.0673*(S13_PSP_Species_Support!CJ65*(S13_PSP_Species_Support!CK65*(1-EXP(-S13_PSP_Species_Support!CL65*17))^S13_PSP_Species_Support!CM65)^2*(S13_PSP_Species_Support!CN65*(1-EXP(-S13_PSP_Species_Support!CO65*17))^S13_PSP_Species_Support!CP65))^0.976,0)+IFERROR(S13_PSP_Species_Support!CT65*0.0673*(S13_PSP_Species_Support!CU65*(S13_PSP_Species_Support!CV65*(1-EXP(-S13_PSP_Species_Support!CW65*17))^S13_PSP_Species_Support!CX65)^2*(S13_PSP_Species_Support!CY65*(1-EXP(-S13_PSP_Species_Support!CZ65*17))^S13_PSP_Species_Support!DA65))^0.976,0))/1000/$G78*Z$108,0)</x:f>
        <x:v>170.94357239213835</x:v>
      </x:c>
      <x:c r="AA78" s="147" t="n">
        <x:f aca="0">IFERROR((IFERROR(S13_PSP_Species_Support!U65*0.0673*(S13_PSP_Species_Support!V65*(S13_PSP_Species_Support!W65*(1-EXP(-S13_PSP_Species_Support!X65*18))^S13_PSP_Species_Support!Y65)^2*(S13_PSP_Species_Support!Z65*(1-EXP(-S13_PSP_Species_Support!AA65*18))^S13_PSP_Species_Support!AB65))^0.976,0)+IFERROR(S13_PSP_Species_Support!AF65*0.0673*(S13_PSP_Species_Support!AG65*(S13_PSP_Species_Support!AH65*(1-EXP(-S13_PSP_Species_Support!AI65*18))^S13_PSP_Species_Support!AJ65)^2*(S13_PSP_Species_Support!AK65*(1-EXP(-S13_PSP_Species_Support!AL65*18))^S13_PSP_Species_Support!AM65))^0.976,0)+IFERROR(S13_PSP_Species_Support!AQ65*0.0673*(S13_PSP_Species_Support!AR65*(S13_PSP_Species_Support!AS65*(1-EXP(-S13_PSP_Species_Support!AT65*18))^S13_PSP_Species_Support!AU65)^2*(S13_PSP_Species_Support!AV65*(1-EXP(-S13_PSP_Species_Support!AW65*18))^S13_PSP_Species_Support!AX65))^0.976,0)+IFERROR(S13_PSP_Species_Support!BB65*0.0673*(S13_PSP_Species_Support!BC65*(S13_PSP_Species_Support!BD65*(1-EXP(-S13_PSP_Species_Support!BE65*18))^S13_PSP_Species_Support!BF65)^2*(S13_PSP_Species_Support!BG65*(1-EXP(-S13_PSP_Species_Support!BH65*18))^S13_PSP_Species_Support!BI65))^0.976,0)+IFERROR(S13_PSP_Species_Support!BM65*0.0673*(S13_PSP_Species_Support!BN65*(S13_PSP_Species_Support!BO65*(1-EXP(-S13_PSP_Species_Support!BP65*18))^S13_PSP_Species_Support!BQ65)^2*(S13_PSP_Species_Support!BR65*(1-EXP(-S13_PSP_Species_Support!BS65*18))^S13_PSP_Species_Support!BT65))^0.976,0)+IFERROR(S13_PSP_Species_Support!BX65*0.0673*(S13_PSP_Species_Support!BY65*(S13_PSP_Species_Support!BZ65*(1-EXP(-S13_PSP_Species_Support!CA65*18))^S13_PSP_Species_Support!CB65)^2*(S13_PSP_Species_Support!CC65*(1-EXP(-S13_PSP_Species_Support!CD65*18))^S13_PSP_Species_Support!CE65))^0.976,0)+IFERROR(S13_PSP_Species_Support!CI65*0.0673*(S13_PSP_Species_Support!CJ65*(S13_PSP_Species_Support!CK65*(1-EXP(-S13_PSP_Species_Support!CL65*18))^S13_PSP_Species_Support!CM65)^2*(S13_PSP_Species_Support!CN65*(1-EXP(-S13_PSP_Species_Support!CO65*18))^S13_PSP_Species_Support!CP65))^0.976,0)+IFERROR(S13_PSP_Species_Support!CT65*0.0673*(S13_PSP_Species_Support!CU65*(S13_PSP_Species_Support!CV65*(1-EXP(-S13_PSP_Species_Support!CW65*18))^S13_PSP_Species_Support!CX65)^2*(S13_PSP_Species_Support!CY65*(1-EXP(-S13_PSP_Species_Support!CZ65*18))^S13_PSP_Species_Support!DA65))^0.976,0))/1000/$G78*AA$108,0)</x:f>
        <x:v>182.60259286995756</x:v>
      </x:c>
      <x:c r="AB78" s="147" t="n">
        <x:f aca="0">IFERROR((IFERROR(S13_PSP_Species_Support!U65*0.0673*(S13_PSP_Species_Support!V65*(S13_PSP_Species_Support!W65*(1-EXP(-S13_PSP_Species_Support!X65*19))^S13_PSP_Species_Support!Y65)^2*(S13_PSP_Species_Support!Z65*(1-EXP(-S13_PSP_Species_Support!AA65*19))^S13_PSP_Species_Support!AB65))^0.976,0)+IFERROR(S13_PSP_Species_Support!AF65*0.0673*(S13_PSP_Species_Support!AG65*(S13_PSP_Species_Support!AH65*(1-EXP(-S13_PSP_Species_Support!AI65*19))^S13_PSP_Species_Support!AJ65)^2*(S13_PSP_Species_Support!AK65*(1-EXP(-S13_PSP_Species_Support!AL65*19))^S13_PSP_Species_Support!AM65))^0.976,0)+IFERROR(S13_PSP_Species_Support!AQ65*0.0673*(S13_PSP_Species_Support!AR65*(S13_PSP_Species_Support!AS65*(1-EXP(-S13_PSP_Species_Support!AT65*19))^S13_PSP_Species_Support!AU65)^2*(S13_PSP_Species_Support!AV65*(1-EXP(-S13_PSP_Species_Support!AW65*19))^S13_PSP_Species_Support!AX65))^0.976,0)+IFERROR(S13_PSP_Species_Support!BB65*0.0673*(S13_PSP_Species_Support!BC65*(S13_PSP_Species_Support!BD65*(1-EXP(-S13_PSP_Species_Support!BE65*19))^S13_PSP_Species_Support!BF65)^2*(S13_PSP_Species_Support!BG65*(1-EXP(-S13_PSP_Species_Support!BH65*19))^S13_PSP_Species_Support!BI65))^0.976,0)+IFERROR(S13_PSP_Species_Support!BM65*0.0673*(S13_PSP_Species_Support!BN65*(S13_PSP_Species_Support!BO65*(1-EXP(-S13_PSP_Species_Support!BP65*19))^S13_PSP_Species_Support!BQ65)^2*(S13_PSP_Species_Support!BR65*(1-EXP(-S13_PSP_Species_Support!BS65*19))^S13_PSP_Species_Support!BT65))^0.976,0)+IFERROR(S13_PSP_Species_Support!BX65*0.0673*(S13_PSP_Species_Support!BY65*(S13_PSP_Species_Support!BZ65*(1-EXP(-S13_PSP_Species_Support!CA65*19))^S13_PSP_Species_Support!CB65)^2*(S13_PSP_Species_Support!CC65*(1-EXP(-S13_PSP_Species_Support!CD65*19))^S13_PSP_Species_Support!CE65))^0.976,0)+IFERROR(S13_PSP_Species_Support!CI65*0.0673*(S13_PSP_Species_Support!CJ65*(S13_PSP_Species_Support!CK65*(1-EXP(-S13_PSP_Species_Support!CL65*19))^S13_PSP_Species_Support!CM65)^2*(S13_PSP_Species_Support!CN65*(1-EXP(-S13_PSP_Species_Support!CO65*19))^S13_PSP_Species_Support!CP65))^0.976,0)+IFERROR(S13_PSP_Species_Support!CT65*0.0673*(S13_PSP_Species_Support!CU65*(S13_PSP_Species_Support!CV65*(1-EXP(-S13_PSP_Species_Support!CW65*19))^S13_PSP_Species_Support!CX65)^2*(S13_PSP_Species_Support!CY65*(1-EXP(-S13_PSP_Species_Support!CZ65*19))^S13_PSP_Species_Support!DA65))^0.976,0))/1000/$G78*AB$108,0)</x:f>
        <x:v>193.43028237196054</x:v>
      </x:c>
      <x:c r="AC78" s="147" t="n">
        <x:f aca="0">IFERROR((IFERROR(S13_PSP_Species_Support!U65*0.0673*(S13_PSP_Species_Support!V65*(S13_PSP_Species_Support!W65*(1-EXP(-S13_PSP_Species_Support!X65*20))^S13_PSP_Species_Support!Y65)^2*(S13_PSP_Species_Support!Z65*(1-EXP(-S13_PSP_Species_Support!AA65*20))^S13_PSP_Species_Support!AB65))^0.976,0)+IFERROR(S13_PSP_Species_Support!AF65*0.0673*(S13_PSP_Species_Support!AG65*(S13_PSP_Species_Support!AH65*(1-EXP(-S13_PSP_Species_Support!AI65*20))^S13_PSP_Species_Support!AJ65)^2*(S13_PSP_Species_Support!AK65*(1-EXP(-S13_PSP_Species_Support!AL65*20))^S13_PSP_Species_Support!AM65))^0.976,0)+IFERROR(S13_PSP_Species_Support!AQ65*0.0673*(S13_PSP_Species_Support!AR65*(S13_PSP_Species_Support!AS65*(1-EXP(-S13_PSP_Species_Support!AT65*20))^S13_PSP_Species_Support!AU65)^2*(S13_PSP_Species_Support!AV65*(1-EXP(-S13_PSP_Species_Support!AW65*20))^S13_PSP_Species_Support!AX65))^0.976,0)+IFERROR(S13_PSP_Species_Support!BB65*0.0673*(S13_PSP_Species_Support!BC65*(S13_PSP_Species_Support!BD65*(1-EXP(-S13_PSP_Species_Support!BE65*20))^S13_PSP_Species_Support!BF65)^2*(S13_PSP_Species_Support!BG65*(1-EXP(-S13_PSP_Species_Support!BH65*20))^S13_PSP_Species_Support!BI65))^0.976,0)+IFERROR(S13_PSP_Species_Support!BM65*0.0673*(S13_PSP_Species_Support!BN65*(S13_PSP_Species_Support!BO65*(1-EXP(-S13_PSP_Species_Support!BP65*20))^S13_PSP_Species_Support!BQ65)^2*(S13_PSP_Species_Support!BR65*(1-EXP(-S13_PSP_Species_Support!BS65*20))^S13_PSP_Species_Support!BT65))^0.976,0)+IFERROR(S13_PSP_Species_Support!BX65*0.0673*(S13_PSP_Species_Support!BY65*(S13_PSP_Species_Support!BZ65*(1-EXP(-S13_PSP_Species_Support!CA65*20))^S13_PSP_Species_Support!CB65)^2*(S13_PSP_Species_Support!CC65*(1-EXP(-S13_PSP_Species_Support!CD65*20))^S13_PSP_Species_Support!CE65))^0.976,0)+IFERROR(S13_PSP_Species_Support!CI65*0.0673*(S13_PSP_Species_Support!CJ65*(S13_PSP_Species_Support!CK65*(1-EXP(-S13_PSP_Species_Support!CL65*20))^S13_PSP_Species_Support!CM65)^2*(S13_PSP_Species_Support!CN65*(1-EXP(-S13_PSP_Species_Support!CO65*20))^S13_PSP_Species_Support!CP65))^0.976,0)+IFERROR(S13_PSP_Species_Support!CT65*0.0673*(S13_PSP_Species_Support!CU65*(S13_PSP_Species_Support!CV65*(1-EXP(-S13_PSP_Species_Support!CW65*20))^S13_PSP_Species_Support!CX65)^2*(S13_PSP_Species_Support!CY65*(1-EXP(-S13_PSP_Species_Support!CZ65*20))^S13_PSP_Species_Support!DA65))^0.976,0))/1000/$G78*AC$108,0)</x:f>
        <x:v>203.42992574457352</x:v>
      </x:c>
      <x:c r="AD78" s="148" t="n">
        <x:f aca="0">IF(2020&lt;$F78,0,INDEX($I78:$AC78,1,2020-$F78+1))</x:f>
        <x:v>0</x:v>
      </x:c>
      <x:c r="AE78" s="148" t="n">
        <x:f aca="0">IF(2021&lt;$F78,0,INDEX($I78:$AC78,1,2021-$F78+1))</x:f>
        <x:v>0</x:v>
      </x:c>
      <x:c r="AF78" s="148" t="n">
        <x:f aca="0">IF(2022&lt;$F78,0,INDEX($I78:$AC78,1,2022-$F78+1))</x:f>
        <x:v>0</x:v>
      </x:c>
      <x:c r="AG78" s="148" t="n">
        <x:f aca="0">IF(2023&lt;$F78,0,INDEX($I78:$AC78,1,2023-$F78+1))</x:f>
        <x:v>0.05025589216373255</x:v>
      </x:c>
      <x:c r="AH78" s="148" t="n">
        <x:f aca="0">IF(2024&lt;$F78,0,INDEX($I78:$AC78,1,2024-$F78+1))</x:f>
        <x:v>0.6329423194044487</x:v>
      </x:c>
      <x:c r="AI78" s="148" t="n">
        <x:f aca="0">IF(2025&lt;$F78,0,INDEX($I78:$AC78,1,2025-$F78+1))</x:f>
        <x:v>2.538562278105554</x:v>
      </x:c>
      <x:c r="AJ78" s="148" t="n">
        <x:f aca="0">IF(2026&lt;$F78,0,INDEX($I78:$AC78,1,2026-$F78+1))</x:f>
        <x:v>6.428743971671681</x:v>
      </x:c>
      <x:c r="AK78" s="148" t="n">
        <x:f aca="0">IF(2027&lt;$F78,0,INDEX($I78:$AC78,1,2027-$F78+1))</x:f>
        <x:v>12.613696549418695</x:v>
      </x:c>
      <x:c r="AL78" s="148" t="n">
        <x:f aca="0">IF(2028&lt;$F78,0,INDEX($I78:$AC78,1,2028-$F78+1))</x:f>
        <x:v>21.099333190547252</x:v>
      </x:c>
      <x:c r="AM78" s="148" t="n">
        <x:f aca="0">IF(2029&lt;$F78,0,INDEX($I78:$AC78,1,2029-$F78+1))</x:f>
        <x:v>31.663120726005037</x:v>
      </x:c>
      <x:c r="AN78" s="148" t="n">
        <x:f aca="0">IF(2030&lt;$F78,0,INDEX($I78:$AC78,1,2030-$F78+1))</x:f>
        <x:v>43.94486609674467</x:v>
      </x:c>
      <x:c r="AO78" s="148" t="n">
        <x:f aca="0">IF(2031&lt;$F78,0,INDEX($I78:$AC78,1,2031-$F78+1))</x:f>
        <x:v>57.5230594639009</x:v>
      </x:c>
      <x:c r="AP78" s="148" t="n">
        <x:f aca="0">IF(2032&lt;$F78,0,INDEX($I78:$AC78,1,2032-$F78+1))</x:f>
        <x:v>71.97042440743013</x:v>
      </x:c>
      <x:c r="AQ78" s="148" t="n">
        <x:f aca="0">IF(2033&lt;$F78,0,INDEX($I78:$AC78,1,2033-$F78+1))</x:f>
        <x:v>86.88980856642493</x:v>
      </x:c>
      <x:c r="AR78" s="148" t="n">
        <x:f aca="0">IF(2034&lt;$F78,0,INDEX($I78:$AC78,1,2034-$F78+1))</x:f>
        <x:v>101.93427579150006</x:v>
      </x:c>
      <x:c r="AS78" s="148" t="n">
        <x:f aca="0">IF(2035&lt;$F78,0,INDEX($I78:$AC78,1,2035-$F78+1))</x:f>
        <x:v>116.81571058525253</x:v>
      </x:c>
      <x:c r="AT78" s="148" t="n">
        <x:f aca="0">IF(2036&lt;$F78,0,INDEX($I78:$AC78,1,2036-$F78+1))</x:f>
        <x:v>131.30573221474936</x:v>
      </x:c>
      <x:c r="AU78" s="148" t="n">
        <x:f aca="0">IF(2037&lt;$F78,0,INDEX($I78:$AC78,1,2037-$F78+1))</x:f>
        <x:v>145.23190046926285</x:v>
      </x:c>
      <x:c r="AV78" s="148" t="n">
        <x:f aca="0">IF(2038&lt;$F78,0,INDEX($I78:$AC78,1,2038-$F78+1))</x:f>
        <x:v>158.4713835930587</x:v>
      </x:c>
      <x:c r="AW78" s="148" t="n">
        <x:f aca="0">IF(2039&lt;$F78,0,INDEX($I78:$AC78,1,2039-$F78+1))</x:f>
        <x:v>170.94357239213835</x:v>
      </x:c>
      <x:c r="AX78" s="148" t="n">
        <x:f aca="0">IF(2040&lt;$F78,0,INDEX($I78:$AC78,1,2040-$F78+1))</x:f>
        <x:v>182.60259286995756</x:v>
      </x:c>
      <x:c r="AY78" s="1" t="str">
        <x:f aca="0">LEFT($C78,FIND("@",SUBSTITUTE($C78,"|","@",2))-1)</x:f>
        <x:v>Timber Plantation|Low</x:v>
      </x:c>
      <x:c r="AZ78" s="1" t="str">
        <x:f aca="0">LEFT($C78,FIND("|",$C78)-1)</x:f>
        <x:v>Timber Plantation</x:v>
      </x:c>
      <x:c r="BA78" s="149" t="n">
        <x:f aca="0">I78*I78</x:f>
        <x:v>0</x:v>
      </x:c>
      <x:c r="BB78" s="149" t="n">
        <x:f aca="0">J78*J78</x:f>
        <x:v>0.002525654697172715</x:v>
      </x:c>
      <x:c r="BC78" s="149" t="n">
        <x:f aca="0">K78*K78</x:f>
        <x:v>0.4006159796930831</x:v>
      </x:c>
      <x:c r="BD78" s="149" t="n">
        <x:f aca="0">L78*L78</x:f>
        <x:v>6.44429843982046</x:v>
      </x:c>
      <x:c r="BE78" s="149" t="n">
        <x:f aca="0">M78*M78</x:f>
        <x:v>41.328749053304975</x:v>
      </x:c>
      <x:c r="BF78" s="149" t="n">
        <x:f aca="0">N78*N78</x:f>
        <x:v>159.10534064081708</x:v>
      </x:c>
      <x:c r="BG78" s="149" t="n">
        <x:f aca="0">O78*O78</x:f>
        <x:v>445.1818610857289</x:v>
      </x:c>
      <x:c r="BH78" s="149" t="n">
        <x:f aca="0">P78*P78</x:f>
        <x:v>1002.5532141095697</x:v>
      </x:c>
      <x:c r="BI78" s="149" t="n">
        <x:f aca="0">Q78*Q78</x:f>
        <x:v>1931.151256260819</x:v>
      </x:c>
      <x:c r="BJ78" s="149" t="n">
        <x:f aca="0">R78*R78</x:f>
        <x:v>3308.902370087479</x:v>
      </x:c>
      <x:c r="BK78" s="149" t="n">
        <x:f aca="0">S78*S78</x:f>
        <x:v>5179.741989385615</x:v>
      </x:c>
      <x:c r="BL78" s="149" t="n">
        <x:f aca="0">T78*T78</x:f>
        <x:v>7549.838832709972</x:v>
      </x:c>
      <x:c r="BM78" s="149" t="n">
        <x:f aca="0">U78*U78</x:f>
        <x:v>10390.596581137594</x:v>
      </x:c>
      <x:c r="BN78" s="149" t="n">
        <x:f aca="0">V78*V78</x:f>
        <x:v>13645.910239537481</x:v>
      </x:c>
      <x:c r="BO78" s="149" t="n">
        <x:f aca="0">W78*W78</x:f>
        <x:v>17241.195312451466</x:v>
      </x:c>
      <x:c r="BP78" s="149" t="n">
        <x:f aca="0">X78*X78</x:f>
        <x:v>21092.30491391387</x:v>
      </x:c>
      <x:c r="BQ78" s="149" t="n">
        <x:f aca="0">Y78*Y78</x:f>
        <x:v>25113.179417898355</x:v>
      </x:c>
      <x:c r="BR78" s="149" t="n">
        <x:f aca="0">Z78*Z78</x:f>
        <x:v>29221.704942186243</x:v>
      </x:c>
      <x:c r="BS78" s="149" t="n">
        <x:f aca="0">AA78*AA78</x:f>
        <x:v>33343.70692283148</x:v>
      </x:c>
      <x:c r="BT78" s="149" t="n">
        <x:f aca="0">AB78*AB78</x:f>
        <x:v>37415.27413849639</x:v>
      </x:c>
      <x:c r="BU78" s="149" t="n">
        <x:f aca="0">AC78*AC78</x:f>
        <x:v>41383.734688442695</x:v>
      </x:c>
    </x:row>
    <x:row r="79" ht="15" hidden="0" customHeight="1">
      <x:c r="A79" s="1" t="str">
        <x:f aca="0">S13_PSP_Species_Support!A66</x:f>
        <x:v>PSP-TP-025</x:v>
      </x:c>
      <x:c r="B79" s="1" t="n">
        <x:f aca="0">66</x:f>
        <x:v>66</x:v>
      </x:c>
      <x:c r="C79" s="1" t="str">
        <x:f aca="0">S13_PSP_Species_Support!I66</x:f>
        <x:v>Timber Plantation|Medium|2022</x:v>
      </x:c>
      <x:c r="D79" s="1" t="str">
        <x:f aca="0">S13_PSP_Species_Support!C66</x:f>
        <x:v>Timber Plantation</x:v>
      </x:c>
      <x:c r="E79" s="1" t="str">
        <x:f aca="0">S13_PSP_Species_Support!D66</x:f>
        <x:v>Medium</x:v>
      </x:c>
      <x:c r="F79" s="1" t="n">
        <x:f aca="0">S13_PSP_Species_Support!E66</x:f>
        <x:v>2022</x:v>
      </x:c>
      <x:c r="G79" s="645" t="n">
        <x:f aca="0">'S13_PSP_Species_Support'!DJ66</x:f>
        <x:v>0.09</x:v>
      </x:c>
      <x:c r="H79" s="714" t="n">
        <x:f aca="0">'S13_PSP_Species_Support'!DK66</x:f>
        <x:v>96.51474530831099</x:v>
      </x:c>
      <x:c r="I79" s="147" t="n">
        <x:f aca="0">IFERROR((IFERROR(S13_PSP_Species_Support!U66*0.0673*(S13_PSP_Species_Support!V66*(S13_PSP_Species_Support!W66*(1-EXP(-S13_PSP_Species_Support!X66*0))^S13_PSP_Species_Support!Y66)^2*(S13_PSP_Species_Support!Z66*(1-EXP(-S13_PSP_Species_Support!AA66*0))^S13_PSP_Species_Support!AB66))^0.976,0)+IFERROR(S13_PSP_Species_Support!AF66*0.0673*(S13_PSP_Species_Support!AG66*(S13_PSP_Species_Support!AH66*(1-EXP(-S13_PSP_Species_Support!AI66*0))^S13_PSP_Species_Support!AJ66)^2*(S13_PSP_Species_Support!AK66*(1-EXP(-S13_PSP_Species_Support!AL66*0))^S13_PSP_Species_Support!AM66))^0.976,0)+IFERROR(S13_PSP_Species_Support!AQ66*0.0673*(S13_PSP_Species_Support!AR66*(S13_PSP_Species_Support!AS66*(1-EXP(-S13_PSP_Species_Support!AT66*0))^S13_PSP_Species_Support!AU66)^2*(S13_PSP_Species_Support!AV66*(1-EXP(-S13_PSP_Species_Support!AW66*0))^S13_PSP_Species_Support!AX66))^0.976,0)+IFERROR(S13_PSP_Species_Support!BB66*0.0673*(S13_PSP_Species_Support!BC66*(S13_PSP_Species_Support!BD66*(1-EXP(-S13_PSP_Species_Support!BE66*0))^S13_PSP_Species_Support!BF66)^2*(S13_PSP_Species_Support!BG66*(1-EXP(-S13_PSP_Species_Support!BH66*0))^S13_PSP_Species_Support!BI66))^0.976,0)+IFERROR(S13_PSP_Species_Support!BM66*0.0673*(S13_PSP_Species_Support!BN66*(S13_PSP_Species_Support!BO66*(1-EXP(-S13_PSP_Species_Support!BP66*0))^S13_PSP_Species_Support!BQ66)^2*(S13_PSP_Species_Support!BR66*(1-EXP(-S13_PSP_Species_Support!BS66*0))^S13_PSP_Species_Support!BT66))^0.976,0)+IFERROR(S13_PSP_Species_Support!BX66*0.0673*(S13_PSP_Species_Support!BY66*(S13_PSP_Species_Support!BZ66*(1-EXP(-S13_PSP_Species_Support!CA66*0))^S13_PSP_Species_Support!CB66)^2*(S13_PSP_Species_Support!CC66*(1-EXP(-S13_PSP_Species_Support!CD66*0))^S13_PSP_Species_Support!CE66))^0.976,0)+IFERROR(S13_PSP_Species_Support!CI66*0.0673*(S13_PSP_Species_Support!CJ66*(S13_PSP_Species_Support!CK66*(1-EXP(-S13_PSP_Species_Support!CL66*0))^S13_PSP_Species_Support!CM66)^2*(S13_PSP_Species_Support!CN66*(1-EXP(-S13_PSP_Species_Support!CO66*0))^S13_PSP_Species_Support!CP66))^0.976,0)+IFERROR(S13_PSP_Species_Support!CT66*0.0673*(S13_PSP_Species_Support!CU66*(S13_PSP_Species_Support!CV66*(1-EXP(-S13_PSP_Species_Support!CW66*0))^S13_PSP_Species_Support!CX66)^2*(S13_PSP_Species_Support!CY66*(1-EXP(-S13_PSP_Species_Support!CZ66*0))^S13_PSP_Species_Support!DA66))^0.976,0))/1000/$G79*I$108,0)</x:f>
        <x:v>0</x:v>
      </x:c>
      <x:c r="J79" s="147" t="n">
        <x:f aca="0">IFERROR((IFERROR(S13_PSP_Species_Support!U66*0.0673*(S13_PSP_Species_Support!V66*(S13_PSP_Species_Support!W66*(1-EXP(-S13_PSP_Species_Support!X66*1))^S13_PSP_Species_Support!Y66)^2*(S13_PSP_Species_Support!Z66*(1-EXP(-S13_PSP_Species_Support!AA66*1))^S13_PSP_Species_Support!AB66))^0.976,0)+IFERROR(S13_PSP_Species_Support!AF66*0.0673*(S13_PSP_Species_Support!AG66*(S13_PSP_Species_Support!AH66*(1-EXP(-S13_PSP_Species_Support!AI66*1))^S13_PSP_Species_Support!AJ66)^2*(S13_PSP_Species_Support!AK66*(1-EXP(-S13_PSP_Species_Support!AL66*1))^S13_PSP_Species_Support!AM66))^0.976,0)+IFERROR(S13_PSP_Species_Support!AQ66*0.0673*(S13_PSP_Species_Support!AR66*(S13_PSP_Species_Support!AS66*(1-EXP(-S13_PSP_Species_Support!AT66*1))^S13_PSP_Species_Support!AU66)^2*(S13_PSP_Species_Support!AV66*(1-EXP(-S13_PSP_Species_Support!AW66*1))^S13_PSP_Species_Support!AX66))^0.976,0)+IFERROR(S13_PSP_Species_Support!BB66*0.0673*(S13_PSP_Species_Support!BC66*(S13_PSP_Species_Support!BD66*(1-EXP(-S13_PSP_Species_Support!BE66*1))^S13_PSP_Species_Support!BF66)^2*(S13_PSP_Species_Support!BG66*(1-EXP(-S13_PSP_Species_Support!BH66*1))^S13_PSP_Species_Support!BI66))^0.976,0)+IFERROR(S13_PSP_Species_Support!BM66*0.0673*(S13_PSP_Species_Support!BN66*(S13_PSP_Species_Support!BO66*(1-EXP(-S13_PSP_Species_Support!BP66*1))^S13_PSP_Species_Support!BQ66)^2*(S13_PSP_Species_Support!BR66*(1-EXP(-S13_PSP_Species_Support!BS66*1))^S13_PSP_Species_Support!BT66))^0.976,0)+IFERROR(S13_PSP_Species_Support!BX66*0.0673*(S13_PSP_Species_Support!BY66*(S13_PSP_Species_Support!BZ66*(1-EXP(-S13_PSP_Species_Support!CA66*1))^S13_PSP_Species_Support!CB66)^2*(S13_PSP_Species_Support!CC66*(1-EXP(-S13_PSP_Species_Support!CD66*1))^S13_PSP_Species_Support!CE66))^0.976,0)+IFERROR(S13_PSP_Species_Support!CI66*0.0673*(S13_PSP_Species_Support!CJ66*(S13_PSP_Species_Support!CK66*(1-EXP(-S13_PSP_Species_Support!CL66*1))^S13_PSP_Species_Support!CM66)^2*(S13_PSP_Species_Support!CN66*(1-EXP(-S13_PSP_Species_Support!CO66*1))^S13_PSP_Species_Support!CP66))^0.976,0)+IFERROR(S13_PSP_Species_Support!CT66*0.0673*(S13_PSP_Species_Support!CU66*(S13_PSP_Species_Support!CV66*(1-EXP(-S13_PSP_Species_Support!CW66*1))^S13_PSP_Species_Support!CX66)^2*(S13_PSP_Species_Support!CY66*(1-EXP(-S13_PSP_Species_Support!CZ66*1))^S13_PSP_Species_Support!DA66))^0.976,0))/1000/$G79*J$108,0)</x:f>
        <x:v>2.515099781910485</x:v>
      </x:c>
      <x:c r="K79" s="147" t="n">
        <x:f aca="0">IFERROR((IFERROR(S13_PSP_Species_Support!U66*0.0673*(S13_PSP_Species_Support!V66*(S13_PSP_Species_Support!W66*(1-EXP(-S13_PSP_Species_Support!X66*2))^S13_PSP_Species_Support!Y66)^2*(S13_PSP_Species_Support!Z66*(1-EXP(-S13_PSP_Species_Support!AA66*2))^S13_PSP_Species_Support!AB66))^0.976,0)+IFERROR(S13_PSP_Species_Support!AF66*0.0673*(S13_PSP_Species_Support!AG66*(S13_PSP_Species_Support!AH66*(1-EXP(-S13_PSP_Species_Support!AI66*2))^S13_PSP_Species_Support!AJ66)^2*(S13_PSP_Species_Support!AK66*(1-EXP(-S13_PSP_Species_Support!AL66*2))^S13_PSP_Species_Support!AM66))^0.976,0)+IFERROR(S13_PSP_Species_Support!AQ66*0.0673*(S13_PSP_Species_Support!AR66*(S13_PSP_Species_Support!AS66*(1-EXP(-S13_PSP_Species_Support!AT66*2))^S13_PSP_Species_Support!AU66)^2*(S13_PSP_Species_Support!AV66*(1-EXP(-S13_PSP_Species_Support!AW66*2))^S13_PSP_Species_Support!AX66))^0.976,0)+IFERROR(S13_PSP_Species_Support!BB66*0.0673*(S13_PSP_Species_Support!BC66*(S13_PSP_Species_Support!BD66*(1-EXP(-S13_PSP_Species_Support!BE66*2))^S13_PSP_Species_Support!BF66)^2*(S13_PSP_Species_Support!BG66*(1-EXP(-S13_PSP_Species_Support!BH66*2))^S13_PSP_Species_Support!BI66))^0.976,0)+IFERROR(S13_PSP_Species_Support!BM66*0.0673*(S13_PSP_Species_Support!BN66*(S13_PSP_Species_Support!BO66*(1-EXP(-S13_PSP_Species_Support!BP66*2))^S13_PSP_Species_Support!BQ66)^2*(S13_PSP_Species_Support!BR66*(1-EXP(-S13_PSP_Species_Support!BS66*2))^S13_PSP_Species_Support!BT66))^0.976,0)+IFERROR(S13_PSP_Species_Support!BX66*0.0673*(S13_PSP_Species_Support!BY66*(S13_PSP_Species_Support!BZ66*(1-EXP(-S13_PSP_Species_Support!CA66*2))^S13_PSP_Species_Support!CB66)^2*(S13_PSP_Species_Support!CC66*(1-EXP(-S13_PSP_Species_Support!CD66*2))^S13_PSP_Species_Support!CE66))^0.976,0)+IFERROR(S13_PSP_Species_Support!CI66*0.0673*(S13_PSP_Species_Support!CJ66*(S13_PSP_Species_Support!CK66*(1-EXP(-S13_PSP_Species_Support!CL66*2))^S13_PSP_Species_Support!CM66)^2*(S13_PSP_Species_Support!CN66*(1-EXP(-S13_PSP_Species_Support!CO66*2))^S13_PSP_Species_Support!CP66))^0.976,0)+IFERROR(S13_PSP_Species_Support!CT66*0.0673*(S13_PSP_Species_Support!CU66*(S13_PSP_Species_Support!CV66*(1-EXP(-S13_PSP_Species_Support!CW66*2))^S13_PSP_Species_Support!CX66)^2*(S13_PSP_Species_Support!CY66*(1-EXP(-S13_PSP_Species_Support!CZ66*2))^S13_PSP_Species_Support!DA66))^0.976,0))/1000/$G79*K$108,0)</x:f>
        <x:v>23.72866883187635</x:v>
      </x:c>
      <x:c r="L79" s="147" t="n">
        <x:f aca="0">IFERROR((IFERROR(S13_PSP_Species_Support!U66*0.0673*(S13_PSP_Species_Support!V66*(S13_PSP_Species_Support!W66*(1-EXP(-S13_PSP_Species_Support!X66*3))^S13_PSP_Species_Support!Y66)^2*(S13_PSP_Species_Support!Z66*(1-EXP(-S13_PSP_Species_Support!AA66*3))^S13_PSP_Species_Support!AB66))^0.976,0)+IFERROR(S13_PSP_Species_Support!AF66*0.0673*(S13_PSP_Species_Support!AG66*(S13_PSP_Species_Support!AH66*(1-EXP(-S13_PSP_Species_Support!AI66*3))^S13_PSP_Species_Support!AJ66)^2*(S13_PSP_Species_Support!AK66*(1-EXP(-S13_PSP_Species_Support!AL66*3))^S13_PSP_Species_Support!AM66))^0.976,0)+IFERROR(S13_PSP_Species_Support!AQ66*0.0673*(S13_PSP_Species_Support!AR66*(S13_PSP_Species_Support!AS66*(1-EXP(-S13_PSP_Species_Support!AT66*3))^S13_PSP_Species_Support!AU66)^2*(S13_PSP_Species_Support!AV66*(1-EXP(-S13_PSP_Species_Support!AW66*3))^S13_PSP_Species_Support!AX66))^0.976,0)+IFERROR(S13_PSP_Species_Support!BB66*0.0673*(S13_PSP_Species_Support!BC66*(S13_PSP_Species_Support!BD66*(1-EXP(-S13_PSP_Species_Support!BE66*3))^S13_PSP_Species_Support!BF66)^2*(S13_PSP_Species_Support!BG66*(1-EXP(-S13_PSP_Species_Support!BH66*3))^S13_PSP_Species_Support!BI66))^0.976,0)+IFERROR(S13_PSP_Species_Support!BM66*0.0673*(S13_PSP_Species_Support!BN66*(S13_PSP_Species_Support!BO66*(1-EXP(-S13_PSP_Species_Support!BP66*3))^S13_PSP_Species_Support!BQ66)^2*(S13_PSP_Species_Support!BR66*(1-EXP(-S13_PSP_Species_Support!BS66*3))^S13_PSP_Species_Support!BT66))^0.976,0)+IFERROR(S13_PSP_Species_Support!BX66*0.0673*(S13_PSP_Species_Support!BY66*(S13_PSP_Species_Support!BZ66*(1-EXP(-S13_PSP_Species_Support!CA66*3))^S13_PSP_Species_Support!CB66)^2*(S13_PSP_Species_Support!CC66*(1-EXP(-S13_PSP_Species_Support!CD66*3))^S13_PSP_Species_Support!CE66))^0.976,0)+IFERROR(S13_PSP_Species_Support!CI66*0.0673*(S13_PSP_Species_Support!CJ66*(S13_PSP_Species_Support!CK66*(1-EXP(-S13_PSP_Species_Support!CL66*3))^S13_PSP_Species_Support!CM66)^2*(S13_PSP_Species_Support!CN66*(1-EXP(-S13_PSP_Species_Support!CO66*3))^S13_PSP_Species_Support!CP66))^0.976,0)+IFERROR(S13_PSP_Species_Support!CT66*0.0673*(S13_PSP_Species_Support!CU66*(S13_PSP_Species_Support!CV66*(1-EXP(-S13_PSP_Species_Support!CW66*3))^S13_PSP_Species_Support!CX66)^2*(S13_PSP_Species_Support!CY66*(1-EXP(-S13_PSP_Species_Support!CZ66*3))^S13_PSP_Species_Support!DA66))^0.976,0))/1000/$G79*L$108,0)</x:f>
        <x:v>78.53222868872044</x:v>
      </x:c>
      <x:c r="M79" s="147" t="n">
        <x:f aca="0">IFERROR((IFERROR(S13_PSP_Species_Support!U66*0.0673*(S13_PSP_Species_Support!V66*(S13_PSP_Species_Support!W66*(1-EXP(-S13_PSP_Species_Support!X66*4))^S13_PSP_Species_Support!Y66)^2*(S13_PSP_Species_Support!Z66*(1-EXP(-S13_PSP_Species_Support!AA66*4))^S13_PSP_Species_Support!AB66))^0.976,0)+IFERROR(S13_PSP_Species_Support!AF66*0.0673*(S13_PSP_Species_Support!AG66*(S13_PSP_Species_Support!AH66*(1-EXP(-S13_PSP_Species_Support!AI66*4))^S13_PSP_Species_Support!AJ66)^2*(S13_PSP_Species_Support!AK66*(1-EXP(-S13_PSP_Species_Support!AL66*4))^S13_PSP_Species_Support!AM66))^0.976,0)+IFERROR(S13_PSP_Species_Support!AQ66*0.0673*(S13_PSP_Species_Support!AR66*(S13_PSP_Species_Support!AS66*(1-EXP(-S13_PSP_Species_Support!AT66*4))^S13_PSP_Species_Support!AU66)^2*(S13_PSP_Species_Support!AV66*(1-EXP(-S13_PSP_Species_Support!AW66*4))^S13_PSP_Species_Support!AX66))^0.976,0)+IFERROR(S13_PSP_Species_Support!BB66*0.0673*(S13_PSP_Species_Support!BC66*(S13_PSP_Species_Support!BD66*(1-EXP(-S13_PSP_Species_Support!BE66*4))^S13_PSP_Species_Support!BF66)^2*(S13_PSP_Species_Support!BG66*(1-EXP(-S13_PSP_Species_Support!BH66*4))^S13_PSP_Species_Support!BI66))^0.976,0)+IFERROR(S13_PSP_Species_Support!BM66*0.0673*(S13_PSP_Species_Support!BN66*(S13_PSP_Species_Support!BO66*(1-EXP(-S13_PSP_Species_Support!BP66*4))^S13_PSP_Species_Support!BQ66)^2*(S13_PSP_Species_Support!BR66*(1-EXP(-S13_PSP_Species_Support!BS66*4))^S13_PSP_Species_Support!BT66))^0.976,0)+IFERROR(S13_PSP_Species_Support!BX66*0.0673*(S13_PSP_Species_Support!BY66*(S13_PSP_Species_Support!BZ66*(1-EXP(-S13_PSP_Species_Support!CA66*4))^S13_PSP_Species_Support!CB66)^2*(S13_PSP_Species_Support!CC66*(1-EXP(-S13_PSP_Species_Support!CD66*4))^S13_PSP_Species_Support!CE66))^0.976,0)+IFERROR(S13_PSP_Species_Support!CI66*0.0673*(S13_PSP_Species_Support!CJ66*(S13_PSP_Species_Support!CK66*(1-EXP(-S13_PSP_Species_Support!CL66*4))^S13_PSP_Species_Support!CM66)^2*(S13_PSP_Species_Support!CN66*(1-EXP(-S13_PSP_Species_Support!CO66*4))^S13_PSP_Species_Support!CP66))^0.976,0)+IFERROR(S13_PSP_Species_Support!CT66*0.0673*(S13_PSP_Species_Support!CU66*(S13_PSP_Species_Support!CV66*(1-EXP(-S13_PSP_Species_Support!CW66*4))^S13_PSP_Species_Support!CX66)^2*(S13_PSP_Species_Support!CY66*(1-EXP(-S13_PSP_Species_Support!CZ66*4))^S13_PSP_Species_Support!DA66))^0.976,0))/1000/$G79*M$108,0)</x:f>
        <x:v>171.1833180385724</x:v>
      </x:c>
      <x:c r="N79" s="147" t="n">
        <x:f aca="0">IFERROR((IFERROR(S13_PSP_Species_Support!U66*0.0673*(S13_PSP_Species_Support!V66*(S13_PSP_Species_Support!W66*(1-EXP(-S13_PSP_Species_Support!X66*5))^S13_PSP_Species_Support!Y66)^2*(S13_PSP_Species_Support!Z66*(1-EXP(-S13_PSP_Species_Support!AA66*5))^S13_PSP_Species_Support!AB66))^0.976,0)+IFERROR(S13_PSP_Species_Support!AF66*0.0673*(S13_PSP_Species_Support!AG66*(S13_PSP_Species_Support!AH66*(1-EXP(-S13_PSP_Species_Support!AI66*5))^S13_PSP_Species_Support!AJ66)^2*(S13_PSP_Species_Support!AK66*(1-EXP(-S13_PSP_Species_Support!AL66*5))^S13_PSP_Species_Support!AM66))^0.976,0)+IFERROR(S13_PSP_Species_Support!AQ66*0.0673*(S13_PSP_Species_Support!AR66*(S13_PSP_Species_Support!AS66*(1-EXP(-S13_PSP_Species_Support!AT66*5))^S13_PSP_Species_Support!AU66)^2*(S13_PSP_Species_Support!AV66*(1-EXP(-S13_PSP_Species_Support!AW66*5))^S13_PSP_Species_Support!AX66))^0.976,0)+IFERROR(S13_PSP_Species_Support!BB66*0.0673*(S13_PSP_Species_Support!BC66*(S13_PSP_Species_Support!BD66*(1-EXP(-S13_PSP_Species_Support!BE66*5))^S13_PSP_Species_Support!BF66)^2*(S13_PSP_Species_Support!BG66*(1-EXP(-S13_PSP_Species_Support!BH66*5))^S13_PSP_Species_Support!BI66))^0.976,0)+IFERROR(S13_PSP_Species_Support!BM66*0.0673*(S13_PSP_Species_Support!BN66*(S13_PSP_Species_Support!BO66*(1-EXP(-S13_PSP_Species_Support!BP66*5))^S13_PSP_Species_Support!BQ66)^2*(S13_PSP_Species_Support!BR66*(1-EXP(-S13_PSP_Species_Support!BS66*5))^S13_PSP_Species_Support!BT66))^0.976,0)+IFERROR(S13_PSP_Species_Support!BX66*0.0673*(S13_PSP_Species_Support!BY66*(S13_PSP_Species_Support!BZ66*(1-EXP(-S13_PSP_Species_Support!CA66*5))^S13_PSP_Species_Support!CB66)^2*(S13_PSP_Species_Support!CC66*(1-EXP(-S13_PSP_Species_Support!CD66*5))^S13_PSP_Species_Support!CE66))^0.976,0)+IFERROR(S13_PSP_Species_Support!CI66*0.0673*(S13_PSP_Species_Support!CJ66*(S13_PSP_Species_Support!CK66*(1-EXP(-S13_PSP_Species_Support!CL66*5))^S13_PSP_Species_Support!CM66)^2*(S13_PSP_Species_Support!CN66*(1-EXP(-S13_PSP_Species_Support!CO66*5))^S13_PSP_Species_Support!CP66))^0.976,0)+IFERROR(S13_PSP_Species_Support!CT66*0.0673*(S13_PSP_Species_Support!CU66*(S13_PSP_Species_Support!CV66*(1-EXP(-S13_PSP_Species_Support!CW66*5))^S13_PSP_Species_Support!CX66)^2*(S13_PSP_Species_Support!CY66*(1-EXP(-S13_PSP_Species_Support!CZ66*5))^S13_PSP_Species_Support!DA66))^0.976,0))/1000/$G79*N$108,0)</x:f>
        <x:v>296.39260416588746</x:v>
      </x:c>
      <x:c r="O79" s="147" t="n">
        <x:f aca="0">IFERROR((IFERROR(S13_PSP_Species_Support!U66*0.0673*(S13_PSP_Species_Support!V66*(S13_PSP_Species_Support!W66*(1-EXP(-S13_PSP_Species_Support!X66*6))^S13_PSP_Species_Support!Y66)^2*(S13_PSP_Species_Support!Z66*(1-EXP(-S13_PSP_Species_Support!AA66*6))^S13_PSP_Species_Support!AB66))^0.976,0)+IFERROR(S13_PSP_Species_Support!AF66*0.0673*(S13_PSP_Species_Support!AG66*(S13_PSP_Species_Support!AH66*(1-EXP(-S13_PSP_Species_Support!AI66*6))^S13_PSP_Species_Support!AJ66)^2*(S13_PSP_Species_Support!AK66*(1-EXP(-S13_PSP_Species_Support!AL66*6))^S13_PSP_Species_Support!AM66))^0.976,0)+IFERROR(S13_PSP_Species_Support!AQ66*0.0673*(S13_PSP_Species_Support!AR66*(S13_PSP_Species_Support!AS66*(1-EXP(-S13_PSP_Species_Support!AT66*6))^S13_PSP_Species_Support!AU66)^2*(S13_PSP_Species_Support!AV66*(1-EXP(-S13_PSP_Species_Support!AW66*6))^S13_PSP_Species_Support!AX66))^0.976,0)+IFERROR(S13_PSP_Species_Support!BB66*0.0673*(S13_PSP_Species_Support!BC66*(S13_PSP_Species_Support!BD66*(1-EXP(-S13_PSP_Species_Support!BE66*6))^S13_PSP_Species_Support!BF66)^2*(S13_PSP_Species_Support!BG66*(1-EXP(-S13_PSP_Species_Support!BH66*6))^S13_PSP_Species_Support!BI66))^0.976,0)+IFERROR(S13_PSP_Species_Support!BM66*0.0673*(S13_PSP_Species_Support!BN66*(S13_PSP_Species_Support!BO66*(1-EXP(-S13_PSP_Species_Support!BP66*6))^S13_PSP_Species_Support!BQ66)^2*(S13_PSP_Species_Support!BR66*(1-EXP(-S13_PSP_Species_Support!BS66*6))^S13_PSP_Species_Support!BT66))^0.976,0)+IFERROR(S13_PSP_Species_Support!BX66*0.0673*(S13_PSP_Species_Support!BY66*(S13_PSP_Species_Support!BZ66*(1-EXP(-S13_PSP_Species_Support!CA66*6))^S13_PSP_Species_Support!CB66)^2*(S13_PSP_Species_Support!CC66*(1-EXP(-S13_PSP_Species_Support!CD66*6))^S13_PSP_Species_Support!CE66))^0.976,0)+IFERROR(S13_PSP_Species_Support!CI66*0.0673*(S13_PSP_Species_Support!CJ66*(S13_PSP_Species_Support!CK66*(1-EXP(-S13_PSP_Species_Support!CL66*6))^S13_PSP_Species_Support!CM66)^2*(S13_PSP_Species_Support!CN66*(1-EXP(-S13_PSP_Species_Support!CO66*6))^S13_PSP_Species_Support!CP66))^0.976,0)+IFERROR(S13_PSP_Species_Support!CT66*0.0673*(S13_PSP_Species_Support!CU66*(S13_PSP_Species_Support!CV66*(1-EXP(-S13_PSP_Species_Support!CW66*6))^S13_PSP_Species_Support!CX66)^2*(S13_PSP_Species_Support!CY66*(1-EXP(-S13_PSP_Species_Support!CZ66*6))^S13_PSP_Species_Support!DA66))^0.976,0))/1000/$G79*O$108,0)</x:f>
        <x:v>445.0528975288466</x:v>
      </x:c>
      <x:c r="P79" s="147" t="n">
        <x:f aca="0">IFERROR((IFERROR(S13_PSP_Species_Support!U66*0.0673*(S13_PSP_Species_Support!V66*(S13_PSP_Species_Support!W66*(1-EXP(-S13_PSP_Species_Support!X66*7))^S13_PSP_Species_Support!Y66)^2*(S13_PSP_Species_Support!Z66*(1-EXP(-S13_PSP_Species_Support!AA66*7))^S13_PSP_Species_Support!AB66))^0.976,0)+IFERROR(S13_PSP_Species_Support!AF66*0.0673*(S13_PSP_Species_Support!AG66*(S13_PSP_Species_Support!AH66*(1-EXP(-S13_PSP_Species_Support!AI66*7))^S13_PSP_Species_Support!AJ66)^2*(S13_PSP_Species_Support!AK66*(1-EXP(-S13_PSP_Species_Support!AL66*7))^S13_PSP_Species_Support!AM66))^0.976,0)+IFERROR(S13_PSP_Species_Support!AQ66*0.0673*(S13_PSP_Species_Support!AR66*(S13_PSP_Species_Support!AS66*(1-EXP(-S13_PSP_Species_Support!AT66*7))^S13_PSP_Species_Support!AU66)^2*(S13_PSP_Species_Support!AV66*(1-EXP(-S13_PSP_Species_Support!AW66*7))^S13_PSP_Species_Support!AX66))^0.976,0)+IFERROR(S13_PSP_Species_Support!BB66*0.0673*(S13_PSP_Species_Support!BC66*(S13_PSP_Species_Support!BD66*(1-EXP(-S13_PSP_Species_Support!BE66*7))^S13_PSP_Species_Support!BF66)^2*(S13_PSP_Species_Support!BG66*(1-EXP(-S13_PSP_Species_Support!BH66*7))^S13_PSP_Species_Support!BI66))^0.976,0)+IFERROR(S13_PSP_Species_Support!BM66*0.0673*(S13_PSP_Species_Support!BN66*(S13_PSP_Species_Support!BO66*(1-EXP(-S13_PSP_Species_Support!BP66*7))^S13_PSP_Species_Support!BQ66)^2*(S13_PSP_Species_Support!BR66*(1-EXP(-S13_PSP_Species_Support!BS66*7))^S13_PSP_Species_Support!BT66))^0.976,0)+IFERROR(S13_PSP_Species_Support!BX66*0.0673*(S13_PSP_Species_Support!BY66*(S13_PSP_Species_Support!BZ66*(1-EXP(-S13_PSP_Species_Support!CA66*7))^S13_PSP_Species_Support!CB66)^2*(S13_PSP_Species_Support!CC66*(1-EXP(-S13_PSP_Species_Support!CD66*7))^S13_PSP_Species_Support!CE66))^0.976,0)+IFERROR(S13_PSP_Species_Support!CI66*0.0673*(S13_PSP_Species_Support!CJ66*(S13_PSP_Species_Support!CK66*(1-EXP(-S13_PSP_Species_Support!CL66*7))^S13_PSP_Species_Support!CM66)^2*(S13_PSP_Species_Support!CN66*(1-EXP(-S13_PSP_Species_Support!CO66*7))^S13_PSP_Species_Support!CP66))^0.976,0)+IFERROR(S13_PSP_Species_Support!CT66*0.0673*(S13_PSP_Species_Support!CU66*(S13_PSP_Species_Support!CV66*(1-EXP(-S13_PSP_Species_Support!CW66*7))^S13_PSP_Species_Support!CX66)^2*(S13_PSP_Species_Support!CY66*(1-EXP(-S13_PSP_Species_Support!CZ66*7))^S13_PSP_Species_Support!DA66))^0.976,0))/1000/$G79*P$108,0)</x:f>
        <x:v>607.3046161914787</x:v>
      </x:c>
      <x:c r="Q79" s="147" t="n">
        <x:f aca="0">IFERROR((IFERROR(S13_PSP_Species_Support!U66*0.0673*(S13_PSP_Species_Support!V66*(S13_PSP_Species_Support!W66*(1-EXP(-S13_PSP_Species_Support!X66*8))^S13_PSP_Species_Support!Y66)^2*(S13_PSP_Species_Support!Z66*(1-EXP(-S13_PSP_Species_Support!AA66*8))^S13_PSP_Species_Support!AB66))^0.976,0)+IFERROR(S13_PSP_Species_Support!AF66*0.0673*(S13_PSP_Species_Support!AG66*(S13_PSP_Species_Support!AH66*(1-EXP(-S13_PSP_Species_Support!AI66*8))^S13_PSP_Species_Support!AJ66)^2*(S13_PSP_Species_Support!AK66*(1-EXP(-S13_PSP_Species_Support!AL66*8))^S13_PSP_Species_Support!AM66))^0.976,0)+IFERROR(S13_PSP_Species_Support!AQ66*0.0673*(S13_PSP_Species_Support!AR66*(S13_PSP_Species_Support!AS66*(1-EXP(-S13_PSP_Species_Support!AT66*8))^S13_PSP_Species_Support!AU66)^2*(S13_PSP_Species_Support!AV66*(1-EXP(-S13_PSP_Species_Support!AW66*8))^S13_PSP_Species_Support!AX66))^0.976,0)+IFERROR(S13_PSP_Species_Support!BB66*0.0673*(S13_PSP_Species_Support!BC66*(S13_PSP_Species_Support!BD66*(1-EXP(-S13_PSP_Species_Support!BE66*8))^S13_PSP_Species_Support!BF66)^2*(S13_PSP_Species_Support!BG66*(1-EXP(-S13_PSP_Species_Support!BH66*8))^S13_PSP_Species_Support!BI66))^0.976,0)+IFERROR(S13_PSP_Species_Support!BM66*0.0673*(S13_PSP_Species_Support!BN66*(S13_PSP_Species_Support!BO66*(1-EXP(-S13_PSP_Species_Support!BP66*8))^S13_PSP_Species_Support!BQ66)^2*(S13_PSP_Species_Support!BR66*(1-EXP(-S13_PSP_Species_Support!BS66*8))^S13_PSP_Species_Support!BT66))^0.976,0)+IFERROR(S13_PSP_Species_Support!BX66*0.0673*(S13_PSP_Species_Support!BY66*(S13_PSP_Species_Support!BZ66*(1-EXP(-S13_PSP_Species_Support!CA66*8))^S13_PSP_Species_Support!CB66)^2*(S13_PSP_Species_Support!CC66*(1-EXP(-S13_PSP_Species_Support!CD66*8))^S13_PSP_Species_Support!CE66))^0.976,0)+IFERROR(S13_PSP_Species_Support!CI66*0.0673*(S13_PSP_Species_Support!CJ66*(S13_PSP_Species_Support!CK66*(1-EXP(-S13_PSP_Species_Support!CL66*8))^S13_PSP_Species_Support!CM66)^2*(S13_PSP_Species_Support!CN66*(1-EXP(-S13_PSP_Species_Support!CO66*8))^S13_PSP_Species_Support!CP66))^0.976,0)+IFERROR(S13_PSP_Species_Support!CT66*0.0673*(S13_PSP_Species_Support!CU66*(S13_PSP_Species_Support!CV66*(1-EXP(-S13_PSP_Species_Support!CW66*8))^S13_PSP_Species_Support!CX66)^2*(S13_PSP_Species_Support!CY66*(1-EXP(-S13_PSP_Species_Support!CZ66*8))^S13_PSP_Species_Support!DA66))^0.976,0))/1000/$G79*Q$108,0)</x:f>
        <x:v>774.3568872025172</x:v>
      </x:c>
      <x:c r="R79" s="147" t="n">
        <x:f aca="0">IFERROR((IFERROR(S13_PSP_Species_Support!U66*0.0673*(S13_PSP_Species_Support!V66*(S13_PSP_Species_Support!W66*(1-EXP(-S13_PSP_Species_Support!X66*9))^S13_PSP_Species_Support!Y66)^2*(S13_PSP_Species_Support!Z66*(1-EXP(-S13_PSP_Species_Support!AA66*9))^S13_PSP_Species_Support!AB66))^0.976,0)+IFERROR(S13_PSP_Species_Support!AF66*0.0673*(S13_PSP_Species_Support!AG66*(S13_PSP_Species_Support!AH66*(1-EXP(-S13_PSP_Species_Support!AI66*9))^S13_PSP_Species_Support!AJ66)^2*(S13_PSP_Species_Support!AK66*(1-EXP(-S13_PSP_Species_Support!AL66*9))^S13_PSP_Species_Support!AM66))^0.976,0)+IFERROR(S13_PSP_Species_Support!AQ66*0.0673*(S13_PSP_Species_Support!AR66*(S13_PSP_Species_Support!AS66*(1-EXP(-S13_PSP_Species_Support!AT66*9))^S13_PSP_Species_Support!AU66)^2*(S13_PSP_Species_Support!AV66*(1-EXP(-S13_PSP_Species_Support!AW66*9))^S13_PSP_Species_Support!AX66))^0.976,0)+IFERROR(S13_PSP_Species_Support!BB66*0.0673*(S13_PSP_Species_Support!BC66*(S13_PSP_Species_Support!BD66*(1-EXP(-S13_PSP_Species_Support!BE66*9))^S13_PSP_Species_Support!BF66)^2*(S13_PSP_Species_Support!BG66*(1-EXP(-S13_PSP_Species_Support!BH66*9))^S13_PSP_Species_Support!BI66))^0.976,0)+IFERROR(S13_PSP_Species_Support!BM66*0.0673*(S13_PSP_Species_Support!BN66*(S13_PSP_Species_Support!BO66*(1-EXP(-S13_PSP_Species_Support!BP66*9))^S13_PSP_Species_Support!BQ66)^2*(S13_PSP_Species_Support!BR66*(1-EXP(-S13_PSP_Species_Support!BS66*9))^S13_PSP_Species_Support!BT66))^0.976,0)+IFERROR(S13_PSP_Species_Support!BX66*0.0673*(S13_PSP_Species_Support!BY66*(S13_PSP_Species_Support!BZ66*(1-EXP(-S13_PSP_Species_Support!CA66*9))^S13_PSP_Species_Support!CB66)^2*(S13_PSP_Species_Support!CC66*(1-EXP(-S13_PSP_Species_Support!CD66*9))^S13_PSP_Species_Support!CE66))^0.976,0)+IFERROR(S13_PSP_Species_Support!CI66*0.0673*(S13_PSP_Species_Support!CJ66*(S13_PSP_Species_Support!CK66*(1-EXP(-S13_PSP_Species_Support!CL66*9))^S13_PSP_Species_Support!CM66)^2*(S13_PSP_Species_Support!CN66*(1-EXP(-S13_PSP_Species_Support!CO66*9))^S13_PSP_Species_Support!CP66))^0.976,0)+IFERROR(S13_PSP_Species_Support!CT66*0.0673*(S13_PSP_Species_Support!CU66*(S13_PSP_Species_Support!CV66*(1-EXP(-S13_PSP_Species_Support!CW66*9))^S13_PSP_Species_Support!CX66)^2*(S13_PSP_Species_Support!CY66*(1-EXP(-S13_PSP_Species_Support!CZ66*9))^S13_PSP_Species_Support!DA66))^0.976,0))/1000/$G79*R$108,0)</x:f>
        <x:v>939.2432291729702</x:v>
      </x:c>
      <x:c r="S79" s="147" t="n">
        <x:f aca="0">IFERROR((IFERROR(S13_PSP_Species_Support!U66*0.0673*(S13_PSP_Species_Support!V66*(S13_PSP_Species_Support!W66*(1-EXP(-S13_PSP_Species_Support!X66*10))^S13_PSP_Species_Support!Y66)^2*(S13_PSP_Species_Support!Z66*(1-EXP(-S13_PSP_Species_Support!AA66*10))^S13_PSP_Species_Support!AB66))^0.976,0)+IFERROR(S13_PSP_Species_Support!AF66*0.0673*(S13_PSP_Species_Support!AG66*(S13_PSP_Species_Support!AH66*(1-EXP(-S13_PSP_Species_Support!AI66*10))^S13_PSP_Species_Support!AJ66)^2*(S13_PSP_Species_Support!AK66*(1-EXP(-S13_PSP_Species_Support!AL66*10))^S13_PSP_Species_Support!AM66))^0.976,0)+IFERROR(S13_PSP_Species_Support!AQ66*0.0673*(S13_PSP_Species_Support!AR66*(S13_PSP_Species_Support!AS66*(1-EXP(-S13_PSP_Species_Support!AT66*10))^S13_PSP_Species_Support!AU66)^2*(S13_PSP_Species_Support!AV66*(1-EXP(-S13_PSP_Species_Support!AW66*10))^S13_PSP_Species_Support!AX66))^0.976,0)+IFERROR(S13_PSP_Species_Support!BB66*0.0673*(S13_PSP_Species_Support!BC66*(S13_PSP_Species_Support!BD66*(1-EXP(-S13_PSP_Species_Support!BE66*10))^S13_PSP_Species_Support!BF66)^2*(S13_PSP_Species_Support!BG66*(1-EXP(-S13_PSP_Species_Support!BH66*10))^S13_PSP_Species_Support!BI66))^0.976,0)+IFERROR(S13_PSP_Species_Support!BM66*0.0673*(S13_PSP_Species_Support!BN66*(S13_PSP_Species_Support!BO66*(1-EXP(-S13_PSP_Species_Support!BP66*10))^S13_PSP_Species_Support!BQ66)^2*(S13_PSP_Species_Support!BR66*(1-EXP(-S13_PSP_Species_Support!BS66*10))^S13_PSP_Species_Support!BT66))^0.976,0)+IFERROR(S13_PSP_Species_Support!BX66*0.0673*(S13_PSP_Species_Support!BY66*(S13_PSP_Species_Support!BZ66*(1-EXP(-S13_PSP_Species_Support!CA66*10))^S13_PSP_Species_Support!CB66)^2*(S13_PSP_Species_Support!CC66*(1-EXP(-S13_PSP_Species_Support!CD66*10))^S13_PSP_Species_Support!CE66))^0.976,0)+IFERROR(S13_PSP_Species_Support!CI66*0.0673*(S13_PSP_Species_Support!CJ66*(S13_PSP_Species_Support!CK66*(1-EXP(-S13_PSP_Species_Support!CL66*10))^S13_PSP_Species_Support!CM66)^2*(S13_PSP_Species_Support!CN66*(1-EXP(-S13_PSP_Species_Support!CO66*10))^S13_PSP_Species_Support!CP66))^0.976,0)+IFERROR(S13_PSP_Species_Support!CT66*0.0673*(S13_PSP_Species_Support!CU66*(S13_PSP_Species_Support!CV66*(1-EXP(-S13_PSP_Species_Support!CW66*10))^S13_PSP_Species_Support!CX66)^2*(S13_PSP_Species_Support!CY66*(1-EXP(-S13_PSP_Species_Support!CZ66*10))^S13_PSP_Species_Support!DA66))^0.976,0))/1000/$G79*S$108,0)</x:f>
        <x:v>1096.942539502908</x:v>
      </x:c>
      <x:c r="T79" s="147" t="n">
        <x:f aca="0">IFERROR((IFERROR(S13_PSP_Species_Support!U66*0.0673*(S13_PSP_Species_Support!V66*(S13_PSP_Species_Support!W66*(1-EXP(-S13_PSP_Species_Support!X66*11))^S13_PSP_Species_Support!Y66)^2*(S13_PSP_Species_Support!Z66*(1-EXP(-S13_PSP_Species_Support!AA66*11))^S13_PSP_Species_Support!AB66))^0.976,0)+IFERROR(S13_PSP_Species_Support!AF66*0.0673*(S13_PSP_Species_Support!AG66*(S13_PSP_Species_Support!AH66*(1-EXP(-S13_PSP_Species_Support!AI66*11))^S13_PSP_Species_Support!AJ66)^2*(S13_PSP_Species_Support!AK66*(1-EXP(-S13_PSP_Species_Support!AL66*11))^S13_PSP_Species_Support!AM66))^0.976,0)+IFERROR(S13_PSP_Species_Support!AQ66*0.0673*(S13_PSP_Species_Support!AR66*(S13_PSP_Species_Support!AS66*(1-EXP(-S13_PSP_Species_Support!AT66*11))^S13_PSP_Species_Support!AU66)^2*(S13_PSP_Species_Support!AV66*(1-EXP(-S13_PSP_Species_Support!AW66*11))^S13_PSP_Species_Support!AX66))^0.976,0)+IFERROR(S13_PSP_Species_Support!BB66*0.0673*(S13_PSP_Species_Support!BC66*(S13_PSP_Species_Support!BD66*(1-EXP(-S13_PSP_Species_Support!BE66*11))^S13_PSP_Species_Support!BF66)^2*(S13_PSP_Species_Support!BG66*(1-EXP(-S13_PSP_Species_Support!BH66*11))^S13_PSP_Species_Support!BI66))^0.976,0)+IFERROR(S13_PSP_Species_Support!BM66*0.0673*(S13_PSP_Species_Support!BN66*(S13_PSP_Species_Support!BO66*(1-EXP(-S13_PSP_Species_Support!BP66*11))^S13_PSP_Species_Support!BQ66)^2*(S13_PSP_Species_Support!BR66*(1-EXP(-S13_PSP_Species_Support!BS66*11))^S13_PSP_Species_Support!BT66))^0.976,0)+IFERROR(S13_PSP_Species_Support!BX66*0.0673*(S13_PSP_Species_Support!BY66*(S13_PSP_Species_Support!BZ66*(1-EXP(-S13_PSP_Species_Support!CA66*11))^S13_PSP_Species_Support!CB66)^2*(S13_PSP_Species_Support!CC66*(1-EXP(-S13_PSP_Species_Support!CD66*11))^S13_PSP_Species_Support!CE66))^0.976,0)+IFERROR(S13_PSP_Species_Support!CI66*0.0673*(S13_PSP_Species_Support!CJ66*(S13_PSP_Species_Support!CK66*(1-EXP(-S13_PSP_Species_Support!CL66*11))^S13_PSP_Species_Support!CM66)^2*(S13_PSP_Species_Support!CN66*(1-EXP(-S13_PSP_Species_Support!CO66*11))^S13_PSP_Species_Support!CP66))^0.976,0)+IFERROR(S13_PSP_Species_Support!CT66*0.0673*(S13_PSP_Species_Support!CU66*(S13_PSP_Species_Support!CV66*(1-EXP(-S13_PSP_Species_Support!CW66*11))^S13_PSP_Species_Support!CX66)^2*(S13_PSP_Species_Support!CY66*(1-EXP(-S13_PSP_Species_Support!CZ66*11))^S13_PSP_Species_Support!DA66))^0.976,0))/1000/$G79*T$108,0)</x:f>
        <x:v>1244.17877900754</x:v>
      </x:c>
      <x:c r="U79" s="147" t="n">
        <x:f aca="0">IFERROR((IFERROR(S13_PSP_Species_Support!U66*0.0673*(S13_PSP_Species_Support!V66*(S13_PSP_Species_Support!W66*(1-EXP(-S13_PSP_Species_Support!X66*12))^S13_PSP_Species_Support!Y66)^2*(S13_PSP_Species_Support!Z66*(1-EXP(-S13_PSP_Species_Support!AA66*12))^S13_PSP_Species_Support!AB66))^0.976,0)+IFERROR(S13_PSP_Species_Support!AF66*0.0673*(S13_PSP_Species_Support!AG66*(S13_PSP_Species_Support!AH66*(1-EXP(-S13_PSP_Species_Support!AI66*12))^S13_PSP_Species_Support!AJ66)^2*(S13_PSP_Species_Support!AK66*(1-EXP(-S13_PSP_Species_Support!AL66*12))^S13_PSP_Species_Support!AM66))^0.976,0)+IFERROR(S13_PSP_Species_Support!AQ66*0.0673*(S13_PSP_Species_Support!AR66*(S13_PSP_Species_Support!AS66*(1-EXP(-S13_PSP_Species_Support!AT66*12))^S13_PSP_Species_Support!AU66)^2*(S13_PSP_Species_Support!AV66*(1-EXP(-S13_PSP_Species_Support!AW66*12))^S13_PSP_Species_Support!AX66))^0.976,0)+IFERROR(S13_PSP_Species_Support!BB66*0.0673*(S13_PSP_Species_Support!BC66*(S13_PSP_Species_Support!BD66*(1-EXP(-S13_PSP_Species_Support!BE66*12))^S13_PSP_Species_Support!BF66)^2*(S13_PSP_Species_Support!BG66*(1-EXP(-S13_PSP_Species_Support!BH66*12))^S13_PSP_Species_Support!BI66))^0.976,0)+IFERROR(S13_PSP_Species_Support!BM66*0.0673*(S13_PSP_Species_Support!BN66*(S13_PSP_Species_Support!BO66*(1-EXP(-S13_PSP_Species_Support!BP66*12))^S13_PSP_Species_Support!BQ66)^2*(S13_PSP_Species_Support!BR66*(1-EXP(-S13_PSP_Species_Support!BS66*12))^S13_PSP_Species_Support!BT66))^0.976,0)+IFERROR(S13_PSP_Species_Support!BX66*0.0673*(S13_PSP_Species_Support!BY66*(S13_PSP_Species_Support!BZ66*(1-EXP(-S13_PSP_Species_Support!CA66*12))^S13_PSP_Species_Support!CB66)^2*(S13_PSP_Species_Support!CC66*(1-EXP(-S13_PSP_Species_Support!CD66*12))^S13_PSP_Species_Support!CE66))^0.976,0)+IFERROR(S13_PSP_Species_Support!CI66*0.0673*(S13_PSP_Species_Support!CJ66*(S13_PSP_Species_Support!CK66*(1-EXP(-S13_PSP_Species_Support!CL66*12))^S13_PSP_Species_Support!CM66)^2*(S13_PSP_Species_Support!CN66*(1-EXP(-S13_PSP_Species_Support!CO66*12))^S13_PSP_Species_Support!CP66))^0.976,0)+IFERROR(S13_PSP_Species_Support!CT66*0.0673*(S13_PSP_Species_Support!CU66*(S13_PSP_Species_Support!CV66*(1-EXP(-S13_PSP_Species_Support!CW66*12))^S13_PSP_Species_Support!CX66)^2*(S13_PSP_Species_Support!CY66*(1-EXP(-S13_PSP_Species_Support!CZ66*12))^S13_PSP_Species_Support!DA66))^0.976,0))/1000/$G79*U$108,0)</x:f>
        <x:v>1379.0948365720008</x:v>
      </x:c>
      <x:c r="V79" s="147" t="n">
        <x:f aca="0">IFERROR((IFERROR(S13_PSP_Species_Support!U66*0.0673*(S13_PSP_Species_Support!V66*(S13_PSP_Species_Support!W66*(1-EXP(-S13_PSP_Species_Support!X66*13))^S13_PSP_Species_Support!Y66)^2*(S13_PSP_Species_Support!Z66*(1-EXP(-S13_PSP_Species_Support!AA66*13))^S13_PSP_Species_Support!AB66))^0.976,0)+IFERROR(S13_PSP_Species_Support!AF66*0.0673*(S13_PSP_Species_Support!AG66*(S13_PSP_Species_Support!AH66*(1-EXP(-S13_PSP_Species_Support!AI66*13))^S13_PSP_Species_Support!AJ66)^2*(S13_PSP_Species_Support!AK66*(1-EXP(-S13_PSP_Species_Support!AL66*13))^S13_PSP_Species_Support!AM66))^0.976,0)+IFERROR(S13_PSP_Species_Support!AQ66*0.0673*(S13_PSP_Species_Support!AR66*(S13_PSP_Species_Support!AS66*(1-EXP(-S13_PSP_Species_Support!AT66*13))^S13_PSP_Species_Support!AU66)^2*(S13_PSP_Species_Support!AV66*(1-EXP(-S13_PSP_Species_Support!AW66*13))^S13_PSP_Species_Support!AX66))^0.976,0)+IFERROR(S13_PSP_Species_Support!BB66*0.0673*(S13_PSP_Species_Support!BC66*(S13_PSP_Species_Support!BD66*(1-EXP(-S13_PSP_Species_Support!BE66*13))^S13_PSP_Species_Support!BF66)^2*(S13_PSP_Species_Support!BG66*(1-EXP(-S13_PSP_Species_Support!BH66*13))^S13_PSP_Species_Support!BI66))^0.976,0)+IFERROR(S13_PSP_Species_Support!BM66*0.0673*(S13_PSP_Species_Support!BN66*(S13_PSP_Species_Support!BO66*(1-EXP(-S13_PSP_Species_Support!BP66*13))^S13_PSP_Species_Support!BQ66)^2*(S13_PSP_Species_Support!BR66*(1-EXP(-S13_PSP_Species_Support!BS66*13))^S13_PSP_Species_Support!BT66))^0.976,0)+IFERROR(S13_PSP_Species_Support!BX66*0.0673*(S13_PSP_Species_Support!BY66*(S13_PSP_Species_Support!BZ66*(1-EXP(-S13_PSP_Species_Support!CA66*13))^S13_PSP_Species_Support!CB66)^2*(S13_PSP_Species_Support!CC66*(1-EXP(-S13_PSP_Species_Support!CD66*13))^S13_PSP_Species_Support!CE66))^0.976,0)+IFERROR(S13_PSP_Species_Support!CI66*0.0673*(S13_PSP_Species_Support!CJ66*(S13_PSP_Species_Support!CK66*(1-EXP(-S13_PSP_Species_Support!CL66*13))^S13_PSP_Species_Support!CM66)^2*(S13_PSP_Species_Support!CN66*(1-EXP(-S13_PSP_Species_Support!CO66*13))^S13_PSP_Species_Support!CP66))^0.976,0)+IFERROR(S13_PSP_Species_Support!CT66*0.0673*(S13_PSP_Species_Support!CU66*(S13_PSP_Species_Support!CV66*(1-EXP(-S13_PSP_Species_Support!CW66*13))^S13_PSP_Species_Support!CX66)^2*(S13_PSP_Species_Support!CY66*(1-EXP(-S13_PSP_Species_Support!CZ66*13))^S13_PSP_Species_Support!DA66))^0.976,0))/1000/$G79*V$108,0)</x:f>
        <x:v>1500.9090936443629</x:v>
      </x:c>
      <x:c r="W79" s="147" t="n">
        <x:f aca="0">IFERROR((IFERROR(S13_PSP_Species_Support!U66*0.0673*(S13_PSP_Species_Support!V66*(S13_PSP_Species_Support!W66*(1-EXP(-S13_PSP_Species_Support!X66*14))^S13_PSP_Species_Support!Y66)^2*(S13_PSP_Species_Support!Z66*(1-EXP(-S13_PSP_Species_Support!AA66*14))^S13_PSP_Species_Support!AB66))^0.976,0)+IFERROR(S13_PSP_Species_Support!AF66*0.0673*(S13_PSP_Species_Support!AG66*(S13_PSP_Species_Support!AH66*(1-EXP(-S13_PSP_Species_Support!AI66*14))^S13_PSP_Species_Support!AJ66)^2*(S13_PSP_Species_Support!AK66*(1-EXP(-S13_PSP_Species_Support!AL66*14))^S13_PSP_Species_Support!AM66))^0.976,0)+IFERROR(S13_PSP_Species_Support!AQ66*0.0673*(S13_PSP_Species_Support!AR66*(S13_PSP_Species_Support!AS66*(1-EXP(-S13_PSP_Species_Support!AT66*14))^S13_PSP_Species_Support!AU66)^2*(S13_PSP_Species_Support!AV66*(1-EXP(-S13_PSP_Species_Support!AW66*14))^S13_PSP_Species_Support!AX66))^0.976,0)+IFERROR(S13_PSP_Species_Support!BB66*0.0673*(S13_PSP_Species_Support!BC66*(S13_PSP_Species_Support!BD66*(1-EXP(-S13_PSP_Species_Support!BE66*14))^S13_PSP_Species_Support!BF66)^2*(S13_PSP_Species_Support!BG66*(1-EXP(-S13_PSP_Species_Support!BH66*14))^S13_PSP_Species_Support!BI66))^0.976,0)+IFERROR(S13_PSP_Species_Support!BM66*0.0673*(S13_PSP_Species_Support!BN66*(S13_PSP_Species_Support!BO66*(1-EXP(-S13_PSP_Species_Support!BP66*14))^S13_PSP_Species_Support!BQ66)^2*(S13_PSP_Species_Support!BR66*(1-EXP(-S13_PSP_Species_Support!BS66*14))^S13_PSP_Species_Support!BT66))^0.976,0)+IFERROR(S13_PSP_Species_Support!BX66*0.0673*(S13_PSP_Species_Support!BY66*(S13_PSP_Species_Support!BZ66*(1-EXP(-S13_PSP_Species_Support!CA66*14))^S13_PSP_Species_Support!CB66)^2*(S13_PSP_Species_Support!CC66*(1-EXP(-S13_PSP_Species_Support!CD66*14))^S13_PSP_Species_Support!CE66))^0.976,0)+IFERROR(S13_PSP_Species_Support!CI66*0.0673*(S13_PSP_Species_Support!CJ66*(S13_PSP_Species_Support!CK66*(1-EXP(-S13_PSP_Species_Support!CL66*14))^S13_PSP_Species_Support!CM66)^2*(S13_PSP_Species_Support!CN66*(1-EXP(-S13_PSP_Species_Support!CO66*14))^S13_PSP_Species_Support!CP66))^0.976,0)+IFERROR(S13_PSP_Species_Support!CT66*0.0673*(S13_PSP_Species_Support!CU66*(S13_PSP_Species_Support!CV66*(1-EXP(-S13_PSP_Species_Support!CW66*14))^S13_PSP_Species_Support!CX66)^2*(S13_PSP_Species_Support!CY66*(1-EXP(-S13_PSP_Species_Support!CZ66*14))^S13_PSP_Species_Support!DA66))^0.976,0))/1000/$G79*W$108,0)</x:f>
        <x:v>1609.6072316192292</x:v>
      </x:c>
      <x:c r="X79" s="147" t="n">
        <x:f aca="0">IFERROR((IFERROR(S13_PSP_Species_Support!U66*0.0673*(S13_PSP_Species_Support!V66*(S13_PSP_Species_Support!W66*(1-EXP(-S13_PSP_Species_Support!X66*15))^S13_PSP_Species_Support!Y66)^2*(S13_PSP_Species_Support!Z66*(1-EXP(-S13_PSP_Species_Support!AA66*15))^S13_PSP_Species_Support!AB66))^0.976,0)+IFERROR(S13_PSP_Species_Support!AF66*0.0673*(S13_PSP_Species_Support!AG66*(S13_PSP_Species_Support!AH66*(1-EXP(-S13_PSP_Species_Support!AI66*15))^S13_PSP_Species_Support!AJ66)^2*(S13_PSP_Species_Support!AK66*(1-EXP(-S13_PSP_Species_Support!AL66*15))^S13_PSP_Species_Support!AM66))^0.976,0)+IFERROR(S13_PSP_Species_Support!AQ66*0.0673*(S13_PSP_Species_Support!AR66*(S13_PSP_Species_Support!AS66*(1-EXP(-S13_PSP_Species_Support!AT66*15))^S13_PSP_Species_Support!AU66)^2*(S13_PSP_Species_Support!AV66*(1-EXP(-S13_PSP_Species_Support!AW66*15))^S13_PSP_Species_Support!AX66))^0.976,0)+IFERROR(S13_PSP_Species_Support!BB66*0.0673*(S13_PSP_Species_Support!BC66*(S13_PSP_Species_Support!BD66*(1-EXP(-S13_PSP_Species_Support!BE66*15))^S13_PSP_Species_Support!BF66)^2*(S13_PSP_Species_Support!BG66*(1-EXP(-S13_PSP_Species_Support!BH66*15))^S13_PSP_Species_Support!BI66))^0.976,0)+IFERROR(S13_PSP_Species_Support!BM66*0.0673*(S13_PSP_Species_Support!BN66*(S13_PSP_Species_Support!BO66*(1-EXP(-S13_PSP_Species_Support!BP66*15))^S13_PSP_Species_Support!BQ66)^2*(S13_PSP_Species_Support!BR66*(1-EXP(-S13_PSP_Species_Support!BS66*15))^S13_PSP_Species_Support!BT66))^0.976,0)+IFERROR(S13_PSP_Species_Support!BX66*0.0673*(S13_PSP_Species_Support!BY66*(S13_PSP_Species_Support!BZ66*(1-EXP(-S13_PSP_Species_Support!CA66*15))^S13_PSP_Species_Support!CB66)^2*(S13_PSP_Species_Support!CC66*(1-EXP(-S13_PSP_Species_Support!CD66*15))^S13_PSP_Species_Support!CE66))^0.976,0)+IFERROR(S13_PSP_Species_Support!CI66*0.0673*(S13_PSP_Species_Support!CJ66*(S13_PSP_Species_Support!CK66*(1-EXP(-S13_PSP_Species_Support!CL66*15))^S13_PSP_Species_Support!CM66)^2*(S13_PSP_Species_Support!CN66*(1-EXP(-S13_PSP_Species_Support!CO66*15))^S13_PSP_Species_Support!CP66))^0.976,0)+IFERROR(S13_PSP_Species_Support!CT66*0.0673*(S13_PSP_Species_Support!CU66*(S13_PSP_Species_Support!CV66*(1-EXP(-S13_PSP_Species_Support!CW66*15))^S13_PSP_Species_Support!CX66)^2*(S13_PSP_Species_Support!CY66*(1-EXP(-S13_PSP_Species_Support!CZ66*15))^S13_PSP_Species_Support!DA66))^0.976,0))/1000/$G79*X$108,0)</x:f>
        <x:v>1705.6890359295162</x:v>
      </x:c>
      <x:c r="Y79" s="147" t="n">
        <x:f aca="0">IFERROR((IFERROR(S13_PSP_Species_Support!U66*0.0673*(S13_PSP_Species_Support!V66*(S13_PSP_Species_Support!W66*(1-EXP(-S13_PSP_Species_Support!X66*16))^S13_PSP_Species_Support!Y66)^2*(S13_PSP_Species_Support!Z66*(1-EXP(-S13_PSP_Species_Support!AA66*16))^S13_PSP_Species_Support!AB66))^0.976,0)+IFERROR(S13_PSP_Species_Support!AF66*0.0673*(S13_PSP_Species_Support!AG66*(S13_PSP_Species_Support!AH66*(1-EXP(-S13_PSP_Species_Support!AI66*16))^S13_PSP_Species_Support!AJ66)^2*(S13_PSP_Species_Support!AK66*(1-EXP(-S13_PSP_Species_Support!AL66*16))^S13_PSP_Species_Support!AM66))^0.976,0)+IFERROR(S13_PSP_Species_Support!AQ66*0.0673*(S13_PSP_Species_Support!AR66*(S13_PSP_Species_Support!AS66*(1-EXP(-S13_PSP_Species_Support!AT66*16))^S13_PSP_Species_Support!AU66)^2*(S13_PSP_Species_Support!AV66*(1-EXP(-S13_PSP_Species_Support!AW66*16))^S13_PSP_Species_Support!AX66))^0.976,0)+IFERROR(S13_PSP_Species_Support!BB66*0.0673*(S13_PSP_Species_Support!BC66*(S13_PSP_Species_Support!BD66*(1-EXP(-S13_PSP_Species_Support!BE66*16))^S13_PSP_Species_Support!BF66)^2*(S13_PSP_Species_Support!BG66*(1-EXP(-S13_PSP_Species_Support!BH66*16))^S13_PSP_Species_Support!BI66))^0.976,0)+IFERROR(S13_PSP_Species_Support!BM66*0.0673*(S13_PSP_Species_Support!BN66*(S13_PSP_Species_Support!BO66*(1-EXP(-S13_PSP_Species_Support!BP66*16))^S13_PSP_Species_Support!BQ66)^2*(S13_PSP_Species_Support!BR66*(1-EXP(-S13_PSP_Species_Support!BS66*16))^S13_PSP_Species_Support!BT66))^0.976,0)+IFERROR(S13_PSP_Species_Support!BX66*0.0673*(S13_PSP_Species_Support!BY66*(S13_PSP_Species_Support!BZ66*(1-EXP(-S13_PSP_Species_Support!CA66*16))^S13_PSP_Species_Support!CB66)^2*(S13_PSP_Species_Support!CC66*(1-EXP(-S13_PSP_Species_Support!CD66*16))^S13_PSP_Species_Support!CE66))^0.976,0)+IFERROR(S13_PSP_Species_Support!CI66*0.0673*(S13_PSP_Species_Support!CJ66*(S13_PSP_Species_Support!CK66*(1-EXP(-S13_PSP_Species_Support!CL66*16))^S13_PSP_Species_Support!CM66)^2*(S13_PSP_Species_Support!CN66*(1-EXP(-S13_PSP_Species_Support!CO66*16))^S13_PSP_Species_Support!CP66))^0.976,0)+IFERROR(S13_PSP_Species_Support!CT66*0.0673*(S13_PSP_Species_Support!CU66*(S13_PSP_Species_Support!CV66*(1-EXP(-S13_PSP_Species_Support!CW66*16))^S13_PSP_Species_Support!CX66)^2*(S13_PSP_Species_Support!CY66*(1-EXP(-S13_PSP_Species_Support!CZ66*16))^S13_PSP_Species_Support!DA66))^0.976,0))/1000/$G79*Y$108,0)</x:f>
        <x:v>1789.9724457638974</x:v>
      </x:c>
      <x:c r="Z79" s="147" t="n">
        <x:f aca="0">IFERROR((IFERROR(S13_PSP_Species_Support!U66*0.0673*(S13_PSP_Species_Support!V66*(S13_PSP_Species_Support!W66*(1-EXP(-S13_PSP_Species_Support!X66*17))^S13_PSP_Species_Support!Y66)^2*(S13_PSP_Species_Support!Z66*(1-EXP(-S13_PSP_Species_Support!AA66*17))^S13_PSP_Species_Support!AB66))^0.976,0)+IFERROR(S13_PSP_Species_Support!AF66*0.0673*(S13_PSP_Species_Support!AG66*(S13_PSP_Species_Support!AH66*(1-EXP(-S13_PSP_Species_Support!AI66*17))^S13_PSP_Species_Support!AJ66)^2*(S13_PSP_Species_Support!AK66*(1-EXP(-S13_PSP_Species_Support!AL66*17))^S13_PSP_Species_Support!AM66))^0.976,0)+IFERROR(S13_PSP_Species_Support!AQ66*0.0673*(S13_PSP_Species_Support!AR66*(S13_PSP_Species_Support!AS66*(1-EXP(-S13_PSP_Species_Support!AT66*17))^S13_PSP_Species_Support!AU66)^2*(S13_PSP_Species_Support!AV66*(1-EXP(-S13_PSP_Species_Support!AW66*17))^S13_PSP_Species_Support!AX66))^0.976,0)+IFERROR(S13_PSP_Species_Support!BB66*0.0673*(S13_PSP_Species_Support!BC66*(S13_PSP_Species_Support!BD66*(1-EXP(-S13_PSP_Species_Support!BE66*17))^S13_PSP_Species_Support!BF66)^2*(S13_PSP_Species_Support!BG66*(1-EXP(-S13_PSP_Species_Support!BH66*17))^S13_PSP_Species_Support!BI66))^0.976,0)+IFERROR(S13_PSP_Species_Support!BM66*0.0673*(S13_PSP_Species_Support!BN66*(S13_PSP_Species_Support!BO66*(1-EXP(-S13_PSP_Species_Support!BP66*17))^S13_PSP_Species_Support!BQ66)^2*(S13_PSP_Species_Support!BR66*(1-EXP(-S13_PSP_Species_Support!BS66*17))^S13_PSP_Species_Support!BT66))^0.976,0)+IFERROR(S13_PSP_Species_Support!BX66*0.0673*(S13_PSP_Species_Support!BY66*(S13_PSP_Species_Support!BZ66*(1-EXP(-S13_PSP_Species_Support!CA66*17))^S13_PSP_Species_Support!CB66)^2*(S13_PSP_Species_Support!CC66*(1-EXP(-S13_PSP_Species_Support!CD66*17))^S13_PSP_Species_Support!CE66))^0.976,0)+IFERROR(S13_PSP_Species_Support!CI66*0.0673*(S13_PSP_Species_Support!CJ66*(S13_PSP_Species_Support!CK66*(1-EXP(-S13_PSP_Species_Support!CL66*17))^S13_PSP_Species_Support!CM66)^2*(S13_PSP_Species_Support!CN66*(1-EXP(-S13_PSP_Species_Support!CO66*17))^S13_PSP_Species_Support!CP66))^0.976,0)+IFERROR(S13_PSP_Species_Support!CT66*0.0673*(S13_PSP_Species_Support!CU66*(S13_PSP_Species_Support!CV66*(1-EXP(-S13_PSP_Species_Support!CW66*17))^S13_PSP_Species_Support!CX66)^2*(S13_PSP_Species_Support!CY66*(1-EXP(-S13_PSP_Species_Support!CZ66*17))^S13_PSP_Species_Support!DA66))^0.976,0))/1000/$G79*Z$108,0)</x:f>
        <x:v>1863.4488711782565</x:v>
      </x:c>
      <x:c r="AA79" s="147" t="n">
        <x:f aca="0">IFERROR((IFERROR(S13_PSP_Species_Support!U66*0.0673*(S13_PSP_Species_Support!V66*(S13_PSP_Species_Support!W66*(1-EXP(-S13_PSP_Species_Support!X66*18))^S13_PSP_Species_Support!Y66)^2*(S13_PSP_Species_Support!Z66*(1-EXP(-S13_PSP_Species_Support!AA66*18))^S13_PSP_Species_Support!AB66))^0.976,0)+IFERROR(S13_PSP_Species_Support!AF66*0.0673*(S13_PSP_Species_Support!AG66*(S13_PSP_Species_Support!AH66*(1-EXP(-S13_PSP_Species_Support!AI66*18))^S13_PSP_Species_Support!AJ66)^2*(S13_PSP_Species_Support!AK66*(1-EXP(-S13_PSP_Species_Support!AL66*18))^S13_PSP_Species_Support!AM66))^0.976,0)+IFERROR(S13_PSP_Species_Support!AQ66*0.0673*(S13_PSP_Species_Support!AR66*(S13_PSP_Species_Support!AS66*(1-EXP(-S13_PSP_Species_Support!AT66*18))^S13_PSP_Species_Support!AU66)^2*(S13_PSP_Species_Support!AV66*(1-EXP(-S13_PSP_Species_Support!AW66*18))^S13_PSP_Species_Support!AX66))^0.976,0)+IFERROR(S13_PSP_Species_Support!BB66*0.0673*(S13_PSP_Species_Support!BC66*(S13_PSP_Species_Support!BD66*(1-EXP(-S13_PSP_Species_Support!BE66*18))^S13_PSP_Species_Support!BF66)^2*(S13_PSP_Species_Support!BG66*(1-EXP(-S13_PSP_Species_Support!BH66*18))^S13_PSP_Species_Support!BI66))^0.976,0)+IFERROR(S13_PSP_Species_Support!BM66*0.0673*(S13_PSP_Species_Support!BN66*(S13_PSP_Species_Support!BO66*(1-EXP(-S13_PSP_Species_Support!BP66*18))^S13_PSP_Species_Support!BQ66)^2*(S13_PSP_Species_Support!BR66*(1-EXP(-S13_PSP_Species_Support!BS66*18))^S13_PSP_Species_Support!BT66))^0.976,0)+IFERROR(S13_PSP_Species_Support!BX66*0.0673*(S13_PSP_Species_Support!BY66*(S13_PSP_Species_Support!BZ66*(1-EXP(-S13_PSP_Species_Support!CA66*18))^S13_PSP_Species_Support!CB66)^2*(S13_PSP_Species_Support!CC66*(1-EXP(-S13_PSP_Species_Support!CD66*18))^S13_PSP_Species_Support!CE66))^0.976,0)+IFERROR(S13_PSP_Species_Support!CI66*0.0673*(S13_PSP_Species_Support!CJ66*(S13_PSP_Species_Support!CK66*(1-EXP(-S13_PSP_Species_Support!CL66*18))^S13_PSP_Species_Support!CM66)^2*(S13_PSP_Species_Support!CN66*(1-EXP(-S13_PSP_Species_Support!CO66*18))^S13_PSP_Species_Support!CP66))^0.976,0)+IFERROR(S13_PSP_Species_Support!CT66*0.0673*(S13_PSP_Species_Support!CU66*(S13_PSP_Species_Support!CV66*(1-EXP(-S13_PSP_Species_Support!CW66*18))^S13_PSP_Species_Support!CX66)^2*(S13_PSP_Species_Support!CY66*(1-EXP(-S13_PSP_Species_Support!CZ66*18))^S13_PSP_Species_Support!DA66))^0.976,0))/1000/$G79*AA$108,0)</x:f>
        <x:v>1927.180812939717</x:v>
      </x:c>
      <x:c r="AB79" s="147" t="n">
        <x:f aca="0">IFERROR((IFERROR(S13_PSP_Species_Support!U66*0.0673*(S13_PSP_Species_Support!V66*(S13_PSP_Species_Support!W66*(1-EXP(-S13_PSP_Species_Support!X66*19))^S13_PSP_Species_Support!Y66)^2*(S13_PSP_Species_Support!Z66*(1-EXP(-S13_PSP_Species_Support!AA66*19))^S13_PSP_Species_Support!AB66))^0.976,0)+IFERROR(S13_PSP_Species_Support!AF66*0.0673*(S13_PSP_Species_Support!AG66*(S13_PSP_Species_Support!AH66*(1-EXP(-S13_PSP_Species_Support!AI66*19))^S13_PSP_Species_Support!AJ66)^2*(S13_PSP_Species_Support!AK66*(1-EXP(-S13_PSP_Species_Support!AL66*19))^S13_PSP_Species_Support!AM66))^0.976,0)+IFERROR(S13_PSP_Species_Support!AQ66*0.0673*(S13_PSP_Species_Support!AR66*(S13_PSP_Species_Support!AS66*(1-EXP(-S13_PSP_Species_Support!AT66*19))^S13_PSP_Species_Support!AU66)^2*(S13_PSP_Species_Support!AV66*(1-EXP(-S13_PSP_Species_Support!AW66*19))^S13_PSP_Species_Support!AX66))^0.976,0)+IFERROR(S13_PSP_Species_Support!BB66*0.0673*(S13_PSP_Species_Support!BC66*(S13_PSP_Species_Support!BD66*(1-EXP(-S13_PSP_Species_Support!BE66*19))^S13_PSP_Species_Support!BF66)^2*(S13_PSP_Species_Support!BG66*(1-EXP(-S13_PSP_Species_Support!BH66*19))^S13_PSP_Species_Support!BI66))^0.976,0)+IFERROR(S13_PSP_Species_Support!BM66*0.0673*(S13_PSP_Species_Support!BN66*(S13_PSP_Species_Support!BO66*(1-EXP(-S13_PSP_Species_Support!BP66*19))^S13_PSP_Species_Support!BQ66)^2*(S13_PSP_Species_Support!BR66*(1-EXP(-S13_PSP_Species_Support!BS66*19))^S13_PSP_Species_Support!BT66))^0.976,0)+IFERROR(S13_PSP_Species_Support!BX66*0.0673*(S13_PSP_Species_Support!BY66*(S13_PSP_Species_Support!BZ66*(1-EXP(-S13_PSP_Species_Support!CA66*19))^S13_PSP_Species_Support!CB66)^2*(S13_PSP_Species_Support!CC66*(1-EXP(-S13_PSP_Species_Support!CD66*19))^S13_PSP_Species_Support!CE66))^0.976,0)+IFERROR(S13_PSP_Species_Support!CI66*0.0673*(S13_PSP_Species_Support!CJ66*(S13_PSP_Species_Support!CK66*(1-EXP(-S13_PSP_Species_Support!CL66*19))^S13_PSP_Species_Support!CM66)^2*(S13_PSP_Species_Support!CN66*(1-EXP(-S13_PSP_Species_Support!CO66*19))^S13_PSP_Species_Support!CP66))^0.976,0)+IFERROR(S13_PSP_Species_Support!CT66*0.0673*(S13_PSP_Species_Support!CU66*(S13_PSP_Species_Support!CV66*(1-EXP(-S13_PSP_Species_Support!CW66*19))^S13_PSP_Species_Support!CX66)^2*(S13_PSP_Species_Support!CY66*(1-EXP(-S13_PSP_Species_Support!CZ66*19))^S13_PSP_Species_Support!DA66))^0.976,0))/1000/$G79*AB$108,0)</x:f>
        <x:v>1982.2325599623189</x:v>
      </x:c>
      <x:c r="AC79" s="147" t="n">
        <x:f aca="0">IFERROR((IFERROR(S13_PSP_Species_Support!U66*0.0673*(S13_PSP_Species_Support!V66*(S13_PSP_Species_Support!W66*(1-EXP(-S13_PSP_Species_Support!X66*20))^S13_PSP_Species_Support!Y66)^2*(S13_PSP_Species_Support!Z66*(1-EXP(-S13_PSP_Species_Support!AA66*20))^S13_PSP_Species_Support!AB66))^0.976,0)+IFERROR(S13_PSP_Species_Support!AF66*0.0673*(S13_PSP_Species_Support!AG66*(S13_PSP_Species_Support!AH66*(1-EXP(-S13_PSP_Species_Support!AI66*20))^S13_PSP_Species_Support!AJ66)^2*(S13_PSP_Species_Support!AK66*(1-EXP(-S13_PSP_Species_Support!AL66*20))^S13_PSP_Species_Support!AM66))^0.976,0)+IFERROR(S13_PSP_Species_Support!AQ66*0.0673*(S13_PSP_Species_Support!AR66*(S13_PSP_Species_Support!AS66*(1-EXP(-S13_PSP_Species_Support!AT66*20))^S13_PSP_Species_Support!AU66)^2*(S13_PSP_Species_Support!AV66*(1-EXP(-S13_PSP_Species_Support!AW66*20))^S13_PSP_Species_Support!AX66))^0.976,0)+IFERROR(S13_PSP_Species_Support!BB66*0.0673*(S13_PSP_Species_Support!BC66*(S13_PSP_Species_Support!BD66*(1-EXP(-S13_PSP_Species_Support!BE66*20))^S13_PSP_Species_Support!BF66)^2*(S13_PSP_Species_Support!BG66*(1-EXP(-S13_PSP_Species_Support!BH66*20))^S13_PSP_Species_Support!BI66))^0.976,0)+IFERROR(S13_PSP_Species_Support!BM66*0.0673*(S13_PSP_Species_Support!BN66*(S13_PSP_Species_Support!BO66*(1-EXP(-S13_PSP_Species_Support!BP66*20))^S13_PSP_Species_Support!BQ66)^2*(S13_PSP_Species_Support!BR66*(1-EXP(-S13_PSP_Species_Support!BS66*20))^S13_PSP_Species_Support!BT66))^0.976,0)+IFERROR(S13_PSP_Species_Support!BX66*0.0673*(S13_PSP_Species_Support!BY66*(S13_PSP_Species_Support!BZ66*(1-EXP(-S13_PSP_Species_Support!CA66*20))^S13_PSP_Species_Support!CB66)^2*(S13_PSP_Species_Support!CC66*(1-EXP(-S13_PSP_Species_Support!CD66*20))^S13_PSP_Species_Support!CE66))^0.976,0)+IFERROR(S13_PSP_Species_Support!CI66*0.0673*(S13_PSP_Species_Support!CJ66*(S13_PSP_Species_Support!CK66*(1-EXP(-S13_PSP_Species_Support!CL66*20))^S13_PSP_Species_Support!CM66)^2*(S13_PSP_Species_Support!CN66*(1-EXP(-S13_PSP_Species_Support!CO66*20))^S13_PSP_Species_Support!CP66))^0.976,0)+IFERROR(S13_PSP_Species_Support!CT66*0.0673*(S13_PSP_Species_Support!CU66*(S13_PSP_Species_Support!CV66*(1-EXP(-S13_PSP_Species_Support!CW66*20))^S13_PSP_Species_Support!CX66)^2*(S13_PSP_Species_Support!CY66*(1-EXP(-S13_PSP_Species_Support!CZ66*20))^S13_PSP_Species_Support!DA66))^0.976,0))/1000/$G79*AC$108,0)</x:f>
        <x:v>2029.6257305406868</x:v>
      </x:c>
      <x:c r="AD79" s="148" t="n">
        <x:f aca="0">IF(2020&lt;$F79,0,INDEX($I79:$AC79,1,2020-$F79+1))</x:f>
        <x:v>0</x:v>
      </x:c>
      <x:c r="AE79" s="148" t="n">
        <x:f aca="0">IF(2021&lt;$F79,0,INDEX($I79:$AC79,1,2021-$F79+1))</x:f>
        <x:v>0</x:v>
      </x:c>
      <x:c r="AF79" s="148" t="n">
        <x:f aca="0">IF(2022&lt;$F79,0,INDEX($I79:$AC79,1,2022-$F79+1))</x:f>
        <x:v>0</x:v>
      </x:c>
      <x:c r="AG79" s="148" t="n">
        <x:f aca="0">IF(2023&lt;$F79,0,INDEX($I79:$AC79,1,2023-$F79+1))</x:f>
        <x:v>2.515099781910485</x:v>
      </x:c>
      <x:c r="AH79" s="148" t="n">
        <x:f aca="0">IF(2024&lt;$F79,0,INDEX($I79:$AC79,1,2024-$F79+1))</x:f>
        <x:v>23.72866883187635</x:v>
      </x:c>
      <x:c r="AI79" s="148" t="n">
        <x:f aca="0">IF(2025&lt;$F79,0,INDEX($I79:$AC79,1,2025-$F79+1))</x:f>
        <x:v>78.53222868872044</x:v>
      </x:c>
      <x:c r="AJ79" s="148" t="n">
        <x:f aca="0">IF(2026&lt;$F79,0,INDEX($I79:$AC79,1,2026-$F79+1))</x:f>
        <x:v>171.1833180385724</x:v>
      </x:c>
      <x:c r="AK79" s="148" t="n">
        <x:f aca="0">IF(2027&lt;$F79,0,INDEX($I79:$AC79,1,2027-$F79+1))</x:f>
        <x:v>296.39260416588746</x:v>
      </x:c>
      <x:c r="AL79" s="148" t="n">
        <x:f aca="0">IF(2028&lt;$F79,0,INDEX($I79:$AC79,1,2028-$F79+1))</x:f>
        <x:v>445.0528975288466</x:v>
      </x:c>
      <x:c r="AM79" s="148" t="n">
        <x:f aca="0">IF(2029&lt;$F79,0,INDEX($I79:$AC79,1,2029-$F79+1))</x:f>
        <x:v>607.3046161914787</x:v>
      </x:c>
      <x:c r="AN79" s="148" t="n">
        <x:f aca="0">IF(2030&lt;$F79,0,INDEX($I79:$AC79,1,2030-$F79+1))</x:f>
        <x:v>774.3568872025172</x:v>
      </x:c>
      <x:c r="AO79" s="148" t="n">
        <x:f aca="0">IF(2031&lt;$F79,0,INDEX($I79:$AC79,1,2031-$F79+1))</x:f>
        <x:v>939.2432291729702</x:v>
      </x:c>
      <x:c r="AP79" s="148" t="n">
        <x:f aca="0">IF(2032&lt;$F79,0,INDEX($I79:$AC79,1,2032-$F79+1))</x:f>
        <x:v>1096.942539502908</x:v>
      </x:c>
      <x:c r="AQ79" s="148" t="n">
        <x:f aca="0">IF(2033&lt;$F79,0,INDEX($I79:$AC79,1,2033-$F79+1))</x:f>
        <x:v>1244.17877900754</x:v>
      </x:c>
      <x:c r="AR79" s="148" t="n">
        <x:f aca="0">IF(2034&lt;$F79,0,INDEX($I79:$AC79,1,2034-$F79+1))</x:f>
        <x:v>1379.0948365720008</x:v>
      </x:c>
      <x:c r="AS79" s="148" t="n">
        <x:f aca="0">IF(2035&lt;$F79,0,INDEX($I79:$AC79,1,2035-$F79+1))</x:f>
        <x:v>1500.9090936443629</x:v>
      </x:c>
      <x:c r="AT79" s="148" t="n">
        <x:f aca="0">IF(2036&lt;$F79,0,INDEX($I79:$AC79,1,2036-$F79+1))</x:f>
        <x:v>1609.6072316192292</x:v>
      </x:c>
      <x:c r="AU79" s="148" t="n">
        <x:f aca="0">IF(2037&lt;$F79,0,INDEX($I79:$AC79,1,2037-$F79+1))</x:f>
        <x:v>1705.6890359295162</x:v>
      </x:c>
      <x:c r="AV79" s="148" t="n">
        <x:f aca="0">IF(2038&lt;$F79,0,INDEX($I79:$AC79,1,2038-$F79+1))</x:f>
        <x:v>1789.9724457638974</x:v>
      </x:c>
      <x:c r="AW79" s="148" t="n">
        <x:f aca="0">IF(2039&lt;$F79,0,INDEX($I79:$AC79,1,2039-$F79+1))</x:f>
        <x:v>1863.4488711782565</x:v>
      </x:c>
      <x:c r="AX79" s="148" t="n">
        <x:f aca="0">IF(2040&lt;$F79,0,INDEX($I79:$AC79,1,2040-$F79+1))</x:f>
        <x:v>1927.180812939717</x:v>
      </x:c>
      <x:c r="AY79" s="1" t="str">
        <x:f aca="0">LEFT($C79,FIND("@",SUBSTITUTE($C79,"|","@",2))-1)</x:f>
        <x:v>Timber Plantation|Medium</x:v>
      </x:c>
      <x:c r="AZ79" s="1" t="str">
        <x:f aca="0">LEFT($C79,FIND("|",$C79)-1)</x:f>
        <x:v>Timber Plantation</x:v>
      </x:c>
      <x:c r="BA79" s="149" t="n">
        <x:f aca="0">I79*I79</x:f>
        <x:v>0</x:v>
      </x:c>
      <x:c r="BB79" s="149" t="n">
        <x:f aca="0">J79*J79</x:f>
        <x:v>6.325726912966169</x:v>
      </x:c>
      <x:c r="BC79" s="149" t="n">
        <x:f aca="0">K79*K79</x:f>
        <x:v>563.0497245328602</x:v>
      </x:c>
      <x:c r="BD79" s="149" t="n">
        <x:f aca="0">L79*L79</x:f>
        <x:v>6167.310942817485</x:v>
      </x:c>
      <x:c r="BE79" s="149" t="n">
        <x:f aca="0">M79*M79</x:f>
        <x:v>29303.728374695023</x:v>
      </x:c>
      <x:c r="BF79" s="149" t="n">
        <x:f aca="0">N79*N79</x:f>
        <x:v>87848.57580423645</x:v>
      </x:c>
      <x:c r="BG79" s="149" t="n">
        <x:f aca="0">O79*O79</x:f>
        <x:v>198072.08159882203</x:v>
      </x:c>
      <x:c r="BH79" s="149" t="n">
        <x:f aca="0">P79*P79</x:f>
        <x:v>368818.8968474792</x:v>
      </x:c>
      <x:c r="BI79" s="149" t="n">
        <x:f aca="0">Q79*Q79</x:f>
        <x:v>599628.588757972</x:v>
      </x:c>
      <x:c r="BJ79" s="149" t="n">
        <x:f aca="0">R79*R79</x:f>
        <x:v>882177.8435472687</x:v>
      </x:c>
      <x:c r="BK79" s="149" t="n">
        <x:f aca="0">S79*S79</x:f>
        <x:v>1203282.9349710888</x:v>
      </x:c>
      <x:c r="BL79" s="149" t="n">
        <x:f aca="0">T79*T79</x:f>
        <x:v>1547980.834132693</x:v>
      </x:c>
      <x:c r="BM79" s="149" t="n">
        <x:f aca="0">U79*U79</x:f>
        <x:v>1901902.5682595535</x:v>
      </x:c>
      <x:c r="BN79" s="149" t="n">
        <x:f aca="0">V79*V79</x:f>
        <x:v>2252728.1073843427</x:v>
      </x:c>
      <x:c r="BO79" s="149" t="n">
        <x:f aca="0">W79*W79</x:f>
        <x:v>2590835.440080919</x:v>
      </x:c>
      <x:c r="BP79" s="149" t="n">
        <x:f aca="0">X79*X79</x:f>
        <x:v>2909375.087290162</x:v>
      </x:c>
      <x:c r="BQ79" s="149" t="n">
        <x:f aca="0">Y79*Y79</x:f>
        <x:v>3204001.356593989</x:v>
      </x:c>
      <x:c r="BR79" s="149" t="n">
        <x:f aca="0">Z79*Z79</x:f>
        <x:v>3472441.6954955184</x:v>
      </x:c>
      <x:c r="BS79" s="149" t="n">
        <x:f aca="0">AA79*AA79</x:f>
        <x:v>3714025.8857629886</x:v>
      </x:c>
      <x:c r="BT79" s="149" t="n">
        <x:f aca="0">AB79*AB79</x:f>
        <x:v>3929245.9217747683</x:v>
      </x:c>
      <x:c r="BU79" s="149" t="n">
        <x:f aca="0">AC79*AC79</x:f>
        <x:v>4119380.606072817</x:v>
      </x:c>
    </x:row>
    <x:row r="80" ht="15" hidden="0" customHeight="1">
      <x:c r="A80" s="1" t="str">
        <x:f aca="0">S13_PSP_Species_Support!A67</x:f>
        <x:v>PSP-TP-026</x:v>
      </x:c>
      <x:c r="B80" s="1" t="n">
        <x:f aca="0">67</x:f>
        <x:v>67</x:v>
      </x:c>
      <x:c r="C80" s="1" t="str">
        <x:f aca="0">S13_PSP_Species_Support!I67</x:f>
        <x:v>Timber Plantation|Low|2023</x:v>
      </x:c>
      <x:c r="D80" s="1" t="str">
        <x:f aca="0">S13_PSP_Species_Support!C67</x:f>
        <x:v>Timber Plantation</x:v>
      </x:c>
      <x:c r="E80" s="1" t="str">
        <x:f aca="0">S13_PSP_Species_Support!D67</x:f>
        <x:v>Low</x:v>
      </x:c>
      <x:c r="F80" s="1" t="n">
        <x:f aca="0">S13_PSP_Species_Support!E67</x:f>
        <x:v>2023</x:v>
      </x:c>
      <x:c r="G80" s="645" t="n">
        <x:f aca="0">'S13_PSP_Species_Support'!DJ67</x:f>
        <x:v>0.09</x:v>
      </x:c>
      <x:c r="H80" s="714" t="n">
        <x:f aca="0">'S13_PSP_Species_Support'!DK67</x:f>
        <x:v>35.43687582775531</x:v>
      </x:c>
      <x:c r="I80" s="147" t="n">
        <x:f aca="0">IFERROR((IFERROR(S13_PSP_Species_Support!U67*0.0673*(S13_PSP_Species_Support!V67*(S13_PSP_Species_Support!W67*(1-EXP(-S13_PSP_Species_Support!X67*0))^S13_PSP_Species_Support!Y67)^2*(S13_PSP_Species_Support!Z67*(1-EXP(-S13_PSP_Species_Support!AA67*0))^S13_PSP_Species_Support!AB67))^0.976,0)+IFERROR(S13_PSP_Species_Support!AF67*0.0673*(S13_PSP_Species_Support!AG67*(S13_PSP_Species_Support!AH67*(1-EXP(-S13_PSP_Species_Support!AI67*0))^S13_PSP_Species_Support!AJ67)^2*(S13_PSP_Species_Support!AK67*(1-EXP(-S13_PSP_Species_Support!AL67*0))^S13_PSP_Species_Support!AM67))^0.976,0)+IFERROR(S13_PSP_Species_Support!AQ67*0.0673*(S13_PSP_Species_Support!AR67*(S13_PSP_Species_Support!AS67*(1-EXP(-S13_PSP_Species_Support!AT67*0))^S13_PSP_Species_Support!AU67)^2*(S13_PSP_Species_Support!AV67*(1-EXP(-S13_PSP_Species_Support!AW67*0))^S13_PSP_Species_Support!AX67))^0.976,0)+IFERROR(S13_PSP_Species_Support!BB67*0.0673*(S13_PSP_Species_Support!BC67*(S13_PSP_Species_Support!BD67*(1-EXP(-S13_PSP_Species_Support!BE67*0))^S13_PSP_Species_Support!BF67)^2*(S13_PSP_Species_Support!BG67*(1-EXP(-S13_PSP_Species_Support!BH67*0))^S13_PSP_Species_Support!BI67))^0.976,0)+IFERROR(S13_PSP_Species_Support!BM67*0.0673*(S13_PSP_Species_Support!BN67*(S13_PSP_Species_Support!BO67*(1-EXP(-S13_PSP_Species_Support!BP67*0))^S13_PSP_Species_Support!BQ67)^2*(S13_PSP_Species_Support!BR67*(1-EXP(-S13_PSP_Species_Support!BS67*0))^S13_PSP_Species_Support!BT67))^0.976,0)+IFERROR(S13_PSP_Species_Support!BX67*0.0673*(S13_PSP_Species_Support!BY67*(S13_PSP_Species_Support!BZ67*(1-EXP(-S13_PSP_Species_Support!CA67*0))^S13_PSP_Species_Support!CB67)^2*(S13_PSP_Species_Support!CC67*(1-EXP(-S13_PSP_Species_Support!CD67*0))^S13_PSP_Species_Support!CE67))^0.976,0)+IFERROR(S13_PSP_Species_Support!CI67*0.0673*(S13_PSP_Species_Support!CJ67*(S13_PSP_Species_Support!CK67*(1-EXP(-S13_PSP_Species_Support!CL67*0))^S13_PSP_Species_Support!CM67)^2*(S13_PSP_Species_Support!CN67*(1-EXP(-S13_PSP_Species_Support!CO67*0))^S13_PSP_Species_Support!CP67))^0.976,0)+IFERROR(S13_PSP_Species_Support!CT67*0.0673*(S13_PSP_Species_Support!CU67*(S13_PSP_Species_Support!CV67*(1-EXP(-S13_PSP_Species_Support!CW67*0))^S13_PSP_Species_Support!CX67)^2*(S13_PSP_Species_Support!CY67*(1-EXP(-S13_PSP_Species_Support!CZ67*0))^S13_PSP_Species_Support!DA67))^0.976,0))/1000/$G80*I$108,0)</x:f>
        <x:v>0</x:v>
      </x:c>
      <x:c r="J80" s="147" t="n">
        <x:f aca="0">IFERROR((IFERROR(S13_PSP_Species_Support!U67*0.0673*(S13_PSP_Species_Support!V67*(S13_PSP_Species_Support!W67*(1-EXP(-S13_PSP_Species_Support!X67*1))^S13_PSP_Species_Support!Y67)^2*(S13_PSP_Species_Support!Z67*(1-EXP(-S13_PSP_Species_Support!AA67*1))^S13_PSP_Species_Support!AB67))^0.976,0)+IFERROR(S13_PSP_Species_Support!AF67*0.0673*(S13_PSP_Species_Support!AG67*(S13_PSP_Species_Support!AH67*(1-EXP(-S13_PSP_Species_Support!AI67*1))^S13_PSP_Species_Support!AJ67)^2*(S13_PSP_Species_Support!AK67*(1-EXP(-S13_PSP_Species_Support!AL67*1))^S13_PSP_Species_Support!AM67))^0.976,0)+IFERROR(S13_PSP_Species_Support!AQ67*0.0673*(S13_PSP_Species_Support!AR67*(S13_PSP_Species_Support!AS67*(1-EXP(-S13_PSP_Species_Support!AT67*1))^S13_PSP_Species_Support!AU67)^2*(S13_PSP_Species_Support!AV67*(1-EXP(-S13_PSP_Species_Support!AW67*1))^S13_PSP_Species_Support!AX67))^0.976,0)+IFERROR(S13_PSP_Species_Support!BB67*0.0673*(S13_PSP_Species_Support!BC67*(S13_PSP_Species_Support!BD67*(1-EXP(-S13_PSP_Species_Support!BE67*1))^S13_PSP_Species_Support!BF67)^2*(S13_PSP_Species_Support!BG67*(1-EXP(-S13_PSP_Species_Support!BH67*1))^S13_PSP_Species_Support!BI67))^0.976,0)+IFERROR(S13_PSP_Species_Support!BM67*0.0673*(S13_PSP_Species_Support!BN67*(S13_PSP_Species_Support!BO67*(1-EXP(-S13_PSP_Species_Support!BP67*1))^S13_PSP_Species_Support!BQ67)^2*(S13_PSP_Species_Support!BR67*(1-EXP(-S13_PSP_Species_Support!BS67*1))^S13_PSP_Species_Support!BT67))^0.976,0)+IFERROR(S13_PSP_Species_Support!BX67*0.0673*(S13_PSP_Species_Support!BY67*(S13_PSP_Species_Support!BZ67*(1-EXP(-S13_PSP_Species_Support!CA67*1))^S13_PSP_Species_Support!CB67)^2*(S13_PSP_Species_Support!CC67*(1-EXP(-S13_PSP_Species_Support!CD67*1))^S13_PSP_Species_Support!CE67))^0.976,0)+IFERROR(S13_PSP_Species_Support!CI67*0.0673*(S13_PSP_Species_Support!CJ67*(S13_PSP_Species_Support!CK67*(1-EXP(-S13_PSP_Species_Support!CL67*1))^S13_PSP_Species_Support!CM67)^2*(S13_PSP_Species_Support!CN67*(1-EXP(-S13_PSP_Species_Support!CO67*1))^S13_PSP_Species_Support!CP67))^0.976,0)+IFERROR(S13_PSP_Species_Support!CT67*0.0673*(S13_PSP_Species_Support!CU67*(S13_PSP_Species_Support!CV67*(1-EXP(-S13_PSP_Species_Support!CW67*1))^S13_PSP_Species_Support!CX67)^2*(S13_PSP_Species_Support!CY67*(1-EXP(-S13_PSP_Species_Support!CZ67*1))^S13_PSP_Species_Support!DA67))^0.976,0))/1000/$G80*J$108,0)</x:f>
        <x:v>0.14597361081849772</x:v>
      </x:c>
      <x:c r="K80" s="147" t="n">
        <x:f aca="0">IFERROR((IFERROR(S13_PSP_Species_Support!U67*0.0673*(S13_PSP_Species_Support!V67*(S13_PSP_Species_Support!W67*(1-EXP(-S13_PSP_Species_Support!X67*2))^S13_PSP_Species_Support!Y67)^2*(S13_PSP_Species_Support!Z67*(1-EXP(-S13_PSP_Species_Support!AA67*2))^S13_PSP_Species_Support!AB67))^0.976,0)+IFERROR(S13_PSP_Species_Support!AF67*0.0673*(S13_PSP_Species_Support!AG67*(S13_PSP_Species_Support!AH67*(1-EXP(-S13_PSP_Species_Support!AI67*2))^S13_PSP_Species_Support!AJ67)^2*(S13_PSP_Species_Support!AK67*(1-EXP(-S13_PSP_Species_Support!AL67*2))^S13_PSP_Species_Support!AM67))^0.976,0)+IFERROR(S13_PSP_Species_Support!AQ67*0.0673*(S13_PSP_Species_Support!AR67*(S13_PSP_Species_Support!AS67*(1-EXP(-S13_PSP_Species_Support!AT67*2))^S13_PSP_Species_Support!AU67)^2*(S13_PSP_Species_Support!AV67*(1-EXP(-S13_PSP_Species_Support!AW67*2))^S13_PSP_Species_Support!AX67))^0.976,0)+IFERROR(S13_PSP_Species_Support!BB67*0.0673*(S13_PSP_Species_Support!BC67*(S13_PSP_Species_Support!BD67*(1-EXP(-S13_PSP_Species_Support!BE67*2))^S13_PSP_Species_Support!BF67)^2*(S13_PSP_Species_Support!BG67*(1-EXP(-S13_PSP_Species_Support!BH67*2))^S13_PSP_Species_Support!BI67))^0.976,0)+IFERROR(S13_PSP_Species_Support!BM67*0.0673*(S13_PSP_Species_Support!BN67*(S13_PSP_Species_Support!BO67*(1-EXP(-S13_PSP_Species_Support!BP67*2))^S13_PSP_Species_Support!BQ67)^2*(S13_PSP_Species_Support!BR67*(1-EXP(-S13_PSP_Species_Support!BS67*2))^S13_PSP_Species_Support!BT67))^0.976,0)+IFERROR(S13_PSP_Species_Support!BX67*0.0673*(S13_PSP_Species_Support!BY67*(S13_PSP_Species_Support!BZ67*(1-EXP(-S13_PSP_Species_Support!CA67*2))^S13_PSP_Species_Support!CB67)^2*(S13_PSP_Species_Support!CC67*(1-EXP(-S13_PSP_Species_Support!CD67*2))^S13_PSP_Species_Support!CE67))^0.976,0)+IFERROR(S13_PSP_Species_Support!CI67*0.0673*(S13_PSP_Species_Support!CJ67*(S13_PSP_Species_Support!CK67*(1-EXP(-S13_PSP_Species_Support!CL67*2))^S13_PSP_Species_Support!CM67)^2*(S13_PSP_Species_Support!CN67*(1-EXP(-S13_PSP_Species_Support!CO67*2))^S13_PSP_Species_Support!CP67))^0.976,0)+IFERROR(S13_PSP_Species_Support!CT67*0.0673*(S13_PSP_Species_Support!CU67*(S13_PSP_Species_Support!CV67*(1-EXP(-S13_PSP_Species_Support!CW67*2))^S13_PSP_Species_Support!CX67)^2*(S13_PSP_Species_Support!CY67*(1-EXP(-S13_PSP_Species_Support!CZ67*2))^S13_PSP_Species_Support!DA67))^0.976,0))/1000/$G80*K$108,0)</x:f>
        <x:v>1.7833950514473123</x:v>
      </x:c>
      <x:c r="L80" s="147" t="n">
        <x:f aca="0">IFERROR((IFERROR(S13_PSP_Species_Support!U67*0.0673*(S13_PSP_Species_Support!V67*(S13_PSP_Species_Support!W67*(1-EXP(-S13_PSP_Species_Support!X67*3))^S13_PSP_Species_Support!Y67)^2*(S13_PSP_Species_Support!Z67*(1-EXP(-S13_PSP_Species_Support!AA67*3))^S13_PSP_Species_Support!AB67))^0.976,0)+IFERROR(S13_PSP_Species_Support!AF67*0.0673*(S13_PSP_Species_Support!AG67*(S13_PSP_Species_Support!AH67*(1-EXP(-S13_PSP_Species_Support!AI67*3))^S13_PSP_Species_Support!AJ67)^2*(S13_PSP_Species_Support!AK67*(1-EXP(-S13_PSP_Species_Support!AL67*3))^S13_PSP_Species_Support!AM67))^0.976,0)+IFERROR(S13_PSP_Species_Support!AQ67*0.0673*(S13_PSP_Species_Support!AR67*(S13_PSP_Species_Support!AS67*(1-EXP(-S13_PSP_Species_Support!AT67*3))^S13_PSP_Species_Support!AU67)^2*(S13_PSP_Species_Support!AV67*(1-EXP(-S13_PSP_Species_Support!AW67*3))^S13_PSP_Species_Support!AX67))^0.976,0)+IFERROR(S13_PSP_Species_Support!BB67*0.0673*(S13_PSP_Species_Support!BC67*(S13_PSP_Species_Support!BD67*(1-EXP(-S13_PSP_Species_Support!BE67*3))^S13_PSP_Species_Support!BF67)^2*(S13_PSP_Species_Support!BG67*(1-EXP(-S13_PSP_Species_Support!BH67*3))^S13_PSP_Species_Support!BI67))^0.976,0)+IFERROR(S13_PSP_Species_Support!BM67*0.0673*(S13_PSP_Species_Support!BN67*(S13_PSP_Species_Support!BO67*(1-EXP(-S13_PSP_Species_Support!BP67*3))^S13_PSP_Species_Support!BQ67)^2*(S13_PSP_Species_Support!BR67*(1-EXP(-S13_PSP_Species_Support!BS67*3))^S13_PSP_Species_Support!BT67))^0.976,0)+IFERROR(S13_PSP_Species_Support!BX67*0.0673*(S13_PSP_Species_Support!BY67*(S13_PSP_Species_Support!BZ67*(1-EXP(-S13_PSP_Species_Support!CA67*3))^S13_PSP_Species_Support!CB67)^2*(S13_PSP_Species_Support!CC67*(1-EXP(-S13_PSP_Species_Support!CD67*3))^S13_PSP_Species_Support!CE67))^0.976,0)+IFERROR(S13_PSP_Species_Support!CI67*0.0673*(S13_PSP_Species_Support!CJ67*(S13_PSP_Species_Support!CK67*(1-EXP(-S13_PSP_Species_Support!CL67*3))^S13_PSP_Species_Support!CM67)^2*(S13_PSP_Species_Support!CN67*(1-EXP(-S13_PSP_Species_Support!CO67*3))^S13_PSP_Species_Support!CP67))^0.976,0)+IFERROR(S13_PSP_Species_Support!CT67*0.0673*(S13_PSP_Species_Support!CU67*(S13_PSP_Species_Support!CV67*(1-EXP(-S13_PSP_Species_Support!CW67*3))^S13_PSP_Species_Support!CX67)^2*(S13_PSP_Species_Support!CY67*(1-EXP(-S13_PSP_Species_Support!CZ67*3))^S13_PSP_Species_Support!DA67))^0.976,0))/1000/$G80*L$108,0)</x:f>
        <x:v>7.000407885650638</x:v>
      </x:c>
      <x:c r="M80" s="147" t="n">
        <x:f aca="0">IFERROR((IFERROR(S13_PSP_Species_Support!U67*0.0673*(S13_PSP_Species_Support!V67*(S13_PSP_Species_Support!W67*(1-EXP(-S13_PSP_Species_Support!X67*4))^S13_PSP_Species_Support!Y67)^2*(S13_PSP_Species_Support!Z67*(1-EXP(-S13_PSP_Species_Support!AA67*4))^S13_PSP_Species_Support!AB67))^0.976,0)+IFERROR(S13_PSP_Species_Support!AF67*0.0673*(S13_PSP_Species_Support!AG67*(S13_PSP_Species_Support!AH67*(1-EXP(-S13_PSP_Species_Support!AI67*4))^S13_PSP_Species_Support!AJ67)^2*(S13_PSP_Species_Support!AK67*(1-EXP(-S13_PSP_Species_Support!AL67*4))^S13_PSP_Species_Support!AM67))^0.976,0)+IFERROR(S13_PSP_Species_Support!AQ67*0.0673*(S13_PSP_Species_Support!AR67*(S13_PSP_Species_Support!AS67*(1-EXP(-S13_PSP_Species_Support!AT67*4))^S13_PSP_Species_Support!AU67)^2*(S13_PSP_Species_Support!AV67*(1-EXP(-S13_PSP_Species_Support!AW67*4))^S13_PSP_Species_Support!AX67))^0.976,0)+IFERROR(S13_PSP_Species_Support!BB67*0.0673*(S13_PSP_Species_Support!BC67*(S13_PSP_Species_Support!BD67*(1-EXP(-S13_PSP_Species_Support!BE67*4))^S13_PSP_Species_Support!BF67)^2*(S13_PSP_Species_Support!BG67*(1-EXP(-S13_PSP_Species_Support!BH67*4))^S13_PSP_Species_Support!BI67))^0.976,0)+IFERROR(S13_PSP_Species_Support!BM67*0.0673*(S13_PSP_Species_Support!BN67*(S13_PSP_Species_Support!BO67*(1-EXP(-S13_PSP_Species_Support!BP67*4))^S13_PSP_Species_Support!BQ67)^2*(S13_PSP_Species_Support!BR67*(1-EXP(-S13_PSP_Species_Support!BS67*4))^S13_PSP_Species_Support!BT67))^0.976,0)+IFERROR(S13_PSP_Species_Support!BX67*0.0673*(S13_PSP_Species_Support!BY67*(S13_PSP_Species_Support!BZ67*(1-EXP(-S13_PSP_Species_Support!CA67*4))^S13_PSP_Species_Support!CB67)^2*(S13_PSP_Species_Support!CC67*(1-EXP(-S13_PSP_Species_Support!CD67*4))^S13_PSP_Species_Support!CE67))^0.976,0)+IFERROR(S13_PSP_Species_Support!CI67*0.0673*(S13_PSP_Species_Support!CJ67*(S13_PSP_Species_Support!CK67*(1-EXP(-S13_PSP_Species_Support!CL67*4))^S13_PSP_Species_Support!CM67)^2*(S13_PSP_Species_Support!CN67*(1-EXP(-S13_PSP_Species_Support!CO67*4))^S13_PSP_Species_Support!CP67))^0.976,0)+IFERROR(S13_PSP_Species_Support!CT67*0.0673*(S13_PSP_Species_Support!CU67*(S13_PSP_Species_Support!CV67*(1-EXP(-S13_PSP_Species_Support!CW67*4))^S13_PSP_Species_Support!CX67)^2*(S13_PSP_Species_Support!CY67*(1-EXP(-S13_PSP_Species_Support!CZ67*4))^S13_PSP_Species_Support!DA67))^0.976,0))/1000/$G80*M$108,0)</x:f>
        <x:v>17.422460568109642</x:v>
      </x:c>
      <x:c r="N80" s="147" t="n">
        <x:f aca="0">IFERROR((IFERROR(S13_PSP_Species_Support!U67*0.0673*(S13_PSP_Species_Support!V67*(S13_PSP_Species_Support!W67*(1-EXP(-S13_PSP_Species_Support!X67*5))^S13_PSP_Species_Support!Y67)^2*(S13_PSP_Species_Support!Z67*(1-EXP(-S13_PSP_Species_Support!AA67*5))^S13_PSP_Species_Support!AB67))^0.976,0)+IFERROR(S13_PSP_Species_Support!AF67*0.0673*(S13_PSP_Species_Support!AG67*(S13_PSP_Species_Support!AH67*(1-EXP(-S13_PSP_Species_Support!AI67*5))^S13_PSP_Species_Support!AJ67)^2*(S13_PSP_Species_Support!AK67*(1-EXP(-S13_PSP_Species_Support!AL67*5))^S13_PSP_Species_Support!AM67))^0.976,0)+IFERROR(S13_PSP_Species_Support!AQ67*0.0673*(S13_PSP_Species_Support!AR67*(S13_PSP_Species_Support!AS67*(1-EXP(-S13_PSP_Species_Support!AT67*5))^S13_PSP_Species_Support!AU67)^2*(S13_PSP_Species_Support!AV67*(1-EXP(-S13_PSP_Species_Support!AW67*5))^S13_PSP_Species_Support!AX67))^0.976,0)+IFERROR(S13_PSP_Species_Support!BB67*0.0673*(S13_PSP_Species_Support!BC67*(S13_PSP_Species_Support!BD67*(1-EXP(-S13_PSP_Species_Support!BE67*5))^S13_PSP_Species_Support!BF67)^2*(S13_PSP_Species_Support!BG67*(1-EXP(-S13_PSP_Species_Support!BH67*5))^S13_PSP_Species_Support!BI67))^0.976,0)+IFERROR(S13_PSP_Species_Support!BM67*0.0673*(S13_PSP_Species_Support!BN67*(S13_PSP_Species_Support!BO67*(1-EXP(-S13_PSP_Species_Support!BP67*5))^S13_PSP_Species_Support!BQ67)^2*(S13_PSP_Species_Support!BR67*(1-EXP(-S13_PSP_Species_Support!BS67*5))^S13_PSP_Species_Support!BT67))^0.976,0)+IFERROR(S13_PSP_Species_Support!BX67*0.0673*(S13_PSP_Species_Support!BY67*(S13_PSP_Species_Support!BZ67*(1-EXP(-S13_PSP_Species_Support!CA67*5))^S13_PSP_Species_Support!CB67)^2*(S13_PSP_Species_Support!CC67*(1-EXP(-S13_PSP_Species_Support!CD67*5))^S13_PSP_Species_Support!CE67))^0.976,0)+IFERROR(S13_PSP_Species_Support!CI67*0.0673*(S13_PSP_Species_Support!CJ67*(S13_PSP_Species_Support!CK67*(1-EXP(-S13_PSP_Species_Support!CL67*5))^S13_PSP_Species_Support!CM67)^2*(S13_PSP_Species_Support!CN67*(1-EXP(-S13_PSP_Species_Support!CO67*5))^S13_PSP_Species_Support!CP67))^0.976,0)+IFERROR(S13_PSP_Species_Support!CT67*0.0673*(S13_PSP_Species_Support!CU67*(S13_PSP_Species_Support!CV67*(1-EXP(-S13_PSP_Species_Support!CW67*5))^S13_PSP_Species_Support!CX67)^2*(S13_PSP_Species_Support!CY67*(1-EXP(-S13_PSP_Species_Support!CZ67*5))^S13_PSP_Species_Support!DA67))^0.976,0))/1000/$G80*N$108,0)</x:f>
        <x:v>33.678935566642984</x:v>
      </x:c>
      <x:c r="O80" s="147" t="n">
        <x:f aca="0">IFERROR((IFERROR(S13_PSP_Species_Support!U67*0.0673*(S13_PSP_Species_Support!V67*(S13_PSP_Species_Support!W67*(1-EXP(-S13_PSP_Species_Support!X67*6))^S13_PSP_Species_Support!Y67)^2*(S13_PSP_Species_Support!Z67*(1-EXP(-S13_PSP_Species_Support!AA67*6))^S13_PSP_Species_Support!AB67))^0.976,0)+IFERROR(S13_PSP_Species_Support!AF67*0.0673*(S13_PSP_Species_Support!AG67*(S13_PSP_Species_Support!AH67*(1-EXP(-S13_PSP_Species_Support!AI67*6))^S13_PSP_Species_Support!AJ67)^2*(S13_PSP_Species_Support!AK67*(1-EXP(-S13_PSP_Species_Support!AL67*6))^S13_PSP_Species_Support!AM67))^0.976,0)+IFERROR(S13_PSP_Species_Support!AQ67*0.0673*(S13_PSP_Species_Support!AR67*(S13_PSP_Species_Support!AS67*(1-EXP(-S13_PSP_Species_Support!AT67*6))^S13_PSP_Species_Support!AU67)^2*(S13_PSP_Species_Support!AV67*(1-EXP(-S13_PSP_Species_Support!AW67*6))^S13_PSP_Species_Support!AX67))^0.976,0)+IFERROR(S13_PSP_Species_Support!BB67*0.0673*(S13_PSP_Species_Support!BC67*(S13_PSP_Species_Support!BD67*(1-EXP(-S13_PSP_Species_Support!BE67*6))^S13_PSP_Species_Support!BF67)^2*(S13_PSP_Species_Support!BG67*(1-EXP(-S13_PSP_Species_Support!BH67*6))^S13_PSP_Species_Support!BI67))^0.976,0)+IFERROR(S13_PSP_Species_Support!BM67*0.0673*(S13_PSP_Species_Support!BN67*(S13_PSP_Species_Support!BO67*(1-EXP(-S13_PSP_Species_Support!BP67*6))^S13_PSP_Species_Support!BQ67)^2*(S13_PSP_Species_Support!BR67*(1-EXP(-S13_PSP_Species_Support!BS67*6))^S13_PSP_Species_Support!BT67))^0.976,0)+IFERROR(S13_PSP_Species_Support!BX67*0.0673*(S13_PSP_Species_Support!BY67*(S13_PSP_Species_Support!BZ67*(1-EXP(-S13_PSP_Species_Support!CA67*6))^S13_PSP_Species_Support!CB67)^2*(S13_PSP_Species_Support!CC67*(1-EXP(-S13_PSP_Species_Support!CD67*6))^S13_PSP_Species_Support!CE67))^0.976,0)+IFERROR(S13_PSP_Species_Support!CI67*0.0673*(S13_PSP_Species_Support!CJ67*(S13_PSP_Species_Support!CK67*(1-EXP(-S13_PSP_Species_Support!CL67*6))^S13_PSP_Species_Support!CM67)^2*(S13_PSP_Species_Support!CN67*(1-EXP(-S13_PSP_Species_Support!CO67*6))^S13_PSP_Species_Support!CP67))^0.976,0)+IFERROR(S13_PSP_Species_Support!CT67*0.0673*(S13_PSP_Species_Support!CU67*(S13_PSP_Species_Support!CV67*(1-EXP(-S13_PSP_Species_Support!CW67*6))^S13_PSP_Species_Support!CX67)^2*(S13_PSP_Species_Support!CY67*(1-EXP(-S13_PSP_Species_Support!CZ67*6))^S13_PSP_Species_Support!DA67))^0.976,0))/1000/$G80*O$108,0)</x:f>
        <x:v>55.599023298467245</x:v>
      </x:c>
      <x:c r="P80" s="147" t="n">
        <x:f aca="0">IFERROR((IFERROR(S13_PSP_Species_Support!U67*0.0673*(S13_PSP_Species_Support!V67*(S13_PSP_Species_Support!W67*(1-EXP(-S13_PSP_Species_Support!X67*7))^S13_PSP_Species_Support!Y67)^2*(S13_PSP_Species_Support!Z67*(1-EXP(-S13_PSP_Species_Support!AA67*7))^S13_PSP_Species_Support!AB67))^0.976,0)+IFERROR(S13_PSP_Species_Support!AF67*0.0673*(S13_PSP_Species_Support!AG67*(S13_PSP_Species_Support!AH67*(1-EXP(-S13_PSP_Species_Support!AI67*7))^S13_PSP_Species_Support!AJ67)^2*(S13_PSP_Species_Support!AK67*(1-EXP(-S13_PSP_Species_Support!AL67*7))^S13_PSP_Species_Support!AM67))^0.976,0)+IFERROR(S13_PSP_Species_Support!AQ67*0.0673*(S13_PSP_Species_Support!AR67*(S13_PSP_Species_Support!AS67*(1-EXP(-S13_PSP_Species_Support!AT67*7))^S13_PSP_Species_Support!AU67)^2*(S13_PSP_Species_Support!AV67*(1-EXP(-S13_PSP_Species_Support!AW67*7))^S13_PSP_Species_Support!AX67))^0.976,0)+IFERROR(S13_PSP_Species_Support!BB67*0.0673*(S13_PSP_Species_Support!BC67*(S13_PSP_Species_Support!BD67*(1-EXP(-S13_PSP_Species_Support!BE67*7))^S13_PSP_Species_Support!BF67)^2*(S13_PSP_Species_Support!BG67*(1-EXP(-S13_PSP_Species_Support!BH67*7))^S13_PSP_Species_Support!BI67))^0.976,0)+IFERROR(S13_PSP_Species_Support!BM67*0.0673*(S13_PSP_Species_Support!BN67*(S13_PSP_Species_Support!BO67*(1-EXP(-S13_PSP_Species_Support!BP67*7))^S13_PSP_Species_Support!BQ67)^2*(S13_PSP_Species_Support!BR67*(1-EXP(-S13_PSP_Species_Support!BS67*7))^S13_PSP_Species_Support!BT67))^0.976,0)+IFERROR(S13_PSP_Species_Support!BX67*0.0673*(S13_PSP_Species_Support!BY67*(S13_PSP_Species_Support!BZ67*(1-EXP(-S13_PSP_Species_Support!CA67*7))^S13_PSP_Species_Support!CB67)^2*(S13_PSP_Species_Support!CC67*(1-EXP(-S13_PSP_Species_Support!CD67*7))^S13_PSP_Species_Support!CE67))^0.976,0)+IFERROR(S13_PSP_Species_Support!CI67*0.0673*(S13_PSP_Species_Support!CJ67*(S13_PSP_Species_Support!CK67*(1-EXP(-S13_PSP_Species_Support!CL67*7))^S13_PSP_Species_Support!CM67)^2*(S13_PSP_Species_Support!CN67*(1-EXP(-S13_PSP_Species_Support!CO67*7))^S13_PSP_Species_Support!CP67))^0.976,0)+IFERROR(S13_PSP_Species_Support!CT67*0.0673*(S13_PSP_Species_Support!CU67*(S13_PSP_Species_Support!CV67*(1-EXP(-S13_PSP_Species_Support!CW67*7))^S13_PSP_Species_Support!CX67)^2*(S13_PSP_Species_Support!CY67*(1-EXP(-S13_PSP_Species_Support!CZ67*7))^S13_PSP_Species_Support!DA67))^0.976,0))/1000/$G80*P$108,0)</x:f>
        <x:v>82.45157313938725</x:v>
      </x:c>
      <x:c r="Q80" s="147" t="n">
        <x:f aca="0">IFERROR((IFERROR(S13_PSP_Species_Support!U67*0.0673*(S13_PSP_Species_Support!V67*(S13_PSP_Species_Support!W67*(1-EXP(-S13_PSP_Species_Support!X67*8))^S13_PSP_Species_Support!Y67)^2*(S13_PSP_Species_Support!Z67*(1-EXP(-S13_PSP_Species_Support!AA67*8))^S13_PSP_Species_Support!AB67))^0.976,0)+IFERROR(S13_PSP_Species_Support!AF67*0.0673*(S13_PSP_Species_Support!AG67*(S13_PSP_Species_Support!AH67*(1-EXP(-S13_PSP_Species_Support!AI67*8))^S13_PSP_Species_Support!AJ67)^2*(S13_PSP_Species_Support!AK67*(1-EXP(-S13_PSP_Species_Support!AL67*8))^S13_PSP_Species_Support!AM67))^0.976,0)+IFERROR(S13_PSP_Species_Support!AQ67*0.0673*(S13_PSP_Species_Support!AR67*(S13_PSP_Species_Support!AS67*(1-EXP(-S13_PSP_Species_Support!AT67*8))^S13_PSP_Species_Support!AU67)^2*(S13_PSP_Species_Support!AV67*(1-EXP(-S13_PSP_Species_Support!AW67*8))^S13_PSP_Species_Support!AX67))^0.976,0)+IFERROR(S13_PSP_Species_Support!BB67*0.0673*(S13_PSP_Species_Support!BC67*(S13_PSP_Species_Support!BD67*(1-EXP(-S13_PSP_Species_Support!BE67*8))^S13_PSP_Species_Support!BF67)^2*(S13_PSP_Species_Support!BG67*(1-EXP(-S13_PSP_Species_Support!BH67*8))^S13_PSP_Species_Support!BI67))^0.976,0)+IFERROR(S13_PSP_Species_Support!BM67*0.0673*(S13_PSP_Species_Support!BN67*(S13_PSP_Species_Support!BO67*(1-EXP(-S13_PSP_Species_Support!BP67*8))^S13_PSP_Species_Support!BQ67)^2*(S13_PSP_Species_Support!BR67*(1-EXP(-S13_PSP_Species_Support!BS67*8))^S13_PSP_Species_Support!BT67))^0.976,0)+IFERROR(S13_PSP_Species_Support!BX67*0.0673*(S13_PSP_Species_Support!BY67*(S13_PSP_Species_Support!BZ67*(1-EXP(-S13_PSP_Species_Support!CA67*8))^S13_PSP_Species_Support!CB67)^2*(S13_PSP_Species_Support!CC67*(1-EXP(-S13_PSP_Species_Support!CD67*8))^S13_PSP_Species_Support!CE67))^0.976,0)+IFERROR(S13_PSP_Species_Support!CI67*0.0673*(S13_PSP_Species_Support!CJ67*(S13_PSP_Species_Support!CK67*(1-EXP(-S13_PSP_Species_Support!CL67*8))^S13_PSP_Species_Support!CM67)^2*(S13_PSP_Species_Support!CN67*(1-EXP(-S13_PSP_Species_Support!CO67*8))^S13_PSP_Species_Support!CP67))^0.976,0)+IFERROR(S13_PSP_Species_Support!CT67*0.0673*(S13_PSP_Species_Support!CU67*(S13_PSP_Species_Support!CV67*(1-EXP(-S13_PSP_Species_Support!CW67*8))^S13_PSP_Species_Support!CX67)^2*(S13_PSP_Species_Support!CY67*(1-EXP(-S13_PSP_Species_Support!CZ67*8))^S13_PSP_Species_Support!DA67))^0.976,0))/1000/$G80*Q$108,0)</x:f>
        <x:v>113.20111543416155</x:v>
      </x:c>
      <x:c r="R80" s="147" t="n">
        <x:f aca="0">IFERROR((IFERROR(S13_PSP_Species_Support!U67*0.0673*(S13_PSP_Species_Support!V67*(S13_PSP_Species_Support!W67*(1-EXP(-S13_PSP_Species_Support!X67*9))^S13_PSP_Species_Support!Y67)^2*(S13_PSP_Species_Support!Z67*(1-EXP(-S13_PSP_Species_Support!AA67*9))^S13_PSP_Species_Support!AB67))^0.976,0)+IFERROR(S13_PSP_Species_Support!AF67*0.0673*(S13_PSP_Species_Support!AG67*(S13_PSP_Species_Support!AH67*(1-EXP(-S13_PSP_Species_Support!AI67*9))^S13_PSP_Species_Support!AJ67)^2*(S13_PSP_Species_Support!AK67*(1-EXP(-S13_PSP_Species_Support!AL67*9))^S13_PSP_Species_Support!AM67))^0.976,0)+IFERROR(S13_PSP_Species_Support!AQ67*0.0673*(S13_PSP_Species_Support!AR67*(S13_PSP_Species_Support!AS67*(1-EXP(-S13_PSP_Species_Support!AT67*9))^S13_PSP_Species_Support!AU67)^2*(S13_PSP_Species_Support!AV67*(1-EXP(-S13_PSP_Species_Support!AW67*9))^S13_PSP_Species_Support!AX67))^0.976,0)+IFERROR(S13_PSP_Species_Support!BB67*0.0673*(S13_PSP_Species_Support!BC67*(S13_PSP_Species_Support!BD67*(1-EXP(-S13_PSP_Species_Support!BE67*9))^S13_PSP_Species_Support!BF67)^2*(S13_PSP_Species_Support!BG67*(1-EXP(-S13_PSP_Species_Support!BH67*9))^S13_PSP_Species_Support!BI67))^0.976,0)+IFERROR(S13_PSP_Species_Support!BM67*0.0673*(S13_PSP_Species_Support!BN67*(S13_PSP_Species_Support!BO67*(1-EXP(-S13_PSP_Species_Support!BP67*9))^S13_PSP_Species_Support!BQ67)^2*(S13_PSP_Species_Support!BR67*(1-EXP(-S13_PSP_Species_Support!BS67*9))^S13_PSP_Species_Support!BT67))^0.976,0)+IFERROR(S13_PSP_Species_Support!BX67*0.0673*(S13_PSP_Species_Support!BY67*(S13_PSP_Species_Support!BZ67*(1-EXP(-S13_PSP_Species_Support!CA67*9))^S13_PSP_Species_Support!CB67)^2*(S13_PSP_Species_Support!CC67*(1-EXP(-S13_PSP_Species_Support!CD67*9))^S13_PSP_Species_Support!CE67))^0.976,0)+IFERROR(S13_PSP_Species_Support!CI67*0.0673*(S13_PSP_Species_Support!CJ67*(S13_PSP_Species_Support!CK67*(1-EXP(-S13_PSP_Species_Support!CL67*9))^S13_PSP_Species_Support!CM67)^2*(S13_PSP_Species_Support!CN67*(1-EXP(-S13_PSP_Species_Support!CO67*9))^S13_PSP_Species_Support!CP67))^0.976,0)+IFERROR(S13_PSP_Species_Support!CT67*0.0673*(S13_PSP_Species_Support!CU67*(S13_PSP_Species_Support!CV67*(1-EXP(-S13_PSP_Species_Support!CW67*9))^S13_PSP_Species_Support!CX67)^2*(S13_PSP_Species_Support!CY67*(1-EXP(-S13_PSP_Species_Support!CZ67*9))^S13_PSP_Species_Support!DA67))^0.976,0))/1000/$G80*R$108,0)</x:f>
        <x:v>146.7091843281622</x:v>
      </x:c>
      <x:c r="S80" s="147" t="n">
        <x:f aca="0">IFERROR((IFERROR(S13_PSP_Species_Support!U67*0.0673*(S13_PSP_Species_Support!V67*(S13_PSP_Species_Support!W67*(1-EXP(-S13_PSP_Species_Support!X67*10))^S13_PSP_Species_Support!Y67)^2*(S13_PSP_Species_Support!Z67*(1-EXP(-S13_PSP_Species_Support!AA67*10))^S13_PSP_Species_Support!AB67))^0.976,0)+IFERROR(S13_PSP_Species_Support!AF67*0.0673*(S13_PSP_Species_Support!AG67*(S13_PSP_Species_Support!AH67*(1-EXP(-S13_PSP_Species_Support!AI67*10))^S13_PSP_Species_Support!AJ67)^2*(S13_PSP_Species_Support!AK67*(1-EXP(-S13_PSP_Species_Support!AL67*10))^S13_PSP_Species_Support!AM67))^0.976,0)+IFERROR(S13_PSP_Species_Support!AQ67*0.0673*(S13_PSP_Species_Support!AR67*(S13_PSP_Species_Support!AS67*(1-EXP(-S13_PSP_Species_Support!AT67*10))^S13_PSP_Species_Support!AU67)^2*(S13_PSP_Species_Support!AV67*(1-EXP(-S13_PSP_Species_Support!AW67*10))^S13_PSP_Species_Support!AX67))^0.976,0)+IFERROR(S13_PSP_Species_Support!BB67*0.0673*(S13_PSP_Species_Support!BC67*(S13_PSP_Species_Support!BD67*(1-EXP(-S13_PSP_Species_Support!BE67*10))^S13_PSP_Species_Support!BF67)^2*(S13_PSP_Species_Support!BG67*(1-EXP(-S13_PSP_Species_Support!BH67*10))^S13_PSP_Species_Support!BI67))^0.976,0)+IFERROR(S13_PSP_Species_Support!BM67*0.0673*(S13_PSP_Species_Support!BN67*(S13_PSP_Species_Support!BO67*(1-EXP(-S13_PSP_Species_Support!BP67*10))^S13_PSP_Species_Support!BQ67)^2*(S13_PSP_Species_Support!BR67*(1-EXP(-S13_PSP_Species_Support!BS67*10))^S13_PSP_Species_Support!BT67))^0.976,0)+IFERROR(S13_PSP_Species_Support!BX67*0.0673*(S13_PSP_Species_Support!BY67*(S13_PSP_Species_Support!BZ67*(1-EXP(-S13_PSP_Species_Support!CA67*10))^S13_PSP_Species_Support!CB67)^2*(S13_PSP_Species_Support!CC67*(1-EXP(-S13_PSP_Species_Support!CD67*10))^S13_PSP_Species_Support!CE67))^0.976,0)+IFERROR(S13_PSP_Species_Support!CI67*0.0673*(S13_PSP_Species_Support!CJ67*(S13_PSP_Species_Support!CK67*(1-EXP(-S13_PSP_Species_Support!CL67*10))^S13_PSP_Species_Support!CM67)^2*(S13_PSP_Species_Support!CN67*(1-EXP(-S13_PSP_Species_Support!CO67*10))^S13_PSP_Species_Support!CP67))^0.976,0)+IFERROR(S13_PSP_Species_Support!CT67*0.0673*(S13_PSP_Species_Support!CU67*(S13_PSP_Species_Support!CV67*(1-EXP(-S13_PSP_Species_Support!CW67*10))^S13_PSP_Species_Support!CX67)^2*(S13_PSP_Species_Support!CY67*(1-EXP(-S13_PSP_Species_Support!CZ67*10))^S13_PSP_Species_Support!DA67))^0.976,0))/1000/$G80*S$108,0)</x:f>
        <x:v>181.87171723671577</x:v>
      </x:c>
      <x:c r="T80" s="147" t="n">
        <x:f aca="0">IFERROR((IFERROR(S13_PSP_Species_Support!U67*0.0673*(S13_PSP_Species_Support!V67*(S13_PSP_Species_Support!W67*(1-EXP(-S13_PSP_Species_Support!X67*11))^S13_PSP_Species_Support!Y67)^2*(S13_PSP_Species_Support!Z67*(1-EXP(-S13_PSP_Species_Support!AA67*11))^S13_PSP_Species_Support!AB67))^0.976,0)+IFERROR(S13_PSP_Species_Support!AF67*0.0673*(S13_PSP_Species_Support!AG67*(S13_PSP_Species_Support!AH67*(1-EXP(-S13_PSP_Species_Support!AI67*11))^S13_PSP_Species_Support!AJ67)^2*(S13_PSP_Species_Support!AK67*(1-EXP(-S13_PSP_Species_Support!AL67*11))^S13_PSP_Species_Support!AM67))^0.976,0)+IFERROR(S13_PSP_Species_Support!AQ67*0.0673*(S13_PSP_Species_Support!AR67*(S13_PSP_Species_Support!AS67*(1-EXP(-S13_PSP_Species_Support!AT67*11))^S13_PSP_Species_Support!AU67)^2*(S13_PSP_Species_Support!AV67*(1-EXP(-S13_PSP_Species_Support!AW67*11))^S13_PSP_Species_Support!AX67))^0.976,0)+IFERROR(S13_PSP_Species_Support!BB67*0.0673*(S13_PSP_Species_Support!BC67*(S13_PSP_Species_Support!BD67*(1-EXP(-S13_PSP_Species_Support!BE67*11))^S13_PSP_Species_Support!BF67)^2*(S13_PSP_Species_Support!BG67*(1-EXP(-S13_PSP_Species_Support!BH67*11))^S13_PSP_Species_Support!BI67))^0.976,0)+IFERROR(S13_PSP_Species_Support!BM67*0.0673*(S13_PSP_Species_Support!BN67*(S13_PSP_Species_Support!BO67*(1-EXP(-S13_PSP_Species_Support!BP67*11))^S13_PSP_Species_Support!BQ67)^2*(S13_PSP_Species_Support!BR67*(1-EXP(-S13_PSP_Species_Support!BS67*11))^S13_PSP_Species_Support!BT67))^0.976,0)+IFERROR(S13_PSP_Species_Support!BX67*0.0673*(S13_PSP_Species_Support!BY67*(S13_PSP_Species_Support!BZ67*(1-EXP(-S13_PSP_Species_Support!CA67*11))^S13_PSP_Species_Support!CB67)^2*(S13_PSP_Species_Support!CC67*(1-EXP(-S13_PSP_Species_Support!CD67*11))^S13_PSP_Species_Support!CE67))^0.976,0)+IFERROR(S13_PSP_Species_Support!CI67*0.0673*(S13_PSP_Species_Support!CJ67*(S13_PSP_Species_Support!CK67*(1-EXP(-S13_PSP_Species_Support!CL67*11))^S13_PSP_Species_Support!CM67)^2*(S13_PSP_Species_Support!CN67*(1-EXP(-S13_PSP_Species_Support!CO67*11))^S13_PSP_Species_Support!CP67))^0.976,0)+IFERROR(S13_PSP_Species_Support!CT67*0.0673*(S13_PSP_Species_Support!CU67*(S13_PSP_Species_Support!CV67*(1-EXP(-S13_PSP_Species_Support!CW67*11))^S13_PSP_Species_Support!CX67)^2*(S13_PSP_Species_Support!CY67*(1-EXP(-S13_PSP_Species_Support!CZ67*11))^S13_PSP_Species_Support!DA67))^0.976,0))/1000/$G80*T$108,0)</x:f>
        <x:v>217.70099411049037</x:v>
      </x:c>
      <x:c r="U80" s="147" t="n">
        <x:f aca="0">IFERROR((IFERROR(S13_PSP_Species_Support!U67*0.0673*(S13_PSP_Species_Support!V67*(S13_PSP_Species_Support!W67*(1-EXP(-S13_PSP_Species_Support!X67*12))^S13_PSP_Species_Support!Y67)^2*(S13_PSP_Species_Support!Z67*(1-EXP(-S13_PSP_Species_Support!AA67*12))^S13_PSP_Species_Support!AB67))^0.976,0)+IFERROR(S13_PSP_Species_Support!AF67*0.0673*(S13_PSP_Species_Support!AG67*(S13_PSP_Species_Support!AH67*(1-EXP(-S13_PSP_Species_Support!AI67*12))^S13_PSP_Species_Support!AJ67)^2*(S13_PSP_Species_Support!AK67*(1-EXP(-S13_PSP_Species_Support!AL67*12))^S13_PSP_Species_Support!AM67))^0.976,0)+IFERROR(S13_PSP_Species_Support!AQ67*0.0673*(S13_PSP_Species_Support!AR67*(S13_PSP_Species_Support!AS67*(1-EXP(-S13_PSP_Species_Support!AT67*12))^S13_PSP_Species_Support!AU67)^2*(S13_PSP_Species_Support!AV67*(1-EXP(-S13_PSP_Species_Support!AW67*12))^S13_PSP_Species_Support!AX67))^0.976,0)+IFERROR(S13_PSP_Species_Support!BB67*0.0673*(S13_PSP_Species_Support!BC67*(S13_PSP_Species_Support!BD67*(1-EXP(-S13_PSP_Species_Support!BE67*12))^S13_PSP_Species_Support!BF67)^2*(S13_PSP_Species_Support!BG67*(1-EXP(-S13_PSP_Species_Support!BH67*12))^S13_PSP_Species_Support!BI67))^0.976,0)+IFERROR(S13_PSP_Species_Support!BM67*0.0673*(S13_PSP_Species_Support!BN67*(S13_PSP_Species_Support!BO67*(1-EXP(-S13_PSP_Species_Support!BP67*12))^S13_PSP_Species_Support!BQ67)^2*(S13_PSP_Species_Support!BR67*(1-EXP(-S13_PSP_Species_Support!BS67*12))^S13_PSP_Species_Support!BT67))^0.976,0)+IFERROR(S13_PSP_Species_Support!BX67*0.0673*(S13_PSP_Species_Support!BY67*(S13_PSP_Species_Support!BZ67*(1-EXP(-S13_PSP_Species_Support!CA67*12))^S13_PSP_Species_Support!CB67)^2*(S13_PSP_Species_Support!CC67*(1-EXP(-S13_PSP_Species_Support!CD67*12))^S13_PSP_Species_Support!CE67))^0.976,0)+IFERROR(S13_PSP_Species_Support!CI67*0.0673*(S13_PSP_Species_Support!CJ67*(S13_PSP_Species_Support!CK67*(1-EXP(-S13_PSP_Species_Support!CL67*12))^S13_PSP_Species_Support!CM67)^2*(S13_PSP_Species_Support!CN67*(1-EXP(-S13_PSP_Species_Support!CO67*12))^S13_PSP_Species_Support!CP67))^0.976,0)+IFERROR(S13_PSP_Species_Support!CT67*0.0673*(S13_PSP_Species_Support!CU67*(S13_PSP_Species_Support!CV67*(1-EXP(-S13_PSP_Species_Support!CW67*12))^S13_PSP_Species_Support!CX67)^2*(S13_PSP_Species_Support!CY67*(1-EXP(-S13_PSP_Species_Support!CZ67*12))^S13_PSP_Species_Support!DA67))^0.976,0))/1000/$G80*U$108,0)</x:f>
        <x:v>253.36569563359646</x:v>
      </x:c>
      <x:c r="V80" s="147" t="n">
        <x:f aca="0">IFERROR((IFERROR(S13_PSP_Species_Support!U67*0.0673*(S13_PSP_Species_Support!V67*(S13_PSP_Species_Support!W67*(1-EXP(-S13_PSP_Species_Support!X67*13))^S13_PSP_Species_Support!Y67)^2*(S13_PSP_Species_Support!Z67*(1-EXP(-S13_PSP_Species_Support!AA67*13))^S13_PSP_Species_Support!AB67))^0.976,0)+IFERROR(S13_PSP_Species_Support!AF67*0.0673*(S13_PSP_Species_Support!AG67*(S13_PSP_Species_Support!AH67*(1-EXP(-S13_PSP_Species_Support!AI67*13))^S13_PSP_Species_Support!AJ67)^2*(S13_PSP_Species_Support!AK67*(1-EXP(-S13_PSP_Species_Support!AL67*13))^S13_PSP_Species_Support!AM67))^0.976,0)+IFERROR(S13_PSP_Species_Support!AQ67*0.0673*(S13_PSP_Species_Support!AR67*(S13_PSP_Species_Support!AS67*(1-EXP(-S13_PSP_Species_Support!AT67*13))^S13_PSP_Species_Support!AU67)^2*(S13_PSP_Species_Support!AV67*(1-EXP(-S13_PSP_Species_Support!AW67*13))^S13_PSP_Species_Support!AX67))^0.976,0)+IFERROR(S13_PSP_Species_Support!BB67*0.0673*(S13_PSP_Species_Support!BC67*(S13_PSP_Species_Support!BD67*(1-EXP(-S13_PSP_Species_Support!BE67*13))^S13_PSP_Species_Support!BF67)^2*(S13_PSP_Species_Support!BG67*(1-EXP(-S13_PSP_Species_Support!BH67*13))^S13_PSP_Species_Support!BI67))^0.976,0)+IFERROR(S13_PSP_Species_Support!BM67*0.0673*(S13_PSP_Species_Support!BN67*(S13_PSP_Species_Support!BO67*(1-EXP(-S13_PSP_Species_Support!BP67*13))^S13_PSP_Species_Support!BQ67)^2*(S13_PSP_Species_Support!BR67*(1-EXP(-S13_PSP_Species_Support!BS67*13))^S13_PSP_Species_Support!BT67))^0.976,0)+IFERROR(S13_PSP_Species_Support!BX67*0.0673*(S13_PSP_Species_Support!BY67*(S13_PSP_Species_Support!BZ67*(1-EXP(-S13_PSP_Species_Support!CA67*13))^S13_PSP_Species_Support!CB67)^2*(S13_PSP_Species_Support!CC67*(1-EXP(-S13_PSP_Species_Support!CD67*13))^S13_PSP_Species_Support!CE67))^0.976,0)+IFERROR(S13_PSP_Species_Support!CI67*0.0673*(S13_PSP_Species_Support!CJ67*(S13_PSP_Species_Support!CK67*(1-EXP(-S13_PSP_Species_Support!CL67*13))^S13_PSP_Species_Support!CM67)^2*(S13_PSP_Species_Support!CN67*(1-EXP(-S13_PSP_Species_Support!CO67*13))^S13_PSP_Species_Support!CP67))^0.976,0)+IFERROR(S13_PSP_Species_Support!CT67*0.0673*(S13_PSP_Species_Support!CU67*(S13_PSP_Species_Support!CV67*(1-EXP(-S13_PSP_Species_Support!CW67*13))^S13_PSP_Species_Support!CX67)^2*(S13_PSP_Species_Support!CY67*(1-EXP(-S13_PSP_Species_Support!CZ67*13))^S13_PSP_Species_Support!DA67))^0.976,0))/1000/$G80*V$108,0)</x:f>
        <x:v>288.2022503977046</x:v>
      </x:c>
      <x:c r="W80" s="147" t="n">
        <x:f aca="0">IFERROR((IFERROR(S13_PSP_Species_Support!U67*0.0673*(S13_PSP_Species_Support!V67*(S13_PSP_Species_Support!W67*(1-EXP(-S13_PSP_Species_Support!X67*14))^S13_PSP_Species_Support!Y67)^2*(S13_PSP_Species_Support!Z67*(1-EXP(-S13_PSP_Species_Support!AA67*14))^S13_PSP_Species_Support!AB67))^0.976,0)+IFERROR(S13_PSP_Species_Support!AF67*0.0673*(S13_PSP_Species_Support!AG67*(S13_PSP_Species_Support!AH67*(1-EXP(-S13_PSP_Species_Support!AI67*14))^S13_PSP_Species_Support!AJ67)^2*(S13_PSP_Species_Support!AK67*(1-EXP(-S13_PSP_Species_Support!AL67*14))^S13_PSP_Species_Support!AM67))^0.976,0)+IFERROR(S13_PSP_Species_Support!AQ67*0.0673*(S13_PSP_Species_Support!AR67*(S13_PSP_Species_Support!AS67*(1-EXP(-S13_PSP_Species_Support!AT67*14))^S13_PSP_Species_Support!AU67)^2*(S13_PSP_Species_Support!AV67*(1-EXP(-S13_PSP_Species_Support!AW67*14))^S13_PSP_Species_Support!AX67))^0.976,0)+IFERROR(S13_PSP_Species_Support!BB67*0.0673*(S13_PSP_Species_Support!BC67*(S13_PSP_Species_Support!BD67*(1-EXP(-S13_PSP_Species_Support!BE67*14))^S13_PSP_Species_Support!BF67)^2*(S13_PSP_Species_Support!BG67*(1-EXP(-S13_PSP_Species_Support!BH67*14))^S13_PSP_Species_Support!BI67))^0.976,0)+IFERROR(S13_PSP_Species_Support!BM67*0.0673*(S13_PSP_Species_Support!BN67*(S13_PSP_Species_Support!BO67*(1-EXP(-S13_PSP_Species_Support!BP67*14))^S13_PSP_Species_Support!BQ67)^2*(S13_PSP_Species_Support!BR67*(1-EXP(-S13_PSP_Species_Support!BS67*14))^S13_PSP_Species_Support!BT67))^0.976,0)+IFERROR(S13_PSP_Species_Support!BX67*0.0673*(S13_PSP_Species_Support!BY67*(S13_PSP_Species_Support!BZ67*(1-EXP(-S13_PSP_Species_Support!CA67*14))^S13_PSP_Species_Support!CB67)^2*(S13_PSP_Species_Support!CC67*(1-EXP(-S13_PSP_Species_Support!CD67*14))^S13_PSP_Species_Support!CE67))^0.976,0)+IFERROR(S13_PSP_Species_Support!CI67*0.0673*(S13_PSP_Species_Support!CJ67*(S13_PSP_Species_Support!CK67*(1-EXP(-S13_PSP_Species_Support!CL67*14))^S13_PSP_Species_Support!CM67)^2*(S13_PSP_Species_Support!CN67*(1-EXP(-S13_PSP_Species_Support!CO67*14))^S13_PSP_Species_Support!CP67))^0.976,0)+IFERROR(S13_PSP_Species_Support!CT67*0.0673*(S13_PSP_Species_Support!CU67*(S13_PSP_Species_Support!CV67*(1-EXP(-S13_PSP_Species_Support!CW67*14))^S13_PSP_Species_Support!CX67)^2*(S13_PSP_Species_Support!CY67*(1-EXP(-S13_PSP_Species_Support!CZ67*14))^S13_PSP_Species_Support!DA67))^0.976,0))/1000/$G80*W$108,0)</x:f>
        <x:v>321.70822122221693</x:v>
      </x:c>
      <x:c r="X80" s="147" t="n">
        <x:f aca="0">IFERROR((IFERROR(S13_PSP_Species_Support!U67*0.0673*(S13_PSP_Species_Support!V67*(S13_PSP_Species_Support!W67*(1-EXP(-S13_PSP_Species_Support!X67*15))^S13_PSP_Species_Support!Y67)^2*(S13_PSP_Species_Support!Z67*(1-EXP(-S13_PSP_Species_Support!AA67*15))^S13_PSP_Species_Support!AB67))^0.976,0)+IFERROR(S13_PSP_Species_Support!AF67*0.0673*(S13_PSP_Species_Support!AG67*(S13_PSP_Species_Support!AH67*(1-EXP(-S13_PSP_Species_Support!AI67*15))^S13_PSP_Species_Support!AJ67)^2*(S13_PSP_Species_Support!AK67*(1-EXP(-S13_PSP_Species_Support!AL67*15))^S13_PSP_Species_Support!AM67))^0.976,0)+IFERROR(S13_PSP_Species_Support!AQ67*0.0673*(S13_PSP_Species_Support!AR67*(S13_PSP_Species_Support!AS67*(1-EXP(-S13_PSP_Species_Support!AT67*15))^S13_PSP_Species_Support!AU67)^2*(S13_PSP_Species_Support!AV67*(1-EXP(-S13_PSP_Species_Support!AW67*15))^S13_PSP_Species_Support!AX67))^0.976,0)+IFERROR(S13_PSP_Species_Support!BB67*0.0673*(S13_PSP_Species_Support!BC67*(S13_PSP_Species_Support!BD67*(1-EXP(-S13_PSP_Species_Support!BE67*15))^S13_PSP_Species_Support!BF67)^2*(S13_PSP_Species_Support!BG67*(1-EXP(-S13_PSP_Species_Support!BH67*15))^S13_PSP_Species_Support!BI67))^0.976,0)+IFERROR(S13_PSP_Species_Support!BM67*0.0673*(S13_PSP_Species_Support!BN67*(S13_PSP_Species_Support!BO67*(1-EXP(-S13_PSP_Species_Support!BP67*15))^S13_PSP_Species_Support!BQ67)^2*(S13_PSP_Species_Support!BR67*(1-EXP(-S13_PSP_Species_Support!BS67*15))^S13_PSP_Species_Support!BT67))^0.976,0)+IFERROR(S13_PSP_Species_Support!BX67*0.0673*(S13_PSP_Species_Support!BY67*(S13_PSP_Species_Support!BZ67*(1-EXP(-S13_PSP_Species_Support!CA67*15))^S13_PSP_Species_Support!CB67)^2*(S13_PSP_Species_Support!CC67*(1-EXP(-S13_PSP_Species_Support!CD67*15))^S13_PSP_Species_Support!CE67))^0.976,0)+IFERROR(S13_PSP_Species_Support!CI67*0.0673*(S13_PSP_Species_Support!CJ67*(S13_PSP_Species_Support!CK67*(1-EXP(-S13_PSP_Species_Support!CL67*15))^S13_PSP_Species_Support!CM67)^2*(S13_PSP_Species_Support!CN67*(1-EXP(-S13_PSP_Species_Support!CO67*15))^S13_PSP_Species_Support!CP67))^0.976,0)+IFERROR(S13_PSP_Species_Support!CT67*0.0673*(S13_PSP_Species_Support!CU67*(S13_PSP_Species_Support!CV67*(1-EXP(-S13_PSP_Species_Support!CW67*15))^S13_PSP_Species_Support!CX67)^2*(S13_PSP_Species_Support!CY67*(1-EXP(-S13_PSP_Species_Support!CZ67*15))^S13_PSP_Species_Support!DA67))^0.976,0))/1000/$G80*X$108,0)</x:f>
        <x:v>353.52569194538995</x:v>
      </x:c>
      <x:c r="Y80" s="147" t="n">
        <x:f aca="0">IFERROR((IFERROR(S13_PSP_Species_Support!U67*0.0673*(S13_PSP_Species_Support!V67*(S13_PSP_Species_Support!W67*(1-EXP(-S13_PSP_Species_Support!X67*16))^S13_PSP_Species_Support!Y67)^2*(S13_PSP_Species_Support!Z67*(1-EXP(-S13_PSP_Species_Support!AA67*16))^S13_PSP_Species_Support!AB67))^0.976,0)+IFERROR(S13_PSP_Species_Support!AF67*0.0673*(S13_PSP_Species_Support!AG67*(S13_PSP_Species_Support!AH67*(1-EXP(-S13_PSP_Species_Support!AI67*16))^S13_PSP_Species_Support!AJ67)^2*(S13_PSP_Species_Support!AK67*(1-EXP(-S13_PSP_Species_Support!AL67*16))^S13_PSP_Species_Support!AM67))^0.976,0)+IFERROR(S13_PSP_Species_Support!AQ67*0.0673*(S13_PSP_Species_Support!AR67*(S13_PSP_Species_Support!AS67*(1-EXP(-S13_PSP_Species_Support!AT67*16))^S13_PSP_Species_Support!AU67)^2*(S13_PSP_Species_Support!AV67*(1-EXP(-S13_PSP_Species_Support!AW67*16))^S13_PSP_Species_Support!AX67))^0.976,0)+IFERROR(S13_PSP_Species_Support!BB67*0.0673*(S13_PSP_Species_Support!BC67*(S13_PSP_Species_Support!BD67*(1-EXP(-S13_PSP_Species_Support!BE67*16))^S13_PSP_Species_Support!BF67)^2*(S13_PSP_Species_Support!BG67*(1-EXP(-S13_PSP_Species_Support!BH67*16))^S13_PSP_Species_Support!BI67))^0.976,0)+IFERROR(S13_PSP_Species_Support!BM67*0.0673*(S13_PSP_Species_Support!BN67*(S13_PSP_Species_Support!BO67*(1-EXP(-S13_PSP_Species_Support!BP67*16))^S13_PSP_Species_Support!BQ67)^2*(S13_PSP_Species_Support!BR67*(1-EXP(-S13_PSP_Species_Support!BS67*16))^S13_PSP_Species_Support!BT67))^0.976,0)+IFERROR(S13_PSP_Species_Support!BX67*0.0673*(S13_PSP_Species_Support!BY67*(S13_PSP_Species_Support!BZ67*(1-EXP(-S13_PSP_Species_Support!CA67*16))^S13_PSP_Species_Support!CB67)^2*(S13_PSP_Species_Support!CC67*(1-EXP(-S13_PSP_Species_Support!CD67*16))^S13_PSP_Species_Support!CE67))^0.976,0)+IFERROR(S13_PSP_Species_Support!CI67*0.0673*(S13_PSP_Species_Support!CJ67*(S13_PSP_Species_Support!CK67*(1-EXP(-S13_PSP_Species_Support!CL67*16))^S13_PSP_Species_Support!CM67)^2*(S13_PSP_Species_Support!CN67*(1-EXP(-S13_PSP_Species_Support!CO67*16))^S13_PSP_Species_Support!CP67))^0.976,0)+IFERROR(S13_PSP_Species_Support!CT67*0.0673*(S13_PSP_Species_Support!CU67*(S13_PSP_Species_Support!CV67*(1-EXP(-S13_PSP_Species_Support!CW67*16))^S13_PSP_Species_Support!CX67)^2*(S13_PSP_Species_Support!CY67*(1-EXP(-S13_PSP_Species_Support!CZ67*16))^S13_PSP_Species_Support!DA67))^0.976,0))/1000/$G80*Y$108,0)</x:f>
        <x:v>383.420139153269</x:v>
      </x:c>
      <x:c r="Z80" s="147" t="n">
        <x:f aca="0">IFERROR((IFERROR(S13_PSP_Species_Support!U67*0.0673*(S13_PSP_Species_Support!V67*(S13_PSP_Species_Support!W67*(1-EXP(-S13_PSP_Species_Support!X67*17))^S13_PSP_Species_Support!Y67)^2*(S13_PSP_Species_Support!Z67*(1-EXP(-S13_PSP_Species_Support!AA67*17))^S13_PSP_Species_Support!AB67))^0.976,0)+IFERROR(S13_PSP_Species_Support!AF67*0.0673*(S13_PSP_Species_Support!AG67*(S13_PSP_Species_Support!AH67*(1-EXP(-S13_PSP_Species_Support!AI67*17))^S13_PSP_Species_Support!AJ67)^2*(S13_PSP_Species_Support!AK67*(1-EXP(-S13_PSP_Species_Support!AL67*17))^S13_PSP_Species_Support!AM67))^0.976,0)+IFERROR(S13_PSP_Species_Support!AQ67*0.0673*(S13_PSP_Species_Support!AR67*(S13_PSP_Species_Support!AS67*(1-EXP(-S13_PSP_Species_Support!AT67*17))^S13_PSP_Species_Support!AU67)^2*(S13_PSP_Species_Support!AV67*(1-EXP(-S13_PSP_Species_Support!AW67*17))^S13_PSP_Species_Support!AX67))^0.976,0)+IFERROR(S13_PSP_Species_Support!BB67*0.0673*(S13_PSP_Species_Support!BC67*(S13_PSP_Species_Support!BD67*(1-EXP(-S13_PSP_Species_Support!BE67*17))^S13_PSP_Species_Support!BF67)^2*(S13_PSP_Species_Support!BG67*(1-EXP(-S13_PSP_Species_Support!BH67*17))^S13_PSP_Species_Support!BI67))^0.976,0)+IFERROR(S13_PSP_Species_Support!BM67*0.0673*(S13_PSP_Species_Support!BN67*(S13_PSP_Species_Support!BO67*(1-EXP(-S13_PSP_Species_Support!BP67*17))^S13_PSP_Species_Support!BQ67)^2*(S13_PSP_Species_Support!BR67*(1-EXP(-S13_PSP_Species_Support!BS67*17))^S13_PSP_Species_Support!BT67))^0.976,0)+IFERROR(S13_PSP_Species_Support!BX67*0.0673*(S13_PSP_Species_Support!BY67*(S13_PSP_Species_Support!BZ67*(1-EXP(-S13_PSP_Species_Support!CA67*17))^S13_PSP_Species_Support!CB67)^2*(S13_PSP_Species_Support!CC67*(1-EXP(-S13_PSP_Species_Support!CD67*17))^S13_PSP_Species_Support!CE67))^0.976,0)+IFERROR(S13_PSP_Species_Support!CI67*0.0673*(S13_PSP_Species_Support!CJ67*(S13_PSP_Species_Support!CK67*(1-EXP(-S13_PSP_Species_Support!CL67*17))^S13_PSP_Species_Support!CM67)^2*(S13_PSP_Species_Support!CN67*(1-EXP(-S13_PSP_Species_Support!CO67*17))^S13_PSP_Species_Support!CP67))^0.976,0)+IFERROR(S13_PSP_Species_Support!CT67*0.0673*(S13_PSP_Species_Support!CU67*(S13_PSP_Species_Support!CV67*(1-EXP(-S13_PSP_Species_Support!CW67*17))^S13_PSP_Species_Support!CX67)^2*(S13_PSP_Species_Support!CY67*(1-EXP(-S13_PSP_Species_Support!CZ67*17))^S13_PSP_Species_Support!DA67))^0.976,0))/1000/$G80*Z$108,0)</x:f>
        <x:v>411.2583197647324</x:v>
      </x:c>
      <x:c r="AA80" s="147" t="n">
        <x:f aca="0">IFERROR((IFERROR(S13_PSP_Species_Support!U67*0.0673*(S13_PSP_Species_Support!V67*(S13_PSP_Species_Support!W67*(1-EXP(-S13_PSP_Species_Support!X67*18))^S13_PSP_Species_Support!Y67)^2*(S13_PSP_Species_Support!Z67*(1-EXP(-S13_PSP_Species_Support!AA67*18))^S13_PSP_Species_Support!AB67))^0.976,0)+IFERROR(S13_PSP_Species_Support!AF67*0.0673*(S13_PSP_Species_Support!AG67*(S13_PSP_Species_Support!AH67*(1-EXP(-S13_PSP_Species_Support!AI67*18))^S13_PSP_Species_Support!AJ67)^2*(S13_PSP_Species_Support!AK67*(1-EXP(-S13_PSP_Species_Support!AL67*18))^S13_PSP_Species_Support!AM67))^0.976,0)+IFERROR(S13_PSP_Species_Support!AQ67*0.0673*(S13_PSP_Species_Support!AR67*(S13_PSP_Species_Support!AS67*(1-EXP(-S13_PSP_Species_Support!AT67*18))^S13_PSP_Species_Support!AU67)^2*(S13_PSP_Species_Support!AV67*(1-EXP(-S13_PSP_Species_Support!AW67*18))^S13_PSP_Species_Support!AX67))^0.976,0)+IFERROR(S13_PSP_Species_Support!BB67*0.0673*(S13_PSP_Species_Support!BC67*(S13_PSP_Species_Support!BD67*(1-EXP(-S13_PSP_Species_Support!BE67*18))^S13_PSP_Species_Support!BF67)^2*(S13_PSP_Species_Support!BG67*(1-EXP(-S13_PSP_Species_Support!BH67*18))^S13_PSP_Species_Support!BI67))^0.976,0)+IFERROR(S13_PSP_Species_Support!BM67*0.0673*(S13_PSP_Species_Support!BN67*(S13_PSP_Species_Support!BO67*(1-EXP(-S13_PSP_Species_Support!BP67*18))^S13_PSP_Species_Support!BQ67)^2*(S13_PSP_Species_Support!BR67*(1-EXP(-S13_PSP_Species_Support!BS67*18))^S13_PSP_Species_Support!BT67))^0.976,0)+IFERROR(S13_PSP_Species_Support!BX67*0.0673*(S13_PSP_Species_Support!BY67*(S13_PSP_Species_Support!BZ67*(1-EXP(-S13_PSP_Species_Support!CA67*18))^S13_PSP_Species_Support!CB67)^2*(S13_PSP_Species_Support!CC67*(1-EXP(-S13_PSP_Species_Support!CD67*18))^S13_PSP_Species_Support!CE67))^0.976,0)+IFERROR(S13_PSP_Species_Support!CI67*0.0673*(S13_PSP_Species_Support!CJ67*(S13_PSP_Species_Support!CK67*(1-EXP(-S13_PSP_Species_Support!CL67*18))^S13_PSP_Species_Support!CM67)^2*(S13_PSP_Species_Support!CN67*(1-EXP(-S13_PSP_Species_Support!CO67*18))^S13_PSP_Species_Support!CP67))^0.976,0)+IFERROR(S13_PSP_Species_Support!CT67*0.0673*(S13_PSP_Species_Support!CU67*(S13_PSP_Species_Support!CV67*(1-EXP(-S13_PSP_Species_Support!CW67*18))^S13_PSP_Species_Support!CX67)^2*(S13_PSP_Species_Support!CY67*(1-EXP(-S13_PSP_Species_Support!CZ67*18))^S13_PSP_Species_Support!DA67))^0.976,0))/1000/$G80*AA$108,0)</x:f>
        <x:v>436.9872747197918</x:v>
      </x:c>
      <x:c r="AB80" s="147" t="n">
        <x:f aca="0">IFERROR((IFERROR(S13_PSP_Species_Support!U67*0.0673*(S13_PSP_Species_Support!V67*(S13_PSP_Species_Support!W67*(1-EXP(-S13_PSP_Species_Support!X67*19))^S13_PSP_Species_Support!Y67)^2*(S13_PSP_Species_Support!Z67*(1-EXP(-S13_PSP_Species_Support!AA67*19))^S13_PSP_Species_Support!AB67))^0.976,0)+IFERROR(S13_PSP_Species_Support!AF67*0.0673*(S13_PSP_Species_Support!AG67*(S13_PSP_Species_Support!AH67*(1-EXP(-S13_PSP_Species_Support!AI67*19))^S13_PSP_Species_Support!AJ67)^2*(S13_PSP_Species_Support!AK67*(1-EXP(-S13_PSP_Species_Support!AL67*19))^S13_PSP_Species_Support!AM67))^0.976,0)+IFERROR(S13_PSP_Species_Support!AQ67*0.0673*(S13_PSP_Species_Support!AR67*(S13_PSP_Species_Support!AS67*(1-EXP(-S13_PSP_Species_Support!AT67*19))^S13_PSP_Species_Support!AU67)^2*(S13_PSP_Species_Support!AV67*(1-EXP(-S13_PSP_Species_Support!AW67*19))^S13_PSP_Species_Support!AX67))^0.976,0)+IFERROR(S13_PSP_Species_Support!BB67*0.0673*(S13_PSP_Species_Support!BC67*(S13_PSP_Species_Support!BD67*(1-EXP(-S13_PSP_Species_Support!BE67*19))^S13_PSP_Species_Support!BF67)^2*(S13_PSP_Species_Support!BG67*(1-EXP(-S13_PSP_Species_Support!BH67*19))^S13_PSP_Species_Support!BI67))^0.976,0)+IFERROR(S13_PSP_Species_Support!BM67*0.0673*(S13_PSP_Species_Support!BN67*(S13_PSP_Species_Support!BO67*(1-EXP(-S13_PSP_Species_Support!BP67*19))^S13_PSP_Species_Support!BQ67)^2*(S13_PSP_Species_Support!BR67*(1-EXP(-S13_PSP_Species_Support!BS67*19))^S13_PSP_Species_Support!BT67))^0.976,0)+IFERROR(S13_PSP_Species_Support!BX67*0.0673*(S13_PSP_Species_Support!BY67*(S13_PSP_Species_Support!BZ67*(1-EXP(-S13_PSP_Species_Support!CA67*19))^S13_PSP_Species_Support!CB67)^2*(S13_PSP_Species_Support!CC67*(1-EXP(-S13_PSP_Species_Support!CD67*19))^S13_PSP_Species_Support!CE67))^0.976,0)+IFERROR(S13_PSP_Species_Support!CI67*0.0673*(S13_PSP_Species_Support!CJ67*(S13_PSP_Species_Support!CK67*(1-EXP(-S13_PSP_Species_Support!CL67*19))^S13_PSP_Species_Support!CM67)^2*(S13_PSP_Species_Support!CN67*(1-EXP(-S13_PSP_Species_Support!CO67*19))^S13_PSP_Species_Support!CP67))^0.976,0)+IFERROR(S13_PSP_Species_Support!CT67*0.0673*(S13_PSP_Species_Support!CU67*(S13_PSP_Species_Support!CV67*(1-EXP(-S13_PSP_Species_Support!CW67*19))^S13_PSP_Species_Support!CX67)^2*(S13_PSP_Species_Support!CY67*(1-EXP(-S13_PSP_Species_Support!CZ67*19))^S13_PSP_Species_Support!DA67))^0.976,0))/1000/$G80*AB$108,0)</x:f>
        <x:v>460.615559481196</x:v>
      </x:c>
      <x:c r="AC80" s="147" t="n">
        <x:f aca="0">IFERROR((IFERROR(S13_PSP_Species_Support!U67*0.0673*(S13_PSP_Species_Support!V67*(S13_PSP_Species_Support!W67*(1-EXP(-S13_PSP_Species_Support!X67*20))^S13_PSP_Species_Support!Y67)^2*(S13_PSP_Species_Support!Z67*(1-EXP(-S13_PSP_Species_Support!AA67*20))^S13_PSP_Species_Support!AB67))^0.976,0)+IFERROR(S13_PSP_Species_Support!AF67*0.0673*(S13_PSP_Species_Support!AG67*(S13_PSP_Species_Support!AH67*(1-EXP(-S13_PSP_Species_Support!AI67*20))^S13_PSP_Species_Support!AJ67)^2*(S13_PSP_Species_Support!AK67*(1-EXP(-S13_PSP_Species_Support!AL67*20))^S13_PSP_Species_Support!AM67))^0.976,0)+IFERROR(S13_PSP_Species_Support!AQ67*0.0673*(S13_PSP_Species_Support!AR67*(S13_PSP_Species_Support!AS67*(1-EXP(-S13_PSP_Species_Support!AT67*20))^S13_PSP_Species_Support!AU67)^2*(S13_PSP_Species_Support!AV67*(1-EXP(-S13_PSP_Species_Support!AW67*20))^S13_PSP_Species_Support!AX67))^0.976,0)+IFERROR(S13_PSP_Species_Support!BB67*0.0673*(S13_PSP_Species_Support!BC67*(S13_PSP_Species_Support!BD67*(1-EXP(-S13_PSP_Species_Support!BE67*20))^S13_PSP_Species_Support!BF67)^2*(S13_PSP_Species_Support!BG67*(1-EXP(-S13_PSP_Species_Support!BH67*20))^S13_PSP_Species_Support!BI67))^0.976,0)+IFERROR(S13_PSP_Species_Support!BM67*0.0673*(S13_PSP_Species_Support!BN67*(S13_PSP_Species_Support!BO67*(1-EXP(-S13_PSP_Species_Support!BP67*20))^S13_PSP_Species_Support!BQ67)^2*(S13_PSP_Species_Support!BR67*(1-EXP(-S13_PSP_Species_Support!BS67*20))^S13_PSP_Species_Support!BT67))^0.976,0)+IFERROR(S13_PSP_Species_Support!BX67*0.0673*(S13_PSP_Species_Support!BY67*(S13_PSP_Species_Support!BZ67*(1-EXP(-S13_PSP_Species_Support!CA67*20))^S13_PSP_Species_Support!CB67)^2*(S13_PSP_Species_Support!CC67*(1-EXP(-S13_PSP_Species_Support!CD67*20))^S13_PSP_Species_Support!CE67))^0.976,0)+IFERROR(S13_PSP_Species_Support!CI67*0.0673*(S13_PSP_Species_Support!CJ67*(S13_PSP_Species_Support!CK67*(1-EXP(-S13_PSP_Species_Support!CL67*20))^S13_PSP_Species_Support!CM67)^2*(S13_PSP_Species_Support!CN67*(1-EXP(-S13_PSP_Species_Support!CO67*20))^S13_PSP_Species_Support!CP67))^0.976,0)+IFERROR(S13_PSP_Species_Support!CT67*0.0673*(S13_PSP_Species_Support!CU67*(S13_PSP_Species_Support!CV67*(1-EXP(-S13_PSP_Species_Support!CW67*20))^S13_PSP_Species_Support!CX67)^2*(S13_PSP_Species_Support!CY67*(1-EXP(-S13_PSP_Species_Support!CZ67*20))^S13_PSP_Species_Support!DA67))^0.976,0))/1000/$G80*AC$108,0)</x:f>
        <x:v>482.1971628901848</x:v>
      </x:c>
      <x:c r="AD80" s="148" t="n">
        <x:f aca="0">IF(2020&lt;$F80,0,INDEX($I80:$AC80,1,2020-$F80+1))</x:f>
        <x:v>0</x:v>
      </x:c>
      <x:c r="AE80" s="148" t="n">
        <x:f aca="0">IF(2021&lt;$F80,0,INDEX($I80:$AC80,1,2021-$F80+1))</x:f>
        <x:v>0</x:v>
      </x:c>
      <x:c r="AF80" s="148" t="n">
        <x:f aca="0">IF(2022&lt;$F80,0,INDEX($I80:$AC80,1,2022-$F80+1))</x:f>
        <x:v>0</x:v>
      </x:c>
      <x:c r="AG80" s="148" t="n">
        <x:f aca="0">IF(2023&lt;$F80,0,INDEX($I80:$AC80,1,2023-$F80+1))</x:f>
        <x:v>0</x:v>
      </x:c>
      <x:c r="AH80" s="148" t="n">
        <x:f aca="0">IF(2024&lt;$F80,0,INDEX($I80:$AC80,1,2024-$F80+1))</x:f>
        <x:v>0.14597361081849772</x:v>
      </x:c>
      <x:c r="AI80" s="148" t="n">
        <x:f aca="0">IF(2025&lt;$F80,0,INDEX($I80:$AC80,1,2025-$F80+1))</x:f>
        <x:v>1.7833950514473123</x:v>
      </x:c>
      <x:c r="AJ80" s="148" t="n">
        <x:f aca="0">IF(2026&lt;$F80,0,INDEX($I80:$AC80,1,2026-$F80+1))</x:f>
        <x:v>7.000407885650638</x:v>
      </x:c>
      <x:c r="AK80" s="148" t="n">
        <x:f aca="0">IF(2027&lt;$F80,0,INDEX($I80:$AC80,1,2027-$F80+1))</x:f>
        <x:v>17.422460568109642</x:v>
      </x:c>
      <x:c r="AL80" s="148" t="n">
        <x:f aca="0">IF(2028&lt;$F80,0,INDEX($I80:$AC80,1,2028-$F80+1))</x:f>
        <x:v>33.678935566642984</x:v>
      </x:c>
      <x:c r="AM80" s="148" t="n">
        <x:f aca="0">IF(2029&lt;$F80,0,INDEX($I80:$AC80,1,2029-$F80+1))</x:f>
        <x:v>55.599023298467245</x:v>
      </x:c>
      <x:c r="AN80" s="148" t="n">
        <x:f aca="0">IF(2030&lt;$F80,0,INDEX($I80:$AC80,1,2030-$F80+1))</x:f>
        <x:v>82.45157313938725</x:v>
      </x:c>
      <x:c r="AO80" s="148" t="n">
        <x:f aca="0">IF(2031&lt;$F80,0,INDEX($I80:$AC80,1,2031-$F80+1))</x:f>
        <x:v>113.20111543416155</x:v>
      </x:c>
      <x:c r="AP80" s="148" t="n">
        <x:f aca="0">IF(2032&lt;$F80,0,INDEX($I80:$AC80,1,2032-$F80+1))</x:f>
        <x:v>146.7091843281622</x:v>
      </x:c>
      <x:c r="AQ80" s="148" t="n">
        <x:f aca="0">IF(2033&lt;$F80,0,INDEX($I80:$AC80,1,2033-$F80+1))</x:f>
        <x:v>181.87171723671577</x:v>
      </x:c>
      <x:c r="AR80" s="148" t="n">
        <x:f aca="0">IF(2034&lt;$F80,0,INDEX($I80:$AC80,1,2034-$F80+1))</x:f>
        <x:v>217.70099411049037</x:v>
      </x:c>
      <x:c r="AS80" s="148" t="n">
        <x:f aca="0">IF(2035&lt;$F80,0,INDEX($I80:$AC80,1,2035-$F80+1))</x:f>
        <x:v>253.36569563359646</x:v>
      </x:c>
      <x:c r="AT80" s="148" t="n">
        <x:f aca="0">IF(2036&lt;$F80,0,INDEX($I80:$AC80,1,2036-$F80+1))</x:f>
        <x:v>288.2022503977046</x:v>
      </x:c>
      <x:c r="AU80" s="148" t="n">
        <x:f aca="0">IF(2037&lt;$F80,0,INDEX($I80:$AC80,1,2037-$F80+1))</x:f>
        <x:v>321.70822122221693</x:v>
      </x:c>
      <x:c r="AV80" s="148" t="n">
        <x:f aca="0">IF(2038&lt;$F80,0,INDEX($I80:$AC80,1,2038-$F80+1))</x:f>
        <x:v>353.52569194538995</x:v>
      </x:c>
      <x:c r="AW80" s="148" t="n">
        <x:f aca="0">IF(2039&lt;$F80,0,INDEX($I80:$AC80,1,2039-$F80+1))</x:f>
        <x:v>383.420139153269</x:v>
      </x:c>
      <x:c r="AX80" s="148" t="n">
        <x:f aca="0">IF(2040&lt;$F80,0,INDEX($I80:$AC80,1,2040-$F80+1))</x:f>
        <x:v>411.2583197647324</x:v>
      </x:c>
      <x:c r="AY80" s="1" t="str">
        <x:f aca="0">LEFT($C80,FIND("@",SUBSTITUTE($C80,"|","@",2))-1)</x:f>
        <x:v>Timber Plantation|Low</x:v>
      </x:c>
      <x:c r="AZ80" s="1" t="str">
        <x:f aca="0">LEFT($C80,FIND("|",$C80)-1)</x:f>
        <x:v>Timber Plantation</x:v>
      </x:c>
      <x:c r="BA80" s="149" t="n">
        <x:f aca="0">I80*I80</x:f>
        <x:v>0</x:v>
      </x:c>
      <x:c r="BB80" s="149" t="n">
        <x:f aca="0">J80*J80</x:f>
        <x:v>0.021308295055390235</x:v>
      </x:c>
      <x:c r="BC80" s="149" t="n">
        <x:f aca="0">K80*K80</x:f>
        <x:v>3.1804979095267614</x:v>
      </x:c>
      <x:c r="BD80" s="149" t="n">
        <x:f aca="0">L80*L80</x:f>
        <x:v>49.00571056547964</x:v>
      </x:c>
      <x:c r="BE80" s="149" t="n">
        <x:f aca="0">M80*M80</x:f>
        <x:v>303.54213224733536</x:v>
      </x:c>
      <x:c r="BF80" s="149" t="n">
        <x:f aca="0">N80*N80</x:f>
        <x:v>1134.2707009020899</x:v>
      </x:c>
      <x:c r="BG80" s="149" t="n">
        <x:f aca="0">O80*O80</x:f>
        <x:v>3091.2513917435035</x:v>
      </x:c>
      <x:c r="BH80" s="149" t="n">
        <x:f aca="0">P80*P80</x:f>
        <x:v>6798.261913159725</x:v>
      </x:c>
      <x:c r="BI80" s="149" t="n">
        <x:f aca="0">Q80*Q80</x:f>
        <x:v>12814.49253553837</x:v>
      </x:c>
      <x:c r="BJ80" s="149" t="n">
        <x:f aca="0">R80*R80</x:f>
        <x:v>21523.58476623467</x:v>
      </x:c>
      <x:c r="BK80" s="149" t="n">
        <x:f aca="0">S80*S80</x:f>
        <x:v>33077.321530631896</x:v>
      </x:c>
      <x:c r="BL80" s="149" t="n">
        <x:f aca="0">T80*T80</x:f>
        <x:v>47393.722836695764</x:v>
      </x:c>
      <x:c r="BM80" s="149" t="n">
        <x:f aca="0">U80*U80</x:f>
        <x:v>64194.17572389624</x:v>
      </x:c>
      <x:c r="BN80" s="149" t="n">
        <x:f aca="0">V80*V80</x:f>
        <x:v>83060.53713430121</x:v>
      </x:c>
      <x:c r="BO80" s="149" t="n">
        <x:f aca="0">W80*W80</x:f>
        <x:v>103496.17960196287</x:v>
      </x:c>
      <x:c r="BP80" s="149" t="n">
        <x:f aca="0">X80*X80</x:f>
        <x:v>124980.41486546675</x:v>
      </x:c>
      <x:c r="BQ80" s="149" t="n">
        <x:f aca="0">Y80*Y80</x:f>
        <x:v>147011.00310831217</x:v>
      </x:c>
      <x:c r="BR80" s="149" t="n">
        <x:f aca="0">Z80*Z80</x:f>
        <x:v>169133.40557571087</x:v>
      </x:c>
      <x:c r="BS80" s="149" t="n">
        <x:f aca="0">AA80*AA80</x:f>
        <x:v>190957.87826703078</x:v>
      </x:c>
      <x:c r="BT80" s="149" t="n">
        <x:f aca="0">AB80*AB80</x:f>
        <x:v>212166.6936361752</x:v>
      </x:c>
      <x:c r="BU80" s="149" t="n">
        <x:f aca="0">AC80*AC80</x:f>
        <x:v>232514.10389934343</x:v>
      </x:c>
    </x:row>
    <x:row r="81" ht="15" hidden="0" customHeight="1">
      <x:c r="A81" s="1" t="str">
        <x:f aca="0">S13_PSP_Species_Support!A68</x:f>
        <x:v>PSP-TP-027</x:v>
      </x:c>
      <x:c r="B81" s="1" t="n">
        <x:f aca="0">68</x:f>
        <x:v>68</x:v>
      </x:c>
      <x:c r="C81" s="1" t="str">
        <x:f aca="0">S13_PSP_Species_Support!I68</x:f>
        <x:v>Timber Plantation|Medium|2024</x:v>
      </x:c>
      <x:c r="D81" s="1" t="str">
        <x:f aca="0">S13_PSP_Species_Support!C68</x:f>
        <x:v>Timber Plantation</x:v>
      </x:c>
      <x:c r="E81" s="1" t="str">
        <x:f aca="0">S13_PSP_Species_Support!D68</x:f>
        <x:v>Medium</x:v>
      </x:c>
      <x:c r="F81" s="1" t="n">
        <x:f aca="0">S13_PSP_Species_Support!E68</x:f>
        <x:v>2024</x:v>
      </x:c>
      <x:c r="G81" s="645" t="n">
        <x:f aca="0">'S13_PSP_Species_Support'!DJ68</x:f>
        <x:v>0.09</x:v>
      </x:c>
      <x:c r="H81" s="714" t="n">
        <x:f aca="0">'S13_PSP_Species_Support'!DK68</x:f>
        <x:v>84.16458852867831</x:v>
      </x:c>
      <x:c r="I81" s="147" t="n">
        <x:f aca="0">IFERROR((IFERROR(S13_PSP_Species_Support!U68*0.0673*(S13_PSP_Species_Support!V68*(S13_PSP_Species_Support!W68*(1-EXP(-S13_PSP_Species_Support!X68*0))^S13_PSP_Species_Support!Y68)^2*(S13_PSP_Species_Support!Z68*(1-EXP(-S13_PSP_Species_Support!AA68*0))^S13_PSP_Species_Support!AB68))^0.976,0)+IFERROR(S13_PSP_Species_Support!AF68*0.0673*(S13_PSP_Species_Support!AG68*(S13_PSP_Species_Support!AH68*(1-EXP(-S13_PSP_Species_Support!AI68*0))^S13_PSP_Species_Support!AJ68)^2*(S13_PSP_Species_Support!AK68*(1-EXP(-S13_PSP_Species_Support!AL68*0))^S13_PSP_Species_Support!AM68))^0.976,0)+IFERROR(S13_PSP_Species_Support!AQ68*0.0673*(S13_PSP_Species_Support!AR68*(S13_PSP_Species_Support!AS68*(1-EXP(-S13_PSP_Species_Support!AT68*0))^S13_PSP_Species_Support!AU68)^2*(S13_PSP_Species_Support!AV68*(1-EXP(-S13_PSP_Species_Support!AW68*0))^S13_PSP_Species_Support!AX68))^0.976,0)+IFERROR(S13_PSP_Species_Support!BB68*0.0673*(S13_PSP_Species_Support!BC68*(S13_PSP_Species_Support!BD68*(1-EXP(-S13_PSP_Species_Support!BE68*0))^S13_PSP_Species_Support!BF68)^2*(S13_PSP_Species_Support!BG68*(1-EXP(-S13_PSP_Species_Support!BH68*0))^S13_PSP_Species_Support!BI68))^0.976,0)+IFERROR(S13_PSP_Species_Support!BM68*0.0673*(S13_PSP_Species_Support!BN68*(S13_PSP_Species_Support!BO68*(1-EXP(-S13_PSP_Species_Support!BP68*0))^S13_PSP_Species_Support!BQ68)^2*(S13_PSP_Species_Support!BR68*(1-EXP(-S13_PSP_Species_Support!BS68*0))^S13_PSP_Species_Support!BT68))^0.976,0)+IFERROR(S13_PSP_Species_Support!BX68*0.0673*(S13_PSP_Species_Support!BY68*(S13_PSP_Species_Support!BZ68*(1-EXP(-S13_PSP_Species_Support!CA68*0))^S13_PSP_Species_Support!CB68)^2*(S13_PSP_Species_Support!CC68*(1-EXP(-S13_PSP_Species_Support!CD68*0))^S13_PSP_Species_Support!CE68))^0.976,0)+IFERROR(S13_PSP_Species_Support!CI68*0.0673*(S13_PSP_Species_Support!CJ68*(S13_PSP_Species_Support!CK68*(1-EXP(-S13_PSP_Species_Support!CL68*0))^S13_PSP_Species_Support!CM68)^2*(S13_PSP_Species_Support!CN68*(1-EXP(-S13_PSP_Species_Support!CO68*0))^S13_PSP_Species_Support!CP68))^0.976,0)+IFERROR(S13_PSP_Species_Support!CT68*0.0673*(S13_PSP_Species_Support!CU68*(S13_PSP_Species_Support!CV68*(1-EXP(-S13_PSP_Species_Support!CW68*0))^S13_PSP_Species_Support!CX68)^2*(S13_PSP_Species_Support!CY68*(1-EXP(-S13_PSP_Species_Support!CZ68*0))^S13_PSP_Species_Support!DA68))^0.976,0))/1000/$G81*I$108,0)</x:f>
        <x:v>0</x:v>
      </x:c>
      <x:c r="J81" s="147" t="n">
        <x:f aca="0">IFERROR((IFERROR(S13_PSP_Species_Support!U68*0.0673*(S13_PSP_Species_Support!V68*(S13_PSP_Species_Support!W68*(1-EXP(-S13_PSP_Species_Support!X68*1))^S13_PSP_Species_Support!Y68)^2*(S13_PSP_Species_Support!Z68*(1-EXP(-S13_PSP_Species_Support!AA68*1))^S13_PSP_Species_Support!AB68))^0.976,0)+IFERROR(S13_PSP_Species_Support!AF68*0.0673*(S13_PSP_Species_Support!AG68*(S13_PSP_Species_Support!AH68*(1-EXP(-S13_PSP_Species_Support!AI68*1))^S13_PSP_Species_Support!AJ68)^2*(S13_PSP_Species_Support!AK68*(1-EXP(-S13_PSP_Species_Support!AL68*1))^S13_PSP_Species_Support!AM68))^0.976,0)+IFERROR(S13_PSP_Species_Support!AQ68*0.0673*(S13_PSP_Species_Support!AR68*(S13_PSP_Species_Support!AS68*(1-EXP(-S13_PSP_Species_Support!AT68*1))^S13_PSP_Species_Support!AU68)^2*(S13_PSP_Species_Support!AV68*(1-EXP(-S13_PSP_Species_Support!AW68*1))^S13_PSP_Species_Support!AX68))^0.976,0)+IFERROR(S13_PSP_Species_Support!BB68*0.0673*(S13_PSP_Species_Support!BC68*(S13_PSP_Species_Support!BD68*(1-EXP(-S13_PSP_Species_Support!BE68*1))^S13_PSP_Species_Support!BF68)^2*(S13_PSP_Species_Support!BG68*(1-EXP(-S13_PSP_Species_Support!BH68*1))^S13_PSP_Species_Support!BI68))^0.976,0)+IFERROR(S13_PSP_Species_Support!BM68*0.0673*(S13_PSP_Species_Support!BN68*(S13_PSP_Species_Support!BO68*(1-EXP(-S13_PSP_Species_Support!BP68*1))^S13_PSP_Species_Support!BQ68)^2*(S13_PSP_Species_Support!BR68*(1-EXP(-S13_PSP_Species_Support!BS68*1))^S13_PSP_Species_Support!BT68))^0.976,0)+IFERROR(S13_PSP_Species_Support!BX68*0.0673*(S13_PSP_Species_Support!BY68*(S13_PSP_Species_Support!BZ68*(1-EXP(-S13_PSP_Species_Support!CA68*1))^S13_PSP_Species_Support!CB68)^2*(S13_PSP_Species_Support!CC68*(1-EXP(-S13_PSP_Species_Support!CD68*1))^S13_PSP_Species_Support!CE68))^0.976,0)+IFERROR(S13_PSP_Species_Support!CI68*0.0673*(S13_PSP_Species_Support!CJ68*(S13_PSP_Species_Support!CK68*(1-EXP(-S13_PSP_Species_Support!CL68*1))^S13_PSP_Species_Support!CM68)^2*(S13_PSP_Species_Support!CN68*(1-EXP(-S13_PSP_Species_Support!CO68*1))^S13_PSP_Species_Support!CP68))^0.976,0)+IFERROR(S13_PSP_Species_Support!CT68*0.0673*(S13_PSP_Species_Support!CU68*(S13_PSP_Species_Support!CV68*(1-EXP(-S13_PSP_Species_Support!CW68*1))^S13_PSP_Species_Support!CX68)^2*(S13_PSP_Species_Support!CY68*(1-EXP(-S13_PSP_Species_Support!CZ68*1))^S13_PSP_Species_Support!DA68))^0.976,0))/1000/$G81*J$108,0)</x:f>
        <x:v>2.1932642268998075</x:v>
      </x:c>
      <x:c r="K81" s="147" t="n">
        <x:f aca="0">IFERROR((IFERROR(S13_PSP_Species_Support!U68*0.0673*(S13_PSP_Species_Support!V68*(S13_PSP_Species_Support!W68*(1-EXP(-S13_PSP_Species_Support!X68*2))^S13_PSP_Species_Support!Y68)^2*(S13_PSP_Species_Support!Z68*(1-EXP(-S13_PSP_Species_Support!AA68*2))^S13_PSP_Species_Support!AB68))^0.976,0)+IFERROR(S13_PSP_Species_Support!AF68*0.0673*(S13_PSP_Species_Support!AG68*(S13_PSP_Species_Support!AH68*(1-EXP(-S13_PSP_Species_Support!AI68*2))^S13_PSP_Species_Support!AJ68)^2*(S13_PSP_Species_Support!AK68*(1-EXP(-S13_PSP_Species_Support!AL68*2))^S13_PSP_Species_Support!AM68))^0.976,0)+IFERROR(S13_PSP_Species_Support!AQ68*0.0673*(S13_PSP_Species_Support!AR68*(S13_PSP_Species_Support!AS68*(1-EXP(-S13_PSP_Species_Support!AT68*2))^S13_PSP_Species_Support!AU68)^2*(S13_PSP_Species_Support!AV68*(1-EXP(-S13_PSP_Species_Support!AW68*2))^S13_PSP_Species_Support!AX68))^0.976,0)+IFERROR(S13_PSP_Species_Support!BB68*0.0673*(S13_PSP_Species_Support!BC68*(S13_PSP_Species_Support!BD68*(1-EXP(-S13_PSP_Species_Support!BE68*2))^S13_PSP_Species_Support!BF68)^2*(S13_PSP_Species_Support!BG68*(1-EXP(-S13_PSP_Species_Support!BH68*2))^S13_PSP_Species_Support!BI68))^0.976,0)+IFERROR(S13_PSP_Species_Support!BM68*0.0673*(S13_PSP_Species_Support!BN68*(S13_PSP_Species_Support!BO68*(1-EXP(-S13_PSP_Species_Support!BP68*2))^S13_PSP_Species_Support!BQ68)^2*(S13_PSP_Species_Support!BR68*(1-EXP(-S13_PSP_Species_Support!BS68*2))^S13_PSP_Species_Support!BT68))^0.976,0)+IFERROR(S13_PSP_Species_Support!BX68*0.0673*(S13_PSP_Species_Support!BY68*(S13_PSP_Species_Support!BZ68*(1-EXP(-S13_PSP_Species_Support!CA68*2))^S13_PSP_Species_Support!CB68)^2*(S13_PSP_Species_Support!CC68*(1-EXP(-S13_PSP_Species_Support!CD68*2))^S13_PSP_Species_Support!CE68))^0.976,0)+IFERROR(S13_PSP_Species_Support!CI68*0.0673*(S13_PSP_Species_Support!CJ68*(S13_PSP_Species_Support!CK68*(1-EXP(-S13_PSP_Species_Support!CL68*2))^S13_PSP_Species_Support!CM68)^2*(S13_PSP_Species_Support!CN68*(1-EXP(-S13_PSP_Species_Support!CO68*2))^S13_PSP_Species_Support!CP68))^0.976,0)+IFERROR(S13_PSP_Species_Support!CT68*0.0673*(S13_PSP_Species_Support!CU68*(S13_PSP_Species_Support!CV68*(1-EXP(-S13_PSP_Species_Support!CW68*2))^S13_PSP_Species_Support!CX68)^2*(S13_PSP_Species_Support!CY68*(1-EXP(-S13_PSP_Species_Support!CZ68*2))^S13_PSP_Species_Support!DA68))^0.976,0))/1000/$G81*K$108,0)</x:f>
        <x:v>20.692316414331078</x:v>
      </x:c>
      <x:c r="L81" s="147" t="n">
        <x:f aca="0">IFERROR((IFERROR(S13_PSP_Species_Support!U68*0.0673*(S13_PSP_Species_Support!V68*(S13_PSP_Species_Support!W68*(1-EXP(-S13_PSP_Species_Support!X68*3))^S13_PSP_Species_Support!Y68)^2*(S13_PSP_Species_Support!Z68*(1-EXP(-S13_PSP_Species_Support!AA68*3))^S13_PSP_Species_Support!AB68))^0.976,0)+IFERROR(S13_PSP_Species_Support!AF68*0.0673*(S13_PSP_Species_Support!AG68*(S13_PSP_Species_Support!AH68*(1-EXP(-S13_PSP_Species_Support!AI68*3))^S13_PSP_Species_Support!AJ68)^2*(S13_PSP_Species_Support!AK68*(1-EXP(-S13_PSP_Species_Support!AL68*3))^S13_PSP_Species_Support!AM68))^0.976,0)+IFERROR(S13_PSP_Species_Support!AQ68*0.0673*(S13_PSP_Species_Support!AR68*(S13_PSP_Species_Support!AS68*(1-EXP(-S13_PSP_Species_Support!AT68*3))^S13_PSP_Species_Support!AU68)^2*(S13_PSP_Species_Support!AV68*(1-EXP(-S13_PSP_Species_Support!AW68*3))^S13_PSP_Species_Support!AX68))^0.976,0)+IFERROR(S13_PSP_Species_Support!BB68*0.0673*(S13_PSP_Species_Support!BC68*(S13_PSP_Species_Support!BD68*(1-EXP(-S13_PSP_Species_Support!BE68*3))^S13_PSP_Species_Support!BF68)^2*(S13_PSP_Species_Support!BG68*(1-EXP(-S13_PSP_Species_Support!BH68*3))^S13_PSP_Species_Support!BI68))^0.976,0)+IFERROR(S13_PSP_Species_Support!BM68*0.0673*(S13_PSP_Species_Support!BN68*(S13_PSP_Species_Support!BO68*(1-EXP(-S13_PSP_Species_Support!BP68*3))^S13_PSP_Species_Support!BQ68)^2*(S13_PSP_Species_Support!BR68*(1-EXP(-S13_PSP_Species_Support!BS68*3))^S13_PSP_Species_Support!BT68))^0.976,0)+IFERROR(S13_PSP_Species_Support!BX68*0.0673*(S13_PSP_Species_Support!BY68*(S13_PSP_Species_Support!BZ68*(1-EXP(-S13_PSP_Species_Support!CA68*3))^S13_PSP_Species_Support!CB68)^2*(S13_PSP_Species_Support!CC68*(1-EXP(-S13_PSP_Species_Support!CD68*3))^S13_PSP_Species_Support!CE68))^0.976,0)+IFERROR(S13_PSP_Species_Support!CI68*0.0673*(S13_PSP_Species_Support!CJ68*(S13_PSP_Species_Support!CK68*(1-EXP(-S13_PSP_Species_Support!CL68*3))^S13_PSP_Species_Support!CM68)^2*(S13_PSP_Species_Support!CN68*(1-EXP(-S13_PSP_Species_Support!CO68*3))^S13_PSP_Species_Support!CP68))^0.976,0)+IFERROR(S13_PSP_Species_Support!CT68*0.0673*(S13_PSP_Species_Support!CU68*(S13_PSP_Species_Support!CV68*(1-EXP(-S13_PSP_Species_Support!CW68*3))^S13_PSP_Species_Support!CX68)^2*(S13_PSP_Species_Support!CY68*(1-EXP(-S13_PSP_Species_Support!CZ68*3))^S13_PSP_Species_Support!DA68))^0.976,0))/1000/$G81*L$108,0)</x:f>
        <x:v>68.48313895158836</x:v>
      </x:c>
      <x:c r="M81" s="147" t="n">
        <x:f aca="0">IFERROR((IFERROR(S13_PSP_Species_Support!U68*0.0673*(S13_PSP_Species_Support!V68*(S13_PSP_Species_Support!W68*(1-EXP(-S13_PSP_Species_Support!X68*4))^S13_PSP_Species_Support!Y68)^2*(S13_PSP_Species_Support!Z68*(1-EXP(-S13_PSP_Species_Support!AA68*4))^S13_PSP_Species_Support!AB68))^0.976,0)+IFERROR(S13_PSP_Species_Support!AF68*0.0673*(S13_PSP_Species_Support!AG68*(S13_PSP_Species_Support!AH68*(1-EXP(-S13_PSP_Species_Support!AI68*4))^S13_PSP_Species_Support!AJ68)^2*(S13_PSP_Species_Support!AK68*(1-EXP(-S13_PSP_Species_Support!AL68*4))^S13_PSP_Species_Support!AM68))^0.976,0)+IFERROR(S13_PSP_Species_Support!AQ68*0.0673*(S13_PSP_Species_Support!AR68*(S13_PSP_Species_Support!AS68*(1-EXP(-S13_PSP_Species_Support!AT68*4))^S13_PSP_Species_Support!AU68)^2*(S13_PSP_Species_Support!AV68*(1-EXP(-S13_PSP_Species_Support!AW68*4))^S13_PSP_Species_Support!AX68))^0.976,0)+IFERROR(S13_PSP_Species_Support!BB68*0.0673*(S13_PSP_Species_Support!BC68*(S13_PSP_Species_Support!BD68*(1-EXP(-S13_PSP_Species_Support!BE68*4))^S13_PSP_Species_Support!BF68)^2*(S13_PSP_Species_Support!BG68*(1-EXP(-S13_PSP_Species_Support!BH68*4))^S13_PSP_Species_Support!BI68))^0.976,0)+IFERROR(S13_PSP_Species_Support!BM68*0.0673*(S13_PSP_Species_Support!BN68*(S13_PSP_Species_Support!BO68*(1-EXP(-S13_PSP_Species_Support!BP68*4))^S13_PSP_Species_Support!BQ68)^2*(S13_PSP_Species_Support!BR68*(1-EXP(-S13_PSP_Species_Support!BS68*4))^S13_PSP_Species_Support!BT68))^0.976,0)+IFERROR(S13_PSP_Species_Support!BX68*0.0673*(S13_PSP_Species_Support!BY68*(S13_PSP_Species_Support!BZ68*(1-EXP(-S13_PSP_Species_Support!CA68*4))^S13_PSP_Species_Support!CB68)^2*(S13_PSP_Species_Support!CC68*(1-EXP(-S13_PSP_Species_Support!CD68*4))^S13_PSP_Species_Support!CE68))^0.976,0)+IFERROR(S13_PSP_Species_Support!CI68*0.0673*(S13_PSP_Species_Support!CJ68*(S13_PSP_Species_Support!CK68*(1-EXP(-S13_PSP_Species_Support!CL68*4))^S13_PSP_Species_Support!CM68)^2*(S13_PSP_Species_Support!CN68*(1-EXP(-S13_PSP_Species_Support!CO68*4))^S13_PSP_Species_Support!CP68))^0.976,0)+IFERROR(S13_PSP_Species_Support!CT68*0.0673*(S13_PSP_Species_Support!CU68*(S13_PSP_Species_Support!CV68*(1-EXP(-S13_PSP_Species_Support!CW68*4))^S13_PSP_Species_Support!CX68)^2*(S13_PSP_Species_Support!CY68*(1-EXP(-S13_PSP_Species_Support!CZ68*4))^S13_PSP_Species_Support!DA68))^0.976,0))/1000/$G81*M$108,0)</x:f>
        <x:v>149.27847014118026</x:v>
      </x:c>
      <x:c r="N81" s="147" t="n">
        <x:f aca="0">IFERROR((IFERROR(S13_PSP_Species_Support!U68*0.0673*(S13_PSP_Species_Support!V68*(S13_PSP_Species_Support!W68*(1-EXP(-S13_PSP_Species_Support!X68*5))^S13_PSP_Species_Support!Y68)^2*(S13_PSP_Species_Support!Z68*(1-EXP(-S13_PSP_Species_Support!AA68*5))^S13_PSP_Species_Support!AB68))^0.976,0)+IFERROR(S13_PSP_Species_Support!AF68*0.0673*(S13_PSP_Species_Support!AG68*(S13_PSP_Species_Support!AH68*(1-EXP(-S13_PSP_Species_Support!AI68*5))^S13_PSP_Species_Support!AJ68)^2*(S13_PSP_Species_Support!AK68*(1-EXP(-S13_PSP_Species_Support!AL68*5))^S13_PSP_Species_Support!AM68))^0.976,0)+IFERROR(S13_PSP_Species_Support!AQ68*0.0673*(S13_PSP_Species_Support!AR68*(S13_PSP_Species_Support!AS68*(1-EXP(-S13_PSP_Species_Support!AT68*5))^S13_PSP_Species_Support!AU68)^2*(S13_PSP_Species_Support!AV68*(1-EXP(-S13_PSP_Species_Support!AW68*5))^S13_PSP_Species_Support!AX68))^0.976,0)+IFERROR(S13_PSP_Species_Support!BB68*0.0673*(S13_PSP_Species_Support!BC68*(S13_PSP_Species_Support!BD68*(1-EXP(-S13_PSP_Species_Support!BE68*5))^S13_PSP_Species_Support!BF68)^2*(S13_PSP_Species_Support!BG68*(1-EXP(-S13_PSP_Species_Support!BH68*5))^S13_PSP_Species_Support!BI68))^0.976,0)+IFERROR(S13_PSP_Species_Support!BM68*0.0673*(S13_PSP_Species_Support!BN68*(S13_PSP_Species_Support!BO68*(1-EXP(-S13_PSP_Species_Support!BP68*5))^S13_PSP_Species_Support!BQ68)^2*(S13_PSP_Species_Support!BR68*(1-EXP(-S13_PSP_Species_Support!BS68*5))^S13_PSP_Species_Support!BT68))^0.976,0)+IFERROR(S13_PSP_Species_Support!BX68*0.0673*(S13_PSP_Species_Support!BY68*(S13_PSP_Species_Support!BZ68*(1-EXP(-S13_PSP_Species_Support!CA68*5))^S13_PSP_Species_Support!CB68)^2*(S13_PSP_Species_Support!CC68*(1-EXP(-S13_PSP_Species_Support!CD68*5))^S13_PSP_Species_Support!CE68))^0.976,0)+IFERROR(S13_PSP_Species_Support!CI68*0.0673*(S13_PSP_Species_Support!CJ68*(S13_PSP_Species_Support!CK68*(1-EXP(-S13_PSP_Species_Support!CL68*5))^S13_PSP_Species_Support!CM68)^2*(S13_PSP_Species_Support!CN68*(1-EXP(-S13_PSP_Species_Support!CO68*5))^S13_PSP_Species_Support!CP68))^0.976,0)+IFERROR(S13_PSP_Species_Support!CT68*0.0673*(S13_PSP_Species_Support!CU68*(S13_PSP_Species_Support!CV68*(1-EXP(-S13_PSP_Species_Support!CW68*5))^S13_PSP_Species_Support!CX68)^2*(S13_PSP_Species_Support!CY68*(1-EXP(-S13_PSP_Species_Support!CZ68*5))^S13_PSP_Species_Support!DA68))^0.976,0))/1000/$G81*N$108,0)</x:f>
        <x:v>258.4658074046353</x:v>
      </x:c>
      <x:c r="O81" s="147" t="n">
        <x:f aca="0">IFERROR((IFERROR(S13_PSP_Species_Support!U68*0.0673*(S13_PSP_Species_Support!V68*(S13_PSP_Species_Support!W68*(1-EXP(-S13_PSP_Species_Support!X68*6))^S13_PSP_Species_Support!Y68)^2*(S13_PSP_Species_Support!Z68*(1-EXP(-S13_PSP_Species_Support!AA68*6))^S13_PSP_Species_Support!AB68))^0.976,0)+IFERROR(S13_PSP_Species_Support!AF68*0.0673*(S13_PSP_Species_Support!AG68*(S13_PSP_Species_Support!AH68*(1-EXP(-S13_PSP_Species_Support!AI68*6))^S13_PSP_Species_Support!AJ68)^2*(S13_PSP_Species_Support!AK68*(1-EXP(-S13_PSP_Species_Support!AL68*6))^S13_PSP_Species_Support!AM68))^0.976,0)+IFERROR(S13_PSP_Species_Support!AQ68*0.0673*(S13_PSP_Species_Support!AR68*(S13_PSP_Species_Support!AS68*(1-EXP(-S13_PSP_Species_Support!AT68*6))^S13_PSP_Species_Support!AU68)^2*(S13_PSP_Species_Support!AV68*(1-EXP(-S13_PSP_Species_Support!AW68*6))^S13_PSP_Species_Support!AX68))^0.976,0)+IFERROR(S13_PSP_Species_Support!BB68*0.0673*(S13_PSP_Species_Support!BC68*(S13_PSP_Species_Support!BD68*(1-EXP(-S13_PSP_Species_Support!BE68*6))^S13_PSP_Species_Support!BF68)^2*(S13_PSP_Species_Support!BG68*(1-EXP(-S13_PSP_Species_Support!BH68*6))^S13_PSP_Species_Support!BI68))^0.976,0)+IFERROR(S13_PSP_Species_Support!BM68*0.0673*(S13_PSP_Species_Support!BN68*(S13_PSP_Species_Support!BO68*(1-EXP(-S13_PSP_Species_Support!BP68*6))^S13_PSP_Species_Support!BQ68)^2*(S13_PSP_Species_Support!BR68*(1-EXP(-S13_PSP_Species_Support!BS68*6))^S13_PSP_Species_Support!BT68))^0.976,0)+IFERROR(S13_PSP_Species_Support!BX68*0.0673*(S13_PSP_Species_Support!BY68*(S13_PSP_Species_Support!BZ68*(1-EXP(-S13_PSP_Species_Support!CA68*6))^S13_PSP_Species_Support!CB68)^2*(S13_PSP_Species_Support!CC68*(1-EXP(-S13_PSP_Species_Support!CD68*6))^S13_PSP_Species_Support!CE68))^0.976,0)+IFERROR(S13_PSP_Species_Support!CI68*0.0673*(S13_PSP_Species_Support!CJ68*(S13_PSP_Species_Support!CK68*(1-EXP(-S13_PSP_Species_Support!CL68*6))^S13_PSP_Species_Support!CM68)^2*(S13_PSP_Species_Support!CN68*(1-EXP(-S13_PSP_Species_Support!CO68*6))^S13_PSP_Species_Support!CP68))^0.976,0)+IFERROR(S13_PSP_Species_Support!CT68*0.0673*(S13_PSP_Species_Support!CU68*(S13_PSP_Species_Support!CV68*(1-EXP(-S13_PSP_Species_Support!CW68*6))^S13_PSP_Species_Support!CX68)^2*(S13_PSP_Species_Support!CY68*(1-EXP(-S13_PSP_Species_Support!CZ68*6))^S13_PSP_Species_Support!DA68))^0.976,0))/1000/$G81*O$108,0)</x:f>
        <x:v>388.10332943795146</x:v>
      </x:c>
      <x:c r="P81" s="147" t="n">
        <x:f aca="0">IFERROR((IFERROR(S13_PSP_Species_Support!U68*0.0673*(S13_PSP_Species_Support!V68*(S13_PSP_Species_Support!W68*(1-EXP(-S13_PSP_Species_Support!X68*7))^S13_PSP_Species_Support!Y68)^2*(S13_PSP_Species_Support!Z68*(1-EXP(-S13_PSP_Species_Support!AA68*7))^S13_PSP_Species_Support!AB68))^0.976,0)+IFERROR(S13_PSP_Species_Support!AF68*0.0673*(S13_PSP_Species_Support!AG68*(S13_PSP_Species_Support!AH68*(1-EXP(-S13_PSP_Species_Support!AI68*7))^S13_PSP_Species_Support!AJ68)^2*(S13_PSP_Species_Support!AK68*(1-EXP(-S13_PSP_Species_Support!AL68*7))^S13_PSP_Species_Support!AM68))^0.976,0)+IFERROR(S13_PSP_Species_Support!AQ68*0.0673*(S13_PSP_Species_Support!AR68*(S13_PSP_Species_Support!AS68*(1-EXP(-S13_PSP_Species_Support!AT68*7))^S13_PSP_Species_Support!AU68)^2*(S13_PSP_Species_Support!AV68*(1-EXP(-S13_PSP_Species_Support!AW68*7))^S13_PSP_Species_Support!AX68))^0.976,0)+IFERROR(S13_PSP_Species_Support!BB68*0.0673*(S13_PSP_Species_Support!BC68*(S13_PSP_Species_Support!BD68*(1-EXP(-S13_PSP_Species_Support!BE68*7))^S13_PSP_Species_Support!BF68)^2*(S13_PSP_Species_Support!BG68*(1-EXP(-S13_PSP_Species_Support!BH68*7))^S13_PSP_Species_Support!BI68))^0.976,0)+IFERROR(S13_PSP_Species_Support!BM68*0.0673*(S13_PSP_Species_Support!BN68*(S13_PSP_Species_Support!BO68*(1-EXP(-S13_PSP_Species_Support!BP68*7))^S13_PSP_Species_Support!BQ68)^2*(S13_PSP_Species_Support!BR68*(1-EXP(-S13_PSP_Species_Support!BS68*7))^S13_PSP_Species_Support!BT68))^0.976,0)+IFERROR(S13_PSP_Species_Support!BX68*0.0673*(S13_PSP_Species_Support!BY68*(S13_PSP_Species_Support!BZ68*(1-EXP(-S13_PSP_Species_Support!CA68*7))^S13_PSP_Species_Support!CB68)^2*(S13_PSP_Species_Support!CC68*(1-EXP(-S13_PSP_Species_Support!CD68*7))^S13_PSP_Species_Support!CE68))^0.976,0)+IFERROR(S13_PSP_Species_Support!CI68*0.0673*(S13_PSP_Species_Support!CJ68*(S13_PSP_Species_Support!CK68*(1-EXP(-S13_PSP_Species_Support!CL68*7))^S13_PSP_Species_Support!CM68)^2*(S13_PSP_Species_Support!CN68*(1-EXP(-S13_PSP_Species_Support!CO68*7))^S13_PSP_Species_Support!CP68))^0.976,0)+IFERROR(S13_PSP_Species_Support!CT68*0.0673*(S13_PSP_Species_Support!CU68*(S13_PSP_Species_Support!CV68*(1-EXP(-S13_PSP_Species_Support!CW68*7))^S13_PSP_Species_Support!CX68)^2*(S13_PSP_Species_Support!CY68*(1-EXP(-S13_PSP_Species_Support!CZ68*7))^S13_PSP_Species_Support!DA68))^0.976,0))/1000/$G81*P$108,0)</x:f>
        <x:v>529.593099686927</x:v>
      </x:c>
      <x:c r="Q81" s="147" t="n">
        <x:f aca="0">IFERROR((IFERROR(S13_PSP_Species_Support!U68*0.0673*(S13_PSP_Species_Support!V68*(S13_PSP_Species_Support!W68*(1-EXP(-S13_PSP_Species_Support!X68*8))^S13_PSP_Species_Support!Y68)^2*(S13_PSP_Species_Support!Z68*(1-EXP(-S13_PSP_Species_Support!AA68*8))^S13_PSP_Species_Support!AB68))^0.976,0)+IFERROR(S13_PSP_Species_Support!AF68*0.0673*(S13_PSP_Species_Support!AG68*(S13_PSP_Species_Support!AH68*(1-EXP(-S13_PSP_Species_Support!AI68*8))^S13_PSP_Species_Support!AJ68)^2*(S13_PSP_Species_Support!AK68*(1-EXP(-S13_PSP_Species_Support!AL68*8))^S13_PSP_Species_Support!AM68))^0.976,0)+IFERROR(S13_PSP_Species_Support!AQ68*0.0673*(S13_PSP_Species_Support!AR68*(S13_PSP_Species_Support!AS68*(1-EXP(-S13_PSP_Species_Support!AT68*8))^S13_PSP_Species_Support!AU68)^2*(S13_PSP_Species_Support!AV68*(1-EXP(-S13_PSP_Species_Support!AW68*8))^S13_PSP_Species_Support!AX68))^0.976,0)+IFERROR(S13_PSP_Species_Support!BB68*0.0673*(S13_PSP_Species_Support!BC68*(S13_PSP_Species_Support!BD68*(1-EXP(-S13_PSP_Species_Support!BE68*8))^S13_PSP_Species_Support!BF68)^2*(S13_PSP_Species_Support!BG68*(1-EXP(-S13_PSP_Species_Support!BH68*8))^S13_PSP_Species_Support!BI68))^0.976,0)+IFERROR(S13_PSP_Species_Support!BM68*0.0673*(S13_PSP_Species_Support!BN68*(S13_PSP_Species_Support!BO68*(1-EXP(-S13_PSP_Species_Support!BP68*8))^S13_PSP_Species_Support!BQ68)^2*(S13_PSP_Species_Support!BR68*(1-EXP(-S13_PSP_Species_Support!BS68*8))^S13_PSP_Species_Support!BT68))^0.976,0)+IFERROR(S13_PSP_Species_Support!BX68*0.0673*(S13_PSP_Species_Support!BY68*(S13_PSP_Species_Support!BZ68*(1-EXP(-S13_PSP_Species_Support!CA68*8))^S13_PSP_Species_Support!CB68)^2*(S13_PSP_Species_Support!CC68*(1-EXP(-S13_PSP_Species_Support!CD68*8))^S13_PSP_Species_Support!CE68))^0.976,0)+IFERROR(S13_PSP_Species_Support!CI68*0.0673*(S13_PSP_Species_Support!CJ68*(S13_PSP_Species_Support!CK68*(1-EXP(-S13_PSP_Species_Support!CL68*8))^S13_PSP_Species_Support!CM68)^2*(S13_PSP_Species_Support!CN68*(1-EXP(-S13_PSP_Species_Support!CO68*8))^S13_PSP_Species_Support!CP68))^0.976,0)+IFERROR(S13_PSP_Species_Support!CT68*0.0673*(S13_PSP_Species_Support!CU68*(S13_PSP_Species_Support!CV68*(1-EXP(-S13_PSP_Species_Support!CW68*8))^S13_PSP_Species_Support!CX68)^2*(S13_PSP_Species_Support!CY68*(1-EXP(-S13_PSP_Species_Support!CZ68*8))^S13_PSP_Species_Support!DA68))^0.976,0))/1000/$G81*Q$108,0)</x:f>
        <x:v>675.2691371412226</x:v>
      </x:c>
      <x:c r="R81" s="147" t="n">
        <x:f aca="0">IFERROR((IFERROR(S13_PSP_Species_Support!U68*0.0673*(S13_PSP_Species_Support!V68*(S13_PSP_Species_Support!W68*(1-EXP(-S13_PSP_Species_Support!X68*9))^S13_PSP_Species_Support!Y68)^2*(S13_PSP_Species_Support!Z68*(1-EXP(-S13_PSP_Species_Support!AA68*9))^S13_PSP_Species_Support!AB68))^0.976,0)+IFERROR(S13_PSP_Species_Support!AF68*0.0673*(S13_PSP_Species_Support!AG68*(S13_PSP_Species_Support!AH68*(1-EXP(-S13_PSP_Species_Support!AI68*9))^S13_PSP_Species_Support!AJ68)^2*(S13_PSP_Species_Support!AK68*(1-EXP(-S13_PSP_Species_Support!AL68*9))^S13_PSP_Species_Support!AM68))^0.976,0)+IFERROR(S13_PSP_Species_Support!AQ68*0.0673*(S13_PSP_Species_Support!AR68*(S13_PSP_Species_Support!AS68*(1-EXP(-S13_PSP_Species_Support!AT68*9))^S13_PSP_Species_Support!AU68)^2*(S13_PSP_Species_Support!AV68*(1-EXP(-S13_PSP_Species_Support!AW68*9))^S13_PSP_Species_Support!AX68))^0.976,0)+IFERROR(S13_PSP_Species_Support!BB68*0.0673*(S13_PSP_Species_Support!BC68*(S13_PSP_Species_Support!BD68*(1-EXP(-S13_PSP_Species_Support!BE68*9))^S13_PSP_Species_Support!BF68)^2*(S13_PSP_Species_Support!BG68*(1-EXP(-S13_PSP_Species_Support!BH68*9))^S13_PSP_Species_Support!BI68))^0.976,0)+IFERROR(S13_PSP_Species_Support!BM68*0.0673*(S13_PSP_Species_Support!BN68*(S13_PSP_Species_Support!BO68*(1-EXP(-S13_PSP_Species_Support!BP68*9))^S13_PSP_Species_Support!BQ68)^2*(S13_PSP_Species_Support!BR68*(1-EXP(-S13_PSP_Species_Support!BS68*9))^S13_PSP_Species_Support!BT68))^0.976,0)+IFERROR(S13_PSP_Species_Support!BX68*0.0673*(S13_PSP_Species_Support!BY68*(S13_PSP_Species_Support!BZ68*(1-EXP(-S13_PSP_Species_Support!CA68*9))^S13_PSP_Species_Support!CB68)^2*(S13_PSP_Species_Support!CC68*(1-EXP(-S13_PSP_Species_Support!CD68*9))^S13_PSP_Species_Support!CE68))^0.976,0)+IFERROR(S13_PSP_Species_Support!CI68*0.0673*(S13_PSP_Species_Support!CJ68*(S13_PSP_Species_Support!CK68*(1-EXP(-S13_PSP_Species_Support!CL68*9))^S13_PSP_Species_Support!CM68)^2*(S13_PSP_Species_Support!CN68*(1-EXP(-S13_PSP_Species_Support!CO68*9))^S13_PSP_Species_Support!CP68))^0.976,0)+IFERROR(S13_PSP_Species_Support!CT68*0.0673*(S13_PSP_Species_Support!CU68*(S13_PSP_Species_Support!CV68*(1-EXP(-S13_PSP_Species_Support!CW68*9))^S13_PSP_Species_Support!CX68)^2*(S13_PSP_Species_Support!CY68*(1-EXP(-S13_PSP_Species_Support!CZ68*9))^S13_PSP_Species_Support!DA68))^0.976,0))/1000/$G81*R$108,0)</x:f>
        <x:v>819.0564007516786</x:v>
      </x:c>
      <x:c r="S81" s="147" t="n">
        <x:f aca="0">IFERROR((IFERROR(S13_PSP_Species_Support!U68*0.0673*(S13_PSP_Species_Support!V68*(S13_PSP_Species_Support!W68*(1-EXP(-S13_PSP_Species_Support!X68*10))^S13_PSP_Species_Support!Y68)^2*(S13_PSP_Species_Support!Z68*(1-EXP(-S13_PSP_Species_Support!AA68*10))^S13_PSP_Species_Support!AB68))^0.976,0)+IFERROR(S13_PSP_Species_Support!AF68*0.0673*(S13_PSP_Species_Support!AG68*(S13_PSP_Species_Support!AH68*(1-EXP(-S13_PSP_Species_Support!AI68*10))^S13_PSP_Species_Support!AJ68)^2*(S13_PSP_Species_Support!AK68*(1-EXP(-S13_PSP_Species_Support!AL68*10))^S13_PSP_Species_Support!AM68))^0.976,0)+IFERROR(S13_PSP_Species_Support!AQ68*0.0673*(S13_PSP_Species_Support!AR68*(S13_PSP_Species_Support!AS68*(1-EXP(-S13_PSP_Species_Support!AT68*10))^S13_PSP_Species_Support!AU68)^2*(S13_PSP_Species_Support!AV68*(1-EXP(-S13_PSP_Species_Support!AW68*10))^S13_PSP_Species_Support!AX68))^0.976,0)+IFERROR(S13_PSP_Species_Support!BB68*0.0673*(S13_PSP_Species_Support!BC68*(S13_PSP_Species_Support!BD68*(1-EXP(-S13_PSP_Species_Support!BE68*10))^S13_PSP_Species_Support!BF68)^2*(S13_PSP_Species_Support!BG68*(1-EXP(-S13_PSP_Species_Support!BH68*10))^S13_PSP_Species_Support!BI68))^0.976,0)+IFERROR(S13_PSP_Species_Support!BM68*0.0673*(S13_PSP_Species_Support!BN68*(S13_PSP_Species_Support!BO68*(1-EXP(-S13_PSP_Species_Support!BP68*10))^S13_PSP_Species_Support!BQ68)^2*(S13_PSP_Species_Support!BR68*(1-EXP(-S13_PSP_Species_Support!BS68*10))^S13_PSP_Species_Support!BT68))^0.976,0)+IFERROR(S13_PSP_Species_Support!BX68*0.0673*(S13_PSP_Species_Support!BY68*(S13_PSP_Species_Support!BZ68*(1-EXP(-S13_PSP_Species_Support!CA68*10))^S13_PSP_Species_Support!CB68)^2*(S13_PSP_Species_Support!CC68*(1-EXP(-S13_PSP_Species_Support!CD68*10))^S13_PSP_Species_Support!CE68))^0.976,0)+IFERROR(S13_PSP_Species_Support!CI68*0.0673*(S13_PSP_Species_Support!CJ68*(S13_PSP_Species_Support!CK68*(1-EXP(-S13_PSP_Species_Support!CL68*10))^S13_PSP_Species_Support!CM68)^2*(S13_PSP_Species_Support!CN68*(1-EXP(-S13_PSP_Species_Support!CO68*10))^S13_PSP_Species_Support!CP68))^0.976,0)+IFERROR(S13_PSP_Species_Support!CT68*0.0673*(S13_PSP_Species_Support!CU68*(S13_PSP_Species_Support!CV68*(1-EXP(-S13_PSP_Species_Support!CW68*10))^S13_PSP_Species_Support!CX68)^2*(S13_PSP_Species_Support!CY68*(1-EXP(-S13_PSP_Species_Support!CZ68*10))^S13_PSP_Species_Support!DA68))^0.976,0))/1000/$G81*S$108,0)</x:f>
        <x:v>956.5762949686363</x:v>
      </x:c>
      <x:c r="T81" s="147" t="n">
        <x:f aca="0">IFERROR((IFERROR(S13_PSP_Species_Support!U68*0.0673*(S13_PSP_Species_Support!V68*(S13_PSP_Species_Support!W68*(1-EXP(-S13_PSP_Species_Support!X68*11))^S13_PSP_Species_Support!Y68)^2*(S13_PSP_Species_Support!Z68*(1-EXP(-S13_PSP_Species_Support!AA68*11))^S13_PSP_Species_Support!AB68))^0.976,0)+IFERROR(S13_PSP_Species_Support!AF68*0.0673*(S13_PSP_Species_Support!AG68*(S13_PSP_Species_Support!AH68*(1-EXP(-S13_PSP_Species_Support!AI68*11))^S13_PSP_Species_Support!AJ68)^2*(S13_PSP_Species_Support!AK68*(1-EXP(-S13_PSP_Species_Support!AL68*11))^S13_PSP_Species_Support!AM68))^0.976,0)+IFERROR(S13_PSP_Species_Support!AQ68*0.0673*(S13_PSP_Species_Support!AR68*(S13_PSP_Species_Support!AS68*(1-EXP(-S13_PSP_Species_Support!AT68*11))^S13_PSP_Species_Support!AU68)^2*(S13_PSP_Species_Support!AV68*(1-EXP(-S13_PSP_Species_Support!AW68*11))^S13_PSP_Species_Support!AX68))^0.976,0)+IFERROR(S13_PSP_Species_Support!BB68*0.0673*(S13_PSP_Species_Support!BC68*(S13_PSP_Species_Support!BD68*(1-EXP(-S13_PSP_Species_Support!BE68*11))^S13_PSP_Species_Support!BF68)^2*(S13_PSP_Species_Support!BG68*(1-EXP(-S13_PSP_Species_Support!BH68*11))^S13_PSP_Species_Support!BI68))^0.976,0)+IFERROR(S13_PSP_Species_Support!BM68*0.0673*(S13_PSP_Species_Support!BN68*(S13_PSP_Species_Support!BO68*(1-EXP(-S13_PSP_Species_Support!BP68*11))^S13_PSP_Species_Support!BQ68)^2*(S13_PSP_Species_Support!BR68*(1-EXP(-S13_PSP_Species_Support!BS68*11))^S13_PSP_Species_Support!BT68))^0.976,0)+IFERROR(S13_PSP_Species_Support!BX68*0.0673*(S13_PSP_Species_Support!BY68*(S13_PSP_Species_Support!BZ68*(1-EXP(-S13_PSP_Species_Support!CA68*11))^S13_PSP_Species_Support!CB68)^2*(S13_PSP_Species_Support!CC68*(1-EXP(-S13_PSP_Species_Support!CD68*11))^S13_PSP_Species_Support!CE68))^0.976,0)+IFERROR(S13_PSP_Species_Support!CI68*0.0673*(S13_PSP_Species_Support!CJ68*(S13_PSP_Species_Support!CK68*(1-EXP(-S13_PSP_Species_Support!CL68*11))^S13_PSP_Species_Support!CM68)^2*(S13_PSP_Species_Support!CN68*(1-EXP(-S13_PSP_Species_Support!CO68*11))^S13_PSP_Species_Support!CP68))^0.976,0)+IFERROR(S13_PSP_Species_Support!CT68*0.0673*(S13_PSP_Species_Support!CU68*(S13_PSP_Species_Support!CV68*(1-EXP(-S13_PSP_Species_Support!CW68*11))^S13_PSP_Species_Support!CX68)^2*(S13_PSP_Species_Support!CY68*(1-EXP(-S13_PSP_Species_Support!CZ68*11))^S13_PSP_Species_Support!DA68))^0.976,0))/1000/$G81*T$108,0)</x:f>
        <x:v>1084.9719869930154</x:v>
      </x:c>
      <x:c r="U81" s="147" t="n">
        <x:f aca="0">IFERROR((IFERROR(S13_PSP_Species_Support!U68*0.0673*(S13_PSP_Species_Support!V68*(S13_PSP_Species_Support!W68*(1-EXP(-S13_PSP_Species_Support!X68*12))^S13_PSP_Species_Support!Y68)^2*(S13_PSP_Species_Support!Z68*(1-EXP(-S13_PSP_Species_Support!AA68*12))^S13_PSP_Species_Support!AB68))^0.976,0)+IFERROR(S13_PSP_Species_Support!AF68*0.0673*(S13_PSP_Species_Support!AG68*(S13_PSP_Species_Support!AH68*(1-EXP(-S13_PSP_Species_Support!AI68*12))^S13_PSP_Species_Support!AJ68)^2*(S13_PSP_Species_Support!AK68*(1-EXP(-S13_PSP_Species_Support!AL68*12))^S13_PSP_Species_Support!AM68))^0.976,0)+IFERROR(S13_PSP_Species_Support!AQ68*0.0673*(S13_PSP_Species_Support!AR68*(S13_PSP_Species_Support!AS68*(1-EXP(-S13_PSP_Species_Support!AT68*12))^S13_PSP_Species_Support!AU68)^2*(S13_PSP_Species_Support!AV68*(1-EXP(-S13_PSP_Species_Support!AW68*12))^S13_PSP_Species_Support!AX68))^0.976,0)+IFERROR(S13_PSP_Species_Support!BB68*0.0673*(S13_PSP_Species_Support!BC68*(S13_PSP_Species_Support!BD68*(1-EXP(-S13_PSP_Species_Support!BE68*12))^S13_PSP_Species_Support!BF68)^2*(S13_PSP_Species_Support!BG68*(1-EXP(-S13_PSP_Species_Support!BH68*12))^S13_PSP_Species_Support!BI68))^0.976,0)+IFERROR(S13_PSP_Species_Support!BM68*0.0673*(S13_PSP_Species_Support!BN68*(S13_PSP_Species_Support!BO68*(1-EXP(-S13_PSP_Species_Support!BP68*12))^S13_PSP_Species_Support!BQ68)^2*(S13_PSP_Species_Support!BR68*(1-EXP(-S13_PSP_Species_Support!BS68*12))^S13_PSP_Species_Support!BT68))^0.976,0)+IFERROR(S13_PSP_Species_Support!BX68*0.0673*(S13_PSP_Species_Support!BY68*(S13_PSP_Species_Support!BZ68*(1-EXP(-S13_PSP_Species_Support!CA68*12))^S13_PSP_Species_Support!CB68)^2*(S13_PSP_Species_Support!CC68*(1-EXP(-S13_PSP_Species_Support!CD68*12))^S13_PSP_Species_Support!CE68))^0.976,0)+IFERROR(S13_PSP_Species_Support!CI68*0.0673*(S13_PSP_Species_Support!CJ68*(S13_PSP_Species_Support!CK68*(1-EXP(-S13_PSP_Species_Support!CL68*12))^S13_PSP_Species_Support!CM68)^2*(S13_PSP_Species_Support!CN68*(1-EXP(-S13_PSP_Species_Support!CO68*12))^S13_PSP_Species_Support!CP68))^0.976,0)+IFERROR(S13_PSP_Species_Support!CT68*0.0673*(S13_PSP_Species_Support!CU68*(S13_PSP_Species_Support!CV68*(1-EXP(-S13_PSP_Species_Support!CW68*12))^S13_PSP_Species_Support!CX68)^2*(S13_PSP_Species_Support!CY68*(1-EXP(-S13_PSP_Species_Support!CZ68*12))^S13_PSP_Species_Support!DA68))^0.976,0))/1000/$G81*U$108,0)</x:f>
        <x:v>1202.624004149056</x:v>
      </x:c>
      <x:c r="V81" s="147" t="n">
        <x:f aca="0">IFERROR((IFERROR(S13_PSP_Species_Support!U68*0.0673*(S13_PSP_Species_Support!V68*(S13_PSP_Species_Support!W68*(1-EXP(-S13_PSP_Species_Support!X68*13))^S13_PSP_Species_Support!Y68)^2*(S13_PSP_Species_Support!Z68*(1-EXP(-S13_PSP_Species_Support!AA68*13))^S13_PSP_Species_Support!AB68))^0.976,0)+IFERROR(S13_PSP_Species_Support!AF68*0.0673*(S13_PSP_Species_Support!AG68*(S13_PSP_Species_Support!AH68*(1-EXP(-S13_PSP_Species_Support!AI68*13))^S13_PSP_Species_Support!AJ68)^2*(S13_PSP_Species_Support!AK68*(1-EXP(-S13_PSP_Species_Support!AL68*13))^S13_PSP_Species_Support!AM68))^0.976,0)+IFERROR(S13_PSP_Species_Support!AQ68*0.0673*(S13_PSP_Species_Support!AR68*(S13_PSP_Species_Support!AS68*(1-EXP(-S13_PSP_Species_Support!AT68*13))^S13_PSP_Species_Support!AU68)^2*(S13_PSP_Species_Support!AV68*(1-EXP(-S13_PSP_Species_Support!AW68*13))^S13_PSP_Species_Support!AX68))^0.976,0)+IFERROR(S13_PSP_Species_Support!BB68*0.0673*(S13_PSP_Species_Support!BC68*(S13_PSP_Species_Support!BD68*(1-EXP(-S13_PSP_Species_Support!BE68*13))^S13_PSP_Species_Support!BF68)^2*(S13_PSP_Species_Support!BG68*(1-EXP(-S13_PSP_Species_Support!BH68*13))^S13_PSP_Species_Support!BI68))^0.976,0)+IFERROR(S13_PSP_Species_Support!BM68*0.0673*(S13_PSP_Species_Support!BN68*(S13_PSP_Species_Support!BO68*(1-EXP(-S13_PSP_Species_Support!BP68*13))^S13_PSP_Species_Support!BQ68)^2*(S13_PSP_Species_Support!BR68*(1-EXP(-S13_PSP_Species_Support!BS68*13))^S13_PSP_Species_Support!BT68))^0.976,0)+IFERROR(S13_PSP_Species_Support!BX68*0.0673*(S13_PSP_Species_Support!BY68*(S13_PSP_Species_Support!BZ68*(1-EXP(-S13_PSP_Species_Support!CA68*13))^S13_PSP_Species_Support!CB68)^2*(S13_PSP_Species_Support!CC68*(1-EXP(-S13_PSP_Species_Support!CD68*13))^S13_PSP_Species_Support!CE68))^0.976,0)+IFERROR(S13_PSP_Species_Support!CI68*0.0673*(S13_PSP_Species_Support!CJ68*(S13_PSP_Species_Support!CK68*(1-EXP(-S13_PSP_Species_Support!CL68*13))^S13_PSP_Species_Support!CM68)^2*(S13_PSP_Species_Support!CN68*(1-EXP(-S13_PSP_Species_Support!CO68*13))^S13_PSP_Species_Support!CP68))^0.976,0)+IFERROR(S13_PSP_Species_Support!CT68*0.0673*(S13_PSP_Species_Support!CU68*(S13_PSP_Species_Support!CV68*(1-EXP(-S13_PSP_Species_Support!CW68*13))^S13_PSP_Species_Support!CX68)^2*(S13_PSP_Species_Support!CY68*(1-EXP(-S13_PSP_Species_Support!CZ68*13))^S13_PSP_Species_Support!DA68))^0.976,0))/1000/$G81*V$108,0)</x:f>
        <x:v>1308.8507448472897</x:v>
      </x:c>
      <x:c r="W81" s="147" t="n">
        <x:f aca="0">IFERROR((IFERROR(S13_PSP_Species_Support!U68*0.0673*(S13_PSP_Species_Support!V68*(S13_PSP_Species_Support!W68*(1-EXP(-S13_PSP_Species_Support!X68*14))^S13_PSP_Species_Support!Y68)^2*(S13_PSP_Species_Support!Z68*(1-EXP(-S13_PSP_Species_Support!AA68*14))^S13_PSP_Species_Support!AB68))^0.976,0)+IFERROR(S13_PSP_Species_Support!AF68*0.0673*(S13_PSP_Species_Support!AG68*(S13_PSP_Species_Support!AH68*(1-EXP(-S13_PSP_Species_Support!AI68*14))^S13_PSP_Species_Support!AJ68)^2*(S13_PSP_Species_Support!AK68*(1-EXP(-S13_PSP_Species_Support!AL68*14))^S13_PSP_Species_Support!AM68))^0.976,0)+IFERROR(S13_PSP_Species_Support!AQ68*0.0673*(S13_PSP_Species_Support!AR68*(S13_PSP_Species_Support!AS68*(1-EXP(-S13_PSP_Species_Support!AT68*14))^S13_PSP_Species_Support!AU68)^2*(S13_PSP_Species_Support!AV68*(1-EXP(-S13_PSP_Species_Support!AW68*14))^S13_PSP_Species_Support!AX68))^0.976,0)+IFERROR(S13_PSP_Species_Support!BB68*0.0673*(S13_PSP_Species_Support!BC68*(S13_PSP_Species_Support!BD68*(1-EXP(-S13_PSP_Species_Support!BE68*14))^S13_PSP_Species_Support!BF68)^2*(S13_PSP_Species_Support!BG68*(1-EXP(-S13_PSP_Species_Support!BH68*14))^S13_PSP_Species_Support!BI68))^0.976,0)+IFERROR(S13_PSP_Species_Support!BM68*0.0673*(S13_PSP_Species_Support!BN68*(S13_PSP_Species_Support!BO68*(1-EXP(-S13_PSP_Species_Support!BP68*14))^S13_PSP_Species_Support!BQ68)^2*(S13_PSP_Species_Support!BR68*(1-EXP(-S13_PSP_Species_Support!BS68*14))^S13_PSP_Species_Support!BT68))^0.976,0)+IFERROR(S13_PSP_Species_Support!BX68*0.0673*(S13_PSP_Species_Support!BY68*(S13_PSP_Species_Support!BZ68*(1-EXP(-S13_PSP_Species_Support!CA68*14))^S13_PSP_Species_Support!CB68)^2*(S13_PSP_Species_Support!CC68*(1-EXP(-S13_PSP_Species_Support!CD68*14))^S13_PSP_Species_Support!CE68))^0.976,0)+IFERROR(S13_PSP_Species_Support!CI68*0.0673*(S13_PSP_Species_Support!CJ68*(S13_PSP_Species_Support!CK68*(1-EXP(-S13_PSP_Species_Support!CL68*14))^S13_PSP_Species_Support!CM68)^2*(S13_PSP_Species_Support!CN68*(1-EXP(-S13_PSP_Species_Support!CO68*14))^S13_PSP_Species_Support!CP68))^0.976,0)+IFERROR(S13_PSP_Species_Support!CT68*0.0673*(S13_PSP_Species_Support!CU68*(S13_PSP_Species_Support!CV68*(1-EXP(-S13_PSP_Species_Support!CW68*14))^S13_PSP_Species_Support!CX68)^2*(S13_PSP_Species_Support!CY68*(1-EXP(-S13_PSP_Species_Support!CZ68*14))^S13_PSP_Species_Support!DA68))^0.976,0))/1000/$G81*W$108,0)</x:f>
        <x:v>1403.6397227103473</x:v>
      </x:c>
      <x:c r="X81" s="147" t="n">
        <x:f aca="0">IFERROR((IFERROR(S13_PSP_Species_Support!U68*0.0673*(S13_PSP_Species_Support!V68*(S13_PSP_Species_Support!W68*(1-EXP(-S13_PSP_Species_Support!X68*15))^S13_PSP_Species_Support!Y68)^2*(S13_PSP_Species_Support!Z68*(1-EXP(-S13_PSP_Species_Support!AA68*15))^S13_PSP_Species_Support!AB68))^0.976,0)+IFERROR(S13_PSP_Species_Support!AF68*0.0673*(S13_PSP_Species_Support!AG68*(S13_PSP_Species_Support!AH68*(1-EXP(-S13_PSP_Species_Support!AI68*15))^S13_PSP_Species_Support!AJ68)^2*(S13_PSP_Species_Support!AK68*(1-EXP(-S13_PSP_Species_Support!AL68*15))^S13_PSP_Species_Support!AM68))^0.976,0)+IFERROR(S13_PSP_Species_Support!AQ68*0.0673*(S13_PSP_Species_Support!AR68*(S13_PSP_Species_Support!AS68*(1-EXP(-S13_PSP_Species_Support!AT68*15))^S13_PSP_Species_Support!AU68)^2*(S13_PSP_Species_Support!AV68*(1-EXP(-S13_PSP_Species_Support!AW68*15))^S13_PSP_Species_Support!AX68))^0.976,0)+IFERROR(S13_PSP_Species_Support!BB68*0.0673*(S13_PSP_Species_Support!BC68*(S13_PSP_Species_Support!BD68*(1-EXP(-S13_PSP_Species_Support!BE68*15))^S13_PSP_Species_Support!BF68)^2*(S13_PSP_Species_Support!BG68*(1-EXP(-S13_PSP_Species_Support!BH68*15))^S13_PSP_Species_Support!BI68))^0.976,0)+IFERROR(S13_PSP_Species_Support!BM68*0.0673*(S13_PSP_Species_Support!BN68*(S13_PSP_Species_Support!BO68*(1-EXP(-S13_PSP_Species_Support!BP68*15))^S13_PSP_Species_Support!BQ68)^2*(S13_PSP_Species_Support!BR68*(1-EXP(-S13_PSP_Species_Support!BS68*15))^S13_PSP_Species_Support!BT68))^0.976,0)+IFERROR(S13_PSP_Species_Support!BX68*0.0673*(S13_PSP_Species_Support!BY68*(S13_PSP_Species_Support!BZ68*(1-EXP(-S13_PSP_Species_Support!CA68*15))^S13_PSP_Species_Support!CB68)^2*(S13_PSP_Species_Support!CC68*(1-EXP(-S13_PSP_Species_Support!CD68*15))^S13_PSP_Species_Support!CE68))^0.976,0)+IFERROR(S13_PSP_Species_Support!CI68*0.0673*(S13_PSP_Species_Support!CJ68*(S13_PSP_Species_Support!CK68*(1-EXP(-S13_PSP_Species_Support!CL68*15))^S13_PSP_Species_Support!CM68)^2*(S13_PSP_Species_Support!CN68*(1-EXP(-S13_PSP_Species_Support!CO68*15))^S13_PSP_Species_Support!CP68))^0.976,0)+IFERROR(S13_PSP_Species_Support!CT68*0.0673*(S13_PSP_Species_Support!CU68*(S13_PSP_Species_Support!CV68*(1-EXP(-S13_PSP_Species_Support!CW68*15))^S13_PSP_Species_Support!CX68)^2*(S13_PSP_Species_Support!CY68*(1-EXP(-S13_PSP_Species_Support!CZ68*15))^S13_PSP_Species_Support!DA68))^0.976,0))/1000/$G81*X$108,0)</x:f>
        <x:v>1487.4267699541213</x:v>
      </x:c>
      <x:c r="Y81" s="147" t="n">
        <x:f aca="0">IFERROR((IFERROR(S13_PSP_Species_Support!U68*0.0673*(S13_PSP_Species_Support!V68*(S13_PSP_Species_Support!W68*(1-EXP(-S13_PSP_Species_Support!X68*16))^S13_PSP_Species_Support!Y68)^2*(S13_PSP_Species_Support!Z68*(1-EXP(-S13_PSP_Species_Support!AA68*16))^S13_PSP_Species_Support!AB68))^0.976,0)+IFERROR(S13_PSP_Species_Support!AF68*0.0673*(S13_PSP_Species_Support!AG68*(S13_PSP_Species_Support!AH68*(1-EXP(-S13_PSP_Species_Support!AI68*16))^S13_PSP_Species_Support!AJ68)^2*(S13_PSP_Species_Support!AK68*(1-EXP(-S13_PSP_Species_Support!AL68*16))^S13_PSP_Species_Support!AM68))^0.976,0)+IFERROR(S13_PSP_Species_Support!AQ68*0.0673*(S13_PSP_Species_Support!AR68*(S13_PSP_Species_Support!AS68*(1-EXP(-S13_PSP_Species_Support!AT68*16))^S13_PSP_Species_Support!AU68)^2*(S13_PSP_Species_Support!AV68*(1-EXP(-S13_PSP_Species_Support!AW68*16))^S13_PSP_Species_Support!AX68))^0.976,0)+IFERROR(S13_PSP_Species_Support!BB68*0.0673*(S13_PSP_Species_Support!BC68*(S13_PSP_Species_Support!BD68*(1-EXP(-S13_PSP_Species_Support!BE68*16))^S13_PSP_Species_Support!BF68)^2*(S13_PSP_Species_Support!BG68*(1-EXP(-S13_PSP_Species_Support!BH68*16))^S13_PSP_Species_Support!BI68))^0.976,0)+IFERROR(S13_PSP_Species_Support!BM68*0.0673*(S13_PSP_Species_Support!BN68*(S13_PSP_Species_Support!BO68*(1-EXP(-S13_PSP_Species_Support!BP68*16))^S13_PSP_Species_Support!BQ68)^2*(S13_PSP_Species_Support!BR68*(1-EXP(-S13_PSP_Species_Support!BS68*16))^S13_PSP_Species_Support!BT68))^0.976,0)+IFERROR(S13_PSP_Species_Support!BX68*0.0673*(S13_PSP_Species_Support!BY68*(S13_PSP_Species_Support!BZ68*(1-EXP(-S13_PSP_Species_Support!CA68*16))^S13_PSP_Species_Support!CB68)^2*(S13_PSP_Species_Support!CC68*(1-EXP(-S13_PSP_Species_Support!CD68*16))^S13_PSP_Species_Support!CE68))^0.976,0)+IFERROR(S13_PSP_Species_Support!CI68*0.0673*(S13_PSP_Species_Support!CJ68*(S13_PSP_Species_Support!CK68*(1-EXP(-S13_PSP_Species_Support!CL68*16))^S13_PSP_Species_Support!CM68)^2*(S13_PSP_Species_Support!CN68*(1-EXP(-S13_PSP_Species_Support!CO68*16))^S13_PSP_Species_Support!CP68))^0.976,0)+IFERROR(S13_PSP_Species_Support!CT68*0.0673*(S13_PSP_Species_Support!CU68*(S13_PSP_Species_Support!CV68*(1-EXP(-S13_PSP_Species_Support!CW68*16))^S13_PSP_Species_Support!CX68)^2*(S13_PSP_Species_Support!CY68*(1-EXP(-S13_PSP_Species_Support!CZ68*16))^S13_PSP_Species_Support!DA68))^0.976,0))/1000/$G81*Y$108,0)</x:f>
        <x:v>1560.9251611672394</x:v>
      </x:c>
      <x:c r="Z81" s="147" t="n">
        <x:f aca="0">IFERROR((IFERROR(S13_PSP_Species_Support!U68*0.0673*(S13_PSP_Species_Support!V68*(S13_PSP_Species_Support!W68*(1-EXP(-S13_PSP_Species_Support!X68*17))^S13_PSP_Species_Support!Y68)^2*(S13_PSP_Species_Support!Z68*(1-EXP(-S13_PSP_Species_Support!AA68*17))^S13_PSP_Species_Support!AB68))^0.976,0)+IFERROR(S13_PSP_Species_Support!AF68*0.0673*(S13_PSP_Species_Support!AG68*(S13_PSP_Species_Support!AH68*(1-EXP(-S13_PSP_Species_Support!AI68*17))^S13_PSP_Species_Support!AJ68)^2*(S13_PSP_Species_Support!AK68*(1-EXP(-S13_PSP_Species_Support!AL68*17))^S13_PSP_Species_Support!AM68))^0.976,0)+IFERROR(S13_PSP_Species_Support!AQ68*0.0673*(S13_PSP_Species_Support!AR68*(S13_PSP_Species_Support!AS68*(1-EXP(-S13_PSP_Species_Support!AT68*17))^S13_PSP_Species_Support!AU68)^2*(S13_PSP_Species_Support!AV68*(1-EXP(-S13_PSP_Species_Support!AW68*17))^S13_PSP_Species_Support!AX68))^0.976,0)+IFERROR(S13_PSP_Species_Support!BB68*0.0673*(S13_PSP_Species_Support!BC68*(S13_PSP_Species_Support!BD68*(1-EXP(-S13_PSP_Species_Support!BE68*17))^S13_PSP_Species_Support!BF68)^2*(S13_PSP_Species_Support!BG68*(1-EXP(-S13_PSP_Species_Support!BH68*17))^S13_PSP_Species_Support!BI68))^0.976,0)+IFERROR(S13_PSP_Species_Support!BM68*0.0673*(S13_PSP_Species_Support!BN68*(S13_PSP_Species_Support!BO68*(1-EXP(-S13_PSP_Species_Support!BP68*17))^S13_PSP_Species_Support!BQ68)^2*(S13_PSP_Species_Support!BR68*(1-EXP(-S13_PSP_Species_Support!BS68*17))^S13_PSP_Species_Support!BT68))^0.976,0)+IFERROR(S13_PSP_Species_Support!BX68*0.0673*(S13_PSP_Species_Support!BY68*(S13_PSP_Species_Support!BZ68*(1-EXP(-S13_PSP_Species_Support!CA68*17))^S13_PSP_Species_Support!CB68)^2*(S13_PSP_Species_Support!CC68*(1-EXP(-S13_PSP_Species_Support!CD68*17))^S13_PSP_Species_Support!CE68))^0.976,0)+IFERROR(S13_PSP_Species_Support!CI68*0.0673*(S13_PSP_Species_Support!CJ68*(S13_PSP_Species_Support!CK68*(1-EXP(-S13_PSP_Species_Support!CL68*17))^S13_PSP_Species_Support!CM68)^2*(S13_PSP_Species_Support!CN68*(1-EXP(-S13_PSP_Species_Support!CO68*17))^S13_PSP_Species_Support!CP68))^0.976,0)+IFERROR(S13_PSP_Species_Support!CT68*0.0673*(S13_PSP_Species_Support!CU68*(S13_PSP_Species_Support!CV68*(1-EXP(-S13_PSP_Species_Support!CW68*17))^S13_PSP_Species_Support!CX68)^2*(S13_PSP_Species_Support!CY68*(1-EXP(-S13_PSP_Species_Support!CZ68*17))^S13_PSP_Species_Support!DA68))^0.976,0))/1000/$G81*Z$108,0)</x:f>
        <x:v>1624.999444239767</x:v>
      </x:c>
      <x:c r="AA81" s="147" t="n">
        <x:f aca="0">IFERROR((IFERROR(S13_PSP_Species_Support!U68*0.0673*(S13_PSP_Species_Support!V68*(S13_PSP_Species_Support!W68*(1-EXP(-S13_PSP_Species_Support!X68*18))^S13_PSP_Species_Support!Y68)^2*(S13_PSP_Species_Support!Z68*(1-EXP(-S13_PSP_Species_Support!AA68*18))^S13_PSP_Species_Support!AB68))^0.976,0)+IFERROR(S13_PSP_Species_Support!AF68*0.0673*(S13_PSP_Species_Support!AG68*(S13_PSP_Species_Support!AH68*(1-EXP(-S13_PSP_Species_Support!AI68*18))^S13_PSP_Species_Support!AJ68)^2*(S13_PSP_Species_Support!AK68*(1-EXP(-S13_PSP_Species_Support!AL68*18))^S13_PSP_Species_Support!AM68))^0.976,0)+IFERROR(S13_PSP_Species_Support!AQ68*0.0673*(S13_PSP_Species_Support!AR68*(S13_PSP_Species_Support!AS68*(1-EXP(-S13_PSP_Species_Support!AT68*18))^S13_PSP_Species_Support!AU68)^2*(S13_PSP_Species_Support!AV68*(1-EXP(-S13_PSP_Species_Support!AW68*18))^S13_PSP_Species_Support!AX68))^0.976,0)+IFERROR(S13_PSP_Species_Support!BB68*0.0673*(S13_PSP_Species_Support!BC68*(S13_PSP_Species_Support!BD68*(1-EXP(-S13_PSP_Species_Support!BE68*18))^S13_PSP_Species_Support!BF68)^2*(S13_PSP_Species_Support!BG68*(1-EXP(-S13_PSP_Species_Support!BH68*18))^S13_PSP_Species_Support!BI68))^0.976,0)+IFERROR(S13_PSP_Species_Support!BM68*0.0673*(S13_PSP_Species_Support!BN68*(S13_PSP_Species_Support!BO68*(1-EXP(-S13_PSP_Species_Support!BP68*18))^S13_PSP_Species_Support!BQ68)^2*(S13_PSP_Species_Support!BR68*(1-EXP(-S13_PSP_Species_Support!BS68*18))^S13_PSP_Species_Support!BT68))^0.976,0)+IFERROR(S13_PSP_Species_Support!BX68*0.0673*(S13_PSP_Species_Support!BY68*(S13_PSP_Species_Support!BZ68*(1-EXP(-S13_PSP_Species_Support!CA68*18))^S13_PSP_Species_Support!CB68)^2*(S13_PSP_Species_Support!CC68*(1-EXP(-S13_PSP_Species_Support!CD68*18))^S13_PSP_Species_Support!CE68))^0.976,0)+IFERROR(S13_PSP_Species_Support!CI68*0.0673*(S13_PSP_Species_Support!CJ68*(S13_PSP_Species_Support!CK68*(1-EXP(-S13_PSP_Species_Support!CL68*18))^S13_PSP_Species_Support!CM68)^2*(S13_PSP_Species_Support!CN68*(1-EXP(-S13_PSP_Species_Support!CO68*18))^S13_PSP_Species_Support!CP68))^0.976,0)+IFERROR(S13_PSP_Species_Support!CT68*0.0673*(S13_PSP_Species_Support!CU68*(S13_PSP_Species_Support!CV68*(1-EXP(-S13_PSP_Species_Support!CW68*18))^S13_PSP_Species_Support!CX68)^2*(S13_PSP_Species_Support!CY68*(1-EXP(-S13_PSP_Species_Support!CZ68*18))^S13_PSP_Species_Support!DA68))^0.976,0))/1000/$G81*AA$108,0)</x:f>
        <x:v>1680.5761609098688</x:v>
      </x:c>
      <x:c r="AB81" s="147" t="n">
        <x:f aca="0">IFERROR((IFERROR(S13_PSP_Species_Support!U68*0.0673*(S13_PSP_Species_Support!V68*(S13_PSP_Species_Support!W68*(1-EXP(-S13_PSP_Species_Support!X68*19))^S13_PSP_Species_Support!Y68)^2*(S13_PSP_Species_Support!Z68*(1-EXP(-S13_PSP_Species_Support!AA68*19))^S13_PSP_Species_Support!AB68))^0.976,0)+IFERROR(S13_PSP_Species_Support!AF68*0.0673*(S13_PSP_Species_Support!AG68*(S13_PSP_Species_Support!AH68*(1-EXP(-S13_PSP_Species_Support!AI68*19))^S13_PSP_Species_Support!AJ68)^2*(S13_PSP_Species_Support!AK68*(1-EXP(-S13_PSP_Species_Support!AL68*19))^S13_PSP_Species_Support!AM68))^0.976,0)+IFERROR(S13_PSP_Species_Support!AQ68*0.0673*(S13_PSP_Species_Support!AR68*(S13_PSP_Species_Support!AS68*(1-EXP(-S13_PSP_Species_Support!AT68*19))^S13_PSP_Species_Support!AU68)^2*(S13_PSP_Species_Support!AV68*(1-EXP(-S13_PSP_Species_Support!AW68*19))^S13_PSP_Species_Support!AX68))^0.976,0)+IFERROR(S13_PSP_Species_Support!BB68*0.0673*(S13_PSP_Species_Support!BC68*(S13_PSP_Species_Support!BD68*(1-EXP(-S13_PSP_Species_Support!BE68*19))^S13_PSP_Species_Support!BF68)^2*(S13_PSP_Species_Support!BG68*(1-EXP(-S13_PSP_Species_Support!BH68*19))^S13_PSP_Species_Support!BI68))^0.976,0)+IFERROR(S13_PSP_Species_Support!BM68*0.0673*(S13_PSP_Species_Support!BN68*(S13_PSP_Species_Support!BO68*(1-EXP(-S13_PSP_Species_Support!BP68*19))^S13_PSP_Species_Support!BQ68)^2*(S13_PSP_Species_Support!BR68*(1-EXP(-S13_PSP_Species_Support!BS68*19))^S13_PSP_Species_Support!BT68))^0.976,0)+IFERROR(S13_PSP_Species_Support!BX68*0.0673*(S13_PSP_Species_Support!BY68*(S13_PSP_Species_Support!BZ68*(1-EXP(-S13_PSP_Species_Support!CA68*19))^S13_PSP_Species_Support!CB68)^2*(S13_PSP_Species_Support!CC68*(1-EXP(-S13_PSP_Species_Support!CD68*19))^S13_PSP_Species_Support!CE68))^0.976,0)+IFERROR(S13_PSP_Species_Support!CI68*0.0673*(S13_PSP_Species_Support!CJ68*(S13_PSP_Species_Support!CK68*(1-EXP(-S13_PSP_Species_Support!CL68*19))^S13_PSP_Species_Support!CM68)^2*(S13_PSP_Species_Support!CN68*(1-EXP(-S13_PSP_Species_Support!CO68*19))^S13_PSP_Species_Support!CP68))^0.976,0)+IFERROR(S13_PSP_Species_Support!CT68*0.0673*(S13_PSP_Species_Support!CU68*(S13_PSP_Species_Support!CV68*(1-EXP(-S13_PSP_Species_Support!CW68*19))^S13_PSP_Species_Support!CX68)^2*(S13_PSP_Species_Support!CY68*(1-EXP(-S13_PSP_Species_Support!CZ68*19))^S13_PSP_Species_Support!DA68))^0.976,0))/1000/$G81*AB$108,0)</x:f>
        <x:v>1728.583412248936</x:v>
      </x:c>
      <x:c r="AC81" s="147" t="n">
        <x:f aca="0">IFERROR((IFERROR(S13_PSP_Species_Support!U68*0.0673*(S13_PSP_Species_Support!V68*(S13_PSP_Species_Support!W68*(1-EXP(-S13_PSP_Species_Support!X68*20))^S13_PSP_Species_Support!Y68)^2*(S13_PSP_Species_Support!Z68*(1-EXP(-S13_PSP_Species_Support!AA68*20))^S13_PSP_Species_Support!AB68))^0.976,0)+IFERROR(S13_PSP_Species_Support!AF68*0.0673*(S13_PSP_Species_Support!AG68*(S13_PSP_Species_Support!AH68*(1-EXP(-S13_PSP_Species_Support!AI68*20))^S13_PSP_Species_Support!AJ68)^2*(S13_PSP_Species_Support!AK68*(1-EXP(-S13_PSP_Species_Support!AL68*20))^S13_PSP_Species_Support!AM68))^0.976,0)+IFERROR(S13_PSP_Species_Support!AQ68*0.0673*(S13_PSP_Species_Support!AR68*(S13_PSP_Species_Support!AS68*(1-EXP(-S13_PSP_Species_Support!AT68*20))^S13_PSP_Species_Support!AU68)^2*(S13_PSP_Species_Support!AV68*(1-EXP(-S13_PSP_Species_Support!AW68*20))^S13_PSP_Species_Support!AX68))^0.976,0)+IFERROR(S13_PSP_Species_Support!BB68*0.0673*(S13_PSP_Species_Support!BC68*(S13_PSP_Species_Support!BD68*(1-EXP(-S13_PSP_Species_Support!BE68*20))^S13_PSP_Species_Support!BF68)^2*(S13_PSP_Species_Support!BG68*(1-EXP(-S13_PSP_Species_Support!BH68*20))^S13_PSP_Species_Support!BI68))^0.976,0)+IFERROR(S13_PSP_Species_Support!BM68*0.0673*(S13_PSP_Species_Support!BN68*(S13_PSP_Species_Support!BO68*(1-EXP(-S13_PSP_Species_Support!BP68*20))^S13_PSP_Species_Support!BQ68)^2*(S13_PSP_Species_Support!BR68*(1-EXP(-S13_PSP_Species_Support!BS68*20))^S13_PSP_Species_Support!BT68))^0.976,0)+IFERROR(S13_PSP_Species_Support!BX68*0.0673*(S13_PSP_Species_Support!BY68*(S13_PSP_Species_Support!BZ68*(1-EXP(-S13_PSP_Species_Support!CA68*20))^S13_PSP_Species_Support!CB68)^2*(S13_PSP_Species_Support!CC68*(1-EXP(-S13_PSP_Species_Support!CD68*20))^S13_PSP_Species_Support!CE68))^0.976,0)+IFERROR(S13_PSP_Species_Support!CI68*0.0673*(S13_PSP_Species_Support!CJ68*(S13_PSP_Species_Support!CK68*(1-EXP(-S13_PSP_Species_Support!CL68*20))^S13_PSP_Species_Support!CM68)^2*(S13_PSP_Species_Support!CN68*(1-EXP(-S13_PSP_Species_Support!CO68*20))^S13_PSP_Species_Support!CP68))^0.976,0)+IFERROR(S13_PSP_Species_Support!CT68*0.0673*(S13_PSP_Species_Support!CU68*(S13_PSP_Species_Support!CV68*(1-EXP(-S13_PSP_Species_Support!CW68*20))^S13_PSP_Species_Support!CX68)^2*(S13_PSP_Species_Support!CY68*(1-EXP(-S13_PSP_Species_Support!CZ68*20))^S13_PSP_Species_Support!DA68))^0.976,0))/1000/$G81*AC$108,0)</x:f>
        <x:v>1769.912088898869</x:v>
      </x:c>
      <x:c r="AD81" s="148" t="n">
        <x:f aca="0">IF(2020&lt;$F81,0,INDEX($I81:$AC81,1,2020-$F81+1))</x:f>
        <x:v>0</x:v>
      </x:c>
      <x:c r="AE81" s="148" t="n">
        <x:f aca="0">IF(2021&lt;$F81,0,INDEX($I81:$AC81,1,2021-$F81+1))</x:f>
        <x:v>0</x:v>
      </x:c>
      <x:c r="AF81" s="148" t="n">
        <x:f aca="0">IF(2022&lt;$F81,0,INDEX($I81:$AC81,1,2022-$F81+1))</x:f>
        <x:v>0</x:v>
      </x:c>
      <x:c r="AG81" s="148" t="n">
        <x:f aca="0">IF(2023&lt;$F81,0,INDEX($I81:$AC81,1,2023-$F81+1))</x:f>
        <x:v>0</x:v>
      </x:c>
      <x:c r="AH81" s="148" t="n">
        <x:f aca="0">IF(2024&lt;$F81,0,INDEX($I81:$AC81,1,2024-$F81+1))</x:f>
        <x:v>0</x:v>
      </x:c>
      <x:c r="AI81" s="148" t="n">
        <x:f aca="0">IF(2025&lt;$F81,0,INDEX($I81:$AC81,1,2025-$F81+1))</x:f>
        <x:v>2.1932642268998075</x:v>
      </x:c>
      <x:c r="AJ81" s="148" t="n">
        <x:f aca="0">IF(2026&lt;$F81,0,INDEX($I81:$AC81,1,2026-$F81+1))</x:f>
        <x:v>20.692316414331078</x:v>
      </x:c>
      <x:c r="AK81" s="148" t="n">
        <x:f aca="0">IF(2027&lt;$F81,0,INDEX($I81:$AC81,1,2027-$F81+1))</x:f>
        <x:v>68.48313895158836</x:v>
      </x:c>
      <x:c r="AL81" s="148" t="n">
        <x:f aca="0">IF(2028&lt;$F81,0,INDEX($I81:$AC81,1,2028-$F81+1))</x:f>
        <x:v>149.27847014118026</x:v>
      </x:c>
      <x:c r="AM81" s="148" t="n">
        <x:f aca="0">IF(2029&lt;$F81,0,INDEX($I81:$AC81,1,2029-$F81+1))</x:f>
        <x:v>258.4658074046353</x:v>
      </x:c>
      <x:c r="AN81" s="148" t="n">
        <x:f aca="0">IF(2030&lt;$F81,0,INDEX($I81:$AC81,1,2030-$F81+1))</x:f>
        <x:v>388.10332943795146</x:v>
      </x:c>
      <x:c r="AO81" s="148" t="n">
        <x:f aca="0">IF(2031&lt;$F81,0,INDEX($I81:$AC81,1,2031-$F81+1))</x:f>
        <x:v>529.593099686927</x:v>
      </x:c>
      <x:c r="AP81" s="148" t="n">
        <x:f aca="0">IF(2032&lt;$F81,0,INDEX($I81:$AC81,1,2032-$F81+1))</x:f>
        <x:v>675.2691371412226</x:v>
      </x:c>
      <x:c r="AQ81" s="148" t="n">
        <x:f aca="0">IF(2033&lt;$F81,0,INDEX($I81:$AC81,1,2033-$F81+1))</x:f>
        <x:v>819.0564007516786</x:v>
      </x:c>
      <x:c r="AR81" s="148" t="n">
        <x:f aca="0">IF(2034&lt;$F81,0,INDEX($I81:$AC81,1,2034-$F81+1))</x:f>
        <x:v>956.5762949686363</x:v>
      </x:c>
      <x:c r="AS81" s="148" t="n">
        <x:f aca="0">IF(2035&lt;$F81,0,INDEX($I81:$AC81,1,2035-$F81+1))</x:f>
        <x:v>1084.9719869930154</x:v>
      </x:c>
      <x:c r="AT81" s="148" t="n">
        <x:f aca="0">IF(2036&lt;$F81,0,INDEX($I81:$AC81,1,2036-$F81+1))</x:f>
        <x:v>1202.624004149056</x:v>
      </x:c>
      <x:c r="AU81" s="148" t="n">
        <x:f aca="0">IF(2037&lt;$F81,0,INDEX($I81:$AC81,1,2037-$F81+1))</x:f>
        <x:v>1308.8507448472897</x:v>
      </x:c>
      <x:c r="AV81" s="148" t="n">
        <x:f aca="0">IF(2038&lt;$F81,0,INDEX($I81:$AC81,1,2038-$F81+1))</x:f>
        <x:v>1403.6397227103473</x:v>
      </x:c>
      <x:c r="AW81" s="148" t="n">
        <x:f aca="0">IF(2039&lt;$F81,0,INDEX($I81:$AC81,1,2039-$F81+1))</x:f>
        <x:v>1487.4267699541213</x:v>
      </x:c>
      <x:c r="AX81" s="148" t="n">
        <x:f aca="0">IF(2040&lt;$F81,0,INDEX($I81:$AC81,1,2040-$F81+1))</x:f>
        <x:v>1560.9251611672394</x:v>
      </x:c>
      <x:c r="AY81" s="1" t="str">
        <x:f aca="0">LEFT($C81,FIND("@",SUBSTITUTE($C81,"|","@",2))-1)</x:f>
        <x:v>Timber Plantation|Medium</x:v>
      </x:c>
      <x:c r="AZ81" s="1" t="str">
        <x:f aca="0">LEFT($C81,FIND("|",$C81)-1)</x:f>
        <x:v>Timber Plantation</x:v>
      </x:c>
      <x:c r="BA81" s="149" t="n">
        <x:f aca="0">I81*I81</x:f>
        <x:v>0</x:v>
      </x:c>
      <x:c r="BB81" s="149" t="n">
        <x:f aca="0">J81*J81</x:f>
        <x:v>4.81040796899841</x:v>
      </x:c>
      <x:c r="BC81" s="149" t="n">
        <x:f aca="0">K81*K81</x:f>
        <x:v>428.1719585907953</x:v>
      </x:c>
      <x:c r="BD81" s="149" t="n">
        <x:f aca="0">L81*L81</x:f>
        <x:v>4689.940320662558</x:v>
      </x:c>
      <x:c r="BE81" s="149" t="n">
        <x:f aca="0">M81*M81</x:f>
        <x:v>22284.061647691247</x:v>
      </x:c>
      <x:c r="BF81" s="149" t="n">
        <x:f aca="0">N81*N81</x:f>
        <x:v>66804.57359733003</x:v>
      </x:c>
      <x:c r="BG81" s="149" t="n">
        <x:f aca="0">O81*O81</x:f>
        <x:v>150624.19432082307</x:v>
      </x:c>
      <x:c r="BH81" s="149" t="n">
        <x:f aca="0">P81*P81</x:f>
        <x:v>280468.85123600735</x:v>
      </x:c>
      <x:c r="BI81" s="149" t="n">
        <x:f aca="0">Q81*Q81</x:f>
        <x:v>455988.4075754513</x:v>
      </x:c>
      <x:c r="BJ81" s="149" t="n">
        <x:f aca="0">R81*R81</x:f>
        <x:v>670853.3876122943</x:v>
      </x:c>
      <x:c r="BK81" s="149" t="n">
        <x:f aca="0">S81*S81</x:f>
        <x:v>915038.2080959234</x:v>
      </x:c>
      <x:c r="BL81" s="149" t="n">
        <x:f aca="0">T81*T81</x:f>
        <x:v>1177164.212559572</x:v>
      </x:c>
      <x:c r="BM81" s="149" t="n">
        <x:f aca="0">U81*U81</x:f>
        <x:v>1446304.4953555085</x:v>
      </x:c>
      <x:c r="BN81" s="149" t="n">
        <x:f aca="0">V81*V81</x:f>
        <x:v>1713090.272287305</x:v>
      </x:c>
      <x:c r="BO81" s="149" t="n">
        <x:f aca="0">W81*W81</x:f>
        <x:v>1970204.4711703807</x:v>
      </x:c>
      <x:c r="BP81" s="149" t="n">
        <x:f aca="0">X81*X81</x:f>
        <x:v>2212438.3959761504</x:v>
      </x:c>
      <x:c r="BQ81" s="149" t="n">
        <x:f aca="0">Y81*Y81</x:f>
        <x:v>2436487.358764972</x:v>
      </x:c>
      <x:c r="BR81" s="149" t="n">
        <x:f aca="0">Z81*Z81</x:f>
        <x:v>2640623.1937795514</x:v>
      </x:c>
      <x:c r="BS81" s="149" t="n">
        <x:f aca="0">AA81*AA81</x:f>
        <x:v>2824336.232618553</x:v>
      </x:c>
      <x:c r="BT81" s="149" t="n">
        <x:f aca="0">AB81*AB81</x:f>
        <x:v>2988000.613102175</x:v>
      </x:c>
      <x:c r="BU81" s="149" t="n">
        <x:f aca="0">AC81*AC81</x:f>
        <x:v>3132588.802430358</x:v>
      </x:c>
    </x:row>
    <x:row r="84" ht="15" hidden="0" customHeight="1">
      <x:c r="A84" s="150" t="s">
        <x:v>1041</x:v>
      </x:c>
      <x:c r="B84" s="150"/>
      <x:c r="C84" s="150"/>
      <x:c r="D84" s="150"/>
      <x:c r="E84" s="150"/>
      <x:c r="F84" s="150"/>
      <x:c r="G84" s="150"/>
      <x:c r="H84" s="150"/>
      <x:c r="I84" s="150"/>
      <x:c r="J84" s="150"/>
      <x:c r="K84" s="150"/>
      <x:c r="L84" s="150"/>
      <x:c r="M84" s="150"/>
      <x:c r="N84" s="150"/>
    </x:row>
    <x:row r="85" ht="15" hidden="0" customHeight="1">
      <x:c r="A85" s="1" t="s">
        <x:v>1042</x:v>
      </x:c>
      <x:c r="B85" s="151" t="s">
        <x:v>540</x:v>
      </x:c>
      <x:c r="C85" s="1" t="s">
        <x:v>996</x:v>
      </x:c>
      <x:c r="D85" s="1" t="n">
        <x:f aca="0">MATCH(B85,S13_PSP_Species_Support!$A:$A,0)</x:f>
        <x:v>2</x:v>
      </x:c>
    </x:row>
    <x:row r="87" ht="15" hidden="0" customHeight="1">
      <x:c r="A87" s="46" t="s">
        <x:v>1043</x:v>
      </x:c>
      <x:c r="B87" s="46" t="s">
        <x:v>1044</x:v>
      </x:c>
      <x:c r="C87" s="46" t="s">
        <x:v>1045</x:v>
      </x:c>
      <x:c r="D87" s="46" t="s">
        <x:v>1046</x:v>
      </x:c>
      <x:c r="E87" s="46" t="s">
        <x:v>1047</x:v>
      </x:c>
    </x:row>
    <x:row r="88" ht="15" hidden="0" customHeight="1">
      <x:c r="A88" s="1" t="n">
        <x:v>0</x:v>
      </x:c>
      <x:c r="B88" s="1" t="n">
        <x:f aca="0">INDEX(S13_PSP_Species_Support!$E:$E,$D$85)+A88</x:f>
        <x:v>2020</x:v>
      </x:c>
      <x:c r="C88"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88))^INDEX(S13_PSP_Species_Support!$Y:$Y,$D$85)),0)+IFERROR(INDEX(S13_PSP_Species_Support!$AF:$AF,$D$85)*(INDEX(S13_PSP_Species_Support!$AH:$AH,$D$85)*(1-EXP(-INDEX(S13_PSP_Species_Support!$AI:$AI,$D$85)*A88))^INDEX(S13_PSP_Species_Support!$AJ:$AJ,$D$85)),0)+IFERROR(INDEX(S13_PSP_Species_Support!$AQ:$AQ,$D$85)*(INDEX(S13_PSP_Species_Support!$AS:$AS,$D$85)*(1-EXP(-INDEX(S13_PSP_Species_Support!$AT:$AT,$D$85)*A88))^INDEX(S13_PSP_Species_Support!$AU:$AU,$D$85)),0)+IFERROR(INDEX(S13_PSP_Species_Support!$BB:$BB,$D$85)*(INDEX(S13_PSP_Species_Support!$BD:$BD,$D$85)*(1-EXP(-INDEX(S13_PSP_Species_Support!$BE:$BE,$D$85)*A88))^INDEX(S13_PSP_Species_Support!$BF:$BF,$D$85)),0)+IFERROR(INDEX(S13_PSP_Species_Support!$BM:$BM,$D$85)*(INDEX(S13_PSP_Species_Support!$BO:$BO,$D$85)*(1-EXP(-INDEX(S13_PSP_Species_Support!$BP:$BP,$D$85)*A88))^INDEX(S13_PSP_Species_Support!$BQ:$BQ,$D$85)),0)+IFERROR(INDEX(S13_PSP_Species_Support!$BX:$BX,$D$85)*(INDEX(S13_PSP_Species_Support!$BZ:$BZ,$D$85)*(1-EXP(-INDEX(S13_PSP_Species_Support!$CA:$CA,$D$85)*A88))^INDEX(S13_PSP_Species_Support!$CB:$CB,$D$85)),0)+IFERROR(INDEX(S13_PSP_Species_Support!$CI:$CI,$D$85)*(INDEX(S13_PSP_Species_Support!$CK:$CK,$D$85)*(1-EXP(-INDEX(S13_PSP_Species_Support!$CL:$CL,$D$85)*A88))^INDEX(S13_PSP_Species_Support!$CM:$CM,$D$85)),0)+IFERROR(INDEX(S13_PSP_Species_Support!$CT:$CT,$D$85)*(INDEX(S13_PSP_Species_Support!$CV:$CV,$D$85)*(1-EXP(-INDEX(S13_PSP_Species_Support!$CW:$CW,$D$85)*A88))^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0</x:v>
      </x:c>
      <x:c r="D88"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88))^INDEX(S13_PSP_Species_Support!$AB:$AB,$D$85)),0)+IFERROR(INDEX(S13_PSP_Species_Support!$AF:$AF,$D$85)*(INDEX(S13_PSP_Species_Support!$AK:$AK,$D$85)*(1-EXP(-INDEX(S13_PSP_Species_Support!$AL:$AL,$D$85)*A88))^INDEX(S13_PSP_Species_Support!$AM:$AM,$D$85)),0)+IFERROR(INDEX(S13_PSP_Species_Support!$AQ:$AQ,$D$85)*(INDEX(S13_PSP_Species_Support!$AV:$AV,$D$85)*(1-EXP(-INDEX(S13_PSP_Species_Support!$AW:$AW,$D$85)*A88))^INDEX(S13_PSP_Species_Support!$AX:$AX,$D$85)),0)+IFERROR(INDEX(S13_PSP_Species_Support!$BB:$BB,$D$85)*(INDEX(S13_PSP_Species_Support!$BG:$BG,$D$85)*(1-EXP(-INDEX(S13_PSP_Species_Support!$BH:$BH,$D$85)*A88))^INDEX(S13_PSP_Species_Support!$BI:$BI,$D$85)),0)+IFERROR(INDEX(S13_PSP_Species_Support!$BM:$BM,$D$85)*(INDEX(S13_PSP_Species_Support!$BR:$BR,$D$85)*(1-EXP(-INDEX(S13_PSP_Species_Support!$BS:$BS,$D$85)*A88))^INDEX(S13_PSP_Species_Support!$BT:$BT,$D$85)),0)+IFERROR(INDEX(S13_PSP_Species_Support!$BX:$BX,$D$85)*(INDEX(S13_PSP_Species_Support!$CC:$CC,$D$85)*(1-EXP(-INDEX(S13_PSP_Species_Support!$CD:$CD,$D$85)*A88))^INDEX(S13_PSP_Species_Support!$CE:$CE,$D$85)),0)+IFERROR(INDEX(S13_PSP_Species_Support!$CI:$CI,$D$85)*(INDEX(S13_PSP_Species_Support!$CN:$CN,$D$85)*(1-EXP(-INDEX(S13_PSP_Species_Support!$CO:$CO,$D$85)*A88))^INDEX(S13_PSP_Species_Support!$CP:$CP,$D$85)),0)+IFERROR(INDEX(S13_PSP_Species_Support!$CT:$CT,$D$85)*(INDEX(S13_PSP_Species_Support!$CY:$CY,$D$85)*(1-EXP(-INDEX(S13_PSP_Species_Support!$CZ:$CZ,$D$85)*A88))^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0</x:v>
      </x:c>
      <x:c r="E88" s="147" t="n">
        <x:f aca="0">INDEX($I$15:$AC$81,MATCH($B$85,$A$15:$A$81,0),A88+1)</x:f>
        <x:v>0</x:v>
      </x:c>
    </x:row>
    <x:row r="89" ht="15" hidden="0" customHeight="1">
      <x:c r="A89" s="1" t="n">
        <x:v>1</x:v>
      </x:c>
      <x:c r="B89" s="1" t="n">
        <x:f aca="0">INDEX(S13_PSP_Species_Support!$E:$E,$D$85)+A89</x:f>
        <x:v>2021</x:v>
      </x:c>
      <x:c r="C89"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89))^INDEX(S13_PSP_Species_Support!$Y:$Y,$D$85)),0)+IFERROR(INDEX(S13_PSP_Species_Support!$AF:$AF,$D$85)*(INDEX(S13_PSP_Species_Support!$AH:$AH,$D$85)*(1-EXP(-INDEX(S13_PSP_Species_Support!$AI:$AI,$D$85)*A89))^INDEX(S13_PSP_Species_Support!$AJ:$AJ,$D$85)),0)+IFERROR(INDEX(S13_PSP_Species_Support!$AQ:$AQ,$D$85)*(INDEX(S13_PSP_Species_Support!$AS:$AS,$D$85)*(1-EXP(-INDEX(S13_PSP_Species_Support!$AT:$AT,$D$85)*A89))^INDEX(S13_PSP_Species_Support!$AU:$AU,$D$85)),0)+IFERROR(INDEX(S13_PSP_Species_Support!$BB:$BB,$D$85)*(INDEX(S13_PSP_Species_Support!$BD:$BD,$D$85)*(1-EXP(-INDEX(S13_PSP_Species_Support!$BE:$BE,$D$85)*A89))^INDEX(S13_PSP_Species_Support!$BF:$BF,$D$85)),0)+IFERROR(INDEX(S13_PSP_Species_Support!$BM:$BM,$D$85)*(INDEX(S13_PSP_Species_Support!$BO:$BO,$D$85)*(1-EXP(-INDEX(S13_PSP_Species_Support!$BP:$BP,$D$85)*A89))^INDEX(S13_PSP_Species_Support!$BQ:$BQ,$D$85)),0)+IFERROR(INDEX(S13_PSP_Species_Support!$BX:$BX,$D$85)*(INDEX(S13_PSP_Species_Support!$BZ:$BZ,$D$85)*(1-EXP(-INDEX(S13_PSP_Species_Support!$CA:$CA,$D$85)*A89))^INDEX(S13_PSP_Species_Support!$CB:$CB,$D$85)),0)+IFERROR(INDEX(S13_PSP_Species_Support!$CI:$CI,$D$85)*(INDEX(S13_PSP_Species_Support!$CK:$CK,$D$85)*(1-EXP(-INDEX(S13_PSP_Species_Support!$CL:$CL,$D$85)*A89))^INDEX(S13_PSP_Species_Support!$CM:$CM,$D$85)),0)+IFERROR(INDEX(S13_PSP_Species_Support!$CT:$CT,$D$85)*(INDEX(S13_PSP_Species_Support!$CV:$CV,$D$85)*(1-EXP(-INDEX(S13_PSP_Species_Support!$CW:$CW,$D$85)*A89))^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1.5980878235344076</x:v>
      </x:c>
      <x:c r="D89"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89))^INDEX(S13_PSP_Species_Support!$AB:$AB,$D$85)),0)+IFERROR(INDEX(S13_PSP_Species_Support!$AF:$AF,$D$85)*(INDEX(S13_PSP_Species_Support!$AK:$AK,$D$85)*(1-EXP(-INDEX(S13_PSP_Species_Support!$AL:$AL,$D$85)*A89))^INDEX(S13_PSP_Species_Support!$AM:$AM,$D$85)),0)+IFERROR(INDEX(S13_PSP_Species_Support!$AQ:$AQ,$D$85)*(INDEX(S13_PSP_Species_Support!$AV:$AV,$D$85)*(1-EXP(-INDEX(S13_PSP_Species_Support!$AW:$AW,$D$85)*A89))^INDEX(S13_PSP_Species_Support!$AX:$AX,$D$85)),0)+IFERROR(INDEX(S13_PSP_Species_Support!$BB:$BB,$D$85)*(INDEX(S13_PSP_Species_Support!$BG:$BG,$D$85)*(1-EXP(-INDEX(S13_PSP_Species_Support!$BH:$BH,$D$85)*A89))^INDEX(S13_PSP_Species_Support!$BI:$BI,$D$85)),0)+IFERROR(INDEX(S13_PSP_Species_Support!$BM:$BM,$D$85)*(INDEX(S13_PSP_Species_Support!$BR:$BR,$D$85)*(1-EXP(-INDEX(S13_PSP_Species_Support!$BS:$BS,$D$85)*A89))^INDEX(S13_PSP_Species_Support!$BT:$BT,$D$85)),0)+IFERROR(INDEX(S13_PSP_Species_Support!$BX:$BX,$D$85)*(INDEX(S13_PSP_Species_Support!$CC:$CC,$D$85)*(1-EXP(-INDEX(S13_PSP_Species_Support!$CD:$CD,$D$85)*A89))^INDEX(S13_PSP_Species_Support!$CE:$CE,$D$85)),0)+IFERROR(INDEX(S13_PSP_Species_Support!$CI:$CI,$D$85)*(INDEX(S13_PSP_Species_Support!$CN:$CN,$D$85)*(1-EXP(-INDEX(S13_PSP_Species_Support!$CO:$CO,$D$85)*A89))^INDEX(S13_PSP_Species_Support!$CP:$CP,$D$85)),0)+IFERROR(INDEX(S13_PSP_Species_Support!$CT:$CT,$D$85)*(INDEX(S13_PSP_Species_Support!$CY:$CY,$D$85)*(1-EXP(-INDEX(S13_PSP_Species_Support!$CZ:$CZ,$D$85)*A89))^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1.0183244976660595</x:v>
      </x:c>
      <x:c r="E89" s="147" t="n">
        <x:f aca="0">INDEX($I$15:$AC$81,MATCH($B$85,$A$15:$A$81,0),A89+1)</x:f>
        <x:v>0.06200581938748004</x:v>
      </x:c>
    </x:row>
    <x:row r="90" ht="15" hidden="0" customHeight="1">
      <x:c r="A90" s="1" t="n">
        <x:v>2</x:v>
      </x:c>
      <x:c r="B90" s="1" t="n">
        <x:f aca="0">INDEX(S13_PSP_Species_Support!$E:$E,$D$85)+A90</x:f>
        <x:v>2022</x:v>
      </x:c>
      <x:c r="C90"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90))^INDEX(S13_PSP_Species_Support!$Y:$Y,$D$85)),0)+IFERROR(INDEX(S13_PSP_Species_Support!$AF:$AF,$D$85)*(INDEX(S13_PSP_Species_Support!$AH:$AH,$D$85)*(1-EXP(-INDEX(S13_PSP_Species_Support!$AI:$AI,$D$85)*A90))^INDEX(S13_PSP_Species_Support!$AJ:$AJ,$D$85)),0)+IFERROR(INDEX(S13_PSP_Species_Support!$AQ:$AQ,$D$85)*(INDEX(S13_PSP_Species_Support!$AS:$AS,$D$85)*(1-EXP(-INDEX(S13_PSP_Species_Support!$AT:$AT,$D$85)*A90))^INDEX(S13_PSP_Species_Support!$AU:$AU,$D$85)),0)+IFERROR(INDEX(S13_PSP_Species_Support!$BB:$BB,$D$85)*(INDEX(S13_PSP_Species_Support!$BD:$BD,$D$85)*(1-EXP(-INDEX(S13_PSP_Species_Support!$BE:$BE,$D$85)*A90))^INDEX(S13_PSP_Species_Support!$BF:$BF,$D$85)),0)+IFERROR(INDEX(S13_PSP_Species_Support!$BM:$BM,$D$85)*(INDEX(S13_PSP_Species_Support!$BO:$BO,$D$85)*(1-EXP(-INDEX(S13_PSP_Species_Support!$BP:$BP,$D$85)*A90))^INDEX(S13_PSP_Species_Support!$BQ:$BQ,$D$85)),0)+IFERROR(INDEX(S13_PSP_Species_Support!$BX:$BX,$D$85)*(INDEX(S13_PSP_Species_Support!$BZ:$BZ,$D$85)*(1-EXP(-INDEX(S13_PSP_Species_Support!$CA:$CA,$D$85)*A90))^INDEX(S13_PSP_Species_Support!$CB:$CB,$D$85)),0)+IFERROR(INDEX(S13_PSP_Species_Support!$CI:$CI,$D$85)*(INDEX(S13_PSP_Species_Support!$CK:$CK,$D$85)*(1-EXP(-INDEX(S13_PSP_Species_Support!$CL:$CL,$D$85)*A90))^INDEX(S13_PSP_Species_Support!$CM:$CM,$D$85)),0)+IFERROR(INDEX(S13_PSP_Species_Support!$CT:$CT,$D$85)*(INDEX(S13_PSP_Species_Support!$CV:$CV,$D$85)*(1-EXP(-INDEX(S13_PSP_Species_Support!$CW:$CW,$D$85)*A90))^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3.9119737614393992</x:v>
      </x:c>
      <x:c r="D90"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90))^INDEX(S13_PSP_Species_Support!$AB:$AB,$D$85)),0)+IFERROR(INDEX(S13_PSP_Species_Support!$AF:$AF,$D$85)*(INDEX(S13_PSP_Species_Support!$AK:$AK,$D$85)*(1-EXP(-INDEX(S13_PSP_Species_Support!$AL:$AL,$D$85)*A90))^INDEX(S13_PSP_Species_Support!$AM:$AM,$D$85)),0)+IFERROR(INDEX(S13_PSP_Species_Support!$AQ:$AQ,$D$85)*(INDEX(S13_PSP_Species_Support!$AV:$AV,$D$85)*(1-EXP(-INDEX(S13_PSP_Species_Support!$AW:$AW,$D$85)*A90))^INDEX(S13_PSP_Species_Support!$AX:$AX,$D$85)),0)+IFERROR(INDEX(S13_PSP_Species_Support!$BB:$BB,$D$85)*(INDEX(S13_PSP_Species_Support!$BG:$BG,$D$85)*(1-EXP(-INDEX(S13_PSP_Species_Support!$BH:$BH,$D$85)*A90))^INDEX(S13_PSP_Species_Support!$BI:$BI,$D$85)),0)+IFERROR(INDEX(S13_PSP_Species_Support!$BM:$BM,$D$85)*(INDEX(S13_PSP_Species_Support!$BR:$BR,$D$85)*(1-EXP(-INDEX(S13_PSP_Species_Support!$BS:$BS,$D$85)*A90))^INDEX(S13_PSP_Species_Support!$BT:$BT,$D$85)),0)+IFERROR(INDEX(S13_PSP_Species_Support!$BX:$BX,$D$85)*(INDEX(S13_PSP_Species_Support!$CC:$CC,$D$85)*(1-EXP(-INDEX(S13_PSP_Species_Support!$CD:$CD,$D$85)*A90))^INDEX(S13_PSP_Species_Support!$CE:$CE,$D$85)),0)+IFERROR(INDEX(S13_PSP_Species_Support!$CI:$CI,$D$85)*(INDEX(S13_PSP_Species_Support!$CN:$CN,$D$85)*(1-EXP(-INDEX(S13_PSP_Species_Support!$CO:$CO,$D$85)*A90))^INDEX(S13_PSP_Species_Support!$CP:$CP,$D$85)),0)+IFERROR(INDEX(S13_PSP_Species_Support!$CT:$CT,$D$85)*(INDEX(S13_PSP_Species_Support!$CY:$CY,$D$85)*(1-EXP(-INDEX(S13_PSP_Species_Support!$CZ:$CZ,$D$85)*A90))^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2.2515839491237988</x:v>
      </x:c>
      <x:c r="E90" s="147" t="n">
        <x:f aca="0">INDEX($I$15:$AC$81,MATCH($B$85,$A$15:$A$81,0),A90+1)</x:f>
        <x:v>0.7451886051772845</x:v>
      </x:c>
    </x:row>
    <x:row r="91" ht="15" hidden="0" customHeight="1">
      <x:c r="A91" s="1" t="n">
        <x:v>3</x:v>
      </x:c>
      <x:c r="B91" s="1" t="n">
        <x:f aca="0">INDEX(S13_PSP_Species_Support!$E:$E,$D$85)+A91</x:f>
        <x:v>2023</x:v>
      </x:c>
      <x:c r="C91"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91))^INDEX(S13_PSP_Species_Support!$Y:$Y,$D$85)),0)+IFERROR(INDEX(S13_PSP_Species_Support!$AF:$AF,$D$85)*(INDEX(S13_PSP_Species_Support!$AH:$AH,$D$85)*(1-EXP(-INDEX(S13_PSP_Species_Support!$AI:$AI,$D$85)*A91))^INDEX(S13_PSP_Species_Support!$AJ:$AJ,$D$85)),0)+IFERROR(INDEX(S13_PSP_Species_Support!$AQ:$AQ,$D$85)*(INDEX(S13_PSP_Species_Support!$AS:$AS,$D$85)*(1-EXP(-INDEX(S13_PSP_Species_Support!$AT:$AT,$D$85)*A91))^INDEX(S13_PSP_Species_Support!$AU:$AU,$D$85)),0)+IFERROR(INDEX(S13_PSP_Species_Support!$BB:$BB,$D$85)*(INDEX(S13_PSP_Species_Support!$BD:$BD,$D$85)*(1-EXP(-INDEX(S13_PSP_Species_Support!$BE:$BE,$D$85)*A91))^INDEX(S13_PSP_Species_Support!$BF:$BF,$D$85)),0)+IFERROR(INDEX(S13_PSP_Species_Support!$BM:$BM,$D$85)*(INDEX(S13_PSP_Species_Support!$BO:$BO,$D$85)*(1-EXP(-INDEX(S13_PSP_Species_Support!$BP:$BP,$D$85)*A91))^INDEX(S13_PSP_Species_Support!$BQ:$BQ,$D$85)),0)+IFERROR(INDEX(S13_PSP_Species_Support!$BX:$BX,$D$85)*(INDEX(S13_PSP_Species_Support!$BZ:$BZ,$D$85)*(1-EXP(-INDEX(S13_PSP_Species_Support!$CA:$CA,$D$85)*A91))^INDEX(S13_PSP_Species_Support!$CB:$CB,$D$85)),0)+IFERROR(INDEX(S13_PSP_Species_Support!$CI:$CI,$D$85)*(INDEX(S13_PSP_Species_Support!$CK:$CK,$D$85)*(1-EXP(-INDEX(S13_PSP_Species_Support!$CL:$CL,$D$85)*A91))^INDEX(S13_PSP_Species_Support!$CM:$CM,$D$85)),0)+IFERROR(INDEX(S13_PSP_Species_Support!$CT:$CT,$D$85)*(INDEX(S13_PSP_Species_Support!$CV:$CV,$D$85)*(1-EXP(-INDEX(S13_PSP_Species_Support!$CW:$CW,$D$85)*A91))^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6.324775663754709</x:v>
      </x:c>
      <x:c r="D91"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91))^INDEX(S13_PSP_Species_Support!$AB:$AB,$D$85)),0)+IFERROR(INDEX(S13_PSP_Species_Support!$AF:$AF,$D$85)*(INDEX(S13_PSP_Species_Support!$AK:$AK,$D$85)*(1-EXP(-INDEX(S13_PSP_Species_Support!$AL:$AL,$D$85)*A91))^INDEX(S13_PSP_Species_Support!$AM:$AM,$D$85)),0)+IFERROR(INDEX(S13_PSP_Species_Support!$AQ:$AQ,$D$85)*(INDEX(S13_PSP_Species_Support!$AV:$AV,$D$85)*(1-EXP(-INDEX(S13_PSP_Species_Support!$AW:$AW,$D$85)*A91))^INDEX(S13_PSP_Species_Support!$AX:$AX,$D$85)),0)+IFERROR(INDEX(S13_PSP_Species_Support!$BB:$BB,$D$85)*(INDEX(S13_PSP_Species_Support!$BG:$BG,$D$85)*(1-EXP(-INDEX(S13_PSP_Species_Support!$BH:$BH,$D$85)*A91))^INDEX(S13_PSP_Species_Support!$BI:$BI,$D$85)),0)+IFERROR(INDEX(S13_PSP_Species_Support!$BM:$BM,$D$85)*(INDEX(S13_PSP_Species_Support!$BR:$BR,$D$85)*(1-EXP(-INDEX(S13_PSP_Species_Support!$BS:$BS,$D$85)*A91))^INDEX(S13_PSP_Species_Support!$BT:$BT,$D$85)),0)+IFERROR(INDEX(S13_PSP_Species_Support!$BX:$BX,$D$85)*(INDEX(S13_PSP_Species_Support!$CC:$CC,$D$85)*(1-EXP(-INDEX(S13_PSP_Species_Support!$CD:$CD,$D$85)*A91))^INDEX(S13_PSP_Species_Support!$CE:$CE,$D$85)),0)+IFERROR(INDEX(S13_PSP_Species_Support!$CI:$CI,$D$85)*(INDEX(S13_PSP_Species_Support!$CN:$CN,$D$85)*(1-EXP(-INDEX(S13_PSP_Species_Support!$CO:$CO,$D$85)*A91))^INDEX(S13_PSP_Species_Support!$CP:$CP,$D$85)),0)+IFERROR(INDEX(S13_PSP_Species_Support!$CT:$CT,$D$85)*(INDEX(S13_PSP_Species_Support!$CY:$CY,$D$85)*(1-EXP(-INDEX(S13_PSP_Species_Support!$CZ:$CZ,$D$85)*A91))^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3.3931887912252408</x:v>
      </x:c>
      <x:c r="E91" s="147" t="n">
        <x:f aca="0">INDEX($I$15:$AC$81,MATCH($B$85,$A$15:$A$81,0),A91+1)</x:f>
        <x:v>2.808208636119083</x:v>
      </x:c>
    </x:row>
    <x:row r="92" ht="15" hidden="0" customHeight="1">
      <x:c r="A92" s="1" t="n">
        <x:v>4</x:v>
      </x:c>
      <x:c r="B92" s="1" t="n">
        <x:f aca="0">INDEX(S13_PSP_Species_Support!$E:$E,$D$85)+A92</x:f>
        <x:v>2024</x:v>
      </x:c>
      <x:c r="C92"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92))^INDEX(S13_PSP_Species_Support!$Y:$Y,$D$85)),0)+IFERROR(INDEX(S13_PSP_Species_Support!$AF:$AF,$D$85)*(INDEX(S13_PSP_Species_Support!$AH:$AH,$D$85)*(1-EXP(-INDEX(S13_PSP_Species_Support!$AI:$AI,$D$85)*A92))^INDEX(S13_PSP_Species_Support!$AJ:$AJ,$D$85)),0)+IFERROR(INDEX(S13_PSP_Species_Support!$AQ:$AQ,$D$85)*(INDEX(S13_PSP_Species_Support!$AS:$AS,$D$85)*(1-EXP(-INDEX(S13_PSP_Species_Support!$AT:$AT,$D$85)*A92))^INDEX(S13_PSP_Species_Support!$AU:$AU,$D$85)),0)+IFERROR(INDEX(S13_PSP_Species_Support!$BB:$BB,$D$85)*(INDEX(S13_PSP_Species_Support!$BD:$BD,$D$85)*(1-EXP(-INDEX(S13_PSP_Species_Support!$BE:$BE,$D$85)*A92))^INDEX(S13_PSP_Species_Support!$BF:$BF,$D$85)),0)+IFERROR(INDEX(S13_PSP_Species_Support!$BM:$BM,$D$85)*(INDEX(S13_PSP_Species_Support!$BO:$BO,$D$85)*(1-EXP(-INDEX(S13_PSP_Species_Support!$BP:$BP,$D$85)*A92))^INDEX(S13_PSP_Species_Support!$BQ:$BQ,$D$85)),0)+IFERROR(INDEX(S13_PSP_Species_Support!$BX:$BX,$D$85)*(INDEX(S13_PSP_Species_Support!$BZ:$BZ,$D$85)*(1-EXP(-INDEX(S13_PSP_Species_Support!$CA:$CA,$D$85)*A92))^INDEX(S13_PSP_Species_Support!$CB:$CB,$D$85)),0)+IFERROR(INDEX(S13_PSP_Species_Support!$CI:$CI,$D$85)*(INDEX(S13_PSP_Species_Support!$CK:$CK,$D$85)*(1-EXP(-INDEX(S13_PSP_Species_Support!$CL:$CL,$D$85)*A92))^INDEX(S13_PSP_Species_Support!$CM:$CM,$D$85)),0)+IFERROR(INDEX(S13_PSP_Species_Support!$CT:$CT,$D$85)*(INDEX(S13_PSP_Species_Support!$CV:$CV,$D$85)*(1-EXP(-INDEX(S13_PSP_Species_Support!$CW:$CW,$D$85)*A92))^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8.644007801651059</x:v>
      </x:c>
      <x:c r="D92"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92))^INDEX(S13_PSP_Species_Support!$AB:$AB,$D$85)),0)+IFERROR(INDEX(S13_PSP_Species_Support!$AF:$AF,$D$85)*(INDEX(S13_PSP_Species_Support!$AK:$AK,$D$85)*(1-EXP(-INDEX(S13_PSP_Species_Support!$AL:$AL,$D$85)*A92))^INDEX(S13_PSP_Species_Support!$AM:$AM,$D$85)),0)+IFERROR(INDEX(S13_PSP_Species_Support!$AQ:$AQ,$D$85)*(INDEX(S13_PSP_Species_Support!$AV:$AV,$D$85)*(1-EXP(-INDEX(S13_PSP_Species_Support!$AW:$AW,$D$85)*A92))^INDEX(S13_PSP_Species_Support!$AX:$AX,$D$85)),0)+IFERROR(INDEX(S13_PSP_Species_Support!$BB:$BB,$D$85)*(INDEX(S13_PSP_Species_Support!$BG:$BG,$D$85)*(1-EXP(-INDEX(S13_PSP_Species_Support!$BH:$BH,$D$85)*A92))^INDEX(S13_PSP_Species_Support!$BI:$BI,$D$85)),0)+IFERROR(INDEX(S13_PSP_Species_Support!$BM:$BM,$D$85)*(INDEX(S13_PSP_Species_Support!$BR:$BR,$D$85)*(1-EXP(-INDEX(S13_PSP_Species_Support!$BS:$BS,$D$85)*A92))^INDEX(S13_PSP_Species_Support!$BT:$BT,$D$85)),0)+IFERROR(INDEX(S13_PSP_Species_Support!$BX:$BX,$D$85)*(INDEX(S13_PSP_Species_Support!$CC:$CC,$D$85)*(1-EXP(-INDEX(S13_PSP_Species_Support!$CD:$CD,$D$85)*A92))^INDEX(S13_PSP_Species_Support!$CE:$CE,$D$85)),0)+IFERROR(INDEX(S13_PSP_Species_Support!$CI:$CI,$D$85)*(INDEX(S13_PSP_Species_Support!$CN:$CN,$D$85)*(1-EXP(-INDEX(S13_PSP_Species_Support!$CO:$CO,$D$85)*A92))^INDEX(S13_PSP_Species_Support!$CP:$CP,$D$85)),0)+IFERROR(INDEX(S13_PSP_Species_Support!$CT:$CT,$D$85)*(INDEX(S13_PSP_Species_Support!$CY:$CY,$D$85)*(1-EXP(-INDEX(S13_PSP_Species_Support!$CZ:$CZ,$D$85)*A92))^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4.385330353143675</x:v>
      </x:c>
      <x:c r="E92" s="147" t="n">
        <x:f aca="0">INDEX($I$15:$AC$81,MATCH($B$85,$A$15:$A$81,0),A92+1)</x:f>
        <x:v>6.660031425119159</x:v>
      </x:c>
    </x:row>
    <x:row r="93" ht="15" hidden="0" customHeight="1">
      <x:c r="A93" s="1" t="n">
        <x:v>5</x:v>
      </x:c>
      <x:c r="B93" s="1" t="n">
        <x:f aca="0">INDEX(S13_PSP_Species_Support!$E:$E,$D$85)+A93</x:f>
        <x:v>2025</x:v>
      </x:c>
      <x:c r="C93"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93))^INDEX(S13_PSP_Species_Support!$Y:$Y,$D$85)),0)+IFERROR(INDEX(S13_PSP_Species_Support!$AF:$AF,$D$85)*(INDEX(S13_PSP_Species_Support!$AH:$AH,$D$85)*(1-EXP(-INDEX(S13_PSP_Species_Support!$AI:$AI,$D$85)*A93))^INDEX(S13_PSP_Species_Support!$AJ:$AJ,$D$85)),0)+IFERROR(INDEX(S13_PSP_Species_Support!$AQ:$AQ,$D$85)*(INDEX(S13_PSP_Species_Support!$AS:$AS,$D$85)*(1-EXP(-INDEX(S13_PSP_Species_Support!$AT:$AT,$D$85)*A93))^INDEX(S13_PSP_Species_Support!$AU:$AU,$D$85)),0)+IFERROR(INDEX(S13_PSP_Species_Support!$BB:$BB,$D$85)*(INDEX(S13_PSP_Species_Support!$BD:$BD,$D$85)*(1-EXP(-INDEX(S13_PSP_Species_Support!$BE:$BE,$D$85)*A93))^INDEX(S13_PSP_Species_Support!$BF:$BF,$D$85)),0)+IFERROR(INDEX(S13_PSP_Species_Support!$BM:$BM,$D$85)*(INDEX(S13_PSP_Species_Support!$BO:$BO,$D$85)*(1-EXP(-INDEX(S13_PSP_Species_Support!$BP:$BP,$D$85)*A93))^INDEX(S13_PSP_Species_Support!$BQ:$BQ,$D$85)),0)+IFERROR(INDEX(S13_PSP_Species_Support!$BX:$BX,$D$85)*(INDEX(S13_PSP_Species_Support!$BZ:$BZ,$D$85)*(1-EXP(-INDEX(S13_PSP_Species_Support!$CA:$CA,$D$85)*A93))^INDEX(S13_PSP_Species_Support!$CB:$CB,$D$85)),0)+IFERROR(INDEX(S13_PSP_Species_Support!$CI:$CI,$D$85)*(INDEX(S13_PSP_Species_Support!$CK:$CK,$D$85)*(1-EXP(-INDEX(S13_PSP_Species_Support!$CL:$CL,$D$85)*A93))^INDEX(S13_PSP_Species_Support!$CM:$CM,$D$85)),0)+IFERROR(INDEX(S13_PSP_Species_Support!$CT:$CT,$D$85)*(INDEX(S13_PSP_Species_Support!$CV:$CV,$D$85)*(1-EXP(-INDEX(S13_PSP_Species_Support!$CW:$CW,$D$85)*A93))^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10.789669959981678</x:v>
      </x:c>
      <x:c r="D93"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93))^INDEX(S13_PSP_Species_Support!$AB:$AB,$D$85)),0)+IFERROR(INDEX(S13_PSP_Species_Support!$AF:$AF,$D$85)*(INDEX(S13_PSP_Species_Support!$AK:$AK,$D$85)*(1-EXP(-INDEX(S13_PSP_Species_Support!$AL:$AL,$D$85)*A93))^INDEX(S13_PSP_Species_Support!$AM:$AM,$D$85)),0)+IFERROR(INDEX(S13_PSP_Species_Support!$AQ:$AQ,$D$85)*(INDEX(S13_PSP_Species_Support!$AV:$AV,$D$85)*(1-EXP(-INDEX(S13_PSP_Species_Support!$AW:$AW,$D$85)*A93))^INDEX(S13_PSP_Species_Support!$AX:$AX,$D$85)),0)+IFERROR(INDEX(S13_PSP_Species_Support!$BB:$BB,$D$85)*(INDEX(S13_PSP_Species_Support!$BG:$BG,$D$85)*(1-EXP(-INDEX(S13_PSP_Species_Support!$BH:$BH,$D$85)*A93))^INDEX(S13_PSP_Species_Support!$BI:$BI,$D$85)),0)+IFERROR(INDEX(S13_PSP_Species_Support!$BM:$BM,$D$85)*(INDEX(S13_PSP_Species_Support!$BR:$BR,$D$85)*(1-EXP(-INDEX(S13_PSP_Species_Support!$BS:$BS,$D$85)*A93))^INDEX(S13_PSP_Species_Support!$BT:$BT,$D$85)),0)+IFERROR(INDEX(S13_PSP_Species_Support!$BX:$BX,$D$85)*(INDEX(S13_PSP_Species_Support!$CC:$CC,$D$85)*(1-EXP(-INDEX(S13_PSP_Species_Support!$CD:$CD,$D$85)*A93))^INDEX(S13_PSP_Species_Support!$CE:$CE,$D$85)),0)+IFERROR(INDEX(S13_PSP_Species_Support!$CI:$CI,$D$85)*(INDEX(S13_PSP_Species_Support!$CN:$CN,$D$85)*(1-EXP(-INDEX(S13_PSP_Species_Support!$CO:$CO,$D$85)*A93))^INDEX(S13_PSP_Species_Support!$CP:$CP,$D$85)),0)+IFERROR(INDEX(S13_PSP_Species_Support!$CT:$CT,$D$85)*(INDEX(S13_PSP_Species_Support!$CY:$CY,$D$85)*(1-EXP(-INDEX(S13_PSP_Species_Support!$CZ:$CZ,$D$85)*A93))^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5.223002181730361</x:v>
      </x:c>
      <x:c r="E93" s="147" t="n">
        <x:f aca="0">INDEX($I$15:$AC$81,MATCH($B$85,$A$15:$A$81,0),A93+1)</x:f>
        <x:v>12.246972137348669</x:v>
      </x:c>
    </x:row>
    <x:row r="94" ht="15" hidden="0" customHeight="1">
      <x:c r="A94" s="1" t="n">
        <x:v>6</x:v>
      </x:c>
      <x:c r="B94" s="1" t="n">
        <x:f aca="0">INDEX(S13_PSP_Species_Support!$E:$E,$D$85)+A94</x:f>
        <x:v>2026</x:v>
      </x:c>
      <x:c r="C94"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94))^INDEX(S13_PSP_Species_Support!$Y:$Y,$D$85)),0)+IFERROR(INDEX(S13_PSP_Species_Support!$AF:$AF,$D$85)*(INDEX(S13_PSP_Species_Support!$AH:$AH,$D$85)*(1-EXP(-INDEX(S13_PSP_Species_Support!$AI:$AI,$D$85)*A94))^INDEX(S13_PSP_Species_Support!$AJ:$AJ,$D$85)),0)+IFERROR(INDEX(S13_PSP_Species_Support!$AQ:$AQ,$D$85)*(INDEX(S13_PSP_Species_Support!$AS:$AS,$D$85)*(1-EXP(-INDEX(S13_PSP_Species_Support!$AT:$AT,$D$85)*A94))^INDEX(S13_PSP_Species_Support!$AU:$AU,$D$85)),0)+IFERROR(INDEX(S13_PSP_Species_Support!$BB:$BB,$D$85)*(INDEX(S13_PSP_Species_Support!$BD:$BD,$D$85)*(1-EXP(-INDEX(S13_PSP_Species_Support!$BE:$BE,$D$85)*A94))^INDEX(S13_PSP_Species_Support!$BF:$BF,$D$85)),0)+IFERROR(INDEX(S13_PSP_Species_Support!$BM:$BM,$D$85)*(INDEX(S13_PSP_Species_Support!$BO:$BO,$D$85)*(1-EXP(-INDEX(S13_PSP_Species_Support!$BP:$BP,$D$85)*A94))^INDEX(S13_PSP_Species_Support!$BQ:$BQ,$D$85)),0)+IFERROR(INDEX(S13_PSP_Species_Support!$BX:$BX,$D$85)*(INDEX(S13_PSP_Species_Support!$BZ:$BZ,$D$85)*(1-EXP(-INDEX(S13_PSP_Species_Support!$CA:$CA,$D$85)*A94))^INDEX(S13_PSP_Species_Support!$CB:$CB,$D$85)),0)+IFERROR(INDEX(S13_PSP_Species_Support!$CI:$CI,$D$85)*(INDEX(S13_PSP_Species_Support!$CK:$CK,$D$85)*(1-EXP(-INDEX(S13_PSP_Species_Support!$CL:$CL,$D$85)*A94))^INDEX(S13_PSP_Species_Support!$CM:$CM,$D$85)),0)+IFERROR(INDEX(S13_PSP_Species_Support!$CT:$CT,$D$85)*(INDEX(S13_PSP_Species_Support!$CV:$CV,$D$85)*(1-EXP(-INDEX(S13_PSP_Species_Support!$CW:$CW,$D$85)*A94))^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12.731673522545185</x:v>
      </x:c>
      <x:c r="D94"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94))^INDEX(S13_PSP_Species_Support!$AB:$AB,$D$85)),0)+IFERROR(INDEX(S13_PSP_Species_Support!$AF:$AF,$D$85)*(INDEX(S13_PSP_Species_Support!$AK:$AK,$D$85)*(1-EXP(-INDEX(S13_PSP_Species_Support!$AL:$AL,$D$85)*A94))^INDEX(S13_PSP_Species_Support!$AM:$AM,$D$85)),0)+IFERROR(INDEX(S13_PSP_Species_Support!$AQ:$AQ,$D$85)*(INDEX(S13_PSP_Species_Support!$AV:$AV,$D$85)*(1-EXP(-INDEX(S13_PSP_Species_Support!$AW:$AW,$D$85)*A94))^INDEX(S13_PSP_Species_Support!$AX:$AX,$D$85)),0)+IFERROR(INDEX(S13_PSP_Species_Support!$BB:$BB,$D$85)*(INDEX(S13_PSP_Species_Support!$BG:$BG,$D$85)*(1-EXP(-INDEX(S13_PSP_Species_Support!$BH:$BH,$D$85)*A94))^INDEX(S13_PSP_Species_Support!$BI:$BI,$D$85)),0)+IFERROR(INDEX(S13_PSP_Species_Support!$BM:$BM,$D$85)*(INDEX(S13_PSP_Species_Support!$BR:$BR,$D$85)*(1-EXP(-INDEX(S13_PSP_Species_Support!$BS:$BS,$D$85)*A94))^INDEX(S13_PSP_Species_Support!$BT:$BT,$D$85)),0)+IFERROR(INDEX(S13_PSP_Species_Support!$BX:$BX,$D$85)*(INDEX(S13_PSP_Species_Support!$CC:$CC,$D$85)*(1-EXP(-INDEX(S13_PSP_Species_Support!$CD:$CD,$D$85)*A94))^INDEX(S13_PSP_Species_Support!$CE:$CE,$D$85)),0)+IFERROR(INDEX(S13_PSP_Species_Support!$CI:$CI,$D$85)*(INDEX(S13_PSP_Species_Support!$CN:$CN,$D$85)*(1-EXP(-INDEX(S13_PSP_Species_Support!$CO:$CO,$D$85)*A94))^INDEX(S13_PSP_Species_Support!$CP:$CP,$D$85)),0)+IFERROR(INDEX(S13_PSP_Species_Support!$CT:$CT,$D$85)*(INDEX(S13_PSP_Species_Support!$CY:$CY,$D$85)*(1-EXP(-INDEX(S13_PSP_Species_Support!$CZ:$CZ,$D$85)*A94))^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5.9189567060401815</x:v>
      </x:c>
      <x:c r="E94" s="147" t="n">
        <x:f aca="0">INDEX($I$15:$AC$81,MATCH($B$85,$A$15:$A$81,0),A94+1)</x:f>
        <x:v>19.247454115427963</x:v>
      </x:c>
    </x:row>
    <x:row r="95" ht="15" hidden="0" customHeight="1">
      <x:c r="A95" s="1" t="n">
        <x:v>7</x:v>
      </x:c>
      <x:c r="B95" s="1" t="n">
        <x:f aca="0">INDEX(S13_PSP_Species_Support!$E:$E,$D$85)+A95</x:f>
        <x:v>2027</x:v>
      </x:c>
      <x:c r="C95"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95))^INDEX(S13_PSP_Species_Support!$Y:$Y,$D$85)),0)+IFERROR(INDEX(S13_PSP_Species_Support!$AF:$AF,$D$85)*(INDEX(S13_PSP_Species_Support!$AH:$AH,$D$85)*(1-EXP(-INDEX(S13_PSP_Species_Support!$AI:$AI,$D$85)*A95))^INDEX(S13_PSP_Species_Support!$AJ:$AJ,$D$85)),0)+IFERROR(INDEX(S13_PSP_Species_Support!$AQ:$AQ,$D$85)*(INDEX(S13_PSP_Species_Support!$AS:$AS,$D$85)*(1-EXP(-INDEX(S13_PSP_Species_Support!$AT:$AT,$D$85)*A95))^INDEX(S13_PSP_Species_Support!$AU:$AU,$D$85)),0)+IFERROR(INDEX(S13_PSP_Species_Support!$BB:$BB,$D$85)*(INDEX(S13_PSP_Species_Support!$BD:$BD,$D$85)*(1-EXP(-INDEX(S13_PSP_Species_Support!$BE:$BE,$D$85)*A95))^INDEX(S13_PSP_Species_Support!$BF:$BF,$D$85)),0)+IFERROR(INDEX(S13_PSP_Species_Support!$BM:$BM,$D$85)*(INDEX(S13_PSP_Species_Support!$BO:$BO,$D$85)*(1-EXP(-INDEX(S13_PSP_Species_Support!$BP:$BP,$D$85)*A95))^INDEX(S13_PSP_Species_Support!$BQ:$BQ,$D$85)),0)+IFERROR(INDEX(S13_PSP_Species_Support!$BX:$BX,$D$85)*(INDEX(S13_PSP_Species_Support!$BZ:$BZ,$D$85)*(1-EXP(-INDEX(S13_PSP_Species_Support!$CA:$CA,$D$85)*A95))^INDEX(S13_PSP_Species_Support!$CB:$CB,$D$85)),0)+IFERROR(INDEX(S13_PSP_Species_Support!$CI:$CI,$D$85)*(INDEX(S13_PSP_Species_Support!$CK:$CK,$D$85)*(1-EXP(-INDEX(S13_PSP_Species_Support!$CL:$CL,$D$85)*A95))^INDEX(S13_PSP_Species_Support!$CM:$CM,$D$85)),0)+IFERROR(INDEX(S13_PSP_Species_Support!$CT:$CT,$D$85)*(INDEX(S13_PSP_Species_Support!$CV:$CV,$D$85)*(1-EXP(-INDEX(S13_PSP_Species_Support!$CW:$CW,$D$85)*A95))^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14.464941848438302</x:v>
      </x:c>
      <x:c r="D95"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95))^INDEX(S13_PSP_Species_Support!$AB:$AB,$D$85)),0)+IFERROR(INDEX(S13_PSP_Species_Support!$AF:$AF,$D$85)*(INDEX(S13_PSP_Species_Support!$AK:$AK,$D$85)*(1-EXP(-INDEX(S13_PSP_Species_Support!$AL:$AL,$D$85)*A95))^INDEX(S13_PSP_Species_Support!$AM:$AM,$D$85)),0)+IFERROR(INDEX(S13_PSP_Species_Support!$AQ:$AQ,$D$85)*(INDEX(S13_PSP_Species_Support!$AV:$AV,$D$85)*(1-EXP(-INDEX(S13_PSP_Species_Support!$AW:$AW,$D$85)*A95))^INDEX(S13_PSP_Species_Support!$AX:$AX,$D$85)),0)+IFERROR(INDEX(S13_PSP_Species_Support!$BB:$BB,$D$85)*(INDEX(S13_PSP_Species_Support!$BG:$BG,$D$85)*(1-EXP(-INDEX(S13_PSP_Species_Support!$BH:$BH,$D$85)*A95))^INDEX(S13_PSP_Species_Support!$BI:$BI,$D$85)),0)+IFERROR(INDEX(S13_PSP_Species_Support!$BM:$BM,$D$85)*(INDEX(S13_PSP_Species_Support!$BR:$BR,$D$85)*(1-EXP(-INDEX(S13_PSP_Species_Support!$BS:$BS,$D$85)*A95))^INDEX(S13_PSP_Species_Support!$BT:$BT,$D$85)),0)+IFERROR(INDEX(S13_PSP_Species_Support!$BX:$BX,$D$85)*(INDEX(S13_PSP_Species_Support!$CC:$CC,$D$85)*(1-EXP(-INDEX(S13_PSP_Species_Support!$CD:$CD,$D$85)*A95))^INDEX(S13_PSP_Species_Support!$CE:$CE,$D$85)),0)+IFERROR(INDEX(S13_PSP_Species_Support!$CI:$CI,$D$85)*(INDEX(S13_PSP_Species_Support!$CN:$CN,$D$85)*(1-EXP(-INDEX(S13_PSP_Species_Support!$CO:$CO,$D$85)*A95))^INDEX(S13_PSP_Species_Support!$CP:$CP,$D$85)),0)+IFERROR(INDEX(S13_PSP_Species_Support!$CT:$CT,$D$85)*(INDEX(S13_PSP_Species_Support!$CY:$CY,$D$85)*(1-EXP(-INDEX(S13_PSP_Species_Support!$CZ:$CZ,$D$85)*A95))^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6.491483495197114</x:v>
      </x:c>
      <x:c r="E95" s="147" t="n">
        <x:f aca="0">INDEX($I$15:$AC$81,MATCH($B$85,$A$15:$A$81,0),A95+1)</x:f>
        <x:v>27.22742998293558</x:v>
      </x:c>
    </x:row>
    <x:row r="96" ht="15" hidden="0" customHeight="1">
      <x:c r="A96" s="1" t="n">
        <x:v>8</x:v>
      </x:c>
      <x:c r="B96" s="1" t="n">
        <x:f aca="0">INDEX(S13_PSP_Species_Support!$E:$E,$D$85)+A96</x:f>
        <x:v>2028</x:v>
      </x:c>
      <x:c r="C96"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96))^INDEX(S13_PSP_Species_Support!$Y:$Y,$D$85)),0)+IFERROR(INDEX(S13_PSP_Species_Support!$AF:$AF,$D$85)*(INDEX(S13_PSP_Species_Support!$AH:$AH,$D$85)*(1-EXP(-INDEX(S13_PSP_Species_Support!$AI:$AI,$D$85)*A96))^INDEX(S13_PSP_Species_Support!$AJ:$AJ,$D$85)),0)+IFERROR(INDEX(S13_PSP_Species_Support!$AQ:$AQ,$D$85)*(INDEX(S13_PSP_Species_Support!$AS:$AS,$D$85)*(1-EXP(-INDEX(S13_PSP_Species_Support!$AT:$AT,$D$85)*A96))^INDEX(S13_PSP_Species_Support!$AU:$AU,$D$85)),0)+IFERROR(INDEX(S13_PSP_Species_Support!$BB:$BB,$D$85)*(INDEX(S13_PSP_Species_Support!$BD:$BD,$D$85)*(1-EXP(-INDEX(S13_PSP_Species_Support!$BE:$BE,$D$85)*A96))^INDEX(S13_PSP_Species_Support!$BF:$BF,$D$85)),0)+IFERROR(INDEX(S13_PSP_Species_Support!$BM:$BM,$D$85)*(INDEX(S13_PSP_Species_Support!$BO:$BO,$D$85)*(1-EXP(-INDEX(S13_PSP_Species_Support!$BP:$BP,$D$85)*A96))^INDEX(S13_PSP_Species_Support!$BQ:$BQ,$D$85)),0)+IFERROR(INDEX(S13_PSP_Species_Support!$BX:$BX,$D$85)*(INDEX(S13_PSP_Species_Support!$BZ:$BZ,$D$85)*(1-EXP(-INDEX(S13_PSP_Species_Support!$CA:$CA,$D$85)*A96))^INDEX(S13_PSP_Species_Support!$CB:$CB,$D$85)),0)+IFERROR(INDEX(S13_PSP_Species_Support!$CI:$CI,$D$85)*(INDEX(S13_PSP_Species_Support!$CK:$CK,$D$85)*(1-EXP(-INDEX(S13_PSP_Species_Support!$CL:$CL,$D$85)*A96))^INDEX(S13_PSP_Species_Support!$CM:$CM,$D$85)),0)+IFERROR(INDEX(S13_PSP_Species_Support!$CT:$CT,$D$85)*(INDEX(S13_PSP_Species_Support!$CV:$CV,$D$85)*(1-EXP(-INDEX(S13_PSP_Species_Support!$CW:$CW,$D$85)*A96))^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15.997285483763605</x:v>
      </x:c>
      <x:c r="D96"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96))^INDEX(S13_PSP_Species_Support!$AB:$AB,$D$85)),0)+IFERROR(INDEX(S13_PSP_Species_Support!$AF:$AF,$D$85)*(INDEX(S13_PSP_Species_Support!$AK:$AK,$D$85)*(1-EXP(-INDEX(S13_PSP_Species_Support!$AL:$AL,$D$85)*A96))^INDEX(S13_PSP_Species_Support!$AM:$AM,$D$85)),0)+IFERROR(INDEX(S13_PSP_Species_Support!$AQ:$AQ,$D$85)*(INDEX(S13_PSP_Species_Support!$AV:$AV,$D$85)*(1-EXP(-INDEX(S13_PSP_Species_Support!$AW:$AW,$D$85)*A96))^INDEX(S13_PSP_Species_Support!$AX:$AX,$D$85)),0)+IFERROR(INDEX(S13_PSP_Species_Support!$BB:$BB,$D$85)*(INDEX(S13_PSP_Species_Support!$BG:$BG,$D$85)*(1-EXP(-INDEX(S13_PSP_Species_Support!$BH:$BH,$D$85)*A96))^INDEX(S13_PSP_Species_Support!$BI:$BI,$D$85)),0)+IFERROR(INDEX(S13_PSP_Species_Support!$BM:$BM,$D$85)*(INDEX(S13_PSP_Species_Support!$BR:$BR,$D$85)*(1-EXP(-INDEX(S13_PSP_Species_Support!$BS:$BS,$D$85)*A96))^INDEX(S13_PSP_Species_Support!$BT:$BT,$D$85)),0)+IFERROR(INDEX(S13_PSP_Species_Support!$BX:$BX,$D$85)*(INDEX(S13_PSP_Species_Support!$CC:$CC,$D$85)*(1-EXP(-INDEX(S13_PSP_Species_Support!$CD:$CD,$D$85)*A96))^INDEX(S13_PSP_Species_Support!$CE:$CE,$D$85)),0)+IFERROR(INDEX(S13_PSP_Species_Support!$CI:$CI,$D$85)*(INDEX(S13_PSP_Species_Support!$CN:$CN,$D$85)*(1-EXP(-INDEX(S13_PSP_Species_Support!$CO:$CO,$D$85)*A96))^INDEX(S13_PSP_Species_Support!$CP:$CP,$D$85)),0)+IFERROR(INDEX(S13_PSP_Species_Support!$CT:$CT,$D$85)*(INDEX(S13_PSP_Species_Support!$CY:$CY,$D$85)*(1-EXP(-INDEX(S13_PSP_Species_Support!$CZ:$CZ,$D$85)*A96))^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6.959466324209683</x:v>
      </x:c>
      <x:c r="E96" s="147" t="n">
        <x:f aca="0">INDEX($I$15:$AC$81,MATCH($B$85,$A$15:$A$81,0),A96+1)</x:f>
        <x:v>35.751261543107276</x:v>
      </x:c>
    </x:row>
    <x:row r="97" ht="15" hidden="0" customHeight="1">
      <x:c r="A97" s="1" t="n">
        <x:v>9</x:v>
      </x:c>
      <x:c r="B97" s="1" t="n">
        <x:f aca="0">INDEX(S13_PSP_Species_Support!$E:$E,$D$85)+A97</x:f>
        <x:v>2029</x:v>
      </x:c>
      <x:c r="C97"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97))^INDEX(S13_PSP_Species_Support!$Y:$Y,$D$85)),0)+IFERROR(INDEX(S13_PSP_Species_Support!$AF:$AF,$D$85)*(INDEX(S13_PSP_Species_Support!$AH:$AH,$D$85)*(1-EXP(-INDEX(S13_PSP_Species_Support!$AI:$AI,$D$85)*A97))^INDEX(S13_PSP_Species_Support!$AJ:$AJ,$D$85)),0)+IFERROR(INDEX(S13_PSP_Species_Support!$AQ:$AQ,$D$85)*(INDEX(S13_PSP_Species_Support!$AS:$AS,$D$85)*(1-EXP(-INDEX(S13_PSP_Species_Support!$AT:$AT,$D$85)*A97))^INDEX(S13_PSP_Species_Support!$AU:$AU,$D$85)),0)+IFERROR(INDEX(S13_PSP_Species_Support!$BB:$BB,$D$85)*(INDEX(S13_PSP_Species_Support!$BD:$BD,$D$85)*(1-EXP(-INDEX(S13_PSP_Species_Support!$BE:$BE,$D$85)*A97))^INDEX(S13_PSP_Species_Support!$BF:$BF,$D$85)),0)+IFERROR(INDEX(S13_PSP_Species_Support!$BM:$BM,$D$85)*(INDEX(S13_PSP_Species_Support!$BO:$BO,$D$85)*(1-EXP(-INDEX(S13_PSP_Species_Support!$BP:$BP,$D$85)*A97))^INDEX(S13_PSP_Species_Support!$BQ:$BQ,$D$85)),0)+IFERROR(INDEX(S13_PSP_Species_Support!$BX:$BX,$D$85)*(INDEX(S13_PSP_Species_Support!$BZ:$BZ,$D$85)*(1-EXP(-INDEX(S13_PSP_Species_Support!$CA:$CA,$D$85)*A97))^INDEX(S13_PSP_Species_Support!$CB:$CB,$D$85)),0)+IFERROR(INDEX(S13_PSP_Species_Support!$CI:$CI,$D$85)*(INDEX(S13_PSP_Species_Support!$CK:$CK,$D$85)*(1-EXP(-INDEX(S13_PSP_Species_Support!$CL:$CL,$D$85)*A97))^INDEX(S13_PSP_Species_Support!$CM:$CM,$D$85)),0)+IFERROR(INDEX(S13_PSP_Species_Support!$CT:$CT,$D$85)*(INDEX(S13_PSP_Species_Support!$CV:$CV,$D$85)*(1-EXP(-INDEX(S13_PSP_Species_Support!$CW:$CW,$D$85)*A97))^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17.34291424007637</x:v>
      </x:c>
      <x:c r="D97"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97))^INDEX(S13_PSP_Species_Support!$AB:$AB,$D$85)),0)+IFERROR(INDEX(S13_PSP_Species_Support!$AF:$AF,$D$85)*(INDEX(S13_PSP_Species_Support!$AK:$AK,$D$85)*(1-EXP(-INDEX(S13_PSP_Species_Support!$AL:$AL,$D$85)*A97))^INDEX(S13_PSP_Species_Support!$AM:$AM,$D$85)),0)+IFERROR(INDEX(S13_PSP_Species_Support!$AQ:$AQ,$D$85)*(INDEX(S13_PSP_Species_Support!$AV:$AV,$D$85)*(1-EXP(-INDEX(S13_PSP_Species_Support!$AW:$AW,$D$85)*A97))^INDEX(S13_PSP_Species_Support!$AX:$AX,$D$85)),0)+IFERROR(INDEX(S13_PSP_Species_Support!$BB:$BB,$D$85)*(INDEX(S13_PSP_Species_Support!$BG:$BG,$D$85)*(1-EXP(-INDEX(S13_PSP_Species_Support!$BH:$BH,$D$85)*A97))^INDEX(S13_PSP_Species_Support!$BI:$BI,$D$85)),0)+IFERROR(INDEX(S13_PSP_Species_Support!$BM:$BM,$D$85)*(INDEX(S13_PSP_Species_Support!$BR:$BR,$D$85)*(1-EXP(-INDEX(S13_PSP_Species_Support!$BS:$BS,$D$85)*A97))^INDEX(S13_PSP_Species_Support!$BT:$BT,$D$85)),0)+IFERROR(INDEX(S13_PSP_Species_Support!$BX:$BX,$D$85)*(INDEX(S13_PSP_Species_Support!$CC:$CC,$D$85)*(1-EXP(-INDEX(S13_PSP_Species_Support!$CD:$CD,$D$85)*A97))^INDEX(S13_PSP_Species_Support!$CE:$CE,$D$85)),0)+IFERROR(INDEX(S13_PSP_Species_Support!$CI:$CI,$D$85)*(INDEX(S13_PSP_Species_Support!$CN:$CN,$D$85)*(1-EXP(-INDEX(S13_PSP_Species_Support!$CO:$CO,$D$85)*A97))^INDEX(S13_PSP_Species_Support!$CP:$CP,$D$85)),0)+IFERROR(INDEX(S13_PSP_Species_Support!$CT:$CT,$D$85)*(INDEX(S13_PSP_Species_Support!$CY:$CY,$D$85)*(1-EXP(-INDEX(S13_PSP_Species_Support!$CZ:$CZ,$D$85)*A97))^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7.3403637742316095</x:v>
      </x:c>
      <x:c r="E97" s="147" t="n">
        <x:f aca="0">INDEX($I$15:$AC$81,MATCH($B$85,$A$15:$A$81,0),A97+1)</x:f>
        <x:v>44.441022662285384</x:v>
      </x:c>
    </x:row>
    <x:row r="98" ht="15" hidden="0" customHeight="1">
      <x:c r="A98" s="1" t="n">
        <x:v>10</x:v>
      </x:c>
      <x:c r="B98" s="1" t="n">
        <x:f aca="0">INDEX(S13_PSP_Species_Support!$E:$E,$D$85)+A98</x:f>
        <x:v>2030</x:v>
      </x:c>
      <x:c r="C98"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98))^INDEX(S13_PSP_Species_Support!$Y:$Y,$D$85)),0)+IFERROR(INDEX(S13_PSP_Species_Support!$AF:$AF,$D$85)*(INDEX(S13_PSP_Species_Support!$AH:$AH,$D$85)*(1-EXP(-INDEX(S13_PSP_Species_Support!$AI:$AI,$D$85)*A98))^INDEX(S13_PSP_Species_Support!$AJ:$AJ,$D$85)),0)+IFERROR(INDEX(S13_PSP_Species_Support!$AQ:$AQ,$D$85)*(INDEX(S13_PSP_Species_Support!$AS:$AS,$D$85)*(1-EXP(-INDEX(S13_PSP_Species_Support!$AT:$AT,$D$85)*A98))^INDEX(S13_PSP_Species_Support!$AU:$AU,$D$85)),0)+IFERROR(INDEX(S13_PSP_Species_Support!$BB:$BB,$D$85)*(INDEX(S13_PSP_Species_Support!$BD:$BD,$D$85)*(1-EXP(-INDEX(S13_PSP_Species_Support!$BE:$BE,$D$85)*A98))^INDEX(S13_PSP_Species_Support!$BF:$BF,$D$85)),0)+IFERROR(INDEX(S13_PSP_Species_Support!$BM:$BM,$D$85)*(INDEX(S13_PSP_Species_Support!$BO:$BO,$D$85)*(1-EXP(-INDEX(S13_PSP_Species_Support!$BP:$BP,$D$85)*A98))^INDEX(S13_PSP_Species_Support!$BQ:$BQ,$D$85)),0)+IFERROR(INDEX(S13_PSP_Species_Support!$BX:$BX,$D$85)*(INDEX(S13_PSP_Species_Support!$BZ:$BZ,$D$85)*(1-EXP(-INDEX(S13_PSP_Species_Support!$CA:$CA,$D$85)*A98))^INDEX(S13_PSP_Species_Support!$CB:$CB,$D$85)),0)+IFERROR(INDEX(S13_PSP_Species_Support!$CI:$CI,$D$85)*(INDEX(S13_PSP_Species_Support!$CK:$CK,$D$85)*(1-EXP(-INDEX(S13_PSP_Species_Support!$CL:$CL,$D$85)*A98))^INDEX(S13_PSP_Species_Support!$CM:$CM,$D$85)),0)+IFERROR(INDEX(S13_PSP_Species_Support!$CT:$CT,$D$85)*(INDEX(S13_PSP_Species_Support!$CV:$CV,$D$85)*(1-EXP(-INDEX(S13_PSP_Species_Support!$CW:$CW,$D$85)*A98))^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18.51880622421108</x:v>
      </x:c>
      <x:c r="D98"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98))^INDEX(S13_PSP_Species_Support!$AB:$AB,$D$85)),0)+IFERROR(INDEX(S13_PSP_Species_Support!$AF:$AF,$D$85)*(INDEX(S13_PSP_Species_Support!$AK:$AK,$D$85)*(1-EXP(-INDEX(S13_PSP_Species_Support!$AL:$AL,$D$85)*A98))^INDEX(S13_PSP_Species_Support!$AM:$AM,$D$85)),0)+IFERROR(INDEX(S13_PSP_Species_Support!$AQ:$AQ,$D$85)*(INDEX(S13_PSP_Species_Support!$AV:$AV,$D$85)*(1-EXP(-INDEX(S13_PSP_Species_Support!$AW:$AW,$D$85)*A98))^INDEX(S13_PSP_Species_Support!$AX:$AX,$D$85)),0)+IFERROR(INDEX(S13_PSP_Species_Support!$BB:$BB,$D$85)*(INDEX(S13_PSP_Species_Support!$BG:$BG,$D$85)*(1-EXP(-INDEX(S13_PSP_Species_Support!$BH:$BH,$D$85)*A98))^INDEX(S13_PSP_Species_Support!$BI:$BI,$D$85)),0)+IFERROR(INDEX(S13_PSP_Species_Support!$BM:$BM,$D$85)*(INDEX(S13_PSP_Species_Support!$BR:$BR,$D$85)*(1-EXP(-INDEX(S13_PSP_Species_Support!$BS:$BS,$D$85)*A98))^INDEX(S13_PSP_Species_Support!$BT:$BT,$D$85)),0)+IFERROR(INDEX(S13_PSP_Species_Support!$BX:$BX,$D$85)*(INDEX(S13_PSP_Species_Support!$CC:$CC,$D$85)*(1-EXP(-INDEX(S13_PSP_Species_Support!$CD:$CD,$D$85)*A98))^INDEX(S13_PSP_Species_Support!$CE:$CE,$D$85)),0)+IFERROR(INDEX(S13_PSP_Species_Support!$CI:$CI,$D$85)*(INDEX(S13_PSP_Species_Support!$CN:$CN,$D$85)*(1-EXP(-INDEX(S13_PSP_Species_Support!$CO:$CO,$D$85)*A98))^INDEX(S13_PSP_Species_Support!$CP:$CP,$D$85)),0)+IFERROR(INDEX(S13_PSP_Species_Support!$CT:$CT,$D$85)*(INDEX(S13_PSP_Species_Support!$CY:$CY,$D$85)*(1-EXP(-INDEX(S13_PSP_Species_Support!$CZ:$CZ,$D$85)*A98))^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7.649487390074293</x:v>
      </x:c>
      <x:c r="E98" s="147" t="n">
        <x:f aca="0">INDEX($I$15:$AC$81,MATCH($B$85,$A$15:$A$81,0),A98+1)</x:f>
        <x:v>52.99934651707644</x:v>
      </x:c>
    </x:row>
    <x:row r="99" ht="15" hidden="0" customHeight="1">
      <x:c r="A99" s="1" t="n">
        <x:v>11</x:v>
      </x:c>
      <x:c r="B99" s="1" t="n">
        <x:f aca="0">INDEX(S13_PSP_Species_Support!$E:$E,$D$85)+A99</x:f>
        <x:v>2031</x:v>
      </x:c>
      <x:c r="C99"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99))^INDEX(S13_PSP_Species_Support!$Y:$Y,$D$85)),0)+IFERROR(INDEX(S13_PSP_Species_Support!$AF:$AF,$D$85)*(INDEX(S13_PSP_Species_Support!$AH:$AH,$D$85)*(1-EXP(-INDEX(S13_PSP_Species_Support!$AI:$AI,$D$85)*A99))^INDEX(S13_PSP_Species_Support!$AJ:$AJ,$D$85)),0)+IFERROR(INDEX(S13_PSP_Species_Support!$AQ:$AQ,$D$85)*(INDEX(S13_PSP_Species_Support!$AS:$AS,$D$85)*(1-EXP(-INDEX(S13_PSP_Species_Support!$AT:$AT,$D$85)*A99))^INDEX(S13_PSP_Species_Support!$AU:$AU,$D$85)),0)+IFERROR(INDEX(S13_PSP_Species_Support!$BB:$BB,$D$85)*(INDEX(S13_PSP_Species_Support!$BD:$BD,$D$85)*(1-EXP(-INDEX(S13_PSP_Species_Support!$BE:$BE,$D$85)*A99))^INDEX(S13_PSP_Species_Support!$BF:$BF,$D$85)),0)+IFERROR(INDEX(S13_PSP_Species_Support!$BM:$BM,$D$85)*(INDEX(S13_PSP_Species_Support!$BO:$BO,$D$85)*(1-EXP(-INDEX(S13_PSP_Species_Support!$BP:$BP,$D$85)*A99))^INDEX(S13_PSP_Species_Support!$BQ:$BQ,$D$85)),0)+IFERROR(INDEX(S13_PSP_Species_Support!$BX:$BX,$D$85)*(INDEX(S13_PSP_Species_Support!$BZ:$BZ,$D$85)*(1-EXP(-INDEX(S13_PSP_Species_Support!$CA:$CA,$D$85)*A99))^INDEX(S13_PSP_Species_Support!$CB:$CB,$D$85)),0)+IFERROR(INDEX(S13_PSP_Species_Support!$CI:$CI,$D$85)*(INDEX(S13_PSP_Species_Support!$CK:$CK,$D$85)*(1-EXP(-INDEX(S13_PSP_Species_Support!$CL:$CL,$D$85)*A99))^INDEX(S13_PSP_Species_Support!$CM:$CM,$D$85)),0)+IFERROR(INDEX(S13_PSP_Species_Support!$CT:$CT,$D$85)*(INDEX(S13_PSP_Species_Support!$CV:$CV,$D$85)*(1-EXP(-INDEX(S13_PSP_Species_Support!$CW:$CW,$D$85)*A99))^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19.542646660569062</x:v>
      </x:c>
      <x:c r="D99"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99))^INDEX(S13_PSP_Species_Support!$AB:$AB,$D$85)),0)+IFERROR(INDEX(S13_PSP_Species_Support!$AF:$AF,$D$85)*(INDEX(S13_PSP_Species_Support!$AK:$AK,$D$85)*(1-EXP(-INDEX(S13_PSP_Species_Support!$AL:$AL,$D$85)*A99))^INDEX(S13_PSP_Species_Support!$AM:$AM,$D$85)),0)+IFERROR(INDEX(S13_PSP_Species_Support!$AQ:$AQ,$D$85)*(INDEX(S13_PSP_Species_Support!$AV:$AV,$D$85)*(1-EXP(-INDEX(S13_PSP_Species_Support!$AW:$AW,$D$85)*A99))^INDEX(S13_PSP_Species_Support!$AX:$AX,$D$85)),0)+IFERROR(INDEX(S13_PSP_Species_Support!$BB:$BB,$D$85)*(INDEX(S13_PSP_Species_Support!$BG:$BG,$D$85)*(1-EXP(-INDEX(S13_PSP_Species_Support!$BH:$BH,$D$85)*A99))^INDEX(S13_PSP_Species_Support!$BI:$BI,$D$85)),0)+IFERROR(INDEX(S13_PSP_Species_Support!$BM:$BM,$D$85)*(INDEX(S13_PSP_Species_Support!$BR:$BR,$D$85)*(1-EXP(-INDEX(S13_PSP_Species_Support!$BS:$BS,$D$85)*A99))^INDEX(S13_PSP_Species_Support!$BT:$BT,$D$85)),0)+IFERROR(INDEX(S13_PSP_Species_Support!$BX:$BX,$D$85)*(INDEX(S13_PSP_Species_Support!$CC:$CC,$D$85)*(1-EXP(-INDEX(S13_PSP_Species_Support!$CD:$CD,$D$85)*A99))^INDEX(S13_PSP_Species_Support!$CE:$CE,$D$85)),0)+IFERROR(INDEX(S13_PSP_Species_Support!$CI:$CI,$D$85)*(INDEX(S13_PSP_Species_Support!$CN:$CN,$D$85)*(1-EXP(-INDEX(S13_PSP_Species_Support!$CO:$CO,$D$85)*A99))^INDEX(S13_PSP_Species_Support!$CP:$CP,$D$85)),0)+IFERROR(INDEX(S13_PSP_Species_Support!$CT:$CT,$D$85)*(INDEX(S13_PSP_Species_Support!$CY:$CY,$D$85)*(1-EXP(-INDEX(S13_PSP_Species_Support!$CZ:$CZ,$D$85)*A99))^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7.899874288058189</x:v>
      </x:c>
      <x:c r="E99" s="147" t="n">
        <x:f aca="0">INDEX($I$15:$AC$81,MATCH($B$85,$A$15:$A$81,0),A99+1)</x:f>
        <x:v>61.21072190679821</x:v>
      </x:c>
    </x:row>
    <x:row r="100" ht="15" hidden="0" customHeight="1">
      <x:c r="A100" s="152" t="n">
        <x:v>12</x:v>
      </x:c>
      <x:c r="B100" s="152"/>
      <x:c r="C100" s="152"/>
      <x:c r="D100" s="152"/>
      <x:c r="E100" s="152"/>
      <x:c r="F100" s="152"/>
      <x:c r="G100" s="152"/>
      <x:c r="H100" s="152"/>
      <x:c r="I100" s="152"/>
      <x:c r="J100" s="152"/>
    </x:row>
    <x:row r="101" ht="15" hidden="0" customHeight="1">
      <x:c r="A101" s="153" t="n">
        <x:v>13</x:v>
      </x:c>
      <x:c r="B101" s="153"/>
      <x:c r="C101" s="153"/>
      <x:c r="D101" s="153"/>
      <x:c r="E101" s="153"/>
      <x:c r="F101" s="153"/>
      <x:c r="G101" s="153"/>
      <x:c r="H101" s="153"/>
      <x:c r="I101" s="153"/>
      <x:c r="J101" s="153"/>
    </x:row>
    <x:row r="102" ht="15" hidden="0" customHeight="1">
      <x:c r="A102" s="1" t="n">
        <x:v>14</x:v>
      </x:c>
      <x:c r="B102" s="1" t="n">
        <x:f aca="0">INDEX(S13_PSP_Species_Support!$E:$E,$D$85)+A102</x:f>
        <x:v>2034</x:v>
      </x:c>
      <x:c r="C102"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102))^INDEX(S13_PSP_Species_Support!$Y:$Y,$D$85)),0)+IFERROR(INDEX(S13_PSP_Species_Support!$AF:$AF,$D$85)*(INDEX(S13_PSP_Species_Support!$AH:$AH,$D$85)*(1-EXP(-INDEX(S13_PSP_Species_Support!$AI:$AI,$D$85)*A102))^INDEX(S13_PSP_Species_Support!$AJ:$AJ,$D$85)),0)+IFERROR(INDEX(S13_PSP_Species_Support!$AQ:$AQ,$D$85)*(INDEX(S13_PSP_Species_Support!$AS:$AS,$D$85)*(1-EXP(-INDEX(S13_PSP_Species_Support!$AT:$AT,$D$85)*A102))^INDEX(S13_PSP_Species_Support!$AU:$AU,$D$85)),0)+IFERROR(INDEX(S13_PSP_Species_Support!$BB:$BB,$D$85)*(INDEX(S13_PSP_Species_Support!$BD:$BD,$D$85)*(1-EXP(-INDEX(S13_PSP_Species_Support!$BE:$BE,$D$85)*A102))^INDEX(S13_PSP_Species_Support!$BF:$BF,$D$85)),0)+IFERROR(INDEX(S13_PSP_Species_Support!$BM:$BM,$D$85)*(INDEX(S13_PSP_Species_Support!$BO:$BO,$D$85)*(1-EXP(-INDEX(S13_PSP_Species_Support!$BP:$BP,$D$85)*A102))^INDEX(S13_PSP_Species_Support!$BQ:$BQ,$D$85)),0)+IFERROR(INDEX(S13_PSP_Species_Support!$BX:$BX,$D$85)*(INDEX(S13_PSP_Species_Support!$BZ:$BZ,$D$85)*(1-EXP(-INDEX(S13_PSP_Species_Support!$CA:$CA,$D$85)*A102))^INDEX(S13_PSP_Species_Support!$CB:$CB,$D$85)),0)+IFERROR(INDEX(S13_PSP_Species_Support!$CI:$CI,$D$85)*(INDEX(S13_PSP_Species_Support!$CK:$CK,$D$85)*(1-EXP(-INDEX(S13_PSP_Species_Support!$CL:$CL,$D$85)*A102))^INDEX(S13_PSP_Species_Support!$CM:$CM,$D$85)),0)+IFERROR(INDEX(S13_PSP_Species_Support!$CT:$CT,$D$85)*(INDEX(S13_PSP_Species_Support!$CV:$CV,$D$85)*(1-EXP(-INDEX(S13_PSP_Species_Support!$CW:$CW,$D$85)*A102))^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21.868581731809186</x:v>
      </x:c>
      <x:c r="D102"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102))^INDEX(S13_PSP_Species_Support!$AB:$AB,$D$85)),0)+IFERROR(INDEX(S13_PSP_Species_Support!$AF:$AF,$D$85)*(INDEX(S13_PSP_Species_Support!$AK:$AK,$D$85)*(1-EXP(-INDEX(S13_PSP_Species_Support!$AL:$AL,$D$85)*A102))^INDEX(S13_PSP_Species_Support!$AM:$AM,$D$85)),0)+IFERROR(INDEX(S13_PSP_Species_Support!$AQ:$AQ,$D$85)*(INDEX(S13_PSP_Species_Support!$AV:$AV,$D$85)*(1-EXP(-INDEX(S13_PSP_Species_Support!$AW:$AW,$D$85)*A102))^INDEX(S13_PSP_Species_Support!$AX:$AX,$D$85)),0)+IFERROR(INDEX(S13_PSP_Species_Support!$BB:$BB,$D$85)*(INDEX(S13_PSP_Species_Support!$BG:$BG,$D$85)*(1-EXP(-INDEX(S13_PSP_Species_Support!$BH:$BH,$D$85)*A102))^INDEX(S13_PSP_Species_Support!$BI:$BI,$D$85)),0)+IFERROR(INDEX(S13_PSP_Species_Support!$BM:$BM,$D$85)*(INDEX(S13_PSP_Species_Support!$BR:$BR,$D$85)*(1-EXP(-INDEX(S13_PSP_Species_Support!$BS:$BS,$D$85)*A102))^INDEX(S13_PSP_Species_Support!$BT:$BT,$D$85)),0)+IFERROR(INDEX(S13_PSP_Species_Support!$BX:$BX,$D$85)*(INDEX(S13_PSP_Species_Support!$CC:$CC,$D$85)*(1-EXP(-INDEX(S13_PSP_Species_Support!$CD:$CD,$D$85)*A102))^INDEX(S13_PSP_Species_Support!$CE:$CE,$D$85)),0)+IFERROR(INDEX(S13_PSP_Species_Support!$CI:$CI,$D$85)*(INDEX(S13_PSP_Species_Support!$CN:$CN,$D$85)*(1-EXP(-INDEX(S13_PSP_Species_Support!$CO:$CO,$D$85)*A102))^INDEX(S13_PSP_Species_Support!$CP:$CP,$D$85)),0)+IFERROR(INDEX(S13_PSP_Species_Support!$CT:$CT,$D$85)*(INDEX(S13_PSP_Species_Support!$CY:$CY,$D$85)*(1-EXP(-INDEX(S13_PSP_Species_Support!$CZ:$CZ,$D$85)*A102))^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8.398421517603504</x:v>
      </x:c>
      <x:c r="E102" s="147" t="n">
        <x:f aca="0">INDEX($I$15:$AC$81,MATCH($B$85,$A$15:$A$81,0),A102+1)</x:f>
        <x:v>82.61281789550847</x:v>
      </x:c>
    </x:row>
    <x:row r="103" ht="15" hidden="0" customHeight="1">
      <x:c r="A103" s="154" t="n">
        <x:v>15</x:v>
      </x:c>
      <x:c r="B103" s="155" t="n">
        <x:v>0.03</x:v>
      </x:c>
      <x:c r="C103"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103))^INDEX(S13_PSP_Species_Support!$Y:$Y,$D$85)),0)+IFERROR(INDEX(S13_PSP_Species_Support!$AF:$AF,$D$85)*(INDEX(S13_PSP_Species_Support!$AH:$AH,$D$85)*(1-EXP(-INDEX(S13_PSP_Species_Support!$AI:$AI,$D$85)*A103))^INDEX(S13_PSP_Species_Support!$AJ:$AJ,$D$85)),0)+IFERROR(INDEX(S13_PSP_Species_Support!$AQ:$AQ,$D$85)*(INDEX(S13_PSP_Species_Support!$AS:$AS,$D$85)*(1-EXP(-INDEX(S13_PSP_Species_Support!$AT:$AT,$D$85)*A103))^INDEX(S13_PSP_Species_Support!$AU:$AU,$D$85)),0)+IFERROR(INDEX(S13_PSP_Species_Support!$BB:$BB,$D$85)*(INDEX(S13_PSP_Species_Support!$BD:$BD,$D$85)*(1-EXP(-INDEX(S13_PSP_Species_Support!$BE:$BE,$D$85)*A103))^INDEX(S13_PSP_Species_Support!$BF:$BF,$D$85)),0)+IFERROR(INDEX(S13_PSP_Species_Support!$BM:$BM,$D$85)*(INDEX(S13_PSP_Species_Support!$BO:$BO,$D$85)*(1-EXP(-INDEX(S13_PSP_Species_Support!$BP:$BP,$D$85)*A103))^INDEX(S13_PSP_Species_Support!$BQ:$BQ,$D$85)),0)+IFERROR(INDEX(S13_PSP_Species_Support!$BX:$BX,$D$85)*(INDEX(S13_PSP_Species_Support!$BZ:$BZ,$D$85)*(1-EXP(-INDEX(S13_PSP_Species_Support!$CA:$CA,$D$85)*A103))^INDEX(S13_PSP_Species_Support!$CB:$CB,$D$85)),0)+IFERROR(INDEX(S13_PSP_Species_Support!$CI:$CI,$D$85)*(INDEX(S13_PSP_Species_Support!$CK:$CK,$D$85)*(1-EXP(-INDEX(S13_PSP_Species_Support!$CL:$CL,$D$85)*A103))^INDEX(S13_PSP_Species_Support!$CM:$CM,$D$85)),0)+IFERROR(INDEX(S13_PSP_Species_Support!$CT:$CT,$D$85)*(INDEX(S13_PSP_Species_Support!$CV:$CV,$D$85)*(1-EXP(-INDEX(S13_PSP_Species_Support!$CW:$CW,$D$85)*A103))^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22.444597425612134</x:v>
      </x:c>
      <x:c r="D103"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103))^INDEX(S13_PSP_Species_Support!$AB:$AB,$D$85)),0)+IFERROR(INDEX(S13_PSP_Species_Support!$AF:$AF,$D$85)*(INDEX(S13_PSP_Species_Support!$AK:$AK,$D$85)*(1-EXP(-INDEX(S13_PSP_Species_Support!$AL:$AL,$D$85)*A103))^INDEX(S13_PSP_Species_Support!$AM:$AM,$D$85)),0)+IFERROR(INDEX(S13_PSP_Species_Support!$AQ:$AQ,$D$85)*(INDEX(S13_PSP_Species_Support!$AV:$AV,$D$85)*(1-EXP(-INDEX(S13_PSP_Species_Support!$AW:$AW,$D$85)*A103))^INDEX(S13_PSP_Species_Support!$AX:$AX,$D$85)),0)+IFERROR(INDEX(S13_PSP_Species_Support!$BB:$BB,$D$85)*(INDEX(S13_PSP_Species_Support!$BG:$BG,$D$85)*(1-EXP(-INDEX(S13_PSP_Species_Support!$BH:$BH,$D$85)*A103))^INDEX(S13_PSP_Species_Support!$BI:$BI,$D$85)),0)+IFERROR(INDEX(S13_PSP_Species_Support!$BM:$BM,$D$85)*(INDEX(S13_PSP_Species_Support!$BR:$BR,$D$85)*(1-EXP(-INDEX(S13_PSP_Species_Support!$BS:$BS,$D$85)*A103))^INDEX(S13_PSP_Species_Support!$BT:$BT,$D$85)),0)+IFERROR(INDEX(S13_PSP_Species_Support!$BX:$BX,$D$85)*(INDEX(S13_PSP_Species_Support!$CC:$CC,$D$85)*(1-EXP(-INDEX(S13_PSP_Species_Support!$CD:$CD,$D$85)*A103))^INDEX(S13_PSP_Species_Support!$CE:$CE,$D$85)),0)+IFERROR(INDEX(S13_PSP_Species_Support!$CI:$CI,$D$85)*(INDEX(S13_PSP_Species_Support!$CN:$CN,$D$85)*(1-EXP(-INDEX(S13_PSP_Species_Support!$CO:$CO,$D$85)*A103))^INDEX(S13_PSP_Species_Support!$CP:$CP,$D$85)),0)+IFERROR(INDEX(S13_PSP_Species_Support!$CT:$CT,$D$85)*(INDEX(S13_PSP_Species_Support!$CY:$CY,$D$85)*(1-EXP(-INDEX(S13_PSP_Species_Support!$CZ:$CZ,$D$85)*A103))^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8.50526897221929</x:v>
      </x:c>
      <x:c r="E103" s="147" t="n">
        <x:f aca="0">INDEX($I$15:$AC$81,MATCH($B$85,$A$15:$A$81,0),A103+1)</x:f>
        <x:v>88.52697176885067</x:v>
      </x:c>
    </x:row>
    <x:row r="104" ht="15" hidden="0" customHeight="1">
      <x:c r="A104" s="154" t="n">
        <x:v>16</x:v>
      </x:c>
      <x:c r="B104" s="155" t="n">
        <x:v>0.02</x:v>
      </x:c>
      <x:c r="C104"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104))^INDEX(S13_PSP_Species_Support!$Y:$Y,$D$85)),0)+IFERROR(INDEX(S13_PSP_Species_Support!$AF:$AF,$D$85)*(INDEX(S13_PSP_Species_Support!$AH:$AH,$D$85)*(1-EXP(-INDEX(S13_PSP_Species_Support!$AI:$AI,$D$85)*A104))^INDEX(S13_PSP_Species_Support!$AJ:$AJ,$D$85)),0)+IFERROR(INDEX(S13_PSP_Species_Support!$AQ:$AQ,$D$85)*(INDEX(S13_PSP_Species_Support!$AS:$AS,$D$85)*(1-EXP(-INDEX(S13_PSP_Species_Support!$AT:$AT,$D$85)*A104))^INDEX(S13_PSP_Species_Support!$AU:$AU,$D$85)),0)+IFERROR(INDEX(S13_PSP_Species_Support!$BB:$BB,$D$85)*(INDEX(S13_PSP_Species_Support!$BD:$BD,$D$85)*(1-EXP(-INDEX(S13_PSP_Species_Support!$BE:$BE,$D$85)*A104))^INDEX(S13_PSP_Species_Support!$BF:$BF,$D$85)),0)+IFERROR(INDEX(S13_PSP_Species_Support!$BM:$BM,$D$85)*(INDEX(S13_PSP_Species_Support!$BO:$BO,$D$85)*(1-EXP(-INDEX(S13_PSP_Species_Support!$BP:$BP,$D$85)*A104))^INDEX(S13_PSP_Species_Support!$BQ:$BQ,$D$85)),0)+IFERROR(INDEX(S13_PSP_Species_Support!$BX:$BX,$D$85)*(INDEX(S13_PSP_Species_Support!$BZ:$BZ,$D$85)*(1-EXP(-INDEX(S13_PSP_Species_Support!$CA:$CA,$D$85)*A104))^INDEX(S13_PSP_Species_Support!$CB:$CB,$D$85)),0)+IFERROR(INDEX(S13_PSP_Species_Support!$CI:$CI,$D$85)*(INDEX(S13_PSP_Species_Support!$CK:$CK,$D$85)*(1-EXP(-INDEX(S13_PSP_Species_Support!$CL:$CL,$D$85)*A104))^INDEX(S13_PSP_Species_Support!$CM:$CM,$D$85)),0)+IFERROR(INDEX(S13_PSP_Species_Support!$CT:$CT,$D$85)*(INDEX(S13_PSP_Species_Support!$CV:$CV,$D$85)*(1-EXP(-INDEX(S13_PSP_Species_Support!$CW:$CW,$D$85)*A104))^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22.941962504280387</x:v>
      </x:c>
      <x:c r="D104"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104))^INDEX(S13_PSP_Species_Support!$AB:$AB,$D$85)),0)+IFERROR(INDEX(S13_PSP_Species_Support!$AF:$AF,$D$85)*(INDEX(S13_PSP_Species_Support!$AK:$AK,$D$85)*(1-EXP(-INDEX(S13_PSP_Species_Support!$AL:$AL,$D$85)*A104))^INDEX(S13_PSP_Species_Support!$AM:$AM,$D$85)),0)+IFERROR(INDEX(S13_PSP_Species_Support!$AQ:$AQ,$D$85)*(INDEX(S13_PSP_Species_Support!$AV:$AV,$D$85)*(1-EXP(-INDEX(S13_PSP_Species_Support!$AW:$AW,$D$85)*A104))^INDEX(S13_PSP_Species_Support!$AX:$AX,$D$85)),0)+IFERROR(INDEX(S13_PSP_Species_Support!$BB:$BB,$D$85)*(INDEX(S13_PSP_Species_Support!$BG:$BG,$D$85)*(1-EXP(-INDEX(S13_PSP_Species_Support!$BH:$BH,$D$85)*A104))^INDEX(S13_PSP_Species_Support!$BI:$BI,$D$85)),0)+IFERROR(INDEX(S13_PSP_Species_Support!$BM:$BM,$D$85)*(INDEX(S13_PSP_Species_Support!$BR:$BR,$D$85)*(1-EXP(-INDEX(S13_PSP_Species_Support!$BS:$BS,$D$85)*A104))^INDEX(S13_PSP_Species_Support!$BT:$BT,$D$85)),0)+IFERROR(INDEX(S13_PSP_Species_Support!$BX:$BX,$D$85)*(INDEX(S13_PSP_Species_Support!$CC:$CC,$D$85)*(1-EXP(-INDEX(S13_PSP_Species_Support!$CD:$CD,$D$85)*A104))^INDEX(S13_PSP_Species_Support!$CE:$CE,$D$85)),0)+IFERROR(INDEX(S13_PSP_Species_Support!$CI:$CI,$D$85)*(INDEX(S13_PSP_Species_Support!$CN:$CN,$D$85)*(1-EXP(-INDEX(S13_PSP_Species_Support!$CO:$CO,$D$85)*A104))^INDEX(S13_PSP_Species_Support!$CP:$CP,$D$85)),0)+IFERROR(INDEX(S13_PSP_Species_Support!$CT:$CT,$D$85)*(INDEX(S13_PSP_Species_Support!$CY:$CY,$D$85)*(1-EXP(-INDEX(S13_PSP_Species_Support!$CZ:$CZ,$D$85)*A104))^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8.591576324813929</x:v>
      </x:c>
      <x:c r="E104" s="147" t="n">
        <x:f aca="0">INDEX($I$15:$AC$81,MATCH($B$85,$A$15:$A$81,0),A104+1)</x:f>
        <x:v>93.83797689607961</x:v>
      </x:c>
    </x:row>
    <x:row r="105" ht="15" hidden="0" customHeight="1">
      <x:c r="A105" s="154" t="n">
        <x:v>17</x:v>
      </x:c>
      <x:c r="B105" s="155" t="n">
        <x:v>0.01</x:v>
      </x:c>
      <x:c r="C105"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105))^INDEX(S13_PSP_Species_Support!$Y:$Y,$D$85)),0)+IFERROR(INDEX(S13_PSP_Species_Support!$AF:$AF,$D$85)*(INDEX(S13_PSP_Species_Support!$AH:$AH,$D$85)*(1-EXP(-INDEX(S13_PSP_Species_Support!$AI:$AI,$D$85)*A105))^INDEX(S13_PSP_Species_Support!$AJ:$AJ,$D$85)),0)+IFERROR(INDEX(S13_PSP_Species_Support!$AQ:$AQ,$D$85)*(INDEX(S13_PSP_Species_Support!$AS:$AS,$D$85)*(1-EXP(-INDEX(S13_PSP_Species_Support!$AT:$AT,$D$85)*A105))^INDEX(S13_PSP_Species_Support!$AU:$AU,$D$85)),0)+IFERROR(INDEX(S13_PSP_Species_Support!$BB:$BB,$D$85)*(INDEX(S13_PSP_Species_Support!$BD:$BD,$D$85)*(1-EXP(-INDEX(S13_PSP_Species_Support!$BE:$BE,$D$85)*A105))^INDEX(S13_PSP_Species_Support!$BF:$BF,$D$85)),0)+IFERROR(INDEX(S13_PSP_Species_Support!$BM:$BM,$D$85)*(INDEX(S13_PSP_Species_Support!$BO:$BO,$D$85)*(1-EXP(-INDEX(S13_PSP_Species_Support!$BP:$BP,$D$85)*A105))^INDEX(S13_PSP_Species_Support!$BQ:$BQ,$D$85)),0)+IFERROR(INDEX(S13_PSP_Species_Support!$BX:$BX,$D$85)*(INDEX(S13_PSP_Species_Support!$BZ:$BZ,$D$85)*(1-EXP(-INDEX(S13_PSP_Species_Support!$CA:$CA,$D$85)*A105))^INDEX(S13_PSP_Species_Support!$CB:$CB,$D$85)),0)+IFERROR(INDEX(S13_PSP_Species_Support!$CI:$CI,$D$85)*(INDEX(S13_PSP_Species_Support!$CK:$CK,$D$85)*(1-EXP(-INDEX(S13_PSP_Species_Support!$CL:$CL,$D$85)*A105))^INDEX(S13_PSP_Species_Support!$CM:$CM,$D$85)),0)+IFERROR(INDEX(S13_PSP_Species_Support!$CT:$CT,$D$85)*(INDEX(S13_PSP_Species_Support!$CV:$CV,$D$85)*(1-EXP(-INDEX(S13_PSP_Species_Support!$CW:$CW,$D$85)*A105))^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23.37115055816864</x:v>
      </x:c>
      <x:c r="D105"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105))^INDEX(S13_PSP_Species_Support!$AB:$AB,$D$85)),0)+IFERROR(INDEX(S13_PSP_Species_Support!$AF:$AF,$D$85)*(INDEX(S13_PSP_Species_Support!$AK:$AK,$D$85)*(1-EXP(-INDEX(S13_PSP_Species_Support!$AL:$AL,$D$85)*A105))^INDEX(S13_PSP_Species_Support!$AM:$AM,$D$85)),0)+IFERROR(INDEX(S13_PSP_Species_Support!$AQ:$AQ,$D$85)*(INDEX(S13_PSP_Species_Support!$AV:$AV,$D$85)*(1-EXP(-INDEX(S13_PSP_Species_Support!$AW:$AW,$D$85)*A105))^INDEX(S13_PSP_Species_Support!$AX:$AX,$D$85)),0)+IFERROR(INDEX(S13_PSP_Species_Support!$BB:$BB,$D$85)*(INDEX(S13_PSP_Species_Support!$BG:$BG,$D$85)*(1-EXP(-INDEX(S13_PSP_Species_Support!$BH:$BH,$D$85)*A105))^INDEX(S13_PSP_Species_Support!$BI:$BI,$D$85)),0)+IFERROR(INDEX(S13_PSP_Species_Support!$BM:$BM,$D$85)*(INDEX(S13_PSP_Species_Support!$BR:$BR,$D$85)*(1-EXP(-INDEX(S13_PSP_Species_Support!$BS:$BS,$D$85)*A105))^INDEX(S13_PSP_Species_Support!$BT:$BT,$D$85)),0)+IFERROR(INDEX(S13_PSP_Species_Support!$BX:$BX,$D$85)*(INDEX(S13_PSP_Species_Support!$CC:$CC,$D$85)*(1-EXP(-INDEX(S13_PSP_Species_Support!$CD:$CD,$D$85)*A105))^INDEX(S13_PSP_Species_Support!$CE:$CE,$D$85)),0)+IFERROR(INDEX(S13_PSP_Species_Support!$CI:$CI,$D$85)*(INDEX(S13_PSP_Species_Support!$CN:$CN,$D$85)*(1-EXP(-INDEX(S13_PSP_Species_Support!$CO:$CO,$D$85)*A105))^INDEX(S13_PSP_Species_Support!$CP:$CP,$D$85)),0)+IFERROR(INDEX(S13_PSP_Species_Support!$CT:$CT,$D$85)*(INDEX(S13_PSP_Species_Support!$CY:$CY,$D$85)*(1-EXP(-INDEX(S13_PSP_Species_Support!$CZ:$CZ,$D$85)*A105))^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8.661301958580026</x:v>
      </x:c>
      <x:c r="E105" s="147" t="n">
        <x:f aca="0">INDEX($I$15:$AC$81,MATCH($B$85,$A$15:$A$81,0),A105+1)</x:f>
        <x:v>98.57696421408018</x:v>
      </x:c>
    </x:row>
    <x:row r="106" ht="15" hidden="0" customHeight="1">
      <x:c r="A106" s="154" t="n">
        <x:v>18</x:v>
      </x:c>
      <x:c r="B106" s="155" t="n">
        <x:v>0</x:v>
      </x:c>
      <x:c r="C106"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106))^INDEX(S13_PSP_Species_Support!$Y:$Y,$D$85)),0)+IFERROR(INDEX(S13_PSP_Species_Support!$AF:$AF,$D$85)*(INDEX(S13_PSP_Species_Support!$AH:$AH,$D$85)*(1-EXP(-INDEX(S13_PSP_Species_Support!$AI:$AI,$D$85)*A106))^INDEX(S13_PSP_Species_Support!$AJ:$AJ,$D$85)),0)+IFERROR(INDEX(S13_PSP_Species_Support!$AQ:$AQ,$D$85)*(INDEX(S13_PSP_Species_Support!$AS:$AS,$D$85)*(1-EXP(-INDEX(S13_PSP_Species_Support!$AT:$AT,$D$85)*A106))^INDEX(S13_PSP_Species_Support!$AU:$AU,$D$85)),0)+IFERROR(INDEX(S13_PSP_Species_Support!$BB:$BB,$D$85)*(INDEX(S13_PSP_Species_Support!$BD:$BD,$D$85)*(1-EXP(-INDEX(S13_PSP_Species_Support!$BE:$BE,$D$85)*A106))^INDEX(S13_PSP_Species_Support!$BF:$BF,$D$85)),0)+IFERROR(INDEX(S13_PSP_Species_Support!$BM:$BM,$D$85)*(INDEX(S13_PSP_Species_Support!$BO:$BO,$D$85)*(1-EXP(-INDEX(S13_PSP_Species_Support!$BP:$BP,$D$85)*A106))^INDEX(S13_PSP_Species_Support!$BQ:$BQ,$D$85)),0)+IFERROR(INDEX(S13_PSP_Species_Support!$BX:$BX,$D$85)*(INDEX(S13_PSP_Species_Support!$BZ:$BZ,$D$85)*(1-EXP(-INDEX(S13_PSP_Species_Support!$CA:$CA,$D$85)*A106))^INDEX(S13_PSP_Species_Support!$CB:$CB,$D$85)),0)+IFERROR(INDEX(S13_PSP_Species_Support!$CI:$CI,$D$85)*(INDEX(S13_PSP_Species_Support!$CK:$CK,$D$85)*(1-EXP(-INDEX(S13_PSP_Species_Support!$CL:$CL,$D$85)*A106))^INDEX(S13_PSP_Species_Support!$CM:$CM,$D$85)),0)+IFERROR(INDEX(S13_PSP_Species_Support!$CT:$CT,$D$85)*(INDEX(S13_PSP_Species_Support!$CV:$CV,$D$85)*(1-EXP(-INDEX(S13_PSP_Species_Support!$CW:$CW,$D$85)*A106))^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23.74134844210444</x:v>
      </x:c>
      <x:c r="D106"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106))^INDEX(S13_PSP_Species_Support!$AB:$AB,$D$85)),0)+IFERROR(INDEX(S13_PSP_Species_Support!$AF:$AF,$D$85)*(INDEX(S13_PSP_Species_Support!$AK:$AK,$D$85)*(1-EXP(-INDEX(S13_PSP_Species_Support!$AL:$AL,$D$85)*A106))^INDEX(S13_PSP_Species_Support!$AM:$AM,$D$85)),0)+IFERROR(INDEX(S13_PSP_Species_Support!$AQ:$AQ,$D$85)*(INDEX(S13_PSP_Species_Support!$AV:$AV,$D$85)*(1-EXP(-INDEX(S13_PSP_Species_Support!$AW:$AW,$D$85)*A106))^INDEX(S13_PSP_Species_Support!$AX:$AX,$D$85)),0)+IFERROR(INDEX(S13_PSP_Species_Support!$BB:$BB,$D$85)*(INDEX(S13_PSP_Species_Support!$BG:$BG,$D$85)*(1-EXP(-INDEX(S13_PSP_Species_Support!$BH:$BH,$D$85)*A106))^INDEX(S13_PSP_Species_Support!$BI:$BI,$D$85)),0)+IFERROR(INDEX(S13_PSP_Species_Support!$BM:$BM,$D$85)*(INDEX(S13_PSP_Species_Support!$BR:$BR,$D$85)*(1-EXP(-INDEX(S13_PSP_Species_Support!$BS:$BS,$D$85)*A106))^INDEX(S13_PSP_Species_Support!$BT:$BT,$D$85)),0)+IFERROR(INDEX(S13_PSP_Species_Support!$BX:$BX,$D$85)*(INDEX(S13_PSP_Species_Support!$CC:$CC,$D$85)*(1-EXP(-INDEX(S13_PSP_Species_Support!$CD:$CD,$D$85)*A106))^INDEX(S13_PSP_Species_Support!$CE:$CE,$D$85)),0)+IFERROR(INDEX(S13_PSP_Species_Support!$CI:$CI,$D$85)*(INDEX(S13_PSP_Species_Support!$CN:$CN,$D$85)*(1-EXP(-INDEX(S13_PSP_Species_Support!$CO:$CO,$D$85)*A106))^INDEX(S13_PSP_Species_Support!$CP:$CP,$D$85)),0)+IFERROR(INDEX(S13_PSP_Species_Support!$CT:$CT,$D$85)*(INDEX(S13_PSP_Species_Support!$CY:$CY,$D$85)*(1-EXP(-INDEX(S13_PSP_Species_Support!$CZ:$CZ,$D$85)*A106))^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8.717645769009694</x:v>
      </x:c>
      <x:c r="E106" s="147" t="n">
        <x:f aca="0">INDEX($I$15:$AC$81,MATCH($B$85,$A$15:$A$81,0),A106+1)</x:f>
        <x:v>102.7837810062324</x:v>
      </x:c>
    </x:row>
    <x:row r="107" ht="15" hidden="0" customHeight="1">
      <x:c r="A107" s="1" t="n">
        <x:v>19</x:v>
      </x:c>
      <x:c r="B107" s="1" t="n">
        <x:f aca="0">INDEX(S13_PSP_Species_Support!$E:$E,$D$85)+A107</x:f>
        <x:v>2039</x:v>
      </x:c>
      <x:c r="C107"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107))^INDEX(S13_PSP_Species_Support!$Y:$Y,$D$85)),0)+IFERROR(INDEX(S13_PSP_Species_Support!$AF:$AF,$D$85)*(INDEX(S13_PSP_Species_Support!$AH:$AH,$D$85)*(1-EXP(-INDEX(S13_PSP_Species_Support!$AI:$AI,$D$85)*A107))^INDEX(S13_PSP_Species_Support!$AJ:$AJ,$D$85)),0)+IFERROR(INDEX(S13_PSP_Species_Support!$AQ:$AQ,$D$85)*(INDEX(S13_PSP_Species_Support!$AS:$AS,$D$85)*(1-EXP(-INDEX(S13_PSP_Species_Support!$AT:$AT,$D$85)*A107))^INDEX(S13_PSP_Species_Support!$AU:$AU,$D$85)),0)+IFERROR(INDEX(S13_PSP_Species_Support!$BB:$BB,$D$85)*(INDEX(S13_PSP_Species_Support!$BD:$BD,$D$85)*(1-EXP(-INDEX(S13_PSP_Species_Support!$BE:$BE,$D$85)*A107))^INDEX(S13_PSP_Species_Support!$BF:$BF,$D$85)),0)+IFERROR(INDEX(S13_PSP_Species_Support!$BM:$BM,$D$85)*(INDEX(S13_PSP_Species_Support!$BO:$BO,$D$85)*(1-EXP(-INDEX(S13_PSP_Species_Support!$BP:$BP,$D$85)*A107))^INDEX(S13_PSP_Species_Support!$BQ:$BQ,$D$85)),0)+IFERROR(INDEX(S13_PSP_Species_Support!$BX:$BX,$D$85)*(INDEX(S13_PSP_Species_Support!$BZ:$BZ,$D$85)*(1-EXP(-INDEX(S13_PSP_Species_Support!$CA:$CA,$D$85)*A107))^INDEX(S13_PSP_Species_Support!$CB:$CB,$D$85)),0)+IFERROR(INDEX(S13_PSP_Species_Support!$CI:$CI,$D$85)*(INDEX(S13_PSP_Species_Support!$CK:$CK,$D$85)*(1-EXP(-INDEX(S13_PSP_Species_Support!$CL:$CL,$D$85)*A107))^INDEX(S13_PSP_Species_Support!$CM:$CM,$D$85)),0)+IFERROR(INDEX(S13_PSP_Species_Support!$CT:$CT,$D$85)*(INDEX(S13_PSP_Species_Support!$CV:$CV,$D$85)*(1-EXP(-INDEX(S13_PSP_Species_Support!$CW:$CW,$D$85)*A107))^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24.06057610261084</x:v>
      </x:c>
      <x:c r="D107"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107))^INDEX(S13_PSP_Species_Support!$AB:$AB,$D$85)),0)+IFERROR(INDEX(S13_PSP_Species_Support!$AF:$AF,$D$85)*(INDEX(S13_PSP_Species_Support!$AK:$AK,$D$85)*(1-EXP(-INDEX(S13_PSP_Species_Support!$AL:$AL,$D$85)*A107))^INDEX(S13_PSP_Species_Support!$AM:$AM,$D$85)),0)+IFERROR(INDEX(S13_PSP_Species_Support!$AQ:$AQ,$D$85)*(INDEX(S13_PSP_Species_Support!$AV:$AV,$D$85)*(1-EXP(-INDEX(S13_PSP_Species_Support!$AW:$AW,$D$85)*A107))^INDEX(S13_PSP_Species_Support!$AX:$AX,$D$85)),0)+IFERROR(INDEX(S13_PSP_Species_Support!$BB:$BB,$D$85)*(INDEX(S13_PSP_Species_Support!$BG:$BG,$D$85)*(1-EXP(-INDEX(S13_PSP_Species_Support!$BH:$BH,$D$85)*A107))^INDEX(S13_PSP_Species_Support!$BI:$BI,$D$85)),0)+IFERROR(INDEX(S13_PSP_Species_Support!$BM:$BM,$D$85)*(INDEX(S13_PSP_Species_Support!$BR:$BR,$D$85)*(1-EXP(-INDEX(S13_PSP_Species_Support!$BS:$BS,$D$85)*A107))^INDEX(S13_PSP_Species_Support!$BT:$BT,$D$85)),0)+IFERROR(INDEX(S13_PSP_Species_Support!$BX:$BX,$D$85)*(INDEX(S13_PSP_Species_Support!$CC:$CC,$D$85)*(1-EXP(-INDEX(S13_PSP_Species_Support!$CD:$CD,$D$85)*A107))^INDEX(S13_PSP_Species_Support!$CE:$CE,$D$85)),0)+IFERROR(INDEX(S13_PSP_Species_Support!$CI:$CI,$D$85)*(INDEX(S13_PSP_Species_Support!$CN:$CN,$D$85)*(1-EXP(-INDEX(S13_PSP_Species_Support!$CO:$CO,$D$85)*A107))^INDEX(S13_PSP_Species_Support!$CP:$CP,$D$85)),0)+IFERROR(INDEX(S13_PSP_Species_Support!$CT:$CT,$D$85)*(INDEX(S13_PSP_Species_Support!$CY:$CY,$D$85)*(1-EXP(-INDEX(S13_PSP_Species_Support!$CZ:$CZ,$D$85)*A107))^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8.763191253502635</x:v>
      </x:c>
      <x:c r="E107" s="147" t="n">
        <x:f aca="0">INDEX($I$15:$AC$81,MATCH($B$85,$A$15:$A$81,0),A107+1)</x:f>
        <x:v>106.50263918557809</x:v>
      </x:c>
    </x:row>
    <x:row r="108" ht="15" hidden="0" customHeight="1">
      <x:c r="A108" s="156" t="n">
        <x:v>20</x:v>
      </x:c>
      <x:c r="B108" s="1" t="n">
        <x:f aca="0">INDEX(S13_PSP_Species_Support!$E:$E,$D$85)+A108</x:f>
        <x:v>2040</x:v>
      </x:c>
      <x:c r="C108"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W:$W,$D$85)*(1-EXP(-INDEX(S13_PSP_Species_Support!$X:$X,$D$85)*A108))^INDEX(S13_PSP_Species_Support!$Y:$Y,$D$85)),0)+IFERROR(INDEX(S13_PSP_Species_Support!$AF:$AF,$D$85)*(INDEX(S13_PSP_Species_Support!$AH:$AH,$D$85)*(1-EXP(-INDEX(S13_PSP_Species_Support!$AI:$AI,$D$85)*A108))^INDEX(S13_PSP_Species_Support!$AJ:$AJ,$D$85)),0)+IFERROR(INDEX(S13_PSP_Species_Support!$AQ:$AQ,$D$85)*(INDEX(S13_PSP_Species_Support!$AS:$AS,$D$85)*(1-EXP(-INDEX(S13_PSP_Species_Support!$AT:$AT,$D$85)*A108))^INDEX(S13_PSP_Species_Support!$AU:$AU,$D$85)),0)+IFERROR(INDEX(S13_PSP_Species_Support!$BB:$BB,$D$85)*(INDEX(S13_PSP_Species_Support!$BD:$BD,$D$85)*(1-EXP(-INDEX(S13_PSP_Species_Support!$BE:$BE,$D$85)*A108))^INDEX(S13_PSP_Species_Support!$BF:$BF,$D$85)),0)+IFERROR(INDEX(S13_PSP_Species_Support!$BM:$BM,$D$85)*(INDEX(S13_PSP_Species_Support!$BO:$BO,$D$85)*(1-EXP(-INDEX(S13_PSP_Species_Support!$BP:$BP,$D$85)*A108))^INDEX(S13_PSP_Species_Support!$BQ:$BQ,$D$85)),0)+IFERROR(INDEX(S13_PSP_Species_Support!$BX:$BX,$D$85)*(INDEX(S13_PSP_Species_Support!$BZ:$BZ,$D$85)*(1-EXP(-INDEX(S13_PSP_Species_Support!$CA:$CA,$D$85)*A108))^INDEX(S13_PSP_Species_Support!$CB:$CB,$D$85)),0)+IFERROR(INDEX(S13_PSP_Species_Support!$CI:$CI,$D$85)*(INDEX(S13_PSP_Species_Support!$CK:$CK,$D$85)*(1-EXP(-INDEX(S13_PSP_Species_Support!$CL:$CL,$D$85)*A108))^INDEX(S13_PSP_Species_Support!$CM:$CM,$D$85)),0)+IFERROR(INDEX(S13_PSP_Species_Support!$CT:$CT,$D$85)*(INDEX(S13_PSP_Species_Support!$CV:$CV,$D$85)*(1-EXP(-INDEX(S13_PSP_Species_Support!$CW:$CW,$D$85)*A108))^INDEX(S13_PSP_Species_Support!$CX:$CX,$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24.335809371946034</x:v>
      </x:c>
      <x:c r="D108" s="147" t="n">
        <x:f aca="0">IF((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0,0,(IFERROR(INDEX(S13_PSP_Species_Support!$U:$U,$D$85)*(INDEX(S13_PSP_Species_Support!$Z:$Z,$D$85)*(1-EXP(-INDEX(S13_PSP_Species_Support!$AA:$AA,$D$85)*A108))^INDEX(S13_PSP_Species_Support!$AB:$AB,$D$85)),0)+IFERROR(INDEX(S13_PSP_Species_Support!$AF:$AF,$D$85)*(INDEX(S13_PSP_Species_Support!$AK:$AK,$D$85)*(1-EXP(-INDEX(S13_PSP_Species_Support!$AL:$AL,$D$85)*A108))^INDEX(S13_PSP_Species_Support!$AM:$AM,$D$85)),0)+IFERROR(INDEX(S13_PSP_Species_Support!$AQ:$AQ,$D$85)*(INDEX(S13_PSP_Species_Support!$AV:$AV,$D$85)*(1-EXP(-INDEX(S13_PSP_Species_Support!$AW:$AW,$D$85)*A108))^INDEX(S13_PSP_Species_Support!$AX:$AX,$D$85)),0)+IFERROR(INDEX(S13_PSP_Species_Support!$BB:$BB,$D$85)*(INDEX(S13_PSP_Species_Support!$BG:$BG,$D$85)*(1-EXP(-INDEX(S13_PSP_Species_Support!$BH:$BH,$D$85)*A108))^INDEX(S13_PSP_Species_Support!$BI:$BI,$D$85)),0)+IFERROR(INDEX(S13_PSP_Species_Support!$BM:$BM,$D$85)*(INDEX(S13_PSP_Species_Support!$BR:$BR,$D$85)*(1-EXP(-INDEX(S13_PSP_Species_Support!$BS:$BS,$D$85)*A108))^INDEX(S13_PSP_Species_Support!$BT:$BT,$D$85)),0)+IFERROR(INDEX(S13_PSP_Species_Support!$BX:$BX,$D$85)*(INDEX(S13_PSP_Species_Support!$CC:$CC,$D$85)*(1-EXP(-INDEX(S13_PSP_Species_Support!$CD:$CD,$D$85)*A108))^INDEX(S13_PSP_Species_Support!$CE:$CE,$D$85)),0)+IFERROR(INDEX(S13_PSP_Species_Support!$CI:$CI,$D$85)*(INDEX(S13_PSP_Species_Support!$CN:$CN,$D$85)*(1-EXP(-INDEX(S13_PSP_Species_Support!$CO:$CO,$D$85)*A108))^INDEX(S13_PSP_Species_Support!$CP:$CP,$D$85)),0)+IFERROR(INDEX(S13_PSP_Species_Support!$CT:$CT,$D$85)*(INDEX(S13_PSP_Species_Support!$CY:$CY,$D$85)*(1-EXP(-INDEX(S13_PSP_Species_Support!$CZ:$CZ,$D$85)*A108))^INDEX(S13_PSP_Species_Support!$DA:$DA,$D$85)),0))/(IFERROR(INDEX(S13_PSP_Species_Support!$U:$U,$D$85),0)+IFERROR(INDEX(S13_PSP_Species_Support!$AF:$AF,$D$85),0)+IFERROR(INDEX(S13_PSP_Species_Support!$AQ:$AQ,$D$85),0)+IFERROR(INDEX(S13_PSP_Species_Support!$BB:$BB,$D$85),0)+IFERROR(INDEX(S13_PSP_Species_Support!$BM:$BM,$D$85),0)+IFERROR(INDEX(S13_PSP_Species_Support!$BX:$BX,$D$85),0)+IFERROR(INDEX(S13_PSP_Species_Support!$CI:$CI,$D$85),0)+IFERROR(INDEX(S13_PSP_Species_Support!$CT:$CT,$D$85),0)))</x:f>
        <x:v>8.80002256231644</x:v>
      </x:c>
      <x:c r="E108" s="147" t="n">
        <x:f aca="0">INDEX($I$15:$AC$81,MATCH($B$85,$A$15:$A$81,0),A108+1)</x:f>
        <x:v>109.77906308830816</x:v>
      </x:c>
      <x:c r="I108" s="157" t="n">
        <x:v>1</x:v>
      </x:c>
      <x:c r="J108" s="157" t="n">
        <x:f aca="0">I108*(1-$B$103)</x:f>
        <x:v>0.97</x:v>
      </x:c>
      <x:c r="K108" s="157" t="n">
        <x:f aca="0">J108*(1-$B$104)</x:f>
        <x:v>0.9506</x:v>
      </x:c>
      <x:c r="L108" s="157" t="n">
        <x:f aca="0">K108*(1-$B$105)</x:f>
        <x:v>0.941094</x:v>
      </x:c>
      <x:c r="M108" s="157" t="n">
        <x:f aca="0">L108*(1-$B$106)</x:f>
        <x:v>0.941094</x:v>
      </x:c>
      <x:c r="N108" s="157" t="n">
        <x:f aca="0">M108*(1-$B$106)</x:f>
        <x:v>0.941094</x:v>
      </x:c>
      <x:c r="O108" s="157" t="n">
        <x:f aca="0">N108*(1-$B$106)</x:f>
        <x:v>0.941094</x:v>
      </x:c>
      <x:c r="P108" s="157" t="n">
        <x:f aca="0">O108*(1-$B$106)</x:f>
        <x:v>0.941094</x:v>
      </x:c>
      <x:c r="Q108" s="157" t="n">
        <x:f aca="0">P108*(1-$B$106)</x:f>
        <x:v>0.941094</x:v>
      </x:c>
      <x:c r="R108" s="157" t="n">
        <x:f aca="0">Q108*(1-$B$106)</x:f>
        <x:v>0.941094</x:v>
      </x:c>
      <x:c r="S108" s="157" t="n">
        <x:f aca="0">R108*(1-$B$106)</x:f>
        <x:v>0.941094</x:v>
      </x:c>
      <x:c r="T108" s="157" t="n">
        <x:f aca="0">S108*(1-$B$106)</x:f>
        <x:v>0.941094</x:v>
      </x:c>
      <x:c r="U108" s="157" t="n">
        <x:f aca="0">T108*(1-$B$106)</x:f>
        <x:v>0.941094</x:v>
      </x:c>
      <x:c r="V108" s="157" t="n">
        <x:f aca="0">U108*(1-$B$106)</x:f>
        <x:v>0.941094</x:v>
      </x:c>
      <x:c r="W108" s="157" t="n">
        <x:f aca="0">V108*(1-$B$106)</x:f>
        <x:v>0.941094</x:v>
      </x:c>
      <x:c r="X108" s="157" t="n">
        <x:f aca="0">W108*(1-$B$106)</x:f>
        <x:v>0.941094</x:v>
      </x:c>
      <x:c r="Y108" s="157" t="n">
        <x:f aca="0">X108*(1-$B$106)</x:f>
        <x:v>0.941094</x:v>
      </x:c>
      <x:c r="Z108" s="157" t="n">
        <x:f aca="0">Y108*(1-$B$106)</x:f>
        <x:v>0.941094</x:v>
      </x:c>
      <x:c r="AA108" s="157" t="n">
        <x:f aca="0">Z108*(1-$B$106)</x:f>
        <x:v>0.941094</x:v>
      </x:c>
      <x:c r="AB108" s="157" t="n">
        <x:f aca="0">AA108*(1-$B$106)</x:f>
        <x:v>0.941094</x:v>
      </x:c>
      <x:c r="AC108" s="157" t="n">
        <x:f aca="0">AB108*(1-$B$106)</x:f>
        <x:v>0.941094</x:v>
      </x:c>
    </x:row>
    <x:row r="115" ht="15" hidden="0" customHeight="1">
      <x:c r="A115" s="152" t="s">
        <x:v>1048</x:v>
      </x:c>
      <x:c r="B115" s="152"/>
      <x:c r="C115" s="152"/>
      <x:c r="D115" s="152"/>
      <x:c r="E115" s="152"/>
      <x:c r="F115" s="152"/>
      <x:c r="G115" s="152"/>
      <x:c r="H115" s="152"/>
      <x:c r="I115" s="152"/>
      <x:c r="J115" s="152"/>
    </x:row>
    <x:row r="116" ht="15" hidden="0" customHeight="1">
      <x:c r="A116" s="153" t="s">
        <x:v>1049</x:v>
      </x:c>
      <x:c r="B116" s="153"/>
      <x:c r="C116" s="153"/>
      <x:c r="D116" s="153"/>
      <x:c r="E116" s="153"/>
      <x:c r="F116" s="153"/>
      <x:c r="G116" s="153"/>
      <x:c r="H116" s="153"/>
      <x:c r="I116" s="153"/>
      <x:c r="J116" s="153"/>
    </x:row>
    <x:row r="118" ht="15" hidden="0" customHeight="1">
      <x:c r="A118" s="154" t="s">
        <x:v>1050</x:v>
      </x:c>
      <x:c r="B118" s="155" t="n">
        <x:v>0.03</x:v>
      </x:c>
    </x:row>
    <x:row r="119" ht="15" hidden="0" customHeight="1">
      <x:c r="A119" s="154" t="s">
        <x:v>1051</x:v>
      </x:c>
      <x:c r="B119" s="155" t="n">
        <x:v>0.02</x:v>
      </x:c>
    </x:row>
    <x:row r="120" ht="15" hidden="0" customHeight="1">
      <x:c r="A120" s="154" t="s">
        <x:v>1052</x:v>
      </x:c>
      <x:c r="B120" s="155" t="n">
        <x:v>0.01</x:v>
      </x:c>
    </x:row>
    <x:row r="121" ht="15" hidden="0" customHeight="1">
      <x:c r="A121" s="154" t="s">
        <x:v>1053</x:v>
      </x:c>
      <x:c r="B121" s="155" t="n">
        <x:v>0</x:v>
      </x:c>
    </x:row>
    <x:row r="123" ht="15" hidden="0" customHeight="1">
      <x:c r="A123" s="156" t="s">
        <x:v>1054</x:v>
      </x:c>
      <x:c r="I123" s="157" t="n">
        <x:v>1</x:v>
      </x:c>
      <x:c r="J123" s="157" t="n">
        <x:f aca="0">I123*(1-$B$118)</x:f>
        <x:v>0.97</x:v>
      </x:c>
      <x:c r="K123" s="157" t="n">
        <x:f aca="0">J123*(1-$B$119)</x:f>
        <x:v>0.9506</x:v>
      </x:c>
      <x:c r="L123" s="157" t="n">
        <x:f aca="0">K123*(1-$B$120)</x:f>
        <x:v>0.941094</x:v>
      </x:c>
      <x:c r="M123" s="157" t="n">
        <x:f aca="0">L123*(1-$B$121)</x:f>
        <x:v>0.941094</x:v>
      </x:c>
      <x:c r="N123" s="157" t="n">
        <x:f aca="0">M123*(1-$B$121)</x:f>
        <x:v>0.941094</x:v>
      </x:c>
      <x:c r="O123" s="157" t="n">
        <x:f aca="0">N123*(1-$B$121)</x:f>
        <x:v>0.941094</x:v>
      </x:c>
      <x:c r="P123" s="157" t="n">
        <x:f aca="0">O123*(1-$B$121)</x:f>
        <x:v>0.941094</x:v>
      </x:c>
      <x:c r="Q123" s="157" t="n">
        <x:f aca="0">P123*(1-$B$121)</x:f>
        <x:v>0.941094</x:v>
      </x:c>
      <x:c r="R123" s="157" t="n">
        <x:f aca="0">Q123*(1-$B$121)</x:f>
        <x:v>0.941094</x:v>
      </x:c>
      <x:c r="S123" s="157" t="n">
        <x:f aca="0">R123*(1-$B$121)</x:f>
        <x:v>0.941094</x:v>
      </x:c>
      <x:c r="T123" s="157" t="n">
        <x:f aca="0">S123*(1-$B$121)</x:f>
        <x:v>0.941094</x:v>
      </x:c>
      <x:c r="U123" s="157" t="n">
        <x:f aca="0">T123*(1-$B$121)</x:f>
        <x:v>0.941094</x:v>
      </x:c>
      <x:c r="V123" s="157" t="n">
        <x:f aca="0">U123*(1-$B$121)</x:f>
        <x:v>0.941094</x:v>
      </x:c>
      <x:c r="W123" s="157" t="n">
        <x:f aca="0">V123*(1-$B$121)</x:f>
        <x:v>0.941094</x:v>
      </x:c>
      <x:c r="X123" s="157" t="n">
        <x:f aca="0">W123*(1-$B$121)</x:f>
        <x:v>0.941094</x:v>
      </x:c>
      <x:c r="Y123" s="157" t="n">
        <x:f aca="0">X123*(1-$B$121)</x:f>
        <x:v>0.941094</x:v>
      </x:c>
      <x:c r="Z123" s="157" t="n">
        <x:f aca="0">Y123*(1-$B$121)</x:f>
        <x:v>0.941094</x:v>
      </x:c>
      <x:c r="AA123" s="157" t="n">
        <x:f aca="0">Z123*(1-$B$121)</x:f>
        <x:v>0.941094</x:v>
      </x:c>
      <x:c r="AB123" s="157" t="n">
        <x:f aca="0">AA123*(1-$B$121)</x:f>
        <x:v>0.941094</x:v>
      </x:c>
      <x:c r="AC123" s="157" t="n">
        <x:f aca="0">AB123*(1-$B$121)</x:f>
        <x:v>0.941094</x:v>
      </x:c>
    </x:row>
  </x:sheetData>
  <x:mergeCells>
    <x:mergeCell ref="AD13:AX13"/>
    <x:mergeCell ref="BA13:BU13"/>
    <x:mergeCell ref="A100:J100"/>
    <x:mergeCell ref="A101:J101"/>
    <x:mergeCell ref="A115:J115"/>
    <x:mergeCell ref="A116:J116"/>
  </x:mergeCells>
  <x:dataValidations count="1">
    <x:dataValidation type="list" errorStyle="stop" operator="between" allowBlank="0" showDropDown="0" showInputMessage="0" showErrorMessage="0" sqref="B85">
      <x:formula1>psp_species_support!$a$2:$a$68</x:formula1>
      <x:formula2>0</x:formula2>
    </x:dataValidation>
  </x:dataValidations>
  <x:pageMargins left="0.7" right="0.7" top="0.75" bottom="0.75" header="0.3" footer="0.3"/>
  <x:drawing xmlns:r="http://schemas.openxmlformats.org/officeDocument/2006/relationships" r:id="Rf6a1bbc95ff94f3f"/>
</x:worksheet>
</file>

<file path=xl/worksheets/sheet15.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12" style="37" hidden="0" customWidth="1"/>
    <x:col min="2" max="2" width="38" style="37" hidden="0" customWidth="1"/>
    <x:col min="3" max="3" width="24" style="37" hidden="0" customWidth="1"/>
    <x:col min="4" max="4" width="13" style="37" hidden="0" customWidth="1"/>
    <x:col min="5" max="5" width="10" style="37" hidden="0" customWidth="1"/>
    <x:col min="6" max="6" width="14" style="37" hidden="0" customWidth="1"/>
    <x:col min="7" max="7" width="16" style="37" hidden="0" customWidth="1"/>
    <x:col min="8" max="8" width="20" style="37" hidden="0" customWidth="1"/>
    <x:col min="9" max="9" width="18" style="37" hidden="0" customWidth="1"/>
    <x:col min="10" max="10" width="11" style="37" hidden="0" customWidth="1"/>
    <x:col min="11" max="11" width="12" style="37" hidden="0" customWidth="1"/>
    <x:col min="12" max="12" width="18" style="37" hidden="0" customWidth="1"/>
    <x:col min="13" max="13" width="21" style="37" hidden="0" customWidth="1"/>
    <x:col min="14" max="14" width="25" style="37" hidden="0" customWidth="1"/>
    <x:col min="15" max="15" width="13" style="37" hidden="0" customWidth="1"/>
    <x:col min="16" max="16" width="34" style="37" hidden="0" customWidth="1"/>
    <x:col min="17" max="17" width="62" style="37" hidden="0" customWidth="1"/>
  </x:cols>
  <x:sheetData>
    <x:row r="1" ht="24" hidden="0" customHeight="1">
      <x:c r="A1" s="38" t="s">
        <x:v>1055</x:v>
      </x:c>
      <x:c r="B1" s="38"/>
      <x:c r="C1" s="38"/>
      <x:c r="D1" s="38"/>
      <x:c r="E1" s="38"/>
      <x:c r="F1" s="38"/>
      <x:c r="G1" s="38"/>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c r="AW1" s="38"/>
      <x:c r="AX1" s="38"/>
      <x:c r="AY1" s="38"/>
      <x:c r="AZ1" s="38"/>
      <x:c r="BA1" s="38"/>
      <x:c r="BB1" s="38"/>
      <x:c r="BC1" s="38"/>
      <x:c r="BD1" s="38"/>
      <x:c r="BE1" s="38"/>
      <x:c r="BF1" s="38"/>
      <x:c r="BG1" s="38"/>
    </x:row>
    <x:row r="2" ht="33.75" hidden="0" customHeight="1">
      <x:c r="A2" s="45" t="s">
        <x:v>1056</x:v>
      </x:c>
      <x:c r="B2" s="45"/>
      <x:c r="C2" s="45"/>
      <x:c r="D2" s="45"/>
      <x:c r="E2" s="45"/>
      <x:c r="F2" s="45"/>
      <x:c r="G2" s="45"/>
      <x:c r="H2" s="45"/>
      <x:c r="I2" s="45"/>
      <x:c r="J2" s="45"/>
      <x:c r="K2" s="45"/>
      <x:c r="L2" s="45"/>
      <x:c r="M2" s="45"/>
      <x:c r="N2" s="45"/>
      <x:c r="O2" s="45"/>
      <x:c r="P2" s="45"/>
      <x:c r="Q2" s="45"/>
      <x:c r="R2" s="45"/>
      <x:c r="S2" s="45"/>
      <x:c r="T2" s="45"/>
      <x:c r="U2" s="45"/>
      <x:c r="V2" s="45"/>
      <x:c r="W2" s="45"/>
      <x:c r="X2" s="45"/>
      <x:c r="Y2" s="45"/>
      <x:c r="Z2" s="45"/>
      <x:c r="AA2" s="45"/>
      <x:c r="AB2" s="45"/>
      <x:c r="AC2" s="45"/>
      <x:c r="AD2" s="45"/>
      <x:c r="AE2" s="45"/>
      <x:c r="AF2" s="45"/>
      <x:c r="AG2" s="45"/>
      <x:c r="AH2" s="45"/>
      <x:c r="AI2" s="45"/>
      <x:c r="AJ2" s="45"/>
      <x:c r="AK2" s="45"/>
      <x:c r="AL2" s="45"/>
      <x:c r="AM2" s="45"/>
      <x:c r="AN2" s="45"/>
      <x:c r="AO2" s="45"/>
      <x:c r="AP2" s="45"/>
      <x:c r="AQ2" s="45"/>
      <x:c r="AR2" s="45"/>
      <x:c r="AS2" s="45"/>
      <x:c r="AT2" s="45"/>
      <x:c r="AU2" s="45"/>
      <x:c r="AV2" s="45"/>
      <x:c r="AW2" s="45"/>
      <x:c r="AX2" s="45"/>
      <x:c r="AY2" s="45"/>
      <x:c r="AZ2" s="45"/>
      <x:c r="BA2" s="45"/>
      <x:c r="BB2" s="45"/>
      <x:c r="BC2" s="45"/>
      <x:c r="BD2" s="45"/>
      <x:c r="BE2" s="45"/>
      <x:c r="BF2" s="45"/>
      <x:c r="BG2" s="45"/>
    </x:row>
    <x:row r="3" ht="36" hidden="0" customHeight="1">
      <x:c r="A3" s="158" t="s">
        <x:v>703</x:v>
      </x:c>
      <x:c r="B3" s="158" t="s">
        <x:v>1057</x:v>
      </x:c>
      <x:c r="C3" s="158" t="s">
        <x:v>97</x:v>
      </x:c>
      <x:c r="D3" s="158" t="s">
        <x:v>528</x:v>
      </x:c>
      <x:c r="E3" s="158" t="s">
        <x:v>529</x:v>
      </x:c>
      <x:c r="F3" s="158" t="str">
        <x:v>Population Records | from S17_Biome_Strata</x:v>
      </x:c>
      <x:c r="G3" s="158" t="str">
        <x:v>Confirmed Area ha | from S17_Biome_Strata</x:v>
      </x:c>
      <x:c r="H3" s="158" t="s">
        <x:v>705</x:v>
      </x:c>
      <x:c r="I3" s="158" t="s">
        <x:v>706</x:v>
      </x:c>
      <x:c r="J3" s="158" t="s">
        <x:v>707</x:v>
      </x:c>
      <x:c r="K3" s="158" t="s">
        <x:v>1058</x:v>
      </x:c>
      <x:c r="L3" s="158" t="s">
        <x:v>1059</x:v>
      </x:c>
      <x:c r="M3" s="158" t="s">
        <x:v>1060</x:v>
      </x:c>
      <x:c r="N3" s="158" t="s">
        <x:v>753</x:v>
      </x:c>
      <x:c r="O3" s="158" t="s">
        <x:v>1061</x:v>
      </x:c>
      <x:c r="P3" s="158" t="s">
        <x:v>1062</x:v>
      </x:c>
      <x:c r="Q3" s="158" t="s">
        <x:v>1063</x:v>
      </x:c>
      <x:c r="R3" s="159" t="s">
        <x:v>1064</x:v>
      </x:c>
      <x:c r="S3" s="159" t="s">
        <x:v>1065</x:v>
      </x:c>
      <x:c r="T3" s="159" t="s">
        <x:v>1066</x:v>
      </x:c>
      <x:c r="U3" s="159" t="s">
        <x:v>1067</x:v>
      </x:c>
      <x:c r="V3" s="159" t="s">
        <x:v>1068</x:v>
      </x:c>
      <x:c r="W3" s="159" t="s">
        <x:v>1069</x:v>
      </x:c>
      <x:c r="X3" s="159" t="s">
        <x:v>1070</x:v>
      </x:c>
      <x:c r="Y3" s="159" t="s">
        <x:v>1071</x:v>
      </x:c>
      <x:c r="Z3" s="159" t="s">
        <x:v>1072</x:v>
      </x:c>
      <x:c r="AA3" s="159" t="s">
        <x:v>1073</x:v>
      </x:c>
      <x:c r="AB3" s="159" t="s">
        <x:v>1074</x:v>
      </x:c>
      <x:c r="AC3" s="159" t="s">
        <x:v>1075</x:v>
      </x:c>
      <x:c r="AD3" s="159" t="s">
        <x:v>1076</x:v>
      </x:c>
      <x:c r="AE3" s="159" t="s">
        <x:v>1077</x:v>
      </x:c>
      <x:c r="AF3" s="159" t="s">
        <x:v>1078</x:v>
      </x:c>
      <x:c r="AG3" s="159" t="s">
        <x:v>1079</x:v>
      </x:c>
      <x:c r="AH3" s="159" t="s">
        <x:v>1080</x:v>
      </x:c>
      <x:c r="AI3" s="159" t="s">
        <x:v>1081</x:v>
      </x:c>
      <x:c r="AJ3" s="159" t="s">
        <x:v>1082</x:v>
      </x:c>
      <x:c r="AK3" s="159" t="s">
        <x:v>1083</x:v>
      </x:c>
      <x:c r="AL3" s="159" t="s">
        <x:v>1084</x:v>
      </x:c>
      <x:c r="AM3" s="159" t="s">
        <x:v>1085</x:v>
      </x:c>
      <x:c r="AN3" s="159" t="s">
        <x:v>1086</x:v>
      </x:c>
      <x:c r="AO3" s="159" t="s">
        <x:v>1087</x:v>
      </x:c>
      <x:c r="AP3" s="159" t="s">
        <x:v>1088</x:v>
      </x:c>
      <x:c r="AQ3" s="159" t="s">
        <x:v>1089</x:v>
      </x:c>
      <x:c r="AR3" s="159" t="s">
        <x:v>1090</x:v>
      </x:c>
      <x:c r="AS3" s="159" t="s">
        <x:v>1091</x:v>
      </x:c>
      <x:c r="AT3" s="159" t="s">
        <x:v>1092</x:v>
      </x:c>
      <x:c r="AU3" s="159" t="s">
        <x:v>1093</x:v>
      </x:c>
      <x:c r="AV3" s="159" t="s">
        <x:v>1094</x:v>
      </x:c>
      <x:c r="AW3" s="159" t="s">
        <x:v>1095</x:v>
      </x:c>
      <x:c r="AX3" s="159" t="s">
        <x:v>1096</x:v>
      </x:c>
      <x:c r="AY3" s="159" t="s">
        <x:v>1097</x:v>
      </x:c>
      <x:c r="AZ3" s="159" t="s">
        <x:v>1098</x:v>
      </x:c>
      <x:c r="BA3" s="159" t="s">
        <x:v>1099</x:v>
      </x:c>
      <x:c r="BB3" s="159" t="s">
        <x:v>1100</x:v>
      </x:c>
      <x:c r="BC3" s="159" t="s">
        <x:v>1101</x:v>
      </x:c>
      <x:c r="BD3" s="159" t="s">
        <x:v>1102</x:v>
      </x:c>
      <x:c r="BE3" s="159" t="s">
        <x:v>1103</x:v>
      </x:c>
      <x:c r="BF3" s="159" t="s">
        <x:v>1104</x:v>
      </x:c>
      <x:c r="BG3" s="159" t="s">
        <x:v>1105</x:v>
      </x:c>
    </x:row>
    <x:row r="4" ht="15" hidden="0" customHeight="1">
      <x:c r="A4" s="160" t="str">
        <x:f aca="0">"S"&amp;TEXT(ROW()-3,"00")</x:f>
        <x:v>S01</x:v>
      </x:c>
      <x:c r="B4" s="161" t="s">
        <x:v>600</x:v>
      </x:c>
      <x:c r="C4" s="160" t="str">
        <x:f aca="0">LEFT($B4,FIND("|",$B4)-1)</x:f>
        <x:v>Horti-Silviculture</x:v>
      </x:c>
      <x:c r="D4" s="160" t="str">
        <x:f aca="0">MID($B4,FIND("|",$B4)+1,FIND("|",$B4,FIND("|",$B4)+1)-FIND("|",$B4)-1)</x:f>
        <x:v>Medium</x:v>
      </x:c>
      <x:c r="E4" s="160" t="n">
        <x:f aca="0">VALUE(RIGHT($B4,4))</x:f>
        <x:v>2020</x:v>
      </x:c>
      <x:c r="F4" s="115" t="n">
        <x:f aca="0">SUMIF(S17_Biome_Strata!$G$4:$G$95,$B4,S17_Biome_Strata!$E$4:$E$95)</x:f>
        <x:v>325</x:v>
      </x:c>
      <x:c r="G4" s="115" t="n">
        <x:f aca="0">SUMIF(S17_Biome_Strata!$G$4:$G$95,$B4,S17_Biome_Strata!$F$4:$F$95)</x:f>
        <x:v>245.2600463779845</x:v>
      </x:c>
      <x:c r="H4" s="115" t="n">
        <x:f aca="0">IF($K4&gt;=2,SUMIF(S14_Growth_Model_ExAnte!$C$15:$C$81,$B4,S14_Growth_Model_ExAnte!$O$15:$O$81)/$K4,IF($L4&gt;=2,SUMIF(S14_Growth_Model_ExAnte!$AY$15:$AY$81,$C4&amp;"|"&amp;$D4,S14_Growth_Model_ExAnte!$O$15:$O$81)/$L4,IF(COUNTIF(S14_Growth_Model_ExAnte!$AZ$15:$AZ$81,$C4)&gt;0,SUMIF(S14_Growth_Model_ExAnte!$AZ$15:$AZ$81,$C4,S14_Growth_Model_ExAnte!$O$15:$O$81)/COUNTIF(S14_Growth_Model_ExAnte!$AZ$15:$AZ$81,$C4),0)))</x:f>
        <x:v>102.04562925670207</x:v>
      </x:c>
      <x:c r="I4" s="115" t="n">
        <x:f aca="0">IF($K4&gt;=2,SQRT(MAX(0,(SUMIF(S14_Growth_Model_ExAnte!$C$15:$C$81,$B4,S14_Growth_Model_ExAnte!$BG$15:$BG$81)-SUMIF(S14_Growth_Model_ExAnte!$C$15:$C$81,$B4,S14_Growth_Model_ExAnte!$O$15:$O$81)*SUMIF(S14_Growth_Model_ExAnte!$C$15:$C$81,$B4,S14_Growth_Model_ExAnte!$O$15:$O$81)/$K4)/($K4-1))),IF($L4&gt;=2,SQRT(MAX(0,(SUMIF(S14_Growth_Model_ExAnte!$AY$15:$AY$81,$C4&amp;"|"&amp;$D4,S14_Growth_Model_ExAnte!$BG$15:$BG$81)-SUMIF(S14_Growth_Model_ExAnte!$AY$15:$AY$81,$C4&amp;"|"&amp;$D4,S14_Growth_Model_ExAnte!$O$15:$O$81)*SUMIF(S14_Growth_Model_ExAnte!$AY$15:$AY$81,$C4&amp;"|"&amp;$D4,S14_Growth_Model_ExAnte!$O$15:$O$81)/$L4)/($L4-1))),IF(COUNTIF(S14_Growth_Model_ExAnte!$AZ$15:$AZ$81,$C4)&gt;=2,SQRT(MAX(0,(SUMIF(S14_Growth_Model_ExAnte!$AZ$15:$AZ$81,$C4,S14_Growth_Model_ExAnte!$BG$15:$BG$81)-SUMIF(S14_Growth_Model_ExAnte!$AZ$15:$AZ$81,$C4,S14_Growth_Model_ExAnte!$O$15:$O$81)*SUMIF(S14_Growth_Model_ExAnte!$AZ$15:$AZ$81,$C4,S14_Growth_Model_ExAnte!$O$15:$O$81)/COUNTIF(S14_Growth_Model_ExAnte!$AZ$15:$AZ$81,$C4))/(COUNTIF(S14_Growth_Model_ExAnte!$AZ$15:$AZ$81,$C4)-1))),0)))</x:f>
        <x:v>176.55349249464146</x:v>
      </x:c>
      <x:c r="J4" s="115" t="n">
        <x:f aca="0">IFERROR(I4/H4,0)</x:f>
        <x:v>1.730142621302381</x:v>
      </x:c>
      <x:c r="K4" s="115" t="n">
        <x:f aca="0">COUNTIF(S14_Growth_Model_ExAnte!$C$15:$C$81,$B4)</x:f>
        <x:v>6</x:v>
      </x:c>
      <x:c r="L4" s="115" t="n">
        <x:f aca="0">COUNTIF(S14_Growth_Model_ExAnte!$AY$15:$AY$81,$C4&amp;"|"&amp;$D4)</x:f>
        <x:v>9</x:v>
      </x:c>
      <x:c r="M4" s="115" t="n">
        <x:f aca="0">$H4</x:f>
        <x:v>102.04562925670207</x:v>
      </x:c>
      <x:c r="N4" s="115" t="n">
        <x:f aca="0">MAX(0,$M4*S08_Defaults!$B$5)</x:f>
        <x:v>76.53422194252656</x:v>
      </x:c>
      <x:c r="O4" s="115" t="n">
        <x:f aca="0">IFERROR($N4/$M4,0)</x:f>
        <x:v>0.75</x:v>
      </x:c>
      <x:c r="P4" s="115" t="str">
        <x:f aca="0">IF($K4&gt;=2,"Exact Stratum PSP Chapman-Richards curve",IF($L4&gt;=2,"Model×Density pooled Chapman-Richards curve","Model pooled Chapman-Richards curve"))</x:f>
        <x:v>Exact Stratum PSP Chapman-Richards curve</x:v>
      </x:c>
      <x:c r="Q4" s="162" t="s">
        <x:v>1106</x:v>
      </x:c>
      <x:c r="R4" s="115" t="n">
        <x:f aca="0">(IF($K4&gt;=2,SUMIF(S14_Growth_Model_ExAnte!$C$15:$C$81,$B4,S14_Growth_Model_ExAnte!$I$15:$I$81)/$K4,IF($L4&gt;=2,SUMIF(S14_Growth_Model_ExAnte!$AY$15:$AY$81,$C4&amp;"|"&amp;$D4,S14_Growth_Model_ExAnte!$I$15:$I$81)/$L4,IF(COUNTIF(S14_Growth_Model_ExAnte!$AZ$15:$AZ$81,$C4)&gt;0,SUMIF(S14_Growth_Model_ExAnte!$AZ$15:$AZ$81,$C4,S14_Growth_Model_ExAnte!$I$15:$I$81)/COUNTIF(S14_Growth_Model_ExAnte!$AZ$15:$AZ$81,$C4),0))))*$O4*S08_Defaults!$B$6*(1+S08_Defaults!$B$7)*S08_Defaults!$B$8</x:f>
        <x:v>0</x:v>
      </x:c>
      <x:c r="S4" s="115" t="n">
        <x:f aca="0">(IF($K4&gt;=2,SUMIF(S14_Growth_Model_ExAnte!$C$15:$C$81,$B4,S14_Growth_Model_ExAnte!$J$15:$J$81)/$K4,IF($L4&gt;=2,SUMIF(S14_Growth_Model_ExAnte!$AY$15:$AY$81,$C4&amp;"|"&amp;$D4,S14_Growth_Model_ExAnte!$J$15:$J$81)/$L4,IF(COUNTIF(S14_Growth_Model_ExAnte!$AZ$15:$AZ$81,$C4)&gt;0,SUMIF(S14_Growth_Model_ExAnte!$AZ$15:$AZ$81,$C4,S14_Growth_Model_ExAnte!$J$15:$J$81)/COUNTIF(S14_Growth_Model_ExAnte!$AZ$15:$AZ$81,$C4),0))))*$O4*S08_Defaults!$B$6*(1+S08_Defaults!$B$7)*S08_Defaults!$B$8</x:f>
        <x:v>0.903106223242759</x:v>
      </x:c>
      <x:c r="T4" s="115" t="n">
        <x:f aca="0">(IF($K4&gt;=2,SUMIF(S14_Growth_Model_ExAnte!$C$15:$C$81,$B4,S14_Growth_Model_ExAnte!$K$15:$K$81)/$K4,IF($L4&gt;=2,SUMIF(S14_Growth_Model_ExAnte!$AY$15:$AY$81,$C4&amp;"|"&amp;$D4,S14_Growth_Model_ExAnte!$K$15:$K$81)/$L4,IF(COUNTIF(S14_Growth_Model_ExAnte!$AZ$15:$AZ$81,$C4)&gt;0,SUMIF(S14_Growth_Model_ExAnte!$AZ$15:$AZ$81,$C4,S14_Growth_Model_ExAnte!$K$15:$K$81)/COUNTIF(S14_Growth_Model_ExAnte!$AZ$15:$AZ$81,$C4),0))))*$O4*S08_Defaults!$B$6*(1+S08_Defaults!$B$7)*S08_Defaults!$B$8</x:f>
        <x:v>8.648458189598166</x:v>
      </x:c>
      <x:c r="U4" s="115" t="n">
        <x:f aca="0">(IF($K4&gt;=2,SUMIF(S14_Growth_Model_ExAnte!$C$15:$C$81,$B4,S14_Growth_Model_ExAnte!$L$15:$L$81)/$K4,IF($L4&gt;=2,SUMIF(S14_Growth_Model_ExAnte!$AY$15:$AY$81,$C4&amp;"|"&amp;$D4,S14_Growth_Model_ExAnte!$L$15:$L$81)/$L4,IF(COUNTIF(S14_Growth_Model_ExAnte!$AZ$15:$AZ$81,$C4)&gt;0,SUMIF(S14_Growth_Model_ExAnte!$AZ$15:$AZ$81,$C4,S14_Growth_Model_ExAnte!$L$15:$L$81)/COUNTIF(S14_Growth_Model_ExAnte!$AZ$15:$AZ$81,$C4),0))))*$O4*S08_Defaults!$B$6*(1+S08_Defaults!$B$7)*S08_Defaults!$B$8</x:f>
        <x:v>28.777791332998564</x:v>
      </x:c>
      <x:c r="V4" s="115" t="n">
        <x:f aca="0">(IF($K4&gt;=2,SUMIF(S14_Growth_Model_ExAnte!$C$15:$C$81,$B4,S14_Growth_Model_ExAnte!$M$15:$M$81)/$K4,IF($L4&gt;=2,SUMIF(S14_Growth_Model_ExAnte!$AY$15:$AY$81,$C4&amp;"|"&amp;$D4,S14_Growth_Model_ExAnte!$M$15:$M$81)/$L4,IF(COUNTIF(S14_Growth_Model_ExAnte!$AZ$15:$AZ$81,$C4)&gt;0,SUMIF(S14_Growth_Model_ExAnte!$AZ$15:$AZ$81,$C4,S14_Growth_Model_ExAnte!$M$15:$M$81)/COUNTIF(S14_Growth_Model_ExAnte!$AZ$15:$AZ$81,$C4),0))))*$O4*S08_Defaults!$B$6*(1+S08_Defaults!$B$7)*S08_Defaults!$B$8</x:f>
        <x:v>62.85213912787111</x:v>
      </x:c>
      <x:c r="W4" s="115" t="n">
        <x:f aca="0">(IF($K4&gt;=2,SUMIF(S14_Growth_Model_ExAnte!$C$15:$C$81,$B4,S14_Growth_Model_ExAnte!$N$15:$N$81)/$K4,IF($L4&gt;=2,SUMIF(S14_Growth_Model_ExAnte!$AY$15:$AY$81,$C4&amp;"|"&amp;$D4,S14_Growth_Model_ExAnte!$N$15:$N$81)/$L4,IF(COUNTIF(S14_Growth_Model_ExAnte!$AZ$15:$AZ$81,$C4)&gt;0,SUMIF(S14_Growth_Model_ExAnte!$AZ$15:$AZ$81,$C4,S14_Growth_Model_ExAnte!$N$15:$N$81)/COUNTIF(S14_Growth_Model_ExAnte!$AZ$15:$AZ$81,$C4),0))))*$O4*S08_Defaults!$B$6*(1+S08_Defaults!$B$7)*S08_Defaults!$B$8</x:f>
        <x:v>108.89251301046454</x:v>
      </x:c>
      <x:c r="X4" s="115" t="n">
        <x:f aca="0">(IF($K4&gt;=2,SUMIF(S14_Growth_Model_ExAnte!$C$15:$C$81,$B4,S14_Growth_Model_ExAnte!$O$15:$O$81)/$K4,IF($L4&gt;=2,SUMIF(S14_Growth_Model_ExAnte!$AY$15:$AY$81,$C4&amp;"|"&amp;$D4,S14_Growth_Model_ExAnte!$O$15:$O$81)/$L4,IF(COUNTIF(S14_Growth_Model_ExAnte!$AZ$15:$AZ$81,$C4)&gt;0,SUMIF(S14_Growth_Model_ExAnte!$AZ$15:$AZ$81,$C4,S14_Growth_Model_ExAnte!$O$15:$O$81)/COUNTIF(S14_Growth_Model_ExAnte!$AZ$15:$AZ$81,$C4),0))))*$O4*S08_Defaults!$B$6*(1+S08_Defaults!$B$7)*S08_Defaults!$B$8</x:f>
        <x:v>163.54853000971656</x:v>
      </x:c>
      <x:c r="Y4" s="115" t="n">
        <x:f aca="0">(IF($K4&gt;=2,SUMIF(S14_Growth_Model_ExAnte!$C$15:$C$81,$B4,S14_Growth_Model_ExAnte!$P$15:$P$81)/$K4,IF($L4&gt;=2,SUMIF(S14_Growth_Model_ExAnte!$AY$15:$AY$81,$C4&amp;"|"&amp;$D4,S14_Growth_Model_ExAnte!$P$15:$P$81)/$L4,IF(COUNTIF(S14_Growth_Model_ExAnte!$AZ$15:$AZ$81,$C4)&gt;0,SUMIF(S14_Growth_Model_ExAnte!$AZ$15:$AZ$81,$C4,S14_Growth_Model_ExAnte!$P$15:$P$81)/COUNTIF(S14_Growth_Model_ExAnte!$AZ$15:$AZ$81,$C4),0))))*$O4*S08_Defaults!$B$6*(1+S08_Defaults!$B$7)*S08_Defaults!$B$8</x:f>
        <x:v>223.2421520591125</x:v>
      </x:c>
      <x:c r="Z4" s="115" t="n">
        <x:f aca="0">(IF($K4&gt;=2,SUMIF(S14_Growth_Model_ExAnte!$C$15:$C$81,$B4,S14_Growth_Model_ExAnte!$Q$15:$Q$81)/$K4,IF($L4&gt;=2,SUMIF(S14_Growth_Model_ExAnte!$AY$15:$AY$81,$C4&amp;"|"&amp;$D4,S14_Growth_Model_ExAnte!$Q$15:$Q$81)/$L4,IF(COUNTIF(S14_Growth_Model_ExAnte!$AZ$15:$AZ$81,$C4)&gt;0,SUMIF(S14_Growth_Model_ExAnte!$AZ$15:$AZ$81,$C4,S14_Growth_Model_ExAnte!$Q$15:$Q$81)/COUNTIF(S14_Growth_Model_ExAnte!$AZ$15:$AZ$81,$C4),0))))*$O4*S08_Defaults!$B$6*(1+S08_Defaults!$B$7)*S08_Defaults!$B$8</x:f>
        <x:v>284.8193244647194</x:v>
      </x:c>
      <x:c r="AA4" s="115" t="n">
        <x:f aca="0">(IF($K4&gt;=2,SUMIF(S14_Growth_Model_ExAnte!$C$15:$C$81,$B4,S14_Growth_Model_ExAnte!$R$15:$R$81)/$K4,IF($L4&gt;=2,SUMIF(S14_Growth_Model_ExAnte!$AY$15:$AY$81,$C4&amp;"|"&amp;$D4,S14_Growth_Model_ExAnte!$R$15:$R$81)/$L4,IF(COUNTIF(S14_Growth_Model_ExAnte!$AZ$15:$AZ$81,$C4)&gt;0,SUMIF(S14_Growth_Model_ExAnte!$AZ$15:$AZ$81,$C4,S14_Growth_Model_ExAnte!$R$15:$R$81)/COUNTIF(S14_Growth_Model_ExAnte!$AZ$15:$AZ$81,$C4),0))))*$O4*S08_Defaults!$B$6*(1+S08_Defaults!$B$7)*S08_Defaults!$B$8</x:f>
        <x:v>345.80144455439995</x:v>
      </x:c>
      <x:c r="AB4" s="115" t="n">
        <x:f aca="0">(IF($K4&gt;=2,SUMIF(S14_Growth_Model_ExAnte!$C$15:$C$81,$B4,S14_Growth_Model_ExAnte!$S$15:$S$81)/$K4,IF($L4&gt;=2,SUMIF(S14_Growth_Model_ExAnte!$AY$15:$AY$81,$C4&amp;"|"&amp;$D4,S14_Growth_Model_ExAnte!$S$15:$S$81)/$L4,IF(COUNTIF(S14_Growth_Model_ExAnte!$AZ$15:$AZ$81,$C4)&gt;0,SUMIF(S14_Growth_Model_ExAnte!$AZ$15:$AZ$81,$C4,S14_Growth_Model_ExAnte!$S$15:$S$81)/COUNTIF(S14_Growth_Model_ExAnte!$AZ$15:$AZ$81,$C4),0))))*$O4*S08_Defaults!$B$6*(1+S08_Defaults!$B$7)*S08_Defaults!$B$8</x:f>
        <x:v>404.4092667148908</x:v>
      </x:c>
      <x:c r="AC4" s="115" t="n">
        <x:f aca="0">(IF($K4&gt;=2,SUMIF(S14_Growth_Model_ExAnte!$C$15:$C$81,$B4,S14_Growth_Model_ExAnte!$T$15:$T$81)/$K4,IF($L4&gt;=2,SUMIF(S14_Growth_Model_ExAnte!$AY$15:$AY$81,$C4&amp;"|"&amp;$D4,S14_Growth_Model_ExAnte!$T$15:$T$81)/$L4,IF(COUNTIF(S14_Growth_Model_ExAnte!$AZ$15:$AZ$81,$C4)&gt;0,SUMIF(S14_Growth_Model_ExAnte!$AZ$15:$AZ$81,$C4,S14_Growth_Model_ExAnte!$T$15:$T$81)/COUNTIF(S14_Growth_Model_ExAnte!$AZ$15:$AZ$81,$C4),0))))*$O4*S08_Defaults!$B$6*(1+S08_Defaults!$B$7)*S08_Defaults!$B$8</x:f>
        <x:v>459.4785477103983</x:v>
      </x:c>
      <x:c r="AD4" s="115" t="n">
        <x:f aca="0">(IF($K4&gt;=2,SUMIF(S14_Growth_Model_ExAnte!$C$15:$C$81,$B4,S14_Growth_Model_ExAnte!$U$15:$U$81)/$K4,IF($L4&gt;=2,SUMIF(S14_Growth_Model_ExAnte!$AY$15:$AY$81,$C4&amp;"|"&amp;$D4,S14_Growth_Model_ExAnte!$U$15:$U$81)/$L4,IF(COUNTIF(S14_Growth_Model_ExAnte!$AZ$15:$AZ$81,$C4)&gt;0,SUMIF(S14_Growth_Model_ExAnte!$AZ$15:$AZ$81,$C4,S14_Growth_Model_ExAnte!$U$15:$U$81)/COUNTIF(S14_Growth_Model_ExAnte!$AZ$15:$AZ$81,$C4),0))))*$O4*S08_Defaults!$B$6*(1+S08_Defaults!$B$7)*S08_Defaults!$B$8</x:f>
        <x:v>510.3380321400082</x:v>
      </x:c>
      <x:c r="AE4" s="115" t="n">
        <x:f aca="0">(IF($K4&gt;=2,SUMIF(S14_Growth_Model_ExAnte!$C$15:$C$81,$B4,S14_Growth_Model_ExAnte!$V$15:$V$81)/$K4,IF($L4&gt;=2,SUMIF(S14_Growth_Model_ExAnte!$AY$15:$AY$81,$C4&amp;"|"&amp;$D4,S14_Growth_Model_ExAnte!$V$15:$V$81)/$L4,IF(COUNTIF(S14_Growth_Model_ExAnte!$AZ$15:$AZ$81,$C4)&gt;0,SUMIF(S14_Growth_Model_ExAnte!$AZ$15:$AZ$81,$C4,S14_Growth_Model_ExAnte!$V$15:$V$81)/COUNTIF(S14_Growth_Model_ExAnte!$AZ$15:$AZ$81,$C4),0))))*$O4*S08_Defaults!$B$6*(1+S08_Defaults!$B$7)*S08_Defaults!$B$8</x:f>
        <x:v>556.6866644693121</x:v>
      </x:c>
      <x:c r="AF4" s="115" t="n">
        <x:f aca="0">(IF($K4&gt;=2,SUMIF(S14_Growth_Model_ExAnte!$C$15:$C$81,$B4,S14_Growth_Model_ExAnte!$W$15:$W$81)/$K4,IF($L4&gt;=2,SUMIF(S14_Growth_Model_ExAnte!$AY$15:$AY$81,$C4&amp;"|"&amp;$D4,S14_Growth_Model_ExAnte!$W$15:$W$81)/$L4,IF(COUNTIF(S14_Growth_Model_ExAnte!$AZ$15:$AZ$81,$C4)&gt;0,SUMIF(S14_Growth_Model_ExAnte!$AZ$15:$AZ$81,$C4,S14_Growth_Model_ExAnte!$W$15:$W$81)/COUNTIF(S14_Growth_Model_ExAnte!$AZ$15:$AZ$81,$C4),0))))*$O4*S08_Defaults!$B$6*(1+S08_Defaults!$B$7)*S08_Defaults!$B$8</x:f>
        <x:v>598.4864574775127</x:v>
      </x:c>
      <x:c r="AG4" s="115" t="n">
        <x:f aca="0">(IF($K4&gt;=2,SUMIF(S14_Growth_Model_ExAnte!$C$15:$C$81,$B4,S14_Growth_Model_ExAnte!$X$15:$X$81)/$K4,IF($L4&gt;=2,SUMIF(S14_Growth_Model_ExAnte!$AY$15:$AY$81,$C4&amp;"|"&amp;$D4,S14_Growth_Model_ExAnte!$X$15:$X$81)/$L4,IF(COUNTIF(S14_Growth_Model_ExAnte!$AZ$15:$AZ$81,$C4)&gt;0,SUMIF(S14_Growth_Model_ExAnte!$AZ$15:$AZ$81,$C4,S14_Growth_Model_ExAnte!$X$15:$X$81)/COUNTIF(S14_Growth_Model_ExAnte!$AZ$15:$AZ$81,$C4),0))))*$O4*S08_Defaults!$B$6*(1+S08_Defaults!$B$7)*S08_Defaults!$B$8</x:f>
        <x:v>635.8761854419288</x:v>
      </x:c>
      <x:c r="AH4" s="115" t="n">
        <x:f aca="0">(IF($K4&gt;=2,SUMIF(S14_Growth_Model_ExAnte!$C$15:$C$81,$B4,S14_Growth_Model_ExAnte!$Y$15:$Y$81)/$K4,IF($L4&gt;=2,SUMIF(S14_Growth_Model_ExAnte!$AY$15:$AY$81,$C4&amp;"|"&amp;$D4,S14_Growth_Model_ExAnte!$Y$15:$Y$81)/$L4,IF(COUNTIF(S14_Growth_Model_ExAnte!$AZ$15:$AZ$81,$C4)&gt;0,SUMIF(S14_Growth_Model_ExAnte!$AZ$15:$AZ$81,$C4,S14_Growth_Model_ExAnte!$Y$15:$Y$81)/COUNTIF(S14_Growth_Model_ExAnte!$AZ$15:$AZ$81,$C4),0))))*$O4*S08_Defaults!$B$6*(1+S08_Defaults!$B$7)*S08_Defaults!$B$8</x:f>
        <x:v>669.1054837983523</x:v>
      </x:c>
      <x:c r="AI4" s="115" t="n">
        <x:f aca="0">(IF($K4&gt;=2,SUMIF(S14_Growth_Model_ExAnte!$C$15:$C$81,$B4,S14_Growth_Model_ExAnte!$Z$15:$Z$81)/$K4,IF($L4&gt;=2,SUMIF(S14_Growth_Model_ExAnte!$AY$15:$AY$81,$C4&amp;"|"&amp;$D4,S14_Growth_Model_ExAnte!$Z$15:$Z$81)/$L4,IF(COUNTIF(S14_Growth_Model_ExAnte!$AZ$15:$AZ$81,$C4)&gt;0,SUMIF(S14_Growth_Model_ExAnte!$AZ$15:$AZ$81,$C4,S14_Growth_Model_ExAnte!$Z$15:$Z$81)/COUNTIF(S14_Growth_Model_ExAnte!$AZ$15:$AZ$81,$C4),0))))*$O4*S08_Defaults!$B$6*(1+S08_Defaults!$B$7)*S08_Defaults!$B$8</x:f>
        <x:v>698.4865785883239</x:v>
      </x:c>
      <x:c r="AJ4" s="115" t="n">
        <x:f aca="0">(IF($K4&gt;=2,SUMIF(S14_Growth_Model_ExAnte!$C$15:$C$81,$B4,S14_Growth_Model_ExAnte!$AA$15:$AA$81)/$K4,IF($L4&gt;=2,SUMIF(S14_Growth_Model_ExAnte!$AY$15:$AY$81,$C4&amp;"|"&amp;$D4,S14_Growth_Model_ExAnte!$AA$15:$AA$81)/$L4,IF(COUNTIF(S14_Growth_Model_ExAnte!$AZ$15:$AZ$81,$C4)&gt;0,SUMIF(S14_Growth_Model_ExAnte!$AZ$15:$AZ$81,$C4,S14_Growth_Model_ExAnte!$AA$15:$AA$81)/COUNTIF(S14_Growth_Model_ExAnte!$AZ$15:$AZ$81,$C4),0))))*$O4*S08_Defaults!$B$6*(1+S08_Defaults!$B$7)*S08_Defaults!$B$8</x:f>
        <x:v>724.3602102019207</x:v>
      </x:c>
      <x:c r="AK4" s="115" t="n">
        <x:f aca="0">(IF($K4&gt;=2,SUMIF(S14_Growth_Model_ExAnte!$C$15:$C$81,$B4,S14_Growth_Model_ExAnte!$AB$15:$AB$81)/$K4,IF($L4&gt;=2,SUMIF(S14_Growth_Model_ExAnte!$AY$15:$AY$81,$C4&amp;"|"&amp;$D4,S14_Growth_Model_ExAnte!$AB$15:$AB$81)/$L4,IF(COUNTIF(S14_Growth_Model_ExAnte!$AZ$15:$AZ$81,$C4)&gt;0,SUMIF(S14_Growth_Model_ExAnte!$AZ$15:$AZ$81,$C4,S14_Growth_Model_ExAnte!$AB$15:$AB$81)/COUNTIF(S14_Growth_Model_ExAnte!$AZ$15:$AZ$81,$C4),0))))*$O4*S08_Defaults!$B$6*(1+S08_Defaults!$B$7)*S08_Defaults!$B$8</x:f>
        <x:v>747.0724678077222</x:v>
      </x:c>
      <x:c r="AL4" s="115" t="n">
        <x:f aca="0">(IF($K4&gt;=2,SUMIF(S14_Growth_Model_ExAnte!$C$15:$C$81,$B4,S14_Growth_Model_ExAnte!$AC$15:$AC$81)/$K4,IF($L4&gt;=2,SUMIF(S14_Growth_Model_ExAnte!$AY$15:$AY$81,$C4&amp;"|"&amp;$D4,S14_Growth_Model_ExAnte!$AC$15:$AC$81)/$L4,IF(COUNTIF(S14_Growth_Model_ExAnte!$AZ$15:$AZ$81,$C4)&gt;0,SUMIF(S14_Growth_Model_ExAnte!$AZ$15:$AZ$81,$C4,S14_Growth_Model_ExAnte!$AC$15:$AC$81)/COUNTIF(S14_Growth_Model_ExAnte!$AZ$15:$AZ$81,$C4),0))))*$O4*S08_Defaults!$B$6*(1+S08_Defaults!$B$7)*S08_Defaults!$B$8</x:f>
        <x:v>766.9597276855819</x:v>
      </x:c>
      <x:c r="AM4" s="115" t="n">
        <x:f aca="0">R4</x:f>
        <x:v>0</x:v>
      </x:c>
      <x:c r="AN4" s="115" t="n">
        <x:f aca="0">S4-R4</x:f>
        <x:v>0.903106223242759</x:v>
      </x:c>
      <x:c r="AO4" s="115" t="n">
        <x:f aca="0">T4-S4</x:f>
        <x:v>7.745351966355408</x:v>
      </x:c>
      <x:c r="AP4" s="115" t="n">
        <x:f aca="0">U4-T4</x:f>
        <x:v>20.129333143400398</x:v>
      </x:c>
      <x:c r="AQ4" s="115" t="n">
        <x:f aca="0">V4-U4</x:f>
        <x:v>34.07434779487255</x:v>
      </x:c>
      <x:c r="AR4" s="115" t="n">
        <x:f aca="0">W4-V4</x:f>
        <x:v>46.04037388259343</x:v>
      </x:c>
      <x:c r="AS4" s="115" t="n">
        <x:f aca="0">X4-W4</x:f>
        <x:v>54.65601699925202</x:v>
      </x:c>
      <x:c r="AT4" s="115" t="n">
        <x:f aca="0">Y4-X4</x:f>
        <x:v>59.69362204939594</x:v>
      </x:c>
      <x:c r="AU4" s="115" t="n">
        <x:f aca="0">Z4-Y4</x:f>
        <x:v>61.57717240560689</x:v>
      </x:c>
      <x:c r="AV4" s="115" t="n">
        <x:f aca="0">AA4-Z4</x:f>
        <x:v>60.98212008968056</x:v>
      </x:c>
      <x:c r="AW4" s="115" t="n">
        <x:f aca="0">AB4-AA4</x:f>
        <x:v>58.607822160490855</x:v>
      </x:c>
      <x:c r="AX4" s="115" t="n">
        <x:f aca="0">AC4-AB4</x:f>
        <x:v>55.069280995507484</x:v>
      </x:c>
      <x:c r="AY4" s="115" t="n">
        <x:f aca="0">AD4-AC4</x:f>
        <x:v>50.85948442960989</x:v>
      </x:c>
      <x:c r="AZ4" s="115" t="n">
        <x:f aca="0">AE4-AD4</x:f>
        <x:v>46.34863232930388</x:v>
      </x:c>
      <x:c r="BA4" s="115" t="n">
        <x:f aca="0">AF4-AE4</x:f>
        <x:v>41.799793008200595</x:v>
      </x:c>
      <x:c r="BB4" s="115" t="n">
        <x:f aca="0">AG4-AF4</x:f>
        <x:v>37.389727964416124</x:v>
      </x:c>
      <x:c r="BC4" s="115" t="n">
        <x:f aca="0">AH4-AG4</x:f>
        <x:v>33.229298356423556</x:v>
      </x:c>
      <x:c r="BD4" s="115" t="n">
        <x:f aca="0">AI4-AH4</x:f>
        <x:v>29.3810947899716</x:v>
      </x:c>
      <x:c r="BE4" s="115" t="n">
        <x:f aca="0">AJ4-AI4</x:f>
        <x:v>25.873631613596785</x:v>
      </x:c>
      <x:c r="BF4" s="115" t="n">
        <x:f aca="0">AK4-AJ4</x:f>
        <x:v>22.712257605801483</x:v>
      </x:c>
      <x:c r="BG4" s="115" t="n">
        <x:f aca="0">AL4-AK4</x:f>
        <x:v>19.88725987785972</x:v>
      </x:c>
    </x:row>
    <x:row r="5" ht="15" hidden="0" customHeight="1">
      <x:c r="A5" s="160" t="str">
        <x:f aca="0">"S"&amp;TEXT(ROW()-3,"00")</x:f>
        <x:v>S02</x:v>
      </x:c>
      <x:c r="B5" s="161" t="s">
        <x:v>666</x:v>
      </x:c>
      <x:c r="C5" s="160" t="str">
        <x:f aca="0">LEFT($B5,FIND("|",$B5)-1)</x:f>
        <x:v>Timber Plantation</x:v>
      </x:c>
      <x:c r="D5" s="160" t="str">
        <x:f aca="0">MID($B5,FIND("|",$B5)+1,FIND("|",$B5,FIND("|",$B5)+1)-FIND("|",$B5)-1)</x:f>
        <x:v>Low</x:v>
      </x:c>
      <x:c r="E5" s="160" t="n">
        <x:f aca="0">VALUE(RIGHT($B5,4))</x:f>
        <x:v>2020</x:v>
      </x:c>
      <x:c r="F5" s="115" t="n">
        <x:f aca="0">SUMIF(S17_Biome_Strata!$G$4:$G$95,$B5,S17_Biome_Strata!$E$4:$E$95)</x:f>
        <x:v>130</x:v>
      </x:c>
      <x:c r="G5" s="115" t="n">
        <x:f aca="0">SUMIF(S17_Biome_Strata!$G$4:$G$95,$B5,S17_Biome_Strata!$F$4:$F$95)</x:f>
        <x:v>189.22880999595301</x:v>
      </x:c>
      <x:c r="H5" s="115" t="n">
        <x:f aca="0">IF($K5&gt;=2,SUMIF(S14_Growth_Model_ExAnte!$C$15:$C$81,$B5,S14_Growth_Model_ExAnte!$O$15:$O$81)/$K5,IF($L5&gt;=2,SUMIF(S14_Growth_Model_ExAnte!$AY$15:$AY$81,$C5&amp;"|"&amp;$D5,S14_Growth_Model_ExAnte!$O$15:$O$81)/$L5,IF(COUNTIF(S14_Growth_Model_ExAnte!$AZ$15:$AZ$81,$C5)&gt;0,SUMIF(S14_Growth_Model_ExAnte!$AZ$15:$AZ$81,$C5,S14_Growth_Model_ExAnte!$O$15:$O$81)/COUNTIF(S14_Growth_Model_ExAnte!$AZ$15:$AZ$81,$C5),0)))</x:f>
        <x:v>43.58534780299414</x:v>
      </x:c>
      <x:c r="I5" s="115" t="n">
        <x:f aca="0">IF($K5&gt;=2,SQRT(MAX(0,(SUMIF(S14_Growth_Model_ExAnte!$C$15:$C$81,$B5,S14_Growth_Model_ExAnte!$BG$15:$BG$81)-SUMIF(S14_Growth_Model_ExAnte!$C$15:$C$81,$B5,S14_Growth_Model_ExAnte!$O$15:$O$81)*SUMIF(S14_Growth_Model_ExAnte!$C$15:$C$81,$B5,S14_Growth_Model_ExAnte!$O$15:$O$81)/$K5)/($K5-1))),IF($L5&gt;=2,SQRT(MAX(0,(SUMIF(S14_Growth_Model_ExAnte!$AY$15:$AY$81,$C5&amp;"|"&amp;$D5,S14_Growth_Model_ExAnte!$BG$15:$BG$81)-SUMIF(S14_Growth_Model_ExAnte!$AY$15:$AY$81,$C5&amp;"|"&amp;$D5,S14_Growth_Model_ExAnte!$O$15:$O$81)*SUMIF(S14_Growth_Model_ExAnte!$AY$15:$AY$81,$C5&amp;"|"&amp;$D5,S14_Growth_Model_ExAnte!$O$15:$O$81)/$L5)/($L5-1))),IF(COUNTIF(S14_Growth_Model_ExAnte!$AZ$15:$AZ$81,$C5)&gt;=2,SQRT(MAX(0,(SUMIF(S14_Growth_Model_ExAnte!$AZ$15:$AZ$81,$C5,S14_Growth_Model_ExAnte!$BG$15:$BG$81)-SUMIF(S14_Growth_Model_ExAnte!$AZ$15:$AZ$81,$C5,S14_Growth_Model_ExAnte!$O$15:$O$81)*SUMIF(S14_Growth_Model_ExAnte!$AZ$15:$AZ$81,$C5,S14_Growth_Model_ExAnte!$O$15:$O$81)/COUNTIF(S14_Growth_Model_ExAnte!$AZ$15:$AZ$81,$C5))/(COUNTIF(S14_Growth_Model_ExAnte!$AZ$15:$AZ$81,$C5)-1))),0)))</x:f>
        <x:v>53.33486919911265</x:v>
      </x:c>
      <x:c r="J5" s="115" t="n">
        <x:f aca="0">IFERROR(I5/H5,0)</x:f>
        <x:v>1.2236880485659163</x:v>
      </x:c>
      <x:c r="K5" s="115" t="n">
        <x:f aca="0">COUNTIF(S14_Growth_Model_ExAnte!$C$15:$C$81,$B5)</x:f>
        <x:v>3</x:v>
      </x:c>
      <x:c r="L5" s="115" t="n">
        <x:f aca="0">COUNTIF(S14_Growth_Model_ExAnte!$AY$15:$AY$81,$C5&amp;"|"&amp;$D5)</x:f>
        <x:v>6</x:v>
      </x:c>
      <x:c r="M5" s="115" t="n">
        <x:f aca="0">$H5</x:f>
        <x:v>43.58534780299414</x:v>
      </x:c>
      <x:c r="N5" s="115" t="n">
        <x:f aca="0">MAX(0,$M5*S08_Defaults!$B$5)</x:f>
        <x:v>32.68901085224561</x:v>
      </x:c>
      <x:c r="O5" s="115" t="n">
        <x:f aca="0">IFERROR($N5/$M5,0)</x:f>
        <x:v>0.75</x:v>
      </x:c>
      <x:c r="P5" s="115" t="str">
        <x:f aca="0">IF($K5&gt;=2,"Exact Stratum PSP Chapman-Richards curve",IF($L5&gt;=2,"Model×Density pooled Chapman-Richards curve","Model pooled Chapman-Richards curve"))</x:f>
        <x:v>Exact Stratum PSP Chapman-Richards curve</x:v>
      </x:c>
      <x:c r="Q5" s="162" t="s">
        <x:v>1106</x:v>
      </x:c>
      <x:c r="R5" s="115" t="n">
        <x:f aca="0">(IF($K5&gt;=2,SUMIF(S14_Growth_Model_ExAnte!$C$15:$C$81,$B5,S14_Growth_Model_ExAnte!$I$15:$I$81)/$K5,IF($L5&gt;=2,SUMIF(S14_Growth_Model_ExAnte!$AY$15:$AY$81,$C5&amp;"|"&amp;$D5,S14_Growth_Model_ExAnte!$I$15:$I$81)/$L5,IF(COUNTIF(S14_Growth_Model_ExAnte!$AZ$15:$AZ$81,$C5)&gt;0,SUMIF(S14_Growth_Model_ExAnte!$AZ$15:$AZ$81,$C5,S14_Growth_Model_ExAnte!$I$15:$I$81)/COUNTIF(S14_Growth_Model_ExAnte!$AZ$15:$AZ$81,$C5),0))))*$O5*S08_Defaults!$B$6*(1+S08_Defaults!$B$7)*S08_Defaults!$B$8</x:f>
        <x:v>0</x:v>
      </x:c>
      <x:c r="S5" s="115" t="n">
        <x:f aca="0">(IF($K5&gt;=2,SUMIF(S14_Growth_Model_ExAnte!$C$15:$C$81,$B5,S14_Growth_Model_ExAnte!$J$15:$J$81)/$K5,IF($L5&gt;=2,SUMIF(S14_Growth_Model_ExAnte!$AY$15:$AY$81,$C5&amp;"|"&amp;$D5,S14_Growth_Model_ExAnte!$J$15:$J$81)/$L5,IF(COUNTIF(S14_Growth_Model_ExAnte!$AZ$15:$AZ$81,$C5)&gt;0,SUMIF(S14_Growth_Model_ExAnte!$AZ$15:$AZ$81,$C5,S14_Growth_Model_ExAnte!$J$15:$J$81)/COUNTIF(S14_Growth_Model_ExAnte!$AZ$15:$AZ$81,$C5),0))))*$O5*S08_Defaults!$B$6*(1+S08_Defaults!$B$7)*S08_Defaults!$B$8</x:f>
        <x:v>0.31686407639688907</x:v>
      </x:c>
      <x:c r="T5" s="115" t="n">
        <x:f aca="0">(IF($K5&gt;=2,SUMIF(S14_Growth_Model_ExAnte!$C$15:$C$81,$B5,S14_Growth_Model_ExAnte!$K$15:$K$81)/$K5,IF($L5&gt;=2,SUMIF(S14_Growth_Model_ExAnte!$AY$15:$AY$81,$C5&amp;"|"&amp;$D5,S14_Growth_Model_ExAnte!$K$15:$K$81)/$L5,IF(COUNTIF(S14_Growth_Model_ExAnte!$AZ$15:$AZ$81,$C5)&gt;0,SUMIF(S14_Growth_Model_ExAnte!$AZ$15:$AZ$81,$C5,S14_Growth_Model_ExAnte!$K$15:$K$81)/COUNTIF(S14_Growth_Model_ExAnte!$AZ$15:$AZ$81,$C5),0))))*$O5*S08_Defaults!$B$6*(1+S08_Defaults!$B$7)*S08_Defaults!$B$8</x:f>
        <x:v>3.1704853632150316</x:v>
      </x:c>
      <x:c r="U5" s="115" t="n">
        <x:f aca="0">(IF($K5&gt;=2,SUMIF(S14_Growth_Model_ExAnte!$C$15:$C$81,$B5,S14_Growth_Model_ExAnte!$L$15:$L$81)/$K5,IF($L5&gt;=2,SUMIF(S14_Growth_Model_ExAnte!$AY$15:$AY$81,$C5&amp;"|"&amp;$D5,S14_Growth_Model_ExAnte!$L$15:$L$81)/$L5,IF(COUNTIF(S14_Growth_Model_ExAnte!$AZ$15:$AZ$81,$C5)&gt;0,SUMIF(S14_Growth_Model_ExAnte!$AZ$15:$AZ$81,$C5,S14_Growth_Model_ExAnte!$L$15:$L$81)/COUNTIF(S14_Growth_Model_ExAnte!$AZ$15:$AZ$81,$C5),0))))*$O5*S08_Defaults!$B$6*(1+S08_Defaults!$B$7)*S08_Defaults!$B$8</x:f>
        <x:v>10.995588567313957</x:v>
      </x:c>
      <x:c r="V5" s="115" t="n">
        <x:f aca="0">(IF($K5&gt;=2,SUMIF(S14_Growth_Model_ExAnte!$C$15:$C$81,$B5,S14_Growth_Model_ExAnte!$M$15:$M$81)/$K5,IF($L5&gt;=2,SUMIF(S14_Growth_Model_ExAnte!$AY$15:$AY$81,$C5&amp;"|"&amp;$D5,S14_Growth_Model_ExAnte!$M$15:$M$81)/$L5,IF(COUNTIF(S14_Growth_Model_ExAnte!$AZ$15:$AZ$81,$C5)&gt;0,SUMIF(S14_Growth_Model_ExAnte!$AZ$15:$AZ$81,$C5,S14_Growth_Model_ExAnte!$M$15:$M$81)/COUNTIF(S14_Growth_Model_ExAnte!$AZ$15:$AZ$81,$C5),0))))*$O5*S08_Defaults!$B$6*(1+S08_Defaults!$B$7)*S08_Defaults!$B$8</x:f>
        <x:v>24.97714937480369</x:v>
      </x:c>
      <x:c r="W5" s="115" t="n">
        <x:f aca="0">(IF($K5&gt;=2,SUMIF(S14_Growth_Model_ExAnte!$C$15:$C$81,$B5,S14_Growth_Model_ExAnte!$N$15:$N$81)/$K5,IF($L5&gt;=2,SUMIF(S14_Growth_Model_ExAnte!$AY$15:$AY$81,$C5&amp;"|"&amp;$D5,S14_Growth_Model_ExAnte!$N$15:$N$81)/$L5,IF(COUNTIF(S14_Growth_Model_ExAnte!$AZ$15:$AZ$81,$C5)&gt;0,SUMIF(S14_Growth_Model_ExAnte!$AZ$15:$AZ$81,$C5,S14_Growth_Model_ExAnte!$N$15:$N$81)/COUNTIF(S14_Growth_Model_ExAnte!$AZ$15:$AZ$81,$C5),0))))*$O5*S08_Defaults!$B$6*(1+S08_Defaults!$B$7)*S08_Defaults!$B$8</x:f>
        <x:v>44.911442364560735</x:v>
      </x:c>
      <x:c r="X5" s="115" t="n">
        <x:f aca="0">(IF($K5&gt;=2,SUMIF(S14_Growth_Model_ExAnte!$C$15:$C$81,$B5,S14_Growth_Model_ExAnte!$O$15:$O$81)/$K5,IF($L5&gt;=2,SUMIF(S14_Growth_Model_ExAnte!$AY$15:$AY$81,$C5&amp;"|"&amp;$D5,S14_Growth_Model_ExAnte!$O$15:$O$81)/$L5,IF(COUNTIF(S14_Growth_Model_ExAnte!$AZ$15:$AZ$81,$C5)&gt;0,SUMIF(S14_Growth_Model_ExAnte!$AZ$15:$AZ$81,$C5,S14_Growth_Model_ExAnte!$O$15:$O$81)/COUNTIF(S14_Growth_Model_ExAnte!$AZ$15:$AZ$81,$C5),0))))*$O5*S08_Defaults!$B$6*(1+S08_Defaults!$B$7)*S08_Defaults!$B$8</x:f>
        <x:v>69.85423692385878</x:v>
      </x:c>
      <x:c r="Y5" s="115" t="n">
        <x:f aca="0">(IF($K5&gt;=2,SUMIF(S14_Growth_Model_ExAnte!$C$15:$C$81,$B5,S14_Growth_Model_ExAnte!$P$15:$P$81)/$K5,IF($L5&gt;=2,SUMIF(S14_Growth_Model_ExAnte!$AY$15:$AY$81,$C5&amp;"|"&amp;$D5,S14_Growth_Model_ExAnte!$P$15:$P$81)/$L5,IF(COUNTIF(S14_Growth_Model_ExAnte!$AZ$15:$AZ$81,$C5)&gt;0,SUMIF(S14_Growth_Model_ExAnte!$AZ$15:$AZ$81,$C5,S14_Growth_Model_ExAnte!$P$15:$P$81)/COUNTIF(S14_Growth_Model_ExAnte!$AZ$15:$AZ$81,$C5),0))))*$O5*S08_Defaults!$B$6*(1+S08_Defaults!$B$7)*S08_Defaults!$B$8</x:f>
        <x:v>98.52585313294092</x:v>
      </x:c>
      <x:c r="Z5" s="115" t="n">
        <x:f aca="0">(IF($K5&gt;=2,SUMIF(S14_Growth_Model_ExAnte!$C$15:$C$81,$B5,S14_Growth_Model_ExAnte!$Q$15:$Q$81)/$K5,IF($L5&gt;=2,SUMIF(S14_Growth_Model_ExAnte!$AY$15:$AY$81,$C5&amp;"|"&amp;$D5,S14_Growth_Model_ExAnte!$Q$15:$Q$81)/$L5,IF(COUNTIF(S14_Growth_Model_ExAnte!$AZ$15:$AZ$81,$C5)&gt;0,SUMIF(S14_Growth_Model_ExAnte!$AZ$15:$AZ$81,$C5,S14_Growth_Model_ExAnte!$Q$15:$Q$81)/COUNTIF(S14_Growth_Model_ExAnte!$AZ$15:$AZ$81,$C5),0))))*$O5*S08_Defaults!$B$6*(1+S08_Defaults!$B$7)*S08_Defaults!$B$8</x:f>
        <x:v>129.6036126496396</x:v>
      </x:c>
      <x:c r="AA5" s="115" t="n">
        <x:f aca="0">(IF($K5&gt;=2,SUMIF(S14_Growth_Model_ExAnte!$C$15:$C$81,$B5,S14_Growth_Model_ExAnte!$R$15:$R$81)/$K5,IF($L5&gt;=2,SUMIF(S14_Growth_Model_ExAnte!$AY$15:$AY$81,$C5&amp;"|"&amp;$D5,S14_Growth_Model_ExAnte!$R$15:$R$81)/$L5,IF(COUNTIF(S14_Growth_Model_ExAnte!$AZ$15:$AZ$81,$C5)&gt;0,SUMIF(S14_Growth_Model_ExAnte!$AZ$15:$AZ$81,$C5,S14_Growth_Model_ExAnte!$R$15:$R$81)/COUNTIF(S14_Growth_Model_ExAnte!$AZ$15:$AZ$81,$C5),0))))*$O5*S08_Defaults!$B$6*(1+S08_Defaults!$B$7)*S08_Defaults!$B$8</x:f>
        <x:v>161.88693316577204</x:v>
      </x:c>
      <x:c r="AB5" s="115" t="n">
        <x:f aca="0">(IF($K5&gt;=2,SUMIF(S14_Growth_Model_ExAnte!$C$15:$C$81,$B5,S14_Growth_Model_ExAnte!$S$15:$S$81)/$K5,IF($L5&gt;=2,SUMIF(S14_Growth_Model_ExAnte!$AY$15:$AY$81,$C5&amp;"|"&amp;$D5,S14_Growth_Model_ExAnte!$S$15:$S$81)/$L5,IF(COUNTIF(S14_Growth_Model_ExAnte!$AZ$15:$AZ$81,$C5)&gt;0,SUMIF(S14_Growth_Model_ExAnte!$AZ$15:$AZ$81,$C5,S14_Growth_Model_ExAnte!$S$15:$S$81)/COUNTIF(S14_Growth_Model_ExAnte!$AZ$15:$AZ$81,$C5),0))))*$O5*S08_Defaults!$B$6*(1+S08_Defaults!$B$7)*S08_Defaults!$B$8</x:f>
        <x:v>194.37264413829567</x:v>
      </x:c>
      <x:c r="AC5" s="115" t="n">
        <x:f aca="0">(IF($K5&gt;=2,SUMIF(S14_Growth_Model_ExAnte!$C$15:$C$81,$B5,S14_Growth_Model_ExAnte!$T$15:$T$81)/$K5,IF($L5&gt;=2,SUMIF(S14_Growth_Model_ExAnte!$AY$15:$AY$81,$C5&amp;"|"&amp;$D5,S14_Growth_Model_ExAnte!$T$15:$T$81)/$L5,IF(COUNTIF(S14_Growth_Model_ExAnte!$AZ$15:$AZ$81,$C5)&gt;0,SUMIF(S14_Growth_Model_ExAnte!$AZ$15:$AZ$81,$C5,S14_Growth_Model_ExAnte!$T$15:$T$81)/COUNTIF(S14_Growth_Model_ExAnte!$AZ$15:$AZ$81,$C5),0))))*$O5*S08_Defaults!$B$6*(1+S08_Defaults!$B$7)*S08_Defaults!$B$8</x:f>
        <x:v>226.2744651565714</x:v>
      </x:c>
      <x:c r="AD5" s="115" t="n">
        <x:f aca="0">(IF($K5&gt;=2,SUMIF(S14_Growth_Model_ExAnte!$C$15:$C$81,$B5,S14_Growth_Model_ExAnte!$U$15:$U$81)/$K5,IF($L5&gt;=2,SUMIF(S14_Growth_Model_ExAnte!$AY$15:$AY$81,$C5&amp;"|"&amp;$D5,S14_Growth_Model_ExAnte!$U$15:$U$81)/$L5,IF(COUNTIF(S14_Growth_Model_ExAnte!$AZ$15:$AZ$81,$C5)&gt;0,SUMIF(S14_Growth_Model_ExAnte!$AZ$15:$AZ$81,$C5,S14_Growth_Model_ExAnte!$U$15:$U$81)/COUNTIF(S14_Growth_Model_ExAnte!$AZ$15:$AZ$81,$C5),0))))*$O5*S08_Defaults!$B$6*(1+S08_Defaults!$B$7)*S08_Defaults!$B$8</x:f>
        <x:v>257.0114348871354</x:v>
      </x:c>
      <x:c r="AE5" s="115" t="n">
        <x:f aca="0">(IF($K5&gt;=2,SUMIF(S14_Growth_Model_ExAnte!$C$15:$C$81,$B5,S14_Growth_Model_ExAnte!$V$15:$V$81)/$K5,IF($L5&gt;=2,SUMIF(S14_Growth_Model_ExAnte!$AY$15:$AY$81,$C5&amp;"|"&amp;$D5,S14_Growth_Model_ExAnte!$V$15:$V$81)/$L5,IF(COUNTIF(S14_Growth_Model_ExAnte!$AZ$15:$AZ$81,$C5)&gt;0,SUMIF(S14_Growth_Model_ExAnte!$AZ$15:$AZ$81,$C5,S14_Growth_Model_ExAnte!$V$15:$V$81)/COUNTIF(S14_Growth_Model_ExAnte!$AZ$15:$AZ$81,$C5),0))))*$O5*S08_Defaults!$B$6*(1+S08_Defaults!$B$7)*S08_Defaults!$B$8</x:f>
        <x:v>286.18153000255734</x:v>
      </x:c>
      <x:c r="AF5" s="115" t="n">
        <x:f aca="0">(IF($K5&gt;=2,SUMIF(S14_Growth_Model_ExAnte!$C$15:$C$81,$B5,S14_Growth_Model_ExAnte!$W$15:$W$81)/$K5,IF($L5&gt;=2,SUMIF(S14_Growth_Model_ExAnte!$AY$15:$AY$81,$C5&amp;"|"&amp;$D5,S14_Growth_Model_ExAnte!$W$15:$W$81)/$L5,IF(COUNTIF(S14_Growth_Model_ExAnte!$AZ$15:$AZ$81,$C5)&gt;0,SUMIF(S14_Growth_Model_ExAnte!$AZ$15:$AZ$81,$C5,S14_Growth_Model_ExAnte!$W$15:$W$81)/COUNTIF(S14_Growth_Model_ExAnte!$AZ$15:$AZ$81,$C5),0))))*$O5*S08_Defaults!$B$6*(1+S08_Defaults!$B$7)*S08_Defaults!$B$8</x:f>
        <x:v>313.5302864057612</x:v>
      </x:c>
      <x:c r="AG5" s="115" t="n">
        <x:f aca="0">(IF($K5&gt;=2,SUMIF(S14_Growth_Model_ExAnte!$C$15:$C$81,$B5,S14_Growth_Model_ExAnte!$X$15:$X$81)/$K5,IF($L5&gt;=2,SUMIF(S14_Growth_Model_ExAnte!$AY$15:$AY$81,$C5&amp;"|"&amp;$D5,S14_Growth_Model_ExAnte!$X$15:$X$81)/$L5,IF(COUNTIF(S14_Growth_Model_ExAnte!$AZ$15:$AZ$81,$C5)&gt;0,SUMIF(S14_Growth_Model_ExAnte!$AZ$15:$AZ$81,$C5,S14_Growth_Model_ExAnte!$X$15:$X$81)/COUNTIF(S14_Growth_Model_ExAnte!$AZ$15:$AZ$81,$C5),0))))*$O5*S08_Defaults!$B$6*(1+S08_Defaults!$B$7)*S08_Defaults!$B$8</x:f>
        <x:v>338.91987861710254</x:v>
      </x:c>
      <x:c r="AH5" s="115" t="n">
        <x:f aca="0">(IF($K5&gt;=2,SUMIF(S14_Growth_Model_ExAnte!$C$15:$C$81,$B5,S14_Growth_Model_ExAnte!$Y$15:$Y$81)/$K5,IF($L5&gt;=2,SUMIF(S14_Growth_Model_ExAnte!$AY$15:$AY$81,$C5&amp;"|"&amp;$D5,S14_Growth_Model_ExAnte!$Y$15:$Y$81)/$L5,IF(COUNTIF(S14_Growth_Model_ExAnte!$AZ$15:$AZ$81,$C5)&gt;0,SUMIF(S14_Growth_Model_ExAnte!$AZ$15:$AZ$81,$C5,S14_Growth_Model_ExAnte!$Y$15:$Y$81)/COUNTIF(S14_Growth_Model_ExAnte!$AZ$15:$AZ$81,$C5),0))))*$O5*S08_Defaults!$B$6*(1+S08_Defaults!$B$7)*S08_Defaults!$B$8</x:f>
        <x:v>362.301356339395</x:v>
      </x:c>
      <x:c r="AI5" s="115" t="n">
        <x:f aca="0">(IF($K5&gt;=2,SUMIF(S14_Growth_Model_ExAnte!$C$15:$C$81,$B5,S14_Growth_Model_ExAnte!$Z$15:$Z$81)/$K5,IF($L5&gt;=2,SUMIF(S14_Growth_Model_ExAnte!$AY$15:$AY$81,$C5&amp;"|"&amp;$D5,S14_Growth_Model_ExAnte!$Z$15:$Z$81)/$L5,IF(COUNTIF(S14_Growth_Model_ExAnte!$AZ$15:$AZ$81,$C5)&gt;0,SUMIF(S14_Growth_Model_ExAnte!$AZ$15:$AZ$81,$C5,S14_Growth_Model_ExAnte!$Z$15:$Z$81)/COUNTIF(S14_Growth_Model_ExAnte!$AZ$15:$AZ$81,$C5),0))))*$O5*S08_Defaults!$B$6*(1+S08_Defaults!$B$7)*S08_Defaults!$B$8</x:f>
        <x:v>383.6910928397201</x:v>
      </x:c>
      <x:c r="AJ5" s="115" t="n">
        <x:f aca="0">(IF($K5&gt;=2,SUMIF(S14_Growth_Model_ExAnte!$C$15:$C$81,$B5,S14_Growth_Model_ExAnte!$AA$15:$AA$81)/$K5,IF($L5&gt;=2,SUMIF(S14_Growth_Model_ExAnte!$AY$15:$AY$81,$C5&amp;"|"&amp;$D5,S14_Growth_Model_ExAnte!$AA$15:$AA$81)/$L5,IF(COUNTIF(S14_Growth_Model_ExAnte!$AZ$15:$AZ$81,$C5)&gt;0,SUMIF(S14_Growth_Model_ExAnte!$AZ$15:$AZ$81,$C5,S14_Growth_Model_ExAnte!$AA$15:$AA$81)/COUNTIF(S14_Growth_Model_ExAnte!$AZ$15:$AZ$81,$C5),0))))*$O5*S08_Defaults!$B$6*(1+S08_Defaults!$B$7)*S08_Defaults!$B$8</x:f>
        <x:v>403.1515809893751</x:v>
      </x:c>
      <x:c r="AK5" s="115" t="n">
        <x:f aca="0">(IF($K5&gt;=2,SUMIF(S14_Growth_Model_ExAnte!$C$15:$C$81,$B5,S14_Growth_Model_ExAnte!$AB$15:$AB$81)/$K5,IF($L5&gt;=2,SUMIF(S14_Growth_Model_ExAnte!$AY$15:$AY$81,$C5&amp;"|"&amp;$D5,S14_Growth_Model_ExAnte!$AB$15:$AB$81)/$L5,IF(COUNTIF(S14_Growth_Model_ExAnte!$AZ$15:$AZ$81,$C5)&gt;0,SUMIF(S14_Growth_Model_ExAnte!$AZ$15:$AZ$81,$C5,S14_Growth_Model_ExAnte!$AB$15:$AB$81)/COUNTIF(S14_Growth_Model_ExAnte!$AZ$15:$AZ$81,$C5),0))))*$O5*S08_Defaults!$B$6*(1+S08_Defaults!$B$7)*S08_Defaults!$B$8</x:f>
        <x:v>420.77624459628015</x:v>
      </x:c>
      <x:c r="AL5" s="115" t="n">
        <x:f aca="0">(IF($K5&gt;=2,SUMIF(S14_Growth_Model_ExAnte!$C$15:$C$81,$B5,S14_Growth_Model_ExAnte!$AC$15:$AC$81)/$K5,IF($L5&gt;=2,SUMIF(S14_Growth_Model_ExAnte!$AY$15:$AY$81,$C5&amp;"|"&amp;$D5,S14_Growth_Model_ExAnte!$AC$15:$AC$81)/$L5,IF(COUNTIF(S14_Growth_Model_ExAnte!$AZ$15:$AZ$81,$C5)&gt;0,SUMIF(S14_Growth_Model_ExAnte!$AZ$15:$AZ$81,$C5,S14_Growth_Model_ExAnte!$AC$15:$AC$81)/COUNTIF(S14_Growth_Model_ExAnte!$AZ$15:$AZ$81,$C5),0))))*$O5*S08_Defaults!$B$6*(1+S08_Defaults!$B$7)*S08_Defaults!$B$8</x:f>
        <x:v>436.6777316802021</x:v>
      </x:c>
      <x:c r="AM5" s="115" t="n">
        <x:f aca="0">R5</x:f>
        <x:v>0</x:v>
      </x:c>
      <x:c r="AN5" s="115" t="n">
        <x:f aca="0">S5-R5</x:f>
        <x:v>0.31686407639688907</x:v>
      </x:c>
      <x:c r="AO5" s="115" t="n">
        <x:f aca="0">T5-S5</x:f>
        <x:v>2.8536212868181425</x:v>
      </x:c>
      <x:c r="AP5" s="115" t="n">
        <x:f aca="0">U5-T5</x:f>
        <x:v>7.825103204098926</x:v>
      </x:c>
      <x:c r="AQ5" s="115" t="n">
        <x:f aca="0">V5-U5</x:f>
        <x:v>13.981560807489734</x:v>
      </x:c>
      <x:c r="AR5" s="115" t="n">
        <x:f aca="0">W5-V5</x:f>
        <x:v>19.934292989757044</x:v>
      </x:c>
      <x:c r="AS5" s="115" t="n">
        <x:f aca="0">X5-W5</x:f>
        <x:v>24.942794559298044</x:v>
      </x:c>
      <x:c r="AT5" s="115" t="n">
        <x:f aca="0">Y5-X5</x:f>
        <x:v>28.671616209082146</x:v>
      </x:c>
      <x:c r="AU5" s="115" t="n">
        <x:f aca="0">Z5-Y5</x:f>
        <x:v>31.077759516698663</x:v>
      </x:c>
      <x:c r="AV5" s="115" t="n">
        <x:f aca="0">AA5-Z5</x:f>
        <x:v>32.28332051613245</x:v>
      </x:c>
      <x:c r="AW5" s="115" t="n">
        <x:f aca="0">AB5-AA5</x:f>
        <x:v>32.485710972523634</x:v>
      </x:c>
      <x:c r="AX5" s="115" t="n">
        <x:f aca="0">AC5-AB5</x:f>
        <x:v>31.90182101827574</x:v>
      </x:c>
      <x:c r="AY5" s="115" t="n">
        <x:f aca="0">AD5-AC5</x:f>
        <x:v>30.736969730564</x:v>
      </x:c>
      <x:c r="AZ5" s="115" t="n">
        <x:f aca="0">AE5-AD5</x:f>
        <x:v>29.17009511542193</x:v>
      </x:c>
      <x:c r="BA5" s="115" t="n">
        <x:f aca="0">AF5-AE5</x:f>
        <x:v>27.34875640320388</x:v>
      </x:c>
      <x:c r="BB5" s="115" t="n">
        <x:f aca="0">AG5-AF5</x:f>
        <x:v>25.389592211341323</x:v>
      </x:c>
      <x:c r="BC5" s="115" t="n">
        <x:f aca="0">AH5-AG5</x:f>
        <x:v>23.38147772229246</x:v>
      </x:c>
      <x:c r="BD5" s="115" t="n">
        <x:f aca="0">AI5-AH5</x:f>
        <x:v>21.389736500325114</x:v>
      </x:c>
      <x:c r="BE5" s="115" t="n">
        <x:f aca="0">AJ5-AI5</x:f>
        <x:v>19.460488149654964</x:v>
      </x:c>
      <x:c r="BF5" s="115" t="n">
        <x:f aca="0">AK5-AJ5</x:f>
        <x:v>17.624663606905074</x:v>
      </x:c>
      <x:c r="BG5" s="115" t="n">
        <x:f aca="0">AL5-AK5</x:f>
        <x:v>15.90148708392195</x:v>
      </x:c>
    </x:row>
    <x:row r="6" ht="15" hidden="0" customHeight="1">
      <x:c r="A6" s="160" t="str">
        <x:f aca="0">"S"&amp;TEXT(ROW()-3,"00")</x:f>
        <x:v>S03</x:v>
      </x:c>
      <x:c r="B6" s="161" t="s">
        <x:v>673</x:v>
      </x:c>
      <x:c r="C6" s="160" t="str">
        <x:f aca="0">LEFT($B6,FIND("|",$B6)-1)</x:f>
        <x:v>Timber Plantation</x:v>
      </x:c>
      <x:c r="D6" s="160" t="str">
        <x:f aca="0">MID($B6,FIND("|",$B6)+1,FIND("|",$B6,FIND("|",$B6)+1)-FIND("|",$B6)-1)</x:f>
        <x:v>Medium</x:v>
      </x:c>
      <x:c r="E6" s="160" t="n">
        <x:f aca="0">VALUE(RIGHT($B6,4))</x:f>
        <x:v>2020</x:v>
      </x:c>
      <x:c r="F6" s="115" t="n">
        <x:f aca="0">SUMIF(S17_Biome_Strata!$G$4:$G$95,$B6,S17_Biome_Strata!$E$4:$E$95)</x:f>
        <x:v>318</x:v>
      </x:c>
      <x:c r="G6" s="115" t="n">
        <x:f aca="0">SUMIF(S17_Biome_Strata!$G$4:$G$95,$B6,S17_Biome_Strata!$F$4:$F$95)</x:f>
        <x:v>225.025675394577</x:v>
      </x:c>
      <x:c r="H6" s="115" t="n">
        <x:f aca="0">IF($K6&gt;=2,SUMIF(S14_Growth_Model_ExAnte!$C$15:$C$81,$B6,S14_Growth_Model_ExAnte!$O$15:$O$81)/$K6,IF($L6&gt;=2,SUMIF(S14_Growth_Model_ExAnte!$AY$15:$AY$81,$C6&amp;"|"&amp;$D6,S14_Growth_Model_ExAnte!$O$15:$O$81)/$L6,IF(COUNTIF(S14_Growth_Model_ExAnte!$AZ$15:$AZ$81,$C6)&gt;0,SUMIF(S14_Growth_Model_ExAnte!$AZ$15:$AZ$81,$C6,S14_Growth_Model_ExAnte!$O$15:$O$81)/COUNTIF(S14_Growth_Model_ExAnte!$AZ$15:$AZ$81,$C6),0)))</x:f>
        <x:v>215.91385512083826</x:v>
      </x:c>
      <x:c r="I6" s="115" t="n">
        <x:f aca="0">IF($K6&gt;=2,SQRT(MAX(0,(SUMIF(S14_Growth_Model_ExAnte!$C$15:$C$81,$B6,S14_Growth_Model_ExAnte!$BG$15:$BG$81)-SUMIF(S14_Growth_Model_ExAnte!$C$15:$C$81,$B6,S14_Growth_Model_ExAnte!$O$15:$O$81)*SUMIF(S14_Growth_Model_ExAnte!$C$15:$C$81,$B6,S14_Growth_Model_ExAnte!$O$15:$O$81)/$K6)/($K6-1))),IF($L6&gt;=2,SQRT(MAX(0,(SUMIF(S14_Growth_Model_ExAnte!$AY$15:$AY$81,$C6&amp;"|"&amp;$D6,S14_Growth_Model_ExAnte!$BG$15:$BG$81)-SUMIF(S14_Growth_Model_ExAnte!$AY$15:$AY$81,$C6&amp;"|"&amp;$D6,S14_Growth_Model_ExAnte!$O$15:$O$81)*SUMIF(S14_Growth_Model_ExAnte!$AY$15:$AY$81,$C6&amp;"|"&amp;$D6,S14_Growth_Model_ExAnte!$O$15:$O$81)/$L6)/($L6-1))),IF(COUNTIF(S14_Growth_Model_ExAnte!$AZ$15:$AZ$81,$C6)&gt;=2,SQRT(MAX(0,(SUMIF(S14_Growth_Model_ExAnte!$AZ$15:$AZ$81,$C6,S14_Growth_Model_ExAnte!$BG$15:$BG$81)-SUMIF(S14_Growth_Model_ExAnte!$AZ$15:$AZ$81,$C6,S14_Growth_Model_ExAnte!$O$15:$O$81)*SUMIF(S14_Growth_Model_ExAnte!$AZ$15:$AZ$81,$C6,S14_Growth_Model_ExAnte!$O$15:$O$81)/COUNTIF(S14_Growth_Model_ExAnte!$AZ$15:$AZ$81,$C6))/(COUNTIF(S14_Growth_Model_ExAnte!$AZ$15:$AZ$81,$C6)-1))),0)))</x:f>
        <x:v>180.66754848026147</x:v>
      </x:c>
      <x:c r="J6" s="115" t="n">
        <x:f aca="0">IFERROR(I6/H6,0)</x:f>
        <x:v>0.8367575502699868</x:v>
      </x:c>
      <x:c r="K6" s="115" t="n">
        <x:f aca="0">COUNTIF(S14_Growth_Model_ExAnte!$C$15:$C$81,$B6)</x:f>
        <x:v>10</x:v>
      </x:c>
      <x:c r="L6" s="115" t="n">
        <x:f aca="0">COUNTIF(S14_Growth_Model_ExAnte!$AY$15:$AY$81,$C6&amp;"|"&amp;$D6)</x:f>
        <x:v>13</x:v>
      </x:c>
      <x:c r="M6" s="115" t="n">
        <x:f aca="0">$H6</x:f>
        <x:v>215.91385512083826</x:v>
      </x:c>
      <x:c r="N6" s="115" t="n">
        <x:f aca="0">MAX(0,$M6*S08_Defaults!$B$5)</x:f>
        <x:v>161.9353913406287</x:v>
      </x:c>
      <x:c r="O6" s="115" t="n">
        <x:f aca="0">IFERROR($N6/$M6,0)</x:f>
        <x:v>0.7500000000000001</x:v>
      </x:c>
      <x:c r="P6" s="115" t="str">
        <x:f aca="0">IF($K6&gt;=2,"Exact Stratum PSP Chapman-Richards curve",IF($L6&gt;=2,"Model×Density pooled Chapman-Richards curve","Model pooled Chapman-Richards curve"))</x:f>
        <x:v>Exact Stratum PSP Chapman-Richards curve</x:v>
      </x:c>
      <x:c r="Q6" s="162" t="s">
        <x:v>1106</x:v>
      </x:c>
      <x:c r="R6" s="115" t="n">
        <x:f aca="0">(IF($K6&gt;=2,SUMIF(S14_Growth_Model_ExAnte!$C$15:$C$81,$B6,S14_Growth_Model_ExAnte!$I$15:$I$81)/$K6,IF($L6&gt;=2,SUMIF(S14_Growth_Model_ExAnte!$AY$15:$AY$81,$C6&amp;"|"&amp;$D6,S14_Growth_Model_ExAnte!$I$15:$I$81)/$L6,IF(COUNTIF(S14_Growth_Model_ExAnte!$AZ$15:$AZ$81,$C6)&gt;0,SUMIF(S14_Growth_Model_ExAnte!$AZ$15:$AZ$81,$C6,S14_Growth_Model_ExAnte!$I$15:$I$81)/COUNTIF(S14_Growth_Model_ExAnte!$AZ$15:$AZ$81,$C6),0))))*$O6*S08_Defaults!$B$6*(1+S08_Defaults!$B$7)*S08_Defaults!$B$8</x:f>
        <x:v>0</x:v>
      </x:c>
      <x:c r="S6" s="115" t="n">
        <x:f aca="0">(IF($K6&gt;=2,SUMIF(S14_Growth_Model_ExAnte!$C$15:$C$81,$B6,S14_Growth_Model_ExAnte!$J$15:$J$81)/$K6,IF($L6&gt;=2,SUMIF(S14_Growth_Model_ExAnte!$AY$15:$AY$81,$C6&amp;"|"&amp;$D6,S14_Growth_Model_ExAnte!$J$15:$J$81)/$L6,IF(COUNTIF(S14_Growth_Model_ExAnte!$AZ$15:$AZ$81,$C6)&gt;0,SUMIF(S14_Growth_Model_ExAnte!$AZ$15:$AZ$81,$C6,S14_Growth_Model_ExAnte!$J$15:$J$81)/COUNTIF(S14_Growth_Model_ExAnte!$AZ$15:$AZ$81,$C6),0))))*$O6*S08_Defaults!$B$6*(1+S08_Defaults!$B$7)*S08_Defaults!$B$8</x:f>
        <x:v>1.6129983967558328</x:v>
      </x:c>
      <x:c r="T6" s="115" t="n">
        <x:f aca="0">(IF($K6&gt;=2,SUMIF(S14_Growth_Model_ExAnte!$C$15:$C$81,$B6,S14_Growth_Model_ExAnte!$K$15:$K$81)/$K6,IF($L6&gt;=2,SUMIF(S14_Growth_Model_ExAnte!$AY$15:$AY$81,$C6&amp;"|"&amp;$D6,S14_Growth_Model_ExAnte!$K$15:$K$81)/$L6,IF(COUNTIF(S14_Growth_Model_ExAnte!$AZ$15:$AZ$81,$C6)&gt;0,SUMIF(S14_Growth_Model_ExAnte!$AZ$15:$AZ$81,$C6,S14_Growth_Model_ExAnte!$K$15:$K$81)/COUNTIF(S14_Growth_Model_ExAnte!$AZ$15:$AZ$81,$C6),0))))*$O6*S08_Defaults!$B$6*(1+S08_Defaults!$B$7)*S08_Defaults!$B$8</x:f>
        <x:v>16.04625110170183</x:v>
      </x:c>
      <x:c r="U6" s="115" t="n">
        <x:f aca="0">(IF($K6&gt;=2,SUMIF(S14_Growth_Model_ExAnte!$C$15:$C$81,$B6,S14_Growth_Model_ExAnte!$L$15:$L$81)/$K6,IF($L6&gt;=2,SUMIF(S14_Growth_Model_ExAnte!$AY$15:$AY$81,$C6&amp;"|"&amp;$D6,S14_Growth_Model_ExAnte!$L$15:$L$81)/$L6,IF(COUNTIF(S14_Growth_Model_ExAnte!$AZ$15:$AZ$81,$C6)&gt;0,SUMIF(S14_Growth_Model_ExAnte!$AZ$15:$AZ$81,$C6,S14_Growth_Model_ExAnte!$L$15:$L$81)/COUNTIF(S14_Growth_Model_ExAnte!$AZ$15:$AZ$81,$C6),0))))*$O6*S08_Defaults!$B$6*(1+S08_Defaults!$B$7)*S08_Defaults!$B$8</x:f>
        <x:v>55.33980475771934</x:v>
      </x:c>
      <x:c r="V6" s="115" t="n">
        <x:f aca="0">(IF($K6&gt;=2,SUMIF(S14_Growth_Model_ExAnte!$C$15:$C$81,$B6,S14_Growth_Model_ExAnte!$M$15:$M$81)/$K6,IF($L6&gt;=2,SUMIF(S14_Growth_Model_ExAnte!$AY$15:$AY$81,$C6&amp;"|"&amp;$D6,S14_Growth_Model_ExAnte!$M$15:$M$81)/$L6,IF(COUNTIF(S14_Growth_Model_ExAnte!$AZ$15:$AZ$81,$C6)&gt;0,SUMIF(S14_Growth_Model_ExAnte!$AZ$15:$AZ$81,$C6,S14_Growth_Model_ExAnte!$M$15:$M$81)/COUNTIF(S14_Growth_Model_ExAnte!$AZ$15:$AZ$81,$C6),0))))*$O6*S08_Defaults!$B$6*(1+S08_Defaults!$B$7)*S08_Defaults!$B$8</x:f>
        <x:v>125.02697438850228</x:v>
      </x:c>
      <x:c r="W6" s="115" t="n">
        <x:f aca="0">(IF($K6&gt;=2,SUMIF(S14_Growth_Model_ExAnte!$C$15:$C$81,$B6,S14_Growth_Model_ExAnte!$N$15:$N$81)/$K6,IF($L6&gt;=2,SUMIF(S14_Growth_Model_ExAnte!$AY$15:$AY$81,$C6&amp;"|"&amp;$D6,S14_Growth_Model_ExAnte!$N$15:$N$81)/$L6,IF(COUNTIF(S14_Growth_Model_ExAnte!$AZ$15:$AZ$81,$C6)&gt;0,SUMIF(S14_Growth_Model_ExAnte!$AZ$15:$AZ$81,$C6,S14_Growth_Model_ExAnte!$N$15:$N$81)/COUNTIF(S14_Growth_Model_ExAnte!$AZ$15:$AZ$81,$C6),0))))*$O6*S08_Defaults!$B$6*(1+S08_Defaults!$B$7)*S08_Defaults!$B$8</x:f>
        <x:v>223.62721640526698</x:v>
      </x:c>
      <x:c r="X6" s="115" t="n">
        <x:f aca="0">(IF($K6&gt;=2,SUMIF(S14_Growth_Model_ExAnte!$C$15:$C$81,$B6,S14_Growth_Model_ExAnte!$O$15:$O$81)/$K6,IF($L6&gt;=2,SUMIF(S14_Growth_Model_ExAnte!$AY$15:$AY$81,$C6&amp;"|"&amp;$D6,S14_Growth_Model_ExAnte!$O$15:$O$81)/$L6,IF(COUNTIF(S14_Growth_Model_ExAnte!$AZ$15:$AZ$81,$C6)&gt;0,SUMIF(S14_Growth_Model_ExAnte!$AZ$15:$AZ$81,$C6,S14_Growth_Model_ExAnte!$O$15:$O$81)/COUNTIF(S14_Growth_Model_ExAnte!$AZ$15:$AZ$81,$C6),0))))*$O6*S08_Defaults!$B$6*(1+S08_Defaults!$B$7)*S08_Defaults!$B$8</x:f>
        <x:v>346.0451356021678</x:v>
      </x:c>
      <x:c r="Y6" s="115" t="n">
        <x:f aca="0">(IF($K6&gt;=2,SUMIF(S14_Growth_Model_ExAnte!$C$15:$C$81,$B6,S14_Growth_Model_ExAnte!$P$15:$P$81)/$K6,IF($L6&gt;=2,SUMIF(S14_Growth_Model_ExAnte!$AY$15:$AY$81,$C6&amp;"|"&amp;$D6,S14_Growth_Model_ExAnte!$P$15:$P$81)/$L6,IF(COUNTIF(S14_Growth_Model_ExAnte!$AZ$15:$AZ$81,$C6)&gt;0,SUMIF(S14_Growth_Model_ExAnte!$AZ$15:$AZ$81,$C6,S14_Growth_Model_ExAnte!$P$15:$P$81)/COUNTIF(S14_Growth_Model_ExAnte!$AZ$15:$AZ$81,$C6),0))))*$O6*S08_Defaults!$B$6*(1+S08_Defaults!$B$7)*S08_Defaults!$B$8</x:f>
        <x:v>485.65867790702845</x:v>
      </x:c>
      <x:c r="Z6" s="115" t="n">
        <x:f aca="0">(IF($K6&gt;=2,SUMIF(S14_Growth_Model_ExAnte!$C$15:$C$81,$B6,S14_Growth_Model_ExAnte!$Q$15:$Q$81)/$K6,IF($L6&gt;=2,SUMIF(S14_Growth_Model_ExAnte!$AY$15:$AY$81,$C6&amp;"|"&amp;$D6,S14_Growth_Model_ExAnte!$Q$15:$Q$81)/$L6,IF(COUNTIF(S14_Growth_Model_ExAnte!$AZ$15:$AZ$81,$C6)&gt;0,SUMIF(S14_Growth_Model_ExAnte!$AZ$15:$AZ$81,$C6,S14_Growth_Model_ExAnte!$Q$15:$Q$81)/COUNTIF(S14_Growth_Model_ExAnte!$AZ$15:$AZ$81,$C6),0))))*$O6*S08_Defaults!$B$6*(1+S08_Defaults!$B$7)*S08_Defaults!$B$8</x:f>
        <x:v>635.7870379054528</x:v>
      </x:c>
      <x:c r="AA6" s="115" t="n">
        <x:f aca="0">(IF($K6&gt;=2,SUMIF(S14_Growth_Model_ExAnte!$C$15:$C$81,$B6,S14_Growth_Model_ExAnte!$R$15:$R$81)/$K6,IF($L6&gt;=2,SUMIF(S14_Growth_Model_ExAnte!$AY$15:$AY$81,$C6&amp;"|"&amp;$D6,S14_Growth_Model_ExAnte!$R$15:$R$81)/$L6,IF(COUNTIF(S14_Growth_Model_ExAnte!$AZ$15:$AZ$81,$C6)&gt;0,SUMIF(S14_Growth_Model_ExAnte!$AZ$15:$AZ$81,$C6,S14_Growth_Model_ExAnte!$R$15:$R$81)/COUNTIF(S14_Growth_Model_ExAnte!$AZ$15:$AZ$81,$C6),0))))*$O6*S08_Defaults!$B$6*(1+S08_Defaults!$B$7)*S08_Defaults!$B$8</x:f>
        <x:v>790.4906680135409</x:v>
      </x:c>
      <x:c r="AB6" s="115" t="n">
        <x:f aca="0">(IF($K6&gt;=2,SUMIF(S14_Growth_Model_ExAnte!$C$15:$C$81,$B6,S14_Growth_Model_ExAnte!$S$15:$S$81)/$K6,IF($L6&gt;=2,SUMIF(S14_Growth_Model_ExAnte!$AY$15:$AY$81,$C6&amp;"|"&amp;$D6,S14_Growth_Model_ExAnte!$S$15:$S$81)/$L6,IF(COUNTIF(S14_Growth_Model_ExAnte!$AZ$15:$AZ$81,$C6)&gt;0,SUMIF(S14_Growth_Model_ExAnte!$AZ$15:$AZ$81,$C6,S14_Growth_Model_ExAnte!$S$15:$S$81)/COUNTIF(S14_Growth_Model_ExAnte!$AZ$15:$AZ$81,$C6),0))))*$O6*S08_Defaults!$B$6*(1+S08_Defaults!$B$7)*S08_Defaults!$B$8</x:f>
        <x:v>944.9111028412411</x:v>
      </x:c>
      <x:c r="AC6" s="115" t="n">
        <x:f aca="0">(IF($K6&gt;=2,SUMIF(S14_Growth_Model_ExAnte!$C$15:$C$81,$B6,S14_Growth_Model_ExAnte!$T$15:$T$81)/$K6,IF($L6&gt;=2,SUMIF(S14_Growth_Model_ExAnte!$AY$15:$AY$81,$C6&amp;"|"&amp;$D6,S14_Growth_Model_ExAnte!$T$15:$T$81)/$L6,IF(COUNTIF(S14_Growth_Model_ExAnte!$AZ$15:$AZ$81,$C6)&gt;0,SUMIF(S14_Growth_Model_ExAnte!$AZ$15:$AZ$81,$C6,S14_Growth_Model_ExAnte!$T$15:$T$81)/COUNTIF(S14_Growth_Model_ExAnte!$AZ$15:$AZ$81,$C6),0))))*$O6*S08_Defaults!$B$6*(1+S08_Defaults!$B$7)*S08_Defaults!$B$8</x:f>
        <x:v>1095.3317683423338</x:v>
      </x:c>
      <x:c r="AD6" s="115" t="n">
        <x:f aca="0">(IF($K6&gt;=2,SUMIF(S14_Growth_Model_ExAnte!$C$15:$C$81,$B6,S14_Growth_Model_ExAnte!$U$15:$U$81)/$K6,IF($L6&gt;=2,SUMIF(S14_Growth_Model_ExAnte!$AY$15:$AY$81,$C6&amp;"|"&amp;$D6,S14_Growth_Model_ExAnte!$U$15:$U$81)/$L6,IF(COUNTIF(S14_Growth_Model_ExAnte!$AZ$15:$AZ$81,$C6)&gt;0,SUMIF(S14_Growth_Model_ExAnte!$AZ$15:$AZ$81,$C6,S14_Growth_Model_ExAnte!$U$15:$U$81)/COUNTIF(S14_Growth_Model_ExAnte!$AZ$15:$AZ$81,$C6),0))))*$O6*S08_Defaults!$B$6*(1+S08_Defaults!$B$7)*S08_Defaults!$B$8</x:f>
        <x:v>1239.089185903657</x:v>
      </x:c>
      <x:c r="AE6" s="115" t="n">
        <x:f aca="0">(IF($K6&gt;=2,SUMIF(S14_Growth_Model_ExAnte!$C$15:$C$81,$B6,S14_Growth_Model_ExAnte!$V$15:$V$81)/$K6,IF($L6&gt;=2,SUMIF(S14_Growth_Model_ExAnte!$AY$15:$AY$81,$C6&amp;"|"&amp;$D6,S14_Growth_Model_ExAnte!$V$15:$V$81)/$L6,IF(COUNTIF(S14_Growth_Model_ExAnte!$AZ$15:$AZ$81,$C6)&gt;0,SUMIF(S14_Growth_Model_ExAnte!$AZ$15:$AZ$81,$C6,S14_Growth_Model_ExAnte!$V$15:$V$81)/COUNTIF(S14_Growth_Model_ExAnte!$AZ$15:$AZ$81,$C6),0))))*$O6*S08_Defaults!$B$6*(1+S08_Defaults!$B$7)*S08_Defaults!$B$8</x:f>
        <x:v>1374.417567699113</x:v>
      </x:c>
      <x:c r="AF6" s="115" t="n">
        <x:f aca="0">(IF($K6&gt;=2,SUMIF(S14_Growth_Model_ExAnte!$C$15:$C$81,$B6,S14_Growth_Model_ExAnte!$W$15:$W$81)/$K6,IF($L6&gt;=2,SUMIF(S14_Growth_Model_ExAnte!$AY$15:$AY$81,$C6&amp;"|"&amp;$D6,S14_Growth_Model_ExAnte!$W$15:$W$81)/$L6,IF(COUNTIF(S14_Growth_Model_ExAnte!$AZ$15:$AZ$81,$C6)&gt;0,SUMIF(S14_Growth_Model_ExAnte!$AZ$15:$AZ$81,$C6,S14_Growth_Model_ExAnte!$W$15:$W$81)/COUNTIF(S14_Growth_Model_ExAnte!$AZ$15:$AZ$81,$C6),0))))*$O6*S08_Defaults!$B$6*(1+S08_Defaults!$B$7)*S08_Defaults!$B$8</x:f>
        <x:v>1500.2756845326046</x:v>
      </x:c>
      <x:c r="AG6" s="115" t="n">
        <x:f aca="0">(IF($K6&gt;=2,SUMIF(S14_Growth_Model_ExAnte!$C$15:$C$81,$B6,S14_Growth_Model_ExAnte!$X$15:$X$81)/$K6,IF($L6&gt;=2,SUMIF(S14_Growth_Model_ExAnte!$AY$15:$AY$81,$C6&amp;"|"&amp;$D6,S14_Growth_Model_ExAnte!$X$15:$X$81)/$L6,IF(COUNTIF(S14_Growth_Model_ExAnte!$AZ$15:$AZ$81,$C6)&gt;0,SUMIF(S14_Growth_Model_ExAnte!$AZ$15:$AZ$81,$C6,S14_Growth_Model_ExAnte!$X$15:$X$81)/COUNTIF(S14_Growth_Model_ExAnte!$AZ$15:$AZ$81,$C6),0))))*$O6*S08_Defaults!$B$6*(1+S08_Defaults!$B$7)*S08_Defaults!$B$8</x:f>
        <x:v>1616.1822036289107</x:v>
      </x:c>
      <x:c r="AH6" s="115" t="n">
        <x:f aca="0">(IF($K6&gt;=2,SUMIF(S14_Growth_Model_ExAnte!$C$15:$C$81,$B6,S14_Growth_Model_ExAnte!$Y$15:$Y$81)/$K6,IF($L6&gt;=2,SUMIF(S14_Growth_Model_ExAnte!$AY$15:$AY$81,$C6&amp;"|"&amp;$D6,S14_Growth_Model_ExAnte!$Y$15:$Y$81)/$L6,IF(COUNTIF(S14_Growth_Model_ExAnte!$AZ$15:$AZ$81,$C6)&gt;0,SUMIF(S14_Growth_Model_ExAnte!$AZ$15:$AZ$81,$C6,S14_Growth_Model_ExAnte!$Y$15:$Y$81)/COUNTIF(S14_Growth_Model_ExAnte!$AZ$15:$AZ$81,$C6),0))))*$O6*S08_Defaults!$B$6*(1+S08_Defaults!$B$7)*S08_Defaults!$B$8</x:f>
        <x:v>1722.0716312818815</x:v>
      </x:c>
      <x:c r="AI6" s="115" t="n">
        <x:f aca="0">(IF($K6&gt;=2,SUMIF(S14_Growth_Model_ExAnte!$C$15:$C$81,$B6,S14_Growth_Model_ExAnte!$Z$15:$Z$81)/$K6,IF($L6&gt;=2,SUMIF(S14_Growth_Model_ExAnte!$AY$15:$AY$81,$C6&amp;"|"&amp;$D6,S14_Growth_Model_ExAnte!$Z$15:$Z$81)/$L6,IF(COUNTIF(S14_Growth_Model_ExAnte!$AZ$15:$AZ$81,$C6)&gt;0,SUMIF(S14_Growth_Model_ExAnte!$AZ$15:$AZ$81,$C6,S14_Growth_Model_ExAnte!$Z$15:$Z$81)/COUNTIF(S14_Growth_Model_ExAnte!$AZ$15:$AZ$81,$C6),0))))*$O6*S08_Defaults!$B$6*(1+S08_Defaults!$B$7)*S08_Defaults!$B$8</x:f>
        <x:v>1818.174819803822</x:v>
      </x:c>
      <x:c r="AJ6" s="115" t="n">
        <x:f aca="0">(IF($K6&gt;=2,SUMIF(S14_Growth_Model_ExAnte!$C$15:$C$81,$B6,S14_Growth_Model_ExAnte!$AA$15:$AA$81)/$K6,IF($L6&gt;=2,SUMIF(S14_Growth_Model_ExAnte!$AY$15:$AY$81,$C6&amp;"|"&amp;$D6,S14_Growth_Model_ExAnte!$AA$15:$AA$81)/$L6,IF(COUNTIF(S14_Growth_Model_ExAnte!$AZ$15:$AZ$81,$C6)&gt;0,SUMIF(S14_Growth_Model_ExAnte!$AZ$15:$AZ$81,$C6,S14_Growth_Model_ExAnte!$AA$15:$AA$81)/COUNTIF(S14_Growth_Model_ExAnte!$AZ$15:$AZ$81,$C6),0))))*$O6*S08_Defaults!$B$6*(1+S08_Defaults!$B$7)*S08_Defaults!$B$8</x:f>
        <x:v>1904.9235947454438</x:v>
      </x:c>
      <x:c r="AK6" s="115" t="n">
        <x:f aca="0">(IF($K6&gt;=2,SUMIF(S14_Growth_Model_ExAnte!$C$15:$C$81,$B6,S14_Growth_Model_ExAnte!$AB$15:$AB$81)/$K6,IF($L6&gt;=2,SUMIF(S14_Growth_Model_ExAnte!$AY$15:$AY$81,$C6&amp;"|"&amp;$D6,S14_Growth_Model_ExAnte!$AB$15:$AB$81)/$L6,IF(COUNTIF(S14_Growth_Model_ExAnte!$AZ$15:$AZ$81,$C6)&gt;0,SUMIF(S14_Growth_Model_ExAnte!$AZ$15:$AZ$81,$C6,S14_Growth_Model_ExAnte!$AB$15:$AB$81)/COUNTIF(S14_Growth_Model_ExAnte!$AZ$15:$AZ$81,$C6),0))))*$O6*S08_Defaults!$B$6*(1+S08_Defaults!$B$7)*S08_Defaults!$B$8</x:f>
        <x:v>1982.8769505889393</x:v>
      </x:c>
      <x:c r="AL6" s="115" t="n">
        <x:f aca="0">(IF($K6&gt;=2,SUMIF(S14_Growth_Model_ExAnte!$C$15:$C$81,$B6,S14_Growth_Model_ExAnte!$AC$15:$AC$81)/$K6,IF($L6&gt;=2,SUMIF(S14_Growth_Model_ExAnte!$AY$15:$AY$81,$C6&amp;"|"&amp;$D6,S14_Growth_Model_ExAnte!$AC$15:$AC$81)/$L6,IF(COUNTIF(S14_Growth_Model_ExAnte!$AZ$15:$AZ$81,$C6)&gt;0,SUMIF(S14_Growth_Model_ExAnte!$AZ$15:$AZ$81,$C6,S14_Growth_Model_ExAnte!$AC$15:$AC$81)/COUNTIF(S14_Growth_Model_ExAnte!$AZ$15:$AZ$81,$C6),0))))*$O6*S08_Defaults!$B$6*(1+S08_Defaults!$B$7)*S08_Defaults!$B$8</x:f>
        <x:v>2052.665482410992</x:v>
      </x:c>
      <x:c r="AM6" s="115" t="n">
        <x:f aca="0">R6</x:f>
        <x:v>0</x:v>
      </x:c>
      <x:c r="AN6" s="115" t="n">
        <x:f aca="0">S6-R6</x:f>
        <x:v>1.6129983967558328</x:v>
      </x:c>
      <x:c r="AO6" s="115" t="n">
        <x:f aca="0">T6-S6</x:f>
        <x:v>14.433252704945998</x:v>
      </x:c>
      <x:c r="AP6" s="115" t="n">
        <x:f aca="0">U6-T6</x:f>
        <x:v>39.29355365601751</x:v>
      </x:c>
      <x:c r="AQ6" s="115" t="n">
        <x:f aca="0">V6-U6</x:f>
        <x:v>69.68716963078293</x:v>
      </x:c>
      <x:c r="AR6" s="115" t="n">
        <x:f aca="0">W6-V6</x:f>
        <x:v>98.6002420167647</x:v>
      </x:c>
      <x:c r="AS6" s="115" t="n">
        <x:f aca="0">X6-W6</x:f>
        <x:v>122.41791919690084</x:v>
      </x:c>
      <x:c r="AT6" s="115" t="n">
        <x:f aca="0">Y6-X6</x:f>
        <x:v>139.61354230486063</x:v>
      </x:c>
      <x:c r="AU6" s="115" t="n">
        <x:f aca="0">Z6-Y6</x:f>
        <x:v>150.1283599984244</x:v>
      </x:c>
      <x:c r="AV6" s="115" t="n">
        <x:f aca="0">AA6-Z6</x:f>
        <x:v>154.70363010808808</x:v>
      </x:c>
      <x:c r="AW6" s="115" t="n">
        <x:f aca="0">AB6-AA6</x:f>
        <x:v>154.4204348277002</x:v>
      </x:c>
      <x:c r="AX6" s="115" t="n">
        <x:f aca="0">AC6-AB6</x:f>
        <x:v>150.42066550109269</x:v>
      </x:c>
      <x:c r="AY6" s="115" t="n">
        <x:f aca="0">AD6-AC6</x:f>
        <x:v>143.7574175613231</x:v>
      </x:c>
      <x:c r="AZ6" s="115" t="n">
        <x:f aca="0">AE6-AD6</x:f>
        <x:v>135.32838179545615</x:v>
      </x:c>
      <x:c r="BA6" s="115" t="n">
        <x:f aca="0">AF6-AE6</x:f>
        <x:v>125.85811683349152</x:v>
      </x:c>
      <x:c r="BB6" s="115" t="n">
        <x:f aca="0">AG6-AF6</x:f>
        <x:v>115.90651909630606</x:v>
      </x:c>
      <x:c r="BC6" s="115" t="n">
        <x:f aca="0">AH6-AG6</x:f>
        <x:v>105.88942765297088</x:v>
      </x:c>
      <x:c r="BD6" s="115" t="n">
        <x:f aca="0">AI6-AH6</x:f>
        <x:v>96.10318852194041</x:v>
      </x:c>
      <x:c r="BE6" s="115" t="n">
        <x:f aca="0">AJ6-AI6</x:f>
        <x:v>86.74877494162183</x:v>
      </x:c>
      <x:c r="BF6" s="115" t="n">
        <x:f aca="0">AK6-AJ6</x:f>
        <x:v>77.9533558434955</x:v>
      </x:c>
      <x:c r="BG6" s="115" t="n">
        <x:f aca="0">AL6-AK6</x:f>
        <x:v>69.78853182205262</x:v>
      </x:c>
    </x:row>
    <x:row r="7" ht="15" hidden="0" customHeight="1">
      <x:c r="A7" s="160" t="str">
        <x:f aca="0">"S"&amp;TEXT(ROW()-3,"00")</x:f>
        <x:v>S04</x:v>
      </x:c>
      <x:c r="B7" s="161" t="s">
        <x:v>545</x:v>
      </x:c>
      <x:c r="C7" s="160" t="str">
        <x:f aca="0">LEFT($B7,FIND("|",$B7)-1)</x:f>
        <x:v>Fruit Orchard</x:v>
      </x:c>
      <x:c r="D7" s="160" t="str">
        <x:f aca="0">MID($B7,FIND("|",$B7)+1,FIND("|",$B7,FIND("|",$B7)+1)-FIND("|",$B7)-1)</x:f>
        <x:v>High</x:v>
      </x:c>
      <x:c r="E7" s="160" t="n">
        <x:f aca="0">VALUE(RIGHT($B7,4))</x:f>
        <x:v>2020</x:v>
      </x:c>
      <x:c r="F7" s="115" t="n">
        <x:f aca="0">SUMIF(S17_Biome_Strata!$G$4:$G$95,$B7,S17_Biome_Strata!$E$4:$E$95)</x:f>
        <x:v>167</x:v>
      </x:c>
      <x:c r="G7" s="115" t="n">
        <x:f aca="0">SUMIF(S17_Biome_Strata!$G$4:$G$95,$B7,S17_Biome_Strata!$F$4:$F$95)</x:f>
        <x:v>141.1775103197086</x:v>
      </x:c>
      <x:c r="H7" s="115" t="n">
        <x:f aca="0">IF($K7&gt;=2,SUMIF(S14_Growth_Model_ExAnte!$C$15:$C$81,$B7,S14_Growth_Model_ExAnte!$O$15:$O$81)/$K7,IF($L7&gt;=2,SUMIF(S14_Growth_Model_ExAnte!$AY$15:$AY$81,$C7&amp;"|"&amp;$D7,S14_Growth_Model_ExAnte!$O$15:$O$81)/$L7,IF(COUNTIF(S14_Growth_Model_ExAnte!$AZ$15:$AZ$81,$C7)&gt;0,SUMIF(S14_Growth_Model_ExAnte!$AZ$15:$AZ$81,$C7,S14_Growth_Model_ExAnte!$O$15:$O$81)/COUNTIF(S14_Growth_Model_ExAnte!$AZ$15:$AZ$81,$C7),0)))</x:f>
        <x:v>14.532301831369416</x:v>
      </x:c>
      <x:c r="I7" s="115" t="n">
        <x:f aca="0">IF($K7&gt;=2,SQRT(MAX(0,(SUMIF(S14_Growth_Model_ExAnte!$C$15:$C$81,$B7,S14_Growth_Model_ExAnte!$BG$15:$BG$81)-SUMIF(S14_Growth_Model_ExAnte!$C$15:$C$81,$B7,S14_Growth_Model_ExAnte!$O$15:$O$81)*SUMIF(S14_Growth_Model_ExAnte!$C$15:$C$81,$B7,S14_Growth_Model_ExAnte!$O$15:$O$81)/$K7)/($K7-1))),IF($L7&gt;=2,SQRT(MAX(0,(SUMIF(S14_Growth_Model_ExAnte!$AY$15:$AY$81,$C7&amp;"|"&amp;$D7,S14_Growth_Model_ExAnte!$BG$15:$BG$81)-SUMIF(S14_Growth_Model_ExAnte!$AY$15:$AY$81,$C7&amp;"|"&amp;$D7,S14_Growth_Model_ExAnte!$O$15:$O$81)*SUMIF(S14_Growth_Model_ExAnte!$AY$15:$AY$81,$C7&amp;"|"&amp;$D7,S14_Growth_Model_ExAnte!$O$15:$O$81)/$L7)/($L7-1))),IF(COUNTIF(S14_Growth_Model_ExAnte!$AZ$15:$AZ$81,$C7)&gt;=2,SQRT(MAX(0,(SUMIF(S14_Growth_Model_ExAnte!$AZ$15:$AZ$81,$C7,S14_Growth_Model_ExAnte!$BG$15:$BG$81)-SUMIF(S14_Growth_Model_ExAnte!$AZ$15:$AZ$81,$C7,S14_Growth_Model_ExAnte!$O$15:$O$81)*SUMIF(S14_Growth_Model_ExAnte!$AZ$15:$AZ$81,$C7,S14_Growth_Model_ExAnte!$O$15:$O$81)/COUNTIF(S14_Growth_Model_ExAnte!$AZ$15:$AZ$81,$C7))/(COUNTIF(S14_Growth_Model_ExAnte!$AZ$15:$AZ$81,$C7)-1))),0)))</x:f>
        <x:v>6.668232308770073</x:v>
      </x:c>
      <x:c r="J7" s="115" t="n">
        <x:f aca="0">IFERROR(I7/H7,0)</x:f>
        <x:v>0.45885589125158627</x:v>
      </x:c>
      <x:c r="K7" s="115" t="n">
        <x:f aca="0">COUNTIF(S14_Growth_Model_ExAnte!$C$15:$C$81,$B7)</x:f>
        <x:v>2</x:v>
      </x:c>
      <x:c r="L7" s="115" t="n">
        <x:f aca="0">COUNTIF(S14_Growth_Model_ExAnte!$AY$15:$AY$81,$C7&amp;"|"&amp;$D7)</x:f>
        <x:v>3</x:v>
      </x:c>
      <x:c r="M7" s="115" t="n">
        <x:f aca="0">$H7</x:f>
        <x:v>14.532301831369416</x:v>
      </x:c>
      <x:c r="N7" s="115" t="n">
        <x:f aca="0">MAX(0,$M7*S08_Defaults!$B$5)</x:f>
        <x:v>10.899226373527062</x:v>
      </x:c>
      <x:c r="O7" s="115" t="n">
        <x:f aca="0">IFERROR($N7/$M7,0)</x:f>
        <x:v>0.75</x:v>
      </x:c>
      <x:c r="P7" s="115" t="str">
        <x:f aca="0">IF($K7&gt;=2,"Exact Stratum PSP Chapman-Richards curve",IF($L7&gt;=2,"Model×Density pooled Chapman-Richards curve","Model pooled Chapman-Richards curve"))</x:f>
        <x:v>Exact Stratum PSP Chapman-Richards curve</x:v>
      </x:c>
      <x:c r="Q7" s="162" t="s">
        <x:v>1106</x:v>
      </x:c>
      <x:c r="R7" s="115" t="n">
        <x:f aca="0">(IF($K7&gt;=2,SUMIF(S14_Growth_Model_ExAnte!$C$15:$C$81,$B7,S14_Growth_Model_ExAnte!$I$15:$I$81)/$K7,IF($L7&gt;=2,SUMIF(S14_Growth_Model_ExAnte!$AY$15:$AY$81,$C7&amp;"|"&amp;$D7,S14_Growth_Model_ExAnte!$I$15:$I$81)/$L7,IF(COUNTIF(S14_Growth_Model_ExAnte!$AZ$15:$AZ$81,$C7)&gt;0,SUMIF(S14_Growth_Model_ExAnte!$AZ$15:$AZ$81,$C7,S14_Growth_Model_ExAnte!$I$15:$I$81)/COUNTIF(S14_Growth_Model_ExAnte!$AZ$15:$AZ$81,$C7),0))))*$O7*S08_Defaults!$B$6*(1+S08_Defaults!$B$7)*S08_Defaults!$B$8</x:f>
        <x:v>0</x:v>
      </x:c>
      <x:c r="S7" s="115" t="n">
        <x:f aca="0">(IF($K7&gt;=2,SUMIF(S14_Growth_Model_ExAnte!$C$15:$C$81,$B7,S14_Growth_Model_ExAnte!$J$15:$J$81)/$K7,IF($L7&gt;=2,SUMIF(S14_Growth_Model_ExAnte!$AY$15:$AY$81,$C7&amp;"|"&amp;$D7,S14_Growth_Model_ExAnte!$J$15:$J$81)/$L7,IF(COUNTIF(S14_Growth_Model_ExAnte!$AZ$15:$AZ$81,$C7)&gt;0,SUMIF(S14_Growth_Model_ExAnte!$AZ$15:$AZ$81,$C7,S14_Growth_Model_ExAnte!$J$15:$J$81)/COUNTIF(S14_Growth_Model_ExAnte!$AZ$15:$AZ$81,$C7),0))))*$O7*S08_Defaults!$B$6*(1+S08_Defaults!$B$7)*S08_Defaults!$B$8</x:f>
        <x:v>0.07467984088429572</x:v>
      </x:c>
      <x:c r="T7" s="115" t="n">
        <x:f aca="0">(IF($K7&gt;=2,SUMIF(S14_Growth_Model_ExAnte!$C$15:$C$81,$B7,S14_Growth_Model_ExAnte!$K$15:$K$81)/$K7,IF($L7&gt;=2,SUMIF(S14_Growth_Model_ExAnte!$AY$15:$AY$81,$C7&amp;"|"&amp;$D7,S14_Growth_Model_ExAnte!$K$15:$K$81)/$L7,IF(COUNTIF(S14_Growth_Model_ExAnte!$AZ$15:$AZ$81,$C7)&gt;0,SUMIF(S14_Growth_Model_ExAnte!$AZ$15:$AZ$81,$C7,S14_Growth_Model_ExAnte!$K$15:$K$81)/COUNTIF(S14_Growth_Model_ExAnte!$AZ$15:$AZ$81,$C7),0))))*$O7*S08_Defaults!$B$6*(1+S08_Defaults!$B$7)*S08_Defaults!$B$8</x:f>
        <x:v>0.9155074450282028</x:v>
      </x:c>
      <x:c r="U7" s="115" t="n">
        <x:f aca="0">(IF($K7&gt;=2,SUMIF(S14_Growth_Model_ExAnte!$C$15:$C$81,$B7,S14_Growth_Model_ExAnte!$L$15:$L$81)/$K7,IF($L7&gt;=2,SUMIF(S14_Growth_Model_ExAnte!$AY$15:$AY$81,$C7&amp;"|"&amp;$D7,S14_Growth_Model_ExAnte!$L$15:$L$81)/$L7,IF(COUNTIF(S14_Growth_Model_ExAnte!$AZ$15:$AZ$81,$C7)&gt;0,SUMIF(S14_Growth_Model_ExAnte!$AZ$15:$AZ$81,$C7,S14_Growth_Model_ExAnte!$L$15:$L$81)/COUNTIF(S14_Growth_Model_ExAnte!$AZ$15:$AZ$81,$C7),0))))*$O7*S08_Defaults!$B$6*(1+S08_Defaults!$B$7)*S08_Defaults!$B$8</x:f>
        <x:v>3.459153360886757</x:v>
      </x:c>
      <x:c r="V7" s="115" t="n">
        <x:f aca="0">(IF($K7&gt;=2,SUMIF(S14_Growth_Model_ExAnte!$C$15:$C$81,$B7,S14_Growth_Model_ExAnte!$M$15:$M$81)/$K7,IF($L7&gt;=2,SUMIF(S14_Growth_Model_ExAnte!$AY$15:$AY$81,$C7&amp;"|"&amp;$D7,S14_Growth_Model_ExAnte!$M$15:$M$81)/$L7,IF(COUNTIF(S14_Growth_Model_ExAnte!$AZ$15:$AZ$81,$C7)&gt;0,SUMIF(S14_Growth_Model_ExAnte!$AZ$15:$AZ$81,$C7,S14_Growth_Model_ExAnte!$M$15:$M$81)/COUNTIF(S14_Growth_Model_ExAnte!$AZ$15:$AZ$81,$C7),0))))*$O7*S08_Defaults!$B$6*(1+S08_Defaults!$B$7)*S08_Defaults!$B$8</x:f>
        <x:v>8.17416872954326</x:v>
      </x:c>
      <x:c r="W7" s="115" t="n">
        <x:f aca="0">(IF($K7&gt;=2,SUMIF(S14_Growth_Model_ExAnte!$C$15:$C$81,$B7,S14_Growth_Model_ExAnte!$N$15:$N$81)/$K7,IF($L7&gt;=2,SUMIF(S14_Growth_Model_ExAnte!$AY$15:$AY$81,$C7&amp;"|"&amp;$D7,S14_Growth_Model_ExAnte!$N$15:$N$81)/$L7,IF(COUNTIF(S14_Growth_Model_ExAnte!$AZ$15:$AZ$81,$C7)&gt;0,SUMIF(S14_Growth_Model_ExAnte!$AZ$15:$AZ$81,$C7,S14_Growth_Model_ExAnte!$N$15:$N$81)/COUNTIF(S14_Growth_Model_ExAnte!$AZ$15:$AZ$81,$C7),0))))*$O7*S08_Defaults!$B$6*(1+S08_Defaults!$B$7)*S08_Defaults!$B$8</x:f>
        <x:v>14.934845429105282</x:v>
      </x:c>
      <x:c r="X7" s="115" t="n">
        <x:f aca="0">(IF($K7&gt;=2,SUMIF(S14_Growth_Model_ExAnte!$C$15:$C$81,$B7,S14_Growth_Model_ExAnte!$O$15:$O$81)/$K7,IF($L7&gt;=2,SUMIF(S14_Growth_Model_ExAnte!$AY$15:$AY$81,$C7&amp;"|"&amp;$D7,S14_Growth_Model_ExAnte!$O$15:$O$81)/$L7,IF(COUNTIF(S14_Growth_Model_ExAnte!$AZ$15:$AZ$81,$C7)&gt;0,SUMIF(S14_Growth_Model_ExAnte!$AZ$15:$AZ$81,$C7,S14_Growth_Model_ExAnte!$O$15:$O$81)/COUNTIF(S14_Growth_Model_ExAnte!$AZ$15:$AZ$81,$C7),0))))*$O7*S08_Defaults!$B$6*(1+S08_Defaults!$B$7)*S08_Defaults!$B$8</x:f>
        <x:v>23.290920145135782</x:v>
      </x:c>
      <x:c r="Y7" s="115" t="n">
        <x:f aca="0">(IF($K7&gt;=2,SUMIF(S14_Growth_Model_ExAnte!$C$15:$C$81,$B7,S14_Growth_Model_ExAnte!$P$15:$P$81)/$K7,IF($L7&gt;=2,SUMIF(S14_Growth_Model_ExAnte!$AY$15:$AY$81,$C7&amp;"|"&amp;$D7,S14_Growth_Model_ExAnte!$P$15:$P$81)/$L7,IF(COUNTIF(S14_Growth_Model_ExAnte!$AZ$15:$AZ$81,$C7)&gt;0,SUMIF(S14_Growth_Model_ExAnte!$AZ$15:$AZ$81,$C7,S14_Growth_Model_ExAnte!$P$15:$P$81)/COUNTIF(S14_Growth_Model_ExAnte!$AZ$15:$AZ$81,$C7),0))))*$O7*S08_Defaults!$B$6*(1+S08_Defaults!$B$7)*S08_Defaults!$B$8</x:f>
        <x:v>32.676845883129</x:v>
      </x:c>
      <x:c r="Z7" s="115" t="n">
        <x:f aca="0">(IF($K7&gt;=2,SUMIF(S14_Growth_Model_ExAnte!$C$15:$C$81,$B7,S14_Growth_Model_ExAnte!$Q$15:$Q$81)/$K7,IF($L7&gt;=2,SUMIF(S14_Growth_Model_ExAnte!$AY$15:$AY$81,$C7&amp;"|"&amp;$D7,S14_Growth_Model_ExAnte!$Q$15:$Q$81)/$L7,IF(COUNTIF(S14_Growth_Model_ExAnte!$AZ$15:$AZ$81,$C7)&gt;0,SUMIF(S14_Growth_Model_ExAnte!$AZ$15:$AZ$81,$C7,S14_Growth_Model_ExAnte!$Q$15:$Q$81)/COUNTIF(S14_Growth_Model_ExAnte!$AZ$15:$AZ$81,$C7),0))))*$O7*S08_Defaults!$B$6*(1+S08_Defaults!$B$7)*S08_Defaults!$B$8</x:f>
        <x:v>42.5517787792618</x:v>
      </x:c>
      <x:c r="AA7" s="115" t="n">
        <x:f aca="0">(IF($K7&gt;=2,SUMIF(S14_Growth_Model_ExAnte!$C$15:$C$81,$B7,S14_Growth_Model_ExAnte!$R$15:$R$81)/$K7,IF($L7&gt;=2,SUMIF(S14_Growth_Model_ExAnte!$AY$15:$AY$81,$C7&amp;"|"&amp;$D7,S14_Growth_Model_ExAnte!$R$15:$R$81)/$L7,IF(COUNTIF(S14_Growth_Model_ExAnte!$AZ$15:$AZ$81,$C7)&gt;0,SUMIF(S14_Growth_Model_ExAnte!$AZ$15:$AZ$81,$C7,S14_Growth_Model_ExAnte!$R$15:$R$81)/COUNTIF(S14_Growth_Model_ExAnte!$AZ$15:$AZ$81,$C7),0))))*$O7*S08_Defaults!$B$6*(1+S08_Defaults!$B$7)*S08_Defaults!$B$8</x:f>
        <x:v>52.46753095745866</x:v>
      </x:c>
      <x:c r="AB7" s="115" t="n">
        <x:f aca="0">(IF($K7&gt;=2,SUMIF(S14_Growth_Model_ExAnte!$C$15:$C$81,$B7,S14_Growth_Model_ExAnte!$S$15:$S$81)/$K7,IF($L7&gt;=2,SUMIF(S14_Growth_Model_ExAnte!$AY$15:$AY$81,$C7&amp;"|"&amp;$D7,S14_Growth_Model_ExAnte!$S$15:$S$81)/$L7,IF(COUNTIF(S14_Growth_Model_ExAnte!$AZ$15:$AZ$81,$C7)&gt;0,SUMIF(S14_Growth_Model_ExAnte!$AZ$15:$AZ$81,$C7,S14_Growth_Model_ExAnte!$S$15:$S$81)/COUNTIF(S14_Growth_Model_ExAnte!$AZ$15:$AZ$81,$C7),0))))*$O7*S08_Defaults!$B$6*(1+S08_Defaults!$B$7)*S08_Defaults!$B$8</x:f>
        <x:v>62.088727706504955</x:v>
      </x:c>
      <x:c r="AC7" s="115" t="n">
        <x:f aca="0">(IF($K7&gt;=2,SUMIF(S14_Growth_Model_ExAnte!$C$15:$C$81,$B7,S14_Growth_Model_ExAnte!$T$15:$T$81)/$K7,IF($L7&gt;=2,SUMIF(S14_Growth_Model_ExAnte!$AY$15:$AY$81,$C7&amp;"|"&amp;$D7,S14_Growth_Model_ExAnte!$T$15:$T$81)/$L7,IF(COUNTIF(S14_Growth_Model_ExAnte!$AZ$15:$AZ$81,$C7)&gt;0,SUMIF(S14_Growth_Model_ExAnte!$AZ$15:$AZ$81,$C7,S14_Growth_Model_ExAnte!$T$15:$T$81)/COUNTIF(S14_Growth_Model_ExAnte!$AZ$15:$AZ$81,$C7),0))))*$O7*S08_Defaults!$B$6*(1+S08_Defaults!$B$7)*S08_Defaults!$B$8</x:f>
        <x:v>71.18686146835013</x:v>
      </x:c>
      <x:c r="AD7" s="115" t="n">
        <x:f aca="0">(IF($K7&gt;=2,SUMIF(S14_Growth_Model_ExAnte!$C$15:$C$81,$B7,S14_Growth_Model_ExAnte!$U$15:$U$81)/$K7,IF($L7&gt;=2,SUMIF(S14_Growth_Model_ExAnte!$AY$15:$AY$81,$C7&amp;"|"&amp;$D7,S14_Growth_Model_ExAnte!$U$15:$U$81)/$L7,IF(COUNTIF(S14_Growth_Model_ExAnte!$AZ$15:$AZ$81,$C7)&gt;0,SUMIF(S14_Growth_Model_ExAnte!$AZ$15:$AZ$81,$C7,S14_Growth_Model_ExAnte!$U$15:$U$81)/COUNTIF(S14_Growth_Model_ExAnte!$AZ$15:$AZ$81,$C7),0))))*$O7*S08_Defaults!$B$6*(1+S08_Defaults!$B$7)*S08_Defaults!$B$8</x:f>
        <x:v>79.62292976284827</x:v>
      </x:c>
      <x:c r="AE7" s="115" t="n">
        <x:f aca="0">(IF($K7&gt;=2,SUMIF(S14_Growth_Model_ExAnte!$C$15:$C$81,$B7,S14_Growth_Model_ExAnte!$V$15:$V$81)/$K7,IF($L7&gt;=2,SUMIF(S14_Growth_Model_ExAnte!$AY$15:$AY$81,$C7&amp;"|"&amp;$D7,S14_Growth_Model_ExAnte!$V$15:$V$81)/$L7,IF(COUNTIF(S14_Growth_Model_ExAnte!$AZ$15:$AZ$81,$C7)&gt;0,SUMIF(S14_Growth_Model_ExAnte!$AZ$15:$AZ$81,$C7,S14_Growth_Model_ExAnte!$V$15:$V$81)/COUNTIF(S14_Growth_Model_ExAnte!$AZ$15:$AZ$81,$C7),0))))*$O7*S08_Defaults!$B$6*(1+S08_Defaults!$B$7)*S08_Defaults!$B$8</x:f>
        <x:v>87.32716549861607</x:v>
      </x:c>
      <x:c r="AF7" s="115" t="n">
        <x:f aca="0">(IF($K7&gt;=2,SUMIF(S14_Growth_Model_ExAnte!$C$15:$C$81,$B7,S14_Growth_Model_ExAnte!$W$15:$W$81)/$K7,IF($L7&gt;=2,SUMIF(S14_Growth_Model_ExAnte!$AY$15:$AY$81,$C7&amp;"|"&amp;$D7,S14_Growth_Model_ExAnte!$W$15:$W$81)/$L7,IF(COUNTIF(S14_Growth_Model_ExAnte!$AZ$15:$AZ$81,$C7)&gt;0,SUMIF(S14_Growth_Model_ExAnte!$AZ$15:$AZ$81,$C7,S14_Growth_Model_ExAnte!$W$15:$W$81)/COUNTIF(S14_Growth_Model_ExAnte!$AZ$15:$AZ$81,$C7),0))))*$O7*S08_Defaults!$B$6*(1+S08_Defaults!$B$7)*S08_Defaults!$B$8</x:f>
        <x:v>94.28012952869116</x:v>
      </x:c>
      <x:c r="AG7" s="115" t="n">
        <x:f aca="0">(IF($K7&gt;=2,SUMIF(S14_Growth_Model_ExAnte!$C$15:$C$81,$B7,S14_Growth_Model_ExAnte!$X$15:$X$81)/$K7,IF($L7&gt;=2,SUMIF(S14_Growth_Model_ExAnte!$AY$15:$AY$81,$C7&amp;"|"&amp;$D7,S14_Growth_Model_ExAnte!$X$15:$X$81)/$L7,IF(COUNTIF(S14_Growth_Model_ExAnte!$AZ$15:$AZ$81,$C7)&gt;0,SUMIF(S14_Growth_Model_ExAnte!$AZ$15:$AZ$81,$C7,S14_Growth_Model_ExAnte!$X$15:$X$81)/COUNTIF(S14_Growth_Model_ExAnte!$AZ$15:$AZ$81,$C7),0))))*$O7*S08_Defaults!$B$6*(1+S08_Defaults!$B$7)*S08_Defaults!$B$8</x:f>
        <x:v>100.49689300912144</x:v>
      </x:c>
      <x:c r="AH7" s="115" t="n">
        <x:f aca="0">(IF($K7&gt;=2,SUMIF(S14_Growth_Model_ExAnte!$C$15:$C$81,$B7,S14_Growth_Model_ExAnte!$Y$15:$Y$81)/$K7,IF($L7&gt;=2,SUMIF(S14_Growth_Model_ExAnte!$AY$15:$AY$81,$C7&amp;"|"&amp;$D7,S14_Growth_Model_ExAnte!$Y$15:$Y$81)/$L7,IF(COUNTIF(S14_Growth_Model_ExAnte!$AZ$15:$AZ$81,$C7)&gt;0,SUMIF(S14_Growth_Model_ExAnte!$AZ$15:$AZ$81,$C7,S14_Growth_Model_ExAnte!$Y$15:$Y$81)/COUNTIF(S14_Growth_Model_ExAnte!$AZ$15:$AZ$81,$C7),0))))*$O7*S08_Defaults!$B$6*(1+S08_Defaults!$B$7)*S08_Defaults!$B$8</x:f>
        <x:v>106.01466917516407</x:v>
      </x:c>
      <x:c r="AI7" s="115" t="n">
        <x:f aca="0">(IF($K7&gt;=2,SUMIF(S14_Growth_Model_ExAnte!$C$15:$C$81,$B7,S14_Growth_Model_ExAnte!$Z$15:$Z$81)/$K7,IF($L7&gt;=2,SUMIF(S14_Growth_Model_ExAnte!$AY$15:$AY$81,$C7&amp;"|"&amp;$D7,S14_Growth_Model_ExAnte!$Z$15:$Z$81)/$L7,IF(COUNTIF(S14_Growth_Model_ExAnte!$AZ$15:$AZ$81,$C7)&gt;0,SUMIF(S14_Growth_Model_ExAnte!$AZ$15:$AZ$81,$C7,S14_Growth_Model_ExAnte!$Z$15:$Z$81)/COUNTIF(S14_Growth_Model_ExAnte!$AZ$15:$AZ$81,$C7),0))))*$O7*S08_Defaults!$B$6*(1+S08_Defaults!$B$7)*S08_Defaults!$B$8</x:f>
        <x:v>110.88360662125636</x:v>
      </x:c>
      <x:c r="AJ7" s="115" t="n">
        <x:f aca="0">(IF($K7&gt;=2,SUMIF(S14_Growth_Model_ExAnte!$C$15:$C$81,$B7,S14_Growth_Model_ExAnte!$AA$15:$AA$81)/$K7,IF($L7&gt;=2,SUMIF(S14_Growth_Model_ExAnte!$AY$15:$AY$81,$C7&amp;"|"&amp;$D7,S14_Growth_Model_ExAnte!$AA$15:$AA$81)/$L7,IF(COUNTIF(S14_Growth_Model_ExAnte!$AZ$15:$AZ$81,$C7)&gt;0,SUMIF(S14_Growth_Model_ExAnte!$AZ$15:$AZ$81,$C7,S14_Growth_Model_ExAnte!$AA$15:$AA$81)/COUNTIF(S14_Growth_Model_ExAnte!$AZ$15:$AZ$81,$C7),0))))*$O7*S08_Defaults!$B$6*(1+S08_Defaults!$B$7)*S08_Defaults!$B$8</x:f>
        <x:v>115.16021267185421</x:v>
      </x:c>
      <x:c r="AK7" s="115" t="n">
        <x:f aca="0">(IF($K7&gt;=2,SUMIF(S14_Growth_Model_ExAnte!$C$15:$C$81,$B7,S14_Growth_Model_ExAnte!$AB$15:$AB$81)/$K7,IF($L7&gt;=2,SUMIF(S14_Growth_Model_ExAnte!$AY$15:$AY$81,$C7&amp;"|"&amp;$D7,S14_Growth_Model_ExAnte!$AB$15:$AB$81)/$L7,IF(COUNTIF(S14_Growth_Model_ExAnte!$AZ$15:$AZ$81,$C7)&gt;0,SUMIF(S14_Growth_Model_ExAnte!$AZ$15:$AZ$81,$C7,S14_Growth_Model_ExAnte!$AB$15:$AB$81)/COUNTIF(S14_Growth_Model_ExAnte!$AZ$15:$AZ$81,$C7),0))))*$O7*S08_Defaults!$B$6*(1+S08_Defaults!$B$7)*S08_Defaults!$B$8</x:f>
        <x:v>118.9028388371039</x:v>
      </x:c>
      <x:c r="AL7" s="115" t="n">
        <x:f aca="0">(IF($K7&gt;=2,SUMIF(S14_Growth_Model_ExAnte!$C$15:$C$81,$B7,S14_Growth_Model_ExAnte!$AC$15:$AC$81)/$K7,IF($L7&gt;=2,SUMIF(S14_Growth_Model_ExAnte!$AY$15:$AY$81,$C7&amp;"|"&amp;$D7,S14_Growth_Model_ExAnte!$AC$15:$AC$81)/$L7,IF(COUNTIF(S14_Growth_Model_ExAnte!$AZ$15:$AZ$81,$C7)&gt;0,SUMIF(S14_Growth_Model_ExAnte!$AZ$15:$AZ$81,$C7,S14_Growth_Model_ExAnte!$AC$15:$AC$81)/COUNTIF(S14_Growth_Model_ExAnte!$AZ$15:$AZ$81,$C7),0))))*$O7*S08_Defaults!$B$6*(1+S08_Defaults!$B$7)*S08_Defaults!$B$8</x:f>
        <x:v>122.1687170856391</x:v>
      </x:c>
      <x:c r="AM7" s="115" t="n">
        <x:f aca="0">R7</x:f>
        <x:v>0</x:v>
      </x:c>
      <x:c r="AN7" s="115" t="n">
        <x:f aca="0">S7-R7</x:f>
        <x:v>0.07467984088429572</x:v>
      </x:c>
      <x:c r="AO7" s="115" t="n">
        <x:f aca="0">T7-S7</x:f>
        <x:v>0.8408276041439071</x:v>
      </x:c>
      <x:c r="AP7" s="115" t="n">
        <x:f aca="0">U7-T7</x:f>
        <x:v>2.543645915858554</x:v>
      </x:c>
      <x:c r="AQ7" s="115" t="n">
        <x:f aca="0">V7-U7</x:f>
        <x:v>4.715015368656502</x:v>
      </x:c>
      <x:c r="AR7" s="115" t="n">
        <x:f aca="0">W7-V7</x:f>
        <x:v>6.760676699562023</x:v>
      </x:c>
      <x:c r="AS7" s="115" t="n">
        <x:f aca="0">X7-W7</x:f>
        <x:v>8.3560747160305</x:v>
      </x:c>
      <x:c r="AT7" s="115" t="n">
        <x:f aca="0">Y7-X7</x:f>
        <x:v>9.385925737993215</x:v>
      </x:c>
      <x:c r="AU7" s="115" t="n">
        <x:f aca="0">Z7-Y7</x:f>
        <x:v>9.874932896132805</x:v>
      </x:c>
      <x:c r="AV7" s="115" t="n">
        <x:f aca="0">AA7-Z7</x:f>
        <x:v>9.915752178196861</x:v>
      </x:c>
      <x:c r="AW7" s="115" t="n">
        <x:f aca="0">AB7-AA7</x:f>
        <x:v>9.621196749046291</x:v>
      </x:c>
      <x:c r="AX7" s="115" t="n">
        <x:f aca="0">AC7-AB7</x:f>
        <x:v>9.098133761845176</x:v>
      </x:c>
      <x:c r="AY7" s="115" t="n">
        <x:f aca="0">AD7-AC7</x:f>
        <x:v>8.436068294498142</x:v>
      </x:c>
      <x:c r="AZ7" s="115" t="n">
        <x:f aca="0">AE7-AD7</x:f>
        <x:v>7.704235735767796</x:v>
      </x:c>
      <x:c r="BA7" s="115" t="n">
        <x:f aca="0">AF7-AE7</x:f>
        <x:v>6.952964030075094</x:v>
      </x:c>
      <x:c r="BB7" s="115" t="n">
        <x:f aca="0">AG7-AF7</x:f>
        <x:v>6.216763480430274</x:v>
      </x:c>
      <x:c r="BC7" s="115" t="n">
        <x:f aca="0">AH7-AG7</x:f>
        <x:v>5.517776166042637</x:v>
      </x:c>
      <x:c r="BD7" s="115" t="n">
        <x:f aca="0">AI7-AH7</x:f>
        <x:v>4.868937446092289</x:v>
      </x:c>
      <x:c r="BE7" s="115" t="n">
        <x:f aca="0">AJ7-AI7</x:f>
        <x:v>4.276606050597849</x:v>
      </x:c>
      <x:c r="BF7" s="115" t="n">
        <x:f aca="0">AK7-AJ7</x:f>
        <x:v>3.742626165249689</x:v>
      </x:c>
      <x:c r="BG7" s="115" t="n">
        <x:f aca="0">AL7-AK7</x:f>
        <x:v>3.265878248535202</x:v>
      </x:c>
    </x:row>
    <x:row r="8" ht="15" hidden="0" customHeight="1">
      <x:c r="A8" s="160" t="str">
        <x:f aca="0">"S"&amp;TEXT(ROW()-3,"00")</x:f>
        <x:v>S05</x:v>
      </x:c>
      <x:c r="B8" s="161" t="s">
        <x:v>551</x:v>
      </x:c>
      <x:c r="C8" s="160" t="str">
        <x:f aca="0">LEFT($B8,FIND("|",$B8)-1)</x:f>
        <x:v>Fruit Orchard</x:v>
      </x:c>
      <x:c r="D8" s="160" t="str">
        <x:f aca="0">MID($B8,FIND("|",$B8)+1,FIND("|",$B8,FIND("|",$B8)+1)-FIND("|",$B8)-1)</x:f>
        <x:v>Low</x:v>
      </x:c>
      <x:c r="E8" s="160" t="n">
        <x:f aca="0">VALUE(RIGHT($B8,4))</x:f>
        <x:v>2020</x:v>
      </x:c>
      <x:c r="F8" s="115" t="n">
        <x:f aca="0">SUMIF(S17_Biome_Strata!$G$4:$G$95,$B8,S17_Biome_Strata!$E$4:$E$95)</x:f>
        <x:v>188</x:v>
      </x:c>
      <x:c r="G8" s="115" t="n">
        <x:f aca="0">SUMIF(S17_Biome_Strata!$G$4:$G$95,$B8,S17_Biome_Strata!$F$4:$F$95)</x:f>
        <x:v>246.5347439498181</x:v>
      </x:c>
      <x:c r="H8" s="115" t="n">
        <x:f aca="0">IF($K8&gt;=2,SUMIF(S14_Growth_Model_ExAnte!$C$15:$C$81,$B8,S14_Growth_Model_ExAnte!$O$15:$O$81)/$K8,IF($L8&gt;=2,SUMIF(S14_Growth_Model_ExAnte!$AY$15:$AY$81,$C8&amp;"|"&amp;$D8,S14_Growth_Model_ExAnte!$O$15:$O$81)/$L8,IF(COUNTIF(S14_Growth_Model_ExAnte!$AZ$15:$AZ$81,$C8)&gt;0,SUMIF(S14_Growth_Model_ExAnte!$AZ$15:$AZ$81,$C8,S14_Growth_Model_ExAnte!$O$15:$O$81)/COUNTIF(S14_Growth_Model_ExAnte!$AZ$15:$AZ$81,$C8),0)))</x:f>
        <x:v>8.821196112620466</x:v>
      </x:c>
      <x:c r="I8" s="115" t="n">
        <x:f aca="0">IF($K8&gt;=2,SQRT(MAX(0,(SUMIF(S14_Growth_Model_ExAnte!$C$15:$C$81,$B8,S14_Growth_Model_ExAnte!$BG$15:$BG$81)-SUMIF(S14_Growth_Model_ExAnte!$C$15:$C$81,$B8,S14_Growth_Model_ExAnte!$O$15:$O$81)*SUMIF(S14_Growth_Model_ExAnte!$C$15:$C$81,$B8,S14_Growth_Model_ExAnte!$O$15:$O$81)/$K8)/($K8-1))),IF($L8&gt;=2,SQRT(MAX(0,(SUMIF(S14_Growth_Model_ExAnte!$AY$15:$AY$81,$C8&amp;"|"&amp;$D8,S14_Growth_Model_ExAnte!$BG$15:$BG$81)-SUMIF(S14_Growth_Model_ExAnte!$AY$15:$AY$81,$C8&amp;"|"&amp;$D8,S14_Growth_Model_ExAnte!$O$15:$O$81)*SUMIF(S14_Growth_Model_ExAnte!$AY$15:$AY$81,$C8&amp;"|"&amp;$D8,S14_Growth_Model_ExAnte!$O$15:$O$81)/$L8)/($L8-1))),IF(COUNTIF(S14_Growth_Model_ExAnte!$AZ$15:$AZ$81,$C8)&gt;=2,SQRT(MAX(0,(SUMIF(S14_Growth_Model_ExAnte!$AZ$15:$AZ$81,$C8,S14_Growth_Model_ExAnte!$BG$15:$BG$81)-SUMIF(S14_Growth_Model_ExAnte!$AZ$15:$AZ$81,$C8,S14_Growth_Model_ExAnte!$O$15:$O$81)*SUMIF(S14_Growth_Model_ExAnte!$AZ$15:$AZ$81,$C8,S14_Growth_Model_ExAnte!$O$15:$O$81)/COUNTIF(S14_Growth_Model_ExAnte!$AZ$15:$AZ$81,$C8))/(COUNTIF(S14_Growth_Model_ExAnte!$AZ$15:$AZ$81,$C8)-1))),0)))</x:f>
        <x:v>4.798207319356463</x:v>
      </x:c>
      <x:c r="J8" s="115" t="n">
        <x:f aca="0">IFERROR(I8/H8,0)</x:f>
        <x:v>0.5439406695075828</x:v>
      </x:c>
      <x:c r="K8" s="115" t="n">
        <x:f aca="0">COUNTIF(S14_Growth_Model_ExAnte!$C$15:$C$81,$B8)</x:f>
        <x:v>1</x:v>
      </x:c>
      <x:c r="L8" s="115" t="n">
        <x:f aca="0">COUNTIF(S14_Growth_Model_ExAnte!$AY$15:$AY$81,$C8&amp;"|"&amp;$D8)</x:f>
        <x:v>3</x:v>
      </x:c>
      <x:c r="M8" s="115" t="n">
        <x:f aca="0">$H8</x:f>
        <x:v>8.821196112620466</x:v>
      </x:c>
      <x:c r="N8" s="115" t="n">
        <x:f aca="0">MAX(0,$M8*S08_Defaults!$B$5)</x:f>
        <x:v>6.61589708446535</x:v>
      </x:c>
      <x:c r="O8" s="115" t="n">
        <x:f aca="0">IFERROR($N8/$M8,0)</x:f>
        <x:v>0.75</x:v>
      </x:c>
      <x:c r="P8" s="115" t="str">
        <x:f aca="0">IF($K8&gt;=2,"Exact Stratum PSP Chapman-Richards curve",IF($L8&gt;=2,"Model×Density pooled Chapman-Richards curve","Model pooled Chapman-Richards curve"))</x:f>
        <x:v>Model×Density pooled Chapman-Richards curve</x:v>
      </x:c>
      <x:c r="Q8" s="162" t="s">
        <x:v>1106</x:v>
      </x:c>
      <x:c r="R8" s="115" t="n">
        <x:f aca="0">(IF($K8&gt;=2,SUMIF(S14_Growth_Model_ExAnte!$C$15:$C$81,$B8,S14_Growth_Model_ExAnte!$I$15:$I$81)/$K8,IF($L8&gt;=2,SUMIF(S14_Growth_Model_ExAnte!$AY$15:$AY$81,$C8&amp;"|"&amp;$D8,S14_Growth_Model_ExAnte!$I$15:$I$81)/$L8,IF(COUNTIF(S14_Growth_Model_ExAnte!$AZ$15:$AZ$81,$C8)&gt;0,SUMIF(S14_Growth_Model_ExAnte!$AZ$15:$AZ$81,$C8,S14_Growth_Model_ExAnte!$I$15:$I$81)/COUNTIF(S14_Growth_Model_ExAnte!$AZ$15:$AZ$81,$C8),0))))*$O8*S08_Defaults!$B$6*(1+S08_Defaults!$B$7)*S08_Defaults!$B$8</x:f>
        <x:v>0</x:v>
      </x:c>
      <x:c r="S8" s="115" t="n">
        <x:f aca="0">(IF($K8&gt;=2,SUMIF(S14_Growth_Model_ExAnte!$C$15:$C$81,$B8,S14_Growth_Model_ExAnte!$J$15:$J$81)/$K8,IF($L8&gt;=2,SUMIF(S14_Growth_Model_ExAnte!$AY$15:$AY$81,$C8&amp;"|"&amp;$D8,S14_Growth_Model_ExAnte!$J$15:$J$81)/$L8,IF(COUNTIF(S14_Growth_Model_ExAnte!$AZ$15:$AZ$81,$C8)&gt;0,SUMIF(S14_Growth_Model_ExAnte!$AZ$15:$AZ$81,$C8,S14_Growth_Model_ExAnte!$J$15:$J$81)/COUNTIF(S14_Growth_Model_ExAnte!$AZ$15:$AZ$81,$C8),0))))*$O8*S08_Defaults!$B$6*(1+S08_Defaults!$B$7)*S08_Defaults!$B$8</x:f>
        <x:v>0.041887249891712</x:v>
      </x:c>
      <x:c r="T8" s="115" t="n">
        <x:f aca="0">(IF($K8&gt;=2,SUMIF(S14_Growth_Model_ExAnte!$C$15:$C$81,$B8,S14_Growth_Model_ExAnte!$K$15:$K$81)/$K8,IF($L8&gt;=2,SUMIF(S14_Growth_Model_ExAnte!$AY$15:$AY$81,$C8&amp;"|"&amp;$D8,S14_Growth_Model_ExAnte!$K$15:$K$81)/$L8,IF(COUNTIF(S14_Growth_Model_ExAnte!$AZ$15:$AZ$81,$C8)&gt;0,SUMIF(S14_Growth_Model_ExAnte!$AZ$15:$AZ$81,$C8,S14_Growth_Model_ExAnte!$K$15:$K$81)/COUNTIF(S14_Growth_Model_ExAnte!$AZ$15:$AZ$81,$C8),0))))*$O8*S08_Defaults!$B$6*(1+S08_Defaults!$B$7)*S08_Defaults!$B$8</x:f>
        <x:v>0.5006911820948761</x:v>
      </x:c>
      <x:c r="U8" s="115" t="n">
        <x:f aca="0">(IF($K8&gt;=2,SUMIF(S14_Growth_Model_ExAnte!$C$15:$C$81,$B8,S14_Growth_Model_ExAnte!$L$15:$L$81)/$K8,IF($L8&gt;=2,SUMIF(S14_Growth_Model_ExAnte!$AY$15:$AY$81,$C8&amp;"|"&amp;$D8,S14_Growth_Model_ExAnte!$L$15:$L$81)/$L8,IF(COUNTIF(S14_Growth_Model_ExAnte!$AZ$15:$AZ$81,$C8)&gt;0,SUMIF(S14_Growth_Model_ExAnte!$AZ$15:$AZ$81,$C8,S14_Growth_Model_ExAnte!$L$15:$L$81)/COUNTIF(S14_Growth_Model_ExAnte!$AZ$15:$AZ$81,$C8),0))))*$O8*S08_Defaults!$B$6*(1+S08_Defaults!$B$7)*S08_Defaults!$B$8</x:f>
        <x:v>1.9160435894217756</x:v>
      </x:c>
      <x:c r="V8" s="115" t="n">
        <x:f aca="0">(IF($K8&gt;=2,SUMIF(S14_Growth_Model_ExAnte!$C$15:$C$81,$B8,S14_Growth_Model_ExAnte!$M$15:$M$81)/$K8,IF($L8&gt;=2,SUMIF(S14_Growth_Model_ExAnte!$AY$15:$AY$81,$C8&amp;"|"&amp;$D8,S14_Growth_Model_ExAnte!$M$15:$M$81)/$L8,IF(COUNTIF(S14_Growth_Model_ExAnte!$AZ$15:$AZ$81,$C8)&gt;0,SUMIF(S14_Growth_Model_ExAnte!$AZ$15:$AZ$81,$C8,S14_Growth_Model_ExAnte!$M$15:$M$81)/COUNTIF(S14_Growth_Model_ExAnte!$AZ$15:$AZ$81,$C8),0))))*$O8*S08_Defaults!$B$6*(1+S08_Defaults!$B$7)*S08_Defaults!$B$8</x:f>
        <x:v>4.648002141175279</x:v>
      </x:c>
      <x:c r="W8" s="115" t="n">
        <x:f aca="0">(IF($K8&gt;=2,SUMIF(S14_Growth_Model_ExAnte!$C$15:$C$81,$B8,S14_Growth_Model_ExAnte!$N$15:$N$81)/$K8,IF($L8&gt;=2,SUMIF(S14_Growth_Model_ExAnte!$AY$15:$AY$81,$C8&amp;"|"&amp;$D8,S14_Growth_Model_ExAnte!$N$15:$N$81)/$L8,IF(COUNTIF(S14_Growth_Model_ExAnte!$AZ$15:$AZ$81,$C8)&gt;0,SUMIF(S14_Growth_Model_ExAnte!$AZ$15:$AZ$81,$C8,S14_Growth_Model_ExAnte!$N$15:$N$81)/COUNTIF(S14_Growth_Model_ExAnte!$AZ$15:$AZ$81,$C8),0))))*$O8*S08_Defaults!$B$6*(1+S08_Defaults!$B$7)*S08_Defaults!$B$8</x:f>
        <x:v>8.765836201233046</x:v>
      </x:c>
      <x:c r="X8" s="115" t="n">
        <x:f aca="0">(IF($K8&gt;=2,SUMIF(S14_Growth_Model_ExAnte!$C$15:$C$81,$B8,S14_Growth_Model_ExAnte!$O$15:$O$81)/$K8,IF($L8&gt;=2,SUMIF(S14_Growth_Model_ExAnte!$AY$15:$AY$81,$C8&amp;"|"&amp;$D8,S14_Growth_Model_ExAnte!$O$15:$O$81)/$L8,IF(COUNTIF(S14_Growth_Model_ExAnte!$AZ$15:$AZ$81,$C8)&gt;0,SUMIF(S14_Growth_Model_ExAnte!$AZ$15:$AZ$81,$C8,S14_Growth_Model_ExAnte!$O$15:$O$81)/COUNTIF(S14_Growth_Model_ExAnte!$AZ$15:$AZ$81,$C8),0))))*$O8*S08_Defaults!$B$6*(1+S08_Defaults!$B$7)*S08_Defaults!$B$8</x:f>
        <x:v>14.137731009696834</x:v>
      </x:c>
      <x:c r="Y8" s="115" t="n">
        <x:f aca="0">(IF($K8&gt;=2,SUMIF(S14_Growth_Model_ExAnte!$C$15:$C$81,$B8,S14_Growth_Model_ExAnte!$P$15:$P$81)/$K8,IF($L8&gt;=2,SUMIF(S14_Growth_Model_ExAnte!$AY$15:$AY$81,$C8&amp;"|"&amp;$D8,S14_Growth_Model_ExAnte!$P$15:$P$81)/$L8,IF(COUNTIF(S14_Growth_Model_ExAnte!$AZ$15:$AZ$81,$C8)&gt;0,SUMIF(S14_Growth_Model_ExAnte!$AZ$15:$AZ$81,$C8,S14_Growth_Model_ExAnte!$P$15:$P$81)/COUNTIF(S14_Growth_Model_ExAnte!$AZ$15:$AZ$81,$C8),0))))*$O8*S08_Defaults!$B$6*(1+S08_Defaults!$B$7)*S08_Defaults!$B$8</x:f>
        <x:v>20.514687829934044</x:v>
      </x:c>
      <x:c r="Z8" s="115" t="n">
        <x:f aca="0">(IF($K8&gt;=2,SUMIF(S14_Growth_Model_ExAnte!$C$15:$C$81,$B8,S14_Growth_Model_ExAnte!$Q$15:$Q$81)/$K8,IF($L8&gt;=2,SUMIF(S14_Growth_Model_ExAnte!$AY$15:$AY$81,$C8&amp;"|"&amp;$D8,S14_Growth_Model_ExAnte!$Q$15:$Q$81)/$L8,IF(COUNTIF(S14_Growth_Model_ExAnte!$AZ$15:$AZ$81,$C8)&gt;0,SUMIF(S14_Growth_Model_ExAnte!$AZ$15:$AZ$81,$C8,S14_Growth_Model_ExAnte!$Q$15:$Q$81)/COUNTIF(S14_Growth_Model_ExAnte!$AZ$15:$AZ$81,$C8),0))))*$O8*S08_Defaults!$B$6*(1+S08_Defaults!$B$7)*S08_Defaults!$B$8</x:f>
        <x:v>27.60358895515498</x:v>
      </x:c>
      <x:c r="AA8" s="115" t="n">
        <x:f aca="0">(IF($K8&gt;=2,SUMIF(S14_Growth_Model_ExAnte!$C$15:$C$81,$B8,S14_Growth_Model_ExAnte!$R$15:$R$81)/$K8,IF($L8&gt;=2,SUMIF(S14_Growth_Model_ExAnte!$AY$15:$AY$81,$C8&amp;"|"&amp;$D8,S14_Growth_Model_ExAnte!$R$15:$R$81)/$L8,IF(COUNTIF(S14_Growth_Model_ExAnte!$AZ$15:$AZ$81,$C8)&gt;0,SUMIF(S14_Growth_Model_ExAnte!$AZ$15:$AZ$81,$C8,S14_Growth_Model_ExAnte!$R$15:$R$81)/COUNTIF(S14_Growth_Model_ExAnte!$AZ$15:$AZ$81,$C8),0))))*$O8*S08_Defaults!$B$6*(1+S08_Defaults!$B$7)*S08_Defaults!$B$8</x:f>
        <x:v>35.11614902570361</x:v>
      </x:c>
      <x:c r="AB8" s="115" t="n">
        <x:f aca="0">(IF($K8&gt;=2,SUMIF(S14_Growth_Model_ExAnte!$C$15:$C$81,$B8,S14_Growth_Model_ExAnte!$S$15:$S$81)/$K8,IF($L8&gt;=2,SUMIF(S14_Growth_Model_ExAnte!$AY$15:$AY$81,$C8&amp;"|"&amp;$D8,S14_Growth_Model_ExAnte!$S$15:$S$81)/$L8,IF(COUNTIF(S14_Growth_Model_ExAnte!$AZ$15:$AZ$81,$C8)&gt;0,SUMIF(S14_Growth_Model_ExAnte!$AZ$15:$AZ$81,$C8,S14_Growth_Model_ExAnte!$S$15:$S$81)/COUNTIF(S14_Growth_Model_ExAnte!$AZ$15:$AZ$81,$C8),0))))*$O8*S08_Defaults!$B$6*(1+S08_Defaults!$B$7)*S08_Defaults!$B$8</x:f>
        <x:v>42.796694831673534</x:v>
      </x:c>
      <x:c r="AC8" s="115" t="n">
        <x:f aca="0">(IF($K8&gt;=2,SUMIF(S14_Growth_Model_ExAnte!$C$15:$C$81,$B8,S14_Growth_Model_ExAnte!$T$15:$T$81)/$K8,IF($L8&gt;=2,SUMIF(S14_Growth_Model_ExAnte!$AY$15:$AY$81,$C8&amp;"|"&amp;$D8,S14_Growth_Model_ExAnte!$T$15:$T$81)/$L8,IF(COUNTIF(S14_Growth_Model_ExAnte!$AZ$15:$AZ$81,$C8)&gt;0,SUMIF(S14_Growth_Model_ExAnte!$AZ$15:$AZ$81,$C8,S14_Growth_Model_ExAnte!$T$15:$T$81)/COUNTIF(S14_Growth_Model_ExAnte!$AZ$15:$AZ$81,$C8),0))))*$O8*S08_Defaults!$B$6*(1+S08_Defaults!$B$7)*S08_Defaults!$B$8</x:f>
        <x:v>50.43458352773399</x:v>
      </x:c>
      <x:c r="AD8" s="115" t="n">
        <x:f aca="0">(IF($K8&gt;=2,SUMIF(S14_Growth_Model_ExAnte!$C$15:$C$81,$B8,S14_Growth_Model_ExAnte!$U$15:$U$81)/$K8,IF($L8&gt;=2,SUMIF(S14_Growth_Model_ExAnte!$AY$15:$AY$81,$C8&amp;"|"&amp;$D8,S14_Growth_Model_ExAnte!$U$15:$U$81)/$L8,IF(COUNTIF(S14_Growth_Model_ExAnte!$AZ$15:$AZ$81,$C8)&gt;0,SUMIF(S14_Growth_Model_ExAnte!$AZ$15:$AZ$81,$C8,S14_Growth_Model_ExAnte!$U$15:$U$81)/COUNTIF(S14_Growth_Model_ExAnte!$AZ$15:$AZ$81,$C8),0))))*$O8*S08_Defaults!$B$6*(1+S08_Defaults!$B$7)*S08_Defaults!$B$8</x:f>
        <x:v>57.8667406233523</x:v>
      </x:c>
      <x:c r="AE8" s="115" t="n">
        <x:f aca="0">(IF($K8&gt;=2,SUMIF(S14_Growth_Model_ExAnte!$C$15:$C$81,$B8,S14_Growth_Model_ExAnte!$V$15:$V$81)/$K8,IF($L8&gt;=2,SUMIF(S14_Growth_Model_ExAnte!$AY$15:$AY$81,$C8&amp;"|"&amp;$D8,S14_Growth_Model_ExAnte!$V$15:$V$81)/$L8,IF(COUNTIF(S14_Growth_Model_ExAnte!$AZ$15:$AZ$81,$C8)&gt;0,SUMIF(S14_Growth_Model_ExAnte!$AZ$15:$AZ$81,$C8,S14_Growth_Model_ExAnte!$V$15:$V$81)/COUNTIF(S14_Growth_Model_ExAnte!$AZ$15:$AZ$81,$C8),0))))*$O8*S08_Defaults!$B$6*(1+S08_Defaults!$B$7)*S08_Defaults!$B$8</x:f>
        <x:v>64.97452870620393</x:v>
      </x:c>
      <x:c r="AF8" s="115" t="n">
        <x:f aca="0">(IF($K8&gt;=2,SUMIF(S14_Growth_Model_ExAnte!$C$15:$C$81,$B8,S14_Growth_Model_ExAnte!$W$15:$W$81)/$K8,IF($L8&gt;=2,SUMIF(S14_Growth_Model_ExAnte!$AY$15:$AY$81,$C8&amp;"|"&amp;$D8,S14_Growth_Model_ExAnte!$W$15:$W$81)/$L8,IF(COUNTIF(S14_Growth_Model_ExAnte!$AZ$15:$AZ$81,$C8)&gt;0,SUMIF(S14_Growth_Model_ExAnte!$AZ$15:$AZ$81,$C8,S14_Growth_Model_ExAnte!$W$15:$W$81)/COUNTIF(S14_Growth_Model_ExAnte!$AZ$15:$AZ$81,$C8),0))))*$O8*S08_Defaults!$B$6*(1+S08_Defaults!$B$7)*S08_Defaults!$B$8</x:f>
        <x:v>71.67784329965413</x:v>
      </x:c>
      <x:c r="AG8" s="115" t="n">
        <x:f aca="0">(IF($K8&gt;=2,SUMIF(S14_Growth_Model_ExAnte!$C$15:$C$81,$B8,S14_Growth_Model_ExAnte!$X$15:$X$81)/$K8,IF($L8&gt;=2,SUMIF(S14_Growth_Model_ExAnte!$AY$15:$AY$81,$C8&amp;"|"&amp;$D8,S14_Growth_Model_ExAnte!$X$15:$X$81)/$L8,IF(COUNTIF(S14_Growth_Model_ExAnte!$AZ$15:$AZ$81,$C8)&gt;0,SUMIF(S14_Growth_Model_ExAnte!$AZ$15:$AZ$81,$C8,S14_Growth_Model_ExAnte!$X$15:$X$81)/COUNTIF(S14_Growth_Model_ExAnte!$AZ$15:$AZ$81,$C8),0))))*$O8*S08_Defaults!$B$6*(1+S08_Defaults!$B$7)*S08_Defaults!$B$8</x:f>
        <x:v>77.92826810156097</x:v>
      </x:c>
      <x:c r="AH8" s="115" t="n">
        <x:f aca="0">(IF($K8&gt;=2,SUMIF(S14_Growth_Model_ExAnte!$C$15:$C$81,$B8,S14_Growth_Model_ExAnte!$Y$15:$Y$81)/$K8,IF($L8&gt;=2,SUMIF(S14_Growth_Model_ExAnte!$AY$15:$AY$81,$C8&amp;"|"&amp;$D8,S14_Growth_Model_ExAnte!$Y$15:$Y$81)/$L8,IF(COUNTIF(S14_Growth_Model_ExAnte!$AZ$15:$AZ$81,$C8)&gt;0,SUMIF(S14_Growth_Model_ExAnte!$AZ$15:$AZ$81,$C8,S14_Growth_Model_ExAnte!$Y$15:$Y$81)/COUNTIF(S14_Growth_Model_ExAnte!$AZ$15:$AZ$81,$C8),0))))*$O8*S08_Defaults!$B$6*(1+S08_Defaults!$B$7)*S08_Defaults!$B$8</x:f>
        <x:v>83.70235418006737</x:v>
      </x:c>
      <x:c r="AI8" s="115" t="n">
        <x:f aca="0">(IF($K8&gt;=2,SUMIF(S14_Growth_Model_ExAnte!$C$15:$C$81,$B8,S14_Growth_Model_ExAnte!$Z$15:$Z$81)/$K8,IF($L8&gt;=2,SUMIF(S14_Growth_Model_ExAnte!$AY$15:$AY$81,$C8&amp;"|"&amp;$D8,S14_Growth_Model_ExAnte!$Z$15:$Z$81)/$L8,IF(COUNTIF(S14_Growth_Model_ExAnte!$AZ$15:$AZ$81,$C8)&gt;0,SUMIF(S14_Growth_Model_ExAnte!$AZ$15:$AZ$81,$C8,S14_Growth_Model_ExAnte!$Z$15:$Z$81)/COUNTIF(S14_Growth_Model_ExAnte!$AZ$15:$AZ$81,$C8),0))))*$O8*S08_Defaults!$B$6*(1+S08_Defaults!$B$7)*S08_Defaults!$B$8</x:f>
        <x:v>88.99557408183094</x:v>
      </x:c>
      <x:c r="AJ8" s="115" t="n">
        <x:f aca="0">(IF($K8&gt;=2,SUMIF(S14_Growth_Model_ExAnte!$C$15:$C$81,$B8,S14_Growth_Model_ExAnte!$AA$15:$AA$81)/$K8,IF($L8&gt;=2,SUMIF(S14_Growth_Model_ExAnte!$AY$15:$AY$81,$C8&amp;"|"&amp;$D8,S14_Growth_Model_ExAnte!$AA$15:$AA$81)/$L8,IF(COUNTIF(S14_Growth_Model_ExAnte!$AZ$15:$AZ$81,$C8)&gt;0,SUMIF(S14_Growth_Model_ExAnte!$AZ$15:$AZ$81,$C8,S14_Growth_Model_ExAnte!$AA$15:$AA$81)/COUNTIF(S14_Growth_Model_ExAnte!$AZ$15:$AZ$81,$C8),0))))*$O8*S08_Defaults!$B$6*(1+S08_Defaults!$B$7)*S08_Defaults!$B$8</x:f>
        <x:v>93.81717915983346</x:v>
      </x:c>
      <x:c r="AK8" s="115" t="n">
        <x:f aca="0">(IF($K8&gt;=2,SUMIF(S14_Growth_Model_ExAnte!$C$15:$C$81,$B8,S14_Growth_Model_ExAnte!$AB$15:$AB$81)/$K8,IF($L8&gt;=2,SUMIF(S14_Growth_Model_ExAnte!$AY$15:$AY$81,$C8&amp;"|"&amp;$D8,S14_Growth_Model_ExAnte!$AB$15:$AB$81)/$L8,IF(COUNTIF(S14_Growth_Model_ExAnte!$AZ$15:$AZ$81,$C8)&gt;0,SUMIF(S14_Growth_Model_ExAnte!$AZ$15:$AZ$81,$C8,S14_Growth_Model_ExAnte!$AB$15:$AB$81)/COUNTIF(S14_Growth_Model_ExAnte!$AZ$15:$AZ$81,$C8),0))))*$O8*S08_Defaults!$B$6*(1+S08_Defaults!$B$7)*S08_Defaults!$B$8</x:f>
        <x:v>98.18599878326182</x:v>
      </x:c>
      <x:c r="AL8" s="115" t="n">
        <x:f aca="0">(IF($K8&gt;=2,SUMIF(S14_Growth_Model_ExAnte!$C$15:$C$81,$B8,S14_Growth_Model_ExAnte!$AC$15:$AC$81)/$K8,IF($L8&gt;=2,SUMIF(S14_Growth_Model_ExAnte!$AY$15:$AY$81,$C8&amp;"|"&amp;$D8,S14_Growth_Model_ExAnte!$AC$15:$AC$81)/$L8,IF(COUNTIF(S14_Growth_Model_ExAnte!$AZ$15:$AZ$81,$C8)&gt;0,SUMIF(S14_Growth_Model_ExAnte!$AZ$15:$AZ$81,$C8,S14_Growth_Model_ExAnte!$AC$15:$AC$81)/COUNTIF(S14_Growth_Model_ExAnte!$AZ$15:$AZ$81,$C8),0))))*$O8*S08_Defaults!$B$6*(1+S08_Defaults!$B$7)*S08_Defaults!$B$8</x:f>
        <x:v>102.12711804116768</x:v>
      </x:c>
      <x:c r="AM8" s="115" t="n">
        <x:f aca="0">R8</x:f>
        <x:v>0</x:v>
      </x:c>
      <x:c r="AN8" s="115" t="n">
        <x:f aca="0">S8-R8</x:f>
        <x:v>0.041887249891712</x:v>
      </x:c>
      <x:c r="AO8" s="115" t="n">
        <x:f aca="0">T8-S8</x:f>
        <x:v>0.45880393220316407</x:v>
      </x:c>
      <x:c r="AP8" s="115" t="n">
        <x:f aca="0">U8-T8</x:f>
        <x:v>1.4153524073268995</x:v>
      </x:c>
      <x:c r="AQ8" s="115" t="n">
        <x:f aca="0">V8-U8</x:f>
        <x:v>2.731958551753504</x:v>
      </x:c>
      <x:c r="AR8" s="115" t="n">
        <x:f aca="0">W8-V8</x:f>
        <x:v>4.117834060057767</x:v>
      </x:c>
      <x:c r="AS8" s="115" t="n">
        <x:f aca="0">X8-W8</x:f>
        <x:v>5.371894808463788</x:v>
      </x:c>
      <x:c r="AT8" s="115" t="n">
        <x:f aca="0">Y8-X8</x:f>
        <x:v>6.3769568202372096</x:v>
      </x:c>
      <x:c r="AU8" s="115" t="n">
        <x:f aca="0">Z8-Y8</x:f>
        <x:v>7.088901125220936</x:v>
      </x:c>
      <x:c r="AV8" s="115" t="n">
        <x:f aca="0">AA8-Z8</x:f>
        <x:v>7.512560070548634</x:v>
      </x:c>
      <x:c r="AW8" s="115" t="n">
        <x:f aca="0">AB8-AA8</x:f>
        <x:v>7.6805458059699205</x:v>
      </x:c>
      <x:c r="AX8" s="115" t="n">
        <x:f aca="0">AC8-AB8</x:f>
        <x:v>7.6378886960604575</x:v>
      </x:c>
      <x:c r="AY8" s="115" t="n">
        <x:f aca="0">AD8-AC8</x:f>
        <x:v>7.432157095618308</x:v>
      </x:c>
      <x:c r="AZ8" s="115" t="n">
        <x:f aca="0">AE8-AD8</x:f>
        <x:v>7.107788082851627</x:v>
      </x:c>
      <x:c r="BA8" s="115" t="n">
        <x:f aca="0">AF8-AE8</x:f>
        <x:v>6.703314593450202</x:v>
      </x:c>
      <x:c r="BB8" s="115" t="n">
        <x:f aca="0">AG8-AF8</x:f>
        <x:v>6.250424801906846</x:v>
      </x:c>
      <x:c r="BC8" s="115" t="n">
        <x:f aca="0">AH8-AG8</x:f>
        <x:v>5.7740860785064</x:v>
      </x:c>
      <x:c r="BD8" s="115" t="n">
        <x:f aca="0">AI8-AH8</x:f>
        <x:v>5.293219901763564</x:v>
      </x:c>
      <x:c r="BE8" s="115" t="n">
        <x:f aca="0">AJ8-AI8</x:f>
        <x:v>4.82160507800252</x:v>
      </x:c>
      <x:c r="BF8" s="115" t="n">
        <x:f aca="0">AK8-AJ8</x:f>
        <x:v>4.368819623428365</x:v>
      </x:c>
      <x:c r="BG8" s="115" t="n">
        <x:f aca="0">AL8-AK8</x:f>
        <x:v>3.9411192579058536</x:v>
      </x:c>
    </x:row>
    <x:row r="9" ht="15" hidden="0" customHeight="1">
      <x:c r="A9" s="160" t="str">
        <x:f aca="0">"S"&amp;TEXT(ROW()-3,"00")</x:f>
        <x:v>S06</x:v>
      </x:c>
      <x:c r="B9" s="161" t="s">
        <x:v>597</x:v>
      </x:c>
      <x:c r="C9" s="160" t="str">
        <x:f aca="0">LEFT($B9,FIND("|",$B9)-1)</x:f>
        <x:v>Horti-Silviculture</x:v>
      </x:c>
      <x:c r="D9" s="160" t="str">
        <x:f aca="0">MID($B9,FIND("|",$B9)+1,FIND("|",$B9,FIND("|",$B9)+1)-FIND("|",$B9)-1)</x:f>
        <x:v>Low</x:v>
      </x:c>
      <x:c r="E9" s="160" t="n">
        <x:f aca="0">VALUE(RIGHT($B9,4))</x:f>
        <x:v>2020</x:v>
      </x:c>
      <x:c r="F9" s="115" t="n">
        <x:f aca="0">SUMIF(S17_Biome_Strata!$G$4:$G$95,$B9,S17_Biome_Strata!$E$4:$E$95)</x:f>
        <x:v>146</x:v>
      </x:c>
      <x:c r="G9" s="115" t="n">
        <x:f aca="0">SUMIF(S17_Biome_Strata!$G$4:$G$95,$B9,S17_Biome_Strata!$F$4:$F$95)</x:f>
        <x:v>152.5982879401053</x:v>
      </x:c>
      <x:c r="H9" s="115" t="n">
        <x:f aca="0">IF($K9&gt;=2,SUMIF(S14_Growth_Model_ExAnte!$C$15:$C$81,$B9,S14_Growth_Model_ExAnte!$O$15:$O$81)/$K9,IF($L9&gt;=2,SUMIF(S14_Growth_Model_ExAnte!$AY$15:$AY$81,$C9&amp;"|"&amp;$D9,S14_Growth_Model_ExAnte!$O$15:$O$81)/$L9,IF(COUNTIF(S14_Growth_Model_ExAnte!$AZ$15:$AZ$81,$C9)&gt;0,SUMIF(S14_Growth_Model_ExAnte!$AZ$15:$AZ$81,$C9,S14_Growth_Model_ExAnte!$O$15:$O$81)/COUNTIF(S14_Growth_Model_ExAnte!$AZ$15:$AZ$81,$C9),0)))</x:f>
        <x:v>26.291731224063113</x:v>
      </x:c>
      <x:c r="I9" s="115" t="n">
        <x:f aca="0">IF($K9&gt;=2,SQRT(MAX(0,(SUMIF(S14_Growth_Model_ExAnte!$C$15:$C$81,$B9,S14_Growth_Model_ExAnte!$BG$15:$BG$81)-SUMIF(S14_Growth_Model_ExAnte!$C$15:$C$81,$B9,S14_Growth_Model_ExAnte!$O$15:$O$81)*SUMIF(S14_Growth_Model_ExAnte!$C$15:$C$81,$B9,S14_Growth_Model_ExAnte!$O$15:$O$81)/$K9)/($K9-1))),IF($L9&gt;=2,SQRT(MAX(0,(SUMIF(S14_Growth_Model_ExAnte!$AY$15:$AY$81,$C9&amp;"|"&amp;$D9,S14_Growth_Model_ExAnte!$BG$15:$BG$81)-SUMIF(S14_Growth_Model_ExAnte!$AY$15:$AY$81,$C9&amp;"|"&amp;$D9,S14_Growth_Model_ExAnte!$O$15:$O$81)*SUMIF(S14_Growth_Model_ExAnte!$AY$15:$AY$81,$C9&amp;"|"&amp;$D9,S14_Growth_Model_ExAnte!$O$15:$O$81)/$L9)/($L9-1))),IF(COUNTIF(S14_Growth_Model_ExAnte!$AZ$15:$AZ$81,$C9)&gt;=2,SQRT(MAX(0,(SUMIF(S14_Growth_Model_ExAnte!$AZ$15:$AZ$81,$C9,S14_Growth_Model_ExAnte!$BG$15:$BG$81)-SUMIF(S14_Growth_Model_ExAnte!$AZ$15:$AZ$81,$C9,S14_Growth_Model_ExAnte!$O$15:$O$81)*SUMIF(S14_Growth_Model_ExAnte!$AZ$15:$AZ$81,$C9,S14_Growth_Model_ExAnte!$O$15:$O$81)/COUNTIF(S14_Growth_Model_ExAnte!$AZ$15:$AZ$81,$C9))/(COUNTIF(S14_Growth_Model_ExAnte!$AZ$15:$AZ$81,$C9)-1))),0)))</x:f>
        <x:v>17.83728488368482</x:v>
      </x:c>
      <x:c r="J9" s="115" t="n">
        <x:f aca="0">IFERROR(I9/H9,0)</x:f>
        <x:v>0.6784370618911361</x:v>
      </x:c>
      <x:c r="K9" s="115" t="n">
        <x:f aca="0">COUNTIF(S14_Growth_Model_ExAnte!$C$15:$C$81,$B9)</x:f>
        <x:v>1</x:v>
      </x:c>
      <x:c r="L9" s="115" t="n">
        <x:f aca="0">COUNTIF(S14_Growth_Model_ExAnte!$AY$15:$AY$81,$C9&amp;"|"&amp;$D9)</x:f>
        <x:v>4</x:v>
      </x:c>
      <x:c r="M9" s="115" t="n">
        <x:f aca="0">$H9</x:f>
        <x:v>26.291731224063113</x:v>
      </x:c>
      <x:c r="N9" s="115" t="n">
        <x:f aca="0">MAX(0,$M9*S08_Defaults!$B$5)</x:f>
        <x:v>19.718798418047335</x:v>
      </x:c>
      <x:c r="O9" s="115" t="n">
        <x:f aca="0">IFERROR($N9/$M9,0)</x:f>
        <x:v>0.75</x:v>
      </x:c>
      <x:c r="P9" s="115" t="str">
        <x:f aca="0">IF($K9&gt;=2,"Exact Stratum PSP Chapman-Richards curve",IF($L9&gt;=2,"Model×Density pooled Chapman-Richards curve","Model pooled Chapman-Richards curve"))</x:f>
        <x:v>Model×Density pooled Chapman-Richards curve</x:v>
      </x:c>
      <x:c r="Q9" s="162" t="s">
        <x:v>1106</x:v>
      </x:c>
      <x:c r="R9" s="115" t="n">
        <x:f aca="0">(IF($K9&gt;=2,SUMIF(S14_Growth_Model_ExAnte!$C$15:$C$81,$B9,S14_Growth_Model_ExAnte!$I$15:$I$81)/$K9,IF($L9&gt;=2,SUMIF(S14_Growth_Model_ExAnte!$AY$15:$AY$81,$C9&amp;"|"&amp;$D9,S14_Growth_Model_ExAnte!$I$15:$I$81)/$L9,IF(COUNTIF(S14_Growth_Model_ExAnte!$AZ$15:$AZ$81,$C9)&gt;0,SUMIF(S14_Growth_Model_ExAnte!$AZ$15:$AZ$81,$C9,S14_Growth_Model_ExAnte!$I$15:$I$81)/COUNTIF(S14_Growth_Model_ExAnte!$AZ$15:$AZ$81,$C9),0))))*$O9*S08_Defaults!$B$6*(1+S08_Defaults!$B$7)*S08_Defaults!$B$8</x:f>
        <x:v>0</x:v>
      </x:c>
      <x:c r="S9" s="115" t="n">
        <x:f aca="0">(IF($K9&gt;=2,SUMIF(S14_Growth_Model_ExAnte!$C$15:$C$81,$B9,S14_Growth_Model_ExAnte!$J$15:$J$81)/$K9,IF($L9&gt;=2,SUMIF(S14_Growth_Model_ExAnte!$AY$15:$AY$81,$C9&amp;"|"&amp;$D9,S14_Growth_Model_ExAnte!$J$15:$J$81)/$L9,IF(COUNTIF(S14_Growth_Model_ExAnte!$AZ$15:$AZ$81,$C9)&gt;0,SUMIF(S14_Growth_Model_ExAnte!$AZ$15:$AZ$81,$C9,S14_Growth_Model_ExAnte!$J$15:$J$81)/COUNTIF(S14_Growth_Model_ExAnte!$AZ$15:$AZ$81,$C9),0))))*$O9*S08_Defaults!$B$6*(1+S08_Defaults!$B$7)*S08_Defaults!$B$8</x:f>
        <x:v>0.17403433875284913</x:v>
      </x:c>
      <x:c r="T9" s="115" t="n">
        <x:f aca="0">(IF($K9&gt;=2,SUMIF(S14_Growth_Model_ExAnte!$C$15:$C$81,$B9,S14_Growth_Model_ExAnte!$K$15:$K$81)/$K9,IF($L9&gt;=2,SUMIF(S14_Growth_Model_ExAnte!$AY$15:$AY$81,$C9&amp;"|"&amp;$D9,S14_Growth_Model_ExAnte!$K$15:$K$81)/$L9,IF(COUNTIF(S14_Growth_Model_ExAnte!$AZ$15:$AZ$81,$C9)&gt;0,SUMIF(S14_Growth_Model_ExAnte!$AZ$15:$AZ$81,$C9,S14_Growth_Model_ExAnte!$K$15:$K$81)/COUNTIF(S14_Growth_Model_ExAnte!$AZ$15:$AZ$81,$C9),0))))*$O9*S08_Defaults!$B$6*(1+S08_Defaults!$B$7)*S08_Defaults!$B$8</x:f>
        <x:v>1.808298795281121</x:v>
      </x:c>
      <x:c r="U9" s="115" t="n">
        <x:f aca="0">(IF($K9&gt;=2,SUMIF(S14_Growth_Model_ExAnte!$C$15:$C$81,$B9,S14_Growth_Model_ExAnte!$L$15:$L$81)/$K9,IF($L9&gt;=2,SUMIF(S14_Growth_Model_ExAnte!$AY$15:$AY$81,$C9&amp;"|"&amp;$D9,S14_Growth_Model_ExAnte!$L$15:$L$81)/$L9,IF(COUNTIF(S14_Growth_Model_ExAnte!$AZ$15:$AZ$81,$C9)&gt;0,SUMIF(S14_Growth_Model_ExAnte!$AZ$15:$AZ$81,$C9,S14_Growth_Model_ExAnte!$L$15:$L$81)/COUNTIF(S14_Growth_Model_ExAnte!$AZ$15:$AZ$81,$C9),0))))*$O9*S08_Defaults!$B$6*(1+S08_Defaults!$B$7)*S08_Defaults!$B$8</x:f>
        <x:v>6.412198758790387</x:v>
      </x:c>
      <x:c r="V9" s="115" t="n">
        <x:f aca="0">(IF($K9&gt;=2,SUMIF(S14_Growth_Model_ExAnte!$C$15:$C$81,$B9,S14_Growth_Model_ExAnte!$M$15:$M$81)/$K9,IF($L9&gt;=2,SUMIF(S14_Growth_Model_ExAnte!$AY$15:$AY$81,$C9&amp;"|"&amp;$D9,S14_Growth_Model_ExAnte!$M$15:$M$81)/$L9,IF(COUNTIF(S14_Growth_Model_ExAnte!$AZ$15:$AZ$81,$C9)&gt;0,SUMIF(S14_Growth_Model_ExAnte!$AZ$15:$AZ$81,$C9,S14_Growth_Model_ExAnte!$M$15:$M$81)/COUNTIF(S14_Growth_Model_ExAnte!$AZ$15:$AZ$81,$C9),0))))*$O9*S08_Defaults!$B$6*(1+S08_Defaults!$B$7)*S08_Defaults!$B$8</x:f>
        <x:v>14.786882216652412</x:v>
      </x:c>
      <x:c r="W9" s="115" t="n">
        <x:f aca="0">(IF($K9&gt;=2,SUMIF(S14_Growth_Model_ExAnte!$C$15:$C$81,$B9,S14_Growth_Model_ExAnte!$N$15:$N$81)/$K9,IF($L9&gt;=2,SUMIF(S14_Growth_Model_ExAnte!$AY$15:$AY$81,$C9&amp;"|"&amp;$D9,S14_Growth_Model_ExAnte!$N$15:$N$81)/$L9,IF(COUNTIF(S14_Growth_Model_ExAnte!$AZ$15:$AZ$81,$C9)&gt;0,SUMIF(S14_Growth_Model_ExAnte!$AZ$15:$AZ$81,$C9,S14_Growth_Model_ExAnte!$N$15:$N$81)/COUNTIF(S14_Growth_Model_ExAnte!$AZ$15:$AZ$81,$C9),0))))*$O9*S08_Defaults!$B$6*(1+S08_Defaults!$B$7)*S08_Defaults!$B$8</x:f>
        <x:v>26.87739423749838</x:v>
      </x:c>
      <x:c r="X9" s="115" t="n">
        <x:f aca="0">(IF($K9&gt;=2,SUMIF(S14_Growth_Model_ExAnte!$C$15:$C$81,$B9,S14_Growth_Model_ExAnte!$O$15:$O$81)/$K9,IF($L9&gt;=2,SUMIF(S14_Growth_Model_ExAnte!$AY$15:$AY$81,$C9&amp;"|"&amp;$D9,S14_Growth_Model_ExAnte!$O$15:$O$81)/$L9,IF(COUNTIF(S14_Growth_Model_ExAnte!$AZ$15:$AZ$81,$C9)&gt;0,SUMIF(S14_Growth_Model_ExAnte!$AZ$15:$AZ$81,$C9,S14_Growth_Model_ExAnte!$O$15:$O$81)/COUNTIF(S14_Growth_Model_ExAnte!$AZ$15:$AZ$81,$C9),0))))*$O9*S08_Defaults!$B$6*(1+S08_Defaults!$B$7)*S08_Defaults!$B$8</x:f>
        <x:v>42.13775763280599</x:v>
      </x:c>
      <x:c r="Y9" s="115" t="n">
        <x:f aca="0">(IF($K9&gt;=2,SUMIF(S14_Growth_Model_ExAnte!$C$15:$C$81,$B9,S14_Growth_Model_ExAnte!$P$15:$P$81)/$K9,IF($L9&gt;=2,SUMIF(S14_Growth_Model_ExAnte!$AY$15:$AY$81,$C9&amp;"|"&amp;$D9,S14_Growth_Model_ExAnte!$P$15:$P$81)/$L9,IF(COUNTIF(S14_Growth_Model_ExAnte!$AZ$15:$AZ$81,$C9)&gt;0,SUMIF(S14_Growth_Model_ExAnte!$AZ$15:$AZ$81,$C9,S14_Growth_Model_ExAnte!$P$15:$P$81)/COUNTIF(S14_Growth_Model_ExAnte!$AZ$15:$AZ$81,$C9),0))))*$O9*S08_Defaults!$B$6*(1+S08_Defaults!$B$7)*S08_Defaults!$B$8</x:f>
        <x:v>59.78260518527138</x:v>
      </x:c>
      <x:c r="Z9" s="115" t="n">
        <x:f aca="0">(IF($K9&gt;=2,SUMIF(S14_Growth_Model_ExAnte!$C$15:$C$81,$B9,S14_Growth_Model_ExAnte!$Q$15:$Q$81)/$K9,IF($L9&gt;=2,SUMIF(S14_Growth_Model_ExAnte!$AY$15:$AY$81,$C9&amp;"|"&amp;$D9,S14_Growth_Model_ExAnte!$Q$15:$Q$81)/$L9,IF(COUNTIF(S14_Growth_Model_ExAnte!$AZ$15:$AZ$81,$C9)&gt;0,SUMIF(S14_Growth_Model_ExAnte!$AZ$15:$AZ$81,$C9,S14_Growth_Model_ExAnte!$Q$15:$Q$81)/COUNTIF(S14_Growth_Model_ExAnte!$AZ$15:$AZ$81,$C9),0))))*$O9*S08_Defaults!$B$6*(1+S08_Defaults!$B$7)*S08_Defaults!$B$8</x:f>
        <x:v>78.97824156766397</x:v>
      </x:c>
      <x:c r="AA9" s="115" t="n">
        <x:f aca="0">(IF($K9&gt;=2,SUMIF(S14_Growth_Model_ExAnte!$C$15:$C$81,$B9,S14_Growth_Model_ExAnte!$R$15:$R$81)/$K9,IF($L9&gt;=2,SUMIF(S14_Growth_Model_ExAnte!$AY$15:$AY$81,$C9&amp;"|"&amp;$D9,S14_Growth_Model_ExAnte!$R$15:$R$81)/$L9,IF(COUNTIF(S14_Growth_Model_ExAnte!$AZ$15:$AZ$81,$C9)&gt;0,SUMIF(S14_Growth_Model_ExAnte!$AZ$15:$AZ$81,$C9,S14_Growth_Model_ExAnte!$R$15:$R$81)/COUNTIF(S14_Growth_Model_ExAnte!$AZ$15:$AZ$81,$C9),0))))*$O9*S08_Defaults!$B$6*(1+S08_Defaults!$B$7)*S08_Defaults!$B$8</x:f>
        <x:v>98.95602185390175</x:v>
      </x:c>
      <x:c r="AB9" s="115" t="n">
        <x:f aca="0">(IF($K9&gt;=2,SUMIF(S14_Growth_Model_ExAnte!$C$15:$C$81,$B9,S14_Growth_Model_ExAnte!$S$15:$S$81)/$K9,IF($L9&gt;=2,SUMIF(S14_Growth_Model_ExAnte!$AY$15:$AY$81,$C9&amp;"|"&amp;$D9,S14_Growth_Model_ExAnte!$S$15:$S$81)/$L9,IF(COUNTIF(S14_Growth_Model_ExAnte!$AZ$15:$AZ$81,$C9)&gt;0,SUMIF(S14_Growth_Model_ExAnte!$AZ$15:$AZ$81,$C9,S14_Growth_Model_ExAnte!$S$15:$S$81)/COUNTIF(S14_Growth_Model_ExAnte!$AZ$15:$AZ$81,$C9),0))))*$O9*S08_Defaults!$B$6*(1+S08_Defaults!$B$7)*S08_Defaults!$B$8</x:f>
        <x:v>119.06758474596045</x:v>
      </x:c>
      <x:c r="AC9" s="115" t="n">
        <x:f aca="0">(IF($K9&gt;=2,SUMIF(S14_Growth_Model_ExAnte!$C$15:$C$81,$B9,S14_Growth_Model_ExAnte!$T$15:$T$81)/$K9,IF($L9&gt;=2,SUMIF(S14_Growth_Model_ExAnte!$AY$15:$AY$81,$C9&amp;"|"&amp;$D9,S14_Growth_Model_ExAnte!$T$15:$T$81)/$L9,IF(COUNTIF(S14_Growth_Model_ExAnte!$AZ$15:$AZ$81,$C9)&gt;0,SUMIF(S14_Growth_Model_ExAnte!$AZ$15:$AZ$81,$C9,S14_Growth_Model_ExAnte!$T$15:$T$81)/COUNTIF(S14_Growth_Model_ExAnte!$AZ$15:$AZ$81,$C9),0))))*$O9*S08_Defaults!$B$6*(1+S08_Defaults!$B$7)*S08_Defaults!$B$8</x:f>
        <x:v>138.80222721919424</x:v>
      </x:c>
      <x:c r="AD9" s="115" t="n">
        <x:f aca="0">(IF($K9&gt;=2,SUMIF(S14_Growth_Model_ExAnte!$C$15:$C$81,$B9,S14_Growth_Model_ExAnte!$U$15:$U$81)/$K9,IF($L9&gt;=2,SUMIF(S14_Growth_Model_ExAnte!$AY$15:$AY$81,$C9&amp;"|"&amp;$D9,S14_Growth_Model_ExAnte!$U$15:$U$81)/$L9,IF(COUNTIF(S14_Growth_Model_ExAnte!$AZ$15:$AZ$81,$C9)&gt;0,SUMIF(S14_Growth_Model_ExAnte!$AZ$15:$AZ$81,$C9,S14_Growth_Model_ExAnte!$U$15:$U$81)/COUNTIF(S14_Growth_Model_ExAnte!$AZ$15:$AZ$81,$C9),0))))*$O9*S08_Defaults!$B$6*(1+S08_Defaults!$B$7)*S08_Defaults!$B$8</x:f>
        <x:v>157.78228035374133</x:v>
      </x:c>
      <x:c r="AE9" s="115" t="n">
        <x:f aca="0">(IF($K9&gt;=2,SUMIF(S14_Growth_Model_ExAnte!$C$15:$C$81,$B9,S14_Growth_Model_ExAnte!$V$15:$V$81)/$K9,IF($L9&gt;=2,SUMIF(S14_Growth_Model_ExAnte!$AY$15:$AY$81,$C9&amp;"|"&amp;$D9,S14_Growth_Model_ExAnte!$V$15:$V$81)/$L9,IF(COUNTIF(S14_Growth_Model_ExAnte!$AZ$15:$AZ$81,$C9)&gt;0,SUMIF(S14_Growth_Model_ExAnte!$AZ$15:$AZ$81,$C9,S14_Growth_Model_ExAnte!$V$15:$V$81)/COUNTIF(S14_Growth_Model_ExAnte!$AZ$15:$AZ$81,$C9),0))))*$O9*S08_Defaults!$B$6*(1+S08_Defaults!$B$7)*S08_Defaults!$B$8</x:f>
        <x:v>175.74738584896815</x:v>
      </x:c>
      <x:c r="AF9" s="115" t="n">
        <x:f aca="0">(IF($K9&gt;=2,SUMIF(S14_Growth_Model_ExAnte!$C$15:$C$81,$B9,S14_Growth_Model_ExAnte!$W$15:$W$81)/$K9,IF($L9&gt;=2,SUMIF(S14_Growth_Model_ExAnte!$AY$15:$AY$81,$C9&amp;"|"&amp;$D9,S14_Growth_Model_ExAnte!$W$15:$W$81)/$L9,IF(COUNTIF(S14_Growth_Model_ExAnte!$AZ$15:$AZ$81,$C9)&gt;0,SUMIF(S14_Growth_Model_ExAnte!$AZ$15:$AZ$81,$C9,S14_Growth_Model_ExAnte!$W$15:$W$81)/COUNTIF(S14_Growth_Model_ExAnte!$AZ$15:$AZ$81,$C9),0))))*$O9*S08_Defaults!$B$6*(1+S08_Defaults!$B$7)*S08_Defaults!$B$8</x:f>
        <x:v>192.53453046988696</x:v>
      </x:c>
      <x:c r="AG9" s="115" t="n">
        <x:f aca="0">(IF($K9&gt;=2,SUMIF(S14_Growth_Model_ExAnte!$C$15:$C$81,$B9,S14_Growth_Model_ExAnte!$X$15:$X$81)/$K9,IF($L9&gt;=2,SUMIF(S14_Growth_Model_ExAnte!$AY$15:$AY$81,$C9&amp;"|"&amp;$D9,S14_Growth_Model_ExAnte!$X$15:$X$81)/$L9,IF(COUNTIF(S14_Growth_Model_ExAnte!$AZ$15:$AZ$81,$C9)&gt;0,SUMIF(S14_Growth_Model_ExAnte!$AZ$15:$AZ$81,$C9,S14_Growth_Model_ExAnte!$X$15:$X$81)/COUNTIF(S14_Growth_Model_ExAnte!$AZ$15:$AZ$81,$C9),0))))*$O9*S08_Defaults!$B$6*(1+S08_Defaults!$B$7)*S08_Defaults!$B$8</x:f>
        <x:v>208.05780653042697</x:v>
      </x:c>
      <x:c r="AH9" s="115" t="n">
        <x:f aca="0">(IF($K9&gt;=2,SUMIF(S14_Growth_Model_ExAnte!$C$15:$C$81,$B9,S14_Growth_Model_ExAnte!$Y$15:$Y$81)/$K9,IF($L9&gt;=2,SUMIF(S14_Growth_Model_ExAnte!$AY$15:$AY$81,$C9&amp;"|"&amp;$D9,S14_Growth_Model_ExAnte!$Y$15:$Y$81)/$L9,IF(COUNTIF(S14_Growth_Model_ExAnte!$AZ$15:$AZ$81,$C9)&gt;0,SUMIF(S14_Growth_Model_ExAnte!$AZ$15:$AZ$81,$C9,S14_Growth_Model_ExAnte!$Y$15:$Y$81)/COUNTIF(S14_Growth_Model_ExAnte!$AZ$15:$AZ$81,$C9),0))))*$O9*S08_Defaults!$B$6*(1+S08_Defaults!$B$7)*S08_Defaults!$B$8</x:f>
        <x:v>222.2899602891645</x:v>
      </x:c>
      <x:c r="AI9" s="115" t="n">
        <x:f aca="0">(IF($K9&gt;=2,SUMIF(S14_Growth_Model_ExAnte!$C$15:$C$81,$B9,S14_Growth_Model_ExAnte!$Z$15:$Z$81)/$K9,IF($L9&gt;=2,SUMIF(S14_Growth_Model_ExAnte!$AY$15:$AY$81,$C9&amp;"|"&amp;$D9,S14_Growth_Model_ExAnte!$Z$15:$Z$81)/$L9,IF(COUNTIF(S14_Growth_Model_ExAnte!$AZ$15:$AZ$81,$C9)&gt;0,SUMIF(S14_Growth_Model_ExAnte!$AZ$15:$AZ$81,$C9,S14_Growth_Model_ExAnte!$Z$15:$Z$81)/COUNTIF(S14_Growth_Model_ExAnte!$AZ$15:$AZ$81,$C9),0))))*$O9*S08_Defaults!$B$6*(1+S08_Defaults!$B$7)*S08_Defaults!$B$8</x:f>
        <x:v>235.24661033512507</x:v>
      </x:c>
      <x:c r="AJ9" s="115" t="n">
        <x:f aca="0">(IF($K9&gt;=2,SUMIF(S14_Growth_Model_ExAnte!$C$15:$C$81,$B9,S14_Growth_Model_ExAnte!$AA$15:$AA$81)/$K9,IF($L9&gt;=2,SUMIF(S14_Growth_Model_ExAnte!$AY$15:$AY$81,$C9&amp;"|"&amp;$D9,S14_Growth_Model_ExAnte!$AA$15:$AA$81)/$L9,IF(COUNTIF(S14_Growth_Model_ExAnte!$AZ$15:$AZ$81,$C9)&gt;0,SUMIF(S14_Growth_Model_ExAnte!$AZ$15:$AZ$81,$C9,S14_Growth_Model_ExAnte!$AA$15:$AA$81)/COUNTIF(S14_Growth_Model_ExAnte!$AZ$15:$AZ$81,$C9),0))))*$O9*S08_Defaults!$B$6*(1+S08_Defaults!$B$7)*S08_Defaults!$B$8</x:f>
        <x:v>246.97333409785028</x:v>
      </x:c>
      <x:c r="AK9" s="115" t="n">
        <x:f aca="0">(IF($K9&gt;=2,SUMIF(S14_Growth_Model_ExAnte!$C$15:$C$81,$B9,S14_Growth_Model_ExAnte!$AB$15:$AB$81)/$K9,IF($L9&gt;=2,SUMIF(S14_Growth_Model_ExAnte!$AY$15:$AY$81,$C9&amp;"|"&amp;$D9,S14_Growth_Model_ExAnte!$AB$15:$AB$81)/$L9,IF(COUNTIF(S14_Growth_Model_ExAnte!$AZ$15:$AZ$81,$C9)&gt;0,SUMIF(S14_Growth_Model_ExAnte!$AZ$15:$AZ$81,$C9,S14_Growth_Model_ExAnte!$AB$15:$AB$81)/COUNTIF(S14_Growth_Model_ExAnte!$AZ$15:$AZ$81,$C9),0))))*$O9*S08_Defaults!$B$6*(1+S08_Defaults!$B$7)*S08_Defaults!$B$8</x:f>
        <x:v>257.53545652664155</x:v>
      </x:c>
      <x:c r="AL9" s="115" t="n">
        <x:f aca="0">(IF($K9&gt;=2,SUMIF(S14_Growth_Model_ExAnte!$C$15:$C$81,$B9,S14_Growth_Model_ExAnte!$AC$15:$AC$81)/$K9,IF($L9&gt;=2,SUMIF(S14_Growth_Model_ExAnte!$AY$15:$AY$81,$C9&amp;"|"&amp;$D9,S14_Growth_Model_ExAnte!$AC$15:$AC$81)/$L9,IF(COUNTIF(S14_Growth_Model_ExAnte!$AZ$15:$AZ$81,$C9)&gt;0,SUMIF(S14_Growth_Model_ExAnte!$AZ$15:$AZ$81,$C9,S14_Growth_Model_ExAnte!$AC$15:$AC$81)/COUNTIF(S14_Growth_Model_ExAnte!$AZ$15:$AZ$81,$C9),0))))*$O9*S08_Defaults!$B$6*(1+S08_Defaults!$B$7)*S08_Defaults!$B$8</x:f>
        <x:v>267.01020723603096</x:v>
      </x:c>
      <x:c r="AM9" s="115" t="n">
        <x:f aca="0">R9</x:f>
        <x:v>0</x:v>
      </x:c>
      <x:c r="AN9" s="115" t="n">
        <x:f aca="0">S9-R9</x:f>
        <x:v>0.17403433875284913</x:v>
      </x:c>
      <x:c r="AO9" s="115" t="n">
        <x:f aca="0">T9-S9</x:f>
        <x:v>1.6342644565282718</x:v>
      </x:c>
      <x:c r="AP9" s="115" t="n">
        <x:f aca="0">U9-T9</x:f>
        <x:v>4.603899963509266</x:v>
      </x:c>
      <x:c r="AQ9" s="115" t="n">
        <x:f aca="0">V9-U9</x:f>
        <x:v>8.374683457862025</x:v>
      </x:c>
      <x:c r="AR9" s="115" t="n">
        <x:f aca="0">W9-V9</x:f>
        <x:v>12.090512020845967</x:v>
      </x:c>
      <x:c r="AS9" s="115" t="n">
        <x:f aca="0">X9-W9</x:f>
        <x:v>15.260363395307614</x:v>
      </x:c>
      <x:c r="AT9" s="115" t="n">
        <x:f aca="0">Y9-X9</x:f>
        <x:v>17.644847552465386</x:v>
      </x:c>
      <x:c r="AU9" s="115" t="n">
        <x:f aca="0">Z9-Y9</x:f>
        <x:v>19.195636382392593</x:v>
      </x:c>
      <x:c r="AV9" s="115" t="n">
        <x:f aca="0">AA9-Z9</x:f>
        <x:v>19.977780286237774</x:v>
      </x:c>
      <x:c r="AW9" s="115" t="n">
        <x:f aca="0">AB9-AA9</x:f>
        <x:v>20.1115628920587</x:v>
      </x:c>
      <x:c r="AX9" s="115" t="n">
        <x:f aca="0">AC9-AB9</x:f>
        <x:v>19.73464247323379</x:v>
      </x:c>
      <x:c r="AY9" s="115" t="n">
        <x:f aca="0">AD9-AC9</x:f>
        <x:v>18.98005313454709</x:v>
      </x:c>
      <x:c r="AZ9" s="115" t="n">
        <x:f aca="0">AE9-AD9</x:f>
        <x:v>17.965105495226823</x:v>
      </x:c>
      <x:c r="BA9" s="115" t="n">
        <x:f aca="0">AF9-AE9</x:f>
        <x:v>16.78714462091881</x:v>
      </x:c>
      <x:c r="BB9" s="115" t="n">
        <x:f aca="0">AG9-AF9</x:f>
        <x:v>15.523276060540013</x:v>
      </x:c>
      <x:c r="BC9" s="115" t="n">
        <x:f aca="0">AH9-AG9</x:f>
        <x:v>14.232153758737525</x:v>
      </x:c>
      <x:c r="BD9" s="115" t="n">
        <x:f aca="0">AI9-AH9</x:f>
        <x:v>12.956650045960572</x:v>
      </x:c>
      <x:c r="BE9" s="115" t="n">
        <x:f aca="0">AJ9-AI9</x:f>
        <x:v>11.726723762725214</x:v>
      </x:c>
      <x:c r="BF9" s="115" t="n">
        <x:f aca="0">AK9-AJ9</x:f>
        <x:v>10.56212242879127</x:v>
      </x:c>
      <x:c r="BG9" s="115" t="n">
        <x:f aca="0">AL9-AK9</x:f>
        <x:v>9.474750709389411</x:v>
      </x:c>
    </x:row>
    <x:row r="10" ht="15" hidden="0" customHeight="1">
      <x:c r="A10" s="160" t="str">
        <x:f aca="0">"S"&amp;TEXT(ROW()-3,"00")</x:f>
        <x:v>S07</x:v>
      </x:c>
      <x:c r="B10" s="161" t="s">
        <x:v>654</x:v>
      </x:c>
      <x:c r="C10" s="160" t="str">
        <x:f aca="0">LEFT($B10,FIND("|",$B10)-1)</x:f>
        <x:v>Timber Plantation</x:v>
      </x:c>
      <x:c r="D10" s="160" t="str">
        <x:f aca="0">MID($B10,FIND("|",$B10)+1,FIND("|",$B10,FIND("|",$B10)+1)-FIND("|",$B10)-1)</x:f>
        <x:v>High</x:v>
      </x:c>
      <x:c r="E10" s="160" t="n">
        <x:f aca="0">VALUE(RIGHT($B10,4))</x:f>
        <x:v>2020</x:v>
      </x:c>
      <x:c r="F10" s="115" t="n">
        <x:f aca="0">SUMIF(S17_Biome_Strata!$G$4:$G$95,$B10,S17_Biome_Strata!$E$4:$E$95)</x:f>
        <x:v>175</x:v>
      </x:c>
      <x:c r="G10" s="115" t="n">
        <x:f aca="0">SUMIF(S17_Biome_Strata!$G$4:$G$95,$B10,S17_Biome_Strata!$F$4:$F$95)</x:f>
        <x:v>63.074651679482</x:v>
      </x:c>
      <x:c r="H10" s="115" t="n">
        <x:f aca="0">IF($K10&gt;=2,SUMIF(S14_Growth_Model_ExAnte!$C$15:$C$81,$B10,S14_Growth_Model_ExAnte!$O$15:$O$81)/$K10,IF($L10&gt;=2,SUMIF(S14_Growth_Model_ExAnte!$AY$15:$AY$81,$C10&amp;"|"&amp;$D10,S14_Growth_Model_ExAnte!$O$15:$O$81)/$L10,IF(COUNTIF(S14_Growth_Model_ExAnte!$AZ$15:$AZ$81,$C10)&gt;0,SUMIF(S14_Growth_Model_ExAnte!$AZ$15:$AZ$81,$C10,S14_Growth_Model_ExAnte!$O$15:$O$81)/COUNTIF(S14_Growth_Model_ExAnte!$AZ$15:$AZ$81,$C10),0)))</x:f>
        <x:v>1027.020452896974</x:v>
      </x:c>
      <x:c r="I10" s="115" t="n">
        <x:f aca="0">IF($K10&gt;=2,SQRT(MAX(0,(SUMIF(S14_Growth_Model_ExAnte!$C$15:$C$81,$B10,S14_Growth_Model_ExAnte!$BG$15:$BG$81)-SUMIF(S14_Growth_Model_ExAnte!$C$15:$C$81,$B10,S14_Growth_Model_ExAnte!$O$15:$O$81)*SUMIF(S14_Growth_Model_ExAnte!$C$15:$C$81,$B10,S14_Growth_Model_ExAnte!$O$15:$O$81)/$K10)/($K10-1))),IF($L10&gt;=2,SQRT(MAX(0,(SUMIF(S14_Growth_Model_ExAnte!$AY$15:$AY$81,$C10&amp;"|"&amp;$D10,S14_Growth_Model_ExAnte!$BG$15:$BG$81)-SUMIF(S14_Growth_Model_ExAnte!$AY$15:$AY$81,$C10&amp;"|"&amp;$D10,S14_Growth_Model_ExAnte!$O$15:$O$81)*SUMIF(S14_Growth_Model_ExAnte!$AY$15:$AY$81,$C10&amp;"|"&amp;$D10,S14_Growth_Model_ExAnte!$O$15:$O$81)/$L10)/($L10-1))),IF(COUNTIF(S14_Growth_Model_ExAnte!$AZ$15:$AZ$81,$C10)&gt;=2,SQRT(MAX(0,(SUMIF(S14_Growth_Model_ExAnte!$AZ$15:$AZ$81,$C10,S14_Growth_Model_ExAnte!$BG$15:$BG$81)-SUMIF(S14_Growth_Model_ExAnte!$AZ$15:$AZ$81,$C10,S14_Growth_Model_ExAnte!$O$15:$O$81)*SUMIF(S14_Growth_Model_ExAnte!$AZ$15:$AZ$81,$C10,S14_Growth_Model_ExAnte!$O$15:$O$81)/COUNTIF(S14_Growth_Model_ExAnte!$AZ$15:$AZ$81,$C10))/(COUNTIF(S14_Growth_Model_ExAnte!$AZ$15:$AZ$81,$C10)-1))),0)))</x:f>
        <x:v>579.9802734106408</x:v>
      </x:c>
      <x:c r="J10" s="115" t="n">
        <x:f aca="0">IFERROR(I10/H10,0)</x:f>
        <x:v>0.5647212494889057</x:v>
      </x:c>
      <x:c r="K10" s="115" t="n">
        <x:f aca="0">COUNTIF(S14_Growth_Model_ExAnte!$C$15:$C$81,$B10)</x:f>
        <x:v>8</x:v>
      </x:c>
      <x:c r="L10" s="115" t="n">
        <x:f aca="0">COUNTIF(S14_Growth_Model_ExAnte!$AY$15:$AY$81,$C10&amp;"|"&amp;$D10)</x:f>
        <x:v>8</x:v>
      </x:c>
      <x:c r="M10" s="115" t="n">
        <x:f aca="0">$H10</x:f>
        <x:v>1027.020452896974</x:v>
      </x:c>
      <x:c r="N10" s="115" t="n">
        <x:f aca="0">MAX(0,$M10*S08_Defaults!$B$5)</x:f>
        <x:v>770.2653396727304</x:v>
      </x:c>
      <x:c r="O10" s="115" t="n">
        <x:f aca="0">IFERROR($N10/$M10,0)</x:f>
        <x:v>0.75</x:v>
      </x:c>
      <x:c r="P10" s="115" t="str">
        <x:f aca="0">IF($K10&gt;=2,"Exact Stratum PSP Chapman-Richards curve",IF($L10&gt;=2,"Model×Density pooled Chapman-Richards curve","Model pooled Chapman-Richards curve"))</x:f>
        <x:v>Exact Stratum PSP Chapman-Richards curve</x:v>
      </x:c>
      <x:c r="Q10" s="162" t="s">
        <x:v>1106</x:v>
      </x:c>
      <x:c r="R10" s="115" t="n">
        <x:f aca="0">(IF($K10&gt;=2,SUMIF(S14_Growth_Model_ExAnte!$C$15:$C$81,$B10,S14_Growth_Model_ExAnte!$I$15:$I$81)/$K10,IF($L10&gt;=2,SUMIF(S14_Growth_Model_ExAnte!$AY$15:$AY$81,$C10&amp;"|"&amp;$D10,S14_Growth_Model_ExAnte!$I$15:$I$81)/$L10,IF(COUNTIF(S14_Growth_Model_ExAnte!$AZ$15:$AZ$81,$C10)&gt;0,SUMIF(S14_Growth_Model_ExAnte!$AZ$15:$AZ$81,$C10,S14_Growth_Model_ExAnte!$I$15:$I$81)/COUNTIF(S14_Growth_Model_ExAnte!$AZ$15:$AZ$81,$C10),0))))*$O10*S08_Defaults!$B$6*(1+S08_Defaults!$B$7)*S08_Defaults!$B$8</x:f>
        <x:v>0</x:v>
      </x:c>
      <x:c r="S10" s="115" t="n">
        <x:f aca="0">(IF($K10&gt;=2,SUMIF(S14_Growth_Model_ExAnte!$C$15:$C$81,$B10,S14_Growth_Model_ExAnte!$J$15:$J$81)/$K10,IF($L10&gt;=2,SUMIF(S14_Growth_Model_ExAnte!$AY$15:$AY$81,$C10&amp;"|"&amp;$D10,S14_Growth_Model_ExAnte!$J$15:$J$81)/$L10,IF(COUNTIF(S14_Growth_Model_ExAnte!$AZ$15:$AZ$81,$C10)&gt;0,SUMIF(S14_Growth_Model_ExAnte!$AZ$15:$AZ$81,$C10,S14_Growth_Model_ExAnte!$J$15:$J$81)/COUNTIF(S14_Growth_Model_ExAnte!$AZ$15:$AZ$81,$C10),0))))*$O10*S08_Defaults!$B$6*(1+S08_Defaults!$B$7)*S08_Defaults!$B$8</x:f>
        <x:v>9.46686943239219</x:v>
      </x:c>
      <x:c r="T10" s="115" t="n">
        <x:f aca="0">(IF($K10&gt;=2,SUMIF(S14_Growth_Model_ExAnte!$C$15:$C$81,$B10,S14_Growth_Model_ExAnte!$K$15:$K$81)/$K10,IF($L10&gt;=2,SUMIF(S14_Growth_Model_ExAnte!$AY$15:$AY$81,$C10&amp;"|"&amp;$D10,S14_Growth_Model_ExAnte!$K$15:$K$81)/$L10,IF(COUNTIF(S14_Growth_Model_ExAnte!$AZ$15:$AZ$81,$C10)&gt;0,SUMIF(S14_Growth_Model_ExAnte!$AZ$15:$AZ$81,$C10,S14_Growth_Model_ExAnte!$K$15:$K$81)/COUNTIF(S14_Growth_Model_ExAnte!$AZ$15:$AZ$81,$C10),0))))*$O10*S08_Defaults!$B$6*(1+S08_Defaults!$B$7)*S08_Defaults!$B$8</x:f>
        <x:v>88.93077941101656</x:v>
      </x:c>
      <x:c r="U10" s="115" t="n">
        <x:f aca="0">(IF($K10&gt;=2,SUMIF(S14_Growth_Model_ExAnte!$C$15:$C$81,$B10,S14_Growth_Model_ExAnte!$L$15:$L$81)/$K10,IF($L10&gt;=2,SUMIF(S14_Growth_Model_ExAnte!$AY$15:$AY$81,$C10&amp;"|"&amp;$D10,S14_Growth_Model_ExAnte!$L$15:$L$81)/$L10,IF(COUNTIF(S14_Growth_Model_ExAnte!$AZ$15:$AZ$81,$C10)&gt;0,SUMIF(S14_Growth_Model_ExAnte!$AZ$15:$AZ$81,$C10,S14_Growth_Model_ExAnte!$L$15:$L$81)/COUNTIF(S14_Growth_Model_ExAnte!$AZ$15:$AZ$81,$C10),0))))*$O10*S08_Defaults!$B$6*(1+S08_Defaults!$B$7)*S08_Defaults!$B$8</x:f>
        <x:v>293.1760262106486</x:v>
      </x:c>
      <x:c r="V10" s="115" t="n">
        <x:f aca="0">(IF($K10&gt;=2,SUMIF(S14_Growth_Model_ExAnte!$C$15:$C$81,$B10,S14_Growth_Model_ExAnte!$M$15:$M$81)/$K10,IF($L10&gt;=2,SUMIF(S14_Growth_Model_ExAnte!$AY$15:$AY$81,$C10&amp;"|"&amp;$D10,S14_Growth_Model_ExAnte!$M$15:$M$81)/$L10,IF(COUNTIF(S14_Growth_Model_ExAnte!$AZ$15:$AZ$81,$C10)&gt;0,SUMIF(S14_Growth_Model_ExAnte!$AZ$15:$AZ$81,$C10,S14_Growth_Model_ExAnte!$M$15:$M$81)/COUNTIF(S14_Growth_Model_ExAnte!$AZ$15:$AZ$81,$C10),0))))*$O10*S08_Defaults!$B$6*(1+S08_Defaults!$B$7)*S08_Defaults!$B$8</x:f>
        <x:v>636.828115363571</x:v>
      </x:c>
      <x:c r="W10" s="115" t="n">
        <x:f aca="0">(IF($K10&gt;=2,SUMIF(S14_Growth_Model_ExAnte!$C$15:$C$81,$B10,S14_Growth_Model_ExAnte!$N$15:$N$81)/$K10,IF($L10&gt;=2,SUMIF(S14_Growth_Model_ExAnte!$AY$15:$AY$81,$C10&amp;"|"&amp;$D10,S14_Growth_Model_ExAnte!$N$15:$N$81)/$L10,IF(COUNTIF(S14_Growth_Model_ExAnte!$AZ$15:$AZ$81,$C10)&gt;0,SUMIF(S14_Growth_Model_ExAnte!$AZ$15:$AZ$81,$C10,S14_Growth_Model_ExAnte!$N$15:$N$81)/COUNTIF(S14_Growth_Model_ExAnte!$AZ$15:$AZ$81,$C10),0))))*$O10*S08_Defaults!$B$6*(1+S08_Defaults!$B$7)*S08_Defaults!$B$8</x:f>
        <x:v>1099.2043465568422</x:v>
      </x:c>
      <x:c r="X10" s="115" t="n">
        <x:f aca="0">(IF($K10&gt;=2,SUMIF(S14_Growth_Model_ExAnte!$C$15:$C$81,$B10,S14_Growth_Model_ExAnte!$O$15:$O$81)/$K10,IF($L10&gt;=2,SUMIF(S14_Growth_Model_ExAnte!$AY$15:$AY$81,$C10&amp;"|"&amp;$D10,S14_Growth_Model_ExAnte!$O$15:$O$81)/$L10,IF(COUNTIF(S14_Growth_Model_ExAnte!$AZ$15:$AZ$81,$C10)&gt;0,SUMIF(S14_Growth_Model_ExAnte!$AZ$15:$AZ$81,$C10,S14_Growth_Model_ExAnte!$O$15:$O$81)/COUNTIF(S14_Growth_Model_ExAnte!$AZ$15:$AZ$81,$C10),0))))*$O10*S08_Defaults!$B$6*(1+S08_Defaults!$B$7)*S08_Defaults!$B$8</x:f>
        <x:v>1646.0056798579817</x:v>
      </x:c>
      <x:c r="Y10" s="115" t="n">
        <x:f aca="0">(IF($K10&gt;=2,SUMIF(S14_Growth_Model_ExAnte!$C$15:$C$81,$B10,S14_Growth_Model_ExAnte!$P$15:$P$81)/$K10,IF($L10&gt;=2,SUMIF(S14_Growth_Model_ExAnte!$AY$15:$AY$81,$C10&amp;"|"&amp;$D10,S14_Growth_Model_ExAnte!$P$15:$P$81)/$L10,IF(COUNTIF(S14_Growth_Model_ExAnte!$AZ$15:$AZ$81,$C10)&gt;0,SUMIF(S14_Growth_Model_ExAnte!$AZ$15:$AZ$81,$C10,S14_Growth_Model_ExAnte!$P$15:$P$81)/COUNTIF(S14_Growth_Model_ExAnte!$AZ$15:$AZ$81,$C10),0))))*$O10*S08_Defaults!$B$6*(1+S08_Defaults!$B$7)*S08_Defaults!$B$8</x:f>
        <x:v>2240.6839007197077</x:v>
      </x:c>
      <x:c r="Z10" s="115" t="n">
        <x:f aca="0">(IF($K10&gt;=2,SUMIF(S14_Growth_Model_ExAnte!$C$15:$C$81,$B10,S14_Growth_Model_ExAnte!$Q$15:$Q$81)/$K10,IF($L10&gt;=2,SUMIF(S14_Growth_Model_ExAnte!$AY$15:$AY$81,$C10&amp;"|"&amp;$D10,S14_Growth_Model_ExAnte!$Q$15:$Q$81)/$L10,IF(COUNTIF(S14_Growth_Model_ExAnte!$AZ$15:$AZ$81,$C10)&gt;0,SUMIF(S14_Growth_Model_ExAnte!$AZ$15:$AZ$81,$C10,S14_Growth_Model_ExAnte!$Q$15:$Q$81)/COUNTIF(S14_Growth_Model_ExAnte!$AZ$15:$AZ$81,$C10),0))))*$O10*S08_Defaults!$B$6*(1+S08_Defaults!$B$7)*S08_Defaults!$B$8</x:f>
        <x:v>2851.03428183889</x:v>
      </x:c>
      <x:c r="AA10" s="115" t="n">
        <x:f aca="0">(IF($K10&gt;=2,SUMIF(S14_Growth_Model_ExAnte!$C$15:$C$81,$B10,S14_Growth_Model_ExAnte!$R$15:$R$81)/$K10,IF($L10&gt;=2,SUMIF(S14_Growth_Model_ExAnte!$AY$15:$AY$81,$C10&amp;"|"&amp;$D10,S14_Growth_Model_ExAnte!$R$15:$R$81)/$L10,IF(COUNTIF(S14_Growth_Model_ExAnte!$AZ$15:$AZ$81,$C10)&gt;0,SUMIF(S14_Growth_Model_ExAnte!$AZ$15:$AZ$81,$C10,S14_Growth_Model_ExAnte!$R$15:$R$81)/COUNTIF(S14_Growth_Model_ExAnte!$AZ$15:$AZ$81,$C10),0))))*$O10*S08_Defaults!$B$6*(1+S08_Defaults!$B$7)*S08_Defaults!$B$8</x:f>
        <x:v>3451.8117555456984</x:v>
      </x:c>
      <x:c r="AB10" s="115" t="n">
        <x:f aca="0">(IF($K10&gt;=2,SUMIF(S14_Growth_Model_ExAnte!$C$15:$C$81,$B10,S14_Growth_Model_ExAnte!$S$15:$S$81)/$K10,IF($L10&gt;=2,SUMIF(S14_Growth_Model_ExAnte!$AY$15:$AY$81,$C10&amp;"|"&amp;$D10,S14_Growth_Model_ExAnte!$S$15:$S$81)/$L10,IF(COUNTIF(S14_Growth_Model_ExAnte!$AZ$15:$AZ$81,$C10)&gt;0,SUMIF(S14_Growth_Model_ExAnte!$AZ$15:$AZ$81,$C10,S14_Growth_Model_ExAnte!$S$15:$S$81)/COUNTIF(S14_Growth_Model_ExAnte!$AZ$15:$AZ$81,$C10),0))))*$O10*S08_Defaults!$B$6*(1+S08_Defaults!$B$7)*S08_Defaults!$B$8</x:f>
        <x:v>4025.030790078594</x:v>
      </x:c>
      <x:c r="AC10" s="115" t="n">
        <x:f aca="0">(IF($K10&gt;=2,SUMIF(S14_Growth_Model_ExAnte!$C$15:$C$81,$B10,S14_Growth_Model_ExAnte!$T$15:$T$81)/$K10,IF($L10&gt;=2,SUMIF(S14_Growth_Model_ExAnte!$AY$15:$AY$81,$C10&amp;"|"&amp;$D10,S14_Growth_Model_ExAnte!$T$15:$T$81)/$L10,IF(COUNTIF(S14_Growth_Model_ExAnte!$AZ$15:$AZ$81,$C10)&gt;0,SUMIF(S14_Growth_Model_ExAnte!$AZ$15:$AZ$81,$C10,S14_Growth_Model_ExAnte!$T$15:$T$81)/COUNTIF(S14_Growth_Model_ExAnte!$AZ$15:$AZ$81,$C10),0))))*$O10*S08_Defaults!$B$6*(1+S08_Defaults!$B$7)*S08_Defaults!$B$8</x:f>
        <x:v>4559.126358170222</x:v>
      </x:c>
      <x:c r="AD10" s="115" t="n">
        <x:f aca="0">(IF($K10&gt;=2,SUMIF(S14_Growth_Model_ExAnte!$C$15:$C$81,$B10,S14_Growth_Model_ExAnte!$U$15:$U$81)/$K10,IF($L10&gt;=2,SUMIF(S14_Growth_Model_ExAnte!$AY$15:$AY$81,$C10&amp;"|"&amp;$D10,S14_Growth_Model_ExAnte!$U$15:$U$81)/$L10,IF(COUNTIF(S14_Growth_Model_ExAnte!$AZ$15:$AZ$81,$C10)&gt;0,SUMIF(S14_Growth_Model_ExAnte!$AZ$15:$AZ$81,$C10,S14_Growth_Model_ExAnte!$U$15:$U$81)/COUNTIF(S14_Growth_Model_ExAnte!$AZ$15:$AZ$81,$C10),0))))*$O10*S08_Defaults!$B$6*(1+S08_Defaults!$B$7)*S08_Defaults!$B$8</x:f>
        <x:v>5047.694563689464</x:v>
      </x:c>
      <x:c r="AE10" s="115" t="n">
        <x:f aca="0">(IF($K10&gt;=2,SUMIF(S14_Growth_Model_ExAnte!$C$15:$C$81,$B10,S14_Growth_Model_ExAnte!$V$15:$V$81)/$K10,IF($L10&gt;=2,SUMIF(S14_Growth_Model_ExAnte!$AY$15:$AY$81,$C10&amp;"|"&amp;$D10,S14_Growth_Model_ExAnte!$V$15:$V$81)/$L10,IF(COUNTIF(S14_Growth_Model_ExAnte!$AZ$15:$AZ$81,$C10)&gt;0,SUMIF(S14_Growth_Model_ExAnte!$AZ$15:$AZ$81,$C10,S14_Growth_Model_ExAnte!$V$15:$V$81)/COUNTIF(S14_Growth_Model_ExAnte!$AZ$15:$AZ$81,$C10),0))))*$O10*S08_Defaults!$B$6*(1+S08_Defaults!$B$7)*S08_Defaults!$B$8</x:f>
        <x:v>5488.202382089278</x:v>
      </x:c>
      <x:c r="AF10" s="115" t="n">
        <x:f aca="0">(IF($K10&gt;=2,SUMIF(S14_Growth_Model_ExAnte!$C$15:$C$81,$B10,S14_Growth_Model_ExAnte!$W$15:$W$81)/$K10,IF($L10&gt;=2,SUMIF(S14_Growth_Model_ExAnte!$AY$15:$AY$81,$C10&amp;"|"&amp;$D10,S14_Growth_Model_ExAnte!$W$15:$W$81)/$L10,IF(COUNTIF(S14_Growth_Model_ExAnte!$AZ$15:$AZ$81,$C10)&gt;0,SUMIF(S14_Growth_Model_ExAnte!$AZ$15:$AZ$81,$C10,S14_Growth_Model_ExAnte!$W$15:$W$81)/COUNTIF(S14_Growth_Model_ExAnte!$AZ$15:$AZ$81,$C10),0))))*$O10*S08_Defaults!$B$6*(1+S08_Defaults!$B$7)*S08_Defaults!$B$8</x:f>
        <x:v>5880.848744130731</x:v>
      </x:c>
      <x:c r="AG10" s="115" t="n">
        <x:f aca="0">(IF($K10&gt;=2,SUMIF(S14_Growth_Model_ExAnte!$C$15:$C$81,$B10,S14_Growth_Model_ExAnte!$X$15:$X$81)/$K10,IF($L10&gt;=2,SUMIF(S14_Growth_Model_ExAnte!$AY$15:$AY$81,$C10&amp;"|"&amp;$D10,S14_Growth_Model_ExAnte!$X$15:$X$81)/$L10,IF(COUNTIF(S14_Growth_Model_ExAnte!$AZ$15:$AZ$81,$C10)&gt;0,SUMIF(S14_Growth_Model_ExAnte!$AZ$15:$AZ$81,$C10,S14_Growth_Model_ExAnte!$X$15:$X$81)/COUNTIF(S14_Growth_Model_ExAnte!$AZ$15:$AZ$81,$C10),0))))*$O10*S08_Defaults!$B$6*(1+S08_Defaults!$B$7)*S08_Defaults!$B$8</x:f>
        <x:v>6227.6404276265985</x:v>
      </x:c>
      <x:c r="AH10" s="115" t="n">
        <x:f aca="0">(IF($K10&gt;=2,SUMIF(S14_Growth_Model_ExAnte!$C$15:$C$81,$B10,S14_Growth_Model_ExAnte!$Y$15:$Y$81)/$K10,IF($L10&gt;=2,SUMIF(S14_Growth_Model_ExAnte!$AY$15:$AY$81,$C10&amp;"|"&amp;$D10,S14_Growth_Model_ExAnte!$Y$15:$Y$81)/$L10,IF(COUNTIF(S14_Growth_Model_ExAnte!$AZ$15:$AZ$81,$C10)&gt;0,SUMIF(S14_Growth_Model_ExAnte!$AZ$15:$AZ$81,$C10,S14_Growth_Model_ExAnte!$Y$15:$Y$81)/COUNTIF(S14_Growth_Model_ExAnte!$AZ$15:$AZ$81,$C10),0))))*$O10*S08_Defaults!$B$6*(1+S08_Defaults!$B$7)*S08_Defaults!$B$8</x:f>
        <x:v>6531.684451358122</x:v>
      </x:c>
      <x:c r="AI10" s="115" t="n">
        <x:f aca="0">(IF($K10&gt;=2,SUMIF(S14_Growth_Model_ExAnte!$C$15:$C$81,$B10,S14_Growth_Model_ExAnte!$Z$15:$Z$81)/$K10,IF($L10&gt;=2,SUMIF(S14_Growth_Model_ExAnte!$AY$15:$AY$81,$C10&amp;"|"&amp;$D10,S14_Growth_Model_ExAnte!$Z$15:$Z$81)/$L10,IF(COUNTIF(S14_Growth_Model_ExAnte!$AZ$15:$AZ$81,$C10)&gt;0,SUMIF(S14_Growth_Model_ExAnte!$AZ$15:$AZ$81,$C10,S14_Growth_Model_ExAnte!$Z$15:$Z$81)/COUNTIF(S14_Growth_Model_ExAnte!$AZ$15:$AZ$81,$C10),0))))*$O10*S08_Defaults!$B$6*(1+S08_Defaults!$B$7)*S08_Defaults!$B$8</x:f>
        <x:v>6796.670771173728</x:v>
      </x:c>
      <x:c r="AJ10" s="115" t="n">
        <x:f aca="0">(IF($K10&gt;=2,SUMIF(S14_Growth_Model_ExAnte!$C$15:$C$81,$B10,S14_Growth_Model_ExAnte!$AA$15:$AA$81)/$K10,IF($L10&gt;=2,SUMIF(S14_Growth_Model_ExAnte!$AY$15:$AY$81,$C10&amp;"|"&amp;$D10,S14_Growth_Model_ExAnte!$AA$15:$AA$81)/$L10,IF(COUNTIF(S14_Growth_Model_ExAnte!$AZ$15:$AZ$81,$C10)&gt;0,SUMIF(S14_Growth_Model_ExAnte!$AZ$15:$AZ$81,$C10,S14_Growth_Model_ExAnte!$AA$15:$AA$81)/COUNTIF(S14_Growth_Model_ExAnte!$AZ$15:$AZ$81,$C10),0))))*$O10*S08_Defaults!$B$6*(1+S08_Defaults!$B$7)*S08_Defaults!$B$8</x:f>
        <x:v>7026.509892919597</x:v>
      </x:c>
      <x:c r="AK10" s="115" t="n">
        <x:f aca="0">(IF($K10&gt;=2,SUMIF(S14_Growth_Model_ExAnte!$C$15:$C$81,$B10,S14_Growth_Model_ExAnte!$AB$15:$AB$81)/$K10,IF($L10&gt;=2,SUMIF(S14_Growth_Model_ExAnte!$AY$15:$AY$81,$C10&amp;"|"&amp;$D10,S14_Growth_Model_ExAnte!$AB$15:$AB$81)/$L10,IF(COUNTIF(S14_Growth_Model_ExAnte!$AZ$15:$AZ$81,$C10)&gt;0,SUMIF(S14_Growth_Model_ExAnte!$AZ$15:$AZ$81,$C10,S14_Growth_Model_ExAnte!$AB$15:$AB$81)/COUNTIF(S14_Growth_Model_ExAnte!$AZ$15:$AZ$81,$C10),0))))*$O10*S08_Defaults!$B$6*(1+S08_Defaults!$B$7)*S08_Defaults!$B$8</x:f>
        <x:v>7225.090287801521</x:v>
      </x:c>
      <x:c r="AL10" s="115" t="n">
        <x:f aca="0">(IF($K10&gt;=2,SUMIF(S14_Growth_Model_ExAnte!$C$15:$C$81,$B10,S14_Growth_Model_ExAnte!$AC$15:$AC$81)/$K10,IF($L10&gt;=2,SUMIF(S14_Growth_Model_ExAnte!$AY$15:$AY$81,$C10&amp;"|"&amp;$D10,S14_Growth_Model_ExAnte!$AC$15:$AC$81)/$L10,IF(COUNTIF(S14_Growth_Model_ExAnte!$AZ$15:$AZ$81,$C10)&gt;0,SUMIF(S14_Growth_Model_ExAnte!$AZ$15:$AZ$81,$C10,S14_Growth_Model_ExAnte!$AC$15:$AC$81)/COUNTIF(S14_Growth_Model_ExAnte!$AZ$15:$AZ$81,$C10),0))))*$O10*S08_Defaults!$B$6*(1+S08_Defaults!$B$7)*S08_Defaults!$B$8</x:f>
        <x:v>7396.124911459077</x:v>
      </x:c>
      <x:c r="AM10" s="115" t="n">
        <x:f aca="0">R10</x:f>
        <x:v>0</x:v>
      </x:c>
      <x:c r="AN10" s="115" t="n">
        <x:f aca="0">S10-R10</x:f>
        <x:v>9.46686943239219</x:v>
      </x:c>
      <x:c r="AO10" s="115" t="n">
        <x:f aca="0">T10-S10</x:f>
        <x:v>79.46390997862437</x:v>
      </x:c>
      <x:c r="AP10" s="115" t="n">
        <x:f aca="0">U10-T10</x:f>
        <x:v>204.24524679963207</x:v>
      </x:c>
      <x:c r="AQ10" s="115" t="n">
        <x:f aca="0">V10-U10</x:f>
        <x:v>343.6520891529224</x:v>
      </x:c>
      <x:c r="AR10" s="115" t="n">
        <x:f aca="0">W10-V10</x:f>
        <x:v>462.3762311932712</x:v>
      </x:c>
      <x:c r="AS10" s="115" t="n">
        <x:f aca="0">X10-W10</x:f>
        <x:v>546.8013333011395</x:v>
      </x:c>
      <x:c r="AT10" s="115" t="n">
        <x:f aca="0">Y10-X10</x:f>
        <x:v>594.678220861726</x:v>
      </x:c>
      <x:c r="AU10" s="115" t="n">
        <x:f aca="0">Z10-Y10</x:f>
        <x:v>610.3503811191822</x:v>
      </x:c>
      <x:c r="AV10" s="115" t="n">
        <x:f aca="0">AA10-Z10</x:f>
        <x:v>600.7774737068085</x:v>
      </x:c>
      <x:c r="AW10" s="115" t="n">
        <x:f aca="0">AB10-AA10</x:f>
        <x:v>573.2190345328954</x:v>
      </x:c>
      <x:c r="AX10" s="115" t="n">
        <x:f aca="0">AC10-AB10</x:f>
        <x:v>534.0955680916286</x:v>
      </x:c>
      <x:c r="AY10" s="115" t="n">
        <x:f aca="0">AD10-AC10</x:f>
        <x:v>488.5682055192419</x:v>
      </x:c>
      <x:c r="AZ10" s="115" t="n">
        <x:f aca="0">AE10-AD10</x:f>
        <x:v>440.5078183998139</x:v>
      </x:c>
      <x:c r="BA10" s="115" t="n">
        <x:f aca="0">AF10-AE10</x:f>
        <x:v>392.64636204145245</x:v>
      </x:c>
      <x:c r="BB10" s="115" t="n">
        <x:f aca="0">AG10-AF10</x:f>
        <x:v>346.7916834958678</x:v>
      </x:c>
      <x:c r="BC10" s="115" t="n">
        <x:f aca="0">AH10-AG10</x:f>
        <x:v>304.04402373152334</x:v>
      </x:c>
      <x:c r="BD10" s="115" t="n">
        <x:f aca="0">AI10-AH10</x:f>
        <x:v>264.9863198156063</x:v>
      </x:c>
      <x:c r="BE10" s="115" t="n">
        <x:f aca="0">AJ10-AI10</x:f>
        <x:v>229.8391217458693</x:v>
      </x:c>
      <x:c r="BF10" s="115" t="n">
        <x:f aca="0">AK10-AJ10</x:f>
        <x:v>198.5803948819239</x:v>
      </x:c>
      <x:c r="BG10" s="115" t="n">
        <x:f aca="0">AL10-AK10</x:f>
        <x:v>171.03462365755604</x:v>
      </x:c>
    </x:row>
    <x:row r="11" ht="15" hidden="0" customHeight="1">
      <x:c r="A11" s="160" t="str">
        <x:f aca="0">"S"&amp;TEXT(ROW()-3,"00")</x:f>
        <x:v>S08</x:v>
      </x:c>
      <x:c r="B11" s="161" t="s">
        <x:v>638</x:v>
      </x:c>
      <x:c r="C11" s="160" t="str">
        <x:f aca="0">LEFT($B11,FIND("|",$B11)-1)</x:f>
        <x:v>Mixed Agroforestry</x:v>
      </x:c>
      <x:c r="D11" s="160" t="str">
        <x:f aca="0">MID($B11,FIND("|",$B11)+1,FIND("|",$B11,FIND("|",$B11)+1)-FIND("|",$B11)-1)</x:f>
        <x:v>Medium</x:v>
      </x:c>
      <x:c r="E11" s="160" t="n">
        <x:f aca="0">VALUE(RIGHT($B11,4))</x:f>
        <x:v>2020</x:v>
      </x:c>
      <x:c r="F11" s="115" t="n">
        <x:f aca="0">SUMIF(S17_Biome_Strata!$G$4:$G$95,$B11,S17_Biome_Strata!$E$4:$E$95)</x:f>
        <x:v>10</x:v>
      </x:c>
      <x:c r="G11" s="115" t="n">
        <x:f aca="0">SUMIF(S17_Biome_Strata!$G$4:$G$95,$B11,S17_Biome_Strata!$F$4:$F$95)</x:f>
        <x:v>11.101600000000001</x:v>
      </x:c>
      <x:c r="H11" s="115" t="n">
        <x:f aca="0">IF($K11&gt;=2,SUMIF(S14_Growth_Model_ExAnte!$C$15:$C$81,$B11,S14_Growth_Model_ExAnte!$O$15:$O$81)/$K11,IF($L11&gt;=2,SUMIF(S14_Growth_Model_ExAnte!$AY$15:$AY$81,$C11&amp;"|"&amp;$D11,S14_Growth_Model_ExAnte!$O$15:$O$81)/$L11,IF(COUNTIF(S14_Growth_Model_ExAnte!$AZ$15:$AZ$81,$C11)&gt;0,SUMIF(S14_Growth_Model_ExAnte!$AZ$15:$AZ$81,$C11,S14_Growth_Model_ExAnte!$O$15:$O$81)/COUNTIF(S14_Growth_Model_ExAnte!$AZ$15:$AZ$81,$C11),0)))</x:f>
        <x:v>56.677245300926124</x:v>
      </x:c>
      <x:c r="I11" s="115" t="n">
        <x:f aca="0">IF($K11&gt;=2,SQRT(MAX(0,(SUMIF(S14_Growth_Model_ExAnte!$C$15:$C$81,$B11,S14_Growth_Model_ExAnte!$BG$15:$BG$81)-SUMIF(S14_Growth_Model_ExAnte!$C$15:$C$81,$B11,S14_Growth_Model_ExAnte!$O$15:$O$81)*SUMIF(S14_Growth_Model_ExAnte!$C$15:$C$81,$B11,S14_Growth_Model_ExAnte!$O$15:$O$81)/$K11)/($K11-1))),IF($L11&gt;=2,SQRT(MAX(0,(SUMIF(S14_Growth_Model_ExAnte!$AY$15:$AY$81,$C11&amp;"|"&amp;$D11,S14_Growth_Model_ExAnte!$BG$15:$BG$81)-SUMIF(S14_Growth_Model_ExAnte!$AY$15:$AY$81,$C11&amp;"|"&amp;$D11,S14_Growth_Model_ExAnte!$O$15:$O$81)*SUMIF(S14_Growth_Model_ExAnte!$AY$15:$AY$81,$C11&amp;"|"&amp;$D11,S14_Growth_Model_ExAnte!$O$15:$O$81)/$L11)/($L11-1))),IF(COUNTIF(S14_Growth_Model_ExAnte!$AZ$15:$AZ$81,$C11)&gt;=2,SQRT(MAX(0,(SUMIF(S14_Growth_Model_ExAnte!$AZ$15:$AZ$81,$C11,S14_Growth_Model_ExAnte!$BG$15:$BG$81)-SUMIF(S14_Growth_Model_ExAnte!$AZ$15:$AZ$81,$C11,S14_Growth_Model_ExAnte!$O$15:$O$81)*SUMIF(S14_Growth_Model_ExAnte!$AZ$15:$AZ$81,$C11,S14_Growth_Model_ExAnte!$O$15:$O$81)/COUNTIF(S14_Growth_Model_ExAnte!$AZ$15:$AZ$81,$C11))/(COUNTIF(S14_Growth_Model_ExAnte!$AZ$15:$AZ$81,$C11)-1))),0)))</x:f>
        <x:v>30.82719081503409</x:v>
      </x:c>
      <x:c r="J11" s="115" t="n">
        <x:f aca="0">IFERROR(I11/H11,0)</x:f>
        <x:v>0.5439077120166664</x:v>
      </x:c>
      <x:c r="K11" s="115" t="n">
        <x:f aca="0">COUNTIF(S14_Growth_Model_ExAnte!$C$15:$C$81,$B11)</x:f>
        <x:v>1</x:v>
      </x:c>
      <x:c r="L11" s="115" t="n">
        <x:f aca="0">COUNTIF(S14_Growth_Model_ExAnte!$AY$15:$AY$81,$C11&amp;"|"&amp;$D11)</x:f>
        <x:v>3</x:v>
      </x:c>
      <x:c r="M11" s="115" t="n">
        <x:f aca="0">$H11</x:f>
        <x:v>56.677245300926124</x:v>
      </x:c>
      <x:c r="N11" s="115" t="n">
        <x:f aca="0">MAX(0,$M11*S08_Defaults!$B$5)</x:f>
        <x:v>42.50793397569459</x:v>
      </x:c>
      <x:c r="O11" s="115" t="n">
        <x:f aca="0">IFERROR($N11/$M11,0)</x:f>
        <x:v>0.75</x:v>
      </x:c>
      <x:c r="P11" s="115" t="str">
        <x:f aca="0">IF($K11&gt;=2,"Exact Stratum PSP Chapman-Richards curve",IF($L11&gt;=2,"Model×Density pooled Chapman-Richards curve","Model pooled Chapman-Richards curve"))</x:f>
        <x:v>Model×Density pooled Chapman-Richards curve</x:v>
      </x:c>
      <x:c r="Q11" s="162" t="s">
        <x:v>1106</x:v>
      </x:c>
      <x:c r="R11" s="115" t="n">
        <x:f aca="0">(IF($K11&gt;=2,SUMIF(S14_Growth_Model_ExAnte!$C$15:$C$81,$B11,S14_Growth_Model_ExAnte!$I$15:$I$81)/$K11,IF($L11&gt;=2,SUMIF(S14_Growth_Model_ExAnte!$AY$15:$AY$81,$C11&amp;"|"&amp;$D11,S14_Growth_Model_ExAnte!$I$15:$I$81)/$L11,IF(COUNTIF(S14_Growth_Model_ExAnte!$AZ$15:$AZ$81,$C11)&gt;0,SUMIF(S14_Growth_Model_ExAnte!$AZ$15:$AZ$81,$C11,S14_Growth_Model_ExAnte!$I$15:$I$81)/COUNTIF(S14_Growth_Model_ExAnte!$AZ$15:$AZ$81,$C11),0))))*$O11*S08_Defaults!$B$6*(1+S08_Defaults!$B$7)*S08_Defaults!$B$8</x:f>
        <x:v>0</x:v>
      </x:c>
      <x:c r="S11" s="115" t="n">
        <x:f aca="0">(IF($K11&gt;=2,SUMIF(S14_Growth_Model_ExAnte!$C$15:$C$81,$B11,S14_Growth_Model_ExAnte!$J$15:$J$81)/$K11,IF($L11&gt;=2,SUMIF(S14_Growth_Model_ExAnte!$AY$15:$AY$81,$C11&amp;"|"&amp;$D11,S14_Growth_Model_ExAnte!$J$15:$J$81)/$L11,IF(COUNTIF(S14_Growth_Model_ExAnte!$AZ$15:$AZ$81,$C11)&gt;0,SUMIF(S14_Growth_Model_ExAnte!$AZ$15:$AZ$81,$C11,S14_Growth_Model_ExAnte!$J$15:$J$81)/COUNTIF(S14_Growth_Model_ExAnte!$AZ$15:$AZ$81,$C11),0))))*$O11*S08_Defaults!$B$6*(1+S08_Defaults!$B$7)*S08_Defaults!$B$8</x:f>
        <x:v>0.2723417518114028</x:v>
      </x:c>
      <x:c r="T11" s="115" t="n">
        <x:f aca="0">(IF($K11&gt;=2,SUMIF(S14_Growth_Model_ExAnte!$C$15:$C$81,$B11,S14_Growth_Model_ExAnte!$K$15:$K$81)/$K11,IF($L11&gt;=2,SUMIF(S14_Growth_Model_ExAnte!$AY$15:$AY$81,$C11&amp;"|"&amp;$D11,S14_Growth_Model_ExAnte!$K$15:$K$81)/$L11,IF(COUNTIF(S14_Growth_Model_ExAnte!$AZ$15:$AZ$81,$C11)&gt;0,SUMIF(S14_Growth_Model_ExAnte!$AZ$15:$AZ$81,$C11,S14_Growth_Model_ExAnte!$K$15:$K$81)/COUNTIF(S14_Growth_Model_ExAnte!$AZ$15:$AZ$81,$C11),0))))*$O11*S08_Defaults!$B$6*(1+S08_Defaults!$B$7)*S08_Defaults!$B$8</x:f>
        <x:v>3.248895379183343</x:v>
      </x:c>
      <x:c r="U11" s="115" t="n">
        <x:f aca="0">(IF($K11&gt;=2,SUMIF(S14_Growth_Model_ExAnte!$C$15:$C$81,$B11,S14_Growth_Model_ExAnte!$L$15:$L$81)/$K11,IF($L11&gt;=2,SUMIF(S14_Growth_Model_ExAnte!$AY$15:$AY$81,$C11&amp;"|"&amp;$D11,S14_Growth_Model_ExAnte!$L$15:$L$81)/$L11,IF(COUNTIF(S14_Growth_Model_ExAnte!$AZ$15:$AZ$81,$C11)&gt;0,SUMIF(S14_Growth_Model_ExAnte!$AZ$15:$AZ$81,$C11,S14_Growth_Model_ExAnte!$L$15:$L$81)/COUNTIF(S14_Growth_Model_ExAnte!$AZ$15:$AZ$81,$C11),0))))*$O11*S08_Defaults!$B$6*(1+S08_Defaults!$B$7)*S08_Defaults!$B$8</x:f>
        <x:v>12.403995886039331</x:v>
      </x:c>
      <x:c r="V11" s="115" t="n">
        <x:f aca="0">(IF($K11&gt;=2,SUMIF(S14_Growth_Model_ExAnte!$C$15:$C$81,$B11,S14_Growth_Model_ExAnte!$M$15:$M$81)/$K11,IF($L11&gt;=2,SUMIF(S14_Growth_Model_ExAnte!$AY$15:$AY$81,$C11&amp;"|"&amp;$D11,S14_Growth_Model_ExAnte!$M$15:$M$81)/$L11,IF(COUNTIF(S14_Growth_Model_ExAnte!$AZ$15:$AZ$81,$C11)&gt;0,SUMIF(S14_Growth_Model_ExAnte!$AZ$15:$AZ$81,$C11,S14_Growth_Model_ExAnte!$M$15:$M$81)/COUNTIF(S14_Growth_Model_ExAnte!$AZ$15:$AZ$81,$C11),0))))*$O11*S08_Defaults!$B$6*(1+S08_Defaults!$B$7)*S08_Defaults!$B$8</x:f>
        <x:v>30.01595620534883</x:v>
      </x:c>
      <x:c r="W11" s="115" t="n">
        <x:f aca="0">(IF($K11&gt;=2,SUMIF(S14_Growth_Model_ExAnte!$C$15:$C$81,$B11,S14_Growth_Model_ExAnte!$N$15:$N$81)/$K11,IF($L11&gt;=2,SUMIF(S14_Growth_Model_ExAnte!$AY$15:$AY$81,$C11&amp;"|"&amp;$D11,S14_Growth_Model_ExAnte!$N$15:$N$81)/$L11,IF(COUNTIF(S14_Growth_Model_ExAnte!$AZ$15:$AZ$81,$C11)&gt;0,SUMIF(S14_Growth_Model_ExAnte!$AZ$15:$AZ$81,$C11,S14_Growth_Model_ExAnte!$N$15:$N$81)/COUNTIF(S14_Growth_Model_ExAnte!$AZ$15:$AZ$81,$C11),0))))*$O11*S08_Defaults!$B$6*(1+S08_Defaults!$B$7)*S08_Defaults!$B$8</x:f>
        <x:v>56.46525888548903</x:v>
      </x:c>
      <x:c r="X11" s="115" t="n">
        <x:f aca="0">(IF($K11&gt;=2,SUMIF(S14_Growth_Model_ExAnte!$C$15:$C$81,$B11,S14_Growth_Model_ExAnte!$O$15:$O$81)/$K11,IF($L11&gt;=2,SUMIF(S14_Growth_Model_ExAnte!$AY$15:$AY$81,$C11&amp;"|"&amp;$D11,S14_Growth_Model_ExAnte!$O$15:$O$81)/$L11,IF(COUNTIF(S14_Growth_Model_ExAnte!$AZ$15:$AZ$81,$C11)&gt;0,SUMIF(S14_Growth_Model_ExAnte!$AZ$15:$AZ$81,$C11,S14_Growth_Model_ExAnte!$O$15:$O$81)/COUNTIF(S14_Growth_Model_ExAnte!$AZ$15:$AZ$81,$C11),0))))*$O11*S08_Defaults!$B$6*(1+S08_Defaults!$B$7)*S08_Defaults!$B$8</x:f>
        <x:v>90.83662104379438</x:v>
      </x:c>
      <x:c r="Y11" s="115" t="n">
        <x:f aca="0">(IF($K11&gt;=2,SUMIF(S14_Growth_Model_ExAnte!$C$15:$C$81,$B11,S14_Growth_Model_ExAnte!$P$15:$P$81)/$K11,IF($L11&gt;=2,SUMIF(S14_Growth_Model_ExAnte!$AY$15:$AY$81,$C11&amp;"|"&amp;$D11,S14_Growth_Model_ExAnte!$P$15:$P$81)/$L11,IF(COUNTIF(S14_Growth_Model_ExAnte!$AZ$15:$AZ$81,$C11)&gt;0,SUMIF(S14_Growth_Model_ExAnte!$AZ$15:$AZ$81,$C11,S14_Growth_Model_ExAnte!$P$15:$P$81)/COUNTIF(S14_Growth_Model_ExAnte!$AZ$15:$AZ$81,$C11),0))))*$O11*S08_Defaults!$B$6*(1+S08_Defaults!$B$7)*S08_Defaults!$B$8</x:f>
        <x:v>131.47494963585845</x:v>
      </x:c>
      <x:c r="Z11" s="115" t="n">
        <x:f aca="0">(IF($K11&gt;=2,SUMIF(S14_Growth_Model_ExAnte!$C$15:$C$81,$B11,S14_Growth_Model_ExAnte!$Q$15:$Q$81)/$K11,IF($L11&gt;=2,SUMIF(S14_Growth_Model_ExAnte!$AY$15:$AY$81,$C11&amp;"|"&amp;$D11,S14_Growth_Model_ExAnte!$Q$15:$Q$81)/$L11,IF(COUNTIF(S14_Growth_Model_ExAnte!$AZ$15:$AZ$81,$C11)&gt;0,SUMIF(S14_Growth_Model_ExAnte!$AZ$15:$AZ$81,$C11,S14_Growth_Model_ExAnte!$Q$15:$Q$81)/COUNTIF(S14_Growth_Model_ExAnte!$AZ$15:$AZ$81,$C11),0))))*$O11*S08_Defaults!$B$6*(1+S08_Defaults!$B$7)*S08_Defaults!$B$8</x:f>
        <x:v>176.462752881878</x:v>
      </x:c>
      <x:c r="AA11" s="115" t="n">
        <x:f aca="0">(IF($K11&gt;=2,SUMIF(S14_Growth_Model_ExAnte!$C$15:$C$81,$B11,S14_Growth_Model_ExAnte!$R$15:$R$81)/$K11,IF($L11&gt;=2,SUMIF(S14_Growth_Model_ExAnte!$AY$15:$AY$81,$C11&amp;"|"&amp;$D11,S14_Growth_Model_ExAnte!$R$15:$R$81)/$L11,IF(COUNTIF(S14_Growth_Model_ExAnte!$AZ$15:$AZ$81,$C11)&gt;0,SUMIF(S14_Growth_Model_ExAnte!$AZ$15:$AZ$81,$C11,S14_Growth_Model_ExAnte!$R$15:$R$81)/COUNTIF(S14_Growth_Model_ExAnte!$AZ$15:$AZ$81,$C11),0))))*$O11*S08_Defaults!$B$6*(1+S08_Defaults!$B$7)*S08_Defaults!$B$8</x:f>
        <x:v>223.93563928265257</x:v>
      </x:c>
      <x:c r="AB11" s="115" t="n">
        <x:f aca="0">(IF($K11&gt;=2,SUMIF(S14_Growth_Model_ExAnte!$C$15:$C$81,$B11,S14_Growth_Model_ExAnte!$S$15:$S$81)/$K11,IF($L11&gt;=2,SUMIF(S14_Growth_Model_ExAnte!$AY$15:$AY$81,$C11&amp;"|"&amp;$D11,S14_Growth_Model_ExAnte!$S$15:$S$81)/$L11,IF(COUNTIF(S14_Growth_Model_ExAnte!$AZ$15:$AZ$81,$C11)&gt;0,SUMIF(S14_Growth_Model_ExAnte!$AZ$15:$AZ$81,$C11,S14_Growth_Model_ExAnte!$S$15:$S$81)/COUNTIF(S14_Growth_Model_ExAnte!$AZ$15:$AZ$81,$C11),0))))*$O11*S08_Defaults!$B$6*(1+S08_Defaults!$B$7)*S08_Defaults!$B$8</x:f>
        <x:v>272.25774963049446</x:v>
      </x:c>
      <x:c r="AC11" s="115" t="n">
        <x:f aca="0">(IF($K11&gt;=2,SUMIF(S14_Growth_Model_ExAnte!$C$15:$C$81,$B11,S14_Growth_Model_ExAnte!$T$15:$T$81)/$K11,IF($L11&gt;=2,SUMIF(S14_Growth_Model_ExAnte!$AY$15:$AY$81,$C11&amp;"|"&amp;$D11,S14_Growth_Model_ExAnte!$T$15:$T$81)/$L11,IF(COUNTIF(S14_Growth_Model_ExAnte!$AZ$15:$AZ$81,$C11)&gt;0,SUMIF(S14_Growth_Model_ExAnte!$AZ$15:$AZ$81,$C11,S14_Growth_Model_ExAnte!$T$15:$T$81)/COUNTIF(S14_Growth_Model_ExAnte!$AZ$15:$AZ$81,$C11),0))))*$O11*S08_Defaults!$B$6*(1+S08_Defaults!$B$7)*S08_Defaults!$B$8</x:f>
        <x:v>320.09677991534846</x:v>
      </x:c>
      <x:c r="AD11" s="115" t="n">
        <x:f aca="0">(IF($K11&gt;=2,SUMIF(S14_Growth_Model_ExAnte!$C$15:$C$81,$B11,S14_Growth_Model_ExAnte!$U$15:$U$81)/$K11,IF($L11&gt;=2,SUMIF(S14_Growth_Model_ExAnte!$AY$15:$AY$81,$C11&amp;"|"&amp;$D11,S14_Growth_Model_ExAnte!$U$15:$U$81)/$L11,IF(COUNTIF(S14_Growth_Model_ExAnte!$AZ$15:$AZ$81,$C11)&gt;0,SUMIF(S14_Growth_Model_ExAnte!$AZ$15:$AZ$81,$C11,S14_Growth_Model_ExAnte!$U$15:$U$81)/COUNTIF(S14_Growth_Model_ExAnte!$AZ$15:$AZ$81,$C11),0))))*$O11*S08_Defaults!$B$6*(1+S08_Defaults!$B$7)*S08_Defaults!$B$8</x:f>
        <x:v>366.4353060349873</x:v>
      </x:c>
      <x:c r="AE11" s="115" t="n">
        <x:f aca="0">(IF($K11&gt;=2,SUMIF(S14_Growth_Model_ExAnte!$C$15:$C$81,$B11,S14_Growth_Model_ExAnte!$V$15:$V$81)/$K11,IF($L11&gt;=2,SUMIF(S14_Growth_Model_ExAnte!$AY$15:$AY$81,$C11&amp;"|"&amp;$D11,S14_Growth_Model_ExAnte!$V$15:$V$81)/$L11,IF(COUNTIF(S14_Growth_Model_ExAnte!$AZ$15:$AZ$81,$C11)&gt;0,SUMIF(S14_Growth_Model_ExAnte!$AZ$15:$AZ$81,$C11,S14_Growth_Model_ExAnte!$V$15:$V$81)/COUNTIF(S14_Growth_Model_ExAnte!$AZ$15:$AZ$81,$C11),0))))*$O11*S08_Defaults!$B$6*(1+S08_Defaults!$B$7)*S08_Defaults!$B$8</x:f>
        <x:v>410.5462671133159</x:v>
      </x:c>
      <x:c r="AF11" s="115" t="n">
        <x:f aca="0">(IF($K11&gt;=2,SUMIF(S14_Growth_Model_ExAnte!$C$15:$C$81,$B11,S14_Growth_Model_ExAnte!$W$15:$W$81)/$K11,IF($L11&gt;=2,SUMIF(S14_Growth_Model_ExAnte!$AY$15:$AY$81,$C11&amp;"|"&amp;$D11,S14_Growth_Model_ExAnte!$W$15:$W$81)/$L11,IF(COUNTIF(S14_Growth_Model_ExAnte!$AZ$15:$AZ$81,$C11)&gt;0,SUMIF(S14_Growth_Model_ExAnte!$AZ$15:$AZ$81,$C11,S14_Growth_Model_ExAnte!$W$15:$W$81)/COUNTIF(S14_Growth_Model_ExAnte!$AZ$15:$AZ$81,$C11),0))))*$O11*S08_Defaults!$B$6*(1+S08_Defaults!$B$7)*S08_Defaults!$B$8</x:f>
        <x:v>451.9515457000744</x:v>
      </x:c>
      <x:c r="AG11" s="115" t="n">
        <x:f aca="0">(IF($K11&gt;=2,SUMIF(S14_Growth_Model_ExAnte!$C$15:$C$81,$B11,S14_Growth_Model_ExAnte!$X$15:$X$81)/$K11,IF($L11&gt;=2,SUMIF(S14_Growth_Model_ExAnte!$AY$15:$AY$81,$C11&amp;"|"&amp;$D11,S14_Growth_Model_ExAnte!$X$15:$X$81)/$L11,IF(COUNTIF(S14_Growth_Model_ExAnte!$AZ$15:$AZ$81,$C11)&gt;0,SUMIF(S14_Growth_Model_ExAnte!$AZ$15:$AZ$81,$C11,S14_Growth_Model_ExAnte!$X$15:$X$81)/COUNTIF(S14_Growth_Model_ExAnte!$AZ$15:$AZ$81,$C11),0))))*$O11*S08_Defaults!$B$6*(1+S08_Defaults!$B$7)*S08_Defaults!$B$8</x:f>
        <x:v>490.375463494989</x:v>
      </x:c>
      <x:c r="AH11" s="115" t="n">
        <x:f aca="0">(IF($K11&gt;=2,SUMIF(S14_Growth_Model_ExAnte!$C$15:$C$81,$B11,S14_Growth_Model_ExAnte!$Y$15:$Y$81)/$K11,IF($L11&gt;=2,SUMIF(S14_Growth_Model_ExAnte!$AY$15:$AY$81,$C11&amp;"|"&amp;$D11,S14_Growth_Model_ExAnte!$Y$15:$Y$81)/$L11,IF(COUNTIF(S14_Growth_Model_ExAnte!$AZ$15:$AZ$81,$C11)&gt;0,SUMIF(S14_Growth_Model_ExAnte!$AZ$15:$AZ$81,$C11,S14_Growth_Model_ExAnte!$Y$15:$Y$81)/COUNTIF(S14_Growth_Model_ExAnte!$AZ$15:$AZ$81,$C11),0))))*$O11*S08_Defaults!$B$6*(1+S08_Defaults!$B$7)*S08_Defaults!$B$8</x:f>
        <x:v>525.6999326358658</x:v>
      </x:c>
      <x:c r="AI11" s="115" t="n">
        <x:f aca="0">(IF($K11&gt;=2,SUMIF(S14_Growth_Model_ExAnte!$C$15:$C$81,$B11,S14_Growth_Model_ExAnte!$Z$15:$Z$81)/$K11,IF($L11&gt;=2,SUMIF(S14_Growth_Model_ExAnte!$AY$15:$AY$81,$C11&amp;"|"&amp;$D11,S14_Growth_Model_ExAnte!$Z$15:$Z$81)/$L11,IF(COUNTIF(S14_Growth_Model_ExAnte!$AZ$15:$AZ$81,$C11)&gt;0,SUMIF(S14_Growth_Model_ExAnte!$AZ$15:$AZ$81,$C11,S14_Growth_Model_ExAnte!$Z$15:$Z$81)/COUNTIF(S14_Growth_Model_ExAnte!$AZ$15:$AZ$81,$C11),0))))*$O11*S08_Defaults!$B$6*(1+S08_Defaults!$B$7)*S08_Defaults!$B$8</x:f>
        <x:v>557.9246430745985</x:v>
      </x:c>
      <x:c r="AJ11" s="115" t="n">
        <x:f aca="0">(IF($K11&gt;=2,SUMIF(S14_Growth_Model_ExAnte!$C$15:$C$81,$B11,S14_Growth_Model_ExAnte!$AA$15:$AA$81)/$K11,IF($L11&gt;=2,SUMIF(S14_Growth_Model_ExAnte!$AY$15:$AY$81,$C11&amp;"|"&amp;$D11,S14_Growth_Model_ExAnte!$AA$15:$AA$81)/$L11,IF(COUNTIF(S14_Growth_Model_ExAnte!$AZ$15:$AZ$81,$C11)&gt;0,SUMIF(S14_Growth_Model_ExAnte!$AZ$15:$AZ$81,$C11,S14_Growth_Model_ExAnte!$AA$15:$AA$81)/COUNTIF(S14_Growth_Model_ExAnte!$AZ$15:$AZ$81,$C11),0))))*$O11*S08_Defaults!$B$6*(1+S08_Defaults!$B$7)*S08_Defaults!$B$8</x:f>
        <x:v>587.1335840474726</x:v>
      </x:c>
      <x:c r="AK11" s="115" t="n">
        <x:f aca="0">(IF($K11&gt;=2,SUMIF(S14_Growth_Model_ExAnte!$C$15:$C$81,$B11,S14_Growth_Model_ExAnte!$AB$15:$AB$81)/$K11,IF($L11&gt;=2,SUMIF(S14_Growth_Model_ExAnte!$AY$15:$AY$81,$C11&amp;"|"&amp;$D11,S14_Growth_Model_ExAnte!$AB$15:$AB$81)/$L11,IF(COUNTIF(S14_Growth_Model_ExAnte!$AZ$15:$AZ$81,$C11)&gt;0,SUMIF(S14_Growth_Model_ExAnte!$AZ$15:$AZ$81,$C11,S14_Growth_Model_ExAnte!$AB$15:$AB$81)/COUNTIF(S14_Growth_Model_ExAnte!$AZ$15:$AZ$81,$C11),0))))*$O11*S08_Defaults!$B$6*(1+S08_Defaults!$B$7)*S08_Defaults!$B$8</x:f>
        <x:v>613.4679951072424</x:v>
      </x:c>
      <x:c r="AL11" s="115" t="n">
        <x:f aca="0">(IF($K11&gt;=2,SUMIF(S14_Growth_Model_ExAnte!$C$15:$C$81,$B11,S14_Growth_Model_ExAnte!$AC$15:$AC$81)/$K11,IF($L11&gt;=2,SUMIF(S14_Growth_Model_ExAnte!$AY$15:$AY$81,$C11&amp;"|"&amp;$D11,S14_Growth_Model_ExAnte!$AC$15:$AC$81)/$L11,IF(COUNTIF(S14_Growth_Model_ExAnte!$AZ$15:$AZ$81,$C11)&gt;0,SUMIF(S14_Growth_Model_ExAnte!$AZ$15:$AZ$81,$C11,S14_Growth_Model_ExAnte!$AC$15:$AC$81)/COUNTIF(S14_Growth_Model_ExAnte!$AZ$15:$AZ$81,$C11),0))))*$O11*S08_Defaults!$B$6*(1+S08_Defaults!$B$7)*S08_Defaults!$B$8</x:f>
        <x:v>637.105212789708</x:v>
      </x:c>
      <x:c r="AM11" s="115" t="n">
        <x:f aca="0">R11</x:f>
        <x:v>0</x:v>
      </x:c>
      <x:c r="AN11" s="115" t="n">
        <x:f aca="0">S11-R11</x:f>
        <x:v>0.2723417518114028</x:v>
      </x:c>
      <x:c r="AO11" s="115" t="n">
        <x:f aca="0">T11-S11</x:f>
        <x:v>2.97655362737194</x:v>
      </x:c>
      <x:c r="AP11" s="115" t="n">
        <x:f aca="0">U11-T11</x:f>
        <x:v>9.155100506855987</x:v>
      </x:c>
      <x:c r="AQ11" s="115" t="n">
        <x:f aca="0">V11-U11</x:f>
        <x:v>17.611960319309496</x:v>
      </x:c>
      <x:c r="AR11" s="115" t="n">
        <x:f aca="0">W11-V11</x:f>
        <x:v>26.4493026801402</x:v>
      </x:c>
      <x:c r="AS11" s="115" t="n">
        <x:f aca="0">X11-W11</x:f>
        <x:v>34.37136215830535</x:v>
      </x:c>
      <x:c r="AT11" s="115" t="n">
        <x:f aca="0">Y11-X11</x:f>
        <x:v>40.63832859206407</x:v>
      </x:c>
      <x:c r="AU11" s="115" t="n">
        <x:f aca="0">Z11-Y11</x:f>
        <x:v>44.98780324601955</x:v>
      </x:c>
      <x:c r="AV11" s="115" t="n">
        <x:f aca="0">AA11-Z11</x:f>
        <x:v>47.47288640077457</x:v>
      </x:c>
      <x:c r="AW11" s="115" t="n">
        <x:f aca="0">AB11-AA11</x:f>
        <x:v>48.322110347841885</x:v>
      </x:c>
      <x:c r="AX11" s="115" t="n">
        <x:f aca="0">AC11-AB11</x:f>
        <x:v>47.839030284854005</x:v>
      </x:c>
      <x:c r="AY11" s="115" t="n">
        <x:f aca="0">AD11-AC11</x:f>
        <x:v>46.33852611963886</x:v>
      </x:c>
      <x:c r="AZ11" s="115" t="n">
        <x:f aca="0">AE11-AD11</x:f>
        <x:v>44.11096107832856</x:v>
      </x:c>
      <x:c r="BA11" s="115" t="n">
        <x:f aca="0">AF11-AE11</x:f>
        <x:v>41.40527858675853</x:v>
      </x:c>
      <x:c r="BB11" s="115" t="n">
        <x:f aca="0">AG11-AF11</x:f>
        <x:v>38.42391779491459</x:v>
      </x:c>
      <x:c r="BC11" s="115" t="n">
        <x:f aca="0">AH11-AG11</x:f>
        <x:v>35.32446914087683</x:v>
      </x:c>
      <x:c r="BD11" s="115" t="n">
        <x:f aca="0">AI11-AH11</x:f>
        <x:v>32.2247104387327</x:v>
      </x:c>
      <x:c r="BE11" s="115" t="n">
        <x:f aca="0">AJ11-AI11</x:f>
        <x:v>29.208940972874075</x:v>
      </x:c>
      <x:c r="BF11" s="115" t="n">
        <x:f aca="0">AK11-AJ11</x:f>
        <x:v>26.334411059769764</x:v>
      </x:c>
      <x:c r="BG11" s="115" t="n">
        <x:f aca="0">AL11-AK11</x:f>
        <x:v>23.63721768246569</x:v>
      </x:c>
    </x:row>
    <x:row r="12" ht="15" hidden="0" customHeight="1">
      <x:c r="A12" s="160" t="str">
        <x:f aca="0">"S"&amp;TEXT(ROW()-3,"00")</x:f>
        <x:v>S09</x:v>
      </x:c>
      <x:c r="B12" s="161" t="s">
        <x:v>584</x:v>
      </x:c>
      <x:c r="C12" s="160" t="str">
        <x:f aca="0">LEFT($B12,FIND("|",$B12)-1)</x:f>
        <x:v>Horti-Silviculture</x:v>
      </x:c>
      <x:c r="D12" s="160" t="str">
        <x:f aca="0">MID($B12,FIND("|",$B12)+1,FIND("|",$B12,FIND("|",$B12)+1)-FIND("|",$B12)-1)</x:f>
        <x:v>High</x:v>
      </x:c>
      <x:c r="E12" s="160" t="n">
        <x:f aca="0">VALUE(RIGHT($B12,4))</x:f>
        <x:v>2020</x:v>
      </x:c>
      <x:c r="F12" s="115" t="n">
        <x:f aca="0">SUMIF(S17_Biome_Strata!$G$4:$G$95,$B12,S17_Biome_Strata!$E$4:$E$95)</x:f>
        <x:v>214</x:v>
      </x:c>
      <x:c r="G12" s="115" t="n">
        <x:f aca="0">SUMIF(S17_Biome_Strata!$G$4:$G$95,$B12,S17_Biome_Strata!$F$4:$F$95)</x:f>
        <x:v>83.1331831242412</x:v>
      </x:c>
      <x:c r="H12" s="115" t="n">
        <x:f aca="0">IF($K12&gt;=2,SUMIF(S14_Growth_Model_ExAnte!$C$15:$C$81,$B12,S14_Growth_Model_ExAnte!$O$15:$O$81)/$K12,IF($L12&gt;=2,SUMIF(S14_Growth_Model_ExAnte!$AY$15:$AY$81,$C12&amp;"|"&amp;$D12,S14_Growth_Model_ExAnte!$O$15:$O$81)/$L12,IF(COUNTIF(S14_Growth_Model_ExAnte!$AZ$15:$AZ$81,$C12)&gt;0,SUMIF(S14_Growth_Model_ExAnte!$AZ$15:$AZ$81,$C12,S14_Growth_Model_ExAnte!$O$15:$O$81)/COUNTIF(S14_Growth_Model_ExAnte!$AZ$15:$AZ$81,$C12),0)))</x:f>
        <x:v>611.577846191391</x:v>
      </x:c>
      <x:c r="I12" s="115" t="n">
        <x:f aca="0">IF($K12&gt;=2,SQRT(MAX(0,(SUMIF(S14_Growth_Model_ExAnte!$C$15:$C$81,$B12,S14_Growth_Model_ExAnte!$BG$15:$BG$81)-SUMIF(S14_Growth_Model_ExAnte!$C$15:$C$81,$B12,S14_Growth_Model_ExAnte!$O$15:$O$81)*SUMIF(S14_Growth_Model_ExAnte!$C$15:$C$81,$B12,S14_Growth_Model_ExAnte!$O$15:$O$81)/$K12)/($K12-1))),IF($L12&gt;=2,SQRT(MAX(0,(SUMIF(S14_Growth_Model_ExAnte!$AY$15:$AY$81,$C12&amp;"|"&amp;$D12,S14_Growth_Model_ExAnte!$BG$15:$BG$81)-SUMIF(S14_Growth_Model_ExAnte!$AY$15:$AY$81,$C12&amp;"|"&amp;$D12,S14_Growth_Model_ExAnte!$O$15:$O$81)*SUMIF(S14_Growth_Model_ExAnte!$AY$15:$AY$81,$C12&amp;"|"&amp;$D12,S14_Growth_Model_ExAnte!$O$15:$O$81)/$L12)/($L12-1))),IF(COUNTIF(S14_Growth_Model_ExAnte!$AZ$15:$AZ$81,$C12)&gt;=2,SQRT(MAX(0,(SUMIF(S14_Growth_Model_ExAnte!$AZ$15:$AZ$81,$C12,S14_Growth_Model_ExAnte!$BG$15:$BG$81)-SUMIF(S14_Growth_Model_ExAnte!$AZ$15:$AZ$81,$C12,S14_Growth_Model_ExAnte!$O$15:$O$81)*SUMIF(S14_Growth_Model_ExAnte!$AZ$15:$AZ$81,$C12,S14_Growth_Model_ExAnte!$O$15:$O$81)/COUNTIF(S14_Growth_Model_ExAnte!$AZ$15:$AZ$81,$C12))/(COUNTIF(S14_Growth_Model_ExAnte!$AZ$15:$AZ$81,$C12)-1))),0)))</x:f>
        <x:v>546.9397806463899</x:v>
      </x:c>
      <x:c r="J12" s="115" t="n">
        <x:f aca="0">IFERROR(I12/H12,0)</x:f>
        <x:v>0.8943093410797406</x:v>
      </x:c>
      <x:c r="K12" s="115" t="n">
        <x:f aca="0">COUNTIF(S14_Growth_Model_ExAnte!$C$15:$C$81,$B12)</x:f>
        <x:v>6</x:v>
      </x:c>
      <x:c r="L12" s="115" t="n">
        <x:f aca="0">COUNTIF(S14_Growth_Model_ExAnte!$AY$15:$AY$81,$C12&amp;"|"&amp;$D12)</x:f>
        <x:v>6</x:v>
      </x:c>
      <x:c r="M12" s="115" t="n">
        <x:f aca="0">$H12</x:f>
        <x:v>611.577846191391</x:v>
      </x:c>
      <x:c r="N12" s="115" t="n">
        <x:f aca="0">MAX(0,$M12*S08_Defaults!$B$5)</x:f>
        <x:v>458.68338464354326</x:v>
      </x:c>
      <x:c r="O12" s="115" t="n">
        <x:f aca="0">IFERROR($N12/$M12,0)</x:f>
        <x:v>0.75</x:v>
      </x:c>
      <x:c r="P12" s="115" t="str">
        <x:f aca="0">IF($K12&gt;=2,"Exact Stratum PSP Chapman-Richards curve",IF($L12&gt;=2,"Model×Density pooled Chapman-Richards curve","Model pooled Chapman-Richards curve"))</x:f>
        <x:v>Exact Stratum PSP Chapman-Richards curve</x:v>
      </x:c>
      <x:c r="Q12" s="162" t="s">
        <x:v>1106</x:v>
      </x:c>
      <x:c r="R12" s="115" t="n">
        <x:f aca="0">(IF($K12&gt;=2,SUMIF(S14_Growth_Model_ExAnte!$C$15:$C$81,$B12,S14_Growth_Model_ExAnte!$I$15:$I$81)/$K12,IF($L12&gt;=2,SUMIF(S14_Growth_Model_ExAnte!$AY$15:$AY$81,$C12&amp;"|"&amp;$D12,S14_Growth_Model_ExAnte!$I$15:$I$81)/$L12,IF(COUNTIF(S14_Growth_Model_ExAnte!$AZ$15:$AZ$81,$C12)&gt;0,SUMIF(S14_Growth_Model_ExAnte!$AZ$15:$AZ$81,$C12,S14_Growth_Model_ExAnte!$I$15:$I$81)/COUNTIF(S14_Growth_Model_ExAnte!$AZ$15:$AZ$81,$C12),0))))*$O12*S08_Defaults!$B$6*(1+S08_Defaults!$B$7)*S08_Defaults!$B$8</x:f>
        <x:v>0</x:v>
      </x:c>
      <x:c r="S12" s="115" t="n">
        <x:f aca="0">(IF($K12&gt;=2,SUMIF(S14_Growth_Model_ExAnte!$C$15:$C$81,$B12,S14_Growth_Model_ExAnte!$J$15:$J$81)/$K12,IF($L12&gt;=2,SUMIF(S14_Growth_Model_ExAnte!$AY$15:$AY$81,$C12&amp;"|"&amp;$D12,S14_Growth_Model_ExAnte!$J$15:$J$81)/$L12,IF(COUNTIF(S14_Growth_Model_ExAnte!$AZ$15:$AZ$81,$C12)&gt;0,SUMIF(S14_Growth_Model_ExAnte!$AZ$15:$AZ$81,$C12,S14_Growth_Model_ExAnte!$J$15:$J$81)/COUNTIF(S14_Growth_Model_ExAnte!$AZ$15:$AZ$81,$C12),0))))*$O12*S08_Defaults!$B$6*(1+S08_Defaults!$B$7)*S08_Defaults!$B$8</x:f>
        <x:v>4.864334809348277</x:v>
      </x:c>
      <x:c r="T12" s="115" t="n">
        <x:f aca="0">(IF($K12&gt;=2,SUMIF(S14_Growth_Model_ExAnte!$C$15:$C$81,$B12,S14_Growth_Model_ExAnte!$K$15:$K$81)/$K12,IF($L12&gt;=2,SUMIF(S14_Growth_Model_ExAnte!$AY$15:$AY$81,$C12&amp;"|"&amp;$D12,S14_Growth_Model_ExAnte!$K$15:$K$81)/$L12,IF(COUNTIF(S14_Growth_Model_ExAnte!$AZ$15:$AZ$81,$C12)&gt;0,SUMIF(S14_Growth_Model_ExAnte!$AZ$15:$AZ$81,$C12,S14_Growth_Model_ExAnte!$K$15:$K$81)/COUNTIF(S14_Growth_Model_ExAnte!$AZ$15:$AZ$81,$C12),0))))*$O12*S08_Defaults!$B$6*(1+S08_Defaults!$B$7)*S08_Defaults!$B$8</x:f>
        <x:v>47.64642321511868</x:v>
      </x:c>
      <x:c r="U12" s="115" t="n">
        <x:f aca="0">(IF($K12&gt;=2,SUMIF(S14_Growth_Model_ExAnte!$C$15:$C$81,$B12,S14_Growth_Model_ExAnte!$L$15:$L$81)/$K12,IF($L12&gt;=2,SUMIF(S14_Growth_Model_ExAnte!$AY$15:$AY$81,$C12&amp;"|"&amp;$D12,S14_Growth_Model_ExAnte!$L$15:$L$81)/$L12,IF(COUNTIF(S14_Growth_Model_ExAnte!$AZ$15:$AZ$81,$C12)&gt;0,SUMIF(S14_Growth_Model_ExAnte!$AZ$15:$AZ$81,$C12,S14_Growth_Model_ExAnte!$L$15:$L$81)/COUNTIF(S14_Growth_Model_ExAnte!$AZ$15:$AZ$81,$C12),0))))*$O12*S08_Defaults!$B$6*(1+S08_Defaults!$B$7)*S08_Defaults!$B$8</x:f>
        <x:v>162.19659930981175</x:v>
      </x:c>
      <x:c r="V12" s="115" t="n">
        <x:f aca="0">(IF($K12&gt;=2,SUMIF(S14_Growth_Model_ExAnte!$C$15:$C$81,$B12,S14_Growth_Model_ExAnte!$M$15:$M$81)/$K12,IF($L12&gt;=2,SUMIF(S14_Growth_Model_ExAnte!$AY$15:$AY$81,$C12&amp;"|"&amp;$D12,S14_Growth_Model_ExAnte!$M$15:$M$81)/$L12,IF(COUNTIF(S14_Growth_Model_ExAnte!$AZ$15:$AZ$81,$C12)&gt;0,SUMIF(S14_Growth_Model_ExAnte!$AZ$15:$AZ$81,$C12,S14_Growth_Model_ExAnte!$M$15:$M$81)/COUNTIF(S14_Growth_Model_ExAnte!$AZ$15:$AZ$81,$C12),0))))*$O12*S08_Defaults!$B$6*(1+S08_Defaults!$B$7)*S08_Defaults!$B$8</x:f>
        <x:v>362.08052090045476</x:v>
      </x:c>
      <x:c r="W12" s="115" t="n">
        <x:f aca="0">(IF($K12&gt;=2,SUMIF(S14_Growth_Model_ExAnte!$C$15:$C$81,$B12,S14_Growth_Model_ExAnte!$N$15:$N$81)/$K12,IF($L12&gt;=2,SUMIF(S14_Growth_Model_ExAnte!$AY$15:$AY$81,$C12&amp;"|"&amp;$D12,S14_Growth_Model_ExAnte!$N$15:$N$81)/$L12,IF(COUNTIF(S14_Growth_Model_ExAnte!$AZ$15:$AZ$81,$C12)&gt;0,SUMIF(S14_Growth_Model_ExAnte!$AZ$15:$AZ$81,$C12,S14_Growth_Model_ExAnte!$N$15:$N$81)/COUNTIF(S14_Growth_Model_ExAnte!$AZ$15:$AZ$81,$C12),0))))*$O12*S08_Defaults!$B$6*(1+S08_Defaults!$B$7)*S08_Defaults!$B$8</x:f>
        <x:v>640.3257868594634</x:v>
      </x:c>
      <x:c r="X12" s="115" t="n">
        <x:f aca="0">(IF($K12&gt;=2,SUMIF(S14_Growth_Model_ExAnte!$C$15:$C$81,$B12,S14_Growth_Model_ExAnte!$O$15:$O$81)/$K12,IF($L12&gt;=2,SUMIF(S14_Growth_Model_ExAnte!$AY$15:$AY$81,$C12&amp;"|"&amp;$D12,S14_Growth_Model_ExAnte!$O$15:$O$81)/$L12,IF(COUNTIF(S14_Growth_Model_ExAnte!$AZ$15:$AZ$81,$C12)&gt;0,SUMIF(S14_Growth_Model_ExAnte!$AZ$15:$AZ$81,$C12,S14_Growth_Model_ExAnte!$O$15:$O$81)/COUNTIF(S14_Growth_Model_ExAnte!$AZ$15:$AZ$81,$C12),0))))*$O12*S08_Defaults!$B$6*(1+S08_Defaults!$B$7)*S08_Defaults!$B$8</x:f>
        <x:v>980.1758140909432</x:v>
      </x:c>
      <x:c r="Y12" s="115" t="n">
        <x:f aca="0">(IF($K12&gt;=2,SUMIF(S14_Growth_Model_ExAnte!$C$15:$C$81,$B12,S14_Growth_Model_ExAnte!$P$15:$P$81)/$K12,IF($L12&gt;=2,SUMIF(S14_Growth_Model_ExAnte!$AY$15:$AY$81,$C12&amp;"|"&amp;$D12,S14_Growth_Model_ExAnte!$P$15:$P$81)/$L12,IF(COUNTIF(S14_Growth_Model_ExAnte!$AZ$15:$AZ$81,$C12)&gt;0,SUMIF(S14_Growth_Model_ExAnte!$AZ$15:$AZ$81,$C12,S14_Growth_Model_ExAnte!$P$15:$P$81)/COUNTIF(S14_Growth_Model_ExAnte!$AZ$15:$AZ$81,$C12),0))))*$O12*S08_Defaults!$B$6*(1+S08_Defaults!$B$7)*S08_Defaults!$B$8</x:f>
        <x:v>1361.4419761258862</x:v>
      </x:c>
      <x:c r="Z12" s="115" t="n">
        <x:f aca="0">(IF($K12&gt;=2,SUMIF(S14_Growth_Model_ExAnte!$C$15:$C$81,$B12,S14_Growth_Model_ExAnte!$Q$15:$Q$81)/$K12,IF($L12&gt;=2,SUMIF(S14_Growth_Model_ExAnte!$AY$15:$AY$81,$C12&amp;"|"&amp;$D12,S14_Growth_Model_ExAnte!$Q$15:$Q$81)/$L12,IF(COUNTIF(S14_Growth_Model_ExAnte!$AZ$15:$AZ$81,$C12)&gt;0,SUMIF(S14_Growth_Model_ExAnte!$AZ$15:$AZ$81,$C12,S14_Growth_Model_ExAnte!$Q$15:$Q$81)/COUNTIF(S14_Growth_Model_ExAnte!$AZ$15:$AZ$81,$C12),0))))*$O12*S08_Defaults!$B$6*(1+S08_Defaults!$B$7)*S08_Defaults!$B$8</x:f>
        <x:v>1764.717370128752</x:v>
      </x:c>
      <x:c r="AA12" s="115" t="n">
        <x:f aca="0">(IF($K12&gt;=2,SUMIF(S14_Growth_Model_ExAnte!$C$15:$C$81,$B12,S14_Growth_Model_ExAnte!$R$15:$R$81)/$K12,IF($L12&gt;=2,SUMIF(S14_Growth_Model_ExAnte!$AY$15:$AY$81,$C12&amp;"|"&amp;$D12,S14_Growth_Model_ExAnte!$R$15:$R$81)/$L12,IF(COUNTIF(S14_Growth_Model_ExAnte!$AZ$15:$AZ$81,$C12)&gt;0,SUMIF(S14_Growth_Model_ExAnte!$AZ$15:$AZ$81,$C12,S14_Growth_Model_ExAnte!$R$15:$R$81)/COUNTIF(S14_Growth_Model_ExAnte!$AZ$15:$AZ$81,$C12),0))))*$O12*S08_Defaults!$B$6*(1+S08_Defaults!$B$7)*S08_Defaults!$B$8</x:f>
        <x:v>2173.4861233025404</x:v>
      </x:c>
      <x:c r="AB12" s="115" t="n">
        <x:f aca="0">(IF($K12&gt;=2,SUMIF(S14_Growth_Model_ExAnte!$C$15:$C$81,$B12,S14_Growth_Model_ExAnte!$S$15:$S$81)/$K12,IF($L12&gt;=2,SUMIF(S14_Growth_Model_ExAnte!$AY$15:$AY$81,$C12&amp;"|"&amp;$D12,S14_Growth_Model_ExAnte!$S$15:$S$81)/$L12,IF(COUNTIF(S14_Growth_Model_ExAnte!$AZ$15:$AZ$81,$C12)&gt;0,SUMIF(S14_Growth_Model_ExAnte!$AZ$15:$AZ$81,$C12,S14_Growth_Model_ExAnte!$S$15:$S$81)/COUNTIF(S14_Growth_Model_ExAnte!$AZ$15:$AZ$81,$C12),0))))*$O12*S08_Defaults!$B$6*(1+S08_Defaults!$B$7)*S08_Defaults!$B$8</x:f>
        <x:v>2574.853055526109</x:v>
      </x:c>
      <x:c r="AC12" s="115" t="n">
        <x:f aca="0">(IF($K12&gt;=2,SUMIF(S14_Growth_Model_ExAnte!$C$15:$C$81,$B12,S14_Growth_Model_ExAnte!$T$15:$T$81)/$K12,IF($L12&gt;=2,SUMIF(S14_Growth_Model_ExAnte!$AY$15:$AY$81,$C12&amp;"|"&amp;$D12,S14_Growth_Model_ExAnte!$T$15:$T$81)/$L12,IF(COUNTIF(S14_Growth_Model_ExAnte!$AZ$15:$AZ$81,$C12)&gt;0,SUMIF(S14_Growth_Model_ExAnte!$AZ$15:$AZ$81,$C12,S14_Growth_Model_ExAnte!$T$15:$T$81)/COUNTIF(S14_Growth_Model_ExAnte!$AZ$15:$AZ$81,$C12),0))))*$O12*S08_Defaults!$B$6*(1+S08_Defaults!$B$7)*S08_Defaults!$B$8</x:f>
        <x:v>2959.4855495738652</x:v>
      </x:c>
      <x:c r="AD12" s="115" t="n">
        <x:f aca="0">(IF($K12&gt;=2,SUMIF(S14_Growth_Model_ExAnte!$C$15:$C$81,$B12,S14_Growth_Model_ExAnte!$U$15:$U$81)/$K12,IF($L12&gt;=2,SUMIF(S14_Growth_Model_ExAnte!$AY$15:$AY$81,$C12&amp;"|"&amp;$D12,S14_Growth_Model_ExAnte!$U$15:$U$81)/$L12,IF(COUNTIF(S14_Growth_Model_ExAnte!$AZ$15:$AZ$81,$C12)&gt;0,SUMIF(S14_Growth_Model_ExAnte!$AZ$15:$AZ$81,$C12,S14_Growth_Model_ExAnte!$U$15:$U$81)/COUNTIF(S14_Growth_Model_ExAnte!$AZ$15:$AZ$81,$C12),0))))*$O12*S08_Defaults!$B$6*(1+S08_Defaults!$B$7)*S08_Defaults!$B$8</x:f>
        <x:v>3321.1708737247495</x:v>
      </x:c>
      <x:c r="AE12" s="115" t="n">
        <x:f aca="0">(IF($K12&gt;=2,SUMIF(S14_Growth_Model_ExAnte!$C$15:$C$81,$B12,S14_Growth_Model_ExAnte!$V$15:$V$81)/$K12,IF($L12&gt;=2,SUMIF(S14_Growth_Model_ExAnte!$AY$15:$AY$81,$C12&amp;"|"&amp;$D12,S14_Growth_Model_ExAnte!$V$15:$V$81)/$L12,IF(COUNTIF(S14_Growth_Model_ExAnte!$AZ$15:$AZ$81,$C12)&gt;0,SUMIF(S14_Growth_Model_ExAnte!$AZ$15:$AZ$81,$C12,S14_Growth_Model_ExAnte!$V$15:$V$81)/COUNTIF(S14_Growth_Model_ExAnte!$AZ$15:$AZ$81,$C12),0))))*$O12*S08_Defaults!$B$6*(1+S08_Defaults!$B$7)*S08_Defaults!$B$8</x:f>
        <x:v>3656.2350860755096</x:v>
      </x:c>
      <x:c r="AF12" s="115" t="n">
        <x:f aca="0">(IF($K12&gt;=2,SUMIF(S14_Growth_Model_ExAnte!$C$15:$C$81,$B12,S14_Growth_Model_ExAnte!$W$15:$W$81)/$K12,IF($L12&gt;=2,SUMIF(S14_Growth_Model_ExAnte!$AY$15:$AY$81,$C12&amp;"|"&amp;$D12,S14_Growth_Model_ExAnte!$W$15:$W$81)/$L12,IF(COUNTIF(S14_Growth_Model_ExAnte!$AZ$15:$AZ$81,$C12)&gt;0,SUMIF(S14_Growth_Model_ExAnte!$AZ$15:$AZ$81,$C12,S14_Growth_Model_ExAnte!$W$15:$W$81)/COUNTIF(S14_Growth_Model_ExAnte!$AZ$15:$AZ$81,$C12),0))))*$O12*S08_Defaults!$B$6*(1+S08_Defaults!$B$7)*S08_Defaults!$B$8</x:f>
        <x:v>3962.9594832538137</x:v>
      </x:c>
      <x:c r="AG12" s="115" t="n">
        <x:f aca="0">(IF($K12&gt;=2,SUMIF(S14_Growth_Model_ExAnte!$C$15:$C$81,$B12,S14_Growth_Model_ExAnte!$X$15:$X$81)/$K12,IF($L12&gt;=2,SUMIF(S14_Growth_Model_ExAnte!$AY$15:$AY$81,$C12&amp;"|"&amp;$D12,S14_Growth_Model_ExAnte!$X$15:$X$81)/$L12,IF(COUNTIF(S14_Growth_Model_ExAnte!$AZ$15:$AZ$81,$C12)&gt;0,SUMIF(S14_Growth_Model_ExAnte!$AZ$15:$AZ$81,$C12,S14_Growth_Model_ExAnte!$X$15:$X$81)/COUNTIF(S14_Growth_Model_ExAnte!$AZ$15:$AZ$81,$C12),0))))*$O12*S08_Defaults!$B$6*(1+S08_Defaults!$B$7)*S08_Defaults!$B$8</x:f>
        <x:v>4241.060475229273</x:v>
      </x:c>
      <x:c r="AH12" s="115" t="n">
        <x:f aca="0">(IF($K12&gt;=2,SUMIF(S14_Growth_Model_ExAnte!$C$15:$C$81,$B12,S14_Growth_Model_ExAnte!$Y$15:$Y$81)/$K12,IF($L12&gt;=2,SUMIF(S14_Growth_Model_ExAnte!$AY$15:$AY$81,$C12&amp;"|"&amp;$D12,S14_Growth_Model_ExAnte!$Y$15:$Y$81)/$L12,IF(COUNTIF(S14_Growth_Model_ExAnte!$AZ$15:$AZ$81,$C12)&gt;0,SUMIF(S14_Growth_Model_ExAnte!$AZ$15:$AZ$81,$C12,S14_Growth_Model_ExAnte!$Y$15:$Y$81)/COUNTIF(S14_Growth_Model_ExAnte!$AZ$15:$AZ$81,$C12),0))))*$O12*S08_Defaults!$B$6*(1+S08_Defaults!$B$7)*S08_Defaults!$B$8</x:f>
        <x:v>4491.257480302552</x:v>
      </x:c>
      <x:c r="AI12" s="115" t="n">
        <x:f aca="0">(IF($K12&gt;=2,SUMIF(S14_Growth_Model_ExAnte!$C$15:$C$81,$B12,S14_Growth_Model_ExAnte!$Z$15:$Z$81)/$K12,IF($L12&gt;=2,SUMIF(S14_Growth_Model_ExAnte!$AY$15:$AY$81,$C12&amp;"|"&amp;$D12,S14_Growth_Model_ExAnte!$Z$15:$Z$81)/$L12,IF(COUNTIF(S14_Growth_Model_ExAnte!$AZ$15:$AZ$81,$C12)&gt;0,SUMIF(S14_Growth_Model_ExAnte!$AZ$15:$AZ$81,$C12,S14_Growth_Model_ExAnte!$Z$15:$Z$81)/COUNTIF(S14_Growth_Model_ExAnte!$AZ$15:$AZ$81,$C12),0))))*$O12*S08_Defaults!$B$6*(1+S08_Defaults!$B$7)*S08_Defaults!$B$8</x:f>
        <x:v>4714.931007111416</x:v>
      </x:c>
      <x:c r="AJ12" s="115" t="n">
        <x:f aca="0">(IF($K12&gt;=2,SUMIF(S14_Growth_Model_ExAnte!$C$15:$C$81,$B12,S14_Growth_Model_ExAnte!$AA$15:$AA$81)/$K12,IF($L12&gt;=2,SUMIF(S14_Growth_Model_ExAnte!$AY$15:$AY$81,$C12&amp;"|"&amp;$D12,S14_Growth_Model_ExAnte!$AA$15:$AA$81)/$L12,IF(COUNTIF(S14_Growth_Model_ExAnte!$AZ$15:$AZ$81,$C12)&gt;0,SUMIF(S14_Growth_Model_ExAnte!$AZ$15:$AZ$81,$C12,S14_Growth_Model_ExAnte!$AA$15:$AA$81)/COUNTIF(S14_Growth_Model_ExAnte!$AZ$15:$AZ$81,$C12),0))))*$O12*S08_Defaults!$B$6*(1+S08_Defaults!$B$7)*S08_Defaults!$B$8</x:f>
        <x:v>4913.862228644655</x:v>
      </x:c>
      <x:c r="AK12" s="115" t="n">
        <x:f aca="0">(IF($K12&gt;=2,SUMIF(S14_Growth_Model_ExAnte!$C$15:$C$81,$B12,S14_Growth_Model_ExAnte!$AB$15:$AB$81)/$K12,IF($L12&gt;=2,SUMIF(S14_Growth_Model_ExAnte!$AY$15:$AY$81,$C12&amp;"|"&amp;$D12,S14_Growth_Model_ExAnte!$AB$15:$AB$81)/$L12,IF(COUNTIF(S14_Growth_Model_ExAnte!$AZ$15:$AZ$81,$C12)&gt;0,SUMIF(S14_Growth_Model_ExAnte!$AZ$15:$AZ$81,$C12,S14_Growth_Model_ExAnte!$AB$15:$AB$81)/COUNTIF(S14_Growth_Model_ExAnte!$AZ$15:$AZ$81,$C12),0))))*$O12*S08_Defaults!$B$6*(1+S08_Defaults!$B$7)*S08_Defaults!$B$8</x:f>
        <x:v>5090.041167714973</x:v>
      </x:c>
      <x:c r="AL12" s="115" t="n">
        <x:f aca="0">(IF($K12&gt;=2,SUMIF(S14_Growth_Model_ExAnte!$C$15:$C$81,$B12,S14_Growth_Model_ExAnte!$AC$15:$AC$81)/$K12,IF($L12&gt;=2,SUMIF(S14_Growth_Model_ExAnte!$AY$15:$AY$81,$C12&amp;"|"&amp;$D12,S14_Growth_Model_ExAnte!$AC$15:$AC$81)/$L12,IF(COUNTIF(S14_Growth_Model_ExAnte!$AZ$15:$AZ$81,$C12)&gt;0,SUMIF(S14_Growth_Model_ExAnte!$AZ$15:$AZ$81,$C12,S14_Growth_Model_ExAnte!$AC$15:$AC$81)/COUNTIF(S14_Growth_Model_ExAnte!$AZ$15:$AZ$81,$C12),0))))*$O12*S08_Defaults!$B$6*(1+S08_Defaults!$B$7)*S08_Defaults!$B$8</x:f>
        <x:v>5245.530021136775</x:v>
      </x:c>
      <x:c r="AM12" s="115" t="n">
        <x:f aca="0">R12</x:f>
        <x:v>0</x:v>
      </x:c>
      <x:c r="AN12" s="115" t="n">
        <x:f aca="0">S12-R12</x:f>
        <x:v>4.864334809348277</x:v>
      </x:c>
      <x:c r="AO12" s="115" t="n">
        <x:f aca="0">T12-S12</x:f>
        <x:v>42.7820884057704</x:v>
      </x:c>
      <x:c r="AP12" s="115" t="n">
        <x:f aca="0">U12-T12</x:f>
        <x:v>114.55017609469306</x:v>
      </x:c>
      <x:c r="AQ12" s="115" t="n">
        <x:f aca="0">V12-U12</x:f>
        <x:v>199.883921590643</x:v>
      </x:c>
      <x:c r="AR12" s="115" t="n">
        <x:f aca="0">W12-V12</x:f>
        <x:v>278.24526595900863</x:v>
      </x:c>
      <x:c r="AS12" s="115" t="n">
        <x:f aca="0">X12-W12</x:f>
        <x:v>339.85002723147977</x:v>
      </x:c>
      <x:c r="AT12" s="115" t="n">
        <x:f aca="0">Y12-X12</x:f>
        <x:v>381.266162034943</x:v>
      </x:c>
      <x:c r="AU12" s="115" t="n">
        <x:f aca="0">Z12-Y12</x:f>
        <x:v>403.2753940028658</x:v>
      </x:c>
      <x:c r="AV12" s="115" t="n">
        <x:f aca="0">AA12-Z12</x:f>
        <x:v>408.76875317378835</x:v>
      </x:c>
      <x:c r="AW12" s="115" t="n">
        <x:f aca="0">AB12-AA12</x:f>
        <x:v>401.3669322235687</x:v>
      </x:c>
      <x:c r="AX12" s="115" t="n">
        <x:f aca="0">AC12-AB12</x:f>
        <x:v>384.63249404775615</x:v>
      </x:c>
      <x:c r="AY12" s="115" t="n">
        <x:f aca="0">AD12-AC12</x:f>
        <x:v>361.6853241508843</x:v>
      </x:c>
      <x:c r="AZ12" s="115" t="n">
        <x:f aca="0">AE12-AD12</x:f>
        <x:v>335.06421235076004</x:v>
      </x:c>
      <x:c r="BA12" s="115" t="n">
        <x:f aca="0">AF12-AE12</x:f>
        <x:v>306.7243971783041</x:v>
      </x:c>
      <x:c r="BB12" s="115" t="n">
        <x:f aca="0">AG12-AF12</x:f>
        <x:v>278.10099197545924</x:v>
      </x:c>
      <x:c r="BC12" s="115" t="n">
        <x:f aca="0">AH12-AG12</x:f>
        <x:v>250.1970050732789</x:v>
      </x:c>
      <x:c r="BD12" s="115" t="n">
        <x:f aca="0">AI12-AH12</x:f>
        <x:v>223.67352680886415</x:v>
      </x:c>
      <x:c r="BE12" s="115" t="n">
        <x:f aca="0">AJ12-AI12</x:f>
        <x:v>198.9312215332393</x:v>
      </x:c>
      <x:c r="BF12" s="115" t="n">
        <x:f aca="0">AK12-AJ12</x:f>
        <x:v>176.17893907031794</x:v>
      </x:c>
      <x:c r="BG12" s="115" t="n">
        <x:f aca="0">AL12-AK12</x:f>
        <x:v>155.48885342180165</x:v>
      </x:c>
    </x:row>
    <x:row r="13" ht="15" hidden="0" customHeight="1">
      <x:c r="A13" s="160" t="str">
        <x:f aca="0">"S"&amp;TEXT(ROW()-3,"00")</x:f>
        <x:v>S10</x:v>
      </x:c>
      <x:c r="B13" s="161" t="s">
        <x:v>555</x:v>
      </x:c>
      <x:c r="C13" s="160" t="str">
        <x:f aca="0">LEFT($B13,FIND("|",$B13)-1)</x:f>
        <x:v>Fruit Orchard</x:v>
      </x:c>
      <x:c r="D13" s="160" t="str">
        <x:f aca="0">MID($B13,FIND("|",$B13)+1,FIND("|",$B13,FIND("|",$B13)+1)-FIND("|",$B13)-1)</x:f>
        <x:v>Medium</x:v>
      </x:c>
      <x:c r="E13" s="160" t="n">
        <x:f aca="0">VALUE(RIGHT($B13,4))</x:f>
        <x:v>2020</x:v>
      </x:c>
      <x:c r="F13" s="115" t="n">
        <x:f aca="0">SUMIF(S17_Biome_Strata!$G$4:$G$95,$B13,S17_Biome_Strata!$E$4:$E$95)</x:f>
        <x:v>441</x:v>
      </x:c>
      <x:c r="G13" s="115" t="n">
        <x:f aca="0">SUMIF(S17_Biome_Strata!$G$4:$G$95,$B13,S17_Biome_Strata!$F$4:$F$95)</x:f>
        <x:v>521.2552598138406</x:v>
      </x:c>
      <x:c r="H13" s="115" t="n">
        <x:f aca="0">IF($K13&gt;=2,SUMIF(S14_Growth_Model_ExAnte!$C$15:$C$81,$B13,S14_Growth_Model_ExAnte!$O$15:$O$81)/$K13,IF($L13&gt;=2,SUMIF(S14_Growth_Model_ExAnte!$AY$15:$AY$81,$C13&amp;"|"&amp;$D13,S14_Growth_Model_ExAnte!$O$15:$O$81)/$L13,IF(COUNTIF(S14_Growth_Model_ExAnte!$AZ$15:$AZ$81,$C13)&gt;0,SUMIF(S14_Growth_Model_ExAnte!$AZ$15:$AZ$81,$C13,S14_Growth_Model_ExAnte!$O$15:$O$81)/COUNTIF(S14_Growth_Model_ExAnte!$AZ$15:$AZ$81,$C13),0)))</x:f>
        <x:v>14.696395039632932</x:v>
      </x:c>
      <x:c r="I13" s="115" t="n">
        <x:f aca="0">IF($K13&gt;=2,SQRT(MAX(0,(SUMIF(S14_Growth_Model_ExAnte!$C$15:$C$81,$B13,S14_Growth_Model_ExAnte!$BG$15:$BG$81)-SUMIF(S14_Growth_Model_ExAnte!$C$15:$C$81,$B13,S14_Growth_Model_ExAnte!$O$15:$O$81)*SUMIF(S14_Growth_Model_ExAnte!$C$15:$C$81,$B13,S14_Growth_Model_ExAnte!$O$15:$O$81)/$K13)/($K13-1))),IF($L13&gt;=2,SQRT(MAX(0,(SUMIF(S14_Growth_Model_ExAnte!$AY$15:$AY$81,$C13&amp;"|"&amp;$D13,S14_Growth_Model_ExAnte!$BG$15:$BG$81)-SUMIF(S14_Growth_Model_ExAnte!$AY$15:$AY$81,$C13&amp;"|"&amp;$D13,S14_Growth_Model_ExAnte!$O$15:$O$81)*SUMIF(S14_Growth_Model_ExAnte!$AY$15:$AY$81,$C13&amp;"|"&amp;$D13,S14_Growth_Model_ExAnte!$O$15:$O$81)/$L13)/($L13-1))),IF(COUNTIF(S14_Growth_Model_ExAnte!$AZ$15:$AZ$81,$C13)&gt;=2,SQRT(MAX(0,(SUMIF(S14_Growth_Model_ExAnte!$AZ$15:$AZ$81,$C13,S14_Growth_Model_ExAnte!$BG$15:$BG$81)-SUMIF(S14_Growth_Model_ExAnte!$AZ$15:$AZ$81,$C13,S14_Growth_Model_ExAnte!$O$15:$O$81)*SUMIF(S14_Growth_Model_ExAnte!$AZ$15:$AZ$81,$C13,S14_Growth_Model_ExAnte!$O$15:$O$81)/COUNTIF(S14_Growth_Model_ExAnte!$AZ$15:$AZ$81,$C13))/(COUNTIF(S14_Growth_Model_ExAnte!$AZ$15:$AZ$81,$C13)-1))),0)))</x:f>
        <x:v>9.166950046584212</x:v>
      </x:c>
      <x:c r="J13" s="115" t="n">
        <x:f aca="0">IFERROR(I13/H13,0)</x:f>
        <x:v>0.6237550107943459</x:v>
      </x:c>
      <x:c r="K13" s="115" t="n">
        <x:f aca="0">COUNTIF(S14_Growth_Model_ExAnte!$C$15:$C$81,$B13)</x:f>
        <x:v>2</x:v>
      </x:c>
      <x:c r="L13" s="115" t="n">
        <x:f aca="0">COUNTIF(S14_Growth_Model_ExAnte!$AY$15:$AY$81,$C13&amp;"|"&amp;$D13)</x:f>
        <x:v>7</x:v>
      </x:c>
      <x:c r="M13" s="115" t="n">
        <x:f aca="0">$H13</x:f>
        <x:v>14.696395039632932</x:v>
      </x:c>
      <x:c r="N13" s="115" t="n">
        <x:f aca="0">MAX(0,$M13*S08_Defaults!$B$5)</x:f>
        <x:v>11.0222962797247</x:v>
      </x:c>
      <x:c r="O13" s="115" t="n">
        <x:f aca="0">IFERROR($N13/$M13,0)</x:f>
        <x:v>0.75</x:v>
      </x:c>
      <x:c r="P13" s="115" t="str">
        <x:f aca="0">IF($K13&gt;=2,"Exact Stratum PSP Chapman-Richards curve",IF($L13&gt;=2,"Model×Density pooled Chapman-Richards curve","Model pooled Chapman-Richards curve"))</x:f>
        <x:v>Exact Stratum PSP Chapman-Richards curve</x:v>
      </x:c>
      <x:c r="Q13" s="162" t="s">
        <x:v>1106</x:v>
      </x:c>
      <x:c r="R13" s="115" t="n">
        <x:f aca="0">(IF($K13&gt;=2,SUMIF(S14_Growth_Model_ExAnte!$C$15:$C$81,$B13,S14_Growth_Model_ExAnte!$I$15:$I$81)/$K13,IF($L13&gt;=2,SUMIF(S14_Growth_Model_ExAnte!$AY$15:$AY$81,$C13&amp;"|"&amp;$D13,S14_Growth_Model_ExAnte!$I$15:$I$81)/$L13,IF(COUNTIF(S14_Growth_Model_ExAnte!$AZ$15:$AZ$81,$C13)&gt;0,SUMIF(S14_Growth_Model_ExAnte!$AZ$15:$AZ$81,$C13,S14_Growth_Model_ExAnte!$I$15:$I$81)/COUNTIF(S14_Growth_Model_ExAnte!$AZ$15:$AZ$81,$C13),0))))*$O13*S08_Defaults!$B$6*(1+S08_Defaults!$B$7)*S08_Defaults!$B$8</x:f>
        <x:v>0</x:v>
      </x:c>
      <x:c r="S13" s="115" t="n">
        <x:f aca="0">(IF($K13&gt;=2,SUMIF(S14_Growth_Model_ExAnte!$C$15:$C$81,$B13,S14_Growth_Model_ExAnte!$J$15:$J$81)/$K13,IF($L13&gt;=2,SUMIF(S14_Growth_Model_ExAnte!$AY$15:$AY$81,$C13&amp;"|"&amp;$D13,S14_Growth_Model_ExAnte!$J$15:$J$81)/$L13,IF(COUNTIF(S14_Growth_Model_ExAnte!$AZ$15:$AZ$81,$C13)&gt;0,SUMIF(S14_Growth_Model_ExAnte!$AZ$15:$AZ$81,$C13,S14_Growth_Model_ExAnte!$J$15:$J$81)/COUNTIF(S14_Growth_Model_ExAnte!$AZ$15:$AZ$81,$C13),0))))*$O13*S08_Defaults!$B$6*(1+S08_Defaults!$B$7)*S08_Defaults!$B$8</x:f>
        <x:v>0.06926048119973205</x:v>
      </x:c>
      <x:c r="T13" s="115" t="n">
        <x:f aca="0">(IF($K13&gt;=2,SUMIF(S14_Growth_Model_ExAnte!$C$15:$C$81,$B13,S14_Growth_Model_ExAnte!$K$15:$K$81)/$K13,IF($L13&gt;=2,SUMIF(S14_Growth_Model_ExAnte!$AY$15:$AY$81,$C13&amp;"|"&amp;$D13,S14_Growth_Model_ExAnte!$K$15:$K$81)/$L13,IF(COUNTIF(S14_Growth_Model_ExAnte!$AZ$15:$AZ$81,$C13)&gt;0,SUMIF(S14_Growth_Model_ExAnte!$AZ$15:$AZ$81,$C13,S14_Growth_Model_ExAnte!$K$15:$K$81)/COUNTIF(S14_Growth_Model_ExAnte!$AZ$15:$AZ$81,$C13),0))))*$O13*S08_Defaults!$B$6*(1+S08_Defaults!$B$7)*S08_Defaults!$B$8</x:f>
        <x:v>0.8356871819009624</x:v>
      </x:c>
      <x:c r="U13" s="115" t="n">
        <x:f aca="0">(IF($K13&gt;=2,SUMIF(S14_Growth_Model_ExAnte!$C$15:$C$81,$B13,S14_Growth_Model_ExAnte!$L$15:$L$81)/$K13,IF($L13&gt;=2,SUMIF(S14_Growth_Model_ExAnte!$AY$15:$AY$81,$C13&amp;"|"&amp;$D13,S14_Growth_Model_ExAnte!$L$15:$L$81)/$L13,IF(COUNTIF(S14_Growth_Model_ExAnte!$AZ$15:$AZ$81,$C13)&gt;0,SUMIF(S14_Growth_Model_ExAnte!$AZ$15:$AZ$81,$C13,S14_Growth_Model_ExAnte!$L$15:$L$81)/COUNTIF(S14_Growth_Model_ExAnte!$AZ$15:$AZ$81,$C13),0))))*$O13*S08_Defaults!$B$6*(1+S08_Defaults!$B$7)*S08_Defaults!$B$8</x:f>
        <x:v>3.2052071159215103</x:v>
      </x:c>
      <x:c r="V13" s="115" t="n">
        <x:f aca="0">(IF($K13&gt;=2,SUMIF(S14_Growth_Model_ExAnte!$C$15:$C$81,$B13,S14_Growth_Model_ExAnte!$M$15:$M$81)/$K13,IF($L13&gt;=2,SUMIF(S14_Growth_Model_ExAnte!$AY$15:$AY$81,$C13&amp;"|"&amp;$D13,S14_Growth_Model_ExAnte!$M$15:$M$81)/$L13,IF(COUNTIF(S14_Growth_Model_ExAnte!$AZ$15:$AZ$81,$C13)&gt;0,SUMIF(S14_Growth_Model_ExAnte!$AZ$15:$AZ$81,$C13,S14_Growth_Model_ExAnte!$M$15:$M$81)/COUNTIF(S14_Growth_Model_ExAnte!$AZ$15:$AZ$81,$C13),0))))*$O13*S08_Defaults!$B$6*(1+S08_Defaults!$B$7)*S08_Defaults!$B$8</x:f>
        <x:v>7.772014633913014</x:v>
      </x:c>
      <x:c r="W13" s="115" t="n">
        <x:f aca="0">(IF($K13&gt;=2,SUMIF(S14_Growth_Model_ExAnte!$C$15:$C$81,$B13,S14_Growth_Model_ExAnte!$N$15:$N$81)/$K13,IF($L13&gt;=2,SUMIF(S14_Growth_Model_ExAnte!$AY$15:$AY$81,$C13&amp;"|"&amp;$D13,S14_Growth_Model_ExAnte!$N$15:$N$81)/$L13,IF(COUNTIF(S14_Growth_Model_ExAnte!$AZ$15:$AZ$81,$C13)&gt;0,SUMIF(S14_Growth_Model_ExAnte!$AZ$15:$AZ$81,$C13,S14_Growth_Model_ExAnte!$N$15:$N$81)/COUNTIF(S14_Growth_Model_ExAnte!$AZ$15:$AZ$81,$C13),0))))*$O13*S08_Defaults!$B$6*(1+S08_Defaults!$B$7)*S08_Defaults!$B$8</x:f>
        <x:v>14.634394131534494</x:v>
      </x:c>
      <x:c r="X13" s="115" t="n">
        <x:f aca="0">(IF($K13&gt;=2,SUMIF(S14_Growth_Model_ExAnte!$C$15:$C$81,$B13,S14_Growth_Model_ExAnte!$O$15:$O$81)/$K13,IF($L13&gt;=2,SUMIF(S14_Growth_Model_ExAnte!$AY$15:$AY$81,$C13&amp;"|"&amp;$D13,S14_Growth_Model_ExAnte!$O$15:$O$81)/$L13,IF(COUNTIF(S14_Growth_Model_ExAnte!$AZ$15:$AZ$81,$C13)&gt;0,SUMIF(S14_Growth_Model_ExAnte!$AZ$15:$AZ$81,$C13,S14_Growth_Model_ExAnte!$O$15:$O$81)/COUNTIF(S14_Growth_Model_ExAnte!$AZ$15:$AZ$81,$C13),0))))*$O13*S08_Defaults!$B$6*(1+S08_Defaults!$B$7)*S08_Defaults!$B$8</x:f>
        <x:v>23.55391233001972</x:v>
      </x:c>
      <x:c r="Y13" s="115" t="n">
        <x:f aca="0">(IF($K13&gt;=2,SUMIF(S14_Growth_Model_ExAnte!$C$15:$C$81,$B13,S14_Growth_Model_ExAnte!$P$15:$P$81)/$K13,IF($L13&gt;=2,SUMIF(S14_Growth_Model_ExAnte!$AY$15:$AY$81,$C13&amp;"|"&amp;$D13,S14_Growth_Model_ExAnte!$P$15:$P$81)/$L13,IF(COUNTIF(S14_Growth_Model_ExAnte!$AZ$15:$AZ$81,$C13)&gt;0,SUMIF(S14_Growth_Model_ExAnte!$AZ$15:$AZ$81,$C13,S14_Growth_Model_ExAnte!$P$15:$P$81)/COUNTIF(S14_Growth_Model_ExAnte!$AZ$15:$AZ$81,$C13),0))))*$O13*S08_Defaults!$B$6*(1+S08_Defaults!$B$7)*S08_Defaults!$B$8</x:f>
        <x:v>34.10206893558147</x:v>
      </x:c>
      <x:c r="Z13" s="115" t="n">
        <x:f aca="0">(IF($K13&gt;=2,SUMIF(S14_Growth_Model_ExAnte!$C$15:$C$81,$B13,S14_Growth_Model_ExAnte!$Q$15:$Q$81)/$K13,IF($L13&gt;=2,SUMIF(S14_Growth_Model_ExAnte!$AY$15:$AY$81,$C13&amp;"|"&amp;$D13,S14_Growth_Model_ExAnte!$Q$15:$Q$81)/$L13,IF(COUNTIF(S14_Growth_Model_ExAnte!$AZ$15:$AZ$81,$C13)&gt;0,SUMIF(S14_Growth_Model_ExAnte!$AZ$15:$AZ$81,$C13,S14_Growth_Model_ExAnte!$Q$15:$Q$81)/COUNTIF(S14_Growth_Model_ExAnte!$AZ$15:$AZ$81,$C13),0))))*$O13*S08_Defaults!$B$6*(1+S08_Defaults!$B$7)*S08_Defaults!$B$8</x:f>
        <x:v>45.784385494931186</x:v>
      </x:c>
      <x:c r="AA13" s="115" t="n">
        <x:f aca="0">(IF($K13&gt;=2,SUMIF(S14_Growth_Model_ExAnte!$C$15:$C$81,$B13,S14_Growth_Model_ExAnte!$R$15:$R$81)/$K13,IF($L13&gt;=2,SUMIF(S14_Growth_Model_ExAnte!$AY$15:$AY$81,$C13&amp;"|"&amp;$D13,S14_Growth_Model_ExAnte!$R$15:$R$81)/$L13,IF(COUNTIF(S14_Growth_Model_ExAnte!$AZ$15:$AZ$81,$C13)&gt;0,SUMIF(S14_Growth_Model_ExAnte!$AZ$15:$AZ$81,$C13,S14_Growth_Model_ExAnte!$R$15:$R$81)/COUNTIF(S14_Growth_Model_ExAnte!$AZ$15:$AZ$81,$C13),0))))*$O13*S08_Defaults!$B$6*(1+S08_Defaults!$B$7)*S08_Defaults!$B$8</x:f>
        <x:v>58.12130558906018</x:v>
      </x:c>
      <x:c r="AB13" s="115" t="n">
        <x:f aca="0">(IF($K13&gt;=2,SUMIF(S14_Growth_Model_ExAnte!$C$15:$C$81,$B13,S14_Growth_Model_ExAnte!$S$15:$S$81)/$K13,IF($L13&gt;=2,SUMIF(S14_Growth_Model_ExAnte!$AY$15:$AY$81,$C13&amp;"|"&amp;$D13,S14_Growth_Model_ExAnte!$S$15:$S$81)/$L13,IF(COUNTIF(S14_Growth_Model_ExAnte!$AZ$15:$AZ$81,$C13)&gt;0,SUMIF(S14_Growth_Model_ExAnte!$AZ$15:$AZ$81,$C13,S14_Growth_Model_ExAnte!$S$15:$S$81)/COUNTIF(S14_Growth_Model_ExAnte!$AZ$15:$AZ$81,$C13),0))))*$O13*S08_Defaults!$B$6*(1+S08_Defaults!$B$7)*S08_Defaults!$B$8</x:f>
        <x:v>70.69253798715549</x:v>
      </x:c>
      <x:c r="AC13" s="115" t="n">
        <x:f aca="0">(IF($K13&gt;=2,SUMIF(S14_Growth_Model_ExAnte!$C$15:$C$81,$B13,S14_Growth_Model_ExAnte!$T$15:$T$81)/$K13,IF($L13&gt;=2,SUMIF(S14_Growth_Model_ExAnte!$AY$15:$AY$81,$C13&amp;"|"&amp;$D13,S14_Growth_Model_ExAnte!$T$15:$T$81)/$L13,IF(COUNTIF(S14_Growth_Model_ExAnte!$AZ$15:$AZ$81,$C13)&gt;0,SUMIF(S14_Growth_Model_ExAnte!$AZ$15:$AZ$81,$C13,S14_Growth_Model_ExAnte!$T$15:$T$81)/COUNTIF(S14_Growth_Model_ExAnte!$AZ$15:$AZ$81,$C13),0))))*$O13*S08_Defaults!$B$6*(1+S08_Defaults!$B$7)*S08_Defaults!$B$8</x:f>
        <x:v>83.15564243060469</x:v>
      </x:c>
      <x:c r="AD13" s="115" t="n">
        <x:f aca="0">(IF($K13&gt;=2,SUMIF(S14_Growth_Model_ExAnte!$C$15:$C$81,$B13,S14_Growth_Model_ExAnte!$U$15:$U$81)/$K13,IF($L13&gt;=2,SUMIF(S14_Growth_Model_ExAnte!$AY$15:$AY$81,$C13&amp;"|"&amp;$D13,S14_Growth_Model_ExAnte!$U$15:$U$81)/$L13,IF(COUNTIF(S14_Growth_Model_ExAnte!$AZ$15:$AZ$81,$C13)&gt;0,SUMIF(S14_Growth_Model_ExAnte!$AZ$15:$AZ$81,$C13,S14_Growth_Model_ExAnte!$U$15:$U$81)/COUNTIF(S14_Growth_Model_ExAnte!$AZ$15:$AZ$81,$C13),0))))*$O13*S08_Defaults!$B$6*(1+S08_Defaults!$B$7)*S08_Defaults!$B$8</x:f>
        <x:v>95.24851896646659</x:v>
      </x:c>
      <x:c r="AE13" s="115" t="n">
        <x:f aca="0">(IF($K13&gt;=2,SUMIF(S14_Growth_Model_ExAnte!$C$15:$C$81,$B13,S14_Growth_Model_ExAnte!$V$15:$V$81)/$K13,IF($L13&gt;=2,SUMIF(S14_Growth_Model_ExAnte!$AY$15:$AY$81,$C13&amp;"|"&amp;$D13,S14_Growth_Model_ExAnte!$V$15:$V$81)/$L13,IF(COUNTIF(S14_Growth_Model_ExAnte!$AZ$15:$AZ$81,$C13)&gt;0,SUMIF(S14_Growth_Model_ExAnte!$AZ$15:$AZ$81,$C13,S14_Growth_Model_ExAnte!$V$15:$V$81)/COUNTIF(S14_Growth_Model_ExAnte!$AZ$15:$AZ$81,$C13),0))))*$O13*S08_Defaults!$B$6*(1+S08_Defaults!$B$7)*S08_Defaults!$B$8</x:f>
        <x:v>106.78296780569482</x:v>
      </x:c>
      <x:c r="AF13" s="115" t="n">
        <x:f aca="0">(IF($K13&gt;=2,SUMIF(S14_Growth_Model_ExAnte!$C$15:$C$81,$B13,S14_Growth_Model_ExAnte!$W$15:$W$81)/$K13,IF($L13&gt;=2,SUMIF(S14_Growth_Model_ExAnte!$AY$15:$AY$81,$C13&amp;"|"&amp;$D13,S14_Growth_Model_ExAnte!$W$15:$W$81)/$L13,IF(COUNTIF(S14_Growth_Model_ExAnte!$AZ$15:$AZ$81,$C13)&gt;0,SUMIF(S14_Growth_Model_ExAnte!$AZ$15:$AZ$81,$C13,S14_Growth_Model_ExAnte!$W$15:$W$81)/COUNTIF(S14_Growth_Model_ExAnte!$AZ$15:$AZ$81,$C13),0))))*$O13*S08_Defaults!$B$6*(1+S08_Defaults!$B$7)*S08_Defaults!$B$8</x:f>
        <x:v>117.6341076893758</x:v>
      </x:c>
      <x:c r="AG13" s="115" t="n">
        <x:f aca="0">(IF($K13&gt;=2,SUMIF(S14_Growth_Model_ExAnte!$C$15:$C$81,$B13,S14_Growth_Model_ExAnte!$X$15:$X$81)/$K13,IF($L13&gt;=2,SUMIF(S14_Growth_Model_ExAnte!$AY$15:$AY$81,$C13&amp;"|"&amp;$D13,S14_Growth_Model_ExAnte!$X$15:$X$81)/$L13,IF(COUNTIF(S14_Growth_Model_ExAnte!$AZ$15:$AZ$81,$C13)&gt;0,SUMIF(S14_Growth_Model_ExAnte!$AZ$15:$AZ$81,$C13,S14_Growth_Model_ExAnte!$X$15:$X$81)/COUNTIF(S14_Growth_Model_ExAnte!$AZ$15:$AZ$81,$C13),0))))*$O13*S08_Defaults!$B$6*(1+S08_Defaults!$B$7)*S08_Defaults!$B$8</x:f>
        <x:v>127.72859818772162</x:v>
      </x:c>
      <x:c r="AH13" s="115" t="n">
        <x:f aca="0">(IF($K13&gt;=2,SUMIF(S14_Growth_Model_ExAnte!$C$15:$C$81,$B13,S14_Growth_Model_ExAnte!$Y$15:$Y$81)/$K13,IF($L13&gt;=2,SUMIF(S14_Growth_Model_ExAnte!$AY$15:$AY$81,$C13&amp;"|"&amp;$D13,S14_Growth_Model_ExAnte!$Y$15:$Y$81)/$L13,IF(COUNTIF(S14_Growth_Model_ExAnte!$AZ$15:$AZ$81,$C13)&gt;0,SUMIF(S14_Growth_Model_ExAnte!$AZ$15:$AZ$81,$C13,S14_Growth_Model_ExAnte!$Y$15:$Y$81)/COUNTIF(S14_Growth_Model_ExAnte!$AZ$15:$AZ$81,$C13),0))))*$O13*S08_Defaults!$B$6*(1+S08_Defaults!$B$7)*S08_Defaults!$B$8</x:f>
        <x:v>137.03332468966457</x:v>
      </x:c>
      <x:c r="AI13" s="115" t="n">
        <x:f aca="0">(IF($K13&gt;=2,SUMIF(S14_Growth_Model_ExAnte!$C$15:$C$81,$B13,S14_Growth_Model_ExAnte!$Z$15:$Z$81)/$K13,IF($L13&gt;=2,SUMIF(S14_Growth_Model_ExAnte!$AY$15:$AY$81,$C13&amp;"|"&amp;$D13,S14_Growth_Model_ExAnte!$Z$15:$Z$81)/$L13,IF(COUNTIF(S14_Growth_Model_ExAnte!$AZ$15:$AZ$81,$C13)&gt;0,SUMIF(S14_Growth_Model_ExAnte!$AZ$15:$AZ$81,$C13,S14_Growth_Model_ExAnte!$Z$15:$Z$81)/COUNTIF(S14_Growth_Model_ExAnte!$AZ$15:$AZ$81,$C13),0))))*$O13*S08_Defaults!$B$6*(1+S08_Defaults!$B$7)*S08_Defaults!$B$8</x:f>
        <x:v>145.54536734192152</x:v>
      </x:c>
      <x:c r="AJ13" s="115" t="n">
        <x:f aca="0">(IF($K13&gt;=2,SUMIF(S14_Growth_Model_ExAnte!$C$15:$C$81,$B13,S14_Growth_Model_ExAnte!$AA$15:$AA$81)/$K13,IF($L13&gt;=2,SUMIF(S14_Growth_Model_ExAnte!$AY$15:$AY$81,$C13&amp;"|"&amp;$D13,S14_Growth_Model_ExAnte!$AA$15:$AA$81)/$L13,IF(COUNTIF(S14_Growth_Model_ExAnte!$AZ$15:$AZ$81,$C13)&gt;0,SUMIF(S14_Growth_Model_ExAnte!$AZ$15:$AZ$81,$C13,S14_Growth_Model_ExAnte!$AA$15:$AA$81)/COUNTIF(S14_Growth_Model_ExAnte!$AZ$15:$AZ$81,$C13),0))))*$O13*S08_Defaults!$B$6*(1+S08_Defaults!$B$7)*S08_Defaults!$B$8</x:f>
        <x:v>153.2835625814983</x:v>
      </x:c>
      <x:c r="AK13" s="115" t="n">
        <x:f aca="0">(IF($K13&gt;=2,SUMIF(S14_Growth_Model_ExAnte!$C$15:$C$81,$B13,S14_Growth_Model_ExAnte!$AB$15:$AB$81)/$K13,IF($L13&gt;=2,SUMIF(S14_Growth_Model_ExAnte!$AY$15:$AY$81,$C13&amp;"|"&amp;$D13,S14_Growth_Model_ExAnte!$AB$15:$AB$81)/$L13,IF(COUNTIF(S14_Growth_Model_ExAnte!$AZ$15:$AZ$81,$C13)&gt;0,SUMIF(S14_Growth_Model_ExAnte!$AZ$15:$AZ$81,$C13,S14_Growth_Model_ExAnte!$AB$15:$AB$81)/COUNTIF(S14_Growth_Model_ExAnte!$AZ$15:$AZ$81,$C13),0))))*$O13*S08_Defaults!$B$6*(1+S08_Defaults!$B$7)*S08_Defaults!$B$8</x:f>
        <x:v>160.28167294438046</x:v>
      </x:c>
      <x:c r="AL13" s="115" t="n">
        <x:f aca="0">(IF($K13&gt;=2,SUMIF(S14_Growth_Model_ExAnte!$C$15:$C$81,$B13,S14_Growth_Model_ExAnte!$AC$15:$AC$81)/$K13,IF($L13&gt;=2,SUMIF(S14_Growth_Model_ExAnte!$AY$15:$AY$81,$C13&amp;"|"&amp;$D13,S14_Growth_Model_ExAnte!$AC$15:$AC$81)/$L13,IF(COUNTIF(S14_Growth_Model_ExAnte!$AZ$15:$AZ$81,$C13)&gt;0,SUMIF(S14_Growth_Model_ExAnte!$AZ$15:$AZ$81,$C13,S14_Growth_Model_ExAnte!$AC$15:$AC$81)/COUNTIF(S14_Growth_Model_ExAnte!$AZ$15:$AZ$81,$C13),0))))*$O13*S08_Defaults!$B$6*(1+S08_Defaults!$B$7)*S08_Defaults!$B$8</x:f>
        <x:v>166.58302893091556</x:v>
      </x:c>
      <x:c r="AM13" s="115" t="n">
        <x:f aca="0">R13</x:f>
        <x:v>0</x:v>
      </x:c>
      <x:c r="AN13" s="115" t="n">
        <x:f aca="0">S13-R13</x:f>
        <x:v>0.06926048119973205</x:v>
      </x:c>
      <x:c r="AO13" s="115" t="n">
        <x:f aca="0">T13-S13</x:f>
        <x:v>0.7664267007012303</x:v>
      </x:c>
      <x:c r="AP13" s="115" t="n">
        <x:f aca="0">U13-T13</x:f>
        <x:v>2.369519934020548</x:v>
      </x:c>
      <x:c r="AQ13" s="115" t="n">
        <x:f aca="0">V13-U13</x:f>
        <x:v>4.566807517991504</x:v>
      </x:c>
      <x:c r="AR13" s="115" t="n">
        <x:f aca="0">W13-V13</x:f>
        <x:v>6.86237949762148</x:v>
      </x:c>
      <x:c r="AS13" s="115" t="n">
        <x:f aca="0">X13-W13</x:f>
        <x:v>8.919518198485227</x:v>
      </x:c>
      <x:c r="AT13" s="115" t="n">
        <x:f aca="0">Y13-X13</x:f>
        <x:v>10.54815660556175</x:v>
      </x:c>
      <x:c r="AU13" s="115" t="n">
        <x:f aca="0">Z13-Y13</x:f>
        <x:v>11.682316559349715</x:v>
      </x:c>
      <x:c r="AV13" s="115" t="n">
        <x:f aca="0">AA13-Z13</x:f>
        <x:v>12.336920094128992</x:v>
      </x:c>
      <x:c r="AW13" s="115" t="n">
        <x:f aca="0">AB13-AA13</x:f>
        <x:v>12.571232398095312</x:v>
      </x:c>
      <x:c r="AX13" s="115" t="n">
        <x:f aca="0">AC13-AB13</x:f>
        <x:v>12.463104443449197</x:v>
      </x:c>
      <x:c r="AY13" s="115" t="n">
        <x:f aca="0">AD13-AC13</x:f>
        <x:v>12.092876535861905</x:v>
      </x:c>
      <x:c r="AZ13" s="115" t="n">
        <x:f aca="0">AE13-AD13</x:f>
        <x:v>11.534448839228233</x:v>
      </x:c>
      <x:c r="BA13" s="115" t="n">
        <x:f aca="0">AF13-AE13</x:f>
        <x:v>10.851139883680972</x:v>
      </x:c>
      <x:c r="BB13" s="115" t="n">
        <x:f aca="0">AG13-AF13</x:f>
        <x:v>10.09449049834582</x:v>
      </x:c>
      <x:c r="BC13" s="115" t="n">
        <x:f aca="0">AH13-AG13</x:f>
        <x:v>9.304726501942952</x:v>
      </x:c>
      <x:c r="BD13" s="115" t="n">
        <x:f aca="0">AI13-AH13</x:f>
        <x:v>8.512042652256952</x:v>
      </x:c>
      <x:c r="BE13" s="115" t="n">
        <x:f aca="0">AJ13-AI13</x:f>
        <x:v>7.738195239576783</x:v>
      </x:c>
      <x:c r="BF13" s="115" t="n">
        <x:f aca="0">AK13-AJ13</x:f>
        <x:v>6.998110362882159</x:v>
      </x:c>
      <x:c r="BG13" s="115" t="n">
        <x:f aca="0">AL13-AK13</x:f>
        <x:v>6.3013559865351</x:v>
      </x:c>
    </x:row>
    <x:row r="14" ht="15" hidden="0" customHeight="1">
      <x:c r="A14" s="160" t="str">
        <x:f aca="0">"S"&amp;TEXT(ROW()-3,"00")</x:f>
        <x:v>S11</x:v>
      </x:c>
      <x:c r="B14" s="161" t="s">
        <x:v>630</x:v>
      </x:c>
      <x:c r="C14" s="160" t="str">
        <x:f aca="0">LEFT($B14,FIND("|",$B14)-1)</x:f>
        <x:v>Mixed Agroforestry</x:v>
      </x:c>
      <x:c r="D14" s="160" t="str">
        <x:f aca="0">MID($B14,FIND("|",$B14)+1,FIND("|",$B14,FIND("|",$B14)+1)-FIND("|",$B14)-1)</x:f>
        <x:v>High</x:v>
      </x:c>
      <x:c r="E14" s="160" t="n">
        <x:f aca="0">VALUE(RIGHT($B14,4))</x:f>
        <x:v>2020</x:v>
      </x:c>
      <x:c r="F14" s="115" t="n">
        <x:f aca="0">SUMIF(S17_Biome_Strata!$G$4:$G$95,$B14,S17_Biome_Strata!$E$4:$E$95)</x:f>
        <x:v>8</x:v>
      </x:c>
      <x:c r="G14" s="115" t="n">
        <x:f aca="0">SUMIF(S17_Biome_Strata!$G$4:$G$95,$B14,S17_Biome_Strata!$F$4:$F$95)</x:f>
        <x:v>7.2829</x:v>
      </x:c>
      <x:c r="H14" s="115" t="n">
        <x:f aca="0">IF($K14&gt;=2,SUMIF(S14_Growth_Model_ExAnte!$C$15:$C$81,$B14,S14_Growth_Model_ExAnte!$O$15:$O$81)/$K14,IF($L14&gt;=2,SUMIF(S14_Growth_Model_ExAnte!$AY$15:$AY$81,$C14&amp;"|"&amp;$D14,S14_Growth_Model_ExAnte!$O$15:$O$81)/$L14,IF(COUNTIF(S14_Growth_Model_ExAnte!$AZ$15:$AZ$81,$C14)&gt;0,SUMIF(S14_Growth_Model_ExAnte!$AZ$15:$AZ$81,$C14,S14_Growth_Model_ExAnte!$O$15:$O$81)/COUNTIF(S14_Growth_Model_ExAnte!$AZ$15:$AZ$81,$C14),0)))</x:f>
        <x:v>874.4823433687704</x:v>
      </x:c>
      <x:c r="I14" s="115" t="n">
        <x:f aca="0">IF($K14&gt;=2,SQRT(MAX(0,(SUMIF(S14_Growth_Model_ExAnte!$C$15:$C$81,$B14,S14_Growth_Model_ExAnte!$BG$15:$BG$81)-SUMIF(S14_Growth_Model_ExAnte!$C$15:$C$81,$B14,S14_Growth_Model_ExAnte!$O$15:$O$81)*SUMIF(S14_Growth_Model_ExAnte!$C$15:$C$81,$B14,S14_Growth_Model_ExAnte!$O$15:$O$81)/$K14)/($K14-1))),IF($L14&gt;=2,SQRT(MAX(0,(SUMIF(S14_Growth_Model_ExAnte!$AY$15:$AY$81,$C14&amp;"|"&amp;$D14,S14_Growth_Model_ExAnte!$BG$15:$BG$81)-SUMIF(S14_Growth_Model_ExAnte!$AY$15:$AY$81,$C14&amp;"|"&amp;$D14,S14_Growth_Model_ExAnte!$O$15:$O$81)*SUMIF(S14_Growth_Model_ExAnte!$AY$15:$AY$81,$C14&amp;"|"&amp;$D14,S14_Growth_Model_ExAnte!$O$15:$O$81)/$L14)/($L14-1))),IF(COUNTIF(S14_Growth_Model_ExAnte!$AZ$15:$AZ$81,$C14)&gt;=2,SQRT(MAX(0,(SUMIF(S14_Growth_Model_ExAnte!$AZ$15:$AZ$81,$C14,S14_Growth_Model_ExAnte!$BG$15:$BG$81)-SUMIF(S14_Growth_Model_ExAnte!$AZ$15:$AZ$81,$C14,S14_Growth_Model_ExAnte!$O$15:$O$81)*SUMIF(S14_Growth_Model_ExAnte!$AZ$15:$AZ$81,$C14,S14_Growth_Model_ExAnte!$O$15:$O$81)/COUNTIF(S14_Growth_Model_ExAnte!$AZ$15:$AZ$81,$C14))/(COUNTIF(S14_Growth_Model_ExAnte!$AZ$15:$AZ$81,$C14)-1))),0)))</x:f>
        <x:v>125.18393891352072</x:v>
      </x:c>
      <x:c r="J14" s="115" t="n">
        <x:f aca="0">IFERROR(I14/H14,0)</x:f>
        <x:v>0.14315204859514297</x:v>
      </x:c>
      <x:c r="K14" s="115" t="n">
        <x:f aca="0">COUNTIF(S14_Growth_Model_ExAnte!$C$15:$C$81,$B14)</x:f>
        <x:v>2</x:v>
      </x:c>
      <x:c r="L14" s="115" t="n">
        <x:f aca="0">COUNTIF(S14_Growth_Model_ExAnte!$AY$15:$AY$81,$C14&amp;"|"&amp;$D14)</x:f>
        <x:v>3</x:v>
      </x:c>
      <x:c r="M14" s="115" t="n">
        <x:f aca="0">$H14</x:f>
        <x:v>874.4823433687704</x:v>
      </x:c>
      <x:c r="N14" s="115" t="n">
        <x:f aca="0">MAX(0,$M14*S08_Defaults!$B$5)</x:f>
        <x:v>655.8617575265778</x:v>
      </x:c>
      <x:c r="O14" s="115" t="n">
        <x:f aca="0">IFERROR($N14/$M14,0)</x:f>
        <x:v>0.7499999999999999</x:v>
      </x:c>
      <x:c r="P14" s="115" t="str">
        <x:f aca="0">IF($K14&gt;=2,"Exact Stratum PSP Chapman-Richards curve",IF($L14&gt;=2,"Model×Density pooled Chapman-Richards curve","Model pooled Chapman-Richards curve"))</x:f>
        <x:v>Exact Stratum PSP Chapman-Richards curve</x:v>
      </x:c>
      <x:c r="Q14" s="162" t="s">
        <x:v>1106</x:v>
      </x:c>
      <x:c r="R14" s="115" t="n">
        <x:f aca="0">(IF($K14&gt;=2,SUMIF(S14_Growth_Model_ExAnte!$C$15:$C$81,$B14,S14_Growth_Model_ExAnte!$I$15:$I$81)/$K14,IF($L14&gt;=2,SUMIF(S14_Growth_Model_ExAnte!$AY$15:$AY$81,$C14&amp;"|"&amp;$D14,S14_Growth_Model_ExAnte!$I$15:$I$81)/$L14,IF(COUNTIF(S14_Growth_Model_ExAnte!$AZ$15:$AZ$81,$C14)&gt;0,SUMIF(S14_Growth_Model_ExAnte!$AZ$15:$AZ$81,$C14,S14_Growth_Model_ExAnte!$I$15:$I$81)/COUNTIF(S14_Growth_Model_ExAnte!$AZ$15:$AZ$81,$C14),0))))*$O14*S08_Defaults!$B$6*(1+S08_Defaults!$B$7)*S08_Defaults!$B$8</x:f>
        <x:v>0</x:v>
      </x:c>
      <x:c r="S14" s="115" t="n">
        <x:f aca="0">(IF($K14&gt;=2,SUMIF(S14_Growth_Model_ExAnte!$C$15:$C$81,$B14,S14_Growth_Model_ExAnte!$J$15:$J$81)/$K14,IF($L14&gt;=2,SUMIF(S14_Growth_Model_ExAnte!$AY$15:$AY$81,$C14&amp;"|"&amp;$D14,S14_Growth_Model_ExAnte!$J$15:$J$81)/$L14,IF(COUNTIF(S14_Growth_Model_ExAnte!$AZ$15:$AZ$81,$C14)&gt;0,SUMIF(S14_Growth_Model_ExAnte!$AZ$15:$AZ$81,$C14,S14_Growth_Model_ExAnte!$J$15:$J$81)/COUNTIF(S14_Growth_Model_ExAnte!$AZ$15:$AZ$81,$C14),0))))*$O14*S08_Defaults!$B$6*(1+S08_Defaults!$B$7)*S08_Defaults!$B$8</x:f>
        <x:v>6.009795344304627</x:v>
      </x:c>
      <x:c r="T14" s="115" t="n">
        <x:f aca="0">(IF($K14&gt;=2,SUMIF(S14_Growth_Model_ExAnte!$C$15:$C$81,$B14,S14_Growth_Model_ExAnte!$K$15:$K$81)/$K14,IF($L14&gt;=2,SUMIF(S14_Growth_Model_ExAnte!$AY$15:$AY$81,$C14&amp;"|"&amp;$D14,S14_Growth_Model_ExAnte!$K$15:$K$81)/$L14,IF(COUNTIF(S14_Growth_Model_ExAnte!$AZ$15:$AZ$81,$C14)&gt;0,SUMIF(S14_Growth_Model_ExAnte!$AZ$15:$AZ$81,$C14,S14_Growth_Model_ExAnte!$K$15:$K$81)/COUNTIF(S14_Growth_Model_ExAnte!$AZ$15:$AZ$81,$C14),0))))*$O14*S08_Defaults!$B$6*(1+S08_Defaults!$B$7)*S08_Defaults!$B$8</x:f>
        <x:v>61.820362843600975</x:v>
      </x:c>
      <x:c r="U14" s="115" t="n">
        <x:f aca="0">(IF($K14&gt;=2,SUMIF(S14_Growth_Model_ExAnte!$C$15:$C$81,$B14,S14_Growth_Model_ExAnte!$L$15:$L$81)/$K14,IF($L14&gt;=2,SUMIF(S14_Growth_Model_ExAnte!$AY$15:$AY$81,$C14&amp;"|"&amp;$D14,S14_Growth_Model_ExAnte!$L$15:$L$81)/$L14,IF(COUNTIF(S14_Growth_Model_ExAnte!$AZ$15:$AZ$81,$C14)&gt;0,SUMIF(S14_Growth_Model_ExAnte!$AZ$15:$AZ$81,$C14,S14_Growth_Model_ExAnte!$L$15:$L$81)/COUNTIF(S14_Growth_Model_ExAnte!$AZ$15:$AZ$81,$C14),0))))*$O14*S08_Defaults!$B$6*(1+S08_Defaults!$B$7)*S08_Defaults!$B$8</x:f>
        <x:v>217.50091954084098</x:v>
      </x:c>
      <x:c r="V14" s="115" t="n">
        <x:f aca="0">(IF($K14&gt;=2,SUMIF(S14_Growth_Model_ExAnte!$C$15:$C$81,$B14,S14_Growth_Model_ExAnte!$M$15:$M$81)/$K14,IF($L14&gt;=2,SUMIF(S14_Growth_Model_ExAnte!$AY$15:$AY$81,$C14&amp;"|"&amp;$D14,S14_Growth_Model_ExAnte!$M$15:$M$81)/$L14,IF(COUNTIF(S14_Growth_Model_ExAnte!$AZ$15:$AZ$81,$C14)&gt;0,SUMIF(S14_Growth_Model_ExAnte!$AZ$15:$AZ$81,$C14,S14_Growth_Model_ExAnte!$M$15:$M$81)/COUNTIF(S14_Growth_Model_ExAnte!$AZ$15:$AZ$81,$C14),0))))*$O14*S08_Defaults!$B$6*(1+S08_Defaults!$B$7)*S08_Defaults!$B$8</x:f>
        <x:v>498.0928975601912</x:v>
      </x:c>
      <x:c r="W14" s="115" t="n">
        <x:f aca="0">(IF($K14&gt;=2,SUMIF(S14_Growth_Model_ExAnte!$C$15:$C$81,$B14,S14_Growth_Model_ExAnte!$N$15:$N$81)/$K14,IF($L14&gt;=2,SUMIF(S14_Growth_Model_ExAnte!$AY$15:$AY$81,$C14&amp;"|"&amp;$D14,S14_Growth_Model_ExAnte!$N$15:$N$81)/$L14,IF(COUNTIF(S14_Growth_Model_ExAnte!$AZ$15:$AZ$81,$C14)&gt;0,SUMIF(S14_Growth_Model_ExAnte!$AZ$15:$AZ$81,$C14,S14_Growth_Model_ExAnte!$N$15:$N$81)/COUNTIF(S14_Growth_Model_ExAnte!$AZ$15:$AZ$81,$C14),0))))*$O14*S08_Defaults!$B$6*(1+S08_Defaults!$B$7)*S08_Defaults!$B$8</x:f>
        <x:v>899.5079414320759</x:v>
      </x:c>
      <x:c r="X14" s="115" t="n">
        <x:f aca="0">(IF($K14&gt;=2,SUMIF(S14_Growth_Model_ExAnte!$C$15:$C$81,$B14,S14_Growth_Model_ExAnte!$O$15:$O$81)/$K14,IF($L14&gt;=2,SUMIF(S14_Growth_Model_ExAnte!$AY$15:$AY$81,$C14&amp;"|"&amp;$D14,S14_Growth_Model_ExAnte!$O$15:$O$81)/$L14,IF(COUNTIF(S14_Growth_Model_ExAnte!$AZ$15:$AZ$81,$C14)&gt;0,SUMIF(S14_Growth_Model_ExAnte!$AZ$15:$AZ$81,$C14,S14_Growth_Model_ExAnte!$O$15:$O$81)/COUNTIF(S14_Growth_Model_ExAnte!$AZ$15:$AZ$81,$C14),0))))*$O14*S08_Defaults!$B$6*(1+S08_Defaults!$B$7)*S08_Defaults!$B$8</x:f>
        <x:v>1401.5328517171295</x:v>
      </x:c>
      <x:c r="Y14" s="115" t="n">
        <x:f aca="0">(IF($K14&gt;=2,SUMIF(S14_Growth_Model_ExAnte!$C$15:$C$81,$B14,S14_Growth_Model_ExAnte!$P$15:$P$81)/$K14,IF($L14&gt;=2,SUMIF(S14_Growth_Model_ExAnte!$AY$15:$AY$81,$C14&amp;"|"&amp;$D14,S14_Growth_Model_ExAnte!$P$15:$P$81)/$L14,IF(COUNTIF(S14_Growth_Model_ExAnte!$AZ$15:$AZ$81,$C14)&gt;0,SUMIF(S14_Growth_Model_ExAnte!$AZ$15:$AZ$81,$C14,S14_Growth_Model_ExAnte!$P$15:$P$81)/COUNTIF(S14_Growth_Model_ExAnte!$AZ$15:$AZ$81,$C14),0))))*$O14*S08_Defaults!$B$6*(1+S08_Defaults!$B$7)*S08_Defaults!$B$8</x:f>
        <x:v>1976.5981157122822</x:v>
      </x:c>
      <x:c r="Z14" s="115" t="n">
        <x:f aca="0">(IF($K14&gt;=2,SUMIF(S14_Growth_Model_ExAnte!$C$15:$C$81,$B14,S14_Growth_Model_ExAnte!$Q$15:$Q$81)/$K14,IF($L14&gt;=2,SUMIF(S14_Growth_Model_ExAnte!$AY$15:$AY$81,$C14&amp;"|"&amp;$D14,S14_Growth_Model_ExAnte!$Q$15:$Q$81)/$L14,IF(COUNTIF(S14_Growth_Model_ExAnte!$AZ$15:$AZ$81,$C14)&gt;0,SUMIF(S14_Growth_Model_ExAnte!$AZ$15:$AZ$81,$C14,S14_Growth_Model_ExAnte!$Q$15:$Q$81)/COUNTIF(S14_Growth_Model_ExAnte!$AZ$15:$AZ$81,$C14),0))))*$O14*S08_Defaults!$B$6*(1+S08_Defaults!$B$7)*S08_Defaults!$B$8</x:f>
        <x:v>2596.2558974862486</x:v>
      </x:c>
      <x:c r="AA14" s="115" t="n">
        <x:f aca="0">(IF($K14&gt;=2,SUMIF(S14_Growth_Model_ExAnte!$C$15:$C$81,$B14,S14_Growth_Model_ExAnte!$R$15:$R$81)/$K14,IF($L14&gt;=2,SUMIF(S14_Growth_Model_ExAnte!$AY$15:$AY$81,$C14&amp;"|"&amp;$D14,S14_Growth_Model_ExAnte!$R$15:$R$81)/$L14,IF(COUNTIF(S14_Growth_Model_ExAnte!$AZ$15:$AZ$81,$C14)&gt;0,SUMIF(S14_Growth_Model_ExAnte!$AZ$15:$AZ$81,$C14,S14_Growth_Model_ExAnte!$R$15:$R$81)/COUNTIF(S14_Growth_Model_ExAnte!$AZ$15:$AZ$81,$C14),0))))*$O14*S08_Defaults!$B$6*(1+S08_Defaults!$B$7)*S08_Defaults!$B$8</x:f>
        <x:v>3234.895357024884</x:v>
      </x:c>
      <x:c r="AB14" s="115" t="n">
        <x:f aca="0">(IF($K14&gt;=2,SUMIF(S14_Growth_Model_ExAnte!$C$15:$C$81,$B14,S14_Growth_Model_ExAnte!$S$15:$S$81)/$K14,IF($L14&gt;=2,SUMIF(S14_Growth_Model_ExAnte!$AY$15:$AY$81,$C14&amp;"|"&amp;$D14,S14_Growth_Model_ExAnte!$S$15:$S$81)/$L14,IF(COUNTIF(S14_Growth_Model_ExAnte!$AZ$15:$AZ$81,$C14)&gt;0,SUMIF(S14_Growth_Model_ExAnte!$AZ$15:$AZ$81,$C14,S14_Growth_Model_ExAnte!$S$15:$S$81)/COUNTIF(S14_Growth_Model_ExAnte!$AZ$15:$AZ$81,$C14),0))))*$O14*S08_Defaults!$B$6*(1+S08_Defaults!$B$7)*S08_Defaults!$B$8</x:f>
        <x:v>3871.4377798758233</x:v>
      </x:c>
      <x:c r="AC14" s="115" t="n">
        <x:f aca="0">(IF($K14&gt;=2,SUMIF(S14_Growth_Model_ExAnte!$C$15:$C$81,$B14,S14_Growth_Model_ExAnte!$T$15:$T$81)/$K14,IF($L14&gt;=2,SUMIF(S14_Growth_Model_ExAnte!$AY$15:$AY$81,$C14&amp;"|"&amp;$D14,S14_Growth_Model_ExAnte!$T$15:$T$81)/$L14,IF(COUNTIF(S14_Growth_Model_ExAnte!$AZ$15:$AZ$81,$C14)&gt;0,SUMIF(S14_Growth_Model_ExAnte!$AZ$15:$AZ$81,$C14,S14_Growth_Model_ExAnte!$T$15:$T$81)/COUNTIF(S14_Growth_Model_ExAnte!$AZ$15:$AZ$81,$C14),0))))*$O14*S08_Defaults!$B$6*(1+S08_Defaults!$B$7)*S08_Defaults!$B$8</x:f>
        <x:v>4489.74798737567</x:v>
      </x:c>
      <x:c r="AD14" s="115" t="n">
        <x:f aca="0">(IF($K14&gt;=2,SUMIF(S14_Growth_Model_ExAnte!$C$15:$C$81,$B14,S14_Growth_Model_ExAnte!$U$15:$U$81)/$K14,IF($L14&gt;=2,SUMIF(S14_Growth_Model_ExAnte!$AY$15:$AY$81,$C14&amp;"|"&amp;$D14,S14_Growth_Model_ExAnte!$U$15:$U$81)/$L14,IF(COUNTIF(S14_Growth_Model_ExAnte!$AZ$15:$AZ$81,$C14)&gt;0,SUMIF(S14_Growth_Model_ExAnte!$AZ$15:$AZ$81,$C14,S14_Growth_Model_ExAnte!$U$15:$U$81)/COUNTIF(S14_Growth_Model_ExAnte!$AZ$15:$AZ$81,$C14),0))))*$O14*S08_Defaults!$B$6*(1+S08_Defaults!$B$7)*S08_Defaults!$B$8</x:f>
        <x:v>5078.324909326893</x:v>
      </x:c>
      <x:c r="AE14" s="115" t="n">
        <x:f aca="0">(IF($K14&gt;=2,SUMIF(S14_Growth_Model_ExAnte!$C$15:$C$81,$B14,S14_Growth_Model_ExAnte!$V$15:$V$81)/$K14,IF($L14&gt;=2,SUMIF(S14_Growth_Model_ExAnte!$AY$15:$AY$81,$C14&amp;"|"&amp;$D14,S14_Growth_Model_ExAnte!$V$15:$V$81)/$L14,IF(COUNTIF(S14_Growth_Model_ExAnte!$AZ$15:$AZ$81,$C14)&gt;0,SUMIF(S14_Growth_Model_ExAnte!$AZ$15:$AZ$81,$C14,S14_Growth_Model_ExAnte!$V$15:$V$81)/COUNTIF(S14_Growth_Model_ExAnte!$AZ$15:$AZ$81,$C14),0))))*$O14*S08_Defaults!$B$6*(1+S08_Defaults!$B$7)*S08_Defaults!$B$8</x:f>
        <x:v>5629.650503945901</x:v>
      </x:c>
      <x:c r="AF14" s="115" t="n">
        <x:f aca="0">(IF($K14&gt;=2,SUMIF(S14_Growth_Model_ExAnte!$C$15:$C$81,$B14,S14_Growth_Model_ExAnte!$W$15:$W$81)/$K14,IF($L14&gt;=2,SUMIF(S14_Growth_Model_ExAnte!$AY$15:$AY$81,$C14&amp;"|"&amp;$D14,S14_Growth_Model_ExAnte!$W$15:$W$81)/$L14,IF(COUNTIF(S14_Growth_Model_ExAnte!$AZ$15:$AZ$81,$C14)&gt;0,SUMIF(S14_Growth_Model_ExAnte!$AZ$15:$AZ$81,$C14,S14_Growth_Model_ExAnte!$W$15:$W$81)/COUNTIF(S14_Growth_Model_ExAnte!$AZ$15:$AZ$81,$C14),0))))*$O14*S08_Defaults!$B$6*(1+S08_Defaults!$B$7)*S08_Defaults!$B$8</x:f>
        <x:v>6139.429972260172</x:v>
      </x:c>
      <x:c r="AG14" s="115" t="n">
        <x:f aca="0">(IF($K14&gt;=2,SUMIF(S14_Growth_Model_ExAnte!$C$15:$C$81,$B14,S14_Growth_Model_ExAnte!$X$15:$X$81)/$K14,IF($L14&gt;=2,SUMIF(S14_Growth_Model_ExAnte!$AY$15:$AY$81,$C14&amp;"|"&amp;$D14,S14_Growth_Model_ExAnte!$X$15:$X$81)/$L14,IF(COUNTIF(S14_Growth_Model_ExAnte!$AZ$15:$AZ$81,$C14)&gt;0,SUMIF(S14_Growth_Model_ExAnte!$AZ$15:$AZ$81,$C14,S14_Growth_Model_ExAnte!$X$15:$X$81)/COUNTIF(S14_Growth_Model_ExAnte!$AZ$15:$AZ$81,$C14),0))))*$O14*S08_Defaults!$B$6*(1+S08_Defaults!$B$7)*S08_Defaults!$B$8</x:f>
        <x:v>6605.853532248976</x:v>
      </x:c>
      <x:c r="AH14" s="115" t="n">
        <x:f aca="0">(IF($K14&gt;=2,SUMIF(S14_Growth_Model_ExAnte!$C$15:$C$81,$B14,S14_Growth_Model_ExAnte!$Y$15:$Y$81)/$K14,IF($L14&gt;=2,SUMIF(S14_Growth_Model_ExAnte!$AY$15:$AY$81,$C14&amp;"|"&amp;$D14,S14_Growth_Model_ExAnte!$Y$15:$Y$81)/$L14,IF(COUNTIF(S14_Growth_Model_ExAnte!$AZ$15:$AZ$81,$C14)&gt;0,SUMIF(S14_Growth_Model_ExAnte!$AZ$15:$AZ$81,$C14,S14_Growth_Model_ExAnte!$Y$15:$Y$81)/COUNTIF(S14_Growth_Model_ExAnte!$AZ$15:$AZ$81,$C14),0))))*$O14*S08_Defaults!$B$6*(1+S08_Defaults!$B$7)*S08_Defaults!$B$8</x:f>
        <x:v>7028.943525230924</x:v>
      </x:c>
      <x:c r="AI14" s="115" t="n">
        <x:f aca="0">(IF($K14&gt;=2,SUMIF(S14_Growth_Model_ExAnte!$C$15:$C$81,$B14,S14_Growth_Model_ExAnte!$Z$15:$Z$81)/$K14,IF($L14&gt;=2,SUMIF(S14_Growth_Model_ExAnte!$AY$15:$AY$81,$C14&amp;"|"&amp;$D14,S14_Growth_Model_ExAnte!$Z$15:$Z$81)/$L14,IF(COUNTIF(S14_Growth_Model_ExAnte!$AZ$15:$AZ$81,$C14)&gt;0,SUMIF(S14_Growth_Model_ExAnte!$AZ$15:$AZ$81,$C14,S14_Growth_Model_ExAnte!$Z$15:$Z$81)/COUNTIF(S14_Growth_Model_ExAnte!$AZ$15:$AZ$81,$C14),0))))*$O14*S08_Defaults!$B$6*(1+S08_Defaults!$B$7)*S08_Defaults!$B$8</x:f>
        <x:v>7410.010436543258</x:v>
      </x:c>
      <x:c r="AJ14" s="115" t="n">
        <x:f aca="0">(IF($K14&gt;=2,SUMIF(S14_Growth_Model_ExAnte!$C$15:$C$81,$B14,S14_Growth_Model_ExAnte!$AA$15:$AA$81)/$K14,IF($L14&gt;=2,SUMIF(S14_Growth_Model_ExAnte!$AY$15:$AY$81,$C14&amp;"|"&amp;$D14,S14_Growth_Model_ExAnte!$AA$15:$AA$81)/$L14,IF(COUNTIF(S14_Growth_Model_ExAnte!$AZ$15:$AZ$81,$C14)&gt;0,SUMIF(S14_Growth_Model_ExAnte!$AZ$15:$AZ$81,$C14,S14_Growth_Model_ExAnte!$AA$15:$AA$81)/COUNTIF(S14_Growth_Model_ExAnte!$AZ$15:$AZ$81,$C14),0))))*$O14*S08_Defaults!$B$6*(1+S08_Defaults!$B$7)*S08_Defaults!$B$8</x:f>
        <x:v>7751.2188950683785</x:v>
      </x:c>
      <x:c r="AK14" s="115" t="n">
        <x:f aca="0">(IF($K14&gt;=2,SUMIF(S14_Growth_Model_ExAnte!$C$15:$C$81,$B14,S14_Growth_Model_ExAnte!$AB$15:$AB$81)/$K14,IF($L14&gt;=2,SUMIF(S14_Growth_Model_ExAnte!$AY$15:$AY$81,$C14&amp;"|"&amp;$D14,S14_Growth_Model_ExAnte!$AB$15:$AB$81)/$L14,IF(COUNTIF(S14_Growth_Model_ExAnte!$AZ$15:$AZ$81,$C14)&gt;0,SUMIF(S14_Growth_Model_ExAnte!$AZ$15:$AZ$81,$C14,S14_Growth_Model_ExAnte!$AB$15:$AB$81)/COUNTIF(S14_Growth_Model_ExAnte!$AZ$15:$AZ$81,$C14),0))))*$O14*S08_Defaults!$B$6*(1+S08_Defaults!$B$7)*S08_Defaults!$B$8</x:f>
        <x:v>8055.25339281208</x:v>
      </x:c>
      <x:c r="AL14" s="115" t="n">
        <x:f aca="0">(IF($K14&gt;=2,SUMIF(S14_Growth_Model_ExAnte!$C$15:$C$81,$B14,S14_Growth_Model_ExAnte!$AC$15:$AC$81)/$K14,IF($L14&gt;=2,SUMIF(S14_Growth_Model_ExAnte!$AY$15:$AY$81,$C14&amp;"|"&amp;$D14,S14_Growth_Model_ExAnte!$AC$15:$AC$81)/$L14,IF(COUNTIF(S14_Growth_Model_ExAnte!$AZ$15:$AZ$81,$C14)&gt;0,SUMIF(S14_Growth_Model_ExAnte!$AZ$15:$AZ$81,$C14,S14_Growth_Model_ExAnte!$AC$15:$AC$81)/COUNTIF(S14_Growth_Model_ExAnte!$AZ$15:$AZ$81,$C14),0))))*$O14*S08_Defaults!$B$6*(1+S08_Defaults!$B$7)*S08_Defaults!$B$8</x:f>
        <x:v>8325.068852688742</x:v>
      </x:c>
      <x:c r="AM14" s="115" t="n">
        <x:f aca="0">R14</x:f>
        <x:v>0</x:v>
      </x:c>
      <x:c r="AN14" s="115" t="n">
        <x:f aca="0">S14-R14</x:f>
        <x:v>6.009795344304627</x:v>
      </x:c>
      <x:c r="AO14" s="115" t="n">
        <x:f aca="0">T14-S14</x:f>
        <x:v>55.81056749929635</x:v>
      </x:c>
      <x:c r="AP14" s="115" t="n">
        <x:f aca="0">U14-T14</x:f>
        <x:v>155.68055669724</x:v>
      </x:c>
      <x:c r="AQ14" s="115" t="n">
        <x:f aca="0">V14-U14</x:f>
        <x:v>280.5919780193502</x:v>
      </x:c>
      <x:c r="AR14" s="115" t="n">
        <x:f aca="0">W14-V14</x:f>
        <x:v>401.4150438718847</x:v>
      </x:c>
      <x:c r="AS14" s="115" t="n">
        <x:f aca="0">X14-W14</x:f>
        <x:v>502.0249102850536</x:v>
      </x:c>
      <x:c r="AT14" s="115" t="n">
        <x:f aca="0">Y14-X14</x:f>
        <x:v>575.0652639951527</x:v>
      </x:c>
      <x:c r="AU14" s="115" t="n">
        <x:f aca="0">Z14-Y14</x:f>
        <x:v>619.6577817739665</x:v>
      </x:c>
      <x:c r="AV14" s="115" t="n">
        <x:f aca="0">AA14-Z14</x:f>
        <x:v>638.6394595386355</x:v>
      </x:c>
      <x:c r="AW14" s="115" t="n">
        <x:f aca="0">AB14-AA14</x:f>
        <x:v>636.5424228509391</x:v>
      </x:c>
      <x:c r="AX14" s="115" t="n">
        <x:f aca="0">AC14-AB14</x:f>
        <x:v>618.3102074998469</x:v>
      </x:c>
      <x:c r="AY14" s="115" t="n">
        <x:f aca="0">AD14-AC14</x:f>
        <x:v>588.5769219512231</x:v>
      </x:c>
      <x:c r="AZ14" s="115" t="n">
        <x:f aca="0">AE14-AD14</x:f>
        <x:v>551.3255946190075</x:v>
      </x:c>
      <x:c r="BA14" s="115" t="n">
        <x:f aca="0">AF14-AE14</x:f>
        <x:v>509.77946831427107</x:v>
      </x:c>
      <x:c r="BB14" s="115" t="n">
        <x:f aca="0">AG14-AF14</x:f>
        <x:v>466.4235599888043</x:v>
      </x:c>
      <x:c r="BC14" s="115" t="n">
        <x:f aca="0">AH14-AG14</x:f>
        <x:v>423.08999298194794</x:v>
      </x:c>
      <x:c r="BD14" s="115" t="n">
        <x:f aca="0">AI14-AH14</x:f>
        <x:v>381.066911312334</x:v>
      </x:c>
      <x:c r="BE14" s="115" t="n">
        <x:f aca="0">AJ14-AI14</x:f>
        <x:v>341.2084585251205</x:v>
      </x:c>
      <x:c r="BF14" s="115" t="n">
        <x:f aca="0">AK14-AJ14</x:f>
        <x:v>304.03449774370165</x:v>
      </x:c>
      <x:c r="BG14" s="115" t="n">
        <x:f aca="0">AL14-AK14</x:f>
        <x:v>269.8154598766623</x:v>
      </x:c>
    </x:row>
    <x:row r="15" ht="15" hidden="0" customHeight="1">
      <x:c r="A15" s="160" t="str">
        <x:f aca="0">"S"&amp;TEXT(ROW()-3,"00")</x:f>
        <x:v>S12</x:v>
      </x:c>
      <x:c r="B15" s="161" t="s">
        <x:v>635</x:v>
      </x:c>
      <x:c r="C15" s="160" t="str">
        <x:f aca="0">LEFT($B15,FIND("|",$B15)-1)</x:f>
        <x:v>Mixed Agroforestry</x:v>
      </x:c>
      <x:c r="D15" s="160" t="str">
        <x:f aca="0">MID($B15,FIND("|",$B15)+1,FIND("|",$B15,FIND("|",$B15)+1)-FIND("|",$B15)-1)</x:f>
        <x:v>Low</x:v>
      </x:c>
      <x:c r="E15" s="160" t="n">
        <x:f aca="0">VALUE(RIGHT($B15,4))</x:f>
        <x:v>2020</x:v>
      </x:c>
      <x:c r="F15" s="115" t="n">
        <x:f aca="0">SUMIF(S17_Biome_Strata!$G$4:$G$95,$B15,S17_Biome_Strata!$E$4:$E$95)</x:f>
        <x:v>4</x:v>
      </x:c>
      <x:c r="G15" s="115" t="n">
        <x:f aca="0">SUMIF(S17_Biome_Strata!$G$4:$G$95,$B15,S17_Biome_Strata!$F$4:$F$95)</x:f>
        <x:v>5.9611</x:v>
      </x:c>
      <x:c r="H15" s="115" t="n">
        <x:f aca="0">IF($K15&gt;=2,SUMIF(S14_Growth_Model_ExAnte!$C$15:$C$81,$B15,S14_Growth_Model_ExAnte!$O$15:$O$81)/$K15,IF($L15&gt;=2,SUMIF(S14_Growth_Model_ExAnte!$AY$15:$AY$81,$C15&amp;"|"&amp;$D15,S14_Growth_Model_ExAnte!$O$15:$O$81)/$L15,IF(COUNTIF(S14_Growth_Model_ExAnte!$AZ$15:$AZ$81,$C15)&gt;0,SUMIF(S14_Growth_Model_ExAnte!$AZ$15:$AZ$81,$C15,S14_Growth_Model_ExAnte!$O$15:$O$81)/COUNTIF(S14_Growth_Model_ExAnte!$AZ$15:$AZ$81,$C15),0)))</x:f>
        <x:v>9.93656640622674</x:v>
      </x:c>
      <x:c r="I15" s="115" t="n">
        <x:f aca="0">IF($K15&gt;=2,SQRT(MAX(0,(SUMIF(S14_Growth_Model_ExAnte!$C$15:$C$81,$B15,S14_Growth_Model_ExAnte!$BG$15:$BG$81)-SUMIF(S14_Growth_Model_ExAnte!$C$15:$C$81,$B15,S14_Growth_Model_ExAnte!$O$15:$O$81)*SUMIF(S14_Growth_Model_ExAnte!$C$15:$C$81,$B15,S14_Growth_Model_ExAnte!$O$15:$O$81)/$K15)/($K15-1))),IF($L15&gt;=2,SQRT(MAX(0,(SUMIF(S14_Growth_Model_ExAnte!$AY$15:$AY$81,$C15&amp;"|"&amp;$D15,S14_Growth_Model_ExAnte!$BG$15:$BG$81)-SUMIF(S14_Growth_Model_ExAnte!$AY$15:$AY$81,$C15&amp;"|"&amp;$D15,S14_Growth_Model_ExAnte!$O$15:$O$81)*SUMIF(S14_Growth_Model_ExAnte!$AY$15:$AY$81,$C15&amp;"|"&amp;$D15,S14_Growth_Model_ExAnte!$O$15:$O$81)/$L15)/($L15-1))),IF(COUNTIF(S14_Growth_Model_ExAnte!$AZ$15:$AZ$81,$C15)&gt;=2,SQRT(MAX(0,(SUMIF(S14_Growth_Model_ExAnte!$AZ$15:$AZ$81,$C15,S14_Growth_Model_ExAnte!$BG$15:$BG$81)-SUMIF(S14_Growth_Model_ExAnte!$AZ$15:$AZ$81,$C15,S14_Growth_Model_ExAnte!$O$15:$O$81)*SUMIF(S14_Growth_Model_ExAnte!$AZ$15:$AZ$81,$C15,S14_Growth_Model_ExAnte!$O$15:$O$81)/COUNTIF(S14_Growth_Model_ExAnte!$AZ$15:$AZ$81,$C15))/(COUNTIF(S14_Growth_Model_ExAnte!$AZ$15:$AZ$81,$C15)-1))),0)))</x:f>
        <x:v>1.9793183472542992</x:v>
      </x:c>
      <x:c r="J15" s="115" t="n">
        <x:f aca="0">IFERROR(I15/H15,0)</x:f>
        <x:v>0.1991954027513932</x:v>
      </x:c>
      <x:c r="K15" s="115" t="n">
        <x:f aca="0">COUNTIF(S14_Growth_Model_ExAnte!$C$15:$C$81,$B15)</x:f>
        <x:v>1</x:v>
      </x:c>
      <x:c r="L15" s="115" t="n">
        <x:f aca="0">COUNTIF(S14_Growth_Model_ExAnte!$AY$15:$AY$81,$C15&amp;"|"&amp;$D15)</x:f>
        <x:v>2</x:v>
      </x:c>
      <x:c r="M15" s="115" t="n">
        <x:f aca="0">$H15</x:f>
        <x:v>9.93656640622674</x:v>
      </x:c>
      <x:c r="N15" s="115" t="n">
        <x:f aca="0">MAX(0,$M15*S08_Defaults!$B$5)</x:f>
        <x:v>7.452424804670056</x:v>
      </x:c>
      <x:c r="O15" s="115" t="n">
        <x:f aca="0">IFERROR($N15/$M15,0)</x:f>
        <x:v>0.75</x:v>
      </x:c>
      <x:c r="P15" s="115" t="str">
        <x:f aca="0">IF($K15&gt;=2,"Exact Stratum PSP Chapman-Richards curve",IF($L15&gt;=2,"Model×Density pooled Chapman-Richards curve","Model pooled Chapman-Richards curve"))</x:f>
        <x:v>Model×Density pooled Chapman-Richards curve</x:v>
      </x:c>
      <x:c r="Q15" s="162" t="s">
        <x:v>1106</x:v>
      </x:c>
      <x:c r="R15" s="115" t="n">
        <x:f aca="0">(IF($K15&gt;=2,SUMIF(S14_Growth_Model_ExAnte!$C$15:$C$81,$B15,S14_Growth_Model_ExAnte!$I$15:$I$81)/$K15,IF($L15&gt;=2,SUMIF(S14_Growth_Model_ExAnte!$AY$15:$AY$81,$C15&amp;"|"&amp;$D15,S14_Growth_Model_ExAnte!$I$15:$I$81)/$L15,IF(COUNTIF(S14_Growth_Model_ExAnte!$AZ$15:$AZ$81,$C15)&gt;0,SUMIF(S14_Growth_Model_ExAnte!$AZ$15:$AZ$81,$C15,S14_Growth_Model_ExAnte!$I$15:$I$81)/COUNTIF(S14_Growth_Model_ExAnte!$AZ$15:$AZ$81,$C15),0))))*$O15*S08_Defaults!$B$6*(1+S08_Defaults!$B$7)*S08_Defaults!$B$8</x:f>
        <x:v>0</x:v>
      </x:c>
      <x:c r="S15" s="115" t="n">
        <x:f aca="0">(IF($K15&gt;=2,SUMIF(S14_Growth_Model_ExAnte!$C$15:$C$81,$B15,S14_Growth_Model_ExAnte!$J$15:$J$81)/$K15,IF($L15&gt;=2,SUMIF(S14_Growth_Model_ExAnte!$AY$15:$AY$81,$C15&amp;"|"&amp;$D15,S14_Growth_Model_ExAnte!$J$15:$J$81)/$L15,IF(COUNTIF(S14_Growth_Model_ExAnte!$AZ$15:$AZ$81,$C15)&gt;0,SUMIF(S14_Growth_Model_ExAnte!$AZ$15:$AZ$81,$C15,S14_Growth_Model_ExAnte!$J$15:$J$81)/COUNTIF(S14_Growth_Model_ExAnte!$AZ$15:$AZ$81,$C15),0))))*$O15*S08_Defaults!$B$6*(1+S08_Defaults!$B$7)*S08_Defaults!$B$8</x:f>
        <x:v>0.046254888411774796</x:v>
      </x:c>
      <x:c r="T15" s="115" t="n">
        <x:f aca="0">(IF($K15&gt;=2,SUMIF(S14_Growth_Model_ExAnte!$C$15:$C$81,$B15,S14_Growth_Model_ExAnte!$K$15:$K$81)/$K15,IF($L15&gt;=2,SUMIF(S14_Growth_Model_ExAnte!$AY$15:$AY$81,$C15&amp;"|"&amp;$D15,S14_Growth_Model_ExAnte!$K$15:$K$81)/$L15,IF(COUNTIF(S14_Growth_Model_ExAnte!$AZ$15:$AZ$81,$C15)&gt;0,SUMIF(S14_Growth_Model_ExAnte!$AZ$15:$AZ$81,$C15,S14_Growth_Model_ExAnte!$K$15:$K$81)/COUNTIF(S14_Growth_Model_ExAnte!$AZ$15:$AZ$81,$C15),0))))*$O15*S08_Defaults!$B$6*(1+S08_Defaults!$B$7)*S08_Defaults!$B$8</x:f>
        <x:v>0.559787503763154</x:v>
      </x:c>
      <x:c r="U15" s="115" t="n">
        <x:f aca="0">(IF($K15&gt;=2,SUMIF(S14_Growth_Model_ExAnte!$C$15:$C$81,$B15,S14_Growth_Model_ExAnte!$L$15:$L$81)/$K15,IF($L15&gt;=2,SUMIF(S14_Growth_Model_ExAnte!$AY$15:$AY$81,$C15&amp;"|"&amp;$D15,S14_Growth_Model_ExAnte!$L$15:$L$81)/$L15,IF(COUNTIF(S14_Growth_Model_ExAnte!$AZ$15:$AZ$81,$C15)&gt;0,SUMIF(S14_Growth_Model_ExAnte!$AZ$15:$AZ$81,$C15,S14_Growth_Model_ExAnte!$L$15:$L$81)/COUNTIF(S14_Growth_Model_ExAnte!$AZ$15:$AZ$81,$C15),0))))*$O15*S08_Defaults!$B$6*(1+S08_Defaults!$B$7)*S08_Defaults!$B$8</x:f>
        <x:v>2.1525618957049653</x:v>
      </x:c>
      <x:c r="V15" s="115" t="n">
        <x:f aca="0">(IF($K15&gt;=2,SUMIF(S14_Growth_Model_ExAnte!$C$15:$C$81,$B15,S14_Growth_Model_ExAnte!$M$15:$M$81)/$K15,IF($L15&gt;=2,SUMIF(S14_Growth_Model_ExAnte!$AY$15:$AY$81,$C15&amp;"|"&amp;$D15,S14_Growth_Model_ExAnte!$M$15:$M$81)/$L15,IF(COUNTIF(S14_Growth_Model_ExAnte!$AZ$15:$AZ$81,$C15)&gt;0,SUMIF(S14_Growth_Model_ExAnte!$AZ$15:$AZ$81,$C15,S14_Growth_Model_ExAnte!$M$15:$M$81)/COUNTIF(S14_Growth_Model_ExAnte!$AZ$15:$AZ$81,$C15),0))))*$O15*S08_Defaults!$B$6*(1+S08_Defaults!$B$7)*S08_Defaults!$B$8</x:f>
        <x:v>5.231956049273246</x:v>
      </x:c>
      <x:c r="W15" s="115" t="n">
        <x:f aca="0">(IF($K15&gt;=2,SUMIF(S14_Growth_Model_ExAnte!$C$15:$C$81,$B15,S14_Growth_Model_ExAnte!$N$15:$N$81)/$K15,IF($L15&gt;=2,SUMIF(S14_Growth_Model_ExAnte!$AY$15:$AY$81,$C15&amp;"|"&amp;$D15,S14_Growth_Model_ExAnte!$N$15:$N$81)/$L15,IF(COUNTIF(S14_Growth_Model_ExAnte!$AZ$15:$AZ$81,$C15)&gt;0,SUMIF(S14_Growth_Model_ExAnte!$AZ$15:$AZ$81,$C15,S14_Growth_Model_ExAnte!$N$15:$N$81)/COUNTIF(S14_Growth_Model_ExAnte!$AZ$15:$AZ$81,$C15),0))))*$O15*S08_Defaults!$B$6*(1+S08_Defaults!$B$7)*S08_Defaults!$B$8</x:f>
        <x:v>9.873631177848152</x:v>
      </x:c>
      <x:c r="X15" s="115" t="n">
        <x:f aca="0">(IF($K15&gt;=2,SUMIF(S14_Growth_Model_ExAnte!$C$15:$C$81,$B15,S14_Growth_Model_ExAnte!$O$15:$O$81)/$K15,IF($L15&gt;=2,SUMIF(S14_Growth_Model_ExAnte!$AY$15:$AY$81,$C15&amp;"|"&amp;$D15,S14_Growth_Model_ExAnte!$O$15:$O$81)/$L15,IF(COUNTIF(S14_Growth_Model_ExAnte!$AZ$15:$AZ$81,$C15)&gt;0,SUMIF(S14_Growth_Model_ExAnte!$AZ$15:$AZ$81,$C15,S14_Growth_Model_ExAnte!$O$15:$O$81)/COUNTIF(S14_Growth_Model_ExAnte!$AZ$15:$AZ$81,$C15),0))))*$O15*S08_Defaults!$B$6*(1+S08_Defaults!$B$7)*S08_Defaults!$B$8</x:f>
        <x:v>15.925334979259612</x:v>
      </x:c>
      <x:c r="Y15" s="115" t="n">
        <x:f aca="0">(IF($K15&gt;=2,SUMIF(S14_Growth_Model_ExAnte!$C$15:$C$81,$B15,S14_Growth_Model_ExAnte!$P$15:$P$81)/$K15,IF($L15&gt;=2,SUMIF(S14_Growth_Model_ExAnte!$AY$15:$AY$81,$C15&amp;"|"&amp;$D15,S14_Growth_Model_ExAnte!$P$15:$P$81)/$L15,IF(COUNTIF(S14_Growth_Model_ExAnte!$AZ$15:$AZ$81,$C15)&gt;0,SUMIF(S14_Growth_Model_ExAnte!$AZ$15:$AZ$81,$C15,S14_Growth_Model_ExAnte!$P$15:$P$81)/COUNTIF(S14_Growth_Model_ExAnte!$AZ$15:$AZ$81,$C15),0))))*$O15*S08_Defaults!$B$6*(1+S08_Defaults!$B$7)*S08_Defaults!$B$8</x:f>
        <x:v>23.103901481651665</x:v>
      </x:c>
      <x:c r="Z15" s="115" t="n">
        <x:f aca="0">(IF($K15&gt;=2,SUMIF(S14_Growth_Model_ExAnte!$C$15:$C$81,$B15,S14_Growth_Model_ExAnte!$Q$15:$Q$81)/$K15,IF($L15&gt;=2,SUMIF(S14_Growth_Model_ExAnte!$AY$15:$AY$81,$C15&amp;"|"&amp;$D15,S14_Growth_Model_ExAnte!$Q$15:$Q$81)/$L15,IF(COUNTIF(S14_Growth_Model_ExAnte!$AZ$15:$AZ$81,$C15)&gt;0,SUMIF(S14_Growth_Model_ExAnte!$AZ$15:$AZ$81,$C15,S14_Growth_Model_ExAnte!$Q$15:$Q$81)/COUNTIF(S14_Growth_Model_ExAnte!$AZ$15:$AZ$81,$C15),0))))*$O15*S08_Defaults!$B$6*(1+S08_Defaults!$B$7)*S08_Defaults!$B$8</x:f>
        <x:v>31.078357140853388</x:v>
      </x:c>
      <x:c r="AA15" s="115" t="n">
        <x:f aca="0">(IF($K15&gt;=2,SUMIF(S14_Growth_Model_ExAnte!$C$15:$C$81,$B15,S14_Growth_Model_ExAnte!$R$15:$R$81)/$K15,IF($L15&gt;=2,SUMIF(S14_Growth_Model_ExAnte!$AY$15:$AY$81,$C15&amp;"|"&amp;$D15,S14_Growth_Model_ExAnte!$R$15:$R$81)/$L15,IF(COUNTIF(S14_Growth_Model_ExAnte!$AZ$15:$AZ$81,$C15)&gt;0,SUMIF(S14_Growth_Model_ExAnte!$AZ$15:$AZ$81,$C15,S14_Growth_Model_ExAnte!$R$15:$R$81)/COUNTIF(S14_Growth_Model_ExAnte!$AZ$15:$AZ$81,$C15),0))))*$O15*S08_Defaults!$B$6*(1+S08_Defaults!$B$7)*S08_Defaults!$B$8</x:f>
        <x:v>39.52477316412803</x:v>
      </x:c>
      <x:c r="AB15" s="115" t="n">
        <x:f aca="0">(IF($K15&gt;=2,SUMIF(S14_Growth_Model_ExAnte!$C$15:$C$81,$B15,S14_Growth_Model_ExAnte!$S$15:$S$81)/$K15,IF($L15&gt;=2,SUMIF(S14_Growth_Model_ExAnte!$AY$15:$AY$81,$C15&amp;"|"&amp;$D15,S14_Growth_Model_ExAnte!$S$15:$S$81)/$L15,IF(COUNTIF(S14_Growth_Model_ExAnte!$AZ$15:$AZ$81,$C15)&gt;0,SUMIF(S14_Growth_Model_ExAnte!$AZ$15:$AZ$81,$C15,S14_Growth_Model_ExAnte!$S$15:$S$81)/COUNTIF(S14_Growth_Model_ExAnte!$AZ$15:$AZ$81,$C15),0))))*$O15*S08_Defaults!$B$6*(1+S08_Defaults!$B$7)*S08_Defaults!$B$8</x:f>
        <x:v>48.15687920897</x:v>
      </x:c>
      <x:c r="AC15" s="115" t="n">
        <x:f aca="0">(IF($K15&gt;=2,SUMIF(S14_Growth_Model_ExAnte!$C$15:$C$81,$B15,S14_Growth_Model_ExAnte!$T$15:$T$81)/$K15,IF($L15&gt;=2,SUMIF(S14_Growth_Model_ExAnte!$AY$15:$AY$81,$C15&amp;"|"&amp;$D15,S14_Growth_Model_ExAnte!$T$15:$T$81)/$L15,IF(COUNTIF(S14_Growth_Model_ExAnte!$AZ$15:$AZ$81,$C15)&gt;0,SUMIF(S14_Growth_Model_ExAnte!$AZ$15:$AZ$81,$C15,S14_Growth_Model_ExAnte!$T$15:$T$81)/COUNTIF(S14_Growth_Model_ExAnte!$AZ$15:$AZ$81,$C15),0))))*$O15*S08_Defaults!$B$6*(1+S08_Defaults!$B$7)*S08_Defaults!$B$8</x:f>
        <x:v>56.73940749069144</x:v>
      </x:c>
      <x:c r="AD15" s="115" t="n">
        <x:f aca="0">(IF($K15&gt;=2,SUMIF(S14_Growth_Model_ExAnte!$C$15:$C$81,$B15,S14_Growth_Model_ExAnte!$U$15:$U$81)/$K15,IF($L15&gt;=2,SUMIF(S14_Growth_Model_ExAnte!$AY$15:$AY$81,$C15&amp;"|"&amp;$D15,S14_Growth_Model_ExAnte!$U$15:$U$81)/$L15,IF(COUNTIF(S14_Growth_Model_ExAnte!$AZ$15:$AZ$81,$C15)&gt;0,SUMIF(S14_Growth_Model_ExAnte!$AZ$15:$AZ$81,$C15,S14_Growth_Model_ExAnte!$U$15:$U$81)/COUNTIF(S14_Growth_Model_ExAnte!$AZ$15:$AZ$81,$C15),0))))*$O15*S08_Defaults!$B$6*(1+S08_Defaults!$B$7)*S08_Defaults!$B$8</x:f>
        <x:v>65.09050604602129</x:v>
      </x:c>
      <x:c r="AE15" s="115" t="n">
        <x:f aca="0">(IF($K15&gt;=2,SUMIF(S14_Growth_Model_ExAnte!$C$15:$C$81,$B15,S14_Growth_Model_ExAnte!$V$15:$V$81)/$K15,IF($L15&gt;=2,SUMIF(S14_Growth_Model_ExAnte!$AY$15:$AY$81,$C15&amp;"|"&amp;$D15,S14_Growth_Model_ExAnte!$V$15:$V$81)/$L15,IF(COUNTIF(S14_Growth_Model_ExAnte!$AZ$15:$AZ$81,$C15)&gt;0,SUMIF(S14_Growth_Model_ExAnte!$AZ$15:$AZ$81,$C15,S14_Growth_Model_ExAnte!$V$15:$V$81)/COUNTIF(S14_Growth_Model_ExAnte!$AZ$15:$AZ$81,$C15),0))))*$O15*S08_Defaults!$B$6*(1+S08_Defaults!$B$7)*S08_Defaults!$B$8</x:f>
        <x:v>73.07797761375203</x:v>
      </x:c>
      <x:c r="AF15" s="115" t="n">
        <x:f aca="0">(IF($K15&gt;=2,SUMIF(S14_Growth_Model_ExAnte!$C$15:$C$81,$B15,S14_Growth_Model_ExAnte!$W$15:$W$81)/$K15,IF($L15&gt;=2,SUMIF(S14_Growth_Model_ExAnte!$AY$15:$AY$81,$C15&amp;"|"&amp;$D15,S14_Growth_Model_ExAnte!$W$15:$W$81)/$L15,IF(COUNTIF(S14_Growth_Model_ExAnte!$AZ$15:$AZ$81,$C15)&gt;0,SUMIF(S14_Growth_Model_ExAnte!$AZ$15:$AZ$81,$C15,S14_Growth_Model_ExAnte!$W$15:$W$81)/COUNTIF(S14_Growth_Model_ExAnte!$AZ$15:$AZ$81,$C15),0))))*$O15*S08_Defaults!$B$6*(1+S08_Defaults!$B$7)*S08_Defaults!$B$8</x:f>
        <x:v>80.6125574125609</x:v>
      </x:c>
      <x:c r="AG15" s="115" t="n">
        <x:f aca="0">(IF($K15&gt;=2,SUMIF(S14_Growth_Model_ExAnte!$C$15:$C$81,$B15,S14_Growth_Model_ExAnte!$X$15:$X$81)/$K15,IF($L15&gt;=2,SUMIF(S14_Growth_Model_ExAnte!$AY$15:$AY$81,$C15&amp;"|"&amp;$D15,S14_Growth_Model_ExAnte!$X$15:$X$81)/$L15,IF(COUNTIF(S14_Growth_Model_ExAnte!$AZ$15:$AZ$81,$C15)&gt;0,SUMIF(S14_Growth_Model_ExAnte!$AZ$15:$AZ$81,$C15,S14_Growth_Model_ExAnte!$X$15:$X$81)/COUNTIF(S14_Growth_Model_ExAnte!$AZ$15:$AZ$81,$C15),0))))*$O15*S08_Defaults!$B$6*(1+S08_Defaults!$B$7)*S08_Defaults!$B$8</x:f>
        <x:v>87.64023262313314</x:v>
      </x:c>
      <x:c r="AH15" s="115" t="n">
        <x:f aca="0">(IF($K15&gt;=2,SUMIF(S14_Growth_Model_ExAnte!$C$15:$C$81,$B15,S14_Growth_Model_ExAnte!$Y$15:$Y$81)/$K15,IF($L15&gt;=2,SUMIF(S14_Growth_Model_ExAnte!$AY$15:$AY$81,$C15&amp;"|"&amp;$D15,S14_Growth_Model_ExAnte!$Y$15:$Y$81)/$L15,IF(COUNTIF(S14_Growth_Model_ExAnte!$AZ$15:$AZ$81,$C15)&gt;0,SUMIF(S14_Growth_Model_ExAnte!$AZ$15:$AZ$81,$C15,S14_Growth_Model_ExAnte!$Y$15:$Y$81)/COUNTIF(S14_Growth_Model_ExAnte!$AZ$15:$AZ$81,$C15),0))))*$O15*S08_Defaults!$B$6*(1+S08_Defaults!$B$7)*S08_Defaults!$B$8</x:f>
        <x:v>94.13475185567395</x:v>
      </x:c>
      <x:c r="AI15" s="115" t="n">
        <x:f aca="0">(IF($K15&gt;=2,SUMIF(S14_Growth_Model_ExAnte!$C$15:$C$81,$B15,S14_Growth_Model_ExAnte!$Z$15:$Z$81)/$K15,IF($L15&gt;=2,SUMIF(S14_Growth_Model_ExAnte!$AY$15:$AY$81,$C15&amp;"|"&amp;$D15,S14_Growth_Model_ExAnte!$Z$15:$Z$81)/$L15,IF(COUNTIF(S14_Growth_Model_ExAnte!$AZ$15:$AZ$81,$C15)&gt;0,SUMIF(S14_Growth_Model_ExAnte!$AZ$15:$AZ$81,$C15,S14_Growth_Model_ExAnte!$Z$15:$Z$81)/COUNTIF(S14_Growth_Model_ExAnte!$AZ$15:$AZ$81,$C15),0))))*$O15*S08_Defaults!$B$6*(1+S08_Defaults!$B$7)*S08_Defaults!$B$8</x:f>
        <x:v>100.09091031997525</x:v>
      </x:c>
      <x:c r="AJ15" s="115" t="n">
        <x:f aca="0">(IF($K15&gt;=2,SUMIF(S14_Growth_Model_ExAnte!$C$15:$C$81,$B15,S14_Growth_Model_ExAnte!$AA$15:$AA$81)/$K15,IF($L15&gt;=2,SUMIF(S14_Growth_Model_ExAnte!$AY$15:$AY$81,$C15&amp;"|"&amp;$D15,S14_Growth_Model_ExAnte!$AA$15:$AA$81)/$L15,IF(COUNTIF(S14_Growth_Model_ExAnte!$AZ$15:$AZ$81,$C15)&gt;0,SUMIF(S14_Growth_Model_ExAnte!$AZ$15:$AZ$81,$C15,S14_Growth_Model_ExAnte!$AA$15:$AA$81)/COUNTIF(S14_Growth_Model_ExAnte!$AZ$15:$AZ$81,$C15),0))))*$O15*S08_Defaults!$B$6*(1+S08_Defaults!$B$7)*S08_Defaults!$B$8</x:f>
        <x:v>105.51884744668214</x:v>
      </x:c>
      <x:c r="AK15" s="115" t="n">
        <x:f aca="0">(IF($K15&gt;=2,SUMIF(S14_Growth_Model_ExAnte!$C$15:$C$81,$B15,S14_Growth_Model_ExAnte!$AB$15:$AB$81)/$K15,IF($L15&gt;=2,SUMIF(S14_Growth_Model_ExAnte!$AY$15:$AY$81,$C15&amp;"|"&amp;$D15,S14_Growth_Model_ExAnte!$AB$15:$AB$81)/$L15,IF(COUNTIF(S14_Growth_Model_ExAnte!$AZ$15:$AZ$81,$C15)&gt;0,SUMIF(S14_Growth_Model_ExAnte!$AZ$15:$AZ$81,$C15,S14_Growth_Model_ExAnte!$AB$15:$AB$81)/COUNTIF(S14_Growth_Model_ExAnte!$AZ$15:$AZ$81,$C15),0))))*$O15*S08_Defaults!$B$6*(1+S08_Defaults!$B$7)*S08_Defaults!$B$8</x:f>
        <x:v>110.43939071910346</x:v>
      </x:c>
      <x:c r="AL15" s="115" t="n">
        <x:f aca="0">(IF($K15&gt;=2,SUMIF(S14_Growth_Model_ExAnte!$C$15:$C$81,$B15,S14_Growth_Model_ExAnte!$AC$15:$AC$81)/$K15,IF($L15&gt;=2,SUMIF(S14_Growth_Model_ExAnte!$AY$15:$AY$81,$C15&amp;"|"&amp;$D15,S14_Growth_Model_ExAnte!$AC$15:$AC$81)/$L15,IF(COUNTIF(S14_Growth_Model_ExAnte!$AZ$15:$AZ$81,$C15)&gt;0,SUMIF(S14_Growth_Model_ExAnte!$AZ$15:$AZ$81,$C15,S14_Growth_Model_ExAnte!$AC$15:$AC$81)/COUNTIF(S14_Growth_Model_ExAnte!$AZ$15:$AZ$81,$C15),0))))*$O15*S08_Defaults!$B$6*(1+S08_Defaults!$B$7)*S08_Defaults!$B$8</x:f>
        <x:v>114.88037132308999</x:v>
      </x:c>
      <x:c r="AM15" s="115" t="n">
        <x:f aca="0">R15</x:f>
        <x:v>0</x:v>
      </x:c>
      <x:c r="AN15" s="115" t="n">
        <x:f aca="0">S15-R15</x:f>
        <x:v>0.046254888411774796</x:v>
      </x:c>
      <x:c r="AO15" s="115" t="n">
        <x:f aca="0">T15-S15</x:f>
        <x:v>0.5135326153513792</x:v>
      </x:c>
      <x:c r="AP15" s="115" t="n">
        <x:f aca="0">U15-T15</x:f>
        <x:v>1.5927743919418114</x:v>
      </x:c>
      <x:c r="AQ15" s="115" t="n">
        <x:f aca="0">V15-U15</x:f>
        <x:v>3.079394153568281</x:v>
      </x:c>
      <x:c r="AR15" s="115" t="n">
        <x:f aca="0">W15-V15</x:f>
        <x:v>4.641675128574906</x:v>
      </x:c>
      <x:c r="AS15" s="115" t="n">
        <x:f aca="0">X15-W15</x:f>
        <x:v>6.05170380141146</x:v>
      </x:c>
      <x:c r="AT15" s="115" t="n">
        <x:f aca="0">Y15-X15</x:f>
        <x:v>7.178566502392053</x:v>
      </x:c>
      <x:c r="AU15" s="115" t="n">
        <x:f aca="0">Z15-Y15</x:f>
        <x:v>7.974455659201723</x:v>
      </x:c>
      <x:c r="AV15" s="115" t="n">
        <x:f aca="0">AA15-Z15</x:f>
        <x:v>8.44641602327464</x:v>
      </x:c>
      <x:c r="AW15" s="115" t="n">
        <x:f aca="0">AB15-AA15</x:f>
        <x:v>8.632106044841969</x:v>
      </x:c>
      <x:c r="AX15" s="115" t="n">
        <x:f aca="0">AC15-AB15</x:f>
        <x:v>8.582528281721444</x:v>
      </x:c>
      <x:c r="AY15" s="115" t="n">
        <x:f aca="0">AD15-AC15</x:f>
        <x:v>8.351098555329848</x:v>
      </x:c>
      <x:c r="AZ15" s="115" t="n">
        <x:f aca="0">AE15-AD15</x:f>
        <x:v>7.987471567730736</x:v>
      </x:c>
      <x:c r="BA15" s="115" t="n">
        <x:f aca="0">AF15-AE15</x:f>
        <x:v>7.534579798808878</x:v>
      </x:c>
      <x:c r="BB15" s="115" t="n">
        <x:f aca="0">AG15-AF15</x:f>
        <x:v>7.027675210572241</x:v>
      </x:c>
      <x:c r="BC15" s="115" t="n">
        <x:f aca="0">AH15-AG15</x:f>
        <x:v>6.49451923254081</x:v>
      </x:c>
      <x:c r="BD15" s="115" t="n">
        <x:f aca="0">AI15-AH15</x:f>
        <x:v>5.956158464301296</x:v>
      </x:c>
      <x:c r="BE15" s="115" t="n">
        <x:f aca="0">AJ15-AI15</x:f>
        <x:v>5.427937126706894</x:v>
      </x:c>
      <x:c r="BF15" s="115" t="n">
        <x:f aca="0">AK15-AJ15</x:f>
        <x:v>4.9205432724213125</x:v>
      </x:c>
      <x:c r="BG15" s="115" t="n">
        <x:f aca="0">AL15-AK15</x:f>
        <x:v>4.440980603986532</x:v>
      </x:c>
    </x:row>
    <x:row r="16" ht="15" hidden="0" customHeight="1">
      <x:c r="A16" s="160" t="str">
        <x:f aca="0">"S"&amp;TEXT(ROW()-3,"00")</x:f>
        <x:v>S13</x:v>
      </x:c>
      <x:c r="B16" s="161" t="s">
        <x:v>613</x:v>
      </x:c>
      <x:c r="C16" s="160" t="str">
        <x:f aca="0">LEFT($B16,FIND("|",$B16)-1)</x:f>
        <x:v>Horti-Silviculture</x:v>
      </x:c>
      <x:c r="D16" s="160" t="str">
        <x:f aca="0">MID($B16,FIND("|",$B16)+1,FIND("|",$B16,FIND("|",$B16)+1)-FIND("|",$B16)-1)</x:f>
        <x:v>Low</x:v>
      </x:c>
      <x:c r="E16" s="160" t="n">
        <x:f aca="0">VALUE(RIGHT($B16,4))</x:f>
        <x:v>2021</x:v>
      </x:c>
      <x:c r="F16" s="115" t="n">
        <x:f aca="0">SUMIF(S17_Biome_Strata!$G$4:$G$95,$B16,S17_Biome_Strata!$E$4:$E$95)</x:f>
        <x:v>51</x:v>
      </x:c>
      <x:c r="G16" s="115" t="n">
        <x:f aca="0">SUMIF(S17_Biome_Strata!$G$4:$G$95,$B16,S17_Biome_Strata!$F$4:$F$95)</x:f>
        <x:v>58.8586176042088</x:v>
      </x:c>
      <x:c r="H16" s="115" t="n">
        <x:f aca="0">IF($K16&gt;=2,SUMIF(S14_Growth_Model_ExAnte!$C$15:$C$81,$B16,S14_Growth_Model_ExAnte!$N$15:$N$81)/$K16,IF($L16&gt;=2,SUMIF(S14_Growth_Model_ExAnte!$AY$15:$AY$81,$C16&amp;"|"&amp;$D16,S14_Growth_Model_ExAnte!$N$15:$N$81)/$L16,IF(COUNTIF(S14_Growth_Model_ExAnte!$AZ$15:$AZ$81,$C16)&gt;0,SUMIF(S14_Growth_Model_ExAnte!$AZ$15:$AZ$81,$C16,S14_Growth_Model_ExAnte!$N$15:$N$81)/COUNTIF(S14_Growth_Model_ExAnte!$AZ$15:$AZ$81,$C16),0)))</x:f>
        <x:v>16.770071902101677</x:v>
      </x:c>
      <x:c r="I16" s="115" t="n">
        <x:f aca="0">IF($K16&gt;=2,SQRT(MAX(0,(SUMIF(S14_Growth_Model_ExAnte!$C$15:$C$81,$B16,S14_Growth_Model_ExAnte!$BF$15:$BF$81)-SUMIF(S14_Growth_Model_ExAnte!$C$15:$C$81,$B16,S14_Growth_Model_ExAnte!$N$15:$N$81)*SUMIF(S14_Growth_Model_ExAnte!$C$15:$C$81,$B16,S14_Growth_Model_ExAnte!$N$15:$N$81)/$K16)/($K16-1))),IF($L16&gt;=2,SQRT(MAX(0,(SUMIF(S14_Growth_Model_ExAnte!$AY$15:$AY$81,$C16&amp;"|"&amp;$D16,S14_Growth_Model_ExAnte!$BF$15:$BF$81)-SUMIF(S14_Growth_Model_ExAnte!$AY$15:$AY$81,$C16&amp;"|"&amp;$D16,S14_Growth_Model_ExAnte!$N$15:$N$81)*SUMIF(S14_Growth_Model_ExAnte!$AY$15:$AY$81,$C16&amp;"|"&amp;$D16,S14_Growth_Model_ExAnte!$N$15:$N$81)/$L16)/($L16-1))),IF(COUNTIF(S14_Growth_Model_ExAnte!$AZ$15:$AZ$81,$C16)&gt;=2,SQRT(MAX(0,(SUMIF(S14_Growth_Model_ExAnte!$AZ$15:$AZ$81,$C16,S14_Growth_Model_ExAnte!$BF$15:$BF$81)-SUMIF(S14_Growth_Model_ExAnte!$AZ$15:$AZ$81,$C16,S14_Growth_Model_ExAnte!$N$15:$N$81)*SUMIF(S14_Growth_Model_ExAnte!$AZ$15:$AZ$81,$C16,S14_Growth_Model_ExAnte!$N$15:$N$81)/COUNTIF(S14_Growth_Model_ExAnte!$AZ$15:$AZ$81,$C16))/(COUNTIF(S14_Growth_Model_ExAnte!$AZ$15:$AZ$81,$C16)-1))),0)))</x:f>
        <x:v>12.0982342788048</x:v>
      </x:c>
      <x:c r="J16" s="115" t="n">
        <x:f aca="0">IFERROR(I16/H16,0)</x:f>
        <x:v>0.721418151897644</x:v>
      </x:c>
      <x:c r="K16" s="115" t="n">
        <x:f aca="0">COUNTIF(S14_Growth_Model_ExAnte!$C$15:$C$81,$B16)</x:f>
        <x:v>1</x:v>
      </x:c>
      <x:c r="L16" s="115" t="n">
        <x:f aca="0">COUNTIF(S14_Growth_Model_ExAnte!$AY$15:$AY$81,$C16&amp;"|"&amp;$D16)</x:f>
        <x:v>4</x:v>
      </x:c>
      <x:c r="M16" s="115" t="n">
        <x:f aca="0">$H16</x:f>
        <x:v>16.770071902101677</x:v>
      </x:c>
      <x:c r="N16" s="115" t="n">
        <x:f aca="0">MAX(0,$M16*S08_Defaults!$B$5)</x:f>
        <x:v>12.577553926576257</x:v>
      </x:c>
      <x:c r="O16" s="115" t="n">
        <x:f aca="0">IFERROR($N16/$M16,0)</x:f>
        <x:v>0.75</x:v>
      </x:c>
      <x:c r="P16" s="115" t="str">
        <x:f aca="0">IF($K16&gt;=2,"Exact Stratum PSP Chapman-Richards curve",IF($L16&gt;=2,"Model×Density pooled Chapman-Richards curve","Model pooled Chapman-Richards curve"))</x:f>
        <x:v>Model×Density pooled Chapman-Richards curve</x:v>
      </x:c>
      <x:c r="Q16" s="162" t="s">
        <x:v>1106</x:v>
      </x:c>
      <x:c r="R16" s="115" t="n">
        <x:f aca="0">0</x:f>
        <x:v>0</x:v>
      </x:c>
      <x:c r="S16" s="115" t="n">
        <x:f aca="0">(IF($K16&gt;=2,SUMIF(S14_Growth_Model_ExAnte!$C$15:$C$81,$B16,S14_Growth_Model_ExAnte!$I$15:$I$81)/$K16,IF($L16&gt;=2,SUMIF(S14_Growth_Model_ExAnte!$AY$15:$AY$81,$C16&amp;"|"&amp;$D16,S14_Growth_Model_ExAnte!$I$15:$I$81)/$L16,IF(COUNTIF(S14_Growth_Model_ExAnte!$AZ$15:$AZ$81,$C16)&gt;0,SUMIF(S14_Growth_Model_ExAnte!$AZ$15:$AZ$81,$C16,S14_Growth_Model_ExAnte!$I$15:$I$81)/COUNTIF(S14_Growth_Model_ExAnte!$AZ$15:$AZ$81,$C16),0))))*$O16*S08_Defaults!$B$6*(1+S08_Defaults!$B$7)*S08_Defaults!$B$8</x:f>
        <x:v>0</x:v>
      </x:c>
      <x:c r="T16" s="115" t="n">
        <x:f aca="0">(IF($K16&gt;=2,SUMIF(S14_Growth_Model_ExAnte!$C$15:$C$81,$B16,S14_Growth_Model_ExAnte!$J$15:$J$81)/$K16,IF($L16&gt;=2,SUMIF(S14_Growth_Model_ExAnte!$AY$15:$AY$81,$C16&amp;"|"&amp;$D16,S14_Growth_Model_ExAnte!$J$15:$J$81)/$L16,IF(COUNTIF(S14_Growth_Model_ExAnte!$AZ$15:$AZ$81,$C16)&gt;0,SUMIF(S14_Growth_Model_ExAnte!$AZ$15:$AZ$81,$C16,S14_Growth_Model_ExAnte!$J$15:$J$81)/COUNTIF(S14_Growth_Model_ExAnte!$AZ$15:$AZ$81,$C16),0))))*$O16*S08_Defaults!$B$6*(1+S08_Defaults!$B$7)*S08_Defaults!$B$8</x:f>
        <x:v>0.17403433875284913</x:v>
      </x:c>
      <x:c r="U16" s="115" t="n">
        <x:f aca="0">(IF($K16&gt;=2,SUMIF(S14_Growth_Model_ExAnte!$C$15:$C$81,$B16,S14_Growth_Model_ExAnte!$K$15:$K$81)/$K16,IF($L16&gt;=2,SUMIF(S14_Growth_Model_ExAnte!$AY$15:$AY$81,$C16&amp;"|"&amp;$D16,S14_Growth_Model_ExAnte!$K$15:$K$81)/$L16,IF(COUNTIF(S14_Growth_Model_ExAnte!$AZ$15:$AZ$81,$C16)&gt;0,SUMIF(S14_Growth_Model_ExAnte!$AZ$15:$AZ$81,$C16,S14_Growth_Model_ExAnte!$K$15:$K$81)/COUNTIF(S14_Growth_Model_ExAnte!$AZ$15:$AZ$81,$C16),0))))*$O16*S08_Defaults!$B$6*(1+S08_Defaults!$B$7)*S08_Defaults!$B$8</x:f>
        <x:v>1.808298795281121</x:v>
      </x:c>
      <x:c r="V16" s="115" t="n">
        <x:f aca="0">(IF($K16&gt;=2,SUMIF(S14_Growth_Model_ExAnte!$C$15:$C$81,$B16,S14_Growth_Model_ExAnte!$L$15:$L$81)/$K16,IF($L16&gt;=2,SUMIF(S14_Growth_Model_ExAnte!$AY$15:$AY$81,$C16&amp;"|"&amp;$D16,S14_Growth_Model_ExAnte!$L$15:$L$81)/$L16,IF(COUNTIF(S14_Growth_Model_ExAnte!$AZ$15:$AZ$81,$C16)&gt;0,SUMIF(S14_Growth_Model_ExAnte!$AZ$15:$AZ$81,$C16,S14_Growth_Model_ExAnte!$L$15:$L$81)/COUNTIF(S14_Growth_Model_ExAnte!$AZ$15:$AZ$81,$C16),0))))*$O16*S08_Defaults!$B$6*(1+S08_Defaults!$B$7)*S08_Defaults!$B$8</x:f>
        <x:v>6.412198758790387</x:v>
      </x:c>
      <x:c r="W16" s="115" t="n">
        <x:f aca="0">(IF($K16&gt;=2,SUMIF(S14_Growth_Model_ExAnte!$C$15:$C$81,$B16,S14_Growth_Model_ExAnte!$M$15:$M$81)/$K16,IF($L16&gt;=2,SUMIF(S14_Growth_Model_ExAnte!$AY$15:$AY$81,$C16&amp;"|"&amp;$D16,S14_Growth_Model_ExAnte!$M$15:$M$81)/$L16,IF(COUNTIF(S14_Growth_Model_ExAnte!$AZ$15:$AZ$81,$C16)&gt;0,SUMIF(S14_Growth_Model_ExAnte!$AZ$15:$AZ$81,$C16,S14_Growth_Model_ExAnte!$M$15:$M$81)/COUNTIF(S14_Growth_Model_ExAnte!$AZ$15:$AZ$81,$C16),0))))*$O16*S08_Defaults!$B$6*(1+S08_Defaults!$B$7)*S08_Defaults!$B$8</x:f>
        <x:v>14.786882216652412</x:v>
      </x:c>
      <x:c r="X16" s="115" t="n">
        <x:f aca="0">(IF($K16&gt;=2,SUMIF(S14_Growth_Model_ExAnte!$C$15:$C$81,$B16,S14_Growth_Model_ExAnte!$N$15:$N$81)/$K16,IF($L16&gt;=2,SUMIF(S14_Growth_Model_ExAnte!$AY$15:$AY$81,$C16&amp;"|"&amp;$D16,S14_Growth_Model_ExAnte!$N$15:$N$81)/$L16,IF(COUNTIF(S14_Growth_Model_ExAnte!$AZ$15:$AZ$81,$C16)&gt;0,SUMIF(S14_Growth_Model_ExAnte!$AZ$15:$AZ$81,$C16,S14_Growth_Model_ExAnte!$N$15:$N$81)/COUNTIF(S14_Growth_Model_ExAnte!$AZ$15:$AZ$81,$C16),0))))*$O16*S08_Defaults!$B$6*(1+S08_Defaults!$B$7)*S08_Defaults!$B$8</x:f>
        <x:v>26.87739423749838</x:v>
      </x:c>
      <x:c r="Y16" s="115" t="n">
        <x:f aca="0">(IF($K16&gt;=2,SUMIF(S14_Growth_Model_ExAnte!$C$15:$C$81,$B16,S14_Growth_Model_ExAnte!$O$15:$O$81)/$K16,IF($L16&gt;=2,SUMIF(S14_Growth_Model_ExAnte!$AY$15:$AY$81,$C16&amp;"|"&amp;$D16,S14_Growth_Model_ExAnte!$O$15:$O$81)/$L16,IF(COUNTIF(S14_Growth_Model_ExAnte!$AZ$15:$AZ$81,$C16)&gt;0,SUMIF(S14_Growth_Model_ExAnte!$AZ$15:$AZ$81,$C16,S14_Growth_Model_ExAnte!$O$15:$O$81)/COUNTIF(S14_Growth_Model_ExAnte!$AZ$15:$AZ$81,$C16),0))))*$O16*S08_Defaults!$B$6*(1+S08_Defaults!$B$7)*S08_Defaults!$B$8</x:f>
        <x:v>42.13775763280599</x:v>
      </x:c>
      <x:c r="Z16" s="115" t="n">
        <x:f aca="0">(IF($K16&gt;=2,SUMIF(S14_Growth_Model_ExAnte!$C$15:$C$81,$B16,S14_Growth_Model_ExAnte!$P$15:$P$81)/$K16,IF($L16&gt;=2,SUMIF(S14_Growth_Model_ExAnte!$AY$15:$AY$81,$C16&amp;"|"&amp;$D16,S14_Growth_Model_ExAnte!$P$15:$P$81)/$L16,IF(COUNTIF(S14_Growth_Model_ExAnte!$AZ$15:$AZ$81,$C16)&gt;0,SUMIF(S14_Growth_Model_ExAnte!$AZ$15:$AZ$81,$C16,S14_Growth_Model_ExAnte!$P$15:$P$81)/COUNTIF(S14_Growth_Model_ExAnte!$AZ$15:$AZ$81,$C16),0))))*$O16*S08_Defaults!$B$6*(1+S08_Defaults!$B$7)*S08_Defaults!$B$8</x:f>
        <x:v>59.78260518527138</x:v>
      </x:c>
      <x:c r="AA16" s="115" t="n">
        <x:f aca="0">(IF($K16&gt;=2,SUMIF(S14_Growth_Model_ExAnte!$C$15:$C$81,$B16,S14_Growth_Model_ExAnte!$Q$15:$Q$81)/$K16,IF($L16&gt;=2,SUMIF(S14_Growth_Model_ExAnte!$AY$15:$AY$81,$C16&amp;"|"&amp;$D16,S14_Growth_Model_ExAnte!$Q$15:$Q$81)/$L16,IF(COUNTIF(S14_Growth_Model_ExAnte!$AZ$15:$AZ$81,$C16)&gt;0,SUMIF(S14_Growth_Model_ExAnte!$AZ$15:$AZ$81,$C16,S14_Growth_Model_ExAnte!$Q$15:$Q$81)/COUNTIF(S14_Growth_Model_ExAnte!$AZ$15:$AZ$81,$C16),0))))*$O16*S08_Defaults!$B$6*(1+S08_Defaults!$B$7)*S08_Defaults!$B$8</x:f>
        <x:v>78.97824156766397</x:v>
      </x:c>
      <x:c r="AB16" s="115" t="n">
        <x:f aca="0">(IF($K16&gt;=2,SUMIF(S14_Growth_Model_ExAnte!$C$15:$C$81,$B16,S14_Growth_Model_ExAnte!$R$15:$R$81)/$K16,IF($L16&gt;=2,SUMIF(S14_Growth_Model_ExAnte!$AY$15:$AY$81,$C16&amp;"|"&amp;$D16,S14_Growth_Model_ExAnte!$R$15:$R$81)/$L16,IF(COUNTIF(S14_Growth_Model_ExAnte!$AZ$15:$AZ$81,$C16)&gt;0,SUMIF(S14_Growth_Model_ExAnte!$AZ$15:$AZ$81,$C16,S14_Growth_Model_ExAnte!$R$15:$R$81)/COUNTIF(S14_Growth_Model_ExAnte!$AZ$15:$AZ$81,$C16),0))))*$O16*S08_Defaults!$B$6*(1+S08_Defaults!$B$7)*S08_Defaults!$B$8</x:f>
        <x:v>98.95602185390175</x:v>
      </x:c>
      <x:c r="AC16" s="115" t="n">
        <x:f aca="0">(IF($K16&gt;=2,SUMIF(S14_Growth_Model_ExAnte!$C$15:$C$81,$B16,S14_Growth_Model_ExAnte!$S$15:$S$81)/$K16,IF($L16&gt;=2,SUMIF(S14_Growth_Model_ExAnte!$AY$15:$AY$81,$C16&amp;"|"&amp;$D16,S14_Growth_Model_ExAnte!$S$15:$S$81)/$L16,IF(COUNTIF(S14_Growth_Model_ExAnte!$AZ$15:$AZ$81,$C16)&gt;0,SUMIF(S14_Growth_Model_ExAnte!$AZ$15:$AZ$81,$C16,S14_Growth_Model_ExAnte!$S$15:$S$81)/COUNTIF(S14_Growth_Model_ExAnte!$AZ$15:$AZ$81,$C16),0))))*$O16*S08_Defaults!$B$6*(1+S08_Defaults!$B$7)*S08_Defaults!$B$8</x:f>
        <x:v>119.06758474596045</x:v>
      </x:c>
      <x:c r="AD16" s="115" t="n">
        <x:f aca="0">(IF($K16&gt;=2,SUMIF(S14_Growth_Model_ExAnte!$C$15:$C$81,$B16,S14_Growth_Model_ExAnte!$T$15:$T$81)/$K16,IF($L16&gt;=2,SUMIF(S14_Growth_Model_ExAnte!$AY$15:$AY$81,$C16&amp;"|"&amp;$D16,S14_Growth_Model_ExAnte!$T$15:$T$81)/$L16,IF(COUNTIF(S14_Growth_Model_ExAnte!$AZ$15:$AZ$81,$C16)&gt;0,SUMIF(S14_Growth_Model_ExAnte!$AZ$15:$AZ$81,$C16,S14_Growth_Model_ExAnte!$T$15:$T$81)/COUNTIF(S14_Growth_Model_ExAnte!$AZ$15:$AZ$81,$C16),0))))*$O16*S08_Defaults!$B$6*(1+S08_Defaults!$B$7)*S08_Defaults!$B$8</x:f>
        <x:v>138.80222721919424</x:v>
      </x:c>
      <x:c r="AE16" s="115" t="n">
        <x:f aca="0">(IF($K16&gt;=2,SUMIF(S14_Growth_Model_ExAnte!$C$15:$C$81,$B16,S14_Growth_Model_ExAnte!$U$15:$U$81)/$K16,IF($L16&gt;=2,SUMIF(S14_Growth_Model_ExAnte!$AY$15:$AY$81,$C16&amp;"|"&amp;$D16,S14_Growth_Model_ExAnte!$U$15:$U$81)/$L16,IF(COUNTIF(S14_Growth_Model_ExAnte!$AZ$15:$AZ$81,$C16)&gt;0,SUMIF(S14_Growth_Model_ExAnte!$AZ$15:$AZ$81,$C16,S14_Growth_Model_ExAnte!$U$15:$U$81)/COUNTIF(S14_Growth_Model_ExAnte!$AZ$15:$AZ$81,$C16),0))))*$O16*S08_Defaults!$B$6*(1+S08_Defaults!$B$7)*S08_Defaults!$B$8</x:f>
        <x:v>157.78228035374133</x:v>
      </x:c>
      <x:c r="AF16" s="115" t="n">
        <x:f aca="0">(IF($K16&gt;=2,SUMIF(S14_Growth_Model_ExAnte!$C$15:$C$81,$B16,S14_Growth_Model_ExAnte!$V$15:$V$81)/$K16,IF($L16&gt;=2,SUMIF(S14_Growth_Model_ExAnte!$AY$15:$AY$81,$C16&amp;"|"&amp;$D16,S14_Growth_Model_ExAnte!$V$15:$V$81)/$L16,IF(COUNTIF(S14_Growth_Model_ExAnte!$AZ$15:$AZ$81,$C16)&gt;0,SUMIF(S14_Growth_Model_ExAnte!$AZ$15:$AZ$81,$C16,S14_Growth_Model_ExAnte!$V$15:$V$81)/COUNTIF(S14_Growth_Model_ExAnte!$AZ$15:$AZ$81,$C16),0))))*$O16*S08_Defaults!$B$6*(1+S08_Defaults!$B$7)*S08_Defaults!$B$8</x:f>
        <x:v>175.74738584896815</x:v>
      </x:c>
      <x:c r="AG16" s="115" t="n">
        <x:f aca="0">(IF($K16&gt;=2,SUMIF(S14_Growth_Model_ExAnte!$C$15:$C$81,$B16,S14_Growth_Model_ExAnte!$W$15:$W$81)/$K16,IF($L16&gt;=2,SUMIF(S14_Growth_Model_ExAnte!$AY$15:$AY$81,$C16&amp;"|"&amp;$D16,S14_Growth_Model_ExAnte!$W$15:$W$81)/$L16,IF(COUNTIF(S14_Growth_Model_ExAnte!$AZ$15:$AZ$81,$C16)&gt;0,SUMIF(S14_Growth_Model_ExAnte!$AZ$15:$AZ$81,$C16,S14_Growth_Model_ExAnte!$W$15:$W$81)/COUNTIF(S14_Growth_Model_ExAnte!$AZ$15:$AZ$81,$C16),0))))*$O16*S08_Defaults!$B$6*(1+S08_Defaults!$B$7)*S08_Defaults!$B$8</x:f>
        <x:v>192.53453046988696</x:v>
      </x:c>
      <x:c r="AH16" s="115" t="n">
        <x:f aca="0">(IF($K16&gt;=2,SUMIF(S14_Growth_Model_ExAnte!$C$15:$C$81,$B16,S14_Growth_Model_ExAnte!$X$15:$X$81)/$K16,IF($L16&gt;=2,SUMIF(S14_Growth_Model_ExAnte!$AY$15:$AY$81,$C16&amp;"|"&amp;$D16,S14_Growth_Model_ExAnte!$X$15:$X$81)/$L16,IF(COUNTIF(S14_Growth_Model_ExAnte!$AZ$15:$AZ$81,$C16)&gt;0,SUMIF(S14_Growth_Model_ExAnte!$AZ$15:$AZ$81,$C16,S14_Growth_Model_ExAnte!$X$15:$X$81)/COUNTIF(S14_Growth_Model_ExAnte!$AZ$15:$AZ$81,$C16),0))))*$O16*S08_Defaults!$B$6*(1+S08_Defaults!$B$7)*S08_Defaults!$B$8</x:f>
        <x:v>208.05780653042697</x:v>
      </x:c>
      <x:c r="AI16" s="115" t="n">
        <x:f aca="0">(IF($K16&gt;=2,SUMIF(S14_Growth_Model_ExAnte!$C$15:$C$81,$B16,S14_Growth_Model_ExAnte!$Y$15:$Y$81)/$K16,IF($L16&gt;=2,SUMIF(S14_Growth_Model_ExAnte!$AY$15:$AY$81,$C16&amp;"|"&amp;$D16,S14_Growth_Model_ExAnte!$Y$15:$Y$81)/$L16,IF(COUNTIF(S14_Growth_Model_ExAnte!$AZ$15:$AZ$81,$C16)&gt;0,SUMIF(S14_Growth_Model_ExAnte!$AZ$15:$AZ$81,$C16,S14_Growth_Model_ExAnte!$Y$15:$Y$81)/COUNTIF(S14_Growth_Model_ExAnte!$AZ$15:$AZ$81,$C16),0))))*$O16*S08_Defaults!$B$6*(1+S08_Defaults!$B$7)*S08_Defaults!$B$8</x:f>
        <x:v>222.2899602891645</x:v>
      </x:c>
      <x:c r="AJ16" s="115" t="n">
        <x:f aca="0">(IF($K16&gt;=2,SUMIF(S14_Growth_Model_ExAnte!$C$15:$C$81,$B16,S14_Growth_Model_ExAnte!$Z$15:$Z$81)/$K16,IF($L16&gt;=2,SUMIF(S14_Growth_Model_ExAnte!$AY$15:$AY$81,$C16&amp;"|"&amp;$D16,S14_Growth_Model_ExAnte!$Z$15:$Z$81)/$L16,IF(COUNTIF(S14_Growth_Model_ExAnte!$AZ$15:$AZ$81,$C16)&gt;0,SUMIF(S14_Growth_Model_ExAnte!$AZ$15:$AZ$81,$C16,S14_Growth_Model_ExAnte!$Z$15:$Z$81)/COUNTIF(S14_Growth_Model_ExAnte!$AZ$15:$AZ$81,$C16),0))))*$O16*S08_Defaults!$B$6*(1+S08_Defaults!$B$7)*S08_Defaults!$B$8</x:f>
        <x:v>235.24661033512507</x:v>
      </x:c>
      <x:c r="AK16" s="115" t="n">
        <x:f aca="0">(IF($K16&gt;=2,SUMIF(S14_Growth_Model_ExAnte!$C$15:$C$81,$B16,S14_Growth_Model_ExAnte!$AA$15:$AA$81)/$K16,IF($L16&gt;=2,SUMIF(S14_Growth_Model_ExAnte!$AY$15:$AY$81,$C16&amp;"|"&amp;$D16,S14_Growth_Model_ExAnte!$AA$15:$AA$81)/$L16,IF(COUNTIF(S14_Growth_Model_ExAnte!$AZ$15:$AZ$81,$C16)&gt;0,SUMIF(S14_Growth_Model_ExAnte!$AZ$15:$AZ$81,$C16,S14_Growth_Model_ExAnte!$AA$15:$AA$81)/COUNTIF(S14_Growth_Model_ExAnte!$AZ$15:$AZ$81,$C16),0))))*$O16*S08_Defaults!$B$6*(1+S08_Defaults!$B$7)*S08_Defaults!$B$8</x:f>
        <x:v>246.97333409785028</x:v>
      </x:c>
      <x:c r="AL16" s="115" t="n">
        <x:f aca="0">(IF($K16&gt;=2,SUMIF(S14_Growth_Model_ExAnte!$C$15:$C$81,$B16,S14_Growth_Model_ExAnte!$AB$15:$AB$81)/$K16,IF($L16&gt;=2,SUMIF(S14_Growth_Model_ExAnte!$AY$15:$AY$81,$C16&amp;"|"&amp;$D16,S14_Growth_Model_ExAnte!$AB$15:$AB$81)/$L16,IF(COUNTIF(S14_Growth_Model_ExAnte!$AZ$15:$AZ$81,$C16)&gt;0,SUMIF(S14_Growth_Model_ExAnte!$AZ$15:$AZ$81,$C16,S14_Growth_Model_ExAnte!$AB$15:$AB$81)/COUNTIF(S14_Growth_Model_ExAnte!$AZ$15:$AZ$81,$C16),0))))*$O16*S08_Defaults!$B$6*(1+S08_Defaults!$B$7)*S08_Defaults!$B$8</x:f>
        <x:v>257.53545652664155</x:v>
      </x:c>
      <x:c r="AM16" s="115" t="n">
        <x:f aca="0">R16</x:f>
        <x:v>0</x:v>
      </x:c>
      <x:c r="AN16" s="115" t="n">
        <x:f aca="0">S16-R16</x:f>
        <x:v>0</x:v>
      </x:c>
      <x:c r="AO16" s="115" t="n">
        <x:f aca="0">T16-S16</x:f>
        <x:v>0.17403433875284913</x:v>
      </x:c>
      <x:c r="AP16" s="115" t="n">
        <x:f aca="0">U16-T16</x:f>
        <x:v>1.6342644565282718</x:v>
      </x:c>
      <x:c r="AQ16" s="115" t="n">
        <x:f aca="0">V16-U16</x:f>
        <x:v>4.603899963509266</x:v>
      </x:c>
      <x:c r="AR16" s="115" t="n">
        <x:f aca="0">W16-V16</x:f>
        <x:v>8.374683457862025</x:v>
      </x:c>
      <x:c r="AS16" s="115" t="n">
        <x:f aca="0">X16-W16</x:f>
        <x:v>12.090512020845967</x:v>
      </x:c>
      <x:c r="AT16" s="115" t="n">
        <x:f aca="0">Y16-X16</x:f>
        <x:v>15.260363395307614</x:v>
      </x:c>
      <x:c r="AU16" s="115" t="n">
        <x:f aca="0">Z16-Y16</x:f>
        <x:v>17.644847552465386</x:v>
      </x:c>
      <x:c r="AV16" s="115" t="n">
        <x:f aca="0">AA16-Z16</x:f>
        <x:v>19.195636382392593</x:v>
      </x:c>
      <x:c r="AW16" s="115" t="n">
        <x:f aca="0">AB16-AA16</x:f>
        <x:v>19.977780286237774</x:v>
      </x:c>
      <x:c r="AX16" s="115" t="n">
        <x:f aca="0">AC16-AB16</x:f>
        <x:v>20.1115628920587</x:v>
      </x:c>
      <x:c r="AY16" s="115" t="n">
        <x:f aca="0">AD16-AC16</x:f>
        <x:v>19.73464247323379</x:v>
      </x:c>
      <x:c r="AZ16" s="115" t="n">
        <x:f aca="0">AE16-AD16</x:f>
        <x:v>18.98005313454709</x:v>
      </x:c>
      <x:c r="BA16" s="115" t="n">
        <x:f aca="0">AF16-AE16</x:f>
        <x:v>17.965105495226823</x:v>
      </x:c>
      <x:c r="BB16" s="115" t="n">
        <x:f aca="0">AG16-AF16</x:f>
        <x:v>16.78714462091881</x:v>
      </x:c>
      <x:c r="BC16" s="115" t="n">
        <x:f aca="0">AH16-AG16</x:f>
        <x:v>15.523276060540013</x:v>
      </x:c>
      <x:c r="BD16" s="115" t="n">
        <x:f aca="0">AI16-AH16</x:f>
        <x:v>14.232153758737525</x:v>
      </x:c>
      <x:c r="BE16" s="115" t="n">
        <x:f aca="0">AJ16-AI16</x:f>
        <x:v>12.956650045960572</x:v>
      </x:c>
      <x:c r="BF16" s="115" t="n">
        <x:f aca="0">AK16-AJ16</x:f>
        <x:v>11.726723762725214</x:v>
      </x:c>
      <x:c r="BG16" s="115" t="n">
        <x:f aca="0">AL16-AK16</x:f>
        <x:v>10.56212242879127</x:v>
      </x:c>
    </x:row>
    <x:row r="17" ht="15" hidden="0" customHeight="1">
      <x:c r="A17" s="160" t="str">
        <x:f aca="0">"S"&amp;TEXT(ROW()-3,"00")</x:f>
        <x:v>S14</x:v>
      </x:c>
      <x:c r="B17" s="161" t="s">
        <x:v>616</x:v>
      </x:c>
      <x:c r="C17" s="160" t="str">
        <x:f aca="0">LEFT($B17,FIND("|",$B17)-1)</x:f>
        <x:v>Horti-Silviculture</x:v>
      </x:c>
      <x:c r="D17" s="160" t="str">
        <x:f aca="0">MID($B17,FIND("|",$B17)+1,FIND("|",$B17,FIND("|",$B17)+1)-FIND("|",$B17)-1)</x:f>
        <x:v>Medium</x:v>
      </x:c>
      <x:c r="E17" s="160" t="n">
        <x:f aca="0">VALUE(RIGHT($B17,4))</x:f>
        <x:v>2021</x:v>
      </x:c>
      <x:c r="F17" s="115" t="n">
        <x:f aca="0">SUMIF(S17_Biome_Strata!$G$4:$G$95,$B17,S17_Biome_Strata!$E$4:$E$95)</x:f>
        <x:v>85</x:v>
      </x:c>
      <x:c r="G17" s="115" t="n">
        <x:f aca="0">SUMIF(S17_Biome_Strata!$G$4:$G$95,$B17,S17_Biome_Strata!$F$4:$F$95)</x:f>
        <x:v>60.253258802104504</x:v>
      </x:c>
      <x:c r="H17" s="115" t="n">
        <x:f aca="0">IF($K17&gt;=2,SUMIF(S14_Growth_Model_ExAnte!$C$15:$C$81,$B17,S14_Growth_Model_ExAnte!$N$15:$N$81)/$K17,IF($L17&gt;=2,SUMIF(S14_Growth_Model_ExAnte!$AY$15:$AY$81,$C17&amp;"|"&amp;$D17,S14_Growth_Model_ExAnte!$N$15:$N$81)/$L17,IF(COUNTIF(S14_Growth_Model_ExAnte!$AZ$15:$AZ$81,$C17)&gt;0,SUMIF(S14_Growth_Model_ExAnte!$AZ$15:$AZ$81,$C17,S14_Growth_Model_ExAnte!$N$15:$N$81)/COUNTIF(S14_Growth_Model_ExAnte!$AZ$15:$AZ$81,$C17),0)))</x:f>
        <x:v>16.079595224116982</x:v>
      </x:c>
      <x:c r="I17" s="115" t="n">
        <x:f aca="0">IF($K17&gt;=2,SQRT(MAX(0,(SUMIF(S14_Growth_Model_ExAnte!$C$15:$C$81,$B17,S14_Growth_Model_ExAnte!$BF$15:$BF$81)-SUMIF(S14_Growth_Model_ExAnte!$C$15:$C$81,$B17,S14_Growth_Model_ExAnte!$N$15:$N$81)*SUMIF(S14_Growth_Model_ExAnte!$C$15:$C$81,$B17,S14_Growth_Model_ExAnte!$N$15:$N$81)/$K17)/($K17-1))),IF($L17&gt;=2,SQRT(MAX(0,(SUMIF(S14_Growth_Model_ExAnte!$AY$15:$AY$81,$C17&amp;"|"&amp;$D17,S14_Growth_Model_ExAnte!$BF$15:$BF$81)-SUMIF(S14_Growth_Model_ExAnte!$AY$15:$AY$81,$C17&amp;"|"&amp;$D17,S14_Growth_Model_ExAnte!$N$15:$N$81)*SUMIF(S14_Growth_Model_ExAnte!$AY$15:$AY$81,$C17&amp;"|"&amp;$D17,S14_Growth_Model_ExAnte!$N$15:$N$81)/$L17)/($L17-1))),IF(COUNTIF(S14_Growth_Model_ExAnte!$AZ$15:$AZ$81,$C17)&gt;=2,SQRT(MAX(0,(SUMIF(S14_Growth_Model_ExAnte!$AZ$15:$AZ$81,$C17,S14_Growth_Model_ExAnte!$BF$15:$BF$81)-SUMIF(S14_Growth_Model_ExAnte!$AZ$15:$AZ$81,$C17,S14_Growth_Model_ExAnte!$N$15:$N$81)*SUMIF(S14_Growth_Model_ExAnte!$AZ$15:$AZ$81,$C17,S14_Growth_Model_ExAnte!$N$15:$N$81)/COUNTIF(S14_Growth_Model_ExAnte!$AZ$15:$AZ$81,$C17))/(COUNTIF(S14_Growth_Model_ExAnte!$AZ$15:$AZ$81,$C17)-1))),0)))</x:f>
        <x:v>7.409984330522331</x:v>
      </x:c>
      <x:c r="J17" s="115" t="n">
        <x:f aca="0">IFERROR(I17/H17,0)</x:f>
        <x:v>0.4608315213935526</x:v>
      </x:c>
      <x:c r="K17" s="115" t="n">
        <x:f aca="0">COUNTIF(S14_Growth_Model_ExAnte!$C$15:$C$81,$B17)</x:f>
        <x:v>2</x:v>
      </x:c>
      <x:c r="L17" s="115" t="n">
        <x:f aca="0">COUNTIF(S14_Growth_Model_ExAnte!$AY$15:$AY$81,$C17&amp;"|"&amp;$D17)</x:f>
        <x:v>9</x:v>
      </x:c>
      <x:c r="M17" s="115" t="n">
        <x:f aca="0">$H17</x:f>
        <x:v>16.079595224116982</x:v>
      </x:c>
      <x:c r="N17" s="115" t="n">
        <x:f aca="0">MAX(0,$M17*S08_Defaults!$B$5)</x:f>
        <x:v>12.059696418087736</x:v>
      </x:c>
      <x:c r="O17" s="115" t="n">
        <x:f aca="0">IFERROR($N17/$M17,0)</x:f>
        <x:v>0.75</x:v>
      </x:c>
      <x:c r="P17" s="115" t="str">
        <x:f aca="0">IF($K17&gt;=2,"Exact Stratum PSP Chapman-Richards curve",IF($L17&gt;=2,"Model×Density pooled Chapman-Richards curve","Model pooled Chapman-Richards curve"))</x:f>
        <x:v>Exact Stratum PSP Chapman-Richards curve</x:v>
      </x:c>
      <x:c r="Q17" s="162" t="s">
        <x:v>1106</x:v>
      </x:c>
      <x:c r="R17" s="115" t="n">
        <x:f aca="0">0</x:f>
        <x:v>0</x:v>
      </x:c>
      <x:c r="S17" s="115" t="n">
        <x:f aca="0">(IF($K17&gt;=2,SUMIF(S14_Growth_Model_ExAnte!$C$15:$C$81,$B17,S14_Growth_Model_ExAnte!$I$15:$I$81)/$K17,IF($L17&gt;=2,SUMIF(S14_Growth_Model_ExAnte!$AY$15:$AY$81,$C17&amp;"|"&amp;$D17,S14_Growth_Model_ExAnte!$I$15:$I$81)/$L17,IF(COUNTIF(S14_Growth_Model_ExAnte!$AZ$15:$AZ$81,$C17)&gt;0,SUMIF(S14_Growth_Model_ExAnte!$AZ$15:$AZ$81,$C17,S14_Growth_Model_ExAnte!$I$15:$I$81)/COUNTIF(S14_Growth_Model_ExAnte!$AZ$15:$AZ$81,$C17),0))))*$O17*S08_Defaults!$B$6*(1+S08_Defaults!$B$7)*S08_Defaults!$B$8</x:f>
        <x:v>0</x:v>
      </x:c>
      <x:c r="T17" s="115" t="n">
        <x:f aca="0">(IF($K17&gt;=2,SUMIF(S14_Growth_Model_ExAnte!$C$15:$C$81,$B17,S14_Growth_Model_ExAnte!$J$15:$J$81)/$K17,IF($L17&gt;=2,SUMIF(S14_Growth_Model_ExAnte!$AY$15:$AY$81,$C17&amp;"|"&amp;$D17,S14_Growth_Model_ExAnte!$J$15:$J$81)/$L17,IF(COUNTIF(S14_Growth_Model_ExAnte!$AZ$15:$AZ$81,$C17)&gt;0,SUMIF(S14_Growth_Model_ExAnte!$AZ$15:$AZ$81,$C17,S14_Growth_Model_ExAnte!$J$15:$J$81)/COUNTIF(S14_Growth_Model_ExAnte!$AZ$15:$AZ$81,$C17),0))))*$O17*S08_Defaults!$B$6*(1+S08_Defaults!$B$7)*S08_Defaults!$B$8</x:f>
        <x:v>0.12283356113190305</x:v>
      </x:c>
      <x:c r="U17" s="115" t="n">
        <x:f aca="0">(IF($K17&gt;=2,SUMIF(S14_Growth_Model_ExAnte!$C$15:$C$81,$B17,S14_Growth_Model_ExAnte!$K$15:$K$81)/$K17,IF($L17&gt;=2,SUMIF(S14_Growth_Model_ExAnte!$AY$15:$AY$81,$C17&amp;"|"&amp;$D17,S14_Growth_Model_ExAnte!$K$15:$K$81)/$L17,IF(COUNTIF(S14_Growth_Model_ExAnte!$AZ$15:$AZ$81,$C17)&gt;0,SUMIF(S14_Growth_Model_ExAnte!$AZ$15:$AZ$81,$C17,S14_Growth_Model_ExAnte!$K$15:$K$81)/COUNTIF(S14_Growth_Model_ExAnte!$AZ$15:$AZ$81,$C17),0))))*$O17*S08_Defaults!$B$6*(1+S08_Defaults!$B$7)*S08_Defaults!$B$8</x:f>
        <x:v>1.4989505769070053</x:v>
      </x:c>
      <x:c r="V17" s="115" t="n">
        <x:f aca="0">(IF($K17&gt;=2,SUMIF(S14_Growth_Model_ExAnte!$C$15:$C$81,$B17,S14_Growth_Model_ExAnte!$L$15:$L$81)/$K17,IF($L17&gt;=2,SUMIF(S14_Growth_Model_ExAnte!$AY$15:$AY$81,$C17&amp;"|"&amp;$D17,S14_Growth_Model_ExAnte!$L$15:$L$81)/$L17,IF(COUNTIF(S14_Growth_Model_ExAnte!$AZ$15:$AZ$81,$C17)&gt;0,SUMIF(S14_Growth_Model_ExAnte!$AZ$15:$AZ$81,$C17,S14_Growth_Model_ExAnte!$L$15:$L$81)/COUNTIF(S14_Growth_Model_ExAnte!$AZ$15:$AZ$81,$C17),0))))*$O17*S08_Defaults!$B$6*(1+S08_Defaults!$B$7)*S08_Defaults!$B$8</x:f>
        <x:v>5.735466422719506</x:v>
      </x:c>
      <x:c r="W17" s="115" t="n">
        <x:f aca="0">(IF($K17&gt;=2,SUMIF(S14_Growth_Model_ExAnte!$C$15:$C$81,$B17,S14_Growth_Model_ExAnte!$M$15:$M$81)/$K17,IF($L17&gt;=2,SUMIF(S14_Growth_Model_ExAnte!$AY$15:$AY$81,$C17&amp;"|"&amp;$D17,S14_Growth_Model_ExAnte!$M$15:$M$81)/$L17,IF(COUNTIF(S14_Growth_Model_ExAnte!$AZ$15:$AZ$81,$C17)&gt;0,SUMIF(S14_Growth_Model_ExAnte!$AZ$15:$AZ$81,$C17,S14_Growth_Model_ExAnte!$M$15:$M$81)/COUNTIF(S14_Growth_Model_ExAnte!$AZ$15:$AZ$81,$C17),0))))*$O17*S08_Defaults!$B$6*(1+S08_Defaults!$B$7)*S08_Defaults!$B$8</x:f>
        <x:v>13.80887340940617</x:v>
      </x:c>
      <x:c r="X17" s="115" t="n">
        <x:f aca="0">(IF($K17&gt;=2,SUMIF(S14_Growth_Model_ExAnte!$C$15:$C$81,$B17,S14_Growth_Model_ExAnte!$N$15:$N$81)/$K17,IF($L17&gt;=2,SUMIF(S14_Growth_Model_ExAnte!$AY$15:$AY$81,$C17&amp;"|"&amp;$D17,S14_Growth_Model_ExAnte!$N$15:$N$81)/$L17,IF(COUNTIF(S14_Growth_Model_ExAnte!$AZ$15:$AZ$81,$C17)&gt;0,SUMIF(S14_Growth_Model_ExAnte!$AZ$15:$AZ$81,$C17,S14_Growth_Model_ExAnte!$N$15:$N$81)/COUNTIF(S14_Growth_Model_ExAnte!$AZ$15:$AZ$81,$C17),0))))*$O17*S08_Defaults!$B$6*(1+S08_Defaults!$B$7)*S08_Defaults!$B$8</x:f>
        <x:v>25.770767265692307</x:v>
      </x:c>
      <x:c r="Y17" s="115" t="n">
        <x:f aca="0">(IF($K17&gt;=2,SUMIF(S14_Growth_Model_ExAnte!$C$15:$C$81,$B17,S14_Growth_Model_ExAnte!$O$15:$O$81)/$K17,IF($L17&gt;=2,SUMIF(S14_Growth_Model_ExAnte!$AY$15:$AY$81,$C17&amp;"|"&amp;$D17,S14_Growth_Model_ExAnte!$O$15:$O$81)/$L17,IF(COUNTIF(S14_Growth_Model_ExAnte!$AZ$15:$AZ$81,$C17)&gt;0,SUMIF(S14_Growth_Model_ExAnte!$AZ$15:$AZ$81,$C17,S14_Growth_Model_ExAnte!$O$15:$O$81)/COUNTIF(S14_Growth_Model_ExAnte!$AZ$15:$AZ$81,$C17),0))))*$O17*S08_Defaults!$B$6*(1+S08_Defaults!$B$7)*S08_Defaults!$B$8</x:f>
        <x:v>41.08811707245167</x:v>
      </x:c>
      <x:c r="Z17" s="115" t="n">
        <x:f aca="0">(IF($K17&gt;=2,SUMIF(S14_Growth_Model_ExAnte!$C$15:$C$81,$B17,S14_Growth_Model_ExAnte!$P$15:$P$81)/$K17,IF($L17&gt;=2,SUMIF(S14_Growth_Model_ExAnte!$AY$15:$AY$81,$C17&amp;"|"&amp;$D17,S14_Growth_Model_ExAnte!$P$15:$P$81)/$L17,IF(COUNTIF(S14_Growth_Model_ExAnte!$AZ$15:$AZ$81,$C17)&gt;0,SUMIF(S14_Growth_Model_ExAnte!$AZ$15:$AZ$81,$C17,S14_Growth_Model_ExAnte!$P$15:$P$81)/COUNTIF(S14_Growth_Model_ExAnte!$AZ$15:$AZ$81,$C17),0))))*$O17*S08_Defaults!$B$6*(1+S08_Defaults!$B$7)*S08_Defaults!$B$8</x:f>
        <x:v>58.936105685083724</x:v>
      </x:c>
      <x:c r="AA17" s="115" t="n">
        <x:f aca="0">(IF($K17&gt;=2,SUMIF(S14_Growth_Model_ExAnte!$C$15:$C$81,$B17,S14_Growth_Model_ExAnte!$Q$15:$Q$81)/$K17,IF($L17&gt;=2,SUMIF(S14_Growth_Model_ExAnte!$AY$15:$AY$81,$C17&amp;"|"&amp;$D17,S14_Growth_Model_ExAnte!$Q$15:$Q$81)/$L17,IF(COUNTIF(S14_Growth_Model_ExAnte!$AZ$15:$AZ$81,$C17)&gt;0,SUMIF(S14_Growth_Model_ExAnte!$AZ$15:$AZ$81,$C17,S14_Growth_Model_ExAnte!$Q$15:$Q$81)/COUNTIF(S14_Growth_Model_ExAnte!$AZ$15:$AZ$81,$C17),0))))*$O17*S08_Defaults!$B$6*(1+S08_Defaults!$B$7)*S08_Defaults!$B$8</x:f>
        <x:v>78.4246944693513</x:v>
      </x:c>
      <x:c r="AB17" s="115" t="n">
        <x:f aca="0">(IF($K17&gt;=2,SUMIF(S14_Growth_Model_ExAnte!$C$15:$C$81,$B17,S14_Growth_Model_ExAnte!$R$15:$R$81)/$K17,IF($L17&gt;=2,SUMIF(S14_Growth_Model_ExAnte!$AY$15:$AY$81,$C17&amp;"|"&amp;$D17,S14_Growth_Model_ExAnte!$R$15:$R$81)/$L17,IF(COUNTIF(S14_Growth_Model_ExAnte!$AZ$15:$AZ$81,$C17)&gt;0,SUMIF(S14_Growth_Model_ExAnte!$AZ$15:$AZ$81,$C17,S14_Growth_Model_ExAnte!$R$15:$R$81)/COUNTIF(S14_Growth_Model_ExAnte!$AZ$15:$AZ$81,$C17),0))))*$O17*S08_Defaults!$B$6*(1+S08_Defaults!$B$7)*S08_Defaults!$B$8</x:f>
        <x:v>98.73296069056644</x:v>
      </x:c>
      <x:c r="AC17" s="115" t="n">
        <x:f aca="0">(IF($K17&gt;=2,SUMIF(S14_Growth_Model_ExAnte!$C$15:$C$81,$B17,S14_Growth_Model_ExAnte!$S$15:$S$81)/$K17,IF($L17&gt;=2,SUMIF(S14_Growth_Model_ExAnte!$AY$15:$AY$81,$C17&amp;"|"&amp;$D17,S14_Growth_Model_ExAnte!$S$15:$S$81)/$L17,IF(COUNTIF(S14_Growth_Model_ExAnte!$AZ$15:$AZ$81,$C17)&gt;0,SUMIF(S14_Growth_Model_ExAnte!$AZ$15:$AZ$81,$C17,S14_Growth_Model_ExAnte!$S$15:$S$81)/COUNTIF(S14_Growth_Model_ExAnte!$AZ$15:$AZ$81,$C17),0))))*$O17*S08_Defaults!$B$6*(1+S08_Defaults!$B$7)*S08_Defaults!$B$8</x:f>
        <x:v>119.17300190182442</x:v>
      </x:c>
      <x:c r="AD17" s="115" t="n">
        <x:f aca="0">(IF($K17&gt;=2,SUMIF(S14_Growth_Model_ExAnte!$C$15:$C$81,$B17,S14_Growth_Model_ExAnte!$T$15:$T$81)/$K17,IF($L17&gt;=2,SUMIF(S14_Growth_Model_ExAnte!$AY$15:$AY$81,$C17&amp;"|"&amp;$D17,S14_Growth_Model_ExAnte!$T$15:$T$81)/$L17,IF(COUNTIF(S14_Growth_Model_ExAnte!$AZ$15:$AZ$81,$C17)&gt;0,SUMIF(S14_Growth_Model_ExAnte!$AZ$15:$AZ$81,$C17,S14_Growth_Model_ExAnte!$T$15:$T$81)/COUNTIF(S14_Growth_Model_ExAnte!$AZ$15:$AZ$81,$C17),0))))*$O17*S08_Defaults!$B$6*(1+S08_Defaults!$B$7)*S08_Defaults!$B$8</x:f>
        <x:v>139.20862378390527</x:v>
      </x:c>
      <x:c r="AE17" s="115" t="n">
        <x:f aca="0">(IF($K17&gt;=2,SUMIF(S14_Growth_Model_ExAnte!$C$15:$C$81,$B17,S14_Growth_Model_ExAnte!$U$15:$U$81)/$K17,IF($L17&gt;=2,SUMIF(S14_Growth_Model_ExAnte!$AY$15:$AY$81,$C17&amp;"|"&amp;$D17,S14_Growth_Model_ExAnte!$U$15:$U$81)/$L17,IF(COUNTIF(S14_Growth_Model_ExAnte!$AZ$15:$AZ$81,$C17)&gt;0,SUMIF(S14_Growth_Model_ExAnte!$AZ$15:$AZ$81,$C17,S14_Growth_Model_ExAnte!$U$15:$U$81)/COUNTIF(S14_Growth_Model_ExAnte!$AZ$15:$AZ$81,$C17),0))))*$O17*S08_Defaults!$B$6*(1+S08_Defaults!$B$7)*S08_Defaults!$B$8</x:f>
        <x:v>158.44860426891884</x:v>
      </x:c>
      <x:c r="AF17" s="115" t="n">
        <x:f aca="0">(IF($K17&gt;=2,SUMIF(S14_Growth_Model_ExAnte!$C$15:$C$81,$B17,S14_Growth_Model_ExAnte!$V$15:$V$81)/$K17,IF($L17&gt;=2,SUMIF(S14_Growth_Model_ExAnte!$AY$15:$AY$81,$C17&amp;"|"&amp;$D17,S14_Growth_Model_ExAnte!$V$15:$V$81)/$L17,IF(COUNTIF(S14_Growth_Model_ExAnte!$AZ$15:$AZ$81,$C17)&gt;0,SUMIF(S14_Growth_Model_ExAnte!$AZ$15:$AZ$81,$C17,S14_Growth_Model_ExAnte!$V$15:$V$81)/COUNTIF(S14_Growth_Model_ExAnte!$AZ$15:$AZ$81,$C17),0))))*$O17*S08_Defaults!$B$6*(1+S08_Defaults!$B$7)*S08_Defaults!$B$8</x:f>
        <x:v>176.62781196273997</x:v>
      </x:c>
      <x:c r="AG17" s="115" t="n">
        <x:f aca="0">(IF($K17&gt;=2,SUMIF(S14_Growth_Model_ExAnte!$C$15:$C$81,$B17,S14_Growth_Model_ExAnte!$W$15:$W$81)/$K17,IF($L17&gt;=2,SUMIF(S14_Growth_Model_ExAnte!$AY$15:$AY$81,$C17&amp;"|"&amp;$D17,S14_Growth_Model_ExAnte!$W$15:$W$81)/$L17,IF(COUNTIF(S14_Growth_Model_ExAnte!$AZ$15:$AZ$81,$C17)&gt;0,SUMIF(S14_Growth_Model_ExAnte!$AZ$15:$AZ$81,$C17,S14_Growth_Model_ExAnte!$W$15:$W$81)/COUNTIF(S14_Growth_Model_ExAnte!$AZ$15:$AZ$81,$C17),0))))*$O17*S08_Defaults!$B$6*(1+S08_Defaults!$B$7)*S08_Defaults!$B$8</x:f>
        <x:v>193.58422058428138</x:v>
      </x:c>
      <x:c r="AH17" s="115" t="n">
        <x:f aca="0">(IF($K17&gt;=2,SUMIF(S14_Growth_Model_ExAnte!$C$15:$C$81,$B17,S14_Growth_Model_ExAnte!$X$15:$X$81)/$K17,IF($L17&gt;=2,SUMIF(S14_Growth_Model_ExAnte!$AY$15:$AY$81,$C17&amp;"|"&amp;$D17,S14_Growth_Model_ExAnte!$X$15:$X$81)/$L17,IF(COUNTIF(S14_Growth_Model_ExAnte!$AZ$15:$AZ$81,$C17)&gt;0,SUMIF(S14_Growth_Model_ExAnte!$AZ$15:$AZ$81,$C17,S14_Growth_Model_ExAnte!$X$15:$X$81)/COUNTIF(S14_Growth_Model_ExAnte!$AZ$15:$AZ$81,$C17),0))))*$O17*S08_Defaults!$B$6*(1+S08_Defaults!$B$7)*S08_Defaults!$B$8</x:f>
        <x:v>209.23624513952902</x:v>
      </x:c>
      <x:c r="AI17" s="115" t="n">
        <x:f aca="0">(IF($K17&gt;=2,SUMIF(S14_Growth_Model_ExAnte!$C$15:$C$81,$B17,S14_Growth_Model_ExAnte!$Y$15:$Y$81)/$K17,IF($L17&gt;=2,SUMIF(S14_Growth_Model_ExAnte!$AY$15:$AY$81,$C17&amp;"|"&amp;$D17,S14_Growth_Model_ExAnte!$Y$15:$Y$81)/$L17,IF(COUNTIF(S14_Growth_Model_ExAnte!$AZ$15:$AZ$81,$C17)&gt;0,SUMIF(S14_Growth_Model_ExAnte!$AZ$15:$AZ$81,$C17,S14_Growth_Model_ExAnte!$Y$15:$Y$81)/COUNTIF(S14_Growth_Model_ExAnte!$AZ$15:$AZ$81,$C17),0))))*$O17*S08_Defaults!$B$6*(1+S08_Defaults!$B$7)*S08_Defaults!$B$8</x:f>
        <x:v>223.5625415771482</x:v>
      </x:c>
      <x:c r="AJ17" s="115" t="n">
        <x:f aca="0">(IF($K17&gt;=2,SUMIF(S14_Growth_Model_ExAnte!$C$15:$C$81,$B17,S14_Growth_Model_ExAnte!$Z$15:$Z$81)/$K17,IF($L17&gt;=2,SUMIF(S14_Growth_Model_ExAnte!$AY$15:$AY$81,$C17&amp;"|"&amp;$D17,S14_Growth_Model_ExAnte!$Z$15:$Z$81)/$L17,IF(COUNTIF(S14_Growth_Model_ExAnte!$AZ$15:$AZ$81,$C17)&gt;0,SUMIF(S14_Growth_Model_ExAnte!$AZ$15:$AZ$81,$C17,S14_Growth_Model_ExAnte!$Z$15:$Z$81)/COUNTIF(S14_Growth_Model_ExAnte!$AZ$15:$AZ$81,$C17),0))))*$O17*S08_Defaults!$B$6*(1+S08_Defaults!$B$7)*S08_Defaults!$B$8</x:f>
        <x:v>236.58506751930585</x:v>
      </x:c>
      <x:c r="AK17" s="115" t="n">
        <x:f aca="0">(IF($K17&gt;=2,SUMIF(S14_Growth_Model_ExAnte!$C$15:$C$81,$B17,S14_Growth_Model_ExAnte!$AA$15:$AA$81)/$K17,IF($L17&gt;=2,SUMIF(S14_Growth_Model_ExAnte!$AY$15:$AY$81,$C17&amp;"|"&amp;$D17,S14_Growth_Model_ExAnte!$AA$15:$AA$81)/$L17,IF(COUNTIF(S14_Growth_Model_ExAnte!$AZ$15:$AZ$81,$C17)&gt;0,SUMIF(S14_Growth_Model_ExAnte!$AZ$15:$AZ$81,$C17,S14_Growth_Model_ExAnte!$AA$15:$AA$81)/COUNTIF(S14_Growth_Model_ExAnte!$AZ$15:$AZ$81,$C17),0))))*$O17*S08_Defaults!$B$6*(1+S08_Defaults!$B$7)*S08_Defaults!$B$8</x:f>
        <x:v>248.355467468293</x:v>
      </x:c>
      <x:c r="AL17" s="115" t="n">
        <x:f aca="0">(IF($K17&gt;=2,SUMIF(S14_Growth_Model_ExAnte!$C$15:$C$81,$B17,S14_Growth_Model_ExAnte!$AB$15:$AB$81)/$K17,IF($L17&gt;=2,SUMIF(S14_Growth_Model_ExAnte!$AY$15:$AY$81,$C17&amp;"|"&amp;$D17,S14_Growth_Model_ExAnte!$AB$15:$AB$81)/$L17,IF(COUNTIF(S14_Growth_Model_ExAnte!$AZ$15:$AZ$81,$C17)&gt;0,SUMIF(S14_Growth_Model_ExAnte!$AZ$15:$AZ$81,$C17,S14_Growth_Model_ExAnte!$AB$15:$AB$81)/COUNTIF(S14_Growth_Model_ExAnte!$AZ$15:$AZ$81,$C17),0))))*$O17*S08_Defaults!$B$6*(1+S08_Defaults!$B$7)*S08_Defaults!$B$8</x:f>
        <x:v>258.94448483826704</x:v>
      </x:c>
      <x:c r="AM17" s="115" t="n">
        <x:f aca="0">R17</x:f>
        <x:v>0</x:v>
      </x:c>
      <x:c r="AN17" s="115" t="n">
        <x:f aca="0">S17-R17</x:f>
        <x:v>0</x:v>
      </x:c>
      <x:c r="AO17" s="115" t="n">
        <x:f aca="0">T17-S17</x:f>
        <x:v>0.12283356113190305</x:v>
      </x:c>
      <x:c r="AP17" s="115" t="n">
        <x:f aca="0">U17-T17</x:f>
        <x:v>1.3761170157751021</x:v>
      </x:c>
      <x:c r="AQ17" s="115" t="n">
        <x:f aca="0">V17-U17</x:f>
        <x:v>4.236515845812501</x:v>
      </x:c>
      <x:c r="AR17" s="115" t="n">
        <x:f aca="0">W17-V17</x:f>
        <x:v>8.073406986686663</x:v>
      </x:c>
      <x:c r="AS17" s="115" t="n">
        <x:f aca="0">X17-W17</x:f>
        <x:v>11.961893856286137</x:v>
      </x:c>
      <x:c r="AT17" s="115" t="n">
        <x:f aca="0">Y17-X17</x:f>
        <x:v>15.317349806759367</x:v>
      </x:c>
      <x:c r="AU17" s="115" t="n">
        <x:f aca="0">Z17-Y17</x:f>
        <x:v>17.84798861263205</x:v>
      </x:c>
      <x:c r="AV17" s="115" t="n">
        <x:f aca="0">AA17-Z17</x:f>
        <x:v>19.48858878426757</x:v>
      </x:c>
      <x:c r="AW17" s="115" t="n">
        <x:f aca="0">AB17-AA17</x:f>
        <x:v>20.30826622121515</x:v>
      </x:c>
      <x:c r="AX17" s="115" t="n">
        <x:f aca="0">AC17-AB17</x:f>
        <x:v>20.440041211257977</x:v>
      </x:c>
      <x:c r="AY17" s="115" t="n">
        <x:f aca="0">AD17-AC17</x:f>
        <x:v>20.035621882080846</x:v>
      </x:c>
      <x:c r="AZ17" s="115" t="n">
        <x:f aca="0">AE17-AD17</x:f>
        <x:v>19.239980485013575</x:v>
      </x:c>
      <x:c r="BA17" s="115" t="n">
        <x:f aca="0">AF17-AE17</x:f>
        <x:v>18.179207693821127</x:v>
      </x:c>
      <x:c r="BB17" s="115" t="n">
        <x:f aca="0">AG17-AF17</x:f>
        <x:v>16.956408621541414</x:v>
      </x:c>
      <x:c r="BC17" s="115" t="n">
        <x:f aca="0">AH17-AG17</x:f>
        <x:v>15.652024555247635</x:v>
      </x:c>
      <x:c r="BD17" s="115" t="n">
        <x:f aca="0">AI17-AH17</x:f>
        <x:v>14.326296437619192</x:v>
      </x:c>
      <x:c r="BE17" s="115" t="n">
        <x:f aca="0">AJ17-AI17</x:f>
        <x:v>13.022525942157642</x:v>
      </x:c>
      <x:c r="BF17" s="115" t="n">
        <x:f aca="0">AK17-AJ17</x:f>
        <x:v>11.770399948987148</x:v>
      </x:c>
      <x:c r="BG17" s="115" t="n">
        <x:f aca="0">AL17-AK17</x:f>
        <x:v>10.589017369974044</x:v>
      </x:c>
    </x:row>
    <x:row r="18" ht="15" hidden="0" customHeight="1">
      <x:c r="A18" s="160" t="str">
        <x:f aca="0">"S"&amp;TEXT(ROW()-3,"00")</x:f>
        <x:v>S15</x:v>
      </x:c>
      <x:c r="B18" s="161" t="s">
        <x:v>1107</x:v>
      </x:c>
      <x:c r="C18" s="160" t="str">
        <x:f aca="0">LEFT($B18,FIND("|",$B18)-1)</x:f>
        <x:v>Horti-Silviculture</x:v>
      </x:c>
      <x:c r="D18" s="160" t="str">
        <x:f aca="0">MID($B18,FIND("|",$B18)+1,FIND("|",$B18,FIND("|",$B18)+1)-FIND("|",$B18)-1)</x:f>
        <x:v>High</x:v>
      </x:c>
      <x:c r="E18" s="160" t="n">
        <x:f aca="0">VALUE(RIGHT($B18,4))</x:f>
        <x:v>2021</x:v>
      </x:c>
      <x:c r="F18" s="115" t="n">
        <x:f aca="0">SUMIF(S17_Biome_Strata!$G$4:$G$95,$B18,S17_Biome_Strata!$E$4:$E$95)</x:f>
        <x:v>11</x:v>
      </x:c>
      <x:c r="G18" s="115" t="n">
        <x:f aca="0">SUMIF(S17_Biome_Strata!$G$4:$G$95,$B18,S17_Biome_Strata!$F$4:$F$95)</x:f>
        <x:v>4.2222</x:v>
      </x:c>
      <x:c r="H18" s="115" t="n">
        <x:f aca="0">IF($K18&gt;=2,SUMIF(S14_Growth_Model_ExAnte!$C$15:$C$81,$B18,S14_Growth_Model_ExAnte!$N$15:$N$81)/$K18,IF($L18&gt;=2,SUMIF(S14_Growth_Model_ExAnte!$AY$15:$AY$81,$C18&amp;"|"&amp;$D18,S14_Growth_Model_ExAnte!$N$15:$N$81)/$L18,IF(COUNTIF(S14_Growth_Model_ExAnte!$AZ$15:$AZ$81,$C18)&gt;0,SUMIF(S14_Growth_Model_ExAnte!$AZ$15:$AZ$81,$C18,S14_Growth_Model_ExAnte!$N$15:$N$81)/COUNTIF(S14_Growth_Model_ExAnte!$AZ$15:$AZ$81,$C18),0)))</x:f>
        <x:v>399.52941090625995</x:v>
      </x:c>
      <x:c r="I18" s="115" t="n">
        <x:f aca="0">IF($K18&gt;=2,SQRT(MAX(0,(SUMIF(S14_Growth_Model_ExAnte!$C$15:$C$81,$B18,S14_Growth_Model_ExAnte!$BF$15:$BF$81)-SUMIF(S14_Growth_Model_ExAnte!$C$15:$C$81,$B18,S14_Growth_Model_ExAnte!$N$15:$N$81)*SUMIF(S14_Growth_Model_ExAnte!$C$15:$C$81,$B18,S14_Growth_Model_ExAnte!$N$15:$N$81)/$K18)/($K18-1))),IF($L18&gt;=2,SQRT(MAX(0,(SUMIF(S14_Growth_Model_ExAnte!$AY$15:$AY$81,$C18&amp;"|"&amp;$D18,S14_Growth_Model_ExAnte!$BF$15:$BF$81)-SUMIF(S14_Growth_Model_ExAnte!$AY$15:$AY$81,$C18&amp;"|"&amp;$D18,S14_Growth_Model_ExAnte!$N$15:$N$81)*SUMIF(S14_Growth_Model_ExAnte!$AY$15:$AY$81,$C18&amp;"|"&amp;$D18,S14_Growth_Model_ExAnte!$N$15:$N$81)/$L18)/($L18-1))),IF(COUNTIF(S14_Growth_Model_ExAnte!$AZ$15:$AZ$81,$C18)&gt;=2,SQRT(MAX(0,(SUMIF(S14_Growth_Model_ExAnte!$AZ$15:$AZ$81,$C18,S14_Growth_Model_ExAnte!$BF$15:$BF$81)-SUMIF(S14_Growth_Model_ExAnte!$AZ$15:$AZ$81,$C18,S14_Growth_Model_ExAnte!$N$15:$N$81)*SUMIF(S14_Growth_Model_ExAnte!$AZ$15:$AZ$81,$C18,S14_Growth_Model_ExAnte!$N$15:$N$81)/COUNTIF(S14_Growth_Model_ExAnte!$AZ$15:$AZ$81,$C18))/(COUNTIF(S14_Growth_Model_ExAnte!$AZ$15:$AZ$81,$C18)-1))),0)))</x:f>
        <x:v>365.7299946107121</x:v>
      </x:c>
      <x:c r="J18" s="115" t="n">
        <x:f aca="0">IFERROR(I18/H18,0)</x:f>
        <x:v>0.9154019319406799</x:v>
      </x:c>
      <x:c r="K18" s="115" t="n">
        <x:f aca="0">COUNTIF(S14_Growth_Model_ExAnte!$C$15:$C$81,$B18)</x:f>
        <x:v>0</x:v>
      </x:c>
      <x:c r="L18" s="115" t="n">
        <x:f aca="0">COUNTIF(S14_Growth_Model_ExAnte!$AY$15:$AY$81,$C18&amp;"|"&amp;$D18)</x:f>
        <x:v>6</x:v>
      </x:c>
      <x:c r="M18" s="115" t="n">
        <x:f aca="0">$H18</x:f>
        <x:v>399.52941090625995</x:v>
      </x:c>
      <x:c r="N18" s="115" t="n">
        <x:f aca="0">MAX(0,$M18*S08_Defaults!$B$5)</x:f>
        <x:v>299.64705817969497</x:v>
      </x:c>
      <x:c r="O18" s="115" t="n">
        <x:f aca="0">IFERROR($N18/$M18,0)</x:f>
        <x:v>0.75</x:v>
      </x:c>
      <x:c r="P18" s="115" t="str">
        <x:f aca="0">IF($K18&gt;=2,"Exact Stratum PSP Chapman-Richards curve",IF($L18&gt;=2,"Model×Density pooled Chapman-Richards curve","Model pooled Chapman-Richards curve"))</x:f>
        <x:v>Model×Density pooled Chapman-Richards curve</x:v>
      </x:c>
      <x:c r="Q18" s="162" t="s">
        <x:v>1106</x:v>
      </x:c>
      <x:c r="R18" s="115" t="n">
        <x:f aca="0">0</x:f>
        <x:v>0</x:v>
      </x:c>
      <x:c r="S18" s="115" t="n">
        <x:f aca="0">(IF($K18&gt;=2,SUMIF(S14_Growth_Model_ExAnte!$C$15:$C$81,$B18,S14_Growth_Model_ExAnte!$I$15:$I$81)/$K18,IF($L18&gt;=2,SUMIF(S14_Growth_Model_ExAnte!$AY$15:$AY$81,$C18&amp;"|"&amp;$D18,S14_Growth_Model_ExAnte!$I$15:$I$81)/$L18,IF(COUNTIF(S14_Growth_Model_ExAnte!$AZ$15:$AZ$81,$C18)&gt;0,SUMIF(S14_Growth_Model_ExAnte!$AZ$15:$AZ$81,$C18,S14_Growth_Model_ExAnte!$I$15:$I$81)/COUNTIF(S14_Growth_Model_ExAnte!$AZ$15:$AZ$81,$C18),0))))*$O18*S08_Defaults!$B$6*(1+S08_Defaults!$B$7)*S08_Defaults!$B$8</x:f>
        <x:v>0</x:v>
      </x:c>
      <x:c r="T18" s="115" t="n">
        <x:f aca="0">(IF($K18&gt;=2,SUMIF(S14_Growth_Model_ExAnte!$C$15:$C$81,$B18,S14_Growth_Model_ExAnte!$J$15:$J$81)/$K18,IF($L18&gt;=2,SUMIF(S14_Growth_Model_ExAnte!$AY$15:$AY$81,$C18&amp;"|"&amp;$D18,S14_Growth_Model_ExAnte!$J$15:$J$81)/$L18,IF(COUNTIF(S14_Growth_Model_ExAnte!$AZ$15:$AZ$81,$C18)&gt;0,SUMIF(S14_Growth_Model_ExAnte!$AZ$15:$AZ$81,$C18,S14_Growth_Model_ExAnte!$J$15:$J$81)/COUNTIF(S14_Growth_Model_ExAnte!$AZ$15:$AZ$81,$C18),0))))*$O18*S08_Defaults!$B$6*(1+S08_Defaults!$B$7)*S08_Defaults!$B$8</x:f>
        <x:v>4.864334809348277</x:v>
      </x:c>
      <x:c r="U18" s="115" t="n">
        <x:f aca="0">(IF($K18&gt;=2,SUMIF(S14_Growth_Model_ExAnte!$C$15:$C$81,$B18,S14_Growth_Model_ExAnte!$K$15:$K$81)/$K18,IF($L18&gt;=2,SUMIF(S14_Growth_Model_ExAnte!$AY$15:$AY$81,$C18&amp;"|"&amp;$D18,S14_Growth_Model_ExAnte!$K$15:$K$81)/$L18,IF(COUNTIF(S14_Growth_Model_ExAnte!$AZ$15:$AZ$81,$C18)&gt;0,SUMIF(S14_Growth_Model_ExAnte!$AZ$15:$AZ$81,$C18,S14_Growth_Model_ExAnte!$K$15:$K$81)/COUNTIF(S14_Growth_Model_ExAnte!$AZ$15:$AZ$81,$C18),0))))*$O18*S08_Defaults!$B$6*(1+S08_Defaults!$B$7)*S08_Defaults!$B$8</x:f>
        <x:v>47.64642321511868</x:v>
      </x:c>
      <x:c r="V18" s="115" t="n">
        <x:f aca="0">(IF($K18&gt;=2,SUMIF(S14_Growth_Model_ExAnte!$C$15:$C$81,$B18,S14_Growth_Model_ExAnte!$L$15:$L$81)/$K18,IF($L18&gt;=2,SUMIF(S14_Growth_Model_ExAnte!$AY$15:$AY$81,$C18&amp;"|"&amp;$D18,S14_Growth_Model_ExAnte!$L$15:$L$81)/$L18,IF(COUNTIF(S14_Growth_Model_ExAnte!$AZ$15:$AZ$81,$C18)&gt;0,SUMIF(S14_Growth_Model_ExAnte!$AZ$15:$AZ$81,$C18,S14_Growth_Model_ExAnte!$L$15:$L$81)/COUNTIF(S14_Growth_Model_ExAnte!$AZ$15:$AZ$81,$C18),0))))*$O18*S08_Defaults!$B$6*(1+S08_Defaults!$B$7)*S08_Defaults!$B$8</x:f>
        <x:v>162.19659930981175</x:v>
      </x:c>
      <x:c r="W18" s="115" t="n">
        <x:f aca="0">(IF($K18&gt;=2,SUMIF(S14_Growth_Model_ExAnte!$C$15:$C$81,$B18,S14_Growth_Model_ExAnte!$M$15:$M$81)/$K18,IF($L18&gt;=2,SUMIF(S14_Growth_Model_ExAnte!$AY$15:$AY$81,$C18&amp;"|"&amp;$D18,S14_Growth_Model_ExAnte!$M$15:$M$81)/$L18,IF(COUNTIF(S14_Growth_Model_ExAnte!$AZ$15:$AZ$81,$C18)&gt;0,SUMIF(S14_Growth_Model_ExAnte!$AZ$15:$AZ$81,$C18,S14_Growth_Model_ExAnte!$M$15:$M$81)/COUNTIF(S14_Growth_Model_ExAnte!$AZ$15:$AZ$81,$C18),0))))*$O18*S08_Defaults!$B$6*(1+S08_Defaults!$B$7)*S08_Defaults!$B$8</x:f>
        <x:v>362.08052090045476</x:v>
      </x:c>
      <x:c r="X18" s="115" t="n">
        <x:f aca="0">(IF($K18&gt;=2,SUMIF(S14_Growth_Model_ExAnte!$C$15:$C$81,$B18,S14_Growth_Model_ExAnte!$N$15:$N$81)/$K18,IF($L18&gt;=2,SUMIF(S14_Growth_Model_ExAnte!$AY$15:$AY$81,$C18&amp;"|"&amp;$D18,S14_Growth_Model_ExAnte!$N$15:$N$81)/$L18,IF(COUNTIF(S14_Growth_Model_ExAnte!$AZ$15:$AZ$81,$C18)&gt;0,SUMIF(S14_Growth_Model_ExAnte!$AZ$15:$AZ$81,$C18,S14_Growth_Model_ExAnte!$N$15:$N$81)/COUNTIF(S14_Growth_Model_ExAnte!$AZ$15:$AZ$81,$C18),0))))*$O18*S08_Defaults!$B$6*(1+S08_Defaults!$B$7)*S08_Defaults!$B$8</x:f>
        <x:v>640.3257868594634</x:v>
      </x:c>
      <x:c r="Y18" s="115" t="n">
        <x:f aca="0">(IF($K18&gt;=2,SUMIF(S14_Growth_Model_ExAnte!$C$15:$C$81,$B18,S14_Growth_Model_ExAnte!$O$15:$O$81)/$K18,IF($L18&gt;=2,SUMIF(S14_Growth_Model_ExAnte!$AY$15:$AY$81,$C18&amp;"|"&amp;$D18,S14_Growth_Model_ExAnte!$O$15:$O$81)/$L18,IF(COUNTIF(S14_Growth_Model_ExAnte!$AZ$15:$AZ$81,$C18)&gt;0,SUMIF(S14_Growth_Model_ExAnte!$AZ$15:$AZ$81,$C18,S14_Growth_Model_ExAnte!$O$15:$O$81)/COUNTIF(S14_Growth_Model_ExAnte!$AZ$15:$AZ$81,$C18),0))))*$O18*S08_Defaults!$B$6*(1+S08_Defaults!$B$7)*S08_Defaults!$B$8</x:f>
        <x:v>980.1758140909432</x:v>
      </x:c>
      <x:c r="Z18" s="115" t="n">
        <x:f aca="0">(IF($K18&gt;=2,SUMIF(S14_Growth_Model_ExAnte!$C$15:$C$81,$B18,S14_Growth_Model_ExAnte!$P$15:$P$81)/$K18,IF($L18&gt;=2,SUMIF(S14_Growth_Model_ExAnte!$AY$15:$AY$81,$C18&amp;"|"&amp;$D18,S14_Growth_Model_ExAnte!$P$15:$P$81)/$L18,IF(COUNTIF(S14_Growth_Model_ExAnte!$AZ$15:$AZ$81,$C18)&gt;0,SUMIF(S14_Growth_Model_ExAnte!$AZ$15:$AZ$81,$C18,S14_Growth_Model_ExAnte!$P$15:$P$81)/COUNTIF(S14_Growth_Model_ExAnte!$AZ$15:$AZ$81,$C18),0))))*$O18*S08_Defaults!$B$6*(1+S08_Defaults!$B$7)*S08_Defaults!$B$8</x:f>
        <x:v>1361.4419761258862</x:v>
      </x:c>
      <x:c r="AA18" s="115" t="n">
        <x:f aca="0">(IF($K18&gt;=2,SUMIF(S14_Growth_Model_ExAnte!$C$15:$C$81,$B18,S14_Growth_Model_ExAnte!$Q$15:$Q$81)/$K18,IF($L18&gt;=2,SUMIF(S14_Growth_Model_ExAnte!$AY$15:$AY$81,$C18&amp;"|"&amp;$D18,S14_Growth_Model_ExAnte!$Q$15:$Q$81)/$L18,IF(COUNTIF(S14_Growth_Model_ExAnte!$AZ$15:$AZ$81,$C18)&gt;0,SUMIF(S14_Growth_Model_ExAnte!$AZ$15:$AZ$81,$C18,S14_Growth_Model_ExAnte!$Q$15:$Q$81)/COUNTIF(S14_Growth_Model_ExAnte!$AZ$15:$AZ$81,$C18),0))))*$O18*S08_Defaults!$B$6*(1+S08_Defaults!$B$7)*S08_Defaults!$B$8</x:f>
        <x:v>1764.717370128752</x:v>
      </x:c>
      <x:c r="AB18" s="115" t="n">
        <x:f aca="0">(IF($K18&gt;=2,SUMIF(S14_Growth_Model_ExAnte!$C$15:$C$81,$B18,S14_Growth_Model_ExAnte!$R$15:$R$81)/$K18,IF($L18&gt;=2,SUMIF(S14_Growth_Model_ExAnte!$AY$15:$AY$81,$C18&amp;"|"&amp;$D18,S14_Growth_Model_ExAnte!$R$15:$R$81)/$L18,IF(COUNTIF(S14_Growth_Model_ExAnte!$AZ$15:$AZ$81,$C18)&gt;0,SUMIF(S14_Growth_Model_ExAnte!$AZ$15:$AZ$81,$C18,S14_Growth_Model_ExAnte!$R$15:$R$81)/COUNTIF(S14_Growth_Model_ExAnte!$AZ$15:$AZ$81,$C18),0))))*$O18*S08_Defaults!$B$6*(1+S08_Defaults!$B$7)*S08_Defaults!$B$8</x:f>
        <x:v>2173.4861233025404</x:v>
      </x:c>
      <x:c r="AC18" s="115" t="n">
        <x:f aca="0">(IF($K18&gt;=2,SUMIF(S14_Growth_Model_ExAnte!$C$15:$C$81,$B18,S14_Growth_Model_ExAnte!$S$15:$S$81)/$K18,IF($L18&gt;=2,SUMIF(S14_Growth_Model_ExAnte!$AY$15:$AY$81,$C18&amp;"|"&amp;$D18,S14_Growth_Model_ExAnte!$S$15:$S$81)/$L18,IF(COUNTIF(S14_Growth_Model_ExAnte!$AZ$15:$AZ$81,$C18)&gt;0,SUMIF(S14_Growth_Model_ExAnte!$AZ$15:$AZ$81,$C18,S14_Growth_Model_ExAnte!$S$15:$S$81)/COUNTIF(S14_Growth_Model_ExAnte!$AZ$15:$AZ$81,$C18),0))))*$O18*S08_Defaults!$B$6*(1+S08_Defaults!$B$7)*S08_Defaults!$B$8</x:f>
        <x:v>2574.853055526109</x:v>
      </x:c>
      <x:c r="AD18" s="115" t="n">
        <x:f aca="0">(IF($K18&gt;=2,SUMIF(S14_Growth_Model_ExAnte!$C$15:$C$81,$B18,S14_Growth_Model_ExAnte!$T$15:$T$81)/$K18,IF($L18&gt;=2,SUMIF(S14_Growth_Model_ExAnte!$AY$15:$AY$81,$C18&amp;"|"&amp;$D18,S14_Growth_Model_ExAnte!$T$15:$T$81)/$L18,IF(COUNTIF(S14_Growth_Model_ExAnte!$AZ$15:$AZ$81,$C18)&gt;0,SUMIF(S14_Growth_Model_ExAnte!$AZ$15:$AZ$81,$C18,S14_Growth_Model_ExAnte!$T$15:$T$81)/COUNTIF(S14_Growth_Model_ExAnte!$AZ$15:$AZ$81,$C18),0))))*$O18*S08_Defaults!$B$6*(1+S08_Defaults!$B$7)*S08_Defaults!$B$8</x:f>
        <x:v>2959.4855495738652</x:v>
      </x:c>
      <x:c r="AE18" s="115" t="n">
        <x:f aca="0">(IF($K18&gt;=2,SUMIF(S14_Growth_Model_ExAnte!$C$15:$C$81,$B18,S14_Growth_Model_ExAnte!$U$15:$U$81)/$K18,IF($L18&gt;=2,SUMIF(S14_Growth_Model_ExAnte!$AY$15:$AY$81,$C18&amp;"|"&amp;$D18,S14_Growth_Model_ExAnte!$U$15:$U$81)/$L18,IF(COUNTIF(S14_Growth_Model_ExAnte!$AZ$15:$AZ$81,$C18)&gt;0,SUMIF(S14_Growth_Model_ExAnte!$AZ$15:$AZ$81,$C18,S14_Growth_Model_ExAnte!$U$15:$U$81)/COUNTIF(S14_Growth_Model_ExAnte!$AZ$15:$AZ$81,$C18),0))))*$O18*S08_Defaults!$B$6*(1+S08_Defaults!$B$7)*S08_Defaults!$B$8</x:f>
        <x:v>3321.1708737247495</x:v>
      </x:c>
      <x:c r="AF18" s="115" t="n">
        <x:f aca="0">(IF($K18&gt;=2,SUMIF(S14_Growth_Model_ExAnte!$C$15:$C$81,$B18,S14_Growth_Model_ExAnte!$V$15:$V$81)/$K18,IF($L18&gt;=2,SUMIF(S14_Growth_Model_ExAnte!$AY$15:$AY$81,$C18&amp;"|"&amp;$D18,S14_Growth_Model_ExAnte!$V$15:$V$81)/$L18,IF(COUNTIF(S14_Growth_Model_ExAnte!$AZ$15:$AZ$81,$C18)&gt;0,SUMIF(S14_Growth_Model_ExAnte!$AZ$15:$AZ$81,$C18,S14_Growth_Model_ExAnte!$V$15:$V$81)/COUNTIF(S14_Growth_Model_ExAnte!$AZ$15:$AZ$81,$C18),0))))*$O18*S08_Defaults!$B$6*(1+S08_Defaults!$B$7)*S08_Defaults!$B$8</x:f>
        <x:v>3656.2350860755096</x:v>
      </x:c>
      <x:c r="AG18" s="115" t="n">
        <x:f aca="0">(IF($K18&gt;=2,SUMIF(S14_Growth_Model_ExAnte!$C$15:$C$81,$B18,S14_Growth_Model_ExAnte!$W$15:$W$81)/$K18,IF($L18&gt;=2,SUMIF(S14_Growth_Model_ExAnte!$AY$15:$AY$81,$C18&amp;"|"&amp;$D18,S14_Growth_Model_ExAnte!$W$15:$W$81)/$L18,IF(COUNTIF(S14_Growth_Model_ExAnte!$AZ$15:$AZ$81,$C18)&gt;0,SUMIF(S14_Growth_Model_ExAnte!$AZ$15:$AZ$81,$C18,S14_Growth_Model_ExAnte!$W$15:$W$81)/COUNTIF(S14_Growth_Model_ExAnte!$AZ$15:$AZ$81,$C18),0))))*$O18*S08_Defaults!$B$6*(1+S08_Defaults!$B$7)*S08_Defaults!$B$8</x:f>
        <x:v>3962.9594832538137</x:v>
      </x:c>
      <x:c r="AH18" s="115" t="n">
        <x:f aca="0">(IF($K18&gt;=2,SUMIF(S14_Growth_Model_ExAnte!$C$15:$C$81,$B18,S14_Growth_Model_ExAnte!$X$15:$X$81)/$K18,IF($L18&gt;=2,SUMIF(S14_Growth_Model_ExAnte!$AY$15:$AY$81,$C18&amp;"|"&amp;$D18,S14_Growth_Model_ExAnte!$X$15:$X$81)/$L18,IF(COUNTIF(S14_Growth_Model_ExAnte!$AZ$15:$AZ$81,$C18)&gt;0,SUMIF(S14_Growth_Model_ExAnte!$AZ$15:$AZ$81,$C18,S14_Growth_Model_ExAnte!$X$15:$X$81)/COUNTIF(S14_Growth_Model_ExAnte!$AZ$15:$AZ$81,$C18),0))))*$O18*S08_Defaults!$B$6*(1+S08_Defaults!$B$7)*S08_Defaults!$B$8</x:f>
        <x:v>4241.060475229273</x:v>
      </x:c>
      <x:c r="AI18" s="115" t="n">
        <x:f aca="0">(IF($K18&gt;=2,SUMIF(S14_Growth_Model_ExAnte!$C$15:$C$81,$B18,S14_Growth_Model_ExAnte!$Y$15:$Y$81)/$K18,IF($L18&gt;=2,SUMIF(S14_Growth_Model_ExAnte!$AY$15:$AY$81,$C18&amp;"|"&amp;$D18,S14_Growth_Model_ExAnte!$Y$15:$Y$81)/$L18,IF(COUNTIF(S14_Growth_Model_ExAnte!$AZ$15:$AZ$81,$C18)&gt;0,SUMIF(S14_Growth_Model_ExAnte!$AZ$15:$AZ$81,$C18,S14_Growth_Model_ExAnte!$Y$15:$Y$81)/COUNTIF(S14_Growth_Model_ExAnte!$AZ$15:$AZ$81,$C18),0))))*$O18*S08_Defaults!$B$6*(1+S08_Defaults!$B$7)*S08_Defaults!$B$8</x:f>
        <x:v>4491.257480302552</x:v>
      </x:c>
      <x:c r="AJ18" s="115" t="n">
        <x:f aca="0">(IF($K18&gt;=2,SUMIF(S14_Growth_Model_ExAnte!$C$15:$C$81,$B18,S14_Growth_Model_ExAnte!$Z$15:$Z$81)/$K18,IF($L18&gt;=2,SUMIF(S14_Growth_Model_ExAnte!$AY$15:$AY$81,$C18&amp;"|"&amp;$D18,S14_Growth_Model_ExAnte!$Z$15:$Z$81)/$L18,IF(COUNTIF(S14_Growth_Model_ExAnte!$AZ$15:$AZ$81,$C18)&gt;0,SUMIF(S14_Growth_Model_ExAnte!$AZ$15:$AZ$81,$C18,S14_Growth_Model_ExAnte!$Z$15:$Z$81)/COUNTIF(S14_Growth_Model_ExAnte!$AZ$15:$AZ$81,$C18),0))))*$O18*S08_Defaults!$B$6*(1+S08_Defaults!$B$7)*S08_Defaults!$B$8</x:f>
        <x:v>4714.931007111416</x:v>
      </x:c>
      <x:c r="AK18" s="115" t="n">
        <x:f aca="0">(IF($K18&gt;=2,SUMIF(S14_Growth_Model_ExAnte!$C$15:$C$81,$B18,S14_Growth_Model_ExAnte!$AA$15:$AA$81)/$K18,IF($L18&gt;=2,SUMIF(S14_Growth_Model_ExAnte!$AY$15:$AY$81,$C18&amp;"|"&amp;$D18,S14_Growth_Model_ExAnte!$AA$15:$AA$81)/$L18,IF(COUNTIF(S14_Growth_Model_ExAnte!$AZ$15:$AZ$81,$C18)&gt;0,SUMIF(S14_Growth_Model_ExAnte!$AZ$15:$AZ$81,$C18,S14_Growth_Model_ExAnte!$AA$15:$AA$81)/COUNTIF(S14_Growth_Model_ExAnte!$AZ$15:$AZ$81,$C18),0))))*$O18*S08_Defaults!$B$6*(1+S08_Defaults!$B$7)*S08_Defaults!$B$8</x:f>
        <x:v>4913.862228644655</x:v>
      </x:c>
      <x:c r="AL18" s="115" t="n">
        <x:f aca="0">(IF($K18&gt;=2,SUMIF(S14_Growth_Model_ExAnte!$C$15:$C$81,$B18,S14_Growth_Model_ExAnte!$AB$15:$AB$81)/$K18,IF($L18&gt;=2,SUMIF(S14_Growth_Model_ExAnte!$AY$15:$AY$81,$C18&amp;"|"&amp;$D18,S14_Growth_Model_ExAnte!$AB$15:$AB$81)/$L18,IF(COUNTIF(S14_Growth_Model_ExAnte!$AZ$15:$AZ$81,$C18)&gt;0,SUMIF(S14_Growth_Model_ExAnte!$AZ$15:$AZ$81,$C18,S14_Growth_Model_ExAnte!$AB$15:$AB$81)/COUNTIF(S14_Growth_Model_ExAnte!$AZ$15:$AZ$81,$C18),0))))*$O18*S08_Defaults!$B$6*(1+S08_Defaults!$B$7)*S08_Defaults!$B$8</x:f>
        <x:v>5090.041167714973</x:v>
      </x:c>
      <x:c r="AM18" s="115" t="n">
        <x:f aca="0">R18</x:f>
        <x:v>0</x:v>
      </x:c>
      <x:c r="AN18" s="115" t="n">
        <x:f aca="0">S18-R18</x:f>
        <x:v>0</x:v>
      </x:c>
      <x:c r="AO18" s="115" t="n">
        <x:f aca="0">T18-S18</x:f>
        <x:v>4.864334809348277</x:v>
      </x:c>
      <x:c r="AP18" s="115" t="n">
        <x:f aca="0">U18-T18</x:f>
        <x:v>42.7820884057704</x:v>
      </x:c>
      <x:c r="AQ18" s="115" t="n">
        <x:f aca="0">V18-U18</x:f>
        <x:v>114.55017609469306</x:v>
      </x:c>
      <x:c r="AR18" s="115" t="n">
        <x:f aca="0">W18-V18</x:f>
        <x:v>199.883921590643</x:v>
      </x:c>
      <x:c r="AS18" s="115" t="n">
        <x:f aca="0">X18-W18</x:f>
        <x:v>278.24526595900863</x:v>
      </x:c>
      <x:c r="AT18" s="115" t="n">
        <x:f aca="0">Y18-X18</x:f>
        <x:v>339.85002723147977</x:v>
      </x:c>
      <x:c r="AU18" s="115" t="n">
        <x:f aca="0">Z18-Y18</x:f>
        <x:v>381.266162034943</x:v>
      </x:c>
      <x:c r="AV18" s="115" t="n">
        <x:f aca="0">AA18-Z18</x:f>
        <x:v>403.2753940028658</x:v>
      </x:c>
      <x:c r="AW18" s="115" t="n">
        <x:f aca="0">AB18-AA18</x:f>
        <x:v>408.76875317378835</x:v>
      </x:c>
      <x:c r="AX18" s="115" t="n">
        <x:f aca="0">AC18-AB18</x:f>
        <x:v>401.3669322235687</x:v>
      </x:c>
      <x:c r="AY18" s="115" t="n">
        <x:f aca="0">AD18-AC18</x:f>
        <x:v>384.63249404775615</x:v>
      </x:c>
      <x:c r="AZ18" s="115" t="n">
        <x:f aca="0">AE18-AD18</x:f>
        <x:v>361.6853241508843</x:v>
      </x:c>
      <x:c r="BA18" s="115" t="n">
        <x:f aca="0">AF18-AE18</x:f>
        <x:v>335.06421235076004</x:v>
      </x:c>
      <x:c r="BB18" s="115" t="n">
        <x:f aca="0">AG18-AF18</x:f>
        <x:v>306.7243971783041</x:v>
      </x:c>
      <x:c r="BC18" s="115" t="n">
        <x:f aca="0">AH18-AG18</x:f>
        <x:v>278.10099197545924</x:v>
      </x:c>
      <x:c r="BD18" s="115" t="n">
        <x:f aca="0">AI18-AH18</x:f>
        <x:v>250.1970050732789</x:v>
      </x:c>
      <x:c r="BE18" s="115" t="n">
        <x:f aca="0">AJ18-AI18</x:f>
        <x:v>223.67352680886415</x:v>
      </x:c>
      <x:c r="BF18" s="115" t="n">
        <x:f aca="0">AK18-AJ18</x:f>
        <x:v>198.9312215332393</x:v>
      </x:c>
      <x:c r="BG18" s="115" t="n">
        <x:f aca="0">AL18-AK18</x:f>
        <x:v>176.17893907031794</x:v>
      </x:c>
    </x:row>
    <x:row r="19" ht="15" hidden="0" customHeight="1">
      <x:c r="A19" s="160" t="str">
        <x:f aca="0">"S"&amp;TEXT(ROW()-3,"00")</x:f>
        <x:v>S16</x:v>
      </x:c>
      <x:c r="B19" s="161" t="s">
        <x:v>690</x:v>
      </x:c>
      <x:c r="C19" s="160" t="str">
        <x:f aca="0">LEFT($B19,FIND("|",$B19)-1)</x:f>
        <x:v>Timber Plantation</x:v>
      </x:c>
      <x:c r="D19" s="160" t="str">
        <x:f aca="0">MID($B19,FIND("|",$B19)+1,FIND("|",$B19,FIND("|",$B19)+1)-FIND("|",$B19)-1)</x:f>
        <x:v>Medium</x:v>
      </x:c>
      <x:c r="E19" s="160" t="n">
        <x:f aca="0">VALUE(RIGHT($B19,4))</x:f>
        <x:v>2021</x:v>
      </x:c>
      <x:c r="F19" s="115" t="n">
        <x:f aca="0">SUMIF(S17_Biome_Strata!$G$4:$G$95,$B19,S17_Biome_Strata!$E$4:$E$95)</x:f>
        <x:v>17</x:v>
      </x:c>
      <x:c r="G19" s="115" t="n">
        <x:f aca="0">SUMIF(S17_Biome_Strata!$G$4:$G$95,$B19,S17_Biome_Strata!$F$4:$F$95)</x:f>
        <x:v>9.85675224605423</x:v>
      </x:c>
      <x:c r="H19" s="115" t="n">
        <x:f aca="0">IF($K19&gt;=2,SUMIF(S14_Growth_Model_ExAnte!$C$15:$C$81,$B19,S14_Growth_Model_ExAnte!$N$15:$N$81)/$K19,IF($L19&gt;=2,SUMIF(S14_Growth_Model_ExAnte!$AY$15:$AY$81,$C19&amp;"|"&amp;$D19,S14_Growth_Model_ExAnte!$N$15:$N$81)/$L19,IF(COUNTIF(S14_Growth_Model_ExAnte!$AZ$15:$AZ$81,$C19)&gt;0,SUMIF(S14_Growth_Model_ExAnte!$AZ$15:$AZ$81,$C19,S14_Growth_Model_ExAnte!$N$15:$N$81)/COUNTIF(S14_Growth_Model_ExAnte!$AZ$15:$AZ$81,$C19),0)))</x:f>
        <x:v>181.69138743198195</x:v>
      </x:c>
      <x:c r="I19" s="115" t="n">
        <x:f aca="0">IF($K19&gt;=2,SQRT(MAX(0,(SUMIF(S14_Growth_Model_ExAnte!$C$15:$C$81,$B19,S14_Growth_Model_ExAnte!$BF$15:$BF$81)-SUMIF(S14_Growth_Model_ExAnte!$C$15:$C$81,$B19,S14_Growth_Model_ExAnte!$N$15:$N$81)*SUMIF(S14_Growth_Model_ExAnte!$C$15:$C$81,$B19,S14_Growth_Model_ExAnte!$N$15:$N$81)/$K19)/($K19-1))),IF($L19&gt;=2,SQRT(MAX(0,(SUMIF(S14_Growth_Model_ExAnte!$AY$15:$AY$81,$C19&amp;"|"&amp;$D19,S14_Growth_Model_ExAnte!$BF$15:$BF$81)-SUMIF(S14_Growth_Model_ExAnte!$AY$15:$AY$81,$C19&amp;"|"&amp;$D19,S14_Growth_Model_ExAnte!$N$15:$N$81)*SUMIF(S14_Growth_Model_ExAnte!$AY$15:$AY$81,$C19&amp;"|"&amp;$D19,S14_Growth_Model_ExAnte!$N$15:$N$81)/$L19)/($L19-1))),IF(COUNTIF(S14_Growth_Model_ExAnte!$AZ$15:$AZ$81,$C19)&gt;=2,SQRT(MAX(0,(SUMIF(S14_Growth_Model_ExAnte!$AZ$15:$AZ$81,$C19,S14_Growth_Model_ExAnte!$BF$15:$BF$81)-SUMIF(S14_Growth_Model_ExAnte!$AZ$15:$AZ$81,$C19,S14_Growth_Model_ExAnte!$N$15:$N$81)*SUMIF(S14_Growth_Model_ExAnte!$AZ$15:$AZ$81,$C19,S14_Growth_Model_ExAnte!$N$15:$N$81)/COUNTIF(S14_Growth_Model_ExAnte!$AZ$15:$AZ$81,$C19))/(COUNTIF(S14_Growth_Model_ExAnte!$AZ$15:$AZ$81,$C19)-1))),0)))</x:f>
        <x:v>135.92638306000833</x:v>
      </x:c>
      <x:c r="J19" s="115" t="n">
        <x:f aca="0">IFERROR(I19/H19,0)</x:f>
        <x:v>0.7481168204018134</x:v>
      </x:c>
      <x:c r="K19" s="115" t="n">
        <x:f aca="0">COUNTIF(S14_Growth_Model_ExAnte!$C$15:$C$81,$B19)</x:f>
        <x:v>1</x:v>
      </x:c>
      <x:c r="L19" s="115" t="n">
        <x:f aca="0">COUNTIF(S14_Growth_Model_ExAnte!$AY$15:$AY$81,$C19&amp;"|"&amp;$D19)</x:f>
        <x:v>13</x:v>
      </x:c>
      <x:c r="M19" s="115" t="n">
        <x:f aca="0">$H19</x:f>
        <x:v>181.69138743198195</x:v>
      </x:c>
      <x:c r="N19" s="115" t="n">
        <x:f aca="0">MAX(0,$M19*S08_Defaults!$B$5)</x:f>
        <x:v>136.26854057398646</x:v>
      </x:c>
      <x:c r="O19" s="115" t="n">
        <x:f aca="0">IFERROR($N19/$M19,0)</x:f>
        <x:v>0.75</x:v>
      </x:c>
      <x:c r="P19" s="115" t="str">
        <x:f aca="0">IF($K19&gt;=2,"Exact Stratum PSP Chapman-Richards curve",IF($L19&gt;=2,"Model×Density pooled Chapman-Richards curve","Model pooled Chapman-Richards curve"))</x:f>
        <x:v>Model×Density pooled Chapman-Richards curve</x:v>
      </x:c>
      <x:c r="Q19" s="162" t="s">
        <x:v>1106</x:v>
      </x:c>
      <x:c r="R19" s="115" t="n">
        <x:f aca="0">0</x:f>
        <x:v>0</x:v>
      </x:c>
      <x:c r="S19" s="115" t="n">
        <x:f aca="0">(IF($K19&gt;=2,SUMIF(S14_Growth_Model_ExAnte!$C$15:$C$81,$B19,S14_Growth_Model_ExAnte!$I$15:$I$81)/$K19,IF($L19&gt;=2,SUMIF(S14_Growth_Model_ExAnte!$AY$15:$AY$81,$C19&amp;"|"&amp;$D19,S14_Growth_Model_ExAnte!$I$15:$I$81)/$L19,IF(COUNTIF(S14_Growth_Model_ExAnte!$AZ$15:$AZ$81,$C19)&gt;0,SUMIF(S14_Growth_Model_ExAnte!$AZ$15:$AZ$81,$C19,S14_Growth_Model_ExAnte!$I$15:$I$81)/COUNTIF(S14_Growth_Model_ExAnte!$AZ$15:$AZ$81,$C19),0))))*$O19*S08_Defaults!$B$6*(1+S08_Defaults!$B$7)*S08_Defaults!$B$8</x:f>
        <x:v>0</x:v>
      </x:c>
      <x:c r="T19" s="115" t="n">
        <x:f aca="0">(IF($K19&gt;=2,SUMIF(S14_Growth_Model_ExAnte!$C$15:$C$81,$B19,S14_Growth_Model_ExAnte!$J$15:$J$81)/$K19,IF($L19&gt;=2,SUMIF(S14_Growth_Model_ExAnte!$AY$15:$AY$81,$C19&amp;"|"&amp;$D19,S14_Growth_Model_ExAnte!$J$15:$J$81)/$L19,IF(COUNTIF(S14_Growth_Model_ExAnte!$AZ$15:$AZ$81,$C19)&gt;0,SUMIF(S14_Growth_Model_ExAnte!$AZ$15:$AZ$81,$C19,S14_Growth_Model_ExAnte!$J$15:$J$81)/COUNTIF(S14_Growth_Model_ExAnte!$AZ$15:$AZ$81,$C19),0))))*$O19*S08_Defaults!$B$6*(1+S08_Defaults!$B$7)*S08_Defaults!$B$8</x:f>
        <x:v>2.2520589423441217</x:v>
      </x:c>
      <x:c r="U19" s="115" t="n">
        <x:f aca="0">(IF($K19&gt;=2,SUMIF(S14_Growth_Model_ExAnte!$C$15:$C$81,$B19,S14_Growth_Model_ExAnte!$K$15:$K$81)/$K19,IF($L19&gt;=2,SUMIF(S14_Growth_Model_ExAnte!$AY$15:$AY$81,$C19&amp;"|"&amp;$D19,S14_Growth_Model_ExAnte!$K$15:$K$81)/$L19,IF(COUNTIF(S14_Growth_Model_ExAnte!$AZ$15:$AZ$81,$C19)&gt;0,SUMIF(S14_Growth_Model_ExAnte!$AZ$15:$AZ$81,$C19,S14_Growth_Model_ExAnte!$K$15:$K$81)/COUNTIF(S14_Growth_Model_ExAnte!$AZ$15:$AZ$81,$C19),0))))*$O19*S08_Defaults!$B$6*(1+S08_Defaults!$B$7)*S08_Defaults!$B$8</x:f>
        <x:v>21.884278389459922</x:v>
      </x:c>
      <x:c r="V19" s="115" t="n">
        <x:f aca="0">(IF($K19&gt;=2,SUMIF(S14_Growth_Model_ExAnte!$C$15:$C$81,$B19,S14_Growth_Model_ExAnte!$L$15:$L$81)/$K19,IF($L19&gt;=2,SUMIF(S14_Growth_Model_ExAnte!$AY$15:$AY$81,$C19&amp;"|"&amp;$D19,S14_Growth_Model_ExAnte!$L$15:$L$81)/$L19,IF(COUNTIF(S14_Growth_Model_ExAnte!$AZ$15:$AZ$81,$C19)&gt;0,SUMIF(S14_Growth_Model_ExAnte!$AZ$15:$AZ$81,$C19,S14_Growth_Model_ExAnte!$L$15:$L$81)/COUNTIF(S14_Growth_Model_ExAnte!$AZ$15:$AZ$81,$C19),0))))*$O19*S08_Defaults!$B$6*(1+S08_Defaults!$B$7)*S08_Defaults!$B$8</x:f>
        <x:v>74.1459318561935</x:v>
      </x:c>
      <x:c r="W19" s="115" t="n">
        <x:f aca="0">(IF($K19&gt;=2,SUMIF(S14_Growth_Model_ExAnte!$C$15:$C$81,$B19,S14_Growth_Model_ExAnte!$M$15:$M$81)/$K19,IF($L19&gt;=2,SUMIF(S14_Growth_Model_ExAnte!$AY$15:$AY$81,$C19&amp;"|"&amp;$D19,S14_Growth_Model_ExAnte!$M$15:$M$81)/$L19,IF(COUNTIF(S14_Growth_Model_ExAnte!$AZ$15:$AZ$81,$C19)&gt;0,SUMIF(S14_Growth_Model_ExAnte!$AZ$15:$AZ$81,$C19,S14_Growth_Model_ExAnte!$M$15:$M$81)/COUNTIF(S14_Growth_Model_ExAnte!$AZ$15:$AZ$81,$C19),0))))*$O19*S08_Defaults!$B$6*(1+S08_Defaults!$B$7)*S08_Defaults!$B$8</x:f>
        <x:v>165.0053198897656</x:v>
      </x:c>
      <x:c r="X19" s="115" t="n">
        <x:f aca="0">(IF($K19&gt;=2,SUMIF(S14_Growth_Model_ExAnte!$C$15:$C$81,$B19,S14_Growth_Model_ExAnte!$N$15:$N$81)/$K19,IF($L19&gt;=2,SUMIF(S14_Growth_Model_ExAnte!$AY$15:$AY$81,$C19&amp;"|"&amp;$D19,S14_Growth_Model_ExAnte!$N$15:$N$81)/$L19,IF(COUNTIF(S14_Growth_Model_ExAnte!$AZ$15:$AZ$81,$C19)&gt;0,SUMIF(S14_Growth_Model_ExAnte!$AZ$15:$AZ$81,$C19,S14_Growth_Model_ExAnte!$N$15:$N$81)/COUNTIF(S14_Growth_Model_ExAnte!$AZ$15:$AZ$81,$C19),0))))*$O19*S08_Defaults!$B$6*(1+S08_Defaults!$B$7)*S08_Defaults!$B$8</x:f>
        <x:v>291.19678663723766</x:v>
      </x:c>
      <x:c r="Y19" s="115" t="n">
        <x:f aca="0">(IF($K19&gt;=2,SUMIF(S14_Growth_Model_ExAnte!$C$15:$C$81,$B19,S14_Growth_Model_ExAnte!$O$15:$O$81)/$K19,IF($L19&gt;=2,SUMIF(S14_Growth_Model_ExAnte!$AY$15:$AY$81,$C19&amp;"|"&amp;$D19,S14_Growth_Model_ExAnte!$O$15:$O$81)/$L19,IF(COUNTIF(S14_Growth_Model_ExAnte!$AZ$15:$AZ$81,$C19)&gt;0,SUMIF(S14_Growth_Model_ExAnte!$AZ$15:$AZ$81,$C19,S14_Growth_Model_ExAnte!$O$15:$O$81)/COUNTIF(S14_Growth_Model_ExAnte!$AZ$15:$AZ$81,$C19),0))))*$O19*S08_Defaults!$B$6*(1+S08_Defaults!$B$7)*S08_Defaults!$B$8</x:f>
        <x:v>445.1389074933852</x:v>
      </x:c>
      <x:c r="Z19" s="115" t="n">
        <x:f aca="0">(IF($K19&gt;=2,SUMIF(S14_Growth_Model_ExAnte!$C$15:$C$81,$B19,S14_Growth_Model_ExAnte!$P$15:$P$81)/$K19,IF($L19&gt;=2,SUMIF(S14_Growth_Model_ExAnte!$AY$15:$AY$81,$C19&amp;"|"&amp;$D19,S14_Growth_Model_ExAnte!$P$15:$P$81)/$L19,IF(COUNTIF(S14_Growth_Model_ExAnte!$AZ$15:$AZ$81,$C19)&gt;0,SUMIF(S14_Growth_Model_ExAnte!$AZ$15:$AZ$81,$C19,S14_Growth_Model_ExAnte!$P$15:$P$81)/COUNTIF(S14_Growth_Model_ExAnte!$AZ$15:$AZ$81,$C19),0))))*$O19*S08_Defaults!$B$6*(1+S08_Defaults!$B$7)*S08_Defaults!$B$8</x:f>
        <x:v>617.7733770743615</x:v>
      </x:c>
      <x:c r="AA19" s="115" t="n">
        <x:f aca="0">(IF($K19&gt;=2,SUMIF(S14_Growth_Model_ExAnte!$C$15:$C$81,$B19,S14_Growth_Model_ExAnte!$Q$15:$Q$81)/$K19,IF($L19&gt;=2,SUMIF(S14_Growth_Model_ExAnte!$AY$15:$AY$81,$C19&amp;"|"&amp;$D19,S14_Growth_Model_ExAnte!$Q$15:$Q$81)/$L19,IF(COUNTIF(S14_Growth_Model_ExAnte!$AZ$15:$AZ$81,$C19)&gt;0,SUMIF(S14_Growth_Model_ExAnte!$AZ$15:$AZ$81,$C19,S14_Growth_Model_ExAnte!$Q$15:$Q$81)/COUNTIF(S14_Growth_Model_ExAnte!$AZ$15:$AZ$81,$C19),0))))*$O19*S08_Defaults!$B$6*(1+S08_Defaults!$B$7)*S08_Defaults!$B$8</x:f>
        <x:v>800.4264115035201</x:v>
      </x:c>
      <x:c r="AB19" s="115" t="n">
        <x:f aca="0">(IF($K19&gt;=2,SUMIF(S14_Growth_Model_ExAnte!$C$15:$C$81,$B19,S14_Growth_Model_ExAnte!$R$15:$R$81)/$K19,IF($L19&gt;=2,SUMIF(S14_Growth_Model_ExAnte!$AY$15:$AY$81,$C19&amp;"|"&amp;$D19,S14_Growth_Model_ExAnte!$R$15:$R$81)/$L19,IF(COUNTIF(S14_Growth_Model_ExAnte!$AZ$15:$AZ$81,$C19)&gt;0,SUMIF(S14_Growth_Model_ExAnte!$AZ$15:$AZ$81,$C19,S14_Growth_Model_ExAnte!$R$15:$R$81)/COUNTIF(S14_Growth_Model_ExAnte!$AZ$15:$AZ$81,$C19),0))))*$O19*S08_Defaults!$B$6*(1+S08_Defaults!$B$7)*S08_Defaults!$B$8</x:f>
        <x:v>985.7279908298748</x:v>
      </x:c>
      <x:c r="AC19" s="115" t="n">
        <x:f aca="0">(IF($K19&gt;=2,SUMIF(S14_Growth_Model_ExAnte!$C$15:$C$81,$B19,S14_Growth_Model_ExAnte!$S$15:$S$81)/$K19,IF($L19&gt;=2,SUMIF(S14_Growth_Model_ExAnte!$AY$15:$AY$81,$C19&amp;"|"&amp;$D19,S14_Growth_Model_ExAnte!$S$15:$S$81)/$L19,IF(COUNTIF(S14_Growth_Model_ExAnte!$AZ$15:$AZ$81,$C19)&gt;0,SUMIF(S14_Growth_Model_ExAnte!$AZ$15:$AZ$81,$C19,S14_Growth_Model_ExAnte!$S$15:$S$81)/COUNTIF(S14_Growth_Model_ExAnte!$AZ$15:$AZ$81,$C19),0))))*$O19*S08_Defaults!$B$6*(1+S08_Defaults!$B$7)*S08_Defaults!$B$8</x:f>
        <x:v>1167.9219098726983</x:v>
      </x:c>
      <x:c r="AD19" s="115" t="n">
        <x:f aca="0">(IF($K19&gt;=2,SUMIF(S14_Growth_Model_ExAnte!$C$15:$C$81,$B19,S14_Growth_Model_ExAnte!$T$15:$T$81)/$K19,IF($L19&gt;=2,SUMIF(S14_Growth_Model_ExAnte!$AY$15:$AY$81,$C19&amp;"|"&amp;$D19,S14_Growth_Model_ExAnte!$T$15:$T$81)/$L19,IF(COUNTIF(S14_Growth_Model_ExAnte!$AZ$15:$AZ$81,$C19)&gt;0,SUMIF(S14_Growth_Model_ExAnte!$AZ$15:$AZ$81,$C19,S14_Growth_Model_ExAnte!$T$15:$T$81)/COUNTIF(S14_Growth_Model_ExAnte!$AZ$15:$AZ$81,$C19),0))))*$O19*S08_Defaults!$B$6*(1+S08_Defaults!$B$7)*S08_Defaults!$B$8</x:f>
        <x:v>1342.832010122195</x:v>
      </x:c>
      <x:c r="AE19" s="115" t="n">
        <x:f aca="0">(IF($K19&gt;=2,SUMIF(S14_Growth_Model_ExAnte!$C$15:$C$81,$B19,S14_Growth_Model_ExAnte!$U$15:$U$81)/$K19,IF($L19&gt;=2,SUMIF(S14_Growth_Model_ExAnte!$AY$15:$AY$81,$C19&amp;"|"&amp;$D19,S14_Growth_Model_ExAnte!$U$15:$U$81)/$L19,IF(COUNTIF(S14_Growth_Model_ExAnte!$AZ$15:$AZ$81,$C19)&gt;0,SUMIF(S14_Growth_Model_ExAnte!$AZ$15:$AZ$81,$C19,S14_Growth_Model_ExAnte!$U$15:$U$81)/COUNTIF(S14_Growth_Model_ExAnte!$AZ$15:$AZ$81,$C19),0))))*$O19*S08_Defaults!$B$6*(1+S08_Defaults!$B$7)*S08_Defaults!$B$8</x:f>
        <x:v>1507.6627401484152</x:v>
      </x:c>
      <x:c r="AF19" s="115" t="n">
        <x:f aca="0">(IF($K19&gt;=2,SUMIF(S14_Growth_Model_ExAnte!$C$15:$C$81,$B19,S14_Growth_Model_ExAnte!$V$15:$V$81)/$K19,IF($L19&gt;=2,SUMIF(S14_Growth_Model_ExAnte!$AY$15:$AY$81,$C19&amp;"|"&amp;$D19,S14_Growth_Model_ExAnte!$V$15:$V$81)/$L19,IF(COUNTIF(S14_Growth_Model_ExAnte!$AZ$15:$AZ$81,$C19)&gt;0,SUMIF(S14_Growth_Model_ExAnte!$AZ$15:$AZ$81,$C19,S14_Growth_Model_ExAnte!$V$15:$V$81)/COUNTIF(S14_Growth_Model_ExAnte!$AZ$15:$AZ$81,$C19),0))))*$O19*S08_Defaults!$B$6*(1+S08_Defaults!$B$7)*S08_Defaults!$B$8</x:f>
        <x:v>1660.7415223375106</x:v>
      </x:c>
      <x:c r="AG19" s="115" t="n">
        <x:f aca="0">(IF($K19&gt;=2,SUMIF(S14_Growth_Model_ExAnte!$C$15:$C$81,$B19,S14_Growth_Model_ExAnte!$W$15:$W$81)/$K19,IF($L19&gt;=2,SUMIF(S14_Growth_Model_ExAnte!$AY$15:$AY$81,$C19&amp;"|"&amp;$D19,S14_Growth_Model_ExAnte!$W$15:$W$81)/$L19,IF(COUNTIF(S14_Growth_Model_ExAnte!$AZ$15:$AZ$81,$C19)&gt;0,SUMIF(S14_Growth_Model_ExAnte!$AZ$15:$AZ$81,$C19,S14_Growth_Model_ExAnte!$W$15:$W$81)/COUNTIF(S14_Growth_Model_ExAnte!$AZ$15:$AZ$81,$C19),0))))*$O19*S08_Defaults!$B$6*(1+S08_Defaults!$B$7)*S08_Defaults!$B$8</x:f>
        <x:v>1801.2616538174398</x:v>
      </x:c>
      <x:c r="AH19" s="115" t="n">
        <x:f aca="0">(IF($K19&gt;=2,SUMIF(S14_Growth_Model_ExAnte!$C$15:$C$81,$B19,S14_Growth_Model_ExAnte!$X$15:$X$81)/$K19,IF($L19&gt;=2,SUMIF(S14_Growth_Model_ExAnte!$AY$15:$AY$81,$C19&amp;"|"&amp;$D19,S14_Growth_Model_ExAnte!$X$15:$X$81)/$L19,IF(COUNTIF(S14_Growth_Model_ExAnte!$AZ$15:$AZ$81,$C19)&gt;0,SUMIF(S14_Growth_Model_ExAnte!$AZ$15:$AZ$81,$C19,S14_Growth_Model_ExAnte!$X$15:$X$81)/COUNTIF(S14_Growth_Model_ExAnte!$AZ$15:$AZ$81,$C19),0))))*$O19*S08_Defaults!$B$6*(1+S08_Defaults!$B$7)*S08_Defaults!$B$8</x:f>
        <x:v>1929.0538362337986</x:v>
      </x:c>
      <x:c r="AI19" s="115" t="n">
        <x:f aca="0">(IF($K19&gt;=2,SUMIF(S14_Growth_Model_ExAnte!$C$15:$C$81,$B19,S14_Growth_Model_ExAnte!$Y$15:$Y$81)/$K19,IF($L19&gt;=2,SUMIF(S14_Growth_Model_ExAnte!$AY$15:$AY$81,$C19&amp;"|"&amp;$D19,S14_Growth_Model_ExAnte!$Y$15:$Y$81)/$L19,IF(COUNTIF(S14_Growth_Model_ExAnte!$AZ$15:$AZ$81,$C19)&gt;0,SUMIF(S14_Growth_Model_ExAnte!$AZ$15:$AZ$81,$C19,S14_Growth_Model_ExAnte!$Y$15:$Y$81)/COUNTIF(S14_Growth_Model_ExAnte!$AZ$15:$AZ$81,$C19),0))))*$O19*S08_Defaults!$B$6*(1+S08_Defaults!$B$7)*S08_Defaults!$B$8</x:f>
        <x:v>2044.3965731837293</x:v>
      </x:c>
      <x:c r="AJ19" s="115" t="n">
        <x:f aca="0">(IF($K19&gt;=2,SUMIF(S14_Growth_Model_ExAnte!$C$15:$C$81,$B19,S14_Growth_Model_ExAnte!$Z$15:$Z$81)/$K19,IF($L19&gt;=2,SUMIF(S14_Growth_Model_ExAnte!$AY$15:$AY$81,$C19&amp;"|"&amp;$D19,S14_Growth_Model_ExAnte!$Z$15:$Z$81)/$L19,IF(COUNTIF(S14_Growth_Model_ExAnte!$AZ$15:$AZ$81,$C19)&gt;0,SUMIF(S14_Growth_Model_ExAnte!$AZ$15:$AZ$81,$C19,S14_Growth_Model_ExAnte!$Z$15:$Z$81)/COUNTIF(S14_Growth_Model_ExAnte!$AZ$15:$AZ$81,$C19),0))))*$O19*S08_Defaults!$B$6*(1+S08_Defaults!$B$7)*S08_Defaults!$B$8</x:f>
        <x:v>2147.8660772599324</x:v>
      </x:c>
      <x:c r="AK19" s="115" t="n">
        <x:f aca="0">(IF($K19&gt;=2,SUMIF(S14_Growth_Model_ExAnte!$C$15:$C$81,$B19,S14_Growth_Model_ExAnte!$AA$15:$AA$81)/$K19,IF($L19&gt;=2,SUMIF(S14_Growth_Model_ExAnte!$AY$15:$AY$81,$C19&amp;"|"&amp;$D19,S14_Growth_Model_ExAnte!$AA$15:$AA$81)/$L19,IF(COUNTIF(S14_Growth_Model_ExAnte!$AZ$15:$AZ$81,$C19)&gt;0,SUMIF(S14_Growth_Model_ExAnte!$AZ$15:$AZ$81,$C19,S14_Growth_Model_ExAnte!$AA$15:$AA$81)/COUNTIF(S14_Growth_Model_ExAnte!$AZ$15:$AZ$81,$C19),0))))*$O19*S08_Defaults!$B$6*(1+S08_Defaults!$B$7)*S08_Defaults!$B$8</x:f>
        <x:v>2240.22174056176</x:v>
      </x:c>
      <x:c r="AL19" s="115" t="n">
        <x:f aca="0">(IF($K19&gt;=2,SUMIF(S14_Growth_Model_ExAnte!$C$15:$C$81,$B19,S14_Growth_Model_ExAnte!$AB$15:$AB$81)/$K19,IF($L19&gt;=2,SUMIF(S14_Growth_Model_ExAnte!$AY$15:$AY$81,$C19&amp;"|"&amp;$D19,S14_Growth_Model_ExAnte!$AB$15:$AB$81)/$L19,IF(COUNTIF(S14_Growth_Model_ExAnte!$AZ$15:$AZ$81,$C19)&gt;0,SUMIF(S14_Growth_Model_ExAnte!$AZ$15:$AZ$81,$C19,S14_Growth_Model_ExAnte!$AB$15:$AB$81)/COUNTIF(S14_Growth_Model_ExAnte!$AZ$15:$AZ$81,$C19),0))))*$O19*S08_Defaults!$B$6*(1+S08_Defaults!$B$7)*S08_Defaults!$B$8</x:f>
        <x:v>2322.3214964356107</x:v>
      </x:c>
      <x:c r="AM19" s="115" t="n">
        <x:f aca="0">R19</x:f>
        <x:v>0</x:v>
      </x:c>
      <x:c r="AN19" s="115" t="n">
        <x:f aca="0">S19-R19</x:f>
        <x:v>0</x:v>
      </x:c>
      <x:c r="AO19" s="115" t="n">
        <x:f aca="0">T19-S19</x:f>
        <x:v>2.2520589423441217</x:v>
      </x:c>
      <x:c r="AP19" s="115" t="n">
        <x:f aca="0">U19-T19</x:f>
        <x:v>19.6322194471158</x:v>
      </x:c>
      <x:c r="AQ19" s="115" t="n">
        <x:f aca="0">V19-U19</x:f>
        <x:v>52.26165346673358</x:v>
      </x:c>
      <x:c r="AR19" s="115" t="n">
        <x:f aca="0">W19-V19</x:f>
        <x:v>90.85938803357209</x:v>
      </x:c>
      <x:c r="AS19" s="115" t="n">
        <x:f aca="0">X19-W19</x:f>
        <x:v>126.19146674747208</x:v>
      </x:c>
      <x:c r="AT19" s="115" t="n">
        <x:f aca="0">Y19-X19</x:f>
        <x:v>153.94212085614754</x:v>
      </x:c>
      <x:c r="AU19" s="115" t="n">
        <x:f aca="0">Z19-Y19</x:f>
        <x:v>172.63446958097632</x:v>
      </x:c>
      <x:c r="AV19" s="115" t="n">
        <x:f aca="0">AA19-Z19</x:f>
        <x:v>182.65303442915854</x:v>
      </x:c>
      <x:c r="AW19" s="115" t="n">
        <x:f aca="0">AB19-AA19</x:f>
        <x:v>185.30157932635473</x:v>
      </x:c>
      <x:c r="AX19" s="115" t="n">
        <x:f aca="0">AC19-AB19</x:f>
        <x:v>182.1939190428235</x:v>
      </x:c>
      <x:c r="AY19" s="115" t="n">
        <x:f aca="0">AD19-AC19</x:f>
        <x:v>174.91010024949674</x:v>
      </x:c>
      <x:c r="AZ19" s="115" t="n">
        <x:f aca="0">AE19-AD19</x:f>
        <x:v>164.83073002622018</x:v>
      </x:c>
      <x:c r="BA19" s="115" t="n">
        <x:f aca="0">AF19-AE19</x:f>
        <x:v>153.07878218909536</x:v>
      </x:c>
      <x:c r="BB19" s="115" t="n">
        <x:f aca="0">AG19-AF19</x:f>
        <x:v>140.5201314799292</x:v>
      </x:c>
      <x:c r="BC19" s="115" t="n">
        <x:f aca="0">AH19-AG19</x:f>
        <x:v>127.79218241635886</x:v>
      </x:c>
      <x:c r="BD19" s="115" t="n">
        <x:f aca="0">AI19-AH19</x:f>
        <x:v>115.34273694993067</x:v>
      </x:c>
      <x:c r="BE19" s="115" t="n">
        <x:f aca="0">AJ19-AI19</x:f>
        <x:v>103.46950407620307</x:v>
      </x:c>
      <x:c r="BF19" s="115" t="n">
        <x:f aca="0">AK19-AJ19</x:f>
        <x:v>92.35566330182746</x:v>
      </x:c>
      <x:c r="BG19" s="115" t="n">
        <x:f aca="0">AL19-AK19</x:f>
        <x:v>82.09975587385088</x:v>
      </x:c>
    </x:row>
    <x:row r="20" ht="15" hidden="0" customHeight="1">
      <x:c r="A20" s="160" t="str">
        <x:f aca="0">"S"&amp;TEXT(ROW()-3,"00")</x:f>
        <x:v>S17</x:v>
      </x:c>
      <x:c r="B20" s="161" t="s">
        <x:v>1108</x:v>
      </x:c>
      <x:c r="C20" s="160" t="str">
        <x:f aca="0">LEFT($B20,FIND("|",$B20)-1)</x:f>
        <x:v>Fruit Orchard</x:v>
      </x:c>
      <x:c r="D20" s="160" t="str">
        <x:f aca="0">MID($B20,FIND("|",$B20)+1,FIND("|",$B20,FIND("|",$B20)+1)-FIND("|",$B20)-1)</x:f>
        <x:v>High</x:v>
      </x:c>
      <x:c r="E20" s="160" t="n">
        <x:f aca="0">VALUE(RIGHT($B20,4))</x:f>
        <x:v>2021</x:v>
      </x:c>
      <x:c r="F20" s="115" t="n">
        <x:f aca="0">SUMIF(S17_Biome_Strata!$G$4:$G$95,$B20,S17_Biome_Strata!$E$4:$E$95)</x:f>
        <x:v>92</x:v>
      </x:c>
      <x:c r="G20" s="115" t="n">
        <x:f aca="0">SUMIF(S17_Biome_Strata!$G$4:$G$95,$B20,S17_Biome_Strata!$F$4:$F$95)</x:f>
        <x:v>76.2997</x:v>
      </x:c>
      <x:c r="H20" s="115" t="n">
        <x:f aca="0">IF($K20&gt;=2,SUMIF(S14_Growth_Model_ExAnte!$C$15:$C$81,$B20,S14_Growth_Model_ExAnte!$N$15:$N$81)/$K20,IF($L20&gt;=2,SUMIF(S14_Growth_Model_ExAnte!$AY$15:$AY$81,$C20&amp;"|"&amp;$D20,S14_Growth_Model_ExAnte!$N$15:$N$81)/$L20,IF(COUNTIF(S14_Growth_Model_ExAnte!$AZ$15:$AZ$81,$C20)&gt;0,SUMIF(S14_Growth_Model_ExAnte!$AZ$15:$AZ$81,$C20,S14_Growth_Model_ExAnte!$N$15:$N$81)/COUNTIF(S14_Growth_Model_ExAnte!$AZ$15:$AZ$81,$C20),0)))</x:f>
        <x:v>11.164105643459408</x:v>
      </x:c>
      <x:c r="I20" s="115" t="n">
        <x:f aca="0">IF($K20&gt;=2,SQRT(MAX(0,(SUMIF(S14_Growth_Model_ExAnte!$C$15:$C$81,$B20,S14_Growth_Model_ExAnte!$BF$15:$BF$81)-SUMIF(S14_Growth_Model_ExAnte!$C$15:$C$81,$B20,S14_Growth_Model_ExAnte!$N$15:$N$81)*SUMIF(S14_Growth_Model_ExAnte!$C$15:$C$81,$B20,S14_Growth_Model_ExAnte!$N$15:$N$81)/$K20)/($K20-1))),IF($L20&gt;=2,SQRT(MAX(0,(SUMIF(S14_Growth_Model_ExAnte!$AY$15:$AY$81,$C20&amp;"|"&amp;$D20,S14_Growth_Model_ExAnte!$BF$15:$BF$81)-SUMIF(S14_Growth_Model_ExAnte!$AY$15:$AY$81,$C20&amp;"|"&amp;$D20,S14_Growth_Model_ExAnte!$N$15:$N$81)*SUMIF(S14_Growth_Model_ExAnte!$AY$15:$AY$81,$C20&amp;"|"&amp;$D20,S14_Growth_Model_ExAnte!$N$15:$N$81)/$L20)/($L20-1))),IF(COUNTIF(S14_Growth_Model_ExAnte!$AZ$15:$AZ$81,$C20)&gt;=2,SQRT(MAX(0,(SUMIF(S14_Growth_Model_ExAnte!$AZ$15:$AZ$81,$C20,S14_Growth_Model_ExAnte!$BF$15:$BF$81)-SUMIF(S14_Growth_Model_ExAnte!$AZ$15:$AZ$81,$C20,S14_Growth_Model_ExAnte!$N$15:$N$81)*SUMIF(S14_Growth_Model_ExAnte!$AZ$15:$AZ$81,$C20,S14_Growth_Model_ExAnte!$N$15:$N$81)/COUNTIF(S14_Growth_Model_ExAnte!$AZ$15:$AZ$81,$C20))/(COUNTIF(S14_Growth_Model_ExAnte!$AZ$15:$AZ$81,$C20)-1))),0)))</x:f>
        <x:v>4.335184732076342</x:v>
      </x:c>
      <x:c r="J20" s="115" t="n">
        <x:f aca="0">IFERROR(I20/H20,0)</x:f>
        <x:v>0.3883145565373747</x:v>
      </x:c>
      <x:c r="K20" s="115" t="n">
        <x:f aca="0">COUNTIF(S14_Growth_Model_ExAnte!$C$15:$C$81,$B20)</x:f>
        <x:v>0</x:v>
      </x:c>
      <x:c r="L20" s="115" t="n">
        <x:f aca="0">COUNTIF(S14_Growth_Model_ExAnte!$AY$15:$AY$81,$C20&amp;"|"&amp;$D20)</x:f>
        <x:v>3</x:v>
      </x:c>
      <x:c r="M20" s="115" t="n">
        <x:f aca="0">$H20</x:f>
        <x:v>11.164105643459408</x:v>
      </x:c>
      <x:c r="N20" s="115" t="n">
        <x:f aca="0">MAX(0,$M20*S08_Defaults!$B$5)</x:f>
        <x:v>8.373079232594556</x:v>
      </x:c>
      <x:c r="O20" s="115" t="n">
        <x:f aca="0">IFERROR($N20/$M20,0)</x:f>
        <x:v>0.75</x:v>
      </x:c>
      <x:c r="P20" s="115" t="str">
        <x:f aca="0">IF($K20&gt;=2,"Exact Stratum PSP Chapman-Richards curve",IF($L20&gt;=2,"Model×Density pooled Chapman-Richards curve","Model pooled Chapman-Richards curve"))</x:f>
        <x:v>Model×Density pooled Chapman-Richards curve</x:v>
      </x:c>
      <x:c r="Q20" s="162" t="s">
        <x:v>1106</x:v>
      </x:c>
      <x:c r="R20" s="115" t="n">
        <x:f aca="0">0</x:f>
        <x:v>0</x:v>
      </x:c>
      <x:c r="S20" s="115" t="n">
        <x:f aca="0">(IF($K20&gt;=2,SUMIF(S14_Growth_Model_ExAnte!$C$15:$C$81,$B20,S14_Growth_Model_ExAnte!$I$15:$I$81)/$K20,IF($L20&gt;=2,SUMIF(S14_Growth_Model_ExAnte!$AY$15:$AY$81,$C20&amp;"|"&amp;$D20,S14_Growth_Model_ExAnte!$I$15:$I$81)/$L20,IF(COUNTIF(S14_Growth_Model_ExAnte!$AZ$15:$AZ$81,$C20)&gt;0,SUMIF(S14_Growth_Model_ExAnte!$AZ$15:$AZ$81,$C20,S14_Growth_Model_ExAnte!$I$15:$I$81)/COUNTIF(S14_Growth_Model_ExAnte!$AZ$15:$AZ$81,$C20),0))))*$O20*S08_Defaults!$B$6*(1+S08_Defaults!$B$7)*S08_Defaults!$B$8</x:f>
        <x:v>0</x:v>
      </x:c>
      <x:c r="T20" s="115" t="n">
        <x:f aca="0">(IF($K20&gt;=2,SUMIF(S14_Growth_Model_ExAnte!$C$15:$C$81,$B20,S14_Growth_Model_ExAnte!$J$15:$J$81)/$K20,IF($L20&gt;=2,SUMIF(S14_Growth_Model_ExAnte!$AY$15:$AY$81,$C20&amp;"|"&amp;$D20,S14_Growth_Model_ExAnte!$J$15:$J$81)/$L20,IF(COUNTIF(S14_Growth_Model_ExAnte!$AZ$15:$AZ$81,$C20)&gt;0,SUMIF(S14_Growth_Model_ExAnte!$AZ$15:$AZ$81,$C20,S14_Growth_Model_ExAnte!$J$15:$J$81)/COUNTIF(S14_Growth_Model_ExAnte!$AZ$15:$AZ$81,$C20),0))))*$O20*S08_Defaults!$B$6*(1+S08_Defaults!$B$7)*S08_Defaults!$B$8</x:f>
        <x:v>0.08843419078662754</x:v>
      </x:c>
      <x:c r="U20" s="115" t="n">
        <x:f aca="0">(IF($K20&gt;=2,SUMIF(S14_Growth_Model_ExAnte!$C$15:$C$81,$B20,S14_Growth_Model_ExAnte!$K$15:$K$81)/$K20,IF($L20&gt;=2,SUMIF(S14_Growth_Model_ExAnte!$AY$15:$AY$81,$C20&amp;"|"&amp;$D20,S14_Growth_Model_ExAnte!$K$15:$K$81)/$L20,IF(COUNTIF(S14_Growth_Model_ExAnte!$AZ$15:$AZ$81,$C20)&gt;0,SUMIF(S14_Growth_Model_ExAnte!$AZ$15:$AZ$81,$C20,S14_Growth_Model_ExAnte!$K$15:$K$81)/COUNTIF(S14_Growth_Model_ExAnte!$AZ$15:$AZ$81,$C20),0))))*$O20*S08_Defaults!$B$6*(1+S08_Defaults!$B$7)*S08_Defaults!$B$8</x:f>
        <x:v>1.1000414117303818</x:v>
      </x:c>
      <x:c r="V20" s="115" t="n">
        <x:f aca="0">(IF($K20&gt;=2,SUMIF(S14_Growth_Model_ExAnte!$C$15:$C$81,$B20,S14_Growth_Model_ExAnte!$L$15:$L$81)/$K20,IF($L20&gt;=2,SUMIF(S14_Growth_Model_ExAnte!$AY$15:$AY$81,$C20&amp;"|"&amp;$D20,S14_Growth_Model_ExAnte!$L$15:$L$81)/$L20,IF(COUNTIF(S14_Growth_Model_ExAnte!$AZ$15:$AZ$81,$C20)&gt;0,SUMIF(S14_Growth_Model_ExAnte!$AZ$15:$AZ$81,$C20,S14_Growth_Model_ExAnte!$L$15:$L$81)/COUNTIF(S14_Growth_Model_ExAnte!$AZ$15:$AZ$81,$C20),0))))*$O20*S08_Defaults!$B$6*(1+S08_Defaults!$B$7)*S08_Defaults!$B$8</x:f>
        <x:v>4.1668905223899095</x:v>
      </x:c>
      <x:c r="W20" s="115" t="n">
        <x:f aca="0">(IF($K20&gt;=2,SUMIF(S14_Growth_Model_ExAnte!$C$15:$C$81,$B20,S14_Growth_Model_ExAnte!$M$15:$M$81)/$K20,IF($L20&gt;=2,SUMIF(S14_Growth_Model_ExAnte!$AY$15:$AY$81,$C20&amp;"|"&amp;$D20,S14_Growth_Model_ExAnte!$M$15:$M$81)/$L20,IF(COUNTIF(S14_Growth_Model_ExAnte!$AZ$15:$AZ$81,$C20)&gt;0,SUMIF(S14_Growth_Model_ExAnte!$AZ$15:$AZ$81,$C20,S14_Growth_Model_ExAnte!$M$15:$M$81)/COUNTIF(S14_Growth_Model_ExAnte!$AZ$15:$AZ$81,$C20),0))))*$O20*S08_Defaults!$B$6*(1+S08_Defaults!$B$7)*S08_Defaults!$B$8</x:f>
        <x:v>9.829374822629461</x:v>
      </x:c>
      <x:c r="X20" s="115" t="n">
        <x:f aca="0">(IF($K20&gt;=2,SUMIF(S14_Growth_Model_ExAnte!$C$15:$C$81,$B20,S14_Growth_Model_ExAnte!$N$15:$N$81)/$K20,IF($L20&gt;=2,SUMIF(S14_Growth_Model_ExAnte!$AY$15:$AY$81,$C20&amp;"|"&amp;$D20,S14_Growth_Model_ExAnte!$N$15:$N$81)/$L20,IF(COUNTIF(S14_Growth_Model_ExAnte!$AZ$15:$AZ$81,$C20)&gt;0,SUMIF(S14_Growth_Model_ExAnte!$AZ$15:$AZ$81,$C20,S14_Growth_Model_ExAnte!$N$15:$N$81)/COUNTIF(S14_Growth_Model_ExAnte!$AZ$15:$AZ$81,$C20),0))))*$O20*S08_Defaults!$B$6*(1+S08_Defaults!$B$7)*S08_Defaults!$B$8</x:f>
        <x:v>17.892712114772408</x:v>
      </x:c>
      <x:c r="Y20" s="115" t="n">
        <x:f aca="0">(IF($K20&gt;=2,SUMIF(S14_Growth_Model_ExAnte!$C$15:$C$81,$B20,S14_Growth_Model_ExAnte!$O$15:$O$81)/$K20,IF($L20&gt;=2,SUMIF(S14_Growth_Model_ExAnte!$AY$15:$AY$81,$C20&amp;"|"&amp;$D20,S14_Growth_Model_ExAnte!$O$15:$O$81)/$L20,IF(COUNTIF(S14_Growth_Model_ExAnte!$AZ$15:$AZ$81,$C20)&gt;0,SUMIF(S14_Growth_Model_ExAnte!$AZ$15:$AZ$81,$C20,S14_Growth_Model_ExAnte!$O$15:$O$81)/COUNTIF(S14_Growth_Model_ExAnte!$AZ$15:$AZ$81,$C20),0))))*$O20*S08_Defaults!$B$6*(1+S08_Defaults!$B$7)*S08_Defaults!$B$8</x:f>
        <x:v>27.774290189779645</x:v>
      </x:c>
      <x:c r="Z20" s="115" t="n">
        <x:f aca="0">(IF($K20&gt;=2,SUMIF(S14_Growth_Model_ExAnte!$C$15:$C$81,$B20,S14_Growth_Model_ExAnte!$P$15:$P$81)/$K20,IF($L20&gt;=2,SUMIF(S14_Growth_Model_ExAnte!$AY$15:$AY$81,$C20&amp;"|"&amp;$D20,S14_Growth_Model_ExAnte!$P$15:$P$81)/$L20,IF(COUNTIF(S14_Growth_Model_ExAnte!$AZ$15:$AZ$81,$C20)&gt;0,SUMIF(S14_Growth_Model_ExAnte!$AZ$15:$AZ$81,$C20,S14_Growth_Model_ExAnte!$P$15:$P$81)/COUNTIF(S14_Growth_Model_ExAnte!$AZ$15:$AZ$81,$C20),0))))*$O20*S08_Defaults!$B$6*(1+S08_Defaults!$B$7)*S08_Defaults!$B$8</x:f>
        <x:v>38.76954120331893</x:v>
      </x:c>
      <x:c r="AA20" s="115" t="n">
        <x:f aca="0">(IF($K20&gt;=2,SUMIF(S14_Growth_Model_ExAnte!$C$15:$C$81,$B20,S14_Growth_Model_ExAnte!$Q$15:$Q$81)/$K20,IF($L20&gt;=2,SUMIF(S14_Growth_Model_ExAnte!$AY$15:$AY$81,$C20&amp;"|"&amp;$D20,S14_Growth_Model_ExAnte!$Q$15:$Q$81)/$L20,IF(COUNTIF(S14_Growth_Model_ExAnte!$AZ$15:$AZ$81,$C20)&gt;0,SUMIF(S14_Growth_Model_ExAnte!$AZ$15:$AZ$81,$C20,S14_Growth_Model_ExAnte!$Q$15:$Q$81)/COUNTIF(S14_Growth_Model_ExAnte!$AZ$15:$AZ$81,$C20),0))))*$O20*S08_Defaults!$B$6*(1+S08_Defaults!$B$7)*S08_Defaults!$B$8</x:f>
        <x:v>50.22338492311939</x:v>
      </x:c>
      <x:c r="AB20" s="115" t="n">
        <x:f aca="0">(IF($K20&gt;=2,SUMIF(S14_Growth_Model_ExAnte!$C$15:$C$81,$B20,S14_Growth_Model_ExAnte!$R$15:$R$81)/$K20,IF($L20&gt;=2,SUMIF(S14_Growth_Model_ExAnte!$AY$15:$AY$81,$C20&amp;"|"&amp;$D20,S14_Growth_Model_ExAnte!$R$15:$R$81)/$L20,IF(COUNTIF(S14_Growth_Model_ExAnte!$AZ$15:$AZ$81,$C20)&gt;0,SUMIF(S14_Growth_Model_ExAnte!$AZ$15:$AZ$81,$C20,S14_Growth_Model_ExAnte!$R$15:$R$81)/COUNTIF(S14_Growth_Model_ExAnte!$AZ$15:$AZ$81,$C20),0))))*$O20*S08_Defaults!$B$6*(1+S08_Defaults!$B$7)*S08_Defaults!$B$8</x:f>
        <x:v>61.60837691376501</x:v>
      </x:c>
      <x:c r="AC20" s="115" t="n">
        <x:f aca="0">(IF($K20&gt;=2,SUMIF(S14_Growth_Model_ExAnte!$C$15:$C$81,$B20,S14_Growth_Model_ExAnte!$S$15:$S$81)/$K20,IF($L20&gt;=2,SUMIF(S14_Growth_Model_ExAnte!$AY$15:$AY$81,$C20&amp;"|"&amp;$D20,S14_Growth_Model_ExAnte!$S$15:$S$81)/$L20,IF(COUNTIF(S14_Growth_Model_ExAnte!$AZ$15:$AZ$81,$C20)&gt;0,SUMIF(S14_Growth_Model_ExAnte!$AZ$15:$AZ$81,$C20,S14_Growth_Model_ExAnte!$S$15:$S$81)/COUNTIF(S14_Growth_Model_ExAnte!$AZ$15:$AZ$81,$C20),0))))*$O20*S08_Defaults!$B$6*(1+S08_Defaults!$B$7)*S08_Defaults!$B$8</x:f>
        <x:v>72.54304541687709</x:v>
      </x:c>
      <x:c r="AD20" s="115" t="n">
        <x:f aca="0">(IF($K20&gt;=2,SUMIF(S14_Growth_Model_ExAnte!$C$15:$C$81,$B20,S14_Growth_Model_ExAnte!$T$15:$T$81)/$K20,IF($L20&gt;=2,SUMIF(S14_Growth_Model_ExAnte!$AY$15:$AY$81,$C20&amp;"|"&amp;$D20,S14_Growth_Model_ExAnte!$T$15:$T$81)/$L20,IF(COUNTIF(S14_Growth_Model_ExAnte!$AZ$15:$AZ$81,$C20)&gt;0,SUMIF(S14_Growth_Model_ExAnte!$AZ$15:$AZ$81,$C20,S14_Growth_Model_ExAnte!$T$15:$T$81)/COUNTIF(S14_Growth_Model_ExAnte!$AZ$15:$AZ$81,$C20),0))))*$O20*S08_Defaults!$B$6*(1+S08_Defaults!$B$7)*S08_Defaults!$B$8</x:f>
        <x:v>82.77910053366851</x:v>
      </x:c>
      <x:c r="AE20" s="115" t="n">
        <x:f aca="0">(IF($K20&gt;=2,SUMIF(S14_Growth_Model_ExAnte!$C$15:$C$81,$B20,S14_Growth_Model_ExAnte!$U$15:$U$81)/$K20,IF($L20&gt;=2,SUMIF(S14_Growth_Model_ExAnte!$AY$15:$AY$81,$C20&amp;"|"&amp;$D20,S14_Growth_Model_ExAnte!$U$15:$U$81)/$L20,IF(COUNTIF(S14_Growth_Model_ExAnte!$AZ$15:$AZ$81,$C20)&gt;0,SUMIF(S14_Growth_Model_ExAnte!$AZ$15:$AZ$81,$C20,S14_Growth_Model_ExAnte!$U$15:$U$81)/COUNTIF(S14_Growth_Model_ExAnte!$AZ$15:$AZ$81,$C20),0))))*$O20*S08_Defaults!$B$6*(1+S08_Defaults!$B$7)*S08_Defaults!$B$8</x:f>
        <x:v>92.17626812269735</x:v>
      </x:c>
      <x:c r="AF20" s="115" t="n">
        <x:f aca="0">(IF($K20&gt;=2,SUMIF(S14_Growth_Model_ExAnte!$C$15:$C$81,$B20,S14_Growth_Model_ExAnte!$V$15:$V$81)/$K20,IF($L20&gt;=2,SUMIF(S14_Growth_Model_ExAnte!$AY$15:$AY$81,$C20&amp;"|"&amp;$D20,S14_Growth_Model_ExAnte!$V$15:$V$81)/$L20,IF(COUNTIF(S14_Growth_Model_ExAnte!$AZ$15:$AZ$81,$C20)&gt;0,SUMIF(S14_Growth_Model_ExAnte!$AZ$15:$AZ$81,$C20,S14_Growth_Model_ExAnte!$V$15:$V$81)/COUNTIF(S14_Growth_Model_ExAnte!$AZ$15:$AZ$81,$C20),0))))*$O20*S08_Defaults!$B$6*(1+S08_Defaults!$B$7)*S08_Defaults!$B$8</x:f>
        <x:v>100.67516538222455</x:v>
      </x:c>
      <x:c r="AG20" s="115" t="n">
        <x:f aca="0">(IF($K20&gt;=2,SUMIF(S14_Growth_Model_ExAnte!$C$15:$C$81,$B20,S14_Growth_Model_ExAnte!$W$15:$W$81)/$K20,IF($L20&gt;=2,SUMIF(S14_Growth_Model_ExAnte!$AY$15:$AY$81,$C20&amp;"|"&amp;$D20,S14_Growth_Model_ExAnte!$W$15:$W$81)/$L20,IF(COUNTIF(S14_Growth_Model_ExAnte!$AZ$15:$AZ$81,$C20)&gt;0,SUMIF(S14_Growth_Model_ExAnte!$AZ$15:$AZ$81,$C20,S14_Growth_Model_ExAnte!$W$15:$W$81)/COUNTIF(S14_Growth_Model_ExAnte!$AZ$15:$AZ$81,$C20),0))))*$O20*S08_Defaults!$B$6*(1+S08_Defaults!$B$7)*S08_Defaults!$B$8</x:f>
        <x:v>108.27311915182199</x:v>
      </x:c>
      <x:c r="AH20" s="115" t="n">
        <x:f aca="0">(IF($K20&gt;=2,SUMIF(S14_Growth_Model_ExAnte!$C$15:$C$81,$B20,S14_Growth_Model_ExAnte!$X$15:$X$81)/$K20,IF($L20&gt;=2,SUMIF(S14_Growth_Model_ExAnte!$AY$15:$AY$81,$C20&amp;"|"&amp;$D20,S14_Growth_Model_ExAnte!$X$15:$X$81)/$L20,IF(COUNTIF(S14_Growth_Model_ExAnte!$AZ$15:$AZ$81,$C20)&gt;0,SUMIF(S14_Growth_Model_ExAnte!$AZ$15:$AZ$81,$C20,S14_Growth_Model_ExAnte!$X$15:$X$81)/COUNTIF(S14_Growth_Model_ExAnte!$AZ$15:$AZ$81,$C20),0))))*$O20*S08_Defaults!$B$6*(1+S08_Defaults!$B$7)*S08_Defaults!$B$8</x:f>
        <x:v>115.00464533368721</x:v>
      </x:c>
      <x:c r="AI20" s="115" t="n">
        <x:f aca="0">(IF($K20&gt;=2,SUMIF(S14_Growth_Model_ExAnte!$C$15:$C$81,$B20,S14_Growth_Model_ExAnte!$Y$15:$Y$81)/$K20,IF($L20&gt;=2,SUMIF(S14_Growth_Model_ExAnte!$AY$15:$AY$81,$C20&amp;"|"&amp;$D20,S14_Growth_Model_ExAnte!$Y$15:$Y$81)/$L20,IF(COUNTIF(S14_Growth_Model_ExAnte!$AZ$15:$AZ$81,$C20)&gt;0,SUMIF(S14_Growth_Model_ExAnte!$AZ$15:$AZ$81,$C20,S14_Growth_Model_ExAnte!$Y$15:$Y$81)/COUNTIF(S14_Growth_Model_ExAnte!$AZ$15:$AZ$81,$C20),0))))*$O20*S08_Defaults!$B$6*(1+S08_Defaults!$B$7)*S08_Defaults!$B$8</x:f>
        <x:v>120.92668155665598</x:v>
      </x:c>
      <x:c r="AJ20" s="115" t="n">
        <x:f aca="0">(IF($K20&gt;=2,SUMIF(S14_Growth_Model_ExAnte!$C$15:$C$81,$B20,S14_Growth_Model_ExAnte!$Z$15:$Z$81)/$K20,IF($L20&gt;=2,SUMIF(S14_Growth_Model_ExAnte!$AY$15:$AY$81,$C20&amp;"|"&amp;$D20,S14_Growth_Model_ExAnte!$Z$15:$Z$81)/$L20,IF(COUNTIF(S14_Growth_Model_ExAnte!$AZ$15:$AZ$81,$C20)&gt;0,SUMIF(S14_Growth_Model_ExAnte!$AZ$15:$AZ$81,$C20,S14_Growth_Model_ExAnte!$Z$15:$Z$81)/COUNTIF(S14_Growth_Model_ExAnte!$AZ$15:$AZ$81,$C20),0))))*$O20*S08_Defaults!$B$6*(1+S08_Defaults!$B$7)*S08_Defaults!$B$8</x:f>
        <x:v>126.1079590032203</x:v>
      </x:c>
      <x:c r="AK20" s="115" t="n">
        <x:f aca="0">(IF($K20&gt;=2,SUMIF(S14_Growth_Model_ExAnte!$C$15:$C$81,$B20,S14_Growth_Model_ExAnte!$AA$15:$AA$81)/$K20,IF($L20&gt;=2,SUMIF(S14_Growth_Model_ExAnte!$AY$15:$AY$81,$C20&amp;"|"&amp;$D20,S14_Growth_Model_ExAnte!$AA$15:$AA$81)/$L20,IF(COUNTIF(S14_Growth_Model_ExAnte!$AZ$15:$AZ$81,$C20)&gt;0,SUMIF(S14_Growth_Model_ExAnte!$AZ$15:$AZ$81,$C20,S14_Growth_Model_ExAnte!$AA$15:$AA$81)/COUNTIF(S14_Growth_Model_ExAnte!$AZ$15:$AZ$81,$C20),0))))*$O20*S08_Defaults!$B$6*(1+S08_Defaults!$B$7)*S08_Defaults!$B$8</x:f>
        <x:v>130.62168649784536</x:v>
      </x:c>
      <x:c r="AL20" s="115" t="n">
        <x:f aca="0">(IF($K20&gt;=2,SUMIF(S14_Growth_Model_ExAnte!$C$15:$C$81,$B20,S14_Growth_Model_ExAnte!$AB$15:$AB$81)/$K20,IF($L20&gt;=2,SUMIF(S14_Growth_Model_ExAnte!$AY$15:$AY$81,$C20&amp;"|"&amp;$D20,S14_Growth_Model_ExAnte!$AB$15:$AB$81)/$L20,IF(COUNTIF(S14_Growth_Model_ExAnte!$AZ$15:$AZ$81,$C20)&gt;0,SUMIF(S14_Growth_Model_ExAnte!$AZ$15:$AZ$81,$C20,S14_Growth_Model_ExAnte!$AB$15:$AB$81)/COUNTIF(S14_Growth_Model_ExAnte!$AZ$15:$AZ$81,$C20),0))))*$O20*S08_Defaults!$B$6*(1+S08_Defaults!$B$7)*S08_Defaults!$B$8</x:f>
        <x:v>134.54074406676037</x:v>
      </x:c>
      <x:c r="AM20" s="115" t="n">
        <x:f aca="0">R20</x:f>
        <x:v>0</x:v>
      </x:c>
      <x:c r="AN20" s="115" t="n">
        <x:f aca="0">S20-R20</x:f>
        <x:v>0</x:v>
      </x:c>
      <x:c r="AO20" s="115" t="n">
        <x:f aca="0">T20-S20</x:f>
        <x:v>0.08843419078662754</x:v>
      </x:c>
      <x:c r="AP20" s="115" t="n">
        <x:f aca="0">U20-T20</x:f>
        <x:v>1.0116072209437543</x:v>
      </x:c>
      <x:c r="AQ20" s="115" t="n">
        <x:f aca="0">V20-U20</x:f>
        <x:v>3.0668491106595277</x:v>
      </x:c>
      <x:c r="AR20" s="115" t="n">
        <x:f aca="0">W20-V20</x:f>
        <x:v>5.6624843002395515</x:v>
      </x:c>
      <x:c r="AS20" s="115" t="n">
        <x:f aca="0">X20-W20</x:f>
        <x:v>8.063337292142947</x:v>
      </x:c>
      <x:c r="AT20" s="115" t="n">
        <x:f aca="0">Y20-X20</x:f>
        <x:v>9.881578075007237</x:v>
      </x:c>
      <x:c r="AU20" s="115" t="n">
        <x:f aca="0">Z20-Y20</x:f>
        <x:v>10.995251013539285</x:v>
      </x:c>
      <x:c r="AV20" s="115" t="n">
        <x:f aca="0">AA20-Z20</x:f>
        <x:v>11.45384371980046</x:v>
      </x:c>
      <x:c r="AW20" s="115" t="n">
        <x:f aca="0">AB20-AA20</x:f>
        <x:v>11.384991990645617</x:v>
      </x:c>
      <x:c r="AX20" s="115" t="n">
        <x:f aca="0">AC20-AB20</x:f>
        <x:v>10.934668503112086</x:v>
      </x:c>
      <x:c r="AY20" s="115" t="n">
        <x:f aca="0">AD20-AC20</x:f>
        <x:v>10.23605511679142</x:v>
      </x:c>
      <x:c r="AZ20" s="115" t="n">
        <x:f aca="0">AE20-AD20</x:f>
        <x:v>9.39716758902884</x:v>
      </x:c>
      <x:c r="BA20" s="115" t="n">
        <x:f aca="0">AF20-AE20</x:f>
        <x:v>8.498897259527197</x:v>
      </x:c>
      <x:c r="BB20" s="115" t="n">
        <x:f aca="0">AG20-AF20</x:f>
        <x:v>7.597953769597439</x:v>
      </x:c>
      <x:c r="BC20" s="115" t="n">
        <x:f aca="0">AH20-AG20</x:f>
        <x:v>6.73152618186522</x:v>
      </x:c>
      <x:c r="BD20" s="115" t="n">
        <x:f aca="0">AI20-AH20</x:f>
        <x:v>5.922036222968771</x:v>
      </x:c>
      <x:c r="BE20" s="115" t="n">
        <x:f aca="0">AJ20-AI20</x:f>
        <x:v>5.181277446564323</x:v>
      </x:c>
      <x:c r="BF20" s="115" t="n">
        <x:f aca="0">AK20-AJ20</x:f>
        <x:v>4.5137274946250585</x:v>
      </x:c>
      <x:c r="BG20" s="115" t="n">
        <x:f aca="0">AL20-AK20</x:f>
        <x:v>3.919057568915008</x:v>
      </x:c>
    </x:row>
    <x:row r="21" ht="15" hidden="0" customHeight="1">
      <x:c r="A21" s="160" t="str">
        <x:f aca="0">"S"&amp;TEXT(ROW()-3,"00")</x:f>
        <x:v>S18</x:v>
      </x:c>
      <x:c r="B21" s="161" t="s">
        <x:v>560</x:v>
      </x:c>
      <x:c r="C21" s="160" t="str">
        <x:f aca="0">LEFT($B21,FIND("|",$B21)-1)</x:f>
        <x:v>Fruit Orchard</x:v>
      </x:c>
      <x:c r="D21" s="160" t="str">
        <x:f aca="0">MID($B21,FIND("|",$B21)+1,FIND("|",$B21,FIND("|",$B21)+1)-FIND("|",$B21)-1)</x:f>
        <x:v>Medium</x:v>
      </x:c>
      <x:c r="E21" s="160" t="n">
        <x:f aca="0">VALUE(RIGHT($B21,4))</x:f>
        <x:v>2021</x:v>
      </x:c>
      <x:c r="F21" s="115" t="n">
        <x:f aca="0">SUMIF(S17_Biome_Strata!$G$4:$G$95,$B21,S17_Biome_Strata!$E$4:$E$95)</x:f>
        <x:v>153</x:v>
      </x:c>
      <x:c r="G21" s="115" t="n">
        <x:f aca="0">SUMIF(S17_Biome_Strata!$G$4:$G$95,$B21,S17_Biome_Strata!$F$4:$F$95)</x:f>
        <x:v>157.2878242816674</x:v>
      </x:c>
      <x:c r="H21" s="115" t="n">
        <x:f aca="0">IF($K21&gt;=2,SUMIF(S14_Growth_Model_ExAnte!$C$15:$C$81,$B21,S14_Growth_Model_ExAnte!$N$15:$N$81)/$K21,IF($L21&gt;=2,SUMIF(S14_Growth_Model_ExAnte!$AY$15:$AY$81,$C21&amp;"|"&amp;$D21,S14_Growth_Model_ExAnte!$N$15:$N$81)/$L21,IF(COUNTIF(S14_Growth_Model_ExAnte!$AZ$15:$AZ$81,$C21)&gt;0,SUMIF(S14_Growth_Model_ExAnte!$AZ$15:$AZ$81,$C21,S14_Growth_Model_ExAnte!$N$15:$N$81)/COUNTIF(S14_Growth_Model_ExAnte!$AZ$15:$AZ$81,$C21),0)))</x:f>
        <x:v>10.68195792924608</x:v>
      </x:c>
      <x:c r="I21" s="115" t="n">
        <x:f aca="0">IF($K21&gt;=2,SQRT(MAX(0,(SUMIF(S14_Growth_Model_ExAnte!$C$15:$C$81,$B21,S14_Growth_Model_ExAnte!$BF$15:$BF$81)-SUMIF(S14_Growth_Model_ExAnte!$C$15:$C$81,$B21,S14_Growth_Model_ExAnte!$N$15:$N$81)*SUMIF(S14_Growth_Model_ExAnte!$C$15:$C$81,$B21,S14_Growth_Model_ExAnte!$N$15:$N$81)/$K21)/($K21-1))),IF($L21&gt;=2,SQRT(MAX(0,(SUMIF(S14_Growth_Model_ExAnte!$AY$15:$AY$81,$C21&amp;"|"&amp;$D21,S14_Growth_Model_ExAnte!$BF$15:$BF$81)-SUMIF(S14_Growth_Model_ExAnte!$AY$15:$AY$81,$C21&amp;"|"&amp;$D21,S14_Growth_Model_ExAnte!$N$15:$N$81)*SUMIF(S14_Growth_Model_ExAnte!$AY$15:$AY$81,$C21&amp;"|"&amp;$D21,S14_Growth_Model_ExAnte!$N$15:$N$81)/$L21)/($L21-1))),IF(COUNTIF(S14_Growth_Model_ExAnte!$AZ$15:$AZ$81,$C21)&gt;=2,SQRT(MAX(0,(SUMIF(S14_Growth_Model_ExAnte!$AZ$15:$AZ$81,$C21,S14_Growth_Model_ExAnte!$BF$15:$BF$81)-SUMIF(S14_Growth_Model_ExAnte!$AZ$15:$AZ$81,$C21,S14_Growth_Model_ExAnte!$N$15:$N$81)*SUMIF(S14_Growth_Model_ExAnte!$AZ$15:$AZ$81,$C21,S14_Growth_Model_ExAnte!$N$15:$N$81)/COUNTIF(S14_Growth_Model_ExAnte!$AZ$15:$AZ$81,$C21))/(COUNTIF(S14_Growth_Model_ExAnte!$AZ$15:$AZ$81,$C21)-1))),0)))</x:f>
        <x:v>8.104137145083643</x:v>
      </x:c>
      <x:c r="J21" s="115" t="n">
        <x:f aca="0">IFERROR(I21/H21,0)</x:f>
        <x:v>0.7586752539902226</x:v>
      </x:c>
      <x:c r="K21" s="115" t="n">
        <x:f aca="0">COUNTIF(S14_Growth_Model_ExAnte!$C$15:$C$81,$B21)</x:f>
        <x:v>2</x:v>
      </x:c>
      <x:c r="L21" s="115" t="n">
        <x:f aca="0">COUNTIF(S14_Growth_Model_ExAnte!$AY$15:$AY$81,$C21&amp;"|"&amp;$D21)</x:f>
        <x:v>7</x:v>
      </x:c>
      <x:c r="M21" s="115" t="n">
        <x:f aca="0">$H21</x:f>
        <x:v>10.68195792924608</x:v>
      </x:c>
      <x:c r="N21" s="115" t="n">
        <x:f aca="0">MAX(0,$M21*S08_Defaults!$B$5)</x:f>
        <x:v>8.01146844693456</x:v>
      </x:c>
      <x:c r="O21" s="115" t="n">
        <x:f aca="0">IFERROR($N21/$M21,0)</x:f>
        <x:v>0.75</x:v>
      </x:c>
      <x:c r="P21" s="115" t="str">
        <x:f aca="0">IF($K21&gt;=2,"Exact Stratum PSP Chapman-Richards curve",IF($L21&gt;=2,"Model×Density pooled Chapman-Richards curve","Model pooled Chapman-Richards curve"))</x:f>
        <x:v>Exact Stratum PSP Chapman-Richards curve</x:v>
      </x:c>
      <x:c r="Q21" s="162" t="s">
        <x:v>1106</x:v>
      </x:c>
      <x:c r="R21" s="115" t="n">
        <x:f aca="0">0</x:f>
        <x:v>0</x:v>
      </x:c>
      <x:c r="S21" s="115" t="n">
        <x:f aca="0">(IF($K21&gt;=2,SUMIF(S14_Growth_Model_ExAnte!$C$15:$C$81,$B21,S14_Growth_Model_ExAnte!$I$15:$I$81)/$K21,IF($L21&gt;=2,SUMIF(S14_Growth_Model_ExAnte!$AY$15:$AY$81,$C21&amp;"|"&amp;$D21,S14_Growth_Model_ExAnte!$I$15:$I$81)/$L21,IF(COUNTIF(S14_Growth_Model_ExAnte!$AZ$15:$AZ$81,$C21)&gt;0,SUMIF(S14_Growth_Model_ExAnte!$AZ$15:$AZ$81,$C21,S14_Growth_Model_ExAnte!$I$15:$I$81)/COUNTIF(S14_Growth_Model_ExAnte!$AZ$15:$AZ$81,$C21),0))))*$O21*S08_Defaults!$B$6*(1+S08_Defaults!$B$7)*S08_Defaults!$B$8</x:f>
        <x:v>0</x:v>
      </x:c>
      <x:c r="T21" s="115" t="n">
        <x:f aca="0">(IF($K21&gt;=2,SUMIF(S14_Growth_Model_ExAnte!$C$15:$C$81,$B21,S14_Growth_Model_ExAnte!$J$15:$J$81)/$K21,IF($L21&gt;=2,SUMIF(S14_Growth_Model_ExAnte!$AY$15:$AY$81,$C21&amp;"|"&amp;$D21,S14_Growth_Model_ExAnte!$J$15:$J$81)/$L21,IF(COUNTIF(S14_Growth_Model_ExAnte!$AZ$15:$AZ$81,$C21)&gt;0,SUMIF(S14_Growth_Model_ExAnte!$AZ$15:$AZ$81,$C21,S14_Growth_Model_ExAnte!$J$15:$J$81)/COUNTIF(S14_Growth_Model_ExAnte!$AZ$15:$AZ$81,$C21),0))))*$O21*S08_Defaults!$B$6*(1+S08_Defaults!$B$7)*S08_Defaults!$B$8</x:f>
        <x:v>0.08024124106903152</x:v>
      </x:c>
      <x:c r="U21" s="115" t="n">
        <x:f aca="0">(IF($K21&gt;=2,SUMIF(S14_Growth_Model_ExAnte!$C$15:$C$81,$B21,S14_Growth_Model_ExAnte!$K$15:$K$81)/$K21,IF($L21&gt;=2,SUMIF(S14_Growth_Model_ExAnte!$AY$15:$AY$81,$C21&amp;"|"&amp;$D21,S14_Growth_Model_ExAnte!$K$15:$K$81)/$L21,IF(COUNTIF(S14_Growth_Model_ExAnte!$AZ$15:$AZ$81,$C21)&gt;0,SUMIF(S14_Growth_Model_ExAnte!$AZ$15:$AZ$81,$C21,S14_Growth_Model_ExAnte!$K$15:$K$81)/COUNTIF(S14_Growth_Model_ExAnte!$AZ$15:$AZ$81,$C21),0))))*$O21*S08_Defaults!$B$6*(1+S08_Defaults!$B$7)*S08_Defaults!$B$8</x:f>
        <x:v>0.9691359874785773</x:v>
      </x:c>
      <x:c r="V21" s="115" t="n">
        <x:f aca="0">(IF($K21&gt;=2,SUMIF(S14_Growth_Model_ExAnte!$C$15:$C$81,$B21,S14_Growth_Model_ExAnte!$L$15:$L$81)/$K21,IF($L21&gt;=2,SUMIF(S14_Growth_Model_ExAnte!$AY$15:$AY$81,$C21&amp;"|"&amp;$D21,S14_Growth_Model_ExAnte!$L$15:$L$81)/$L21,IF(COUNTIF(S14_Growth_Model_ExAnte!$AZ$15:$AZ$81,$C21)&gt;0,SUMIF(S14_Growth_Model_ExAnte!$AZ$15:$AZ$81,$C21,S14_Growth_Model_ExAnte!$L$15:$L$81)/COUNTIF(S14_Growth_Model_ExAnte!$AZ$15:$AZ$81,$C21),0))))*$O21*S08_Defaults!$B$6*(1+S08_Defaults!$B$7)*S08_Defaults!$B$8</x:f>
        <x:v>3.7264774365253888</x:v>
      </x:c>
      <x:c r="W21" s="115" t="n">
        <x:f aca="0">(IF($K21&gt;=2,SUMIF(S14_Growth_Model_ExAnte!$C$15:$C$81,$B21,S14_Growth_Model_ExAnte!$M$15:$M$81)/$K21,IF($L21&gt;=2,SUMIF(S14_Growth_Model_ExAnte!$AY$15:$AY$81,$C21&amp;"|"&amp;$D21,S14_Growth_Model_ExAnte!$M$15:$M$81)/$L21,IF(COUNTIF(S14_Growth_Model_ExAnte!$AZ$15:$AZ$81,$C21)&gt;0,SUMIF(S14_Growth_Model_ExAnte!$AZ$15:$AZ$81,$C21,S14_Growth_Model_ExAnte!$M$15:$M$81)/COUNTIF(S14_Growth_Model_ExAnte!$AZ$15:$AZ$81,$C21),0))))*$O21*S08_Defaults!$B$6*(1+S08_Defaults!$B$7)*S08_Defaults!$B$8</x:f>
        <x:v>9.063386482166534</x:v>
      </x:c>
      <x:c r="X21" s="115" t="n">
        <x:f aca="0">(IF($K21&gt;=2,SUMIF(S14_Growth_Model_ExAnte!$C$15:$C$81,$B21,S14_Growth_Model_ExAnte!$N$15:$N$81)/$K21,IF($L21&gt;=2,SUMIF(S14_Growth_Model_ExAnte!$AY$15:$AY$81,$C21&amp;"|"&amp;$D21,S14_Growth_Model_ExAnte!$N$15:$N$81)/$L21,IF(COUNTIF(S14_Growth_Model_ExAnte!$AZ$15:$AZ$81,$C21)&gt;0,SUMIF(S14_Growth_Model_ExAnte!$AZ$15:$AZ$81,$C21,S14_Growth_Model_ExAnte!$N$15:$N$81)/COUNTIF(S14_Growth_Model_ExAnte!$AZ$15:$AZ$81,$C21),0))))*$O21*S08_Defaults!$B$6*(1+S08_Defaults!$B$7)*S08_Defaults!$B$8</x:f>
        <x:v>17.119973973202708</x:v>
      </x:c>
      <x:c r="Y21" s="115" t="n">
        <x:f aca="0">(IF($K21&gt;=2,SUMIF(S14_Growth_Model_ExAnte!$C$15:$C$81,$B21,S14_Growth_Model_ExAnte!$O$15:$O$81)/$K21,IF($L21&gt;=2,SUMIF(S14_Growth_Model_ExAnte!$AY$15:$AY$81,$C21&amp;"|"&amp;$D21,S14_Growth_Model_ExAnte!$O$15:$O$81)/$L21,IF(COUNTIF(S14_Growth_Model_ExAnte!$AZ$15:$AZ$81,$C21)&gt;0,SUMIF(S14_Growth_Model_ExAnte!$AZ$15:$AZ$81,$C21,S14_Growth_Model_ExAnte!$O$15:$O$81)/COUNTIF(S14_Growth_Model_ExAnte!$AZ$15:$AZ$81,$C21),0))))*$O21*S08_Defaults!$B$6*(1+S08_Defaults!$B$7)*S08_Defaults!$B$8</x:f>
        <x:v>27.64078926270223</x:v>
      </x:c>
      <x:c r="Z21" s="115" t="n">
        <x:f aca="0">(IF($K21&gt;=2,SUMIF(S14_Growth_Model_ExAnte!$C$15:$C$81,$B21,S14_Growth_Model_ExAnte!$P$15:$P$81)/$K21,IF($L21&gt;=2,SUMIF(S14_Growth_Model_ExAnte!$AY$15:$AY$81,$C21&amp;"|"&amp;$D21,S14_Growth_Model_ExAnte!$P$15:$P$81)/$L21,IF(COUNTIF(S14_Growth_Model_ExAnte!$AZ$15:$AZ$81,$C21)&gt;0,SUMIF(S14_Growth_Model_ExAnte!$AZ$15:$AZ$81,$C21,S14_Growth_Model_ExAnte!$P$15:$P$81)/COUNTIF(S14_Growth_Model_ExAnte!$AZ$15:$AZ$81,$C21),0))))*$O21*S08_Defaults!$B$6*(1+S08_Defaults!$B$7)*S08_Defaults!$B$8</x:f>
        <x:v>40.140287213664934</x:v>
      </x:c>
      <x:c r="AA21" s="115" t="n">
        <x:f aca="0">(IF($K21&gt;=2,SUMIF(S14_Growth_Model_ExAnte!$C$15:$C$81,$B21,S14_Growth_Model_ExAnte!$Q$15:$Q$81)/$K21,IF($L21&gt;=2,SUMIF(S14_Growth_Model_ExAnte!$AY$15:$AY$81,$C21&amp;"|"&amp;$D21,S14_Growth_Model_ExAnte!$Q$15:$Q$81)/$L21,IF(COUNTIF(S14_Growth_Model_ExAnte!$AZ$15:$AZ$81,$C21)&gt;0,SUMIF(S14_Growth_Model_ExAnte!$AZ$15:$AZ$81,$C21,S14_Growth_Model_ExAnte!$Q$15:$Q$81)/COUNTIF(S14_Growth_Model_ExAnte!$AZ$15:$AZ$81,$C21),0))))*$O21*S08_Defaults!$B$6*(1+S08_Defaults!$B$7)*S08_Defaults!$B$8</x:f>
        <x:v>54.04625553934507</x:v>
      </x:c>
      <x:c r="AB21" s="115" t="n">
        <x:f aca="0">(IF($K21&gt;=2,SUMIF(S14_Growth_Model_ExAnte!$C$15:$C$81,$B21,S14_Growth_Model_ExAnte!$R$15:$R$81)/$K21,IF($L21&gt;=2,SUMIF(S14_Growth_Model_ExAnte!$AY$15:$AY$81,$C21&amp;"|"&amp;$D21,S14_Growth_Model_ExAnte!$R$15:$R$81)/$L21,IF(COUNTIF(S14_Growth_Model_ExAnte!$AZ$15:$AZ$81,$C21)&gt;0,SUMIF(S14_Growth_Model_ExAnte!$AZ$15:$AZ$81,$C21,S14_Growth_Model_ExAnte!$R$15:$R$81)/COUNTIF(S14_Growth_Model_ExAnte!$AZ$15:$AZ$81,$C21),0))))*$O21*S08_Defaults!$B$6*(1+S08_Defaults!$B$7)*S08_Defaults!$B$8</x:f>
        <x:v>68.79550590893344</x:v>
      </x:c>
      <x:c r="AC21" s="115" t="n">
        <x:f aca="0">(IF($K21&gt;=2,SUMIF(S14_Growth_Model_ExAnte!$C$15:$C$81,$B21,S14_Growth_Model_ExAnte!$S$15:$S$81)/$K21,IF($L21&gt;=2,SUMIF(S14_Growth_Model_ExAnte!$AY$15:$AY$81,$C21&amp;"|"&amp;$D21,S14_Growth_Model_ExAnte!$S$15:$S$81)/$L21,IF(COUNTIF(S14_Growth_Model_ExAnte!$AZ$15:$AZ$81,$C21)&gt;0,SUMIF(S14_Growth_Model_ExAnte!$AZ$15:$AZ$81,$C21,S14_Growth_Model_ExAnte!$S$15:$S$81)/COUNTIF(S14_Growth_Model_ExAnte!$AZ$15:$AZ$81,$C21),0))))*$O21*S08_Defaults!$B$6*(1+S08_Defaults!$B$7)*S08_Defaults!$B$8</x:f>
        <x:v>83.88800474661805</x:v>
      </x:c>
      <x:c r="AD21" s="115" t="n">
        <x:f aca="0">(IF($K21&gt;=2,SUMIF(S14_Growth_Model_ExAnte!$C$15:$C$81,$B21,S14_Growth_Model_ExAnte!$T$15:$T$81)/$K21,IF($L21&gt;=2,SUMIF(S14_Growth_Model_ExAnte!$AY$15:$AY$81,$C21&amp;"|"&amp;$D21,S14_Growth_Model_ExAnte!$T$15:$T$81)/$L21,IF(COUNTIF(S14_Growth_Model_ExAnte!$AZ$15:$AZ$81,$C21)&gt;0,SUMIF(S14_Growth_Model_ExAnte!$AZ$15:$AZ$81,$C21,S14_Growth_Model_ExAnte!$T$15:$T$81)/COUNTIF(S14_Growth_Model_ExAnte!$AZ$15:$AZ$81,$C21),0))))*$O21*S08_Defaults!$B$6*(1+S08_Defaults!$B$7)*S08_Defaults!$B$8</x:f>
        <x:v>98.91104933665754</x:v>
      </x:c>
      <x:c r="AE21" s="115" t="n">
        <x:f aca="0">(IF($K21&gt;=2,SUMIF(S14_Growth_Model_ExAnte!$C$15:$C$81,$B21,S14_Growth_Model_ExAnte!$U$15:$U$81)/$K21,IF($L21&gt;=2,SUMIF(S14_Growth_Model_ExAnte!$AY$15:$AY$81,$C21&amp;"|"&amp;$D21,S14_Growth_Model_ExAnte!$U$15:$U$81)/$L21,IF(COUNTIF(S14_Growth_Model_ExAnte!$AZ$15:$AZ$81,$C21)&gt;0,SUMIF(S14_Growth_Model_ExAnte!$AZ$15:$AZ$81,$C21,S14_Growth_Model_ExAnte!$U$15:$U$81)/COUNTIF(S14_Growth_Model_ExAnte!$AZ$15:$AZ$81,$C21),0))))*$O21*S08_Defaults!$B$6*(1+S08_Defaults!$B$7)*S08_Defaults!$B$8</x:f>
        <x:v>113.5442699407146</x:v>
      </x:c>
      <x:c r="AF21" s="115" t="n">
        <x:f aca="0">(IF($K21&gt;=2,SUMIF(S14_Growth_Model_ExAnte!$C$15:$C$81,$B21,S14_Growth_Model_ExAnte!$V$15:$V$81)/$K21,IF($L21&gt;=2,SUMIF(S14_Growth_Model_ExAnte!$AY$15:$AY$81,$C21&amp;"|"&amp;$D21,S14_Growth_Model_ExAnte!$V$15:$V$81)/$L21,IF(COUNTIF(S14_Growth_Model_ExAnte!$AZ$15:$AZ$81,$C21)&gt;0,SUMIF(S14_Growth_Model_ExAnte!$AZ$15:$AZ$81,$C21,S14_Growth_Model_ExAnte!$V$15:$V$81)/COUNTIF(S14_Growth_Model_ExAnte!$AZ$15:$AZ$81,$C21),0))))*$O21*S08_Defaults!$B$6*(1+S08_Defaults!$B$7)*S08_Defaults!$B$8</x:f>
        <x:v>127.55365888130927</x:v>
      </x:c>
      <x:c r="AG21" s="115" t="n">
        <x:f aca="0">(IF($K21&gt;=2,SUMIF(S14_Growth_Model_ExAnte!$C$15:$C$81,$B21,S14_Growth_Model_ExAnte!$W$15:$W$81)/$K21,IF($L21&gt;=2,SUMIF(S14_Growth_Model_ExAnte!$AY$15:$AY$81,$C21&amp;"|"&amp;$D21,S14_Growth_Model_ExAnte!$W$15:$W$81)/$L21,IF(COUNTIF(S14_Growth_Model_ExAnte!$AZ$15:$AZ$81,$C21)&gt;0,SUMIF(S14_Growth_Model_ExAnte!$AZ$15:$AZ$81,$C21,S14_Growth_Model_ExAnte!$W$15:$W$81)/COUNTIF(S14_Growth_Model_ExAnte!$AZ$15:$AZ$81,$C21),0))))*$O21*S08_Defaults!$B$6*(1+S08_Defaults!$B$7)*S08_Defaults!$B$8</x:f>
        <x:v>140.78023040839582</x:v>
      </x:c>
      <x:c r="AH21" s="115" t="n">
        <x:f aca="0">(IF($K21&gt;=2,SUMIF(S14_Growth_Model_ExAnte!$C$15:$C$81,$B21,S14_Growth_Model_ExAnte!$X$15:$X$81)/$K21,IF($L21&gt;=2,SUMIF(S14_Growth_Model_ExAnte!$AY$15:$AY$81,$C21&amp;"|"&amp;$D21,S14_Growth_Model_ExAnte!$X$15:$X$81)/$L21,IF(COUNTIF(S14_Growth_Model_ExAnte!$AZ$15:$AZ$81,$C21)&gt;0,SUMIF(S14_Growth_Model_ExAnte!$AZ$15:$AZ$81,$C21,S14_Growth_Model_ExAnte!$X$15:$X$81)/COUNTIF(S14_Growth_Model_ExAnte!$AZ$15:$AZ$81,$C21),0))))*$O21*S08_Defaults!$B$6*(1+S08_Defaults!$B$7)*S08_Defaults!$B$8</x:f>
        <x:v>153.12684259243687</x:v>
      </x:c>
      <x:c r="AI21" s="115" t="n">
        <x:f aca="0">(IF($K21&gt;=2,SUMIF(S14_Growth_Model_ExAnte!$C$15:$C$81,$B21,S14_Growth_Model_ExAnte!$Y$15:$Y$81)/$K21,IF($L21&gt;=2,SUMIF(S14_Growth_Model_ExAnte!$AY$15:$AY$81,$C21&amp;"|"&amp;$D21,S14_Growth_Model_ExAnte!$Y$15:$Y$81)/$L21,IF(COUNTIF(S14_Growth_Model_ExAnte!$AZ$15:$AZ$81,$C21)&gt;0,SUMIF(S14_Growth_Model_ExAnte!$AZ$15:$AZ$81,$C21,S14_Growth_Model_ExAnte!$Y$15:$Y$81)/COUNTIF(S14_Growth_Model_ExAnte!$AZ$15:$AZ$81,$C21),0))))*$O21*S08_Defaults!$B$6*(1+S08_Defaults!$B$7)*S08_Defaults!$B$8</x:f>
        <x:v>164.54523058648772</x:v>
      </x:c>
      <x:c r="AJ21" s="115" t="n">
        <x:f aca="0">(IF($K21&gt;=2,SUMIF(S14_Growth_Model_ExAnte!$C$15:$C$81,$B21,S14_Growth_Model_ExAnte!$Z$15:$Z$81)/$K21,IF($L21&gt;=2,SUMIF(S14_Growth_Model_ExAnte!$AY$15:$AY$81,$C21&amp;"|"&amp;$D21,S14_Growth_Model_ExAnte!$Z$15:$Z$81)/$L21,IF(COUNTIF(S14_Growth_Model_ExAnte!$AZ$15:$AZ$81,$C21)&gt;0,SUMIF(S14_Growth_Model_ExAnte!$AZ$15:$AZ$81,$C21,S14_Growth_Model_ExAnte!$Z$15:$Z$81)/COUNTIF(S14_Growth_Model_ExAnte!$AZ$15:$AZ$81,$C21),0))))*$O21*S08_Defaults!$B$6*(1+S08_Defaults!$B$7)*S08_Defaults!$B$8</x:f>
        <x:v>175.02431434704488</x:v>
      </x:c>
      <x:c r="AK21" s="115" t="n">
        <x:f aca="0">(IF($K21&gt;=2,SUMIF(S14_Growth_Model_ExAnte!$C$15:$C$81,$B21,S14_Growth_Model_ExAnte!$AA$15:$AA$81)/$K21,IF($L21&gt;=2,SUMIF(S14_Growth_Model_ExAnte!$AY$15:$AY$81,$C21&amp;"|"&amp;$D21,S14_Growth_Model_ExAnte!$AA$15:$AA$81)/$L21,IF(COUNTIF(S14_Growth_Model_ExAnte!$AZ$15:$AZ$81,$C21)&gt;0,SUMIF(S14_Growth_Model_ExAnte!$AZ$15:$AZ$81,$C21,S14_Growth_Model_ExAnte!$AA$15:$AA$81)/COUNTIF(S14_Growth_Model_ExAnte!$AZ$15:$AZ$81,$C21),0))))*$O21*S08_Defaults!$B$6*(1+S08_Defaults!$B$7)*S08_Defaults!$B$8</x:f>
        <x:v>184.58022578167706</x:v>
      </x:c>
      <x:c r="AL21" s="115" t="n">
        <x:f aca="0">(IF($K21&gt;=2,SUMIF(S14_Growth_Model_ExAnte!$C$15:$C$81,$B21,S14_Growth_Model_ExAnte!$AB$15:$AB$81)/$K21,IF($L21&gt;=2,SUMIF(S14_Growth_Model_ExAnte!$AY$15:$AY$81,$C21&amp;"|"&amp;$D21,S14_Growth_Model_ExAnte!$AB$15:$AB$81)/$L21,IF(COUNTIF(S14_Growth_Model_ExAnte!$AZ$15:$AZ$81,$C21)&gt;0,SUMIF(S14_Growth_Model_ExAnte!$AZ$15:$AZ$81,$C21,S14_Growth_Model_ExAnte!$AB$15:$AB$81)/COUNTIF(S14_Growth_Model_ExAnte!$AZ$15:$AZ$81,$C21),0))))*$O21*S08_Defaults!$B$6*(1+S08_Defaults!$B$7)*S08_Defaults!$B$8</x:f>
        <x:v>193.2481367498435</x:v>
      </x:c>
      <x:c r="AM21" s="115" t="n">
        <x:f aca="0">R21</x:f>
        <x:v>0</x:v>
      </x:c>
      <x:c r="AN21" s="115" t="n">
        <x:f aca="0">S21-R21</x:f>
        <x:v>0</x:v>
      </x:c>
      <x:c r="AO21" s="115" t="n">
        <x:f aca="0">T21-S21</x:f>
        <x:v>0.08024124106903152</x:v>
      </x:c>
      <x:c r="AP21" s="115" t="n">
        <x:f aca="0">U21-T21</x:f>
        <x:v>0.8888947464095458</x:v>
      </x:c>
      <x:c r="AQ21" s="115" t="n">
        <x:f aca="0">V21-U21</x:f>
        <x:v>2.7573414490468116</x:v>
      </x:c>
      <x:c r="AR21" s="115" t="n">
        <x:f aca="0">W21-V21</x:f>
        <x:v>5.3369090456411445</x:v>
      </x:c>
      <x:c r="AS21" s="115" t="n">
        <x:f aca="0">X21-W21</x:f>
        <x:v>8.056587491036174</x:v>
      </x:c>
      <x:c r="AT21" s="115" t="n">
        <x:f aca="0">Y21-X21</x:f>
        <x:v>10.520815289499524</x:v>
      </x:c>
      <x:c r="AU21" s="115" t="n">
        <x:f aca="0">Z21-Y21</x:f>
        <x:v>12.499497950962702</x:v>
      </x:c>
      <x:c r="AV21" s="115" t="n">
        <x:f aca="0">AA21-Z21</x:f>
        <x:v>13.905968325680135</x:v>
      </x:c>
      <x:c r="AW21" s="115" t="n">
        <x:f aca="0">AB21-AA21</x:f>
        <x:v>14.749250369588367</x:v>
      </x:c>
      <x:c r="AX21" s="115" t="n">
        <x:f aca="0">AC21-AB21</x:f>
        <x:v>15.092498837684616</x:v>
      </x:c>
      <x:c r="AY21" s="115" t="n">
        <x:f aca="0">AD21-AC21</x:f>
        <x:v>15.02304459003949</x:v>
      </x:c>
      <x:c r="AZ21" s="115" t="n">
        <x:f aca="0">AE21-AD21</x:f>
        <x:v>14.633220604057058</x:v>
      </x:c>
      <x:c r="BA21" s="115" t="n">
        <x:f aca="0">AF21-AE21</x:f>
        <x:v>14.009388940594675</x:v>
      </x:c>
      <x:c r="BB21" s="115" t="n">
        <x:f aca="0">AG21-AF21</x:f>
        <x:v>13.226571527086548</x:v>
      </x:c>
      <x:c r="BC21" s="115" t="n">
        <x:f aca="0">AH21-AG21</x:f>
        <x:v>12.34661218404105</x:v>
      </x:c>
      <x:c r="BD21" s="115" t="n">
        <x:f aca="0">AI21-AH21</x:f>
        <x:v>11.418387994050846</x:v>
      </x:c>
      <x:c r="BE21" s="115" t="n">
        <x:f aca="0">AJ21-AI21</x:f>
        <x:v>10.47908376055716</x:v>
      </x:c>
      <x:c r="BF21" s="115" t="n">
        <x:f aca="0">AK21-AJ21</x:f>
        <x:v>9.55591143463218</x:v>
      </x:c>
      <x:c r="BG21" s="115" t="n">
        <x:f aca="0">AL21-AK21</x:f>
        <x:v>8.667910968166439</x:v>
      </x:c>
    </x:row>
    <x:row r="22" ht="15" hidden="0" customHeight="1">
      <x:c r="A22" s="160" t="str">
        <x:f aca="0">"S"&amp;TEXT(ROW()-3,"00")</x:f>
        <x:v>S19</x:v>
      </x:c>
      <x:c r="B22" s="161" t="s">
        <x:v>687</x:v>
      </x:c>
      <x:c r="C22" s="160" t="str">
        <x:f aca="0">LEFT($B22,FIND("|",$B22)-1)</x:f>
        <x:v>Timber Plantation</x:v>
      </x:c>
      <x:c r="D22" s="160" t="str">
        <x:f aca="0">MID($B22,FIND("|",$B22)+1,FIND("|",$B22,FIND("|",$B22)+1)-FIND("|",$B22)-1)</x:f>
        <x:v>Low</x:v>
      </x:c>
      <x:c r="E22" s="160" t="n">
        <x:f aca="0">VALUE(RIGHT($B22,4))</x:f>
        <x:v>2021</x:v>
      </x:c>
      <x:c r="F22" s="115" t="n">
        <x:f aca="0">SUMIF(S17_Biome_Strata!$G$4:$G$95,$B22,S17_Biome_Strata!$E$4:$E$95)</x:f>
        <x:v>35</x:v>
      </x:c>
      <x:c r="G22" s="115" t="n">
        <x:f aca="0">SUMIF(S17_Biome_Strata!$G$4:$G$95,$B22,S17_Biome_Strata!$F$4:$F$95)</x:f>
        <x:v>31.534456414407103</x:v>
      </x:c>
      <x:c r="H22" s="115" t="n">
        <x:f aca="0">IF($K22&gt;=2,SUMIF(S14_Growth_Model_ExAnte!$C$15:$C$81,$B22,S14_Growth_Model_ExAnte!$N$15:$N$81)/$K22,IF($L22&gt;=2,SUMIF(S14_Growth_Model_ExAnte!$AY$15:$AY$81,$C22&amp;"|"&amp;$D22,S14_Growth_Model_ExAnte!$N$15:$N$81)/$L22,IF(COUNTIF(S14_Growth_Model_ExAnte!$AZ$15:$AZ$81,$C22)&gt;0,SUMIF(S14_Growth_Model_ExAnte!$AZ$15:$AZ$81,$C22,S14_Growth_Model_ExAnte!$N$15:$N$81)/COUNTIF(S14_Growth_Model_ExAnte!$AZ$15:$AZ$81,$C22),0)))</x:f>
        <x:v>25.064389472533758</x:v>
      </x:c>
      <x:c r="I22" s="115" t="n">
        <x:f aca="0">IF($K22&gt;=2,SQRT(MAX(0,(SUMIF(S14_Growth_Model_ExAnte!$C$15:$C$81,$B22,S14_Growth_Model_ExAnte!$BF$15:$BF$81)-SUMIF(S14_Growth_Model_ExAnte!$C$15:$C$81,$B22,S14_Growth_Model_ExAnte!$N$15:$N$81)*SUMIF(S14_Growth_Model_ExAnte!$C$15:$C$81,$B22,S14_Growth_Model_ExAnte!$N$15:$N$81)/$K22)/($K22-1))),IF($L22&gt;=2,SQRT(MAX(0,(SUMIF(S14_Growth_Model_ExAnte!$AY$15:$AY$81,$C22&amp;"|"&amp;$D22,S14_Growth_Model_ExAnte!$BF$15:$BF$81)-SUMIF(S14_Growth_Model_ExAnte!$AY$15:$AY$81,$C22&amp;"|"&amp;$D22,S14_Growth_Model_ExAnte!$N$15:$N$81)*SUMIF(S14_Growth_Model_ExAnte!$AY$15:$AY$81,$C22&amp;"|"&amp;$D22,S14_Growth_Model_ExAnte!$N$15:$N$81)/$L22)/($L22-1))),IF(COUNTIF(S14_Growth_Model_ExAnte!$AZ$15:$AZ$81,$C22)&gt;=2,SQRT(MAX(0,(SUMIF(S14_Growth_Model_ExAnte!$AZ$15:$AZ$81,$C22,S14_Growth_Model_ExAnte!$BF$15:$BF$81)-SUMIF(S14_Growth_Model_ExAnte!$AZ$15:$AZ$81,$C22,S14_Growth_Model_ExAnte!$N$15:$N$81)*SUMIF(S14_Growth_Model_ExAnte!$AZ$15:$AZ$81,$C22,S14_Growth_Model_ExAnte!$N$15:$N$81)/COUNTIF(S14_Growth_Model_ExAnte!$AZ$15:$AZ$81,$C22))/(COUNTIF(S14_Growth_Model_ExAnte!$AZ$15:$AZ$81,$C22)-1))),0)))</x:f>
        <x:v>23.585996062171414</x:v>
      </x:c>
      <x:c r="J22" s="115" t="n">
        <x:f aca="0">IFERROR(I22/H22,0)</x:f>
        <x:v>0.9410161810650761</x:v>
      </x:c>
      <x:c r="K22" s="115" t="n">
        <x:f aca="0">COUNTIF(S14_Growth_Model_ExAnte!$C$15:$C$81,$B22)</x:f>
        <x:v>1</x:v>
      </x:c>
      <x:c r="L22" s="115" t="n">
        <x:f aca="0">COUNTIF(S14_Growth_Model_ExAnte!$AY$15:$AY$81,$C22&amp;"|"&amp;$D22)</x:f>
        <x:v>6</x:v>
      </x:c>
      <x:c r="M22" s="115" t="n">
        <x:f aca="0">$H22</x:f>
        <x:v>25.064389472533758</x:v>
      </x:c>
      <x:c r="N22" s="115" t="n">
        <x:f aca="0">MAX(0,$M22*S08_Defaults!$B$5)</x:f>
        <x:v>18.798292104400318</x:v>
      </x:c>
      <x:c r="O22" s="115" t="n">
        <x:f aca="0">IFERROR($N22/$M22,0)</x:f>
        <x:v>0.75</x:v>
      </x:c>
      <x:c r="P22" s="115" t="str">
        <x:f aca="0">IF($K22&gt;=2,"Exact Stratum PSP Chapman-Richards curve",IF($L22&gt;=2,"Model×Density pooled Chapman-Richards curve","Model pooled Chapman-Richards curve"))</x:f>
        <x:v>Model×Density pooled Chapman-Richards curve</x:v>
      </x:c>
      <x:c r="Q22" s="162" t="s">
        <x:v>1106</x:v>
      </x:c>
      <x:c r="R22" s="115" t="n">
        <x:f aca="0">0</x:f>
        <x:v>0</x:v>
      </x:c>
      <x:c r="S22" s="115" t="n">
        <x:f aca="0">(IF($K22&gt;=2,SUMIF(S14_Growth_Model_ExAnte!$C$15:$C$81,$B22,S14_Growth_Model_ExAnte!$I$15:$I$81)/$K22,IF($L22&gt;=2,SUMIF(S14_Growth_Model_ExAnte!$AY$15:$AY$81,$C22&amp;"|"&amp;$D22,S14_Growth_Model_ExAnte!$I$15:$I$81)/$L22,IF(COUNTIF(S14_Growth_Model_ExAnte!$AZ$15:$AZ$81,$C22)&gt;0,SUMIF(S14_Growth_Model_ExAnte!$AZ$15:$AZ$81,$C22,S14_Growth_Model_ExAnte!$I$15:$I$81)/COUNTIF(S14_Growth_Model_ExAnte!$AZ$15:$AZ$81,$C22),0))))*$O22*S08_Defaults!$B$6*(1+S08_Defaults!$B$7)*S08_Defaults!$B$8</x:f>
        <x:v>0</x:v>
      </x:c>
      <x:c r="T22" s="115" t="n">
        <x:f aca="0">(IF($K22&gt;=2,SUMIF(S14_Growth_Model_ExAnte!$C$15:$C$81,$B22,S14_Growth_Model_ExAnte!$J$15:$J$81)/$K22,IF($L22&gt;=2,SUMIF(S14_Growth_Model_ExAnte!$AY$15:$AY$81,$C22&amp;"|"&amp;$D22,S14_Growth_Model_ExAnte!$J$15:$J$81)/$L22,IF(COUNTIF(S14_Growth_Model_ExAnte!$AZ$15:$AZ$81,$C22)&gt;0,SUMIF(S14_Growth_Model_ExAnte!$AZ$15:$AZ$81,$C22,S14_Growth_Model_ExAnte!$J$15:$J$81)/COUNTIF(S14_Growth_Model_ExAnte!$AZ$15:$AZ$81,$C22),0))))*$O22*S08_Defaults!$B$6*(1+S08_Defaults!$B$7)*S08_Defaults!$B$8</x:f>
        <x:v>0.2344008062162858</x:v>
      </x:c>
      <x:c r="U22" s="115" t="n">
        <x:f aca="0">(IF($K22&gt;=2,SUMIF(S14_Growth_Model_ExAnte!$C$15:$C$81,$B22,S14_Growth_Model_ExAnte!$K$15:$K$81)/$K22,IF($L22&gt;=2,SUMIF(S14_Growth_Model_ExAnte!$AY$15:$AY$81,$C22&amp;"|"&amp;$D22,S14_Growth_Model_ExAnte!$K$15:$K$81)/$L22,IF(COUNTIF(S14_Growth_Model_ExAnte!$AZ$15:$AZ$81,$C22)&gt;0,SUMIF(S14_Growth_Model_ExAnte!$AZ$15:$AZ$81,$C22,S14_Growth_Model_ExAnte!$K$15:$K$81)/COUNTIF(S14_Growth_Model_ExAnte!$AZ$15:$AZ$81,$C22),0))))*$O22*S08_Defaults!$B$6*(1+S08_Defaults!$B$7)*S08_Defaults!$B$8</x:f>
        <x:v>2.517183336362505</x:v>
      </x:c>
      <x:c r="V22" s="115" t="n">
        <x:f aca="0">(IF($K22&gt;=2,SUMIF(S14_Growth_Model_ExAnte!$C$15:$C$81,$B22,S14_Growth_Model_ExAnte!$L$15:$L$81)/$K22,IF($L22&gt;=2,SUMIF(S14_Growth_Model_ExAnte!$AY$15:$AY$81,$C22&amp;"|"&amp;$D22,S14_Growth_Model_ExAnte!$L$15:$L$81)/$L22,IF(COUNTIF(S14_Growth_Model_ExAnte!$AZ$15:$AZ$81,$C22)&gt;0,SUMIF(S14_Growth_Model_ExAnte!$AZ$15:$AZ$81,$C22,S14_Growth_Model_ExAnte!$L$15:$L$81)/COUNTIF(S14_Growth_Model_ExAnte!$AZ$15:$AZ$81,$C22),0))))*$O22*S08_Defaults!$B$6*(1+S08_Defaults!$B$7)*S08_Defaults!$B$8</x:f>
        <x:v>9.165851810634095</x:v>
      </x:c>
      <x:c r="W22" s="115" t="n">
        <x:f aca="0">(IF($K22&gt;=2,SUMIF(S14_Growth_Model_ExAnte!$C$15:$C$81,$B22,S14_Growth_Model_ExAnte!$M$15:$M$81)/$K22,IF($L22&gt;=2,SUMIF(S14_Growth_Model_ExAnte!$AY$15:$AY$81,$C22&amp;"|"&amp;$D22,S14_Growth_Model_ExAnte!$M$15:$M$81)/$L22,IF(COUNTIF(S14_Growth_Model_ExAnte!$AZ$15:$AZ$81,$C22)&gt;0,SUMIF(S14_Growth_Model_ExAnte!$AZ$15:$AZ$81,$C22,S14_Growth_Model_ExAnte!$M$15:$M$81)/COUNTIF(S14_Growth_Model_ExAnte!$AZ$15:$AZ$81,$C22),0))))*$O22*S08_Defaults!$B$6*(1+S08_Defaults!$B$7)*S08_Defaults!$B$8</x:f>
        <x:v>21.636662553735242</x:v>
      </x:c>
      <x:c r="X22" s="115" t="n">
        <x:f aca="0">(IF($K22&gt;=2,SUMIF(S14_Growth_Model_ExAnte!$C$15:$C$81,$B22,S14_Growth_Model_ExAnte!$N$15:$N$81)/$K22,IF($L22&gt;=2,SUMIF(S14_Growth_Model_ExAnte!$AY$15:$AY$81,$C22&amp;"|"&amp;$D22,S14_Growth_Model_ExAnte!$N$15:$N$81)/$L22,IF(COUNTIF(S14_Growth_Model_ExAnte!$AZ$15:$AZ$81,$C22)&gt;0,SUMIF(S14_Growth_Model_ExAnte!$AZ$15:$AZ$81,$C22,S14_Growth_Model_ExAnte!$N$15:$N$81)/COUNTIF(S14_Growth_Model_ExAnte!$AZ$15:$AZ$81,$C22),0))))*$O22*S08_Defaults!$B$6*(1+S08_Defaults!$B$7)*S08_Defaults!$B$8</x:f>
        <x:v>40.17069700762988</x:v>
      </x:c>
      <x:c r="Y22" s="115" t="n">
        <x:f aca="0">(IF($K22&gt;=2,SUMIF(S14_Growth_Model_ExAnte!$C$15:$C$81,$B22,S14_Growth_Model_ExAnte!$O$15:$O$81)/$K22,IF($L22&gt;=2,SUMIF(S14_Growth_Model_ExAnte!$AY$15:$AY$81,$C22&amp;"|"&amp;$D22,S14_Growth_Model_ExAnte!$O$15:$O$81)/$L22,IF(COUNTIF(S14_Growth_Model_ExAnte!$AZ$15:$AZ$81,$C22)&gt;0,SUMIF(S14_Growth_Model_ExAnte!$AZ$15:$AZ$81,$C22,S14_Growth_Model_ExAnte!$O$15:$O$81)/COUNTIF(S14_Growth_Model_ExAnte!$AZ$15:$AZ$81,$C22),0))))*$O22*S08_Defaults!$B$6*(1+S08_Defaults!$B$7)*S08_Defaults!$B$8</x:f>
        <x:v>64.21703043547409</x:v>
      </x:c>
      <x:c r="Z22" s="115" t="n">
        <x:f aca="0">(IF($K22&gt;=2,SUMIF(S14_Growth_Model_ExAnte!$C$15:$C$81,$B22,S14_Growth_Model_ExAnte!$P$15:$P$81)/$K22,IF($L22&gt;=2,SUMIF(S14_Growth_Model_ExAnte!$AY$15:$AY$81,$C22&amp;"|"&amp;$D22,S14_Growth_Model_ExAnte!$P$15:$P$81)/$L22,IF(COUNTIF(S14_Growth_Model_ExAnte!$AZ$15:$AZ$81,$C22)&gt;0,SUMIF(S14_Growth_Model_ExAnte!$AZ$15:$AZ$81,$C22,S14_Growth_Model_ExAnte!$P$15:$P$81)/COUNTIF(S14_Growth_Model_ExAnte!$AZ$15:$AZ$81,$C22),0))))*$O22*S08_Defaults!$B$6*(1+S08_Defaults!$B$7)*S08_Defaults!$B$8</x:f>
        <x:v>92.75946271580129</x:v>
      </x:c>
      <x:c r="AA22" s="115" t="n">
        <x:f aca="0">(IF($K22&gt;=2,SUMIF(S14_Growth_Model_ExAnte!$C$15:$C$81,$B22,S14_Growth_Model_ExAnte!$Q$15:$Q$81)/$K22,IF($L22&gt;=2,SUMIF(S14_Growth_Model_ExAnte!$AY$15:$AY$81,$C22&amp;"|"&amp;$D22,S14_Growth_Model_ExAnte!$Q$15:$Q$81)/$L22,IF(COUNTIF(S14_Growth_Model_ExAnte!$AZ$15:$AZ$81,$C22)&gt;0,SUMIF(S14_Growth_Model_ExAnte!$AZ$15:$AZ$81,$C22,S14_Growth_Model_ExAnte!$Q$15:$Q$81)/COUNTIF(S14_Growth_Model_ExAnte!$AZ$15:$AZ$81,$C22),0))))*$O22*S08_Defaults!$B$6*(1+S08_Defaults!$B$7)*S08_Defaults!$B$8</x:f>
        <x:v>124.59670457567152</x:v>
      </x:c>
      <x:c r="AB22" s="115" t="n">
        <x:f aca="0">(IF($K22&gt;=2,SUMIF(S14_Growth_Model_ExAnte!$C$15:$C$81,$B22,S14_Growth_Model_ExAnte!$R$15:$R$81)/$K22,IF($L22&gt;=2,SUMIF(S14_Growth_Model_ExAnte!$AY$15:$AY$81,$C22&amp;"|"&amp;$D22,S14_Growth_Model_ExAnte!$R$15:$R$81)/$L22,IF(COUNTIF(S14_Growth_Model_ExAnte!$AZ$15:$AZ$81,$C22)&gt;0,SUMIF(S14_Growth_Model_ExAnte!$AZ$15:$AZ$81,$C22,S14_Growth_Model_ExAnte!$R$15:$R$81)/COUNTIF(S14_Growth_Model_ExAnte!$AZ$15:$AZ$81,$C22),0))))*$O22*S08_Defaults!$B$6*(1+S08_Defaults!$B$7)*S08_Defaults!$B$8</x:f>
        <x:v>158.530937049188</x:v>
      </x:c>
      <x:c r="AC22" s="115" t="n">
        <x:f aca="0">(IF($K22&gt;=2,SUMIF(S14_Growth_Model_ExAnte!$C$15:$C$81,$B22,S14_Growth_Model_ExAnte!$S$15:$S$81)/$K22,IF($L22&gt;=2,SUMIF(S14_Growth_Model_ExAnte!$AY$15:$AY$81,$C22&amp;"|"&amp;$D22,S14_Growth_Model_ExAnte!$S$15:$S$81)/$L22,IF(COUNTIF(S14_Growth_Model_ExAnte!$AZ$15:$AZ$81,$C22)&gt;0,SUMIF(S14_Growth_Model_ExAnte!$AZ$15:$AZ$81,$C22,S14_Growth_Model_ExAnte!$S$15:$S$81)/COUNTIF(S14_Growth_Model_ExAnte!$AZ$15:$AZ$81,$C22),0))))*$O22*S08_Defaults!$B$6*(1+S08_Defaults!$B$7)*S08_Defaults!$B$8</x:f>
        <x:v>193.47828801682851</x:v>
      </x:c>
      <x:c r="AD22" s="115" t="n">
        <x:f aca="0">(IF($K22&gt;=2,SUMIF(S14_Growth_Model_ExAnte!$C$15:$C$81,$B22,S14_Growth_Model_ExAnte!$T$15:$T$81)/$K22,IF($L22&gt;=2,SUMIF(S14_Growth_Model_ExAnte!$AY$15:$AY$81,$C22&amp;"|"&amp;$D22,S14_Growth_Model_ExAnte!$T$15:$T$81)/$L22,IF(COUNTIF(S14_Growth_Model_ExAnte!$AZ$15:$AZ$81,$C22)&gt;0,SUMIF(S14_Growth_Model_ExAnte!$AZ$15:$AZ$81,$C22,S14_Growth_Model_ExAnte!$T$15:$T$81)/COUNTIF(S14_Growth_Model_ExAnte!$AZ$15:$AZ$81,$C22),0))))*$O22*S08_Defaults!$B$6*(1+S08_Defaults!$B$7)*S08_Defaults!$B$8</x:f>
        <x:v>228.52238232946212</x:v>
      </x:c>
      <x:c r="AE22" s="115" t="n">
        <x:f aca="0">(IF($K22&gt;=2,SUMIF(S14_Growth_Model_ExAnte!$C$15:$C$81,$B22,S14_Growth_Model_ExAnte!$U$15:$U$81)/$K22,IF($L22&gt;=2,SUMIF(S14_Growth_Model_ExAnte!$AY$15:$AY$81,$C22&amp;"|"&amp;$D22,S14_Growth_Model_ExAnte!$U$15:$U$81)/$L22,IF(COUNTIF(S14_Growth_Model_ExAnte!$AZ$15:$AZ$81,$C22)&gt;0,SUMIF(S14_Growth_Model_ExAnte!$AZ$15:$AZ$81,$C22,S14_Growth_Model_ExAnte!$U$15:$U$81)/COUNTIF(S14_Growth_Model_ExAnte!$AZ$15:$AZ$81,$C22),0))))*$O22*S08_Defaults!$B$6*(1+S08_Defaults!$B$7)*S08_Defaults!$B$8</x:f>
        <x:v>262.93034140034655</x:v>
      </x:c>
      <x:c r="AF22" s="115" t="n">
        <x:f aca="0">(IF($K22&gt;=2,SUMIF(S14_Growth_Model_ExAnte!$C$15:$C$81,$B22,S14_Growth_Model_ExAnte!$V$15:$V$81)/$K22,IF($L22&gt;=2,SUMIF(S14_Growth_Model_ExAnte!$AY$15:$AY$81,$C22&amp;"|"&amp;$D22,S14_Growth_Model_ExAnte!$V$15:$V$81)/$L22,IF(COUNTIF(S14_Growth_Model_ExAnte!$AZ$15:$AZ$81,$C22)&gt;0,SUMIF(S14_Growth_Model_ExAnte!$AZ$15:$AZ$81,$C22,S14_Growth_Model_ExAnte!$V$15:$V$81)/COUNTIF(S14_Growth_Model_ExAnte!$AZ$15:$AZ$81,$C22),0))))*$O22*S08_Defaults!$B$6*(1+S08_Defaults!$B$7)*S08_Defaults!$B$8</x:f>
        <x:v>296.14619367506015</x:v>
      </x:c>
      <x:c r="AG22" s="115" t="n">
        <x:f aca="0">(IF($K22&gt;=2,SUMIF(S14_Growth_Model_ExAnte!$C$15:$C$81,$B22,S14_Growth_Model_ExAnte!$W$15:$W$81)/$K22,IF($L22&gt;=2,SUMIF(S14_Growth_Model_ExAnte!$AY$15:$AY$81,$C22&amp;"|"&amp;$D22,S14_Growth_Model_ExAnte!$W$15:$W$81)/$L22,IF(COUNTIF(S14_Growth_Model_ExAnte!$AZ$15:$AZ$81,$C22)&gt;0,SUMIF(S14_Growth_Model_ExAnte!$AZ$15:$AZ$81,$C22,S14_Growth_Model_ExAnte!$W$15:$W$81)/COUNTIF(S14_Growth_Model_ExAnte!$AZ$15:$AZ$81,$C22),0))))*$O22*S08_Defaults!$B$6*(1+S08_Defaults!$B$7)*S08_Defaults!$B$8</x:f>
        <x:v>327.77222010466966</x:v>
      </x:c>
      <x:c r="AH22" s="115" t="n">
        <x:f aca="0">(IF($K22&gt;=2,SUMIF(S14_Growth_Model_ExAnte!$C$15:$C$81,$B22,S14_Growth_Model_ExAnte!$X$15:$X$81)/$K22,IF($L22&gt;=2,SUMIF(S14_Growth_Model_ExAnte!$AY$15:$AY$81,$C22&amp;"|"&amp;$D22,S14_Growth_Model_ExAnte!$X$15:$X$81)/$L22,IF(COUNTIF(S14_Growth_Model_ExAnte!$AZ$15:$AZ$81,$C22)&gt;0,SUMIF(S14_Growth_Model_ExAnte!$AZ$15:$AZ$81,$C22,S14_Growth_Model_ExAnte!$X$15:$X$81)/COUNTIF(S14_Growth_Model_ExAnte!$AZ$15:$AZ$81,$C22),0))))*$O22*S08_Defaults!$B$6*(1+S08_Defaults!$B$7)*S08_Defaults!$B$8</x:f>
        <x:v>357.5451434089246</x:v>
      </x:c>
      <x:c r="AI22" s="115" t="n">
        <x:f aca="0">(IF($K22&gt;=2,SUMIF(S14_Growth_Model_ExAnte!$C$15:$C$81,$B22,S14_Growth_Model_ExAnte!$Y$15:$Y$81)/$K22,IF($L22&gt;=2,SUMIF(S14_Growth_Model_ExAnte!$AY$15:$AY$81,$C22&amp;"|"&amp;$D22,S14_Growth_Model_ExAnte!$Y$15:$Y$81)/$L22,IF(COUNTIF(S14_Growth_Model_ExAnte!$AZ$15:$AZ$81,$C22)&gt;0,SUMIF(S14_Growth_Model_ExAnte!$AZ$15:$AZ$81,$C22,S14_Growth_Model_ExAnte!$Y$15:$Y$81)/COUNTIF(S14_Growth_Model_ExAnte!$AZ$15:$AZ$81,$C22),0))))*$O22*S08_Defaults!$B$6*(1+S08_Defaults!$B$7)*S08_Defaults!$B$8</x:f>
        <x:v>385.31140512164643</x:v>
      </x:c>
      <x:c r="AJ22" s="115" t="n">
        <x:f aca="0">(IF($K22&gt;=2,SUMIF(S14_Growth_Model_ExAnte!$C$15:$C$81,$B22,S14_Growth_Model_ExAnte!$Z$15:$Z$81)/$K22,IF($L22&gt;=2,SUMIF(S14_Growth_Model_ExAnte!$AY$15:$AY$81,$C22&amp;"|"&amp;$D22,S14_Growth_Model_ExAnte!$Z$15:$Z$81)/$L22,IF(COUNTIF(S14_Growth_Model_ExAnte!$AZ$15:$AZ$81,$C22)&gt;0,SUMIF(S14_Growth_Model_ExAnte!$AZ$15:$AZ$81,$C22,S14_Growth_Model_ExAnte!$Z$15:$Z$81)/COUNTIF(S14_Growth_Model_ExAnte!$AZ$15:$AZ$81,$C22),0))))*$O22*S08_Defaults!$B$6*(1+S08_Defaults!$B$7)*S08_Defaults!$B$8</x:f>
        <x:v>411.0039323904602</x:v>
      </x:c>
      <x:c r="AK22" s="115" t="n">
        <x:f aca="0">(IF($K22&gt;=2,SUMIF(S14_Growth_Model_ExAnte!$C$15:$C$81,$B22,S14_Growth_Model_ExAnte!$AA$15:$AA$81)/$K22,IF($L22&gt;=2,SUMIF(S14_Growth_Model_ExAnte!$AY$15:$AY$81,$C22&amp;"|"&amp;$D22,S14_Growth_Model_ExAnte!$AA$15:$AA$81)/$L22,IF(COUNTIF(S14_Growth_Model_ExAnte!$AZ$15:$AZ$81,$C22)&gt;0,SUMIF(S14_Growth_Model_ExAnte!$AZ$15:$AZ$81,$C22,S14_Growth_Model_ExAnte!$AA$15:$AA$81)/COUNTIF(S14_Growth_Model_ExAnte!$AZ$15:$AZ$81,$C22),0))))*$O22*S08_Defaults!$B$6*(1+S08_Defaults!$B$7)*S08_Defaults!$B$8</x:f>
        <x:v>434.6215869347765</x:v>
      </x:c>
      <x:c r="AL22" s="115" t="n">
        <x:f aca="0">(IF($K22&gt;=2,SUMIF(S14_Growth_Model_ExAnte!$C$15:$C$81,$B22,S14_Growth_Model_ExAnte!$AB$15:$AB$81)/$K22,IF($L22&gt;=2,SUMIF(S14_Growth_Model_ExAnte!$AY$15:$AY$81,$C22&amp;"|"&amp;$D22,S14_Growth_Model_ExAnte!$AB$15:$AB$81)/$L22,IF(COUNTIF(S14_Growth_Model_ExAnte!$AZ$15:$AZ$81,$C22)&gt;0,SUMIF(S14_Growth_Model_ExAnte!$AZ$15:$AZ$81,$C22,S14_Growth_Model_ExAnte!$AB$15:$AB$81)/COUNTIF(S14_Growth_Model_ExAnte!$AZ$15:$AZ$81,$C22),0))))*$O22*S08_Defaults!$B$6*(1+S08_Defaults!$B$7)*S08_Defaults!$B$8</x:f>
        <x:v>456.21173326317256</x:v>
      </x:c>
      <x:c r="AM22" s="115" t="n">
        <x:f aca="0">R22</x:f>
        <x:v>0</x:v>
      </x:c>
      <x:c r="AN22" s="115" t="n">
        <x:f aca="0">S22-R22</x:f>
        <x:v>0</x:v>
      </x:c>
      <x:c r="AO22" s="115" t="n">
        <x:f aca="0">T22-S22</x:f>
        <x:v>0.2344008062162858</x:v>
      </x:c>
      <x:c r="AP22" s="115" t="n">
        <x:f aca="0">U22-T22</x:f>
        <x:v>2.2827825301462195</x:v>
      </x:c>
      <x:c r="AQ22" s="115" t="n">
        <x:f aca="0">V22-U22</x:f>
        <x:v>6.64866847427159</x:v>
      </x:c>
      <x:c r="AR22" s="115" t="n">
        <x:f aca="0">W22-V22</x:f>
        <x:v>12.470810743101147</x:v>
      </x:c>
      <x:c r="AS22" s="115" t="n">
        <x:f aca="0">X22-W22</x:f>
        <x:v>18.53403445389464</x:v>
      </x:c>
      <x:c r="AT22" s="115" t="n">
        <x:f aca="0">Y22-X22</x:f>
        <x:v>24.046333427844203</x:v>
      </x:c>
      <x:c r="AU22" s="115" t="n">
        <x:f aca="0">Z22-Y22</x:f>
        <x:v>28.542432280327205</x:v>
      </x:c>
      <x:c r="AV22" s="115" t="n">
        <x:f aca="0">AA22-Z22</x:f>
        <x:v>31.837241859870232</x:v>
      </x:c>
      <x:c r="AW22" s="115" t="n">
        <x:f aca="0">AB22-AA22</x:f>
        <x:v>33.934232473516474</x:v>
      </x:c>
      <x:c r="AX22" s="115" t="n">
        <x:f aca="0">AC22-AB22</x:f>
        <x:v>34.94735096764052</x:v>
      </x:c>
      <x:c r="AY22" s="115" t="n">
        <x:f aca="0">AD22-AC22</x:f>
        <x:v>35.044094312633604</x:v>
      </x:c>
      <x:c r="AZ22" s="115" t="n">
        <x:f aca="0">AE22-AD22</x:f>
        <x:v>34.40795907088443</x:v>
      </x:c>
      <x:c r="BA22" s="115" t="n">
        <x:f aca="0">AF22-AE22</x:f>
        <x:v>33.2158522747136</x:v>
      </x:c>
      <x:c r="BB22" s="115" t="n">
        <x:f aca="0">AG22-AF22</x:f>
        <x:v>31.62602642960951</x:v>
      </x:c>
      <x:c r="BC22" s="115" t="n">
        <x:f aca="0">AH22-AG22</x:f>
        <x:v>29.77292330425496</x:v>
      </x:c>
      <x:c r="BD22" s="115" t="n">
        <x:f aca="0">AI22-AH22</x:f>
        <x:v>27.766261712721814</x:v>
      </x:c>
      <x:c r="BE22" s="115" t="n">
        <x:f aca="0">AJ22-AI22</x:f>
        <x:v>25.692527268813762</x:v>
      </x:c>
      <x:c r="BF22" s="115" t="n">
        <x:f aca="0">AK22-AJ22</x:f>
        <x:v>23.61765454431628</x:v>
      </x:c>
      <x:c r="BG22" s="115" t="n">
        <x:f aca="0">AL22-AK22</x:f>
        <x:v>21.590146328396088</x:v>
      </x:c>
    </x:row>
    <x:row r="23" ht="15" hidden="0" customHeight="1">
      <x:c r="A23" s="160" t="str">
        <x:f aca="0">"S"&amp;TEXT(ROW()-3,"00")</x:f>
        <x:v>S20</x:v>
      </x:c>
      <x:c r="B23" s="161" t="s">
        <x:v>1109</x:v>
      </x:c>
      <x:c r="C23" s="160" t="str">
        <x:f aca="0">LEFT($B23,FIND("|",$B23)-1)</x:f>
        <x:v>Fruit Orchard</x:v>
      </x:c>
      <x:c r="D23" s="160" t="str">
        <x:f aca="0">MID($B23,FIND("|",$B23)+1,FIND("|",$B23,FIND("|",$B23)+1)-FIND("|",$B23)-1)</x:f>
        <x:v>Low</x:v>
      </x:c>
      <x:c r="E23" s="160" t="n">
        <x:f aca="0">VALUE(RIGHT($B23,4))</x:f>
        <x:v>2021</x:v>
      </x:c>
      <x:c r="F23" s="115" t="n">
        <x:f aca="0">SUMIF(S17_Biome_Strata!$G$4:$G$95,$B23,S17_Biome_Strata!$E$4:$E$95)</x:f>
        <x:v>73</x:v>
      </x:c>
      <x:c r="G23" s="115" t="n">
        <x:f aca="0">SUMIF(S17_Biome_Strata!$G$4:$G$95,$B23,S17_Biome_Strata!$F$4:$F$95)</x:f>
        <x:v>81.1374195467422</x:v>
      </x:c>
      <x:c r="H23" s="115" t="n">
        <x:f aca="0">IF($K23&gt;=2,SUMIF(S14_Growth_Model_ExAnte!$C$15:$C$81,$B23,S14_Growth_Model_ExAnte!$N$15:$N$81)/$K23,IF($L23&gt;=2,SUMIF(S14_Growth_Model_ExAnte!$AY$15:$AY$81,$C23&amp;"|"&amp;$D23,S14_Growth_Model_ExAnte!$N$15:$N$81)/$L23,IF(COUNTIF(S14_Growth_Model_ExAnte!$AZ$15:$AZ$81,$C23)&gt;0,SUMIF(S14_Growth_Model_ExAnte!$AZ$15:$AZ$81,$C23,S14_Growth_Model_ExAnte!$N$15:$N$81)/COUNTIF(S14_Growth_Model_ExAnte!$AZ$15:$AZ$81,$C23),0)))</x:f>
        <x:v>5.4694179829244645</x:v>
      </x:c>
      <x:c r="I23" s="115" t="n">
        <x:f aca="0">IF($K23&gt;=2,SQRT(MAX(0,(SUMIF(S14_Growth_Model_ExAnte!$C$15:$C$81,$B23,S14_Growth_Model_ExAnte!$BF$15:$BF$81)-SUMIF(S14_Growth_Model_ExAnte!$C$15:$C$81,$B23,S14_Growth_Model_ExAnte!$N$15:$N$81)*SUMIF(S14_Growth_Model_ExAnte!$C$15:$C$81,$B23,S14_Growth_Model_ExAnte!$N$15:$N$81)/$K23)/($K23-1))),IF($L23&gt;=2,SQRT(MAX(0,(SUMIF(S14_Growth_Model_ExAnte!$AY$15:$AY$81,$C23&amp;"|"&amp;$D23,S14_Growth_Model_ExAnte!$BF$15:$BF$81)-SUMIF(S14_Growth_Model_ExAnte!$AY$15:$AY$81,$C23&amp;"|"&amp;$D23,S14_Growth_Model_ExAnte!$N$15:$N$81)*SUMIF(S14_Growth_Model_ExAnte!$AY$15:$AY$81,$C23&amp;"|"&amp;$D23,S14_Growth_Model_ExAnte!$N$15:$N$81)/$L23)/($L23-1))),IF(COUNTIF(S14_Growth_Model_ExAnte!$AZ$15:$AZ$81,$C23)&gt;=2,SQRT(MAX(0,(SUMIF(S14_Growth_Model_ExAnte!$AZ$15:$AZ$81,$C23,S14_Growth_Model_ExAnte!$BF$15:$BF$81)-SUMIF(S14_Growth_Model_ExAnte!$AZ$15:$AZ$81,$C23,S14_Growth_Model_ExAnte!$N$15:$N$81)*SUMIF(S14_Growth_Model_ExAnte!$AZ$15:$AZ$81,$C23,S14_Growth_Model_ExAnte!$N$15:$N$81)/COUNTIF(S14_Growth_Model_ExAnte!$AZ$15:$AZ$81,$C23))/(COUNTIF(S14_Growth_Model_ExAnte!$AZ$15:$AZ$81,$C23)-1))),0)))</x:f>
        <x:v>2.908001295267659</x:v>
      </x:c>
      <x:c r="J23" s="115" t="n">
        <x:f aca="0">IFERROR(I23/H23,0)</x:f>
        <x:v>0.5316838655130117</x:v>
      </x:c>
      <x:c r="K23" s="115" t="n">
        <x:f aca="0">COUNTIF(S14_Growth_Model_ExAnte!$C$15:$C$81,$B23)</x:f>
        <x:v>0</x:v>
      </x:c>
      <x:c r="L23" s="115" t="n">
        <x:f aca="0">COUNTIF(S14_Growth_Model_ExAnte!$AY$15:$AY$81,$C23&amp;"|"&amp;$D23)</x:f>
        <x:v>3</x:v>
      </x:c>
      <x:c r="M23" s="115" t="n">
        <x:f aca="0">$H23</x:f>
        <x:v>5.4694179829244645</x:v>
      </x:c>
      <x:c r="N23" s="115" t="n">
        <x:f aca="0">MAX(0,$M23*S08_Defaults!$B$5)</x:f>
        <x:v>4.102063487193348</x:v>
      </x:c>
      <x:c r="O23" s="115" t="n">
        <x:f aca="0">IFERROR($N23/$M23,0)</x:f>
        <x:v>0.75</x:v>
      </x:c>
      <x:c r="P23" s="115" t="str">
        <x:f aca="0">IF($K23&gt;=2,"Exact Stratum PSP Chapman-Richards curve",IF($L23&gt;=2,"Model×Density pooled Chapman-Richards curve","Model pooled Chapman-Richards curve"))</x:f>
        <x:v>Model×Density pooled Chapman-Richards curve</x:v>
      </x:c>
      <x:c r="Q23" s="162" t="s">
        <x:v>1106</x:v>
      </x:c>
      <x:c r="R23" s="115" t="n">
        <x:f aca="0">0</x:f>
        <x:v>0</x:v>
      </x:c>
      <x:c r="S23" s="115" t="n">
        <x:f aca="0">(IF($K23&gt;=2,SUMIF(S14_Growth_Model_ExAnte!$C$15:$C$81,$B23,S14_Growth_Model_ExAnte!$I$15:$I$81)/$K23,IF($L23&gt;=2,SUMIF(S14_Growth_Model_ExAnte!$AY$15:$AY$81,$C23&amp;"|"&amp;$D23,S14_Growth_Model_ExAnte!$I$15:$I$81)/$L23,IF(COUNTIF(S14_Growth_Model_ExAnte!$AZ$15:$AZ$81,$C23)&gt;0,SUMIF(S14_Growth_Model_ExAnte!$AZ$15:$AZ$81,$C23,S14_Growth_Model_ExAnte!$I$15:$I$81)/COUNTIF(S14_Growth_Model_ExAnte!$AZ$15:$AZ$81,$C23),0))))*$O23*S08_Defaults!$B$6*(1+S08_Defaults!$B$7)*S08_Defaults!$B$8</x:f>
        <x:v>0</x:v>
      </x:c>
      <x:c r="T23" s="115" t="n">
        <x:f aca="0">(IF($K23&gt;=2,SUMIF(S14_Growth_Model_ExAnte!$C$15:$C$81,$B23,S14_Growth_Model_ExAnte!$J$15:$J$81)/$K23,IF($L23&gt;=2,SUMIF(S14_Growth_Model_ExAnte!$AY$15:$AY$81,$C23&amp;"|"&amp;$D23,S14_Growth_Model_ExAnte!$J$15:$J$81)/$L23,IF(COUNTIF(S14_Growth_Model_ExAnte!$AZ$15:$AZ$81,$C23)&gt;0,SUMIF(S14_Growth_Model_ExAnte!$AZ$15:$AZ$81,$C23,S14_Growth_Model_ExAnte!$J$15:$J$81)/COUNTIF(S14_Growth_Model_ExAnte!$AZ$15:$AZ$81,$C23),0))))*$O23*S08_Defaults!$B$6*(1+S08_Defaults!$B$7)*S08_Defaults!$B$8</x:f>
        <x:v>0.041887249891712</x:v>
      </x:c>
      <x:c r="U23" s="115" t="n">
        <x:f aca="0">(IF($K23&gt;=2,SUMIF(S14_Growth_Model_ExAnte!$C$15:$C$81,$B23,S14_Growth_Model_ExAnte!$K$15:$K$81)/$K23,IF($L23&gt;=2,SUMIF(S14_Growth_Model_ExAnte!$AY$15:$AY$81,$C23&amp;"|"&amp;$D23,S14_Growth_Model_ExAnte!$K$15:$K$81)/$L23,IF(COUNTIF(S14_Growth_Model_ExAnte!$AZ$15:$AZ$81,$C23)&gt;0,SUMIF(S14_Growth_Model_ExAnte!$AZ$15:$AZ$81,$C23,S14_Growth_Model_ExAnte!$K$15:$K$81)/COUNTIF(S14_Growth_Model_ExAnte!$AZ$15:$AZ$81,$C23),0))))*$O23*S08_Defaults!$B$6*(1+S08_Defaults!$B$7)*S08_Defaults!$B$8</x:f>
        <x:v>0.5006911820948761</x:v>
      </x:c>
      <x:c r="V23" s="115" t="n">
        <x:f aca="0">(IF($K23&gt;=2,SUMIF(S14_Growth_Model_ExAnte!$C$15:$C$81,$B23,S14_Growth_Model_ExAnte!$L$15:$L$81)/$K23,IF($L23&gt;=2,SUMIF(S14_Growth_Model_ExAnte!$AY$15:$AY$81,$C23&amp;"|"&amp;$D23,S14_Growth_Model_ExAnte!$L$15:$L$81)/$L23,IF(COUNTIF(S14_Growth_Model_ExAnte!$AZ$15:$AZ$81,$C23)&gt;0,SUMIF(S14_Growth_Model_ExAnte!$AZ$15:$AZ$81,$C23,S14_Growth_Model_ExAnte!$L$15:$L$81)/COUNTIF(S14_Growth_Model_ExAnte!$AZ$15:$AZ$81,$C23),0))))*$O23*S08_Defaults!$B$6*(1+S08_Defaults!$B$7)*S08_Defaults!$B$8</x:f>
        <x:v>1.9160435894217756</x:v>
      </x:c>
      <x:c r="W23" s="115" t="n">
        <x:f aca="0">(IF($K23&gt;=2,SUMIF(S14_Growth_Model_ExAnte!$C$15:$C$81,$B23,S14_Growth_Model_ExAnte!$M$15:$M$81)/$K23,IF($L23&gt;=2,SUMIF(S14_Growth_Model_ExAnte!$AY$15:$AY$81,$C23&amp;"|"&amp;$D23,S14_Growth_Model_ExAnte!$M$15:$M$81)/$L23,IF(COUNTIF(S14_Growth_Model_ExAnte!$AZ$15:$AZ$81,$C23)&gt;0,SUMIF(S14_Growth_Model_ExAnte!$AZ$15:$AZ$81,$C23,S14_Growth_Model_ExAnte!$M$15:$M$81)/COUNTIF(S14_Growth_Model_ExAnte!$AZ$15:$AZ$81,$C23),0))))*$O23*S08_Defaults!$B$6*(1+S08_Defaults!$B$7)*S08_Defaults!$B$8</x:f>
        <x:v>4.648002141175279</x:v>
      </x:c>
      <x:c r="X23" s="115" t="n">
        <x:f aca="0">(IF($K23&gt;=2,SUMIF(S14_Growth_Model_ExAnte!$C$15:$C$81,$B23,S14_Growth_Model_ExAnte!$N$15:$N$81)/$K23,IF($L23&gt;=2,SUMIF(S14_Growth_Model_ExAnte!$AY$15:$AY$81,$C23&amp;"|"&amp;$D23,S14_Growth_Model_ExAnte!$N$15:$N$81)/$L23,IF(COUNTIF(S14_Growth_Model_ExAnte!$AZ$15:$AZ$81,$C23)&gt;0,SUMIF(S14_Growth_Model_ExAnte!$AZ$15:$AZ$81,$C23,S14_Growth_Model_ExAnte!$N$15:$N$81)/COUNTIF(S14_Growth_Model_ExAnte!$AZ$15:$AZ$81,$C23),0))))*$O23*S08_Defaults!$B$6*(1+S08_Defaults!$B$7)*S08_Defaults!$B$8</x:f>
        <x:v>8.765836201233046</x:v>
      </x:c>
      <x:c r="Y23" s="115" t="n">
        <x:f aca="0">(IF($K23&gt;=2,SUMIF(S14_Growth_Model_ExAnte!$C$15:$C$81,$B23,S14_Growth_Model_ExAnte!$O$15:$O$81)/$K23,IF($L23&gt;=2,SUMIF(S14_Growth_Model_ExAnte!$AY$15:$AY$81,$C23&amp;"|"&amp;$D23,S14_Growth_Model_ExAnte!$O$15:$O$81)/$L23,IF(COUNTIF(S14_Growth_Model_ExAnte!$AZ$15:$AZ$81,$C23)&gt;0,SUMIF(S14_Growth_Model_ExAnte!$AZ$15:$AZ$81,$C23,S14_Growth_Model_ExAnte!$O$15:$O$81)/COUNTIF(S14_Growth_Model_ExAnte!$AZ$15:$AZ$81,$C23),0))))*$O23*S08_Defaults!$B$6*(1+S08_Defaults!$B$7)*S08_Defaults!$B$8</x:f>
        <x:v>14.137731009696834</x:v>
      </x:c>
      <x:c r="Z23" s="115" t="n">
        <x:f aca="0">(IF($K23&gt;=2,SUMIF(S14_Growth_Model_ExAnte!$C$15:$C$81,$B23,S14_Growth_Model_ExAnte!$P$15:$P$81)/$K23,IF($L23&gt;=2,SUMIF(S14_Growth_Model_ExAnte!$AY$15:$AY$81,$C23&amp;"|"&amp;$D23,S14_Growth_Model_ExAnte!$P$15:$P$81)/$L23,IF(COUNTIF(S14_Growth_Model_ExAnte!$AZ$15:$AZ$81,$C23)&gt;0,SUMIF(S14_Growth_Model_ExAnte!$AZ$15:$AZ$81,$C23,S14_Growth_Model_ExAnte!$P$15:$P$81)/COUNTIF(S14_Growth_Model_ExAnte!$AZ$15:$AZ$81,$C23),0))))*$O23*S08_Defaults!$B$6*(1+S08_Defaults!$B$7)*S08_Defaults!$B$8</x:f>
        <x:v>20.514687829934044</x:v>
      </x:c>
      <x:c r="AA23" s="115" t="n">
        <x:f aca="0">(IF($K23&gt;=2,SUMIF(S14_Growth_Model_ExAnte!$C$15:$C$81,$B23,S14_Growth_Model_ExAnte!$Q$15:$Q$81)/$K23,IF($L23&gt;=2,SUMIF(S14_Growth_Model_ExAnte!$AY$15:$AY$81,$C23&amp;"|"&amp;$D23,S14_Growth_Model_ExAnte!$Q$15:$Q$81)/$L23,IF(COUNTIF(S14_Growth_Model_ExAnte!$AZ$15:$AZ$81,$C23)&gt;0,SUMIF(S14_Growth_Model_ExAnte!$AZ$15:$AZ$81,$C23,S14_Growth_Model_ExAnte!$Q$15:$Q$81)/COUNTIF(S14_Growth_Model_ExAnte!$AZ$15:$AZ$81,$C23),0))))*$O23*S08_Defaults!$B$6*(1+S08_Defaults!$B$7)*S08_Defaults!$B$8</x:f>
        <x:v>27.60358895515498</x:v>
      </x:c>
      <x:c r="AB23" s="115" t="n">
        <x:f aca="0">(IF($K23&gt;=2,SUMIF(S14_Growth_Model_ExAnte!$C$15:$C$81,$B23,S14_Growth_Model_ExAnte!$R$15:$R$81)/$K23,IF($L23&gt;=2,SUMIF(S14_Growth_Model_ExAnte!$AY$15:$AY$81,$C23&amp;"|"&amp;$D23,S14_Growth_Model_ExAnte!$R$15:$R$81)/$L23,IF(COUNTIF(S14_Growth_Model_ExAnte!$AZ$15:$AZ$81,$C23)&gt;0,SUMIF(S14_Growth_Model_ExAnte!$AZ$15:$AZ$81,$C23,S14_Growth_Model_ExAnte!$R$15:$R$81)/COUNTIF(S14_Growth_Model_ExAnte!$AZ$15:$AZ$81,$C23),0))))*$O23*S08_Defaults!$B$6*(1+S08_Defaults!$B$7)*S08_Defaults!$B$8</x:f>
        <x:v>35.11614902570361</x:v>
      </x:c>
      <x:c r="AC23" s="115" t="n">
        <x:f aca="0">(IF($K23&gt;=2,SUMIF(S14_Growth_Model_ExAnte!$C$15:$C$81,$B23,S14_Growth_Model_ExAnte!$S$15:$S$81)/$K23,IF($L23&gt;=2,SUMIF(S14_Growth_Model_ExAnte!$AY$15:$AY$81,$C23&amp;"|"&amp;$D23,S14_Growth_Model_ExAnte!$S$15:$S$81)/$L23,IF(COUNTIF(S14_Growth_Model_ExAnte!$AZ$15:$AZ$81,$C23)&gt;0,SUMIF(S14_Growth_Model_ExAnte!$AZ$15:$AZ$81,$C23,S14_Growth_Model_ExAnte!$S$15:$S$81)/COUNTIF(S14_Growth_Model_ExAnte!$AZ$15:$AZ$81,$C23),0))))*$O23*S08_Defaults!$B$6*(1+S08_Defaults!$B$7)*S08_Defaults!$B$8</x:f>
        <x:v>42.796694831673534</x:v>
      </x:c>
      <x:c r="AD23" s="115" t="n">
        <x:f aca="0">(IF($K23&gt;=2,SUMIF(S14_Growth_Model_ExAnte!$C$15:$C$81,$B23,S14_Growth_Model_ExAnte!$T$15:$T$81)/$K23,IF($L23&gt;=2,SUMIF(S14_Growth_Model_ExAnte!$AY$15:$AY$81,$C23&amp;"|"&amp;$D23,S14_Growth_Model_ExAnte!$T$15:$T$81)/$L23,IF(COUNTIF(S14_Growth_Model_ExAnte!$AZ$15:$AZ$81,$C23)&gt;0,SUMIF(S14_Growth_Model_ExAnte!$AZ$15:$AZ$81,$C23,S14_Growth_Model_ExAnte!$T$15:$T$81)/COUNTIF(S14_Growth_Model_ExAnte!$AZ$15:$AZ$81,$C23),0))))*$O23*S08_Defaults!$B$6*(1+S08_Defaults!$B$7)*S08_Defaults!$B$8</x:f>
        <x:v>50.43458352773399</x:v>
      </x:c>
      <x:c r="AE23" s="115" t="n">
        <x:f aca="0">(IF($K23&gt;=2,SUMIF(S14_Growth_Model_ExAnte!$C$15:$C$81,$B23,S14_Growth_Model_ExAnte!$U$15:$U$81)/$K23,IF($L23&gt;=2,SUMIF(S14_Growth_Model_ExAnte!$AY$15:$AY$81,$C23&amp;"|"&amp;$D23,S14_Growth_Model_ExAnte!$U$15:$U$81)/$L23,IF(COUNTIF(S14_Growth_Model_ExAnte!$AZ$15:$AZ$81,$C23)&gt;0,SUMIF(S14_Growth_Model_ExAnte!$AZ$15:$AZ$81,$C23,S14_Growth_Model_ExAnte!$U$15:$U$81)/COUNTIF(S14_Growth_Model_ExAnte!$AZ$15:$AZ$81,$C23),0))))*$O23*S08_Defaults!$B$6*(1+S08_Defaults!$B$7)*S08_Defaults!$B$8</x:f>
        <x:v>57.8667406233523</x:v>
      </x:c>
      <x:c r="AF23" s="115" t="n">
        <x:f aca="0">(IF($K23&gt;=2,SUMIF(S14_Growth_Model_ExAnte!$C$15:$C$81,$B23,S14_Growth_Model_ExAnte!$V$15:$V$81)/$K23,IF($L23&gt;=2,SUMIF(S14_Growth_Model_ExAnte!$AY$15:$AY$81,$C23&amp;"|"&amp;$D23,S14_Growth_Model_ExAnte!$V$15:$V$81)/$L23,IF(COUNTIF(S14_Growth_Model_ExAnte!$AZ$15:$AZ$81,$C23)&gt;0,SUMIF(S14_Growth_Model_ExAnte!$AZ$15:$AZ$81,$C23,S14_Growth_Model_ExAnte!$V$15:$V$81)/COUNTIF(S14_Growth_Model_ExAnte!$AZ$15:$AZ$81,$C23),0))))*$O23*S08_Defaults!$B$6*(1+S08_Defaults!$B$7)*S08_Defaults!$B$8</x:f>
        <x:v>64.97452870620393</x:v>
      </x:c>
      <x:c r="AG23" s="115" t="n">
        <x:f aca="0">(IF($K23&gt;=2,SUMIF(S14_Growth_Model_ExAnte!$C$15:$C$81,$B23,S14_Growth_Model_ExAnte!$W$15:$W$81)/$K23,IF($L23&gt;=2,SUMIF(S14_Growth_Model_ExAnte!$AY$15:$AY$81,$C23&amp;"|"&amp;$D23,S14_Growth_Model_ExAnte!$W$15:$W$81)/$L23,IF(COUNTIF(S14_Growth_Model_ExAnte!$AZ$15:$AZ$81,$C23)&gt;0,SUMIF(S14_Growth_Model_ExAnte!$AZ$15:$AZ$81,$C23,S14_Growth_Model_ExAnte!$W$15:$W$81)/COUNTIF(S14_Growth_Model_ExAnte!$AZ$15:$AZ$81,$C23),0))))*$O23*S08_Defaults!$B$6*(1+S08_Defaults!$B$7)*S08_Defaults!$B$8</x:f>
        <x:v>71.67784329965413</x:v>
      </x:c>
      <x:c r="AH23" s="115" t="n">
        <x:f aca="0">(IF($K23&gt;=2,SUMIF(S14_Growth_Model_ExAnte!$C$15:$C$81,$B23,S14_Growth_Model_ExAnte!$X$15:$X$81)/$K23,IF($L23&gt;=2,SUMIF(S14_Growth_Model_ExAnte!$AY$15:$AY$81,$C23&amp;"|"&amp;$D23,S14_Growth_Model_ExAnte!$X$15:$X$81)/$L23,IF(COUNTIF(S14_Growth_Model_ExAnte!$AZ$15:$AZ$81,$C23)&gt;0,SUMIF(S14_Growth_Model_ExAnte!$AZ$15:$AZ$81,$C23,S14_Growth_Model_ExAnte!$X$15:$X$81)/COUNTIF(S14_Growth_Model_ExAnte!$AZ$15:$AZ$81,$C23),0))))*$O23*S08_Defaults!$B$6*(1+S08_Defaults!$B$7)*S08_Defaults!$B$8</x:f>
        <x:v>77.92826810156097</x:v>
      </x:c>
      <x:c r="AI23" s="115" t="n">
        <x:f aca="0">(IF($K23&gt;=2,SUMIF(S14_Growth_Model_ExAnte!$C$15:$C$81,$B23,S14_Growth_Model_ExAnte!$Y$15:$Y$81)/$K23,IF($L23&gt;=2,SUMIF(S14_Growth_Model_ExAnte!$AY$15:$AY$81,$C23&amp;"|"&amp;$D23,S14_Growth_Model_ExAnte!$Y$15:$Y$81)/$L23,IF(COUNTIF(S14_Growth_Model_ExAnte!$AZ$15:$AZ$81,$C23)&gt;0,SUMIF(S14_Growth_Model_ExAnte!$AZ$15:$AZ$81,$C23,S14_Growth_Model_ExAnte!$Y$15:$Y$81)/COUNTIF(S14_Growth_Model_ExAnte!$AZ$15:$AZ$81,$C23),0))))*$O23*S08_Defaults!$B$6*(1+S08_Defaults!$B$7)*S08_Defaults!$B$8</x:f>
        <x:v>83.70235418006737</x:v>
      </x:c>
      <x:c r="AJ23" s="115" t="n">
        <x:f aca="0">(IF($K23&gt;=2,SUMIF(S14_Growth_Model_ExAnte!$C$15:$C$81,$B23,S14_Growth_Model_ExAnte!$Z$15:$Z$81)/$K23,IF($L23&gt;=2,SUMIF(S14_Growth_Model_ExAnte!$AY$15:$AY$81,$C23&amp;"|"&amp;$D23,S14_Growth_Model_ExAnte!$Z$15:$Z$81)/$L23,IF(COUNTIF(S14_Growth_Model_ExAnte!$AZ$15:$AZ$81,$C23)&gt;0,SUMIF(S14_Growth_Model_ExAnte!$AZ$15:$AZ$81,$C23,S14_Growth_Model_ExAnte!$Z$15:$Z$81)/COUNTIF(S14_Growth_Model_ExAnte!$AZ$15:$AZ$81,$C23),0))))*$O23*S08_Defaults!$B$6*(1+S08_Defaults!$B$7)*S08_Defaults!$B$8</x:f>
        <x:v>88.99557408183094</x:v>
      </x:c>
      <x:c r="AK23" s="115" t="n">
        <x:f aca="0">(IF($K23&gt;=2,SUMIF(S14_Growth_Model_ExAnte!$C$15:$C$81,$B23,S14_Growth_Model_ExAnte!$AA$15:$AA$81)/$K23,IF($L23&gt;=2,SUMIF(S14_Growth_Model_ExAnte!$AY$15:$AY$81,$C23&amp;"|"&amp;$D23,S14_Growth_Model_ExAnte!$AA$15:$AA$81)/$L23,IF(COUNTIF(S14_Growth_Model_ExAnte!$AZ$15:$AZ$81,$C23)&gt;0,SUMIF(S14_Growth_Model_ExAnte!$AZ$15:$AZ$81,$C23,S14_Growth_Model_ExAnte!$AA$15:$AA$81)/COUNTIF(S14_Growth_Model_ExAnte!$AZ$15:$AZ$81,$C23),0))))*$O23*S08_Defaults!$B$6*(1+S08_Defaults!$B$7)*S08_Defaults!$B$8</x:f>
        <x:v>93.81717915983346</x:v>
      </x:c>
      <x:c r="AL23" s="115" t="n">
        <x:f aca="0">(IF($K23&gt;=2,SUMIF(S14_Growth_Model_ExAnte!$C$15:$C$81,$B23,S14_Growth_Model_ExAnte!$AB$15:$AB$81)/$K23,IF($L23&gt;=2,SUMIF(S14_Growth_Model_ExAnte!$AY$15:$AY$81,$C23&amp;"|"&amp;$D23,S14_Growth_Model_ExAnte!$AB$15:$AB$81)/$L23,IF(COUNTIF(S14_Growth_Model_ExAnte!$AZ$15:$AZ$81,$C23)&gt;0,SUMIF(S14_Growth_Model_ExAnte!$AZ$15:$AZ$81,$C23,S14_Growth_Model_ExAnte!$AB$15:$AB$81)/COUNTIF(S14_Growth_Model_ExAnte!$AZ$15:$AZ$81,$C23),0))))*$O23*S08_Defaults!$B$6*(1+S08_Defaults!$B$7)*S08_Defaults!$B$8</x:f>
        <x:v>98.18599878326182</x:v>
      </x:c>
      <x:c r="AM23" s="115" t="n">
        <x:f aca="0">R23</x:f>
        <x:v>0</x:v>
      </x:c>
      <x:c r="AN23" s="115" t="n">
        <x:f aca="0">S23-R23</x:f>
        <x:v>0</x:v>
      </x:c>
      <x:c r="AO23" s="115" t="n">
        <x:f aca="0">T23-S23</x:f>
        <x:v>0.041887249891712</x:v>
      </x:c>
      <x:c r="AP23" s="115" t="n">
        <x:f aca="0">U23-T23</x:f>
        <x:v>0.45880393220316407</x:v>
      </x:c>
      <x:c r="AQ23" s="115" t="n">
        <x:f aca="0">V23-U23</x:f>
        <x:v>1.4153524073268995</x:v>
      </x:c>
      <x:c r="AR23" s="115" t="n">
        <x:f aca="0">W23-V23</x:f>
        <x:v>2.731958551753504</x:v>
      </x:c>
      <x:c r="AS23" s="115" t="n">
        <x:f aca="0">X23-W23</x:f>
        <x:v>4.117834060057767</x:v>
      </x:c>
      <x:c r="AT23" s="115" t="n">
        <x:f aca="0">Y23-X23</x:f>
        <x:v>5.371894808463788</x:v>
      </x:c>
      <x:c r="AU23" s="115" t="n">
        <x:f aca="0">Z23-Y23</x:f>
        <x:v>6.3769568202372096</x:v>
      </x:c>
      <x:c r="AV23" s="115" t="n">
        <x:f aca="0">AA23-Z23</x:f>
        <x:v>7.088901125220936</x:v>
      </x:c>
      <x:c r="AW23" s="115" t="n">
        <x:f aca="0">AB23-AA23</x:f>
        <x:v>7.512560070548634</x:v>
      </x:c>
      <x:c r="AX23" s="115" t="n">
        <x:f aca="0">AC23-AB23</x:f>
        <x:v>7.6805458059699205</x:v>
      </x:c>
      <x:c r="AY23" s="115" t="n">
        <x:f aca="0">AD23-AC23</x:f>
        <x:v>7.6378886960604575</x:v>
      </x:c>
      <x:c r="AZ23" s="115" t="n">
        <x:f aca="0">AE23-AD23</x:f>
        <x:v>7.432157095618308</x:v>
      </x:c>
      <x:c r="BA23" s="115" t="n">
        <x:f aca="0">AF23-AE23</x:f>
        <x:v>7.107788082851627</x:v>
      </x:c>
      <x:c r="BB23" s="115" t="n">
        <x:f aca="0">AG23-AF23</x:f>
        <x:v>6.703314593450202</x:v>
      </x:c>
      <x:c r="BC23" s="115" t="n">
        <x:f aca="0">AH23-AG23</x:f>
        <x:v>6.250424801906846</x:v>
      </x:c>
      <x:c r="BD23" s="115" t="n">
        <x:f aca="0">AI23-AH23</x:f>
        <x:v>5.7740860785064</x:v>
      </x:c>
      <x:c r="BE23" s="115" t="n">
        <x:f aca="0">AJ23-AI23</x:f>
        <x:v>5.293219901763564</x:v>
      </x:c>
      <x:c r="BF23" s="115" t="n">
        <x:f aca="0">AK23-AJ23</x:f>
        <x:v>4.82160507800252</x:v>
      </x:c>
      <x:c r="BG23" s="115" t="n">
        <x:f aca="0">AL23-AK23</x:f>
        <x:v>4.368819623428365</x:v>
      </x:c>
    </x:row>
    <x:row r="24" ht="15" hidden="0" customHeight="1">
      <x:c r="A24" s="160" t="str">
        <x:f aca="0">"S"&amp;TEXT(ROW()-3,"00")</x:f>
        <x:v>S21</x:v>
      </x:c>
      <x:c r="B24" s="161" t="s">
        <x:v>1110</x:v>
      </x:c>
      <x:c r="C24" s="160" t="str">
        <x:f aca="0">LEFT($B24,FIND("|",$B24)-1)</x:f>
        <x:v>Timber Plantation</x:v>
      </x:c>
      <x:c r="D24" s="160" t="str">
        <x:f aca="0">MID($B24,FIND("|",$B24)+1,FIND("|",$B24,FIND("|",$B24)+1)-FIND("|",$B24)-1)</x:f>
        <x:v>High</x:v>
      </x:c>
      <x:c r="E24" s="160" t="n">
        <x:f aca="0">VALUE(RIGHT($B24,4))</x:f>
        <x:v>2021</x:v>
      </x:c>
      <x:c r="F24" s="115" t="n">
        <x:f aca="0">SUMIF(S17_Biome_Strata!$G$4:$G$95,$B24,S17_Biome_Strata!$E$4:$E$95)</x:f>
        <x:v>4</x:v>
      </x:c>
      <x:c r="G24" s="115" t="n">
        <x:f aca="0">SUMIF(S17_Biome_Strata!$G$4:$G$95,$B24,S17_Biome_Strata!$F$4:$F$95)</x:f>
        <x:v>0.7131</x:v>
      </x:c>
      <x:c r="H24" s="115" t="n">
        <x:f aca="0">IF($K24&gt;=2,SUMIF(S14_Growth_Model_ExAnte!$C$15:$C$81,$B24,S14_Growth_Model_ExAnte!$N$15:$N$81)/$K24,IF($L24&gt;=2,SUMIF(S14_Growth_Model_ExAnte!$AY$15:$AY$81,$C24&amp;"|"&amp;$D24,S14_Growth_Model_ExAnte!$N$15:$N$81)/$L24,IF(COUNTIF(S14_Growth_Model_ExAnte!$AZ$15:$AZ$81,$C24)&gt;0,SUMIF(S14_Growth_Model_ExAnte!$AZ$15:$AZ$81,$C24,S14_Growth_Model_ExAnte!$N$15:$N$81)/COUNTIF(S14_Growth_Model_ExAnte!$AZ$15:$AZ$81,$C24),0)))</x:f>
        <x:v>685.8453525655714</x:v>
      </x:c>
      <x:c r="I24" s="115" t="n">
        <x:f aca="0">IF($K24&gt;=2,SQRT(MAX(0,(SUMIF(S14_Growth_Model_ExAnte!$C$15:$C$81,$B24,S14_Growth_Model_ExAnte!$BF$15:$BF$81)-SUMIF(S14_Growth_Model_ExAnte!$C$15:$C$81,$B24,S14_Growth_Model_ExAnte!$N$15:$N$81)*SUMIF(S14_Growth_Model_ExAnte!$C$15:$C$81,$B24,S14_Growth_Model_ExAnte!$N$15:$N$81)/$K24)/($K24-1))),IF($L24&gt;=2,SQRT(MAX(0,(SUMIF(S14_Growth_Model_ExAnte!$AY$15:$AY$81,$C24&amp;"|"&amp;$D24,S14_Growth_Model_ExAnte!$BF$15:$BF$81)-SUMIF(S14_Growth_Model_ExAnte!$AY$15:$AY$81,$C24&amp;"|"&amp;$D24,S14_Growth_Model_ExAnte!$N$15:$N$81)*SUMIF(S14_Growth_Model_ExAnte!$AY$15:$AY$81,$C24&amp;"|"&amp;$D24,S14_Growth_Model_ExAnte!$N$15:$N$81)/$L24)/($L24-1))),IF(COUNTIF(S14_Growth_Model_ExAnte!$AZ$15:$AZ$81,$C24)&gt;=2,SQRT(MAX(0,(SUMIF(S14_Growth_Model_ExAnte!$AZ$15:$AZ$81,$C24,S14_Growth_Model_ExAnte!$BF$15:$BF$81)-SUMIF(S14_Growth_Model_ExAnte!$AZ$15:$AZ$81,$C24,S14_Growth_Model_ExAnte!$N$15:$N$81)*SUMIF(S14_Growth_Model_ExAnte!$AZ$15:$AZ$81,$C24,S14_Growth_Model_ExAnte!$N$15:$N$81)/COUNTIF(S14_Growth_Model_ExAnte!$AZ$15:$AZ$81,$C24))/(COUNTIF(S14_Growth_Model_ExAnte!$AZ$15:$AZ$81,$C24)-1))),0)))</x:f>
        <x:v>387.24816452392207</x:v>
      </x:c>
      <x:c r="J24" s="115" t="n">
        <x:f aca="0">IFERROR(I24/H24,0)</x:f>
        <x:v>0.5646289838887529</x:v>
      </x:c>
      <x:c r="K24" s="115" t="n">
        <x:f aca="0">COUNTIF(S14_Growth_Model_ExAnte!$C$15:$C$81,$B24)</x:f>
        <x:v>0</x:v>
      </x:c>
      <x:c r="L24" s="115" t="n">
        <x:f aca="0">COUNTIF(S14_Growth_Model_ExAnte!$AY$15:$AY$81,$C24&amp;"|"&amp;$D24)</x:f>
        <x:v>8</x:v>
      </x:c>
      <x:c r="M24" s="115" t="n">
        <x:f aca="0">$H24</x:f>
        <x:v>685.8453525655714</x:v>
      </x:c>
      <x:c r="N24" s="115" t="n">
        <x:f aca="0">MAX(0,$M24*S08_Defaults!$B$5)</x:f>
        <x:v>514.3840144241785</x:v>
      </x:c>
      <x:c r="O24" s="115" t="n">
        <x:f aca="0">IFERROR($N24/$M24,0)</x:f>
        <x:v>0.75</x:v>
      </x:c>
      <x:c r="P24" s="115" t="str">
        <x:f aca="0">IF($K24&gt;=2,"Exact Stratum PSP Chapman-Richards curve",IF($L24&gt;=2,"Model×Density pooled Chapman-Richards curve","Model pooled Chapman-Richards curve"))</x:f>
        <x:v>Model×Density pooled Chapman-Richards curve</x:v>
      </x:c>
      <x:c r="Q24" s="162" t="s">
        <x:v>1106</x:v>
      </x:c>
      <x:c r="R24" s="115" t="n">
        <x:f aca="0">0</x:f>
        <x:v>0</x:v>
      </x:c>
      <x:c r="S24" s="115" t="n">
        <x:f aca="0">(IF($K24&gt;=2,SUMIF(S14_Growth_Model_ExAnte!$C$15:$C$81,$B24,S14_Growth_Model_ExAnte!$I$15:$I$81)/$K24,IF($L24&gt;=2,SUMIF(S14_Growth_Model_ExAnte!$AY$15:$AY$81,$C24&amp;"|"&amp;$D24,S14_Growth_Model_ExAnte!$I$15:$I$81)/$L24,IF(COUNTIF(S14_Growth_Model_ExAnte!$AZ$15:$AZ$81,$C24)&gt;0,SUMIF(S14_Growth_Model_ExAnte!$AZ$15:$AZ$81,$C24,S14_Growth_Model_ExAnte!$I$15:$I$81)/COUNTIF(S14_Growth_Model_ExAnte!$AZ$15:$AZ$81,$C24),0))))*$O24*S08_Defaults!$B$6*(1+S08_Defaults!$B$7)*S08_Defaults!$B$8</x:f>
        <x:v>0</x:v>
      </x:c>
      <x:c r="T24" s="115" t="n">
        <x:f aca="0">(IF($K24&gt;=2,SUMIF(S14_Growth_Model_ExAnte!$C$15:$C$81,$B24,S14_Growth_Model_ExAnte!$J$15:$J$81)/$K24,IF($L24&gt;=2,SUMIF(S14_Growth_Model_ExAnte!$AY$15:$AY$81,$C24&amp;"|"&amp;$D24,S14_Growth_Model_ExAnte!$J$15:$J$81)/$L24,IF(COUNTIF(S14_Growth_Model_ExAnte!$AZ$15:$AZ$81,$C24)&gt;0,SUMIF(S14_Growth_Model_ExAnte!$AZ$15:$AZ$81,$C24,S14_Growth_Model_ExAnte!$J$15:$J$81)/COUNTIF(S14_Growth_Model_ExAnte!$AZ$15:$AZ$81,$C24),0))))*$O24*S08_Defaults!$B$6*(1+S08_Defaults!$B$7)*S08_Defaults!$B$8</x:f>
        <x:v>9.46686943239219</x:v>
      </x:c>
      <x:c r="U24" s="115" t="n">
        <x:f aca="0">(IF($K24&gt;=2,SUMIF(S14_Growth_Model_ExAnte!$C$15:$C$81,$B24,S14_Growth_Model_ExAnte!$K$15:$K$81)/$K24,IF($L24&gt;=2,SUMIF(S14_Growth_Model_ExAnte!$AY$15:$AY$81,$C24&amp;"|"&amp;$D24,S14_Growth_Model_ExAnte!$K$15:$K$81)/$L24,IF(COUNTIF(S14_Growth_Model_ExAnte!$AZ$15:$AZ$81,$C24)&gt;0,SUMIF(S14_Growth_Model_ExAnte!$AZ$15:$AZ$81,$C24,S14_Growth_Model_ExAnte!$K$15:$K$81)/COUNTIF(S14_Growth_Model_ExAnte!$AZ$15:$AZ$81,$C24),0))))*$O24*S08_Defaults!$B$6*(1+S08_Defaults!$B$7)*S08_Defaults!$B$8</x:f>
        <x:v>88.93077941101656</x:v>
      </x:c>
      <x:c r="V24" s="115" t="n">
        <x:f aca="0">(IF($K24&gt;=2,SUMIF(S14_Growth_Model_ExAnte!$C$15:$C$81,$B24,S14_Growth_Model_ExAnte!$L$15:$L$81)/$K24,IF($L24&gt;=2,SUMIF(S14_Growth_Model_ExAnte!$AY$15:$AY$81,$C24&amp;"|"&amp;$D24,S14_Growth_Model_ExAnte!$L$15:$L$81)/$L24,IF(COUNTIF(S14_Growth_Model_ExAnte!$AZ$15:$AZ$81,$C24)&gt;0,SUMIF(S14_Growth_Model_ExAnte!$AZ$15:$AZ$81,$C24,S14_Growth_Model_ExAnte!$L$15:$L$81)/COUNTIF(S14_Growth_Model_ExAnte!$AZ$15:$AZ$81,$C24),0))))*$O24*S08_Defaults!$B$6*(1+S08_Defaults!$B$7)*S08_Defaults!$B$8</x:f>
        <x:v>293.1760262106486</x:v>
      </x:c>
      <x:c r="W24" s="115" t="n">
        <x:f aca="0">(IF($K24&gt;=2,SUMIF(S14_Growth_Model_ExAnte!$C$15:$C$81,$B24,S14_Growth_Model_ExAnte!$M$15:$M$81)/$K24,IF($L24&gt;=2,SUMIF(S14_Growth_Model_ExAnte!$AY$15:$AY$81,$C24&amp;"|"&amp;$D24,S14_Growth_Model_ExAnte!$M$15:$M$81)/$L24,IF(COUNTIF(S14_Growth_Model_ExAnte!$AZ$15:$AZ$81,$C24)&gt;0,SUMIF(S14_Growth_Model_ExAnte!$AZ$15:$AZ$81,$C24,S14_Growth_Model_ExAnte!$M$15:$M$81)/COUNTIF(S14_Growth_Model_ExAnte!$AZ$15:$AZ$81,$C24),0))))*$O24*S08_Defaults!$B$6*(1+S08_Defaults!$B$7)*S08_Defaults!$B$8</x:f>
        <x:v>636.828115363571</x:v>
      </x:c>
      <x:c r="X24" s="115" t="n">
        <x:f aca="0">(IF($K24&gt;=2,SUMIF(S14_Growth_Model_ExAnte!$C$15:$C$81,$B24,S14_Growth_Model_ExAnte!$N$15:$N$81)/$K24,IF($L24&gt;=2,SUMIF(S14_Growth_Model_ExAnte!$AY$15:$AY$81,$C24&amp;"|"&amp;$D24,S14_Growth_Model_ExAnte!$N$15:$N$81)/$L24,IF(COUNTIF(S14_Growth_Model_ExAnte!$AZ$15:$AZ$81,$C24)&gt;0,SUMIF(S14_Growth_Model_ExAnte!$AZ$15:$AZ$81,$C24,S14_Growth_Model_ExAnte!$N$15:$N$81)/COUNTIF(S14_Growth_Model_ExAnte!$AZ$15:$AZ$81,$C24),0))))*$O24*S08_Defaults!$B$6*(1+S08_Defaults!$B$7)*S08_Defaults!$B$8</x:f>
        <x:v>1099.2043465568422</x:v>
      </x:c>
      <x:c r="Y24" s="115" t="n">
        <x:f aca="0">(IF($K24&gt;=2,SUMIF(S14_Growth_Model_ExAnte!$C$15:$C$81,$B24,S14_Growth_Model_ExAnte!$O$15:$O$81)/$K24,IF($L24&gt;=2,SUMIF(S14_Growth_Model_ExAnte!$AY$15:$AY$81,$C24&amp;"|"&amp;$D24,S14_Growth_Model_ExAnte!$O$15:$O$81)/$L24,IF(COUNTIF(S14_Growth_Model_ExAnte!$AZ$15:$AZ$81,$C24)&gt;0,SUMIF(S14_Growth_Model_ExAnte!$AZ$15:$AZ$81,$C24,S14_Growth_Model_ExAnte!$O$15:$O$81)/COUNTIF(S14_Growth_Model_ExAnte!$AZ$15:$AZ$81,$C24),0))))*$O24*S08_Defaults!$B$6*(1+S08_Defaults!$B$7)*S08_Defaults!$B$8</x:f>
        <x:v>1646.0056798579817</x:v>
      </x:c>
      <x:c r="Z24" s="115" t="n">
        <x:f aca="0">(IF($K24&gt;=2,SUMIF(S14_Growth_Model_ExAnte!$C$15:$C$81,$B24,S14_Growth_Model_ExAnte!$P$15:$P$81)/$K24,IF($L24&gt;=2,SUMIF(S14_Growth_Model_ExAnte!$AY$15:$AY$81,$C24&amp;"|"&amp;$D24,S14_Growth_Model_ExAnte!$P$15:$P$81)/$L24,IF(COUNTIF(S14_Growth_Model_ExAnte!$AZ$15:$AZ$81,$C24)&gt;0,SUMIF(S14_Growth_Model_ExAnte!$AZ$15:$AZ$81,$C24,S14_Growth_Model_ExAnte!$P$15:$P$81)/COUNTIF(S14_Growth_Model_ExAnte!$AZ$15:$AZ$81,$C24),0))))*$O24*S08_Defaults!$B$6*(1+S08_Defaults!$B$7)*S08_Defaults!$B$8</x:f>
        <x:v>2240.6839007197077</x:v>
      </x:c>
      <x:c r="AA24" s="115" t="n">
        <x:f aca="0">(IF($K24&gt;=2,SUMIF(S14_Growth_Model_ExAnte!$C$15:$C$81,$B24,S14_Growth_Model_ExAnte!$Q$15:$Q$81)/$K24,IF($L24&gt;=2,SUMIF(S14_Growth_Model_ExAnte!$AY$15:$AY$81,$C24&amp;"|"&amp;$D24,S14_Growth_Model_ExAnte!$Q$15:$Q$81)/$L24,IF(COUNTIF(S14_Growth_Model_ExAnte!$AZ$15:$AZ$81,$C24)&gt;0,SUMIF(S14_Growth_Model_ExAnte!$AZ$15:$AZ$81,$C24,S14_Growth_Model_ExAnte!$Q$15:$Q$81)/COUNTIF(S14_Growth_Model_ExAnte!$AZ$15:$AZ$81,$C24),0))))*$O24*S08_Defaults!$B$6*(1+S08_Defaults!$B$7)*S08_Defaults!$B$8</x:f>
        <x:v>2851.03428183889</x:v>
      </x:c>
      <x:c r="AB24" s="115" t="n">
        <x:f aca="0">(IF($K24&gt;=2,SUMIF(S14_Growth_Model_ExAnte!$C$15:$C$81,$B24,S14_Growth_Model_ExAnte!$R$15:$R$81)/$K24,IF($L24&gt;=2,SUMIF(S14_Growth_Model_ExAnte!$AY$15:$AY$81,$C24&amp;"|"&amp;$D24,S14_Growth_Model_ExAnte!$R$15:$R$81)/$L24,IF(COUNTIF(S14_Growth_Model_ExAnte!$AZ$15:$AZ$81,$C24)&gt;0,SUMIF(S14_Growth_Model_ExAnte!$AZ$15:$AZ$81,$C24,S14_Growth_Model_ExAnte!$R$15:$R$81)/COUNTIF(S14_Growth_Model_ExAnte!$AZ$15:$AZ$81,$C24),0))))*$O24*S08_Defaults!$B$6*(1+S08_Defaults!$B$7)*S08_Defaults!$B$8</x:f>
        <x:v>3451.8117555456984</x:v>
      </x:c>
      <x:c r="AC24" s="115" t="n">
        <x:f aca="0">(IF($K24&gt;=2,SUMIF(S14_Growth_Model_ExAnte!$C$15:$C$81,$B24,S14_Growth_Model_ExAnte!$S$15:$S$81)/$K24,IF($L24&gt;=2,SUMIF(S14_Growth_Model_ExAnte!$AY$15:$AY$81,$C24&amp;"|"&amp;$D24,S14_Growth_Model_ExAnte!$S$15:$S$81)/$L24,IF(COUNTIF(S14_Growth_Model_ExAnte!$AZ$15:$AZ$81,$C24)&gt;0,SUMIF(S14_Growth_Model_ExAnte!$AZ$15:$AZ$81,$C24,S14_Growth_Model_ExAnte!$S$15:$S$81)/COUNTIF(S14_Growth_Model_ExAnte!$AZ$15:$AZ$81,$C24),0))))*$O24*S08_Defaults!$B$6*(1+S08_Defaults!$B$7)*S08_Defaults!$B$8</x:f>
        <x:v>4025.030790078594</x:v>
      </x:c>
      <x:c r="AD24" s="115" t="n">
        <x:f aca="0">(IF($K24&gt;=2,SUMIF(S14_Growth_Model_ExAnte!$C$15:$C$81,$B24,S14_Growth_Model_ExAnte!$T$15:$T$81)/$K24,IF($L24&gt;=2,SUMIF(S14_Growth_Model_ExAnte!$AY$15:$AY$81,$C24&amp;"|"&amp;$D24,S14_Growth_Model_ExAnte!$T$15:$T$81)/$L24,IF(COUNTIF(S14_Growth_Model_ExAnte!$AZ$15:$AZ$81,$C24)&gt;0,SUMIF(S14_Growth_Model_ExAnte!$AZ$15:$AZ$81,$C24,S14_Growth_Model_ExAnte!$T$15:$T$81)/COUNTIF(S14_Growth_Model_ExAnte!$AZ$15:$AZ$81,$C24),0))))*$O24*S08_Defaults!$B$6*(1+S08_Defaults!$B$7)*S08_Defaults!$B$8</x:f>
        <x:v>4559.126358170222</x:v>
      </x:c>
      <x:c r="AE24" s="115" t="n">
        <x:f aca="0">(IF($K24&gt;=2,SUMIF(S14_Growth_Model_ExAnte!$C$15:$C$81,$B24,S14_Growth_Model_ExAnte!$U$15:$U$81)/$K24,IF($L24&gt;=2,SUMIF(S14_Growth_Model_ExAnte!$AY$15:$AY$81,$C24&amp;"|"&amp;$D24,S14_Growth_Model_ExAnte!$U$15:$U$81)/$L24,IF(COUNTIF(S14_Growth_Model_ExAnte!$AZ$15:$AZ$81,$C24)&gt;0,SUMIF(S14_Growth_Model_ExAnte!$AZ$15:$AZ$81,$C24,S14_Growth_Model_ExAnte!$U$15:$U$81)/COUNTIF(S14_Growth_Model_ExAnte!$AZ$15:$AZ$81,$C24),0))))*$O24*S08_Defaults!$B$6*(1+S08_Defaults!$B$7)*S08_Defaults!$B$8</x:f>
        <x:v>5047.694563689464</x:v>
      </x:c>
      <x:c r="AF24" s="115" t="n">
        <x:f aca="0">(IF($K24&gt;=2,SUMIF(S14_Growth_Model_ExAnte!$C$15:$C$81,$B24,S14_Growth_Model_ExAnte!$V$15:$V$81)/$K24,IF($L24&gt;=2,SUMIF(S14_Growth_Model_ExAnte!$AY$15:$AY$81,$C24&amp;"|"&amp;$D24,S14_Growth_Model_ExAnte!$V$15:$V$81)/$L24,IF(COUNTIF(S14_Growth_Model_ExAnte!$AZ$15:$AZ$81,$C24)&gt;0,SUMIF(S14_Growth_Model_ExAnte!$AZ$15:$AZ$81,$C24,S14_Growth_Model_ExAnte!$V$15:$V$81)/COUNTIF(S14_Growth_Model_ExAnte!$AZ$15:$AZ$81,$C24),0))))*$O24*S08_Defaults!$B$6*(1+S08_Defaults!$B$7)*S08_Defaults!$B$8</x:f>
        <x:v>5488.202382089278</x:v>
      </x:c>
      <x:c r="AG24" s="115" t="n">
        <x:f aca="0">(IF($K24&gt;=2,SUMIF(S14_Growth_Model_ExAnte!$C$15:$C$81,$B24,S14_Growth_Model_ExAnte!$W$15:$W$81)/$K24,IF($L24&gt;=2,SUMIF(S14_Growth_Model_ExAnte!$AY$15:$AY$81,$C24&amp;"|"&amp;$D24,S14_Growth_Model_ExAnte!$W$15:$W$81)/$L24,IF(COUNTIF(S14_Growth_Model_ExAnte!$AZ$15:$AZ$81,$C24)&gt;0,SUMIF(S14_Growth_Model_ExAnte!$AZ$15:$AZ$81,$C24,S14_Growth_Model_ExAnte!$W$15:$W$81)/COUNTIF(S14_Growth_Model_ExAnte!$AZ$15:$AZ$81,$C24),0))))*$O24*S08_Defaults!$B$6*(1+S08_Defaults!$B$7)*S08_Defaults!$B$8</x:f>
        <x:v>5880.848744130731</x:v>
      </x:c>
      <x:c r="AH24" s="115" t="n">
        <x:f aca="0">(IF($K24&gt;=2,SUMIF(S14_Growth_Model_ExAnte!$C$15:$C$81,$B24,S14_Growth_Model_ExAnte!$X$15:$X$81)/$K24,IF($L24&gt;=2,SUMIF(S14_Growth_Model_ExAnte!$AY$15:$AY$81,$C24&amp;"|"&amp;$D24,S14_Growth_Model_ExAnte!$X$15:$X$81)/$L24,IF(COUNTIF(S14_Growth_Model_ExAnte!$AZ$15:$AZ$81,$C24)&gt;0,SUMIF(S14_Growth_Model_ExAnte!$AZ$15:$AZ$81,$C24,S14_Growth_Model_ExAnte!$X$15:$X$81)/COUNTIF(S14_Growth_Model_ExAnte!$AZ$15:$AZ$81,$C24),0))))*$O24*S08_Defaults!$B$6*(1+S08_Defaults!$B$7)*S08_Defaults!$B$8</x:f>
        <x:v>6227.6404276265985</x:v>
      </x:c>
      <x:c r="AI24" s="115" t="n">
        <x:f aca="0">(IF($K24&gt;=2,SUMIF(S14_Growth_Model_ExAnte!$C$15:$C$81,$B24,S14_Growth_Model_ExAnte!$Y$15:$Y$81)/$K24,IF($L24&gt;=2,SUMIF(S14_Growth_Model_ExAnte!$AY$15:$AY$81,$C24&amp;"|"&amp;$D24,S14_Growth_Model_ExAnte!$Y$15:$Y$81)/$L24,IF(COUNTIF(S14_Growth_Model_ExAnte!$AZ$15:$AZ$81,$C24)&gt;0,SUMIF(S14_Growth_Model_ExAnte!$AZ$15:$AZ$81,$C24,S14_Growth_Model_ExAnte!$Y$15:$Y$81)/COUNTIF(S14_Growth_Model_ExAnte!$AZ$15:$AZ$81,$C24),0))))*$O24*S08_Defaults!$B$6*(1+S08_Defaults!$B$7)*S08_Defaults!$B$8</x:f>
        <x:v>6531.684451358122</x:v>
      </x:c>
      <x:c r="AJ24" s="115" t="n">
        <x:f aca="0">(IF($K24&gt;=2,SUMIF(S14_Growth_Model_ExAnte!$C$15:$C$81,$B24,S14_Growth_Model_ExAnte!$Z$15:$Z$81)/$K24,IF($L24&gt;=2,SUMIF(S14_Growth_Model_ExAnte!$AY$15:$AY$81,$C24&amp;"|"&amp;$D24,S14_Growth_Model_ExAnte!$Z$15:$Z$81)/$L24,IF(COUNTIF(S14_Growth_Model_ExAnte!$AZ$15:$AZ$81,$C24)&gt;0,SUMIF(S14_Growth_Model_ExAnte!$AZ$15:$AZ$81,$C24,S14_Growth_Model_ExAnte!$Z$15:$Z$81)/COUNTIF(S14_Growth_Model_ExAnte!$AZ$15:$AZ$81,$C24),0))))*$O24*S08_Defaults!$B$6*(1+S08_Defaults!$B$7)*S08_Defaults!$B$8</x:f>
        <x:v>6796.670771173728</x:v>
      </x:c>
      <x:c r="AK24" s="115" t="n">
        <x:f aca="0">(IF($K24&gt;=2,SUMIF(S14_Growth_Model_ExAnte!$C$15:$C$81,$B24,S14_Growth_Model_ExAnte!$AA$15:$AA$81)/$K24,IF($L24&gt;=2,SUMIF(S14_Growth_Model_ExAnte!$AY$15:$AY$81,$C24&amp;"|"&amp;$D24,S14_Growth_Model_ExAnte!$AA$15:$AA$81)/$L24,IF(COUNTIF(S14_Growth_Model_ExAnte!$AZ$15:$AZ$81,$C24)&gt;0,SUMIF(S14_Growth_Model_ExAnte!$AZ$15:$AZ$81,$C24,S14_Growth_Model_ExAnte!$AA$15:$AA$81)/COUNTIF(S14_Growth_Model_ExAnte!$AZ$15:$AZ$81,$C24),0))))*$O24*S08_Defaults!$B$6*(1+S08_Defaults!$B$7)*S08_Defaults!$B$8</x:f>
        <x:v>7026.509892919597</x:v>
      </x:c>
      <x:c r="AL24" s="115" t="n">
        <x:f aca="0">(IF($K24&gt;=2,SUMIF(S14_Growth_Model_ExAnte!$C$15:$C$81,$B24,S14_Growth_Model_ExAnte!$AB$15:$AB$81)/$K24,IF($L24&gt;=2,SUMIF(S14_Growth_Model_ExAnte!$AY$15:$AY$81,$C24&amp;"|"&amp;$D24,S14_Growth_Model_ExAnte!$AB$15:$AB$81)/$L24,IF(COUNTIF(S14_Growth_Model_ExAnte!$AZ$15:$AZ$81,$C24)&gt;0,SUMIF(S14_Growth_Model_ExAnte!$AZ$15:$AZ$81,$C24,S14_Growth_Model_ExAnte!$AB$15:$AB$81)/COUNTIF(S14_Growth_Model_ExAnte!$AZ$15:$AZ$81,$C24),0))))*$O24*S08_Defaults!$B$6*(1+S08_Defaults!$B$7)*S08_Defaults!$B$8</x:f>
        <x:v>7225.090287801521</x:v>
      </x:c>
      <x:c r="AM24" s="115" t="n">
        <x:f aca="0">R24</x:f>
        <x:v>0</x:v>
      </x:c>
      <x:c r="AN24" s="115" t="n">
        <x:f aca="0">S24-R24</x:f>
        <x:v>0</x:v>
      </x:c>
      <x:c r="AO24" s="115" t="n">
        <x:f aca="0">T24-S24</x:f>
        <x:v>9.46686943239219</x:v>
      </x:c>
      <x:c r="AP24" s="115" t="n">
        <x:f aca="0">U24-T24</x:f>
        <x:v>79.46390997862437</x:v>
      </x:c>
      <x:c r="AQ24" s="115" t="n">
        <x:f aca="0">V24-U24</x:f>
        <x:v>204.24524679963207</x:v>
      </x:c>
      <x:c r="AR24" s="115" t="n">
        <x:f aca="0">W24-V24</x:f>
        <x:v>343.6520891529224</x:v>
      </x:c>
      <x:c r="AS24" s="115" t="n">
        <x:f aca="0">X24-W24</x:f>
        <x:v>462.3762311932712</x:v>
      </x:c>
      <x:c r="AT24" s="115" t="n">
        <x:f aca="0">Y24-X24</x:f>
        <x:v>546.8013333011395</x:v>
      </x:c>
      <x:c r="AU24" s="115" t="n">
        <x:f aca="0">Z24-Y24</x:f>
        <x:v>594.678220861726</x:v>
      </x:c>
      <x:c r="AV24" s="115" t="n">
        <x:f aca="0">AA24-Z24</x:f>
        <x:v>610.3503811191822</x:v>
      </x:c>
      <x:c r="AW24" s="115" t="n">
        <x:f aca="0">AB24-AA24</x:f>
        <x:v>600.7774737068085</x:v>
      </x:c>
      <x:c r="AX24" s="115" t="n">
        <x:f aca="0">AC24-AB24</x:f>
        <x:v>573.2190345328954</x:v>
      </x:c>
      <x:c r="AY24" s="115" t="n">
        <x:f aca="0">AD24-AC24</x:f>
        <x:v>534.0955680916286</x:v>
      </x:c>
      <x:c r="AZ24" s="115" t="n">
        <x:f aca="0">AE24-AD24</x:f>
        <x:v>488.5682055192419</x:v>
      </x:c>
      <x:c r="BA24" s="115" t="n">
        <x:f aca="0">AF24-AE24</x:f>
        <x:v>440.5078183998139</x:v>
      </x:c>
      <x:c r="BB24" s="115" t="n">
        <x:f aca="0">AG24-AF24</x:f>
        <x:v>392.64636204145245</x:v>
      </x:c>
      <x:c r="BC24" s="115" t="n">
        <x:f aca="0">AH24-AG24</x:f>
        <x:v>346.7916834958678</x:v>
      </x:c>
      <x:c r="BD24" s="115" t="n">
        <x:f aca="0">AI24-AH24</x:f>
        <x:v>304.04402373152334</x:v>
      </x:c>
      <x:c r="BE24" s="115" t="n">
        <x:f aca="0">AJ24-AI24</x:f>
        <x:v>264.9863198156063</x:v>
      </x:c>
      <x:c r="BF24" s="115" t="n">
        <x:f aca="0">AK24-AJ24</x:f>
        <x:v>229.8391217458693</x:v>
      </x:c>
      <x:c r="BG24" s="115" t="n">
        <x:f aca="0">AL24-AK24</x:f>
        <x:v>198.5803948819239</x:v>
      </x:c>
    </x:row>
    <x:row r="25" ht="15" hidden="0" customHeight="1">
      <x:c r="A25" s="160" t="str">
        <x:f aca="0">"S"&amp;TEXT(ROW()-3,"00")</x:f>
        <x:v>S22</x:v>
      </x:c>
      <x:c r="B25" s="161" t="s">
        <x:v>1111</x:v>
      </x:c>
      <x:c r="C25" s="160" t="str">
        <x:f aca="0">LEFT($B25,FIND("|",$B25)-1)</x:f>
        <x:v>Mixed Agroforestry</x:v>
      </x:c>
      <x:c r="D25" s="160" t="str">
        <x:f aca="0">MID($B25,FIND("|",$B25)+1,FIND("|",$B25,FIND("|",$B25)+1)-FIND("|",$B25)-1)</x:f>
        <x:v>Low</x:v>
      </x:c>
      <x:c r="E25" s="160" t="n">
        <x:f aca="0">VALUE(RIGHT($B25,4))</x:f>
        <x:v>2021</x:v>
      </x:c>
      <x:c r="F25" s="115" t="n">
        <x:f aca="0">SUMIF(S17_Biome_Strata!$G$4:$G$95,$B25,S17_Biome_Strata!$E$4:$E$95)</x:f>
        <x:v>2</x:v>
      </x:c>
      <x:c r="G25" s="115" t="n">
        <x:f aca="0">SUMIF(S17_Biome_Strata!$G$4:$G$95,$B25,S17_Biome_Strata!$F$4:$F$95)</x:f>
        <x:v>1.0421</x:v>
      </x:c>
      <x:c r="H25" s="115" t="n">
        <x:f aca="0">IF($K25&gt;=2,SUMIF(S14_Growth_Model_ExAnte!$C$15:$C$81,$B25,S14_Growth_Model_ExAnte!$N$15:$N$81)/$K25,IF($L25&gt;=2,SUMIF(S14_Growth_Model_ExAnte!$AY$15:$AY$81,$C25&amp;"|"&amp;$D25,S14_Growth_Model_ExAnte!$N$15:$N$81)/$L25,IF(COUNTIF(S14_Growth_Model_ExAnte!$AZ$15:$AZ$81,$C25)&gt;0,SUMIF(S14_Growth_Model_ExAnte!$AZ$15:$AZ$81,$C25,S14_Growth_Model_ExAnte!$N$15:$N$81)/COUNTIF(S14_Growth_Model_ExAnte!$AZ$15:$AZ$81,$C25),0)))</x:f>
        <x:v>6.160623434110029</x:v>
      </x:c>
      <x:c r="I25" s="115" t="n">
        <x:f aca="0">IF($K25&gt;=2,SQRT(MAX(0,(SUMIF(S14_Growth_Model_ExAnte!$C$15:$C$81,$B25,S14_Growth_Model_ExAnte!$BF$15:$BF$81)-SUMIF(S14_Growth_Model_ExAnte!$C$15:$C$81,$B25,S14_Growth_Model_ExAnte!$N$15:$N$81)*SUMIF(S14_Growth_Model_ExAnte!$C$15:$C$81,$B25,S14_Growth_Model_ExAnte!$N$15:$N$81)/$K25)/($K25-1))),IF($L25&gt;=2,SQRT(MAX(0,(SUMIF(S14_Growth_Model_ExAnte!$AY$15:$AY$81,$C25&amp;"|"&amp;$D25,S14_Growth_Model_ExAnte!$BF$15:$BF$81)-SUMIF(S14_Growth_Model_ExAnte!$AY$15:$AY$81,$C25&amp;"|"&amp;$D25,S14_Growth_Model_ExAnte!$N$15:$N$81)*SUMIF(S14_Growth_Model_ExAnte!$AY$15:$AY$81,$C25&amp;"|"&amp;$D25,S14_Growth_Model_ExAnte!$N$15:$N$81)/$L25)/($L25-1))),IF(COUNTIF(S14_Growth_Model_ExAnte!$AZ$15:$AZ$81,$C25)&gt;=2,SQRT(MAX(0,(SUMIF(S14_Growth_Model_ExAnte!$AZ$15:$AZ$81,$C25,S14_Growth_Model_ExAnte!$BF$15:$BF$81)-SUMIF(S14_Growth_Model_ExAnte!$AZ$15:$AZ$81,$C25,S14_Growth_Model_ExAnte!$N$15:$N$81)*SUMIF(S14_Growth_Model_ExAnte!$AZ$15:$AZ$81,$C25,S14_Growth_Model_ExAnte!$N$15:$N$81)/COUNTIF(S14_Growth_Model_ExAnte!$AZ$15:$AZ$81,$C25))/(COUNTIF(S14_Growth_Model_ExAnte!$AZ$15:$AZ$81,$C25)-1))),0)))</x:f>
        <x:v>1.1307070801415733</x:v>
      </x:c>
      <x:c r="J25" s="115" t="n">
        <x:f aca="0">IFERROR(I25/H25,0)</x:f>
        <x:v>0.18353776890194176</x:v>
      </x:c>
      <x:c r="K25" s="115" t="n">
        <x:f aca="0">COUNTIF(S14_Growth_Model_ExAnte!$C$15:$C$81,$B25)</x:f>
        <x:v>0</x:v>
      </x:c>
      <x:c r="L25" s="115" t="n">
        <x:f aca="0">COUNTIF(S14_Growth_Model_ExAnte!$AY$15:$AY$81,$C25&amp;"|"&amp;$D25)</x:f>
        <x:v>2</x:v>
      </x:c>
      <x:c r="M25" s="115" t="n">
        <x:f aca="0">$H25</x:f>
        <x:v>6.160623434110029</x:v>
      </x:c>
      <x:c r="N25" s="115" t="n">
        <x:f aca="0">MAX(0,$M25*S08_Defaults!$B$5)</x:f>
        <x:v>4.620467575582522</x:v>
      </x:c>
      <x:c r="O25" s="115" t="n">
        <x:f aca="0">IFERROR($N25/$M25,0)</x:f>
        <x:v>0.75</x:v>
      </x:c>
      <x:c r="P25" s="115" t="str">
        <x:f aca="0">IF($K25&gt;=2,"Exact Stratum PSP Chapman-Richards curve",IF($L25&gt;=2,"Model×Density pooled Chapman-Richards curve","Model pooled Chapman-Richards curve"))</x:f>
        <x:v>Model×Density pooled Chapman-Richards curve</x:v>
      </x:c>
      <x:c r="Q25" s="162" t="s">
        <x:v>1106</x:v>
      </x:c>
      <x:c r="R25" s="115" t="n">
        <x:f aca="0">0</x:f>
        <x:v>0</x:v>
      </x:c>
      <x:c r="S25" s="115" t="n">
        <x:f aca="0">(IF($K25&gt;=2,SUMIF(S14_Growth_Model_ExAnte!$C$15:$C$81,$B25,S14_Growth_Model_ExAnte!$I$15:$I$81)/$K25,IF($L25&gt;=2,SUMIF(S14_Growth_Model_ExAnte!$AY$15:$AY$81,$C25&amp;"|"&amp;$D25,S14_Growth_Model_ExAnte!$I$15:$I$81)/$L25,IF(COUNTIF(S14_Growth_Model_ExAnte!$AZ$15:$AZ$81,$C25)&gt;0,SUMIF(S14_Growth_Model_ExAnte!$AZ$15:$AZ$81,$C25,S14_Growth_Model_ExAnte!$I$15:$I$81)/COUNTIF(S14_Growth_Model_ExAnte!$AZ$15:$AZ$81,$C25),0))))*$O25*S08_Defaults!$B$6*(1+S08_Defaults!$B$7)*S08_Defaults!$B$8</x:f>
        <x:v>0</x:v>
      </x:c>
      <x:c r="T25" s="115" t="n">
        <x:f aca="0">(IF($K25&gt;=2,SUMIF(S14_Growth_Model_ExAnte!$C$15:$C$81,$B25,S14_Growth_Model_ExAnte!$J$15:$J$81)/$K25,IF($L25&gt;=2,SUMIF(S14_Growth_Model_ExAnte!$AY$15:$AY$81,$C25&amp;"|"&amp;$D25,S14_Growth_Model_ExAnte!$J$15:$J$81)/$L25,IF(COUNTIF(S14_Growth_Model_ExAnte!$AZ$15:$AZ$81,$C25)&gt;0,SUMIF(S14_Growth_Model_ExAnte!$AZ$15:$AZ$81,$C25,S14_Growth_Model_ExAnte!$J$15:$J$81)/COUNTIF(S14_Growth_Model_ExAnte!$AZ$15:$AZ$81,$C25),0))))*$O25*S08_Defaults!$B$6*(1+S08_Defaults!$B$7)*S08_Defaults!$B$8</x:f>
        <x:v>0.046254888411774796</x:v>
      </x:c>
      <x:c r="U25" s="115" t="n">
        <x:f aca="0">(IF($K25&gt;=2,SUMIF(S14_Growth_Model_ExAnte!$C$15:$C$81,$B25,S14_Growth_Model_ExAnte!$K$15:$K$81)/$K25,IF($L25&gt;=2,SUMIF(S14_Growth_Model_ExAnte!$AY$15:$AY$81,$C25&amp;"|"&amp;$D25,S14_Growth_Model_ExAnte!$K$15:$K$81)/$L25,IF(COUNTIF(S14_Growth_Model_ExAnte!$AZ$15:$AZ$81,$C25)&gt;0,SUMIF(S14_Growth_Model_ExAnte!$AZ$15:$AZ$81,$C25,S14_Growth_Model_ExAnte!$K$15:$K$81)/COUNTIF(S14_Growth_Model_ExAnte!$AZ$15:$AZ$81,$C25),0))))*$O25*S08_Defaults!$B$6*(1+S08_Defaults!$B$7)*S08_Defaults!$B$8</x:f>
        <x:v>0.559787503763154</x:v>
      </x:c>
      <x:c r="V25" s="115" t="n">
        <x:f aca="0">(IF($K25&gt;=2,SUMIF(S14_Growth_Model_ExAnte!$C$15:$C$81,$B25,S14_Growth_Model_ExAnte!$L$15:$L$81)/$K25,IF($L25&gt;=2,SUMIF(S14_Growth_Model_ExAnte!$AY$15:$AY$81,$C25&amp;"|"&amp;$D25,S14_Growth_Model_ExAnte!$L$15:$L$81)/$L25,IF(COUNTIF(S14_Growth_Model_ExAnte!$AZ$15:$AZ$81,$C25)&gt;0,SUMIF(S14_Growth_Model_ExAnte!$AZ$15:$AZ$81,$C25,S14_Growth_Model_ExAnte!$L$15:$L$81)/COUNTIF(S14_Growth_Model_ExAnte!$AZ$15:$AZ$81,$C25),0))))*$O25*S08_Defaults!$B$6*(1+S08_Defaults!$B$7)*S08_Defaults!$B$8</x:f>
        <x:v>2.1525618957049653</x:v>
      </x:c>
      <x:c r="W25" s="115" t="n">
        <x:f aca="0">(IF($K25&gt;=2,SUMIF(S14_Growth_Model_ExAnte!$C$15:$C$81,$B25,S14_Growth_Model_ExAnte!$M$15:$M$81)/$K25,IF($L25&gt;=2,SUMIF(S14_Growth_Model_ExAnte!$AY$15:$AY$81,$C25&amp;"|"&amp;$D25,S14_Growth_Model_ExAnte!$M$15:$M$81)/$L25,IF(COUNTIF(S14_Growth_Model_ExAnte!$AZ$15:$AZ$81,$C25)&gt;0,SUMIF(S14_Growth_Model_ExAnte!$AZ$15:$AZ$81,$C25,S14_Growth_Model_ExAnte!$M$15:$M$81)/COUNTIF(S14_Growth_Model_ExAnte!$AZ$15:$AZ$81,$C25),0))))*$O25*S08_Defaults!$B$6*(1+S08_Defaults!$B$7)*S08_Defaults!$B$8</x:f>
        <x:v>5.231956049273246</x:v>
      </x:c>
      <x:c r="X25" s="115" t="n">
        <x:f aca="0">(IF($K25&gt;=2,SUMIF(S14_Growth_Model_ExAnte!$C$15:$C$81,$B25,S14_Growth_Model_ExAnte!$N$15:$N$81)/$K25,IF($L25&gt;=2,SUMIF(S14_Growth_Model_ExAnte!$AY$15:$AY$81,$C25&amp;"|"&amp;$D25,S14_Growth_Model_ExAnte!$N$15:$N$81)/$L25,IF(COUNTIF(S14_Growth_Model_ExAnte!$AZ$15:$AZ$81,$C25)&gt;0,SUMIF(S14_Growth_Model_ExAnte!$AZ$15:$AZ$81,$C25,S14_Growth_Model_ExAnte!$N$15:$N$81)/COUNTIF(S14_Growth_Model_ExAnte!$AZ$15:$AZ$81,$C25),0))))*$O25*S08_Defaults!$B$6*(1+S08_Defaults!$B$7)*S08_Defaults!$B$8</x:f>
        <x:v>9.873631177848152</x:v>
      </x:c>
      <x:c r="Y25" s="115" t="n">
        <x:f aca="0">(IF($K25&gt;=2,SUMIF(S14_Growth_Model_ExAnte!$C$15:$C$81,$B25,S14_Growth_Model_ExAnte!$O$15:$O$81)/$K25,IF($L25&gt;=2,SUMIF(S14_Growth_Model_ExAnte!$AY$15:$AY$81,$C25&amp;"|"&amp;$D25,S14_Growth_Model_ExAnte!$O$15:$O$81)/$L25,IF(COUNTIF(S14_Growth_Model_ExAnte!$AZ$15:$AZ$81,$C25)&gt;0,SUMIF(S14_Growth_Model_ExAnte!$AZ$15:$AZ$81,$C25,S14_Growth_Model_ExAnte!$O$15:$O$81)/COUNTIF(S14_Growth_Model_ExAnte!$AZ$15:$AZ$81,$C25),0))))*$O25*S08_Defaults!$B$6*(1+S08_Defaults!$B$7)*S08_Defaults!$B$8</x:f>
        <x:v>15.925334979259612</x:v>
      </x:c>
      <x:c r="Z25" s="115" t="n">
        <x:f aca="0">(IF($K25&gt;=2,SUMIF(S14_Growth_Model_ExAnte!$C$15:$C$81,$B25,S14_Growth_Model_ExAnte!$P$15:$P$81)/$K25,IF($L25&gt;=2,SUMIF(S14_Growth_Model_ExAnte!$AY$15:$AY$81,$C25&amp;"|"&amp;$D25,S14_Growth_Model_ExAnte!$P$15:$P$81)/$L25,IF(COUNTIF(S14_Growth_Model_ExAnte!$AZ$15:$AZ$81,$C25)&gt;0,SUMIF(S14_Growth_Model_ExAnte!$AZ$15:$AZ$81,$C25,S14_Growth_Model_ExAnte!$P$15:$P$81)/COUNTIF(S14_Growth_Model_ExAnte!$AZ$15:$AZ$81,$C25),0))))*$O25*S08_Defaults!$B$6*(1+S08_Defaults!$B$7)*S08_Defaults!$B$8</x:f>
        <x:v>23.103901481651665</x:v>
      </x:c>
      <x:c r="AA25" s="115" t="n">
        <x:f aca="0">(IF($K25&gt;=2,SUMIF(S14_Growth_Model_ExAnte!$C$15:$C$81,$B25,S14_Growth_Model_ExAnte!$Q$15:$Q$81)/$K25,IF($L25&gt;=2,SUMIF(S14_Growth_Model_ExAnte!$AY$15:$AY$81,$C25&amp;"|"&amp;$D25,S14_Growth_Model_ExAnte!$Q$15:$Q$81)/$L25,IF(COUNTIF(S14_Growth_Model_ExAnte!$AZ$15:$AZ$81,$C25)&gt;0,SUMIF(S14_Growth_Model_ExAnte!$AZ$15:$AZ$81,$C25,S14_Growth_Model_ExAnte!$Q$15:$Q$81)/COUNTIF(S14_Growth_Model_ExAnte!$AZ$15:$AZ$81,$C25),0))))*$O25*S08_Defaults!$B$6*(1+S08_Defaults!$B$7)*S08_Defaults!$B$8</x:f>
        <x:v>31.078357140853388</x:v>
      </x:c>
      <x:c r="AB25" s="115" t="n">
        <x:f aca="0">(IF($K25&gt;=2,SUMIF(S14_Growth_Model_ExAnte!$C$15:$C$81,$B25,S14_Growth_Model_ExAnte!$R$15:$R$81)/$K25,IF($L25&gt;=2,SUMIF(S14_Growth_Model_ExAnte!$AY$15:$AY$81,$C25&amp;"|"&amp;$D25,S14_Growth_Model_ExAnte!$R$15:$R$81)/$L25,IF(COUNTIF(S14_Growth_Model_ExAnte!$AZ$15:$AZ$81,$C25)&gt;0,SUMIF(S14_Growth_Model_ExAnte!$AZ$15:$AZ$81,$C25,S14_Growth_Model_ExAnte!$R$15:$R$81)/COUNTIF(S14_Growth_Model_ExAnte!$AZ$15:$AZ$81,$C25),0))))*$O25*S08_Defaults!$B$6*(1+S08_Defaults!$B$7)*S08_Defaults!$B$8</x:f>
        <x:v>39.52477316412803</x:v>
      </x:c>
      <x:c r="AC25" s="115" t="n">
        <x:f aca="0">(IF($K25&gt;=2,SUMIF(S14_Growth_Model_ExAnte!$C$15:$C$81,$B25,S14_Growth_Model_ExAnte!$S$15:$S$81)/$K25,IF($L25&gt;=2,SUMIF(S14_Growth_Model_ExAnte!$AY$15:$AY$81,$C25&amp;"|"&amp;$D25,S14_Growth_Model_ExAnte!$S$15:$S$81)/$L25,IF(COUNTIF(S14_Growth_Model_ExAnte!$AZ$15:$AZ$81,$C25)&gt;0,SUMIF(S14_Growth_Model_ExAnte!$AZ$15:$AZ$81,$C25,S14_Growth_Model_ExAnte!$S$15:$S$81)/COUNTIF(S14_Growth_Model_ExAnte!$AZ$15:$AZ$81,$C25),0))))*$O25*S08_Defaults!$B$6*(1+S08_Defaults!$B$7)*S08_Defaults!$B$8</x:f>
        <x:v>48.15687920897</x:v>
      </x:c>
      <x:c r="AD25" s="115" t="n">
        <x:f aca="0">(IF($K25&gt;=2,SUMIF(S14_Growth_Model_ExAnte!$C$15:$C$81,$B25,S14_Growth_Model_ExAnte!$T$15:$T$81)/$K25,IF($L25&gt;=2,SUMIF(S14_Growth_Model_ExAnte!$AY$15:$AY$81,$C25&amp;"|"&amp;$D25,S14_Growth_Model_ExAnte!$T$15:$T$81)/$L25,IF(COUNTIF(S14_Growth_Model_ExAnte!$AZ$15:$AZ$81,$C25)&gt;0,SUMIF(S14_Growth_Model_ExAnte!$AZ$15:$AZ$81,$C25,S14_Growth_Model_ExAnte!$T$15:$T$81)/COUNTIF(S14_Growth_Model_ExAnte!$AZ$15:$AZ$81,$C25),0))))*$O25*S08_Defaults!$B$6*(1+S08_Defaults!$B$7)*S08_Defaults!$B$8</x:f>
        <x:v>56.73940749069144</x:v>
      </x:c>
      <x:c r="AE25" s="115" t="n">
        <x:f aca="0">(IF($K25&gt;=2,SUMIF(S14_Growth_Model_ExAnte!$C$15:$C$81,$B25,S14_Growth_Model_ExAnte!$U$15:$U$81)/$K25,IF($L25&gt;=2,SUMIF(S14_Growth_Model_ExAnte!$AY$15:$AY$81,$C25&amp;"|"&amp;$D25,S14_Growth_Model_ExAnte!$U$15:$U$81)/$L25,IF(COUNTIF(S14_Growth_Model_ExAnte!$AZ$15:$AZ$81,$C25)&gt;0,SUMIF(S14_Growth_Model_ExAnte!$AZ$15:$AZ$81,$C25,S14_Growth_Model_ExAnte!$U$15:$U$81)/COUNTIF(S14_Growth_Model_ExAnte!$AZ$15:$AZ$81,$C25),0))))*$O25*S08_Defaults!$B$6*(1+S08_Defaults!$B$7)*S08_Defaults!$B$8</x:f>
        <x:v>65.09050604602129</x:v>
      </x:c>
      <x:c r="AF25" s="115" t="n">
        <x:f aca="0">(IF($K25&gt;=2,SUMIF(S14_Growth_Model_ExAnte!$C$15:$C$81,$B25,S14_Growth_Model_ExAnte!$V$15:$V$81)/$K25,IF($L25&gt;=2,SUMIF(S14_Growth_Model_ExAnte!$AY$15:$AY$81,$C25&amp;"|"&amp;$D25,S14_Growth_Model_ExAnte!$V$15:$V$81)/$L25,IF(COUNTIF(S14_Growth_Model_ExAnte!$AZ$15:$AZ$81,$C25)&gt;0,SUMIF(S14_Growth_Model_ExAnte!$AZ$15:$AZ$81,$C25,S14_Growth_Model_ExAnte!$V$15:$V$81)/COUNTIF(S14_Growth_Model_ExAnte!$AZ$15:$AZ$81,$C25),0))))*$O25*S08_Defaults!$B$6*(1+S08_Defaults!$B$7)*S08_Defaults!$B$8</x:f>
        <x:v>73.07797761375203</x:v>
      </x:c>
      <x:c r="AG25" s="115" t="n">
        <x:f aca="0">(IF($K25&gt;=2,SUMIF(S14_Growth_Model_ExAnte!$C$15:$C$81,$B25,S14_Growth_Model_ExAnte!$W$15:$W$81)/$K25,IF($L25&gt;=2,SUMIF(S14_Growth_Model_ExAnte!$AY$15:$AY$81,$C25&amp;"|"&amp;$D25,S14_Growth_Model_ExAnte!$W$15:$W$81)/$L25,IF(COUNTIF(S14_Growth_Model_ExAnte!$AZ$15:$AZ$81,$C25)&gt;0,SUMIF(S14_Growth_Model_ExAnte!$AZ$15:$AZ$81,$C25,S14_Growth_Model_ExAnte!$W$15:$W$81)/COUNTIF(S14_Growth_Model_ExAnte!$AZ$15:$AZ$81,$C25),0))))*$O25*S08_Defaults!$B$6*(1+S08_Defaults!$B$7)*S08_Defaults!$B$8</x:f>
        <x:v>80.6125574125609</x:v>
      </x:c>
      <x:c r="AH25" s="115" t="n">
        <x:f aca="0">(IF($K25&gt;=2,SUMIF(S14_Growth_Model_ExAnte!$C$15:$C$81,$B25,S14_Growth_Model_ExAnte!$X$15:$X$81)/$K25,IF($L25&gt;=2,SUMIF(S14_Growth_Model_ExAnte!$AY$15:$AY$81,$C25&amp;"|"&amp;$D25,S14_Growth_Model_ExAnte!$X$15:$X$81)/$L25,IF(COUNTIF(S14_Growth_Model_ExAnte!$AZ$15:$AZ$81,$C25)&gt;0,SUMIF(S14_Growth_Model_ExAnte!$AZ$15:$AZ$81,$C25,S14_Growth_Model_ExAnte!$X$15:$X$81)/COUNTIF(S14_Growth_Model_ExAnte!$AZ$15:$AZ$81,$C25),0))))*$O25*S08_Defaults!$B$6*(1+S08_Defaults!$B$7)*S08_Defaults!$B$8</x:f>
        <x:v>87.64023262313314</x:v>
      </x:c>
      <x:c r="AI25" s="115" t="n">
        <x:f aca="0">(IF($K25&gt;=2,SUMIF(S14_Growth_Model_ExAnte!$C$15:$C$81,$B25,S14_Growth_Model_ExAnte!$Y$15:$Y$81)/$K25,IF($L25&gt;=2,SUMIF(S14_Growth_Model_ExAnte!$AY$15:$AY$81,$C25&amp;"|"&amp;$D25,S14_Growth_Model_ExAnte!$Y$15:$Y$81)/$L25,IF(COUNTIF(S14_Growth_Model_ExAnte!$AZ$15:$AZ$81,$C25)&gt;0,SUMIF(S14_Growth_Model_ExAnte!$AZ$15:$AZ$81,$C25,S14_Growth_Model_ExAnte!$Y$15:$Y$81)/COUNTIF(S14_Growth_Model_ExAnte!$AZ$15:$AZ$81,$C25),0))))*$O25*S08_Defaults!$B$6*(1+S08_Defaults!$B$7)*S08_Defaults!$B$8</x:f>
        <x:v>94.13475185567395</x:v>
      </x:c>
      <x:c r="AJ25" s="115" t="n">
        <x:f aca="0">(IF($K25&gt;=2,SUMIF(S14_Growth_Model_ExAnte!$C$15:$C$81,$B25,S14_Growth_Model_ExAnte!$Z$15:$Z$81)/$K25,IF($L25&gt;=2,SUMIF(S14_Growth_Model_ExAnte!$AY$15:$AY$81,$C25&amp;"|"&amp;$D25,S14_Growth_Model_ExAnte!$Z$15:$Z$81)/$L25,IF(COUNTIF(S14_Growth_Model_ExAnte!$AZ$15:$AZ$81,$C25)&gt;0,SUMIF(S14_Growth_Model_ExAnte!$AZ$15:$AZ$81,$C25,S14_Growth_Model_ExAnte!$Z$15:$Z$81)/COUNTIF(S14_Growth_Model_ExAnte!$AZ$15:$AZ$81,$C25),0))))*$O25*S08_Defaults!$B$6*(1+S08_Defaults!$B$7)*S08_Defaults!$B$8</x:f>
        <x:v>100.09091031997525</x:v>
      </x:c>
      <x:c r="AK25" s="115" t="n">
        <x:f aca="0">(IF($K25&gt;=2,SUMIF(S14_Growth_Model_ExAnte!$C$15:$C$81,$B25,S14_Growth_Model_ExAnte!$AA$15:$AA$81)/$K25,IF($L25&gt;=2,SUMIF(S14_Growth_Model_ExAnte!$AY$15:$AY$81,$C25&amp;"|"&amp;$D25,S14_Growth_Model_ExAnte!$AA$15:$AA$81)/$L25,IF(COUNTIF(S14_Growth_Model_ExAnte!$AZ$15:$AZ$81,$C25)&gt;0,SUMIF(S14_Growth_Model_ExAnte!$AZ$15:$AZ$81,$C25,S14_Growth_Model_ExAnte!$AA$15:$AA$81)/COUNTIF(S14_Growth_Model_ExAnte!$AZ$15:$AZ$81,$C25),0))))*$O25*S08_Defaults!$B$6*(1+S08_Defaults!$B$7)*S08_Defaults!$B$8</x:f>
        <x:v>105.51884744668214</x:v>
      </x:c>
      <x:c r="AL25" s="115" t="n">
        <x:f aca="0">(IF($K25&gt;=2,SUMIF(S14_Growth_Model_ExAnte!$C$15:$C$81,$B25,S14_Growth_Model_ExAnte!$AB$15:$AB$81)/$K25,IF($L25&gt;=2,SUMIF(S14_Growth_Model_ExAnte!$AY$15:$AY$81,$C25&amp;"|"&amp;$D25,S14_Growth_Model_ExAnte!$AB$15:$AB$81)/$L25,IF(COUNTIF(S14_Growth_Model_ExAnte!$AZ$15:$AZ$81,$C25)&gt;0,SUMIF(S14_Growth_Model_ExAnte!$AZ$15:$AZ$81,$C25,S14_Growth_Model_ExAnte!$AB$15:$AB$81)/COUNTIF(S14_Growth_Model_ExAnte!$AZ$15:$AZ$81,$C25),0))))*$O25*S08_Defaults!$B$6*(1+S08_Defaults!$B$7)*S08_Defaults!$B$8</x:f>
        <x:v>110.43939071910346</x:v>
      </x:c>
      <x:c r="AM25" s="115" t="n">
        <x:f aca="0">R25</x:f>
        <x:v>0</x:v>
      </x:c>
      <x:c r="AN25" s="115" t="n">
        <x:f aca="0">S25-R25</x:f>
        <x:v>0</x:v>
      </x:c>
      <x:c r="AO25" s="115" t="n">
        <x:f aca="0">T25-S25</x:f>
        <x:v>0.046254888411774796</x:v>
      </x:c>
      <x:c r="AP25" s="115" t="n">
        <x:f aca="0">U25-T25</x:f>
        <x:v>0.5135326153513792</x:v>
      </x:c>
      <x:c r="AQ25" s="115" t="n">
        <x:f aca="0">V25-U25</x:f>
        <x:v>1.5927743919418114</x:v>
      </x:c>
      <x:c r="AR25" s="115" t="n">
        <x:f aca="0">W25-V25</x:f>
        <x:v>3.079394153568281</x:v>
      </x:c>
      <x:c r="AS25" s="115" t="n">
        <x:f aca="0">X25-W25</x:f>
        <x:v>4.641675128574906</x:v>
      </x:c>
      <x:c r="AT25" s="115" t="n">
        <x:f aca="0">Y25-X25</x:f>
        <x:v>6.05170380141146</x:v>
      </x:c>
      <x:c r="AU25" s="115" t="n">
        <x:f aca="0">Z25-Y25</x:f>
        <x:v>7.178566502392053</x:v>
      </x:c>
      <x:c r="AV25" s="115" t="n">
        <x:f aca="0">AA25-Z25</x:f>
        <x:v>7.974455659201723</x:v>
      </x:c>
      <x:c r="AW25" s="115" t="n">
        <x:f aca="0">AB25-AA25</x:f>
        <x:v>8.44641602327464</x:v>
      </x:c>
      <x:c r="AX25" s="115" t="n">
        <x:f aca="0">AC25-AB25</x:f>
        <x:v>8.632106044841969</x:v>
      </x:c>
      <x:c r="AY25" s="115" t="n">
        <x:f aca="0">AD25-AC25</x:f>
        <x:v>8.582528281721444</x:v>
      </x:c>
      <x:c r="AZ25" s="115" t="n">
        <x:f aca="0">AE25-AD25</x:f>
        <x:v>8.351098555329848</x:v>
      </x:c>
      <x:c r="BA25" s="115" t="n">
        <x:f aca="0">AF25-AE25</x:f>
        <x:v>7.987471567730736</x:v>
      </x:c>
      <x:c r="BB25" s="115" t="n">
        <x:f aca="0">AG25-AF25</x:f>
        <x:v>7.534579798808878</x:v>
      </x:c>
      <x:c r="BC25" s="115" t="n">
        <x:f aca="0">AH25-AG25</x:f>
        <x:v>7.027675210572241</x:v>
      </x:c>
      <x:c r="BD25" s="115" t="n">
        <x:f aca="0">AI25-AH25</x:f>
        <x:v>6.49451923254081</x:v>
      </x:c>
      <x:c r="BE25" s="115" t="n">
        <x:f aca="0">AJ25-AI25</x:f>
        <x:v>5.956158464301296</x:v>
      </x:c>
      <x:c r="BF25" s="115" t="n">
        <x:f aca="0">AK25-AJ25</x:f>
        <x:v>5.427937126706894</x:v>
      </x:c>
      <x:c r="BG25" s="115" t="n">
        <x:f aca="0">AL25-AK25</x:f>
        <x:v>4.9205432724213125</x:v>
      </x:c>
    </x:row>
    <x:row r="26" ht="15" hidden="0" customHeight="1">
      <x:c r="A26" s="160" t="str">
        <x:f aca="0">"S"&amp;TEXT(ROW()-3,"00")</x:f>
        <x:v>S23</x:v>
      </x:c>
      <x:c r="B26" s="161" t="s">
        <x:v>641</x:v>
      </x:c>
      <x:c r="C26" s="160" t="str">
        <x:f aca="0">LEFT($B26,FIND("|",$B26)-1)</x:f>
        <x:v>Mixed Agroforestry</x:v>
      </x:c>
      <x:c r="D26" s="160" t="str">
        <x:f aca="0">MID($B26,FIND("|",$B26)+1,FIND("|",$B26,FIND("|",$B26)+1)-FIND("|",$B26)-1)</x:f>
        <x:v>Medium</x:v>
      </x:c>
      <x:c r="E26" s="160" t="n">
        <x:f aca="0">VALUE(RIGHT($B26,4))</x:f>
        <x:v>2021</x:v>
      </x:c>
      <x:c r="F26" s="115" t="n">
        <x:f aca="0">SUMIF(S17_Biome_Strata!$G$4:$G$95,$B26,S17_Biome_Strata!$E$4:$E$95)</x:f>
        <x:v>5</x:v>
      </x:c>
      <x:c r="G26" s="115" t="n">
        <x:f aca="0">SUMIF(S17_Biome_Strata!$G$4:$G$95,$B26,S17_Biome_Strata!$F$4:$F$95)</x:f>
        <x:v>3.4484999999999997</x:v>
      </x:c>
      <x:c r="H26" s="115" t="n">
        <x:f aca="0">IF($K26&gt;=2,SUMIF(S14_Growth_Model_ExAnte!$C$15:$C$81,$B26,S14_Growth_Model_ExAnte!$N$15:$N$81)/$K26,IF($L26&gt;=2,SUMIF(S14_Growth_Model_ExAnte!$AY$15:$AY$81,$C26&amp;"|"&amp;$D26,S14_Growth_Model_ExAnte!$N$15:$N$81)/$L26,IF(COUNTIF(S14_Growth_Model_ExAnte!$AZ$15:$AZ$81,$C26)&gt;0,SUMIF(S14_Growth_Model_ExAnte!$AZ$15:$AZ$81,$C26,S14_Growth_Model_ExAnte!$N$15:$N$81)/COUNTIF(S14_Growth_Model_ExAnte!$AZ$15:$AZ$81,$C26),0)))</x:f>
        <x:v>35.231333927428075</x:v>
      </x:c>
      <x:c r="I26" s="115" t="n">
        <x:f aca="0">IF($K26&gt;=2,SQRT(MAX(0,(SUMIF(S14_Growth_Model_ExAnte!$C$15:$C$81,$B26,S14_Growth_Model_ExAnte!$BF$15:$BF$81)-SUMIF(S14_Growth_Model_ExAnte!$C$15:$C$81,$B26,S14_Growth_Model_ExAnte!$N$15:$N$81)*SUMIF(S14_Growth_Model_ExAnte!$C$15:$C$81,$B26,S14_Growth_Model_ExAnte!$N$15:$N$81)/$K26)/($K26-1))),IF($L26&gt;=2,SQRT(MAX(0,(SUMIF(S14_Growth_Model_ExAnte!$AY$15:$AY$81,$C26&amp;"|"&amp;$D26,S14_Growth_Model_ExAnte!$BF$15:$BF$81)-SUMIF(S14_Growth_Model_ExAnte!$AY$15:$AY$81,$C26&amp;"|"&amp;$D26,S14_Growth_Model_ExAnte!$N$15:$N$81)*SUMIF(S14_Growth_Model_ExAnte!$AY$15:$AY$81,$C26&amp;"|"&amp;$D26,S14_Growth_Model_ExAnte!$N$15:$N$81)/$L26)/($L26-1))),IF(COUNTIF(S14_Growth_Model_ExAnte!$AZ$15:$AZ$81,$C26)&gt;=2,SQRT(MAX(0,(SUMIF(S14_Growth_Model_ExAnte!$AZ$15:$AZ$81,$C26,S14_Growth_Model_ExAnte!$BF$15:$BF$81)-SUMIF(S14_Growth_Model_ExAnte!$AZ$15:$AZ$81,$C26,S14_Growth_Model_ExAnte!$N$15:$N$81)*SUMIF(S14_Growth_Model_ExAnte!$AZ$15:$AZ$81,$C26,S14_Growth_Model_ExAnte!$N$15:$N$81)/COUNTIF(S14_Growth_Model_ExAnte!$AZ$15:$AZ$81,$C26))/(COUNTIF(S14_Growth_Model_ExAnte!$AZ$15:$AZ$81,$C26)-1))),0)))</x:f>
        <x:v>18.799810537369435</x:v>
      </x:c>
      <x:c r="J26" s="115" t="n">
        <x:f aca="0">IFERROR(I26/H26,0)</x:f>
        <x:v>0.5336105234077875</x:v>
      </x:c>
      <x:c r="K26" s="115" t="n">
        <x:f aca="0">COUNTIF(S14_Growth_Model_ExAnte!$C$15:$C$81,$B26)</x:f>
        <x:v>1</x:v>
      </x:c>
      <x:c r="L26" s="115" t="n">
        <x:f aca="0">COUNTIF(S14_Growth_Model_ExAnte!$AY$15:$AY$81,$C26&amp;"|"&amp;$D26)</x:f>
        <x:v>3</x:v>
      </x:c>
      <x:c r="M26" s="115" t="n">
        <x:f aca="0">$H26</x:f>
        <x:v>35.231333927428075</x:v>
      </x:c>
      <x:c r="N26" s="115" t="n">
        <x:f aca="0">MAX(0,$M26*S08_Defaults!$B$5)</x:f>
        <x:v>26.423500445571058</x:v>
      </x:c>
      <x:c r="O26" s="115" t="n">
        <x:f aca="0">IFERROR($N26/$M26,0)</x:f>
        <x:v>0.75</x:v>
      </x:c>
      <x:c r="P26" s="115" t="str">
        <x:f aca="0">IF($K26&gt;=2,"Exact Stratum PSP Chapman-Richards curve",IF($L26&gt;=2,"Model×Density pooled Chapman-Richards curve","Model pooled Chapman-Richards curve"))</x:f>
        <x:v>Model×Density pooled Chapman-Richards curve</x:v>
      </x:c>
      <x:c r="Q26" s="162" t="s">
        <x:v>1106</x:v>
      </x:c>
      <x:c r="R26" s="115" t="n">
        <x:f aca="0">0</x:f>
        <x:v>0</x:v>
      </x:c>
      <x:c r="S26" s="115" t="n">
        <x:f aca="0">(IF($K26&gt;=2,SUMIF(S14_Growth_Model_ExAnte!$C$15:$C$81,$B26,S14_Growth_Model_ExAnte!$I$15:$I$81)/$K26,IF($L26&gt;=2,SUMIF(S14_Growth_Model_ExAnte!$AY$15:$AY$81,$C26&amp;"|"&amp;$D26,S14_Growth_Model_ExAnte!$I$15:$I$81)/$L26,IF(COUNTIF(S14_Growth_Model_ExAnte!$AZ$15:$AZ$81,$C26)&gt;0,SUMIF(S14_Growth_Model_ExAnte!$AZ$15:$AZ$81,$C26,S14_Growth_Model_ExAnte!$I$15:$I$81)/COUNTIF(S14_Growth_Model_ExAnte!$AZ$15:$AZ$81,$C26),0))))*$O26*S08_Defaults!$B$6*(1+S08_Defaults!$B$7)*S08_Defaults!$B$8</x:f>
        <x:v>0</x:v>
      </x:c>
      <x:c r="T26" s="115" t="n">
        <x:f aca="0">(IF($K26&gt;=2,SUMIF(S14_Growth_Model_ExAnte!$C$15:$C$81,$B26,S14_Growth_Model_ExAnte!$J$15:$J$81)/$K26,IF($L26&gt;=2,SUMIF(S14_Growth_Model_ExAnte!$AY$15:$AY$81,$C26&amp;"|"&amp;$D26,S14_Growth_Model_ExAnte!$J$15:$J$81)/$L26,IF(COUNTIF(S14_Growth_Model_ExAnte!$AZ$15:$AZ$81,$C26)&gt;0,SUMIF(S14_Growth_Model_ExAnte!$AZ$15:$AZ$81,$C26,S14_Growth_Model_ExAnte!$J$15:$J$81)/COUNTIF(S14_Growth_Model_ExAnte!$AZ$15:$AZ$81,$C26),0))))*$O26*S08_Defaults!$B$6*(1+S08_Defaults!$B$7)*S08_Defaults!$B$8</x:f>
        <x:v>0.2723417518114028</x:v>
      </x:c>
      <x:c r="U26" s="115" t="n">
        <x:f aca="0">(IF($K26&gt;=2,SUMIF(S14_Growth_Model_ExAnte!$C$15:$C$81,$B26,S14_Growth_Model_ExAnte!$K$15:$K$81)/$K26,IF($L26&gt;=2,SUMIF(S14_Growth_Model_ExAnte!$AY$15:$AY$81,$C26&amp;"|"&amp;$D26,S14_Growth_Model_ExAnte!$K$15:$K$81)/$L26,IF(COUNTIF(S14_Growth_Model_ExAnte!$AZ$15:$AZ$81,$C26)&gt;0,SUMIF(S14_Growth_Model_ExAnte!$AZ$15:$AZ$81,$C26,S14_Growth_Model_ExAnte!$K$15:$K$81)/COUNTIF(S14_Growth_Model_ExAnte!$AZ$15:$AZ$81,$C26),0))))*$O26*S08_Defaults!$B$6*(1+S08_Defaults!$B$7)*S08_Defaults!$B$8</x:f>
        <x:v>3.248895379183343</x:v>
      </x:c>
      <x:c r="V26" s="115" t="n">
        <x:f aca="0">(IF($K26&gt;=2,SUMIF(S14_Growth_Model_ExAnte!$C$15:$C$81,$B26,S14_Growth_Model_ExAnte!$L$15:$L$81)/$K26,IF($L26&gt;=2,SUMIF(S14_Growth_Model_ExAnte!$AY$15:$AY$81,$C26&amp;"|"&amp;$D26,S14_Growth_Model_ExAnte!$L$15:$L$81)/$L26,IF(COUNTIF(S14_Growth_Model_ExAnte!$AZ$15:$AZ$81,$C26)&gt;0,SUMIF(S14_Growth_Model_ExAnte!$AZ$15:$AZ$81,$C26,S14_Growth_Model_ExAnte!$L$15:$L$81)/COUNTIF(S14_Growth_Model_ExAnte!$AZ$15:$AZ$81,$C26),0))))*$O26*S08_Defaults!$B$6*(1+S08_Defaults!$B$7)*S08_Defaults!$B$8</x:f>
        <x:v>12.403995886039331</x:v>
      </x:c>
      <x:c r="W26" s="115" t="n">
        <x:f aca="0">(IF($K26&gt;=2,SUMIF(S14_Growth_Model_ExAnte!$C$15:$C$81,$B26,S14_Growth_Model_ExAnte!$M$15:$M$81)/$K26,IF($L26&gt;=2,SUMIF(S14_Growth_Model_ExAnte!$AY$15:$AY$81,$C26&amp;"|"&amp;$D26,S14_Growth_Model_ExAnte!$M$15:$M$81)/$L26,IF(COUNTIF(S14_Growth_Model_ExAnte!$AZ$15:$AZ$81,$C26)&gt;0,SUMIF(S14_Growth_Model_ExAnte!$AZ$15:$AZ$81,$C26,S14_Growth_Model_ExAnte!$M$15:$M$81)/COUNTIF(S14_Growth_Model_ExAnte!$AZ$15:$AZ$81,$C26),0))))*$O26*S08_Defaults!$B$6*(1+S08_Defaults!$B$7)*S08_Defaults!$B$8</x:f>
        <x:v>30.01595620534883</x:v>
      </x:c>
      <x:c r="X26" s="115" t="n">
        <x:f aca="0">(IF($K26&gt;=2,SUMIF(S14_Growth_Model_ExAnte!$C$15:$C$81,$B26,S14_Growth_Model_ExAnte!$N$15:$N$81)/$K26,IF($L26&gt;=2,SUMIF(S14_Growth_Model_ExAnte!$AY$15:$AY$81,$C26&amp;"|"&amp;$D26,S14_Growth_Model_ExAnte!$N$15:$N$81)/$L26,IF(COUNTIF(S14_Growth_Model_ExAnte!$AZ$15:$AZ$81,$C26)&gt;0,SUMIF(S14_Growth_Model_ExAnte!$AZ$15:$AZ$81,$C26,S14_Growth_Model_ExAnte!$N$15:$N$81)/COUNTIF(S14_Growth_Model_ExAnte!$AZ$15:$AZ$81,$C26),0))))*$O26*S08_Defaults!$B$6*(1+S08_Defaults!$B$7)*S08_Defaults!$B$8</x:f>
        <x:v>56.46525888548903</x:v>
      </x:c>
      <x:c r="Y26" s="115" t="n">
        <x:f aca="0">(IF($K26&gt;=2,SUMIF(S14_Growth_Model_ExAnte!$C$15:$C$81,$B26,S14_Growth_Model_ExAnte!$O$15:$O$81)/$K26,IF($L26&gt;=2,SUMIF(S14_Growth_Model_ExAnte!$AY$15:$AY$81,$C26&amp;"|"&amp;$D26,S14_Growth_Model_ExAnte!$O$15:$O$81)/$L26,IF(COUNTIF(S14_Growth_Model_ExAnte!$AZ$15:$AZ$81,$C26)&gt;0,SUMIF(S14_Growth_Model_ExAnte!$AZ$15:$AZ$81,$C26,S14_Growth_Model_ExAnte!$O$15:$O$81)/COUNTIF(S14_Growth_Model_ExAnte!$AZ$15:$AZ$81,$C26),0))))*$O26*S08_Defaults!$B$6*(1+S08_Defaults!$B$7)*S08_Defaults!$B$8</x:f>
        <x:v>90.83662104379438</x:v>
      </x:c>
      <x:c r="Z26" s="115" t="n">
        <x:f aca="0">(IF($K26&gt;=2,SUMIF(S14_Growth_Model_ExAnte!$C$15:$C$81,$B26,S14_Growth_Model_ExAnte!$P$15:$P$81)/$K26,IF($L26&gt;=2,SUMIF(S14_Growth_Model_ExAnte!$AY$15:$AY$81,$C26&amp;"|"&amp;$D26,S14_Growth_Model_ExAnte!$P$15:$P$81)/$L26,IF(COUNTIF(S14_Growth_Model_ExAnte!$AZ$15:$AZ$81,$C26)&gt;0,SUMIF(S14_Growth_Model_ExAnte!$AZ$15:$AZ$81,$C26,S14_Growth_Model_ExAnte!$P$15:$P$81)/COUNTIF(S14_Growth_Model_ExAnte!$AZ$15:$AZ$81,$C26),0))))*$O26*S08_Defaults!$B$6*(1+S08_Defaults!$B$7)*S08_Defaults!$B$8</x:f>
        <x:v>131.47494963585845</x:v>
      </x:c>
      <x:c r="AA26" s="115" t="n">
        <x:f aca="0">(IF($K26&gt;=2,SUMIF(S14_Growth_Model_ExAnte!$C$15:$C$81,$B26,S14_Growth_Model_ExAnte!$Q$15:$Q$81)/$K26,IF($L26&gt;=2,SUMIF(S14_Growth_Model_ExAnte!$AY$15:$AY$81,$C26&amp;"|"&amp;$D26,S14_Growth_Model_ExAnte!$Q$15:$Q$81)/$L26,IF(COUNTIF(S14_Growth_Model_ExAnte!$AZ$15:$AZ$81,$C26)&gt;0,SUMIF(S14_Growth_Model_ExAnte!$AZ$15:$AZ$81,$C26,S14_Growth_Model_ExAnte!$Q$15:$Q$81)/COUNTIF(S14_Growth_Model_ExAnte!$AZ$15:$AZ$81,$C26),0))))*$O26*S08_Defaults!$B$6*(1+S08_Defaults!$B$7)*S08_Defaults!$B$8</x:f>
        <x:v>176.462752881878</x:v>
      </x:c>
      <x:c r="AB26" s="115" t="n">
        <x:f aca="0">(IF($K26&gt;=2,SUMIF(S14_Growth_Model_ExAnte!$C$15:$C$81,$B26,S14_Growth_Model_ExAnte!$R$15:$R$81)/$K26,IF($L26&gt;=2,SUMIF(S14_Growth_Model_ExAnte!$AY$15:$AY$81,$C26&amp;"|"&amp;$D26,S14_Growth_Model_ExAnte!$R$15:$R$81)/$L26,IF(COUNTIF(S14_Growth_Model_ExAnte!$AZ$15:$AZ$81,$C26)&gt;0,SUMIF(S14_Growth_Model_ExAnte!$AZ$15:$AZ$81,$C26,S14_Growth_Model_ExAnte!$R$15:$R$81)/COUNTIF(S14_Growth_Model_ExAnte!$AZ$15:$AZ$81,$C26),0))))*$O26*S08_Defaults!$B$6*(1+S08_Defaults!$B$7)*S08_Defaults!$B$8</x:f>
        <x:v>223.93563928265257</x:v>
      </x:c>
      <x:c r="AC26" s="115" t="n">
        <x:f aca="0">(IF($K26&gt;=2,SUMIF(S14_Growth_Model_ExAnte!$C$15:$C$81,$B26,S14_Growth_Model_ExAnte!$S$15:$S$81)/$K26,IF($L26&gt;=2,SUMIF(S14_Growth_Model_ExAnte!$AY$15:$AY$81,$C26&amp;"|"&amp;$D26,S14_Growth_Model_ExAnte!$S$15:$S$81)/$L26,IF(COUNTIF(S14_Growth_Model_ExAnte!$AZ$15:$AZ$81,$C26)&gt;0,SUMIF(S14_Growth_Model_ExAnte!$AZ$15:$AZ$81,$C26,S14_Growth_Model_ExAnte!$S$15:$S$81)/COUNTIF(S14_Growth_Model_ExAnte!$AZ$15:$AZ$81,$C26),0))))*$O26*S08_Defaults!$B$6*(1+S08_Defaults!$B$7)*S08_Defaults!$B$8</x:f>
        <x:v>272.25774963049446</x:v>
      </x:c>
      <x:c r="AD26" s="115" t="n">
        <x:f aca="0">(IF($K26&gt;=2,SUMIF(S14_Growth_Model_ExAnte!$C$15:$C$81,$B26,S14_Growth_Model_ExAnte!$T$15:$T$81)/$K26,IF($L26&gt;=2,SUMIF(S14_Growth_Model_ExAnte!$AY$15:$AY$81,$C26&amp;"|"&amp;$D26,S14_Growth_Model_ExAnte!$T$15:$T$81)/$L26,IF(COUNTIF(S14_Growth_Model_ExAnte!$AZ$15:$AZ$81,$C26)&gt;0,SUMIF(S14_Growth_Model_ExAnte!$AZ$15:$AZ$81,$C26,S14_Growth_Model_ExAnte!$T$15:$T$81)/COUNTIF(S14_Growth_Model_ExAnte!$AZ$15:$AZ$81,$C26),0))))*$O26*S08_Defaults!$B$6*(1+S08_Defaults!$B$7)*S08_Defaults!$B$8</x:f>
        <x:v>320.09677991534846</x:v>
      </x:c>
      <x:c r="AE26" s="115" t="n">
        <x:f aca="0">(IF($K26&gt;=2,SUMIF(S14_Growth_Model_ExAnte!$C$15:$C$81,$B26,S14_Growth_Model_ExAnte!$U$15:$U$81)/$K26,IF($L26&gt;=2,SUMIF(S14_Growth_Model_ExAnte!$AY$15:$AY$81,$C26&amp;"|"&amp;$D26,S14_Growth_Model_ExAnte!$U$15:$U$81)/$L26,IF(COUNTIF(S14_Growth_Model_ExAnte!$AZ$15:$AZ$81,$C26)&gt;0,SUMIF(S14_Growth_Model_ExAnte!$AZ$15:$AZ$81,$C26,S14_Growth_Model_ExAnte!$U$15:$U$81)/COUNTIF(S14_Growth_Model_ExAnte!$AZ$15:$AZ$81,$C26),0))))*$O26*S08_Defaults!$B$6*(1+S08_Defaults!$B$7)*S08_Defaults!$B$8</x:f>
        <x:v>366.4353060349873</x:v>
      </x:c>
      <x:c r="AF26" s="115" t="n">
        <x:f aca="0">(IF($K26&gt;=2,SUMIF(S14_Growth_Model_ExAnte!$C$15:$C$81,$B26,S14_Growth_Model_ExAnte!$V$15:$V$81)/$K26,IF($L26&gt;=2,SUMIF(S14_Growth_Model_ExAnte!$AY$15:$AY$81,$C26&amp;"|"&amp;$D26,S14_Growth_Model_ExAnte!$V$15:$V$81)/$L26,IF(COUNTIF(S14_Growth_Model_ExAnte!$AZ$15:$AZ$81,$C26)&gt;0,SUMIF(S14_Growth_Model_ExAnte!$AZ$15:$AZ$81,$C26,S14_Growth_Model_ExAnte!$V$15:$V$81)/COUNTIF(S14_Growth_Model_ExAnte!$AZ$15:$AZ$81,$C26),0))))*$O26*S08_Defaults!$B$6*(1+S08_Defaults!$B$7)*S08_Defaults!$B$8</x:f>
        <x:v>410.5462671133159</x:v>
      </x:c>
      <x:c r="AG26" s="115" t="n">
        <x:f aca="0">(IF($K26&gt;=2,SUMIF(S14_Growth_Model_ExAnte!$C$15:$C$81,$B26,S14_Growth_Model_ExAnte!$W$15:$W$81)/$K26,IF($L26&gt;=2,SUMIF(S14_Growth_Model_ExAnte!$AY$15:$AY$81,$C26&amp;"|"&amp;$D26,S14_Growth_Model_ExAnte!$W$15:$W$81)/$L26,IF(COUNTIF(S14_Growth_Model_ExAnte!$AZ$15:$AZ$81,$C26)&gt;0,SUMIF(S14_Growth_Model_ExAnte!$AZ$15:$AZ$81,$C26,S14_Growth_Model_ExAnte!$W$15:$W$81)/COUNTIF(S14_Growth_Model_ExAnte!$AZ$15:$AZ$81,$C26),0))))*$O26*S08_Defaults!$B$6*(1+S08_Defaults!$B$7)*S08_Defaults!$B$8</x:f>
        <x:v>451.9515457000744</x:v>
      </x:c>
      <x:c r="AH26" s="115" t="n">
        <x:f aca="0">(IF($K26&gt;=2,SUMIF(S14_Growth_Model_ExAnte!$C$15:$C$81,$B26,S14_Growth_Model_ExAnte!$X$15:$X$81)/$K26,IF($L26&gt;=2,SUMIF(S14_Growth_Model_ExAnte!$AY$15:$AY$81,$C26&amp;"|"&amp;$D26,S14_Growth_Model_ExAnte!$X$15:$X$81)/$L26,IF(COUNTIF(S14_Growth_Model_ExAnte!$AZ$15:$AZ$81,$C26)&gt;0,SUMIF(S14_Growth_Model_ExAnte!$AZ$15:$AZ$81,$C26,S14_Growth_Model_ExAnte!$X$15:$X$81)/COUNTIF(S14_Growth_Model_ExAnte!$AZ$15:$AZ$81,$C26),0))))*$O26*S08_Defaults!$B$6*(1+S08_Defaults!$B$7)*S08_Defaults!$B$8</x:f>
        <x:v>490.375463494989</x:v>
      </x:c>
      <x:c r="AI26" s="115" t="n">
        <x:f aca="0">(IF($K26&gt;=2,SUMIF(S14_Growth_Model_ExAnte!$C$15:$C$81,$B26,S14_Growth_Model_ExAnte!$Y$15:$Y$81)/$K26,IF($L26&gt;=2,SUMIF(S14_Growth_Model_ExAnte!$AY$15:$AY$81,$C26&amp;"|"&amp;$D26,S14_Growth_Model_ExAnte!$Y$15:$Y$81)/$L26,IF(COUNTIF(S14_Growth_Model_ExAnte!$AZ$15:$AZ$81,$C26)&gt;0,SUMIF(S14_Growth_Model_ExAnte!$AZ$15:$AZ$81,$C26,S14_Growth_Model_ExAnte!$Y$15:$Y$81)/COUNTIF(S14_Growth_Model_ExAnte!$AZ$15:$AZ$81,$C26),0))))*$O26*S08_Defaults!$B$6*(1+S08_Defaults!$B$7)*S08_Defaults!$B$8</x:f>
        <x:v>525.6999326358658</x:v>
      </x:c>
      <x:c r="AJ26" s="115" t="n">
        <x:f aca="0">(IF($K26&gt;=2,SUMIF(S14_Growth_Model_ExAnte!$C$15:$C$81,$B26,S14_Growth_Model_ExAnte!$Z$15:$Z$81)/$K26,IF($L26&gt;=2,SUMIF(S14_Growth_Model_ExAnte!$AY$15:$AY$81,$C26&amp;"|"&amp;$D26,S14_Growth_Model_ExAnte!$Z$15:$Z$81)/$L26,IF(COUNTIF(S14_Growth_Model_ExAnte!$AZ$15:$AZ$81,$C26)&gt;0,SUMIF(S14_Growth_Model_ExAnte!$AZ$15:$AZ$81,$C26,S14_Growth_Model_ExAnte!$Z$15:$Z$81)/COUNTIF(S14_Growth_Model_ExAnte!$AZ$15:$AZ$81,$C26),0))))*$O26*S08_Defaults!$B$6*(1+S08_Defaults!$B$7)*S08_Defaults!$B$8</x:f>
        <x:v>557.9246430745985</x:v>
      </x:c>
      <x:c r="AK26" s="115" t="n">
        <x:f aca="0">(IF($K26&gt;=2,SUMIF(S14_Growth_Model_ExAnte!$C$15:$C$81,$B26,S14_Growth_Model_ExAnte!$AA$15:$AA$81)/$K26,IF($L26&gt;=2,SUMIF(S14_Growth_Model_ExAnte!$AY$15:$AY$81,$C26&amp;"|"&amp;$D26,S14_Growth_Model_ExAnte!$AA$15:$AA$81)/$L26,IF(COUNTIF(S14_Growth_Model_ExAnte!$AZ$15:$AZ$81,$C26)&gt;0,SUMIF(S14_Growth_Model_ExAnte!$AZ$15:$AZ$81,$C26,S14_Growth_Model_ExAnte!$AA$15:$AA$81)/COUNTIF(S14_Growth_Model_ExAnte!$AZ$15:$AZ$81,$C26),0))))*$O26*S08_Defaults!$B$6*(1+S08_Defaults!$B$7)*S08_Defaults!$B$8</x:f>
        <x:v>587.1335840474726</x:v>
      </x:c>
      <x:c r="AL26" s="115" t="n">
        <x:f aca="0">(IF($K26&gt;=2,SUMIF(S14_Growth_Model_ExAnte!$C$15:$C$81,$B26,S14_Growth_Model_ExAnte!$AB$15:$AB$81)/$K26,IF($L26&gt;=2,SUMIF(S14_Growth_Model_ExAnte!$AY$15:$AY$81,$C26&amp;"|"&amp;$D26,S14_Growth_Model_ExAnte!$AB$15:$AB$81)/$L26,IF(COUNTIF(S14_Growth_Model_ExAnte!$AZ$15:$AZ$81,$C26)&gt;0,SUMIF(S14_Growth_Model_ExAnte!$AZ$15:$AZ$81,$C26,S14_Growth_Model_ExAnte!$AB$15:$AB$81)/COUNTIF(S14_Growth_Model_ExAnte!$AZ$15:$AZ$81,$C26),0))))*$O26*S08_Defaults!$B$6*(1+S08_Defaults!$B$7)*S08_Defaults!$B$8</x:f>
        <x:v>613.4679951072424</x:v>
      </x:c>
      <x:c r="AM26" s="115" t="n">
        <x:f aca="0">R26</x:f>
        <x:v>0</x:v>
      </x:c>
      <x:c r="AN26" s="115" t="n">
        <x:f aca="0">S26-R26</x:f>
        <x:v>0</x:v>
      </x:c>
      <x:c r="AO26" s="115" t="n">
        <x:f aca="0">T26-S26</x:f>
        <x:v>0.2723417518114028</x:v>
      </x:c>
      <x:c r="AP26" s="115" t="n">
        <x:f aca="0">U26-T26</x:f>
        <x:v>2.97655362737194</x:v>
      </x:c>
      <x:c r="AQ26" s="115" t="n">
        <x:f aca="0">V26-U26</x:f>
        <x:v>9.155100506855987</x:v>
      </x:c>
      <x:c r="AR26" s="115" t="n">
        <x:f aca="0">W26-V26</x:f>
        <x:v>17.611960319309496</x:v>
      </x:c>
      <x:c r="AS26" s="115" t="n">
        <x:f aca="0">X26-W26</x:f>
        <x:v>26.4493026801402</x:v>
      </x:c>
      <x:c r="AT26" s="115" t="n">
        <x:f aca="0">Y26-X26</x:f>
        <x:v>34.37136215830535</x:v>
      </x:c>
      <x:c r="AU26" s="115" t="n">
        <x:f aca="0">Z26-Y26</x:f>
        <x:v>40.63832859206407</x:v>
      </x:c>
      <x:c r="AV26" s="115" t="n">
        <x:f aca="0">AA26-Z26</x:f>
        <x:v>44.98780324601955</x:v>
      </x:c>
      <x:c r="AW26" s="115" t="n">
        <x:f aca="0">AB26-AA26</x:f>
        <x:v>47.47288640077457</x:v>
      </x:c>
      <x:c r="AX26" s="115" t="n">
        <x:f aca="0">AC26-AB26</x:f>
        <x:v>48.322110347841885</x:v>
      </x:c>
      <x:c r="AY26" s="115" t="n">
        <x:f aca="0">AD26-AC26</x:f>
        <x:v>47.839030284854005</x:v>
      </x:c>
      <x:c r="AZ26" s="115" t="n">
        <x:f aca="0">AE26-AD26</x:f>
        <x:v>46.33852611963886</x:v>
      </x:c>
      <x:c r="BA26" s="115" t="n">
        <x:f aca="0">AF26-AE26</x:f>
        <x:v>44.11096107832856</x:v>
      </x:c>
      <x:c r="BB26" s="115" t="n">
        <x:f aca="0">AG26-AF26</x:f>
        <x:v>41.40527858675853</x:v>
      </x:c>
      <x:c r="BC26" s="115" t="n">
        <x:f aca="0">AH26-AG26</x:f>
        <x:v>38.42391779491459</x:v>
      </x:c>
      <x:c r="BD26" s="115" t="n">
        <x:f aca="0">AI26-AH26</x:f>
        <x:v>35.32446914087683</x:v>
      </x:c>
      <x:c r="BE26" s="115" t="n">
        <x:f aca="0">AJ26-AI26</x:f>
        <x:v>32.2247104387327</x:v>
      </x:c>
      <x:c r="BF26" s="115" t="n">
        <x:f aca="0">AK26-AJ26</x:f>
        <x:v>29.208940972874075</x:v>
      </x:c>
      <x:c r="BG26" s="115" t="n">
        <x:f aca="0">AL26-AK26</x:f>
        <x:v>26.334411059769764</x:v>
      </x:c>
    </x:row>
    <x:row r="27" ht="15" hidden="0" customHeight="1">
      <x:c r="A27" s="160" t="str">
        <x:f aca="0">"S"&amp;TEXT(ROW()-3,"00")</x:f>
        <x:v>S24</x:v>
      </x:c>
      <x:c r="B27" s="161" t="s">
        <x:v>621</x:v>
      </x:c>
      <x:c r="C27" s="160" t="str">
        <x:f aca="0">LEFT($B27,FIND("|",$B27)-1)</x:f>
        <x:v>Horti-Silviculture</x:v>
      </x:c>
      <x:c r="D27" s="160" t="str">
        <x:f aca="0">MID($B27,FIND("|",$B27)+1,FIND("|",$B27,FIND("|",$B27)+1)-FIND("|",$B27)-1)</x:f>
        <x:v>Low</x:v>
      </x:c>
      <x:c r="E27" s="160" t="n">
        <x:f aca="0">VALUE(RIGHT($B27,4))</x:f>
        <x:v>2022</x:v>
      </x:c>
      <x:c r="F27" s="115" t="n">
        <x:f aca="0">SUMIF(S17_Biome_Strata!$G$4:$G$95,$B27,S17_Biome_Strata!$E$4:$E$95)</x:f>
        <x:v>30</x:v>
      </x:c>
      <x:c r="G27" s="115" t="n">
        <x:f aca="0">SUMIF(S17_Biome_Strata!$G$4:$G$95,$B27,S17_Biome_Strata!$F$4:$F$95)</x:f>
        <x:v>34.9813936058276</x:v>
      </x:c>
      <x:c r="H27" s="115" t="n">
        <x:f aca="0">IF($K27&gt;=2,SUMIF(S14_Growth_Model_ExAnte!$C$15:$C$81,$B27,S14_Growth_Model_ExAnte!$M$15:$M$81)/$K27,IF($L27&gt;=2,SUMIF(S14_Growth_Model_ExAnte!$AY$15:$AY$81,$C27&amp;"|"&amp;$D27,S14_Growth_Model_ExAnte!$M$15:$M$81)/$L27,IF(COUNTIF(S14_Growth_Model_ExAnte!$AZ$15:$AZ$81,$C27)&gt;0,SUMIF(S14_Growth_Model_ExAnte!$AZ$15:$AZ$81,$C27,S14_Growth_Model_ExAnte!$M$15:$M$81)/COUNTIF(S14_Growth_Model_ExAnte!$AZ$15:$AZ$81,$C27),0)))</x:f>
        <x:v>9.226232118707431</x:v>
      </x:c>
      <x:c r="I27" s="115" t="n">
        <x:f aca="0">IF($K27&gt;=2,SQRT(MAX(0,(SUMIF(S14_Growth_Model_ExAnte!$C$15:$C$81,$B27,S14_Growth_Model_ExAnte!$BE$15:$BE$81)-SUMIF(S14_Growth_Model_ExAnte!$C$15:$C$81,$B27,S14_Growth_Model_ExAnte!$M$15:$M$81)*SUMIF(S14_Growth_Model_ExAnte!$C$15:$C$81,$B27,S14_Growth_Model_ExAnte!$M$15:$M$81)/$K27)/($K27-1))),IF($L27&gt;=2,SQRT(MAX(0,(SUMIF(S14_Growth_Model_ExAnte!$AY$15:$AY$81,$C27&amp;"|"&amp;$D27,S14_Growth_Model_ExAnte!$BE$15:$BE$81)-SUMIF(S14_Growth_Model_ExAnte!$AY$15:$AY$81,$C27&amp;"|"&amp;$D27,S14_Growth_Model_ExAnte!$M$15:$M$81)*SUMIF(S14_Growth_Model_ExAnte!$AY$15:$AY$81,$C27&amp;"|"&amp;$D27,S14_Growth_Model_ExAnte!$M$15:$M$81)/$L27)/($L27-1))),IF(COUNTIF(S14_Growth_Model_ExAnte!$AZ$15:$AZ$81,$C27)&gt;=2,SQRT(MAX(0,(SUMIF(S14_Growth_Model_ExAnte!$AZ$15:$AZ$81,$C27,S14_Growth_Model_ExAnte!$BE$15:$BE$81)-SUMIF(S14_Growth_Model_ExAnte!$AZ$15:$AZ$81,$C27,S14_Growth_Model_ExAnte!$M$15:$M$81)*SUMIF(S14_Growth_Model_ExAnte!$AZ$15:$AZ$81,$C27,S14_Growth_Model_ExAnte!$M$15:$M$81)/COUNTIF(S14_Growth_Model_ExAnte!$AZ$15:$AZ$81,$C27))/(COUNTIF(S14_Growth_Model_ExAnte!$AZ$15:$AZ$81,$C27)-1))),0)))</x:f>
        <x:v>7.143725476008843</x:v>
      </x:c>
      <x:c r="J27" s="115" t="n">
        <x:f aca="0">IFERROR(I27/H27,0)</x:f>
        <x:v>0.7742841697559262</x:v>
      </x:c>
      <x:c r="K27" s="115" t="n">
        <x:f aca="0">COUNTIF(S14_Growth_Model_ExAnte!$C$15:$C$81,$B27)</x:f>
        <x:v>1</x:v>
      </x:c>
      <x:c r="L27" s="115" t="n">
        <x:f aca="0">COUNTIF(S14_Growth_Model_ExAnte!$AY$15:$AY$81,$C27&amp;"|"&amp;$D27)</x:f>
        <x:v>4</x:v>
      </x:c>
      <x:c r="M27" s="115" t="n">
        <x:f aca="0">$H27</x:f>
        <x:v>9.226232118707431</x:v>
      </x:c>
      <x:c r="N27" s="115" t="n">
        <x:f aca="0">MAX(0,$M27*S08_Defaults!$B$5)</x:f>
        <x:v>6.919674089030574</x:v>
      </x:c>
      <x:c r="O27" s="115" t="n">
        <x:f aca="0">IFERROR($N27/$M27,0)</x:f>
        <x:v>0.75</x:v>
      </x:c>
      <x:c r="P27" s="115" t="str">
        <x:f aca="0">IF($K27&gt;=2,"Exact Stratum PSP Chapman-Richards curve",IF($L27&gt;=2,"Model×Density pooled Chapman-Richards curve","Model pooled Chapman-Richards curve"))</x:f>
        <x:v>Model×Density pooled Chapman-Richards curve</x:v>
      </x:c>
      <x:c r="Q27" s="162" t="s">
        <x:v>1106</x:v>
      </x:c>
      <x:c r="R27" s="115" t="n">
        <x:f aca="0">0</x:f>
        <x:v>0</x:v>
      </x:c>
      <x:c r="S27" s="115" t="n">
        <x:f aca="0">0</x:f>
        <x:v>0</x:v>
      </x:c>
      <x:c r="T27" s="115" t="n">
        <x:f aca="0">(IF($K27&gt;=2,SUMIF(S14_Growth_Model_ExAnte!$C$15:$C$81,$B27,S14_Growth_Model_ExAnte!$I$15:$I$81)/$K27,IF($L27&gt;=2,SUMIF(S14_Growth_Model_ExAnte!$AY$15:$AY$81,$C27&amp;"|"&amp;$D27,S14_Growth_Model_ExAnte!$I$15:$I$81)/$L27,IF(COUNTIF(S14_Growth_Model_ExAnte!$AZ$15:$AZ$81,$C27)&gt;0,SUMIF(S14_Growth_Model_ExAnte!$AZ$15:$AZ$81,$C27,S14_Growth_Model_ExAnte!$I$15:$I$81)/COUNTIF(S14_Growth_Model_ExAnte!$AZ$15:$AZ$81,$C27),0))))*$O27*S08_Defaults!$B$6*(1+S08_Defaults!$B$7)*S08_Defaults!$B$8</x:f>
        <x:v>0</x:v>
      </x:c>
      <x:c r="U27" s="115" t="n">
        <x:f aca="0">(IF($K27&gt;=2,SUMIF(S14_Growth_Model_ExAnte!$C$15:$C$81,$B27,S14_Growth_Model_ExAnte!$J$15:$J$81)/$K27,IF($L27&gt;=2,SUMIF(S14_Growth_Model_ExAnte!$AY$15:$AY$81,$C27&amp;"|"&amp;$D27,S14_Growth_Model_ExAnte!$J$15:$J$81)/$L27,IF(COUNTIF(S14_Growth_Model_ExAnte!$AZ$15:$AZ$81,$C27)&gt;0,SUMIF(S14_Growth_Model_ExAnte!$AZ$15:$AZ$81,$C27,S14_Growth_Model_ExAnte!$J$15:$J$81)/COUNTIF(S14_Growth_Model_ExAnte!$AZ$15:$AZ$81,$C27),0))))*$O27*S08_Defaults!$B$6*(1+S08_Defaults!$B$7)*S08_Defaults!$B$8</x:f>
        <x:v>0.17403433875284913</x:v>
      </x:c>
      <x:c r="V27" s="115" t="n">
        <x:f aca="0">(IF($K27&gt;=2,SUMIF(S14_Growth_Model_ExAnte!$C$15:$C$81,$B27,S14_Growth_Model_ExAnte!$K$15:$K$81)/$K27,IF($L27&gt;=2,SUMIF(S14_Growth_Model_ExAnte!$AY$15:$AY$81,$C27&amp;"|"&amp;$D27,S14_Growth_Model_ExAnte!$K$15:$K$81)/$L27,IF(COUNTIF(S14_Growth_Model_ExAnte!$AZ$15:$AZ$81,$C27)&gt;0,SUMIF(S14_Growth_Model_ExAnte!$AZ$15:$AZ$81,$C27,S14_Growth_Model_ExAnte!$K$15:$K$81)/COUNTIF(S14_Growth_Model_ExAnte!$AZ$15:$AZ$81,$C27),0))))*$O27*S08_Defaults!$B$6*(1+S08_Defaults!$B$7)*S08_Defaults!$B$8</x:f>
        <x:v>1.808298795281121</x:v>
      </x:c>
      <x:c r="W27" s="115" t="n">
        <x:f aca="0">(IF($K27&gt;=2,SUMIF(S14_Growth_Model_ExAnte!$C$15:$C$81,$B27,S14_Growth_Model_ExAnte!$L$15:$L$81)/$K27,IF($L27&gt;=2,SUMIF(S14_Growth_Model_ExAnte!$AY$15:$AY$81,$C27&amp;"|"&amp;$D27,S14_Growth_Model_ExAnte!$L$15:$L$81)/$L27,IF(COUNTIF(S14_Growth_Model_ExAnte!$AZ$15:$AZ$81,$C27)&gt;0,SUMIF(S14_Growth_Model_ExAnte!$AZ$15:$AZ$81,$C27,S14_Growth_Model_ExAnte!$L$15:$L$81)/COUNTIF(S14_Growth_Model_ExAnte!$AZ$15:$AZ$81,$C27),0))))*$O27*S08_Defaults!$B$6*(1+S08_Defaults!$B$7)*S08_Defaults!$B$8</x:f>
        <x:v>6.412198758790387</x:v>
      </x:c>
      <x:c r="X27" s="115" t="n">
        <x:f aca="0">(IF($K27&gt;=2,SUMIF(S14_Growth_Model_ExAnte!$C$15:$C$81,$B27,S14_Growth_Model_ExAnte!$M$15:$M$81)/$K27,IF($L27&gt;=2,SUMIF(S14_Growth_Model_ExAnte!$AY$15:$AY$81,$C27&amp;"|"&amp;$D27,S14_Growth_Model_ExAnte!$M$15:$M$81)/$L27,IF(COUNTIF(S14_Growth_Model_ExAnte!$AZ$15:$AZ$81,$C27)&gt;0,SUMIF(S14_Growth_Model_ExAnte!$AZ$15:$AZ$81,$C27,S14_Growth_Model_ExAnte!$M$15:$M$81)/COUNTIF(S14_Growth_Model_ExAnte!$AZ$15:$AZ$81,$C27),0))))*$O27*S08_Defaults!$B$6*(1+S08_Defaults!$B$7)*S08_Defaults!$B$8</x:f>
        <x:v>14.786882216652412</x:v>
      </x:c>
      <x:c r="Y27" s="115" t="n">
        <x:f aca="0">(IF($K27&gt;=2,SUMIF(S14_Growth_Model_ExAnte!$C$15:$C$81,$B27,S14_Growth_Model_ExAnte!$N$15:$N$81)/$K27,IF($L27&gt;=2,SUMIF(S14_Growth_Model_ExAnte!$AY$15:$AY$81,$C27&amp;"|"&amp;$D27,S14_Growth_Model_ExAnte!$N$15:$N$81)/$L27,IF(COUNTIF(S14_Growth_Model_ExAnte!$AZ$15:$AZ$81,$C27)&gt;0,SUMIF(S14_Growth_Model_ExAnte!$AZ$15:$AZ$81,$C27,S14_Growth_Model_ExAnte!$N$15:$N$81)/COUNTIF(S14_Growth_Model_ExAnte!$AZ$15:$AZ$81,$C27),0))))*$O27*S08_Defaults!$B$6*(1+S08_Defaults!$B$7)*S08_Defaults!$B$8</x:f>
        <x:v>26.87739423749838</x:v>
      </x:c>
      <x:c r="Z27" s="115" t="n">
        <x:f aca="0">(IF($K27&gt;=2,SUMIF(S14_Growth_Model_ExAnte!$C$15:$C$81,$B27,S14_Growth_Model_ExAnte!$O$15:$O$81)/$K27,IF($L27&gt;=2,SUMIF(S14_Growth_Model_ExAnte!$AY$15:$AY$81,$C27&amp;"|"&amp;$D27,S14_Growth_Model_ExAnte!$O$15:$O$81)/$L27,IF(COUNTIF(S14_Growth_Model_ExAnte!$AZ$15:$AZ$81,$C27)&gt;0,SUMIF(S14_Growth_Model_ExAnte!$AZ$15:$AZ$81,$C27,S14_Growth_Model_ExAnte!$O$15:$O$81)/COUNTIF(S14_Growth_Model_ExAnte!$AZ$15:$AZ$81,$C27),0))))*$O27*S08_Defaults!$B$6*(1+S08_Defaults!$B$7)*S08_Defaults!$B$8</x:f>
        <x:v>42.13775763280599</x:v>
      </x:c>
      <x:c r="AA27" s="115" t="n">
        <x:f aca="0">(IF($K27&gt;=2,SUMIF(S14_Growth_Model_ExAnte!$C$15:$C$81,$B27,S14_Growth_Model_ExAnte!$P$15:$P$81)/$K27,IF($L27&gt;=2,SUMIF(S14_Growth_Model_ExAnte!$AY$15:$AY$81,$C27&amp;"|"&amp;$D27,S14_Growth_Model_ExAnte!$P$15:$P$81)/$L27,IF(COUNTIF(S14_Growth_Model_ExAnte!$AZ$15:$AZ$81,$C27)&gt;0,SUMIF(S14_Growth_Model_ExAnte!$AZ$15:$AZ$81,$C27,S14_Growth_Model_ExAnte!$P$15:$P$81)/COUNTIF(S14_Growth_Model_ExAnte!$AZ$15:$AZ$81,$C27),0))))*$O27*S08_Defaults!$B$6*(1+S08_Defaults!$B$7)*S08_Defaults!$B$8</x:f>
        <x:v>59.78260518527138</x:v>
      </x:c>
      <x:c r="AB27" s="115" t="n">
        <x:f aca="0">(IF($K27&gt;=2,SUMIF(S14_Growth_Model_ExAnte!$C$15:$C$81,$B27,S14_Growth_Model_ExAnte!$Q$15:$Q$81)/$K27,IF($L27&gt;=2,SUMIF(S14_Growth_Model_ExAnte!$AY$15:$AY$81,$C27&amp;"|"&amp;$D27,S14_Growth_Model_ExAnte!$Q$15:$Q$81)/$L27,IF(COUNTIF(S14_Growth_Model_ExAnte!$AZ$15:$AZ$81,$C27)&gt;0,SUMIF(S14_Growth_Model_ExAnte!$AZ$15:$AZ$81,$C27,S14_Growth_Model_ExAnte!$Q$15:$Q$81)/COUNTIF(S14_Growth_Model_ExAnte!$AZ$15:$AZ$81,$C27),0))))*$O27*S08_Defaults!$B$6*(1+S08_Defaults!$B$7)*S08_Defaults!$B$8</x:f>
        <x:v>78.97824156766397</x:v>
      </x:c>
      <x:c r="AC27" s="115" t="n">
        <x:f aca="0">(IF($K27&gt;=2,SUMIF(S14_Growth_Model_ExAnte!$C$15:$C$81,$B27,S14_Growth_Model_ExAnte!$R$15:$R$81)/$K27,IF($L27&gt;=2,SUMIF(S14_Growth_Model_ExAnte!$AY$15:$AY$81,$C27&amp;"|"&amp;$D27,S14_Growth_Model_ExAnte!$R$15:$R$81)/$L27,IF(COUNTIF(S14_Growth_Model_ExAnte!$AZ$15:$AZ$81,$C27)&gt;0,SUMIF(S14_Growth_Model_ExAnte!$AZ$15:$AZ$81,$C27,S14_Growth_Model_ExAnte!$R$15:$R$81)/COUNTIF(S14_Growth_Model_ExAnte!$AZ$15:$AZ$81,$C27),0))))*$O27*S08_Defaults!$B$6*(1+S08_Defaults!$B$7)*S08_Defaults!$B$8</x:f>
        <x:v>98.95602185390175</x:v>
      </x:c>
      <x:c r="AD27" s="115" t="n">
        <x:f aca="0">(IF($K27&gt;=2,SUMIF(S14_Growth_Model_ExAnte!$C$15:$C$81,$B27,S14_Growth_Model_ExAnte!$S$15:$S$81)/$K27,IF($L27&gt;=2,SUMIF(S14_Growth_Model_ExAnte!$AY$15:$AY$81,$C27&amp;"|"&amp;$D27,S14_Growth_Model_ExAnte!$S$15:$S$81)/$L27,IF(COUNTIF(S14_Growth_Model_ExAnte!$AZ$15:$AZ$81,$C27)&gt;0,SUMIF(S14_Growth_Model_ExAnte!$AZ$15:$AZ$81,$C27,S14_Growth_Model_ExAnte!$S$15:$S$81)/COUNTIF(S14_Growth_Model_ExAnte!$AZ$15:$AZ$81,$C27),0))))*$O27*S08_Defaults!$B$6*(1+S08_Defaults!$B$7)*S08_Defaults!$B$8</x:f>
        <x:v>119.06758474596045</x:v>
      </x:c>
      <x:c r="AE27" s="115" t="n">
        <x:f aca="0">(IF($K27&gt;=2,SUMIF(S14_Growth_Model_ExAnte!$C$15:$C$81,$B27,S14_Growth_Model_ExAnte!$T$15:$T$81)/$K27,IF($L27&gt;=2,SUMIF(S14_Growth_Model_ExAnte!$AY$15:$AY$81,$C27&amp;"|"&amp;$D27,S14_Growth_Model_ExAnte!$T$15:$T$81)/$L27,IF(COUNTIF(S14_Growth_Model_ExAnte!$AZ$15:$AZ$81,$C27)&gt;0,SUMIF(S14_Growth_Model_ExAnte!$AZ$15:$AZ$81,$C27,S14_Growth_Model_ExAnte!$T$15:$T$81)/COUNTIF(S14_Growth_Model_ExAnte!$AZ$15:$AZ$81,$C27),0))))*$O27*S08_Defaults!$B$6*(1+S08_Defaults!$B$7)*S08_Defaults!$B$8</x:f>
        <x:v>138.80222721919424</x:v>
      </x:c>
      <x:c r="AF27" s="115" t="n">
        <x:f aca="0">(IF($K27&gt;=2,SUMIF(S14_Growth_Model_ExAnte!$C$15:$C$81,$B27,S14_Growth_Model_ExAnte!$U$15:$U$81)/$K27,IF($L27&gt;=2,SUMIF(S14_Growth_Model_ExAnte!$AY$15:$AY$81,$C27&amp;"|"&amp;$D27,S14_Growth_Model_ExAnte!$U$15:$U$81)/$L27,IF(COUNTIF(S14_Growth_Model_ExAnte!$AZ$15:$AZ$81,$C27)&gt;0,SUMIF(S14_Growth_Model_ExAnte!$AZ$15:$AZ$81,$C27,S14_Growth_Model_ExAnte!$U$15:$U$81)/COUNTIF(S14_Growth_Model_ExAnte!$AZ$15:$AZ$81,$C27),0))))*$O27*S08_Defaults!$B$6*(1+S08_Defaults!$B$7)*S08_Defaults!$B$8</x:f>
        <x:v>157.78228035374133</x:v>
      </x:c>
      <x:c r="AG27" s="115" t="n">
        <x:f aca="0">(IF($K27&gt;=2,SUMIF(S14_Growth_Model_ExAnte!$C$15:$C$81,$B27,S14_Growth_Model_ExAnte!$V$15:$V$81)/$K27,IF($L27&gt;=2,SUMIF(S14_Growth_Model_ExAnte!$AY$15:$AY$81,$C27&amp;"|"&amp;$D27,S14_Growth_Model_ExAnte!$V$15:$V$81)/$L27,IF(COUNTIF(S14_Growth_Model_ExAnte!$AZ$15:$AZ$81,$C27)&gt;0,SUMIF(S14_Growth_Model_ExAnte!$AZ$15:$AZ$81,$C27,S14_Growth_Model_ExAnte!$V$15:$V$81)/COUNTIF(S14_Growth_Model_ExAnte!$AZ$15:$AZ$81,$C27),0))))*$O27*S08_Defaults!$B$6*(1+S08_Defaults!$B$7)*S08_Defaults!$B$8</x:f>
        <x:v>175.74738584896815</x:v>
      </x:c>
      <x:c r="AH27" s="115" t="n">
        <x:f aca="0">(IF($K27&gt;=2,SUMIF(S14_Growth_Model_ExAnte!$C$15:$C$81,$B27,S14_Growth_Model_ExAnte!$W$15:$W$81)/$K27,IF($L27&gt;=2,SUMIF(S14_Growth_Model_ExAnte!$AY$15:$AY$81,$C27&amp;"|"&amp;$D27,S14_Growth_Model_ExAnte!$W$15:$W$81)/$L27,IF(COUNTIF(S14_Growth_Model_ExAnte!$AZ$15:$AZ$81,$C27)&gt;0,SUMIF(S14_Growth_Model_ExAnte!$AZ$15:$AZ$81,$C27,S14_Growth_Model_ExAnte!$W$15:$W$81)/COUNTIF(S14_Growth_Model_ExAnte!$AZ$15:$AZ$81,$C27),0))))*$O27*S08_Defaults!$B$6*(1+S08_Defaults!$B$7)*S08_Defaults!$B$8</x:f>
        <x:v>192.53453046988696</x:v>
      </x:c>
      <x:c r="AI27" s="115" t="n">
        <x:f aca="0">(IF($K27&gt;=2,SUMIF(S14_Growth_Model_ExAnte!$C$15:$C$81,$B27,S14_Growth_Model_ExAnte!$X$15:$X$81)/$K27,IF($L27&gt;=2,SUMIF(S14_Growth_Model_ExAnte!$AY$15:$AY$81,$C27&amp;"|"&amp;$D27,S14_Growth_Model_ExAnte!$X$15:$X$81)/$L27,IF(COUNTIF(S14_Growth_Model_ExAnte!$AZ$15:$AZ$81,$C27)&gt;0,SUMIF(S14_Growth_Model_ExAnte!$AZ$15:$AZ$81,$C27,S14_Growth_Model_ExAnte!$X$15:$X$81)/COUNTIF(S14_Growth_Model_ExAnte!$AZ$15:$AZ$81,$C27),0))))*$O27*S08_Defaults!$B$6*(1+S08_Defaults!$B$7)*S08_Defaults!$B$8</x:f>
        <x:v>208.05780653042697</x:v>
      </x:c>
      <x:c r="AJ27" s="115" t="n">
        <x:f aca="0">(IF($K27&gt;=2,SUMIF(S14_Growth_Model_ExAnte!$C$15:$C$81,$B27,S14_Growth_Model_ExAnte!$Y$15:$Y$81)/$K27,IF($L27&gt;=2,SUMIF(S14_Growth_Model_ExAnte!$AY$15:$AY$81,$C27&amp;"|"&amp;$D27,S14_Growth_Model_ExAnte!$Y$15:$Y$81)/$L27,IF(COUNTIF(S14_Growth_Model_ExAnte!$AZ$15:$AZ$81,$C27)&gt;0,SUMIF(S14_Growth_Model_ExAnte!$AZ$15:$AZ$81,$C27,S14_Growth_Model_ExAnte!$Y$15:$Y$81)/COUNTIF(S14_Growth_Model_ExAnte!$AZ$15:$AZ$81,$C27),0))))*$O27*S08_Defaults!$B$6*(1+S08_Defaults!$B$7)*S08_Defaults!$B$8</x:f>
        <x:v>222.2899602891645</x:v>
      </x:c>
      <x:c r="AK27" s="115" t="n">
        <x:f aca="0">(IF($K27&gt;=2,SUMIF(S14_Growth_Model_ExAnte!$C$15:$C$81,$B27,S14_Growth_Model_ExAnte!$Z$15:$Z$81)/$K27,IF($L27&gt;=2,SUMIF(S14_Growth_Model_ExAnte!$AY$15:$AY$81,$C27&amp;"|"&amp;$D27,S14_Growth_Model_ExAnte!$Z$15:$Z$81)/$L27,IF(COUNTIF(S14_Growth_Model_ExAnte!$AZ$15:$AZ$81,$C27)&gt;0,SUMIF(S14_Growth_Model_ExAnte!$AZ$15:$AZ$81,$C27,S14_Growth_Model_ExAnte!$Z$15:$Z$81)/COUNTIF(S14_Growth_Model_ExAnte!$AZ$15:$AZ$81,$C27),0))))*$O27*S08_Defaults!$B$6*(1+S08_Defaults!$B$7)*S08_Defaults!$B$8</x:f>
        <x:v>235.24661033512507</x:v>
      </x:c>
      <x:c r="AL27" s="115" t="n">
        <x:f aca="0">(IF($K27&gt;=2,SUMIF(S14_Growth_Model_ExAnte!$C$15:$C$81,$B27,S14_Growth_Model_ExAnte!$AA$15:$AA$81)/$K27,IF($L27&gt;=2,SUMIF(S14_Growth_Model_ExAnte!$AY$15:$AY$81,$C27&amp;"|"&amp;$D27,S14_Growth_Model_ExAnte!$AA$15:$AA$81)/$L27,IF(COUNTIF(S14_Growth_Model_ExAnte!$AZ$15:$AZ$81,$C27)&gt;0,SUMIF(S14_Growth_Model_ExAnte!$AZ$15:$AZ$81,$C27,S14_Growth_Model_ExAnte!$AA$15:$AA$81)/COUNTIF(S14_Growth_Model_ExAnte!$AZ$15:$AZ$81,$C27),0))))*$O27*S08_Defaults!$B$6*(1+S08_Defaults!$B$7)*S08_Defaults!$B$8</x:f>
        <x:v>246.97333409785028</x:v>
      </x:c>
      <x:c r="AM27" s="115" t="n">
        <x:f aca="0">R27</x:f>
        <x:v>0</x:v>
      </x:c>
      <x:c r="AN27" s="115" t="n">
        <x:f aca="0">S27-R27</x:f>
        <x:v>0</x:v>
      </x:c>
      <x:c r="AO27" s="115" t="n">
        <x:f aca="0">T27-S27</x:f>
        <x:v>0</x:v>
      </x:c>
      <x:c r="AP27" s="115" t="n">
        <x:f aca="0">U27-T27</x:f>
        <x:v>0.17403433875284913</x:v>
      </x:c>
      <x:c r="AQ27" s="115" t="n">
        <x:f aca="0">V27-U27</x:f>
        <x:v>1.6342644565282718</x:v>
      </x:c>
      <x:c r="AR27" s="115" t="n">
        <x:f aca="0">W27-V27</x:f>
        <x:v>4.603899963509266</x:v>
      </x:c>
      <x:c r="AS27" s="115" t="n">
        <x:f aca="0">X27-W27</x:f>
        <x:v>8.374683457862025</x:v>
      </x:c>
      <x:c r="AT27" s="115" t="n">
        <x:f aca="0">Y27-X27</x:f>
        <x:v>12.090512020845967</x:v>
      </x:c>
      <x:c r="AU27" s="115" t="n">
        <x:f aca="0">Z27-Y27</x:f>
        <x:v>15.260363395307614</x:v>
      </x:c>
      <x:c r="AV27" s="115" t="n">
        <x:f aca="0">AA27-Z27</x:f>
        <x:v>17.644847552465386</x:v>
      </x:c>
      <x:c r="AW27" s="115" t="n">
        <x:f aca="0">AB27-AA27</x:f>
        <x:v>19.195636382392593</x:v>
      </x:c>
      <x:c r="AX27" s="115" t="n">
        <x:f aca="0">AC27-AB27</x:f>
        <x:v>19.977780286237774</x:v>
      </x:c>
      <x:c r="AY27" s="115" t="n">
        <x:f aca="0">AD27-AC27</x:f>
        <x:v>20.1115628920587</x:v>
      </x:c>
      <x:c r="AZ27" s="115" t="n">
        <x:f aca="0">AE27-AD27</x:f>
        <x:v>19.73464247323379</x:v>
      </x:c>
      <x:c r="BA27" s="115" t="n">
        <x:f aca="0">AF27-AE27</x:f>
        <x:v>18.98005313454709</x:v>
      </x:c>
      <x:c r="BB27" s="115" t="n">
        <x:f aca="0">AG27-AF27</x:f>
        <x:v>17.965105495226823</x:v>
      </x:c>
      <x:c r="BC27" s="115" t="n">
        <x:f aca="0">AH27-AG27</x:f>
        <x:v>16.78714462091881</x:v>
      </x:c>
      <x:c r="BD27" s="115" t="n">
        <x:f aca="0">AI27-AH27</x:f>
        <x:v>15.523276060540013</x:v>
      </x:c>
      <x:c r="BE27" s="115" t="n">
        <x:f aca="0">AJ27-AI27</x:f>
        <x:v>14.232153758737525</x:v>
      </x:c>
      <x:c r="BF27" s="115" t="n">
        <x:f aca="0">AK27-AJ27</x:f>
        <x:v>12.956650045960572</x:v>
      </x:c>
      <x:c r="BG27" s="115" t="n">
        <x:f aca="0">AL27-AK27</x:f>
        <x:v>11.726723762725214</x:v>
      </x:c>
    </x:row>
    <x:row r="28" ht="15" hidden="0" customHeight="1">
      <x:c r="A28" s="160" t="str">
        <x:f aca="0">"S"&amp;TEXT(ROW()-3,"00")</x:f>
        <x:v>S25</x:v>
      </x:c>
      <x:c r="B28" s="161" t="s">
        <x:v>568</x:v>
      </x:c>
      <x:c r="C28" s="160" t="str">
        <x:f aca="0">LEFT($B28,FIND("|",$B28)-1)</x:f>
        <x:v>Fruit Orchard</x:v>
      </x:c>
      <x:c r="D28" s="160" t="str">
        <x:f aca="0">MID($B28,FIND("|",$B28)+1,FIND("|",$B28,FIND("|",$B28)+1)-FIND("|",$B28)-1)</x:f>
        <x:v>Medium</x:v>
      </x:c>
      <x:c r="E28" s="160" t="n">
        <x:f aca="0">VALUE(RIGHT($B28,4))</x:f>
        <x:v>2022</x:v>
      </x:c>
      <x:c r="F28" s="115" t="n">
        <x:f aca="0">SUMIF(S17_Biome_Strata!$G$4:$G$95,$B28,S17_Biome_Strata!$E$4:$E$95)</x:f>
        <x:v>117</x:v>
      </x:c>
      <x:c r="G28" s="115" t="n">
        <x:f aca="0">SUMIF(S17_Biome_Strata!$G$4:$G$95,$B28,S17_Biome_Strata!$F$4:$F$95)</x:f>
        <x:v>141.1623641845407</x:v>
      </x:c>
      <x:c r="H28" s="115" t="n">
        <x:f aca="0">IF($K28&gt;=2,SUMIF(S14_Growth_Model_ExAnte!$C$15:$C$81,$B28,S14_Growth_Model_ExAnte!$M$15:$M$81)/$K28,IF($L28&gt;=2,SUMIF(S14_Growth_Model_ExAnte!$AY$15:$AY$81,$C28&amp;"|"&amp;$D28,S14_Growth_Model_ExAnte!$M$15:$M$81)/$L28,IF(COUNTIF(S14_Growth_Model_ExAnte!$AZ$15:$AZ$81,$C28)&gt;0,SUMIF(S14_Growth_Model_ExAnte!$AZ$15:$AZ$81,$C28,S14_Growth_Model_ExAnte!$M$15:$M$81)/COUNTIF(S14_Growth_Model_ExAnte!$AZ$15:$AZ$81,$C28),0)))</x:f>
        <x:v>4.546069523273433</x:v>
      </x:c>
      <x:c r="I28" s="115" t="n">
        <x:f aca="0">IF($K28&gt;=2,SQRT(MAX(0,(SUMIF(S14_Growth_Model_ExAnte!$C$15:$C$81,$B28,S14_Growth_Model_ExAnte!$BE$15:$BE$81)-SUMIF(S14_Growth_Model_ExAnte!$C$15:$C$81,$B28,S14_Growth_Model_ExAnte!$M$15:$M$81)*SUMIF(S14_Growth_Model_ExAnte!$C$15:$C$81,$B28,S14_Growth_Model_ExAnte!$M$15:$M$81)/$K28)/($K28-1))),IF($L28&gt;=2,SQRT(MAX(0,(SUMIF(S14_Growth_Model_ExAnte!$AY$15:$AY$81,$C28&amp;"|"&amp;$D28,S14_Growth_Model_ExAnte!$BE$15:$BE$81)-SUMIF(S14_Growth_Model_ExAnte!$AY$15:$AY$81,$C28&amp;"|"&amp;$D28,S14_Growth_Model_ExAnte!$M$15:$M$81)*SUMIF(S14_Growth_Model_ExAnte!$AY$15:$AY$81,$C28&amp;"|"&amp;$D28,S14_Growth_Model_ExAnte!$M$15:$M$81)/$L28)/($L28-1))),IF(COUNTIF(S14_Growth_Model_ExAnte!$AZ$15:$AZ$81,$C28)&gt;=2,SQRT(MAX(0,(SUMIF(S14_Growth_Model_ExAnte!$AZ$15:$AZ$81,$C28,S14_Growth_Model_ExAnte!$BE$15:$BE$81)-SUMIF(S14_Growth_Model_ExAnte!$AZ$15:$AZ$81,$C28,S14_Growth_Model_ExAnte!$M$15:$M$81)*SUMIF(S14_Growth_Model_ExAnte!$AZ$15:$AZ$81,$C28,S14_Growth_Model_ExAnte!$M$15:$M$81)/COUNTIF(S14_Growth_Model_ExAnte!$AZ$15:$AZ$81,$C28))/(COUNTIF(S14_Growth_Model_ExAnte!$AZ$15:$AZ$81,$C28)-1))),0)))</x:f>
        <x:v>0.558202187631231</x:v>
      </x:c>
      <x:c r="J28" s="115" t="n">
        <x:f aca="0">IFERROR(I28/H28,0)</x:f>
        <x:v>0.12278786867942423</x:v>
      </x:c>
      <x:c r="K28" s="115" t="n">
        <x:f aca="0">COUNTIF(S14_Growth_Model_ExAnte!$C$15:$C$81,$B28)</x:f>
        <x:v>2</x:v>
      </x:c>
      <x:c r="L28" s="115" t="n">
        <x:f aca="0">COUNTIF(S14_Growth_Model_ExAnte!$AY$15:$AY$81,$C28&amp;"|"&amp;$D28)</x:f>
        <x:v>7</x:v>
      </x:c>
      <x:c r="M28" s="115" t="n">
        <x:f aca="0">$H28</x:f>
        <x:v>4.546069523273433</x:v>
      </x:c>
      <x:c r="N28" s="115" t="n">
        <x:f aca="0">MAX(0,$M28*S08_Defaults!$B$5)</x:f>
        <x:v>3.4095521424550745</x:v>
      </x:c>
      <x:c r="O28" s="115" t="n">
        <x:f aca="0">IFERROR($N28/$M28,0)</x:f>
        <x:v>0.75</x:v>
      </x:c>
      <x:c r="P28" s="115" t="str">
        <x:f aca="0">IF($K28&gt;=2,"Exact Stratum PSP Chapman-Richards curve",IF($L28&gt;=2,"Model×Density pooled Chapman-Richards curve","Model pooled Chapman-Richards curve"))</x:f>
        <x:v>Exact Stratum PSP Chapman-Richards curve</x:v>
      </x:c>
      <x:c r="Q28" s="162" t="s">
        <x:v>1106</x:v>
      </x:c>
      <x:c r="R28" s="115" t="n">
        <x:f aca="0">0</x:f>
        <x:v>0</x:v>
      </x:c>
      <x:c r="S28" s="115" t="n">
        <x:f aca="0">0</x:f>
        <x:v>0</x:v>
      </x:c>
      <x:c r="T28" s="115" t="n">
        <x:f aca="0">(IF($K28&gt;=2,SUMIF(S14_Growth_Model_ExAnte!$C$15:$C$81,$B28,S14_Growth_Model_ExAnte!$I$15:$I$81)/$K28,IF($L28&gt;=2,SUMIF(S14_Growth_Model_ExAnte!$AY$15:$AY$81,$C28&amp;"|"&amp;$D28,S14_Growth_Model_ExAnte!$I$15:$I$81)/$L28,IF(COUNTIF(S14_Growth_Model_ExAnte!$AZ$15:$AZ$81,$C28)&gt;0,SUMIF(S14_Growth_Model_ExAnte!$AZ$15:$AZ$81,$C28,S14_Growth_Model_ExAnte!$I$15:$I$81)/COUNTIF(S14_Growth_Model_ExAnte!$AZ$15:$AZ$81,$C28),0))))*$O28*S08_Defaults!$B$6*(1+S08_Defaults!$B$7)*S08_Defaults!$B$8</x:f>
        <x:v>0</x:v>
      </x:c>
      <x:c r="U28" s="115" t="n">
        <x:f aca="0">(IF($K28&gt;=2,SUMIF(S14_Growth_Model_ExAnte!$C$15:$C$81,$B28,S14_Growth_Model_ExAnte!$J$15:$J$81)/$K28,IF($L28&gt;=2,SUMIF(S14_Growth_Model_ExAnte!$AY$15:$AY$81,$C28&amp;"|"&amp;$D28,S14_Growth_Model_ExAnte!$J$15:$J$81)/$L28,IF(COUNTIF(S14_Growth_Model_ExAnte!$AZ$15:$AZ$81,$C28)&gt;0,SUMIF(S14_Growth_Model_ExAnte!$AZ$15:$AZ$81,$C28,S14_Growth_Model_ExAnte!$J$15:$J$81)/COUNTIF(S14_Growth_Model_ExAnte!$AZ$15:$AZ$81,$C28),0))))*$O28*S08_Defaults!$B$6*(1+S08_Defaults!$B$7)*S08_Defaults!$B$8</x:f>
        <x:v>0.06743395447797437</x:v>
      </x:c>
      <x:c r="V28" s="115" t="n">
        <x:f aca="0">(IF($K28&gt;=2,SUMIF(S14_Growth_Model_ExAnte!$C$15:$C$81,$B28,S14_Growth_Model_ExAnte!$K$15:$K$81)/$K28,IF($L28&gt;=2,SUMIF(S14_Growth_Model_ExAnte!$AY$15:$AY$81,$C28&amp;"|"&amp;$D28,S14_Growth_Model_ExAnte!$K$15:$K$81)/$L28,IF(COUNTIF(S14_Growth_Model_ExAnte!$AZ$15:$AZ$81,$C28)&gt;0,SUMIF(S14_Growth_Model_ExAnte!$AZ$15:$AZ$81,$C28,S14_Growth_Model_ExAnte!$K$15:$K$81)/COUNTIF(S14_Growth_Model_ExAnte!$AZ$15:$AZ$81,$C28),0))))*$O28*S08_Defaults!$B$6*(1+S08_Defaults!$B$7)*S08_Defaults!$B$8</x:f>
        <x:v>0.8115170008152799</x:v>
      </x:c>
      <x:c r="W28" s="115" t="n">
        <x:f aca="0">(IF($K28&gt;=2,SUMIF(S14_Growth_Model_ExAnte!$C$15:$C$81,$B28,S14_Growth_Model_ExAnte!$L$15:$L$81)/$K28,IF($L28&gt;=2,SUMIF(S14_Growth_Model_ExAnte!$AY$15:$AY$81,$C28&amp;"|"&amp;$D28,S14_Growth_Model_ExAnte!$L$15:$L$81)/$L28,IF(COUNTIF(S14_Growth_Model_ExAnte!$AZ$15:$AZ$81,$C28)&gt;0,SUMIF(S14_Growth_Model_ExAnte!$AZ$15:$AZ$81,$C28,S14_Growth_Model_ExAnte!$L$15:$L$81)/COUNTIF(S14_Growth_Model_ExAnte!$AZ$15:$AZ$81,$C28),0))))*$O28*S08_Defaults!$B$6*(1+S08_Defaults!$B$7)*S08_Defaults!$B$8</x:f>
        <x:v>3.064704737571068</x:v>
      </x:c>
      <x:c r="X28" s="115" t="n">
        <x:f aca="0">(IF($K28&gt;=2,SUMIF(S14_Growth_Model_ExAnte!$C$15:$C$81,$B28,S14_Growth_Model_ExAnte!$M$15:$M$81)/$K28,IF($L28&gt;=2,SUMIF(S14_Growth_Model_ExAnte!$AY$15:$AY$81,$C28&amp;"|"&amp;$D28,S14_Growth_Model_ExAnte!$M$15:$M$81)/$L28,IF(COUNTIF(S14_Growth_Model_ExAnte!$AZ$15:$AZ$81,$C28)&gt;0,SUMIF(S14_Growth_Model_ExAnte!$AZ$15:$AZ$81,$C28,S14_Growth_Model_ExAnte!$M$15:$M$81)/COUNTIF(S14_Growth_Model_ExAnte!$AZ$15:$AZ$81,$C28),0))))*$O28*S08_Defaults!$B$6*(1+S08_Defaults!$B$7)*S08_Defaults!$B$8</x:f>
        <x:v>7.285985624950337</x:v>
      </x:c>
      <x:c r="Y28" s="115" t="n">
        <x:f aca="0">(IF($K28&gt;=2,SUMIF(S14_Growth_Model_ExAnte!$C$15:$C$81,$B28,S14_Growth_Model_ExAnte!$N$15:$N$81)/$K28,IF($L28&gt;=2,SUMIF(S14_Growth_Model_ExAnte!$AY$15:$AY$81,$C28&amp;"|"&amp;$D28,S14_Growth_Model_ExAnte!$N$15:$N$81)/$L28,IF(COUNTIF(S14_Growth_Model_ExAnte!$AZ$15:$AZ$81,$C28)&gt;0,SUMIF(S14_Growth_Model_ExAnte!$AZ$15:$AZ$81,$C28,S14_Growth_Model_ExAnte!$N$15:$N$81)/COUNTIF(S14_Growth_Model_ExAnte!$AZ$15:$AZ$81,$C28),0))))*$O28*S08_Defaults!$B$6*(1+S08_Defaults!$B$7)*S08_Defaults!$B$8</x:f>
        <x:v>13.432077652040693</x:v>
      </x:c>
      <x:c r="Z28" s="115" t="n">
        <x:f aca="0">(IF($K28&gt;=2,SUMIF(S14_Growth_Model_ExAnte!$C$15:$C$81,$B28,S14_Growth_Model_ExAnte!$O$15:$O$81)/$K28,IF($L28&gt;=2,SUMIF(S14_Growth_Model_ExAnte!$AY$15:$AY$81,$C28&amp;"|"&amp;$D28,S14_Growth_Model_ExAnte!$O$15:$O$81)/$L28,IF(COUNTIF(S14_Growth_Model_ExAnte!$AZ$15:$AZ$81,$C28)&gt;0,SUMIF(S14_Growth_Model_ExAnte!$AZ$15:$AZ$81,$C28,S14_Growth_Model_ExAnte!$O$15:$O$81)/COUNTIF(S14_Growth_Model_ExAnte!$AZ$15:$AZ$81,$C28),0))))*$O28*S08_Defaults!$B$6*(1+S08_Defaults!$B$7)*S08_Defaults!$B$8</x:f>
        <x:v>21.164212915183775</x:v>
      </x:c>
      <x:c r="AA28" s="115" t="n">
        <x:f aca="0">(IF($K28&gt;=2,SUMIF(S14_Growth_Model_ExAnte!$C$15:$C$81,$B28,S14_Growth_Model_ExAnte!$P$15:$P$81)/$K28,IF($L28&gt;=2,SUMIF(S14_Growth_Model_ExAnte!$AY$15:$AY$81,$C28&amp;"|"&amp;$D28,S14_Growth_Model_ExAnte!$P$15:$P$81)/$L28,IF(COUNTIF(S14_Growth_Model_ExAnte!$AZ$15:$AZ$81,$C28)&gt;0,SUMIF(S14_Growth_Model_ExAnte!$AZ$15:$AZ$81,$C28,S14_Growth_Model_ExAnte!$P$15:$P$81)/COUNTIF(S14_Growth_Model_ExAnte!$AZ$15:$AZ$81,$C28),0))))*$O28*S08_Defaults!$B$6*(1+S08_Defaults!$B$7)*S08_Defaults!$B$8</x:f>
        <x:v>30.01504494949459</x:v>
      </x:c>
      <x:c r="AB28" s="115" t="n">
        <x:f aca="0">(IF($K28&gt;=2,SUMIF(S14_Growth_Model_ExAnte!$C$15:$C$81,$B28,S14_Growth_Model_ExAnte!$Q$15:$Q$81)/$K28,IF($L28&gt;=2,SUMIF(S14_Growth_Model_ExAnte!$AY$15:$AY$81,$C28&amp;"|"&amp;$D28,S14_Growth_Model_ExAnte!$Q$15:$Q$81)/$L28,IF(COUNTIF(S14_Growth_Model_ExAnte!$AZ$15:$AZ$81,$C28)&gt;0,SUMIF(S14_Growth_Model_ExAnte!$AZ$15:$AZ$81,$C28,S14_Growth_Model_ExAnte!$Q$15:$Q$81)/COUNTIF(S14_Growth_Model_ExAnte!$AZ$15:$AZ$81,$C28),0))))*$O28*S08_Defaults!$B$6*(1+S08_Defaults!$B$7)*S08_Defaults!$B$8</x:f>
        <x:v>39.50947727002183</x:v>
      </x:c>
      <x:c r="AC28" s="115" t="n">
        <x:f aca="0">(IF($K28&gt;=2,SUMIF(S14_Growth_Model_ExAnte!$C$15:$C$81,$B28,S14_Growth_Model_ExAnte!$R$15:$R$81)/$K28,IF($L28&gt;=2,SUMIF(S14_Growth_Model_ExAnte!$AY$15:$AY$81,$C28&amp;"|"&amp;$D28,S14_Growth_Model_ExAnte!$R$15:$R$81)/$L28,IF(COUNTIF(S14_Growth_Model_ExAnte!$AZ$15:$AZ$81,$C28)&gt;0,SUMIF(S14_Growth_Model_ExAnte!$AZ$15:$AZ$81,$C28,S14_Growth_Model_ExAnte!$R$15:$R$81)/COUNTIF(S14_Growth_Model_ExAnte!$AZ$15:$AZ$81,$C28),0))))*$O28*S08_Defaults!$B$6*(1+S08_Defaults!$B$7)*S08_Defaults!$B$8</x:f>
        <x:v>49.23060085166818</x:v>
      </x:c>
      <x:c r="AD28" s="115" t="n">
        <x:f aca="0">(IF($K28&gt;=2,SUMIF(S14_Growth_Model_ExAnte!$C$15:$C$81,$B28,S14_Growth_Model_ExAnte!$S$15:$S$81)/$K28,IF($L28&gt;=2,SUMIF(S14_Growth_Model_ExAnte!$AY$15:$AY$81,$C28&amp;"|"&amp;$D28,S14_Growth_Model_ExAnte!$S$15:$S$81)/$L28,IF(COUNTIF(S14_Growth_Model_ExAnte!$AZ$15:$AZ$81,$C28)&gt;0,SUMIF(S14_Growth_Model_ExAnte!$AZ$15:$AZ$81,$C28,S14_Growth_Model_ExAnte!$S$15:$S$81)/COUNTIF(S14_Growth_Model_ExAnte!$AZ$15:$AZ$81,$C28),0))))*$O28*S08_Defaults!$B$6*(1+S08_Defaults!$B$7)*S08_Defaults!$B$8</x:f>
        <x:v>58.84630285237273</x:v>
      </x:c>
      <x:c r="AE28" s="115" t="n">
        <x:f aca="0">(IF($K28&gt;=2,SUMIF(S14_Growth_Model_ExAnte!$C$15:$C$81,$B28,S14_Growth_Model_ExAnte!$T$15:$T$81)/$K28,IF($L28&gt;=2,SUMIF(S14_Growth_Model_ExAnte!$AY$15:$AY$81,$C28&amp;"|"&amp;$D28,S14_Growth_Model_ExAnte!$T$15:$T$81)/$L28,IF(COUNTIF(S14_Growth_Model_ExAnte!$AZ$15:$AZ$81,$C28)&gt;0,SUMIF(S14_Growth_Model_ExAnte!$AZ$15:$AZ$81,$C28,S14_Growth_Model_ExAnte!$T$15:$T$81)/COUNTIF(S14_Growth_Model_ExAnte!$AZ$15:$AZ$81,$C28),0))))*$O28*S08_Defaults!$B$6*(1+S08_Defaults!$B$7)*S08_Defaults!$B$8</x:f>
        <x:v>68.11226048381648</x:v>
      </x:c>
      <x:c r="AF28" s="115" t="n">
        <x:f aca="0">(IF($K28&gt;=2,SUMIF(S14_Growth_Model_ExAnte!$C$15:$C$81,$B28,S14_Growth_Model_ExAnte!$U$15:$U$81)/$K28,IF($L28&gt;=2,SUMIF(S14_Growth_Model_ExAnte!$AY$15:$AY$81,$C28&amp;"|"&amp;$D28,S14_Growth_Model_ExAnte!$U$15:$U$81)/$L28,IF(COUNTIF(S14_Growth_Model_ExAnte!$AZ$15:$AZ$81,$C28)&gt;0,SUMIF(S14_Growth_Model_ExAnte!$AZ$15:$AZ$81,$C28,S14_Growth_Model_ExAnte!$U$15:$U$81)/COUNTIF(S14_Growth_Model_ExAnte!$AZ$15:$AZ$81,$C28),0))))*$O28*S08_Defaults!$B$6*(1+S08_Defaults!$B$7)*S08_Defaults!$B$8</x:f>
        <x:v>76.86286166394001</x:v>
      </x:c>
      <x:c r="AG28" s="115" t="n">
        <x:f aca="0">(IF($K28&gt;=2,SUMIF(S14_Growth_Model_ExAnte!$C$15:$C$81,$B28,S14_Growth_Model_ExAnte!$V$15:$V$81)/$K28,IF($L28&gt;=2,SUMIF(S14_Growth_Model_ExAnte!$AY$15:$AY$81,$C28&amp;"|"&amp;$D28,S14_Growth_Model_ExAnte!$V$15:$V$81)/$L28,IF(COUNTIF(S14_Growth_Model_ExAnte!$AZ$15:$AZ$81,$C28)&gt;0,SUMIF(S14_Growth_Model_ExAnte!$AZ$15:$AZ$81,$C28,S14_Growth_Model_ExAnte!$V$15:$V$81)/COUNTIF(S14_Growth_Model_ExAnte!$AZ$15:$AZ$81,$C28),0))))*$O28*S08_Defaults!$B$6*(1+S08_Defaults!$B$7)*S08_Defaults!$B$8</x:f>
        <x:v>84.99734192240612</x:v>
      </x:c>
      <x:c r="AH28" s="115" t="n">
        <x:f aca="0">(IF($K28&gt;=2,SUMIF(S14_Growth_Model_ExAnte!$C$15:$C$81,$B28,S14_Growth_Model_ExAnte!$W$15:$W$81)/$K28,IF($L28&gt;=2,SUMIF(S14_Growth_Model_ExAnte!$AY$15:$AY$81,$C28&amp;"|"&amp;$D28,S14_Growth_Model_ExAnte!$W$15:$W$81)/$L28,IF(COUNTIF(S14_Growth_Model_ExAnte!$AZ$15:$AZ$81,$C28)&gt;0,SUMIF(S14_Growth_Model_ExAnte!$AZ$15:$AZ$81,$C28,S14_Growth_Model_ExAnte!$W$15:$W$81)/COUNTIF(S14_Growth_Model_ExAnte!$AZ$15:$AZ$81,$C28),0))))*$O28*S08_Defaults!$B$6*(1+S08_Defaults!$B$7)*S08_Defaults!$B$8</x:f>
        <x:v>92.4652433877896</x:v>
      </x:c>
      <x:c r="AI28" s="115" t="n">
        <x:f aca="0">(IF($K28&gt;=2,SUMIF(S14_Growth_Model_ExAnte!$C$15:$C$81,$B28,S14_Growth_Model_ExAnte!$X$15:$X$81)/$K28,IF($L28&gt;=2,SUMIF(S14_Growth_Model_ExAnte!$AY$15:$AY$81,$C28&amp;"|"&amp;$D28,S14_Growth_Model_ExAnte!$X$15:$X$81)/$L28,IF(COUNTIF(S14_Growth_Model_ExAnte!$AZ$15:$AZ$81,$C28)&gt;0,SUMIF(S14_Growth_Model_ExAnte!$AZ$15:$AZ$81,$C28,S14_Growth_Model_ExAnte!$X$15:$X$81)/COUNTIF(S14_Growth_Model_ExAnte!$AZ$15:$AZ$81,$C28),0))))*$O28*S08_Defaults!$B$6*(1+S08_Defaults!$B$7)*S08_Defaults!$B$8</x:f>
        <x:v>99.25322623894684</x:v>
      </x:c>
      <x:c r="AJ28" s="115" t="n">
        <x:f aca="0">(IF($K28&gt;=2,SUMIF(S14_Growth_Model_ExAnte!$C$15:$C$81,$B28,S14_Growth_Model_ExAnte!$Y$15:$Y$81)/$K28,IF($L28&gt;=2,SUMIF(S14_Growth_Model_ExAnte!$AY$15:$AY$81,$C28&amp;"|"&amp;$D28,S14_Growth_Model_ExAnte!$Y$15:$Y$81)/$L28,IF(COUNTIF(S14_Growth_Model_ExAnte!$AZ$15:$AZ$81,$C28)&gt;0,SUMIF(S14_Growth_Model_ExAnte!$AZ$15:$AZ$81,$C28,S14_Growth_Model_ExAnte!$Y$15:$Y$81)/COUNTIF(S14_Growth_Model_ExAnte!$AZ$15:$AZ$81,$C28),0))))*$O28*S08_Defaults!$B$6*(1+S08_Defaults!$B$7)*S08_Defaults!$B$8</x:f>
        <x:v>105.37403100620998</x:v>
      </x:c>
      <x:c r="AK28" s="115" t="n">
        <x:f aca="0">(IF($K28&gt;=2,SUMIF(S14_Growth_Model_ExAnte!$C$15:$C$81,$B28,S14_Growth_Model_ExAnte!$Z$15:$Z$81)/$K28,IF($L28&gt;=2,SUMIF(S14_Growth_Model_ExAnte!$AY$15:$AY$81,$C28&amp;"|"&amp;$D28,S14_Growth_Model_ExAnte!$Z$15:$Z$81)/$L28,IF(COUNTIF(S14_Growth_Model_ExAnte!$AZ$15:$AZ$81,$C28)&gt;0,SUMIF(S14_Growth_Model_ExAnte!$AZ$15:$AZ$81,$C28,S14_Growth_Model_ExAnte!$Z$15:$Z$81)/COUNTIF(S14_Growth_Model_ExAnte!$AZ$15:$AZ$81,$C28),0))))*$O28*S08_Defaults!$B$6*(1+S08_Defaults!$B$7)*S08_Defaults!$B$8</x:f>
        <x:v>110.85772028876467</x:v>
      </x:c>
      <x:c r="AL28" s="115" t="n">
        <x:f aca="0">(IF($K28&gt;=2,SUMIF(S14_Growth_Model_ExAnte!$C$15:$C$81,$B28,S14_Growth_Model_ExAnte!$AA$15:$AA$81)/$K28,IF($L28&gt;=2,SUMIF(S14_Growth_Model_ExAnte!$AY$15:$AY$81,$C28&amp;"|"&amp;$D28,S14_Growth_Model_ExAnte!$AA$15:$AA$81)/$L28,IF(COUNTIF(S14_Growth_Model_ExAnte!$AZ$15:$AZ$81,$C28)&gt;0,SUMIF(S14_Growth_Model_ExAnte!$AZ$15:$AZ$81,$C28,S14_Growth_Model_ExAnte!$AA$15:$AA$81)/COUNTIF(S14_Growth_Model_ExAnte!$AZ$15:$AZ$81,$C28),0))))*$O28*S08_Defaults!$B$6*(1+S08_Defaults!$B$7)*S08_Defaults!$B$8</x:f>
        <x:v>115.74500348381126</x:v>
      </x:c>
      <x:c r="AM28" s="115" t="n">
        <x:f aca="0">R28</x:f>
        <x:v>0</x:v>
      </x:c>
      <x:c r="AN28" s="115" t="n">
        <x:f aca="0">S28-R28</x:f>
        <x:v>0</x:v>
      </x:c>
      <x:c r="AO28" s="115" t="n">
        <x:f aca="0">T28-S28</x:f>
        <x:v>0</x:v>
      </x:c>
      <x:c r="AP28" s="115" t="n">
        <x:f aca="0">U28-T28</x:f>
        <x:v>0.06743395447797437</x:v>
      </x:c>
      <x:c r="AQ28" s="115" t="n">
        <x:f aca="0">V28-U28</x:f>
        <x:v>0.7440830463373055</x:v>
      </x:c>
      <x:c r="AR28" s="115" t="n">
        <x:f aca="0">W28-V28</x:f>
        <x:v>2.2531877367557884</x:v>
      </x:c>
      <x:c r="AS28" s="115" t="n">
        <x:f aca="0">X28-W28</x:f>
        <x:v>4.221280887379269</x:v>
      </x:c>
      <x:c r="AT28" s="115" t="n">
        <x:f aca="0">Y28-X28</x:f>
        <x:v>6.146092027090356</x:v>
      </x:c>
      <x:c r="AU28" s="115" t="n">
        <x:f aca="0">Z28-Y28</x:f>
        <x:v>7.732135263143082</x:v>
      </x:c>
      <x:c r="AV28" s="115" t="n">
        <x:f aca="0">AA28-Z28</x:f>
        <x:v>8.850832034310816</x:v>
      </x:c>
      <x:c r="AW28" s="115" t="n">
        <x:f aca="0">AB28-AA28</x:f>
        <x:v>9.494432320527242</x:v>
      </x:c>
      <x:c r="AX28" s="115" t="n">
        <x:f aca="0">AC28-AB28</x:f>
        <x:v>9.721123581646346</x:v>
      </x:c>
      <x:c r="AY28" s="115" t="n">
        <x:f aca="0">AD28-AC28</x:f>
        <x:v>9.615702000704552</x:v>
      </x:c>
      <x:c r="AZ28" s="115" t="n">
        <x:f aca="0">AE28-AD28</x:f>
        <x:v>9.265957631443754</x:v>
      </x:c>
      <x:c r="BA28" s="115" t="n">
        <x:f aca="0">AF28-AE28</x:f>
        <x:v>8.750601180123525</x:v>
      </x:c>
      <x:c r="BB28" s="115" t="n">
        <x:f aca="0">AG28-AF28</x:f>
        <x:v>8.134480258466112</x:v>
      </x:c>
      <x:c r="BC28" s="115" t="n">
        <x:f aca="0">AH28-AG28</x:f>
        <x:v>7.467901465383477</x:v>
      </x:c>
      <x:c r="BD28" s="115" t="n">
        <x:f aca="0">AI28-AH28</x:f>
        <x:v>6.787982851157238</x:v>
      </x:c>
      <x:c r="BE28" s="115" t="n">
        <x:f aca="0">AJ28-AI28</x:f>
        <x:v>6.120804767263138</x:v>
      </x:c>
      <x:c r="BF28" s="115" t="n">
        <x:f aca="0">AK28-AJ28</x:f>
        <x:v>5.483689282554693</x:v>
      </x:c>
      <x:c r="BG28" s="115" t="n">
        <x:f aca="0">AL28-AK28</x:f>
        <x:v>4.887283195046592</x:v>
      </x:c>
    </x:row>
    <x:row r="29" ht="15" hidden="0" customHeight="1">
      <x:c r="A29" s="160" t="str">
        <x:f aca="0">"S"&amp;TEXT(ROW()-3,"00")</x:f>
        <x:v>S26</x:v>
      </x:c>
      <x:c r="B29" s="161" t="s">
        <x:v>1112</x:v>
      </x:c>
      <x:c r="C29" s="160" t="str">
        <x:f aca="0">LEFT($B29,FIND("|",$B29)-1)</x:f>
        <x:v>Horti-Silviculture</x:v>
      </x:c>
      <x:c r="D29" s="160" t="str">
        <x:f aca="0">MID($B29,FIND("|",$B29)+1,FIND("|",$B29,FIND("|",$B29)+1)-FIND("|",$B29)-1)</x:f>
        <x:v>Medium</x:v>
      </x:c>
      <x:c r="E29" s="160" t="n">
        <x:f aca="0">VALUE(RIGHT($B29,4))</x:f>
        <x:v>2022</x:v>
      </x:c>
      <x:c r="F29" s="115" t="n">
        <x:f aca="0">SUMIF(S17_Biome_Strata!$G$4:$G$95,$B29,S17_Biome_Strata!$E$4:$E$95)</x:f>
        <x:v>38</x:v>
      </x:c>
      <x:c r="G29" s="115" t="n">
        <x:f aca="0">SUMIF(S17_Biome_Strata!$G$4:$G$95,$B29,S17_Biome_Strata!$F$4:$F$95)</x:f>
        <x:v>26.5012200323756</x:v>
      </x:c>
      <x:c r="H29" s="115" t="n">
        <x:f aca="0">IF($K29&gt;=2,SUMIF(S14_Growth_Model_ExAnte!$C$15:$C$81,$B29,S14_Growth_Model_ExAnte!$M$15:$M$81)/$K29,IF($L29&gt;=2,SUMIF(S14_Growth_Model_ExAnte!$AY$15:$AY$81,$C29&amp;"|"&amp;$D29,S14_Growth_Model_ExAnte!$M$15:$M$81)/$L29,IF(COUNTIF(S14_Growth_Model_ExAnte!$AZ$15:$AZ$81,$C29)&gt;0,SUMIF(S14_Growth_Model_ExAnte!$AZ$15:$AZ$81,$C29,S14_Growth_Model_ExAnte!$M$15:$M$81)/COUNTIF(S14_Growth_Model_ExAnte!$AZ$15:$AZ$81,$C29),0)))</x:f>
        <x:v>29.087968565106323</x:v>
      </x:c>
      <x:c r="I29" s="115" t="n">
        <x:f aca="0">IF($K29&gt;=2,SQRT(MAX(0,(SUMIF(S14_Growth_Model_ExAnte!$C$15:$C$81,$B29,S14_Growth_Model_ExAnte!$BE$15:$BE$81)-SUMIF(S14_Growth_Model_ExAnte!$C$15:$C$81,$B29,S14_Growth_Model_ExAnte!$M$15:$M$81)*SUMIF(S14_Growth_Model_ExAnte!$C$15:$C$81,$B29,S14_Growth_Model_ExAnte!$M$15:$M$81)/$K29)/($K29-1))),IF($L29&gt;=2,SQRT(MAX(0,(SUMIF(S14_Growth_Model_ExAnte!$AY$15:$AY$81,$C29&amp;"|"&amp;$D29,S14_Growth_Model_ExAnte!$BE$15:$BE$81)-SUMIF(S14_Growth_Model_ExAnte!$AY$15:$AY$81,$C29&amp;"|"&amp;$D29,S14_Growth_Model_ExAnte!$M$15:$M$81)*SUMIF(S14_Growth_Model_ExAnte!$AY$15:$AY$81,$C29&amp;"|"&amp;$D29,S14_Growth_Model_ExAnte!$M$15:$M$81)/$L29)/($L29-1))),IF(COUNTIF(S14_Growth_Model_ExAnte!$AZ$15:$AZ$81,$C29)&gt;=2,SQRT(MAX(0,(SUMIF(S14_Growth_Model_ExAnte!$AZ$15:$AZ$81,$C29,S14_Growth_Model_ExAnte!$BE$15:$BE$81)-SUMIF(S14_Growth_Model_ExAnte!$AZ$15:$AZ$81,$C29,S14_Growth_Model_ExAnte!$M$15:$M$81)*SUMIF(S14_Growth_Model_ExAnte!$AZ$15:$AZ$81,$C29,S14_Growth_Model_ExAnte!$M$15:$M$81)/COUNTIF(S14_Growth_Model_ExAnte!$AZ$15:$AZ$81,$C29))/(COUNTIF(S14_Growth_Model_ExAnte!$AZ$15:$AZ$81,$C29)-1))),0)))</x:f>
        <x:v>58.75134369652462</x:v>
      </x:c>
      <x:c r="J29" s="115" t="n">
        <x:f aca="0">IFERROR(I29/H29,0)</x:f>
        <x:v>2.0197816002524918</x:v>
      </x:c>
      <x:c r="K29" s="115" t="n">
        <x:f aca="0">COUNTIF(S14_Growth_Model_ExAnte!$C$15:$C$81,$B29)</x:f>
        <x:v>0</x:v>
      </x:c>
      <x:c r="L29" s="115" t="n">
        <x:f aca="0">COUNTIF(S14_Growth_Model_ExAnte!$AY$15:$AY$81,$C29&amp;"|"&amp;$D29)</x:f>
        <x:v>9</x:v>
      </x:c>
      <x:c r="M29" s="115" t="n">
        <x:f aca="0">$H29</x:f>
        <x:v>29.087968565106323</x:v>
      </x:c>
      <x:c r="N29" s="115" t="n">
        <x:f aca="0">MAX(0,$M29*S08_Defaults!$B$5)</x:f>
        <x:v>21.815976423829742</x:v>
      </x:c>
      <x:c r="O29" s="115" t="n">
        <x:f aca="0">IFERROR($N29/$M29,0)</x:f>
        <x:v>0.75</x:v>
      </x:c>
      <x:c r="P29" s="115" t="str">
        <x:f aca="0">IF($K29&gt;=2,"Exact Stratum PSP Chapman-Richards curve",IF($L29&gt;=2,"Model×Density pooled Chapman-Richards curve","Model pooled Chapman-Richards curve"))</x:f>
        <x:v>Model×Density pooled Chapman-Richards curve</x:v>
      </x:c>
      <x:c r="Q29" s="162" t="s">
        <x:v>1106</x:v>
      </x:c>
      <x:c r="R29" s="115" t="n">
        <x:f aca="0">0</x:f>
        <x:v>0</x:v>
      </x:c>
      <x:c r="S29" s="115" t="n">
        <x:f aca="0">0</x:f>
        <x:v>0</x:v>
      </x:c>
      <x:c r="T29" s="115" t="n">
        <x:f aca="0">(IF($K29&gt;=2,SUMIF(S14_Growth_Model_ExAnte!$C$15:$C$81,$B29,S14_Growth_Model_ExAnte!$I$15:$I$81)/$K29,IF($L29&gt;=2,SUMIF(S14_Growth_Model_ExAnte!$AY$15:$AY$81,$C29&amp;"|"&amp;$D29,S14_Growth_Model_ExAnte!$I$15:$I$81)/$L29,IF(COUNTIF(S14_Growth_Model_ExAnte!$AZ$15:$AZ$81,$C29)&gt;0,SUMIF(S14_Growth_Model_ExAnte!$AZ$15:$AZ$81,$C29,S14_Growth_Model_ExAnte!$I$15:$I$81)/COUNTIF(S14_Growth_Model_ExAnte!$AZ$15:$AZ$81,$C29),0))))*$O29*S08_Defaults!$B$6*(1+S08_Defaults!$B$7)*S08_Defaults!$B$8</x:f>
        <x:v>0</x:v>
      </x:c>
      <x:c r="U29" s="115" t="n">
        <x:f aca="0">(IF($K29&gt;=2,SUMIF(S14_Growth_Model_ExAnte!$C$15:$C$81,$B29,S14_Growth_Model_ExAnte!$J$15:$J$81)/$K29,IF($L29&gt;=2,SUMIF(S14_Growth_Model_ExAnte!$AY$15:$AY$81,$C29&amp;"|"&amp;$D29,S14_Growth_Model_ExAnte!$J$15:$J$81)/$L29,IF(COUNTIF(S14_Growth_Model_ExAnte!$AZ$15:$AZ$81,$C29)&gt;0,SUMIF(S14_Growth_Model_ExAnte!$AZ$15:$AZ$81,$C29,S14_Growth_Model_ExAnte!$J$15:$J$81)/COUNTIF(S14_Growth_Model_ExAnte!$AZ$15:$AZ$81,$C29),0))))*$O29*S08_Defaults!$B$6*(1+S08_Defaults!$B$7)*S08_Defaults!$B$8</x:f>
        <x:v>0.6441032625151308</x:v>
      </x:c>
      <x:c r="V29" s="115" t="n">
        <x:f aca="0">(IF($K29&gt;=2,SUMIF(S14_Growth_Model_ExAnte!$C$15:$C$81,$B29,S14_Growth_Model_ExAnte!$K$15:$K$81)/$K29,IF($L29&gt;=2,SUMIF(S14_Growth_Model_ExAnte!$AY$15:$AY$81,$C29&amp;"|"&amp;$D29,S14_Growth_Model_ExAnte!$K$15:$K$81)/$L29,IF(COUNTIF(S14_Growth_Model_ExAnte!$AZ$15:$AZ$81,$C29)&gt;0,SUMIF(S14_Growth_Model_ExAnte!$AZ$15:$AZ$81,$C29,S14_Growth_Model_ExAnte!$K$15:$K$81)/COUNTIF(S14_Growth_Model_ExAnte!$AZ$15:$AZ$81,$C29),0))))*$O29*S08_Defaults!$B$6*(1+S08_Defaults!$B$7)*S08_Defaults!$B$8</x:f>
        <x:v>6.274634952775498</x:v>
      </x:c>
      <x:c r="W29" s="115" t="n">
        <x:f aca="0">(IF($K29&gt;=2,SUMIF(S14_Growth_Model_ExAnte!$C$15:$C$81,$B29,S14_Growth_Model_ExAnte!$L$15:$L$81)/$K29,IF($L29&gt;=2,SUMIF(S14_Growth_Model_ExAnte!$AY$15:$AY$81,$C29&amp;"|"&amp;$D29,S14_Growth_Model_ExAnte!$L$15:$L$81)/$L29,IF(COUNTIF(S14_Growth_Model_ExAnte!$AZ$15:$AZ$81,$C29)&gt;0,SUMIF(S14_Growth_Model_ExAnte!$AZ$15:$AZ$81,$C29,S14_Growth_Model_ExAnte!$L$15:$L$81)/COUNTIF(S14_Growth_Model_ExAnte!$AZ$15:$AZ$81,$C29),0))))*$O29*S08_Defaults!$B$6*(1+S08_Defaults!$B$7)*S08_Defaults!$B$8</x:f>
        <x:v>21.135569424368043</x:v>
      </x:c>
      <x:c r="X29" s="115" t="n">
        <x:f aca="0">(IF($K29&gt;=2,SUMIF(S14_Growth_Model_ExAnte!$C$15:$C$81,$B29,S14_Growth_Model_ExAnte!$M$15:$M$81)/$K29,IF($L29&gt;=2,SUMIF(S14_Growth_Model_ExAnte!$AY$15:$AY$81,$C29&amp;"|"&amp;$D29,S14_Growth_Model_ExAnte!$M$15:$M$81)/$L29,IF(COUNTIF(S14_Growth_Model_ExAnte!$AZ$15:$AZ$81,$C29)&gt;0,SUMIF(S14_Growth_Model_ExAnte!$AZ$15:$AZ$81,$C29,S14_Growth_Model_ExAnte!$M$15:$M$81)/COUNTIF(S14_Growth_Model_ExAnte!$AZ$15:$AZ$81,$C29),0))))*$O29*S08_Defaults!$B$6*(1+S08_Defaults!$B$7)*S08_Defaults!$B$8</x:f>
        <x:v>46.61928721929594</x:v>
      </x:c>
      <x:c r="Y29" s="115" t="n">
        <x:f aca="0">(IF($K29&gt;=2,SUMIF(S14_Growth_Model_ExAnte!$C$15:$C$81,$B29,S14_Growth_Model_ExAnte!$N$15:$N$81)/$K29,IF($L29&gt;=2,SUMIF(S14_Growth_Model_ExAnte!$AY$15:$AY$81,$C29&amp;"|"&amp;$D29,S14_Growth_Model_ExAnte!$N$15:$N$81)/$L29,IF(COUNTIF(S14_Growth_Model_ExAnte!$AZ$15:$AZ$81,$C29)&gt;0,SUMIF(S14_Growth_Model_ExAnte!$AZ$15:$AZ$81,$C29,S14_Growth_Model_ExAnte!$N$15:$N$81)/COUNTIF(S14_Growth_Model_ExAnte!$AZ$15:$AZ$81,$C29),0))))*$O29*S08_Defaults!$B$6*(1+S08_Defaults!$B$7)*S08_Defaults!$B$8</x:f>
        <x:v>81.45290097807585</x:v>
      </x:c>
      <x:c r="Z29" s="115" t="n">
        <x:f aca="0">(IF($K29&gt;=2,SUMIF(S14_Growth_Model_ExAnte!$C$15:$C$81,$B29,S14_Growth_Model_ExAnte!$O$15:$O$81)/$K29,IF($L29&gt;=2,SUMIF(S14_Growth_Model_ExAnte!$AY$15:$AY$81,$C29&amp;"|"&amp;$D29,S14_Growth_Model_ExAnte!$O$15:$O$81)/$L29,IF(COUNTIF(S14_Growth_Model_ExAnte!$AZ$15:$AZ$81,$C29)&gt;0,SUMIF(S14_Growth_Model_ExAnte!$AZ$15:$AZ$81,$C29,S14_Growth_Model_ExAnte!$O$15:$O$81)/COUNTIF(S14_Growth_Model_ExAnte!$AZ$15:$AZ$81,$C29),0))))*$O29*S08_Defaults!$B$6*(1+S08_Defaults!$B$7)*S08_Defaults!$B$8</x:f>
        <x:v>123.24721308749875</x:v>
      </x:c>
      <x:c r="AA29" s="115" t="n">
        <x:f aca="0">(IF($K29&gt;=2,SUMIF(S14_Growth_Model_ExAnte!$C$15:$C$81,$B29,S14_Growth_Model_ExAnte!$P$15:$P$81)/$K29,IF($L29&gt;=2,SUMIF(S14_Growth_Model_ExAnte!$AY$15:$AY$81,$C29&amp;"|"&amp;$D29,S14_Growth_Model_ExAnte!$P$15:$P$81)/$L29,IF(COUNTIF(S14_Growth_Model_ExAnte!$AZ$15:$AZ$81,$C29)&gt;0,SUMIF(S14_Growth_Model_ExAnte!$AZ$15:$AZ$81,$C29,S14_Growth_Model_ExAnte!$P$15:$P$81)/COUNTIF(S14_Growth_Model_ExAnte!$AZ$15:$AZ$81,$C29),0))))*$O29*S08_Defaults!$B$6*(1+S08_Defaults!$B$7)*S08_Defaults!$B$8</x:f>
        <x:v>169.35150899149957</x:v>
      </x:c>
      <x:c r="AB29" s="115" t="n">
        <x:f aca="0">(IF($K29&gt;=2,SUMIF(S14_Growth_Model_ExAnte!$C$15:$C$81,$B29,S14_Growth_Model_ExAnte!$Q$15:$Q$81)/$K29,IF($L29&gt;=2,SUMIF(S14_Growth_Model_ExAnte!$AY$15:$AY$81,$C29&amp;"|"&amp;$D29,S14_Growth_Model_ExAnte!$Q$15:$Q$81)/$L29,IF(COUNTIF(S14_Growth_Model_ExAnte!$AZ$15:$AZ$81,$C29)&gt;0,SUMIF(S14_Growth_Model_ExAnte!$AZ$15:$AZ$81,$C29,S14_Growth_Model_ExAnte!$Q$15:$Q$81)/COUNTIF(S14_Growth_Model_ExAnte!$AZ$15:$AZ$81,$C29),0))))*$O29*S08_Defaults!$B$6*(1+S08_Defaults!$B$7)*S08_Defaults!$B$8</x:f>
        <x:v>217.36351064090428</x:v>
      </x:c>
      <x:c r="AC29" s="115" t="n">
        <x:f aca="0">(IF($K29&gt;=2,SUMIF(S14_Growth_Model_ExAnte!$C$15:$C$81,$B29,S14_Growth_Model_ExAnte!$R$15:$R$81)/$K29,IF($L29&gt;=2,SUMIF(S14_Growth_Model_ExAnte!$AY$15:$AY$81,$C29&amp;"|"&amp;$D29,S14_Growth_Model_ExAnte!$R$15:$R$81)/$L29,IF(COUNTIF(S14_Growth_Model_ExAnte!$AZ$15:$AZ$81,$C29)&gt;0,SUMIF(S14_Growth_Model_ExAnte!$AZ$15:$AZ$81,$C29,S14_Growth_Model_ExAnte!$R$15:$R$81)/COUNTIF(S14_Growth_Model_ExAnte!$AZ$15:$AZ$81,$C29),0))))*$O29*S08_Defaults!$B$6*(1+S08_Defaults!$B$7)*S08_Defaults!$B$8</x:f>
        <x:v>265.34468187995606</x:v>
      </x:c>
      <x:c r="AD29" s="115" t="n">
        <x:f aca="0">(IF($K29&gt;=2,SUMIF(S14_Growth_Model_ExAnte!$C$15:$C$81,$B29,S14_Growth_Model_ExAnte!$S$15:$S$81)/$K29,IF($L29&gt;=2,SUMIF(S14_Growth_Model_ExAnte!$AY$15:$AY$81,$C29&amp;"|"&amp;$D29,S14_Growth_Model_ExAnte!$S$15:$S$81)/$L29,IF(COUNTIF(S14_Growth_Model_ExAnte!$AZ$15:$AZ$81,$C29)&gt;0,SUMIF(S14_Growth_Model_ExAnte!$AZ$15:$AZ$81,$C29,S14_Growth_Model_ExAnte!$S$15:$S$81)/COUNTIF(S14_Growth_Model_ExAnte!$AZ$15:$AZ$81,$C29),0))))*$O29*S08_Defaults!$B$6*(1+S08_Defaults!$B$7)*S08_Defaults!$B$8</x:f>
        <x:v>311.86119196428444</x:v>
      </x:c>
      <x:c r="AE29" s="115" t="n">
        <x:f aca="0">(IF($K29&gt;=2,SUMIF(S14_Growth_Model_ExAnte!$C$15:$C$81,$B29,S14_Growth_Model_ExAnte!$T$15:$T$81)/$K29,IF($L29&gt;=2,SUMIF(S14_Growth_Model_ExAnte!$AY$15:$AY$81,$C29&amp;"|"&amp;$D29,S14_Growth_Model_ExAnte!$T$15:$T$81)/$L29,IF(COUNTIF(S14_Growth_Model_ExAnte!$AZ$15:$AZ$81,$C29)&gt;0,SUMIF(S14_Growth_Model_ExAnte!$AZ$15:$AZ$81,$C29,S14_Growth_Model_ExAnte!$T$15:$T$81)/COUNTIF(S14_Growth_Model_ExAnte!$AZ$15:$AZ$81,$C29),0))))*$O29*S08_Defaults!$B$6*(1+S08_Defaults!$B$7)*S08_Defaults!$B$8</x:f>
        <x:v>355.9372993896785</x:v>
      </x:c>
      <x:c r="AF29" s="115" t="n">
        <x:f aca="0">(IF($K29&gt;=2,SUMIF(S14_Growth_Model_ExAnte!$C$15:$C$81,$B29,S14_Growth_Model_ExAnte!$U$15:$U$81)/$K29,IF($L29&gt;=2,SUMIF(S14_Growth_Model_ExAnte!$AY$15:$AY$81,$C29&amp;"|"&amp;$D29,S14_Growth_Model_ExAnte!$U$15:$U$81)/$L29,IF(COUNTIF(S14_Growth_Model_ExAnte!$AZ$15:$AZ$81,$C29)&gt;0,SUMIF(S14_Growth_Model_ExAnte!$AZ$15:$AZ$81,$C29,S14_Growth_Model_ExAnte!$U$15:$U$81)/COUNTIF(S14_Growth_Model_ExAnte!$AZ$15:$AZ$81,$C29),0))))*$O29*S08_Defaults!$B$6*(1+S08_Defaults!$B$7)*S08_Defaults!$B$8</x:f>
        <x:v>396.97433539378875</x:v>
      </x:c>
      <x:c r="AG29" s="115" t="n">
        <x:f aca="0">(IF($K29&gt;=2,SUMIF(S14_Growth_Model_ExAnte!$C$15:$C$81,$B29,S14_Growth_Model_ExAnte!$V$15:$V$81)/$K29,IF($L29&gt;=2,SUMIF(S14_Growth_Model_ExAnte!$AY$15:$AY$81,$C29&amp;"|"&amp;$D29,S14_Growth_Model_ExAnte!$V$15:$V$81)/$L29,IF(COUNTIF(S14_Growth_Model_ExAnte!$AZ$15:$AZ$81,$C29)&gt;0,SUMIF(S14_Growth_Model_ExAnte!$AZ$15:$AZ$81,$C29,S14_Growth_Model_ExAnte!$V$15:$V$81)/COUNTIF(S14_Growth_Model_ExAnte!$AZ$15:$AZ$81,$C29),0))))*$O29*S08_Defaults!$B$6*(1+S08_Defaults!$B$7)*S08_Defaults!$B$8</x:f>
        <x:v>434.66423612327816</x:v>
      </x:c>
      <x:c r="AH29" s="115" t="n">
        <x:f aca="0">(IF($K29&gt;=2,SUMIF(S14_Growth_Model_ExAnte!$C$15:$C$81,$B29,S14_Growth_Model_ExAnte!$W$15:$W$81)/$K29,IF($L29&gt;=2,SUMIF(S14_Growth_Model_ExAnte!$AY$15:$AY$81,$C29&amp;"|"&amp;$D29,S14_Growth_Model_ExAnte!$W$15:$W$81)/$L29,IF(COUNTIF(S14_Growth_Model_ExAnte!$AZ$15:$AZ$81,$C29)&gt;0,SUMIF(S14_Growth_Model_ExAnte!$AZ$15:$AZ$81,$C29,S14_Growth_Model_ExAnte!$W$15:$W$81)/COUNTIF(S14_Growth_Model_ExAnte!$AZ$15:$AZ$81,$C29),0))))*$O29*S08_Defaults!$B$6*(1+S08_Defaults!$B$7)*S08_Defaults!$B$8</x:f>
        <x:v>468.9113865813359</x:v>
      </x:c>
      <x:c r="AI29" s="115" t="n">
        <x:f aca="0">(IF($K29&gt;=2,SUMIF(S14_Growth_Model_ExAnte!$C$15:$C$81,$B29,S14_Growth_Model_ExAnte!$X$15:$X$81)/$K29,IF($L29&gt;=2,SUMIF(S14_Growth_Model_ExAnte!$AY$15:$AY$81,$C29&amp;"|"&amp;$D29,S14_Growth_Model_ExAnte!$X$15:$X$81)/$L29,IF(COUNTIF(S14_Growth_Model_ExAnte!$AZ$15:$AZ$81,$C29)&gt;0,SUMIF(S14_Growth_Model_ExAnte!$AZ$15:$AZ$81,$C29,S14_Growth_Model_ExAnte!$X$15:$X$81)/COUNTIF(S14_Growth_Model_ExAnte!$AZ$15:$AZ$81,$C29),0))))*$O29*S08_Defaults!$B$6*(1+S08_Defaults!$B$7)*S08_Defaults!$B$8</x:f>
        <x:v>499.7678891038304</x:v>
      </x:c>
      <x:c r="AJ29" s="115" t="n">
        <x:f aca="0">(IF($K29&gt;=2,SUMIF(S14_Growth_Model_ExAnte!$C$15:$C$81,$B29,S14_Growth_Model_ExAnte!$Y$15:$Y$81)/$K29,IF($L29&gt;=2,SUMIF(S14_Growth_Model_ExAnte!$AY$15:$AY$81,$C29&amp;"|"&amp;$D29,S14_Growth_Model_ExAnte!$Y$15:$Y$81)/$L29,IF(COUNTIF(S14_Growth_Model_ExAnte!$AZ$15:$AZ$81,$C29)&gt;0,SUMIF(S14_Growth_Model_ExAnte!$AZ$15:$AZ$81,$C29,S14_Growth_Model_ExAnte!$Y$15:$Y$81)/COUNTIF(S14_Growth_Model_ExAnte!$AZ$15:$AZ$81,$C29),0))))*$O29*S08_Defaults!$B$6*(1+S08_Defaults!$B$7)*S08_Defaults!$B$8</x:f>
        <x:v>527.3828772183897</x:v>
      </x:c>
      <x:c r="AK29" s="115" t="n">
        <x:f aca="0">(IF($K29&gt;=2,SUMIF(S14_Growth_Model_ExAnte!$C$15:$C$81,$B29,S14_Growth_Model_ExAnte!$Z$15:$Z$81)/$K29,IF($L29&gt;=2,SUMIF(S14_Growth_Model_ExAnte!$AY$15:$AY$81,$C29&amp;"|"&amp;$D29,S14_Growth_Model_ExAnte!$Z$15:$Z$81)/$L29,IF(COUNTIF(S14_Growth_Model_ExAnte!$AZ$15:$AZ$81,$C29)&gt;0,SUMIF(S14_Growth_Model_ExAnte!$AZ$15:$AZ$81,$C29,S14_Growth_Model_ExAnte!$Z$15:$Z$81)/COUNTIF(S14_Growth_Model_ExAnte!$AZ$15:$AZ$81,$C29),0))))*$O29*S08_Defaults!$B$6*(1+S08_Defaults!$B$7)*S08_Defaults!$B$8</x:f>
        <x:v>551.9644413483702</x:v>
      </x:c>
      <x:c r="AL29" s="115" t="n">
        <x:f aca="0">(IF($K29&gt;=2,SUMIF(S14_Growth_Model_ExAnte!$C$15:$C$81,$B29,S14_Growth_Model_ExAnte!$AA$15:$AA$81)/$K29,IF($L29&gt;=2,SUMIF(S14_Growth_Model_ExAnte!$AY$15:$AY$81,$C29&amp;"|"&amp;$D29,S14_Growth_Model_ExAnte!$AA$15:$AA$81)/$L29,IF(COUNTIF(S14_Growth_Model_ExAnte!$AZ$15:$AZ$81,$C29)&gt;0,SUMIF(S14_Growth_Model_ExAnte!$AZ$15:$AZ$81,$C29,S14_Growth_Model_ExAnte!$AA$15:$AA$81)/COUNTIF(S14_Growth_Model_ExAnte!$AZ$15:$AZ$81,$C29),0))))*$O29*S08_Defaults!$B$6*(1+S08_Defaults!$B$7)*S08_Defaults!$B$8</x:f>
        <x:v>573.7520089252565</x:v>
      </x:c>
      <x:c r="AM29" s="115" t="n">
        <x:f aca="0">R29</x:f>
        <x:v>0</x:v>
      </x:c>
      <x:c r="AN29" s="115" t="n">
        <x:f aca="0">S29-R29</x:f>
        <x:v>0</x:v>
      </x:c>
      <x:c r="AO29" s="115" t="n">
        <x:f aca="0">T29-S29</x:f>
        <x:v>0</x:v>
      </x:c>
      <x:c r="AP29" s="115" t="n">
        <x:f aca="0">U29-T29</x:f>
        <x:v>0.6441032625151308</x:v>
      </x:c>
      <x:c r="AQ29" s="115" t="n">
        <x:f aca="0">V29-U29</x:f>
        <x:v>5.6305316902603675</x:v>
      </x:c>
      <x:c r="AR29" s="115" t="n">
        <x:f aca="0">W29-V29</x:f>
        <x:v>14.860934471592545</x:v>
      </x:c>
      <x:c r="AS29" s="115" t="n">
        <x:f aca="0">X29-W29</x:f>
        <x:v>25.483717794927898</x:v>
      </x:c>
      <x:c r="AT29" s="115" t="n">
        <x:f aca="0">Y29-X29</x:f>
        <x:v>34.833613758779904</x:v>
      </x:c>
      <x:c r="AU29" s="115" t="n">
        <x:f aca="0">Z29-Y29</x:f>
        <x:v>41.794312109422904</x:v>
      </x:c>
      <x:c r="AV29" s="115" t="n">
        <x:f aca="0">AA29-Z29</x:f>
        <x:v>46.10429590400082</x:v>
      </x:c>
      <x:c r="AW29" s="115" t="n">
        <x:f aca="0">AB29-AA29</x:f>
        <x:v>48.01200164940471</x:v>
      </x:c>
      <x:c r="AX29" s="115" t="n">
        <x:f aca="0">AC29-AB29</x:f>
        <x:v>47.981171239051776</x:v>
      </x:c>
      <x:c r="AY29" s="115" t="n">
        <x:f aca="0">AD29-AC29</x:f>
        <x:v>46.51651008432839</x:v>
      </x:c>
      <x:c r="AZ29" s="115" t="n">
        <x:f aca="0">AE29-AD29</x:f>
        <x:v>44.07610742539407</x:v>
      </x:c>
      <x:c r="BA29" s="115" t="n">
        <x:f aca="0">AF29-AE29</x:f>
        <x:v>41.037036004110234</x:v>
      </x:c>
      <x:c r="BB29" s="115" t="n">
        <x:f aca="0">AG29-AF29</x:f>
        <x:v>37.68990072948941</x:v>
      </x:c>
      <x:c r="BC29" s="115" t="n">
        <x:f aca="0">AH29-AG29</x:f>
        <x:v>34.24715045805772</x:v>
      </x:c>
      <x:c r="BD29" s="115" t="n">
        <x:f aca="0">AI29-AH29</x:f>
        <x:v>30.85650252249451</x:v>
      </x:c>
      <x:c r="BE29" s="115" t="n">
        <x:f aca="0">AJ29-AI29</x:f>
        <x:v>27.61498811455931</x:v>
      </x:c>
      <x:c r="BF29" s="115" t="n">
        <x:f aca="0">AK29-AJ29</x:f>
        <x:v>24.581564129980507</x:v>
      </x:c>
      <x:c r="BG29" s="115" t="n">
        <x:f aca="0">AL29-AK29</x:f>
        <x:v>21.787567576886318</x:v>
      </x:c>
    </x:row>
    <x:row r="30" ht="15" hidden="0" customHeight="1">
      <x:c r="A30" s="160" t="str">
        <x:f aca="0">"S"&amp;TEXT(ROW()-3,"00")</x:f>
        <x:v>S27</x:v>
      </x:c>
      <x:c r="B30" s="161" t="s">
        <x:v>1113</x:v>
      </x:c>
      <x:c r="C30" s="160" t="str">
        <x:f aca="0">LEFT($B30,FIND("|",$B30)-1)</x:f>
        <x:v>Fruit Orchard</x:v>
      </x:c>
      <x:c r="D30" s="160" t="str">
        <x:f aca="0">MID($B30,FIND("|",$B30)+1,FIND("|",$B30,FIND("|",$B30)+1)-FIND("|",$B30)-1)</x:f>
        <x:v>Low</x:v>
      </x:c>
      <x:c r="E30" s="160" t="n">
        <x:f aca="0">VALUE(RIGHT($B30,4))</x:f>
        <x:v>2022</x:v>
      </x:c>
      <x:c r="F30" s="115" t="n">
        <x:f aca="0">SUMIF(S17_Biome_Strata!$G$4:$G$95,$B30,S17_Biome_Strata!$E$4:$E$95)</x:f>
        <x:v>68</x:v>
      </x:c>
      <x:c r="G30" s="115" t="n">
        <x:f aca="0">SUMIF(S17_Biome_Strata!$G$4:$G$95,$B30,S17_Biome_Strata!$F$4:$F$95)</x:f>
        <x:v>80.353894455686</x:v>
      </x:c>
      <x:c r="H30" s="115" t="n">
        <x:f aca="0">IF($K30&gt;=2,SUMIF(S14_Growth_Model_ExAnte!$C$15:$C$81,$B30,S14_Growth_Model_ExAnte!$M$15:$M$81)/$K30,IF($L30&gt;=2,SUMIF(S14_Growth_Model_ExAnte!$AY$15:$AY$81,$C30&amp;"|"&amp;$D30,S14_Growth_Model_ExAnte!$M$15:$M$81)/$L30,IF(COUNTIF(S14_Growth_Model_ExAnte!$AZ$15:$AZ$81,$C30)&gt;0,SUMIF(S14_Growth_Model_ExAnte!$AZ$15:$AZ$81,$C30,S14_Growth_Model_ExAnte!$M$15:$M$81)/COUNTIF(S14_Growth_Model_ExAnte!$AZ$15:$AZ$81,$C30),0)))</x:f>
        <x:v>2.90010740698526</x:v>
      </x:c>
      <x:c r="I30" s="115" t="n">
        <x:f aca="0">IF($K30&gt;=2,SQRT(MAX(0,(SUMIF(S14_Growth_Model_ExAnte!$C$15:$C$81,$B30,S14_Growth_Model_ExAnte!$BE$15:$BE$81)-SUMIF(S14_Growth_Model_ExAnte!$C$15:$C$81,$B30,S14_Growth_Model_ExAnte!$M$15:$M$81)*SUMIF(S14_Growth_Model_ExAnte!$C$15:$C$81,$B30,S14_Growth_Model_ExAnte!$M$15:$M$81)/$K30)/($K30-1))),IF($L30&gt;=2,SQRT(MAX(0,(SUMIF(S14_Growth_Model_ExAnte!$AY$15:$AY$81,$C30&amp;"|"&amp;$D30,S14_Growth_Model_ExAnte!$BE$15:$BE$81)-SUMIF(S14_Growth_Model_ExAnte!$AY$15:$AY$81,$C30&amp;"|"&amp;$D30,S14_Growth_Model_ExAnte!$M$15:$M$81)*SUMIF(S14_Growth_Model_ExAnte!$AY$15:$AY$81,$C30&amp;"|"&amp;$D30,S14_Growth_Model_ExAnte!$M$15:$M$81)/$L30)/($L30-1))),IF(COUNTIF(S14_Growth_Model_ExAnte!$AZ$15:$AZ$81,$C30)&gt;=2,SQRT(MAX(0,(SUMIF(S14_Growth_Model_ExAnte!$AZ$15:$AZ$81,$C30,S14_Growth_Model_ExAnte!$BE$15:$BE$81)-SUMIF(S14_Growth_Model_ExAnte!$AZ$15:$AZ$81,$C30,S14_Growth_Model_ExAnte!$M$15:$M$81)*SUMIF(S14_Growth_Model_ExAnte!$AZ$15:$AZ$81,$C30,S14_Growth_Model_ExAnte!$M$15:$M$81)/COUNTIF(S14_Growth_Model_ExAnte!$AZ$15:$AZ$81,$C30))/(COUNTIF(S14_Growth_Model_ExAnte!$AZ$15:$AZ$81,$C30)-1))),0)))</x:f>
        <x:v>1.5063061552953403</x:v>
      </x:c>
      <x:c r="J30" s="115" t="n">
        <x:f aca="0">IFERROR(I30/H30,0)</x:f>
        <x:v>0.5193966787806615</x:v>
      </x:c>
      <x:c r="K30" s="115" t="n">
        <x:f aca="0">COUNTIF(S14_Growth_Model_ExAnte!$C$15:$C$81,$B30)</x:f>
        <x:v>0</x:v>
      </x:c>
      <x:c r="L30" s="115" t="n">
        <x:f aca="0">COUNTIF(S14_Growth_Model_ExAnte!$AY$15:$AY$81,$C30&amp;"|"&amp;$D30)</x:f>
        <x:v>3</x:v>
      </x:c>
      <x:c r="M30" s="115" t="n">
        <x:f aca="0">$H30</x:f>
        <x:v>2.90010740698526</x:v>
      </x:c>
      <x:c r="N30" s="115" t="n">
        <x:f aca="0">MAX(0,$M30*S08_Defaults!$B$5)</x:f>
        <x:v>2.175080555238945</x:v>
      </x:c>
      <x:c r="O30" s="115" t="n">
        <x:f aca="0">IFERROR($N30/$M30,0)</x:f>
        <x:v>0.75</x:v>
      </x:c>
      <x:c r="P30" s="115" t="str">
        <x:f aca="0">IF($K30&gt;=2,"Exact Stratum PSP Chapman-Richards curve",IF($L30&gt;=2,"Model×Density pooled Chapman-Richards curve","Model pooled Chapman-Richards curve"))</x:f>
        <x:v>Model×Density pooled Chapman-Richards curve</x:v>
      </x:c>
      <x:c r="Q30" s="162" t="s">
        <x:v>1106</x:v>
      </x:c>
      <x:c r="R30" s="115" t="n">
        <x:f aca="0">0</x:f>
        <x:v>0</x:v>
      </x:c>
      <x:c r="S30" s="115" t="n">
        <x:f aca="0">0</x:f>
        <x:v>0</x:v>
      </x:c>
      <x:c r="T30" s="115" t="n">
        <x:f aca="0">(IF($K30&gt;=2,SUMIF(S14_Growth_Model_ExAnte!$C$15:$C$81,$B30,S14_Growth_Model_ExAnte!$I$15:$I$81)/$K30,IF($L30&gt;=2,SUMIF(S14_Growth_Model_ExAnte!$AY$15:$AY$81,$C30&amp;"|"&amp;$D30,S14_Growth_Model_ExAnte!$I$15:$I$81)/$L30,IF(COUNTIF(S14_Growth_Model_ExAnte!$AZ$15:$AZ$81,$C30)&gt;0,SUMIF(S14_Growth_Model_ExAnte!$AZ$15:$AZ$81,$C30,S14_Growth_Model_ExAnte!$I$15:$I$81)/COUNTIF(S14_Growth_Model_ExAnte!$AZ$15:$AZ$81,$C30),0))))*$O30*S08_Defaults!$B$6*(1+S08_Defaults!$B$7)*S08_Defaults!$B$8</x:f>
        <x:v>0</x:v>
      </x:c>
      <x:c r="U30" s="115" t="n">
        <x:f aca="0">(IF($K30&gt;=2,SUMIF(S14_Growth_Model_ExAnte!$C$15:$C$81,$B30,S14_Growth_Model_ExAnte!$J$15:$J$81)/$K30,IF($L30&gt;=2,SUMIF(S14_Growth_Model_ExAnte!$AY$15:$AY$81,$C30&amp;"|"&amp;$D30,S14_Growth_Model_ExAnte!$J$15:$J$81)/$L30,IF(COUNTIF(S14_Growth_Model_ExAnte!$AZ$15:$AZ$81,$C30)&gt;0,SUMIF(S14_Growth_Model_ExAnte!$AZ$15:$AZ$81,$C30,S14_Growth_Model_ExAnte!$J$15:$J$81)/COUNTIF(S14_Growth_Model_ExAnte!$AZ$15:$AZ$81,$C30),0))))*$O30*S08_Defaults!$B$6*(1+S08_Defaults!$B$7)*S08_Defaults!$B$8</x:f>
        <x:v>0.041887249891712</x:v>
      </x:c>
      <x:c r="V30" s="115" t="n">
        <x:f aca="0">(IF($K30&gt;=2,SUMIF(S14_Growth_Model_ExAnte!$C$15:$C$81,$B30,S14_Growth_Model_ExAnte!$K$15:$K$81)/$K30,IF($L30&gt;=2,SUMIF(S14_Growth_Model_ExAnte!$AY$15:$AY$81,$C30&amp;"|"&amp;$D30,S14_Growth_Model_ExAnte!$K$15:$K$81)/$L30,IF(COUNTIF(S14_Growth_Model_ExAnte!$AZ$15:$AZ$81,$C30)&gt;0,SUMIF(S14_Growth_Model_ExAnte!$AZ$15:$AZ$81,$C30,S14_Growth_Model_ExAnte!$K$15:$K$81)/COUNTIF(S14_Growth_Model_ExAnte!$AZ$15:$AZ$81,$C30),0))))*$O30*S08_Defaults!$B$6*(1+S08_Defaults!$B$7)*S08_Defaults!$B$8</x:f>
        <x:v>0.5006911820948761</x:v>
      </x:c>
      <x:c r="W30" s="115" t="n">
        <x:f aca="0">(IF($K30&gt;=2,SUMIF(S14_Growth_Model_ExAnte!$C$15:$C$81,$B30,S14_Growth_Model_ExAnte!$L$15:$L$81)/$K30,IF($L30&gt;=2,SUMIF(S14_Growth_Model_ExAnte!$AY$15:$AY$81,$C30&amp;"|"&amp;$D30,S14_Growth_Model_ExAnte!$L$15:$L$81)/$L30,IF(COUNTIF(S14_Growth_Model_ExAnte!$AZ$15:$AZ$81,$C30)&gt;0,SUMIF(S14_Growth_Model_ExAnte!$AZ$15:$AZ$81,$C30,S14_Growth_Model_ExAnte!$L$15:$L$81)/COUNTIF(S14_Growth_Model_ExAnte!$AZ$15:$AZ$81,$C30),0))))*$O30*S08_Defaults!$B$6*(1+S08_Defaults!$B$7)*S08_Defaults!$B$8</x:f>
        <x:v>1.9160435894217756</x:v>
      </x:c>
      <x:c r="X30" s="115" t="n">
        <x:f aca="0">(IF($K30&gt;=2,SUMIF(S14_Growth_Model_ExAnte!$C$15:$C$81,$B30,S14_Growth_Model_ExAnte!$M$15:$M$81)/$K30,IF($L30&gt;=2,SUMIF(S14_Growth_Model_ExAnte!$AY$15:$AY$81,$C30&amp;"|"&amp;$D30,S14_Growth_Model_ExAnte!$M$15:$M$81)/$L30,IF(COUNTIF(S14_Growth_Model_ExAnte!$AZ$15:$AZ$81,$C30)&gt;0,SUMIF(S14_Growth_Model_ExAnte!$AZ$15:$AZ$81,$C30,S14_Growth_Model_ExAnte!$M$15:$M$81)/COUNTIF(S14_Growth_Model_ExAnte!$AZ$15:$AZ$81,$C30),0))))*$O30*S08_Defaults!$B$6*(1+S08_Defaults!$B$7)*S08_Defaults!$B$8</x:f>
        <x:v>4.648002141175279</x:v>
      </x:c>
      <x:c r="Y30" s="115" t="n">
        <x:f aca="0">(IF($K30&gt;=2,SUMIF(S14_Growth_Model_ExAnte!$C$15:$C$81,$B30,S14_Growth_Model_ExAnte!$N$15:$N$81)/$K30,IF($L30&gt;=2,SUMIF(S14_Growth_Model_ExAnte!$AY$15:$AY$81,$C30&amp;"|"&amp;$D30,S14_Growth_Model_ExAnte!$N$15:$N$81)/$L30,IF(COUNTIF(S14_Growth_Model_ExAnte!$AZ$15:$AZ$81,$C30)&gt;0,SUMIF(S14_Growth_Model_ExAnte!$AZ$15:$AZ$81,$C30,S14_Growth_Model_ExAnte!$N$15:$N$81)/COUNTIF(S14_Growth_Model_ExAnte!$AZ$15:$AZ$81,$C30),0))))*$O30*S08_Defaults!$B$6*(1+S08_Defaults!$B$7)*S08_Defaults!$B$8</x:f>
        <x:v>8.765836201233046</x:v>
      </x:c>
      <x:c r="Z30" s="115" t="n">
        <x:f aca="0">(IF($K30&gt;=2,SUMIF(S14_Growth_Model_ExAnte!$C$15:$C$81,$B30,S14_Growth_Model_ExAnte!$O$15:$O$81)/$K30,IF($L30&gt;=2,SUMIF(S14_Growth_Model_ExAnte!$AY$15:$AY$81,$C30&amp;"|"&amp;$D30,S14_Growth_Model_ExAnte!$O$15:$O$81)/$L30,IF(COUNTIF(S14_Growth_Model_ExAnte!$AZ$15:$AZ$81,$C30)&gt;0,SUMIF(S14_Growth_Model_ExAnte!$AZ$15:$AZ$81,$C30,S14_Growth_Model_ExAnte!$O$15:$O$81)/COUNTIF(S14_Growth_Model_ExAnte!$AZ$15:$AZ$81,$C30),0))))*$O30*S08_Defaults!$B$6*(1+S08_Defaults!$B$7)*S08_Defaults!$B$8</x:f>
        <x:v>14.137731009696834</x:v>
      </x:c>
      <x:c r="AA30" s="115" t="n">
        <x:f aca="0">(IF($K30&gt;=2,SUMIF(S14_Growth_Model_ExAnte!$C$15:$C$81,$B30,S14_Growth_Model_ExAnte!$P$15:$P$81)/$K30,IF($L30&gt;=2,SUMIF(S14_Growth_Model_ExAnte!$AY$15:$AY$81,$C30&amp;"|"&amp;$D30,S14_Growth_Model_ExAnte!$P$15:$P$81)/$L30,IF(COUNTIF(S14_Growth_Model_ExAnte!$AZ$15:$AZ$81,$C30)&gt;0,SUMIF(S14_Growth_Model_ExAnte!$AZ$15:$AZ$81,$C30,S14_Growth_Model_ExAnte!$P$15:$P$81)/COUNTIF(S14_Growth_Model_ExAnte!$AZ$15:$AZ$81,$C30),0))))*$O30*S08_Defaults!$B$6*(1+S08_Defaults!$B$7)*S08_Defaults!$B$8</x:f>
        <x:v>20.514687829934044</x:v>
      </x:c>
      <x:c r="AB30" s="115" t="n">
        <x:f aca="0">(IF($K30&gt;=2,SUMIF(S14_Growth_Model_ExAnte!$C$15:$C$81,$B30,S14_Growth_Model_ExAnte!$Q$15:$Q$81)/$K30,IF($L30&gt;=2,SUMIF(S14_Growth_Model_ExAnte!$AY$15:$AY$81,$C30&amp;"|"&amp;$D30,S14_Growth_Model_ExAnte!$Q$15:$Q$81)/$L30,IF(COUNTIF(S14_Growth_Model_ExAnte!$AZ$15:$AZ$81,$C30)&gt;0,SUMIF(S14_Growth_Model_ExAnte!$AZ$15:$AZ$81,$C30,S14_Growth_Model_ExAnte!$Q$15:$Q$81)/COUNTIF(S14_Growth_Model_ExAnte!$AZ$15:$AZ$81,$C30),0))))*$O30*S08_Defaults!$B$6*(1+S08_Defaults!$B$7)*S08_Defaults!$B$8</x:f>
        <x:v>27.60358895515498</x:v>
      </x:c>
      <x:c r="AC30" s="115" t="n">
        <x:f aca="0">(IF($K30&gt;=2,SUMIF(S14_Growth_Model_ExAnte!$C$15:$C$81,$B30,S14_Growth_Model_ExAnte!$R$15:$R$81)/$K30,IF($L30&gt;=2,SUMIF(S14_Growth_Model_ExAnte!$AY$15:$AY$81,$C30&amp;"|"&amp;$D30,S14_Growth_Model_ExAnte!$R$15:$R$81)/$L30,IF(COUNTIF(S14_Growth_Model_ExAnte!$AZ$15:$AZ$81,$C30)&gt;0,SUMIF(S14_Growth_Model_ExAnte!$AZ$15:$AZ$81,$C30,S14_Growth_Model_ExAnte!$R$15:$R$81)/COUNTIF(S14_Growth_Model_ExAnte!$AZ$15:$AZ$81,$C30),0))))*$O30*S08_Defaults!$B$6*(1+S08_Defaults!$B$7)*S08_Defaults!$B$8</x:f>
        <x:v>35.11614902570361</x:v>
      </x:c>
      <x:c r="AD30" s="115" t="n">
        <x:f aca="0">(IF($K30&gt;=2,SUMIF(S14_Growth_Model_ExAnte!$C$15:$C$81,$B30,S14_Growth_Model_ExAnte!$S$15:$S$81)/$K30,IF($L30&gt;=2,SUMIF(S14_Growth_Model_ExAnte!$AY$15:$AY$81,$C30&amp;"|"&amp;$D30,S14_Growth_Model_ExAnte!$S$15:$S$81)/$L30,IF(COUNTIF(S14_Growth_Model_ExAnte!$AZ$15:$AZ$81,$C30)&gt;0,SUMIF(S14_Growth_Model_ExAnte!$AZ$15:$AZ$81,$C30,S14_Growth_Model_ExAnte!$S$15:$S$81)/COUNTIF(S14_Growth_Model_ExAnte!$AZ$15:$AZ$81,$C30),0))))*$O30*S08_Defaults!$B$6*(1+S08_Defaults!$B$7)*S08_Defaults!$B$8</x:f>
        <x:v>42.796694831673534</x:v>
      </x:c>
      <x:c r="AE30" s="115" t="n">
        <x:f aca="0">(IF($K30&gt;=2,SUMIF(S14_Growth_Model_ExAnte!$C$15:$C$81,$B30,S14_Growth_Model_ExAnte!$T$15:$T$81)/$K30,IF($L30&gt;=2,SUMIF(S14_Growth_Model_ExAnte!$AY$15:$AY$81,$C30&amp;"|"&amp;$D30,S14_Growth_Model_ExAnte!$T$15:$T$81)/$L30,IF(COUNTIF(S14_Growth_Model_ExAnte!$AZ$15:$AZ$81,$C30)&gt;0,SUMIF(S14_Growth_Model_ExAnte!$AZ$15:$AZ$81,$C30,S14_Growth_Model_ExAnte!$T$15:$T$81)/COUNTIF(S14_Growth_Model_ExAnte!$AZ$15:$AZ$81,$C30),0))))*$O30*S08_Defaults!$B$6*(1+S08_Defaults!$B$7)*S08_Defaults!$B$8</x:f>
        <x:v>50.43458352773399</x:v>
      </x:c>
      <x:c r="AF30" s="115" t="n">
        <x:f aca="0">(IF($K30&gt;=2,SUMIF(S14_Growth_Model_ExAnte!$C$15:$C$81,$B30,S14_Growth_Model_ExAnte!$U$15:$U$81)/$K30,IF($L30&gt;=2,SUMIF(S14_Growth_Model_ExAnte!$AY$15:$AY$81,$C30&amp;"|"&amp;$D30,S14_Growth_Model_ExAnte!$U$15:$U$81)/$L30,IF(COUNTIF(S14_Growth_Model_ExAnte!$AZ$15:$AZ$81,$C30)&gt;0,SUMIF(S14_Growth_Model_ExAnte!$AZ$15:$AZ$81,$C30,S14_Growth_Model_ExAnte!$U$15:$U$81)/COUNTIF(S14_Growth_Model_ExAnte!$AZ$15:$AZ$81,$C30),0))))*$O30*S08_Defaults!$B$6*(1+S08_Defaults!$B$7)*S08_Defaults!$B$8</x:f>
        <x:v>57.8667406233523</x:v>
      </x:c>
      <x:c r="AG30" s="115" t="n">
        <x:f aca="0">(IF($K30&gt;=2,SUMIF(S14_Growth_Model_ExAnte!$C$15:$C$81,$B30,S14_Growth_Model_ExAnte!$V$15:$V$81)/$K30,IF($L30&gt;=2,SUMIF(S14_Growth_Model_ExAnte!$AY$15:$AY$81,$C30&amp;"|"&amp;$D30,S14_Growth_Model_ExAnte!$V$15:$V$81)/$L30,IF(COUNTIF(S14_Growth_Model_ExAnte!$AZ$15:$AZ$81,$C30)&gt;0,SUMIF(S14_Growth_Model_ExAnte!$AZ$15:$AZ$81,$C30,S14_Growth_Model_ExAnte!$V$15:$V$81)/COUNTIF(S14_Growth_Model_ExAnte!$AZ$15:$AZ$81,$C30),0))))*$O30*S08_Defaults!$B$6*(1+S08_Defaults!$B$7)*S08_Defaults!$B$8</x:f>
        <x:v>64.97452870620393</x:v>
      </x:c>
      <x:c r="AH30" s="115" t="n">
        <x:f aca="0">(IF($K30&gt;=2,SUMIF(S14_Growth_Model_ExAnte!$C$15:$C$81,$B30,S14_Growth_Model_ExAnte!$W$15:$W$81)/$K30,IF($L30&gt;=2,SUMIF(S14_Growth_Model_ExAnte!$AY$15:$AY$81,$C30&amp;"|"&amp;$D30,S14_Growth_Model_ExAnte!$W$15:$W$81)/$L30,IF(COUNTIF(S14_Growth_Model_ExAnte!$AZ$15:$AZ$81,$C30)&gt;0,SUMIF(S14_Growth_Model_ExAnte!$AZ$15:$AZ$81,$C30,S14_Growth_Model_ExAnte!$W$15:$W$81)/COUNTIF(S14_Growth_Model_ExAnte!$AZ$15:$AZ$81,$C30),0))))*$O30*S08_Defaults!$B$6*(1+S08_Defaults!$B$7)*S08_Defaults!$B$8</x:f>
        <x:v>71.67784329965413</x:v>
      </x:c>
      <x:c r="AI30" s="115" t="n">
        <x:f aca="0">(IF($K30&gt;=2,SUMIF(S14_Growth_Model_ExAnte!$C$15:$C$81,$B30,S14_Growth_Model_ExAnte!$X$15:$X$81)/$K30,IF($L30&gt;=2,SUMIF(S14_Growth_Model_ExAnte!$AY$15:$AY$81,$C30&amp;"|"&amp;$D30,S14_Growth_Model_ExAnte!$X$15:$X$81)/$L30,IF(COUNTIF(S14_Growth_Model_ExAnte!$AZ$15:$AZ$81,$C30)&gt;0,SUMIF(S14_Growth_Model_ExAnte!$AZ$15:$AZ$81,$C30,S14_Growth_Model_ExAnte!$X$15:$X$81)/COUNTIF(S14_Growth_Model_ExAnte!$AZ$15:$AZ$81,$C30),0))))*$O30*S08_Defaults!$B$6*(1+S08_Defaults!$B$7)*S08_Defaults!$B$8</x:f>
        <x:v>77.92826810156097</x:v>
      </x:c>
      <x:c r="AJ30" s="115" t="n">
        <x:f aca="0">(IF($K30&gt;=2,SUMIF(S14_Growth_Model_ExAnte!$C$15:$C$81,$B30,S14_Growth_Model_ExAnte!$Y$15:$Y$81)/$K30,IF($L30&gt;=2,SUMIF(S14_Growth_Model_ExAnte!$AY$15:$AY$81,$C30&amp;"|"&amp;$D30,S14_Growth_Model_ExAnte!$Y$15:$Y$81)/$L30,IF(COUNTIF(S14_Growth_Model_ExAnte!$AZ$15:$AZ$81,$C30)&gt;0,SUMIF(S14_Growth_Model_ExAnte!$AZ$15:$AZ$81,$C30,S14_Growth_Model_ExAnte!$Y$15:$Y$81)/COUNTIF(S14_Growth_Model_ExAnte!$AZ$15:$AZ$81,$C30),0))))*$O30*S08_Defaults!$B$6*(1+S08_Defaults!$B$7)*S08_Defaults!$B$8</x:f>
        <x:v>83.70235418006737</x:v>
      </x:c>
      <x:c r="AK30" s="115" t="n">
        <x:f aca="0">(IF($K30&gt;=2,SUMIF(S14_Growth_Model_ExAnte!$C$15:$C$81,$B30,S14_Growth_Model_ExAnte!$Z$15:$Z$81)/$K30,IF($L30&gt;=2,SUMIF(S14_Growth_Model_ExAnte!$AY$15:$AY$81,$C30&amp;"|"&amp;$D30,S14_Growth_Model_ExAnte!$Z$15:$Z$81)/$L30,IF(COUNTIF(S14_Growth_Model_ExAnte!$AZ$15:$AZ$81,$C30)&gt;0,SUMIF(S14_Growth_Model_ExAnte!$AZ$15:$AZ$81,$C30,S14_Growth_Model_ExAnte!$Z$15:$Z$81)/COUNTIF(S14_Growth_Model_ExAnte!$AZ$15:$AZ$81,$C30),0))))*$O30*S08_Defaults!$B$6*(1+S08_Defaults!$B$7)*S08_Defaults!$B$8</x:f>
        <x:v>88.99557408183094</x:v>
      </x:c>
      <x:c r="AL30" s="115" t="n">
        <x:f aca="0">(IF($K30&gt;=2,SUMIF(S14_Growth_Model_ExAnte!$C$15:$C$81,$B30,S14_Growth_Model_ExAnte!$AA$15:$AA$81)/$K30,IF($L30&gt;=2,SUMIF(S14_Growth_Model_ExAnte!$AY$15:$AY$81,$C30&amp;"|"&amp;$D30,S14_Growth_Model_ExAnte!$AA$15:$AA$81)/$L30,IF(COUNTIF(S14_Growth_Model_ExAnte!$AZ$15:$AZ$81,$C30)&gt;0,SUMIF(S14_Growth_Model_ExAnte!$AZ$15:$AZ$81,$C30,S14_Growth_Model_ExAnte!$AA$15:$AA$81)/COUNTIF(S14_Growth_Model_ExAnte!$AZ$15:$AZ$81,$C30),0))))*$O30*S08_Defaults!$B$6*(1+S08_Defaults!$B$7)*S08_Defaults!$B$8</x:f>
        <x:v>93.81717915983346</x:v>
      </x:c>
      <x:c r="AM30" s="115" t="n">
        <x:f aca="0">R30</x:f>
        <x:v>0</x:v>
      </x:c>
      <x:c r="AN30" s="115" t="n">
        <x:f aca="0">S30-R30</x:f>
        <x:v>0</x:v>
      </x:c>
      <x:c r="AO30" s="115" t="n">
        <x:f aca="0">T30-S30</x:f>
        <x:v>0</x:v>
      </x:c>
      <x:c r="AP30" s="115" t="n">
        <x:f aca="0">U30-T30</x:f>
        <x:v>0.041887249891712</x:v>
      </x:c>
      <x:c r="AQ30" s="115" t="n">
        <x:f aca="0">V30-U30</x:f>
        <x:v>0.45880393220316407</x:v>
      </x:c>
      <x:c r="AR30" s="115" t="n">
        <x:f aca="0">W30-V30</x:f>
        <x:v>1.4153524073268995</x:v>
      </x:c>
      <x:c r="AS30" s="115" t="n">
        <x:f aca="0">X30-W30</x:f>
        <x:v>2.731958551753504</x:v>
      </x:c>
      <x:c r="AT30" s="115" t="n">
        <x:f aca="0">Y30-X30</x:f>
        <x:v>4.117834060057767</x:v>
      </x:c>
      <x:c r="AU30" s="115" t="n">
        <x:f aca="0">Z30-Y30</x:f>
        <x:v>5.371894808463788</x:v>
      </x:c>
      <x:c r="AV30" s="115" t="n">
        <x:f aca="0">AA30-Z30</x:f>
        <x:v>6.3769568202372096</x:v>
      </x:c>
      <x:c r="AW30" s="115" t="n">
        <x:f aca="0">AB30-AA30</x:f>
        <x:v>7.088901125220936</x:v>
      </x:c>
      <x:c r="AX30" s="115" t="n">
        <x:f aca="0">AC30-AB30</x:f>
        <x:v>7.512560070548634</x:v>
      </x:c>
      <x:c r="AY30" s="115" t="n">
        <x:f aca="0">AD30-AC30</x:f>
        <x:v>7.6805458059699205</x:v>
      </x:c>
      <x:c r="AZ30" s="115" t="n">
        <x:f aca="0">AE30-AD30</x:f>
        <x:v>7.6378886960604575</x:v>
      </x:c>
      <x:c r="BA30" s="115" t="n">
        <x:f aca="0">AF30-AE30</x:f>
        <x:v>7.432157095618308</x:v>
      </x:c>
      <x:c r="BB30" s="115" t="n">
        <x:f aca="0">AG30-AF30</x:f>
        <x:v>7.107788082851627</x:v>
      </x:c>
      <x:c r="BC30" s="115" t="n">
        <x:f aca="0">AH30-AG30</x:f>
        <x:v>6.703314593450202</x:v>
      </x:c>
      <x:c r="BD30" s="115" t="n">
        <x:f aca="0">AI30-AH30</x:f>
        <x:v>6.250424801906846</x:v>
      </x:c>
      <x:c r="BE30" s="115" t="n">
        <x:f aca="0">AJ30-AI30</x:f>
        <x:v>5.7740860785064</x:v>
      </x:c>
      <x:c r="BF30" s="115" t="n">
        <x:f aca="0">AK30-AJ30</x:f>
        <x:v>5.293219901763564</x:v>
      </x:c>
      <x:c r="BG30" s="115" t="n">
        <x:f aca="0">AL30-AK30</x:f>
        <x:v>4.82160507800252</x:v>
      </x:c>
    </x:row>
    <x:row r="31" ht="15" hidden="0" customHeight="1">
      <x:c r="A31" s="160" t="str">
        <x:f aca="0">"S"&amp;TEXT(ROW()-3,"00")</x:f>
        <x:v>S28</x:v>
      </x:c>
      <x:c r="B31" s="161" t="s">
        <x:v>693</x:v>
      </x:c>
      <x:c r="C31" s="160" t="str">
        <x:f aca="0">LEFT($B31,FIND("|",$B31)-1)</x:f>
        <x:v>Timber Plantation</x:v>
      </x:c>
      <x:c r="D31" s="160" t="str">
        <x:f aca="0">MID($B31,FIND("|",$B31)+1,FIND("|",$B31,FIND("|",$B31)+1)-FIND("|",$B31)-1)</x:f>
        <x:v>Low</x:v>
      </x:c>
      <x:c r="E31" s="160" t="n">
        <x:f aca="0">VALUE(RIGHT($B31,4))</x:f>
        <x:v>2022</x:v>
      </x:c>
      <x:c r="F31" s="115" t="n">
        <x:f aca="0">SUMIF(S17_Biome_Strata!$G$4:$G$95,$B31,S17_Biome_Strata!$E$4:$E$95)</x:f>
        <x:v>15</x:v>
      </x:c>
      <x:c r="G31" s="115" t="n">
        <x:f aca="0">SUMIF(S17_Biome_Strata!$G$4:$G$95,$B31,S17_Biome_Strata!$F$4:$F$95)</x:f>
        <x:v>13.2910300687981</x:v>
      </x:c>
      <x:c r="H31" s="115" t="n">
        <x:f aca="0">IF($K31&gt;=2,SUMIF(S14_Growth_Model_ExAnte!$C$15:$C$81,$B31,S14_Growth_Model_ExAnte!$M$15:$M$81)/$K31,IF($L31&gt;=2,SUMIF(S14_Growth_Model_ExAnte!$AY$15:$AY$81,$C31&amp;"|"&amp;$D31,S14_Growth_Model_ExAnte!$M$15:$M$81)/$L31,IF(COUNTIF(S14_Growth_Model_ExAnte!$AZ$15:$AZ$81,$C31)&gt;0,SUMIF(S14_Growth_Model_ExAnte!$AZ$15:$AZ$81,$C31,S14_Growth_Model_ExAnte!$M$15:$M$81)/COUNTIF(S14_Growth_Model_ExAnte!$AZ$15:$AZ$81,$C31),0)))</x:f>
        <x:v>13.500132622284411</x:v>
      </x:c>
      <x:c r="I31" s="115" t="n">
        <x:f aca="0">IF($K31&gt;=2,SQRT(MAX(0,(SUMIF(S14_Growth_Model_ExAnte!$C$15:$C$81,$B31,S14_Growth_Model_ExAnte!$BE$15:$BE$81)-SUMIF(S14_Growth_Model_ExAnte!$C$15:$C$81,$B31,S14_Growth_Model_ExAnte!$M$15:$M$81)*SUMIF(S14_Growth_Model_ExAnte!$C$15:$C$81,$B31,S14_Growth_Model_ExAnte!$M$15:$M$81)/$K31)/($K31-1))),IF($L31&gt;=2,SQRT(MAX(0,(SUMIF(S14_Growth_Model_ExAnte!$AY$15:$AY$81,$C31&amp;"|"&amp;$D31,S14_Growth_Model_ExAnte!$BE$15:$BE$81)-SUMIF(S14_Growth_Model_ExAnte!$AY$15:$AY$81,$C31&amp;"|"&amp;$D31,S14_Growth_Model_ExAnte!$M$15:$M$81)*SUMIF(S14_Growth_Model_ExAnte!$AY$15:$AY$81,$C31&amp;"|"&amp;$D31,S14_Growth_Model_ExAnte!$M$15:$M$81)/$L31)/($L31-1))),IF(COUNTIF(S14_Growth_Model_ExAnte!$AZ$15:$AZ$81,$C31)&gt;=2,SQRT(MAX(0,(SUMIF(S14_Growth_Model_ExAnte!$AZ$15:$AZ$81,$C31,S14_Growth_Model_ExAnte!$BE$15:$BE$81)-SUMIF(S14_Growth_Model_ExAnte!$AZ$15:$AZ$81,$C31,S14_Growth_Model_ExAnte!$M$15:$M$81)*SUMIF(S14_Growth_Model_ExAnte!$AZ$15:$AZ$81,$C31,S14_Growth_Model_ExAnte!$M$15:$M$81)/COUNTIF(S14_Growth_Model_ExAnte!$AZ$15:$AZ$81,$C31))/(COUNTIF(S14_Growth_Model_ExAnte!$AZ$15:$AZ$81,$C31)-1))),0)))</x:f>
        <x:v>13.517879909009919</x:v>
      </x:c>
      <x:c r="J31" s="115" t="n">
        <x:f aca="0">IFERROR(I31/H31,0)</x:f>
        <x:v>1.0013146009170466</x:v>
      </x:c>
      <x:c r="K31" s="115" t="n">
        <x:f aca="0">COUNTIF(S14_Growth_Model_ExAnte!$C$15:$C$81,$B31)</x:f>
        <x:v>1</x:v>
      </x:c>
      <x:c r="L31" s="115" t="n">
        <x:f aca="0">COUNTIF(S14_Growth_Model_ExAnte!$AY$15:$AY$81,$C31&amp;"|"&amp;$D31)</x:f>
        <x:v>6</x:v>
      </x:c>
      <x:c r="M31" s="115" t="n">
        <x:f aca="0">$H31</x:f>
        <x:v>13.500132622284411</x:v>
      </x:c>
      <x:c r="N31" s="115" t="n">
        <x:f aca="0">MAX(0,$M31*S08_Defaults!$B$5)</x:f>
        <x:v>10.125099466713309</x:v>
      </x:c>
      <x:c r="O31" s="115" t="n">
        <x:f aca="0">IFERROR($N31/$M31,0)</x:f>
        <x:v>0.75</x:v>
      </x:c>
      <x:c r="P31" s="115" t="str">
        <x:f aca="0">IF($K31&gt;=2,"Exact Stratum PSP Chapman-Richards curve",IF($L31&gt;=2,"Model×Density pooled Chapman-Richards curve","Model pooled Chapman-Richards curve"))</x:f>
        <x:v>Model×Density pooled Chapman-Richards curve</x:v>
      </x:c>
      <x:c r="Q31" s="162" t="s">
        <x:v>1106</x:v>
      </x:c>
      <x:c r="R31" s="115" t="n">
        <x:f aca="0">0</x:f>
        <x:v>0</x:v>
      </x:c>
      <x:c r="S31" s="115" t="n">
        <x:f aca="0">0</x:f>
        <x:v>0</x:v>
      </x:c>
      <x:c r="T31" s="115" t="n">
        <x:f aca="0">(IF($K31&gt;=2,SUMIF(S14_Growth_Model_ExAnte!$C$15:$C$81,$B31,S14_Growth_Model_ExAnte!$I$15:$I$81)/$K31,IF($L31&gt;=2,SUMIF(S14_Growth_Model_ExAnte!$AY$15:$AY$81,$C31&amp;"|"&amp;$D31,S14_Growth_Model_ExAnte!$I$15:$I$81)/$L31,IF(COUNTIF(S14_Growth_Model_ExAnte!$AZ$15:$AZ$81,$C31)&gt;0,SUMIF(S14_Growth_Model_ExAnte!$AZ$15:$AZ$81,$C31,S14_Growth_Model_ExAnte!$I$15:$I$81)/COUNTIF(S14_Growth_Model_ExAnte!$AZ$15:$AZ$81,$C31),0))))*$O31*S08_Defaults!$B$6*(1+S08_Defaults!$B$7)*S08_Defaults!$B$8</x:f>
        <x:v>0</x:v>
      </x:c>
      <x:c r="U31" s="115" t="n">
        <x:f aca="0">(IF($K31&gt;=2,SUMIF(S14_Growth_Model_ExAnte!$C$15:$C$81,$B31,S14_Growth_Model_ExAnte!$J$15:$J$81)/$K31,IF($L31&gt;=2,SUMIF(S14_Growth_Model_ExAnte!$AY$15:$AY$81,$C31&amp;"|"&amp;$D31,S14_Growth_Model_ExAnte!$J$15:$J$81)/$L31,IF(COUNTIF(S14_Growth_Model_ExAnte!$AZ$15:$AZ$81,$C31)&gt;0,SUMIF(S14_Growth_Model_ExAnte!$AZ$15:$AZ$81,$C31,S14_Growth_Model_ExAnte!$J$15:$J$81)/COUNTIF(S14_Growth_Model_ExAnte!$AZ$15:$AZ$81,$C31),0))))*$O31*S08_Defaults!$B$6*(1+S08_Defaults!$B$7)*S08_Defaults!$B$8</x:f>
        <x:v>0.2344008062162858</x:v>
      </x:c>
      <x:c r="V31" s="115" t="n">
        <x:f aca="0">(IF($K31&gt;=2,SUMIF(S14_Growth_Model_ExAnte!$C$15:$C$81,$B31,S14_Growth_Model_ExAnte!$K$15:$K$81)/$K31,IF($L31&gt;=2,SUMIF(S14_Growth_Model_ExAnte!$AY$15:$AY$81,$C31&amp;"|"&amp;$D31,S14_Growth_Model_ExAnte!$K$15:$K$81)/$L31,IF(COUNTIF(S14_Growth_Model_ExAnte!$AZ$15:$AZ$81,$C31)&gt;0,SUMIF(S14_Growth_Model_ExAnte!$AZ$15:$AZ$81,$C31,S14_Growth_Model_ExAnte!$K$15:$K$81)/COUNTIF(S14_Growth_Model_ExAnte!$AZ$15:$AZ$81,$C31),0))))*$O31*S08_Defaults!$B$6*(1+S08_Defaults!$B$7)*S08_Defaults!$B$8</x:f>
        <x:v>2.517183336362505</x:v>
      </x:c>
      <x:c r="W31" s="115" t="n">
        <x:f aca="0">(IF($K31&gt;=2,SUMIF(S14_Growth_Model_ExAnte!$C$15:$C$81,$B31,S14_Growth_Model_ExAnte!$L$15:$L$81)/$K31,IF($L31&gt;=2,SUMIF(S14_Growth_Model_ExAnte!$AY$15:$AY$81,$C31&amp;"|"&amp;$D31,S14_Growth_Model_ExAnte!$L$15:$L$81)/$L31,IF(COUNTIF(S14_Growth_Model_ExAnte!$AZ$15:$AZ$81,$C31)&gt;0,SUMIF(S14_Growth_Model_ExAnte!$AZ$15:$AZ$81,$C31,S14_Growth_Model_ExAnte!$L$15:$L$81)/COUNTIF(S14_Growth_Model_ExAnte!$AZ$15:$AZ$81,$C31),0))))*$O31*S08_Defaults!$B$6*(1+S08_Defaults!$B$7)*S08_Defaults!$B$8</x:f>
        <x:v>9.165851810634095</x:v>
      </x:c>
      <x:c r="X31" s="115" t="n">
        <x:f aca="0">(IF($K31&gt;=2,SUMIF(S14_Growth_Model_ExAnte!$C$15:$C$81,$B31,S14_Growth_Model_ExAnte!$M$15:$M$81)/$K31,IF($L31&gt;=2,SUMIF(S14_Growth_Model_ExAnte!$AY$15:$AY$81,$C31&amp;"|"&amp;$D31,S14_Growth_Model_ExAnte!$M$15:$M$81)/$L31,IF(COUNTIF(S14_Growth_Model_ExAnte!$AZ$15:$AZ$81,$C31)&gt;0,SUMIF(S14_Growth_Model_ExAnte!$AZ$15:$AZ$81,$C31,S14_Growth_Model_ExAnte!$M$15:$M$81)/COUNTIF(S14_Growth_Model_ExAnte!$AZ$15:$AZ$81,$C31),0))))*$O31*S08_Defaults!$B$6*(1+S08_Defaults!$B$7)*S08_Defaults!$B$8</x:f>
        <x:v>21.636662553735242</x:v>
      </x:c>
      <x:c r="Y31" s="115" t="n">
        <x:f aca="0">(IF($K31&gt;=2,SUMIF(S14_Growth_Model_ExAnte!$C$15:$C$81,$B31,S14_Growth_Model_ExAnte!$N$15:$N$81)/$K31,IF($L31&gt;=2,SUMIF(S14_Growth_Model_ExAnte!$AY$15:$AY$81,$C31&amp;"|"&amp;$D31,S14_Growth_Model_ExAnte!$N$15:$N$81)/$L31,IF(COUNTIF(S14_Growth_Model_ExAnte!$AZ$15:$AZ$81,$C31)&gt;0,SUMIF(S14_Growth_Model_ExAnte!$AZ$15:$AZ$81,$C31,S14_Growth_Model_ExAnte!$N$15:$N$81)/COUNTIF(S14_Growth_Model_ExAnte!$AZ$15:$AZ$81,$C31),0))))*$O31*S08_Defaults!$B$6*(1+S08_Defaults!$B$7)*S08_Defaults!$B$8</x:f>
        <x:v>40.17069700762988</x:v>
      </x:c>
      <x:c r="Z31" s="115" t="n">
        <x:f aca="0">(IF($K31&gt;=2,SUMIF(S14_Growth_Model_ExAnte!$C$15:$C$81,$B31,S14_Growth_Model_ExAnte!$O$15:$O$81)/$K31,IF($L31&gt;=2,SUMIF(S14_Growth_Model_ExAnte!$AY$15:$AY$81,$C31&amp;"|"&amp;$D31,S14_Growth_Model_ExAnte!$O$15:$O$81)/$L31,IF(COUNTIF(S14_Growth_Model_ExAnte!$AZ$15:$AZ$81,$C31)&gt;0,SUMIF(S14_Growth_Model_ExAnte!$AZ$15:$AZ$81,$C31,S14_Growth_Model_ExAnte!$O$15:$O$81)/COUNTIF(S14_Growth_Model_ExAnte!$AZ$15:$AZ$81,$C31),0))))*$O31*S08_Defaults!$B$6*(1+S08_Defaults!$B$7)*S08_Defaults!$B$8</x:f>
        <x:v>64.21703043547409</x:v>
      </x:c>
      <x:c r="AA31" s="115" t="n">
        <x:f aca="0">(IF($K31&gt;=2,SUMIF(S14_Growth_Model_ExAnte!$C$15:$C$81,$B31,S14_Growth_Model_ExAnte!$P$15:$P$81)/$K31,IF($L31&gt;=2,SUMIF(S14_Growth_Model_ExAnte!$AY$15:$AY$81,$C31&amp;"|"&amp;$D31,S14_Growth_Model_ExAnte!$P$15:$P$81)/$L31,IF(COUNTIF(S14_Growth_Model_ExAnte!$AZ$15:$AZ$81,$C31)&gt;0,SUMIF(S14_Growth_Model_ExAnte!$AZ$15:$AZ$81,$C31,S14_Growth_Model_ExAnte!$P$15:$P$81)/COUNTIF(S14_Growth_Model_ExAnte!$AZ$15:$AZ$81,$C31),0))))*$O31*S08_Defaults!$B$6*(1+S08_Defaults!$B$7)*S08_Defaults!$B$8</x:f>
        <x:v>92.75946271580129</x:v>
      </x:c>
      <x:c r="AB31" s="115" t="n">
        <x:f aca="0">(IF($K31&gt;=2,SUMIF(S14_Growth_Model_ExAnte!$C$15:$C$81,$B31,S14_Growth_Model_ExAnte!$Q$15:$Q$81)/$K31,IF($L31&gt;=2,SUMIF(S14_Growth_Model_ExAnte!$AY$15:$AY$81,$C31&amp;"|"&amp;$D31,S14_Growth_Model_ExAnte!$Q$15:$Q$81)/$L31,IF(COUNTIF(S14_Growth_Model_ExAnte!$AZ$15:$AZ$81,$C31)&gt;0,SUMIF(S14_Growth_Model_ExAnte!$AZ$15:$AZ$81,$C31,S14_Growth_Model_ExAnte!$Q$15:$Q$81)/COUNTIF(S14_Growth_Model_ExAnte!$AZ$15:$AZ$81,$C31),0))))*$O31*S08_Defaults!$B$6*(1+S08_Defaults!$B$7)*S08_Defaults!$B$8</x:f>
        <x:v>124.59670457567152</x:v>
      </x:c>
      <x:c r="AC31" s="115" t="n">
        <x:f aca="0">(IF($K31&gt;=2,SUMIF(S14_Growth_Model_ExAnte!$C$15:$C$81,$B31,S14_Growth_Model_ExAnte!$R$15:$R$81)/$K31,IF($L31&gt;=2,SUMIF(S14_Growth_Model_ExAnte!$AY$15:$AY$81,$C31&amp;"|"&amp;$D31,S14_Growth_Model_ExAnte!$R$15:$R$81)/$L31,IF(COUNTIF(S14_Growth_Model_ExAnte!$AZ$15:$AZ$81,$C31)&gt;0,SUMIF(S14_Growth_Model_ExAnte!$AZ$15:$AZ$81,$C31,S14_Growth_Model_ExAnte!$R$15:$R$81)/COUNTIF(S14_Growth_Model_ExAnte!$AZ$15:$AZ$81,$C31),0))))*$O31*S08_Defaults!$B$6*(1+S08_Defaults!$B$7)*S08_Defaults!$B$8</x:f>
        <x:v>158.530937049188</x:v>
      </x:c>
      <x:c r="AD31" s="115" t="n">
        <x:f aca="0">(IF($K31&gt;=2,SUMIF(S14_Growth_Model_ExAnte!$C$15:$C$81,$B31,S14_Growth_Model_ExAnte!$S$15:$S$81)/$K31,IF($L31&gt;=2,SUMIF(S14_Growth_Model_ExAnte!$AY$15:$AY$81,$C31&amp;"|"&amp;$D31,S14_Growth_Model_ExAnte!$S$15:$S$81)/$L31,IF(COUNTIF(S14_Growth_Model_ExAnte!$AZ$15:$AZ$81,$C31)&gt;0,SUMIF(S14_Growth_Model_ExAnte!$AZ$15:$AZ$81,$C31,S14_Growth_Model_ExAnte!$S$15:$S$81)/COUNTIF(S14_Growth_Model_ExAnte!$AZ$15:$AZ$81,$C31),0))))*$O31*S08_Defaults!$B$6*(1+S08_Defaults!$B$7)*S08_Defaults!$B$8</x:f>
        <x:v>193.47828801682851</x:v>
      </x:c>
      <x:c r="AE31" s="115" t="n">
        <x:f aca="0">(IF($K31&gt;=2,SUMIF(S14_Growth_Model_ExAnte!$C$15:$C$81,$B31,S14_Growth_Model_ExAnte!$T$15:$T$81)/$K31,IF($L31&gt;=2,SUMIF(S14_Growth_Model_ExAnte!$AY$15:$AY$81,$C31&amp;"|"&amp;$D31,S14_Growth_Model_ExAnte!$T$15:$T$81)/$L31,IF(COUNTIF(S14_Growth_Model_ExAnte!$AZ$15:$AZ$81,$C31)&gt;0,SUMIF(S14_Growth_Model_ExAnte!$AZ$15:$AZ$81,$C31,S14_Growth_Model_ExAnte!$T$15:$T$81)/COUNTIF(S14_Growth_Model_ExAnte!$AZ$15:$AZ$81,$C31),0))))*$O31*S08_Defaults!$B$6*(1+S08_Defaults!$B$7)*S08_Defaults!$B$8</x:f>
        <x:v>228.52238232946212</x:v>
      </x:c>
      <x:c r="AF31" s="115" t="n">
        <x:f aca="0">(IF($K31&gt;=2,SUMIF(S14_Growth_Model_ExAnte!$C$15:$C$81,$B31,S14_Growth_Model_ExAnte!$U$15:$U$81)/$K31,IF($L31&gt;=2,SUMIF(S14_Growth_Model_ExAnte!$AY$15:$AY$81,$C31&amp;"|"&amp;$D31,S14_Growth_Model_ExAnte!$U$15:$U$81)/$L31,IF(COUNTIF(S14_Growth_Model_ExAnte!$AZ$15:$AZ$81,$C31)&gt;0,SUMIF(S14_Growth_Model_ExAnte!$AZ$15:$AZ$81,$C31,S14_Growth_Model_ExAnte!$U$15:$U$81)/COUNTIF(S14_Growth_Model_ExAnte!$AZ$15:$AZ$81,$C31),0))))*$O31*S08_Defaults!$B$6*(1+S08_Defaults!$B$7)*S08_Defaults!$B$8</x:f>
        <x:v>262.93034140034655</x:v>
      </x:c>
      <x:c r="AG31" s="115" t="n">
        <x:f aca="0">(IF($K31&gt;=2,SUMIF(S14_Growth_Model_ExAnte!$C$15:$C$81,$B31,S14_Growth_Model_ExAnte!$V$15:$V$81)/$K31,IF($L31&gt;=2,SUMIF(S14_Growth_Model_ExAnte!$AY$15:$AY$81,$C31&amp;"|"&amp;$D31,S14_Growth_Model_ExAnte!$V$15:$V$81)/$L31,IF(COUNTIF(S14_Growth_Model_ExAnte!$AZ$15:$AZ$81,$C31)&gt;0,SUMIF(S14_Growth_Model_ExAnte!$AZ$15:$AZ$81,$C31,S14_Growth_Model_ExAnte!$V$15:$V$81)/COUNTIF(S14_Growth_Model_ExAnte!$AZ$15:$AZ$81,$C31),0))))*$O31*S08_Defaults!$B$6*(1+S08_Defaults!$B$7)*S08_Defaults!$B$8</x:f>
        <x:v>296.14619367506015</x:v>
      </x:c>
      <x:c r="AH31" s="115" t="n">
        <x:f aca="0">(IF($K31&gt;=2,SUMIF(S14_Growth_Model_ExAnte!$C$15:$C$81,$B31,S14_Growth_Model_ExAnte!$W$15:$W$81)/$K31,IF($L31&gt;=2,SUMIF(S14_Growth_Model_ExAnte!$AY$15:$AY$81,$C31&amp;"|"&amp;$D31,S14_Growth_Model_ExAnte!$W$15:$W$81)/$L31,IF(COUNTIF(S14_Growth_Model_ExAnte!$AZ$15:$AZ$81,$C31)&gt;0,SUMIF(S14_Growth_Model_ExAnte!$AZ$15:$AZ$81,$C31,S14_Growth_Model_ExAnte!$W$15:$W$81)/COUNTIF(S14_Growth_Model_ExAnte!$AZ$15:$AZ$81,$C31),0))))*$O31*S08_Defaults!$B$6*(1+S08_Defaults!$B$7)*S08_Defaults!$B$8</x:f>
        <x:v>327.77222010466966</x:v>
      </x:c>
      <x:c r="AI31" s="115" t="n">
        <x:f aca="0">(IF($K31&gt;=2,SUMIF(S14_Growth_Model_ExAnte!$C$15:$C$81,$B31,S14_Growth_Model_ExAnte!$X$15:$X$81)/$K31,IF($L31&gt;=2,SUMIF(S14_Growth_Model_ExAnte!$AY$15:$AY$81,$C31&amp;"|"&amp;$D31,S14_Growth_Model_ExAnte!$X$15:$X$81)/$L31,IF(COUNTIF(S14_Growth_Model_ExAnte!$AZ$15:$AZ$81,$C31)&gt;0,SUMIF(S14_Growth_Model_ExAnte!$AZ$15:$AZ$81,$C31,S14_Growth_Model_ExAnte!$X$15:$X$81)/COUNTIF(S14_Growth_Model_ExAnte!$AZ$15:$AZ$81,$C31),0))))*$O31*S08_Defaults!$B$6*(1+S08_Defaults!$B$7)*S08_Defaults!$B$8</x:f>
        <x:v>357.5451434089246</x:v>
      </x:c>
      <x:c r="AJ31" s="115" t="n">
        <x:f aca="0">(IF($K31&gt;=2,SUMIF(S14_Growth_Model_ExAnte!$C$15:$C$81,$B31,S14_Growth_Model_ExAnte!$Y$15:$Y$81)/$K31,IF($L31&gt;=2,SUMIF(S14_Growth_Model_ExAnte!$AY$15:$AY$81,$C31&amp;"|"&amp;$D31,S14_Growth_Model_ExAnte!$Y$15:$Y$81)/$L31,IF(COUNTIF(S14_Growth_Model_ExAnte!$AZ$15:$AZ$81,$C31)&gt;0,SUMIF(S14_Growth_Model_ExAnte!$AZ$15:$AZ$81,$C31,S14_Growth_Model_ExAnte!$Y$15:$Y$81)/COUNTIF(S14_Growth_Model_ExAnte!$AZ$15:$AZ$81,$C31),0))))*$O31*S08_Defaults!$B$6*(1+S08_Defaults!$B$7)*S08_Defaults!$B$8</x:f>
        <x:v>385.31140512164643</x:v>
      </x:c>
      <x:c r="AK31" s="115" t="n">
        <x:f aca="0">(IF($K31&gt;=2,SUMIF(S14_Growth_Model_ExAnte!$C$15:$C$81,$B31,S14_Growth_Model_ExAnte!$Z$15:$Z$81)/$K31,IF($L31&gt;=2,SUMIF(S14_Growth_Model_ExAnte!$AY$15:$AY$81,$C31&amp;"|"&amp;$D31,S14_Growth_Model_ExAnte!$Z$15:$Z$81)/$L31,IF(COUNTIF(S14_Growth_Model_ExAnte!$AZ$15:$AZ$81,$C31)&gt;0,SUMIF(S14_Growth_Model_ExAnte!$AZ$15:$AZ$81,$C31,S14_Growth_Model_ExAnte!$Z$15:$Z$81)/COUNTIF(S14_Growth_Model_ExAnte!$AZ$15:$AZ$81,$C31),0))))*$O31*S08_Defaults!$B$6*(1+S08_Defaults!$B$7)*S08_Defaults!$B$8</x:f>
        <x:v>411.0039323904602</x:v>
      </x:c>
      <x:c r="AL31" s="115" t="n">
        <x:f aca="0">(IF($K31&gt;=2,SUMIF(S14_Growth_Model_ExAnte!$C$15:$C$81,$B31,S14_Growth_Model_ExAnte!$AA$15:$AA$81)/$K31,IF($L31&gt;=2,SUMIF(S14_Growth_Model_ExAnte!$AY$15:$AY$81,$C31&amp;"|"&amp;$D31,S14_Growth_Model_ExAnte!$AA$15:$AA$81)/$L31,IF(COUNTIF(S14_Growth_Model_ExAnte!$AZ$15:$AZ$81,$C31)&gt;0,SUMIF(S14_Growth_Model_ExAnte!$AZ$15:$AZ$81,$C31,S14_Growth_Model_ExAnte!$AA$15:$AA$81)/COUNTIF(S14_Growth_Model_ExAnte!$AZ$15:$AZ$81,$C31),0))))*$O31*S08_Defaults!$B$6*(1+S08_Defaults!$B$7)*S08_Defaults!$B$8</x:f>
        <x:v>434.6215869347765</x:v>
      </x:c>
      <x:c r="AM31" s="115" t="n">
        <x:f aca="0">R31</x:f>
        <x:v>0</x:v>
      </x:c>
      <x:c r="AN31" s="115" t="n">
        <x:f aca="0">S31-R31</x:f>
        <x:v>0</x:v>
      </x:c>
      <x:c r="AO31" s="115" t="n">
        <x:f aca="0">T31-S31</x:f>
        <x:v>0</x:v>
      </x:c>
      <x:c r="AP31" s="115" t="n">
        <x:f aca="0">U31-T31</x:f>
        <x:v>0.2344008062162858</x:v>
      </x:c>
      <x:c r="AQ31" s="115" t="n">
        <x:f aca="0">V31-U31</x:f>
        <x:v>2.2827825301462195</x:v>
      </x:c>
      <x:c r="AR31" s="115" t="n">
        <x:f aca="0">W31-V31</x:f>
        <x:v>6.64866847427159</x:v>
      </x:c>
      <x:c r="AS31" s="115" t="n">
        <x:f aca="0">X31-W31</x:f>
        <x:v>12.470810743101147</x:v>
      </x:c>
      <x:c r="AT31" s="115" t="n">
        <x:f aca="0">Y31-X31</x:f>
        <x:v>18.53403445389464</x:v>
      </x:c>
      <x:c r="AU31" s="115" t="n">
        <x:f aca="0">Z31-Y31</x:f>
        <x:v>24.046333427844203</x:v>
      </x:c>
      <x:c r="AV31" s="115" t="n">
        <x:f aca="0">AA31-Z31</x:f>
        <x:v>28.542432280327205</x:v>
      </x:c>
      <x:c r="AW31" s="115" t="n">
        <x:f aca="0">AB31-AA31</x:f>
        <x:v>31.837241859870232</x:v>
      </x:c>
      <x:c r="AX31" s="115" t="n">
        <x:f aca="0">AC31-AB31</x:f>
        <x:v>33.934232473516474</x:v>
      </x:c>
      <x:c r="AY31" s="115" t="n">
        <x:f aca="0">AD31-AC31</x:f>
        <x:v>34.94735096764052</x:v>
      </x:c>
      <x:c r="AZ31" s="115" t="n">
        <x:f aca="0">AE31-AD31</x:f>
        <x:v>35.044094312633604</x:v>
      </x:c>
      <x:c r="BA31" s="115" t="n">
        <x:f aca="0">AF31-AE31</x:f>
        <x:v>34.40795907088443</x:v>
      </x:c>
      <x:c r="BB31" s="115" t="n">
        <x:f aca="0">AG31-AF31</x:f>
        <x:v>33.2158522747136</x:v>
      </x:c>
      <x:c r="BC31" s="115" t="n">
        <x:f aca="0">AH31-AG31</x:f>
        <x:v>31.62602642960951</x:v>
      </x:c>
      <x:c r="BD31" s="115" t="n">
        <x:f aca="0">AI31-AH31</x:f>
        <x:v>29.77292330425496</x:v>
      </x:c>
      <x:c r="BE31" s="115" t="n">
        <x:f aca="0">AJ31-AI31</x:f>
        <x:v>27.766261712721814</x:v>
      </x:c>
      <x:c r="BF31" s="115" t="n">
        <x:f aca="0">AK31-AJ31</x:f>
        <x:v>25.692527268813762</x:v>
      </x:c>
      <x:c r="BG31" s="115" t="n">
        <x:f aca="0">AL31-AK31</x:f>
        <x:v>23.61765454431628</x:v>
      </x:c>
    </x:row>
    <x:row r="32" ht="15" hidden="0" customHeight="1">
      <x:c r="A32" s="160" t="str">
        <x:f aca="0">"S"&amp;TEXT(ROW()-3,"00")</x:f>
        <x:v>S29</x:v>
      </x:c>
      <x:c r="B32" s="161" t="s">
        <x:v>695</x:v>
      </x:c>
      <x:c r="C32" s="160" t="str">
        <x:f aca="0">LEFT($B32,FIND("|",$B32)-1)</x:f>
        <x:v>Timber Plantation</x:v>
      </x:c>
      <x:c r="D32" s="160" t="str">
        <x:f aca="0">MID($B32,FIND("|",$B32)+1,FIND("|",$B32,FIND("|",$B32)+1)-FIND("|",$B32)-1)</x:f>
        <x:v>Medium</x:v>
      </x:c>
      <x:c r="E32" s="160" t="n">
        <x:f aca="0">VALUE(RIGHT($B32,4))</x:f>
        <x:v>2022</x:v>
      </x:c>
      <x:c r="F32" s="115" t="n">
        <x:f aca="0">SUMIF(S17_Biome_Strata!$G$4:$G$95,$B32,S17_Biome_Strata!$E$4:$E$95)</x:f>
        <x:v>20</x:v>
      </x:c>
      <x:c r="G32" s="115" t="n">
        <x:f aca="0">SUMIF(S17_Biome_Strata!$G$4:$G$95,$B32,S17_Biome_Strata!$F$4:$F$95)</x:f>
        <x:v>10.58253367057871</x:v>
      </x:c>
      <x:c r="H32" s="115" t="n">
        <x:f aca="0">IF($K32&gt;=2,SUMIF(S14_Growth_Model_ExAnte!$C$15:$C$81,$B32,S14_Growth_Model_ExAnte!$M$15:$M$81)/$K32,IF($L32&gt;=2,SUMIF(S14_Growth_Model_ExAnte!$AY$15:$AY$81,$C32&amp;"|"&amp;$D32,S14_Growth_Model_ExAnte!$M$15:$M$81)/$L32,IF(COUNTIF(S14_Growth_Model_ExAnte!$AZ$15:$AZ$81,$C32)&gt;0,SUMIF(S14_Growth_Model_ExAnte!$AZ$15:$AZ$81,$C32,S14_Growth_Model_ExAnte!$M$15:$M$81)/COUNTIF(S14_Growth_Model_ExAnte!$AZ$15:$AZ$81,$C32),0)))</x:f>
        <x:v>102.95458906206116</x:v>
      </x:c>
      <x:c r="I32" s="115" t="n">
        <x:f aca="0">IF($K32&gt;=2,SQRT(MAX(0,(SUMIF(S14_Growth_Model_ExAnte!$C$15:$C$81,$B32,S14_Growth_Model_ExAnte!$BE$15:$BE$81)-SUMIF(S14_Growth_Model_ExAnte!$C$15:$C$81,$B32,S14_Growth_Model_ExAnte!$M$15:$M$81)*SUMIF(S14_Growth_Model_ExAnte!$C$15:$C$81,$B32,S14_Growth_Model_ExAnte!$M$15:$M$81)/$K32)/($K32-1))),IF($L32&gt;=2,SQRT(MAX(0,(SUMIF(S14_Growth_Model_ExAnte!$AY$15:$AY$81,$C32&amp;"|"&amp;$D32,S14_Growth_Model_ExAnte!$BE$15:$BE$81)-SUMIF(S14_Growth_Model_ExAnte!$AY$15:$AY$81,$C32&amp;"|"&amp;$D32,S14_Growth_Model_ExAnte!$M$15:$M$81)*SUMIF(S14_Growth_Model_ExAnte!$AY$15:$AY$81,$C32&amp;"|"&amp;$D32,S14_Growth_Model_ExAnte!$M$15:$M$81)/$L32)/($L32-1))),IF(COUNTIF(S14_Growth_Model_ExAnte!$AZ$15:$AZ$81,$C32)&gt;=2,SQRT(MAX(0,(SUMIF(S14_Growth_Model_ExAnte!$AZ$15:$AZ$81,$C32,S14_Growth_Model_ExAnte!$BE$15:$BE$81)-SUMIF(S14_Growth_Model_ExAnte!$AZ$15:$AZ$81,$C32,S14_Growth_Model_ExAnte!$M$15:$M$81)*SUMIF(S14_Growth_Model_ExAnte!$AZ$15:$AZ$81,$C32,S14_Growth_Model_ExAnte!$M$15:$M$81)/COUNTIF(S14_Growth_Model_ExAnte!$AZ$15:$AZ$81,$C32))/(COUNTIF(S14_Growth_Model_ExAnte!$AZ$15:$AZ$81,$C32)-1))),0)))</x:f>
        <x:v>79.55578599294107</x:v>
      </x:c>
      <x:c r="J32" s="115" t="n">
        <x:f aca="0">IFERROR(I32/H32,0)</x:f>
        <x:v>0.7727269538707472</x:v>
      </x:c>
      <x:c r="K32" s="115" t="n">
        <x:f aca="0">COUNTIF(S14_Growth_Model_ExAnte!$C$15:$C$81,$B32)</x:f>
        <x:v>1</x:v>
      </x:c>
      <x:c r="L32" s="115" t="n">
        <x:f aca="0">COUNTIF(S14_Growth_Model_ExAnte!$AY$15:$AY$81,$C32&amp;"|"&amp;$D32)</x:f>
        <x:v>13</x:v>
      </x:c>
      <x:c r="M32" s="115" t="n">
        <x:f aca="0">$H32</x:f>
        <x:v>102.95458906206116</x:v>
      </x:c>
      <x:c r="N32" s="115" t="n">
        <x:f aca="0">MAX(0,$M32*S08_Defaults!$B$5)</x:f>
        <x:v>77.21594179654588</x:v>
      </x:c>
      <x:c r="O32" s="115" t="n">
        <x:f aca="0">IFERROR($N32/$M32,0)</x:f>
        <x:v>0.7500000000000001</x:v>
      </x:c>
      <x:c r="P32" s="115" t="str">
        <x:f aca="0">IF($K32&gt;=2,"Exact Stratum PSP Chapman-Richards curve",IF($L32&gt;=2,"Model×Density pooled Chapman-Richards curve","Model pooled Chapman-Richards curve"))</x:f>
        <x:v>Model×Density pooled Chapman-Richards curve</x:v>
      </x:c>
      <x:c r="Q32" s="162" t="s">
        <x:v>1106</x:v>
      </x:c>
      <x:c r="R32" s="115" t="n">
        <x:f aca="0">0</x:f>
        <x:v>0</x:v>
      </x:c>
      <x:c r="S32" s="115" t="n">
        <x:f aca="0">0</x:f>
        <x:v>0</x:v>
      </x:c>
      <x:c r="T32" s="115" t="n">
        <x:f aca="0">(IF($K32&gt;=2,SUMIF(S14_Growth_Model_ExAnte!$C$15:$C$81,$B32,S14_Growth_Model_ExAnte!$I$15:$I$81)/$K32,IF($L32&gt;=2,SUMIF(S14_Growth_Model_ExAnte!$AY$15:$AY$81,$C32&amp;"|"&amp;$D32,S14_Growth_Model_ExAnte!$I$15:$I$81)/$L32,IF(COUNTIF(S14_Growth_Model_ExAnte!$AZ$15:$AZ$81,$C32)&gt;0,SUMIF(S14_Growth_Model_ExAnte!$AZ$15:$AZ$81,$C32,S14_Growth_Model_ExAnte!$I$15:$I$81)/COUNTIF(S14_Growth_Model_ExAnte!$AZ$15:$AZ$81,$C32),0))))*$O32*S08_Defaults!$B$6*(1+S08_Defaults!$B$7)*S08_Defaults!$B$8</x:f>
        <x:v>0</x:v>
      </x:c>
      <x:c r="U32" s="115" t="n">
        <x:f aca="0">(IF($K32&gt;=2,SUMIF(S14_Growth_Model_ExAnte!$C$15:$C$81,$B32,S14_Growth_Model_ExAnte!$J$15:$J$81)/$K32,IF($L32&gt;=2,SUMIF(S14_Growth_Model_ExAnte!$AY$15:$AY$81,$C32&amp;"|"&amp;$D32,S14_Growth_Model_ExAnte!$J$15:$J$81)/$L32,IF(COUNTIF(S14_Growth_Model_ExAnte!$AZ$15:$AZ$81,$C32)&gt;0,SUMIF(S14_Growth_Model_ExAnte!$AZ$15:$AZ$81,$C32,S14_Growth_Model_ExAnte!$J$15:$J$81)/COUNTIF(S14_Growth_Model_ExAnte!$AZ$15:$AZ$81,$C32),0))))*$O32*S08_Defaults!$B$6*(1+S08_Defaults!$B$7)*S08_Defaults!$B$8</x:f>
        <x:v>2.2520589423441217</x:v>
      </x:c>
      <x:c r="V32" s="115" t="n">
        <x:f aca="0">(IF($K32&gt;=2,SUMIF(S14_Growth_Model_ExAnte!$C$15:$C$81,$B32,S14_Growth_Model_ExAnte!$K$15:$K$81)/$K32,IF($L32&gt;=2,SUMIF(S14_Growth_Model_ExAnte!$AY$15:$AY$81,$C32&amp;"|"&amp;$D32,S14_Growth_Model_ExAnte!$K$15:$K$81)/$L32,IF(COUNTIF(S14_Growth_Model_ExAnte!$AZ$15:$AZ$81,$C32)&gt;0,SUMIF(S14_Growth_Model_ExAnte!$AZ$15:$AZ$81,$C32,S14_Growth_Model_ExAnte!$K$15:$K$81)/COUNTIF(S14_Growth_Model_ExAnte!$AZ$15:$AZ$81,$C32),0))))*$O32*S08_Defaults!$B$6*(1+S08_Defaults!$B$7)*S08_Defaults!$B$8</x:f>
        <x:v>21.88427838945993</x:v>
      </x:c>
      <x:c r="W32" s="115" t="n">
        <x:f aca="0">(IF($K32&gt;=2,SUMIF(S14_Growth_Model_ExAnte!$C$15:$C$81,$B32,S14_Growth_Model_ExAnte!$L$15:$L$81)/$K32,IF($L32&gt;=2,SUMIF(S14_Growth_Model_ExAnte!$AY$15:$AY$81,$C32&amp;"|"&amp;$D32,S14_Growth_Model_ExAnte!$L$15:$L$81)/$L32,IF(COUNTIF(S14_Growth_Model_ExAnte!$AZ$15:$AZ$81,$C32)&gt;0,SUMIF(S14_Growth_Model_ExAnte!$AZ$15:$AZ$81,$C32,S14_Growth_Model_ExAnte!$L$15:$L$81)/COUNTIF(S14_Growth_Model_ExAnte!$AZ$15:$AZ$81,$C32),0))))*$O32*S08_Defaults!$B$6*(1+S08_Defaults!$B$7)*S08_Defaults!$B$8</x:f>
        <x:v>74.1459318561935</x:v>
      </x:c>
      <x:c r="X32" s="115" t="n">
        <x:f aca="0">(IF($K32&gt;=2,SUMIF(S14_Growth_Model_ExAnte!$C$15:$C$81,$B32,S14_Growth_Model_ExAnte!$M$15:$M$81)/$K32,IF($L32&gt;=2,SUMIF(S14_Growth_Model_ExAnte!$AY$15:$AY$81,$C32&amp;"|"&amp;$D32,S14_Growth_Model_ExAnte!$M$15:$M$81)/$L32,IF(COUNTIF(S14_Growth_Model_ExAnte!$AZ$15:$AZ$81,$C32)&gt;0,SUMIF(S14_Growth_Model_ExAnte!$AZ$15:$AZ$81,$C32,S14_Growth_Model_ExAnte!$M$15:$M$81)/COUNTIF(S14_Growth_Model_ExAnte!$AZ$15:$AZ$81,$C32),0))))*$O32*S08_Defaults!$B$6*(1+S08_Defaults!$B$7)*S08_Defaults!$B$8</x:f>
        <x:v>165.0053198897656</x:v>
      </x:c>
      <x:c r="Y32" s="115" t="n">
        <x:f aca="0">(IF($K32&gt;=2,SUMIF(S14_Growth_Model_ExAnte!$C$15:$C$81,$B32,S14_Growth_Model_ExAnte!$N$15:$N$81)/$K32,IF($L32&gt;=2,SUMIF(S14_Growth_Model_ExAnte!$AY$15:$AY$81,$C32&amp;"|"&amp;$D32,S14_Growth_Model_ExAnte!$N$15:$N$81)/$L32,IF(COUNTIF(S14_Growth_Model_ExAnte!$AZ$15:$AZ$81,$C32)&gt;0,SUMIF(S14_Growth_Model_ExAnte!$AZ$15:$AZ$81,$C32,S14_Growth_Model_ExAnte!$N$15:$N$81)/COUNTIF(S14_Growth_Model_ExAnte!$AZ$15:$AZ$81,$C32),0))))*$O32*S08_Defaults!$B$6*(1+S08_Defaults!$B$7)*S08_Defaults!$B$8</x:f>
        <x:v>291.1967866372377</x:v>
      </x:c>
      <x:c r="Z32" s="115" t="n">
        <x:f aca="0">(IF($K32&gt;=2,SUMIF(S14_Growth_Model_ExAnte!$C$15:$C$81,$B32,S14_Growth_Model_ExAnte!$O$15:$O$81)/$K32,IF($L32&gt;=2,SUMIF(S14_Growth_Model_ExAnte!$AY$15:$AY$81,$C32&amp;"|"&amp;$D32,S14_Growth_Model_ExAnte!$O$15:$O$81)/$L32,IF(COUNTIF(S14_Growth_Model_ExAnte!$AZ$15:$AZ$81,$C32)&gt;0,SUMIF(S14_Growth_Model_ExAnte!$AZ$15:$AZ$81,$C32,S14_Growth_Model_ExAnte!$O$15:$O$81)/COUNTIF(S14_Growth_Model_ExAnte!$AZ$15:$AZ$81,$C32),0))))*$O32*S08_Defaults!$B$6*(1+S08_Defaults!$B$7)*S08_Defaults!$B$8</x:f>
        <x:v>445.1389074933853</x:v>
      </x:c>
      <x:c r="AA32" s="115" t="n">
        <x:f aca="0">(IF($K32&gt;=2,SUMIF(S14_Growth_Model_ExAnte!$C$15:$C$81,$B32,S14_Growth_Model_ExAnte!$P$15:$P$81)/$K32,IF($L32&gt;=2,SUMIF(S14_Growth_Model_ExAnte!$AY$15:$AY$81,$C32&amp;"|"&amp;$D32,S14_Growth_Model_ExAnte!$P$15:$P$81)/$L32,IF(COUNTIF(S14_Growth_Model_ExAnte!$AZ$15:$AZ$81,$C32)&gt;0,SUMIF(S14_Growth_Model_ExAnte!$AZ$15:$AZ$81,$C32,S14_Growth_Model_ExAnte!$P$15:$P$81)/COUNTIF(S14_Growth_Model_ExAnte!$AZ$15:$AZ$81,$C32),0))))*$O32*S08_Defaults!$B$6*(1+S08_Defaults!$B$7)*S08_Defaults!$B$8</x:f>
        <x:v>617.7733770743616</x:v>
      </x:c>
      <x:c r="AB32" s="115" t="n">
        <x:f aca="0">(IF($K32&gt;=2,SUMIF(S14_Growth_Model_ExAnte!$C$15:$C$81,$B32,S14_Growth_Model_ExAnte!$Q$15:$Q$81)/$K32,IF($L32&gt;=2,SUMIF(S14_Growth_Model_ExAnte!$AY$15:$AY$81,$C32&amp;"|"&amp;$D32,S14_Growth_Model_ExAnte!$Q$15:$Q$81)/$L32,IF(COUNTIF(S14_Growth_Model_ExAnte!$AZ$15:$AZ$81,$C32)&gt;0,SUMIF(S14_Growth_Model_ExAnte!$AZ$15:$AZ$81,$C32,S14_Growth_Model_ExAnte!$Q$15:$Q$81)/COUNTIF(S14_Growth_Model_ExAnte!$AZ$15:$AZ$81,$C32),0))))*$O32*S08_Defaults!$B$6*(1+S08_Defaults!$B$7)*S08_Defaults!$B$8</x:f>
        <x:v>800.4264115035201</x:v>
      </x:c>
      <x:c r="AC32" s="115" t="n">
        <x:f aca="0">(IF($K32&gt;=2,SUMIF(S14_Growth_Model_ExAnte!$C$15:$C$81,$B32,S14_Growth_Model_ExAnte!$R$15:$R$81)/$K32,IF($L32&gt;=2,SUMIF(S14_Growth_Model_ExAnte!$AY$15:$AY$81,$C32&amp;"|"&amp;$D32,S14_Growth_Model_ExAnte!$R$15:$R$81)/$L32,IF(COUNTIF(S14_Growth_Model_ExAnte!$AZ$15:$AZ$81,$C32)&gt;0,SUMIF(S14_Growth_Model_ExAnte!$AZ$15:$AZ$81,$C32,S14_Growth_Model_ExAnte!$R$15:$R$81)/COUNTIF(S14_Growth_Model_ExAnte!$AZ$15:$AZ$81,$C32),0))))*$O32*S08_Defaults!$B$6*(1+S08_Defaults!$B$7)*S08_Defaults!$B$8</x:f>
        <x:v>985.727990829875</x:v>
      </x:c>
      <x:c r="AD32" s="115" t="n">
        <x:f aca="0">(IF($K32&gt;=2,SUMIF(S14_Growth_Model_ExAnte!$C$15:$C$81,$B32,S14_Growth_Model_ExAnte!$S$15:$S$81)/$K32,IF($L32&gt;=2,SUMIF(S14_Growth_Model_ExAnte!$AY$15:$AY$81,$C32&amp;"|"&amp;$D32,S14_Growth_Model_ExAnte!$S$15:$S$81)/$L32,IF(COUNTIF(S14_Growth_Model_ExAnte!$AZ$15:$AZ$81,$C32)&gt;0,SUMIF(S14_Growth_Model_ExAnte!$AZ$15:$AZ$81,$C32,S14_Growth_Model_ExAnte!$S$15:$S$81)/COUNTIF(S14_Growth_Model_ExAnte!$AZ$15:$AZ$81,$C32),0))))*$O32*S08_Defaults!$B$6*(1+S08_Defaults!$B$7)*S08_Defaults!$B$8</x:f>
        <x:v>1167.9219098726983</x:v>
      </x:c>
      <x:c r="AE32" s="115" t="n">
        <x:f aca="0">(IF($K32&gt;=2,SUMIF(S14_Growth_Model_ExAnte!$C$15:$C$81,$B32,S14_Growth_Model_ExAnte!$T$15:$T$81)/$K32,IF($L32&gt;=2,SUMIF(S14_Growth_Model_ExAnte!$AY$15:$AY$81,$C32&amp;"|"&amp;$D32,S14_Growth_Model_ExAnte!$T$15:$T$81)/$L32,IF(COUNTIF(S14_Growth_Model_ExAnte!$AZ$15:$AZ$81,$C32)&gt;0,SUMIF(S14_Growth_Model_ExAnte!$AZ$15:$AZ$81,$C32,S14_Growth_Model_ExAnte!$T$15:$T$81)/COUNTIF(S14_Growth_Model_ExAnte!$AZ$15:$AZ$81,$C32),0))))*$O32*S08_Defaults!$B$6*(1+S08_Defaults!$B$7)*S08_Defaults!$B$8</x:f>
        <x:v>1342.8320101221952</x:v>
      </x:c>
      <x:c r="AF32" s="115" t="n">
        <x:f aca="0">(IF($K32&gt;=2,SUMIF(S14_Growth_Model_ExAnte!$C$15:$C$81,$B32,S14_Growth_Model_ExAnte!$U$15:$U$81)/$K32,IF($L32&gt;=2,SUMIF(S14_Growth_Model_ExAnte!$AY$15:$AY$81,$C32&amp;"|"&amp;$D32,S14_Growth_Model_ExAnte!$U$15:$U$81)/$L32,IF(COUNTIF(S14_Growth_Model_ExAnte!$AZ$15:$AZ$81,$C32)&gt;0,SUMIF(S14_Growth_Model_ExAnte!$AZ$15:$AZ$81,$C32,S14_Growth_Model_ExAnte!$U$15:$U$81)/COUNTIF(S14_Growth_Model_ExAnte!$AZ$15:$AZ$81,$C32),0))))*$O32*S08_Defaults!$B$6*(1+S08_Defaults!$B$7)*S08_Defaults!$B$8</x:f>
        <x:v>1507.6627401484154</x:v>
      </x:c>
      <x:c r="AG32" s="115" t="n">
        <x:f aca="0">(IF($K32&gt;=2,SUMIF(S14_Growth_Model_ExAnte!$C$15:$C$81,$B32,S14_Growth_Model_ExAnte!$V$15:$V$81)/$K32,IF($L32&gt;=2,SUMIF(S14_Growth_Model_ExAnte!$AY$15:$AY$81,$C32&amp;"|"&amp;$D32,S14_Growth_Model_ExAnte!$V$15:$V$81)/$L32,IF(COUNTIF(S14_Growth_Model_ExAnte!$AZ$15:$AZ$81,$C32)&gt;0,SUMIF(S14_Growth_Model_ExAnte!$AZ$15:$AZ$81,$C32,S14_Growth_Model_ExAnte!$V$15:$V$81)/COUNTIF(S14_Growth_Model_ExAnte!$AZ$15:$AZ$81,$C32),0))))*$O32*S08_Defaults!$B$6*(1+S08_Defaults!$B$7)*S08_Defaults!$B$8</x:f>
        <x:v>1660.741522337511</x:v>
      </x:c>
      <x:c r="AH32" s="115" t="n">
        <x:f aca="0">(IF($K32&gt;=2,SUMIF(S14_Growth_Model_ExAnte!$C$15:$C$81,$B32,S14_Growth_Model_ExAnte!$W$15:$W$81)/$K32,IF($L32&gt;=2,SUMIF(S14_Growth_Model_ExAnte!$AY$15:$AY$81,$C32&amp;"|"&amp;$D32,S14_Growth_Model_ExAnte!$W$15:$W$81)/$L32,IF(COUNTIF(S14_Growth_Model_ExAnte!$AZ$15:$AZ$81,$C32)&gt;0,SUMIF(S14_Growth_Model_ExAnte!$AZ$15:$AZ$81,$C32,S14_Growth_Model_ExAnte!$W$15:$W$81)/COUNTIF(S14_Growth_Model_ExAnte!$AZ$15:$AZ$81,$C32),0))))*$O32*S08_Defaults!$B$6*(1+S08_Defaults!$B$7)*S08_Defaults!$B$8</x:f>
        <x:v>1801.2616538174402</x:v>
      </x:c>
      <x:c r="AI32" s="115" t="n">
        <x:f aca="0">(IF($K32&gt;=2,SUMIF(S14_Growth_Model_ExAnte!$C$15:$C$81,$B32,S14_Growth_Model_ExAnte!$X$15:$X$81)/$K32,IF($L32&gt;=2,SUMIF(S14_Growth_Model_ExAnte!$AY$15:$AY$81,$C32&amp;"|"&amp;$D32,S14_Growth_Model_ExAnte!$X$15:$X$81)/$L32,IF(COUNTIF(S14_Growth_Model_ExAnte!$AZ$15:$AZ$81,$C32)&gt;0,SUMIF(S14_Growth_Model_ExAnte!$AZ$15:$AZ$81,$C32,S14_Growth_Model_ExAnte!$X$15:$X$81)/COUNTIF(S14_Growth_Model_ExAnte!$AZ$15:$AZ$81,$C32),0))))*$O32*S08_Defaults!$B$6*(1+S08_Defaults!$B$7)*S08_Defaults!$B$8</x:f>
        <x:v>1929.053836233799</x:v>
      </x:c>
      <x:c r="AJ32" s="115" t="n">
        <x:f aca="0">(IF($K32&gt;=2,SUMIF(S14_Growth_Model_ExAnte!$C$15:$C$81,$B32,S14_Growth_Model_ExAnte!$Y$15:$Y$81)/$K32,IF($L32&gt;=2,SUMIF(S14_Growth_Model_ExAnte!$AY$15:$AY$81,$C32&amp;"|"&amp;$D32,S14_Growth_Model_ExAnte!$Y$15:$Y$81)/$L32,IF(COUNTIF(S14_Growth_Model_ExAnte!$AZ$15:$AZ$81,$C32)&gt;0,SUMIF(S14_Growth_Model_ExAnte!$AZ$15:$AZ$81,$C32,S14_Growth_Model_ExAnte!$Y$15:$Y$81)/COUNTIF(S14_Growth_Model_ExAnte!$AZ$15:$AZ$81,$C32),0))))*$O32*S08_Defaults!$B$6*(1+S08_Defaults!$B$7)*S08_Defaults!$B$8</x:f>
        <x:v>2044.3965731837297</x:v>
      </x:c>
      <x:c r="AK32" s="115" t="n">
        <x:f aca="0">(IF($K32&gt;=2,SUMIF(S14_Growth_Model_ExAnte!$C$15:$C$81,$B32,S14_Growth_Model_ExAnte!$Z$15:$Z$81)/$K32,IF($L32&gt;=2,SUMIF(S14_Growth_Model_ExAnte!$AY$15:$AY$81,$C32&amp;"|"&amp;$D32,S14_Growth_Model_ExAnte!$Z$15:$Z$81)/$L32,IF(COUNTIF(S14_Growth_Model_ExAnte!$AZ$15:$AZ$81,$C32)&gt;0,SUMIF(S14_Growth_Model_ExAnte!$AZ$15:$AZ$81,$C32,S14_Growth_Model_ExAnte!$Z$15:$Z$81)/COUNTIF(S14_Growth_Model_ExAnte!$AZ$15:$AZ$81,$C32),0))))*$O32*S08_Defaults!$B$6*(1+S08_Defaults!$B$7)*S08_Defaults!$B$8</x:f>
        <x:v>2147.8660772599324</x:v>
      </x:c>
      <x:c r="AL32" s="115" t="n">
        <x:f aca="0">(IF($K32&gt;=2,SUMIF(S14_Growth_Model_ExAnte!$C$15:$C$81,$B32,S14_Growth_Model_ExAnte!$AA$15:$AA$81)/$K32,IF($L32&gt;=2,SUMIF(S14_Growth_Model_ExAnte!$AY$15:$AY$81,$C32&amp;"|"&amp;$D32,S14_Growth_Model_ExAnte!$AA$15:$AA$81)/$L32,IF(COUNTIF(S14_Growth_Model_ExAnte!$AZ$15:$AZ$81,$C32)&gt;0,SUMIF(S14_Growth_Model_ExAnte!$AZ$15:$AZ$81,$C32,S14_Growth_Model_ExAnte!$AA$15:$AA$81)/COUNTIF(S14_Growth_Model_ExAnte!$AZ$15:$AZ$81,$C32),0))))*$O32*S08_Defaults!$B$6*(1+S08_Defaults!$B$7)*S08_Defaults!$B$8</x:f>
        <x:v>2240.22174056176</x:v>
      </x:c>
      <x:c r="AM32" s="115" t="n">
        <x:f aca="0">R32</x:f>
        <x:v>0</x:v>
      </x:c>
      <x:c r="AN32" s="115" t="n">
        <x:f aca="0">S32-R32</x:f>
        <x:v>0</x:v>
      </x:c>
      <x:c r="AO32" s="115" t="n">
        <x:f aca="0">T32-S32</x:f>
        <x:v>0</x:v>
      </x:c>
      <x:c r="AP32" s="115" t="n">
        <x:f aca="0">U32-T32</x:f>
        <x:v>2.2520589423441217</x:v>
      </x:c>
      <x:c r="AQ32" s="115" t="n">
        <x:f aca="0">V32-U32</x:f>
        <x:v>19.63221944711581</x:v>
      </x:c>
      <x:c r="AR32" s="115" t="n">
        <x:f aca="0">W32-V32</x:f>
        <x:v>52.26165346673357</x:v>
      </x:c>
      <x:c r="AS32" s="115" t="n">
        <x:f aca="0">X32-W32</x:f>
        <x:v>90.85938803357209</x:v>
      </x:c>
      <x:c r="AT32" s="115" t="n">
        <x:f aca="0">Y32-X32</x:f>
        <x:v>126.19146674747213</x:v>
      </x:c>
      <x:c r="AU32" s="115" t="n">
        <x:f aca="0">Z32-Y32</x:f>
        <x:v>153.9421208561476</x:v>
      </x:c>
      <x:c r="AV32" s="115" t="n">
        <x:f aca="0">AA32-Z32</x:f>
        <x:v>172.63446958097632</x:v>
      </x:c>
      <x:c r="AW32" s="115" t="n">
        <x:f aca="0">AB32-AA32</x:f>
        <x:v>182.65303442915842</x:v>
      </x:c>
      <x:c r="AX32" s="115" t="n">
        <x:f aca="0">AC32-AB32</x:f>
        <x:v>185.30157932635495</x:v>
      </x:c>
      <x:c r="AY32" s="115" t="n">
        <x:f aca="0">AD32-AC32</x:f>
        <x:v>182.19391904282327</x:v>
      </x:c>
      <x:c r="AZ32" s="115" t="n">
        <x:f aca="0">AE32-AD32</x:f>
        <x:v>174.91010024949696</x:v>
      </x:c>
      <x:c r="BA32" s="115" t="n">
        <x:f aca="0">AF32-AE32</x:f>
        <x:v>164.83073002622018</x:v>
      </x:c>
      <x:c r="BB32" s="115" t="n">
        <x:f aca="0">AG32-AF32</x:f>
        <x:v>153.0787821890956</x:v>
      </x:c>
      <x:c r="BC32" s="115" t="n">
        <x:f aca="0">AH32-AG32</x:f>
        <x:v>140.5201314799292</x:v>
      </x:c>
      <x:c r="BD32" s="115" t="n">
        <x:f aca="0">AI32-AH32</x:f>
        <x:v>127.79218241635886</x:v>
      </x:c>
      <x:c r="BE32" s="115" t="n">
        <x:f aca="0">AJ32-AI32</x:f>
        <x:v>115.34273694993067</x:v>
      </x:c>
      <x:c r="BF32" s="115" t="n">
        <x:f aca="0">AK32-AJ32</x:f>
        <x:v>103.46950407620261</x:v>
      </x:c>
      <x:c r="BG32" s="115" t="n">
        <x:f aca="0">AL32-AK32</x:f>
        <x:v>92.35566330182746</x:v>
      </x:c>
    </x:row>
    <x:row r="33" ht="15" hidden="0" customHeight="1">
      <x:c r="A33" s="160" t="str">
        <x:f aca="0">"S"&amp;TEXT(ROW()-3,"00")</x:f>
        <x:v>S30</x:v>
      </x:c>
      <x:c r="B33" s="161" t="s">
        <x:v>1114</x:v>
      </x:c>
      <x:c r="C33" s="160" t="str">
        <x:f aca="0">LEFT($B33,FIND("|",$B33)-1)</x:f>
        <x:v>Timber Plantation</x:v>
      </x:c>
      <x:c r="D33" s="160" t="str">
        <x:f aca="0">MID($B33,FIND("|",$B33)+1,FIND("|",$B33,FIND("|",$B33)+1)-FIND("|",$B33)-1)</x:f>
        <x:v>High</x:v>
      </x:c>
      <x:c r="E33" s="160" t="n">
        <x:f aca="0">VALUE(RIGHT($B33,4))</x:f>
        <x:v>2022</x:v>
      </x:c>
      <x:c r="F33" s="115" t="n">
        <x:f aca="0">SUMIF(S17_Biome_Strata!$G$4:$G$95,$B33,S17_Biome_Strata!$E$4:$E$95)</x:f>
        <x:v>4</x:v>
      </x:c>
      <x:c r="G33" s="115" t="n">
        <x:f aca="0">SUMIF(S17_Biome_Strata!$G$4:$G$95,$B33,S17_Biome_Strata!$F$4:$F$95)</x:f>
        <x:v>1.5438</x:v>
      </x:c>
      <x:c r="H33" s="115" t="n">
        <x:f aca="0">IF($K33&gt;=2,SUMIF(S14_Growth_Model_ExAnte!$C$15:$C$81,$B33,S14_Growth_Model_ExAnte!$M$15:$M$81)/$K33,IF($L33&gt;=2,SUMIF(S14_Growth_Model_ExAnte!$AY$15:$AY$81,$C33&amp;"|"&amp;$D33,S14_Growth_Model_ExAnte!$M$15:$M$81)/$L33,IF(COUNTIF(S14_Growth_Model_ExAnte!$AZ$15:$AZ$81,$C33)&gt;0,SUMIF(S14_Growth_Model_ExAnte!$AZ$15:$AZ$81,$C33,S14_Growth_Model_ExAnte!$M$15:$M$81)/COUNTIF(S14_Growth_Model_ExAnte!$AZ$15:$AZ$81,$C33),0)))</x:f>
        <x:v>397.3470489571164</x:v>
      </x:c>
      <x:c r="I33" s="115" t="n">
        <x:f aca="0">IF($K33&gt;=2,SQRT(MAX(0,(SUMIF(S14_Growth_Model_ExAnte!$C$15:$C$81,$B33,S14_Growth_Model_ExAnte!$BE$15:$BE$81)-SUMIF(S14_Growth_Model_ExAnte!$C$15:$C$81,$B33,S14_Growth_Model_ExAnte!$M$15:$M$81)*SUMIF(S14_Growth_Model_ExAnte!$C$15:$C$81,$B33,S14_Growth_Model_ExAnte!$M$15:$M$81)/$K33)/($K33-1))),IF($L33&gt;=2,SQRT(MAX(0,(SUMIF(S14_Growth_Model_ExAnte!$AY$15:$AY$81,$C33&amp;"|"&amp;$D33,S14_Growth_Model_ExAnte!$BE$15:$BE$81)-SUMIF(S14_Growth_Model_ExAnte!$AY$15:$AY$81,$C33&amp;"|"&amp;$D33,S14_Growth_Model_ExAnte!$M$15:$M$81)*SUMIF(S14_Growth_Model_ExAnte!$AY$15:$AY$81,$C33&amp;"|"&amp;$D33,S14_Growth_Model_ExAnte!$M$15:$M$81)/$L33)/($L33-1))),IF(COUNTIF(S14_Growth_Model_ExAnte!$AZ$15:$AZ$81,$C33)&gt;=2,SQRT(MAX(0,(SUMIF(S14_Growth_Model_ExAnte!$AZ$15:$AZ$81,$C33,S14_Growth_Model_ExAnte!$BE$15:$BE$81)-SUMIF(S14_Growth_Model_ExAnte!$AZ$15:$AZ$81,$C33,S14_Growth_Model_ExAnte!$M$15:$M$81)*SUMIF(S14_Growth_Model_ExAnte!$AZ$15:$AZ$81,$C33,S14_Growth_Model_ExAnte!$M$15:$M$81)/COUNTIF(S14_Growth_Model_ExAnte!$AZ$15:$AZ$81,$C33))/(COUNTIF(S14_Growth_Model_ExAnte!$AZ$15:$AZ$81,$C33)-1))),0)))</x:f>
        <x:v>224.32723674411935</x:v>
      </x:c>
      <x:c r="J33" s="115" t="n">
        <x:f aca="0">IFERROR(I33/H33,0)</x:f>
        <x:v>0.5645624834332916</x:v>
      </x:c>
      <x:c r="K33" s="115" t="n">
        <x:f aca="0">COUNTIF(S14_Growth_Model_ExAnte!$C$15:$C$81,$B33)</x:f>
        <x:v>0</x:v>
      </x:c>
      <x:c r="L33" s="115" t="n">
        <x:f aca="0">COUNTIF(S14_Growth_Model_ExAnte!$AY$15:$AY$81,$C33&amp;"|"&amp;$D33)</x:f>
        <x:v>8</x:v>
      </x:c>
      <x:c r="M33" s="115" t="n">
        <x:f aca="0">$H33</x:f>
        <x:v>397.3470489571164</x:v>
      </x:c>
      <x:c r="N33" s="115" t="n">
        <x:f aca="0">MAX(0,$M33*S08_Defaults!$B$5)</x:f>
        <x:v>298.0102867178373</x:v>
      </x:c>
      <x:c r="O33" s="115" t="n">
        <x:f aca="0">IFERROR($N33/$M33,0)</x:f>
        <x:v>0.75</x:v>
      </x:c>
      <x:c r="P33" s="115" t="str">
        <x:f aca="0">IF($K33&gt;=2,"Exact Stratum PSP Chapman-Richards curve",IF($L33&gt;=2,"Model×Density pooled Chapman-Richards curve","Model pooled Chapman-Richards curve"))</x:f>
        <x:v>Model×Density pooled Chapman-Richards curve</x:v>
      </x:c>
      <x:c r="Q33" s="162" t="s">
        <x:v>1106</x:v>
      </x:c>
      <x:c r="R33" s="115" t="n">
        <x:f aca="0">0</x:f>
        <x:v>0</x:v>
      </x:c>
      <x:c r="S33" s="115" t="n">
        <x:f aca="0">0</x:f>
        <x:v>0</x:v>
      </x:c>
      <x:c r="T33" s="115" t="n">
        <x:f aca="0">(IF($K33&gt;=2,SUMIF(S14_Growth_Model_ExAnte!$C$15:$C$81,$B33,S14_Growth_Model_ExAnte!$I$15:$I$81)/$K33,IF($L33&gt;=2,SUMIF(S14_Growth_Model_ExAnte!$AY$15:$AY$81,$C33&amp;"|"&amp;$D33,S14_Growth_Model_ExAnte!$I$15:$I$81)/$L33,IF(COUNTIF(S14_Growth_Model_ExAnte!$AZ$15:$AZ$81,$C33)&gt;0,SUMIF(S14_Growth_Model_ExAnte!$AZ$15:$AZ$81,$C33,S14_Growth_Model_ExAnte!$I$15:$I$81)/COUNTIF(S14_Growth_Model_ExAnte!$AZ$15:$AZ$81,$C33),0))))*$O33*S08_Defaults!$B$6*(1+S08_Defaults!$B$7)*S08_Defaults!$B$8</x:f>
        <x:v>0</x:v>
      </x:c>
      <x:c r="U33" s="115" t="n">
        <x:f aca="0">(IF($K33&gt;=2,SUMIF(S14_Growth_Model_ExAnte!$C$15:$C$81,$B33,S14_Growth_Model_ExAnte!$J$15:$J$81)/$K33,IF($L33&gt;=2,SUMIF(S14_Growth_Model_ExAnte!$AY$15:$AY$81,$C33&amp;"|"&amp;$D33,S14_Growth_Model_ExAnte!$J$15:$J$81)/$L33,IF(COUNTIF(S14_Growth_Model_ExAnte!$AZ$15:$AZ$81,$C33)&gt;0,SUMIF(S14_Growth_Model_ExAnte!$AZ$15:$AZ$81,$C33,S14_Growth_Model_ExAnte!$J$15:$J$81)/COUNTIF(S14_Growth_Model_ExAnte!$AZ$15:$AZ$81,$C33),0))))*$O33*S08_Defaults!$B$6*(1+S08_Defaults!$B$7)*S08_Defaults!$B$8</x:f>
        <x:v>9.46686943239219</x:v>
      </x:c>
      <x:c r="V33" s="115" t="n">
        <x:f aca="0">(IF($K33&gt;=2,SUMIF(S14_Growth_Model_ExAnte!$C$15:$C$81,$B33,S14_Growth_Model_ExAnte!$K$15:$K$81)/$K33,IF($L33&gt;=2,SUMIF(S14_Growth_Model_ExAnte!$AY$15:$AY$81,$C33&amp;"|"&amp;$D33,S14_Growth_Model_ExAnte!$K$15:$K$81)/$L33,IF(COUNTIF(S14_Growth_Model_ExAnte!$AZ$15:$AZ$81,$C33)&gt;0,SUMIF(S14_Growth_Model_ExAnte!$AZ$15:$AZ$81,$C33,S14_Growth_Model_ExAnte!$K$15:$K$81)/COUNTIF(S14_Growth_Model_ExAnte!$AZ$15:$AZ$81,$C33),0))))*$O33*S08_Defaults!$B$6*(1+S08_Defaults!$B$7)*S08_Defaults!$B$8</x:f>
        <x:v>88.93077941101656</x:v>
      </x:c>
      <x:c r="W33" s="115" t="n">
        <x:f aca="0">(IF($K33&gt;=2,SUMIF(S14_Growth_Model_ExAnte!$C$15:$C$81,$B33,S14_Growth_Model_ExAnte!$L$15:$L$81)/$K33,IF($L33&gt;=2,SUMIF(S14_Growth_Model_ExAnte!$AY$15:$AY$81,$C33&amp;"|"&amp;$D33,S14_Growth_Model_ExAnte!$L$15:$L$81)/$L33,IF(COUNTIF(S14_Growth_Model_ExAnte!$AZ$15:$AZ$81,$C33)&gt;0,SUMIF(S14_Growth_Model_ExAnte!$AZ$15:$AZ$81,$C33,S14_Growth_Model_ExAnte!$L$15:$L$81)/COUNTIF(S14_Growth_Model_ExAnte!$AZ$15:$AZ$81,$C33),0))))*$O33*S08_Defaults!$B$6*(1+S08_Defaults!$B$7)*S08_Defaults!$B$8</x:f>
        <x:v>293.1760262106486</x:v>
      </x:c>
      <x:c r="X33" s="115" t="n">
        <x:f aca="0">(IF($K33&gt;=2,SUMIF(S14_Growth_Model_ExAnte!$C$15:$C$81,$B33,S14_Growth_Model_ExAnte!$M$15:$M$81)/$K33,IF($L33&gt;=2,SUMIF(S14_Growth_Model_ExAnte!$AY$15:$AY$81,$C33&amp;"|"&amp;$D33,S14_Growth_Model_ExAnte!$M$15:$M$81)/$L33,IF(COUNTIF(S14_Growth_Model_ExAnte!$AZ$15:$AZ$81,$C33)&gt;0,SUMIF(S14_Growth_Model_ExAnte!$AZ$15:$AZ$81,$C33,S14_Growth_Model_ExAnte!$M$15:$M$81)/COUNTIF(S14_Growth_Model_ExAnte!$AZ$15:$AZ$81,$C33),0))))*$O33*S08_Defaults!$B$6*(1+S08_Defaults!$B$7)*S08_Defaults!$B$8</x:f>
        <x:v>636.828115363571</x:v>
      </x:c>
      <x:c r="Y33" s="115" t="n">
        <x:f aca="0">(IF($K33&gt;=2,SUMIF(S14_Growth_Model_ExAnte!$C$15:$C$81,$B33,S14_Growth_Model_ExAnte!$N$15:$N$81)/$K33,IF($L33&gt;=2,SUMIF(S14_Growth_Model_ExAnte!$AY$15:$AY$81,$C33&amp;"|"&amp;$D33,S14_Growth_Model_ExAnte!$N$15:$N$81)/$L33,IF(COUNTIF(S14_Growth_Model_ExAnte!$AZ$15:$AZ$81,$C33)&gt;0,SUMIF(S14_Growth_Model_ExAnte!$AZ$15:$AZ$81,$C33,S14_Growth_Model_ExAnte!$N$15:$N$81)/COUNTIF(S14_Growth_Model_ExAnte!$AZ$15:$AZ$81,$C33),0))))*$O33*S08_Defaults!$B$6*(1+S08_Defaults!$B$7)*S08_Defaults!$B$8</x:f>
        <x:v>1099.2043465568422</x:v>
      </x:c>
      <x:c r="Z33" s="115" t="n">
        <x:f aca="0">(IF($K33&gt;=2,SUMIF(S14_Growth_Model_ExAnte!$C$15:$C$81,$B33,S14_Growth_Model_ExAnte!$O$15:$O$81)/$K33,IF($L33&gt;=2,SUMIF(S14_Growth_Model_ExAnte!$AY$15:$AY$81,$C33&amp;"|"&amp;$D33,S14_Growth_Model_ExAnte!$O$15:$O$81)/$L33,IF(COUNTIF(S14_Growth_Model_ExAnte!$AZ$15:$AZ$81,$C33)&gt;0,SUMIF(S14_Growth_Model_ExAnte!$AZ$15:$AZ$81,$C33,S14_Growth_Model_ExAnte!$O$15:$O$81)/COUNTIF(S14_Growth_Model_ExAnte!$AZ$15:$AZ$81,$C33),0))))*$O33*S08_Defaults!$B$6*(1+S08_Defaults!$B$7)*S08_Defaults!$B$8</x:f>
        <x:v>1646.0056798579817</x:v>
      </x:c>
      <x:c r="AA33" s="115" t="n">
        <x:f aca="0">(IF($K33&gt;=2,SUMIF(S14_Growth_Model_ExAnte!$C$15:$C$81,$B33,S14_Growth_Model_ExAnte!$P$15:$P$81)/$K33,IF($L33&gt;=2,SUMIF(S14_Growth_Model_ExAnte!$AY$15:$AY$81,$C33&amp;"|"&amp;$D33,S14_Growth_Model_ExAnte!$P$15:$P$81)/$L33,IF(COUNTIF(S14_Growth_Model_ExAnte!$AZ$15:$AZ$81,$C33)&gt;0,SUMIF(S14_Growth_Model_ExAnte!$AZ$15:$AZ$81,$C33,S14_Growth_Model_ExAnte!$P$15:$P$81)/COUNTIF(S14_Growth_Model_ExAnte!$AZ$15:$AZ$81,$C33),0))))*$O33*S08_Defaults!$B$6*(1+S08_Defaults!$B$7)*S08_Defaults!$B$8</x:f>
        <x:v>2240.6839007197077</x:v>
      </x:c>
      <x:c r="AB33" s="115" t="n">
        <x:f aca="0">(IF($K33&gt;=2,SUMIF(S14_Growth_Model_ExAnte!$C$15:$C$81,$B33,S14_Growth_Model_ExAnte!$Q$15:$Q$81)/$K33,IF($L33&gt;=2,SUMIF(S14_Growth_Model_ExAnte!$AY$15:$AY$81,$C33&amp;"|"&amp;$D33,S14_Growth_Model_ExAnte!$Q$15:$Q$81)/$L33,IF(COUNTIF(S14_Growth_Model_ExAnte!$AZ$15:$AZ$81,$C33)&gt;0,SUMIF(S14_Growth_Model_ExAnte!$AZ$15:$AZ$81,$C33,S14_Growth_Model_ExAnte!$Q$15:$Q$81)/COUNTIF(S14_Growth_Model_ExAnte!$AZ$15:$AZ$81,$C33),0))))*$O33*S08_Defaults!$B$6*(1+S08_Defaults!$B$7)*S08_Defaults!$B$8</x:f>
        <x:v>2851.03428183889</x:v>
      </x:c>
      <x:c r="AC33" s="115" t="n">
        <x:f aca="0">(IF($K33&gt;=2,SUMIF(S14_Growth_Model_ExAnte!$C$15:$C$81,$B33,S14_Growth_Model_ExAnte!$R$15:$R$81)/$K33,IF($L33&gt;=2,SUMIF(S14_Growth_Model_ExAnte!$AY$15:$AY$81,$C33&amp;"|"&amp;$D33,S14_Growth_Model_ExAnte!$R$15:$R$81)/$L33,IF(COUNTIF(S14_Growth_Model_ExAnte!$AZ$15:$AZ$81,$C33)&gt;0,SUMIF(S14_Growth_Model_ExAnte!$AZ$15:$AZ$81,$C33,S14_Growth_Model_ExAnte!$R$15:$R$81)/COUNTIF(S14_Growth_Model_ExAnte!$AZ$15:$AZ$81,$C33),0))))*$O33*S08_Defaults!$B$6*(1+S08_Defaults!$B$7)*S08_Defaults!$B$8</x:f>
        <x:v>3451.8117555456984</x:v>
      </x:c>
      <x:c r="AD33" s="115" t="n">
        <x:f aca="0">(IF($K33&gt;=2,SUMIF(S14_Growth_Model_ExAnte!$C$15:$C$81,$B33,S14_Growth_Model_ExAnte!$S$15:$S$81)/$K33,IF($L33&gt;=2,SUMIF(S14_Growth_Model_ExAnte!$AY$15:$AY$81,$C33&amp;"|"&amp;$D33,S14_Growth_Model_ExAnte!$S$15:$S$81)/$L33,IF(COUNTIF(S14_Growth_Model_ExAnte!$AZ$15:$AZ$81,$C33)&gt;0,SUMIF(S14_Growth_Model_ExAnte!$AZ$15:$AZ$81,$C33,S14_Growth_Model_ExAnte!$S$15:$S$81)/COUNTIF(S14_Growth_Model_ExAnte!$AZ$15:$AZ$81,$C33),0))))*$O33*S08_Defaults!$B$6*(1+S08_Defaults!$B$7)*S08_Defaults!$B$8</x:f>
        <x:v>4025.030790078594</x:v>
      </x:c>
      <x:c r="AE33" s="115" t="n">
        <x:f aca="0">(IF($K33&gt;=2,SUMIF(S14_Growth_Model_ExAnte!$C$15:$C$81,$B33,S14_Growth_Model_ExAnte!$T$15:$T$81)/$K33,IF($L33&gt;=2,SUMIF(S14_Growth_Model_ExAnte!$AY$15:$AY$81,$C33&amp;"|"&amp;$D33,S14_Growth_Model_ExAnte!$T$15:$T$81)/$L33,IF(COUNTIF(S14_Growth_Model_ExAnte!$AZ$15:$AZ$81,$C33)&gt;0,SUMIF(S14_Growth_Model_ExAnte!$AZ$15:$AZ$81,$C33,S14_Growth_Model_ExAnte!$T$15:$T$81)/COUNTIF(S14_Growth_Model_ExAnte!$AZ$15:$AZ$81,$C33),0))))*$O33*S08_Defaults!$B$6*(1+S08_Defaults!$B$7)*S08_Defaults!$B$8</x:f>
        <x:v>4559.126358170222</x:v>
      </x:c>
      <x:c r="AF33" s="115" t="n">
        <x:f aca="0">(IF($K33&gt;=2,SUMIF(S14_Growth_Model_ExAnte!$C$15:$C$81,$B33,S14_Growth_Model_ExAnte!$U$15:$U$81)/$K33,IF($L33&gt;=2,SUMIF(S14_Growth_Model_ExAnte!$AY$15:$AY$81,$C33&amp;"|"&amp;$D33,S14_Growth_Model_ExAnte!$U$15:$U$81)/$L33,IF(COUNTIF(S14_Growth_Model_ExAnte!$AZ$15:$AZ$81,$C33)&gt;0,SUMIF(S14_Growth_Model_ExAnte!$AZ$15:$AZ$81,$C33,S14_Growth_Model_ExAnte!$U$15:$U$81)/COUNTIF(S14_Growth_Model_ExAnte!$AZ$15:$AZ$81,$C33),0))))*$O33*S08_Defaults!$B$6*(1+S08_Defaults!$B$7)*S08_Defaults!$B$8</x:f>
        <x:v>5047.694563689464</x:v>
      </x:c>
      <x:c r="AG33" s="115" t="n">
        <x:f aca="0">(IF($K33&gt;=2,SUMIF(S14_Growth_Model_ExAnte!$C$15:$C$81,$B33,S14_Growth_Model_ExAnte!$V$15:$V$81)/$K33,IF($L33&gt;=2,SUMIF(S14_Growth_Model_ExAnte!$AY$15:$AY$81,$C33&amp;"|"&amp;$D33,S14_Growth_Model_ExAnte!$V$15:$V$81)/$L33,IF(COUNTIF(S14_Growth_Model_ExAnte!$AZ$15:$AZ$81,$C33)&gt;0,SUMIF(S14_Growth_Model_ExAnte!$AZ$15:$AZ$81,$C33,S14_Growth_Model_ExAnte!$V$15:$V$81)/COUNTIF(S14_Growth_Model_ExAnte!$AZ$15:$AZ$81,$C33),0))))*$O33*S08_Defaults!$B$6*(1+S08_Defaults!$B$7)*S08_Defaults!$B$8</x:f>
        <x:v>5488.202382089278</x:v>
      </x:c>
      <x:c r="AH33" s="115" t="n">
        <x:f aca="0">(IF($K33&gt;=2,SUMIF(S14_Growth_Model_ExAnte!$C$15:$C$81,$B33,S14_Growth_Model_ExAnte!$W$15:$W$81)/$K33,IF($L33&gt;=2,SUMIF(S14_Growth_Model_ExAnte!$AY$15:$AY$81,$C33&amp;"|"&amp;$D33,S14_Growth_Model_ExAnte!$W$15:$W$81)/$L33,IF(COUNTIF(S14_Growth_Model_ExAnte!$AZ$15:$AZ$81,$C33)&gt;0,SUMIF(S14_Growth_Model_ExAnte!$AZ$15:$AZ$81,$C33,S14_Growth_Model_ExAnte!$W$15:$W$81)/COUNTIF(S14_Growth_Model_ExAnte!$AZ$15:$AZ$81,$C33),0))))*$O33*S08_Defaults!$B$6*(1+S08_Defaults!$B$7)*S08_Defaults!$B$8</x:f>
        <x:v>5880.848744130731</x:v>
      </x:c>
      <x:c r="AI33" s="115" t="n">
        <x:f aca="0">(IF($K33&gt;=2,SUMIF(S14_Growth_Model_ExAnte!$C$15:$C$81,$B33,S14_Growth_Model_ExAnte!$X$15:$X$81)/$K33,IF($L33&gt;=2,SUMIF(S14_Growth_Model_ExAnte!$AY$15:$AY$81,$C33&amp;"|"&amp;$D33,S14_Growth_Model_ExAnte!$X$15:$X$81)/$L33,IF(COUNTIF(S14_Growth_Model_ExAnte!$AZ$15:$AZ$81,$C33)&gt;0,SUMIF(S14_Growth_Model_ExAnte!$AZ$15:$AZ$81,$C33,S14_Growth_Model_ExAnte!$X$15:$X$81)/COUNTIF(S14_Growth_Model_ExAnte!$AZ$15:$AZ$81,$C33),0))))*$O33*S08_Defaults!$B$6*(1+S08_Defaults!$B$7)*S08_Defaults!$B$8</x:f>
        <x:v>6227.6404276265985</x:v>
      </x:c>
      <x:c r="AJ33" s="115" t="n">
        <x:f aca="0">(IF($K33&gt;=2,SUMIF(S14_Growth_Model_ExAnte!$C$15:$C$81,$B33,S14_Growth_Model_ExAnte!$Y$15:$Y$81)/$K33,IF($L33&gt;=2,SUMIF(S14_Growth_Model_ExAnte!$AY$15:$AY$81,$C33&amp;"|"&amp;$D33,S14_Growth_Model_ExAnte!$Y$15:$Y$81)/$L33,IF(COUNTIF(S14_Growth_Model_ExAnte!$AZ$15:$AZ$81,$C33)&gt;0,SUMIF(S14_Growth_Model_ExAnte!$AZ$15:$AZ$81,$C33,S14_Growth_Model_ExAnte!$Y$15:$Y$81)/COUNTIF(S14_Growth_Model_ExAnte!$AZ$15:$AZ$81,$C33),0))))*$O33*S08_Defaults!$B$6*(1+S08_Defaults!$B$7)*S08_Defaults!$B$8</x:f>
        <x:v>6531.684451358122</x:v>
      </x:c>
      <x:c r="AK33" s="115" t="n">
        <x:f aca="0">(IF($K33&gt;=2,SUMIF(S14_Growth_Model_ExAnte!$C$15:$C$81,$B33,S14_Growth_Model_ExAnte!$Z$15:$Z$81)/$K33,IF($L33&gt;=2,SUMIF(S14_Growth_Model_ExAnte!$AY$15:$AY$81,$C33&amp;"|"&amp;$D33,S14_Growth_Model_ExAnte!$Z$15:$Z$81)/$L33,IF(COUNTIF(S14_Growth_Model_ExAnte!$AZ$15:$AZ$81,$C33)&gt;0,SUMIF(S14_Growth_Model_ExAnte!$AZ$15:$AZ$81,$C33,S14_Growth_Model_ExAnte!$Z$15:$Z$81)/COUNTIF(S14_Growth_Model_ExAnte!$AZ$15:$AZ$81,$C33),0))))*$O33*S08_Defaults!$B$6*(1+S08_Defaults!$B$7)*S08_Defaults!$B$8</x:f>
        <x:v>6796.670771173728</x:v>
      </x:c>
      <x:c r="AL33" s="115" t="n">
        <x:f aca="0">(IF($K33&gt;=2,SUMIF(S14_Growth_Model_ExAnte!$C$15:$C$81,$B33,S14_Growth_Model_ExAnte!$AA$15:$AA$81)/$K33,IF($L33&gt;=2,SUMIF(S14_Growth_Model_ExAnte!$AY$15:$AY$81,$C33&amp;"|"&amp;$D33,S14_Growth_Model_ExAnte!$AA$15:$AA$81)/$L33,IF(COUNTIF(S14_Growth_Model_ExAnte!$AZ$15:$AZ$81,$C33)&gt;0,SUMIF(S14_Growth_Model_ExAnte!$AZ$15:$AZ$81,$C33,S14_Growth_Model_ExAnte!$AA$15:$AA$81)/COUNTIF(S14_Growth_Model_ExAnte!$AZ$15:$AZ$81,$C33),0))))*$O33*S08_Defaults!$B$6*(1+S08_Defaults!$B$7)*S08_Defaults!$B$8</x:f>
        <x:v>7026.509892919597</x:v>
      </x:c>
      <x:c r="AM33" s="115" t="n">
        <x:f aca="0">R33</x:f>
        <x:v>0</x:v>
      </x:c>
      <x:c r="AN33" s="115" t="n">
        <x:f aca="0">S33-R33</x:f>
        <x:v>0</x:v>
      </x:c>
      <x:c r="AO33" s="115" t="n">
        <x:f aca="0">T33-S33</x:f>
        <x:v>0</x:v>
      </x:c>
      <x:c r="AP33" s="115" t="n">
        <x:f aca="0">U33-T33</x:f>
        <x:v>9.46686943239219</x:v>
      </x:c>
      <x:c r="AQ33" s="115" t="n">
        <x:f aca="0">V33-U33</x:f>
        <x:v>79.46390997862437</x:v>
      </x:c>
      <x:c r="AR33" s="115" t="n">
        <x:f aca="0">W33-V33</x:f>
        <x:v>204.24524679963207</x:v>
      </x:c>
      <x:c r="AS33" s="115" t="n">
        <x:f aca="0">X33-W33</x:f>
        <x:v>343.6520891529224</x:v>
      </x:c>
      <x:c r="AT33" s="115" t="n">
        <x:f aca="0">Y33-X33</x:f>
        <x:v>462.3762311932712</x:v>
      </x:c>
      <x:c r="AU33" s="115" t="n">
        <x:f aca="0">Z33-Y33</x:f>
        <x:v>546.8013333011395</x:v>
      </x:c>
      <x:c r="AV33" s="115" t="n">
        <x:f aca="0">AA33-Z33</x:f>
        <x:v>594.678220861726</x:v>
      </x:c>
      <x:c r="AW33" s="115" t="n">
        <x:f aca="0">AB33-AA33</x:f>
        <x:v>610.3503811191822</x:v>
      </x:c>
      <x:c r="AX33" s="115" t="n">
        <x:f aca="0">AC33-AB33</x:f>
        <x:v>600.7774737068085</x:v>
      </x:c>
      <x:c r="AY33" s="115" t="n">
        <x:f aca="0">AD33-AC33</x:f>
        <x:v>573.2190345328954</x:v>
      </x:c>
      <x:c r="AZ33" s="115" t="n">
        <x:f aca="0">AE33-AD33</x:f>
        <x:v>534.0955680916286</x:v>
      </x:c>
      <x:c r="BA33" s="115" t="n">
        <x:f aca="0">AF33-AE33</x:f>
        <x:v>488.5682055192419</x:v>
      </x:c>
      <x:c r="BB33" s="115" t="n">
        <x:f aca="0">AG33-AF33</x:f>
        <x:v>440.5078183998139</x:v>
      </x:c>
      <x:c r="BC33" s="115" t="n">
        <x:f aca="0">AH33-AG33</x:f>
        <x:v>392.64636204145245</x:v>
      </x:c>
      <x:c r="BD33" s="115" t="n">
        <x:f aca="0">AI33-AH33</x:f>
        <x:v>346.7916834958678</x:v>
      </x:c>
      <x:c r="BE33" s="115" t="n">
        <x:f aca="0">AJ33-AI33</x:f>
        <x:v>304.04402373152334</x:v>
      </x:c>
      <x:c r="BF33" s="115" t="n">
        <x:f aca="0">AK33-AJ33</x:f>
        <x:v>264.9863198156063</x:v>
      </x:c>
      <x:c r="BG33" s="115" t="n">
        <x:f aca="0">AL33-AK33</x:f>
        <x:v>229.8391217458693</x:v>
      </x:c>
    </x:row>
    <x:row r="34" ht="15" hidden="0" customHeight="1">
      <x:c r="A34" s="160" t="str">
        <x:f aca="0">"S"&amp;TEXT(ROW()-3,"00")</x:f>
        <x:v>S31</x:v>
      </x:c>
      <x:c r="B34" s="161" t="s">
        <x:v>565</x:v>
      </x:c>
      <x:c r="C34" s="160" t="str">
        <x:f aca="0">LEFT($B34,FIND("|",$B34)-1)</x:f>
        <x:v>Fruit Orchard</x:v>
      </x:c>
      <x:c r="D34" s="160" t="str">
        <x:f aca="0">MID($B34,FIND("|",$B34)+1,FIND("|",$B34,FIND("|",$B34)+1)-FIND("|",$B34)-1)</x:f>
        <x:v>High</x:v>
      </x:c>
      <x:c r="E34" s="160" t="n">
        <x:f aca="0">VALUE(RIGHT($B34,4))</x:f>
        <x:v>2022</x:v>
      </x:c>
      <x:c r="F34" s="115" t="n">
        <x:f aca="0">SUMIF(S17_Biome_Strata!$G$4:$G$95,$B34,S17_Biome_Strata!$E$4:$E$95)</x:f>
        <x:v>86</x:v>
      </x:c>
      <x:c r="G34" s="115" t="n">
        <x:f aca="0">SUMIF(S17_Biome_Strata!$G$4:$G$95,$B34,S17_Biome_Strata!$F$4:$F$95)</x:f>
        <x:v>91.4141</x:v>
      </x:c>
      <x:c r="H34" s="115" t="n">
        <x:f aca="0">IF($K34&gt;=2,SUMIF(S14_Growth_Model_ExAnte!$C$15:$C$81,$B34,S14_Growth_Model_ExAnte!$M$15:$M$81)/$K34,IF($L34&gt;=2,SUMIF(S14_Growth_Model_ExAnte!$AY$15:$AY$81,$C34&amp;"|"&amp;$D34,S14_Growth_Model_ExAnte!$M$15:$M$81)/$L34,IF(COUNTIF(S14_Growth_Model_ExAnte!$AZ$15:$AZ$81,$C34)&gt;0,SUMIF(S14_Growth_Model_ExAnte!$AZ$15:$AZ$81,$C34,S14_Growth_Model_ExAnte!$M$15:$M$81)/COUNTIF(S14_Growth_Model_ExAnte!$AZ$15:$AZ$81,$C34),0)))</x:f>
        <x:v>6.133009810088883</x:v>
      </x:c>
      <x:c r="I34" s="115" t="n">
        <x:f aca="0">IF($K34&gt;=2,SQRT(MAX(0,(SUMIF(S14_Growth_Model_ExAnte!$C$15:$C$81,$B34,S14_Growth_Model_ExAnte!$BE$15:$BE$81)-SUMIF(S14_Growth_Model_ExAnte!$C$15:$C$81,$B34,S14_Growth_Model_ExAnte!$M$15:$M$81)*SUMIF(S14_Growth_Model_ExAnte!$C$15:$C$81,$B34,S14_Growth_Model_ExAnte!$M$15:$M$81)/$K34)/($K34-1))),IF($L34&gt;=2,SQRT(MAX(0,(SUMIF(S14_Growth_Model_ExAnte!$AY$15:$AY$81,$C34&amp;"|"&amp;$D34,S14_Growth_Model_ExAnte!$BE$15:$BE$81)-SUMIF(S14_Growth_Model_ExAnte!$AY$15:$AY$81,$C34&amp;"|"&amp;$D34,S14_Growth_Model_ExAnte!$M$15:$M$81)*SUMIF(S14_Growth_Model_ExAnte!$AY$15:$AY$81,$C34&amp;"|"&amp;$D34,S14_Growth_Model_ExAnte!$M$15:$M$81)/$L34)/($L34-1))),IF(COUNTIF(S14_Growth_Model_ExAnte!$AZ$15:$AZ$81,$C34)&gt;=2,SQRT(MAX(0,(SUMIF(S14_Growth_Model_ExAnte!$AZ$15:$AZ$81,$C34,S14_Growth_Model_ExAnte!$BE$15:$BE$81)-SUMIF(S14_Growth_Model_ExAnte!$AZ$15:$AZ$81,$C34,S14_Growth_Model_ExAnte!$M$15:$M$81)*SUMIF(S14_Growth_Model_ExAnte!$AZ$15:$AZ$81,$C34,S14_Growth_Model_ExAnte!$M$15:$M$81)/COUNTIF(S14_Growth_Model_ExAnte!$AZ$15:$AZ$81,$C34))/(COUNTIF(S14_Growth_Model_ExAnte!$AZ$15:$AZ$81,$C34)-1))),0)))</x:f>
        <x:v>2.3733326523359404</x:v>
      </x:c>
      <x:c r="J34" s="115" t="n">
        <x:f aca="0">IFERROR(I34/H34,0)</x:f>
        <x:v>0.3869768230978168</x:v>
      </x:c>
      <x:c r="K34" s="115" t="n">
        <x:f aca="0">COUNTIF(S14_Growth_Model_ExAnte!$C$15:$C$81,$B34)</x:f>
        <x:v>1</x:v>
      </x:c>
      <x:c r="L34" s="115" t="n">
        <x:f aca="0">COUNTIF(S14_Growth_Model_ExAnte!$AY$15:$AY$81,$C34&amp;"|"&amp;$D34)</x:f>
        <x:v>3</x:v>
      </x:c>
      <x:c r="M34" s="115" t="n">
        <x:f aca="0">$H34</x:f>
        <x:v>6.133009810088883</x:v>
      </x:c>
      <x:c r="N34" s="115" t="n">
        <x:f aca="0">MAX(0,$M34*S08_Defaults!$B$5)</x:f>
        <x:v>4.599757357566662</x:v>
      </x:c>
      <x:c r="O34" s="115" t="n">
        <x:f aca="0">IFERROR($N34/$M34,0)</x:f>
        <x:v>0.75</x:v>
      </x:c>
      <x:c r="P34" s="115" t="str">
        <x:f aca="0">IF($K34&gt;=2,"Exact Stratum PSP Chapman-Richards curve",IF($L34&gt;=2,"Model×Density pooled Chapman-Richards curve","Model pooled Chapman-Richards curve"))</x:f>
        <x:v>Model×Density pooled Chapman-Richards curve</x:v>
      </x:c>
      <x:c r="Q34" s="162" t="s">
        <x:v>1106</x:v>
      </x:c>
      <x:c r="R34" s="115" t="n">
        <x:f aca="0">0</x:f>
        <x:v>0</x:v>
      </x:c>
      <x:c r="S34" s="115" t="n">
        <x:f aca="0">0</x:f>
        <x:v>0</x:v>
      </x:c>
      <x:c r="T34" s="115" t="n">
        <x:f aca="0">(IF($K34&gt;=2,SUMIF(S14_Growth_Model_ExAnte!$C$15:$C$81,$B34,S14_Growth_Model_ExAnte!$I$15:$I$81)/$K34,IF($L34&gt;=2,SUMIF(S14_Growth_Model_ExAnte!$AY$15:$AY$81,$C34&amp;"|"&amp;$D34,S14_Growth_Model_ExAnte!$I$15:$I$81)/$L34,IF(COUNTIF(S14_Growth_Model_ExAnte!$AZ$15:$AZ$81,$C34)&gt;0,SUMIF(S14_Growth_Model_ExAnte!$AZ$15:$AZ$81,$C34,S14_Growth_Model_ExAnte!$I$15:$I$81)/COUNTIF(S14_Growth_Model_ExAnte!$AZ$15:$AZ$81,$C34),0))))*$O34*S08_Defaults!$B$6*(1+S08_Defaults!$B$7)*S08_Defaults!$B$8</x:f>
        <x:v>0</x:v>
      </x:c>
      <x:c r="U34" s="115" t="n">
        <x:f aca="0">(IF($K34&gt;=2,SUMIF(S14_Growth_Model_ExAnte!$C$15:$C$81,$B34,S14_Growth_Model_ExAnte!$J$15:$J$81)/$K34,IF($L34&gt;=2,SUMIF(S14_Growth_Model_ExAnte!$AY$15:$AY$81,$C34&amp;"|"&amp;$D34,S14_Growth_Model_ExAnte!$J$15:$J$81)/$L34,IF(COUNTIF(S14_Growth_Model_ExAnte!$AZ$15:$AZ$81,$C34)&gt;0,SUMIF(S14_Growth_Model_ExAnte!$AZ$15:$AZ$81,$C34,S14_Growth_Model_ExAnte!$J$15:$J$81)/COUNTIF(S14_Growth_Model_ExAnte!$AZ$15:$AZ$81,$C34),0))))*$O34*S08_Defaults!$B$6*(1+S08_Defaults!$B$7)*S08_Defaults!$B$8</x:f>
        <x:v>0.08843419078662754</x:v>
      </x:c>
      <x:c r="V34" s="115" t="n">
        <x:f aca="0">(IF($K34&gt;=2,SUMIF(S14_Growth_Model_ExAnte!$C$15:$C$81,$B34,S14_Growth_Model_ExAnte!$K$15:$K$81)/$K34,IF($L34&gt;=2,SUMIF(S14_Growth_Model_ExAnte!$AY$15:$AY$81,$C34&amp;"|"&amp;$D34,S14_Growth_Model_ExAnte!$K$15:$K$81)/$L34,IF(COUNTIF(S14_Growth_Model_ExAnte!$AZ$15:$AZ$81,$C34)&gt;0,SUMIF(S14_Growth_Model_ExAnte!$AZ$15:$AZ$81,$C34,S14_Growth_Model_ExAnte!$K$15:$K$81)/COUNTIF(S14_Growth_Model_ExAnte!$AZ$15:$AZ$81,$C34),0))))*$O34*S08_Defaults!$B$6*(1+S08_Defaults!$B$7)*S08_Defaults!$B$8</x:f>
        <x:v>1.1000414117303818</x:v>
      </x:c>
      <x:c r="W34" s="115" t="n">
        <x:f aca="0">(IF($K34&gt;=2,SUMIF(S14_Growth_Model_ExAnte!$C$15:$C$81,$B34,S14_Growth_Model_ExAnte!$L$15:$L$81)/$K34,IF($L34&gt;=2,SUMIF(S14_Growth_Model_ExAnte!$AY$15:$AY$81,$C34&amp;"|"&amp;$D34,S14_Growth_Model_ExAnte!$L$15:$L$81)/$L34,IF(COUNTIF(S14_Growth_Model_ExAnte!$AZ$15:$AZ$81,$C34)&gt;0,SUMIF(S14_Growth_Model_ExAnte!$AZ$15:$AZ$81,$C34,S14_Growth_Model_ExAnte!$L$15:$L$81)/COUNTIF(S14_Growth_Model_ExAnte!$AZ$15:$AZ$81,$C34),0))))*$O34*S08_Defaults!$B$6*(1+S08_Defaults!$B$7)*S08_Defaults!$B$8</x:f>
        <x:v>4.1668905223899095</x:v>
      </x:c>
      <x:c r="X34" s="115" t="n">
        <x:f aca="0">(IF($K34&gt;=2,SUMIF(S14_Growth_Model_ExAnte!$C$15:$C$81,$B34,S14_Growth_Model_ExAnte!$M$15:$M$81)/$K34,IF($L34&gt;=2,SUMIF(S14_Growth_Model_ExAnte!$AY$15:$AY$81,$C34&amp;"|"&amp;$D34,S14_Growth_Model_ExAnte!$M$15:$M$81)/$L34,IF(COUNTIF(S14_Growth_Model_ExAnte!$AZ$15:$AZ$81,$C34)&gt;0,SUMIF(S14_Growth_Model_ExAnte!$AZ$15:$AZ$81,$C34,S14_Growth_Model_ExAnte!$M$15:$M$81)/COUNTIF(S14_Growth_Model_ExAnte!$AZ$15:$AZ$81,$C34),0))))*$O34*S08_Defaults!$B$6*(1+S08_Defaults!$B$7)*S08_Defaults!$B$8</x:f>
        <x:v>9.829374822629461</x:v>
      </x:c>
      <x:c r="Y34" s="115" t="n">
        <x:f aca="0">(IF($K34&gt;=2,SUMIF(S14_Growth_Model_ExAnte!$C$15:$C$81,$B34,S14_Growth_Model_ExAnte!$N$15:$N$81)/$K34,IF($L34&gt;=2,SUMIF(S14_Growth_Model_ExAnte!$AY$15:$AY$81,$C34&amp;"|"&amp;$D34,S14_Growth_Model_ExAnte!$N$15:$N$81)/$L34,IF(COUNTIF(S14_Growth_Model_ExAnte!$AZ$15:$AZ$81,$C34)&gt;0,SUMIF(S14_Growth_Model_ExAnte!$AZ$15:$AZ$81,$C34,S14_Growth_Model_ExAnte!$N$15:$N$81)/COUNTIF(S14_Growth_Model_ExAnte!$AZ$15:$AZ$81,$C34),0))))*$O34*S08_Defaults!$B$6*(1+S08_Defaults!$B$7)*S08_Defaults!$B$8</x:f>
        <x:v>17.892712114772408</x:v>
      </x:c>
      <x:c r="Z34" s="115" t="n">
        <x:f aca="0">(IF($K34&gt;=2,SUMIF(S14_Growth_Model_ExAnte!$C$15:$C$81,$B34,S14_Growth_Model_ExAnte!$O$15:$O$81)/$K34,IF($L34&gt;=2,SUMIF(S14_Growth_Model_ExAnte!$AY$15:$AY$81,$C34&amp;"|"&amp;$D34,S14_Growth_Model_ExAnte!$O$15:$O$81)/$L34,IF(COUNTIF(S14_Growth_Model_ExAnte!$AZ$15:$AZ$81,$C34)&gt;0,SUMIF(S14_Growth_Model_ExAnte!$AZ$15:$AZ$81,$C34,S14_Growth_Model_ExAnte!$O$15:$O$81)/COUNTIF(S14_Growth_Model_ExAnte!$AZ$15:$AZ$81,$C34),0))))*$O34*S08_Defaults!$B$6*(1+S08_Defaults!$B$7)*S08_Defaults!$B$8</x:f>
        <x:v>27.774290189779645</x:v>
      </x:c>
      <x:c r="AA34" s="115" t="n">
        <x:f aca="0">(IF($K34&gt;=2,SUMIF(S14_Growth_Model_ExAnte!$C$15:$C$81,$B34,S14_Growth_Model_ExAnte!$P$15:$P$81)/$K34,IF($L34&gt;=2,SUMIF(S14_Growth_Model_ExAnte!$AY$15:$AY$81,$C34&amp;"|"&amp;$D34,S14_Growth_Model_ExAnte!$P$15:$P$81)/$L34,IF(COUNTIF(S14_Growth_Model_ExAnte!$AZ$15:$AZ$81,$C34)&gt;0,SUMIF(S14_Growth_Model_ExAnte!$AZ$15:$AZ$81,$C34,S14_Growth_Model_ExAnte!$P$15:$P$81)/COUNTIF(S14_Growth_Model_ExAnte!$AZ$15:$AZ$81,$C34),0))))*$O34*S08_Defaults!$B$6*(1+S08_Defaults!$B$7)*S08_Defaults!$B$8</x:f>
        <x:v>38.76954120331893</x:v>
      </x:c>
      <x:c r="AB34" s="115" t="n">
        <x:f aca="0">(IF($K34&gt;=2,SUMIF(S14_Growth_Model_ExAnte!$C$15:$C$81,$B34,S14_Growth_Model_ExAnte!$Q$15:$Q$81)/$K34,IF($L34&gt;=2,SUMIF(S14_Growth_Model_ExAnte!$AY$15:$AY$81,$C34&amp;"|"&amp;$D34,S14_Growth_Model_ExAnte!$Q$15:$Q$81)/$L34,IF(COUNTIF(S14_Growth_Model_ExAnte!$AZ$15:$AZ$81,$C34)&gt;0,SUMIF(S14_Growth_Model_ExAnte!$AZ$15:$AZ$81,$C34,S14_Growth_Model_ExAnte!$Q$15:$Q$81)/COUNTIF(S14_Growth_Model_ExAnte!$AZ$15:$AZ$81,$C34),0))))*$O34*S08_Defaults!$B$6*(1+S08_Defaults!$B$7)*S08_Defaults!$B$8</x:f>
        <x:v>50.22338492311939</x:v>
      </x:c>
      <x:c r="AC34" s="115" t="n">
        <x:f aca="0">(IF($K34&gt;=2,SUMIF(S14_Growth_Model_ExAnte!$C$15:$C$81,$B34,S14_Growth_Model_ExAnte!$R$15:$R$81)/$K34,IF($L34&gt;=2,SUMIF(S14_Growth_Model_ExAnte!$AY$15:$AY$81,$C34&amp;"|"&amp;$D34,S14_Growth_Model_ExAnte!$R$15:$R$81)/$L34,IF(COUNTIF(S14_Growth_Model_ExAnte!$AZ$15:$AZ$81,$C34)&gt;0,SUMIF(S14_Growth_Model_ExAnte!$AZ$15:$AZ$81,$C34,S14_Growth_Model_ExAnte!$R$15:$R$81)/COUNTIF(S14_Growth_Model_ExAnte!$AZ$15:$AZ$81,$C34),0))))*$O34*S08_Defaults!$B$6*(1+S08_Defaults!$B$7)*S08_Defaults!$B$8</x:f>
        <x:v>61.60837691376501</x:v>
      </x:c>
      <x:c r="AD34" s="115" t="n">
        <x:f aca="0">(IF($K34&gt;=2,SUMIF(S14_Growth_Model_ExAnte!$C$15:$C$81,$B34,S14_Growth_Model_ExAnte!$S$15:$S$81)/$K34,IF($L34&gt;=2,SUMIF(S14_Growth_Model_ExAnte!$AY$15:$AY$81,$C34&amp;"|"&amp;$D34,S14_Growth_Model_ExAnte!$S$15:$S$81)/$L34,IF(COUNTIF(S14_Growth_Model_ExAnte!$AZ$15:$AZ$81,$C34)&gt;0,SUMIF(S14_Growth_Model_ExAnte!$AZ$15:$AZ$81,$C34,S14_Growth_Model_ExAnte!$S$15:$S$81)/COUNTIF(S14_Growth_Model_ExAnte!$AZ$15:$AZ$81,$C34),0))))*$O34*S08_Defaults!$B$6*(1+S08_Defaults!$B$7)*S08_Defaults!$B$8</x:f>
        <x:v>72.54304541687709</x:v>
      </x:c>
      <x:c r="AE34" s="115" t="n">
        <x:f aca="0">(IF($K34&gt;=2,SUMIF(S14_Growth_Model_ExAnte!$C$15:$C$81,$B34,S14_Growth_Model_ExAnte!$T$15:$T$81)/$K34,IF($L34&gt;=2,SUMIF(S14_Growth_Model_ExAnte!$AY$15:$AY$81,$C34&amp;"|"&amp;$D34,S14_Growth_Model_ExAnte!$T$15:$T$81)/$L34,IF(COUNTIF(S14_Growth_Model_ExAnte!$AZ$15:$AZ$81,$C34)&gt;0,SUMIF(S14_Growth_Model_ExAnte!$AZ$15:$AZ$81,$C34,S14_Growth_Model_ExAnte!$T$15:$T$81)/COUNTIF(S14_Growth_Model_ExAnte!$AZ$15:$AZ$81,$C34),0))))*$O34*S08_Defaults!$B$6*(1+S08_Defaults!$B$7)*S08_Defaults!$B$8</x:f>
        <x:v>82.77910053366851</x:v>
      </x:c>
      <x:c r="AF34" s="115" t="n">
        <x:f aca="0">(IF($K34&gt;=2,SUMIF(S14_Growth_Model_ExAnte!$C$15:$C$81,$B34,S14_Growth_Model_ExAnte!$U$15:$U$81)/$K34,IF($L34&gt;=2,SUMIF(S14_Growth_Model_ExAnte!$AY$15:$AY$81,$C34&amp;"|"&amp;$D34,S14_Growth_Model_ExAnte!$U$15:$U$81)/$L34,IF(COUNTIF(S14_Growth_Model_ExAnte!$AZ$15:$AZ$81,$C34)&gt;0,SUMIF(S14_Growth_Model_ExAnte!$AZ$15:$AZ$81,$C34,S14_Growth_Model_ExAnte!$U$15:$U$81)/COUNTIF(S14_Growth_Model_ExAnte!$AZ$15:$AZ$81,$C34),0))))*$O34*S08_Defaults!$B$6*(1+S08_Defaults!$B$7)*S08_Defaults!$B$8</x:f>
        <x:v>92.17626812269735</x:v>
      </x:c>
      <x:c r="AG34" s="115" t="n">
        <x:f aca="0">(IF($K34&gt;=2,SUMIF(S14_Growth_Model_ExAnte!$C$15:$C$81,$B34,S14_Growth_Model_ExAnte!$V$15:$V$81)/$K34,IF($L34&gt;=2,SUMIF(S14_Growth_Model_ExAnte!$AY$15:$AY$81,$C34&amp;"|"&amp;$D34,S14_Growth_Model_ExAnte!$V$15:$V$81)/$L34,IF(COUNTIF(S14_Growth_Model_ExAnte!$AZ$15:$AZ$81,$C34)&gt;0,SUMIF(S14_Growth_Model_ExAnte!$AZ$15:$AZ$81,$C34,S14_Growth_Model_ExAnte!$V$15:$V$81)/COUNTIF(S14_Growth_Model_ExAnte!$AZ$15:$AZ$81,$C34),0))))*$O34*S08_Defaults!$B$6*(1+S08_Defaults!$B$7)*S08_Defaults!$B$8</x:f>
        <x:v>100.67516538222455</x:v>
      </x:c>
      <x:c r="AH34" s="115" t="n">
        <x:f aca="0">(IF($K34&gt;=2,SUMIF(S14_Growth_Model_ExAnte!$C$15:$C$81,$B34,S14_Growth_Model_ExAnte!$W$15:$W$81)/$K34,IF($L34&gt;=2,SUMIF(S14_Growth_Model_ExAnte!$AY$15:$AY$81,$C34&amp;"|"&amp;$D34,S14_Growth_Model_ExAnte!$W$15:$W$81)/$L34,IF(COUNTIF(S14_Growth_Model_ExAnte!$AZ$15:$AZ$81,$C34)&gt;0,SUMIF(S14_Growth_Model_ExAnte!$AZ$15:$AZ$81,$C34,S14_Growth_Model_ExAnte!$W$15:$W$81)/COUNTIF(S14_Growth_Model_ExAnte!$AZ$15:$AZ$81,$C34),0))))*$O34*S08_Defaults!$B$6*(1+S08_Defaults!$B$7)*S08_Defaults!$B$8</x:f>
        <x:v>108.27311915182199</x:v>
      </x:c>
      <x:c r="AI34" s="115" t="n">
        <x:f aca="0">(IF($K34&gt;=2,SUMIF(S14_Growth_Model_ExAnte!$C$15:$C$81,$B34,S14_Growth_Model_ExAnte!$X$15:$X$81)/$K34,IF($L34&gt;=2,SUMIF(S14_Growth_Model_ExAnte!$AY$15:$AY$81,$C34&amp;"|"&amp;$D34,S14_Growth_Model_ExAnte!$X$15:$X$81)/$L34,IF(COUNTIF(S14_Growth_Model_ExAnte!$AZ$15:$AZ$81,$C34)&gt;0,SUMIF(S14_Growth_Model_ExAnte!$AZ$15:$AZ$81,$C34,S14_Growth_Model_ExAnte!$X$15:$X$81)/COUNTIF(S14_Growth_Model_ExAnte!$AZ$15:$AZ$81,$C34),0))))*$O34*S08_Defaults!$B$6*(1+S08_Defaults!$B$7)*S08_Defaults!$B$8</x:f>
        <x:v>115.00464533368721</x:v>
      </x:c>
      <x:c r="AJ34" s="115" t="n">
        <x:f aca="0">(IF($K34&gt;=2,SUMIF(S14_Growth_Model_ExAnte!$C$15:$C$81,$B34,S14_Growth_Model_ExAnte!$Y$15:$Y$81)/$K34,IF($L34&gt;=2,SUMIF(S14_Growth_Model_ExAnte!$AY$15:$AY$81,$C34&amp;"|"&amp;$D34,S14_Growth_Model_ExAnte!$Y$15:$Y$81)/$L34,IF(COUNTIF(S14_Growth_Model_ExAnte!$AZ$15:$AZ$81,$C34)&gt;0,SUMIF(S14_Growth_Model_ExAnte!$AZ$15:$AZ$81,$C34,S14_Growth_Model_ExAnte!$Y$15:$Y$81)/COUNTIF(S14_Growth_Model_ExAnte!$AZ$15:$AZ$81,$C34),0))))*$O34*S08_Defaults!$B$6*(1+S08_Defaults!$B$7)*S08_Defaults!$B$8</x:f>
        <x:v>120.92668155665598</x:v>
      </x:c>
      <x:c r="AK34" s="115" t="n">
        <x:f aca="0">(IF($K34&gt;=2,SUMIF(S14_Growth_Model_ExAnte!$C$15:$C$81,$B34,S14_Growth_Model_ExAnte!$Z$15:$Z$81)/$K34,IF($L34&gt;=2,SUMIF(S14_Growth_Model_ExAnte!$AY$15:$AY$81,$C34&amp;"|"&amp;$D34,S14_Growth_Model_ExAnte!$Z$15:$Z$81)/$L34,IF(COUNTIF(S14_Growth_Model_ExAnte!$AZ$15:$AZ$81,$C34)&gt;0,SUMIF(S14_Growth_Model_ExAnte!$AZ$15:$AZ$81,$C34,S14_Growth_Model_ExAnte!$Z$15:$Z$81)/COUNTIF(S14_Growth_Model_ExAnte!$AZ$15:$AZ$81,$C34),0))))*$O34*S08_Defaults!$B$6*(1+S08_Defaults!$B$7)*S08_Defaults!$B$8</x:f>
        <x:v>126.1079590032203</x:v>
      </x:c>
      <x:c r="AL34" s="115" t="n">
        <x:f aca="0">(IF($K34&gt;=2,SUMIF(S14_Growth_Model_ExAnte!$C$15:$C$81,$B34,S14_Growth_Model_ExAnte!$AA$15:$AA$81)/$K34,IF($L34&gt;=2,SUMIF(S14_Growth_Model_ExAnte!$AY$15:$AY$81,$C34&amp;"|"&amp;$D34,S14_Growth_Model_ExAnte!$AA$15:$AA$81)/$L34,IF(COUNTIF(S14_Growth_Model_ExAnte!$AZ$15:$AZ$81,$C34)&gt;0,SUMIF(S14_Growth_Model_ExAnte!$AZ$15:$AZ$81,$C34,S14_Growth_Model_ExAnte!$AA$15:$AA$81)/COUNTIF(S14_Growth_Model_ExAnte!$AZ$15:$AZ$81,$C34),0))))*$O34*S08_Defaults!$B$6*(1+S08_Defaults!$B$7)*S08_Defaults!$B$8</x:f>
        <x:v>130.62168649784536</x:v>
      </x:c>
      <x:c r="AM34" s="115" t="n">
        <x:f aca="0">R34</x:f>
        <x:v>0</x:v>
      </x:c>
      <x:c r="AN34" s="115" t="n">
        <x:f aca="0">S34-R34</x:f>
        <x:v>0</x:v>
      </x:c>
      <x:c r="AO34" s="115" t="n">
        <x:f aca="0">T34-S34</x:f>
        <x:v>0</x:v>
      </x:c>
      <x:c r="AP34" s="115" t="n">
        <x:f aca="0">U34-T34</x:f>
        <x:v>0.08843419078662754</x:v>
      </x:c>
      <x:c r="AQ34" s="115" t="n">
        <x:f aca="0">V34-U34</x:f>
        <x:v>1.0116072209437543</x:v>
      </x:c>
      <x:c r="AR34" s="115" t="n">
        <x:f aca="0">W34-V34</x:f>
        <x:v>3.0668491106595277</x:v>
      </x:c>
      <x:c r="AS34" s="115" t="n">
        <x:f aca="0">X34-W34</x:f>
        <x:v>5.6624843002395515</x:v>
      </x:c>
      <x:c r="AT34" s="115" t="n">
        <x:f aca="0">Y34-X34</x:f>
        <x:v>8.063337292142947</x:v>
      </x:c>
      <x:c r="AU34" s="115" t="n">
        <x:f aca="0">Z34-Y34</x:f>
        <x:v>9.881578075007237</x:v>
      </x:c>
      <x:c r="AV34" s="115" t="n">
        <x:f aca="0">AA34-Z34</x:f>
        <x:v>10.995251013539285</x:v>
      </x:c>
      <x:c r="AW34" s="115" t="n">
        <x:f aca="0">AB34-AA34</x:f>
        <x:v>11.45384371980046</x:v>
      </x:c>
      <x:c r="AX34" s="115" t="n">
        <x:f aca="0">AC34-AB34</x:f>
        <x:v>11.384991990645617</x:v>
      </x:c>
      <x:c r="AY34" s="115" t="n">
        <x:f aca="0">AD34-AC34</x:f>
        <x:v>10.934668503112086</x:v>
      </x:c>
      <x:c r="AZ34" s="115" t="n">
        <x:f aca="0">AE34-AD34</x:f>
        <x:v>10.23605511679142</x:v>
      </x:c>
      <x:c r="BA34" s="115" t="n">
        <x:f aca="0">AF34-AE34</x:f>
        <x:v>9.39716758902884</x:v>
      </x:c>
      <x:c r="BB34" s="115" t="n">
        <x:f aca="0">AG34-AF34</x:f>
        <x:v>8.498897259527197</x:v>
      </x:c>
      <x:c r="BC34" s="115" t="n">
        <x:f aca="0">AH34-AG34</x:f>
        <x:v>7.597953769597439</x:v>
      </x:c>
      <x:c r="BD34" s="115" t="n">
        <x:f aca="0">AI34-AH34</x:f>
        <x:v>6.73152618186522</x:v>
      </x:c>
      <x:c r="BE34" s="115" t="n">
        <x:f aca="0">AJ34-AI34</x:f>
        <x:v>5.922036222968771</x:v>
      </x:c>
      <x:c r="BF34" s="115" t="n">
        <x:f aca="0">AK34-AJ34</x:f>
        <x:v>5.181277446564323</x:v>
      </x:c>
      <x:c r="BG34" s="115" t="n">
        <x:f aca="0">AL34-AK34</x:f>
        <x:v>4.5137274946250585</x:v>
      </x:c>
    </x:row>
    <x:row r="35" ht="15" hidden="0" customHeight="1">
      <x:c r="A35" s="160" t="str">
        <x:f aca="0">"S"&amp;TEXT(ROW()-3,"00")</x:f>
        <x:v>S32</x:v>
      </x:c>
      <x:c r="B35" s="161" t="s">
        <x:v>1115</x:v>
      </x:c>
      <x:c r="C35" s="160" t="str">
        <x:f aca="0">LEFT($B35,FIND("|",$B35)-1)</x:f>
        <x:v>Horti-Silviculture</x:v>
      </x:c>
      <x:c r="D35" s="160" t="str">
        <x:f aca="0">MID($B35,FIND("|",$B35)+1,FIND("|",$B35,FIND("|",$B35)+1)-FIND("|",$B35)-1)</x:f>
        <x:v>High</x:v>
      </x:c>
      <x:c r="E35" s="160" t="n">
        <x:f aca="0">VALUE(RIGHT($B35,4))</x:f>
        <x:v>2022</x:v>
      </x:c>
      <x:c r="F35" s="115" t="n">
        <x:f aca="0">SUMIF(S17_Biome_Strata!$G$4:$G$95,$B35,S17_Biome_Strata!$E$4:$E$95)</x:f>
        <x:v>4</x:v>
      </x:c>
      <x:c r="G35" s="115" t="n">
        <x:f aca="0">SUMIF(S17_Biome_Strata!$G$4:$G$95,$B35,S17_Biome_Strata!$F$4:$F$95)</x:f>
        <x:v>1.6353</x:v>
      </x:c>
      <x:c r="H35" s="115" t="n">
        <x:f aca="0">IF($K35&gt;=2,SUMIF(S14_Growth_Model_ExAnte!$C$15:$C$81,$B35,S14_Growth_Model_ExAnte!$M$15:$M$81)/$K35,IF($L35&gt;=2,SUMIF(S14_Growth_Model_ExAnte!$AY$15:$AY$81,$C35&amp;"|"&amp;$D35,S14_Growth_Model_ExAnte!$M$15:$M$81)/$L35,IF(COUNTIF(S14_Growth_Model_ExAnte!$AZ$15:$AZ$81,$C35)&gt;0,SUMIF(S14_Growth_Model_ExAnte!$AZ$15:$AZ$81,$C35,S14_Growth_Model_ExAnte!$M$15:$M$81)/COUNTIF(S14_Growth_Model_ExAnte!$AZ$15:$AZ$81,$C35),0)))</x:f>
        <x:v>225.91908710329722</x:v>
      </x:c>
      <x:c r="I35" s="115" t="n">
        <x:f aca="0">IF($K35&gt;=2,SQRT(MAX(0,(SUMIF(S14_Growth_Model_ExAnte!$C$15:$C$81,$B35,S14_Growth_Model_ExAnte!$BE$15:$BE$81)-SUMIF(S14_Growth_Model_ExAnte!$C$15:$C$81,$B35,S14_Growth_Model_ExAnte!$M$15:$M$81)*SUMIF(S14_Growth_Model_ExAnte!$C$15:$C$81,$B35,S14_Growth_Model_ExAnte!$M$15:$M$81)/$K35)/($K35-1))),IF($L35&gt;=2,SQRT(MAX(0,(SUMIF(S14_Growth_Model_ExAnte!$AY$15:$AY$81,$C35&amp;"|"&amp;$D35,S14_Growth_Model_ExAnte!$BE$15:$BE$81)-SUMIF(S14_Growth_Model_ExAnte!$AY$15:$AY$81,$C35&amp;"|"&amp;$D35,S14_Growth_Model_ExAnte!$M$15:$M$81)*SUMIF(S14_Growth_Model_ExAnte!$AY$15:$AY$81,$C35&amp;"|"&amp;$D35,S14_Growth_Model_ExAnte!$M$15:$M$81)/$L35)/($L35-1))),IF(COUNTIF(S14_Growth_Model_ExAnte!$AZ$15:$AZ$81,$C35)&gt;=2,SQRT(MAX(0,(SUMIF(S14_Growth_Model_ExAnte!$AZ$15:$AZ$81,$C35,S14_Growth_Model_ExAnte!$BE$15:$BE$81)-SUMIF(S14_Growth_Model_ExAnte!$AZ$15:$AZ$81,$C35,S14_Growth_Model_ExAnte!$M$15:$M$81)*SUMIF(S14_Growth_Model_ExAnte!$AZ$15:$AZ$81,$C35,S14_Growth_Model_ExAnte!$M$15:$M$81)/COUNTIF(S14_Growth_Model_ExAnte!$AZ$15:$AZ$81,$C35))/(COUNTIF(S14_Growth_Model_ExAnte!$AZ$15:$AZ$81,$C35)-1))),0)))</x:f>
        <x:v>212.32958337179468</x:v>
      </x:c>
      <x:c r="J35" s="115" t="n">
        <x:f aca="0">IFERROR(I35/H35,0)</x:f>
        <x:v>0.9398479167663731</x:v>
      </x:c>
      <x:c r="K35" s="115" t="n">
        <x:f aca="0">COUNTIF(S14_Growth_Model_ExAnte!$C$15:$C$81,$B35)</x:f>
        <x:v>0</x:v>
      </x:c>
      <x:c r="L35" s="115" t="n">
        <x:f aca="0">COUNTIF(S14_Growth_Model_ExAnte!$AY$15:$AY$81,$C35&amp;"|"&amp;$D35)</x:f>
        <x:v>6</x:v>
      </x:c>
      <x:c r="M35" s="115" t="n">
        <x:f aca="0">$H35</x:f>
        <x:v>225.91908710329722</x:v>
      </x:c>
      <x:c r="N35" s="115" t="n">
        <x:f aca="0">MAX(0,$M35*S08_Defaults!$B$5)</x:f>
        <x:v>169.4393153274729</x:v>
      </x:c>
      <x:c r="O35" s="115" t="n">
        <x:f aca="0">IFERROR($N35/$M35,0)</x:f>
        <x:v>0.75</x:v>
      </x:c>
      <x:c r="P35" s="115" t="str">
        <x:f aca="0">IF($K35&gt;=2,"Exact Stratum PSP Chapman-Richards curve",IF($L35&gt;=2,"Model×Density pooled Chapman-Richards curve","Model pooled Chapman-Richards curve"))</x:f>
        <x:v>Model×Density pooled Chapman-Richards curve</x:v>
      </x:c>
      <x:c r="Q35" s="162" t="s">
        <x:v>1106</x:v>
      </x:c>
      <x:c r="R35" s="115" t="n">
        <x:f aca="0">0</x:f>
        <x:v>0</x:v>
      </x:c>
      <x:c r="S35" s="115" t="n">
        <x:f aca="0">0</x:f>
        <x:v>0</x:v>
      </x:c>
      <x:c r="T35" s="115" t="n">
        <x:f aca="0">(IF($K35&gt;=2,SUMIF(S14_Growth_Model_ExAnte!$C$15:$C$81,$B35,S14_Growth_Model_ExAnte!$I$15:$I$81)/$K35,IF($L35&gt;=2,SUMIF(S14_Growth_Model_ExAnte!$AY$15:$AY$81,$C35&amp;"|"&amp;$D35,S14_Growth_Model_ExAnte!$I$15:$I$81)/$L35,IF(COUNTIF(S14_Growth_Model_ExAnte!$AZ$15:$AZ$81,$C35)&gt;0,SUMIF(S14_Growth_Model_ExAnte!$AZ$15:$AZ$81,$C35,S14_Growth_Model_ExAnte!$I$15:$I$81)/COUNTIF(S14_Growth_Model_ExAnte!$AZ$15:$AZ$81,$C35),0))))*$O35*S08_Defaults!$B$6*(1+S08_Defaults!$B$7)*S08_Defaults!$B$8</x:f>
        <x:v>0</x:v>
      </x:c>
      <x:c r="U35" s="115" t="n">
        <x:f aca="0">(IF($K35&gt;=2,SUMIF(S14_Growth_Model_ExAnte!$C$15:$C$81,$B35,S14_Growth_Model_ExAnte!$J$15:$J$81)/$K35,IF($L35&gt;=2,SUMIF(S14_Growth_Model_ExAnte!$AY$15:$AY$81,$C35&amp;"|"&amp;$D35,S14_Growth_Model_ExAnte!$J$15:$J$81)/$L35,IF(COUNTIF(S14_Growth_Model_ExAnte!$AZ$15:$AZ$81,$C35)&gt;0,SUMIF(S14_Growth_Model_ExAnte!$AZ$15:$AZ$81,$C35,S14_Growth_Model_ExAnte!$J$15:$J$81)/COUNTIF(S14_Growth_Model_ExAnte!$AZ$15:$AZ$81,$C35),0))))*$O35*S08_Defaults!$B$6*(1+S08_Defaults!$B$7)*S08_Defaults!$B$8</x:f>
        <x:v>4.864334809348277</x:v>
      </x:c>
      <x:c r="V35" s="115" t="n">
        <x:f aca="0">(IF($K35&gt;=2,SUMIF(S14_Growth_Model_ExAnte!$C$15:$C$81,$B35,S14_Growth_Model_ExAnte!$K$15:$K$81)/$K35,IF($L35&gt;=2,SUMIF(S14_Growth_Model_ExAnte!$AY$15:$AY$81,$C35&amp;"|"&amp;$D35,S14_Growth_Model_ExAnte!$K$15:$K$81)/$L35,IF(COUNTIF(S14_Growth_Model_ExAnte!$AZ$15:$AZ$81,$C35)&gt;0,SUMIF(S14_Growth_Model_ExAnte!$AZ$15:$AZ$81,$C35,S14_Growth_Model_ExAnte!$K$15:$K$81)/COUNTIF(S14_Growth_Model_ExAnte!$AZ$15:$AZ$81,$C35),0))))*$O35*S08_Defaults!$B$6*(1+S08_Defaults!$B$7)*S08_Defaults!$B$8</x:f>
        <x:v>47.64642321511868</x:v>
      </x:c>
      <x:c r="W35" s="115" t="n">
        <x:f aca="0">(IF($K35&gt;=2,SUMIF(S14_Growth_Model_ExAnte!$C$15:$C$81,$B35,S14_Growth_Model_ExAnte!$L$15:$L$81)/$K35,IF($L35&gt;=2,SUMIF(S14_Growth_Model_ExAnte!$AY$15:$AY$81,$C35&amp;"|"&amp;$D35,S14_Growth_Model_ExAnte!$L$15:$L$81)/$L35,IF(COUNTIF(S14_Growth_Model_ExAnte!$AZ$15:$AZ$81,$C35)&gt;0,SUMIF(S14_Growth_Model_ExAnte!$AZ$15:$AZ$81,$C35,S14_Growth_Model_ExAnte!$L$15:$L$81)/COUNTIF(S14_Growth_Model_ExAnte!$AZ$15:$AZ$81,$C35),0))))*$O35*S08_Defaults!$B$6*(1+S08_Defaults!$B$7)*S08_Defaults!$B$8</x:f>
        <x:v>162.19659930981175</x:v>
      </x:c>
      <x:c r="X35" s="115" t="n">
        <x:f aca="0">(IF($K35&gt;=2,SUMIF(S14_Growth_Model_ExAnte!$C$15:$C$81,$B35,S14_Growth_Model_ExAnte!$M$15:$M$81)/$K35,IF($L35&gt;=2,SUMIF(S14_Growth_Model_ExAnte!$AY$15:$AY$81,$C35&amp;"|"&amp;$D35,S14_Growth_Model_ExAnte!$M$15:$M$81)/$L35,IF(COUNTIF(S14_Growth_Model_ExAnte!$AZ$15:$AZ$81,$C35)&gt;0,SUMIF(S14_Growth_Model_ExAnte!$AZ$15:$AZ$81,$C35,S14_Growth_Model_ExAnte!$M$15:$M$81)/COUNTIF(S14_Growth_Model_ExAnte!$AZ$15:$AZ$81,$C35),0))))*$O35*S08_Defaults!$B$6*(1+S08_Defaults!$B$7)*S08_Defaults!$B$8</x:f>
        <x:v>362.08052090045476</x:v>
      </x:c>
      <x:c r="Y35" s="115" t="n">
        <x:f aca="0">(IF($K35&gt;=2,SUMIF(S14_Growth_Model_ExAnte!$C$15:$C$81,$B35,S14_Growth_Model_ExAnte!$N$15:$N$81)/$K35,IF($L35&gt;=2,SUMIF(S14_Growth_Model_ExAnte!$AY$15:$AY$81,$C35&amp;"|"&amp;$D35,S14_Growth_Model_ExAnte!$N$15:$N$81)/$L35,IF(COUNTIF(S14_Growth_Model_ExAnte!$AZ$15:$AZ$81,$C35)&gt;0,SUMIF(S14_Growth_Model_ExAnte!$AZ$15:$AZ$81,$C35,S14_Growth_Model_ExAnte!$N$15:$N$81)/COUNTIF(S14_Growth_Model_ExAnte!$AZ$15:$AZ$81,$C35),0))))*$O35*S08_Defaults!$B$6*(1+S08_Defaults!$B$7)*S08_Defaults!$B$8</x:f>
        <x:v>640.3257868594634</x:v>
      </x:c>
      <x:c r="Z35" s="115" t="n">
        <x:f aca="0">(IF($K35&gt;=2,SUMIF(S14_Growth_Model_ExAnte!$C$15:$C$81,$B35,S14_Growth_Model_ExAnte!$O$15:$O$81)/$K35,IF($L35&gt;=2,SUMIF(S14_Growth_Model_ExAnte!$AY$15:$AY$81,$C35&amp;"|"&amp;$D35,S14_Growth_Model_ExAnte!$O$15:$O$81)/$L35,IF(COUNTIF(S14_Growth_Model_ExAnte!$AZ$15:$AZ$81,$C35)&gt;0,SUMIF(S14_Growth_Model_ExAnte!$AZ$15:$AZ$81,$C35,S14_Growth_Model_ExAnte!$O$15:$O$81)/COUNTIF(S14_Growth_Model_ExAnte!$AZ$15:$AZ$81,$C35),0))))*$O35*S08_Defaults!$B$6*(1+S08_Defaults!$B$7)*S08_Defaults!$B$8</x:f>
        <x:v>980.1758140909432</x:v>
      </x:c>
      <x:c r="AA35" s="115" t="n">
        <x:f aca="0">(IF($K35&gt;=2,SUMIF(S14_Growth_Model_ExAnte!$C$15:$C$81,$B35,S14_Growth_Model_ExAnte!$P$15:$P$81)/$K35,IF($L35&gt;=2,SUMIF(S14_Growth_Model_ExAnte!$AY$15:$AY$81,$C35&amp;"|"&amp;$D35,S14_Growth_Model_ExAnte!$P$15:$P$81)/$L35,IF(COUNTIF(S14_Growth_Model_ExAnte!$AZ$15:$AZ$81,$C35)&gt;0,SUMIF(S14_Growth_Model_ExAnte!$AZ$15:$AZ$81,$C35,S14_Growth_Model_ExAnte!$P$15:$P$81)/COUNTIF(S14_Growth_Model_ExAnte!$AZ$15:$AZ$81,$C35),0))))*$O35*S08_Defaults!$B$6*(1+S08_Defaults!$B$7)*S08_Defaults!$B$8</x:f>
        <x:v>1361.4419761258862</x:v>
      </x:c>
      <x:c r="AB35" s="115" t="n">
        <x:f aca="0">(IF($K35&gt;=2,SUMIF(S14_Growth_Model_ExAnte!$C$15:$C$81,$B35,S14_Growth_Model_ExAnte!$Q$15:$Q$81)/$K35,IF($L35&gt;=2,SUMIF(S14_Growth_Model_ExAnte!$AY$15:$AY$81,$C35&amp;"|"&amp;$D35,S14_Growth_Model_ExAnte!$Q$15:$Q$81)/$L35,IF(COUNTIF(S14_Growth_Model_ExAnte!$AZ$15:$AZ$81,$C35)&gt;0,SUMIF(S14_Growth_Model_ExAnte!$AZ$15:$AZ$81,$C35,S14_Growth_Model_ExAnte!$Q$15:$Q$81)/COUNTIF(S14_Growth_Model_ExAnte!$AZ$15:$AZ$81,$C35),0))))*$O35*S08_Defaults!$B$6*(1+S08_Defaults!$B$7)*S08_Defaults!$B$8</x:f>
        <x:v>1764.717370128752</x:v>
      </x:c>
      <x:c r="AC35" s="115" t="n">
        <x:f aca="0">(IF($K35&gt;=2,SUMIF(S14_Growth_Model_ExAnte!$C$15:$C$81,$B35,S14_Growth_Model_ExAnte!$R$15:$R$81)/$K35,IF($L35&gt;=2,SUMIF(S14_Growth_Model_ExAnte!$AY$15:$AY$81,$C35&amp;"|"&amp;$D35,S14_Growth_Model_ExAnte!$R$15:$R$81)/$L35,IF(COUNTIF(S14_Growth_Model_ExAnte!$AZ$15:$AZ$81,$C35)&gt;0,SUMIF(S14_Growth_Model_ExAnte!$AZ$15:$AZ$81,$C35,S14_Growth_Model_ExAnte!$R$15:$R$81)/COUNTIF(S14_Growth_Model_ExAnte!$AZ$15:$AZ$81,$C35),0))))*$O35*S08_Defaults!$B$6*(1+S08_Defaults!$B$7)*S08_Defaults!$B$8</x:f>
        <x:v>2173.4861233025404</x:v>
      </x:c>
      <x:c r="AD35" s="115" t="n">
        <x:f aca="0">(IF($K35&gt;=2,SUMIF(S14_Growth_Model_ExAnte!$C$15:$C$81,$B35,S14_Growth_Model_ExAnte!$S$15:$S$81)/$K35,IF($L35&gt;=2,SUMIF(S14_Growth_Model_ExAnte!$AY$15:$AY$81,$C35&amp;"|"&amp;$D35,S14_Growth_Model_ExAnte!$S$15:$S$81)/$L35,IF(COUNTIF(S14_Growth_Model_ExAnte!$AZ$15:$AZ$81,$C35)&gt;0,SUMIF(S14_Growth_Model_ExAnte!$AZ$15:$AZ$81,$C35,S14_Growth_Model_ExAnte!$S$15:$S$81)/COUNTIF(S14_Growth_Model_ExAnte!$AZ$15:$AZ$81,$C35),0))))*$O35*S08_Defaults!$B$6*(1+S08_Defaults!$B$7)*S08_Defaults!$B$8</x:f>
        <x:v>2574.853055526109</x:v>
      </x:c>
      <x:c r="AE35" s="115" t="n">
        <x:f aca="0">(IF($K35&gt;=2,SUMIF(S14_Growth_Model_ExAnte!$C$15:$C$81,$B35,S14_Growth_Model_ExAnte!$T$15:$T$81)/$K35,IF($L35&gt;=2,SUMIF(S14_Growth_Model_ExAnte!$AY$15:$AY$81,$C35&amp;"|"&amp;$D35,S14_Growth_Model_ExAnte!$T$15:$T$81)/$L35,IF(COUNTIF(S14_Growth_Model_ExAnte!$AZ$15:$AZ$81,$C35)&gt;0,SUMIF(S14_Growth_Model_ExAnte!$AZ$15:$AZ$81,$C35,S14_Growth_Model_ExAnte!$T$15:$T$81)/COUNTIF(S14_Growth_Model_ExAnte!$AZ$15:$AZ$81,$C35),0))))*$O35*S08_Defaults!$B$6*(1+S08_Defaults!$B$7)*S08_Defaults!$B$8</x:f>
        <x:v>2959.4855495738652</x:v>
      </x:c>
      <x:c r="AF35" s="115" t="n">
        <x:f aca="0">(IF($K35&gt;=2,SUMIF(S14_Growth_Model_ExAnte!$C$15:$C$81,$B35,S14_Growth_Model_ExAnte!$U$15:$U$81)/$K35,IF($L35&gt;=2,SUMIF(S14_Growth_Model_ExAnte!$AY$15:$AY$81,$C35&amp;"|"&amp;$D35,S14_Growth_Model_ExAnte!$U$15:$U$81)/$L35,IF(COUNTIF(S14_Growth_Model_ExAnte!$AZ$15:$AZ$81,$C35)&gt;0,SUMIF(S14_Growth_Model_ExAnte!$AZ$15:$AZ$81,$C35,S14_Growth_Model_ExAnte!$U$15:$U$81)/COUNTIF(S14_Growth_Model_ExAnte!$AZ$15:$AZ$81,$C35),0))))*$O35*S08_Defaults!$B$6*(1+S08_Defaults!$B$7)*S08_Defaults!$B$8</x:f>
        <x:v>3321.1708737247495</x:v>
      </x:c>
      <x:c r="AG35" s="115" t="n">
        <x:f aca="0">(IF($K35&gt;=2,SUMIF(S14_Growth_Model_ExAnte!$C$15:$C$81,$B35,S14_Growth_Model_ExAnte!$V$15:$V$81)/$K35,IF($L35&gt;=2,SUMIF(S14_Growth_Model_ExAnte!$AY$15:$AY$81,$C35&amp;"|"&amp;$D35,S14_Growth_Model_ExAnte!$V$15:$V$81)/$L35,IF(COUNTIF(S14_Growth_Model_ExAnte!$AZ$15:$AZ$81,$C35)&gt;0,SUMIF(S14_Growth_Model_ExAnte!$AZ$15:$AZ$81,$C35,S14_Growth_Model_ExAnte!$V$15:$V$81)/COUNTIF(S14_Growth_Model_ExAnte!$AZ$15:$AZ$81,$C35),0))))*$O35*S08_Defaults!$B$6*(1+S08_Defaults!$B$7)*S08_Defaults!$B$8</x:f>
        <x:v>3656.2350860755096</x:v>
      </x:c>
      <x:c r="AH35" s="115" t="n">
        <x:f aca="0">(IF($K35&gt;=2,SUMIF(S14_Growth_Model_ExAnte!$C$15:$C$81,$B35,S14_Growth_Model_ExAnte!$W$15:$W$81)/$K35,IF($L35&gt;=2,SUMIF(S14_Growth_Model_ExAnte!$AY$15:$AY$81,$C35&amp;"|"&amp;$D35,S14_Growth_Model_ExAnte!$W$15:$W$81)/$L35,IF(COUNTIF(S14_Growth_Model_ExAnte!$AZ$15:$AZ$81,$C35)&gt;0,SUMIF(S14_Growth_Model_ExAnte!$AZ$15:$AZ$81,$C35,S14_Growth_Model_ExAnte!$W$15:$W$81)/COUNTIF(S14_Growth_Model_ExAnte!$AZ$15:$AZ$81,$C35),0))))*$O35*S08_Defaults!$B$6*(1+S08_Defaults!$B$7)*S08_Defaults!$B$8</x:f>
        <x:v>3962.9594832538137</x:v>
      </x:c>
      <x:c r="AI35" s="115" t="n">
        <x:f aca="0">(IF($K35&gt;=2,SUMIF(S14_Growth_Model_ExAnte!$C$15:$C$81,$B35,S14_Growth_Model_ExAnte!$X$15:$X$81)/$K35,IF($L35&gt;=2,SUMIF(S14_Growth_Model_ExAnte!$AY$15:$AY$81,$C35&amp;"|"&amp;$D35,S14_Growth_Model_ExAnte!$X$15:$X$81)/$L35,IF(COUNTIF(S14_Growth_Model_ExAnte!$AZ$15:$AZ$81,$C35)&gt;0,SUMIF(S14_Growth_Model_ExAnte!$AZ$15:$AZ$81,$C35,S14_Growth_Model_ExAnte!$X$15:$X$81)/COUNTIF(S14_Growth_Model_ExAnte!$AZ$15:$AZ$81,$C35),0))))*$O35*S08_Defaults!$B$6*(1+S08_Defaults!$B$7)*S08_Defaults!$B$8</x:f>
        <x:v>4241.060475229273</x:v>
      </x:c>
      <x:c r="AJ35" s="115" t="n">
        <x:f aca="0">(IF($K35&gt;=2,SUMIF(S14_Growth_Model_ExAnte!$C$15:$C$81,$B35,S14_Growth_Model_ExAnte!$Y$15:$Y$81)/$K35,IF($L35&gt;=2,SUMIF(S14_Growth_Model_ExAnte!$AY$15:$AY$81,$C35&amp;"|"&amp;$D35,S14_Growth_Model_ExAnte!$Y$15:$Y$81)/$L35,IF(COUNTIF(S14_Growth_Model_ExAnte!$AZ$15:$AZ$81,$C35)&gt;0,SUMIF(S14_Growth_Model_ExAnte!$AZ$15:$AZ$81,$C35,S14_Growth_Model_ExAnte!$Y$15:$Y$81)/COUNTIF(S14_Growth_Model_ExAnte!$AZ$15:$AZ$81,$C35),0))))*$O35*S08_Defaults!$B$6*(1+S08_Defaults!$B$7)*S08_Defaults!$B$8</x:f>
        <x:v>4491.257480302552</x:v>
      </x:c>
      <x:c r="AK35" s="115" t="n">
        <x:f aca="0">(IF($K35&gt;=2,SUMIF(S14_Growth_Model_ExAnte!$C$15:$C$81,$B35,S14_Growth_Model_ExAnte!$Z$15:$Z$81)/$K35,IF($L35&gt;=2,SUMIF(S14_Growth_Model_ExAnte!$AY$15:$AY$81,$C35&amp;"|"&amp;$D35,S14_Growth_Model_ExAnte!$Z$15:$Z$81)/$L35,IF(COUNTIF(S14_Growth_Model_ExAnte!$AZ$15:$AZ$81,$C35)&gt;0,SUMIF(S14_Growth_Model_ExAnte!$AZ$15:$AZ$81,$C35,S14_Growth_Model_ExAnte!$Z$15:$Z$81)/COUNTIF(S14_Growth_Model_ExAnte!$AZ$15:$AZ$81,$C35),0))))*$O35*S08_Defaults!$B$6*(1+S08_Defaults!$B$7)*S08_Defaults!$B$8</x:f>
        <x:v>4714.931007111416</x:v>
      </x:c>
      <x:c r="AL35" s="115" t="n">
        <x:f aca="0">(IF($K35&gt;=2,SUMIF(S14_Growth_Model_ExAnte!$C$15:$C$81,$B35,S14_Growth_Model_ExAnte!$AA$15:$AA$81)/$K35,IF($L35&gt;=2,SUMIF(S14_Growth_Model_ExAnte!$AY$15:$AY$81,$C35&amp;"|"&amp;$D35,S14_Growth_Model_ExAnte!$AA$15:$AA$81)/$L35,IF(COUNTIF(S14_Growth_Model_ExAnte!$AZ$15:$AZ$81,$C35)&gt;0,SUMIF(S14_Growth_Model_ExAnte!$AZ$15:$AZ$81,$C35,S14_Growth_Model_ExAnte!$AA$15:$AA$81)/COUNTIF(S14_Growth_Model_ExAnte!$AZ$15:$AZ$81,$C35),0))))*$O35*S08_Defaults!$B$6*(1+S08_Defaults!$B$7)*S08_Defaults!$B$8</x:f>
        <x:v>4913.862228644655</x:v>
      </x:c>
      <x:c r="AM35" s="115" t="n">
        <x:f aca="0">R35</x:f>
        <x:v>0</x:v>
      </x:c>
      <x:c r="AN35" s="115" t="n">
        <x:f aca="0">S35-R35</x:f>
        <x:v>0</x:v>
      </x:c>
      <x:c r="AO35" s="115" t="n">
        <x:f aca="0">T35-S35</x:f>
        <x:v>0</x:v>
      </x:c>
      <x:c r="AP35" s="115" t="n">
        <x:f aca="0">U35-T35</x:f>
        <x:v>4.864334809348277</x:v>
      </x:c>
      <x:c r="AQ35" s="115" t="n">
        <x:f aca="0">V35-U35</x:f>
        <x:v>42.7820884057704</x:v>
      </x:c>
      <x:c r="AR35" s="115" t="n">
        <x:f aca="0">W35-V35</x:f>
        <x:v>114.55017609469306</x:v>
      </x:c>
      <x:c r="AS35" s="115" t="n">
        <x:f aca="0">X35-W35</x:f>
        <x:v>199.883921590643</x:v>
      </x:c>
      <x:c r="AT35" s="115" t="n">
        <x:f aca="0">Y35-X35</x:f>
        <x:v>278.24526595900863</x:v>
      </x:c>
      <x:c r="AU35" s="115" t="n">
        <x:f aca="0">Z35-Y35</x:f>
        <x:v>339.85002723147977</x:v>
      </x:c>
      <x:c r="AV35" s="115" t="n">
        <x:f aca="0">AA35-Z35</x:f>
        <x:v>381.266162034943</x:v>
      </x:c>
      <x:c r="AW35" s="115" t="n">
        <x:f aca="0">AB35-AA35</x:f>
        <x:v>403.2753940028658</x:v>
      </x:c>
      <x:c r="AX35" s="115" t="n">
        <x:f aca="0">AC35-AB35</x:f>
        <x:v>408.76875317378835</x:v>
      </x:c>
      <x:c r="AY35" s="115" t="n">
        <x:f aca="0">AD35-AC35</x:f>
        <x:v>401.3669322235687</x:v>
      </x:c>
      <x:c r="AZ35" s="115" t="n">
        <x:f aca="0">AE35-AD35</x:f>
        <x:v>384.63249404775615</x:v>
      </x:c>
      <x:c r="BA35" s="115" t="n">
        <x:f aca="0">AF35-AE35</x:f>
        <x:v>361.6853241508843</x:v>
      </x:c>
      <x:c r="BB35" s="115" t="n">
        <x:f aca="0">AG35-AF35</x:f>
        <x:v>335.06421235076004</x:v>
      </x:c>
      <x:c r="BC35" s="115" t="n">
        <x:f aca="0">AH35-AG35</x:f>
        <x:v>306.7243971783041</x:v>
      </x:c>
      <x:c r="BD35" s="115" t="n">
        <x:f aca="0">AI35-AH35</x:f>
        <x:v>278.10099197545924</x:v>
      </x:c>
      <x:c r="BE35" s="115" t="n">
        <x:f aca="0">AJ35-AI35</x:f>
        <x:v>250.1970050732789</x:v>
      </x:c>
      <x:c r="BF35" s="115" t="n">
        <x:f aca="0">AK35-AJ35</x:f>
        <x:v>223.67352680886415</x:v>
      </x:c>
      <x:c r="BG35" s="115" t="n">
        <x:f aca="0">AL35-AK35</x:f>
        <x:v>198.9312215332393</x:v>
      </x:c>
    </x:row>
    <x:row r="36" ht="15" hidden="0" customHeight="1">
      <x:c r="A36" s="160" t="str">
        <x:f aca="0">"S"&amp;TEXT(ROW()-3,"00")</x:f>
        <x:v>S33</x:v>
      </x:c>
      <x:c r="B36" s="161" t="s">
        <x:v>644</x:v>
      </x:c>
      <x:c r="C36" s="160" t="str">
        <x:f aca="0">LEFT($B36,FIND("|",$B36)-1)</x:f>
        <x:v>Mixed Agroforestry</x:v>
      </x:c>
      <x:c r="D36" s="160" t="str">
        <x:f aca="0">MID($B36,FIND("|",$B36)+1,FIND("|",$B36,FIND("|",$B36)+1)-FIND("|",$B36)-1)</x:f>
        <x:v>High</x:v>
      </x:c>
      <x:c r="E36" s="160" t="n">
        <x:f aca="0">VALUE(RIGHT($B36,4))</x:f>
        <x:v>2022</x:v>
      </x:c>
      <x:c r="F36" s="115" t="n">
        <x:f aca="0">SUMIF(S17_Biome_Strata!$G$4:$G$95,$B36,S17_Biome_Strata!$E$4:$E$95)</x:f>
        <x:v>1</x:v>
      </x:c>
      <x:c r="G36" s="115" t="n">
        <x:f aca="0">SUMIF(S17_Biome_Strata!$G$4:$G$95,$B36,S17_Biome_Strata!$F$4:$F$95)</x:f>
        <x:v>0.869</x:v>
      </x:c>
      <x:c r="H36" s="115" t="n">
        <x:f aca="0">IF($K36&gt;=2,SUMIF(S14_Growth_Model_ExAnte!$C$15:$C$81,$B36,S14_Growth_Model_ExAnte!$M$15:$M$81)/$K36,IF($L36&gt;=2,SUMIF(S14_Growth_Model_ExAnte!$AY$15:$AY$81,$C36&amp;"|"&amp;$D36,S14_Growth_Model_ExAnte!$M$15:$M$81)/$L36,IF(COUNTIF(S14_Growth_Model_ExAnte!$AZ$15:$AZ$81,$C36)&gt;0,SUMIF(S14_Growth_Model_ExAnte!$AZ$15:$AZ$81,$C36,S14_Growth_Model_ExAnte!$M$15:$M$81)/COUNTIF(S14_Growth_Model_ExAnte!$AZ$15:$AZ$81,$C36),0)))</x:f>
        <x:v>211.76425129807433</x:v>
      </x:c>
      <x:c r="I36" s="115" t="n">
        <x:f aca="0">IF($K36&gt;=2,SQRT(MAX(0,(SUMIF(S14_Growth_Model_ExAnte!$C$15:$C$81,$B36,S14_Growth_Model_ExAnte!$BE$15:$BE$81)-SUMIF(S14_Growth_Model_ExAnte!$C$15:$C$81,$B36,S14_Growth_Model_ExAnte!$M$15:$M$81)*SUMIF(S14_Growth_Model_ExAnte!$C$15:$C$81,$B36,S14_Growth_Model_ExAnte!$M$15:$M$81)/$K36)/($K36-1))),IF($L36&gt;=2,SQRT(MAX(0,(SUMIF(S14_Growth_Model_ExAnte!$AY$15:$AY$81,$C36&amp;"|"&amp;$D36,S14_Growth_Model_ExAnte!$BE$15:$BE$81)-SUMIF(S14_Growth_Model_ExAnte!$AY$15:$AY$81,$C36&amp;"|"&amp;$D36,S14_Growth_Model_ExAnte!$M$15:$M$81)*SUMIF(S14_Growth_Model_ExAnte!$AY$15:$AY$81,$C36&amp;"|"&amp;$D36,S14_Growth_Model_ExAnte!$M$15:$M$81)/$L36)/($L36-1))),IF(COUNTIF(S14_Growth_Model_ExAnte!$AZ$15:$AZ$81,$C36)&gt;=2,SQRT(MAX(0,(SUMIF(S14_Growth_Model_ExAnte!$AZ$15:$AZ$81,$C36,S14_Growth_Model_ExAnte!$BE$15:$BE$81)-SUMIF(S14_Growth_Model_ExAnte!$AZ$15:$AZ$81,$C36,S14_Growth_Model_ExAnte!$M$15:$M$81)*SUMIF(S14_Growth_Model_ExAnte!$AZ$15:$AZ$81,$C36,S14_Growth_Model_ExAnte!$M$15:$M$81)/COUNTIF(S14_Growth_Model_ExAnte!$AZ$15:$AZ$81,$C36))/(COUNTIF(S14_Growth_Model_ExAnte!$AZ$15:$AZ$81,$C36)-1))),0)))</x:f>
        <x:v>179.91226003184036</x:v>
      </x:c>
      <x:c r="J36" s="115" t="n">
        <x:f aca="0">IFERROR(I36/H36,0)</x:f>
        <x:v>0.8495874961378639</x:v>
      </x:c>
      <x:c r="K36" s="115" t="n">
        <x:f aca="0">COUNTIF(S14_Growth_Model_ExAnte!$C$15:$C$81,$B36)</x:f>
        <x:v>1</x:v>
      </x:c>
      <x:c r="L36" s="115" t="n">
        <x:f aca="0">COUNTIF(S14_Growth_Model_ExAnte!$AY$15:$AY$81,$C36&amp;"|"&amp;$D36)</x:f>
        <x:v>3</x:v>
      </x:c>
      <x:c r="M36" s="115" t="n">
        <x:f aca="0">$H36</x:f>
        <x:v>211.76425129807433</x:v>
      </x:c>
      <x:c r="N36" s="115" t="n">
        <x:f aca="0">MAX(0,$M36*S08_Defaults!$B$5)</x:f>
        <x:v>158.82318847355575</x:v>
      </x:c>
      <x:c r="O36" s="115" t="n">
        <x:f aca="0">IFERROR($N36/$M36,0)</x:f>
        <x:v>0.75</x:v>
      </x:c>
      <x:c r="P36" s="115" t="str">
        <x:f aca="0">IF($K36&gt;=2,"Exact Stratum PSP Chapman-Richards curve",IF($L36&gt;=2,"Model×Density pooled Chapman-Richards curve","Model pooled Chapman-Richards curve"))</x:f>
        <x:v>Model×Density pooled Chapman-Richards curve</x:v>
      </x:c>
      <x:c r="Q36" s="162" t="s">
        <x:v>1106</x:v>
      </x:c>
      <x:c r="R36" s="115" t="n">
        <x:f aca="0">0</x:f>
        <x:v>0</x:v>
      </x:c>
      <x:c r="S36" s="115" t="n">
        <x:f aca="0">0</x:f>
        <x:v>0</x:v>
      </x:c>
      <x:c r="T36" s="115" t="n">
        <x:f aca="0">(IF($K36&gt;=2,SUMIF(S14_Growth_Model_ExAnte!$C$15:$C$81,$B36,S14_Growth_Model_ExAnte!$I$15:$I$81)/$K36,IF($L36&gt;=2,SUMIF(S14_Growth_Model_ExAnte!$AY$15:$AY$81,$C36&amp;"|"&amp;$D36,S14_Growth_Model_ExAnte!$I$15:$I$81)/$L36,IF(COUNTIF(S14_Growth_Model_ExAnte!$AZ$15:$AZ$81,$C36)&gt;0,SUMIF(S14_Growth_Model_ExAnte!$AZ$15:$AZ$81,$C36,S14_Growth_Model_ExAnte!$I$15:$I$81)/COUNTIF(S14_Growth_Model_ExAnte!$AZ$15:$AZ$81,$C36),0))))*$O36*S08_Defaults!$B$6*(1+S08_Defaults!$B$7)*S08_Defaults!$B$8</x:f>
        <x:v>0</x:v>
      </x:c>
      <x:c r="U36" s="115" t="n">
        <x:f aca="0">(IF($K36&gt;=2,SUMIF(S14_Growth_Model_ExAnte!$C$15:$C$81,$B36,S14_Growth_Model_ExAnte!$J$15:$J$81)/$K36,IF($L36&gt;=2,SUMIF(S14_Growth_Model_ExAnte!$AY$15:$AY$81,$C36&amp;"|"&amp;$D36,S14_Growth_Model_ExAnte!$J$15:$J$81)/$L36,IF(COUNTIF(S14_Growth_Model_ExAnte!$AZ$15:$AZ$81,$C36)&gt;0,SUMIF(S14_Growth_Model_ExAnte!$AZ$15:$AZ$81,$C36,S14_Growth_Model_ExAnte!$J$15:$J$81)/COUNTIF(S14_Growth_Model_ExAnte!$AZ$15:$AZ$81,$C36),0))))*$O36*S08_Defaults!$B$6*(1+S08_Defaults!$B$7)*S08_Defaults!$B$8</x:f>
        <x:v>4.071273442230747</x:v>
      </x:c>
      <x:c r="V36" s="115" t="n">
        <x:f aca="0">(IF($K36&gt;=2,SUMIF(S14_Growth_Model_ExAnte!$C$15:$C$81,$B36,S14_Growth_Model_ExAnte!$K$15:$K$81)/$K36,IF($L36&gt;=2,SUMIF(S14_Growth_Model_ExAnte!$AY$15:$AY$81,$C36&amp;"|"&amp;$D36,S14_Growth_Model_ExAnte!$K$15:$K$81)/$L36,IF(COUNTIF(S14_Growth_Model_ExAnte!$AZ$15:$AZ$81,$C36)&gt;0,SUMIF(S14_Growth_Model_ExAnte!$AZ$15:$AZ$81,$C36,S14_Growth_Model_ExAnte!$K$15:$K$81)/COUNTIF(S14_Growth_Model_ExAnte!$AZ$15:$AZ$81,$C36),0))))*$O36*S08_Defaults!$B$6*(1+S08_Defaults!$B$7)*S08_Defaults!$B$8</x:f>
        <x:v>42.03447362844278</x:v>
      </x:c>
      <x:c r="W36" s="115" t="n">
        <x:f aca="0">(IF($K36&gt;=2,SUMIF(S14_Growth_Model_ExAnte!$C$15:$C$81,$B36,S14_Growth_Model_ExAnte!$L$15:$L$81)/$K36,IF($L36&gt;=2,SUMIF(S14_Growth_Model_ExAnte!$AY$15:$AY$81,$C36&amp;"|"&amp;$D36,S14_Growth_Model_ExAnte!$L$15:$L$81)/$L36,IF(COUNTIF(S14_Growth_Model_ExAnte!$AZ$15:$AZ$81,$C36)&gt;0,SUMIF(S14_Growth_Model_ExAnte!$AZ$15:$AZ$81,$C36,S14_Growth_Model_ExAnte!$L$15:$L$81)/COUNTIF(S14_Growth_Model_ExAnte!$AZ$15:$AZ$81,$C36),0))))*$O36*S08_Defaults!$B$6*(1+S08_Defaults!$B$7)*S08_Defaults!$B$8</x:f>
        <x:v>148.1184973141217</x:v>
      </x:c>
      <x:c r="X36" s="115" t="n">
        <x:f aca="0">(IF($K36&gt;=2,SUMIF(S14_Growth_Model_ExAnte!$C$15:$C$81,$B36,S14_Growth_Model_ExAnte!$M$15:$M$81)/$K36,IF($L36&gt;=2,SUMIF(S14_Growth_Model_ExAnte!$AY$15:$AY$81,$C36&amp;"|"&amp;$D36,S14_Growth_Model_ExAnte!$M$15:$M$81)/$L36,IF(COUNTIF(S14_Growth_Model_ExAnte!$AZ$15:$AZ$81,$C36)&gt;0,SUMIF(S14_Growth_Model_ExAnte!$AZ$15:$AZ$81,$C36,S14_Growth_Model_ExAnte!$M$15:$M$81)/COUNTIF(S14_Growth_Model_ExAnte!$AZ$15:$AZ$81,$C36),0))))*$O36*S08_Defaults!$B$6*(1+S08_Defaults!$B$7)*S08_Defaults!$B$8</x:f>
        <x:v>339.39456555542404</x:v>
      </x:c>
      <x:c r="Y36" s="115" t="n">
        <x:f aca="0">(IF($K36&gt;=2,SUMIF(S14_Growth_Model_ExAnte!$C$15:$C$81,$B36,S14_Growth_Model_ExAnte!$N$15:$N$81)/$K36,IF($L36&gt;=2,SUMIF(S14_Growth_Model_ExAnte!$AY$15:$AY$81,$C36&amp;"|"&amp;$D36,S14_Growth_Model_ExAnte!$N$15:$N$81)/$L36,IF(COUNTIF(S14_Growth_Model_ExAnte!$AZ$15:$AZ$81,$C36)&gt;0,SUMIF(S14_Growth_Model_ExAnte!$AZ$15:$AZ$81,$C36,S14_Growth_Model_ExAnte!$N$15:$N$81)/COUNTIF(S14_Growth_Model_ExAnte!$AZ$15:$AZ$81,$C36),0))))*$O36*S08_Defaults!$B$6*(1+S08_Defaults!$B$7)*S08_Defaults!$B$8</x:f>
        <x:v>612.9441002623545</x:v>
      </x:c>
      <x:c r="Z36" s="115" t="n">
        <x:f aca="0">(IF($K36&gt;=2,SUMIF(S14_Growth_Model_ExAnte!$C$15:$C$81,$B36,S14_Growth_Model_ExAnte!$O$15:$O$81)/$K36,IF($L36&gt;=2,SUMIF(S14_Growth_Model_ExAnte!$AY$15:$AY$81,$C36&amp;"|"&amp;$D36,S14_Growth_Model_ExAnte!$O$15:$O$81)/$L36,IF(COUNTIF(S14_Growth_Model_ExAnte!$AZ$15:$AZ$81,$C36)&gt;0,SUMIF(S14_Growth_Model_ExAnte!$AZ$15:$AZ$81,$C36,S14_Growth_Model_ExAnte!$O$15:$O$81)/COUNTIF(S14_Growth_Model_ExAnte!$AZ$15:$AZ$81,$C36),0))))*$O36*S08_Defaults!$B$6*(1+S08_Defaults!$B$7)*S08_Defaults!$B$8</x:f>
        <x:v>954.812381582313</x:v>
      </x:c>
      <x:c r="AA36" s="115" t="n">
        <x:f aca="0">(IF($K36&gt;=2,SUMIF(S14_Growth_Model_ExAnte!$C$15:$C$81,$B36,S14_Growth_Model_ExAnte!$P$15:$P$81)/$K36,IF($L36&gt;=2,SUMIF(S14_Growth_Model_ExAnte!$AY$15:$AY$81,$C36&amp;"|"&amp;$D36,S14_Growth_Model_ExAnte!$P$15:$P$81)/$L36,IF(COUNTIF(S14_Growth_Model_ExAnte!$AZ$15:$AZ$81,$C36)&gt;0,SUMIF(S14_Growth_Model_ExAnte!$AZ$15:$AZ$81,$C36,S14_Growth_Model_ExAnte!$P$15:$P$81)/COUNTIF(S14_Growth_Model_ExAnte!$AZ$15:$AZ$81,$C36),0))))*$O36*S08_Defaults!$B$6*(1+S08_Defaults!$B$7)*S08_Defaults!$B$8</x:f>
        <x:v>1346.0675622786548</x:v>
      </x:c>
      <x:c r="AB36" s="115" t="n">
        <x:f aca="0">(IF($K36&gt;=2,SUMIF(S14_Growth_Model_ExAnte!$C$15:$C$81,$B36,S14_Growth_Model_ExAnte!$Q$15:$Q$81)/$K36,IF($L36&gt;=2,SUMIF(S14_Growth_Model_ExAnte!$AY$15:$AY$81,$C36&amp;"|"&amp;$D36,S14_Growth_Model_ExAnte!$Q$15:$Q$81)/$L36,IF(COUNTIF(S14_Growth_Model_ExAnte!$AZ$15:$AZ$81,$C36)&gt;0,SUMIF(S14_Growth_Model_ExAnte!$AZ$15:$AZ$81,$C36,S14_Growth_Model_ExAnte!$Q$15:$Q$81)/COUNTIF(S14_Growth_Model_ExAnte!$AZ$15:$AZ$81,$C36),0))))*$O36*S08_Defaults!$B$6*(1+S08_Defaults!$B$7)*S08_Defaults!$B$8</x:f>
        <x:v>1767.250467409925</x:v>
      </x:c>
      <x:c r="AC36" s="115" t="n">
        <x:f aca="0">(IF($K36&gt;=2,SUMIF(S14_Growth_Model_ExAnte!$C$15:$C$81,$B36,S14_Growth_Model_ExAnte!$R$15:$R$81)/$K36,IF($L36&gt;=2,SUMIF(S14_Growth_Model_ExAnte!$AY$15:$AY$81,$C36&amp;"|"&amp;$D36,S14_Growth_Model_ExAnte!$R$15:$R$81)/$L36,IF(COUNTIF(S14_Growth_Model_ExAnte!$AZ$15:$AZ$81,$C36)&gt;0,SUMIF(S14_Growth_Model_ExAnte!$AZ$15:$AZ$81,$C36,S14_Growth_Model_ExAnte!$R$15:$R$81)/COUNTIF(S14_Growth_Model_ExAnte!$AZ$15:$AZ$81,$C36),0))))*$O36*S08_Defaults!$B$6*(1+S08_Defaults!$B$7)*S08_Defaults!$B$8</x:f>
        <x:v>2200.9059702867635</x:v>
      </x:c>
      <x:c r="AD36" s="115" t="n">
        <x:f aca="0">(IF($K36&gt;=2,SUMIF(S14_Growth_Model_ExAnte!$C$15:$C$81,$B36,S14_Growth_Model_ExAnte!$S$15:$S$81)/$K36,IF($L36&gt;=2,SUMIF(S14_Growth_Model_ExAnte!$AY$15:$AY$81,$C36&amp;"|"&amp;$D36,S14_Growth_Model_ExAnte!$S$15:$S$81)/$L36,IF(COUNTIF(S14_Growth_Model_ExAnte!$AZ$15:$AZ$81,$C36)&gt;0,SUMIF(S14_Growth_Model_ExAnte!$AZ$15:$AZ$81,$C36,S14_Growth_Model_ExAnte!$S$15:$S$81)/COUNTIF(S14_Growth_Model_ExAnte!$AZ$15:$AZ$81,$C36),0))))*$O36*S08_Defaults!$B$6*(1+S08_Defaults!$B$7)*S08_Defaults!$B$8</x:f>
        <x:v>2632.7204740407246</x:v>
      </x:c>
      <x:c r="AE36" s="115" t="n">
        <x:f aca="0">(IF($K36&gt;=2,SUMIF(S14_Growth_Model_ExAnte!$C$15:$C$81,$B36,S14_Growth_Model_ExAnte!$T$15:$T$81)/$K36,IF($L36&gt;=2,SUMIF(S14_Growth_Model_ExAnte!$AY$15:$AY$81,$C36&amp;"|"&amp;$D36,S14_Growth_Model_ExAnte!$T$15:$T$81)/$L36,IF(COUNTIF(S14_Growth_Model_ExAnte!$AZ$15:$AZ$81,$C36)&gt;0,SUMIF(S14_Growth_Model_ExAnte!$AZ$15:$AZ$81,$C36,S14_Growth_Model_ExAnte!$T$15:$T$81)/COUNTIF(S14_Growth_Model_ExAnte!$AZ$15:$AZ$81,$C36),0))))*$O36*S08_Defaults!$B$6*(1+S08_Defaults!$B$7)*S08_Defaults!$B$8</x:f>
        <x:v>3051.7806157364394</x:v>
      </x:c>
      <x:c r="AF36" s="115" t="n">
        <x:f aca="0">(IF($K36&gt;=2,SUMIF(S14_Growth_Model_ExAnte!$C$15:$C$81,$B36,S14_Growth_Model_ExAnte!$U$15:$U$81)/$K36,IF($L36&gt;=2,SUMIF(S14_Growth_Model_ExAnte!$AY$15:$AY$81,$C36&amp;"|"&amp;$D36,S14_Growth_Model_ExAnte!$U$15:$U$81)/$L36,IF(COUNTIF(S14_Growth_Model_ExAnte!$AZ$15:$AZ$81,$C36)&gt;0,SUMIF(S14_Growth_Model_ExAnte!$AZ$15:$AZ$81,$C36,S14_Growth_Model_ExAnte!$U$15:$U$81)/COUNTIF(S14_Growth_Model_ExAnte!$AZ$15:$AZ$81,$C36),0))))*$O36*S08_Defaults!$B$6*(1+S08_Defaults!$B$7)*S08_Defaults!$B$8</x:f>
        <x:v>3450.3435968428034</x:v>
      </x:c>
      <x:c r="AG36" s="115" t="n">
        <x:f aca="0">(IF($K36&gt;=2,SUMIF(S14_Growth_Model_ExAnte!$C$15:$C$81,$B36,S14_Growth_Model_ExAnte!$V$15:$V$81)/$K36,IF($L36&gt;=2,SUMIF(S14_Growth_Model_ExAnte!$AY$15:$AY$81,$C36&amp;"|"&amp;$D36,S14_Growth_Model_ExAnte!$V$15:$V$81)/$L36,IF(COUNTIF(S14_Growth_Model_ExAnte!$AZ$15:$AZ$81,$C36)&gt;0,SUMIF(S14_Growth_Model_ExAnte!$AZ$15:$AZ$81,$C36,S14_Growth_Model_ExAnte!$V$15:$V$81)/COUNTIF(S14_Growth_Model_ExAnte!$AZ$15:$AZ$81,$C36),0))))*$O36*S08_Defaults!$B$6*(1+S08_Defaults!$B$7)*S08_Defaults!$B$8</x:f>
        <x:v>3823.379908651869</x:v>
      </x:c>
      <x:c r="AH36" s="115" t="n">
        <x:f aca="0">(IF($K36&gt;=2,SUMIF(S14_Growth_Model_ExAnte!$C$15:$C$81,$B36,S14_Growth_Model_ExAnte!$W$15:$W$81)/$K36,IF($L36&gt;=2,SUMIF(S14_Growth_Model_ExAnte!$AY$15:$AY$81,$C36&amp;"|"&amp;$D36,S14_Growth_Model_ExAnte!$W$15:$W$81)/$L36,IF(COUNTIF(S14_Growth_Model_ExAnte!$AZ$15:$AZ$81,$C36)&gt;0,SUMIF(S14_Growth_Model_ExAnte!$AZ$15:$AZ$81,$C36,S14_Growth_Model_ExAnte!$W$15:$W$81)/COUNTIF(S14_Growth_Model_ExAnte!$AZ$15:$AZ$81,$C36),0))))*$O36*S08_Defaults!$B$6*(1+S08_Defaults!$B$7)*S08_Defaults!$B$8</x:f>
        <x:v>4168.047170080652</x:v>
      </x:c>
      <x:c r="AI36" s="115" t="n">
        <x:f aca="0">(IF($K36&gt;=2,SUMIF(S14_Growth_Model_ExAnte!$C$15:$C$81,$B36,S14_Growth_Model_ExAnte!$X$15:$X$81)/$K36,IF($L36&gt;=2,SUMIF(S14_Growth_Model_ExAnte!$AY$15:$AY$81,$C36&amp;"|"&amp;$D36,S14_Growth_Model_ExAnte!$X$15:$X$81)/$L36,IF(COUNTIF(S14_Growth_Model_ExAnte!$AZ$15:$AZ$81,$C36)&gt;0,SUMIF(S14_Growth_Model_ExAnte!$AZ$15:$AZ$81,$C36,S14_Growth_Model_ExAnte!$X$15:$X$81)/COUNTIF(S14_Growth_Model_ExAnte!$AZ$15:$AZ$81,$C36),0))))*$O36*S08_Defaults!$B$6*(1+S08_Defaults!$B$7)*S08_Defaults!$B$8</x:f>
        <x:v>4483.182829750115</x:v>
      </x:c>
      <x:c r="AJ36" s="115" t="n">
        <x:f aca="0">(IF($K36&gt;=2,SUMIF(S14_Growth_Model_ExAnte!$C$15:$C$81,$B36,S14_Growth_Model_ExAnte!$Y$15:$Y$81)/$K36,IF($L36&gt;=2,SUMIF(S14_Growth_Model_ExAnte!$AY$15:$AY$81,$C36&amp;"|"&amp;$D36,S14_Growth_Model_ExAnte!$Y$15:$Y$81)/$L36,IF(COUNTIF(S14_Growth_Model_ExAnte!$AZ$15:$AZ$81,$C36)&gt;0,SUMIF(S14_Growth_Model_ExAnte!$AZ$15:$AZ$81,$C36,S14_Growth_Model_ExAnte!$Y$15:$Y$81)/COUNTIF(S14_Growth_Model_ExAnte!$AZ$15:$AZ$81,$C36),0))))*$O36*S08_Defaults!$B$6*(1+S08_Defaults!$B$7)*S08_Defaults!$B$8</x:f>
        <x:v>4768.857958304292</x:v>
      </x:c>
      <x:c r="AK36" s="115" t="n">
        <x:f aca="0">(IF($K36&gt;=2,SUMIF(S14_Growth_Model_ExAnte!$C$15:$C$81,$B36,S14_Growth_Model_ExAnte!$Z$15:$Z$81)/$K36,IF($L36&gt;=2,SUMIF(S14_Growth_Model_ExAnte!$AY$15:$AY$81,$C36&amp;"|"&amp;$D36,S14_Growth_Model_ExAnte!$Z$15:$Z$81)/$L36,IF(COUNTIF(S14_Growth_Model_ExAnte!$AZ$15:$AZ$81,$C36)&gt;0,SUMIF(S14_Growth_Model_ExAnte!$AZ$15:$AZ$81,$C36,S14_Growth_Model_ExAnte!$Z$15:$Z$81)/COUNTIF(S14_Growth_Model_ExAnte!$AZ$15:$AZ$81,$C36),0))))*$O36*S08_Defaults!$B$6*(1+S08_Defaults!$B$7)*S08_Defaults!$B$8</x:f>
        <x:v>5026.007110227666</x:v>
      </x:c>
      <x:c r="AL36" s="115" t="n">
        <x:f aca="0">(IF($K36&gt;=2,SUMIF(S14_Growth_Model_ExAnte!$C$15:$C$81,$B36,S14_Growth_Model_ExAnte!$AA$15:$AA$81)/$K36,IF($L36&gt;=2,SUMIF(S14_Growth_Model_ExAnte!$AY$15:$AY$81,$C36&amp;"|"&amp;$D36,S14_Growth_Model_ExAnte!$AA$15:$AA$81)/$L36,IF(COUNTIF(S14_Growth_Model_ExAnte!$AZ$15:$AZ$81,$C36)&gt;0,SUMIF(S14_Growth_Model_ExAnte!$AZ$15:$AZ$81,$C36,S14_Growth_Model_ExAnte!$AA$15:$AA$81)/COUNTIF(S14_Growth_Model_ExAnte!$AZ$15:$AZ$81,$C36),0))))*$O36*S08_Defaults!$B$6*(1+S08_Defaults!$B$7)*S08_Defaults!$B$8</x:f>
        <x:v>5256.134146966479</x:v>
      </x:c>
      <x:c r="AM36" s="115" t="n">
        <x:f aca="0">R36</x:f>
        <x:v>0</x:v>
      </x:c>
      <x:c r="AN36" s="115" t="n">
        <x:f aca="0">S36-R36</x:f>
        <x:v>0</x:v>
      </x:c>
      <x:c r="AO36" s="115" t="n">
        <x:f aca="0">T36-S36</x:f>
        <x:v>0</x:v>
      </x:c>
      <x:c r="AP36" s="115" t="n">
        <x:f aca="0">U36-T36</x:f>
        <x:v>4.071273442230747</x:v>
      </x:c>
      <x:c r="AQ36" s="115" t="n">
        <x:f aca="0">V36-U36</x:f>
        <x:v>37.963200186212035</x:v>
      </x:c>
      <x:c r="AR36" s="115" t="n">
        <x:f aca="0">W36-V36</x:f>
        <x:v>106.08402368567891</x:v>
      </x:c>
      <x:c r="AS36" s="115" t="n">
        <x:f aca="0">X36-W36</x:f>
        <x:v>191.27606824130234</x:v>
      </x:c>
      <x:c r="AT36" s="115" t="n">
        <x:f aca="0">Y36-X36</x:f>
        <x:v>273.54953470693044</x:v>
      </x:c>
      <x:c r="AU36" s="115" t="n">
        <x:f aca="0">Z36-Y36</x:f>
        <x:v>341.86828131995856</x:v>
      </x:c>
      <x:c r="AV36" s="115" t="n">
        <x:f aca="0">AA36-Z36</x:f>
        <x:v>391.25518069634177</x:v>
      </x:c>
      <x:c r="AW36" s="115" t="n">
        <x:f aca="0">AB36-AA36</x:f>
        <x:v>421.1829051312702</x:v>
      </x:c>
      <x:c r="AX36" s="115" t="n">
        <x:f aca="0">AC36-AB36</x:f>
        <x:v>433.65550287683845</x:v>
      </x:c>
      <x:c r="AY36" s="115" t="n">
        <x:f aca="0">AD36-AC36</x:f>
        <x:v>431.81450375396116</x:v>
      </x:c>
      <x:c r="AZ36" s="115" t="n">
        <x:f aca="0">AE36-AD36</x:f>
        <x:v>419.0601416957147</x:v>
      </x:c>
      <x:c r="BA36" s="115" t="n">
        <x:f aca="0">AF36-AE36</x:f>
        <x:v>398.5629811063641</x:v>
      </x:c>
      <x:c r="BB36" s="115" t="n">
        <x:f aca="0">AG36-AF36</x:f>
        <x:v>373.0363118090654</x:v>
      </x:c>
      <x:c r="BC36" s="115" t="n">
        <x:f aca="0">AH36-AG36</x:f>
        <x:v>344.66726142878315</x:v>
      </x:c>
      <x:c r="BD36" s="115" t="n">
        <x:f aca="0">AI36-AH36</x:f>
        <x:v>315.13565966946317</x:v>
      </x:c>
      <x:c r="BE36" s="115" t="n">
        <x:f aca="0">AJ36-AI36</x:f>
        <x:v>285.6751285541768</x:v>
      </x:c>
      <x:c r="BF36" s="115" t="n">
        <x:f aca="0">AK36-AJ36</x:f>
        <x:v>257.1491519233741</x:v>
      </x:c>
      <x:c r="BG36" s="115" t="n">
        <x:f aca="0">AL36-AK36</x:f>
        <x:v>230.12703673881333</x:v>
      </x:c>
    </x:row>
    <x:row r="37" ht="15" hidden="0" customHeight="1">
      <x:c r="A37" s="160" t="str">
        <x:f aca="0">"S"&amp;TEXT(ROW()-3,"00")</x:f>
        <x:v>S34</x:v>
      </x:c>
      <x:c r="B37" s="161" t="s">
        <x:v>1116</x:v>
      </x:c>
      <x:c r="C37" s="160" t="str">
        <x:f aca="0">LEFT($B37,FIND("|",$B37)-1)</x:f>
        <x:v>Fruit Orchard</x:v>
      </x:c>
      <x:c r="D37" s="160" t="str">
        <x:f aca="0">MID($B37,FIND("|",$B37)+1,FIND("|",$B37,FIND("|",$B37)+1)-FIND("|",$B37)-1)</x:f>
        <x:v>Medium</x:v>
      </x:c>
      <x:c r="E37" s="160" t="n">
        <x:f aca="0">VALUE(RIGHT($B37,4))</x:f>
        <x:v>2023</x:v>
      </x:c>
      <x:c r="F37" s="115" t="n">
        <x:f aca="0">SUMIF(S17_Biome_Strata!$G$4:$G$95,$B37,S17_Biome_Strata!$E$4:$E$95)</x:f>
        <x:v>11</x:v>
      </x:c>
      <x:c r="G37" s="115" t="n">
        <x:f aca="0">SUMIF(S17_Biome_Strata!$G$4:$G$95,$B37,S17_Biome_Strata!$F$4:$F$95)</x:f>
        <x:v>9.5814</x:v>
      </x:c>
      <x:c r="H37" s="115" t="n">
        <x:f aca="0">IF($K37&gt;=2,SUMIF(S14_Growth_Model_ExAnte!$C$15:$C$81,$B37,S14_Growth_Model_ExAnte!$L$15:$L$81)/$K37,IF($L37&gt;=2,SUMIF(S14_Growth_Model_ExAnte!$AY$15:$AY$81,$C37&amp;"|"&amp;$D37,S14_Growth_Model_ExAnte!$L$15:$L$81)/$L37,IF(COUNTIF(S14_Growth_Model_ExAnte!$AZ$15:$AZ$81,$C37)&gt;0,SUMIF(S14_Growth_Model_ExAnte!$AZ$15:$AZ$81,$C37,S14_Growth_Model_ExAnte!$L$15:$L$81)/COUNTIF(S14_Growth_Model_ExAnte!$AZ$15:$AZ$81,$C37),0)))</x:f>
        <x:v>2.0613060938826075</x:v>
      </x:c>
      <x:c r="I37" s="115" t="n">
        <x:f aca="0">IF($K37&gt;=2,SQRT(MAX(0,(SUMIF(S14_Growth_Model_ExAnte!$C$15:$C$81,$B37,S14_Growth_Model_ExAnte!$BD$15:$BD$81)-SUMIF(S14_Growth_Model_ExAnte!$C$15:$C$81,$B37,S14_Growth_Model_ExAnte!$L$15:$L$81)*SUMIF(S14_Growth_Model_ExAnte!$C$15:$C$81,$B37,S14_Growth_Model_ExAnte!$L$15:$L$81)/$K37)/($K37-1))),IF($L37&gt;=2,SQRT(MAX(0,(SUMIF(S14_Growth_Model_ExAnte!$AY$15:$AY$81,$C37&amp;"|"&amp;$D37,S14_Growth_Model_ExAnte!$BD$15:$BD$81)-SUMIF(S14_Growth_Model_ExAnte!$AY$15:$AY$81,$C37&amp;"|"&amp;$D37,S14_Growth_Model_ExAnte!$L$15:$L$81)*SUMIF(S14_Growth_Model_ExAnte!$AY$15:$AY$81,$C37&amp;"|"&amp;$D37,S14_Growth_Model_ExAnte!$L$15:$L$81)/$L37)/($L37-1))),IF(COUNTIF(S14_Growth_Model_ExAnte!$AZ$15:$AZ$81,$C37)&gt;=2,SQRT(MAX(0,(SUMIF(S14_Growth_Model_ExAnte!$AZ$15:$AZ$81,$C37,S14_Growth_Model_ExAnte!$BD$15:$BD$81)-SUMIF(S14_Growth_Model_ExAnte!$AZ$15:$AZ$81,$C37,S14_Growth_Model_ExAnte!$L$15:$L$81)*SUMIF(S14_Growth_Model_ExAnte!$AZ$15:$AZ$81,$C37,S14_Growth_Model_ExAnte!$L$15:$L$81)/COUNTIF(S14_Growth_Model_ExAnte!$AZ$15:$AZ$81,$C37))/(COUNTIF(S14_Growth_Model_ExAnte!$AZ$15:$AZ$81,$C37)-1))),0)))</x:f>
        <x:v>0.8691763786811071</x:v>
      </x:c>
      <x:c r="J37" s="115" t="n">
        <x:f aca="0">IFERROR(I37/H37,0)</x:f>
        <x:v>0.4216629355827282</x:v>
      </x:c>
      <x:c r="K37" s="115" t="n">
        <x:f aca="0">COUNTIF(S14_Growth_Model_ExAnte!$C$15:$C$81,$B37)</x:f>
        <x:v>0</x:v>
      </x:c>
      <x:c r="L37" s="115" t="n">
        <x:f aca="0">COUNTIF(S14_Growth_Model_ExAnte!$AY$15:$AY$81,$C37&amp;"|"&amp;$D37)</x:f>
        <x:v>7</x:v>
      </x:c>
      <x:c r="M37" s="115" t="n">
        <x:f aca="0">$H37</x:f>
        <x:v>2.0613060938826075</x:v>
      </x:c>
      <x:c r="N37" s="115" t="n">
        <x:f aca="0">MAX(0,$M37*S08_Defaults!$B$5)</x:f>
        <x:v>1.5459795704119557</x:v>
      </x:c>
      <x:c r="O37" s="115" t="n">
        <x:f aca="0">IFERROR($N37/$M37,0)</x:f>
        <x:v>0.75</x:v>
      </x:c>
      <x:c r="P37" s="115" t="str">
        <x:f aca="0">IF($K37&gt;=2,"Exact Stratum PSP Chapman-Richards curve",IF($L37&gt;=2,"Model×Density pooled Chapman-Richards curve","Model pooled Chapman-Richards curve"))</x:f>
        <x:v>Model×Density pooled Chapman-Richards curve</x:v>
      </x:c>
      <x:c r="Q37" s="162" t="s">
        <x:v>1106</x:v>
      </x:c>
      <x:c r="R37" s="115" t="n">
        <x:f aca="0">0</x:f>
        <x:v>0</x:v>
      </x:c>
      <x:c r="S37" s="115" t="n">
        <x:f aca="0">0</x:f>
        <x:v>0</x:v>
      </x:c>
      <x:c r="T37" s="115" t="n">
        <x:f aca="0">0</x:f>
        <x:v>0</x:v>
      </x:c>
      <x:c r="U37" s="115" t="n">
        <x:f aca="0">(IF($K37&gt;=2,SUMIF(S14_Growth_Model_ExAnte!$C$15:$C$81,$B37,S14_Growth_Model_ExAnte!$I$15:$I$81)/$K37,IF($L37&gt;=2,SUMIF(S14_Growth_Model_ExAnte!$AY$15:$AY$81,$C37&amp;"|"&amp;$D37,S14_Growth_Model_ExAnte!$I$15:$I$81)/$L37,IF(COUNTIF(S14_Growth_Model_ExAnte!$AZ$15:$AZ$81,$C37)&gt;0,SUMIF(S14_Growth_Model_ExAnte!$AZ$15:$AZ$81,$C37,S14_Growth_Model_ExAnte!$I$15:$I$81)/COUNTIF(S14_Growth_Model_ExAnte!$AZ$15:$AZ$81,$C37),0))))*$O37*S08_Defaults!$B$6*(1+S08_Defaults!$B$7)*S08_Defaults!$B$8</x:f>
        <x:v>0</x:v>
      </x:c>
      <x:c r="V37" s="115" t="n">
        <x:f aca="0">(IF($K37&gt;=2,SUMIF(S14_Growth_Model_ExAnte!$C$15:$C$81,$B37,S14_Growth_Model_ExAnte!$J$15:$J$81)/$K37,IF($L37&gt;=2,SUMIF(S14_Growth_Model_ExAnte!$AY$15:$AY$81,$C37&amp;"|"&amp;$D37,S14_Growth_Model_ExAnte!$J$15:$J$81)/$L37,IF(COUNTIF(S14_Growth_Model_ExAnte!$AZ$15:$AZ$81,$C37)&gt;0,SUMIF(S14_Growth_Model_ExAnte!$AZ$15:$AZ$81,$C37,S14_Growth_Model_ExAnte!$J$15:$J$81)/COUNTIF(S14_Growth_Model_ExAnte!$AZ$15:$AZ$81,$C37),0))))*$O37*S08_Defaults!$B$6*(1+S08_Defaults!$B$7)*S08_Defaults!$B$8</x:f>
        <x:v>0.07152597803014582</x:v>
      </x:c>
      <x:c r="W37" s="115" t="n">
        <x:f aca="0">(IF($K37&gt;=2,SUMIF(S14_Growth_Model_ExAnte!$C$15:$C$81,$B37,S14_Growth_Model_ExAnte!$K$15:$K$81)/$K37,IF($L37&gt;=2,SUMIF(S14_Growth_Model_ExAnte!$AY$15:$AY$81,$C37&amp;"|"&amp;$D37,S14_Growth_Model_ExAnte!$K$15:$K$81)/$L37,IF(COUNTIF(S14_Growth_Model_ExAnte!$AZ$15:$AZ$81,$C37)&gt;0,SUMIF(S14_Growth_Model_ExAnte!$AZ$15:$AZ$81,$C37,S14_Growth_Model_ExAnte!$K$15:$K$81)/COUNTIF(S14_Growth_Model_ExAnte!$AZ$15:$AZ$81,$C37),0))))*$O37*S08_Defaults!$B$6*(1+S08_Defaults!$B$7)*S08_Defaults!$B$8</x:f>
        <x:v>0.864336246888579</x:v>
      </x:c>
      <x:c r="X37" s="115" t="n">
        <x:f aca="0">(IF($K37&gt;=2,SUMIF(S14_Growth_Model_ExAnte!$C$15:$C$81,$B37,S14_Growth_Model_ExAnte!$L$15:$L$81)/$K37,IF($L37&gt;=2,SUMIF(S14_Growth_Model_ExAnte!$AY$15:$AY$81,$C37&amp;"|"&amp;$D37,S14_Growth_Model_ExAnte!$L$15:$L$81)/$L37,IF(COUNTIF(S14_Growth_Model_ExAnte!$AZ$15:$AZ$81,$C37)&gt;0,SUMIF(S14_Growth_Model_ExAnte!$AZ$15:$AZ$81,$C37,S14_Growth_Model_ExAnte!$L$15:$L$81)/COUNTIF(S14_Growth_Model_ExAnte!$AZ$15:$AZ$81,$C37),0))))*$O37*S08_Defaults!$B$6*(1+S08_Defaults!$B$7)*S08_Defaults!$B$8</x:f>
        <x:v>3.303655276665658</x:v>
      </x:c>
      <x:c r="Y37" s="115" t="n">
        <x:f aca="0">(IF($K37&gt;=2,SUMIF(S14_Growth_Model_ExAnte!$C$15:$C$81,$B37,S14_Growth_Model_ExAnte!$M$15:$M$81)/$K37,IF($L37&gt;=2,SUMIF(S14_Growth_Model_ExAnte!$AY$15:$AY$81,$C37&amp;"|"&amp;$D37,S14_Growth_Model_ExAnte!$M$15:$M$81)/$L37,IF(COUNTIF(S14_Growth_Model_ExAnte!$AZ$15:$AZ$81,$C37)&gt;0,SUMIF(S14_Growth_Model_ExAnte!$AZ$15:$AZ$81,$C37,S14_Growth_Model_ExAnte!$M$15:$M$81)/COUNTIF(S14_Growth_Model_ExAnte!$AZ$15:$AZ$81,$C37),0))))*$O37*S08_Defaults!$B$6*(1+S08_Defaults!$B$7)*S08_Defaults!$B$8</x:f>
        <x:v>7.970157779779097</x:v>
      </x:c>
      <x:c r="Z37" s="115" t="n">
        <x:f aca="0">(IF($K37&gt;=2,SUMIF(S14_Growth_Model_ExAnte!$C$15:$C$81,$B37,S14_Growth_Model_ExAnte!$N$15:$N$81)/$K37,IF($L37&gt;=2,SUMIF(S14_Growth_Model_ExAnte!$AY$15:$AY$81,$C37&amp;"|"&amp;$D37,S14_Growth_Model_ExAnte!$N$15:$N$81)/$L37,IF(COUNTIF(S14_Growth_Model_ExAnte!$AZ$15:$AZ$81,$C37)&gt;0,SUMIF(S14_Growth_Model_ExAnte!$AZ$15:$AZ$81,$C37,S14_Growth_Model_ExAnte!$N$15:$N$81)/COUNTIF(S14_Growth_Model_ExAnte!$AZ$15:$AZ$81,$C37),0))))*$O37*S08_Defaults!$B$6*(1+S08_Defaults!$B$7)*S08_Defaults!$B$8</x:f>
        <x:v>14.923899156004842</x:v>
      </x:c>
      <x:c r="AA37" s="115" t="n">
        <x:f aca="0">(IF($K37&gt;=2,SUMIF(S14_Growth_Model_ExAnte!$C$15:$C$81,$B37,S14_Growth_Model_ExAnte!$O$15:$O$81)/$K37,IF($L37&gt;=2,SUMIF(S14_Growth_Model_ExAnte!$AY$15:$AY$81,$C37&amp;"|"&amp;$D37,S14_Growth_Model_ExAnte!$O$15:$O$81)/$L37,IF(COUNTIF(S14_Growth_Model_ExAnte!$AZ$15:$AZ$81,$C37)&gt;0,SUMIF(S14_Growth_Model_ExAnte!$AZ$15:$AZ$81,$C37,S14_Growth_Model_ExAnte!$O$15:$O$81)/COUNTIF(S14_Growth_Model_ExAnte!$AZ$15:$AZ$81,$C37),0))))*$O37*S08_Defaults!$B$6*(1+S08_Defaults!$B$7)*S08_Defaults!$B$8</x:f>
        <x:v>23.885588624728054</x:v>
      </x:c>
      <x:c r="AB37" s="115" t="n">
        <x:f aca="0">(IF($K37&gt;=2,SUMIF(S14_Growth_Model_ExAnte!$C$15:$C$81,$B37,S14_Growth_Model_ExAnte!$P$15:$P$81)/$K37,IF($L37&gt;=2,SUMIF(S14_Growth_Model_ExAnte!$AY$15:$AY$81,$C37&amp;"|"&amp;$D37,S14_Growth_Model_ExAnte!$P$15:$P$81)/$L37,IF(COUNTIF(S14_Growth_Model_ExAnte!$AZ$15:$AZ$81,$C37)&gt;0,SUMIF(S14_Growth_Model_ExAnte!$AZ$15:$AZ$81,$C37,S14_Growth_Model_ExAnte!$P$15:$P$81)/COUNTIF(S14_Growth_Model_ExAnte!$AZ$15:$AZ$81,$C37),0))))*$O37*S08_Defaults!$B$6*(1+S08_Defaults!$B$7)*S08_Defaults!$B$8</x:f>
        <x:v>34.39633727340892</x:v>
      </x:c>
      <x:c r="AC37" s="115" t="n">
        <x:f aca="0">(IF($K37&gt;=2,SUMIF(S14_Growth_Model_ExAnte!$C$15:$C$81,$B37,S14_Growth_Model_ExAnte!$Q$15:$Q$81)/$K37,IF($L37&gt;=2,SUMIF(S14_Growth_Model_ExAnte!$AY$15:$AY$81,$C37&amp;"|"&amp;$D37,S14_Growth_Model_ExAnte!$Q$15:$Q$81)/$L37,IF(COUNTIF(S14_Growth_Model_ExAnte!$AZ$15:$AZ$81,$C37)&gt;0,SUMIF(S14_Growth_Model_ExAnte!$AZ$15:$AZ$81,$C37,S14_Growth_Model_ExAnte!$Q$15:$Q$81)/COUNTIF(S14_Growth_Model_ExAnte!$AZ$15:$AZ$81,$C37),0))))*$O37*S08_Defaults!$B$6*(1+S08_Defaults!$B$7)*S08_Defaults!$B$8</x:f>
        <x:v>45.94628773183691</x:v>
      </x:c>
      <x:c r="AD37" s="115" t="n">
        <x:f aca="0">(IF($K37&gt;=2,SUMIF(S14_Growth_Model_ExAnte!$C$15:$C$81,$B37,S14_Growth_Model_ExAnte!$R$15:$R$81)/$K37,IF($L37&gt;=2,SUMIF(S14_Growth_Model_ExAnte!$AY$15:$AY$81,$C37&amp;"|"&amp;$D37,S14_Growth_Model_ExAnte!$R$15:$R$81)/$L37,IF(COUNTIF(S14_Growth_Model_ExAnte!$AZ$15:$AZ$81,$C37)&gt;0,SUMIF(S14_Growth_Model_ExAnte!$AZ$15:$AZ$81,$C37,S14_Growth_Model_ExAnte!$R$15:$R$81)/COUNTIF(S14_Growth_Model_ExAnte!$AZ$15:$AZ$81,$C37),0))))*$O37*S08_Defaults!$B$6*(1+S08_Defaults!$B$7)*S08_Defaults!$B$8</x:f>
        <x:v>58.054373014376885</x:v>
      </x:c>
      <x:c r="AE37" s="115" t="n">
        <x:f aca="0">(IF($K37&gt;=2,SUMIF(S14_Growth_Model_ExAnte!$C$15:$C$81,$B37,S14_Growth_Model_ExAnte!$S$15:$S$81)/$K37,IF($L37&gt;=2,SUMIF(S14_Growth_Model_ExAnte!$AY$15:$AY$81,$C37&amp;"|"&amp;$D37,S14_Growth_Model_ExAnte!$S$15:$S$81)/$L37,IF(COUNTIF(S14_Growth_Model_ExAnte!$AZ$15:$AZ$81,$C37)&gt;0,SUMIF(S14_Growth_Model_ExAnte!$AZ$15:$AZ$81,$C37,S14_Growth_Model_ExAnte!$S$15:$S$81)/COUNTIF(S14_Growth_Model_ExAnte!$AZ$15:$AZ$81,$C37),0))))*$O37*S08_Defaults!$B$6*(1+S08_Defaults!$B$7)*S08_Defaults!$B$8</x:f>
        <x:v>70.30903125532</x:v>
      </x:c>
      <x:c r="AF37" s="115" t="n">
        <x:f aca="0">(IF($K37&gt;=2,SUMIF(S14_Growth_Model_ExAnte!$C$15:$C$81,$B37,S14_Growth_Model_ExAnte!$T$15:$T$81)/$K37,IF($L37&gt;=2,SUMIF(S14_Growth_Model_ExAnte!$AY$15:$AY$81,$C37&amp;"|"&amp;$D37,S14_Growth_Model_ExAnte!$T$15:$T$81)/$L37,IF(COUNTIF(S14_Growth_Model_ExAnte!$AZ$15:$AZ$81,$C37)&gt;0,SUMIF(S14_Growth_Model_ExAnte!$AZ$15:$AZ$81,$C37,S14_Growth_Model_ExAnte!$T$15:$T$81)/COUNTIF(S14_Growth_Model_ExAnte!$AZ$15:$AZ$81,$C37),0))))*$O37*S08_Defaults!$B$6*(1+S08_Defaults!$B$7)*S08_Defaults!$B$8</x:f>
        <x:v>82.38274135165359</x:v>
      </x:c>
      <x:c r="AG37" s="115" t="n">
        <x:f aca="0">(IF($K37&gt;=2,SUMIF(S14_Growth_Model_ExAnte!$C$15:$C$81,$B37,S14_Growth_Model_ExAnte!$U$15:$U$81)/$K37,IF($L37&gt;=2,SUMIF(S14_Growth_Model_ExAnte!$AY$15:$AY$81,$C37&amp;"|"&amp;$D37,S14_Growth_Model_ExAnte!$U$15:$U$81)/$L37,IF(COUNTIF(S14_Growth_Model_ExAnte!$AZ$15:$AZ$81,$C37)&gt;0,SUMIF(S14_Growth_Model_ExAnte!$AZ$15:$AZ$81,$C37,S14_Growth_Model_ExAnte!$U$15:$U$81)/COUNTIF(S14_Growth_Model_ExAnte!$AZ$15:$AZ$81,$C37),0))))*$O37*S08_Defaults!$B$6*(1+S08_Defaults!$B$7)*S08_Defaults!$B$8</x:f>
        <x:v>94.03105915138642</x:v>
      </x:c>
      <x:c r="AH37" s="115" t="n">
        <x:f aca="0">(IF($K37&gt;=2,SUMIF(S14_Growth_Model_ExAnte!$C$15:$C$81,$B37,S14_Growth_Model_ExAnte!$V$15:$V$81)/$K37,IF($L37&gt;=2,SUMIF(S14_Growth_Model_ExAnte!$AY$15:$AY$81,$C37&amp;"|"&amp;$D37,S14_Growth_Model_ExAnte!$V$15:$V$81)/$L37,IF(COUNTIF(S14_Growth_Model_ExAnte!$AZ$15:$AZ$81,$C37)&gt;0,SUMIF(S14_Growth_Model_ExAnte!$AZ$15:$AZ$81,$C37,S14_Growth_Model_ExAnte!$V$15:$V$81)/COUNTIF(S14_Growth_Model_ExAnte!$AZ$15:$AZ$81,$C37),0))))*$O37*S08_Defaults!$B$6*(1+S08_Defaults!$B$7)*S08_Defaults!$B$8</x:f>
        <x:v>105.08365805426325</x:v>
      </x:c>
      <x:c r="AI37" s="115" t="n">
        <x:f aca="0">(IF($K37&gt;=2,SUMIF(S14_Growth_Model_ExAnte!$C$15:$C$81,$B37,S14_Growth_Model_ExAnte!$W$15:$W$81)/$K37,IF($L37&gt;=2,SUMIF(S14_Growth_Model_ExAnte!$AY$15:$AY$81,$C37&amp;"|"&amp;$D37,S14_Growth_Model_ExAnte!$W$15:$W$81)/$L37,IF(COUNTIF(S14_Growth_Model_ExAnte!$AZ$15:$AZ$81,$C37)&gt;0,SUMIF(S14_Growth_Model_ExAnte!$AZ$15:$AZ$81,$C37,S14_Growth_Model_ExAnte!$W$15:$W$81)/COUNTIF(S14_Growth_Model_ExAnte!$AZ$15:$AZ$81,$C37),0))))*$O37*S08_Defaults!$B$6*(1+S08_Defaults!$B$7)*S08_Defaults!$B$8</x:f>
        <x:v>115.43213857673612</x:v>
      </x:c>
      <x:c r="AJ37" s="115" t="n">
        <x:f aca="0">(IF($K37&gt;=2,SUMIF(S14_Growth_Model_ExAnte!$C$15:$C$81,$B37,S14_Growth_Model_ExAnte!$X$15:$X$81)/$K37,IF($L37&gt;=2,SUMIF(S14_Growth_Model_ExAnte!$AY$15:$AY$81,$C37&amp;"|"&amp;$D37,S14_Growth_Model_ExAnte!$X$15:$X$81)/$L37,IF(COUNTIF(S14_Growth_Model_ExAnte!$AZ$15:$AZ$81,$C37)&gt;0,SUMIF(S14_Growth_Model_ExAnte!$AZ$15:$AZ$81,$C37,S14_Growth_Model_ExAnte!$X$15:$X$81)/COUNTIF(S14_Growth_Model_ExAnte!$AZ$15:$AZ$81,$C37),0))))*$O37*S08_Defaults!$B$6*(1+S08_Defaults!$B$7)*S08_Defaults!$B$8</x:f>
        <x:v>125.0173795374974</x:v>
      </x:c>
      <x:c r="AK37" s="115" t="n">
        <x:f aca="0">(IF($K37&gt;=2,SUMIF(S14_Growth_Model_ExAnte!$C$15:$C$81,$B37,S14_Growth_Model_ExAnte!$Y$15:$Y$81)/$K37,IF($L37&gt;=2,SUMIF(S14_Growth_Model_ExAnte!$AY$15:$AY$81,$C37&amp;"|"&amp;$D37,S14_Growth_Model_ExAnte!$Y$15:$Y$81)/$L37,IF(COUNTIF(S14_Growth_Model_ExAnte!$AZ$15:$AZ$81,$C37)&gt;0,SUMIF(S14_Growth_Model_ExAnte!$AZ$15:$AZ$81,$C37,S14_Growth_Model_ExAnte!$Y$15:$Y$81)/COUNTIF(S14_Growth_Model_ExAnte!$AZ$15:$AZ$81,$C37),0))))*$O37*S08_Defaults!$B$6*(1+S08_Defaults!$B$7)*S08_Defaults!$B$8</x:f>
        <x:v>133.81788409296183</x:v>
      </x:c>
      <x:c r="AL37" s="115" t="n">
        <x:f aca="0">(IF($K37&gt;=2,SUMIF(S14_Growth_Model_ExAnte!$C$15:$C$81,$B37,S14_Growth_Model_ExAnte!$Z$15:$Z$81)/$K37,IF($L37&gt;=2,SUMIF(S14_Growth_Model_ExAnte!$AY$15:$AY$81,$C37&amp;"|"&amp;$D37,S14_Growth_Model_ExAnte!$Z$15:$Z$81)/$L37,IF(COUNTIF(S14_Growth_Model_ExAnte!$AZ$15:$AZ$81,$C37)&gt;0,SUMIF(S14_Growth_Model_ExAnte!$AZ$15:$AZ$81,$C37,S14_Growth_Model_ExAnte!$Z$15:$Z$81)/COUNTIF(S14_Growth_Model_ExAnte!$AZ$15:$AZ$81,$C37),0))))*$O37*S08_Defaults!$B$6*(1+S08_Defaults!$B$7)*S08_Defaults!$B$8</x:f>
        <x:v>141.83975781494965</x:v>
      </x:c>
      <x:c r="AM37" s="115" t="n">
        <x:f aca="0">R37</x:f>
        <x:v>0</x:v>
      </x:c>
      <x:c r="AN37" s="115" t="n">
        <x:f aca="0">S37-R37</x:f>
        <x:v>0</x:v>
      </x:c>
      <x:c r="AO37" s="115" t="n">
        <x:f aca="0">T37-S37</x:f>
        <x:v>0</x:v>
      </x:c>
      <x:c r="AP37" s="115" t="n">
        <x:f aca="0">U37-T37</x:f>
        <x:v>0</x:v>
      </x:c>
      <x:c r="AQ37" s="115" t="n">
        <x:f aca="0">V37-U37</x:f>
        <x:v>0.07152597803014582</x:v>
      </x:c>
      <x:c r="AR37" s="115" t="n">
        <x:f aca="0">W37-V37</x:f>
        <x:v>0.7928102688584332</x:v>
      </x:c>
      <x:c r="AS37" s="115" t="n">
        <x:f aca="0">X37-W37</x:f>
        <x:v>2.439319029777079</x:v>
      </x:c>
      <x:c r="AT37" s="115" t="n">
        <x:f aca="0">Y37-X37</x:f>
        <x:v>4.666502503113438</x:v>
      </x:c>
      <x:c r="AU37" s="115" t="n">
        <x:f aca="0">Z37-Y37</x:f>
        <x:v>6.953741376225745</x:v>
      </x:c>
      <x:c r="AV37" s="115" t="n">
        <x:f aca="0">AA37-Z37</x:f>
        <x:v>8.961689468723213</x:v>
      </x:c>
      <x:c r="AW37" s="115" t="n">
        <x:f aca="0">AB37-AA37</x:f>
        <x:v>10.510748648680863</x:v>
      </x:c>
      <x:c r="AX37" s="115" t="n">
        <x:f aca="0">AC37-AB37</x:f>
        <x:v>11.549950458427993</x:v>
      </x:c>
      <x:c r="AY37" s="115" t="n">
        <x:f aca="0">AD37-AC37</x:f>
        <x:v>12.108085282539975</x:v>
      </x:c>
      <x:c r="AZ37" s="115" t="n">
        <x:f aca="0">AE37-AD37</x:f>
        <x:v>12.254658240943108</x:v>
      </x:c>
      <x:c r="BA37" s="115" t="n">
        <x:f aca="0">AF37-AE37</x:f>
        <x:v>12.073710096333599</x:v>
      </x:c>
      <x:c r="BB37" s="115" t="n">
        <x:f aca="0">AG37-AF37</x:f>
        <x:v>11.648317799732823</x:v>
      </x:c>
      <x:c r="BC37" s="115" t="n">
        <x:f aca="0">AH37-AG37</x:f>
        <x:v>11.052598902876838</x:v>
      </x:c>
      <x:c r="BD37" s="115" t="n">
        <x:f aca="0">AI37-AH37</x:f>
        <x:v>10.348480522472869</x:v>
      </x:c>
      <x:c r="BE37" s="115" t="n">
        <x:f aca="0">AJ37-AI37</x:f>
        <x:v>9.585240960761283</x:v>
      </x:c>
      <x:c r="BF37" s="115" t="n">
        <x:f aca="0">AK37-AJ37</x:f>
        <x:v>8.800504555464428</x:v>
      </x:c>
      <x:c r="BG37" s="115" t="n">
        <x:f aca="0">AL37-AK37</x:f>
        <x:v>8.021873721987816</x:v>
      </x:c>
    </x:row>
    <x:row r="38" ht="15" hidden="0" customHeight="1">
      <x:c r="A38" s="160" t="str">
        <x:f aca="0">"S"&amp;TEXT(ROW()-3,"00")</x:f>
        <x:v>S35</x:v>
      </x:c>
      <x:c r="B38" s="161" t="s">
        <x:v>1117</x:v>
      </x:c>
      <x:c r="C38" s="160" t="str">
        <x:f aca="0">LEFT($B38,FIND("|",$B38)-1)</x:f>
        <x:v>Timber Plantation</x:v>
      </x:c>
      <x:c r="D38" s="160" t="str">
        <x:f aca="0">MID($B38,FIND("|",$B38)+1,FIND("|",$B38,FIND("|",$B38)+1)-FIND("|",$B38)-1)</x:f>
        <x:v>Medium</x:v>
      </x:c>
      <x:c r="E38" s="160" t="n">
        <x:f aca="0">VALUE(RIGHT($B38,4))</x:f>
        <x:v>2023</x:v>
      </x:c>
      <x:c r="F38" s="115" t="n">
        <x:f aca="0">SUMIF(S17_Biome_Strata!$G$4:$G$95,$B38,S17_Biome_Strata!$E$4:$E$95)</x:f>
        <x:v>6</x:v>
      </x:c>
      <x:c r="G38" s="115" t="n">
        <x:f aca="0">SUMIF(S17_Biome_Strata!$G$4:$G$95,$B38,S17_Biome_Strata!$F$4:$F$95)</x:f>
        <x:v>3.5343</x:v>
      </x:c>
      <x:c r="H38" s="115" t="n">
        <x:f aca="0">IF($K38&gt;=2,SUMIF(S14_Growth_Model_ExAnte!$C$15:$C$81,$B38,S14_Growth_Model_ExAnte!$L$15:$L$81)/$K38,IF($L38&gt;=2,SUMIF(S14_Growth_Model_ExAnte!$AY$15:$AY$81,$C38&amp;"|"&amp;$D38,S14_Growth_Model_ExAnte!$L$15:$L$81)/$L38,IF(COUNTIF(S14_Growth_Model_ExAnte!$AZ$15:$AZ$81,$C38)&gt;0,SUMIF(S14_Growth_Model_ExAnte!$AZ$15:$AZ$81,$C38,S14_Growth_Model_ExAnte!$L$15:$L$81)/COUNTIF(S14_Growth_Model_ExAnte!$AZ$15:$AZ$81,$C38),0)))</x:f>
        <x:v>46.26313836413143</x:v>
      </x:c>
      <x:c r="I38" s="115" t="n">
        <x:f aca="0">IF($K38&gt;=2,SQRT(MAX(0,(SUMIF(S14_Growth_Model_ExAnte!$C$15:$C$81,$B38,S14_Growth_Model_ExAnte!$BD$15:$BD$81)-SUMIF(S14_Growth_Model_ExAnte!$C$15:$C$81,$B38,S14_Growth_Model_ExAnte!$L$15:$L$81)*SUMIF(S14_Growth_Model_ExAnte!$C$15:$C$81,$B38,S14_Growth_Model_ExAnte!$L$15:$L$81)/$K38)/($K38-1))),IF($L38&gt;=2,SQRT(MAX(0,(SUMIF(S14_Growth_Model_ExAnte!$AY$15:$AY$81,$C38&amp;"|"&amp;$D38,S14_Growth_Model_ExAnte!$BD$15:$BD$81)-SUMIF(S14_Growth_Model_ExAnte!$AY$15:$AY$81,$C38&amp;"|"&amp;$D38,S14_Growth_Model_ExAnte!$L$15:$L$81)*SUMIF(S14_Growth_Model_ExAnte!$AY$15:$AY$81,$C38&amp;"|"&amp;$D38,S14_Growth_Model_ExAnte!$L$15:$L$81)/$L38)/($L38-1))),IF(COUNTIF(S14_Growth_Model_ExAnte!$AZ$15:$AZ$81,$C38)&gt;=2,SQRT(MAX(0,(SUMIF(S14_Growth_Model_ExAnte!$AZ$15:$AZ$81,$C38,S14_Growth_Model_ExAnte!$BD$15:$BD$81)-SUMIF(S14_Growth_Model_ExAnte!$AZ$15:$AZ$81,$C38,S14_Growth_Model_ExAnte!$L$15:$L$81)*SUMIF(S14_Growth_Model_ExAnte!$AZ$15:$AZ$81,$C38,S14_Growth_Model_ExAnte!$L$15:$L$81)/COUNTIF(S14_Growth_Model_ExAnte!$AZ$15:$AZ$81,$C38))/(COUNTIF(S14_Growth_Model_ExAnte!$AZ$15:$AZ$81,$C38)-1))),0)))</x:f>
        <x:v>37.05185789910434</x:v>
      </x:c>
      <x:c r="J38" s="115" t="n">
        <x:f aca="0">IFERROR(I38/H38,0)</x:f>
        <x:v>0.8008937397950342</x:v>
      </x:c>
      <x:c r="K38" s="115" t="n">
        <x:f aca="0">COUNTIF(S14_Growth_Model_ExAnte!$C$15:$C$81,$B38)</x:f>
        <x:v>0</x:v>
      </x:c>
      <x:c r="L38" s="115" t="n">
        <x:f aca="0">COUNTIF(S14_Growth_Model_ExAnte!$AY$15:$AY$81,$C38&amp;"|"&amp;$D38)</x:f>
        <x:v>13</x:v>
      </x:c>
      <x:c r="M38" s="115" t="n">
        <x:f aca="0">$H38</x:f>
        <x:v>46.26313836413143</x:v>
      </x:c>
      <x:c r="N38" s="115" t="n">
        <x:f aca="0">MAX(0,$M38*S08_Defaults!$B$5)</x:f>
        <x:v>34.69735377309857</x:v>
      </x:c>
      <x:c r="O38" s="115" t="n">
        <x:f aca="0">IFERROR($N38/$M38,0)</x:f>
        <x:v>0.75</x:v>
      </x:c>
      <x:c r="P38" s="115" t="str">
        <x:f aca="0">IF($K38&gt;=2,"Exact Stratum PSP Chapman-Richards curve",IF($L38&gt;=2,"Model×Density pooled Chapman-Richards curve","Model pooled Chapman-Richards curve"))</x:f>
        <x:v>Model×Density pooled Chapman-Richards curve</x:v>
      </x:c>
      <x:c r="Q38" s="162" t="s">
        <x:v>1106</x:v>
      </x:c>
      <x:c r="R38" s="115" t="n">
        <x:f aca="0">0</x:f>
        <x:v>0</x:v>
      </x:c>
      <x:c r="S38" s="115" t="n">
        <x:f aca="0">0</x:f>
        <x:v>0</x:v>
      </x:c>
      <x:c r="T38" s="115" t="n">
        <x:f aca="0">0</x:f>
        <x:v>0</x:v>
      </x:c>
      <x:c r="U38" s="115" t="n">
        <x:f aca="0">(IF($K38&gt;=2,SUMIF(S14_Growth_Model_ExAnte!$C$15:$C$81,$B38,S14_Growth_Model_ExAnte!$I$15:$I$81)/$K38,IF($L38&gt;=2,SUMIF(S14_Growth_Model_ExAnte!$AY$15:$AY$81,$C38&amp;"|"&amp;$D38,S14_Growth_Model_ExAnte!$I$15:$I$81)/$L38,IF(COUNTIF(S14_Growth_Model_ExAnte!$AZ$15:$AZ$81,$C38)&gt;0,SUMIF(S14_Growth_Model_ExAnte!$AZ$15:$AZ$81,$C38,S14_Growth_Model_ExAnte!$I$15:$I$81)/COUNTIF(S14_Growth_Model_ExAnte!$AZ$15:$AZ$81,$C38),0))))*$O38*S08_Defaults!$B$6*(1+S08_Defaults!$B$7)*S08_Defaults!$B$8</x:f>
        <x:v>0</x:v>
      </x:c>
      <x:c r="V38" s="115" t="n">
        <x:f aca="0">(IF($K38&gt;=2,SUMIF(S14_Growth_Model_ExAnte!$C$15:$C$81,$B38,S14_Growth_Model_ExAnte!$J$15:$J$81)/$K38,IF($L38&gt;=2,SUMIF(S14_Growth_Model_ExAnte!$AY$15:$AY$81,$C38&amp;"|"&amp;$D38,S14_Growth_Model_ExAnte!$J$15:$J$81)/$L38,IF(COUNTIF(S14_Growth_Model_ExAnte!$AZ$15:$AZ$81,$C38)&gt;0,SUMIF(S14_Growth_Model_ExAnte!$AZ$15:$AZ$81,$C38,S14_Growth_Model_ExAnte!$J$15:$J$81)/COUNTIF(S14_Growth_Model_ExAnte!$AZ$15:$AZ$81,$C38),0))))*$O38*S08_Defaults!$B$6*(1+S08_Defaults!$B$7)*S08_Defaults!$B$8</x:f>
        <x:v>2.2520589423441217</x:v>
      </x:c>
      <x:c r="W38" s="115" t="n">
        <x:f aca="0">(IF($K38&gt;=2,SUMIF(S14_Growth_Model_ExAnte!$C$15:$C$81,$B38,S14_Growth_Model_ExAnte!$K$15:$K$81)/$K38,IF($L38&gt;=2,SUMIF(S14_Growth_Model_ExAnte!$AY$15:$AY$81,$C38&amp;"|"&amp;$D38,S14_Growth_Model_ExAnte!$K$15:$K$81)/$L38,IF(COUNTIF(S14_Growth_Model_ExAnte!$AZ$15:$AZ$81,$C38)&gt;0,SUMIF(S14_Growth_Model_ExAnte!$AZ$15:$AZ$81,$C38,S14_Growth_Model_ExAnte!$K$15:$K$81)/COUNTIF(S14_Growth_Model_ExAnte!$AZ$15:$AZ$81,$C38),0))))*$O38*S08_Defaults!$B$6*(1+S08_Defaults!$B$7)*S08_Defaults!$B$8</x:f>
        <x:v>21.884278389459922</x:v>
      </x:c>
      <x:c r="X38" s="115" t="n">
        <x:f aca="0">(IF($K38&gt;=2,SUMIF(S14_Growth_Model_ExAnte!$C$15:$C$81,$B38,S14_Growth_Model_ExAnte!$L$15:$L$81)/$K38,IF($L38&gt;=2,SUMIF(S14_Growth_Model_ExAnte!$AY$15:$AY$81,$C38&amp;"|"&amp;$D38,S14_Growth_Model_ExAnte!$L$15:$L$81)/$L38,IF(COUNTIF(S14_Growth_Model_ExAnte!$AZ$15:$AZ$81,$C38)&gt;0,SUMIF(S14_Growth_Model_ExAnte!$AZ$15:$AZ$81,$C38,S14_Growth_Model_ExAnte!$L$15:$L$81)/COUNTIF(S14_Growth_Model_ExAnte!$AZ$15:$AZ$81,$C38),0))))*$O38*S08_Defaults!$B$6*(1+S08_Defaults!$B$7)*S08_Defaults!$B$8</x:f>
        <x:v>74.1459318561935</x:v>
      </x:c>
      <x:c r="Y38" s="115" t="n">
        <x:f aca="0">(IF($K38&gt;=2,SUMIF(S14_Growth_Model_ExAnte!$C$15:$C$81,$B38,S14_Growth_Model_ExAnte!$M$15:$M$81)/$K38,IF($L38&gt;=2,SUMIF(S14_Growth_Model_ExAnte!$AY$15:$AY$81,$C38&amp;"|"&amp;$D38,S14_Growth_Model_ExAnte!$M$15:$M$81)/$L38,IF(COUNTIF(S14_Growth_Model_ExAnte!$AZ$15:$AZ$81,$C38)&gt;0,SUMIF(S14_Growth_Model_ExAnte!$AZ$15:$AZ$81,$C38,S14_Growth_Model_ExAnte!$M$15:$M$81)/COUNTIF(S14_Growth_Model_ExAnte!$AZ$15:$AZ$81,$C38),0))))*$O38*S08_Defaults!$B$6*(1+S08_Defaults!$B$7)*S08_Defaults!$B$8</x:f>
        <x:v>165.0053198897656</x:v>
      </x:c>
      <x:c r="Z38" s="115" t="n">
        <x:f aca="0">(IF($K38&gt;=2,SUMIF(S14_Growth_Model_ExAnte!$C$15:$C$81,$B38,S14_Growth_Model_ExAnte!$N$15:$N$81)/$K38,IF($L38&gt;=2,SUMIF(S14_Growth_Model_ExAnte!$AY$15:$AY$81,$C38&amp;"|"&amp;$D38,S14_Growth_Model_ExAnte!$N$15:$N$81)/$L38,IF(COUNTIF(S14_Growth_Model_ExAnte!$AZ$15:$AZ$81,$C38)&gt;0,SUMIF(S14_Growth_Model_ExAnte!$AZ$15:$AZ$81,$C38,S14_Growth_Model_ExAnte!$N$15:$N$81)/COUNTIF(S14_Growth_Model_ExAnte!$AZ$15:$AZ$81,$C38),0))))*$O38*S08_Defaults!$B$6*(1+S08_Defaults!$B$7)*S08_Defaults!$B$8</x:f>
        <x:v>291.19678663723766</x:v>
      </x:c>
      <x:c r="AA38" s="115" t="n">
        <x:f aca="0">(IF($K38&gt;=2,SUMIF(S14_Growth_Model_ExAnte!$C$15:$C$81,$B38,S14_Growth_Model_ExAnte!$O$15:$O$81)/$K38,IF($L38&gt;=2,SUMIF(S14_Growth_Model_ExAnte!$AY$15:$AY$81,$C38&amp;"|"&amp;$D38,S14_Growth_Model_ExAnte!$O$15:$O$81)/$L38,IF(COUNTIF(S14_Growth_Model_ExAnte!$AZ$15:$AZ$81,$C38)&gt;0,SUMIF(S14_Growth_Model_ExAnte!$AZ$15:$AZ$81,$C38,S14_Growth_Model_ExAnte!$O$15:$O$81)/COUNTIF(S14_Growth_Model_ExAnte!$AZ$15:$AZ$81,$C38),0))))*$O38*S08_Defaults!$B$6*(1+S08_Defaults!$B$7)*S08_Defaults!$B$8</x:f>
        <x:v>445.1389074933852</x:v>
      </x:c>
      <x:c r="AB38" s="115" t="n">
        <x:f aca="0">(IF($K38&gt;=2,SUMIF(S14_Growth_Model_ExAnte!$C$15:$C$81,$B38,S14_Growth_Model_ExAnte!$P$15:$P$81)/$K38,IF($L38&gt;=2,SUMIF(S14_Growth_Model_ExAnte!$AY$15:$AY$81,$C38&amp;"|"&amp;$D38,S14_Growth_Model_ExAnte!$P$15:$P$81)/$L38,IF(COUNTIF(S14_Growth_Model_ExAnte!$AZ$15:$AZ$81,$C38)&gt;0,SUMIF(S14_Growth_Model_ExAnte!$AZ$15:$AZ$81,$C38,S14_Growth_Model_ExAnte!$P$15:$P$81)/COUNTIF(S14_Growth_Model_ExAnte!$AZ$15:$AZ$81,$C38),0))))*$O38*S08_Defaults!$B$6*(1+S08_Defaults!$B$7)*S08_Defaults!$B$8</x:f>
        <x:v>617.7733770743615</x:v>
      </x:c>
      <x:c r="AC38" s="115" t="n">
        <x:f aca="0">(IF($K38&gt;=2,SUMIF(S14_Growth_Model_ExAnte!$C$15:$C$81,$B38,S14_Growth_Model_ExAnte!$Q$15:$Q$81)/$K38,IF($L38&gt;=2,SUMIF(S14_Growth_Model_ExAnte!$AY$15:$AY$81,$C38&amp;"|"&amp;$D38,S14_Growth_Model_ExAnte!$Q$15:$Q$81)/$L38,IF(COUNTIF(S14_Growth_Model_ExAnte!$AZ$15:$AZ$81,$C38)&gt;0,SUMIF(S14_Growth_Model_ExAnte!$AZ$15:$AZ$81,$C38,S14_Growth_Model_ExAnte!$Q$15:$Q$81)/COUNTIF(S14_Growth_Model_ExAnte!$AZ$15:$AZ$81,$C38),0))))*$O38*S08_Defaults!$B$6*(1+S08_Defaults!$B$7)*S08_Defaults!$B$8</x:f>
        <x:v>800.4264115035201</x:v>
      </x:c>
      <x:c r="AD38" s="115" t="n">
        <x:f aca="0">(IF($K38&gt;=2,SUMIF(S14_Growth_Model_ExAnte!$C$15:$C$81,$B38,S14_Growth_Model_ExAnte!$R$15:$R$81)/$K38,IF($L38&gt;=2,SUMIF(S14_Growth_Model_ExAnte!$AY$15:$AY$81,$C38&amp;"|"&amp;$D38,S14_Growth_Model_ExAnte!$R$15:$R$81)/$L38,IF(COUNTIF(S14_Growth_Model_ExAnte!$AZ$15:$AZ$81,$C38)&gt;0,SUMIF(S14_Growth_Model_ExAnte!$AZ$15:$AZ$81,$C38,S14_Growth_Model_ExAnte!$R$15:$R$81)/COUNTIF(S14_Growth_Model_ExAnte!$AZ$15:$AZ$81,$C38),0))))*$O38*S08_Defaults!$B$6*(1+S08_Defaults!$B$7)*S08_Defaults!$B$8</x:f>
        <x:v>985.7279908298748</x:v>
      </x:c>
      <x:c r="AE38" s="115" t="n">
        <x:f aca="0">(IF($K38&gt;=2,SUMIF(S14_Growth_Model_ExAnte!$C$15:$C$81,$B38,S14_Growth_Model_ExAnte!$S$15:$S$81)/$K38,IF($L38&gt;=2,SUMIF(S14_Growth_Model_ExAnte!$AY$15:$AY$81,$C38&amp;"|"&amp;$D38,S14_Growth_Model_ExAnte!$S$15:$S$81)/$L38,IF(COUNTIF(S14_Growth_Model_ExAnte!$AZ$15:$AZ$81,$C38)&gt;0,SUMIF(S14_Growth_Model_ExAnte!$AZ$15:$AZ$81,$C38,S14_Growth_Model_ExAnte!$S$15:$S$81)/COUNTIF(S14_Growth_Model_ExAnte!$AZ$15:$AZ$81,$C38),0))))*$O38*S08_Defaults!$B$6*(1+S08_Defaults!$B$7)*S08_Defaults!$B$8</x:f>
        <x:v>1167.9219098726983</x:v>
      </x:c>
      <x:c r="AF38" s="115" t="n">
        <x:f aca="0">(IF($K38&gt;=2,SUMIF(S14_Growth_Model_ExAnte!$C$15:$C$81,$B38,S14_Growth_Model_ExAnte!$T$15:$T$81)/$K38,IF($L38&gt;=2,SUMIF(S14_Growth_Model_ExAnte!$AY$15:$AY$81,$C38&amp;"|"&amp;$D38,S14_Growth_Model_ExAnte!$T$15:$T$81)/$L38,IF(COUNTIF(S14_Growth_Model_ExAnte!$AZ$15:$AZ$81,$C38)&gt;0,SUMIF(S14_Growth_Model_ExAnte!$AZ$15:$AZ$81,$C38,S14_Growth_Model_ExAnte!$T$15:$T$81)/COUNTIF(S14_Growth_Model_ExAnte!$AZ$15:$AZ$81,$C38),0))))*$O38*S08_Defaults!$B$6*(1+S08_Defaults!$B$7)*S08_Defaults!$B$8</x:f>
        <x:v>1342.832010122195</x:v>
      </x:c>
      <x:c r="AG38" s="115" t="n">
        <x:f aca="0">(IF($K38&gt;=2,SUMIF(S14_Growth_Model_ExAnte!$C$15:$C$81,$B38,S14_Growth_Model_ExAnte!$U$15:$U$81)/$K38,IF($L38&gt;=2,SUMIF(S14_Growth_Model_ExAnte!$AY$15:$AY$81,$C38&amp;"|"&amp;$D38,S14_Growth_Model_ExAnte!$U$15:$U$81)/$L38,IF(COUNTIF(S14_Growth_Model_ExAnte!$AZ$15:$AZ$81,$C38)&gt;0,SUMIF(S14_Growth_Model_ExAnte!$AZ$15:$AZ$81,$C38,S14_Growth_Model_ExAnte!$U$15:$U$81)/COUNTIF(S14_Growth_Model_ExAnte!$AZ$15:$AZ$81,$C38),0))))*$O38*S08_Defaults!$B$6*(1+S08_Defaults!$B$7)*S08_Defaults!$B$8</x:f>
        <x:v>1507.6627401484152</x:v>
      </x:c>
      <x:c r="AH38" s="115" t="n">
        <x:f aca="0">(IF($K38&gt;=2,SUMIF(S14_Growth_Model_ExAnte!$C$15:$C$81,$B38,S14_Growth_Model_ExAnte!$V$15:$V$81)/$K38,IF($L38&gt;=2,SUMIF(S14_Growth_Model_ExAnte!$AY$15:$AY$81,$C38&amp;"|"&amp;$D38,S14_Growth_Model_ExAnte!$V$15:$V$81)/$L38,IF(COUNTIF(S14_Growth_Model_ExAnte!$AZ$15:$AZ$81,$C38)&gt;0,SUMIF(S14_Growth_Model_ExAnte!$AZ$15:$AZ$81,$C38,S14_Growth_Model_ExAnte!$V$15:$V$81)/COUNTIF(S14_Growth_Model_ExAnte!$AZ$15:$AZ$81,$C38),0))))*$O38*S08_Defaults!$B$6*(1+S08_Defaults!$B$7)*S08_Defaults!$B$8</x:f>
        <x:v>1660.7415223375106</x:v>
      </x:c>
      <x:c r="AI38" s="115" t="n">
        <x:f aca="0">(IF($K38&gt;=2,SUMIF(S14_Growth_Model_ExAnte!$C$15:$C$81,$B38,S14_Growth_Model_ExAnte!$W$15:$W$81)/$K38,IF($L38&gt;=2,SUMIF(S14_Growth_Model_ExAnte!$AY$15:$AY$81,$C38&amp;"|"&amp;$D38,S14_Growth_Model_ExAnte!$W$15:$W$81)/$L38,IF(COUNTIF(S14_Growth_Model_ExAnte!$AZ$15:$AZ$81,$C38)&gt;0,SUMIF(S14_Growth_Model_ExAnte!$AZ$15:$AZ$81,$C38,S14_Growth_Model_ExAnte!$W$15:$W$81)/COUNTIF(S14_Growth_Model_ExAnte!$AZ$15:$AZ$81,$C38),0))))*$O38*S08_Defaults!$B$6*(1+S08_Defaults!$B$7)*S08_Defaults!$B$8</x:f>
        <x:v>1801.2616538174398</x:v>
      </x:c>
      <x:c r="AJ38" s="115" t="n">
        <x:f aca="0">(IF($K38&gt;=2,SUMIF(S14_Growth_Model_ExAnte!$C$15:$C$81,$B38,S14_Growth_Model_ExAnte!$X$15:$X$81)/$K38,IF($L38&gt;=2,SUMIF(S14_Growth_Model_ExAnte!$AY$15:$AY$81,$C38&amp;"|"&amp;$D38,S14_Growth_Model_ExAnte!$X$15:$X$81)/$L38,IF(COUNTIF(S14_Growth_Model_ExAnte!$AZ$15:$AZ$81,$C38)&gt;0,SUMIF(S14_Growth_Model_ExAnte!$AZ$15:$AZ$81,$C38,S14_Growth_Model_ExAnte!$X$15:$X$81)/COUNTIF(S14_Growth_Model_ExAnte!$AZ$15:$AZ$81,$C38),0))))*$O38*S08_Defaults!$B$6*(1+S08_Defaults!$B$7)*S08_Defaults!$B$8</x:f>
        <x:v>1929.0538362337986</x:v>
      </x:c>
      <x:c r="AK38" s="115" t="n">
        <x:f aca="0">(IF($K38&gt;=2,SUMIF(S14_Growth_Model_ExAnte!$C$15:$C$81,$B38,S14_Growth_Model_ExAnte!$Y$15:$Y$81)/$K38,IF($L38&gt;=2,SUMIF(S14_Growth_Model_ExAnte!$AY$15:$AY$81,$C38&amp;"|"&amp;$D38,S14_Growth_Model_ExAnte!$Y$15:$Y$81)/$L38,IF(COUNTIF(S14_Growth_Model_ExAnte!$AZ$15:$AZ$81,$C38)&gt;0,SUMIF(S14_Growth_Model_ExAnte!$AZ$15:$AZ$81,$C38,S14_Growth_Model_ExAnte!$Y$15:$Y$81)/COUNTIF(S14_Growth_Model_ExAnte!$AZ$15:$AZ$81,$C38),0))))*$O38*S08_Defaults!$B$6*(1+S08_Defaults!$B$7)*S08_Defaults!$B$8</x:f>
        <x:v>2044.3965731837293</x:v>
      </x:c>
      <x:c r="AL38" s="115" t="n">
        <x:f aca="0">(IF($K38&gt;=2,SUMIF(S14_Growth_Model_ExAnte!$C$15:$C$81,$B38,S14_Growth_Model_ExAnte!$Z$15:$Z$81)/$K38,IF($L38&gt;=2,SUMIF(S14_Growth_Model_ExAnte!$AY$15:$AY$81,$C38&amp;"|"&amp;$D38,S14_Growth_Model_ExAnte!$Z$15:$Z$81)/$L38,IF(COUNTIF(S14_Growth_Model_ExAnte!$AZ$15:$AZ$81,$C38)&gt;0,SUMIF(S14_Growth_Model_ExAnte!$AZ$15:$AZ$81,$C38,S14_Growth_Model_ExAnte!$Z$15:$Z$81)/COUNTIF(S14_Growth_Model_ExAnte!$AZ$15:$AZ$81,$C38),0))))*$O38*S08_Defaults!$B$6*(1+S08_Defaults!$B$7)*S08_Defaults!$B$8</x:f>
        <x:v>2147.8660772599324</x:v>
      </x:c>
      <x:c r="AM38" s="115" t="n">
        <x:f aca="0">R38</x:f>
        <x:v>0</x:v>
      </x:c>
      <x:c r="AN38" s="115" t="n">
        <x:f aca="0">S38-R38</x:f>
        <x:v>0</x:v>
      </x:c>
      <x:c r="AO38" s="115" t="n">
        <x:f aca="0">T38-S38</x:f>
        <x:v>0</x:v>
      </x:c>
      <x:c r="AP38" s="115" t="n">
        <x:f aca="0">U38-T38</x:f>
        <x:v>0</x:v>
      </x:c>
      <x:c r="AQ38" s="115" t="n">
        <x:f aca="0">V38-U38</x:f>
        <x:v>2.2520589423441217</x:v>
      </x:c>
      <x:c r="AR38" s="115" t="n">
        <x:f aca="0">W38-V38</x:f>
        <x:v>19.6322194471158</x:v>
      </x:c>
      <x:c r="AS38" s="115" t="n">
        <x:f aca="0">X38-W38</x:f>
        <x:v>52.26165346673358</x:v>
      </x:c>
      <x:c r="AT38" s="115" t="n">
        <x:f aca="0">Y38-X38</x:f>
        <x:v>90.85938803357209</x:v>
      </x:c>
      <x:c r="AU38" s="115" t="n">
        <x:f aca="0">Z38-Y38</x:f>
        <x:v>126.19146674747208</x:v>
      </x:c>
      <x:c r="AV38" s="115" t="n">
        <x:f aca="0">AA38-Z38</x:f>
        <x:v>153.94212085614754</x:v>
      </x:c>
      <x:c r="AW38" s="115" t="n">
        <x:f aca="0">AB38-AA38</x:f>
        <x:v>172.63446958097632</x:v>
      </x:c>
      <x:c r="AX38" s="115" t="n">
        <x:f aca="0">AC38-AB38</x:f>
        <x:v>182.65303442915854</x:v>
      </x:c>
      <x:c r="AY38" s="115" t="n">
        <x:f aca="0">AD38-AC38</x:f>
        <x:v>185.30157932635473</x:v>
      </x:c>
      <x:c r="AZ38" s="115" t="n">
        <x:f aca="0">AE38-AD38</x:f>
        <x:v>182.1939190428235</x:v>
      </x:c>
      <x:c r="BA38" s="115" t="n">
        <x:f aca="0">AF38-AE38</x:f>
        <x:v>174.91010024949674</x:v>
      </x:c>
      <x:c r="BB38" s="115" t="n">
        <x:f aca="0">AG38-AF38</x:f>
        <x:v>164.83073002622018</x:v>
      </x:c>
      <x:c r="BC38" s="115" t="n">
        <x:f aca="0">AH38-AG38</x:f>
        <x:v>153.07878218909536</x:v>
      </x:c>
      <x:c r="BD38" s="115" t="n">
        <x:f aca="0">AI38-AH38</x:f>
        <x:v>140.5201314799292</x:v>
      </x:c>
      <x:c r="BE38" s="115" t="n">
        <x:f aca="0">AJ38-AI38</x:f>
        <x:v>127.79218241635886</x:v>
      </x:c>
      <x:c r="BF38" s="115" t="n">
        <x:f aca="0">AK38-AJ38</x:f>
        <x:v>115.34273694993067</x:v>
      </x:c>
      <x:c r="BG38" s="115" t="n">
        <x:f aca="0">AL38-AK38</x:f>
        <x:v>103.46950407620307</x:v>
      </x:c>
    </x:row>
    <x:row r="39" ht="15" hidden="0" customHeight="1">
      <x:c r="A39" s="160" t="str">
        <x:f aca="0">"S"&amp;TEXT(ROW()-3,"00")</x:f>
        <x:v>S36</x:v>
      </x:c>
      <x:c r="B39" s="161" t="s">
        <x:v>623</x:v>
      </x:c>
      <x:c r="C39" s="160" t="str">
        <x:f aca="0">LEFT($B39,FIND("|",$B39)-1)</x:f>
        <x:v>Horti-Silviculture</x:v>
      </x:c>
      <x:c r="D39" s="160" t="str">
        <x:f aca="0">MID($B39,FIND("|",$B39)+1,FIND("|",$B39,FIND("|",$B39)+1)-FIND("|",$B39)-1)</x:f>
        <x:v>Medium</x:v>
      </x:c>
      <x:c r="E39" s="160" t="n">
        <x:f aca="0">VALUE(RIGHT($B39,4))</x:f>
        <x:v>2023</x:v>
      </x:c>
      <x:c r="F39" s="115" t="n">
        <x:f aca="0">SUMIF(S17_Biome_Strata!$G$4:$G$95,$B39,S17_Biome_Strata!$E$4:$E$95)</x:f>
        <x:v>12</x:v>
      </x:c>
      <x:c r="G39" s="115" t="n">
        <x:f aca="0">SUMIF(S17_Biome_Strata!$G$4:$G$95,$B39,S17_Biome_Strata!$F$4:$F$95)</x:f>
        <x:v>10.5565</x:v>
      </x:c>
      <x:c r="H39" s="115" t="n">
        <x:f aca="0">IF($K39&gt;=2,SUMIF(S14_Growth_Model_ExAnte!$C$15:$C$81,$B39,S14_Growth_Model_ExAnte!$L$15:$L$81)/$K39,IF($L39&gt;=2,SUMIF(S14_Growth_Model_ExAnte!$AY$15:$AY$81,$C39&amp;"|"&amp;$D39,S14_Growth_Model_ExAnte!$L$15:$L$81)/$L39,IF(COUNTIF(S14_Growth_Model_ExAnte!$AZ$15:$AZ$81,$C39)&gt;0,SUMIF(S14_Growth_Model_ExAnte!$AZ$15:$AZ$81,$C39,S14_Growth_Model_ExAnte!$L$15:$L$81)/COUNTIF(S14_Growth_Model_ExAnte!$AZ$15:$AZ$81,$C39),0)))</x:f>
        <x:v>13.18747702275412</x:v>
      </x:c>
      <x:c r="I39" s="115" t="n">
        <x:f aca="0">IF($K39&gt;=2,SQRT(MAX(0,(SUMIF(S14_Growth_Model_ExAnte!$C$15:$C$81,$B39,S14_Growth_Model_ExAnte!$BD$15:$BD$81)-SUMIF(S14_Growth_Model_ExAnte!$C$15:$C$81,$B39,S14_Growth_Model_ExAnte!$L$15:$L$81)*SUMIF(S14_Growth_Model_ExAnte!$C$15:$C$81,$B39,S14_Growth_Model_ExAnte!$L$15:$L$81)/$K39)/($K39-1))),IF($L39&gt;=2,SQRT(MAX(0,(SUMIF(S14_Growth_Model_ExAnte!$AY$15:$AY$81,$C39&amp;"|"&amp;$D39,S14_Growth_Model_ExAnte!$BD$15:$BD$81)-SUMIF(S14_Growth_Model_ExAnte!$AY$15:$AY$81,$C39&amp;"|"&amp;$D39,S14_Growth_Model_ExAnte!$L$15:$L$81)*SUMIF(S14_Growth_Model_ExAnte!$AY$15:$AY$81,$C39&amp;"|"&amp;$D39,S14_Growth_Model_ExAnte!$L$15:$L$81)/$L39)/($L39-1))),IF(COUNTIF(S14_Growth_Model_ExAnte!$AZ$15:$AZ$81,$C39)&gt;=2,SQRT(MAX(0,(SUMIF(S14_Growth_Model_ExAnte!$AZ$15:$AZ$81,$C39,S14_Growth_Model_ExAnte!$BD$15:$BD$81)-SUMIF(S14_Growth_Model_ExAnte!$AZ$15:$AZ$81,$C39,S14_Growth_Model_ExAnte!$L$15:$L$81)*SUMIF(S14_Growth_Model_ExAnte!$AZ$15:$AZ$81,$C39,S14_Growth_Model_ExAnte!$L$15:$L$81)/COUNTIF(S14_Growth_Model_ExAnte!$AZ$15:$AZ$81,$C39))/(COUNTIF(S14_Growth_Model_ExAnte!$AZ$15:$AZ$81,$C39)-1))),0)))</x:f>
        <x:v>27.78345651803168</x:v>
      </x:c>
      <x:c r="J39" s="115" t="n">
        <x:f aca="0">IFERROR(I39/H39,0)</x:f>
        <x:v>2.1068060607873034</x:v>
      </x:c>
      <x:c r="K39" s="115" t="n">
        <x:f aca="0">COUNTIF(S14_Growth_Model_ExAnte!$C$15:$C$81,$B39)</x:f>
        <x:v>1</x:v>
      </x:c>
      <x:c r="L39" s="115" t="n">
        <x:f aca="0">COUNTIF(S14_Growth_Model_ExAnte!$AY$15:$AY$81,$C39&amp;"|"&amp;$D39)</x:f>
        <x:v>9</x:v>
      </x:c>
      <x:c r="M39" s="115" t="n">
        <x:f aca="0">$H39</x:f>
        <x:v>13.18747702275412</x:v>
      </x:c>
      <x:c r="N39" s="115" t="n">
        <x:f aca="0">MAX(0,$M39*S08_Defaults!$B$5)</x:f>
        <x:v>9.890607767065589</x:v>
      </x:c>
      <x:c r="O39" s="115" t="n">
        <x:f aca="0">IFERROR($N39/$M39,0)</x:f>
        <x:v>0.7499999999999999</x:v>
      </x:c>
      <x:c r="P39" s="115" t="str">
        <x:f aca="0">IF($K39&gt;=2,"Exact Stratum PSP Chapman-Richards curve",IF($L39&gt;=2,"Model×Density pooled Chapman-Richards curve","Model pooled Chapman-Richards curve"))</x:f>
        <x:v>Model×Density pooled Chapman-Richards curve</x:v>
      </x:c>
      <x:c r="Q39" s="162" t="s">
        <x:v>1106</x:v>
      </x:c>
      <x:c r="R39" s="115" t="n">
        <x:f aca="0">0</x:f>
        <x:v>0</x:v>
      </x:c>
      <x:c r="S39" s="115" t="n">
        <x:f aca="0">0</x:f>
        <x:v>0</x:v>
      </x:c>
      <x:c r="T39" s="115" t="n">
        <x:f aca="0">0</x:f>
        <x:v>0</x:v>
      </x:c>
      <x:c r="U39" s="115" t="n">
        <x:f aca="0">(IF($K39&gt;=2,SUMIF(S14_Growth_Model_ExAnte!$C$15:$C$81,$B39,S14_Growth_Model_ExAnte!$I$15:$I$81)/$K39,IF($L39&gt;=2,SUMIF(S14_Growth_Model_ExAnte!$AY$15:$AY$81,$C39&amp;"|"&amp;$D39,S14_Growth_Model_ExAnte!$I$15:$I$81)/$L39,IF(COUNTIF(S14_Growth_Model_ExAnte!$AZ$15:$AZ$81,$C39)&gt;0,SUMIF(S14_Growth_Model_ExAnte!$AZ$15:$AZ$81,$C39,S14_Growth_Model_ExAnte!$I$15:$I$81)/COUNTIF(S14_Growth_Model_ExAnte!$AZ$15:$AZ$81,$C39),0))))*$O39*S08_Defaults!$B$6*(1+S08_Defaults!$B$7)*S08_Defaults!$B$8</x:f>
        <x:v>0</x:v>
      </x:c>
      <x:c r="V39" s="115" t="n">
        <x:f aca="0">(IF($K39&gt;=2,SUMIF(S14_Growth_Model_ExAnte!$C$15:$C$81,$B39,S14_Growth_Model_ExAnte!$J$15:$J$81)/$K39,IF($L39&gt;=2,SUMIF(S14_Growth_Model_ExAnte!$AY$15:$AY$81,$C39&amp;"|"&amp;$D39,S14_Growth_Model_ExAnte!$J$15:$J$81)/$L39,IF(COUNTIF(S14_Growth_Model_ExAnte!$AZ$15:$AZ$81,$C39)&gt;0,SUMIF(S14_Growth_Model_ExAnte!$AZ$15:$AZ$81,$C39,S14_Growth_Model_ExAnte!$J$15:$J$81)/COUNTIF(S14_Growth_Model_ExAnte!$AZ$15:$AZ$81,$C39),0))))*$O39*S08_Defaults!$B$6*(1+S08_Defaults!$B$7)*S08_Defaults!$B$8</x:f>
        <x:v>0.6441032625151308</x:v>
      </x:c>
      <x:c r="W39" s="115" t="n">
        <x:f aca="0">(IF($K39&gt;=2,SUMIF(S14_Growth_Model_ExAnte!$C$15:$C$81,$B39,S14_Growth_Model_ExAnte!$K$15:$K$81)/$K39,IF($L39&gt;=2,SUMIF(S14_Growth_Model_ExAnte!$AY$15:$AY$81,$C39&amp;"|"&amp;$D39,S14_Growth_Model_ExAnte!$K$15:$K$81)/$L39,IF(COUNTIF(S14_Growth_Model_ExAnte!$AZ$15:$AZ$81,$C39)&gt;0,SUMIF(S14_Growth_Model_ExAnte!$AZ$15:$AZ$81,$C39,S14_Growth_Model_ExAnte!$K$15:$K$81)/COUNTIF(S14_Growth_Model_ExAnte!$AZ$15:$AZ$81,$C39),0))))*$O39*S08_Defaults!$B$6*(1+S08_Defaults!$B$7)*S08_Defaults!$B$8</x:f>
        <x:v>6.274634952775497</x:v>
      </x:c>
      <x:c r="X39" s="115" t="n">
        <x:f aca="0">(IF($K39&gt;=2,SUMIF(S14_Growth_Model_ExAnte!$C$15:$C$81,$B39,S14_Growth_Model_ExAnte!$L$15:$L$81)/$K39,IF($L39&gt;=2,SUMIF(S14_Growth_Model_ExAnte!$AY$15:$AY$81,$C39&amp;"|"&amp;$D39,S14_Growth_Model_ExAnte!$L$15:$L$81)/$L39,IF(COUNTIF(S14_Growth_Model_ExAnte!$AZ$15:$AZ$81,$C39)&gt;0,SUMIF(S14_Growth_Model_ExAnte!$AZ$15:$AZ$81,$C39,S14_Growth_Model_ExAnte!$L$15:$L$81)/COUNTIF(S14_Growth_Model_ExAnte!$AZ$15:$AZ$81,$C39),0))))*$O39*S08_Defaults!$B$6*(1+S08_Defaults!$B$7)*S08_Defaults!$B$8</x:f>
        <x:v>21.135569424368043</x:v>
      </x:c>
      <x:c r="Y39" s="115" t="n">
        <x:f aca="0">(IF($K39&gt;=2,SUMIF(S14_Growth_Model_ExAnte!$C$15:$C$81,$B39,S14_Growth_Model_ExAnte!$M$15:$M$81)/$K39,IF($L39&gt;=2,SUMIF(S14_Growth_Model_ExAnte!$AY$15:$AY$81,$C39&amp;"|"&amp;$D39,S14_Growth_Model_ExAnte!$M$15:$M$81)/$L39,IF(COUNTIF(S14_Growth_Model_ExAnte!$AZ$15:$AZ$81,$C39)&gt;0,SUMIF(S14_Growth_Model_ExAnte!$AZ$15:$AZ$81,$C39,S14_Growth_Model_ExAnte!$M$15:$M$81)/COUNTIF(S14_Growth_Model_ExAnte!$AZ$15:$AZ$81,$C39),0))))*$O39*S08_Defaults!$B$6*(1+S08_Defaults!$B$7)*S08_Defaults!$B$8</x:f>
        <x:v>46.619287219295934</x:v>
      </x:c>
      <x:c r="Z39" s="115" t="n">
        <x:f aca="0">(IF($K39&gt;=2,SUMIF(S14_Growth_Model_ExAnte!$C$15:$C$81,$B39,S14_Growth_Model_ExAnte!$N$15:$N$81)/$K39,IF($L39&gt;=2,SUMIF(S14_Growth_Model_ExAnte!$AY$15:$AY$81,$C39&amp;"|"&amp;$D39,S14_Growth_Model_ExAnte!$N$15:$N$81)/$L39,IF(COUNTIF(S14_Growth_Model_ExAnte!$AZ$15:$AZ$81,$C39)&gt;0,SUMIF(S14_Growth_Model_ExAnte!$AZ$15:$AZ$81,$C39,S14_Growth_Model_ExAnte!$N$15:$N$81)/COUNTIF(S14_Growth_Model_ExAnte!$AZ$15:$AZ$81,$C39),0))))*$O39*S08_Defaults!$B$6*(1+S08_Defaults!$B$7)*S08_Defaults!$B$8</x:f>
        <x:v>81.45290097807585</x:v>
      </x:c>
      <x:c r="AA39" s="115" t="n">
        <x:f aca="0">(IF($K39&gt;=2,SUMIF(S14_Growth_Model_ExAnte!$C$15:$C$81,$B39,S14_Growth_Model_ExAnte!$O$15:$O$81)/$K39,IF($L39&gt;=2,SUMIF(S14_Growth_Model_ExAnte!$AY$15:$AY$81,$C39&amp;"|"&amp;$D39,S14_Growth_Model_ExAnte!$O$15:$O$81)/$L39,IF(COUNTIF(S14_Growth_Model_ExAnte!$AZ$15:$AZ$81,$C39)&gt;0,SUMIF(S14_Growth_Model_ExAnte!$AZ$15:$AZ$81,$C39,S14_Growth_Model_ExAnte!$O$15:$O$81)/COUNTIF(S14_Growth_Model_ExAnte!$AZ$15:$AZ$81,$C39),0))))*$O39*S08_Defaults!$B$6*(1+S08_Defaults!$B$7)*S08_Defaults!$B$8</x:f>
        <x:v>123.24721308749872</x:v>
      </x:c>
      <x:c r="AB39" s="115" t="n">
        <x:f aca="0">(IF($K39&gt;=2,SUMIF(S14_Growth_Model_ExAnte!$C$15:$C$81,$B39,S14_Growth_Model_ExAnte!$P$15:$P$81)/$K39,IF($L39&gt;=2,SUMIF(S14_Growth_Model_ExAnte!$AY$15:$AY$81,$C39&amp;"|"&amp;$D39,S14_Growth_Model_ExAnte!$P$15:$P$81)/$L39,IF(COUNTIF(S14_Growth_Model_ExAnte!$AZ$15:$AZ$81,$C39)&gt;0,SUMIF(S14_Growth_Model_ExAnte!$AZ$15:$AZ$81,$C39,S14_Growth_Model_ExAnte!$P$15:$P$81)/COUNTIF(S14_Growth_Model_ExAnte!$AZ$15:$AZ$81,$C39),0))))*$O39*S08_Defaults!$B$6*(1+S08_Defaults!$B$7)*S08_Defaults!$B$8</x:f>
        <x:v>169.35150899149954</x:v>
      </x:c>
      <x:c r="AC39" s="115" t="n">
        <x:f aca="0">(IF($K39&gt;=2,SUMIF(S14_Growth_Model_ExAnte!$C$15:$C$81,$B39,S14_Growth_Model_ExAnte!$Q$15:$Q$81)/$K39,IF($L39&gt;=2,SUMIF(S14_Growth_Model_ExAnte!$AY$15:$AY$81,$C39&amp;"|"&amp;$D39,S14_Growth_Model_ExAnte!$Q$15:$Q$81)/$L39,IF(COUNTIF(S14_Growth_Model_ExAnte!$AZ$15:$AZ$81,$C39)&gt;0,SUMIF(S14_Growth_Model_ExAnte!$AZ$15:$AZ$81,$C39,S14_Growth_Model_ExAnte!$Q$15:$Q$81)/COUNTIF(S14_Growth_Model_ExAnte!$AZ$15:$AZ$81,$C39),0))))*$O39*S08_Defaults!$B$6*(1+S08_Defaults!$B$7)*S08_Defaults!$B$8</x:f>
        <x:v>217.36351064090425</x:v>
      </x:c>
      <x:c r="AD39" s="115" t="n">
        <x:f aca="0">(IF($K39&gt;=2,SUMIF(S14_Growth_Model_ExAnte!$C$15:$C$81,$B39,S14_Growth_Model_ExAnte!$R$15:$R$81)/$K39,IF($L39&gt;=2,SUMIF(S14_Growth_Model_ExAnte!$AY$15:$AY$81,$C39&amp;"|"&amp;$D39,S14_Growth_Model_ExAnte!$R$15:$R$81)/$L39,IF(COUNTIF(S14_Growth_Model_ExAnte!$AZ$15:$AZ$81,$C39)&gt;0,SUMIF(S14_Growth_Model_ExAnte!$AZ$15:$AZ$81,$C39,S14_Growth_Model_ExAnte!$R$15:$R$81)/COUNTIF(S14_Growth_Model_ExAnte!$AZ$15:$AZ$81,$C39),0))))*$O39*S08_Defaults!$B$6*(1+S08_Defaults!$B$7)*S08_Defaults!$B$8</x:f>
        <x:v>265.344681879956</x:v>
      </x:c>
      <x:c r="AE39" s="115" t="n">
        <x:f aca="0">(IF($K39&gt;=2,SUMIF(S14_Growth_Model_ExAnte!$C$15:$C$81,$B39,S14_Growth_Model_ExAnte!$S$15:$S$81)/$K39,IF($L39&gt;=2,SUMIF(S14_Growth_Model_ExAnte!$AY$15:$AY$81,$C39&amp;"|"&amp;$D39,S14_Growth_Model_ExAnte!$S$15:$S$81)/$L39,IF(COUNTIF(S14_Growth_Model_ExAnte!$AZ$15:$AZ$81,$C39)&gt;0,SUMIF(S14_Growth_Model_ExAnte!$AZ$15:$AZ$81,$C39,S14_Growth_Model_ExAnte!$S$15:$S$81)/COUNTIF(S14_Growth_Model_ExAnte!$AZ$15:$AZ$81,$C39),0))))*$O39*S08_Defaults!$B$6*(1+S08_Defaults!$B$7)*S08_Defaults!$B$8</x:f>
        <x:v>311.8611919642844</x:v>
      </x:c>
      <x:c r="AF39" s="115" t="n">
        <x:f aca="0">(IF($K39&gt;=2,SUMIF(S14_Growth_Model_ExAnte!$C$15:$C$81,$B39,S14_Growth_Model_ExAnte!$T$15:$T$81)/$K39,IF($L39&gt;=2,SUMIF(S14_Growth_Model_ExAnte!$AY$15:$AY$81,$C39&amp;"|"&amp;$D39,S14_Growth_Model_ExAnte!$T$15:$T$81)/$L39,IF(COUNTIF(S14_Growth_Model_ExAnte!$AZ$15:$AZ$81,$C39)&gt;0,SUMIF(S14_Growth_Model_ExAnte!$AZ$15:$AZ$81,$C39,S14_Growth_Model_ExAnte!$T$15:$T$81)/COUNTIF(S14_Growth_Model_ExAnte!$AZ$15:$AZ$81,$C39),0))))*$O39*S08_Defaults!$B$6*(1+S08_Defaults!$B$7)*S08_Defaults!$B$8</x:f>
        <x:v>355.9372993896785</x:v>
      </x:c>
      <x:c r="AG39" s="115" t="n">
        <x:f aca="0">(IF($K39&gt;=2,SUMIF(S14_Growth_Model_ExAnte!$C$15:$C$81,$B39,S14_Growth_Model_ExAnte!$U$15:$U$81)/$K39,IF($L39&gt;=2,SUMIF(S14_Growth_Model_ExAnte!$AY$15:$AY$81,$C39&amp;"|"&amp;$D39,S14_Growth_Model_ExAnte!$U$15:$U$81)/$L39,IF(COUNTIF(S14_Growth_Model_ExAnte!$AZ$15:$AZ$81,$C39)&gt;0,SUMIF(S14_Growth_Model_ExAnte!$AZ$15:$AZ$81,$C39,S14_Growth_Model_ExAnte!$U$15:$U$81)/COUNTIF(S14_Growth_Model_ExAnte!$AZ$15:$AZ$81,$C39),0))))*$O39*S08_Defaults!$B$6*(1+S08_Defaults!$B$7)*S08_Defaults!$B$8</x:f>
        <x:v>396.9743353937887</x:v>
      </x:c>
      <x:c r="AH39" s="115" t="n">
        <x:f aca="0">(IF($K39&gt;=2,SUMIF(S14_Growth_Model_ExAnte!$C$15:$C$81,$B39,S14_Growth_Model_ExAnte!$V$15:$V$81)/$K39,IF($L39&gt;=2,SUMIF(S14_Growth_Model_ExAnte!$AY$15:$AY$81,$C39&amp;"|"&amp;$D39,S14_Growth_Model_ExAnte!$V$15:$V$81)/$L39,IF(COUNTIF(S14_Growth_Model_ExAnte!$AZ$15:$AZ$81,$C39)&gt;0,SUMIF(S14_Growth_Model_ExAnte!$AZ$15:$AZ$81,$C39,S14_Growth_Model_ExAnte!$V$15:$V$81)/COUNTIF(S14_Growth_Model_ExAnte!$AZ$15:$AZ$81,$C39),0))))*$O39*S08_Defaults!$B$6*(1+S08_Defaults!$B$7)*S08_Defaults!$B$8</x:f>
        <x:v>434.6642361232781</x:v>
      </x:c>
      <x:c r="AI39" s="115" t="n">
        <x:f aca="0">(IF($K39&gt;=2,SUMIF(S14_Growth_Model_ExAnte!$C$15:$C$81,$B39,S14_Growth_Model_ExAnte!$W$15:$W$81)/$K39,IF($L39&gt;=2,SUMIF(S14_Growth_Model_ExAnte!$AY$15:$AY$81,$C39&amp;"|"&amp;$D39,S14_Growth_Model_ExAnte!$W$15:$W$81)/$L39,IF(COUNTIF(S14_Growth_Model_ExAnte!$AZ$15:$AZ$81,$C39)&gt;0,SUMIF(S14_Growth_Model_ExAnte!$AZ$15:$AZ$81,$C39,S14_Growth_Model_ExAnte!$W$15:$W$81)/COUNTIF(S14_Growth_Model_ExAnte!$AZ$15:$AZ$81,$C39),0))))*$O39*S08_Defaults!$B$6*(1+S08_Defaults!$B$7)*S08_Defaults!$B$8</x:f>
        <x:v>468.9113865813358</x:v>
      </x:c>
      <x:c r="AJ39" s="115" t="n">
        <x:f aca="0">(IF($K39&gt;=2,SUMIF(S14_Growth_Model_ExAnte!$C$15:$C$81,$B39,S14_Growth_Model_ExAnte!$X$15:$X$81)/$K39,IF($L39&gt;=2,SUMIF(S14_Growth_Model_ExAnte!$AY$15:$AY$81,$C39&amp;"|"&amp;$D39,S14_Growth_Model_ExAnte!$X$15:$X$81)/$L39,IF(COUNTIF(S14_Growth_Model_ExAnte!$AZ$15:$AZ$81,$C39)&gt;0,SUMIF(S14_Growth_Model_ExAnte!$AZ$15:$AZ$81,$C39,S14_Growth_Model_ExAnte!$X$15:$X$81)/COUNTIF(S14_Growth_Model_ExAnte!$AZ$15:$AZ$81,$C39),0))))*$O39*S08_Defaults!$B$6*(1+S08_Defaults!$B$7)*S08_Defaults!$B$8</x:f>
        <x:v>499.76788910383027</x:v>
      </x:c>
      <x:c r="AK39" s="115" t="n">
        <x:f aca="0">(IF($K39&gt;=2,SUMIF(S14_Growth_Model_ExAnte!$C$15:$C$81,$B39,S14_Growth_Model_ExAnte!$Y$15:$Y$81)/$K39,IF($L39&gt;=2,SUMIF(S14_Growth_Model_ExAnte!$AY$15:$AY$81,$C39&amp;"|"&amp;$D39,S14_Growth_Model_ExAnte!$Y$15:$Y$81)/$L39,IF(COUNTIF(S14_Growth_Model_ExAnte!$AZ$15:$AZ$81,$C39)&gt;0,SUMIF(S14_Growth_Model_ExAnte!$AZ$15:$AZ$81,$C39,S14_Growth_Model_ExAnte!$Y$15:$Y$81)/COUNTIF(S14_Growth_Model_ExAnte!$AZ$15:$AZ$81,$C39),0))))*$O39*S08_Defaults!$B$6*(1+S08_Defaults!$B$7)*S08_Defaults!$B$8</x:f>
        <x:v>527.3828772183897</x:v>
      </x:c>
      <x:c r="AL39" s="115" t="n">
        <x:f aca="0">(IF($K39&gt;=2,SUMIF(S14_Growth_Model_ExAnte!$C$15:$C$81,$B39,S14_Growth_Model_ExAnte!$Z$15:$Z$81)/$K39,IF($L39&gt;=2,SUMIF(S14_Growth_Model_ExAnte!$AY$15:$AY$81,$C39&amp;"|"&amp;$D39,S14_Growth_Model_ExAnte!$Z$15:$Z$81)/$L39,IF(COUNTIF(S14_Growth_Model_ExAnte!$AZ$15:$AZ$81,$C39)&gt;0,SUMIF(S14_Growth_Model_ExAnte!$AZ$15:$AZ$81,$C39,S14_Growth_Model_ExAnte!$Z$15:$Z$81)/COUNTIF(S14_Growth_Model_ExAnte!$AZ$15:$AZ$81,$C39),0))))*$O39*S08_Defaults!$B$6*(1+S08_Defaults!$B$7)*S08_Defaults!$B$8</x:f>
        <x:v>551.9644413483702</x:v>
      </x:c>
      <x:c r="AM39" s="115" t="n">
        <x:f aca="0">R39</x:f>
        <x:v>0</x:v>
      </x:c>
      <x:c r="AN39" s="115" t="n">
        <x:f aca="0">S39-R39</x:f>
        <x:v>0</x:v>
      </x:c>
      <x:c r="AO39" s="115" t="n">
        <x:f aca="0">T39-S39</x:f>
        <x:v>0</x:v>
      </x:c>
      <x:c r="AP39" s="115" t="n">
        <x:f aca="0">U39-T39</x:f>
        <x:v>0</x:v>
      </x:c>
      <x:c r="AQ39" s="115" t="n">
        <x:f aca="0">V39-U39</x:f>
        <x:v>0.6441032625151308</x:v>
      </x:c>
      <x:c r="AR39" s="115" t="n">
        <x:f aca="0">W39-V39</x:f>
        <x:v>5.630531690260367</x:v>
      </x:c>
      <x:c r="AS39" s="115" t="n">
        <x:f aca="0">X39-W39</x:f>
        <x:v>14.860934471592547</x:v>
      </x:c>
      <x:c r="AT39" s="115" t="n">
        <x:f aca="0">Y39-X39</x:f>
        <x:v>25.48371779492789</x:v>
      </x:c>
      <x:c r="AU39" s="115" t="n">
        <x:f aca="0">Z39-Y39</x:f>
        <x:v>34.83361375877991</x:v>
      </x:c>
      <x:c r="AV39" s="115" t="n">
        <x:f aca="0">AA39-Z39</x:f>
        <x:v>41.794312109422876</x:v>
      </x:c>
      <x:c r="AW39" s="115" t="n">
        <x:f aca="0">AB39-AA39</x:f>
        <x:v>46.10429590400082</x:v>
      </x:c>
      <x:c r="AX39" s="115" t="n">
        <x:f aca="0">AC39-AB39</x:f>
        <x:v>48.01200164940471</x:v>
      </x:c>
      <x:c r="AY39" s="115" t="n">
        <x:f aca="0">AD39-AC39</x:f>
        <x:v>47.98117123905175</x:v>
      </x:c>
      <x:c r="AZ39" s="115" t="n">
        <x:f aca="0">AE39-AD39</x:f>
        <x:v>46.51651008432839</x:v>
      </x:c>
      <x:c r="BA39" s="115" t="n">
        <x:f aca="0">AF39-AE39</x:f>
        <x:v>44.07610742539413</x:v>
      </x:c>
      <x:c r="BB39" s="115" t="n">
        <x:f aca="0">AG39-AF39</x:f>
        <x:v>41.03703600411018</x:v>
      </x:c>
      <x:c r="BC39" s="115" t="n">
        <x:f aca="0">AH39-AG39</x:f>
        <x:v>37.68990072948941</x:v>
      </x:c>
      <x:c r="BD39" s="115" t="n">
        <x:f aca="0">AI39-AH39</x:f>
        <x:v>34.24715045805772</x:v>
      </x:c>
      <x:c r="BE39" s="115" t="n">
        <x:f aca="0">AJ39-AI39</x:f>
        <x:v>30.856502522494452</x:v>
      </x:c>
      <x:c r="BF39" s="115" t="n">
        <x:f aca="0">AK39-AJ39</x:f>
        <x:v>27.614988114559424</x:v>
      </x:c>
      <x:c r="BG39" s="115" t="n">
        <x:f aca="0">AL39-AK39</x:f>
        <x:v>24.581564129980507</x:v>
      </x:c>
    </x:row>
    <x:row r="40" ht="15" hidden="0" customHeight="1">
      <x:c r="A40" s="160" t="str">
        <x:f aca="0">"S"&amp;TEXT(ROW()-3,"00")</x:f>
        <x:v>S37</x:v>
      </x:c>
      <x:c r="B40" s="161" t="s">
        <x:v>1118</x:v>
      </x:c>
      <x:c r="C40" s="160" t="str">
        <x:f aca="0">LEFT($B40,FIND("|",$B40)-1)</x:f>
        <x:v>Fruit Orchard</x:v>
      </x:c>
      <x:c r="D40" s="160" t="str">
        <x:f aca="0">MID($B40,FIND("|",$B40)+1,FIND("|",$B40,FIND("|",$B40)+1)-FIND("|",$B40)-1)</x:f>
        <x:v>High</x:v>
      </x:c>
      <x:c r="E40" s="160" t="n">
        <x:f aca="0">VALUE(RIGHT($B40,4))</x:f>
        <x:v>2023</x:v>
      </x:c>
      <x:c r="F40" s="115" t="n">
        <x:f aca="0">SUMIF(S17_Biome_Strata!$G$4:$G$95,$B40,S17_Biome_Strata!$E$4:$E$95)</x:f>
        <x:v>20</x:v>
      </x:c>
      <x:c r="G40" s="115" t="n">
        <x:f aca="0">SUMIF(S17_Biome_Strata!$G$4:$G$95,$B40,S17_Biome_Strata!$F$4:$F$95)</x:f>
        <x:v>18.0278</x:v>
      </x:c>
      <x:c r="H40" s="115" t="n">
        <x:f aca="0">IF($K40&gt;=2,SUMIF(S14_Growth_Model_ExAnte!$C$15:$C$81,$B40,S14_Growth_Model_ExAnte!$L$15:$L$81)/$K40,IF($L40&gt;=2,SUMIF(S14_Growth_Model_ExAnte!$AY$15:$AY$81,$C40&amp;"|"&amp;$D40,S14_Growth_Model_ExAnte!$L$15:$L$81)/$L40,IF(COUNTIF(S14_Growth_Model_ExAnte!$AZ$15:$AZ$81,$C40)&gt;0,SUMIF(S14_Growth_Model_ExAnte!$AZ$15:$AZ$81,$C40,S14_Growth_Model_ExAnte!$L$15:$L$81)/COUNTIF(S14_Growth_Model_ExAnte!$AZ$15:$AZ$81,$C40),0)))</x:f>
        <x:v>2.5999192128220536</x:v>
      </x:c>
      <x:c r="I40" s="115" t="n">
        <x:f aca="0">IF($K40&gt;=2,SQRT(MAX(0,(SUMIF(S14_Growth_Model_ExAnte!$C$15:$C$81,$B40,S14_Growth_Model_ExAnte!$BD$15:$BD$81)-SUMIF(S14_Growth_Model_ExAnte!$C$15:$C$81,$B40,S14_Growth_Model_ExAnte!$L$15:$L$81)*SUMIF(S14_Growth_Model_ExAnte!$C$15:$C$81,$B40,S14_Growth_Model_ExAnte!$L$15:$L$81)/$K40)/($K40-1))),IF($L40&gt;=2,SQRT(MAX(0,(SUMIF(S14_Growth_Model_ExAnte!$AY$15:$AY$81,$C40&amp;"|"&amp;$D40,S14_Growth_Model_ExAnte!$BD$15:$BD$81)-SUMIF(S14_Growth_Model_ExAnte!$AY$15:$AY$81,$C40&amp;"|"&amp;$D40,S14_Growth_Model_ExAnte!$L$15:$L$81)*SUMIF(S14_Growth_Model_ExAnte!$AY$15:$AY$81,$C40&amp;"|"&amp;$D40,S14_Growth_Model_ExAnte!$L$15:$L$81)/$L40)/($L40-1))),IF(COUNTIF(S14_Growth_Model_ExAnte!$AZ$15:$AZ$81,$C40)&gt;=2,SQRT(MAX(0,(SUMIF(S14_Growth_Model_ExAnte!$AZ$15:$AZ$81,$C40,S14_Growth_Model_ExAnte!$BD$15:$BD$81)-SUMIF(S14_Growth_Model_ExAnte!$AZ$15:$AZ$81,$C40,S14_Growth_Model_ExAnte!$L$15:$L$81)*SUMIF(S14_Growth_Model_ExAnte!$AZ$15:$AZ$81,$C40,S14_Growth_Model_ExAnte!$L$15:$L$81)/COUNTIF(S14_Growth_Model_ExAnte!$AZ$15:$AZ$81,$C40))/(COUNTIF(S14_Growth_Model_ExAnte!$AZ$15:$AZ$81,$C40)-1))),0)))</x:f>
        <x:v>1.003668565439385</x:v>
      </x:c>
      <x:c r="J40" s="115" t="n">
        <x:f aca="0">IFERROR(I40/H40,0)</x:f>
        <x:v>0.38603836630368377</x:v>
      </x:c>
      <x:c r="K40" s="115" t="n">
        <x:f aca="0">COUNTIF(S14_Growth_Model_ExAnte!$C$15:$C$81,$B40)</x:f>
        <x:v>0</x:v>
      </x:c>
      <x:c r="L40" s="115" t="n">
        <x:f aca="0">COUNTIF(S14_Growth_Model_ExAnte!$AY$15:$AY$81,$C40&amp;"|"&amp;$D40)</x:f>
        <x:v>3</x:v>
      </x:c>
      <x:c r="M40" s="115" t="n">
        <x:f aca="0">$H40</x:f>
        <x:v>2.5999192128220536</x:v>
      </x:c>
      <x:c r="N40" s="115" t="n">
        <x:f aca="0">MAX(0,$M40*S08_Defaults!$B$5)</x:f>
        <x:v>1.9499394096165403</x:v>
      </x:c>
      <x:c r="O40" s="115" t="n">
        <x:f aca="0">IFERROR($N40/$M40,0)</x:f>
        <x:v>0.75</x:v>
      </x:c>
      <x:c r="P40" s="115" t="str">
        <x:f aca="0">IF($K40&gt;=2,"Exact Stratum PSP Chapman-Richards curve",IF($L40&gt;=2,"Model×Density pooled Chapman-Richards curve","Model pooled Chapman-Richards curve"))</x:f>
        <x:v>Model×Density pooled Chapman-Richards curve</x:v>
      </x:c>
      <x:c r="Q40" s="162" t="s">
        <x:v>1106</x:v>
      </x:c>
      <x:c r="R40" s="115" t="n">
        <x:f aca="0">0</x:f>
        <x:v>0</x:v>
      </x:c>
      <x:c r="S40" s="115" t="n">
        <x:f aca="0">0</x:f>
        <x:v>0</x:v>
      </x:c>
      <x:c r="T40" s="115" t="n">
        <x:f aca="0">0</x:f>
        <x:v>0</x:v>
      </x:c>
      <x:c r="U40" s="115" t="n">
        <x:f aca="0">(IF($K40&gt;=2,SUMIF(S14_Growth_Model_ExAnte!$C$15:$C$81,$B40,S14_Growth_Model_ExAnte!$I$15:$I$81)/$K40,IF($L40&gt;=2,SUMIF(S14_Growth_Model_ExAnte!$AY$15:$AY$81,$C40&amp;"|"&amp;$D40,S14_Growth_Model_ExAnte!$I$15:$I$81)/$L40,IF(COUNTIF(S14_Growth_Model_ExAnte!$AZ$15:$AZ$81,$C40)&gt;0,SUMIF(S14_Growth_Model_ExAnte!$AZ$15:$AZ$81,$C40,S14_Growth_Model_ExAnte!$I$15:$I$81)/COUNTIF(S14_Growth_Model_ExAnte!$AZ$15:$AZ$81,$C40),0))))*$O40*S08_Defaults!$B$6*(1+S08_Defaults!$B$7)*S08_Defaults!$B$8</x:f>
        <x:v>0</x:v>
      </x:c>
      <x:c r="V40" s="115" t="n">
        <x:f aca="0">(IF($K40&gt;=2,SUMIF(S14_Growth_Model_ExAnte!$C$15:$C$81,$B40,S14_Growth_Model_ExAnte!$J$15:$J$81)/$K40,IF($L40&gt;=2,SUMIF(S14_Growth_Model_ExAnte!$AY$15:$AY$81,$C40&amp;"|"&amp;$D40,S14_Growth_Model_ExAnte!$J$15:$J$81)/$L40,IF(COUNTIF(S14_Growth_Model_ExAnte!$AZ$15:$AZ$81,$C40)&gt;0,SUMIF(S14_Growth_Model_ExAnte!$AZ$15:$AZ$81,$C40,S14_Growth_Model_ExAnte!$J$15:$J$81)/COUNTIF(S14_Growth_Model_ExAnte!$AZ$15:$AZ$81,$C40),0))))*$O40*S08_Defaults!$B$6*(1+S08_Defaults!$B$7)*S08_Defaults!$B$8</x:f>
        <x:v>0.08843419078662754</x:v>
      </x:c>
      <x:c r="W40" s="115" t="n">
        <x:f aca="0">(IF($K40&gt;=2,SUMIF(S14_Growth_Model_ExAnte!$C$15:$C$81,$B40,S14_Growth_Model_ExAnte!$K$15:$K$81)/$K40,IF($L40&gt;=2,SUMIF(S14_Growth_Model_ExAnte!$AY$15:$AY$81,$C40&amp;"|"&amp;$D40,S14_Growth_Model_ExAnte!$K$15:$K$81)/$L40,IF(COUNTIF(S14_Growth_Model_ExAnte!$AZ$15:$AZ$81,$C40)&gt;0,SUMIF(S14_Growth_Model_ExAnte!$AZ$15:$AZ$81,$C40,S14_Growth_Model_ExAnte!$K$15:$K$81)/COUNTIF(S14_Growth_Model_ExAnte!$AZ$15:$AZ$81,$C40),0))))*$O40*S08_Defaults!$B$6*(1+S08_Defaults!$B$7)*S08_Defaults!$B$8</x:f>
        <x:v>1.1000414117303818</x:v>
      </x:c>
      <x:c r="X40" s="115" t="n">
        <x:f aca="0">(IF($K40&gt;=2,SUMIF(S14_Growth_Model_ExAnte!$C$15:$C$81,$B40,S14_Growth_Model_ExAnte!$L$15:$L$81)/$K40,IF($L40&gt;=2,SUMIF(S14_Growth_Model_ExAnte!$AY$15:$AY$81,$C40&amp;"|"&amp;$D40,S14_Growth_Model_ExAnte!$L$15:$L$81)/$L40,IF(COUNTIF(S14_Growth_Model_ExAnte!$AZ$15:$AZ$81,$C40)&gt;0,SUMIF(S14_Growth_Model_ExAnte!$AZ$15:$AZ$81,$C40,S14_Growth_Model_ExAnte!$L$15:$L$81)/COUNTIF(S14_Growth_Model_ExAnte!$AZ$15:$AZ$81,$C40),0))))*$O40*S08_Defaults!$B$6*(1+S08_Defaults!$B$7)*S08_Defaults!$B$8</x:f>
        <x:v>4.1668905223899095</x:v>
      </x:c>
      <x:c r="Y40" s="115" t="n">
        <x:f aca="0">(IF($K40&gt;=2,SUMIF(S14_Growth_Model_ExAnte!$C$15:$C$81,$B40,S14_Growth_Model_ExAnte!$M$15:$M$81)/$K40,IF($L40&gt;=2,SUMIF(S14_Growth_Model_ExAnte!$AY$15:$AY$81,$C40&amp;"|"&amp;$D40,S14_Growth_Model_ExAnte!$M$15:$M$81)/$L40,IF(COUNTIF(S14_Growth_Model_ExAnte!$AZ$15:$AZ$81,$C40)&gt;0,SUMIF(S14_Growth_Model_ExAnte!$AZ$15:$AZ$81,$C40,S14_Growth_Model_ExAnte!$M$15:$M$81)/COUNTIF(S14_Growth_Model_ExAnte!$AZ$15:$AZ$81,$C40),0))))*$O40*S08_Defaults!$B$6*(1+S08_Defaults!$B$7)*S08_Defaults!$B$8</x:f>
        <x:v>9.829374822629461</x:v>
      </x:c>
      <x:c r="Z40" s="115" t="n">
        <x:f aca="0">(IF($K40&gt;=2,SUMIF(S14_Growth_Model_ExAnte!$C$15:$C$81,$B40,S14_Growth_Model_ExAnte!$N$15:$N$81)/$K40,IF($L40&gt;=2,SUMIF(S14_Growth_Model_ExAnte!$AY$15:$AY$81,$C40&amp;"|"&amp;$D40,S14_Growth_Model_ExAnte!$N$15:$N$81)/$L40,IF(COUNTIF(S14_Growth_Model_ExAnte!$AZ$15:$AZ$81,$C40)&gt;0,SUMIF(S14_Growth_Model_ExAnte!$AZ$15:$AZ$81,$C40,S14_Growth_Model_ExAnte!$N$15:$N$81)/COUNTIF(S14_Growth_Model_ExAnte!$AZ$15:$AZ$81,$C40),0))))*$O40*S08_Defaults!$B$6*(1+S08_Defaults!$B$7)*S08_Defaults!$B$8</x:f>
        <x:v>17.892712114772408</x:v>
      </x:c>
      <x:c r="AA40" s="115" t="n">
        <x:f aca="0">(IF($K40&gt;=2,SUMIF(S14_Growth_Model_ExAnte!$C$15:$C$81,$B40,S14_Growth_Model_ExAnte!$O$15:$O$81)/$K40,IF($L40&gt;=2,SUMIF(S14_Growth_Model_ExAnte!$AY$15:$AY$81,$C40&amp;"|"&amp;$D40,S14_Growth_Model_ExAnte!$O$15:$O$81)/$L40,IF(COUNTIF(S14_Growth_Model_ExAnte!$AZ$15:$AZ$81,$C40)&gt;0,SUMIF(S14_Growth_Model_ExAnte!$AZ$15:$AZ$81,$C40,S14_Growth_Model_ExAnte!$O$15:$O$81)/COUNTIF(S14_Growth_Model_ExAnte!$AZ$15:$AZ$81,$C40),0))))*$O40*S08_Defaults!$B$6*(1+S08_Defaults!$B$7)*S08_Defaults!$B$8</x:f>
        <x:v>27.774290189779645</x:v>
      </x:c>
      <x:c r="AB40" s="115" t="n">
        <x:f aca="0">(IF($K40&gt;=2,SUMIF(S14_Growth_Model_ExAnte!$C$15:$C$81,$B40,S14_Growth_Model_ExAnte!$P$15:$P$81)/$K40,IF($L40&gt;=2,SUMIF(S14_Growth_Model_ExAnte!$AY$15:$AY$81,$C40&amp;"|"&amp;$D40,S14_Growth_Model_ExAnte!$P$15:$P$81)/$L40,IF(COUNTIF(S14_Growth_Model_ExAnte!$AZ$15:$AZ$81,$C40)&gt;0,SUMIF(S14_Growth_Model_ExAnte!$AZ$15:$AZ$81,$C40,S14_Growth_Model_ExAnte!$P$15:$P$81)/COUNTIF(S14_Growth_Model_ExAnte!$AZ$15:$AZ$81,$C40),0))))*$O40*S08_Defaults!$B$6*(1+S08_Defaults!$B$7)*S08_Defaults!$B$8</x:f>
        <x:v>38.76954120331893</x:v>
      </x:c>
      <x:c r="AC40" s="115" t="n">
        <x:f aca="0">(IF($K40&gt;=2,SUMIF(S14_Growth_Model_ExAnte!$C$15:$C$81,$B40,S14_Growth_Model_ExAnte!$Q$15:$Q$81)/$K40,IF($L40&gt;=2,SUMIF(S14_Growth_Model_ExAnte!$AY$15:$AY$81,$C40&amp;"|"&amp;$D40,S14_Growth_Model_ExAnte!$Q$15:$Q$81)/$L40,IF(COUNTIF(S14_Growth_Model_ExAnte!$AZ$15:$AZ$81,$C40)&gt;0,SUMIF(S14_Growth_Model_ExAnte!$AZ$15:$AZ$81,$C40,S14_Growth_Model_ExAnte!$Q$15:$Q$81)/COUNTIF(S14_Growth_Model_ExAnte!$AZ$15:$AZ$81,$C40),0))))*$O40*S08_Defaults!$B$6*(1+S08_Defaults!$B$7)*S08_Defaults!$B$8</x:f>
        <x:v>50.22338492311939</x:v>
      </x:c>
      <x:c r="AD40" s="115" t="n">
        <x:f aca="0">(IF($K40&gt;=2,SUMIF(S14_Growth_Model_ExAnte!$C$15:$C$81,$B40,S14_Growth_Model_ExAnte!$R$15:$R$81)/$K40,IF($L40&gt;=2,SUMIF(S14_Growth_Model_ExAnte!$AY$15:$AY$81,$C40&amp;"|"&amp;$D40,S14_Growth_Model_ExAnte!$R$15:$R$81)/$L40,IF(COUNTIF(S14_Growth_Model_ExAnte!$AZ$15:$AZ$81,$C40)&gt;0,SUMIF(S14_Growth_Model_ExAnte!$AZ$15:$AZ$81,$C40,S14_Growth_Model_ExAnte!$R$15:$R$81)/COUNTIF(S14_Growth_Model_ExAnte!$AZ$15:$AZ$81,$C40),0))))*$O40*S08_Defaults!$B$6*(1+S08_Defaults!$B$7)*S08_Defaults!$B$8</x:f>
        <x:v>61.60837691376501</x:v>
      </x:c>
      <x:c r="AE40" s="115" t="n">
        <x:f aca="0">(IF($K40&gt;=2,SUMIF(S14_Growth_Model_ExAnte!$C$15:$C$81,$B40,S14_Growth_Model_ExAnte!$S$15:$S$81)/$K40,IF($L40&gt;=2,SUMIF(S14_Growth_Model_ExAnte!$AY$15:$AY$81,$C40&amp;"|"&amp;$D40,S14_Growth_Model_ExAnte!$S$15:$S$81)/$L40,IF(COUNTIF(S14_Growth_Model_ExAnte!$AZ$15:$AZ$81,$C40)&gt;0,SUMIF(S14_Growth_Model_ExAnte!$AZ$15:$AZ$81,$C40,S14_Growth_Model_ExAnte!$S$15:$S$81)/COUNTIF(S14_Growth_Model_ExAnte!$AZ$15:$AZ$81,$C40),0))))*$O40*S08_Defaults!$B$6*(1+S08_Defaults!$B$7)*S08_Defaults!$B$8</x:f>
        <x:v>72.54304541687709</x:v>
      </x:c>
      <x:c r="AF40" s="115" t="n">
        <x:f aca="0">(IF($K40&gt;=2,SUMIF(S14_Growth_Model_ExAnte!$C$15:$C$81,$B40,S14_Growth_Model_ExAnte!$T$15:$T$81)/$K40,IF($L40&gt;=2,SUMIF(S14_Growth_Model_ExAnte!$AY$15:$AY$81,$C40&amp;"|"&amp;$D40,S14_Growth_Model_ExAnte!$T$15:$T$81)/$L40,IF(COUNTIF(S14_Growth_Model_ExAnte!$AZ$15:$AZ$81,$C40)&gt;0,SUMIF(S14_Growth_Model_ExAnte!$AZ$15:$AZ$81,$C40,S14_Growth_Model_ExAnte!$T$15:$T$81)/COUNTIF(S14_Growth_Model_ExAnte!$AZ$15:$AZ$81,$C40),0))))*$O40*S08_Defaults!$B$6*(1+S08_Defaults!$B$7)*S08_Defaults!$B$8</x:f>
        <x:v>82.77910053366851</x:v>
      </x:c>
      <x:c r="AG40" s="115" t="n">
        <x:f aca="0">(IF($K40&gt;=2,SUMIF(S14_Growth_Model_ExAnte!$C$15:$C$81,$B40,S14_Growth_Model_ExAnte!$U$15:$U$81)/$K40,IF($L40&gt;=2,SUMIF(S14_Growth_Model_ExAnte!$AY$15:$AY$81,$C40&amp;"|"&amp;$D40,S14_Growth_Model_ExAnte!$U$15:$U$81)/$L40,IF(COUNTIF(S14_Growth_Model_ExAnte!$AZ$15:$AZ$81,$C40)&gt;0,SUMIF(S14_Growth_Model_ExAnte!$AZ$15:$AZ$81,$C40,S14_Growth_Model_ExAnte!$U$15:$U$81)/COUNTIF(S14_Growth_Model_ExAnte!$AZ$15:$AZ$81,$C40),0))))*$O40*S08_Defaults!$B$6*(1+S08_Defaults!$B$7)*S08_Defaults!$B$8</x:f>
        <x:v>92.17626812269735</x:v>
      </x:c>
      <x:c r="AH40" s="115" t="n">
        <x:f aca="0">(IF($K40&gt;=2,SUMIF(S14_Growth_Model_ExAnte!$C$15:$C$81,$B40,S14_Growth_Model_ExAnte!$V$15:$V$81)/$K40,IF($L40&gt;=2,SUMIF(S14_Growth_Model_ExAnte!$AY$15:$AY$81,$C40&amp;"|"&amp;$D40,S14_Growth_Model_ExAnte!$V$15:$V$81)/$L40,IF(COUNTIF(S14_Growth_Model_ExAnte!$AZ$15:$AZ$81,$C40)&gt;0,SUMIF(S14_Growth_Model_ExAnte!$AZ$15:$AZ$81,$C40,S14_Growth_Model_ExAnte!$V$15:$V$81)/COUNTIF(S14_Growth_Model_ExAnte!$AZ$15:$AZ$81,$C40),0))))*$O40*S08_Defaults!$B$6*(1+S08_Defaults!$B$7)*S08_Defaults!$B$8</x:f>
        <x:v>100.67516538222455</x:v>
      </x:c>
      <x:c r="AI40" s="115" t="n">
        <x:f aca="0">(IF($K40&gt;=2,SUMIF(S14_Growth_Model_ExAnte!$C$15:$C$81,$B40,S14_Growth_Model_ExAnte!$W$15:$W$81)/$K40,IF($L40&gt;=2,SUMIF(S14_Growth_Model_ExAnte!$AY$15:$AY$81,$C40&amp;"|"&amp;$D40,S14_Growth_Model_ExAnte!$W$15:$W$81)/$L40,IF(COUNTIF(S14_Growth_Model_ExAnte!$AZ$15:$AZ$81,$C40)&gt;0,SUMIF(S14_Growth_Model_ExAnte!$AZ$15:$AZ$81,$C40,S14_Growth_Model_ExAnte!$W$15:$W$81)/COUNTIF(S14_Growth_Model_ExAnte!$AZ$15:$AZ$81,$C40),0))))*$O40*S08_Defaults!$B$6*(1+S08_Defaults!$B$7)*S08_Defaults!$B$8</x:f>
        <x:v>108.27311915182199</x:v>
      </x:c>
      <x:c r="AJ40" s="115" t="n">
        <x:f aca="0">(IF($K40&gt;=2,SUMIF(S14_Growth_Model_ExAnte!$C$15:$C$81,$B40,S14_Growth_Model_ExAnte!$X$15:$X$81)/$K40,IF($L40&gt;=2,SUMIF(S14_Growth_Model_ExAnte!$AY$15:$AY$81,$C40&amp;"|"&amp;$D40,S14_Growth_Model_ExAnte!$X$15:$X$81)/$L40,IF(COUNTIF(S14_Growth_Model_ExAnte!$AZ$15:$AZ$81,$C40)&gt;0,SUMIF(S14_Growth_Model_ExAnte!$AZ$15:$AZ$81,$C40,S14_Growth_Model_ExAnte!$X$15:$X$81)/COUNTIF(S14_Growth_Model_ExAnte!$AZ$15:$AZ$81,$C40),0))))*$O40*S08_Defaults!$B$6*(1+S08_Defaults!$B$7)*S08_Defaults!$B$8</x:f>
        <x:v>115.00464533368721</x:v>
      </x:c>
      <x:c r="AK40" s="115" t="n">
        <x:f aca="0">(IF($K40&gt;=2,SUMIF(S14_Growth_Model_ExAnte!$C$15:$C$81,$B40,S14_Growth_Model_ExAnte!$Y$15:$Y$81)/$K40,IF($L40&gt;=2,SUMIF(S14_Growth_Model_ExAnte!$AY$15:$AY$81,$C40&amp;"|"&amp;$D40,S14_Growth_Model_ExAnte!$Y$15:$Y$81)/$L40,IF(COUNTIF(S14_Growth_Model_ExAnte!$AZ$15:$AZ$81,$C40)&gt;0,SUMIF(S14_Growth_Model_ExAnte!$AZ$15:$AZ$81,$C40,S14_Growth_Model_ExAnte!$Y$15:$Y$81)/COUNTIF(S14_Growth_Model_ExAnte!$AZ$15:$AZ$81,$C40),0))))*$O40*S08_Defaults!$B$6*(1+S08_Defaults!$B$7)*S08_Defaults!$B$8</x:f>
        <x:v>120.92668155665598</x:v>
      </x:c>
      <x:c r="AL40" s="115" t="n">
        <x:f aca="0">(IF($K40&gt;=2,SUMIF(S14_Growth_Model_ExAnte!$C$15:$C$81,$B40,S14_Growth_Model_ExAnte!$Z$15:$Z$81)/$K40,IF($L40&gt;=2,SUMIF(S14_Growth_Model_ExAnte!$AY$15:$AY$81,$C40&amp;"|"&amp;$D40,S14_Growth_Model_ExAnte!$Z$15:$Z$81)/$L40,IF(COUNTIF(S14_Growth_Model_ExAnte!$AZ$15:$AZ$81,$C40)&gt;0,SUMIF(S14_Growth_Model_ExAnte!$AZ$15:$AZ$81,$C40,S14_Growth_Model_ExAnte!$Z$15:$Z$81)/COUNTIF(S14_Growth_Model_ExAnte!$AZ$15:$AZ$81,$C40),0))))*$O40*S08_Defaults!$B$6*(1+S08_Defaults!$B$7)*S08_Defaults!$B$8</x:f>
        <x:v>126.1079590032203</x:v>
      </x:c>
      <x:c r="AM40" s="115" t="n">
        <x:f aca="0">R40</x:f>
        <x:v>0</x:v>
      </x:c>
      <x:c r="AN40" s="115" t="n">
        <x:f aca="0">S40-R40</x:f>
        <x:v>0</x:v>
      </x:c>
      <x:c r="AO40" s="115" t="n">
        <x:f aca="0">T40-S40</x:f>
        <x:v>0</x:v>
      </x:c>
      <x:c r="AP40" s="115" t="n">
        <x:f aca="0">U40-T40</x:f>
        <x:v>0</x:v>
      </x:c>
      <x:c r="AQ40" s="115" t="n">
        <x:f aca="0">V40-U40</x:f>
        <x:v>0.08843419078662754</x:v>
      </x:c>
      <x:c r="AR40" s="115" t="n">
        <x:f aca="0">W40-V40</x:f>
        <x:v>1.0116072209437543</x:v>
      </x:c>
      <x:c r="AS40" s="115" t="n">
        <x:f aca="0">X40-W40</x:f>
        <x:v>3.0668491106595277</x:v>
      </x:c>
      <x:c r="AT40" s="115" t="n">
        <x:f aca="0">Y40-X40</x:f>
        <x:v>5.6624843002395515</x:v>
      </x:c>
      <x:c r="AU40" s="115" t="n">
        <x:f aca="0">Z40-Y40</x:f>
        <x:v>8.063337292142947</x:v>
      </x:c>
      <x:c r="AV40" s="115" t="n">
        <x:f aca="0">AA40-Z40</x:f>
        <x:v>9.881578075007237</x:v>
      </x:c>
      <x:c r="AW40" s="115" t="n">
        <x:f aca="0">AB40-AA40</x:f>
        <x:v>10.995251013539285</x:v>
      </x:c>
      <x:c r="AX40" s="115" t="n">
        <x:f aca="0">AC40-AB40</x:f>
        <x:v>11.45384371980046</x:v>
      </x:c>
      <x:c r="AY40" s="115" t="n">
        <x:f aca="0">AD40-AC40</x:f>
        <x:v>11.384991990645617</x:v>
      </x:c>
      <x:c r="AZ40" s="115" t="n">
        <x:f aca="0">AE40-AD40</x:f>
        <x:v>10.934668503112086</x:v>
      </x:c>
      <x:c r="BA40" s="115" t="n">
        <x:f aca="0">AF40-AE40</x:f>
        <x:v>10.23605511679142</x:v>
      </x:c>
      <x:c r="BB40" s="115" t="n">
        <x:f aca="0">AG40-AF40</x:f>
        <x:v>9.39716758902884</x:v>
      </x:c>
      <x:c r="BC40" s="115" t="n">
        <x:f aca="0">AH40-AG40</x:f>
        <x:v>8.498897259527197</x:v>
      </x:c>
      <x:c r="BD40" s="115" t="n">
        <x:f aca="0">AI40-AH40</x:f>
        <x:v>7.597953769597439</x:v>
      </x:c>
      <x:c r="BE40" s="115" t="n">
        <x:f aca="0">AJ40-AI40</x:f>
        <x:v>6.73152618186522</x:v>
      </x:c>
      <x:c r="BF40" s="115" t="n">
        <x:f aca="0">AK40-AJ40</x:f>
        <x:v>5.922036222968771</x:v>
      </x:c>
      <x:c r="BG40" s="115" t="n">
        <x:f aca="0">AL40-AK40</x:f>
        <x:v>5.181277446564323</x:v>
      </x:c>
    </x:row>
    <x:row r="41" ht="15" hidden="0" customHeight="1">
      <x:c r="A41" s="160" t="str">
        <x:f aca="0">"S"&amp;TEXT(ROW()-3,"00")</x:f>
        <x:v>S38</x:v>
      </x:c>
      <x:c r="B41" s="161" t="s">
        <x:v>572</x:v>
      </x:c>
      <x:c r="C41" s="160" t="str">
        <x:f aca="0">LEFT($B41,FIND("|",$B41)-1)</x:f>
        <x:v>Fruit Orchard</x:v>
      </x:c>
      <x:c r="D41" s="160" t="str">
        <x:f aca="0">MID($B41,FIND("|",$B41)+1,FIND("|",$B41,FIND("|",$B41)+1)-FIND("|",$B41)-1)</x:f>
        <x:v>Low</x:v>
      </x:c>
      <x:c r="E41" s="160" t="n">
        <x:f aca="0">VALUE(RIGHT($B41,4))</x:f>
        <x:v>2023</x:v>
      </x:c>
      <x:c r="F41" s="115" t="n">
        <x:f aca="0">SUMIF(S17_Biome_Strata!$G$4:$G$95,$B41,S17_Biome_Strata!$E$4:$E$95)</x:f>
        <x:v>18</x:v>
      </x:c>
      <x:c r="G41" s="115" t="n">
        <x:f aca="0">SUMIF(S17_Biome_Strata!$G$4:$G$95,$B41,S17_Biome_Strata!$F$4:$F$95)</x:f>
        <x:v>18.8445</x:v>
      </x:c>
      <x:c r="H41" s="115" t="n">
        <x:f aca="0">IF($K41&gt;=2,SUMIF(S14_Growth_Model_ExAnte!$C$15:$C$81,$B41,S14_Growth_Model_ExAnte!$L$15:$L$81)/$K41,IF($L41&gt;=2,SUMIF(S14_Growth_Model_ExAnte!$AY$15:$AY$81,$C41&amp;"|"&amp;$D41,S14_Growth_Model_ExAnte!$L$15:$L$81)/$L41,IF(COUNTIF(S14_Growth_Model_ExAnte!$AZ$15:$AZ$81,$C41)&gt;0,SUMIF(S14_Growth_Model_ExAnte!$AZ$15:$AZ$81,$C41,S14_Growth_Model_ExAnte!$L$15:$L$81)/COUNTIF(S14_Growth_Model_ExAnte!$AZ$15:$AZ$81,$C41),0)))</x:f>
        <x:v>1.1955098205664028</x:v>
      </x:c>
      <x:c r="I41" s="115" t="n">
        <x:f aca="0">IF($K41&gt;=2,SQRT(MAX(0,(SUMIF(S14_Growth_Model_ExAnte!$C$15:$C$81,$B41,S14_Growth_Model_ExAnte!$BD$15:$BD$81)-SUMIF(S14_Growth_Model_ExAnte!$C$15:$C$81,$B41,S14_Growth_Model_ExAnte!$L$15:$L$81)*SUMIF(S14_Growth_Model_ExAnte!$C$15:$C$81,$B41,S14_Growth_Model_ExAnte!$L$15:$L$81)/$K41)/($K41-1))),IF($L41&gt;=2,SQRT(MAX(0,(SUMIF(S14_Growth_Model_ExAnte!$AY$15:$AY$81,$C41&amp;"|"&amp;$D41,S14_Growth_Model_ExAnte!$BD$15:$BD$81)-SUMIF(S14_Growth_Model_ExAnte!$AY$15:$AY$81,$C41&amp;"|"&amp;$D41,S14_Growth_Model_ExAnte!$L$15:$L$81)*SUMIF(S14_Growth_Model_ExAnte!$AY$15:$AY$81,$C41&amp;"|"&amp;$D41,S14_Growth_Model_ExAnte!$L$15:$L$81)/$L41)/($L41-1))),IF(COUNTIF(S14_Growth_Model_ExAnte!$AZ$15:$AZ$81,$C41)&gt;=2,SQRT(MAX(0,(SUMIF(S14_Growth_Model_ExAnte!$AZ$15:$AZ$81,$C41,S14_Growth_Model_ExAnte!$BD$15:$BD$81)-SUMIF(S14_Growth_Model_ExAnte!$AZ$15:$AZ$81,$C41,S14_Growth_Model_ExAnte!$L$15:$L$81)*SUMIF(S14_Growth_Model_ExAnte!$AZ$15:$AZ$81,$C41,S14_Growth_Model_ExAnte!$L$15:$L$81)/COUNTIF(S14_Growth_Model_ExAnte!$AZ$15:$AZ$81,$C41))/(COUNTIF(S14_Growth_Model_ExAnte!$AZ$15:$AZ$81,$C41)-1))),0)))</x:f>
        <x:v>0.6073833746315868</x:v>
      </x:c>
      <x:c r="J41" s="115" t="n">
        <x:f aca="0">IFERROR(I41/H41,0)</x:f>
        <x:v>0.5080538563404052</x:v>
      </x:c>
      <x:c r="K41" s="115" t="n">
        <x:f aca="0">COUNTIF(S14_Growth_Model_ExAnte!$C$15:$C$81,$B41)</x:f>
        <x:v>1</x:v>
      </x:c>
      <x:c r="L41" s="115" t="n">
        <x:f aca="0">COUNTIF(S14_Growth_Model_ExAnte!$AY$15:$AY$81,$C41&amp;"|"&amp;$D41)</x:f>
        <x:v>3</x:v>
      </x:c>
      <x:c r="M41" s="115" t="n">
        <x:f aca="0">$H41</x:f>
        <x:v>1.1955098205664028</x:v>
      </x:c>
      <x:c r="N41" s="115" t="n">
        <x:f aca="0">MAX(0,$M41*S08_Defaults!$B$5)</x:f>
        <x:v>0.8966323654248021</x:v>
      </x:c>
      <x:c r="O41" s="115" t="n">
        <x:f aca="0">IFERROR($N41/$M41,0)</x:f>
        <x:v>0.75</x:v>
      </x:c>
      <x:c r="P41" s="115" t="str">
        <x:f aca="0">IF($K41&gt;=2,"Exact Stratum PSP Chapman-Richards curve",IF($L41&gt;=2,"Model×Density pooled Chapman-Richards curve","Model pooled Chapman-Richards curve"))</x:f>
        <x:v>Model×Density pooled Chapman-Richards curve</x:v>
      </x:c>
      <x:c r="Q41" s="162" t="s">
        <x:v>1106</x:v>
      </x:c>
      <x:c r="R41" s="115" t="n">
        <x:f aca="0">0</x:f>
        <x:v>0</x:v>
      </x:c>
      <x:c r="S41" s="115" t="n">
        <x:f aca="0">0</x:f>
        <x:v>0</x:v>
      </x:c>
      <x:c r="T41" s="115" t="n">
        <x:f aca="0">0</x:f>
        <x:v>0</x:v>
      </x:c>
      <x:c r="U41" s="115" t="n">
        <x:f aca="0">(IF($K41&gt;=2,SUMIF(S14_Growth_Model_ExAnte!$C$15:$C$81,$B41,S14_Growth_Model_ExAnte!$I$15:$I$81)/$K41,IF($L41&gt;=2,SUMIF(S14_Growth_Model_ExAnte!$AY$15:$AY$81,$C41&amp;"|"&amp;$D41,S14_Growth_Model_ExAnte!$I$15:$I$81)/$L41,IF(COUNTIF(S14_Growth_Model_ExAnte!$AZ$15:$AZ$81,$C41)&gt;0,SUMIF(S14_Growth_Model_ExAnte!$AZ$15:$AZ$81,$C41,S14_Growth_Model_ExAnte!$I$15:$I$81)/COUNTIF(S14_Growth_Model_ExAnte!$AZ$15:$AZ$81,$C41),0))))*$O41*S08_Defaults!$B$6*(1+S08_Defaults!$B$7)*S08_Defaults!$B$8</x:f>
        <x:v>0</x:v>
      </x:c>
      <x:c r="V41" s="115" t="n">
        <x:f aca="0">(IF($K41&gt;=2,SUMIF(S14_Growth_Model_ExAnte!$C$15:$C$81,$B41,S14_Growth_Model_ExAnte!$J$15:$J$81)/$K41,IF($L41&gt;=2,SUMIF(S14_Growth_Model_ExAnte!$AY$15:$AY$81,$C41&amp;"|"&amp;$D41,S14_Growth_Model_ExAnte!$J$15:$J$81)/$L41,IF(COUNTIF(S14_Growth_Model_ExAnte!$AZ$15:$AZ$81,$C41)&gt;0,SUMIF(S14_Growth_Model_ExAnte!$AZ$15:$AZ$81,$C41,S14_Growth_Model_ExAnte!$J$15:$J$81)/COUNTIF(S14_Growth_Model_ExAnte!$AZ$15:$AZ$81,$C41),0))))*$O41*S08_Defaults!$B$6*(1+S08_Defaults!$B$7)*S08_Defaults!$B$8</x:f>
        <x:v>0.041887249891712</x:v>
      </x:c>
      <x:c r="W41" s="115" t="n">
        <x:f aca="0">(IF($K41&gt;=2,SUMIF(S14_Growth_Model_ExAnte!$C$15:$C$81,$B41,S14_Growth_Model_ExAnte!$K$15:$K$81)/$K41,IF($L41&gt;=2,SUMIF(S14_Growth_Model_ExAnte!$AY$15:$AY$81,$C41&amp;"|"&amp;$D41,S14_Growth_Model_ExAnte!$K$15:$K$81)/$L41,IF(COUNTIF(S14_Growth_Model_ExAnte!$AZ$15:$AZ$81,$C41)&gt;0,SUMIF(S14_Growth_Model_ExAnte!$AZ$15:$AZ$81,$C41,S14_Growth_Model_ExAnte!$K$15:$K$81)/COUNTIF(S14_Growth_Model_ExAnte!$AZ$15:$AZ$81,$C41),0))))*$O41*S08_Defaults!$B$6*(1+S08_Defaults!$B$7)*S08_Defaults!$B$8</x:f>
        <x:v>0.5006911820948761</x:v>
      </x:c>
      <x:c r="X41" s="115" t="n">
        <x:f aca="0">(IF($K41&gt;=2,SUMIF(S14_Growth_Model_ExAnte!$C$15:$C$81,$B41,S14_Growth_Model_ExAnte!$L$15:$L$81)/$K41,IF($L41&gt;=2,SUMIF(S14_Growth_Model_ExAnte!$AY$15:$AY$81,$C41&amp;"|"&amp;$D41,S14_Growth_Model_ExAnte!$L$15:$L$81)/$L41,IF(COUNTIF(S14_Growth_Model_ExAnte!$AZ$15:$AZ$81,$C41)&gt;0,SUMIF(S14_Growth_Model_ExAnte!$AZ$15:$AZ$81,$C41,S14_Growth_Model_ExAnte!$L$15:$L$81)/COUNTIF(S14_Growth_Model_ExAnte!$AZ$15:$AZ$81,$C41),0))))*$O41*S08_Defaults!$B$6*(1+S08_Defaults!$B$7)*S08_Defaults!$B$8</x:f>
        <x:v>1.9160435894217756</x:v>
      </x:c>
      <x:c r="Y41" s="115" t="n">
        <x:f aca="0">(IF($K41&gt;=2,SUMIF(S14_Growth_Model_ExAnte!$C$15:$C$81,$B41,S14_Growth_Model_ExAnte!$M$15:$M$81)/$K41,IF($L41&gt;=2,SUMIF(S14_Growth_Model_ExAnte!$AY$15:$AY$81,$C41&amp;"|"&amp;$D41,S14_Growth_Model_ExAnte!$M$15:$M$81)/$L41,IF(COUNTIF(S14_Growth_Model_ExAnte!$AZ$15:$AZ$81,$C41)&gt;0,SUMIF(S14_Growth_Model_ExAnte!$AZ$15:$AZ$81,$C41,S14_Growth_Model_ExAnte!$M$15:$M$81)/COUNTIF(S14_Growth_Model_ExAnte!$AZ$15:$AZ$81,$C41),0))))*$O41*S08_Defaults!$B$6*(1+S08_Defaults!$B$7)*S08_Defaults!$B$8</x:f>
        <x:v>4.648002141175279</x:v>
      </x:c>
      <x:c r="Z41" s="115" t="n">
        <x:f aca="0">(IF($K41&gt;=2,SUMIF(S14_Growth_Model_ExAnte!$C$15:$C$81,$B41,S14_Growth_Model_ExAnte!$N$15:$N$81)/$K41,IF($L41&gt;=2,SUMIF(S14_Growth_Model_ExAnte!$AY$15:$AY$81,$C41&amp;"|"&amp;$D41,S14_Growth_Model_ExAnte!$N$15:$N$81)/$L41,IF(COUNTIF(S14_Growth_Model_ExAnte!$AZ$15:$AZ$81,$C41)&gt;0,SUMIF(S14_Growth_Model_ExAnte!$AZ$15:$AZ$81,$C41,S14_Growth_Model_ExAnte!$N$15:$N$81)/COUNTIF(S14_Growth_Model_ExAnte!$AZ$15:$AZ$81,$C41),0))))*$O41*S08_Defaults!$B$6*(1+S08_Defaults!$B$7)*S08_Defaults!$B$8</x:f>
        <x:v>8.765836201233046</x:v>
      </x:c>
      <x:c r="AA41" s="115" t="n">
        <x:f aca="0">(IF($K41&gt;=2,SUMIF(S14_Growth_Model_ExAnte!$C$15:$C$81,$B41,S14_Growth_Model_ExAnte!$O$15:$O$81)/$K41,IF($L41&gt;=2,SUMIF(S14_Growth_Model_ExAnte!$AY$15:$AY$81,$C41&amp;"|"&amp;$D41,S14_Growth_Model_ExAnte!$O$15:$O$81)/$L41,IF(COUNTIF(S14_Growth_Model_ExAnte!$AZ$15:$AZ$81,$C41)&gt;0,SUMIF(S14_Growth_Model_ExAnte!$AZ$15:$AZ$81,$C41,S14_Growth_Model_ExAnte!$O$15:$O$81)/COUNTIF(S14_Growth_Model_ExAnte!$AZ$15:$AZ$81,$C41),0))))*$O41*S08_Defaults!$B$6*(1+S08_Defaults!$B$7)*S08_Defaults!$B$8</x:f>
        <x:v>14.137731009696834</x:v>
      </x:c>
      <x:c r="AB41" s="115" t="n">
        <x:f aca="0">(IF($K41&gt;=2,SUMIF(S14_Growth_Model_ExAnte!$C$15:$C$81,$B41,S14_Growth_Model_ExAnte!$P$15:$P$81)/$K41,IF($L41&gt;=2,SUMIF(S14_Growth_Model_ExAnte!$AY$15:$AY$81,$C41&amp;"|"&amp;$D41,S14_Growth_Model_ExAnte!$P$15:$P$81)/$L41,IF(COUNTIF(S14_Growth_Model_ExAnte!$AZ$15:$AZ$81,$C41)&gt;0,SUMIF(S14_Growth_Model_ExAnte!$AZ$15:$AZ$81,$C41,S14_Growth_Model_ExAnte!$P$15:$P$81)/COUNTIF(S14_Growth_Model_ExAnte!$AZ$15:$AZ$81,$C41),0))))*$O41*S08_Defaults!$B$6*(1+S08_Defaults!$B$7)*S08_Defaults!$B$8</x:f>
        <x:v>20.514687829934044</x:v>
      </x:c>
      <x:c r="AC41" s="115" t="n">
        <x:f aca="0">(IF($K41&gt;=2,SUMIF(S14_Growth_Model_ExAnte!$C$15:$C$81,$B41,S14_Growth_Model_ExAnte!$Q$15:$Q$81)/$K41,IF($L41&gt;=2,SUMIF(S14_Growth_Model_ExAnte!$AY$15:$AY$81,$C41&amp;"|"&amp;$D41,S14_Growth_Model_ExAnte!$Q$15:$Q$81)/$L41,IF(COUNTIF(S14_Growth_Model_ExAnte!$AZ$15:$AZ$81,$C41)&gt;0,SUMIF(S14_Growth_Model_ExAnte!$AZ$15:$AZ$81,$C41,S14_Growth_Model_ExAnte!$Q$15:$Q$81)/COUNTIF(S14_Growth_Model_ExAnte!$AZ$15:$AZ$81,$C41),0))))*$O41*S08_Defaults!$B$6*(1+S08_Defaults!$B$7)*S08_Defaults!$B$8</x:f>
        <x:v>27.60358895515498</x:v>
      </x:c>
      <x:c r="AD41" s="115" t="n">
        <x:f aca="0">(IF($K41&gt;=2,SUMIF(S14_Growth_Model_ExAnte!$C$15:$C$81,$B41,S14_Growth_Model_ExAnte!$R$15:$R$81)/$K41,IF($L41&gt;=2,SUMIF(S14_Growth_Model_ExAnte!$AY$15:$AY$81,$C41&amp;"|"&amp;$D41,S14_Growth_Model_ExAnte!$R$15:$R$81)/$L41,IF(COUNTIF(S14_Growth_Model_ExAnte!$AZ$15:$AZ$81,$C41)&gt;0,SUMIF(S14_Growth_Model_ExAnte!$AZ$15:$AZ$81,$C41,S14_Growth_Model_ExAnte!$R$15:$R$81)/COUNTIF(S14_Growth_Model_ExAnte!$AZ$15:$AZ$81,$C41),0))))*$O41*S08_Defaults!$B$6*(1+S08_Defaults!$B$7)*S08_Defaults!$B$8</x:f>
        <x:v>35.11614902570361</x:v>
      </x:c>
      <x:c r="AE41" s="115" t="n">
        <x:f aca="0">(IF($K41&gt;=2,SUMIF(S14_Growth_Model_ExAnte!$C$15:$C$81,$B41,S14_Growth_Model_ExAnte!$S$15:$S$81)/$K41,IF($L41&gt;=2,SUMIF(S14_Growth_Model_ExAnte!$AY$15:$AY$81,$C41&amp;"|"&amp;$D41,S14_Growth_Model_ExAnte!$S$15:$S$81)/$L41,IF(COUNTIF(S14_Growth_Model_ExAnte!$AZ$15:$AZ$81,$C41)&gt;0,SUMIF(S14_Growth_Model_ExAnte!$AZ$15:$AZ$81,$C41,S14_Growth_Model_ExAnte!$S$15:$S$81)/COUNTIF(S14_Growth_Model_ExAnte!$AZ$15:$AZ$81,$C41),0))))*$O41*S08_Defaults!$B$6*(1+S08_Defaults!$B$7)*S08_Defaults!$B$8</x:f>
        <x:v>42.796694831673534</x:v>
      </x:c>
      <x:c r="AF41" s="115" t="n">
        <x:f aca="0">(IF($K41&gt;=2,SUMIF(S14_Growth_Model_ExAnte!$C$15:$C$81,$B41,S14_Growth_Model_ExAnte!$T$15:$T$81)/$K41,IF($L41&gt;=2,SUMIF(S14_Growth_Model_ExAnte!$AY$15:$AY$81,$C41&amp;"|"&amp;$D41,S14_Growth_Model_ExAnte!$T$15:$T$81)/$L41,IF(COUNTIF(S14_Growth_Model_ExAnte!$AZ$15:$AZ$81,$C41)&gt;0,SUMIF(S14_Growth_Model_ExAnte!$AZ$15:$AZ$81,$C41,S14_Growth_Model_ExAnte!$T$15:$T$81)/COUNTIF(S14_Growth_Model_ExAnte!$AZ$15:$AZ$81,$C41),0))))*$O41*S08_Defaults!$B$6*(1+S08_Defaults!$B$7)*S08_Defaults!$B$8</x:f>
        <x:v>50.43458352773399</x:v>
      </x:c>
      <x:c r="AG41" s="115" t="n">
        <x:f aca="0">(IF($K41&gt;=2,SUMIF(S14_Growth_Model_ExAnte!$C$15:$C$81,$B41,S14_Growth_Model_ExAnte!$U$15:$U$81)/$K41,IF($L41&gt;=2,SUMIF(S14_Growth_Model_ExAnte!$AY$15:$AY$81,$C41&amp;"|"&amp;$D41,S14_Growth_Model_ExAnte!$U$15:$U$81)/$L41,IF(COUNTIF(S14_Growth_Model_ExAnte!$AZ$15:$AZ$81,$C41)&gt;0,SUMIF(S14_Growth_Model_ExAnte!$AZ$15:$AZ$81,$C41,S14_Growth_Model_ExAnte!$U$15:$U$81)/COUNTIF(S14_Growth_Model_ExAnte!$AZ$15:$AZ$81,$C41),0))))*$O41*S08_Defaults!$B$6*(1+S08_Defaults!$B$7)*S08_Defaults!$B$8</x:f>
        <x:v>57.8667406233523</x:v>
      </x:c>
      <x:c r="AH41" s="115" t="n">
        <x:f aca="0">(IF($K41&gt;=2,SUMIF(S14_Growth_Model_ExAnte!$C$15:$C$81,$B41,S14_Growth_Model_ExAnte!$V$15:$V$81)/$K41,IF($L41&gt;=2,SUMIF(S14_Growth_Model_ExAnte!$AY$15:$AY$81,$C41&amp;"|"&amp;$D41,S14_Growth_Model_ExAnte!$V$15:$V$81)/$L41,IF(COUNTIF(S14_Growth_Model_ExAnte!$AZ$15:$AZ$81,$C41)&gt;0,SUMIF(S14_Growth_Model_ExAnte!$AZ$15:$AZ$81,$C41,S14_Growth_Model_ExAnte!$V$15:$V$81)/COUNTIF(S14_Growth_Model_ExAnte!$AZ$15:$AZ$81,$C41),0))))*$O41*S08_Defaults!$B$6*(1+S08_Defaults!$B$7)*S08_Defaults!$B$8</x:f>
        <x:v>64.97452870620393</x:v>
      </x:c>
      <x:c r="AI41" s="115" t="n">
        <x:f aca="0">(IF($K41&gt;=2,SUMIF(S14_Growth_Model_ExAnte!$C$15:$C$81,$B41,S14_Growth_Model_ExAnte!$W$15:$W$81)/$K41,IF($L41&gt;=2,SUMIF(S14_Growth_Model_ExAnte!$AY$15:$AY$81,$C41&amp;"|"&amp;$D41,S14_Growth_Model_ExAnte!$W$15:$W$81)/$L41,IF(COUNTIF(S14_Growth_Model_ExAnte!$AZ$15:$AZ$81,$C41)&gt;0,SUMIF(S14_Growth_Model_ExAnte!$AZ$15:$AZ$81,$C41,S14_Growth_Model_ExAnte!$W$15:$W$81)/COUNTIF(S14_Growth_Model_ExAnte!$AZ$15:$AZ$81,$C41),0))))*$O41*S08_Defaults!$B$6*(1+S08_Defaults!$B$7)*S08_Defaults!$B$8</x:f>
        <x:v>71.67784329965413</x:v>
      </x:c>
      <x:c r="AJ41" s="115" t="n">
        <x:f aca="0">(IF($K41&gt;=2,SUMIF(S14_Growth_Model_ExAnte!$C$15:$C$81,$B41,S14_Growth_Model_ExAnte!$X$15:$X$81)/$K41,IF($L41&gt;=2,SUMIF(S14_Growth_Model_ExAnte!$AY$15:$AY$81,$C41&amp;"|"&amp;$D41,S14_Growth_Model_ExAnte!$X$15:$X$81)/$L41,IF(COUNTIF(S14_Growth_Model_ExAnte!$AZ$15:$AZ$81,$C41)&gt;0,SUMIF(S14_Growth_Model_ExAnte!$AZ$15:$AZ$81,$C41,S14_Growth_Model_ExAnte!$X$15:$X$81)/COUNTIF(S14_Growth_Model_ExAnte!$AZ$15:$AZ$81,$C41),0))))*$O41*S08_Defaults!$B$6*(1+S08_Defaults!$B$7)*S08_Defaults!$B$8</x:f>
        <x:v>77.92826810156097</x:v>
      </x:c>
      <x:c r="AK41" s="115" t="n">
        <x:f aca="0">(IF($K41&gt;=2,SUMIF(S14_Growth_Model_ExAnte!$C$15:$C$81,$B41,S14_Growth_Model_ExAnte!$Y$15:$Y$81)/$K41,IF($L41&gt;=2,SUMIF(S14_Growth_Model_ExAnte!$AY$15:$AY$81,$C41&amp;"|"&amp;$D41,S14_Growth_Model_ExAnte!$Y$15:$Y$81)/$L41,IF(COUNTIF(S14_Growth_Model_ExAnte!$AZ$15:$AZ$81,$C41)&gt;0,SUMIF(S14_Growth_Model_ExAnte!$AZ$15:$AZ$81,$C41,S14_Growth_Model_ExAnte!$Y$15:$Y$81)/COUNTIF(S14_Growth_Model_ExAnte!$AZ$15:$AZ$81,$C41),0))))*$O41*S08_Defaults!$B$6*(1+S08_Defaults!$B$7)*S08_Defaults!$B$8</x:f>
        <x:v>83.70235418006737</x:v>
      </x:c>
      <x:c r="AL41" s="115" t="n">
        <x:f aca="0">(IF($K41&gt;=2,SUMIF(S14_Growth_Model_ExAnte!$C$15:$C$81,$B41,S14_Growth_Model_ExAnte!$Z$15:$Z$81)/$K41,IF($L41&gt;=2,SUMIF(S14_Growth_Model_ExAnte!$AY$15:$AY$81,$C41&amp;"|"&amp;$D41,S14_Growth_Model_ExAnte!$Z$15:$Z$81)/$L41,IF(COUNTIF(S14_Growth_Model_ExAnte!$AZ$15:$AZ$81,$C41)&gt;0,SUMIF(S14_Growth_Model_ExAnte!$AZ$15:$AZ$81,$C41,S14_Growth_Model_ExAnte!$Z$15:$Z$81)/COUNTIF(S14_Growth_Model_ExAnte!$AZ$15:$AZ$81,$C41),0))))*$O41*S08_Defaults!$B$6*(1+S08_Defaults!$B$7)*S08_Defaults!$B$8</x:f>
        <x:v>88.99557408183094</x:v>
      </x:c>
      <x:c r="AM41" s="115" t="n">
        <x:f aca="0">R41</x:f>
        <x:v>0</x:v>
      </x:c>
      <x:c r="AN41" s="115" t="n">
        <x:f aca="0">S41-R41</x:f>
        <x:v>0</x:v>
      </x:c>
      <x:c r="AO41" s="115" t="n">
        <x:f aca="0">T41-S41</x:f>
        <x:v>0</x:v>
      </x:c>
      <x:c r="AP41" s="115" t="n">
        <x:f aca="0">U41-T41</x:f>
        <x:v>0</x:v>
      </x:c>
      <x:c r="AQ41" s="115" t="n">
        <x:f aca="0">V41-U41</x:f>
        <x:v>0.041887249891712</x:v>
      </x:c>
      <x:c r="AR41" s="115" t="n">
        <x:f aca="0">W41-V41</x:f>
        <x:v>0.45880393220316407</x:v>
      </x:c>
      <x:c r="AS41" s="115" t="n">
        <x:f aca="0">X41-W41</x:f>
        <x:v>1.4153524073268995</x:v>
      </x:c>
      <x:c r="AT41" s="115" t="n">
        <x:f aca="0">Y41-X41</x:f>
        <x:v>2.731958551753504</x:v>
      </x:c>
      <x:c r="AU41" s="115" t="n">
        <x:f aca="0">Z41-Y41</x:f>
        <x:v>4.117834060057767</x:v>
      </x:c>
      <x:c r="AV41" s="115" t="n">
        <x:f aca="0">AA41-Z41</x:f>
        <x:v>5.371894808463788</x:v>
      </x:c>
      <x:c r="AW41" s="115" t="n">
        <x:f aca="0">AB41-AA41</x:f>
        <x:v>6.3769568202372096</x:v>
      </x:c>
      <x:c r="AX41" s="115" t="n">
        <x:f aca="0">AC41-AB41</x:f>
        <x:v>7.088901125220936</x:v>
      </x:c>
      <x:c r="AY41" s="115" t="n">
        <x:f aca="0">AD41-AC41</x:f>
        <x:v>7.512560070548634</x:v>
      </x:c>
      <x:c r="AZ41" s="115" t="n">
        <x:f aca="0">AE41-AD41</x:f>
        <x:v>7.6805458059699205</x:v>
      </x:c>
      <x:c r="BA41" s="115" t="n">
        <x:f aca="0">AF41-AE41</x:f>
        <x:v>7.6378886960604575</x:v>
      </x:c>
      <x:c r="BB41" s="115" t="n">
        <x:f aca="0">AG41-AF41</x:f>
        <x:v>7.432157095618308</x:v>
      </x:c>
      <x:c r="BC41" s="115" t="n">
        <x:f aca="0">AH41-AG41</x:f>
        <x:v>7.107788082851627</x:v>
      </x:c>
      <x:c r="BD41" s="115" t="n">
        <x:f aca="0">AI41-AH41</x:f>
        <x:v>6.703314593450202</x:v>
      </x:c>
      <x:c r="BE41" s="115" t="n">
        <x:f aca="0">AJ41-AI41</x:f>
        <x:v>6.250424801906846</x:v>
      </x:c>
      <x:c r="BF41" s="115" t="n">
        <x:f aca="0">AK41-AJ41</x:f>
        <x:v>5.7740860785064</x:v>
      </x:c>
      <x:c r="BG41" s="115" t="n">
        <x:f aca="0">AL41-AK41</x:f>
        <x:v>5.293219901763564</x:v>
      </x:c>
    </x:row>
    <x:row r="42" ht="15" hidden="0" customHeight="1">
      <x:c r="A42" s="160" t="str">
        <x:f aca="0">"S"&amp;TEXT(ROW()-3,"00")</x:f>
        <x:v>S39</x:v>
      </x:c>
      <x:c r="B42" s="161" t="s">
        <x:v>1119</x:v>
      </x:c>
      <x:c r="C42" s="160" t="str">
        <x:f aca="0">LEFT($B42,FIND("|",$B42)-1)</x:f>
        <x:v>Horti-Silviculture</x:v>
      </x:c>
      <x:c r="D42" s="160" t="str">
        <x:f aca="0">MID($B42,FIND("|",$B42)+1,FIND("|",$B42,FIND("|",$B42)+1)-FIND("|",$B42)-1)</x:f>
        <x:v>Low</x:v>
      </x:c>
      <x:c r="E42" s="160" t="n">
        <x:f aca="0">VALUE(RIGHT($B42,4))</x:f>
        <x:v>2023</x:v>
      </x:c>
      <x:c r="F42" s="115" t="n">
        <x:f aca="0">SUMIF(S17_Biome_Strata!$G$4:$G$95,$B42,S17_Biome_Strata!$E$4:$E$95)</x:f>
        <x:v>2</x:v>
      </x:c>
      <x:c r="G42" s="115" t="n">
        <x:f aca="0">SUMIF(S17_Biome_Strata!$G$4:$G$95,$B42,S17_Biome_Strata!$F$4:$F$95)</x:f>
        <x:v>2.0182</x:v>
      </x:c>
      <x:c r="H42" s="115" t="n">
        <x:f aca="0">IF($K42&gt;=2,SUMIF(S14_Growth_Model_ExAnte!$C$15:$C$81,$B42,S14_Growth_Model_ExAnte!$L$15:$L$81)/$K42,IF($L42&gt;=2,SUMIF(S14_Growth_Model_ExAnte!$AY$15:$AY$81,$C42&amp;"|"&amp;$D42,S14_Growth_Model_ExAnte!$L$15:$L$81)/$L42,IF(COUNTIF(S14_Growth_Model_ExAnte!$AZ$15:$AZ$81,$C42)&gt;0,SUMIF(S14_Growth_Model_ExAnte!$AZ$15:$AZ$81,$C42,S14_Growth_Model_ExAnte!$L$15:$L$81)/COUNTIF(S14_Growth_Model_ExAnte!$AZ$15:$AZ$81,$C42),0)))</x:f>
        <x:v>4.000872751475873</x:v>
      </x:c>
      <x:c r="I42" s="115" t="n">
        <x:f aca="0">IF($K42&gt;=2,SQRT(MAX(0,(SUMIF(S14_Growth_Model_ExAnte!$C$15:$C$81,$B42,S14_Growth_Model_ExAnte!$BD$15:$BD$81)-SUMIF(S14_Growth_Model_ExAnte!$C$15:$C$81,$B42,S14_Growth_Model_ExAnte!$L$15:$L$81)*SUMIF(S14_Growth_Model_ExAnte!$C$15:$C$81,$B42,S14_Growth_Model_ExAnte!$L$15:$L$81)/$K42)/($K42-1))),IF($L42&gt;=2,SQRT(MAX(0,(SUMIF(S14_Growth_Model_ExAnte!$AY$15:$AY$81,$C42&amp;"|"&amp;$D42,S14_Growth_Model_ExAnte!$BD$15:$BD$81)-SUMIF(S14_Growth_Model_ExAnte!$AY$15:$AY$81,$C42&amp;"|"&amp;$D42,S14_Growth_Model_ExAnte!$L$15:$L$81)*SUMIF(S14_Growth_Model_ExAnte!$AY$15:$AY$81,$C42&amp;"|"&amp;$D42,S14_Growth_Model_ExAnte!$L$15:$L$81)/$L42)/($L42-1))),IF(COUNTIF(S14_Growth_Model_ExAnte!$AZ$15:$AZ$81,$C42)&gt;=2,SQRT(MAX(0,(SUMIF(S14_Growth_Model_ExAnte!$AZ$15:$AZ$81,$C42,S14_Growth_Model_ExAnte!$BD$15:$BD$81)-SUMIF(S14_Growth_Model_ExAnte!$AZ$15:$AZ$81,$C42,S14_Growth_Model_ExAnte!$L$15:$L$81)*SUMIF(S14_Growth_Model_ExAnte!$AZ$15:$AZ$81,$C42,S14_Growth_Model_ExAnte!$L$15:$L$81)/COUNTIF(S14_Growth_Model_ExAnte!$AZ$15:$AZ$81,$C42))/(COUNTIF(S14_Growth_Model_ExAnte!$AZ$15:$AZ$81,$C42)-1))),0)))</x:f>
        <x:v>3.3652382705858885</x:v>
      </x:c>
      <x:c r="J42" s="115" t="n">
        <x:f aca="0">IFERROR(I42/H42,0)</x:f>
        <x:v>0.8411260441473659</x:v>
      </x:c>
      <x:c r="K42" s="115" t="n">
        <x:f aca="0">COUNTIF(S14_Growth_Model_ExAnte!$C$15:$C$81,$B42)</x:f>
        <x:v>0</x:v>
      </x:c>
      <x:c r="L42" s="115" t="n">
        <x:f aca="0">COUNTIF(S14_Growth_Model_ExAnte!$AY$15:$AY$81,$C42&amp;"|"&amp;$D42)</x:f>
        <x:v>4</x:v>
      </x:c>
      <x:c r="M42" s="115" t="n">
        <x:f aca="0">$H42</x:f>
        <x:v>4.000872751475873</x:v>
      </x:c>
      <x:c r="N42" s="115" t="n">
        <x:f aca="0">MAX(0,$M42*S08_Defaults!$B$5)</x:f>
        <x:v>3.0006545636069046</x:v>
      </x:c>
      <x:c r="O42" s="115" t="n">
        <x:f aca="0">IFERROR($N42/$M42,0)</x:f>
        <x:v>0.75</x:v>
      </x:c>
      <x:c r="P42" s="115" t="str">
        <x:f aca="0">IF($K42&gt;=2,"Exact Stratum PSP Chapman-Richards curve",IF($L42&gt;=2,"Model×Density pooled Chapman-Richards curve","Model pooled Chapman-Richards curve"))</x:f>
        <x:v>Model×Density pooled Chapman-Richards curve</x:v>
      </x:c>
      <x:c r="Q42" s="162" t="s">
        <x:v>1106</x:v>
      </x:c>
      <x:c r="R42" s="115" t="n">
        <x:f aca="0">0</x:f>
        <x:v>0</x:v>
      </x:c>
      <x:c r="S42" s="115" t="n">
        <x:f aca="0">0</x:f>
        <x:v>0</x:v>
      </x:c>
      <x:c r="T42" s="115" t="n">
        <x:f aca="0">0</x:f>
        <x:v>0</x:v>
      </x:c>
      <x:c r="U42" s="115" t="n">
        <x:f aca="0">(IF($K42&gt;=2,SUMIF(S14_Growth_Model_ExAnte!$C$15:$C$81,$B42,S14_Growth_Model_ExAnte!$I$15:$I$81)/$K42,IF($L42&gt;=2,SUMIF(S14_Growth_Model_ExAnte!$AY$15:$AY$81,$C42&amp;"|"&amp;$D42,S14_Growth_Model_ExAnte!$I$15:$I$81)/$L42,IF(COUNTIF(S14_Growth_Model_ExAnte!$AZ$15:$AZ$81,$C42)&gt;0,SUMIF(S14_Growth_Model_ExAnte!$AZ$15:$AZ$81,$C42,S14_Growth_Model_ExAnte!$I$15:$I$81)/COUNTIF(S14_Growth_Model_ExAnte!$AZ$15:$AZ$81,$C42),0))))*$O42*S08_Defaults!$B$6*(1+S08_Defaults!$B$7)*S08_Defaults!$B$8</x:f>
        <x:v>0</x:v>
      </x:c>
      <x:c r="V42" s="115" t="n">
        <x:f aca="0">(IF($K42&gt;=2,SUMIF(S14_Growth_Model_ExAnte!$C$15:$C$81,$B42,S14_Growth_Model_ExAnte!$J$15:$J$81)/$K42,IF($L42&gt;=2,SUMIF(S14_Growth_Model_ExAnte!$AY$15:$AY$81,$C42&amp;"|"&amp;$D42,S14_Growth_Model_ExAnte!$J$15:$J$81)/$L42,IF(COUNTIF(S14_Growth_Model_ExAnte!$AZ$15:$AZ$81,$C42)&gt;0,SUMIF(S14_Growth_Model_ExAnte!$AZ$15:$AZ$81,$C42,S14_Growth_Model_ExAnte!$J$15:$J$81)/COUNTIF(S14_Growth_Model_ExAnte!$AZ$15:$AZ$81,$C42),0))))*$O42*S08_Defaults!$B$6*(1+S08_Defaults!$B$7)*S08_Defaults!$B$8</x:f>
        <x:v>0.17403433875284913</x:v>
      </x:c>
      <x:c r="W42" s="115" t="n">
        <x:f aca="0">(IF($K42&gt;=2,SUMIF(S14_Growth_Model_ExAnte!$C$15:$C$81,$B42,S14_Growth_Model_ExAnte!$K$15:$K$81)/$K42,IF($L42&gt;=2,SUMIF(S14_Growth_Model_ExAnte!$AY$15:$AY$81,$C42&amp;"|"&amp;$D42,S14_Growth_Model_ExAnte!$K$15:$K$81)/$L42,IF(COUNTIF(S14_Growth_Model_ExAnte!$AZ$15:$AZ$81,$C42)&gt;0,SUMIF(S14_Growth_Model_ExAnte!$AZ$15:$AZ$81,$C42,S14_Growth_Model_ExAnte!$K$15:$K$81)/COUNTIF(S14_Growth_Model_ExAnte!$AZ$15:$AZ$81,$C42),0))))*$O42*S08_Defaults!$B$6*(1+S08_Defaults!$B$7)*S08_Defaults!$B$8</x:f>
        <x:v>1.808298795281121</x:v>
      </x:c>
      <x:c r="X42" s="115" t="n">
        <x:f aca="0">(IF($K42&gt;=2,SUMIF(S14_Growth_Model_ExAnte!$C$15:$C$81,$B42,S14_Growth_Model_ExAnte!$L$15:$L$81)/$K42,IF($L42&gt;=2,SUMIF(S14_Growth_Model_ExAnte!$AY$15:$AY$81,$C42&amp;"|"&amp;$D42,S14_Growth_Model_ExAnte!$L$15:$L$81)/$L42,IF(COUNTIF(S14_Growth_Model_ExAnte!$AZ$15:$AZ$81,$C42)&gt;0,SUMIF(S14_Growth_Model_ExAnte!$AZ$15:$AZ$81,$C42,S14_Growth_Model_ExAnte!$L$15:$L$81)/COUNTIF(S14_Growth_Model_ExAnte!$AZ$15:$AZ$81,$C42),0))))*$O42*S08_Defaults!$B$6*(1+S08_Defaults!$B$7)*S08_Defaults!$B$8</x:f>
        <x:v>6.412198758790387</x:v>
      </x:c>
      <x:c r="Y42" s="115" t="n">
        <x:f aca="0">(IF($K42&gt;=2,SUMIF(S14_Growth_Model_ExAnte!$C$15:$C$81,$B42,S14_Growth_Model_ExAnte!$M$15:$M$81)/$K42,IF($L42&gt;=2,SUMIF(S14_Growth_Model_ExAnte!$AY$15:$AY$81,$C42&amp;"|"&amp;$D42,S14_Growth_Model_ExAnte!$M$15:$M$81)/$L42,IF(COUNTIF(S14_Growth_Model_ExAnte!$AZ$15:$AZ$81,$C42)&gt;0,SUMIF(S14_Growth_Model_ExAnte!$AZ$15:$AZ$81,$C42,S14_Growth_Model_ExAnte!$M$15:$M$81)/COUNTIF(S14_Growth_Model_ExAnte!$AZ$15:$AZ$81,$C42),0))))*$O42*S08_Defaults!$B$6*(1+S08_Defaults!$B$7)*S08_Defaults!$B$8</x:f>
        <x:v>14.786882216652412</x:v>
      </x:c>
      <x:c r="Z42" s="115" t="n">
        <x:f aca="0">(IF($K42&gt;=2,SUMIF(S14_Growth_Model_ExAnte!$C$15:$C$81,$B42,S14_Growth_Model_ExAnte!$N$15:$N$81)/$K42,IF($L42&gt;=2,SUMIF(S14_Growth_Model_ExAnte!$AY$15:$AY$81,$C42&amp;"|"&amp;$D42,S14_Growth_Model_ExAnte!$N$15:$N$81)/$L42,IF(COUNTIF(S14_Growth_Model_ExAnte!$AZ$15:$AZ$81,$C42)&gt;0,SUMIF(S14_Growth_Model_ExAnte!$AZ$15:$AZ$81,$C42,S14_Growth_Model_ExAnte!$N$15:$N$81)/COUNTIF(S14_Growth_Model_ExAnte!$AZ$15:$AZ$81,$C42),0))))*$O42*S08_Defaults!$B$6*(1+S08_Defaults!$B$7)*S08_Defaults!$B$8</x:f>
        <x:v>26.87739423749838</x:v>
      </x:c>
      <x:c r="AA42" s="115" t="n">
        <x:f aca="0">(IF($K42&gt;=2,SUMIF(S14_Growth_Model_ExAnte!$C$15:$C$81,$B42,S14_Growth_Model_ExAnte!$O$15:$O$81)/$K42,IF($L42&gt;=2,SUMIF(S14_Growth_Model_ExAnte!$AY$15:$AY$81,$C42&amp;"|"&amp;$D42,S14_Growth_Model_ExAnte!$O$15:$O$81)/$L42,IF(COUNTIF(S14_Growth_Model_ExAnte!$AZ$15:$AZ$81,$C42)&gt;0,SUMIF(S14_Growth_Model_ExAnte!$AZ$15:$AZ$81,$C42,S14_Growth_Model_ExAnte!$O$15:$O$81)/COUNTIF(S14_Growth_Model_ExAnte!$AZ$15:$AZ$81,$C42),0))))*$O42*S08_Defaults!$B$6*(1+S08_Defaults!$B$7)*S08_Defaults!$B$8</x:f>
        <x:v>42.13775763280599</x:v>
      </x:c>
      <x:c r="AB42" s="115" t="n">
        <x:f aca="0">(IF($K42&gt;=2,SUMIF(S14_Growth_Model_ExAnte!$C$15:$C$81,$B42,S14_Growth_Model_ExAnte!$P$15:$P$81)/$K42,IF($L42&gt;=2,SUMIF(S14_Growth_Model_ExAnte!$AY$15:$AY$81,$C42&amp;"|"&amp;$D42,S14_Growth_Model_ExAnte!$P$15:$P$81)/$L42,IF(COUNTIF(S14_Growth_Model_ExAnte!$AZ$15:$AZ$81,$C42)&gt;0,SUMIF(S14_Growth_Model_ExAnte!$AZ$15:$AZ$81,$C42,S14_Growth_Model_ExAnte!$P$15:$P$81)/COUNTIF(S14_Growth_Model_ExAnte!$AZ$15:$AZ$81,$C42),0))))*$O42*S08_Defaults!$B$6*(1+S08_Defaults!$B$7)*S08_Defaults!$B$8</x:f>
        <x:v>59.78260518527138</x:v>
      </x:c>
      <x:c r="AC42" s="115" t="n">
        <x:f aca="0">(IF($K42&gt;=2,SUMIF(S14_Growth_Model_ExAnte!$C$15:$C$81,$B42,S14_Growth_Model_ExAnte!$Q$15:$Q$81)/$K42,IF($L42&gt;=2,SUMIF(S14_Growth_Model_ExAnte!$AY$15:$AY$81,$C42&amp;"|"&amp;$D42,S14_Growth_Model_ExAnte!$Q$15:$Q$81)/$L42,IF(COUNTIF(S14_Growth_Model_ExAnte!$AZ$15:$AZ$81,$C42)&gt;0,SUMIF(S14_Growth_Model_ExAnte!$AZ$15:$AZ$81,$C42,S14_Growth_Model_ExAnte!$Q$15:$Q$81)/COUNTIF(S14_Growth_Model_ExAnte!$AZ$15:$AZ$81,$C42),0))))*$O42*S08_Defaults!$B$6*(1+S08_Defaults!$B$7)*S08_Defaults!$B$8</x:f>
        <x:v>78.97824156766397</x:v>
      </x:c>
      <x:c r="AD42" s="115" t="n">
        <x:f aca="0">(IF($K42&gt;=2,SUMIF(S14_Growth_Model_ExAnte!$C$15:$C$81,$B42,S14_Growth_Model_ExAnte!$R$15:$R$81)/$K42,IF($L42&gt;=2,SUMIF(S14_Growth_Model_ExAnte!$AY$15:$AY$81,$C42&amp;"|"&amp;$D42,S14_Growth_Model_ExAnte!$R$15:$R$81)/$L42,IF(COUNTIF(S14_Growth_Model_ExAnte!$AZ$15:$AZ$81,$C42)&gt;0,SUMIF(S14_Growth_Model_ExAnte!$AZ$15:$AZ$81,$C42,S14_Growth_Model_ExAnte!$R$15:$R$81)/COUNTIF(S14_Growth_Model_ExAnte!$AZ$15:$AZ$81,$C42),0))))*$O42*S08_Defaults!$B$6*(1+S08_Defaults!$B$7)*S08_Defaults!$B$8</x:f>
        <x:v>98.95602185390175</x:v>
      </x:c>
      <x:c r="AE42" s="115" t="n">
        <x:f aca="0">(IF($K42&gt;=2,SUMIF(S14_Growth_Model_ExAnte!$C$15:$C$81,$B42,S14_Growth_Model_ExAnte!$S$15:$S$81)/$K42,IF($L42&gt;=2,SUMIF(S14_Growth_Model_ExAnte!$AY$15:$AY$81,$C42&amp;"|"&amp;$D42,S14_Growth_Model_ExAnte!$S$15:$S$81)/$L42,IF(COUNTIF(S14_Growth_Model_ExAnte!$AZ$15:$AZ$81,$C42)&gt;0,SUMIF(S14_Growth_Model_ExAnte!$AZ$15:$AZ$81,$C42,S14_Growth_Model_ExAnte!$S$15:$S$81)/COUNTIF(S14_Growth_Model_ExAnte!$AZ$15:$AZ$81,$C42),0))))*$O42*S08_Defaults!$B$6*(1+S08_Defaults!$B$7)*S08_Defaults!$B$8</x:f>
        <x:v>119.06758474596045</x:v>
      </x:c>
      <x:c r="AF42" s="115" t="n">
        <x:f aca="0">(IF($K42&gt;=2,SUMIF(S14_Growth_Model_ExAnte!$C$15:$C$81,$B42,S14_Growth_Model_ExAnte!$T$15:$T$81)/$K42,IF($L42&gt;=2,SUMIF(S14_Growth_Model_ExAnte!$AY$15:$AY$81,$C42&amp;"|"&amp;$D42,S14_Growth_Model_ExAnte!$T$15:$T$81)/$L42,IF(COUNTIF(S14_Growth_Model_ExAnte!$AZ$15:$AZ$81,$C42)&gt;0,SUMIF(S14_Growth_Model_ExAnte!$AZ$15:$AZ$81,$C42,S14_Growth_Model_ExAnte!$T$15:$T$81)/COUNTIF(S14_Growth_Model_ExAnte!$AZ$15:$AZ$81,$C42),0))))*$O42*S08_Defaults!$B$6*(1+S08_Defaults!$B$7)*S08_Defaults!$B$8</x:f>
        <x:v>138.80222721919424</x:v>
      </x:c>
      <x:c r="AG42" s="115" t="n">
        <x:f aca="0">(IF($K42&gt;=2,SUMIF(S14_Growth_Model_ExAnte!$C$15:$C$81,$B42,S14_Growth_Model_ExAnte!$U$15:$U$81)/$K42,IF($L42&gt;=2,SUMIF(S14_Growth_Model_ExAnte!$AY$15:$AY$81,$C42&amp;"|"&amp;$D42,S14_Growth_Model_ExAnte!$U$15:$U$81)/$L42,IF(COUNTIF(S14_Growth_Model_ExAnte!$AZ$15:$AZ$81,$C42)&gt;0,SUMIF(S14_Growth_Model_ExAnte!$AZ$15:$AZ$81,$C42,S14_Growth_Model_ExAnte!$U$15:$U$81)/COUNTIF(S14_Growth_Model_ExAnte!$AZ$15:$AZ$81,$C42),0))))*$O42*S08_Defaults!$B$6*(1+S08_Defaults!$B$7)*S08_Defaults!$B$8</x:f>
        <x:v>157.78228035374133</x:v>
      </x:c>
      <x:c r="AH42" s="115" t="n">
        <x:f aca="0">(IF($K42&gt;=2,SUMIF(S14_Growth_Model_ExAnte!$C$15:$C$81,$B42,S14_Growth_Model_ExAnte!$V$15:$V$81)/$K42,IF($L42&gt;=2,SUMIF(S14_Growth_Model_ExAnte!$AY$15:$AY$81,$C42&amp;"|"&amp;$D42,S14_Growth_Model_ExAnte!$V$15:$V$81)/$L42,IF(COUNTIF(S14_Growth_Model_ExAnte!$AZ$15:$AZ$81,$C42)&gt;0,SUMIF(S14_Growth_Model_ExAnte!$AZ$15:$AZ$81,$C42,S14_Growth_Model_ExAnte!$V$15:$V$81)/COUNTIF(S14_Growth_Model_ExAnte!$AZ$15:$AZ$81,$C42),0))))*$O42*S08_Defaults!$B$6*(1+S08_Defaults!$B$7)*S08_Defaults!$B$8</x:f>
        <x:v>175.74738584896815</x:v>
      </x:c>
      <x:c r="AI42" s="115" t="n">
        <x:f aca="0">(IF($K42&gt;=2,SUMIF(S14_Growth_Model_ExAnte!$C$15:$C$81,$B42,S14_Growth_Model_ExAnte!$W$15:$W$81)/$K42,IF($L42&gt;=2,SUMIF(S14_Growth_Model_ExAnte!$AY$15:$AY$81,$C42&amp;"|"&amp;$D42,S14_Growth_Model_ExAnte!$W$15:$W$81)/$L42,IF(COUNTIF(S14_Growth_Model_ExAnte!$AZ$15:$AZ$81,$C42)&gt;0,SUMIF(S14_Growth_Model_ExAnte!$AZ$15:$AZ$81,$C42,S14_Growth_Model_ExAnte!$W$15:$W$81)/COUNTIF(S14_Growth_Model_ExAnte!$AZ$15:$AZ$81,$C42),0))))*$O42*S08_Defaults!$B$6*(1+S08_Defaults!$B$7)*S08_Defaults!$B$8</x:f>
        <x:v>192.53453046988696</x:v>
      </x:c>
      <x:c r="AJ42" s="115" t="n">
        <x:f aca="0">(IF($K42&gt;=2,SUMIF(S14_Growth_Model_ExAnte!$C$15:$C$81,$B42,S14_Growth_Model_ExAnte!$X$15:$X$81)/$K42,IF($L42&gt;=2,SUMIF(S14_Growth_Model_ExAnte!$AY$15:$AY$81,$C42&amp;"|"&amp;$D42,S14_Growth_Model_ExAnte!$X$15:$X$81)/$L42,IF(COUNTIF(S14_Growth_Model_ExAnte!$AZ$15:$AZ$81,$C42)&gt;0,SUMIF(S14_Growth_Model_ExAnte!$AZ$15:$AZ$81,$C42,S14_Growth_Model_ExAnte!$X$15:$X$81)/COUNTIF(S14_Growth_Model_ExAnte!$AZ$15:$AZ$81,$C42),0))))*$O42*S08_Defaults!$B$6*(1+S08_Defaults!$B$7)*S08_Defaults!$B$8</x:f>
        <x:v>208.05780653042697</x:v>
      </x:c>
      <x:c r="AK42" s="115" t="n">
        <x:f aca="0">(IF($K42&gt;=2,SUMIF(S14_Growth_Model_ExAnte!$C$15:$C$81,$B42,S14_Growth_Model_ExAnte!$Y$15:$Y$81)/$K42,IF($L42&gt;=2,SUMIF(S14_Growth_Model_ExAnte!$AY$15:$AY$81,$C42&amp;"|"&amp;$D42,S14_Growth_Model_ExAnte!$Y$15:$Y$81)/$L42,IF(COUNTIF(S14_Growth_Model_ExAnte!$AZ$15:$AZ$81,$C42)&gt;0,SUMIF(S14_Growth_Model_ExAnte!$AZ$15:$AZ$81,$C42,S14_Growth_Model_ExAnte!$Y$15:$Y$81)/COUNTIF(S14_Growth_Model_ExAnte!$AZ$15:$AZ$81,$C42),0))))*$O42*S08_Defaults!$B$6*(1+S08_Defaults!$B$7)*S08_Defaults!$B$8</x:f>
        <x:v>222.2899602891645</x:v>
      </x:c>
      <x:c r="AL42" s="115" t="n">
        <x:f aca="0">(IF($K42&gt;=2,SUMIF(S14_Growth_Model_ExAnte!$C$15:$C$81,$B42,S14_Growth_Model_ExAnte!$Z$15:$Z$81)/$K42,IF($L42&gt;=2,SUMIF(S14_Growth_Model_ExAnte!$AY$15:$AY$81,$C42&amp;"|"&amp;$D42,S14_Growth_Model_ExAnte!$Z$15:$Z$81)/$L42,IF(COUNTIF(S14_Growth_Model_ExAnte!$AZ$15:$AZ$81,$C42)&gt;0,SUMIF(S14_Growth_Model_ExAnte!$AZ$15:$AZ$81,$C42,S14_Growth_Model_ExAnte!$Z$15:$Z$81)/COUNTIF(S14_Growth_Model_ExAnte!$AZ$15:$AZ$81,$C42),0))))*$O42*S08_Defaults!$B$6*(1+S08_Defaults!$B$7)*S08_Defaults!$B$8</x:f>
        <x:v>235.24661033512507</x:v>
      </x:c>
      <x:c r="AM42" s="115" t="n">
        <x:f aca="0">R42</x:f>
        <x:v>0</x:v>
      </x:c>
      <x:c r="AN42" s="115" t="n">
        <x:f aca="0">S42-R42</x:f>
        <x:v>0</x:v>
      </x:c>
      <x:c r="AO42" s="115" t="n">
        <x:f aca="0">T42-S42</x:f>
        <x:v>0</x:v>
      </x:c>
      <x:c r="AP42" s="115" t="n">
        <x:f aca="0">U42-T42</x:f>
        <x:v>0</x:v>
      </x:c>
      <x:c r="AQ42" s="115" t="n">
        <x:f aca="0">V42-U42</x:f>
        <x:v>0.17403433875284913</x:v>
      </x:c>
      <x:c r="AR42" s="115" t="n">
        <x:f aca="0">W42-V42</x:f>
        <x:v>1.6342644565282718</x:v>
      </x:c>
      <x:c r="AS42" s="115" t="n">
        <x:f aca="0">X42-W42</x:f>
        <x:v>4.603899963509266</x:v>
      </x:c>
      <x:c r="AT42" s="115" t="n">
        <x:f aca="0">Y42-X42</x:f>
        <x:v>8.374683457862025</x:v>
      </x:c>
      <x:c r="AU42" s="115" t="n">
        <x:f aca="0">Z42-Y42</x:f>
        <x:v>12.090512020845967</x:v>
      </x:c>
      <x:c r="AV42" s="115" t="n">
        <x:f aca="0">AA42-Z42</x:f>
        <x:v>15.260363395307614</x:v>
      </x:c>
      <x:c r="AW42" s="115" t="n">
        <x:f aca="0">AB42-AA42</x:f>
        <x:v>17.644847552465386</x:v>
      </x:c>
      <x:c r="AX42" s="115" t="n">
        <x:f aca="0">AC42-AB42</x:f>
        <x:v>19.195636382392593</x:v>
      </x:c>
      <x:c r="AY42" s="115" t="n">
        <x:f aca="0">AD42-AC42</x:f>
        <x:v>19.977780286237774</x:v>
      </x:c>
      <x:c r="AZ42" s="115" t="n">
        <x:f aca="0">AE42-AD42</x:f>
        <x:v>20.1115628920587</x:v>
      </x:c>
      <x:c r="BA42" s="115" t="n">
        <x:f aca="0">AF42-AE42</x:f>
        <x:v>19.73464247323379</x:v>
      </x:c>
      <x:c r="BB42" s="115" t="n">
        <x:f aca="0">AG42-AF42</x:f>
        <x:v>18.98005313454709</x:v>
      </x:c>
      <x:c r="BC42" s="115" t="n">
        <x:f aca="0">AH42-AG42</x:f>
        <x:v>17.965105495226823</x:v>
      </x:c>
      <x:c r="BD42" s="115" t="n">
        <x:f aca="0">AI42-AH42</x:f>
        <x:v>16.78714462091881</x:v>
      </x:c>
      <x:c r="BE42" s="115" t="n">
        <x:f aca="0">AJ42-AI42</x:f>
        <x:v>15.523276060540013</x:v>
      </x:c>
      <x:c r="BF42" s="115" t="n">
        <x:f aca="0">AK42-AJ42</x:f>
        <x:v>14.232153758737525</x:v>
      </x:c>
      <x:c r="BG42" s="115" t="n">
        <x:f aca="0">AL42-AK42</x:f>
        <x:v>12.956650045960572</x:v>
      </x:c>
    </x:row>
    <x:row r="43" ht="15" hidden="0" customHeight="1">
      <x:c r="A43" s="160" t="str">
        <x:f aca="0">"S"&amp;TEXT(ROW()-3,"00")</x:f>
        <x:v>S40</x:v>
      </x:c>
      <x:c r="B43" s="161" t="s">
        <x:v>697</x:v>
      </x:c>
      <x:c r="C43" s="160" t="str">
        <x:f aca="0">LEFT($B43,FIND("|",$B43)-1)</x:f>
        <x:v>Timber Plantation</x:v>
      </x:c>
      <x:c r="D43" s="160" t="str">
        <x:f aca="0">MID($B43,FIND("|",$B43)+1,FIND("|",$B43,FIND("|",$B43)+1)-FIND("|",$B43)-1)</x:f>
        <x:v>Low</x:v>
      </x:c>
      <x:c r="E43" s="160" t="n">
        <x:f aca="0">VALUE(RIGHT($B43,4))</x:f>
        <x:v>2023</x:v>
      </x:c>
      <x:c r="F43" s="115" t="n">
        <x:f aca="0">SUMIF(S17_Biome_Strata!$G$4:$G$95,$B43,S17_Biome_Strata!$E$4:$E$95)</x:f>
        <x:v>3</x:v>
      </x:c>
      <x:c r="G43" s="115" t="n">
        <x:f aca="0">SUMIF(S17_Biome_Strata!$G$4:$G$95,$B43,S17_Biome_Strata!$F$4:$F$95)</x:f>
        <x:v>3.7993</x:v>
      </x:c>
      <x:c r="H43" s="115" t="n">
        <x:f aca="0">IF($K43&gt;=2,SUMIF(S14_Growth_Model_ExAnte!$C$15:$C$81,$B43,S14_Growth_Model_ExAnte!$L$15:$L$81)/$K43,IF($L43&gt;=2,SUMIF(S14_Growth_Model_ExAnte!$AY$15:$AY$81,$C43&amp;"|"&amp;$D43,S14_Growth_Model_ExAnte!$L$15:$L$81)/$L43,IF(COUNTIF(S14_Growth_Model_ExAnte!$AZ$15:$AZ$81,$C43)&gt;0,SUMIF(S14_Growth_Model_ExAnte!$AZ$15:$AZ$81,$C43,S14_Growth_Model_ExAnte!$L$15:$L$81)/COUNTIF(S14_Growth_Model_ExAnte!$AZ$15:$AZ$81,$C43),0)))</x:f>
        <x:v>5.719006558079545</x:v>
      </x:c>
      <x:c r="I43" s="115" t="n">
        <x:f aca="0">IF($K43&gt;=2,SQRT(MAX(0,(SUMIF(S14_Growth_Model_ExAnte!$C$15:$C$81,$B43,S14_Growth_Model_ExAnte!$BD$15:$BD$81)-SUMIF(S14_Growth_Model_ExAnte!$C$15:$C$81,$B43,S14_Growth_Model_ExAnte!$L$15:$L$81)*SUMIF(S14_Growth_Model_ExAnte!$C$15:$C$81,$B43,S14_Growth_Model_ExAnte!$L$15:$L$81)/$K43)/($K43-1))),IF($L43&gt;=2,SQRT(MAX(0,(SUMIF(S14_Growth_Model_ExAnte!$AY$15:$AY$81,$C43&amp;"|"&amp;$D43,S14_Growth_Model_ExAnte!$BD$15:$BD$81)-SUMIF(S14_Growth_Model_ExAnte!$AY$15:$AY$81,$C43&amp;"|"&amp;$D43,S14_Growth_Model_ExAnte!$L$15:$L$81)*SUMIF(S14_Growth_Model_ExAnte!$AY$15:$AY$81,$C43&amp;"|"&amp;$D43,S14_Growth_Model_ExAnte!$L$15:$L$81)/$L43)/($L43-1))),IF(COUNTIF(S14_Growth_Model_ExAnte!$AZ$15:$AZ$81,$C43)&gt;=2,SQRT(MAX(0,(SUMIF(S14_Growth_Model_ExAnte!$AZ$15:$AZ$81,$C43,S14_Growth_Model_ExAnte!$BD$15:$BD$81)-SUMIF(S14_Growth_Model_ExAnte!$AZ$15:$AZ$81,$C43,S14_Growth_Model_ExAnte!$L$15:$L$81)*SUMIF(S14_Growth_Model_ExAnte!$AZ$15:$AZ$81,$C43,S14_Growth_Model_ExAnte!$L$15:$L$81)/COUNTIF(S14_Growth_Model_ExAnte!$AZ$15:$AZ$81,$C43))/(COUNTIF(S14_Growth_Model_ExAnte!$AZ$15:$AZ$81,$C43)-1))),0)))</x:f>
        <x:v>6.159454744970722</x:v>
      </x:c>
      <x:c r="J43" s="115" t="n">
        <x:f aca="0">IFERROR(I43/H43,0)</x:f>
        <x:v>1.0770148071029806</x:v>
      </x:c>
      <x:c r="K43" s="115" t="n">
        <x:f aca="0">COUNTIF(S14_Growth_Model_ExAnte!$C$15:$C$81,$B43)</x:f>
        <x:v>1</x:v>
      </x:c>
      <x:c r="L43" s="115" t="n">
        <x:f aca="0">COUNTIF(S14_Growth_Model_ExAnte!$AY$15:$AY$81,$C43&amp;"|"&amp;$D43)</x:f>
        <x:v>6</x:v>
      </x:c>
      <x:c r="M43" s="115" t="n">
        <x:f aca="0">$H43</x:f>
        <x:v>5.719006558079545</x:v>
      </x:c>
      <x:c r="N43" s="115" t="n">
        <x:f aca="0">MAX(0,$M43*S08_Defaults!$B$5)</x:f>
        <x:v>4.289254918559658</x:v>
      </x:c>
      <x:c r="O43" s="115" t="n">
        <x:f aca="0">IFERROR($N43/$M43,0)</x:f>
        <x:v>0.75</x:v>
      </x:c>
      <x:c r="P43" s="115" t="str">
        <x:f aca="0">IF($K43&gt;=2,"Exact Stratum PSP Chapman-Richards curve",IF($L43&gt;=2,"Model×Density pooled Chapman-Richards curve","Model pooled Chapman-Richards curve"))</x:f>
        <x:v>Model×Density pooled Chapman-Richards curve</x:v>
      </x:c>
      <x:c r="Q43" s="162" t="s">
        <x:v>1106</x:v>
      </x:c>
      <x:c r="R43" s="115" t="n">
        <x:f aca="0">0</x:f>
        <x:v>0</x:v>
      </x:c>
      <x:c r="S43" s="115" t="n">
        <x:f aca="0">0</x:f>
        <x:v>0</x:v>
      </x:c>
      <x:c r="T43" s="115" t="n">
        <x:f aca="0">0</x:f>
        <x:v>0</x:v>
      </x:c>
      <x:c r="U43" s="115" t="n">
        <x:f aca="0">(IF($K43&gt;=2,SUMIF(S14_Growth_Model_ExAnte!$C$15:$C$81,$B43,S14_Growth_Model_ExAnte!$I$15:$I$81)/$K43,IF($L43&gt;=2,SUMIF(S14_Growth_Model_ExAnte!$AY$15:$AY$81,$C43&amp;"|"&amp;$D43,S14_Growth_Model_ExAnte!$I$15:$I$81)/$L43,IF(COUNTIF(S14_Growth_Model_ExAnte!$AZ$15:$AZ$81,$C43)&gt;0,SUMIF(S14_Growth_Model_ExAnte!$AZ$15:$AZ$81,$C43,S14_Growth_Model_ExAnte!$I$15:$I$81)/COUNTIF(S14_Growth_Model_ExAnte!$AZ$15:$AZ$81,$C43),0))))*$O43*S08_Defaults!$B$6*(1+S08_Defaults!$B$7)*S08_Defaults!$B$8</x:f>
        <x:v>0</x:v>
      </x:c>
      <x:c r="V43" s="115" t="n">
        <x:f aca="0">(IF($K43&gt;=2,SUMIF(S14_Growth_Model_ExAnte!$C$15:$C$81,$B43,S14_Growth_Model_ExAnte!$J$15:$J$81)/$K43,IF($L43&gt;=2,SUMIF(S14_Growth_Model_ExAnte!$AY$15:$AY$81,$C43&amp;"|"&amp;$D43,S14_Growth_Model_ExAnte!$J$15:$J$81)/$L43,IF(COUNTIF(S14_Growth_Model_ExAnte!$AZ$15:$AZ$81,$C43)&gt;0,SUMIF(S14_Growth_Model_ExAnte!$AZ$15:$AZ$81,$C43,S14_Growth_Model_ExAnte!$J$15:$J$81)/COUNTIF(S14_Growth_Model_ExAnte!$AZ$15:$AZ$81,$C43),0))))*$O43*S08_Defaults!$B$6*(1+S08_Defaults!$B$7)*S08_Defaults!$B$8</x:f>
        <x:v>0.2344008062162858</x:v>
      </x:c>
      <x:c r="W43" s="115" t="n">
        <x:f aca="0">(IF($K43&gt;=2,SUMIF(S14_Growth_Model_ExAnte!$C$15:$C$81,$B43,S14_Growth_Model_ExAnte!$K$15:$K$81)/$K43,IF($L43&gt;=2,SUMIF(S14_Growth_Model_ExAnte!$AY$15:$AY$81,$C43&amp;"|"&amp;$D43,S14_Growth_Model_ExAnte!$K$15:$K$81)/$L43,IF(COUNTIF(S14_Growth_Model_ExAnte!$AZ$15:$AZ$81,$C43)&gt;0,SUMIF(S14_Growth_Model_ExAnte!$AZ$15:$AZ$81,$C43,S14_Growth_Model_ExAnte!$K$15:$K$81)/COUNTIF(S14_Growth_Model_ExAnte!$AZ$15:$AZ$81,$C43),0))))*$O43*S08_Defaults!$B$6*(1+S08_Defaults!$B$7)*S08_Defaults!$B$8</x:f>
        <x:v>2.517183336362505</x:v>
      </x:c>
      <x:c r="X43" s="115" t="n">
        <x:f aca="0">(IF($K43&gt;=2,SUMIF(S14_Growth_Model_ExAnte!$C$15:$C$81,$B43,S14_Growth_Model_ExAnte!$L$15:$L$81)/$K43,IF($L43&gt;=2,SUMIF(S14_Growth_Model_ExAnte!$AY$15:$AY$81,$C43&amp;"|"&amp;$D43,S14_Growth_Model_ExAnte!$L$15:$L$81)/$L43,IF(COUNTIF(S14_Growth_Model_ExAnte!$AZ$15:$AZ$81,$C43)&gt;0,SUMIF(S14_Growth_Model_ExAnte!$AZ$15:$AZ$81,$C43,S14_Growth_Model_ExAnte!$L$15:$L$81)/COUNTIF(S14_Growth_Model_ExAnte!$AZ$15:$AZ$81,$C43),0))))*$O43*S08_Defaults!$B$6*(1+S08_Defaults!$B$7)*S08_Defaults!$B$8</x:f>
        <x:v>9.165851810634095</x:v>
      </x:c>
      <x:c r="Y43" s="115" t="n">
        <x:f aca="0">(IF($K43&gt;=2,SUMIF(S14_Growth_Model_ExAnte!$C$15:$C$81,$B43,S14_Growth_Model_ExAnte!$M$15:$M$81)/$K43,IF($L43&gt;=2,SUMIF(S14_Growth_Model_ExAnte!$AY$15:$AY$81,$C43&amp;"|"&amp;$D43,S14_Growth_Model_ExAnte!$M$15:$M$81)/$L43,IF(COUNTIF(S14_Growth_Model_ExAnte!$AZ$15:$AZ$81,$C43)&gt;0,SUMIF(S14_Growth_Model_ExAnte!$AZ$15:$AZ$81,$C43,S14_Growth_Model_ExAnte!$M$15:$M$81)/COUNTIF(S14_Growth_Model_ExAnte!$AZ$15:$AZ$81,$C43),0))))*$O43*S08_Defaults!$B$6*(1+S08_Defaults!$B$7)*S08_Defaults!$B$8</x:f>
        <x:v>21.636662553735242</x:v>
      </x:c>
      <x:c r="Z43" s="115" t="n">
        <x:f aca="0">(IF($K43&gt;=2,SUMIF(S14_Growth_Model_ExAnte!$C$15:$C$81,$B43,S14_Growth_Model_ExAnte!$N$15:$N$81)/$K43,IF($L43&gt;=2,SUMIF(S14_Growth_Model_ExAnte!$AY$15:$AY$81,$C43&amp;"|"&amp;$D43,S14_Growth_Model_ExAnte!$N$15:$N$81)/$L43,IF(COUNTIF(S14_Growth_Model_ExAnte!$AZ$15:$AZ$81,$C43)&gt;0,SUMIF(S14_Growth_Model_ExAnte!$AZ$15:$AZ$81,$C43,S14_Growth_Model_ExAnte!$N$15:$N$81)/COUNTIF(S14_Growth_Model_ExAnte!$AZ$15:$AZ$81,$C43),0))))*$O43*S08_Defaults!$B$6*(1+S08_Defaults!$B$7)*S08_Defaults!$B$8</x:f>
        <x:v>40.17069700762988</x:v>
      </x:c>
      <x:c r="AA43" s="115" t="n">
        <x:f aca="0">(IF($K43&gt;=2,SUMIF(S14_Growth_Model_ExAnte!$C$15:$C$81,$B43,S14_Growth_Model_ExAnte!$O$15:$O$81)/$K43,IF($L43&gt;=2,SUMIF(S14_Growth_Model_ExAnte!$AY$15:$AY$81,$C43&amp;"|"&amp;$D43,S14_Growth_Model_ExAnte!$O$15:$O$81)/$L43,IF(COUNTIF(S14_Growth_Model_ExAnte!$AZ$15:$AZ$81,$C43)&gt;0,SUMIF(S14_Growth_Model_ExAnte!$AZ$15:$AZ$81,$C43,S14_Growth_Model_ExAnte!$O$15:$O$81)/COUNTIF(S14_Growth_Model_ExAnte!$AZ$15:$AZ$81,$C43),0))))*$O43*S08_Defaults!$B$6*(1+S08_Defaults!$B$7)*S08_Defaults!$B$8</x:f>
        <x:v>64.21703043547409</x:v>
      </x:c>
      <x:c r="AB43" s="115" t="n">
        <x:f aca="0">(IF($K43&gt;=2,SUMIF(S14_Growth_Model_ExAnte!$C$15:$C$81,$B43,S14_Growth_Model_ExAnte!$P$15:$P$81)/$K43,IF($L43&gt;=2,SUMIF(S14_Growth_Model_ExAnte!$AY$15:$AY$81,$C43&amp;"|"&amp;$D43,S14_Growth_Model_ExAnte!$P$15:$P$81)/$L43,IF(COUNTIF(S14_Growth_Model_ExAnte!$AZ$15:$AZ$81,$C43)&gt;0,SUMIF(S14_Growth_Model_ExAnte!$AZ$15:$AZ$81,$C43,S14_Growth_Model_ExAnte!$P$15:$P$81)/COUNTIF(S14_Growth_Model_ExAnte!$AZ$15:$AZ$81,$C43),0))))*$O43*S08_Defaults!$B$6*(1+S08_Defaults!$B$7)*S08_Defaults!$B$8</x:f>
        <x:v>92.75946271580129</x:v>
      </x:c>
      <x:c r="AC43" s="115" t="n">
        <x:f aca="0">(IF($K43&gt;=2,SUMIF(S14_Growth_Model_ExAnte!$C$15:$C$81,$B43,S14_Growth_Model_ExAnte!$Q$15:$Q$81)/$K43,IF($L43&gt;=2,SUMIF(S14_Growth_Model_ExAnte!$AY$15:$AY$81,$C43&amp;"|"&amp;$D43,S14_Growth_Model_ExAnte!$Q$15:$Q$81)/$L43,IF(COUNTIF(S14_Growth_Model_ExAnte!$AZ$15:$AZ$81,$C43)&gt;0,SUMIF(S14_Growth_Model_ExAnte!$AZ$15:$AZ$81,$C43,S14_Growth_Model_ExAnte!$Q$15:$Q$81)/COUNTIF(S14_Growth_Model_ExAnte!$AZ$15:$AZ$81,$C43),0))))*$O43*S08_Defaults!$B$6*(1+S08_Defaults!$B$7)*S08_Defaults!$B$8</x:f>
        <x:v>124.59670457567152</x:v>
      </x:c>
      <x:c r="AD43" s="115" t="n">
        <x:f aca="0">(IF($K43&gt;=2,SUMIF(S14_Growth_Model_ExAnte!$C$15:$C$81,$B43,S14_Growth_Model_ExAnte!$R$15:$R$81)/$K43,IF($L43&gt;=2,SUMIF(S14_Growth_Model_ExAnte!$AY$15:$AY$81,$C43&amp;"|"&amp;$D43,S14_Growth_Model_ExAnte!$R$15:$R$81)/$L43,IF(COUNTIF(S14_Growth_Model_ExAnte!$AZ$15:$AZ$81,$C43)&gt;0,SUMIF(S14_Growth_Model_ExAnte!$AZ$15:$AZ$81,$C43,S14_Growth_Model_ExAnte!$R$15:$R$81)/COUNTIF(S14_Growth_Model_ExAnte!$AZ$15:$AZ$81,$C43),0))))*$O43*S08_Defaults!$B$6*(1+S08_Defaults!$B$7)*S08_Defaults!$B$8</x:f>
        <x:v>158.530937049188</x:v>
      </x:c>
      <x:c r="AE43" s="115" t="n">
        <x:f aca="0">(IF($K43&gt;=2,SUMIF(S14_Growth_Model_ExAnte!$C$15:$C$81,$B43,S14_Growth_Model_ExAnte!$S$15:$S$81)/$K43,IF($L43&gt;=2,SUMIF(S14_Growth_Model_ExAnte!$AY$15:$AY$81,$C43&amp;"|"&amp;$D43,S14_Growth_Model_ExAnte!$S$15:$S$81)/$L43,IF(COUNTIF(S14_Growth_Model_ExAnte!$AZ$15:$AZ$81,$C43)&gt;0,SUMIF(S14_Growth_Model_ExAnte!$AZ$15:$AZ$81,$C43,S14_Growth_Model_ExAnte!$S$15:$S$81)/COUNTIF(S14_Growth_Model_ExAnte!$AZ$15:$AZ$81,$C43),0))))*$O43*S08_Defaults!$B$6*(1+S08_Defaults!$B$7)*S08_Defaults!$B$8</x:f>
        <x:v>193.47828801682851</x:v>
      </x:c>
      <x:c r="AF43" s="115" t="n">
        <x:f aca="0">(IF($K43&gt;=2,SUMIF(S14_Growth_Model_ExAnte!$C$15:$C$81,$B43,S14_Growth_Model_ExAnte!$T$15:$T$81)/$K43,IF($L43&gt;=2,SUMIF(S14_Growth_Model_ExAnte!$AY$15:$AY$81,$C43&amp;"|"&amp;$D43,S14_Growth_Model_ExAnte!$T$15:$T$81)/$L43,IF(COUNTIF(S14_Growth_Model_ExAnte!$AZ$15:$AZ$81,$C43)&gt;0,SUMIF(S14_Growth_Model_ExAnte!$AZ$15:$AZ$81,$C43,S14_Growth_Model_ExAnte!$T$15:$T$81)/COUNTIF(S14_Growth_Model_ExAnte!$AZ$15:$AZ$81,$C43),0))))*$O43*S08_Defaults!$B$6*(1+S08_Defaults!$B$7)*S08_Defaults!$B$8</x:f>
        <x:v>228.52238232946212</x:v>
      </x:c>
      <x:c r="AG43" s="115" t="n">
        <x:f aca="0">(IF($K43&gt;=2,SUMIF(S14_Growth_Model_ExAnte!$C$15:$C$81,$B43,S14_Growth_Model_ExAnte!$U$15:$U$81)/$K43,IF($L43&gt;=2,SUMIF(S14_Growth_Model_ExAnte!$AY$15:$AY$81,$C43&amp;"|"&amp;$D43,S14_Growth_Model_ExAnte!$U$15:$U$81)/$L43,IF(COUNTIF(S14_Growth_Model_ExAnte!$AZ$15:$AZ$81,$C43)&gt;0,SUMIF(S14_Growth_Model_ExAnte!$AZ$15:$AZ$81,$C43,S14_Growth_Model_ExAnte!$U$15:$U$81)/COUNTIF(S14_Growth_Model_ExAnte!$AZ$15:$AZ$81,$C43),0))))*$O43*S08_Defaults!$B$6*(1+S08_Defaults!$B$7)*S08_Defaults!$B$8</x:f>
        <x:v>262.93034140034655</x:v>
      </x:c>
      <x:c r="AH43" s="115" t="n">
        <x:f aca="0">(IF($K43&gt;=2,SUMIF(S14_Growth_Model_ExAnte!$C$15:$C$81,$B43,S14_Growth_Model_ExAnte!$V$15:$V$81)/$K43,IF($L43&gt;=2,SUMIF(S14_Growth_Model_ExAnte!$AY$15:$AY$81,$C43&amp;"|"&amp;$D43,S14_Growth_Model_ExAnte!$V$15:$V$81)/$L43,IF(COUNTIF(S14_Growth_Model_ExAnte!$AZ$15:$AZ$81,$C43)&gt;0,SUMIF(S14_Growth_Model_ExAnte!$AZ$15:$AZ$81,$C43,S14_Growth_Model_ExAnte!$V$15:$V$81)/COUNTIF(S14_Growth_Model_ExAnte!$AZ$15:$AZ$81,$C43),0))))*$O43*S08_Defaults!$B$6*(1+S08_Defaults!$B$7)*S08_Defaults!$B$8</x:f>
        <x:v>296.14619367506015</x:v>
      </x:c>
      <x:c r="AI43" s="115" t="n">
        <x:f aca="0">(IF($K43&gt;=2,SUMIF(S14_Growth_Model_ExAnte!$C$15:$C$81,$B43,S14_Growth_Model_ExAnte!$W$15:$W$81)/$K43,IF($L43&gt;=2,SUMIF(S14_Growth_Model_ExAnte!$AY$15:$AY$81,$C43&amp;"|"&amp;$D43,S14_Growth_Model_ExAnte!$W$15:$W$81)/$L43,IF(COUNTIF(S14_Growth_Model_ExAnte!$AZ$15:$AZ$81,$C43)&gt;0,SUMIF(S14_Growth_Model_ExAnte!$AZ$15:$AZ$81,$C43,S14_Growth_Model_ExAnte!$W$15:$W$81)/COUNTIF(S14_Growth_Model_ExAnte!$AZ$15:$AZ$81,$C43),0))))*$O43*S08_Defaults!$B$6*(1+S08_Defaults!$B$7)*S08_Defaults!$B$8</x:f>
        <x:v>327.77222010466966</x:v>
      </x:c>
      <x:c r="AJ43" s="115" t="n">
        <x:f aca="0">(IF($K43&gt;=2,SUMIF(S14_Growth_Model_ExAnte!$C$15:$C$81,$B43,S14_Growth_Model_ExAnte!$X$15:$X$81)/$K43,IF($L43&gt;=2,SUMIF(S14_Growth_Model_ExAnte!$AY$15:$AY$81,$C43&amp;"|"&amp;$D43,S14_Growth_Model_ExAnte!$X$15:$X$81)/$L43,IF(COUNTIF(S14_Growth_Model_ExAnte!$AZ$15:$AZ$81,$C43)&gt;0,SUMIF(S14_Growth_Model_ExAnte!$AZ$15:$AZ$81,$C43,S14_Growth_Model_ExAnte!$X$15:$X$81)/COUNTIF(S14_Growth_Model_ExAnte!$AZ$15:$AZ$81,$C43),0))))*$O43*S08_Defaults!$B$6*(1+S08_Defaults!$B$7)*S08_Defaults!$B$8</x:f>
        <x:v>357.5451434089246</x:v>
      </x:c>
      <x:c r="AK43" s="115" t="n">
        <x:f aca="0">(IF($K43&gt;=2,SUMIF(S14_Growth_Model_ExAnte!$C$15:$C$81,$B43,S14_Growth_Model_ExAnte!$Y$15:$Y$81)/$K43,IF($L43&gt;=2,SUMIF(S14_Growth_Model_ExAnte!$AY$15:$AY$81,$C43&amp;"|"&amp;$D43,S14_Growth_Model_ExAnte!$Y$15:$Y$81)/$L43,IF(COUNTIF(S14_Growth_Model_ExAnte!$AZ$15:$AZ$81,$C43)&gt;0,SUMIF(S14_Growth_Model_ExAnte!$AZ$15:$AZ$81,$C43,S14_Growth_Model_ExAnte!$Y$15:$Y$81)/COUNTIF(S14_Growth_Model_ExAnte!$AZ$15:$AZ$81,$C43),0))))*$O43*S08_Defaults!$B$6*(1+S08_Defaults!$B$7)*S08_Defaults!$B$8</x:f>
        <x:v>385.31140512164643</x:v>
      </x:c>
      <x:c r="AL43" s="115" t="n">
        <x:f aca="0">(IF($K43&gt;=2,SUMIF(S14_Growth_Model_ExAnte!$C$15:$C$81,$B43,S14_Growth_Model_ExAnte!$Z$15:$Z$81)/$K43,IF($L43&gt;=2,SUMIF(S14_Growth_Model_ExAnte!$AY$15:$AY$81,$C43&amp;"|"&amp;$D43,S14_Growth_Model_ExAnte!$Z$15:$Z$81)/$L43,IF(COUNTIF(S14_Growth_Model_ExAnte!$AZ$15:$AZ$81,$C43)&gt;0,SUMIF(S14_Growth_Model_ExAnte!$AZ$15:$AZ$81,$C43,S14_Growth_Model_ExAnte!$Z$15:$Z$81)/COUNTIF(S14_Growth_Model_ExAnte!$AZ$15:$AZ$81,$C43),0))))*$O43*S08_Defaults!$B$6*(1+S08_Defaults!$B$7)*S08_Defaults!$B$8</x:f>
        <x:v>411.0039323904602</x:v>
      </x:c>
      <x:c r="AM43" s="115" t="n">
        <x:f aca="0">R43</x:f>
        <x:v>0</x:v>
      </x:c>
      <x:c r="AN43" s="115" t="n">
        <x:f aca="0">S43-R43</x:f>
        <x:v>0</x:v>
      </x:c>
      <x:c r="AO43" s="115" t="n">
        <x:f aca="0">T43-S43</x:f>
        <x:v>0</x:v>
      </x:c>
      <x:c r="AP43" s="115" t="n">
        <x:f aca="0">U43-T43</x:f>
        <x:v>0</x:v>
      </x:c>
      <x:c r="AQ43" s="115" t="n">
        <x:f aca="0">V43-U43</x:f>
        <x:v>0.2344008062162858</x:v>
      </x:c>
      <x:c r="AR43" s="115" t="n">
        <x:f aca="0">W43-V43</x:f>
        <x:v>2.2827825301462195</x:v>
      </x:c>
      <x:c r="AS43" s="115" t="n">
        <x:f aca="0">X43-W43</x:f>
        <x:v>6.64866847427159</x:v>
      </x:c>
      <x:c r="AT43" s="115" t="n">
        <x:f aca="0">Y43-X43</x:f>
        <x:v>12.470810743101147</x:v>
      </x:c>
      <x:c r="AU43" s="115" t="n">
        <x:f aca="0">Z43-Y43</x:f>
        <x:v>18.53403445389464</x:v>
      </x:c>
      <x:c r="AV43" s="115" t="n">
        <x:f aca="0">AA43-Z43</x:f>
        <x:v>24.046333427844203</x:v>
      </x:c>
      <x:c r="AW43" s="115" t="n">
        <x:f aca="0">AB43-AA43</x:f>
        <x:v>28.542432280327205</x:v>
      </x:c>
      <x:c r="AX43" s="115" t="n">
        <x:f aca="0">AC43-AB43</x:f>
        <x:v>31.837241859870232</x:v>
      </x:c>
      <x:c r="AY43" s="115" t="n">
        <x:f aca="0">AD43-AC43</x:f>
        <x:v>33.934232473516474</x:v>
      </x:c>
      <x:c r="AZ43" s="115" t="n">
        <x:f aca="0">AE43-AD43</x:f>
        <x:v>34.94735096764052</x:v>
      </x:c>
      <x:c r="BA43" s="115" t="n">
        <x:f aca="0">AF43-AE43</x:f>
        <x:v>35.044094312633604</x:v>
      </x:c>
      <x:c r="BB43" s="115" t="n">
        <x:f aca="0">AG43-AF43</x:f>
        <x:v>34.40795907088443</x:v>
      </x:c>
      <x:c r="BC43" s="115" t="n">
        <x:f aca="0">AH43-AG43</x:f>
        <x:v>33.2158522747136</x:v>
      </x:c>
      <x:c r="BD43" s="115" t="n">
        <x:f aca="0">AI43-AH43</x:f>
        <x:v>31.62602642960951</x:v>
      </x:c>
      <x:c r="BE43" s="115" t="n">
        <x:f aca="0">AJ43-AI43</x:f>
        <x:v>29.77292330425496</x:v>
      </x:c>
      <x:c r="BF43" s="115" t="n">
        <x:f aca="0">AK43-AJ43</x:f>
        <x:v>27.766261712721814</x:v>
      </x:c>
      <x:c r="BG43" s="115" t="n">
        <x:f aca="0">AL43-AK43</x:f>
        <x:v>25.692527268813762</x:v>
      </x:c>
    </x:row>
    <x:row r="44" ht="15" hidden="0" customHeight="1">
      <x:c r="A44" s="160" t="str">
        <x:f aca="0">"S"&amp;TEXT(ROW()-3,"00")</x:f>
        <x:v>S41</x:v>
      </x:c>
      <x:c r="B44" s="161" t="s">
        <x:v>1120</x:v>
      </x:c>
      <x:c r="C44" s="160" t="str">
        <x:f aca="0">LEFT($B44,FIND("|",$B44)-1)</x:f>
        <x:v>Horti-Silviculture</x:v>
      </x:c>
      <x:c r="D44" s="160" t="str">
        <x:f aca="0">MID($B44,FIND("|",$B44)+1,FIND("|",$B44,FIND("|",$B44)+1)-FIND("|",$B44)-1)</x:f>
        <x:v>High</x:v>
      </x:c>
      <x:c r="E44" s="160" t="n">
        <x:f aca="0">VALUE(RIGHT($B44,4))</x:f>
        <x:v>2023</x:v>
      </x:c>
      <x:c r="F44" s="115" t="n">
        <x:f aca="0">SUMIF(S17_Biome_Strata!$G$4:$G$95,$B44,S17_Biome_Strata!$E$4:$E$95)</x:f>
        <x:v>1</x:v>
      </x:c>
      <x:c r="G44" s="115" t="n">
        <x:f aca="0">SUMIF(S17_Biome_Strata!$G$4:$G$95,$B44,S17_Biome_Strata!$F$4:$F$95)</x:f>
        <x:v>0.4062</x:v>
      </x:c>
      <x:c r="H44" s="115" t="n">
        <x:f aca="0">IF($K44&gt;=2,SUMIF(S14_Growth_Model_ExAnte!$C$15:$C$81,$B44,S14_Growth_Model_ExAnte!$L$15:$L$81)/$K44,IF($L44&gt;=2,SUMIF(S14_Growth_Model_ExAnte!$AY$15:$AY$81,$C44&amp;"|"&amp;$D44,S14_Growth_Model_ExAnte!$L$15:$L$81)/$L44,IF(COUNTIF(S14_Growth_Model_ExAnte!$AZ$15:$AZ$81,$C44)&gt;0,SUMIF(S14_Growth_Model_ExAnte!$AZ$15:$AZ$81,$C44,S14_Growth_Model_ExAnte!$L$15:$L$81)/COUNTIF(S14_Growth_Model_ExAnte!$AZ$15:$AZ$81,$C44),0)))</x:f>
        <x:v>101.20209603157896</x:v>
      </x:c>
      <x:c r="I44" s="115" t="n">
        <x:f aca="0">IF($K44&gt;=2,SQRT(MAX(0,(SUMIF(S14_Growth_Model_ExAnte!$C$15:$C$81,$B44,S14_Growth_Model_ExAnte!$BD$15:$BD$81)-SUMIF(S14_Growth_Model_ExAnte!$C$15:$C$81,$B44,S14_Growth_Model_ExAnte!$L$15:$L$81)*SUMIF(S14_Growth_Model_ExAnte!$C$15:$C$81,$B44,S14_Growth_Model_ExAnte!$L$15:$L$81)/$K44)/($K44-1))),IF($L44&gt;=2,SQRT(MAX(0,(SUMIF(S14_Growth_Model_ExAnte!$AY$15:$AY$81,$C44&amp;"|"&amp;$D44,S14_Growth_Model_ExAnte!$BD$15:$BD$81)-SUMIF(S14_Growth_Model_ExAnte!$AY$15:$AY$81,$C44&amp;"|"&amp;$D44,S14_Growth_Model_ExAnte!$L$15:$L$81)*SUMIF(S14_Growth_Model_ExAnte!$AY$15:$AY$81,$C44&amp;"|"&amp;$D44,S14_Growth_Model_ExAnte!$L$15:$L$81)/$L44)/($L44-1))),IF(COUNTIF(S14_Growth_Model_ExAnte!$AZ$15:$AZ$81,$C44)&gt;=2,SQRT(MAX(0,(SUMIF(S14_Growth_Model_ExAnte!$AZ$15:$AZ$81,$C44,S14_Growth_Model_ExAnte!$BD$15:$BD$81)-SUMIF(S14_Growth_Model_ExAnte!$AZ$15:$AZ$81,$C44,S14_Growth_Model_ExAnte!$L$15:$L$81)*SUMIF(S14_Growth_Model_ExAnte!$AZ$15:$AZ$81,$C44,S14_Growth_Model_ExAnte!$L$15:$L$81)/COUNTIF(S14_Growth_Model_ExAnte!$AZ$15:$AZ$81,$C44))/(COUNTIF(S14_Growth_Model_ExAnte!$AZ$15:$AZ$81,$C44)-1))),0)))</x:f>
        <x:v>98.0521528425575</x:v>
      </x:c>
      <x:c r="J44" s="115" t="n">
        <x:f aca="0">IFERROR(I44/H44,0)</x:f>
        <x:v>0.9688747238195684</x:v>
      </x:c>
      <x:c r="K44" s="115" t="n">
        <x:f aca="0">COUNTIF(S14_Growth_Model_ExAnte!$C$15:$C$81,$B44)</x:f>
        <x:v>0</x:v>
      </x:c>
      <x:c r="L44" s="115" t="n">
        <x:f aca="0">COUNTIF(S14_Growth_Model_ExAnte!$AY$15:$AY$81,$C44&amp;"|"&amp;$D44)</x:f>
        <x:v>6</x:v>
      </x:c>
      <x:c r="M44" s="115" t="n">
        <x:f aca="0">$H44</x:f>
        <x:v>101.20209603157896</x:v>
      </x:c>
      <x:c r="N44" s="115" t="n">
        <x:f aca="0">MAX(0,$M44*S08_Defaults!$B$5)</x:f>
        <x:v>75.90157202368422</x:v>
      </x:c>
      <x:c r="O44" s="115" t="n">
        <x:f aca="0">IFERROR($N44/$M44,0)</x:f>
        <x:v>0.75</x:v>
      </x:c>
      <x:c r="P44" s="115" t="str">
        <x:f aca="0">IF($K44&gt;=2,"Exact Stratum PSP Chapman-Richards curve",IF($L44&gt;=2,"Model×Density pooled Chapman-Richards curve","Model pooled Chapman-Richards curve"))</x:f>
        <x:v>Model×Density pooled Chapman-Richards curve</x:v>
      </x:c>
      <x:c r="Q44" s="162" t="s">
        <x:v>1106</x:v>
      </x:c>
      <x:c r="R44" s="115" t="n">
        <x:f aca="0">0</x:f>
        <x:v>0</x:v>
      </x:c>
      <x:c r="S44" s="115" t="n">
        <x:f aca="0">0</x:f>
        <x:v>0</x:v>
      </x:c>
      <x:c r="T44" s="115" t="n">
        <x:f aca="0">0</x:f>
        <x:v>0</x:v>
      </x:c>
      <x:c r="U44" s="115" t="n">
        <x:f aca="0">(IF($K44&gt;=2,SUMIF(S14_Growth_Model_ExAnte!$C$15:$C$81,$B44,S14_Growth_Model_ExAnte!$I$15:$I$81)/$K44,IF($L44&gt;=2,SUMIF(S14_Growth_Model_ExAnte!$AY$15:$AY$81,$C44&amp;"|"&amp;$D44,S14_Growth_Model_ExAnte!$I$15:$I$81)/$L44,IF(COUNTIF(S14_Growth_Model_ExAnte!$AZ$15:$AZ$81,$C44)&gt;0,SUMIF(S14_Growth_Model_ExAnte!$AZ$15:$AZ$81,$C44,S14_Growth_Model_ExAnte!$I$15:$I$81)/COUNTIF(S14_Growth_Model_ExAnte!$AZ$15:$AZ$81,$C44),0))))*$O44*S08_Defaults!$B$6*(1+S08_Defaults!$B$7)*S08_Defaults!$B$8</x:f>
        <x:v>0</x:v>
      </x:c>
      <x:c r="V44" s="115" t="n">
        <x:f aca="0">(IF($K44&gt;=2,SUMIF(S14_Growth_Model_ExAnte!$C$15:$C$81,$B44,S14_Growth_Model_ExAnte!$J$15:$J$81)/$K44,IF($L44&gt;=2,SUMIF(S14_Growth_Model_ExAnte!$AY$15:$AY$81,$C44&amp;"|"&amp;$D44,S14_Growth_Model_ExAnte!$J$15:$J$81)/$L44,IF(COUNTIF(S14_Growth_Model_ExAnte!$AZ$15:$AZ$81,$C44)&gt;0,SUMIF(S14_Growth_Model_ExAnte!$AZ$15:$AZ$81,$C44,S14_Growth_Model_ExAnte!$J$15:$J$81)/COUNTIF(S14_Growth_Model_ExAnte!$AZ$15:$AZ$81,$C44),0))))*$O44*S08_Defaults!$B$6*(1+S08_Defaults!$B$7)*S08_Defaults!$B$8</x:f>
        <x:v>4.864334809348277</x:v>
      </x:c>
      <x:c r="W44" s="115" t="n">
        <x:f aca="0">(IF($K44&gt;=2,SUMIF(S14_Growth_Model_ExAnte!$C$15:$C$81,$B44,S14_Growth_Model_ExAnte!$K$15:$K$81)/$K44,IF($L44&gt;=2,SUMIF(S14_Growth_Model_ExAnte!$AY$15:$AY$81,$C44&amp;"|"&amp;$D44,S14_Growth_Model_ExAnte!$K$15:$K$81)/$L44,IF(COUNTIF(S14_Growth_Model_ExAnte!$AZ$15:$AZ$81,$C44)&gt;0,SUMIF(S14_Growth_Model_ExAnte!$AZ$15:$AZ$81,$C44,S14_Growth_Model_ExAnte!$K$15:$K$81)/COUNTIF(S14_Growth_Model_ExAnte!$AZ$15:$AZ$81,$C44),0))))*$O44*S08_Defaults!$B$6*(1+S08_Defaults!$B$7)*S08_Defaults!$B$8</x:f>
        <x:v>47.64642321511868</x:v>
      </x:c>
      <x:c r="X44" s="115" t="n">
        <x:f aca="0">(IF($K44&gt;=2,SUMIF(S14_Growth_Model_ExAnte!$C$15:$C$81,$B44,S14_Growth_Model_ExAnte!$L$15:$L$81)/$K44,IF($L44&gt;=2,SUMIF(S14_Growth_Model_ExAnte!$AY$15:$AY$81,$C44&amp;"|"&amp;$D44,S14_Growth_Model_ExAnte!$L$15:$L$81)/$L44,IF(COUNTIF(S14_Growth_Model_ExAnte!$AZ$15:$AZ$81,$C44)&gt;0,SUMIF(S14_Growth_Model_ExAnte!$AZ$15:$AZ$81,$C44,S14_Growth_Model_ExAnte!$L$15:$L$81)/COUNTIF(S14_Growth_Model_ExAnte!$AZ$15:$AZ$81,$C44),0))))*$O44*S08_Defaults!$B$6*(1+S08_Defaults!$B$7)*S08_Defaults!$B$8</x:f>
        <x:v>162.19659930981175</x:v>
      </x:c>
      <x:c r="Y44" s="115" t="n">
        <x:f aca="0">(IF($K44&gt;=2,SUMIF(S14_Growth_Model_ExAnte!$C$15:$C$81,$B44,S14_Growth_Model_ExAnte!$M$15:$M$81)/$K44,IF($L44&gt;=2,SUMIF(S14_Growth_Model_ExAnte!$AY$15:$AY$81,$C44&amp;"|"&amp;$D44,S14_Growth_Model_ExAnte!$M$15:$M$81)/$L44,IF(COUNTIF(S14_Growth_Model_ExAnte!$AZ$15:$AZ$81,$C44)&gt;0,SUMIF(S14_Growth_Model_ExAnte!$AZ$15:$AZ$81,$C44,S14_Growth_Model_ExAnte!$M$15:$M$81)/COUNTIF(S14_Growth_Model_ExAnte!$AZ$15:$AZ$81,$C44),0))))*$O44*S08_Defaults!$B$6*(1+S08_Defaults!$B$7)*S08_Defaults!$B$8</x:f>
        <x:v>362.08052090045476</x:v>
      </x:c>
      <x:c r="Z44" s="115" t="n">
        <x:f aca="0">(IF($K44&gt;=2,SUMIF(S14_Growth_Model_ExAnte!$C$15:$C$81,$B44,S14_Growth_Model_ExAnte!$N$15:$N$81)/$K44,IF($L44&gt;=2,SUMIF(S14_Growth_Model_ExAnte!$AY$15:$AY$81,$C44&amp;"|"&amp;$D44,S14_Growth_Model_ExAnte!$N$15:$N$81)/$L44,IF(COUNTIF(S14_Growth_Model_ExAnte!$AZ$15:$AZ$81,$C44)&gt;0,SUMIF(S14_Growth_Model_ExAnte!$AZ$15:$AZ$81,$C44,S14_Growth_Model_ExAnte!$N$15:$N$81)/COUNTIF(S14_Growth_Model_ExAnte!$AZ$15:$AZ$81,$C44),0))))*$O44*S08_Defaults!$B$6*(1+S08_Defaults!$B$7)*S08_Defaults!$B$8</x:f>
        <x:v>640.3257868594634</x:v>
      </x:c>
      <x:c r="AA44" s="115" t="n">
        <x:f aca="0">(IF($K44&gt;=2,SUMIF(S14_Growth_Model_ExAnte!$C$15:$C$81,$B44,S14_Growth_Model_ExAnte!$O$15:$O$81)/$K44,IF($L44&gt;=2,SUMIF(S14_Growth_Model_ExAnte!$AY$15:$AY$81,$C44&amp;"|"&amp;$D44,S14_Growth_Model_ExAnte!$O$15:$O$81)/$L44,IF(COUNTIF(S14_Growth_Model_ExAnte!$AZ$15:$AZ$81,$C44)&gt;0,SUMIF(S14_Growth_Model_ExAnte!$AZ$15:$AZ$81,$C44,S14_Growth_Model_ExAnte!$O$15:$O$81)/COUNTIF(S14_Growth_Model_ExAnte!$AZ$15:$AZ$81,$C44),0))))*$O44*S08_Defaults!$B$6*(1+S08_Defaults!$B$7)*S08_Defaults!$B$8</x:f>
        <x:v>980.1758140909432</x:v>
      </x:c>
      <x:c r="AB44" s="115" t="n">
        <x:f aca="0">(IF($K44&gt;=2,SUMIF(S14_Growth_Model_ExAnte!$C$15:$C$81,$B44,S14_Growth_Model_ExAnte!$P$15:$P$81)/$K44,IF($L44&gt;=2,SUMIF(S14_Growth_Model_ExAnte!$AY$15:$AY$81,$C44&amp;"|"&amp;$D44,S14_Growth_Model_ExAnte!$P$15:$P$81)/$L44,IF(COUNTIF(S14_Growth_Model_ExAnte!$AZ$15:$AZ$81,$C44)&gt;0,SUMIF(S14_Growth_Model_ExAnte!$AZ$15:$AZ$81,$C44,S14_Growth_Model_ExAnte!$P$15:$P$81)/COUNTIF(S14_Growth_Model_ExAnte!$AZ$15:$AZ$81,$C44),0))))*$O44*S08_Defaults!$B$6*(1+S08_Defaults!$B$7)*S08_Defaults!$B$8</x:f>
        <x:v>1361.4419761258862</x:v>
      </x:c>
      <x:c r="AC44" s="115" t="n">
        <x:f aca="0">(IF($K44&gt;=2,SUMIF(S14_Growth_Model_ExAnte!$C$15:$C$81,$B44,S14_Growth_Model_ExAnte!$Q$15:$Q$81)/$K44,IF($L44&gt;=2,SUMIF(S14_Growth_Model_ExAnte!$AY$15:$AY$81,$C44&amp;"|"&amp;$D44,S14_Growth_Model_ExAnte!$Q$15:$Q$81)/$L44,IF(COUNTIF(S14_Growth_Model_ExAnte!$AZ$15:$AZ$81,$C44)&gt;0,SUMIF(S14_Growth_Model_ExAnte!$AZ$15:$AZ$81,$C44,S14_Growth_Model_ExAnte!$Q$15:$Q$81)/COUNTIF(S14_Growth_Model_ExAnte!$AZ$15:$AZ$81,$C44),0))))*$O44*S08_Defaults!$B$6*(1+S08_Defaults!$B$7)*S08_Defaults!$B$8</x:f>
        <x:v>1764.717370128752</x:v>
      </x:c>
      <x:c r="AD44" s="115" t="n">
        <x:f aca="0">(IF($K44&gt;=2,SUMIF(S14_Growth_Model_ExAnte!$C$15:$C$81,$B44,S14_Growth_Model_ExAnte!$R$15:$R$81)/$K44,IF($L44&gt;=2,SUMIF(S14_Growth_Model_ExAnte!$AY$15:$AY$81,$C44&amp;"|"&amp;$D44,S14_Growth_Model_ExAnte!$R$15:$R$81)/$L44,IF(COUNTIF(S14_Growth_Model_ExAnte!$AZ$15:$AZ$81,$C44)&gt;0,SUMIF(S14_Growth_Model_ExAnte!$AZ$15:$AZ$81,$C44,S14_Growth_Model_ExAnte!$R$15:$R$81)/COUNTIF(S14_Growth_Model_ExAnte!$AZ$15:$AZ$81,$C44),0))))*$O44*S08_Defaults!$B$6*(1+S08_Defaults!$B$7)*S08_Defaults!$B$8</x:f>
        <x:v>2173.4861233025404</x:v>
      </x:c>
      <x:c r="AE44" s="115" t="n">
        <x:f aca="0">(IF($K44&gt;=2,SUMIF(S14_Growth_Model_ExAnte!$C$15:$C$81,$B44,S14_Growth_Model_ExAnte!$S$15:$S$81)/$K44,IF($L44&gt;=2,SUMIF(S14_Growth_Model_ExAnte!$AY$15:$AY$81,$C44&amp;"|"&amp;$D44,S14_Growth_Model_ExAnte!$S$15:$S$81)/$L44,IF(COUNTIF(S14_Growth_Model_ExAnte!$AZ$15:$AZ$81,$C44)&gt;0,SUMIF(S14_Growth_Model_ExAnte!$AZ$15:$AZ$81,$C44,S14_Growth_Model_ExAnte!$S$15:$S$81)/COUNTIF(S14_Growth_Model_ExAnte!$AZ$15:$AZ$81,$C44),0))))*$O44*S08_Defaults!$B$6*(1+S08_Defaults!$B$7)*S08_Defaults!$B$8</x:f>
        <x:v>2574.853055526109</x:v>
      </x:c>
      <x:c r="AF44" s="115" t="n">
        <x:f aca="0">(IF($K44&gt;=2,SUMIF(S14_Growth_Model_ExAnte!$C$15:$C$81,$B44,S14_Growth_Model_ExAnte!$T$15:$T$81)/$K44,IF($L44&gt;=2,SUMIF(S14_Growth_Model_ExAnte!$AY$15:$AY$81,$C44&amp;"|"&amp;$D44,S14_Growth_Model_ExAnte!$T$15:$T$81)/$L44,IF(COUNTIF(S14_Growth_Model_ExAnte!$AZ$15:$AZ$81,$C44)&gt;0,SUMIF(S14_Growth_Model_ExAnte!$AZ$15:$AZ$81,$C44,S14_Growth_Model_ExAnte!$T$15:$T$81)/COUNTIF(S14_Growth_Model_ExAnte!$AZ$15:$AZ$81,$C44),0))))*$O44*S08_Defaults!$B$6*(1+S08_Defaults!$B$7)*S08_Defaults!$B$8</x:f>
        <x:v>2959.4855495738652</x:v>
      </x:c>
      <x:c r="AG44" s="115" t="n">
        <x:f aca="0">(IF($K44&gt;=2,SUMIF(S14_Growth_Model_ExAnte!$C$15:$C$81,$B44,S14_Growth_Model_ExAnte!$U$15:$U$81)/$K44,IF($L44&gt;=2,SUMIF(S14_Growth_Model_ExAnte!$AY$15:$AY$81,$C44&amp;"|"&amp;$D44,S14_Growth_Model_ExAnte!$U$15:$U$81)/$L44,IF(COUNTIF(S14_Growth_Model_ExAnte!$AZ$15:$AZ$81,$C44)&gt;0,SUMIF(S14_Growth_Model_ExAnte!$AZ$15:$AZ$81,$C44,S14_Growth_Model_ExAnte!$U$15:$U$81)/COUNTIF(S14_Growth_Model_ExAnte!$AZ$15:$AZ$81,$C44),0))))*$O44*S08_Defaults!$B$6*(1+S08_Defaults!$B$7)*S08_Defaults!$B$8</x:f>
        <x:v>3321.1708737247495</x:v>
      </x:c>
      <x:c r="AH44" s="115" t="n">
        <x:f aca="0">(IF($K44&gt;=2,SUMIF(S14_Growth_Model_ExAnte!$C$15:$C$81,$B44,S14_Growth_Model_ExAnte!$V$15:$V$81)/$K44,IF($L44&gt;=2,SUMIF(S14_Growth_Model_ExAnte!$AY$15:$AY$81,$C44&amp;"|"&amp;$D44,S14_Growth_Model_ExAnte!$V$15:$V$81)/$L44,IF(COUNTIF(S14_Growth_Model_ExAnte!$AZ$15:$AZ$81,$C44)&gt;0,SUMIF(S14_Growth_Model_ExAnte!$AZ$15:$AZ$81,$C44,S14_Growth_Model_ExAnte!$V$15:$V$81)/COUNTIF(S14_Growth_Model_ExAnte!$AZ$15:$AZ$81,$C44),0))))*$O44*S08_Defaults!$B$6*(1+S08_Defaults!$B$7)*S08_Defaults!$B$8</x:f>
        <x:v>3656.2350860755096</x:v>
      </x:c>
      <x:c r="AI44" s="115" t="n">
        <x:f aca="0">(IF($K44&gt;=2,SUMIF(S14_Growth_Model_ExAnte!$C$15:$C$81,$B44,S14_Growth_Model_ExAnte!$W$15:$W$81)/$K44,IF($L44&gt;=2,SUMIF(S14_Growth_Model_ExAnte!$AY$15:$AY$81,$C44&amp;"|"&amp;$D44,S14_Growth_Model_ExAnte!$W$15:$W$81)/$L44,IF(COUNTIF(S14_Growth_Model_ExAnte!$AZ$15:$AZ$81,$C44)&gt;0,SUMIF(S14_Growth_Model_ExAnte!$AZ$15:$AZ$81,$C44,S14_Growth_Model_ExAnte!$W$15:$W$81)/COUNTIF(S14_Growth_Model_ExAnte!$AZ$15:$AZ$81,$C44),0))))*$O44*S08_Defaults!$B$6*(1+S08_Defaults!$B$7)*S08_Defaults!$B$8</x:f>
        <x:v>3962.9594832538137</x:v>
      </x:c>
      <x:c r="AJ44" s="115" t="n">
        <x:f aca="0">(IF($K44&gt;=2,SUMIF(S14_Growth_Model_ExAnte!$C$15:$C$81,$B44,S14_Growth_Model_ExAnte!$X$15:$X$81)/$K44,IF($L44&gt;=2,SUMIF(S14_Growth_Model_ExAnte!$AY$15:$AY$81,$C44&amp;"|"&amp;$D44,S14_Growth_Model_ExAnte!$X$15:$X$81)/$L44,IF(COUNTIF(S14_Growth_Model_ExAnte!$AZ$15:$AZ$81,$C44)&gt;0,SUMIF(S14_Growth_Model_ExAnte!$AZ$15:$AZ$81,$C44,S14_Growth_Model_ExAnte!$X$15:$X$81)/COUNTIF(S14_Growth_Model_ExAnte!$AZ$15:$AZ$81,$C44),0))))*$O44*S08_Defaults!$B$6*(1+S08_Defaults!$B$7)*S08_Defaults!$B$8</x:f>
        <x:v>4241.060475229273</x:v>
      </x:c>
      <x:c r="AK44" s="115" t="n">
        <x:f aca="0">(IF($K44&gt;=2,SUMIF(S14_Growth_Model_ExAnte!$C$15:$C$81,$B44,S14_Growth_Model_ExAnte!$Y$15:$Y$81)/$K44,IF($L44&gt;=2,SUMIF(S14_Growth_Model_ExAnte!$AY$15:$AY$81,$C44&amp;"|"&amp;$D44,S14_Growth_Model_ExAnte!$Y$15:$Y$81)/$L44,IF(COUNTIF(S14_Growth_Model_ExAnte!$AZ$15:$AZ$81,$C44)&gt;0,SUMIF(S14_Growth_Model_ExAnte!$AZ$15:$AZ$81,$C44,S14_Growth_Model_ExAnte!$Y$15:$Y$81)/COUNTIF(S14_Growth_Model_ExAnte!$AZ$15:$AZ$81,$C44),0))))*$O44*S08_Defaults!$B$6*(1+S08_Defaults!$B$7)*S08_Defaults!$B$8</x:f>
        <x:v>4491.257480302552</x:v>
      </x:c>
      <x:c r="AL44" s="115" t="n">
        <x:f aca="0">(IF($K44&gt;=2,SUMIF(S14_Growth_Model_ExAnte!$C$15:$C$81,$B44,S14_Growth_Model_ExAnte!$Z$15:$Z$81)/$K44,IF($L44&gt;=2,SUMIF(S14_Growth_Model_ExAnte!$AY$15:$AY$81,$C44&amp;"|"&amp;$D44,S14_Growth_Model_ExAnte!$Z$15:$Z$81)/$L44,IF(COUNTIF(S14_Growth_Model_ExAnte!$AZ$15:$AZ$81,$C44)&gt;0,SUMIF(S14_Growth_Model_ExAnte!$AZ$15:$AZ$81,$C44,S14_Growth_Model_ExAnte!$Z$15:$Z$81)/COUNTIF(S14_Growth_Model_ExAnte!$AZ$15:$AZ$81,$C44),0))))*$O44*S08_Defaults!$B$6*(1+S08_Defaults!$B$7)*S08_Defaults!$B$8</x:f>
        <x:v>4714.931007111416</x:v>
      </x:c>
      <x:c r="AM44" s="115" t="n">
        <x:f aca="0">R44</x:f>
        <x:v>0</x:v>
      </x:c>
      <x:c r="AN44" s="115" t="n">
        <x:f aca="0">S44-R44</x:f>
        <x:v>0</x:v>
      </x:c>
      <x:c r="AO44" s="115" t="n">
        <x:f aca="0">T44-S44</x:f>
        <x:v>0</x:v>
      </x:c>
      <x:c r="AP44" s="115" t="n">
        <x:f aca="0">U44-T44</x:f>
        <x:v>0</x:v>
      </x:c>
      <x:c r="AQ44" s="115" t="n">
        <x:f aca="0">V44-U44</x:f>
        <x:v>4.864334809348277</x:v>
      </x:c>
      <x:c r="AR44" s="115" t="n">
        <x:f aca="0">W44-V44</x:f>
        <x:v>42.7820884057704</x:v>
      </x:c>
      <x:c r="AS44" s="115" t="n">
        <x:f aca="0">X44-W44</x:f>
        <x:v>114.55017609469306</x:v>
      </x:c>
      <x:c r="AT44" s="115" t="n">
        <x:f aca="0">Y44-X44</x:f>
        <x:v>199.883921590643</x:v>
      </x:c>
      <x:c r="AU44" s="115" t="n">
        <x:f aca="0">Z44-Y44</x:f>
        <x:v>278.24526595900863</x:v>
      </x:c>
      <x:c r="AV44" s="115" t="n">
        <x:f aca="0">AA44-Z44</x:f>
        <x:v>339.85002723147977</x:v>
      </x:c>
      <x:c r="AW44" s="115" t="n">
        <x:f aca="0">AB44-AA44</x:f>
        <x:v>381.266162034943</x:v>
      </x:c>
      <x:c r="AX44" s="115" t="n">
        <x:f aca="0">AC44-AB44</x:f>
        <x:v>403.2753940028658</x:v>
      </x:c>
      <x:c r="AY44" s="115" t="n">
        <x:f aca="0">AD44-AC44</x:f>
        <x:v>408.76875317378835</x:v>
      </x:c>
      <x:c r="AZ44" s="115" t="n">
        <x:f aca="0">AE44-AD44</x:f>
        <x:v>401.3669322235687</x:v>
      </x:c>
      <x:c r="BA44" s="115" t="n">
        <x:f aca="0">AF44-AE44</x:f>
        <x:v>384.63249404775615</x:v>
      </x:c>
      <x:c r="BB44" s="115" t="n">
        <x:f aca="0">AG44-AF44</x:f>
        <x:v>361.6853241508843</x:v>
      </x:c>
      <x:c r="BC44" s="115" t="n">
        <x:f aca="0">AH44-AG44</x:f>
        <x:v>335.06421235076004</x:v>
      </x:c>
      <x:c r="BD44" s="115" t="n">
        <x:f aca="0">AI44-AH44</x:f>
        <x:v>306.7243971783041</x:v>
      </x:c>
      <x:c r="BE44" s="115" t="n">
        <x:f aca="0">AJ44-AI44</x:f>
        <x:v>278.10099197545924</x:v>
      </x:c>
      <x:c r="BF44" s="115" t="n">
        <x:f aca="0">AK44-AJ44</x:f>
        <x:v>250.1970050732789</x:v>
      </x:c>
      <x:c r="BG44" s="115" t="n">
        <x:f aca="0">AL44-AK44</x:f>
        <x:v>223.67352680886415</x:v>
      </x:c>
    </x:row>
    <x:row r="45" ht="15" hidden="0" customHeight="1">
      <x:c r="A45" s="160" t="str">
        <x:f aca="0">"S"&amp;TEXT(ROW()-3,"00")</x:f>
        <x:v>S42</x:v>
      </x:c>
      <x:c r="B45" s="161" t="s">
        <x:v>647</x:v>
      </x:c>
      <x:c r="C45" s="160" t="str">
        <x:f aca="0">LEFT($B45,FIND("|",$B45)-1)</x:f>
        <x:v>Mixed Agroforestry</x:v>
      </x:c>
      <x:c r="D45" s="160" t="str">
        <x:f aca="0">MID($B45,FIND("|",$B45)+1,FIND("|",$B45,FIND("|",$B45)+1)-FIND("|",$B45)-1)</x:f>
        <x:v>Medium</x:v>
      </x:c>
      <x:c r="E45" s="160" t="n">
        <x:f aca="0">VALUE(RIGHT($B45,4))</x:f>
        <x:v>2023</x:v>
      </x:c>
      <x:c r="F45" s="115" t="n">
        <x:f aca="0">SUMIF(S17_Biome_Strata!$G$4:$G$95,$B45,S17_Biome_Strata!$E$4:$E$95)</x:f>
        <x:v>1</x:v>
      </x:c>
      <x:c r="G45" s="115" t="n">
        <x:f aca="0">SUMIF(S17_Biome_Strata!$G$4:$G$95,$B45,S17_Biome_Strata!$F$4:$F$95)</x:f>
        <x:v>1.6105</x:v>
      </x:c>
      <x:c r="H45" s="115" t="n">
        <x:f aca="0">IF($K45&gt;=2,SUMIF(S14_Growth_Model_ExAnte!$C$15:$C$81,$B45,S14_Growth_Model_ExAnte!$L$15:$L$81)/$K45,IF($L45&gt;=2,SUMIF(S14_Growth_Model_ExAnte!$AY$15:$AY$81,$C45&amp;"|"&amp;$D45,S14_Growth_Model_ExAnte!$L$15:$L$81)/$L45,IF(COUNTIF(S14_Growth_Model_ExAnte!$AZ$15:$AZ$81,$C45)&gt;0,SUMIF(S14_Growth_Model_ExAnte!$AZ$15:$AZ$81,$C45,S14_Growth_Model_ExAnte!$L$15:$L$81)/COUNTIF(S14_Growth_Model_ExAnte!$AZ$15:$AZ$81,$C45),0)))</x:f>
        <x:v>7.739437128620029</x:v>
      </x:c>
      <x:c r="I45" s="115" t="n">
        <x:f aca="0">IF($K45&gt;=2,SQRT(MAX(0,(SUMIF(S14_Growth_Model_ExAnte!$C$15:$C$81,$B45,S14_Growth_Model_ExAnte!$BD$15:$BD$81)-SUMIF(S14_Growth_Model_ExAnte!$C$15:$C$81,$B45,S14_Growth_Model_ExAnte!$L$15:$L$81)*SUMIF(S14_Growth_Model_ExAnte!$C$15:$C$81,$B45,S14_Growth_Model_ExAnte!$L$15:$L$81)/$K45)/($K45-1))),IF($L45&gt;=2,SQRT(MAX(0,(SUMIF(S14_Growth_Model_ExAnte!$AY$15:$AY$81,$C45&amp;"|"&amp;$D45,S14_Growth_Model_ExAnte!$BD$15:$BD$81)-SUMIF(S14_Growth_Model_ExAnte!$AY$15:$AY$81,$C45&amp;"|"&amp;$D45,S14_Growth_Model_ExAnte!$L$15:$L$81)*SUMIF(S14_Growth_Model_ExAnte!$AY$15:$AY$81,$C45&amp;"|"&amp;$D45,S14_Growth_Model_ExAnte!$L$15:$L$81)/$L45)/($L45-1))),IF(COUNTIF(S14_Growth_Model_ExAnte!$AZ$15:$AZ$81,$C45)&gt;=2,SQRT(MAX(0,(SUMIF(S14_Growth_Model_ExAnte!$AZ$15:$AZ$81,$C45,S14_Growth_Model_ExAnte!$BD$15:$BD$81)-SUMIF(S14_Growth_Model_ExAnte!$AZ$15:$AZ$81,$C45,S14_Growth_Model_ExAnte!$L$15:$L$81)*SUMIF(S14_Growth_Model_ExAnte!$AZ$15:$AZ$81,$C45,S14_Growth_Model_ExAnte!$L$15:$L$81)/COUNTIF(S14_Growth_Model_ExAnte!$AZ$15:$AZ$81,$C45))/(COUNTIF(S14_Growth_Model_ExAnte!$AZ$15:$AZ$81,$C45)-1))),0)))</x:f>
        <x:v>3.9756425093886825</x:v>
      </x:c>
      <x:c r="J45" s="115" t="n">
        <x:f aca="0">IFERROR(I45/H45,0)</x:f>
        <x:v>0.5136862595196965</x:v>
      </x:c>
      <x:c r="K45" s="115" t="n">
        <x:f aca="0">COUNTIF(S14_Growth_Model_ExAnte!$C$15:$C$81,$B45)</x:f>
        <x:v>1</x:v>
      </x:c>
      <x:c r="L45" s="115" t="n">
        <x:f aca="0">COUNTIF(S14_Growth_Model_ExAnte!$AY$15:$AY$81,$C45&amp;"|"&amp;$D45)</x:f>
        <x:v>3</x:v>
      </x:c>
      <x:c r="M45" s="115" t="n">
        <x:f aca="0">$H45</x:f>
        <x:v>7.739437128620029</x:v>
      </x:c>
      <x:c r="N45" s="115" t="n">
        <x:f aca="0">MAX(0,$M45*S08_Defaults!$B$5)</x:f>
        <x:v>5.804577846465022</x:v>
      </x:c>
      <x:c r="O45" s="115" t="n">
        <x:f aca="0">IFERROR($N45/$M45,0)</x:f>
        <x:v>0.75</x:v>
      </x:c>
      <x:c r="P45" s="115" t="str">
        <x:f aca="0">IF($K45&gt;=2,"Exact Stratum PSP Chapman-Richards curve",IF($L45&gt;=2,"Model×Density pooled Chapman-Richards curve","Model pooled Chapman-Richards curve"))</x:f>
        <x:v>Model×Density pooled Chapman-Richards curve</x:v>
      </x:c>
      <x:c r="Q45" s="162" t="s">
        <x:v>1106</x:v>
      </x:c>
      <x:c r="R45" s="115" t="n">
        <x:f aca="0">0</x:f>
        <x:v>0</x:v>
      </x:c>
      <x:c r="S45" s="115" t="n">
        <x:f aca="0">0</x:f>
        <x:v>0</x:v>
      </x:c>
      <x:c r="T45" s="115" t="n">
        <x:f aca="0">0</x:f>
        <x:v>0</x:v>
      </x:c>
      <x:c r="U45" s="115" t="n">
        <x:f aca="0">(IF($K45&gt;=2,SUMIF(S14_Growth_Model_ExAnte!$C$15:$C$81,$B45,S14_Growth_Model_ExAnte!$I$15:$I$81)/$K45,IF($L45&gt;=2,SUMIF(S14_Growth_Model_ExAnte!$AY$15:$AY$81,$C45&amp;"|"&amp;$D45,S14_Growth_Model_ExAnte!$I$15:$I$81)/$L45,IF(COUNTIF(S14_Growth_Model_ExAnte!$AZ$15:$AZ$81,$C45)&gt;0,SUMIF(S14_Growth_Model_ExAnte!$AZ$15:$AZ$81,$C45,S14_Growth_Model_ExAnte!$I$15:$I$81)/COUNTIF(S14_Growth_Model_ExAnte!$AZ$15:$AZ$81,$C45),0))))*$O45*S08_Defaults!$B$6*(1+S08_Defaults!$B$7)*S08_Defaults!$B$8</x:f>
        <x:v>0</x:v>
      </x:c>
      <x:c r="V45" s="115" t="n">
        <x:f aca="0">(IF($K45&gt;=2,SUMIF(S14_Growth_Model_ExAnte!$C$15:$C$81,$B45,S14_Growth_Model_ExAnte!$J$15:$J$81)/$K45,IF($L45&gt;=2,SUMIF(S14_Growth_Model_ExAnte!$AY$15:$AY$81,$C45&amp;"|"&amp;$D45,S14_Growth_Model_ExAnte!$J$15:$J$81)/$L45,IF(COUNTIF(S14_Growth_Model_ExAnte!$AZ$15:$AZ$81,$C45)&gt;0,SUMIF(S14_Growth_Model_ExAnte!$AZ$15:$AZ$81,$C45,S14_Growth_Model_ExAnte!$J$15:$J$81)/COUNTIF(S14_Growth_Model_ExAnte!$AZ$15:$AZ$81,$C45),0))))*$O45*S08_Defaults!$B$6*(1+S08_Defaults!$B$7)*S08_Defaults!$B$8</x:f>
        <x:v>0.2723417518114028</x:v>
      </x:c>
      <x:c r="W45" s="115" t="n">
        <x:f aca="0">(IF($K45&gt;=2,SUMIF(S14_Growth_Model_ExAnte!$C$15:$C$81,$B45,S14_Growth_Model_ExAnte!$K$15:$K$81)/$K45,IF($L45&gt;=2,SUMIF(S14_Growth_Model_ExAnte!$AY$15:$AY$81,$C45&amp;"|"&amp;$D45,S14_Growth_Model_ExAnte!$K$15:$K$81)/$L45,IF(COUNTIF(S14_Growth_Model_ExAnte!$AZ$15:$AZ$81,$C45)&gt;0,SUMIF(S14_Growth_Model_ExAnte!$AZ$15:$AZ$81,$C45,S14_Growth_Model_ExAnte!$K$15:$K$81)/COUNTIF(S14_Growth_Model_ExAnte!$AZ$15:$AZ$81,$C45),0))))*$O45*S08_Defaults!$B$6*(1+S08_Defaults!$B$7)*S08_Defaults!$B$8</x:f>
        <x:v>3.248895379183343</x:v>
      </x:c>
      <x:c r="X45" s="115" t="n">
        <x:f aca="0">(IF($K45&gt;=2,SUMIF(S14_Growth_Model_ExAnte!$C$15:$C$81,$B45,S14_Growth_Model_ExAnte!$L$15:$L$81)/$K45,IF($L45&gt;=2,SUMIF(S14_Growth_Model_ExAnte!$AY$15:$AY$81,$C45&amp;"|"&amp;$D45,S14_Growth_Model_ExAnte!$L$15:$L$81)/$L45,IF(COUNTIF(S14_Growth_Model_ExAnte!$AZ$15:$AZ$81,$C45)&gt;0,SUMIF(S14_Growth_Model_ExAnte!$AZ$15:$AZ$81,$C45,S14_Growth_Model_ExAnte!$L$15:$L$81)/COUNTIF(S14_Growth_Model_ExAnte!$AZ$15:$AZ$81,$C45),0))))*$O45*S08_Defaults!$B$6*(1+S08_Defaults!$B$7)*S08_Defaults!$B$8</x:f>
        <x:v>12.403995886039331</x:v>
      </x:c>
      <x:c r="Y45" s="115" t="n">
        <x:f aca="0">(IF($K45&gt;=2,SUMIF(S14_Growth_Model_ExAnte!$C$15:$C$81,$B45,S14_Growth_Model_ExAnte!$M$15:$M$81)/$K45,IF($L45&gt;=2,SUMIF(S14_Growth_Model_ExAnte!$AY$15:$AY$81,$C45&amp;"|"&amp;$D45,S14_Growth_Model_ExAnte!$M$15:$M$81)/$L45,IF(COUNTIF(S14_Growth_Model_ExAnte!$AZ$15:$AZ$81,$C45)&gt;0,SUMIF(S14_Growth_Model_ExAnte!$AZ$15:$AZ$81,$C45,S14_Growth_Model_ExAnte!$M$15:$M$81)/COUNTIF(S14_Growth_Model_ExAnte!$AZ$15:$AZ$81,$C45),0))))*$O45*S08_Defaults!$B$6*(1+S08_Defaults!$B$7)*S08_Defaults!$B$8</x:f>
        <x:v>30.01595620534883</x:v>
      </x:c>
      <x:c r="Z45" s="115" t="n">
        <x:f aca="0">(IF($K45&gt;=2,SUMIF(S14_Growth_Model_ExAnte!$C$15:$C$81,$B45,S14_Growth_Model_ExAnte!$N$15:$N$81)/$K45,IF($L45&gt;=2,SUMIF(S14_Growth_Model_ExAnte!$AY$15:$AY$81,$C45&amp;"|"&amp;$D45,S14_Growth_Model_ExAnte!$N$15:$N$81)/$L45,IF(COUNTIF(S14_Growth_Model_ExAnte!$AZ$15:$AZ$81,$C45)&gt;0,SUMIF(S14_Growth_Model_ExAnte!$AZ$15:$AZ$81,$C45,S14_Growth_Model_ExAnte!$N$15:$N$81)/COUNTIF(S14_Growth_Model_ExAnte!$AZ$15:$AZ$81,$C45),0))))*$O45*S08_Defaults!$B$6*(1+S08_Defaults!$B$7)*S08_Defaults!$B$8</x:f>
        <x:v>56.46525888548903</x:v>
      </x:c>
      <x:c r="AA45" s="115" t="n">
        <x:f aca="0">(IF($K45&gt;=2,SUMIF(S14_Growth_Model_ExAnte!$C$15:$C$81,$B45,S14_Growth_Model_ExAnte!$O$15:$O$81)/$K45,IF($L45&gt;=2,SUMIF(S14_Growth_Model_ExAnte!$AY$15:$AY$81,$C45&amp;"|"&amp;$D45,S14_Growth_Model_ExAnte!$O$15:$O$81)/$L45,IF(COUNTIF(S14_Growth_Model_ExAnte!$AZ$15:$AZ$81,$C45)&gt;0,SUMIF(S14_Growth_Model_ExAnte!$AZ$15:$AZ$81,$C45,S14_Growth_Model_ExAnte!$O$15:$O$81)/COUNTIF(S14_Growth_Model_ExAnte!$AZ$15:$AZ$81,$C45),0))))*$O45*S08_Defaults!$B$6*(1+S08_Defaults!$B$7)*S08_Defaults!$B$8</x:f>
        <x:v>90.83662104379438</x:v>
      </x:c>
      <x:c r="AB45" s="115" t="n">
        <x:f aca="0">(IF($K45&gt;=2,SUMIF(S14_Growth_Model_ExAnte!$C$15:$C$81,$B45,S14_Growth_Model_ExAnte!$P$15:$P$81)/$K45,IF($L45&gt;=2,SUMIF(S14_Growth_Model_ExAnte!$AY$15:$AY$81,$C45&amp;"|"&amp;$D45,S14_Growth_Model_ExAnte!$P$15:$P$81)/$L45,IF(COUNTIF(S14_Growth_Model_ExAnte!$AZ$15:$AZ$81,$C45)&gt;0,SUMIF(S14_Growth_Model_ExAnte!$AZ$15:$AZ$81,$C45,S14_Growth_Model_ExAnte!$P$15:$P$81)/COUNTIF(S14_Growth_Model_ExAnte!$AZ$15:$AZ$81,$C45),0))))*$O45*S08_Defaults!$B$6*(1+S08_Defaults!$B$7)*S08_Defaults!$B$8</x:f>
        <x:v>131.47494963585845</x:v>
      </x:c>
      <x:c r="AC45" s="115" t="n">
        <x:f aca="0">(IF($K45&gt;=2,SUMIF(S14_Growth_Model_ExAnte!$C$15:$C$81,$B45,S14_Growth_Model_ExAnte!$Q$15:$Q$81)/$K45,IF($L45&gt;=2,SUMIF(S14_Growth_Model_ExAnte!$AY$15:$AY$81,$C45&amp;"|"&amp;$D45,S14_Growth_Model_ExAnte!$Q$15:$Q$81)/$L45,IF(COUNTIF(S14_Growth_Model_ExAnte!$AZ$15:$AZ$81,$C45)&gt;0,SUMIF(S14_Growth_Model_ExAnte!$AZ$15:$AZ$81,$C45,S14_Growth_Model_ExAnte!$Q$15:$Q$81)/COUNTIF(S14_Growth_Model_ExAnte!$AZ$15:$AZ$81,$C45),0))))*$O45*S08_Defaults!$B$6*(1+S08_Defaults!$B$7)*S08_Defaults!$B$8</x:f>
        <x:v>176.462752881878</x:v>
      </x:c>
      <x:c r="AD45" s="115" t="n">
        <x:f aca="0">(IF($K45&gt;=2,SUMIF(S14_Growth_Model_ExAnte!$C$15:$C$81,$B45,S14_Growth_Model_ExAnte!$R$15:$R$81)/$K45,IF($L45&gt;=2,SUMIF(S14_Growth_Model_ExAnte!$AY$15:$AY$81,$C45&amp;"|"&amp;$D45,S14_Growth_Model_ExAnte!$R$15:$R$81)/$L45,IF(COUNTIF(S14_Growth_Model_ExAnte!$AZ$15:$AZ$81,$C45)&gt;0,SUMIF(S14_Growth_Model_ExAnte!$AZ$15:$AZ$81,$C45,S14_Growth_Model_ExAnte!$R$15:$R$81)/COUNTIF(S14_Growth_Model_ExAnte!$AZ$15:$AZ$81,$C45),0))))*$O45*S08_Defaults!$B$6*(1+S08_Defaults!$B$7)*S08_Defaults!$B$8</x:f>
        <x:v>223.93563928265257</x:v>
      </x:c>
      <x:c r="AE45" s="115" t="n">
        <x:f aca="0">(IF($K45&gt;=2,SUMIF(S14_Growth_Model_ExAnte!$C$15:$C$81,$B45,S14_Growth_Model_ExAnte!$S$15:$S$81)/$K45,IF($L45&gt;=2,SUMIF(S14_Growth_Model_ExAnte!$AY$15:$AY$81,$C45&amp;"|"&amp;$D45,S14_Growth_Model_ExAnte!$S$15:$S$81)/$L45,IF(COUNTIF(S14_Growth_Model_ExAnte!$AZ$15:$AZ$81,$C45)&gt;0,SUMIF(S14_Growth_Model_ExAnte!$AZ$15:$AZ$81,$C45,S14_Growth_Model_ExAnte!$S$15:$S$81)/COUNTIF(S14_Growth_Model_ExAnte!$AZ$15:$AZ$81,$C45),0))))*$O45*S08_Defaults!$B$6*(1+S08_Defaults!$B$7)*S08_Defaults!$B$8</x:f>
        <x:v>272.25774963049446</x:v>
      </x:c>
      <x:c r="AF45" s="115" t="n">
        <x:f aca="0">(IF($K45&gt;=2,SUMIF(S14_Growth_Model_ExAnte!$C$15:$C$81,$B45,S14_Growth_Model_ExAnte!$T$15:$T$81)/$K45,IF($L45&gt;=2,SUMIF(S14_Growth_Model_ExAnte!$AY$15:$AY$81,$C45&amp;"|"&amp;$D45,S14_Growth_Model_ExAnte!$T$15:$T$81)/$L45,IF(COUNTIF(S14_Growth_Model_ExAnte!$AZ$15:$AZ$81,$C45)&gt;0,SUMIF(S14_Growth_Model_ExAnte!$AZ$15:$AZ$81,$C45,S14_Growth_Model_ExAnte!$T$15:$T$81)/COUNTIF(S14_Growth_Model_ExAnte!$AZ$15:$AZ$81,$C45),0))))*$O45*S08_Defaults!$B$6*(1+S08_Defaults!$B$7)*S08_Defaults!$B$8</x:f>
        <x:v>320.09677991534846</x:v>
      </x:c>
      <x:c r="AG45" s="115" t="n">
        <x:f aca="0">(IF($K45&gt;=2,SUMIF(S14_Growth_Model_ExAnte!$C$15:$C$81,$B45,S14_Growth_Model_ExAnte!$U$15:$U$81)/$K45,IF($L45&gt;=2,SUMIF(S14_Growth_Model_ExAnte!$AY$15:$AY$81,$C45&amp;"|"&amp;$D45,S14_Growth_Model_ExAnte!$U$15:$U$81)/$L45,IF(COUNTIF(S14_Growth_Model_ExAnte!$AZ$15:$AZ$81,$C45)&gt;0,SUMIF(S14_Growth_Model_ExAnte!$AZ$15:$AZ$81,$C45,S14_Growth_Model_ExAnte!$U$15:$U$81)/COUNTIF(S14_Growth_Model_ExAnte!$AZ$15:$AZ$81,$C45),0))))*$O45*S08_Defaults!$B$6*(1+S08_Defaults!$B$7)*S08_Defaults!$B$8</x:f>
        <x:v>366.4353060349873</x:v>
      </x:c>
      <x:c r="AH45" s="115" t="n">
        <x:f aca="0">(IF($K45&gt;=2,SUMIF(S14_Growth_Model_ExAnte!$C$15:$C$81,$B45,S14_Growth_Model_ExAnte!$V$15:$V$81)/$K45,IF($L45&gt;=2,SUMIF(S14_Growth_Model_ExAnte!$AY$15:$AY$81,$C45&amp;"|"&amp;$D45,S14_Growth_Model_ExAnte!$V$15:$V$81)/$L45,IF(COUNTIF(S14_Growth_Model_ExAnte!$AZ$15:$AZ$81,$C45)&gt;0,SUMIF(S14_Growth_Model_ExAnte!$AZ$15:$AZ$81,$C45,S14_Growth_Model_ExAnte!$V$15:$V$81)/COUNTIF(S14_Growth_Model_ExAnte!$AZ$15:$AZ$81,$C45),0))))*$O45*S08_Defaults!$B$6*(1+S08_Defaults!$B$7)*S08_Defaults!$B$8</x:f>
        <x:v>410.5462671133159</x:v>
      </x:c>
      <x:c r="AI45" s="115" t="n">
        <x:f aca="0">(IF($K45&gt;=2,SUMIF(S14_Growth_Model_ExAnte!$C$15:$C$81,$B45,S14_Growth_Model_ExAnte!$W$15:$W$81)/$K45,IF($L45&gt;=2,SUMIF(S14_Growth_Model_ExAnte!$AY$15:$AY$81,$C45&amp;"|"&amp;$D45,S14_Growth_Model_ExAnte!$W$15:$W$81)/$L45,IF(COUNTIF(S14_Growth_Model_ExAnte!$AZ$15:$AZ$81,$C45)&gt;0,SUMIF(S14_Growth_Model_ExAnte!$AZ$15:$AZ$81,$C45,S14_Growth_Model_ExAnte!$W$15:$W$81)/COUNTIF(S14_Growth_Model_ExAnte!$AZ$15:$AZ$81,$C45),0))))*$O45*S08_Defaults!$B$6*(1+S08_Defaults!$B$7)*S08_Defaults!$B$8</x:f>
        <x:v>451.9515457000744</x:v>
      </x:c>
      <x:c r="AJ45" s="115" t="n">
        <x:f aca="0">(IF($K45&gt;=2,SUMIF(S14_Growth_Model_ExAnte!$C$15:$C$81,$B45,S14_Growth_Model_ExAnte!$X$15:$X$81)/$K45,IF($L45&gt;=2,SUMIF(S14_Growth_Model_ExAnte!$AY$15:$AY$81,$C45&amp;"|"&amp;$D45,S14_Growth_Model_ExAnte!$X$15:$X$81)/$L45,IF(COUNTIF(S14_Growth_Model_ExAnte!$AZ$15:$AZ$81,$C45)&gt;0,SUMIF(S14_Growth_Model_ExAnte!$AZ$15:$AZ$81,$C45,S14_Growth_Model_ExAnte!$X$15:$X$81)/COUNTIF(S14_Growth_Model_ExAnte!$AZ$15:$AZ$81,$C45),0))))*$O45*S08_Defaults!$B$6*(1+S08_Defaults!$B$7)*S08_Defaults!$B$8</x:f>
        <x:v>490.375463494989</x:v>
      </x:c>
      <x:c r="AK45" s="115" t="n">
        <x:f aca="0">(IF($K45&gt;=2,SUMIF(S14_Growth_Model_ExAnte!$C$15:$C$81,$B45,S14_Growth_Model_ExAnte!$Y$15:$Y$81)/$K45,IF($L45&gt;=2,SUMIF(S14_Growth_Model_ExAnte!$AY$15:$AY$81,$C45&amp;"|"&amp;$D45,S14_Growth_Model_ExAnte!$Y$15:$Y$81)/$L45,IF(COUNTIF(S14_Growth_Model_ExAnte!$AZ$15:$AZ$81,$C45)&gt;0,SUMIF(S14_Growth_Model_ExAnte!$AZ$15:$AZ$81,$C45,S14_Growth_Model_ExAnte!$Y$15:$Y$81)/COUNTIF(S14_Growth_Model_ExAnte!$AZ$15:$AZ$81,$C45),0))))*$O45*S08_Defaults!$B$6*(1+S08_Defaults!$B$7)*S08_Defaults!$B$8</x:f>
        <x:v>525.6999326358658</x:v>
      </x:c>
      <x:c r="AL45" s="115" t="n">
        <x:f aca="0">(IF($K45&gt;=2,SUMIF(S14_Growth_Model_ExAnte!$C$15:$C$81,$B45,S14_Growth_Model_ExAnte!$Z$15:$Z$81)/$K45,IF($L45&gt;=2,SUMIF(S14_Growth_Model_ExAnte!$AY$15:$AY$81,$C45&amp;"|"&amp;$D45,S14_Growth_Model_ExAnte!$Z$15:$Z$81)/$L45,IF(COUNTIF(S14_Growth_Model_ExAnte!$AZ$15:$AZ$81,$C45)&gt;0,SUMIF(S14_Growth_Model_ExAnte!$AZ$15:$AZ$81,$C45,S14_Growth_Model_ExAnte!$Z$15:$Z$81)/COUNTIF(S14_Growth_Model_ExAnte!$AZ$15:$AZ$81,$C45),0))))*$O45*S08_Defaults!$B$6*(1+S08_Defaults!$B$7)*S08_Defaults!$B$8</x:f>
        <x:v>557.9246430745985</x:v>
      </x:c>
      <x:c r="AM45" s="115" t="n">
        <x:f aca="0">R45</x:f>
        <x:v>0</x:v>
      </x:c>
      <x:c r="AN45" s="115" t="n">
        <x:f aca="0">S45-R45</x:f>
        <x:v>0</x:v>
      </x:c>
      <x:c r="AO45" s="115" t="n">
        <x:f aca="0">T45-S45</x:f>
        <x:v>0</x:v>
      </x:c>
      <x:c r="AP45" s="115" t="n">
        <x:f aca="0">U45-T45</x:f>
        <x:v>0</x:v>
      </x:c>
      <x:c r="AQ45" s="115" t="n">
        <x:f aca="0">V45-U45</x:f>
        <x:v>0.2723417518114028</x:v>
      </x:c>
      <x:c r="AR45" s="115" t="n">
        <x:f aca="0">W45-V45</x:f>
        <x:v>2.97655362737194</x:v>
      </x:c>
      <x:c r="AS45" s="115" t="n">
        <x:f aca="0">X45-W45</x:f>
        <x:v>9.155100506855987</x:v>
      </x:c>
      <x:c r="AT45" s="115" t="n">
        <x:f aca="0">Y45-X45</x:f>
        <x:v>17.611960319309496</x:v>
      </x:c>
      <x:c r="AU45" s="115" t="n">
        <x:f aca="0">Z45-Y45</x:f>
        <x:v>26.4493026801402</x:v>
      </x:c>
      <x:c r="AV45" s="115" t="n">
        <x:f aca="0">AA45-Z45</x:f>
        <x:v>34.37136215830535</x:v>
      </x:c>
      <x:c r="AW45" s="115" t="n">
        <x:f aca="0">AB45-AA45</x:f>
        <x:v>40.63832859206407</x:v>
      </x:c>
      <x:c r="AX45" s="115" t="n">
        <x:f aca="0">AC45-AB45</x:f>
        <x:v>44.98780324601955</x:v>
      </x:c>
      <x:c r="AY45" s="115" t="n">
        <x:f aca="0">AD45-AC45</x:f>
        <x:v>47.47288640077457</x:v>
      </x:c>
      <x:c r="AZ45" s="115" t="n">
        <x:f aca="0">AE45-AD45</x:f>
        <x:v>48.322110347841885</x:v>
      </x:c>
      <x:c r="BA45" s="115" t="n">
        <x:f aca="0">AF45-AE45</x:f>
        <x:v>47.839030284854005</x:v>
      </x:c>
      <x:c r="BB45" s="115" t="n">
        <x:f aca="0">AG45-AF45</x:f>
        <x:v>46.33852611963886</x:v>
      </x:c>
      <x:c r="BC45" s="115" t="n">
        <x:f aca="0">AH45-AG45</x:f>
        <x:v>44.11096107832856</x:v>
      </x:c>
      <x:c r="BD45" s="115" t="n">
        <x:f aca="0">AI45-AH45</x:f>
        <x:v>41.40527858675853</x:v>
      </x:c>
      <x:c r="BE45" s="115" t="n">
        <x:f aca="0">AJ45-AI45</x:f>
        <x:v>38.42391779491459</x:v>
      </x:c>
      <x:c r="BF45" s="115" t="n">
        <x:f aca="0">AK45-AJ45</x:f>
        <x:v>35.32446914087683</x:v>
      </x:c>
      <x:c r="BG45" s="115" t="n">
        <x:f aca="0">AL45-AK45</x:f>
        <x:v>32.2247104387327</x:v>
      </x:c>
    </x:row>
    <x:row r="46" ht="15" hidden="0" customHeight="1">
      <x:c r="A46" s="160" t="str">
        <x:f aca="0">"S"&amp;TEXT(ROW()-3,"00")</x:f>
        <x:v>S43</x:v>
      </x:c>
      <x:c r="B46" s="161" t="s">
        <x:v>575</x:v>
      </x:c>
      <x:c r="C46" s="160" t="str">
        <x:f aca="0">LEFT($B46,FIND("|",$B46)-1)</x:f>
        <x:v>Fruit Orchard</x:v>
      </x:c>
      <x:c r="D46" s="160" t="str">
        <x:f aca="0">MID($B46,FIND("|",$B46)+1,FIND("|",$B46,FIND("|",$B46)+1)-FIND("|",$B46)-1)</x:f>
        <x:v>Medium</x:v>
      </x:c>
      <x:c r="E46" s="160" t="n">
        <x:f aca="0">VALUE(RIGHT($B46,4))</x:f>
        <x:v>2024</x:v>
      </x:c>
      <x:c r="F46" s="115" t="n">
        <x:f aca="0">SUMIF(S17_Biome_Strata!$G$4:$G$95,$B46,S17_Biome_Strata!$E$4:$E$95)</x:f>
        <x:v>1</x:v>
      </x:c>
      <x:c r="G46" s="115" t="n">
        <x:f aca="0">SUMIF(S17_Biome_Strata!$G$4:$G$95,$B46,S17_Biome_Strata!$F$4:$F$95)</x:f>
        <x:v>0.3289</x:v>
      </x:c>
      <x:c r="H46" s="115" t="n">
        <x:f aca="0">IF($K46&gt;=2,SUMIF(S14_Growth_Model_ExAnte!$C$15:$C$81,$B46,S14_Growth_Model_ExAnte!$K$15:$K$81)/$K46,IF($L46&gt;=2,SUMIF(S14_Growth_Model_ExAnte!$AY$15:$AY$81,$C46&amp;"|"&amp;$D46,S14_Growth_Model_ExAnte!$K$15:$K$81)/$L46,IF(COUNTIF(S14_Growth_Model_ExAnte!$AZ$15:$AZ$81,$C46)&gt;0,SUMIF(S14_Growth_Model_ExAnte!$AZ$15:$AZ$81,$C46,S14_Growth_Model_ExAnte!$K$15:$K$81)/COUNTIF(S14_Growth_Model_ExAnte!$AZ$15:$AZ$81,$C46),0)))</x:f>
        <x:v>0.53930008541123</x:v>
      </x:c>
      <x:c r="I46" s="115" t="n">
        <x:f aca="0">IF($K46&gt;=2,SQRT(MAX(0,(SUMIF(S14_Growth_Model_ExAnte!$C$15:$C$81,$B46,S14_Growth_Model_ExAnte!$BC$15:$BC$81)-SUMIF(S14_Growth_Model_ExAnte!$C$15:$C$81,$B46,S14_Growth_Model_ExAnte!$K$15:$K$81)*SUMIF(S14_Growth_Model_ExAnte!$C$15:$C$81,$B46,S14_Growth_Model_ExAnte!$K$15:$K$81)/$K46)/($K46-1))),IF($L46&gt;=2,SQRT(MAX(0,(SUMIF(S14_Growth_Model_ExAnte!$AY$15:$AY$81,$C46&amp;"|"&amp;$D46,S14_Growth_Model_ExAnte!$BC$15:$BC$81)-SUMIF(S14_Growth_Model_ExAnte!$AY$15:$AY$81,$C46&amp;"|"&amp;$D46,S14_Growth_Model_ExAnte!$K$15:$K$81)*SUMIF(S14_Growth_Model_ExAnte!$AY$15:$AY$81,$C46&amp;"|"&amp;$D46,S14_Growth_Model_ExAnte!$K$15:$K$81)/$L46)/($L46-1))),IF(COUNTIF(S14_Growth_Model_ExAnte!$AZ$15:$AZ$81,$C46)&gt;=2,SQRT(MAX(0,(SUMIF(S14_Growth_Model_ExAnte!$AZ$15:$AZ$81,$C46,S14_Growth_Model_ExAnte!$BC$15:$BC$81)-SUMIF(S14_Growth_Model_ExAnte!$AZ$15:$AZ$81,$C46,S14_Growth_Model_ExAnte!$K$15:$K$81)*SUMIF(S14_Growth_Model_ExAnte!$AZ$15:$AZ$81,$C46,S14_Growth_Model_ExAnte!$K$15:$K$81)/COUNTIF(S14_Growth_Model_ExAnte!$AZ$15:$AZ$81,$C46))/(COUNTIF(S14_Growth_Model_ExAnte!$AZ$15:$AZ$81,$C46)-1))),0)))</x:f>
        <x:v>0.22439991230786968</x:v>
      </x:c>
      <x:c r="J46" s="115" t="n">
        <x:f aca="0">IFERROR(I46/H46,0)</x:f>
        <x:v>0.41609470938013865</x:v>
      </x:c>
      <x:c r="K46" s="115" t="n">
        <x:f aca="0">COUNTIF(S14_Growth_Model_ExAnte!$C$15:$C$81,$B46)</x:f>
        <x:v>1</x:v>
      </x:c>
      <x:c r="L46" s="115" t="n">
        <x:f aca="0">COUNTIF(S14_Growth_Model_ExAnte!$AY$15:$AY$81,$C46&amp;"|"&amp;$D46)</x:f>
        <x:v>7</x:v>
      </x:c>
      <x:c r="M46" s="115" t="n">
        <x:f aca="0">$H46</x:f>
        <x:v>0.53930008541123</x:v>
      </x:c>
      <x:c r="N46" s="115" t="n">
        <x:f aca="0">MAX(0,$M46*S08_Defaults!$B$5)</x:f>
        <x:v>0.4044750640584225</x:v>
      </x:c>
      <x:c r="O46" s="115" t="n">
        <x:f aca="0">IFERROR($N46/$M46,0)</x:f>
        <x:v>0.75</x:v>
      </x:c>
      <x:c r="P46" s="115" t="str">
        <x:f aca="0">IF($K46&gt;=2,"Exact Stratum PSP Chapman-Richards curve",IF($L46&gt;=2,"Model×Density pooled Chapman-Richards curve","Model pooled Chapman-Richards curve"))</x:f>
        <x:v>Model×Density pooled Chapman-Richards curve</x:v>
      </x:c>
      <x:c r="Q46" s="162" t="s">
        <x:v>1106</x:v>
      </x:c>
      <x:c r="R46" s="115" t="n">
        <x:f aca="0">0</x:f>
        <x:v>0</x:v>
      </x:c>
      <x:c r="S46" s="115" t="n">
        <x:f aca="0">0</x:f>
        <x:v>0</x:v>
      </x:c>
      <x:c r="T46" s="115" t="n">
        <x:f aca="0">0</x:f>
        <x:v>0</x:v>
      </x:c>
      <x:c r="U46" s="115" t="n">
        <x:f aca="0">0</x:f>
        <x:v>0</x:v>
      </x:c>
      <x:c r="V46" s="115" t="n">
        <x:f aca="0">(IF($K46&gt;=2,SUMIF(S14_Growth_Model_ExAnte!$C$15:$C$81,$B46,S14_Growth_Model_ExAnte!$I$15:$I$81)/$K46,IF($L46&gt;=2,SUMIF(S14_Growth_Model_ExAnte!$AY$15:$AY$81,$C46&amp;"|"&amp;$D46,S14_Growth_Model_ExAnte!$I$15:$I$81)/$L46,IF(COUNTIF(S14_Growth_Model_ExAnte!$AZ$15:$AZ$81,$C46)&gt;0,SUMIF(S14_Growth_Model_ExAnte!$AZ$15:$AZ$81,$C46,S14_Growth_Model_ExAnte!$I$15:$I$81)/COUNTIF(S14_Growth_Model_ExAnte!$AZ$15:$AZ$81,$C46),0))))*$O46*S08_Defaults!$B$6*(1+S08_Defaults!$B$7)*S08_Defaults!$B$8</x:f>
        <x:v>0</x:v>
      </x:c>
      <x:c r="W46" s="115" t="n">
        <x:f aca="0">(IF($K46&gt;=2,SUMIF(S14_Growth_Model_ExAnte!$C$15:$C$81,$B46,S14_Growth_Model_ExAnte!$J$15:$J$81)/$K46,IF($L46&gt;=2,SUMIF(S14_Growth_Model_ExAnte!$AY$15:$AY$81,$C46&amp;"|"&amp;$D46,S14_Growth_Model_ExAnte!$J$15:$J$81)/$L46,IF(COUNTIF(S14_Growth_Model_ExAnte!$AZ$15:$AZ$81,$C46)&gt;0,SUMIF(S14_Growth_Model_ExAnte!$AZ$15:$AZ$81,$C46,S14_Growth_Model_ExAnte!$J$15:$J$81)/COUNTIF(S14_Growth_Model_ExAnte!$AZ$15:$AZ$81,$C46),0))))*$O46*S08_Defaults!$B$6*(1+S08_Defaults!$B$7)*S08_Defaults!$B$8</x:f>
        <x:v>0.07152597803014582</x:v>
      </x:c>
      <x:c r="X46" s="115" t="n">
        <x:f aca="0">(IF($K46&gt;=2,SUMIF(S14_Growth_Model_ExAnte!$C$15:$C$81,$B46,S14_Growth_Model_ExAnte!$K$15:$K$81)/$K46,IF($L46&gt;=2,SUMIF(S14_Growth_Model_ExAnte!$AY$15:$AY$81,$C46&amp;"|"&amp;$D46,S14_Growth_Model_ExAnte!$K$15:$K$81)/$L46,IF(COUNTIF(S14_Growth_Model_ExAnte!$AZ$15:$AZ$81,$C46)&gt;0,SUMIF(S14_Growth_Model_ExAnte!$AZ$15:$AZ$81,$C46,S14_Growth_Model_ExAnte!$K$15:$K$81)/COUNTIF(S14_Growth_Model_ExAnte!$AZ$15:$AZ$81,$C46),0))))*$O46*S08_Defaults!$B$6*(1+S08_Defaults!$B$7)*S08_Defaults!$B$8</x:f>
        <x:v>0.864336246888579</x:v>
      </x:c>
      <x:c r="Y46" s="115" t="n">
        <x:f aca="0">(IF($K46&gt;=2,SUMIF(S14_Growth_Model_ExAnte!$C$15:$C$81,$B46,S14_Growth_Model_ExAnte!$L$15:$L$81)/$K46,IF($L46&gt;=2,SUMIF(S14_Growth_Model_ExAnte!$AY$15:$AY$81,$C46&amp;"|"&amp;$D46,S14_Growth_Model_ExAnte!$L$15:$L$81)/$L46,IF(COUNTIF(S14_Growth_Model_ExAnte!$AZ$15:$AZ$81,$C46)&gt;0,SUMIF(S14_Growth_Model_ExAnte!$AZ$15:$AZ$81,$C46,S14_Growth_Model_ExAnte!$L$15:$L$81)/COUNTIF(S14_Growth_Model_ExAnte!$AZ$15:$AZ$81,$C46),0))))*$O46*S08_Defaults!$B$6*(1+S08_Defaults!$B$7)*S08_Defaults!$B$8</x:f>
        <x:v>3.303655276665658</x:v>
      </x:c>
      <x:c r="Z46" s="115" t="n">
        <x:f aca="0">(IF($K46&gt;=2,SUMIF(S14_Growth_Model_ExAnte!$C$15:$C$81,$B46,S14_Growth_Model_ExAnte!$M$15:$M$81)/$K46,IF($L46&gt;=2,SUMIF(S14_Growth_Model_ExAnte!$AY$15:$AY$81,$C46&amp;"|"&amp;$D46,S14_Growth_Model_ExAnte!$M$15:$M$81)/$L46,IF(COUNTIF(S14_Growth_Model_ExAnte!$AZ$15:$AZ$81,$C46)&gt;0,SUMIF(S14_Growth_Model_ExAnte!$AZ$15:$AZ$81,$C46,S14_Growth_Model_ExAnte!$M$15:$M$81)/COUNTIF(S14_Growth_Model_ExAnte!$AZ$15:$AZ$81,$C46),0))))*$O46*S08_Defaults!$B$6*(1+S08_Defaults!$B$7)*S08_Defaults!$B$8</x:f>
        <x:v>7.970157779779097</x:v>
      </x:c>
      <x:c r="AA46" s="115" t="n">
        <x:f aca="0">(IF($K46&gt;=2,SUMIF(S14_Growth_Model_ExAnte!$C$15:$C$81,$B46,S14_Growth_Model_ExAnte!$N$15:$N$81)/$K46,IF($L46&gt;=2,SUMIF(S14_Growth_Model_ExAnte!$AY$15:$AY$81,$C46&amp;"|"&amp;$D46,S14_Growth_Model_ExAnte!$N$15:$N$81)/$L46,IF(COUNTIF(S14_Growth_Model_ExAnte!$AZ$15:$AZ$81,$C46)&gt;0,SUMIF(S14_Growth_Model_ExAnte!$AZ$15:$AZ$81,$C46,S14_Growth_Model_ExAnte!$N$15:$N$81)/COUNTIF(S14_Growth_Model_ExAnte!$AZ$15:$AZ$81,$C46),0))))*$O46*S08_Defaults!$B$6*(1+S08_Defaults!$B$7)*S08_Defaults!$B$8</x:f>
        <x:v>14.923899156004842</x:v>
      </x:c>
      <x:c r="AB46" s="115" t="n">
        <x:f aca="0">(IF($K46&gt;=2,SUMIF(S14_Growth_Model_ExAnte!$C$15:$C$81,$B46,S14_Growth_Model_ExAnte!$O$15:$O$81)/$K46,IF($L46&gt;=2,SUMIF(S14_Growth_Model_ExAnte!$AY$15:$AY$81,$C46&amp;"|"&amp;$D46,S14_Growth_Model_ExAnte!$O$15:$O$81)/$L46,IF(COUNTIF(S14_Growth_Model_ExAnte!$AZ$15:$AZ$81,$C46)&gt;0,SUMIF(S14_Growth_Model_ExAnte!$AZ$15:$AZ$81,$C46,S14_Growth_Model_ExAnte!$O$15:$O$81)/COUNTIF(S14_Growth_Model_ExAnte!$AZ$15:$AZ$81,$C46),0))))*$O46*S08_Defaults!$B$6*(1+S08_Defaults!$B$7)*S08_Defaults!$B$8</x:f>
        <x:v>23.885588624728054</x:v>
      </x:c>
      <x:c r="AC46" s="115" t="n">
        <x:f aca="0">(IF($K46&gt;=2,SUMIF(S14_Growth_Model_ExAnte!$C$15:$C$81,$B46,S14_Growth_Model_ExAnte!$P$15:$P$81)/$K46,IF($L46&gt;=2,SUMIF(S14_Growth_Model_ExAnte!$AY$15:$AY$81,$C46&amp;"|"&amp;$D46,S14_Growth_Model_ExAnte!$P$15:$P$81)/$L46,IF(COUNTIF(S14_Growth_Model_ExAnte!$AZ$15:$AZ$81,$C46)&gt;0,SUMIF(S14_Growth_Model_ExAnte!$AZ$15:$AZ$81,$C46,S14_Growth_Model_ExAnte!$P$15:$P$81)/COUNTIF(S14_Growth_Model_ExAnte!$AZ$15:$AZ$81,$C46),0))))*$O46*S08_Defaults!$B$6*(1+S08_Defaults!$B$7)*S08_Defaults!$B$8</x:f>
        <x:v>34.39633727340892</x:v>
      </x:c>
      <x:c r="AD46" s="115" t="n">
        <x:f aca="0">(IF($K46&gt;=2,SUMIF(S14_Growth_Model_ExAnte!$C$15:$C$81,$B46,S14_Growth_Model_ExAnte!$Q$15:$Q$81)/$K46,IF($L46&gt;=2,SUMIF(S14_Growth_Model_ExAnte!$AY$15:$AY$81,$C46&amp;"|"&amp;$D46,S14_Growth_Model_ExAnte!$Q$15:$Q$81)/$L46,IF(COUNTIF(S14_Growth_Model_ExAnte!$AZ$15:$AZ$81,$C46)&gt;0,SUMIF(S14_Growth_Model_ExAnte!$AZ$15:$AZ$81,$C46,S14_Growth_Model_ExAnte!$Q$15:$Q$81)/COUNTIF(S14_Growth_Model_ExAnte!$AZ$15:$AZ$81,$C46),0))))*$O46*S08_Defaults!$B$6*(1+S08_Defaults!$B$7)*S08_Defaults!$B$8</x:f>
        <x:v>45.94628773183691</x:v>
      </x:c>
      <x:c r="AE46" s="115" t="n">
        <x:f aca="0">(IF($K46&gt;=2,SUMIF(S14_Growth_Model_ExAnte!$C$15:$C$81,$B46,S14_Growth_Model_ExAnte!$R$15:$R$81)/$K46,IF($L46&gt;=2,SUMIF(S14_Growth_Model_ExAnte!$AY$15:$AY$81,$C46&amp;"|"&amp;$D46,S14_Growth_Model_ExAnte!$R$15:$R$81)/$L46,IF(COUNTIF(S14_Growth_Model_ExAnte!$AZ$15:$AZ$81,$C46)&gt;0,SUMIF(S14_Growth_Model_ExAnte!$AZ$15:$AZ$81,$C46,S14_Growth_Model_ExAnte!$R$15:$R$81)/COUNTIF(S14_Growth_Model_ExAnte!$AZ$15:$AZ$81,$C46),0))))*$O46*S08_Defaults!$B$6*(1+S08_Defaults!$B$7)*S08_Defaults!$B$8</x:f>
        <x:v>58.054373014376885</x:v>
      </x:c>
      <x:c r="AF46" s="115" t="n">
        <x:f aca="0">(IF($K46&gt;=2,SUMIF(S14_Growth_Model_ExAnte!$C$15:$C$81,$B46,S14_Growth_Model_ExAnte!$S$15:$S$81)/$K46,IF($L46&gt;=2,SUMIF(S14_Growth_Model_ExAnte!$AY$15:$AY$81,$C46&amp;"|"&amp;$D46,S14_Growth_Model_ExAnte!$S$15:$S$81)/$L46,IF(COUNTIF(S14_Growth_Model_ExAnte!$AZ$15:$AZ$81,$C46)&gt;0,SUMIF(S14_Growth_Model_ExAnte!$AZ$15:$AZ$81,$C46,S14_Growth_Model_ExAnte!$S$15:$S$81)/COUNTIF(S14_Growth_Model_ExAnte!$AZ$15:$AZ$81,$C46),0))))*$O46*S08_Defaults!$B$6*(1+S08_Defaults!$B$7)*S08_Defaults!$B$8</x:f>
        <x:v>70.30903125532</x:v>
      </x:c>
      <x:c r="AG46" s="115" t="n">
        <x:f aca="0">(IF($K46&gt;=2,SUMIF(S14_Growth_Model_ExAnte!$C$15:$C$81,$B46,S14_Growth_Model_ExAnte!$T$15:$T$81)/$K46,IF($L46&gt;=2,SUMIF(S14_Growth_Model_ExAnte!$AY$15:$AY$81,$C46&amp;"|"&amp;$D46,S14_Growth_Model_ExAnte!$T$15:$T$81)/$L46,IF(COUNTIF(S14_Growth_Model_ExAnte!$AZ$15:$AZ$81,$C46)&gt;0,SUMIF(S14_Growth_Model_ExAnte!$AZ$15:$AZ$81,$C46,S14_Growth_Model_ExAnte!$T$15:$T$81)/COUNTIF(S14_Growth_Model_ExAnte!$AZ$15:$AZ$81,$C46),0))))*$O46*S08_Defaults!$B$6*(1+S08_Defaults!$B$7)*S08_Defaults!$B$8</x:f>
        <x:v>82.38274135165359</x:v>
      </x:c>
      <x:c r="AH46" s="115" t="n">
        <x:f aca="0">(IF($K46&gt;=2,SUMIF(S14_Growth_Model_ExAnte!$C$15:$C$81,$B46,S14_Growth_Model_ExAnte!$U$15:$U$81)/$K46,IF($L46&gt;=2,SUMIF(S14_Growth_Model_ExAnte!$AY$15:$AY$81,$C46&amp;"|"&amp;$D46,S14_Growth_Model_ExAnte!$U$15:$U$81)/$L46,IF(COUNTIF(S14_Growth_Model_ExAnte!$AZ$15:$AZ$81,$C46)&gt;0,SUMIF(S14_Growth_Model_ExAnte!$AZ$15:$AZ$81,$C46,S14_Growth_Model_ExAnte!$U$15:$U$81)/COUNTIF(S14_Growth_Model_ExAnte!$AZ$15:$AZ$81,$C46),0))))*$O46*S08_Defaults!$B$6*(1+S08_Defaults!$B$7)*S08_Defaults!$B$8</x:f>
        <x:v>94.03105915138642</x:v>
      </x:c>
      <x:c r="AI46" s="115" t="n">
        <x:f aca="0">(IF($K46&gt;=2,SUMIF(S14_Growth_Model_ExAnte!$C$15:$C$81,$B46,S14_Growth_Model_ExAnte!$V$15:$V$81)/$K46,IF($L46&gt;=2,SUMIF(S14_Growth_Model_ExAnte!$AY$15:$AY$81,$C46&amp;"|"&amp;$D46,S14_Growth_Model_ExAnte!$V$15:$V$81)/$L46,IF(COUNTIF(S14_Growth_Model_ExAnte!$AZ$15:$AZ$81,$C46)&gt;0,SUMIF(S14_Growth_Model_ExAnte!$AZ$15:$AZ$81,$C46,S14_Growth_Model_ExAnte!$V$15:$V$81)/COUNTIF(S14_Growth_Model_ExAnte!$AZ$15:$AZ$81,$C46),0))))*$O46*S08_Defaults!$B$6*(1+S08_Defaults!$B$7)*S08_Defaults!$B$8</x:f>
        <x:v>105.08365805426325</x:v>
      </x:c>
      <x:c r="AJ46" s="115" t="n">
        <x:f aca="0">(IF($K46&gt;=2,SUMIF(S14_Growth_Model_ExAnte!$C$15:$C$81,$B46,S14_Growth_Model_ExAnte!$W$15:$W$81)/$K46,IF($L46&gt;=2,SUMIF(S14_Growth_Model_ExAnte!$AY$15:$AY$81,$C46&amp;"|"&amp;$D46,S14_Growth_Model_ExAnte!$W$15:$W$81)/$L46,IF(COUNTIF(S14_Growth_Model_ExAnte!$AZ$15:$AZ$81,$C46)&gt;0,SUMIF(S14_Growth_Model_ExAnte!$AZ$15:$AZ$81,$C46,S14_Growth_Model_ExAnte!$W$15:$W$81)/COUNTIF(S14_Growth_Model_ExAnte!$AZ$15:$AZ$81,$C46),0))))*$O46*S08_Defaults!$B$6*(1+S08_Defaults!$B$7)*S08_Defaults!$B$8</x:f>
        <x:v>115.43213857673612</x:v>
      </x:c>
      <x:c r="AK46" s="115" t="n">
        <x:f aca="0">(IF($K46&gt;=2,SUMIF(S14_Growth_Model_ExAnte!$C$15:$C$81,$B46,S14_Growth_Model_ExAnte!$X$15:$X$81)/$K46,IF($L46&gt;=2,SUMIF(S14_Growth_Model_ExAnte!$AY$15:$AY$81,$C46&amp;"|"&amp;$D46,S14_Growth_Model_ExAnte!$X$15:$X$81)/$L46,IF(COUNTIF(S14_Growth_Model_ExAnte!$AZ$15:$AZ$81,$C46)&gt;0,SUMIF(S14_Growth_Model_ExAnte!$AZ$15:$AZ$81,$C46,S14_Growth_Model_ExAnte!$X$15:$X$81)/COUNTIF(S14_Growth_Model_ExAnte!$AZ$15:$AZ$81,$C46),0))))*$O46*S08_Defaults!$B$6*(1+S08_Defaults!$B$7)*S08_Defaults!$B$8</x:f>
        <x:v>125.0173795374974</x:v>
      </x:c>
      <x:c r="AL46" s="115" t="n">
        <x:f aca="0">(IF($K46&gt;=2,SUMIF(S14_Growth_Model_ExAnte!$C$15:$C$81,$B46,S14_Growth_Model_ExAnte!$Y$15:$Y$81)/$K46,IF($L46&gt;=2,SUMIF(S14_Growth_Model_ExAnte!$AY$15:$AY$81,$C46&amp;"|"&amp;$D46,S14_Growth_Model_ExAnte!$Y$15:$Y$81)/$L46,IF(COUNTIF(S14_Growth_Model_ExAnte!$AZ$15:$AZ$81,$C46)&gt;0,SUMIF(S14_Growth_Model_ExAnte!$AZ$15:$AZ$81,$C46,S14_Growth_Model_ExAnte!$Y$15:$Y$81)/COUNTIF(S14_Growth_Model_ExAnte!$AZ$15:$AZ$81,$C46),0))))*$O46*S08_Defaults!$B$6*(1+S08_Defaults!$B$7)*S08_Defaults!$B$8</x:f>
        <x:v>133.81788409296183</x:v>
      </x:c>
      <x:c r="AM46" s="115" t="n">
        <x:f aca="0">R46</x:f>
        <x:v>0</x:v>
      </x:c>
      <x:c r="AN46" s="115" t="n">
        <x:f aca="0">S46-R46</x:f>
        <x:v>0</x:v>
      </x:c>
      <x:c r="AO46" s="115" t="n">
        <x:f aca="0">T46-S46</x:f>
        <x:v>0</x:v>
      </x:c>
      <x:c r="AP46" s="115" t="n">
        <x:f aca="0">U46-T46</x:f>
        <x:v>0</x:v>
      </x:c>
      <x:c r="AQ46" s="115" t="n">
        <x:f aca="0">V46-U46</x:f>
        <x:v>0</x:v>
      </x:c>
      <x:c r="AR46" s="115" t="n">
        <x:f aca="0">W46-V46</x:f>
        <x:v>0.07152597803014582</x:v>
      </x:c>
      <x:c r="AS46" s="115" t="n">
        <x:f aca="0">X46-W46</x:f>
        <x:v>0.7928102688584332</x:v>
      </x:c>
      <x:c r="AT46" s="115" t="n">
        <x:f aca="0">Y46-X46</x:f>
        <x:v>2.439319029777079</x:v>
      </x:c>
      <x:c r="AU46" s="115" t="n">
        <x:f aca="0">Z46-Y46</x:f>
        <x:v>4.666502503113438</x:v>
      </x:c>
      <x:c r="AV46" s="115" t="n">
        <x:f aca="0">AA46-Z46</x:f>
        <x:v>6.953741376225745</x:v>
      </x:c>
      <x:c r="AW46" s="115" t="n">
        <x:f aca="0">AB46-AA46</x:f>
        <x:v>8.961689468723213</x:v>
      </x:c>
      <x:c r="AX46" s="115" t="n">
        <x:f aca="0">AC46-AB46</x:f>
        <x:v>10.510748648680863</x:v>
      </x:c>
      <x:c r="AY46" s="115" t="n">
        <x:f aca="0">AD46-AC46</x:f>
        <x:v>11.549950458427993</x:v>
      </x:c>
      <x:c r="AZ46" s="115" t="n">
        <x:f aca="0">AE46-AD46</x:f>
        <x:v>12.108085282539975</x:v>
      </x:c>
      <x:c r="BA46" s="115" t="n">
        <x:f aca="0">AF46-AE46</x:f>
        <x:v>12.254658240943108</x:v>
      </x:c>
      <x:c r="BB46" s="115" t="n">
        <x:f aca="0">AG46-AF46</x:f>
        <x:v>12.073710096333599</x:v>
      </x:c>
      <x:c r="BC46" s="115" t="n">
        <x:f aca="0">AH46-AG46</x:f>
        <x:v>11.648317799732823</x:v>
      </x:c>
      <x:c r="BD46" s="115" t="n">
        <x:f aca="0">AI46-AH46</x:f>
        <x:v>11.052598902876838</x:v>
      </x:c>
      <x:c r="BE46" s="115" t="n">
        <x:f aca="0">AJ46-AI46</x:f>
        <x:v>10.348480522472869</x:v>
      </x:c>
      <x:c r="BF46" s="115" t="n">
        <x:f aca="0">AK46-AJ46</x:f>
        <x:v>9.585240960761283</x:v>
      </x:c>
      <x:c r="BG46" s="115" t="n">
        <x:f aca="0">AL46-AK46</x:f>
        <x:v>8.800504555464428</x:v>
      </x:c>
    </x:row>
    <x:row r="47" ht="15" hidden="0" customHeight="1">
      <x:c r="A47" s="160" t="str">
        <x:f aca="0">"S"&amp;TEXT(ROW()-3,"00")</x:f>
        <x:v>S44</x:v>
      </x:c>
      <x:c r="B47" s="161" t="s">
        <x:v>650</x:v>
      </x:c>
      <x:c r="C47" s="160" t="str">
        <x:f aca="0">LEFT($B47,FIND("|",$B47)-1)</x:f>
        <x:v>Mixed Agroforestry</x:v>
      </x:c>
      <x:c r="D47" s="160" t="str">
        <x:f aca="0">MID($B47,FIND("|",$B47)+1,FIND("|",$B47,FIND("|",$B47)+1)-FIND("|",$B47)-1)</x:f>
        <x:v>Low</x:v>
      </x:c>
      <x:c r="E47" s="160" t="n">
        <x:f aca="0">VALUE(RIGHT($B47,4))</x:f>
        <x:v>2024</x:v>
      </x:c>
      <x:c r="F47" s="115" t="n">
        <x:f aca="0">SUMIF(S17_Biome_Strata!$G$4:$G$95,$B47,S17_Biome_Strata!$E$4:$E$95)</x:f>
        <x:v>3</x:v>
      </x:c>
      <x:c r="G47" s="115" t="n">
        <x:f aca="0">SUMIF(S17_Biome_Strata!$G$4:$G$95,$B47,S17_Biome_Strata!$F$4:$F$95)</x:f>
        <x:v>1.7437</x:v>
      </x:c>
      <x:c r="H47" s="115" t="n">
        <x:f aca="0">IF($K47&gt;=2,SUMIF(S14_Growth_Model_ExAnte!$C$15:$C$81,$B47,S14_Growth_Model_ExAnte!$K$15:$K$81)/$K47,IF($L47&gt;=2,SUMIF(S14_Growth_Model_ExAnte!$AY$15:$AY$81,$C47&amp;"|"&amp;$D47,S14_Growth_Model_ExAnte!$K$15:$K$81)/$L47,IF(COUNTIF(S14_Growth_Model_ExAnte!$AZ$15:$AZ$81,$C47)&gt;0,SUMIF(S14_Growth_Model_ExAnte!$AZ$15:$AZ$81,$C47,S14_Growth_Model_ExAnte!$K$15:$K$81)/COUNTIF(S14_Growth_Model_ExAnte!$AZ$15:$AZ$81,$C47),0)))</x:f>
        <x:v>0.34927778359215916</x:v>
      </x:c>
      <x:c r="I47" s="115" t="n">
        <x:f aca="0">IF($K47&gt;=2,SQRT(MAX(0,(SUMIF(S14_Growth_Model_ExAnte!$C$15:$C$81,$B47,S14_Growth_Model_ExAnte!$BC$15:$BC$81)-SUMIF(S14_Growth_Model_ExAnte!$C$15:$C$81,$B47,S14_Growth_Model_ExAnte!$K$15:$K$81)*SUMIF(S14_Growth_Model_ExAnte!$C$15:$C$81,$B47,S14_Growth_Model_ExAnte!$K$15:$K$81)/$K47)/($K47-1))),IF($L47&gt;=2,SQRT(MAX(0,(SUMIF(S14_Growth_Model_ExAnte!$AY$15:$AY$81,$C47&amp;"|"&amp;$D47,S14_Growth_Model_ExAnte!$BC$15:$BC$81)-SUMIF(S14_Growth_Model_ExAnte!$AY$15:$AY$81,$C47&amp;"|"&amp;$D47,S14_Growth_Model_ExAnte!$K$15:$K$81)*SUMIF(S14_Growth_Model_ExAnte!$AY$15:$AY$81,$C47&amp;"|"&amp;$D47,S14_Growth_Model_ExAnte!$K$15:$K$81)/$L47)/($L47-1))),IF(COUNTIF(S14_Growth_Model_ExAnte!$AZ$15:$AZ$81,$C47)&gt;=2,SQRT(MAX(0,(SUMIF(S14_Growth_Model_ExAnte!$AZ$15:$AZ$81,$C47,S14_Growth_Model_ExAnte!$BC$15:$BC$81)-SUMIF(S14_Growth_Model_ExAnte!$AZ$15:$AZ$81,$C47,S14_Growth_Model_ExAnte!$K$15:$K$81)*SUMIF(S14_Growth_Model_ExAnte!$AZ$15:$AZ$81,$C47,S14_Growth_Model_ExAnte!$K$15:$K$81)/COUNTIF(S14_Growth_Model_ExAnte!$AZ$15:$AZ$81,$C47))/(COUNTIF(S14_Growth_Model_ExAnte!$AZ$15:$AZ$81,$C47)-1))),0)))</x:f>
        <x:v>0.052064241868414914</x:v>
      </x:c>
      <x:c r="J47" s="115" t="n">
        <x:f aca="0">IFERROR(I47/H47,0)</x:f>
        <x:v>0.14906256370776996</x:v>
      </x:c>
      <x:c r="K47" s="115" t="n">
        <x:f aca="0">COUNTIF(S14_Growth_Model_ExAnte!$C$15:$C$81,$B47)</x:f>
        <x:v>1</x:v>
      </x:c>
      <x:c r="L47" s="115" t="n">
        <x:f aca="0">COUNTIF(S14_Growth_Model_ExAnte!$AY$15:$AY$81,$C47&amp;"|"&amp;$D47)</x:f>
        <x:v>2</x:v>
      </x:c>
      <x:c r="M47" s="115" t="n">
        <x:f aca="0">$H47</x:f>
        <x:v>0.34927778359215916</x:v>
      </x:c>
      <x:c r="N47" s="115" t="n">
        <x:f aca="0">MAX(0,$M47*S08_Defaults!$B$5)</x:f>
        <x:v>0.26195833769411936</x:v>
      </x:c>
      <x:c r="O47" s="115" t="n">
        <x:f aca="0">IFERROR($N47/$M47,0)</x:f>
        <x:v>0.75</x:v>
      </x:c>
      <x:c r="P47" s="115" t="str">
        <x:f aca="0">IF($K47&gt;=2,"Exact Stratum PSP Chapman-Richards curve",IF($L47&gt;=2,"Model×Density pooled Chapman-Richards curve","Model pooled Chapman-Richards curve"))</x:f>
        <x:v>Model×Density pooled Chapman-Richards curve</x:v>
      </x:c>
      <x:c r="Q47" s="162" t="s">
        <x:v>1106</x:v>
      </x:c>
      <x:c r="R47" s="115" t="n">
        <x:f aca="0">0</x:f>
        <x:v>0</x:v>
      </x:c>
      <x:c r="S47" s="115" t="n">
        <x:f aca="0">0</x:f>
        <x:v>0</x:v>
      </x:c>
      <x:c r="T47" s="115" t="n">
        <x:f aca="0">0</x:f>
        <x:v>0</x:v>
      </x:c>
      <x:c r="U47" s="115" t="n">
        <x:f aca="0">0</x:f>
        <x:v>0</x:v>
      </x:c>
      <x:c r="V47" s="115" t="n">
        <x:f aca="0">(IF($K47&gt;=2,SUMIF(S14_Growth_Model_ExAnte!$C$15:$C$81,$B47,S14_Growth_Model_ExAnte!$I$15:$I$81)/$K47,IF($L47&gt;=2,SUMIF(S14_Growth_Model_ExAnte!$AY$15:$AY$81,$C47&amp;"|"&amp;$D47,S14_Growth_Model_ExAnte!$I$15:$I$81)/$L47,IF(COUNTIF(S14_Growth_Model_ExAnte!$AZ$15:$AZ$81,$C47)&gt;0,SUMIF(S14_Growth_Model_ExAnte!$AZ$15:$AZ$81,$C47,S14_Growth_Model_ExAnte!$I$15:$I$81)/COUNTIF(S14_Growth_Model_ExAnte!$AZ$15:$AZ$81,$C47),0))))*$O47*S08_Defaults!$B$6*(1+S08_Defaults!$B$7)*S08_Defaults!$B$8</x:f>
        <x:v>0</x:v>
      </x:c>
      <x:c r="W47" s="115" t="n">
        <x:f aca="0">(IF($K47&gt;=2,SUMIF(S14_Growth_Model_ExAnte!$C$15:$C$81,$B47,S14_Growth_Model_ExAnte!$J$15:$J$81)/$K47,IF($L47&gt;=2,SUMIF(S14_Growth_Model_ExAnte!$AY$15:$AY$81,$C47&amp;"|"&amp;$D47,S14_Growth_Model_ExAnte!$J$15:$J$81)/$L47,IF(COUNTIF(S14_Growth_Model_ExAnte!$AZ$15:$AZ$81,$C47)&gt;0,SUMIF(S14_Growth_Model_ExAnte!$AZ$15:$AZ$81,$C47,S14_Growth_Model_ExAnte!$J$15:$J$81)/COUNTIF(S14_Growth_Model_ExAnte!$AZ$15:$AZ$81,$C47),0))))*$O47*S08_Defaults!$B$6*(1+S08_Defaults!$B$7)*S08_Defaults!$B$8</x:f>
        <x:v>0.046254888411774796</x:v>
      </x:c>
      <x:c r="X47" s="115" t="n">
        <x:f aca="0">(IF($K47&gt;=2,SUMIF(S14_Growth_Model_ExAnte!$C$15:$C$81,$B47,S14_Growth_Model_ExAnte!$K$15:$K$81)/$K47,IF($L47&gt;=2,SUMIF(S14_Growth_Model_ExAnte!$AY$15:$AY$81,$C47&amp;"|"&amp;$D47,S14_Growth_Model_ExAnte!$K$15:$K$81)/$L47,IF(COUNTIF(S14_Growth_Model_ExAnte!$AZ$15:$AZ$81,$C47)&gt;0,SUMIF(S14_Growth_Model_ExAnte!$AZ$15:$AZ$81,$C47,S14_Growth_Model_ExAnte!$K$15:$K$81)/COUNTIF(S14_Growth_Model_ExAnte!$AZ$15:$AZ$81,$C47),0))))*$O47*S08_Defaults!$B$6*(1+S08_Defaults!$B$7)*S08_Defaults!$B$8</x:f>
        <x:v>0.559787503763154</x:v>
      </x:c>
      <x:c r="Y47" s="115" t="n">
        <x:f aca="0">(IF($K47&gt;=2,SUMIF(S14_Growth_Model_ExAnte!$C$15:$C$81,$B47,S14_Growth_Model_ExAnte!$L$15:$L$81)/$K47,IF($L47&gt;=2,SUMIF(S14_Growth_Model_ExAnte!$AY$15:$AY$81,$C47&amp;"|"&amp;$D47,S14_Growth_Model_ExAnte!$L$15:$L$81)/$L47,IF(COUNTIF(S14_Growth_Model_ExAnte!$AZ$15:$AZ$81,$C47)&gt;0,SUMIF(S14_Growth_Model_ExAnte!$AZ$15:$AZ$81,$C47,S14_Growth_Model_ExAnte!$L$15:$L$81)/COUNTIF(S14_Growth_Model_ExAnte!$AZ$15:$AZ$81,$C47),0))))*$O47*S08_Defaults!$B$6*(1+S08_Defaults!$B$7)*S08_Defaults!$B$8</x:f>
        <x:v>2.1525618957049653</x:v>
      </x:c>
      <x:c r="Z47" s="115" t="n">
        <x:f aca="0">(IF($K47&gt;=2,SUMIF(S14_Growth_Model_ExAnte!$C$15:$C$81,$B47,S14_Growth_Model_ExAnte!$M$15:$M$81)/$K47,IF($L47&gt;=2,SUMIF(S14_Growth_Model_ExAnte!$AY$15:$AY$81,$C47&amp;"|"&amp;$D47,S14_Growth_Model_ExAnte!$M$15:$M$81)/$L47,IF(COUNTIF(S14_Growth_Model_ExAnte!$AZ$15:$AZ$81,$C47)&gt;0,SUMIF(S14_Growth_Model_ExAnte!$AZ$15:$AZ$81,$C47,S14_Growth_Model_ExAnte!$M$15:$M$81)/COUNTIF(S14_Growth_Model_ExAnte!$AZ$15:$AZ$81,$C47),0))))*$O47*S08_Defaults!$B$6*(1+S08_Defaults!$B$7)*S08_Defaults!$B$8</x:f>
        <x:v>5.231956049273246</x:v>
      </x:c>
      <x:c r="AA47" s="115" t="n">
        <x:f aca="0">(IF($K47&gt;=2,SUMIF(S14_Growth_Model_ExAnte!$C$15:$C$81,$B47,S14_Growth_Model_ExAnte!$N$15:$N$81)/$K47,IF($L47&gt;=2,SUMIF(S14_Growth_Model_ExAnte!$AY$15:$AY$81,$C47&amp;"|"&amp;$D47,S14_Growth_Model_ExAnte!$N$15:$N$81)/$L47,IF(COUNTIF(S14_Growth_Model_ExAnte!$AZ$15:$AZ$81,$C47)&gt;0,SUMIF(S14_Growth_Model_ExAnte!$AZ$15:$AZ$81,$C47,S14_Growth_Model_ExAnte!$N$15:$N$81)/COUNTIF(S14_Growth_Model_ExAnte!$AZ$15:$AZ$81,$C47),0))))*$O47*S08_Defaults!$B$6*(1+S08_Defaults!$B$7)*S08_Defaults!$B$8</x:f>
        <x:v>9.873631177848152</x:v>
      </x:c>
      <x:c r="AB47" s="115" t="n">
        <x:f aca="0">(IF($K47&gt;=2,SUMIF(S14_Growth_Model_ExAnte!$C$15:$C$81,$B47,S14_Growth_Model_ExAnte!$O$15:$O$81)/$K47,IF($L47&gt;=2,SUMIF(S14_Growth_Model_ExAnte!$AY$15:$AY$81,$C47&amp;"|"&amp;$D47,S14_Growth_Model_ExAnte!$O$15:$O$81)/$L47,IF(COUNTIF(S14_Growth_Model_ExAnte!$AZ$15:$AZ$81,$C47)&gt;0,SUMIF(S14_Growth_Model_ExAnte!$AZ$15:$AZ$81,$C47,S14_Growth_Model_ExAnte!$O$15:$O$81)/COUNTIF(S14_Growth_Model_ExAnte!$AZ$15:$AZ$81,$C47),0))))*$O47*S08_Defaults!$B$6*(1+S08_Defaults!$B$7)*S08_Defaults!$B$8</x:f>
        <x:v>15.925334979259612</x:v>
      </x:c>
      <x:c r="AC47" s="115" t="n">
        <x:f aca="0">(IF($K47&gt;=2,SUMIF(S14_Growth_Model_ExAnte!$C$15:$C$81,$B47,S14_Growth_Model_ExAnte!$P$15:$P$81)/$K47,IF($L47&gt;=2,SUMIF(S14_Growth_Model_ExAnte!$AY$15:$AY$81,$C47&amp;"|"&amp;$D47,S14_Growth_Model_ExAnte!$P$15:$P$81)/$L47,IF(COUNTIF(S14_Growth_Model_ExAnte!$AZ$15:$AZ$81,$C47)&gt;0,SUMIF(S14_Growth_Model_ExAnte!$AZ$15:$AZ$81,$C47,S14_Growth_Model_ExAnte!$P$15:$P$81)/COUNTIF(S14_Growth_Model_ExAnte!$AZ$15:$AZ$81,$C47),0))))*$O47*S08_Defaults!$B$6*(1+S08_Defaults!$B$7)*S08_Defaults!$B$8</x:f>
        <x:v>23.103901481651665</x:v>
      </x:c>
      <x:c r="AD47" s="115" t="n">
        <x:f aca="0">(IF($K47&gt;=2,SUMIF(S14_Growth_Model_ExAnte!$C$15:$C$81,$B47,S14_Growth_Model_ExAnte!$Q$15:$Q$81)/$K47,IF($L47&gt;=2,SUMIF(S14_Growth_Model_ExAnte!$AY$15:$AY$81,$C47&amp;"|"&amp;$D47,S14_Growth_Model_ExAnte!$Q$15:$Q$81)/$L47,IF(COUNTIF(S14_Growth_Model_ExAnte!$AZ$15:$AZ$81,$C47)&gt;0,SUMIF(S14_Growth_Model_ExAnte!$AZ$15:$AZ$81,$C47,S14_Growth_Model_ExAnte!$Q$15:$Q$81)/COUNTIF(S14_Growth_Model_ExAnte!$AZ$15:$AZ$81,$C47),0))))*$O47*S08_Defaults!$B$6*(1+S08_Defaults!$B$7)*S08_Defaults!$B$8</x:f>
        <x:v>31.078357140853388</x:v>
      </x:c>
      <x:c r="AE47" s="115" t="n">
        <x:f aca="0">(IF($K47&gt;=2,SUMIF(S14_Growth_Model_ExAnte!$C$15:$C$81,$B47,S14_Growth_Model_ExAnte!$R$15:$R$81)/$K47,IF($L47&gt;=2,SUMIF(S14_Growth_Model_ExAnte!$AY$15:$AY$81,$C47&amp;"|"&amp;$D47,S14_Growth_Model_ExAnte!$R$15:$R$81)/$L47,IF(COUNTIF(S14_Growth_Model_ExAnte!$AZ$15:$AZ$81,$C47)&gt;0,SUMIF(S14_Growth_Model_ExAnte!$AZ$15:$AZ$81,$C47,S14_Growth_Model_ExAnte!$R$15:$R$81)/COUNTIF(S14_Growth_Model_ExAnte!$AZ$15:$AZ$81,$C47),0))))*$O47*S08_Defaults!$B$6*(1+S08_Defaults!$B$7)*S08_Defaults!$B$8</x:f>
        <x:v>39.52477316412803</x:v>
      </x:c>
      <x:c r="AF47" s="115" t="n">
        <x:f aca="0">(IF($K47&gt;=2,SUMIF(S14_Growth_Model_ExAnte!$C$15:$C$81,$B47,S14_Growth_Model_ExAnte!$S$15:$S$81)/$K47,IF($L47&gt;=2,SUMIF(S14_Growth_Model_ExAnte!$AY$15:$AY$81,$C47&amp;"|"&amp;$D47,S14_Growth_Model_ExAnte!$S$15:$S$81)/$L47,IF(COUNTIF(S14_Growth_Model_ExAnte!$AZ$15:$AZ$81,$C47)&gt;0,SUMIF(S14_Growth_Model_ExAnte!$AZ$15:$AZ$81,$C47,S14_Growth_Model_ExAnte!$S$15:$S$81)/COUNTIF(S14_Growth_Model_ExAnte!$AZ$15:$AZ$81,$C47),0))))*$O47*S08_Defaults!$B$6*(1+S08_Defaults!$B$7)*S08_Defaults!$B$8</x:f>
        <x:v>48.15687920897</x:v>
      </x:c>
      <x:c r="AG47" s="115" t="n">
        <x:f aca="0">(IF($K47&gt;=2,SUMIF(S14_Growth_Model_ExAnte!$C$15:$C$81,$B47,S14_Growth_Model_ExAnte!$T$15:$T$81)/$K47,IF($L47&gt;=2,SUMIF(S14_Growth_Model_ExAnte!$AY$15:$AY$81,$C47&amp;"|"&amp;$D47,S14_Growth_Model_ExAnte!$T$15:$T$81)/$L47,IF(COUNTIF(S14_Growth_Model_ExAnte!$AZ$15:$AZ$81,$C47)&gt;0,SUMIF(S14_Growth_Model_ExAnte!$AZ$15:$AZ$81,$C47,S14_Growth_Model_ExAnte!$T$15:$T$81)/COUNTIF(S14_Growth_Model_ExAnte!$AZ$15:$AZ$81,$C47),0))))*$O47*S08_Defaults!$B$6*(1+S08_Defaults!$B$7)*S08_Defaults!$B$8</x:f>
        <x:v>56.73940749069144</x:v>
      </x:c>
      <x:c r="AH47" s="115" t="n">
        <x:f aca="0">(IF($K47&gt;=2,SUMIF(S14_Growth_Model_ExAnte!$C$15:$C$81,$B47,S14_Growth_Model_ExAnte!$U$15:$U$81)/$K47,IF($L47&gt;=2,SUMIF(S14_Growth_Model_ExAnte!$AY$15:$AY$81,$C47&amp;"|"&amp;$D47,S14_Growth_Model_ExAnte!$U$15:$U$81)/$L47,IF(COUNTIF(S14_Growth_Model_ExAnte!$AZ$15:$AZ$81,$C47)&gt;0,SUMIF(S14_Growth_Model_ExAnte!$AZ$15:$AZ$81,$C47,S14_Growth_Model_ExAnte!$U$15:$U$81)/COUNTIF(S14_Growth_Model_ExAnte!$AZ$15:$AZ$81,$C47),0))))*$O47*S08_Defaults!$B$6*(1+S08_Defaults!$B$7)*S08_Defaults!$B$8</x:f>
        <x:v>65.09050604602129</x:v>
      </x:c>
      <x:c r="AI47" s="115" t="n">
        <x:f aca="0">(IF($K47&gt;=2,SUMIF(S14_Growth_Model_ExAnte!$C$15:$C$81,$B47,S14_Growth_Model_ExAnte!$V$15:$V$81)/$K47,IF($L47&gt;=2,SUMIF(S14_Growth_Model_ExAnte!$AY$15:$AY$81,$C47&amp;"|"&amp;$D47,S14_Growth_Model_ExAnte!$V$15:$V$81)/$L47,IF(COUNTIF(S14_Growth_Model_ExAnte!$AZ$15:$AZ$81,$C47)&gt;0,SUMIF(S14_Growth_Model_ExAnte!$AZ$15:$AZ$81,$C47,S14_Growth_Model_ExAnte!$V$15:$V$81)/COUNTIF(S14_Growth_Model_ExAnte!$AZ$15:$AZ$81,$C47),0))))*$O47*S08_Defaults!$B$6*(1+S08_Defaults!$B$7)*S08_Defaults!$B$8</x:f>
        <x:v>73.07797761375203</x:v>
      </x:c>
      <x:c r="AJ47" s="115" t="n">
        <x:f aca="0">(IF($K47&gt;=2,SUMIF(S14_Growth_Model_ExAnte!$C$15:$C$81,$B47,S14_Growth_Model_ExAnte!$W$15:$W$81)/$K47,IF($L47&gt;=2,SUMIF(S14_Growth_Model_ExAnte!$AY$15:$AY$81,$C47&amp;"|"&amp;$D47,S14_Growth_Model_ExAnte!$W$15:$W$81)/$L47,IF(COUNTIF(S14_Growth_Model_ExAnte!$AZ$15:$AZ$81,$C47)&gt;0,SUMIF(S14_Growth_Model_ExAnte!$AZ$15:$AZ$81,$C47,S14_Growth_Model_ExAnte!$W$15:$W$81)/COUNTIF(S14_Growth_Model_ExAnte!$AZ$15:$AZ$81,$C47),0))))*$O47*S08_Defaults!$B$6*(1+S08_Defaults!$B$7)*S08_Defaults!$B$8</x:f>
        <x:v>80.6125574125609</x:v>
      </x:c>
      <x:c r="AK47" s="115" t="n">
        <x:f aca="0">(IF($K47&gt;=2,SUMIF(S14_Growth_Model_ExAnte!$C$15:$C$81,$B47,S14_Growth_Model_ExAnte!$X$15:$X$81)/$K47,IF($L47&gt;=2,SUMIF(S14_Growth_Model_ExAnte!$AY$15:$AY$81,$C47&amp;"|"&amp;$D47,S14_Growth_Model_ExAnte!$X$15:$X$81)/$L47,IF(COUNTIF(S14_Growth_Model_ExAnte!$AZ$15:$AZ$81,$C47)&gt;0,SUMIF(S14_Growth_Model_ExAnte!$AZ$15:$AZ$81,$C47,S14_Growth_Model_ExAnte!$X$15:$X$81)/COUNTIF(S14_Growth_Model_ExAnte!$AZ$15:$AZ$81,$C47),0))))*$O47*S08_Defaults!$B$6*(1+S08_Defaults!$B$7)*S08_Defaults!$B$8</x:f>
        <x:v>87.64023262313314</x:v>
      </x:c>
      <x:c r="AL47" s="115" t="n">
        <x:f aca="0">(IF($K47&gt;=2,SUMIF(S14_Growth_Model_ExAnte!$C$15:$C$81,$B47,S14_Growth_Model_ExAnte!$Y$15:$Y$81)/$K47,IF($L47&gt;=2,SUMIF(S14_Growth_Model_ExAnte!$AY$15:$AY$81,$C47&amp;"|"&amp;$D47,S14_Growth_Model_ExAnte!$Y$15:$Y$81)/$L47,IF(COUNTIF(S14_Growth_Model_ExAnte!$AZ$15:$AZ$81,$C47)&gt;0,SUMIF(S14_Growth_Model_ExAnte!$AZ$15:$AZ$81,$C47,S14_Growth_Model_ExAnte!$Y$15:$Y$81)/COUNTIF(S14_Growth_Model_ExAnte!$AZ$15:$AZ$81,$C47),0))))*$O47*S08_Defaults!$B$6*(1+S08_Defaults!$B$7)*S08_Defaults!$B$8</x:f>
        <x:v>94.13475185567395</x:v>
      </x:c>
      <x:c r="AM47" s="115" t="n">
        <x:f aca="0">R47</x:f>
        <x:v>0</x:v>
      </x:c>
      <x:c r="AN47" s="115" t="n">
        <x:f aca="0">S47-R47</x:f>
        <x:v>0</x:v>
      </x:c>
      <x:c r="AO47" s="115" t="n">
        <x:f aca="0">T47-S47</x:f>
        <x:v>0</x:v>
      </x:c>
      <x:c r="AP47" s="115" t="n">
        <x:f aca="0">U47-T47</x:f>
        <x:v>0</x:v>
      </x:c>
      <x:c r="AQ47" s="115" t="n">
        <x:f aca="0">V47-U47</x:f>
        <x:v>0</x:v>
      </x:c>
      <x:c r="AR47" s="115" t="n">
        <x:f aca="0">W47-V47</x:f>
        <x:v>0.046254888411774796</x:v>
      </x:c>
      <x:c r="AS47" s="115" t="n">
        <x:f aca="0">X47-W47</x:f>
        <x:v>0.5135326153513792</x:v>
      </x:c>
      <x:c r="AT47" s="115" t="n">
        <x:f aca="0">Y47-X47</x:f>
        <x:v>1.5927743919418114</x:v>
      </x:c>
      <x:c r="AU47" s="115" t="n">
        <x:f aca="0">Z47-Y47</x:f>
        <x:v>3.079394153568281</x:v>
      </x:c>
      <x:c r="AV47" s="115" t="n">
        <x:f aca="0">AA47-Z47</x:f>
        <x:v>4.641675128574906</x:v>
      </x:c>
      <x:c r="AW47" s="115" t="n">
        <x:f aca="0">AB47-AA47</x:f>
        <x:v>6.05170380141146</x:v>
      </x:c>
      <x:c r="AX47" s="115" t="n">
        <x:f aca="0">AC47-AB47</x:f>
        <x:v>7.178566502392053</x:v>
      </x:c>
      <x:c r="AY47" s="115" t="n">
        <x:f aca="0">AD47-AC47</x:f>
        <x:v>7.974455659201723</x:v>
      </x:c>
      <x:c r="AZ47" s="115" t="n">
        <x:f aca="0">AE47-AD47</x:f>
        <x:v>8.44641602327464</x:v>
      </x:c>
      <x:c r="BA47" s="115" t="n">
        <x:f aca="0">AF47-AE47</x:f>
        <x:v>8.632106044841969</x:v>
      </x:c>
      <x:c r="BB47" s="115" t="n">
        <x:f aca="0">AG47-AF47</x:f>
        <x:v>8.582528281721444</x:v>
      </x:c>
      <x:c r="BC47" s="115" t="n">
        <x:f aca="0">AH47-AG47</x:f>
        <x:v>8.351098555329848</x:v>
      </x:c>
      <x:c r="BD47" s="115" t="n">
        <x:f aca="0">AI47-AH47</x:f>
        <x:v>7.987471567730736</x:v>
      </x:c>
      <x:c r="BE47" s="115" t="n">
        <x:f aca="0">AJ47-AI47</x:f>
        <x:v>7.534579798808878</x:v>
      </x:c>
      <x:c r="BF47" s="115" t="n">
        <x:f aca="0">AK47-AJ47</x:f>
        <x:v>7.027675210572241</x:v>
      </x:c>
      <x:c r="BG47" s="115" t="n">
        <x:f aca="0">AL47-AK47</x:f>
        <x:v>6.49451923254081</x:v>
      </x:c>
    </x:row>
    <x:row r="48" ht="15" hidden="0" customHeight="1">
      <x:c r="A48" s="160" t="str">
        <x:f aca="0">"S"&amp;TEXT(ROW()-3,"00")</x:f>
        <x:v>S45</x:v>
      </x:c>
      <x:c r="B48" s="161" t="s">
        <x:v>699</x:v>
      </x:c>
      <x:c r="C48" s="160" t="str">
        <x:f aca="0">LEFT($B48,FIND("|",$B48)-1)</x:f>
        <x:v>Timber Plantation</x:v>
      </x:c>
      <x:c r="D48" s="160" t="str">
        <x:f aca="0">MID($B48,FIND("|",$B48)+1,FIND("|",$B48,FIND("|",$B48)+1)-FIND("|",$B48)-1)</x:f>
        <x:v>Medium</x:v>
      </x:c>
      <x:c r="E48" s="160" t="n">
        <x:f aca="0">VALUE(RIGHT($B48,4))</x:f>
        <x:v>2024</x:v>
      </x:c>
      <x:c r="F48" s="115" t="n">
        <x:f aca="0">SUMIF(S17_Biome_Strata!$G$4:$G$95,$B48,S17_Biome_Strata!$E$4:$E$95)</x:f>
        <x:v>2</x:v>
      </x:c>
      <x:c r="G48" s="115" t="n">
        <x:f aca="0">SUMIF(S17_Biome_Strata!$G$4:$G$95,$B48,S17_Biome_Strata!$F$4:$F$95)</x:f>
        <x:v>1.0587</x:v>
      </x:c>
      <x:c r="H48" s="115" t="n">
        <x:f aca="0">IF($K48&gt;=2,SUMIF(S14_Growth_Model_ExAnte!$C$15:$C$81,$B48,S14_Growth_Model_ExAnte!$K$15:$K$81)/$K48,IF($L48&gt;=2,SUMIF(S14_Growth_Model_ExAnte!$AY$15:$AY$81,$C48&amp;"|"&amp;$D48,S14_Growth_Model_ExAnte!$K$15:$K$81)/$L48,IF(COUNTIF(S14_Growth_Model_ExAnte!$AZ$15:$AZ$81,$C48)&gt;0,SUMIF(S14_Growth_Model_ExAnte!$AZ$15:$AZ$81,$C48,S14_Growth_Model_ExAnte!$K$15:$K$81)/COUNTIF(S14_Growth_Model_ExAnte!$AZ$15:$AZ$81,$C48),0)))</x:f>
        <x:v>13.65463180224615</x:v>
      </x:c>
      <x:c r="I48" s="115" t="n">
        <x:f aca="0">IF($K48&gt;=2,SQRT(MAX(0,(SUMIF(S14_Growth_Model_ExAnte!$C$15:$C$81,$B48,S14_Growth_Model_ExAnte!$BC$15:$BC$81)-SUMIF(S14_Growth_Model_ExAnte!$C$15:$C$81,$B48,S14_Growth_Model_ExAnte!$K$15:$K$81)*SUMIF(S14_Growth_Model_ExAnte!$C$15:$C$81,$B48,S14_Growth_Model_ExAnte!$K$15:$K$81)/$K48)/($K48-1))),IF($L48&gt;=2,SQRT(MAX(0,(SUMIF(S14_Growth_Model_ExAnte!$AY$15:$AY$81,$C48&amp;"|"&amp;$D48,S14_Growth_Model_ExAnte!$BC$15:$BC$81)-SUMIF(S14_Growth_Model_ExAnte!$AY$15:$AY$81,$C48&amp;"|"&amp;$D48,S14_Growth_Model_ExAnte!$K$15:$K$81)*SUMIF(S14_Growth_Model_ExAnte!$AY$15:$AY$81,$C48&amp;"|"&amp;$D48,S14_Growth_Model_ExAnte!$K$15:$K$81)/$L48)/($L48-1))),IF(COUNTIF(S14_Growth_Model_ExAnte!$AZ$15:$AZ$81,$C48)&gt;=2,SQRT(MAX(0,(SUMIF(S14_Growth_Model_ExAnte!$AZ$15:$AZ$81,$C48,S14_Growth_Model_ExAnte!$BC$15:$BC$81)-SUMIF(S14_Growth_Model_ExAnte!$AZ$15:$AZ$81,$C48,S14_Growth_Model_ExAnte!$K$15:$K$81)*SUMIF(S14_Growth_Model_ExAnte!$AZ$15:$AZ$81,$C48,S14_Growth_Model_ExAnte!$K$15:$K$81)/COUNTIF(S14_Growth_Model_ExAnte!$AZ$15:$AZ$81,$C48))/(COUNTIF(S14_Growth_Model_ExAnte!$AZ$15:$AZ$81,$C48)-1))),0)))</x:f>
        <x:v>11.395156852308371</x:v>
      </x:c>
      <x:c r="J48" s="115" t="n">
        <x:f aca="0">IFERROR(I48/H48,0)</x:f>
        <x:v>0.8345268490091324</x:v>
      </x:c>
      <x:c r="K48" s="115" t="n">
        <x:f aca="0">COUNTIF(S14_Growth_Model_ExAnte!$C$15:$C$81,$B48)</x:f>
        <x:v>1</x:v>
      </x:c>
      <x:c r="L48" s="115" t="n">
        <x:f aca="0">COUNTIF(S14_Growth_Model_ExAnte!$AY$15:$AY$81,$C48&amp;"|"&amp;$D48)</x:f>
        <x:v>13</x:v>
      </x:c>
      <x:c r="M48" s="115" t="n">
        <x:f aca="0">$H48</x:f>
        <x:v>13.65463180224615</x:v>
      </x:c>
      <x:c r="N48" s="115" t="n">
        <x:f aca="0">MAX(0,$M48*S08_Defaults!$B$5)</x:f>
        <x:v>10.240973851684613</x:v>
      </x:c>
      <x:c r="O48" s="115" t="n">
        <x:f aca="0">IFERROR($N48/$M48,0)</x:f>
        <x:v>0.75</x:v>
      </x:c>
      <x:c r="P48" s="115" t="str">
        <x:f aca="0">IF($K48&gt;=2,"Exact Stratum PSP Chapman-Richards curve",IF($L48&gt;=2,"Model×Density pooled Chapman-Richards curve","Model pooled Chapman-Richards curve"))</x:f>
        <x:v>Model×Density pooled Chapman-Richards curve</x:v>
      </x:c>
      <x:c r="Q48" s="162" t="s">
        <x:v>1106</x:v>
      </x:c>
      <x:c r="R48" s="115" t="n">
        <x:f aca="0">0</x:f>
        <x:v>0</x:v>
      </x:c>
      <x:c r="S48" s="115" t="n">
        <x:f aca="0">0</x:f>
        <x:v>0</x:v>
      </x:c>
      <x:c r="T48" s="115" t="n">
        <x:f aca="0">0</x:f>
        <x:v>0</x:v>
      </x:c>
      <x:c r="U48" s="115" t="n">
        <x:f aca="0">0</x:f>
        <x:v>0</x:v>
      </x:c>
      <x:c r="V48" s="115" t="n">
        <x:f aca="0">(IF($K48&gt;=2,SUMIF(S14_Growth_Model_ExAnte!$C$15:$C$81,$B48,S14_Growth_Model_ExAnte!$I$15:$I$81)/$K48,IF($L48&gt;=2,SUMIF(S14_Growth_Model_ExAnte!$AY$15:$AY$81,$C48&amp;"|"&amp;$D48,S14_Growth_Model_ExAnte!$I$15:$I$81)/$L48,IF(COUNTIF(S14_Growth_Model_ExAnte!$AZ$15:$AZ$81,$C48)&gt;0,SUMIF(S14_Growth_Model_ExAnte!$AZ$15:$AZ$81,$C48,S14_Growth_Model_ExAnte!$I$15:$I$81)/COUNTIF(S14_Growth_Model_ExAnte!$AZ$15:$AZ$81,$C48),0))))*$O48*S08_Defaults!$B$6*(1+S08_Defaults!$B$7)*S08_Defaults!$B$8</x:f>
        <x:v>0</x:v>
      </x:c>
      <x:c r="W48" s="115" t="n">
        <x:f aca="0">(IF($K48&gt;=2,SUMIF(S14_Growth_Model_ExAnte!$C$15:$C$81,$B48,S14_Growth_Model_ExAnte!$J$15:$J$81)/$K48,IF($L48&gt;=2,SUMIF(S14_Growth_Model_ExAnte!$AY$15:$AY$81,$C48&amp;"|"&amp;$D48,S14_Growth_Model_ExAnte!$J$15:$J$81)/$L48,IF(COUNTIF(S14_Growth_Model_ExAnte!$AZ$15:$AZ$81,$C48)&gt;0,SUMIF(S14_Growth_Model_ExAnte!$AZ$15:$AZ$81,$C48,S14_Growth_Model_ExAnte!$J$15:$J$81)/COUNTIF(S14_Growth_Model_ExAnte!$AZ$15:$AZ$81,$C48),0))))*$O48*S08_Defaults!$B$6*(1+S08_Defaults!$B$7)*S08_Defaults!$B$8</x:f>
        <x:v>2.2520589423441217</x:v>
      </x:c>
      <x:c r="X48" s="115" t="n">
        <x:f aca="0">(IF($K48&gt;=2,SUMIF(S14_Growth_Model_ExAnte!$C$15:$C$81,$B48,S14_Growth_Model_ExAnte!$K$15:$K$81)/$K48,IF($L48&gt;=2,SUMIF(S14_Growth_Model_ExAnte!$AY$15:$AY$81,$C48&amp;"|"&amp;$D48,S14_Growth_Model_ExAnte!$K$15:$K$81)/$L48,IF(COUNTIF(S14_Growth_Model_ExAnte!$AZ$15:$AZ$81,$C48)&gt;0,SUMIF(S14_Growth_Model_ExAnte!$AZ$15:$AZ$81,$C48,S14_Growth_Model_ExAnte!$K$15:$K$81)/COUNTIF(S14_Growth_Model_ExAnte!$AZ$15:$AZ$81,$C48),0))))*$O48*S08_Defaults!$B$6*(1+S08_Defaults!$B$7)*S08_Defaults!$B$8</x:f>
        <x:v>21.884278389459922</x:v>
      </x:c>
      <x:c r="Y48" s="115" t="n">
        <x:f aca="0">(IF($K48&gt;=2,SUMIF(S14_Growth_Model_ExAnte!$C$15:$C$81,$B48,S14_Growth_Model_ExAnte!$L$15:$L$81)/$K48,IF($L48&gt;=2,SUMIF(S14_Growth_Model_ExAnte!$AY$15:$AY$81,$C48&amp;"|"&amp;$D48,S14_Growth_Model_ExAnte!$L$15:$L$81)/$L48,IF(COUNTIF(S14_Growth_Model_ExAnte!$AZ$15:$AZ$81,$C48)&gt;0,SUMIF(S14_Growth_Model_ExAnte!$AZ$15:$AZ$81,$C48,S14_Growth_Model_ExAnte!$L$15:$L$81)/COUNTIF(S14_Growth_Model_ExAnte!$AZ$15:$AZ$81,$C48),0))))*$O48*S08_Defaults!$B$6*(1+S08_Defaults!$B$7)*S08_Defaults!$B$8</x:f>
        <x:v>74.1459318561935</x:v>
      </x:c>
      <x:c r="Z48" s="115" t="n">
        <x:f aca="0">(IF($K48&gt;=2,SUMIF(S14_Growth_Model_ExAnte!$C$15:$C$81,$B48,S14_Growth_Model_ExAnte!$M$15:$M$81)/$K48,IF($L48&gt;=2,SUMIF(S14_Growth_Model_ExAnte!$AY$15:$AY$81,$C48&amp;"|"&amp;$D48,S14_Growth_Model_ExAnte!$M$15:$M$81)/$L48,IF(COUNTIF(S14_Growth_Model_ExAnte!$AZ$15:$AZ$81,$C48)&gt;0,SUMIF(S14_Growth_Model_ExAnte!$AZ$15:$AZ$81,$C48,S14_Growth_Model_ExAnte!$M$15:$M$81)/COUNTIF(S14_Growth_Model_ExAnte!$AZ$15:$AZ$81,$C48),0))))*$O48*S08_Defaults!$B$6*(1+S08_Defaults!$B$7)*S08_Defaults!$B$8</x:f>
        <x:v>165.0053198897656</x:v>
      </x:c>
      <x:c r="AA48" s="115" t="n">
        <x:f aca="0">(IF($K48&gt;=2,SUMIF(S14_Growth_Model_ExAnte!$C$15:$C$81,$B48,S14_Growth_Model_ExAnte!$N$15:$N$81)/$K48,IF($L48&gt;=2,SUMIF(S14_Growth_Model_ExAnte!$AY$15:$AY$81,$C48&amp;"|"&amp;$D48,S14_Growth_Model_ExAnte!$N$15:$N$81)/$L48,IF(COUNTIF(S14_Growth_Model_ExAnte!$AZ$15:$AZ$81,$C48)&gt;0,SUMIF(S14_Growth_Model_ExAnte!$AZ$15:$AZ$81,$C48,S14_Growth_Model_ExAnte!$N$15:$N$81)/COUNTIF(S14_Growth_Model_ExAnte!$AZ$15:$AZ$81,$C48),0))))*$O48*S08_Defaults!$B$6*(1+S08_Defaults!$B$7)*S08_Defaults!$B$8</x:f>
        <x:v>291.19678663723766</x:v>
      </x:c>
      <x:c r="AB48" s="115" t="n">
        <x:f aca="0">(IF($K48&gt;=2,SUMIF(S14_Growth_Model_ExAnte!$C$15:$C$81,$B48,S14_Growth_Model_ExAnte!$O$15:$O$81)/$K48,IF($L48&gt;=2,SUMIF(S14_Growth_Model_ExAnte!$AY$15:$AY$81,$C48&amp;"|"&amp;$D48,S14_Growth_Model_ExAnte!$O$15:$O$81)/$L48,IF(COUNTIF(S14_Growth_Model_ExAnte!$AZ$15:$AZ$81,$C48)&gt;0,SUMIF(S14_Growth_Model_ExAnte!$AZ$15:$AZ$81,$C48,S14_Growth_Model_ExAnte!$O$15:$O$81)/COUNTIF(S14_Growth_Model_ExAnte!$AZ$15:$AZ$81,$C48),0))))*$O48*S08_Defaults!$B$6*(1+S08_Defaults!$B$7)*S08_Defaults!$B$8</x:f>
        <x:v>445.1389074933852</x:v>
      </x:c>
      <x:c r="AC48" s="115" t="n">
        <x:f aca="0">(IF($K48&gt;=2,SUMIF(S14_Growth_Model_ExAnte!$C$15:$C$81,$B48,S14_Growth_Model_ExAnte!$P$15:$P$81)/$K48,IF($L48&gt;=2,SUMIF(S14_Growth_Model_ExAnte!$AY$15:$AY$81,$C48&amp;"|"&amp;$D48,S14_Growth_Model_ExAnte!$P$15:$P$81)/$L48,IF(COUNTIF(S14_Growth_Model_ExAnte!$AZ$15:$AZ$81,$C48)&gt;0,SUMIF(S14_Growth_Model_ExAnte!$AZ$15:$AZ$81,$C48,S14_Growth_Model_ExAnte!$P$15:$P$81)/COUNTIF(S14_Growth_Model_ExAnte!$AZ$15:$AZ$81,$C48),0))))*$O48*S08_Defaults!$B$6*(1+S08_Defaults!$B$7)*S08_Defaults!$B$8</x:f>
        <x:v>617.7733770743615</x:v>
      </x:c>
      <x:c r="AD48" s="115" t="n">
        <x:f aca="0">(IF($K48&gt;=2,SUMIF(S14_Growth_Model_ExAnte!$C$15:$C$81,$B48,S14_Growth_Model_ExAnte!$Q$15:$Q$81)/$K48,IF($L48&gt;=2,SUMIF(S14_Growth_Model_ExAnte!$AY$15:$AY$81,$C48&amp;"|"&amp;$D48,S14_Growth_Model_ExAnte!$Q$15:$Q$81)/$L48,IF(COUNTIF(S14_Growth_Model_ExAnte!$AZ$15:$AZ$81,$C48)&gt;0,SUMIF(S14_Growth_Model_ExAnte!$AZ$15:$AZ$81,$C48,S14_Growth_Model_ExAnte!$Q$15:$Q$81)/COUNTIF(S14_Growth_Model_ExAnte!$AZ$15:$AZ$81,$C48),0))))*$O48*S08_Defaults!$B$6*(1+S08_Defaults!$B$7)*S08_Defaults!$B$8</x:f>
        <x:v>800.4264115035201</x:v>
      </x:c>
      <x:c r="AE48" s="115" t="n">
        <x:f aca="0">(IF($K48&gt;=2,SUMIF(S14_Growth_Model_ExAnte!$C$15:$C$81,$B48,S14_Growth_Model_ExAnte!$R$15:$R$81)/$K48,IF($L48&gt;=2,SUMIF(S14_Growth_Model_ExAnte!$AY$15:$AY$81,$C48&amp;"|"&amp;$D48,S14_Growth_Model_ExAnte!$R$15:$R$81)/$L48,IF(COUNTIF(S14_Growth_Model_ExAnte!$AZ$15:$AZ$81,$C48)&gt;0,SUMIF(S14_Growth_Model_ExAnte!$AZ$15:$AZ$81,$C48,S14_Growth_Model_ExAnte!$R$15:$R$81)/COUNTIF(S14_Growth_Model_ExAnte!$AZ$15:$AZ$81,$C48),0))))*$O48*S08_Defaults!$B$6*(1+S08_Defaults!$B$7)*S08_Defaults!$B$8</x:f>
        <x:v>985.7279908298748</x:v>
      </x:c>
      <x:c r="AF48" s="115" t="n">
        <x:f aca="0">(IF($K48&gt;=2,SUMIF(S14_Growth_Model_ExAnte!$C$15:$C$81,$B48,S14_Growth_Model_ExAnte!$S$15:$S$81)/$K48,IF($L48&gt;=2,SUMIF(S14_Growth_Model_ExAnte!$AY$15:$AY$81,$C48&amp;"|"&amp;$D48,S14_Growth_Model_ExAnte!$S$15:$S$81)/$L48,IF(COUNTIF(S14_Growth_Model_ExAnte!$AZ$15:$AZ$81,$C48)&gt;0,SUMIF(S14_Growth_Model_ExAnte!$AZ$15:$AZ$81,$C48,S14_Growth_Model_ExAnte!$S$15:$S$81)/COUNTIF(S14_Growth_Model_ExAnte!$AZ$15:$AZ$81,$C48),0))))*$O48*S08_Defaults!$B$6*(1+S08_Defaults!$B$7)*S08_Defaults!$B$8</x:f>
        <x:v>1167.9219098726983</x:v>
      </x:c>
      <x:c r="AG48" s="115" t="n">
        <x:f aca="0">(IF($K48&gt;=2,SUMIF(S14_Growth_Model_ExAnte!$C$15:$C$81,$B48,S14_Growth_Model_ExAnte!$T$15:$T$81)/$K48,IF($L48&gt;=2,SUMIF(S14_Growth_Model_ExAnte!$AY$15:$AY$81,$C48&amp;"|"&amp;$D48,S14_Growth_Model_ExAnte!$T$15:$T$81)/$L48,IF(COUNTIF(S14_Growth_Model_ExAnte!$AZ$15:$AZ$81,$C48)&gt;0,SUMIF(S14_Growth_Model_ExAnte!$AZ$15:$AZ$81,$C48,S14_Growth_Model_ExAnte!$T$15:$T$81)/COUNTIF(S14_Growth_Model_ExAnte!$AZ$15:$AZ$81,$C48),0))))*$O48*S08_Defaults!$B$6*(1+S08_Defaults!$B$7)*S08_Defaults!$B$8</x:f>
        <x:v>1342.832010122195</x:v>
      </x:c>
      <x:c r="AH48" s="115" t="n">
        <x:f aca="0">(IF($K48&gt;=2,SUMIF(S14_Growth_Model_ExAnte!$C$15:$C$81,$B48,S14_Growth_Model_ExAnte!$U$15:$U$81)/$K48,IF($L48&gt;=2,SUMIF(S14_Growth_Model_ExAnte!$AY$15:$AY$81,$C48&amp;"|"&amp;$D48,S14_Growth_Model_ExAnte!$U$15:$U$81)/$L48,IF(COUNTIF(S14_Growth_Model_ExAnte!$AZ$15:$AZ$81,$C48)&gt;0,SUMIF(S14_Growth_Model_ExAnte!$AZ$15:$AZ$81,$C48,S14_Growth_Model_ExAnte!$U$15:$U$81)/COUNTIF(S14_Growth_Model_ExAnte!$AZ$15:$AZ$81,$C48),0))))*$O48*S08_Defaults!$B$6*(1+S08_Defaults!$B$7)*S08_Defaults!$B$8</x:f>
        <x:v>1507.6627401484152</x:v>
      </x:c>
      <x:c r="AI48" s="115" t="n">
        <x:f aca="0">(IF($K48&gt;=2,SUMIF(S14_Growth_Model_ExAnte!$C$15:$C$81,$B48,S14_Growth_Model_ExAnte!$V$15:$V$81)/$K48,IF($L48&gt;=2,SUMIF(S14_Growth_Model_ExAnte!$AY$15:$AY$81,$C48&amp;"|"&amp;$D48,S14_Growth_Model_ExAnte!$V$15:$V$81)/$L48,IF(COUNTIF(S14_Growth_Model_ExAnte!$AZ$15:$AZ$81,$C48)&gt;0,SUMIF(S14_Growth_Model_ExAnte!$AZ$15:$AZ$81,$C48,S14_Growth_Model_ExAnte!$V$15:$V$81)/COUNTIF(S14_Growth_Model_ExAnte!$AZ$15:$AZ$81,$C48),0))))*$O48*S08_Defaults!$B$6*(1+S08_Defaults!$B$7)*S08_Defaults!$B$8</x:f>
        <x:v>1660.7415223375106</x:v>
      </x:c>
      <x:c r="AJ48" s="115" t="n">
        <x:f aca="0">(IF($K48&gt;=2,SUMIF(S14_Growth_Model_ExAnte!$C$15:$C$81,$B48,S14_Growth_Model_ExAnte!$W$15:$W$81)/$K48,IF($L48&gt;=2,SUMIF(S14_Growth_Model_ExAnte!$AY$15:$AY$81,$C48&amp;"|"&amp;$D48,S14_Growth_Model_ExAnte!$W$15:$W$81)/$L48,IF(COUNTIF(S14_Growth_Model_ExAnte!$AZ$15:$AZ$81,$C48)&gt;0,SUMIF(S14_Growth_Model_ExAnte!$AZ$15:$AZ$81,$C48,S14_Growth_Model_ExAnte!$W$15:$W$81)/COUNTIF(S14_Growth_Model_ExAnte!$AZ$15:$AZ$81,$C48),0))))*$O48*S08_Defaults!$B$6*(1+S08_Defaults!$B$7)*S08_Defaults!$B$8</x:f>
        <x:v>1801.2616538174398</x:v>
      </x:c>
      <x:c r="AK48" s="115" t="n">
        <x:f aca="0">(IF($K48&gt;=2,SUMIF(S14_Growth_Model_ExAnte!$C$15:$C$81,$B48,S14_Growth_Model_ExAnte!$X$15:$X$81)/$K48,IF($L48&gt;=2,SUMIF(S14_Growth_Model_ExAnte!$AY$15:$AY$81,$C48&amp;"|"&amp;$D48,S14_Growth_Model_ExAnte!$X$15:$X$81)/$L48,IF(COUNTIF(S14_Growth_Model_ExAnte!$AZ$15:$AZ$81,$C48)&gt;0,SUMIF(S14_Growth_Model_ExAnte!$AZ$15:$AZ$81,$C48,S14_Growth_Model_ExAnte!$X$15:$X$81)/COUNTIF(S14_Growth_Model_ExAnte!$AZ$15:$AZ$81,$C48),0))))*$O48*S08_Defaults!$B$6*(1+S08_Defaults!$B$7)*S08_Defaults!$B$8</x:f>
        <x:v>1929.0538362337986</x:v>
      </x:c>
      <x:c r="AL48" s="115" t="n">
        <x:f aca="0">(IF($K48&gt;=2,SUMIF(S14_Growth_Model_ExAnte!$C$15:$C$81,$B48,S14_Growth_Model_ExAnte!$Y$15:$Y$81)/$K48,IF($L48&gt;=2,SUMIF(S14_Growth_Model_ExAnte!$AY$15:$AY$81,$C48&amp;"|"&amp;$D48,S14_Growth_Model_ExAnte!$Y$15:$Y$81)/$L48,IF(COUNTIF(S14_Growth_Model_ExAnte!$AZ$15:$AZ$81,$C48)&gt;0,SUMIF(S14_Growth_Model_ExAnte!$AZ$15:$AZ$81,$C48,S14_Growth_Model_ExAnte!$Y$15:$Y$81)/COUNTIF(S14_Growth_Model_ExAnte!$AZ$15:$AZ$81,$C48),0))))*$O48*S08_Defaults!$B$6*(1+S08_Defaults!$B$7)*S08_Defaults!$B$8</x:f>
        <x:v>2044.3965731837293</x:v>
      </x:c>
      <x:c r="AM48" s="115" t="n">
        <x:f aca="0">R48</x:f>
        <x:v>0</x:v>
      </x:c>
      <x:c r="AN48" s="115" t="n">
        <x:f aca="0">S48-R48</x:f>
        <x:v>0</x:v>
      </x:c>
      <x:c r="AO48" s="115" t="n">
        <x:f aca="0">T48-S48</x:f>
        <x:v>0</x:v>
      </x:c>
      <x:c r="AP48" s="115" t="n">
        <x:f aca="0">U48-T48</x:f>
        <x:v>0</x:v>
      </x:c>
      <x:c r="AQ48" s="115" t="n">
        <x:f aca="0">V48-U48</x:f>
        <x:v>0</x:v>
      </x:c>
      <x:c r="AR48" s="115" t="n">
        <x:f aca="0">W48-V48</x:f>
        <x:v>2.2520589423441217</x:v>
      </x:c>
      <x:c r="AS48" s="115" t="n">
        <x:f aca="0">X48-W48</x:f>
        <x:v>19.6322194471158</x:v>
      </x:c>
      <x:c r="AT48" s="115" t="n">
        <x:f aca="0">Y48-X48</x:f>
        <x:v>52.26165346673358</x:v>
      </x:c>
      <x:c r="AU48" s="115" t="n">
        <x:f aca="0">Z48-Y48</x:f>
        <x:v>90.85938803357209</x:v>
      </x:c>
      <x:c r="AV48" s="115" t="n">
        <x:f aca="0">AA48-Z48</x:f>
        <x:v>126.19146674747208</x:v>
      </x:c>
      <x:c r="AW48" s="115" t="n">
        <x:f aca="0">AB48-AA48</x:f>
        <x:v>153.94212085614754</x:v>
      </x:c>
      <x:c r="AX48" s="115" t="n">
        <x:f aca="0">AC48-AB48</x:f>
        <x:v>172.63446958097632</x:v>
      </x:c>
      <x:c r="AY48" s="115" t="n">
        <x:f aca="0">AD48-AC48</x:f>
        <x:v>182.65303442915854</x:v>
      </x:c>
      <x:c r="AZ48" s="115" t="n">
        <x:f aca="0">AE48-AD48</x:f>
        <x:v>185.30157932635473</x:v>
      </x:c>
      <x:c r="BA48" s="115" t="n">
        <x:f aca="0">AF48-AE48</x:f>
        <x:v>182.1939190428235</x:v>
      </x:c>
      <x:c r="BB48" s="115" t="n">
        <x:f aca="0">AG48-AF48</x:f>
        <x:v>174.91010024949674</x:v>
      </x:c>
      <x:c r="BC48" s="115" t="n">
        <x:f aca="0">AH48-AG48</x:f>
        <x:v>164.83073002622018</x:v>
      </x:c>
      <x:c r="BD48" s="115" t="n">
        <x:f aca="0">AI48-AH48</x:f>
        <x:v>153.07878218909536</x:v>
      </x:c>
      <x:c r="BE48" s="115" t="n">
        <x:f aca="0">AJ48-AI48</x:f>
        <x:v>140.5201314799292</x:v>
      </x:c>
      <x:c r="BF48" s="115" t="n">
        <x:f aca="0">AK48-AJ48</x:f>
        <x:v>127.79218241635886</x:v>
      </x:c>
      <x:c r="BG48" s="115" t="n">
        <x:f aca="0">AL48-AK48</x:f>
        <x:v>115.34273694993067</x:v>
      </x:c>
    </x:row>
    <x:row r="49" ht="15" hidden="0" customHeight="1">
      <x:c r="A49" s="160" t="str">
        <x:f aca="0">"S"&amp;TEXT(ROW()-3,"00")</x:f>
        <x:v>S46</x:v>
      </x:c>
      <x:c r="B49" s="161" t="s">
        <x:v>626</x:v>
      </x:c>
      <x:c r="C49" s="160" t="str">
        <x:f aca="0">LEFT($B49,FIND("|",$B49)-1)</x:f>
        <x:v>Horti-Silviculture</x:v>
      </x:c>
      <x:c r="D49" s="160" t="str">
        <x:f aca="0">MID($B49,FIND("|",$B49)+1,FIND("|",$B49,FIND("|",$B49)+1)-FIND("|",$B49)-1)</x:f>
        <x:v>Low</x:v>
      </x:c>
      <x:c r="E49" s="160" t="n">
        <x:f aca="0">VALUE(RIGHT($B49,4))</x:f>
        <x:v>2024</x:v>
      </x:c>
      <x:c r="F49" s="115" t="n">
        <x:f aca="0">SUMIF(S17_Biome_Strata!$G$4:$G$95,$B49,S17_Biome_Strata!$E$4:$E$95)</x:f>
        <x:v>1</x:v>
      </x:c>
      <x:c r="G49" s="115" t="n">
        <x:f aca="0">SUMIF(S17_Biome_Strata!$G$4:$G$95,$B49,S17_Biome_Strata!$F$4:$F$95)</x:f>
        <x:v>1.6662</x:v>
      </x:c>
      <x:c r="H49" s="115" t="n">
        <x:f aca="0">IF($K49&gt;=2,SUMIF(S14_Growth_Model_ExAnte!$C$15:$C$81,$B49,S14_Growth_Model_ExAnte!$K$15:$K$81)/$K49,IF($L49&gt;=2,SUMIF(S14_Growth_Model_ExAnte!$AY$15:$AY$81,$C49&amp;"|"&amp;$D49,S14_Growth_Model_ExAnte!$K$15:$K$81)/$L49,IF(COUNTIF(S14_Growth_Model_ExAnte!$AZ$15:$AZ$81,$C49)&gt;0,SUMIF(S14_Growth_Model_ExAnte!$AZ$15:$AZ$81,$C49,S14_Growth_Model_ExAnte!$K$15:$K$81)/COUNTIF(S14_Growth_Model_ExAnte!$AZ$15:$AZ$81,$C49),0)))</x:f>
        <x:v>1.128282769876533</x:v>
      </x:c>
      <x:c r="I49" s="115" t="n">
        <x:f aca="0">IF($K49&gt;=2,SQRT(MAX(0,(SUMIF(S14_Growth_Model_ExAnte!$C$15:$C$81,$B49,S14_Growth_Model_ExAnte!$BC$15:$BC$81)-SUMIF(S14_Growth_Model_ExAnte!$C$15:$C$81,$B49,S14_Growth_Model_ExAnte!$K$15:$K$81)*SUMIF(S14_Growth_Model_ExAnte!$C$15:$C$81,$B49,S14_Growth_Model_ExAnte!$K$15:$K$81)/$K49)/($K49-1))),IF($L49&gt;=2,SQRT(MAX(0,(SUMIF(S14_Growth_Model_ExAnte!$AY$15:$AY$81,$C49&amp;"|"&amp;$D49,S14_Growth_Model_ExAnte!$BC$15:$BC$81)-SUMIF(S14_Growth_Model_ExAnte!$AY$15:$AY$81,$C49&amp;"|"&amp;$D49,S14_Growth_Model_ExAnte!$K$15:$K$81)*SUMIF(S14_Growth_Model_ExAnte!$AY$15:$AY$81,$C49&amp;"|"&amp;$D49,S14_Growth_Model_ExAnte!$K$15:$K$81)/$L49)/($L49-1))),IF(COUNTIF(S14_Growth_Model_ExAnte!$AZ$15:$AZ$81,$C49)&gt;=2,SQRT(MAX(0,(SUMIF(S14_Growth_Model_ExAnte!$AZ$15:$AZ$81,$C49,S14_Growth_Model_ExAnte!$BC$15:$BC$81)-SUMIF(S14_Growth_Model_ExAnte!$AZ$15:$AZ$81,$C49,S14_Growth_Model_ExAnte!$K$15:$K$81)*SUMIF(S14_Growth_Model_ExAnte!$AZ$15:$AZ$81,$C49,S14_Growth_Model_ExAnte!$K$15:$K$81)/COUNTIF(S14_Growth_Model_ExAnte!$AZ$15:$AZ$81,$C49))/(COUNTIF(S14_Growth_Model_ExAnte!$AZ$15:$AZ$81,$C49)-1))),0)))</x:f>
        <x:v>1.0501470960451422</x:v>
      </x:c>
      <x:c r="J49" s="115" t="n">
        <x:f aca="0">IFERROR(I49/H49,0)</x:f>
        <x:v>0.9307481458394148</x:v>
      </x:c>
      <x:c r="K49" s="115" t="n">
        <x:f aca="0">COUNTIF(S14_Growth_Model_ExAnte!$C$15:$C$81,$B49)</x:f>
        <x:v>1</x:v>
      </x:c>
      <x:c r="L49" s="115" t="n">
        <x:f aca="0">COUNTIF(S14_Growth_Model_ExAnte!$AY$15:$AY$81,$C49&amp;"|"&amp;$D49)</x:f>
        <x:v>4</x:v>
      </x:c>
      <x:c r="M49" s="115" t="n">
        <x:f aca="0">$H49</x:f>
        <x:v>1.128282769876533</x:v>
      </x:c>
      <x:c r="N49" s="115" t="n">
        <x:f aca="0">MAX(0,$M49*S08_Defaults!$B$5)</x:f>
        <x:v>0.8462120774073998</x:v>
      </x:c>
      <x:c r="O49" s="115" t="n">
        <x:f aca="0">IFERROR($N49/$M49,0)</x:f>
        <x:v>0.75</x:v>
      </x:c>
      <x:c r="P49" s="115" t="str">
        <x:f aca="0">IF($K49&gt;=2,"Exact Stratum PSP Chapman-Richards curve",IF($L49&gt;=2,"Model×Density pooled Chapman-Richards curve","Model pooled Chapman-Richards curve"))</x:f>
        <x:v>Model×Density pooled Chapman-Richards curve</x:v>
      </x:c>
      <x:c r="Q49" s="162" t="s">
        <x:v>1106</x:v>
      </x:c>
      <x:c r="R49" s="115" t="n">
        <x:f aca="0">0</x:f>
        <x:v>0</x:v>
      </x:c>
      <x:c r="S49" s="115" t="n">
        <x:f aca="0">0</x:f>
        <x:v>0</x:v>
      </x:c>
      <x:c r="T49" s="115" t="n">
        <x:f aca="0">0</x:f>
        <x:v>0</x:v>
      </x:c>
      <x:c r="U49" s="115" t="n">
        <x:f aca="0">0</x:f>
        <x:v>0</x:v>
      </x:c>
      <x:c r="V49" s="115" t="n">
        <x:f aca="0">(IF($K49&gt;=2,SUMIF(S14_Growth_Model_ExAnte!$C$15:$C$81,$B49,S14_Growth_Model_ExAnte!$I$15:$I$81)/$K49,IF($L49&gt;=2,SUMIF(S14_Growth_Model_ExAnte!$AY$15:$AY$81,$C49&amp;"|"&amp;$D49,S14_Growth_Model_ExAnte!$I$15:$I$81)/$L49,IF(COUNTIF(S14_Growth_Model_ExAnte!$AZ$15:$AZ$81,$C49)&gt;0,SUMIF(S14_Growth_Model_ExAnte!$AZ$15:$AZ$81,$C49,S14_Growth_Model_ExAnte!$I$15:$I$81)/COUNTIF(S14_Growth_Model_ExAnte!$AZ$15:$AZ$81,$C49),0))))*$O49*S08_Defaults!$B$6*(1+S08_Defaults!$B$7)*S08_Defaults!$B$8</x:f>
        <x:v>0</x:v>
      </x:c>
      <x:c r="W49" s="115" t="n">
        <x:f aca="0">(IF($K49&gt;=2,SUMIF(S14_Growth_Model_ExAnte!$C$15:$C$81,$B49,S14_Growth_Model_ExAnte!$J$15:$J$81)/$K49,IF($L49&gt;=2,SUMIF(S14_Growth_Model_ExAnte!$AY$15:$AY$81,$C49&amp;"|"&amp;$D49,S14_Growth_Model_ExAnte!$J$15:$J$81)/$L49,IF(COUNTIF(S14_Growth_Model_ExAnte!$AZ$15:$AZ$81,$C49)&gt;0,SUMIF(S14_Growth_Model_ExAnte!$AZ$15:$AZ$81,$C49,S14_Growth_Model_ExAnte!$J$15:$J$81)/COUNTIF(S14_Growth_Model_ExAnte!$AZ$15:$AZ$81,$C49),0))))*$O49*S08_Defaults!$B$6*(1+S08_Defaults!$B$7)*S08_Defaults!$B$8</x:f>
        <x:v>0.17403433875284913</x:v>
      </x:c>
      <x:c r="X49" s="115" t="n">
        <x:f aca="0">(IF($K49&gt;=2,SUMIF(S14_Growth_Model_ExAnte!$C$15:$C$81,$B49,S14_Growth_Model_ExAnte!$K$15:$K$81)/$K49,IF($L49&gt;=2,SUMIF(S14_Growth_Model_ExAnte!$AY$15:$AY$81,$C49&amp;"|"&amp;$D49,S14_Growth_Model_ExAnte!$K$15:$K$81)/$L49,IF(COUNTIF(S14_Growth_Model_ExAnte!$AZ$15:$AZ$81,$C49)&gt;0,SUMIF(S14_Growth_Model_ExAnte!$AZ$15:$AZ$81,$C49,S14_Growth_Model_ExAnte!$K$15:$K$81)/COUNTIF(S14_Growth_Model_ExAnte!$AZ$15:$AZ$81,$C49),0))))*$O49*S08_Defaults!$B$6*(1+S08_Defaults!$B$7)*S08_Defaults!$B$8</x:f>
        <x:v>1.808298795281121</x:v>
      </x:c>
      <x:c r="Y49" s="115" t="n">
        <x:f aca="0">(IF($K49&gt;=2,SUMIF(S14_Growth_Model_ExAnte!$C$15:$C$81,$B49,S14_Growth_Model_ExAnte!$L$15:$L$81)/$K49,IF($L49&gt;=2,SUMIF(S14_Growth_Model_ExAnte!$AY$15:$AY$81,$C49&amp;"|"&amp;$D49,S14_Growth_Model_ExAnte!$L$15:$L$81)/$L49,IF(COUNTIF(S14_Growth_Model_ExAnte!$AZ$15:$AZ$81,$C49)&gt;0,SUMIF(S14_Growth_Model_ExAnte!$AZ$15:$AZ$81,$C49,S14_Growth_Model_ExAnte!$L$15:$L$81)/COUNTIF(S14_Growth_Model_ExAnte!$AZ$15:$AZ$81,$C49),0))))*$O49*S08_Defaults!$B$6*(1+S08_Defaults!$B$7)*S08_Defaults!$B$8</x:f>
        <x:v>6.412198758790387</x:v>
      </x:c>
      <x:c r="Z49" s="115" t="n">
        <x:f aca="0">(IF($K49&gt;=2,SUMIF(S14_Growth_Model_ExAnte!$C$15:$C$81,$B49,S14_Growth_Model_ExAnte!$M$15:$M$81)/$K49,IF($L49&gt;=2,SUMIF(S14_Growth_Model_ExAnte!$AY$15:$AY$81,$C49&amp;"|"&amp;$D49,S14_Growth_Model_ExAnte!$M$15:$M$81)/$L49,IF(COUNTIF(S14_Growth_Model_ExAnte!$AZ$15:$AZ$81,$C49)&gt;0,SUMIF(S14_Growth_Model_ExAnte!$AZ$15:$AZ$81,$C49,S14_Growth_Model_ExAnte!$M$15:$M$81)/COUNTIF(S14_Growth_Model_ExAnte!$AZ$15:$AZ$81,$C49),0))))*$O49*S08_Defaults!$B$6*(1+S08_Defaults!$B$7)*S08_Defaults!$B$8</x:f>
        <x:v>14.786882216652412</x:v>
      </x:c>
      <x:c r="AA49" s="115" t="n">
        <x:f aca="0">(IF($K49&gt;=2,SUMIF(S14_Growth_Model_ExAnte!$C$15:$C$81,$B49,S14_Growth_Model_ExAnte!$N$15:$N$81)/$K49,IF($L49&gt;=2,SUMIF(S14_Growth_Model_ExAnte!$AY$15:$AY$81,$C49&amp;"|"&amp;$D49,S14_Growth_Model_ExAnte!$N$15:$N$81)/$L49,IF(COUNTIF(S14_Growth_Model_ExAnte!$AZ$15:$AZ$81,$C49)&gt;0,SUMIF(S14_Growth_Model_ExAnte!$AZ$15:$AZ$81,$C49,S14_Growth_Model_ExAnte!$N$15:$N$81)/COUNTIF(S14_Growth_Model_ExAnte!$AZ$15:$AZ$81,$C49),0))))*$O49*S08_Defaults!$B$6*(1+S08_Defaults!$B$7)*S08_Defaults!$B$8</x:f>
        <x:v>26.87739423749838</x:v>
      </x:c>
      <x:c r="AB49" s="115" t="n">
        <x:f aca="0">(IF($K49&gt;=2,SUMIF(S14_Growth_Model_ExAnte!$C$15:$C$81,$B49,S14_Growth_Model_ExAnte!$O$15:$O$81)/$K49,IF($L49&gt;=2,SUMIF(S14_Growth_Model_ExAnte!$AY$15:$AY$81,$C49&amp;"|"&amp;$D49,S14_Growth_Model_ExAnte!$O$15:$O$81)/$L49,IF(COUNTIF(S14_Growth_Model_ExAnte!$AZ$15:$AZ$81,$C49)&gt;0,SUMIF(S14_Growth_Model_ExAnte!$AZ$15:$AZ$81,$C49,S14_Growth_Model_ExAnte!$O$15:$O$81)/COUNTIF(S14_Growth_Model_ExAnte!$AZ$15:$AZ$81,$C49),0))))*$O49*S08_Defaults!$B$6*(1+S08_Defaults!$B$7)*S08_Defaults!$B$8</x:f>
        <x:v>42.13775763280599</x:v>
      </x:c>
      <x:c r="AC49" s="115" t="n">
        <x:f aca="0">(IF($K49&gt;=2,SUMIF(S14_Growth_Model_ExAnte!$C$15:$C$81,$B49,S14_Growth_Model_ExAnte!$P$15:$P$81)/$K49,IF($L49&gt;=2,SUMIF(S14_Growth_Model_ExAnte!$AY$15:$AY$81,$C49&amp;"|"&amp;$D49,S14_Growth_Model_ExAnte!$P$15:$P$81)/$L49,IF(COUNTIF(S14_Growth_Model_ExAnte!$AZ$15:$AZ$81,$C49)&gt;0,SUMIF(S14_Growth_Model_ExAnte!$AZ$15:$AZ$81,$C49,S14_Growth_Model_ExAnte!$P$15:$P$81)/COUNTIF(S14_Growth_Model_ExAnte!$AZ$15:$AZ$81,$C49),0))))*$O49*S08_Defaults!$B$6*(1+S08_Defaults!$B$7)*S08_Defaults!$B$8</x:f>
        <x:v>59.78260518527138</x:v>
      </x:c>
      <x:c r="AD49" s="115" t="n">
        <x:f aca="0">(IF($K49&gt;=2,SUMIF(S14_Growth_Model_ExAnte!$C$15:$C$81,$B49,S14_Growth_Model_ExAnte!$Q$15:$Q$81)/$K49,IF($L49&gt;=2,SUMIF(S14_Growth_Model_ExAnte!$AY$15:$AY$81,$C49&amp;"|"&amp;$D49,S14_Growth_Model_ExAnte!$Q$15:$Q$81)/$L49,IF(COUNTIF(S14_Growth_Model_ExAnte!$AZ$15:$AZ$81,$C49)&gt;0,SUMIF(S14_Growth_Model_ExAnte!$AZ$15:$AZ$81,$C49,S14_Growth_Model_ExAnte!$Q$15:$Q$81)/COUNTIF(S14_Growth_Model_ExAnte!$AZ$15:$AZ$81,$C49),0))))*$O49*S08_Defaults!$B$6*(1+S08_Defaults!$B$7)*S08_Defaults!$B$8</x:f>
        <x:v>78.97824156766397</x:v>
      </x:c>
      <x:c r="AE49" s="115" t="n">
        <x:f aca="0">(IF($K49&gt;=2,SUMIF(S14_Growth_Model_ExAnte!$C$15:$C$81,$B49,S14_Growth_Model_ExAnte!$R$15:$R$81)/$K49,IF($L49&gt;=2,SUMIF(S14_Growth_Model_ExAnte!$AY$15:$AY$81,$C49&amp;"|"&amp;$D49,S14_Growth_Model_ExAnte!$R$15:$R$81)/$L49,IF(COUNTIF(S14_Growth_Model_ExAnte!$AZ$15:$AZ$81,$C49)&gt;0,SUMIF(S14_Growth_Model_ExAnte!$AZ$15:$AZ$81,$C49,S14_Growth_Model_ExAnte!$R$15:$R$81)/COUNTIF(S14_Growth_Model_ExAnte!$AZ$15:$AZ$81,$C49),0))))*$O49*S08_Defaults!$B$6*(1+S08_Defaults!$B$7)*S08_Defaults!$B$8</x:f>
        <x:v>98.95602185390175</x:v>
      </x:c>
      <x:c r="AF49" s="115" t="n">
        <x:f aca="0">(IF($K49&gt;=2,SUMIF(S14_Growth_Model_ExAnte!$C$15:$C$81,$B49,S14_Growth_Model_ExAnte!$S$15:$S$81)/$K49,IF($L49&gt;=2,SUMIF(S14_Growth_Model_ExAnte!$AY$15:$AY$81,$C49&amp;"|"&amp;$D49,S14_Growth_Model_ExAnte!$S$15:$S$81)/$L49,IF(COUNTIF(S14_Growth_Model_ExAnte!$AZ$15:$AZ$81,$C49)&gt;0,SUMIF(S14_Growth_Model_ExAnte!$AZ$15:$AZ$81,$C49,S14_Growth_Model_ExAnte!$S$15:$S$81)/COUNTIF(S14_Growth_Model_ExAnte!$AZ$15:$AZ$81,$C49),0))))*$O49*S08_Defaults!$B$6*(1+S08_Defaults!$B$7)*S08_Defaults!$B$8</x:f>
        <x:v>119.06758474596045</x:v>
      </x:c>
      <x:c r="AG49" s="115" t="n">
        <x:f aca="0">(IF($K49&gt;=2,SUMIF(S14_Growth_Model_ExAnte!$C$15:$C$81,$B49,S14_Growth_Model_ExAnte!$T$15:$T$81)/$K49,IF($L49&gt;=2,SUMIF(S14_Growth_Model_ExAnte!$AY$15:$AY$81,$C49&amp;"|"&amp;$D49,S14_Growth_Model_ExAnte!$T$15:$T$81)/$L49,IF(COUNTIF(S14_Growth_Model_ExAnte!$AZ$15:$AZ$81,$C49)&gt;0,SUMIF(S14_Growth_Model_ExAnte!$AZ$15:$AZ$81,$C49,S14_Growth_Model_ExAnte!$T$15:$T$81)/COUNTIF(S14_Growth_Model_ExAnte!$AZ$15:$AZ$81,$C49),0))))*$O49*S08_Defaults!$B$6*(1+S08_Defaults!$B$7)*S08_Defaults!$B$8</x:f>
        <x:v>138.80222721919424</x:v>
      </x:c>
      <x:c r="AH49" s="115" t="n">
        <x:f aca="0">(IF($K49&gt;=2,SUMIF(S14_Growth_Model_ExAnte!$C$15:$C$81,$B49,S14_Growth_Model_ExAnte!$U$15:$U$81)/$K49,IF($L49&gt;=2,SUMIF(S14_Growth_Model_ExAnte!$AY$15:$AY$81,$C49&amp;"|"&amp;$D49,S14_Growth_Model_ExAnte!$U$15:$U$81)/$L49,IF(COUNTIF(S14_Growth_Model_ExAnte!$AZ$15:$AZ$81,$C49)&gt;0,SUMIF(S14_Growth_Model_ExAnte!$AZ$15:$AZ$81,$C49,S14_Growth_Model_ExAnte!$U$15:$U$81)/COUNTIF(S14_Growth_Model_ExAnte!$AZ$15:$AZ$81,$C49),0))))*$O49*S08_Defaults!$B$6*(1+S08_Defaults!$B$7)*S08_Defaults!$B$8</x:f>
        <x:v>157.78228035374133</x:v>
      </x:c>
      <x:c r="AI49" s="115" t="n">
        <x:f aca="0">(IF($K49&gt;=2,SUMIF(S14_Growth_Model_ExAnte!$C$15:$C$81,$B49,S14_Growth_Model_ExAnte!$V$15:$V$81)/$K49,IF($L49&gt;=2,SUMIF(S14_Growth_Model_ExAnte!$AY$15:$AY$81,$C49&amp;"|"&amp;$D49,S14_Growth_Model_ExAnte!$V$15:$V$81)/$L49,IF(COUNTIF(S14_Growth_Model_ExAnte!$AZ$15:$AZ$81,$C49)&gt;0,SUMIF(S14_Growth_Model_ExAnte!$AZ$15:$AZ$81,$C49,S14_Growth_Model_ExAnte!$V$15:$V$81)/COUNTIF(S14_Growth_Model_ExAnte!$AZ$15:$AZ$81,$C49),0))))*$O49*S08_Defaults!$B$6*(1+S08_Defaults!$B$7)*S08_Defaults!$B$8</x:f>
        <x:v>175.74738584896815</x:v>
      </x:c>
      <x:c r="AJ49" s="115" t="n">
        <x:f aca="0">(IF($K49&gt;=2,SUMIF(S14_Growth_Model_ExAnte!$C$15:$C$81,$B49,S14_Growth_Model_ExAnte!$W$15:$W$81)/$K49,IF($L49&gt;=2,SUMIF(S14_Growth_Model_ExAnte!$AY$15:$AY$81,$C49&amp;"|"&amp;$D49,S14_Growth_Model_ExAnte!$W$15:$W$81)/$L49,IF(COUNTIF(S14_Growth_Model_ExAnte!$AZ$15:$AZ$81,$C49)&gt;0,SUMIF(S14_Growth_Model_ExAnte!$AZ$15:$AZ$81,$C49,S14_Growth_Model_ExAnte!$W$15:$W$81)/COUNTIF(S14_Growth_Model_ExAnte!$AZ$15:$AZ$81,$C49),0))))*$O49*S08_Defaults!$B$6*(1+S08_Defaults!$B$7)*S08_Defaults!$B$8</x:f>
        <x:v>192.53453046988696</x:v>
      </x:c>
      <x:c r="AK49" s="115" t="n">
        <x:f aca="0">(IF($K49&gt;=2,SUMIF(S14_Growth_Model_ExAnte!$C$15:$C$81,$B49,S14_Growth_Model_ExAnte!$X$15:$X$81)/$K49,IF($L49&gt;=2,SUMIF(S14_Growth_Model_ExAnte!$AY$15:$AY$81,$C49&amp;"|"&amp;$D49,S14_Growth_Model_ExAnte!$X$15:$X$81)/$L49,IF(COUNTIF(S14_Growth_Model_ExAnte!$AZ$15:$AZ$81,$C49)&gt;0,SUMIF(S14_Growth_Model_ExAnte!$AZ$15:$AZ$81,$C49,S14_Growth_Model_ExAnte!$X$15:$X$81)/COUNTIF(S14_Growth_Model_ExAnte!$AZ$15:$AZ$81,$C49),0))))*$O49*S08_Defaults!$B$6*(1+S08_Defaults!$B$7)*S08_Defaults!$B$8</x:f>
        <x:v>208.05780653042697</x:v>
      </x:c>
      <x:c r="AL49" s="115" t="n">
        <x:f aca="0">(IF($K49&gt;=2,SUMIF(S14_Growth_Model_ExAnte!$C$15:$C$81,$B49,S14_Growth_Model_ExAnte!$Y$15:$Y$81)/$K49,IF($L49&gt;=2,SUMIF(S14_Growth_Model_ExAnte!$AY$15:$AY$81,$C49&amp;"|"&amp;$D49,S14_Growth_Model_ExAnte!$Y$15:$Y$81)/$L49,IF(COUNTIF(S14_Growth_Model_ExAnte!$AZ$15:$AZ$81,$C49)&gt;0,SUMIF(S14_Growth_Model_ExAnte!$AZ$15:$AZ$81,$C49,S14_Growth_Model_ExAnte!$Y$15:$Y$81)/COUNTIF(S14_Growth_Model_ExAnte!$AZ$15:$AZ$81,$C49),0))))*$O49*S08_Defaults!$B$6*(1+S08_Defaults!$B$7)*S08_Defaults!$B$8</x:f>
        <x:v>222.2899602891645</x:v>
      </x:c>
      <x:c r="AM49" s="115" t="n">
        <x:f aca="0">R49</x:f>
        <x:v>0</x:v>
      </x:c>
      <x:c r="AN49" s="115" t="n">
        <x:f aca="0">S49-R49</x:f>
        <x:v>0</x:v>
      </x:c>
      <x:c r="AO49" s="115" t="n">
        <x:f aca="0">T49-S49</x:f>
        <x:v>0</x:v>
      </x:c>
      <x:c r="AP49" s="115" t="n">
        <x:f aca="0">U49-T49</x:f>
        <x:v>0</x:v>
      </x:c>
      <x:c r="AQ49" s="115" t="n">
        <x:f aca="0">V49-U49</x:f>
        <x:v>0</x:v>
      </x:c>
      <x:c r="AR49" s="115" t="n">
        <x:f aca="0">W49-V49</x:f>
        <x:v>0.17403433875284913</x:v>
      </x:c>
      <x:c r="AS49" s="115" t="n">
        <x:f aca="0">X49-W49</x:f>
        <x:v>1.6342644565282718</x:v>
      </x:c>
      <x:c r="AT49" s="115" t="n">
        <x:f aca="0">Y49-X49</x:f>
        <x:v>4.603899963509266</x:v>
      </x:c>
      <x:c r="AU49" s="115" t="n">
        <x:f aca="0">Z49-Y49</x:f>
        <x:v>8.374683457862025</x:v>
      </x:c>
      <x:c r="AV49" s="115" t="n">
        <x:f aca="0">AA49-Z49</x:f>
        <x:v>12.090512020845967</x:v>
      </x:c>
      <x:c r="AW49" s="115" t="n">
        <x:f aca="0">AB49-AA49</x:f>
        <x:v>15.260363395307614</x:v>
      </x:c>
      <x:c r="AX49" s="115" t="n">
        <x:f aca="0">AC49-AB49</x:f>
        <x:v>17.644847552465386</x:v>
      </x:c>
      <x:c r="AY49" s="115" t="n">
        <x:f aca="0">AD49-AC49</x:f>
        <x:v>19.195636382392593</x:v>
      </x:c>
      <x:c r="AZ49" s="115" t="n">
        <x:f aca="0">AE49-AD49</x:f>
        <x:v>19.977780286237774</x:v>
      </x:c>
      <x:c r="BA49" s="115" t="n">
        <x:f aca="0">AF49-AE49</x:f>
        <x:v>20.1115628920587</x:v>
      </x:c>
      <x:c r="BB49" s="115" t="n">
        <x:f aca="0">AG49-AF49</x:f>
        <x:v>19.73464247323379</x:v>
      </x:c>
      <x:c r="BC49" s="115" t="n">
        <x:f aca="0">AH49-AG49</x:f>
        <x:v>18.98005313454709</x:v>
      </x:c>
      <x:c r="BD49" s="115" t="n">
        <x:f aca="0">AI49-AH49</x:f>
        <x:v>17.965105495226823</x:v>
      </x:c>
      <x:c r="BE49" s="115" t="n">
        <x:f aca="0">AJ49-AI49</x:f>
        <x:v>16.78714462091881</x:v>
      </x:c>
      <x:c r="BF49" s="115" t="n">
        <x:f aca="0">AK49-AJ49</x:f>
        <x:v>15.523276060540013</x:v>
      </x:c>
      <x:c r="BG49" s="115" t="n">
        <x:f aca="0">AL49-AK49</x:f>
        <x:v>14.232153758737525</x:v>
      </x:c>
    </x:row>
  </x:sheetData>
  <x:mergeCells>
    <x:mergeCell ref="A1:BG1"/>
  </x:mergeCells>
  <x:pageMargins left="0.7" right="0.7" top="0.75" bottom="0.75" header="0.3" footer="0.3"/>
</x:worksheet>
</file>

<file path=xl/worksheets/sheet16.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0" style="37" hidden="0" customWidth="1"/>
    <x:col min="2" max="2" width="24" style="37" hidden="0" customWidth="1"/>
    <x:col min="3" max="3" width="17" style="37" hidden="0" customWidth="1"/>
    <x:col min="4" max="4" width="16" style="37" hidden="0" customWidth="1"/>
    <x:col min="5" max="5" width="18" style="37" hidden="0" customWidth="1"/>
    <x:col min="6" max="6" width="14" style="37" hidden="0" customWidth="1"/>
    <x:col min="7" max="8" width="23" style="37" hidden="0" customWidth="1"/>
    <x:col min="9" max="9" width="24" style="37" hidden="0" customWidth="1"/>
    <x:col min="10" max="10" width="38" style="37" hidden="0" customWidth="1"/>
  </x:cols>
  <x:sheetData>
    <x:row r="1" ht="24" hidden="0" customHeight="1">
      <x:c r="A1" s="38" t="str">
        <x:v>Population Audit | Included Area + Tropical &amp; Subtropical Dry Broadleaf Forests Timber Exclusions</x:v>
      </x:c>
      <x:c r="B1" s="38"/>
      <x:c r="C1" s="38"/>
      <x:c r="D1" s="38"/>
      <x:c r="E1" s="38"/>
      <x:c r="F1" s="38"/>
      <x:c r="G1" s="38"/>
      <x:c r="H1" s="38"/>
      <x:c r="I1" s="38"/>
      <x:c r="J1" s="38"/>
    </x:row>
    <x:row r="2" ht="15" hidden="0" customHeight="1">
      <x:c r="A2" s="45"/>
      <x:c r="B2" s="45"/>
      <x:c r="C2" s="45"/>
      <x:c r="D2" s="45"/>
      <x:c r="E2" s="45"/>
      <x:c r="F2" s="45"/>
      <x:c r="G2" s="45"/>
      <x:c r="H2" s="45"/>
      <x:c r="I2" s="45"/>
      <x:c r="J2" s="45"/>
    </x:row>
    <x:row r="3" ht="15" hidden="0" customHeight="1">
      <x:c r="A3" s="95" t="str">
        <x:v>Biome</x:v>
      </x:c>
      <x:c r="B3" s="95" t="s">
        <x:v>97</x:v>
      </x:c>
      <x:c r="C3" s="95" t="s">
        <x:v>1121</x:v>
      </x:c>
      <x:c r="D3" s="95" t="s">
        <x:v>1122</x:v>
      </x:c>
      <x:c r="E3" s="95" t="s">
        <x:v>1123</x:v>
      </x:c>
      <x:c r="F3" s="95" t="s">
        <x:v>1124</x:v>
      </x:c>
      <x:c r="G3" s="95" t="s">
        <x:v>1125</x:v>
      </x:c>
      <x:c r="H3" s="95" t="s">
        <x:v>1126</x:v>
      </x:c>
      <x:c r="I3" s="95" t="s">
        <x:v>1127</x:v>
      </x:c>
      <x:c r="J3" s="95" t="s">
        <x:v>1128</x:v>
      </x:c>
    </x:row>
    <x:row r="4" ht="15" hidden="0" customHeight="1">
      <x:c r="A4" s="37" t="str">
        <x:v>Deserts &amp; Xeric Shrublands</x:v>
      </x:c>
      <x:c r="B4" s="37" t="s">
        <x:v>111</x:v>
      </x:c>
      <x:c r="C4" s="100" t="n">
        <x:v>876</x:v>
      </x:c>
      <x:c r="D4" s="100" t="n">
        <x:v>1088.0574</x:v>
      </x:c>
      <x:c r="E4" s="100" t="n">
        <x:v>877</x:v>
      </x:c>
      <x:c r="F4" s="100" t="n">
        <x:v>1088.3134</x:v>
      </x:c>
      <x:c r="G4" s="100" t="n">
        <x:v>1</x:v>
      </x:c>
      <x:c r="H4" s="100" t="n">
        <x:v>0.256</x:v>
      </x:c>
      <x:c r="I4" s="37" t="s">
        <x:v>1129</x:v>
      </x:c>
      <x:c r="J4" s="37" t="s">
        <x:v>1130</x:v>
      </x:c>
    </x:row>
    <x:row r="5" ht="15" hidden="0" customHeight="1">
      <x:c r="A5" s="37" t="str">
        <x:v>Deserts &amp; Xeric Shrublands</x:v>
      </x:c>
      <x:c r="B5" s="37" t="s">
        <x:v>112</x:v>
      </x:c>
      <x:c r="C5" s="100" t="n">
        <x:v>8</x:v>
      </x:c>
      <x:c r="D5" s="100" t="n">
        <x:v>14.331</x:v>
      </x:c>
      <x:c r="E5" s="100" t="n">
        <x:v>8</x:v>
      </x:c>
      <x:c r="F5" s="100" t="n">
        <x:v>14.331</x:v>
      </x:c>
      <x:c r="G5" s="100" t="n">
        <x:v>0</x:v>
      </x:c>
      <x:c r="H5" s="100" t="n">
        <x:v>0</x:v>
      </x:c>
      <x:c r="I5" s="37" t="s">
        <x:v>1129</x:v>
      </x:c>
      <x:c r="J5" s="37" t="s">
        <x:v>1130</x:v>
      </x:c>
    </x:row>
    <x:row r="6" ht="15" hidden="0" customHeight="1">
      <x:c r="A6" s="37" t="str">
        <x:v>Deserts &amp; Xeric Shrublands</x:v>
      </x:c>
      <x:c r="B6" s="37" t="s">
        <x:v>113</x:v>
      </x:c>
      <x:c r="C6" s="100" t="n">
        <x:v>2</x:v>
      </x:c>
      <x:c r="D6" s="100" t="n">
        <x:v>1.9114</x:v>
      </x:c>
      <x:c r="E6" s="100" t="n">
        <x:v>2</x:v>
      </x:c>
      <x:c r="F6" s="100" t="n">
        <x:v>1.9114</x:v>
      </x:c>
      <x:c r="G6" s="100" t="n">
        <x:v>0</x:v>
      </x:c>
      <x:c r="H6" s="100" t="n">
        <x:v>0</x:v>
      </x:c>
      <x:c r="I6" s="37" t="s">
        <x:v>1129</x:v>
      </x:c>
      <x:c r="J6" s="37" t="s">
        <x:v>1130</x:v>
      </x:c>
    </x:row>
    <x:row r="7" ht="15" hidden="0" customHeight="1">
      <x:c r="A7" s="37" t="str">
        <x:v>Deserts &amp; Xeric Shrublands</x:v>
      </x:c>
      <x:c r="B7" s="37" t="s">
        <x:v>114</x:v>
      </x:c>
      <x:c r="C7" s="100" t="n">
        <x:v>4</x:v>
      </x:c>
      <x:c r="D7" s="100" t="n">
        <x:v>4.3005</x:v>
      </x:c>
      <x:c r="E7" s="100" t="n">
        <x:v>4</x:v>
      </x:c>
      <x:c r="F7" s="100" t="n">
        <x:v>4.3005</x:v>
      </x:c>
      <x:c r="G7" s="100" t="n">
        <x:v>0</x:v>
      </x:c>
      <x:c r="H7" s="100" t="n">
        <x:v>0</x:v>
      </x:c>
      <x:c r="I7" s="37" t="s">
        <x:v>1129</x:v>
      </x:c>
      <x:c r="J7" s="37" t="s">
        <x:v>1130</x:v>
      </x:c>
    </x:row>
    <x:row r="8" ht="15" hidden="0" customHeight="1">
      <x:c r="A8" s="37" t="str">
        <x:v>Tropical &amp; Subtropical Moist Broadleaf Forests</x:v>
      </x:c>
      <x:c r="B8" s="37" t="s">
        <x:v>111</x:v>
      </x:c>
      <x:c r="C8" s="100" t="n">
        <x:v>108</x:v>
      </x:c>
      <x:c r="D8" s="100" t="n">
        <x:v>76.8901433832457</x:v>
      </x:c>
      <x:c r="E8" s="100" t="n">
        <x:v>116</x:v>
      </x:c>
      <x:c r="F8" s="100" t="n">
        <x:v>77.9803433832457</x:v>
      </x:c>
      <x:c r="G8" s="100" t="n">
        <x:v>8</x:v>
      </x:c>
      <x:c r="H8" s="100" t="n">
        <x:v>1.0902</x:v>
      </x:c>
      <x:c r="I8" s="37" t="s">
        <x:v>1129</x:v>
      </x:c>
      <x:c r="J8" s="37" t="s">
        <x:v>1130</x:v>
      </x:c>
    </x:row>
    <x:row r="9" ht="15" hidden="0" customHeight="1">
      <x:c r="A9" s="37" t="str">
        <x:v>Tropical &amp; Subtropical Moist Broadleaf Forests</x:v>
      </x:c>
      <x:c r="B9" s="37" t="s">
        <x:v>112</x:v>
      </x:c>
      <x:c r="C9" s="100" t="n">
        <x:v>301</x:v>
      </x:c>
      <x:c r="D9" s="100" t="n">
        <x:v>228.450517644678</x:v>
      </x:c>
      <x:c r="E9" s="100" t="n">
        <x:v>305</x:v>
      </x:c>
      <x:c r="F9" s="100" t="n">
        <x:v>229.149617644678</x:v>
      </x:c>
      <x:c r="G9" s="100" t="n">
        <x:v>4</x:v>
      </x:c>
      <x:c r="H9" s="100" t="n">
        <x:v>0.6991</x:v>
      </x:c>
      <x:c r="I9" s="37" t="s">
        <x:v>1129</x:v>
      </x:c>
      <x:c r="J9" s="37" t="s">
        <x:v>1130</x:v>
      </x:c>
    </x:row>
    <x:row r="10" ht="15" hidden="0" customHeight="1">
      <x:c r="A10" s="37" t="str">
        <x:v>Tropical &amp; Subtropical Moist Broadleaf Forests</x:v>
      </x:c>
      <x:c r="B10" s="37" t="s">
        <x:v>113</x:v>
      </x:c>
      <x:c r="C10" s="100" t="n">
        <x:v>36</x:v>
      </x:c>
      <x:c r="D10" s="100" t="n">
        <x:v>27.4189</x:v>
      </x:c>
      <x:c r="E10" s="100" t="n">
        <x:v>41</x:v>
      </x:c>
      <x:c r="F10" s="100" t="n">
        <x:v>27.9038</x:v>
      </x:c>
      <x:c r="G10" s="100" t="n">
        <x:v>5</x:v>
      </x:c>
      <x:c r="H10" s="100" t="n">
        <x:v>0.4849</x:v>
      </x:c>
      <x:c r="I10" s="37" t="s">
        <x:v>1129</x:v>
      </x:c>
      <x:c r="J10" s="37" t="s">
        <x:v>1130</x:v>
      </x:c>
    </x:row>
    <x:row r="11" ht="15" hidden="0" customHeight="1">
      <x:c r="A11" s="37" t="str">
        <x:v>Tropical &amp; Subtropical Moist Broadleaf Forests</x:v>
      </x:c>
      <x:c r="B11" s="37" t="s">
        <x:v>114</x:v>
      </x:c>
      <x:c r="C11" s="100" t="n">
        <x:v>7</x:v>
      </x:c>
      <x:c r="D11" s="100" t="n">
        <x:v>9.6876</x:v>
      </x:c>
      <x:c r="E11" s="100" t="n">
        <x:v>8</x:v>
      </x:c>
      <x:c r="F11" s="100" t="n">
        <x:v>9.8656</x:v>
      </x:c>
      <x:c r="G11" s="100" t="n">
        <x:v>1</x:v>
      </x:c>
      <x:c r="H11" s="100" t="n">
        <x:v>0.178</x:v>
      </x:c>
      <x:c r="I11" s="37" t="s">
        <x:v>1129</x:v>
      </x:c>
      <x:c r="J11" s="37" t="s">
        <x:v>1130</x:v>
      </x:c>
    </x:row>
    <x:row r="12" ht="15" hidden="0" customHeight="1">
      <x:c r="A12" s="37" t="str">
        <x:v>Tropical &amp; Subtropical Dry Broadleaf Forests</x:v>
      </x:c>
      <x:c r="B12" s="37" t="s">
        <x:v>111</x:v>
      </x:c>
      <x:c r="C12" s="100" t="n">
        <x:v>451</x:v>
      </x:c>
      <x:c r="D12" s="100" t="n">
        <x:v>418.457873168758</x:v>
      </x:c>
      <x:c r="E12" s="100" t="n">
        <x:v>476</x:v>
      </x:c>
      <x:c r="F12" s="100" t="n">
        <x:v>464.741071671388</x:v>
      </x:c>
      <x:c r="G12" s="100" t="n">
        <x:v>25</x:v>
      </x:c>
      <x:c r="H12" s="100" t="n">
        <x:v>46.2831985026305</x:v>
      </x:c>
      <x:c r="I12" s="37" t="s">
        <x:v>1129</x:v>
      </x:c>
      <x:c r="J12" s="37" t="s">
        <x:v>1130</x:v>
      </x:c>
    </x:row>
    <x:row r="13" ht="15" hidden="0" customHeight="1">
      <x:c r="A13" s="37" t="str">
        <x:v>Tropical &amp; Subtropical Dry Broadleaf Forests</x:v>
      </x:c>
      <x:c r="B13" s="37" t="s">
        <x:v>112</x:v>
      </x:c>
      <x:c r="C13" s="100" t="n">
        <x:v>611</x:v>
      </x:c>
      <x:c r="D13" s="100" t="n">
        <x:v>439.309089842169</x:v>
      </x:c>
      <x:c r="E13" s="100" t="n">
        <x:v>612</x:v>
      </x:c>
      <x:c r="F13" s="100" t="n">
        <x:v>440.679189842169</x:v>
      </x:c>
      <x:c r="G13" s="100" t="n">
        <x:v>1</x:v>
      </x:c>
      <x:c r="H13" s="100" t="n">
        <x:v>1.3701</x:v>
      </x:c>
      <x:c r="I13" s="37" t="s">
        <x:v>1129</x:v>
      </x:c>
      <x:c r="J13" s="37" t="s">
        <x:v>1130</x:v>
      </x:c>
    </x:row>
    <x:row r="14" ht="15" hidden="0" customHeight="1">
      <x:c r="A14" s="37" t="str">
        <x:v>Tropical &amp; Subtropical Dry Broadleaf Forests</x:v>
      </x:c>
      <x:c r="B14" s="37" t="s">
        <x:v>113</x:v>
      </x:c>
      <x:c r="C14" s="100" t="n">
        <x:v>691</x:v>
      </x:c>
      <x:c r="D14" s="100" t="n">
        <x:v>523.91280946985</x:v>
      </x:c>
      <x:c r="E14" s="100" t="n">
        <x:v>701</x:v>
      </x:c>
      <x:c r="F14" s="100" t="n">
        <x:v>528.75310946985</x:v>
      </x:c>
      <x:c r="G14" s="100" t="n">
        <x:v>10</x:v>
      </x:c>
      <x:c r="H14" s="100" t="n">
        <x:v>4.8403</x:v>
      </x:c>
      <x:c r="I14" s="37" t="s">
        <x:v>1129</x:v>
      </x:c>
      <x:c r="J14" s="37" t="s">
        <x:v>1130</x:v>
      </x:c>
    </x:row>
    <x:row r="15" ht="15" hidden="0" customHeight="1">
      <x:c r="A15" s="37" t="str">
        <x:v>Tropical &amp; Subtropical Dry Broadleaf Forests</x:v>
      </x:c>
      <x:c r="B15" s="37" t="s">
        <x:v>114</x:v>
      </x:c>
      <x:c r="C15" s="100" t="n">
        <x:v>23</x:v>
      </x:c>
      <x:c r="D15" s="100" t="n">
        <x:v>19.0713</x:v>
      </x:c>
      <x:c r="E15" s="100" t="n">
        <x:v>23</x:v>
      </x:c>
      <x:c r="F15" s="100" t="n">
        <x:v>19.0713</x:v>
      </x:c>
      <x:c r="G15" s="100" t="n">
        <x:v>0</x:v>
      </x:c>
      <x:c r="H15" s="100" t="n">
        <x:v>0</x:v>
      </x:c>
      <x:c r="I15" s="37" t="s">
        <x:v>1129</x:v>
      </x:c>
      <x:c r="J15" s="37" t="s">
        <x:v>1130</x:v>
      </x:c>
    </x:row>
    <x:row r="18" ht="27.75" hidden="0" customHeight="1">
      <x:c r="A18" s="159" t="str">
        <x:v>Tropical &amp; Subtropical Dry Broadleaf Forests Timber excluded records</x:v>
      </x:c>
      <x:c r="B18" s="159" t="s">
        <x:v>527</x:v>
      </x:c>
      <x:c r="C18" s="159" t="s">
        <x:v>529</x:v>
      </x:c>
      <x:c r="D18" s="159" t="s">
        <x:v>94</x:v>
      </x:c>
      <x:c r="E18" s="159" t="s">
        <x:v>1131</x:v>
      </x:c>
      <x:c r="F18" s="159" t="s">
        <x:v>1132</x:v>
      </x:c>
      <x:c r="G18" s="159" t="s">
        <x:v>1133</x:v>
      </x:c>
      <x:c r="H18" s="159" t="s">
        <x:v>1134</x:v>
      </x:c>
      <x:c r="I18" s="159" t="s">
        <x:v>1135</x:v>
      </x:c>
      <x:c r="J18" s="159" t="s">
        <x:v>1136</x:v>
      </x:c>
    </x:row>
    <x:row r="19" ht="15" hidden="0" customHeight="1">
      <x:c r="A19" s="37" t="n">
        <x:v>1</x:v>
      </x:c>
      <x:c r="B19" s="37" t="n">
        <x:v>5722</x:v>
      </x:c>
      <x:c r="C19" s="37" t="n">
        <x:v>2020</x:v>
      </x:c>
      <x:c r="D19" s="100" t="n">
        <x:v>0.3662</x:v>
      </x:c>
      <x:c r="E19" s="100"/>
      <x:c r="G19" s="37" t="s">
        <x:v>1137</x:v>
      </x:c>
      <x:c r="H19" s="37" t="s">
        <x:v>1138</x:v>
      </x:c>
      <x:c r="I19" s="37" t="s">
        <x:v>1139</x:v>
      </x:c>
      <x:c r="J19" s="37" t="s">
        <x:v>1140</x:v>
      </x:c>
    </x:row>
    <x:row r="20" ht="15" hidden="0" customHeight="1">
      <x:c r="A20" s="37" t="n">
        <x:v>2</x:v>
      </x:c>
      <x:c r="B20" s="37" t="n">
        <x:v>5688</x:v>
      </x:c>
      <x:c r="C20" s="37" t="n">
        <x:v>2020</x:v>
      </x:c>
      <x:c r="D20" s="100" t="n">
        <x:v>0.3859</x:v>
      </x:c>
      <x:c r="E20" s="100"/>
      <x:c r="G20" s="37" t="s">
        <x:v>1137</x:v>
      </x:c>
      <x:c r="H20" s="37" t="s">
        <x:v>1138</x:v>
      </x:c>
      <x:c r="I20" s="37" t="s">
        <x:v>1141</x:v>
      </x:c>
      <x:c r="J20" s="37" t="s">
        <x:v>1140</x:v>
      </x:c>
    </x:row>
    <x:row r="21" ht="15" hidden="0" customHeight="1">
      <x:c r="A21" s="37" t="n">
        <x:v>3</x:v>
      </x:c>
      <x:c r="B21" s="37" t="n">
        <x:v>9021</x:v>
      </x:c>
      <x:c r="C21" s="37" t="n">
        <x:v>2021</x:v>
      </x:c>
      <x:c r="D21" s="100" t="n">
        <x:v>0.1161</x:v>
      </x:c>
      <x:c r="E21" s="100"/>
      <x:c r="G21" s="37" t="s">
        <x:v>1137</x:v>
      </x:c>
      <x:c r="H21" s="37" t="s">
        <x:v>1142</x:v>
      </x:c>
      <x:c r="I21" s="37" t="s">
        <x:v>1143</x:v>
      </x:c>
      <x:c r="J21" s="37" t="s">
        <x:v>1140</x:v>
      </x:c>
    </x:row>
    <x:row r="22" ht="15" hidden="0" customHeight="1">
      <x:c r="A22" s="37" t="n">
        <x:v>4</x:v>
      </x:c>
      <x:c r="B22" s="37" t="n">
        <x:v>1505</x:v>
      </x:c>
      <x:c r="C22" s="37" t="n">
        <x:v>2022</x:v>
      </x:c>
      <x:c r="D22" s="100" t="n">
        <x:v>0.454</x:v>
      </x:c>
      <x:c r="E22" s="100"/>
      <x:c r="G22" s="37" t="s">
        <x:v>1137</x:v>
      </x:c>
      <x:c r="H22" s="37" t="s">
        <x:v>1144</x:v>
      </x:c>
      <x:c r="I22" s="37" t="s">
        <x:v>1145</x:v>
      </x:c>
      <x:c r="J22" s="37" t="s">
        <x:v>1140</x:v>
      </x:c>
    </x:row>
    <x:row r="23" ht="15" hidden="0" customHeight="1">
      <x:c r="A23" s="37" t="n">
        <x:v>5</x:v>
      </x:c>
      <x:c r="B23" s="37" t="n">
        <x:v>7279</x:v>
      </x:c>
      <x:c r="C23" s="37" t="n">
        <x:v>2022</x:v>
      </x:c>
      <x:c r="D23" s="100" t="n">
        <x:v>0.4721</x:v>
      </x:c>
      <x:c r="E23" s="100"/>
      <x:c r="G23" s="37" t="s">
        <x:v>1137</x:v>
      </x:c>
      <x:c r="H23" s="37" t="s">
        <x:v>1146</x:v>
      </x:c>
      <x:c r="I23" s="37" t="s">
        <x:v>1147</x:v>
      </x:c>
      <x:c r="J23" s="37" t="s">
        <x:v>1140</x:v>
      </x:c>
    </x:row>
    <x:row r="24" ht="15" hidden="0" customHeight="1">
      <x:c r="A24" s="37" t="n">
        <x:v>6</x:v>
      </x:c>
      <x:c r="B24" s="37" t="n">
        <x:v>9022</x:v>
      </x:c>
      <x:c r="C24" s="37" t="n">
        <x:v>2022</x:v>
      </x:c>
      <x:c r="D24" s="100" t="n">
        <x:v>0.1198</x:v>
      </x:c>
      <x:c r="E24" s="100"/>
      <x:c r="G24" s="37" t="s">
        <x:v>1137</x:v>
      </x:c>
      <x:c r="H24" s="37" t="s">
        <x:v>1142</x:v>
      </x:c>
      <x:c r="I24" s="37" t="s">
        <x:v>1143</x:v>
      </x:c>
      <x:c r="J24" s="37" t="s">
        <x:v>1140</x:v>
      </x:c>
    </x:row>
    <x:row r="25" ht="15" hidden="0" customHeight="1">
      <x:c r="A25" s="37" t="n">
        <x:v>7</x:v>
      </x:c>
      <x:c r="B25" s="37" t="n">
        <x:v>2956</x:v>
      </x:c>
      <x:c r="C25" s="37" t="n">
        <x:v>2022</x:v>
      </x:c>
      <x:c r="D25" s="100" t="n">
        <x:v>0.7064</x:v>
      </x:c>
      <x:c r="E25" s="100"/>
      <x:c r="G25" s="37" t="s">
        <x:v>1137</x:v>
      </x:c>
      <x:c r="H25" s="37" t="s">
        <x:v>1138</x:v>
      </x:c>
      <x:c r="I25" s="37" t="s">
        <x:v>1141</x:v>
      </x:c>
      <x:c r="J25" s="37" t="s">
        <x:v>1140</x:v>
      </x:c>
    </x:row>
    <x:row r="26" ht="15" hidden="0" customHeight="1">
      <x:c r="A26" s="37" t="n">
        <x:v>8</x:v>
      </x:c>
      <x:c r="B26" s="37" t="n">
        <x:v>2957</x:v>
      </x:c>
      <x:c r="C26" s="37" t="n">
        <x:v>2022</x:v>
      </x:c>
      <x:c r="D26" s="100" t="n">
        <x:v>0.6547</x:v>
      </x:c>
      <x:c r="E26" s="100"/>
      <x:c r="G26" s="37" t="s">
        <x:v>1137</x:v>
      </x:c>
      <x:c r="H26" s="37" t="s">
        <x:v>1138</x:v>
      </x:c>
      <x:c r="I26" s="37" t="s">
        <x:v>1141</x:v>
      </x:c>
      <x:c r="J26" s="37" t="s">
        <x:v>1140</x:v>
      </x:c>
    </x:row>
    <x:row r="27" ht="15" hidden="0" customHeight="1">
      <x:c r="A27" s="37" t="n">
        <x:v>9</x:v>
      </x:c>
      <x:c r="B27" s="37" t="n">
        <x:v>2959</x:v>
      </x:c>
      <x:c r="C27" s="37" t="n">
        <x:v>2022</x:v>
      </x:c>
      <x:c r="D27" s="100" t="n">
        <x:v>0.7795</x:v>
      </x:c>
      <x:c r="E27" s="100"/>
      <x:c r="G27" s="37" t="s">
        <x:v>1137</x:v>
      </x:c>
      <x:c r="H27" s="37" t="s">
        <x:v>1138</x:v>
      </x:c>
      <x:c r="I27" s="37" t="s">
        <x:v>1141</x:v>
      </x:c>
      <x:c r="J27" s="37" t="s">
        <x:v>1140</x:v>
      </x:c>
    </x:row>
    <x:row r="28" ht="15" hidden="0" customHeight="1">
      <x:c r="A28" s="37" t="n">
        <x:v>10</x:v>
      </x:c>
      <x:c r="B28" s="37" t="n">
        <x:v>2958</x:v>
      </x:c>
      <x:c r="C28" s="37" t="n">
        <x:v>2022</x:v>
      </x:c>
      <x:c r="D28" s="100" t="n">
        <x:v>0.7856</x:v>
      </x:c>
      <x:c r="E28" s="100"/>
      <x:c r="G28" s="37" t="s">
        <x:v>1137</x:v>
      </x:c>
      <x:c r="H28" s="37" t="s">
        <x:v>1138</x:v>
      </x:c>
      <x:c r="I28" s="37" t="s">
        <x:v>1141</x:v>
      </x:c>
      <x:c r="J28" s="37" t="s">
        <x:v>1140</x:v>
      </x:c>
    </x:row>
    <x:row r="30" ht="27.75" hidden="0" customHeight="1">
      <x:c r="A30" s="159" t="str">
        <x:v>Tropical &amp; Subtropical Dry Broadleaf Forests Timber reconciliation</x:v>
      </x:c>
      <x:c r="B30" s="159" t="s">
        <x:v>1148</x:v>
      </x:c>
      <x:c r="C30" s="159" t="s">
        <x:v>94</x:v>
      </x:c>
      <x:c r="D30" s="159" t="s">
        <x:v>1149</x:v>
      </x:c>
    </x:row>
    <x:row r="31" ht="15" hidden="0" customHeight="1">
      <x:c r="A31" s="37" t="s">
        <x:v>1150</x:v>
      </x:c>
      <x:c r="B31" s="37" t="n">
        <x:v>701</x:v>
      </x:c>
      <x:c r="C31" s="37" t="n">
        <x:v>528.75310946985</x:v>
      </x:c>
      <x:c r="D31" s="37" t="s">
        <x:v>1151</x:v>
      </x:c>
    </x:row>
    <x:row r="32" ht="15" hidden="0" customHeight="1">
      <x:c r="A32" s="37" t="s">
        <x:v>1152</x:v>
      </x:c>
      <x:c r="B32" s="37" t="n">
        <x:v>10</x:v>
      </x:c>
      <x:c r="C32" s="37" t="n">
        <x:v>4.8403</x:v>
      </x:c>
      <x:c r="D32" s="37" t="s">
        <x:v>1140</x:v>
      </x:c>
    </x:row>
    <x:row r="33" ht="15" hidden="0" customHeight="1">
      <x:c r="A33" s="163" t="s">
        <x:v>1153</x:v>
      </x:c>
      <x:c r="B33" s="163" t="n">
        <x:v>691</x:v>
      </x:c>
      <x:c r="C33" s="163" t="n">
        <x:v>523.91280946985</x:v>
      </x:c>
      <x:c r="D33" s="163" t="s">
        <x:v>1154</x:v>
      </x:c>
    </x:row>
  </x:sheetData>
  <x:mergeCells>
    <x:mergeCell ref="A1:J1"/>
  </x:mergeCells>
  <x:pageMargins left="0.7" right="0.7" top="0.75" bottom="0.75" header="0.3" footer="0.3"/>
</x:worksheet>
</file>

<file path=xl/worksheets/sheet17.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11" style="37" hidden="0" customWidth="1"/>
    <x:col min="2" max="2" width="24" style="37" hidden="0" customWidth="1"/>
    <x:col min="3" max="3" width="13" style="37" hidden="0" customWidth="1"/>
    <x:col min="4" max="4" width="10" style="37" hidden="0" customWidth="1"/>
    <x:col min="5" max="5" width="16" style="37" hidden="0" customWidth="1"/>
    <x:col min="6" max="6" width="14" style="37" hidden="0" customWidth="1"/>
    <x:col min="7" max="7" width="38" style="37" hidden="0" customWidth="1"/>
    <x:col min="8" max="8" width="13" style="37" hidden="0" customWidth="1"/>
    <x:col min="9" max="9" width="34" style="37" hidden="0" customWidth="1"/>
    <x:col min="10" max="10" width="18" style="37" hidden="0" customWidth="1"/>
    <x:col min="11" max="11" width="55" style="37" hidden="0" customWidth="1"/>
    <x:col min="13" max="13" width="27" style="37" hidden="0" customWidth="1"/>
    <x:col min="14" max="14" width="13" style="37" hidden="0" customWidth="1"/>
    <x:col min="15" max="15" width="15" style="37" hidden="0" customWidth="1"/>
    <x:col min="16" max="16" width="31" style="37" hidden="0" customWidth="1"/>
  </x:cols>
  <x:sheetData>
    <x:row r="1" ht="24" hidden="0" customHeight="1">
      <x:c r="A1" s="38" t="str">
        <x:v>Complete 92-Row Biome × Model × Density × Cohort Accounting Matrix</x:v>
      </x:c>
      <x:c r="B1" s="38"/>
      <x:c r="C1" s="38"/>
      <x:c r="D1" s="38"/>
      <x:c r="E1" s="38"/>
      <x:c r="F1" s="38"/>
      <x:c r="G1" s="38"/>
      <x:c r="H1" s="38"/>
      <x:c r="I1" s="38"/>
      <x:c r="J1" s="38"/>
      <x:c r="K1" s="38"/>
      <x:c r="L1" s="116"/>
      <x:c r="M1" s="116"/>
      <x:c r="N1" s="116"/>
      <x:c r="O1" s="116"/>
      <x:c r="P1" s="116"/>
    </x:row>
    <x:row r="2" ht="231" hidden="0" customHeight="1">
      <x:c r="A2" s="45" t="str">
        <x:v>Each Biome × Model × Density × Cohort row fetches its formula-derived stock curve from S15_Source_Strata by Biological Source Key. Gross stock is eligible area × stock/ha. Biome ER sheets aggregate these formula rows by Biome × Model × Cohort.</x:v>
      </x:c>
      <x:c r="B2" s="45"/>
      <x:c r="C2" s="45"/>
      <x:c r="D2" s="45"/>
      <x:c r="E2" s="45"/>
      <x:c r="F2" s="45"/>
      <x:c r="G2" s="45"/>
      <x:c r="H2" s="45"/>
      <x:c r="I2" s="45"/>
      <x:c r="J2" s="45"/>
      <x:c r="K2" s="45"/>
      <x:c r="L2" s="45"/>
      <x:c r="M2" s="45"/>
      <x:c r="N2" s="45"/>
      <x:c r="O2" s="45"/>
      <x:c r="P2" s="45"/>
    </x:row>
    <x:row r="3" ht="15" hidden="0" customHeight="1">
      <x:c r="A3" s="95" t="str">
        <x:v>Biome</x:v>
      </x:c>
      <x:c r="B3" s="95" t="s">
        <x:v>97</x:v>
      </x:c>
      <x:c r="C3" s="95" t="s">
        <x:v>528</x:v>
      </x:c>
      <x:c r="D3" s="95" t="s">
        <x:v>529</x:v>
      </x:c>
      <x:c r="E3" s="95" t="s">
        <x:v>1155</x:v>
      </x:c>
      <x:c r="F3" s="95" t="s">
        <x:v>94</x:v>
      </x:c>
      <x:c r="G3" s="95" t="s">
        <x:v>538</x:v>
      </x:c>
      <x:c r="H3" s="95" t="s">
        <x:v>1156</x:v>
      </x:c>
      <x:c r="I3" s="95" t="s">
        <x:v>1157</x:v>
      </x:c>
      <x:c r="J3" s="95" t="s">
        <x:v>1158</x:v>
      </x:c>
      <x:c r="K3" s="95" t="s">
        <x:v>1063</x:v>
      </x:c>
      <x:c r="L3" s="40"/>
      <x:c r="M3" s="95" t="str">
        <x:v>Tropical &amp; Subtropical Dry Broadleaf Forests Timber audit</x:v>
      </x:c>
      <x:c r="N3" s="95" t="s">
        <x:v>1148</x:v>
      </x:c>
      <x:c r="O3" s="95" t="s">
        <x:v>94</x:v>
      </x:c>
      <x:c r="P3" s="95" t="s">
        <x:v>1149</x:v>
      </x:c>
      <x:c r="Q3" s="145" t="s">
        <x:v>1064</x:v>
      </x:c>
      <x:c r="R3" s="145" t="s">
        <x:v>1065</x:v>
      </x:c>
      <x:c r="S3" s="145" t="s">
        <x:v>1066</x:v>
      </x:c>
      <x:c r="T3" s="145" t="s">
        <x:v>1067</x:v>
      </x:c>
      <x:c r="U3" s="145" t="s">
        <x:v>1068</x:v>
      </x:c>
      <x:c r="V3" s="145" t="s">
        <x:v>1069</x:v>
      </x:c>
      <x:c r="W3" s="145" t="s">
        <x:v>1070</x:v>
      </x:c>
      <x:c r="X3" s="145" t="s">
        <x:v>1071</x:v>
      </x:c>
      <x:c r="Y3" s="145" t="s">
        <x:v>1072</x:v>
      </x:c>
      <x:c r="Z3" s="145" t="s">
        <x:v>1073</x:v>
      </x:c>
      <x:c r="AA3" s="145" t="s">
        <x:v>1074</x:v>
      </x:c>
      <x:c r="AB3" s="145" t="s">
        <x:v>1075</x:v>
      </x:c>
      <x:c r="AC3" s="145" t="s">
        <x:v>1076</x:v>
      </x:c>
      <x:c r="AD3" s="145" t="s">
        <x:v>1077</x:v>
      </x:c>
      <x:c r="AE3" s="145" t="s">
        <x:v>1078</x:v>
      </x:c>
      <x:c r="AF3" s="145" t="s">
        <x:v>1079</x:v>
      </x:c>
      <x:c r="AG3" s="145" t="s">
        <x:v>1080</x:v>
      </x:c>
      <x:c r="AH3" s="145" t="s">
        <x:v>1081</x:v>
      </x:c>
      <x:c r="AI3" s="145" t="s">
        <x:v>1082</x:v>
      </x:c>
      <x:c r="AJ3" s="145" t="s">
        <x:v>1083</x:v>
      </x:c>
      <x:c r="AK3" s="145" t="s">
        <x:v>1084</x:v>
      </x:c>
      <x:c r="AL3" s="145" t="s">
        <x:v>1159</x:v>
      </x:c>
      <x:c r="AM3" s="145" t="s">
        <x:v>1160</x:v>
      </x:c>
      <x:c r="AN3" s="145" t="s">
        <x:v>1161</x:v>
      </x:c>
      <x:c r="AO3" s="145" t="s">
        <x:v>1162</x:v>
      </x:c>
      <x:c r="AP3" s="145" t="s">
        <x:v>1163</x:v>
      </x:c>
      <x:c r="AQ3" s="145" t="s">
        <x:v>1164</x:v>
      </x:c>
      <x:c r="AR3" s="145" t="s">
        <x:v>1165</x:v>
      </x:c>
      <x:c r="AS3" s="145" t="s">
        <x:v>1166</x:v>
      </x:c>
      <x:c r="AT3" s="145" t="s">
        <x:v>1167</x:v>
      </x:c>
      <x:c r="AU3" s="145" t="s">
        <x:v>1168</x:v>
      </x:c>
      <x:c r="AV3" s="145" t="s">
        <x:v>1169</x:v>
      </x:c>
      <x:c r="AW3" s="145" t="s">
        <x:v>1170</x:v>
      </x:c>
      <x:c r="AX3" s="145" t="s">
        <x:v>1171</x:v>
      </x:c>
      <x:c r="AY3" s="145" t="s">
        <x:v>1172</x:v>
      </x:c>
      <x:c r="AZ3" s="145" t="s">
        <x:v>1173</x:v>
      </x:c>
      <x:c r="BA3" s="145" t="s">
        <x:v>1174</x:v>
      </x:c>
      <x:c r="BB3" s="145" t="s">
        <x:v>1175</x:v>
      </x:c>
      <x:c r="BC3" s="145" t="s">
        <x:v>1176</x:v>
      </x:c>
      <x:c r="BD3" s="145" t="s">
        <x:v>1177</x:v>
      </x:c>
      <x:c r="BE3" s="145" t="s">
        <x:v>1178</x:v>
      </x:c>
      <x:c r="BF3" s="145" t="s">
        <x:v>1179</x:v>
      </x:c>
    </x:row>
    <x:row r="4" ht="15" hidden="0" customHeight="1">
      <x:c r="A4" s="37" t="str">
        <x:v>Deserts &amp; Xeric Shrublands</x:v>
      </x:c>
      <x:c r="B4" s="37" t="s">
        <x:v>111</x:v>
      </x:c>
      <x:c r="C4" s="37" t="s">
        <x:v>549</x:v>
      </x:c>
      <x:c r="D4" s="37" t="n">
        <x:v>2020</x:v>
      </x:c>
      <x:c r="E4" s="100" t="n">
        <x:v>38</x:v>
      </x:c>
      <x:c r="F4" s="100" t="n">
        <x:v>62.7884</x:v>
      </x:c>
      <x:c r="G4" s="37" t="s">
        <x:v>551</x:v>
      </x:c>
      <x:c r="H4" s="37" t="n">
        <x:v>1</x:v>
      </x:c>
      <x:c r="I4" s="37" t="s">
        <x:v>1180</x:v>
      </x:c>
      <x:c r="J4" s="37" t="str">
        <x:v>Deserts &amp; Xeric Shrublands|2020</x:v>
      </x:c>
      <x:c r="K4" s="37" t="str">
        <x:v>Area × biological stock; VM0047 Eq.(3); PB separately by Biome×Cohort</x:v>
      </x:c>
      <x:c r="M4" s="37" t="str">
        <x:v>Raw Tropical &amp; Subtropical Dry Broadleaf Forests Timber</x:v>
      </x:c>
      <x:c r="N4" s="37" t="n">
        <x:v>701</x:v>
      </x:c>
      <x:c r="O4" s="100" t="n">
        <x:v>528.75310946985</x:v>
      </x:c>
      <x:c r="P4" s="37" t="s">
        <x:v>1181</x:v>
      </x:c>
      <x:c r="Q4" s="164" t="n">
        <x:f aca="0">IFERROR(SUMIF(S15_Source_Strata!$B$4:$B$49,$G4,S15_Source_Strata!$R$4:$R$49),0)</x:f>
        <x:v>0</x:v>
      </x:c>
      <x:c r="R4" s="164" t="n">
        <x:f aca="0">IFERROR(SUMIF(S15_Source_Strata!$B$4:$B$49,$G4,S15_Source_Strata!$S$4:$S$49),0)</x:f>
        <x:v>0.041887249891712</x:v>
      </x:c>
      <x:c r="S4" s="164" t="n">
        <x:f aca="0">IFERROR(SUMIF(S15_Source_Strata!$B$4:$B$49,$G4,S15_Source_Strata!$T$4:$T$49),0)</x:f>
        <x:v>0.5006911820948761</x:v>
      </x:c>
      <x:c r="T4" s="164" t="n">
        <x:f aca="0">IFERROR(SUMIF(S15_Source_Strata!$B$4:$B$49,$G4,S15_Source_Strata!$U$4:$U$49),0)</x:f>
        <x:v>1.9160435894217756</x:v>
      </x:c>
      <x:c r="U4" s="164" t="n">
        <x:f aca="0">IFERROR(SUMIF(S15_Source_Strata!$B$4:$B$49,$G4,S15_Source_Strata!$V$4:$V$49),0)</x:f>
        <x:v>4.648002141175279</x:v>
      </x:c>
      <x:c r="V4" s="164" t="n">
        <x:f aca="0">IFERROR(SUMIF(S15_Source_Strata!$B$4:$B$49,$G4,S15_Source_Strata!$W$4:$W$49),0)</x:f>
        <x:v>8.765836201233046</x:v>
      </x:c>
      <x:c r="W4" s="164" t="n">
        <x:f aca="0">IFERROR(SUMIF(S15_Source_Strata!$B$4:$B$49,$G4,S15_Source_Strata!$X$4:$X$49),0)</x:f>
        <x:v>14.137731009696834</x:v>
      </x:c>
      <x:c r="X4" s="164" t="n">
        <x:f aca="0">IFERROR(SUMIF(S15_Source_Strata!$B$4:$B$49,$G4,S15_Source_Strata!$Y$4:$Y$49),0)</x:f>
        <x:v>20.514687829934044</x:v>
      </x:c>
      <x:c r="Y4" s="164" t="n">
        <x:f aca="0">IFERROR(SUMIF(S15_Source_Strata!$B$4:$B$49,$G4,S15_Source_Strata!$Z$4:$Z$49),0)</x:f>
        <x:v>27.60358895515498</x:v>
      </x:c>
      <x:c r="Z4" s="164" t="n">
        <x:f aca="0">IFERROR(SUMIF(S15_Source_Strata!$B$4:$B$49,$G4,S15_Source_Strata!$AA$4:$AA$49),0)</x:f>
        <x:v>35.11614902570361</x:v>
      </x:c>
      <x:c r="AA4" s="164" t="n">
        <x:f aca="0">IFERROR(SUMIF(S15_Source_Strata!$B$4:$B$49,$G4,S15_Source_Strata!$AB$4:$AB$49),0)</x:f>
        <x:v>42.796694831673534</x:v>
      </x:c>
      <x:c r="AB4" s="164" t="n">
        <x:f aca="0">IFERROR(SUMIF(S15_Source_Strata!$B$4:$B$49,$G4,S15_Source_Strata!$AC$4:$AC$49),0)</x:f>
        <x:v>50.43458352773399</x:v>
      </x:c>
      <x:c r="AC4" s="164" t="n">
        <x:f aca="0">IFERROR(SUMIF(S15_Source_Strata!$B$4:$B$49,$G4,S15_Source_Strata!$AD$4:$AD$49),0)</x:f>
        <x:v>57.8667406233523</x:v>
      </x:c>
      <x:c r="AD4" s="164" t="n">
        <x:f aca="0">IFERROR(SUMIF(S15_Source_Strata!$B$4:$B$49,$G4,S15_Source_Strata!$AE$4:$AE$49),0)</x:f>
        <x:v>64.97452870620393</x:v>
      </x:c>
      <x:c r="AE4" s="164" t="n">
        <x:f aca="0">IFERROR(SUMIF(S15_Source_Strata!$B$4:$B$49,$G4,S15_Source_Strata!$AF$4:$AF$49),0)</x:f>
        <x:v>71.67784329965413</x:v>
      </x:c>
      <x:c r="AF4" s="164" t="n">
        <x:f aca="0">IFERROR(SUMIF(S15_Source_Strata!$B$4:$B$49,$G4,S15_Source_Strata!$AG$4:$AG$49),0)</x:f>
        <x:v>77.92826810156097</x:v>
      </x:c>
      <x:c r="AG4" s="164" t="n">
        <x:f aca="0">IFERROR(SUMIF(S15_Source_Strata!$B$4:$B$49,$G4,S15_Source_Strata!$AH$4:$AH$49),0)</x:f>
        <x:v>83.70235418006737</x:v>
      </x:c>
      <x:c r="AH4" s="164" t="n">
        <x:f aca="0">IFERROR(SUMIF(S15_Source_Strata!$B$4:$B$49,$G4,S15_Source_Strata!$AI$4:$AI$49),0)</x:f>
        <x:v>88.99557408183094</x:v>
      </x:c>
      <x:c r="AI4" s="164" t="n">
        <x:f aca="0">IFERROR(SUMIF(S15_Source_Strata!$B$4:$B$49,$G4,S15_Source_Strata!$AJ$4:$AJ$49),0)</x:f>
        <x:v>93.81717915983346</x:v>
      </x:c>
      <x:c r="AJ4" s="164" t="n">
        <x:f aca="0">IFERROR(SUMIF(S15_Source_Strata!$B$4:$B$49,$G4,S15_Source_Strata!$AK$4:$AK$49),0)</x:f>
        <x:v>98.18599878326182</x:v>
      </x:c>
      <x:c r="AK4" s="164" t="n">
        <x:f aca="0">IFERROR(SUMIF(S15_Source_Strata!$B$4:$B$49,$G4,S15_Source_Strata!$AL$4:$AL$49),0)</x:f>
        <x:v>102.12711804116768</x:v>
      </x:c>
      <x:c r="AL4" s="165" t="n">
        <x:f aca="0">$F4*Q4</x:f>
        <x:v>0</x:v>
      </x:c>
      <x:c r="AM4" s="165" t="n">
        <x:f aca="0">$F4*R4</x:f>
        <x:v>2.6300334011007696</x:v>
      </x:c>
      <x:c r="AN4" s="165" t="n">
        <x:f aca="0">$F4*S4</x:f>
        <x:v>31.437598217845917</x:v>
      </x:c>
      <x:c r="AO4" s="165" t="n">
        <x:f aca="0">$F4*T4</x:f>
        <x:v>120.30531131005021</x:v>
      </x:c>
      <x:c r="AP4" s="165" t="n">
        <x:f aca="0">$F4*U4</x:f>
        <x:v>291.8406176409699</x:v>
      </x:c>
      <x:c r="AQ4" s="165" t="n">
        <x:f aca="0">$F4*V4</x:f>
        <x:v>550.3928297375011</x:v>
      </x:c>
      <x:c r="AR4" s="165" t="n">
        <x:f aca="0">$F4*W4</x:f>
        <x:v>887.6855097292487</x:v>
      </x:c>
      <x:c r="AS4" s="165" t="n">
        <x:f aca="0">$F4*X4</x:f>
        <x:v>1288.0844253410307</x:v>
      </x:c>
      <x:c r="AT4" s="165" t="n">
        <x:f aca="0">$F4*Y4</x:f>
        <x:v>1733.185184751853</x:v>
      </x:c>
      <x:c r="AU4" s="165" t="n">
        <x:f aca="0">$F4*Z4</x:f>
        <x:v>2204.886811485489</x:v>
      </x:c>
      <x:c r="AV4" s="165" t="n">
        <x:f aca="0">$F4*AA4</x:f>
        <x:v>2687.135993769051</x:v>
      </x:c>
      <x:c r="AW4" s="165" t="n">
        <x:f aca="0">$F4*AB4</x:f>
        <x:v>3166.706804372773</x:v>
      </x:c>
      <x:c r="AX4" s="165" t="n">
        <x:f aca="0">$F4*AC4</x:f>
        <x:v>3633.3600569552937</x:v>
      </x:c>
      <x:c r="AY4" s="165" t="n">
        <x:f aca="0">$F4*AD4</x:f>
        <x:v>4079.646698216615</x:v>
      </x:c>
      <x:c r="AZ4" s="165" t="n">
        <x:f aca="0">$F4*AE4</x:f>
        <x:v>4500.537096236004</x:v>
      </x:c>
      <x:c r="BA4" s="165" t="n">
        <x:f aca="0">$F4*AF4</x:f>
        <x:v>4892.9912688680515</x:v>
      </x:c>
      <x:c r="BB4" s="165" t="n">
        <x:f aca="0">$F4*AG4</x:f>
        <x:v>5255.5368951997425</x:v>
      </x:c>
      <x:c r="BC4" s="165" t="n">
        <x:f aca="0">$F4*AH4</x:f>
        <x:v>5587.889703679634</x:v>
      </x:c>
      <x:c r="BD4" s="165" t="n">
        <x:f aca="0">$F4*AI4</x:f>
        <x:v>5890.630571959287</x:v>
      </x:c>
      <x:c r="BE4" s="165" t="n">
        <x:f aca="0">$F4*AJ4</x:f>
        <x:v>6164.941766002957</x:v>
      </x:c>
      <x:c r="BF4" s="165" t="n">
        <x:f aca="0">$F4*AK4</x:f>
        <x:v>6412.398338416053</x:v>
      </x:c>
    </x:row>
    <x:row r="5" ht="15" hidden="0" customHeight="1">
      <x:c r="A5" s="37" t="str">
        <x:v>Deserts &amp; Xeric Shrublands</x:v>
      </x:c>
      <x:c r="B5" s="37" t="s">
        <x:v>111</x:v>
      </x:c>
      <x:c r="C5" s="37" t="s">
        <x:v>553</x:v>
      </x:c>
      <x:c r="D5" s="37" t="n">
        <x:v>2020</x:v>
      </x:c>
      <x:c r="E5" s="100" t="n">
        <x:v>339</x:v>
      </x:c>
      <x:c r="F5" s="100" t="n">
        <x:v>451.2108</x:v>
      </x:c>
      <x:c r="G5" s="37" t="s">
        <x:v>555</x:v>
      </x:c>
      <x:c r="H5" s="37" t="n">
        <x:v>2</x:v>
      </x:c>
      <x:c r="I5" s="37" t="s">
        <x:v>1180</x:v>
      </x:c>
      <x:c r="J5" s="37" t="str">
        <x:v>Deserts &amp; Xeric Shrublands|2020</x:v>
      </x:c>
      <x:c r="K5" s="37" t="str">
        <x:v>Area × biological stock; VM0047 Eq.(3); PB separately by Biome×Cohort</x:v>
      </x:c>
      <x:c r="M5" s="37" t="s">
        <x:v>1182</x:v>
      </x:c>
      <x:c r="N5" s="37" t="n">
        <x:v>10</x:v>
      </x:c>
      <x:c r="O5" s="100" t="n">
        <x:v>4.8403</x:v>
      </x:c>
      <x:c r="P5" s="37" t="s">
        <x:v>1183</x:v>
      </x:c>
      <x:c r="Q5" s="164" t="n">
        <x:f aca="0">IFERROR(SUMIF(S15_Source_Strata!$B$4:$B$49,$G5,S15_Source_Strata!$R$4:$R$49),0)</x:f>
        <x:v>0</x:v>
      </x:c>
      <x:c r="R5" s="164" t="n">
        <x:f aca="0">IFERROR(SUMIF(S15_Source_Strata!$B$4:$B$49,$G5,S15_Source_Strata!$S$4:$S$49),0)</x:f>
        <x:v>0.06926048119973205</x:v>
      </x:c>
      <x:c r="S5" s="164" t="n">
        <x:f aca="0">IFERROR(SUMIF(S15_Source_Strata!$B$4:$B$49,$G5,S15_Source_Strata!$T$4:$T$49),0)</x:f>
        <x:v>0.8356871819009624</x:v>
      </x:c>
      <x:c r="T5" s="164" t="n">
        <x:f aca="0">IFERROR(SUMIF(S15_Source_Strata!$B$4:$B$49,$G5,S15_Source_Strata!$U$4:$U$49),0)</x:f>
        <x:v>3.2052071159215103</x:v>
      </x:c>
      <x:c r="U5" s="164" t="n">
        <x:f aca="0">IFERROR(SUMIF(S15_Source_Strata!$B$4:$B$49,$G5,S15_Source_Strata!$V$4:$V$49),0)</x:f>
        <x:v>7.772014633913014</x:v>
      </x:c>
      <x:c r="V5" s="164" t="n">
        <x:f aca="0">IFERROR(SUMIF(S15_Source_Strata!$B$4:$B$49,$G5,S15_Source_Strata!$W$4:$W$49),0)</x:f>
        <x:v>14.634394131534494</x:v>
      </x:c>
      <x:c r="W5" s="164" t="n">
        <x:f aca="0">IFERROR(SUMIF(S15_Source_Strata!$B$4:$B$49,$G5,S15_Source_Strata!$X$4:$X$49),0)</x:f>
        <x:v>23.55391233001972</x:v>
      </x:c>
      <x:c r="X5" s="164" t="n">
        <x:f aca="0">IFERROR(SUMIF(S15_Source_Strata!$B$4:$B$49,$G5,S15_Source_Strata!$Y$4:$Y$49),0)</x:f>
        <x:v>34.10206893558147</x:v>
      </x:c>
      <x:c r="Y5" s="164" t="n">
        <x:f aca="0">IFERROR(SUMIF(S15_Source_Strata!$B$4:$B$49,$G5,S15_Source_Strata!$Z$4:$Z$49),0)</x:f>
        <x:v>45.784385494931186</x:v>
      </x:c>
      <x:c r="Z5" s="164" t="n">
        <x:f aca="0">IFERROR(SUMIF(S15_Source_Strata!$B$4:$B$49,$G5,S15_Source_Strata!$AA$4:$AA$49),0)</x:f>
        <x:v>58.12130558906018</x:v>
      </x:c>
      <x:c r="AA5" s="164" t="n">
        <x:f aca="0">IFERROR(SUMIF(S15_Source_Strata!$B$4:$B$49,$G5,S15_Source_Strata!$AB$4:$AB$49),0)</x:f>
        <x:v>70.69253798715549</x:v>
      </x:c>
      <x:c r="AB5" s="164" t="n">
        <x:f aca="0">IFERROR(SUMIF(S15_Source_Strata!$B$4:$B$49,$G5,S15_Source_Strata!$AC$4:$AC$49),0)</x:f>
        <x:v>83.15564243060469</x:v>
      </x:c>
      <x:c r="AC5" s="164" t="n">
        <x:f aca="0">IFERROR(SUMIF(S15_Source_Strata!$B$4:$B$49,$G5,S15_Source_Strata!$AD$4:$AD$49),0)</x:f>
        <x:v>95.24851896646659</x:v>
      </x:c>
      <x:c r="AD5" s="164" t="n">
        <x:f aca="0">IFERROR(SUMIF(S15_Source_Strata!$B$4:$B$49,$G5,S15_Source_Strata!$AE$4:$AE$49),0)</x:f>
        <x:v>106.78296780569482</x:v>
      </x:c>
      <x:c r="AE5" s="164" t="n">
        <x:f aca="0">IFERROR(SUMIF(S15_Source_Strata!$B$4:$B$49,$G5,S15_Source_Strata!$AF$4:$AF$49),0)</x:f>
        <x:v>117.6341076893758</x:v>
      </x:c>
      <x:c r="AF5" s="164" t="n">
        <x:f aca="0">IFERROR(SUMIF(S15_Source_Strata!$B$4:$B$49,$G5,S15_Source_Strata!$AG$4:$AG$49),0)</x:f>
        <x:v>127.72859818772162</x:v>
      </x:c>
      <x:c r="AG5" s="164" t="n">
        <x:f aca="0">IFERROR(SUMIF(S15_Source_Strata!$B$4:$B$49,$G5,S15_Source_Strata!$AH$4:$AH$49),0)</x:f>
        <x:v>137.03332468966457</x:v>
      </x:c>
      <x:c r="AH5" s="164" t="n">
        <x:f aca="0">IFERROR(SUMIF(S15_Source_Strata!$B$4:$B$49,$G5,S15_Source_Strata!$AI$4:$AI$49),0)</x:f>
        <x:v>145.54536734192152</x:v>
      </x:c>
      <x:c r="AI5" s="164" t="n">
        <x:f aca="0">IFERROR(SUMIF(S15_Source_Strata!$B$4:$B$49,$G5,S15_Source_Strata!$AJ$4:$AJ$49),0)</x:f>
        <x:v>153.2835625814983</x:v>
      </x:c>
      <x:c r="AJ5" s="164" t="n">
        <x:f aca="0">IFERROR(SUMIF(S15_Source_Strata!$B$4:$B$49,$G5,S15_Source_Strata!$AK$4:$AK$49),0)</x:f>
        <x:v>160.28167294438046</x:v>
      </x:c>
      <x:c r="AK5" s="164" t="n">
        <x:f aca="0">IFERROR(SUMIF(S15_Source_Strata!$B$4:$B$49,$G5,S15_Source_Strata!$AL$4:$AL$49),0)</x:f>
        <x:v>166.58302893091556</x:v>
      </x:c>
      <x:c r="AL5" s="165" t="n">
        <x:f aca="0">$F5*Q5</x:f>
        <x:v>0</x:v>
      </x:c>
      <x:c r="AM5" s="165" t="n">
        <x:f aca="0">$F5*R5</x:f>
        <x:v>31.25107713051606</x:v>
      </x:c>
      <x:c r="AN5" s="165" t="n">
        <x:f aca="0">$F5*S5</x:f>
        <x:v>377.0710818952788</x:v>
      </x:c>
      <x:c r="AO5" s="165" t="n">
        <x:f aca="0">$F5*T5</x:f>
        <x:v>1446.2240669406374</x:v>
      </x:c>
      <x:c r="AP5" s="165" t="n">
        <x:f aca="0">$F5*U5</x:f>
        <x:v>3506.8169405795984</x:v>
      </x:c>
      <x:c r="AQ5" s="165" t="n">
        <x:f aca="0">$F5*V5</x:f>
        <x:v>6603.196683604984</x:v>
      </x:c>
      <x:c r="AR5" s="165" t="n">
        <x:f aca="0">$F5*W5</x:f>
        <x:v>10627.779625558062</x:v>
      </x:c>
      <x:c r="AS5" s="165" t="n">
        <x:f aca="0">$F5*X5</x:f>
        <x:v>15387.221806078864</x:v>
      </x:c>
      <x:c r="AT5" s="165" t="n">
        <x:f aca="0">$F5*Y5</x:f>
        <x:v>20658.409206676297</x:v>
      </x:c>
      <x:c r="AU5" s="165" t="n">
        <x:f aca="0">$F5*Z5</x:f>
        <x:v>26224.960791884314</x:v>
      </x:c>
      <x:c r="AV5" s="165" t="n">
        <x:f aca="0">$F5*AA5</x:f>
        <x:v>31897.23661921482</x:v>
      </x:c>
      <x:c r="AW5" s="165" t="n">
        <x:f aca="0">$F5*AB5</x:f>
        <x:v>37520.72394562708</x:v>
      </x:c>
      <x:c r="AX5" s="165" t="n">
        <x:f aca="0">$F5*AC5</x:f>
        <x:v>42977.16044167456</x:v>
      </x:c>
      <x:c r="AY5" s="165" t="n">
        <x:f aca="0">$F5*AD5</x:f>
        <x:v>48181.62832998181</x:v>
      </x:c>
      <x:c r="AZ5" s="165" t="n">
        <x:f aca="0">$F5*AE5</x:f>
        <x:v>53077.77983780941</x:v>
      </x:c>
      <x:c r="BA5" s="165" t="n">
        <x:f aca="0">$F5*AF5</x:f>
        <x:v>57632.52297116042</x:v>
      </x:c>
      <x:c r="BB5" s="165" t="n">
        <x:f aca="0">$F5*AG5</x:f>
        <x:v>61830.916059883304</x:v>
      </x:c>
      <x:c r="BC5" s="165" t="n">
        <x:f aca="0">$F5*AH5</x:f>
        <x:v>65671.64163464228</x:v>
      </x:c>
      <x:c r="BD5" s="165" t="n">
        <x:f aca="0">$F5*AI5</x:f>
        <x:v>69163.19889924792</x:v>
      </x:c>
      <x:c r="BE5" s="165" t="n">
        <x:f aca="0">$F5*AJ5</x:f>
        <x:v>72320.82187457227</x:v>
      </x:c>
      <x:c r="BF5" s="165" t="n">
        <x:f aca="0">$F5*AK5</x:f>
        <x:v>75164.06175034156</x:v>
      </x:c>
    </x:row>
    <x:row r="6" ht="15" hidden="0" customHeight="1">
      <x:c r="A6" s="37" t="str">
        <x:v>Deserts &amp; Xeric Shrublands</x:v>
      </x:c>
      <x:c r="B6" s="37" t="s">
        <x:v>111</x:v>
      </x:c>
      <x:c r="C6" s="37" t="s">
        <x:v>542</x:v>
      </x:c>
      <x:c r="D6" s="37" t="n">
        <x:v>2020</x:v>
      </x:c>
      <x:c r="E6" s="100" t="n">
        <x:v>111</x:v>
      </x:c>
      <x:c r="F6" s="100" t="n">
        <x:v>109.9544</x:v>
      </x:c>
      <x:c r="G6" s="37" t="s">
        <x:v>545</x:v>
      </x:c>
      <x:c r="H6" s="37" t="n">
        <x:v>2</x:v>
      </x:c>
      <x:c r="I6" s="37" t="s">
        <x:v>1180</x:v>
      </x:c>
      <x:c r="J6" s="37" t="str">
        <x:v>Deserts &amp; Xeric Shrublands|2020</x:v>
      </x:c>
      <x:c r="K6" s="37" t="str">
        <x:v>Area × biological stock; VM0047 Eq.(3); PB separately by Biome×Cohort</x:v>
      </x:c>
      <x:c r="M6" s="163" t="str">
        <x:v>ERR Tropical &amp; Subtropical Dry Broadleaf Forests Timber</x:v>
      </x:c>
      <x:c r="N6" s="163" t="n">
        <x:v>691</x:v>
      </x:c>
      <x:c r="O6" s="166" t="n">
        <x:v>523.91280946985</x:v>
      </x:c>
      <x:c r="P6" s="163" t="s">
        <x:v>1184</x:v>
      </x:c>
      <x:c r="Q6" s="164" t="n">
        <x:f aca="0">IFERROR(SUMIF(S15_Source_Strata!$B$4:$B$49,$G6,S15_Source_Strata!$R$4:$R$49),0)</x:f>
        <x:v>0</x:v>
      </x:c>
      <x:c r="R6" s="164" t="n">
        <x:f aca="0">IFERROR(SUMIF(S15_Source_Strata!$B$4:$B$49,$G6,S15_Source_Strata!$S$4:$S$49),0)</x:f>
        <x:v>0.07467984088429572</x:v>
      </x:c>
      <x:c r="S6" s="164" t="n">
        <x:f aca="0">IFERROR(SUMIF(S15_Source_Strata!$B$4:$B$49,$G6,S15_Source_Strata!$T$4:$T$49),0)</x:f>
        <x:v>0.9155074450282028</x:v>
      </x:c>
      <x:c r="T6" s="164" t="n">
        <x:f aca="0">IFERROR(SUMIF(S15_Source_Strata!$B$4:$B$49,$G6,S15_Source_Strata!$U$4:$U$49),0)</x:f>
        <x:v>3.459153360886757</x:v>
      </x:c>
      <x:c r="U6" s="164" t="n">
        <x:f aca="0">IFERROR(SUMIF(S15_Source_Strata!$B$4:$B$49,$G6,S15_Source_Strata!$V$4:$V$49),0)</x:f>
        <x:v>8.17416872954326</x:v>
      </x:c>
      <x:c r="V6" s="164" t="n">
        <x:f aca="0">IFERROR(SUMIF(S15_Source_Strata!$B$4:$B$49,$G6,S15_Source_Strata!$W$4:$W$49),0)</x:f>
        <x:v>14.934845429105282</x:v>
      </x:c>
      <x:c r="W6" s="164" t="n">
        <x:f aca="0">IFERROR(SUMIF(S15_Source_Strata!$B$4:$B$49,$G6,S15_Source_Strata!$X$4:$X$49),0)</x:f>
        <x:v>23.290920145135782</x:v>
      </x:c>
      <x:c r="X6" s="164" t="n">
        <x:f aca="0">IFERROR(SUMIF(S15_Source_Strata!$B$4:$B$49,$G6,S15_Source_Strata!$Y$4:$Y$49),0)</x:f>
        <x:v>32.676845883129</x:v>
      </x:c>
      <x:c r="Y6" s="164" t="n">
        <x:f aca="0">IFERROR(SUMIF(S15_Source_Strata!$B$4:$B$49,$G6,S15_Source_Strata!$Z$4:$Z$49),0)</x:f>
        <x:v>42.5517787792618</x:v>
      </x:c>
      <x:c r="Z6" s="164" t="n">
        <x:f aca="0">IFERROR(SUMIF(S15_Source_Strata!$B$4:$B$49,$G6,S15_Source_Strata!$AA$4:$AA$49),0)</x:f>
        <x:v>52.46753095745866</x:v>
      </x:c>
      <x:c r="AA6" s="164" t="n">
        <x:f aca="0">IFERROR(SUMIF(S15_Source_Strata!$B$4:$B$49,$G6,S15_Source_Strata!$AB$4:$AB$49),0)</x:f>
        <x:v>62.088727706504955</x:v>
      </x:c>
      <x:c r="AB6" s="164" t="n">
        <x:f aca="0">IFERROR(SUMIF(S15_Source_Strata!$B$4:$B$49,$G6,S15_Source_Strata!$AC$4:$AC$49),0)</x:f>
        <x:v>71.18686146835013</x:v>
      </x:c>
      <x:c r="AC6" s="164" t="n">
        <x:f aca="0">IFERROR(SUMIF(S15_Source_Strata!$B$4:$B$49,$G6,S15_Source_Strata!$AD$4:$AD$49),0)</x:f>
        <x:v>79.62292976284827</x:v>
      </x:c>
      <x:c r="AD6" s="164" t="n">
        <x:f aca="0">IFERROR(SUMIF(S15_Source_Strata!$B$4:$B$49,$G6,S15_Source_Strata!$AE$4:$AE$49),0)</x:f>
        <x:v>87.32716549861607</x:v>
      </x:c>
      <x:c r="AE6" s="164" t="n">
        <x:f aca="0">IFERROR(SUMIF(S15_Source_Strata!$B$4:$B$49,$G6,S15_Source_Strata!$AF$4:$AF$49),0)</x:f>
        <x:v>94.28012952869116</x:v>
      </x:c>
      <x:c r="AF6" s="164" t="n">
        <x:f aca="0">IFERROR(SUMIF(S15_Source_Strata!$B$4:$B$49,$G6,S15_Source_Strata!$AG$4:$AG$49),0)</x:f>
        <x:v>100.49689300912144</x:v>
      </x:c>
      <x:c r="AG6" s="164" t="n">
        <x:f aca="0">IFERROR(SUMIF(S15_Source_Strata!$B$4:$B$49,$G6,S15_Source_Strata!$AH$4:$AH$49),0)</x:f>
        <x:v>106.01466917516407</x:v>
      </x:c>
      <x:c r="AH6" s="164" t="n">
        <x:f aca="0">IFERROR(SUMIF(S15_Source_Strata!$B$4:$B$49,$G6,S15_Source_Strata!$AI$4:$AI$49),0)</x:f>
        <x:v>110.88360662125636</x:v>
      </x:c>
      <x:c r="AI6" s="164" t="n">
        <x:f aca="0">IFERROR(SUMIF(S15_Source_Strata!$B$4:$B$49,$G6,S15_Source_Strata!$AJ$4:$AJ$49),0)</x:f>
        <x:v>115.16021267185421</x:v>
      </x:c>
      <x:c r="AJ6" s="164" t="n">
        <x:f aca="0">IFERROR(SUMIF(S15_Source_Strata!$B$4:$B$49,$G6,S15_Source_Strata!$AK$4:$AK$49),0)</x:f>
        <x:v>118.9028388371039</x:v>
      </x:c>
      <x:c r="AK6" s="164" t="n">
        <x:f aca="0">IFERROR(SUMIF(S15_Source_Strata!$B$4:$B$49,$G6,S15_Source_Strata!$AL$4:$AL$49),0)</x:f>
        <x:v>122.1687170856391</x:v>
      </x:c>
      <x:c r="AL6" s="165" t="n">
        <x:f aca="0">$F6*Q6</x:f>
        <x:v>0</x:v>
      </x:c>
      <x:c r="AM6" s="165" t="n">
        <x:f aca="0">$F6*R6</x:f>
        <x:v>8.211377096528205</x:v>
      </x:c>
      <x:c r="AN6" s="165" t="n">
        <x:f aca="0">$F6*S6</x:f>
        <x:v>100.66407181360903</x:v>
      </x:c>
      <x:c r="AO6" s="165" t="n">
        <x:f aca="0">$F6*T6</x:f>
        <x:v>380.34913230428685</x:v>
      </x:c>
      <x:c r="AP6" s="165" t="n">
        <x:f aca="0">$F6*U6</x:f>
        <x:v>898.7858181556915</x:v>
      </x:c>
      <x:c r="AQ6" s="165" t="n">
        <x:f aca="0">$F6*V6</x:f>
        <x:v>1642.1519682500139</x:v>
      </x:c>
      <x:c r="AR6" s="165" t="n">
        <x:f aca="0">$F6*W6</x:f>
        <x:v>2560.939150006318</x:v>
      </x:c>
      <x:c r="AS6" s="165" t="n">
        <x:f aca="0">$F6*X6</x:f>
        <x:v>3592.9629829719192</x:v>
      </x:c>
      <x:c r="AT6" s="165" t="n">
        <x:f aca="0">$F6*Y6</x:f>
        <x:v>4678.755304606464</x:v>
      </x:c>
      <x:c r="AU6" s="165" t="n">
        <x:f aca="0">$F6*Z6</x:f>
        <x:v>5769.035885908793</x:v>
      </x:c>
      <x:c r="AV6" s="165" t="n">
        <x:f aca="0">$F6*AA6</x:f>
        <x:v>6826.928801732129</x:v>
      </x:c>
      <x:c r="AW6" s="165" t="n">
        <x:f aca="0">$F6*AB6</x:f>
        <x:v>7827.308640635558</x:v>
      </x:c>
      <x:c r="AX6" s="165" t="n">
        <x:f aca="0">$F6*AC6</x:f>
        <x:v>8754.891468316124</x:v>
      </x:c>
      <x:c r="AY6" s="165" t="n">
        <x:f aca="0">$F6*AD6</x:f>
        <x:v>9602.006086101032</x:v>
      </x:c>
      <x:c r="AZ6" s="165" t="n">
        <x:f aca="0">$F6*AE6</x:f>
        <x:v>10366.51507424952</x:v>
      </x:c>
      <x:c r="BA6" s="165" t="n">
        <x:f aca="0">$F6*AF6</x:f>
        <x:v>11050.075572682143</x:v>
      </x:c>
      <x:c r="BB6" s="165" t="n">
        <x:f aca="0">$F6*AG6</x:f>
        <x:v>11656.779340353662</x:v>
      </x:c>
      <x:c r="BC6" s="165" t="n">
        <x:f aca="0">$F6*AH6</x:f>
        <x:v>12192.140435876272</x:v>
      </x:c>
      <x:c r="BD6" s="165" t="n">
        <x:f aca="0">$F6*AI6</x:f>
        <x:v>12662.372088206128</x:v>
      </x:c>
      <x:c r="BE6" s="165" t="n">
        <x:f aca="0">$F6*AJ6</x:f>
        <x:v>13073.890302630458</x:v>
      </x:c>
      <x:c r="BF6" s="165" t="n">
        <x:f aca="0">$F6*AK6</x:f>
        <x:v>13432.987985921196</x:v>
      </x:c>
    </x:row>
    <x:row r="7" ht="15" hidden="0" customHeight="1">
      <x:c r="A7" s="37" t="str">
        <x:v>Deserts &amp; Xeric Shrublands</x:v>
      </x:c>
      <x:c r="B7" s="37" t="s">
        <x:v>111</x:v>
      </x:c>
      <x:c r="C7" s="37" t="s">
        <x:v>549</x:v>
      </x:c>
      <x:c r="D7" s="37" t="n">
        <x:v>2021</x:v>
      </x:c>
      <x:c r="E7" s="100" t="n">
        <x:v>12</x:v>
      </x:c>
      <x:c r="F7" s="100" t="n">
        <x:v>23.1256</x:v>
      </x:c>
      <x:c r="G7" s="37" t="s">
        <x:v>1109</x:v>
      </x:c>
      <x:c r="H7" s="37" t="n">
        <x:v>0</x:v>
      </x:c>
      <x:c r="I7" s="37" t="s">
        <x:v>1185</x:v>
      </x:c>
      <x:c r="J7" s="37" t="str">
        <x:v>Deserts &amp; Xeric Shrublands|2021</x:v>
      </x:c>
      <x:c r="K7" s="37" t="str">
        <x:v>Area × biological stock; VM0047 Eq.(3); PB separately by Biome×Cohort</x:v>
      </x:c>
      <x:c r="M7" s="37" t="s">
        <x:v>1186</x:v>
      </x:c>
      <x:c r="N7" s="37" t="n">
        <x:v>3118</x:v>
      </x:c>
      <x:c r="O7" s="100" t="n">
        <x:v>2851.7985335087</x:v>
      </x:c>
      <x:c r="P7" s="37" t="s">
        <x:v>1187</x:v>
      </x:c>
      <x:c r="Q7" s="164" t="n">
        <x:f aca="0">IFERROR(SUMIF(S15_Source_Strata!$B$4:$B$49,$G7,S15_Source_Strata!$R$4:$R$49),0)</x:f>
        <x:v>0</x:v>
      </x:c>
      <x:c r="R7" s="164" t="n">
        <x:f aca="0">IFERROR(SUMIF(S15_Source_Strata!$B$4:$B$49,$G7,S15_Source_Strata!$S$4:$S$49),0)</x:f>
        <x:v>0</x:v>
      </x:c>
      <x:c r="S7" s="164" t="n">
        <x:f aca="0">IFERROR(SUMIF(S15_Source_Strata!$B$4:$B$49,$G7,S15_Source_Strata!$T$4:$T$49),0)</x:f>
        <x:v>0.041887249891712</x:v>
      </x:c>
      <x:c r="T7" s="164" t="n">
        <x:f aca="0">IFERROR(SUMIF(S15_Source_Strata!$B$4:$B$49,$G7,S15_Source_Strata!$U$4:$U$49),0)</x:f>
        <x:v>0.5006911820948761</x:v>
      </x:c>
      <x:c r="U7" s="164" t="n">
        <x:f aca="0">IFERROR(SUMIF(S15_Source_Strata!$B$4:$B$49,$G7,S15_Source_Strata!$V$4:$V$49),0)</x:f>
        <x:v>1.9160435894217756</x:v>
      </x:c>
      <x:c r="V7" s="164" t="n">
        <x:f aca="0">IFERROR(SUMIF(S15_Source_Strata!$B$4:$B$49,$G7,S15_Source_Strata!$W$4:$W$49),0)</x:f>
        <x:v>4.648002141175279</x:v>
      </x:c>
      <x:c r="W7" s="164" t="n">
        <x:f aca="0">IFERROR(SUMIF(S15_Source_Strata!$B$4:$B$49,$G7,S15_Source_Strata!$X$4:$X$49),0)</x:f>
        <x:v>8.765836201233046</x:v>
      </x:c>
      <x:c r="X7" s="164" t="n">
        <x:f aca="0">IFERROR(SUMIF(S15_Source_Strata!$B$4:$B$49,$G7,S15_Source_Strata!$Y$4:$Y$49),0)</x:f>
        <x:v>14.137731009696834</x:v>
      </x:c>
      <x:c r="Y7" s="164" t="n">
        <x:f aca="0">IFERROR(SUMIF(S15_Source_Strata!$B$4:$B$49,$G7,S15_Source_Strata!$Z$4:$Z$49),0)</x:f>
        <x:v>20.514687829934044</x:v>
      </x:c>
      <x:c r="Z7" s="164" t="n">
        <x:f aca="0">IFERROR(SUMIF(S15_Source_Strata!$B$4:$B$49,$G7,S15_Source_Strata!$AA$4:$AA$49),0)</x:f>
        <x:v>27.60358895515498</x:v>
      </x:c>
      <x:c r="AA7" s="164" t="n">
        <x:f aca="0">IFERROR(SUMIF(S15_Source_Strata!$B$4:$B$49,$G7,S15_Source_Strata!$AB$4:$AB$49),0)</x:f>
        <x:v>35.11614902570361</x:v>
      </x:c>
      <x:c r="AB7" s="164" t="n">
        <x:f aca="0">IFERROR(SUMIF(S15_Source_Strata!$B$4:$B$49,$G7,S15_Source_Strata!$AC$4:$AC$49),0)</x:f>
        <x:v>42.796694831673534</x:v>
      </x:c>
      <x:c r="AC7" s="164" t="n">
        <x:f aca="0">IFERROR(SUMIF(S15_Source_Strata!$B$4:$B$49,$G7,S15_Source_Strata!$AD$4:$AD$49),0)</x:f>
        <x:v>50.43458352773399</x:v>
      </x:c>
      <x:c r="AD7" s="164" t="n">
        <x:f aca="0">IFERROR(SUMIF(S15_Source_Strata!$B$4:$B$49,$G7,S15_Source_Strata!$AE$4:$AE$49),0)</x:f>
        <x:v>57.8667406233523</x:v>
      </x:c>
      <x:c r="AE7" s="164" t="n">
        <x:f aca="0">IFERROR(SUMIF(S15_Source_Strata!$B$4:$B$49,$G7,S15_Source_Strata!$AF$4:$AF$49),0)</x:f>
        <x:v>64.97452870620393</x:v>
      </x:c>
      <x:c r="AF7" s="164" t="n">
        <x:f aca="0">IFERROR(SUMIF(S15_Source_Strata!$B$4:$B$49,$G7,S15_Source_Strata!$AG$4:$AG$49),0)</x:f>
        <x:v>71.67784329965413</x:v>
      </x:c>
      <x:c r="AG7" s="164" t="n">
        <x:f aca="0">IFERROR(SUMIF(S15_Source_Strata!$B$4:$B$49,$G7,S15_Source_Strata!$AH$4:$AH$49),0)</x:f>
        <x:v>77.92826810156097</x:v>
      </x:c>
      <x:c r="AH7" s="164" t="n">
        <x:f aca="0">IFERROR(SUMIF(S15_Source_Strata!$B$4:$B$49,$G7,S15_Source_Strata!$AI$4:$AI$49),0)</x:f>
        <x:v>83.70235418006737</x:v>
      </x:c>
      <x:c r="AI7" s="164" t="n">
        <x:f aca="0">IFERROR(SUMIF(S15_Source_Strata!$B$4:$B$49,$G7,S15_Source_Strata!$AJ$4:$AJ$49),0)</x:f>
        <x:v>88.99557408183094</x:v>
      </x:c>
      <x:c r="AJ7" s="164" t="n">
        <x:f aca="0">IFERROR(SUMIF(S15_Source_Strata!$B$4:$B$49,$G7,S15_Source_Strata!$AK$4:$AK$49),0)</x:f>
        <x:v>93.81717915983346</x:v>
      </x:c>
      <x:c r="AK7" s="164" t="n">
        <x:f aca="0">IFERROR(SUMIF(S15_Source_Strata!$B$4:$B$49,$G7,S15_Source_Strata!$AL$4:$AL$49),0)</x:f>
        <x:v>98.18599878326182</x:v>
      </x:c>
      <x:c r="AL7" s="165" t="n">
        <x:f aca="0">$F7*Q7</x:f>
        <x:v>0</x:v>
      </x:c>
      <x:c r="AM7" s="165" t="n">
        <x:f aca="0">$F7*R7</x:f>
        <x:v>0</x:v>
      </x:c>
      <x:c r="AN7" s="165" t="n">
        <x:f aca="0">$F7*S7</x:f>
        <x:v>0.9686677860957749</x:v>
      </x:c>
      <x:c r="AO7" s="165" t="n">
        <x:f aca="0">$F7*T7</x:f>
        <x:v>11.578784000653265</x:v>
      </x:c>
      <x:c r="AP7" s="165" t="n">
        <x:f aca="0">$F7*U7</x:f>
        <x:v>44.30965763153221</x:v>
      </x:c>
      <x:c r="AQ7" s="165" t="n">
        <x:f aca="0">$F7*V7</x:f>
        <x:v>107.48783831596303</x:v>
      </x:c>
      <x:c r="AR7" s="165" t="n">
        <x:f aca="0">$F7*W7</x:f>
        <x:v>202.71522165523493</x:v>
      </x:c>
      <x:c r="AS7" s="165" t="n">
        <x:f aca="0">$F7*X7</x:f>
        <x:v>326.9435122378451</x:v>
      </x:c>
      <x:c r="AT7" s="165" t="n">
        <x:f aca="0">$F7*Y7</x:f>
        <x:v>474.4144648799227</x:v>
      </x:c>
      <x:c r="AU7" s="165" t="n">
        <x:f aca="0">$F7*Z7</x:f>
        <x:v>638.349556741332</x:v>
      </x:c>
      <x:c r="AV7" s="165" t="n">
        <x:f aca="0">$F7*AA7</x:f>
        <x:v>812.0820159088114</x:v>
      </x:c>
      <x:c r="AW7" s="165" t="n">
        <x:f aca="0">$F7*AB7</x:f>
        <x:v>989.6992459993494</x:v>
      </x:c>
      <x:c r="AX7" s="165" t="n">
        <x:f aca="0">$F7*AC7</x:f>
        <x:v>1166.3300048289652</x:v>
      </x:c>
      <x:c r="AY7" s="165" t="n">
        <x:f aca="0">$F7*AD7</x:f>
        <x:v>1338.203096959396</x:v>
      </x:c>
      <x:c r="AZ7" s="165" t="n">
        <x:f aca="0">$F7*AE7</x:f>
        <x:v>1502.5749610481894</x:v>
      </x:c>
      <x:c r="BA7" s="165" t="n">
        <x:f aca="0">$F7*AF7</x:f>
        <x:v>1657.5931330104813</x:v>
      </x:c>
      <x:c r="BB7" s="165" t="n">
        <x:f aca="0">$F7*AG7</x:f>
        <x:v>1802.1379568094583</x:v>
      </x:c>
      <x:c r="BC7" s="165" t="n">
        <x:f aca="0">$F7*AH7</x:f>
        <x:v>1935.667161826566</x:v>
      </x:c>
      <x:c r="BD7" s="165" t="n">
        <x:f aca="0">$F7*AI7</x:f>
        <x:v>2058.0760479867895</x:v>
      </x:c>
      <x:c r="BE7" s="165" t="n">
        <x:f aca="0">$F7*AJ7</x:f>
        <x:v>2169.5785583786446</x:v>
      </x:c>
      <x:c r="BF7" s="165" t="n">
        <x:f aca="0">$F7*AK7</x:f>
        <x:v>2270.6101334621994</x:v>
      </x:c>
    </x:row>
    <x:row r="8" ht="15" hidden="0" customHeight="1">
      <x:c r="A8" s="37" t="str">
        <x:v>Deserts &amp; Xeric Shrublands</x:v>
      </x:c>
      <x:c r="B8" s="37" t="s">
        <x:v>111</x:v>
      </x:c>
      <x:c r="C8" s="37" t="s">
        <x:v>553</x:v>
      </x:c>
      <x:c r="D8" s="37" t="n">
        <x:v>2021</x:v>
      </x:c>
      <x:c r="E8" s="100" t="n">
        <x:v>100</x:v>
      </x:c>
      <x:c r="F8" s="100" t="n">
        <x:v>122.8312</x:v>
      </x:c>
      <x:c r="G8" s="37" t="s">
        <x:v>560</x:v>
      </x:c>
      <x:c r="H8" s="37" t="n">
        <x:v>2</x:v>
      </x:c>
      <x:c r="I8" s="37" t="s">
        <x:v>1180</x:v>
      </x:c>
      <x:c r="J8" s="37" t="str">
        <x:v>Deserts &amp; Xeric Shrublands|2021</x:v>
      </x:c>
      <x:c r="K8" s="37" t="str">
        <x:v>Area × biological stock; VM0047 Eq.(3); PB separately by Biome×Cohort</x:v>
      </x:c>
      <x:c r="Q8" s="164" t="n">
        <x:f aca="0">IFERROR(SUMIF(S15_Source_Strata!$B$4:$B$49,$G8,S15_Source_Strata!$R$4:$R$49),0)</x:f>
        <x:v>0</x:v>
      </x:c>
      <x:c r="R8" s="164" t="n">
        <x:f aca="0">IFERROR(SUMIF(S15_Source_Strata!$B$4:$B$49,$G8,S15_Source_Strata!$S$4:$S$49),0)</x:f>
        <x:v>0</x:v>
      </x:c>
      <x:c r="S8" s="164" t="n">
        <x:f aca="0">IFERROR(SUMIF(S15_Source_Strata!$B$4:$B$49,$G8,S15_Source_Strata!$T$4:$T$49),0)</x:f>
        <x:v>0.08024124106903152</x:v>
      </x:c>
      <x:c r="T8" s="164" t="n">
        <x:f aca="0">IFERROR(SUMIF(S15_Source_Strata!$B$4:$B$49,$G8,S15_Source_Strata!$U$4:$U$49),0)</x:f>
        <x:v>0.9691359874785773</x:v>
      </x:c>
      <x:c r="U8" s="164" t="n">
        <x:f aca="0">IFERROR(SUMIF(S15_Source_Strata!$B$4:$B$49,$G8,S15_Source_Strata!$V$4:$V$49),0)</x:f>
        <x:v>3.7264774365253888</x:v>
      </x:c>
      <x:c r="V8" s="164" t="n">
        <x:f aca="0">IFERROR(SUMIF(S15_Source_Strata!$B$4:$B$49,$G8,S15_Source_Strata!$W$4:$W$49),0)</x:f>
        <x:v>9.063386482166534</x:v>
      </x:c>
      <x:c r="W8" s="164" t="n">
        <x:f aca="0">IFERROR(SUMIF(S15_Source_Strata!$B$4:$B$49,$G8,S15_Source_Strata!$X$4:$X$49),0)</x:f>
        <x:v>17.119973973202708</x:v>
      </x:c>
      <x:c r="X8" s="164" t="n">
        <x:f aca="0">IFERROR(SUMIF(S15_Source_Strata!$B$4:$B$49,$G8,S15_Source_Strata!$Y$4:$Y$49),0)</x:f>
        <x:v>27.64078926270223</x:v>
      </x:c>
      <x:c r="Y8" s="164" t="n">
        <x:f aca="0">IFERROR(SUMIF(S15_Source_Strata!$B$4:$B$49,$G8,S15_Source_Strata!$Z$4:$Z$49),0)</x:f>
        <x:v>40.140287213664934</x:v>
      </x:c>
      <x:c r="Z8" s="164" t="n">
        <x:f aca="0">IFERROR(SUMIF(S15_Source_Strata!$B$4:$B$49,$G8,S15_Source_Strata!$AA$4:$AA$49),0)</x:f>
        <x:v>54.04625553934507</x:v>
      </x:c>
      <x:c r="AA8" s="164" t="n">
        <x:f aca="0">IFERROR(SUMIF(S15_Source_Strata!$B$4:$B$49,$G8,S15_Source_Strata!$AB$4:$AB$49),0)</x:f>
        <x:v>68.79550590893344</x:v>
      </x:c>
      <x:c r="AB8" s="164" t="n">
        <x:f aca="0">IFERROR(SUMIF(S15_Source_Strata!$B$4:$B$49,$G8,S15_Source_Strata!$AC$4:$AC$49),0)</x:f>
        <x:v>83.88800474661805</x:v>
      </x:c>
      <x:c r="AC8" s="164" t="n">
        <x:f aca="0">IFERROR(SUMIF(S15_Source_Strata!$B$4:$B$49,$G8,S15_Source_Strata!$AD$4:$AD$49),0)</x:f>
        <x:v>98.91104933665754</x:v>
      </x:c>
      <x:c r="AD8" s="164" t="n">
        <x:f aca="0">IFERROR(SUMIF(S15_Source_Strata!$B$4:$B$49,$G8,S15_Source_Strata!$AE$4:$AE$49),0)</x:f>
        <x:v>113.5442699407146</x:v>
      </x:c>
      <x:c r="AE8" s="164" t="n">
        <x:f aca="0">IFERROR(SUMIF(S15_Source_Strata!$B$4:$B$49,$G8,S15_Source_Strata!$AF$4:$AF$49),0)</x:f>
        <x:v>127.55365888130927</x:v>
      </x:c>
      <x:c r="AF8" s="164" t="n">
        <x:f aca="0">IFERROR(SUMIF(S15_Source_Strata!$B$4:$B$49,$G8,S15_Source_Strata!$AG$4:$AG$49),0)</x:f>
        <x:v>140.78023040839582</x:v>
      </x:c>
      <x:c r="AG8" s="164" t="n">
        <x:f aca="0">IFERROR(SUMIF(S15_Source_Strata!$B$4:$B$49,$G8,S15_Source_Strata!$AH$4:$AH$49),0)</x:f>
        <x:v>153.12684259243687</x:v>
      </x:c>
      <x:c r="AH8" s="164" t="n">
        <x:f aca="0">IFERROR(SUMIF(S15_Source_Strata!$B$4:$B$49,$G8,S15_Source_Strata!$AI$4:$AI$49),0)</x:f>
        <x:v>164.54523058648772</x:v>
      </x:c>
      <x:c r="AI8" s="164" t="n">
        <x:f aca="0">IFERROR(SUMIF(S15_Source_Strata!$B$4:$B$49,$G8,S15_Source_Strata!$AJ$4:$AJ$49),0)</x:f>
        <x:v>175.02431434704488</x:v>
      </x:c>
      <x:c r="AJ8" s="164" t="n">
        <x:f aca="0">IFERROR(SUMIF(S15_Source_Strata!$B$4:$B$49,$G8,S15_Source_Strata!$AK$4:$AK$49),0)</x:f>
        <x:v>184.58022578167706</x:v>
      </x:c>
      <x:c r="AK8" s="164" t="n">
        <x:f aca="0">IFERROR(SUMIF(S15_Source_Strata!$B$4:$B$49,$G8,S15_Source_Strata!$AL$4:$AL$49),0)</x:f>
        <x:v>193.2481367498435</x:v>
      </x:c>
      <x:c r="AL8" s="165" t="n">
        <x:f aca="0">$F8*Q8</x:f>
        <x:v>0</x:v>
      </x:c>
      <x:c r="AM8" s="165" t="n">
        <x:f aca="0">$F8*R8</x:f>
        <x:v>0</x:v>
      </x:c>
      <x:c r="AN8" s="165" t="n">
        <x:f aca="0">$F8*S8</x:f>
        <x:v>9.856127929998424</x:v>
      </x:c>
      <x:c r="AO8" s="165" t="n">
        <x:f aca="0">$F8*T8</x:f>
        <x:v>119.04013630517862</x:v>
      </x:c>
      <x:c r="AP8" s="165" t="n">
        <x:f aca="0">$F8*U8</x:f>
        <x:v>457.7276953013373</x:v>
      </x:c>
      <x:c r="AQ8" s="165" t="n">
        <x:f aca="0">$F8*V8</x:f>
        <x:v>1113.266637668294</x:v>
      </x:c>
      <x:c r="AR8" s="165" t="n">
        <x:f aca="0">$F8*W8</x:f>
        <x:v>2102.8669470972563</x:v>
      </x:c>
      <x:c r="AS8" s="165" t="n">
        <x:f aca="0">$F8*X8</x:f>
        <x:v>3395.15131408483</x:v>
      </x:c>
      <x:c r="AT8" s="165" t="n">
        <x:f aca="0">$F8*Y8</x:f>
        <x:v>4930.47964679912</x:v>
      </x:c>
      <x:c r="AU8" s="165" t="n">
        <x:f aca="0">$F8*Z8</x:f>
        <x:v>6638.566423404402</x:v>
      </x:c>
      <x:c r="AV8" s="165" t="n">
        <x:f aca="0">$F8*AA8</x:f>
        <x:v>8450.234545401385</x:v>
      </x:c>
      <x:c r="AW8" s="165" t="n">
        <x:f aca="0">$F8*AB8</x:f>
        <x:v>10304.064288632791</x:v>
      </x:c>
      <x:c r="AX8" s="165" t="n">
        <x:f aca="0">$F8*AC8</x:f>
        <x:v>12149.36288328085</x:v>
      </x:c>
      <x:c r="AY8" s="165" t="n">
        <x:f aca="0">$F8*AD8</x:f>
        <x:v>13946.778929941902</x:v>
      </x:c>
      <x:c r="AZ8" s="165" t="n">
        <x:f aca="0">$F8*AE8</x:f>
        <x:v>15667.568984781876</x:v>
      </x:c>
      <x:c r="BA8" s="165" t="n">
        <x:f aca="0">$F8*AF8</x:f>
        <x:v>17292.20463733975</x:v>
      </x:c>
      <x:c r="BB8" s="165" t="n">
        <x:f aca="0">$F8*AG8</x:f>
        <x:v>18808.75382784013</x:v>
      </x:c>
      <x:c r="BC8" s="165" t="n">
        <x:f aca="0">$F8*AH8</x:f>
        <x:v>20211.28812721499</x:v>
      </x:c>
      <x:c r="BD8" s="165" t="n">
        <x:f aca="0">$F8*AI8</x:f>
        <x:v>21498.446560424738</x:v>
      </x:c>
      <x:c r="BE8" s="165" t="n">
        <x:f aca="0">$F8*AJ8</x:f>
        <x:v>22672.21062903433</x:v>
      </x:c>
      <x:c r="BF8" s="165" t="n">
        <x:f aca="0">$F8*AK8</x:f>
        <x:v>23736.900534747376</x:v>
      </x:c>
    </x:row>
    <x:row r="9" ht="15" hidden="0" customHeight="1">
      <x:c r="A9" s="37" t="str">
        <x:v>Deserts &amp; Xeric Shrublands</x:v>
      </x:c>
      <x:c r="B9" s="37" t="s">
        <x:v>111</x:v>
      </x:c>
      <x:c r="C9" s="37" t="s">
        <x:v>542</x:v>
      </x:c>
      <x:c r="D9" s="37" t="n">
        <x:v>2021</x:v>
      </x:c>
      <x:c r="E9" s="100" t="n">
        <x:v>70</x:v>
      </x:c>
      <x:c r="F9" s="100" t="n">
        <x:v>64.0188</x:v>
      </x:c>
      <x:c r="G9" s="37" t="s">
        <x:v>1108</x:v>
      </x:c>
      <x:c r="H9" s="37" t="n">
        <x:v>0</x:v>
      </x:c>
      <x:c r="I9" s="37" t="s">
        <x:v>1185</x:v>
      </x:c>
      <x:c r="J9" s="37" t="str">
        <x:v>Deserts &amp; Xeric Shrublands|2021</x:v>
      </x:c>
      <x:c r="K9" s="37" t="str">
        <x:v>Area × biological stock; VM0047 Eq.(3); PB separately by Biome×Cohort</x:v>
      </x:c>
      <x:c r="Q9" s="164" t="n">
        <x:f aca="0">IFERROR(SUMIF(S15_Source_Strata!$B$4:$B$49,$G9,S15_Source_Strata!$R$4:$R$49),0)</x:f>
        <x:v>0</x:v>
      </x:c>
      <x:c r="R9" s="164" t="n">
        <x:f aca="0">IFERROR(SUMIF(S15_Source_Strata!$B$4:$B$49,$G9,S15_Source_Strata!$S$4:$S$49),0)</x:f>
        <x:v>0</x:v>
      </x:c>
      <x:c r="S9" s="164" t="n">
        <x:f aca="0">IFERROR(SUMIF(S15_Source_Strata!$B$4:$B$49,$G9,S15_Source_Strata!$T$4:$T$49),0)</x:f>
        <x:v>0.08843419078662754</x:v>
      </x:c>
      <x:c r="T9" s="164" t="n">
        <x:f aca="0">IFERROR(SUMIF(S15_Source_Strata!$B$4:$B$49,$G9,S15_Source_Strata!$U$4:$U$49),0)</x:f>
        <x:v>1.1000414117303818</x:v>
      </x:c>
      <x:c r="U9" s="164" t="n">
        <x:f aca="0">IFERROR(SUMIF(S15_Source_Strata!$B$4:$B$49,$G9,S15_Source_Strata!$V$4:$V$49),0)</x:f>
        <x:v>4.1668905223899095</x:v>
      </x:c>
      <x:c r="V9" s="164" t="n">
        <x:f aca="0">IFERROR(SUMIF(S15_Source_Strata!$B$4:$B$49,$G9,S15_Source_Strata!$W$4:$W$49),0)</x:f>
        <x:v>9.829374822629461</x:v>
      </x:c>
      <x:c r="W9" s="164" t="n">
        <x:f aca="0">IFERROR(SUMIF(S15_Source_Strata!$B$4:$B$49,$G9,S15_Source_Strata!$X$4:$X$49),0)</x:f>
        <x:v>17.892712114772408</x:v>
      </x:c>
      <x:c r="X9" s="164" t="n">
        <x:f aca="0">IFERROR(SUMIF(S15_Source_Strata!$B$4:$B$49,$G9,S15_Source_Strata!$Y$4:$Y$49),0)</x:f>
        <x:v>27.774290189779645</x:v>
      </x:c>
      <x:c r="Y9" s="164" t="n">
        <x:f aca="0">IFERROR(SUMIF(S15_Source_Strata!$B$4:$B$49,$G9,S15_Source_Strata!$Z$4:$Z$49),0)</x:f>
        <x:v>38.76954120331893</x:v>
      </x:c>
      <x:c r="Z9" s="164" t="n">
        <x:f aca="0">IFERROR(SUMIF(S15_Source_Strata!$B$4:$B$49,$G9,S15_Source_Strata!$AA$4:$AA$49),0)</x:f>
        <x:v>50.22338492311939</x:v>
      </x:c>
      <x:c r="AA9" s="164" t="n">
        <x:f aca="0">IFERROR(SUMIF(S15_Source_Strata!$B$4:$B$49,$G9,S15_Source_Strata!$AB$4:$AB$49),0)</x:f>
        <x:v>61.60837691376501</x:v>
      </x:c>
      <x:c r="AB9" s="164" t="n">
        <x:f aca="0">IFERROR(SUMIF(S15_Source_Strata!$B$4:$B$49,$G9,S15_Source_Strata!$AC$4:$AC$49),0)</x:f>
        <x:v>72.54304541687709</x:v>
      </x:c>
      <x:c r="AC9" s="164" t="n">
        <x:f aca="0">IFERROR(SUMIF(S15_Source_Strata!$B$4:$B$49,$G9,S15_Source_Strata!$AD$4:$AD$49),0)</x:f>
        <x:v>82.77910053366851</x:v>
      </x:c>
      <x:c r="AD9" s="164" t="n">
        <x:f aca="0">IFERROR(SUMIF(S15_Source_Strata!$B$4:$B$49,$G9,S15_Source_Strata!$AE$4:$AE$49),0)</x:f>
        <x:v>92.17626812269735</x:v>
      </x:c>
      <x:c r="AE9" s="164" t="n">
        <x:f aca="0">IFERROR(SUMIF(S15_Source_Strata!$B$4:$B$49,$G9,S15_Source_Strata!$AF$4:$AF$49),0)</x:f>
        <x:v>100.67516538222455</x:v>
      </x:c>
      <x:c r="AF9" s="164" t="n">
        <x:f aca="0">IFERROR(SUMIF(S15_Source_Strata!$B$4:$B$49,$G9,S15_Source_Strata!$AG$4:$AG$49),0)</x:f>
        <x:v>108.27311915182199</x:v>
      </x:c>
      <x:c r="AG9" s="164" t="n">
        <x:f aca="0">IFERROR(SUMIF(S15_Source_Strata!$B$4:$B$49,$G9,S15_Source_Strata!$AH$4:$AH$49),0)</x:f>
        <x:v>115.00464533368721</x:v>
      </x:c>
      <x:c r="AH9" s="164" t="n">
        <x:f aca="0">IFERROR(SUMIF(S15_Source_Strata!$B$4:$B$49,$G9,S15_Source_Strata!$AI$4:$AI$49),0)</x:f>
        <x:v>120.92668155665598</x:v>
      </x:c>
      <x:c r="AI9" s="164" t="n">
        <x:f aca="0">IFERROR(SUMIF(S15_Source_Strata!$B$4:$B$49,$G9,S15_Source_Strata!$AJ$4:$AJ$49),0)</x:f>
        <x:v>126.1079590032203</x:v>
      </x:c>
      <x:c r="AJ9" s="164" t="n">
        <x:f aca="0">IFERROR(SUMIF(S15_Source_Strata!$B$4:$B$49,$G9,S15_Source_Strata!$AK$4:$AK$49),0)</x:f>
        <x:v>130.62168649784536</x:v>
      </x:c>
      <x:c r="AK9" s="164" t="n">
        <x:f aca="0">IFERROR(SUMIF(S15_Source_Strata!$B$4:$B$49,$G9,S15_Source_Strata!$AL$4:$AL$49),0)</x:f>
        <x:v>134.54074406676037</x:v>
      </x:c>
      <x:c r="AL9" s="165" t="n">
        <x:f aca="0">$F9*Q9</x:f>
        <x:v>0</x:v>
      </x:c>
      <x:c r="AM9" s="165" t="n">
        <x:f aca="0">$F9*R9</x:f>
        <x:v>0</x:v>
      </x:c>
      <x:c r="AN9" s="165" t="n">
        <x:f aca="0">$F9*S9</x:f>
        <x:v>5.661450773130951</x:v>
      </x:c>
      <x:c r="AO9" s="165" t="n">
        <x:f aca="0">$F9*T9</x:f>
        <x:v>70.42333112928496</x:v>
      </x:c>
      <x:c r="AP9" s="165" t="n">
        <x:f aca="0">$F9*U9</x:f>
        <x:v>266.75933097477514</x:v>
      </x:c>
      <x:c r="AQ9" s="165" t="n">
        <x:f aca="0">$F9*V9</x:f>
        <x:v>629.264780894951</x:v>
      </x:c>
      <x:c r="AR9" s="165" t="n">
        <x:f aca="0">$F9*W9</x:f>
        <x:v>1145.4699583331917</x:v>
      </x:c>
      <x:c r="AS9" s="165" t="n">
        <x:f aca="0">$F9*X9</x:f>
        <x:v>1778.0767288014652</x:v>
      </x:c>
      <x:c r="AT9" s="165" t="n">
        <x:f aca="0">$F9*Y9</x:f>
        <x:v>2481.979504387034</x:v>
      </x:c>
      <x:c r="AU9" s="165" t="n">
        <x:f aca="0">$F9*Z9</x:f>
        <x:v>3215.2408347161954</x:v>
      </x:c>
      <x:c r="AV9" s="165" t="n">
        <x:f aca="0">$F9*AA9</x:f>
        <x:v>3944.094359966939</x:v>
      </x:c>
      <x:c r="AW9" s="165" t="n">
        <x:f aca="0">$F9*AB9</x:f>
        <x:v>4644.1187159339715</x:v>
      </x:c>
      <x:c r="AX9" s="165" t="n">
        <x:f aca="0">$F9*AC9</x:f>
        <x:v>5299.418681244818</x:v>
      </x:c>
      <x:c r="AY9" s="165" t="n">
        <x:f aca="0">$F9*AD9</x:f>
        <x:v>5901.014073693337</x:v>
      </x:c>
      <x:c r="AZ9" s="165" t="n">
        <x:f aca="0">$F9*AE9</x:f>
        <x:v>6445.103277571557</x:v>
      </x:c>
      <x:c r="BA9" s="165" t="n">
        <x:f aca="0">$F9*AF9</x:f>
        <x:v>6931.515160356661</x:v>
      </x:c>
      <x:c r="BB9" s="165" t="n">
        <x:f aca="0">$F9*AG9</x:f>
        <x:v>7362.459388688255</x:v>
      </x:c>
      <x:c r="BC9" s="165" t="n">
        <x:f aca="0">$F9*AH9</x:f>
        <x:v>7741.5810412392475</x:v>
      </x:c>
      <x:c r="BD9" s="165" t="n">
        <x:f aca="0">$F9*AI9</x:f>
        <x:v>8073.28020583536</x:v>
      </x:c>
      <x:c r="BE9" s="165" t="n">
        <x:f aca="0">$F9*AJ9</x:f>
        <x:v>8362.243623568262</x:v>
      </x:c>
      <x:c r="BF9" s="165" t="n">
        <x:f aca="0">$F9*AK9</x:f>
        <x:v>8613.13698626112</x:v>
      </x:c>
    </x:row>
    <x:row r="10" ht="15" hidden="0" customHeight="1">
      <x:c r="A10" s="37" t="str">
        <x:v>Deserts &amp; Xeric Shrublands</x:v>
      </x:c>
      <x:c r="B10" s="37" t="s">
        <x:v>111</x:v>
      </x:c>
      <x:c r="C10" s="37" t="s">
        <x:v>549</x:v>
      </x:c>
      <x:c r="D10" s="37" t="n">
        <x:v>2022</x:v>
      </x:c>
      <x:c r="E10" s="100" t="n">
        <x:v>16</x:v>
      </x:c>
      <x:c r="F10" s="100" t="n">
        <x:v>26.7658</x:v>
      </x:c>
      <x:c r="G10" s="37" t="s">
        <x:v>1113</x:v>
      </x:c>
      <x:c r="H10" s="37" t="n">
        <x:v>0</x:v>
      </x:c>
      <x:c r="I10" s="37" t="s">
        <x:v>1185</x:v>
      </x:c>
      <x:c r="J10" s="37" t="str">
        <x:v>Deserts &amp; Xeric Shrublands|2022</x:v>
      </x:c>
      <x:c r="K10" s="37" t="str">
        <x:v>Area × biological stock; VM0047 Eq.(3); PB separately by Biome×Cohort</x:v>
      </x:c>
      <x:c r="Q10" s="164" t="n">
        <x:f aca="0">IFERROR(SUMIF(S15_Source_Strata!$B$4:$B$49,$G10,S15_Source_Strata!$R$4:$R$49),0)</x:f>
        <x:v>0</x:v>
      </x:c>
      <x:c r="R10" s="164" t="n">
        <x:f aca="0">IFERROR(SUMIF(S15_Source_Strata!$B$4:$B$49,$G10,S15_Source_Strata!$S$4:$S$49),0)</x:f>
        <x:v>0</x:v>
      </x:c>
      <x:c r="S10" s="164" t="n">
        <x:f aca="0">IFERROR(SUMIF(S15_Source_Strata!$B$4:$B$49,$G10,S15_Source_Strata!$T$4:$T$49),0)</x:f>
        <x:v>0</x:v>
      </x:c>
      <x:c r="T10" s="164" t="n">
        <x:f aca="0">IFERROR(SUMIF(S15_Source_Strata!$B$4:$B$49,$G10,S15_Source_Strata!$U$4:$U$49),0)</x:f>
        <x:v>0.041887249891712</x:v>
      </x:c>
      <x:c r="U10" s="164" t="n">
        <x:f aca="0">IFERROR(SUMIF(S15_Source_Strata!$B$4:$B$49,$G10,S15_Source_Strata!$V$4:$V$49),0)</x:f>
        <x:v>0.5006911820948761</x:v>
      </x:c>
      <x:c r="V10" s="164" t="n">
        <x:f aca="0">IFERROR(SUMIF(S15_Source_Strata!$B$4:$B$49,$G10,S15_Source_Strata!$W$4:$W$49),0)</x:f>
        <x:v>1.9160435894217756</x:v>
      </x:c>
      <x:c r="W10" s="164" t="n">
        <x:f aca="0">IFERROR(SUMIF(S15_Source_Strata!$B$4:$B$49,$G10,S15_Source_Strata!$X$4:$X$49),0)</x:f>
        <x:v>4.648002141175279</x:v>
      </x:c>
      <x:c r="X10" s="164" t="n">
        <x:f aca="0">IFERROR(SUMIF(S15_Source_Strata!$B$4:$B$49,$G10,S15_Source_Strata!$Y$4:$Y$49),0)</x:f>
        <x:v>8.765836201233046</x:v>
      </x:c>
      <x:c r="Y10" s="164" t="n">
        <x:f aca="0">IFERROR(SUMIF(S15_Source_Strata!$B$4:$B$49,$G10,S15_Source_Strata!$Z$4:$Z$49),0)</x:f>
        <x:v>14.137731009696834</x:v>
      </x:c>
      <x:c r="Z10" s="164" t="n">
        <x:f aca="0">IFERROR(SUMIF(S15_Source_Strata!$B$4:$B$49,$G10,S15_Source_Strata!$AA$4:$AA$49),0)</x:f>
        <x:v>20.514687829934044</x:v>
      </x:c>
      <x:c r="AA10" s="164" t="n">
        <x:f aca="0">IFERROR(SUMIF(S15_Source_Strata!$B$4:$B$49,$G10,S15_Source_Strata!$AB$4:$AB$49),0)</x:f>
        <x:v>27.60358895515498</x:v>
      </x:c>
      <x:c r="AB10" s="164" t="n">
        <x:f aca="0">IFERROR(SUMIF(S15_Source_Strata!$B$4:$B$49,$G10,S15_Source_Strata!$AC$4:$AC$49),0)</x:f>
        <x:v>35.11614902570361</x:v>
      </x:c>
      <x:c r="AC10" s="164" t="n">
        <x:f aca="0">IFERROR(SUMIF(S15_Source_Strata!$B$4:$B$49,$G10,S15_Source_Strata!$AD$4:$AD$49),0)</x:f>
        <x:v>42.796694831673534</x:v>
      </x:c>
      <x:c r="AD10" s="164" t="n">
        <x:f aca="0">IFERROR(SUMIF(S15_Source_Strata!$B$4:$B$49,$G10,S15_Source_Strata!$AE$4:$AE$49),0)</x:f>
        <x:v>50.43458352773399</x:v>
      </x:c>
      <x:c r="AE10" s="164" t="n">
        <x:f aca="0">IFERROR(SUMIF(S15_Source_Strata!$B$4:$B$49,$G10,S15_Source_Strata!$AF$4:$AF$49),0)</x:f>
        <x:v>57.8667406233523</x:v>
      </x:c>
      <x:c r="AF10" s="164" t="n">
        <x:f aca="0">IFERROR(SUMIF(S15_Source_Strata!$B$4:$B$49,$G10,S15_Source_Strata!$AG$4:$AG$49),0)</x:f>
        <x:v>64.97452870620393</x:v>
      </x:c>
      <x:c r="AG10" s="164" t="n">
        <x:f aca="0">IFERROR(SUMIF(S15_Source_Strata!$B$4:$B$49,$G10,S15_Source_Strata!$AH$4:$AH$49),0)</x:f>
        <x:v>71.67784329965413</x:v>
      </x:c>
      <x:c r="AH10" s="164" t="n">
        <x:f aca="0">IFERROR(SUMIF(S15_Source_Strata!$B$4:$B$49,$G10,S15_Source_Strata!$AI$4:$AI$49),0)</x:f>
        <x:v>77.92826810156097</x:v>
      </x:c>
      <x:c r="AI10" s="164" t="n">
        <x:f aca="0">IFERROR(SUMIF(S15_Source_Strata!$B$4:$B$49,$G10,S15_Source_Strata!$AJ$4:$AJ$49),0)</x:f>
        <x:v>83.70235418006737</x:v>
      </x:c>
      <x:c r="AJ10" s="164" t="n">
        <x:f aca="0">IFERROR(SUMIF(S15_Source_Strata!$B$4:$B$49,$G10,S15_Source_Strata!$AK$4:$AK$49),0)</x:f>
        <x:v>88.99557408183094</x:v>
      </x:c>
      <x:c r="AK10" s="164" t="n">
        <x:f aca="0">IFERROR(SUMIF(S15_Source_Strata!$B$4:$B$49,$G10,S15_Source_Strata!$AL$4:$AL$49),0)</x:f>
        <x:v>93.81717915983346</x:v>
      </x:c>
      <x:c r="AL10" s="165" t="n">
        <x:f aca="0">$F10*Q10</x:f>
        <x:v>0</x:v>
      </x:c>
      <x:c r="AM10" s="165" t="n">
        <x:f aca="0">$F10*R10</x:f>
        <x:v>0</x:v>
      </x:c>
      <x:c r="AN10" s="165" t="n">
        <x:f aca="0">$F10*S10</x:f>
        <x:v>0</x:v>
      </x:c>
      <x:c r="AO10" s="165" t="n">
        <x:f aca="0">$F10*T10</x:f>
        <x:v>1.121145753151585</x:v>
      </x:c>
      <x:c r="AP10" s="165" t="n">
        <x:f aca="0">$F10*U10</x:f>
        <x:v>13.401400041715034</x:v>
      </x:c>
      <x:c r="AQ10" s="165" t="n">
        <x:f aca="0">$F10*V10</x:f>
        <x:v>51.28443950574536</x:v>
      </x:c>
      <x:c r="AR10" s="165" t="n">
        <x:f aca="0">$F10*W10</x:f>
        <x:v>124.40749571026929</x:v>
      </x:c>
      <x:c r="AS10" s="165" t="n">
        <x:f aca="0">$F10*X10</x:f>
        <x:v>234.62461859496347</x:v>
      </x:c>
      <x:c r="AT10" s="165" t="n">
        <x:f aca="0">$F10*Y10</x:f>
        <x:v>378.4076806593435</x:v>
      </x:c>
      <x:c r="AU10" s="165" t="n">
        <x:f aca="0">$F10*Z10</x:f>
        <x:v>549.0920315184486</x:v>
      </x:c>
      <x:c r="AV10" s="165" t="n">
        <x:f aca="0">$F10*AA10</x:f>
        <x:v>738.8321412558871</x:v>
      </x:c>
      <x:c r="AW10" s="165" t="n">
        <x:f aca="0">$F10*AB10</x:f>
        <x:v>939.9118215921777</x:v>
      </x:c>
      <x:c r="AX10" s="165" t="n">
        <x:f aca="0">$F10*AC10</x:f>
        <x:v>1145.4877745256074</x:v>
      </x:c>
      <x:c r="AY10" s="165" t="n">
        <x:f aca="0">$F10*AD10</x:f>
        <x:v>1349.9219757866224</x:v>
      </x:c>
      <x:c r="AZ10" s="165" t="n">
        <x:f aca="0">$F10*AE10</x:f>
        <x:v>1548.849606176523</x:v>
      </x:c>
      <x:c r="BA10" s="165" t="n">
        <x:f aca="0">$F10*AF10</x:f>
        <x:v>1739.095240444513</x:v>
      </x:c>
      <x:c r="BB10" s="165" t="n">
        <x:f aca="0">$F10*AG10</x:f>
        <x:v>1918.5148181898824</x:v>
      </x:c>
      <x:c r="BC10" s="165" t="n">
        <x:f aca="0">$F10*AH10</x:f>
        <x:v>2085.8124383527606</x:v>
      </x:c>
      <x:c r="BD10" s="165" t="n">
        <x:f aca="0">$F10*AI10</x:f>
        <x:v>2240.360471512847</x:v>
      </x:c>
      <x:c r="BE10" s="165" t="n">
        <x:f aca="0">$F10*AJ10</x:f>
        <x:v>2382.0377367594706</x:v>
      </x:c>
      <x:c r="BF10" s="165" t="n">
        <x:f aca="0">$F10*AK10</x:f>
        <x:v>2511.0918539562704</x:v>
      </x:c>
    </x:row>
    <x:row r="11" ht="15" hidden="0" customHeight="1">
      <x:c r="A11" s="37" t="str">
        <x:v>Deserts &amp; Xeric Shrublands</x:v>
      </x:c>
      <x:c r="B11" s="37" t="s">
        <x:v>111</x:v>
      </x:c>
      <x:c r="C11" s="37" t="s">
        <x:v>553</x:v>
      </x:c>
      <x:c r="D11" s="37" t="n">
        <x:v>2022</x:v>
      </x:c>
      <x:c r="E11" s="100" t="n">
        <x:v>91</x:v>
      </x:c>
      <x:c r="F11" s="100" t="n">
        <x:v>119.2632</x:v>
      </x:c>
      <x:c r="G11" s="37" t="s">
        <x:v>568</x:v>
      </x:c>
      <x:c r="H11" s="37" t="n">
        <x:v>2</x:v>
      </x:c>
      <x:c r="I11" s="37" t="s">
        <x:v>1180</x:v>
      </x:c>
      <x:c r="J11" s="37" t="str">
        <x:v>Deserts &amp; Xeric Shrublands|2022</x:v>
      </x:c>
      <x:c r="K11" s="37" t="str">
        <x:v>Area × biological stock; VM0047 Eq.(3); PB separately by Biome×Cohort</x:v>
      </x:c>
      <x:c r="Q11" s="164" t="n">
        <x:f aca="0">IFERROR(SUMIF(S15_Source_Strata!$B$4:$B$49,$G11,S15_Source_Strata!$R$4:$R$49),0)</x:f>
        <x:v>0</x:v>
      </x:c>
      <x:c r="R11" s="164" t="n">
        <x:f aca="0">IFERROR(SUMIF(S15_Source_Strata!$B$4:$B$49,$G11,S15_Source_Strata!$S$4:$S$49),0)</x:f>
        <x:v>0</x:v>
      </x:c>
      <x:c r="S11" s="164" t="n">
        <x:f aca="0">IFERROR(SUMIF(S15_Source_Strata!$B$4:$B$49,$G11,S15_Source_Strata!$T$4:$T$49),0)</x:f>
        <x:v>0</x:v>
      </x:c>
      <x:c r="T11" s="164" t="n">
        <x:f aca="0">IFERROR(SUMIF(S15_Source_Strata!$B$4:$B$49,$G11,S15_Source_Strata!$U$4:$U$49),0)</x:f>
        <x:v>0.06743395447797437</x:v>
      </x:c>
      <x:c r="U11" s="164" t="n">
        <x:f aca="0">IFERROR(SUMIF(S15_Source_Strata!$B$4:$B$49,$G11,S15_Source_Strata!$V$4:$V$49),0)</x:f>
        <x:v>0.8115170008152799</x:v>
      </x:c>
      <x:c r="V11" s="164" t="n">
        <x:f aca="0">IFERROR(SUMIF(S15_Source_Strata!$B$4:$B$49,$G11,S15_Source_Strata!$W$4:$W$49),0)</x:f>
        <x:v>3.064704737571068</x:v>
      </x:c>
      <x:c r="W11" s="164" t="n">
        <x:f aca="0">IFERROR(SUMIF(S15_Source_Strata!$B$4:$B$49,$G11,S15_Source_Strata!$X$4:$X$49),0)</x:f>
        <x:v>7.285985624950337</x:v>
      </x:c>
      <x:c r="X11" s="164" t="n">
        <x:f aca="0">IFERROR(SUMIF(S15_Source_Strata!$B$4:$B$49,$G11,S15_Source_Strata!$Y$4:$Y$49),0)</x:f>
        <x:v>13.432077652040693</x:v>
      </x:c>
      <x:c r="Y11" s="164" t="n">
        <x:f aca="0">IFERROR(SUMIF(S15_Source_Strata!$B$4:$B$49,$G11,S15_Source_Strata!$Z$4:$Z$49),0)</x:f>
        <x:v>21.164212915183775</x:v>
      </x:c>
      <x:c r="Z11" s="164" t="n">
        <x:f aca="0">IFERROR(SUMIF(S15_Source_Strata!$B$4:$B$49,$G11,S15_Source_Strata!$AA$4:$AA$49),0)</x:f>
        <x:v>30.01504494949459</x:v>
      </x:c>
      <x:c r="AA11" s="164" t="n">
        <x:f aca="0">IFERROR(SUMIF(S15_Source_Strata!$B$4:$B$49,$G11,S15_Source_Strata!$AB$4:$AB$49),0)</x:f>
        <x:v>39.50947727002183</x:v>
      </x:c>
      <x:c r="AB11" s="164" t="n">
        <x:f aca="0">IFERROR(SUMIF(S15_Source_Strata!$B$4:$B$49,$G11,S15_Source_Strata!$AC$4:$AC$49),0)</x:f>
        <x:v>49.23060085166818</x:v>
      </x:c>
      <x:c r="AC11" s="164" t="n">
        <x:f aca="0">IFERROR(SUMIF(S15_Source_Strata!$B$4:$B$49,$G11,S15_Source_Strata!$AD$4:$AD$49),0)</x:f>
        <x:v>58.84630285237273</x:v>
      </x:c>
      <x:c r="AD11" s="164" t="n">
        <x:f aca="0">IFERROR(SUMIF(S15_Source_Strata!$B$4:$B$49,$G11,S15_Source_Strata!$AE$4:$AE$49),0)</x:f>
        <x:v>68.11226048381648</x:v>
      </x:c>
      <x:c r="AE11" s="164" t="n">
        <x:f aca="0">IFERROR(SUMIF(S15_Source_Strata!$B$4:$B$49,$G11,S15_Source_Strata!$AF$4:$AF$49),0)</x:f>
        <x:v>76.86286166394001</x:v>
      </x:c>
      <x:c r="AF11" s="164" t="n">
        <x:f aca="0">IFERROR(SUMIF(S15_Source_Strata!$B$4:$B$49,$G11,S15_Source_Strata!$AG$4:$AG$49),0)</x:f>
        <x:v>84.99734192240612</x:v>
      </x:c>
      <x:c r="AG11" s="164" t="n">
        <x:f aca="0">IFERROR(SUMIF(S15_Source_Strata!$B$4:$B$49,$G11,S15_Source_Strata!$AH$4:$AH$49),0)</x:f>
        <x:v>92.4652433877896</x:v>
      </x:c>
      <x:c r="AH11" s="164" t="n">
        <x:f aca="0">IFERROR(SUMIF(S15_Source_Strata!$B$4:$B$49,$G11,S15_Source_Strata!$AI$4:$AI$49),0)</x:f>
        <x:v>99.25322623894684</x:v>
      </x:c>
      <x:c r="AI11" s="164" t="n">
        <x:f aca="0">IFERROR(SUMIF(S15_Source_Strata!$B$4:$B$49,$G11,S15_Source_Strata!$AJ$4:$AJ$49),0)</x:f>
        <x:v>105.37403100620998</x:v>
      </x:c>
      <x:c r="AJ11" s="164" t="n">
        <x:f aca="0">IFERROR(SUMIF(S15_Source_Strata!$B$4:$B$49,$G11,S15_Source_Strata!$AK$4:$AK$49),0)</x:f>
        <x:v>110.85772028876467</x:v>
      </x:c>
      <x:c r="AK11" s="164" t="n">
        <x:f aca="0">IFERROR(SUMIF(S15_Source_Strata!$B$4:$B$49,$G11,S15_Source_Strata!$AL$4:$AL$49),0)</x:f>
        <x:v>115.74500348381126</x:v>
      </x:c>
      <x:c r="AL11" s="165" t="n">
        <x:f aca="0">$F11*Q11</x:f>
        <x:v>0</x:v>
      </x:c>
      <x:c r="AM11" s="165" t="n">
        <x:f aca="0">$F11*R11</x:f>
        <x:v>0</x:v>
      </x:c>
      <x:c r="AN11" s="165" t="n">
        <x:f aca="0">$F11*S11</x:f>
        <x:v>0</x:v>
      </x:c>
      <x:c r="AO11" s="165" t="n">
        <x:f aca="0">$F11*T11</x:f>
        <x:v>8.042389199697553</x:v>
      </x:c>
      <x:c r="AP11" s="165" t="n">
        <x:f aca="0">$F11*U11</x:f>
        <x:v>96.78411437163288</x:v>
      </x:c>
      <x:c r="AQ11" s="165" t="n">
        <x:f aca="0">$F11*V11</x:f>
        <x:v>365.5064940578858</x:v>
      </x:c>
      <x:c r="AR11" s="165" t="n">
        <x:f aca="0">$F11*W11</x:f>
        <x:v>868.949960785577</x:v>
      </x:c>
      <x:c r="AS11" s="165" t="n">
        <x:f aca="0">$F11*X11</x:f>
        <x:v>1601.9525634308595</x:v>
      </x:c>
      <x:c r="AT11" s="165" t="n">
        <x:f aca="0">$F11*Y11</x:f>
        <x:v>2524.1117577461455</x:v>
      </x:c>
      <x:c r="AU11" s="165" t="n">
        <x:f aca="0">$F11*Z11</x:f>
        <x:v>3579.690308820563</x:v>
      </x:c>
      <x:c r="AV11" s="165" t="n">
        <x:f aca="0">$F11*AA11</x:f>
        <x:v>4712.026689550068</x:v>
      </x:c>
      <x:c r="AW11" s="165" t="n">
        <x:f aca="0">$F11*AB11</x:f>
        <x:v>5871.398995492672</x:v>
      </x:c>
      <x:c r="AX11" s="165" t="n">
        <x:f aca="0">$F11*AC11</x:f>
        <x:v>7018.1983863431</x:v>
      </x:c>
      <x:c r="AY11" s="165" t="n">
        <x:f aca="0">$F11*AD11</x:f>
        <x:v>8123.286144533502</x:v>
      </x:c>
      <x:c r="AZ11" s="165" t="n">
        <x:f aca="0">$F11*AE11</x:f>
        <x:v>9166.91084319881</x:v>
      </x:c>
      <x:c r="BA11" s="165" t="n">
        <x:f aca="0">$F11*AF11</x:f>
        <x:v>10137.054989160306</x:v>
      </x:c>
      <x:c r="BB11" s="165" t="n">
        <x:f aca="0">$F11*AG11</x:f>
        <x:v>11027.700815206628</x:v>
      </x:c>
      <x:c r="BC11" s="165" t="n">
        <x:f aca="0">$F11*AH11</x:f>
        <x:v>11837.257371580765</x:v>
      </x:c>
      <x:c r="BD11" s="165" t="n">
        <x:f aca="0">$F11*AI11</x:f>
        <x:v>12567.244134699822</x:v>
      </x:c>
      <x:c r="BE11" s="165" t="n">
        <x:f aca="0">$F11*AJ11</x:f>
        <x:v>13221.246466342998</x:v>
      </x:c>
      <x:c r="BF11" s="165" t="n">
        <x:f aca="0">$F11*AK11</x:f>
        <x:v>13804.119499490478</x:v>
      </x:c>
    </x:row>
    <x:row r="12" ht="15" hidden="0" customHeight="1">
      <x:c r="A12" s="37" t="str">
        <x:v>Deserts &amp; Xeric Shrublands</x:v>
      </x:c>
      <x:c r="B12" s="37" t="s">
        <x:v>111</x:v>
      </x:c>
      <x:c r="C12" s="37" t="s">
        <x:v>542</x:v>
      </x:c>
      <x:c r="D12" s="37" t="n">
        <x:v>2022</x:v>
      </x:c>
      <x:c r="E12" s="100" t="n">
        <x:v>79</x:v>
      </x:c>
      <x:c r="F12" s="100" t="n">
        <x:v>86.0389</x:v>
      </x:c>
      <x:c r="G12" s="37" t="s">
        <x:v>565</x:v>
      </x:c>
      <x:c r="H12" s="37" t="n">
        <x:v>1</x:v>
      </x:c>
      <x:c r="I12" s="37" t="s">
        <x:v>1180</x:v>
      </x:c>
      <x:c r="J12" s="37" t="str">
        <x:v>Deserts &amp; Xeric Shrublands|2022</x:v>
      </x:c>
      <x:c r="K12" s="37" t="str">
        <x:v>Area × biological stock; VM0047 Eq.(3); PB separately by Biome×Cohort</x:v>
      </x:c>
      <x:c r="Q12" s="164" t="n">
        <x:f aca="0">IFERROR(SUMIF(S15_Source_Strata!$B$4:$B$49,$G12,S15_Source_Strata!$R$4:$R$49),0)</x:f>
        <x:v>0</x:v>
      </x:c>
      <x:c r="R12" s="164" t="n">
        <x:f aca="0">IFERROR(SUMIF(S15_Source_Strata!$B$4:$B$49,$G12,S15_Source_Strata!$S$4:$S$49),0)</x:f>
        <x:v>0</x:v>
      </x:c>
      <x:c r="S12" s="164" t="n">
        <x:f aca="0">IFERROR(SUMIF(S15_Source_Strata!$B$4:$B$49,$G12,S15_Source_Strata!$T$4:$T$49),0)</x:f>
        <x:v>0</x:v>
      </x:c>
      <x:c r="T12" s="164" t="n">
        <x:f aca="0">IFERROR(SUMIF(S15_Source_Strata!$B$4:$B$49,$G12,S15_Source_Strata!$U$4:$U$49),0)</x:f>
        <x:v>0.08843419078662754</x:v>
      </x:c>
      <x:c r="U12" s="164" t="n">
        <x:f aca="0">IFERROR(SUMIF(S15_Source_Strata!$B$4:$B$49,$G12,S15_Source_Strata!$V$4:$V$49),0)</x:f>
        <x:v>1.1000414117303818</x:v>
      </x:c>
      <x:c r="V12" s="164" t="n">
        <x:f aca="0">IFERROR(SUMIF(S15_Source_Strata!$B$4:$B$49,$G12,S15_Source_Strata!$W$4:$W$49),0)</x:f>
        <x:v>4.1668905223899095</x:v>
      </x:c>
      <x:c r="W12" s="164" t="n">
        <x:f aca="0">IFERROR(SUMIF(S15_Source_Strata!$B$4:$B$49,$G12,S15_Source_Strata!$X$4:$X$49),0)</x:f>
        <x:v>9.829374822629461</x:v>
      </x:c>
      <x:c r="X12" s="164" t="n">
        <x:f aca="0">IFERROR(SUMIF(S15_Source_Strata!$B$4:$B$49,$G12,S15_Source_Strata!$Y$4:$Y$49),0)</x:f>
        <x:v>17.892712114772408</x:v>
      </x:c>
      <x:c r="Y12" s="164" t="n">
        <x:f aca="0">IFERROR(SUMIF(S15_Source_Strata!$B$4:$B$49,$G12,S15_Source_Strata!$Z$4:$Z$49),0)</x:f>
        <x:v>27.774290189779645</x:v>
      </x:c>
      <x:c r="Z12" s="164" t="n">
        <x:f aca="0">IFERROR(SUMIF(S15_Source_Strata!$B$4:$B$49,$G12,S15_Source_Strata!$AA$4:$AA$49),0)</x:f>
        <x:v>38.76954120331893</x:v>
      </x:c>
      <x:c r="AA12" s="164" t="n">
        <x:f aca="0">IFERROR(SUMIF(S15_Source_Strata!$B$4:$B$49,$G12,S15_Source_Strata!$AB$4:$AB$49),0)</x:f>
        <x:v>50.22338492311939</x:v>
      </x:c>
      <x:c r="AB12" s="164" t="n">
        <x:f aca="0">IFERROR(SUMIF(S15_Source_Strata!$B$4:$B$49,$G12,S15_Source_Strata!$AC$4:$AC$49),0)</x:f>
        <x:v>61.60837691376501</x:v>
      </x:c>
      <x:c r="AC12" s="164" t="n">
        <x:f aca="0">IFERROR(SUMIF(S15_Source_Strata!$B$4:$B$49,$G12,S15_Source_Strata!$AD$4:$AD$49),0)</x:f>
        <x:v>72.54304541687709</x:v>
      </x:c>
      <x:c r="AD12" s="164" t="n">
        <x:f aca="0">IFERROR(SUMIF(S15_Source_Strata!$B$4:$B$49,$G12,S15_Source_Strata!$AE$4:$AE$49),0)</x:f>
        <x:v>82.77910053366851</x:v>
      </x:c>
      <x:c r="AE12" s="164" t="n">
        <x:f aca="0">IFERROR(SUMIF(S15_Source_Strata!$B$4:$B$49,$G12,S15_Source_Strata!$AF$4:$AF$49),0)</x:f>
        <x:v>92.17626812269735</x:v>
      </x:c>
      <x:c r="AF12" s="164" t="n">
        <x:f aca="0">IFERROR(SUMIF(S15_Source_Strata!$B$4:$B$49,$G12,S15_Source_Strata!$AG$4:$AG$49),0)</x:f>
        <x:v>100.67516538222455</x:v>
      </x:c>
      <x:c r="AG12" s="164" t="n">
        <x:f aca="0">IFERROR(SUMIF(S15_Source_Strata!$B$4:$B$49,$G12,S15_Source_Strata!$AH$4:$AH$49),0)</x:f>
        <x:v>108.27311915182199</x:v>
      </x:c>
      <x:c r="AH12" s="164" t="n">
        <x:f aca="0">IFERROR(SUMIF(S15_Source_Strata!$B$4:$B$49,$G12,S15_Source_Strata!$AI$4:$AI$49),0)</x:f>
        <x:v>115.00464533368721</x:v>
      </x:c>
      <x:c r="AI12" s="164" t="n">
        <x:f aca="0">IFERROR(SUMIF(S15_Source_Strata!$B$4:$B$49,$G12,S15_Source_Strata!$AJ$4:$AJ$49),0)</x:f>
        <x:v>120.92668155665598</x:v>
      </x:c>
      <x:c r="AJ12" s="164" t="n">
        <x:f aca="0">IFERROR(SUMIF(S15_Source_Strata!$B$4:$B$49,$G12,S15_Source_Strata!$AK$4:$AK$49),0)</x:f>
        <x:v>126.1079590032203</x:v>
      </x:c>
      <x:c r="AK12" s="164" t="n">
        <x:f aca="0">IFERROR(SUMIF(S15_Source_Strata!$B$4:$B$49,$G12,S15_Source_Strata!$AL$4:$AL$49),0)</x:f>
        <x:v>130.62168649784536</x:v>
      </x:c>
      <x:c r="AL12" s="165" t="n">
        <x:f aca="0">$F12*Q12</x:f>
        <x:v>0</x:v>
      </x:c>
      <x:c r="AM12" s="165" t="n">
        <x:f aca="0">$F12*R12</x:f>
        <x:v>0</x:v>
      </x:c>
      <x:c r="AN12" s="165" t="n">
        <x:f aca="0">$F12*S12</x:f>
        <x:v>0</x:v>
      </x:c>
      <x:c r="AO12" s="165" t="n">
        <x:f aca="0">$F12*T12</x:f>
        <x:v>7.608780497671567</x:v>
      </x:c>
      <x:c r="AP12" s="165" t="n">
        <x:f aca="0">$F12*U12</x:f>
        <x:v>94.64635301972915</x:v>
      </x:c>
      <x:c r="AQ12" s="165" t="n">
        <x:f aca="0">$F12*V12</x:f>
        <x:v>358.5146769668532</x:v>
      </x:c>
      <x:c r="AR12" s="165" t="n">
        <x:f aca="0">$F12*W12</x:f>
        <x:v>845.708597426734</x:v>
      </x:c>
      <x:c r="AS12" s="165" t="n">
        <x:f aca="0">$F12*X12</x:f>
        <x:v>1539.4692683716917</x:v>
      </x:c>
      <x:c r="AT12" s="165" t="n">
        <x:f aca="0">$F12*Y12</x:f>
        <x:v>2389.669376209432</x:v>
      </x:c>
      <x:c r="AU12" s="165" t="n">
        <x:f aca="0">$F12*Z12</x:f>
        <x:v>3335.688678638237</x:v>
      </x:c>
      <x:c r="AV12" s="165" t="n">
        <x:f aca="0">$F12*AA12</x:f>
        <x:v>4321.164793061776</x:v>
      </x:c>
      <x:c r="AW12" s="165" t="n">
        <x:f aca="0">$F12*AB12</x:f>
        <x:v>5300.716980445736</x:v>
      </x:c>
      <x:c r="AX12" s="165" t="n">
        <x:f aca="0">$F12*AC12</x:f>
        <x:v>6241.523830318146</x:v>
      </x:c>
      <x:c r="AY12" s="165" t="n">
        <x:f aca="0">$F12*AD12</x:f>
        <x:v>7122.222752906251</x:v>
      </x:c>
      <x:c r="AZ12" s="165" t="n">
        <x:f aca="0">$F12*AE12</x:f>
        <x:v>7930.744715381945</x:v>
      </x:c>
      <x:c r="BA12" s="165" t="n">
        <x:f aca="0">$F12*AF12</x:f>
        <x:v>8661.98048680468</x:v>
      </x:c>
      <x:c r="BB12" s="165" t="n">
        <x:f aca="0">$F12*AG12</x:f>
        <x:v>9315.700071391697</x:v>
      </x:c>
      <x:c r="BC12" s="165" t="n">
        <x:f aca="0">$F12*AH12</x:f>
        <x:v>9894.87317940058</x:v>
      </x:c>
      <x:c r="BD12" s="165" t="n">
        <x:f aca="0">$F12*AI12</x:f>
        <x:v>10404.398661784968</x:v>
      </x:c>
      <x:c r="BE12" s="165" t="n">
        <x:f aca="0">$F12*AJ12</x:f>
        <x:v>10850.190073882171</x:v>
      </x:c>
      <x:c r="BF12" s="165" t="n">
        <x:f aca="0">$F12*AK12</x:f>
        <x:v>11238.546222419467</x:v>
      </x:c>
    </x:row>
    <x:row r="13" ht="15" hidden="0" customHeight="1">
      <x:c r="A13" s="37" t="str">
        <x:v>Deserts &amp; Xeric Shrublands</x:v>
      </x:c>
      <x:c r="B13" s="37" t="s">
        <x:v>111</x:v>
      </x:c>
      <x:c r="C13" s="37" t="s">
        <x:v>553</x:v>
      </x:c>
      <x:c r="D13" s="37" t="n">
        <x:v>2023</x:v>
      </x:c>
      <x:c r="E13" s="100" t="n">
        <x:v>6</x:v>
      </x:c>
      <x:c r="F13" s="100" t="n">
        <x:v>6.86</x:v>
      </x:c>
      <x:c r="G13" s="37" t="s">
        <x:v>1116</x:v>
      </x:c>
      <x:c r="H13" s="37" t="n">
        <x:v>0</x:v>
      </x:c>
      <x:c r="I13" s="37" t="s">
        <x:v>1185</x:v>
      </x:c>
      <x:c r="J13" s="37" t="str">
        <x:v>Deserts &amp; Xeric Shrublands|2023</x:v>
      </x:c>
      <x:c r="K13" s="37" t="str">
        <x:v>Area × biological stock; VM0047 Eq.(3); PB separately by Biome×Cohort</x:v>
      </x:c>
      <x:c r="Q13" s="164" t="n">
        <x:f aca="0">IFERROR(SUMIF(S15_Source_Strata!$B$4:$B$49,$G13,S15_Source_Strata!$R$4:$R$49),0)</x:f>
        <x:v>0</x:v>
      </x:c>
      <x:c r="R13" s="164" t="n">
        <x:f aca="0">IFERROR(SUMIF(S15_Source_Strata!$B$4:$B$49,$G13,S15_Source_Strata!$S$4:$S$49),0)</x:f>
        <x:v>0</x:v>
      </x:c>
      <x:c r="S13" s="164" t="n">
        <x:f aca="0">IFERROR(SUMIF(S15_Source_Strata!$B$4:$B$49,$G13,S15_Source_Strata!$T$4:$T$49),0)</x:f>
        <x:v>0</x:v>
      </x:c>
      <x:c r="T13" s="164" t="n">
        <x:f aca="0">IFERROR(SUMIF(S15_Source_Strata!$B$4:$B$49,$G13,S15_Source_Strata!$U$4:$U$49),0)</x:f>
        <x:v>0</x:v>
      </x:c>
      <x:c r="U13" s="164" t="n">
        <x:f aca="0">IFERROR(SUMIF(S15_Source_Strata!$B$4:$B$49,$G13,S15_Source_Strata!$V$4:$V$49),0)</x:f>
        <x:v>0.07152597803014582</x:v>
      </x:c>
      <x:c r="V13" s="164" t="n">
        <x:f aca="0">IFERROR(SUMIF(S15_Source_Strata!$B$4:$B$49,$G13,S15_Source_Strata!$W$4:$W$49),0)</x:f>
        <x:v>0.864336246888579</x:v>
      </x:c>
      <x:c r="W13" s="164" t="n">
        <x:f aca="0">IFERROR(SUMIF(S15_Source_Strata!$B$4:$B$49,$G13,S15_Source_Strata!$X$4:$X$49),0)</x:f>
        <x:v>3.303655276665658</x:v>
      </x:c>
      <x:c r="X13" s="164" t="n">
        <x:f aca="0">IFERROR(SUMIF(S15_Source_Strata!$B$4:$B$49,$G13,S15_Source_Strata!$Y$4:$Y$49),0)</x:f>
        <x:v>7.970157779779097</x:v>
      </x:c>
      <x:c r="Y13" s="164" t="n">
        <x:f aca="0">IFERROR(SUMIF(S15_Source_Strata!$B$4:$B$49,$G13,S15_Source_Strata!$Z$4:$Z$49),0)</x:f>
        <x:v>14.923899156004842</x:v>
      </x:c>
      <x:c r="Z13" s="164" t="n">
        <x:f aca="0">IFERROR(SUMIF(S15_Source_Strata!$B$4:$B$49,$G13,S15_Source_Strata!$AA$4:$AA$49),0)</x:f>
        <x:v>23.885588624728054</x:v>
      </x:c>
      <x:c r="AA13" s="164" t="n">
        <x:f aca="0">IFERROR(SUMIF(S15_Source_Strata!$B$4:$B$49,$G13,S15_Source_Strata!$AB$4:$AB$49),0)</x:f>
        <x:v>34.39633727340892</x:v>
      </x:c>
      <x:c r="AB13" s="164" t="n">
        <x:f aca="0">IFERROR(SUMIF(S15_Source_Strata!$B$4:$B$49,$G13,S15_Source_Strata!$AC$4:$AC$49),0)</x:f>
        <x:v>45.94628773183691</x:v>
      </x:c>
      <x:c r="AC13" s="164" t="n">
        <x:f aca="0">IFERROR(SUMIF(S15_Source_Strata!$B$4:$B$49,$G13,S15_Source_Strata!$AD$4:$AD$49),0)</x:f>
        <x:v>58.054373014376885</x:v>
      </x:c>
      <x:c r="AD13" s="164" t="n">
        <x:f aca="0">IFERROR(SUMIF(S15_Source_Strata!$B$4:$B$49,$G13,S15_Source_Strata!$AE$4:$AE$49),0)</x:f>
        <x:v>70.30903125532</x:v>
      </x:c>
      <x:c r="AE13" s="164" t="n">
        <x:f aca="0">IFERROR(SUMIF(S15_Source_Strata!$B$4:$B$49,$G13,S15_Source_Strata!$AF$4:$AF$49),0)</x:f>
        <x:v>82.38274135165359</x:v>
      </x:c>
      <x:c r="AF13" s="164" t="n">
        <x:f aca="0">IFERROR(SUMIF(S15_Source_Strata!$B$4:$B$49,$G13,S15_Source_Strata!$AG$4:$AG$49),0)</x:f>
        <x:v>94.03105915138642</x:v>
      </x:c>
      <x:c r="AG13" s="164" t="n">
        <x:f aca="0">IFERROR(SUMIF(S15_Source_Strata!$B$4:$B$49,$G13,S15_Source_Strata!$AH$4:$AH$49),0)</x:f>
        <x:v>105.08365805426325</x:v>
      </x:c>
      <x:c r="AH13" s="164" t="n">
        <x:f aca="0">IFERROR(SUMIF(S15_Source_Strata!$B$4:$B$49,$G13,S15_Source_Strata!$AI$4:$AI$49),0)</x:f>
        <x:v>115.43213857673612</x:v>
      </x:c>
      <x:c r="AI13" s="164" t="n">
        <x:f aca="0">IFERROR(SUMIF(S15_Source_Strata!$B$4:$B$49,$G13,S15_Source_Strata!$AJ$4:$AJ$49),0)</x:f>
        <x:v>125.0173795374974</x:v>
      </x:c>
      <x:c r="AJ13" s="164" t="n">
        <x:f aca="0">IFERROR(SUMIF(S15_Source_Strata!$B$4:$B$49,$G13,S15_Source_Strata!$AK$4:$AK$49),0)</x:f>
        <x:v>133.81788409296183</x:v>
      </x:c>
      <x:c r="AK13" s="164" t="n">
        <x:f aca="0">IFERROR(SUMIF(S15_Source_Strata!$B$4:$B$49,$G13,S15_Source_Strata!$AL$4:$AL$49),0)</x:f>
        <x:v>141.83975781494965</x:v>
      </x:c>
      <x:c r="AL13" s="165" t="n">
        <x:f aca="0">$F13*Q13</x:f>
        <x:v>0</x:v>
      </x:c>
      <x:c r="AM13" s="165" t="n">
        <x:f aca="0">$F13*R13</x:f>
        <x:v>0</x:v>
      </x:c>
      <x:c r="AN13" s="165" t="n">
        <x:f aca="0">$F13*S13</x:f>
        <x:v>0</x:v>
      </x:c>
      <x:c r="AO13" s="165" t="n">
        <x:f aca="0">$F13*T13</x:f>
        <x:v>0</x:v>
      </x:c>
      <x:c r="AP13" s="165" t="n">
        <x:f aca="0">$F13*U13</x:f>
        <x:v>0.4906682092868003</x:v>
      </x:c>
      <x:c r="AQ13" s="165" t="n">
        <x:f aca="0">$F13*V13</x:f>
        <x:v>5.929346653655652</x:v>
      </x:c>
      <x:c r="AR13" s="165" t="n">
        <x:f aca="0">$F13*W13</x:f>
        <x:v>22.663075197926414</x:v>
      </x:c>
      <x:c r="AS13" s="165" t="n">
        <x:f aca="0">$F13*X13</x:f>
        <x:v>54.67528236928461</x:v>
      </x:c>
      <x:c r="AT13" s="165" t="n">
        <x:f aca="0">$F13*Y13</x:f>
        <x:v>102.37794821019322</x:v>
      </x:c>
      <x:c r="AU13" s="165" t="n">
        <x:f aca="0">$F13*Z13</x:f>
        <x:v>163.85513796563447</x:v>
      </x:c>
      <x:c r="AV13" s="165" t="n">
        <x:f aca="0">$F13*AA13</x:f>
        <x:v>235.9588736955852</x:v>
      </x:c>
      <x:c r="AW13" s="165" t="n">
        <x:f aca="0">$F13*AB13</x:f>
        <x:v>315.19153384040123</x:v>
      </x:c>
      <x:c r="AX13" s="165" t="n">
        <x:f aca="0">$F13*AC13</x:f>
        <x:v>398.2529988786255</x:v>
      </x:c>
      <x:c r="AY13" s="165" t="n">
        <x:f aca="0">$F13*AD13</x:f>
        <x:v>482.3199544114952</x:v>
      </x:c>
      <x:c r="AZ13" s="165" t="n">
        <x:f aca="0">$F13*AE13</x:f>
        <x:v>565.1456056723437</x:v>
      </x:c>
      <x:c r="BA13" s="165" t="n">
        <x:f aca="0">$F13*AF13</x:f>
        <x:v>645.0530657785108</x:v>
      </x:c>
      <x:c r="BB13" s="165" t="n">
        <x:f aca="0">$F13*AG13</x:f>
        <x:v>720.8738942522459</x:v>
      </x:c>
      <x:c r="BC13" s="165" t="n">
        <x:f aca="0">$F13*AH13</x:f>
        <x:v>791.8644706364098</x:v>
      </x:c>
      <x:c r="BD13" s="165" t="n">
        <x:f aca="0">$F13*AI13</x:f>
        <x:v>857.6192236272323</x:v>
      </x:c>
      <x:c r="BE13" s="165" t="n">
        <x:f aca="0">$F13*AJ13</x:f>
        <x:v>917.9906848777182</x:v>
      </x:c>
      <x:c r="BF13" s="165" t="n">
        <x:f aca="0">$F13*AK13</x:f>
        <x:v>973.0207386105546</x:v>
      </x:c>
    </x:row>
    <x:row r="14" ht="15" hidden="0" customHeight="1">
      <x:c r="A14" s="37" t="str">
        <x:v>Deserts &amp; Xeric Shrublands</x:v>
      </x:c>
      <x:c r="B14" s="37" t="s">
        <x:v>111</x:v>
      </x:c>
      <x:c r="C14" s="37" t="s">
        <x:v>542</x:v>
      </x:c>
      <x:c r="D14" s="37" t="n">
        <x:v>2023</x:v>
      </x:c>
      <x:c r="E14" s="100" t="n">
        <x:v>14</x:v>
      </x:c>
      <x:c r="F14" s="100" t="n">
        <x:v>15.2003</x:v>
      </x:c>
      <x:c r="G14" s="37" t="s">
        <x:v>1118</x:v>
      </x:c>
      <x:c r="H14" s="37" t="n">
        <x:v>0</x:v>
      </x:c>
      <x:c r="I14" s="37" t="s">
        <x:v>1185</x:v>
      </x:c>
      <x:c r="J14" s="37" t="str">
        <x:v>Deserts &amp; Xeric Shrublands|2023</x:v>
      </x:c>
      <x:c r="K14" s="37" t="str">
        <x:v>Area × biological stock; VM0047 Eq.(3); PB separately by Biome×Cohort</x:v>
      </x:c>
      <x:c r="Q14" s="164" t="n">
        <x:f aca="0">IFERROR(SUMIF(S15_Source_Strata!$B$4:$B$49,$G14,S15_Source_Strata!$R$4:$R$49),0)</x:f>
        <x:v>0</x:v>
      </x:c>
      <x:c r="R14" s="164" t="n">
        <x:f aca="0">IFERROR(SUMIF(S15_Source_Strata!$B$4:$B$49,$G14,S15_Source_Strata!$S$4:$S$49),0)</x:f>
        <x:v>0</x:v>
      </x:c>
      <x:c r="S14" s="164" t="n">
        <x:f aca="0">IFERROR(SUMIF(S15_Source_Strata!$B$4:$B$49,$G14,S15_Source_Strata!$T$4:$T$49),0)</x:f>
        <x:v>0</x:v>
      </x:c>
      <x:c r="T14" s="164" t="n">
        <x:f aca="0">IFERROR(SUMIF(S15_Source_Strata!$B$4:$B$49,$G14,S15_Source_Strata!$U$4:$U$49),0)</x:f>
        <x:v>0</x:v>
      </x:c>
      <x:c r="U14" s="164" t="n">
        <x:f aca="0">IFERROR(SUMIF(S15_Source_Strata!$B$4:$B$49,$G14,S15_Source_Strata!$V$4:$V$49),0)</x:f>
        <x:v>0.08843419078662754</x:v>
      </x:c>
      <x:c r="V14" s="164" t="n">
        <x:f aca="0">IFERROR(SUMIF(S15_Source_Strata!$B$4:$B$49,$G14,S15_Source_Strata!$W$4:$W$49),0)</x:f>
        <x:v>1.1000414117303818</x:v>
      </x:c>
      <x:c r="W14" s="164" t="n">
        <x:f aca="0">IFERROR(SUMIF(S15_Source_Strata!$B$4:$B$49,$G14,S15_Source_Strata!$X$4:$X$49),0)</x:f>
        <x:v>4.1668905223899095</x:v>
      </x:c>
      <x:c r="X14" s="164" t="n">
        <x:f aca="0">IFERROR(SUMIF(S15_Source_Strata!$B$4:$B$49,$G14,S15_Source_Strata!$Y$4:$Y$49),0)</x:f>
        <x:v>9.829374822629461</x:v>
      </x:c>
      <x:c r="Y14" s="164" t="n">
        <x:f aca="0">IFERROR(SUMIF(S15_Source_Strata!$B$4:$B$49,$G14,S15_Source_Strata!$Z$4:$Z$49),0)</x:f>
        <x:v>17.892712114772408</x:v>
      </x:c>
      <x:c r="Z14" s="164" t="n">
        <x:f aca="0">IFERROR(SUMIF(S15_Source_Strata!$B$4:$B$49,$G14,S15_Source_Strata!$AA$4:$AA$49),0)</x:f>
        <x:v>27.774290189779645</x:v>
      </x:c>
      <x:c r="AA14" s="164" t="n">
        <x:f aca="0">IFERROR(SUMIF(S15_Source_Strata!$B$4:$B$49,$G14,S15_Source_Strata!$AB$4:$AB$49),0)</x:f>
        <x:v>38.76954120331893</x:v>
      </x:c>
      <x:c r="AB14" s="164" t="n">
        <x:f aca="0">IFERROR(SUMIF(S15_Source_Strata!$B$4:$B$49,$G14,S15_Source_Strata!$AC$4:$AC$49),0)</x:f>
        <x:v>50.22338492311939</x:v>
      </x:c>
      <x:c r="AC14" s="164" t="n">
        <x:f aca="0">IFERROR(SUMIF(S15_Source_Strata!$B$4:$B$49,$G14,S15_Source_Strata!$AD$4:$AD$49),0)</x:f>
        <x:v>61.60837691376501</x:v>
      </x:c>
      <x:c r="AD14" s="164" t="n">
        <x:f aca="0">IFERROR(SUMIF(S15_Source_Strata!$B$4:$B$49,$G14,S15_Source_Strata!$AE$4:$AE$49),0)</x:f>
        <x:v>72.54304541687709</x:v>
      </x:c>
      <x:c r="AE14" s="164" t="n">
        <x:f aca="0">IFERROR(SUMIF(S15_Source_Strata!$B$4:$B$49,$G14,S15_Source_Strata!$AF$4:$AF$49),0)</x:f>
        <x:v>82.77910053366851</x:v>
      </x:c>
      <x:c r="AF14" s="164" t="n">
        <x:f aca="0">IFERROR(SUMIF(S15_Source_Strata!$B$4:$B$49,$G14,S15_Source_Strata!$AG$4:$AG$49),0)</x:f>
        <x:v>92.17626812269735</x:v>
      </x:c>
      <x:c r="AG14" s="164" t="n">
        <x:f aca="0">IFERROR(SUMIF(S15_Source_Strata!$B$4:$B$49,$G14,S15_Source_Strata!$AH$4:$AH$49),0)</x:f>
        <x:v>100.67516538222455</x:v>
      </x:c>
      <x:c r="AH14" s="164" t="n">
        <x:f aca="0">IFERROR(SUMIF(S15_Source_Strata!$B$4:$B$49,$G14,S15_Source_Strata!$AI$4:$AI$49),0)</x:f>
        <x:v>108.27311915182199</x:v>
      </x:c>
      <x:c r="AI14" s="164" t="n">
        <x:f aca="0">IFERROR(SUMIF(S15_Source_Strata!$B$4:$B$49,$G14,S15_Source_Strata!$AJ$4:$AJ$49),0)</x:f>
        <x:v>115.00464533368721</x:v>
      </x:c>
      <x:c r="AJ14" s="164" t="n">
        <x:f aca="0">IFERROR(SUMIF(S15_Source_Strata!$B$4:$B$49,$G14,S15_Source_Strata!$AK$4:$AK$49),0)</x:f>
        <x:v>120.92668155665598</x:v>
      </x:c>
      <x:c r="AK14" s="164" t="n">
        <x:f aca="0">IFERROR(SUMIF(S15_Source_Strata!$B$4:$B$49,$G14,S15_Source_Strata!$AL$4:$AL$49),0)</x:f>
        <x:v>126.1079590032203</x:v>
      </x:c>
      <x:c r="AL14" s="165" t="n">
        <x:f aca="0">$F14*Q14</x:f>
        <x:v>0</x:v>
      </x:c>
      <x:c r="AM14" s="165" t="n">
        <x:f aca="0">$F14*R14</x:f>
        <x:v>0</x:v>
      </x:c>
      <x:c r="AN14" s="165" t="n">
        <x:f aca="0">$F14*S14</x:f>
        <x:v>0</x:v>
      </x:c>
      <x:c r="AO14" s="165" t="n">
        <x:f aca="0">$F14*T14</x:f>
        <x:v>0</x:v>
      </x:c>
      <x:c r="AP14" s="165" t="n">
        <x:f aca="0">$F14*U14</x:f>
        <x:v>1.3442262302139745</x:v>
      </x:c>
      <x:c r="AQ14" s="165" t="n">
        <x:f aca="0">$F14*V14</x:f>
        <x:v>16.720959470725322</x:v>
      </x:c>
      <x:c r="AR14" s="165" t="n">
        <x:f aca="0">$F14*W14</x:f>
        <x:v>63.337986007483345</x:v>
      </x:c>
      <x:c r="AS14" s="165" t="n">
        <x:f aca="0">$F14*X14</x:f>
        <x:v>149.4094461164146</x:v>
      </x:c>
      <x:c r="AT14" s="165" t="n">
        <x:f aca="0">$F14*Y14</x:f>
        <x:v>271.97459195817504</x:v>
      </x:c>
      <x:c r="AU14" s="165" t="n">
        <x:f aca="0">$F14*Z14</x:f>
        <x:v>422.17754317170755</x:v>
      </x:c>
      <x:c r="AV14" s="165" t="n">
        <x:f aca="0">$F14*AA14</x:f>
        <x:v>589.3086571528088</x:v>
      </x:c>
      <x:c r="AW14" s="165" t="n">
        <x:f aca="0">$F14*AB14</x:f>
        <x:v>763.4105178468917</x:v>
      </x:c>
      <x:c r="AX14" s="165" t="n">
        <x:f aca="0">$F14*AC14</x:f>
        <x:v>936.4658116023022</x:v>
      </x:c>
      <x:c r="AY14" s="165" t="n">
        <x:f aca="0">$F14*AD14</x:f>
        <x:v>1102.6760532501569</x:v>
      </x:c>
      <x:c r="AZ14" s="165" t="n">
        <x:f aca="0">$F14*AE14</x:f>
        <x:v>1258.2671618419215</x:v>
      </x:c>
      <x:c r="BA14" s="165" t="n">
        <x:f aca="0">$F14*AF14</x:f>
        <x:v>1401.1069283454365</x:v>
      </x:c>
      <x:c r="BB14" s="165" t="n">
        <x:f aca="0">$F14*AG14</x:f>
        <x:v>1530.292716359428</x:v>
      </x:c>
      <x:c r="BC14" s="165" t="n">
        <x:f aca="0">$F14*AH14</x:f>
        <x:v>1645.7838930434398</x:v>
      </x:c>
      <x:c r="BD14" s="165" t="n">
        <x:f aca="0">$F14*AI14</x:f>
        <x:v>1748.1051104656458</x:v>
      </x:c>
      <x:c r="BE14" s="165" t="n">
        <x:f aca="0">$F14*AJ14</x:f>
        <x:v>1838.121837665638</x:v>
      </x:c>
      <x:c r="BF14" s="165" t="n">
        <x:f aca="0">$F14*AK14</x:f>
        <x:v>1916.8788092366497</x:v>
      </x:c>
    </x:row>
    <x:row r="15" ht="15" hidden="0" customHeight="1">
      <x:c r="A15" s="37" t="str">
        <x:v>Deserts &amp; Xeric Shrublands</x:v>
      </x:c>
      <x:c r="B15" s="37" t="s">
        <x:v>112</x:v>
      </x:c>
      <x:c r="C15" s="37" t="s">
        <x:v>549</x:v>
      </x:c>
      <x:c r="D15" s="37" t="n">
        <x:v>2021</x:v>
      </x:c>
      <x:c r="E15" s="100" t="n">
        <x:v>1</x:v>
      </x:c>
      <x:c r="F15" s="100" t="n">
        <x:v>7.1195</x:v>
      </x:c>
      <x:c r="G15" s="37" t="s">
        <x:v>613</x:v>
      </x:c>
      <x:c r="H15" s="37" t="n">
        <x:v>1</x:v>
      </x:c>
      <x:c r="I15" s="37" t="s">
        <x:v>1180</x:v>
      </x:c>
      <x:c r="J15" s="37" t="str">
        <x:v>Deserts &amp; Xeric Shrublands|2021</x:v>
      </x:c>
      <x:c r="K15" s="37" t="str">
        <x:v>Area × biological stock; VM0047 Eq.(3); PB separately by Biome×Cohort</x:v>
      </x:c>
      <x:c r="Q15" s="164" t="n">
        <x:f aca="0">IFERROR(SUMIF(S15_Source_Strata!$B$4:$B$49,$G15,S15_Source_Strata!$R$4:$R$49),0)</x:f>
        <x:v>0</x:v>
      </x:c>
      <x:c r="R15" s="164" t="n">
        <x:f aca="0">IFERROR(SUMIF(S15_Source_Strata!$B$4:$B$49,$G15,S15_Source_Strata!$S$4:$S$49),0)</x:f>
        <x:v>0</x:v>
      </x:c>
      <x:c r="S15" s="164" t="n">
        <x:f aca="0">IFERROR(SUMIF(S15_Source_Strata!$B$4:$B$49,$G15,S15_Source_Strata!$T$4:$T$49),0)</x:f>
        <x:v>0.17403433875284913</x:v>
      </x:c>
      <x:c r="T15" s="164" t="n">
        <x:f aca="0">IFERROR(SUMIF(S15_Source_Strata!$B$4:$B$49,$G15,S15_Source_Strata!$U$4:$U$49),0)</x:f>
        <x:v>1.808298795281121</x:v>
      </x:c>
      <x:c r="U15" s="164" t="n">
        <x:f aca="0">IFERROR(SUMIF(S15_Source_Strata!$B$4:$B$49,$G15,S15_Source_Strata!$V$4:$V$49),0)</x:f>
        <x:v>6.412198758790387</x:v>
      </x:c>
      <x:c r="V15" s="164" t="n">
        <x:f aca="0">IFERROR(SUMIF(S15_Source_Strata!$B$4:$B$49,$G15,S15_Source_Strata!$W$4:$W$49),0)</x:f>
        <x:v>14.786882216652412</x:v>
      </x:c>
      <x:c r="W15" s="164" t="n">
        <x:f aca="0">IFERROR(SUMIF(S15_Source_Strata!$B$4:$B$49,$G15,S15_Source_Strata!$X$4:$X$49),0)</x:f>
        <x:v>26.87739423749838</x:v>
      </x:c>
      <x:c r="X15" s="164" t="n">
        <x:f aca="0">IFERROR(SUMIF(S15_Source_Strata!$B$4:$B$49,$G15,S15_Source_Strata!$Y$4:$Y$49),0)</x:f>
        <x:v>42.13775763280599</x:v>
      </x:c>
      <x:c r="Y15" s="164" t="n">
        <x:f aca="0">IFERROR(SUMIF(S15_Source_Strata!$B$4:$B$49,$G15,S15_Source_Strata!$Z$4:$Z$49),0)</x:f>
        <x:v>59.78260518527138</x:v>
      </x:c>
      <x:c r="Z15" s="164" t="n">
        <x:f aca="0">IFERROR(SUMIF(S15_Source_Strata!$B$4:$B$49,$G15,S15_Source_Strata!$AA$4:$AA$49),0)</x:f>
        <x:v>78.97824156766397</x:v>
      </x:c>
      <x:c r="AA15" s="164" t="n">
        <x:f aca="0">IFERROR(SUMIF(S15_Source_Strata!$B$4:$B$49,$G15,S15_Source_Strata!$AB$4:$AB$49),0)</x:f>
        <x:v>98.95602185390175</x:v>
      </x:c>
      <x:c r="AB15" s="164" t="n">
        <x:f aca="0">IFERROR(SUMIF(S15_Source_Strata!$B$4:$B$49,$G15,S15_Source_Strata!$AC$4:$AC$49),0)</x:f>
        <x:v>119.06758474596045</x:v>
      </x:c>
      <x:c r="AC15" s="164" t="n">
        <x:f aca="0">IFERROR(SUMIF(S15_Source_Strata!$B$4:$B$49,$G15,S15_Source_Strata!$AD$4:$AD$49),0)</x:f>
        <x:v>138.80222721919424</x:v>
      </x:c>
      <x:c r="AD15" s="164" t="n">
        <x:f aca="0">IFERROR(SUMIF(S15_Source_Strata!$B$4:$B$49,$G15,S15_Source_Strata!$AE$4:$AE$49),0)</x:f>
        <x:v>157.78228035374133</x:v>
      </x:c>
      <x:c r="AE15" s="164" t="n">
        <x:f aca="0">IFERROR(SUMIF(S15_Source_Strata!$B$4:$B$49,$G15,S15_Source_Strata!$AF$4:$AF$49),0)</x:f>
        <x:v>175.74738584896815</x:v>
      </x:c>
      <x:c r="AF15" s="164" t="n">
        <x:f aca="0">IFERROR(SUMIF(S15_Source_Strata!$B$4:$B$49,$G15,S15_Source_Strata!$AG$4:$AG$49),0)</x:f>
        <x:v>192.53453046988696</x:v>
      </x:c>
      <x:c r="AG15" s="164" t="n">
        <x:f aca="0">IFERROR(SUMIF(S15_Source_Strata!$B$4:$B$49,$G15,S15_Source_Strata!$AH$4:$AH$49),0)</x:f>
        <x:v>208.05780653042697</x:v>
      </x:c>
      <x:c r="AH15" s="164" t="n">
        <x:f aca="0">IFERROR(SUMIF(S15_Source_Strata!$B$4:$B$49,$G15,S15_Source_Strata!$AI$4:$AI$49),0)</x:f>
        <x:v>222.2899602891645</x:v>
      </x:c>
      <x:c r="AI15" s="164" t="n">
        <x:f aca="0">IFERROR(SUMIF(S15_Source_Strata!$B$4:$B$49,$G15,S15_Source_Strata!$AJ$4:$AJ$49),0)</x:f>
        <x:v>235.24661033512507</x:v>
      </x:c>
      <x:c r="AJ15" s="164" t="n">
        <x:f aca="0">IFERROR(SUMIF(S15_Source_Strata!$B$4:$B$49,$G15,S15_Source_Strata!$AK$4:$AK$49),0)</x:f>
        <x:v>246.97333409785028</x:v>
      </x:c>
      <x:c r="AK15" s="164" t="n">
        <x:f aca="0">IFERROR(SUMIF(S15_Source_Strata!$B$4:$B$49,$G15,S15_Source_Strata!$AL$4:$AL$49),0)</x:f>
        <x:v>257.53545652664155</x:v>
      </x:c>
      <x:c r="AL15" s="165" t="n">
        <x:f aca="0">$F15*Q15</x:f>
        <x:v>0</x:v>
      </x:c>
      <x:c r="AM15" s="165" t="n">
        <x:f aca="0">$F15*R15</x:f>
        <x:v>0</x:v>
      </x:c>
      <x:c r="AN15" s="165" t="n">
        <x:f aca="0">$F15*S15</x:f>
        <x:v>1.2390374747509094</x:v>
      </x:c>
      <x:c r="AO15" s="165" t="n">
        <x:f aca="0">$F15*T15</x:f>
        <x:v>12.874183273003942</x:v>
      </x:c>
      <x:c r="AP15" s="165" t="n">
        <x:f aca="0">$F15*U15</x:f>
        <x:v>45.65164906320816</x:v>
      </x:c>
      <x:c r="AQ15" s="165" t="n">
        <x:f aca="0">$F15*V15</x:f>
        <x:v>105.27520794145686</x:v>
      </x:c>
      <x:c r="AR15" s="165" t="n">
        <x:f aca="0">$F15*W15</x:f>
        <x:v>191.35360827386972</x:v>
      </x:c>
      <x:c r="AS15" s="165" t="n">
        <x:f aca="0">$F15*X15</x:f>
        <x:v>299.99976546676226</x:v>
      </x:c>
      <x:c r="AT15" s="165" t="n">
        <x:f aca="0">$F15*Y15</x:f>
        <x:v>425.6222576165396</x:v>
      </x:c>
      <x:c r="AU15" s="165" t="n">
        <x:f aca="0">$F15*Z15</x:f>
        <x:v>562.2855908409837</x:v>
      </x:c>
      <x:c r="AV15" s="165" t="n">
        <x:f aca="0">$F15*AA15</x:f>
        <x:v>704.5173975888536</x:v>
      </x:c>
      <x:c r="AW15" s="165" t="n">
        <x:f aca="0">$F15*AB15</x:f>
        <x:v>847.7016695988655</x:v>
      </x:c>
      <x:c r="AX15" s="165" t="n">
        <x:f aca="0">$F15*AC15</x:f>
        <x:v>988.2024566870534</x:v>
      </x:c>
      <x:c r="AY15" s="165" t="n">
        <x:f aca="0">$F15*AD15</x:f>
        <x:v>1123.3309449784615</x:v>
      </x:c>
      <x:c r="AZ15" s="165" t="n">
        <x:f aca="0">$F15*AE15</x:f>
        <x:v>1251.2335135517287</x:v>
      </x:c>
      <x:c r="BA15" s="165" t="n">
        <x:f aca="0">$F15*AF15</x:f>
        <x:v>1370.7495896803603</x:v>
      </x:c>
      <x:c r="BB15" s="165" t="n">
        <x:f aca="0">$F15*AG15</x:f>
        <x:v>1481.267553593375</x:v>
      </x:c>
      <x:c r="BC15" s="165" t="n">
        <x:f aca="0">$F15*AH15</x:f>
        <x:v>1582.5933722787067</x:v>
      </x:c>
      <x:c r="BD15" s="165" t="n">
        <x:f aca="0">$F15*AI15</x:f>
        <x:v>1674.838242280923</x:v>
      </x:c>
      <x:c r="BE15" s="165" t="n">
        <x:f aca="0">$F15*AJ15</x:f>
        <x:v>1758.3266521096452</x:v>
      </x:c>
      <x:c r="BF15" s="165" t="n">
        <x:f aca="0">$F15*AK15</x:f>
        <x:v>1833.5236827414246</x:v>
      </x:c>
    </x:row>
    <x:row r="16" ht="15" hidden="0" customHeight="1">
      <x:c r="A16" s="37" t="str">
        <x:v>Deserts &amp; Xeric Shrublands</x:v>
      </x:c>
      <x:c r="B16" s="37" t="s">
        <x:v>112</x:v>
      </x:c>
      <x:c r="C16" s="37" t="s">
        <x:v>553</x:v>
      </x:c>
      <x:c r="D16" s="37" t="n">
        <x:v>2021</x:v>
      </x:c>
      <x:c r="E16" s="100" t="n">
        <x:v>2</x:v>
      </x:c>
      <x:c r="F16" s="100" t="n">
        <x:v>2.182</x:v>
      </x:c>
      <x:c r="G16" s="37" t="s">
        <x:v>616</x:v>
      </x:c>
      <x:c r="H16" s="37" t="n">
        <x:v>2</x:v>
      </x:c>
      <x:c r="I16" s="37" t="s">
        <x:v>1180</x:v>
      </x:c>
      <x:c r="J16" s="37" t="str">
        <x:v>Deserts &amp; Xeric Shrublands|2021</x:v>
      </x:c>
      <x:c r="K16" s="37" t="str">
        <x:v>Area × biological stock; VM0047 Eq.(3); PB separately by Biome×Cohort</x:v>
      </x:c>
      <x:c r="Q16" s="164" t="n">
        <x:f aca="0">IFERROR(SUMIF(S15_Source_Strata!$B$4:$B$49,$G16,S15_Source_Strata!$R$4:$R$49),0)</x:f>
        <x:v>0</x:v>
      </x:c>
      <x:c r="R16" s="164" t="n">
        <x:f aca="0">IFERROR(SUMIF(S15_Source_Strata!$B$4:$B$49,$G16,S15_Source_Strata!$S$4:$S$49),0)</x:f>
        <x:v>0</x:v>
      </x:c>
      <x:c r="S16" s="164" t="n">
        <x:f aca="0">IFERROR(SUMIF(S15_Source_Strata!$B$4:$B$49,$G16,S15_Source_Strata!$T$4:$T$49),0)</x:f>
        <x:v>0.12283356113190305</x:v>
      </x:c>
      <x:c r="T16" s="164" t="n">
        <x:f aca="0">IFERROR(SUMIF(S15_Source_Strata!$B$4:$B$49,$G16,S15_Source_Strata!$U$4:$U$49),0)</x:f>
        <x:v>1.4989505769070053</x:v>
      </x:c>
      <x:c r="U16" s="164" t="n">
        <x:f aca="0">IFERROR(SUMIF(S15_Source_Strata!$B$4:$B$49,$G16,S15_Source_Strata!$V$4:$V$49),0)</x:f>
        <x:v>5.735466422719506</x:v>
      </x:c>
      <x:c r="V16" s="164" t="n">
        <x:f aca="0">IFERROR(SUMIF(S15_Source_Strata!$B$4:$B$49,$G16,S15_Source_Strata!$W$4:$W$49),0)</x:f>
        <x:v>13.80887340940617</x:v>
      </x:c>
      <x:c r="W16" s="164" t="n">
        <x:f aca="0">IFERROR(SUMIF(S15_Source_Strata!$B$4:$B$49,$G16,S15_Source_Strata!$X$4:$X$49),0)</x:f>
        <x:v>25.770767265692307</x:v>
      </x:c>
      <x:c r="X16" s="164" t="n">
        <x:f aca="0">IFERROR(SUMIF(S15_Source_Strata!$B$4:$B$49,$G16,S15_Source_Strata!$Y$4:$Y$49),0)</x:f>
        <x:v>41.08811707245167</x:v>
      </x:c>
      <x:c r="Y16" s="164" t="n">
        <x:f aca="0">IFERROR(SUMIF(S15_Source_Strata!$B$4:$B$49,$G16,S15_Source_Strata!$Z$4:$Z$49),0)</x:f>
        <x:v>58.936105685083724</x:v>
      </x:c>
      <x:c r="Z16" s="164" t="n">
        <x:f aca="0">IFERROR(SUMIF(S15_Source_Strata!$B$4:$B$49,$G16,S15_Source_Strata!$AA$4:$AA$49),0)</x:f>
        <x:v>78.4246944693513</x:v>
      </x:c>
      <x:c r="AA16" s="164" t="n">
        <x:f aca="0">IFERROR(SUMIF(S15_Source_Strata!$B$4:$B$49,$G16,S15_Source_Strata!$AB$4:$AB$49),0)</x:f>
        <x:v>98.73296069056644</x:v>
      </x:c>
      <x:c r="AB16" s="164" t="n">
        <x:f aca="0">IFERROR(SUMIF(S15_Source_Strata!$B$4:$B$49,$G16,S15_Source_Strata!$AC$4:$AC$49),0)</x:f>
        <x:v>119.17300190182442</x:v>
      </x:c>
      <x:c r="AC16" s="164" t="n">
        <x:f aca="0">IFERROR(SUMIF(S15_Source_Strata!$B$4:$B$49,$G16,S15_Source_Strata!$AD$4:$AD$49),0)</x:f>
        <x:v>139.20862378390527</x:v>
      </x:c>
      <x:c r="AD16" s="164" t="n">
        <x:f aca="0">IFERROR(SUMIF(S15_Source_Strata!$B$4:$B$49,$G16,S15_Source_Strata!$AE$4:$AE$49),0)</x:f>
        <x:v>158.44860426891884</x:v>
      </x:c>
      <x:c r="AE16" s="164" t="n">
        <x:f aca="0">IFERROR(SUMIF(S15_Source_Strata!$B$4:$B$49,$G16,S15_Source_Strata!$AF$4:$AF$49),0)</x:f>
        <x:v>176.62781196273997</x:v>
      </x:c>
      <x:c r="AF16" s="164" t="n">
        <x:f aca="0">IFERROR(SUMIF(S15_Source_Strata!$B$4:$B$49,$G16,S15_Source_Strata!$AG$4:$AG$49),0)</x:f>
        <x:v>193.58422058428138</x:v>
      </x:c>
      <x:c r="AG16" s="164" t="n">
        <x:f aca="0">IFERROR(SUMIF(S15_Source_Strata!$B$4:$B$49,$G16,S15_Source_Strata!$AH$4:$AH$49),0)</x:f>
        <x:v>209.23624513952902</x:v>
      </x:c>
      <x:c r="AH16" s="164" t="n">
        <x:f aca="0">IFERROR(SUMIF(S15_Source_Strata!$B$4:$B$49,$G16,S15_Source_Strata!$AI$4:$AI$49),0)</x:f>
        <x:v>223.5625415771482</x:v>
      </x:c>
      <x:c r="AI16" s="164" t="n">
        <x:f aca="0">IFERROR(SUMIF(S15_Source_Strata!$B$4:$B$49,$G16,S15_Source_Strata!$AJ$4:$AJ$49),0)</x:f>
        <x:v>236.58506751930585</x:v>
      </x:c>
      <x:c r="AJ16" s="164" t="n">
        <x:f aca="0">IFERROR(SUMIF(S15_Source_Strata!$B$4:$B$49,$G16,S15_Source_Strata!$AK$4:$AK$49),0)</x:f>
        <x:v>248.355467468293</x:v>
      </x:c>
      <x:c r="AK16" s="164" t="n">
        <x:f aca="0">IFERROR(SUMIF(S15_Source_Strata!$B$4:$B$49,$G16,S15_Source_Strata!$AL$4:$AL$49),0)</x:f>
        <x:v>258.94448483826704</x:v>
      </x:c>
      <x:c r="AL16" s="165" t="n">
        <x:f aca="0">$F16*Q16</x:f>
        <x:v>0</x:v>
      </x:c>
      <x:c r="AM16" s="165" t="n">
        <x:f aca="0">$F16*R16</x:f>
        <x:v>0</x:v>
      </x:c>
      <x:c r="AN16" s="165" t="n">
        <x:f aca="0">$F16*S16</x:f>
        <x:v>0.26802283038981245</x:v>
      </x:c>
      <x:c r="AO16" s="165" t="n">
        <x:f aca="0">$F16*T16</x:f>
        <x:v>3.2707101588110854</x:v>
      </x:c>
      <x:c r="AP16" s="165" t="n">
        <x:f aca="0">$F16*U16</x:f>
        <x:v>12.514787734373963</x:v>
      </x:c>
      <x:c r="AQ16" s="165" t="n">
        <x:f aca="0">$F16*V16</x:f>
        <x:v>30.13096177932426</x:v>
      </x:c>
      <x:c r="AR16" s="165" t="n">
        <x:f aca="0">$F16*W16</x:f>
        <x:v>56.23181417374061</x:v>
      </x:c>
      <x:c r="AS16" s="165" t="n">
        <x:f aca="0">$F16*X16</x:f>
        <x:v>89.65427145208955</x:v>
      </x:c>
      <x:c r="AT16" s="165" t="n">
        <x:f aca="0">$F16*Y16</x:f>
        <x:v>128.59858260485268</x:v>
      </x:c>
      <x:c r="AU16" s="165" t="n">
        <x:f aca="0">$F16*Z16</x:f>
        <x:v>171.12268333212452</x:v>
      </x:c>
      <x:c r="AV16" s="165" t="n">
        <x:f aca="0">$F16*AA16</x:f>
        <x:v>215.43532022681597</x:v>
      </x:c>
      <x:c r="AW16" s="165" t="n">
        <x:f aca="0">$F16*AB16</x:f>
        <x:v>260.03549014978086</x:v>
      </x:c>
      <x:c r="AX16" s="165" t="n">
        <x:f aca="0">$F16*AC16</x:f>
        <x:v>303.7532170964813</x:v>
      </x:c>
      <x:c r="AY16" s="165" t="n">
        <x:f aca="0">$F16*AD16</x:f>
        <x:v>345.7348545147809</x:v>
      </x:c>
      <x:c r="AZ16" s="165" t="n">
        <x:f aca="0">$F16*AE16</x:f>
        <x:v>385.4018857026986</x:v>
      </x:c>
      <x:c r="BA16" s="165" t="n">
        <x:f aca="0">$F16*AF16</x:f>
        <x:v>422.400769314902</x:v>
      </x:c>
      <x:c r="BB16" s="165" t="n">
        <x:f aca="0">$F16*AG16</x:f>
        <x:v>456.5534868944523</x:v>
      </x:c>
      <x:c r="BC16" s="165" t="n">
        <x:f aca="0">$F16*AH16</x:f>
        <x:v>487.81346572133737</x:v>
      </x:c>
      <x:c r="BD16" s="165" t="n">
        <x:f aca="0">$F16*AI16</x:f>
        <x:v>516.2286173271253</x:v>
      </x:c>
      <x:c r="BE16" s="165" t="n">
        <x:f aca="0">$F16*AJ16</x:f>
        <x:v>541.9116300158153</x:v>
      </x:c>
      <x:c r="BF16" s="165" t="n">
        <x:f aca="0">$F16*AK16</x:f>
        <x:v>565.0168659170987</x:v>
      </x:c>
    </x:row>
    <x:row r="17" ht="15" hidden="0" customHeight="1">
      <x:c r="A17" s="37" t="str">
        <x:v>Deserts &amp; Xeric Shrublands</x:v>
      </x:c>
      <x:c r="B17" s="37" t="s">
        <x:v>112</x:v>
      </x:c>
      <x:c r="C17" s="37" t="s">
        <x:v>553</x:v>
      </x:c>
      <x:c r="D17" s="37" t="n">
        <x:v>2022</x:v>
      </x:c>
      <x:c r="E17" s="100" t="n">
        <x:v>5</x:v>
      </x:c>
      <x:c r="F17" s="100" t="n">
        <x:v>5.0295</x:v>
      </x:c>
      <x:c r="G17" s="37" t="s">
        <x:v>1112</x:v>
      </x:c>
      <x:c r="H17" s="37" t="n">
        <x:v>0</x:v>
      </x:c>
      <x:c r="I17" s="37" t="s">
        <x:v>1185</x:v>
      </x:c>
      <x:c r="J17" s="37" t="str">
        <x:v>Deserts &amp; Xeric Shrublands|2022</x:v>
      </x:c>
      <x:c r="K17" s="37" t="str">
        <x:v>Area × biological stock; VM0047 Eq.(3); PB separately by Biome×Cohort</x:v>
      </x:c>
      <x:c r="Q17" s="164" t="n">
        <x:f aca="0">IFERROR(SUMIF(S15_Source_Strata!$B$4:$B$49,$G17,S15_Source_Strata!$R$4:$R$49),0)</x:f>
        <x:v>0</x:v>
      </x:c>
      <x:c r="R17" s="164" t="n">
        <x:f aca="0">IFERROR(SUMIF(S15_Source_Strata!$B$4:$B$49,$G17,S15_Source_Strata!$S$4:$S$49),0)</x:f>
        <x:v>0</x:v>
      </x:c>
      <x:c r="S17" s="164" t="n">
        <x:f aca="0">IFERROR(SUMIF(S15_Source_Strata!$B$4:$B$49,$G17,S15_Source_Strata!$T$4:$T$49),0)</x:f>
        <x:v>0</x:v>
      </x:c>
      <x:c r="T17" s="164" t="n">
        <x:f aca="0">IFERROR(SUMIF(S15_Source_Strata!$B$4:$B$49,$G17,S15_Source_Strata!$U$4:$U$49),0)</x:f>
        <x:v>0.6441032625151308</x:v>
      </x:c>
      <x:c r="U17" s="164" t="n">
        <x:f aca="0">IFERROR(SUMIF(S15_Source_Strata!$B$4:$B$49,$G17,S15_Source_Strata!$V$4:$V$49),0)</x:f>
        <x:v>6.274634952775498</x:v>
      </x:c>
      <x:c r="V17" s="164" t="n">
        <x:f aca="0">IFERROR(SUMIF(S15_Source_Strata!$B$4:$B$49,$G17,S15_Source_Strata!$W$4:$W$49),0)</x:f>
        <x:v>21.135569424368043</x:v>
      </x:c>
      <x:c r="W17" s="164" t="n">
        <x:f aca="0">IFERROR(SUMIF(S15_Source_Strata!$B$4:$B$49,$G17,S15_Source_Strata!$X$4:$X$49),0)</x:f>
        <x:v>46.61928721929594</x:v>
      </x:c>
      <x:c r="X17" s="164" t="n">
        <x:f aca="0">IFERROR(SUMIF(S15_Source_Strata!$B$4:$B$49,$G17,S15_Source_Strata!$Y$4:$Y$49),0)</x:f>
        <x:v>81.45290097807585</x:v>
      </x:c>
      <x:c r="Y17" s="164" t="n">
        <x:f aca="0">IFERROR(SUMIF(S15_Source_Strata!$B$4:$B$49,$G17,S15_Source_Strata!$Z$4:$Z$49),0)</x:f>
        <x:v>123.24721308749875</x:v>
      </x:c>
      <x:c r="Z17" s="164" t="n">
        <x:f aca="0">IFERROR(SUMIF(S15_Source_Strata!$B$4:$B$49,$G17,S15_Source_Strata!$AA$4:$AA$49),0)</x:f>
        <x:v>169.35150899149957</x:v>
      </x:c>
      <x:c r="AA17" s="164" t="n">
        <x:f aca="0">IFERROR(SUMIF(S15_Source_Strata!$B$4:$B$49,$G17,S15_Source_Strata!$AB$4:$AB$49),0)</x:f>
        <x:v>217.36351064090428</x:v>
      </x:c>
      <x:c r="AB17" s="164" t="n">
        <x:f aca="0">IFERROR(SUMIF(S15_Source_Strata!$B$4:$B$49,$G17,S15_Source_Strata!$AC$4:$AC$49),0)</x:f>
        <x:v>265.34468187995606</x:v>
      </x:c>
      <x:c r="AC17" s="164" t="n">
        <x:f aca="0">IFERROR(SUMIF(S15_Source_Strata!$B$4:$B$49,$G17,S15_Source_Strata!$AD$4:$AD$49),0)</x:f>
        <x:v>311.86119196428444</x:v>
      </x:c>
      <x:c r="AD17" s="164" t="n">
        <x:f aca="0">IFERROR(SUMIF(S15_Source_Strata!$B$4:$B$49,$G17,S15_Source_Strata!$AE$4:$AE$49),0)</x:f>
        <x:v>355.9372993896785</x:v>
      </x:c>
      <x:c r="AE17" s="164" t="n">
        <x:f aca="0">IFERROR(SUMIF(S15_Source_Strata!$B$4:$B$49,$G17,S15_Source_Strata!$AF$4:$AF$49),0)</x:f>
        <x:v>396.97433539378875</x:v>
      </x:c>
      <x:c r="AF17" s="164" t="n">
        <x:f aca="0">IFERROR(SUMIF(S15_Source_Strata!$B$4:$B$49,$G17,S15_Source_Strata!$AG$4:$AG$49),0)</x:f>
        <x:v>434.66423612327816</x:v>
      </x:c>
      <x:c r="AG17" s="164" t="n">
        <x:f aca="0">IFERROR(SUMIF(S15_Source_Strata!$B$4:$B$49,$G17,S15_Source_Strata!$AH$4:$AH$49),0)</x:f>
        <x:v>468.9113865813359</x:v>
      </x:c>
      <x:c r="AH17" s="164" t="n">
        <x:f aca="0">IFERROR(SUMIF(S15_Source_Strata!$B$4:$B$49,$G17,S15_Source_Strata!$AI$4:$AI$49),0)</x:f>
        <x:v>499.7678891038304</x:v>
      </x:c>
      <x:c r="AI17" s="164" t="n">
        <x:f aca="0">IFERROR(SUMIF(S15_Source_Strata!$B$4:$B$49,$G17,S15_Source_Strata!$AJ$4:$AJ$49),0)</x:f>
        <x:v>527.3828772183897</x:v>
      </x:c>
      <x:c r="AJ17" s="164" t="n">
        <x:f aca="0">IFERROR(SUMIF(S15_Source_Strata!$B$4:$B$49,$G17,S15_Source_Strata!$AK$4:$AK$49),0)</x:f>
        <x:v>551.9644413483702</x:v>
      </x:c>
      <x:c r="AK17" s="164" t="n">
        <x:f aca="0">IFERROR(SUMIF(S15_Source_Strata!$B$4:$B$49,$G17,S15_Source_Strata!$AL$4:$AL$49),0)</x:f>
        <x:v>573.7520089252565</x:v>
      </x:c>
      <x:c r="AL17" s="165" t="n">
        <x:f aca="0">$F17*Q17</x:f>
        <x:v>0</x:v>
      </x:c>
      <x:c r="AM17" s="165" t="n">
        <x:f aca="0">$F17*R17</x:f>
        <x:v>0</x:v>
      </x:c>
      <x:c r="AN17" s="165" t="n">
        <x:f aca="0">$F17*S17</x:f>
        <x:v>0</x:v>
      </x:c>
      <x:c r="AO17" s="165" t="n">
        <x:f aca="0">$F17*T17</x:f>
        <x:v>3.2395173588198505</x:v>
      </x:c>
      <x:c r="AP17" s="165" t="n">
        <x:f aca="0">$F17*U17</x:f>
        <x:v>31.558276494984366</x:v>
      </x:c>
      <x:c r="AQ17" s="165" t="n">
        <x:f aca="0">$F17*V17</x:f>
        <x:v>106.30134641985907</x:v>
      </x:c>
      <x:c r="AR17" s="165" t="n">
        <x:f aca="0">$F17*W17</x:f>
        <x:v>234.47170506944892</x:v>
      </x:c>
      <x:c r="AS17" s="165" t="n">
        <x:f aca="0">$F17*X17</x:f>
        <x:v>409.66736546923244</x:v>
      </x:c>
      <x:c r="AT17" s="165" t="n">
        <x:f aca="0">$F17*Y17</x:f>
        <x:v>619.8718582235749</x:v>
      </x:c>
      <x:c r="AU17" s="165" t="n">
        <x:f aca="0">$F17*Z17</x:f>
        <x:v>851.7534144727471</x:v>
      </x:c>
      <x:c r="AV17" s="165" t="n">
        <x:f aca="0">$F17*AA17</x:f>
        <x:v>1093.229776768428</x:v>
      </x:c>
      <x:c r="AW17" s="165" t="n">
        <x:f aca="0">$F17*AB17</x:f>
        <x:v>1334.5510775152388</x:v>
      </x:c>
      <x:c r="AX17" s="165" t="n">
        <x:f aca="0">$F17*AC17</x:f>
        <x:v>1568.5058649843686</x:v>
      </x:c>
      <x:c r="AY17" s="165" t="n">
        <x:f aca="0">$F17*AD17</x:f>
        <x:v>1790.186647280388</x:v>
      </x:c>
      <x:c r="AZ17" s="165" t="n">
        <x:f aca="0">$F17*AE17</x:f>
        <x:v>1996.5824198630603</x:v>
      </x:c>
      <x:c r="BA17" s="165" t="n">
        <x:f aca="0">$F17*AF17</x:f>
        <x:v>2186.1437755820275</x:v>
      </x:c>
      <x:c r="BB17" s="165" t="n">
        <x:f aca="0">$F17*AG17</x:f>
        <x:v>2358.3898188108287</x:v>
      </x:c>
      <x:c r="BC17" s="165" t="n">
        <x:f aca="0">$F17*AH17</x:f>
        <x:v>2513.582598247715</x:v>
      </x:c>
      <x:c r="BD17" s="165" t="n">
        <x:f aca="0">$F17*AI17</x:f>
        <x:v>2652.472180969891</x:v>
      </x:c>
      <x:c r="BE17" s="165" t="n">
        <x:f aca="0">$F17*AJ17</x:f>
        <x:v>2776.1051577616277</x:v>
      </x:c>
      <x:c r="BF17" s="165" t="n">
        <x:f aca="0">$F17*AK17</x:f>
        <x:v>2885.6857288895776</x:v>
      </x:c>
    </x:row>
    <x:row r="18" ht="15" hidden="0" customHeight="1">
      <x:c r="A18" s="37" t="str">
        <x:v>Deserts &amp; Xeric Shrublands</x:v>
      </x:c>
      <x:c r="B18" s="37" t="s">
        <x:v>113</x:v>
      </x:c>
      <x:c r="C18" s="37" t="s">
        <x:v>553</x:v>
      </x:c>
      <x:c r="D18" s="37" t="n">
        <x:v>2020</x:v>
      </x:c>
      <x:c r="E18" s="100" t="n">
        <x:v>1</x:v>
      </x:c>
      <x:c r="F18" s="100" t="n">
        <x:v>1.0504</x:v>
      </x:c>
      <x:c r="G18" s="37" t="s">
        <x:v>673</x:v>
      </x:c>
      <x:c r="H18" s="37" t="n">
        <x:v>10</x:v>
      </x:c>
      <x:c r="I18" s="37" t="s">
        <x:v>1180</x:v>
      </x:c>
      <x:c r="J18" s="37" t="str">
        <x:v>Deserts &amp; Xeric Shrublands|2020</x:v>
      </x:c>
      <x:c r="K18" s="37" t="str">
        <x:v>Area × biological stock; VM0047 Eq.(3); PB separately by Biome×Cohort</x:v>
      </x:c>
      <x:c r="Q18" s="164" t="n">
        <x:f aca="0">IFERROR(SUMIF(S15_Source_Strata!$B$4:$B$49,$G18,S15_Source_Strata!$R$4:$R$49),0)</x:f>
        <x:v>0</x:v>
      </x:c>
      <x:c r="R18" s="164" t="n">
        <x:f aca="0">IFERROR(SUMIF(S15_Source_Strata!$B$4:$B$49,$G18,S15_Source_Strata!$S$4:$S$49),0)</x:f>
        <x:v>1.6129983967558328</x:v>
      </x:c>
      <x:c r="S18" s="164" t="n">
        <x:f aca="0">IFERROR(SUMIF(S15_Source_Strata!$B$4:$B$49,$G18,S15_Source_Strata!$T$4:$T$49),0)</x:f>
        <x:v>16.04625110170183</x:v>
      </x:c>
      <x:c r="T18" s="164" t="n">
        <x:f aca="0">IFERROR(SUMIF(S15_Source_Strata!$B$4:$B$49,$G18,S15_Source_Strata!$U$4:$U$49),0)</x:f>
        <x:v>55.33980475771934</x:v>
      </x:c>
      <x:c r="U18" s="164" t="n">
        <x:f aca="0">IFERROR(SUMIF(S15_Source_Strata!$B$4:$B$49,$G18,S15_Source_Strata!$V$4:$V$49),0)</x:f>
        <x:v>125.02697438850228</x:v>
      </x:c>
      <x:c r="V18" s="164" t="n">
        <x:f aca="0">IFERROR(SUMIF(S15_Source_Strata!$B$4:$B$49,$G18,S15_Source_Strata!$W$4:$W$49),0)</x:f>
        <x:v>223.62721640526698</x:v>
      </x:c>
      <x:c r="W18" s="164" t="n">
        <x:f aca="0">IFERROR(SUMIF(S15_Source_Strata!$B$4:$B$49,$G18,S15_Source_Strata!$X$4:$X$49),0)</x:f>
        <x:v>346.0451356021678</x:v>
      </x:c>
      <x:c r="X18" s="164" t="n">
        <x:f aca="0">IFERROR(SUMIF(S15_Source_Strata!$B$4:$B$49,$G18,S15_Source_Strata!$Y$4:$Y$49),0)</x:f>
        <x:v>485.65867790702845</x:v>
      </x:c>
      <x:c r="Y18" s="164" t="n">
        <x:f aca="0">IFERROR(SUMIF(S15_Source_Strata!$B$4:$B$49,$G18,S15_Source_Strata!$Z$4:$Z$49),0)</x:f>
        <x:v>635.7870379054528</x:v>
      </x:c>
      <x:c r="Z18" s="164" t="n">
        <x:f aca="0">IFERROR(SUMIF(S15_Source_Strata!$B$4:$B$49,$G18,S15_Source_Strata!$AA$4:$AA$49),0)</x:f>
        <x:v>790.4906680135409</x:v>
      </x:c>
      <x:c r="AA18" s="164" t="n">
        <x:f aca="0">IFERROR(SUMIF(S15_Source_Strata!$B$4:$B$49,$G18,S15_Source_Strata!$AB$4:$AB$49),0)</x:f>
        <x:v>944.9111028412411</x:v>
      </x:c>
      <x:c r="AB18" s="164" t="n">
        <x:f aca="0">IFERROR(SUMIF(S15_Source_Strata!$B$4:$B$49,$G18,S15_Source_Strata!$AC$4:$AC$49),0)</x:f>
        <x:v>1095.3317683423338</x:v>
      </x:c>
      <x:c r="AC18" s="164" t="n">
        <x:f aca="0">IFERROR(SUMIF(S15_Source_Strata!$B$4:$B$49,$G18,S15_Source_Strata!$AD$4:$AD$49),0)</x:f>
        <x:v>1239.089185903657</x:v>
      </x:c>
      <x:c r="AD18" s="164" t="n">
        <x:f aca="0">IFERROR(SUMIF(S15_Source_Strata!$B$4:$B$49,$G18,S15_Source_Strata!$AE$4:$AE$49),0)</x:f>
        <x:v>1374.417567699113</x:v>
      </x:c>
      <x:c r="AE18" s="164" t="n">
        <x:f aca="0">IFERROR(SUMIF(S15_Source_Strata!$B$4:$B$49,$G18,S15_Source_Strata!$AF$4:$AF$49),0)</x:f>
        <x:v>1500.2756845326046</x:v>
      </x:c>
      <x:c r="AF18" s="164" t="n">
        <x:f aca="0">IFERROR(SUMIF(S15_Source_Strata!$B$4:$B$49,$G18,S15_Source_Strata!$AG$4:$AG$49),0)</x:f>
        <x:v>1616.1822036289107</x:v>
      </x:c>
      <x:c r="AG18" s="164" t="n">
        <x:f aca="0">IFERROR(SUMIF(S15_Source_Strata!$B$4:$B$49,$G18,S15_Source_Strata!$AH$4:$AH$49),0)</x:f>
        <x:v>1722.0716312818815</x:v>
      </x:c>
      <x:c r="AH18" s="164" t="n">
        <x:f aca="0">IFERROR(SUMIF(S15_Source_Strata!$B$4:$B$49,$G18,S15_Source_Strata!$AI$4:$AI$49),0)</x:f>
        <x:v>1818.174819803822</x:v>
      </x:c>
      <x:c r="AI18" s="164" t="n">
        <x:f aca="0">IFERROR(SUMIF(S15_Source_Strata!$B$4:$B$49,$G18,S15_Source_Strata!$AJ$4:$AJ$49),0)</x:f>
        <x:v>1904.9235947454438</x:v>
      </x:c>
      <x:c r="AJ18" s="164" t="n">
        <x:f aca="0">IFERROR(SUMIF(S15_Source_Strata!$B$4:$B$49,$G18,S15_Source_Strata!$AK$4:$AK$49),0)</x:f>
        <x:v>1982.8769505889393</x:v>
      </x:c>
      <x:c r="AK18" s="164" t="n">
        <x:f aca="0">IFERROR(SUMIF(S15_Source_Strata!$B$4:$B$49,$G18,S15_Source_Strata!$AL$4:$AL$49),0)</x:f>
        <x:v>2052.665482410992</x:v>
      </x:c>
      <x:c r="AL18" s="165" t="n">
        <x:f aca="0">$F18*Q18</x:f>
        <x:v>0</x:v>
      </x:c>
      <x:c r="AM18" s="165" t="n">
        <x:f aca="0">$F18*R18</x:f>
        <x:v>1.6942935159523267</x:v>
      </x:c>
      <x:c r="AN18" s="165" t="n">
        <x:f aca="0">$F18*S18</x:f>
        <x:v>16.854982157227603</x:v>
      </x:c>
      <x:c r="AO18" s="165" t="n">
        <x:f aca="0">$F18*T18</x:f>
        <x:v>58.1289309175084</x:v>
      </x:c>
      <x:c r="AP18" s="165" t="n">
        <x:f aca="0">$F18*U18</x:f>
        <x:v>131.3283338976828</x:v>
      </x:c>
      <x:c r="AQ18" s="165" t="n">
        <x:f aca="0">$F18*V18</x:f>
        <x:v>234.89802811209245</x:v>
      </x:c>
      <x:c r="AR18" s="165" t="n">
        <x:f aca="0">$F18*W18</x:f>
        <x:v>363.48581043651706</x:v>
      </x:c>
      <x:c r="AS18" s="165" t="n">
        <x:f aca="0">$F18*X18</x:f>
        <x:v>510.1358752735427</x:v>
      </x:c>
      <x:c r="AT18" s="165" t="n">
        <x:f aca="0">$F18*Y18</x:f>
        <x:v>667.8307046158877</x:v>
      </x:c>
      <x:c r="AU18" s="165" t="n">
        <x:f aca="0">$F18*Z18</x:f>
        <x:v>830.3313976814234</x:v>
      </x:c>
      <x:c r="AV18" s="165" t="n">
        <x:f aca="0">$F18*AA18</x:f>
        <x:v>992.5346224244397</x:v>
      </x:c>
      <x:c r="AW18" s="165" t="n">
        <x:f aca="0">$F18*AB18</x:f>
        <x:v>1150.5364894667875</x:v>
      </x:c>
      <x:c r="AX18" s="165" t="n">
        <x:f aca="0">$F18*AC18</x:f>
        <x:v>1301.5392808732013</x:v>
      </x:c>
      <x:c r="AY18" s="165" t="n">
        <x:f aca="0">$F18*AD18</x:f>
        <x:v>1443.6882131111483</x:v>
      </x:c>
      <x:c r="AZ18" s="165" t="n">
        <x:f aca="0">$F18*AE18</x:f>
        <x:v>1575.8895790330478</x:v>
      </x:c>
      <x:c r="BA18" s="165" t="n">
        <x:f aca="0">$F18*AF18</x:f>
        <x:v>1697.6377866918078</x:v>
      </x:c>
      <x:c r="BB18" s="165" t="n">
        <x:f aca="0">$F18*AG18</x:f>
        <x:v>1808.8640414984884</x:v>
      </x:c>
      <x:c r="BC18" s="165" t="n">
        <x:f aca="0">$F18*AH18</x:f>
        <x:v>1909.8108307219345</x:v>
      </x:c>
      <x:c r="BD18" s="165" t="n">
        <x:f aca="0">$F18*AI18</x:f>
        <x:v>2000.931743920614</x:v>
      </x:c>
      <x:c r="BE18" s="165" t="n">
        <x:f aca="0">$F18*AJ18</x:f>
        <x:v>2082.8139488986217</x:v>
      </x:c>
      <x:c r="BF18" s="165" t="n">
        <x:f aca="0">$F18*AK18</x:f>
        <x:v>2156.119822724506</x:v>
      </x:c>
    </x:row>
    <x:row r="19" ht="15" hidden="0" customHeight="1">
      <x:c r="A19" s="37" t="str">
        <x:v>Deserts &amp; Xeric Shrublands</x:v>
      </x:c>
      <x:c r="B19" s="37" t="s">
        <x:v>113</x:v>
      </x:c>
      <x:c r="C19" s="37" t="s">
        <x:v>553</x:v>
      </x:c>
      <x:c r="D19" s="37" t="n">
        <x:v>2022</x:v>
      </x:c>
      <x:c r="E19" s="100" t="n">
        <x:v>1</x:v>
      </x:c>
      <x:c r="F19" s="100" t="n">
        <x:v>0.861</x:v>
      </x:c>
      <x:c r="G19" s="37" t="s">
        <x:v>695</x:v>
      </x:c>
      <x:c r="H19" s="37" t="n">
        <x:v>1</x:v>
      </x:c>
      <x:c r="I19" s="37" t="s">
        <x:v>1180</x:v>
      </x:c>
      <x:c r="J19" s="37" t="str">
        <x:v>Deserts &amp; Xeric Shrublands|2022</x:v>
      </x:c>
      <x:c r="K19" s="37" t="str">
        <x:v>Area × biological stock; VM0047 Eq.(3); PB separately by Biome×Cohort</x:v>
      </x:c>
      <x:c r="Q19" s="164" t="n">
        <x:f aca="0">IFERROR(SUMIF(S15_Source_Strata!$B$4:$B$49,$G19,S15_Source_Strata!$R$4:$R$49),0)</x:f>
        <x:v>0</x:v>
      </x:c>
      <x:c r="R19" s="164" t="n">
        <x:f aca="0">IFERROR(SUMIF(S15_Source_Strata!$B$4:$B$49,$G19,S15_Source_Strata!$S$4:$S$49),0)</x:f>
        <x:v>0</x:v>
      </x:c>
      <x:c r="S19" s="164" t="n">
        <x:f aca="0">IFERROR(SUMIF(S15_Source_Strata!$B$4:$B$49,$G19,S15_Source_Strata!$T$4:$T$49),0)</x:f>
        <x:v>0</x:v>
      </x:c>
      <x:c r="T19" s="164" t="n">
        <x:f aca="0">IFERROR(SUMIF(S15_Source_Strata!$B$4:$B$49,$G19,S15_Source_Strata!$U$4:$U$49),0)</x:f>
        <x:v>2.2520589423441217</x:v>
      </x:c>
      <x:c r="U19" s="164" t="n">
        <x:f aca="0">IFERROR(SUMIF(S15_Source_Strata!$B$4:$B$49,$G19,S15_Source_Strata!$V$4:$V$49),0)</x:f>
        <x:v>21.88427838945993</x:v>
      </x:c>
      <x:c r="V19" s="164" t="n">
        <x:f aca="0">IFERROR(SUMIF(S15_Source_Strata!$B$4:$B$49,$G19,S15_Source_Strata!$W$4:$W$49),0)</x:f>
        <x:v>74.1459318561935</x:v>
      </x:c>
      <x:c r="W19" s="164" t="n">
        <x:f aca="0">IFERROR(SUMIF(S15_Source_Strata!$B$4:$B$49,$G19,S15_Source_Strata!$X$4:$X$49),0)</x:f>
        <x:v>165.0053198897656</x:v>
      </x:c>
      <x:c r="X19" s="164" t="n">
        <x:f aca="0">IFERROR(SUMIF(S15_Source_Strata!$B$4:$B$49,$G19,S15_Source_Strata!$Y$4:$Y$49),0)</x:f>
        <x:v>291.1967866372377</x:v>
      </x:c>
      <x:c r="Y19" s="164" t="n">
        <x:f aca="0">IFERROR(SUMIF(S15_Source_Strata!$B$4:$B$49,$G19,S15_Source_Strata!$Z$4:$Z$49),0)</x:f>
        <x:v>445.1389074933853</x:v>
      </x:c>
      <x:c r="Z19" s="164" t="n">
        <x:f aca="0">IFERROR(SUMIF(S15_Source_Strata!$B$4:$B$49,$G19,S15_Source_Strata!$AA$4:$AA$49),0)</x:f>
        <x:v>617.7733770743616</x:v>
      </x:c>
      <x:c r="AA19" s="164" t="n">
        <x:f aca="0">IFERROR(SUMIF(S15_Source_Strata!$B$4:$B$49,$G19,S15_Source_Strata!$AB$4:$AB$49),0)</x:f>
        <x:v>800.4264115035201</x:v>
      </x:c>
      <x:c r="AB19" s="164" t="n">
        <x:f aca="0">IFERROR(SUMIF(S15_Source_Strata!$B$4:$B$49,$G19,S15_Source_Strata!$AC$4:$AC$49),0)</x:f>
        <x:v>985.727990829875</x:v>
      </x:c>
      <x:c r="AC19" s="164" t="n">
        <x:f aca="0">IFERROR(SUMIF(S15_Source_Strata!$B$4:$B$49,$G19,S15_Source_Strata!$AD$4:$AD$49),0)</x:f>
        <x:v>1167.9219098726983</x:v>
      </x:c>
      <x:c r="AD19" s="164" t="n">
        <x:f aca="0">IFERROR(SUMIF(S15_Source_Strata!$B$4:$B$49,$G19,S15_Source_Strata!$AE$4:$AE$49),0)</x:f>
        <x:v>1342.8320101221952</x:v>
      </x:c>
      <x:c r="AE19" s="164" t="n">
        <x:f aca="0">IFERROR(SUMIF(S15_Source_Strata!$B$4:$B$49,$G19,S15_Source_Strata!$AF$4:$AF$49),0)</x:f>
        <x:v>1507.6627401484154</x:v>
      </x:c>
      <x:c r="AF19" s="164" t="n">
        <x:f aca="0">IFERROR(SUMIF(S15_Source_Strata!$B$4:$B$49,$G19,S15_Source_Strata!$AG$4:$AG$49),0)</x:f>
        <x:v>1660.741522337511</x:v>
      </x:c>
      <x:c r="AG19" s="164" t="n">
        <x:f aca="0">IFERROR(SUMIF(S15_Source_Strata!$B$4:$B$49,$G19,S15_Source_Strata!$AH$4:$AH$49),0)</x:f>
        <x:v>1801.2616538174402</x:v>
      </x:c>
      <x:c r="AH19" s="164" t="n">
        <x:f aca="0">IFERROR(SUMIF(S15_Source_Strata!$B$4:$B$49,$G19,S15_Source_Strata!$AI$4:$AI$49),0)</x:f>
        <x:v>1929.053836233799</x:v>
      </x:c>
      <x:c r="AI19" s="164" t="n">
        <x:f aca="0">IFERROR(SUMIF(S15_Source_Strata!$B$4:$B$49,$G19,S15_Source_Strata!$AJ$4:$AJ$49),0)</x:f>
        <x:v>2044.3965731837297</x:v>
      </x:c>
      <x:c r="AJ19" s="164" t="n">
        <x:f aca="0">IFERROR(SUMIF(S15_Source_Strata!$B$4:$B$49,$G19,S15_Source_Strata!$AK$4:$AK$49),0)</x:f>
        <x:v>2147.8660772599324</x:v>
      </x:c>
      <x:c r="AK19" s="164" t="n">
        <x:f aca="0">IFERROR(SUMIF(S15_Source_Strata!$B$4:$B$49,$G19,S15_Source_Strata!$AL$4:$AL$49),0)</x:f>
        <x:v>2240.22174056176</x:v>
      </x:c>
      <x:c r="AL19" s="165" t="n">
        <x:f aca="0">$F19*Q19</x:f>
        <x:v>0</x:v>
      </x:c>
      <x:c r="AM19" s="165" t="n">
        <x:f aca="0">$F19*R19</x:f>
        <x:v>0</x:v>
      </x:c>
      <x:c r="AN19" s="165" t="n">
        <x:f aca="0">$F19*S19</x:f>
        <x:v>0</x:v>
      </x:c>
      <x:c r="AO19" s="165" t="n">
        <x:f aca="0">$F19*T19</x:f>
        <x:v>1.9390227493582888</x:v>
      </x:c>
      <x:c r="AP19" s="165" t="n">
        <x:f aca="0">$F19*U19</x:f>
        <x:v>18.842363693324998</x:v>
      </x:c>
      <x:c r="AQ19" s="165" t="n">
        <x:f aca="0">$F19*V19</x:f>
        <x:v>63.8396473281826</x:v>
      </x:c>
      <x:c r="AR19" s="165" t="n">
        <x:f aca="0">$F19*W19</x:f>
        <x:v>142.06958042508816</x:v>
      </x:c>
      <x:c r="AS19" s="165" t="n">
        <x:f aca="0">$F19*X19</x:f>
        <x:v>250.7204332946617</x:v>
      </x:c>
      <x:c r="AT19" s="165" t="n">
        <x:f aca="0">$F19*Y19</x:f>
        <x:v>383.26459935180475</x:v>
      </x:c>
      <x:c r="AU19" s="165" t="n">
        <x:f aca="0">$F19*Z19</x:f>
        <x:v>531.9028776610254</x:v>
      </x:c>
      <x:c r="AV19" s="165" t="n">
        <x:f aca="0">$F19*AA19</x:f>
        <x:v>689.1671403045308</x:v>
      </x:c>
      <x:c r="AW19" s="165" t="n">
        <x:f aca="0">$F19*AB19</x:f>
        <x:v>848.7118001045224</x:v>
      </x:c>
      <x:c r="AX19" s="165" t="n">
        <x:f aca="0">$F19*AC19</x:f>
        <x:v>1005.5807644003932</x:v>
      </x:c>
      <x:c r="AY19" s="165" t="n">
        <x:f aca="0">$F19*AD19</x:f>
        <x:v>1156.1783607152101</x:v>
      </x:c>
      <x:c r="AZ19" s="165" t="n">
        <x:f aca="0">$F19*AE19</x:f>
        <x:v>1298.0976192677856</x:v>
      </x:c>
      <x:c r="BA19" s="165" t="n">
        <x:f aca="0">$F19*AF19</x:f>
        <x:v>1429.898450732597</x:v>
      </x:c>
      <x:c r="BB19" s="165" t="n">
        <x:f aca="0">$F19*AG19</x:f>
        <x:v>1550.886283936816</x:v>
      </x:c>
      <x:c r="BC19" s="165" t="n">
        <x:f aca="0">$F19*AH19</x:f>
        <x:v>1660.915352997301</x:v>
      </x:c>
      <x:c r="BD19" s="165" t="n">
        <x:f aca="0">$F19*AI19</x:f>
        <x:v>1760.2254495111913</x:v>
      </x:c>
      <x:c r="BE19" s="165" t="n">
        <x:f aca="0">$F19*AJ19</x:f>
        <x:v>1849.3126925208016</x:v>
      </x:c>
      <x:c r="BF19" s="165" t="n">
        <x:f aca="0">$F19*AK19</x:f>
        <x:v>1928.8309186236752</x:v>
      </x:c>
    </x:row>
    <x:row r="20" ht="15" hidden="0" customHeight="1">
      <x:c r="A20" s="37" t="str">
        <x:v>Deserts &amp; Xeric Shrublands</x:v>
      </x:c>
      <x:c r="B20" s="37" t="s">
        <x:v>114</x:v>
      </x:c>
      <x:c r="C20" s="37" t="s">
        <x:v>549</x:v>
      </x:c>
      <x:c r="D20" s="37" t="n">
        <x:v>2020</x:v>
      </x:c>
      <x:c r="E20" s="100" t="n">
        <x:v>1</x:v>
      </x:c>
      <x:c r="F20" s="100" t="n">
        <x:v>1.8785</x:v>
      </x:c>
      <x:c r="G20" s="37" t="s">
        <x:v>635</x:v>
      </x:c>
      <x:c r="H20" s="37" t="n">
        <x:v>1</x:v>
      </x:c>
      <x:c r="I20" s="37" t="s">
        <x:v>1180</x:v>
      </x:c>
      <x:c r="J20" s="37" t="str">
        <x:v>Deserts &amp; Xeric Shrublands|2020</x:v>
      </x:c>
      <x:c r="K20" s="37" t="str">
        <x:v>Area × biological stock; VM0047 Eq.(3); PB separately by Biome×Cohort</x:v>
      </x:c>
      <x:c r="Q20" s="164" t="n">
        <x:f aca="0">IFERROR(SUMIF(S15_Source_Strata!$B$4:$B$49,$G20,S15_Source_Strata!$R$4:$R$49),0)</x:f>
        <x:v>0</x:v>
      </x:c>
      <x:c r="R20" s="164" t="n">
        <x:f aca="0">IFERROR(SUMIF(S15_Source_Strata!$B$4:$B$49,$G20,S15_Source_Strata!$S$4:$S$49),0)</x:f>
        <x:v>0.046254888411774796</x:v>
      </x:c>
      <x:c r="S20" s="164" t="n">
        <x:f aca="0">IFERROR(SUMIF(S15_Source_Strata!$B$4:$B$49,$G20,S15_Source_Strata!$T$4:$T$49),0)</x:f>
        <x:v>0.559787503763154</x:v>
      </x:c>
      <x:c r="T20" s="164" t="n">
        <x:f aca="0">IFERROR(SUMIF(S15_Source_Strata!$B$4:$B$49,$G20,S15_Source_Strata!$U$4:$U$49),0)</x:f>
        <x:v>2.1525618957049653</x:v>
      </x:c>
      <x:c r="U20" s="164" t="n">
        <x:f aca="0">IFERROR(SUMIF(S15_Source_Strata!$B$4:$B$49,$G20,S15_Source_Strata!$V$4:$V$49),0)</x:f>
        <x:v>5.231956049273246</x:v>
      </x:c>
      <x:c r="V20" s="164" t="n">
        <x:f aca="0">IFERROR(SUMIF(S15_Source_Strata!$B$4:$B$49,$G20,S15_Source_Strata!$W$4:$W$49),0)</x:f>
        <x:v>9.873631177848152</x:v>
      </x:c>
      <x:c r="W20" s="164" t="n">
        <x:f aca="0">IFERROR(SUMIF(S15_Source_Strata!$B$4:$B$49,$G20,S15_Source_Strata!$X$4:$X$49),0)</x:f>
        <x:v>15.925334979259612</x:v>
      </x:c>
      <x:c r="X20" s="164" t="n">
        <x:f aca="0">IFERROR(SUMIF(S15_Source_Strata!$B$4:$B$49,$G20,S15_Source_Strata!$Y$4:$Y$49),0)</x:f>
        <x:v>23.103901481651665</x:v>
      </x:c>
      <x:c r="Y20" s="164" t="n">
        <x:f aca="0">IFERROR(SUMIF(S15_Source_Strata!$B$4:$B$49,$G20,S15_Source_Strata!$Z$4:$Z$49),0)</x:f>
        <x:v>31.078357140853388</x:v>
      </x:c>
      <x:c r="Z20" s="164" t="n">
        <x:f aca="0">IFERROR(SUMIF(S15_Source_Strata!$B$4:$B$49,$G20,S15_Source_Strata!$AA$4:$AA$49),0)</x:f>
        <x:v>39.52477316412803</x:v>
      </x:c>
      <x:c r="AA20" s="164" t="n">
        <x:f aca="0">IFERROR(SUMIF(S15_Source_Strata!$B$4:$B$49,$G20,S15_Source_Strata!$AB$4:$AB$49),0)</x:f>
        <x:v>48.15687920897</x:v>
      </x:c>
      <x:c r="AB20" s="164" t="n">
        <x:f aca="0">IFERROR(SUMIF(S15_Source_Strata!$B$4:$B$49,$G20,S15_Source_Strata!$AC$4:$AC$49),0)</x:f>
        <x:v>56.73940749069144</x:v>
      </x:c>
      <x:c r="AC20" s="164" t="n">
        <x:f aca="0">IFERROR(SUMIF(S15_Source_Strata!$B$4:$B$49,$G20,S15_Source_Strata!$AD$4:$AD$49),0)</x:f>
        <x:v>65.09050604602129</x:v>
      </x:c>
      <x:c r="AD20" s="164" t="n">
        <x:f aca="0">IFERROR(SUMIF(S15_Source_Strata!$B$4:$B$49,$G20,S15_Source_Strata!$AE$4:$AE$49),0)</x:f>
        <x:v>73.07797761375203</x:v>
      </x:c>
      <x:c r="AE20" s="164" t="n">
        <x:f aca="0">IFERROR(SUMIF(S15_Source_Strata!$B$4:$B$49,$G20,S15_Source_Strata!$AF$4:$AF$49),0)</x:f>
        <x:v>80.6125574125609</x:v>
      </x:c>
      <x:c r="AF20" s="164" t="n">
        <x:f aca="0">IFERROR(SUMIF(S15_Source_Strata!$B$4:$B$49,$G20,S15_Source_Strata!$AG$4:$AG$49),0)</x:f>
        <x:v>87.64023262313314</x:v>
      </x:c>
      <x:c r="AG20" s="164" t="n">
        <x:f aca="0">IFERROR(SUMIF(S15_Source_Strata!$B$4:$B$49,$G20,S15_Source_Strata!$AH$4:$AH$49),0)</x:f>
        <x:v>94.13475185567395</x:v>
      </x:c>
      <x:c r="AH20" s="164" t="n">
        <x:f aca="0">IFERROR(SUMIF(S15_Source_Strata!$B$4:$B$49,$G20,S15_Source_Strata!$AI$4:$AI$49),0)</x:f>
        <x:v>100.09091031997525</x:v>
      </x:c>
      <x:c r="AI20" s="164" t="n">
        <x:f aca="0">IFERROR(SUMIF(S15_Source_Strata!$B$4:$B$49,$G20,S15_Source_Strata!$AJ$4:$AJ$49),0)</x:f>
        <x:v>105.51884744668214</x:v>
      </x:c>
      <x:c r="AJ20" s="164" t="n">
        <x:f aca="0">IFERROR(SUMIF(S15_Source_Strata!$B$4:$B$49,$G20,S15_Source_Strata!$AK$4:$AK$49),0)</x:f>
        <x:v>110.43939071910346</x:v>
      </x:c>
      <x:c r="AK20" s="164" t="n">
        <x:f aca="0">IFERROR(SUMIF(S15_Source_Strata!$B$4:$B$49,$G20,S15_Source_Strata!$AL$4:$AL$49),0)</x:f>
        <x:v>114.88037132308999</x:v>
      </x:c>
      <x:c r="AL20" s="165" t="n">
        <x:f aca="0">$F20*Q20</x:f>
        <x:v>0</x:v>
      </x:c>
      <x:c r="AM20" s="165" t="n">
        <x:f aca="0">$F20*R20</x:f>
        <x:v>0.08688980788151895</x:v>
      </x:c>
      <x:c r="AN20" s="165" t="n">
        <x:f aca="0">$F20*S20</x:f>
        <x:v>1.0515608258190847</x:v>
      </x:c>
      <x:c r="AO20" s="165" t="n">
        <x:f aca="0">$F20*T20</x:f>
        <x:v>4.043587521081777</x:v>
      </x:c>
      <x:c r="AP20" s="165" t="n">
        <x:f aca="0">$F20*U20</x:f>
        <x:v>9.828229438559793</x:v>
      </x:c>
      <x:c r="AQ20" s="165" t="n">
        <x:f aca="0">$F20*V20</x:f>
        <x:v>18.547616167587755</x:v>
      </x:c>
      <x:c r="AR20" s="165" t="n">
        <x:f aca="0">$F20*W20</x:f>
        <x:v>29.91574175853918</x:v>
      </x:c>
      <x:c r="AS20" s="165" t="n">
        <x:f aca="0">$F20*X20</x:f>
        <x:v>43.400678933282656</x:v>
      </x:c>
      <x:c r="AT20" s="165" t="n">
        <x:f aca="0">$F20*Y20</x:f>
        <x:v>58.38069388909309</x:v>
      </x:c>
      <x:c r="AU20" s="165" t="n">
        <x:f aca="0">$F20*Z20</x:f>
        <x:v>74.2472863888145</x:v>
      </x:c>
      <x:c r="AV20" s="165" t="n">
        <x:f aca="0">$F20*AA20</x:f>
        <x:v>90.46269759405014</x:v>
      </x:c>
      <x:c r="AW20" s="165" t="n">
        <x:f aca="0">$F20*AB20</x:f>
        <x:v>106.58497697126387</x:v>
      </x:c>
      <x:c r="AX20" s="165" t="n">
        <x:f aca="0">$F20*AC20</x:f>
        <x:v>122.272515607451</x:v>
      </x:c>
      <x:c r="AY20" s="165" t="n">
        <x:f aca="0">$F20*AD20</x:f>
        <x:v>137.27698094743317</x:v>
      </x:c>
      <x:c r="AZ20" s="165" t="n">
        <x:f aca="0">$F20*AE20</x:f>
        <x:v>151.43068909949565</x:v>
      </x:c>
      <x:c r="BA20" s="165" t="n">
        <x:f aca="0">$F20*AF20</x:f>
        <x:v>164.63217698255562</x:v>
      </x:c>
      <x:c r="BB20" s="165" t="n">
        <x:f aca="0">$F20*AG20</x:f>
        <x:v>176.83213136088352</x:v>
      </x:c>
      <x:c r="BC20" s="165" t="n">
        <x:f aca="0">$F20*AH20</x:f>
        <x:v>188.0207750360735</x:v>
      </x:c>
      <x:c r="BD20" s="165" t="n">
        <x:f aca="0">$F20*AI20</x:f>
        <x:v>198.2171549285924</x:v>
      </x:c>
      <x:c r="BE20" s="165" t="n">
        <x:f aca="0">$F20*AJ20</x:f>
        <x:v>207.46039546583586</x:v>
      </x:c>
      <x:c r="BF20" s="165" t="n">
        <x:f aca="0">$F20*AK20</x:f>
        <x:v>215.80277753042455</x:v>
      </x:c>
    </x:row>
    <x:row r="21" ht="15" hidden="0" customHeight="1">
      <x:c r="A21" s="37" t="str">
        <x:v>Deserts &amp; Xeric Shrublands</x:v>
      </x:c>
      <x:c r="B21" s="37" t="s">
        <x:v>114</x:v>
      </x:c>
      <x:c r="C21" s="37" t="s">
        <x:v>553</x:v>
      </x:c>
      <x:c r="D21" s="37" t="n">
        <x:v>2020</x:v>
      </x:c>
      <x:c r="E21" s="100" t="n">
        <x:v>1</x:v>
      </x:c>
      <x:c r="F21" s="100" t="n">
        <x:v>1.177</x:v>
      </x:c>
      <x:c r="G21" s="37" t="s">
        <x:v>638</x:v>
      </x:c>
      <x:c r="H21" s="37" t="n">
        <x:v>1</x:v>
      </x:c>
      <x:c r="I21" s="37" t="s">
        <x:v>1180</x:v>
      </x:c>
      <x:c r="J21" s="37" t="str">
        <x:v>Deserts &amp; Xeric Shrublands|2020</x:v>
      </x:c>
      <x:c r="K21" s="37" t="str">
        <x:v>Area × biological stock; VM0047 Eq.(3); PB separately by Biome×Cohort</x:v>
      </x:c>
      <x:c r="Q21" s="164" t="n">
        <x:f aca="0">IFERROR(SUMIF(S15_Source_Strata!$B$4:$B$49,$G21,S15_Source_Strata!$R$4:$R$49),0)</x:f>
        <x:v>0</x:v>
      </x:c>
      <x:c r="R21" s="164" t="n">
        <x:f aca="0">IFERROR(SUMIF(S15_Source_Strata!$B$4:$B$49,$G21,S15_Source_Strata!$S$4:$S$49),0)</x:f>
        <x:v>0.2723417518114028</x:v>
      </x:c>
      <x:c r="S21" s="164" t="n">
        <x:f aca="0">IFERROR(SUMIF(S15_Source_Strata!$B$4:$B$49,$G21,S15_Source_Strata!$T$4:$T$49),0)</x:f>
        <x:v>3.248895379183343</x:v>
      </x:c>
      <x:c r="T21" s="164" t="n">
        <x:f aca="0">IFERROR(SUMIF(S15_Source_Strata!$B$4:$B$49,$G21,S15_Source_Strata!$U$4:$U$49),0)</x:f>
        <x:v>12.403995886039331</x:v>
      </x:c>
      <x:c r="U21" s="164" t="n">
        <x:f aca="0">IFERROR(SUMIF(S15_Source_Strata!$B$4:$B$49,$G21,S15_Source_Strata!$V$4:$V$49),0)</x:f>
        <x:v>30.01595620534883</x:v>
      </x:c>
      <x:c r="V21" s="164" t="n">
        <x:f aca="0">IFERROR(SUMIF(S15_Source_Strata!$B$4:$B$49,$G21,S15_Source_Strata!$W$4:$W$49),0)</x:f>
        <x:v>56.46525888548903</x:v>
      </x:c>
      <x:c r="W21" s="164" t="n">
        <x:f aca="0">IFERROR(SUMIF(S15_Source_Strata!$B$4:$B$49,$G21,S15_Source_Strata!$X$4:$X$49),0)</x:f>
        <x:v>90.83662104379438</x:v>
      </x:c>
      <x:c r="X21" s="164" t="n">
        <x:f aca="0">IFERROR(SUMIF(S15_Source_Strata!$B$4:$B$49,$G21,S15_Source_Strata!$Y$4:$Y$49),0)</x:f>
        <x:v>131.47494963585845</x:v>
      </x:c>
      <x:c r="Y21" s="164" t="n">
        <x:f aca="0">IFERROR(SUMIF(S15_Source_Strata!$B$4:$B$49,$G21,S15_Source_Strata!$Z$4:$Z$49),0)</x:f>
        <x:v>176.462752881878</x:v>
      </x:c>
      <x:c r="Z21" s="164" t="n">
        <x:f aca="0">IFERROR(SUMIF(S15_Source_Strata!$B$4:$B$49,$G21,S15_Source_Strata!$AA$4:$AA$49),0)</x:f>
        <x:v>223.93563928265257</x:v>
      </x:c>
      <x:c r="AA21" s="164" t="n">
        <x:f aca="0">IFERROR(SUMIF(S15_Source_Strata!$B$4:$B$49,$G21,S15_Source_Strata!$AB$4:$AB$49),0)</x:f>
        <x:v>272.25774963049446</x:v>
      </x:c>
      <x:c r="AB21" s="164" t="n">
        <x:f aca="0">IFERROR(SUMIF(S15_Source_Strata!$B$4:$B$49,$G21,S15_Source_Strata!$AC$4:$AC$49),0)</x:f>
        <x:v>320.09677991534846</x:v>
      </x:c>
      <x:c r="AC21" s="164" t="n">
        <x:f aca="0">IFERROR(SUMIF(S15_Source_Strata!$B$4:$B$49,$G21,S15_Source_Strata!$AD$4:$AD$49),0)</x:f>
        <x:v>366.4353060349873</x:v>
      </x:c>
      <x:c r="AD21" s="164" t="n">
        <x:f aca="0">IFERROR(SUMIF(S15_Source_Strata!$B$4:$B$49,$G21,S15_Source_Strata!$AE$4:$AE$49),0)</x:f>
        <x:v>410.5462671133159</x:v>
      </x:c>
      <x:c r="AE21" s="164" t="n">
        <x:f aca="0">IFERROR(SUMIF(S15_Source_Strata!$B$4:$B$49,$G21,S15_Source_Strata!$AF$4:$AF$49),0)</x:f>
        <x:v>451.9515457000744</x:v>
      </x:c>
      <x:c r="AF21" s="164" t="n">
        <x:f aca="0">IFERROR(SUMIF(S15_Source_Strata!$B$4:$B$49,$G21,S15_Source_Strata!$AG$4:$AG$49),0)</x:f>
        <x:v>490.375463494989</x:v>
      </x:c>
      <x:c r="AG21" s="164" t="n">
        <x:f aca="0">IFERROR(SUMIF(S15_Source_Strata!$B$4:$B$49,$G21,S15_Source_Strata!$AH$4:$AH$49),0)</x:f>
        <x:v>525.6999326358658</x:v>
      </x:c>
      <x:c r="AH21" s="164" t="n">
        <x:f aca="0">IFERROR(SUMIF(S15_Source_Strata!$B$4:$B$49,$G21,S15_Source_Strata!$AI$4:$AI$49),0)</x:f>
        <x:v>557.9246430745985</x:v>
      </x:c>
      <x:c r="AI21" s="164" t="n">
        <x:f aca="0">IFERROR(SUMIF(S15_Source_Strata!$B$4:$B$49,$G21,S15_Source_Strata!$AJ$4:$AJ$49),0)</x:f>
        <x:v>587.1335840474726</x:v>
      </x:c>
      <x:c r="AJ21" s="164" t="n">
        <x:f aca="0">IFERROR(SUMIF(S15_Source_Strata!$B$4:$B$49,$G21,S15_Source_Strata!$AK$4:$AK$49),0)</x:f>
        <x:v>613.4679951072424</x:v>
      </x:c>
      <x:c r="AK21" s="164" t="n">
        <x:f aca="0">IFERROR(SUMIF(S15_Source_Strata!$B$4:$B$49,$G21,S15_Source_Strata!$AL$4:$AL$49),0)</x:f>
        <x:v>637.105212789708</x:v>
      </x:c>
      <x:c r="AL21" s="165" t="n">
        <x:f aca="0">$F21*Q21</x:f>
        <x:v>0</x:v>
      </x:c>
      <x:c r="AM21" s="165" t="n">
        <x:f aca="0">$F21*R21</x:f>
        <x:v>0.32054624188202113</x:v>
      </x:c>
      <x:c r="AN21" s="165" t="n">
        <x:f aca="0">$F21*S21</x:f>
        <x:v>3.8239498612987948</x:v>
      </x:c>
      <x:c r="AO21" s="165" t="n">
        <x:f aca="0">$F21*T21</x:f>
        <x:v>14.599503157868293</x:v>
      </x:c>
      <x:c r="AP21" s="165" t="n">
        <x:f aca="0">$F21*U21</x:f>
        <x:v>35.32878045369557</x:v>
      </x:c>
      <x:c r="AQ21" s="165" t="n">
        <x:f aca="0">$F21*V21</x:f>
        <x:v>66.45960970822058</x:v>
      </x:c>
      <x:c r="AR21" s="165" t="n">
        <x:f aca="0">$F21*W21</x:f>
        <x:v>106.914702968546</x:v>
      </x:c>
      <x:c r="AS21" s="165" t="n">
        <x:f aca="0">$F21*X21</x:f>
        <x:v>154.7460157214054</x:v>
      </x:c>
      <x:c r="AT21" s="165" t="n">
        <x:f aca="0">$F21*Y21</x:f>
        <x:v>207.69666014197043</x:v>
      </x:c>
      <x:c r="AU21" s="165" t="n">
        <x:f aca="0">$F21*Z21</x:f>
        <x:v>263.5722474356821</x:v>
      </x:c>
      <x:c r="AV21" s="165" t="n">
        <x:f aca="0">$F21*AA21</x:f>
        <x:v>320.44737131509197</x:v>
      </x:c>
      <x:c r="AW21" s="165" t="n">
        <x:f aca="0">$F21*AB21</x:f>
        <x:v>376.75390996036515</x:v>
      </x:c>
      <x:c r="AX21" s="165" t="n">
        <x:f aca="0">$F21*AC21</x:f>
        <x:v>431.2943552031801</x:v>
      </x:c>
      <x:c r="AY21" s="165" t="n">
        <x:f aca="0">$F21*AD21</x:f>
        <x:v>483.2129563923728</x:v>
      </x:c>
      <x:c r="AZ21" s="165" t="n">
        <x:f aca="0">$F21*AE21</x:f>
        <x:v>531.9469692889876</x:v>
      </x:c>
      <x:c r="BA21" s="165" t="n">
        <x:f aca="0">$F21*AF21</x:f>
        <x:v>577.171920533602</x:v>
      </x:c>
      <x:c r="BB21" s="165" t="n">
        <x:f aca="0">$F21*AG21</x:f>
        <x:v>618.748820712414</x:v>
      </x:c>
      <x:c r="BC21" s="165" t="n">
        <x:f aca="0">$F21*AH21</x:f>
        <x:v>656.6773048988025</x:v>
      </x:c>
      <x:c r="BD21" s="165" t="n">
        <x:f aca="0">$F21*AI21</x:f>
        <x:v>691.0562284238753</x:v>
      </x:c>
      <x:c r="BE21" s="165" t="n">
        <x:f aca="0">$F21*AJ21</x:f>
        <x:v>722.0518302412243</x:v>
      </x:c>
      <x:c r="BF21" s="165" t="n">
        <x:f aca="0">$F21*AK21</x:f>
        <x:v>749.8728354534863</x:v>
      </x:c>
    </x:row>
    <x:row r="22" ht="15" hidden="0" customHeight="1">
      <x:c r="A22" s="37" t="str">
        <x:v>Deserts &amp; Xeric Shrublands</x:v>
      </x:c>
      <x:c r="B22" s="37" t="s">
        <x:v>114</x:v>
      </x:c>
      <x:c r="C22" s="37" t="s">
        <x:v>553</x:v>
      </x:c>
      <x:c r="D22" s="37" t="n">
        <x:v>2021</x:v>
      </x:c>
      <x:c r="E22" s="100" t="n">
        <x:v>1</x:v>
      </x:c>
      <x:c r="F22" s="100" t="n">
        <x:v>0.376</x:v>
      </x:c>
      <x:c r="G22" s="37" t="s">
        <x:v>641</x:v>
      </x:c>
      <x:c r="H22" s="37" t="n">
        <x:v>1</x:v>
      </x:c>
      <x:c r="I22" s="37" t="s">
        <x:v>1180</x:v>
      </x:c>
      <x:c r="J22" s="37" t="str">
        <x:v>Deserts &amp; Xeric Shrublands|2021</x:v>
      </x:c>
      <x:c r="K22" s="37" t="str">
        <x:v>Area × biological stock; VM0047 Eq.(3); PB separately by Biome×Cohort</x:v>
      </x:c>
      <x:c r="Q22" s="164" t="n">
        <x:f aca="0">IFERROR(SUMIF(S15_Source_Strata!$B$4:$B$49,$G22,S15_Source_Strata!$R$4:$R$49),0)</x:f>
        <x:v>0</x:v>
      </x:c>
      <x:c r="R22" s="164" t="n">
        <x:f aca="0">IFERROR(SUMIF(S15_Source_Strata!$B$4:$B$49,$G22,S15_Source_Strata!$S$4:$S$49),0)</x:f>
        <x:v>0</x:v>
      </x:c>
      <x:c r="S22" s="164" t="n">
        <x:f aca="0">IFERROR(SUMIF(S15_Source_Strata!$B$4:$B$49,$G22,S15_Source_Strata!$T$4:$T$49),0)</x:f>
        <x:v>0.2723417518114028</x:v>
      </x:c>
      <x:c r="T22" s="164" t="n">
        <x:f aca="0">IFERROR(SUMIF(S15_Source_Strata!$B$4:$B$49,$G22,S15_Source_Strata!$U$4:$U$49),0)</x:f>
        <x:v>3.248895379183343</x:v>
      </x:c>
      <x:c r="U22" s="164" t="n">
        <x:f aca="0">IFERROR(SUMIF(S15_Source_Strata!$B$4:$B$49,$G22,S15_Source_Strata!$V$4:$V$49),0)</x:f>
        <x:v>12.403995886039331</x:v>
      </x:c>
      <x:c r="V22" s="164" t="n">
        <x:f aca="0">IFERROR(SUMIF(S15_Source_Strata!$B$4:$B$49,$G22,S15_Source_Strata!$W$4:$W$49),0)</x:f>
        <x:v>30.01595620534883</x:v>
      </x:c>
      <x:c r="W22" s="164" t="n">
        <x:f aca="0">IFERROR(SUMIF(S15_Source_Strata!$B$4:$B$49,$G22,S15_Source_Strata!$X$4:$X$49),0)</x:f>
        <x:v>56.46525888548903</x:v>
      </x:c>
      <x:c r="X22" s="164" t="n">
        <x:f aca="0">IFERROR(SUMIF(S15_Source_Strata!$B$4:$B$49,$G22,S15_Source_Strata!$Y$4:$Y$49),0)</x:f>
        <x:v>90.83662104379438</x:v>
      </x:c>
      <x:c r="Y22" s="164" t="n">
        <x:f aca="0">IFERROR(SUMIF(S15_Source_Strata!$B$4:$B$49,$G22,S15_Source_Strata!$Z$4:$Z$49),0)</x:f>
        <x:v>131.47494963585845</x:v>
      </x:c>
      <x:c r="Z22" s="164" t="n">
        <x:f aca="0">IFERROR(SUMIF(S15_Source_Strata!$B$4:$B$49,$G22,S15_Source_Strata!$AA$4:$AA$49),0)</x:f>
        <x:v>176.462752881878</x:v>
      </x:c>
      <x:c r="AA22" s="164" t="n">
        <x:f aca="0">IFERROR(SUMIF(S15_Source_Strata!$B$4:$B$49,$G22,S15_Source_Strata!$AB$4:$AB$49),0)</x:f>
        <x:v>223.93563928265257</x:v>
      </x:c>
      <x:c r="AB22" s="164" t="n">
        <x:f aca="0">IFERROR(SUMIF(S15_Source_Strata!$B$4:$B$49,$G22,S15_Source_Strata!$AC$4:$AC$49),0)</x:f>
        <x:v>272.25774963049446</x:v>
      </x:c>
      <x:c r="AC22" s="164" t="n">
        <x:f aca="0">IFERROR(SUMIF(S15_Source_Strata!$B$4:$B$49,$G22,S15_Source_Strata!$AD$4:$AD$49),0)</x:f>
        <x:v>320.09677991534846</x:v>
      </x:c>
      <x:c r="AD22" s="164" t="n">
        <x:f aca="0">IFERROR(SUMIF(S15_Source_Strata!$B$4:$B$49,$G22,S15_Source_Strata!$AE$4:$AE$49),0)</x:f>
        <x:v>366.4353060349873</x:v>
      </x:c>
      <x:c r="AE22" s="164" t="n">
        <x:f aca="0">IFERROR(SUMIF(S15_Source_Strata!$B$4:$B$49,$G22,S15_Source_Strata!$AF$4:$AF$49),0)</x:f>
        <x:v>410.5462671133159</x:v>
      </x:c>
      <x:c r="AF22" s="164" t="n">
        <x:f aca="0">IFERROR(SUMIF(S15_Source_Strata!$B$4:$B$49,$G22,S15_Source_Strata!$AG$4:$AG$49),0)</x:f>
        <x:v>451.9515457000744</x:v>
      </x:c>
      <x:c r="AG22" s="164" t="n">
        <x:f aca="0">IFERROR(SUMIF(S15_Source_Strata!$B$4:$B$49,$G22,S15_Source_Strata!$AH$4:$AH$49),0)</x:f>
        <x:v>490.375463494989</x:v>
      </x:c>
      <x:c r="AH22" s="164" t="n">
        <x:f aca="0">IFERROR(SUMIF(S15_Source_Strata!$B$4:$B$49,$G22,S15_Source_Strata!$AI$4:$AI$49),0)</x:f>
        <x:v>525.6999326358658</x:v>
      </x:c>
      <x:c r="AI22" s="164" t="n">
        <x:f aca="0">IFERROR(SUMIF(S15_Source_Strata!$B$4:$B$49,$G22,S15_Source_Strata!$AJ$4:$AJ$49),0)</x:f>
        <x:v>557.9246430745985</x:v>
      </x:c>
      <x:c r="AJ22" s="164" t="n">
        <x:f aca="0">IFERROR(SUMIF(S15_Source_Strata!$B$4:$B$49,$G22,S15_Source_Strata!$AK$4:$AK$49),0)</x:f>
        <x:v>587.1335840474726</x:v>
      </x:c>
      <x:c r="AK22" s="164" t="n">
        <x:f aca="0">IFERROR(SUMIF(S15_Source_Strata!$B$4:$B$49,$G22,S15_Source_Strata!$AL$4:$AL$49),0)</x:f>
        <x:v>613.4679951072424</x:v>
      </x:c>
      <x:c r="AL22" s="165" t="n">
        <x:f aca="0">$F22*Q22</x:f>
        <x:v>0</x:v>
      </x:c>
      <x:c r="AM22" s="165" t="n">
        <x:f aca="0">$F22*R22</x:f>
        <x:v>0</x:v>
      </x:c>
      <x:c r="AN22" s="165" t="n">
        <x:f aca="0">$F22*S22</x:f>
        <x:v>0.10240049868108746</x:v>
      </x:c>
      <x:c r="AO22" s="165" t="n">
        <x:f aca="0">$F22*T22</x:f>
        <x:v>1.221584662572937</x:v>
      </x:c>
      <x:c r="AP22" s="165" t="n">
        <x:f aca="0">$F22*U22</x:f>
        <x:v>4.663902453150788</x:v>
      </x:c>
      <x:c r="AQ22" s="165" t="n">
        <x:f aca="0">$F22*V22</x:f>
        <x:v>11.28599953321116</x:v>
      </x:c>
      <x:c r="AR22" s="165" t="n">
        <x:f aca="0">$F22*W22</x:f>
        <x:v>21.230937340943875</x:v>
      </x:c>
      <x:c r="AS22" s="165" t="n">
        <x:f aca="0">$F22*X22</x:f>
        <x:v>34.154569512466686</x:v>
      </x:c>
      <x:c r="AT22" s="165" t="n">
        <x:f aca="0">$F22*Y22</x:f>
        <x:v>49.434581063082774</x:v>
      </x:c>
      <x:c r="AU22" s="165" t="n">
        <x:f aca="0">$F22*Z22</x:f>
        <x:v>66.34999508358612</x:v>
      </x:c>
      <x:c r="AV22" s="165" t="n">
        <x:f aca="0">$F22*AA22</x:f>
        <x:v>84.19980037027737</x:v>
      </x:c>
      <x:c r="AW22" s="165" t="n">
        <x:f aca="0">$F22*AB22</x:f>
        <x:v>102.36891386106592</x:v>
      </x:c>
      <x:c r="AX22" s="165" t="n">
        <x:f aca="0">$F22*AC22</x:f>
        <x:v>120.35638924817103</x:v>
      </x:c>
      <x:c r="AY22" s="165" t="n">
        <x:f aca="0">$F22*AD22</x:f>
        <x:v>137.77967506915525</x:v>
      </x:c>
      <x:c r="AZ22" s="165" t="n">
        <x:f aca="0">$F22*AE22</x:f>
        <x:v>154.36539643460677</x:v>
      </x:c>
      <x:c r="BA22" s="165" t="n">
        <x:f aca="0">$F22*AF22</x:f>
        <x:v>169.93378118322798</x:v>
      </x:c>
      <x:c r="BB22" s="165" t="n">
        <x:f aca="0">$F22*AG22</x:f>
        <x:v>184.38117427411586</x:v>
      </x:c>
      <x:c r="BC22" s="165" t="n">
        <x:f aca="0">$F22*AH22</x:f>
        <x:v>197.66317467108556</x:v>
      </x:c>
      <x:c r="BD22" s="165" t="n">
        <x:f aca="0">$F22*AI22</x:f>
        <x:v>209.77966579604904</x:v>
      </x:c>
      <x:c r="BE22" s="165" t="n">
        <x:f aca="0">$F22*AJ22</x:f>
        <x:v>220.7622276018497</x:v>
      </x:c>
      <x:c r="BF22" s="165" t="n">
        <x:f aca="0">$F22*AK22</x:f>
        <x:v>230.66396616032313</x:v>
      </x:c>
    </x:row>
    <x:row r="23" ht="15" hidden="0" customHeight="1">
      <x:c r="A23" s="37" t="str">
        <x:v>Deserts &amp; Xeric Shrublands</x:v>
      </x:c>
      <x:c r="B23" s="37" t="s">
        <x:v>114</x:v>
      </x:c>
      <x:c r="C23" s="37" t="s">
        <x:v>542</x:v>
      </x:c>
      <x:c r="D23" s="37" t="n">
        <x:v>2022</x:v>
      </x:c>
      <x:c r="E23" s="100" t="n">
        <x:v>1</x:v>
      </x:c>
      <x:c r="F23" s="100" t="n">
        <x:v>0.869</x:v>
      </x:c>
      <x:c r="G23" s="37" t="s">
        <x:v>644</x:v>
      </x:c>
      <x:c r="H23" s="37" t="n">
        <x:v>1</x:v>
      </x:c>
      <x:c r="I23" s="37" t="s">
        <x:v>1180</x:v>
      </x:c>
      <x:c r="J23" s="37" t="str">
        <x:v>Deserts &amp; Xeric Shrublands|2022</x:v>
      </x:c>
      <x:c r="K23" s="37" t="str">
        <x:v>Area × biological stock; VM0047 Eq.(3); PB separately by Biome×Cohort</x:v>
      </x:c>
      <x:c r="Q23" s="164" t="n">
        <x:f aca="0">IFERROR(SUMIF(S15_Source_Strata!$B$4:$B$49,$G23,S15_Source_Strata!$R$4:$R$49),0)</x:f>
        <x:v>0</x:v>
      </x:c>
      <x:c r="R23" s="164" t="n">
        <x:f aca="0">IFERROR(SUMIF(S15_Source_Strata!$B$4:$B$49,$G23,S15_Source_Strata!$S$4:$S$49),0)</x:f>
        <x:v>0</x:v>
      </x:c>
      <x:c r="S23" s="164" t="n">
        <x:f aca="0">IFERROR(SUMIF(S15_Source_Strata!$B$4:$B$49,$G23,S15_Source_Strata!$T$4:$T$49),0)</x:f>
        <x:v>0</x:v>
      </x:c>
      <x:c r="T23" s="164" t="n">
        <x:f aca="0">IFERROR(SUMIF(S15_Source_Strata!$B$4:$B$49,$G23,S15_Source_Strata!$U$4:$U$49),0)</x:f>
        <x:v>4.071273442230747</x:v>
      </x:c>
      <x:c r="U23" s="164" t="n">
        <x:f aca="0">IFERROR(SUMIF(S15_Source_Strata!$B$4:$B$49,$G23,S15_Source_Strata!$V$4:$V$49),0)</x:f>
        <x:v>42.03447362844278</x:v>
      </x:c>
      <x:c r="V23" s="164" t="n">
        <x:f aca="0">IFERROR(SUMIF(S15_Source_Strata!$B$4:$B$49,$G23,S15_Source_Strata!$W$4:$W$49),0)</x:f>
        <x:v>148.1184973141217</x:v>
      </x:c>
      <x:c r="W23" s="164" t="n">
        <x:f aca="0">IFERROR(SUMIF(S15_Source_Strata!$B$4:$B$49,$G23,S15_Source_Strata!$X$4:$X$49),0)</x:f>
        <x:v>339.39456555542404</x:v>
      </x:c>
      <x:c r="X23" s="164" t="n">
        <x:f aca="0">IFERROR(SUMIF(S15_Source_Strata!$B$4:$B$49,$G23,S15_Source_Strata!$Y$4:$Y$49),0)</x:f>
        <x:v>612.9441002623545</x:v>
      </x:c>
      <x:c r="Y23" s="164" t="n">
        <x:f aca="0">IFERROR(SUMIF(S15_Source_Strata!$B$4:$B$49,$G23,S15_Source_Strata!$Z$4:$Z$49),0)</x:f>
        <x:v>954.812381582313</x:v>
      </x:c>
      <x:c r="Z23" s="164" t="n">
        <x:f aca="0">IFERROR(SUMIF(S15_Source_Strata!$B$4:$B$49,$G23,S15_Source_Strata!$AA$4:$AA$49),0)</x:f>
        <x:v>1346.0675622786548</x:v>
      </x:c>
      <x:c r="AA23" s="164" t="n">
        <x:f aca="0">IFERROR(SUMIF(S15_Source_Strata!$B$4:$B$49,$G23,S15_Source_Strata!$AB$4:$AB$49),0)</x:f>
        <x:v>1767.250467409925</x:v>
      </x:c>
      <x:c r="AB23" s="164" t="n">
        <x:f aca="0">IFERROR(SUMIF(S15_Source_Strata!$B$4:$B$49,$G23,S15_Source_Strata!$AC$4:$AC$49),0)</x:f>
        <x:v>2200.9059702867635</x:v>
      </x:c>
      <x:c r="AC23" s="164" t="n">
        <x:f aca="0">IFERROR(SUMIF(S15_Source_Strata!$B$4:$B$49,$G23,S15_Source_Strata!$AD$4:$AD$49),0)</x:f>
        <x:v>2632.7204740407246</x:v>
      </x:c>
      <x:c r="AD23" s="164" t="n">
        <x:f aca="0">IFERROR(SUMIF(S15_Source_Strata!$B$4:$B$49,$G23,S15_Source_Strata!$AE$4:$AE$49),0)</x:f>
        <x:v>3051.7806157364394</x:v>
      </x:c>
      <x:c r="AE23" s="164" t="n">
        <x:f aca="0">IFERROR(SUMIF(S15_Source_Strata!$B$4:$B$49,$G23,S15_Source_Strata!$AF$4:$AF$49),0)</x:f>
        <x:v>3450.3435968428034</x:v>
      </x:c>
      <x:c r="AF23" s="164" t="n">
        <x:f aca="0">IFERROR(SUMIF(S15_Source_Strata!$B$4:$B$49,$G23,S15_Source_Strata!$AG$4:$AG$49),0)</x:f>
        <x:v>3823.379908651869</x:v>
      </x:c>
      <x:c r="AG23" s="164" t="n">
        <x:f aca="0">IFERROR(SUMIF(S15_Source_Strata!$B$4:$B$49,$G23,S15_Source_Strata!$AH$4:$AH$49),0)</x:f>
        <x:v>4168.047170080652</x:v>
      </x:c>
      <x:c r="AH23" s="164" t="n">
        <x:f aca="0">IFERROR(SUMIF(S15_Source_Strata!$B$4:$B$49,$G23,S15_Source_Strata!$AI$4:$AI$49),0)</x:f>
        <x:v>4483.182829750115</x:v>
      </x:c>
      <x:c r="AI23" s="164" t="n">
        <x:f aca="0">IFERROR(SUMIF(S15_Source_Strata!$B$4:$B$49,$G23,S15_Source_Strata!$AJ$4:$AJ$49),0)</x:f>
        <x:v>4768.857958304292</x:v>
      </x:c>
      <x:c r="AJ23" s="164" t="n">
        <x:f aca="0">IFERROR(SUMIF(S15_Source_Strata!$B$4:$B$49,$G23,S15_Source_Strata!$AK$4:$AK$49),0)</x:f>
        <x:v>5026.007110227666</x:v>
      </x:c>
      <x:c r="AK23" s="164" t="n">
        <x:f aca="0">IFERROR(SUMIF(S15_Source_Strata!$B$4:$B$49,$G23,S15_Source_Strata!$AL$4:$AL$49),0)</x:f>
        <x:v>5256.134146966479</x:v>
      </x:c>
      <x:c r="AL23" s="165" t="n">
        <x:f aca="0">$F23*Q23</x:f>
        <x:v>0</x:v>
      </x:c>
      <x:c r="AM23" s="165" t="n">
        <x:f aca="0">$F23*R23</x:f>
        <x:v>0</x:v>
      </x:c>
      <x:c r="AN23" s="165" t="n">
        <x:f aca="0">$F23*S23</x:f>
        <x:v>0</x:v>
      </x:c>
      <x:c r="AO23" s="165" t="n">
        <x:f aca="0">$F23*T23</x:f>
        <x:v>3.537936621298519</x:v>
      </x:c>
      <x:c r="AP23" s="165" t="n">
        <x:f aca="0">$F23*U23</x:f>
        <x:v>36.52795758311678</x:v>
      </x:c>
      <x:c r="AQ23" s="165" t="n">
        <x:f aca="0">$F23*V23</x:f>
        <x:v>128.71497416597177</x:v>
      </x:c>
      <x:c r="AR23" s="165" t="n">
        <x:f aca="0">$F23*W23</x:f>
        <x:v>294.9338774676635</x:v>
      </x:c>
      <x:c r="AS23" s="165" t="n">
        <x:f aca="0">$F23*X23</x:f>
        <x:v>532.648423127986</x:v>
      </x:c>
      <x:c r="AT23" s="165" t="n">
        <x:f aca="0">$F23*Y23</x:f>
        <x:v>829.73195959503</x:v>
      </x:c>
      <x:c r="AU23" s="165" t="n">
        <x:f aca="0">$F23*Z23</x:f>
        <x:v>1169.7327116201511</x:v>
      </x:c>
      <x:c r="AV23" s="165" t="n">
        <x:f aca="0">$F23*AA23</x:f>
        <x:v>1535.7406561792247</x:v>
      </x:c>
      <x:c r="AW23" s="165" t="n">
        <x:f aca="0">$F23*AB23</x:f>
        <x:v>1912.5872881791975</x:v>
      </x:c>
      <x:c r="AX23" s="165" t="n">
        <x:f aca="0">$F23*AC23</x:f>
        <x:v>2287.8340919413895</x:v>
      </x:c>
      <x:c r="AY23" s="165" t="n">
        <x:f aca="0">$F23*AD23</x:f>
        <x:v>2651.997355074966</x:v>
      </x:c>
      <x:c r="AZ23" s="165" t="n">
        <x:f aca="0">$F23*AE23</x:f>
        <x:v>2998.348585656396</x:v>
      </x:c>
      <x:c r="BA23" s="165" t="n">
        <x:f aca="0">$F23*AF23</x:f>
        <x:v>3322.517140618474</x:v>
      </x:c>
      <x:c r="BB23" s="165" t="n">
        <x:f aca="0">$F23*AG23</x:f>
        <x:v>3622.0329908000867</x:v>
      </x:c>
      <x:c r="BC23" s="165" t="n">
        <x:f aca="0">$F23*AH23</x:f>
        <x:v>3895.88587905285</x:v>
      </x:c>
      <x:c r="BD23" s="165" t="n">
        <x:f aca="0">$F23*AI23</x:f>
        <x:v>4144.137565766429</x:v>
      </x:c>
      <x:c r="BE23" s="165" t="n">
        <x:f aca="0">$F23*AJ23</x:f>
        <x:v>4367.600178787842</x:v>
      </x:c>
      <x:c r="BF23" s="165" t="n">
        <x:f aca="0">$F23*AK23</x:f>
        <x:v>4567.580573713871</x:v>
      </x:c>
    </x:row>
    <x:row r="24" ht="15" hidden="0" customHeight="1">
      <x:c r="A24" s="37" t="str">
        <x:v>Tropical &amp; Subtropical Moist Broadleaf Forests</x:v>
      </x:c>
      <x:c r="B24" s="37" t="s">
        <x:v>111</x:v>
      </x:c>
      <x:c r="C24" s="37" t="s">
        <x:v>549</x:v>
      </x:c>
      <x:c r="D24" s="37" t="n">
        <x:v>2020</x:v>
      </x:c>
      <x:c r="E24" s="100" t="n">
        <x:v>24</x:v>
      </x:c>
      <x:c r="F24" s="100" t="n">
        <x:v>24.9469508700931</x:v>
      </x:c>
      <x:c r="G24" s="37" t="s">
        <x:v>551</x:v>
      </x:c>
      <x:c r="H24" s="37" t="n">
        <x:v>1</x:v>
      </x:c>
      <x:c r="I24" s="37" t="s">
        <x:v>1180</x:v>
      </x:c>
      <x:c r="J24" s="37" t="str">
        <x:v>Tropical &amp; Subtropical Moist Broadleaf Forests|2020</x:v>
      </x:c>
      <x:c r="K24" s="37" t="str">
        <x:v>Area × biological stock; VM0047 Eq.(3); PB separately by Biome×Cohort</x:v>
      </x:c>
      <x:c r="Q24" s="164" t="n">
        <x:f aca="0">IFERROR(SUMIF(S15_Source_Strata!$B$4:$B$49,$G24,S15_Source_Strata!$R$4:$R$49),0)</x:f>
        <x:v>0</x:v>
      </x:c>
      <x:c r="R24" s="164" t="n">
        <x:f aca="0">IFERROR(SUMIF(S15_Source_Strata!$B$4:$B$49,$G24,S15_Source_Strata!$S$4:$S$49),0)</x:f>
        <x:v>0.041887249891712</x:v>
      </x:c>
      <x:c r="S24" s="164" t="n">
        <x:f aca="0">IFERROR(SUMIF(S15_Source_Strata!$B$4:$B$49,$G24,S15_Source_Strata!$T$4:$T$49),0)</x:f>
        <x:v>0.5006911820948761</x:v>
      </x:c>
      <x:c r="T24" s="164" t="n">
        <x:f aca="0">IFERROR(SUMIF(S15_Source_Strata!$B$4:$B$49,$G24,S15_Source_Strata!$U$4:$U$49),0)</x:f>
        <x:v>1.9160435894217756</x:v>
      </x:c>
      <x:c r="U24" s="164" t="n">
        <x:f aca="0">IFERROR(SUMIF(S15_Source_Strata!$B$4:$B$49,$G24,S15_Source_Strata!$V$4:$V$49),0)</x:f>
        <x:v>4.648002141175279</x:v>
      </x:c>
      <x:c r="V24" s="164" t="n">
        <x:f aca="0">IFERROR(SUMIF(S15_Source_Strata!$B$4:$B$49,$G24,S15_Source_Strata!$W$4:$W$49),0)</x:f>
        <x:v>8.765836201233046</x:v>
      </x:c>
      <x:c r="W24" s="164" t="n">
        <x:f aca="0">IFERROR(SUMIF(S15_Source_Strata!$B$4:$B$49,$G24,S15_Source_Strata!$X$4:$X$49),0)</x:f>
        <x:v>14.137731009696834</x:v>
      </x:c>
      <x:c r="X24" s="164" t="n">
        <x:f aca="0">IFERROR(SUMIF(S15_Source_Strata!$B$4:$B$49,$G24,S15_Source_Strata!$Y$4:$Y$49),0)</x:f>
        <x:v>20.514687829934044</x:v>
      </x:c>
      <x:c r="Y24" s="164" t="n">
        <x:f aca="0">IFERROR(SUMIF(S15_Source_Strata!$B$4:$B$49,$G24,S15_Source_Strata!$Z$4:$Z$49),0)</x:f>
        <x:v>27.60358895515498</x:v>
      </x:c>
      <x:c r="Z24" s="164" t="n">
        <x:f aca="0">IFERROR(SUMIF(S15_Source_Strata!$B$4:$B$49,$G24,S15_Source_Strata!$AA$4:$AA$49),0)</x:f>
        <x:v>35.11614902570361</x:v>
      </x:c>
      <x:c r="AA24" s="164" t="n">
        <x:f aca="0">IFERROR(SUMIF(S15_Source_Strata!$B$4:$B$49,$G24,S15_Source_Strata!$AB$4:$AB$49),0)</x:f>
        <x:v>42.796694831673534</x:v>
      </x:c>
      <x:c r="AB24" s="164" t="n">
        <x:f aca="0">IFERROR(SUMIF(S15_Source_Strata!$B$4:$B$49,$G24,S15_Source_Strata!$AC$4:$AC$49),0)</x:f>
        <x:v>50.43458352773399</x:v>
      </x:c>
      <x:c r="AC24" s="164" t="n">
        <x:f aca="0">IFERROR(SUMIF(S15_Source_Strata!$B$4:$B$49,$G24,S15_Source_Strata!$AD$4:$AD$49),0)</x:f>
        <x:v>57.8667406233523</x:v>
      </x:c>
      <x:c r="AD24" s="164" t="n">
        <x:f aca="0">IFERROR(SUMIF(S15_Source_Strata!$B$4:$B$49,$G24,S15_Source_Strata!$AE$4:$AE$49),0)</x:f>
        <x:v>64.97452870620393</x:v>
      </x:c>
      <x:c r="AE24" s="164" t="n">
        <x:f aca="0">IFERROR(SUMIF(S15_Source_Strata!$B$4:$B$49,$G24,S15_Source_Strata!$AF$4:$AF$49),0)</x:f>
        <x:v>71.67784329965413</x:v>
      </x:c>
      <x:c r="AF24" s="164" t="n">
        <x:f aca="0">IFERROR(SUMIF(S15_Source_Strata!$B$4:$B$49,$G24,S15_Source_Strata!$AG$4:$AG$49),0)</x:f>
        <x:v>77.92826810156097</x:v>
      </x:c>
      <x:c r="AG24" s="164" t="n">
        <x:f aca="0">IFERROR(SUMIF(S15_Source_Strata!$B$4:$B$49,$G24,S15_Source_Strata!$AH$4:$AH$49),0)</x:f>
        <x:v>83.70235418006737</x:v>
      </x:c>
      <x:c r="AH24" s="164" t="n">
        <x:f aca="0">IFERROR(SUMIF(S15_Source_Strata!$B$4:$B$49,$G24,S15_Source_Strata!$AI$4:$AI$49),0)</x:f>
        <x:v>88.99557408183094</x:v>
      </x:c>
      <x:c r="AI24" s="164" t="n">
        <x:f aca="0">IFERROR(SUMIF(S15_Source_Strata!$B$4:$B$49,$G24,S15_Source_Strata!$AJ$4:$AJ$49),0)</x:f>
        <x:v>93.81717915983346</x:v>
      </x:c>
      <x:c r="AJ24" s="164" t="n">
        <x:f aca="0">IFERROR(SUMIF(S15_Source_Strata!$B$4:$B$49,$G24,S15_Source_Strata!$AK$4:$AK$49),0)</x:f>
        <x:v>98.18599878326182</x:v>
      </x:c>
      <x:c r="AK24" s="164" t="n">
        <x:f aca="0">IFERROR(SUMIF(S15_Source_Strata!$B$4:$B$49,$G24,S15_Source_Strata!$AL$4:$AL$49),0)</x:f>
        <x:v>102.12711804116768</x:v>
      </x:c>
      <x:c r="AL24" s="165" t="n">
        <x:f aca="0">$F24*Q24</x:f>
        <x:v>0</x:v>
      </x:c>
      <x:c r="AM24" s="165" t="n">
        <x:f aca="0">$F24*R24</x:f>
        <x:v>1.0449591651318517</x:v>
      </x:c>
      <x:c r="AN24" s="165" t="n">
        <x:f aca="0">$F24*S24</x:f>
        <x:v>12.490718320809712</x:v>
      </x:c>
      <x:c r="AO24" s="165" t="n">
        <x:f aca="0">$F24*T24</x:f>
        <x:v>47.79944529026187</x:v>
      </x:c>
      <x:c r="AP24" s="165" t="n">
        <x:f aca="0">$F24*U24</x:f>
        <x:v>115.95348105998724</x:v>
      </x:c>
      <x:c r="AQ24" s="165" t="n">
        <x:f aca="0">$F24*V24</x:f>
        <x:v>218.68088504744435</x:v>
      </x:c>
      <x:c r="AR24" s="165" t="n">
        <x:f aca="0">$F24*W24</x:f>
        <x:v>352.69328091349865</x:v>
      </x:c>
      <x:c r="AS24" s="165" t="n">
        <x:f aca="0">$F24*X24</x:f>
        <x:v>511.77890940866143</x:v>
      </x:c>
      <x:c r="AT24" s="165" t="n">
        <x:f aca="0">$F24*Y24</x:f>
        <x:v>688.6253775024958</x:v>
      </x:c>
      <x:c r="AU24" s="165" t="n">
        <x:f aca="0">$F24*Z24</x:f>
        <x:v>876.0408444910958</x:v>
      </x:c>
      <x:c r="AV24" s="165" t="n">
        <x:f aca="0">$F24*AA24</x:f>
        <x:v>1067.647043368127</x:v>
      </x:c>
      <x:c r="AW24" s="165" t="n">
        <x:f aca="0">$F24*AB24</x:f>
        <x:v>1258.1890774199867</x:v>
      </x:c>
      <x:c r="AX24" s="165" t="n">
        <x:f aca="0">$F24*AC24</x:f>
        <x:v>1443.5987353431904</x:v>
      </x:c>
      <x:c r="AY24" s="165" t="n">
        <x:f aca="0">$F24*AD24</x:f>
        <x:v>1620.9163754411231</x:v>
      </x:c>
      <x:c r="AZ24" s="165" t="n">
        <x:f aca="0">$F24*AE24</x:f>
        <x:v>1788.1436352707035</x:v>
      </x:c>
      <x:c r="BA24" s="165" t="n">
        <x:f aca="0">$F24*AF24</x:f>
        <x:v>1944.072675721085</x:v>
      </x:c>
      <x:c r="BB24" s="165" t="n">
        <x:f aca="0">$F24*AG24</x:f>
        <x:v>2088.1185174412726</x:v>
      </x:c>
      <x:c r="BC24" s="165" t="n">
        <x:f aca="0">$F24*AH24</x:f>
        <x:v>2220.1682142751674</x:v>
      </x:c>
      <x:c r="BD24" s="165" t="n">
        <x:f aca="0">$F24*AI24</x:f>
        <x:v>2340.4525592710875</x:v>
      </x:c>
      <x:c r="BE24" s="165" t="n">
        <x:f aca="0">$F24*AJ24</x:f>
        <x:v>2449.4412877770537</x:v>
      </x:c>
      <x:c r="BF24" s="165" t="n">
        <x:f aca="0">$F24*AK24</x:f>
        <x:v>2547.7601962772087</x:v>
      </x:c>
    </x:row>
    <x:row r="25" ht="15" hidden="0" customHeight="1">
      <x:c r="A25" s="37" t="str">
        <x:v>Tropical &amp; Subtropical Moist Broadleaf Forests</x:v>
      </x:c>
      <x:c r="B25" s="37" t="s">
        <x:v>111</x:v>
      </x:c>
      <x:c r="C25" s="37" t="s">
        <x:v>553</x:v>
      </x:c>
      <x:c r="D25" s="37" t="n">
        <x:v>2020</x:v>
      </x:c>
      <x:c r="E25" s="100" t="n">
        <x:v>25</x:v>
      </x:c>
      <x:c r="F25" s="100" t="n">
        <x:v>10.358848684743</x:v>
      </x:c>
      <x:c r="G25" s="37" t="s">
        <x:v>555</x:v>
      </x:c>
      <x:c r="H25" s="37" t="n">
        <x:v>2</x:v>
      </x:c>
      <x:c r="I25" s="37" t="s">
        <x:v>1180</x:v>
      </x:c>
      <x:c r="J25" s="37" t="str">
        <x:v>Tropical &amp; Subtropical Moist Broadleaf Forests|2020</x:v>
      </x:c>
      <x:c r="K25" s="37" t="str">
        <x:v>Area × biological stock; VM0047 Eq.(3); PB separately by Biome×Cohort</x:v>
      </x:c>
      <x:c r="Q25" s="164" t="n">
        <x:f aca="0">IFERROR(SUMIF(S15_Source_Strata!$B$4:$B$49,$G25,S15_Source_Strata!$R$4:$R$49),0)</x:f>
        <x:v>0</x:v>
      </x:c>
      <x:c r="R25" s="164" t="n">
        <x:f aca="0">IFERROR(SUMIF(S15_Source_Strata!$B$4:$B$49,$G25,S15_Source_Strata!$S$4:$S$49),0)</x:f>
        <x:v>0.06926048119973205</x:v>
      </x:c>
      <x:c r="S25" s="164" t="n">
        <x:f aca="0">IFERROR(SUMIF(S15_Source_Strata!$B$4:$B$49,$G25,S15_Source_Strata!$T$4:$T$49),0)</x:f>
        <x:v>0.8356871819009624</x:v>
      </x:c>
      <x:c r="T25" s="164" t="n">
        <x:f aca="0">IFERROR(SUMIF(S15_Source_Strata!$B$4:$B$49,$G25,S15_Source_Strata!$U$4:$U$49),0)</x:f>
        <x:v>3.2052071159215103</x:v>
      </x:c>
      <x:c r="U25" s="164" t="n">
        <x:f aca="0">IFERROR(SUMIF(S15_Source_Strata!$B$4:$B$49,$G25,S15_Source_Strata!$V$4:$V$49),0)</x:f>
        <x:v>7.772014633913014</x:v>
      </x:c>
      <x:c r="V25" s="164" t="n">
        <x:f aca="0">IFERROR(SUMIF(S15_Source_Strata!$B$4:$B$49,$G25,S15_Source_Strata!$W$4:$W$49),0)</x:f>
        <x:v>14.634394131534494</x:v>
      </x:c>
      <x:c r="W25" s="164" t="n">
        <x:f aca="0">IFERROR(SUMIF(S15_Source_Strata!$B$4:$B$49,$G25,S15_Source_Strata!$X$4:$X$49),0)</x:f>
        <x:v>23.55391233001972</x:v>
      </x:c>
      <x:c r="X25" s="164" t="n">
        <x:f aca="0">IFERROR(SUMIF(S15_Source_Strata!$B$4:$B$49,$G25,S15_Source_Strata!$Y$4:$Y$49),0)</x:f>
        <x:v>34.10206893558147</x:v>
      </x:c>
      <x:c r="Y25" s="164" t="n">
        <x:f aca="0">IFERROR(SUMIF(S15_Source_Strata!$B$4:$B$49,$G25,S15_Source_Strata!$Z$4:$Z$49),0)</x:f>
        <x:v>45.784385494931186</x:v>
      </x:c>
      <x:c r="Z25" s="164" t="n">
        <x:f aca="0">IFERROR(SUMIF(S15_Source_Strata!$B$4:$B$49,$G25,S15_Source_Strata!$AA$4:$AA$49),0)</x:f>
        <x:v>58.12130558906018</x:v>
      </x:c>
      <x:c r="AA25" s="164" t="n">
        <x:f aca="0">IFERROR(SUMIF(S15_Source_Strata!$B$4:$B$49,$G25,S15_Source_Strata!$AB$4:$AB$49),0)</x:f>
        <x:v>70.69253798715549</x:v>
      </x:c>
      <x:c r="AB25" s="164" t="n">
        <x:f aca="0">IFERROR(SUMIF(S15_Source_Strata!$B$4:$B$49,$G25,S15_Source_Strata!$AC$4:$AC$49),0)</x:f>
        <x:v>83.15564243060469</x:v>
      </x:c>
      <x:c r="AC25" s="164" t="n">
        <x:f aca="0">IFERROR(SUMIF(S15_Source_Strata!$B$4:$B$49,$G25,S15_Source_Strata!$AD$4:$AD$49),0)</x:f>
        <x:v>95.24851896646659</x:v>
      </x:c>
      <x:c r="AD25" s="164" t="n">
        <x:f aca="0">IFERROR(SUMIF(S15_Source_Strata!$B$4:$B$49,$G25,S15_Source_Strata!$AE$4:$AE$49),0)</x:f>
        <x:v>106.78296780569482</x:v>
      </x:c>
      <x:c r="AE25" s="164" t="n">
        <x:f aca="0">IFERROR(SUMIF(S15_Source_Strata!$B$4:$B$49,$G25,S15_Source_Strata!$AF$4:$AF$49),0)</x:f>
        <x:v>117.6341076893758</x:v>
      </x:c>
      <x:c r="AF25" s="164" t="n">
        <x:f aca="0">IFERROR(SUMIF(S15_Source_Strata!$B$4:$B$49,$G25,S15_Source_Strata!$AG$4:$AG$49),0)</x:f>
        <x:v>127.72859818772162</x:v>
      </x:c>
      <x:c r="AG25" s="164" t="n">
        <x:f aca="0">IFERROR(SUMIF(S15_Source_Strata!$B$4:$B$49,$G25,S15_Source_Strata!$AH$4:$AH$49),0)</x:f>
        <x:v>137.03332468966457</x:v>
      </x:c>
      <x:c r="AH25" s="164" t="n">
        <x:f aca="0">IFERROR(SUMIF(S15_Source_Strata!$B$4:$B$49,$G25,S15_Source_Strata!$AI$4:$AI$49),0)</x:f>
        <x:v>145.54536734192152</x:v>
      </x:c>
      <x:c r="AI25" s="164" t="n">
        <x:f aca="0">IFERROR(SUMIF(S15_Source_Strata!$B$4:$B$49,$G25,S15_Source_Strata!$AJ$4:$AJ$49),0)</x:f>
        <x:v>153.2835625814983</x:v>
      </x:c>
      <x:c r="AJ25" s="164" t="n">
        <x:f aca="0">IFERROR(SUMIF(S15_Source_Strata!$B$4:$B$49,$G25,S15_Source_Strata!$AK$4:$AK$49),0)</x:f>
        <x:v>160.28167294438046</x:v>
      </x:c>
      <x:c r="AK25" s="164" t="n">
        <x:f aca="0">IFERROR(SUMIF(S15_Source_Strata!$B$4:$B$49,$G25,S15_Source_Strata!$AL$4:$AL$49),0)</x:f>
        <x:v>166.58302893091556</x:v>
      </x:c>
      <x:c r="AL25" s="165" t="n">
        <x:f aca="0">$F25*Q25</x:f>
        <x:v>0</x:v>
      </x:c>
      <x:c r="AM25" s="165" t="n">
        <x:f aca="0">$F25*R25</x:f>
        <x:v>0.7174588445805117</x:v>
      </x:c>
      <x:c r="AN25" s="165" t="n">
        <x:f aca="0">$F25*S25</x:f>
        <x:v>8.656757065091368</x:v>
      </x:c>
      <x:c r="AO25" s="165" t="n">
        <x:f aca="0">$F25*T25</x:f>
        <x:v>33.20225551709244</x:v>
      </x:c>
      <x:c r="AP25" s="165" t="n">
        <x:f aca="0">$F25*U25</x:f>
        <x:v>80.50912356831317</x:v>
      </x:c>
      <x:c r="AQ25" s="165" t="n">
        <x:f aca="0">$F25*V25</x:f>
        <x:v>151.59547440145678</x:v>
      </x:c>
      <x:c r="AR25" s="165" t="n">
        <x:f aca="0">$F25*W25</x:f>
        <x:v>243.9914137603767</x:v>
      </x:c>
      <x:c r="AS25" s="165" t="n">
        <x:f aca="0">$F25*X25</x:f>
        <x:v>353.25817194036324</x:v>
      </x:c>
      <x:c r="AT25" s="165" t="n">
        <x:f aca="0">$F25*Y25</x:f>
        <x:v>474.27352146593444</x:v>
      </x:c>
      <x:c r="AU25" s="165" t="n">
        <x:f aca="0">$F25*Z25</x:f>
        <x:v>602.069809956782</x:v>
      </x:c>
      <x:c r="AV25" s="165" t="n">
        <x:f aca="0">$F25*AA25</x:f>
        <x:v>732.2933041493902</x:v>
      </x:c>
      <x:c r="AW25" s="165" t="n">
        <x:f aca="0">$F25*AB25</x:f>
        <x:v>861.3967172212285</x:v>
      </x:c>
      <x:c r="AX25" s="165" t="n">
        <x:f aca="0">$F25*AC25</x:f>
        <x:v>986.6649954195011</x:v>
      </x:c>
      <x:c r="AY25" s="165" t="n">
        <x:f aca="0">$F25*AD25</x:f>
        <x:v>1106.148605606976</x:v>
      </x:c>
      <x:c r="AZ25" s="165" t="n">
        <x:f aca="0">$F25*AE25</x:f>
        <x:v>1218.553921719007</x:v>
      </x:c>
      <x:c r="BA25" s="165" t="n">
        <x:f aca="0">$F25*AF25</x:f>
        <x:v>1323.1212213409472</x:v>
      </x:c>
      <x:c r="BB25" s="165" t="n">
        <x:f aca="0">$F25*AG25</x:f>
        <x:v>1419.5074752274923</x:v>
      </x:c>
      <x:c r="BC25" s="165" t="n">
        <x:f aca="0">$F25*AH25</x:f>
        <x:v>1507.6824370603006</x:v>
      </x:c>
      <x:c r="BD25" s="165" t="n">
        <x:f aca="0">$F25*AI25</x:f>
        <x:v>1587.841230640075</x:v>
      </x:c>
      <x:c r="BE25" s="165" t="n">
        <x:f aca="0">$F25*AJ25</x:f>
        <x:v>1660.3335969683033</x:v>
      </x:c>
      <x:c r="BF25" s="165" t="n">
        <x:f aca="0">$F25*AK25</x:f>
        <x:v>1725.6083901415197</x:v>
      </x:c>
    </x:row>
    <x:row r="26" ht="15" hidden="0" customHeight="1">
      <x:c r="A26" s="37" t="str">
        <x:v>Tropical &amp; Subtropical Moist Broadleaf Forests</x:v>
      </x:c>
      <x:c r="B26" s="37" t="s">
        <x:v>111</x:v>
      </x:c>
      <x:c r="C26" s="37" t="s">
        <x:v>542</x:v>
      </x:c>
      <x:c r="D26" s="37" t="n">
        <x:v>2020</x:v>
      </x:c>
      <x:c r="E26" s="100" t="n">
        <x:v>2</x:v>
      </x:c>
      <x:c r="F26" s="100" t="n">
        <x:v>1.0053</x:v>
      </x:c>
      <x:c r="G26" s="37" t="s">
        <x:v>545</x:v>
      </x:c>
      <x:c r="H26" s="37" t="n">
        <x:v>2</x:v>
      </x:c>
      <x:c r="I26" s="37" t="s">
        <x:v>1180</x:v>
      </x:c>
      <x:c r="J26" s="37" t="str">
        <x:v>Tropical &amp; Subtropical Moist Broadleaf Forests|2020</x:v>
      </x:c>
      <x:c r="K26" s="37" t="str">
        <x:v>Area × biological stock; VM0047 Eq.(3); PB separately by Biome×Cohort</x:v>
      </x:c>
      <x:c r="Q26" s="164" t="n">
        <x:f aca="0">IFERROR(SUMIF(S15_Source_Strata!$B$4:$B$49,$G26,S15_Source_Strata!$R$4:$R$49),0)</x:f>
        <x:v>0</x:v>
      </x:c>
      <x:c r="R26" s="164" t="n">
        <x:f aca="0">IFERROR(SUMIF(S15_Source_Strata!$B$4:$B$49,$G26,S15_Source_Strata!$S$4:$S$49),0)</x:f>
        <x:v>0.07467984088429572</x:v>
      </x:c>
      <x:c r="S26" s="164" t="n">
        <x:f aca="0">IFERROR(SUMIF(S15_Source_Strata!$B$4:$B$49,$G26,S15_Source_Strata!$T$4:$T$49),0)</x:f>
        <x:v>0.9155074450282028</x:v>
      </x:c>
      <x:c r="T26" s="164" t="n">
        <x:f aca="0">IFERROR(SUMIF(S15_Source_Strata!$B$4:$B$49,$G26,S15_Source_Strata!$U$4:$U$49),0)</x:f>
        <x:v>3.459153360886757</x:v>
      </x:c>
      <x:c r="U26" s="164" t="n">
        <x:f aca="0">IFERROR(SUMIF(S15_Source_Strata!$B$4:$B$49,$G26,S15_Source_Strata!$V$4:$V$49),0)</x:f>
        <x:v>8.17416872954326</x:v>
      </x:c>
      <x:c r="V26" s="164" t="n">
        <x:f aca="0">IFERROR(SUMIF(S15_Source_Strata!$B$4:$B$49,$G26,S15_Source_Strata!$W$4:$W$49),0)</x:f>
        <x:v>14.934845429105282</x:v>
      </x:c>
      <x:c r="W26" s="164" t="n">
        <x:f aca="0">IFERROR(SUMIF(S15_Source_Strata!$B$4:$B$49,$G26,S15_Source_Strata!$X$4:$X$49),0)</x:f>
        <x:v>23.290920145135782</x:v>
      </x:c>
      <x:c r="X26" s="164" t="n">
        <x:f aca="0">IFERROR(SUMIF(S15_Source_Strata!$B$4:$B$49,$G26,S15_Source_Strata!$Y$4:$Y$49),0)</x:f>
        <x:v>32.676845883129</x:v>
      </x:c>
      <x:c r="Y26" s="164" t="n">
        <x:f aca="0">IFERROR(SUMIF(S15_Source_Strata!$B$4:$B$49,$G26,S15_Source_Strata!$Z$4:$Z$49),0)</x:f>
        <x:v>42.5517787792618</x:v>
      </x:c>
      <x:c r="Z26" s="164" t="n">
        <x:f aca="0">IFERROR(SUMIF(S15_Source_Strata!$B$4:$B$49,$G26,S15_Source_Strata!$AA$4:$AA$49),0)</x:f>
        <x:v>52.46753095745866</x:v>
      </x:c>
      <x:c r="AA26" s="164" t="n">
        <x:f aca="0">IFERROR(SUMIF(S15_Source_Strata!$B$4:$B$49,$G26,S15_Source_Strata!$AB$4:$AB$49),0)</x:f>
        <x:v>62.088727706504955</x:v>
      </x:c>
      <x:c r="AB26" s="164" t="n">
        <x:f aca="0">IFERROR(SUMIF(S15_Source_Strata!$B$4:$B$49,$G26,S15_Source_Strata!$AC$4:$AC$49),0)</x:f>
        <x:v>71.18686146835013</x:v>
      </x:c>
      <x:c r="AC26" s="164" t="n">
        <x:f aca="0">IFERROR(SUMIF(S15_Source_Strata!$B$4:$B$49,$G26,S15_Source_Strata!$AD$4:$AD$49),0)</x:f>
        <x:v>79.62292976284827</x:v>
      </x:c>
      <x:c r="AD26" s="164" t="n">
        <x:f aca="0">IFERROR(SUMIF(S15_Source_Strata!$B$4:$B$49,$G26,S15_Source_Strata!$AE$4:$AE$49),0)</x:f>
        <x:v>87.32716549861607</x:v>
      </x:c>
      <x:c r="AE26" s="164" t="n">
        <x:f aca="0">IFERROR(SUMIF(S15_Source_Strata!$B$4:$B$49,$G26,S15_Source_Strata!$AF$4:$AF$49),0)</x:f>
        <x:v>94.28012952869116</x:v>
      </x:c>
      <x:c r="AF26" s="164" t="n">
        <x:f aca="0">IFERROR(SUMIF(S15_Source_Strata!$B$4:$B$49,$G26,S15_Source_Strata!$AG$4:$AG$49),0)</x:f>
        <x:v>100.49689300912144</x:v>
      </x:c>
      <x:c r="AG26" s="164" t="n">
        <x:f aca="0">IFERROR(SUMIF(S15_Source_Strata!$B$4:$B$49,$G26,S15_Source_Strata!$AH$4:$AH$49),0)</x:f>
        <x:v>106.01466917516407</x:v>
      </x:c>
      <x:c r="AH26" s="164" t="n">
        <x:f aca="0">IFERROR(SUMIF(S15_Source_Strata!$B$4:$B$49,$G26,S15_Source_Strata!$AI$4:$AI$49),0)</x:f>
        <x:v>110.88360662125636</x:v>
      </x:c>
      <x:c r="AI26" s="164" t="n">
        <x:f aca="0">IFERROR(SUMIF(S15_Source_Strata!$B$4:$B$49,$G26,S15_Source_Strata!$AJ$4:$AJ$49),0)</x:f>
        <x:v>115.16021267185421</x:v>
      </x:c>
      <x:c r="AJ26" s="164" t="n">
        <x:f aca="0">IFERROR(SUMIF(S15_Source_Strata!$B$4:$B$49,$G26,S15_Source_Strata!$AK$4:$AK$49),0)</x:f>
        <x:v>118.9028388371039</x:v>
      </x:c>
      <x:c r="AK26" s="164" t="n">
        <x:f aca="0">IFERROR(SUMIF(S15_Source_Strata!$B$4:$B$49,$G26,S15_Source_Strata!$AL$4:$AL$49),0)</x:f>
        <x:v>122.1687170856391</x:v>
      </x:c>
      <x:c r="AL26" s="165" t="n">
        <x:f aca="0">$F26*Q26</x:f>
        <x:v>0</x:v>
      </x:c>
      <x:c r="AM26" s="165" t="n">
        <x:f aca="0">$F26*R26</x:f>
        <x:v>0.07507564404098249</x:v>
      </x:c>
      <x:c r="AN26" s="165" t="n">
        <x:f aca="0">$F26*S26</x:f>
        <x:v>0.9203596344868523</x:v>
      </x:c>
      <x:c r="AO26" s="165" t="n">
        <x:f aca="0">$F26*T26</x:f>
        <x:v>3.477486873699457</x:v>
      </x:c>
      <x:c r="AP26" s="165" t="n">
        <x:f aca="0">$F26*U26</x:f>
        <x:v>8.217491823809839</x:v>
      </x:c>
      <x:c r="AQ26" s="165" t="n">
        <x:f aca="0">$F26*V26</x:f>
        <x:v>15.014000109879541</x:v>
      </x:c>
      <x:c r="AR26" s="165" t="n">
        <x:f aca="0">$F26*W26</x:f>
        <x:v>23.414362021905003</x:v>
      </x:c>
      <x:c r="AS26" s="165" t="n">
        <x:f aca="0">$F26*X26</x:f>
        <x:v>32.850033166309586</x:v>
      </x:c>
      <x:c r="AT26" s="165" t="n">
        <x:f aca="0">$F26*Y26</x:f>
        <x:v>42.77730320679189</x:v>
      </x:c>
      <x:c r="AU26" s="165" t="n">
        <x:f aca="0">$F26*Z26</x:f>
        <x:v>52.7456088715332</x:v>
      </x:c>
      <x:c r="AV26" s="165" t="n">
        <x:f aca="0">$F26*AA26</x:f>
        <x:v>62.417797963349436</x:v>
      </x:c>
      <x:c r="AW26" s="165" t="n">
        <x:f aca="0">$F26*AB26</x:f>
        <x:v>71.56415183413239</x:v>
      </x:c>
      <x:c r="AX26" s="165" t="n">
        <x:f aca="0">$F26*AC26</x:f>
        <x:v>80.04493129059138</x:v>
      </x:c>
      <x:c r="AY26" s="165" t="n">
        <x:f aca="0">$F26*AD26</x:f>
        <x:v>87.78999947575873</x:v>
      </x:c>
      <x:c r="AZ26" s="165" t="n">
        <x:f aca="0">$F26*AE26</x:f>
        <x:v>94.77981421519323</x:v>
      </x:c>
      <x:c r="BA26" s="165" t="n">
        <x:f aca="0">$F26*AF26</x:f>
        <x:v>101.02952654206979</x:v>
      </x:c>
      <x:c r="BB26" s="165" t="n">
        <x:f aca="0">$F26*AG26</x:f>
        <x:v>106.57654692179246</x:v>
      </x:c>
      <x:c r="BC26" s="165" t="n">
        <x:f aca="0">$F26*AH26</x:f>
        <x:v>111.47128973634904</x:v>
      </x:c>
      <x:c r="BD26" s="165" t="n">
        <x:f aca="0">$F26*AI26</x:f>
        <x:v>115.77056179901504</x:v>
      </x:c>
      <x:c r="BE26" s="165" t="n">
        <x:f aca="0">$F26*AJ26</x:f>
        <x:v>119.53302388294055</x:v>
      </x:c>
      <x:c r="BF26" s="165" t="n">
        <x:f aca="0">$F26*AK26</x:f>
        <x:v>122.816211286193</x:v>
      </x:c>
    </x:row>
    <x:row r="27" ht="15" hidden="0" customHeight="1">
      <x:c r="A27" s="37" t="str">
        <x:v>Tropical &amp; Subtropical Moist Broadleaf Forests</x:v>
      </x:c>
      <x:c r="B27" s="37" t="s">
        <x:v>111</x:v>
      </x:c>
      <x:c r="C27" s="37" t="s">
        <x:v>549</x:v>
      </x:c>
      <x:c r="D27" s="37" t="n">
        <x:v>2021</x:v>
      </x:c>
      <x:c r="E27" s="100" t="n">
        <x:v>18</x:v>
      </x:c>
      <x:c r="F27" s="100" t="n">
        <x:v>18.7903195467422</x:v>
      </x:c>
      <x:c r="G27" s="37" t="s">
        <x:v>1109</x:v>
      </x:c>
      <x:c r="H27" s="37" t="n">
        <x:v>0</x:v>
      </x:c>
      <x:c r="I27" s="37" t="s">
        <x:v>1185</x:v>
      </x:c>
      <x:c r="J27" s="37" t="str">
        <x:v>Tropical &amp; Subtropical Moist Broadleaf Forests|2021</x:v>
      </x:c>
      <x:c r="K27" s="37" t="str">
        <x:v>Area × biological stock; VM0047 Eq.(3); PB separately by Biome×Cohort</x:v>
      </x:c>
      <x:c r="Q27" s="164" t="n">
        <x:f aca="0">IFERROR(SUMIF(S15_Source_Strata!$B$4:$B$49,$G27,S15_Source_Strata!$R$4:$R$49),0)</x:f>
        <x:v>0</x:v>
      </x:c>
      <x:c r="R27" s="164" t="n">
        <x:f aca="0">IFERROR(SUMIF(S15_Source_Strata!$B$4:$B$49,$G27,S15_Source_Strata!$S$4:$S$49),0)</x:f>
        <x:v>0</x:v>
      </x:c>
      <x:c r="S27" s="164" t="n">
        <x:f aca="0">IFERROR(SUMIF(S15_Source_Strata!$B$4:$B$49,$G27,S15_Source_Strata!$T$4:$T$49),0)</x:f>
        <x:v>0.041887249891712</x:v>
      </x:c>
      <x:c r="T27" s="164" t="n">
        <x:f aca="0">IFERROR(SUMIF(S15_Source_Strata!$B$4:$B$49,$G27,S15_Source_Strata!$U$4:$U$49),0)</x:f>
        <x:v>0.5006911820948761</x:v>
      </x:c>
      <x:c r="U27" s="164" t="n">
        <x:f aca="0">IFERROR(SUMIF(S15_Source_Strata!$B$4:$B$49,$G27,S15_Source_Strata!$V$4:$V$49),0)</x:f>
        <x:v>1.9160435894217756</x:v>
      </x:c>
      <x:c r="V27" s="164" t="n">
        <x:f aca="0">IFERROR(SUMIF(S15_Source_Strata!$B$4:$B$49,$G27,S15_Source_Strata!$W$4:$W$49),0)</x:f>
        <x:v>4.648002141175279</x:v>
      </x:c>
      <x:c r="W27" s="164" t="n">
        <x:f aca="0">IFERROR(SUMIF(S15_Source_Strata!$B$4:$B$49,$G27,S15_Source_Strata!$X$4:$X$49),0)</x:f>
        <x:v>8.765836201233046</x:v>
      </x:c>
      <x:c r="X27" s="164" t="n">
        <x:f aca="0">IFERROR(SUMIF(S15_Source_Strata!$B$4:$B$49,$G27,S15_Source_Strata!$Y$4:$Y$49),0)</x:f>
        <x:v>14.137731009696834</x:v>
      </x:c>
      <x:c r="Y27" s="164" t="n">
        <x:f aca="0">IFERROR(SUMIF(S15_Source_Strata!$B$4:$B$49,$G27,S15_Source_Strata!$Z$4:$Z$49),0)</x:f>
        <x:v>20.514687829934044</x:v>
      </x:c>
      <x:c r="Z27" s="164" t="n">
        <x:f aca="0">IFERROR(SUMIF(S15_Source_Strata!$B$4:$B$49,$G27,S15_Source_Strata!$AA$4:$AA$49),0)</x:f>
        <x:v>27.60358895515498</x:v>
      </x:c>
      <x:c r="AA27" s="164" t="n">
        <x:f aca="0">IFERROR(SUMIF(S15_Source_Strata!$B$4:$B$49,$G27,S15_Source_Strata!$AB$4:$AB$49),0)</x:f>
        <x:v>35.11614902570361</x:v>
      </x:c>
      <x:c r="AB27" s="164" t="n">
        <x:f aca="0">IFERROR(SUMIF(S15_Source_Strata!$B$4:$B$49,$G27,S15_Source_Strata!$AC$4:$AC$49),0)</x:f>
        <x:v>42.796694831673534</x:v>
      </x:c>
      <x:c r="AC27" s="164" t="n">
        <x:f aca="0">IFERROR(SUMIF(S15_Source_Strata!$B$4:$B$49,$G27,S15_Source_Strata!$AD$4:$AD$49),0)</x:f>
        <x:v>50.43458352773399</x:v>
      </x:c>
      <x:c r="AD27" s="164" t="n">
        <x:f aca="0">IFERROR(SUMIF(S15_Source_Strata!$B$4:$B$49,$G27,S15_Source_Strata!$AE$4:$AE$49),0)</x:f>
        <x:v>57.8667406233523</x:v>
      </x:c>
      <x:c r="AE27" s="164" t="n">
        <x:f aca="0">IFERROR(SUMIF(S15_Source_Strata!$B$4:$B$49,$G27,S15_Source_Strata!$AF$4:$AF$49),0)</x:f>
        <x:v>64.97452870620393</x:v>
      </x:c>
      <x:c r="AF27" s="164" t="n">
        <x:f aca="0">IFERROR(SUMIF(S15_Source_Strata!$B$4:$B$49,$G27,S15_Source_Strata!$AG$4:$AG$49),0)</x:f>
        <x:v>71.67784329965413</x:v>
      </x:c>
      <x:c r="AG27" s="164" t="n">
        <x:f aca="0">IFERROR(SUMIF(S15_Source_Strata!$B$4:$B$49,$G27,S15_Source_Strata!$AH$4:$AH$49),0)</x:f>
        <x:v>77.92826810156097</x:v>
      </x:c>
      <x:c r="AH27" s="164" t="n">
        <x:f aca="0">IFERROR(SUMIF(S15_Source_Strata!$B$4:$B$49,$G27,S15_Source_Strata!$AI$4:$AI$49),0)</x:f>
        <x:v>83.70235418006737</x:v>
      </x:c>
      <x:c r="AI27" s="164" t="n">
        <x:f aca="0">IFERROR(SUMIF(S15_Source_Strata!$B$4:$B$49,$G27,S15_Source_Strata!$AJ$4:$AJ$49),0)</x:f>
        <x:v>88.99557408183094</x:v>
      </x:c>
      <x:c r="AJ27" s="164" t="n">
        <x:f aca="0">IFERROR(SUMIF(S15_Source_Strata!$B$4:$B$49,$G27,S15_Source_Strata!$AK$4:$AK$49),0)</x:f>
        <x:v>93.81717915983346</x:v>
      </x:c>
      <x:c r="AK27" s="164" t="n">
        <x:f aca="0">IFERROR(SUMIF(S15_Source_Strata!$B$4:$B$49,$G27,S15_Source_Strata!$AL$4:$AL$49),0)</x:f>
        <x:v>98.18599878326182</x:v>
      </x:c>
      <x:c r="AL27" s="165" t="n">
        <x:f aca="0">$F27*Q27</x:f>
        <x:v>0</x:v>
      </x:c>
      <x:c r="AM27" s="165" t="n">
        <x:f aca="0">$F27*R27</x:f>
        <x:v>0</x:v>
      </x:c>
      <x:c r="AN27" s="165" t="n">
        <x:f aca="0">$F27*S27</x:f>
        <x:v>0.7870748103995111</x:v>
      </x:c>
      <x:c r="AO27" s="165" t="n">
        <x:f aca="0">$F27*T27</x:f>
        <x:v>9.408147305798808</x:v>
      </x:c>
      <x:c r="AP27" s="165" t="n">
        <x:f aca="0">$F27*U27</x:f>
        <x:v>36.00307131072208</x:v>
      </x:c>
      <x:c r="AQ27" s="165" t="n">
        <x:f aca="0">$F27*V27</x:f>
        <x:v>87.33744548662546</x:v>
      </x:c>
      <x:c r="AR27" s="165" t="n">
        <x:f aca="0">$F27*W27</x:f>
        <x:v>164.7128633155697</x:v>
      </x:c>
      <x:c r="AS27" s="165" t="n">
        <x:f aca="0">$F27*X27</x:f>
        <x:v>265.6524833380898</x:v>
      </x:c>
      <x:c r="AT27" s="165" t="n">
        <x:f aca="0">$F27*Y27</x:f>
        <x:v>385.477539726124</x:v>
      </x:c>
      <x:c r="AU27" s="165" t="n">
        <x:f aca="0">$F27*Z27</x:f>
        <x:v>518.6802571042857</x:v>
      </x:c>
      <x:c r="AV27" s="165" t="n">
        <x:f aca="0">$F27*AA27</x:f>
        <x:v>659.8436614439906</x:v>
      </x:c>
      <x:c r="AW27" s="165" t="n">
        <x:f aca="0">$F27*AB27</x:f>
        <x:v>804.1635714315561</x:v>
      </x:c>
      <x:c r="AX27" s="165" t="n">
        <x:f aca="0">$F27*AC27</x:f>
        <x:v>947.6819406929823</x:v>
      </x:c>
      <x:c r="AY27" s="165" t="n">
        <x:f aca="0">$F27*AD27</x:f>
        <x:v>1087.3345474412376</x:v>
      </x:c>
      <x:c r="AZ27" s="165" t="n">
        <x:f aca="0">$F27*AE27</x:f>
        <x:v>1220.892156788546</x:v>
      </x:c>
      <x:c r="BA27" s="165" t="n">
        <x:f aca="0">$F27*AF27</x:f>
        <x:v>1346.8495800218154</x:v>
      </x:c>
      <x:c r="BB27" s="165" t="n">
        <x:f aca="0">$F27*AG27</x:f>
        <x:v>1464.2970593525279</x:v>
      </x:c>
      <x:c r="BC27" s="165" t="n">
        <x:f aca="0">$F27*AH27</x:f>
        <x:v>1572.7939818580587</x:v>
      </x:c>
      <x:c r="BD27" s="165" t="n">
        <x:f aca="0">$F27*AI27</x:f>
        <x:v>1672.2552752433714</x:v>
      </x:c>
      <x:c r="BE27" s="165" t="n">
        <x:f aca="0">$F27*AJ27</x:f>
        <x:v>1762.8547753872335</x:v>
      </x:c>
      <x:c r="BF27" s="165" t="n">
        <x:f aca="0">$F27*AK27</x:f>
        <x:v>1844.9462921535305</x:v>
      </x:c>
    </x:row>
    <x:row r="28" ht="15" hidden="0" customHeight="1">
      <x:c r="A28" s="37" t="str">
        <x:v>Tropical &amp; Subtropical Moist Broadleaf Forests</x:v>
      </x:c>
      <x:c r="B28" s="37" t="s">
        <x:v>111</x:v>
      </x:c>
      <x:c r="C28" s="37" t="s">
        <x:v>553</x:v>
      </x:c>
      <x:c r="D28" s="37" t="n">
        <x:v>2021</x:v>
      </x:c>
      <x:c r="E28" s="100" t="n">
        <x:v>23</x:v>
      </x:c>
      <x:c r="F28" s="100" t="n">
        <x:v>13.1746242816674</x:v>
      </x:c>
      <x:c r="G28" s="37" t="s">
        <x:v>560</x:v>
      </x:c>
      <x:c r="H28" s="37" t="n">
        <x:v>2</x:v>
      </x:c>
      <x:c r="I28" s="37" t="s">
        <x:v>1180</x:v>
      </x:c>
      <x:c r="J28" s="37" t="str">
        <x:v>Tropical &amp; Subtropical Moist Broadleaf Forests|2021</x:v>
      </x:c>
      <x:c r="K28" s="37" t="str">
        <x:v>Area × biological stock; VM0047 Eq.(3); PB separately by Biome×Cohort</x:v>
      </x:c>
      <x:c r="Q28" s="164" t="n">
        <x:f aca="0">IFERROR(SUMIF(S15_Source_Strata!$B$4:$B$49,$G28,S15_Source_Strata!$R$4:$R$49),0)</x:f>
        <x:v>0</x:v>
      </x:c>
      <x:c r="R28" s="164" t="n">
        <x:f aca="0">IFERROR(SUMIF(S15_Source_Strata!$B$4:$B$49,$G28,S15_Source_Strata!$S$4:$S$49),0)</x:f>
        <x:v>0</x:v>
      </x:c>
      <x:c r="S28" s="164" t="n">
        <x:f aca="0">IFERROR(SUMIF(S15_Source_Strata!$B$4:$B$49,$G28,S15_Source_Strata!$T$4:$T$49),0)</x:f>
        <x:v>0.08024124106903152</x:v>
      </x:c>
      <x:c r="T28" s="164" t="n">
        <x:f aca="0">IFERROR(SUMIF(S15_Source_Strata!$B$4:$B$49,$G28,S15_Source_Strata!$U$4:$U$49),0)</x:f>
        <x:v>0.9691359874785773</x:v>
      </x:c>
      <x:c r="U28" s="164" t="n">
        <x:f aca="0">IFERROR(SUMIF(S15_Source_Strata!$B$4:$B$49,$G28,S15_Source_Strata!$V$4:$V$49),0)</x:f>
        <x:v>3.7264774365253888</x:v>
      </x:c>
      <x:c r="V28" s="164" t="n">
        <x:f aca="0">IFERROR(SUMIF(S15_Source_Strata!$B$4:$B$49,$G28,S15_Source_Strata!$W$4:$W$49),0)</x:f>
        <x:v>9.063386482166534</x:v>
      </x:c>
      <x:c r="W28" s="164" t="n">
        <x:f aca="0">IFERROR(SUMIF(S15_Source_Strata!$B$4:$B$49,$G28,S15_Source_Strata!$X$4:$X$49),0)</x:f>
        <x:v>17.119973973202708</x:v>
      </x:c>
      <x:c r="X28" s="164" t="n">
        <x:f aca="0">IFERROR(SUMIF(S15_Source_Strata!$B$4:$B$49,$G28,S15_Source_Strata!$Y$4:$Y$49),0)</x:f>
        <x:v>27.64078926270223</x:v>
      </x:c>
      <x:c r="Y28" s="164" t="n">
        <x:f aca="0">IFERROR(SUMIF(S15_Source_Strata!$B$4:$B$49,$G28,S15_Source_Strata!$Z$4:$Z$49),0)</x:f>
        <x:v>40.140287213664934</x:v>
      </x:c>
      <x:c r="Z28" s="164" t="n">
        <x:f aca="0">IFERROR(SUMIF(S15_Source_Strata!$B$4:$B$49,$G28,S15_Source_Strata!$AA$4:$AA$49),0)</x:f>
        <x:v>54.04625553934507</x:v>
      </x:c>
      <x:c r="AA28" s="164" t="n">
        <x:f aca="0">IFERROR(SUMIF(S15_Source_Strata!$B$4:$B$49,$G28,S15_Source_Strata!$AB$4:$AB$49),0)</x:f>
        <x:v>68.79550590893344</x:v>
      </x:c>
      <x:c r="AB28" s="164" t="n">
        <x:f aca="0">IFERROR(SUMIF(S15_Source_Strata!$B$4:$B$49,$G28,S15_Source_Strata!$AC$4:$AC$49),0)</x:f>
        <x:v>83.88800474661805</x:v>
      </x:c>
      <x:c r="AC28" s="164" t="n">
        <x:f aca="0">IFERROR(SUMIF(S15_Source_Strata!$B$4:$B$49,$G28,S15_Source_Strata!$AD$4:$AD$49),0)</x:f>
        <x:v>98.91104933665754</x:v>
      </x:c>
      <x:c r="AD28" s="164" t="n">
        <x:f aca="0">IFERROR(SUMIF(S15_Source_Strata!$B$4:$B$49,$G28,S15_Source_Strata!$AE$4:$AE$49),0)</x:f>
        <x:v>113.5442699407146</x:v>
      </x:c>
      <x:c r="AE28" s="164" t="n">
        <x:f aca="0">IFERROR(SUMIF(S15_Source_Strata!$B$4:$B$49,$G28,S15_Source_Strata!$AF$4:$AF$49),0)</x:f>
        <x:v>127.55365888130927</x:v>
      </x:c>
      <x:c r="AF28" s="164" t="n">
        <x:f aca="0">IFERROR(SUMIF(S15_Source_Strata!$B$4:$B$49,$G28,S15_Source_Strata!$AG$4:$AG$49),0)</x:f>
        <x:v>140.78023040839582</x:v>
      </x:c>
      <x:c r="AG28" s="164" t="n">
        <x:f aca="0">IFERROR(SUMIF(S15_Source_Strata!$B$4:$B$49,$G28,S15_Source_Strata!$AH$4:$AH$49),0)</x:f>
        <x:v>153.12684259243687</x:v>
      </x:c>
      <x:c r="AH28" s="164" t="n">
        <x:f aca="0">IFERROR(SUMIF(S15_Source_Strata!$B$4:$B$49,$G28,S15_Source_Strata!$AI$4:$AI$49),0)</x:f>
        <x:v>164.54523058648772</x:v>
      </x:c>
      <x:c r="AI28" s="164" t="n">
        <x:f aca="0">IFERROR(SUMIF(S15_Source_Strata!$B$4:$B$49,$G28,S15_Source_Strata!$AJ$4:$AJ$49),0)</x:f>
        <x:v>175.02431434704488</x:v>
      </x:c>
      <x:c r="AJ28" s="164" t="n">
        <x:f aca="0">IFERROR(SUMIF(S15_Source_Strata!$B$4:$B$49,$G28,S15_Source_Strata!$AK$4:$AK$49),0)</x:f>
        <x:v>184.58022578167706</x:v>
      </x:c>
      <x:c r="AK28" s="164" t="n">
        <x:f aca="0">IFERROR(SUMIF(S15_Source_Strata!$B$4:$B$49,$G28,S15_Source_Strata!$AL$4:$AL$49),0)</x:f>
        <x:v>193.2481367498435</x:v>
      </x:c>
      <x:c r="AL28" s="165" t="n">
        <x:f aca="0">$F28*Q28</x:f>
        <x:v>0</x:v>
      </x:c>
      <x:c r="AM28" s="165" t="n">
        <x:f aca="0">$F28*R28</x:f>
        <x:v>0</x:v>
      </x:c>
      <x:c r="AN28" s="165" t="n">
        <x:f aca="0">$F28*S28</x:f>
        <x:v>1.05714820297919</x:v>
      </x:c>
      <x:c r="AO28" s="165" t="n">
        <x:f aca="0">$F28*T28</x:f>
        <x:v>12.768002512872979</x:v>
      </x:c>
      <x:c r="AP28" s="165" t="n">
        <x:f aca="0">$F28*U28</x:f>
        <x:v>49.09494012033308</x:v>
      </x:c>
      <x:c r="AQ28" s="165" t="n">
        <x:f aca="0">$F28*V28</x:f>
        <x:v>119.4067116220873</x:v>
      </x:c>
      <x:c r="AR28" s="165" t="n">
        <x:f aca="0">$F28*W28</x:f>
        <x:v>225.54922480887032</x:v>
      </x:c>
      <x:c r="AS28" s="165" t="n">
        <x:f aca="0">$F28*X28</x:f>
        <x:v>364.15701338484837</x:v>
      </x:c>
      <x:c r="AT28" s="165" t="n">
        <x:f aca="0">$F28*Y28</x:f>
        <x:v>528.8332025982535</x:v>
      </x:c>
      <x:c r="AU28" s="165" t="n">
        <x:f aca="0">$F28*Z28</x:f>
        <x:v>712.0391105618568</x:v>
      </x:c>
      <x:c r="AV28" s="165" t="n">
        <x:f aca="0">$F28*AA28</x:f>
        <x:v>906.3549426174276</x:v>
      </x:c>
      <x:c r="AW28" s="165" t="n">
        <x:f aca="0">$F28*AB28</x:f>
        <x:v>1105.1929442754242</x:v>
      </x:c>
      <x:c r="AX28" s="165" t="n">
        <x:f aca="0">$F28*AC28</x:f>
        <x:v>1303.1159123159307</x:v>
      </x:c>
      <x:c r="AY28" s="165" t="n">
        <x:f aca="0">$F28*AD28</x:f>
        <x:v>1495.9030958051364</x:v>
      </x:c>
      <x:c r="AZ28" s="165" t="n">
        <x:f aca="0">$F28*AE28</x:f>
        <x:v>1680.4715315132178</x:v>
      </x:c>
      <x:c r="BA28" s="165" t="n">
        <x:f aca="0">$F28*AF28</x:f>
        <x:v>1854.7266419171829</x:v>
      </x:c>
      <x:c r="BB28" s="165" t="n">
        <x:f aca="0">$F28*AG28</x:f>
        <x:v>2017.3886185933807</x:v>
      </x:c>
      <x:c r="BC28" s="165" t="n">
        <x:f aca="0">$F28*AH28</x:f>
        <x:v>2167.8215903173027</x:v>
      </x:c>
      <x:c r="BD28" s="165" t="n">
        <x:f aca="0">$F28*AI28</x:f>
        <x:v>2305.8795816787656</x:v>
      </x:c>
      <x:c r="BE28" s="165" t="n">
        <x:f aca="0">$F28*AJ28</x:f>
        <x:v>2431.7751244989336</x:v>
      </x:c>
      <x:c r="BF28" s="165" t="n">
        <x:f aca="0">$F28*AK28</x:f>
        <x:v>2545.9715948114704</x:v>
      </x:c>
    </x:row>
    <x:row r="29" ht="15" hidden="0" customHeight="1">
      <x:c r="A29" s="37" t="str">
        <x:v>Tropical &amp; Subtropical Moist Broadleaf Forests</x:v>
      </x:c>
      <x:c r="B29" s="37" t="s">
        <x:v>111</x:v>
      </x:c>
      <x:c r="C29" s="37" t="s">
        <x:v>542</x:v>
      </x:c>
      <x:c r="D29" s="37" t="n">
        <x:v>2021</x:v>
      </x:c>
      <x:c r="E29" s="100" t="n">
        <x:v>4</x:v>
      </x:c>
      <x:c r="F29" s="100" t="n">
        <x:v>1.4866</x:v>
      </x:c>
      <x:c r="G29" s="37" t="s">
        <x:v>1108</x:v>
      </x:c>
      <x:c r="H29" s="37" t="n">
        <x:v>0</x:v>
      </x:c>
      <x:c r="I29" s="37" t="s">
        <x:v>1185</x:v>
      </x:c>
      <x:c r="J29" s="37" t="str">
        <x:v>Tropical &amp; Subtropical Moist Broadleaf Forests|2021</x:v>
      </x:c>
      <x:c r="K29" s="37" t="str">
        <x:v>Area × biological stock; VM0047 Eq.(3); PB separately by Biome×Cohort</x:v>
      </x:c>
      <x:c r="Q29" s="164" t="n">
        <x:f aca="0">IFERROR(SUMIF(S15_Source_Strata!$B$4:$B$49,$G29,S15_Source_Strata!$R$4:$R$49),0)</x:f>
        <x:v>0</x:v>
      </x:c>
      <x:c r="R29" s="164" t="n">
        <x:f aca="0">IFERROR(SUMIF(S15_Source_Strata!$B$4:$B$49,$G29,S15_Source_Strata!$S$4:$S$49),0)</x:f>
        <x:v>0</x:v>
      </x:c>
      <x:c r="S29" s="164" t="n">
        <x:f aca="0">IFERROR(SUMIF(S15_Source_Strata!$B$4:$B$49,$G29,S15_Source_Strata!$T$4:$T$49),0)</x:f>
        <x:v>0.08843419078662754</x:v>
      </x:c>
      <x:c r="T29" s="164" t="n">
        <x:f aca="0">IFERROR(SUMIF(S15_Source_Strata!$B$4:$B$49,$G29,S15_Source_Strata!$U$4:$U$49),0)</x:f>
        <x:v>1.1000414117303818</x:v>
      </x:c>
      <x:c r="U29" s="164" t="n">
        <x:f aca="0">IFERROR(SUMIF(S15_Source_Strata!$B$4:$B$49,$G29,S15_Source_Strata!$V$4:$V$49),0)</x:f>
        <x:v>4.1668905223899095</x:v>
      </x:c>
      <x:c r="V29" s="164" t="n">
        <x:f aca="0">IFERROR(SUMIF(S15_Source_Strata!$B$4:$B$49,$G29,S15_Source_Strata!$W$4:$W$49),0)</x:f>
        <x:v>9.829374822629461</x:v>
      </x:c>
      <x:c r="W29" s="164" t="n">
        <x:f aca="0">IFERROR(SUMIF(S15_Source_Strata!$B$4:$B$49,$G29,S15_Source_Strata!$X$4:$X$49),0)</x:f>
        <x:v>17.892712114772408</x:v>
      </x:c>
      <x:c r="X29" s="164" t="n">
        <x:f aca="0">IFERROR(SUMIF(S15_Source_Strata!$B$4:$B$49,$G29,S15_Source_Strata!$Y$4:$Y$49),0)</x:f>
        <x:v>27.774290189779645</x:v>
      </x:c>
      <x:c r="Y29" s="164" t="n">
        <x:f aca="0">IFERROR(SUMIF(S15_Source_Strata!$B$4:$B$49,$G29,S15_Source_Strata!$Z$4:$Z$49),0)</x:f>
        <x:v>38.76954120331893</x:v>
      </x:c>
      <x:c r="Z29" s="164" t="n">
        <x:f aca="0">IFERROR(SUMIF(S15_Source_Strata!$B$4:$B$49,$G29,S15_Source_Strata!$AA$4:$AA$49),0)</x:f>
        <x:v>50.22338492311939</x:v>
      </x:c>
      <x:c r="AA29" s="164" t="n">
        <x:f aca="0">IFERROR(SUMIF(S15_Source_Strata!$B$4:$B$49,$G29,S15_Source_Strata!$AB$4:$AB$49),0)</x:f>
        <x:v>61.60837691376501</x:v>
      </x:c>
      <x:c r="AB29" s="164" t="n">
        <x:f aca="0">IFERROR(SUMIF(S15_Source_Strata!$B$4:$B$49,$G29,S15_Source_Strata!$AC$4:$AC$49),0)</x:f>
        <x:v>72.54304541687709</x:v>
      </x:c>
      <x:c r="AC29" s="164" t="n">
        <x:f aca="0">IFERROR(SUMIF(S15_Source_Strata!$B$4:$B$49,$G29,S15_Source_Strata!$AD$4:$AD$49),0)</x:f>
        <x:v>82.77910053366851</x:v>
      </x:c>
      <x:c r="AD29" s="164" t="n">
        <x:f aca="0">IFERROR(SUMIF(S15_Source_Strata!$B$4:$B$49,$G29,S15_Source_Strata!$AE$4:$AE$49),0)</x:f>
        <x:v>92.17626812269735</x:v>
      </x:c>
      <x:c r="AE29" s="164" t="n">
        <x:f aca="0">IFERROR(SUMIF(S15_Source_Strata!$B$4:$B$49,$G29,S15_Source_Strata!$AF$4:$AF$49),0)</x:f>
        <x:v>100.67516538222455</x:v>
      </x:c>
      <x:c r="AF29" s="164" t="n">
        <x:f aca="0">IFERROR(SUMIF(S15_Source_Strata!$B$4:$B$49,$G29,S15_Source_Strata!$AG$4:$AG$49),0)</x:f>
        <x:v>108.27311915182199</x:v>
      </x:c>
      <x:c r="AG29" s="164" t="n">
        <x:f aca="0">IFERROR(SUMIF(S15_Source_Strata!$B$4:$B$49,$G29,S15_Source_Strata!$AH$4:$AH$49),0)</x:f>
        <x:v>115.00464533368721</x:v>
      </x:c>
      <x:c r="AH29" s="164" t="n">
        <x:f aca="0">IFERROR(SUMIF(S15_Source_Strata!$B$4:$B$49,$G29,S15_Source_Strata!$AI$4:$AI$49),0)</x:f>
        <x:v>120.92668155665598</x:v>
      </x:c>
      <x:c r="AI29" s="164" t="n">
        <x:f aca="0">IFERROR(SUMIF(S15_Source_Strata!$B$4:$B$49,$G29,S15_Source_Strata!$AJ$4:$AJ$49),0)</x:f>
        <x:v>126.1079590032203</x:v>
      </x:c>
      <x:c r="AJ29" s="164" t="n">
        <x:f aca="0">IFERROR(SUMIF(S15_Source_Strata!$B$4:$B$49,$G29,S15_Source_Strata!$AK$4:$AK$49),0)</x:f>
        <x:v>130.62168649784536</x:v>
      </x:c>
      <x:c r="AK29" s="164" t="n">
        <x:f aca="0">IFERROR(SUMIF(S15_Source_Strata!$B$4:$B$49,$G29,S15_Source_Strata!$AL$4:$AL$49),0)</x:f>
        <x:v>134.54074406676037</x:v>
      </x:c>
      <x:c r="AL29" s="165" t="n">
        <x:f aca="0">$F29*Q29</x:f>
        <x:v>0</x:v>
      </x:c>
      <x:c r="AM29" s="165" t="n">
        <x:f aca="0">$F29*R29</x:f>
        <x:v>0</x:v>
      </x:c>
      <x:c r="AN29" s="165" t="n">
        <x:f aca="0">$F29*S29</x:f>
        <x:v>0.1314662680234005</x:v>
      </x:c>
      <x:c r="AO29" s="165" t="n">
        <x:f aca="0">$F29*T29</x:f>
        <x:v>1.6353215626783855</x:v>
      </x:c>
      <x:c r="AP29" s="165" t="n">
        <x:f aca="0">$F29*U29</x:f>
        <x:v>6.194499450584839</x:v>
      </x:c>
      <x:c r="AQ29" s="165" t="n">
        <x:f aca="0">$F29*V29</x:f>
        <x:v>14.612348611320956</x:v>
      </x:c>
      <x:c r="AR29" s="165" t="n">
        <x:f aca="0">$F29*W29</x:f>
        <x:v>26.59930582982066</x:v>
      </x:c>
      <x:c r="AS29" s="165" t="n">
        <x:f aca="0">$F29*X29</x:f>
        <x:v>41.289259796126416</x:v>
      </x:c>
      <x:c r="AT29" s="165" t="n">
        <x:f aca="0">$F29*Y29</x:f>
        <x:v>57.63479995285392</x:v>
      </x:c>
      <x:c r="AU29" s="165" t="n">
        <x:f aca="0">$F29*Z29</x:f>
        <x:v>74.66208402670928</x:v>
      </x:c>
      <x:c r="AV29" s="165" t="n">
        <x:f aca="0">$F29*AA29</x:f>
        <x:v>91.58701312000305</x:v>
      </x:c>
      <x:c r="AW29" s="165" t="n">
        <x:f aca="0">$F29*AB29</x:f>
        <x:v>107.84249131672948</x:v>
      </x:c>
      <x:c r="AX29" s="165" t="n">
        <x:f aca="0">$F29*AC29</x:f>
        <x:v>123.05941085335161</x:v>
      </x:c>
      <x:c r="AY29" s="165" t="n">
        <x:f aca="0">$F29*AD29</x:f>
        <x:v>137.02924019120186</x:v>
      </x:c>
      <x:c r="AZ29" s="165" t="n">
        <x:f aca="0">$F29*AE29</x:f>
        <x:v>149.66370085721502</x:v>
      </x:c>
      <x:c r="BA29" s="165" t="n">
        <x:f aca="0">$F29*AF29</x:f>
        <x:v>160.95881893109856</x:v>
      </x:c>
      <x:c r="BB29" s="165" t="n">
        <x:f aca="0">$F29*AG29</x:f>
        <x:v>170.9659057530594</x:v>
      </x:c>
      <x:c r="BC29" s="165" t="n">
        <x:f aca="0">$F29*AH29</x:f>
        <x:v>179.76960480212477</x:v>
      </x:c>
      <x:c r="BD29" s="165" t="n">
        <x:f aca="0">$F29*AI29</x:f>
        <x:v>187.47209185418728</x:v>
      </x:c>
      <x:c r="BE29" s="165" t="n">
        <x:f aca="0">$F29*AJ29</x:f>
        <x:v>194.1821991476969</x:v>
      </x:c>
      <x:c r="BF29" s="165" t="n">
        <x:f aca="0">$F29*AK29</x:f>
        <x:v>200.00827012964595</x:v>
      </x:c>
    </x:row>
    <x:row r="30" ht="15" hidden="0" customHeight="1">
      <x:c r="A30" s="37" t="str">
        <x:v>Tropical &amp; Subtropical Moist Broadleaf Forests</x:v>
      </x:c>
      <x:c r="B30" s="37" t="s">
        <x:v>111</x:v>
      </x:c>
      <x:c r="C30" s="37" t="s">
        <x:v>549</x:v>
      </x:c>
      <x:c r="D30" s="37" t="n">
        <x:v>2022</x:v>
      </x:c>
      <x:c r="E30" s="100" t="n">
        <x:v>2</x:v>
      </x:c>
      <x:c r="F30" s="100" t="n">
        <x:v>1.219</x:v>
      </x:c>
      <x:c r="G30" s="37" t="s">
        <x:v>1113</x:v>
      </x:c>
      <x:c r="H30" s="37" t="n">
        <x:v>0</x:v>
      </x:c>
      <x:c r="I30" s="37" t="s">
        <x:v>1185</x:v>
      </x:c>
      <x:c r="J30" s="37" t="str">
        <x:v>Tropical &amp; Subtropical Moist Broadleaf Forests|2022</x:v>
      </x:c>
      <x:c r="K30" s="37" t="str">
        <x:v>Area × biological stock; VM0047 Eq.(3); PB separately by Biome×Cohort</x:v>
      </x:c>
      <x:c r="Q30" s="164" t="n">
        <x:f aca="0">IFERROR(SUMIF(S15_Source_Strata!$B$4:$B$49,$G30,S15_Source_Strata!$R$4:$R$49),0)</x:f>
        <x:v>0</x:v>
      </x:c>
      <x:c r="R30" s="164" t="n">
        <x:f aca="0">IFERROR(SUMIF(S15_Source_Strata!$B$4:$B$49,$G30,S15_Source_Strata!$S$4:$S$49),0)</x:f>
        <x:v>0</x:v>
      </x:c>
      <x:c r="S30" s="164" t="n">
        <x:f aca="0">IFERROR(SUMIF(S15_Source_Strata!$B$4:$B$49,$G30,S15_Source_Strata!$T$4:$T$49),0)</x:f>
        <x:v>0</x:v>
      </x:c>
      <x:c r="T30" s="164" t="n">
        <x:f aca="0">IFERROR(SUMIF(S15_Source_Strata!$B$4:$B$49,$G30,S15_Source_Strata!$U$4:$U$49),0)</x:f>
        <x:v>0.041887249891712</x:v>
      </x:c>
      <x:c r="U30" s="164" t="n">
        <x:f aca="0">IFERROR(SUMIF(S15_Source_Strata!$B$4:$B$49,$G30,S15_Source_Strata!$V$4:$V$49),0)</x:f>
        <x:v>0.5006911820948761</x:v>
      </x:c>
      <x:c r="V30" s="164" t="n">
        <x:f aca="0">IFERROR(SUMIF(S15_Source_Strata!$B$4:$B$49,$G30,S15_Source_Strata!$W$4:$W$49),0)</x:f>
        <x:v>1.9160435894217756</x:v>
      </x:c>
      <x:c r="W30" s="164" t="n">
        <x:f aca="0">IFERROR(SUMIF(S15_Source_Strata!$B$4:$B$49,$G30,S15_Source_Strata!$X$4:$X$49),0)</x:f>
        <x:v>4.648002141175279</x:v>
      </x:c>
      <x:c r="X30" s="164" t="n">
        <x:f aca="0">IFERROR(SUMIF(S15_Source_Strata!$B$4:$B$49,$G30,S15_Source_Strata!$Y$4:$Y$49),0)</x:f>
        <x:v>8.765836201233046</x:v>
      </x:c>
      <x:c r="Y30" s="164" t="n">
        <x:f aca="0">IFERROR(SUMIF(S15_Source_Strata!$B$4:$B$49,$G30,S15_Source_Strata!$Z$4:$Z$49),0)</x:f>
        <x:v>14.137731009696834</x:v>
      </x:c>
      <x:c r="Z30" s="164" t="n">
        <x:f aca="0">IFERROR(SUMIF(S15_Source_Strata!$B$4:$B$49,$G30,S15_Source_Strata!$AA$4:$AA$49),0)</x:f>
        <x:v>20.514687829934044</x:v>
      </x:c>
      <x:c r="AA30" s="164" t="n">
        <x:f aca="0">IFERROR(SUMIF(S15_Source_Strata!$B$4:$B$49,$G30,S15_Source_Strata!$AB$4:$AB$49),0)</x:f>
        <x:v>27.60358895515498</x:v>
      </x:c>
      <x:c r="AB30" s="164" t="n">
        <x:f aca="0">IFERROR(SUMIF(S15_Source_Strata!$B$4:$B$49,$G30,S15_Source_Strata!$AC$4:$AC$49),0)</x:f>
        <x:v>35.11614902570361</x:v>
      </x:c>
      <x:c r="AC30" s="164" t="n">
        <x:f aca="0">IFERROR(SUMIF(S15_Source_Strata!$B$4:$B$49,$G30,S15_Source_Strata!$AD$4:$AD$49),0)</x:f>
        <x:v>42.796694831673534</x:v>
      </x:c>
      <x:c r="AD30" s="164" t="n">
        <x:f aca="0">IFERROR(SUMIF(S15_Source_Strata!$B$4:$B$49,$G30,S15_Source_Strata!$AE$4:$AE$49),0)</x:f>
        <x:v>50.43458352773399</x:v>
      </x:c>
      <x:c r="AE30" s="164" t="n">
        <x:f aca="0">IFERROR(SUMIF(S15_Source_Strata!$B$4:$B$49,$G30,S15_Source_Strata!$AF$4:$AF$49),0)</x:f>
        <x:v>57.8667406233523</x:v>
      </x:c>
      <x:c r="AF30" s="164" t="n">
        <x:f aca="0">IFERROR(SUMIF(S15_Source_Strata!$B$4:$B$49,$G30,S15_Source_Strata!$AG$4:$AG$49),0)</x:f>
        <x:v>64.97452870620393</x:v>
      </x:c>
      <x:c r="AG30" s="164" t="n">
        <x:f aca="0">IFERROR(SUMIF(S15_Source_Strata!$B$4:$B$49,$G30,S15_Source_Strata!$AH$4:$AH$49),0)</x:f>
        <x:v>71.67784329965413</x:v>
      </x:c>
      <x:c r="AH30" s="164" t="n">
        <x:f aca="0">IFERROR(SUMIF(S15_Source_Strata!$B$4:$B$49,$G30,S15_Source_Strata!$AI$4:$AI$49),0)</x:f>
        <x:v>77.92826810156097</x:v>
      </x:c>
      <x:c r="AI30" s="164" t="n">
        <x:f aca="0">IFERROR(SUMIF(S15_Source_Strata!$B$4:$B$49,$G30,S15_Source_Strata!$AJ$4:$AJ$49),0)</x:f>
        <x:v>83.70235418006737</x:v>
      </x:c>
      <x:c r="AJ30" s="164" t="n">
        <x:f aca="0">IFERROR(SUMIF(S15_Source_Strata!$B$4:$B$49,$G30,S15_Source_Strata!$AK$4:$AK$49),0)</x:f>
        <x:v>88.99557408183094</x:v>
      </x:c>
      <x:c r="AK30" s="164" t="n">
        <x:f aca="0">IFERROR(SUMIF(S15_Source_Strata!$B$4:$B$49,$G30,S15_Source_Strata!$AL$4:$AL$49),0)</x:f>
        <x:v>93.81717915983346</x:v>
      </x:c>
      <x:c r="AL30" s="165" t="n">
        <x:f aca="0">$F30*Q30</x:f>
        <x:v>0</x:v>
      </x:c>
      <x:c r="AM30" s="165" t="n">
        <x:f aca="0">$F30*R30</x:f>
        <x:v>0</x:v>
      </x:c>
      <x:c r="AN30" s="165" t="n">
        <x:f aca="0">$F30*S30</x:f>
        <x:v>0</x:v>
      </x:c>
      <x:c r="AO30" s="165" t="n">
        <x:f aca="0">$F30*T30</x:f>
        <x:v>0.05106055761799693</x:v>
      </x:c>
      <x:c r="AP30" s="165" t="n">
        <x:f aca="0">$F30*U30</x:f>
        <x:v>0.610342550973654</x:v>
      </x:c>
      <x:c r="AQ30" s="165" t="n">
        <x:f aca="0">$F30*V30</x:f>
        <x:v>2.3356571355051448</x:v>
      </x:c>
      <x:c r="AR30" s="165" t="n">
        <x:f aca="0">$F30*W30</x:f>
        <x:v>5.665914610092666</x:v>
      </x:c>
      <x:c r="AS30" s="165" t="n">
        <x:f aca="0">$F30*X30</x:f>
        <x:v>10.685554329303084</x:v>
      </x:c>
      <x:c r="AT30" s="165" t="n">
        <x:f aca="0">$F30*Y30</x:f>
        <x:v>17.233894100820443</x:v>
      </x:c>
      <x:c r="AU30" s="165" t="n">
        <x:f aca="0">$F30*Z30</x:f>
        <x:v>25.0074044646896</x:v>
      </x:c>
      <x:c r="AV30" s="165" t="n">
        <x:f aca="0">$F30*AA30</x:f>
        <x:v>33.64877493633392</x:v>
      </x:c>
      <x:c r="AW30" s="165" t="n">
        <x:f aca="0">$F30*AB30</x:f>
        <x:v>42.80658566233271</x:v>
      </x:c>
      <x:c r="AX30" s="165" t="n">
        <x:f aca="0">$F30*AC30</x:f>
        <x:v>52.16917099981004</x:v>
      </x:c>
      <x:c r="AY30" s="165" t="n">
        <x:f aca="0">$F30*AD30</x:f>
        <x:v>61.47975732030774</x:v>
      </x:c>
      <x:c r="AZ30" s="165" t="n">
        <x:f aca="0">$F30*AE30</x:f>
        <x:v>70.53955681986646</x:v>
      </x:c>
      <x:c r="BA30" s="165" t="n">
        <x:f aca="0">$F30*AF30</x:f>
        <x:v>79.20395049286259</x:v>
      </x:c>
      <x:c r="BB30" s="165" t="n">
        <x:f aca="0">$F30*AG30</x:f>
        <x:v>87.37529098227839</x:v>
      </x:c>
      <x:c r="BC30" s="165" t="n">
        <x:f aca="0">$F30*AH30</x:f>
        <x:v>94.99455881580283</x:v>
      </x:c>
      <x:c r="BD30" s="165" t="n">
        <x:f aca="0">$F30*AI30</x:f>
        <x:v>102.03316974550214</x:v>
      </x:c>
      <x:c r="BE30" s="165" t="n">
        <x:f aca="0">$F30*AJ30</x:f>
        <x:v>108.48560480575192</x:v>
      </x:c>
      <x:c r="BF30" s="165" t="n">
        <x:f aca="0">$F30*AK30</x:f>
        <x:v>114.36314139583699</x:v>
      </x:c>
    </x:row>
    <x:row r="31" ht="15" hidden="0" customHeight="1">
      <x:c r="A31" s="37" t="str">
        <x:v>Tropical &amp; Subtropical Moist Broadleaf Forests</x:v>
      </x:c>
      <x:c r="B31" s="37" t="s">
        <x:v>111</x:v>
      </x:c>
      <x:c r="C31" s="37" t="s">
        <x:v>553</x:v>
      </x:c>
      <x:c r="D31" s="37" t="n">
        <x:v>2022</x:v>
      </x:c>
      <x:c r="E31" s="100" t="n">
        <x:v>3</x:v>
      </x:c>
      <x:c r="F31" s="100" t="n">
        <x:v>1.8345</x:v>
      </x:c>
      <x:c r="G31" s="37" t="s">
        <x:v>568</x:v>
      </x:c>
      <x:c r="H31" s="37" t="n">
        <x:v>2</x:v>
      </x:c>
      <x:c r="I31" s="37" t="s">
        <x:v>1180</x:v>
      </x:c>
      <x:c r="J31" s="37" t="str">
        <x:v>Tropical &amp; Subtropical Moist Broadleaf Forests|2022</x:v>
      </x:c>
      <x:c r="K31" s="37" t="str">
        <x:v>Area × biological stock; VM0047 Eq.(3); PB separately by Biome×Cohort</x:v>
      </x:c>
      <x:c r="Q31" s="164" t="n">
        <x:f aca="0">IFERROR(SUMIF(S15_Source_Strata!$B$4:$B$49,$G31,S15_Source_Strata!$R$4:$R$49),0)</x:f>
        <x:v>0</x:v>
      </x:c>
      <x:c r="R31" s="164" t="n">
        <x:f aca="0">IFERROR(SUMIF(S15_Source_Strata!$B$4:$B$49,$G31,S15_Source_Strata!$S$4:$S$49),0)</x:f>
        <x:v>0</x:v>
      </x:c>
      <x:c r="S31" s="164" t="n">
        <x:f aca="0">IFERROR(SUMIF(S15_Source_Strata!$B$4:$B$49,$G31,S15_Source_Strata!$T$4:$T$49),0)</x:f>
        <x:v>0</x:v>
      </x:c>
      <x:c r="T31" s="164" t="n">
        <x:f aca="0">IFERROR(SUMIF(S15_Source_Strata!$B$4:$B$49,$G31,S15_Source_Strata!$U$4:$U$49),0)</x:f>
        <x:v>0.06743395447797437</x:v>
      </x:c>
      <x:c r="U31" s="164" t="n">
        <x:f aca="0">IFERROR(SUMIF(S15_Source_Strata!$B$4:$B$49,$G31,S15_Source_Strata!$V$4:$V$49),0)</x:f>
        <x:v>0.8115170008152799</x:v>
      </x:c>
      <x:c r="V31" s="164" t="n">
        <x:f aca="0">IFERROR(SUMIF(S15_Source_Strata!$B$4:$B$49,$G31,S15_Source_Strata!$W$4:$W$49),0)</x:f>
        <x:v>3.064704737571068</x:v>
      </x:c>
      <x:c r="W31" s="164" t="n">
        <x:f aca="0">IFERROR(SUMIF(S15_Source_Strata!$B$4:$B$49,$G31,S15_Source_Strata!$X$4:$X$49),0)</x:f>
        <x:v>7.285985624950337</x:v>
      </x:c>
      <x:c r="X31" s="164" t="n">
        <x:f aca="0">IFERROR(SUMIF(S15_Source_Strata!$B$4:$B$49,$G31,S15_Source_Strata!$Y$4:$Y$49),0)</x:f>
        <x:v>13.432077652040693</x:v>
      </x:c>
      <x:c r="Y31" s="164" t="n">
        <x:f aca="0">IFERROR(SUMIF(S15_Source_Strata!$B$4:$B$49,$G31,S15_Source_Strata!$Z$4:$Z$49),0)</x:f>
        <x:v>21.164212915183775</x:v>
      </x:c>
      <x:c r="Z31" s="164" t="n">
        <x:f aca="0">IFERROR(SUMIF(S15_Source_Strata!$B$4:$B$49,$G31,S15_Source_Strata!$AA$4:$AA$49),0)</x:f>
        <x:v>30.01504494949459</x:v>
      </x:c>
      <x:c r="AA31" s="164" t="n">
        <x:f aca="0">IFERROR(SUMIF(S15_Source_Strata!$B$4:$B$49,$G31,S15_Source_Strata!$AB$4:$AB$49),0)</x:f>
        <x:v>39.50947727002183</x:v>
      </x:c>
      <x:c r="AB31" s="164" t="n">
        <x:f aca="0">IFERROR(SUMIF(S15_Source_Strata!$B$4:$B$49,$G31,S15_Source_Strata!$AC$4:$AC$49),0)</x:f>
        <x:v>49.23060085166818</x:v>
      </x:c>
      <x:c r="AC31" s="164" t="n">
        <x:f aca="0">IFERROR(SUMIF(S15_Source_Strata!$B$4:$B$49,$G31,S15_Source_Strata!$AD$4:$AD$49),0)</x:f>
        <x:v>58.84630285237273</x:v>
      </x:c>
      <x:c r="AD31" s="164" t="n">
        <x:f aca="0">IFERROR(SUMIF(S15_Source_Strata!$B$4:$B$49,$G31,S15_Source_Strata!$AE$4:$AE$49),0)</x:f>
        <x:v>68.11226048381648</x:v>
      </x:c>
      <x:c r="AE31" s="164" t="n">
        <x:f aca="0">IFERROR(SUMIF(S15_Source_Strata!$B$4:$B$49,$G31,S15_Source_Strata!$AF$4:$AF$49),0)</x:f>
        <x:v>76.86286166394001</x:v>
      </x:c>
      <x:c r="AF31" s="164" t="n">
        <x:f aca="0">IFERROR(SUMIF(S15_Source_Strata!$B$4:$B$49,$G31,S15_Source_Strata!$AG$4:$AG$49),0)</x:f>
        <x:v>84.99734192240612</x:v>
      </x:c>
      <x:c r="AG31" s="164" t="n">
        <x:f aca="0">IFERROR(SUMIF(S15_Source_Strata!$B$4:$B$49,$G31,S15_Source_Strata!$AH$4:$AH$49),0)</x:f>
        <x:v>92.4652433877896</x:v>
      </x:c>
      <x:c r="AH31" s="164" t="n">
        <x:f aca="0">IFERROR(SUMIF(S15_Source_Strata!$B$4:$B$49,$G31,S15_Source_Strata!$AI$4:$AI$49),0)</x:f>
        <x:v>99.25322623894684</x:v>
      </x:c>
      <x:c r="AI31" s="164" t="n">
        <x:f aca="0">IFERROR(SUMIF(S15_Source_Strata!$B$4:$B$49,$G31,S15_Source_Strata!$AJ$4:$AJ$49),0)</x:f>
        <x:v>105.37403100620998</x:v>
      </x:c>
      <x:c r="AJ31" s="164" t="n">
        <x:f aca="0">IFERROR(SUMIF(S15_Source_Strata!$B$4:$B$49,$G31,S15_Source_Strata!$AK$4:$AK$49),0)</x:f>
        <x:v>110.85772028876467</x:v>
      </x:c>
      <x:c r="AK31" s="164" t="n">
        <x:f aca="0">IFERROR(SUMIF(S15_Source_Strata!$B$4:$B$49,$G31,S15_Source_Strata!$AL$4:$AL$49),0)</x:f>
        <x:v>115.74500348381126</x:v>
      </x:c>
      <x:c r="AL31" s="165" t="n">
        <x:f aca="0">$F31*Q31</x:f>
        <x:v>0</x:v>
      </x:c>
      <x:c r="AM31" s="165" t="n">
        <x:f aca="0">$F31*R31</x:f>
        <x:v>0</x:v>
      </x:c>
      <x:c r="AN31" s="165" t="n">
        <x:f aca="0">$F31*S31</x:f>
        <x:v>0</x:v>
      </x:c>
      <x:c r="AO31" s="165" t="n">
        <x:f aca="0">$F31*T31</x:f>
        <x:v>0.12370758948984399</x:v>
      </x:c>
      <x:c r="AP31" s="165" t="n">
        <x:f aca="0">$F31*U31</x:f>
        <x:v>1.488727937995631</x:v>
      </x:c>
      <x:c r="AQ31" s="165" t="n">
        <x:f aca="0">$F31*V31</x:f>
        <x:v>5.622200841074124</x:v>
      </x:c>
      <x:c r="AR31" s="165" t="n">
        <x:f aca="0">$F31*W31</x:f>
        <x:v>13.366140628971394</x:v>
      </x:c>
      <x:c r="AS31" s="165" t="n">
        <x:f aca="0">$F31*X31</x:f>
        <x:v>24.64114645266865</x:v>
      </x:c>
      <x:c r="AT31" s="165" t="n">
        <x:f aca="0">$F31*Y31</x:f>
        <x:v>38.82574859290464</x:v>
      </x:c>
      <x:c r="AU31" s="165" t="n">
        <x:f aca="0">$F31*Z31</x:f>
        <x:v>55.06259995984783</x:v>
      </x:c>
      <x:c r="AV31" s="165" t="n">
        <x:f aca="0">$F31*AA31</x:f>
        <x:v>72.48013605185506</x:v>
      </x:c>
      <x:c r="AW31" s="165" t="n">
        <x:f aca="0">$F31*AB31</x:f>
        <x:v>90.31353726238527</x:v>
      </x:c>
      <x:c r="AX31" s="165" t="n">
        <x:f aca="0">$F31*AC31</x:f>
        <x:v>107.95354258267777</x:v>
      </x:c>
      <x:c r="AY31" s="165" t="n">
        <x:f aca="0">$F31*AD31</x:f>
        <x:v>124.95194185756134</x:v>
      </x:c>
      <x:c r="AZ31" s="165" t="n">
        <x:f aca="0">$F31*AE31</x:f>
        <x:v>141.00491972249796</x:v>
      </x:c>
      <x:c r="BA31" s="165" t="n">
        <x:f aca="0">$F31*AF31</x:f>
        <x:v>155.92762375665404</x:v>
      </x:c>
      <x:c r="BB31" s="165" t="n">
        <x:f aca="0">$F31*AG31</x:f>
        <x:v>169.62748899490003</x:v>
      </x:c>
      <x:c r="BC31" s="165" t="n">
        <x:f aca="0">$F31*AH31</x:f>
        <x:v>182.08004353534798</x:v>
      </x:c>
      <x:c r="BD31" s="165" t="n">
        <x:f aca="0">$F31*AI31</x:f>
        <x:v>193.3086598808922</x:v>
      </x:c>
      <x:c r="BE31" s="165" t="n">
        <x:f aca="0">$F31*AJ31</x:f>
        <x:v>203.36848786973877</x:v>
      </x:c>
      <x:c r="BF31" s="165" t="n">
        <x:f aca="0">$F31*AK31</x:f>
        <x:v>212.33420889105176</x:v>
      </x:c>
    </x:row>
    <x:row r="32" ht="15" hidden="0" customHeight="1">
      <x:c r="A32" s="37" t="str">
        <x:v>Tropical &amp; Subtropical Moist Broadleaf Forests</x:v>
      </x:c>
      <x:c r="B32" s="37" t="s">
        <x:v>111</x:v>
      </x:c>
      <x:c r="C32" s="37" t="s">
        <x:v>542</x:v>
      </x:c>
      <x:c r="D32" s="37" t="n">
        <x:v>2022</x:v>
      </x:c>
      <x:c r="E32" s="100" t="n">
        <x:v>2</x:v>
      </x:c>
      <x:c r="F32" s="100" t="n">
        <x:v>0.9478</x:v>
      </x:c>
      <x:c r="G32" s="37" t="s">
        <x:v>565</x:v>
      </x:c>
      <x:c r="H32" s="37" t="n">
        <x:v>1</x:v>
      </x:c>
      <x:c r="I32" s="37" t="s">
        <x:v>1180</x:v>
      </x:c>
      <x:c r="J32" s="37" t="str">
        <x:v>Tropical &amp; Subtropical Moist Broadleaf Forests|2022</x:v>
      </x:c>
      <x:c r="K32" s="37" t="str">
        <x:v>Area × biological stock; VM0047 Eq.(3); PB separately by Biome×Cohort</x:v>
      </x:c>
      <x:c r="Q32" s="164" t="n">
        <x:f aca="0">IFERROR(SUMIF(S15_Source_Strata!$B$4:$B$49,$G32,S15_Source_Strata!$R$4:$R$49),0)</x:f>
        <x:v>0</x:v>
      </x:c>
      <x:c r="R32" s="164" t="n">
        <x:f aca="0">IFERROR(SUMIF(S15_Source_Strata!$B$4:$B$49,$G32,S15_Source_Strata!$S$4:$S$49),0)</x:f>
        <x:v>0</x:v>
      </x:c>
      <x:c r="S32" s="164" t="n">
        <x:f aca="0">IFERROR(SUMIF(S15_Source_Strata!$B$4:$B$49,$G32,S15_Source_Strata!$T$4:$T$49),0)</x:f>
        <x:v>0</x:v>
      </x:c>
      <x:c r="T32" s="164" t="n">
        <x:f aca="0">IFERROR(SUMIF(S15_Source_Strata!$B$4:$B$49,$G32,S15_Source_Strata!$U$4:$U$49),0)</x:f>
        <x:v>0.08843419078662754</x:v>
      </x:c>
      <x:c r="U32" s="164" t="n">
        <x:f aca="0">IFERROR(SUMIF(S15_Source_Strata!$B$4:$B$49,$G32,S15_Source_Strata!$V$4:$V$49),0)</x:f>
        <x:v>1.1000414117303818</x:v>
      </x:c>
      <x:c r="V32" s="164" t="n">
        <x:f aca="0">IFERROR(SUMIF(S15_Source_Strata!$B$4:$B$49,$G32,S15_Source_Strata!$W$4:$W$49),0)</x:f>
        <x:v>4.1668905223899095</x:v>
      </x:c>
      <x:c r="W32" s="164" t="n">
        <x:f aca="0">IFERROR(SUMIF(S15_Source_Strata!$B$4:$B$49,$G32,S15_Source_Strata!$X$4:$X$49),0)</x:f>
        <x:v>9.829374822629461</x:v>
      </x:c>
      <x:c r="X32" s="164" t="n">
        <x:f aca="0">IFERROR(SUMIF(S15_Source_Strata!$B$4:$B$49,$G32,S15_Source_Strata!$Y$4:$Y$49),0)</x:f>
        <x:v>17.892712114772408</x:v>
      </x:c>
      <x:c r="Y32" s="164" t="n">
        <x:f aca="0">IFERROR(SUMIF(S15_Source_Strata!$B$4:$B$49,$G32,S15_Source_Strata!$Z$4:$Z$49),0)</x:f>
        <x:v>27.774290189779645</x:v>
      </x:c>
      <x:c r="Z32" s="164" t="n">
        <x:f aca="0">IFERROR(SUMIF(S15_Source_Strata!$B$4:$B$49,$G32,S15_Source_Strata!$AA$4:$AA$49),0)</x:f>
        <x:v>38.76954120331893</x:v>
      </x:c>
      <x:c r="AA32" s="164" t="n">
        <x:f aca="0">IFERROR(SUMIF(S15_Source_Strata!$B$4:$B$49,$G32,S15_Source_Strata!$AB$4:$AB$49),0)</x:f>
        <x:v>50.22338492311939</x:v>
      </x:c>
      <x:c r="AB32" s="164" t="n">
        <x:f aca="0">IFERROR(SUMIF(S15_Source_Strata!$B$4:$B$49,$G32,S15_Source_Strata!$AC$4:$AC$49),0)</x:f>
        <x:v>61.60837691376501</x:v>
      </x:c>
      <x:c r="AC32" s="164" t="n">
        <x:f aca="0">IFERROR(SUMIF(S15_Source_Strata!$B$4:$B$49,$G32,S15_Source_Strata!$AD$4:$AD$49),0)</x:f>
        <x:v>72.54304541687709</x:v>
      </x:c>
      <x:c r="AD32" s="164" t="n">
        <x:f aca="0">IFERROR(SUMIF(S15_Source_Strata!$B$4:$B$49,$G32,S15_Source_Strata!$AE$4:$AE$49),0)</x:f>
        <x:v>82.77910053366851</x:v>
      </x:c>
      <x:c r="AE32" s="164" t="n">
        <x:f aca="0">IFERROR(SUMIF(S15_Source_Strata!$B$4:$B$49,$G32,S15_Source_Strata!$AF$4:$AF$49),0)</x:f>
        <x:v>92.17626812269735</x:v>
      </x:c>
      <x:c r="AF32" s="164" t="n">
        <x:f aca="0">IFERROR(SUMIF(S15_Source_Strata!$B$4:$B$49,$G32,S15_Source_Strata!$AG$4:$AG$49),0)</x:f>
        <x:v>100.67516538222455</x:v>
      </x:c>
      <x:c r="AG32" s="164" t="n">
        <x:f aca="0">IFERROR(SUMIF(S15_Source_Strata!$B$4:$B$49,$G32,S15_Source_Strata!$AH$4:$AH$49),0)</x:f>
        <x:v>108.27311915182199</x:v>
      </x:c>
      <x:c r="AH32" s="164" t="n">
        <x:f aca="0">IFERROR(SUMIF(S15_Source_Strata!$B$4:$B$49,$G32,S15_Source_Strata!$AI$4:$AI$49),0)</x:f>
        <x:v>115.00464533368721</x:v>
      </x:c>
      <x:c r="AI32" s="164" t="n">
        <x:f aca="0">IFERROR(SUMIF(S15_Source_Strata!$B$4:$B$49,$G32,S15_Source_Strata!$AJ$4:$AJ$49),0)</x:f>
        <x:v>120.92668155665598</x:v>
      </x:c>
      <x:c r="AJ32" s="164" t="n">
        <x:f aca="0">IFERROR(SUMIF(S15_Source_Strata!$B$4:$B$49,$G32,S15_Source_Strata!$AK$4:$AK$49),0)</x:f>
        <x:v>126.1079590032203</x:v>
      </x:c>
      <x:c r="AK32" s="164" t="n">
        <x:f aca="0">IFERROR(SUMIF(S15_Source_Strata!$B$4:$B$49,$G32,S15_Source_Strata!$AL$4:$AL$49),0)</x:f>
        <x:v>130.62168649784536</x:v>
      </x:c>
      <x:c r="AL32" s="165" t="n">
        <x:f aca="0">$F32*Q32</x:f>
        <x:v>0</x:v>
      </x:c>
      <x:c r="AM32" s="165" t="n">
        <x:f aca="0">$F32*R32</x:f>
        <x:v>0</x:v>
      </x:c>
      <x:c r="AN32" s="165" t="n">
        <x:f aca="0">$F32*S32</x:f>
        <x:v>0</x:v>
      </x:c>
      <x:c r="AO32" s="165" t="n">
        <x:f aca="0">$F32*T32</x:f>
        <x:v>0.08381792602756558</x:v>
      </x:c>
      <x:c r="AP32" s="165" t="n">
        <x:f aca="0">$F32*U32</x:f>
        <x:v>1.0426192500380558</x:v>
      </x:c>
      <x:c r="AQ32" s="165" t="n">
        <x:f aca="0">$F32*V32</x:f>
        <x:v>3.9493788371211562</x:v>
      </x:c>
      <x:c r="AR32" s="165" t="n">
        <x:f aca="0">$F32*W32</x:f>
        <x:v>9.316281456888204</x:v>
      </x:c>
      <x:c r="AS32" s="165" t="n">
        <x:f aca="0">$F32*X32</x:f>
        <x:v>16.95871254238129</x:v>
      </x:c>
      <x:c r="AT32" s="165" t="n">
        <x:f aca="0">$F32*Y32</x:f>
        <x:v>26.324472241873146</x:v>
      </x:c>
      <x:c r="AU32" s="165" t="n">
        <x:f aca="0">$F32*Z32</x:f>
        <x:v>36.74577115250568</x:v>
      </x:c>
      <x:c r="AV32" s="165" t="n">
        <x:f aca="0">$F32*AA32</x:f>
        <x:v>47.601724230132554</x:v>
      </x:c>
      <x:c r="AW32" s="165" t="n">
        <x:f aca="0">$F32*AB32</x:f>
        <x:v>58.39241963886647</x:v>
      </x:c>
      <x:c r="AX32" s="165" t="n">
        <x:f aca="0">$F32*AC32</x:f>
        <x:v>68.7562984461161</x:v>
      </x:c>
      <x:c r="AY32" s="165" t="n">
        <x:f aca="0">$F32*AD32</x:f>
        <x:v>78.45803148581102</x:v>
      </x:c>
      <x:c r="AZ32" s="165" t="n">
        <x:f aca="0">$F32*AE32</x:f>
        <x:v>87.36466692669255</x:v>
      </x:c>
      <x:c r="BA32" s="165" t="n">
        <x:f aca="0">$F32*AF32</x:f>
        <x:v>95.41992174927242</x:v>
      </x:c>
      <x:c r="BB32" s="165" t="n">
        <x:f aca="0">$F32*AG32</x:f>
        <x:v>102.62126233209688</x:v>
      </x:c>
      <x:c r="BC32" s="165" t="n">
        <x:f aca="0">$F32*AH32</x:f>
        <x:v>109.00140284726874</x:v>
      </x:c>
      <x:c r="BD32" s="165" t="n">
        <x:f aca="0">$F32*AI32</x:f>
        <x:v>114.61430877939853</x:v>
      </x:c>
      <x:c r="BE32" s="165" t="n">
        <x:f aca="0">$F32*AJ32</x:f>
        <x:v>119.52512354325219</x:v>
      </x:c>
      <x:c r="BF32" s="165" t="n">
        <x:f aca="0">$F32*AK32</x:f>
        <x:v>123.80323446265783</x:v>
      </x:c>
    </x:row>
    <x:row r="33" ht="15" hidden="0" customHeight="1">
      <x:c r="A33" s="37" t="str">
        <x:v>Tropical &amp; Subtropical Moist Broadleaf Forests</x:v>
      </x:c>
      <x:c r="B33" s="37" t="s">
        <x:v>111</x:v>
      </x:c>
      <x:c r="C33" s="37" t="s">
        <x:v>549</x:v>
      </x:c>
      <x:c r="D33" s="37" t="n">
        <x:v>2023</x:v>
      </x:c>
      <x:c r="E33" s="100" t="n">
        <x:v>1</x:v>
      </x:c>
      <x:c r="F33" s="100" t="n">
        <x:v>1.7969</x:v>
      </x:c>
      <x:c r="G33" s="37" t="s">
        <x:v>572</x:v>
      </x:c>
      <x:c r="H33" s="37" t="n">
        <x:v>1</x:v>
      </x:c>
      <x:c r="I33" s="37" t="s">
        <x:v>1180</x:v>
      </x:c>
      <x:c r="J33" s="37" t="str">
        <x:v>Tropical &amp; Subtropical Moist Broadleaf Forests|2023</x:v>
      </x:c>
      <x:c r="K33" s="37" t="str">
        <x:v>Area × biological stock; VM0047 Eq.(3); PB separately by Biome×Cohort</x:v>
      </x:c>
      <x:c r="Q33" s="164" t="n">
        <x:f aca="0">IFERROR(SUMIF(S15_Source_Strata!$B$4:$B$49,$G33,S15_Source_Strata!$R$4:$R$49),0)</x:f>
        <x:v>0</x:v>
      </x:c>
      <x:c r="R33" s="164" t="n">
        <x:f aca="0">IFERROR(SUMIF(S15_Source_Strata!$B$4:$B$49,$G33,S15_Source_Strata!$S$4:$S$49),0)</x:f>
        <x:v>0</x:v>
      </x:c>
      <x:c r="S33" s="164" t="n">
        <x:f aca="0">IFERROR(SUMIF(S15_Source_Strata!$B$4:$B$49,$G33,S15_Source_Strata!$T$4:$T$49),0)</x:f>
        <x:v>0</x:v>
      </x:c>
      <x:c r="T33" s="164" t="n">
        <x:f aca="0">IFERROR(SUMIF(S15_Source_Strata!$B$4:$B$49,$G33,S15_Source_Strata!$U$4:$U$49),0)</x:f>
        <x:v>0</x:v>
      </x:c>
      <x:c r="U33" s="164" t="n">
        <x:f aca="0">IFERROR(SUMIF(S15_Source_Strata!$B$4:$B$49,$G33,S15_Source_Strata!$V$4:$V$49),0)</x:f>
        <x:v>0.041887249891712</x:v>
      </x:c>
      <x:c r="V33" s="164" t="n">
        <x:f aca="0">IFERROR(SUMIF(S15_Source_Strata!$B$4:$B$49,$G33,S15_Source_Strata!$W$4:$W$49),0)</x:f>
        <x:v>0.5006911820948761</x:v>
      </x:c>
      <x:c r="W33" s="164" t="n">
        <x:f aca="0">IFERROR(SUMIF(S15_Source_Strata!$B$4:$B$49,$G33,S15_Source_Strata!$X$4:$X$49),0)</x:f>
        <x:v>1.9160435894217756</x:v>
      </x:c>
      <x:c r="X33" s="164" t="n">
        <x:f aca="0">IFERROR(SUMIF(S15_Source_Strata!$B$4:$B$49,$G33,S15_Source_Strata!$Y$4:$Y$49),0)</x:f>
        <x:v>4.648002141175279</x:v>
      </x:c>
      <x:c r="Y33" s="164" t="n">
        <x:f aca="0">IFERROR(SUMIF(S15_Source_Strata!$B$4:$B$49,$G33,S15_Source_Strata!$Z$4:$Z$49),0)</x:f>
        <x:v>8.765836201233046</x:v>
      </x:c>
      <x:c r="Z33" s="164" t="n">
        <x:f aca="0">IFERROR(SUMIF(S15_Source_Strata!$B$4:$B$49,$G33,S15_Source_Strata!$AA$4:$AA$49),0)</x:f>
        <x:v>14.137731009696834</x:v>
      </x:c>
      <x:c r="AA33" s="164" t="n">
        <x:f aca="0">IFERROR(SUMIF(S15_Source_Strata!$B$4:$B$49,$G33,S15_Source_Strata!$AB$4:$AB$49),0)</x:f>
        <x:v>20.514687829934044</x:v>
      </x:c>
      <x:c r="AB33" s="164" t="n">
        <x:f aca="0">IFERROR(SUMIF(S15_Source_Strata!$B$4:$B$49,$G33,S15_Source_Strata!$AC$4:$AC$49),0)</x:f>
        <x:v>27.60358895515498</x:v>
      </x:c>
      <x:c r="AC33" s="164" t="n">
        <x:f aca="0">IFERROR(SUMIF(S15_Source_Strata!$B$4:$B$49,$G33,S15_Source_Strata!$AD$4:$AD$49),0)</x:f>
        <x:v>35.11614902570361</x:v>
      </x:c>
      <x:c r="AD33" s="164" t="n">
        <x:f aca="0">IFERROR(SUMIF(S15_Source_Strata!$B$4:$B$49,$G33,S15_Source_Strata!$AE$4:$AE$49),0)</x:f>
        <x:v>42.796694831673534</x:v>
      </x:c>
      <x:c r="AE33" s="164" t="n">
        <x:f aca="0">IFERROR(SUMIF(S15_Source_Strata!$B$4:$B$49,$G33,S15_Source_Strata!$AF$4:$AF$49),0)</x:f>
        <x:v>50.43458352773399</x:v>
      </x:c>
      <x:c r="AF33" s="164" t="n">
        <x:f aca="0">IFERROR(SUMIF(S15_Source_Strata!$B$4:$B$49,$G33,S15_Source_Strata!$AG$4:$AG$49),0)</x:f>
        <x:v>57.8667406233523</x:v>
      </x:c>
      <x:c r="AG33" s="164" t="n">
        <x:f aca="0">IFERROR(SUMIF(S15_Source_Strata!$B$4:$B$49,$G33,S15_Source_Strata!$AH$4:$AH$49),0)</x:f>
        <x:v>64.97452870620393</x:v>
      </x:c>
      <x:c r="AH33" s="164" t="n">
        <x:f aca="0">IFERROR(SUMIF(S15_Source_Strata!$B$4:$B$49,$G33,S15_Source_Strata!$AI$4:$AI$49),0)</x:f>
        <x:v>71.67784329965413</x:v>
      </x:c>
      <x:c r="AI33" s="164" t="n">
        <x:f aca="0">IFERROR(SUMIF(S15_Source_Strata!$B$4:$B$49,$G33,S15_Source_Strata!$AJ$4:$AJ$49),0)</x:f>
        <x:v>77.92826810156097</x:v>
      </x:c>
      <x:c r="AJ33" s="164" t="n">
        <x:f aca="0">IFERROR(SUMIF(S15_Source_Strata!$B$4:$B$49,$G33,S15_Source_Strata!$AK$4:$AK$49),0)</x:f>
        <x:v>83.70235418006737</x:v>
      </x:c>
      <x:c r="AK33" s="164" t="n">
        <x:f aca="0">IFERROR(SUMIF(S15_Source_Strata!$B$4:$B$49,$G33,S15_Source_Strata!$AL$4:$AL$49),0)</x:f>
        <x:v>88.99557408183094</x:v>
      </x:c>
      <x:c r="AL33" s="165" t="n">
        <x:f aca="0">$F33*Q33</x:f>
        <x:v>0</x:v>
      </x:c>
      <x:c r="AM33" s="165" t="n">
        <x:f aca="0">$F33*R33</x:f>
        <x:v>0</x:v>
      </x:c>
      <x:c r="AN33" s="165" t="n">
        <x:f aca="0">$F33*S33</x:f>
        <x:v>0</x:v>
      </x:c>
      <x:c r="AO33" s="165" t="n">
        <x:f aca="0">$F33*T33</x:f>
        <x:v>0</x:v>
      </x:c>
      <x:c r="AP33" s="165" t="n">
        <x:f aca="0">$F33*U33</x:f>
        <x:v>0.07526719933041728</x:v>
      </x:c>
      <x:c r="AQ33" s="165" t="n">
        <x:f aca="0">$F33*V33</x:f>
        <x:v>0.8996919851062828</x:v>
      </x:c>
      <x:c r="AR33" s="165" t="n">
        <x:f aca="0">$F33*W33</x:f>
        <x:v>3.4429387258319886</x:v>
      </x:c>
      <x:c r="AS33" s="165" t="n">
        <x:f aca="0">$F33*X33</x:f>
        <x:v>8.351995047477859</x:v>
      </x:c>
      <x:c r="AT33" s="165" t="n">
        <x:f aca="0">$F33*Y33</x:f>
        <x:v>15.751331069995661</x:v>
      </x:c>
      <x:c r="AU33" s="165" t="n">
        <x:f aca="0">$F33*Z33</x:f>
        <x:v>25.40408885132424</x:v>
      </x:c>
      <x:c r="AV33" s="165" t="n">
        <x:f aca="0">$F33*AA33</x:f>
        <x:v>36.86284256160848</x:v>
      </x:c>
      <x:c r="AW33" s="165" t="n">
        <x:f aca="0">$F33*AB33</x:f>
        <x:v>49.600888993517984</x:v>
      </x:c>
      <x:c r="AX33" s="165" t="n">
        <x:f aca="0">$F33*AC33</x:f>
        <x:v>63.10020818428682</x:v>
      </x:c>
      <x:c r="AY33" s="165" t="n">
        <x:f aca="0">$F33*AD33</x:f>
        <x:v>76.90138094303417</x:v>
      </x:c>
      <x:c r="AZ33" s="165" t="n">
        <x:f aca="0">$F33*AE33</x:f>
        <x:v>90.6259031409852</x:v>
      </x:c>
      <x:c r="BA33" s="165" t="n">
        <x:f aca="0">$F33*AF33</x:f>
        <x:v>103.98074622610174</x:v>
      </x:c>
      <x:c r="BB33" s="165" t="n">
        <x:f aca="0">$F33*AG33</x:f>
        <x:v>116.75273063217783</x:v>
      </x:c>
      <x:c r="BC33" s="165" t="n">
        <x:f aca="0">$F33*AH33</x:f>
        <x:v>128.7979166251485</x:v>
      </x:c>
      <x:c r="BD33" s="165" t="n">
        <x:f aca="0">$F33*AI33</x:f>
        <x:v>140.0293049516949</x:v>
      </x:c>
      <x:c r="BE33" s="165" t="n">
        <x:f aca="0">$F33*AJ33</x:f>
        <x:v>150.40476022616306</x:v>
      </x:c>
      <x:c r="BF33" s="165" t="n">
        <x:f aca="0">$F33*AK33</x:f>
        <x:v>159.91614706764202</x:v>
      </x:c>
    </x:row>
    <x:row r="34" ht="15" hidden="0" customHeight="1">
      <x:c r="A34" s="37" t="str">
        <x:v>Tropical &amp; Subtropical Moist Broadleaf Forests</x:v>
      </x:c>
      <x:c r="B34" s="37" t="s">
        <x:v>111</x:v>
      </x:c>
      <x:c r="C34" s="37" t="s">
        <x:v>553</x:v>
      </x:c>
      <x:c r="D34" s="37" t="n">
        <x:v>2023</x:v>
      </x:c>
      <x:c r="E34" s="100" t="n">
        <x:v>2</x:v>
      </x:c>
      <x:c r="F34" s="100" t="n">
        <x:v>0.6163</x:v>
      </x:c>
      <x:c r="G34" s="37" t="s">
        <x:v>1116</x:v>
      </x:c>
      <x:c r="H34" s="37" t="n">
        <x:v>0</x:v>
      </x:c>
      <x:c r="I34" s="37" t="s">
        <x:v>1185</x:v>
      </x:c>
      <x:c r="J34" s="37" t="str">
        <x:v>Tropical &amp; Subtropical Moist Broadleaf Forests|2023</x:v>
      </x:c>
      <x:c r="K34" s="37" t="str">
        <x:v>Area × biological stock; VM0047 Eq.(3); PB separately by Biome×Cohort</x:v>
      </x:c>
      <x:c r="Q34" s="164" t="n">
        <x:f aca="0">IFERROR(SUMIF(S15_Source_Strata!$B$4:$B$49,$G34,S15_Source_Strata!$R$4:$R$49),0)</x:f>
        <x:v>0</x:v>
      </x:c>
      <x:c r="R34" s="164" t="n">
        <x:f aca="0">IFERROR(SUMIF(S15_Source_Strata!$B$4:$B$49,$G34,S15_Source_Strata!$S$4:$S$49),0)</x:f>
        <x:v>0</x:v>
      </x:c>
      <x:c r="S34" s="164" t="n">
        <x:f aca="0">IFERROR(SUMIF(S15_Source_Strata!$B$4:$B$49,$G34,S15_Source_Strata!$T$4:$T$49),0)</x:f>
        <x:v>0</x:v>
      </x:c>
      <x:c r="T34" s="164" t="n">
        <x:f aca="0">IFERROR(SUMIF(S15_Source_Strata!$B$4:$B$49,$G34,S15_Source_Strata!$U$4:$U$49),0)</x:f>
        <x:v>0</x:v>
      </x:c>
      <x:c r="U34" s="164" t="n">
        <x:f aca="0">IFERROR(SUMIF(S15_Source_Strata!$B$4:$B$49,$G34,S15_Source_Strata!$V$4:$V$49),0)</x:f>
        <x:v>0.07152597803014582</x:v>
      </x:c>
      <x:c r="V34" s="164" t="n">
        <x:f aca="0">IFERROR(SUMIF(S15_Source_Strata!$B$4:$B$49,$G34,S15_Source_Strata!$W$4:$W$49),0)</x:f>
        <x:v>0.864336246888579</x:v>
      </x:c>
      <x:c r="W34" s="164" t="n">
        <x:f aca="0">IFERROR(SUMIF(S15_Source_Strata!$B$4:$B$49,$G34,S15_Source_Strata!$X$4:$X$49),0)</x:f>
        <x:v>3.303655276665658</x:v>
      </x:c>
      <x:c r="X34" s="164" t="n">
        <x:f aca="0">IFERROR(SUMIF(S15_Source_Strata!$B$4:$B$49,$G34,S15_Source_Strata!$Y$4:$Y$49),0)</x:f>
        <x:v>7.970157779779097</x:v>
      </x:c>
      <x:c r="Y34" s="164" t="n">
        <x:f aca="0">IFERROR(SUMIF(S15_Source_Strata!$B$4:$B$49,$G34,S15_Source_Strata!$Z$4:$Z$49),0)</x:f>
        <x:v>14.923899156004842</x:v>
      </x:c>
      <x:c r="Z34" s="164" t="n">
        <x:f aca="0">IFERROR(SUMIF(S15_Source_Strata!$B$4:$B$49,$G34,S15_Source_Strata!$AA$4:$AA$49),0)</x:f>
        <x:v>23.885588624728054</x:v>
      </x:c>
      <x:c r="AA34" s="164" t="n">
        <x:f aca="0">IFERROR(SUMIF(S15_Source_Strata!$B$4:$B$49,$G34,S15_Source_Strata!$AB$4:$AB$49),0)</x:f>
        <x:v>34.39633727340892</x:v>
      </x:c>
      <x:c r="AB34" s="164" t="n">
        <x:f aca="0">IFERROR(SUMIF(S15_Source_Strata!$B$4:$B$49,$G34,S15_Source_Strata!$AC$4:$AC$49),0)</x:f>
        <x:v>45.94628773183691</x:v>
      </x:c>
      <x:c r="AC34" s="164" t="n">
        <x:f aca="0">IFERROR(SUMIF(S15_Source_Strata!$B$4:$B$49,$G34,S15_Source_Strata!$AD$4:$AD$49),0)</x:f>
        <x:v>58.054373014376885</x:v>
      </x:c>
      <x:c r="AD34" s="164" t="n">
        <x:f aca="0">IFERROR(SUMIF(S15_Source_Strata!$B$4:$B$49,$G34,S15_Source_Strata!$AE$4:$AE$49),0)</x:f>
        <x:v>70.30903125532</x:v>
      </x:c>
      <x:c r="AE34" s="164" t="n">
        <x:f aca="0">IFERROR(SUMIF(S15_Source_Strata!$B$4:$B$49,$G34,S15_Source_Strata!$AF$4:$AF$49),0)</x:f>
        <x:v>82.38274135165359</x:v>
      </x:c>
      <x:c r="AF34" s="164" t="n">
        <x:f aca="0">IFERROR(SUMIF(S15_Source_Strata!$B$4:$B$49,$G34,S15_Source_Strata!$AG$4:$AG$49),0)</x:f>
        <x:v>94.03105915138642</x:v>
      </x:c>
      <x:c r="AG34" s="164" t="n">
        <x:f aca="0">IFERROR(SUMIF(S15_Source_Strata!$B$4:$B$49,$G34,S15_Source_Strata!$AH$4:$AH$49),0)</x:f>
        <x:v>105.08365805426325</x:v>
      </x:c>
      <x:c r="AH34" s="164" t="n">
        <x:f aca="0">IFERROR(SUMIF(S15_Source_Strata!$B$4:$B$49,$G34,S15_Source_Strata!$AI$4:$AI$49),0)</x:f>
        <x:v>115.43213857673612</x:v>
      </x:c>
      <x:c r="AI34" s="164" t="n">
        <x:f aca="0">IFERROR(SUMIF(S15_Source_Strata!$B$4:$B$49,$G34,S15_Source_Strata!$AJ$4:$AJ$49),0)</x:f>
        <x:v>125.0173795374974</x:v>
      </x:c>
      <x:c r="AJ34" s="164" t="n">
        <x:f aca="0">IFERROR(SUMIF(S15_Source_Strata!$B$4:$B$49,$G34,S15_Source_Strata!$AK$4:$AK$49),0)</x:f>
        <x:v>133.81788409296183</x:v>
      </x:c>
      <x:c r="AK34" s="164" t="n">
        <x:f aca="0">IFERROR(SUMIF(S15_Source_Strata!$B$4:$B$49,$G34,S15_Source_Strata!$AL$4:$AL$49),0)</x:f>
        <x:v>141.83975781494965</x:v>
      </x:c>
      <x:c r="AL34" s="165" t="n">
        <x:f aca="0">$F34*Q34</x:f>
        <x:v>0</x:v>
      </x:c>
      <x:c r="AM34" s="165" t="n">
        <x:f aca="0">$F34*R34</x:f>
        <x:v>0</x:v>
      </x:c>
      <x:c r="AN34" s="165" t="n">
        <x:f aca="0">$F34*S34</x:f>
        <x:v>0</x:v>
      </x:c>
      <x:c r="AO34" s="165" t="n">
        <x:f aca="0">$F34*T34</x:f>
        <x:v>0</x:v>
      </x:c>
      <x:c r="AP34" s="165" t="n">
        <x:f aca="0">$F34*U34</x:f>
        <x:v>0.04408146025997887</x:v>
      </x:c>
      <x:c r="AQ34" s="165" t="n">
        <x:f aca="0">$F34*V34</x:f>
        <x:v>0.5326904289574312</x:v>
      </x:c>
      <x:c r="AR34" s="165" t="n">
        <x:f aca="0">$F34*W34</x:f>
        <x:v>2.036042747009045</x:v>
      </x:c>
      <x:c r="AS34" s="165" t="n">
        <x:f aca="0">$F34*X34</x:f>
        <x:v>4.912008239677857</x:v>
      </x:c>
      <x:c r="AT34" s="165" t="n">
        <x:f aca="0">$F34*Y34</x:f>
        <x:v>9.197599049845783</x:v>
      </x:c>
      <x:c r="AU34" s="165" t="n">
        <x:f aca="0">$F34*Z34</x:f>
        <x:v>14.720688269419899</x:v>
      </x:c>
      <x:c r="AV34" s="165" t="n">
        <x:f aca="0">$F34*AA34</x:f>
        <x:v>21.198462661601916</x:v>
      </x:c>
      <x:c r="AW34" s="165" t="n">
        <x:f aca="0">$F34*AB34</x:f>
        <x:v>28.316697129131086</x:v>
      </x:c>
      <x:c r="AX34" s="165" t="n">
        <x:f aca="0">$F34*AC34</x:f>
        <x:v>35.77891008876047</x:v>
      </x:c>
      <x:c r="AY34" s="165" t="n">
        <x:f aca="0">$F34*AD34</x:f>
        <x:v>43.331455962653706</x:v>
      </x:c>
      <x:c r="AZ34" s="165" t="n">
        <x:f aca="0">$F34*AE34</x:f>
        <x:v>50.772483495024105</x:v>
      </x:c>
      <x:c r="BA34" s="165" t="n">
        <x:f aca="0">$F34*AF34</x:f>
        <x:v>57.95134175499945</x:v>
      </x:c>
      <x:c r="BB34" s="165" t="n">
        <x:f aca="0">$F34*AG34</x:f>
        <x:v>64.76305845884244</x:v>
      </x:c>
      <x:c r="BC34" s="165" t="n">
        <x:f aca="0">$F34*AH34</x:f>
        <x:v>71.14082700484246</x:v>
      </x:c>
      <x:c r="BD34" s="165" t="n">
        <x:f aca="0">$F34*AI34</x:f>
        <x:v>77.04821100895964</x:v>
      </x:c>
      <x:c r="BE34" s="165" t="n">
        <x:f aca="0">$F34*AJ34</x:f>
        <x:v>82.47196196649237</x:v>
      </x:c>
      <x:c r="BF34" s="165" t="n">
        <x:f aca="0">$F34*AK34</x:f>
        <x:v>87.41584274135346</x:v>
      </x:c>
    </x:row>
    <x:row r="35" ht="15" hidden="0" customHeight="1">
      <x:c r="A35" s="37" t="str">
        <x:v>Tropical &amp; Subtropical Moist Broadleaf Forests</x:v>
      </x:c>
      <x:c r="B35" s="37" t="s">
        <x:v>111</x:v>
      </x:c>
      <x:c r="C35" s="37" t="s">
        <x:v>542</x:v>
      </x:c>
      <x:c r="D35" s="37" t="n">
        <x:v>2023</x:v>
      </x:c>
      <x:c r="E35" s="100" t="n">
        <x:v>2</x:v>
      </x:c>
      <x:c r="F35" s="100" t="n">
        <x:v>0.713</x:v>
      </x:c>
      <x:c r="G35" s="37" t="s">
        <x:v>1118</x:v>
      </x:c>
      <x:c r="H35" s="37" t="n">
        <x:v>0</x:v>
      </x:c>
      <x:c r="I35" s="37" t="s">
        <x:v>1185</x:v>
      </x:c>
      <x:c r="J35" s="37" t="str">
        <x:v>Tropical &amp; Subtropical Moist Broadleaf Forests|2023</x:v>
      </x:c>
      <x:c r="K35" s="37" t="str">
        <x:v>Area × biological stock; VM0047 Eq.(3); PB separately by Biome×Cohort</x:v>
      </x:c>
      <x:c r="Q35" s="164" t="n">
        <x:f aca="0">IFERROR(SUMIF(S15_Source_Strata!$B$4:$B$49,$G35,S15_Source_Strata!$R$4:$R$49),0)</x:f>
        <x:v>0</x:v>
      </x:c>
      <x:c r="R35" s="164" t="n">
        <x:f aca="0">IFERROR(SUMIF(S15_Source_Strata!$B$4:$B$49,$G35,S15_Source_Strata!$S$4:$S$49),0)</x:f>
        <x:v>0</x:v>
      </x:c>
      <x:c r="S35" s="164" t="n">
        <x:f aca="0">IFERROR(SUMIF(S15_Source_Strata!$B$4:$B$49,$G35,S15_Source_Strata!$T$4:$T$49),0)</x:f>
        <x:v>0</x:v>
      </x:c>
      <x:c r="T35" s="164" t="n">
        <x:f aca="0">IFERROR(SUMIF(S15_Source_Strata!$B$4:$B$49,$G35,S15_Source_Strata!$U$4:$U$49),0)</x:f>
        <x:v>0</x:v>
      </x:c>
      <x:c r="U35" s="164" t="n">
        <x:f aca="0">IFERROR(SUMIF(S15_Source_Strata!$B$4:$B$49,$G35,S15_Source_Strata!$V$4:$V$49),0)</x:f>
        <x:v>0.08843419078662754</x:v>
      </x:c>
      <x:c r="V35" s="164" t="n">
        <x:f aca="0">IFERROR(SUMIF(S15_Source_Strata!$B$4:$B$49,$G35,S15_Source_Strata!$W$4:$W$49),0)</x:f>
        <x:v>1.1000414117303818</x:v>
      </x:c>
      <x:c r="W35" s="164" t="n">
        <x:f aca="0">IFERROR(SUMIF(S15_Source_Strata!$B$4:$B$49,$G35,S15_Source_Strata!$X$4:$X$49),0)</x:f>
        <x:v>4.1668905223899095</x:v>
      </x:c>
      <x:c r="X35" s="164" t="n">
        <x:f aca="0">IFERROR(SUMIF(S15_Source_Strata!$B$4:$B$49,$G35,S15_Source_Strata!$Y$4:$Y$49),0)</x:f>
        <x:v>9.829374822629461</x:v>
      </x:c>
      <x:c r="Y35" s="164" t="n">
        <x:f aca="0">IFERROR(SUMIF(S15_Source_Strata!$B$4:$B$49,$G35,S15_Source_Strata!$Z$4:$Z$49),0)</x:f>
        <x:v>17.892712114772408</x:v>
      </x:c>
      <x:c r="Z35" s="164" t="n">
        <x:f aca="0">IFERROR(SUMIF(S15_Source_Strata!$B$4:$B$49,$G35,S15_Source_Strata!$AA$4:$AA$49),0)</x:f>
        <x:v>27.774290189779645</x:v>
      </x:c>
      <x:c r="AA35" s="164" t="n">
        <x:f aca="0">IFERROR(SUMIF(S15_Source_Strata!$B$4:$B$49,$G35,S15_Source_Strata!$AB$4:$AB$49),0)</x:f>
        <x:v>38.76954120331893</x:v>
      </x:c>
      <x:c r="AB35" s="164" t="n">
        <x:f aca="0">IFERROR(SUMIF(S15_Source_Strata!$B$4:$B$49,$G35,S15_Source_Strata!$AC$4:$AC$49),0)</x:f>
        <x:v>50.22338492311939</x:v>
      </x:c>
      <x:c r="AC35" s="164" t="n">
        <x:f aca="0">IFERROR(SUMIF(S15_Source_Strata!$B$4:$B$49,$G35,S15_Source_Strata!$AD$4:$AD$49),0)</x:f>
        <x:v>61.60837691376501</x:v>
      </x:c>
      <x:c r="AD35" s="164" t="n">
        <x:f aca="0">IFERROR(SUMIF(S15_Source_Strata!$B$4:$B$49,$G35,S15_Source_Strata!$AE$4:$AE$49),0)</x:f>
        <x:v>72.54304541687709</x:v>
      </x:c>
      <x:c r="AE35" s="164" t="n">
        <x:f aca="0">IFERROR(SUMIF(S15_Source_Strata!$B$4:$B$49,$G35,S15_Source_Strata!$AF$4:$AF$49),0)</x:f>
        <x:v>82.77910053366851</x:v>
      </x:c>
      <x:c r="AF35" s="164" t="n">
        <x:f aca="0">IFERROR(SUMIF(S15_Source_Strata!$B$4:$B$49,$G35,S15_Source_Strata!$AG$4:$AG$49),0)</x:f>
        <x:v>92.17626812269735</x:v>
      </x:c>
      <x:c r="AG35" s="164" t="n">
        <x:f aca="0">IFERROR(SUMIF(S15_Source_Strata!$B$4:$B$49,$G35,S15_Source_Strata!$AH$4:$AH$49),0)</x:f>
        <x:v>100.67516538222455</x:v>
      </x:c>
      <x:c r="AH35" s="164" t="n">
        <x:f aca="0">IFERROR(SUMIF(S15_Source_Strata!$B$4:$B$49,$G35,S15_Source_Strata!$AI$4:$AI$49),0)</x:f>
        <x:v>108.27311915182199</x:v>
      </x:c>
      <x:c r="AI35" s="164" t="n">
        <x:f aca="0">IFERROR(SUMIF(S15_Source_Strata!$B$4:$B$49,$G35,S15_Source_Strata!$AJ$4:$AJ$49),0)</x:f>
        <x:v>115.00464533368721</x:v>
      </x:c>
      <x:c r="AJ35" s="164" t="n">
        <x:f aca="0">IFERROR(SUMIF(S15_Source_Strata!$B$4:$B$49,$G35,S15_Source_Strata!$AK$4:$AK$49),0)</x:f>
        <x:v>120.92668155665598</x:v>
      </x:c>
      <x:c r="AK35" s="164" t="n">
        <x:f aca="0">IFERROR(SUMIF(S15_Source_Strata!$B$4:$B$49,$G35,S15_Source_Strata!$AL$4:$AL$49),0)</x:f>
        <x:v>126.1079590032203</x:v>
      </x:c>
      <x:c r="AL35" s="165" t="n">
        <x:f aca="0">$F35*Q35</x:f>
        <x:v>0</x:v>
      </x:c>
      <x:c r="AM35" s="165" t="n">
        <x:f aca="0">$F35*R35</x:f>
        <x:v>0</x:v>
      </x:c>
      <x:c r="AN35" s="165" t="n">
        <x:f aca="0">$F35*S35</x:f>
        <x:v>0</x:v>
      </x:c>
      <x:c r="AO35" s="165" t="n">
        <x:f aca="0">$F35*T35</x:f>
        <x:v>0</x:v>
      </x:c>
      <x:c r="AP35" s="165" t="n">
        <x:f aca="0">$F35*U35</x:f>
        <x:v>0.06305357803086543</x:v>
      </x:c>
      <x:c r="AQ35" s="165" t="n">
        <x:f aca="0">$F35*V35</x:f>
        <x:v>0.7843295265637622</x:v>
      </x:c>
      <x:c r="AR35" s="165" t="n">
        <x:f aca="0">$F35*W35</x:f>
        <x:v>2.9709929424640054</x:v>
      </x:c>
      <x:c r="AS35" s="165" t="n">
        <x:f aca="0">$F35*X35</x:f>
        <x:v>7.008344248534805</x:v>
      </x:c>
      <x:c r="AT35" s="165" t="n">
        <x:f aca="0">$F35*Y35</x:f>
        <x:v>12.757503737832726</x:v>
      </x:c>
      <x:c r="AU35" s="165" t="n">
        <x:f aca="0">$F35*Z35</x:f>
        <x:v>19.803068905312887</x:v>
      </x:c>
      <x:c r="AV35" s="165" t="n">
        <x:f aca="0">$F35*AA35</x:f>
        <x:v>27.642682877966397</x:v>
      </x:c>
      <x:c r="AW35" s="165" t="n">
        <x:f aca="0">$F35*AB35</x:f>
        <x:v>35.80927345018412</x:v>
      </x:c>
      <x:c r="AX35" s="165" t="n">
        <x:f aca="0">$F35*AC35</x:f>
        <x:v>43.92677273951445</x:v>
      </x:c>
      <x:c r="AY35" s="165" t="n">
        <x:f aca="0">$F35*AD35</x:f>
        <x:v>51.72319138223337</x:v>
      </x:c>
      <x:c r="AZ35" s="165" t="n">
        <x:f aca="0">$F35*AE35</x:f>
        <x:v>59.021498680505644</x:v>
      </x:c>
      <x:c r="BA35" s="165" t="n">
        <x:f aca="0">$F35*AF35</x:f>
        <x:v>65.7216791714832</x:v>
      </x:c>
      <x:c r="BB35" s="165" t="n">
        <x:f aca="0">$F35*AG35</x:f>
        <x:v>71.7813929175261</x:v>
      </x:c>
      <x:c r="BC35" s="165" t="n">
        <x:f aca="0">$F35*AH35</x:f>
        <x:v>77.19873395524907</x:v>
      </x:c>
      <x:c r="BD35" s="165" t="n">
        <x:f aca="0">$F35*AI35</x:f>
        <x:v>81.99831212291897</x:v>
      </x:c>
      <x:c r="BE35" s="165" t="n">
        <x:f aca="0">$F35*AJ35</x:f>
        <x:v>86.22072394989571</x:v>
      </x:c>
      <x:c r="BF35" s="165" t="n">
        <x:f aca="0">$F35*AK35</x:f>
        <x:v>89.91497476929607</x:v>
      </x:c>
    </x:row>
    <x:row r="36" ht="15" hidden="0" customHeight="1">
      <x:c r="A36" s="37" t="str">
        <x:v>Tropical &amp; Subtropical Moist Broadleaf Forests</x:v>
      </x:c>
      <x:c r="B36" s="37" t="s">
        <x:v>112</x:v>
      </x:c>
      <x:c r="C36" s="37" t="s">
        <x:v>549</x:v>
      </x:c>
      <x:c r="D36" s="37" t="n">
        <x:v>2020</x:v>
      </x:c>
      <x:c r="E36" s="100" t="n">
        <x:v>89</x:v>
      </x:c>
      <x:c r="F36" s="100" t="n">
        <x:v>71.1991603399434</x:v>
      </x:c>
      <x:c r="G36" s="37" t="s">
        <x:v>597</x:v>
      </x:c>
      <x:c r="H36" s="37" t="n">
        <x:v>1</x:v>
      </x:c>
      <x:c r="I36" s="37" t="s">
        <x:v>1180</x:v>
      </x:c>
      <x:c r="J36" s="37" t="str">
        <x:v>Tropical &amp; Subtropical Moist Broadleaf Forests|2020</x:v>
      </x:c>
      <x:c r="K36" s="37" t="str">
        <x:v>Area × biological stock; VM0047 Eq.(3); PB separately by Biome×Cohort</x:v>
      </x:c>
      <x:c r="Q36" s="164" t="n">
        <x:f aca="0">IFERROR(SUMIF(S15_Source_Strata!$B$4:$B$49,$G36,S15_Source_Strata!$R$4:$R$49),0)</x:f>
        <x:v>0</x:v>
      </x:c>
      <x:c r="R36" s="164" t="n">
        <x:f aca="0">IFERROR(SUMIF(S15_Source_Strata!$B$4:$B$49,$G36,S15_Source_Strata!$S$4:$S$49),0)</x:f>
        <x:v>0.17403433875284913</x:v>
      </x:c>
      <x:c r="S36" s="164" t="n">
        <x:f aca="0">IFERROR(SUMIF(S15_Source_Strata!$B$4:$B$49,$G36,S15_Source_Strata!$T$4:$T$49),0)</x:f>
        <x:v>1.808298795281121</x:v>
      </x:c>
      <x:c r="T36" s="164" t="n">
        <x:f aca="0">IFERROR(SUMIF(S15_Source_Strata!$B$4:$B$49,$G36,S15_Source_Strata!$U$4:$U$49),0)</x:f>
        <x:v>6.412198758790387</x:v>
      </x:c>
      <x:c r="U36" s="164" t="n">
        <x:f aca="0">IFERROR(SUMIF(S15_Source_Strata!$B$4:$B$49,$G36,S15_Source_Strata!$V$4:$V$49),0)</x:f>
        <x:v>14.786882216652412</x:v>
      </x:c>
      <x:c r="V36" s="164" t="n">
        <x:f aca="0">IFERROR(SUMIF(S15_Source_Strata!$B$4:$B$49,$G36,S15_Source_Strata!$W$4:$W$49),0)</x:f>
        <x:v>26.87739423749838</x:v>
      </x:c>
      <x:c r="W36" s="164" t="n">
        <x:f aca="0">IFERROR(SUMIF(S15_Source_Strata!$B$4:$B$49,$G36,S15_Source_Strata!$X$4:$X$49),0)</x:f>
        <x:v>42.13775763280599</x:v>
      </x:c>
      <x:c r="X36" s="164" t="n">
        <x:f aca="0">IFERROR(SUMIF(S15_Source_Strata!$B$4:$B$49,$G36,S15_Source_Strata!$Y$4:$Y$49),0)</x:f>
        <x:v>59.78260518527138</x:v>
      </x:c>
      <x:c r="Y36" s="164" t="n">
        <x:f aca="0">IFERROR(SUMIF(S15_Source_Strata!$B$4:$B$49,$G36,S15_Source_Strata!$Z$4:$Z$49),0)</x:f>
        <x:v>78.97824156766397</x:v>
      </x:c>
      <x:c r="Z36" s="164" t="n">
        <x:f aca="0">IFERROR(SUMIF(S15_Source_Strata!$B$4:$B$49,$G36,S15_Source_Strata!$AA$4:$AA$49),0)</x:f>
        <x:v>98.95602185390175</x:v>
      </x:c>
      <x:c r="AA36" s="164" t="n">
        <x:f aca="0">IFERROR(SUMIF(S15_Source_Strata!$B$4:$B$49,$G36,S15_Source_Strata!$AB$4:$AB$49),0)</x:f>
        <x:v>119.06758474596045</x:v>
      </x:c>
      <x:c r="AB36" s="164" t="n">
        <x:f aca="0">IFERROR(SUMIF(S15_Source_Strata!$B$4:$B$49,$G36,S15_Source_Strata!$AC$4:$AC$49),0)</x:f>
        <x:v>138.80222721919424</x:v>
      </x:c>
      <x:c r="AC36" s="164" t="n">
        <x:f aca="0">IFERROR(SUMIF(S15_Source_Strata!$B$4:$B$49,$G36,S15_Source_Strata!$AD$4:$AD$49),0)</x:f>
        <x:v>157.78228035374133</x:v>
      </x:c>
      <x:c r="AD36" s="164" t="n">
        <x:f aca="0">IFERROR(SUMIF(S15_Source_Strata!$B$4:$B$49,$G36,S15_Source_Strata!$AE$4:$AE$49),0)</x:f>
        <x:v>175.74738584896815</x:v>
      </x:c>
      <x:c r="AE36" s="164" t="n">
        <x:f aca="0">IFERROR(SUMIF(S15_Source_Strata!$B$4:$B$49,$G36,S15_Source_Strata!$AF$4:$AF$49),0)</x:f>
        <x:v>192.53453046988696</x:v>
      </x:c>
      <x:c r="AF36" s="164" t="n">
        <x:f aca="0">IFERROR(SUMIF(S15_Source_Strata!$B$4:$B$49,$G36,S15_Source_Strata!$AG$4:$AG$49),0)</x:f>
        <x:v>208.05780653042697</x:v>
      </x:c>
      <x:c r="AG36" s="164" t="n">
        <x:f aca="0">IFERROR(SUMIF(S15_Source_Strata!$B$4:$B$49,$G36,S15_Source_Strata!$AH$4:$AH$49),0)</x:f>
        <x:v>222.2899602891645</x:v>
      </x:c>
      <x:c r="AH36" s="164" t="n">
        <x:f aca="0">IFERROR(SUMIF(S15_Source_Strata!$B$4:$B$49,$G36,S15_Source_Strata!$AI$4:$AI$49),0)</x:f>
        <x:v>235.24661033512507</x:v>
      </x:c>
      <x:c r="AI36" s="164" t="n">
        <x:f aca="0">IFERROR(SUMIF(S15_Source_Strata!$B$4:$B$49,$G36,S15_Source_Strata!$AJ$4:$AJ$49),0)</x:f>
        <x:v>246.97333409785028</x:v>
      </x:c>
      <x:c r="AJ36" s="164" t="n">
        <x:f aca="0">IFERROR(SUMIF(S15_Source_Strata!$B$4:$B$49,$G36,S15_Source_Strata!$AK$4:$AK$49),0)</x:f>
        <x:v>257.53545652664155</x:v>
      </x:c>
      <x:c r="AK36" s="164" t="n">
        <x:f aca="0">IFERROR(SUMIF(S15_Source_Strata!$B$4:$B$49,$G36,S15_Source_Strata!$AL$4:$AL$49),0)</x:f>
        <x:v>267.01020723603096</x:v>
      </x:c>
      <x:c r="AL36" s="165" t="n">
        <x:f aca="0">$F36*Q36</x:f>
        <x:v>0</x:v>
      </x:c>
      <x:c r="AM36" s="165" t="n">
        <x:f aca="0">$F36*R36</x:f>
        <x:v>12.39109878952013</x:v>
      </x:c>
      <x:c r="AN36" s="165" t="n">
        <x:f aca="0">$F36*S36</x:f>
        <x:v>128.74935586774703</x:v>
      </x:c>
      <x:c r="AO36" s="165" t="n">
        <x:f aca="0">$F36*T36</x:f>
        <x:v>456.54316755870286</x:v>
      </x:c>
      <x:c r="AP36" s="165" t="n">
        <x:f aca="0">$F36*U36</x:f>
        <x:v>1052.8135978712928</x:v>
      </x:c>
      <x:c r="AQ36" s="165" t="n">
        <x:f aca="0">$F36*V36</x:f>
        <x:v>1913.647901835518</x:v>
      </x:c>
      <x:c r="AR36" s="165" t="n">
        <x:f aca="0">$F36*W36</x:f>
        <x:v>3000.172962063828</x:v>
      </x:c>
      <x:c r="AS36" s="165" t="n">
        <x:f aca="0">$F36*X36</x:f>
        <x:v>4256.471292125669</x:v>
      </x:c>
      <x:c r="AT36" s="165" t="n">
        <x:f aca="0">$F36*Y36</x:f>
        <x:v>5623.18448474289</x:v>
      </x:c>
      <x:c r="AU36" s="165" t="n">
        <x:f aca="0">$F36*Z36</x:f>
        <x:v>7045.585666578894</x:v>
      </x:c>
      <x:c r="AV36" s="165" t="n">
        <x:f aca="0">$F36*AA36</x:f>
        <x:v>8477.512057617438</x:v>
      </x:c>
      <x:c r="AW36" s="165" t="n">
        <x:f aca="0">$F36*AB36</x:f>
        <x:v>9882.602031320666</x:v>
      </x:c>
      <x:c r="AX36" s="165" t="n">
        <x:f aca="0">$F36*AC36</x:f>
        <x:v>11233.965877707931</x:v>
      </x:c>
      <x:c r="AY36" s="165" t="n">
        <x:f aca="0">$F36*AD36</x:f>
        <x:v>12513.066304386584</x:v>
      </x:c>
      <x:c r="AZ36" s="165" t="n">
        <x:f aca="0">$F36*AE36</x:f>
        <x:v>13708.296905901201</x:v>
      </x:c>
      <x:c r="BA36" s="165" t="n">
        <x:f aca="0">$F36*AF36</x:f>
        <x:v>14813.541127136794</x:v>
      </x:c>
      <x:c r="BB36" s="165" t="n">
        <x:f aca="0">$F36*AG36</x:f>
        <x:v>15826.858524587875</x:v>
      </x:c>
      <x:c r="BC36" s="165" t="n">
        <x:f aca="0">$F36*AH36</x:f>
        <x:v>16749.361128678756</x:v>
      </x:c>
      <x:c r="BD36" s="165" t="n">
        <x:f aca="0">$F36*AI36</x:f>
        <x:v>17584.294014123254</x:v>
      </x:c>
      <x:c r="BE36" s="165" t="n">
        <x:f aca="0">$F36*AJ36</x:f>
        <x:v>18336.308262460876</x:v>
      </x:c>
      <x:c r="BF36" s="165" t="n">
        <x:f aca="0">$F36*AK36</x:f>
        <x:v>19010.902557399684</x:v>
      </x:c>
    </x:row>
    <x:row r="37" ht="15" hidden="0" customHeight="1">
      <x:c r="A37" s="37" t="str">
        <x:v>Tropical &amp; Subtropical Moist Broadleaf Forests</x:v>
      </x:c>
      <x:c r="B37" s="37" t="s">
        <x:v>112</x:v>
      </x:c>
      <x:c r="C37" s="37" t="s">
        <x:v>553</x:v>
      </x:c>
      <x:c r="D37" s="37" t="n">
        <x:v>2020</x:v>
      </x:c>
      <x:c r="E37" s="100" t="n">
        <x:v>51</x:v>
      </x:c>
      <x:c r="F37" s="100" t="n">
        <x:v>27.9501617159045</x:v>
      </x:c>
      <x:c r="G37" s="37" t="s">
        <x:v>600</x:v>
      </x:c>
      <x:c r="H37" s="37" t="n">
        <x:v>6</x:v>
      </x:c>
      <x:c r="I37" s="37" t="s">
        <x:v>1180</x:v>
      </x:c>
      <x:c r="J37" s="37" t="str">
        <x:v>Tropical &amp; Subtropical Moist Broadleaf Forests|2020</x:v>
      </x:c>
      <x:c r="K37" s="37" t="str">
        <x:v>Area × biological stock; VM0047 Eq.(3); PB separately by Biome×Cohort</x:v>
      </x:c>
      <x:c r="Q37" s="164" t="n">
        <x:f aca="0">IFERROR(SUMIF(S15_Source_Strata!$B$4:$B$49,$G37,S15_Source_Strata!$R$4:$R$49),0)</x:f>
        <x:v>0</x:v>
      </x:c>
      <x:c r="R37" s="164" t="n">
        <x:f aca="0">IFERROR(SUMIF(S15_Source_Strata!$B$4:$B$49,$G37,S15_Source_Strata!$S$4:$S$49),0)</x:f>
        <x:v>0.903106223242759</x:v>
      </x:c>
      <x:c r="S37" s="164" t="n">
        <x:f aca="0">IFERROR(SUMIF(S15_Source_Strata!$B$4:$B$49,$G37,S15_Source_Strata!$T$4:$T$49),0)</x:f>
        <x:v>8.648458189598166</x:v>
      </x:c>
      <x:c r="T37" s="164" t="n">
        <x:f aca="0">IFERROR(SUMIF(S15_Source_Strata!$B$4:$B$49,$G37,S15_Source_Strata!$U$4:$U$49),0)</x:f>
        <x:v>28.777791332998564</x:v>
      </x:c>
      <x:c r="U37" s="164" t="n">
        <x:f aca="0">IFERROR(SUMIF(S15_Source_Strata!$B$4:$B$49,$G37,S15_Source_Strata!$V$4:$V$49),0)</x:f>
        <x:v>62.85213912787111</x:v>
      </x:c>
      <x:c r="V37" s="164" t="n">
        <x:f aca="0">IFERROR(SUMIF(S15_Source_Strata!$B$4:$B$49,$G37,S15_Source_Strata!$W$4:$W$49),0)</x:f>
        <x:v>108.89251301046454</x:v>
      </x:c>
      <x:c r="W37" s="164" t="n">
        <x:f aca="0">IFERROR(SUMIF(S15_Source_Strata!$B$4:$B$49,$G37,S15_Source_Strata!$X$4:$X$49),0)</x:f>
        <x:v>163.54853000971656</x:v>
      </x:c>
      <x:c r="X37" s="164" t="n">
        <x:f aca="0">IFERROR(SUMIF(S15_Source_Strata!$B$4:$B$49,$G37,S15_Source_Strata!$Y$4:$Y$49),0)</x:f>
        <x:v>223.2421520591125</x:v>
      </x:c>
      <x:c r="Y37" s="164" t="n">
        <x:f aca="0">IFERROR(SUMIF(S15_Source_Strata!$B$4:$B$49,$G37,S15_Source_Strata!$Z$4:$Z$49),0)</x:f>
        <x:v>284.8193244647194</x:v>
      </x:c>
      <x:c r="Z37" s="164" t="n">
        <x:f aca="0">IFERROR(SUMIF(S15_Source_Strata!$B$4:$B$49,$G37,S15_Source_Strata!$AA$4:$AA$49),0)</x:f>
        <x:v>345.80144455439995</x:v>
      </x:c>
      <x:c r="AA37" s="164" t="n">
        <x:f aca="0">IFERROR(SUMIF(S15_Source_Strata!$B$4:$B$49,$G37,S15_Source_Strata!$AB$4:$AB$49),0)</x:f>
        <x:v>404.4092667148908</x:v>
      </x:c>
      <x:c r="AB37" s="164" t="n">
        <x:f aca="0">IFERROR(SUMIF(S15_Source_Strata!$B$4:$B$49,$G37,S15_Source_Strata!$AC$4:$AC$49),0)</x:f>
        <x:v>459.4785477103983</x:v>
      </x:c>
      <x:c r="AC37" s="164" t="n">
        <x:f aca="0">IFERROR(SUMIF(S15_Source_Strata!$B$4:$B$49,$G37,S15_Source_Strata!$AD$4:$AD$49),0)</x:f>
        <x:v>510.3380321400082</x:v>
      </x:c>
      <x:c r="AD37" s="164" t="n">
        <x:f aca="0">IFERROR(SUMIF(S15_Source_Strata!$B$4:$B$49,$G37,S15_Source_Strata!$AE$4:$AE$49),0)</x:f>
        <x:v>556.6866644693121</x:v>
      </x:c>
      <x:c r="AE37" s="164" t="n">
        <x:f aca="0">IFERROR(SUMIF(S15_Source_Strata!$B$4:$B$49,$G37,S15_Source_Strata!$AF$4:$AF$49),0)</x:f>
        <x:v>598.4864574775127</x:v>
      </x:c>
      <x:c r="AF37" s="164" t="n">
        <x:f aca="0">IFERROR(SUMIF(S15_Source_Strata!$B$4:$B$49,$G37,S15_Source_Strata!$AG$4:$AG$49),0)</x:f>
        <x:v>635.8761854419288</x:v>
      </x:c>
      <x:c r="AG37" s="164" t="n">
        <x:f aca="0">IFERROR(SUMIF(S15_Source_Strata!$B$4:$B$49,$G37,S15_Source_Strata!$AH$4:$AH$49),0)</x:f>
        <x:v>669.1054837983523</x:v>
      </x:c>
      <x:c r="AH37" s="164" t="n">
        <x:f aca="0">IFERROR(SUMIF(S15_Source_Strata!$B$4:$B$49,$G37,S15_Source_Strata!$AI$4:$AI$49),0)</x:f>
        <x:v>698.4865785883239</x:v>
      </x:c>
      <x:c r="AI37" s="164" t="n">
        <x:f aca="0">IFERROR(SUMIF(S15_Source_Strata!$B$4:$B$49,$G37,S15_Source_Strata!$AJ$4:$AJ$49),0)</x:f>
        <x:v>724.3602102019207</x:v>
      </x:c>
      <x:c r="AJ37" s="164" t="n">
        <x:f aca="0">IFERROR(SUMIF(S15_Source_Strata!$B$4:$B$49,$G37,S15_Source_Strata!$AK$4:$AK$49),0)</x:f>
        <x:v>747.0724678077222</x:v>
      </x:c>
      <x:c r="AK37" s="164" t="n">
        <x:f aca="0">IFERROR(SUMIF(S15_Source_Strata!$B$4:$B$49,$G37,S15_Source_Strata!$AL$4:$AL$49),0)</x:f>
        <x:v>766.9597276855819</x:v>
      </x:c>
      <x:c r="AL37" s="165" t="n">
        <x:f aca="0">$F37*Q37</x:f>
        <x:v>0</x:v>
      </x:c>
      <x:c r="AM37" s="165" t="n">
        <x:f aca="0">$F37*R37</x:f>
        <x:v>25.241964986274866</x:v>
      </x:c>
      <x:c r="AN37" s="165" t="n">
        <x:f aca="0">$F37*S37</x:f>
        <x:v>241.7258049925074</x:v>
      </x:c>
      <x:c r="AO37" s="165" t="n">
        <x:f aca="0">$F37*T37</x:f>
        <x:v>804.3439215838648</x:v>
      </x:c>
      <x:c r="AP37" s="165" t="n">
        <x:f aca="0">$F37*U37</x:f>
        <x:v>1756.7274528145265</x:v>
      </x:c>
      <x:c r="AQ37" s="165" t="n">
        <x:f aca="0">$F37*V37</x:f>
        <x:v>3043.5633482937187</x:v>
      </x:c>
      <x:c r="AR37" s="165" t="n">
        <x:f aca="0">$F37*W37</x:f>
        <x:v>4571.2078621700375</x:v>
      </x:c>
      <x:c r="AS37" s="165" t="n">
        <x:f aca="0">$F37*X37</x:f>
        <x:v>6239.654251858737</x:v>
      </x:c>
      <x:c r="AT37" s="165" t="n">
        <x:f aca="0">$F37*Y37</x:f>
        <x:v>7960.746178603582</x:v>
      </x:c>
      <x:c r="AU37" s="165" t="n">
        <x:f aca="0">$F37*Z37</x:f>
        <x:v>9665.206296888862</x:v>
      </x:c>
      <x:c r="AV37" s="165" t="n">
        <x:f aca="0">$F37*AA37</x:f>
        <x:v>11303.304404091552</x:v>
      </x:c>
      <x:c r="AW37" s="165" t="n">
        <x:f aca="0">$F37*AB37</x:f>
        <x:v>12842.499713494573</x:v>
      </x:c>
      <x:c r="AX37" s="165" t="n">
        <x:f aca="0">$F37*AC37</x:f>
        <x:v>14264.030528089697</x:v>
      </x:c>
      <x:c r="AY37" s="165" t="n">
        <x:f aca="0">$F37*AD37</x:f>
        <x:v>15559.482297004739</x:v>
      </x:c>
      <x:c r="AZ37" s="165" t="n">
        <x:f aca="0">$F37*AE37</x:f>
        <x:v>16727.79327127528</x:v>
      </x:c>
      <x:c r="BA37" s="165" t="n">
        <x:f aca="0">$F37*AF37</x:f>
        <x:v>17772.842214394386</x:v>
      </x:c>
      <x:c r="BB37" s="165" t="n">
        <x:f aca="0">$F37*AG37</x:f>
        <x:v>18701.606477162466</x:v>
      </x:c>
      <x:c r="BC37" s="165" t="n">
        <x:f aca="0">$F37*AH37</x:f>
        <x:v>19522.812827932492</x:v>
      </x:c>
      <x:c r="BD37" s="165" t="n">
        <x:f aca="0">$F37*AI37</x:f>
        <x:v>20245.98501571026</x:v>
      </x:c>
      <x:c r="BE37" s="165" t="n">
        <x:f aca="0">$F37*AJ37</x:f>
        <x:v>20880.796288725694</x:v>
      </x:c>
      <x:c r="BF37" s="165" t="n">
        <x:f aca="0">$F37*AK37</x:f>
        <x:v>21436.648418398094</x:v>
      </x:c>
    </x:row>
    <x:row r="38" ht="15" hidden="0" customHeight="1">
      <x:c r="A38" s="37" t="str">
        <x:v>Tropical &amp; Subtropical Moist Broadleaf Forests</x:v>
      </x:c>
      <x:c r="B38" s="37" t="s">
        <x:v>112</x:v>
      </x:c>
      <x:c r="C38" s="37" t="s">
        <x:v>542</x:v>
      </x:c>
      <x:c r="D38" s="37" t="n">
        <x:v>2020</x:v>
      </x:c>
      <x:c r="E38" s="100" t="n">
        <x:v>1</x:v>
      </x:c>
      <x:c r="F38" s="100" t="n">
        <x:v>0.806</x:v>
      </x:c>
      <x:c r="G38" s="37" t="s">
        <x:v>584</x:v>
      </x:c>
      <x:c r="H38" s="37" t="n">
        <x:v>6</x:v>
      </x:c>
      <x:c r="I38" s="37" t="s">
        <x:v>1180</x:v>
      </x:c>
      <x:c r="J38" s="37" t="str">
        <x:v>Tropical &amp; Subtropical Moist Broadleaf Forests|2020</x:v>
      </x:c>
      <x:c r="K38" s="37" t="str">
        <x:v>Area × biological stock; VM0047 Eq.(3); PB separately by Biome×Cohort</x:v>
      </x:c>
      <x:c r="Q38" s="164" t="n">
        <x:f aca="0">IFERROR(SUMIF(S15_Source_Strata!$B$4:$B$49,$G38,S15_Source_Strata!$R$4:$R$49),0)</x:f>
        <x:v>0</x:v>
      </x:c>
      <x:c r="R38" s="164" t="n">
        <x:f aca="0">IFERROR(SUMIF(S15_Source_Strata!$B$4:$B$49,$G38,S15_Source_Strata!$S$4:$S$49),0)</x:f>
        <x:v>4.864334809348277</x:v>
      </x:c>
      <x:c r="S38" s="164" t="n">
        <x:f aca="0">IFERROR(SUMIF(S15_Source_Strata!$B$4:$B$49,$G38,S15_Source_Strata!$T$4:$T$49),0)</x:f>
        <x:v>47.64642321511868</x:v>
      </x:c>
      <x:c r="T38" s="164" t="n">
        <x:f aca="0">IFERROR(SUMIF(S15_Source_Strata!$B$4:$B$49,$G38,S15_Source_Strata!$U$4:$U$49),0)</x:f>
        <x:v>162.19659930981175</x:v>
      </x:c>
      <x:c r="U38" s="164" t="n">
        <x:f aca="0">IFERROR(SUMIF(S15_Source_Strata!$B$4:$B$49,$G38,S15_Source_Strata!$V$4:$V$49),0)</x:f>
        <x:v>362.08052090045476</x:v>
      </x:c>
      <x:c r="V38" s="164" t="n">
        <x:f aca="0">IFERROR(SUMIF(S15_Source_Strata!$B$4:$B$49,$G38,S15_Source_Strata!$W$4:$W$49),0)</x:f>
        <x:v>640.3257868594634</x:v>
      </x:c>
      <x:c r="W38" s="164" t="n">
        <x:f aca="0">IFERROR(SUMIF(S15_Source_Strata!$B$4:$B$49,$G38,S15_Source_Strata!$X$4:$X$49),0)</x:f>
        <x:v>980.1758140909432</x:v>
      </x:c>
      <x:c r="X38" s="164" t="n">
        <x:f aca="0">IFERROR(SUMIF(S15_Source_Strata!$B$4:$B$49,$G38,S15_Source_Strata!$Y$4:$Y$49),0)</x:f>
        <x:v>1361.4419761258862</x:v>
      </x:c>
      <x:c r="Y38" s="164" t="n">
        <x:f aca="0">IFERROR(SUMIF(S15_Source_Strata!$B$4:$B$49,$G38,S15_Source_Strata!$Z$4:$Z$49),0)</x:f>
        <x:v>1764.717370128752</x:v>
      </x:c>
      <x:c r="Z38" s="164" t="n">
        <x:f aca="0">IFERROR(SUMIF(S15_Source_Strata!$B$4:$B$49,$G38,S15_Source_Strata!$AA$4:$AA$49),0)</x:f>
        <x:v>2173.4861233025404</x:v>
      </x:c>
      <x:c r="AA38" s="164" t="n">
        <x:f aca="0">IFERROR(SUMIF(S15_Source_Strata!$B$4:$B$49,$G38,S15_Source_Strata!$AB$4:$AB$49),0)</x:f>
        <x:v>2574.853055526109</x:v>
      </x:c>
      <x:c r="AB38" s="164" t="n">
        <x:f aca="0">IFERROR(SUMIF(S15_Source_Strata!$B$4:$B$49,$G38,S15_Source_Strata!$AC$4:$AC$49),0)</x:f>
        <x:v>2959.4855495738652</x:v>
      </x:c>
      <x:c r="AC38" s="164" t="n">
        <x:f aca="0">IFERROR(SUMIF(S15_Source_Strata!$B$4:$B$49,$G38,S15_Source_Strata!$AD$4:$AD$49),0)</x:f>
        <x:v>3321.1708737247495</x:v>
      </x:c>
      <x:c r="AD38" s="164" t="n">
        <x:f aca="0">IFERROR(SUMIF(S15_Source_Strata!$B$4:$B$49,$G38,S15_Source_Strata!$AE$4:$AE$49),0)</x:f>
        <x:v>3656.2350860755096</x:v>
      </x:c>
      <x:c r="AE38" s="164" t="n">
        <x:f aca="0">IFERROR(SUMIF(S15_Source_Strata!$B$4:$B$49,$G38,S15_Source_Strata!$AF$4:$AF$49),0)</x:f>
        <x:v>3962.9594832538137</x:v>
      </x:c>
      <x:c r="AF38" s="164" t="n">
        <x:f aca="0">IFERROR(SUMIF(S15_Source_Strata!$B$4:$B$49,$G38,S15_Source_Strata!$AG$4:$AG$49),0)</x:f>
        <x:v>4241.060475229273</x:v>
      </x:c>
      <x:c r="AG38" s="164" t="n">
        <x:f aca="0">IFERROR(SUMIF(S15_Source_Strata!$B$4:$B$49,$G38,S15_Source_Strata!$AH$4:$AH$49),0)</x:f>
        <x:v>4491.257480302552</x:v>
      </x:c>
      <x:c r="AH38" s="164" t="n">
        <x:f aca="0">IFERROR(SUMIF(S15_Source_Strata!$B$4:$B$49,$G38,S15_Source_Strata!$AI$4:$AI$49),0)</x:f>
        <x:v>4714.931007111416</x:v>
      </x:c>
      <x:c r="AI38" s="164" t="n">
        <x:f aca="0">IFERROR(SUMIF(S15_Source_Strata!$B$4:$B$49,$G38,S15_Source_Strata!$AJ$4:$AJ$49),0)</x:f>
        <x:v>4913.862228644655</x:v>
      </x:c>
      <x:c r="AJ38" s="164" t="n">
        <x:f aca="0">IFERROR(SUMIF(S15_Source_Strata!$B$4:$B$49,$G38,S15_Source_Strata!$AK$4:$AK$49),0)</x:f>
        <x:v>5090.041167714973</x:v>
      </x:c>
      <x:c r="AK38" s="164" t="n">
        <x:f aca="0">IFERROR(SUMIF(S15_Source_Strata!$B$4:$B$49,$G38,S15_Source_Strata!$AL$4:$AL$49),0)</x:f>
        <x:v>5245.530021136775</x:v>
      </x:c>
      <x:c r="AL38" s="165" t="n">
        <x:f aca="0">$F38*Q38</x:f>
        <x:v>0</x:v>
      </x:c>
      <x:c r="AM38" s="165" t="n">
        <x:f aca="0">$F38*R38</x:f>
        <x:v>3.9206538563347113</x:v>
      </x:c>
      <x:c r="AN38" s="165" t="n">
        <x:f aca="0">$F38*S38</x:f>
        <x:v>38.40301711138566</x:v>
      </x:c>
      <x:c r="AO38" s="165" t="n">
        <x:f aca="0">$F38*T38</x:f>
        <x:v>130.73045904370827</x:v>
      </x:c>
      <x:c r="AP38" s="165" t="n">
        <x:f aca="0">$F38*U38</x:f>
        <x:v>291.83689984576654</x:v>
      </x:c>
      <x:c r="AQ38" s="165" t="n">
        <x:f aca="0">$F38*V38</x:f>
        <x:v>516.1025842087275</x:v>
      </x:c>
      <x:c r="AR38" s="165" t="n">
        <x:f aca="0">$F38*W38</x:f>
        <x:v>790.0217061573003</x:v>
      </x:c>
      <x:c r="AS38" s="165" t="n">
        <x:f aca="0">$F38*X38</x:f>
        <x:v>1097.3222327574642</x:v>
      </x:c>
      <x:c r="AT38" s="165" t="n">
        <x:f aca="0">$F38*Y38</x:f>
        <x:v>1422.3622003237742</x:v>
      </x:c>
      <x:c r="AU38" s="165" t="n">
        <x:f aca="0">$F38*Z38</x:f>
        <x:v>1751.8298153818475</x:v>
      </x:c>
      <x:c r="AV38" s="165" t="n">
        <x:f aca="0">$F38*AA38</x:f>
        <x:v>2075.331562754044</x:v>
      </x:c>
      <x:c r="AW38" s="165" t="n">
        <x:f aca="0">$F38*AB38</x:f>
        <x:v>2385.3453529565354</x:v>
      </x:c>
      <x:c r="AX38" s="165" t="n">
        <x:f aca="0">$F38*AC38</x:f>
        <x:v>2676.8637242221484</x:v>
      </x:c>
      <x:c r="AY38" s="165" t="n">
        <x:f aca="0">$F38*AD38</x:f>
        <x:v>2946.925479376861</x:v>
      </x:c>
      <x:c r="AZ38" s="165" t="n">
        <x:f aca="0">$F38*AE38</x:f>
        <x:v>3194.145343502574</x:v>
      </x:c>
      <x:c r="BA38" s="165" t="n">
        <x:f aca="0">$F38*AF38</x:f>
        <x:v>3418.294743034794</x:v>
      </x:c>
      <x:c r="BB38" s="165" t="n">
        <x:f aca="0">$F38*AG38</x:f>
        <x:v>3619.953529123857</x:v>
      </x:c>
      <x:c r="BC38" s="165" t="n">
        <x:f aca="0">$F38*AH38</x:f>
        <x:v>3800.2343917318017</x:v>
      </x:c>
      <x:c r="BD38" s="165" t="n">
        <x:f aca="0">$F38*AI38</x:f>
        <x:v>3960.572956287592</x:v>
      </x:c>
      <x:c r="BE38" s="165" t="n">
        <x:f aca="0">$F38*AJ38</x:f>
        <x:v>4102.573181178269</x:v>
      </x:c>
      <x:c r="BF38" s="165" t="n">
        <x:f aca="0">$F38*AK38</x:f>
        <x:v>4227.897197036241</x:v>
      </x:c>
    </x:row>
    <x:row r="39" ht="15" hidden="0" customHeight="1">
      <x:c r="A39" s="37" t="str">
        <x:v>Tropical &amp; Subtropical Moist Broadleaf Forests</x:v>
      </x:c>
      <x:c r="B39" s="37" t="s">
        <x:v>112</x:v>
      </x:c>
      <x:c r="C39" s="37" t="s">
        <x:v>549</x:v>
      </x:c>
      <x:c r="D39" s="37" t="n">
        <x:v>2021</x:v>
      </x:c>
      <x:c r="E39" s="100" t="n">
        <x:v>44</x:v>
      </x:c>
      <x:c r="F39" s="100" t="n">
        <x:v>43.0298176042088</x:v>
      </x:c>
      <x:c r="G39" s="37" t="s">
        <x:v>613</x:v>
      </x:c>
      <x:c r="H39" s="37" t="n">
        <x:v>1</x:v>
      </x:c>
      <x:c r="I39" s="37" t="s">
        <x:v>1180</x:v>
      </x:c>
      <x:c r="J39" s="37" t="str">
        <x:v>Tropical &amp; Subtropical Moist Broadleaf Forests|2021</x:v>
      </x:c>
      <x:c r="K39" s="37" t="str">
        <x:v>Area × biological stock; VM0047 Eq.(3); PB separately by Biome×Cohort</x:v>
      </x:c>
      <x:c r="Q39" s="164" t="n">
        <x:f aca="0">IFERROR(SUMIF(S15_Source_Strata!$B$4:$B$49,$G39,S15_Source_Strata!$R$4:$R$49),0)</x:f>
        <x:v>0</x:v>
      </x:c>
      <x:c r="R39" s="164" t="n">
        <x:f aca="0">IFERROR(SUMIF(S15_Source_Strata!$B$4:$B$49,$G39,S15_Source_Strata!$S$4:$S$49),0)</x:f>
        <x:v>0</x:v>
      </x:c>
      <x:c r="S39" s="164" t="n">
        <x:f aca="0">IFERROR(SUMIF(S15_Source_Strata!$B$4:$B$49,$G39,S15_Source_Strata!$T$4:$T$49),0)</x:f>
        <x:v>0.17403433875284913</x:v>
      </x:c>
      <x:c r="T39" s="164" t="n">
        <x:f aca="0">IFERROR(SUMIF(S15_Source_Strata!$B$4:$B$49,$G39,S15_Source_Strata!$U$4:$U$49),0)</x:f>
        <x:v>1.808298795281121</x:v>
      </x:c>
      <x:c r="U39" s="164" t="n">
        <x:f aca="0">IFERROR(SUMIF(S15_Source_Strata!$B$4:$B$49,$G39,S15_Source_Strata!$V$4:$V$49),0)</x:f>
        <x:v>6.412198758790387</x:v>
      </x:c>
      <x:c r="V39" s="164" t="n">
        <x:f aca="0">IFERROR(SUMIF(S15_Source_Strata!$B$4:$B$49,$G39,S15_Source_Strata!$W$4:$W$49),0)</x:f>
        <x:v>14.786882216652412</x:v>
      </x:c>
      <x:c r="W39" s="164" t="n">
        <x:f aca="0">IFERROR(SUMIF(S15_Source_Strata!$B$4:$B$49,$G39,S15_Source_Strata!$X$4:$X$49),0)</x:f>
        <x:v>26.87739423749838</x:v>
      </x:c>
      <x:c r="X39" s="164" t="n">
        <x:f aca="0">IFERROR(SUMIF(S15_Source_Strata!$B$4:$B$49,$G39,S15_Source_Strata!$Y$4:$Y$49),0)</x:f>
        <x:v>42.13775763280599</x:v>
      </x:c>
      <x:c r="Y39" s="164" t="n">
        <x:f aca="0">IFERROR(SUMIF(S15_Source_Strata!$B$4:$B$49,$G39,S15_Source_Strata!$Z$4:$Z$49),0)</x:f>
        <x:v>59.78260518527138</x:v>
      </x:c>
      <x:c r="Z39" s="164" t="n">
        <x:f aca="0">IFERROR(SUMIF(S15_Source_Strata!$B$4:$B$49,$G39,S15_Source_Strata!$AA$4:$AA$49),0)</x:f>
        <x:v>78.97824156766397</x:v>
      </x:c>
      <x:c r="AA39" s="164" t="n">
        <x:f aca="0">IFERROR(SUMIF(S15_Source_Strata!$B$4:$B$49,$G39,S15_Source_Strata!$AB$4:$AB$49),0)</x:f>
        <x:v>98.95602185390175</x:v>
      </x:c>
      <x:c r="AB39" s="164" t="n">
        <x:f aca="0">IFERROR(SUMIF(S15_Source_Strata!$B$4:$B$49,$G39,S15_Source_Strata!$AC$4:$AC$49),0)</x:f>
        <x:v>119.06758474596045</x:v>
      </x:c>
      <x:c r="AC39" s="164" t="n">
        <x:f aca="0">IFERROR(SUMIF(S15_Source_Strata!$B$4:$B$49,$G39,S15_Source_Strata!$AD$4:$AD$49),0)</x:f>
        <x:v>138.80222721919424</x:v>
      </x:c>
      <x:c r="AD39" s="164" t="n">
        <x:f aca="0">IFERROR(SUMIF(S15_Source_Strata!$B$4:$B$49,$G39,S15_Source_Strata!$AE$4:$AE$49),0)</x:f>
        <x:v>157.78228035374133</x:v>
      </x:c>
      <x:c r="AE39" s="164" t="n">
        <x:f aca="0">IFERROR(SUMIF(S15_Source_Strata!$B$4:$B$49,$G39,S15_Source_Strata!$AF$4:$AF$49),0)</x:f>
        <x:v>175.74738584896815</x:v>
      </x:c>
      <x:c r="AF39" s="164" t="n">
        <x:f aca="0">IFERROR(SUMIF(S15_Source_Strata!$B$4:$B$49,$G39,S15_Source_Strata!$AG$4:$AG$49),0)</x:f>
        <x:v>192.53453046988696</x:v>
      </x:c>
      <x:c r="AG39" s="164" t="n">
        <x:f aca="0">IFERROR(SUMIF(S15_Source_Strata!$B$4:$B$49,$G39,S15_Source_Strata!$AH$4:$AH$49),0)</x:f>
        <x:v>208.05780653042697</x:v>
      </x:c>
      <x:c r="AH39" s="164" t="n">
        <x:f aca="0">IFERROR(SUMIF(S15_Source_Strata!$B$4:$B$49,$G39,S15_Source_Strata!$AI$4:$AI$49),0)</x:f>
        <x:v>222.2899602891645</x:v>
      </x:c>
      <x:c r="AI39" s="164" t="n">
        <x:f aca="0">IFERROR(SUMIF(S15_Source_Strata!$B$4:$B$49,$G39,S15_Source_Strata!$AJ$4:$AJ$49),0)</x:f>
        <x:v>235.24661033512507</x:v>
      </x:c>
      <x:c r="AJ39" s="164" t="n">
        <x:f aca="0">IFERROR(SUMIF(S15_Source_Strata!$B$4:$B$49,$G39,S15_Source_Strata!$AK$4:$AK$49),0)</x:f>
        <x:v>246.97333409785028</x:v>
      </x:c>
      <x:c r="AK39" s="164" t="n">
        <x:f aca="0">IFERROR(SUMIF(S15_Source_Strata!$B$4:$B$49,$G39,S15_Source_Strata!$AL$4:$AL$49),0)</x:f>
        <x:v>257.53545652664155</x:v>
      </x:c>
      <x:c r="AL39" s="165" t="n">
        <x:f aca="0">$F39*Q39</x:f>
        <x:v>0</x:v>
      </x:c>
      <x:c r="AM39" s="165" t="n">
        <x:f aca="0">$F39*R39</x:f>
        <x:v>0</x:v>
      </x:c>
      <x:c r="AN39" s="165" t="n">
        <x:f aca="0">$F39*S39</x:f>
        <x:v>7.488665853404186</x:v>
      </x:c>
      <x:c r="AO39" s="165" t="n">
        <x:f aca="0">$F39*T39</x:f>
        <x:v>77.81076733485715</x:v>
      </x:c>
      <x:c r="AP39" s="165" t="n">
        <x:f aca="0">$F39*U39</x:f>
        <x:v>275.9157430326844</x:v>
      </x:c>
      <x:c r="AQ39" s="165" t="n">
        <x:f aca="0">$F39*V39</x:f>
        <x:v>636.276844717472</x:v>
      </x:c>
      <x:c r="AR39" s="165" t="n">
        <x:f aca="0">$F39*W39</x:f>
        <x:v>1156.529371715968</x:v>
      </x:c>
      <x:c r="AS39" s="165" t="n">
        <x:f aca="0">$F39*X39</x:f>
        <x:v>1813.180025189999</x:v>
      </x:c>
      <x:c r="AT39" s="165" t="n">
        <x:f aca="0">$F39*Y39</x:f>
        <x:v>2572.434597026655</x:v>
      </x:c>
      <x:c r="AU39" s="165" t="n">
        <x:f aca="0">$F39*Z39</x:f>
        <x:v>3398.4193293577223</x:v>
      </x:c>
      <x:c r="AV39" s="165" t="n">
        <x:f aca="0">$F39*AA39</x:f>
        <x:v>4258.059571211492</x:v>
      </x:c>
      <x:c r="AW39" s="165" t="n">
        <x:f aca="0">$F39*AB39</x:f>
        <x:v>5123.456454192352</x:v>
      </x:c>
      <x:c r="AX39" s="165" t="n">
        <x:f aca="0">$F39*AC39</x:f>
        <x:v>5972.634520299875</x:v>
      </x:c>
      <x:c r="AY39" s="165" t="n">
        <x:f aca="0">$F39*AD39</x:f>
        <x:v>6789.342744797627</x:v>
      </x:c>
      <x:c r="AZ39" s="165" t="n">
        <x:f aca="0">$F39*AE39</x:f>
        <x:v>7562.377957497607</x:v>
      </x:c>
      <x:c r="BA39" s="165" t="n">
        <x:f aca="0">$F39*AF39</x:f>
        <x:v>8284.725728631218</x:v>
      </x:c>
      <x:c r="BB39" s="165" t="n">
        <x:f aca="0">$F39*AG39</x:f>
        <x:v>8952.689466136035</x:v>
      </x:c>
      <x:c r="BC39" s="165" t="n">
        <x:f aca="0">$F39*AH39</x:f>
        <x:v>9565.096446489566</x:v>
      </x:c>
      <x:c r="BD39" s="165" t="n">
        <x:f aca="0">$F39*AI39</x:f>
        <x:v>10122.618734728812</x:v>
      </x:c>
      <x:c r="BE39" s="165" t="n">
        <x:f aca="0">$F39*AJ39</x:f>
        <x:v>10627.21751933382</x:v>
      </x:c>
      <x:c r="BF39" s="165" t="n">
        <x:f aca="0">$F39*AK39</x:f>
        <x:v>11081.703720958032</x:v>
      </x:c>
    </x:row>
    <x:row r="40" ht="15" hidden="0" customHeight="1">
      <x:c r="A40" s="37" t="str">
        <x:v>Tropical &amp; Subtropical Moist Broadleaf Forests</x:v>
      </x:c>
      <x:c r="B40" s="37" t="s">
        <x:v>112</x:v>
      </x:c>
      <x:c r="C40" s="37" t="s">
        <x:v>553</x:v>
      </x:c>
      <x:c r="D40" s="37" t="n">
        <x:v>2021</x:v>
      </x:c>
      <x:c r="E40" s="100" t="n">
        <x:v>56</x:v>
      </x:c>
      <x:c r="F40" s="100" t="n">
        <x:v>31.5076643464185</x:v>
      </x:c>
      <x:c r="G40" s="37" t="s">
        <x:v>616</x:v>
      </x:c>
      <x:c r="H40" s="37" t="n">
        <x:v>2</x:v>
      </x:c>
      <x:c r="I40" s="37" t="s">
        <x:v>1180</x:v>
      </x:c>
      <x:c r="J40" s="37" t="str">
        <x:v>Tropical &amp; Subtropical Moist Broadleaf Forests|2021</x:v>
      </x:c>
      <x:c r="K40" s="37" t="str">
        <x:v>Area × biological stock; VM0047 Eq.(3); PB separately by Biome×Cohort</x:v>
      </x:c>
      <x:c r="Q40" s="164" t="n">
        <x:f aca="0">IFERROR(SUMIF(S15_Source_Strata!$B$4:$B$49,$G40,S15_Source_Strata!$R$4:$R$49),0)</x:f>
        <x:v>0</x:v>
      </x:c>
      <x:c r="R40" s="164" t="n">
        <x:f aca="0">IFERROR(SUMIF(S15_Source_Strata!$B$4:$B$49,$G40,S15_Source_Strata!$S$4:$S$49),0)</x:f>
        <x:v>0</x:v>
      </x:c>
      <x:c r="S40" s="164" t="n">
        <x:f aca="0">IFERROR(SUMIF(S15_Source_Strata!$B$4:$B$49,$G40,S15_Source_Strata!$T$4:$T$49),0)</x:f>
        <x:v>0.12283356113190305</x:v>
      </x:c>
      <x:c r="T40" s="164" t="n">
        <x:f aca="0">IFERROR(SUMIF(S15_Source_Strata!$B$4:$B$49,$G40,S15_Source_Strata!$U$4:$U$49),0)</x:f>
        <x:v>1.4989505769070053</x:v>
      </x:c>
      <x:c r="U40" s="164" t="n">
        <x:f aca="0">IFERROR(SUMIF(S15_Source_Strata!$B$4:$B$49,$G40,S15_Source_Strata!$V$4:$V$49),0)</x:f>
        <x:v>5.735466422719506</x:v>
      </x:c>
      <x:c r="V40" s="164" t="n">
        <x:f aca="0">IFERROR(SUMIF(S15_Source_Strata!$B$4:$B$49,$G40,S15_Source_Strata!$W$4:$W$49),0)</x:f>
        <x:v>13.80887340940617</x:v>
      </x:c>
      <x:c r="W40" s="164" t="n">
        <x:f aca="0">IFERROR(SUMIF(S15_Source_Strata!$B$4:$B$49,$G40,S15_Source_Strata!$X$4:$X$49),0)</x:f>
        <x:v>25.770767265692307</x:v>
      </x:c>
      <x:c r="X40" s="164" t="n">
        <x:f aca="0">IFERROR(SUMIF(S15_Source_Strata!$B$4:$B$49,$G40,S15_Source_Strata!$Y$4:$Y$49),0)</x:f>
        <x:v>41.08811707245167</x:v>
      </x:c>
      <x:c r="Y40" s="164" t="n">
        <x:f aca="0">IFERROR(SUMIF(S15_Source_Strata!$B$4:$B$49,$G40,S15_Source_Strata!$Z$4:$Z$49),0)</x:f>
        <x:v>58.936105685083724</x:v>
      </x:c>
      <x:c r="Z40" s="164" t="n">
        <x:f aca="0">IFERROR(SUMIF(S15_Source_Strata!$B$4:$B$49,$G40,S15_Source_Strata!$AA$4:$AA$49),0)</x:f>
        <x:v>78.4246944693513</x:v>
      </x:c>
      <x:c r="AA40" s="164" t="n">
        <x:f aca="0">IFERROR(SUMIF(S15_Source_Strata!$B$4:$B$49,$G40,S15_Source_Strata!$AB$4:$AB$49),0)</x:f>
        <x:v>98.73296069056644</x:v>
      </x:c>
      <x:c r="AB40" s="164" t="n">
        <x:f aca="0">IFERROR(SUMIF(S15_Source_Strata!$B$4:$B$49,$G40,S15_Source_Strata!$AC$4:$AC$49),0)</x:f>
        <x:v>119.17300190182442</x:v>
      </x:c>
      <x:c r="AC40" s="164" t="n">
        <x:f aca="0">IFERROR(SUMIF(S15_Source_Strata!$B$4:$B$49,$G40,S15_Source_Strata!$AD$4:$AD$49),0)</x:f>
        <x:v>139.20862378390527</x:v>
      </x:c>
      <x:c r="AD40" s="164" t="n">
        <x:f aca="0">IFERROR(SUMIF(S15_Source_Strata!$B$4:$B$49,$G40,S15_Source_Strata!$AE$4:$AE$49),0)</x:f>
        <x:v>158.44860426891884</x:v>
      </x:c>
      <x:c r="AE40" s="164" t="n">
        <x:f aca="0">IFERROR(SUMIF(S15_Source_Strata!$B$4:$B$49,$G40,S15_Source_Strata!$AF$4:$AF$49),0)</x:f>
        <x:v>176.62781196273997</x:v>
      </x:c>
      <x:c r="AF40" s="164" t="n">
        <x:f aca="0">IFERROR(SUMIF(S15_Source_Strata!$B$4:$B$49,$G40,S15_Source_Strata!$AG$4:$AG$49),0)</x:f>
        <x:v>193.58422058428138</x:v>
      </x:c>
      <x:c r="AG40" s="164" t="n">
        <x:f aca="0">IFERROR(SUMIF(S15_Source_Strata!$B$4:$B$49,$G40,S15_Source_Strata!$AH$4:$AH$49),0)</x:f>
        <x:v>209.23624513952902</x:v>
      </x:c>
      <x:c r="AH40" s="164" t="n">
        <x:f aca="0">IFERROR(SUMIF(S15_Source_Strata!$B$4:$B$49,$G40,S15_Source_Strata!$AI$4:$AI$49),0)</x:f>
        <x:v>223.5625415771482</x:v>
      </x:c>
      <x:c r="AI40" s="164" t="n">
        <x:f aca="0">IFERROR(SUMIF(S15_Source_Strata!$B$4:$B$49,$G40,S15_Source_Strata!$AJ$4:$AJ$49),0)</x:f>
        <x:v>236.58506751930585</x:v>
      </x:c>
      <x:c r="AJ40" s="164" t="n">
        <x:f aca="0">IFERROR(SUMIF(S15_Source_Strata!$B$4:$B$49,$G40,S15_Source_Strata!$AK$4:$AK$49),0)</x:f>
        <x:v>248.355467468293</x:v>
      </x:c>
      <x:c r="AK40" s="164" t="n">
        <x:f aca="0">IFERROR(SUMIF(S15_Source_Strata!$B$4:$B$49,$G40,S15_Source_Strata!$AL$4:$AL$49),0)</x:f>
        <x:v>258.94448483826704</x:v>
      </x:c>
      <x:c r="AL40" s="165" t="n">
        <x:f aca="0">$F40*Q40</x:f>
        <x:v>0</x:v>
      </x:c>
      <x:c r="AM40" s="165" t="n">
        <x:f aca="0">$F40*R40</x:f>
        <x:v>0</x:v>
      </x:c>
      <x:c r="AN40" s="165" t="n">
        <x:f aca="0">$F40*S40</x:f>
        <x:v>3.8701986146192793</x:v>
      </x:c>
      <x:c r="AO40" s="165" t="n">
        <x:f aca="0">$F40*T40</x:f>
        <x:v>47.2284316490563</x:v>
      </x:c>
      <x:c r="AP40" s="165" t="n">
        <x:f aca="0">$F40*U40</x:f>
        <x:v>180.71115091719986</x:v>
      </x:c>
      <x:c r="AQ40" s="165" t="n">
        <x:f aca="0">$F40*V40</x:f>
        <x:v>435.08534838575326</x:v>
      </x:c>
      <x:c r="AR40" s="165" t="n">
        <x:f aca="0">$F40*W40</x:f>
        <x:v>811.9766849571025</x:v>
      </x:c>
      <x:c r="AS40" s="165" t="n">
        <x:f aca="0">$F40*X40</x:f>
        <x:v>1294.590601345155</x:v>
      </x:c>
      <x:c r="AT40" s="165" t="n">
        <x:f aca="0">$F40*Y40</x:f>
        <x:v>1856.9390358106652</x:v>
      </x:c>
      <x:c r="AU40" s="165" t="n">
        <x:f aca="0">$F40*Z40</x:f>
        <x:v>2470.978949810744</x:v>
      </x:c>
      <x:c r="AV40" s="165" t="n">
        <x:f aca="0">$F40*AA40</x:f>
        <x:v>3110.8449853664997</x:v>
      </x:c>
      <x:c r="AW40" s="165" t="n">
        <x:f aca="0">$F40*AB40</x:f>
        <x:v>3754.8629430777773</x:v>
      </x:c>
      <x:c r="AX40" s="165" t="n">
        <x:f aca="0">$F40*AC40</x:f>
        <x:v>4386.138592310139</x:v>
      </x:c>
      <x:c r="AY40" s="165" t="n">
        <x:f aca="0">$F40*AD40</x:f>
        <x:v>4992.345439463588</x:v>
      </x:c>
      <x:c r="AZ40" s="165" t="n">
        <x:f aca="0">$F40*AE40</x:f>
        <x:v>5565.129813564334</x:v>
      </x:c>
      <x:c r="BA40" s="165" t="n">
        <x:f aca="0">$F40*AF40</x:f>
        <x:v>6099.386644932577</x:v>
      </x:c>
      <x:c r="BB40" s="165" t="n">
        <x:f aca="0">$F40*AG40</x:f>
        <x:v>6592.54538096122</x:v>
      </x:c>
      <x:c r="BC40" s="165" t="n">
        <x:f aca="0">$F40*AH40</x:f>
        <x:v>7043.933520445016</x:v>
      </x:c>
      <x:c r="BD40" s="165" t="n">
        <x:f aca="0">$F40*AI40</x:f>
        <x:v>7454.242896773047</x:v>
      </x:c>
      <x:c r="BE40" s="165" t="n">
        <x:f aca="0">$F40*AJ40</x:f>
        <x:v>7825.100707588836</x:v>
      </x:c>
      <x:c r="BF40" s="165" t="n">
        <x:f aca="0">$F40*AK40</x:f>
        <x:v>8158.735912640373</x:v>
      </x:c>
    </x:row>
    <x:row r="41" ht="15" hidden="0" customHeight="1">
      <x:c r="A41" s="37" t="str">
        <x:v>Tropical &amp; Subtropical Moist Broadleaf Forests</x:v>
      </x:c>
      <x:c r="B41" s="37" t="s">
        <x:v>112</x:v>
      </x:c>
      <x:c r="C41" s="37" t="s">
        <x:v>549</x:v>
      </x:c>
      <x:c r="D41" s="37" t="n">
        <x:v>2022</x:v>
      </x:c>
      <x:c r="E41" s="100" t="n">
        <x:v>23</x:v>
      </x:c>
      <x:c r="F41" s="100" t="n">
        <x:v>28.1454936058276</x:v>
      </x:c>
      <x:c r="G41" s="37" t="s">
        <x:v>621</x:v>
      </x:c>
      <x:c r="H41" s="37" t="n">
        <x:v>1</x:v>
      </x:c>
      <x:c r="I41" s="37" t="s">
        <x:v>1180</x:v>
      </x:c>
      <x:c r="J41" s="37" t="str">
        <x:v>Tropical &amp; Subtropical Moist Broadleaf Forests|2022</x:v>
      </x:c>
      <x:c r="K41" s="37" t="str">
        <x:v>Area × biological stock; VM0047 Eq.(3); PB separately by Biome×Cohort</x:v>
      </x:c>
      <x:c r="Q41" s="164" t="n">
        <x:f aca="0">IFERROR(SUMIF(S15_Source_Strata!$B$4:$B$49,$G41,S15_Source_Strata!$R$4:$R$49),0)</x:f>
        <x:v>0</x:v>
      </x:c>
      <x:c r="R41" s="164" t="n">
        <x:f aca="0">IFERROR(SUMIF(S15_Source_Strata!$B$4:$B$49,$G41,S15_Source_Strata!$S$4:$S$49),0)</x:f>
        <x:v>0</x:v>
      </x:c>
      <x:c r="S41" s="164" t="n">
        <x:f aca="0">IFERROR(SUMIF(S15_Source_Strata!$B$4:$B$49,$G41,S15_Source_Strata!$T$4:$T$49),0)</x:f>
        <x:v>0</x:v>
      </x:c>
      <x:c r="T41" s="164" t="n">
        <x:f aca="0">IFERROR(SUMIF(S15_Source_Strata!$B$4:$B$49,$G41,S15_Source_Strata!$U$4:$U$49),0)</x:f>
        <x:v>0.17403433875284913</x:v>
      </x:c>
      <x:c r="U41" s="164" t="n">
        <x:f aca="0">IFERROR(SUMIF(S15_Source_Strata!$B$4:$B$49,$G41,S15_Source_Strata!$V$4:$V$49),0)</x:f>
        <x:v>1.808298795281121</x:v>
      </x:c>
      <x:c r="V41" s="164" t="n">
        <x:f aca="0">IFERROR(SUMIF(S15_Source_Strata!$B$4:$B$49,$G41,S15_Source_Strata!$W$4:$W$49),0)</x:f>
        <x:v>6.412198758790387</x:v>
      </x:c>
      <x:c r="W41" s="164" t="n">
        <x:f aca="0">IFERROR(SUMIF(S15_Source_Strata!$B$4:$B$49,$G41,S15_Source_Strata!$X$4:$X$49),0)</x:f>
        <x:v>14.786882216652412</x:v>
      </x:c>
      <x:c r="X41" s="164" t="n">
        <x:f aca="0">IFERROR(SUMIF(S15_Source_Strata!$B$4:$B$49,$G41,S15_Source_Strata!$Y$4:$Y$49),0)</x:f>
        <x:v>26.87739423749838</x:v>
      </x:c>
      <x:c r="Y41" s="164" t="n">
        <x:f aca="0">IFERROR(SUMIF(S15_Source_Strata!$B$4:$B$49,$G41,S15_Source_Strata!$Z$4:$Z$49),0)</x:f>
        <x:v>42.13775763280599</x:v>
      </x:c>
      <x:c r="Z41" s="164" t="n">
        <x:f aca="0">IFERROR(SUMIF(S15_Source_Strata!$B$4:$B$49,$G41,S15_Source_Strata!$AA$4:$AA$49),0)</x:f>
        <x:v>59.78260518527138</x:v>
      </x:c>
      <x:c r="AA41" s="164" t="n">
        <x:f aca="0">IFERROR(SUMIF(S15_Source_Strata!$B$4:$B$49,$G41,S15_Source_Strata!$AB$4:$AB$49),0)</x:f>
        <x:v>78.97824156766397</x:v>
      </x:c>
      <x:c r="AB41" s="164" t="n">
        <x:f aca="0">IFERROR(SUMIF(S15_Source_Strata!$B$4:$B$49,$G41,S15_Source_Strata!$AC$4:$AC$49),0)</x:f>
        <x:v>98.95602185390175</x:v>
      </x:c>
      <x:c r="AC41" s="164" t="n">
        <x:f aca="0">IFERROR(SUMIF(S15_Source_Strata!$B$4:$B$49,$G41,S15_Source_Strata!$AD$4:$AD$49),0)</x:f>
        <x:v>119.06758474596045</x:v>
      </x:c>
      <x:c r="AD41" s="164" t="n">
        <x:f aca="0">IFERROR(SUMIF(S15_Source_Strata!$B$4:$B$49,$G41,S15_Source_Strata!$AE$4:$AE$49),0)</x:f>
        <x:v>138.80222721919424</x:v>
      </x:c>
      <x:c r="AE41" s="164" t="n">
        <x:f aca="0">IFERROR(SUMIF(S15_Source_Strata!$B$4:$B$49,$G41,S15_Source_Strata!$AF$4:$AF$49),0)</x:f>
        <x:v>157.78228035374133</x:v>
      </x:c>
      <x:c r="AF41" s="164" t="n">
        <x:f aca="0">IFERROR(SUMIF(S15_Source_Strata!$B$4:$B$49,$G41,S15_Source_Strata!$AG$4:$AG$49),0)</x:f>
        <x:v>175.74738584896815</x:v>
      </x:c>
      <x:c r="AG41" s="164" t="n">
        <x:f aca="0">IFERROR(SUMIF(S15_Source_Strata!$B$4:$B$49,$G41,S15_Source_Strata!$AH$4:$AH$49),0)</x:f>
        <x:v>192.53453046988696</x:v>
      </x:c>
      <x:c r="AH41" s="164" t="n">
        <x:f aca="0">IFERROR(SUMIF(S15_Source_Strata!$B$4:$B$49,$G41,S15_Source_Strata!$AI$4:$AI$49),0)</x:f>
        <x:v>208.05780653042697</x:v>
      </x:c>
      <x:c r="AI41" s="164" t="n">
        <x:f aca="0">IFERROR(SUMIF(S15_Source_Strata!$B$4:$B$49,$G41,S15_Source_Strata!$AJ$4:$AJ$49),0)</x:f>
        <x:v>222.2899602891645</x:v>
      </x:c>
      <x:c r="AJ41" s="164" t="n">
        <x:f aca="0">IFERROR(SUMIF(S15_Source_Strata!$B$4:$B$49,$G41,S15_Source_Strata!$AK$4:$AK$49),0)</x:f>
        <x:v>235.24661033512507</x:v>
      </x:c>
      <x:c r="AK41" s="164" t="n">
        <x:f aca="0">IFERROR(SUMIF(S15_Source_Strata!$B$4:$B$49,$G41,S15_Source_Strata!$AL$4:$AL$49),0)</x:f>
        <x:v>246.97333409785028</x:v>
      </x:c>
      <x:c r="AL41" s="165" t="n">
        <x:f aca="0">$F41*Q41</x:f>
        <x:v>0</x:v>
      </x:c>
      <x:c r="AM41" s="165" t="n">
        <x:f aca="0">$F41*R41</x:f>
        <x:v>0</x:v>
      </x:c>
      <x:c r="AN41" s="165" t="n">
        <x:f aca="0">$F41*S41</x:f>
        <x:v>0</x:v>
      </x:c>
      <x:c r="AO41" s="165" t="n">
        <x:f aca="0">$F41*T41</x:f>
        <x:v>4.898282368562749</x:v>
      </x:c>
      <x:c r="AP41" s="165" t="n">
        <x:f aca="0">$F41*U41</x:f>
        <x:v>50.89546218001054</x:v>
      </x:c>
      <x:c r="AQ41" s="165" t="n">
        <x:f aca="0">$F41*V41</x:f>
        <x:v>180.47449916483052</x:v>
      </x:c>
      <x:c r="AR41" s="165" t="n">
        <x:f aca="0">$F41*W41</x:f>
        <x:v>416.1840988789163</x:v>
      </x:c>
      <x:c r="AS41" s="165" t="n">
        <x:f aca="0">$F41*X41</x:f>
        <x:v>756.4775276528183</x:v>
      </x:c>
      <x:c r="AT41" s="165" t="n">
        <x:f aca="0">$F41*Y41</x:f>
        <x:v>1185.9879880180542</x:v>
      </x:c>
      <x:c r="AU41" s="165" t="n">
        <x:f aca="0">$F41*Z41</x:f>
        <x:v>1682.6109319817715</x:v>
      </x:c>
      <x:c r="AV41" s="165" t="n">
        <x:f aca="0">$F41*AA41</x:f>
        <x:v>2222.881593042194</x:v>
      </x:c>
      <x:c r="AW41" s="165" t="n">
        <x:f aca="0">$F41*AB41</x:f>
        <x:v>2785.1660803471277</x:v>
      </x:c>
      <x:c r="AX41" s="165" t="n">
        <x:f aca="0">$F41*AC41</x:f>
        <x:v>3351.2159451287657</x:v>
      </x:c>
      <x:c r="AY41" s="165" t="n">
        <x:f aca="0">$F41*AD41</x:f>
        <x:v>3906.657198672461</x:v>
      </x:c>
      <x:c r="AZ41" s="165" t="n">
        <x:f aca="0">$F41*AE41</x:f>
        <x:v>4440.860162809125</x:v>
      </x:c>
      <x:c r="BA41" s="165" t="n">
        <x:f aca="0">$F41*AF41</x:f>
        <x:v>4946.496924653049</x:v>
      </x:c>
      <x:c r="BB41" s="165" t="n">
        <x:f aca="0">$F41*AG41</x:f>
        <x:v>5418.979396241222</x:v>
      </x:c>
      <x:c r="BC41" s="165" t="n">
        <x:f aca="0">$F41*AH41</x:f>
        <x:v>5855.889663344648</x:v>
      </x:c>
      <x:c r="BD41" s="165" t="n">
        <x:f aca="0">$F41*AI41</x:f>
        <x:v>6256.460655958351</x:v>
      </x:c>
      <x:c r="BE41" s="165" t="n">
        <x:f aca="0">$F41*AJ41</x:f>
        <x:v>6621.1319669798795</x:v>
      </x:c>
      <x:c r="BF41" s="165" t="n">
        <x:f aca="0">$F41*AK41</x:f>
        <x:v>6951.186395660969</x:v>
      </x:c>
    </x:row>
    <x:row r="42" ht="15" hidden="0" customHeight="1">
      <x:c r="A42" s="37" t="str">
        <x:v>Tropical &amp; Subtropical Moist Broadleaf Forests</x:v>
      </x:c>
      <x:c r="B42" s="37" t="s">
        <x:v>112</x:v>
      </x:c>
      <x:c r="C42" s="37" t="s">
        <x:v>553</x:v>
      </x:c>
      <x:c r="D42" s="37" t="n">
        <x:v>2022</x:v>
      </x:c>
      <x:c r="E42" s="100" t="n">
        <x:v>24</x:v>
      </x:c>
      <x:c r="F42" s="100" t="n">
        <x:v>14.8103200323756</x:v>
      </x:c>
      <x:c r="G42" s="37" t="s">
        <x:v>1112</x:v>
      </x:c>
      <x:c r="H42" s="37" t="n">
        <x:v>0</x:v>
      </x:c>
      <x:c r="I42" s="37" t="s">
        <x:v>1185</x:v>
      </x:c>
      <x:c r="J42" s="37" t="str">
        <x:v>Tropical &amp; Subtropical Moist Broadleaf Forests|2022</x:v>
      </x:c>
      <x:c r="K42" s="37" t="str">
        <x:v>Area × biological stock; VM0047 Eq.(3); PB separately by Biome×Cohort</x:v>
      </x:c>
      <x:c r="Q42" s="164" t="n">
        <x:f aca="0">IFERROR(SUMIF(S15_Source_Strata!$B$4:$B$49,$G42,S15_Source_Strata!$R$4:$R$49),0)</x:f>
        <x:v>0</x:v>
      </x:c>
      <x:c r="R42" s="164" t="n">
        <x:f aca="0">IFERROR(SUMIF(S15_Source_Strata!$B$4:$B$49,$G42,S15_Source_Strata!$S$4:$S$49),0)</x:f>
        <x:v>0</x:v>
      </x:c>
      <x:c r="S42" s="164" t="n">
        <x:f aca="0">IFERROR(SUMIF(S15_Source_Strata!$B$4:$B$49,$G42,S15_Source_Strata!$T$4:$T$49),0)</x:f>
        <x:v>0</x:v>
      </x:c>
      <x:c r="T42" s="164" t="n">
        <x:f aca="0">IFERROR(SUMIF(S15_Source_Strata!$B$4:$B$49,$G42,S15_Source_Strata!$U$4:$U$49),0)</x:f>
        <x:v>0.6441032625151308</x:v>
      </x:c>
      <x:c r="U42" s="164" t="n">
        <x:f aca="0">IFERROR(SUMIF(S15_Source_Strata!$B$4:$B$49,$G42,S15_Source_Strata!$V$4:$V$49),0)</x:f>
        <x:v>6.274634952775498</x:v>
      </x:c>
      <x:c r="V42" s="164" t="n">
        <x:f aca="0">IFERROR(SUMIF(S15_Source_Strata!$B$4:$B$49,$G42,S15_Source_Strata!$W$4:$W$49),0)</x:f>
        <x:v>21.135569424368043</x:v>
      </x:c>
      <x:c r="W42" s="164" t="n">
        <x:f aca="0">IFERROR(SUMIF(S15_Source_Strata!$B$4:$B$49,$G42,S15_Source_Strata!$X$4:$X$49),0)</x:f>
        <x:v>46.61928721929594</x:v>
      </x:c>
      <x:c r="X42" s="164" t="n">
        <x:f aca="0">IFERROR(SUMIF(S15_Source_Strata!$B$4:$B$49,$G42,S15_Source_Strata!$Y$4:$Y$49),0)</x:f>
        <x:v>81.45290097807585</x:v>
      </x:c>
      <x:c r="Y42" s="164" t="n">
        <x:f aca="0">IFERROR(SUMIF(S15_Source_Strata!$B$4:$B$49,$G42,S15_Source_Strata!$Z$4:$Z$49),0)</x:f>
        <x:v>123.24721308749875</x:v>
      </x:c>
      <x:c r="Z42" s="164" t="n">
        <x:f aca="0">IFERROR(SUMIF(S15_Source_Strata!$B$4:$B$49,$G42,S15_Source_Strata!$AA$4:$AA$49),0)</x:f>
        <x:v>169.35150899149957</x:v>
      </x:c>
      <x:c r="AA42" s="164" t="n">
        <x:f aca="0">IFERROR(SUMIF(S15_Source_Strata!$B$4:$B$49,$G42,S15_Source_Strata!$AB$4:$AB$49),0)</x:f>
        <x:v>217.36351064090428</x:v>
      </x:c>
      <x:c r="AB42" s="164" t="n">
        <x:f aca="0">IFERROR(SUMIF(S15_Source_Strata!$B$4:$B$49,$G42,S15_Source_Strata!$AC$4:$AC$49),0)</x:f>
        <x:v>265.34468187995606</x:v>
      </x:c>
      <x:c r="AC42" s="164" t="n">
        <x:f aca="0">IFERROR(SUMIF(S15_Source_Strata!$B$4:$B$49,$G42,S15_Source_Strata!$AD$4:$AD$49),0)</x:f>
        <x:v>311.86119196428444</x:v>
      </x:c>
      <x:c r="AD42" s="164" t="n">
        <x:f aca="0">IFERROR(SUMIF(S15_Source_Strata!$B$4:$B$49,$G42,S15_Source_Strata!$AE$4:$AE$49),0)</x:f>
        <x:v>355.9372993896785</x:v>
      </x:c>
      <x:c r="AE42" s="164" t="n">
        <x:f aca="0">IFERROR(SUMIF(S15_Source_Strata!$B$4:$B$49,$G42,S15_Source_Strata!$AF$4:$AF$49),0)</x:f>
        <x:v>396.97433539378875</x:v>
      </x:c>
      <x:c r="AF42" s="164" t="n">
        <x:f aca="0">IFERROR(SUMIF(S15_Source_Strata!$B$4:$B$49,$G42,S15_Source_Strata!$AG$4:$AG$49),0)</x:f>
        <x:v>434.66423612327816</x:v>
      </x:c>
      <x:c r="AG42" s="164" t="n">
        <x:f aca="0">IFERROR(SUMIF(S15_Source_Strata!$B$4:$B$49,$G42,S15_Source_Strata!$AH$4:$AH$49),0)</x:f>
        <x:v>468.9113865813359</x:v>
      </x:c>
      <x:c r="AH42" s="164" t="n">
        <x:f aca="0">IFERROR(SUMIF(S15_Source_Strata!$B$4:$B$49,$G42,S15_Source_Strata!$AI$4:$AI$49),0)</x:f>
        <x:v>499.7678891038304</x:v>
      </x:c>
      <x:c r="AI42" s="164" t="n">
        <x:f aca="0">IFERROR(SUMIF(S15_Source_Strata!$B$4:$B$49,$G42,S15_Source_Strata!$AJ$4:$AJ$49),0)</x:f>
        <x:v>527.3828772183897</x:v>
      </x:c>
      <x:c r="AJ42" s="164" t="n">
        <x:f aca="0">IFERROR(SUMIF(S15_Source_Strata!$B$4:$B$49,$G42,S15_Source_Strata!$AK$4:$AK$49),0)</x:f>
        <x:v>551.9644413483702</x:v>
      </x:c>
      <x:c r="AK42" s="164" t="n">
        <x:f aca="0">IFERROR(SUMIF(S15_Source_Strata!$B$4:$B$49,$G42,S15_Source_Strata!$AL$4:$AL$49),0)</x:f>
        <x:v>573.7520089252565</x:v>
      </x:c>
      <x:c r="AL42" s="165" t="n">
        <x:f aca="0">$F42*Q42</x:f>
        <x:v>0</x:v>
      </x:c>
      <x:c r="AM42" s="165" t="n">
        <x:f aca="0">$F42*R42</x:f>
        <x:v>0</x:v>
      </x:c>
      <x:c r="AN42" s="165" t="n">
        <x:f aca="0">$F42*S42</x:f>
        <x:v>0</x:v>
      </x:c>
      <x:c r="AO42" s="165" t="n">
        <x:f aca="0">$F42*T42</x:f>
        <x:v>9.539375451746322</x:v>
      </x:c>
      <x:c r="AP42" s="165" t="n">
        <x:f aca="0">$F42*U42</x:f>
        <x:v>92.92935173693509</x:v>
      </x:c>
      <x:c r="AQ42" s="165" t="n">
        <x:f aca="0">$F42*V42</x:f>
        <x:v>313.02454724138323</x:v>
      </x:c>
      <x:c r="AR42" s="165" t="n">
        <x:f aca="0">$F42*W42</x:f>
        <x:v>690.4465633990104</x:v>
      </x:c>
      <x:c r="AS42" s="165" t="n">
        <x:f aca="0">$F42*X42</x:f>
        <x:v>1206.3435310507027</x:v>
      </x:c>
      <x:c r="AT42" s="165" t="n">
        <x:f aca="0">$F42*Y42</x:f>
        <x:v>1825.330668924247</x:v>
      </x:c>
      <x:c r="AU42" s="165" t="n">
        <x:f aca="0">$F42*Z42</x:f>
        <x:v>2508.150046129843</x:v>
      </x:c>
      <x:c r="AV42" s="165" t="n">
        <x:f aca="0">$F42*AA42</x:f>
        <x:v>3219.2231559524716</x:v>
      </x:c>
      <x:c r="AW42" s="165" t="n">
        <x:f aca="0">$F42*AB42</x:f>
        <x:v>3929.839657531044</x:v>
      </x:c>
      <x:c r="AX42" s="165" t="n">
        <x:f aca="0">$F42*AC42</x:f>
        <x:v>4618.764058669174</x:v>
      </x:c>
      <x:c r="AY42" s="165" t="n">
        <x:f aca="0">$F42*AD42</x:f>
        <x:v>5271.545315420627</x:v>
      </x:c>
      <x:c r="AZ42" s="165" t="n">
        <x:f aca="0">$F42*AE42</x:f>
        <x:v>5879.31695182162</x:v>
      </x:c>
      <x:c r="BA42" s="165" t="n">
        <x:f aca="0">$F42*AF42</x:f>
        <x:v>6437.516443613825</x:v>
      </x:c>
      <x:c r="BB42" s="165" t="n">
        <x:f aca="0">$F42*AG42</x:f>
        <x:v>6944.727702094578</x:v>
      </x:c>
      <x:c r="BC42" s="165" t="n">
        <x:f aca="0">$F42*AH42</x:f>
        <x:v>7401.722379532526</x:v>
      </x:c>
      <x:c r="BD42" s="165" t="n">
        <x:f aca="0">$F42*AI42</x:f>
        <x:v>7810.709191199398</x:v>
      </x:c>
      <x:c r="BE42" s="165" t="n">
        <x:f aca="0">$F42*AJ42</x:f>
        <x:v>8174.770022860774</x:v>
      </x:c>
      <x:c r="BF42" s="165" t="n">
        <x:f aca="0">$F42*AK42</x:f>
        <x:v>8497.45087140147</x:v>
      </x:c>
    </x:row>
    <x:row r="43" ht="15" hidden="0" customHeight="1">
      <x:c r="A43" s="37" t="str">
        <x:v>Tropical &amp; Subtropical Moist Broadleaf Forests</x:v>
      </x:c>
      <x:c r="B43" s="37" t="s">
        <x:v>112</x:v>
      </x:c>
      <x:c r="C43" s="37" t="s">
        <x:v>549</x:v>
      </x:c>
      <x:c r="D43" s="37" t="n">
        <x:v>2023</x:v>
      </x:c>
      <x:c r="E43" s="100" t="n">
        <x:v>2</x:v>
      </x:c>
      <x:c r="F43" s="100" t="n">
        <x:v>2.0182</x:v>
      </x:c>
      <x:c r="G43" s="37" t="s">
        <x:v>1119</x:v>
      </x:c>
      <x:c r="H43" s="37" t="n">
        <x:v>0</x:v>
      </x:c>
      <x:c r="I43" s="37" t="s">
        <x:v>1185</x:v>
      </x:c>
      <x:c r="J43" s="37" t="str">
        <x:v>Tropical &amp; Subtropical Moist Broadleaf Forests|2023</x:v>
      </x:c>
      <x:c r="K43" s="37" t="str">
        <x:v>Area × biological stock; VM0047 Eq.(3); PB separately by Biome×Cohort</x:v>
      </x:c>
      <x:c r="Q43" s="164" t="n">
        <x:f aca="0">IFERROR(SUMIF(S15_Source_Strata!$B$4:$B$49,$G43,S15_Source_Strata!$R$4:$R$49),0)</x:f>
        <x:v>0</x:v>
      </x:c>
      <x:c r="R43" s="164" t="n">
        <x:f aca="0">IFERROR(SUMIF(S15_Source_Strata!$B$4:$B$49,$G43,S15_Source_Strata!$S$4:$S$49),0)</x:f>
        <x:v>0</x:v>
      </x:c>
      <x:c r="S43" s="164" t="n">
        <x:f aca="0">IFERROR(SUMIF(S15_Source_Strata!$B$4:$B$49,$G43,S15_Source_Strata!$T$4:$T$49),0)</x:f>
        <x:v>0</x:v>
      </x:c>
      <x:c r="T43" s="164" t="n">
        <x:f aca="0">IFERROR(SUMIF(S15_Source_Strata!$B$4:$B$49,$G43,S15_Source_Strata!$U$4:$U$49),0)</x:f>
        <x:v>0</x:v>
      </x:c>
      <x:c r="U43" s="164" t="n">
        <x:f aca="0">IFERROR(SUMIF(S15_Source_Strata!$B$4:$B$49,$G43,S15_Source_Strata!$V$4:$V$49),0)</x:f>
        <x:v>0.17403433875284913</x:v>
      </x:c>
      <x:c r="V43" s="164" t="n">
        <x:f aca="0">IFERROR(SUMIF(S15_Source_Strata!$B$4:$B$49,$G43,S15_Source_Strata!$W$4:$W$49),0)</x:f>
        <x:v>1.808298795281121</x:v>
      </x:c>
      <x:c r="W43" s="164" t="n">
        <x:f aca="0">IFERROR(SUMIF(S15_Source_Strata!$B$4:$B$49,$G43,S15_Source_Strata!$X$4:$X$49),0)</x:f>
        <x:v>6.412198758790387</x:v>
      </x:c>
      <x:c r="X43" s="164" t="n">
        <x:f aca="0">IFERROR(SUMIF(S15_Source_Strata!$B$4:$B$49,$G43,S15_Source_Strata!$Y$4:$Y$49),0)</x:f>
        <x:v>14.786882216652412</x:v>
      </x:c>
      <x:c r="Y43" s="164" t="n">
        <x:f aca="0">IFERROR(SUMIF(S15_Source_Strata!$B$4:$B$49,$G43,S15_Source_Strata!$Z$4:$Z$49),0)</x:f>
        <x:v>26.87739423749838</x:v>
      </x:c>
      <x:c r="Z43" s="164" t="n">
        <x:f aca="0">IFERROR(SUMIF(S15_Source_Strata!$B$4:$B$49,$G43,S15_Source_Strata!$AA$4:$AA$49),0)</x:f>
        <x:v>42.13775763280599</x:v>
      </x:c>
      <x:c r="AA43" s="164" t="n">
        <x:f aca="0">IFERROR(SUMIF(S15_Source_Strata!$B$4:$B$49,$G43,S15_Source_Strata!$AB$4:$AB$49),0)</x:f>
        <x:v>59.78260518527138</x:v>
      </x:c>
      <x:c r="AB43" s="164" t="n">
        <x:f aca="0">IFERROR(SUMIF(S15_Source_Strata!$B$4:$B$49,$G43,S15_Source_Strata!$AC$4:$AC$49),0)</x:f>
        <x:v>78.97824156766397</x:v>
      </x:c>
      <x:c r="AC43" s="164" t="n">
        <x:f aca="0">IFERROR(SUMIF(S15_Source_Strata!$B$4:$B$49,$G43,S15_Source_Strata!$AD$4:$AD$49),0)</x:f>
        <x:v>98.95602185390175</x:v>
      </x:c>
      <x:c r="AD43" s="164" t="n">
        <x:f aca="0">IFERROR(SUMIF(S15_Source_Strata!$B$4:$B$49,$G43,S15_Source_Strata!$AE$4:$AE$49),0)</x:f>
        <x:v>119.06758474596045</x:v>
      </x:c>
      <x:c r="AE43" s="164" t="n">
        <x:f aca="0">IFERROR(SUMIF(S15_Source_Strata!$B$4:$B$49,$G43,S15_Source_Strata!$AF$4:$AF$49),0)</x:f>
        <x:v>138.80222721919424</x:v>
      </x:c>
      <x:c r="AF43" s="164" t="n">
        <x:f aca="0">IFERROR(SUMIF(S15_Source_Strata!$B$4:$B$49,$G43,S15_Source_Strata!$AG$4:$AG$49),0)</x:f>
        <x:v>157.78228035374133</x:v>
      </x:c>
      <x:c r="AG43" s="164" t="n">
        <x:f aca="0">IFERROR(SUMIF(S15_Source_Strata!$B$4:$B$49,$G43,S15_Source_Strata!$AH$4:$AH$49),0)</x:f>
        <x:v>175.74738584896815</x:v>
      </x:c>
      <x:c r="AH43" s="164" t="n">
        <x:f aca="0">IFERROR(SUMIF(S15_Source_Strata!$B$4:$B$49,$G43,S15_Source_Strata!$AI$4:$AI$49),0)</x:f>
        <x:v>192.53453046988696</x:v>
      </x:c>
      <x:c r="AI43" s="164" t="n">
        <x:f aca="0">IFERROR(SUMIF(S15_Source_Strata!$B$4:$B$49,$G43,S15_Source_Strata!$AJ$4:$AJ$49),0)</x:f>
        <x:v>208.05780653042697</x:v>
      </x:c>
      <x:c r="AJ43" s="164" t="n">
        <x:f aca="0">IFERROR(SUMIF(S15_Source_Strata!$B$4:$B$49,$G43,S15_Source_Strata!$AK$4:$AK$49),0)</x:f>
        <x:v>222.2899602891645</x:v>
      </x:c>
      <x:c r="AK43" s="164" t="n">
        <x:f aca="0">IFERROR(SUMIF(S15_Source_Strata!$B$4:$B$49,$G43,S15_Source_Strata!$AL$4:$AL$49),0)</x:f>
        <x:v>235.24661033512507</x:v>
      </x:c>
      <x:c r="AL43" s="165" t="n">
        <x:f aca="0">$F43*Q43</x:f>
        <x:v>0</x:v>
      </x:c>
      <x:c r="AM43" s="165" t="n">
        <x:f aca="0">$F43*R43</x:f>
        <x:v>0</x:v>
      </x:c>
      <x:c r="AN43" s="165" t="n">
        <x:f aca="0">$F43*S43</x:f>
        <x:v>0</x:v>
      </x:c>
      <x:c r="AO43" s="165" t="n">
        <x:f aca="0">$F43*T43</x:f>
        <x:v>0</x:v>
      </x:c>
      <x:c r="AP43" s="165" t="n">
        <x:f aca="0">$F43*U43</x:f>
        <x:v>0.3512361024710001</x:v>
      </x:c>
      <x:c r="AQ43" s="165" t="n">
        <x:f aca="0">$F43*V43</x:f>
        <x:v>3.6495086286363585</x:v>
      </x:c>
      <x:c r="AR43" s="165" t="n">
        <x:f aca="0">$F43*W43</x:f>
        <x:v>12.94109953499076</x:v>
      </x:c>
      <x:c r="AS43" s="165" t="n">
        <x:f aca="0">$F43*X43</x:f>
        <x:v>29.8428856896479</x:v>
      </x:c>
      <x:c r="AT43" s="165" t="n">
        <x:f aca="0">$F43*Y43</x:f>
        <x:v>54.243957050119235</x:v>
      </x:c>
      <x:c r="AU43" s="165" t="n">
        <x:f aca="0">$F43*Z43</x:f>
        <x:v>85.04242245452906</x:v>
      </x:c>
      <x:c r="AV43" s="165" t="n">
        <x:f aca="0">$F43*AA43</x:f>
        <x:v>120.65325378491471</x:v>
      </x:c>
      <x:c r="AW43" s="165" t="n">
        <x:f aca="0">$F43*AB43</x:f>
        <x:v>159.39388713185946</x:v>
      </x:c>
      <x:c r="AX43" s="165" t="n">
        <x:f aca="0">$F43*AC43</x:f>
        <x:v>199.71304330554452</x:v>
      </x:c>
      <x:c r="AY43" s="165" t="n">
        <x:f aca="0">$F43*AD43</x:f>
        <x:v>240.3021995342974</x:v>
      </x:c>
      <x:c r="AZ43" s="165" t="n">
        <x:f aca="0">$F43*AE43</x:f>
        <x:v>280.13065497377784</x:v>
      </x:c>
      <x:c r="BA43" s="165" t="n">
        <x:f aca="0">$F43*AF43</x:f>
        <x:v>318.4361982099208</x:v>
      </x:c>
      <x:c r="BB43" s="165" t="n">
        <x:f aca="0">$F43*AG43</x:f>
        <x:v>354.69337412038755</x:v>
      </x:c>
      <x:c r="BC43" s="165" t="n">
        <x:f aca="0">$F43*AH43</x:f>
        <x:v>388.5731893943259</x:v>
      </x:c>
      <x:c r="BD43" s="165" t="n">
        <x:f aca="0">$F43*AI43</x:f>
        <x:v>419.90226513970777</x:v>
      </x:c>
      <x:c r="BE43" s="165" t="n">
        <x:f aca="0">$F43*AJ43</x:f>
        <x:v>448.6255978555918</x:v>
      </x:c>
      <x:c r="BF43" s="165" t="n">
        <x:f aca="0">$F43*AK43</x:f>
        <x:v>474.77470897834945</x:v>
      </x:c>
    </x:row>
    <x:row r="44" ht="15" hidden="0" customHeight="1">
      <x:c r="A44" s="37" t="str">
        <x:v>Tropical &amp; Subtropical Moist Broadleaf Forests</x:v>
      </x:c>
      <x:c r="B44" s="37" t="s">
        <x:v>112</x:v>
      </x:c>
      <x:c r="C44" s="37" t="s">
        <x:v>553</x:v>
      </x:c>
      <x:c r="D44" s="37" t="n">
        <x:v>2023</x:v>
      </x:c>
      <x:c r="E44" s="100" t="n">
        <x:v>10</x:v>
      </x:c>
      <x:c r="F44" s="100" t="n">
        <x:v>8.5775</x:v>
      </x:c>
      <x:c r="G44" s="37" t="s">
        <x:v>623</x:v>
      </x:c>
      <x:c r="H44" s="37" t="n">
        <x:v>1</x:v>
      </x:c>
      <x:c r="I44" s="37" t="s">
        <x:v>1180</x:v>
      </x:c>
      <x:c r="J44" s="37" t="str">
        <x:v>Tropical &amp; Subtropical Moist Broadleaf Forests|2023</x:v>
      </x:c>
      <x:c r="K44" s="37" t="str">
        <x:v>Area × biological stock; VM0047 Eq.(3); PB separately by Biome×Cohort</x:v>
      </x:c>
      <x:c r="Q44" s="164" t="n">
        <x:f aca="0">IFERROR(SUMIF(S15_Source_Strata!$B$4:$B$49,$G44,S15_Source_Strata!$R$4:$R$49),0)</x:f>
        <x:v>0</x:v>
      </x:c>
      <x:c r="R44" s="164" t="n">
        <x:f aca="0">IFERROR(SUMIF(S15_Source_Strata!$B$4:$B$49,$G44,S15_Source_Strata!$S$4:$S$49),0)</x:f>
        <x:v>0</x:v>
      </x:c>
      <x:c r="S44" s="164" t="n">
        <x:f aca="0">IFERROR(SUMIF(S15_Source_Strata!$B$4:$B$49,$G44,S15_Source_Strata!$T$4:$T$49),0)</x:f>
        <x:v>0</x:v>
      </x:c>
      <x:c r="T44" s="164" t="n">
        <x:f aca="0">IFERROR(SUMIF(S15_Source_Strata!$B$4:$B$49,$G44,S15_Source_Strata!$U$4:$U$49),0)</x:f>
        <x:v>0</x:v>
      </x:c>
      <x:c r="U44" s="164" t="n">
        <x:f aca="0">IFERROR(SUMIF(S15_Source_Strata!$B$4:$B$49,$G44,S15_Source_Strata!$V$4:$V$49),0)</x:f>
        <x:v>0.6441032625151308</x:v>
      </x:c>
      <x:c r="V44" s="164" t="n">
        <x:f aca="0">IFERROR(SUMIF(S15_Source_Strata!$B$4:$B$49,$G44,S15_Source_Strata!$W$4:$W$49),0)</x:f>
        <x:v>6.274634952775497</x:v>
      </x:c>
      <x:c r="W44" s="164" t="n">
        <x:f aca="0">IFERROR(SUMIF(S15_Source_Strata!$B$4:$B$49,$G44,S15_Source_Strata!$X$4:$X$49),0)</x:f>
        <x:v>21.135569424368043</x:v>
      </x:c>
      <x:c r="X44" s="164" t="n">
        <x:f aca="0">IFERROR(SUMIF(S15_Source_Strata!$B$4:$B$49,$G44,S15_Source_Strata!$Y$4:$Y$49),0)</x:f>
        <x:v>46.619287219295934</x:v>
      </x:c>
      <x:c r="Y44" s="164" t="n">
        <x:f aca="0">IFERROR(SUMIF(S15_Source_Strata!$B$4:$B$49,$G44,S15_Source_Strata!$Z$4:$Z$49),0)</x:f>
        <x:v>81.45290097807585</x:v>
      </x:c>
      <x:c r="Z44" s="164" t="n">
        <x:f aca="0">IFERROR(SUMIF(S15_Source_Strata!$B$4:$B$49,$G44,S15_Source_Strata!$AA$4:$AA$49),0)</x:f>
        <x:v>123.24721308749872</x:v>
      </x:c>
      <x:c r="AA44" s="164" t="n">
        <x:f aca="0">IFERROR(SUMIF(S15_Source_Strata!$B$4:$B$49,$G44,S15_Source_Strata!$AB$4:$AB$49),0)</x:f>
        <x:v>169.35150899149954</x:v>
      </x:c>
      <x:c r="AB44" s="164" t="n">
        <x:f aca="0">IFERROR(SUMIF(S15_Source_Strata!$B$4:$B$49,$G44,S15_Source_Strata!$AC$4:$AC$49),0)</x:f>
        <x:v>217.36351064090425</x:v>
      </x:c>
      <x:c r="AC44" s="164" t="n">
        <x:f aca="0">IFERROR(SUMIF(S15_Source_Strata!$B$4:$B$49,$G44,S15_Source_Strata!$AD$4:$AD$49),0)</x:f>
        <x:v>265.344681879956</x:v>
      </x:c>
      <x:c r="AD44" s="164" t="n">
        <x:f aca="0">IFERROR(SUMIF(S15_Source_Strata!$B$4:$B$49,$G44,S15_Source_Strata!$AE$4:$AE$49),0)</x:f>
        <x:v>311.8611919642844</x:v>
      </x:c>
      <x:c r="AE44" s="164" t="n">
        <x:f aca="0">IFERROR(SUMIF(S15_Source_Strata!$B$4:$B$49,$G44,S15_Source_Strata!$AF$4:$AF$49),0)</x:f>
        <x:v>355.9372993896785</x:v>
      </x:c>
      <x:c r="AF44" s="164" t="n">
        <x:f aca="0">IFERROR(SUMIF(S15_Source_Strata!$B$4:$B$49,$G44,S15_Source_Strata!$AG$4:$AG$49),0)</x:f>
        <x:v>396.9743353937887</x:v>
      </x:c>
      <x:c r="AG44" s="164" t="n">
        <x:f aca="0">IFERROR(SUMIF(S15_Source_Strata!$B$4:$B$49,$G44,S15_Source_Strata!$AH$4:$AH$49),0)</x:f>
        <x:v>434.6642361232781</x:v>
      </x:c>
      <x:c r="AH44" s="164" t="n">
        <x:f aca="0">IFERROR(SUMIF(S15_Source_Strata!$B$4:$B$49,$G44,S15_Source_Strata!$AI$4:$AI$49),0)</x:f>
        <x:v>468.9113865813358</x:v>
      </x:c>
      <x:c r="AI44" s="164" t="n">
        <x:f aca="0">IFERROR(SUMIF(S15_Source_Strata!$B$4:$B$49,$G44,S15_Source_Strata!$AJ$4:$AJ$49),0)</x:f>
        <x:v>499.76788910383027</x:v>
      </x:c>
      <x:c r="AJ44" s="164" t="n">
        <x:f aca="0">IFERROR(SUMIF(S15_Source_Strata!$B$4:$B$49,$G44,S15_Source_Strata!$AK$4:$AK$49),0)</x:f>
        <x:v>527.3828772183897</x:v>
      </x:c>
      <x:c r="AK44" s="164" t="n">
        <x:f aca="0">IFERROR(SUMIF(S15_Source_Strata!$B$4:$B$49,$G44,S15_Source_Strata!$AL$4:$AL$49),0)</x:f>
        <x:v>551.9644413483702</x:v>
      </x:c>
      <x:c r="AL44" s="165" t="n">
        <x:f aca="0">$F44*Q44</x:f>
        <x:v>0</x:v>
      </x:c>
      <x:c r="AM44" s="165" t="n">
        <x:f aca="0">$F44*R44</x:f>
        <x:v>0</x:v>
      </x:c>
      <x:c r="AN44" s="165" t="n">
        <x:f aca="0">$F44*S44</x:f>
        <x:v>0</x:v>
      </x:c>
      <x:c r="AO44" s="165" t="n">
        <x:f aca="0">$F44*T44</x:f>
        <x:v>0</x:v>
      </x:c>
      <x:c r="AP44" s="165" t="n">
        <x:f aca="0">$F44*U44</x:f>
        <x:v>5.524795734223535</x:v>
      </x:c>
      <x:c r="AQ44" s="165" t="n">
        <x:f aca="0">$F44*V44</x:f>
        <x:v>53.82068130743183</x:v>
      </x:c>
      <x:c r="AR44" s="165" t="n">
        <x:f aca="0">$F44*W44</x:f>
        <x:v>181.2903467375169</x:v>
      </x:c>
      <x:c r="AS44" s="165" t="n">
        <x:f aca="0">$F44*X44</x:f>
        <x:v>399.8769361235109</x:v>
      </x:c>
      <x:c r="AT44" s="165" t="n">
        <x:f aca="0">$F44*Y44</x:f>
        <x:v>698.6622581394456</x:v>
      </x:c>
      <x:c r="AU44" s="165" t="n">
        <x:f aca="0">$F44*Z44</x:f>
        <x:v>1057.1529702580203</x:v>
      </x:c>
      <x:c r="AV44" s="165" t="n">
        <x:f aca="0">$F44*AA44</x:f>
        <x:v>1452.6125683745875</x:v>
      </x:c>
      <x:c r="AW44" s="165" t="n">
        <x:f aca="0">$F44*AB44</x:f>
        <x:v>1864.4355125223562</x:v>
      </x:c>
      <x:c r="AX44" s="165" t="n">
        <x:f aca="0">$F44*AC44</x:f>
        <x:v>2275.994008825323</x:v>
      </x:c>
      <x:c r="AY44" s="165" t="n">
        <x:f aca="0">$F44*AD44</x:f>
        <x:v>2674.9893740736493</x:v>
      </x:c>
      <x:c r="AZ44" s="165" t="n">
        <x:f aca="0">$F44*AE44</x:f>
        <x:v>3053.0521855149677</x:v>
      </x:c>
      <x:c r="BA44" s="165" t="n">
        <x:f aca="0">$F44*AF44</x:f>
        <x:v>3405.047361840223</x:v>
      </x:c>
      <x:c r="BB44" s="165" t="n">
        <x:f aca="0">$F44*AG44</x:f>
        <x:v>3728.3324853474182</x:v>
      </x:c>
      <x:c r="BC44" s="165" t="n">
        <x:f aca="0">$F44*AH44</x:f>
        <x:v>4022.0874184014083</x:v>
      </x:c>
      <x:c r="BD44" s="165" t="n">
        <x:f aca="0">$F44*AI44</x:f>
        <x:v>4286.759068788105</x:v>
      </x:c>
      <x:c r="BE44" s="165" t="n">
        <x:f aca="0">$F44*AJ44</x:f>
        <x:v>4523.626629340738</x:v>
      </x:c>
      <x:c r="BF44" s="165" t="n">
        <x:f aca="0">$F44*AK44</x:f>
        <x:v>4734.474995665646</x:v>
      </x:c>
    </x:row>
    <x:row r="45" ht="15" hidden="0" customHeight="1">
      <x:c r="A45" s="37" t="str">
        <x:v>Tropical &amp; Subtropical Moist Broadleaf Forests</x:v>
      </x:c>
      <x:c r="B45" s="37" t="s">
        <x:v>112</x:v>
      </x:c>
      <x:c r="C45" s="37" t="s">
        <x:v>542</x:v>
      </x:c>
      <x:c r="D45" s="37" t="n">
        <x:v>2023</x:v>
      </x:c>
      <x:c r="E45" s="100" t="n">
        <x:v>1</x:v>
      </x:c>
      <x:c r="F45" s="100" t="n">
        <x:v>0.4062</x:v>
      </x:c>
      <x:c r="G45" s="37" t="s">
        <x:v>1120</x:v>
      </x:c>
      <x:c r="H45" s="37" t="n">
        <x:v>0</x:v>
      </x:c>
      <x:c r="I45" s="37" t="s">
        <x:v>1185</x:v>
      </x:c>
      <x:c r="J45" s="37" t="str">
        <x:v>Tropical &amp; Subtropical Moist Broadleaf Forests|2023</x:v>
      </x:c>
      <x:c r="K45" s="37" t="str">
        <x:v>Area × biological stock; VM0047 Eq.(3); PB separately by Biome×Cohort</x:v>
      </x:c>
      <x:c r="Q45" s="164" t="n">
        <x:f aca="0">IFERROR(SUMIF(S15_Source_Strata!$B$4:$B$49,$G45,S15_Source_Strata!$R$4:$R$49),0)</x:f>
        <x:v>0</x:v>
      </x:c>
      <x:c r="R45" s="164" t="n">
        <x:f aca="0">IFERROR(SUMIF(S15_Source_Strata!$B$4:$B$49,$G45,S15_Source_Strata!$S$4:$S$49),0)</x:f>
        <x:v>0</x:v>
      </x:c>
      <x:c r="S45" s="164" t="n">
        <x:f aca="0">IFERROR(SUMIF(S15_Source_Strata!$B$4:$B$49,$G45,S15_Source_Strata!$T$4:$T$49),0)</x:f>
        <x:v>0</x:v>
      </x:c>
      <x:c r="T45" s="164" t="n">
        <x:f aca="0">IFERROR(SUMIF(S15_Source_Strata!$B$4:$B$49,$G45,S15_Source_Strata!$U$4:$U$49),0)</x:f>
        <x:v>0</x:v>
      </x:c>
      <x:c r="U45" s="164" t="n">
        <x:f aca="0">IFERROR(SUMIF(S15_Source_Strata!$B$4:$B$49,$G45,S15_Source_Strata!$V$4:$V$49),0)</x:f>
        <x:v>4.864334809348277</x:v>
      </x:c>
      <x:c r="V45" s="164" t="n">
        <x:f aca="0">IFERROR(SUMIF(S15_Source_Strata!$B$4:$B$49,$G45,S15_Source_Strata!$W$4:$W$49),0)</x:f>
        <x:v>47.64642321511868</x:v>
      </x:c>
      <x:c r="W45" s="164" t="n">
        <x:f aca="0">IFERROR(SUMIF(S15_Source_Strata!$B$4:$B$49,$G45,S15_Source_Strata!$X$4:$X$49),0)</x:f>
        <x:v>162.19659930981175</x:v>
      </x:c>
      <x:c r="X45" s="164" t="n">
        <x:f aca="0">IFERROR(SUMIF(S15_Source_Strata!$B$4:$B$49,$G45,S15_Source_Strata!$Y$4:$Y$49),0)</x:f>
        <x:v>362.08052090045476</x:v>
      </x:c>
      <x:c r="Y45" s="164" t="n">
        <x:f aca="0">IFERROR(SUMIF(S15_Source_Strata!$B$4:$B$49,$G45,S15_Source_Strata!$Z$4:$Z$49),0)</x:f>
        <x:v>640.3257868594634</x:v>
      </x:c>
      <x:c r="Z45" s="164" t="n">
        <x:f aca="0">IFERROR(SUMIF(S15_Source_Strata!$B$4:$B$49,$G45,S15_Source_Strata!$AA$4:$AA$49),0)</x:f>
        <x:v>980.1758140909432</x:v>
      </x:c>
      <x:c r="AA45" s="164" t="n">
        <x:f aca="0">IFERROR(SUMIF(S15_Source_Strata!$B$4:$B$49,$G45,S15_Source_Strata!$AB$4:$AB$49),0)</x:f>
        <x:v>1361.4419761258862</x:v>
      </x:c>
      <x:c r="AB45" s="164" t="n">
        <x:f aca="0">IFERROR(SUMIF(S15_Source_Strata!$B$4:$B$49,$G45,S15_Source_Strata!$AC$4:$AC$49),0)</x:f>
        <x:v>1764.717370128752</x:v>
      </x:c>
      <x:c r="AC45" s="164" t="n">
        <x:f aca="0">IFERROR(SUMIF(S15_Source_Strata!$B$4:$B$49,$G45,S15_Source_Strata!$AD$4:$AD$49),0)</x:f>
        <x:v>2173.4861233025404</x:v>
      </x:c>
      <x:c r="AD45" s="164" t="n">
        <x:f aca="0">IFERROR(SUMIF(S15_Source_Strata!$B$4:$B$49,$G45,S15_Source_Strata!$AE$4:$AE$49),0)</x:f>
        <x:v>2574.853055526109</x:v>
      </x:c>
      <x:c r="AE45" s="164" t="n">
        <x:f aca="0">IFERROR(SUMIF(S15_Source_Strata!$B$4:$B$49,$G45,S15_Source_Strata!$AF$4:$AF$49),0)</x:f>
        <x:v>2959.4855495738652</x:v>
      </x:c>
      <x:c r="AF45" s="164" t="n">
        <x:f aca="0">IFERROR(SUMIF(S15_Source_Strata!$B$4:$B$49,$G45,S15_Source_Strata!$AG$4:$AG$49),0)</x:f>
        <x:v>3321.1708737247495</x:v>
      </x:c>
      <x:c r="AG45" s="164" t="n">
        <x:f aca="0">IFERROR(SUMIF(S15_Source_Strata!$B$4:$B$49,$G45,S15_Source_Strata!$AH$4:$AH$49),0)</x:f>
        <x:v>3656.2350860755096</x:v>
      </x:c>
      <x:c r="AH45" s="164" t="n">
        <x:f aca="0">IFERROR(SUMIF(S15_Source_Strata!$B$4:$B$49,$G45,S15_Source_Strata!$AI$4:$AI$49),0)</x:f>
        <x:v>3962.9594832538137</x:v>
      </x:c>
      <x:c r="AI45" s="164" t="n">
        <x:f aca="0">IFERROR(SUMIF(S15_Source_Strata!$B$4:$B$49,$G45,S15_Source_Strata!$AJ$4:$AJ$49),0)</x:f>
        <x:v>4241.060475229273</x:v>
      </x:c>
      <x:c r="AJ45" s="164" t="n">
        <x:f aca="0">IFERROR(SUMIF(S15_Source_Strata!$B$4:$B$49,$G45,S15_Source_Strata!$AK$4:$AK$49),0)</x:f>
        <x:v>4491.257480302552</x:v>
      </x:c>
      <x:c r="AK45" s="164" t="n">
        <x:f aca="0">IFERROR(SUMIF(S15_Source_Strata!$B$4:$B$49,$G45,S15_Source_Strata!$AL$4:$AL$49),0)</x:f>
        <x:v>4714.931007111416</x:v>
      </x:c>
      <x:c r="AL45" s="165" t="n">
        <x:f aca="0">$F45*Q45</x:f>
        <x:v>0</x:v>
      </x:c>
      <x:c r="AM45" s="165" t="n">
        <x:f aca="0">$F45*R45</x:f>
        <x:v>0</x:v>
      </x:c>
      <x:c r="AN45" s="165" t="n">
        <x:f aca="0">$F45*S45</x:f>
        <x:v>0</x:v>
      </x:c>
      <x:c r="AO45" s="165" t="n">
        <x:f aca="0">$F45*T45</x:f>
        <x:v>0</x:v>
      </x:c>
      <x:c r="AP45" s="165" t="n">
        <x:f aca="0">$F45*U45</x:f>
        <x:v>1.9758927995572702</x:v>
      </x:c>
      <x:c r="AQ45" s="165" t="n">
        <x:f aca="0">$F45*V45</x:f>
        <x:v>19.35397710998121</x:v>
      </x:c>
      <x:c r="AR45" s="165" t="n">
        <x:f aca="0">$F45*W45</x:f>
        <x:v>65.88425863964554</x:v>
      </x:c>
      <x:c r="AS45" s="165" t="n">
        <x:f aca="0">$F45*X45</x:f>
        <x:v>147.07710758976472</x:v>
      </x:c>
      <x:c r="AT45" s="165" t="n">
        <x:f aca="0">$F45*Y45</x:f>
        <x:v>260.10033462231405</x:v>
      </x:c>
      <x:c r="AU45" s="165" t="n">
        <x:f aca="0">$F45*Z45</x:f>
        <x:v>398.14741568374114</x:v>
      </x:c>
      <x:c r="AV45" s="165" t="n">
        <x:f aca="0">$F45*AA45</x:f>
        <x:v>553.017730702335</x:v>
      </x:c>
      <x:c r="AW45" s="165" t="n">
        <x:f aca="0">$F45*AB45</x:f>
        <x:v>716.8281957462991</x:v>
      </x:c>
      <x:c r="AX45" s="165" t="n">
        <x:f aca="0">$F45*AC45</x:f>
        <x:v>882.8700632854919</x:v>
      </x:c>
      <x:c r="AY45" s="165" t="n">
        <x:f aca="0">$F45*AD45</x:f>
        <x:v>1045.9053111547055</x:v>
      </x:c>
      <x:c r="AZ45" s="165" t="n">
        <x:f aca="0">$F45*AE45</x:f>
        <x:v>1202.143030236904</x:v>
      </x:c>
      <x:c r="BA45" s="165" t="n">
        <x:f aca="0">$F45*AF45</x:f>
        <x:v>1349.0596089069934</x:v>
      </x:c>
      <x:c r="BB45" s="165" t="n">
        <x:f aca="0">$F45*AG45</x:f>
        <x:v>1485.162691963872</x:v>
      </x:c>
      <x:c r="BC45" s="165" t="n">
        <x:f aca="0">$F45*AH45</x:f>
        <x:v>1609.754142097699</x:v>
      </x:c>
      <x:c r="BD45" s="165" t="n">
        <x:f aca="0">$F45*AI45</x:f>
        <x:v>1722.7187650381306</x:v>
      </x:c>
      <x:c r="BE45" s="165" t="n">
        <x:f aca="0">$F45*AJ45</x:f>
        <x:v>1824.3487884988965</x:v>
      </x:c>
      <x:c r="BF45" s="165" t="n">
        <x:f aca="0">$F45*AK45</x:f>
        <x:v>1915.2049750886572</x:v>
      </x:c>
    </x:row>
    <x:row r="46" ht="15" hidden="0" customHeight="1">
      <x:c r="A46" s="37" t="str">
        <x:v>Tropical &amp; Subtropical Moist Broadleaf Forests</x:v>
      </x:c>
      <x:c r="B46" s="37" t="s">
        <x:v>113</x:v>
      </x:c>
      <x:c r="C46" s="37" t="s">
        <x:v>549</x:v>
      </x:c>
      <x:c r="D46" s="37" t="n">
        <x:v>2020</x:v>
      </x:c>
      <x:c r="E46" s="100" t="n">
        <x:v>12</x:v>
      </x:c>
      <x:c r="F46" s="100" t="n">
        <x:v>9.5207</x:v>
      </x:c>
      <x:c r="G46" s="37" t="s">
        <x:v>666</x:v>
      </x:c>
      <x:c r="H46" s="37" t="n">
        <x:v>3</x:v>
      </x:c>
      <x:c r="I46" s="37" t="s">
        <x:v>1180</x:v>
      </x:c>
      <x:c r="J46" s="37" t="str">
        <x:v>Tropical &amp; Subtropical Moist Broadleaf Forests|2020</x:v>
      </x:c>
      <x:c r="K46" s="37" t="str">
        <x:v>Area × biological stock; VM0047 Eq.(3); PB separately by Biome×Cohort</x:v>
      </x:c>
      <x:c r="Q46" s="164" t="n">
        <x:f aca="0">IFERROR(SUMIF(S15_Source_Strata!$B$4:$B$49,$G46,S15_Source_Strata!$R$4:$R$49),0)</x:f>
        <x:v>0</x:v>
      </x:c>
      <x:c r="R46" s="164" t="n">
        <x:f aca="0">IFERROR(SUMIF(S15_Source_Strata!$B$4:$B$49,$G46,S15_Source_Strata!$S$4:$S$49),0)</x:f>
        <x:v>0.31686407639688907</x:v>
      </x:c>
      <x:c r="S46" s="164" t="n">
        <x:f aca="0">IFERROR(SUMIF(S15_Source_Strata!$B$4:$B$49,$G46,S15_Source_Strata!$T$4:$T$49),0)</x:f>
        <x:v>3.1704853632150316</x:v>
      </x:c>
      <x:c r="T46" s="164" t="n">
        <x:f aca="0">IFERROR(SUMIF(S15_Source_Strata!$B$4:$B$49,$G46,S15_Source_Strata!$U$4:$U$49),0)</x:f>
        <x:v>10.995588567313957</x:v>
      </x:c>
      <x:c r="U46" s="164" t="n">
        <x:f aca="0">IFERROR(SUMIF(S15_Source_Strata!$B$4:$B$49,$G46,S15_Source_Strata!$V$4:$V$49),0)</x:f>
        <x:v>24.97714937480369</x:v>
      </x:c>
      <x:c r="V46" s="164" t="n">
        <x:f aca="0">IFERROR(SUMIF(S15_Source_Strata!$B$4:$B$49,$G46,S15_Source_Strata!$W$4:$W$49),0)</x:f>
        <x:v>44.911442364560735</x:v>
      </x:c>
      <x:c r="W46" s="164" t="n">
        <x:f aca="0">IFERROR(SUMIF(S15_Source_Strata!$B$4:$B$49,$G46,S15_Source_Strata!$X$4:$X$49),0)</x:f>
        <x:v>69.85423692385878</x:v>
      </x:c>
      <x:c r="X46" s="164" t="n">
        <x:f aca="0">IFERROR(SUMIF(S15_Source_Strata!$B$4:$B$49,$G46,S15_Source_Strata!$Y$4:$Y$49),0)</x:f>
        <x:v>98.52585313294092</x:v>
      </x:c>
      <x:c r="Y46" s="164" t="n">
        <x:f aca="0">IFERROR(SUMIF(S15_Source_Strata!$B$4:$B$49,$G46,S15_Source_Strata!$Z$4:$Z$49),0)</x:f>
        <x:v>129.6036126496396</x:v>
      </x:c>
      <x:c r="Z46" s="164" t="n">
        <x:f aca="0">IFERROR(SUMIF(S15_Source_Strata!$B$4:$B$49,$G46,S15_Source_Strata!$AA$4:$AA$49),0)</x:f>
        <x:v>161.88693316577204</x:v>
      </x:c>
      <x:c r="AA46" s="164" t="n">
        <x:f aca="0">IFERROR(SUMIF(S15_Source_Strata!$B$4:$B$49,$G46,S15_Source_Strata!$AB$4:$AB$49),0)</x:f>
        <x:v>194.37264413829567</x:v>
      </x:c>
      <x:c r="AB46" s="164" t="n">
        <x:f aca="0">IFERROR(SUMIF(S15_Source_Strata!$B$4:$B$49,$G46,S15_Source_Strata!$AC$4:$AC$49),0)</x:f>
        <x:v>226.2744651565714</x:v>
      </x:c>
      <x:c r="AC46" s="164" t="n">
        <x:f aca="0">IFERROR(SUMIF(S15_Source_Strata!$B$4:$B$49,$G46,S15_Source_Strata!$AD$4:$AD$49),0)</x:f>
        <x:v>257.0114348871354</x:v>
      </x:c>
      <x:c r="AD46" s="164" t="n">
        <x:f aca="0">IFERROR(SUMIF(S15_Source_Strata!$B$4:$B$49,$G46,S15_Source_Strata!$AE$4:$AE$49),0)</x:f>
        <x:v>286.18153000255734</x:v>
      </x:c>
      <x:c r="AE46" s="164" t="n">
        <x:f aca="0">IFERROR(SUMIF(S15_Source_Strata!$B$4:$B$49,$G46,S15_Source_Strata!$AF$4:$AF$49),0)</x:f>
        <x:v>313.5302864057612</x:v>
      </x:c>
      <x:c r="AF46" s="164" t="n">
        <x:f aca="0">IFERROR(SUMIF(S15_Source_Strata!$B$4:$B$49,$G46,S15_Source_Strata!$AG$4:$AG$49),0)</x:f>
        <x:v>338.91987861710254</x:v>
      </x:c>
      <x:c r="AG46" s="164" t="n">
        <x:f aca="0">IFERROR(SUMIF(S15_Source_Strata!$B$4:$B$49,$G46,S15_Source_Strata!$AH$4:$AH$49),0)</x:f>
        <x:v>362.301356339395</x:v>
      </x:c>
      <x:c r="AH46" s="164" t="n">
        <x:f aca="0">IFERROR(SUMIF(S15_Source_Strata!$B$4:$B$49,$G46,S15_Source_Strata!$AI$4:$AI$49),0)</x:f>
        <x:v>383.6910928397201</x:v>
      </x:c>
      <x:c r="AI46" s="164" t="n">
        <x:f aca="0">IFERROR(SUMIF(S15_Source_Strata!$B$4:$B$49,$G46,S15_Source_Strata!$AJ$4:$AJ$49),0)</x:f>
        <x:v>403.1515809893751</x:v>
      </x:c>
      <x:c r="AJ46" s="164" t="n">
        <x:f aca="0">IFERROR(SUMIF(S15_Source_Strata!$B$4:$B$49,$G46,S15_Source_Strata!$AK$4:$AK$49),0)</x:f>
        <x:v>420.77624459628015</x:v>
      </x:c>
      <x:c r="AK46" s="164" t="n">
        <x:f aca="0">IFERROR(SUMIF(S15_Source_Strata!$B$4:$B$49,$G46,S15_Source_Strata!$AL$4:$AL$49),0)</x:f>
        <x:v>436.6777316802021</x:v>
      </x:c>
      <x:c r="AL46" s="165" t="n">
        <x:f aca="0">$F46*Q46</x:f>
        <x:v>0</x:v>
      </x:c>
      <x:c r="AM46" s="165" t="n">
        <x:f aca="0">$F46*R46</x:f>
        <x:v>3.0167678121518615</x:v>
      </x:c>
      <x:c r="AN46" s="165" t="n">
        <x:f aca="0">$F46*S46</x:f>
        <x:v>30.18523999756135</x:v>
      </x:c>
      <x:c r="AO46" s="165" t="n">
        <x:f aca="0">$F46*T46</x:f>
        <x:v>104.685700072826</x:v>
      </x:c>
      <x:c r="AP46" s="165" t="n">
        <x:f aca="0">$F46*U46</x:f>
        <x:v>237.79994605269349</x:v>
      </x:c>
      <x:c r="AQ46" s="165" t="n">
        <x:f aca="0">$F46*V46</x:f>
        <x:v>427.5883693202734</x:v>
      </x:c>
      <x:c r="AR46" s="165" t="n">
        <x:f aca="0">$F46*W46</x:f>
        <x:v>665.0612334809822</x:v>
      </x:c>
      <x:c r="AS46" s="165" t="n">
        <x:f aca="0">$F46*X46</x:f>
        <x:v>938.0350899227906</x:v>
      </x:c>
      <x:c r="AT46" s="165" t="n">
        <x:f aca="0">$F46*Y46</x:f>
        <x:v>1233.9171149534236</x:v>
      </x:c>
      <x:c r="AU46" s="165" t="n">
        <x:f aca="0">$F46*Z46</x:f>
        <x:v>1541.2769245913657</x:v>
      </x:c>
      <x:c r="AV46" s="165" t="n">
        <x:f aca="0">$F46*AA46</x:f>
        <x:v>1850.5636330474715</x:v>
      </x:c>
      <x:c r="AW46" s="165" t="n">
        <x:f aca="0">$F46*AB46</x:f>
        <x:v>2154.291300416169</x:v>
      </x:c>
      <x:c r="AX46" s="165" t="n">
        <x:f aca="0">$F46*AC46</x:f>
        <x:v>2446.92876812995</x:v>
      </x:c>
      <x:c r="AY46" s="165" t="n">
        <x:f aca="0">$F46*AD46</x:f>
        <x:v>2724.6484926953476</x:v>
      </x:c>
      <x:c r="AZ46" s="165" t="n">
        <x:f aca="0">$F46*AE46</x:f>
        <x:v>2985.0277977833307</x:v>
      </x:c>
      <x:c r="BA46" s="165" t="n">
        <x:f aca="0">$F46*AF46</x:f>
        <x:v>3226.754488349848</x:v>
      </x:c>
      <x:c r="BB46" s="165" t="n">
        <x:f aca="0">$F46*AG46</x:f>
        <x:v>3449.3625233004777</x:v>
      </x:c>
      <x:c r="BC46" s="165" t="n">
        <x:f aca="0">$F46*AH46</x:f>
        <x:v>3653.0077875991233</x:v>
      </x:c>
      <x:c r="BD46" s="165" t="n">
        <x:f aca="0">$F46*AI46</x:f>
        <x:v>3838.285257125543</x:v>
      </x:c>
      <x:c r="BE46" s="165" t="n">
        <x:f aca="0">$F46*AJ46</x:f>
        <x:v>4006.0843919278045</x:v>
      </x:c>
      <x:c r="BF46" s="165" t="n">
        <x:f aca="0">$F46*AK46</x:f>
        <x:v>4157.4776800077</x:v>
      </x:c>
    </x:row>
    <x:row r="47" ht="15" hidden="0" customHeight="1">
      <x:c r="A47" s="37" t="str">
        <x:v>Tropical &amp; Subtropical Moist Broadleaf Forests</x:v>
      </x:c>
      <x:c r="B47" s="37" t="s">
        <x:v>113</x:v>
      </x:c>
      <x:c r="C47" s="37" t="s">
        <x:v>549</x:v>
      </x:c>
      <x:c r="D47" s="37" t="n">
        <x:v>2021</x:v>
      </x:c>
      <x:c r="E47" s="100" t="n">
        <x:v>15</x:v>
      </x:c>
      <x:c r="F47" s="100" t="n">
        <x:v>11.1879</x:v>
      </x:c>
      <x:c r="G47" s="37" t="s">
        <x:v>687</x:v>
      </x:c>
      <x:c r="H47" s="37" t="n">
        <x:v>1</x:v>
      </x:c>
      <x:c r="I47" s="37" t="s">
        <x:v>1180</x:v>
      </x:c>
      <x:c r="J47" s="37" t="str">
        <x:v>Tropical &amp; Subtropical Moist Broadleaf Forests|2021</x:v>
      </x:c>
      <x:c r="K47" s="37" t="str">
        <x:v>Area × biological stock; VM0047 Eq.(3); PB separately by Biome×Cohort</x:v>
      </x:c>
      <x:c r="Q47" s="164" t="n">
        <x:f aca="0">IFERROR(SUMIF(S15_Source_Strata!$B$4:$B$49,$G47,S15_Source_Strata!$R$4:$R$49),0)</x:f>
        <x:v>0</x:v>
      </x:c>
      <x:c r="R47" s="164" t="n">
        <x:f aca="0">IFERROR(SUMIF(S15_Source_Strata!$B$4:$B$49,$G47,S15_Source_Strata!$S$4:$S$49),0)</x:f>
        <x:v>0</x:v>
      </x:c>
      <x:c r="S47" s="164" t="n">
        <x:f aca="0">IFERROR(SUMIF(S15_Source_Strata!$B$4:$B$49,$G47,S15_Source_Strata!$T$4:$T$49),0)</x:f>
        <x:v>0.2344008062162858</x:v>
      </x:c>
      <x:c r="T47" s="164" t="n">
        <x:f aca="0">IFERROR(SUMIF(S15_Source_Strata!$B$4:$B$49,$G47,S15_Source_Strata!$U$4:$U$49),0)</x:f>
        <x:v>2.517183336362505</x:v>
      </x:c>
      <x:c r="U47" s="164" t="n">
        <x:f aca="0">IFERROR(SUMIF(S15_Source_Strata!$B$4:$B$49,$G47,S15_Source_Strata!$V$4:$V$49),0)</x:f>
        <x:v>9.165851810634095</x:v>
      </x:c>
      <x:c r="V47" s="164" t="n">
        <x:f aca="0">IFERROR(SUMIF(S15_Source_Strata!$B$4:$B$49,$G47,S15_Source_Strata!$W$4:$W$49),0)</x:f>
        <x:v>21.636662553735242</x:v>
      </x:c>
      <x:c r="W47" s="164" t="n">
        <x:f aca="0">IFERROR(SUMIF(S15_Source_Strata!$B$4:$B$49,$G47,S15_Source_Strata!$X$4:$X$49),0)</x:f>
        <x:v>40.17069700762988</x:v>
      </x:c>
      <x:c r="X47" s="164" t="n">
        <x:f aca="0">IFERROR(SUMIF(S15_Source_Strata!$B$4:$B$49,$G47,S15_Source_Strata!$Y$4:$Y$49),0)</x:f>
        <x:v>64.21703043547409</x:v>
      </x:c>
      <x:c r="Y47" s="164" t="n">
        <x:f aca="0">IFERROR(SUMIF(S15_Source_Strata!$B$4:$B$49,$G47,S15_Source_Strata!$Z$4:$Z$49),0)</x:f>
        <x:v>92.75946271580129</x:v>
      </x:c>
      <x:c r="Z47" s="164" t="n">
        <x:f aca="0">IFERROR(SUMIF(S15_Source_Strata!$B$4:$B$49,$G47,S15_Source_Strata!$AA$4:$AA$49),0)</x:f>
        <x:v>124.59670457567152</x:v>
      </x:c>
      <x:c r="AA47" s="164" t="n">
        <x:f aca="0">IFERROR(SUMIF(S15_Source_Strata!$B$4:$B$49,$G47,S15_Source_Strata!$AB$4:$AB$49),0)</x:f>
        <x:v>158.530937049188</x:v>
      </x:c>
      <x:c r="AB47" s="164" t="n">
        <x:f aca="0">IFERROR(SUMIF(S15_Source_Strata!$B$4:$B$49,$G47,S15_Source_Strata!$AC$4:$AC$49),0)</x:f>
        <x:v>193.47828801682851</x:v>
      </x:c>
      <x:c r="AC47" s="164" t="n">
        <x:f aca="0">IFERROR(SUMIF(S15_Source_Strata!$B$4:$B$49,$G47,S15_Source_Strata!$AD$4:$AD$49),0)</x:f>
        <x:v>228.52238232946212</x:v>
      </x:c>
      <x:c r="AD47" s="164" t="n">
        <x:f aca="0">IFERROR(SUMIF(S15_Source_Strata!$B$4:$B$49,$G47,S15_Source_Strata!$AE$4:$AE$49),0)</x:f>
        <x:v>262.93034140034655</x:v>
      </x:c>
      <x:c r="AE47" s="164" t="n">
        <x:f aca="0">IFERROR(SUMIF(S15_Source_Strata!$B$4:$B$49,$G47,S15_Source_Strata!$AF$4:$AF$49),0)</x:f>
        <x:v>296.14619367506015</x:v>
      </x:c>
      <x:c r="AF47" s="164" t="n">
        <x:f aca="0">IFERROR(SUMIF(S15_Source_Strata!$B$4:$B$49,$G47,S15_Source_Strata!$AG$4:$AG$49),0)</x:f>
        <x:v>327.77222010466966</x:v>
      </x:c>
      <x:c r="AG47" s="164" t="n">
        <x:f aca="0">IFERROR(SUMIF(S15_Source_Strata!$B$4:$B$49,$G47,S15_Source_Strata!$AH$4:$AH$49),0)</x:f>
        <x:v>357.5451434089246</x:v>
      </x:c>
      <x:c r="AH47" s="164" t="n">
        <x:f aca="0">IFERROR(SUMIF(S15_Source_Strata!$B$4:$B$49,$G47,S15_Source_Strata!$AI$4:$AI$49),0)</x:f>
        <x:v>385.31140512164643</x:v>
      </x:c>
      <x:c r="AI47" s="164" t="n">
        <x:f aca="0">IFERROR(SUMIF(S15_Source_Strata!$B$4:$B$49,$G47,S15_Source_Strata!$AJ$4:$AJ$49),0)</x:f>
        <x:v>411.0039323904602</x:v>
      </x:c>
      <x:c r="AJ47" s="164" t="n">
        <x:f aca="0">IFERROR(SUMIF(S15_Source_Strata!$B$4:$B$49,$G47,S15_Source_Strata!$AK$4:$AK$49),0)</x:f>
        <x:v>434.6215869347765</x:v>
      </x:c>
      <x:c r="AK47" s="164" t="n">
        <x:f aca="0">IFERROR(SUMIF(S15_Source_Strata!$B$4:$B$49,$G47,S15_Source_Strata!$AL$4:$AL$49),0)</x:f>
        <x:v>456.21173326317256</x:v>
      </x:c>
      <x:c r="AL47" s="165" t="n">
        <x:f aca="0">$F47*Q47</x:f>
        <x:v>0</x:v>
      </x:c>
      <x:c r="AM47" s="165" t="n">
        <x:f aca="0">$F47*R47</x:f>
        <x:v>0</x:v>
      </x:c>
      <x:c r="AN47" s="165" t="n">
        <x:f aca="0">$F47*S47</x:f>
        <x:v>2.622452779867184</x:v>
      </x:c>
      <x:c r="AO47" s="165" t="n">
        <x:f aca="0">$F47*T47</x:f>
        <x:v>28.161995448890075</x:v>
      </x:c>
      <x:c r="AP47" s="165" t="n">
        <x:f aca="0">$F47*U47</x:f>
        <x:v>102.5466334721932</x:v>
      </x:c>
      <x:c r="AQ47" s="165" t="n">
        <x:f aca="0">$F47*V47</x:f>
        <x:v>242.06881698493453</x:v>
      </x:c>
      <x:c r="AR47" s="165" t="n">
        <x:f aca="0">$F47*W47</x:f>
        <x:v>449.4257410516624</x:v>
      </x:c>
      <x:c r="AS47" s="165" t="n">
        <x:f aca="0">$F47*X47</x:f>
        <x:v>718.4537148090405</x:v>
      </x:c>
      <x:c r="AT47" s="165" t="n">
        <x:f aca="0">$F47*Y47</x:f>
        <x:v>1037.7835929181133</x:v>
      </x:c>
      <x:c r="AU47" s="165" t="n">
        <x:f aca="0">$F47*Z47</x:f>
        <x:v>1393.9754711221556</x:v>
      </x:c>
      <x:c r="AV47" s="165" t="n">
        <x:f aca="0">$F47*AA47</x:f>
        <x:v>1773.6282706126105</x:v>
      </x:c>
      <x:c r="AW47" s="165" t="n">
        <x:f aca="0">$F47*AB47</x:f>
        <x:v>2164.6157385034758</x:v>
      </x:c>
      <x:c r="AX47" s="165" t="n">
        <x:f aca="0">$F47*AC47</x:f>
        <x:v>2556.6855612637896</x:v>
      </x:c>
      <x:c r="AY47" s="165" t="n">
        <x:f aca="0">$F47*AD47</x:f>
        <x:v>2941.6383665529374</x:v>
      </x:c>
      <x:c r="AZ47" s="165" t="n">
        <x:f aca="0">$F47*AE47</x:f>
        <x:v>3313.254000217206</x:v>
      </x:c>
      <x:c r="BA47" s="165" t="n">
        <x:f aca="0">$F47*AF47</x:f>
        <x:v>3667.082821309034</x:v>
      </x:c>
      <x:c r="BB47" s="165" t="n">
        <x:f aca="0">$F47*AG47</x:f>
        <x:v>4000.179309944708</x:v>
      </x:c>
      <x:c r="BC47" s="165" t="n">
        <x:f aca="0">$F47*AH47</x:f>
        <x:v>4310.825469360469</x:v>
      </x:c>
      <x:c r="BD47" s="165" t="n">
        <x:f aca="0">$F47*AI47</x:f>
        <x:v>4598.27089519123</x:v>
      </x:c>
      <x:c r="BE47" s="165" t="n">
        <x:f aca="0">$F47*AJ47</x:f>
        <x:v>4862.502852467586</x:v>
      </x:c>
      <x:c r="BF47" s="165" t="n">
        <x:f aca="0">$F47*AK47</x:f>
        <x:v>5104.0512505750485</x:v>
      </x:c>
    </x:row>
    <x:row r="48" ht="15" hidden="0" customHeight="1">
      <x:c r="A48" s="37" t="str">
        <x:v>Tropical &amp; Subtropical Moist Broadleaf Forests</x:v>
      </x:c>
      <x:c r="B48" s="37" t="s">
        <x:v>113</x:v>
      </x:c>
      <x:c r="C48" s="37" t="s">
        <x:v>549</x:v>
      </x:c>
      <x:c r="D48" s="37" t="n">
        <x:v>2022</x:v>
      </x:c>
      <x:c r="E48" s="100" t="n">
        <x:v>5</x:v>
      </x:c>
      <x:c r="F48" s="100" t="n">
        <x:v>2.4991</x:v>
      </x:c>
      <x:c r="G48" s="37" t="s">
        <x:v>693</x:v>
      </x:c>
      <x:c r="H48" s="37" t="n">
        <x:v>1</x:v>
      </x:c>
      <x:c r="I48" s="37" t="s">
        <x:v>1180</x:v>
      </x:c>
      <x:c r="J48" s="37" t="str">
        <x:v>Tropical &amp; Subtropical Moist Broadleaf Forests|2022</x:v>
      </x:c>
      <x:c r="K48" s="37" t="str">
        <x:v>Area × biological stock; VM0047 Eq.(3); PB separately by Biome×Cohort</x:v>
      </x:c>
      <x:c r="Q48" s="164" t="n">
        <x:f aca="0">IFERROR(SUMIF(S15_Source_Strata!$B$4:$B$49,$G48,S15_Source_Strata!$R$4:$R$49),0)</x:f>
        <x:v>0</x:v>
      </x:c>
      <x:c r="R48" s="164" t="n">
        <x:f aca="0">IFERROR(SUMIF(S15_Source_Strata!$B$4:$B$49,$G48,S15_Source_Strata!$S$4:$S$49),0)</x:f>
        <x:v>0</x:v>
      </x:c>
      <x:c r="S48" s="164" t="n">
        <x:f aca="0">IFERROR(SUMIF(S15_Source_Strata!$B$4:$B$49,$G48,S15_Source_Strata!$T$4:$T$49),0)</x:f>
        <x:v>0</x:v>
      </x:c>
      <x:c r="T48" s="164" t="n">
        <x:f aca="0">IFERROR(SUMIF(S15_Source_Strata!$B$4:$B$49,$G48,S15_Source_Strata!$U$4:$U$49),0)</x:f>
        <x:v>0.2344008062162858</x:v>
      </x:c>
      <x:c r="U48" s="164" t="n">
        <x:f aca="0">IFERROR(SUMIF(S15_Source_Strata!$B$4:$B$49,$G48,S15_Source_Strata!$V$4:$V$49),0)</x:f>
        <x:v>2.517183336362505</x:v>
      </x:c>
      <x:c r="V48" s="164" t="n">
        <x:f aca="0">IFERROR(SUMIF(S15_Source_Strata!$B$4:$B$49,$G48,S15_Source_Strata!$W$4:$W$49),0)</x:f>
        <x:v>9.165851810634095</x:v>
      </x:c>
      <x:c r="W48" s="164" t="n">
        <x:f aca="0">IFERROR(SUMIF(S15_Source_Strata!$B$4:$B$49,$G48,S15_Source_Strata!$X$4:$X$49),0)</x:f>
        <x:v>21.636662553735242</x:v>
      </x:c>
      <x:c r="X48" s="164" t="n">
        <x:f aca="0">IFERROR(SUMIF(S15_Source_Strata!$B$4:$B$49,$G48,S15_Source_Strata!$Y$4:$Y$49),0)</x:f>
        <x:v>40.17069700762988</x:v>
      </x:c>
      <x:c r="Y48" s="164" t="n">
        <x:f aca="0">IFERROR(SUMIF(S15_Source_Strata!$B$4:$B$49,$G48,S15_Source_Strata!$Z$4:$Z$49),0)</x:f>
        <x:v>64.21703043547409</x:v>
      </x:c>
      <x:c r="Z48" s="164" t="n">
        <x:f aca="0">IFERROR(SUMIF(S15_Source_Strata!$B$4:$B$49,$G48,S15_Source_Strata!$AA$4:$AA$49),0)</x:f>
        <x:v>92.75946271580129</x:v>
      </x:c>
      <x:c r="AA48" s="164" t="n">
        <x:f aca="0">IFERROR(SUMIF(S15_Source_Strata!$B$4:$B$49,$G48,S15_Source_Strata!$AB$4:$AB$49),0)</x:f>
        <x:v>124.59670457567152</x:v>
      </x:c>
      <x:c r="AB48" s="164" t="n">
        <x:f aca="0">IFERROR(SUMIF(S15_Source_Strata!$B$4:$B$49,$G48,S15_Source_Strata!$AC$4:$AC$49),0)</x:f>
        <x:v>158.530937049188</x:v>
      </x:c>
      <x:c r="AC48" s="164" t="n">
        <x:f aca="0">IFERROR(SUMIF(S15_Source_Strata!$B$4:$B$49,$G48,S15_Source_Strata!$AD$4:$AD$49),0)</x:f>
        <x:v>193.47828801682851</x:v>
      </x:c>
      <x:c r="AD48" s="164" t="n">
        <x:f aca="0">IFERROR(SUMIF(S15_Source_Strata!$B$4:$B$49,$G48,S15_Source_Strata!$AE$4:$AE$49),0)</x:f>
        <x:v>228.52238232946212</x:v>
      </x:c>
      <x:c r="AE48" s="164" t="n">
        <x:f aca="0">IFERROR(SUMIF(S15_Source_Strata!$B$4:$B$49,$G48,S15_Source_Strata!$AF$4:$AF$49),0)</x:f>
        <x:v>262.93034140034655</x:v>
      </x:c>
      <x:c r="AF48" s="164" t="n">
        <x:f aca="0">IFERROR(SUMIF(S15_Source_Strata!$B$4:$B$49,$G48,S15_Source_Strata!$AG$4:$AG$49),0)</x:f>
        <x:v>296.14619367506015</x:v>
      </x:c>
      <x:c r="AG48" s="164" t="n">
        <x:f aca="0">IFERROR(SUMIF(S15_Source_Strata!$B$4:$B$49,$G48,S15_Source_Strata!$AH$4:$AH$49),0)</x:f>
        <x:v>327.77222010466966</x:v>
      </x:c>
      <x:c r="AH48" s="164" t="n">
        <x:f aca="0">IFERROR(SUMIF(S15_Source_Strata!$B$4:$B$49,$G48,S15_Source_Strata!$AI$4:$AI$49),0)</x:f>
        <x:v>357.5451434089246</x:v>
      </x:c>
      <x:c r="AI48" s="164" t="n">
        <x:f aca="0">IFERROR(SUMIF(S15_Source_Strata!$B$4:$B$49,$G48,S15_Source_Strata!$AJ$4:$AJ$49),0)</x:f>
        <x:v>385.31140512164643</x:v>
      </x:c>
      <x:c r="AJ48" s="164" t="n">
        <x:f aca="0">IFERROR(SUMIF(S15_Source_Strata!$B$4:$B$49,$G48,S15_Source_Strata!$AK$4:$AK$49),0)</x:f>
        <x:v>411.0039323904602</x:v>
      </x:c>
      <x:c r="AK48" s="164" t="n">
        <x:f aca="0">IFERROR(SUMIF(S15_Source_Strata!$B$4:$B$49,$G48,S15_Source_Strata!$AL$4:$AL$49),0)</x:f>
        <x:v>434.6215869347765</x:v>
      </x:c>
      <x:c r="AL48" s="165" t="n">
        <x:f aca="0">$F48*Q48</x:f>
        <x:v>0</x:v>
      </x:c>
      <x:c r="AM48" s="165" t="n">
        <x:f aca="0">$F48*R48</x:f>
        <x:v>0</x:v>
      </x:c>
      <x:c r="AN48" s="165" t="n">
        <x:f aca="0">$F48*S48</x:f>
        <x:v>0</x:v>
      </x:c>
      <x:c r="AO48" s="165" t="n">
        <x:f aca="0">$F48*T48</x:f>
        <x:v>0.5857910548151198</x:v>
      </x:c>
      <x:c r="AP48" s="165" t="n">
        <x:f aca="0">$F48*U48</x:f>
        <x:v>6.290692875903536</x:v>
      </x:c>
      <x:c r="AQ48" s="165" t="n">
        <x:f aca="0">$F48*V48</x:f>
        <x:v>22.906380259955665</x:v>
      </x:c>
      <x:c r="AR48" s="165" t="n">
        <x:f aca="0">$F48*W48</x:f>
        <x:v>54.07218338803974</x:v>
      </x:c>
      <x:c r="AS48" s="165" t="n">
        <x:f aca="0">$F48*X48</x:f>
        <x:v>100.39058889176783</x:v>
      </x:c>
      <x:c r="AT48" s="165" t="n">
        <x:f aca="0">$F48*Y48</x:f>
        <x:v>160.48478076129328</x:v>
      </x:c>
      <x:c r="AU48" s="165" t="n">
        <x:f aca="0">$F48*Z48</x:f>
        <x:v>231.815173273059</x:v>
      </x:c>
      <x:c r="AV48" s="165" t="n">
        <x:f aca="0">$F48*AA48</x:f>
        <x:v>311.37962440506067</x:v>
      </x:c>
      <x:c r="AW48" s="165" t="n">
        <x:f aca="0">$F48*AB48</x:f>
        <x:v>396.1846647796257</x:v>
      </x:c>
      <x:c r="AX48" s="165" t="n">
        <x:f aca="0">$F48*AC48</x:f>
        <x:v>483.5215895828561</x:v>
      </x:c>
      <x:c r="AY48" s="165" t="n">
        <x:f aca="0">$F48*AD48</x:f>
        <x:v>571.1002856795587</x:v>
      </x:c>
      <x:c r="AZ48" s="165" t="n">
        <x:f aca="0">$F48*AE48</x:f>
        <x:v>657.089216193606</x:v>
      </x:c>
      <x:c r="BA48" s="165" t="n">
        <x:f aca="0">$F48*AF48</x:f>
        <x:v>740.0989526133428</x:v>
      </x:c>
      <x:c r="BB48" s="165" t="n">
        <x:f aca="0">$F48*AG48</x:f>
        <x:v>819.1355552635799</x:v>
      </x:c>
      <x:c r="BC48" s="165" t="n">
        <x:f aca="0">$F48*AH48</x:f>
        <x:v>893.5410678932435</x:v>
      </x:c>
      <x:c r="BD48" s="165" t="n">
        <x:f aca="0">$F48*AI48</x:f>
        <x:v>962.9317325395066</x:v>
      </x:c>
      <x:c r="BE48" s="165" t="n">
        <x:f aca="0">$F48*AJ48</x:f>
        <x:v>1027.139927436999</x:v>
      </x:c>
      <x:c r="BF48" s="165" t="n">
        <x:f aca="0">$F48*AK48</x:f>
        <x:v>1086.1628079086997</x:v>
      </x:c>
    </x:row>
    <x:row r="49" ht="15" hidden="0" customHeight="1">
      <x:c r="A49" s="37" t="str">
        <x:v>Tropical &amp; Subtropical Moist Broadleaf Forests</x:v>
      </x:c>
      <x:c r="B49" s="37" t="s">
        <x:v>113</x:v>
      </x:c>
      <x:c r="C49" s="37" t="s">
        <x:v>549</x:v>
      </x:c>
      <x:c r="D49" s="37" t="n">
        <x:v>2023</x:v>
      </x:c>
      <x:c r="E49" s="100" t="n">
        <x:v>3</x:v>
      </x:c>
      <x:c r="F49" s="100" t="n">
        <x:v>3.7993</x:v>
      </x:c>
      <x:c r="G49" s="37" t="s">
        <x:v>697</x:v>
      </x:c>
      <x:c r="H49" s="37" t="n">
        <x:v>1</x:v>
      </x:c>
      <x:c r="I49" s="37" t="s">
        <x:v>1180</x:v>
      </x:c>
      <x:c r="J49" s="37" t="str">
        <x:v>Tropical &amp; Subtropical Moist Broadleaf Forests|2023</x:v>
      </x:c>
      <x:c r="K49" s="37" t="str">
        <x:v>Area × biological stock; VM0047 Eq.(3); PB separately by Biome×Cohort</x:v>
      </x:c>
      <x:c r="Q49" s="164" t="n">
        <x:f aca="0">IFERROR(SUMIF(S15_Source_Strata!$B$4:$B$49,$G49,S15_Source_Strata!$R$4:$R$49),0)</x:f>
        <x:v>0</x:v>
      </x:c>
      <x:c r="R49" s="164" t="n">
        <x:f aca="0">IFERROR(SUMIF(S15_Source_Strata!$B$4:$B$49,$G49,S15_Source_Strata!$S$4:$S$49),0)</x:f>
        <x:v>0</x:v>
      </x:c>
      <x:c r="S49" s="164" t="n">
        <x:f aca="0">IFERROR(SUMIF(S15_Source_Strata!$B$4:$B$49,$G49,S15_Source_Strata!$T$4:$T$49),0)</x:f>
        <x:v>0</x:v>
      </x:c>
      <x:c r="T49" s="164" t="n">
        <x:f aca="0">IFERROR(SUMIF(S15_Source_Strata!$B$4:$B$49,$G49,S15_Source_Strata!$U$4:$U$49),0)</x:f>
        <x:v>0</x:v>
      </x:c>
      <x:c r="U49" s="164" t="n">
        <x:f aca="0">IFERROR(SUMIF(S15_Source_Strata!$B$4:$B$49,$G49,S15_Source_Strata!$V$4:$V$49),0)</x:f>
        <x:v>0.2344008062162858</x:v>
      </x:c>
      <x:c r="V49" s="164" t="n">
        <x:f aca="0">IFERROR(SUMIF(S15_Source_Strata!$B$4:$B$49,$G49,S15_Source_Strata!$W$4:$W$49),0)</x:f>
        <x:v>2.517183336362505</x:v>
      </x:c>
      <x:c r="W49" s="164" t="n">
        <x:f aca="0">IFERROR(SUMIF(S15_Source_Strata!$B$4:$B$49,$G49,S15_Source_Strata!$X$4:$X$49),0)</x:f>
        <x:v>9.165851810634095</x:v>
      </x:c>
      <x:c r="X49" s="164" t="n">
        <x:f aca="0">IFERROR(SUMIF(S15_Source_Strata!$B$4:$B$49,$G49,S15_Source_Strata!$Y$4:$Y$49),0)</x:f>
        <x:v>21.636662553735242</x:v>
      </x:c>
      <x:c r="Y49" s="164" t="n">
        <x:f aca="0">IFERROR(SUMIF(S15_Source_Strata!$B$4:$B$49,$G49,S15_Source_Strata!$Z$4:$Z$49),0)</x:f>
        <x:v>40.17069700762988</x:v>
      </x:c>
      <x:c r="Z49" s="164" t="n">
        <x:f aca="0">IFERROR(SUMIF(S15_Source_Strata!$B$4:$B$49,$G49,S15_Source_Strata!$AA$4:$AA$49),0)</x:f>
        <x:v>64.21703043547409</x:v>
      </x:c>
      <x:c r="AA49" s="164" t="n">
        <x:f aca="0">IFERROR(SUMIF(S15_Source_Strata!$B$4:$B$49,$G49,S15_Source_Strata!$AB$4:$AB$49),0)</x:f>
        <x:v>92.75946271580129</x:v>
      </x:c>
      <x:c r="AB49" s="164" t="n">
        <x:f aca="0">IFERROR(SUMIF(S15_Source_Strata!$B$4:$B$49,$G49,S15_Source_Strata!$AC$4:$AC$49),0)</x:f>
        <x:v>124.59670457567152</x:v>
      </x:c>
      <x:c r="AC49" s="164" t="n">
        <x:f aca="0">IFERROR(SUMIF(S15_Source_Strata!$B$4:$B$49,$G49,S15_Source_Strata!$AD$4:$AD$49),0)</x:f>
        <x:v>158.530937049188</x:v>
      </x:c>
      <x:c r="AD49" s="164" t="n">
        <x:f aca="0">IFERROR(SUMIF(S15_Source_Strata!$B$4:$B$49,$G49,S15_Source_Strata!$AE$4:$AE$49),0)</x:f>
        <x:v>193.47828801682851</x:v>
      </x:c>
      <x:c r="AE49" s="164" t="n">
        <x:f aca="0">IFERROR(SUMIF(S15_Source_Strata!$B$4:$B$49,$G49,S15_Source_Strata!$AF$4:$AF$49),0)</x:f>
        <x:v>228.52238232946212</x:v>
      </x:c>
      <x:c r="AF49" s="164" t="n">
        <x:f aca="0">IFERROR(SUMIF(S15_Source_Strata!$B$4:$B$49,$G49,S15_Source_Strata!$AG$4:$AG$49),0)</x:f>
        <x:v>262.93034140034655</x:v>
      </x:c>
      <x:c r="AG49" s="164" t="n">
        <x:f aca="0">IFERROR(SUMIF(S15_Source_Strata!$B$4:$B$49,$G49,S15_Source_Strata!$AH$4:$AH$49),0)</x:f>
        <x:v>296.14619367506015</x:v>
      </x:c>
      <x:c r="AH49" s="164" t="n">
        <x:f aca="0">IFERROR(SUMIF(S15_Source_Strata!$B$4:$B$49,$G49,S15_Source_Strata!$AI$4:$AI$49),0)</x:f>
        <x:v>327.77222010466966</x:v>
      </x:c>
      <x:c r="AI49" s="164" t="n">
        <x:f aca="0">IFERROR(SUMIF(S15_Source_Strata!$B$4:$B$49,$G49,S15_Source_Strata!$AJ$4:$AJ$49),0)</x:f>
        <x:v>357.5451434089246</x:v>
      </x:c>
      <x:c r="AJ49" s="164" t="n">
        <x:f aca="0">IFERROR(SUMIF(S15_Source_Strata!$B$4:$B$49,$G49,S15_Source_Strata!$AK$4:$AK$49),0)</x:f>
        <x:v>385.31140512164643</x:v>
      </x:c>
      <x:c r="AK49" s="164" t="n">
        <x:f aca="0">IFERROR(SUMIF(S15_Source_Strata!$B$4:$B$49,$G49,S15_Source_Strata!$AL$4:$AL$49),0)</x:f>
        <x:v>411.0039323904602</x:v>
      </x:c>
      <x:c r="AL49" s="165" t="n">
        <x:f aca="0">$F49*Q49</x:f>
        <x:v>0</x:v>
      </x:c>
      <x:c r="AM49" s="165" t="n">
        <x:f aca="0">$F49*R49</x:f>
        <x:v>0</x:v>
      </x:c>
      <x:c r="AN49" s="165" t="n">
        <x:f aca="0">$F49*S49</x:f>
        <x:v>0</x:v>
      </x:c>
      <x:c r="AO49" s="165" t="n">
        <x:f aca="0">$F49*T49</x:f>
        <x:v>0</x:v>
      </x:c>
      <x:c r="AP49" s="165" t="n">
        <x:f aca="0">$F49*U49</x:f>
        <x:v>0.8905589830575347</x:v>
      </x:c>
      <x:c r="AQ49" s="165" t="n">
        <x:f aca="0">$F49*V49</x:f>
        <x:v>9.563534649842065</x:v>
      </x:c>
      <x:c r="AR49" s="165" t="n">
        <x:f aca="0">$F49*W49</x:f>
        <x:v>34.82382078414212</x:v>
      </x:c>
      <x:c r="AS49" s="165" t="n">
        <x:f aca="0">$F49*X49</x:f>
        <x:v>82.2041720404063</x:v>
      </x:c>
      <x:c r="AT49" s="165" t="n">
        <x:f aca="0">$F49*Y49</x:f>
        <x:v>152.6205291410882</x:v>
      </x:c>
      <x:c r="AU49" s="165" t="n">
        <x:f aca="0">$F49*Z49</x:f>
        <x:v>243.9797637334967</x:v>
      </x:c>
      <x:c r="AV49" s="165" t="n">
        <x:f aca="0">$F49*AA49</x:f>
        <x:v>352.4210266961439</x:v>
      </x:c>
      <x:c r="AW49" s="165" t="n">
        <x:f aca="0">$F49*AB49</x:f>
        <x:v>473.3802596943488</x:v>
      </x:c>
      <x:c r="AX49" s="165" t="n">
        <x:f aca="0">$F49*AC49</x:f>
        <x:v>602.30658913098</x:v>
      </x:c>
      <x:c r="AY49" s="165" t="n">
        <x:f aca="0">$F49*AD49</x:f>
        <x:v>735.0820596623366</x:v>
      </x:c>
      <x:c r="AZ49" s="165" t="n">
        <x:f aca="0">$F49*AE49</x:f>
        <x:v>868.2250871843255</x:v>
      </x:c>
      <x:c r="BA49" s="165" t="n">
        <x:f aca="0">$F49*AF49</x:f>
        <x:v>998.9512460823366</x:v>
      </x:c>
      <x:c r="BB49" s="165" t="n">
        <x:f aca="0">$F49*AG49</x:f>
        <x:v>1125.148233629656</x:v>
      </x:c>
      <x:c r="BC49" s="165" t="n">
        <x:f aca="0">$F49*AH49</x:f>
        <x:v>1245.3049958436716</x:v>
      </x:c>
      <x:c r="BD49" s="165" t="n">
        <x:f aca="0">$F49*AI49</x:f>
        <x:v>1358.4212633535274</x:v>
      </x:c>
      <x:c r="BE49" s="165" t="n">
        <x:f aca="0">$F49*AJ49</x:f>
        <x:v>1463.9136214786713</x:v>
      </x:c>
      <x:c r="BF49" s="165" t="n">
        <x:f aca="0">$F49*AK49</x:f>
        <x:v>1561.5272403310755</x:v>
      </x:c>
    </x:row>
    <x:row r="50" ht="15" hidden="0" customHeight="1">
      <x:c r="A50" s="37" t="str">
        <x:v>Tropical &amp; Subtropical Moist Broadleaf Forests</x:v>
      </x:c>
      <x:c r="B50" s="37" t="s">
        <x:v>113</x:v>
      </x:c>
      <x:c r="C50" s="37" t="s">
        <x:v>553</x:v>
      </x:c>
      <x:c r="D50" s="37" t="n">
        <x:v>2023</x:v>
      </x:c>
      <x:c r="E50" s="100" t="n">
        <x:v>1</x:v>
      </x:c>
      <x:c r="F50" s="100" t="n">
        <x:v>0.4119</x:v>
      </x:c>
      <x:c r="G50" s="37" t="s">
        <x:v>1117</x:v>
      </x:c>
      <x:c r="H50" s="37" t="n">
        <x:v>0</x:v>
      </x:c>
      <x:c r="I50" s="37" t="s">
        <x:v>1185</x:v>
      </x:c>
      <x:c r="J50" s="37" t="str">
        <x:v>Tropical &amp; Subtropical Moist Broadleaf Forests|2023</x:v>
      </x:c>
      <x:c r="K50" s="37" t="str">
        <x:v>Area × biological stock; VM0047 Eq.(3); PB separately by Biome×Cohort</x:v>
      </x:c>
      <x:c r="Q50" s="164" t="n">
        <x:f aca="0">IFERROR(SUMIF(S15_Source_Strata!$B$4:$B$49,$G50,S15_Source_Strata!$R$4:$R$49),0)</x:f>
        <x:v>0</x:v>
      </x:c>
      <x:c r="R50" s="164" t="n">
        <x:f aca="0">IFERROR(SUMIF(S15_Source_Strata!$B$4:$B$49,$G50,S15_Source_Strata!$S$4:$S$49),0)</x:f>
        <x:v>0</x:v>
      </x:c>
      <x:c r="S50" s="164" t="n">
        <x:f aca="0">IFERROR(SUMIF(S15_Source_Strata!$B$4:$B$49,$G50,S15_Source_Strata!$T$4:$T$49),0)</x:f>
        <x:v>0</x:v>
      </x:c>
      <x:c r="T50" s="164" t="n">
        <x:f aca="0">IFERROR(SUMIF(S15_Source_Strata!$B$4:$B$49,$G50,S15_Source_Strata!$U$4:$U$49),0)</x:f>
        <x:v>0</x:v>
      </x:c>
      <x:c r="U50" s="164" t="n">
        <x:f aca="0">IFERROR(SUMIF(S15_Source_Strata!$B$4:$B$49,$G50,S15_Source_Strata!$V$4:$V$49),0)</x:f>
        <x:v>2.2520589423441217</x:v>
      </x:c>
      <x:c r="V50" s="164" t="n">
        <x:f aca="0">IFERROR(SUMIF(S15_Source_Strata!$B$4:$B$49,$G50,S15_Source_Strata!$W$4:$W$49),0)</x:f>
        <x:v>21.884278389459922</x:v>
      </x:c>
      <x:c r="W50" s="164" t="n">
        <x:f aca="0">IFERROR(SUMIF(S15_Source_Strata!$B$4:$B$49,$G50,S15_Source_Strata!$X$4:$X$49),0)</x:f>
        <x:v>74.1459318561935</x:v>
      </x:c>
      <x:c r="X50" s="164" t="n">
        <x:f aca="0">IFERROR(SUMIF(S15_Source_Strata!$B$4:$B$49,$G50,S15_Source_Strata!$Y$4:$Y$49),0)</x:f>
        <x:v>165.0053198897656</x:v>
      </x:c>
      <x:c r="Y50" s="164" t="n">
        <x:f aca="0">IFERROR(SUMIF(S15_Source_Strata!$B$4:$B$49,$G50,S15_Source_Strata!$Z$4:$Z$49),0)</x:f>
        <x:v>291.19678663723766</x:v>
      </x:c>
      <x:c r="Z50" s="164" t="n">
        <x:f aca="0">IFERROR(SUMIF(S15_Source_Strata!$B$4:$B$49,$G50,S15_Source_Strata!$AA$4:$AA$49),0)</x:f>
        <x:v>445.1389074933852</x:v>
      </x:c>
      <x:c r="AA50" s="164" t="n">
        <x:f aca="0">IFERROR(SUMIF(S15_Source_Strata!$B$4:$B$49,$G50,S15_Source_Strata!$AB$4:$AB$49),0)</x:f>
        <x:v>617.7733770743615</x:v>
      </x:c>
      <x:c r="AB50" s="164" t="n">
        <x:f aca="0">IFERROR(SUMIF(S15_Source_Strata!$B$4:$B$49,$G50,S15_Source_Strata!$AC$4:$AC$49),0)</x:f>
        <x:v>800.4264115035201</x:v>
      </x:c>
      <x:c r="AC50" s="164" t="n">
        <x:f aca="0">IFERROR(SUMIF(S15_Source_Strata!$B$4:$B$49,$G50,S15_Source_Strata!$AD$4:$AD$49),0)</x:f>
        <x:v>985.7279908298748</x:v>
      </x:c>
      <x:c r="AD50" s="164" t="n">
        <x:f aca="0">IFERROR(SUMIF(S15_Source_Strata!$B$4:$B$49,$G50,S15_Source_Strata!$AE$4:$AE$49),0)</x:f>
        <x:v>1167.9219098726983</x:v>
      </x:c>
      <x:c r="AE50" s="164" t="n">
        <x:f aca="0">IFERROR(SUMIF(S15_Source_Strata!$B$4:$B$49,$G50,S15_Source_Strata!$AF$4:$AF$49),0)</x:f>
        <x:v>1342.832010122195</x:v>
      </x:c>
      <x:c r="AF50" s="164" t="n">
        <x:f aca="0">IFERROR(SUMIF(S15_Source_Strata!$B$4:$B$49,$G50,S15_Source_Strata!$AG$4:$AG$49),0)</x:f>
        <x:v>1507.6627401484152</x:v>
      </x:c>
      <x:c r="AG50" s="164" t="n">
        <x:f aca="0">IFERROR(SUMIF(S15_Source_Strata!$B$4:$B$49,$G50,S15_Source_Strata!$AH$4:$AH$49),0)</x:f>
        <x:v>1660.7415223375106</x:v>
      </x:c>
      <x:c r="AH50" s="164" t="n">
        <x:f aca="0">IFERROR(SUMIF(S15_Source_Strata!$B$4:$B$49,$G50,S15_Source_Strata!$AI$4:$AI$49),0)</x:f>
        <x:v>1801.2616538174398</x:v>
      </x:c>
      <x:c r="AI50" s="164" t="n">
        <x:f aca="0">IFERROR(SUMIF(S15_Source_Strata!$B$4:$B$49,$G50,S15_Source_Strata!$AJ$4:$AJ$49),0)</x:f>
        <x:v>1929.0538362337986</x:v>
      </x:c>
      <x:c r="AJ50" s="164" t="n">
        <x:f aca="0">IFERROR(SUMIF(S15_Source_Strata!$B$4:$B$49,$G50,S15_Source_Strata!$AK$4:$AK$49),0)</x:f>
        <x:v>2044.3965731837293</x:v>
      </x:c>
      <x:c r="AK50" s="164" t="n">
        <x:f aca="0">IFERROR(SUMIF(S15_Source_Strata!$B$4:$B$49,$G50,S15_Source_Strata!$AL$4:$AL$49),0)</x:f>
        <x:v>2147.8660772599324</x:v>
      </x:c>
      <x:c r="AL50" s="165" t="n">
        <x:f aca="0">$F50*Q50</x:f>
        <x:v>0</x:v>
      </x:c>
      <x:c r="AM50" s="165" t="n">
        <x:f aca="0">$F50*R50</x:f>
        <x:v>0</x:v>
      </x:c>
      <x:c r="AN50" s="165" t="n">
        <x:f aca="0">$F50*S50</x:f>
        <x:v>0</x:v>
      </x:c>
      <x:c r="AO50" s="165" t="n">
        <x:f aca="0">$F50*T50</x:f>
        <x:v>0</x:v>
      </x:c>
      <x:c r="AP50" s="165" t="n">
        <x:f aca="0">$F50*U50</x:f>
        <x:v>0.9276230783515437</x:v>
      </x:c>
      <x:c r="AQ50" s="165" t="n">
        <x:f aca="0">$F50*V50</x:f>
        <x:v>9.014134268618541</x:v>
      </x:c>
      <x:c r="AR50" s="165" t="n">
        <x:f aca="0">$F50*W50</x:f>
        <x:v>30.540709331566102</x:v>
      </x:c>
      <x:c r="AS50" s="165" t="n">
        <x:f aca="0">$F50*X50</x:f>
        <x:v>67.96569126259445</x:v>
      </x:c>
      <x:c r="AT50" s="165" t="n">
        <x:f aca="0">$F50*Y50</x:f>
        <x:v>119.94395641587819</x:v>
      </x:c>
      <x:c r="AU50" s="165" t="n">
        <x:f aca="0">$F50*Z50</x:f>
        <x:v>183.35271599652535</x:v>
      </x:c>
      <x:c r="AV50" s="165" t="n">
        <x:f aca="0">$F50*AA50</x:f>
        <x:v>254.46085401692952</x:v>
      </x:c>
      <x:c r="AW50" s="165" t="n">
        <x:f aca="0">$F50*AB50</x:f>
        <x:v>329.6956388982999</x:v>
      </x:c>
      <x:c r="AX50" s="165" t="n">
        <x:f aca="0">$F50*AC50</x:f>
        <x:v>406.0213594228254</x:v>
      </x:c>
      <x:c r="AY50" s="165" t="n">
        <x:f aca="0">$F50*AD50</x:f>
        <x:v>481.0670346765644</x:v>
      </x:c>
      <x:c r="AZ50" s="165" t="n">
        <x:f aca="0">$F50*AE50</x:f>
        <x:v>553.1125049693321</x:v>
      </x:c>
      <x:c r="BA50" s="165" t="n">
        <x:f aca="0">$F50*AF50</x:f>
        <x:v>621.0062826671322</x:v>
      </x:c>
      <x:c r="BB50" s="165" t="n">
        <x:f aca="0">$F50*AG50</x:f>
        <x:v>684.0594330508205</x:v>
      </x:c>
      <x:c r="BC50" s="165" t="n">
        <x:f aca="0">$F50*AH50</x:f>
        <x:v>741.9396752074034</x:v>
      </x:c>
      <x:c r="BD50" s="165" t="n">
        <x:f aca="0">$F50*AI50</x:f>
        <x:v>794.5772751447016</x:v>
      </x:c>
      <x:c r="BE50" s="165" t="n">
        <x:f aca="0">$F50*AJ50</x:f>
        <x:v>842.086948494378</x:v>
      </x:c>
      <x:c r="BF50" s="165" t="n">
        <x:f aca="0">$F50*AK50</x:f>
        <x:v>884.7060372233661</x:v>
      </x:c>
    </x:row>
    <x:row r="51" ht="15" hidden="0" customHeight="1">
      <x:c r="A51" s="37" t="str">
        <x:v>Tropical &amp; Subtropical Moist Broadleaf Forests</x:v>
      </x:c>
      <x:c r="B51" s="37" t="s">
        <x:v>114</x:v>
      </x:c>
      <x:c r="C51" s="37" t="s">
        <x:v>549</x:v>
      </x:c>
      <x:c r="D51" s="37" t="n">
        <x:v>2020</x:v>
      </x:c>
      <x:c r="E51" s="100" t="n">
        <x:v>1</x:v>
      </x:c>
      <x:c r="F51" s="100" t="n">
        <x:v>1.2429</x:v>
      </x:c>
      <x:c r="G51" s="37" t="s">
        <x:v>635</x:v>
      </x:c>
      <x:c r="H51" s="37" t="n">
        <x:v>1</x:v>
      </x:c>
      <x:c r="I51" s="37" t="s">
        <x:v>1180</x:v>
      </x:c>
      <x:c r="J51" s="37" t="str">
        <x:v>Tropical &amp; Subtropical Moist Broadleaf Forests|2020</x:v>
      </x:c>
      <x:c r="K51" s="37" t="str">
        <x:v>Area × biological stock; VM0047 Eq.(3); PB separately by Biome×Cohort</x:v>
      </x:c>
      <x:c r="Q51" s="164" t="n">
        <x:f aca="0">IFERROR(SUMIF(S15_Source_Strata!$B$4:$B$49,$G51,S15_Source_Strata!$R$4:$R$49),0)</x:f>
        <x:v>0</x:v>
      </x:c>
      <x:c r="R51" s="164" t="n">
        <x:f aca="0">IFERROR(SUMIF(S15_Source_Strata!$B$4:$B$49,$G51,S15_Source_Strata!$S$4:$S$49),0)</x:f>
        <x:v>0.046254888411774796</x:v>
      </x:c>
      <x:c r="S51" s="164" t="n">
        <x:f aca="0">IFERROR(SUMIF(S15_Source_Strata!$B$4:$B$49,$G51,S15_Source_Strata!$T$4:$T$49),0)</x:f>
        <x:v>0.559787503763154</x:v>
      </x:c>
      <x:c r="T51" s="164" t="n">
        <x:f aca="0">IFERROR(SUMIF(S15_Source_Strata!$B$4:$B$49,$G51,S15_Source_Strata!$U$4:$U$49),0)</x:f>
        <x:v>2.1525618957049653</x:v>
      </x:c>
      <x:c r="U51" s="164" t="n">
        <x:f aca="0">IFERROR(SUMIF(S15_Source_Strata!$B$4:$B$49,$G51,S15_Source_Strata!$V$4:$V$49),0)</x:f>
        <x:v>5.231956049273246</x:v>
      </x:c>
      <x:c r="V51" s="164" t="n">
        <x:f aca="0">IFERROR(SUMIF(S15_Source_Strata!$B$4:$B$49,$G51,S15_Source_Strata!$W$4:$W$49),0)</x:f>
        <x:v>9.873631177848152</x:v>
      </x:c>
      <x:c r="W51" s="164" t="n">
        <x:f aca="0">IFERROR(SUMIF(S15_Source_Strata!$B$4:$B$49,$G51,S15_Source_Strata!$X$4:$X$49),0)</x:f>
        <x:v>15.925334979259612</x:v>
      </x:c>
      <x:c r="X51" s="164" t="n">
        <x:f aca="0">IFERROR(SUMIF(S15_Source_Strata!$B$4:$B$49,$G51,S15_Source_Strata!$Y$4:$Y$49),0)</x:f>
        <x:v>23.103901481651665</x:v>
      </x:c>
      <x:c r="Y51" s="164" t="n">
        <x:f aca="0">IFERROR(SUMIF(S15_Source_Strata!$B$4:$B$49,$G51,S15_Source_Strata!$Z$4:$Z$49),0)</x:f>
        <x:v>31.078357140853388</x:v>
      </x:c>
      <x:c r="Z51" s="164" t="n">
        <x:f aca="0">IFERROR(SUMIF(S15_Source_Strata!$B$4:$B$49,$G51,S15_Source_Strata!$AA$4:$AA$49),0)</x:f>
        <x:v>39.52477316412803</x:v>
      </x:c>
      <x:c r="AA51" s="164" t="n">
        <x:f aca="0">IFERROR(SUMIF(S15_Source_Strata!$B$4:$B$49,$G51,S15_Source_Strata!$AB$4:$AB$49),0)</x:f>
        <x:v>48.15687920897</x:v>
      </x:c>
      <x:c r="AB51" s="164" t="n">
        <x:f aca="0">IFERROR(SUMIF(S15_Source_Strata!$B$4:$B$49,$G51,S15_Source_Strata!$AC$4:$AC$49),0)</x:f>
        <x:v>56.73940749069144</x:v>
      </x:c>
      <x:c r="AC51" s="164" t="n">
        <x:f aca="0">IFERROR(SUMIF(S15_Source_Strata!$B$4:$B$49,$G51,S15_Source_Strata!$AD$4:$AD$49),0)</x:f>
        <x:v>65.09050604602129</x:v>
      </x:c>
      <x:c r="AD51" s="164" t="n">
        <x:f aca="0">IFERROR(SUMIF(S15_Source_Strata!$B$4:$B$49,$G51,S15_Source_Strata!$AE$4:$AE$49),0)</x:f>
        <x:v>73.07797761375203</x:v>
      </x:c>
      <x:c r="AE51" s="164" t="n">
        <x:f aca="0">IFERROR(SUMIF(S15_Source_Strata!$B$4:$B$49,$G51,S15_Source_Strata!$AF$4:$AF$49),0)</x:f>
        <x:v>80.6125574125609</x:v>
      </x:c>
      <x:c r="AF51" s="164" t="n">
        <x:f aca="0">IFERROR(SUMIF(S15_Source_Strata!$B$4:$B$49,$G51,S15_Source_Strata!$AG$4:$AG$49),0)</x:f>
        <x:v>87.64023262313314</x:v>
      </x:c>
      <x:c r="AG51" s="164" t="n">
        <x:f aca="0">IFERROR(SUMIF(S15_Source_Strata!$B$4:$B$49,$G51,S15_Source_Strata!$AH$4:$AH$49),0)</x:f>
        <x:v>94.13475185567395</x:v>
      </x:c>
      <x:c r="AH51" s="164" t="n">
        <x:f aca="0">IFERROR(SUMIF(S15_Source_Strata!$B$4:$B$49,$G51,S15_Source_Strata!$AI$4:$AI$49),0)</x:f>
        <x:v>100.09091031997525</x:v>
      </x:c>
      <x:c r="AI51" s="164" t="n">
        <x:f aca="0">IFERROR(SUMIF(S15_Source_Strata!$B$4:$B$49,$G51,S15_Source_Strata!$AJ$4:$AJ$49),0)</x:f>
        <x:v>105.51884744668214</x:v>
      </x:c>
      <x:c r="AJ51" s="164" t="n">
        <x:f aca="0">IFERROR(SUMIF(S15_Source_Strata!$B$4:$B$49,$G51,S15_Source_Strata!$AK$4:$AK$49),0)</x:f>
        <x:v>110.43939071910346</x:v>
      </x:c>
      <x:c r="AK51" s="164" t="n">
        <x:f aca="0">IFERROR(SUMIF(S15_Source_Strata!$B$4:$B$49,$G51,S15_Source_Strata!$AL$4:$AL$49),0)</x:f>
        <x:v>114.88037132308999</x:v>
      </x:c>
      <x:c r="AL51" s="165" t="n">
        <x:f aca="0">$F51*Q51</x:f>
        <x:v>0</x:v>
      </x:c>
      <x:c r="AM51" s="165" t="n">
        <x:f aca="0">$F51*R51</x:f>
        <x:v>0.057490200806994886</x:v>
      </x:c>
      <x:c r="AN51" s="165" t="n">
        <x:f aca="0">$F51*S51</x:f>
        <x:v>0.695759888427224</x:v>
      </x:c>
      <x:c r="AO51" s="165" t="n">
        <x:f aca="0">$F51*T51</x:f>
        <x:v>2.675419180171701</x:v>
      </x:c>
      <x:c r="AP51" s="165" t="n">
        <x:f aca="0">$F51*U51</x:f>
        <x:v>6.502798173641717</x:v>
      </x:c>
      <x:c r="AQ51" s="165" t="n">
        <x:f aca="0">$F51*V51</x:f>
        <x:v>12.271936190947466</x:v>
      </x:c>
      <x:c r="AR51" s="165" t="n">
        <x:f aca="0">$F51*W51</x:f>
        <x:v>19.79359884572177</x:v>
      </x:c>
      <x:c r="AS51" s="165" t="n">
        <x:f aca="0">$F51*X51</x:f>
        <x:v>28.715839151544852</x:v>
      </x:c>
      <x:c r="AT51" s="165" t="n">
        <x:f aca="0">$F51*Y51</x:f>
        <x:v>38.62729009036667</x:v>
      </x:c>
      <x:c r="AU51" s="165" t="n">
        <x:f aca="0">$F51*Z51</x:f>
        <x:v>49.12534056569472</x:v>
      </x:c>
      <x:c r="AV51" s="165" t="n">
        <x:f aca="0">$F51*AA51</x:f>
        <x:v>59.854185168828806</x:v>
      </x:c>
      <x:c r="AW51" s="165" t="n">
        <x:f aca="0">$F51*AB51</x:f>
        <x:v>70.52140957018038</x:v>
      </x:c>
      <x:c r="AX51" s="165" t="n">
        <x:f aca="0">$F51*AC51</x:f>
        <x:v>80.90098996459986</x:v>
      </x:c>
      <x:c r="AY51" s="165" t="n">
        <x:f aca="0">$F51*AD51</x:f>
        <x:v>90.82861837613238</x:v>
      </x:c>
      <x:c r="AZ51" s="165" t="n">
        <x:f aca="0">$F51*AE51</x:f>
        <x:v>100.19334760807193</x:v>
      </x:c>
      <x:c r="BA51" s="165" t="n">
        <x:f aca="0">$F51*AF51</x:f>
        <x:v>108.92804512729218</x:v>
      </x:c>
      <x:c r="BB51" s="165" t="n">
        <x:f aca="0">$F51*AG51</x:f>
        <x:v>117.00008308141715</x:v>
      </x:c>
      <x:c r="BC51" s="165" t="n">
        <x:f aca="0">$F51*AH51</x:f>
        <x:v>124.40299243669723</x:v>
      </x:c>
      <x:c r="BD51" s="165" t="n">
        <x:f aca="0">$F51*AI51</x:f>
        <x:v>131.14937549148124</x:v>
      </x:c>
      <x:c r="BE51" s="165" t="n">
        <x:f aca="0">$F51*AJ51</x:f>
        <x:v>137.26511872477369</x:v>
      </x:c>
      <x:c r="BF51" s="165" t="n">
        <x:f aca="0">$F51*AK51</x:f>
        <x:v>142.78481351746854</x:v>
      </x:c>
    </x:row>
    <x:row r="52" ht="15" hidden="0" customHeight="1">
      <x:c r="A52" s="37" t="str">
        <x:v>Tropical &amp; Subtropical Moist Broadleaf Forests</x:v>
      </x:c>
      <x:c r="B52" s="37" t="s">
        <x:v>114</x:v>
      </x:c>
      <x:c r="C52" s="37" t="s">
        <x:v>553</x:v>
      </x:c>
      <x:c r="D52" s="37" t="n">
        <x:v>2020</x:v>
      </x:c>
      <x:c r="E52" s="100" t="n">
        <x:v>2</x:v>
      </x:c>
      <x:c r="F52" s="100" t="n">
        <x:v>2.6736</x:v>
      </x:c>
      <x:c r="G52" s="37" t="s">
        <x:v>638</x:v>
      </x:c>
      <x:c r="H52" s="37" t="n">
        <x:v>1</x:v>
      </x:c>
      <x:c r="I52" s="37" t="s">
        <x:v>1180</x:v>
      </x:c>
      <x:c r="J52" s="37" t="str">
        <x:v>Tropical &amp; Subtropical Moist Broadleaf Forests|2020</x:v>
      </x:c>
      <x:c r="K52" s="37" t="str">
        <x:v>Area × biological stock; VM0047 Eq.(3); PB separately by Biome×Cohort</x:v>
      </x:c>
      <x:c r="Q52" s="164" t="n">
        <x:f aca="0">IFERROR(SUMIF(S15_Source_Strata!$B$4:$B$49,$G52,S15_Source_Strata!$R$4:$R$49),0)</x:f>
        <x:v>0</x:v>
      </x:c>
      <x:c r="R52" s="164" t="n">
        <x:f aca="0">IFERROR(SUMIF(S15_Source_Strata!$B$4:$B$49,$G52,S15_Source_Strata!$S$4:$S$49),0)</x:f>
        <x:v>0.2723417518114028</x:v>
      </x:c>
      <x:c r="S52" s="164" t="n">
        <x:f aca="0">IFERROR(SUMIF(S15_Source_Strata!$B$4:$B$49,$G52,S15_Source_Strata!$T$4:$T$49),0)</x:f>
        <x:v>3.248895379183343</x:v>
      </x:c>
      <x:c r="T52" s="164" t="n">
        <x:f aca="0">IFERROR(SUMIF(S15_Source_Strata!$B$4:$B$49,$G52,S15_Source_Strata!$U$4:$U$49),0)</x:f>
        <x:v>12.403995886039331</x:v>
      </x:c>
      <x:c r="U52" s="164" t="n">
        <x:f aca="0">IFERROR(SUMIF(S15_Source_Strata!$B$4:$B$49,$G52,S15_Source_Strata!$V$4:$V$49),0)</x:f>
        <x:v>30.01595620534883</x:v>
      </x:c>
      <x:c r="V52" s="164" t="n">
        <x:f aca="0">IFERROR(SUMIF(S15_Source_Strata!$B$4:$B$49,$G52,S15_Source_Strata!$W$4:$W$49),0)</x:f>
        <x:v>56.46525888548903</x:v>
      </x:c>
      <x:c r="W52" s="164" t="n">
        <x:f aca="0">IFERROR(SUMIF(S15_Source_Strata!$B$4:$B$49,$G52,S15_Source_Strata!$X$4:$X$49),0)</x:f>
        <x:v>90.83662104379438</x:v>
      </x:c>
      <x:c r="X52" s="164" t="n">
        <x:f aca="0">IFERROR(SUMIF(S15_Source_Strata!$B$4:$B$49,$G52,S15_Source_Strata!$Y$4:$Y$49),0)</x:f>
        <x:v>131.47494963585845</x:v>
      </x:c>
      <x:c r="Y52" s="164" t="n">
        <x:f aca="0">IFERROR(SUMIF(S15_Source_Strata!$B$4:$B$49,$G52,S15_Source_Strata!$Z$4:$Z$49),0)</x:f>
        <x:v>176.462752881878</x:v>
      </x:c>
      <x:c r="Z52" s="164" t="n">
        <x:f aca="0">IFERROR(SUMIF(S15_Source_Strata!$B$4:$B$49,$G52,S15_Source_Strata!$AA$4:$AA$49),0)</x:f>
        <x:v>223.93563928265257</x:v>
      </x:c>
      <x:c r="AA52" s="164" t="n">
        <x:f aca="0">IFERROR(SUMIF(S15_Source_Strata!$B$4:$B$49,$G52,S15_Source_Strata!$AB$4:$AB$49),0)</x:f>
        <x:v>272.25774963049446</x:v>
      </x:c>
      <x:c r="AB52" s="164" t="n">
        <x:f aca="0">IFERROR(SUMIF(S15_Source_Strata!$B$4:$B$49,$G52,S15_Source_Strata!$AC$4:$AC$49),0)</x:f>
        <x:v>320.09677991534846</x:v>
      </x:c>
      <x:c r="AC52" s="164" t="n">
        <x:f aca="0">IFERROR(SUMIF(S15_Source_Strata!$B$4:$B$49,$G52,S15_Source_Strata!$AD$4:$AD$49),0)</x:f>
        <x:v>366.4353060349873</x:v>
      </x:c>
      <x:c r="AD52" s="164" t="n">
        <x:f aca="0">IFERROR(SUMIF(S15_Source_Strata!$B$4:$B$49,$G52,S15_Source_Strata!$AE$4:$AE$49),0)</x:f>
        <x:v>410.5462671133159</x:v>
      </x:c>
      <x:c r="AE52" s="164" t="n">
        <x:f aca="0">IFERROR(SUMIF(S15_Source_Strata!$B$4:$B$49,$G52,S15_Source_Strata!$AF$4:$AF$49),0)</x:f>
        <x:v>451.9515457000744</x:v>
      </x:c>
      <x:c r="AF52" s="164" t="n">
        <x:f aca="0">IFERROR(SUMIF(S15_Source_Strata!$B$4:$B$49,$G52,S15_Source_Strata!$AG$4:$AG$49),0)</x:f>
        <x:v>490.375463494989</x:v>
      </x:c>
      <x:c r="AG52" s="164" t="n">
        <x:f aca="0">IFERROR(SUMIF(S15_Source_Strata!$B$4:$B$49,$G52,S15_Source_Strata!$AH$4:$AH$49),0)</x:f>
        <x:v>525.6999326358658</x:v>
      </x:c>
      <x:c r="AH52" s="164" t="n">
        <x:f aca="0">IFERROR(SUMIF(S15_Source_Strata!$B$4:$B$49,$G52,S15_Source_Strata!$AI$4:$AI$49),0)</x:f>
        <x:v>557.9246430745985</x:v>
      </x:c>
      <x:c r="AI52" s="164" t="n">
        <x:f aca="0">IFERROR(SUMIF(S15_Source_Strata!$B$4:$B$49,$G52,S15_Source_Strata!$AJ$4:$AJ$49),0)</x:f>
        <x:v>587.1335840474726</x:v>
      </x:c>
      <x:c r="AJ52" s="164" t="n">
        <x:f aca="0">IFERROR(SUMIF(S15_Source_Strata!$B$4:$B$49,$G52,S15_Source_Strata!$AK$4:$AK$49),0)</x:f>
        <x:v>613.4679951072424</x:v>
      </x:c>
      <x:c r="AK52" s="164" t="n">
        <x:f aca="0">IFERROR(SUMIF(S15_Source_Strata!$B$4:$B$49,$G52,S15_Source_Strata!$AL$4:$AL$49),0)</x:f>
        <x:v>637.105212789708</x:v>
      </x:c>
      <x:c r="AL52" s="165" t="n">
        <x:f aca="0">$F52*Q52</x:f>
        <x:v>0</x:v>
      </x:c>
      <x:c r="AM52" s="165" t="n">
        <x:f aca="0">$F52*R52</x:f>
        <x:v>0.7281329076429666</x:v>
      </x:c>
      <x:c r="AN52" s="165" t="n">
        <x:f aca="0">$F52*S52</x:f>
        <x:v>8.686246685784585</x:v>
      </x:c>
      <x:c r="AO52" s="165" t="n">
        <x:f aca="0">$F52*T52</x:f>
        <x:v>33.163323400914756</x:v>
      </x:c>
      <x:c r="AP52" s="165" t="n">
        <x:f aca="0">$F52*U52</x:f>
        <x:v>80.25066051062063</x:v>
      </x:c>
      <x:c r="AQ52" s="165" t="n">
        <x:f aca="0">$F52*V52</x:f>
        <x:v>150.96551615624347</x:v>
      </x:c>
      <x:c r="AR52" s="165" t="n">
        <x:f aca="0">$F52*W52</x:f>
        <x:v>242.86079002268866</x:v>
      </x:c>
      <x:c r="AS52" s="165" t="n">
        <x:f aca="0">$F52*X52</x:f>
        <x:v>351.51142534643117</x:v>
      </x:c>
      <x:c r="AT52" s="165" t="n">
        <x:f aca="0">$F52*Y52</x:f>
        <x:v>471.790816104989</x:v>
      </x:c>
      <x:c r="AU52" s="165" t="n">
        <x:f aca="0">$F52*Z52</x:f>
        <x:v>598.7143251860999</x:v>
      </x:c>
      <x:c r="AV52" s="165" t="n">
        <x:f aca="0">$F52*AA52</x:f>
        <x:v>727.90831941209</x:v>
      </x:c>
      <x:c r="AW52" s="165" t="n">
        <x:f aca="0">$F52*AB52</x:f>
        <x:v>855.8107507816757</x:v>
      </x:c>
      <x:c r="AX52" s="165" t="n">
        <x:f aca="0">$F52*AC52</x:f>
        <x:v>979.7014342151421</x:v>
      </x:c>
      <x:c r="AY52" s="165" t="n">
        <x:f aca="0">$F52*AD52</x:f>
        <x:v>1097.6364997541614</x:v>
      </x:c>
      <x:c r="AZ52" s="165" t="n">
        <x:f aca="0">$F52*AE52</x:f>
        <x:v>1208.3376525837189</x:v>
      </x:c>
      <x:c r="BA52" s="165" t="n">
        <x:f aca="0">$F52*AF52</x:f>
        <x:v>1311.0678392002026</x:v>
      </x:c>
      <x:c r="BB52" s="165" t="n">
        <x:f aca="0">$F52*AG52</x:f>
        <x:v>1405.5113398952508</x:v>
      </x:c>
      <x:c r="BC52" s="165" t="n">
        <x:f aca="0">$F52*AH52</x:f>
        <x:v>1491.6673257242467</x:v>
      </x:c>
      <x:c r="BD52" s="165" t="n">
        <x:f aca="0">$F52*AI52</x:f>
        <x:v>1569.7603503093228</x:v>
      </x:c>
      <x:c r="BE52" s="165" t="n">
        <x:f aca="0">$F52*AJ52</x:f>
        <x:v>1640.1680317187231</x:v>
      </x:c>
      <x:c r="BF52" s="165" t="n">
        <x:f aca="0">$F52*AK52</x:f>
        <x:v>1703.3644969145635</x:v>
      </x:c>
    </x:row>
    <x:row r="53" ht="15" hidden="0" customHeight="1">
      <x:c r="A53" s="37" t="str">
        <x:v>Tropical &amp; Subtropical Moist Broadleaf Forests</x:v>
      </x:c>
      <x:c r="B53" s="37" t="s">
        <x:v>114</x:v>
      </x:c>
      <x:c r="C53" s="37" t="s">
        <x:v>542</x:v>
      </x:c>
      <x:c r="D53" s="37" t="n">
        <x:v>2020</x:v>
      </x:c>
      <x:c r="E53" s="100" t="n">
        <x:v>4</x:v>
      </x:c>
      <x:c r="F53" s="100" t="n">
        <x:v>5.7711</x:v>
      </x:c>
      <x:c r="G53" s="37" t="s">
        <x:v>630</x:v>
      </x:c>
      <x:c r="H53" s="37" t="n">
        <x:v>2</x:v>
      </x:c>
      <x:c r="I53" s="37" t="s">
        <x:v>1180</x:v>
      </x:c>
      <x:c r="J53" s="37" t="str">
        <x:v>Tropical &amp; Subtropical Moist Broadleaf Forests|2020</x:v>
      </x:c>
      <x:c r="K53" s="37" t="str">
        <x:v>Area × biological stock; VM0047 Eq.(3); PB separately by Biome×Cohort</x:v>
      </x:c>
      <x:c r="Q53" s="164" t="n">
        <x:f aca="0">IFERROR(SUMIF(S15_Source_Strata!$B$4:$B$49,$G53,S15_Source_Strata!$R$4:$R$49),0)</x:f>
        <x:v>0</x:v>
      </x:c>
      <x:c r="R53" s="164" t="n">
        <x:f aca="0">IFERROR(SUMIF(S15_Source_Strata!$B$4:$B$49,$G53,S15_Source_Strata!$S$4:$S$49),0)</x:f>
        <x:v>6.009795344304627</x:v>
      </x:c>
      <x:c r="S53" s="164" t="n">
        <x:f aca="0">IFERROR(SUMIF(S15_Source_Strata!$B$4:$B$49,$G53,S15_Source_Strata!$T$4:$T$49),0)</x:f>
        <x:v>61.820362843600975</x:v>
      </x:c>
      <x:c r="T53" s="164" t="n">
        <x:f aca="0">IFERROR(SUMIF(S15_Source_Strata!$B$4:$B$49,$G53,S15_Source_Strata!$U$4:$U$49),0)</x:f>
        <x:v>217.50091954084098</x:v>
      </x:c>
      <x:c r="U53" s="164" t="n">
        <x:f aca="0">IFERROR(SUMIF(S15_Source_Strata!$B$4:$B$49,$G53,S15_Source_Strata!$V$4:$V$49),0)</x:f>
        <x:v>498.0928975601912</x:v>
      </x:c>
      <x:c r="V53" s="164" t="n">
        <x:f aca="0">IFERROR(SUMIF(S15_Source_Strata!$B$4:$B$49,$G53,S15_Source_Strata!$W$4:$W$49),0)</x:f>
        <x:v>899.5079414320759</x:v>
      </x:c>
      <x:c r="W53" s="164" t="n">
        <x:f aca="0">IFERROR(SUMIF(S15_Source_Strata!$B$4:$B$49,$G53,S15_Source_Strata!$X$4:$X$49),0)</x:f>
        <x:v>1401.5328517171295</x:v>
      </x:c>
      <x:c r="X53" s="164" t="n">
        <x:f aca="0">IFERROR(SUMIF(S15_Source_Strata!$B$4:$B$49,$G53,S15_Source_Strata!$Y$4:$Y$49),0)</x:f>
        <x:v>1976.5981157122822</x:v>
      </x:c>
      <x:c r="Y53" s="164" t="n">
        <x:f aca="0">IFERROR(SUMIF(S15_Source_Strata!$B$4:$B$49,$G53,S15_Source_Strata!$Z$4:$Z$49),0)</x:f>
        <x:v>2596.2558974862486</x:v>
      </x:c>
      <x:c r="Z53" s="164" t="n">
        <x:f aca="0">IFERROR(SUMIF(S15_Source_Strata!$B$4:$B$49,$G53,S15_Source_Strata!$AA$4:$AA$49),0)</x:f>
        <x:v>3234.895357024884</x:v>
      </x:c>
      <x:c r="AA53" s="164" t="n">
        <x:f aca="0">IFERROR(SUMIF(S15_Source_Strata!$B$4:$B$49,$G53,S15_Source_Strata!$AB$4:$AB$49),0)</x:f>
        <x:v>3871.4377798758233</x:v>
      </x:c>
      <x:c r="AB53" s="164" t="n">
        <x:f aca="0">IFERROR(SUMIF(S15_Source_Strata!$B$4:$B$49,$G53,S15_Source_Strata!$AC$4:$AC$49),0)</x:f>
        <x:v>4489.74798737567</x:v>
      </x:c>
      <x:c r="AC53" s="164" t="n">
        <x:f aca="0">IFERROR(SUMIF(S15_Source_Strata!$B$4:$B$49,$G53,S15_Source_Strata!$AD$4:$AD$49),0)</x:f>
        <x:v>5078.324909326893</x:v>
      </x:c>
      <x:c r="AD53" s="164" t="n">
        <x:f aca="0">IFERROR(SUMIF(S15_Source_Strata!$B$4:$B$49,$G53,S15_Source_Strata!$AE$4:$AE$49),0)</x:f>
        <x:v>5629.650503945901</x:v>
      </x:c>
      <x:c r="AE53" s="164" t="n">
        <x:f aca="0">IFERROR(SUMIF(S15_Source_Strata!$B$4:$B$49,$G53,S15_Source_Strata!$AF$4:$AF$49),0)</x:f>
        <x:v>6139.429972260172</x:v>
      </x:c>
      <x:c r="AF53" s="164" t="n">
        <x:f aca="0">IFERROR(SUMIF(S15_Source_Strata!$B$4:$B$49,$G53,S15_Source_Strata!$AG$4:$AG$49),0)</x:f>
        <x:v>6605.853532248976</x:v>
      </x:c>
      <x:c r="AG53" s="164" t="n">
        <x:f aca="0">IFERROR(SUMIF(S15_Source_Strata!$B$4:$B$49,$G53,S15_Source_Strata!$AH$4:$AH$49),0)</x:f>
        <x:v>7028.943525230924</x:v>
      </x:c>
      <x:c r="AH53" s="164" t="n">
        <x:f aca="0">IFERROR(SUMIF(S15_Source_Strata!$B$4:$B$49,$G53,S15_Source_Strata!$AI$4:$AI$49),0)</x:f>
        <x:v>7410.010436543258</x:v>
      </x:c>
      <x:c r="AI53" s="164" t="n">
        <x:f aca="0">IFERROR(SUMIF(S15_Source_Strata!$B$4:$B$49,$G53,S15_Source_Strata!$AJ$4:$AJ$49),0)</x:f>
        <x:v>7751.2188950683785</x:v>
      </x:c>
      <x:c r="AJ53" s="164" t="n">
        <x:f aca="0">IFERROR(SUMIF(S15_Source_Strata!$B$4:$B$49,$G53,S15_Source_Strata!$AK$4:$AK$49),0)</x:f>
        <x:v>8055.25339281208</x:v>
      </x:c>
      <x:c r="AK53" s="164" t="n">
        <x:f aca="0">IFERROR(SUMIF(S15_Source_Strata!$B$4:$B$49,$G53,S15_Source_Strata!$AL$4:$AL$49),0)</x:f>
        <x:v>8325.068852688742</x:v>
      </x:c>
      <x:c r="AL53" s="165" t="n">
        <x:f aca="0">$F53*Q53</x:f>
        <x:v>0</x:v>
      </x:c>
      <x:c r="AM53" s="165" t="n">
        <x:f aca="0">$F53*R53</x:f>
        <x:v>34.68312991151643</x:v>
      </x:c>
      <x:c r="AN53" s="165" t="n">
        <x:f aca="0">$F53*S53</x:f>
        <x:v>356.77149600670555</x:v>
      </x:c>
      <x:c r="AO53" s="165" t="n">
        <x:f aca="0">$F53*T53</x:f>
        <x:v>1255.2195567621472</x:v>
      </x:c>
      <x:c r="AP53" s="165" t="n">
        <x:f aca="0">$F53*U53</x:f>
        <x:v>2874.543921109619</x:v>
      </x:c>
      <x:c r="AQ53" s="165" t="n">
        <x:f aca="0">$F53*V53</x:f>
        <x:v>5191.150280798653</x:v>
      </x:c>
      <x:c r="AR53" s="165" t="n">
        <x:f aca="0">$F53*W53</x:f>
        <x:v>8088.386240544725</x:v>
      </x:c>
      <x:c r="AS53" s="165" t="n">
        <x:f aca="0">$F53*X53</x:f>
        <x:v>11407.145385587151</x:v>
      </x:c>
      <x:c r="AT53" s="165" t="n">
        <x:f aca="0">$F53*Y53</x:f>
        <x:v>14983.252409982888</x:v>
      </x:c>
      <x:c r="AU53" s="165" t="n">
        <x:f aca="0">$F53*Z53</x:f>
        <x:v>18668.90459492631</x:v>
      </x:c>
      <x:c r="AV53" s="165" t="n">
        <x:f aca="0">$F53*AA53</x:f>
        <x:v>22342.45457144136</x:v>
      </x:c>
      <x:c r="AW53" s="165" t="n">
        <x:f aca="0">$F53*AB53</x:f>
        <x:v>25910.78460994373</x:v>
      </x:c>
      <x:c r="AX53" s="165" t="n">
        <x:f aca="0">$F53*AC53</x:f>
        <x:v>29307.520884216432</x:v>
      </x:c>
      <x:c r="AY53" s="165" t="n">
        <x:f aca="0">$F53*AD53</x:f>
        <x:v>32489.276023322185</x:v>
      </x:c>
      <x:c r="AZ53" s="165" t="n">
        <x:f aca="0">$F53*AE53</x:f>
        <x:v>35431.26431291067</x:v>
      </x:c>
      <x:c r="BA53" s="165" t="n">
        <x:f aca="0">$F53*AF53</x:f>
        <x:v>38123.04131996207</x:v>
      </x:c>
      <x:c r="BB53" s="165" t="n">
        <x:f aca="0">$F53*AG53</x:f>
        <x:v>40564.73597846019</x:v>
      </x:c>
      <x:c r="BC53" s="165" t="n">
        <x:f aca="0">$F53*AH53</x:f>
        <x:v>42763.911230334794</x:v>
      </x:c>
      <x:c r="BD53" s="165" t="n">
        <x:f aca="0">$F53*AI53</x:f>
        <x:v>44733.059365329114</x:v>
      </x:c>
      <x:c r="BE53" s="165" t="n">
        <x:f aca="0">$F53*AJ53</x:f>
        <x:v>46487.67285525779</x:v>
      </x:c>
      <x:c r="BF53" s="165" t="n">
        <x:f aca="0">$F53*AK53</x:f>
        <x:v>48044.804855752</x:v>
      </x:c>
    </x:row>
    <x:row r="54" ht="15" hidden="0" customHeight="1">
      <x:c r="A54" s="37" t="str">
        <x:v>Tropical &amp; Subtropical Dry Broadleaf Forests</x:v>
      </x:c>
      <x:c r="B54" s="37" t="s">
        <x:v>111</x:v>
      </x:c>
      <x:c r="C54" s="37" t="s">
        <x:v>549</x:v>
      </x:c>
      <x:c r="D54" s="37" t="n">
        <x:v>2020</x:v>
      </x:c>
      <x:c r="E54" s="100" t="n">
        <x:v>126</x:v>
      </x:c>
      <x:c r="F54" s="100" t="n">
        <x:v>158.799393079725</x:v>
      </x:c>
      <x:c r="G54" s="37" t="s">
        <x:v>551</x:v>
      </x:c>
      <x:c r="H54" s="37" t="n">
        <x:v>1</x:v>
      </x:c>
      <x:c r="I54" s="37" t="s">
        <x:v>1180</x:v>
      </x:c>
      <x:c r="J54" s="37" t="str">
        <x:v>Tropical &amp; Subtropical Dry Broadleaf Forests|2020</x:v>
      </x:c>
      <x:c r="K54" s="37" t="str">
        <x:v>Area × biological stock; VM0047 Eq.(3); PB separately by Biome×Cohort</x:v>
      </x:c>
      <x:c r="Q54" s="164" t="n">
        <x:f aca="0">IFERROR(SUMIF(S15_Source_Strata!$B$4:$B$49,$G54,S15_Source_Strata!$R$4:$R$49),0)</x:f>
        <x:v>0</x:v>
      </x:c>
      <x:c r="R54" s="164" t="n">
        <x:f aca="0">IFERROR(SUMIF(S15_Source_Strata!$B$4:$B$49,$G54,S15_Source_Strata!$S$4:$S$49),0)</x:f>
        <x:v>0.041887249891712</x:v>
      </x:c>
      <x:c r="S54" s="164" t="n">
        <x:f aca="0">IFERROR(SUMIF(S15_Source_Strata!$B$4:$B$49,$G54,S15_Source_Strata!$T$4:$T$49),0)</x:f>
        <x:v>0.5006911820948761</x:v>
      </x:c>
      <x:c r="T54" s="164" t="n">
        <x:f aca="0">IFERROR(SUMIF(S15_Source_Strata!$B$4:$B$49,$G54,S15_Source_Strata!$U$4:$U$49),0)</x:f>
        <x:v>1.9160435894217756</x:v>
      </x:c>
      <x:c r="U54" s="164" t="n">
        <x:f aca="0">IFERROR(SUMIF(S15_Source_Strata!$B$4:$B$49,$G54,S15_Source_Strata!$V$4:$V$49),0)</x:f>
        <x:v>4.648002141175279</x:v>
      </x:c>
      <x:c r="V54" s="164" t="n">
        <x:f aca="0">IFERROR(SUMIF(S15_Source_Strata!$B$4:$B$49,$G54,S15_Source_Strata!$W$4:$W$49),0)</x:f>
        <x:v>8.765836201233046</x:v>
      </x:c>
      <x:c r="W54" s="164" t="n">
        <x:f aca="0">IFERROR(SUMIF(S15_Source_Strata!$B$4:$B$49,$G54,S15_Source_Strata!$X$4:$X$49),0)</x:f>
        <x:v>14.137731009696834</x:v>
      </x:c>
      <x:c r="X54" s="164" t="n">
        <x:f aca="0">IFERROR(SUMIF(S15_Source_Strata!$B$4:$B$49,$G54,S15_Source_Strata!$Y$4:$Y$49),0)</x:f>
        <x:v>20.514687829934044</x:v>
      </x:c>
      <x:c r="Y54" s="164" t="n">
        <x:f aca="0">IFERROR(SUMIF(S15_Source_Strata!$B$4:$B$49,$G54,S15_Source_Strata!$Z$4:$Z$49),0)</x:f>
        <x:v>27.60358895515498</x:v>
      </x:c>
      <x:c r="Z54" s="164" t="n">
        <x:f aca="0">IFERROR(SUMIF(S15_Source_Strata!$B$4:$B$49,$G54,S15_Source_Strata!$AA$4:$AA$49),0)</x:f>
        <x:v>35.11614902570361</x:v>
      </x:c>
      <x:c r="AA54" s="164" t="n">
        <x:f aca="0">IFERROR(SUMIF(S15_Source_Strata!$B$4:$B$49,$G54,S15_Source_Strata!$AB$4:$AB$49),0)</x:f>
        <x:v>42.796694831673534</x:v>
      </x:c>
      <x:c r="AB54" s="164" t="n">
        <x:f aca="0">IFERROR(SUMIF(S15_Source_Strata!$B$4:$B$49,$G54,S15_Source_Strata!$AC$4:$AC$49),0)</x:f>
        <x:v>50.43458352773399</x:v>
      </x:c>
      <x:c r="AC54" s="164" t="n">
        <x:f aca="0">IFERROR(SUMIF(S15_Source_Strata!$B$4:$B$49,$G54,S15_Source_Strata!$AD$4:$AD$49),0)</x:f>
        <x:v>57.8667406233523</x:v>
      </x:c>
      <x:c r="AD54" s="164" t="n">
        <x:f aca="0">IFERROR(SUMIF(S15_Source_Strata!$B$4:$B$49,$G54,S15_Source_Strata!$AE$4:$AE$49),0)</x:f>
        <x:v>64.97452870620393</x:v>
      </x:c>
      <x:c r="AE54" s="164" t="n">
        <x:f aca="0">IFERROR(SUMIF(S15_Source_Strata!$B$4:$B$49,$G54,S15_Source_Strata!$AF$4:$AF$49),0)</x:f>
        <x:v>71.67784329965413</x:v>
      </x:c>
      <x:c r="AF54" s="164" t="n">
        <x:f aca="0">IFERROR(SUMIF(S15_Source_Strata!$B$4:$B$49,$G54,S15_Source_Strata!$AG$4:$AG$49),0)</x:f>
        <x:v>77.92826810156097</x:v>
      </x:c>
      <x:c r="AG54" s="164" t="n">
        <x:f aca="0">IFERROR(SUMIF(S15_Source_Strata!$B$4:$B$49,$G54,S15_Source_Strata!$AH$4:$AH$49),0)</x:f>
        <x:v>83.70235418006737</x:v>
      </x:c>
      <x:c r="AH54" s="164" t="n">
        <x:f aca="0">IFERROR(SUMIF(S15_Source_Strata!$B$4:$B$49,$G54,S15_Source_Strata!$AI$4:$AI$49),0)</x:f>
        <x:v>88.99557408183094</x:v>
      </x:c>
      <x:c r="AI54" s="164" t="n">
        <x:f aca="0">IFERROR(SUMIF(S15_Source_Strata!$B$4:$B$49,$G54,S15_Source_Strata!$AJ$4:$AJ$49),0)</x:f>
        <x:v>93.81717915983346</x:v>
      </x:c>
      <x:c r="AJ54" s="164" t="n">
        <x:f aca="0">IFERROR(SUMIF(S15_Source_Strata!$B$4:$B$49,$G54,S15_Source_Strata!$AK$4:$AK$49),0)</x:f>
        <x:v>98.18599878326182</x:v>
      </x:c>
      <x:c r="AK54" s="164" t="n">
        <x:f aca="0">IFERROR(SUMIF(S15_Source_Strata!$B$4:$B$49,$G54,S15_Source_Strata!$AL$4:$AL$49),0)</x:f>
        <x:v>102.12711804116768</x:v>
      </x:c>
      <x:c r="AL54" s="165" t="n">
        <x:f aca="0">$F54*Q54</x:f>
        <x:v>0</x:v>
      </x:c>
      <x:c r="AM54" s="165" t="n">
        <x:f aca="0">$F54*R54</x:f>
        <x:v>6.6516698605826425</x:v>
      </x:c>
      <x:c r="AN54" s="165" t="n">
        <x:f aca="0">$F54*S54</x:f>
        <x:v>79.5094558370364</x:v>
      </x:c>
      <x:c r="AO54" s="165" t="n">
        <x:f aca="0">$F54*T54</x:f>
        <x:v>304.26655911447574</x:v>
      </x:c>
      <x:c r="AP54" s="165" t="n">
        <x:f aca="0">$F54*U54</x:f>
        <x:v>738.0999190518967</x:v>
      </x:c>
      <x:c r="AQ54" s="165" t="n">
        <x:f aca="0">$F54*V54</x:f>
        <x:v>1392.00946859209</x:v>
      </x:c>
      <x:c r="AR54" s="165" t="n">
        <x:f aca="0">$F54*W54</x:f>
        <x:v>2245.063103864265</x:v>
      </x:c>
      <x:c r="AS54" s="165" t="n">
        <x:f aca="0">$F54*X54</x:f>
        <x:v>3257.719976613547</x:v>
      </x:c>
      <x:c r="AT54" s="165" t="n">
        <x:f aca="0">$F54*Y54</x:f>
        <x:v>4383.433172900811</x:v>
      </x:c>
      <x:c r="AU54" s="165" t="n">
        <x:f aca="0">$F54*Z54</x:f>
        <x:v>5576.42315257891</x:v>
      </x:c>
      <x:c r="AV54" s="165" t="n">
        <x:f aca="0">$F54*AA54</x:f>
        <x:v>6796.089165087961</x:v>
      </x:c>
      <x:c r="AW54" s="165" t="n">
        <x:f aca="0">$F54*AB54</x:f>
        <x:v>8008.981254432854</x:v>
      </x:c>
      <x:c r="AX54" s="165" t="n">
        <x:f aca="0">$F54*AC54</x:f>
        <x:v>9189.203290490213</x:v>
      </x:c>
      <x:c r="AY54" s="165" t="n">
        <x:f aca="0">$F54*AD54</x:f>
        <x:v>10317.915724186354</x:v>
      </x:c>
      <x:c r="AZ54" s="165" t="n">
        <x:f aca="0">$F54*AE54</x:f>
        <x:v>11382.398013248709</x:v>
      </x:c>
      <x:c r="BA54" s="165" t="n">
        <x:f aca="0">$F54*AF54</x:f>
        <x:v>12374.961678281978</x:v>
      </x:c>
      <x:c r="BB54" s="165" t="n">
        <x:f aca="0">$F54*AG54</x:f>
        <x:v>13291.883043138883</x:v>
      </x:c>
      <x:c r="BC54" s="165" t="n">
        <x:f aca="0">$F54*AH54</x:f>
        <x:v>14132.443150976458</x:v>
      </x:c>
      <x:c r="BD54" s="165" t="n">
        <x:f aca="0">$F54*AI54</x:f>
        <x:v>14898.111111033379</x:v>
      </x:c>
      <x:c r="BE54" s="165" t="n">
        <x:f aca="0">$F54*AJ54</x:f>
        <x:v>15591.877015708595</x:v>
      </x:c>
      <x:c r="BF54" s="165" t="n">
        <x:f aca="0">$F54*AK54</x:f>
        <x:v>16217.724361918861</x:v>
      </x:c>
    </x:row>
    <x:row r="55" ht="15" hidden="0" customHeight="1">
      <x:c r="A55" s="37" t="str">
        <x:v>Tropical &amp; Subtropical Dry Broadleaf Forests</x:v>
      </x:c>
      <x:c r="B55" s="37" t="s">
        <x:v>111</x:v>
      </x:c>
      <x:c r="C55" s="37" t="s">
        <x:v>553</x:v>
      </x:c>
      <x:c r="D55" s="37" t="n">
        <x:v>2020</x:v>
      </x:c>
      <x:c r="E55" s="100" t="n">
        <x:v>77</x:v>
      </x:c>
      <x:c r="F55" s="100" t="n">
        <x:v>59.6856111290975</x:v>
      </x:c>
      <x:c r="G55" s="37" t="s">
        <x:v>555</x:v>
      </x:c>
      <x:c r="H55" s="37" t="n">
        <x:v>2</x:v>
      </x:c>
      <x:c r="I55" s="37" t="s">
        <x:v>1180</x:v>
      </x:c>
      <x:c r="J55" s="37" t="str">
        <x:v>Tropical &amp; Subtropical Dry Broadleaf Forests|2020</x:v>
      </x:c>
      <x:c r="K55" s="37" t="str">
        <x:v>Area × biological stock; VM0047 Eq.(3); PB separately by Biome×Cohort</x:v>
      </x:c>
      <x:c r="Q55" s="164" t="n">
        <x:f aca="0">IFERROR(SUMIF(S15_Source_Strata!$B$4:$B$49,$G55,S15_Source_Strata!$R$4:$R$49),0)</x:f>
        <x:v>0</x:v>
      </x:c>
      <x:c r="R55" s="164" t="n">
        <x:f aca="0">IFERROR(SUMIF(S15_Source_Strata!$B$4:$B$49,$G55,S15_Source_Strata!$S$4:$S$49),0)</x:f>
        <x:v>0.06926048119973205</x:v>
      </x:c>
      <x:c r="S55" s="164" t="n">
        <x:f aca="0">IFERROR(SUMIF(S15_Source_Strata!$B$4:$B$49,$G55,S15_Source_Strata!$T$4:$T$49),0)</x:f>
        <x:v>0.8356871819009624</x:v>
      </x:c>
      <x:c r="T55" s="164" t="n">
        <x:f aca="0">IFERROR(SUMIF(S15_Source_Strata!$B$4:$B$49,$G55,S15_Source_Strata!$U$4:$U$49),0)</x:f>
        <x:v>3.2052071159215103</x:v>
      </x:c>
      <x:c r="U55" s="164" t="n">
        <x:f aca="0">IFERROR(SUMIF(S15_Source_Strata!$B$4:$B$49,$G55,S15_Source_Strata!$V$4:$V$49),0)</x:f>
        <x:v>7.772014633913014</x:v>
      </x:c>
      <x:c r="V55" s="164" t="n">
        <x:f aca="0">IFERROR(SUMIF(S15_Source_Strata!$B$4:$B$49,$G55,S15_Source_Strata!$W$4:$W$49),0)</x:f>
        <x:v>14.634394131534494</x:v>
      </x:c>
      <x:c r="W55" s="164" t="n">
        <x:f aca="0">IFERROR(SUMIF(S15_Source_Strata!$B$4:$B$49,$G55,S15_Source_Strata!$X$4:$X$49),0)</x:f>
        <x:v>23.55391233001972</x:v>
      </x:c>
      <x:c r="X55" s="164" t="n">
        <x:f aca="0">IFERROR(SUMIF(S15_Source_Strata!$B$4:$B$49,$G55,S15_Source_Strata!$Y$4:$Y$49),0)</x:f>
        <x:v>34.10206893558147</x:v>
      </x:c>
      <x:c r="Y55" s="164" t="n">
        <x:f aca="0">IFERROR(SUMIF(S15_Source_Strata!$B$4:$B$49,$G55,S15_Source_Strata!$Z$4:$Z$49),0)</x:f>
        <x:v>45.784385494931186</x:v>
      </x:c>
      <x:c r="Z55" s="164" t="n">
        <x:f aca="0">IFERROR(SUMIF(S15_Source_Strata!$B$4:$B$49,$G55,S15_Source_Strata!$AA$4:$AA$49),0)</x:f>
        <x:v>58.12130558906018</x:v>
      </x:c>
      <x:c r="AA55" s="164" t="n">
        <x:f aca="0">IFERROR(SUMIF(S15_Source_Strata!$B$4:$B$49,$G55,S15_Source_Strata!$AB$4:$AB$49),0)</x:f>
        <x:v>70.69253798715549</x:v>
      </x:c>
      <x:c r="AB55" s="164" t="n">
        <x:f aca="0">IFERROR(SUMIF(S15_Source_Strata!$B$4:$B$49,$G55,S15_Source_Strata!$AC$4:$AC$49),0)</x:f>
        <x:v>83.15564243060469</x:v>
      </x:c>
      <x:c r="AC55" s="164" t="n">
        <x:f aca="0">IFERROR(SUMIF(S15_Source_Strata!$B$4:$B$49,$G55,S15_Source_Strata!$AD$4:$AD$49),0)</x:f>
        <x:v>95.24851896646659</x:v>
      </x:c>
      <x:c r="AD55" s="164" t="n">
        <x:f aca="0">IFERROR(SUMIF(S15_Source_Strata!$B$4:$B$49,$G55,S15_Source_Strata!$AE$4:$AE$49),0)</x:f>
        <x:v>106.78296780569482</x:v>
      </x:c>
      <x:c r="AE55" s="164" t="n">
        <x:f aca="0">IFERROR(SUMIF(S15_Source_Strata!$B$4:$B$49,$G55,S15_Source_Strata!$AF$4:$AF$49),0)</x:f>
        <x:v>117.6341076893758</x:v>
      </x:c>
      <x:c r="AF55" s="164" t="n">
        <x:f aca="0">IFERROR(SUMIF(S15_Source_Strata!$B$4:$B$49,$G55,S15_Source_Strata!$AG$4:$AG$49),0)</x:f>
        <x:v>127.72859818772162</x:v>
      </x:c>
      <x:c r="AG55" s="164" t="n">
        <x:f aca="0">IFERROR(SUMIF(S15_Source_Strata!$B$4:$B$49,$G55,S15_Source_Strata!$AH$4:$AH$49),0)</x:f>
        <x:v>137.03332468966457</x:v>
      </x:c>
      <x:c r="AH55" s="164" t="n">
        <x:f aca="0">IFERROR(SUMIF(S15_Source_Strata!$B$4:$B$49,$G55,S15_Source_Strata!$AI$4:$AI$49),0)</x:f>
        <x:v>145.54536734192152</x:v>
      </x:c>
      <x:c r="AI55" s="164" t="n">
        <x:f aca="0">IFERROR(SUMIF(S15_Source_Strata!$B$4:$B$49,$G55,S15_Source_Strata!$AJ$4:$AJ$49),0)</x:f>
        <x:v>153.2835625814983</x:v>
      </x:c>
      <x:c r="AJ55" s="164" t="n">
        <x:f aca="0">IFERROR(SUMIF(S15_Source_Strata!$B$4:$B$49,$G55,S15_Source_Strata!$AK$4:$AK$49),0)</x:f>
        <x:v>160.28167294438046</x:v>
      </x:c>
      <x:c r="AK55" s="164" t="n">
        <x:f aca="0">IFERROR(SUMIF(S15_Source_Strata!$B$4:$B$49,$G55,S15_Source_Strata!$AL$4:$AL$49),0)</x:f>
        <x:v>166.58302893091556</x:v>
      </x:c>
      <x:c r="AL55" s="165" t="n">
        <x:f aca="0">$F55*Q55</x:f>
        <x:v>0</x:v>
      </x:c>
      <x:c r="AM55" s="165" t="n">
        <x:f aca="0">$F55*R55</x:f>
        <x:v>4.133854147501376</x:v>
      </x:c>
      <x:c r="AN55" s="165" t="n">
        <x:f aca="0">$F55*S55</x:f>
        <x:v>49.87850016451221</x:v>
      </x:c>
      <x:c r="AO55" s="165" t="n">
        <x:f aca="0">$F55*T55</x:f>
        <x:v>191.3047455091074</x:v>
      </x:c>
      <x:c r="AP55" s="165" t="n">
        <x:f aca="0">$F55*U55</x:f>
        <x:v>463.87744312938725</x:v>
      </x:c>
      <x:c r="AQ55" s="165" t="n">
        <x:f aca="0">$F55*V55</x:f>
        <x:v>873.4627572447143</x:v>
      </x:c>
      <x:c r="AR55" s="165" t="n">
        <x:f aca="0">$F55*W55</x:f>
        <x:v>1405.8296518984118</x:v>
      </x:c>
      <x:c r="AS55" s="165" t="n">
        <x:f aca="0">$F55*X55</x:f>
        <x:v>2035.4028251867917</x:v>
      </x:c>
      <x:c r="AT55" s="165" t="n">
        <x:f aca="0">$F55*Y55</x:f>
        <x:v>2732.6690284351553</x:v>
      </x:c>
      <x:c r="AU55" s="165" t="n">
        <x:f aca="0">$F55*Z55</x:f>
        <x:v>3469.005643704087</x:v>
      </x:c>
      <x:c r="AV55" s="165" t="n">
        <x:f aca="0">$F55*AA55</x:f>
        <x:v>4219.327332030316</x:v>
      </x:c>
      <x:c r="AW55" s="165" t="n">
        <x:f aca="0">$F55*AB55</x:f>
        <x:v>4963.195337303351</x:v>
      </x:c>
      <x:c r="AX55" s="165" t="n">
        <x:f aca="0">$F55*AC55</x:f>
        <x:v>5684.9660636549925</x:v>
      </x:c>
      <x:c r="AY55" s="165" t="n">
        <x:f aca="0">$F55*AD55</x:f>
        <x:v>6373.406691661639</x:v>
      </x:c>
      <x:c r="AZ55" s="165" t="n">
        <x:f aca="0">$F55*AE55</x:f>
        <x:v>7021.063607066462</x:v>
      </x:c>
      <x:c r="BA55" s="165" t="n">
        <x:f aca="0">$F55*AF55</x:f>
        <x:v>7623.5594414971</x:v>
      </x:c>
      <x:c r="BB55" s="165" t="n">
        <x:f aca="0">$F55*AG55</x:f>
        <x:v>8178.917729154675</x:v>
      </x:c>
      <x:c r="BC55" s="165" t="n">
        <x:f aca="0">$F55*AH55</x:f>
        <x:v>8686.964196811576</x:v>
      </x:c>
      <x:c r="BD55" s="165" t="n">
        <x:f aca="0">$F55*AI55</x:f>
        <x:v>9148.823108721988</x:v>
      </x:c>
      <x:c r="BE55" s="165" t="n">
        <x:f aca="0">$F55*AJ55</x:f>
        <x:v>9566.50960247948</x:v>
      </x:c>
      <x:c r="BF55" s="165" t="n">
        <x:f aca="0">$F55*AK55</x:f>
        <x:v>9942.609885477825</x:v>
      </x:c>
    </x:row>
    <x:row r="56" ht="15" hidden="0" customHeight="1">
      <x:c r="A56" s="37" t="str">
        <x:v>Tropical &amp; Subtropical Dry Broadleaf Forests</x:v>
      </x:c>
      <x:c r="B56" s="37" t="s">
        <x:v>111</x:v>
      </x:c>
      <x:c r="C56" s="37" t="s">
        <x:v>542</x:v>
      </x:c>
      <x:c r="D56" s="37" t="n">
        <x:v>2020</x:v>
      </x:c>
      <x:c r="E56" s="100" t="n">
        <x:v>54</x:v>
      </x:c>
      <x:c r="F56" s="100" t="n">
        <x:v>30.2178103197086</x:v>
      </x:c>
      <x:c r="G56" s="37" t="s">
        <x:v>545</x:v>
      </x:c>
      <x:c r="H56" s="37" t="n">
        <x:v>2</x:v>
      </x:c>
      <x:c r="I56" s="37" t="s">
        <x:v>1180</x:v>
      </x:c>
      <x:c r="J56" s="37" t="str">
        <x:v>Tropical &amp; Subtropical Dry Broadleaf Forests|2020</x:v>
      </x:c>
      <x:c r="K56" s="37" t="str">
        <x:v>Area × biological stock; VM0047 Eq.(3); PB separately by Biome×Cohort</x:v>
      </x:c>
      <x:c r="Q56" s="164" t="n">
        <x:f aca="0">IFERROR(SUMIF(S15_Source_Strata!$B$4:$B$49,$G56,S15_Source_Strata!$R$4:$R$49),0)</x:f>
        <x:v>0</x:v>
      </x:c>
      <x:c r="R56" s="164" t="n">
        <x:f aca="0">IFERROR(SUMIF(S15_Source_Strata!$B$4:$B$49,$G56,S15_Source_Strata!$S$4:$S$49),0)</x:f>
        <x:v>0.07467984088429572</x:v>
      </x:c>
      <x:c r="S56" s="164" t="n">
        <x:f aca="0">IFERROR(SUMIF(S15_Source_Strata!$B$4:$B$49,$G56,S15_Source_Strata!$T$4:$T$49),0)</x:f>
        <x:v>0.9155074450282028</x:v>
      </x:c>
      <x:c r="T56" s="164" t="n">
        <x:f aca="0">IFERROR(SUMIF(S15_Source_Strata!$B$4:$B$49,$G56,S15_Source_Strata!$U$4:$U$49),0)</x:f>
        <x:v>3.459153360886757</x:v>
      </x:c>
      <x:c r="U56" s="164" t="n">
        <x:f aca="0">IFERROR(SUMIF(S15_Source_Strata!$B$4:$B$49,$G56,S15_Source_Strata!$V$4:$V$49),0)</x:f>
        <x:v>8.17416872954326</x:v>
      </x:c>
      <x:c r="V56" s="164" t="n">
        <x:f aca="0">IFERROR(SUMIF(S15_Source_Strata!$B$4:$B$49,$G56,S15_Source_Strata!$W$4:$W$49),0)</x:f>
        <x:v>14.934845429105282</x:v>
      </x:c>
      <x:c r="W56" s="164" t="n">
        <x:f aca="0">IFERROR(SUMIF(S15_Source_Strata!$B$4:$B$49,$G56,S15_Source_Strata!$X$4:$X$49),0)</x:f>
        <x:v>23.290920145135782</x:v>
      </x:c>
      <x:c r="X56" s="164" t="n">
        <x:f aca="0">IFERROR(SUMIF(S15_Source_Strata!$B$4:$B$49,$G56,S15_Source_Strata!$Y$4:$Y$49),0)</x:f>
        <x:v>32.676845883129</x:v>
      </x:c>
      <x:c r="Y56" s="164" t="n">
        <x:f aca="0">IFERROR(SUMIF(S15_Source_Strata!$B$4:$B$49,$G56,S15_Source_Strata!$Z$4:$Z$49),0)</x:f>
        <x:v>42.5517787792618</x:v>
      </x:c>
      <x:c r="Z56" s="164" t="n">
        <x:f aca="0">IFERROR(SUMIF(S15_Source_Strata!$B$4:$B$49,$G56,S15_Source_Strata!$AA$4:$AA$49),0)</x:f>
        <x:v>52.46753095745866</x:v>
      </x:c>
      <x:c r="AA56" s="164" t="n">
        <x:f aca="0">IFERROR(SUMIF(S15_Source_Strata!$B$4:$B$49,$G56,S15_Source_Strata!$AB$4:$AB$49),0)</x:f>
        <x:v>62.088727706504955</x:v>
      </x:c>
      <x:c r="AB56" s="164" t="n">
        <x:f aca="0">IFERROR(SUMIF(S15_Source_Strata!$B$4:$B$49,$G56,S15_Source_Strata!$AC$4:$AC$49),0)</x:f>
        <x:v>71.18686146835013</x:v>
      </x:c>
      <x:c r="AC56" s="164" t="n">
        <x:f aca="0">IFERROR(SUMIF(S15_Source_Strata!$B$4:$B$49,$G56,S15_Source_Strata!$AD$4:$AD$49),0)</x:f>
        <x:v>79.62292976284827</x:v>
      </x:c>
      <x:c r="AD56" s="164" t="n">
        <x:f aca="0">IFERROR(SUMIF(S15_Source_Strata!$B$4:$B$49,$G56,S15_Source_Strata!$AE$4:$AE$49),0)</x:f>
        <x:v>87.32716549861607</x:v>
      </x:c>
      <x:c r="AE56" s="164" t="n">
        <x:f aca="0">IFERROR(SUMIF(S15_Source_Strata!$B$4:$B$49,$G56,S15_Source_Strata!$AF$4:$AF$49),0)</x:f>
        <x:v>94.28012952869116</x:v>
      </x:c>
      <x:c r="AF56" s="164" t="n">
        <x:f aca="0">IFERROR(SUMIF(S15_Source_Strata!$B$4:$B$49,$G56,S15_Source_Strata!$AG$4:$AG$49),0)</x:f>
        <x:v>100.49689300912144</x:v>
      </x:c>
      <x:c r="AG56" s="164" t="n">
        <x:f aca="0">IFERROR(SUMIF(S15_Source_Strata!$B$4:$B$49,$G56,S15_Source_Strata!$AH$4:$AH$49),0)</x:f>
        <x:v>106.01466917516407</x:v>
      </x:c>
      <x:c r="AH56" s="164" t="n">
        <x:f aca="0">IFERROR(SUMIF(S15_Source_Strata!$B$4:$B$49,$G56,S15_Source_Strata!$AI$4:$AI$49),0)</x:f>
        <x:v>110.88360662125636</x:v>
      </x:c>
      <x:c r="AI56" s="164" t="n">
        <x:f aca="0">IFERROR(SUMIF(S15_Source_Strata!$B$4:$B$49,$G56,S15_Source_Strata!$AJ$4:$AJ$49),0)</x:f>
        <x:v>115.16021267185421</x:v>
      </x:c>
      <x:c r="AJ56" s="164" t="n">
        <x:f aca="0">IFERROR(SUMIF(S15_Source_Strata!$B$4:$B$49,$G56,S15_Source_Strata!$AK$4:$AK$49),0)</x:f>
        <x:v>118.9028388371039</x:v>
      </x:c>
      <x:c r="AK56" s="164" t="n">
        <x:f aca="0">IFERROR(SUMIF(S15_Source_Strata!$B$4:$B$49,$G56,S15_Source_Strata!$AL$4:$AL$49),0)</x:f>
        <x:v>122.1687170856391</x:v>
      </x:c>
      <x:c r="AL56" s="165" t="n">
        <x:f aca="0">$F56*Q56</x:f>
        <x:v>0</x:v>
      </x:c>
      <x:c r="AM56" s="165" t="n">
        <x:f aca="0">$F56*R56</x:f>
        <x:v>2.2566612665476673</x:v>
      </x:c>
      <x:c r="AN56" s="165" t="n">
        <x:f aca="0">$F56*S56</x:f>
        <x:v>27.66463032014328</x:v>
      </x:c>
      <x:c r="AO56" s="165" t="n">
        <x:f aca="0">$F56*T56</x:f>
        <x:v>104.52804012605854</x:v>
      </x:c>
      <x:c r="AP56" s="165" t="n">
        <x:f aca="0">$F56*U56</x:f>
        <x:v>247.00548019063166</x:v>
      </x:c>
      <x:c r="AQ56" s="165" t="n">
        <x:f aca="0">$F56*V56</x:f>
        <x:v>451.2983263308704</x:v>
      </x:c>
      <x:c r="AR56" s="165" t="n">
        <x:f aca="0">$F56*W56</x:f>
        <x:v>703.800607117193</x:v>
      </x:c>
      <x:c r="AS56" s="165" t="n">
        <x:f aca="0">$F56*X56</x:f>
        <x:v>987.4227307427429</x:v>
      </x:c>
      <x:c r="AT56" s="165" t="n">
        <x:f aca="0">$F56*Y56</x:f>
        <x:v>1285.8215799179347</x:v>
      </x:c>
      <x:c r="AU56" s="165" t="n">
        <x:f aca="0">$F56*Z56</x:f>
        <x:v>1585.4538984159249</x:v>
      </x:c>
      <x:c r="AV56" s="165" t="n">
        <x:f aca="0">$F56*AA56</x:f>
        <x:v>1876.1853968272028</x:v>
      </x:c>
      <x:c r="AW56" s="165" t="n">
        <x:f aca="0">$F56*AB56</x:f>
        <x:v>2151.111077105977</x:v>
      </x:c>
      <x:c r="AX56" s="165" t="n">
        <x:f aca="0">$F56*AC56</x:f>
        <x:v>2406.0305886732294</x:v>
      </x:c>
      <x:c r="AY56" s="165" t="n">
        <x:f aca="0">$F56*AD56</x:f>
        <x:v>2638.8357227949814</x:v>
      </x:c>
      <x:c r="AZ56" s="165" t="n">
        <x:f aca="0">$F56*AE56</x:f>
        <x:v>2848.9390710155476</x:v>
      </x:c>
      <x:c r="BA56" s="165" t="n">
        <x:f aca="0">$F56*AF56</x:f>
        <x:v>3036.796050669681</x:v>
      </x:c>
      <x:c r="BB56" s="165" t="n">
        <x:f aca="0">$F56*AG56</x:f>
        <x:v>3203.5311642417664</x:v>
      </x:c>
      <x:c r="BC56" s="165" t="n">
        <x:f aca="0">$F56*AH56</x:f>
        <x:v>3350.6597924463094</x:v>
      </x:c>
      <x:c r="BD56" s="165" t="n">
        <x:f aca="0">$F56*AI56</x:f>
        <x:v>3479.8894628953935</x:v>
      </x:c>
      <x:c r="BE56" s="165" t="n">
        <x:f aca="0">$F56*AJ56</x:f>
        <x:v>3592.983430454487</x:v>
      </x:c>
      <x:c r="BF56" s="165" t="n">
        <x:f aca="0">$F56*AK56</x:f>
        <x:v>3691.6711198959856</x:v>
      </x:c>
    </x:row>
    <x:row r="57" ht="15" hidden="0" customHeight="1">
      <x:c r="A57" s="37" t="str">
        <x:v>Tropical &amp; Subtropical Dry Broadleaf Forests</x:v>
      </x:c>
      <x:c r="B57" s="37" t="s">
        <x:v>111</x:v>
      </x:c>
      <x:c r="C57" s="37" t="s">
        <x:v>549</x:v>
      </x:c>
      <x:c r="D57" s="37" t="n">
        <x:v>2021</x:v>
      </x:c>
      <x:c r="E57" s="100" t="n">
        <x:v>43</x:v>
      </x:c>
      <x:c r="F57" s="100" t="n">
        <x:v>39.2215</x:v>
      </x:c>
      <x:c r="G57" s="37" t="s">
        <x:v>1109</x:v>
      </x:c>
      <x:c r="H57" s="37" t="n">
        <x:v>0</x:v>
      </x:c>
      <x:c r="I57" s="37" t="s">
        <x:v>1185</x:v>
      </x:c>
      <x:c r="J57" s="37" t="str">
        <x:v>Tropical &amp; Subtropical Dry Broadleaf Forests|2021</x:v>
      </x:c>
      <x:c r="K57" s="37" t="str">
        <x:v>Area × biological stock; VM0047 Eq.(3); PB separately by Biome×Cohort</x:v>
      </x:c>
      <x:c r="Q57" s="164" t="n">
        <x:f aca="0">IFERROR(SUMIF(S15_Source_Strata!$B$4:$B$49,$G57,S15_Source_Strata!$R$4:$R$49),0)</x:f>
        <x:v>0</x:v>
      </x:c>
      <x:c r="R57" s="164" t="n">
        <x:f aca="0">IFERROR(SUMIF(S15_Source_Strata!$B$4:$B$49,$G57,S15_Source_Strata!$S$4:$S$49),0)</x:f>
        <x:v>0</x:v>
      </x:c>
      <x:c r="S57" s="164" t="n">
        <x:f aca="0">IFERROR(SUMIF(S15_Source_Strata!$B$4:$B$49,$G57,S15_Source_Strata!$T$4:$T$49),0)</x:f>
        <x:v>0.041887249891712</x:v>
      </x:c>
      <x:c r="T57" s="164" t="n">
        <x:f aca="0">IFERROR(SUMIF(S15_Source_Strata!$B$4:$B$49,$G57,S15_Source_Strata!$U$4:$U$49),0)</x:f>
        <x:v>0.5006911820948761</x:v>
      </x:c>
      <x:c r="U57" s="164" t="n">
        <x:f aca="0">IFERROR(SUMIF(S15_Source_Strata!$B$4:$B$49,$G57,S15_Source_Strata!$V$4:$V$49),0)</x:f>
        <x:v>1.9160435894217756</x:v>
      </x:c>
      <x:c r="V57" s="164" t="n">
        <x:f aca="0">IFERROR(SUMIF(S15_Source_Strata!$B$4:$B$49,$G57,S15_Source_Strata!$W$4:$W$49),0)</x:f>
        <x:v>4.648002141175279</x:v>
      </x:c>
      <x:c r="W57" s="164" t="n">
        <x:f aca="0">IFERROR(SUMIF(S15_Source_Strata!$B$4:$B$49,$G57,S15_Source_Strata!$X$4:$X$49),0)</x:f>
        <x:v>8.765836201233046</x:v>
      </x:c>
      <x:c r="X57" s="164" t="n">
        <x:f aca="0">IFERROR(SUMIF(S15_Source_Strata!$B$4:$B$49,$G57,S15_Source_Strata!$Y$4:$Y$49),0)</x:f>
        <x:v>14.137731009696834</x:v>
      </x:c>
      <x:c r="Y57" s="164" t="n">
        <x:f aca="0">IFERROR(SUMIF(S15_Source_Strata!$B$4:$B$49,$G57,S15_Source_Strata!$Z$4:$Z$49),0)</x:f>
        <x:v>20.514687829934044</x:v>
      </x:c>
      <x:c r="Z57" s="164" t="n">
        <x:f aca="0">IFERROR(SUMIF(S15_Source_Strata!$B$4:$B$49,$G57,S15_Source_Strata!$AA$4:$AA$49),0)</x:f>
        <x:v>27.60358895515498</x:v>
      </x:c>
      <x:c r="AA57" s="164" t="n">
        <x:f aca="0">IFERROR(SUMIF(S15_Source_Strata!$B$4:$B$49,$G57,S15_Source_Strata!$AB$4:$AB$49),0)</x:f>
        <x:v>35.11614902570361</x:v>
      </x:c>
      <x:c r="AB57" s="164" t="n">
        <x:f aca="0">IFERROR(SUMIF(S15_Source_Strata!$B$4:$B$49,$G57,S15_Source_Strata!$AC$4:$AC$49),0)</x:f>
        <x:v>42.796694831673534</x:v>
      </x:c>
      <x:c r="AC57" s="164" t="n">
        <x:f aca="0">IFERROR(SUMIF(S15_Source_Strata!$B$4:$B$49,$G57,S15_Source_Strata!$AD$4:$AD$49),0)</x:f>
        <x:v>50.43458352773399</x:v>
      </x:c>
      <x:c r="AD57" s="164" t="n">
        <x:f aca="0">IFERROR(SUMIF(S15_Source_Strata!$B$4:$B$49,$G57,S15_Source_Strata!$AE$4:$AE$49),0)</x:f>
        <x:v>57.8667406233523</x:v>
      </x:c>
      <x:c r="AE57" s="164" t="n">
        <x:f aca="0">IFERROR(SUMIF(S15_Source_Strata!$B$4:$B$49,$G57,S15_Source_Strata!$AF$4:$AF$49),0)</x:f>
        <x:v>64.97452870620393</x:v>
      </x:c>
      <x:c r="AF57" s="164" t="n">
        <x:f aca="0">IFERROR(SUMIF(S15_Source_Strata!$B$4:$B$49,$G57,S15_Source_Strata!$AG$4:$AG$49),0)</x:f>
        <x:v>71.67784329965413</x:v>
      </x:c>
      <x:c r="AG57" s="164" t="n">
        <x:f aca="0">IFERROR(SUMIF(S15_Source_Strata!$B$4:$B$49,$G57,S15_Source_Strata!$AH$4:$AH$49),0)</x:f>
        <x:v>77.92826810156097</x:v>
      </x:c>
      <x:c r="AH57" s="164" t="n">
        <x:f aca="0">IFERROR(SUMIF(S15_Source_Strata!$B$4:$B$49,$G57,S15_Source_Strata!$AI$4:$AI$49),0)</x:f>
        <x:v>83.70235418006737</x:v>
      </x:c>
      <x:c r="AI57" s="164" t="n">
        <x:f aca="0">IFERROR(SUMIF(S15_Source_Strata!$B$4:$B$49,$G57,S15_Source_Strata!$AJ$4:$AJ$49),0)</x:f>
        <x:v>88.99557408183094</x:v>
      </x:c>
      <x:c r="AJ57" s="164" t="n">
        <x:f aca="0">IFERROR(SUMIF(S15_Source_Strata!$B$4:$B$49,$G57,S15_Source_Strata!$AK$4:$AK$49),0)</x:f>
        <x:v>93.81717915983346</x:v>
      </x:c>
      <x:c r="AK57" s="164" t="n">
        <x:f aca="0">IFERROR(SUMIF(S15_Source_Strata!$B$4:$B$49,$G57,S15_Source_Strata!$AL$4:$AL$49),0)</x:f>
        <x:v>98.18599878326182</x:v>
      </x:c>
      <x:c r="AL57" s="165" t="n">
        <x:f aca="0">$F57*Q57</x:f>
        <x:v>0</x:v>
      </x:c>
      <x:c r="AM57" s="165" t="n">
        <x:f aca="0">$F57*R57</x:f>
        <x:v>0</x:v>
      </x:c>
      <x:c r="AN57" s="165" t="n">
        <x:f aca="0">$F57*S57</x:f>
        <x:v>1.642880771627782</x:v>
      </x:c>
      <x:c r="AO57" s="165" t="n">
        <x:f aca="0">$F57*T57</x:f>
        <x:v>19.63785919853418</x:v>
      </x:c>
      <x:c r="AP57" s="165" t="n">
        <x:f aca="0">$F57*U57</x:f>
        <x:v>75.15010364250617</x:v>
      </x:c>
      <x:c r="AQ57" s="165" t="n">
        <x:f aca="0">$F57*V57</x:f>
        <x:v>182.30161598010622</x:v>
      </x:c>
      <x:c r="AR57" s="165" t="n">
        <x:f aca="0">$F57*W57</x:f>
        <x:v>343.8092445666619</x:v>
      </x:c>
      <x:c r="AS57" s="165" t="n">
        <x:f aca="0">$F57*X57</x:f>
        <x:v>554.5030167968243</x:v>
      </x:c>
      <x:c r="AT57" s="165" t="n">
        <x:f aca="0">$F57*Y57</x:f>
        <x:v>804.6168287217581</x:v>
      </x:c>
      <x:c r="AU57" s="165" t="n">
        <x:f aca="0">$F57*Z57</x:f>
        <x:v>1082.6541642046109</x:v>
      </x:c>
      <x:c r="AV57" s="165" t="n">
        <x:f aca="0">$F57*AA57</x:f>
        <x:v>1377.3080390116343</x:v>
      </x:c>
      <x:c r="AW57" s="165" t="n">
        <x:f aca="0">$F57*AB57</x:f>
        <x:v>1678.5505663404836</x:v>
      </x:c>
      <x:c r="AX57" s="165" t="n">
        <x:f aca="0">$F57*AC57</x:f>
        <x:v>1978.1200178330187</x:v>
      </x:c>
      <x:c r="AY57" s="165" t="n">
        <x:f aca="0">$F57*AD57</x:f>
        <x:v>2269.620367358812</x:v>
      </x:c>
      <x:c r="AZ57" s="165" t="n">
        <x:f aca="0">$F57*AE57</x:f>
        <x:v>2548.398477650377</x:v>
      </x:c>
      <x:c r="BA57" s="165" t="n">
        <x:f aca="0">$F57*AF57</x:f>
        <x:v>2811.3125309773845</x:v>
      </x:c>
      <x:c r="BB57" s="165" t="n">
        <x:f aca="0">$F57*AG57</x:f>
        <x:v>3056.4635673453736</x:v>
      </x:c>
      <x:c r="BC57" s="165" t="n">
        <x:f aca="0">$F57*AH57</x:f>
        <x:v>3282.9318844735126</x:v>
      </x:c>
      <x:c r="BD57" s="165" t="n">
        <x:f aca="0">$F57*AI57</x:f>
        <x:v>3490.539908850532</x:v>
      </x:c>
      <x:c r="BE57" s="165" t="n">
        <x:f aca="0">$F57*AJ57</x:f>
        <x:v>3679.650492417408</x:v>
      </x:c>
      <x:c r="BF57" s="165" t="n">
        <x:f aca="0">$F57*AK57</x:f>
        <x:v>3851.0021512777034</x:v>
      </x:c>
    </x:row>
    <x:row r="58" ht="15" hidden="0" customHeight="1">
      <x:c r="A58" s="37" t="str">
        <x:v>Tropical &amp; Subtropical Dry Broadleaf Forests</x:v>
      </x:c>
      <x:c r="B58" s="37" t="s">
        <x:v>111</x:v>
      </x:c>
      <x:c r="C58" s="37" t="s">
        <x:v>553</x:v>
      </x:c>
      <x:c r="D58" s="37" t="n">
        <x:v>2021</x:v>
      </x:c>
      <x:c r="E58" s="100" t="n">
        <x:v>30</x:v>
      </x:c>
      <x:c r="F58" s="100" t="n">
        <x:v>21.282</x:v>
      </x:c>
      <x:c r="G58" s="37" t="s">
        <x:v>560</x:v>
      </x:c>
      <x:c r="H58" s="37" t="n">
        <x:v>2</x:v>
      </x:c>
      <x:c r="I58" s="37" t="s">
        <x:v>1180</x:v>
      </x:c>
      <x:c r="J58" s="37" t="str">
        <x:v>Tropical &amp; Subtropical Dry Broadleaf Forests|2021</x:v>
      </x:c>
      <x:c r="K58" s="37" t="str">
        <x:v>Area × biological stock; VM0047 Eq.(3); PB separately by Biome×Cohort</x:v>
      </x:c>
      <x:c r="Q58" s="164" t="n">
        <x:f aca="0">IFERROR(SUMIF(S15_Source_Strata!$B$4:$B$49,$G58,S15_Source_Strata!$R$4:$R$49),0)</x:f>
        <x:v>0</x:v>
      </x:c>
      <x:c r="R58" s="164" t="n">
        <x:f aca="0">IFERROR(SUMIF(S15_Source_Strata!$B$4:$B$49,$G58,S15_Source_Strata!$S$4:$S$49),0)</x:f>
        <x:v>0</x:v>
      </x:c>
      <x:c r="S58" s="164" t="n">
        <x:f aca="0">IFERROR(SUMIF(S15_Source_Strata!$B$4:$B$49,$G58,S15_Source_Strata!$T$4:$T$49),0)</x:f>
        <x:v>0.08024124106903152</x:v>
      </x:c>
      <x:c r="T58" s="164" t="n">
        <x:f aca="0">IFERROR(SUMIF(S15_Source_Strata!$B$4:$B$49,$G58,S15_Source_Strata!$U$4:$U$49),0)</x:f>
        <x:v>0.9691359874785773</x:v>
      </x:c>
      <x:c r="U58" s="164" t="n">
        <x:f aca="0">IFERROR(SUMIF(S15_Source_Strata!$B$4:$B$49,$G58,S15_Source_Strata!$V$4:$V$49),0)</x:f>
        <x:v>3.7264774365253888</x:v>
      </x:c>
      <x:c r="V58" s="164" t="n">
        <x:f aca="0">IFERROR(SUMIF(S15_Source_Strata!$B$4:$B$49,$G58,S15_Source_Strata!$W$4:$W$49),0)</x:f>
        <x:v>9.063386482166534</x:v>
      </x:c>
      <x:c r="W58" s="164" t="n">
        <x:f aca="0">IFERROR(SUMIF(S15_Source_Strata!$B$4:$B$49,$G58,S15_Source_Strata!$X$4:$X$49),0)</x:f>
        <x:v>17.119973973202708</x:v>
      </x:c>
      <x:c r="X58" s="164" t="n">
        <x:f aca="0">IFERROR(SUMIF(S15_Source_Strata!$B$4:$B$49,$G58,S15_Source_Strata!$Y$4:$Y$49),0)</x:f>
        <x:v>27.64078926270223</x:v>
      </x:c>
      <x:c r="Y58" s="164" t="n">
        <x:f aca="0">IFERROR(SUMIF(S15_Source_Strata!$B$4:$B$49,$G58,S15_Source_Strata!$Z$4:$Z$49),0)</x:f>
        <x:v>40.140287213664934</x:v>
      </x:c>
      <x:c r="Z58" s="164" t="n">
        <x:f aca="0">IFERROR(SUMIF(S15_Source_Strata!$B$4:$B$49,$G58,S15_Source_Strata!$AA$4:$AA$49),0)</x:f>
        <x:v>54.04625553934507</x:v>
      </x:c>
      <x:c r="AA58" s="164" t="n">
        <x:f aca="0">IFERROR(SUMIF(S15_Source_Strata!$B$4:$B$49,$G58,S15_Source_Strata!$AB$4:$AB$49),0)</x:f>
        <x:v>68.79550590893344</x:v>
      </x:c>
      <x:c r="AB58" s="164" t="n">
        <x:f aca="0">IFERROR(SUMIF(S15_Source_Strata!$B$4:$B$49,$G58,S15_Source_Strata!$AC$4:$AC$49),0)</x:f>
        <x:v>83.88800474661805</x:v>
      </x:c>
      <x:c r="AC58" s="164" t="n">
        <x:f aca="0">IFERROR(SUMIF(S15_Source_Strata!$B$4:$B$49,$G58,S15_Source_Strata!$AD$4:$AD$49),0)</x:f>
        <x:v>98.91104933665754</x:v>
      </x:c>
      <x:c r="AD58" s="164" t="n">
        <x:f aca="0">IFERROR(SUMIF(S15_Source_Strata!$B$4:$B$49,$G58,S15_Source_Strata!$AE$4:$AE$49),0)</x:f>
        <x:v>113.5442699407146</x:v>
      </x:c>
      <x:c r="AE58" s="164" t="n">
        <x:f aca="0">IFERROR(SUMIF(S15_Source_Strata!$B$4:$B$49,$G58,S15_Source_Strata!$AF$4:$AF$49),0)</x:f>
        <x:v>127.55365888130927</x:v>
      </x:c>
      <x:c r="AF58" s="164" t="n">
        <x:f aca="0">IFERROR(SUMIF(S15_Source_Strata!$B$4:$B$49,$G58,S15_Source_Strata!$AG$4:$AG$49),0)</x:f>
        <x:v>140.78023040839582</x:v>
      </x:c>
      <x:c r="AG58" s="164" t="n">
        <x:f aca="0">IFERROR(SUMIF(S15_Source_Strata!$B$4:$B$49,$G58,S15_Source_Strata!$AH$4:$AH$49),0)</x:f>
        <x:v>153.12684259243687</x:v>
      </x:c>
      <x:c r="AH58" s="164" t="n">
        <x:f aca="0">IFERROR(SUMIF(S15_Source_Strata!$B$4:$B$49,$G58,S15_Source_Strata!$AI$4:$AI$49),0)</x:f>
        <x:v>164.54523058648772</x:v>
      </x:c>
      <x:c r="AI58" s="164" t="n">
        <x:f aca="0">IFERROR(SUMIF(S15_Source_Strata!$B$4:$B$49,$G58,S15_Source_Strata!$AJ$4:$AJ$49),0)</x:f>
        <x:v>175.02431434704488</x:v>
      </x:c>
      <x:c r="AJ58" s="164" t="n">
        <x:f aca="0">IFERROR(SUMIF(S15_Source_Strata!$B$4:$B$49,$G58,S15_Source_Strata!$AK$4:$AK$49),0)</x:f>
        <x:v>184.58022578167706</x:v>
      </x:c>
      <x:c r="AK58" s="164" t="n">
        <x:f aca="0">IFERROR(SUMIF(S15_Source_Strata!$B$4:$B$49,$G58,S15_Source_Strata!$AL$4:$AL$49),0)</x:f>
        <x:v>193.2481367498435</x:v>
      </x:c>
      <x:c r="AL58" s="165" t="n">
        <x:f aca="0">$F58*Q58</x:f>
        <x:v>0</x:v>
      </x:c>
      <x:c r="AM58" s="165" t="n">
        <x:f aca="0">$F58*R58</x:f>
        <x:v>0</x:v>
      </x:c>
      <x:c r="AN58" s="165" t="n">
        <x:f aca="0">$F58*S58</x:f>
        <x:v>1.7076940924311288</x:v>
      </x:c>
      <x:c r="AO58" s="165" t="n">
        <x:f aca="0">$F58*T58</x:f>
        <x:v>20.625152085519083</x:v>
      </x:c>
      <x:c r="AP58" s="165" t="n">
        <x:f aca="0">$F58*U58</x:f>
        <x:v>79.30689280413333</x:v>
      </x:c>
      <x:c r="AQ58" s="165" t="n">
        <x:f aca="0">$F58*V58</x:f>
        <x:v>192.88699111346818</x:v>
      </x:c>
      <x:c r="AR58" s="165" t="n">
        <x:f aca="0">$F58*W58</x:f>
        <x:v>364.3472860977</x:v>
      </x:c>
      <x:c r="AS58" s="165" t="n">
        <x:f aca="0">$F58*X58</x:f>
        <x:v>588.2512770888289</x:v>
      </x:c>
      <x:c r="AT58" s="165" t="n">
        <x:f aca="0">$F58*Y58</x:f>
        <x:v>854.2655924812171</x:v>
      </x:c>
      <x:c r="AU58" s="165" t="n">
        <x:f aca="0">$F58*Z58</x:f>
        <x:v>1150.2124103883418</x:v>
      </x:c>
      <x:c r="AV58" s="165" t="n">
        <x:f aca="0">$F58*AA58</x:f>
        <x:v>1464.1059567539214</x:v>
      </x:c>
      <x:c r="AW58" s="165" t="n">
        <x:f aca="0">$F58*AB58</x:f>
        <x:v>1785.3045170175253</x:v>
      </x:c>
      <x:c r="AX58" s="165" t="n">
        <x:f aca="0">$F58*AC58</x:f>
        <x:v>2105.0249519827457</x:v>
      </x:c>
      <x:c r="AY58" s="165" t="n">
        <x:f aca="0">$F58*AD58</x:f>
        <x:v>2416.4491528782883</x:v>
      </x:c>
      <x:c r="AZ58" s="165" t="n">
        <x:f aca="0">$F58*AE58</x:f>
        <x:v>2714.596968312024</x:v>
      </x:c>
      <x:c r="BA58" s="165" t="n">
        <x:f aca="0">$F58*AF58</x:f>
        <x:v>2996.08486355148</x:v>
      </x:c>
      <x:c r="BB58" s="165" t="n">
        <x:f aca="0">$F58*AG58</x:f>
        <x:v>3258.8454640522414</x:v>
      </x:c>
      <x:c r="BC58" s="165" t="n">
        <x:f aca="0">$F58*AH58</x:f>
        <x:v>3501.8515973416315</x:v>
      </x:c>
      <x:c r="BD58" s="165" t="n">
        <x:f aca="0">$F58*AI58</x:f>
        <x:v>3724.867457933809</x:v>
      </x:c>
      <x:c r="BE58" s="165" t="n">
        <x:f aca="0">$F58*AJ58</x:f>
        <x:v>3928.236365085651</x:v>
      </x:c>
      <x:c r="BF58" s="165" t="n">
        <x:f aca="0">$F58*AK58</x:f>
        <x:v>4112.70684631017</x:v>
      </x:c>
    </x:row>
    <x:row r="59" ht="15" hidden="0" customHeight="1">
      <x:c r="A59" s="37" t="str">
        <x:v>Tropical &amp; Subtropical Dry Broadleaf Forests</x:v>
      </x:c>
      <x:c r="B59" s="37" t="s">
        <x:v>111</x:v>
      </x:c>
      <x:c r="C59" s="37" t="s">
        <x:v>542</x:v>
      </x:c>
      <x:c r="D59" s="37" t="n">
        <x:v>2021</x:v>
      </x:c>
      <x:c r="E59" s="100" t="n">
        <x:v>18</x:v>
      </x:c>
      <x:c r="F59" s="100" t="n">
        <x:v>10.7943</x:v>
      </x:c>
      <x:c r="G59" s="37" t="s">
        <x:v>1108</x:v>
      </x:c>
      <x:c r="H59" s="37" t="n">
        <x:v>0</x:v>
      </x:c>
      <x:c r="I59" s="37" t="s">
        <x:v>1185</x:v>
      </x:c>
      <x:c r="J59" s="37" t="str">
        <x:v>Tropical &amp; Subtropical Dry Broadleaf Forests|2021</x:v>
      </x:c>
      <x:c r="K59" s="37" t="str">
        <x:v>Area × biological stock; VM0047 Eq.(3); PB separately by Biome×Cohort</x:v>
      </x:c>
      <x:c r="Q59" s="164" t="n">
        <x:f aca="0">IFERROR(SUMIF(S15_Source_Strata!$B$4:$B$49,$G59,S15_Source_Strata!$R$4:$R$49),0)</x:f>
        <x:v>0</x:v>
      </x:c>
      <x:c r="R59" s="164" t="n">
        <x:f aca="0">IFERROR(SUMIF(S15_Source_Strata!$B$4:$B$49,$G59,S15_Source_Strata!$S$4:$S$49),0)</x:f>
        <x:v>0</x:v>
      </x:c>
      <x:c r="S59" s="164" t="n">
        <x:f aca="0">IFERROR(SUMIF(S15_Source_Strata!$B$4:$B$49,$G59,S15_Source_Strata!$T$4:$T$49),0)</x:f>
        <x:v>0.08843419078662754</x:v>
      </x:c>
      <x:c r="T59" s="164" t="n">
        <x:f aca="0">IFERROR(SUMIF(S15_Source_Strata!$B$4:$B$49,$G59,S15_Source_Strata!$U$4:$U$49),0)</x:f>
        <x:v>1.1000414117303818</x:v>
      </x:c>
      <x:c r="U59" s="164" t="n">
        <x:f aca="0">IFERROR(SUMIF(S15_Source_Strata!$B$4:$B$49,$G59,S15_Source_Strata!$V$4:$V$49),0)</x:f>
        <x:v>4.1668905223899095</x:v>
      </x:c>
      <x:c r="V59" s="164" t="n">
        <x:f aca="0">IFERROR(SUMIF(S15_Source_Strata!$B$4:$B$49,$G59,S15_Source_Strata!$W$4:$W$49),0)</x:f>
        <x:v>9.829374822629461</x:v>
      </x:c>
      <x:c r="W59" s="164" t="n">
        <x:f aca="0">IFERROR(SUMIF(S15_Source_Strata!$B$4:$B$49,$G59,S15_Source_Strata!$X$4:$X$49),0)</x:f>
        <x:v>17.892712114772408</x:v>
      </x:c>
      <x:c r="X59" s="164" t="n">
        <x:f aca="0">IFERROR(SUMIF(S15_Source_Strata!$B$4:$B$49,$G59,S15_Source_Strata!$Y$4:$Y$49),0)</x:f>
        <x:v>27.774290189779645</x:v>
      </x:c>
      <x:c r="Y59" s="164" t="n">
        <x:f aca="0">IFERROR(SUMIF(S15_Source_Strata!$B$4:$B$49,$G59,S15_Source_Strata!$Z$4:$Z$49),0)</x:f>
        <x:v>38.76954120331893</x:v>
      </x:c>
      <x:c r="Z59" s="164" t="n">
        <x:f aca="0">IFERROR(SUMIF(S15_Source_Strata!$B$4:$B$49,$G59,S15_Source_Strata!$AA$4:$AA$49),0)</x:f>
        <x:v>50.22338492311939</x:v>
      </x:c>
      <x:c r="AA59" s="164" t="n">
        <x:f aca="0">IFERROR(SUMIF(S15_Source_Strata!$B$4:$B$49,$G59,S15_Source_Strata!$AB$4:$AB$49),0)</x:f>
        <x:v>61.60837691376501</x:v>
      </x:c>
      <x:c r="AB59" s="164" t="n">
        <x:f aca="0">IFERROR(SUMIF(S15_Source_Strata!$B$4:$B$49,$G59,S15_Source_Strata!$AC$4:$AC$49),0)</x:f>
        <x:v>72.54304541687709</x:v>
      </x:c>
      <x:c r="AC59" s="164" t="n">
        <x:f aca="0">IFERROR(SUMIF(S15_Source_Strata!$B$4:$B$49,$G59,S15_Source_Strata!$AD$4:$AD$49),0)</x:f>
        <x:v>82.77910053366851</x:v>
      </x:c>
      <x:c r="AD59" s="164" t="n">
        <x:f aca="0">IFERROR(SUMIF(S15_Source_Strata!$B$4:$B$49,$G59,S15_Source_Strata!$AE$4:$AE$49),0)</x:f>
        <x:v>92.17626812269735</x:v>
      </x:c>
      <x:c r="AE59" s="164" t="n">
        <x:f aca="0">IFERROR(SUMIF(S15_Source_Strata!$B$4:$B$49,$G59,S15_Source_Strata!$AF$4:$AF$49),0)</x:f>
        <x:v>100.67516538222455</x:v>
      </x:c>
      <x:c r="AF59" s="164" t="n">
        <x:f aca="0">IFERROR(SUMIF(S15_Source_Strata!$B$4:$B$49,$G59,S15_Source_Strata!$AG$4:$AG$49),0)</x:f>
        <x:v>108.27311915182199</x:v>
      </x:c>
      <x:c r="AG59" s="164" t="n">
        <x:f aca="0">IFERROR(SUMIF(S15_Source_Strata!$B$4:$B$49,$G59,S15_Source_Strata!$AH$4:$AH$49),0)</x:f>
        <x:v>115.00464533368721</x:v>
      </x:c>
      <x:c r="AH59" s="164" t="n">
        <x:f aca="0">IFERROR(SUMIF(S15_Source_Strata!$B$4:$B$49,$G59,S15_Source_Strata!$AI$4:$AI$49),0)</x:f>
        <x:v>120.92668155665598</x:v>
      </x:c>
      <x:c r="AI59" s="164" t="n">
        <x:f aca="0">IFERROR(SUMIF(S15_Source_Strata!$B$4:$B$49,$G59,S15_Source_Strata!$AJ$4:$AJ$49),0)</x:f>
        <x:v>126.1079590032203</x:v>
      </x:c>
      <x:c r="AJ59" s="164" t="n">
        <x:f aca="0">IFERROR(SUMIF(S15_Source_Strata!$B$4:$B$49,$G59,S15_Source_Strata!$AK$4:$AK$49),0)</x:f>
        <x:v>130.62168649784536</x:v>
      </x:c>
      <x:c r="AK59" s="164" t="n">
        <x:f aca="0">IFERROR(SUMIF(S15_Source_Strata!$B$4:$B$49,$G59,S15_Source_Strata!$AL$4:$AL$49),0)</x:f>
        <x:v>134.54074406676037</x:v>
      </x:c>
      <x:c r="AL59" s="165" t="n">
        <x:f aca="0">$F59*Q59</x:f>
        <x:v>0</x:v>
      </x:c>
      <x:c r="AM59" s="165" t="n">
        <x:f aca="0">$F59*R59</x:f>
        <x:v>0</x:v>
      </x:c>
      <x:c r="AN59" s="165" t="n">
        <x:f aca="0">$F59*S59</x:f>
        <x:v>0.9545851856080936</x:v>
      </x:c>
      <x:c r="AO59" s="165" t="n">
        <x:f aca="0">$F59*T59</x:f>
        <x:v>11.87417701064126</x:v>
      </x:c>
      <x:c r="AP59" s="165" t="n">
        <x:f aca="0">$F59*U59</x:f>
        <x:v>44.9786663658334</x:v>
      </x:c>
      <x:c r="AQ59" s="165" t="n">
        <x:f aca="0">$F59*V59</x:f>
        <x:v>106.10122064790919</x:v>
      </x:c>
      <x:c r="AR59" s="165" t="n">
        <x:f aca="0">$F59*W59</x:f>
        <x:v>193.1393023804878</x:v>
      </x:c>
      <x:c r="AS59" s="165" t="n">
        <x:f aca="0">$F59*X59</x:f>
        <x:v>299.8040205955384</x:v>
      </x:c>
      <x:c r="AT59" s="165" t="n">
        <x:f aca="0">$F59*Y59</x:f>
        <x:v>418.4900586109855</x:v>
      </x:c>
      <x:c r="AU59" s="165" t="n">
        <x:f aca="0">$F59*Z59</x:f>
        <x:v>542.1262838756277</x:v>
      </x:c>
      <x:c r="AV59" s="165" t="n">
        <x:f aca="0">$F59*AA59</x:f>
        <x:v>665.0193029202536</x:v>
      </x:c>
      <x:c r="AW59" s="165" t="n">
        <x:f aca="0">$F59*AB59</x:f>
        <x:v>783.0513951433963</x:v>
      </x:c>
      <x:c r="AX59" s="165" t="n">
        <x:f aca="0">$F59*AC59</x:f>
        <x:v>893.542444890578</x:v>
      </x:c>
      <x:c r="AY59" s="165" t="n">
        <x:f aca="0">$F59*AD59</x:f>
        <x:v>994.978290996832</x:v>
      </x:c>
      <x:c r="AZ59" s="165" t="n">
        <x:f aca="0">$F59*AE59</x:f>
        <x:v>1086.7179376853464</x:v>
      </x:c>
      <x:c r="BA59" s="165" t="n">
        <x:f aca="0">$F59*AF59</x:f>
        <x:v>1168.732530060512</x:v>
      </x:c>
      <x:c r="BB59" s="165" t="n">
        <x:f aca="0">$F59*AG59</x:f>
        <x:v>1241.3946431254199</x:v>
      </x:c>
      <x:c r="BC59" s="165" t="n">
        <x:f aca="0">$F59*AH59</x:f>
        <x:v>1305.3188787270117</x:v>
      </x:c>
      <x:c r="BD59" s="165" t="n">
        <x:f aca="0">$F59*AI59</x:f>
        <x:v>1361.2471418684609</x:v>
      </x:c>
      <x:c r="BE59" s="165" t="n">
        <x:f aca="0">$F59*AJ59</x:f>
        <x:v>1409.969670563692</x:v>
      </x:c>
      <x:c r="BF59" s="165" t="n">
        <x:f aca="0">$F59*AK59</x:f>
        <x:v>1452.2731536798315</x:v>
      </x:c>
    </x:row>
    <x:row r="60" ht="15" hidden="0" customHeight="1">
      <x:c r="A60" s="37" t="str">
        <x:v>Tropical &amp; Subtropical Dry Broadleaf Forests</x:v>
      </x:c>
      <x:c r="B60" s="37" t="s">
        <x:v>111</x:v>
      </x:c>
      <x:c r="C60" s="37" t="s">
        <x:v>549</x:v>
      </x:c>
      <x:c r="D60" s="37" t="n">
        <x:v>2022</x:v>
      </x:c>
      <x:c r="E60" s="100" t="n">
        <x:v>50</x:v>
      </x:c>
      <x:c r="F60" s="100" t="n">
        <x:v>52.369094455686</x:v>
      </x:c>
      <x:c r="G60" s="37" t="s">
        <x:v>1113</x:v>
      </x:c>
      <x:c r="H60" s="37" t="n">
        <x:v>0</x:v>
      </x:c>
      <x:c r="I60" s="37" t="s">
        <x:v>1185</x:v>
      </x:c>
      <x:c r="J60" s="37" t="str">
        <x:v>Tropical &amp; Subtropical Dry Broadleaf Forests|2022</x:v>
      </x:c>
      <x:c r="K60" s="37" t="str">
        <x:v>Area × biological stock; VM0047 Eq.(3); PB separately by Biome×Cohort</x:v>
      </x:c>
      <x:c r="Q60" s="164" t="n">
        <x:f aca="0">IFERROR(SUMIF(S15_Source_Strata!$B$4:$B$49,$G60,S15_Source_Strata!$R$4:$R$49),0)</x:f>
        <x:v>0</x:v>
      </x:c>
      <x:c r="R60" s="164" t="n">
        <x:f aca="0">IFERROR(SUMIF(S15_Source_Strata!$B$4:$B$49,$G60,S15_Source_Strata!$S$4:$S$49),0)</x:f>
        <x:v>0</x:v>
      </x:c>
      <x:c r="S60" s="164" t="n">
        <x:f aca="0">IFERROR(SUMIF(S15_Source_Strata!$B$4:$B$49,$G60,S15_Source_Strata!$T$4:$T$49),0)</x:f>
        <x:v>0</x:v>
      </x:c>
      <x:c r="T60" s="164" t="n">
        <x:f aca="0">IFERROR(SUMIF(S15_Source_Strata!$B$4:$B$49,$G60,S15_Source_Strata!$U$4:$U$49),0)</x:f>
        <x:v>0.041887249891712</x:v>
      </x:c>
      <x:c r="U60" s="164" t="n">
        <x:f aca="0">IFERROR(SUMIF(S15_Source_Strata!$B$4:$B$49,$G60,S15_Source_Strata!$V$4:$V$49),0)</x:f>
        <x:v>0.5006911820948761</x:v>
      </x:c>
      <x:c r="V60" s="164" t="n">
        <x:f aca="0">IFERROR(SUMIF(S15_Source_Strata!$B$4:$B$49,$G60,S15_Source_Strata!$W$4:$W$49),0)</x:f>
        <x:v>1.9160435894217756</x:v>
      </x:c>
      <x:c r="W60" s="164" t="n">
        <x:f aca="0">IFERROR(SUMIF(S15_Source_Strata!$B$4:$B$49,$G60,S15_Source_Strata!$X$4:$X$49),0)</x:f>
        <x:v>4.648002141175279</x:v>
      </x:c>
      <x:c r="X60" s="164" t="n">
        <x:f aca="0">IFERROR(SUMIF(S15_Source_Strata!$B$4:$B$49,$G60,S15_Source_Strata!$Y$4:$Y$49),0)</x:f>
        <x:v>8.765836201233046</x:v>
      </x:c>
      <x:c r="Y60" s="164" t="n">
        <x:f aca="0">IFERROR(SUMIF(S15_Source_Strata!$B$4:$B$49,$G60,S15_Source_Strata!$Z$4:$Z$49),0)</x:f>
        <x:v>14.137731009696834</x:v>
      </x:c>
      <x:c r="Z60" s="164" t="n">
        <x:f aca="0">IFERROR(SUMIF(S15_Source_Strata!$B$4:$B$49,$G60,S15_Source_Strata!$AA$4:$AA$49),0)</x:f>
        <x:v>20.514687829934044</x:v>
      </x:c>
      <x:c r="AA60" s="164" t="n">
        <x:f aca="0">IFERROR(SUMIF(S15_Source_Strata!$B$4:$B$49,$G60,S15_Source_Strata!$AB$4:$AB$49),0)</x:f>
        <x:v>27.60358895515498</x:v>
      </x:c>
      <x:c r="AB60" s="164" t="n">
        <x:f aca="0">IFERROR(SUMIF(S15_Source_Strata!$B$4:$B$49,$G60,S15_Source_Strata!$AC$4:$AC$49),0)</x:f>
        <x:v>35.11614902570361</x:v>
      </x:c>
      <x:c r="AC60" s="164" t="n">
        <x:f aca="0">IFERROR(SUMIF(S15_Source_Strata!$B$4:$B$49,$G60,S15_Source_Strata!$AD$4:$AD$49),0)</x:f>
        <x:v>42.796694831673534</x:v>
      </x:c>
      <x:c r="AD60" s="164" t="n">
        <x:f aca="0">IFERROR(SUMIF(S15_Source_Strata!$B$4:$B$49,$G60,S15_Source_Strata!$AE$4:$AE$49),0)</x:f>
        <x:v>50.43458352773399</x:v>
      </x:c>
      <x:c r="AE60" s="164" t="n">
        <x:f aca="0">IFERROR(SUMIF(S15_Source_Strata!$B$4:$B$49,$G60,S15_Source_Strata!$AF$4:$AF$49),0)</x:f>
        <x:v>57.8667406233523</x:v>
      </x:c>
      <x:c r="AF60" s="164" t="n">
        <x:f aca="0">IFERROR(SUMIF(S15_Source_Strata!$B$4:$B$49,$G60,S15_Source_Strata!$AG$4:$AG$49),0)</x:f>
        <x:v>64.97452870620393</x:v>
      </x:c>
      <x:c r="AG60" s="164" t="n">
        <x:f aca="0">IFERROR(SUMIF(S15_Source_Strata!$B$4:$B$49,$G60,S15_Source_Strata!$AH$4:$AH$49),0)</x:f>
        <x:v>71.67784329965413</x:v>
      </x:c>
      <x:c r="AH60" s="164" t="n">
        <x:f aca="0">IFERROR(SUMIF(S15_Source_Strata!$B$4:$B$49,$G60,S15_Source_Strata!$AI$4:$AI$49),0)</x:f>
        <x:v>77.92826810156097</x:v>
      </x:c>
      <x:c r="AI60" s="164" t="n">
        <x:f aca="0">IFERROR(SUMIF(S15_Source_Strata!$B$4:$B$49,$G60,S15_Source_Strata!$AJ$4:$AJ$49),0)</x:f>
        <x:v>83.70235418006737</x:v>
      </x:c>
      <x:c r="AJ60" s="164" t="n">
        <x:f aca="0">IFERROR(SUMIF(S15_Source_Strata!$B$4:$B$49,$G60,S15_Source_Strata!$AK$4:$AK$49),0)</x:f>
        <x:v>88.99557408183094</x:v>
      </x:c>
      <x:c r="AK60" s="164" t="n">
        <x:f aca="0">IFERROR(SUMIF(S15_Source_Strata!$B$4:$B$49,$G60,S15_Source_Strata!$AL$4:$AL$49),0)</x:f>
        <x:v>93.81717915983346</x:v>
      </x:c>
      <x:c r="AL60" s="165" t="n">
        <x:f aca="0">$F60*Q60</x:f>
        <x:v>0</x:v>
      </x:c>
      <x:c r="AM60" s="165" t="n">
        <x:f aca="0">$F60*R60</x:f>
        <x:v>0</x:v>
      </x:c>
      <x:c r="AN60" s="165" t="n">
        <x:f aca="0">$F60*S60</x:f>
        <x:v>0</x:v>
      </x:c>
      <x:c r="AO60" s="165" t="n">
        <x:f aca="0">$F60*T60</x:f>
        <x:v>2.193597346067989</x:v>
      </x:c>
      <x:c r="AP60" s="165" t="n">
        <x:f aca="0">$F60*U60</x:f>
        <x:v>26.220743808255644</x:v>
      </x:c>
      <x:c r="AQ60" s="165" t="n">
        <x:f aca="0">$F60*V60</x:f>
        <x:v>100.34146771564062</x:v>
      </x:c>
      <x:c r="AR60" s="165" t="n">
        <x:f aca="0">$F60*W60</x:f>
        <x:v>243.411663161439</x:v>
      </x:c>
      <x:c r="AS60" s="165" t="n">
        <x:f aca="0">$F60*X60</x:f>
        <x:v>459.0589040054452</x:v>
      </x:c>
      <x:c r="AT60" s="165" t="n">
        <x:f aca="0">$F60*Y60</x:f>
        <x:v>740.3801706358945</x:v>
      </x:c>
      <x:c r="AU60" s="165" t="n">
        <x:f aca="0">$F60*Z60</x:f>
        <x:v>1074.335624694728</x:v>
      </x:c>
      <x:c r="AV60" s="165" t="n">
        <x:f aca="0">$F60*AA60</x:f>
        <x:v>1445.574957308442</x:v>
      </x:c>
      <x:c r="AW60" s="165" t="n">
        <x:f aca="0">$F60*AB60</x:f>
        <x:v>1839.0009252470186</x:v>
      </x:c>
      <x:c r="AX60" s="165" t="n">
        <x:f aca="0">$F60*AC60</x:f>
        <x:v>2241.22415403108</x:v>
      </x:c>
      <x:c r="AY60" s="165" t="n">
        <x:f aca="0">$F60*AD60</x:f>
        <x:v>2641.213468597087</x:v>
      </x:c>
      <x:c r="AZ60" s="165" t="n">
        <x:f aca="0">$F60*AE60</x:f>
        <x:v>3030.428805547019</x:v>
      </x:c>
      <x:c r="BA60" s="165" t="n">
        <x:f aca="0">$F60*AF60</x:f>
        <x:v>3402.6572310288752</x:v>
      </x:c>
      <x:c r="BB60" s="165" t="n">
        <x:f aca="0">$F60*AG60</x:f>
        <x:v>3753.703746139447</x:v>
      </x:c>
      <x:c r="BC60" s="165" t="n">
        <x:f aca="0">$F60*AH60</x:f>
        <x:v>4081.0328329786694</x:v>
      </x:c>
      <x:c r="BD60" s="165" t="n">
        <x:f aca="0">$F60*AI60</x:f>
        <x:v>4383.416492219232</x:v>
      </x:c>
      <x:c r="BE60" s="165" t="n">
        <x:f aca="0">$F60*AJ60</x:f>
        <x:v>4660.617625229405</x:v>
      </x:c>
      <x:c r="BF60" s="165" t="n">
        <x:f aca="0">$F60*AK60</x:f>
        <x:v>4913.120716987335</x:v>
      </x:c>
    </x:row>
    <x:row r="61" ht="15" hidden="0" customHeight="1">
      <x:c r="A61" s="37" t="str">
        <x:v>Tropical &amp; Subtropical Dry Broadleaf Forests</x:v>
      </x:c>
      <x:c r="B61" s="37" t="s">
        <x:v>111</x:v>
      </x:c>
      <x:c r="C61" s="37" t="s">
        <x:v>553</x:v>
      </x:c>
      <x:c r="D61" s="37" t="n">
        <x:v>2022</x:v>
      </x:c>
      <x:c r="E61" s="100" t="n">
        <x:v>23</x:v>
      </x:c>
      <x:c r="F61" s="100" t="n">
        <x:v>20.0646641845407</x:v>
      </x:c>
      <x:c r="G61" s="37" t="s">
        <x:v>568</x:v>
      </x:c>
      <x:c r="H61" s="37" t="n">
        <x:v>2</x:v>
      </x:c>
      <x:c r="I61" s="37" t="s">
        <x:v>1180</x:v>
      </x:c>
      <x:c r="J61" s="37" t="str">
        <x:v>Tropical &amp; Subtropical Dry Broadleaf Forests|2022</x:v>
      </x:c>
      <x:c r="K61" s="37" t="str">
        <x:v>Area × biological stock; VM0047 Eq.(3); PB separately by Biome×Cohort</x:v>
      </x:c>
      <x:c r="Q61" s="164" t="n">
        <x:f aca="0">IFERROR(SUMIF(S15_Source_Strata!$B$4:$B$49,$G61,S15_Source_Strata!$R$4:$R$49),0)</x:f>
        <x:v>0</x:v>
      </x:c>
      <x:c r="R61" s="164" t="n">
        <x:f aca="0">IFERROR(SUMIF(S15_Source_Strata!$B$4:$B$49,$G61,S15_Source_Strata!$S$4:$S$49),0)</x:f>
        <x:v>0</x:v>
      </x:c>
      <x:c r="S61" s="164" t="n">
        <x:f aca="0">IFERROR(SUMIF(S15_Source_Strata!$B$4:$B$49,$G61,S15_Source_Strata!$T$4:$T$49),0)</x:f>
        <x:v>0</x:v>
      </x:c>
      <x:c r="T61" s="164" t="n">
        <x:f aca="0">IFERROR(SUMIF(S15_Source_Strata!$B$4:$B$49,$G61,S15_Source_Strata!$U$4:$U$49),0)</x:f>
        <x:v>0.06743395447797437</x:v>
      </x:c>
      <x:c r="U61" s="164" t="n">
        <x:f aca="0">IFERROR(SUMIF(S15_Source_Strata!$B$4:$B$49,$G61,S15_Source_Strata!$V$4:$V$49),0)</x:f>
        <x:v>0.8115170008152799</x:v>
      </x:c>
      <x:c r="V61" s="164" t="n">
        <x:f aca="0">IFERROR(SUMIF(S15_Source_Strata!$B$4:$B$49,$G61,S15_Source_Strata!$W$4:$W$49),0)</x:f>
        <x:v>3.064704737571068</x:v>
      </x:c>
      <x:c r="W61" s="164" t="n">
        <x:f aca="0">IFERROR(SUMIF(S15_Source_Strata!$B$4:$B$49,$G61,S15_Source_Strata!$X$4:$X$49),0)</x:f>
        <x:v>7.285985624950337</x:v>
      </x:c>
      <x:c r="X61" s="164" t="n">
        <x:f aca="0">IFERROR(SUMIF(S15_Source_Strata!$B$4:$B$49,$G61,S15_Source_Strata!$Y$4:$Y$49),0)</x:f>
        <x:v>13.432077652040693</x:v>
      </x:c>
      <x:c r="Y61" s="164" t="n">
        <x:f aca="0">IFERROR(SUMIF(S15_Source_Strata!$B$4:$B$49,$G61,S15_Source_Strata!$Z$4:$Z$49),0)</x:f>
        <x:v>21.164212915183775</x:v>
      </x:c>
      <x:c r="Z61" s="164" t="n">
        <x:f aca="0">IFERROR(SUMIF(S15_Source_Strata!$B$4:$B$49,$G61,S15_Source_Strata!$AA$4:$AA$49),0)</x:f>
        <x:v>30.01504494949459</x:v>
      </x:c>
      <x:c r="AA61" s="164" t="n">
        <x:f aca="0">IFERROR(SUMIF(S15_Source_Strata!$B$4:$B$49,$G61,S15_Source_Strata!$AB$4:$AB$49),0)</x:f>
        <x:v>39.50947727002183</x:v>
      </x:c>
      <x:c r="AB61" s="164" t="n">
        <x:f aca="0">IFERROR(SUMIF(S15_Source_Strata!$B$4:$B$49,$G61,S15_Source_Strata!$AC$4:$AC$49),0)</x:f>
        <x:v>49.23060085166818</x:v>
      </x:c>
      <x:c r="AC61" s="164" t="n">
        <x:f aca="0">IFERROR(SUMIF(S15_Source_Strata!$B$4:$B$49,$G61,S15_Source_Strata!$AD$4:$AD$49),0)</x:f>
        <x:v>58.84630285237273</x:v>
      </x:c>
      <x:c r="AD61" s="164" t="n">
        <x:f aca="0">IFERROR(SUMIF(S15_Source_Strata!$B$4:$B$49,$G61,S15_Source_Strata!$AE$4:$AE$49),0)</x:f>
        <x:v>68.11226048381648</x:v>
      </x:c>
      <x:c r="AE61" s="164" t="n">
        <x:f aca="0">IFERROR(SUMIF(S15_Source_Strata!$B$4:$B$49,$G61,S15_Source_Strata!$AF$4:$AF$49),0)</x:f>
        <x:v>76.86286166394001</x:v>
      </x:c>
      <x:c r="AF61" s="164" t="n">
        <x:f aca="0">IFERROR(SUMIF(S15_Source_Strata!$B$4:$B$49,$G61,S15_Source_Strata!$AG$4:$AG$49),0)</x:f>
        <x:v>84.99734192240612</x:v>
      </x:c>
      <x:c r="AG61" s="164" t="n">
        <x:f aca="0">IFERROR(SUMIF(S15_Source_Strata!$B$4:$B$49,$G61,S15_Source_Strata!$AH$4:$AH$49),0)</x:f>
        <x:v>92.4652433877896</x:v>
      </x:c>
      <x:c r="AH61" s="164" t="n">
        <x:f aca="0">IFERROR(SUMIF(S15_Source_Strata!$B$4:$B$49,$G61,S15_Source_Strata!$AI$4:$AI$49),0)</x:f>
        <x:v>99.25322623894684</x:v>
      </x:c>
      <x:c r="AI61" s="164" t="n">
        <x:f aca="0">IFERROR(SUMIF(S15_Source_Strata!$B$4:$B$49,$G61,S15_Source_Strata!$AJ$4:$AJ$49),0)</x:f>
        <x:v>105.37403100620998</x:v>
      </x:c>
      <x:c r="AJ61" s="164" t="n">
        <x:f aca="0">IFERROR(SUMIF(S15_Source_Strata!$B$4:$B$49,$G61,S15_Source_Strata!$AK$4:$AK$49),0)</x:f>
        <x:v>110.85772028876467</x:v>
      </x:c>
      <x:c r="AK61" s="164" t="n">
        <x:f aca="0">IFERROR(SUMIF(S15_Source_Strata!$B$4:$B$49,$G61,S15_Source_Strata!$AL$4:$AL$49),0)</x:f>
        <x:v>115.74500348381126</x:v>
      </x:c>
      <x:c r="AL61" s="165" t="n">
        <x:f aca="0">$F61*Q61</x:f>
        <x:v>0</x:v>
      </x:c>
      <x:c r="AM61" s="165" t="n">
        <x:f aca="0">$F61*R61</x:f>
        <x:v>0</x:v>
      </x:c>
      <x:c r="AN61" s="165" t="n">
        <x:f aca="0">$F61*S61</x:f>
        <x:v>0</x:v>
      </x:c>
      <x:c r="AO61" s="165" t="n">
        <x:f aca="0">$F61*T61</x:f>
        <x:v>1.3530396512361604</x:v>
      </x:c>
      <x:c r="AP61" s="165" t="n">
        <x:f aca="0">$F61*U61</x:f>
        <x:v>16.282816101404233</x:v>
      </x:c>
      <x:c r="AQ61" s="165" t="n">
        <x:f aca="0">$F61*V61</x:f>
        <x:v>61.49227138413441</x:v>
      </x:c>
      <x:c r="AR61" s="165" t="n">
        <x:f aca="0">$F61*W61</x:f>
        <x:v>146.1908548180194</x:v>
      </x:c>
      <x:c r="AS61" s="165" t="n">
        <x:f aca="0">$F61*X61</x:f>
        <x:v>269.51012738887044</x:v>
      </x:c>
      <x:c r="AT61" s="165" t="n">
        <x:f aca="0">$F61*Y61</x:f>
        <x:v>424.6528248732816</x:v>
      </x:c>
      <x:c r="AU61" s="165" t="n">
        <x:f aca="0">$F61*Z61</x:f>
        <x:v>602.2417973955033</x:v>
      </x:c>
      <x:c r="AV61" s="165" t="n">
        <x:f aca="0">$F61*AA61</x:f>
        <x:v>792.744393529732</x:v>
      </x:c>
      <x:c r="AW61" s="165" t="n">
        <x:f aca="0">$F61*AB61</x:f>
        <x:v>987.7954736918854</x:v>
      </x:c>
      <x:c r="AX61" s="165" t="n">
        <x:f aca="0">$F61*AC61</x:f>
        <x:v>1180.7313052346383</x:v>
      </x:c>
      <x:c r="AY61" s="165" t="n">
        <x:f aca="0">$F61*AD61</x:f>
        <x:v>1366.6496334577394</x:v>
      </x:c>
      <x:c r="AZ61" s="165" t="n">
        <x:f aca="0">$F61*AE61</x:f>
        <x:v>1542.2275075497635</x:v>
      </x:c>
      <x:c r="BA61" s="165" t="n">
        <x:f aca="0">$F61*AF61</x:f>
        <x:v>1705.4431222516619</x:v>
      </x:c>
      <x:c r="BB61" s="165" t="n">
        <x:f aca="0">$F61*AG61</x:f>
        <x:v>1855.2840573178207</x:v>
      </x:c>
      <x:c r="BC61" s="165" t="n">
        <x:f aca="0">$F61*AH61</x:f>
        <x:v>1991.4826537167119</x:v>
      </x:c>
      <x:c r="BD61" s="165" t="n">
        <x:f aca="0">$F61*AI61</x:f>
        <x:v>2114.2945459109824</x:v>
      </x:c>
      <x:c r="BE61" s="165" t="n">
        <x:f aca="0">$F61*AJ61</x:f>
        <x:v>2224.322929857807</x:v>
      </x:c>
      <x:c r="BF61" s="165" t="n">
        <x:f aca="0">$F61*AK61</x:f>
        <x:v>2322.384625941166</x:v>
      </x:c>
    </x:row>
    <x:row r="62" ht="15" hidden="0" customHeight="1">
      <x:c r="A62" s="37" t="str">
        <x:v>Tropical &amp; Subtropical Dry Broadleaf Forests</x:v>
      </x:c>
      <x:c r="B62" s="37" t="s">
        <x:v>111</x:v>
      </x:c>
      <x:c r="C62" s="37" t="s">
        <x:v>542</x:v>
      </x:c>
      <x:c r="D62" s="37" t="n">
        <x:v>2022</x:v>
      </x:c>
      <x:c r="E62" s="100" t="n">
        <x:v>5</x:v>
      </x:c>
      <x:c r="F62" s="100" t="n">
        <x:v>4.4274</x:v>
      </x:c>
      <x:c r="G62" s="37" t="s">
        <x:v>565</x:v>
      </x:c>
      <x:c r="H62" s="37" t="n">
        <x:v>1</x:v>
      </x:c>
      <x:c r="I62" s="37" t="s">
        <x:v>1180</x:v>
      </x:c>
      <x:c r="J62" s="37" t="str">
        <x:v>Tropical &amp; Subtropical Dry Broadleaf Forests|2022</x:v>
      </x:c>
      <x:c r="K62" s="37" t="str">
        <x:v>Area × biological stock; VM0047 Eq.(3); PB separately by Biome×Cohort</x:v>
      </x:c>
      <x:c r="Q62" s="164" t="n">
        <x:f aca="0">IFERROR(SUMIF(S15_Source_Strata!$B$4:$B$49,$G62,S15_Source_Strata!$R$4:$R$49),0)</x:f>
        <x:v>0</x:v>
      </x:c>
      <x:c r="R62" s="164" t="n">
        <x:f aca="0">IFERROR(SUMIF(S15_Source_Strata!$B$4:$B$49,$G62,S15_Source_Strata!$S$4:$S$49),0)</x:f>
        <x:v>0</x:v>
      </x:c>
      <x:c r="S62" s="164" t="n">
        <x:f aca="0">IFERROR(SUMIF(S15_Source_Strata!$B$4:$B$49,$G62,S15_Source_Strata!$T$4:$T$49),0)</x:f>
        <x:v>0</x:v>
      </x:c>
      <x:c r="T62" s="164" t="n">
        <x:f aca="0">IFERROR(SUMIF(S15_Source_Strata!$B$4:$B$49,$G62,S15_Source_Strata!$U$4:$U$49),0)</x:f>
        <x:v>0.08843419078662754</x:v>
      </x:c>
      <x:c r="U62" s="164" t="n">
        <x:f aca="0">IFERROR(SUMIF(S15_Source_Strata!$B$4:$B$49,$G62,S15_Source_Strata!$V$4:$V$49),0)</x:f>
        <x:v>1.1000414117303818</x:v>
      </x:c>
      <x:c r="V62" s="164" t="n">
        <x:f aca="0">IFERROR(SUMIF(S15_Source_Strata!$B$4:$B$49,$G62,S15_Source_Strata!$W$4:$W$49),0)</x:f>
        <x:v>4.1668905223899095</x:v>
      </x:c>
      <x:c r="W62" s="164" t="n">
        <x:f aca="0">IFERROR(SUMIF(S15_Source_Strata!$B$4:$B$49,$G62,S15_Source_Strata!$X$4:$X$49),0)</x:f>
        <x:v>9.829374822629461</x:v>
      </x:c>
      <x:c r="X62" s="164" t="n">
        <x:f aca="0">IFERROR(SUMIF(S15_Source_Strata!$B$4:$B$49,$G62,S15_Source_Strata!$Y$4:$Y$49),0)</x:f>
        <x:v>17.892712114772408</x:v>
      </x:c>
      <x:c r="Y62" s="164" t="n">
        <x:f aca="0">IFERROR(SUMIF(S15_Source_Strata!$B$4:$B$49,$G62,S15_Source_Strata!$Z$4:$Z$49),0)</x:f>
        <x:v>27.774290189779645</x:v>
      </x:c>
      <x:c r="Z62" s="164" t="n">
        <x:f aca="0">IFERROR(SUMIF(S15_Source_Strata!$B$4:$B$49,$G62,S15_Source_Strata!$AA$4:$AA$49),0)</x:f>
        <x:v>38.76954120331893</x:v>
      </x:c>
      <x:c r="AA62" s="164" t="n">
        <x:f aca="0">IFERROR(SUMIF(S15_Source_Strata!$B$4:$B$49,$G62,S15_Source_Strata!$AB$4:$AB$49),0)</x:f>
        <x:v>50.22338492311939</x:v>
      </x:c>
      <x:c r="AB62" s="164" t="n">
        <x:f aca="0">IFERROR(SUMIF(S15_Source_Strata!$B$4:$B$49,$G62,S15_Source_Strata!$AC$4:$AC$49),0)</x:f>
        <x:v>61.60837691376501</x:v>
      </x:c>
      <x:c r="AC62" s="164" t="n">
        <x:f aca="0">IFERROR(SUMIF(S15_Source_Strata!$B$4:$B$49,$G62,S15_Source_Strata!$AD$4:$AD$49),0)</x:f>
        <x:v>72.54304541687709</x:v>
      </x:c>
      <x:c r="AD62" s="164" t="n">
        <x:f aca="0">IFERROR(SUMIF(S15_Source_Strata!$B$4:$B$49,$G62,S15_Source_Strata!$AE$4:$AE$49),0)</x:f>
        <x:v>82.77910053366851</x:v>
      </x:c>
      <x:c r="AE62" s="164" t="n">
        <x:f aca="0">IFERROR(SUMIF(S15_Source_Strata!$B$4:$B$49,$G62,S15_Source_Strata!$AF$4:$AF$49),0)</x:f>
        <x:v>92.17626812269735</x:v>
      </x:c>
      <x:c r="AF62" s="164" t="n">
        <x:f aca="0">IFERROR(SUMIF(S15_Source_Strata!$B$4:$B$49,$G62,S15_Source_Strata!$AG$4:$AG$49),0)</x:f>
        <x:v>100.67516538222455</x:v>
      </x:c>
      <x:c r="AG62" s="164" t="n">
        <x:f aca="0">IFERROR(SUMIF(S15_Source_Strata!$B$4:$B$49,$G62,S15_Source_Strata!$AH$4:$AH$49),0)</x:f>
        <x:v>108.27311915182199</x:v>
      </x:c>
      <x:c r="AH62" s="164" t="n">
        <x:f aca="0">IFERROR(SUMIF(S15_Source_Strata!$B$4:$B$49,$G62,S15_Source_Strata!$AI$4:$AI$49),0)</x:f>
        <x:v>115.00464533368721</x:v>
      </x:c>
      <x:c r="AI62" s="164" t="n">
        <x:f aca="0">IFERROR(SUMIF(S15_Source_Strata!$B$4:$B$49,$G62,S15_Source_Strata!$AJ$4:$AJ$49),0)</x:f>
        <x:v>120.92668155665598</x:v>
      </x:c>
      <x:c r="AJ62" s="164" t="n">
        <x:f aca="0">IFERROR(SUMIF(S15_Source_Strata!$B$4:$B$49,$G62,S15_Source_Strata!$AK$4:$AK$49),0)</x:f>
        <x:v>126.1079590032203</x:v>
      </x:c>
      <x:c r="AK62" s="164" t="n">
        <x:f aca="0">IFERROR(SUMIF(S15_Source_Strata!$B$4:$B$49,$G62,S15_Source_Strata!$AL$4:$AL$49),0)</x:f>
        <x:v>130.62168649784536</x:v>
      </x:c>
      <x:c r="AL62" s="165" t="n">
        <x:f aca="0">$F62*Q62</x:f>
        <x:v>0</x:v>
      </x:c>
      <x:c r="AM62" s="165" t="n">
        <x:f aca="0">$F62*R62</x:f>
        <x:v>0</x:v>
      </x:c>
      <x:c r="AN62" s="165" t="n">
        <x:f aca="0">$F62*S62</x:f>
        <x:v>0</x:v>
      </x:c>
      <x:c r="AO62" s="165" t="n">
        <x:f aca="0">$F62*T62</x:f>
        <x:v>0.39153353628871473</x:v>
      </x:c>
      <x:c r="AP62" s="165" t="n">
        <x:f aca="0">$F62*U62</x:f>
        <x:v>4.870323346295092</x:v>
      </x:c>
      <x:c r="AQ62" s="165" t="n">
        <x:f aca="0">$F62*V62</x:f>
        <x:v>18.448491098829084</x:v>
      </x:c>
      <x:c r="AR62" s="165" t="n">
        <x:f aca="0">$F62*W62</x:f>
        <x:v>43.518574089709674</x:v>
      </x:c>
      <x:c r="AS62" s="165" t="n">
        <x:f aca="0">$F62*X62</x:f>
        <x:v>79.21819361694335</x:v>
      </x:c>
      <x:c r="AT62" s="165" t="n">
        <x:f aca="0">$F62*Y62</x:f>
        <x:v>122.96789238623039</x:v>
      </x:c>
      <x:c r="AU62" s="165" t="n">
        <x:f aca="0">$F62*Z62</x:f>
        <x:v>171.6482667235742</x:v>
      </x:c>
      <x:c r="AV62" s="165" t="n">
        <x:f aca="0">$F62*AA62</x:f>
        <x:v>222.35901440861878</x:v>
      </x:c>
      <x:c r="AW62" s="165" t="n">
        <x:f aca="0">$F62*AB62</x:f>
        <x:v>272.76492794800316</x:v>
      </x:c>
      <x:c r="AX62" s="165" t="n">
        <x:f aca="0">$F62*AC62</x:f>
        <x:v>321.1770792786816</x:v>
      </x:c>
      <x:c r="AY62" s="165" t="n">
        <x:f aca="0">$F62*AD62</x:f>
        <x:v>366.49618970276396</x:v>
      </x:c>
      <x:c r="AZ62" s="165" t="n">
        <x:f aca="0">$F62*AE62</x:f>
        <x:v>408.1012094864302</x:v>
      </x:c>
      <x:c r="BA62" s="165" t="n">
        <x:f aca="0">$F62*AF62</x:f>
        <x:v>445.7292272132609</x:v>
      </x:c>
      <x:c r="BB62" s="165" t="n">
        <x:f aca="0">$F62*AG62</x:f>
        <x:v>479.36840773277663</x:v>
      </x:c>
      <x:c r="BC62" s="165" t="n">
        <x:f aca="0">$F62*AH62</x:f>
        <x:v>509.1715667503667</x:v>
      </x:c>
      <x:c r="BD62" s="165" t="n">
        <x:f aca="0">$F62*AI62</x:f>
        <x:v>535.3907899239387</x:v>
      </x:c>
      <x:c r="BE62" s="165" t="n">
        <x:f aca="0">$F62*AJ62</x:f>
        <x:v>558.3303776908575</x:v>
      </x:c>
      <x:c r="BF62" s="165" t="n">
        <x:f aca="0">$F62*AK62</x:f>
        <x:v>578.3144548005605</x:v>
      </x:c>
    </x:row>
    <x:row r="63" ht="15" hidden="0" customHeight="1">
      <x:c r="A63" s="37" t="str">
        <x:v>Tropical &amp; Subtropical Dry Broadleaf Forests</x:v>
      </x:c>
      <x:c r="B63" s="37" t="s">
        <x:v>111</x:v>
      </x:c>
      <x:c r="C63" s="37" t="s">
        <x:v>549</x:v>
      </x:c>
      <x:c r="D63" s="37" t="n">
        <x:v>2023</x:v>
      </x:c>
      <x:c r="E63" s="100" t="n">
        <x:v>17</x:v>
      </x:c>
      <x:c r="F63" s="100" t="n">
        <x:v>17.0476</x:v>
      </x:c>
      <x:c r="G63" s="37" t="s">
        <x:v>572</x:v>
      </x:c>
      <x:c r="H63" s="37" t="n">
        <x:v>1</x:v>
      </x:c>
      <x:c r="I63" s="37" t="s">
        <x:v>1180</x:v>
      </x:c>
      <x:c r="J63" s="37" t="str">
        <x:v>Tropical &amp; Subtropical Dry Broadleaf Forests|2023</x:v>
      </x:c>
      <x:c r="K63" s="37" t="str">
        <x:v>Area × biological stock; VM0047 Eq.(3); PB separately by Biome×Cohort</x:v>
      </x:c>
      <x:c r="Q63" s="164" t="n">
        <x:f aca="0">IFERROR(SUMIF(S15_Source_Strata!$B$4:$B$49,$G63,S15_Source_Strata!$R$4:$R$49),0)</x:f>
        <x:v>0</x:v>
      </x:c>
      <x:c r="R63" s="164" t="n">
        <x:f aca="0">IFERROR(SUMIF(S15_Source_Strata!$B$4:$B$49,$G63,S15_Source_Strata!$S$4:$S$49),0)</x:f>
        <x:v>0</x:v>
      </x:c>
      <x:c r="S63" s="164" t="n">
        <x:f aca="0">IFERROR(SUMIF(S15_Source_Strata!$B$4:$B$49,$G63,S15_Source_Strata!$T$4:$T$49),0)</x:f>
        <x:v>0</x:v>
      </x:c>
      <x:c r="T63" s="164" t="n">
        <x:f aca="0">IFERROR(SUMIF(S15_Source_Strata!$B$4:$B$49,$G63,S15_Source_Strata!$U$4:$U$49),0)</x:f>
        <x:v>0</x:v>
      </x:c>
      <x:c r="U63" s="164" t="n">
        <x:f aca="0">IFERROR(SUMIF(S15_Source_Strata!$B$4:$B$49,$G63,S15_Source_Strata!$V$4:$V$49),0)</x:f>
        <x:v>0.041887249891712</x:v>
      </x:c>
      <x:c r="V63" s="164" t="n">
        <x:f aca="0">IFERROR(SUMIF(S15_Source_Strata!$B$4:$B$49,$G63,S15_Source_Strata!$W$4:$W$49),0)</x:f>
        <x:v>0.5006911820948761</x:v>
      </x:c>
      <x:c r="W63" s="164" t="n">
        <x:f aca="0">IFERROR(SUMIF(S15_Source_Strata!$B$4:$B$49,$G63,S15_Source_Strata!$X$4:$X$49),0)</x:f>
        <x:v>1.9160435894217756</x:v>
      </x:c>
      <x:c r="X63" s="164" t="n">
        <x:f aca="0">IFERROR(SUMIF(S15_Source_Strata!$B$4:$B$49,$G63,S15_Source_Strata!$Y$4:$Y$49),0)</x:f>
        <x:v>4.648002141175279</x:v>
      </x:c>
      <x:c r="Y63" s="164" t="n">
        <x:f aca="0">IFERROR(SUMIF(S15_Source_Strata!$B$4:$B$49,$G63,S15_Source_Strata!$Z$4:$Z$49),0)</x:f>
        <x:v>8.765836201233046</x:v>
      </x:c>
      <x:c r="Z63" s="164" t="n">
        <x:f aca="0">IFERROR(SUMIF(S15_Source_Strata!$B$4:$B$49,$G63,S15_Source_Strata!$AA$4:$AA$49),0)</x:f>
        <x:v>14.137731009696834</x:v>
      </x:c>
      <x:c r="AA63" s="164" t="n">
        <x:f aca="0">IFERROR(SUMIF(S15_Source_Strata!$B$4:$B$49,$G63,S15_Source_Strata!$AB$4:$AB$49),0)</x:f>
        <x:v>20.514687829934044</x:v>
      </x:c>
      <x:c r="AB63" s="164" t="n">
        <x:f aca="0">IFERROR(SUMIF(S15_Source_Strata!$B$4:$B$49,$G63,S15_Source_Strata!$AC$4:$AC$49),0)</x:f>
        <x:v>27.60358895515498</x:v>
      </x:c>
      <x:c r="AC63" s="164" t="n">
        <x:f aca="0">IFERROR(SUMIF(S15_Source_Strata!$B$4:$B$49,$G63,S15_Source_Strata!$AD$4:$AD$49),0)</x:f>
        <x:v>35.11614902570361</x:v>
      </x:c>
      <x:c r="AD63" s="164" t="n">
        <x:f aca="0">IFERROR(SUMIF(S15_Source_Strata!$B$4:$B$49,$G63,S15_Source_Strata!$AE$4:$AE$49),0)</x:f>
        <x:v>42.796694831673534</x:v>
      </x:c>
      <x:c r="AE63" s="164" t="n">
        <x:f aca="0">IFERROR(SUMIF(S15_Source_Strata!$B$4:$B$49,$G63,S15_Source_Strata!$AF$4:$AF$49),0)</x:f>
        <x:v>50.43458352773399</x:v>
      </x:c>
      <x:c r="AF63" s="164" t="n">
        <x:f aca="0">IFERROR(SUMIF(S15_Source_Strata!$B$4:$B$49,$G63,S15_Source_Strata!$AG$4:$AG$49),0)</x:f>
        <x:v>57.8667406233523</x:v>
      </x:c>
      <x:c r="AG63" s="164" t="n">
        <x:f aca="0">IFERROR(SUMIF(S15_Source_Strata!$B$4:$B$49,$G63,S15_Source_Strata!$AH$4:$AH$49),0)</x:f>
        <x:v>64.97452870620393</x:v>
      </x:c>
      <x:c r="AH63" s="164" t="n">
        <x:f aca="0">IFERROR(SUMIF(S15_Source_Strata!$B$4:$B$49,$G63,S15_Source_Strata!$AI$4:$AI$49),0)</x:f>
        <x:v>71.67784329965413</x:v>
      </x:c>
      <x:c r="AI63" s="164" t="n">
        <x:f aca="0">IFERROR(SUMIF(S15_Source_Strata!$B$4:$B$49,$G63,S15_Source_Strata!$AJ$4:$AJ$49),0)</x:f>
        <x:v>77.92826810156097</x:v>
      </x:c>
      <x:c r="AJ63" s="164" t="n">
        <x:f aca="0">IFERROR(SUMIF(S15_Source_Strata!$B$4:$B$49,$G63,S15_Source_Strata!$AK$4:$AK$49),0)</x:f>
        <x:v>83.70235418006737</x:v>
      </x:c>
      <x:c r="AK63" s="164" t="n">
        <x:f aca="0">IFERROR(SUMIF(S15_Source_Strata!$B$4:$B$49,$G63,S15_Source_Strata!$AL$4:$AL$49),0)</x:f>
        <x:v>88.99557408183094</x:v>
      </x:c>
      <x:c r="AL63" s="165" t="n">
        <x:f aca="0">$F63*Q63</x:f>
        <x:v>0</x:v>
      </x:c>
      <x:c r="AM63" s="165" t="n">
        <x:f aca="0">$F63*R63</x:f>
        <x:v>0</x:v>
      </x:c>
      <x:c r="AN63" s="165" t="n">
        <x:f aca="0">$F63*S63</x:f>
        <x:v>0</x:v>
      </x:c>
      <x:c r="AO63" s="165" t="n">
        <x:f aca="0">$F63*T63</x:f>
        <x:v>0</x:v>
      </x:c>
      <x:c r="AP63" s="165" t="n">
        <x:f aca="0">$F63*U63</x:f>
        <x:v>0.7140770812539494</x:v>
      </x:c>
      <x:c r="AQ63" s="165" t="n">
        <x:f aca="0">$F63*V63</x:f>
        <x:v>8.535582995880608</x:v>
      </x:c>
      <x:c r="AR63" s="165" t="n">
        <x:f aca="0">$F63*W63</x:f>
        <x:v>32.66394469502666</x:v>
      </x:c>
      <x:c r="AS63" s="165" t="n">
        <x:f aca="0">$F63*X63</x:f>
        <x:v>79.23728130189969</x:v>
      </x:c>
      <x:c r="AT63" s="165" t="n">
        <x:f aca="0">$F63*Y63</x:f>
        <x:v>149.43646922414047</x:v>
      </x:c>
      <x:c r="AU63" s="165" t="n">
        <x:f aca="0">$F63*Z63</x:f>
        <x:v>241.01438316090773</x:v>
      </x:c>
      <x:c r="AV63" s="165" t="n">
        <x:f aca="0">$F63*AA63</x:f>
        <x:v>349.72619224958356</x:v>
      </x:c>
      <x:c r="AW63" s="165" t="n">
        <x:f aca="0">$F63*AB63</x:f>
        <x:v>470.5749430719</x:v>
      </x:c>
      <x:c r="AX63" s="165" t="n">
        <x:f aca="0">$F63*AC63</x:f>
        <x:v>598.6460621305849</x:v>
      </x:c>
      <x:c r="AY63" s="165" t="n">
        <x:f aca="0">$F63*AD63</x:f>
        <x:v>729.5809348124377</x:v>
      </x:c>
      <x:c r="AZ63" s="165" t="n">
        <x:f aca="0">$F63*AE63</x:f>
        <x:v>859.7886061473979</x:v>
      </x:c>
      <x:c r="BA63" s="165" t="n">
        <x:f aca="0">$F63*AF63</x:f>
        <x:v>986.4890474506606</x:v>
      </x:c>
      <x:c r="BB63" s="165" t="n">
        <x:f aca="0">$F63*AG63</x:f>
        <x:v>1107.659775571882</x:v>
      </x:c>
      <x:c r="BC63" s="165" t="n">
        <x:f aca="0">$F63*AH63</x:f>
        <x:v>1221.9352014351837</x:v>
      </x:c>
      <x:c r="BD63" s="165" t="n">
        <x:f aca="0">$F63*AI63</x:f>
        <x:v>1328.4899432881707</x:v>
      </x:c>
      <x:c r="BE63" s="165" t="n">
        <x:f aca="0">$F63*AJ63</x:f>
        <x:v>1426.9242531201164</x:v>
      </x:c>
      <x:c r="BF63" s="165" t="n">
        <x:f aca="0">$F63*AK63</x:f>
        <x:v>1517.160948717421</x:v>
      </x:c>
    </x:row>
    <x:row r="64" ht="15" hidden="0" customHeight="1">
      <x:c r="A64" s="37" t="str">
        <x:v>Tropical &amp; Subtropical Dry Broadleaf Forests</x:v>
      </x:c>
      <x:c r="B64" s="37" t="s">
        <x:v>111</x:v>
      </x:c>
      <x:c r="C64" s="37" t="s">
        <x:v>553</x:v>
      </x:c>
      <x:c r="D64" s="37" t="n">
        <x:v>2023</x:v>
      </x:c>
      <x:c r="E64" s="100" t="n">
        <x:v>3</x:v>
      </x:c>
      <x:c r="F64" s="100" t="n">
        <x:v>2.1051</x:v>
      </x:c>
      <x:c r="G64" s="37" t="s">
        <x:v>1116</x:v>
      </x:c>
      <x:c r="H64" s="37" t="n">
        <x:v>0</x:v>
      </x:c>
      <x:c r="I64" s="37" t="s">
        <x:v>1185</x:v>
      </x:c>
      <x:c r="J64" s="37" t="str">
        <x:v>Tropical &amp; Subtropical Dry Broadleaf Forests|2023</x:v>
      </x:c>
      <x:c r="K64" s="37" t="str">
        <x:v>Area × biological stock; VM0047 Eq.(3); PB separately by Biome×Cohort</x:v>
      </x:c>
      <x:c r="Q64" s="164" t="n">
        <x:f aca="0">IFERROR(SUMIF(S15_Source_Strata!$B$4:$B$49,$G64,S15_Source_Strata!$R$4:$R$49),0)</x:f>
        <x:v>0</x:v>
      </x:c>
      <x:c r="R64" s="164" t="n">
        <x:f aca="0">IFERROR(SUMIF(S15_Source_Strata!$B$4:$B$49,$G64,S15_Source_Strata!$S$4:$S$49),0)</x:f>
        <x:v>0</x:v>
      </x:c>
      <x:c r="S64" s="164" t="n">
        <x:f aca="0">IFERROR(SUMIF(S15_Source_Strata!$B$4:$B$49,$G64,S15_Source_Strata!$T$4:$T$49),0)</x:f>
        <x:v>0</x:v>
      </x:c>
      <x:c r="T64" s="164" t="n">
        <x:f aca="0">IFERROR(SUMIF(S15_Source_Strata!$B$4:$B$49,$G64,S15_Source_Strata!$U$4:$U$49),0)</x:f>
        <x:v>0</x:v>
      </x:c>
      <x:c r="U64" s="164" t="n">
        <x:f aca="0">IFERROR(SUMIF(S15_Source_Strata!$B$4:$B$49,$G64,S15_Source_Strata!$V$4:$V$49),0)</x:f>
        <x:v>0.07152597803014582</x:v>
      </x:c>
      <x:c r="V64" s="164" t="n">
        <x:f aca="0">IFERROR(SUMIF(S15_Source_Strata!$B$4:$B$49,$G64,S15_Source_Strata!$W$4:$W$49),0)</x:f>
        <x:v>0.864336246888579</x:v>
      </x:c>
      <x:c r="W64" s="164" t="n">
        <x:f aca="0">IFERROR(SUMIF(S15_Source_Strata!$B$4:$B$49,$G64,S15_Source_Strata!$X$4:$X$49),0)</x:f>
        <x:v>3.303655276665658</x:v>
      </x:c>
      <x:c r="X64" s="164" t="n">
        <x:f aca="0">IFERROR(SUMIF(S15_Source_Strata!$B$4:$B$49,$G64,S15_Source_Strata!$Y$4:$Y$49),0)</x:f>
        <x:v>7.970157779779097</x:v>
      </x:c>
      <x:c r="Y64" s="164" t="n">
        <x:f aca="0">IFERROR(SUMIF(S15_Source_Strata!$B$4:$B$49,$G64,S15_Source_Strata!$Z$4:$Z$49),0)</x:f>
        <x:v>14.923899156004842</x:v>
      </x:c>
      <x:c r="Z64" s="164" t="n">
        <x:f aca="0">IFERROR(SUMIF(S15_Source_Strata!$B$4:$B$49,$G64,S15_Source_Strata!$AA$4:$AA$49),0)</x:f>
        <x:v>23.885588624728054</x:v>
      </x:c>
      <x:c r="AA64" s="164" t="n">
        <x:f aca="0">IFERROR(SUMIF(S15_Source_Strata!$B$4:$B$49,$G64,S15_Source_Strata!$AB$4:$AB$49),0)</x:f>
        <x:v>34.39633727340892</x:v>
      </x:c>
      <x:c r="AB64" s="164" t="n">
        <x:f aca="0">IFERROR(SUMIF(S15_Source_Strata!$B$4:$B$49,$G64,S15_Source_Strata!$AC$4:$AC$49),0)</x:f>
        <x:v>45.94628773183691</x:v>
      </x:c>
      <x:c r="AC64" s="164" t="n">
        <x:f aca="0">IFERROR(SUMIF(S15_Source_Strata!$B$4:$B$49,$G64,S15_Source_Strata!$AD$4:$AD$49),0)</x:f>
        <x:v>58.054373014376885</x:v>
      </x:c>
      <x:c r="AD64" s="164" t="n">
        <x:f aca="0">IFERROR(SUMIF(S15_Source_Strata!$B$4:$B$49,$G64,S15_Source_Strata!$AE$4:$AE$49),0)</x:f>
        <x:v>70.30903125532</x:v>
      </x:c>
      <x:c r="AE64" s="164" t="n">
        <x:f aca="0">IFERROR(SUMIF(S15_Source_Strata!$B$4:$B$49,$G64,S15_Source_Strata!$AF$4:$AF$49),0)</x:f>
        <x:v>82.38274135165359</x:v>
      </x:c>
      <x:c r="AF64" s="164" t="n">
        <x:f aca="0">IFERROR(SUMIF(S15_Source_Strata!$B$4:$B$49,$G64,S15_Source_Strata!$AG$4:$AG$49),0)</x:f>
        <x:v>94.03105915138642</x:v>
      </x:c>
      <x:c r="AG64" s="164" t="n">
        <x:f aca="0">IFERROR(SUMIF(S15_Source_Strata!$B$4:$B$49,$G64,S15_Source_Strata!$AH$4:$AH$49),0)</x:f>
        <x:v>105.08365805426325</x:v>
      </x:c>
      <x:c r="AH64" s="164" t="n">
        <x:f aca="0">IFERROR(SUMIF(S15_Source_Strata!$B$4:$B$49,$G64,S15_Source_Strata!$AI$4:$AI$49),0)</x:f>
        <x:v>115.43213857673612</x:v>
      </x:c>
      <x:c r="AI64" s="164" t="n">
        <x:f aca="0">IFERROR(SUMIF(S15_Source_Strata!$B$4:$B$49,$G64,S15_Source_Strata!$AJ$4:$AJ$49),0)</x:f>
        <x:v>125.0173795374974</x:v>
      </x:c>
      <x:c r="AJ64" s="164" t="n">
        <x:f aca="0">IFERROR(SUMIF(S15_Source_Strata!$B$4:$B$49,$G64,S15_Source_Strata!$AK$4:$AK$49),0)</x:f>
        <x:v>133.81788409296183</x:v>
      </x:c>
      <x:c r="AK64" s="164" t="n">
        <x:f aca="0">IFERROR(SUMIF(S15_Source_Strata!$B$4:$B$49,$G64,S15_Source_Strata!$AL$4:$AL$49),0)</x:f>
        <x:v>141.83975781494965</x:v>
      </x:c>
      <x:c r="AL64" s="165" t="n">
        <x:f aca="0">$F64*Q64</x:f>
        <x:v>0</x:v>
      </x:c>
      <x:c r="AM64" s="165" t="n">
        <x:f aca="0">$F64*R64</x:f>
        <x:v>0</x:v>
      </x:c>
      <x:c r="AN64" s="165" t="n">
        <x:f aca="0">$F64*S64</x:f>
        <x:v>0</x:v>
      </x:c>
      <x:c r="AO64" s="165" t="n">
        <x:f aca="0">$F64*T64</x:f>
        <x:v>0</x:v>
      </x:c>
      <x:c r="AP64" s="165" t="n">
        <x:f aca="0">$F64*U64</x:f>
        <x:v>0.15056933635126</x:v>
      </x:c>
      <x:c r="AQ64" s="165" t="n">
        <x:f aca="0">$F64*V64</x:f>
        <x:v>1.819514233325148</x:v>
      </x:c>
      <x:c r="AR64" s="165" t="n">
        <x:f aca="0">$F64*W64</x:f>
        <x:v>6.954524722908877</x:v>
      </x:c>
      <x:c r="AS64" s="165" t="n">
        <x:f aca="0">$F64*X64</x:f>
        <x:v>16.777979142212978</x:v>
      </x:c>
      <x:c r="AT64" s="165" t="n">
        <x:f aca="0">$F64*Y64</x:f>
        <x:v>31.416300113305795</x:v>
      </x:c>
      <x:c r="AU64" s="165" t="n">
        <x:f aca="0">$F64*Z64</x:f>
        <x:v>50.28155261391503</x:v>
      </x:c>
      <x:c r="AV64" s="165" t="n">
        <x:f aca="0">$F64*AA64</x:f>
        <x:v>72.40772959425311</x:v>
      </x:c>
      <x:c r="AW64" s="165" t="n">
        <x:f aca="0">$F64*AB64</x:f>
        <x:v>96.72153030428989</x:v>
      </x:c>
      <x:c r="AX64" s="165" t="n">
        <x:f aca="0">$F64*AC64</x:f>
        <x:v>122.2102606325648</x:v>
      </x:c>
      <x:c r="AY64" s="165" t="n">
        <x:f aca="0">$F64*AD64</x:f>
        <x:v>148.00754169557413</x:v>
      </x:c>
      <x:c r="AZ64" s="165" t="n">
        <x:f aca="0">$F64*AE64</x:f>
        <x:v>173.423908819366</x:v>
      </x:c>
      <x:c r="BA64" s="165" t="n">
        <x:f aca="0">$F64*AF64</x:f>
        <x:v>197.94478261958355</x:v>
      </x:c>
      <x:c r="BB64" s="165" t="n">
        <x:f aca="0">$F64*AG64</x:f>
        <x:v>221.2116085700296</x:v>
      </x:c>
      <x:c r="BC64" s="165" t="n">
        <x:f aca="0">$F64*AH64</x:f>
        <x:v>242.99619491788724</x:v>
      </x:c>
      <x:c r="BD64" s="165" t="n">
        <x:f aca="0">$F64*AI64</x:f>
        <x:v>263.1740856643858</x:v>
      </x:c>
      <x:c r="BE64" s="165" t="n">
        <x:f aca="0">$F64*AJ64</x:f>
        <x:v>281.70002780409396</x:v>
      </x:c>
      <x:c r="BF64" s="165" t="n">
        <x:f aca="0">$F64*AK64</x:f>
        <x:v>298.58687417625055</x:v>
      </x:c>
    </x:row>
    <x:row r="65" ht="15" hidden="0" customHeight="1">
      <x:c r="A65" s="37" t="str">
        <x:v>Tropical &amp; Subtropical Dry Broadleaf Forests</x:v>
      </x:c>
      <x:c r="B65" s="37" t="s">
        <x:v>111</x:v>
      </x:c>
      <x:c r="C65" s="37" t="s">
        <x:v>542</x:v>
      </x:c>
      <x:c r="D65" s="37" t="n">
        <x:v>2023</x:v>
      </x:c>
      <x:c r="E65" s="100" t="n">
        <x:v>4</x:v>
      </x:c>
      <x:c r="F65" s="100" t="n">
        <x:v>2.1145</x:v>
      </x:c>
      <x:c r="G65" s="37" t="s">
        <x:v>1118</x:v>
      </x:c>
      <x:c r="H65" s="37" t="n">
        <x:v>0</x:v>
      </x:c>
      <x:c r="I65" s="37" t="s">
        <x:v>1185</x:v>
      </x:c>
      <x:c r="J65" s="37" t="str">
        <x:v>Tropical &amp; Subtropical Dry Broadleaf Forests|2023</x:v>
      </x:c>
      <x:c r="K65" s="37" t="str">
        <x:v>Area × biological stock; VM0047 Eq.(3); PB separately by Biome×Cohort</x:v>
      </x:c>
      <x:c r="Q65" s="164" t="n">
        <x:f aca="0">IFERROR(SUMIF(S15_Source_Strata!$B$4:$B$49,$G65,S15_Source_Strata!$R$4:$R$49),0)</x:f>
        <x:v>0</x:v>
      </x:c>
      <x:c r="R65" s="164" t="n">
        <x:f aca="0">IFERROR(SUMIF(S15_Source_Strata!$B$4:$B$49,$G65,S15_Source_Strata!$S$4:$S$49),0)</x:f>
        <x:v>0</x:v>
      </x:c>
      <x:c r="S65" s="164" t="n">
        <x:f aca="0">IFERROR(SUMIF(S15_Source_Strata!$B$4:$B$49,$G65,S15_Source_Strata!$T$4:$T$49),0)</x:f>
        <x:v>0</x:v>
      </x:c>
      <x:c r="T65" s="164" t="n">
        <x:f aca="0">IFERROR(SUMIF(S15_Source_Strata!$B$4:$B$49,$G65,S15_Source_Strata!$U$4:$U$49),0)</x:f>
        <x:v>0</x:v>
      </x:c>
      <x:c r="U65" s="164" t="n">
        <x:f aca="0">IFERROR(SUMIF(S15_Source_Strata!$B$4:$B$49,$G65,S15_Source_Strata!$V$4:$V$49),0)</x:f>
        <x:v>0.08843419078662754</x:v>
      </x:c>
      <x:c r="V65" s="164" t="n">
        <x:f aca="0">IFERROR(SUMIF(S15_Source_Strata!$B$4:$B$49,$G65,S15_Source_Strata!$W$4:$W$49),0)</x:f>
        <x:v>1.1000414117303818</x:v>
      </x:c>
      <x:c r="W65" s="164" t="n">
        <x:f aca="0">IFERROR(SUMIF(S15_Source_Strata!$B$4:$B$49,$G65,S15_Source_Strata!$X$4:$X$49),0)</x:f>
        <x:v>4.1668905223899095</x:v>
      </x:c>
      <x:c r="X65" s="164" t="n">
        <x:f aca="0">IFERROR(SUMIF(S15_Source_Strata!$B$4:$B$49,$G65,S15_Source_Strata!$Y$4:$Y$49),0)</x:f>
        <x:v>9.829374822629461</x:v>
      </x:c>
      <x:c r="Y65" s="164" t="n">
        <x:f aca="0">IFERROR(SUMIF(S15_Source_Strata!$B$4:$B$49,$G65,S15_Source_Strata!$Z$4:$Z$49),0)</x:f>
        <x:v>17.892712114772408</x:v>
      </x:c>
      <x:c r="Z65" s="164" t="n">
        <x:f aca="0">IFERROR(SUMIF(S15_Source_Strata!$B$4:$B$49,$G65,S15_Source_Strata!$AA$4:$AA$49),0)</x:f>
        <x:v>27.774290189779645</x:v>
      </x:c>
      <x:c r="AA65" s="164" t="n">
        <x:f aca="0">IFERROR(SUMIF(S15_Source_Strata!$B$4:$B$49,$G65,S15_Source_Strata!$AB$4:$AB$49),0)</x:f>
        <x:v>38.76954120331893</x:v>
      </x:c>
      <x:c r="AB65" s="164" t="n">
        <x:f aca="0">IFERROR(SUMIF(S15_Source_Strata!$B$4:$B$49,$G65,S15_Source_Strata!$AC$4:$AC$49),0)</x:f>
        <x:v>50.22338492311939</x:v>
      </x:c>
      <x:c r="AC65" s="164" t="n">
        <x:f aca="0">IFERROR(SUMIF(S15_Source_Strata!$B$4:$B$49,$G65,S15_Source_Strata!$AD$4:$AD$49),0)</x:f>
        <x:v>61.60837691376501</x:v>
      </x:c>
      <x:c r="AD65" s="164" t="n">
        <x:f aca="0">IFERROR(SUMIF(S15_Source_Strata!$B$4:$B$49,$G65,S15_Source_Strata!$AE$4:$AE$49),0)</x:f>
        <x:v>72.54304541687709</x:v>
      </x:c>
      <x:c r="AE65" s="164" t="n">
        <x:f aca="0">IFERROR(SUMIF(S15_Source_Strata!$B$4:$B$49,$G65,S15_Source_Strata!$AF$4:$AF$49),0)</x:f>
        <x:v>82.77910053366851</x:v>
      </x:c>
      <x:c r="AF65" s="164" t="n">
        <x:f aca="0">IFERROR(SUMIF(S15_Source_Strata!$B$4:$B$49,$G65,S15_Source_Strata!$AG$4:$AG$49),0)</x:f>
        <x:v>92.17626812269735</x:v>
      </x:c>
      <x:c r="AG65" s="164" t="n">
        <x:f aca="0">IFERROR(SUMIF(S15_Source_Strata!$B$4:$B$49,$G65,S15_Source_Strata!$AH$4:$AH$49),0)</x:f>
        <x:v>100.67516538222455</x:v>
      </x:c>
      <x:c r="AH65" s="164" t="n">
        <x:f aca="0">IFERROR(SUMIF(S15_Source_Strata!$B$4:$B$49,$G65,S15_Source_Strata!$AI$4:$AI$49),0)</x:f>
        <x:v>108.27311915182199</x:v>
      </x:c>
      <x:c r="AI65" s="164" t="n">
        <x:f aca="0">IFERROR(SUMIF(S15_Source_Strata!$B$4:$B$49,$G65,S15_Source_Strata!$AJ$4:$AJ$49),0)</x:f>
        <x:v>115.00464533368721</x:v>
      </x:c>
      <x:c r="AJ65" s="164" t="n">
        <x:f aca="0">IFERROR(SUMIF(S15_Source_Strata!$B$4:$B$49,$G65,S15_Source_Strata!$AK$4:$AK$49),0)</x:f>
        <x:v>120.92668155665598</x:v>
      </x:c>
      <x:c r="AK65" s="164" t="n">
        <x:f aca="0">IFERROR(SUMIF(S15_Source_Strata!$B$4:$B$49,$G65,S15_Source_Strata!$AL$4:$AL$49),0)</x:f>
        <x:v>126.1079590032203</x:v>
      </x:c>
      <x:c r="AL65" s="165" t="n">
        <x:f aca="0">$F65*Q65</x:f>
        <x:v>0</x:v>
      </x:c>
      <x:c r="AM65" s="165" t="n">
        <x:f aca="0">$F65*R65</x:f>
        <x:v>0</x:v>
      </x:c>
      <x:c r="AN65" s="165" t="n">
        <x:f aca="0">$F65*S65</x:f>
        <x:v>0</x:v>
      </x:c>
      <x:c r="AO65" s="165" t="n">
        <x:f aca="0">$F65*T65</x:f>
        <x:v>0</x:v>
      </x:c>
      <x:c r="AP65" s="165" t="n">
        <x:f aca="0">$F65*U65</x:f>
        <x:v>0.18699409641832393</x:v>
      </x:c>
      <x:c r="AQ65" s="165" t="n">
        <x:f aca="0">$F65*V65</x:f>
        <x:v>2.3260375651038925</x:v>
      </x:c>
      <x:c r="AR65" s="165" t="n">
        <x:f aca="0">$F65*W65</x:f>
        <x:v>8.810890009593464</x:v>
      </x:c>
      <x:c r="AS65" s="165" t="n">
        <x:f aca="0">$F65*X65</x:f>
        <x:v>20.784213062449997</x:v>
      </x:c>
      <x:c r="AT65" s="165" t="n">
        <x:f aca="0">$F65*Y65</x:f>
        <x:v>37.834139766686256</x:v>
      </x:c>
      <x:c r="AU65" s="165" t="n">
        <x:f aca="0">$F65*Z65</x:f>
        <x:v>58.72873660628906</x:v>
      </x:c>
      <x:c r="AV65" s="165" t="n">
        <x:f aca="0">$F65*AA65</x:f>
        <x:v>81.97819487441788</x:v>
      </x:c>
      <x:c r="AW65" s="165" t="n">
        <x:f aca="0">$F65*AB65</x:f>
        <x:v>106.19734741993595</x:v>
      </x:c>
      <x:c r="AX65" s="165" t="n">
        <x:f aca="0">$F65*AC65</x:f>
        <x:v>130.2709129841561</x:v>
      </x:c>
      <x:c r="AY65" s="165" t="n">
        <x:f aca="0">$F65*AD65</x:f>
        <x:v>153.39226953398662</x:v>
      </x:c>
      <x:c r="AZ65" s="165" t="n">
        <x:f aca="0">$F65*AE65</x:f>
        <x:v>175.03640807844207</x:v>
      </x:c>
      <x:c r="BA65" s="165" t="n">
        <x:f aca="0">$F65*AF65</x:f>
        <x:v>194.90671894544354</x:v>
      </x:c>
      <x:c r="BB65" s="165" t="n">
        <x:f aca="0">$F65*AG65</x:f>
        <x:v>212.87763720071382</x:v>
      </x:c>
      <x:c r="BC65" s="165" t="n">
        <x:f aca="0">$F65*AH65</x:f>
        <x:v>228.9435104465276</x:v>
      </x:c>
      <x:c r="BD65" s="165" t="n">
        <x:f aca="0">$F65*AI65</x:f>
        <x:v>243.1773225580816</x:v>
      </x:c>
      <x:c r="BE65" s="165" t="n">
        <x:f aca="0">$F65*AJ65</x:f>
        <x:v>255.69946815154907</x:v>
      </x:c>
      <x:c r="BF65" s="165" t="n">
        <x:f aca="0">$F65*AK65</x:f>
        <x:v>266.65527931230935</x:v>
      </x:c>
    </x:row>
    <x:row r="66" ht="15" hidden="0" customHeight="1">
      <x:c r="A66" s="37" t="str">
        <x:v>Tropical &amp; Subtropical Dry Broadleaf Forests</x:v>
      </x:c>
      <x:c r="B66" s="37" t="s">
        <x:v>111</x:v>
      </x:c>
      <x:c r="C66" s="37" t="s">
        <x:v>553</x:v>
      </x:c>
      <x:c r="D66" s="37" t="n">
        <x:v>2024</x:v>
      </x:c>
      <x:c r="E66" s="100" t="n">
        <x:v>1</x:v>
      </x:c>
      <x:c r="F66" s="100" t="n">
        <x:v>0.3289</x:v>
      </x:c>
      <x:c r="G66" s="37" t="s">
        <x:v>575</x:v>
      </x:c>
      <x:c r="H66" s="37" t="n">
        <x:v>1</x:v>
      </x:c>
      <x:c r="I66" s="37" t="s">
        <x:v>1180</x:v>
      </x:c>
      <x:c r="J66" s="37" t="str">
        <x:v>Tropical &amp; Subtropical Dry Broadleaf Forests|2024</x:v>
      </x:c>
      <x:c r="K66" s="37" t="str">
        <x:v>Area × biological stock; VM0047 Eq.(3); PB separately by Biome×Cohort</x:v>
      </x:c>
      <x:c r="Q66" s="164" t="n">
        <x:f aca="0">IFERROR(SUMIF(S15_Source_Strata!$B$4:$B$49,$G66,S15_Source_Strata!$R$4:$R$49),0)</x:f>
        <x:v>0</x:v>
      </x:c>
      <x:c r="R66" s="164" t="n">
        <x:f aca="0">IFERROR(SUMIF(S15_Source_Strata!$B$4:$B$49,$G66,S15_Source_Strata!$S$4:$S$49),0)</x:f>
        <x:v>0</x:v>
      </x:c>
      <x:c r="S66" s="164" t="n">
        <x:f aca="0">IFERROR(SUMIF(S15_Source_Strata!$B$4:$B$49,$G66,S15_Source_Strata!$T$4:$T$49),0)</x:f>
        <x:v>0</x:v>
      </x:c>
      <x:c r="T66" s="164" t="n">
        <x:f aca="0">IFERROR(SUMIF(S15_Source_Strata!$B$4:$B$49,$G66,S15_Source_Strata!$U$4:$U$49),0)</x:f>
        <x:v>0</x:v>
      </x:c>
      <x:c r="U66" s="164" t="n">
        <x:f aca="0">IFERROR(SUMIF(S15_Source_Strata!$B$4:$B$49,$G66,S15_Source_Strata!$V$4:$V$49),0)</x:f>
        <x:v>0</x:v>
      </x:c>
      <x:c r="V66" s="164" t="n">
        <x:f aca="0">IFERROR(SUMIF(S15_Source_Strata!$B$4:$B$49,$G66,S15_Source_Strata!$W$4:$W$49),0)</x:f>
        <x:v>0.07152597803014582</x:v>
      </x:c>
      <x:c r="W66" s="164" t="n">
        <x:f aca="0">IFERROR(SUMIF(S15_Source_Strata!$B$4:$B$49,$G66,S15_Source_Strata!$X$4:$X$49),0)</x:f>
        <x:v>0.864336246888579</x:v>
      </x:c>
      <x:c r="X66" s="164" t="n">
        <x:f aca="0">IFERROR(SUMIF(S15_Source_Strata!$B$4:$B$49,$G66,S15_Source_Strata!$Y$4:$Y$49),0)</x:f>
        <x:v>3.303655276665658</x:v>
      </x:c>
      <x:c r="Y66" s="164" t="n">
        <x:f aca="0">IFERROR(SUMIF(S15_Source_Strata!$B$4:$B$49,$G66,S15_Source_Strata!$Z$4:$Z$49),0)</x:f>
        <x:v>7.970157779779097</x:v>
      </x:c>
      <x:c r="Z66" s="164" t="n">
        <x:f aca="0">IFERROR(SUMIF(S15_Source_Strata!$B$4:$B$49,$G66,S15_Source_Strata!$AA$4:$AA$49),0)</x:f>
        <x:v>14.923899156004842</x:v>
      </x:c>
      <x:c r="AA66" s="164" t="n">
        <x:f aca="0">IFERROR(SUMIF(S15_Source_Strata!$B$4:$B$49,$G66,S15_Source_Strata!$AB$4:$AB$49),0)</x:f>
        <x:v>23.885588624728054</x:v>
      </x:c>
      <x:c r="AB66" s="164" t="n">
        <x:f aca="0">IFERROR(SUMIF(S15_Source_Strata!$B$4:$B$49,$G66,S15_Source_Strata!$AC$4:$AC$49),0)</x:f>
        <x:v>34.39633727340892</x:v>
      </x:c>
      <x:c r="AC66" s="164" t="n">
        <x:f aca="0">IFERROR(SUMIF(S15_Source_Strata!$B$4:$B$49,$G66,S15_Source_Strata!$AD$4:$AD$49),0)</x:f>
        <x:v>45.94628773183691</x:v>
      </x:c>
      <x:c r="AD66" s="164" t="n">
        <x:f aca="0">IFERROR(SUMIF(S15_Source_Strata!$B$4:$B$49,$G66,S15_Source_Strata!$AE$4:$AE$49),0)</x:f>
        <x:v>58.054373014376885</x:v>
      </x:c>
      <x:c r="AE66" s="164" t="n">
        <x:f aca="0">IFERROR(SUMIF(S15_Source_Strata!$B$4:$B$49,$G66,S15_Source_Strata!$AF$4:$AF$49),0)</x:f>
        <x:v>70.30903125532</x:v>
      </x:c>
      <x:c r="AF66" s="164" t="n">
        <x:f aca="0">IFERROR(SUMIF(S15_Source_Strata!$B$4:$B$49,$G66,S15_Source_Strata!$AG$4:$AG$49),0)</x:f>
        <x:v>82.38274135165359</x:v>
      </x:c>
      <x:c r="AG66" s="164" t="n">
        <x:f aca="0">IFERROR(SUMIF(S15_Source_Strata!$B$4:$B$49,$G66,S15_Source_Strata!$AH$4:$AH$49),0)</x:f>
        <x:v>94.03105915138642</x:v>
      </x:c>
      <x:c r="AH66" s="164" t="n">
        <x:f aca="0">IFERROR(SUMIF(S15_Source_Strata!$B$4:$B$49,$G66,S15_Source_Strata!$AI$4:$AI$49),0)</x:f>
        <x:v>105.08365805426325</x:v>
      </x:c>
      <x:c r="AI66" s="164" t="n">
        <x:f aca="0">IFERROR(SUMIF(S15_Source_Strata!$B$4:$B$49,$G66,S15_Source_Strata!$AJ$4:$AJ$49),0)</x:f>
        <x:v>115.43213857673612</x:v>
      </x:c>
      <x:c r="AJ66" s="164" t="n">
        <x:f aca="0">IFERROR(SUMIF(S15_Source_Strata!$B$4:$B$49,$G66,S15_Source_Strata!$AK$4:$AK$49),0)</x:f>
        <x:v>125.0173795374974</x:v>
      </x:c>
      <x:c r="AK66" s="164" t="n">
        <x:f aca="0">IFERROR(SUMIF(S15_Source_Strata!$B$4:$B$49,$G66,S15_Source_Strata!$AL$4:$AL$49),0)</x:f>
        <x:v>133.81788409296183</x:v>
      </x:c>
      <x:c r="AL66" s="165" t="n">
        <x:f aca="0">$F66*Q66</x:f>
        <x:v>0</x:v>
      </x:c>
      <x:c r="AM66" s="165" t="n">
        <x:f aca="0">$F66*R66</x:f>
        <x:v>0</x:v>
      </x:c>
      <x:c r="AN66" s="165" t="n">
        <x:f aca="0">$F66*S66</x:f>
        <x:v>0</x:v>
      </x:c>
      <x:c r="AO66" s="165" t="n">
        <x:f aca="0">$F66*T66</x:f>
        <x:v>0</x:v>
      </x:c>
      <x:c r="AP66" s="165" t="n">
        <x:f aca="0">$F66*U66</x:f>
        <x:v>0</x:v>
      </x:c>
      <x:c r="AQ66" s="165" t="n">
        <x:f aca="0">$F66*V66</x:f>
        <x:v>0.023524894174114963</x:v>
      </x:c>
      <x:c r="AR66" s="165" t="n">
        <x:f aca="0">$F66*W66</x:f>
        <x:v>0.2842801916016537</x:v>
      </x:c>
      <x:c r="AS66" s="165" t="n">
        <x:f aca="0">$F66*X66</x:f>
        <x:v>1.086572220495335</x:v>
      </x:c>
      <x:c r="AT66" s="165" t="n">
        <x:f aca="0">$F66*Y66</x:f>
        <x:v>2.621384893769345</x:v>
      </x:c>
      <x:c r="AU66" s="165" t="n">
        <x:f aca="0">$F66*Z66</x:f>
        <x:v>4.908470432409993</x:v>
      </x:c>
      <x:c r="AV66" s="165" t="n">
        <x:f aca="0">$F66*AA66</x:f>
        <x:v>7.855970098673057</x:v>
      </x:c>
      <x:c r="AW66" s="165" t="n">
        <x:f aca="0">$F66*AB66</x:f>
        <x:v>11.312955329224193</x:v>
      </x:c>
      <x:c r="AX66" s="165" t="n">
        <x:f aca="0">$F66*AC66</x:f>
        <x:v>15.111734035001161</x:v>
      </x:c>
      <x:c r="AY66" s="165" t="n">
        <x:f aca="0">$F66*AD66</x:f>
        <x:v>19.09408328442856</x:v>
      </x:c>
      <x:c r="AZ66" s="165" t="n">
        <x:f aca="0">$F66*AE66</x:f>
        <x:v>23.124640379874748</x:v>
      </x:c>
      <x:c r="BA66" s="165" t="n">
        <x:f aca="0">$F66*AF66</x:f>
        <x:v>27.09568363055887</x:v>
      </x:c>
      <x:c r="BB66" s="165" t="n">
        <x:f aca="0">$F66*AG66</x:f>
        <x:v>30.926815354890994</x:v>
      </x:c>
      <x:c r="BC66" s="165" t="n">
        <x:f aca="0">$F66*AH66</x:f>
        <x:v>34.562015134047186</x:v>
      </x:c>
      <x:c r="BD66" s="165" t="n">
        <x:f aca="0">$F66*AI66</x:f>
        <x:v>37.965630377888516</x:v>
      </x:c>
      <x:c r="BE66" s="165" t="n">
        <x:f aca="0">$F66*AJ66</x:f>
        <x:v>41.1182161298829</x:v>
      </x:c>
      <x:c r="BF66" s="165" t="n">
        <x:f aca="0">$F66*AK66</x:f>
        <x:v>44.01270207817515</x:v>
      </x:c>
    </x:row>
    <x:row r="67" ht="15" hidden="0" customHeight="1">
      <x:c r="A67" s="37" t="str">
        <x:v>Tropical &amp; Subtropical Dry Broadleaf Forests</x:v>
      </x:c>
      <x:c r="B67" s="37" t="s">
        <x:v>112</x:v>
      </x:c>
      <x:c r="C67" s="37" t="s">
        <x:v>549</x:v>
      </x:c>
      <x:c r="D67" s="37" t="n">
        <x:v>2020</x:v>
      </x:c>
      <x:c r="E67" s="100" t="n">
        <x:v>57</x:v>
      </x:c>
      <x:c r="F67" s="100" t="n">
        <x:v>81.3991276001619</x:v>
      </x:c>
      <x:c r="G67" s="37" t="s">
        <x:v>597</x:v>
      </x:c>
      <x:c r="H67" s="37" t="n">
        <x:v>1</x:v>
      </x:c>
      <x:c r="I67" s="37" t="s">
        <x:v>1180</x:v>
      </x:c>
      <x:c r="J67" s="37" t="str">
        <x:v>Tropical &amp; Subtropical Dry Broadleaf Forests|2020</x:v>
      </x:c>
      <x:c r="K67" s="37" t="str">
        <x:v>Area × biological stock; VM0047 Eq.(3); PB separately by Biome×Cohort</x:v>
      </x:c>
      <x:c r="Q67" s="164" t="n">
        <x:f aca="0">IFERROR(SUMIF(S15_Source_Strata!$B$4:$B$49,$G67,S15_Source_Strata!$R$4:$R$49),0)</x:f>
        <x:v>0</x:v>
      </x:c>
      <x:c r="R67" s="164" t="n">
        <x:f aca="0">IFERROR(SUMIF(S15_Source_Strata!$B$4:$B$49,$G67,S15_Source_Strata!$S$4:$S$49),0)</x:f>
        <x:v>0.17403433875284913</x:v>
      </x:c>
      <x:c r="S67" s="164" t="n">
        <x:f aca="0">IFERROR(SUMIF(S15_Source_Strata!$B$4:$B$49,$G67,S15_Source_Strata!$T$4:$T$49),0)</x:f>
        <x:v>1.808298795281121</x:v>
      </x:c>
      <x:c r="T67" s="164" t="n">
        <x:f aca="0">IFERROR(SUMIF(S15_Source_Strata!$B$4:$B$49,$G67,S15_Source_Strata!$U$4:$U$49),0)</x:f>
        <x:v>6.412198758790387</x:v>
      </x:c>
      <x:c r="U67" s="164" t="n">
        <x:f aca="0">IFERROR(SUMIF(S15_Source_Strata!$B$4:$B$49,$G67,S15_Source_Strata!$V$4:$V$49),0)</x:f>
        <x:v>14.786882216652412</x:v>
      </x:c>
      <x:c r="V67" s="164" t="n">
        <x:f aca="0">IFERROR(SUMIF(S15_Source_Strata!$B$4:$B$49,$G67,S15_Source_Strata!$W$4:$W$49),0)</x:f>
        <x:v>26.87739423749838</x:v>
      </x:c>
      <x:c r="W67" s="164" t="n">
        <x:f aca="0">IFERROR(SUMIF(S15_Source_Strata!$B$4:$B$49,$G67,S15_Source_Strata!$X$4:$X$49),0)</x:f>
        <x:v>42.13775763280599</x:v>
      </x:c>
      <x:c r="X67" s="164" t="n">
        <x:f aca="0">IFERROR(SUMIF(S15_Source_Strata!$B$4:$B$49,$G67,S15_Source_Strata!$Y$4:$Y$49),0)</x:f>
        <x:v>59.78260518527138</x:v>
      </x:c>
      <x:c r="Y67" s="164" t="n">
        <x:f aca="0">IFERROR(SUMIF(S15_Source_Strata!$B$4:$B$49,$G67,S15_Source_Strata!$Z$4:$Z$49),0)</x:f>
        <x:v>78.97824156766397</x:v>
      </x:c>
      <x:c r="Z67" s="164" t="n">
        <x:f aca="0">IFERROR(SUMIF(S15_Source_Strata!$B$4:$B$49,$G67,S15_Source_Strata!$AA$4:$AA$49),0)</x:f>
        <x:v>98.95602185390175</x:v>
      </x:c>
      <x:c r="AA67" s="164" t="n">
        <x:f aca="0">IFERROR(SUMIF(S15_Source_Strata!$B$4:$B$49,$G67,S15_Source_Strata!$AB$4:$AB$49),0)</x:f>
        <x:v>119.06758474596045</x:v>
      </x:c>
      <x:c r="AB67" s="164" t="n">
        <x:f aca="0">IFERROR(SUMIF(S15_Source_Strata!$B$4:$B$49,$G67,S15_Source_Strata!$AC$4:$AC$49),0)</x:f>
        <x:v>138.80222721919424</x:v>
      </x:c>
      <x:c r="AC67" s="164" t="n">
        <x:f aca="0">IFERROR(SUMIF(S15_Source_Strata!$B$4:$B$49,$G67,S15_Source_Strata!$AD$4:$AD$49),0)</x:f>
        <x:v>157.78228035374133</x:v>
      </x:c>
      <x:c r="AD67" s="164" t="n">
        <x:f aca="0">IFERROR(SUMIF(S15_Source_Strata!$B$4:$B$49,$G67,S15_Source_Strata!$AE$4:$AE$49),0)</x:f>
        <x:v>175.74738584896815</x:v>
      </x:c>
      <x:c r="AE67" s="164" t="n">
        <x:f aca="0">IFERROR(SUMIF(S15_Source_Strata!$B$4:$B$49,$G67,S15_Source_Strata!$AF$4:$AF$49),0)</x:f>
        <x:v>192.53453046988696</x:v>
      </x:c>
      <x:c r="AF67" s="164" t="n">
        <x:f aca="0">IFERROR(SUMIF(S15_Source_Strata!$B$4:$B$49,$G67,S15_Source_Strata!$AG$4:$AG$49),0)</x:f>
        <x:v>208.05780653042697</x:v>
      </x:c>
      <x:c r="AG67" s="164" t="n">
        <x:f aca="0">IFERROR(SUMIF(S15_Source_Strata!$B$4:$B$49,$G67,S15_Source_Strata!$AH$4:$AH$49),0)</x:f>
        <x:v>222.2899602891645</x:v>
      </x:c>
      <x:c r="AH67" s="164" t="n">
        <x:f aca="0">IFERROR(SUMIF(S15_Source_Strata!$B$4:$B$49,$G67,S15_Source_Strata!$AI$4:$AI$49),0)</x:f>
        <x:v>235.24661033512507</x:v>
      </x:c>
      <x:c r="AI67" s="164" t="n">
        <x:f aca="0">IFERROR(SUMIF(S15_Source_Strata!$B$4:$B$49,$G67,S15_Source_Strata!$AJ$4:$AJ$49),0)</x:f>
        <x:v>246.97333409785028</x:v>
      </x:c>
      <x:c r="AJ67" s="164" t="n">
        <x:f aca="0">IFERROR(SUMIF(S15_Source_Strata!$B$4:$B$49,$G67,S15_Source_Strata!$AK$4:$AK$49),0)</x:f>
        <x:v>257.53545652664155</x:v>
      </x:c>
      <x:c r="AK67" s="164" t="n">
        <x:f aca="0">IFERROR(SUMIF(S15_Source_Strata!$B$4:$B$49,$G67,S15_Source_Strata!$AL$4:$AL$49),0)</x:f>
        <x:v>267.01020723603096</x:v>
      </x:c>
      <x:c r="AL67" s="165" t="n">
        <x:f aca="0">$F67*Q67</x:f>
        <x:v>0</x:v>
      </x:c>
      <x:c r="AM67" s="165" t="n">
        <x:f aca="0">$F67*R67</x:f>
        <x:v>14.166243346952967</x:v>
      </x:c>
      <x:c r="AN67" s="165" t="n">
        <x:f aca="0">$F67*S67</x:f>
        <x:v>147.193944376307</x:v>
      </x:c>
      <x:c r="AO67" s="165" t="n">
        <x:f aca="0">$F67*T67</x:f>
        <x:v>521.9473849643784</x:v>
      </x:c>
      <x:c r="AP67" s="165" t="n">
        <x:f aca="0">$F67*U67</x:f>
        <x:v>1203.6393123618545</x:v>
      </x:c>
      <x:c r="AQ67" s="165" t="n">
        <x:f aca="0">$F67*V67</x:f>
        <x:v>2187.796443097987</x:v>
      </x:c>
      <x:c r="AR67" s="165" t="n">
        <x:f aca="0">$F67*W67</x:f>
        <x:v>3429.976710337471</x:v>
      </x:c>
      <x:c r="AS67" s="165" t="n">
        <x:f aca="0">$F67*X67</x:f>
        <x:v>4866.251907746006</x:v>
      </x:c>
      <x:c r="AT67" s="165" t="n">
        <x:f aca="0">$F67*Y67</x:f>
        <x:v>6428.759963002691</x:v>
      </x:c>
      <x:c r="AU67" s="165" t="n">
        <x:f aca="0">$F67*Z67</x:f>
        <x:v>8054.933849690158</x:v>
      </x:c>
      <x:c r="AV67" s="165" t="n">
        <x:f aca="0">$F67*AA67</x:f>
        <x:v>9691.997523779526</x:v>
      </x:c>
      <x:c r="AW67" s="165" t="n">
        <x:f aca="0">$F67*AB67</x:f>
        <x:v>11298.380204601857</x:v>
      </x:c>
      <x:c r="AX67" s="165" t="n">
        <x:f aca="0">$F67*AC67</x:f>
        <x:v>12843.33997155871</x:v>
      </x:c>
      <x:c r="AY67" s="165" t="n">
        <x:f aca="0">$F67*AD67</x:f>
        <x:v>14305.683886115046</x:v>
      </x:c>
      <x:c r="AZ67" s="165" t="n">
        <x:f aca="0">$F67*AE67</x:f>
        <x:v>15672.14281315559</x:v>
      </x:c>
      <x:c r="BA67" s="165" t="n">
        <x:f aca="0">$F67*AF67</x:f>
        <x:v>16935.723941980024</x:v>
      </x:c>
      <x:c r="BB67" s="165" t="n">
        <x:f aca="0">$F67*AG67</x:f>
        <x:v>18094.208841812622</x:v>
      </x:c>
      <x:c r="BC67" s="165" t="n">
        <x:f aca="0">$F67*AH67</x:f>
        <x:v>19148.86885217441</x:v>
      </x:c>
      <x:c r="BD67" s="165" t="n">
        <x:f aca="0">$F67*AI67</x:f>
        <x:v>20103.413936068333</x:v>
      </x:c>
      <x:c r="BE67" s="165" t="n">
        <x:f aca="0">$F67*AJ67</x:f>
        <x:v>20963.161487378045</x:v>
      </x:c>
      <x:c r="BF67" s="165" t="n">
        <x:f aca="0">$F67*AK67</x:f>
        <x:v>21734.39792935136</x:v>
      </x:c>
    </x:row>
    <x:row r="68" ht="15" hidden="0" customHeight="1">
      <x:c r="A68" s="37" t="str">
        <x:v>Tropical &amp; Subtropical Dry Broadleaf Forests</x:v>
      </x:c>
      <x:c r="B68" s="37" t="s">
        <x:v>112</x:v>
      </x:c>
      <x:c r="C68" s="37" t="s">
        <x:v>553</x:v>
      </x:c>
      <x:c r="D68" s="37" t="n">
        <x:v>2020</x:v>
      </x:c>
      <x:c r="E68" s="100" t="n">
        <x:v>274</x:v>
      </x:c>
      <x:c r="F68" s="100" t="n">
        <x:v>217.30988466208</x:v>
      </x:c>
      <x:c r="G68" s="37" t="s">
        <x:v>600</x:v>
      </x:c>
      <x:c r="H68" s="37" t="n">
        <x:v>6</x:v>
      </x:c>
      <x:c r="I68" s="37" t="s">
        <x:v>1180</x:v>
      </x:c>
      <x:c r="J68" s="37" t="str">
        <x:v>Tropical &amp; Subtropical Dry Broadleaf Forests|2020</x:v>
      </x:c>
      <x:c r="K68" s="37" t="str">
        <x:v>Area × biological stock; VM0047 Eq.(3); PB separately by Biome×Cohort</x:v>
      </x:c>
      <x:c r="Q68" s="164" t="n">
        <x:f aca="0">IFERROR(SUMIF(S15_Source_Strata!$B$4:$B$49,$G68,S15_Source_Strata!$R$4:$R$49),0)</x:f>
        <x:v>0</x:v>
      </x:c>
      <x:c r="R68" s="164" t="n">
        <x:f aca="0">IFERROR(SUMIF(S15_Source_Strata!$B$4:$B$49,$G68,S15_Source_Strata!$S$4:$S$49),0)</x:f>
        <x:v>0.903106223242759</x:v>
      </x:c>
      <x:c r="S68" s="164" t="n">
        <x:f aca="0">IFERROR(SUMIF(S15_Source_Strata!$B$4:$B$49,$G68,S15_Source_Strata!$T$4:$T$49),0)</x:f>
        <x:v>8.648458189598166</x:v>
      </x:c>
      <x:c r="T68" s="164" t="n">
        <x:f aca="0">IFERROR(SUMIF(S15_Source_Strata!$B$4:$B$49,$G68,S15_Source_Strata!$U$4:$U$49),0)</x:f>
        <x:v>28.777791332998564</x:v>
      </x:c>
      <x:c r="U68" s="164" t="n">
        <x:f aca="0">IFERROR(SUMIF(S15_Source_Strata!$B$4:$B$49,$G68,S15_Source_Strata!$V$4:$V$49),0)</x:f>
        <x:v>62.85213912787111</x:v>
      </x:c>
      <x:c r="V68" s="164" t="n">
        <x:f aca="0">IFERROR(SUMIF(S15_Source_Strata!$B$4:$B$49,$G68,S15_Source_Strata!$W$4:$W$49),0)</x:f>
        <x:v>108.89251301046454</x:v>
      </x:c>
      <x:c r="W68" s="164" t="n">
        <x:f aca="0">IFERROR(SUMIF(S15_Source_Strata!$B$4:$B$49,$G68,S15_Source_Strata!$X$4:$X$49),0)</x:f>
        <x:v>163.54853000971656</x:v>
      </x:c>
      <x:c r="X68" s="164" t="n">
        <x:f aca="0">IFERROR(SUMIF(S15_Source_Strata!$B$4:$B$49,$G68,S15_Source_Strata!$Y$4:$Y$49),0)</x:f>
        <x:v>223.2421520591125</x:v>
      </x:c>
      <x:c r="Y68" s="164" t="n">
        <x:f aca="0">IFERROR(SUMIF(S15_Source_Strata!$B$4:$B$49,$G68,S15_Source_Strata!$Z$4:$Z$49),0)</x:f>
        <x:v>284.8193244647194</x:v>
      </x:c>
      <x:c r="Z68" s="164" t="n">
        <x:f aca="0">IFERROR(SUMIF(S15_Source_Strata!$B$4:$B$49,$G68,S15_Source_Strata!$AA$4:$AA$49),0)</x:f>
        <x:v>345.80144455439995</x:v>
      </x:c>
      <x:c r="AA68" s="164" t="n">
        <x:f aca="0">IFERROR(SUMIF(S15_Source_Strata!$B$4:$B$49,$G68,S15_Source_Strata!$AB$4:$AB$49),0)</x:f>
        <x:v>404.4092667148908</x:v>
      </x:c>
      <x:c r="AB68" s="164" t="n">
        <x:f aca="0">IFERROR(SUMIF(S15_Source_Strata!$B$4:$B$49,$G68,S15_Source_Strata!$AC$4:$AC$49),0)</x:f>
        <x:v>459.4785477103983</x:v>
      </x:c>
      <x:c r="AC68" s="164" t="n">
        <x:f aca="0">IFERROR(SUMIF(S15_Source_Strata!$B$4:$B$49,$G68,S15_Source_Strata!$AD$4:$AD$49),0)</x:f>
        <x:v>510.3380321400082</x:v>
      </x:c>
      <x:c r="AD68" s="164" t="n">
        <x:f aca="0">IFERROR(SUMIF(S15_Source_Strata!$B$4:$B$49,$G68,S15_Source_Strata!$AE$4:$AE$49),0)</x:f>
        <x:v>556.6866644693121</x:v>
      </x:c>
      <x:c r="AE68" s="164" t="n">
        <x:f aca="0">IFERROR(SUMIF(S15_Source_Strata!$B$4:$B$49,$G68,S15_Source_Strata!$AF$4:$AF$49),0)</x:f>
        <x:v>598.4864574775127</x:v>
      </x:c>
      <x:c r="AF68" s="164" t="n">
        <x:f aca="0">IFERROR(SUMIF(S15_Source_Strata!$B$4:$B$49,$G68,S15_Source_Strata!$AG$4:$AG$49),0)</x:f>
        <x:v>635.8761854419288</x:v>
      </x:c>
      <x:c r="AG68" s="164" t="n">
        <x:f aca="0">IFERROR(SUMIF(S15_Source_Strata!$B$4:$B$49,$G68,S15_Source_Strata!$AH$4:$AH$49),0)</x:f>
        <x:v>669.1054837983523</x:v>
      </x:c>
      <x:c r="AH68" s="164" t="n">
        <x:f aca="0">IFERROR(SUMIF(S15_Source_Strata!$B$4:$B$49,$G68,S15_Source_Strata!$AI$4:$AI$49),0)</x:f>
        <x:v>698.4865785883239</x:v>
      </x:c>
      <x:c r="AI68" s="164" t="n">
        <x:f aca="0">IFERROR(SUMIF(S15_Source_Strata!$B$4:$B$49,$G68,S15_Source_Strata!$AJ$4:$AJ$49),0)</x:f>
        <x:v>724.3602102019207</x:v>
      </x:c>
      <x:c r="AJ68" s="164" t="n">
        <x:f aca="0">IFERROR(SUMIF(S15_Source_Strata!$B$4:$B$49,$G68,S15_Source_Strata!$AK$4:$AK$49),0)</x:f>
        <x:v>747.0724678077222</x:v>
      </x:c>
      <x:c r="AK68" s="164" t="n">
        <x:f aca="0">IFERROR(SUMIF(S15_Source_Strata!$B$4:$B$49,$G68,S15_Source_Strata!$AL$4:$AL$49),0)</x:f>
        <x:v>766.9597276855819</x:v>
      </x:c>
      <x:c r="AL68" s="165" t="n">
        <x:f aca="0">$F68*Q68</x:f>
        <x:v>0</x:v>
      </x:c>
      <x:c r="AM68" s="165" t="n">
        <x:f aca="0">$F68*R68</x:f>
        <x:v>196.25390921049063</x:v>
      </x:c>
      <x:c r="AN68" s="165" t="n">
        <x:f aca="0">$F68*S68</x:f>
        <x:v>1879.3954516863987</x:v>
      </x:c>
      <x:c r="AO68" s="165" t="n">
        <x:f aca="0">$F68*T68</x:f>
        <x:v>6253.698515403324</x:v>
      </x:c>
      <x:c r="AP68" s="165" t="n">
        <x:f aca="0">$F68*U68</x:f>
        <x:v>13658.391104642677</x:v>
      </x:c>
      <x:c r="AQ68" s="165" t="n">
        <x:f aca="0">$F68*V68</x:f>
        <x:v>23663.419442868097</x:v>
      </x:c>
      <x:c r="AR68" s="165" t="n">
        <x:f aca="0">$F68*W68</x:f>
        <x:v>35540.71219306424</x:v>
      </x:c>
      <x:c r="AS68" s="165" t="n">
        <x:f aca="0">$F68*X68</x:f>
        <x:v>48512.726315680266</x:v>
      </x:c>
      <x:c r="AT68" s="165" t="n">
        <x:f aca="0">$F68*Y68</x:f>
        <x:v>61894.05454895971</x:v>
      </x:c>
      <x:c r="AU68" s="165" t="n">
        <x:f aca="0">$F68*Z68</x:f>
        <x:v>75146.0720320973</x:v>
      </x:c>
      <x:c r="AV68" s="165" t="n">
        <x:f aca="0">$F68*AA68</x:f>
        <x:v>87882.13110608928</x:v>
      </x:c>
      <x:c r="AW68" s="165" t="n">
        <x:f aca="0">$F68*AB68</x:f>
        <x:v>99849.23020764667</x:v>
      </x:c>
      <x:c r="AX68" s="165" t="n">
        <x:f aca="0">$F68*AC68</x:f>
        <x:v>110901.49890301806</x:v>
      </x:c>
      <x:c r="AY68" s="165" t="n">
        <x:f aca="0">$F68*AD68</x:f>
        <x:v>120973.51484874423</x:v>
      </x:c>
      <x:c r="AZ68" s="165" t="n">
        <x:f aca="0">$F68*AE68</x:f>
        <x:v>130057.02304625513</x:v>
      </x:c>
      <x:c r="BA68" s="165" t="n">
        <x:f aca="0">$F68*AF68</x:f>
        <x:v>138182.18051774893</x:v>
      </x:c>
      <x:c r="BB68" s="165" t="n">
        <x:f aca="0">$F68*AG68</x:f>
        <x:v>145403.2355109852</x:v>
      </x:c>
      <x:c r="BC68" s="165" t="n">
        <x:f aca="0">$F68*AH68</x:f>
        <x:v>151788.03783103955</x:v>
      </x:c>
      <x:c r="BD68" s="165" t="n">
        <x:f aca="0">$F68*AI68</x:f>
        <x:v>157410.63373277942</x:v>
      </x:c>
      <x:c r="BE68" s="165" t="n">
        <x:f aca="0">$F68*AJ68</x:f>
        <x:v>162346.23181351158</x:v>
      </x:c>
      <x:c r="BF68" s="165" t="n">
        <x:f aca="0">$F68*AK68</x:f>
        <x:v>166667.9299638141</x:v>
      </x:c>
    </x:row>
    <x:row r="69" ht="15" hidden="0" customHeight="1">
      <x:c r="A69" s="37" t="str">
        <x:v>Tropical &amp; Subtropical Dry Broadleaf Forests</x:v>
      </x:c>
      <x:c r="B69" s="37" t="s">
        <x:v>112</x:v>
      </x:c>
      <x:c r="C69" s="37" t="s">
        <x:v>542</x:v>
      </x:c>
      <x:c r="D69" s="37" t="n">
        <x:v>2020</x:v>
      </x:c>
      <x:c r="E69" s="100" t="n">
        <x:v>213</x:v>
      </x:c>
      <x:c r="F69" s="100" t="n">
        <x:v>82.3271831242412</x:v>
      </x:c>
      <x:c r="G69" s="37" t="s">
        <x:v>584</x:v>
      </x:c>
      <x:c r="H69" s="37" t="n">
        <x:v>6</x:v>
      </x:c>
      <x:c r="I69" s="37" t="s">
        <x:v>1180</x:v>
      </x:c>
      <x:c r="J69" s="37" t="str">
        <x:v>Tropical &amp; Subtropical Dry Broadleaf Forests|2020</x:v>
      </x:c>
      <x:c r="K69" s="37" t="str">
        <x:v>Area × biological stock; VM0047 Eq.(3); PB separately by Biome×Cohort</x:v>
      </x:c>
      <x:c r="Q69" s="164" t="n">
        <x:f aca="0">IFERROR(SUMIF(S15_Source_Strata!$B$4:$B$49,$G69,S15_Source_Strata!$R$4:$R$49),0)</x:f>
        <x:v>0</x:v>
      </x:c>
      <x:c r="R69" s="164" t="n">
        <x:f aca="0">IFERROR(SUMIF(S15_Source_Strata!$B$4:$B$49,$G69,S15_Source_Strata!$S$4:$S$49),0)</x:f>
        <x:v>4.864334809348277</x:v>
      </x:c>
      <x:c r="S69" s="164" t="n">
        <x:f aca="0">IFERROR(SUMIF(S15_Source_Strata!$B$4:$B$49,$G69,S15_Source_Strata!$T$4:$T$49),0)</x:f>
        <x:v>47.64642321511868</x:v>
      </x:c>
      <x:c r="T69" s="164" t="n">
        <x:f aca="0">IFERROR(SUMIF(S15_Source_Strata!$B$4:$B$49,$G69,S15_Source_Strata!$U$4:$U$49),0)</x:f>
        <x:v>162.19659930981175</x:v>
      </x:c>
      <x:c r="U69" s="164" t="n">
        <x:f aca="0">IFERROR(SUMIF(S15_Source_Strata!$B$4:$B$49,$G69,S15_Source_Strata!$V$4:$V$49),0)</x:f>
        <x:v>362.08052090045476</x:v>
      </x:c>
      <x:c r="V69" s="164" t="n">
        <x:f aca="0">IFERROR(SUMIF(S15_Source_Strata!$B$4:$B$49,$G69,S15_Source_Strata!$W$4:$W$49),0)</x:f>
        <x:v>640.3257868594634</x:v>
      </x:c>
      <x:c r="W69" s="164" t="n">
        <x:f aca="0">IFERROR(SUMIF(S15_Source_Strata!$B$4:$B$49,$G69,S15_Source_Strata!$X$4:$X$49),0)</x:f>
        <x:v>980.1758140909432</x:v>
      </x:c>
      <x:c r="X69" s="164" t="n">
        <x:f aca="0">IFERROR(SUMIF(S15_Source_Strata!$B$4:$B$49,$G69,S15_Source_Strata!$Y$4:$Y$49),0)</x:f>
        <x:v>1361.4419761258862</x:v>
      </x:c>
      <x:c r="Y69" s="164" t="n">
        <x:f aca="0">IFERROR(SUMIF(S15_Source_Strata!$B$4:$B$49,$G69,S15_Source_Strata!$Z$4:$Z$49),0)</x:f>
        <x:v>1764.717370128752</x:v>
      </x:c>
      <x:c r="Z69" s="164" t="n">
        <x:f aca="0">IFERROR(SUMIF(S15_Source_Strata!$B$4:$B$49,$G69,S15_Source_Strata!$AA$4:$AA$49),0)</x:f>
        <x:v>2173.4861233025404</x:v>
      </x:c>
      <x:c r="AA69" s="164" t="n">
        <x:f aca="0">IFERROR(SUMIF(S15_Source_Strata!$B$4:$B$49,$G69,S15_Source_Strata!$AB$4:$AB$49),0)</x:f>
        <x:v>2574.853055526109</x:v>
      </x:c>
      <x:c r="AB69" s="164" t="n">
        <x:f aca="0">IFERROR(SUMIF(S15_Source_Strata!$B$4:$B$49,$G69,S15_Source_Strata!$AC$4:$AC$49),0)</x:f>
        <x:v>2959.4855495738652</x:v>
      </x:c>
      <x:c r="AC69" s="164" t="n">
        <x:f aca="0">IFERROR(SUMIF(S15_Source_Strata!$B$4:$B$49,$G69,S15_Source_Strata!$AD$4:$AD$49),0)</x:f>
        <x:v>3321.1708737247495</x:v>
      </x:c>
      <x:c r="AD69" s="164" t="n">
        <x:f aca="0">IFERROR(SUMIF(S15_Source_Strata!$B$4:$B$49,$G69,S15_Source_Strata!$AE$4:$AE$49),0)</x:f>
        <x:v>3656.2350860755096</x:v>
      </x:c>
      <x:c r="AE69" s="164" t="n">
        <x:f aca="0">IFERROR(SUMIF(S15_Source_Strata!$B$4:$B$49,$G69,S15_Source_Strata!$AF$4:$AF$49),0)</x:f>
        <x:v>3962.9594832538137</x:v>
      </x:c>
      <x:c r="AF69" s="164" t="n">
        <x:f aca="0">IFERROR(SUMIF(S15_Source_Strata!$B$4:$B$49,$G69,S15_Source_Strata!$AG$4:$AG$49),0)</x:f>
        <x:v>4241.060475229273</x:v>
      </x:c>
      <x:c r="AG69" s="164" t="n">
        <x:f aca="0">IFERROR(SUMIF(S15_Source_Strata!$B$4:$B$49,$G69,S15_Source_Strata!$AH$4:$AH$49),0)</x:f>
        <x:v>4491.257480302552</x:v>
      </x:c>
      <x:c r="AH69" s="164" t="n">
        <x:f aca="0">IFERROR(SUMIF(S15_Source_Strata!$B$4:$B$49,$G69,S15_Source_Strata!$AI$4:$AI$49),0)</x:f>
        <x:v>4714.931007111416</x:v>
      </x:c>
      <x:c r="AI69" s="164" t="n">
        <x:f aca="0">IFERROR(SUMIF(S15_Source_Strata!$B$4:$B$49,$G69,S15_Source_Strata!$AJ$4:$AJ$49),0)</x:f>
        <x:v>4913.862228644655</x:v>
      </x:c>
      <x:c r="AJ69" s="164" t="n">
        <x:f aca="0">IFERROR(SUMIF(S15_Source_Strata!$B$4:$B$49,$G69,S15_Source_Strata!$AK$4:$AK$49),0)</x:f>
        <x:v>5090.041167714973</x:v>
      </x:c>
      <x:c r="AK69" s="164" t="n">
        <x:f aca="0">IFERROR(SUMIF(S15_Source_Strata!$B$4:$B$49,$G69,S15_Source_Strata!$AL$4:$AL$49),0)</x:f>
        <x:v>5245.530021136775</x:v>
      </x:c>
      <x:c r="AL69" s="165" t="n">
        <x:f aca="0">$F69*Q69</x:f>
        <x:v>0</x:v>
      </x:c>
      <x:c r="AM69" s="165" t="n">
        <x:f aca="0">$F69*R69</x:f>
        <x:v>400.4669826268365</x:v>
      </x:c>
      <x:c r="AN69" s="165" t="n">
        <x:f aca="0">$F69*S69</x:f>
        <x:v>3922.595809246173</x:v>
      </x:c>
      <x:c r="AO69" s="165" t="n">
        <x:f aca="0">$F69*T69</x:f>
        <x:v>13353.189133508045</x:v>
      </x:c>
      <x:c r="AP69" s="165" t="n">
        <x:f aca="0">$F69*U69</x:f>
        <x:v>29809.069349892383</x:v>
      </x:c>
      <x:c r="AQ69" s="165" t="n">
        <x:f aca="0">$F69*V69</x:f>
        <x:v>52716.218313952886</x:v>
      </x:c>
      <x:c r="AR69" s="165" t="n">
        <x:f aca="0">$F69*W69</x:f>
        <x:v>80695.11374061728</x:v>
      </x:c>
      <x:c r="AS69" s="165" t="n">
        <x:f aca="0">$F69*X69</x:f>
        <x:v>112083.68288154465</x:v>
      </x:c>
      <x:c r="AT69" s="165" t="n">
        <x:f aca="0">$F69*Y69</x:f>
        <x:v>145284.2100931191</x:v>
      </x:c>
      <x:c r="AU69" s="165" t="n">
        <x:f aca="0">$F69*Z69</x:f>
        <x:v>178936.99009112534</x:v>
      </x:c>
      <x:c r="AV69" s="165" t="n">
        <x:f aca="0">$F69*AA69</x:f>
        <x:v>211980.39902030997</x:v>
      </x:c>
      <x:c r="AW69" s="165" t="n">
        <x:f aca="0">$F69*AB69</x:f>
        <x:v>243646.1087933132</x:v>
      </x:c>
      <x:c r="AX69" s="165" t="n">
        <x:f aca="0">$F69*AC69</x:f>
        <x:v>273422.6427080336</x:v>
      </x:c>
      <x:c r="AY69" s="165" t="n">
        <x:f aca="0">$F69*AD69</x:f>
        <x:v>301007.53547661426</x:v>
      </x:c>
      <x:c r="AZ69" s="165" t="n">
        <x:f aca="0">$F69*AE69</x:f>
        <x:v>326259.291091785</x:v>
      </x:c>
      <x:c r="BA69" s="165" t="n">
        <x:f aca="0">$F69*AF69</x:f>
        <x:v>349154.5623851818</x:v>
      </x:c>
      <x:c r="BB69" s="165" t="n">
        <x:f aca="0">$F69*AG69</x:f>
        <x:v>369752.5770389863</x:v>
      </x:c>
      <x:c r="BC69" s="165" t="n">
        <x:f aca="0">$F69*AH69</x:f>
        <x:v>388166.98844062455</x:v>
      </x:c>
      <x:c r="BD69" s="165" t="n">
        <x:f aca="0">$F69*AI69</x:f>
        <x:v>404544.4355449205</x:v>
      </x:c>
      <x:c r="BE69" s="165" t="n">
        <x:f aca="0">$F69*AJ69</x:f>
        <x:v>419048.7513243971</x:v>
      </x:c>
      <x:c r="BF69" s="165" t="n">
        <x:f aca="0">$F69*AK69</x:f>
        <x:v>431849.7106338321</x:v>
      </x:c>
    </x:row>
    <x:row r="70" ht="15" hidden="0" customHeight="1">
      <x:c r="A70" s="37" t="str">
        <x:v>Tropical &amp; Subtropical Dry Broadleaf Forests</x:v>
      </x:c>
      <x:c r="B70" s="37" t="s">
        <x:v>112</x:v>
      </x:c>
      <x:c r="C70" s="37" t="s">
        <x:v>549</x:v>
      </x:c>
      <x:c r="D70" s="37" t="n">
        <x:v>2021</x:v>
      </x:c>
      <x:c r="E70" s="100" t="n">
        <x:v>6</x:v>
      </x:c>
      <x:c r="F70" s="100" t="n">
        <x:v>8.7093</x:v>
      </x:c>
      <x:c r="G70" s="37" t="s">
        <x:v>613</x:v>
      </x:c>
      <x:c r="H70" s="37" t="n">
        <x:v>1</x:v>
      </x:c>
      <x:c r="I70" s="37" t="s">
        <x:v>1180</x:v>
      </x:c>
      <x:c r="J70" s="37" t="str">
        <x:v>Tropical &amp; Subtropical Dry Broadleaf Forests|2021</x:v>
      </x:c>
      <x:c r="K70" s="37" t="str">
        <x:v>Area × biological stock; VM0047 Eq.(3); PB separately by Biome×Cohort</x:v>
      </x:c>
      <x:c r="Q70" s="164" t="n">
        <x:f aca="0">IFERROR(SUMIF(S15_Source_Strata!$B$4:$B$49,$G70,S15_Source_Strata!$R$4:$R$49),0)</x:f>
        <x:v>0</x:v>
      </x:c>
      <x:c r="R70" s="164" t="n">
        <x:f aca="0">IFERROR(SUMIF(S15_Source_Strata!$B$4:$B$49,$G70,S15_Source_Strata!$S$4:$S$49),0)</x:f>
        <x:v>0</x:v>
      </x:c>
      <x:c r="S70" s="164" t="n">
        <x:f aca="0">IFERROR(SUMIF(S15_Source_Strata!$B$4:$B$49,$G70,S15_Source_Strata!$T$4:$T$49),0)</x:f>
        <x:v>0.17403433875284913</x:v>
      </x:c>
      <x:c r="T70" s="164" t="n">
        <x:f aca="0">IFERROR(SUMIF(S15_Source_Strata!$B$4:$B$49,$G70,S15_Source_Strata!$U$4:$U$49),0)</x:f>
        <x:v>1.808298795281121</x:v>
      </x:c>
      <x:c r="U70" s="164" t="n">
        <x:f aca="0">IFERROR(SUMIF(S15_Source_Strata!$B$4:$B$49,$G70,S15_Source_Strata!$V$4:$V$49),0)</x:f>
        <x:v>6.412198758790387</x:v>
      </x:c>
      <x:c r="V70" s="164" t="n">
        <x:f aca="0">IFERROR(SUMIF(S15_Source_Strata!$B$4:$B$49,$G70,S15_Source_Strata!$W$4:$W$49),0)</x:f>
        <x:v>14.786882216652412</x:v>
      </x:c>
      <x:c r="W70" s="164" t="n">
        <x:f aca="0">IFERROR(SUMIF(S15_Source_Strata!$B$4:$B$49,$G70,S15_Source_Strata!$X$4:$X$49),0)</x:f>
        <x:v>26.87739423749838</x:v>
      </x:c>
      <x:c r="X70" s="164" t="n">
        <x:f aca="0">IFERROR(SUMIF(S15_Source_Strata!$B$4:$B$49,$G70,S15_Source_Strata!$Y$4:$Y$49),0)</x:f>
        <x:v>42.13775763280599</x:v>
      </x:c>
      <x:c r="Y70" s="164" t="n">
        <x:f aca="0">IFERROR(SUMIF(S15_Source_Strata!$B$4:$B$49,$G70,S15_Source_Strata!$Z$4:$Z$49),0)</x:f>
        <x:v>59.78260518527138</x:v>
      </x:c>
      <x:c r="Z70" s="164" t="n">
        <x:f aca="0">IFERROR(SUMIF(S15_Source_Strata!$B$4:$B$49,$G70,S15_Source_Strata!$AA$4:$AA$49),0)</x:f>
        <x:v>78.97824156766397</x:v>
      </x:c>
      <x:c r="AA70" s="164" t="n">
        <x:f aca="0">IFERROR(SUMIF(S15_Source_Strata!$B$4:$B$49,$G70,S15_Source_Strata!$AB$4:$AB$49),0)</x:f>
        <x:v>98.95602185390175</x:v>
      </x:c>
      <x:c r="AB70" s="164" t="n">
        <x:f aca="0">IFERROR(SUMIF(S15_Source_Strata!$B$4:$B$49,$G70,S15_Source_Strata!$AC$4:$AC$49),0)</x:f>
        <x:v>119.06758474596045</x:v>
      </x:c>
      <x:c r="AC70" s="164" t="n">
        <x:f aca="0">IFERROR(SUMIF(S15_Source_Strata!$B$4:$B$49,$G70,S15_Source_Strata!$AD$4:$AD$49),0)</x:f>
        <x:v>138.80222721919424</x:v>
      </x:c>
      <x:c r="AD70" s="164" t="n">
        <x:f aca="0">IFERROR(SUMIF(S15_Source_Strata!$B$4:$B$49,$G70,S15_Source_Strata!$AE$4:$AE$49),0)</x:f>
        <x:v>157.78228035374133</x:v>
      </x:c>
      <x:c r="AE70" s="164" t="n">
        <x:f aca="0">IFERROR(SUMIF(S15_Source_Strata!$B$4:$B$49,$G70,S15_Source_Strata!$AF$4:$AF$49),0)</x:f>
        <x:v>175.74738584896815</x:v>
      </x:c>
      <x:c r="AF70" s="164" t="n">
        <x:f aca="0">IFERROR(SUMIF(S15_Source_Strata!$B$4:$B$49,$G70,S15_Source_Strata!$AG$4:$AG$49),0)</x:f>
        <x:v>192.53453046988696</x:v>
      </x:c>
      <x:c r="AG70" s="164" t="n">
        <x:f aca="0">IFERROR(SUMIF(S15_Source_Strata!$B$4:$B$49,$G70,S15_Source_Strata!$AH$4:$AH$49),0)</x:f>
        <x:v>208.05780653042697</x:v>
      </x:c>
      <x:c r="AH70" s="164" t="n">
        <x:f aca="0">IFERROR(SUMIF(S15_Source_Strata!$B$4:$B$49,$G70,S15_Source_Strata!$AI$4:$AI$49),0)</x:f>
        <x:v>222.2899602891645</x:v>
      </x:c>
      <x:c r="AI70" s="164" t="n">
        <x:f aca="0">IFERROR(SUMIF(S15_Source_Strata!$B$4:$B$49,$G70,S15_Source_Strata!$AJ$4:$AJ$49),0)</x:f>
        <x:v>235.24661033512507</x:v>
      </x:c>
      <x:c r="AJ70" s="164" t="n">
        <x:f aca="0">IFERROR(SUMIF(S15_Source_Strata!$B$4:$B$49,$G70,S15_Source_Strata!$AK$4:$AK$49),0)</x:f>
        <x:v>246.97333409785028</x:v>
      </x:c>
      <x:c r="AK70" s="164" t="n">
        <x:f aca="0">IFERROR(SUMIF(S15_Source_Strata!$B$4:$B$49,$G70,S15_Source_Strata!$AL$4:$AL$49),0)</x:f>
        <x:v>257.53545652664155</x:v>
      </x:c>
      <x:c r="AL70" s="165" t="n">
        <x:f aca="0">$F70*Q70</x:f>
        <x:v>0</x:v>
      </x:c>
      <x:c r="AM70" s="165" t="n">
        <x:f aca="0">$F70*R70</x:f>
        <x:v>0</x:v>
      </x:c>
      <x:c r="AN70" s="165" t="n">
        <x:f aca="0">$F70*S70</x:f>
        <x:v>1.515717266500189</x:v>
      </x:c>
      <x:c r="AO70" s="165" t="n">
        <x:f aca="0">$F70*T70</x:f>
        <x:v>15.749016697741867</x:v>
      </x:c>
      <x:c r="AP70" s="165" t="n">
        <x:f aca="0">$F70*U70</x:f>
        <x:v>55.84576264993312</x:v>
      </x:c>
      <x:c r="AQ70" s="165" t="n">
        <x:f aca="0">$F70*V70</x:f>
        <x:v>128.78339328949087</x:v>
      </x:c>
      <x:c r="AR70" s="165" t="n">
        <x:f aca="0">$F70*W70</x:f>
        <x:v>234.08328963264466</x:v>
      </x:c>
      <x:c r="AS70" s="165" t="n">
        <x:f aca="0">$F70*X70</x:f>
        <x:v>366.9903725513973</x:v>
      </x:c>
      <x:c r="AT70" s="165" t="n">
        <x:f aca="0">$F70*Y70</x:f>
        <x:v>520.664643340084</x:v>
      </x:c>
      <x:c r="AU70" s="165" t="n">
        <x:f aca="0">$F70*Z70</x:f>
        <x:v>687.8451992852558</x:v>
      </x:c>
      <x:c r="AV70" s="165" t="n">
        <x:f aca="0">$F70*AA70</x:f>
        <x:v>861.8376811321865</x:v>
      </x:c>
      <x:c r="AW70" s="165" t="n">
        <x:f aca="0">$F70*AB70</x:f>
        <x:v>1036.9953158279934</x:v>
      </x:c>
      <x:c r="AX70" s="165" t="n">
        <x:f aca="0">$F70*AC70</x:f>
        <x:v>1208.8702375201285</x:v>
      </x:c>
      <x:c r="AY70" s="165" t="n">
        <x:f aca="0">$F70*AD70</x:f>
        <x:v>1374.1732142848396</x:v>
      </x:c>
      <x:c r="AZ70" s="165" t="n">
        <x:f aca="0">$F70*AE70</x:f>
        <x:v>1530.6367075744183</x:v>
      </x:c>
      <x:c r="BA70" s="165" t="n">
        <x:f aca="0">$F70*AF70</x:f>
        <x:v>1676.8409862213866</x:v>
      </x:c>
      <x:c r="BB70" s="165" t="n">
        <x:f aca="0">$F70*AG70</x:f>
        <x:v>1812.0378544154478</x:v>
      </x:c>
      <x:c r="BC70" s="165" t="n">
        <x:f aca="0">$F70*AH70</x:f>
        <x:v>1935.9899511464205</x:v>
      </x:c>
      <x:c r="BD70" s="165" t="n">
        <x:f aca="0">$F70*AI70</x:f>
        <x:v>2048.833303391705</x:v>
      </x:c>
      <x:c r="BE70" s="165" t="n">
        <x:f aca="0">$F70*AJ70</x:f>
        <x:v>2150.9648586584076</x:v>
      </x:c>
      <x:c r="BF70" s="165" t="n">
        <x:f aca="0">$F70*AK70</x:f>
        <x:v>2242.9535515274792</x:v>
      </x:c>
    </x:row>
    <x:row r="71" ht="15" hidden="0" customHeight="1">
      <x:c r="A71" s="37" t="str">
        <x:v>Tropical &amp; Subtropical Dry Broadleaf Forests</x:v>
      </x:c>
      <x:c r="B71" s="37" t="s">
        <x:v>112</x:v>
      </x:c>
      <x:c r="C71" s="37" t="s">
        <x:v>553</x:v>
      </x:c>
      <x:c r="D71" s="37" t="n">
        <x:v>2021</x:v>
      </x:c>
      <x:c r="E71" s="100" t="n">
        <x:v>27</x:v>
      </x:c>
      <x:c r="F71" s="100" t="n">
        <x:v>26.563594455686</x:v>
      </x:c>
      <x:c r="G71" s="37" t="s">
        <x:v>616</x:v>
      </x:c>
      <x:c r="H71" s="37" t="n">
        <x:v>2</x:v>
      </x:c>
      <x:c r="I71" s="37" t="s">
        <x:v>1180</x:v>
      </x:c>
      <x:c r="J71" s="37" t="str">
        <x:v>Tropical &amp; Subtropical Dry Broadleaf Forests|2021</x:v>
      </x:c>
      <x:c r="K71" s="37" t="str">
        <x:v>Area × biological stock; VM0047 Eq.(3); PB separately by Biome×Cohort</x:v>
      </x:c>
      <x:c r="Q71" s="164" t="n">
        <x:f aca="0">IFERROR(SUMIF(S15_Source_Strata!$B$4:$B$49,$G71,S15_Source_Strata!$R$4:$R$49),0)</x:f>
        <x:v>0</x:v>
      </x:c>
      <x:c r="R71" s="164" t="n">
        <x:f aca="0">IFERROR(SUMIF(S15_Source_Strata!$B$4:$B$49,$G71,S15_Source_Strata!$S$4:$S$49),0)</x:f>
        <x:v>0</x:v>
      </x:c>
      <x:c r="S71" s="164" t="n">
        <x:f aca="0">IFERROR(SUMIF(S15_Source_Strata!$B$4:$B$49,$G71,S15_Source_Strata!$T$4:$T$49),0)</x:f>
        <x:v>0.12283356113190305</x:v>
      </x:c>
      <x:c r="T71" s="164" t="n">
        <x:f aca="0">IFERROR(SUMIF(S15_Source_Strata!$B$4:$B$49,$G71,S15_Source_Strata!$U$4:$U$49),0)</x:f>
        <x:v>1.4989505769070053</x:v>
      </x:c>
      <x:c r="U71" s="164" t="n">
        <x:f aca="0">IFERROR(SUMIF(S15_Source_Strata!$B$4:$B$49,$G71,S15_Source_Strata!$V$4:$V$49),0)</x:f>
        <x:v>5.735466422719506</x:v>
      </x:c>
      <x:c r="V71" s="164" t="n">
        <x:f aca="0">IFERROR(SUMIF(S15_Source_Strata!$B$4:$B$49,$G71,S15_Source_Strata!$W$4:$W$49),0)</x:f>
        <x:v>13.80887340940617</x:v>
      </x:c>
      <x:c r="W71" s="164" t="n">
        <x:f aca="0">IFERROR(SUMIF(S15_Source_Strata!$B$4:$B$49,$G71,S15_Source_Strata!$X$4:$X$49),0)</x:f>
        <x:v>25.770767265692307</x:v>
      </x:c>
      <x:c r="X71" s="164" t="n">
        <x:f aca="0">IFERROR(SUMIF(S15_Source_Strata!$B$4:$B$49,$G71,S15_Source_Strata!$Y$4:$Y$49),0)</x:f>
        <x:v>41.08811707245167</x:v>
      </x:c>
      <x:c r="Y71" s="164" t="n">
        <x:f aca="0">IFERROR(SUMIF(S15_Source_Strata!$B$4:$B$49,$G71,S15_Source_Strata!$Z$4:$Z$49),0)</x:f>
        <x:v>58.936105685083724</x:v>
      </x:c>
      <x:c r="Z71" s="164" t="n">
        <x:f aca="0">IFERROR(SUMIF(S15_Source_Strata!$B$4:$B$49,$G71,S15_Source_Strata!$AA$4:$AA$49),0)</x:f>
        <x:v>78.4246944693513</x:v>
      </x:c>
      <x:c r="AA71" s="164" t="n">
        <x:f aca="0">IFERROR(SUMIF(S15_Source_Strata!$B$4:$B$49,$G71,S15_Source_Strata!$AB$4:$AB$49),0)</x:f>
        <x:v>98.73296069056644</x:v>
      </x:c>
      <x:c r="AB71" s="164" t="n">
        <x:f aca="0">IFERROR(SUMIF(S15_Source_Strata!$B$4:$B$49,$G71,S15_Source_Strata!$AC$4:$AC$49),0)</x:f>
        <x:v>119.17300190182442</x:v>
      </x:c>
      <x:c r="AC71" s="164" t="n">
        <x:f aca="0">IFERROR(SUMIF(S15_Source_Strata!$B$4:$B$49,$G71,S15_Source_Strata!$AD$4:$AD$49),0)</x:f>
        <x:v>139.20862378390527</x:v>
      </x:c>
      <x:c r="AD71" s="164" t="n">
        <x:f aca="0">IFERROR(SUMIF(S15_Source_Strata!$B$4:$B$49,$G71,S15_Source_Strata!$AE$4:$AE$49),0)</x:f>
        <x:v>158.44860426891884</x:v>
      </x:c>
      <x:c r="AE71" s="164" t="n">
        <x:f aca="0">IFERROR(SUMIF(S15_Source_Strata!$B$4:$B$49,$G71,S15_Source_Strata!$AF$4:$AF$49),0)</x:f>
        <x:v>176.62781196273997</x:v>
      </x:c>
      <x:c r="AF71" s="164" t="n">
        <x:f aca="0">IFERROR(SUMIF(S15_Source_Strata!$B$4:$B$49,$G71,S15_Source_Strata!$AG$4:$AG$49),0)</x:f>
        <x:v>193.58422058428138</x:v>
      </x:c>
      <x:c r="AG71" s="164" t="n">
        <x:f aca="0">IFERROR(SUMIF(S15_Source_Strata!$B$4:$B$49,$G71,S15_Source_Strata!$AH$4:$AH$49),0)</x:f>
        <x:v>209.23624513952902</x:v>
      </x:c>
      <x:c r="AH71" s="164" t="n">
        <x:f aca="0">IFERROR(SUMIF(S15_Source_Strata!$B$4:$B$49,$G71,S15_Source_Strata!$AI$4:$AI$49),0)</x:f>
        <x:v>223.5625415771482</x:v>
      </x:c>
      <x:c r="AI71" s="164" t="n">
        <x:f aca="0">IFERROR(SUMIF(S15_Source_Strata!$B$4:$B$49,$G71,S15_Source_Strata!$AJ$4:$AJ$49),0)</x:f>
        <x:v>236.58506751930585</x:v>
      </x:c>
      <x:c r="AJ71" s="164" t="n">
        <x:f aca="0">IFERROR(SUMIF(S15_Source_Strata!$B$4:$B$49,$G71,S15_Source_Strata!$AK$4:$AK$49),0)</x:f>
        <x:v>248.355467468293</x:v>
      </x:c>
      <x:c r="AK71" s="164" t="n">
        <x:f aca="0">IFERROR(SUMIF(S15_Source_Strata!$B$4:$B$49,$G71,S15_Source_Strata!$AL$4:$AL$49),0)</x:f>
        <x:v>258.94448483826704</x:v>
      </x:c>
      <x:c r="AL71" s="165" t="n">
        <x:f aca="0">$F71*Q71</x:f>
        <x:v>0</x:v>
      </x:c>
      <x:c r="AM71" s="165" t="n">
        <x:f aca="0">$F71*R71</x:f>
        <x:v>0</x:v>
      </x:c>
      <x:c r="AN71" s="165" t="n">
        <x:f aca="0">$F71*S71</x:f>
        <x:v>3.2629009034555874</x:v>
      </x:c>
      <x:c r="AO71" s="165" t="n">
        <x:f aca="0">$F71*T71</x:f>
        <x:v>39.81751523407426</x:v>
      </x:c>
      <x:c r="AP71" s="165" t="n">
        <x:f aca="0">$F71*U71</x:f>
        <x:v>152.35460406732508</x:v>
      </x:c>
      <x:c r="AQ71" s="165" t="n">
        <x:f aca="0">$F71*V71</x:f>
        <x:v>366.81331313737155</x:v>
      </x:c>
      <x:c r="AR71" s="165" t="n">
        <x:f aca="0">$F71*W71</x:f>
        <x:v>684.5642104577184</x:v>
      </x:c>
      <x:c r="AS71" s="165" t="n">
        <x:f aca="0">$F71*X71</x:f>
        <x:v>1091.4480788603546</x:v>
      </x:c>
      <x:c r="AT71" s="165" t="n">
        <x:f aca="0">$F71*Y71</x:f>
        <x:v>1565.5548102160142</x:v>
      </x:c>
      <x:c r="AU71" s="165" t="n">
        <x:f aca="0">$F71*Z71</x:f>
        <x:v>2083.2417791949288</x:v>
      </x:c>
      <x:c r="AV71" s="165" t="n">
        <x:f aca="0">$F71*AA71</x:f>
        <x:v>2622.7023271933945</x:v>
      </x:c>
      <x:c r="AW71" s="165" t="n">
        <x:f aca="0">$F71*AB71</x:f>
        <x:v>3165.6632925867602</x:v>
      </x:c>
      <x:c r="AX71" s="165" t="n">
        <x:f aca="0">$F71*AC71</x:f>
        <x:v>3697.8814269298246</x:v>
      </x:c>
      <x:c r="AY71" s="165" t="n">
        <x:f aca="0">$F71*AD71</x:f>
        <x:v>4208.964465869038</x:v>
      </x:c>
      <x:c r="AZ71" s="165" t="n">
        <x:f aca="0">$F71*AE71</x:f>
        <x:v>4691.869566573389</x:v>
      </x:c>
      <x:c r="BA71" s="165" t="n">
        <x:f aca="0">$F71*AF71</x:f>
        <x:v>5142.292728620912</x:v>
      </x:c>
      <x:c r="BB71" s="165" t="n">
        <x:f aca="0">$F71*AG71</x:f>
        <x:v>5558.06676131695</x:v>
      </x:c>
      <x:c r="BC71" s="165" t="n">
        <x:f aca="0">$F71*AH71</x:f>
        <x:v>5938.624689937806</x:v>
      </x:c>
      <x:c r="BD71" s="165" t="n">
        <x:f aca="0">$F71*AI71</x:f>
        <x:v>6284.549787853931</x:v>
      </x:c>
      <x:c r="BE71" s="165" t="n">
        <x:f aca="0">$F71*AJ71</x:f>
        <x:v>6597.213918680053</x:v>
      </x:c>
      <x:c r="BF71" s="165" t="n">
        <x:f aca="0">$F71*AK71</x:f>
        <x:v>6878.496281780258</x:v>
      </x:c>
    </x:row>
    <x:row r="72" ht="15" hidden="0" customHeight="1">
      <x:c r="A72" s="37" t="str">
        <x:v>Tropical &amp; Subtropical Dry Broadleaf Forests</x:v>
      </x:c>
      <x:c r="B72" s="37" t="s">
        <x:v>112</x:v>
      </x:c>
      <x:c r="C72" s="37" t="s">
        <x:v>542</x:v>
      </x:c>
      <x:c r="D72" s="37" t="n">
        <x:v>2021</x:v>
      </x:c>
      <x:c r="E72" s="100" t="n">
        <x:v>11</x:v>
      </x:c>
      <x:c r="F72" s="100" t="n">
        <x:v>4.2222</x:v>
      </x:c>
      <x:c r="G72" s="37" t="s">
        <x:v>1107</x:v>
      </x:c>
      <x:c r="H72" s="37" t="n">
        <x:v>0</x:v>
      </x:c>
      <x:c r="I72" s="37" t="s">
        <x:v>1185</x:v>
      </x:c>
      <x:c r="J72" s="37" t="str">
        <x:v>Tropical &amp; Subtropical Dry Broadleaf Forests|2021</x:v>
      </x:c>
      <x:c r="K72" s="37" t="str">
        <x:v>Area × biological stock; VM0047 Eq.(3); PB separately by Biome×Cohort</x:v>
      </x:c>
      <x:c r="Q72" s="164" t="n">
        <x:f aca="0">IFERROR(SUMIF(S15_Source_Strata!$B$4:$B$49,$G72,S15_Source_Strata!$R$4:$R$49),0)</x:f>
        <x:v>0</x:v>
      </x:c>
      <x:c r="R72" s="164" t="n">
        <x:f aca="0">IFERROR(SUMIF(S15_Source_Strata!$B$4:$B$49,$G72,S15_Source_Strata!$S$4:$S$49),0)</x:f>
        <x:v>0</x:v>
      </x:c>
      <x:c r="S72" s="164" t="n">
        <x:f aca="0">IFERROR(SUMIF(S15_Source_Strata!$B$4:$B$49,$G72,S15_Source_Strata!$T$4:$T$49),0)</x:f>
        <x:v>4.864334809348277</x:v>
      </x:c>
      <x:c r="T72" s="164" t="n">
        <x:f aca="0">IFERROR(SUMIF(S15_Source_Strata!$B$4:$B$49,$G72,S15_Source_Strata!$U$4:$U$49),0)</x:f>
        <x:v>47.64642321511868</x:v>
      </x:c>
      <x:c r="U72" s="164" t="n">
        <x:f aca="0">IFERROR(SUMIF(S15_Source_Strata!$B$4:$B$49,$G72,S15_Source_Strata!$V$4:$V$49),0)</x:f>
        <x:v>162.19659930981175</x:v>
      </x:c>
      <x:c r="V72" s="164" t="n">
        <x:f aca="0">IFERROR(SUMIF(S15_Source_Strata!$B$4:$B$49,$G72,S15_Source_Strata!$W$4:$W$49),0)</x:f>
        <x:v>362.08052090045476</x:v>
      </x:c>
      <x:c r="W72" s="164" t="n">
        <x:f aca="0">IFERROR(SUMIF(S15_Source_Strata!$B$4:$B$49,$G72,S15_Source_Strata!$X$4:$X$49),0)</x:f>
        <x:v>640.3257868594634</x:v>
      </x:c>
      <x:c r="X72" s="164" t="n">
        <x:f aca="0">IFERROR(SUMIF(S15_Source_Strata!$B$4:$B$49,$G72,S15_Source_Strata!$Y$4:$Y$49),0)</x:f>
        <x:v>980.1758140909432</x:v>
      </x:c>
      <x:c r="Y72" s="164" t="n">
        <x:f aca="0">IFERROR(SUMIF(S15_Source_Strata!$B$4:$B$49,$G72,S15_Source_Strata!$Z$4:$Z$49),0)</x:f>
        <x:v>1361.4419761258862</x:v>
      </x:c>
      <x:c r="Z72" s="164" t="n">
        <x:f aca="0">IFERROR(SUMIF(S15_Source_Strata!$B$4:$B$49,$G72,S15_Source_Strata!$AA$4:$AA$49),0)</x:f>
        <x:v>1764.717370128752</x:v>
      </x:c>
      <x:c r="AA72" s="164" t="n">
        <x:f aca="0">IFERROR(SUMIF(S15_Source_Strata!$B$4:$B$49,$G72,S15_Source_Strata!$AB$4:$AB$49),0)</x:f>
        <x:v>2173.4861233025404</x:v>
      </x:c>
      <x:c r="AB72" s="164" t="n">
        <x:f aca="0">IFERROR(SUMIF(S15_Source_Strata!$B$4:$B$49,$G72,S15_Source_Strata!$AC$4:$AC$49),0)</x:f>
        <x:v>2574.853055526109</x:v>
      </x:c>
      <x:c r="AC72" s="164" t="n">
        <x:f aca="0">IFERROR(SUMIF(S15_Source_Strata!$B$4:$B$49,$G72,S15_Source_Strata!$AD$4:$AD$49),0)</x:f>
        <x:v>2959.4855495738652</x:v>
      </x:c>
      <x:c r="AD72" s="164" t="n">
        <x:f aca="0">IFERROR(SUMIF(S15_Source_Strata!$B$4:$B$49,$G72,S15_Source_Strata!$AE$4:$AE$49),0)</x:f>
        <x:v>3321.1708737247495</x:v>
      </x:c>
      <x:c r="AE72" s="164" t="n">
        <x:f aca="0">IFERROR(SUMIF(S15_Source_Strata!$B$4:$B$49,$G72,S15_Source_Strata!$AF$4:$AF$49),0)</x:f>
        <x:v>3656.2350860755096</x:v>
      </x:c>
      <x:c r="AF72" s="164" t="n">
        <x:f aca="0">IFERROR(SUMIF(S15_Source_Strata!$B$4:$B$49,$G72,S15_Source_Strata!$AG$4:$AG$49),0)</x:f>
        <x:v>3962.9594832538137</x:v>
      </x:c>
      <x:c r="AG72" s="164" t="n">
        <x:f aca="0">IFERROR(SUMIF(S15_Source_Strata!$B$4:$B$49,$G72,S15_Source_Strata!$AH$4:$AH$49),0)</x:f>
        <x:v>4241.060475229273</x:v>
      </x:c>
      <x:c r="AH72" s="164" t="n">
        <x:f aca="0">IFERROR(SUMIF(S15_Source_Strata!$B$4:$B$49,$G72,S15_Source_Strata!$AI$4:$AI$49),0)</x:f>
        <x:v>4491.257480302552</x:v>
      </x:c>
      <x:c r="AI72" s="164" t="n">
        <x:f aca="0">IFERROR(SUMIF(S15_Source_Strata!$B$4:$B$49,$G72,S15_Source_Strata!$AJ$4:$AJ$49),0)</x:f>
        <x:v>4714.931007111416</x:v>
      </x:c>
      <x:c r="AJ72" s="164" t="n">
        <x:f aca="0">IFERROR(SUMIF(S15_Source_Strata!$B$4:$B$49,$G72,S15_Source_Strata!$AK$4:$AK$49),0)</x:f>
        <x:v>4913.862228644655</x:v>
      </x:c>
      <x:c r="AK72" s="164" t="n">
        <x:f aca="0">IFERROR(SUMIF(S15_Source_Strata!$B$4:$B$49,$G72,S15_Source_Strata!$AL$4:$AL$49),0)</x:f>
        <x:v>5090.041167714973</x:v>
      </x:c>
      <x:c r="AL72" s="165" t="n">
        <x:f aca="0">$F72*Q72</x:f>
        <x:v>0</x:v>
      </x:c>
      <x:c r="AM72" s="165" t="n">
        <x:f aca="0">$F72*R72</x:f>
        <x:v>0</x:v>
      </x:c>
      <x:c r="AN72" s="165" t="n">
        <x:f aca="0">$F72*S72</x:f>
        <x:v>20.538194432030295</x:v>
      </x:c>
      <x:c r="AO72" s="165" t="n">
        <x:f aca="0">$F72*T72</x:f>
        <x:v>201.1727280988741</x:v>
      </x:c>
      <x:c r="AP72" s="165" t="n">
        <x:f aca="0">$F72*U72</x:f>
        <x:v>684.8264816058871</x:v>
      </x:c>
      <x:c r="AQ72" s="165" t="n">
        <x:f aca="0">$F72*V72</x:f>
        <x:v>1528.7763753459</x:v>
      </x:c>
      <x:c r="AR72" s="165" t="n">
        <x:f aca="0">$F72*W72</x:f>
        <x:v>2703.583537278026</x:v>
      </x:c>
      <x:c r="AS72" s="165" t="n">
        <x:f aca="0">$F72*X72</x:f>
        <x:v>4138.49832225478</x:v>
      </x:c>
      <x:c r="AT72" s="165" t="n">
        <x:f aca="0">$F72*Y72</x:f>
        <x:v>5748.280311598716</x:v>
      </x:c>
      <x:c r="AU72" s="165" t="n">
        <x:f aca="0">$F72*Z72</x:f>
        <x:v>7450.989680157617</x:v>
      </x:c>
      <x:c r="AV72" s="165" t="n">
        <x:f aca="0">$F72*AA72</x:f>
        <x:v>9176.893109807987</x:v>
      </x:c>
      <x:c r="AW72" s="165" t="n">
        <x:f aca="0">$F72*AB72</x:f>
        <x:v>10871.544571042337</x:v>
      </x:c>
      <x:c r="AX72" s="165" t="n">
        <x:f aca="0">$F72*AC72</x:f>
        <x:v>12495.539887410774</x:v>
      </x:c>
      <x:c r="AY72" s="165" t="n">
        <x:f aca="0">$F72*AD72</x:f>
        <x:v>14022.647663040638</x:v>
      </x:c>
      <x:c r="AZ72" s="165" t="n">
        <x:f aca="0">$F72*AE72</x:f>
        <x:v>15437.355780428017</x:v>
      </x:c>
      <x:c r="BA72" s="165" t="n">
        <x:f aca="0">$F72*AF72</x:f>
        <x:v>16732.40753019425</x:v>
      </x:c>
      <x:c r="BB72" s="165" t="n">
        <x:f aca="0">$F72*AG72</x:f>
        <x:v>17906.605538513035</x:v>
      </x:c>
      <x:c r="BC72" s="165" t="n">
        <x:f aca="0">$F72*AH72</x:f>
        <x:v>18962.987333333433</x:v>
      </x:c>
      <x:c r="BD72" s="165" t="n">
        <x:f aca="0">$F72*AI72</x:f>
        <x:v>19907.38169822582</x:v>
      </x:c>
      <x:c r="BE72" s="165" t="n">
        <x:f aca="0">$F72*AJ72</x:f>
        <x:v>20747.309101783463</x:v>
      </x:c>
      <x:c r="BF72" s="165" t="n">
        <x:f aca="0">$F72*AK72</x:f>
        <x:v>21491.17181832616</x:v>
      </x:c>
    </x:row>
    <x:row r="73" ht="15" hidden="0" customHeight="1">
      <x:c r="A73" s="37" t="str">
        <x:v>Tropical &amp; Subtropical Dry Broadleaf Forests</x:v>
      </x:c>
      <x:c r="B73" s="37" t="s">
        <x:v>112</x:v>
      </x:c>
      <x:c r="C73" s="37" t="s">
        <x:v>549</x:v>
      </x:c>
      <x:c r="D73" s="37" t="n">
        <x:v>2022</x:v>
      </x:c>
      <x:c r="E73" s="100" t="n">
        <x:v>7</x:v>
      </x:c>
      <x:c r="F73" s="100" t="n">
        <x:v>6.8359</x:v>
      </x:c>
      <x:c r="G73" s="37" t="s">
        <x:v>621</x:v>
      </x:c>
      <x:c r="H73" s="37" t="n">
        <x:v>1</x:v>
      </x:c>
      <x:c r="I73" s="37" t="s">
        <x:v>1180</x:v>
      </x:c>
      <x:c r="J73" s="37" t="str">
        <x:v>Tropical &amp; Subtropical Dry Broadleaf Forests|2022</x:v>
      </x:c>
      <x:c r="K73" s="37" t="str">
        <x:v>Area × biological stock; VM0047 Eq.(3); PB separately by Biome×Cohort</x:v>
      </x:c>
      <x:c r="Q73" s="164" t="n">
        <x:f aca="0">IFERROR(SUMIF(S15_Source_Strata!$B$4:$B$49,$G73,S15_Source_Strata!$R$4:$R$49),0)</x:f>
        <x:v>0</x:v>
      </x:c>
      <x:c r="R73" s="164" t="n">
        <x:f aca="0">IFERROR(SUMIF(S15_Source_Strata!$B$4:$B$49,$G73,S15_Source_Strata!$S$4:$S$49),0)</x:f>
        <x:v>0</x:v>
      </x:c>
      <x:c r="S73" s="164" t="n">
        <x:f aca="0">IFERROR(SUMIF(S15_Source_Strata!$B$4:$B$49,$G73,S15_Source_Strata!$T$4:$T$49),0)</x:f>
        <x:v>0</x:v>
      </x:c>
      <x:c r="T73" s="164" t="n">
        <x:f aca="0">IFERROR(SUMIF(S15_Source_Strata!$B$4:$B$49,$G73,S15_Source_Strata!$U$4:$U$49),0)</x:f>
        <x:v>0.17403433875284913</x:v>
      </x:c>
      <x:c r="U73" s="164" t="n">
        <x:f aca="0">IFERROR(SUMIF(S15_Source_Strata!$B$4:$B$49,$G73,S15_Source_Strata!$V$4:$V$49),0)</x:f>
        <x:v>1.808298795281121</x:v>
      </x:c>
      <x:c r="V73" s="164" t="n">
        <x:f aca="0">IFERROR(SUMIF(S15_Source_Strata!$B$4:$B$49,$G73,S15_Source_Strata!$W$4:$W$49),0)</x:f>
        <x:v>6.412198758790387</x:v>
      </x:c>
      <x:c r="W73" s="164" t="n">
        <x:f aca="0">IFERROR(SUMIF(S15_Source_Strata!$B$4:$B$49,$G73,S15_Source_Strata!$X$4:$X$49),0)</x:f>
        <x:v>14.786882216652412</x:v>
      </x:c>
      <x:c r="X73" s="164" t="n">
        <x:f aca="0">IFERROR(SUMIF(S15_Source_Strata!$B$4:$B$49,$G73,S15_Source_Strata!$Y$4:$Y$49),0)</x:f>
        <x:v>26.87739423749838</x:v>
      </x:c>
      <x:c r="Y73" s="164" t="n">
        <x:f aca="0">IFERROR(SUMIF(S15_Source_Strata!$B$4:$B$49,$G73,S15_Source_Strata!$Z$4:$Z$49),0)</x:f>
        <x:v>42.13775763280599</x:v>
      </x:c>
      <x:c r="Z73" s="164" t="n">
        <x:f aca="0">IFERROR(SUMIF(S15_Source_Strata!$B$4:$B$49,$G73,S15_Source_Strata!$AA$4:$AA$49),0)</x:f>
        <x:v>59.78260518527138</x:v>
      </x:c>
      <x:c r="AA73" s="164" t="n">
        <x:f aca="0">IFERROR(SUMIF(S15_Source_Strata!$B$4:$B$49,$G73,S15_Source_Strata!$AB$4:$AB$49),0)</x:f>
        <x:v>78.97824156766397</x:v>
      </x:c>
      <x:c r="AB73" s="164" t="n">
        <x:f aca="0">IFERROR(SUMIF(S15_Source_Strata!$B$4:$B$49,$G73,S15_Source_Strata!$AC$4:$AC$49),0)</x:f>
        <x:v>98.95602185390175</x:v>
      </x:c>
      <x:c r="AC73" s="164" t="n">
        <x:f aca="0">IFERROR(SUMIF(S15_Source_Strata!$B$4:$B$49,$G73,S15_Source_Strata!$AD$4:$AD$49),0)</x:f>
        <x:v>119.06758474596045</x:v>
      </x:c>
      <x:c r="AD73" s="164" t="n">
        <x:f aca="0">IFERROR(SUMIF(S15_Source_Strata!$B$4:$B$49,$G73,S15_Source_Strata!$AE$4:$AE$49),0)</x:f>
        <x:v>138.80222721919424</x:v>
      </x:c>
      <x:c r="AE73" s="164" t="n">
        <x:f aca="0">IFERROR(SUMIF(S15_Source_Strata!$B$4:$B$49,$G73,S15_Source_Strata!$AF$4:$AF$49),0)</x:f>
        <x:v>157.78228035374133</x:v>
      </x:c>
      <x:c r="AF73" s="164" t="n">
        <x:f aca="0">IFERROR(SUMIF(S15_Source_Strata!$B$4:$B$49,$G73,S15_Source_Strata!$AG$4:$AG$49),0)</x:f>
        <x:v>175.74738584896815</x:v>
      </x:c>
      <x:c r="AG73" s="164" t="n">
        <x:f aca="0">IFERROR(SUMIF(S15_Source_Strata!$B$4:$B$49,$G73,S15_Source_Strata!$AH$4:$AH$49),0)</x:f>
        <x:v>192.53453046988696</x:v>
      </x:c>
      <x:c r="AH73" s="164" t="n">
        <x:f aca="0">IFERROR(SUMIF(S15_Source_Strata!$B$4:$B$49,$G73,S15_Source_Strata!$AI$4:$AI$49),0)</x:f>
        <x:v>208.05780653042697</x:v>
      </x:c>
      <x:c r="AI73" s="164" t="n">
        <x:f aca="0">IFERROR(SUMIF(S15_Source_Strata!$B$4:$B$49,$G73,S15_Source_Strata!$AJ$4:$AJ$49),0)</x:f>
        <x:v>222.2899602891645</x:v>
      </x:c>
      <x:c r="AJ73" s="164" t="n">
        <x:f aca="0">IFERROR(SUMIF(S15_Source_Strata!$B$4:$B$49,$G73,S15_Source_Strata!$AK$4:$AK$49),0)</x:f>
        <x:v>235.24661033512507</x:v>
      </x:c>
      <x:c r="AK73" s="164" t="n">
        <x:f aca="0">IFERROR(SUMIF(S15_Source_Strata!$B$4:$B$49,$G73,S15_Source_Strata!$AL$4:$AL$49),0)</x:f>
        <x:v>246.97333409785028</x:v>
      </x:c>
      <x:c r="AL73" s="165" t="n">
        <x:f aca="0">$F73*Q73</x:f>
        <x:v>0</x:v>
      </x:c>
      <x:c r="AM73" s="165" t="n">
        <x:f aca="0">$F73*R73</x:f>
        <x:v>0</x:v>
      </x:c>
      <x:c r="AN73" s="165" t="n">
        <x:f aca="0">$F73*S73</x:f>
        <x:v>0</x:v>
      </x:c>
      <x:c r="AO73" s="165" t="n">
        <x:f aca="0">$F73*T73</x:f>
        <x:v>1.1896813362806014</x:v>
      </x:c>
      <x:c r="AP73" s="165" t="n">
        <x:f aca="0">$F73*U73</x:f>
        <x:v>12.361349734662214</x:v>
      </x:c>
      <x:c r="AQ73" s="165" t="n">
        <x:f aca="0">$F73*V73</x:f>
        <x:v>43.8331494952152</x:v>
      </x:c>
      <x:c r="AR73" s="165" t="n">
        <x:f aca="0">$F73*W73</x:f>
        <x:v>101.08164814481422</x:v>
      </x:c>
      <x:c r="AS73" s="165" t="n">
        <x:f aca="0">$F73*X73</x:f>
        <x:v>183.73117926811517</x:v>
      </x:c>
      <x:c r="AT73" s="165" t="n">
        <x:f aca="0">$F73*Y73</x:f>
        <x:v>288.0494974020985</x:v>
      </x:c>
      <x:c r="AU73" s="165" t="n">
        <x:f aca="0">$F73*Z73</x:f>
        <x:v>408.6679107859966</x:v>
      </x:c>
      <x:c r="AV73" s="165" t="n">
        <x:f aca="0">$F73*AA73</x:f>
        <x:v>539.8873615323942</x:v>
      </x:c>
      <x:c r="AW73" s="165" t="n">
        <x:f aca="0">$F73*AB73</x:f>
        <x:v>676.453469791087</x:v>
      </x:c>
      <x:c r="AX73" s="165" t="n">
        <x:f aca="0">$F73*AC73</x:f>
        <x:v>813.934102564911</x:v>
      </x:c>
      <x:c r="AY73" s="165" t="n">
        <x:f aca="0">$F73*AD73</x:f>
        <x:v>948.8381450476899</x:v>
      </x:c>
      <x:c r="AZ73" s="165" t="n">
        <x:f aca="0">$F73*AE73</x:f>
        <x:v>1078.5838902701403</x:v>
      </x:c>
      <x:c r="BA73" s="165" t="n">
        <x:f aca="0">$F73*AF73</x:f>
        <x:v>1201.3915549249614</x:v>
      </x:c>
      <x:c r="BB73" s="165" t="n">
        <x:f aca="0">$F73*AG73</x:f>
        <x:v>1316.1467968391003</x:v>
      </x:c>
      <x:c r="BC73" s="165" t="n">
        <x:f aca="0">$F73*AH73</x:f>
        <x:v>1422.2623596613457</x:v>
      </x:c>
      <x:c r="BD73" s="165" t="n">
        <x:f aca="0">$F73*AI73</x:f>
        <x:v>1519.5519395406995</x:v>
      </x:c>
      <x:c r="BE73" s="165" t="n">
        <x:f aca="0">$F73*AJ73</x:f>
        <x:v>1608.1223035898813</x:v>
      </x:c>
      <x:c r="BF73" s="165" t="n">
        <x:f aca="0">$F73*AK73</x:f>
        <x:v>1688.2850145594946</x:v>
      </x:c>
    </x:row>
    <x:row r="74" ht="15" hidden="0" customHeight="1">
      <x:c r="A74" s="37" t="str">
        <x:v>Tropical &amp; Subtropical Dry Broadleaf Forests</x:v>
      </x:c>
      <x:c r="B74" s="37" t="s">
        <x:v>112</x:v>
      </x:c>
      <x:c r="C74" s="37" t="s">
        <x:v>553</x:v>
      </x:c>
      <x:c r="D74" s="37" t="n">
        <x:v>2022</x:v>
      </x:c>
      <x:c r="E74" s="100" t="n">
        <x:v>9</x:v>
      </x:c>
      <x:c r="F74" s="100" t="n">
        <x:v>6.6614</x:v>
      </x:c>
      <x:c r="G74" s="37" t="s">
        <x:v>1112</x:v>
      </x:c>
      <x:c r="H74" s="37" t="n">
        <x:v>0</x:v>
      </x:c>
      <x:c r="I74" s="37" t="s">
        <x:v>1185</x:v>
      </x:c>
      <x:c r="J74" s="37" t="str">
        <x:v>Tropical &amp; Subtropical Dry Broadleaf Forests|2022</x:v>
      </x:c>
      <x:c r="K74" s="37" t="str">
        <x:v>Area × biological stock; VM0047 Eq.(3); PB separately by Biome×Cohort</x:v>
      </x:c>
      <x:c r="Q74" s="164" t="n">
        <x:f aca="0">IFERROR(SUMIF(S15_Source_Strata!$B$4:$B$49,$G74,S15_Source_Strata!$R$4:$R$49),0)</x:f>
        <x:v>0</x:v>
      </x:c>
      <x:c r="R74" s="164" t="n">
        <x:f aca="0">IFERROR(SUMIF(S15_Source_Strata!$B$4:$B$49,$G74,S15_Source_Strata!$S$4:$S$49),0)</x:f>
        <x:v>0</x:v>
      </x:c>
      <x:c r="S74" s="164" t="n">
        <x:f aca="0">IFERROR(SUMIF(S15_Source_Strata!$B$4:$B$49,$G74,S15_Source_Strata!$T$4:$T$49),0)</x:f>
        <x:v>0</x:v>
      </x:c>
      <x:c r="T74" s="164" t="n">
        <x:f aca="0">IFERROR(SUMIF(S15_Source_Strata!$B$4:$B$49,$G74,S15_Source_Strata!$U$4:$U$49),0)</x:f>
        <x:v>0.6441032625151308</x:v>
      </x:c>
      <x:c r="U74" s="164" t="n">
        <x:f aca="0">IFERROR(SUMIF(S15_Source_Strata!$B$4:$B$49,$G74,S15_Source_Strata!$V$4:$V$49),0)</x:f>
        <x:v>6.274634952775498</x:v>
      </x:c>
      <x:c r="V74" s="164" t="n">
        <x:f aca="0">IFERROR(SUMIF(S15_Source_Strata!$B$4:$B$49,$G74,S15_Source_Strata!$W$4:$W$49),0)</x:f>
        <x:v>21.135569424368043</x:v>
      </x:c>
      <x:c r="W74" s="164" t="n">
        <x:f aca="0">IFERROR(SUMIF(S15_Source_Strata!$B$4:$B$49,$G74,S15_Source_Strata!$X$4:$X$49),0)</x:f>
        <x:v>46.61928721929594</x:v>
      </x:c>
      <x:c r="X74" s="164" t="n">
        <x:f aca="0">IFERROR(SUMIF(S15_Source_Strata!$B$4:$B$49,$G74,S15_Source_Strata!$Y$4:$Y$49),0)</x:f>
        <x:v>81.45290097807585</x:v>
      </x:c>
      <x:c r="Y74" s="164" t="n">
        <x:f aca="0">IFERROR(SUMIF(S15_Source_Strata!$B$4:$B$49,$G74,S15_Source_Strata!$Z$4:$Z$49),0)</x:f>
        <x:v>123.24721308749875</x:v>
      </x:c>
      <x:c r="Z74" s="164" t="n">
        <x:f aca="0">IFERROR(SUMIF(S15_Source_Strata!$B$4:$B$49,$G74,S15_Source_Strata!$AA$4:$AA$49),0)</x:f>
        <x:v>169.35150899149957</x:v>
      </x:c>
      <x:c r="AA74" s="164" t="n">
        <x:f aca="0">IFERROR(SUMIF(S15_Source_Strata!$B$4:$B$49,$G74,S15_Source_Strata!$AB$4:$AB$49),0)</x:f>
        <x:v>217.36351064090428</x:v>
      </x:c>
      <x:c r="AB74" s="164" t="n">
        <x:f aca="0">IFERROR(SUMIF(S15_Source_Strata!$B$4:$B$49,$G74,S15_Source_Strata!$AC$4:$AC$49),0)</x:f>
        <x:v>265.34468187995606</x:v>
      </x:c>
      <x:c r="AC74" s="164" t="n">
        <x:f aca="0">IFERROR(SUMIF(S15_Source_Strata!$B$4:$B$49,$G74,S15_Source_Strata!$AD$4:$AD$49),0)</x:f>
        <x:v>311.86119196428444</x:v>
      </x:c>
      <x:c r="AD74" s="164" t="n">
        <x:f aca="0">IFERROR(SUMIF(S15_Source_Strata!$B$4:$B$49,$G74,S15_Source_Strata!$AE$4:$AE$49),0)</x:f>
        <x:v>355.9372993896785</x:v>
      </x:c>
      <x:c r="AE74" s="164" t="n">
        <x:f aca="0">IFERROR(SUMIF(S15_Source_Strata!$B$4:$B$49,$G74,S15_Source_Strata!$AF$4:$AF$49),0)</x:f>
        <x:v>396.97433539378875</x:v>
      </x:c>
      <x:c r="AF74" s="164" t="n">
        <x:f aca="0">IFERROR(SUMIF(S15_Source_Strata!$B$4:$B$49,$G74,S15_Source_Strata!$AG$4:$AG$49),0)</x:f>
        <x:v>434.66423612327816</x:v>
      </x:c>
      <x:c r="AG74" s="164" t="n">
        <x:f aca="0">IFERROR(SUMIF(S15_Source_Strata!$B$4:$B$49,$G74,S15_Source_Strata!$AH$4:$AH$49),0)</x:f>
        <x:v>468.9113865813359</x:v>
      </x:c>
      <x:c r="AH74" s="164" t="n">
        <x:f aca="0">IFERROR(SUMIF(S15_Source_Strata!$B$4:$B$49,$G74,S15_Source_Strata!$AI$4:$AI$49),0)</x:f>
        <x:v>499.7678891038304</x:v>
      </x:c>
      <x:c r="AI74" s="164" t="n">
        <x:f aca="0">IFERROR(SUMIF(S15_Source_Strata!$B$4:$B$49,$G74,S15_Source_Strata!$AJ$4:$AJ$49),0)</x:f>
        <x:v>527.3828772183897</x:v>
      </x:c>
      <x:c r="AJ74" s="164" t="n">
        <x:f aca="0">IFERROR(SUMIF(S15_Source_Strata!$B$4:$B$49,$G74,S15_Source_Strata!$AK$4:$AK$49),0)</x:f>
        <x:v>551.9644413483702</x:v>
      </x:c>
      <x:c r="AK74" s="164" t="n">
        <x:f aca="0">IFERROR(SUMIF(S15_Source_Strata!$B$4:$B$49,$G74,S15_Source_Strata!$AL$4:$AL$49),0)</x:f>
        <x:v>573.7520089252565</x:v>
      </x:c>
      <x:c r="AL74" s="165" t="n">
        <x:f aca="0">$F74*Q74</x:f>
        <x:v>0</x:v>
      </x:c>
      <x:c r="AM74" s="165" t="n">
        <x:f aca="0">$F74*R74</x:f>
        <x:v>0</x:v>
      </x:c>
      <x:c r="AN74" s="165" t="n">
        <x:f aca="0">$F74*S74</x:f>
        <x:v>0</x:v>
      </x:c>
      <x:c r="AO74" s="165" t="n">
        <x:f aca="0">$F74*T74</x:f>
        <x:v>4.290629472918293</x:v>
      </x:c>
      <x:c r="AP74" s="165" t="n">
        <x:f aca="0">$F74*U74</x:f>
        <x:v>41.797853274418706</x:v>
      </x:c>
      <x:c r="AQ74" s="165" t="n">
        <x:f aca="0">$F74*V74</x:f>
        <x:v>140.7924821634853</x:v>
      </x:c>
      <x:c r="AR74" s="165" t="n">
        <x:f aca="0">$F74*W74</x:f>
        <x:v>310.549719882618</x:v>
      </x:c>
      <x:c r="AS74" s="165" t="n">
        <x:f aca="0">$F74*X74</x:f>
        <x:v>542.5903545753545</x:v>
      </x:c>
      <x:c r="AT74" s="165" t="n">
        <x:f aca="0">$F74*Y74</x:f>
        <x:v>820.9989852610643</x:v>
      </x:c>
      <x:c r="AU74" s="165" t="n">
        <x:f aca="0">$F74*Z74</x:f>
        <x:v>1128.1181419959753</x:v>
      </x:c>
      <x:c r="AV74" s="165" t="n">
        <x:f aca="0">$F74*AA74</x:f>
        <x:v>1447.9452897833198</x:v>
      </x:c>
      <x:c r="AW74" s="165" t="n">
        <x:f aca="0">$F74*AB74</x:f>
        <x:v>1767.5670638751394</x:v>
      </x:c>
      <x:c r="AX74" s="165" t="n">
        <x:f aca="0">$F74*AC74</x:f>
        <x:v>2077.4321441508846</x:v>
      </x:c>
      <x:c r="AY74" s="165" t="n">
        <x:f aca="0">$F74*AD74</x:f>
        <x:v>2371.0407261544046</x:v>
      </x:c>
      <x:c r="AZ74" s="165" t="n">
        <x:f aca="0">$F74*AE74</x:f>
        <x:v>2644.4048377921845</x:v>
      </x:c>
      <x:c r="BA74" s="165" t="n">
        <x:f aca="0">$F74*AF74</x:f>
        <x:v>2895.4723425116053</x:v>
      </x:c>
      <x:c r="BB74" s="165" t="n">
        <x:f aca="0">$F74*AG74</x:f>
        <x:v>3123.606310572911</x:v>
      </x:c>
      <x:c r="BC74" s="165" t="n">
        <x:f aca="0">$F74*AH74</x:f>
        <x:v>3329.153816476256</x:v>
      </x:c>
      <x:c r="BD74" s="165" t="n">
        <x:f aca="0">$F74*AI74</x:f>
        <x:v>3513.1082983025813</x:v>
      </x:c>
      <x:c r="BE74" s="165" t="n">
        <x:f aca="0">$F74*AJ74</x:f>
        <x:v>3676.8559295980335</x:v>
      </x:c>
      <x:c r="BF74" s="165" t="n">
        <x:f aca="0">$F74*AK74</x:f>
        <x:v>3821.991632254704</x:v>
      </x:c>
    </x:row>
    <x:row r="75" ht="15" hidden="0" customHeight="1">
      <x:c r="A75" s="37" t="str">
        <x:v>Tropical &amp; Subtropical Dry Broadleaf Forests</x:v>
      </x:c>
      <x:c r="B75" s="37" t="s">
        <x:v>112</x:v>
      </x:c>
      <x:c r="C75" s="37" t="s">
        <x:v>542</x:v>
      </x:c>
      <x:c r="D75" s="37" t="n">
        <x:v>2022</x:v>
      </x:c>
      <x:c r="E75" s="100" t="n">
        <x:v>4</x:v>
      </x:c>
      <x:c r="F75" s="100" t="n">
        <x:v>1.6353</x:v>
      </x:c>
      <x:c r="G75" s="37" t="s">
        <x:v>1115</x:v>
      </x:c>
      <x:c r="H75" s="37" t="n">
        <x:v>0</x:v>
      </x:c>
      <x:c r="I75" s="37" t="s">
        <x:v>1185</x:v>
      </x:c>
      <x:c r="J75" s="37" t="str">
        <x:v>Tropical &amp; Subtropical Dry Broadleaf Forests|2022</x:v>
      </x:c>
      <x:c r="K75" s="37" t="str">
        <x:v>Area × biological stock; VM0047 Eq.(3); PB separately by Biome×Cohort</x:v>
      </x:c>
      <x:c r="Q75" s="164" t="n">
        <x:f aca="0">IFERROR(SUMIF(S15_Source_Strata!$B$4:$B$49,$G75,S15_Source_Strata!$R$4:$R$49),0)</x:f>
        <x:v>0</x:v>
      </x:c>
      <x:c r="R75" s="164" t="n">
        <x:f aca="0">IFERROR(SUMIF(S15_Source_Strata!$B$4:$B$49,$G75,S15_Source_Strata!$S$4:$S$49),0)</x:f>
        <x:v>0</x:v>
      </x:c>
      <x:c r="S75" s="164" t="n">
        <x:f aca="0">IFERROR(SUMIF(S15_Source_Strata!$B$4:$B$49,$G75,S15_Source_Strata!$T$4:$T$49),0)</x:f>
        <x:v>0</x:v>
      </x:c>
      <x:c r="T75" s="164" t="n">
        <x:f aca="0">IFERROR(SUMIF(S15_Source_Strata!$B$4:$B$49,$G75,S15_Source_Strata!$U$4:$U$49),0)</x:f>
        <x:v>4.864334809348277</x:v>
      </x:c>
      <x:c r="U75" s="164" t="n">
        <x:f aca="0">IFERROR(SUMIF(S15_Source_Strata!$B$4:$B$49,$G75,S15_Source_Strata!$V$4:$V$49),0)</x:f>
        <x:v>47.64642321511868</x:v>
      </x:c>
      <x:c r="V75" s="164" t="n">
        <x:f aca="0">IFERROR(SUMIF(S15_Source_Strata!$B$4:$B$49,$G75,S15_Source_Strata!$W$4:$W$49),0)</x:f>
        <x:v>162.19659930981175</x:v>
      </x:c>
      <x:c r="W75" s="164" t="n">
        <x:f aca="0">IFERROR(SUMIF(S15_Source_Strata!$B$4:$B$49,$G75,S15_Source_Strata!$X$4:$X$49),0)</x:f>
        <x:v>362.08052090045476</x:v>
      </x:c>
      <x:c r="X75" s="164" t="n">
        <x:f aca="0">IFERROR(SUMIF(S15_Source_Strata!$B$4:$B$49,$G75,S15_Source_Strata!$Y$4:$Y$49),0)</x:f>
        <x:v>640.3257868594634</x:v>
      </x:c>
      <x:c r="Y75" s="164" t="n">
        <x:f aca="0">IFERROR(SUMIF(S15_Source_Strata!$B$4:$B$49,$G75,S15_Source_Strata!$Z$4:$Z$49),0)</x:f>
        <x:v>980.1758140909432</x:v>
      </x:c>
      <x:c r="Z75" s="164" t="n">
        <x:f aca="0">IFERROR(SUMIF(S15_Source_Strata!$B$4:$B$49,$G75,S15_Source_Strata!$AA$4:$AA$49),0)</x:f>
        <x:v>1361.4419761258862</x:v>
      </x:c>
      <x:c r="AA75" s="164" t="n">
        <x:f aca="0">IFERROR(SUMIF(S15_Source_Strata!$B$4:$B$49,$G75,S15_Source_Strata!$AB$4:$AB$49),0)</x:f>
        <x:v>1764.717370128752</x:v>
      </x:c>
      <x:c r="AB75" s="164" t="n">
        <x:f aca="0">IFERROR(SUMIF(S15_Source_Strata!$B$4:$B$49,$G75,S15_Source_Strata!$AC$4:$AC$49),0)</x:f>
        <x:v>2173.4861233025404</x:v>
      </x:c>
      <x:c r="AC75" s="164" t="n">
        <x:f aca="0">IFERROR(SUMIF(S15_Source_Strata!$B$4:$B$49,$G75,S15_Source_Strata!$AD$4:$AD$49),0)</x:f>
        <x:v>2574.853055526109</x:v>
      </x:c>
      <x:c r="AD75" s="164" t="n">
        <x:f aca="0">IFERROR(SUMIF(S15_Source_Strata!$B$4:$B$49,$G75,S15_Source_Strata!$AE$4:$AE$49),0)</x:f>
        <x:v>2959.4855495738652</x:v>
      </x:c>
      <x:c r="AE75" s="164" t="n">
        <x:f aca="0">IFERROR(SUMIF(S15_Source_Strata!$B$4:$B$49,$G75,S15_Source_Strata!$AF$4:$AF$49),0)</x:f>
        <x:v>3321.1708737247495</x:v>
      </x:c>
      <x:c r="AF75" s="164" t="n">
        <x:f aca="0">IFERROR(SUMIF(S15_Source_Strata!$B$4:$B$49,$G75,S15_Source_Strata!$AG$4:$AG$49),0)</x:f>
        <x:v>3656.2350860755096</x:v>
      </x:c>
      <x:c r="AG75" s="164" t="n">
        <x:f aca="0">IFERROR(SUMIF(S15_Source_Strata!$B$4:$B$49,$G75,S15_Source_Strata!$AH$4:$AH$49),0)</x:f>
        <x:v>3962.9594832538137</x:v>
      </x:c>
      <x:c r="AH75" s="164" t="n">
        <x:f aca="0">IFERROR(SUMIF(S15_Source_Strata!$B$4:$B$49,$G75,S15_Source_Strata!$AI$4:$AI$49),0)</x:f>
        <x:v>4241.060475229273</x:v>
      </x:c>
      <x:c r="AI75" s="164" t="n">
        <x:f aca="0">IFERROR(SUMIF(S15_Source_Strata!$B$4:$B$49,$G75,S15_Source_Strata!$AJ$4:$AJ$49),0)</x:f>
        <x:v>4491.257480302552</x:v>
      </x:c>
      <x:c r="AJ75" s="164" t="n">
        <x:f aca="0">IFERROR(SUMIF(S15_Source_Strata!$B$4:$B$49,$G75,S15_Source_Strata!$AK$4:$AK$49),0)</x:f>
        <x:v>4714.931007111416</x:v>
      </x:c>
      <x:c r="AK75" s="164" t="n">
        <x:f aca="0">IFERROR(SUMIF(S15_Source_Strata!$B$4:$B$49,$G75,S15_Source_Strata!$AL$4:$AL$49),0)</x:f>
        <x:v>4913.862228644655</x:v>
      </x:c>
      <x:c r="AL75" s="165" t="n">
        <x:f aca="0">$F75*Q75</x:f>
        <x:v>0</x:v>
      </x:c>
      <x:c r="AM75" s="165" t="n">
        <x:f aca="0">$F75*R75</x:f>
        <x:v>0</x:v>
      </x:c>
      <x:c r="AN75" s="165" t="n">
        <x:f aca="0">$F75*S75</x:f>
        <x:v>0</x:v>
      </x:c>
      <x:c r="AO75" s="165" t="n">
        <x:f aca="0">$F75*T75</x:f>
        <x:v>7.954646713727237</x:v>
      </x:c>
      <x:c r="AP75" s="165" t="n">
        <x:f aca="0">$F75*U75</x:f>
        <x:v>77.91619588368357</x:v>
      </x:c>
      <x:c r="AQ75" s="165" t="n">
        <x:f aca="0">$F75*V75</x:f>
        <x:v>265.2400988513351</x:v>
      </x:c>
      <x:c r="AR75" s="165" t="n">
        <x:f aca="0">$F75*W75</x:f>
        <x:v>592.1102758285136</x:v>
      </x:c>
      <x:c r="AS75" s="165" t="n">
        <x:f aca="0">$F75*X75</x:f>
        <x:v>1047.1247592512805</x:v>
      </x:c>
      <x:c r="AT75" s="165" t="n">
        <x:f aca="0">$F75*Y75</x:f>
        <x:v>1602.8815087829194</x:v>
      </x:c>
      <x:c r="AU75" s="165" t="n">
        <x:f aca="0">$F75*Z75</x:f>
        <x:v>2226.3660635586616</x:v>
      </x:c>
      <x:c r="AV75" s="165" t="n">
        <x:f aca="0">$F75*AA75</x:f>
        <x:v>2885.842315371548</x:v>
      </x:c>
      <x:c r="AW75" s="165" t="n">
        <x:f aca="0">$F75*AB75</x:f>
        <x:v>3554.3018574366442</x:v>
      </x:c>
      <x:c r="AX75" s="165" t="n">
        <x:f aca="0">$F75*AC75</x:f>
        <x:v>4210.657201701846</x:v>
      </x:c>
      <x:c r="AY75" s="165" t="n">
        <x:f aca="0">$F75*AD75</x:f>
        <x:v>4839.646719218142</x:v>
      </x:c>
      <x:c r="AZ75" s="165" t="n">
        <x:f aca="0">$F75*AE75</x:f>
        <x:v>5431.1107298020825</x:v>
      </x:c>
      <x:c r="BA75" s="165" t="n">
        <x:f aca="0">$F75*AF75</x:f>
        <x:v>5979.041236259281</x:v>
      </x:c>
      <x:c r="BB75" s="165" t="n">
        <x:f aca="0">$F75*AG75</x:f>
        <x:v>6480.6276429649615</x:v>
      </x:c>
      <x:c r="BC75" s="165" t="n">
        <x:f aca="0">$F75*AH75</x:f>
        <x:v>6935.40619514243</x:v>
      </x:c>
      <x:c r="BD75" s="165" t="n">
        <x:f aca="0">$F75*AI75</x:f>
        <x:v>7344.553357538763</x:v>
      </x:c>
      <x:c r="BE75" s="165" t="n">
        <x:f aca="0">$F75*AJ75</x:f>
        <x:v>7710.326675929298</x:v>
      </x:c>
      <x:c r="BF75" s="165" t="n">
        <x:f aca="0">$F75*AK75</x:f>
        <x:v>8035.638902502605</x:v>
      </x:c>
    </x:row>
    <x:row r="76" ht="15" hidden="0" customHeight="1">
      <x:c r="A76" s="37" t="str">
        <x:v>Tropical &amp; Subtropical Dry Broadleaf Forests</x:v>
      </x:c>
      <x:c r="B76" s="37" t="s">
        <x:v>112</x:v>
      </x:c>
      <x:c r="C76" s="37" t="s">
        <x:v>553</x:v>
      </x:c>
      <x:c r="D76" s="37" t="n">
        <x:v>2023</x:v>
      </x:c>
      <x:c r="E76" s="100" t="n">
        <x:v>2</x:v>
      </x:c>
      <x:c r="F76" s="100" t="n">
        <x:v>1.979</x:v>
      </x:c>
      <x:c r="G76" s="37" t="s">
        <x:v>623</x:v>
      </x:c>
      <x:c r="H76" s="37" t="n">
        <x:v>1</x:v>
      </x:c>
      <x:c r="I76" s="37" t="s">
        <x:v>1180</x:v>
      </x:c>
      <x:c r="J76" s="37" t="str">
        <x:v>Tropical &amp; Subtropical Dry Broadleaf Forests|2023</x:v>
      </x:c>
      <x:c r="K76" s="37" t="str">
        <x:v>Area × biological stock; VM0047 Eq.(3); PB separately by Biome×Cohort</x:v>
      </x:c>
      <x:c r="Q76" s="164" t="n">
        <x:f aca="0">IFERROR(SUMIF(S15_Source_Strata!$B$4:$B$49,$G76,S15_Source_Strata!$R$4:$R$49),0)</x:f>
        <x:v>0</x:v>
      </x:c>
      <x:c r="R76" s="164" t="n">
        <x:f aca="0">IFERROR(SUMIF(S15_Source_Strata!$B$4:$B$49,$G76,S15_Source_Strata!$S$4:$S$49),0)</x:f>
        <x:v>0</x:v>
      </x:c>
      <x:c r="S76" s="164" t="n">
        <x:f aca="0">IFERROR(SUMIF(S15_Source_Strata!$B$4:$B$49,$G76,S15_Source_Strata!$T$4:$T$49),0)</x:f>
        <x:v>0</x:v>
      </x:c>
      <x:c r="T76" s="164" t="n">
        <x:f aca="0">IFERROR(SUMIF(S15_Source_Strata!$B$4:$B$49,$G76,S15_Source_Strata!$U$4:$U$49),0)</x:f>
        <x:v>0</x:v>
      </x:c>
      <x:c r="U76" s="164" t="n">
        <x:f aca="0">IFERROR(SUMIF(S15_Source_Strata!$B$4:$B$49,$G76,S15_Source_Strata!$V$4:$V$49),0)</x:f>
        <x:v>0.6441032625151308</x:v>
      </x:c>
      <x:c r="V76" s="164" t="n">
        <x:f aca="0">IFERROR(SUMIF(S15_Source_Strata!$B$4:$B$49,$G76,S15_Source_Strata!$W$4:$W$49),0)</x:f>
        <x:v>6.274634952775497</x:v>
      </x:c>
      <x:c r="W76" s="164" t="n">
        <x:f aca="0">IFERROR(SUMIF(S15_Source_Strata!$B$4:$B$49,$G76,S15_Source_Strata!$X$4:$X$49),0)</x:f>
        <x:v>21.135569424368043</x:v>
      </x:c>
      <x:c r="X76" s="164" t="n">
        <x:f aca="0">IFERROR(SUMIF(S15_Source_Strata!$B$4:$B$49,$G76,S15_Source_Strata!$Y$4:$Y$49),0)</x:f>
        <x:v>46.619287219295934</x:v>
      </x:c>
      <x:c r="Y76" s="164" t="n">
        <x:f aca="0">IFERROR(SUMIF(S15_Source_Strata!$B$4:$B$49,$G76,S15_Source_Strata!$Z$4:$Z$49),0)</x:f>
        <x:v>81.45290097807585</x:v>
      </x:c>
      <x:c r="Z76" s="164" t="n">
        <x:f aca="0">IFERROR(SUMIF(S15_Source_Strata!$B$4:$B$49,$G76,S15_Source_Strata!$AA$4:$AA$49),0)</x:f>
        <x:v>123.24721308749872</x:v>
      </x:c>
      <x:c r="AA76" s="164" t="n">
        <x:f aca="0">IFERROR(SUMIF(S15_Source_Strata!$B$4:$B$49,$G76,S15_Source_Strata!$AB$4:$AB$49),0)</x:f>
        <x:v>169.35150899149954</x:v>
      </x:c>
      <x:c r="AB76" s="164" t="n">
        <x:f aca="0">IFERROR(SUMIF(S15_Source_Strata!$B$4:$B$49,$G76,S15_Source_Strata!$AC$4:$AC$49),0)</x:f>
        <x:v>217.36351064090425</x:v>
      </x:c>
      <x:c r="AC76" s="164" t="n">
        <x:f aca="0">IFERROR(SUMIF(S15_Source_Strata!$B$4:$B$49,$G76,S15_Source_Strata!$AD$4:$AD$49),0)</x:f>
        <x:v>265.344681879956</x:v>
      </x:c>
      <x:c r="AD76" s="164" t="n">
        <x:f aca="0">IFERROR(SUMIF(S15_Source_Strata!$B$4:$B$49,$G76,S15_Source_Strata!$AE$4:$AE$49),0)</x:f>
        <x:v>311.8611919642844</x:v>
      </x:c>
      <x:c r="AE76" s="164" t="n">
        <x:f aca="0">IFERROR(SUMIF(S15_Source_Strata!$B$4:$B$49,$G76,S15_Source_Strata!$AF$4:$AF$49),0)</x:f>
        <x:v>355.9372993896785</x:v>
      </x:c>
      <x:c r="AF76" s="164" t="n">
        <x:f aca="0">IFERROR(SUMIF(S15_Source_Strata!$B$4:$B$49,$G76,S15_Source_Strata!$AG$4:$AG$49),0)</x:f>
        <x:v>396.9743353937887</x:v>
      </x:c>
      <x:c r="AG76" s="164" t="n">
        <x:f aca="0">IFERROR(SUMIF(S15_Source_Strata!$B$4:$B$49,$G76,S15_Source_Strata!$AH$4:$AH$49),0)</x:f>
        <x:v>434.6642361232781</x:v>
      </x:c>
      <x:c r="AH76" s="164" t="n">
        <x:f aca="0">IFERROR(SUMIF(S15_Source_Strata!$B$4:$B$49,$G76,S15_Source_Strata!$AI$4:$AI$49),0)</x:f>
        <x:v>468.9113865813358</x:v>
      </x:c>
      <x:c r="AI76" s="164" t="n">
        <x:f aca="0">IFERROR(SUMIF(S15_Source_Strata!$B$4:$B$49,$G76,S15_Source_Strata!$AJ$4:$AJ$49),0)</x:f>
        <x:v>499.76788910383027</x:v>
      </x:c>
      <x:c r="AJ76" s="164" t="n">
        <x:f aca="0">IFERROR(SUMIF(S15_Source_Strata!$B$4:$B$49,$G76,S15_Source_Strata!$AK$4:$AK$49),0)</x:f>
        <x:v>527.3828772183897</x:v>
      </x:c>
      <x:c r="AK76" s="164" t="n">
        <x:f aca="0">IFERROR(SUMIF(S15_Source_Strata!$B$4:$B$49,$G76,S15_Source_Strata!$AL$4:$AL$49),0)</x:f>
        <x:v>551.9644413483702</x:v>
      </x:c>
      <x:c r="AL76" s="165" t="n">
        <x:f aca="0">$F76*Q76</x:f>
        <x:v>0</x:v>
      </x:c>
      <x:c r="AM76" s="165" t="n">
        <x:f aca="0">$F76*R76</x:f>
        <x:v>0</x:v>
      </x:c>
      <x:c r="AN76" s="165" t="n">
        <x:f aca="0">$F76*S76</x:f>
        <x:v>0</x:v>
      </x:c>
      <x:c r="AO76" s="165" t="n">
        <x:f aca="0">$F76*T76</x:f>
        <x:v>0</x:v>
      </x:c>
      <x:c r="AP76" s="165" t="n">
        <x:f aca="0">$F76*U76</x:f>
        <x:v>1.274680356517444</x:v>
      </x:c>
      <x:c r="AQ76" s="165" t="n">
        <x:f aca="0">$F76*V76</x:f>
        <x:v>12.41750257154271</x:v>
      </x:c>
      <x:c r="AR76" s="165" t="n">
        <x:f aca="0">$F76*W76</x:f>
        <x:v>41.82729189082436</x:v>
      </x:c>
      <x:c r="AS76" s="165" t="n">
        <x:f aca="0">$F76*X76</x:f>
        <x:v>92.25956940698666</x:v>
      </x:c>
      <x:c r="AT76" s="165" t="n">
        <x:f aca="0">$F76*Y76</x:f>
        <x:v>161.19529103561212</x:v>
      </x:c>
      <x:c r="AU76" s="165" t="n">
        <x:f aca="0">$F76*Z76</x:f>
        <x:v>243.90623470015998</x:v>
      </x:c>
      <x:c r="AV76" s="165" t="n">
        <x:f aca="0">$F76*AA76</x:f>
        <x:v>335.1466362941776</x:v>
      </x:c>
      <x:c r="AW76" s="165" t="n">
        <x:f aca="0">$F76*AB76</x:f>
        <x:v>430.1623875583495</x:v>
      </x:c>
      <x:c r="AX76" s="165" t="n">
        <x:f aca="0">$F76*AC76</x:f>
        <x:v>525.1171254404329</x:v>
      </x:c>
      <x:c r="AY76" s="165" t="n">
        <x:f aca="0">$F76*AD76</x:f>
        <x:v>617.1732988973189</x:v>
      </x:c>
      <x:c r="AZ76" s="165" t="n">
        <x:f aca="0">$F76*AE76</x:f>
        <x:v>704.3999154921738</x:v>
      </x:c>
      <x:c r="BA76" s="165" t="n">
        <x:f aca="0">$F76*AF76</x:f>
        <x:v>785.6122097443078</x:v>
      </x:c>
      <x:c r="BB76" s="165" t="n">
        <x:f aca="0">$F76*AG76</x:f>
        <x:v>860.2005232879674</x:v>
      </x:c>
      <x:c r="BC76" s="165" t="n">
        <x:f aca="0">$F76*AH76</x:f>
        <x:v>927.9756340444636</x:v>
      </x:c>
      <x:c r="BD76" s="165" t="n">
        <x:f aca="0">$F76*AI76</x:f>
        <x:v>989.0406525364801</x:v>
      </x:c>
      <x:c r="BE76" s="165" t="n">
        <x:f aca="0">$F76*AJ76</x:f>
        <x:v>1043.6907140151932</x:v>
      </x:c>
      <x:c r="BF76" s="165" t="n">
        <x:f aca="0">$F76*AK76</x:f>
        <x:v>1092.3376294284246</x:v>
      </x:c>
    </x:row>
    <x:row r="77" ht="15" hidden="0" customHeight="1">
      <x:c r="A77" s="37" t="str">
        <x:v>Tropical &amp; Subtropical Dry Broadleaf Forests</x:v>
      </x:c>
      <x:c r="B77" s="37" t="s">
        <x:v>112</x:v>
      </x:c>
      <x:c r="C77" s="37" t="s">
        <x:v>549</x:v>
      </x:c>
      <x:c r="D77" s="37" t="n">
        <x:v>2024</x:v>
      </x:c>
      <x:c r="E77" s="100" t="n">
        <x:v>1</x:v>
      </x:c>
      <x:c r="F77" s="100" t="n">
        <x:v>1.6662</x:v>
      </x:c>
      <x:c r="G77" s="37" t="s">
        <x:v>626</x:v>
      </x:c>
      <x:c r="H77" s="37" t="n">
        <x:v>1</x:v>
      </x:c>
      <x:c r="I77" s="37" t="s">
        <x:v>1180</x:v>
      </x:c>
      <x:c r="J77" s="37" t="str">
        <x:v>Tropical &amp; Subtropical Dry Broadleaf Forests|2024</x:v>
      </x:c>
      <x:c r="K77" s="37" t="str">
        <x:v>Area × biological stock; VM0047 Eq.(3); PB separately by Biome×Cohort</x:v>
      </x:c>
      <x:c r="Q77" s="164" t="n">
        <x:f aca="0">IFERROR(SUMIF(S15_Source_Strata!$B$4:$B$49,$G77,S15_Source_Strata!$R$4:$R$49),0)</x:f>
        <x:v>0</x:v>
      </x:c>
      <x:c r="R77" s="164" t="n">
        <x:f aca="0">IFERROR(SUMIF(S15_Source_Strata!$B$4:$B$49,$G77,S15_Source_Strata!$S$4:$S$49),0)</x:f>
        <x:v>0</x:v>
      </x:c>
      <x:c r="S77" s="164" t="n">
        <x:f aca="0">IFERROR(SUMIF(S15_Source_Strata!$B$4:$B$49,$G77,S15_Source_Strata!$T$4:$T$49),0)</x:f>
        <x:v>0</x:v>
      </x:c>
      <x:c r="T77" s="164" t="n">
        <x:f aca="0">IFERROR(SUMIF(S15_Source_Strata!$B$4:$B$49,$G77,S15_Source_Strata!$U$4:$U$49),0)</x:f>
        <x:v>0</x:v>
      </x:c>
      <x:c r="U77" s="164" t="n">
        <x:f aca="0">IFERROR(SUMIF(S15_Source_Strata!$B$4:$B$49,$G77,S15_Source_Strata!$V$4:$V$49),0)</x:f>
        <x:v>0</x:v>
      </x:c>
      <x:c r="V77" s="164" t="n">
        <x:f aca="0">IFERROR(SUMIF(S15_Source_Strata!$B$4:$B$49,$G77,S15_Source_Strata!$W$4:$W$49),0)</x:f>
        <x:v>0.17403433875284913</x:v>
      </x:c>
      <x:c r="W77" s="164" t="n">
        <x:f aca="0">IFERROR(SUMIF(S15_Source_Strata!$B$4:$B$49,$G77,S15_Source_Strata!$X$4:$X$49),0)</x:f>
        <x:v>1.808298795281121</x:v>
      </x:c>
      <x:c r="X77" s="164" t="n">
        <x:f aca="0">IFERROR(SUMIF(S15_Source_Strata!$B$4:$B$49,$G77,S15_Source_Strata!$Y$4:$Y$49),0)</x:f>
        <x:v>6.412198758790387</x:v>
      </x:c>
      <x:c r="Y77" s="164" t="n">
        <x:f aca="0">IFERROR(SUMIF(S15_Source_Strata!$B$4:$B$49,$G77,S15_Source_Strata!$Z$4:$Z$49),0)</x:f>
        <x:v>14.786882216652412</x:v>
      </x:c>
      <x:c r="Z77" s="164" t="n">
        <x:f aca="0">IFERROR(SUMIF(S15_Source_Strata!$B$4:$B$49,$G77,S15_Source_Strata!$AA$4:$AA$49),0)</x:f>
        <x:v>26.87739423749838</x:v>
      </x:c>
      <x:c r="AA77" s="164" t="n">
        <x:f aca="0">IFERROR(SUMIF(S15_Source_Strata!$B$4:$B$49,$G77,S15_Source_Strata!$AB$4:$AB$49),0)</x:f>
        <x:v>42.13775763280599</x:v>
      </x:c>
      <x:c r="AB77" s="164" t="n">
        <x:f aca="0">IFERROR(SUMIF(S15_Source_Strata!$B$4:$B$49,$G77,S15_Source_Strata!$AC$4:$AC$49),0)</x:f>
        <x:v>59.78260518527138</x:v>
      </x:c>
      <x:c r="AC77" s="164" t="n">
        <x:f aca="0">IFERROR(SUMIF(S15_Source_Strata!$B$4:$B$49,$G77,S15_Source_Strata!$AD$4:$AD$49),0)</x:f>
        <x:v>78.97824156766397</x:v>
      </x:c>
      <x:c r="AD77" s="164" t="n">
        <x:f aca="0">IFERROR(SUMIF(S15_Source_Strata!$B$4:$B$49,$G77,S15_Source_Strata!$AE$4:$AE$49),0)</x:f>
        <x:v>98.95602185390175</x:v>
      </x:c>
      <x:c r="AE77" s="164" t="n">
        <x:f aca="0">IFERROR(SUMIF(S15_Source_Strata!$B$4:$B$49,$G77,S15_Source_Strata!$AF$4:$AF$49),0)</x:f>
        <x:v>119.06758474596045</x:v>
      </x:c>
      <x:c r="AF77" s="164" t="n">
        <x:f aca="0">IFERROR(SUMIF(S15_Source_Strata!$B$4:$B$49,$G77,S15_Source_Strata!$AG$4:$AG$49),0)</x:f>
        <x:v>138.80222721919424</x:v>
      </x:c>
      <x:c r="AG77" s="164" t="n">
        <x:f aca="0">IFERROR(SUMIF(S15_Source_Strata!$B$4:$B$49,$G77,S15_Source_Strata!$AH$4:$AH$49),0)</x:f>
        <x:v>157.78228035374133</x:v>
      </x:c>
      <x:c r="AH77" s="164" t="n">
        <x:f aca="0">IFERROR(SUMIF(S15_Source_Strata!$B$4:$B$49,$G77,S15_Source_Strata!$AI$4:$AI$49),0)</x:f>
        <x:v>175.74738584896815</x:v>
      </x:c>
      <x:c r="AI77" s="164" t="n">
        <x:f aca="0">IFERROR(SUMIF(S15_Source_Strata!$B$4:$B$49,$G77,S15_Source_Strata!$AJ$4:$AJ$49),0)</x:f>
        <x:v>192.53453046988696</x:v>
      </x:c>
      <x:c r="AJ77" s="164" t="n">
        <x:f aca="0">IFERROR(SUMIF(S15_Source_Strata!$B$4:$B$49,$G77,S15_Source_Strata!$AK$4:$AK$49),0)</x:f>
        <x:v>208.05780653042697</x:v>
      </x:c>
      <x:c r="AK77" s="164" t="n">
        <x:f aca="0">IFERROR(SUMIF(S15_Source_Strata!$B$4:$B$49,$G77,S15_Source_Strata!$AL$4:$AL$49),0)</x:f>
        <x:v>222.2899602891645</x:v>
      </x:c>
      <x:c r="AL77" s="165" t="n">
        <x:f aca="0">$F77*Q77</x:f>
        <x:v>0</x:v>
      </x:c>
      <x:c r="AM77" s="165" t="n">
        <x:f aca="0">$F77*R77</x:f>
        <x:v>0</x:v>
      </x:c>
      <x:c r="AN77" s="165" t="n">
        <x:f aca="0">$F77*S77</x:f>
        <x:v>0</x:v>
      </x:c>
      <x:c r="AO77" s="165" t="n">
        <x:f aca="0">$F77*T77</x:f>
        <x:v>0</x:v>
      </x:c>
      <x:c r="AP77" s="165" t="n">
        <x:f aca="0">$F77*U77</x:f>
        <x:v>0</x:v>
      </x:c>
      <x:c r="AQ77" s="165" t="n">
        <x:f aca="0">$F77*V77</x:f>
        <x:v>0.2899760152299972</x:v>
      </x:c>
      <x:c r="AR77" s="165" t="n">
        <x:f aca="0">$F77*W77</x:f>
        <x:v>3.0129874526974034</x:v>
      </x:c>
      <x:c r="AS77" s="165" t="n">
        <x:f aca="0">$F77*X77</x:f>
        <x:v>10.684005571896542</x:v>
      </x:c>
      <x:c r="AT77" s="165" t="n">
        <x:f aca="0">$F77*Y77</x:f>
        <x:v>24.637903149386247</x:v>
      </x:c>
      <x:c r="AU77" s="165" t="n">
        <x:f aca="0">$F77*Z77</x:f>
        <x:v>44.7831142785198</x:v>
      </x:c>
      <x:c r="AV77" s="165" t="n">
        <x:f aca="0">$F77*AA77</x:f>
        <x:v>70.20993176778134</x:v>
      </x:c>
      <x:c r="AW77" s="165" t="n">
        <x:f aca="0">$F77*AB77</x:f>
        <x:v>99.60977675969916</x:v>
      </x:c>
      <x:c r="AX77" s="165" t="n">
        <x:f aca="0">$F77*AC77</x:f>
        <x:v>131.5935461000417</x:v>
      </x:c>
      <x:c r="AY77" s="165" t="n">
        <x:f aca="0">$F77*AD77</x:f>
        <x:v>164.88052361297107</x:v>
      </x:c>
      <x:c r="AZ77" s="165" t="n">
        <x:f aca="0">$F77*AE77</x:f>
        <x:v>198.39040970371929</x:v>
      </x:c>
      <x:c r="BA77" s="165" t="n">
        <x:f aca="0">$F77*AF77</x:f>
        <x:v>231.27227099262143</x:v>
      </x:c>
      <x:c r="BB77" s="165" t="n">
        <x:f aca="0">$F77*AG77</x:f>
        <x:v>262.8968355254038</x:v>
      </x:c>
      <x:c r="BC77" s="165" t="n">
        <x:f aca="0">$F77*AH77</x:f>
        <x:v>292.83029430155074</x:v>
      </x:c>
      <x:c r="BD77" s="165" t="n">
        <x:f aca="0">$F77*AI77</x:f>
        <x:v>320.80103466892564</x:v>
      </x:c>
      <x:c r="BE77" s="165" t="n">
        <x:f aca="0">$F77*AJ77</x:f>
        <x:v>346.66591724099743</x:v>
      </x:c>
      <x:c r="BF77" s="165" t="n">
        <x:f aca="0">$F77*AK77</x:f>
        <x:v>370.37953183380586</x:v>
      </x:c>
    </x:row>
    <x:row r="78" ht="15" hidden="0" customHeight="1">
      <x:c r="A78" s="37" t="str">
        <x:v>Tropical &amp; Subtropical Dry Broadleaf Forests</x:v>
      </x:c>
      <x:c r="B78" s="37" t="s">
        <x:v>113</x:v>
      </x:c>
      <x:c r="C78" s="37" t="s">
        <x:v>549</x:v>
      </x:c>
      <x:c r="D78" s="37" t="n">
        <x:v>2020</x:v>
      </x:c>
      <x:c r="E78" s="100" t="n">
        <x:v>118</x:v>
      </x:c>
      <x:c r="F78" s="100" t="n">
        <x:v>179.708109995953</x:v>
      </x:c>
      <x:c r="G78" s="37" t="s">
        <x:v>666</x:v>
      </x:c>
      <x:c r="H78" s="37" t="n">
        <x:v>3</x:v>
      </x:c>
      <x:c r="I78" s="37" t="s">
        <x:v>1180</x:v>
      </x:c>
      <x:c r="J78" s="37" t="str">
        <x:v>Tropical &amp; Subtropical Dry Broadleaf Forests|2020</x:v>
      </x:c>
      <x:c r="K78" s="37" t="str">
        <x:v>Area × biological stock; VM0047 Eq.(3); PB separately by Biome×Cohort</x:v>
      </x:c>
      <x:c r="Q78" s="164" t="n">
        <x:f aca="0">IFERROR(SUMIF(S15_Source_Strata!$B$4:$B$49,$G78,S15_Source_Strata!$R$4:$R$49),0)</x:f>
        <x:v>0</x:v>
      </x:c>
      <x:c r="R78" s="164" t="n">
        <x:f aca="0">IFERROR(SUMIF(S15_Source_Strata!$B$4:$B$49,$G78,S15_Source_Strata!$S$4:$S$49),0)</x:f>
        <x:v>0.31686407639688907</x:v>
      </x:c>
      <x:c r="S78" s="164" t="n">
        <x:f aca="0">IFERROR(SUMIF(S15_Source_Strata!$B$4:$B$49,$G78,S15_Source_Strata!$T$4:$T$49),0)</x:f>
        <x:v>3.1704853632150316</x:v>
      </x:c>
      <x:c r="T78" s="164" t="n">
        <x:f aca="0">IFERROR(SUMIF(S15_Source_Strata!$B$4:$B$49,$G78,S15_Source_Strata!$U$4:$U$49),0)</x:f>
        <x:v>10.995588567313957</x:v>
      </x:c>
      <x:c r="U78" s="164" t="n">
        <x:f aca="0">IFERROR(SUMIF(S15_Source_Strata!$B$4:$B$49,$G78,S15_Source_Strata!$V$4:$V$49),0)</x:f>
        <x:v>24.97714937480369</x:v>
      </x:c>
      <x:c r="V78" s="164" t="n">
        <x:f aca="0">IFERROR(SUMIF(S15_Source_Strata!$B$4:$B$49,$G78,S15_Source_Strata!$W$4:$W$49),0)</x:f>
        <x:v>44.911442364560735</x:v>
      </x:c>
      <x:c r="W78" s="164" t="n">
        <x:f aca="0">IFERROR(SUMIF(S15_Source_Strata!$B$4:$B$49,$G78,S15_Source_Strata!$X$4:$X$49),0)</x:f>
        <x:v>69.85423692385878</x:v>
      </x:c>
      <x:c r="X78" s="164" t="n">
        <x:f aca="0">IFERROR(SUMIF(S15_Source_Strata!$B$4:$B$49,$G78,S15_Source_Strata!$Y$4:$Y$49),0)</x:f>
        <x:v>98.52585313294092</x:v>
      </x:c>
      <x:c r="Y78" s="164" t="n">
        <x:f aca="0">IFERROR(SUMIF(S15_Source_Strata!$B$4:$B$49,$G78,S15_Source_Strata!$Z$4:$Z$49),0)</x:f>
        <x:v>129.6036126496396</x:v>
      </x:c>
      <x:c r="Z78" s="164" t="n">
        <x:f aca="0">IFERROR(SUMIF(S15_Source_Strata!$B$4:$B$49,$G78,S15_Source_Strata!$AA$4:$AA$49),0)</x:f>
        <x:v>161.88693316577204</x:v>
      </x:c>
      <x:c r="AA78" s="164" t="n">
        <x:f aca="0">IFERROR(SUMIF(S15_Source_Strata!$B$4:$B$49,$G78,S15_Source_Strata!$AB$4:$AB$49),0)</x:f>
        <x:v>194.37264413829567</x:v>
      </x:c>
      <x:c r="AB78" s="164" t="n">
        <x:f aca="0">IFERROR(SUMIF(S15_Source_Strata!$B$4:$B$49,$G78,S15_Source_Strata!$AC$4:$AC$49),0)</x:f>
        <x:v>226.2744651565714</x:v>
      </x:c>
      <x:c r="AC78" s="164" t="n">
        <x:f aca="0">IFERROR(SUMIF(S15_Source_Strata!$B$4:$B$49,$G78,S15_Source_Strata!$AD$4:$AD$49),0)</x:f>
        <x:v>257.0114348871354</x:v>
      </x:c>
      <x:c r="AD78" s="164" t="n">
        <x:f aca="0">IFERROR(SUMIF(S15_Source_Strata!$B$4:$B$49,$G78,S15_Source_Strata!$AE$4:$AE$49),0)</x:f>
        <x:v>286.18153000255734</x:v>
      </x:c>
      <x:c r="AE78" s="164" t="n">
        <x:f aca="0">IFERROR(SUMIF(S15_Source_Strata!$B$4:$B$49,$G78,S15_Source_Strata!$AF$4:$AF$49),0)</x:f>
        <x:v>313.5302864057612</x:v>
      </x:c>
      <x:c r="AF78" s="164" t="n">
        <x:f aca="0">IFERROR(SUMIF(S15_Source_Strata!$B$4:$B$49,$G78,S15_Source_Strata!$AG$4:$AG$49),0)</x:f>
        <x:v>338.91987861710254</x:v>
      </x:c>
      <x:c r="AG78" s="164" t="n">
        <x:f aca="0">IFERROR(SUMIF(S15_Source_Strata!$B$4:$B$49,$G78,S15_Source_Strata!$AH$4:$AH$49),0)</x:f>
        <x:v>362.301356339395</x:v>
      </x:c>
      <x:c r="AH78" s="164" t="n">
        <x:f aca="0">IFERROR(SUMIF(S15_Source_Strata!$B$4:$B$49,$G78,S15_Source_Strata!$AI$4:$AI$49),0)</x:f>
        <x:v>383.6910928397201</x:v>
      </x:c>
      <x:c r="AI78" s="164" t="n">
        <x:f aca="0">IFERROR(SUMIF(S15_Source_Strata!$B$4:$B$49,$G78,S15_Source_Strata!$AJ$4:$AJ$49),0)</x:f>
        <x:v>403.1515809893751</x:v>
      </x:c>
      <x:c r="AJ78" s="164" t="n">
        <x:f aca="0">IFERROR(SUMIF(S15_Source_Strata!$B$4:$B$49,$G78,S15_Source_Strata!$AK$4:$AK$49),0)</x:f>
        <x:v>420.77624459628015</x:v>
      </x:c>
      <x:c r="AK78" s="164" t="n">
        <x:f aca="0">IFERROR(SUMIF(S15_Source_Strata!$B$4:$B$49,$G78,S15_Source_Strata!$AL$4:$AL$49),0)</x:f>
        <x:v>436.6777316802021</x:v>
      </x:c>
      <x:c r="AL78" s="165" t="n">
        <x:f aca="0">$F78*Q78</x:f>
        <x:v>0</x:v>
      </x:c>
      <x:c r="AM78" s="165" t="n">
        <x:f aca="0">$F78*R78</x:f>
        <x:v>56.9430442948982</x:v>
      </x:c>
      <x:c r="AN78" s="165" t="n">
        <x:f aca="0">$F78*S78</x:f>
        <x:v>569.7619323932059</x:v>
      </x:c>
      <x:c r="AO78" s="165" t="n">
        <x:f aca="0">$F78*T78</x:f>
        <x:v>1975.9964397251</x:v>
      </x:c>
      <x:c r="AP78" s="165" t="n">
        <x:f aca="0">$F78*U78</x:f>
        <x:v>4488.59630723257</x:v>
      </x:c>
      <x:c r="AQ78" s="165" t="n">
        <x:f aca="0">$F78*V78</x:f>
        <x:v>8070.950424527385</x:v>
      </x:c>
      <x:c r="AR78" s="165" t="n">
        <x:f aca="0">$F78*W78</x:f>
        <x:v>12553.372892796175</x:v>
      </x:c>
      <x:c r="AS78" s="165" t="n">
        <x:f aca="0">$F78*X78</x:f>
        <x:v>17705.89485225966</x:v>
      </x:c>
      <x:c r="AT78" s="165" t="n">
        <x:f aca="0">$F78*Y78</x:f>
        <x:v>23290.820277914318</x:v>
      </x:c>
      <x:c r="AU78" s="165" t="n">
        <x:f aca="0">$F78*Z78</x:f>
        <x:v>29092.394792262054</x:v>
      </x:c>
      <x:c r="AV78" s="165" t="n">
        <x:f aca="0">$F78*AA78</x:f>
        <x:v>34930.34051300907</x:v>
      </x:c>
      <x:c r="AW78" s="165" t="n">
        <x:f aca="0">$F78*AB78</x:f>
        <x:v>40663.35647363257</x:v>
      </x:c>
      <x:c r="AX78" s="165" t="n">
        <x:f aca="0">$F78*AC78</x:f>
        <x:v>46187.03921091504</x:v>
      </x:c>
      <x:c r="AY78" s="165" t="n">
        <x:f aca="0">$F78*AD78</x:f>
        <x:v>51429.1418725097</x:v>
      </x:c>
      <x:c r="AZ78" s="165" t="n">
        <x:f aca="0">$F78*AE78</x:f>
        <x:v>56343.93519646919</x:v>
      </x:c>
      <x:c r="BA78" s="165" t="n">
        <x:f aca="0">$F78*AF78</x:f>
        <x:v>60906.6508263373</x:v>
      </x:c>
      <x:c r="BB78" s="165" t="n">
        <x:f aca="0">$F78*AG78</x:f>
        <x:v>65108.491996722965</x:v>
      </x:c>
      <x:c r="BC78" s="165" t="n">
        <x:f aca="0">$F78*AH78</x:f>
        <x:v>68952.40111650784</x:v>
      </x:c>
      <x:c r="BD78" s="165" t="n">
        <x:f aca="0">$F78*AI78</x:f>
        <x:v>72449.60866148098</x:v>
      </x:c>
      <x:c r="BE78" s="165" t="n">
        <x:f aca="0">$F78*AJ78</x:f>
        <x:v>75616.90364759233</x:v>
      </x:c>
      <x:c r="BF78" s="165" t="n">
        <x:f aca="0">$F78*AK78</x:f>
        <x:v>78474.52983756902</x:v>
      </x:c>
    </x:row>
    <x:row r="79" ht="15" hidden="0" customHeight="1">
      <x:c r="A79" s="37" t="str">
        <x:v>Tropical &amp; Subtropical Dry Broadleaf Forests</x:v>
      </x:c>
      <x:c r="B79" s="37" t="s">
        <x:v>113</x:v>
      </x:c>
      <x:c r="C79" s="37" t="s">
        <x:v>553</x:v>
      </x:c>
      <x:c r="D79" s="37" t="n">
        <x:v>2020</x:v>
      </x:c>
      <x:c r="E79" s="100" t="n">
        <x:v>317</x:v>
      </x:c>
      <x:c r="F79" s="100" t="n">
        <x:v>223.975275394577</x:v>
      </x:c>
      <x:c r="G79" s="37" t="s">
        <x:v>673</x:v>
      </x:c>
      <x:c r="H79" s="37" t="n">
        <x:v>10</x:v>
      </x:c>
      <x:c r="I79" s="37" t="s">
        <x:v>1180</x:v>
      </x:c>
      <x:c r="J79" s="37" t="str">
        <x:v>Tropical &amp; Subtropical Dry Broadleaf Forests|2020</x:v>
      </x:c>
      <x:c r="K79" s="37" t="str">
        <x:v>Area × biological stock; VM0047 Eq.(3); PB separately by Biome×Cohort</x:v>
      </x:c>
      <x:c r="Q79" s="164" t="n">
        <x:f aca="0">IFERROR(SUMIF(S15_Source_Strata!$B$4:$B$49,$G79,S15_Source_Strata!$R$4:$R$49),0)</x:f>
        <x:v>0</x:v>
      </x:c>
      <x:c r="R79" s="164" t="n">
        <x:f aca="0">IFERROR(SUMIF(S15_Source_Strata!$B$4:$B$49,$G79,S15_Source_Strata!$S$4:$S$49),0)</x:f>
        <x:v>1.6129983967558328</x:v>
      </x:c>
      <x:c r="S79" s="164" t="n">
        <x:f aca="0">IFERROR(SUMIF(S15_Source_Strata!$B$4:$B$49,$G79,S15_Source_Strata!$T$4:$T$49),0)</x:f>
        <x:v>16.04625110170183</x:v>
      </x:c>
      <x:c r="T79" s="164" t="n">
        <x:f aca="0">IFERROR(SUMIF(S15_Source_Strata!$B$4:$B$49,$G79,S15_Source_Strata!$U$4:$U$49),0)</x:f>
        <x:v>55.33980475771934</x:v>
      </x:c>
      <x:c r="U79" s="164" t="n">
        <x:f aca="0">IFERROR(SUMIF(S15_Source_Strata!$B$4:$B$49,$G79,S15_Source_Strata!$V$4:$V$49),0)</x:f>
        <x:v>125.02697438850228</x:v>
      </x:c>
      <x:c r="V79" s="164" t="n">
        <x:f aca="0">IFERROR(SUMIF(S15_Source_Strata!$B$4:$B$49,$G79,S15_Source_Strata!$W$4:$W$49),0)</x:f>
        <x:v>223.62721640526698</x:v>
      </x:c>
      <x:c r="W79" s="164" t="n">
        <x:f aca="0">IFERROR(SUMIF(S15_Source_Strata!$B$4:$B$49,$G79,S15_Source_Strata!$X$4:$X$49),0)</x:f>
        <x:v>346.0451356021678</x:v>
      </x:c>
      <x:c r="X79" s="164" t="n">
        <x:f aca="0">IFERROR(SUMIF(S15_Source_Strata!$B$4:$B$49,$G79,S15_Source_Strata!$Y$4:$Y$49),0)</x:f>
        <x:v>485.65867790702845</x:v>
      </x:c>
      <x:c r="Y79" s="164" t="n">
        <x:f aca="0">IFERROR(SUMIF(S15_Source_Strata!$B$4:$B$49,$G79,S15_Source_Strata!$Z$4:$Z$49),0)</x:f>
        <x:v>635.7870379054528</x:v>
      </x:c>
      <x:c r="Z79" s="164" t="n">
        <x:f aca="0">IFERROR(SUMIF(S15_Source_Strata!$B$4:$B$49,$G79,S15_Source_Strata!$AA$4:$AA$49),0)</x:f>
        <x:v>790.4906680135409</x:v>
      </x:c>
      <x:c r="AA79" s="164" t="n">
        <x:f aca="0">IFERROR(SUMIF(S15_Source_Strata!$B$4:$B$49,$G79,S15_Source_Strata!$AB$4:$AB$49),0)</x:f>
        <x:v>944.9111028412411</x:v>
      </x:c>
      <x:c r="AB79" s="164" t="n">
        <x:f aca="0">IFERROR(SUMIF(S15_Source_Strata!$B$4:$B$49,$G79,S15_Source_Strata!$AC$4:$AC$49),0)</x:f>
        <x:v>1095.3317683423338</x:v>
      </x:c>
      <x:c r="AC79" s="164" t="n">
        <x:f aca="0">IFERROR(SUMIF(S15_Source_Strata!$B$4:$B$49,$G79,S15_Source_Strata!$AD$4:$AD$49),0)</x:f>
        <x:v>1239.089185903657</x:v>
      </x:c>
      <x:c r="AD79" s="164" t="n">
        <x:f aca="0">IFERROR(SUMIF(S15_Source_Strata!$B$4:$B$49,$G79,S15_Source_Strata!$AE$4:$AE$49),0)</x:f>
        <x:v>1374.417567699113</x:v>
      </x:c>
      <x:c r="AE79" s="164" t="n">
        <x:f aca="0">IFERROR(SUMIF(S15_Source_Strata!$B$4:$B$49,$G79,S15_Source_Strata!$AF$4:$AF$49),0)</x:f>
        <x:v>1500.2756845326046</x:v>
      </x:c>
      <x:c r="AF79" s="164" t="n">
        <x:f aca="0">IFERROR(SUMIF(S15_Source_Strata!$B$4:$B$49,$G79,S15_Source_Strata!$AG$4:$AG$49),0)</x:f>
        <x:v>1616.1822036289107</x:v>
      </x:c>
      <x:c r="AG79" s="164" t="n">
        <x:f aca="0">IFERROR(SUMIF(S15_Source_Strata!$B$4:$B$49,$G79,S15_Source_Strata!$AH$4:$AH$49),0)</x:f>
        <x:v>1722.0716312818815</x:v>
      </x:c>
      <x:c r="AH79" s="164" t="n">
        <x:f aca="0">IFERROR(SUMIF(S15_Source_Strata!$B$4:$B$49,$G79,S15_Source_Strata!$AI$4:$AI$49),0)</x:f>
        <x:v>1818.174819803822</x:v>
      </x:c>
      <x:c r="AI79" s="164" t="n">
        <x:f aca="0">IFERROR(SUMIF(S15_Source_Strata!$B$4:$B$49,$G79,S15_Source_Strata!$AJ$4:$AJ$49),0)</x:f>
        <x:v>1904.9235947454438</x:v>
      </x:c>
      <x:c r="AJ79" s="164" t="n">
        <x:f aca="0">IFERROR(SUMIF(S15_Source_Strata!$B$4:$B$49,$G79,S15_Source_Strata!$AK$4:$AK$49),0)</x:f>
        <x:v>1982.8769505889393</x:v>
      </x:c>
      <x:c r="AK79" s="164" t="n">
        <x:f aca="0">IFERROR(SUMIF(S15_Source_Strata!$B$4:$B$49,$G79,S15_Source_Strata!$AL$4:$AL$49),0)</x:f>
        <x:v>2052.665482410992</x:v>
      </x:c>
      <x:c r="AL79" s="165" t="n">
        <x:f aca="0">$F79*Q79</x:f>
        <x:v>0</x:v>
      </x:c>
      <x:c r="AM79" s="165" t="n">
        <x:f aca="0">$F79*R79</x:f>
        <x:v>361.27176012439884</x:v>
      </x:c>
      <x:c r="AN79" s="165" t="n">
        <x:f aca="0">$F79*S79</x:f>
        <x:v>3593.963509554202</x:v>
      </x:c>
      <x:c r="AO79" s="165" t="n">
        <x:f aca="0">$F79*T79</x:f>
        <x:v>12394.748010892314</x:v>
      </x:c>
      <x:c r="AP79" s="165" t="n">
        <x:f aca="0">$F79*U79</x:f>
        <x:v>28002.951020415527</x:v>
      </x:c>
      <x:c r="AQ79" s="165" t="n">
        <x:f aca="0">$F79*V79</x:f>
        <x:v>50086.96738009234</x:v>
      </x:c>
      <x:c r="AR79" s="165" t="n">
        <x:f aca="0">$F79*W79</x:f>
        <x:v>77505.55454544928</x:v>
      </x:c>
      <x:c r="AS79" s="165" t="n">
        <x:f aca="0">$F79*X79</x:f>
        <x:v>108775.53613199286</x:v>
      </x:c>
      <x:c r="AT79" s="165" t="n">
        <x:f aca="0">$F79*Y79</x:f>
        <x:v>142400.57690717618</x:v>
      </x:c>
      <x:c r="AU79" s="165" t="n">
        <x:f aca="0">$F79*Z79</x:f>
        <x:v>177050.36506517598</x:v>
      </x:c>
      <x:c r="AV79" s="165" t="n">
        <x:f aca="0">$F79*AA79</x:f>
        <x:v>211636.72448226047</x:v>
      </x:c>
      <x:c r="AW79" s="165" t="n">
        <x:f aca="0">$F79*AB79</x:f>
        <x:v>245327.23446290326</x:v>
      </x:c>
      <x:c r="AX79" s="165" t="n">
        <x:f aca="0">$F79*AC79</x:f>
        <x:v>277525.34165121376</x:v>
      </x:c>
      <x:c r="AY79" s="165" t="n">
        <x:f aca="0">$F79*AD79</x:f>
        <x:v>307835.55323255353</x:v>
      </x:c>
      <x:c r="AZ79" s="165" t="n">
        <x:f aca="0">$F79*AE79</x:f>
        <x:v>336024.65961097763</x:v>
      </x:c>
      <x:c r="BA79" s="165" t="n">
        <x:f aca="0">$F79*AF79</x:f>
        <x:v>361984.8541455996</x:v>
      </x:c>
      <x:c r="BB79" s="165" t="n">
        <x:f aca="0">$F79*AG79</x:f>
        <x:v>385701.4678655479</x:v>
      </x:c>
      <x:c r="BC79" s="165" t="n">
        <x:f aca="0">$F79*AH79</x:f>
        <x:v>407226.2059810464</x:v>
      </x:c>
      <x:c r="BD79" s="165" t="n">
        <x:f aca="0">$F79*AI79</x:f>
        <x:v>426655.78673873836</x:v>
      </x:c>
      <x:c r="BE79" s="165" t="n">
        <x:f aca="0">$F79*AJ79</x:f>
        <x:v>444115.41108171677</x:v>
      </x:c>
      <x:c r="BF79" s="165" t="n">
        <x:f aca="0">$F79*AK79</x:f>
        <x:v>459746.3167159442</x:v>
      </x:c>
    </x:row>
    <x:row r="80" ht="15" hidden="0" customHeight="1">
      <x:c r="A80" s="37" t="str">
        <x:v>Tropical &amp; Subtropical Dry Broadleaf Forests</x:v>
      </x:c>
      <x:c r="B80" s="37" t="s">
        <x:v>113</x:v>
      </x:c>
      <x:c r="C80" s="37" t="s">
        <x:v>542</x:v>
      </x:c>
      <x:c r="D80" s="37" t="n">
        <x:v>2020</x:v>
      </x:c>
      <x:c r="E80" s="100" t="n">
        <x:v>175</x:v>
      </x:c>
      <x:c r="F80" s="100" t="n">
        <x:v>63.074651679482</x:v>
      </x:c>
      <x:c r="G80" s="37" t="s">
        <x:v>654</x:v>
      </x:c>
      <x:c r="H80" s="37" t="n">
        <x:v>8</x:v>
      </x:c>
      <x:c r="I80" s="37" t="s">
        <x:v>1180</x:v>
      </x:c>
      <x:c r="J80" s="37" t="str">
        <x:v>Tropical &amp; Subtropical Dry Broadleaf Forests|2020</x:v>
      </x:c>
      <x:c r="K80" s="37" t="str">
        <x:v>Area × biological stock; VM0047 Eq.(3); PB separately by Biome×Cohort</x:v>
      </x:c>
      <x:c r="Q80" s="164" t="n">
        <x:f aca="0">IFERROR(SUMIF(S15_Source_Strata!$B$4:$B$49,$G80,S15_Source_Strata!$R$4:$R$49),0)</x:f>
        <x:v>0</x:v>
      </x:c>
      <x:c r="R80" s="164" t="n">
        <x:f aca="0">IFERROR(SUMIF(S15_Source_Strata!$B$4:$B$49,$G80,S15_Source_Strata!$S$4:$S$49),0)</x:f>
        <x:v>9.46686943239219</x:v>
      </x:c>
      <x:c r="S80" s="164" t="n">
        <x:f aca="0">IFERROR(SUMIF(S15_Source_Strata!$B$4:$B$49,$G80,S15_Source_Strata!$T$4:$T$49),0)</x:f>
        <x:v>88.93077941101656</x:v>
      </x:c>
      <x:c r="T80" s="164" t="n">
        <x:f aca="0">IFERROR(SUMIF(S15_Source_Strata!$B$4:$B$49,$G80,S15_Source_Strata!$U$4:$U$49),0)</x:f>
        <x:v>293.1760262106486</x:v>
      </x:c>
      <x:c r="U80" s="164" t="n">
        <x:f aca="0">IFERROR(SUMIF(S15_Source_Strata!$B$4:$B$49,$G80,S15_Source_Strata!$V$4:$V$49),0)</x:f>
        <x:v>636.828115363571</x:v>
      </x:c>
      <x:c r="V80" s="164" t="n">
        <x:f aca="0">IFERROR(SUMIF(S15_Source_Strata!$B$4:$B$49,$G80,S15_Source_Strata!$W$4:$W$49),0)</x:f>
        <x:v>1099.2043465568422</x:v>
      </x:c>
      <x:c r="W80" s="164" t="n">
        <x:f aca="0">IFERROR(SUMIF(S15_Source_Strata!$B$4:$B$49,$G80,S15_Source_Strata!$X$4:$X$49),0)</x:f>
        <x:v>1646.0056798579817</x:v>
      </x:c>
      <x:c r="X80" s="164" t="n">
        <x:f aca="0">IFERROR(SUMIF(S15_Source_Strata!$B$4:$B$49,$G80,S15_Source_Strata!$Y$4:$Y$49),0)</x:f>
        <x:v>2240.6839007197077</x:v>
      </x:c>
      <x:c r="Y80" s="164" t="n">
        <x:f aca="0">IFERROR(SUMIF(S15_Source_Strata!$B$4:$B$49,$G80,S15_Source_Strata!$Z$4:$Z$49),0)</x:f>
        <x:v>2851.03428183889</x:v>
      </x:c>
      <x:c r="Z80" s="164" t="n">
        <x:f aca="0">IFERROR(SUMIF(S15_Source_Strata!$B$4:$B$49,$G80,S15_Source_Strata!$AA$4:$AA$49),0)</x:f>
        <x:v>3451.8117555456984</x:v>
      </x:c>
      <x:c r="AA80" s="164" t="n">
        <x:f aca="0">IFERROR(SUMIF(S15_Source_Strata!$B$4:$B$49,$G80,S15_Source_Strata!$AB$4:$AB$49),0)</x:f>
        <x:v>4025.030790078594</x:v>
      </x:c>
      <x:c r="AB80" s="164" t="n">
        <x:f aca="0">IFERROR(SUMIF(S15_Source_Strata!$B$4:$B$49,$G80,S15_Source_Strata!$AC$4:$AC$49),0)</x:f>
        <x:v>4559.126358170222</x:v>
      </x:c>
      <x:c r="AC80" s="164" t="n">
        <x:f aca="0">IFERROR(SUMIF(S15_Source_Strata!$B$4:$B$49,$G80,S15_Source_Strata!$AD$4:$AD$49),0)</x:f>
        <x:v>5047.694563689464</x:v>
      </x:c>
      <x:c r="AD80" s="164" t="n">
        <x:f aca="0">IFERROR(SUMIF(S15_Source_Strata!$B$4:$B$49,$G80,S15_Source_Strata!$AE$4:$AE$49),0)</x:f>
        <x:v>5488.202382089278</x:v>
      </x:c>
      <x:c r="AE80" s="164" t="n">
        <x:f aca="0">IFERROR(SUMIF(S15_Source_Strata!$B$4:$B$49,$G80,S15_Source_Strata!$AF$4:$AF$49),0)</x:f>
        <x:v>5880.848744130731</x:v>
      </x:c>
      <x:c r="AF80" s="164" t="n">
        <x:f aca="0">IFERROR(SUMIF(S15_Source_Strata!$B$4:$B$49,$G80,S15_Source_Strata!$AG$4:$AG$49),0)</x:f>
        <x:v>6227.6404276265985</x:v>
      </x:c>
      <x:c r="AG80" s="164" t="n">
        <x:f aca="0">IFERROR(SUMIF(S15_Source_Strata!$B$4:$B$49,$G80,S15_Source_Strata!$AH$4:$AH$49),0)</x:f>
        <x:v>6531.684451358122</x:v>
      </x:c>
      <x:c r="AH80" s="164" t="n">
        <x:f aca="0">IFERROR(SUMIF(S15_Source_Strata!$B$4:$B$49,$G80,S15_Source_Strata!$AI$4:$AI$49),0)</x:f>
        <x:v>6796.670771173728</x:v>
      </x:c>
      <x:c r="AI80" s="164" t="n">
        <x:f aca="0">IFERROR(SUMIF(S15_Source_Strata!$B$4:$B$49,$G80,S15_Source_Strata!$AJ$4:$AJ$49),0)</x:f>
        <x:v>7026.509892919597</x:v>
      </x:c>
      <x:c r="AJ80" s="164" t="n">
        <x:f aca="0">IFERROR(SUMIF(S15_Source_Strata!$B$4:$B$49,$G80,S15_Source_Strata!$AK$4:$AK$49),0)</x:f>
        <x:v>7225.090287801521</x:v>
      </x:c>
      <x:c r="AK80" s="164" t="n">
        <x:f aca="0">IFERROR(SUMIF(S15_Source_Strata!$B$4:$B$49,$G80,S15_Source_Strata!$AL$4:$AL$49),0)</x:f>
        <x:v>7396.124911459077</x:v>
      </x:c>
      <x:c r="AL80" s="165" t="n">
        <x:f aca="0">$F80*Q80</x:f>
        <x:v>0</x:v>
      </x:c>
      <x:c r="AM80" s="165" t="n">
        <x:f aca="0">$F80*R80</x:f>
        <x:v>597.1194919432729</x:v>
      </x:c>
      <x:c r="AN80" s="165" t="n">
        <x:f aca="0">$F80*S80</x:f>
        <x:v>5609.277934934719</x:v>
      </x:c>
      <x:c r="AO80" s="165" t="n">
        <x:f aca="0">$F80*T80</x:f>
        <x:v>18491.975734011347</x:v>
      </x:c>
      <x:c r="AP80" s="165" t="n">
        <x:f aca="0">$F80*U80</x:f>
        <x:v>40167.71155625822</x:v>
      </x:c>
      <x:c r="AQ80" s="165" t="n">
        <x:f aca="0">$F80*V80</x:f>
        <x:v>69331.93128364545</x:v>
      </x:c>
      <x:c r="AR80" s="165" t="n">
        <x:f aca="0">$F80*W80</x:f>
        <x:v>103821.23491949117</x:v>
      </x:c>
      <x:c r="AS80" s="165" t="n">
        <x:f aca="0">$F80*X80</x:f>
        <x:v>141330.3565617186</x:v>
      </x:c>
      <x:c r="AT80" s="165" t="n">
        <x:f aca="0">$F80*Y80</x:f>
        <x:v>179827.9942532501</x:v>
      </x:c>
      <x:c r="AU80" s="165" t="n">
        <x:f aca="0">$F80*Z80</x:f>
        <x:v>217721.8241441862</x:v>
      </x:c>
      <x:c r="AV80" s="165" t="n">
        <x:f aca="0">$F80*AA80</x:f>
        <x:v>253877.41508339756</x:v>
      </x:c>
      <x:c r="AW80" s="165" t="n">
        <x:f aca="0">$F80*AB80</x:f>
        <x:v>287565.3070043321</x:v>
      </x:c>
      <x:c r="AX80" s="165" t="n">
        <x:f aca="0">$F80*AC80</x:f>
        <x:v>318381.5763891278</x:v>
      </x:c>
      <x:c r="AY80" s="165" t="n">
        <x:f aca="0">$F80*AD80</x:f>
        <x:v>346166.4535967846</x:v>
      </x:c>
      <x:c r="AZ80" s="165" t="n">
        <x:f aca="0">$F80*AE80</x:f>
        <x:v>370932.486115765</x:v>
      </x:c>
      <x:c r="BA80" s="165" t="n">
        <x:f aca="0">$F80*AF80</x:f>
        <x:v>392806.25075760804</x:v>
      </x:c>
      <x:c r="BB80" s="165" t="n">
        <x:f aca="0">$F80*AG80</x:f>
        <x:v>411983.72164970206</x:v>
      </x:c>
      <x:c r="BC80" s="165" t="n">
        <x:f aca="0">$F80*AH80</x:f>
        <x:v>428697.64147189923</x:v>
      </x:c>
      <x:c r="BD80" s="165" t="n">
        <x:f aca="0">$F80*AI80</x:f>
        <x:v>443194.66401833796</x:v>
      </x:c>
      <x:c r="BE80" s="165" t="n">
        <x:f aca="0">$F80*AJ80</x:f>
        <x:v>455720.05325588933</x:v>
      </x:c>
      <x:c r="BF80" s="165" t="n">
        <x:f aca="0">$F80*AK80</x:f>
        <x:v>466508.00256822095</x:v>
      </x:c>
    </x:row>
    <x:row r="81" ht="15" hidden="0" customHeight="1">
      <x:c r="A81" s="37" t="str">
        <x:v>Tropical &amp; Subtropical Dry Broadleaf Forests</x:v>
      </x:c>
      <x:c r="B81" s="37" t="s">
        <x:v>113</x:v>
      </x:c>
      <x:c r="C81" s="37" t="s">
        <x:v>549</x:v>
      </x:c>
      <x:c r="D81" s="37" t="n">
        <x:v>2021</x:v>
      </x:c>
      <x:c r="E81" s="100" t="n">
        <x:v>20</x:v>
      </x:c>
      <x:c r="F81" s="100" t="n">
        <x:v>20.3465564144071</x:v>
      </x:c>
      <x:c r="G81" s="37" t="s">
        <x:v>687</x:v>
      </x:c>
      <x:c r="H81" s="37" t="n">
        <x:v>1</x:v>
      </x:c>
      <x:c r="I81" s="37" t="s">
        <x:v>1180</x:v>
      </x:c>
      <x:c r="J81" s="37" t="str">
        <x:v>Tropical &amp; Subtropical Dry Broadleaf Forests|2021</x:v>
      </x:c>
      <x:c r="K81" s="37" t="str">
        <x:v>Area × biological stock; VM0047 Eq.(3); PB separately by Biome×Cohort</x:v>
      </x:c>
      <x:c r="Q81" s="164" t="n">
        <x:f aca="0">IFERROR(SUMIF(S15_Source_Strata!$B$4:$B$49,$G81,S15_Source_Strata!$R$4:$R$49),0)</x:f>
        <x:v>0</x:v>
      </x:c>
      <x:c r="R81" s="164" t="n">
        <x:f aca="0">IFERROR(SUMIF(S15_Source_Strata!$B$4:$B$49,$G81,S15_Source_Strata!$S$4:$S$49),0)</x:f>
        <x:v>0</x:v>
      </x:c>
      <x:c r="S81" s="164" t="n">
        <x:f aca="0">IFERROR(SUMIF(S15_Source_Strata!$B$4:$B$49,$G81,S15_Source_Strata!$T$4:$T$49),0)</x:f>
        <x:v>0.2344008062162858</x:v>
      </x:c>
      <x:c r="T81" s="164" t="n">
        <x:f aca="0">IFERROR(SUMIF(S15_Source_Strata!$B$4:$B$49,$G81,S15_Source_Strata!$U$4:$U$49),0)</x:f>
        <x:v>2.517183336362505</x:v>
      </x:c>
      <x:c r="U81" s="164" t="n">
        <x:f aca="0">IFERROR(SUMIF(S15_Source_Strata!$B$4:$B$49,$G81,S15_Source_Strata!$V$4:$V$49),0)</x:f>
        <x:v>9.165851810634095</x:v>
      </x:c>
      <x:c r="V81" s="164" t="n">
        <x:f aca="0">IFERROR(SUMIF(S15_Source_Strata!$B$4:$B$49,$G81,S15_Source_Strata!$W$4:$W$49),0)</x:f>
        <x:v>21.636662553735242</x:v>
      </x:c>
      <x:c r="W81" s="164" t="n">
        <x:f aca="0">IFERROR(SUMIF(S15_Source_Strata!$B$4:$B$49,$G81,S15_Source_Strata!$X$4:$X$49),0)</x:f>
        <x:v>40.17069700762988</x:v>
      </x:c>
      <x:c r="X81" s="164" t="n">
        <x:f aca="0">IFERROR(SUMIF(S15_Source_Strata!$B$4:$B$49,$G81,S15_Source_Strata!$Y$4:$Y$49),0)</x:f>
        <x:v>64.21703043547409</x:v>
      </x:c>
      <x:c r="Y81" s="164" t="n">
        <x:f aca="0">IFERROR(SUMIF(S15_Source_Strata!$B$4:$B$49,$G81,S15_Source_Strata!$Z$4:$Z$49),0)</x:f>
        <x:v>92.75946271580129</x:v>
      </x:c>
      <x:c r="Z81" s="164" t="n">
        <x:f aca="0">IFERROR(SUMIF(S15_Source_Strata!$B$4:$B$49,$G81,S15_Source_Strata!$AA$4:$AA$49),0)</x:f>
        <x:v>124.59670457567152</x:v>
      </x:c>
      <x:c r="AA81" s="164" t="n">
        <x:f aca="0">IFERROR(SUMIF(S15_Source_Strata!$B$4:$B$49,$G81,S15_Source_Strata!$AB$4:$AB$49),0)</x:f>
        <x:v>158.530937049188</x:v>
      </x:c>
      <x:c r="AB81" s="164" t="n">
        <x:f aca="0">IFERROR(SUMIF(S15_Source_Strata!$B$4:$B$49,$G81,S15_Source_Strata!$AC$4:$AC$49),0)</x:f>
        <x:v>193.47828801682851</x:v>
      </x:c>
      <x:c r="AC81" s="164" t="n">
        <x:f aca="0">IFERROR(SUMIF(S15_Source_Strata!$B$4:$B$49,$G81,S15_Source_Strata!$AD$4:$AD$49),0)</x:f>
        <x:v>228.52238232946212</x:v>
      </x:c>
      <x:c r="AD81" s="164" t="n">
        <x:f aca="0">IFERROR(SUMIF(S15_Source_Strata!$B$4:$B$49,$G81,S15_Source_Strata!$AE$4:$AE$49),0)</x:f>
        <x:v>262.93034140034655</x:v>
      </x:c>
      <x:c r="AE81" s="164" t="n">
        <x:f aca="0">IFERROR(SUMIF(S15_Source_Strata!$B$4:$B$49,$G81,S15_Source_Strata!$AF$4:$AF$49),0)</x:f>
        <x:v>296.14619367506015</x:v>
      </x:c>
      <x:c r="AF81" s="164" t="n">
        <x:f aca="0">IFERROR(SUMIF(S15_Source_Strata!$B$4:$B$49,$G81,S15_Source_Strata!$AG$4:$AG$49),0)</x:f>
        <x:v>327.77222010466966</x:v>
      </x:c>
      <x:c r="AG81" s="164" t="n">
        <x:f aca="0">IFERROR(SUMIF(S15_Source_Strata!$B$4:$B$49,$G81,S15_Source_Strata!$AH$4:$AH$49),0)</x:f>
        <x:v>357.5451434089246</x:v>
      </x:c>
      <x:c r="AH81" s="164" t="n">
        <x:f aca="0">IFERROR(SUMIF(S15_Source_Strata!$B$4:$B$49,$G81,S15_Source_Strata!$AI$4:$AI$49),0)</x:f>
        <x:v>385.31140512164643</x:v>
      </x:c>
      <x:c r="AI81" s="164" t="n">
        <x:f aca="0">IFERROR(SUMIF(S15_Source_Strata!$B$4:$B$49,$G81,S15_Source_Strata!$AJ$4:$AJ$49),0)</x:f>
        <x:v>411.0039323904602</x:v>
      </x:c>
      <x:c r="AJ81" s="164" t="n">
        <x:f aca="0">IFERROR(SUMIF(S15_Source_Strata!$B$4:$B$49,$G81,S15_Source_Strata!$AK$4:$AK$49),0)</x:f>
        <x:v>434.6215869347765</x:v>
      </x:c>
      <x:c r="AK81" s="164" t="n">
        <x:f aca="0">IFERROR(SUMIF(S15_Source_Strata!$B$4:$B$49,$G81,S15_Source_Strata!$AL$4:$AL$49),0)</x:f>
        <x:v>456.21173326317256</x:v>
      </x:c>
      <x:c r="AL81" s="165" t="n">
        <x:f aca="0">$F81*Q81</x:f>
        <x:v>0</x:v>
      </x:c>
      <x:c r="AM81" s="165" t="n">
        <x:f aca="0">$F81*R81</x:f>
        <x:v>0</x:v>
      </x:c>
      <x:c r="AN81" s="165" t="n">
        <x:f aca="0">$F81*S81</x:f>
        <x:v>4.769249227262166</x:v>
      </x:c>
      <x:c r="AO81" s="165" t="n">
        <x:f aca="0">$F81*T81</x:f>
        <x:v>51.2160127587052</x:v>
      </x:c>
      <x:c r="AP81" s="165" t="n">
        <x:f aca="0">$F81*U81</x:f>
        <x:v>186.49352095116208</x:v>
      </x:c>
      <x:c r="AQ81" s="165" t="n">
        <x:f aca="0">$F81*V81</x:f>
        <x:v>440.2315752690637</x:v>
      </x:c>
      <x:c r="AR81" s="165" t="n">
        <x:f aca="0">$F81*W81</x:f>
        <x:v>817.3353528717959</x:v>
      </x:c>
      <x:c r="AS81" s="165" t="n">
        <x:f aca="0">$F81*X81</x:f>
        <x:v>1306.5954325210712</x:v>
      </x:c>
      <x:c r="AT81" s="165" t="n">
        <x:f aca="0">$F81*Y81</x:f>
        <x:v>1887.335641117143</x:v>
      </x:c>
      <x:c r="AU81" s="165" t="n">
        <x:f aca="0">$F81*Z81</x:f>
        <x:v>2535.113878698116</x:v>
      </x:c>
      <x:c r="AV81" s="165" t="n">
        <x:f aca="0">$F81*AA81</x:f>
        <x:v>3225.5586541001244</x:v>
      </x:c>
      <x:c r="AW81" s="165" t="n">
        <x:f aca="0">$F81*AB81</x:f>
        <x:v>3936.6169020973066</x:v>
      </x:c>
      <x:c r="AX81" s="165" t="n">
        <x:f aca="0">$F81*AC81</x:f>
        <x:v>4649.643544021109</x:v>
      </x:c>
      <x:c r="AY81" s="165" t="n">
        <x:f aca="0">$F81*AD81</x:f>
        <x:v>5349.72702436147</x:v>
      </x:c>
      <x:c r="AZ81" s="165" t="n">
        <x:f aca="0">$F81*AE81</x:f>
        <x:v>6025.555236521543</x:v>
      </x:c>
      <x:c r="BA81" s="165" t="n">
        <x:f aca="0">$F81*AF81</x:f>
        <x:v>6669.035967435122</x:v>
      </x:c>
      <x:c r="BB81" s="165" t="n">
        <x:f aca="0">$F81*AG81</x:f>
        <x:v>7274.812431066962</x:v>
      </x:c>
      <x:c r="BC81" s="165" t="n">
        <x:f aca="0">$F81*AH81</x:f>
        <x:v>7839.760241422048</x:v>
      </x:c>
      <x:c r="BD81" s="165" t="n">
        <x:f aca="0">$F81*AI81</x:f>
        <x:v>8362.51469692566</x:v>
      </x:c>
      <x:c r="BE81" s="165" t="n">
        <x:f aca="0">$F81*AJ81</x:f>
        <x:v>8843.05263748757</x:v>
      </x:c>
      <x:c r="BF81" s="165" t="n">
        <x:f aca="0">$F81*AK81</x:f>
        <x:v>9282.337767753585</x:v>
      </x:c>
    </x:row>
    <x:row r="82" ht="15" hidden="0" customHeight="1">
      <x:c r="A82" s="37" t="str">
        <x:v>Tropical &amp; Subtropical Dry Broadleaf Forests</x:v>
      </x:c>
      <x:c r="B82" s="37" t="s">
        <x:v>113</x:v>
      </x:c>
      <x:c r="C82" s="37" t="s">
        <x:v>553</x:v>
      </x:c>
      <x:c r="D82" s="37" t="n">
        <x:v>2021</x:v>
      </x:c>
      <x:c r="E82" s="100" t="n">
        <x:v>17</x:v>
      </x:c>
      <x:c r="F82" s="100" t="n">
        <x:v>9.85675224605423</x:v>
      </x:c>
      <x:c r="G82" s="37" t="s">
        <x:v>690</x:v>
      </x:c>
      <x:c r="H82" s="37" t="n">
        <x:v>1</x:v>
      </x:c>
      <x:c r="I82" s="37" t="s">
        <x:v>1180</x:v>
      </x:c>
      <x:c r="J82" s="37" t="str">
        <x:v>Tropical &amp; Subtropical Dry Broadleaf Forests|2021</x:v>
      </x:c>
      <x:c r="K82" s="37" t="str">
        <x:v>Area × biological stock; VM0047 Eq.(3); PB separately by Biome×Cohort</x:v>
      </x:c>
      <x:c r="Q82" s="164" t="n">
        <x:f aca="0">IFERROR(SUMIF(S15_Source_Strata!$B$4:$B$49,$G82,S15_Source_Strata!$R$4:$R$49),0)</x:f>
        <x:v>0</x:v>
      </x:c>
      <x:c r="R82" s="164" t="n">
        <x:f aca="0">IFERROR(SUMIF(S15_Source_Strata!$B$4:$B$49,$G82,S15_Source_Strata!$S$4:$S$49),0)</x:f>
        <x:v>0</x:v>
      </x:c>
      <x:c r="S82" s="164" t="n">
        <x:f aca="0">IFERROR(SUMIF(S15_Source_Strata!$B$4:$B$49,$G82,S15_Source_Strata!$T$4:$T$49),0)</x:f>
        <x:v>2.2520589423441217</x:v>
      </x:c>
      <x:c r="T82" s="164" t="n">
        <x:f aca="0">IFERROR(SUMIF(S15_Source_Strata!$B$4:$B$49,$G82,S15_Source_Strata!$U$4:$U$49),0)</x:f>
        <x:v>21.884278389459922</x:v>
      </x:c>
      <x:c r="U82" s="164" t="n">
        <x:f aca="0">IFERROR(SUMIF(S15_Source_Strata!$B$4:$B$49,$G82,S15_Source_Strata!$V$4:$V$49),0)</x:f>
        <x:v>74.1459318561935</x:v>
      </x:c>
      <x:c r="V82" s="164" t="n">
        <x:f aca="0">IFERROR(SUMIF(S15_Source_Strata!$B$4:$B$49,$G82,S15_Source_Strata!$W$4:$W$49),0)</x:f>
        <x:v>165.0053198897656</x:v>
      </x:c>
      <x:c r="W82" s="164" t="n">
        <x:f aca="0">IFERROR(SUMIF(S15_Source_Strata!$B$4:$B$49,$G82,S15_Source_Strata!$X$4:$X$49),0)</x:f>
        <x:v>291.19678663723766</x:v>
      </x:c>
      <x:c r="X82" s="164" t="n">
        <x:f aca="0">IFERROR(SUMIF(S15_Source_Strata!$B$4:$B$49,$G82,S15_Source_Strata!$Y$4:$Y$49),0)</x:f>
        <x:v>445.1389074933852</x:v>
      </x:c>
      <x:c r="Y82" s="164" t="n">
        <x:f aca="0">IFERROR(SUMIF(S15_Source_Strata!$B$4:$B$49,$G82,S15_Source_Strata!$Z$4:$Z$49),0)</x:f>
        <x:v>617.7733770743615</x:v>
      </x:c>
      <x:c r="Z82" s="164" t="n">
        <x:f aca="0">IFERROR(SUMIF(S15_Source_Strata!$B$4:$B$49,$G82,S15_Source_Strata!$AA$4:$AA$49),0)</x:f>
        <x:v>800.4264115035201</x:v>
      </x:c>
      <x:c r="AA82" s="164" t="n">
        <x:f aca="0">IFERROR(SUMIF(S15_Source_Strata!$B$4:$B$49,$G82,S15_Source_Strata!$AB$4:$AB$49),0)</x:f>
        <x:v>985.7279908298748</x:v>
      </x:c>
      <x:c r="AB82" s="164" t="n">
        <x:f aca="0">IFERROR(SUMIF(S15_Source_Strata!$B$4:$B$49,$G82,S15_Source_Strata!$AC$4:$AC$49),0)</x:f>
        <x:v>1167.9219098726983</x:v>
      </x:c>
      <x:c r="AC82" s="164" t="n">
        <x:f aca="0">IFERROR(SUMIF(S15_Source_Strata!$B$4:$B$49,$G82,S15_Source_Strata!$AD$4:$AD$49),0)</x:f>
        <x:v>1342.832010122195</x:v>
      </x:c>
      <x:c r="AD82" s="164" t="n">
        <x:f aca="0">IFERROR(SUMIF(S15_Source_Strata!$B$4:$B$49,$G82,S15_Source_Strata!$AE$4:$AE$49),0)</x:f>
        <x:v>1507.6627401484152</x:v>
      </x:c>
      <x:c r="AE82" s="164" t="n">
        <x:f aca="0">IFERROR(SUMIF(S15_Source_Strata!$B$4:$B$49,$G82,S15_Source_Strata!$AF$4:$AF$49),0)</x:f>
        <x:v>1660.7415223375106</x:v>
      </x:c>
      <x:c r="AF82" s="164" t="n">
        <x:f aca="0">IFERROR(SUMIF(S15_Source_Strata!$B$4:$B$49,$G82,S15_Source_Strata!$AG$4:$AG$49),0)</x:f>
        <x:v>1801.2616538174398</x:v>
      </x:c>
      <x:c r="AG82" s="164" t="n">
        <x:f aca="0">IFERROR(SUMIF(S15_Source_Strata!$B$4:$B$49,$G82,S15_Source_Strata!$AH$4:$AH$49),0)</x:f>
        <x:v>1929.0538362337986</x:v>
      </x:c>
      <x:c r="AH82" s="164" t="n">
        <x:f aca="0">IFERROR(SUMIF(S15_Source_Strata!$B$4:$B$49,$G82,S15_Source_Strata!$AI$4:$AI$49),0)</x:f>
        <x:v>2044.3965731837293</x:v>
      </x:c>
      <x:c r="AI82" s="164" t="n">
        <x:f aca="0">IFERROR(SUMIF(S15_Source_Strata!$B$4:$B$49,$G82,S15_Source_Strata!$AJ$4:$AJ$49),0)</x:f>
        <x:v>2147.8660772599324</x:v>
      </x:c>
      <x:c r="AJ82" s="164" t="n">
        <x:f aca="0">IFERROR(SUMIF(S15_Source_Strata!$B$4:$B$49,$G82,S15_Source_Strata!$AK$4:$AK$49),0)</x:f>
        <x:v>2240.22174056176</x:v>
      </x:c>
      <x:c r="AK82" s="164" t="n">
        <x:f aca="0">IFERROR(SUMIF(S15_Source_Strata!$B$4:$B$49,$G82,S15_Source_Strata!$AL$4:$AL$49),0)</x:f>
        <x:v>2322.3214964356107</x:v>
      </x:c>
      <x:c r="AL82" s="165" t="n">
        <x:f aca="0">$F82*Q82</x:f>
        <x:v>0</x:v>
      </x:c>
      <x:c r="AM82" s="165" t="n">
        <x:f aca="0">$F82*R82</x:f>
        <x:v>0</x:v>
      </x:c>
      <x:c r="AN82" s="165" t="n">
        <x:f aca="0">$F82*S82</x:f>
        <x:v>22.197987038196935</x:v>
      </x:c>
      <x:c r="AO82" s="165" t="n">
        <x:f aca="0">$F82*T82</x:f>
        <x:v>215.70791016858513</x:v>
      </x:c>
      <x:c r="AP82" s="165" t="n">
        <x:f aca="0">$F82*U82</x:f>
        <x:v>730.8380803593192</x:v>
      </x:c>
      <x:c r="AQ82" s="165" t="n">
        <x:f aca="0">$F82*V82</x:f>
        <x:v>1626.4165574343435</x:v>
      </x:c>
      <x:c r="AR82" s="165" t="n">
        <x:f aca="0">$F82*W82</x:f>
        <x:v>2870.254580730367</x:v>
      </x:c>
      <x:c r="AS82" s="165" t="n">
        <x:f aca="0">$F82*X82</x:f>
        <x:v>4387.62392624155</x:v>
      </x:c>
      <x:c r="AT82" s="165" t="n">
        <x:f aca="0">$F82*Y82</x:f>
        <x:v>6089.23912203022</x:v>
      </x:c>
      <x:c r="AU82" s="165" t="n">
        <x:f aca="0">$F82*Z82</x:f>
        <x:v>7889.604829388449</x:v>
      </x:c>
      <x:c r="AV82" s="165" t="n">
        <x:f aca="0">$F82*AA82</x:f>
        <x:v>9716.07658761089</x:v>
      </x:c>
      <x:c r="AW82" s="165" t="n">
        <x:f aca="0">$F82*AB82</x:f>
        <x:v>11511.916908353664</x:v>
      </x:c>
      <x:c r="AX82" s="165" t="n">
        <x:f aca="0">$F82*AC82</x:f>
        <x:v>13235.962431845463</x:v>
      </x:c>
      <x:c r="AY82" s="165" t="n">
        <x:f aca="0">$F82*AD82</x:f>
        <x:v>14860.658100250166</x:v>
      </x:c>
      <x:c r="AZ82" s="165" t="n">
        <x:f aca="0">$F82*AE82</x:f>
        <x:v>16369.517730415777</x:v>
      </x:c>
      <x:c r="BA82" s="165" t="n">
        <x:f aca="0">$F82*AF82</x:f>
        <x:v>17754.589851996407</x:v>
      </x:c>
      <x:c r="BB82" s="165" t="n">
        <x:f aca="0">$F82*AG82</x:f>
        <x:v>19014.205733057024</x:v>
      </x:c>
      <x:c r="BC82" s="165" t="n">
        <x:f aca="0">$F82*AH82</x:f>
        <x:v>20151.110514554293</x:v>
      </x:c>
      <x:c r="BD82" s="165" t="n">
        <x:f aca="0">$F82*AI82</x:f>
        <x:v>21170.983781255527</x:v>
      </x:c>
      <x:c r="BE82" s="165" t="n">
        <x:f aca="0">$F82*AJ82</x:f>
        <x:v>22081.310672941643</x:v>
      </x:c>
      <x:c r="BF82" s="165" t="n">
        <x:f aca="0">$F82*AK82</x:f>
        <x:v>22890.547626051724</x:v>
      </x:c>
    </x:row>
    <x:row r="83" ht="15" hidden="0" customHeight="1">
      <x:c r="A83" s="37" t="str">
        <x:v>Tropical &amp; Subtropical Dry Broadleaf Forests</x:v>
      </x:c>
      <x:c r="B83" s="37" t="s">
        <x:v>113</x:v>
      </x:c>
      <x:c r="C83" s="37" t="s">
        <x:v>542</x:v>
      </x:c>
      <x:c r="D83" s="37" t="n">
        <x:v>2021</x:v>
      </x:c>
      <x:c r="E83" s="100" t="n">
        <x:v>4</x:v>
      </x:c>
      <x:c r="F83" s="100" t="n">
        <x:v>0.7131</x:v>
      </x:c>
      <x:c r="G83" s="37" t="s">
        <x:v>1110</x:v>
      </x:c>
      <x:c r="H83" s="37" t="n">
        <x:v>0</x:v>
      </x:c>
      <x:c r="I83" s="37" t="s">
        <x:v>1185</x:v>
      </x:c>
      <x:c r="J83" s="37" t="str">
        <x:v>Tropical &amp; Subtropical Dry Broadleaf Forests|2021</x:v>
      </x:c>
      <x:c r="K83" s="37" t="str">
        <x:v>Area × biological stock; VM0047 Eq.(3); PB separately by Biome×Cohort</x:v>
      </x:c>
      <x:c r="Q83" s="164" t="n">
        <x:f aca="0">IFERROR(SUMIF(S15_Source_Strata!$B$4:$B$49,$G83,S15_Source_Strata!$R$4:$R$49),0)</x:f>
        <x:v>0</x:v>
      </x:c>
      <x:c r="R83" s="164" t="n">
        <x:f aca="0">IFERROR(SUMIF(S15_Source_Strata!$B$4:$B$49,$G83,S15_Source_Strata!$S$4:$S$49),0)</x:f>
        <x:v>0</x:v>
      </x:c>
      <x:c r="S83" s="164" t="n">
        <x:f aca="0">IFERROR(SUMIF(S15_Source_Strata!$B$4:$B$49,$G83,S15_Source_Strata!$T$4:$T$49),0)</x:f>
        <x:v>9.46686943239219</x:v>
      </x:c>
      <x:c r="T83" s="164" t="n">
        <x:f aca="0">IFERROR(SUMIF(S15_Source_Strata!$B$4:$B$49,$G83,S15_Source_Strata!$U$4:$U$49),0)</x:f>
        <x:v>88.93077941101656</x:v>
      </x:c>
      <x:c r="U83" s="164" t="n">
        <x:f aca="0">IFERROR(SUMIF(S15_Source_Strata!$B$4:$B$49,$G83,S15_Source_Strata!$V$4:$V$49),0)</x:f>
        <x:v>293.1760262106486</x:v>
      </x:c>
      <x:c r="V83" s="164" t="n">
        <x:f aca="0">IFERROR(SUMIF(S15_Source_Strata!$B$4:$B$49,$G83,S15_Source_Strata!$W$4:$W$49),0)</x:f>
        <x:v>636.828115363571</x:v>
      </x:c>
      <x:c r="W83" s="164" t="n">
        <x:f aca="0">IFERROR(SUMIF(S15_Source_Strata!$B$4:$B$49,$G83,S15_Source_Strata!$X$4:$X$49),0)</x:f>
        <x:v>1099.2043465568422</x:v>
      </x:c>
      <x:c r="X83" s="164" t="n">
        <x:f aca="0">IFERROR(SUMIF(S15_Source_Strata!$B$4:$B$49,$G83,S15_Source_Strata!$Y$4:$Y$49),0)</x:f>
        <x:v>1646.0056798579817</x:v>
      </x:c>
      <x:c r="Y83" s="164" t="n">
        <x:f aca="0">IFERROR(SUMIF(S15_Source_Strata!$B$4:$B$49,$G83,S15_Source_Strata!$Z$4:$Z$49),0)</x:f>
        <x:v>2240.6839007197077</x:v>
      </x:c>
      <x:c r="Z83" s="164" t="n">
        <x:f aca="0">IFERROR(SUMIF(S15_Source_Strata!$B$4:$B$49,$G83,S15_Source_Strata!$AA$4:$AA$49),0)</x:f>
        <x:v>2851.03428183889</x:v>
      </x:c>
      <x:c r="AA83" s="164" t="n">
        <x:f aca="0">IFERROR(SUMIF(S15_Source_Strata!$B$4:$B$49,$G83,S15_Source_Strata!$AB$4:$AB$49),0)</x:f>
        <x:v>3451.8117555456984</x:v>
      </x:c>
      <x:c r="AB83" s="164" t="n">
        <x:f aca="0">IFERROR(SUMIF(S15_Source_Strata!$B$4:$B$49,$G83,S15_Source_Strata!$AC$4:$AC$49),0)</x:f>
        <x:v>4025.030790078594</x:v>
      </x:c>
      <x:c r="AC83" s="164" t="n">
        <x:f aca="0">IFERROR(SUMIF(S15_Source_Strata!$B$4:$B$49,$G83,S15_Source_Strata!$AD$4:$AD$49),0)</x:f>
        <x:v>4559.126358170222</x:v>
      </x:c>
      <x:c r="AD83" s="164" t="n">
        <x:f aca="0">IFERROR(SUMIF(S15_Source_Strata!$B$4:$B$49,$G83,S15_Source_Strata!$AE$4:$AE$49),0)</x:f>
        <x:v>5047.694563689464</x:v>
      </x:c>
      <x:c r="AE83" s="164" t="n">
        <x:f aca="0">IFERROR(SUMIF(S15_Source_Strata!$B$4:$B$49,$G83,S15_Source_Strata!$AF$4:$AF$49),0)</x:f>
        <x:v>5488.202382089278</x:v>
      </x:c>
      <x:c r="AF83" s="164" t="n">
        <x:f aca="0">IFERROR(SUMIF(S15_Source_Strata!$B$4:$B$49,$G83,S15_Source_Strata!$AG$4:$AG$49),0)</x:f>
        <x:v>5880.848744130731</x:v>
      </x:c>
      <x:c r="AG83" s="164" t="n">
        <x:f aca="0">IFERROR(SUMIF(S15_Source_Strata!$B$4:$B$49,$G83,S15_Source_Strata!$AH$4:$AH$49),0)</x:f>
        <x:v>6227.6404276265985</x:v>
      </x:c>
      <x:c r="AH83" s="164" t="n">
        <x:f aca="0">IFERROR(SUMIF(S15_Source_Strata!$B$4:$B$49,$G83,S15_Source_Strata!$AI$4:$AI$49),0)</x:f>
        <x:v>6531.684451358122</x:v>
      </x:c>
      <x:c r="AI83" s="164" t="n">
        <x:f aca="0">IFERROR(SUMIF(S15_Source_Strata!$B$4:$B$49,$G83,S15_Source_Strata!$AJ$4:$AJ$49),0)</x:f>
        <x:v>6796.670771173728</x:v>
      </x:c>
      <x:c r="AJ83" s="164" t="n">
        <x:f aca="0">IFERROR(SUMIF(S15_Source_Strata!$B$4:$B$49,$G83,S15_Source_Strata!$AK$4:$AK$49),0)</x:f>
        <x:v>7026.509892919597</x:v>
      </x:c>
      <x:c r="AK83" s="164" t="n">
        <x:f aca="0">IFERROR(SUMIF(S15_Source_Strata!$B$4:$B$49,$G83,S15_Source_Strata!$AL$4:$AL$49),0)</x:f>
        <x:v>7225.090287801521</x:v>
      </x:c>
      <x:c r="AL83" s="165" t="n">
        <x:f aca="0">$F83*Q83</x:f>
        <x:v>0</x:v>
      </x:c>
      <x:c r="AM83" s="165" t="n">
        <x:f aca="0">$F83*R83</x:f>
        <x:v>0</x:v>
      </x:c>
      <x:c r="AN83" s="165" t="n">
        <x:f aca="0">$F83*S83</x:f>
        <x:v>6.750824592238871</x:v>
      </x:c>
      <x:c r="AO83" s="165" t="n">
        <x:f aca="0">$F83*T83</x:f>
        <x:v>63.416538797995905</x:v>
      </x:c>
      <x:c r="AP83" s="165" t="n">
        <x:f aca="0">$F83*U83</x:f>
        <x:v>209.06382429081353</x:v>
      </x:c>
      <x:c r="AQ83" s="165" t="n">
        <x:f aca="0">$F83*V83</x:f>
        <x:v>454.12212906576246</x:v>
      </x:c>
      <x:c r="AR83" s="165" t="n">
        <x:f aca="0">$F83*W83</x:f>
        <x:v>783.8426195296842</x:v>
      </x:c>
      <x:c r="AS83" s="165" t="n">
        <x:f aca="0">$F83*X83</x:f>
        <x:v>1173.7666503067267</x:v>
      </x:c>
      <x:c r="AT83" s="165" t="n">
        <x:f aca="0">$F83*Y83</x:f>
        <x:v>1597.8316896032234</x:v>
      </x:c>
      <x:c r="AU83" s="165" t="n">
        <x:f aca="0">$F83*Z83</x:f>
        <x:v>2033.0725463793124</x:v>
      </x:c>
      <x:c r="AV83" s="165" t="n">
        <x:f aca="0">$F83*AA83</x:f>
        <x:v>2461.4869628796373</x:v>
      </x:c>
      <x:c r="AW83" s="165" t="n">
        <x:f aca="0">$F83*AB83</x:f>
        <x:v>2870.249456405045</x:v>
      </x:c>
      <x:c r="AX83" s="165" t="n">
        <x:f aca="0">$F83*AC83</x:f>
        <x:v>3251.1130060111855</x:v>
      </x:c>
      <x:c r="AY83" s="165" t="n">
        <x:f aca="0">$F83*AD83</x:f>
        <x:v>3599.510993366957</x:v>
      </x:c>
      <x:c r="AZ83" s="165" t="n">
        <x:f aca="0">$F83*AE83</x:f>
        <x:v>3913.637118667864</x:v>
      </x:c>
      <x:c r="BA83" s="165" t="n">
        <x:f aca="0">$F83*AF83</x:f>
        <x:v>4193.633239439624</x:v>
      </x:c>
      <x:c r="BB83" s="165" t="n">
        <x:f aca="0">$F83*AG83</x:f>
        <x:v>4440.930388940527</x:v>
      </x:c>
      <x:c r="BC83" s="165" t="n">
        <x:f aca="0">$F83*AH83</x:f>
        <x:v>4657.744182263476</x:v>
      </x:c>
      <x:c r="BD83" s="165" t="n">
        <x:f aca="0">$F83*AI83</x:f>
        <x:v>4846.705926923985</x:v>
      </x:c>
      <x:c r="BE83" s="165" t="n">
        <x:f aca="0">$F83*AJ83</x:f>
        <x:v>5010.604204640965</x:v>
      </x:c>
      <x:c r="BF83" s="165" t="n">
        <x:f aca="0">$F83*AK83</x:f>
        <x:v>5152.211884231265</x:v>
      </x:c>
    </x:row>
    <x:row r="84" ht="15" hidden="0" customHeight="1">
      <x:c r="A84" s="37" t="str">
        <x:v>Tropical &amp; Subtropical Dry Broadleaf Forests</x:v>
      </x:c>
      <x:c r="B84" s="37" t="s">
        <x:v>113</x:v>
      </x:c>
      <x:c r="C84" s="37" t="s">
        <x:v>549</x:v>
      </x:c>
      <x:c r="D84" s="37" t="n">
        <x:v>2022</x:v>
      </x:c>
      <x:c r="E84" s="100" t="n">
        <x:v>10</x:v>
      </x:c>
      <x:c r="F84" s="100" t="n">
        <x:v>10.7919300687981</x:v>
      </x:c>
      <x:c r="G84" s="37" t="s">
        <x:v>693</x:v>
      </x:c>
      <x:c r="H84" s="37" t="n">
        <x:v>1</x:v>
      </x:c>
      <x:c r="I84" s="37" t="s">
        <x:v>1180</x:v>
      </x:c>
      <x:c r="J84" s="37" t="str">
        <x:v>Tropical &amp; Subtropical Dry Broadleaf Forests|2022</x:v>
      </x:c>
      <x:c r="K84" s="37" t="str">
        <x:v>Area × biological stock; VM0047 Eq.(3); PB separately by Biome×Cohort</x:v>
      </x:c>
      <x:c r="Q84" s="164" t="n">
        <x:f aca="0">IFERROR(SUMIF(S15_Source_Strata!$B$4:$B$49,$G84,S15_Source_Strata!$R$4:$R$49),0)</x:f>
        <x:v>0</x:v>
      </x:c>
      <x:c r="R84" s="164" t="n">
        <x:f aca="0">IFERROR(SUMIF(S15_Source_Strata!$B$4:$B$49,$G84,S15_Source_Strata!$S$4:$S$49),0)</x:f>
        <x:v>0</x:v>
      </x:c>
      <x:c r="S84" s="164" t="n">
        <x:f aca="0">IFERROR(SUMIF(S15_Source_Strata!$B$4:$B$49,$G84,S15_Source_Strata!$T$4:$T$49),0)</x:f>
        <x:v>0</x:v>
      </x:c>
      <x:c r="T84" s="164" t="n">
        <x:f aca="0">IFERROR(SUMIF(S15_Source_Strata!$B$4:$B$49,$G84,S15_Source_Strata!$U$4:$U$49),0)</x:f>
        <x:v>0.2344008062162858</x:v>
      </x:c>
      <x:c r="U84" s="164" t="n">
        <x:f aca="0">IFERROR(SUMIF(S15_Source_Strata!$B$4:$B$49,$G84,S15_Source_Strata!$V$4:$V$49),0)</x:f>
        <x:v>2.517183336362505</x:v>
      </x:c>
      <x:c r="V84" s="164" t="n">
        <x:f aca="0">IFERROR(SUMIF(S15_Source_Strata!$B$4:$B$49,$G84,S15_Source_Strata!$W$4:$W$49),0)</x:f>
        <x:v>9.165851810634095</x:v>
      </x:c>
      <x:c r="W84" s="164" t="n">
        <x:f aca="0">IFERROR(SUMIF(S15_Source_Strata!$B$4:$B$49,$G84,S15_Source_Strata!$X$4:$X$49),0)</x:f>
        <x:v>21.636662553735242</x:v>
      </x:c>
      <x:c r="X84" s="164" t="n">
        <x:f aca="0">IFERROR(SUMIF(S15_Source_Strata!$B$4:$B$49,$G84,S15_Source_Strata!$Y$4:$Y$49),0)</x:f>
        <x:v>40.17069700762988</x:v>
      </x:c>
      <x:c r="Y84" s="164" t="n">
        <x:f aca="0">IFERROR(SUMIF(S15_Source_Strata!$B$4:$B$49,$G84,S15_Source_Strata!$Z$4:$Z$49),0)</x:f>
        <x:v>64.21703043547409</x:v>
      </x:c>
      <x:c r="Z84" s="164" t="n">
        <x:f aca="0">IFERROR(SUMIF(S15_Source_Strata!$B$4:$B$49,$G84,S15_Source_Strata!$AA$4:$AA$49),0)</x:f>
        <x:v>92.75946271580129</x:v>
      </x:c>
      <x:c r="AA84" s="164" t="n">
        <x:f aca="0">IFERROR(SUMIF(S15_Source_Strata!$B$4:$B$49,$G84,S15_Source_Strata!$AB$4:$AB$49),0)</x:f>
        <x:v>124.59670457567152</x:v>
      </x:c>
      <x:c r="AB84" s="164" t="n">
        <x:f aca="0">IFERROR(SUMIF(S15_Source_Strata!$B$4:$B$49,$G84,S15_Source_Strata!$AC$4:$AC$49),0)</x:f>
        <x:v>158.530937049188</x:v>
      </x:c>
      <x:c r="AC84" s="164" t="n">
        <x:f aca="0">IFERROR(SUMIF(S15_Source_Strata!$B$4:$B$49,$G84,S15_Source_Strata!$AD$4:$AD$49),0)</x:f>
        <x:v>193.47828801682851</x:v>
      </x:c>
      <x:c r="AD84" s="164" t="n">
        <x:f aca="0">IFERROR(SUMIF(S15_Source_Strata!$B$4:$B$49,$G84,S15_Source_Strata!$AE$4:$AE$49),0)</x:f>
        <x:v>228.52238232946212</x:v>
      </x:c>
      <x:c r="AE84" s="164" t="n">
        <x:f aca="0">IFERROR(SUMIF(S15_Source_Strata!$B$4:$B$49,$G84,S15_Source_Strata!$AF$4:$AF$49),0)</x:f>
        <x:v>262.93034140034655</x:v>
      </x:c>
      <x:c r="AF84" s="164" t="n">
        <x:f aca="0">IFERROR(SUMIF(S15_Source_Strata!$B$4:$B$49,$G84,S15_Source_Strata!$AG$4:$AG$49),0)</x:f>
        <x:v>296.14619367506015</x:v>
      </x:c>
      <x:c r="AG84" s="164" t="n">
        <x:f aca="0">IFERROR(SUMIF(S15_Source_Strata!$B$4:$B$49,$G84,S15_Source_Strata!$AH$4:$AH$49),0)</x:f>
        <x:v>327.77222010466966</x:v>
      </x:c>
      <x:c r="AH84" s="164" t="n">
        <x:f aca="0">IFERROR(SUMIF(S15_Source_Strata!$B$4:$B$49,$G84,S15_Source_Strata!$AI$4:$AI$49),0)</x:f>
        <x:v>357.5451434089246</x:v>
      </x:c>
      <x:c r="AI84" s="164" t="n">
        <x:f aca="0">IFERROR(SUMIF(S15_Source_Strata!$B$4:$B$49,$G84,S15_Source_Strata!$AJ$4:$AJ$49),0)</x:f>
        <x:v>385.31140512164643</x:v>
      </x:c>
      <x:c r="AJ84" s="164" t="n">
        <x:f aca="0">IFERROR(SUMIF(S15_Source_Strata!$B$4:$B$49,$G84,S15_Source_Strata!$AK$4:$AK$49),0)</x:f>
        <x:v>411.0039323904602</x:v>
      </x:c>
      <x:c r="AK84" s="164" t="n">
        <x:f aca="0">IFERROR(SUMIF(S15_Source_Strata!$B$4:$B$49,$G84,S15_Source_Strata!$AL$4:$AL$49),0)</x:f>
        <x:v>434.6215869347765</x:v>
      </x:c>
      <x:c r="AL84" s="165" t="n">
        <x:f aca="0">$F84*Q84</x:f>
        <x:v>0</x:v>
      </x:c>
      <x:c r="AM84" s="165" t="n">
        <x:f aca="0">$F84*R84</x:f>
        <x:v>0</x:v>
      </x:c>
      <x:c r="AN84" s="165" t="n">
        <x:f aca="0">$F84*S84</x:f>
        <x:v>0</x:v>
      </x:c>
      <x:c r="AO84" s="165" t="n">
        <x:f aca="0">$F84*T84</x:f>
        <x:v>2.5296371087560514</x:v>
      </x:c>
      <x:c r="AP84" s="165" t="n">
        <x:f aca="0">$F84*U84</x:f>
        <x:v>27.16526653636804</x:v>
      </x:c>
      <x:c r="AQ84" s="165" t="n">
        <x:f aca="0">$F84*V84</x:f>
        <x:v>98.9172317613296</x:v>
      </x:c>
      <x:c r="AR84" s="165" t="n">
        <x:f aca="0">$F84*W84</x:f>
        <x:v>233.50134920209325</x:v>
      </x:c>
      <x:c r="AS84" s="165" t="n">
        <x:f aca="0">$F84*X84</x:f>
        <x:v>433.5193529212188</x:v>
      </x:c>
      <x:c r="AT84" s="165" t="n">
        <x:f aca="0">$F84*Y84</x:f>
        <x:v>693.0257016855155</x:v>
      </x:c>
      <x:c r="AU84" s="165" t="n">
        <x:f aca="0">$F84*Z84</x:f>
        <x:v>1001.0536348482123</x:v>
      </x:c>
      <x:c r="AV84" s="165" t="n">
        <x:f aca="0">$F84*AA84</x:f>
        <x:v>1344.6389225833434</x:v>
      </x:c>
      <x:c r="AW84" s="165" t="n">
        <x:f aca="0">$F84*AB84</x:f>
        <x:v>1710.8547863758708</x:v>
      </x:c>
      <x:c r="AX84" s="165" t="n">
        <x:f aca="0">$F84*AC84</x:f>
        <x:v>2088.004154108391</x:v>
      </x:c>
      <x:c r="AY84" s="165" t="n">
        <x:f aca="0">$F84*AD84</x:f>
        <x:v>2466.197569254698</x:v>
      </x:c>
      <x:c r="AZ84" s="165" t="n">
        <x:f aca="0">$F84*AE84</x:f>
        <x:v>2837.52585735775</x:v>
      </x:c>
      <x:c r="BA84" s="165" t="n">
        <x:f aca="0">$F84*AF84</x:f>
        <x:v>3195.9890122819875</x:v>
      </x:c>
      <x:c r="BB84" s="165" t="n">
        <x:f aca="0">$F84*AG84</x:f>
        <x:v>3537.2948778642935</x:v>
      </x:c>
      <x:c r="BC84" s="165" t="n">
        <x:f aca="0">$F84*AH84</x:f>
        <x:v>3858.6021841075026</x:v>
      </x:c>
      <x:c r="BD84" s="165" t="n">
        <x:f aca="0">$F84*AI84</x:f>
        <x:v>4158.253738783143</x:v>
      </x:c>
      <x:c r="BE84" s="165" t="n">
        <x:f aca="0">$F84*AJ84</x:f>
        <x:v>4435.525696358869</x:v>
      </x:c>
      <x:c r="BF84" s="165" t="n">
        <x:f aca="0">$F84*AK84</x:f>
        <x:v>4690.405772590162</x:v>
      </x:c>
    </x:row>
    <x:row r="85" ht="15" hidden="0" customHeight="1">
      <x:c r="A85" s="37" t="str">
        <x:v>Tropical &amp; Subtropical Dry Broadleaf Forests</x:v>
      </x:c>
      <x:c r="B85" s="37" t="s">
        <x:v>113</x:v>
      </x:c>
      <x:c r="C85" s="37" t="s">
        <x:v>553</x:v>
      </x:c>
      <x:c r="D85" s="37" t="n">
        <x:v>2022</x:v>
      </x:c>
      <x:c r="E85" s="100" t="n">
        <x:v>19</x:v>
      </x:c>
      <x:c r="F85" s="100" t="n">
        <x:v>9.72153367057871</x:v>
      </x:c>
      <x:c r="G85" s="37" t="s">
        <x:v>695</x:v>
      </x:c>
      <x:c r="H85" s="37" t="n">
        <x:v>1</x:v>
      </x:c>
      <x:c r="I85" s="37" t="s">
        <x:v>1180</x:v>
      </x:c>
      <x:c r="J85" s="37" t="str">
        <x:v>Tropical &amp; Subtropical Dry Broadleaf Forests|2022</x:v>
      </x:c>
      <x:c r="K85" s="37" t="str">
        <x:v>Area × biological stock; VM0047 Eq.(3); PB separately by Biome×Cohort</x:v>
      </x:c>
      <x:c r="Q85" s="164" t="n">
        <x:f aca="0">IFERROR(SUMIF(S15_Source_Strata!$B$4:$B$49,$G85,S15_Source_Strata!$R$4:$R$49),0)</x:f>
        <x:v>0</x:v>
      </x:c>
      <x:c r="R85" s="164" t="n">
        <x:f aca="0">IFERROR(SUMIF(S15_Source_Strata!$B$4:$B$49,$G85,S15_Source_Strata!$S$4:$S$49),0)</x:f>
        <x:v>0</x:v>
      </x:c>
      <x:c r="S85" s="164" t="n">
        <x:f aca="0">IFERROR(SUMIF(S15_Source_Strata!$B$4:$B$49,$G85,S15_Source_Strata!$T$4:$T$49),0)</x:f>
        <x:v>0</x:v>
      </x:c>
      <x:c r="T85" s="164" t="n">
        <x:f aca="0">IFERROR(SUMIF(S15_Source_Strata!$B$4:$B$49,$G85,S15_Source_Strata!$U$4:$U$49),0)</x:f>
        <x:v>2.2520589423441217</x:v>
      </x:c>
      <x:c r="U85" s="164" t="n">
        <x:f aca="0">IFERROR(SUMIF(S15_Source_Strata!$B$4:$B$49,$G85,S15_Source_Strata!$V$4:$V$49),0)</x:f>
        <x:v>21.88427838945993</x:v>
      </x:c>
      <x:c r="V85" s="164" t="n">
        <x:f aca="0">IFERROR(SUMIF(S15_Source_Strata!$B$4:$B$49,$G85,S15_Source_Strata!$W$4:$W$49),0)</x:f>
        <x:v>74.1459318561935</x:v>
      </x:c>
      <x:c r="W85" s="164" t="n">
        <x:f aca="0">IFERROR(SUMIF(S15_Source_Strata!$B$4:$B$49,$G85,S15_Source_Strata!$X$4:$X$49),0)</x:f>
        <x:v>165.0053198897656</x:v>
      </x:c>
      <x:c r="X85" s="164" t="n">
        <x:f aca="0">IFERROR(SUMIF(S15_Source_Strata!$B$4:$B$49,$G85,S15_Source_Strata!$Y$4:$Y$49),0)</x:f>
        <x:v>291.1967866372377</x:v>
      </x:c>
      <x:c r="Y85" s="164" t="n">
        <x:f aca="0">IFERROR(SUMIF(S15_Source_Strata!$B$4:$B$49,$G85,S15_Source_Strata!$Z$4:$Z$49),0)</x:f>
        <x:v>445.1389074933853</x:v>
      </x:c>
      <x:c r="Z85" s="164" t="n">
        <x:f aca="0">IFERROR(SUMIF(S15_Source_Strata!$B$4:$B$49,$G85,S15_Source_Strata!$AA$4:$AA$49),0)</x:f>
        <x:v>617.7733770743616</x:v>
      </x:c>
      <x:c r="AA85" s="164" t="n">
        <x:f aca="0">IFERROR(SUMIF(S15_Source_Strata!$B$4:$B$49,$G85,S15_Source_Strata!$AB$4:$AB$49),0)</x:f>
        <x:v>800.4264115035201</x:v>
      </x:c>
      <x:c r="AB85" s="164" t="n">
        <x:f aca="0">IFERROR(SUMIF(S15_Source_Strata!$B$4:$B$49,$G85,S15_Source_Strata!$AC$4:$AC$49),0)</x:f>
        <x:v>985.727990829875</x:v>
      </x:c>
      <x:c r="AC85" s="164" t="n">
        <x:f aca="0">IFERROR(SUMIF(S15_Source_Strata!$B$4:$B$49,$G85,S15_Source_Strata!$AD$4:$AD$49),0)</x:f>
        <x:v>1167.9219098726983</x:v>
      </x:c>
      <x:c r="AD85" s="164" t="n">
        <x:f aca="0">IFERROR(SUMIF(S15_Source_Strata!$B$4:$B$49,$G85,S15_Source_Strata!$AE$4:$AE$49),0)</x:f>
        <x:v>1342.8320101221952</x:v>
      </x:c>
      <x:c r="AE85" s="164" t="n">
        <x:f aca="0">IFERROR(SUMIF(S15_Source_Strata!$B$4:$B$49,$G85,S15_Source_Strata!$AF$4:$AF$49),0)</x:f>
        <x:v>1507.6627401484154</x:v>
      </x:c>
      <x:c r="AF85" s="164" t="n">
        <x:f aca="0">IFERROR(SUMIF(S15_Source_Strata!$B$4:$B$49,$G85,S15_Source_Strata!$AG$4:$AG$49),0)</x:f>
        <x:v>1660.741522337511</x:v>
      </x:c>
      <x:c r="AG85" s="164" t="n">
        <x:f aca="0">IFERROR(SUMIF(S15_Source_Strata!$B$4:$B$49,$G85,S15_Source_Strata!$AH$4:$AH$49),0)</x:f>
        <x:v>1801.2616538174402</x:v>
      </x:c>
      <x:c r="AH85" s="164" t="n">
        <x:f aca="0">IFERROR(SUMIF(S15_Source_Strata!$B$4:$B$49,$G85,S15_Source_Strata!$AI$4:$AI$49),0)</x:f>
        <x:v>1929.053836233799</x:v>
      </x:c>
      <x:c r="AI85" s="164" t="n">
        <x:f aca="0">IFERROR(SUMIF(S15_Source_Strata!$B$4:$B$49,$G85,S15_Source_Strata!$AJ$4:$AJ$49),0)</x:f>
        <x:v>2044.3965731837297</x:v>
      </x:c>
      <x:c r="AJ85" s="164" t="n">
        <x:f aca="0">IFERROR(SUMIF(S15_Source_Strata!$B$4:$B$49,$G85,S15_Source_Strata!$AK$4:$AK$49),0)</x:f>
        <x:v>2147.8660772599324</x:v>
      </x:c>
      <x:c r="AK85" s="164" t="n">
        <x:f aca="0">IFERROR(SUMIF(S15_Source_Strata!$B$4:$B$49,$G85,S15_Source_Strata!$AL$4:$AL$49),0)</x:f>
        <x:v>2240.22174056176</x:v>
      </x:c>
      <x:c r="AL85" s="165" t="n">
        <x:f aca="0">$F85*Q85</x:f>
        <x:v>0</x:v>
      </x:c>
      <x:c r="AM85" s="165" t="n">
        <x:f aca="0">$F85*R85</x:f>
        <x:v>0</x:v>
      </x:c>
      <x:c r="AN85" s="165" t="n">
        <x:f aca="0">$F85*S85</x:f>
        <x:v>0</x:v>
      </x:c>
      <x:c r="AO85" s="165" t="n">
        <x:f aca="0">$F85*T85</x:f>
        <x:v>21.893466836126258</x:v>
      </x:c>
      <x:c r="AP85" s="165" t="n">
        <x:f aca="0">$F85*U85</x:f>
        <x:v>212.74874921945272</x:v>
      </x:c>
      <x:c r="AQ85" s="165" t="n">
        <x:f aca="0">$F85*V85</x:f>
        <x:v>720.8121730764196</x:v>
      </x:c>
      <x:c r="AR85" s="165" t="n">
        <x:f aca="0">$F85*W85</x:f>
        <x:v>1604.104773132967</x:v>
      </x:c>
      <x:c r="AS85" s="165" t="n">
        <x:f aca="0">$F85*X85</x:f>
        <x:v>2830.879366058231</x:v>
      </x:c>
      <x:c r="AT85" s="165" t="n">
        <x:f aca="0">$F85*Y85</x:f>
        <x:v>4327.432877281567</x:v>
      </x:c>
      <x:c r="AU85" s="165" t="n">
        <x:f aca="0">$F85*Z85</x:f>
        <x:v>6005.704686015524</x:v>
      </x:c>
      <x:c r="AV85" s="165" t="n">
        <x:f aca="0">$F85*AA85</x:f>
        <x:v>7781.37231025196</x:v>
      </x:c>
      <x:c r="AW85" s="165" t="n">
        <x:f aca="0">$F85*AB85</x:f>
        <x:v>9582.787852884532</x:v>
      </x:c>
      <x:c r="AX85" s="165" t="n">
        <x:f aca="0">$F85*AC85</x:f>
        <x:v>11353.992171434029</x:v>
      </x:c>
      <x:c r="AY85" s="165" t="n">
        <x:f aca="0">$F85*AD85</x:f>
        <x:v>13054.386600333812</x:v>
      </x:c>
      <x:c r="AZ85" s="165" t="n">
        <x:f aca="0">$F85*AE85</x:f>
        <x:v>14656.79409222978</x:v>
      </x:c>
      <x:c r="BA85" s="165" t="n">
        <x:f aca="0">$F85*AF85</x:f>
        <x:v>16144.954627532257</x:v>
      </x:c>
      <x:c r="BB85" s="165" t="n">
        <x:f aca="0">$F85*AG85</x:f>
        <x:v>17511.025817108537</x:v>
      </x:c>
      <x:c r="BC85" s="165" t="n">
        <x:f aca="0">$F85*AH85</x:f>
        <x:v>18753.361821305905</x:v>
      </x:c>
      <x:c r="BD85" s="165" t="n">
        <x:f aca="0">$F85*AI85</x:f>
        <x:v>19874.67012222136</x:v>
      </x:c>
      <x:c r="BE85" s="165" t="n">
        <x:f aca="0">$F85*AJ85</x:f>
        <x:v>20880.552389976245</x:v>
      </x:c>
      <x:c r="BF85" s="165" t="n">
        <x:f aca="0">$F85*AK85</x:f>
        <x:v>21778.39108043359</x:v>
      </x:c>
    </x:row>
    <x:row r="86" ht="15" hidden="0" customHeight="1">
      <x:c r="A86" s="37" t="str">
        <x:v>Tropical &amp; Subtropical Dry Broadleaf Forests</x:v>
      </x:c>
      <x:c r="B86" s="37" t="s">
        <x:v>113</x:v>
      </x:c>
      <x:c r="C86" s="37" t="s">
        <x:v>542</x:v>
      </x:c>
      <x:c r="D86" s="37" t="n">
        <x:v>2022</x:v>
      </x:c>
      <x:c r="E86" s="100" t="n">
        <x:v>4</x:v>
      </x:c>
      <x:c r="F86" s="100" t="n">
        <x:v>1.5438</x:v>
      </x:c>
      <x:c r="G86" s="37" t="s">
        <x:v>1114</x:v>
      </x:c>
      <x:c r="H86" s="37" t="n">
        <x:v>0</x:v>
      </x:c>
      <x:c r="I86" s="37" t="s">
        <x:v>1185</x:v>
      </x:c>
      <x:c r="J86" s="37" t="str">
        <x:v>Tropical &amp; Subtropical Dry Broadleaf Forests|2022</x:v>
      </x:c>
      <x:c r="K86" s="37" t="str">
        <x:v>Area × biological stock; VM0047 Eq.(3); PB separately by Biome×Cohort</x:v>
      </x:c>
      <x:c r="Q86" s="164" t="n">
        <x:f aca="0">IFERROR(SUMIF(S15_Source_Strata!$B$4:$B$49,$G86,S15_Source_Strata!$R$4:$R$49),0)</x:f>
        <x:v>0</x:v>
      </x:c>
      <x:c r="R86" s="164" t="n">
        <x:f aca="0">IFERROR(SUMIF(S15_Source_Strata!$B$4:$B$49,$G86,S15_Source_Strata!$S$4:$S$49),0)</x:f>
        <x:v>0</x:v>
      </x:c>
      <x:c r="S86" s="164" t="n">
        <x:f aca="0">IFERROR(SUMIF(S15_Source_Strata!$B$4:$B$49,$G86,S15_Source_Strata!$T$4:$T$49),0)</x:f>
        <x:v>0</x:v>
      </x:c>
      <x:c r="T86" s="164" t="n">
        <x:f aca="0">IFERROR(SUMIF(S15_Source_Strata!$B$4:$B$49,$G86,S15_Source_Strata!$U$4:$U$49),0)</x:f>
        <x:v>9.46686943239219</x:v>
      </x:c>
      <x:c r="U86" s="164" t="n">
        <x:f aca="0">IFERROR(SUMIF(S15_Source_Strata!$B$4:$B$49,$G86,S15_Source_Strata!$V$4:$V$49),0)</x:f>
        <x:v>88.93077941101656</x:v>
      </x:c>
      <x:c r="V86" s="164" t="n">
        <x:f aca="0">IFERROR(SUMIF(S15_Source_Strata!$B$4:$B$49,$G86,S15_Source_Strata!$W$4:$W$49),0)</x:f>
        <x:v>293.1760262106486</x:v>
      </x:c>
      <x:c r="W86" s="164" t="n">
        <x:f aca="0">IFERROR(SUMIF(S15_Source_Strata!$B$4:$B$49,$G86,S15_Source_Strata!$X$4:$X$49),0)</x:f>
        <x:v>636.828115363571</x:v>
      </x:c>
      <x:c r="X86" s="164" t="n">
        <x:f aca="0">IFERROR(SUMIF(S15_Source_Strata!$B$4:$B$49,$G86,S15_Source_Strata!$Y$4:$Y$49),0)</x:f>
        <x:v>1099.2043465568422</x:v>
      </x:c>
      <x:c r="Y86" s="164" t="n">
        <x:f aca="0">IFERROR(SUMIF(S15_Source_Strata!$B$4:$B$49,$G86,S15_Source_Strata!$Z$4:$Z$49),0)</x:f>
        <x:v>1646.0056798579817</x:v>
      </x:c>
      <x:c r="Z86" s="164" t="n">
        <x:f aca="0">IFERROR(SUMIF(S15_Source_Strata!$B$4:$B$49,$G86,S15_Source_Strata!$AA$4:$AA$49),0)</x:f>
        <x:v>2240.6839007197077</x:v>
      </x:c>
      <x:c r="AA86" s="164" t="n">
        <x:f aca="0">IFERROR(SUMIF(S15_Source_Strata!$B$4:$B$49,$G86,S15_Source_Strata!$AB$4:$AB$49),0)</x:f>
        <x:v>2851.03428183889</x:v>
      </x:c>
      <x:c r="AB86" s="164" t="n">
        <x:f aca="0">IFERROR(SUMIF(S15_Source_Strata!$B$4:$B$49,$G86,S15_Source_Strata!$AC$4:$AC$49),0)</x:f>
        <x:v>3451.8117555456984</x:v>
      </x:c>
      <x:c r="AC86" s="164" t="n">
        <x:f aca="0">IFERROR(SUMIF(S15_Source_Strata!$B$4:$B$49,$G86,S15_Source_Strata!$AD$4:$AD$49),0)</x:f>
        <x:v>4025.030790078594</x:v>
      </x:c>
      <x:c r="AD86" s="164" t="n">
        <x:f aca="0">IFERROR(SUMIF(S15_Source_Strata!$B$4:$B$49,$G86,S15_Source_Strata!$AE$4:$AE$49),0)</x:f>
        <x:v>4559.126358170222</x:v>
      </x:c>
      <x:c r="AE86" s="164" t="n">
        <x:f aca="0">IFERROR(SUMIF(S15_Source_Strata!$B$4:$B$49,$G86,S15_Source_Strata!$AF$4:$AF$49),0)</x:f>
        <x:v>5047.694563689464</x:v>
      </x:c>
      <x:c r="AF86" s="164" t="n">
        <x:f aca="0">IFERROR(SUMIF(S15_Source_Strata!$B$4:$B$49,$G86,S15_Source_Strata!$AG$4:$AG$49),0)</x:f>
        <x:v>5488.202382089278</x:v>
      </x:c>
      <x:c r="AG86" s="164" t="n">
        <x:f aca="0">IFERROR(SUMIF(S15_Source_Strata!$B$4:$B$49,$G86,S15_Source_Strata!$AH$4:$AH$49),0)</x:f>
        <x:v>5880.848744130731</x:v>
      </x:c>
      <x:c r="AH86" s="164" t="n">
        <x:f aca="0">IFERROR(SUMIF(S15_Source_Strata!$B$4:$B$49,$G86,S15_Source_Strata!$AI$4:$AI$49),0)</x:f>
        <x:v>6227.6404276265985</x:v>
      </x:c>
      <x:c r="AI86" s="164" t="n">
        <x:f aca="0">IFERROR(SUMIF(S15_Source_Strata!$B$4:$B$49,$G86,S15_Source_Strata!$AJ$4:$AJ$49),0)</x:f>
        <x:v>6531.684451358122</x:v>
      </x:c>
      <x:c r="AJ86" s="164" t="n">
        <x:f aca="0">IFERROR(SUMIF(S15_Source_Strata!$B$4:$B$49,$G86,S15_Source_Strata!$AK$4:$AK$49),0)</x:f>
        <x:v>6796.670771173728</x:v>
      </x:c>
      <x:c r="AK86" s="164" t="n">
        <x:f aca="0">IFERROR(SUMIF(S15_Source_Strata!$B$4:$B$49,$G86,S15_Source_Strata!$AL$4:$AL$49),0)</x:f>
        <x:v>7026.509892919597</x:v>
      </x:c>
      <x:c r="AL86" s="165" t="n">
        <x:f aca="0">$F86*Q86</x:f>
        <x:v>0</x:v>
      </x:c>
      <x:c r="AM86" s="165" t="n">
        <x:f aca="0">$F86*R86</x:f>
        <x:v>0</x:v>
      </x:c>
      <x:c r="AN86" s="165" t="n">
        <x:f aca="0">$F86*S86</x:f>
        <x:v>0</x:v>
      </x:c>
      <x:c r="AO86" s="165" t="n">
        <x:f aca="0">$F86*T86</x:f>
        <x:v>14.614953029727065</x:v>
      </x:c>
      <x:c r="AP86" s="165" t="n">
        <x:f aca="0">$F86*U86</x:f>
        <x:v>137.29133725472738</x:v>
      </x:c>
      <x:c r="AQ86" s="165" t="n">
        <x:f aca="0">$F86*V86</x:f>
        <x:v>452.60514926399935</x:v>
      </x:c>
      <x:c r="AR86" s="165" t="n">
        <x:f aca="0">$F86*W86</x:f>
        <x:v>983.1352444982809</x:v>
      </x:c>
      <x:c r="AS86" s="165" t="n">
        <x:f aca="0">$F86*X86</x:f>
        <x:v>1696.951670214453</x:v>
      </x:c>
      <x:c r="AT86" s="165" t="n">
        <x:f aca="0">$F86*Y86</x:f>
        <x:v>2541.103568564752</x:v>
      </x:c>
      <x:c r="AU86" s="165" t="n">
        <x:f aca="0">$F86*Z86</x:f>
        <x:v>3459.167805931085</x:v>
      </x:c>
      <x:c r="AV86" s="165" t="n">
        <x:f aca="0">$F86*AA86</x:f>
        <x:v>4401.426724302878</x:v>
      </x:c>
      <x:c r="AW86" s="165" t="n">
        <x:f aca="0">$F86*AB86</x:f>
        <x:v>5328.906988211449</x:v>
      </x:c>
      <x:c r="AX86" s="165" t="n">
        <x:f aca="0">$F86*AC86</x:f>
        <x:v>6213.842533723333</x:v>
      </x:c>
      <x:c r="AY86" s="165" t="n">
        <x:f aca="0">$F86*AD86</x:f>
        <x:v>7038.37927174319</x:v>
      </x:c>
      <x:c r="AZ86" s="165" t="n">
        <x:f aca="0">$F86*AE86</x:f>
        <x:v>7792.630867423795</x:v>
      </x:c>
      <x:c r="BA86" s="165" t="n">
        <x:f aca="0">$F86*AF86</x:f>
        <x:v>8472.686837469428</x:v>
      </x:c>
      <x:c r="BB86" s="165" t="n">
        <x:f aca="0">$F86*AG86</x:f>
        <x:v>9078.854291189022</x:v>
      </x:c>
      <x:c r="BC86" s="165" t="n">
        <x:f aca="0">$F86*AH86</x:f>
        <x:v>9614.231292169943</x:v>
      </x:c>
      <x:c r="BD86" s="165" t="n">
        <x:f aca="0">$F86*AI86</x:f>
        <x:v>10083.61445600667</x:v>
      </x:c>
      <x:c r="BE86" s="165" t="n">
        <x:f aca="0">$F86*AJ86</x:f>
        <x:v>10492.700336538002</x:v>
      </x:c>
      <x:c r="BF86" s="165" t="n">
        <x:f aca="0">$F86*AK86</x:f>
        <x:v>10847.525972689275</x:v>
      </x:c>
    </x:row>
    <x:row r="87" ht="15" hidden="0" customHeight="1">
      <x:c r="A87" s="37" t="str">
        <x:v>Tropical &amp; Subtropical Dry Broadleaf Forests</x:v>
      </x:c>
      <x:c r="B87" s="37" t="s">
        <x:v>113</x:v>
      </x:c>
      <x:c r="C87" s="37" t="s">
        <x:v>553</x:v>
      </x:c>
      <x:c r="D87" s="37" t="n">
        <x:v>2023</x:v>
      </x:c>
      <x:c r="E87" s="100" t="n">
        <x:v>5</x:v>
      </x:c>
      <x:c r="F87" s="100" t="n">
        <x:v>3.1224</x:v>
      </x:c>
      <x:c r="G87" s="37" t="s">
        <x:v>1117</x:v>
      </x:c>
      <x:c r="H87" s="37" t="n">
        <x:v>0</x:v>
      </x:c>
      <x:c r="I87" s="37" t="s">
        <x:v>1185</x:v>
      </x:c>
      <x:c r="J87" s="37" t="str">
        <x:v>Tropical &amp; Subtropical Dry Broadleaf Forests|2023</x:v>
      </x:c>
      <x:c r="K87" s="37" t="str">
        <x:v>Area × biological stock; VM0047 Eq.(3); PB separately by Biome×Cohort</x:v>
      </x:c>
      <x:c r="Q87" s="164" t="n">
        <x:f aca="0">IFERROR(SUMIF(S15_Source_Strata!$B$4:$B$49,$G87,S15_Source_Strata!$R$4:$R$49),0)</x:f>
        <x:v>0</x:v>
      </x:c>
      <x:c r="R87" s="164" t="n">
        <x:f aca="0">IFERROR(SUMIF(S15_Source_Strata!$B$4:$B$49,$G87,S15_Source_Strata!$S$4:$S$49),0)</x:f>
        <x:v>0</x:v>
      </x:c>
      <x:c r="S87" s="164" t="n">
        <x:f aca="0">IFERROR(SUMIF(S15_Source_Strata!$B$4:$B$49,$G87,S15_Source_Strata!$T$4:$T$49),0)</x:f>
        <x:v>0</x:v>
      </x:c>
      <x:c r="T87" s="164" t="n">
        <x:f aca="0">IFERROR(SUMIF(S15_Source_Strata!$B$4:$B$49,$G87,S15_Source_Strata!$U$4:$U$49),0)</x:f>
        <x:v>0</x:v>
      </x:c>
      <x:c r="U87" s="164" t="n">
        <x:f aca="0">IFERROR(SUMIF(S15_Source_Strata!$B$4:$B$49,$G87,S15_Source_Strata!$V$4:$V$49),0)</x:f>
        <x:v>2.2520589423441217</x:v>
      </x:c>
      <x:c r="V87" s="164" t="n">
        <x:f aca="0">IFERROR(SUMIF(S15_Source_Strata!$B$4:$B$49,$G87,S15_Source_Strata!$W$4:$W$49),0)</x:f>
        <x:v>21.884278389459922</x:v>
      </x:c>
      <x:c r="W87" s="164" t="n">
        <x:f aca="0">IFERROR(SUMIF(S15_Source_Strata!$B$4:$B$49,$G87,S15_Source_Strata!$X$4:$X$49),0)</x:f>
        <x:v>74.1459318561935</x:v>
      </x:c>
      <x:c r="X87" s="164" t="n">
        <x:f aca="0">IFERROR(SUMIF(S15_Source_Strata!$B$4:$B$49,$G87,S15_Source_Strata!$Y$4:$Y$49),0)</x:f>
        <x:v>165.0053198897656</x:v>
      </x:c>
      <x:c r="Y87" s="164" t="n">
        <x:f aca="0">IFERROR(SUMIF(S15_Source_Strata!$B$4:$B$49,$G87,S15_Source_Strata!$Z$4:$Z$49),0)</x:f>
        <x:v>291.19678663723766</x:v>
      </x:c>
      <x:c r="Z87" s="164" t="n">
        <x:f aca="0">IFERROR(SUMIF(S15_Source_Strata!$B$4:$B$49,$G87,S15_Source_Strata!$AA$4:$AA$49),0)</x:f>
        <x:v>445.1389074933852</x:v>
      </x:c>
      <x:c r="AA87" s="164" t="n">
        <x:f aca="0">IFERROR(SUMIF(S15_Source_Strata!$B$4:$B$49,$G87,S15_Source_Strata!$AB$4:$AB$49),0)</x:f>
        <x:v>617.7733770743615</x:v>
      </x:c>
      <x:c r="AB87" s="164" t="n">
        <x:f aca="0">IFERROR(SUMIF(S15_Source_Strata!$B$4:$B$49,$G87,S15_Source_Strata!$AC$4:$AC$49),0)</x:f>
        <x:v>800.4264115035201</x:v>
      </x:c>
      <x:c r="AC87" s="164" t="n">
        <x:f aca="0">IFERROR(SUMIF(S15_Source_Strata!$B$4:$B$49,$G87,S15_Source_Strata!$AD$4:$AD$49),0)</x:f>
        <x:v>985.7279908298748</x:v>
      </x:c>
      <x:c r="AD87" s="164" t="n">
        <x:f aca="0">IFERROR(SUMIF(S15_Source_Strata!$B$4:$B$49,$G87,S15_Source_Strata!$AE$4:$AE$49),0)</x:f>
        <x:v>1167.9219098726983</x:v>
      </x:c>
      <x:c r="AE87" s="164" t="n">
        <x:f aca="0">IFERROR(SUMIF(S15_Source_Strata!$B$4:$B$49,$G87,S15_Source_Strata!$AF$4:$AF$49),0)</x:f>
        <x:v>1342.832010122195</x:v>
      </x:c>
      <x:c r="AF87" s="164" t="n">
        <x:f aca="0">IFERROR(SUMIF(S15_Source_Strata!$B$4:$B$49,$G87,S15_Source_Strata!$AG$4:$AG$49),0)</x:f>
        <x:v>1507.6627401484152</x:v>
      </x:c>
      <x:c r="AG87" s="164" t="n">
        <x:f aca="0">IFERROR(SUMIF(S15_Source_Strata!$B$4:$B$49,$G87,S15_Source_Strata!$AH$4:$AH$49),0)</x:f>
        <x:v>1660.7415223375106</x:v>
      </x:c>
      <x:c r="AH87" s="164" t="n">
        <x:f aca="0">IFERROR(SUMIF(S15_Source_Strata!$B$4:$B$49,$G87,S15_Source_Strata!$AI$4:$AI$49),0)</x:f>
        <x:v>1801.2616538174398</x:v>
      </x:c>
      <x:c r="AI87" s="164" t="n">
        <x:f aca="0">IFERROR(SUMIF(S15_Source_Strata!$B$4:$B$49,$G87,S15_Source_Strata!$AJ$4:$AJ$49),0)</x:f>
        <x:v>1929.0538362337986</x:v>
      </x:c>
      <x:c r="AJ87" s="164" t="n">
        <x:f aca="0">IFERROR(SUMIF(S15_Source_Strata!$B$4:$B$49,$G87,S15_Source_Strata!$AK$4:$AK$49),0)</x:f>
        <x:v>2044.3965731837293</x:v>
      </x:c>
      <x:c r="AK87" s="164" t="n">
        <x:f aca="0">IFERROR(SUMIF(S15_Source_Strata!$B$4:$B$49,$G87,S15_Source_Strata!$AL$4:$AL$49),0)</x:f>
        <x:v>2147.8660772599324</x:v>
      </x:c>
      <x:c r="AL87" s="165" t="n">
        <x:f aca="0">$F87*Q87</x:f>
        <x:v>0</x:v>
      </x:c>
      <x:c r="AM87" s="165" t="n">
        <x:f aca="0">$F87*R87</x:f>
        <x:v>0</x:v>
      </x:c>
      <x:c r="AN87" s="165" t="n">
        <x:f aca="0">$F87*S87</x:f>
        <x:v>0</x:v>
      </x:c>
      <x:c r="AO87" s="165" t="n">
        <x:f aca="0">$F87*T87</x:f>
        <x:v>0</x:v>
      </x:c>
      <x:c r="AP87" s="165" t="n">
        <x:f aca="0">$F87*U87</x:f>
        <x:v>7.031828841575285</x:v>
      </x:c>
      <x:c r="AQ87" s="165" t="n">
        <x:f aca="0">$F87*V87</x:f>
        <x:v>68.33147084324966</x:v>
      </x:c>
      <x:c r="AR87" s="165" t="n">
        <x:f aca="0">$F87*W87</x:f>
        <x:v>231.51325762777856</x:v>
      </x:c>
      <x:c r="AS87" s="165" t="n">
        <x:f aca="0">$F87*X87</x:f>
        <x:v>515.2126108238041</x:v>
      </x:c>
      <x:c r="AT87" s="165" t="n">
        <x:f aca="0">$F87*Y87</x:f>
        <x:v>909.2328465961108</x:v>
      </x:c>
      <x:c r="AU87" s="165" t="n">
        <x:f aca="0">$F87*Z87</x:f>
        <x:v>1389.9017247573458</x:v>
      </x:c>
      <x:c r="AV87" s="165" t="n">
        <x:f aca="0">$F87*AA87</x:f>
        <x:v>1928.9355925769862</x:v>
      </x:c>
      <x:c r="AW87" s="165" t="n">
        <x:f aca="0">$F87*AB87</x:f>
        <x:v>2499.251427278591</x:v>
      </x:c>
      <x:c r="AX87" s="165" t="n">
        <x:f aca="0">$F87*AC87</x:f>
        <x:v>3077.837078567201</x:v>
      </x:c>
      <x:c r="AY87" s="165" t="n">
        <x:f aca="0">$F87*AD87</x:f>
        <x:v>3646.719371386513</x:v>
      </x:c>
      <x:c r="AZ87" s="165" t="n">
        <x:f aca="0">$F87*AE87</x:f>
        <x:v>4192.858668405542</x:v>
      </x:c>
      <x:c r="BA87" s="165" t="n">
        <x:f aca="0">$F87*AF87</x:f>
        <x:v>4707.526139839411</x:v>
      </x:c>
      <x:c r="BB87" s="165" t="n">
        <x:f aca="0">$F87*AG87</x:f>
        <x:v>5185.499329346642</x:v>
      </x:c>
      <x:c r="BC87" s="165" t="n">
        <x:f aca="0">$F87*AH87</x:f>
        <x:v>5624.259387879573</x:v>
      </x:c>
      <x:c r="BD87" s="165" t="n">
        <x:f aca="0">$F87*AI87</x:f>
        <x:v>6023.277698256413</x:v>
      </x:c>
      <x:c r="BE87" s="165" t="n">
        <x:f aca="0">$F87*AJ87</x:f>
        <x:v>6383.423860108876</x:v>
      </x:c>
      <x:c r="BF87" s="165" t="n">
        <x:f aca="0">$F87*AK87</x:f>
        <x:v>6706.497039636412</x:v>
      </x:c>
    </x:row>
    <x:row r="88" ht="15" hidden="0" customHeight="1">
      <x:c r="A88" s="37" t="str">
        <x:v>Tropical &amp; Subtropical Dry Broadleaf Forests</x:v>
      </x:c>
      <x:c r="B88" s="37" t="s">
        <x:v>113</x:v>
      </x:c>
      <x:c r="C88" s="37" t="s">
        <x:v>553</x:v>
      </x:c>
      <x:c r="D88" s="37" t="n">
        <x:v>2024</x:v>
      </x:c>
      <x:c r="E88" s="100" t="n">
        <x:v>2</x:v>
      </x:c>
      <x:c r="F88" s="100" t="n">
        <x:v>1.0587</x:v>
      </x:c>
      <x:c r="G88" s="37" t="s">
        <x:v>699</x:v>
      </x:c>
      <x:c r="H88" s="37" t="n">
        <x:v>1</x:v>
      </x:c>
      <x:c r="I88" s="37" t="s">
        <x:v>1180</x:v>
      </x:c>
      <x:c r="J88" s="37" t="str">
        <x:v>Tropical &amp; Subtropical Dry Broadleaf Forests|2024</x:v>
      </x:c>
      <x:c r="K88" s="37" t="str">
        <x:v>Area × biological stock; VM0047 Eq.(3); PB separately by Biome×Cohort</x:v>
      </x:c>
      <x:c r="Q88" s="164" t="n">
        <x:f aca="0">IFERROR(SUMIF(S15_Source_Strata!$B$4:$B$49,$G88,S15_Source_Strata!$R$4:$R$49),0)</x:f>
        <x:v>0</x:v>
      </x:c>
      <x:c r="R88" s="164" t="n">
        <x:f aca="0">IFERROR(SUMIF(S15_Source_Strata!$B$4:$B$49,$G88,S15_Source_Strata!$S$4:$S$49),0)</x:f>
        <x:v>0</x:v>
      </x:c>
      <x:c r="S88" s="164" t="n">
        <x:f aca="0">IFERROR(SUMIF(S15_Source_Strata!$B$4:$B$49,$G88,S15_Source_Strata!$T$4:$T$49),0)</x:f>
        <x:v>0</x:v>
      </x:c>
      <x:c r="T88" s="164" t="n">
        <x:f aca="0">IFERROR(SUMIF(S15_Source_Strata!$B$4:$B$49,$G88,S15_Source_Strata!$U$4:$U$49),0)</x:f>
        <x:v>0</x:v>
      </x:c>
      <x:c r="U88" s="164" t="n">
        <x:f aca="0">IFERROR(SUMIF(S15_Source_Strata!$B$4:$B$49,$G88,S15_Source_Strata!$V$4:$V$49),0)</x:f>
        <x:v>0</x:v>
      </x:c>
      <x:c r="V88" s="164" t="n">
        <x:f aca="0">IFERROR(SUMIF(S15_Source_Strata!$B$4:$B$49,$G88,S15_Source_Strata!$W$4:$W$49),0)</x:f>
        <x:v>2.2520589423441217</x:v>
      </x:c>
      <x:c r="W88" s="164" t="n">
        <x:f aca="0">IFERROR(SUMIF(S15_Source_Strata!$B$4:$B$49,$G88,S15_Source_Strata!$X$4:$X$49),0)</x:f>
        <x:v>21.884278389459922</x:v>
      </x:c>
      <x:c r="X88" s="164" t="n">
        <x:f aca="0">IFERROR(SUMIF(S15_Source_Strata!$B$4:$B$49,$G88,S15_Source_Strata!$Y$4:$Y$49),0)</x:f>
        <x:v>74.1459318561935</x:v>
      </x:c>
      <x:c r="Y88" s="164" t="n">
        <x:f aca="0">IFERROR(SUMIF(S15_Source_Strata!$B$4:$B$49,$G88,S15_Source_Strata!$Z$4:$Z$49),0)</x:f>
        <x:v>165.0053198897656</x:v>
      </x:c>
      <x:c r="Z88" s="164" t="n">
        <x:f aca="0">IFERROR(SUMIF(S15_Source_Strata!$B$4:$B$49,$G88,S15_Source_Strata!$AA$4:$AA$49),0)</x:f>
        <x:v>291.19678663723766</x:v>
      </x:c>
      <x:c r="AA88" s="164" t="n">
        <x:f aca="0">IFERROR(SUMIF(S15_Source_Strata!$B$4:$B$49,$G88,S15_Source_Strata!$AB$4:$AB$49),0)</x:f>
        <x:v>445.1389074933852</x:v>
      </x:c>
      <x:c r="AB88" s="164" t="n">
        <x:f aca="0">IFERROR(SUMIF(S15_Source_Strata!$B$4:$B$49,$G88,S15_Source_Strata!$AC$4:$AC$49),0)</x:f>
        <x:v>617.7733770743615</x:v>
      </x:c>
      <x:c r="AC88" s="164" t="n">
        <x:f aca="0">IFERROR(SUMIF(S15_Source_Strata!$B$4:$B$49,$G88,S15_Source_Strata!$AD$4:$AD$49),0)</x:f>
        <x:v>800.4264115035201</x:v>
      </x:c>
      <x:c r="AD88" s="164" t="n">
        <x:f aca="0">IFERROR(SUMIF(S15_Source_Strata!$B$4:$B$49,$G88,S15_Source_Strata!$AE$4:$AE$49),0)</x:f>
        <x:v>985.7279908298748</x:v>
      </x:c>
      <x:c r="AE88" s="164" t="n">
        <x:f aca="0">IFERROR(SUMIF(S15_Source_Strata!$B$4:$B$49,$G88,S15_Source_Strata!$AF$4:$AF$49),0)</x:f>
        <x:v>1167.9219098726983</x:v>
      </x:c>
      <x:c r="AF88" s="164" t="n">
        <x:f aca="0">IFERROR(SUMIF(S15_Source_Strata!$B$4:$B$49,$G88,S15_Source_Strata!$AG$4:$AG$49),0)</x:f>
        <x:v>1342.832010122195</x:v>
      </x:c>
      <x:c r="AG88" s="164" t="n">
        <x:f aca="0">IFERROR(SUMIF(S15_Source_Strata!$B$4:$B$49,$G88,S15_Source_Strata!$AH$4:$AH$49),0)</x:f>
        <x:v>1507.6627401484152</x:v>
      </x:c>
      <x:c r="AH88" s="164" t="n">
        <x:f aca="0">IFERROR(SUMIF(S15_Source_Strata!$B$4:$B$49,$G88,S15_Source_Strata!$AI$4:$AI$49),0)</x:f>
        <x:v>1660.7415223375106</x:v>
      </x:c>
      <x:c r="AI88" s="164" t="n">
        <x:f aca="0">IFERROR(SUMIF(S15_Source_Strata!$B$4:$B$49,$G88,S15_Source_Strata!$AJ$4:$AJ$49),0)</x:f>
        <x:v>1801.2616538174398</x:v>
      </x:c>
      <x:c r="AJ88" s="164" t="n">
        <x:f aca="0">IFERROR(SUMIF(S15_Source_Strata!$B$4:$B$49,$G88,S15_Source_Strata!$AK$4:$AK$49),0)</x:f>
        <x:v>1929.0538362337986</x:v>
      </x:c>
      <x:c r="AK88" s="164" t="n">
        <x:f aca="0">IFERROR(SUMIF(S15_Source_Strata!$B$4:$B$49,$G88,S15_Source_Strata!$AL$4:$AL$49),0)</x:f>
        <x:v>2044.3965731837293</x:v>
      </x:c>
      <x:c r="AL88" s="165" t="n">
        <x:f aca="0">$F88*Q88</x:f>
        <x:v>0</x:v>
      </x:c>
      <x:c r="AM88" s="165" t="n">
        <x:f aca="0">$F88*R88</x:f>
        <x:v>0</x:v>
      </x:c>
      <x:c r="AN88" s="165" t="n">
        <x:f aca="0">$F88*S88</x:f>
        <x:v>0</x:v>
      </x:c>
      <x:c r="AO88" s="165" t="n">
        <x:f aca="0">$F88*T88</x:f>
        <x:v>0</x:v>
      </x:c>
      <x:c r="AP88" s="165" t="n">
        <x:f aca="0">$F88*U88</x:f>
        <x:v>0</x:v>
      </x:c>
      <x:c r="AQ88" s="165" t="n">
        <x:f aca="0">$F88*V88</x:f>
        <x:v>2.3842548022597216</x:v>
      </x:c>
      <x:c r="AR88" s="165" t="n">
        <x:f aca="0">$F88*W88</x:f>
        <x:v>23.16888553092122</x:v>
      </x:c>
      <x:c r="AS88" s="165" t="n">
        <x:f aca="0">$F88*X88</x:f>
        <x:v>78.49829805615205</x:v>
      </x:c>
      <x:c r="AT88" s="165" t="n">
        <x:f aca="0">$F88*Y88</x:f>
        <x:v>174.69113216729482</x:v>
      </x:c>
      <x:c r="AU88" s="165" t="n">
        <x:f aca="0">$F88*Z88</x:f>
        <x:v>308.2900380128435</x:v>
      </x:c>
      <x:c r="AV88" s="165" t="n">
        <x:f aca="0">$F88*AA88</x:f>
        <x:v>471.26856136324693</x:v>
      </x:c>
      <x:c r="AW88" s="165" t="n">
        <x:f aca="0">$F88*AB88</x:f>
        <x:v>654.0366743086265</x:v>
      </x:c>
      <x:c r="AX88" s="165" t="n">
        <x:f aca="0">$F88*AC88</x:f>
        <x:v>847.4114418587767</x:v>
      </x:c>
      <x:c r="AY88" s="165" t="n">
        <x:f aca="0">$F88*AD88</x:f>
        <x:v>1043.5902238915885</x:v>
      </x:c>
      <x:c r="AZ88" s="165" t="n">
        <x:f aca="0">$F88*AE88</x:f>
        <x:v>1236.4789259822257</x:v>
      </x:c>
      <x:c r="BA88" s="165" t="n">
        <x:f aca="0">$F88*AF88</x:f>
        <x:v>1421.656249116368</x:v>
      </x:c>
      <x:c r="BB88" s="165" t="n">
        <x:f aca="0">$F88*AG88</x:f>
        <x:v>1596.162542995127</x:v>
      </x:c>
      <x:c r="BC88" s="165" t="n">
        <x:f aca="0">$F88*AH88</x:f>
        <x:v>1758.2270496987223</x:v>
      </x:c>
      <x:c r="BD88" s="165" t="n">
        <x:f aca="0">$F88*AI88</x:f>
        <x:v>1906.9957128965234</x:v>
      </x:c>
      <x:c r="BE88" s="165" t="n">
        <x:f aca="0">$F88*AJ88</x:f>
        <x:v>2042.2892964207226</x:v>
      </x:c>
      <x:c r="BF88" s="165" t="n">
        <x:f aca="0">$F88*AK88</x:f>
        <x:v>2164.4026520296143</x:v>
      </x:c>
    </x:row>
    <x:row r="89" ht="15" hidden="0" customHeight="1">
      <x:c r="A89" s="37" t="str">
        <x:v>Tropical &amp; Subtropical Dry Broadleaf Forests</x:v>
      </x:c>
      <x:c r="B89" s="37" t="s">
        <x:v>114</x:v>
      </x:c>
      <x:c r="C89" s="37" t="s">
        <x:v>549</x:v>
      </x:c>
      <x:c r="D89" s="37" t="n">
        <x:v>2020</x:v>
      </x:c>
      <x:c r="E89" s="100" t="n">
        <x:v>2</x:v>
      </x:c>
      <x:c r="F89" s="100" t="n">
        <x:v>2.8397</x:v>
      </x:c>
      <x:c r="G89" s="37" t="s">
        <x:v>635</x:v>
      </x:c>
      <x:c r="H89" s="37" t="n">
        <x:v>1</x:v>
      </x:c>
      <x:c r="I89" s="37" t="s">
        <x:v>1180</x:v>
      </x:c>
      <x:c r="J89" s="37" t="str">
        <x:v>Tropical &amp; Subtropical Dry Broadleaf Forests|2020</x:v>
      </x:c>
      <x:c r="K89" s="37" t="str">
        <x:v>Area × biological stock; VM0047 Eq.(3); PB separately by Biome×Cohort</x:v>
      </x:c>
      <x:c r="Q89" s="164" t="n">
        <x:f aca="0">IFERROR(SUMIF(S15_Source_Strata!$B$4:$B$49,$G89,S15_Source_Strata!$R$4:$R$49),0)</x:f>
        <x:v>0</x:v>
      </x:c>
      <x:c r="R89" s="164" t="n">
        <x:f aca="0">IFERROR(SUMIF(S15_Source_Strata!$B$4:$B$49,$G89,S15_Source_Strata!$S$4:$S$49),0)</x:f>
        <x:v>0.046254888411774796</x:v>
      </x:c>
      <x:c r="S89" s="164" t="n">
        <x:f aca="0">IFERROR(SUMIF(S15_Source_Strata!$B$4:$B$49,$G89,S15_Source_Strata!$T$4:$T$49),0)</x:f>
        <x:v>0.559787503763154</x:v>
      </x:c>
      <x:c r="T89" s="164" t="n">
        <x:f aca="0">IFERROR(SUMIF(S15_Source_Strata!$B$4:$B$49,$G89,S15_Source_Strata!$U$4:$U$49),0)</x:f>
        <x:v>2.1525618957049653</x:v>
      </x:c>
      <x:c r="U89" s="164" t="n">
        <x:f aca="0">IFERROR(SUMIF(S15_Source_Strata!$B$4:$B$49,$G89,S15_Source_Strata!$V$4:$V$49),0)</x:f>
        <x:v>5.231956049273246</x:v>
      </x:c>
      <x:c r="V89" s="164" t="n">
        <x:f aca="0">IFERROR(SUMIF(S15_Source_Strata!$B$4:$B$49,$G89,S15_Source_Strata!$W$4:$W$49),0)</x:f>
        <x:v>9.873631177848152</x:v>
      </x:c>
      <x:c r="W89" s="164" t="n">
        <x:f aca="0">IFERROR(SUMIF(S15_Source_Strata!$B$4:$B$49,$G89,S15_Source_Strata!$X$4:$X$49),0)</x:f>
        <x:v>15.925334979259612</x:v>
      </x:c>
      <x:c r="X89" s="164" t="n">
        <x:f aca="0">IFERROR(SUMIF(S15_Source_Strata!$B$4:$B$49,$G89,S15_Source_Strata!$Y$4:$Y$49),0)</x:f>
        <x:v>23.103901481651665</x:v>
      </x:c>
      <x:c r="Y89" s="164" t="n">
        <x:f aca="0">IFERROR(SUMIF(S15_Source_Strata!$B$4:$B$49,$G89,S15_Source_Strata!$Z$4:$Z$49),0)</x:f>
        <x:v>31.078357140853388</x:v>
      </x:c>
      <x:c r="Z89" s="164" t="n">
        <x:f aca="0">IFERROR(SUMIF(S15_Source_Strata!$B$4:$B$49,$G89,S15_Source_Strata!$AA$4:$AA$49),0)</x:f>
        <x:v>39.52477316412803</x:v>
      </x:c>
      <x:c r="AA89" s="164" t="n">
        <x:f aca="0">IFERROR(SUMIF(S15_Source_Strata!$B$4:$B$49,$G89,S15_Source_Strata!$AB$4:$AB$49),0)</x:f>
        <x:v>48.15687920897</x:v>
      </x:c>
      <x:c r="AB89" s="164" t="n">
        <x:f aca="0">IFERROR(SUMIF(S15_Source_Strata!$B$4:$B$49,$G89,S15_Source_Strata!$AC$4:$AC$49),0)</x:f>
        <x:v>56.73940749069144</x:v>
      </x:c>
      <x:c r="AC89" s="164" t="n">
        <x:f aca="0">IFERROR(SUMIF(S15_Source_Strata!$B$4:$B$49,$G89,S15_Source_Strata!$AD$4:$AD$49),0)</x:f>
        <x:v>65.09050604602129</x:v>
      </x:c>
      <x:c r="AD89" s="164" t="n">
        <x:f aca="0">IFERROR(SUMIF(S15_Source_Strata!$B$4:$B$49,$G89,S15_Source_Strata!$AE$4:$AE$49),0)</x:f>
        <x:v>73.07797761375203</x:v>
      </x:c>
      <x:c r="AE89" s="164" t="n">
        <x:f aca="0">IFERROR(SUMIF(S15_Source_Strata!$B$4:$B$49,$G89,S15_Source_Strata!$AF$4:$AF$49),0)</x:f>
        <x:v>80.6125574125609</x:v>
      </x:c>
      <x:c r="AF89" s="164" t="n">
        <x:f aca="0">IFERROR(SUMIF(S15_Source_Strata!$B$4:$B$49,$G89,S15_Source_Strata!$AG$4:$AG$49),0)</x:f>
        <x:v>87.64023262313314</x:v>
      </x:c>
      <x:c r="AG89" s="164" t="n">
        <x:f aca="0">IFERROR(SUMIF(S15_Source_Strata!$B$4:$B$49,$G89,S15_Source_Strata!$AH$4:$AH$49),0)</x:f>
        <x:v>94.13475185567395</x:v>
      </x:c>
      <x:c r="AH89" s="164" t="n">
        <x:f aca="0">IFERROR(SUMIF(S15_Source_Strata!$B$4:$B$49,$G89,S15_Source_Strata!$AI$4:$AI$49),0)</x:f>
        <x:v>100.09091031997525</x:v>
      </x:c>
      <x:c r="AI89" s="164" t="n">
        <x:f aca="0">IFERROR(SUMIF(S15_Source_Strata!$B$4:$B$49,$G89,S15_Source_Strata!$AJ$4:$AJ$49),0)</x:f>
        <x:v>105.51884744668214</x:v>
      </x:c>
      <x:c r="AJ89" s="164" t="n">
        <x:f aca="0">IFERROR(SUMIF(S15_Source_Strata!$B$4:$B$49,$G89,S15_Source_Strata!$AK$4:$AK$49),0)</x:f>
        <x:v>110.43939071910346</x:v>
      </x:c>
      <x:c r="AK89" s="164" t="n">
        <x:f aca="0">IFERROR(SUMIF(S15_Source_Strata!$B$4:$B$49,$G89,S15_Source_Strata!$AL$4:$AL$49),0)</x:f>
        <x:v>114.88037132308999</x:v>
      </x:c>
      <x:c r="AL89" s="165" t="n">
        <x:f aca="0">$F89*Q89</x:f>
        <x:v>0</x:v>
      </x:c>
      <x:c r="AM89" s="165" t="n">
        <x:f aca="0">$F89*R89</x:f>
        <x:v>0.1313500066229169</x:v>
      </x:c>
      <x:c r="AN89" s="165" t="n">
        <x:f aca="0">$F89*S89</x:f>
        <x:v>1.5896285744362284</x:v>
      </x:c>
      <x:c r="AO89" s="165" t="n">
        <x:f aca="0">$F89*T89</x:f>
        <x:v>6.11263001523339</x:v>
      </x:c>
      <x:c r="AP89" s="165" t="n">
        <x:f aca="0">$F89*U89</x:f>
        <x:v>14.857185593121239</x:v>
      </x:c>
      <x:c r="AQ89" s="165" t="n">
        <x:f aca="0">$F89*V89</x:f>
        <x:v>28.038150455735398</x:v>
      </x:c>
      <x:c r="AR89" s="165" t="n">
        <x:f aca="0">$F89*W89</x:f>
        <x:v>45.22317374060352</x:v>
      </x:c>
      <x:c r="AS89" s="165" t="n">
        <x:f aca="0">$F89*X89</x:f>
        <x:v>65.60814903744624</x:v>
      </x:c>
      <x:c r="AT89" s="165" t="n">
        <x:f aca="0">$F89*Y89</x:f>
        <x:v>88.25321077288137</x:v>
      </x:c>
      <x:c r="AU89" s="165" t="n">
        <x:f aca="0">$F89*Z89</x:f>
        <x:v>112.23849835417437</x:v>
      </x:c>
      <x:c r="AV89" s="165" t="n">
        <x:f aca="0">$F89*AA89</x:f>
        <x:v>136.75108988971212</x:v>
      </x:c>
      <x:c r="AW89" s="165" t="n">
        <x:f aca="0">$F89*AB89</x:f>
        <x:v>161.12289545131648</x:v>
      </x:c>
      <x:c r="AX89" s="165" t="n">
        <x:f aca="0">$F89*AC89</x:f>
        <x:v>184.83751001888666</x:v>
      </x:c>
      <x:c r="AY89" s="165" t="n">
        <x:f aca="0">$F89*AD89</x:f>
        <x:v>207.51953302977162</x:v>
      </x:c>
      <x:c r="AZ89" s="165" t="n">
        <x:f aca="0">$F89*AE89</x:f>
        <x:v>228.91547928444922</x:v>
      </x:c>
      <x:c r="BA89" s="165" t="n">
        <x:f aca="0">$F89*AF89</x:f>
        <x:v>248.8719685799112</x:v>
      </x:c>
      <x:c r="BB89" s="165" t="n">
        <x:f aca="0">$F89*AG89</x:f>
        <x:v>267.31445484455736</x:v>
      </x:c>
      <x:c r="BC89" s="165" t="n">
        <x:f aca="0">$F89*AH89</x:f>
        <x:v>284.2281580356337</x:v>
      </x:c>
      <x:c r="BD89" s="165" t="n">
        <x:f aca="0">$F89*AI89</x:f>
        <x:v>299.6418710943433</x:v>
      </x:c>
      <x:c r="BE89" s="165" t="n">
        <x:f aca="0">$F89*AJ89</x:f>
        <x:v>313.6147378250381</x:v>
      </x:c>
      <x:c r="BF89" s="165" t="n">
        <x:f aca="0">$F89*AK89</x:f>
        <x:v>326.2257904461787</x:v>
      </x:c>
    </x:row>
    <x:row r="90" ht="15" hidden="0" customHeight="1">
      <x:c r="A90" s="37" t="str">
        <x:v>Tropical &amp; Subtropical Dry Broadleaf Forests</x:v>
      </x:c>
      <x:c r="B90" s="37" t="s">
        <x:v>114</x:v>
      </x:c>
      <x:c r="C90" s="37" t="s">
        <x:v>553</x:v>
      </x:c>
      <x:c r="D90" s="37" t="n">
        <x:v>2020</x:v>
      </x:c>
      <x:c r="E90" s="100" t="n">
        <x:v>7</x:v>
      </x:c>
      <x:c r="F90" s="100" t="n">
        <x:v>7.251</x:v>
      </x:c>
      <x:c r="G90" s="37" t="s">
        <x:v>638</x:v>
      </x:c>
      <x:c r="H90" s="37" t="n">
        <x:v>1</x:v>
      </x:c>
      <x:c r="I90" s="37" t="s">
        <x:v>1180</x:v>
      </x:c>
      <x:c r="J90" s="37" t="str">
        <x:v>Tropical &amp; Subtropical Dry Broadleaf Forests|2020</x:v>
      </x:c>
      <x:c r="K90" s="37" t="str">
        <x:v>Area × biological stock; VM0047 Eq.(3); PB separately by Biome×Cohort</x:v>
      </x:c>
      <x:c r="Q90" s="164" t="n">
        <x:f aca="0">IFERROR(SUMIF(S15_Source_Strata!$B$4:$B$49,$G90,S15_Source_Strata!$R$4:$R$49),0)</x:f>
        <x:v>0</x:v>
      </x:c>
      <x:c r="R90" s="164" t="n">
        <x:f aca="0">IFERROR(SUMIF(S15_Source_Strata!$B$4:$B$49,$G90,S15_Source_Strata!$S$4:$S$49),0)</x:f>
        <x:v>0.2723417518114028</x:v>
      </x:c>
      <x:c r="S90" s="164" t="n">
        <x:f aca="0">IFERROR(SUMIF(S15_Source_Strata!$B$4:$B$49,$G90,S15_Source_Strata!$T$4:$T$49),0)</x:f>
        <x:v>3.248895379183343</x:v>
      </x:c>
      <x:c r="T90" s="164" t="n">
        <x:f aca="0">IFERROR(SUMIF(S15_Source_Strata!$B$4:$B$49,$G90,S15_Source_Strata!$U$4:$U$49),0)</x:f>
        <x:v>12.403995886039331</x:v>
      </x:c>
      <x:c r="U90" s="164" t="n">
        <x:f aca="0">IFERROR(SUMIF(S15_Source_Strata!$B$4:$B$49,$G90,S15_Source_Strata!$V$4:$V$49),0)</x:f>
        <x:v>30.01595620534883</x:v>
      </x:c>
      <x:c r="V90" s="164" t="n">
        <x:f aca="0">IFERROR(SUMIF(S15_Source_Strata!$B$4:$B$49,$G90,S15_Source_Strata!$W$4:$W$49),0)</x:f>
        <x:v>56.46525888548903</x:v>
      </x:c>
      <x:c r="W90" s="164" t="n">
        <x:f aca="0">IFERROR(SUMIF(S15_Source_Strata!$B$4:$B$49,$G90,S15_Source_Strata!$X$4:$X$49),0)</x:f>
        <x:v>90.83662104379438</x:v>
      </x:c>
      <x:c r="X90" s="164" t="n">
        <x:f aca="0">IFERROR(SUMIF(S15_Source_Strata!$B$4:$B$49,$G90,S15_Source_Strata!$Y$4:$Y$49),0)</x:f>
        <x:v>131.47494963585845</x:v>
      </x:c>
      <x:c r="Y90" s="164" t="n">
        <x:f aca="0">IFERROR(SUMIF(S15_Source_Strata!$B$4:$B$49,$G90,S15_Source_Strata!$Z$4:$Z$49),0)</x:f>
        <x:v>176.462752881878</x:v>
      </x:c>
      <x:c r="Z90" s="164" t="n">
        <x:f aca="0">IFERROR(SUMIF(S15_Source_Strata!$B$4:$B$49,$G90,S15_Source_Strata!$AA$4:$AA$49),0)</x:f>
        <x:v>223.93563928265257</x:v>
      </x:c>
      <x:c r="AA90" s="164" t="n">
        <x:f aca="0">IFERROR(SUMIF(S15_Source_Strata!$B$4:$B$49,$G90,S15_Source_Strata!$AB$4:$AB$49),0)</x:f>
        <x:v>272.25774963049446</x:v>
      </x:c>
      <x:c r="AB90" s="164" t="n">
        <x:f aca="0">IFERROR(SUMIF(S15_Source_Strata!$B$4:$B$49,$G90,S15_Source_Strata!$AC$4:$AC$49),0)</x:f>
        <x:v>320.09677991534846</x:v>
      </x:c>
      <x:c r="AC90" s="164" t="n">
        <x:f aca="0">IFERROR(SUMIF(S15_Source_Strata!$B$4:$B$49,$G90,S15_Source_Strata!$AD$4:$AD$49),0)</x:f>
        <x:v>366.4353060349873</x:v>
      </x:c>
      <x:c r="AD90" s="164" t="n">
        <x:f aca="0">IFERROR(SUMIF(S15_Source_Strata!$B$4:$B$49,$G90,S15_Source_Strata!$AE$4:$AE$49),0)</x:f>
        <x:v>410.5462671133159</x:v>
      </x:c>
      <x:c r="AE90" s="164" t="n">
        <x:f aca="0">IFERROR(SUMIF(S15_Source_Strata!$B$4:$B$49,$G90,S15_Source_Strata!$AF$4:$AF$49),0)</x:f>
        <x:v>451.9515457000744</x:v>
      </x:c>
      <x:c r="AF90" s="164" t="n">
        <x:f aca="0">IFERROR(SUMIF(S15_Source_Strata!$B$4:$B$49,$G90,S15_Source_Strata!$AG$4:$AG$49),0)</x:f>
        <x:v>490.375463494989</x:v>
      </x:c>
      <x:c r="AG90" s="164" t="n">
        <x:f aca="0">IFERROR(SUMIF(S15_Source_Strata!$B$4:$B$49,$G90,S15_Source_Strata!$AH$4:$AH$49),0)</x:f>
        <x:v>525.6999326358658</x:v>
      </x:c>
      <x:c r="AH90" s="164" t="n">
        <x:f aca="0">IFERROR(SUMIF(S15_Source_Strata!$B$4:$B$49,$G90,S15_Source_Strata!$AI$4:$AI$49),0)</x:f>
        <x:v>557.9246430745985</x:v>
      </x:c>
      <x:c r="AI90" s="164" t="n">
        <x:f aca="0">IFERROR(SUMIF(S15_Source_Strata!$B$4:$B$49,$G90,S15_Source_Strata!$AJ$4:$AJ$49),0)</x:f>
        <x:v>587.1335840474726</x:v>
      </x:c>
      <x:c r="AJ90" s="164" t="n">
        <x:f aca="0">IFERROR(SUMIF(S15_Source_Strata!$B$4:$B$49,$G90,S15_Source_Strata!$AK$4:$AK$49),0)</x:f>
        <x:v>613.4679951072424</x:v>
      </x:c>
      <x:c r="AK90" s="164" t="n">
        <x:f aca="0">IFERROR(SUMIF(S15_Source_Strata!$B$4:$B$49,$G90,S15_Source_Strata!$AL$4:$AL$49),0)</x:f>
        <x:v>637.105212789708</x:v>
      </x:c>
      <x:c r="AL90" s="165" t="n">
        <x:f aca="0">$F90*Q90</x:f>
        <x:v>0</x:v>
      </x:c>
      <x:c r="AM90" s="165" t="n">
        <x:f aca="0">$F90*R90</x:f>
        <x:v>1.9747500423844817</x:v>
      </x:c>
      <x:c r="AN90" s="165" t="n">
        <x:f aca="0">$F90*S90</x:f>
        <x:v>23.55774039445842</x:v>
      </x:c>
      <x:c r="AO90" s="165" t="n">
        <x:f aca="0">$F90*T90</x:f>
        <x:v>89.94137416967119</x:v>
      </x:c>
      <x:c r="AP90" s="165" t="n">
        <x:f aca="0">$F90*U90</x:f>
        <x:v>217.64569844498436</x:v>
      </x:c>
      <x:c r="AQ90" s="165" t="n">
        <x:f aca="0">$F90*V90</x:f>
        <x:v>409.42959217868093</x:v>
      </x:c>
      <x:c r="AR90" s="165" t="n">
        <x:f aca="0">$F90*W90</x:f>
        <x:v>658.656339188553</x:v>
      </x:c>
      <x:c r="AS90" s="165" t="n">
        <x:f aca="0">$F90*X90</x:f>
        <x:v>953.3248598096096</x:v>
      </x:c>
      <x:c r="AT90" s="165" t="n">
        <x:f aca="0">$F90*Y90</x:f>
        <x:v>1279.5314211464975</x:v>
      </x:c>
      <x:c r="AU90" s="165" t="n">
        <x:f aca="0">$F90*Z90</x:f>
        <x:v>1623.757320438514</x:v>
      </x:c>
      <x:c r="AV90" s="165" t="n">
        <x:f aca="0">$F90*AA90</x:f>
        <x:v>1974.1409425707154</x:v>
      </x:c>
      <x:c r="AW90" s="165" t="n">
        <x:f aca="0">$F90*AB90</x:f>
        <x:v>2321.0217511661917</x:v>
      </x:c>
      <x:c r="AX90" s="165" t="n">
        <x:f aca="0">$F90*AC90</x:f>
        <x:v>2657.022404059693</x:v>
      </x:c>
      <x:c r="AY90" s="165" t="n">
        <x:f aca="0">$F90*AD90</x:f>
        <x:v>2976.8709828386536</x:v>
      </x:c>
      <x:c r="AZ90" s="165" t="n">
        <x:f aca="0">$F90*AE90</x:f>
        <x:v>3277.1006578712395</x:v>
      </x:c>
      <x:c r="BA90" s="165" t="n">
        <x:f aca="0">$F90*AF90</x:f>
        <x:v>3555.7124858021652</x:v>
      </x:c>
      <x:c r="BB90" s="165" t="n">
        <x:f aca="0">$F90*AG90</x:f>
        <x:v>3811.850211542663</x:v>
      </x:c>
      <x:c r="BC90" s="165" t="n">
        <x:f aca="0">$F90*AH90</x:f>
        <x:v>4045.5115869339143</x:v>
      </x:c>
      <x:c r="BD90" s="165" t="n">
        <x:f aca="0">$F90*AI90</x:f>
        <x:v>4257.305617928224</x:v>
      </x:c>
      <x:c r="BE90" s="165" t="n">
        <x:f aca="0">$F90*AJ90</x:f>
        <x:v>4448.256432522615</x:v>
      </x:c>
      <x:c r="BF90" s="165" t="n">
        <x:f aca="0">$F90*AK90</x:f>
        <x:v>4619.649897938173</x:v>
      </x:c>
    </x:row>
    <x:row r="91" ht="15" hidden="0" customHeight="1">
      <x:c r="A91" s="37" t="str">
        <x:v>Tropical &amp; Subtropical Dry Broadleaf Forests</x:v>
      </x:c>
      <x:c r="B91" s="37" t="s">
        <x:v>114</x:v>
      </x:c>
      <x:c r="C91" s="37" t="s">
        <x:v>542</x:v>
      </x:c>
      <x:c r="D91" s="37" t="n">
        <x:v>2020</x:v>
      </x:c>
      <x:c r="E91" s="100" t="n">
        <x:v>4</x:v>
      </x:c>
      <x:c r="F91" s="100" t="n">
        <x:v>1.5118</x:v>
      </x:c>
      <x:c r="G91" s="37" t="s">
        <x:v>630</x:v>
      </x:c>
      <x:c r="H91" s="37" t="n">
        <x:v>2</x:v>
      </x:c>
      <x:c r="I91" s="37" t="s">
        <x:v>1180</x:v>
      </x:c>
      <x:c r="J91" s="37" t="str">
        <x:v>Tropical &amp; Subtropical Dry Broadleaf Forests|2020</x:v>
      </x:c>
      <x:c r="K91" s="37" t="str">
        <x:v>Area × biological stock; VM0047 Eq.(3); PB separately by Biome×Cohort</x:v>
      </x:c>
      <x:c r="Q91" s="164" t="n">
        <x:f aca="0">IFERROR(SUMIF(S15_Source_Strata!$B$4:$B$49,$G91,S15_Source_Strata!$R$4:$R$49),0)</x:f>
        <x:v>0</x:v>
      </x:c>
      <x:c r="R91" s="164" t="n">
        <x:f aca="0">IFERROR(SUMIF(S15_Source_Strata!$B$4:$B$49,$G91,S15_Source_Strata!$S$4:$S$49),0)</x:f>
        <x:v>6.009795344304627</x:v>
      </x:c>
      <x:c r="S91" s="164" t="n">
        <x:f aca="0">IFERROR(SUMIF(S15_Source_Strata!$B$4:$B$49,$G91,S15_Source_Strata!$T$4:$T$49),0)</x:f>
        <x:v>61.820362843600975</x:v>
      </x:c>
      <x:c r="T91" s="164" t="n">
        <x:f aca="0">IFERROR(SUMIF(S15_Source_Strata!$B$4:$B$49,$G91,S15_Source_Strata!$U$4:$U$49),0)</x:f>
        <x:v>217.50091954084098</x:v>
      </x:c>
      <x:c r="U91" s="164" t="n">
        <x:f aca="0">IFERROR(SUMIF(S15_Source_Strata!$B$4:$B$49,$G91,S15_Source_Strata!$V$4:$V$49),0)</x:f>
        <x:v>498.0928975601912</x:v>
      </x:c>
      <x:c r="V91" s="164" t="n">
        <x:f aca="0">IFERROR(SUMIF(S15_Source_Strata!$B$4:$B$49,$G91,S15_Source_Strata!$W$4:$W$49),0)</x:f>
        <x:v>899.5079414320759</x:v>
      </x:c>
      <x:c r="W91" s="164" t="n">
        <x:f aca="0">IFERROR(SUMIF(S15_Source_Strata!$B$4:$B$49,$G91,S15_Source_Strata!$X$4:$X$49),0)</x:f>
        <x:v>1401.5328517171295</x:v>
      </x:c>
      <x:c r="X91" s="164" t="n">
        <x:f aca="0">IFERROR(SUMIF(S15_Source_Strata!$B$4:$B$49,$G91,S15_Source_Strata!$Y$4:$Y$49),0)</x:f>
        <x:v>1976.5981157122822</x:v>
      </x:c>
      <x:c r="Y91" s="164" t="n">
        <x:f aca="0">IFERROR(SUMIF(S15_Source_Strata!$B$4:$B$49,$G91,S15_Source_Strata!$Z$4:$Z$49),0)</x:f>
        <x:v>2596.2558974862486</x:v>
      </x:c>
      <x:c r="Z91" s="164" t="n">
        <x:f aca="0">IFERROR(SUMIF(S15_Source_Strata!$B$4:$B$49,$G91,S15_Source_Strata!$AA$4:$AA$49),0)</x:f>
        <x:v>3234.895357024884</x:v>
      </x:c>
      <x:c r="AA91" s="164" t="n">
        <x:f aca="0">IFERROR(SUMIF(S15_Source_Strata!$B$4:$B$49,$G91,S15_Source_Strata!$AB$4:$AB$49),0)</x:f>
        <x:v>3871.4377798758233</x:v>
      </x:c>
      <x:c r="AB91" s="164" t="n">
        <x:f aca="0">IFERROR(SUMIF(S15_Source_Strata!$B$4:$B$49,$G91,S15_Source_Strata!$AC$4:$AC$49),0)</x:f>
        <x:v>4489.74798737567</x:v>
      </x:c>
      <x:c r="AC91" s="164" t="n">
        <x:f aca="0">IFERROR(SUMIF(S15_Source_Strata!$B$4:$B$49,$G91,S15_Source_Strata!$AD$4:$AD$49),0)</x:f>
        <x:v>5078.324909326893</x:v>
      </x:c>
      <x:c r="AD91" s="164" t="n">
        <x:f aca="0">IFERROR(SUMIF(S15_Source_Strata!$B$4:$B$49,$G91,S15_Source_Strata!$AE$4:$AE$49),0)</x:f>
        <x:v>5629.650503945901</x:v>
      </x:c>
      <x:c r="AE91" s="164" t="n">
        <x:f aca="0">IFERROR(SUMIF(S15_Source_Strata!$B$4:$B$49,$G91,S15_Source_Strata!$AF$4:$AF$49),0)</x:f>
        <x:v>6139.429972260172</x:v>
      </x:c>
      <x:c r="AF91" s="164" t="n">
        <x:f aca="0">IFERROR(SUMIF(S15_Source_Strata!$B$4:$B$49,$G91,S15_Source_Strata!$AG$4:$AG$49),0)</x:f>
        <x:v>6605.853532248976</x:v>
      </x:c>
      <x:c r="AG91" s="164" t="n">
        <x:f aca="0">IFERROR(SUMIF(S15_Source_Strata!$B$4:$B$49,$G91,S15_Source_Strata!$AH$4:$AH$49),0)</x:f>
        <x:v>7028.943525230924</x:v>
      </x:c>
      <x:c r="AH91" s="164" t="n">
        <x:f aca="0">IFERROR(SUMIF(S15_Source_Strata!$B$4:$B$49,$G91,S15_Source_Strata!$AI$4:$AI$49),0)</x:f>
        <x:v>7410.010436543258</x:v>
      </x:c>
      <x:c r="AI91" s="164" t="n">
        <x:f aca="0">IFERROR(SUMIF(S15_Source_Strata!$B$4:$B$49,$G91,S15_Source_Strata!$AJ$4:$AJ$49),0)</x:f>
        <x:v>7751.2188950683785</x:v>
      </x:c>
      <x:c r="AJ91" s="164" t="n">
        <x:f aca="0">IFERROR(SUMIF(S15_Source_Strata!$B$4:$B$49,$G91,S15_Source_Strata!$AK$4:$AK$49),0)</x:f>
        <x:v>8055.25339281208</x:v>
      </x:c>
      <x:c r="AK91" s="164" t="n">
        <x:f aca="0">IFERROR(SUMIF(S15_Source_Strata!$B$4:$B$49,$G91,S15_Source_Strata!$AL$4:$AL$49),0)</x:f>
        <x:v>8325.068852688742</x:v>
      </x:c>
      <x:c r="AL91" s="165" t="n">
        <x:f aca="0">$F91*Q91</x:f>
        <x:v>0</x:v>
      </x:c>
      <x:c r="AM91" s="165" t="n">
        <x:f aca="0">$F91*R91</x:f>
        <x:v>9.085608601519736</x:v>
      </x:c>
      <x:c r="AN91" s="165" t="n">
        <x:f aca="0">$F91*S91</x:f>
        <x:v>93.46002454695595</x:v>
      </x:c>
      <x:c r="AO91" s="165" t="n">
        <x:f aca="0">$F91*T91</x:f>
        <x:v>328.8178901618434</x:v>
      </x:c>
      <x:c r="AP91" s="165" t="n">
        <x:f aca="0">$F91*U91</x:f>
        <x:v>753.0168425314971</x:v>
      </x:c>
      <x:c r="AQ91" s="165" t="n">
        <x:f aca="0">$F91*V91</x:f>
        <x:v>1359.8761058570124</x:v>
      </x:c>
      <x:c r="AR91" s="165" t="n">
        <x:f aca="0">$F91*W91</x:f>
        <x:v>2118.8373652259565</x:v>
      </x:c>
      <x:c r="AS91" s="165" t="n">
        <x:f aca="0">$F91*X91</x:f>
        <x:v>2988.2210313338283</x:v>
      </x:c>
      <x:c r="AT91" s="165" t="n">
        <x:f aca="0">$F91*Y91</x:f>
        <x:v>3925.0196658197106</x:v>
      </x:c>
      <x:c r="AU91" s="165" t="n">
        <x:f aca="0">$F91*Z91</x:f>
        <x:v>4890.51480075022</x:v>
      </x:c>
      <x:c r="AV91" s="165" t="n">
        <x:f aca="0">$F91*AA91</x:f>
        <x:v>5852.839635616269</x:v>
      </x:c>
      <x:c r="AW91" s="165" t="n">
        <x:f aca="0">$F91*AB91</x:f>
        <x:v>6787.601007314538</x:v>
      </x:c>
      <x:c r="AX91" s="165" t="n">
        <x:f aca="0">$F91*AC91</x:f>
        <x:v>7677.411597920397</x:v>
      </x:c>
      <x:c r="AY91" s="165" t="n">
        <x:f aca="0">$F91*AD91</x:f>
        <x:v>8510.905631865413</x:v>
      </x:c>
      <x:c r="AZ91" s="165" t="n">
        <x:f aca="0">$F91*AE91</x:f>
        <x:v>9281.590232062928</x:v>
      </x:c>
      <x:c r="BA91" s="165" t="n">
        <x:f aca="0">$F91*AF91</x:f>
        <x:v>9986.729370054003</x:v>
      </x:c>
      <x:c r="BB91" s="165" t="n">
        <x:f aca="0">$F91*AG91</x:f>
        <x:v>10626.356821444111</x:v>
      </x:c>
      <x:c r="BC91" s="165" t="n">
        <x:f aca="0">$F91*AH91</x:f>
        <x:v>11202.453777966099</x:v>
      </x:c>
      <x:c r="BD91" s="165" t="n">
        <x:f aca="0">$F91*AI91</x:f>
        <x:v>11718.292725564375</x:v>
      </x:c>
      <x:c r="BE91" s="165" t="n">
        <x:f aca="0">$F91*AJ91</x:f>
        <x:v>12177.932079253304</x:v>
      </x:c>
      <x:c r="BF91" s="165" t="n">
        <x:f aca="0">$F91*AK91</x:f>
        <x:v>12585.839091494841</x:v>
      </x:c>
    </x:row>
    <x:row r="92" ht="15" hidden="0" customHeight="1">
      <x:c r="A92" s="37" t="str">
        <x:v>Tropical &amp; Subtropical Dry Broadleaf Forests</x:v>
      </x:c>
      <x:c r="B92" s="37" t="s">
        <x:v>114</x:v>
      </x:c>
      <x:c r="C92" s="37" t="s">
        <x:v>549</x:v>
      </x:c>
      <x:c r="D92" s="37" t="n">
        <x:v>2021</x:v>
      </x:c>
      <x:c r="E92" s="100" t="n">
        <x:v>2</x:v>
      </x:c>
      <x:c r="F92" s="100" t="n">
        <x:v>1.0421</x:v>
      </x:c>
      <x:c r="G92" s="37" t="s">
        <x:v>1111</x:v>
      </x:c>
      <x:c r="H92" s="37" t="n">
        <x:v>0</x:v>
      </x:c>
      <x:c r="I92" s="37" t="s">
        <x:v>1185</x:v>
      </x:c>
      <x:c r="J92" s="37" t="str">
        <x:v>Tropical &amp; Subtropical Dry Broadleaf Forests|2021</x:v>
      </x:c>
      <x:c r="K92" s="37" t="str">
        <x:v>Area × biological stock; VM0047 Eq.(3); PB separately by Biome×Cohort</x:v>
      </x:c>
      <x:c r="Q92" s="164" t="n">
        <x:f aca="0">IFERROR(SUMIF(S15_Source_Strata!$B$4:$B$49,$G92,S15_Source_Strata!$R$4:$R$49),0)</x:f>
        <x:v>0</x:v>
      </x:c>
      <x:c r="R92" s="164" t="n">
        <x:f aca="0">IFERROR(SUMIF(S15_Source_Strata!$B$4:$B$49,$G92,S15_Source_Strata!$S$4:$S$49),0)</x:f>
        <x:v>0</x:v>
      </x:c>
      <x:c r="S92" s="164" t="n">
        <x:f aca="0">IFERROR(SUMIF(S15_Source_Strata!$B$4:$B$49,$G92,S15_Source_Strata!$T$4:$T$49),0)</x:f>
        <x:v>0.046254888411774796</x:v>
      </x:c>
      <x:c r="T92" s="164" t="n">
        <x:f aca="0">IFERROR(SUMIF(S15_Source_Strata!$B$4:$B$49,$G92,S15_Source_Strata!$U$4:$U$49),0)</x:f>
        <x:v>0.559787503763154</x:v>
      </x:c>
      <x:c r="U92" s="164" t="n">
        <x:f aca="0">IFERROR(SUMIF(S15_Source_Strata!$B$4:$B$49,$G92,S15_Source_Strata!$V$4:$V$49),0)</x:f>
        <x:v>2.1525618957049653</x:v>
      </x:c>
      <x:c r="V92" s="164" t="n">
        <x:f aca="0">IFERROR(SUMIF(S15_Source_Strata!$B$4:$B$49,$G92,S15_Source_Strata!$W$4:$W$49),0)</x:f>
        <x:v>5.231956049273246</x:v>
      </x:c>
      <x:c r="W92" s="164" t="n">
        <x:f aca="0">IFERROR(SUMIF(S15_Source_Strata!$B$4:$B$49,$G92,S15_Source_Strata!$X$4:$X$49),0)</x:f>
        <x:v>9.873631177848152</x:v>
      </x:c>
      <x:c r="X92" s="164" t="n">
        <x:f aca="0">IFERROR(SUMIF(S15_Source_Strata!$B$4:$B$49,$G92,S15_Source_Strata!$Y$4:$Y$49),0)</x:f>
        <x:v>15.925334979259612</x:v>
      </x:c>
      <x:c r="Y92" s="164" t="n">
        <x:f aca="0">IFERROR(SUMIF(S15_Source_Strata!$B$4:$B$49,$G92,S15_Source_Strata!$Z$4:$Z$49),0)</x:f>
        <x:v>23.103901481651665</x:v>
      </x:c>
      <x:c r="Z92" s="164" t="n">
        <x:f aca="0">IFERROR(SUMIF(S15_Source_Strata!$B$4:$B$49,$G92,S15_Source_Strata!$AA$4:$AA$49),0)</x:f>
        <x:v>31.078357140853388</x:v>
      </x:c>
      <x:c r="AA92" s="164" t="n">
        <x:f aca="0">IFERROR(SUMIF(S15_Source_Strata!$B$4:$B$49,$G92,S15_Source_Strata!$AB$4:$AB$49),0)</x:f>
        <x:v>39.52477316412803</x:v>
      </x:c>
      <x:c r="AB92" s="164" t="n">
        <x:f aca="0">IFERROR(SUMIF(S15_Source_Strata!$B$4:$B$49,$G92,S15_Source_Strata!$AC$4:$AC$49),0)</x:f>
        <x:v>48.15687920897</x:v>
      </x:c>
      <x:c r="AC92" s="164" t="n">
        <x:f aca="0">IFERROR(SUMIF(S15_Source_Strata!$B$4:$B$49,$G92,S15_Source_Strata!$AD$4:$AD$49),0)</x:f>
        <x:v>56.73940749069144</x:v>
      </x:c>
      <x:c r="AD92" s="164" t="n">
        <x:f aca="0">IFERROR(SUMIF(S15_Source_Strata!$B$4:$B$49,$G92,S15_Source_Strata!$AE$4:$AE$49),0)</x:f>
        <x:v>65.09050604602129</x:v>
      </x:c>
      <x:c r="AE92" s="164" t="n">
        <x:f aca="0">IFERROR(SUMIF(S15_Source_Strata!$B$4:$B$49,$G92,S15_Source_Strata!$AF$4:$AF$49),0)</x:f>
        <x:v>73.07797761375203</x:v>
      </x:c>
      <x:c r="AF92" s="164" t="n">
        <x:f aca="0">IFERROR(SUMIF(S15_Source_Strata!$B$4:$B$49,$G92,S15_Source_Strata!$AG$4:$AG$49),0)</x:f>
        <x:v>80.6125574125609</x:v>
      </x:c>
      <x:c r="AG92" s="164" t="n">
        <x:f aca="0">IFERROR(SUMIF(S15_Source_Strata!$B$4:$B$49,$G92,S15_Source_Strata!$AH$4:$AH$49),0)</x:f>
        <x:v>87.64023262313314</x:v>
      </x:c>
      <x:c r="AH92" s="164" t="n">
        <x:f aca="0">IFERROR(SUMIF(S15_Source_Strata!$B$4:$B$49,$G92,S15_Source_Strata!$AI$4:$AI$49),0)</x:f>
        <x:v>94.13475185567395</x:v>
      </x:c>
      <x:c r="AI92" s="164" t="n">
        <x:f aca="0">IFERROR(SUMIF(S15_Source_Strata!$B$4:$B$49,$G92,S15_Source_Strata!$AJ$4:$AJ$49),0)</x:f>
        <x:v>100.09091031997525</x:v>
      </x:c>
      <x:c r="AJ92" s="164" t="n">
        <x:f aca="0">IFERROR(SUMIF(S15_Source_Strata!$B$4:$B$49,$G92,S15_Source_Strata!$AK$4:$AK$49),0)</x:f>
        <x:v>105.51884744668214</x:v>
      </x:c>
      <x:c r="AK92" s="164" t="n">
        <x:f aca="0">IFERROR(SUMIF(S15_Source_Strata!$B$4:$B$49,$G92,S15_Source_Strata!$AL$4:$AL$49),0)</x:f>
        <x:v>110.43939071910346</x:v>
      </x:c>
      <x:c r="AL92" s="165" t="n">
        <x:f aca="0">$F92*Q92</x:f>
        <x:v>0</x:v>
      </x:c>
      <x:c r="AM92" s="165" t="n">
        <x:f aca="0">$F92*R92</x:f>
        <x:v>0</x:v>
      </x:c>
      <x:c r="AN92" s="165" t="n">
        <x:f aca="0">$F92*S92</x:f>
        <x:v>0.04820221921391052</x:v>
      </x:c>
      <x:c r="AO92" s="165" t="n">
        <x:f aca="0">$F92*T92</x:f>
        <x:v>0.5833545576715828</x:v>
      </x:c>
      <x:c r="AP92" s="165" t="n">
        <x:f aca="0">$F92*U92</x:f>
        <x:v>2.2431847515141445</x:v>
      </x:c>
      <x:c r="AQ92" s="165" t="n">
        <x:f aca="0">$F92*V92</x:f>
        <x:v>5.45222139894765</x:v>
      </x:c>
      <x:c r="AR92" s="165" t="n">
        <x:f aca="0">$F92*W92</x:f>
        <x:v>10.28931105043556</x:v>
      </x:c>
      <x:c r="AS92" s="165" t="n">
        <x:f aca="0">$F92*X92</x:f>
        <x:v>16.59579158188644</x:v>
      </x:c>
      <x:c r="AT92" s="165" t="n">
        <x:f aca="0">$F92*Y92</x:f>
        <x:v>24.076575734029202</x:v>
      </x:c>
      <x:c r="AU92" s="165" t="n">
        <x:f aca="0">$F92*Z92</x:f>
        <x:v>32.386755976483315</x:v>
      </x:c>
      <x:c r="AV92" s="165" t="n">
        <x:f aca="0">$F92*AA92</x:f>
        <x:v>41.18876611433782</x:v>
      </x:c>
      <x:c r="AW92" s="165" t="n">
        <x:f aca="0">$F92*AB92</x:f>
        <x:v>50.184283823667634</x:v>
      </x:c>
      <x:c r="AX92" s="165" t="n">
        <x:f aca="0">$F92*AC92</x:f>
        <x:v>59.128136546049554</x:v>
      </x:c>
      <x:c r="AY92" s="165" t="n">
        <x:f aca="0">$F92*AD92</x:f>
        <x:v>67.83081635055879</x:v>
      </x:c>
      <x:c r="AZ92" s="165" t="n">
        <x:f aca="0">$F92*AE92</x:f>
        <x:v>76.15456047129099</x:v>
      </x:c>
      <x:c r="BA92" s="165" t="n">
        <x:f aca="0">$F92*AF92</x:f>
        <x:v>84.00634607962972</x:v>
      </x:c>
      <x:c r="BB92" s="165" t="n">
        <x:f aca="0">$F92*AG92</x:f>
        <x:v>91.32988641656705</x:v>
      </x:c>
      <x:c r="BC92" s="165" t="n">
        <x:f aca="0">$F92*AH92</x:f>
        <x:v>98.09782490879783</x:v>
      </x:c>
      <x:c r="BD92" s="165" t="n">
        <x:f aca="0">$F92*AI92</x:f>
        <x:v>104.3047376444462</x:v>
      </x:c>
      <x:c r="BE92" s="165" t="n">
        <x:f aca="0">$F92*AJ92</x:f>
        <x:v>109.96119092418746</x:v>
      </x:c>
      <x:c r="BF92" s="165" t="n">
        <x:f aca="0">$F92*AK92</x:f>
        <x:v>115.08888906837771</x:v>
      </x:c>
    </x:row>
    <x:row r="93" ht="15" hidden="0" customHeight="1">
      <x:c r="A93" s="37" t="str">
        <x:v>Tropical &amp; Subtropical Dry Broadleaf Forests</x:v>
      </x:c>
      <x:c r="B93" s="37" t="s">
        <x:v>114</x:v>
      </x:c>
      <x:c r="C93" s="37" t="s">
        <x:v>553</x:v>
      </x:c>
      <x:c r="D93" s="37" t="n">
        <x:v>2021</x:v>
      </x:c>
      <x:c r="E93" s="100" t="n">
        <x:v>4</x:v>
      </x:c>
      <x:c r="F93" s="100" t="n">
        <x:v>3.0725</x:v>
      </x:c>
      <x:c r="G93" s="37" t="s">
        <x:v>641</x:v>
      </x:c>
      <x:c r="H93" s="37" t="n">
        <x:v>1</x:v>
      </x:c>
      <x:c r="I93" s="37" t="s">
        <x:v>1180</x:v>
      </x:c>
      <x:c r="J93" s="37" t="str">
        <x:v>Tropical &amp; Subtropical Dry Broadleaf Forests|2021</x:v>
      </x:c>
      <x:c r="K93" s="37" t="str">
        <x:v>Area × biological stock; VM0047 Eq.(3); PB separately by Biome×Cohort</x:v>
      </x:c>
      <x:c r="Q93" s="164" t="n">
        <x:f aca="0">IFERROR(SUMIF(S15_Source_Strata!$B$4:$B$49,$G93,S15_Source_Strata!$R$4:$R$49),0)</x:f>
        <x:v>0</x:v>
      </x:c>
      <x:c r="R93" s="164" t="n">
        <x:f aca="0">IFERROR(SUMIF(S15_Source_Strata!$B$4:$B$49,$G93,S15_Source_Strata!$S$4:$S$49),0)</x:f>
        <x:v>0</x:v>
      </x:c>
      <x:c r="S93" s="164" t="n">
        <x:f aca="0">IFERROR(SUMIF(S15_Source_Strata!$B$4:$B$49,$G93,S15_Source_Strata!$T$4:$T$49),0)</x:f>
        <x:v>0.2723417518114028</x:v>
      </x:c>
      <x:c r="T93" s="164" t="n">
        <x:f aca="0">IFERROR(SUMIF(S15_Source_Strata!$B$4:$B$49,$G93,S15_Source_Strata!$U$4:$U$49),0)</x:f>
        <x:v>3.248895379183343</x:v>
      </x:c>
      <x:c r="U93" s="164" t="n">
        <x:f aca="0">IFERROR(SUMIF(S15_Source_Strata!$B$4:$B$49,$G93,S15_Source_Strata!$V$4:$V$49),0)</x:f>
        <x:v>12.403995886039331</x:v>
      </x:c>
      <x:c r="V93" s="164" t="n">
        <x:f aca="0">IFERROR(SUMIF(S15_Source_Strata!$B$4:$B$49,$G93,S15_Source_Strata!$W$4:$W$49),0)</x:f>
        <x:v>30.01595620534883</x:v>
      </x:c>
      <x:c r="W93" s="164" t="n">
        <x:f aca="0">IFERROR(SUMIF(S15_Source_Strata!$B$4:$B$49,$G93,S15_Source_Strata!$X$4:$X$49),0)</x:f>
        <x:v>56.46525888548903</x:v>
      </x:c>
      <x:c r="X93" s="164" t="n">
        <x:f aca="0">IFERROR(SUMIF(S15_Source_Strata!$B$4:$B$49,$G93,S15_Source_Strata!$Y$4:$Y$49),0)</x:f>
        <x:v>90.83662104379438</x:v>
      </x:c>
      <x:c r="Y93" s="164" t="n">
        <x:f aca="0">IFERROR(SUMIF(S15_Source_Strata!$B$4:$B$49,$G93,S15_Source_Strata!$Z$4:$Z$49),0)</x:f>
        <x:v>131.47494963585845</x:v>
      </x:c>
      <x:c r="Z93" s="164" t="n">
        <x:f aca="0">IFERROR(SUMIF(S15_Source_Strata!$B$4:$B$49,$G93,S15_Source_Strata!$AA$4:$AA$49),0)</x:f>
        <x:v>176.462752881878</x:v>
      </x:c>
      <x:c r="AA93" s="164" t="n">
        <x:f aca="0">IFERROR(SUMIF(S15_Source_Strata!$B$4:$B$49,$G93,S15_Source_Strata!$AB$4:$AB$49),0)</x:f>
        <x:v>223.93563928265257</x:v>
      </x:c>
      <x:c r="AB93" s="164" t="n">
        <x:f aca="0">IFERROR(SUMIF(S15_Source_Strata!$B$4:$B$49,$G93,S15_Source_Strata!$AC$4:$AC$49),0)</x:f>
        <x:v>272.25774963049446</x:v>
      </x:c>
      <x:c r="AC93" s="164" t="n">
        <x:f aca="0">IFERROR(SUMIF(S15_Source_Strata!$B$4:$B$49,$G93,S15_Source_Strata!$AD$4:$AD$49),0)</x:f>
        <x:v>320.09677991534846</x:v>
      </x:c>
      <x:c r="AD93" s="164" t="n">
        <x:f aca="0">IFERROR(SUMIF(S15_Source_Strata!$B$4:$B$49,$G93,S15_Source_Strata!$AE$4:$AE$49),0)</x:f>
        <x:v>366.4353060349873</x:v>
      </x:c>
      <x:c r="AE93" s="164" t="n">
        <x:f aca="0">IFERROR(SUMIF(S15_Source_Strata!$B$4:$B$49,$G93,S15_Source_Strata!$AF$4:$AF$49),0)</x:f>
        <x:v>410.5462671133159</x:v>
      </x:c>
      <x:c r="AF93" s="164" t="n">
        <x:f aca="0">IFERROR(SUMIF(S15_Source_Strata!$B$4:$B$49,$G93,S15_Source_Strata!$AG$4:$AG$49),0)</x:f>
        <x:v>451.9515457000744</x:v>
      </x:c>
      <x:c r="AG93" s="164" t="n">
        <x:f aca="0">IFERROR(SUMIF(S15_Source_Strata!$B$4:$B$49,$G93,S15_Source_Strata!$AH$4:$AH$49),0)</x:f>
        <x:v>490.375463494989</x:v>
      </x:c>
      <x:c r="AH93" s="164" t="n">
        <x:f aca="0">IFERROR(SUMIF(S15_Source_Strata!$B$4:$B$49,$G93,S15_Source_Strata!$AI$4:$AI$49),0)</x:f>
        <x:v>525.6999326358658</x:v>
      </x:c>
      <x:c r="AI93" s="164" t="n">
        <x:f aca="0">IFERROR(SUMIF(S15_Source_Strata!$B$4:$B$49,$G93,S15_Source_Strata!$AJ$4:$AJ$49),0)</x:f>
        <x:v>557.9246430745985</x:v>
      </x:c>
      <x:c r="AJ93" s="164" t="n">
        <x:f aca="0">IFERROR(SUMIF(S15_Source_Strata!$B$4:$B$49,$G93,S15_Source_Strata!$AK$4:$AK$49),0)</x:f>
        <x:v>587.1335840474726</x:v>
      </x:c>
      <x:c r="AK93" s="164" t="n">
        <x:f aca="0">IFERROR(SUMIF(S15_Source_Strata!$B$4:$B$49,$G93,S15_Source_Strata!$AL$4:$AL$49),0)</x:f>
        <x:v>613.4679951072424</x:v>
      </x:c>
      <x:c r="AL93" s="165" t="n">
        <x:f aca="0">$F93*Q93</x:f>
        <x:v>0</x:v>
      </x:c>
      <x:c r="AM93" s="165" t="n">
        <x:f aca="0">$F93*R93</x:f>
        <x:v>0</x:v>
      </x:c>
      <x:c r="AN93" s="165" t="n">
        <x:f aca="0">$F93*S93</x:f>
        <x:v>0.836770032440535</x:v>
      </x:c>
      <x:c r="AO93" s="165" t="n">
        <x:f aca="0">$F93*T93</x:f>
        <x:v>9.98223105254082</x:v>
      </x:c>
      <x:c r="AP93" s="165" t="n">
        <x:f aca="0">$F93*U93</x:f>
        <x:v>38.11127735985584</x:v>
      </x:c>
      <x:c r="AQ93" s="165" t="n">
        <x:f aca="0">$F93*V93</x:f>
        <x:v>92.22402544093427</x:v>
      </x:c>
      <x:c r="AR93" s="165" t="n">
        <x:f aca="0">$F93*W93</x:f>
        <x:v>173.48950792566504</x:v>
      </x:c>
      <x:c r="AS93" s="165" t="n">
        <x:f aca="0">$F93*X93</x:f>
        <x:v>279.0955181570582</x:v>
      </x:c>
      <x:c r="AT93" s="165" t="n">
        <x:f aca="0">$F93*Y93</x:f>
        <x:v>403.9567827561751</x:v>
      </x:c>
      <x:c r="AU93" s="165" t="n">
        <x:f aca="0">$F93*Z93</x:f>
        <x:v>542.1818082295702</x:v>
      </x:c>
      <x:c r="AV93" s="165" t="n">
        <x:f aca="0">$F93*AA93</x:f>
        <x:v>688.04225169595</x:v>
      </x:c>
      <x:c r="AW93" s="165" t="n">
        <x:f aca="0">$F93*AB93</x:f>
        <x:v>836.5119357396942</x:v>
      </x:c>
      <x:c r="AX93" s="165" t="n">
        <x:f aca="0">$F93*AC93</x:f>
        <x:v>983.4973562899081</x:v>
      </x:c>
      <x:c r="AY93" s="165" t="n">
        <x:f aca="0">$F93*AD93</x:f>
        <x:v>1125.8724777924986</x:v>
      </x:c>
      <x:c r="AZ93" s="165" t="n">
        <x:f aca="0">$F93*AE93</x:f>
        <x:v>1261.4034057056629</x:v>
      </x:c>
      <x:c r="BA93" s="165" t="n">
        <x:f aca="0">$F93*AF93</x:f>
        <x:v>1388.6211241634785</x:v>
      </x:c>
      <x:c r="BB93" s="165" t="n">
        <x:f aca="0">$F93*AG93</x:f>
        <x:v>1506.6786115883535</x:v>
      </x:c>
      <x:c r="BC93" s="165" t="n">
        <x:f aca="0">$F93*AH93</x:f>
        <x:v>1615.2130430236975</x:v>
      </x:c>
      <x:c r="BD93" s="165" t="n">
        <x:f aca="0">$F93*AI93</x:f>
        <x:v>1714.223465846704</x:v>
      </x:c>
      <x:c r="BE93" s="165" t="n">
        <x:f aca="0">$F93*AJ93</x:f>
        <x:v>1803.9679369858595</x:v>
      </x:c>
      <x:c r="BF93" s="165" t="n">
        <x:f aca="0">$F93*AK93</x:f>
        <x:v>1884.880414967002</x:v>
      </x:c>
    </x:row>
    <x:row r="94" ht="15" hidden="0" customHeight="1">
      <x:c r="A94" s="37" t="str">
        <x:v>Tropical &amp; Subtropical Dry Broadleaf Forests</x:v>
      </x:c>
      <x:c r="B94" s="37" t="s">
        <x:v>114</x:v>
      </x:c>
      <x:c r="C94" s="37" t="s">
        <x:v>553</x:v>
      </x:c>
      <x:c r="D94" s="37" t="n">
        <x:v>2023</x:v>
      </x:c>
      <x:c r="E94" s="100" t="n">
        <x:v>1</x:v>
      </x:c>
      <x:c r="F94" s="100" t="n">
        <x:v>1.6105</x:v>
      </x:c>
      <x:c r="G94" s="37" t="s">
        <x:v>647</x:v>
      </x:c>
      <x:c r="H94" s="37" t="n">
        <x:v>1</x:v>
      </x:c>
      <x:c r="I94" s="37" t="s">
        <x:v>1180</x:v>
      </x:c>
      <x:c r="J94" s="37" t="str">
        <x:v>Tropical &amp; Subtropical Dry Broadleaf Forests|2023</x:v>
      </x:c>
      <x:c r="K94" s="37" t="str">
        <x:v>Area × biological stock; VM0047 Eq.(3); PB separately by Biome×Cohort</x:v>
      </x:c>
      <x:c r="Q94" s="164" t="n">
        <x:f aca="0">IFERROR(SUMIF(S15_Source_Strata!$B$4:$B$49,$G94,S15_Source_Strata!$R$4:$R$49),0)</x:f>
        <x:v>0</x:v>
      </x:c>
      <x:c r="R94" s="164" t="n">
        <x:f aca="0">IFERROR(SUMIF(S15_Source_Strata!$B$4:$B$49,$G94,S15_Source_Strata!$S$4:$S$49),0)</x:f>
        <x:v>0</x:v>
      </x:c>
      <x:c r="S94" s="164" t="n">
        <x:f aca="0">IFERROR(SUMIF(S15_Source_Strata!$B$4:$B$49,$G94,S15_Source_Strata!$T$4:$T$49),0)</x:f>
        <x:v>0</x:v>
      </x:c>
      <x:c r="T94" s="164" t="n">
        <x:f aca="0">IFERROR(SUMIF(S15_Source_Strata!$B$4:$B$49,$G94,S15_Source_Strata!$U$4:$U$49),0)</x:f>
        <x:v>0</x:v>
      </x:c>
      <x:c r="U94" s="164" t="n">
        <x:f aca="0">IFERROR(SUMIF(S15_Source_Strata!$B$4:$B$49,$G94,S15_Source_Strata!$V$4:$V$49),0)</x:f>
        <x:v>0.2723417518114028</x:v>
      </x:c>
      <x:c r="V94" s="164" t="n">
        <x:f aca="0">IFERROR(SUMIF(S15_Source_Strata!$B$4:$B$49,$G94,S15_Source_Strata!$W$4:$W$49),0)</x:f>
        <x:v>3.248895379183343</x:v>
      </x:c>
      <x:c r="W94" s="164" t="n">
        <x:f aca="0">IFERROR(SUMIF(S15_Source_Strata!$B$4:$B$49,$G94,S15_Source_Strata!$X$4:$X$49),0)</x:f>
        <x:v>12.403995886039331</x:v>
      </x:c>
      <x:c r="X94" s="164" t="n">
        <x:f aca="0">IFERROR(SUMIF(S15_Source_Strata!$B$4:$B$49,$G94,S15_Source_Strata!$Y$4:$Y$49),0)</x:f>
        <x:v>30.01595620534883</x:v>
      </x:c>
      <x:c r="Y94" s="164" t="n">
        <x:f aca="0">IFERROR(SUMIF(S15_Source_Strata!$B$4:$B$49,$G94,S15_Source_Strata!$Z$4:$Z$49),0)</x:f>
        <x:v>56.46525888548903</x:v>
      </x:c>
      <x:c r="Z94" s="164" t="n">
        <x:f aca="0">IFERROR(SUMIF(S15_Source_Strata!$B$4:$B$49,$G94,S15_Source_Strata!$AA$4:$AA$49),0)</x:f>
        <x:v>90.83662104379438</x:v>
      </x:c>
      <x:c r="AA94" s="164" t="n">
        <x:f aca="0">IFERROR(SUMIF(S15_Source_Strata!$B$4:$B$49,$G94,S15_Source_Strata!$AB$4:$AB$49),0)</x:f>
        <x:v>131.47494963585845</x:v>
      </x:c>
      <x:c r="AB94" s="164" t="n">
        <x:f aca="0">IFERROR(SUMIF(S15_Source_Strata!$B$4:$B$49,$G94,S15_Source_Strata!$AC$4:$AC$49),0)</x:f>
        <x:v>176.462752881878</x:v>
      </x:c>
      <x:c r="AC94" s="164" t="n">
        <x:f aca="0">IFERROR(SUMIF(S15_Source_Strata!$B$4:$B$49,$G94,S15_Source_Strata!$AD$4:$AD$49),0)</x:f>
        <x:v>223.93563928265257</x:v>
      </x:c>
      <x:c r="AD94" s="164" t="n">
        <x:f aca="0">IFERROR(SUMIF(S15_Source_Strata!$B$4:$B$49,$G94,S15_Source_Strata!$AE$4:$AE$49),0)</x:f>
        <x:v>272.25774963049446</x:v>
      </x:c>
      <x:c r="AE94" s="164" t="n">
        <x:f aca="0">IFERROR(SUMIF(S15_Source_Strata!$B$4:$B$49,$G94,S15_Source_Strata!$AF$4:$AF$49),0)</x:f>
        <x:v>320.09677991534846</x:v>
      </x:c>
      <x:c r="AF94" s="164" t="n">
        <x:f aca="0">IFERROR(SUMIF(S15_Source_Strata!$B$4:$B$49,$G94,S15_Source_Strata!$AG$4:$AG$49),0)</x:f>
        <x:v>366.4353060349873</x:v>
      </x:c>
      <x:c r="AG94" s="164" t="n">
        <x:f aca="0">IFERROR(SUMIF(S15_Source_Strata!$B$4:$B$49,$G94,S15_Source_Strata!$AH$4:$AH$49),0)</x:f>
        <x:v>410.5462671133159</x:v>
      </x:c>
      <x:c r="AH94" s="164" t="n">
        <x:f aca="0">IFERROR(SUMIF(S15_Source_Strata!$B$4:$B$49,$G94,S15_Source_Strata!$AI$4:$AI$49),0)</x:f>
        <x:v>451.9515457000744</x:v>
      </x:c>
      <x:c r="AI94" s="164" t="n">
        <x:f aca="0">IFERROR(SUMIF(S15_Source_Strata!$B$4:$B$49,$G94,S15_Source_Strata!$AJ$4:$AJ$49),0)</x:f>
        <x:v>490.375463494989</x:v>
      </x:c>
      <x:c r="AJ94" s="164" t="n">
        <x:f aca="0">IFERROR(SUMIF(S15_Source_Strata!$B$4:$B$49,$G94,S15_Source_Strata!$AK$4:$AK$49),0)</x:f>
        <x:v>525.6999326358658</x:v>
      </x:c>
      <x:c r="AK94" s="164" t="n">
        <x:f aca="0">IFERROR(SUMIF(S15_Source_Strata!$B$4:$B$49,$G94,S15_Source_Strata!$AL$4:$AL$49),0)</x:f>
        <x:v>557.9246430745985</x:v>
      </x:c>
      <x:c r="AL94" s="165" t="n">
        <x:f aca="0">$F94*Q94</x:f>
        <x:v>0</x:v>
      </x:c>
      <x:c r="AM94" s="165" t="n">
        <x:f aca="0">$F94*R94</x:f>
        <x:v>0</x:v>
      </x:c>
      <x:c r="AN94" s="165" t="n">
        <x:f aca="0">$F94*S94</x:f>
        <x:v>0</x:v>
      </x:c>
      <x:c r="AO94" s="165" t="n">
        <x:f aca="0">$F94*T94</x:f>
        <x:v>0</x:v>
      </x:c>
      <x:c r="AP94" s="165" t="n">
        <x:f aca="0">$F94*U94</x:f>
        <x:v>0.4386063912922642</x:v>
      </x:c>
      <x:c r="AQ94" s="165" t="n">
        <x:f aca="0">$F94*V94</x:f>
        <x:v>5.232346008174774</x:v>
      </x:c>
      <x:c r="AR94" s="165" t="n">
        <x:f aca="0">$F94*W94</x:f>
        <x:v>19.976635374466344</x:v>
      </x:c>
      <x:c r="AS94" s="165" t="n">
        <x:f aca="0">$F94*X94</x:f>
        <x:v>48.34069746871429</x:v>
      </x:c>
      <x:c r="AT94" s="165" t="n">
        <x:f aca="0">$F94*Y94</x:f>
        <x:v>90.93729943508008</x:v>
      </x:c>
      <x:c r="AU94" s="165" t="n">
        <x:f aca="0">$F94*Z94</x:f>
        <x:v>146.29237819103085</x:v>
      </x:c>
      <x:c r="AV94" s="165" t="n">
        <x:f aca="0">$F94*AA94</x:f>
        <x:v>211.74040638855004</x:v>
      </x:c>
      <x:c r="AW94" s="165" t="n">
        <x:f aca="0">$F94*AB94</x:f>
        <x:v>284.19326351626455</x:v>
      </x:c>
      <x:c r="AX94" s="165" t="n">
        <x:f aca="0">$F94*AC94</x:f>
        <x:v>360.64834706471197</x:v>
      </x:c>
      <x:c r="AY94" s="165" t="n">
        <x:f aca="0">$F94*AD94</x:f>
        <x:v>438.47110577991134</x:v>
      </x:c>
      <x:c r="AZ94" s="165" t="n">
        <x:f aca="0">$F94*AE94</x:f>
        <x:v>515.5158640536687</x:v>
      </x:c>
      <x:c r="BA94" s="165" t="n">
        <x:f aca="0">$F94*AF94</x:f>
        <x:v>590.1440603693471</x:v>
      </x:c>
      <x:c r="BB94" s="165" t="n">
        <x:f aca="0">$F94*AG94</x:f>
        <x:v>661.1847631859953</x:v>
      </x:c>
      <x:c r="BC94" s="165" t="n">
        <x:f aca="0">$F94*AH94</x:f>
        <x:v>727.8679643499698</x:v>
      </x:c>
      <x:c r="BD94" s="165" t="n">
        <x:f aca="0">$F94*AI94</x:f>
        <x:v>789.7496839586798</x:v>
      </x:c>
      <x:c r="BE94" s="165" t="n">
        <x:f aca="0">$F94*AJ94</x:f>
        <x:v>846.639741510062</x:v>
      </x:c>
      <x:c r="BF94" s="165" t="n">
        <x:f aca="0">$F94*AK94</x:f>
        <x:v>898.5376376716409</x:v>
      </x:c>
    </x:row>
    <x:row r="95" ht="15" hidden="0" customHeight="1">
      <x:c r="A95" s="37" t="str">
        <x:v>Tropical &amp; Subtropical Dry Broadleaf Forests</x:v>
      </x:c>
      <x:c r="B95" s="37" t="s">
        <x:v>114</x:v>
      </x:c>
      <x:c r="C95" s="37" t="s">
        <x:v>549</x:v>
      </x:c>
      <x:c r="D95" s="37" t="n">
        <x:v>2024</x:v>
      </x:c>
      <x:c r="E95" s="100" t="n">
        <x:v>3</x:v>
      </x:c>
      <x:c r="F95" s="100" t="n">
        <x:v>1.7437</x:v>
      </x:c>
      <x:c r="G95" s="37" t="s">
        <x:v>650</x:v>
      </x:c>
      <x:c r="H95" s="37" t="n">
        <x:v>1</x:v>
      </x:c>
      <x:c r="I95" s="37" t="s">
        <x:v>1180</x:v>
      </x:c>
      <x:c r="J95" s="37" t="str">
        <x:v>Tropical &amp; Subtropical Dry Broadleaf Forests|2024</x:v>
      </x:c>
      <x:c r="K95" s="37" t="str">
        <x:v>Area × biological stock; VM0047 Eq.(3); PB separately by Biome×Cohort</x:v>
      </x:c>
      <x:c r="Q95" s="164" t="n">
        <x:f aca="0">IFERROR(SUMIF(S15_Source_Strata!$B$4:$B$49,$G95,S15_Source_Strata!$R$4:$R$49),0)</x:f>
        <x:v>0</x:v>
      </x:c>
      <x:c r="R95" s="164" t="n">
        <x:f aca="0">IFERROR(SUMIF(S15_Source_Strata!$B$4:$B$49,$G95,S15_Source_Strata!$S$4:$S$49),0)</x:f>
        <x:v>0</x:v>
      </x:c>
      <x:c r="S95" s="164" t="n">
        <x:f aca="0">IFERROR(SUMIF(S15_Source_Strata!$B$4:$B$49,$G95,S15_Source_Strata!$T$4:$T$49),0)</x:f>
        <x:v>0</x:v>
      </x:c>
      <x:c r="T95" s="164" t="n">
        <x:f aca="0">IFERROR(SUMIF(S15_Source_Strata!$B$4:$B$49,$G95,S15_Source_Strata!$U$4:$U$49),0)</x:f>
        <x:v>0</x:v>
      </x:c>
      <x:c r="U95" s="164" t="n">
        <x:f aca="0">IFERROR(SUMIF(S15_Source_Strata!$B$4:$B$49,$G95,S15_Source_Strata!$V$4:$V$49),0)</x:f>
        <x:v>0</x:v>
      </x:c>
      <x:c r="V95" s="164" t="n">
        <x:f aca="0">IFERROR(SUMIF(S15_Source_Strata!$B$4:$B$49,$G95,S15_Source_Strata!$W$4:$W$49),0)</x:f>
        <x:v>0.046254888411774796</x:v>
      </x:c>
      <x:c r="W95" s="164" t="n">
        <x:f aca="0">IFERROR(SUMIF(S15_Source_Strata!$B$4:$B$49,$G95,S15_Source_Strata!$X$4:$X$49),0)</x:f>
        <x:v>0.559787503763154</x:v>
      </x:c>
      <x:c r="X95" s="164" t="n">
        <x:f aca="0">IFERROR(SUMIF(S15_Source_Strata!$B$4:$B$49,$G95,S15_Source_Strata!$Y$4:$Y$49),0)</x:f>
        <x:v>2.1525618957049653</x:v>
      </x:c>
      <x:c r="Y95" s="164" t="n">
        <x:f aca="0">IFERROR(SUMIF(S15_Source_Strata!$B$4:$B$49,$G95,S15_Source_Strata!$Z$4:$Z$49),0)</x:f>
        <x:v>5.231956049273246</x:v>
      </x:c>
      <x:c r="Z95" s="164" t="n">
        <x:f aca="0">IFERROR(SUMIF(S15_Source_Strata!$B$4:$B$49,$G95,S15_Source_Strata!$AA$4:$AA$49),0)</x:f>
        <x:v>9.873631177848152</x:v>
      </x:c>
      <x:c r="AA95" s="164" t="n">
        <x:f aca="0">IFERROR(SUMIF(S15_Source_Strata!$B$4:$B$49,$G95,S15_Source_Strata!$AB$4:$AB$49),0)</x:f>
        <x:v>15.925334979259612</x:v>
      </x:c>
      <x:c r="AB95" s="164" t="n">
        <x:f aca="0">IFERROR(SUMIF(S15_Source_Strata!$B$4:$B$49,$G95,S15_Source_Strata!$AC$4:$AC$49),0)</x:f>
        <x:v>23.103901481651665</x:v>
      </x:c>
      <x:c r="AC95" s="164" t="n">
        <x:f aca="0">IFERROR(SUMIF(S15_Source_Strata!$B$4:$B$49,$G95,S15_Source_Strata!$AD$4:$AD$49),0)</x:f>
        <x:v>31.078357140853388</x:v>
      </x:c>
      <x:c r="AD95" s="164" t="n">
        <x:f aca="0">IFERROR(SUMIF(S15_Source_Strata!$B$4:$B$49,$G95,S15_Source_Strata!$AE$4:$AE$49),0)</x:f>
        <x:v>39.52477316412803</x:v>
      </x:c>
      <x:c r="AE95" s="164" t="n">
        <x:f aca="0">IFERROR(SUMIF(S15_Source_Strata!$B$4:$B$49,$G95,S15_Source_Strata!$AF$4:$AF$49),0)</x:f>
        <x:v>48.15687920897</x:v>
      </x:c>
      <x:c r="AF95" s="164" t="n">
        <x:f aca="0">IFERROR(SUMIF(S15_Source_Strata!$B$4:$B$49,$G95,S15_Source_Strata!$AG$4:$AG$49),0)</x:f>
        <x:v>56.73940749069144</x:v>
      </x:c>
      <x:c r="AG95" s="164" t="n">
        <x:f aca="0">IFERROR(SUMIF(S15_Source_Strata!$B$4:$B$49,$G95,S15_Source_Strata!$AH$4:$AH$49),0)</x:f>
        <x:v>65.09050604602129</x:v>
      </x:c>
      <x:c r="AH95" s="164" t="n">
        <x:f aca="0">IFERROR(SUMIF(S15_Source_Strata!$B$4:$B$49,$G95,S15_Source_Strata!$AI$4:$AI$49),0)</x:f>
        <x:v>73.07797761375203</x:v>
      </x:c>
      <x:c r="AI95" s="164" t="n">
        <x:f aca="0">IFERROR(SUMIF(S15_Source_Strata!$B$4:$B$49,$G95,S15_Source_Strata!$AJ$4:$AJ$49),0)</x:f>
        <x:v>80.6125574125609</x:v>
      </x:c>
      <x:c r="AJ95" s="164" t="n">
        <x:f aca="0">IFERROR(SUMIF(S15_Source_Strata!$B$4:$B$49,$G95,S15_Source_Strata!$AK$4:$AK$49),0)</x:f>
        <x:v>87.64023262313314</x:v>
      </x:c>
      <x:c r="AK95" s="164" t="n">
        <x:f aca="0">IFERROR(SUMIF(S15_Source_Strata!$B$4:$B$49,$G95,S15_Source_Strata!$AL$4:$AL$49),0)</x:f>
        <x:v>94.13475185567395</x:v>
      </x:c>
      <x:c r="AL95" s="165" t="n">
        <x:f aca="0">$F95*Q95</x:f>
        <x:v>0</x:v>
      </x:c>
      <x:c r="AM95" s="165" t="n">
        <x:f aca="0">$F95*R95</x:f>
        <x:v>0</x:v>
      </x:c>
      <x:c r="AN95" s="165" t="n">
        <x:f aca="0">$F95*S95</x:f>
        <x:v>0</x:v>
      </x:c>
      <x:c r="AO95" s="165" t="n">
        <x:f aca="0">$F95*T95</x:f>
        <x:v>0</x:v>
      </x:c>
      <x:c r="AP95" s="165" t="n">
        <x:f aca="0">$F95*U95</x:f>
        <x:v>0</x:v>
      </x:c>
      <x:c r="AQ95" s="165" t="n">
        <x:f aca="0">$F95*V95</x:f>
        <x:v>0.08065464892361171</x:v>
      </x:c>
      <x:c r="AR95" s="165" t="n">
        <x:f aca="0">$F95*W95</x:f>
        <x:v>0.9761014703118116</x:v>
      </x:c>
      <x:c r="AS95" s="165" t="n">
        <x:f aca="0">$F95*X95</x:f>
        <x:v>3.753422177540748</x:v>
      </x:c>
      <x:c r="AT95" s="165" t="n">
        <x:f aca="0">$F95*Y95</x:f>
        <x:v>9.12296176311776</x:v>
      </x:c>
      <x:c r="AU95" s="165" t="n">
        <x:f aca="0">$F95*Z95</x:f>
        <x:v>17.21665068481382</x:v>
      </x:c>
      <x:c r="AV95" s="165" t="n">
        <x:f aca="0">$F95*AA95</x:f>
        <x:v>27.769006603334986</x:v>
      </x:c>
      <x:c r="AW95" s="165" t="n">
        <x:f aca="0">$F95*AB95</x:f>
        <x:v>40.286273013556006</x:v>
      </x:c>
      <x:c r="AX95" s="165" t="n">
        <x:f aca="0">$F95*AC95</x:f>
        <x:v>54.191331346506054</x:v>
      </x:c>
      <x:c r="AY95" s="165" t="n">
        <x:f aca="0">$F95*AD95</x:f>
        <x:v>68.91934696629005</x:v>
      </x:c>
      <x:c r="AZ95" s="165" t="n">
        <x:f aca="0">$F95*AE95</x:f>
        <x:v>83.97115027668099</x:v>
      </x:c>
      <x:c r="BA95" s="165" t="n">
        <x:f aca="0">$F95*AF95</x:f>
        <x:v>98.93650484151867</x:v>
      </x:c>
      <x:c r="BB95" s="165" t="n">
        <x:f aca="0">$F95*AG95</x:f>
        <x:v>113.49831539244732</x:v>
      </x:c>
      <x:c r="BC95" s="165" t="n">
        <x:f aca="0">$F95*AH95</x:f>
        <x:v>127.42606956509941</x:v>
      </x:c>
      <x:c r="BD95" s="165" t="n">
        <x:f aca="0">$F95*AI95</x:f>
        <x:v>140.56411636028244</x:v>
      </x:c>
      <x:c r="BE95" s="165" t="n">
        <x:f aca="0">$F95*AJ95</x:f>
        <x:v>152.81827362495727</x:v>
      </x:c>
      <x:c r="BF95" s="165" t="n">
        <x:f aca="0">$F95*AK95</x:f>
        <x:v>164.14276681073866</x:v>
      </x:c>
    </x:row>
  </x:sheetData>
  <x:mergeCells>
    <x:mergeCell ref="A1:K1"/>
  </x:mergeCells>
  <x:pageMargins left="0.7" right="0.7" top="0.75" bottom="0.75" header="0.3" footer="0.3"/>
</x:worksheet>
</file>

<file path=xl/worksheets/sheet18.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4" style="37" hidden="0" customWidth="1"/>
    <x:col min="2" max="4" width="14" style="37" hidden="0" customWidth="1"/>
    <x:col min="5" max="5" width="42" style="37" hidden="0" customWidth="1"/>
    <x:col min="6" max="21" width="14" style="1" hidden="0" customWidth="1"/>
    <x:col min="48" max="48" width="58" style="37" hidden="0" customWidth="1"/>
  </x:cols>
  <x:sheetData>
    <x:row r="1" ht="24" hidden="0" customHeight="1">
      <x:c r="A1" s="38" t="str">
        <x:v>Deserts &amp; Xeric Shrublands ERR | Model × Cohort | Biome-Specific PB</x:v>
      </x:c>
      <x:c r="B1" s="38"/>
      <x:c r="C1" s="38"/>
      <x:c r="D1" s="38"/>
      <x:c r="E1" s="38"/>
      <x:c r="F1" s="38"/>
      <x:c r="G1" s="38"/>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row>
    <x:row r="2" ht="15" hidden="0" customHeight="1">
      <x:c r="A2" s="45"/>
      <x:c r="B2" s="45"/>
      <x:c r="C2" s="45"/>
      <x:c r="D2" s="45"/>
      <x:c r="E2" s="45"/>
      <x:c r="F2" s="45"/>
      <x:c r="G2" s="45"/>
      <x:c r="H2" s="45"/>
      <x:c r="I2" s="45"/>
      <x:c r="J2" s="45"/>
      <x:c r="K2" s="45"/>
      <x:c r="L2" s="45"/>
      <x:c r="M2" s="45"/>
      <x:c r="N2" s="45"/>
      <x:c r="O2" s="45"/>
      <x:c r="P2" s="45"/>
      <x:c r="Q2" s="45"/>
      <x:c r="R2" s="45"/>
      <x:c r="S2" s="45"/>
      <x:c r="T2" s="45"/>
      <x:c r="U2" s="45"/>
      <x:c r="V2" s="45"/>
      <x:c r="W2" s="45"/>
      <x:c r="X2" s="45"/>
      <x:c r="Y2" s="45"/>
      <x:c r="Z2" s="45"/>
      <x:c r="AA2" s="45"/>
      <x:c r="AB2" s="45"/>
      <x:c r="AC2" s="45"/>
      <x:c r="AD2" s="45"/>
      <x:c r="AE2" s="45"/>
      <x:c r="AF2" s="45"/>
      <x:c r="AG2" s="45"/>
      <x:c r="AH2" s="45"/>
      <x:c r="AI2" s="45"/>
      <x:c r="AJ2" s="45"/>
      <x:c r="AK2" s="45"/>
      <x:c r="AL2" s="45"/>
      <x:c r="AM2" s="45"/>
      <x:c r="AN2" s="45"/>
      <x:c r="AO2" s="45"/>
      <x:c r="AP2" s="45"/>
      <x:c r="AQ2" s="45"/>
      <x:c r="AR2" s="45"/>
      <x:c r="AS2" s="45"/>
      <x:c r="AT2" s="45"/>
      <x:c r="AU2" s="45"/>
      <x:c r="AV2" s="45"/>
    </x:row>
    <x:row r="3" ht="54.75" hidden="0" customHeight="1">
      <x:c r="A3" s="95" t="s">
        <x:v>97</x:v>
      </x:c>
      <x:c r="B3" s="95" t="s">
        <x:v>529</x:v>
      </x:c>
      <x:c r="C3" s="95" t="s">
        <x:v>94</x:v>
      </x:c>
      <x:c r="D3" s="95" t="s">
        <x:v>1188</x:v>
      </x:c>
      <x:c r="E3" s="95" t="s">
        <x:v>1189</x:v>
      </x:c>
      <x:c r="F3" s="95" t="s">
        <x:v>1190</x:v>
      </x:c>
      <x:c r="G3" s="95" t="s">
        <x:v>1191</x:v>
      </x:c>
      <x:c r="H3" s="95" t="s">
        <x:v>1192</x:v>
      </x:c>
      <x:c r="I3" s="95" t="s">
        <x:v>1193</x:v>
      </x:c>
      <x:c r="J3" s="95" t="s">
        <x:v>1194</x:v>
      </x:c>
      <x:c r="K3" s="95" t="s">
        <x:v>1195</x:v>
      </x:c>
      <x:c r="L3" s="95" t="s">
        <x:v>1196</x:v>
      </x:c>
      <x:c r="M3" s="95" t="s">
        <x:v>1197</x:v>
      </x:c>
      <x:c r="N3" s="95" t="s">
        <x:v>1198</x:v>
      </x:c>
      <x:c r="O3" s="95" t="s">
        <x:v>1199</x:v>
      </x:c>
      <x:c r="P3" s="95" t="s">
        <x:v>1200</x:v>
      </x:c>
      <x:c r="Q3" s="95" t="s">
        <x:v>1201</x:v>
      </x:c>
      <x:c r="R3" s="95" t="s">
        <x:v>1202</x:v>
      </x:c>
      <x:c r="S3" s="95" t="s">
        <x:v>1203</x:v>
      </x:c>
      <x:c r="T3" s="95" t="s">
        <x:v>1204</x:v>
      </x:c>
      <x:c r="U3" s="95" t="s">
        <x:v>1205</x:v>
      </x:c>
      <x:c r="V3" s="95" t="s">
        <x:v>1206</x:v>
      </x:c>
      <x:c r="W3" s="95" t="s">
        <x:v>1207</x:v>
      </x:c>
      <x:c r="X3" s="95" t="s">
        <x:v>1208</x:v>
      </x:c>
      <x:c r="Y3" s="95" t="s">
        <x:v>1209</x:v>
      </x:c>
      <x:c r="Z3" s="95" t="s">
        <x:v>1210</x:v>
      </x:c>
      <x:c r="AA3" s="95" t="s">
        <x:v>1211</x:v>
      </x:c>
      <x:c r="AB3" s="95" t="s">
        <x:v>1212</x:v>
      </x:c>
      <x:c r="AC3" s="95" t="s">
        <x:v>1213</x:v>
      </x:c>
      <x:c r="AD3" s="95" t="s">
        <x:v>1214</x:v>
      </x:c>
      <x:c r="AE3" s="95" t="s">
        <x:v>1215</x:v>
      </x:c>
      <x:c r="AF3" s="95" t="s">
        <x:v>1216</x:v>
      </x:c>
      <x:c r="AG3" s="95" t="s">
        <x:v>1217</x:v>
      </x:c>
      <x:c r="AH3" s="95" t="s">
        <x:v>1218</x:v>
      </x:c>
      <x:c r="AI3" s="95" t="s">
        <x:v>1219</x:v>
      </x:c>
      <x:c r="AJ3" s="95" t="s">
        <x:v>1220</x:v>
      </x:c>
      <x:c r="AK3" s="95" t="s">
        <x:v>1221</x:v>
      </x:c>
      <x:c r="AL3" s="95" t="s">
        <x:v>1222</x:v>
      </x:c>
      <x:c r="AM3" s="95" t="s">
        <x:v>1223</x:v>
      </x:c>
      <x:c r="AN3" s="95" t="s">
        <x:v>1224</x:v>
      </x:c>
      <x:c r="AO3" s="95" t="s">
        <x:v>1225</x:v>
      </x:c>
      <x:c r="AP3" s="95" t="s">
        <x:v>1226</x:v>
      </x:c>
      <x:c r="AQ3" s="95" t="s">
        <x:v>1227</x:v>
      </x:c>
      <x:c r="AR3" s="95" t="s">
        <x:v>1228</x:v>
      </x:c>
      <x:c r="AS3" s="95" t="s">
        <x:v>1229</x:v>
      </x:c>
      <x:c r="AT3" s="95" t="s">
        <x:v>1230</x:v>
      </x:c>
      <x:c r="AU3" s="95" t="s">
        <x:v>1231</x:v>
      </x:c>
      <x:c r="AV3" s="95" t="s">
        <x:v>148</x:v>
      </x:c>
    </x:row>
    <x:row r="4" ht="15" hidden="0" customHeight="1">
      <x:c r="A4" s="37" t="s">
        <x:v>111</x:v>
      </x:c>
      <x:c r="B4" s="37" t="n">
        <x:v>2020</x:v>
      </x:c>
      <x:c r="C4" s="167" t="n">
        <x:f aca="0">SUMIFS(S17_Biome_Strata!$F$4:$F$95,S17_Biome_Strata!$A$4:$A$95,"Deserts &amp; Xeric Shrublands",S17_Biome_Strata!$B$4:$B$95,$A4,S17_Biome_Strata!$D$4:$D$95,$B4)</x:f>
        <x:v>623.9535999999999</x:v>
      </x:c>
      <x:c r="D4" s="167" t="n">
        <x:f aca="0">S09_PB_Input!H4</x:f>
        <x:v>0.012187570815827156</x:v>
      </x:c>
      <x:c r="E4" s="168" t="str">
        <x:f aca="0">S09_PB_Input!I4</x:f>
        <x:v>VM0047 v1.1 Appendix 1: Z-test significant; PB_t = ΔSI_control / ΔSI_wp (Eq. A8). Source: 20260814_304027_GKF_ProjectPlots_PB.xlsx.</x:v>
      </x:c>
      <x:c r="F4" s="167" t="n">
        <x:f aca="0">SUMIFS(S17_Biome_Strata!$AL$4:$AL$95,S17_Biome_Strata!$A$4:$A$95,"Deserts &amp; Xeric Shrublands",S17_Biome_Strata!$B$4:$B$95,$A4,S17_Biome_Strata!$D$4:$D$95,$B4)</x:f>
        <x:v>0</x:v>
      </x:c>
      <x:c r="G4" s="167" t="n">
        <x:f aca="0">SUMIFS(S17_Biome_Strata!$AM$4:$AM$95,S17_Biome_Strata!$A$4:$A$95,"Deserts &amp; Xeric Shrublands",S17_Biome_Strata!$B$4:$B$95,$A4,S17_Biome_Strata!$D$4:$D$95,$B4)</x:f>
        <x:v>42.09248762814503</x:v>
      </x:c>
      <x:c r="H4" s="167" t="n">
        <x:f aca="0">SUMIFS(S17_Biome_Strata!$AN$4:$AN$95,S17_Biome_Strata!$A$4:$A$95,"Deserts &amp; Xeric Shrublands",S17_Biome_Strata!$B$4:$B$95,$A4,S17_Biome_Strata!$D$4:$D$95,$B4)</x:f>
        <x:v>509.1727519267337</x:v>
      </x:c>
      <x:c r="I4" s="167" t="n">
        <x:f aca="0">SUMIFS(S17_Biome_Strata!$AO$4:$AO$95,S17_Biome_Strata!$A$4:$A$95,"Deserts &amp; Xeric Shrublands",S17_Biome_Strata!$B$4:$B$95,$A4,S17_Biome_Strata!$D$4:$D$95,$B4)</x:f>
        <x:v>1946.8785105549746</x:v>
      </x:c>
      <x:c r="J4" s="167" t="n">
        <x:f aca="0">SUMIFS(S17_Biome_Strata!$AP$4:$AP$95,S17_Biome_Strata!$A$4:$A$95,"Deserts &amp; Xeric Shrublands",S17_Biome_Strata!$B$4:$B$95,$A4,S17_Biome_Strata!$D$4:$D$95,$B4)</x:f>
        <x:v>4697.44337637626</x:v>
      </x:c>
      <x:c r="K4" s="167" t="n">
        <x:f aca="0">SUMIFS(S17_Biome_Strata!$AQ$4:$AQ$95,S17_Biome_Strata!$A$4:$A$95,"Deserts &amp; Xeric Shrublands",S17_Biome_Strata!$B$4:$B$95,$A4,S17_Biome_Strata!$D$4:$D$95,$B4)</x:f>
        <x:v>8795.7414815925</x:v>
      </x:c>
      <x:c r="L4" s="167" t="n">
        <x:f aca="0">SUMIFS(S17_Biome_Strata!$AR$4:$AR$95,S17_Biome_Strata!$A$4:$A$95,"Deserts &amp; Xeric Shrublands",S17_Biome_Strata!$B$4:$B$95,$A4,S17_Biome_Strata!$D$4:$D$95,$B4)</x:f>
        <x:v>14076.404285293627</x:v>
      </x:c>
      <x:c r="M4" s="167" t="n">
        <x:f aca="0">SUMIFS(S17_Biome_Strata!$AS$4:$AS$95,S17_Biome_Strata!$A$4:$A$95,"Deserts &amp; Xeric Shrublands",S17_Biome_Strata!$B$4:$B$95,$A4,S17_Biome_Strata!$D$4:$D$95,$B4)</x:f>
        <x:v>20268.269214391814</x:v>
      </x:c>
      <x:c r="N4" s="167" t="n">
        <x:f aca="0">SUMIFS(S17_Biome_Strata!$AT$4:$AT$95,S17_Biome_Strata!$A$4:$A$95,"Deserts &amp; Xeric Shrublands",S17_Biome_Strata!$B$4:$B$95,$A4,S17_Biome_Strata!$D$4:$D$95,$B4)</x:f>
        <x:v>27070.349696034613</x:v>
      </x:c>
      <x:c r="O4" s="167" t="n">
        <x:f aca="0">SUMIFS(S17_Biome_Strata!$AU$4:$AU$95,S17_Biome_Strata!$A$4:$A$95,"Deserts &amp; Xeric Shrublands",S17_Biome_Strata!$B$4:$B$95,$A4,S17_Biome_Strata!$D$4:$D$95,$B4)</x:f>
        <x:v>34198.883489278596</x:v>
      </x:c>
      <x:c r="P4" s="167" t="n">
        <x:f aca="0">SUMIFS(S17_Biome_Strata!$AV$4:$AV$95,S17_Biome_Strata!$A$4:$A$95,"Deserts &amp; Xeric Shrublands",S17_Biome_Strata!$B$4:$B$95,$A4,S17_Biome_Strata!$D$4:$D$95,$B4)</x:f>
        <x:v>41411.301414716</x:v>
      </x:c>
      <x:c r="Q4" s="167" t="n">
        <x:f aca="0">SUMIFS(S17_Biome_Strata!$AW$4:$AW$95,S17_Biome_Strata!$A$4:$A$95,"Deserts &amp; Xeric Shrublands",S17_Biome_Strata!$B$4:$B$95,$A4,S17_Biome_Strata!$D$4:$D$95,$B4)</x:f>
        <x:v>48514.73939063541</x:v>
      </x:c>
      <x:c r="R4" s="167" t="n">
        <x:f aca="0">SUMIFS(S17_Biome_Strata!$AX$4:$AX$95,S17_Biome_Strata!$A$4:$A$95,"Deserts &amp; Xeric Shrublands",S17_Biome_Strata!$B$4:$B$95,$A4,S17_Biome_Strata!$D$4:$D$95,$B4)</x:f>
        <x:v>55365.411966945976</x:v>
      </x:c>
      <x:c r="S4" s="167" t="n">
        <x:f aca="0">SUMIFS(S17_Biome_Strata!$AY$4:$AY$95,S17_Biome_Strata!$A$4:$A$95,"Deserts &amp; Xeric Shrublands",S17_Biome_Strata!$B$4:$B$95,$A4,S17_Biome_Strata!$D$4:$D$95,$B4)</x:f>
        <x:v>61863.28111429946</x:v>
      </x:c>
      <x:c r="T4" s="167" t="n">
        <x:f aca="0">SUMIFS(S17_Biome_Strata!$AZ$4:$AZ$95,S17_Biome_Strata!$A$4:$A$95,"Deserts &amp; Xeric Shrublands",S17_Biome_Strata!$B$4:$B$95,$A4,S17_Biome_Strata!$D$4:$D$95,$B4)</x:f>
        <x:v>67944.83200829494</x:v>
      </x:c>
      <x:c r="U4" s="167" t="n">
        <x:f aca="0">SUMIFS(S17_Biome_Strata!$BA$4:$BA$95,S17_Biome_Strata!$A$4:$A$95,"Deserts &amp; Xeric Shrublands",S17_Biome_Strata!$B$4:$B$95,$A4,S17_Biome_Strata!$D$4:$D$95,$B4)</x:f>
        <x:v>73575.5898127106</x:v>
      </x:c>
      <x:c r="V4" s="167" t="n">
        <x:f aca="0">SUMIFS(S17_Biome_Strata!$BB$4:$BB$95,S17_Biome_Strata!$A$4:$A$95,"Deserts &amp; Xeric Shrublands",S17_Biome_Strata!$B$4:$B$95,$A4,S17_Biome_Strata!$D$4:$D$95,$B4)</x:f>
        <x:v>78743.23229543671</x:v>
      </x:c>
      <x:c r="W4" s="167" t="n">
        <x:f aca="0">SUMIFS(S17_Biome_Strata!$BC$4:$BC$95,S17_Biome_Strata!$A$4:$A$95,"Deserts &amp; Xeric Shrublands",S17_Biome_Strata!$B$4:$B$95,$A4,S17_Biome_Strata!$D$4:$D$95,$B4)</x:f>
        <x:v>83451.67177419818</x:v>
      </x:c>
      <x:c r="X4" s="167" t="n">
        <x:f aca="0">SUMIFS(S17_Biome_Strata!$BD$4:$BD$95,S17_Biome_Strata!$A$4:$A$95,"Deserts &amp; Xeric Shrublands",S17_Biome_Strata!$B$4:$B$95,$A4,S17_Biome_Strata!$D$4:$D$95,$B4)</x:f>
        <x:v>87716.20155941334</x:v>
      </x:c>
      <x:c r="Y4" s="167" t="n">
        <x:f aca="0">SUMIFS(S17_Biome_Strata!$BE$4:$BE$95,S17_Biome_Strata!$A$4:$A$95,"Deserts &amp; Xeric Shrublands",S17_Biome_Strata!$B$4:$B$95,$A4,S17_Biome_Strata!$D$4:$D$95,$B4)</x:f>
        <x:v>91559.65394320569</x:v>
      </x:c>
      <x:c r="Z4" s="167" t="n">
        <x:f aca="0">SUMIFS(S17_Biome_Strata!$BF$4:$BF$95,S17_Biome_Strata!$A$4:$A$95,"Deserts &amp; Xeric Shrublands",S17_Biome_Strata!$B$4:$B$95,$A4,S17_Biome_Strata!$D$4:$D$95,$B4)</x:f>
        <x:v>95009.4480746788</x:v>
      </x:c>
      <x:c r="AA4" s="167" t="n">
        <x:f aca="0">F4*(1-$D4)</x:f>
        <x:v>0</x:v>
      </x:c>
      <x:c r="AB4" s="167" t="n">
        <x:f aca="0">G4*(1-$D4)</x:f>
        <x:v>41.57948245436268</x:v>
      </x:c>
      <x:c r="AC4" s="167" t="n">
        <x:f aca="0">H4*(1-$D4)</x:f>
        <x:v>502.9671729551371</x:v>
      </x:c>
      <x:c r="AD4" s="167" t="n">
        <x:f aca="0">I4*(1-$D4)</x:f>
        <x:v>1923.150790837774</x:v>
      </x:c>
      <x:c r="AE4" s="167" t="n">
        <x:f aca="0">J4*(1-$D4)</x:f>
        <x:v>4640.192952573337</x:v>
      </x:c>
      <x:c r="AF4" s="167" t="n">
        <x:f aca="0">K4*(1-$D4)</x:f>
        <x:v>8688.542759407883</x:v>
      </x:c>
      <x:c r="AG4" s="167" t="n">
        <x:f aca="0">L4*(1-$D4)</x:f>
        <x:v>13904.8471112344</x:v>
      </x:c>
      <x:c r="AH4" s="167" t="n">
        <x:f aca="0">M4*(1-$D4)</x:f>
        <x:v>20021.248248027165</x:v>
      </x:c>
      <x:c r="AI4" s="167" t="n">
        <x:f aca="0">N4*(1-$D4)</x:f>
        <x:v>26740.427892104988</x:v>
      </x:c>
      <x:c r="AJ4" s="167" t="n">
        <x:f aca="0">O4*(1-$D4)</x:f>
        <x:v>33782.082174930794</x:v>
      </x:c>
      <x:c r="AK4" s="167" t="n">
        <x:f aca="0">P4*(1-$D4)</x:f>
        <x:v>40906.598246148584</x:v>
      </x:c>
      <x:c r="AL4" s="167" t="n">
        <x:f aca="0">Q4*(1-$D4)</x:f>
        <x:v>47923.46256870065</x:v>
      </x:c>
      <x:c r="AM4" s="167" t="n">
        <x:f aca="0">R4*(1-$D4)</x:f>
        <x:v>54690.64208785138</x:v>
      </x:c>
      <x:c r="AN4" s="167" t="n">
        <x:f aca="0">S4*(1-$D4)</x:f>
        <x:v>61109.31799481952</x:v>
      </x:c>
      <x:c r="AO4" s="167" t="n">
        <x:f aca="0">T4*(1-$D4)</x:f>
        <x:v>67116.74955662436</x:v>
      </x:c>
      <x:c r="AP4" s="167" t="n">
        <x:f aca="0">U4*(1-$D4)</x:f>
        <x:v>72678.88210155195</x:v>
      </x:c>
      <x:c r="AQ4" s="167" t="n">
        <x:f aca="0">V4*(1-$D4)</x:f>
        <x:v>77783.54357556895</x:v>
      </x:c>
      <x:c r="AR4" s="167" t="n">
        <x:f aca="0">W4*(1-$D4)</x:f>
        <x:v>82434.59861475098</x:v>
      </x:c>
      <x:c r="AS4" s="167" t="n">
        <x:f aca="0">X4*(1-$D4)</x:f>
        <x:v>86647.15414121262</x:v>
      </x:c>
      <x:c r="AT4" s="167" t="n">
        <x:f aca="0">Y4*(1-$D4)</x:f>
        <x:v>90443.76417690025</x:v>
      </x:c>
      <x:c r="AU4" s="167" t="n">
        <x:f aca="0">Z4*(1-$D4)</x:f>
        <x:v>93851.51369809601</x:v>
      </x:c>
      <x:c r="AV4" s="37" t="str">
        <x:v>Formula-derived: S17_Biome_Strata row gross stock = eligible area × S15_Source_Strata stock/ha; S15_Source_Strata stock = cohort-aligned Chapman-Richards D/H → Chave AGB → conservative calibration → CF × (1+R) × 44/12. PB applied separately by Biome × Cohort.</x:v>
      </x:c>
    </x:row>
    <x:row r="5" ht="15" hidden="0" customHeight="1">
      <x:c r="A5" s="37" t="s">
        <x:v>111</x:v>
      </x:c>
      <x:c r="B5" s="37" t="n">
        <x:v>2021</x:v>
      </x:c>
      <x:c r="C5" s="167" t="n">
        <x:f aca="0">SUMIFS(S17_Biome_Strata!$F$4:$F$95,S17_Biome_Strata!$A$4:$A$95,"Deserts &amp; Xeric Shrublands",S17_Biome_Strata!$B$4:$B$95,$A5,S17_Biome_Strata!$D$4:$D$95,$B5)</x:f>
        <x:v>209.9756</x:v>
      </x:c>
      <x:c r="D5" s="167" t="n">
        <x:f aca="0">S09_PB_Input!H5</x:f>
        <x:v>0.012187570815827156</x:v>
      </x:c>
      <x:c r="E5" s="168" t="str">
        <x:f aca="0">S09_PB_Input!I5</x:f>
        <x:v>VM0047 v1.1 Appendix 1: Z-test significant; PB_t = ΔSI_control / ΔSI_wp (Eq. A8). Source: 20260814_304027_GKF_ProjectPlots_PB.xlsx.</x:v>
      </x:c>
      <x:c r="F5" s="167" t="n">
        <x:f aca="0">SUMIFS(S17_Biome_Strata!$AL$4:$AL$95,S17_Biome_Strata!$A$4:$A$95,"Deserts &amp; Xeric Shrublands",S17_Biome_Strata!$B$4:$B$95,$A5,S17_Biome_Strata!$D$4:$D$95,$B5)</x:f>
        <x:v>0</x:v>
      </x:c>
      <x:c r="G5" s="167" t="n">
        <x:f aca="0">SUMIFS(S17_Biome_Strata!$AM$4:$AM$95,S17_Biome_Strata!$A$4:$A$95,"Deserts &amp; Xeric Shrublands",S17_Biome_Strata!$B$4:$B$95,$A5,S17_Biome_Strata!$D$4:$D$95,$B5)</x:f>
        <x:v>0</x:v>
      </x:c>
      <x:c r="H5" s="167" t="n">
        <x:f aca="0">SUMIFS(S17_Biome_Strata!$AN$4:$AN$95,S17_Biome_Strata!$A$4:$A$95,"Deserts &amp; Xeric Shrublands",S17_Biome_Strata!$B$4:$B$95,$A5,S17_Biome_Strata!$D$4:$D$95,$B5)</x:f>
        <x:v>16.48624648922515</x:v>
      </x:c>
      <x:c r="I5" s="167" t="n">
        <x:f aca="0">SUMIFS(S17_Biome_Strata!$AO$4:$AO$95,S17_Biome_Strata!$A$4:$A$95,"Deserts &amp; Xeric Shrublands",S17_Biome_Strata!$B$4:$B$95,$A5,S17_Biome_Strata!$D$4:$D$95,$B5)</x:f>
        <x:v>201.04225143511684</x:v>
      </x:c>
      <x:c r="J5" s="167" t="n">
        <x:f aca="0">SUMIFS(S17_Biome_Strata!$AP$4:$AP$95,S17_Biome_Strata!$A$4:$A$95,"Deserts &amp; Xeric Shrublands",S17_Biome_Strata!$B$4:$B$95,$A5,S17_Biome_Strata!$D$4:$D$95,$B5)</x:f>
        <x:v>768.7966839076446</x:v>
      </x:c>
      <x:c r="K5" s="167" t="n">
        <x:f aca="0">SUMIFS(S17_Biome_Strata!$AQ$4:$AQ$95,S17_Biome_Strata!$A$4:$A$95,"Deserts &amp; Xeric Shrublands",S17_Biome_Strata!$B$4:$B$95,$A5,S17_Biome_Strata!$D$4:$D$95,$B5)</x:f>
        <x:v>1850.019256879208</x:v>
      </x:c>
      <x:c r="L5" s="167" t="n">
        <x:f aca="0">SUMIFS(S17_Biome_Strata!$AR$4:$AR$95,S17_Biome_Strata!$A$4:$A$95,"Deserts &amp; Xeric Shrublands",S17_Biome_Strata!$B$4:$B$95,$A5,S17_Biome_Strata!$D$4:$D$95,$B5)</x:f>
        <x:v>3451.052127085683</x:v>
      </x:c>
      <x:c r="M5" s="167" t="n">
        <x:f aca="0">SUMIFS(S17_Biome_Strata!$AS$4:$AS$95,S17_Biome_Strata!$A$4:$A$95,"Deserts &amp; Xeric Shrublands",S17_Biome_Strata!$B$4:$B$95,$A5,S17_Biome_Strata!$D$4:$D$95,$B5)</x:f>
        <x:v>5500.1715551241405</x:v>
      </x:c>
      <x:c r="N5" s="167" t="n">
        <x:f aca="0">SUMIFS(S17_Biome_Strata!$AT$4:$AT$95,S17_Biome_Strata!$A$4:$A$95,"Deserts &amp; Xeric Shrublands",S17_Biome_Strata!$B$4:$B$95,$A5,S17_Biome_Strata!$D$4:$D$95,$B5)</x:f>
        <x:v>7886.873616066077</x:v>
      </x:c>
      <x:c r="O5" s="167" t="n">
        <x:f aca="0">SUMIFS(S17_Biome_Strata!$AU$4:$AU$95,S17_Biome_Strata!$A$4:$A$95,"Deserts &amp; Xeric Shrublands",S17_Biome_Strata!$B$4:$B$95,$A5,S17_Biome_Strata!$D$4:$D$95,$B5)</x:f>
        <x:v>10492.15681486193</x:v>
      </x:c>
      <x:c r="P5" s="167" t="n">
        <x:f aca="0">SUMIFS(S17_Biome_Strata!$AV$4:$AV$95,S17_Biome_Strata!$A$4:$A$95,"Deserts &amp; Xeric Shrublands",S17_Biome_Strata!$B$4:$B$95,$A5,S17_Biome_Strata!$D$4:$D$95,$B5)</x:f>
        <x:v>13206.410921277135</x:v>
      </x:c>
      <x:c r="Q5" s="167" t="n">
        <x:f aca="0">SUMIFS(S17_Biome_Strata!$AW$4:$AW$95,S17_Biome_Strata!$A$4:$A$95,"Deserts &amp; Xeric Shrublands",S17_Biome_Strata!$B$4:$B$95,$A5,S17_Biome_Strata!$D$4:$D$95,$B5)</x:f>
        <x:v>15937.882250566112</x:v>
      </x:c>
      <x:c r="R5" s="167" t="n">
        <x:f aca="0">SUMIFS(S17_Biome_Strata!$AX$4:$AX$95,S17_Biome_Strata!$A$4:$A$95,"Deserts &amp; Xeric Shrublands",S17_Biome_Strata!$B$4:$B$95,$A5,S17_Biome_Strata!$D$4:$D$95,$B5)</x:f>
        <x:v>18615.111569354634</x:v>
      </x:c>
      <x:c r="S5" s="167" t="n">
        <x:f aca="0">SUMIFS(S17_Biome_Strata!$AY$4:$AY$95,S17_Biome_Strata!$A$4:$A$95,"Deserts &amp; Xeric Shrublands",S17_Biome_Strata!$B$4:$B$95,$A5,S17_Biome_Strata!$D$4:$D$95,$B5)</x:f>
        <x:v>21185.996100594635</x:v>
      </x:c>
      <x:c r="T5" s="167" t="n">
        <x:f aca="0">SUMIFS(S17_Biome_Strata!$AZ$4:$AZ$95,S17_Biome_Strata!$A$4:$A$95,"Deserts &amp; Xeric Shrublands",S17_Biome_Strata!$B$4:$B$95,$A5,S17_Biome_Strata!$D$4:$D$95,$B5)</x:f>
        <x:v>23615.247223401624</x:v>
      </x:c>
      <x:c r="U5" s="167" t="n">
        <x:f aca="0">SUMIFS(S17_Biome_Strata!$BA$4:$BA$95,S17_Biome_Strata!$A$4:$A$95,"Deserts &amp; Xeric Shrublands",S17_Biome_Strata!$B$4:$B$95,$A5,S17_Biome_Strata!$D$4:$D$95,$B5)</x:f>
        <x:v>25881.312930706896</x:v>
      </x:c>
      <x:c r="V5" s="167" t="n">
        <x:f aca="0">SUMIFS(S17_Biome_Strata!$BB$4:$BB$95,S17_Biome_Strata!$A$4:$A$95,"Deserts &amp; Xeric Shrublands",S17_Biome_Strata!$B$4:$B$95,$A5,S17_Biome_Strata!$D$4:$D$95,$B5)</x:f>
        <x:v>27973.351173337844</x:v>
      </x:c>
      <x:c r="W5" s="167" t="n">
        <x:f aca="0">SUMIFS(S17_Biome_Strata!$BC$4:$BC$95,S17_Biome_Strata!$A$4:$A$95,"Deserts &amp; Xeric Shrublands",S17_Biome_Strata!$B$4:$B$95,$A5,S17_Biome_Strata!$D$4:$D$95,$B5)</x:f>
        <x:v>29888.536330280804</x:v>
      </x:c>
      <x:c r="X5" s="167" t="n">
        <x:f aca="0">SUMIFS(S17_Biome_Strata!$BD$4:$BD$95,S17_Biome_Strata!$A$4:$A$95,"Deserts &amp; Xeric Shrublands",S17_Biome_Strata!$B$4:$B$95,$A5,S17_Biome_Strata!$D$4:$D$95,$B5)</x:f>
        <x:v>31629.802814246887</x:v>
      </x:c>
      <x:c r="Y5" s="167" t="n">
        <x:f aca="0">SUMIFS(S17_Biome_Strata!$BE$4:$BE$95,S17_Biome_Strata!$A$4:$A$95,"Deserts &amp; Xeric Shrublands",S17_Biome_Strata!$B$4:$B$95,$A5,S17_Biome_Strata!$D$4:$D$95,$B5)</x:f>
        <x:v>33204.03281098124</x:v>
      </x:c>
      <x:c r="Z5" s="167" t="n">
        <x:f aca="0">SUMIFS(S17_Biome_Strata!$BF$4:$BF$95,S17_Biome_Strata!$A$4:$A$95,"Deserts &amp; Xeric Shrublands",S17_Biome_Strata!$B$4:$B$95,$A5,S17_Biome_Strata!$D$4:$D$95,$B5)</x:f>
        <x:v>34620.6476544707</x:v>
      </x:c>
      <x:c r="AA5" s="167" t="n">
        <x:f aca="0">F5*(1-$D5)</x:f>
        <x:v>0</x:v>
      </x:c>
      <x:c r="AB5" s="167" t="n">
        <x:f aca="0">G5*(1-$D5)</x:f>
        <x:v>0</x:v>
      </x:c>
      <x:c r="AC5" s="167" t="n">
        <x:f aca="0">H5*(1-$D5)</x:f>
        <x:v>16.285319192650537</x:v>
      </x:c>
      <x:c r="AD5" s="167" t="n">
        <x:f aca="0">I5*(1-$D5)</x:f>
        <x:v>198.59203475877803</x:v>
      </x:c>
      <x:c r="AE5" s="167" t="n">
        <x:f aca="0">J5*(1-$D5)</x:f>
        <x:v>759.4269198795471</x:v>
      </x:c>
      <x:c r="AF5" s="167" t="n">
        <x:f aca="0">K5*(1-$D5)</x:f>
        <x:v>1827.4720161753487</x:v>
      </x:c>
      <x:c r="AG5" s="167" t="n">
        <x:f aca="0">L5*(1-$D5)</x:f>
        <x:v>3408.9921848977156</x:v>
      </x:c>
      <x:c r="AH5" s="167" t="n">
        <x:f aca="0">M5*(1-$D5)</x:f>
        <x:v>5433.137824796867</x:v>
      </x:c>
      <x:c r="AI5" s="167" t="n">
        <x:f aca="0">N5*(1-$D5)</x:f>
        <x:v>7790.751785354793</x:v>
      </x:c>
      <x:c r="AJ5" s="167" t="n">
        <x:f aca="0">O5*(1-$D5)</x:f>
        <x:v>10364.282910670037</x:v>
      </x:c>
      <x:c r="AK5" s="167" t="n">
        <x:f aca="0">P5*(1-$D5)</x:f>
        <x:v>13045.456852951156</x:v>
      </x:c>
      <x:c r="AL5" s="167" t="n">
        <x:f aca="0">Q5*(1-$D5)</x:f>
        <x:v>15743.638181983024</x:v>
      </x:c>
      <x:c r="AM5" s="167" t="n">
        <x:f aca="0">R5*(1-$D5)</x:f>
        <x:v>18388.238578858603</x:v>
      </x:c>
      <x:c r="AN5" s="167" t="n">
        <x:f aca="0">S5*(1-$D5)</x:f>
        <x:v>20927.7902728148</x:v>
      </x:c>
      <x:c r="AO5" s="167" t="n">
        <x:f aca="0">T5*(1-$D5)</x:f>
        <x:v>23327.434725533152</x:v>
      </x:c>
      <x:c r="AP5" s="167" t="n">
        <x:f aca="0">U5*(1-$D5)</x:f>
        <x:v>25565.882596557323</x:v>
      </x:c>
      <x:c r="AQ5" s="167" t="n">
        <x:f aca="0">V5*(1-$D5)</x:f>
        <x:v>27632.42397495679</x:v>
      </x:c>
      <x:c r="AR5" s="167" t="n">
        <x:f aca="0">W5*(1-$D5)</x:f>
        <x:v>29524.267677174084</x:v>
      </x:c>
      <x:c r="AS5" s="167" t="n">
        <x:f aca="0">X5*(1-$D5)</x:f>
        <x:v>31244.312352557605</x:v>
      </x:c>
      <x:c r="AT5" s="167" t="n">
        <x:f aca="0">Y5*(1-$D5)</x:f>
        <x:v>32799.35630972636</x:v>
      </x:c>
      <x:c r="AU5" s="167" t="n">
        <x:f aca="0">Z5*(1-$D5)</x:f>
        <x:v>34198.70605949203</x:v>
      </x:c>
      <x:c r="AV5" s="37" t="str">
        <x:v>Formula-derived: S17_Biome_Strata row gross stock = eligible area × S15_Source_Strata stock/ha; S15_Source_Strata stock = cohort-aligned Chapman-Richards D/H → Chave AGB → conservative calibration → CF × (1+R) × 44/12. PB applied separately by Biome × Cohort.</x:v>
      </x:c>
    </x:row>
    <x:row r="6" ht="15" hidden="0" customHeight="1">
      <x:c r="A6" s="37" t="s">
        <x:v>111</x:v>
      </x:c>
      <x:c r="B6" s="37" t="n">
        <x:v>2022</x:v>
      </x:c>
      <x:c r="C6" s="167" t="n">
        <x:f aca="0">SUMIFS(S17_Biome_Strata!$F$4:$F$95,S17_Biome_Strata!$A$4:$A$95,"Deserts &amp; Xeric Shrublands",S17_Biome_Strata!$B$4:$B$95,$A6,S17_Biome_Strata!$D$4:$D$95,$B6)</x:f>
        <x:v>232.0679</x:v>
      </x:c>
      <x:c r="D6" s="167" t="n">
        <x:f aca="0">S09_PB_Input!H6</x:f>
        <x:v>0.012187570815827156</x:v>
      </x:c>
      <x:c r="E6" s="168" t="str">
        <x:f aca="0">S09_PB_Input!I6</x:f>
        <x:v>VM0047 v1.1 Appendix 1: Z-test significant; PB_t = ΔSI_control / ΔSI_wp (Eq. A8). Source: 20260814_304027_GKF_ProjectPlots_PB.xlsx.</x:v>
      </x:c>
      <x:c r="F6" s="167" t="n">
        <x:f aca="0">SUMIFS(S17_Biome_Strata!$AL$4:$AL$95,S17_Biome_Strata!$A$4:$A$95,"Deserts &amp; Xeric Shrublands",S17_Biome_Strata!$B$4:$B$95,$A6,S17_Biome_Strata!$D$4:$D$95,$B6)</x:f>
        <x:v>0</x:v>
      </x:c>
      <x:c r="G6" s="167" t="n">
        <x:f aca="0">SUMIFS(S17_Biome_Strata!$AM$4:$AM$95,S17_Biome_Strata!$A$4:$A$95,"Deserts &amp; Xeric Shrublands",S17_Biome_Strata!$B$4:$B$95,$A6,S17_Biome_Strata!$D$4:$D$95,$B6)</x:f>
        <x:v>0</x:v>
      </x:c>
      <x:c r="H6" s="167" t="n">
        <x:f aca="0">SUMIFS(S17_Biome_Strata!$AN$4:$AN$95,S17_Biome_Strata!$A$4:$A$95,"Deserts &amp; Xeric Shrublands",S17_Biome_Strata!$B$4:$B$95,$A6,S17_Biome_Strata!$D$4:$D$95,$B6)</x:f>
        <x:v>0</x:v>
      </x:c>
      <x:c r="I6" s="167" t="n">
        <x:f aca="0">SUMIFS(S17_Biome_Strata!$AO$4:$AO$95,S17_Biome_Strata!$A$4:$A$95,"Deserts &amp; Xeric Shrublands",S17_Biome_Strata!$B$4:$B$95,$A6,S17_Biome_Strata!$D$4:$D$95,$B6)</x:f>
        <x:v>16.772315450520704</x:v>
      </x:c>
      <x:c r="J6" s="167" t="n">
        <x:f aca="0">SUMIFS(S17_Biome_Strata!$AP$4:$AP$95,S17_Biome_Strata!$A$4:$A$95,"Deserts &amp; Xeric Shrublands",S17_Biome_Strata!$B$4:$B$95,$A6,S17_Biome_Strata!$D$4:$D$95,$B6)</x:f>
        <x:v>204.83186743307706</x:v>
      </x:c>
      <x:c r="K6" s="167" t="n">
        <x:f aca="0">SUMIFS(S17_Biome_Strata!$AQ$4:$AQ$95,S17_Biome_Strata!$A$4:$A$95,"Deserts &amp; Xeric Shrublands",S17_Biome_Strata!$B$4:$B$95,$A6,S17_Biome_Strata!$D$4:$D$95,$B6)</x:f>
        <x:v>775.3056105304843</x:v>
      </x:c>
      <x:c r="L6" s="167" t="n">
        <x:f aca="0">SUMIFS(S17_Biome_Strata!$AR$4:$AR$95,S17_Biome_Strata!$A$4:$A$95,"Deserts &amp; Xeric Shrublands",S17_Biome_Strata!$B$4:$B$95,$A6,S17_Biome_Strata!$D$4:$D$95,$B6)</x:f>
        <x:v>1839.06605392258</x:v>
      </x:c>
      <x:c r="M6" s="167" t="n">
        <x:f aca="0">SUMIFS(S17_Biome_Strata!$AS$4:$AS$95,S17_Biome_Strata!$A$4:$A$95,"Deserts &amp; Xeric Shrublands",S17_Biome_Strata!$B$4:$B$95,$A6,S17_Biome_Strata!$D$4:$D$95,$B6)</x:f>
        <x:v>3376.0464503975145</x:v>
      </x:c>
      <x:c r="N6" s="167" t="n">
        <x:f aca="0">SUMIFS(S17_Biome_Strata!$AT$4:$AT$95,S17_Biome_Strata!$A$4:$A$95,"Deserts &amp; Xeric Shrublands",S17_Biome_Strata!$B$4:$B$95,$A6,S17_Biome_Strata!$D$4:$D$95,$B6)</x:f>
        <x:v>5292.188814614921</x:v>
      </x:c>
      <x:c r="O6" s="167" t="n">
        <x:f aca="0">SUMIFS(S17_Biome_Strata!$AU$4:$AU$95,S17_Biome_Strata!$A$4:$A$95,"Deserts &amp; Xeric Shrublands",S17_Biome_Strata!$B$4:$B$95,$A6,S17_Biome_Strata!$D$4:$D$95,$B6)</x:f>
        <x:v>7464.471018977249</x:v>
      </x:c>
      <x:c r="P6" s="167" t="n">
        <x:f aca="0">SUMIFS(S17_Biome_Strata!$AV$4:$AV$95,S17_Biome_Strata!$A$4:$A$95,"Deserts &amp; Xeric Shrublands",S17_Biome_Strata!$B$4:$B$95,$A6,S17_Biome_Strata!$D$4:$D$95,$B6)</x:f>
        <x:v>9772.023623867732</x:v>
      </x:c>
      <x:c r="Q6" s="167" t="n">
        <x:f aca="0">SUMIFS(S17_Biome_Strata!$AW$4:$AW$95,S17_Biome_Strata!$A$4:$A$95,"Deserts &amp; Xeric Shrublands",S17_Biome_Strata!$B$4:$B$95,$A6,S17_Biome_Strata!$D$4:$D$95,$B6)</x:f>
        <x:v>12112.027797530587</x:v>
      </x:c>
      <x:c r="R6" s="167" t="n">
        <x:f aca="0">SUMIFS(S17_Biome_Strata!$AX$4:$AX$95,S17_Biome_Strata!$A$4:$A$95,"Deserts &amp; Xeric Shrublands",S17_Biome_Strata!$B$4:$B$95,$A6,S17_Biome_Strata!$D$4:$D$95,$B6)</x:f>
        <x:v>14405.209991186854</x:v>
      </x:c>
      <x:c r="S6" s="167" t="n">
        <x:f aca="0">SUMIFS(S17_Biome_Strata!$AY$4:$AY$95,S17_Biome_Strata!$A$4:$A$95,"Deserts &amp; Xeric Shrublands",S17_Biome_Strata!$B$4:$B$95,$A6,S17_Biome_Strata!$D$4:$D$95,$B6)</x:f>
        <x:v>16595.430873226374</x:v>
      </x:c>
      <x:c r="T6" s="167" t="n">
        <x:f aca="0">SUMIFS(S17_Biome_Strata!$AZ$4:$AZ$95,S17_Biome_Strata!$A$4:$A$95,"Deserts &amp; Xeric Shrublands",S17_Biome_Strata!$B$4:$B$95,$A6,S17_Biome_Strata!$D$4:$D$95,$B6)</x:f>
        <x:v>18646.505164757276</x:v>
      </x:c>
      <x:c r="U6" s="167" t="n">
        <x:f aca="0">SUMIFS(S17_Biome_Strata!$BA$4:$BA$95,S17_Biome_Strata!$A$4:$A$95,"Deserts &amp; Xeric Shrublands",S17_Biome_Strata!$B$4:$B$95,$A6,S17_Biome_Strata!$D$4:$D$95,$B6)</x:f>
        <x:v>20538.130716409498</x:v>
      </x:c>
      <x:c r="V6" s="167" t="n">
        <x:f aca="0">SUMIFS(S17_Biome_Strata!$BB$4:$BB$95,S17_Biome_Strata!$A$4:$A$95,"Deserts &amp; Xeric Shrublands",S17_Biome_Strata!$B$4:$B$95,$A6,S17_Biome_Strata!$D$4:$D$95,$B6)</x:f>
        <x:v>22261.915704788207</x:v>
      </x:c>
      <x:c r="W6" s="167" t="n">
        <x:f aca="0">SUMIFS(S17_Biome_Strata!$BC$4:$BC$95,S17_Biome_Strata!$A$4:$A$95,"Deserts &amp; Xeric Shrublands",S17_Biome_Strata!$B$4:$B$95,$A6,S17_Biome_Strata!$D$4:$D$95,$B6)</x:f>
        <x:v>23817.942989334108</x:v>
      </x:c>
      <x:c r="X6" s="167" t="n">
        <x:f aca="0">SUMIFS(S17_Biome_Strata!$BD$4:$BD$95,S17_Biome_Strata!$A$4:$A$95,"Deserts &amp; Xeric Shrublands",S17_Biome_Strata!$B$4:$B$95,$A6,S17_Biome_Strata!$D$4:$D$95,$B6)</x:f>
        <x:v>25212.003267997636</x:v>
      </x:c>
      <x:c r="Y6" s="167" t="n">
        <x:f aca="0">SUMIFS(S17_Biome_Strata!$BE$4:$BE$95,S17_Biome_Strata!$A$4:$A$95,"Deserts &amp; Xeric Shrublands",S17_Biome_Strata!$B$4:$B$95,$A6,S17_Biome_Strata!$D$4:$D$95,$B6)</x:f>
        <x:v>26453.47427698464</x:v>
      </x:c>
      <x:c r="Z6" s="167" t="n">
        <x:f aca="0">SUMIFS(S17_Biome_Strata!$BF$4:$BF$95,S17_Biome_Strata!$A$4:$A$95,"Deserts &amp; Xeric Shrublands",S17_Biome_Strata!$B$4:$B$95,$A6,S17_Biome_Strata!$D$4:$D$95,$B6)</x:f>
        <x:v>27553.757575866213</x:v>
      </x:c>
      <x:c r="AA6" s="167" t="n">
        <x:f aca="0">F6*(1-$D6)</x:f>
        <x:v>0</x:v>
      </x:c>
      <x:c r="AB6" s="167" t="n">
        <x:f aca="0">G6*(1-$D6)</x:f>
        <x:v>0</x:v>
      </x:c>
      <x:c r="AC6" s="167" t="n">
        <x:f aca="0">H6*(1-$D6)</x:f>
        <x:v>0</x:v>
      </x:c>
      <x:c r="AD6" s="167" t="n">
        <x:f aca="0">I6*(1-$D6)</x:f>
        <x:v>16.567901668222092</x:v>
      </x:c>
      <x:c r="AE6" s="167" t="n">
        <x:f aca="0">J6*(1-$D6)</x:f>
        <x:v>202.33546454339833</x:v>
      </x:c>
      <x:c r="AF6" s="167" t="n">
        <x:f aca="0">K6*(1-$D6)</x:f>
        <x:v>765.8565184982359</x:v>
      </x:c>
      <x:c r="AG6" s="167" t="n">
        <x:f aca="0">L6*(1-$D6)</x:f>
        <x:v>1816.6523061554149</x:v>
      </x:c>
      <x:c r="AH6" s="167" t="n">
        <x:f aca="0">M6*(1-$D6)</x:f>
        <x:v>3334.900645205773</x:v>
      </x:c>
      <x:c r="AI6" s="167" t="n">
        <x:f aca="0">N6*(1-$D6)</x:f>
        <x:v>5227.689888666074</x:v>
      </x:c>
      <x:c r="AJ6" s="167" t="n">
        <x:f aca="0">O6*(1-$D6)</x:f>
        <x:v>7373.497249830774</x:v>
      </x:c>
      <x:c r="AK6" s="167" t="n">
        <x:f aca="0">P6*(1-$D6)</x:f>
        <x:v>9652.926393937909</x:v>
      </x:c>
      <x:c r="AL6" s="167" t="n">
        <x:f aca="0">Q6*(1-$D6)</x:f>
        <x:v>11964.411601024916</x:v>
      </x:c>
      <x:c r="AM6" s="167" t="n">
        <x:f aca="0">R6*(1-$D6)</x:f>
        <x:v>14229.645474302404</x:v>
      </x:c>
      <x:c r="AN6" s="167" t="n">
        <x:f aca="0">S6*(1-$D6)</x:f>
        <x:v>16393.172884239764</x:v>
      </x:c>
      <x:c r="AO6" s="167" t="n">
        <x:f aca="0">T6*(1-$D6)</x:f>
        <x:v>18419.249562594112</x:v>
      </x:c>
      <x:c r="AP6" s="167" t="n">
        <x:f aca="0">U6*(1-$D6)</x:f>
        <x:v>20287.82079387854</x:v>
      </x:c>
      <x:c r="AQ6" s="167" t="n">
        <x:f aca="0">V6*(1-$D6)</x:f>
        <x:v>21990.59703064013</x:v>
      </x:c>
      <x:c r="AR6" s="167" t="n">
        <x:f aca="0">W6*(1-$D6)</x:f>
        <x:v>23527.660122464265</x:v>
      </x:c>
      <x:c r="AS6" s="167" t="n">
        <x:f aca="0">X6*(1-$D6)</x:f>
        <x:v>24904.73019276005</x:v>
      </x:c>
      <x:c r="AT6" s="167" t="n">
        <x:f aca="0">Y6*(1-$D6)</x:f>
        <x:v>26131.07068590923</x:v>
      </x:c>
      <x:c r="AU6" s="167" t="n">
        <x:f aca="0">Z6*(1-$D6)</x:f>
        <x:v>27217.944204168212</x:v>
      </x:c>
      <x:c r="AV6" s="37" t="str">
        <x:v>Formula-derived: S17_Biome_Strata row gross stock = eligible area × S15_Source_Strata stock/ha; S15_Source_Strata stock = cohort-aligned Chapman-Richards D/H → Chave AGB → conservative calibration → CF × (1+R) × 44/12. PB applied separately by Biome × Cohort.</x:v>
      </x:c>
    </x:row>
    <x:row r="7" ht="15" hidden="0" customHeight="1">
      <x:c r="A7" s="37" t="s">
        <x:v>111</x:v>
      </x:c>
      <x:c r="B7" s="37" t="n">
        <x:v>2023</x:v>
      </x:c>
      <x:c r="C7" s="167" t="n">
        <x:f aca="0">SUMIFS(S17_Biome_Strata!$F$4:$F$95,S17_Biome_Strata!$A$4:$A$95,"Deserts &amp; Xeric Shrublands",S17_Biome_Strata!$B$4:$B$95,$A7,S17_Biome_Strata!$D$4:$D$95,$B7)</x:f>
        <x:v>22.0603</x:v>
      </x:c>
      <x:c r="D7" s="167" t="n">
        <x:f aca="0">S09_PB_Input!H7</x:f>
        <x:v>0.012187570815827156</x:v>
      </x:c>
      <x:c r="E7" s="168" t="str">
        <x:f aca="0">S09_PB_Input!I7</x:f>
        <x:v>VM0047 v1.1 Appendix 1: Z-test significant; PB_t = ΔSI_control / ΔSI_wp (Eq. A8). Source: 20260814_304027_GKF_ProjectPlots_PB.xlsx.</x:v>
      </x:c>
      <x:c r="F7" s="167" t="n">
        <x:f aca="0">SUMIFS(S17_Biome_Strata!$AL$4:$AL$95,S17_Biome_Strata!$A$4:$A$95,"Deserts &amp; Xeric Shrublands",S17_Biome_Strata!$B$4:$B$95,$A7,S17_Biome_Strata!$D$4:$D$95,$B7)</x:f>
        <x:v>0</x:v>
      </x:c>
      <x:c r="G7" s="167" t="n">
        <x:f aca="0">SUMIFS(S17_Biome_Strata!$AM$4:$AM$95,S17_Biome_Strata!$A$4:$A$95,"Deserts &amp; Xeric Shrublands",S17_Biome_Strata!$B$4:$B$95,$A7,S17_Biome_Strata!$D$4:$D$95,$B7)</x:f>
        <x:v>0</x:v>
      </x:c>
      <x:c r="H7" s="167" t="n">
        <x:f aca="0">SUMIFS(S17_Biome_Strata!$AN$4:$AN$95,S17_Biome_Strata!$A$4:$A$95,"Deserts &amp; Xeric Shrublands",S17_Biome_Strata!$B$4:$B$95,$A7,S17_Biome_Strata!$D$4:$D$95,$B7)</x:f>
        <x:v>0</x:v>
      </x:c>
      <x:c r="I7" s="167" t="n">
        <x:f aca="0">SUMIFS(S17_Biome_Strata!$AO$4:$AO$95,S17_Biome_Strata!$A$4:$A$95,"Deserts &amp; Xeric Shrublands",S17_Biome_Strata!$B$4:$B$95,$A7,S17_Biome_Strata!$D$4:$D$95,$B7)</x:f>
        <x:v>0</x:v>
      </x:c>
      <x:c r="J7" s="167" t="n">
        <x:f aca="0">SUMIFS(S17_Biome_Strata!$AP$4:$AP$95,S17_Biome_Strata!$A$4:$A$95,"Deserts &amp; Xeric Shrublands",S17_Biome_Strata!$B$4:$B$95,$A7,S17_Biome_Strata!$D$4:$D$95,$B7)</x:f>
        <x:v>1.8348944395007747</x:v>
      </x:c>
      <x:c r="K7" s="167" t="n">
        <x:f aca="0">SUMIFS(S17_Biome_Strata!$AQ$4:$AQ$95,S17_Biome_Strata!$A$4:$A$95,"Deserts &amp; Xeric Shrublands",S17_Biome_Strata!$B$4:$B$95,$A7,S17_Biome_Strata!$D$4:$D$95,$B7)</x:f>
        <x:v>22.650306124380975</x:v>
      </x:c>
      <x:c r="L7" s="167" t="n">
        <x:f aca="0">SUMIFS(S17_Biome_Strata!$AR$4:$AR$95,S17_Biome_Strata!$A$4:$A$95,"Deserts &amp; Xeric Shrublands",S17_Biome_Strata!$B$4:$B$95,$A7,S17_Biome_Strata!$D$4:$D$95,$B7)</x:f>
        <x:v>86.00106120540975</x:v>
      </x:c>
      <x:c r="M7" s="167" t="n">
        <x:f aca="0">SUMIFS(S17_Biome_Strata!$AS$4:$AS$95,S17_Biome_Strata!$A$4:$A$95,"Deserts &amp; Xeric Shrublands",S17_Biome_Strata!$B$4:$B$95,$A7,S17_Biome_Strata!$D$4:$D$95,$B7)</x:f>
        <x:v>204.08472848569923</x:v>
      </x:c>
      <x:c r="N7" s="167" t="n">
        <x:f aca="0">SUMIFS(S17_Biome_Strata!$AT$4:$AT$95,S17_Biome_Strata!$A$4:$A$95,"Deserts &amp; Xeric Shrublands",S17_Biome_Strata!$B$4:$B$95,$A7,S17_Biome_Strata!$D$4:$D$95,$B7)</x:f>
        <x:v>374.35254016836825</x:v>
      </x:c>
      <x:c r="O7" s="167" t="n">
        <x:f aca="0">SUMIFS(S17_Biome_Strata!$AU$4:$AU$95,S17_Biome_Strata!$A$4:$A$95,"Deserts &amp; Xeric Shrublands",S17_Biome_Strata!$B$4:$B$95,$A7,S17_Biome_Strata!$D$4:$D$95,$B7)</x:f>
        <x:v>586.032681137342</x:v>
      </x:c>
      <x:c r="P7" s="167" t="n">
        <x:f aca="0">SUMIFS(S17_Biome_Strata!$AV$4:$AV$95,S17_Biome_Strata!$A$4:$A$95,"Deserts &amp; Xeric Shrublands",S17_Biome_Strata!$B$4:$B$95,$A7,S17_Biome_Strata!$D$4:$D$95,$B7)</x:f>
        <x:v>825.267530848394</x:v>
      </x:c>
      <x:c r="Q7" s="167" t="n">
        <x:f aca="0">SUMIFS(S17_Biome_Strata!$AW$4:$AW$95,S17_Biome_Strata!$A$4:$A$95,"Deserts &amp; Xeric Shrublands",S17_Biome_Strata!$B$4:$B$95,$A7,S17_Biome_Strata!$D$4:$D$95,$B7)</x:f>
        <x:v>1078.602051687293</x:v>
      </x:c>
      <x:c r="R7" s="167" t="n">
        <x:f aca="0">SUMIFS(S17_Biome_Strata!$AX$4:$AX$95,S17_Biome_Strata!$A$4:$A$95,"Deserts &amp; Xeric Shrublands",S17_Biome_Strata!$B$4:$B$95,$A7,S17_Biome_Strata!$D$4:$D$95,$B7)</x:f>
        <x:v>1334.7188104809277</x:v>
      </x:c>
      <x:c r="S7" s="167" t="n">
        <x:f aca="0">SUMIFS(S17_Biome_Strata!$AY$4:$AY$95,S17_Biome_Strata!$A$4:$A$95,"Deserts &amp; Xeric Shrublands",S17_Biome_Strata!$B$4:$B$95,$A7,S17_Biome_Strata!$D$4:$D$95,$B7)</x:f>
        <x:v>1584.9960076616521</x:v>
      </x:c>
      <x:c r="T7" s="167" t="n">
        <x:f aca="0">SUMIFS(S17_Biome_Strata!$AZ$4:$AZ$95,S17_Biome_Strata!$A$4:$A$95,"Deserts &amp; Xeric Shrublands",S17_Biome_Strata!$B$4:$B$95,$A7,S17_Biome_Strata!$D$4:$D$95,$B7)</x:f>
        <x:v>1823.4127675142652</x:v>
      </x:c>
      <x:c r="U7" s="167" t="n">
        <x:f aca="0">SUMIFS(S17_Biome_Strata!$BA$4:$BA$95,S17_Biome_Strata!$A$4:$A$95,"Deserts &amp; Xeric Shrublands",S17_Biome_Strata!$B$4:$B$95,$A7,S17_Biome_Strata!$D$4:$D$95,$B7)</x:f>
        <x:v>2046.1599941239474</x:v>
      </x:c>
      <x:c r="V7" s="167" t="n">
        <x:f aca="0">SUMIFS(S17_Biome_Strata!$BB$4:$BB$95,S17_Biome_Strata!$A$4:$A$95,"Deserts &amp; Xeric Shrublands",S17_Biome_Strata!$B$4:$B$95,$A7,S17_Biome_Strata!$D$4:$D$95,$B7)</x:f>
        <x:v>2251.1666106116736</x:v>
      </x:c>
      <x:c r="W7" s="167" t="n">
        <x:f aca="0">SUMIFS(S17_Biome_Strata!$BC$4:$BC$95,S17_Biome_Strata!$A$4:$A$95,"Deserts &amp; Xeric Shrublands",S17_Biome_Strata!$B$4:$B$95,$A7,S17_Biome_Strata!$D$4:$D$95,$B7)</x:f>
        <x:v>2437.6483636798494</x:v>
      </x:c>
      <x:c r="X7" s="167" t="n">
        <x:f aca="0">SUMIFS(S17_Biome_Strata!$BD$4:$BD$95,S17_Biome_Strata!$A$4:$A$95,"Deserts &amp; Xeric Shrublands",S17_Biome_Strata!$B$4:$B$95,$A7,S17_Biome_Strata!$D$4:$D$95,$B7)</x:f>
        <x:v>2605.724334092878</x:v>
      </x:c>
      <x:c r="Y7" s="167" t="n">
        <x:f aca="0">SUMIFS(S17_Biome_Strata!$BE$4:$BE$95,S17_Biome_Strata!$A$4:$A$95,"Deserts &amp; Xeric Shrublands",S17_Biome_Strata!$B$4:$B$95,$A7,S17_Biome_Strata!$D$4:$D$95,$B7)</x:f>
        <x:v>2756.112522543356</x:v>
      </x:c>
      <x:c r="Z7" s="167" t="n">
        <x:f aca="0">SUMIFS(S17_Biome_Strata!$BF$4:$BF$95,S17_Biome_Strata!$A$4:$A$95,"Deserts &amp; Xeric Shrublands",S17_Biome_Strata!$B$4:$B$95,$A7,S17_Biome_Strata!$D$4:$D$95,$B7)</x:f>
        <x:v>2889.8995478472043</x:v>
      </x:c>
      <x:c r="AA7" s="167" t="n">
        <x:f aca="0">F7*(1-$D7)</x:f>
        <x:v>0</x:v>
      </x:c>
      <x:c r="AB7" s="167" t="n">
        <x:f aca="0">G7*(1-$D7)</x:f>
        <x:v>0</x:v>
      </x:c>
      <x:c r="AC7" s="167" t="n">
        <x:f aca="0">H7*(1-$D7)</x:f>
        <x:v>0</x:v>
      </x:c>
      <x:c r="AD7" s="167" t="n">
        <x:f aca="0">I7*(1-$D7)</x:f>
        <x:v>0</x:v>
      </x:c>
      <x:c r="AE7" s="167" t="n">
        <x:f aca="0">J7*(1-$D7)</x:f>
        <x:v>1.8125315335797916</x:v>
      </x:c>
      <x:c r="AF7" s="167" t="n">
        <x:f aca="0">K7*(1-$D7)</x:f>
        <x:v>22.37425391448992</x:v>
      </x:c>
      <x:c r="AG7" s="167" t="n">
        <x:f aca="0">L7*(1-$D7)</x:f>
        <x:v>84.95291718173254</x:v>
      </x:c>
      <x:c r="AH7" s="167" t="n">
        <x:f aca="0">M7*(1-$D7)</x:f>
        <x:v>201.59743140485094</x:v>
      </x:c>
      <x:c r="AI7" s="167" t="n">
        <x:f aca="0">N7*(1-$D7)</x:f>
        <x:v>369.7900920749815</x:v>
      </x:c>
      <x:c r="AJ7" s="167" t="n">
        <x:f aca="0">O7*(1-$D7)</x:f>
        <x:v>578.8903663355917</x:v>
      </x:c>
      <x:c r="AK7" s="167" t="n">
        <x:f aca="0">P7*(1-$D7)</x:f>
        <x:v>815.2095243741765</x:v>
      </x:c>
      <x:c r="AL7" s="167" t="n">
        <x:f aca="0">Q7*(1-$D7)</x:f>
        <x:v>1065.4565128002575</x:v>
      </x:c>
      <x:c r="AM7" s="167" t="n">
        <x:f aca="0">R7*(1-$D7)</x:f>
        <x:v>1318.4518304589749</x:v>
      </x:c>
      <x:c r="AN7" s="167" t="n">
        <x:f aca="0">S7*(1-$D7)</x:f>
        <x:v>1565.6787565754726</x:v>
      </x:c>
      <x:c r="AO7" s="167" t="n">
        <x:f aca="0">T7*(1-$D7)</x:f>
        <x:v>1801.1897952837019</x:v>
      </x:c>
      <x:c r="AP7" s="167" t="n">
        <x:f aca="0">U7*(1-$D7)</x:f>
        <x:v>2021.2222742950494</x:v>
      </x:c>
      <x:c r="AQ7" s="167" t="n">
        <x:f aca="0">V7*(1-$D7)</x:f>
        <x:v>2223.7303581266183</x:v>
      </x:c>
      <x:c r="AR7" s="167" t="n">
        <x:f aca="0">W7*(1-$D7)</x:f>
        <x:v>2407.9393516234163</x:v>
      </x:c>
      <x:c r="AS7" s="167" t="n">
        <x:f aca="0">X7*(1-$D7)</x:f>
        <x:v>2573.966884244597</x:v>
      </x:c>
      <x:c r="AT7" s="167" t="n">
        <x:f aca="0">Y7*(1-$D7)</x:f>
        <x:v>2722.5222059984712</x:v>
      </x:c>
      <x:c r="AU7" s="167" t="n">
        <x:f aca="0">Z7*(1-$D7)</x:f>
        <x:v>2854.6786924571898</x:v>
      </x:c>
      <x:c r="AV7" s="37" t="str">
        <x:v>Formula-derived: S17_Biome_Strata row gross stock = eligible area × S15_Source_Strata stock/ha; S15_Source_Strata stock = cohort-aligned Chapman-Richards D/H → Chave AGB → conservative calibration → CF × (1+R) × 44/12. PB applied separately by Biome × Cohort.</x:v>
      </x:c>
    </x:row>
    <x:row r="8" ht="15" hidden="0" customHeight="1">
      <x:c r="A8" s="37" t="s">
        <x:v>112</x:v>
      </x:c>
      <x:c r="B8" s="37" t="n">
        <x:v>2020</x:v>
      </x:c>
      <x:c r="C8" s="167" t="n">
        <x:f aca="0">SUMIFS(S17_Biome_Strata!$F$4:$F$95,S17_Biome_Strata!$A$4:$A$95,"Deserts &amp; Xeric Shrublands",S17_Biome_Strata!$B$4:$B$95,$A8,S17_Biome_Strata!$D$4:$D$95,$B8)</x:f>
        <x:v>0</x:v>
      </x:c>
      <x:c r="D8" s="167" t="n">
        <x:f aca="0">S09_PB_Input!H4</x:f>
        <x:v>0.012187570815827156</x:v>
      </x:c>
      <x:c r="E8" s="168" t="str">
        <x:f aca="0">S09_PB_Input!I4</x:f>
        <x:v>VM0047 v1.1 Appendix 1: Z-test significant; PB_t = ΔSI_control / ΔSI_wp (Eq. A8). Source: 20260814_304027_GKF_ProjectPlots_PB.xlsx.</x:v>
      </x:c>
      <x:c r="F8" s="167" t="n">
        <x:f aca="0">SUMIFS(S17_Biome_Strata!$AL$4:$AL$95,S17_Biome_Strata!$A$4:$A$95,"Deserts &amp; Xeric Shrublands",S17_Biome_Strata!$B$4:$B$95,$A8,S17_Biome_Strata!$D$4:$D$95,$B8)</x:f>
        <x:v>0</x:v>
      </x:c>
      <x:c r="G8" s="167" t="n">
        <x:f aca="0">SUMIFS(S17_Biome_Strata!$AM$4:$AM$95,S17_Biome_Strata!$A$4:$A$95,"Deserts &amp; Xeric Shrublands",S17_Biome_Strata!$B$4:$B$95,$A8,S17_Biome_Strata!$D$4:$D$95,$B8)</x:f>
        <x:v>0</x:v>
      </x:c>
      <x:c r="H8" s="167" t="n">
        <x:f aca="0">SUMIFS(S17_Biome_Strata!$AN$4:$AN$95,S17_Biome_Strata!$A$4:$A$95,"Deserts &amp; Xeric Shrublands",S17_Biome_Strata!$B$4:$B$95,$A8,S17_Biome_Strata!$D$4:$D$95,$B8)</x:f>
        <x:v>0</x:v>
      </x:c>
      <x:c r="I8" s="167" t="n">
        <x:f aca="0">SUMIFS(S17_Biome_Strata!$AO$4:$AO$95,S17_Biome_Strata!$A$4:$A$95,"Deserts &amp; Xeric Shrublands",S17_Biome_Strata!$B$4:$B$95,$A8,S17_Biome_Strata!$D$4:$D$95,$B8)</x:f>
        <x:v>0</x:v>
      </x:c>
      <x:c r="J8" s="167" t="n">
        <x:f aca="0">SUMIFS(S17_Biome_Strata!$AP$4:$AP$95,S17_Biome_Strata!$A$4:$A$95,"Deserts &amp; Xeric Shrublands",S17_Biome_Strata!$B$4:$B$95,$A8,S17_Biome_Strata!$D$4:$D$95,$B8)</x:f>
        <x:v>0</x:v>
      </x:c>
      <x:c r="K8" s="167" t="n">
        <x:f aca="0">SUMIFS(S17_Biome_Strata!$AQ$4:$AQ$95,S17_Biome_Strata!$A$4:$A$95,"Deserts &amp; Xeric Shrublands",S17_Biome_Strata!$B$4:$B$95,$A8,S17_Biome_Strata!$D$4:$D$95,$B8)</x:f>
        <x:v>0</x:v>
      </x:c>
      <x:c r="L8" s="167" t="n">
        <x:f aca="0">SUMIFS(S17_Biome_Strata!$AR$4:$AR$95,S17_Biome_Strata!$A$4:$A$95,"Deserts &amp; Xeric Shrublands",S17_Biome_Strata!$B$4:$B$95,$A8,S17_Biome_Strata!$D$4:$D$95,$B8)</x:f>
        <x:v>0</x:v>
      </x:c>
      <x:c r="M8" s="167" t="n">
        <x:f aca="0">SUMIFS(S17_Biome_Strata!$AS$4:$AS$95,S17_Biome_Strata!$A$4:$A$95,"Deserts &amp; Xeric Shrublands",S17_Biome_Strata!$B$4:$B$95,$A8,S17_Biome_Strata!$D$4:$D$95,$B8)</x:f>
        <x:v>0</x:v>
      </x:c>
      <x:c r="N8" s="167" t="n">
        <x:f aca="0">SUMIFS(S17_Biome_Strata!$AT$4:$AT$95,S17_Biome_Strata!$A$4:$A$95,"Deserts &amp; Xeric Shrublands",S17_Biome_Strata!$B$4:$B$95,$A8,S17_Biome_Strata!$D$4:$D$95,$B8)</x:f>
        <x:v>0</x:v>
      </x:c>
      <x:c r="O8" s="167" t="n">
        <x:f aca="0">SUMIFS(S17_Biome_Strata!$AU$4:$AU$95,S17_Biome_Strata!$A$4:$A$95,"Deserts &amp; Xeric Shrublands",S17_Biome_Strata!$B$4:$B$95,$A8,S17_Biome_Strata!$D$4:$D$95,$B8)</x:f>
        <x:v>0</x:v>
      </x:c>
      <x:c r="P8" s="167" t="n">
        <x:f aca="0">SUMIFS(S17_Biome_Strata!$AV$4:$AV$95,S17_Biome_Strata!$A$4:$A$95,"Deserts &amp; Xeric Shrublands",S17_Biome_Strata!$B$4:$B$95,$A8,S17_Biome_Strata!$D$4:$D$95,$B8)</x:f>
        <x:v>0</x:v>
      </x:c>
      <x:c r="Q8" s="167" t="n">
        <x:f aca="0">SUMIFS(S17_Biome_Strata!$AW$4:$AW$95,S17_Biome_Strata!$A$4:$A$95,"Deserts &amp; Xeric Shrublands",S17_Biome_Strata!$B$4:$B$95,$A8,S17_Biome_Strata!$D$4:$D$95,$B8)</x:f>
        <x:v>0</x:v>
      </x:c>
      <x:c r="R8" s="167" t="n">
        <x:f aca="0">SUMIFS(S17_Biome_Strata!$AX$4:$AX$95,S17_Biome_Strata!$A$4:$A$95,"Deserts &amp; Xeric Shrublands",S17_Biome_Strata!$B$4:$B$95,$A8,S17_Biome_Strata!$D$4:$D$95,$B8)</x:f>
        <x:v>0</x:v>
      </x:c>
      <x:c r="S8" s="167" t="n">
        <x:f aca="0">SUMIFS(S17_Biome_Strata!$AY$4:$AY$95,S17_Biome_Strata!$A$4:$A$95,"Deserts &amp; Xeric Shrublands",S17_Biome_Strata!$B$4:$B$95,$A8,S17_Biome_Strata!$D$4:$D$95,$B8)</x:f>
        <x:v>0</x:v>
      </x:c>
      <x:c r="T8" s="167" t="n">
        <x:f aca="0">SUMIFS(S17_Biome_Strata!$AZ$4:$AZ$95,S17_Biome_Strata!$A$4:$A$95,"Deserts &amp; Xeric Shrublands",S17_Biome_Strata!$B$4:$B$95,$A8,S17_Biome_Strata!$D$4:$D$95,$B8)</x:f>
        <x:v>0</x:v>
      </x:c>
      <x:c r="U8" s="167" t="n">
        <x:f aca="0">SUMIFS(S17_Biome_Strata!$BA$4:$BA$95,S17_Biome_Strata!$A$4:$A$95,"Deserts &amp; Xeric Shrublands",S17_Biome_Strata!$B$4:$B$95,$A8,S17_Biome_Strata!$D$4:$D$95,$B8)</x:f>
        <x:v>0</x:v>
      </x:c>
      <x:c r="V8" s="167" t="n">
        <x:f aca="0">SUMIFS(S17_Biome_Strata!$BB$4:$BB$95,S17_Biome_Strata!$A$4:$A$95,"Deserts &amp; Xeric Shrublands",S17_Biome_Strata!$B$4:$B$95,$A8,S17_Biome_Strata!$D$4:$D$95,$B8)</x:f>
        <x:v>0</x:v>
      </x:c>
      <x:c r="W8" s="167" t="n">
        <x:f aca="0">SUMIFS(S17_Biome_Strata!$BC$4:$BC$95,S17_Biome_Strata!$A$4:$A$95,"Deserts &amp; Xeric Shrublands",S17_Biome_Strata!$B$4:$B$95,$A8,S17_Biome_Strata!$D$4:$D$95,$B8)</x:f>
        <x:v>0</x:v>
      </x:c>
      <x:c r="X8" s="167" t="n">
        <x:f aca="0">SUMIFS(S17_Biome_Strata!$BD$4:$BD$95,S17_Biome_Strata!$A$4:$A$95,"Deserts &amp; Xeric Shrublands",S17_Biome_Strata!$B$4:$B$95,$A8,S17_Biome_Strata!$D$4:$D$95,$B8)</x:f>
        <x:v>0</x:v>
      </x:c>
      <x:c r="Y8" s="167" t="n">
        <x:f aca="0">SUMIFS(S17_Biome_Strata!$BE$4:$BE$95,S17_Biome_Strata!$A$4:$A$95,"Deserts &amp; Xeric Shrublands",S17_Biome_Strata!$B$4:$B$95,$A8,S17_Biome_Strata!$D$4:$D$95,$B8)</x:f>
        <x:v>0</x:v>
      </x:c>
      <x:c r="Z8" s="167" t="n">
        <x:f aca="0">SUMIFS(S17_Biome_Strata!$BF$4:$BF$95,S17_Biome_Strata!$A$4:$A$95,"Deserts &amp; Xeric Shrublands",S17_Biome_Strata!$B$4:$B$95,$A8,S17_Biome_Strata!$D$4:$D$95,$B8)</x:f>
        <x:v>0</x:v>
      </x:c>
      <x:c r="AA8" s="167" t="n">
        <x:f aca="0">F8*(1-$D8)</x:f>
        <x:v>0</x:v>
      </x:c>
      <x:c r="AB8" s="167" t="n">
        <x:f aca="0">G8*(1-$D8)</x:f>
        <x:v>0</x:v>
      </x:c>
      <x:c r="AC8" s="167" t="n">
        <x:f aca="0">H8*(1-$D8)</x:f>
        <x:v>0</x:v>
      </x:c>
      <x:c r="AD8" s="167" t="n">
        <x:f aca="0">I8*(1-$D8)</x:f>
        <x:v>0</x:v>
      </x:c>
      <x:c r="AE8" s="167" t="n">
        <x:f aca="0">J8*(1-$D8)</x:f>
        <x:v>0</x:v>
      </x:c>
      <x:c r="AF8" s="167" t="n">
        <x:f aca="0">K8*(1-$D8)</x:f>
        <x:v>0</x:v>
      </x:c>
      <x:c r="AG8" s="167" t="n">
        <x:f aca="0">L8*(1-$D8)</x:f>
        <x:v>0</x:v>
      </x:c>
      <x:c r="AH8" s="167" t="n">
        <x:f aca="0">M8*(1-$D8)</x:f>
        <x:v>0</x:v>
      </x:c>
      <x:c r="AI8" s="167" t="n">
        <x:f aca="0">N8*(1-$D8)</x:f>
        <x:v>0</x:v>
      </x:c>
      <x:c r="AJ8" s="167" t="n">
        <x:f aca="0">O8*(1-$D8)</x:f>
        <x:v>0</x:v>
      </x:c>
      <x:c r="AK8" s="167" t="n">
        <x:f aca="0">P8*(1-$D8)</x:f>
        <x:v>0</x:v>
      </x:c>
      <x:c r="AL8" s="167" t="n">
        <x:f aca="0">Q8*(1-$D8)</x:f>
        <x:v>0</x:v>
      </x:c>
      <x:c r="AM8" s="167" t="n">
        <x:f aca="0">R8*(1-$D8)</x:f>
        <x:v>0</x:v>
      </x:c>
      <x:c r="AN8" s="167" t="n">
        <x:f aca="0">S8*(1-$D8)</x:f>
        <x:v>0</x:v>
      </x:c>
      <x:c r="AO8" s="167" t="n">
        <x:f aca="0">T8*(1-$D8)</x:f>
        <x:v>0</x:v>
      </x:c>
      <x:c r="AP8" s="167" t="n">
        <x:f aca="0">U8*(1-$D8)</x:f>
        <x:v>0</x:v>
      </x:c>
      <x:c r="AQ8" s="167" t="n">
        <x:f aca="0">V8*(1-$D8)</x:f>
        <x:v>0</x:v>
      </x:c>
      <x:c r="AR8" s="167" t="n">
        <x:f aca="0">W8*(1-$D8)</x:f>
        <x:v>0</x:v>
      </x:c>
      <x:c r="AS8" s="167" t="n">
        <x:f aca="0">X8*(1-$D8)</x:f>
        <x:v>0</x:v>
      </x:c>
      <x:c r="AT8" s="167" t="n">
        <x:f aca="0">Y8*(1-$D8)</x:f>
        <x:v>0</x:v>
      </x:c>
      <x:c r="AU8" s="167" t="n">
        <x:f aca="0">Z8*(1-$D8)</x:f>
        <x:v>0</x:v>
      </x:c>
      <x:c r="AV8" s="37" t="str">
        <x:v>Formula-derived: S17_Biome_Strata row gross stock = eligible area × S15_Source_Strata stock/ha; S15_Source_Strata stock = cohort-aligned Chapman-Richards D/H → Chave AGB → conservative calibration → CF × (1+R) × 44/12. PB applied separately by Biome × Cohort.</x:v>
      </x:c>
    </x:row>
    <x:row r="9" ht="15" hidden="0" customHeight="1">
      <x:c r="A9" s="37" t="s">
        <x:v>112</x:v>
      </x:c>
      <x:c r="B9" s="37" t="n">
        <x:v>2021</x:v>
      </x:c>
      <x:c r="C9" s="167" t="n">
        <x:f aca="0">SUMIFS(S17_Biome_Strata!$F$4:$F$95,S17_Biome_Strata!$A$4:$A$95,"Deserts &amp; Xeric Shrublands",S17_Biome_Strata!$B$4:$B$95,$A9,S17_Biome_Strata!$D$4:$D$95,$B9)</x:f>
        <x:v>9.3015</x:v>
      </x:c>
      <x:c r="D9" s="167" t="n">
        <x:f aca="0">S09_PB_Input!H5</x:f>
        <x:v>0.012187570815827156</x:v>
      </x:c>
      <x:c r="E9" s="168" t="str">
        <x:f aca="0">S09_PB_Input!I5</x:f>
        <x:v>VM0047 v1.1 Appendix 1: Z-test significant; PB_t = ΔSI_control / ΔSI_wp (Eq. A8). Source: 20260814_304027_GKF_ProjectPlots_PB.xlsx.</x:v>
      </x:c>
      <x:c r="F9" s="167" t="n">
        <x:f aca="0">SUMIFS(S17_Biome_Strata!$AL$4:$AL$95,S17_Biome_Strata!$A$4:$A$95,"Deserts &amp; Xeric Shrublands",S17_Biome_Strata!$B$4:$B$95,$A9,S17_Biome_Strata!$D$4:$D$95,$B9)</x:f>
        <x:v>0</x:v>
      </x:c>
      <x:c r="G9" s="167" t="n">
        <x:f aca="0">SUMIFS(S17_Biome_Strata!$AM$4:$AM$95,S17_Biome_Strata!$A$4:$A$95,"Deserts &amp; Xeric Shrublands",S17_Biome_Strata!$B$4:$B$95,$A9,S17_Biome_Strata!$D$4:$D$95,$B9)</x:f>
        <x:v>0</x:v>
      </x:c>
      <x:c r="H9" s="167" t="n">
        <x:f aca="0">SUMIFS(S17_Biome_Strata!$AN$4:$AN$95,S17_Biome_Strata!$A$4:$A$95,"Deserts &amp; Xeric Shrublands",S17_Biome_Strata!$B$4:$B$95,$A9,S17_Biome_Strata!$D$4:$D$95,$B9)</x:f>
        <x:v>1.5070603051407219</x:v>
      </x:c>
      <x:c r="I9" s="167" t="n">
        <x:f aca="0">SUMIFS(S17_Biome_Strata!$AO$4:$AO$95,S17_Biome_Strata!$A$4:$A$95,"Deserts &amp; Xeric Shrublands",S17_Biome_Strata!$B$4:$B$95,$A9,S17_Biome_Strata!$D$4:$D$95,$B9)</x:f>
        <x:v>16.144893431815028</x:v>
      </x:c>
      <x:c r="J9" s="167" t="n">
        <x:f aca="0">SUMIFS(S17_Biome_Strata!$AP$4:$AP$95,S17_Biome_Strata!$A$4:$A$95,"Deserts &amp; Xeric Shrublands",S17_Biome_Strata!$B$4:$B$95,$A9,S17_Biome_Strata!$D$4:$D$95,$B9)</x:f>
        <x:v>58.16643679758212</x:v>
      </x:c>
      <x:c r="K9" s="167" t="n">
        <x:f aca="0">SUMIFS(S17_Biome_Strata!$AQ$4:$AQ$95,S17_Biome_Strata!$A$4:$A$95,"Deserts &amp; Xeric Shrublands",S17_Biome_Strata!$B$4:$B$95,$A9,S17_Biome_Strata!$D$4:$D$95,$B9)</x:f>
        <x:v>135.40616972078112</x:v>
      </x:c>
      <x:c r="L9" s="167" t="n">
        <x:f aca="0">SUMIFS(S17_Biome_Strata!$AR$4:$AR$95,S17_Biome_Strata!$A$4:$A$95,"Deserts &amp; Xeric Shrublands",S17_Biome_Strata!$B$4:$B$95,$A9,S17_Biome_Strata!$D$4:$D$95,$B9)</x:f>
        <x:v>247.58542244761034</x:v>
      </x:c>
      <x:c r="M9" s="167" t="n">
        <x:f aca="0">SUMIFS(S17_Biome_Strata!$AS$4:$AS$95,S17_Biome_Strata!$A$4:$A$95,"Deserts &amp; Xeric Shrublands",S17_Biome_Strata!$B$4:$B$95,$A9,S17_Biome_Strata!$D$4:$D$95,$B9)</x:f>
        <x:v>389.65403691885183</x:v>
      </x:c>
      <x:c r="N9" s="167" t="n">
        <x:f aca="0">SUMIFS(S17_Biome_Strata!$AT$4:$AT$95,S17_Biome_Strata!$A$4:$A$95,"Deserts &amp; Xeric Shrublands",S17_Biome_Strata!$B$4:$B$95,$A9,S17_Biome_Strata!$D$4:$D$95,$B9)</x:f>
        <x:v>554.2208402213923</x:v>
      </x:c>
      <x:c r="O9" s="167" t="n">
        <x:f aca="0">SUMIFS(S17_Biome_Strata!$AU$4:$AU$95,S17_Biome_Strata!$A$4:$A$95,"Deserts &amp; Xeric Shrublands",S17_Biome_Strata!$B$4:$B$95,$A9,S17_Biome_Strata!$D$4:$D$95,$B9)</x:f>
        <x:v>733.4082741731082</x:v>
      </x:c>
      <x:c r="P9" s="167" t="n">
        <x:f aca="0">SUMIFS(S17_Biome_Strata!$AV$4:$AV$95,S17_Biome_Strata!$A$4:$A$95,"Deserts &amp; Xeric Shrublands",S17_Biome_Strata!$B$4:$B$95,$A9,S17_Biome_Strata!$D$4:$D$95,$B9)</x:f>
        <x:v>919.9527178156695</x:v>
      </x:c>
      <x:c r="Q9" s="167" t="n">
        <x:f aca="0">SUMIFS(S17_Biome_Strata!$AW$4:$AW$95,S17_Biome_Strata!$A$4:$A$95,"Deserts &amp; Xeric Shrublands",S17_Biome_Strata!$B$4:$B$95,$A9,S17_Biome_Strata!$D$4:$D$95,$B9)</x:f>
        <x:v>1107.7371597486463</x:v>
      </x:c>
      <x:c r="R9" s="167" t="n">
        <x:f aca="0">SUMIFS(S17_Biome_Strata!$AX$4:$AX$95,S17_Biome_Strata!$A$4:$A$95,"Deserts &amp; Xeric Shrublands",S17_Biome_Strata!$B$4:$B$95,$A9,S17_Biome_Strata!$D$4:$D$95,$B9)</x:f>
        <x:v>1291.9556737835346</x:v>
      </x:c>
      <x:c r="S9" s="167" t="n">
        <x:f aca="0">SUMIFS(S17_Biome_Strata!$AY$4:$AY$95,S17_Biome_Strata!$A$4:$A$95,"Deserts &amp; Xeric Shrublands",S17_Biome_Strata!$B$4:$B$95,$A9,S17_Biome_Strata!$D$4:$D$95,$B9)</x:f>
        <x:v>1469.0657994932424</x:v>
      </x:c>
      <x:c r="T9" s="167" t="n">
        <x:f aca="0">SUMIFS(S17_Biome_Strata!$AZ$4:$AZ$95,S17_Biome_Strata!$A$4:$A$95,"Deserts &amp; Xeric Shrublands",S17_Biome_Strata!$B$4:$B$95,$A9,S17_Biome_Strata!$D$4:$D$95,$B9)</x:f>
        <x:v>1636.6353992544273</x:v>
      </x:c>
      <x:c r="U9" s="167" t="n">
        <x:f aca="0">SUMIFS(S17_Biome_Strata!$BA$4:$BA$95,S17_Biome_Strata!$A$4:$A$95,"Deserts &amp; Xeric Shrublands",S17_Biome_Strata!$B$4:$B$95,$A9,S17_Biome_Strata!$D$4:$D$95,$B9)</x:f>
        <x:v>1793.1503589952622</x:v>
      </x:c>
      <x:c r="V9" s="167" t="n">
        <x:f aca="0">SUMIFS(S17_Biome_Strata!$BB$4:$BB$95,S17_Biome_Strata!$A$4:$A$95,"Deserts &amp; Xeric Shrublands",S17_Biome_Strata!$B$4:$B$95,$A9,S17_Biome_Strata!$D$4:$D$95,$B9)</x:f>
        <x:v>1937.8210404878273</x:v>
      </x:c>
      <x:c r="W9" s="167" t="n">
        <x:f aca="0">SUMIFS(S17_Biome_Strata!$BC$4:$BC$95,S17_Biome_Strata!$A$4:$A$95,"Deserts &amp; Xeric Shrublands",S17_Biome_Strata!$B$4:$B$95,$A9,S17_Biome_Strata!$D$4:$D$95,$B9)</x:f>
        <x:v>2070.406838000044</x:v>
      </x:c>
      <x:c r="X9" s="167" t="n">
        <x:f aca="0">SUMIFS(S17_Biome_Strata!$BD$4:$BD$95,S17_Biome_Strata!$A$4:$A$95,"Deserts &amp; Xeric Shrublands",S17_Biome_Strata!$B$4:$B$95,$A9,S17_Biome_Strata!$D$4:$D$95,$B9)</x:f>
        <x:v>2191.066859608048</x:v>
      </x:c>
      <x:c r="Y9" s="167" t="n">
        <x:f aca="0">SUMIFS(S17_Biome_Strata!$BE$4:$BE$95,S17_Biome_Strata!$A$4:$A$95,"Deserts &amp; Xeric Shrublands",S17_Biome_Strata!$B$4:$B$95,$A9,S17_Biome_Strata!$D$4:$D$95,$B9)</x:f>
        <x:v>2300.2382821254605</x:v>
      </x:c>
      <x:c r="Z9" s="167" t="n">
        <x:f aca="0">SUMIFS(S17_Biome_Strata!$BF$4:$BF$95,S17_Biome_Strata!$A$4:$A$95,"Deserts &amp; Xeric Shrublands",S17_Biome_Strata!$B$4:$B$95,$A9,S17_Biome_Strata!$D$4:$D$95,$B9)</x:f>
        <x:v>2398.540548658523</x:v>
      </x:c>
      <x:c r="AA9" s="167" t="n">
        <x:f aca="0">F9*(1-$D9)</x:f>
        <x:v>0</x:v>
      </x:c>
      <x:c r="AB9" s="167" t="n">
        <x:f aca="0">G9*(1-$D9)</x:f>
        <x:v>0</x:v>
      </x:c>
      <x:c r="AC9" s="167" t="n">
        <x:f aca="0">H9*(1-$D9)</x:f>
        <x:v>1.4886929009480974</x:v>
      </x:c>
      <x:c r="AD9" s="167" t="n">
        <x:f aca="0">I9*(1-$D9)</x:f>
        <x:v>15.9481263998008</x:v>
      </x:c>
      <x:c r="AE9" s="167" t="n">
        <x:f aca="0">J9*(1-$D9)</x:f>
        <x:v>57.45752923000726</x:v>
      </x:c>
      <x:c r="AF9" s="167" t="n">
        <x:f aca="0">K9*(1-$D9)</x:f>
        <x:v>133.7558974384092</x:v>
      </x:c>
      <x:c r="AG9" s="167" t="n">
        <x:f aca="0">L9*(1-$D9)</x:f>
        <x:v>244.5679575785636</x:v>
      </x:c>
      <x:c r="AH9" s="167" t="n">
        <x:f aca="0">M9*(1-$D9)</x:f>
        <x:v>384.9051007502304</x:v>
      </x:c>
      <x:c r="AI9" s="167" t="n">
        <x:f aca="0">N9*(1-$D9)</x:f>
        <x:v>547.466234483587</x:v>
      </x:c>
      <x:c r="AJ9" s="167" t="n">
        <x:f aca="0">O9*(1-$D9)</x:f>
        <x:v>724.4698088947099</x:v>
      </x:c>
      <x:c r="AK9" s="167" t="n">
        <x:f aca="0">P9*(1-$D9)</x:f>
        <x:v>908.7407289200785</x:v>
      </x:c>
      <x:c r="AL9" s="167" t="n">
        <x:f aca="0">Q9*(1-$D9)</x:f>
        <x:v>1094.2365346688864</x:v>
      </x:c>
      <x:c r="AM9" s="167" t="n">
        <x:f aca="0">R9*(1-$D9)</x:f>
        <x:v>1276.2098725183882</x:v>
      </x:c>
      <x:c r="AN9" s="167" t="n">
        <x:f aca="0">S9*(1-$D9)</x:f>
        <x:v>1451.1614560288087</x:v>
      </x:c>
      <x:c r="AO9" s="167" t="n">
        <x:f aca="0">T9*(1-$D9)</x:f>
        <x:v>1616.6887894263245</x:v>
      </x:c>
      <x:c r="AP9" s="167" t="n">
        <x:f aca="0">U9*(1-$D9)</x:f>
        <x:v>1771.2962120115817</x:v>
      </x:c>
      <x:c r="AQ9" s="167" t="n">
        <x:f aca="0">V9*(1-$D9)</x:f>
        <x:v>1914.203709328482</x:v>
      </x:c>
      <x:c r="AR9" s="167" t="n">
        <x:f aca="0">W9*(1-$D9)</x:f>
        <x:v>2045.1736080443457</x:v>
      </x:c>
      <x:c r="AS9" s="167" t="n">
        <x:f aca="0">X9*(1-$D9)</x:f>
        <x:v>2164.3630770943632</x:v>
      </x:c>
      <x:c r="AT9" s="167" t="n">
        <x:f aca="0">Y9*(1-$D9)</x:f>
        <x:v>2272.20396516878</x:v>
      </x:c>
      <x:c r="AU9" s="167" t="n">
        <x:f aca="0">Z9*(1-$D9)</x:f>
        <x:v>2369.3081658671144</x:v>
      </x:c>
      <x:c r="AV9" s="37" t="str">
        <x:v>Formula-derived: S17_Biome_Strata row gross stock = eligible area × S15_Source_Strata stock/ha; S15_Source_Strata stock = cohort-aligned Chapman-Richards D/H → Chave AGB → conservative calibration → CF × (1+R) × 44/12. PB applied separately by Biome × Cohort.</x:v>
      </x:c>
    </x:row>
    <x:row r="10" ht="15" hidden="0" customHeight="1">
      <x:c r="A10" s="37" t="s">
        <x:v>112</x:v>
      </x:c>
      <x:c r="B10" s="37" t="n">
        <x:v>2022</x:v>
      </x:c>
      <x:c r="C10" s="167" t="n">
        <x:f aca="0">SUMIFS(S17_Biome_Strata!$F$4:$F$95,S17_Biome_Strata!$A$4:$A$95,"Deserts &amp; Xeric Shrublands",S17_Biome_Strata!$B$4:$B$95,$A10,S17_Biome_Strata!$D$4:$D$95,$B10)</x:f>
        <x:v>5.0295</x:v>
      </x:c>
      <x:c r="D10" s="167" t="n">
        <x:f aca="0">S09_PB_Input!H6</x:f>
        <x:v>0.012187570815827156</x:v>
      </x:c>
      <x:c r="E10" s="168" t="str">
        <x:f aca="0">S09_PB_Input!I6</x:f>
        <x:v>VM0047 v1.1 Appendix 1: Z-test significant; PB_t = ΔSI_control / ΔSI_wp (Eq. A8). Source: 20260814_304027_GKF_ProjectPlots_PB.xlsx.</x:v>
      </x:c>
      <x:c r="F10" s="167" t="n">
        <x:f aca="0">SUMIFS(S17_Biome_Strata!$AL$4:$AL$95,S17_Biome_Strata!$A$4:$A$95,"Deserts &amp; Xeric Shrublands",S17_Biome_Strata!$B$4:$B$95,$A10,S17_Biome_Strata!$D$4:$D$95,$B10)</x:f>
        <x:v>0</x:v>
      </x:c>
      <x:c r="G10" s="167" t="n">
        <x:f aca="0">SUMIFS(S17_Biome_Strata!$AM$4:$AM$95,S17_Biome_Strata!$A$4:$A$95,"Deserts &amp; Xeric Shrublands",S17_Biome_Strata!$B$4:$B$95,$A10,S17_Biome_Strata!$D$4:$D$95,$B10)</x:f>
        <x:v>0</x:v>
      </x:c>
      <x:c r="H10" s="167" t="n">
        <x:f aca="0">SUMIFS(S17_Biome_Strata!$AN$4:$AN$95,S17_Biome_Strata!$A$4:$A$95,"Deserts &amp; Xeric Shrublands",S17_Biome_Strata!$B$4:$B$95,$A10,S17_Biome_Strata!$D$4:$D$95,$B10)</x:f>
        <x:v>0</x:v>
      </x:c>
      <x:c r="I10" s="167" t="n">
        <x:f aca="0">SUMIFS(S17_Biome_Strata!$AO$4:$AO$95,S17_Biome_Strata!$A$4:$A$95,"Deserts &amp; Xeric Shrublands",S17_Biome_Strata!$B$4:$B$95,$A10,S17_Biome_Strata!$D$4:$D$95,$B10)</x:f>
        <x:v>3.2395173588198505</x:v>
      </x:c>
      <x:c r="J10" s="167" t="n">
        <x:f aca="0">SUMIFS(S17_Biome_Strata!$AP$4:$AP$95,S17_Biome_Strata!$A$4:$A$95,"Deserts &amp; Xeric Shrublands",S17_Biome_Strata!$B$4:$B$95,$A10,S17_Biome_Strata!$D$4:$D$95,$B10)</x:f>
        <x:v>31.558276494984366</x:v>
      </x:c>
      <x:c r="K10" s="167" t="n">
        <x:f aca="0">SUMIFS(S17_Biome_Strata!$AQ$4:$AQ$95,S17_Biome_Strata!$A$4:$A$95,"Deserts &amp; Xeric Shrublands",S17_Biome_Strata!$B$4:$B$95,$A10,S17_Biome_Strata!$D$4:$D$95,$B10)</x:f>
        <x:v>106.30134641985907</x:v>
      </x:c>
      <x:c r="L10" s="167" t="n">
        <x:f aca="0">SUMIFS(S17_Biome_Strata!$AR$4:$AR$95,S17_Biome_Strata!$A$4:$A$95,"Deserts &amp; Xeric Shrublands",S17_Biome_Strata!$B$4:$B$95,$A10,S17_Biome_Strata!$D$4:$D$95,$B10)</x:f>
        <x:v>234.47170506944892</x:v>
      </x:c>
      <x:c r="M10" s="167" t="n">
        <x:f aca="0">SUMIFS(S17_Biome_Strata!$AS$4:$AS$95,S17_Biome_Strata!$A$4:$A$95,"Deserts &amp; Xeric Shrublands",S17_Biome_Strata!$B$4:$B$95,$A10,S17_Biome_Strata!$D$4:$D$95,$B10)</x:f>
        <x:v>409.66736546923244</x:v>
      </x:c>
      <x:c r="N10" s="167" t="n">
        <x:f aca="0">SUMIFS(S17_Biome_Strata!$AT$4:$AT$95,S17_Biome_Strata!$A$4:$A$95,"Deserts &amp; Xeric Shrublands",S17_Biome_Strata!$B$4:$B$95,$A10,S17_Biome_Strata!$D$4:$D$95,$B10)</x:f>
        <x:v>619.8718582235749</x:v>
      </x:c>
      <x:c r="O10" s="167" t="n">
        <x:f aca="0">SUMIFS(S17_Biome_Strata!$AU$4:$AU$95,S17_Biome_Strata!$A$4:$A$95,"Deserts &amp; Xeric Shrublands",S17_Biome_Strata!$B$4:$B$95,$A10,S17_Biome_Strata!$D$4:$D$95,$B10)</x:f>
        <x:v>851.7534144727471</x:v>
      </x:c>
      <x:c r="P10" s="167" t="n">
        <x:f aca="0">SUMIFS(S17_Biome_Strata!$AV$4:$AV$95,S17_Biome_Strata!$A$4:$A$95,"Deserts &amp; Xeric Shrublands",S17_Biome_Strata!$B$4:$B$95,$A10,S17_Biome_Strata!$D$4:$D$95,$B10)</x:f>
        <x:v>1093.229776768428</x:v>
      </x:c>
      <x:c r="Q10" s="167" t="n">
        <x:f aca="0">SUMIFS(S17_Biome_Strata!$AW$4:$AW$95,S17_Biome_Strata!$A$4:$A$95,"Deserts &amp; Xeric Shrublands",S17_Biome_Strata!$B$4:$B$95,$A10,S17_Biome_Strata!$D$4:$D$95,$B10)</x:f>
        <x:v>1334.5510775152388</x:v>
      </x:c>
      <x:c r="R10" s="167" t="n">
        <x:f aca="0">SUMIFS(S17_Biome_Strata!$AX$4:$AX$95,S17_Biome_Strata!$A$4:$A$95,"Deserts &amp; Xeric Shrublands",S17_Biome_Strata!$B$4:$B$95,$A10,S17_Biome_Strata!$D$4:$D$95,$B10)</x:f>
        <x:v>1568.5058649843686</x:v>
      </x:c>
      <x:c r="S10" s="167" t="n">
        <x:f aca="0">SUMIFS(S17_Biome_Strata!$AY$4:$AY$95,S17_Biome_Strata!$A$4:$A$95,"Deserts &amp; Xeric Shrublands",S17_Biome_Strata!$B$4:$B$95,$A10,S17_Biome_Strata!$D$4:$D$95,$B10)</x:f>
        <x:v>1790.186647280388</x:v>
      </x:c>
      <x:c r="T10" s="167" t="n">
        <x:f aca="0">SUMIFS(S17_Biome_Strata!$AZ$4:$AZ$95,S17_Biome_Strata!$A$4:$A$95,"Deserts &amp; Xeric Shrublands",S17_Biome_Strata!$B$4:$B$95,$A10,S17_Biome_Strata!$D$4:$D$95,$B10)</x:f>
        <x:v>1996.5824198630603</x:v>
      </x:c>
      <x:c r="U10" s="167" t="n">
        <x:f aca="0">SUMIFS(S17_Biome_Strata!$BA$4:$BA$95,S17_Biome_Strata!$A$4:$A$95,"Deserts &amp; Xeric Shrublands",S17_Biome_Strata!$B$4:$B$95,$A10,S17_Biome_Strata!$D$4:$D$95,$B10)</x:f>
        <x:v>2186.1437755820275</x:v>
      </x:c>
      <x:c r="V10" s="167" t="n">
        <x:f aca="0">SUMIFS(S17_Biome_Strata!$BB$4:$BB$95,S17_Biome_Strata!$A$4:$A$95,"Deserts &amp; Xeric Shrublands",S17_Biome_Strata!$B$4:$B$95,$A10,S17_Biome_Strata!$D$4:$D$95,$B10)</x:f>
        <x:v>2358.3898188108287</x:v>
      </x:c>
      <x:c r="W10" s="167" t="n">
        <x:f aca="0">SUMIFS(S17_Biome_Strata!$BC$4:$BC$95,S17_Biome_Strata!$A$4:$A$95,"Deserts &amp; Xeric Shrublands",S17_Biome_Strata!$B$4:$B$95,$A10,S17_Biome_Strata!$D$4:$D$95,$B10)</x:f>
        <x:v>2513.582598247715</x:v>
      </x:c>
      <x:c r="X10" s="167" t="n">
        <x:f aca="0">SUMIFS(S17_Biome_Strata!$BD$4:$BD$95,S17_Biome_Strata!$A$4:$A$95,"Deserts &amp; Xeric Shrublands",S17_Biome_Strata!$B$4:$B$95,$A10,S17_Biome_Strata!$D$4:$D$95,$B10)</x:f>
        <x:v>2652.472180969891</x:v>
      </x:c>
      <x:c r="Y10" s="167" t="n">
        <x:f aca="0">SUMIFS(S17_Biome_Strata!$BE$4:$BE$95,S17_Biome_Strata!$A$4:$A$95,"Deserts &amp; Xeric Shrublands",S17_Biome_Strata!$B$4:$B$95,$A10,S17_Biome_Strata!$D$4:$D$95,$B10)</x:f>
        <x:v>2776.1051577616277</x:v>
      </x:c>
      <x:c r="Z10" s="167" t="n">
        <x:f aca="0">SUMIFS(S17_Biome_Strata!$BF$4:$BF$95,S17_Biome_Strata!$A$4:$A$95,"Deserts &amp; Xeric Shrublands",S17_Biome_Strata!$B$4:$B$95,$A10,S17_Biome_Strata!$D$4:$D$95,$B10)</x:f>
        <x:v>2885.6857288895776</x:v>
      </x:c>
      <x:c r="AA10" s="167" t="n">
        <x:f aca="0">F10*(1-$D10)</x:f>
        <x:v>0</x:v>
      </x:c>
      <x:c r="AB10" s="167" t="n">
        <x:f aca="0">G10*(1-$D10)</x:f>
        <x:v>0</x:v>
      </x:c>
      <x:c r="AC10" s="167" t="n">
        <x:f aca="0">H10*(1-$D10)</x:f>
        <x:v>0</x:v>
      </x:c>
      <x:c r="AD10" s="167" t="n">
        <x:f aca="0">I10*(1-$D10)</x:f>
        <x:v>3.200035511600132</x:v>
      </x:c>
      <x:c r="AE10" s="167" t="n">
        <x:f aca="0">J10*(1-$D10)</x:f>
        <x:v>31.17365776537629</x:v>
      </x:c>
      <x:c r="AF10" s="167" t="n">
        <x:f aca="0">K10*(1-$D10)</x:f>
        <x:v>105.00579123254927</x:v>
      </x:c>
      <x:c r="AG10" s="167" t="n">
        <x:f aca="0">L10*(1-$D10)</x:f>
        <x:v>231.61406455960727</x:v>
      </x:c>
      <x:c r="AH10" s="167" t="n">
        <x:f aca="0">M10*(1-$D10)</x:f>
        <x:v>404.6745154416428</x:v>
      </x:c>
      <x:c r="AI10" s="167" t="n">
        <x:f aca="0">N10*(1-$D10)</x:f>
        <x:v>612.3171260547367</x:v>
      </x:c>
      <x:c r="AJ10" s="167" t="n">
        <x:f aca="0">O10*(1-$D10)</x:f>
        <x:v>841.3726094162379</x:v>
      </x:c>
      <x:c r="AK10" s="167" t="n">
        <x:f aca="0">P10*(1-$D10)</x:f>
        <x:v>1079.905961446092</x:v>
      </x:c>
      <x:c r="AL10" s="167" t="n">
        <x:f aca="0">Q10*(1-$D10)</x:f>
        <x:v>1318.2861417506836</x:v>
      </x:c>
      <x:c r="AM10" s="167" t="n">
        <x:f aca="0">R10*(1-$D10)</x:f>
        <x:v>1549.3895886798314</x:v>
      </x:c>
      <x:c r="AN10" s="167" t="n">
        <x:f aca="0">S10*(1-$D10)</x:f>
        <x:v>1768.3686207431101</x:v>
      </x:c>
      <x:c r="AO10" s="167" t="n">
        <x:f aca="0">T10*(1-$D10)</x:f>
        <x:v>1972.2489302313438</x:v>
      </x:c>
      <x:c r="AP10" s="167" t="n">
        <x:f aca="0">U10*(1-$D10)</x:f>
        <x:v>2159.499993503542</x:v>
      </x:c>
      <x:c r="AQ10" s="167" t="n">
        <x:f aca="0">V10*(1-$D10)</x:f>
        <x:v>2329.646775882746</x:v>
      </x:c>
      <x:c r="AR10" s="167" t="n">
        <x:f aca="0">W10*(1-$D10)</x:f>
        <x:v>2482.94813233014</x:v>
      </x:c>
      <x:c r="AS10" s="167" t="n">
        <x:f aca="0">X10*(1-$D10)</x:f>
        <x:v>2620.144988427309</x:v>
      </x:c>
      <x:c r="AT10" s="167" t="n">
        <x:f aca="0">Y10*(1-$D10)</x:f>
        <x:v>2742.271179559225</x:v>
      </x:c>
      <x:c r="AU10" s="167" t="n">
        <x:f aca="0">Z10*(1-$D10)</x:f>
        <x:v>2850.5162297165143</x:v>
      </x:c>
      <x:c r="AV10" s="37" t="str">
        <x:v>Formula-derived: S17_Biome_Strata row gross stock = eligible area × S15_Source_Strata stock/ha; S15_Source_Strata stock = cohort-aligned Chapman-Richards D/H → Chave AGB → conservative calibration → CF × (1+R) × 44/12. PB applied separately by Biome × Cohort.</x:v>
      </x:c>
    </x:row>
    <x:row r="11" ht="15" hidden="0" customHeight="1">
      <x:c r="A11" s="37" t="s">
        <x:v>112</x:v>
      </x:c>
      <x:c r="B11" s="37" t="n">
        <x:v>2023</x:v>
      </x:c>
      <x:c r="C11" s="167" t="n">
        <x:f aca="0">SUMIFS(S17_Biome_Strata!$F$4:$F$95,S17_Biome_Strata!$A$4:$A$95,"Deserts &amp; Xeric Shrublands",S17_Biome_Strata!$B$4:$B$95,$A11,S17_Biome_Strata!$D$4:$D$95,$B11)</x:f>
        <x:v>0</x:v>
      </x:c>
      <x:c r="D11" s="167" t="n">
        <x:f aca="0">S09_PB_Input!H7</x:f>
        <x:v>0.012187570815827156</x:v>
      </x:c>
      <x:c r="E11" s="168" t="str">
        <x:f aca="0">S09_PB_Input!I7</x:f>
        <x:v>VM0047 v1.1 Appendix 1: Z-test significant; PB_t = ΔSI_control / ΔSI_wp (Eq. A8). Source: 20260814_304027_GKF_ProjectPlots_PB.xlsx.</x:v>
      </x:c>
      <x:c r="F11" s="167" t="n">
        <x:f aca="0">SUMIFS(S17_Biome_Strata!$AL$4:$AL$95,S17_Biome_Strata!$A$4:$A$95,"Deserts &amp; Xeric Shrublands",S17_Biome_Strata!$B$4:$B$95,$A11,S17_Biome_Strata!$D$4:$D$95,$B11)</x:f>
        <x:v>0</x:v>
      </x:c>
      <x:c r="G11" s="167" t="n">
        <x:f aca="0">SUMIFS(S17_Biome_Strata!$AM$4:$AM$95,S17_Biome_Strata!$A$4:$A$95,"Deserts &amp; Xeric Shrublands",S17_Biome_Strata!$B$4:$B$95,$A11,S17_Biome_Strata!$D$4:$D$95,$B11)</x:f>
        <x:v>0</x:v>
      </x:c>
      <x:c r="H11" s="167" t="n">
        <x:f aca="0">SUMIFS(S17_Biome_Strata!$AN$4:$AN$95,S17_Biome_Strata!$A$4:$A$95,"Deserts &amp; Xeric Shrublands",S17_Biome_Strata!$B$4:$B$95,$A11,S17_Biome_Strata!$D$4:$D$95,$B11)</x:f>
        <x:v>0</x:v>
      </x:c>
      <x:c r="I11" s="167" t="n">
        <x:f aca="0">SUMIFS(S17_Biome_Strata!$AO$4:$AO$95,S17_Biome_Strata!$A$4:$A$95,"Deserts &amp; Xeric Shrublands",S17_Biome_Strata!$B$4:$B$95,$A11,S17_Biome_Strata!$D$4:$D$95,$B11)</x:f>
        <x:v>0</x:v>
      </x:c>
      <x:c r="J11" s="167" t="n">
        <x:f aca="0">SUMIFS(S17_Biome_Strata!$AP$4:$AP$95,S17_Biome_Strata!$A$4:$A$95,"Deserts &amp; Xeric Shrublands",S17_Biome_Strata!$B$4:$B$95,$A11,S17_Biome_Strata!$D$4:$D$95,$B11)</x:f>
        <x:v>0</x:v>
      </x:c>
      <x:c r="K11" s="167" t="n">
        <x:f aca="0">SUMIFS(S17_Biome_Strata!$AQ$4:$AQ$95,S17_Biome_Strata!$A$4:$A$95,"Deserts &amp; Xeric Shrublands",S17_Biome_Strata!$B$4:$B$95,$A11,S17_Biome_Strata!$D$4:$D$95,$B11)</x:f>
        <x:v>0</x:v>
      </x:c>
      <x:c r="L11" s="167" t="n">
        <x:f aca="0">SUMIFS(S17_Biome_Strata!$AR$4:$AR$95,S17_Biome_Strata!$A$4:$A$95,"Deserts &amp; Xeric Shrublands",S17_Biome_Strata!$B$4:$B$95,$A11,S17_Biome_Strata!$D$4:$D$95,$B11)</x:f>
        <x:v>0</x:v>
      </x:c>
      <x:c r="M11" s="167" t="n">
        <x:f aca="0">SUMIFS(S17_Biome_Strata!$AS$4:$AS$95,S17_Biome_Strata!$A$4:$A$95,"Deserts &amp; Xeric Shrublands",S17_Biome_Strata!$B$4:$B$95,$A11,S17_Biome_Strata!$D$4:$D$95,$B11)</x:f>
        <x:v>0</x:v>
      </x:c>
      <x:c r="N11" s="167" t="n">
        <x:f aca="0">SUMIFS(S17_Biome_Strata!$AT$4:$AT$95,S17_Biome_Strata!$A$4:$A$95,"Deserts &amp; Xeric Shrublands",S17_Biome_Strata!$B$4:$B$95,$A11,S17_Biome_Strata!$D$4:$D$95,$B11)</x:f>
        <x:v>0</x:v>
      </x:c>
      <x:c r="O11" s="167" t="n">
        <x:f aca="0">SUMIFS(S17_Biome_Strata!$AU$4:$AU$95,S17_Biome_Strata!$A$4:$A$95,"Deserts &amp; Xeric Shrublands",S17_Biome_Strata!$B$4:$B$95,$A11,S17_Biome_Strata!$D$4:$D$95,$B11)</x:f>
        <x:v>0</x:v>
      </x:c>
      <x:c r="P11" s="167" t="n">
        <x:f aca="0">SUMIFS(S17_Biome_Strata!$AV$4:$AV$95,S17_Biome_Strata!$A$4:$A$95,"Deserts &amp; Xeric Shrublands",S17_Biome_Strata!$B$4:$B$95,$A11,S17_Biome_Strata!$D$4:$D$95,$B11)</x:f>
        <x:v>0</x:v>
      </x:c>
      <x:c r="Q11" s="167" t="n">
        <x:f aca="0">SUMIFS(S17_Biome_Strata!$AW$4:$AW$95,S17_Biome_Strata!$A$4:$A$95,"Deserts &amp; Xeric Shrublands",S17_Biome_Strata!$B$4:$B$95,$A11,S17_Biome_Strata!$D$4:$D$95,$B11)</x:f>
        <x:v>0</x:v>
      </x:c>
      <x:c r="R11" s="167" t="n">
        <x:f aca="0">SUMIFS(S17_Biome_Strata!$AX$4:$AX$95,S17_Biome_Strata!$A$4:$A$95,"Deserts &amp; Xeric Shrublands",S17_Biome_Strata!$B$4:$B$95,$A11,S17_Biome_Strata!$D$4:$D$95,$B11)</x:f>
        <x:v>0</x:v>
      </x:c>
      <x:c r="S11" s="167" t="n">
        <x:f aca="0">SUMIFS(S17_Biome_Strata!$AY$4:$AY$95,S17_Biome_Strata!$A$4:$A$95,"Deserts &amp; Xeric Shrublands",S17_Biome_Strata!$B$4:$B$95,$A11,S17_Biome_Strata!$D$4:$D$95,$B11)</x:f>
        <x:v>0</x:v>
      </x:c>
      <x:c r="T11" s="167" t="n">
        <x:f aca="0">SUMIFS(S17_Biome_Strata!$AZ$4:$AZ$95,S17_Biome_Strata!$A$4:$A$95,"Deserts &amp; Xeric Shrublands",S17_Biome_Strata!$B$4:$B$95,$A11,S17_Biome_Strata!$D$4:$D$95,$B11)</x:f>
        <x:v>0</x:v>
      </x:c>
      <x:c r="U11" s="167" t="n">
        <x:f aca="0">SUMIFS(S17_Biome_Strata!$BA$4:$BA$95,S17_Biome_Strata!$A$4:$A$95,"Deserts &amp; Xeric Shrublands",S17_Biome_Strata!$B$4:$B$95,$A11,S17_Biome_Strata!$D$4:$D$95,$B11)</x:f>
        <x:v>0</x:v>
      </x:c>
      <x:c r="V11" s="167" t="n">
        <x:f aca="0">SUMIFS(S17_Biome_Strata!$BB$4:$BB$95,S17_Biome_Strata!$A$4:$A$95,"Deserts &amp; Xeric Shrublands",S17_Biome_Strata!$B$4:$B$95,$A11,S17_Biome_Strata!$D$4:$D$95,$B11)</x:f>
        <x:v>0</x:v>
      </x:c>
      <x:c r="W11" s="167" t="n">
        <x:f aca="0">SUMIFS(S17_Biome_Strata!$BC$4:$BC$95,S17_Biome_Strata!$A$4:$A$95,"Deserts &amp; Xeric Shrublands",S17_Biome_Strata!$B$4:$B$95,$A11,S17_Biome_Strata!$D$4:$D$95,$B11)</x:f>
        <x:v>0</x:v>
      </x:c>
      <x:c r="X11" s="167" t="n">
        <x:f aca="0">SUMIFS(S17_Biome_Strata!$BD$4:$BD$95,S17_Biome_Strata!$A$4:$A$95,"Deserts &amp; Xeric Shrublands",S17_Biome_Strata!$B$4:$B$95,$A11,S17_Biome_Strata!$D$4:$D$95,$B11)</x:f>
        <x:v>0</x:v>
      </x:c>
      <x:c r="Y11" s="167" t="n">
        <x:f aca="0">SUMIFS(S17_Biome_Strata!$BE$4:$BE$95,S17_Biome_Strata!$A$4:$A$95,"Deserts &amp; Xeric Shrublands",S17_Biome_Strata!$B$4:$B$95,$A11,S17_Biome_Strata!$D$4:$D$95,$B11)</x:f>
        <x:v>0</x:v>
      </x:c>
      <x:c r="Z11" s="167" t="n">
        <x:f aca="0">SUMIFS(S17_Biome_Strata!$BF$4:$BF$95,S17_Biome_Strata!$A$4:$A$95,"Deserts &amp; Xeric Shrublands",S17_Biome_Strata!$B$4:$B$95,$A11,S17_Biome_Strata!$D$4:$D$95,$B11)</x:f>
        <x:v>0</x:v>
      </x:c>
      <x:c r="AA11" s="167" t="n">
        <x:f aca="0">F11*(1-$D11)</x:f>
        <x:v>0</x:v>
      </x:c>
      <x:c r="AB11" s="167" t="n">
        <x:f aca="0">G11*(1-$D11)</x:f>
        <x:v>0</x:v>
      </x:c>
      <x:c r="AC11" s="167" t="n">
        <x:f aca="0">H11*(1-$D11)</x:f>
        <x:v>0</x:v>
      </x:c>
      <x:c r="AD11" s="167" t="n">
        <x:f aca="0">I11*(1-$D11)</x:f>
        <x:v>0</x:v>
      </x:c>
      <x:c r="AE11" s="167" t="n">
        <x:f aca="0">J11*(1-$D11)</x:f>
        <x:v>0</x:v>
      </x:c>
      <x:c r="AF11" s="167" t="n">
        <x:f aca="0">K11*(1-$D11)</x:f>
        <x:v>0</x:v>
      </x:c>
      <x:c r="AG11" s="167" t="n">
        <x:f aca="0">L11*(1-$D11)</x:f>
        <x:v>0</x:v>
      </x:c>
      <x:c r="AH11" s="167" t="n">
        <x:f aca="0">M11*(1-$D11)</x:f>
        <x:v>0</x:v>
      </x:c>
      <x:c r="AI11" s="167" t="n">
        <x:f aca="0">N11*(1-$D11)</x:f>
        <x:v>0</x:v>
      </x:c>
      <x:c r="AJ11" s="167" t="n">
        <x:f aca="0">O11*(1-$D11)</x:f>
        <x:v>0</x:v>
      </x:c>
      <x:c r="AK11" s="167" t="n">
        <x:f aca="0">P11*(1-$D11)</x:f>
        <x:v>0</x:v>
      </x:c>
      <x:c r="AL11" s="167" t="n">
        <x:f aca="0">Q11*(1-$D11)</x:f>
        <x:v>0</x:v>
      </x:c>
      <x:c r="AM11" s="167" t="n">
        <x:f aca="0">R11*(1-$D11)</x:f>
        <x:v>0</x:v>
      </x:c>
      <x:c r="AN11" s="167" t="n">
        <x:f aca="0">S11*(1-$D11)</x:f>
        <x:v>0</x:v>
      </x:c>
      <x:c r="AO11" s="167" t="n">
        <x:f aca="0">T11*(1-$D11)</x:f>
        <x:v>0</x:v>
      </x:c>
      <x:c r="AP11" s="167" t="n">
        <x:f aca="0">U11*(1-$D11)</x:f>
        <x:v>0</x:v>
      </x:c>
      <x:c r="AQ11" s="167" t="n">
        <x:f aca="0">V11*(1-$D11)</x:f>
        <x:v>0</x:v>
      </x:c>
      <x:c r="AR11" s="167" t="n">
        <x:f aca="0">W11*(1-$D11)</x:f>
        <x:v>0</x:v>
      </x:c>
      <x:c r="AS11" s="167" t="n">
        <x:f aca="0">X11*(1-$D11)</x:f>
        <x:v>0</x:v>
      </x:c>
      <x:c r="AT11" s="167" t="n">
        <x:f aca="0">Y11*(1-$D11)</x:f>
        <x:v>0</x:v>
      </x:c>
      <x:c r="AU11" s="167" t="n">
        <x:f aca="0">Z11*(1-$D11)</x:f>
        <x:v>0</x:v>
      </x:c>
      <x:c r="AV11" s="37" t="str">
        <x:v>Formula-derived: S17_Biome_Strata row gross stock = eligible area × S15_Source_Strata stock/ha; S15_Source_Strata stock = cohort-aligned Chapman-Richards D/H → Chave AGB → conservative calibration → CF × (1+R) × 44/12. PB applied separately by Biome × Cohort.</x:v>
      </x:c>
    </x:row>
    <x:row r="12" ht="15" hidden="0" customHeight="1">
      <x:c r="A12" s="37" t="s">
        <x:v>113</x:v>
      </x:c>
      <x:c r="B12" s="37" t="n">
        <x:v>2020</x:v>
      </x:c>
      <x:c r="C12" s="167" t="n">
        <x:f aca="0">SUMIFS(S17_Biome_Strata!$F$4:$F$95,S17_Biome_Strata!$A$4:$A$95,"Deserts &amp; Xeric Shrublands",S17_Biome_Strata!$B$4:$B$95,$A12,S17_Biome_Strata!$D$4:$D$95,$B12)</x:f>
        <x:v>1.0504</x:v>
      </x:c>
      <x:c r="D12" s="167" t="n">
        <x:f aca="0">S09_PB_Input!H4</x:f>
        <x:v>0.012187570815827156</x:v>
      </x:c>
      <x:c r="E12" s="168" t="str">
        <x:f aca="0">S09_PB_Input!I4</x:f>
        <x:v>VM0047 v1.1 Appendix 1: Z-test significant; PB_t = ΔSI_control / ΔSI_wp (Eq. A8). Source: 20260814_304027_GKF_ProjectPlots_PB.xlsx.</x:v>
      </x:c>
      <x:c r="F12" s="167" t="n">
        <x:f aca="0">SUMIFS(S17_Biome_Strata!$AL$4:$AL$95,S17_Biome_Strata!$A$4:$A$95,"Deserts &amp; Xeric Shrublands",S17_Biome_Strata!$B$4:$B$95,$A12,S17_Biome_Strata!$D$4:$D$95,$B12)</x:f>
        <x:v>0</x:v>
      </x:c>
      <x:c r="G12" s="167" t="n">
        <x:f aca="0">SUMIFS(S17_Biome_Strata!$AM$4:$AM$95,S17_Biome_Strata!$A$4:$A$95,"Deserts &amp; Xeric Shrublands",S17_Biome_Strata!$B$4:$B$95,$A12,S17_Biome_Strata!$D$4:$D$95,$B12)</x:f>
        <x:v>1.6942935159523267</x:v>
      </x:c>
      <x:c r="H12" s="167" t="n">
        <x:f aca="0">SUMIFS(S17_Biome_Strata!$AN$4:$AN$95,S17_Biome_Strata!$A$4:$A$95,"Deserts &amp; Xeric Shrublands",S17_Biome_Strata!$B$4:$B$95,$A12,S17_Biome_Strata!$D$4:$D$95,$B12)</x:f>
        <x:v>16.854982157227603</x:v>
      </x:c>
      <x:c r="I12" s="167" t="n">
        <x:f aca="0">SUMIFS(S17_Biome_Strata!$AO$4:$AO$95,S17_Biome_Strata!$A$4:$A$95,"Deserts &amp; Xeric Shrublands",S17_Biome_Strata!$B$4:$B$95,$A12,S17_Biome_Strata!$D$4:$D$95,$B12)</x:f>
        <x:v>58.1289309175084</x:v>
      </x:c>
      <x:c r="J12" s="167" t="n">
        <x:f aca="0">SUMIFS(S17_Biome_Strata!$AP$4:$AP$95,S17_Biome_Strata!$A$4:$A$95,"Deserts &amp; Xeric Shrublands",S17_Biome_Strata!$B$4:$B$95,$A12,S17_Biome_Strata!$D$4:$D$95,$B12)</x:f>
        <x:v>131.3283338976828</x:v>
      </x:c>
      <x:c r="K12" s="167" t="n">
        <x:f aca="0">SUMIFS(S17_Biome_Strata!$AQ$4:$AQ$95,S17_Biome_Strata!$A$4:$A$95,"Deserts &amp; Xeric Shrublands",S17_Biome_Strata!$B$4:$B$95,$A12,S17_Biome_Strata!$D$4:$D$95,$B12)</x:f>
        <x:v>234.89802811209245</x:v>
      </x:c>
      <x:c r="L12" s="167" t="n">
        <x:f aca="0">SUMIFS(S17_Biome_Strata!$AR$4:$AR$95,S17_Biome_Strata!$A$4:$A$95,"Deserts &amp; Xeric Shrublands",S17_Biome_Strata!$B$4:$B$95,$A12,S17_Biome_Strata!$D$4:$D$95,$B12)</x:f>
        <x:v>363.48581043651706</x:v>
      </x:c>
      <x:c r="M12" s="167" t="n">
        <x:f aca="0">SUMIFS(S17_Biome_Strata!$AS$4:$AS$95,S17_Biome_Strata!$A$4:$A$95,"Deserts &amp; Xeric Shrublands",S17_Biome_Strata!$B$4:$B$95,$A12,S17_Biome_Strata!$D$4:$D$95,$B12)</x:f>
        <x:v>510.1358752735427</x:v>
      </x:c>
      <x:c r="N12" s="167" t="n">
        <x:f aca="0">SUMIFS(S17_Biome_Strata!$AT$4:$AT$95,S17_Biome_Strata!$A$4:$A$95,"Deserts &amp; Xeric Shrublands",S17_Biome_Strata!$B$4:$B$95,$A12,S17_Biome_Strata!$D$4:$D$95,$B12)</x:f>
        <x:v>667.8307046158877</x:v>
      </x:c>
      <x:c r="O12" s="167" t="n">
        <x:f aca="0">SUMIFS(S17_Biome_Strata!$AU$4:$AU$95,S17_Biome_Strata!$A$4:$A$95,"Deserts &amp; Xeric Shrublands",S17_Biome_Strata!$B$4:$B$95,$A12,S17_Biome_Strata!$D$4:$D$95,$B12)</x:f>
        <x:v>830.3313976814234</x:v>
      </x:c>
      <x:c r="P12" s="167" t="n">
        <x:f aca="0">SUMIFS(S17_Biome_Strata!$AV$4:$AV$95,S17_Biome_Strata!$A$4:$A$95,"Deserts &amp; Xeric Shrublands",S17_Biome_Strata!$B$4:$B$95,$A12,S17_Biome_Strata!$D$4:$D$95,$B12)</x:f>
        <x:v>992.5346224244397</x:v>
      </x:c>
      <x:c r="Q12" s="167" t="n">
        <x:f aca="0">SUMIFS(S17_Biome_Strata!$AW$4:$AW$95,S17_Biome_Strata!$A$4:$A$95,"Deserts &amp; Xeric Shrublands",S17_Biome_Strata!$B$4:$B$95,$A12,S17_Biome_Strata!$D$4:$D$95,$B12)</x:f>
        <x:v>1150.5364894667875</x:v>
      </x:c>
      <x:c r="R12" s="167" t="n">
        <x:f aca="0">SUMIFS(S17_Biome_Strata!$AX$4:$AX$95,S17_Biome_Strata!$A$4:$A$95,"Deserts &amp; Xeric Shrublands",S17_Biome_Strata!$B$4:$B$95,$A12,S17_Biome_Strata!$D$4:$D$95,$B12)</x:f>
        <x:v>1301.5392808732013</x:v>
      </x:c>
      <x:c r="S12" s="167" t="n">
        <x:f aca="0">SUMIFS(S17_Biome_Strata!$AY$4:$AY$95,S17_Biome_Strata!$A$4:$A$95,"Deserts &amp; Xeric Shrublands",S17_Biome_Strata!$B$4:$B$95,$A12,S17_Biome_Strata!$D$4:$D$95,$B12)</x:f>
        <x:v>1443.6882131111483</x:v>
      </x:c>
      <x:c r="T12" s="167" t="n">
        <x:f aca="0">SUMIFS(S17_Biome_Strata!$AZ$4:$AZ$95,S17_Biome_Strata!$A$4:$A$95,"Deserts &amp; Xeric Shrublands",S17_Biome_Strata!$B$4:$B$95,$A12,S17_Biome_Strata!$D$4:$D$95,$B12)</x:f>
        <x:v>1575.8895790330478</x:v>
      </x:c>
      <x:c r="U12" s="167" t="n">
        <x:f aca="0">SUMIFS(S17_Biome_Strata!$BA$4:$BA$95,S17_Biome_Strata!$A$4:$A$95,"Deserts &amp; Xeric Shrublands",S17_Biome_Strata!$B$4:$B$95,$A12,S17_Biome_Strata!$D$4:$D$95,$B12)</x:f>
        <x:v>1697.6377866918078</x:v>
      </x:c>
      <x:c r="V12" s="167" t="n">
        <x:f aca="0">SUMIFS(S17_Biome_Strata!$BB$4:$BB$95,S17_Biome_Strata!$A$4:$A$95,"Deserts &amp; Xeric Shrublands",S17_Biome_Strata!$B$4:$B$95,$A12,S17_Biome_Strata!$D$4:$D$95,$B12)</x:f>
        <x:v>1808.8640414984884</x:v>
      </x:c>
      <x:c r="W12" s="167" t="n">
        <x:f aca="0">SUMIFS(S17_Biome_Strata!$BC$4:$BC$95,S17_Biome_Strata!$A$4:$A$95,"Deserts &amp; Xeric Shrublands",S17_Biome_Strata!$B$4:$B$95,$A12,S17_Biome_Strata!$D$4:$D$95,$B12)</x:f>
        <x:v>1909.8108307219345</x:v>
      </x:c>
      <x:c r="X12" s="167" t="n">
        <x:f aca="0">SUMIFS(S17_Biome_Strata!$BD$4:$BD$95,S17_Biome_Strata!$A$4:$A$95,"Deserts &amp; Xeric Shrublands",S17_Biome_Strata!$B$4:$B$95,$A12,S17_Biome_Strata!$D$4:$D$95,$B12)</x:f>
        <x:v>2000.931743920614</x:v>
      </x:c>
      <x:c r="Y12" s="167" t="n">
        <x:f aca="0">SUMIFS(S17_Biome_Strata!$BE$4:$BE$95,S17_Biome_Strata!$A$4:$A$95,"Deserts &amp; Xeric Shrublands",S17_Biome_Strata!$B$4:$B$95,$A12,S17_Biome_Strata!$D$4:$D$95,$B12)</x:f>
        <x:v>2082.8139488986217</x:v>
      </x:c>
      <x:c r="Z12" s="167" t="n">
        <x:f aca="0">SUMIFS(S17_Biome_Strata!$BF$4:$BF$95,S17_Biome_Strata!$A$4:$A$95,"Deserts &amp; Xeric Shrublands",S17_Biome_Strata!$B$4:$B$95,$A12,S17_Biome_Strata!$D$4:$D$95,$B12)</x:f>
        <x:v>2156.119822724506</x:v>
      </x:c>
      <x:c r="AA12" s="167" t="n">
        <x:f aca="0">F12*(1-$D12)</x:f>
        <x:v>0</x:v>
      </x:c>
      <x:c r="AB12" s="167" t="n">
        <x:f aca="0">G12*(1-$D12)</x:f>
        <x:v>1.673644193743861</x:v>
      </x:c>
      <x:c r="AC12" s="167" t="n">
        <x:f aca="0">H12*(1-$D12)</x:f>
        <x:v>16.64956086858689</x:v>
      </x:c>
      <x:c r="AD12" s="167" t="n">
        <x:f aca="0">I12*(1-$D12)</x:f>
        <x:v>57.42048045550294</x:v>
      </x:c>
      <x:c r="AE12" s="167" t="n">
        <x:f aca="0">J12*(1-$D12)</x:f>
        <x:v>129.7277605281802</x:v>
      </x:c>
      <x:c r="AF12" s="167" t="n">
        <x:f aca="0">K12*(1-$D12)</x:f>
        <x:v>232.03519175997818</x:v>
      </x:c>
      <x:c r="AG12" s="167" t="n">
        <x:f aca="0">L12*(1-$D12)</x:f>
        <x:v>359.0558013812737</x:v>
      </x:c>
      <x:c r="AH12" s="167" t="n">
        <x:f aca="0">M12*(1-$D12)</x:f>
        <x:v>503.9185581679524</x:v>
      </x:c>
      <x:c r="AI12" s="167" t="n">
        <x:f aca="0">N12*(1-$D12)</x:f>
        <x:v>659.6914706103979</x:v>
      </x:c>
      <x:c r="AJ12" s="167" t="n">
        <x:f aca="0">O12*(1-$D12)</x:f>
        <x:v>820.2116749715764</x:v>
      </x:c>
      <x:c r="AK12" s="167" t="n">
        <x:f aca="0">P12*(1-$D12)</x:f>
        <x:v>980.4380364264816</x:v>
      </x:c>
      <x:c r="AL12" s="167" t="n">
        <x:f aca="0">Q12*(1-$D12)</x:f>
        <x:v>1136.514244525218</x:v>
      </x:c>
      <x:c r="AM12" s="167" t="n">
        <x:f aca="0">R12*(1-$D12)</x:f>
        <x:v>1285.6766787179783</x:v>
      </x:c>
      <x:c r="AN12" s="167" t="n">
        <x:f aca="0">S12*(1-$D12)</x:f>
        <x:v>1426.0931607778814</x:v>
      </x:c>
      <x:c r="AO12" s="167" t="n">
        <x:f aca="0">T12*(1-$D12)</x:f>
        <x:v>1556.6833131906585</x:v>
      </x:c>
      <x:c r="AP12" s="167" t="n">
        <x:f aca="0">U12*(1-$D12)</x:f>
        <x:v>1676.9477059468775</x:v>
      </x:c>
      <x:c r="AQ12" s="167" t="n">
        <x:f aca="0">V12*(1-$D12)</x:f>
        <x:v>1786.8183828965223</x:v>
      </x:c>
      <x:c r="AR12" s="167" t="n">
        <x:f aca="0">W12*(1-$D12)</x:f>
        <x:v>1886.5348759776773</x:v>
      </x:c>
      <x:c r="AS12" s="167" t="n">
        <x:f aca="0">X12*(1-$D12)</x:f>
        <x:v>1976.5452465939452</x:v>
      </x:c>
      <x:c r="AT12" s="167" t="n">
        <x:f aca="0">Y12*(1-$D12)</x:f>
        <x:v>2057.429506400227</x:v>
      </x:c>
      <x:c r="AU12" s="167" t="n">
        <x:f aca="0">Z12*(1-$D12)</x:f>
        <x:v>2129.8419596976423</x:v>
      </x:c>
      <x:c r="AV12" s="37" t="str">
        <x:v>Formula-derived: S17_Biome_Strata row gross stock = eligible area × S15_Source_Strata stock/ha; S15_Source_Strata stock = cohort-aligned Chapman-Richards D/H → Chave AGB → conservative calibration → CF × (1+R) × 44/12. PB applied separately by Biome × Cohort.</x:v>
      </x:c>
    </x:row>
    <x:row r="13" ht="15" hidden="0" customHeight="1">
      <x:c r="A13" s="37" t="s">
        <x:v>113</x:v>
      </x:c>
      <x:c r="B13" s="37" t="n">
        <x:v>2021</x:v>
      </x:c>
      <x:c r="C13" s="167" t="n">
        <x:f aca="0">SUMIFS(S17_Biome_Strata!$F$4:$F$95,S17_Biome_Strata!$A$4:$A$95,"Deserts &amp; Xeric Shrublands",S17_Biome_Strata!$B$4:$B$95,$A13,S17_Biome_Strata!$D$4:$D$95,$B13)</x:f>
        <x:v>0</x:v>
      </x:c>
      <x:c r="D13" s="167" t="n">
        <x:f aca="0">S09_PB_Input!H5</x:f>
        <x:v>0.012187570815827156</x:v>
      </x:c>
      <x:c r="E13" s="168" t="str">
        <x:f aca="0">S09_PB_Input!I5</x:f>
        <x:v>VM0047 v1.1 Appendix 1: Z-test significant; PB_t = ΔSI_control / ΔSI_wp (Eq. A8). Source: 20260814_304027_GKF_ProjectPlots_PB.xlsx.</x:v>
      </x:c>
      <x:c r="F13" s="167" t="n">
        <x:f aca="0">SUMIFS(S17_Biome_Strata!$AL$4:$AL$95,S17_Biome_Strata!$A$4:$A$95,"Deserts &amp; Xeric Shrublands",S17_Biome_Strata!$B$4:$B$95,$A13,S17_Biome_Strata!$D$4:$D$95,$B13)</x:f>
        <x:v>0</x:v>
      </x:c>
      <x:c r="G13" s="167" t="n">
        <x:f aca="0">SUMIFS(S17_Biome_Strata!$AM$4:$AM$95,S17_Biome_Strata!$A$4:$A$95,"Deserts &amp; Xeric Shrublands",S17_Biome_Strata!$B$4:$B$95,$A13,S17_Biome_Strata!$D$4:$D$95,$B13)</x:f>
        <x:v>0</x:v>
      </x:c>
      <x:c r="H13" s="167" t="n">
        <x:f aca="0">SUMIFS(S17_Biome_Strata!$AN$4:$AN$95,S17_Biome_Strata!$A$4:$A$95,"Deserts &amp; Xeric Shrublands",S17_Biome_Strata!$B$4:$B$95,$A13,S17_Biome_Strata!$D$4:$D$95,$B13)</x:f>
        <x:v>0</x:v>
      </x:c>
      <x:c r="I13" s="167" t="n">
        <x:f aca="0">SUMIFS(S17_Biome_Strata!$AO$4:$AO$95,S17_Biome_Strata!$A$4:$A$95,"Deserts &amp; Xeric Shrublands",S17_Biome_Strata!$B$4:$B$95,$A13,S17_Biome_Strata!$D$4:$D$95,$B13)</x:f>
        <x:v>0</x:v>
      </x:c>
      <x:c r="J13" s="167" t="n">
        <x:f aca="0">SUMIFS(S17_Biome_Strata!$AP$4:$AP$95,S17_Biome_Strata!$A$4:$A$95,"Deserts &amp; Xeric Shrublands",S17_Biome_Strata!$B$4:$B$95,$A13,S17_Biome_Strata!$D$4:$D$95,$B13)</x:f>
        <x:v>0</x:v>
      </x:c>
      <x:c r="K13" s="167" t="n">
        <x:f aca="0">SUMIFS(S17_Biome_Strata!$AQ$4:$AQ$95,S17_Biome_Strata!$A$4:$A$95,"Deserts &amp; Xeric Shrublands",S17_Biome_Strata!$B$4:$B$95,$A13,S17_Biome_Strata!$D$4:$D$95,$B13)</x:f>
        <x:v>0</x:v>
      </x:c>
      <x:c r="L13" s="167" t="n">
        <x:f aca="0">SUMIFS(S17_Biome_Strata!$AR$4:$AR$95,S17_Biome_Strata!$A$4:$A$95,"Deserts &amp; Xeric Shrublands",S17_Biome_Strata!$B$4:$B$95,$A13,S17_Biome_Strata!$D$4:$D$95,$B13)</x:f>
        <x:v>0</x:v>
      </x:c>
      <x:c r="M13" s="167" t="n">
        <x:f aca="0">SUMIFS(S17_Biome_Strata!$AS$4:$AS$95,S17_Biome_Strata!$A$4:$A$95,"Deserts &amp; Xeric Shrublands",S17_Biome_Strata!$B$4:$B$95,$A13,S17_Biome_Strata!$D$4:$D$95,$B13)</x:f>
        <x:v>0</x:v>
      </x:c>
      <x:c r="N13" s="167" t="n">
        <x:f aca="0">SUMIFS(S17_Biome_Strata!$AT$4:$AT$95,S17_Biome_Strata!$A$4:$A$95,"Deserts &amp; Xeric Shrublands",S17_Biome_Strata!$B$4:$B$95,$A13,S17_Biome_Strata!$D$4:$D$95,$B13)</x:f>
        <x:v>0</x:v>
      </x:c>
      <x:c r="O13" s="167" t="n">
        <x:f aca="0">SUMIFS(S17_Biome_Strata!$AU$4:$AU$95,S17_Biome_Strata!$A$4:$A$95,"Deserts &amp; Xeric Shrublands",S17_Biome_Strata!$B$4:$B$95,$A13,S17_Biome_Strata!$D$4:$D$95,$B13)</x:f>
        <x:v>0</x:v>
      </x:c>
      <x:c r="P13" s="167" t="n">
        <x:f aca="0">SUMIFS(S17_Biome_Strata!$AV$4:$AV$95,S17_Biome_Strata!$A$4:$A$95,"Deserts &amp; Xeric Shrublands",S17_Biome_Strata!$B$4:$B$95,$A13,S17_Biome_Strata!$D$4:$D$95,$B13)</x:f>
        <x:v>0</x:v>
      </x:c>
      <x:c r="Q13" s="167" t="n">
        <x:f aca="0">SUMIFS(S17_Biome_Strata!$AW$4:$AW$95,S17_Biome_Strata!$A$4:$A$95,"Deserts &amp; Xeric Shrublands",S17_Biome_Strata!$B$4:$B$95,$A13,S17_Biome_Strata!$D$4:$D$95,$B13)</x:f>
        <x:v>0</x:v>
      </x:c>
      <x:c r="R13" s="167" t="n">
        <x:f aca="0">SUMIFS(S17_Biome_Strata!$AX$4:$AX$95,S17_Biome_Strata!$A$4:$A$95,"Deserts &amp; Xeric Shrublands",S17_Biome_Strata!$B$4:$B$95,$A13,S17_Biome_Strata!$D$4:$D$95,$B13)</x:f>
        <x:v>0</x:v>
      </x:c>
      <x:c r="S13" s="167" t="n">
        <x:f aca="0">SUMIFS(S17_Biome_Strata!$AY$4:$AY$95,S17_Biome_Strata!$A$4:$A$95,"Deserts &amp; Xeric Shrublands",S17_Biome_Strata!$B$4:$B$95,$A13,S17_Biome_Strata!$D$4:$D$95,$B13)</x:f>
        <x:v>0</x:v>
      </x:c>
      <x:c r="T13" s="167" t="n">
        <x:f aca="0">SUMIFS(S17_Biome_Strata!$AZ$4:$AZ$95,S17_Biome_Strata!$A$4:$A$95,"Deserts &amp; Xeric Shrublands",S17_Biome_Strata!$B$4:$B$95,$A13,S17_Biome_Strata!$D$4:$D$95,$B13)</x:f>
        <x:v>0</x:v>
      </x:c>
      <x:c r="U13" s="167" t="n">
        <x:f aca="0">SUMIFS(S17_Biome_Strata!$BA$4:$BA$95,S17_Biome_Strata!$A$4:$A$95,"Deserts &amp; Xeric Shrublands",S17_Biome_Strata!$B$4:$B$95,$A13,S17_Biome_Strata!$D$4:$D$95,$B13)</x:f>
        <x:v>0</x:v>
      </x:c>
      <x:c r="V13" s="167" t="n">
        <x:f aca="0">SUMIFS(S17_Biome_Strata!$BB$4:$BB$95,S17_Biome_Strata!$A$4:$A$95,"Deserts &amp; Xeric Shrublands",S17_Biome_Strata!$B$4:$B$95,$A13,S17_Biome_Strata!$D$4:$D$95,$B13)</x:f>
        <x:v>0</x:v>
      </x:c>
      <x:c r="W13" s="167" t="n">
        <x:f aca="0">SUMIFS(S17_Biome_Strata!$BC$4:$BC$95,S17_Biome_Strata!$A$4:$A$95,"Deserts &amp; Xeric Shrublands",S17_Biome_Strata!$B$4:$B$95,$A13,S17_Biome_Strata!$D$4:$D$95,$B13)</x:f>
        <x:v>0</x:v>
      </x:c>
      <x:c r="X13" s="167" t="n">
        <x:f aca="0">SUMIFS(S17_Biome_Strata!$BD$4:$BD$95,S17_Biome_Strata!$A$4:$A$95,"Deserts &amp; Xeric Shrublands",S17_Biome_Strata!$B$4:$B$95,$A13,S17_Biome_Strata!$D$4:$D$95,$B13)</x:f>
        <x:v>0</x:v>
      </x:c>
      <x:c r="Y13" s="167" t="n">
        <x:f aca="0">SUMIFS(S17_Biome_Strata!$BE$4:$BE$95,S17_Biome_Strata!$A$4:$A$95,"Deserts &amp; Xeric Shrublands",S17_Biome_Strata!$B$4:$B$95,$A13,S17_Biome_Strata!$D$4:$D$95,$B13)</x:f>
        <x:v>0</x:v>
      </x:c>
      <x:c r="Z13" s="167" t="n">
        <x:f aca="0">SUMIFS(S17_Biome_Strata!$BF$4:$BF$95,S17_Biome_Strata!$A$4:$A$95,"Deserts &amp; Xeric Shrublands",S17_Biome_Strata!$B$4:$B$95,$A13,S17_Biome_Strata!$D$4:$D$95,$B13)</x:f>
        <x:v>0</x:v>
      </x:c>
      <x:c r="AA13" s="167" t="n">
        <x:f aca="0">F13*(1-$D13)</x:f>
        <x:v>0</x:v>
      </x:c>
      <x:c r="AB13" s="167" t="n">
        <x:f aca="0">G13*(1-$D13)</x:f>
        <x:v>0</x:v>
      </x:c>
      <x:c r="AC13" s="167" t="n">
        <x:f aca="0">H13*(1-$D13)</x:f>
        <x:v>0</x:v>
      </x:c>
      <x:c r="AD13" s="167" t="n">
        <x:f aca="0">I13*(1-$D13)</x:f>
        <x:v>0</x:v>
      </x:c>
      <x:c r="AE13" s="167" t="n">
        <x:f aca="0">J13*(1-$D13)</x:f>
        <x:v>0</x:v>
      </x:c>
      <x:c r="AF13" s="167" t="n">
        <x:f aca="0">K13*(1-$D13)</x:f>
        <x:v>0</x:v>
      </x:c>
      <x:c r="AG13" s="167" t="n">
        <x:f aca="0">L13*(1-$D13)</x:f>
        <x:v>0</x:v>
      </x:c>
      <x:c r="AH13" s="167" t="n">
        <x:f aca="0">M13*(1-$D13)</x:f>
        <x:v>0</x:v>
      </x:c>
      <x:c r="AI13" s="167" t="n">
        <x:f aca="0">N13*(1-$D13)</x:f>
        <x:v>0</x:v>
      </x:c>
      <x:c r="AJ13" s="167" t="n">
        <x:f aca="0">O13*(1-$D13)</x:f>
        <x:v>0</x:v>
      </x:c>
      <x:c r="AK13" s="167" t="n">
        <x:f aca="0">P13*(1-$D13)</x:f>
        <x:v>0</x:v>
      </x:c>
      <x:c r="AL13" s="167" t="n">
        <x:f aca="0">Q13*(1-$D13)</x:f>
        <x:v>0</x:v>
      </x:c>
      <x:c r="AM13" s="167" t="n">
        <x:f aca="0">R13*(1-$D13)</x:f>
        <x:v>0</x:v>
      </x:c>
      <x:c r="AN13" s="167" t="n">
        <x:f aca="0">S13*(1-$D13)</x:f>
        <x:v>0</x:v>
      </x:c>
      <x:c r="AO13" s="167" t="n">
        <x:f aca="0">T13*(1-$D13)</x:f>
        <x:v>0</x:v>
      </x:c>
      <x:c r="AP13" s="167" t="n">
        <x:f aca="0">U13*(1-$D13)</x:f>
        <x:v>0</x:v>
      </x:c>
      <x:c r="AQ13" s="167" t="n">
        <x:f aca="0">V13*(1-$D13)</x:f>
        <x:v>0</x:v>
      </x:c>
      <x:c r="AR13" s="167" t="n">
        <x:f aca="0">W13*(1-$D13)</x:f>
        <x:v>0</x:v>
      </x:c>
      <x:c r="AS13" s="167" t="n">
        <x:f aca="0">X13*(1-$D13)</x:f>
        <x:v>0</x:v>
      </x:c>
      <x:c r="AT13" s="167" t="n">
        <x:f aca="0">Y13*(1-$D13)</x:f>
        <x:v>0</x:v>
      </x:c>
      <x:c r="AU13" s="167" t="n">
        <x:f aca="0">Z13*(1-$D13)</x:f>
        <x:v>0</x:v>
      </x:c>
      <x:c r="AV13" s="37" t="str">
        <x:v>Formula-derived: S17_Biome_Strata row gross stock = eligible area × S15_Source_Strata stock/ha; S15_Source_Strata stock = cohort-aligned Chapman-Richards D/H → Chave AGB → conservative calibration → CF × (1+R) × 44/12. PB applied separately by Biome × Cohort.</x:v>
      </x:c>
    </x:row>
    <x:row r="14" ht="15" hidden="0" customHeight="1">
      <x:c r="A14" s="37" t="s">
        <x:v>113</x:v>
      </x:c>
      <x:c r="B14" s="37" t="n">
        <x:v>2022</x:v>
      </x:c>
      <x:c r="C14" s="167" t="n">
        <x:f aca="0">SUMIFS(S17_Biome_Strata!$F$4:$F$95,S17_Biome_Strata!$A$4:$A$95,"Deserts &amp; Xeric Shrublands",S17_Biome_Strata!$B$4:$B$95,$A14,S17_Biome_Strata!$D$4:$D$95,$B14)</x:f>
        <x:v>0.861</x:v>
      </x:c>
      <x:c r="D14" s="167" t="n">
        <x:f aca="0">S09_PB_Input!H6</x:f>
        <x:v>0.012187570815827156</x:v>
      </x:c>
      <x:c r="E14" s="168" t="str">
        <x:f aca="0">S09_PB_Input!I6</x:f>
        <x:v>VM0047 v1.1 Appendix 1: Z-test significant; PB_t = ΔSI_control / ΔSI_wp (Eq. A8). Source: 20260814_304027_GKF_ProjectPlots_PB.xlsx.</x:v>
      </x:c>
      <x:c r="F14" s="167" t="n">
        <x:f aca="0">SUMIFS(S17_Biome_Strata!$AL$4:$AL$95,S17_Biome_Strata!$A$4:$A$95,"Deserts &amp; Xeric Shrublands",S17_Biome_Strata!$B$4:$B$95,$A14,S17_Biome_Strata!$D$4:$D$95,$B14)</x:f>
        <x:v>0</x:v>
      </x:c>
      <x:c r="G14" s="167" t="n">
        <x:f aca="0">SUMIFS(S17_Biome_Strata!$AM$4:$AM$95,S17_Biome_Strata!$A$4:$A$95,"Deserts &amp; Xeric Shrublands",S17_Biome_Strata!$B$4:$B$95,$A14,S17_Biome_Strata!$D$4:$D$95,$B14)</x:f>
        <x:v>0</x:v>
      </x:c>
      <x:c r="H14" s="167" t="n">
        <x:f aca="0">SUMIFS(S17_Biome_Strata!$AN$4:$AN$95,S17_Biome_Strata!$A$4:$A$95,"Deserts &amp; Xeric Shrublands",S17_Biome_Strata!$B$4:$B$95,$A14,S17_Biome_Strata!$D$4:$D$95,$B14)</x:f>
        <x:v>0</x:v>
      </x:c>
      <x:c r="I14" s="167" t="n">
        <x:f aca="0">SUMIFS(S17_Biome_Strata!$AO$4:$AO$95,S17_Biome_Strata!$A$4:$A$95,"Deserts &amp; Xeric Shrublands",S17_Biome_Strata!$B$4:$B$95,$A14,S17_Biome_Strata!$D$4:$D$95,$B14)</x:f>
        <x:v>1.9390227493582888</x:v>
      </x:c>
      <x:c r="J14" s="167" t="n">
        <x:f aca="0">SUMIFS(S17_Biome_Strata!$AP$4:$AP$95,S17_Biome_Strata!$A$4:$A$95,"Deserts &amp; Xeric Shrublands",S17_Biome_Strata!$B$4:$B$95,$A14,S17_Biome_Strata!$D$4:$D$95,$B14)</x:f>
        <x:v>18.842363693324998</x:v>
      </x:c>
      <x:c r="K14" s="167" t="n">
        <x:f aca="0">SUMIFS(S17_Biome_Strata!$AQ$4:$AQ$95,S17_Biome_Strata!$A$4:$A$95,"Deserts &amp; Xeric Shrublands",S17_Biome_Strata!$B$4:$B$95,$A14,S17_Biome_Strata!$D$4:$D$95,$B14)</x:f>
        <x:v>63.8396473281826</x:v>
      </x:c>
      <x:c r="L14" s="167" t="n">
        <x:f aca="0">SUMIFS(S17_Biome_Strata!$AR$4:$AR$95,S17_Biome_Strata!$A$4:$A$95,"Deserts &amp; Xeric Shrublands",S17_Biome_Strata!$B$4:$B$95,$A14,S17_Biome_Strata!$D$4:$D$95,$B14)</x:f>
        <x:v>142.06958042508816</x:v>
      </x:c>
      <x:c r="M14" s="167" t="n">
        <x:f aca="0">SUMIFS(S17_Biome_Strata!$AS$4:$AS$95,S17_Biome_Strata!$A$4:$A$95,"Deserts &amp; Xeric Shrublands",S17_Biome_Strata!$B$4:$B$95,$A14,S17_Biome_Strata!$D$4:$D$95,$B14)</x:f>
        <x:v>250.7204332946617</x:v>
      </x:c>
      <x:c r="N14" s="167" t="n">
        <x:f aca="0">SUMIFS(S17_Biome_Strata!$AT$4:$AT$95,S17_Biome_Strata!$A$4:$A$95,"Deserts &amp; Xeric Shrublands",S17_Biome_Strata!$B$4:$B$95,$A14,S17_Biome_Strata!$D$4:$D$95,$B14)</x:f>
        <x:v>383.26459935180475</x:v>
      </x:c>
      <x:c r="O14" s="167" t="n">
        <x:f aca="0">SUMIFS(S17_Biome_Strata!$AU$4:$AU$95,S17_Biome_Strata!$A$4:$A$95,"Deserts &amp; Xeric Shrublands",S17_Biome_Strata!$B$4:$B$95,$A14,S17_Biome_Strata!$D$4:$D$95,$B14)</x:f>
        <x:v>531.9028776610254</x:v>
      </x:c>
      <x:c r="P14" s="167" t="n">
        <x:f aca="0">SUMIFS(S17_Biome_Strata!$AV$4:$AV$95,S17_Biome_Strata!$A$4:$A$95,"Deserts &amp; Xeric Shrublands",S17_Biome_Strata!$B$4:$B$95,$A14,S17_Biome_Strata!$D$4:$D$95,$B14)</x:f>
        <x:v>689.1671403045308</x:v>
      </x:c>
      <x:c r="Q14" s="167" t="n">
        <x:f aca="0">SUMIFS(S17_Biome_Strata!$AW$4:$AW$95,S17_Biome_Strata!$A$4:$A$95,"Deserts &amp; Xeric Shrublands",S17_Biome_Strata!$B$4:$B$95,$A14,S17_Biome_Strata!$D$4:$D$95,$B14)</x:f>
        <x:v>848.7118001045224</x:v>
      </x:c>
      <x:c r="R14" s="167" t="n">
        <x:f aca="0">SUMIFS(S17_Biome_Strata!$AX$4:$AX$95,S17_Biome_Strata!$A$4:$A$95,"Deserts &amp; Xeric Shrublands",S17_Biome_Strata!$B$4:$B$95,$A14,S17_Biome_Strata!$D$4:$D$95,$B14)</x:f>
        <x:v>1005.5807644003932</x:v>
      </x:c>
      <x:c r="S14" s="167" t="n">
        <x:f aca="0">SUMIFS(S17_Biome_Strata!$AY$4:$AY$95,S17_Biome_Strata!$A$4:$A$95,"Deserts &amp; Xeric Shrublands",S17_Biome_Strata!$B$4:$B$95,$A14,S17_Biome_Strata!$D$4:$D$95,$B14)</x:f>
        <x:v>1156.1783607152101</x:v>
      </x:c>
      <x:c r="T14" s="167" t="n">
        <x:f aca="0">SUMIFS(S17_Biome_Strata!$AZ$4:$AZ$95,S17_Biome_Strata!$A$4:$A$95,"Deserts &amp; Xeric Shrublands",S17_Biome_Strata!$B$4:$B$95,$A14,S17_Biome_Strata!$D$4:$D$95,$B14)</x:f>
        <x:v>1298.0976192677856</x:v>
      </x:c>
      <x:c r="U14" s="167" t="n">
        <x:f aca="0">SUMIFS(S17_Biome_Strata!$BA$4:$BA$95,S17_Biome_Strata!$A$4:$A$95,"Deserts &amp; Xeric Shrublands",S17_Biome_Strata!$B$4:$B$95,$A14,S17_Biome_Strata!$D$4:$D$95,$B14)</x:f>
        <x:v>1429.898450732597</x:v>
      </x:c>
      <x:c r="V14" s="167" t="n">
        <x:f aca="0">SUMIFS(S17_Biome_Strata!$BB$4:$BB$95,S17_Biome_Strata!$A$4:$A$95,"Deserts &amp; Xeric Shrublands",S17_Biome_Strata!$B$4:$B$95,$A14,S17_Biome_Strata!$D$4:$D$95,$B14)</x:f>
        <x:v>1550.886283936816</x:v>
      </x:c>
      <x:c r="W14" s="167" t="n">
        <x:f aca="0">SUMIFS(S17_Biome_Strata!$BC$4:$BC$95,S17_Biome_Strata!$A$4:$A$95,"Deserts &amp; Xeric Shrublands",S17_Biome_Strata!$B$4:$B$95,$A14,S17_Biome_Strata!$D$4:$D$95,$B14)</x:f>
        <x:v>1660.915352997301</x:v>
      </x:c>
      <x:c r="X14" s="167" t="n">
        <x:f aca="0">SUMIFS(S17_Biome_Strata!$BD$4:$BD$95,S17_Biome_Strata!$A$4:$A$95,"Deserts &amp; Xeric Shrublands",S17_Biome_Strata!$B$4:$B$95,$A14,S17_Biome_Strata!$D$4:$D$95,$B14)</x:f>
        <x:v>1760.2254495111913</x:v>
      </x:c>
      <x:c r="Y14" s="167" t="n">
        <x:f aca="0">SUMIFS(S17_Biome_Strata!$BE$4:$BE$95,S17_Biome_Strata!$A$4:$A$95,"Deserts &amp; Xeric Shrublands",S17_Biome_Strata!$B$4:$B$95,$A14,S17_Biome_Strata!$D$4:$D$95,$B14)</x:f>
        <x:v>1849.3126925208016</x:v>
      </x:c>
      <x:c r="Z14" s="167" t="n">
        <x:f aca="0">SUMIFS(S17_Biome_Strata!$BF$4:$BF$95,S17_Biome_Strata!$A$4:$A$95,"Deserts &amp; Xeric Shrublands",S17_Biome_Strata!$B$4:$B$95,$A14,S17_Biome_Strata!$D$4:$D$95,$B14)</x:f>
        <x:v>1928.8309186236752</x:v>
      </x:c>
      <x:c r="AA14" s="167" t="n">
        <x:f aca="0">F14*(1-$D14)</x:f>
        <x:v>0</x:v>
      </x:c>
      <x:c r="AB14" s="167" t="n">
        <x:f aca="0">G14*(1-$D14)</x:f>
        <x:v>0</x:v>
      </x:c>
      <x:c r="AC14" s="167" t="n">
        <x:f aca="0">H14*(1-$D14)</x:f>
        <x:v>0</x:v>
      </x:c>
      <x:c r="AD14" s="167" t="n">
        <x:f aca="0">I14*(1-$D14)</x:f>
        <x:v>1.915390772286985</x:v>
      </x:c>
      <x:c r="AE14" s="167" t="n">
        <x:f aca="0">J14*(1-$D14)</x:f>
        <x:v>18.61272105147503</x:v>
      </x:c>
      <x:c r="AF14" s="167" t="n">
        <x:f aca="0">K14*(1-$D14)</x:f>
        <x:v>63.061597105512945</x:v>
      </x:c>
      <x:c r="AG14" s="167" t="n">
        <x:f aca="0">L14*(1-$D14)</x:f>
        <x:v>140.33809735288256</x:v>
      </x:c>
      <x:c r="AH14" s="167" t="n">
        <x:f aca="0">M14*(1-$D14)</x:f>
        <x:v>247.66476025890813</x:v>
      </x:c>
      <x:c r="AI14" s="167" t="n">
        <x:f aca="0">N14*(1-$D14)</x:f>
        <x:v>378.593534906005</x:v>
      </x:c>
      <x:c r="AJ14" s="167" t="n">
        <x:f aca="0">O14*(1-$D14)</x:f>
        <x:v>525.4202736723894</x:v>
      </x:c>
      <x:c r="AK14" s="167" t="n">
        <x:f aca="0">P14*(1-$D14)</x:f>
        <x:v>680.7678669781283</x:v>
      </x:c>
      <x:c r="AL14" s="167" t="n">
        <x:f aca="0">Q14*(1-$D14)</x:f>
        <x:v>838.3680649385204</x:v>
      </x:c>
      <x:c r="AM14" s="167" t="n">
        <x:f aca="0">R14*(1-$D14)</x:f>
        <x:v>993.3251776232298</x:v>
      </x:c>
      <x:c r="AN14" s="167" t="n">
        <x:f aca="0">S14*(1-$D14)</x:f>
        <x:v>1142.0873550682666</x:v>
      </x:c>
      <x:c r="AO14" s="167" t="n">
        <x:f aca="0">T14*(1-$D14)</x:f>
        <x:v>1282.2769626071029</x:v>
      </x:c>
      <x:c r="AP14" s="167" t="n">
        <x:f aca="0">U14*(1-$D14)</x:f>
        <x:v>1412.471462104852</x:v>
      </x:c>
      <x:c r="AQ14" s="167" t="n">
        <x:f aca="0">V14*(1-$D14)</x:f>
        <x:v>1531.984747524041</x:v>
      </x:c>
      <x:c r="AR14" s="167" t="n">
        <x:f aca="0">W14*(1-$D14)</x:f>
        <x:v>1640.672829513552</x:v>
      </x:c>
      <x:c r="AS14" s="167" t="n">
        <x:f aca="0">X14*(1-$D14)</x:f>
        <x:v>1738.7725771934527</x:v>
      </x:c>
      <x:c r="AT14" s="167" t="n">
        <x:f aca="0">Y14*(1-$D14)</x:f>
        <x:v>1826.7740631200966</x:v>
      </x:c>
      <x:c r="AU14" s="167" t="n">
        <x:f aca="0">Z14*(1-$D14)</x:f>
        <x:v>1905.3231552111922</x:v>
      </x:c>
      <x:c r="AV14" s="37" t="str">
        <x:v>Formula-derived: S17_Biome_Strata row gross stock = eligible area × S15_Source_Strata stock/ha; S15_Source_Strata stock = cohort-aligned Chapman-Richards D/H → Chave AGB → conservative calibration → CF × (1+R) × 44/12. PB applied separately by Biome × Cohort.</x:v>
      </x:c>
    </x:row>
    <x:row r="15" ht="15" hidden="0" customHeight="1">
      <x:c r="A15" s="37" t="s">
        <x:v>113</x:v>
      </x:c>
      <x:c r="B15" s="37" t="n">
        <x:v>2023</x:v>
      </x:c>
      <x:c r="C15" s="167" t="n">
        <x:f aca="0">SUMIFS(S17_Biome_Strata!$F$4:$F$95,S17_Biome_Strata!$A$4:$A$95,"Deserts &amp; Xeric Shrublands",S17_Biome_Strata!$B$4:$B$95,$A15,S17_Biome_Strata!$D$4:$D$95,$B15)</x:f>
        <x:v>0</x:v>
      </x:c>
      <x:c r="D15" s="167" t="n">
        <x:f aca="0">S09_PB_Input!H7</x:f>
        <x:v>0.012187570815827156</x:v>
      </x:c>
      <x:c r="E15" s="168" t="str">
        <x:f aca="0">S09_PB_Input!I7</x:f>
        <x:v>VM0047 v1.1 Appendix 1: Z-test significant; PB_t = ΔSI_control / ΔSI_wp (Eq. A8). Source: 20260814_304027_GKF_ProjectPlots_PB.xlsx.</x:v>
      </x:c>
      <x:c r="F15" s="167" t="n">
        <x:f aca="0">SUMIFS(S17_Biome_Strata!$AL$4:$AL$95,S17_Biome_Strata!$A$4:$A$95,"Deserts &amp; Xeric Shrublands",S17_Biome_Strata!$B$4:$B$95,$A15,S17_Biome_Strata!$D$4:$D$95,$B15)</x:f>
        <x:v>0</x:v>
      </x:c>
      <x:c r="G15" s="167" t="n">
        <x:f aca="0">SUMIFS(S17_Biome_Strata!$AM$4:$AM$95,S17_Biome_Strata!$A$4:$A$95,"Deserts &amp; Xeric Shrublands",S17_Biome_Strata!$B$4:$B$95,$A15,S17_Biome_Strata!$D$4:$D$95,$B15)</x:f>
        <x:v>0</x:v>
      </x:c>
      <x:c r="H15" s="167" t="n">
        <x:f aca="0">SUMIFS(S17_Biome_Strata!$AN$4:$AN$95,S17_Biome_Strata!$A$4:$A$95,"Deserts &amp; Xeric Shrublands",S17_Biome_Strata!$B$4:$B$95,$A15,S17_Biome_Strata!$D$4:$D$95,$B15)</x:f>
        <x:v>0</x:v>
      </x:c>
      <x:c r="I15" s="167" t="n">
        <x:f aca="0">SUMIFS(S17_Biome_Strata!$AO$4:$AO$95,S17_Biome_Strata!$A$4:$A$95,"Deserts &amp; Xeric Shrublands",S17_Biome_Strata!$B$4:$B$95,$A15,S17_Biome_Strata!$D$4:$D$95,$B15)</x:f>
        <x:v>0</x:v>
      </x:c>
      <x:c r="J15" s="167" t="n">
        <x:f aca="0">SUMIFS(S17_Biome_Strata!$AP$4:$AP$95,S17_Biome_Strata!$A$4:$A$95,"Deserts &amp; Xeric Shrublands",S17_Biome_Strata!$B$4:$B$95,$A15,S17_Biome_Strata!$D$4:$D$95,$B15)</x:f>
        <x:v>0</x:v>
      </x:c>
      <x:c r="K15" s="167" t="n">
        <x:f aca="0">SUMIFS(S17_Biome_Strata!$AQ$4:$AQ$95,S17_Biome_Strata!$A$4:$A$95,"Deserts &amp; Xeric Shrublands",S17_Biome_Strata!$B$4:$B$95,$A15,S17_Biome_Strata!$D$4:$D$95,$B15)</x:f>
        <x:v>0</x:v>
      </x:c>
      <x:c r="L15" s="167" t="n">
        <x:f aca="0">SUMIFS(S17_Biome_Strata!$AR$4:$AR$95,S17_Biome_Strata!$A$4:$A$95,"Deserts &amp; Xeric Shrublands",S17_Biome_Strata!$B$4:$B$95,$A15,S17_Biome_Strata!$D$4:$D$95,$B15)</x:f>
        <x:v>0</x:v>
      </x:c>
      <x:c r="M15" s="167" t="n">
        <x:f aca="0">SUMIFS(S17_Biome_Strata!$AS$4:$AS$95,S17_Biome_Strata!$A$4:$A$95,"Deserts &amp; Xeric Shrublands",S17_Biome_Strata!$B$4:$B$95,$A15,S17_Biome_Strata!$D$4:$D$95,$B15)</x:f>
        <x:v>0</x:v>
      </x:c>
      <x:c r="N15" s="167" t="n">
        <x:f aca="0">SUMIFS(S17_Biome_Strata!$AT$4:$AT$95,S17_Biome_Strata!$A$4:$A$95,"Deserts &amp; Xeric Shrublands",S17_Biome_Strata!$B$4:$B$95,$A15,S17_Biome_Strata!$D$4:$D$95,$B15)</x:f>
        <x:v>0</x:v>
      </x:c>
      <x:c r="O15" s="167" t="n">
        <x:f aca="0">SUMIFS(S17_Biome_Strata!$AU$4:$AU$95,S17_Biome_Strata!$A$4:$A$95,"Deserts &amp; Xeric Shrublands",S17_Biome_Strata!$B$4:$B$95,$A15,S17_Biome_Strata!$D$4:$D$95,$B15)</x:f>
        <x:v>0</x:v>
      </x:c>
      <x:c r="P15" s="167" t="n">
        <x:f aca="0">SUMIFS(S17_Biome_Strata!$AV$4:$AV$95,S17_Biome_Strata!$A$4:$A$95,"Deserts &amp; Xeric Shrublands",S17_Biome_Strata!$B$4:$B$95,$A15,S17_Biome_Strata!$D$4:$D$95,$B15)</x:f>
        <x:v>0</x:v>
      </x:c>
      <x:c r="Q15" s="167" t="n">
        <x:f aca="0">SUMIFS(S17_Biome_Strata!$AW$4:$AW$95,S17_Biome_Strata!$A$4:$A$95,"Deserts &amp; Xeric Shrublands",S17_Biome_Strata!$B$4:$B$95,$A15,S17_Biome_Strata!$D$4:$D$95,$B15)</x:f>
        <x:v>0</x:v>
      </x:c>
      <x:c r="R15" s="167" t="n">
        <x:f aca="0">SUMIFS(S17_Biome_Strata!$AX$4:$AX$95,S17_Biome_Strata!$A$4:$A$95,"Deserts &amp; Xeric Shrublands",S17_Biome_Strata!$B$4:$B$95,$A15,S17_Biome_Strata!$D$4:$D$95,$B15)</x:f>
        <x:v>0</x:v>
      </x:c>
      <x:c r="S15" s="167" t="n">
        <x:f aca="0">SUMIFS(S17_Biome_Strata!$AY$4:$AY$95,S17_Biome_Strata!$A$4:$A$95,"Deserts &amp; Xeric Shrublands",S17_Biome_Strata!$B$4:$B$95,$A15,S17_Biome_Strata!$D$4:$D$95,$B15)</x:f>
        <x:v>0</x:v>
      </x:c>
      <x:c r="T15" s="167" t="n">
        <x:f aca="0">SUMIFS(S17_Biome_Strata!$AZ$4:$AZ$95,S17_Biome_Strata!$A$4:$A$95,"Deserts &amp; Xeric Shrublands",S17_Biome_Strata!$B$4:$B$95,$A15,S17_Biome_Strata!$D$4:$D$95,$B15)</x:f>
        <x:v>0</x:v>
      </x:c>
      <x:c r="U15" s="167" t="n">
        <x:f aca="0">SUMIFS(S17_Biome_Strata!$BA$4:$BA$95,S17_Biome_Strata!$A$4:$A$95,"Deserts &amp; Xeric Shrublands",S17_Biome_Strata!$B$4:$B$95,$A15,S17_Biome_Strata!$D$4:$D$95,$B15)</x:f>
        <x:v>0</x:v>
      </x:c>
      <x:c r="V15" s="167" t="n">
        <x:f aca="0">SUMIFS(S17_Biome_Strata!$BB$4:$BB$95,S17_Biome_Strata!$A$4:$A$95,"Deserts &amp; Xeric Shrublands",S17_Biome_Strata!$B$4:$B$95,$A15,S17_Biome_Strata!$D$4:$D$95,$B15)</x:f>
        <x:v>0</x:v>
      </x:c>
      <x:c r="W15" s="167" t="n">
        <x:f aca="0">SUMIFS(S17_Biome_Strata!$BC$4:$BC$95,S17_Biome_Strata!$A$4:$A$95,"Deserts &amp; Xeric Shrublands",S17_Biome_Strata!$B$4:$B$95,$A15,S17_Biome_Strata!$D$4:$D$95,$B15)</x:f>
        <x:v>0</x:v>
      </x:c>
      <x:c r="X15" s="167" t="n">
        <x:f aca="0">SUMIFS(S17_Biome_Strata!$BD$4:$BD$95,S17_Biome_Strata!$A$4:$A$95,"Deserts &amp; Xeric Shrublands",S17_Biome_Strata!$B$4:$B$95,$A15,S17_Biome_Strata!$D$4:$D$95,$B15)</x:f>
        <x:v>0</x:v>
      </x:c>
      <x:c r="Y15" s="167" t="n">
        <x:f aca="0">SUMIFS(S17_Biome_Strata!$BE$4:$BE$95,S17_Biome_Strata!$A$4:$A$95,"Deserts &amp; Xeric Shrublands",S17_Biome_Strata!$B$4:$B$95,$A15,S17_Biome_Strata!$D$4:$D$95,$B15)</x:f>
        <x:v>0</x:v>
      </x:c>
      <x:c r="Z15" s="167" t="n">
        <x:f aca="0">SUMIFS(S17_Biome_Strata!$BF$4:$BF$95,S17_Biome_Strata!$A$4:$A$95,"Deserts &amp; Xeric Shrublands",S17_Biome_Strata!$B$4:$B$95,$A15,S17_Biome_Strata!$D$4:$D$95,$B15)</x:f>
        <x:v>0</x:v>
      </x:c>
      <x:c r="AA15" s="167" t="n">
        <x:f aca="0">F15*(1-$D15)</x:f>
        <x:v>0</x:v>
      </x:c>
      <x:c r="AB15" s="167" t="n">
        <x:f aca="0">G15*(1-$D15)</x:f>
        <x:v>0</x:v>
      </x:c>
      <x:c r="AC15" s="167" t="n">
        <x:f aca="0">H15*(1-$D15)</x:f>
        <x:v>0</x:v>
      </x:c>
      <x:c r="AD15" s="167" t="n">
        <x:f aca="0">I15*(1-$D15)</x:f>
        <x:v>0</x:v>
      </x:c>
      <x:c r="AE15" s="167" t="n">
        <x:f aca="0">J15*(1-$D15)</x:f>
        <x:v>0</x:v>
      </x:c>
      <x:c r="AF15" s="167" t="n">
        <x:f aca="0">K15*(1-$D15)</x:f>
        <x:v>0</x:v>
      </x:c>
      <x:c r="AG15" s="167" t="n">
        <x:f aca="0">L15*(1-$D15)</x:f>
        <x:v>0</x:v>
      </x:c>
      <x:c r="AH15" s="167" t="n">
        <x:f aca="0">M15*(1-$D15)</x:f>
        <x:v>0</x:v>
      </x:c>
      <x:c r="AI15" s="167" t="n">
        <x:f aca="0">N15*(1-$D15)</x:f>
        <x:v>0</x:v>
      </x:c>
      <x:c r="AJ15" s="167" t="n">
        <x:f aca="0">O15*(1-$D15)</x:f>
        <x:v>0</x:v>
      </x:c>
      <x:c r="AK15" s="167" t="n">
        <x:f aca="0">P15*(1-$D15)</x:f>
        <x:v>0</x:v>
      </x:c>
      <x:c r="AL15" s="167" t="n">
        <x:f aca="0">Q15*(1-$D15)</x:f>
        <x:v>0</x:v>
      </x:c>
      <x:c r="AM15" s="167" t="n">
        <x:f aca="0">R15*(1-$D15)</x:f>
        <x:v>0</x:v>
      </x:c>
      <x:c r="AN15" s="167" t="n">
        <x:f aca="0">S15*(1-$D15)</x:f>
        <x:v>0</x:v>
      </x:c>
      <x:c r="AO15" s="167" t="n">
        <x:f aca="0">T15*(1-$D15)</x:f>
        <x:v>0</x:v>
      </x:c>
      <x:c r="AP15" s="167" t="n">
        <x:f aca="0">U15*(1-$D15)</x:f>
        <x:v>0</x:v>
      </x:c>
      <x:c r="AQ15" s="167" t="n">
        <x:f aca="0">V15*(1-$D15)</x:f>
        <x:v>0</x:v>
      </x:c>
      <x:c r="AR15" s="167" t="n">
        <x:f aca="0">W15*(1-$D15)</x:f>
        <x:v>0</x:v>
      </x:c>
      <x:c r="AS15" s="167" t="n">
        <x:f aca="0">X15*(1-$D15)</x:f>
        <x:v>0</x:v>
      </x:c>
      <x:c r="AT15" s="167" t="n">
        <x:f aca="0">Y15*(1-$D15)</x:f>
        <x:v>0</x:v>
      </x:c>
      <x:c r="AU15" s="167" t="n">
        <x:f aca="0">Z15*(1-$D15)</x:f>
        <x:v>0</x:v>
      </x:c>
      <x:c r="AV15" s="37" t="str">
        <x:v>Formula-derived: S17_Biome_Strata row gross stock = eligible area × S15_Source_Strata stock/ha; S15_Source_Strata stock = cohort-aligned Chapman-Richards D/H → Chave AGB → conservative calibration → CF × (1+R) × 44/12. PB applied separately by Biome × Cohort.</x:v>
      </x:c>
    </x:row>
    <x:row r="16" ht="15" hidden="0" customHeight="1">
      <x:c r="A16" s="37" t="s">
        <x:v>114</x:v>
      </x:c>
      <x:c r="B16" s="37" t="n">
        <x:v>2020</x:v>
      </x:c>
      <x:c r="C16" s="167" t="n">
        <x:f aca="0">SUMIFS(S17_Biome_Strata!$F$4:$F$95,S17_Biome_Strata!$A$4:$A$95,"Deserts &amp; Xeric Shrublands",S17_Biome_Strata!$B$4:$B$95,$A16,S17_Biome_Strata!$D$4:$D$95,$B16)</x:f>
        <x:v>3.0555000000000003</x:v>
      </x:c>
      <x:c r="D16" s="167" t="n">
        <x:f aca="0">S09_PB_Input!H4</x:f>
        <x:v>0.012187570815827156</x:v>
      </x:c>
      <x:c r="E16" s="168" t="str">
        <x:f aca="0">S09_PB_Input!I4</x:f>
        <x:v>VM0047 v1.1 Appendix 1: Z-test significant; PB_t = ΔSI_control / ΔSI_wp (Eq. A8). Source: 20260814_304027_GKF_ProjectPlots_PB.xlsx.</x:v>
      </x:c>
      <x:c r="F16" s="167" t="n">
        <x:f aca="0">SUMIFS(S17_Biome_Strata!$AL$4:$AL$95,S17_Biome_Strata!$A$4:$A$95,"Deserts &amp; Xeric Shrublands",S17_Biome_Strata!$B$4:$B$95,$A16,S17_Biome_Strata!$D$4:$D$95,$B16)</x:f>
        <x:v>0</x:v>
      </x:c>
      <x:c r="G16" s="167" t="n">
        <x:f aca="0">SUMIFS(S17_Biome_Strata!$AM$4:$AM$95,S17_Biome_Strata!$A$4:$A$95,"Deserts &amp; Xeric Shrublands",S17_Biome_Strata!$B$4:$B$95,$A16,S17_Biome_Strata!$D$4:$D$95,$B16)</x:f>
        <x:v>0.4074360497635401</x:v>
      </x:c>
      <x:c r="H16" s="167" t="n">
        <x:f aca="0">SUMIFS(S17_Biome_Strata!$AN$4:$AN$95,S17_Biome_Strata!$A$4:$A$95,"Deserts &amp; Xeric Shrublands",S17_Biome_Strata!$B$4:$B$95,$A16,S17_Biome_Strata!$D$4:$D$95,$B16)</x:f>
        <x:v>4.875510687117879</x:v>
      </x:c>
      <x:c r="I16" s="167" t="n">
        <x:f aca="0">SUMIFS(S17_Biome_Strata!$AO$4:$AO$95,S17_Biome_Strata!$A$4:$A$95,"Deserts &amp; Xeric Shrublands",S17_Biome_Strata!$B$4:$B$95,$A16,S17_Biome_Strata!$D$4:$D$95,$B16)</x:f>
        <x:v>18.64309067895007</x:v>
      </x:c>
      <x:c r="J16" s="167" t="n">
        <x:f aca="0">SUMIFS(S17_Biome_Strata!$AP$4:$AP$95,S17_Biome_Strata!$A$4:$A$95,"Deserts &amp; Xeric Shrublands",S17_Biome_Strata!$B$4:$B$95,$A16,S17_Biome_Strata!$D$4:$D$95,$B16)</x:f>
        <x:v>45.15700989225537</x:v>
      </x:c>
      <x:c r="K16" s="167" t="n">
        <x:f aca="0">SUMIFS(S17_Biome_Strata!$AQ$4:$AQ$95,S17_Biome_Strata!$A$4:$A$95,"Deserts &amp; Xeric Shrublands",S17_Biome_Strata!$B$4:$B$95,$A16,S17_Biome_Strata!$D$4:$D$95,$B16)</x:f>
        <x:v>85.00722587580833</x:v>
      </x:c>
      <x:c r="L16" s="167" t="n">
        <x:f aca="0">SUMIFS(S17_Biome_Strata!$AR$4:$AR$95,S17_Biome_Strata!$A$4:$A$95,"Deserts &amp; Xeric Shrublands",S17_Biome_Strata!$B$4:$B$95,$A16,S17_Biome_Strata!$D$4:$D$95,$B16)</x:f>
        <x:v>136.83044472708517</x:v>
      </x:c>
      <x:c r="M16" s="167" t="n">
        <x:f aca="0">SUMIFS(S17_Biome_Strata!$AS$4:$AS$95,S17_Biome_Strata!$A$4:$A$95,"Deserts &amp; Xeric Shrublands",S17_Biome_Strata!$B$4:$B$95,$A16,S17_Biome_Strata!$D$4:$D$95,$B16)</x:f>
        <x:v>198.14669465468805</x:v>
      </x:c>
      <x:c r="N16" s="167" t="n">
        <x:f aca="0">SUMIFS(S17_Biome_Strata!$AT$4:$AT$95,S17_Biome_Strata!$A$4:$A$95,"Deserts &amp; Xeric Shrublands",S17_Biome_Strata!$B$4:$B$95,$A16,S17_Biome_Strata!$D$4:$D$95,$B16)</x:f>
        <x:v>266.0773540310635</x:v>
      </x:c>
      <x:c r="O16" s="167" t="n">
        <x:f aca="0">SUMIFS(S17_Biome_Strata!$AU$4:$AU$95,S17_Biome_Strata!$A$4:$A$95,"Deserts &amp; Xeric Shrublands",S17_Biome_Strata!$B$4:$B$95,$A16,S17_Biome_Strata!$D$4:$D$95,$B16)</x:f>
        <x:v>337.8195338244966</x:v>
      </x:c>
      <x:c r="P16" s="167" t="n">
        <x:f aca="0">SUMIFS(S17_Biome_Strata!$AV$4:$AV$95,S17_Biome_Strata!$A$4:$A$95,"Deserts &amp; Xeric Shrublands",S17_Biome_Strata!$B$4:$B$95,$A16,S17_Biome_Strata!$D$4:$D$95,$B16)</x:f>
        <x:v>410.9100689091421</x:v>
      </x:c>
      <x:c r="Q16" s="167" t="n">
        <x:f aca="0">SUMIFS(S17_Biome_Strata!$AW$4:$AW$95,S17_Biome_Strata!$A$4:$A$95,"Deserts &amp; Xeric Shrublands",S17_Biome_Strata!$B$4:$B$95,$A16,S17_Biome_Strata!$D$4:$D$95,$B16)</x:f>
        <x:v>483.338886931629</x:v>
      </x:c>
      <x:c r="R16" s="167" t="n">
        <x:f aca="0">SUMIFS(S17_Biome_Strata!$AX$4:$AX$95,S17_Biome_Strata!$A$4:$A$95,"Deserts &amp; Xeric Shrublands",S17_Biome_Strata!$B$4:$B$95,$A16,S17_Biome_Strata!$D$4:$D$95,$B16)</x:f>
        <x:v>553.5668708106311</x:v>
      </x:c>
      <x:c r="S16" s="167" t="n">
        <x:f aca="0">SUMIFS(S17_Biome_Strata!$AY$4:$AY$95,S17_Biome_Strata!$A$4:$A$95,"Deserts &amp; Xeric Shrublands",S17_Biome_Strata!$B$4:$B$95,$A16,S17_Biome_Strata!$D$4:$D$95,$B16)</x:f>
        <x:v>620.4899373398059</x:v>
      </x:c>
      <x:c r="T16" s="167" t="n">
        <x:f aca="0">SUMIFS(S17_Biome_Strata!$AZ$4:$AZ$95,S17_Biome_Strata!$A$4:$A$95,"Deserts &amp; Xeric Shrublands",S17_Biome_Strata!$B$4:$B$95,$A16,S17_Biome_Strata!$D$4:$D$95,$B16)</x:f>
        <x:v>683.3776583884833</x:v>
      </x:c>
      <x:c r="U16" s="167" t="n">
        <x:f aca="0">SUMIFS(S17_Biome_Strata!$BA$4:$BA$95,S17_Biome_Strata!$A$4:$A$95,"Deserts &amp; Xeric Shrublands",S17_Biome_Strata!$B$4:$B$95,$A16,S17_Biome_Strata!$D$4:$D$95,$B16)</x:f>
        <x:v>741.8040975161576</x:v>
      </x:c>
      <x:c r="V16" s="167" t="n">
        <x:f aca="0">SUMIFS(S17_Biome_Strata!$BB$4:$BB$95,S17_Biome_Strata!$A$4:$A$95,"Deserts &amp; Xeric Shrublands",S17_Biome_Strata!$B$4:$B$95,$A16,S17_Biome_Strata!$D$4:$D$95,$B16)</x:f>
        <x:v>795.5809520732976</x:v>
      </x:c>
      <x:c r="W16" s="167" t="n">
        <x:f aca="0">SUMIFS(S17_Biome_Strata!$BC$4:$BC$95,S17_Biome_Strata!$A$4:$A$95,"Deserts &amp; Xeric Shrublands",S17_Biome_Strata!$B$4:$B$95,$A16,S17_Biome_Strata!$D$4:$D$95,$B16)</x:f>
        <x:v>844.698079934876</x:v>
      </x:c>
      <x:c r="X16" s="167" t="n">
        <x:f aca="0">SUMIFS(S17_Biome_Strata!$BD$4:$BD$95,S17_Biome_Strata!$A$4:$A$95,"Deserts &amp; Xeric Shrublands",S17_Biome_Strata!$B$4:$B$95,$A16,S17_Biome_Strata!$D$4:$D$95,$B16)</x:f>
        <x:v>889.2733833524677</x:v>
      </x:c>
      <x:c r="Y16" s="167" t="n">
        <x:f aca="0">SUMIFS(S17_Biome_Strata!$BE$4:$BE$95,S17_Biome_Strata!$A$4:$A$95,"Deserts &amp; Xeric Shrublands",S17_Biome_Strata!$B$4:$B$95,$A16,S17_Biome_Strata!$D$4:$D$95,$B16)</x:f>
        <x:v>929.5122257070601</x:v>
      </x:c>
      <x:c r="Z16" s="167" t="n">
        <x:f aca="0">SUMIFS(S17_Biome_Strata!$BF$4:$BF$95,S17_Biome_Strata!$A$4:$A$95,"Deserts &amp; Xeric Shrublands",S17_Biome_Strata!$B$4:$B$95,$A16,S17_Biome_Strata!$D$4:$D$95,$B16)</x:f>
        <x:v>965.6756129839109</x:v>
      </x:c>
      <x:c r="AA16" s="167" t="n">
        <x:f aca="0">F16*(1-$D16)</x:f>
        <x:v>0</x:v>
      </x:c>
      <x:c r="AB16" s="167" t="n">
        <x:f aca="0">G16*(1-$D16)</x:f>
        <x:v>0.4024703940541261</x:v>
      </x:c>
      <x:c r="AC16" s="167" t="n">
        <x:f aca="0">H16*(1-$D16)</x:f>
        <x:v>4.816090055355308</x:v>
      </x:c>
      <x:c r="AD16" s="167" t="n">
        <x:f aca="0">I16*(1-$D16)</x:f>
        <x:v>18.41587669107448</x:v>
      </x:c>
      <x:c r="AE16" s="167" t="n">
        <x:f aca="0">J16*(1-$D16)</x:f>
        <x:v>44.6066556363625</x:v>
      </x:c>
      <x:c r="AF16" s="167" t="n">
        <x:f aca="0">K16*(1-$D16)</x:f>
        <x:v>83.9711942905899</x:v>
      </x:c>
      <x:c r="AG16" s="167" t="n">
        <x:f aca="0">L16*(1-$D16)</x:f>
        <x:v>135.1628139922127</x:v>
      </x:c>
      <x:c r="AH16" s="167" t="n">
        <x:f aca="0">M16*(1-$D16)</x:f>
        <x:v>195.73176778166197</x:v>
      </x:c>
      <x:c r="AI16" s="167" t="n">
        <x:f aca="0">N16*(1-$D16)</x:f>
        <x:v>262.834517436322</x:v>
      </x:c>
      <x:c r="AJ16" s="167" t="n">
        <x:f aca="0">O16*(1-$D16)</x:f>
        <x:v>333.7023343330408</x:v>
      </x:c>
      <x:c r="AK16" s="167" t="n">
        <x:f aca="0">P16*(1-$D16)</x:f>
        <x:v>405.9020733453756</x:v>
      </x:c>
      <x:c r="AL16" s="167" t="n">
        <x:f aca="0">Q16*(1-$D16)</x:f>
        <x:v>477.44816001910675</x:v>
      </x:c>
      <x:c r="AM16" s="167" t="n">
        <x:f aca="0">R16*(1-$D16)</x:f>
        <x:v>546.8202353713308</x:v>
      </x:c>
      <x:c r="AN16" s="167" t="n">
        <x:f aca="0">S16*(1-$D16)</x:f>
        <x:v>612.9276722879689</x:v>
      </x:c>
      <x:c r="AO16" s="167" t="n">
        <x:f aca="0">T16*(1-$D16)</x:f>
        <x:v>675.0489447829195</x:v>
      </x:c>
      <x:c r="AP16" s="167" t="n">
        <x:f aca="0">U16*(1-$D16)</x:f>
        <x:v>732.7633075462087</x:v>
      </x:c>
      <x:c r="AQ16" s="167" t="n">
        <x:f aca="0">V16*(1-$D16)</x:f>
        <x:v>785.884752880181</x:v>
      </x:c>
      <x:c r="AR16" s="167" t="n">
        <x:f aca="0">W16*(1-$D16)</x:f>
        <x:v>834.4032622676765</x:v>
      </x:c>
      <x:c r="AS16" s="167" t="n">
        <x:f aca="0">X16*(1-$D16)</x:f>
        <x:v>878.4353010182293</x:v>
      </x:c>
      <x:c r="AT16" s="167" t="n">
        <x:f aca="0">Y16*(1-$D16)</x:f>
        <x:v>918.1837296320782</x:v>
      </x:c>
      <x:c r="AU16" s="167" t="n">
        <x:f aca="0">Z16*(1-$D16)</x:f>
        <x:v>953.9063730655522</x:v>
      </x:c>
      <x:c r="AV16" s="37" t="str">
        <x:v>Formula-derived: S17_Biome_Strata row gross stock = eligible area × S15_Source_Strata stock/ha; S15_Source_Strata stock = cohort-aligned Chapman-Richards D/H → Chave AGB → conservative calibration → CF × (1+R) × 44/12. PB applied separately by Biome × Cohort.</x:v>
      </x:c>
    </x:row>
    <x:row r="17" ht="15" hidden="0" customHeight="1">
      <x:c r="A17" s="37" t="s">
        <x:v>114</x:v>
      </x:c>
      <x:c r="B17" s="37" t="n">
        <x:v>2021</x:v>
      </x:c>
      <x:c r="C17" s="167" t="n">
        <x:f aca="0">SUMIFS(S17_Biome_Strata!$F$4:$F$95,S17_Biome_Strata!$A$4:$A$95,"Deserts &amp; Xeric Shrublands",S17_Biome_Strata!$B$4:$B$95,$A17,S17_Biome_Strata!$D$4:$D$95,$B17)</x:f>
        <x:v>0.376</x:v>
      </x:c>
      <x:c r="D17" s="167" t="n">
        <x:f aca="0">S09_PB_Input!H5</x:f>
        <x:v>0.012187570815827156</x:v>
      </x:c>
      <x:c r="E17" s="168" t="str">
        <x:f aca="0">S09_PB_Input!I5</x:f>
        <x:v>VM0047 v1.1 Appendix 1: Z-test significant; PB_t = ΔSI_control / ΔSI_wp (Eq. A8). Source: 20260814_304027_GKF_ProjectPlots_PB.xlsx.</x:v>
      </x:c>
      <x:c r="F17" s="167" t="n">
        <x:f aca="0">SUMIFS(S17_Biome_Strata!$AL$4:$AL$95,S17_Biome_Strata!$A$4:$A$95,"Deserts &amp; Xeric Shrublands",S17_Biome_Strata!$B$4:$B$95,$A17,S17_Biome_Strata!$D$4:$D$95,$B17)</x:f>
        <x:v>0</x:v>
      </x:c>
      <x:c r="G17" s="167" t="n">
        <x:f aca="0">SUMIFS(S17_Biome_Strata!$AM$4:$AM$95,S17_Biome_Strata!$A$4:$A$95,"Deserts &amp; Xeric Shrublands",S17_Biome_Strata!$B$4:$B$95,$A17,S17_Biome_Strata!$D$4:$D$95,$B17)</x:f>
        <x:v>0</x:v>
      </x:c>
      <x:c r="H17" s="167" t="n">
        <x:f aca="0">SUMIFS(S17_Biome_Strata!$AN$4:$AN$95,S17_Biome_Strata!$A$4:$A$95,"Deserts &amp; Xeric Shrublands",S17_Biome_Strata!$B$4:$B$95,$A17,S17_Biome_Strata!$D$4:$D$95,$B17)</x:f>
        <x:v>0.10240049868108746</x:v>
      </x:c>
      <x:c r="I17" s="167" t="n">
        <x:f aca="0">SUMIFS(S17_Biome_Strata!$AO$4:$AO$95,S17_Biome_Strata!$A$4:$A$95,"Deserts &amp; Xeric Shrublands",S17_Biome_Strata!$B$4:$B$95,$A17,S17_Biome_Strata!$D$4:$D$95,$B17)</x:f>
        <x:v>1.221584662572937</x:v>
      </x:c>
      <x:c r="J17" s="167" t="n">
        <x:f aca="0">SUMIFS(S17_Biome_Strata!$AP$4:$AP$95,S17_Biome_Strata!$A$4:$A$95,"Deserts &amp; Xeric Shrublands",S17_Biome_Strata!$B$4:$B$95,$A17,S17_Biome_Strata!$D$4:$D$95,$B17)</x:f>
        <x:v>4.663902453150788</x:v>
      </x:c>
      <x:c r="K17" s="167" t="n">
        <x:f aca="0">SUMIFS(S17_Biome_Strata!$AQ$4:$AQ$95,S17_Biome_Strata!$A$4:$A$95,"Deserts &amp; Xeric Shrublands",S17_Biome_Strata!$B$4:$B$95,$A17,S17_Biome_Strata!$D$4:$D$95,$B17)</x:f>
        <x:v>11.28599953321116</x:v>
      </x:c>
      <x:c r="L17" s="167" t="n">
        <x:f aca="0">SUMIFS(S17_Biome_Strata!$AR$4:$AR$95,S17_Biome_Strata!$A$4:$A$95,"Deserts &amp; Xeric Shrublands",S17_Biome_Strata!$B$4:$B$95,$A17,S17_Biome_Strata!$D$4:$D$95,$B17)</x:f>
        <x:v>21.230937340943875</x:v>
      </x:c>
      <x:c r="M17" s="167" t="n">
        <x:f aca="0">SUMIFS(S17_Biome_Strata!$AS$4:$AS$95,S17_Biome_Strata!$A$4:$A$95,"Deserts &amp; Xeric Shrublands",S17_Biome_Strata!$B$4:$B$95,$A17,S17_Biome_Strata!$D$4:$D$95,$B17)</x:f>
        <x:v>34.154569512466686</x:v>
      </x:c>
      <x:c r="N17" s="167" t="n">
        <x:f aca="0">SUMIFS(S17_Biome_Strata!$AT$4:$AT$95,S17_Biome_Strata!$A$4:$A$95,"Deserts &amp; Xeric Shrublands",S17_Biome_Strata!$B$4:$B$95,$A17,S17_Biome_Strata!$D$4:$D$95,$B17)</x:f>
        <x:v>49.434581063082774</x:v>
      </x:c>
      <x:c r="O17" s="167" t="n">
        <x:f aca="0">SUMIFS(S17_Biome_Strata!$AU$4:$AU$95,S17_Biome_Strata!$A$4:$A$95,"Deserts &amp; Xeric Shrublands",S17_Biome_Strata!$B$4:$B$95,$A17,S17_Biome_Strata!$D$4:$D$95,$B17)</x:f>
        <x:v>66.34999508358612</x:v>
      </x:c>
      <x:c r="P17" s="167" t="n">
        <x:f aca="0">SUMIFS(S17_Biome_Strata!$AV$4:$AV$95,S17_Biome_Strata!$A$4:$A$95,"Deserts &amp; Xeric Shrublands",S17_Biome_Strata!$B$4:$B$95,$A17,S17_Biome_Strata!$D$4:$D$95,$B17)</x:f>
        <x:v>84.19980037027737</x:v>
      </x:c>
      <x:c r="Q17" s="167" t="n">
        <x:f aca="0">SUMIFS(S17_Biome_Strata!$AW$4:$AW$95,S17_Biome_Strata!$A$4:$A$95,"Deserts &amp; Xeric Shrublands",S17_Biome_Strata!$B$4:$B$95,$A17,S17_Biome_Strata!$D$4:$D$95,$B17)</x:f>
        <x:v>102.36891386106592</x:v>
      </x:c>
      <x:c r="R17" s="167" t="n">
        <x:f aca="0">SUMIFS(S17_Biome_Strata!$AX$4:$AX$95,S17_Biome_Strata!$A$4:$A$95,"Deserts &amp; Xeric Shrublands",S17_Biome_Strata!$B$4:$B$95,$A17,S17_Biome_Strata!$D$4:$D$95,$B17)</x:f>
        <x:v>120.35638924817103</x:v>
      </x:c>
      <x:c r="S17" s="167" t="n">
        <x:f aca="0">SUMIFS(S17_Biome_Strata!$AY$4:$AY$95,S17_Biome_Strata!$A$4:$A$95,"Deserts &amp; Xeric Shrublands",S17_Biome_Strata!$B$4:$B$95,$A17,S17_Biome_Strata!$D$4:$D$95,$B17)</x:f>
        <x:v>137.77967506915525</x:v>
      </x:c>
      <x:c r="T17" s="167" t="n">
        <x:f aca="0">SUMIFS(S17_Biome_Strata!$AZ$4:$AZ$95,S17_Biome_Strata!$A$4:$A$95,"Deserts &amp; Xeric Shrublands",S17_Biome_Strata!$B$4:$B$95,$A17,S17_Biome_Strata!$D$4:$D$95,$B17)</x:f>
        <x:v>154.36539643460677</x:v>
      </x:c>
      <x:c r="U17" s="167" t="n">
        <x:f aca="0">SUMIFS(S17_Biome_Strata!$BA$4:$BA$95,S17_Biome_Strata!$A$4:$A$95,"Deserts &amp; Xeric Shrublands",S17_Biome_Strata!$B$4:$B$95,$A17,S17_Biome_Strata!$D$4:$D$95,$B17)</x:f>
        <x:v>169.93378118322798</x:v>
      </x:c>
      <x:c r="V17" s="167" t="n">
        <x:f aca="0">SUMIFS(S17_Biome_Strata!$BB$4:$BB$95,S17_Biome_Strata!$A$4:$A$95,"Deserts &amp; Xeric Shrublands",S17_Biome_Strata!$B$4:$B$95,$A17,S17_Biome_Strata!$D$4:$D$95,$B17)</x:f>
        <x:v>184.38117427411586</x:v>
      </x:c>
      <x:c r="W17" s="167" t="n">
        <x:f aca="0">SUMIFS(S17_Biome_Strata!$BC$4:$BC$95,S17_Biome_Strata!$A$4:$A$95,"Deserts &amp; Xeric Shrublands",S17_Biome_Strata!$B$4:$B$95,$A17,S17_Biome_Strata!$D$4:$D$95,$B17)</x:f>
        <x:v>197.66317467108556</x:v>
      </x:c>
      <x:c r="X17" s="167" t="n">
        <x:f aca="0">SUMIFS(S17_Biome_Strata!$BD$4:$BD$95,S17_Biome_Strata!$A$4:$A$95,"Deserts &amp; Xeric Shrublands",S17_Biome_Strata!$B$4:$B$95,$A17,S17_Biome_Strata!$D$4:$D$95,$B17)</x:f>
        <x:v>209.77966579604904</x:v>
      </x:c>
      <x:c r="Y17" s="167" t="n">
        <x:f aca="0">SUMIFS(S17_Biome_Strata!$BE$4:$BE$95,S17_Biome_Strata!$A$4:$A$95,"Deserts &amp; Xeric Shrublands",S17_Biome_Strata!$B$4:$B$95,$A17,S17_Biome_Strata!$D$4:$D$95,$B17)</x:f>
        <x:v>220.7622276018497</x:v>
      </x:c>
      <x:c r="Z17" s="167" t="n">
        <x:f aca="0">SUMIFS(S17_Biome_Strata!$BF$4:$BF$95,S17_Biome_Strata!$A$4:$A$95,"Deserts &amp; Xeric Shrublands",S17_Biome_Strata!$B$4:$B$95,$A17,S17_Biome_Strata!$D$4:$D$95,$B17)</x:f>
        <x:v>230.66396616032313</x:v>
      </x:c>
      <x:c r="AA17" s="167" t="n">
        <x:f aca="0">F17*(1-$D17)</x:f>
        <x:v>0</x:v>
      </x:c>
      <x:c r="AB17" s="167" t="n">
        <x:f aca="0">G17*(1-$D17)</x:f>
        <x:v>0</x:v>
      </x:c>
      <x:c r="AC17" s="167" t="n">
        <x:f aca="0">H17*(1-$D17)</x:f>
        <x:v>0.1011524853518357</x:v>
      </x:c>
      <x:c r="AD17" s="167" t="n">
        <x:f aca="0">I17*(1-$D17)</x:f>
        <x:v>1.2066965129903011</x:v>
      </x:c>
      <x:c r="AE17" s="167" t="n">
        <x:f aca="0">J17*(1-$D17)</x:f>
        <x:v>4.607060811724903</x:v>
      </x:c>
      <x:c r="AF17" s="167" t="n">
        <x:f aca="0">K17*(1-$D17)</x:f>
        <x:v>11.148450614672756</x:v>
      </x:c>
      <x:c r="AG17" s="167" t="n">
        <x:f aca="0">L17*(1-$D17)</x:f>
        <x:v>20.972183788614732</x:v>
      </x:c>
      <x:c r="AH17" s="167" t="n">
        <x:f aca="0">M17*(1-$D17)</x:f>
        <x:v>33.738308277849406</x:v>
      </x:c>
      <x:c r="AI17" s="167" t="n">
        <x:f aca="0">N17*(1-$D17)</x:f>
        <x:v>48.83209360562571</x:v>
      </x:c>
      <x:c r="AJ17" s="167" t="n">
        <x:f aca="0">O17*(1-$D17)</x:f>
        <x:v>65.54134981987514</x:v>
      </x:c>
      <x:c r="AK17" s="167" t="n">
        <x:f aca="0">P17*(1-$D17)</x:f>
        <x:v>83.17360934058611</x:v>
      </x:c>
      <x:c r="AL17" s="167" t="n">
        <x:f aca="0">Q17*(1-$D17)</x:f>
        <x:v>101.12128547404487</x:v>
      </x:c>
      <x:c r="AM17" s="167" t="n">
        <x:f aca="0">R17*(1-$D17)</x:f>
        <x:v>118.88953723107169</x:v>
      </x:c>
      <x:c r="AN17" s="167" t="n">
        <x:f aca="0">S17*(1-$D17)</x:f>
        <x:v>136.10047552226825</x:v>
      </x:c>
      <x:c r="AO17" s="167" t="n">
        <x:f aca="0">T17*(1-$D17)</x:f>
        <x:v>152.48405723404676</x:v>
      </x:c>
      <x:c r="AP17" s="167" t="n">
        <x:f aca="0">U17*(1-$D17)</x:f>
        <x:v>167.86270119105612</x:v>
      </x:c>
      <x:c r="AQ17" s="167" t="n">
        <x:f aca="0">V17*(1-$D17)</x:f>
        <x:v>182.13401565554472</x:v>
      </x:c>
      <x:c r="AR17" s="167" t="n">
        <x:f aca="0">W17*(1-$D17)</x:f>
        <x:v>195.2541407321005</x:v>
      </x:c>
      <x:c r="AS17" s="167" t="n">
        <x:f aca="0">X17*(1-$D17)</x:f>
        <x:v>207.22296126343915</x:v>
      </x:c>
      <x:c r="AT17" s="167" t="n">
        <x:f aca="0">Y17*(1-$D17)</x:f>
        <x:v>218.07167231949242</x:v>
      </x:c>
      <x:c r="AU17" s="167" t="n">
        <x:f aca="0">Z17*(1-$D17)</x:f>
        <x:v>227.85273273808465</x:v>
      </x:c>
      <x:c r="AV17" s="37" t="str">
        <x:v>Formula-derived: S17_Biome_Strata row gross stock = eligible area × S15_Source_Strata stock/ha; S15_Source_Strata stock = cohort-aligned Chapman-Richards D/H → Chave AGB → conservative calibration → CF × (1+R) × 44/12. PB applied separately by Biome × Cohort.</x:v>
      </x:c>
    </x:row>
    <x:row r="18" ht="15" hidden="0" customHeight="1">
      <x:c r="A18" s="37" t="s">
        <x:v>114</x:v>
      </x:c>
      <x:c r="B18" s="37" t="n">
        <x:v>2022</x:v>
      </x:c>
      <x:c r="C18" s="167" t="n">
        <x:f aca="0">SUMIFS(S17_Biome_Strata!$F$4:$F$95,S17_Biome_Strata!$A$4:$A$95,"Deserts &amp; Xeric Shrublands",S17_Biome_Strata!$B$4:$B$95,$A18,S17_Biome_Strata!$D$4:$D$95,$B18)</x:f>
        <x:v>0.869</x:v>
      </x:c>
      <x:c r="D18" s="167" t="n">
        <x:f aca="0">S09_PB_Input!H6</x:f>
        <x:v>0.012187570815827156</x:v>
      </x:c>
      <x:c r="E18" s="168" t="str">
        <x:f aca="0">S09_PB_Input!I6</x:f>
        <x:v>VM0047 v1.1 Appendix 1: Z-test significant; PB_t = ΔSI_control / ΔSI_wp (Eq. A8). Source: 20260814_304027_GKF_ProjectPlots_PB.xlsx.</x:v>
      </x:c>
      <x:c r="F18" s="167" t="n">
        <x:f aca="0">SUMIFS(S17_Biome_Strata!$AL$4:$AL$95,S17_Biome_Strata!$A$4:$A$95,"Deserts &amp; Xeric Shrublands",S17_Biome_Strata!$B$4:$B$95,$A18,S17_Biome_Strata!$D$4:$D$95,$B18)</x:f>
        <x:v>0</x:v>
      </x:c>
      <x:c r="G18" s="167" t="n">
        <x:f aca="0">SUMIFS(S17_Biome_Strata!$AM$4:$AM$95,S17_Biome_Strata!$A$4:$A$95,"Deserts &amp; Xeric Shrublands",S17_Biome_Strata!$B$4:$B$95,$A18,S17_Biome_Strata!$D$4:$D$95,$B18)</x:f>
        <x:v>0</x:v>
      </x:c>
      <x:c r="H18" s="167" t="n">
        <x:f aca="0">SUMIFS(S17_Biome_Strata!$AN$4:$AN$95,S17_Biome_Strata!$A$4:$A$95,"Deserts &amp; Xeric Shrublands",S17_Biome_Strata!$B$4:$B$95,$A18,S17_Biome_Strata!$D$4:$D$95,$B18)</x:f>
        <x:v>0</x:v>
      </x:c>
      <x:c r="I18" s="167" t="n">
        <x:f aca="0">SUMIFS(S17_Biome_Strata!$AO$4:$AO$95,S17_Biome_Strata!$A$4:$A$95,"Deserts &amp; Xeric Shrublands",S17_Biome_Strata!$B$4:$B$95,$A18,S17_Biome_Strata!$D$4:$D$95,$B18)</x:f>
        <x:v>3.537936621298519</x:v>
      </x:c>
      <x:c r="J18" s="167" t="n">
        <x:f aca="0">SUMIFS(S17_Biome_Strata!$AP$4:$AP$95,S17_Biome_Strata!$A$4:$A$95,"Deserts &amp; Xeric Shrublands",S17_Biome_Strata!$B$4:$B$95,$A18,S17_Biome_Strata!$D$4:$D$95,$B18)</x:f>
        <x:v>36.52795758311678</x:v>
      </x:c>
      <x:c r="K18" s="167" t="n">
        <x:f aca="0">SUMIFS(S17_Biome_Strata!$AQ$4:$AQ$95,S17_Biome_Strata!$A$4:$A$95,"Deserts &amp; Xeric Shrublands",S17_Biome_Strata!$B$4:$B$95,$A18,S17_Biome_Strata!$D$4:$D$95,$B18)</x:f>
        <x:v>128.71497416597177</x:v>
      </x:c>
      <x:c r="L18" s="167" t="n">
        <x:f aca="0">SUMIFS(S17_Biome_Strata!$AR$4:$AR$95,S17_Biome_Strata!$A$4:$A$95,"Deserts &amp; Xeric Shrublands",S17_Biome_Strata!$B$4:$B$95,$A18,S17_Biome_Strata!$D$4:$D$95,$B18)</x:f>
        <x:v>294.9338774676635</x:v>
      </x:c>
      <x:c r="M18" s="167" t="n">
        <x:f aca="0">SUMIFS(S17_Biome_Strata!$AS$4:$AS$95,S17_Biome_Strata!$A$4:$A$95,"Deserts &amp; Xeric Shrublands",S17_Biome_Strata!$B$4:$B$95,$A18,S17_Biome_Strata!$D$4:$D$95,$B18)</x:f>
        <x:v>532.648423127986</x:v>
      </x:c>
      <x:c r="N18" s="167" t="n">
        <x:f aca="0">SUMIFS(S17_Biome_Strata!$AT$4:$AT$95,S17_Biome_Strata!$A$4:$A$95,"Deserts &amp; Xeric Shrublands",S17_Biome_Strata!$B$4:$B$95,$A18,S17_Biome_Strata!$D$4:$D$95,$B18)</x:f>
        <x:v>829.73195959503</x:v>
      </x:c>
      <x:c r="O18" s="167" t="n">
        <x:f aca="0">SUMIFS(S17_Biome_Strata!$AU$4:$AU$95,S17_Biome_Strata!$A$4:$A$95,"Deserts &amp; Xeric Shrublands",S17_Biome_Strata!$B$4:$B$95,$A18,S17_Biome_Strata!$D$4:$D$95,$B18)</x:f>
        <x:v>1169.7327116201511</x:v>
      </x:c>
      <x:c r="P18" s="167" t="n">
        <x:f aca="0">SUMIFS(S17_Biome_Strata!$AV$4:$AV$95,S17_Biome_Strata!$A$4:$A$95,"Deserts &amp; Xeric Shrublands",S17_Biome_Strata!$B$4:$B$95,$A18,S17_Biome_Strata!$D$4:$D$95,$B18)</x:f>
        <x:v>1535.7406561792247</x:v>
      </x:c>
      <x:c r="Q18" s="167" t="n">
        <x:f aca="0">SUMIFS(S17_Biome_Strata!$AW$4:$AW$95,S17_Biome_Strata!$A$4:$A$95,"Deserts &amp; Xeric Shrublands",S17_Biome_Strata!$B$4:$B$95,$A18,S17_Biome_Strata!$D$4:$D$95,$B18)</x:f>
        <x:v>1912.5872881791975</x:v>
      </x:c>
      <x:c r="R18" s="167" t="n">
        <x:f aca="0">SUMIFS(S17_Biome_Strata!$AX$4:$AX$95,S17_Biome_Strata!$A$4:$A$95,"Deserts &amp; Xeric Shrublands",S17_Biome_Strata!$B$4:$B$95,$A18,S17_Biome_Strata!$D$4:$D$95,$B18)</x:f>
        <x:v>2287.8340919413895</x:v>
      </x:c>
      <x:c r="S18" s="167" t="n">
        <x:f aca="0">SUMIFS(S17_Biome_Strata!$AY$4:$AY$95,S17_Biome_Strata!$A$4:$A$95,"Deserts &amp; Xeric Shrublands",S17_Biome_Strata!$B$4:$B$95,$A18,S17_Biome_Strata!$D$4:$D$95,$B18)</x:f>
        <x:v>2651.997355074966</x:v>
      </x:c>
      <x:c r="T18" s="167" t="n">
        <x:f aca="0">SUMIFS(S17_Biome_Strata!$AZ$4:$AZ$95,S17_Biome_Strata!$A$4:$A$95,"Deserts &amp; Xeric Shrublands",S17_Biome_Strata!$B$4:$B$95,$A18,S17_Biome_Strata!$D$4:$D$95,$B18)</x:f>
        <x:v>2998.348585656396</x:v>
      </x:c>
      <x:c r="U18" s="167" t="n">
        <x:f aca="0">SUMIFS(S17_Biome_Strata!$BA$4:$BA$95,S17_Biome_Strata!$A$4:$A$95,"Deserts &amp; Xeric Shrublands",S17_Biome_Strata!$B$4:$B$95,$A18,S17_Biome_Strata!$D$4:$D$95,$B18)</x:f>
        <x:v>3322.517140618474</x:v>
      </x:c>
      <x:c r="V18" s="167" t="n">
        <x:f aca="0">SUMIFS(S17_Biome_Strata!$BB$4:$BB$95,S17_Biome_Strata!$A$4:$A$95,"Deserts &amp; Xeric Shrublands",S17_Biome_Strata!$B$4:$B$95,$A18,S17_Biome_Strata!$D$4:$D$95,$B18)</x:f>
        <x:v>3622.0329908000867</x:v>
      </x:c>
      <x:c r="W18" s="167" t="n">
        <x:f aca="0">SUMIFS(S17_Biome_Strata!$BC$4:$BC$95,S17_Biome_Strata!$A$4:$A$95,"Deserts &amp; Xeric Shrublands",S17_Biome_Strata!$B$4:$B$95,$A18,S17_Biome_Strata!$D$4:$D$95,$B18)</x:f>
        <x:v>3895.88587905285</x:v>
      </x:c>
      <x:c r="X18" s="167" t="n">
        <x:f aca="0">SUMIFS(S17_Biome_Strata!$BD$4:$BD$95,S17_Biome_Strata!$A$4:$A$95,"Deserts &amp; Xeric Shrublands",S17_Biome_Strata!$B$4:$B$95,$A18,S17_Biome_Strata!$D$4:$D$95,$B18)</x:f>
        <x:v>4144.137565766429</x:v>
      </x:c>
      <x:c r="Y18" s="167" t="n">
        <x:f aca="0">SUMIFS(S17_Biome_Strata!$BE$4:$BE$95,S17_Biome_Strata!$A$4:$A$95,"Deserts &amp; Xeric Shrublands",S17_Biome_Strata!$B$4:$B$95,$A18,S17_Biome_Strata!$D$4:$D$95,$B18)</x:f>
        <x:v>4367.600178787842</x:v>
      </x:c>
      <x:c r="Z18" s="167" t="n">
        <x:f aca="0">SUMIFS(S17_Biome_Strata!$BF$4:$BF$95,S17_Biome_Strata!$A$4:$A$95,"Deserts &amp; Xeric Shrublands",S17_Biome_Strata!$B$4:$B$95,$A18,S17_Biome_Strata!$D$4:$D$95,$B18)</x:f>
        <x:v>4567.580573713871</x:v>
      </x:c>
      <x:c r="AA18" s="167" t="n">
        <x:f aca="0">F18*(1-$D18)</x:f>
        <x:v>0</x:v>
      </x:c>
      <x:c r="AB18" s="167" t="n">
        <x:f aca="0">G18*(1-$D18)</x:f>
        <x:v>0</x:v>
      </x:c>
      <x:c r="AC18" s="167" t="n">
        <x:f aca="0">H18*(1-$D18)</x:f>
        <x:v>0</x:v>
      </x:c>
      <x:c r="AD18" s="167" t="n">
        <x:f aca="0">I18*(1-$D18)</x:f>
        <x:v>3.4948177681845354</x:v>
      </x:c>
      <x:c r="AE18" s="167" t="n">
        <x:f aca="0">J18*(1-$D18)</x:f>
        <x:v>36.08277051331502</x:v>
      </x:c>
      <x:c r="AF18" s="167" t="n">
        <x:f aca="0">K18*(1-$D18)</x:f>
        <x:v>127.14625130326662</x:v>
      </x:c>
      <x:c r="AG18" s="167" t="n">
        <x:f aca="0">L18*(1-$D18)</x:f>
        <x:v>291.33934995003983</x:v>
      </x:c>
      <x:c r="AH18" s="167" t="n">
        <x:f aca="0">M18*(1-$D18)</x:f>
        <x:v>526.156732751175</x:v>
      </x:c>
      <x:c r="AI18" s="167" t="n">
        <x:f aca="0">N18*(1-$D18)</x:f>
        <x:v>819.6195425793106</x:v>
      </x:c>
      <x:c r="AJ18" s="167" t="n">
        <x:f aca="0">O18*(1-$D18)</x:f>
        <x:v>1155.476511361691</x:v>
      </x:c>
      <x:c r="AK18" s="167" t="n">
        <x:f aca="0">P18*(1-$D18)</x:f>
        <x:v>1517.0237081772957</x:v>
      </x:c>
      <x:c r="AL18" s="167" t="n">
        <x:f aca="0">Q18*(1-$D18)</x:f>
        <x:v>1889.2774951630627</x:v>
      </x:c>
      <x:c r="AM18" s="167" t="n">
        <x:f aca="0">R18*(1-$D18)</x:f>
        <x:v>2259.9509519309904</x:v>
      </x:c>
      <x:c r="AN18" s="167" t="n">
        <x:f aca="0">S18*(1-$D18)</x:f>
        <x:v>2619.6759495066035</x:v>
      </x:c>
      <x:c r="AO18" s="167" t="n">
        <x:f aca="0">T18*(1-$D18)</x:f>
        <x:v>2961.805999938174</x:v>
      </x:c>
      <x:c r="AP18" s="167" t="n">
        <x:f aca="0">U18*(1-$D18)</x:f>
        <x:v>3282.023727680387</x:v>
      </x:c>
      <x:c r="AQ18" s="167" t="n">
        <x:f aca="0">V18*(1-$D18)</x:f>
        <x:v>3577.8892072274484</x:v>
      </x:c>
      <x:c r="AR18" s="167" t="n">
        <x:f aca="0">W18*(1-$D18)</x:f>
        <x:v>3848.4044940115127</x:v>
      </x:c>
      <x:c r="AS18" s="167" t="n">
        <x:f aca="0">X18*(1-$D18)</x:f>
        <x:v>4093.6305957131217</x:v>
      </x:c>
      <x:c r="AT18" s="167" t="n">
        <x:f aca="0">Y18*(1-$D18)</x:f>
        <x:v>4314.369742313646</x:v>
      </x:c>
      <x:c r="AU18" s="167" t="n">
        <x:f aca="0">Z18*(1-$D18)</x:f>
        <x:v>4511.912862014737</x:v>
      </x:c>
      <x:c r="AV18" s="37" t="str">
        <x:v>Formula-derived: S17_Biome_Strata row gross stock = eligible area × S15_Source_Strata stock/ha; S15_Source_Strata stock = cohort-aligned Chapman-Richards D/H → Chave AGB → conservative calibration → CF × (1+R) × 44/12. PB applied separately by Biome × Cohort.</x:v>
      </x:c>
    </x:row>
    <x:row r="19" ht="15" hidden="0" customHeight="1">
      <x:c r="A19" s="37" t="s">
        <x:v>114</x:v>
      </x:c>
      <x:c r="B19" s="37" t="n">
        <x:v>2023</x:v>
      </x:c>
      <x:c r="C19" s="167" t="n">
        <x:f aca="0">SUMIFS(S17_Biome_Strata!$F$4:$F$95,S17_Biome_Strata!$A$4:$A$95,"Deserts &amp; Xeric Shrublands",S17_Biome_Strata!$B$4:$B$95,$A19,S17_Biome_Strata!$D$4:$D$95,$B19)</x:f>
        <x:v>0</x:v>
      </x:c>
      <x:c r="D19" s="167" t="n">
        <x:f aca="0">S09_PB_Input!H7</x:f>
        <x:v>0.012187570815827156</x:v>
      </x:c>
      <x:c r="E19" s="168" t="str">
        <x:f aca="0">S09_PB_Input!I7</x:f>
        <x:v>VM0047 v1.1 Appendix 1: Z-test significant; PB_t = ΔSI_control / ΔSI_wp (Eq. A8). Source: 20260814_304027_GKF_ProjectPlots_PB.xlsx.</x:v>
      </x:c>
      <x:c r="F19" s="167" t="n">
        <x:f aca="0">SUMIFS(S17_Biome_Strata!$AL$4:$AL$95,S17_Biome_Strata!$A$4:$A$95,"Deserts &amp; Xeric Shrublands",S17_Biome_Strata!$B$4:$B$95,$A19,S17_Biome_Strata!$D$4:$D$95,$B19)</x:f>
        <x:v>0</x:v>
      </x:c>
      <x:c r="G19" s="167" t="n">
        <x:f aca="0">SUMIFS(S17_Biome_Strata!$AM$4:$AM$95,S17_Biome_Strata!$A$4:$A$95,"Deserts &amp; Xeric Shrublands",S17_Biome_Strata!$B$4:$B$95,$A19,S17_Biome_Strata!$D$4:$D$95,$B19)</x:f>
        <x:v>0</x:v>
      </x:c>
      <x:c r="H19" s="167" t="n">
        <x:f aca="0">SUMIFS(S17_Biome_Strata!$AN$4:$AN$95,S17_Biome_Strata!$A$4:$A$95,"Deserts &amp; Xeric Shrublands",S17_Biome_Strata!$B$4:$B$95,$A19,S17_Biome_Strata!$D$4:$D$95,$B19)</x:f>
        <x:v>0</x:v>
      </x:c>
      <x:c r="I19" s="167" t="n">
        <x:f aca="0">SUMIFS(S17_Biome_Strata!$AO$4:$AO$95,S17_Biome_Strata!$A$4:$A$95,"Deserts &amp; Xeric Shrublands",S17_Biome_Strata!$B$4:$B$95,$A19,S17_Biome_Strata!$D$4:$D$95,$B19)</x:f>
        <x:v>0</x:v>
      </x:c>
      <x:c r="J19" s="167" t="n">
        <x:f aca="0">SUMIFS(S17_Biome_Strata!$AP$4:$AP$95,S17_Biome_Strata!$A$4:$A$95,"Deserts &amp; Xeric Shrublands",S17_Biome_Strata!$B$4:$B$95,$A19,S17_Biome_Strata!$D$4:$D$95,$B19)</x:f>
        <x:v>0</x:v>
      </x:c>
      <x:c r="K19" s="167" t="n">
        <x:f aca="0">SUMIFS(S17_Biome_Strata!$AQ$4:$AQ$95,S17_Biome_Strata!$A$4:$A$95,"Deserts &amp; Xeric Shrublands",S17_Biome_Strata!$B$4:$B$95,$A19,S17_Biome_Strata!$D$4:$D$95,$B19)</x:f>
        <x:v>0</x:v>
      </x:c>
      <x:c r="L19" s="167" t="n">
        <x:f aca="0">SUMIFS(S17_Biome_Strata!$AR$4:$AR$95,S17_Biome_Strata!$A$4:$A$95,"Deserts &amp; Xeric Shrublands",S17_Biome_Strata!$B$4:$B$95,$A19,S17_Biome_Strata!$D$4:$D$95,$B19)</x:f>
        <x:v>0</x:v>
      </x:c>
      <x:c r="M19" s="167" t="n">
        <x:f aca="0">SUMIFS(S17_Biome_Strata!$AS$4:$AS$95,S17_Biome_Strata!$A$4:$A$95,"Deserts &amp; Xeric Shrublands",S17_Biome_Strata!$B$4:$B$95,$A19,S17_Biome_Strata!$D$4:$D$95,$B19)</x:f>
        <x:v>0</x:v>
      </x:c>
      <x:c r="N19" s="167" t="n">
        <x:f aca="0">SUMIFS(S17_Biome_Strata!$AT$4:$AT$95,S17_Biome_Strata!$A$4:$A$95,"Deserts &amp; Xeric Shrublands",S17_Biome_Strata!$B$4:$B$95,$A19,S17_Biome_Strata!$D$4:$D$95,$B19)</x:f>
        <x:v>0</x:v>
      </x:c>
      <x:c r="O19" s="167" t="n">
        <x:f aca="0">SUMIFS(S17_Biome_Strata!$AU$4:$AU$95,S17_Biome_Strata!$A$4:$A$95,"Deserts &amp; Xeric Shrublands",S17_Biome_Strata!$B$4:$B$95,$A19,S17_Biome_Strata!$D$4:$D$95,$B19)</x:f>
        <x:v>0</x:v>
      </x:c>
      <x:c r="P19" s="167" t="n">
        <x:f aca="0">SUMIFS(S17_Biome_Strata!$AV$4:$AV$95,S17_Biome_Strata!$A$4:$A$95,"Deserts &amp; Xeric Shrublands",S17_Biome_Strata!$B$4:$B$95,$A19,S17_Biome_Strata!$D$4:$D$95,$B19)</x:f>
        <x:v>0</x:v>
      </x:c>
      <x:c r="Q19" s="167" t="n">
        <x:f aca="0">SUMIFS(S17_Biome_Strata!$AW$4:$AW$95,S17_Biome_Strata!$A$4:$A$95,"Deserts &amp; Xeric Shrublands",S17_Biome_Strata!$B$4:$B$95,$A19,S17_Biome_Strata!$D$4:$D$95,$B19)</x:f>
        <x:v>0</x:v>
      </x:c>
      <x:c r="R19" s="167" t="n">
        <x:f aca="0">SUMIFS(S17_Biome_Strata!$AX$4:$AX$95,S17_Biome_Strata!$A$4:$A$95,"Deserts &amp; Xeric Shrublands",S17_Biome_Strata!$B$4:$B$95,$A19,S17_Biome_Strata!$D$4:$D$95,$B19)</x:f>
        <x:v>0</x:v>
      </x:c>
      <x:c r="S19" s="167" t="n">
        <x:f aca="0">SUMIFS(S17_Biome_Strata!$AY$4:$AY$95,S17_Biome_Strata!$A$4:$A$95,"Deserts &amp; Xeric Shrublands",S17_Biome_Strata!$B$4:$B$95,$A19,S17_Biome_Strata!$D$4:$D$95,$B19)</x:f>
        <x:v>0</x:v>
      </x:c>
      <x:c r="T19" s="167" t="n">
        <x:f aca="0">SUMIFS(S17_Biome_Strata!$AZ$4:$AZ$95,S17_Biome_Strata!$A$4:$A$95,"Deserts &amp; Xeric Shrublands",S17_Biome_Strata!$B$4:$B$95,$A19,S17_Biome_Strata!$D$4:$D$95,$B19)</x:f>
        <x:v>0</x:v>
      </x:c>
      <x:c r="U19" s="167" t="n">
        <x:f aca="0">SUMIFS(S17_Biome_Strata!$BA$4:$BA$95,S17_Biome_Strata!$A$4:$A$95,"Deserts &amp; Xeric Shrublands",S17_Biome_Strata!$B$4:$B$95,$A19,S17_Biome_Strata!$D$4:$D$95,$B19)</x:f>
        <x:v>0</x:v>
      </x:c>
      <x:c r="V19" s="167" t="n">
        <x:f aca="0">SUMIFS(S17_Biome_Strata!$BB$4:$BB$95,S17_Biome_Strata!$A$4:$A$95,"Deserts &amp; Xeric Shrublands",S17_Biome_Strata!$B$4:$B$95,$A19,S17_Biome_Strata!$D$4:$D$95,$B19)</x:f>
        <x:v>0</x:v>
      </x:c>
      <x:c r="W19" s="167" t="n">
        <x:f aca="0">SUMIFS(S17_Biome_Strata!$BC$4:$BC$95,S17_Biome_Strata!$A$4:$A$95,"Deserts &amp; Xeric Shrublands",S17_Biome_Strata!$B$4:$B$95,$A19,S17_Biome_Strata!$D$4:$D$95,$B19)</x:f>
        <x:v>0</x:v>
      </x:c>
      <x:c r="X19" s="167" t="n">
        <x:f aca="0">SUMIFS(S17_Biome_Strata!$BD$4:$BD$95,S17_Biome_Strata!$A$4:$A$95,"Deserts &amp; Xeric Shrublands",S17_Biome_Strata!$B$4:$B$95,$A19,S17_Biome_Strata!$D$4:$D$95,$B19)</x:f>
        <x:v>0</x:v>
      </x:c>
      <x:c r="Y19" s="167" t="n">
        <x:f aca="0">SUMIFS(S17_Biome_Strata!$BE$4:$BE$95,S17_Biome_Strata!$A$4:$A$95,"Deserts &amp; Xeric Shrublands",S17_Biome_Strata!$B$4:$B$95,$A19,S17_Biome_Strata!$D$4:$D$95,$B19)</x:f>
        <x:v>0</x:v>
      </x:c>
      <x:c r="Z19" s="167" t="n">
        <x:f aca="0">SUMIFS(S17_Biome_Strata!$BF$4:$BF$95,S17_Biome_Strata!$A$4:$A$95,"Deserts &amp; Xeric Shrublands",S17_Biome_Strata!$B$4:$B$95,$A19,S17_Biome_Strata!$D$4:$D$95,$B19)</x:f>
        <x:v>0</x:v>
      </x:c>
      <x:c r="AA19" s="167" t="n">
        <x:f aca="0">F19*(1-$D19)</x:f>
        <x:v>0</x:v>
      </x:c>
      <x:c r="AB19" s="167" t="n">
        <x:f aca="0">G19*(1-$D19)</x:f>
        <x:v>0</x:v>
      </x:c>
      <x:c r="AC19" s="167" t="n">
        <x:f aca="0">H19*(1-$D19)</x:f>
        <x:v>0</x:v>
      </x:c>
      <x:c r="AD19" s="167" t="n">
        <x:f aca="0">I19*(1-$D19)</x:f>
        <x:v>0</x:v>
      </x:c>
      <x:c r="AE19" s="167" t="n">
        <x:f aca="0">J19*(1-$D19)</x:f>
        <x:v>0</x:v>
      </x:c>
      <x:c r="AF19" s="167" t="n">
        <x:f aca="0">K19*(1-$D19)</x:f>
        <x:v>0</x:v>
      </x:c>
      <x:c r="AG19" s="167" t="n">
        <x:f aca="0">L19*(1-$D19)</x:f>
        <x:v>0</x:v>
      </x:c>
      <x:c r="AH19" s="167" t="n">
        <x:f aca="0">M19*(1-$D19)</x:f>
        <x:v>0</x:v>
      </x:c>
      <x:c r="AI19" s="167" t="n">
        <x:f aca="0">N19*(1-$D19)</x:f>
        <x:v>0</x:v>
      </x:c>
      <x:c r="AJ19" s="167" t="n">
        <x:f aca="0">O19*(1-$D19)</x:f>
        <x:v>0</x:v>
      </x:c>
      <x:c r="AK19" s="167" t="n">
        <x:f aca="0">P19*(1-$D19)</x:f>
        <x:v>0</x:v>
      </x:c>
      <x:c r="AL19" s="167" t="n">
        <x:f aca="0">Q19*(1-$D19)</x:f>
        <x:v>0</x:v>
      </x:c>
      <x:c r="AM19" s="167" t="n">
        <x:f aca="0">R19*(1-$D19)</x:f>
        <x:v>0</x:v>
      </x:c>
      <x:c r="AN19" s="167" t="n">
        <x:f aca="0">S19*(1-$D19)</x:f>
        <x:v>0</x:v>
      </x:c>
      <x:c r="AO19" s="167" t="n">
        <x:f aca="0">T19*(1-$D19)</x:f>
        <x:v>0</x:v>
      </x:c>
      <x:c r="AP19" s="167" t="n">
        <x:f aca="0">U19*(1-$D19)</x:f>
        <x:v>0</x:v>
      </x:c>
      <x:c r="AQ19" s="167" t="n">
        <x:f aca="0">V19*(1-$D19)</x:f>
        <x:v>0</x:v>
      </x:c>
      <x:c r="AR19" s="167" t="n">
        <x:f aca="0">W19*(1-$D19)</x:f>
        <x:v>0</x:v>
      </x:c>
      <x:c r="AS19" s="167" t="n">
        <x:f aca="0">X19*(1-$D19)</x:f>
        <x:v>0</x:v>
      </x:c>
      <x:c r="AT19" s="167" t="n">
        <x:f aca="0">Y19*(1-$D19)</x:f>
        <x:v>0</x:v>
      </x:c>
      <x:c r="AU19" s="167" t="n">
        <x:f aca="0">Z19*(1-$D19)</x:f>
        <x:v>0</x:v>
      </x:c>
      <x:c r="AV19" s="37" t="str">
        <x:v>Formula-derived: S17_Biome_Strata row gross stock = eligible area × S15_Source_Strata stock/ha; S15_Source_Strata stock = cohort-aligned Chapman-Richards D/H → Chave AGB → conservative calibration → CF × (1+R) × 44/12. PB applied separately by Biome × Cohort.</x:v>
      </x:c>
    </x:row>
    <x:row r="20" ht="15" hidden="0" customHeight="1">
      <x:c r="A20" s="1"/>
      <x:c r="B20" s="1"/>
      <x:c r="C20" s="1"/>
      <x:c r="D20" s="1"/>
      <x:c r="E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row>
    <x:row r="21" ht="15.75" hidden="0" customHeight="1">
      <x:c r="A21" s="169" t="str">
        <x:v>Deserts &amp; Xeric Shrublands Biome - Aligned View: All 4 Models Side by Side, Rows by Cohort</x:v>
      </x:c>
      <x:c r="B21" s="169"/>
      <x:c r="C21" s="169"/>
      <x:c r="D21" s="169"/>
      <x:c r="E21" s="169"/>
      <x:c r="F21" s="169"/>
      <x:c r="G21" s="169"/>
      <x:c r="H21" s="169"/>
      <x:c r="I21" s="169"/>
      <x:c r="J21" s="169"/>
      <x:c r="K21" s="169"/>
      <x:c r="L21" s="169"/>
      <x:c r="M21" s="169"/>
      <x:c r="N21" s="169"/>
      <x:c r="O21" s="169"/>
      <x:c r="P21" s="169"/>
      <x:c r="Q21" s="169"/>
      <x:c r="R21" s="169"/>
      <x:c r="S21" s="169"/>
      <x:c r="T21" s="169"/>
      <x:c r="U21" s="169"/>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row>
    <x:row r="22" ht="15" hidden="0" customHeight="1">
      <x:c r="A22" s="170" t="s">
        <x:v>1232</x:v>
      </x:c>
      <x:c r="B22" s="170"/>
      <x:c r="C22" s="170"/>
      <x:c r="D22" s="170"/>
      <x:c r="E22" s="170"/>
      <x:c r="F22" s="170"/>
      <x:c r="G22" s="170"/>
      <x:c r="H22" s="170"/>
      <x:c r="I22" s="170"/>
      <x:c r="J22" s="170"/>
      <x:c r="K22" s="170"/>
      <x:c r="L22" s="170"/>
      <x:c r="M22" s="170"/>
      <x:c r="N22" s="170"/>
      <x:c r="O22" s="170"/>
      <x:c r="P22" s="170"/>
      <x:c r="Q22" s="170"/>
      <x:c r="R22" s="170"/>
      <x:c r="S22" s="170"/>
      <x:c r="T22" s="170"/>
      <x:c r="U22" s="170"/>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row>
    <x:row r="23" ht="15" hidden="0" customHeight="1">
      <x:c r="A23" s="1"/>
      <x:c r="B23" s="1"/>
      <x:c r="C23" s="1"/>
      <x:c r="D23" s="1"/>
      <x:c r="E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row>
    <x:row r="24" ht="15" hidden="0" customHeight="1">
      <x:c r="A24" s="171" t="s">
        <x:v>529</x:v>
      </x:c>
      <x:c r="B24" s="172" t="s">
        <x:v>111</x:v>
      </x:c>
      <x:c r="C24" s="172"/>
      <x:c r="D24" s="172"/>
      <x:c r="E24" s="172"/>
      <x:c r="F24" s="172"/>
      <x:c r="G24" s="173" t="s">
        <x:v>112</x:v>
      </x:c>
      <x:c r="H24" s="173"/>
      <x:c r="I24" s="173"/>
      <x:c r="J24" s="173"/>
      <x:c r="K24" s="173"/>
      <x:c r="L24" s="174" t="s">
        <x:v>113</x:v>
      </x:c>
      <x:c r="M24" s="174"/>
      <x:c r="N24" s="174"/>
      <x:c r="O24" s="174"/>
      <x:c r="P24" s="174"/>
      <x:c r="Q24" s="175" t="s">
        <x:v>114</x:v>
      </x:c>
      <x:c r="R24" s="175"/>
      <x:c r="S24" s="175"/>
      <x:c r="T24" s="175"/>
      <x:c r="U24" s="175"/>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row>
    <x:row r="25" ht="20.25" hidden="0" customHeight="1">
      <x:c r="A25" s="171"/>
      <x:c r="B25" s="176" t="s">
        <x:v>94</x:v>
      </x:c>
      <x:c r="C25" s="176" t="s">
        <x:v>1188</x:v>
      </x:c>
      <x:c r="D25" s="176" t="s">
        <x:v>1233</x:v>
      </x:c>
      <x:c r="E25" s="176" t="s">
        <x:v>1234</x:v>
      </x:c>
      <x:c r="F25" s="177" t="s">
        <x:v>1235</x:v>
      </x:c>
      <x:c r="G25" s="178" t="s">
        <x:v>94</x:v>
      </x:c>
      <x:c r="H25" s="178" t="s">
        <x:v>1188</x:v>
      </x:c>
      <x:c r="I25" s="178" t="s">
        <x:v>1233</x:v>
      </x:c>
      <x:c r="J25" s="178" t="s">
        <x:v>1234</x:v>
      </x:c>
      <x:c r="K25" s="179" t="s">
        <x:v>1235</x:v>
      </x:c>
      <x:c r="L25" s="180" t="s">
        <x:v>94</x:v>
      </x:c>
      <x:c r="M25" s="180" t="s">
        <x:v>1188</x:v>
      </x:c>
      <x:c r="N25" s="180" t="s">
        <x:v>1233</x:v>
      </x:c>
      <x:c r="O25" s="180" t="s">
        <x:v>1234</x:v>
      </x:c>
      <x:c r="P25" s="181" t="s">
        <x:v>1235</x:v>
      </x:c>
      <x:c r="Q25" s="182" t="s">
        <x:v>94</x:v>
      </x:c>
      <x:c r="R25" s="182" t="s">
        <x:v>1188</x:v>
      </x:c>
      <x:c r="S25" s="182" t="s">
        <x:v>1233</x:v>
      </x:c>
      <x:c r="T25" s="182" t="s">
        <x:v>1234</x:v>
      </x:c>
      <x:c r="U25" s="183" t="s">
        <x:v>1235</x:v>
      </x:c>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row>
    <x:row r="26" ht="15" hidden="0" customHeight="1">
      <x:c r="A26" s="184" t="n">
        <x:v>2020</x:v>
      </x:c>
      <x:c r="B26" s="185" t="n">
        <x:f aca="0">IFERROR(SUMIFS($C:$C,$A:$A,"Fruit Orchard",$B:$B,$A26),0)</x:f>
        <x:v>623.9536</x:v>
      </x:c>
      <x:c r="C26" s="186" t="n">
        <x:f aca="0">IFERROR(SUMIFS($D:$D,$A:$A,"Fruit Orchard",$B:$B,$A26),0)</x:f>
        <x:v>0.08</x:v>
      </x:c>
      <x:c r="D26" s="187" t="n">
        <x:f aca="0">IFERROR(SUMIFS($L:$L,$A:$A,"Fruit Orchard",$B:$B,$A26),0)</x:f>
        <x:v>14076.4042852936</x:v>
      </x:c>
      <x:c r="E26" s="187" t="n">
        <x:f aca="0">IFERROR(SUMIFS($Z:$Z,$A:$A,"Fruit Orchard",$B:$B,$A26),0)</x:f>
        <x:v>95009.4480746788</x:v>
      </x:c>
      <x:c r="F26" s="188" t="n">
        <x:f aca="0">IFERROR(SUMIFS($AU:$AU,$A:$A,"Fruit Orchard",$B:$B,$A26),0)</x:f>
        <x:v>93851.51369809601</x:v>
      </x:c>
      <x:c r="G26" s="185" t="n">
        <x:f aca="0">IFERROR(SUMIFS($C:$C,$A:$A,"Horti-Silviculture",$B:$B,$A26),0)</x:f>
        <x:v>0</x:v>
      </x:c>
      <x:c r="H26" s="186" t="n">
        <x:f aca="0">IFERROR(SUMIFS($D:$D,$A:$A,"Horti-Silviculture",$B:$B,$A26),0)</x:f>
        <x:v>0.012187570815827156</x:v>
      </x:c>
      <x:c r="I26" s="187" t="n">
        <x:f aca="0">IFERROR(SUMIFS($L:$L,$A:$A,"Horti-Silviculture",$B:$B,$A26),0)</x:f>
        <x:v>0</x:v>
      </x:c>
      <x:c r="J26" s="187" t="n">
        <x:f aca="0">IFERROR(SUMIFS($Z:$Z,$A:$A,"Horti-Silviculture",$B:$B,$A26),0)</x:f>
        <x:v>0</x:v>
      </x:c>
      <x:c r="K26" s="188" t="n">
        <x:f aca="0">IFERROR(SUMIFS($AU:$AU,$A:$A,"Horti-Silviculture",$B:$B,$A26),0)</x:f>
        <x:v>0</x:v>
      </x:c>
      <x:c r="L26" s="185" t="n">
        <x:f aca="0">IFERROR(SUMIFS($C:$C,$A:$A,"Timber Plantation",$B:$B,$A26),0)</x:f>
        <x:v>1.0504</x:v>
      </x:c>
      <x:c r="M26" s="186" t="n">
        <x:f aca="0">IFERROR(SUMIFS($D:$D,$A:$A,"Timber Plantation",$B:$B,$A26),0)</x:f>
        <x:v>0.012187570815827156</x:v>
      </x:c>
      <x:c r="N26" s="187" t="n">
        <x:f aca="0">IFERROR(SUMIFS($L:$L,$A:$A,"Timber Plantation",$B:$B,$A26),0)</x:f>
        <x:v>363.48581043651706</x:v>
      </x:c>
      <x:c r="O26" s="187" t="n">
        <x:f aca="0">IFERROR(SUMIFS($Z:$Z,$A:$A,"Timber Plantation",$B:$B,$A26),0)</x:f>
        <x:v>2156.119822724506</x:v>
      </x:c>
      <x:c r="P26" s="188" t="n">
        <x:f aca="0">IFERROR(SUMIFS($AU:$AU,$A:$A,"Timber Plantation",$B:$B,$A26),0)</x:f>
        <x:v>2129.8419596976423</x:v>
      </x:c>
      <x:c r="Q26" s="185" t="n">
        <x:f aca="0">IFERROR(SUMIFS($C:$C,$A:$A,"Mixed Agroforestry",$B:$B,$A26),0)</x:f>
        <x:v>3.0555000000000003</x:v>
      </x:c>
      <x:c r="R26" s="186" t="n">
        <x:f aca="0">IFERROR(SUMIFS($D:$D,$A:$A,"Mixed Agroforestry",$B:$B,$A26),0)</x:f>
        <x:v>0.012187570815827156</x:v>
      </x:c>
      <x:c r="S26" s="187" t="n">
        <x:f aca="0">IFERROR(SUMIFS($L:$L,$A:$A,"Mixed Agroforestry",$B:$B,$A26),0)</x:f>
        <x:v>136.83044472708517</x:v>
      </x:c>
      <x:c r="T26" s="187" t="n">
        <x:f aca="0">IFERROR(SUMIFS($Z:$Z,$A:$A,"Mixed Agroforestry",$B:$B,$A26),0)</x:f>
        <x:v>965.6756129839109</x:v>
      </x:c>
      <x:c r="U26" s="188" t="n">
        <x:f aca="0">IFERROR(SUMIFS($AU:$AU,$A:$A,"Mixed Agroforestry",$B:$B,$A26),0)</x:f>
        <x:v>953.9063730655522</x:v>
      </x:c>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row>
    <x:row r="27" ht="15" hidden="0" customHeight="1">
      <x:c r="A27" s="184" t="n">
        <x:v>2021</x:v>
      </x:c>
      <x:c r="B27" s="185" t="n">
        <x:f aca="0">IFERROR(SUMIFS($C:$C,$A:$A,"Fruit Orchard",$B:$B,$A27),0)</x:f>
        <x:v>209.9756</x:v>
      </x:c>
      <x:c r="C27" s="186" t="n">
        <x:f aca="0">IFERROR(SUMIFS($D:$D,$A:$A,"Fruit Orchard",$B:$B,$A27),0)</x:f>
        <x:v>0.08</x:v>
      </x:c>
      <x:c r="D27" s="187" t="n">
        <x:f aca="0">IFERROR(SUMIFS($L:$L,$A:$A,"Fruit Orchard",$B:$B,$A27),0)</x:f>
        <x:v>3451.05212708568</x:v>
      </x:c>
      <x:c r="E27" s="187" t="n">
        <x:f aca="0">IFERROR(SUMIFS($Z:$Z,$A:$A,"Fruit Orchard",$B:$B,$A27),0)</x:f>
        <x:v>34620.6476544707</x:v>
      </x:c>
      <x:c r="F27" s="188" t="n">
        <x:f aca="0">IFERROR(SUMIFS($AU:$AU,$A:$A,"Fruit Orchard",$B:$B,$A27),0)</x:f>
        <x:v>34198.70605949203</x:v>
      </x:c>
      <x:c r="G27" s="185" t="n">
        <x:f aca="0">IFERROR(SUMIFS($C:$C,$A:$A,"Horti-Silviculture",$B:$B,$A27),0)</x:f>
        <x:v>9.3015</x:v>
      </x:c>
      <x:c r="H27" s="186" t="n">
        <x:f aca="0">IFERROR(SUMIFS($D:$D,$A:$A,"Horti-Silviculture",$B:$B,$A27),0)</x:f>
        <x:v>0.012187570815827156</x:v>
      </x:c>
      <x:c r="I27" s="187" t="n">
        <x:f aca="0">IFERROR(SUMIFS($L:$L,$A:$A,"Horti-Silviculture",$B:$B,$A27),0)</x:f>
        <x:v>247.58542244761034</x:v>
      </x:c>
      <x:c r="J27" s="187" t="n">
        <x:f aca="0">IFERROR(SUMIFS($Z:$Z,$A:$A,"Horti-Silviculture",$B:$B,$A27),0)</x:f>
        <x:v>2398.540548658523</x:v>
      </x:c>
      <x:c r="K27" s="188" t="n">
        <x:f aca="0">IFERROR(SUMIFS($AU:$AU,$A:$A,"Horti-Silviculture",$B:$B,$A27),0)</x:f>
        <x:v>2369.3081658671144</x:v>
      </x:c>
      <x:c r="L27" s="185" t="n">
        <x:f aca="0">IFERROR(SUMIFS($C:$C,$A:$A,"Timber Plantation",$B:$B,$A27),0)</x:f>
        <x:v>0</x:v>
      </x:c>
      <x:c r="M27" s="186" t="n">
        <x:f aca="0">IFERROR(SUMIFS($D:$D,$A:$A,"Timber Plantation",$B:$B,$A27),0)</x:f>
        <x:v>0.012187570815827156</x:v>
      </x:c>
      <x:c r="N27" s="187" t="n">
        <x:f aca="0">IFERROR(SUMIFS($L:$L,$A:$A,"Timber Plantation",$B:$B,$A27),0)</x:f>
        <x:v>0</x:v>
      </x:c>
      <x:c r="O27" s="187" t="n">
        <x:f aca="0">IFERROR(SUMIFS($Z:$Z,$A:$A,"Timber Plantation",$B:$B,$A27),0)</x:f>
        <x:v>0</x:v>
      </x:c>
      <x:c r="P27" s="188" t="n">
        <x:f aca="0">IFERROR(SUMIFS($AU:$AU,$A:$A,"Timber Plantation",$B:$B,$A27),0)</x:f>
        <x:v>0</x:v>
      </x:c>
      <x:c r="Q27" s="185" t="n">
        <x:f aca="0">IFERROR(SUMIFS($C:$C,$A:$A,"Mixed Agroforestry",$B:$B,$A27),0)</x:f>
        <x:v>0.376</x:v>
      </x:c>
      <x:c r="R27" s="186" t="n">
        <x:f aca="0">IFERROR(SUMIFS($D:$D,$A:$A,"Mixed Agroforestry",$B:$B,$A27),0)</x:f>
        <x:v>0.012187570815827156</x:v>
      </x:c>
      <x:c r="S27" s="187" t="n">
        <x:f aca="0">IFERROR(SUMIFS($L:$L,$A:$A,"Mixed Agroforestry",$B:$B,$A27),0)</x:f>
        <x:v>21.230937340943875</x:v>
      </x:c>
      <x:c r="T27" s="187" t="n">
        <x:f aca="0">IFERROR(SUMIFS($Z:$Z,$A:$A,"Mixed Agroforestry",$B:$B,$A27),0)</x:f>
        <x:v>230.66396616032313</x:v>
      </x:c>
      <x:c r="U27" s="188" t="n">
        <x:f aca="0">IFERROR(SUMIFS($AU:$AU,$A:$A,"Mixed Agroforestry",$B:$B,$A27),0)</x:f>
        <x:v>227.85273273808465</x:v>
      </x:c>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row>
    <x:row r="28" ht="15" hidden="0" customHeight="1">
      <x:c r="A28" s="184" t="n">
        <x:v>2022</x:v>
      </x:c>
      <x:c r="B28" s="185" t="n">
        <x:f aca="0">IFERROR(SUMIFS($C:$C,$A:$A,"Fruit Orchard",$B:$B,$A28),0)</x:f>
        <x:v>232.0679</x:v>
      </x:c>
      <x:c r="C28" s="186" t="n">
        <x:f aca="0">IFERROR(SUMIFS($D:$D,$A:$A,"Fruit Orchard",$B:$B,$A28),0)</x:f>
        <x:v>0.08</x:v>
      </x:c>
      <x:c r="D28" s="187" t="n">
        <x:f aca="0">IFERROR(SUMIFS($L:$L,$A:$A,"Fruit Orchard",$B:$B,$A28),0)</x:f>
        <x:v>1839.06605392258</x:v>
      </x:c>
      <x:c r="E28" s="187" t="n">
        <x:f aca="0">IFERROR(SUMIFS($Z:$Z,$A:$A,"Fruit Orchard",$B:$B,$A28),0)</x:f>
        <x:v>27553.757575866213</x:v>
      </x:c>
      <x:c r="F28" s="188" t="n">
        <x:f aca="0">IFERROR(SUMIFS($AU:$AU,$A:$A,"Fruit Orchard",$B:$B,$A28),0)</x:f>
        <x:v>27217.944204168212</x:v>
      </x:c>
      <x:c r="G28" s="185" t="n">
        <x:f aca="0">IFERROR(SUMIFS($C:$C,$A:$A,"Horti-Silviculture",$B:$B,$A28),0)</x:f>
        <x:v>5.0295</x:v>
      </x:c>
      <x:c r="H28" s="186" t="n">
        <x:f aca="0">IFERROR(SUMIFS($D:$D,$A:$A,"Horti-Silviculture",$B:$B,$A28),0)</x:f>
        <x:v>0.012187570815827156</x:v>
      </x:c>
      <x:c r="I28" s="187" t="n">
        <x:f aca="0">IFERROR(SUMIFS($L:$L,$A:$A,"Horti-Silviculture",$B:$B,$A28),0)</x:f>
        <x:v>234.47170506944892</x:v>
      </x:c>
      <x:c r="J28" s="187" t="n">
        <x:f aca="0">IFERROR(SUMIFS($Z:$Z,$A:$A,"Horti-Silviculture",$B:$B,$A28),0)</x:f>
        <x:v>2885.6857288895776</x:v>
      </x:c>
      <x:c r="K28" s="188" t="n">
        <x:f aca="0">IFERROR(SUMIFS($AU:$AU,$A:$A,"Horti-Silviculture",$B:$B,$A28),0)</x:f>
        <x:v>2850.5162297165143</x:v>
      </x:c>
      <x:c r="L28" s="185" t="n">
        <x:f aca="0">IFERROR(SUMIFS($C:$C,$A:$A,"Timber Plantation",$B:$B,$A28),0)</x:f>
        <x:v>0.861</x:v>
      </x:c>
      <x:c r="M28" s="186" t="n">
        <x:f aca="0">IFERROR(SUMIFS($D:$D,$A:$A,"Timber Plantation",$B:$B,$A28),0)</x:f>
        <x:v>0.012187570815827156</x:v>
      </x:c>
      <x:c r="N28" s="187" t="n">
        <x:f aca="0">IFERROR(SUMIFS($L:$L,$A:$A,"Timber Plantation",$B:$B,$A28),0)</x:f>
        <x:v>142.06958042508816</x:v>
      </x:c>
      <x:c r="O28" s="187" t="n">
        <x:f aca="0">IFERROR(SUMIFS($Z:$Z,$A:$A,"Timber Plantation",$B:$B,$A28),0)</x:f>
        <x:v>1928.8309186236752</x:v>
      </x:c>
      <x:c r="P28" s="188" t="n">
        <x:f aca="0">IFERROR(SUMIFS($AU:$AU,$A:$A,"Timber Plantation",$B:$B,$A28),0)</x:f>
        <x:v>1905.3231552111922</x:v>
      </x:c>
      <x:c r="Q28" s="185" t="n">
        <x:f aca="0">IFERROR(SUMIFS($C:$C,$A:$A,"Mixed Agroforestry",$B:$B,$A28),0)</x:f>
        <x:v>0.869</x:v>
      </x:c>
      <x:c r="R28" s="186" t="n">
        <x:f aca="0">IFERROR(SUMIFS($D:$D,$A:$A,"Mixed Agroforestry",$B:$B,$A28),0)</x:f>
        <x:v>0.012187570815827156</x:v>
      </x:c>
      <x:c r="S28" s="187" t="n">
        <x:f aca="0">IFERROR(SUMIFS($L:$L,$A:$A,"Mixed Agroforestry",$B:$B,$A28),0)</x:f>
        <x:v>294.9338774676635</x:v>
      </x:c>
      <x:c r="T28" s="187" t="n">
        <x:f aca="0">IFERROR(SUMIFS($Z:$Z,$A:$A,"Mixed Agroforestry",$B:$B,$A28),0)</x:f>
        <x:v>4567.580573713871</x:v>
      </x:c>
      <x:c r="U28" s="188" t="n">
        <x:f aca="0">IFERROR(SUMIFS($AU:$AU,$A:$A,"Mixed Agroforestry",$B:$B,$A28),0)</x:f>
        <x:v>4511.912862014737</x:v>
      </x:c>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row>
    <x:row r="29" ht="15" hidden="0" customHeight="1">
      <x:c r="A29" s="184" t="n">
        <x:v>2023</x:v>
      </x:c>
      <x:c r="B29" s="185" t="n">
        <x:f aca="0">IFERROR(SUMIFS($C:$C,$A:$A,"Fruit Orchard",$B:$B,$A29),0)</x:f>
        <x:v>22.0603</x:v>
      </x:c>
      <x:c r="C29" s="186" t="n">
        <x:f aca="0">IFERROR(SUMIFS($D:$D,$A:$A,"Fruit Orchard",$B:$B,$A29),0)</x:f>
        <x:v>0.08</x:v>
      </x:c>
      <x:c r="D29" s="187" t="n">
        <x:f aca="0">IFERROR(SUMIFS($L:$L,$A:$A,"Fruit Orchard",$B:$B,$A29),0)</x:f>
        <x:v>86.0010612054097</x:v>
      </x:c>
      <x:c r="E29" s="187" t="n">
        <x:f aca="0">IFERROR(SUMIFS($Z:$Z,$A:$A,"Fruit Orchard",$B:$B,$A29),0)</x:f>
        <x:v>2889.8995478472043</x:v>
      </x:c>
      <x:c r="F29" s="188" t="n">
        <x:f aca="0">IFERROR(SUMIFS($AU:$AU,$A:$A,"Fruit Orchard",$B:$B,$A29),0)</x:f>
        <x:v>2854.6786924571898</x:v>
      </x:c>
      <x:c r="G29" s="185" t="n">
        <x:f aca="0">IFERROR(SUMIFS($C:$C,$A:$A,"Horti-Silviculture",$B:$B,$A29),0)</x:f>
        <x:v>0</x:v>
      </x:c>
      <x:c r="H29" s="186" t="n">
        <x:f aca="0">IFERROR(SUMIFS($D:$D,$A:$A,"Horti-Silviculture",$B:$B,$A29),0)</x:f>
        <x:v>0.012187570815827156</x:v>
      </x:c>
      <x:c r="I29" s="187" t="n">
        <x:f aca="0">IFERROR(SUMIFS($L:$L,$A:$A,"Horti-Silviculture",$B:$B,$A29),0)</x:f>
        <x:v>0</x:v>
      </x:c>
      <x:c r="J29" s="187" t="n">
        <x:f aca="0">IFERROR(SUMIFS($Z:$Z,$A:$A,"Horti-Silviculture",$B:$B,$A29),0)</x:f>
        <x:v>0</x:v>
      </x:c>
      <x:c r="K29" s="188" t="n">
        <x:f aca="0">IFERROR(SUMIFS($AU:$AU,$A:$A,"Horti-Silviculture",$B:$B,$A29),0)</x:f>
        <x:v>0</x:v>
      </x:c>
      <x:c r="L29" s="185" t="n">
        <x:f aca="0">IFERROR(SUMIFS($C:$C,$A:$A,"Timber Plantation",$B:$B,$A29),0)</x:f>
        <x:v>0</x:v>
      </x:c>
      <x:c r="M29" s="186" t="n">
        <x:f aca="0">IFERROR(SUMIFS($D:$D,$A:$A,"Timber Plantation",$B:$B,$A29),0)</x:f>
        <x:v>0.012187570815827156</x:v>
      </x:c>
      <x:c r="N29" s="187" t="n">
        <x:f aca="0">IFERROR(SUMIFS($L:$L,$A:$A,"Timber Plantation",$B:$B,$A29),0)</x:f>
        <x:v>0</x:v>
      </x:c>
      <x:c r="O29" s="187" t="n">
        <x:f aca="0">IFERROR(SUMIFS($Z:$Z,$A:$A,"Timber Plantation",$B:$B,$A29),0)</x:f>
        <x:v>0</x:v>
      </x:c>
      <x:c r="P29" s="188" t="n">
        <x:f aca="0">IFERROR(SUMIFS($AU:$AU,$A:$A,"Timber Plantation",$B:$B,$A29),0)</x:f>
        <x:v>0</x:v>
      </x:c>
      <x:c r="Q29" s="185" t="n">
        <x:f aca="0">IFERROR(SUMIFS($C:$C,$A:$A,"Mixed Agroforestry",$B:$B,$A29),0)</x:f>
        <x:v>0</x:v>
      </x:c>
      <x:c r="R29" s="186" t="n">
        <x:f aca="0">IFERROR(SUMIFS($D:$D,$A:$A,"Mixed Agroforestry",$B:$B,$A29),0)</x:f>
        <x:v>0.012187570815827156</x:v>
      </x:c>
      <x:c r="S29" s="187" t="n">
        <x:f aca="0">IFERROR(SUMIFS($L:$L,$A:$A,"Mixed Agroforestry",$B:$B,$A29),0)</x:f>
        <x:v>0</x:v>
      </x:c>
      <x:c r="T29" s="187" t="n">
        <x:f aca="0">IFERROR(SUMIFS($Z:$Z,$A:$A,"Mixed Agroforestry",$B:$B,$A29),0)</x:f>
        <x:v>0</x:v>
      </x:c>
      <x:c r="U29" s="188" t="n">
        <x:f aca="0">IFERROR(SUMIFS($AU:$AU,$A:$A,"Mixed Agroforestry",$B:$B,$A29),0)</x:f>
        <x:v>0</x:v>
      </x:c>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row>
    <x:row r="30" ht="15" hidden="0" customHeight="1">
      <x:c r="A30" s="1"/>
      <x:c r="B30" s="1"/>
      <x:c r="C30" s="1"/>
      <x:c r="D30" s="1"/>
      <x:c r="E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row>
    <x:row r="31" ht="15" hidden="0" customHeight="1">
      <x:c r="A31" s="103" t="str">
        <x:v>BIOME TOTAL</x:v>
      </x:c>
      <x:c r="B31" s="189" t="n">
        <x:f aca="0">SUM(B26:B29)</x:f>
        <x:v>1088.0574</x:v>
      </x:c>
      <x:c r="C31" s="190"/>
      <x:c r="D31" s="191" t="n">
        <x:f aca="0">SUM(D26:D29)</x:f>
        <x:v>19452.5235275073</x:v>
      </x:c>
      <x:c r="E31" s="191" t="n">
        <x:f aca="0">SUM(E26:E29)</x:f>
        <x:v>160073.7528528629</x:v>
      </x:c>
      <x:c r="F31" s="191" t="n">
        <x:f aca="0">SUM(F26:F29)</x:f>
        <x:v>158122.84265421343</x:v>
      </x:c>
      <x:c r="G31" s="189" t="n">
        <x:f aca="0">SUM(G26:G29)</x:f>
        <x:v>14.331</x:v>
      </x:c>
      <x:c r="H31" s="190"/>
      <x:c r="I31" s="191" t="n">
        <x:f aca="0">SUM(I26:I29)</x:f>
        <x:v>482.05712751705926</x:v>
      </x:c>
      <x:c r="J31" s="191" t="n">
        <x:f aca="0">SUM(J26:J29)</x:f>
        <x:v>5284.226277548101</x:v>
      </x:c>
      <x:c r="K31" s="191" t="n">
        <x:f aca="0">SUM(K26:K29)</x:f>
        <x:v>5219.824395583629</x:v>
      </x:c>
      <x:c r="L31" s="189" t="n">
        <x:f aca="0">SUM(L26:L29)</x:f>
        <x:v>1.9114</x:v>
      </x:c>
      <x:c r="M31" s="190"/>
      <x:c r="N31" s="191" t="n">
        <x:f aca="0">SUM(N26:N29)</x:f>
        <x:v>505.55539086160525</x:v>
      </x:c>
      <x:c r="O31" s="191" t="n">
        <x:f aca="0">SUM(O26:O29)</x:f>
        <x:v>4084.950741348181</x:v>
      </x:c>
      <x:c r="P31" s="191" t="n">
        <x:f aca="0">SUM(P26:P29)</x:f>
        <x:v>4035.1651149088348</x:v>
      </x:c>
      <x:c r="Q31" s="189" t="n">
        <x:f aca="0">SUM(Q26:Q29)</x:f>
        <x:v>4.3005</x:v>
      </x:c>
      <x:c r="R31" s="190"/>
      <x:c r="S31" s="191" t="n">
        <x:f aca="0">SUM(S26:S29)</x:f>
        <x:v>452.9952595356925</x:v>
      </x:c>
      <x:c r="T31" s="191" t="n">
        <x:f aca="0">SUM(T26:T29)</x:f>
        <x:v>5763.920152858105</x:v>
      </x:c>
      <x:c r="U31" s="191" t="n">
        <x:f aca="0">SUM(U26:U29)</x:f>
        <x:v>5693.671967818374</x:v>
      </x:c>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row>
  </x:sheetData>
  <x:mergeCells>
    <x:mergeCell ref="A1:AV1"/>
    <x:mergeCell ref="A21:U21"/>
    <x:mergeCell ref="A22:U22"/>
    <x:mergeCell ref="A24:A25"/>
    <x:mergeCell ref="B24:F24"/>
    <x:mergeCell ref="G24:K24"/>
    <x:mergeCell ref="L24:P24"/>
    <x:mergeCell ref="Q24:U24"/>
  </x:mergeCells>
  <x:pageMargins left="0.7" right="0.7" top="0.75" bottom="0.75" header="0.3" footer="0.3"/>
</x:worksheet>
</file>

<file path=xl/worksheets/sheet19.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4" style="37" hidden="0" customWidth="1"/>
    <x:col min="2" max="4" width="14" style="37" hidden="0" customWidth="1"/>
    <x:col min="5" max="5" width="42" style="37" hidden="0" customWidth="1"/>
    <x:col min="6" max="21" width="14" style="1" hidden="0" customWidth="1"/>
    <x:col min="48" max="48" width="58" style="37" hidden="0" customWidth="1"/>
  </x:cols>
  <x:sheetData>
    <x:row r="1" ht="24" hidden="0" customHeight="1">
      <x:c r="A1" s="38" t="str">
        <x:v>Tropical &amp; Subtropical Moist Broadleaf Forests ERR | Model × Cohort | Biome-Specific PB</x:v>
      </x:c>
      <x:c r="B1" s="38"/>
      <x:c r="C1" s="38"/>
      <x:c r="D1" s="38"/>
      <x:c r="E1" s="38"/>
      <x:c r="F1" s="38"/>
      <x:c r="G1" s="38"/>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row>
    <x:row r="2" ht="15" hidden="0" customHeight="1">
      <x:c r="A2" s="45"/>
      <x:c r="B2" s="45"/>
      <x:c r="C2" s="45"/>
      <x:c r="D2" s="45"/>
      <x:c r="E2" s="45"/>
      <x:c r="F2" s="45"/>
      <x:c r="G2" s="45"/>
      <x:c r="H2" s="45"/>
      <x:c r="I2" s="45"/>
      <x:c r="J2" s="45"/>
      <x:c r="K2" s="45"/>
      <x:c r="L2" s="45"/>
      <x:c r="M2" s="45"/>
      <x:c r="N2" s="45"/>
      <x:c r="O2" s="45"/>
      <x:c r="P2" s="45"/>
      <x:c r="Q2" s="45"/>
      <x:c r="R2" s="45"/>
      <x:c r="S2" s="45"/>
      <x:c r="T2" s="45"/>
      <x:c r="U2" s="45"/>
      <x:c r="V2" s="45"/>
      <x:c r="W2" s="45"/>
      <x:c r="X2" s="45"/>
      <x:c r="Y2" s="45"/>
      <x:c r="Z2" s="45"/>
      <x:c r="AA2" s="45"/>
      <x:c r="AB2" s="45"/>
      <x:c r="AC2" s="45"/>
      <x:c r="AD2" s="45"/>
      <x:c r="AE2" s="45"/>
      <x:c r="AF2" s="45"/>
      <x:c r="AG2" s="45"/>
      <x:c r="AH2" s="45"/>
      <x:c r="AI2" s="45"/>
      <x:c r="AJ2" s="45"/>
      <x:c r="AK2" s="45"/>
      <x:c r="AL2" s="45"/>
      <x:c r="AM2" s="45"/>
      <x:c r="AN2" s="45"/>
      <x:c r="AO2" s="45"/>
      <x:c r="AP2" s="45"/>
      <x:c r="AQ2" s="45"/>
      <x:c r="AR2" s="45"/>
      <x:c r="AS2" s="45"/>
      <x:c r="AT2" s="45"/>
      <x:c r="AU2" s="45"/>
      <x:c r="AV2" s="45"/>
    </x:row>
    <x:row r="3" ht="54.75" hidden="0" customHeight="1">
      <x:c r="A3" s="95" t="s">
        <x:v>97</x:v>
      </x:c>
      <x:c r="B3" s="95" t="s">
        <x:v>529</x:v>
      </x:c>
      <x:c r="C3" s="95" t="s">
        <x:v>94</x:v>
      </x:c>
      <x:c r="D3" s="95" t="s">
        <x:v>1188</x:v>
      </x:c>
      <x:c r="E3" s="95" t="s">
        <x:v>1189</x:v>
      </x:c>
      <x:c r="F3" s="95" t="s">
        <x:v>1190</x:v>
      </x:c>
      <x:c r="G3" s="95" t="s">
        <x:v>1191</x:v>
      </x:c>
      <x:c r="H3" s="95" t="s">
        <x:v>1192</x:v>
      </x:c>
      <x:c r="I3" s="95" t="s">
        <x:v>1193</x:v>
      </x:c>
      <x:c r="J3" s="95" t="s">
        <x:v>1194</x:v>
      </x:c>
      <x:c r="K3" s="95" t="s">
        <x:v>1195</x:v>
      </x:c>
      <x:c r="L3" s="95" t="s">
        <x:v>1196</x:v>
      </x:c>
      <x:c r="M3" s="95" t="s">
        <x:v>1197</x:v>
      </x:c>
      <x:c r="N3" s="95" t="s">
        <x:v>1198</x:v>
      </x:c>
      <x:c r="O3" s="95" t="s">
        <x:v>1199</x:v>
      </x:c>
      <x:c r="P3" s="95" t="s">
        <x:v>1200</x:v>
      </x:c>
      <x:c r="Q3" s="95" t="s">
        <x:v>1201</x:v>
      </x:c>
      <x:c r="R3" s="95" t="s">
        <x:v>1202</x:v>
      </x:c>
      <x:c r="S3" s="95" t="s">
        <x:v>1203</x:v>
      </x:c>
      <x:c r="T3" s="95" t="s">
        <x:v>1204</x:v>
      </x:c>
      <x:c r="U3" s="95" t="s">
        <x:v>1205</x:v>
      </x:c>
      <x:c r="V3" s="95" t="s">
        <x:v>1206</x:v>
      </x:c>
      <x:c r="W3" s="95" t="s">
        <x:v>1207</x:v>
      </x:c>
      <x:c r="X3" s="95" t="s">
        <x:v>1208</x:v>
      </x:c>
      <x:c r="Y3" s="95" t="s">
        <x:v>1209</x:v>
      </x:c>
      <x:c r="Z3" s="95" t="s">
        <x:v>1210</x:v>
      </x:c>
      <x:c r="AA3" s="95" t="s">
        <x:v>1211</x:v>
      </x:c>
      <x:c r="AB3" s="95" t="s">
        <x:v>1212</x:v>
      </x:c>
      <x:c r="AC3" s="95" t="s">
        <x:v>1213</x:v>
      </x:c>
      <x:c r="AD3" s="95" t="s">
        <x:v>1214</x:v>
      </x:c>
      <x:c r="AE3" s="95" t="s">
        <x:v>1215</x:v>
      </x:c>
      <x:c r="AF3" s="95" t="s">
        <x:v>1216</x:v>
      </x:c>
      <x:c r="AG3" s="95" t="s">
        <x:v>1217</x:v>
      </x:c>
      <x:c r="AH3" s="95" t="s">
        <x:v>1218</x:v>
      </x:c>
      <x:c r="AI3" s="95" t="s">
        <x:v>1219</x:v>
      </x:c>
      <x:c r="AJ3" s="95" t="s">
        <x:v>1220</x:v>
      </x:c>
      <x:c r="AK3" s="95" t="s">
        <x:v>1221</x:v>
      </x:c>
      <x:c r="AL3" s="95" t="s">
        <x:v>1222</x:v>
      </x:c>
      <x:c r="AM3" s="95" t="s">
        <x:v>1223</x:v>
      </x:c>
      <x:c r="AN3" s="95" t="s">
        <x:v>1224</x:v>
      </x:c>
      <x:c r="AO3" s="95" t="s">
        <x:v>1225</x:v>
      </x:c>
      <x:c r="AP3" s="95" t="s">
        <x:v>1226</x:v>
      </x:c>
      <x:c r="AQ3" s="95" t="s">
        <x:v>1227</x:v>
      </x:c>
      <x:c r="AR3" s="95" t="s">
        <x:v>1228</x:v>
      </x:c>
      <x:c r="AS3" s="95" t="s">
        <x:v>1229</x:v>
      </x:c>
      <x:c r="AT3" s="95" t="s">
        <x:v>1230</x:v>
      </x:c>
      <x:c r="AU3" s="95" t="s">
        <x:v>1231</x:v>
      </x:c>
      <x:c r="AV3" s="95" t="s">
        <x:v>148</x:v>
      </x:c>
    </x:row>
    <x:row r="4" ht="15" hidden="0" customHeight="1">
      <x:c r="A4" s="37" t="s">
        <x:v>111</x:v>
      </x:c>
      <x:c r="B4" s="37" t="n">
        <x:v>2020</x:v>
      </x:c>
      <x:c r="C4" s="167" t="n">
        <x:f aca="0">SUMIFS(S17_Biome_Strata!$F$4:$F$95,S17_Biome_Strata!$A$4:$A$95,"Tropical &amp; Subtropical Moist Broadleaf Forests",S17_Biome_Strata!$B$4:$B$95,$A4,S17_Biome_Strata!$D$4:$D$95,$B4)</x:f>
        <x:v>36.3110995548361</x:v>
      </x:c>
      <x:c r="D4" s="167" t="n">
        <x:f aca="0">S09_PB_Input!H8</x:f>
        <x:v>0.3123356231599608</x:v>
      </x:c>
      <x:c r="E4" s="168" t="str">
        <x:f aca="0">S09_PB_Input!I8</x:f>
        <x:v>VM0047 v1.1 Appendix 1: Z-test significant; PB_t = ΔSI_control / ΔSI_wp (Eq. A8). Source: 20260814_304027_GKF_ProjectPlots_PB.xlsx.</x:v>
      </x:c>
      <x:c r="F4" s="167" t="n">
        <x:f aca="0">SUMIFS(S17_Biome_Strata!$AL$4:$AL$95,S17_Biome_Strata!$A$4:$A$95,"Tropical &amp; Subtropical Moist Broadleaf Forests",S17_Biome_Strata!$B$4:$B$95,$A4,S17_Biome_Strata!$D$4:$D$95,$B4)</x:f>
        <x:v>0</x:v>
      </x:c>
      <x:c r="G4" s="167" t="n">
        <x:f aca="0">SUMIFS(S17_Biome_Strata!$AM$4:$AM$95,S17_Biome_Strata!$A$4:$A$95,"Tropical &amp; Subtropical Moist Broadleaf Forests",S17_Biome_Strata!$B$4:$B$95,$A4,S17_Biome_Strata!$D$4:$D$95,$B4)</x:f>
        <x:v>1.837493653753346</x:v>
      </x:c>
      <x:c r="H4" s="167" t="n">
        <x:f aca="0">SUMIFS(S17_Biome_Strata!$AN$4:$AN$95,S17_Biome_Strata!$A$4:$A$95,"Tropical &amp; Subtropical Moist Broadleaf Forests",S17_Biome_Strata!$B$4:$B$95,$A4,S17_Biome_Strata!$D$4:$D$95,$B4)</x:f>
        <x:v>22.067835020387935</x:v>
      </x:c>
      <x:c r="I4" s="167" t="n">
        <x:f aca="0">SUMIFS(S17_Biome_Strata!$AO$4:$AO$95,S17_Biome_Strata!$A$4:$A$95,"Tropical &amp; Subtropical Moist Broadleaf Forests",S17_Biome_Strata!$B$4:$B$95,$A4,S17_Biome_Strata!$D$4:$D$95,$B4)</x:f>
        <x:v>84.47918768105377</x:v>
      </x:c>
      <x:c r="J4" s="167" t="n">
        <x:f aca="0">SUMIFS(S17_Biome_Strata!$AP$4:$AP$95,S17_Biome_Strata!$A$4:$A$95,"Tropical &amp; Subtropical Moist Broadleaf Forests",S17_Biome_Strata!$B$4:$B$95,$A4,S17_Biome_Strata!$D$4:$D$95,$B4)</x:f>
        <x:v>204.68009645211026</x:v>
      </x:c>
      <x:c r="K4" s="167" t="n">
        <x:f aca="0">SUMIFS(S17_Biome_Strata!$AQ$4:$AQ$95,S17_Biome_Strata!$A$4:$A$95,"Tropical &amp; Subtropical Moist Broadleaf Forests",S17_Biome_Strata!$B$4:$B$95,$A4,S17_Biome_Strata!$D$4:$D$95,$B4)</x:f>
        <x:v>385.29035955878066</x:v>
      </x:c>
      <x:c r="L4" s="167" t="n">
        <x:f aca="0">SUMIFS(S17_Biome_Strata!$AR$4:$AR$95,S17_Biome_Strata!$A$4:$A$95,"Tropical &amp; Subtropical Moist Broadleaf Forests",S17_Biome_Strata!$B$4:$B$95,$A4,S17_Biome_Strata!$D$4:$D$95,$B4)</x:f>
        <x:v>620.0990566957804</x:v>
      </x:c>
      <x:c r="M4" s="167" t="n">
        <x:f aca="0">SUMIFS(S17_Biome_Strata!$AS$4:$AS$95,S17_Biome_Strata!$A$4:$A$95,"Tropical &amp; Subtropical Moist Broadleaf Forests",S17_Biome_Strata!$B$4:$B$95,$A4,S17_Biome_Strata!$D$4:$D$95,$B4)</x:f>
        <x:v>897.8871145153342</x:v>
      </x:c>
      <x:c r="N4" s="167" t="n">
        <x:f aca="0">SUMIFS(S17_Biome_Strata!$AT$4:$AT$95,S17_Biome_Strata!$A$4:$A$95,"Tropical &amp; Subtropical Moist Broadleaf Forests",S17_Biome_Strata!$B$4:$B$95,$A4,S17_Biome_Strata!$D$4:$D$95,$B4)</x:f>
        <x:v>1205.6762021752222</x:v>
      </x:c>
      <x:c r="O4" s="167" t="n">
        <x:f aca="0">SUMIFS(S17_Biome_Strata!$AU$4:$AU$95,S17_Biome_Strata!$A$4:$A$95,"Tropical &amp; Subtropical Moist Broadleaf Forests",S17_Biome_Strata!$B$4:$B$95,$A4,S17_Biome_Strata!$D$4:$D$95,$B4)</x:f>
        <x:v>1530.856263319411</x:v>
      </x:c>
      <x:c r="P4" s="167" t="n">
        <x:f aca="0">SUMIFS(S17_Biome_Strata!$AV$4:$AV$95,S17_Biome_Strata!$A$4:$A$95,"Tropical &amp; Subtropical Moist Broadleaf Forests",S17_Biome_Strata!$B$4:$B$95,$A4,S17_Biome_Strata!$D$4:$D$95,$B4)</x:f>
        <x:v>1862.3581454808666</x:v>
      </x:c>
      <x:c r="Q4" s="167" t="n">
        <x:f aca="0">SUMIFS(S17_Biome_Strata!$AW$4:$AW$95,S17_Biome_Strata!$A$4:$A$95,"Tropical &amp; Subtropical Moist Broadleaf Forests",S17_Biome_Strata!$B$4:$B$95,$A4,S17_Biome_Strata!$D$4:$D$95,$B4)</x:f>
        <x:v>2191.1499464753474</x:v>
      </x:c>
      <x:c r="R4" s="167" t="n">
        <x:f aca="0">SUMIFS(S17_Biome_Strata!$AX$4:$AX$95,S17_Biome_Strata!$A$4:$A$95,"Tropical &amp; Subtropical Moist Broadleaf Forests",S17_Biome_Strata!$B$4:$B$95,$A4,S17_Biome_Strata!$D$4:$D$95,$B4)</x:f>
        <x:v>2510.3086620532827</x:v>
      </x:c>
      <x:c r="S4" s="167" t="n">
        <x:f aca="0">SUMIFS(S17_Biome_Strata!$AY$4:$AY$95,S17_Biome_Strata!$A$4:$A$95,"Tropical &amp; Subtropical Moist Broadleaf Forests",S17_Biome_Strata!$B$4:$B$95,$A4,S17_Biome_Strata!$D$4:$D$95,$B4)</x:f>
        <x:v>2814.8549805238576</x:v>
      </x:c>
      <x:c r="T4" s="167" t="n">
        <x:f aca="0">SUMIFS(S17_Biome_Strata!$AZ$4:$AZ$95,S17_Biome_Strata!$A$4:$A$95,"Tropical &amp; Subtropical Moist Broadleaf Forests",S17_Biome_Strata!$B$4:$B$95,$A4,S17_Biome_Strata!$D$4:$D$95,$B4)</x:f>
        <x:v>3101.4773712049036</x:v>
      </x:c>
      <x:c r="U4" s="167" t="n">
        <x:f aca="0">SUMIFS(S17_Biome_Strata!$BA$4:$BA$95,S17_Biome_Strata!$A$4:$A$95,"Tropical &amp; Subtropical Moist Broadleaf Forests",S17_Biome_Strata!$B$4:$B$95,$A4,S17_Biome_Strata!$D$4:$D$95,$B4)</x:f>
        <x:v>3368.223423604102</x:v>
      </x:c>
      <x:c r="V4" s="167" t="n">
        <x:f aca="0">SUMIFS(S17_Biome_Strata!$BB$4:$BB$95,S17_Biome_Strata!$A$4:$A$95,"Tropical &amp; Subtropical Moist Broadleaf Forests",S17_Biome_Strata!$B$4:$B$95,$A4,S17_Biome_Strata!$D$4:$D$95,$B4)</x:f>
        <x:v>3614.2025395905575</x:v>
      </x:c>
      <x:c r="W4" s="167" t="n">
        <x:f aca="0">SUMIFS(S17_Biome_Strata!$BC$4:$BC$95,S17_Biome_Strata!$A$4:$A$95,"Tropical &amp; Subtropical Moist Broadleaf Forests",S17_Biome_Strata!$B$4:$B$95,$A4,S17_Biome_Strata!$D$4:$D$95,$B4)</x:f>
        <x:v>3839.3219410718166</x:v>
      </x:c>
      <x:c r="X4" s="167" t="n">
        <x:f aca="0">SUMIFS(S17_Biome_Strata!$BD$4:$BD$95,S17_Biome_Strata!$A$4:$A$95,"Tropical &amp; Subtropical Moist Broadleaf Forests",S17_Biome_Strata!$B$4:$B$95,$A4,S17_Biome_Strata!$D$4:$D$95,$B4)</x:f>
        <x:v>4044.0643517101776</x:v>
      </x:c>
      <x:c r="Y4" s="167" t="n">
        <x:f aca="0">SUMIFS(S17_Biome_Strata!$BE$4:$BE$95,S17_Biome_Strata!$A$4:$A$95,"Tropical &amp; Subtropical Moist Broadleaf Forests",S17_Biome_Strata!$B$4:$B$95,$A4,S17_Biome_Strata!$D$4:$D$95,$B4)</x:f>
        <x:v>4229.307908628297</x:v>
      </x:c>
      <x:c r="Z4" s="167" t="n">
        <x:f aca="0">SUMIFS(S17_Biome_Strata!$BF$4:$BF$95,S17_Biome_Strata!$A$4:$A$95,"Tropical &amp; Subtropical Moist Broadleaf Forests",S17_Biome_Strata!$B$4:$B$95,$A4,S17_Biome_Strata!$D$4:$D$95,$B4)</x:f>
        <x:v>4396.184797704921</x:v>
      </x:c>
      <x:c r="AA4" s="167" t="n">
        <x:f aca="0">F4*(1-$D4)</x:f>
        <x:v>0</x:v>
      </x:c>
      <x:c r="AB4" s="167" t="n">
        <x:f aca="0">G4*(1-$D4)</x:f>
        <x:v>1.2635789283558214</x:v>
      </x:c>
      <x:c r="AC4" s="167" t="n">
        <x:f aca="0">H4*(1-$D4)</x:f>
        <x:v>15.175264017503864</x:v>
      </x:c>
      <x:c r="AD4" s="167" t="n">
        <x:f aca="0">I4*(1-$D4)</x:f>
        <x:v>58.093327952644565</x:v>
      </x:c>
      <x:c r="AE4" s="167" t="n">
        <x:f aca="0">J4*(1-$D4)</x:f>
        <x:v>140.75121097829953</x:v>
      </x:c>
      <x:c r="AF4" s="167" t="n">
        <x:f aca="0">K4*(1-$D4)</x:f>
        <x:v>264.95045500846356</x:v>
      </x:c>
      <x:c r="AG4" s="167" t="n">
        <x:f aca="0">L4*(1-$D4)</x:f>
        <x:v>426.4200314018</x:v>
      </x:c>
      <x:c r="AH4" s="167" t="n">
        <x:f aca="0">M4*(1-$D4)</x:f>
        <x:v>617.4449830758882</x:v>
      </x:c>
      <x:c r="AI4" s="167" t="n">
        <x:f aca="0">N4*(1-$D4)</x:f>
        <x:v>829.1005742396893</x:v>
      </x:c>
      <x:c r="AJ4" s="167" t="n">
        <x:f aca="0">O4*(1-$D4)</x:f>
        <x:v>1052.7153183472137</x:v>
      </x:c>
      <x:c r="AK4" s="167" t="n">
        <x:f aca="0">P4*(1-$D4)</x:f>
        <x:v>1280.6773535650711</x:v>
      </x:c>
      <x:c r="AL4" s="167" t="n">
        <x:f aca="0">Q4*(1-$D4)</x:f>
        <x:v>1506.7757625060551</x:v>
      </x:c>
      <x:c r="AM4" s="167" t="n">
        <x:f aca="0">R4*(1-$D4)</x:f>
        <x:v>1726.2498417670233</x:v>
      </x:c>
      <x:c r="AN4" s="167" t="n">
        <x:f aca="0">S4*(1-$D4)</x:f>
        <x:v>1935.6754960770193</x:v>
      </x:c>
      <x:c r="AO4" s="167" t="n">
        <x:f aca="0">T4*(1-$D4)</x:f>
        <x:v>2132.7755037531033</x:v>
      </x:c>
      <x:c r="AP4" s="167" t="n">
        <x:f aca="0">U4*(1-$D4)</x:f>
        <x:v>2316.2072616507385</x:v>
      </x:c>
      <x:c r="AQ4" s="167" t="n">
        <x:f aca="0">V4*(1-$D4)</x:f>
        <x:v>2485.358337161228</x:v>
      </x:c>
      <x:c r="AR4" s="167" t="n">
        <x:f aca="0">W4*(1-$D4)</x:f>
        <x:v>2640.1649300954405</x:v>
      </x:c>
      <x:c r="AS4" s="167" t="n">
        <x:f aca="0">X4*(1-$D4)</x:f>
        <x:v>2780.9589923197964</x:v>
      </x:c>
      <x:c r="AT4" s="167" t="n">
        <x:f aca="0">Y4*(1-$D4)</x:f>
        <x:v>2908.3443874515274</x:v>
      </x:c>
      <x:c r="AU4" s="167" t="n">
        <x:f aca="0">Z4*(1-$D4)</x:f>
        <x:v>3023.0996793874083</x:v>
      </x:c>
      <x:c r="AV4" s="37" t="str">
        <x:v>Formula-derived: S17_Biome_Strata row gross stock = eligible area × S15_Source_Strata stock/ha; S15_Source_Strata stock = cohort-aligned Chapman-Richards D/H → Chave AGB → conservative calibration → CF × (1+R) × 44/12. PB applied separately by Biome × Cohort.</x:v>
      </x:c>
    </x:row>
    <x:row r="5" ht="15" hidden="0" customHeight="1">
      <x:c r="A5" s="37" t="s">
        <x:v>111</x:v>
      </x:c>
      <x:c r="B5" s="37" t="n">
        <x:v>2021</x:v>
      </x:c>
      <x:c r="C5" s="167" t="n">
        <x:f aca="0">SUMIFS(S17_Biome_Strata!$F$4:$F$95,S17_Biome_Strata!$A$4:$A$95,"Tropical &amp; Subtropical Moist Broadleaf Forests",S17_Biome_Strata!$B$4:$B$95,$A5,S17_Biome_Strata!$D$4:$D$95,$B5)</x:f>
        <x:v>33.451543828409605</x:v>
      </x:c>
      <x:c r="D5" s="167" t="n">
        <x:f aca="0">S09_PB_Input!H9</x:f>
        <x:v>0.3123356231599608</x:v>
      </x:c>
      <x:c r="E5" s="168" t="str">
        <x:f aca="0">S09_PB_Input!I9</x:f>
        <x:v>VM0047 v1.1 Appendix 1: Z-test significant; PB_t = ΔSI_control / ΔSI_wp (Eq. A8). Source: 20260814_304027_GKF_ProjectPlots_PB.xlsx.</x:v>
      </x:c>
      <x:c r="F5" s="167" t="n">
        <x:f aca="0">SUMIFS(S17_Biome_Strata!$AL$4:$AL$95,S17_Biome_Strata!$A$4:$A$95,"Tropical &amp; Subtropical Moist Broadleaf Forests",S17_Biome_Strata!$B$4:$B$95,$A5,S17_Biome_Strata!$D$4:$D$95,$B5)</x:f>
        <x:v>0</x:v>
      </x:c>
      <x:c r="G5" s="167" t="n">
        <x:f aca="0">SUMIFS(S17_Biome_Strata!$AM$4:$AM$95,S17_Biome_Strata!$A$4:$A$95,"Tropical &amp; Subtropical Moist Broadleaf Forests",S17_Biome_Strata!$B$4:$B$95,$A5,S17_Biome_Strata!$D$4:$D$95,$B5)</x:f>
        <x:v>0</x:v>
      </x:c>
      <x:c r="H5" s="167" t="n">
        <x:f aca="0">SUMIFS(S17_Biome_Strata!$AN$4:$AN$95,S17_Biome_Strata!$A$4:$A$95,"Tropical &amp; Subtropical Moist Broadleaf Forests",S17_Biome_Strata!$B$4:$B$95,$A5,S17_Biome_Strata!$D$4:$D$95,$B5)</x:f>
        <x:v>1.9756892814021016</x:v>
      </x:c>
      <x:c r="I5" s="167" t="n">
        <x:f aca="0">SUMIFS(S17_Biome_Strata!$AO$4:$AO$95,S17_Biome_Strata!$A$4:$A$95,"Tropical &amp; Subtropical Moist Broadleaf Forests",S17_Biome_Strata!$B$4:$B$95,$A5,S17_Biome_Strata!$D$4:$D$95,$B5)</x:f>
        <x:v>23.811471381350174</x:v>
      </x:c>
      <x:c r="J5" s="167" t="n">
        <x:f aca="0">SUMIFS(S17_Biome_Strata!$AP$4:$AP$95,S17_Biome_Strata!$A$4:$A$95,"Tropical &amp; Subtropical Moist Broadleaf Forests",S17_Biome_Strata!$B$4:$B$95,$A5,S17_Biome_Strata!$D$4:$D$95,$B5)</x:f>
        <x:v>91.29251088164</x:v>
      </x:c>
      <x:c r="K5" s="167" t="n">
        <x:f aca="0">SUMIFS(S17_Biome_Strata!$AQ$4:$AQ$95,S17_Biome_Strata!$A$4:$A$95,"Tropical &amp; Subtropical Moist Broadleaf Forests",S17_Biome_Strata!$B$4:$B$95,$A5,S17_Biome_Strata!$D$4:$D$95,$B5)</x:f>
        <x:v>221.3565057200337</x:v>
      </x:c>
      <x:c r="L5" s="167" t="n">
        <x:f aca="0">SUMIFS(S17_Biome_Strata!$AR$4:$AR$95,S17_Biome_Strata!$A$4:$A$95,"Tropical &amp; Subtropical Moist Broadleaf Forests",S17_Biome_Strata!$B$4:$B$95,$A5,S17_Biome_Strata!$D$4:$D$95,$B5)</x:f>
        <x:v>416.8613939542607</x:v>
      </x:c>
      <x:c r="M5" s="167" t="n">
        <x:f aca="0">SUMIFS(S17_Biome_Strata!$AS$4:$AS$95,S17_Biome_Strata!$A$4:$A$95,"Tropical &amp; Subtropical Moist Broadleaf Forests",S17_Biome_Strata!$B$4:$B$95,$A5,S17_Biome_Strata!$D$4:$D$95,$B5)</x:f>
        <x:v>671.0987565190645</x:v>
      </x:c>
      <x:c r="N5" s="167" t="n">
        <x:f aca="0">SUMIFS(S17_Biome_Strata!$AT$4:$AT$95,S17_Biome_Strata!$A$4:$A$95,"Tropical &amp; Subtropical Moist Broadleaf Forests",S17_Biome_Strata!$B$4:$B$95,$A5,S17_Biome_Strata!$D$4:$D$95,$B5)</x:f>
        <x:v>971.9455422772314</x:v>
      </x:c>
      <x:c r="O5" s="167" t="n">
        <x:f aca="0">SUMIFS(S17_Biome_Strata!$AU$4:$AU$95,S17_Biome_Strata!$A$4:$A$95,"Tropical &amp; Subtropical Moist Broadleaf Forests",S17_Biome_Strata!$B$4:$B$95,$A5,S17_Biome_Strata!$D$4:$D$95,$B5)</x:f>
        <x:v>1305.3814516928517</x:v>
      </x:c>
      <x:c r="P5" s="167" t="n">
        <x:f aca="0">SUMIFS(S17_Biome_Strata!$AV$4:$AV$95,S17_Biome_Strata!$A$4:$A$95,"Tropical &amp; Subtropical Moist Broadleaf Forests",S17_Biome_Strata!$B$4:$B$95,$A5,S17_Biome_Strata!$D$4:$D$95,$B5)</x:f>
        <x:v>1657.7856171814215</x:v>
      </x:c>
      <x:c r="Q5" s="167" t="n">
        <x:f aca="0">SUMIFS(S17_Biome_Strata!$AW$4:$AW$95,S17_Biome_Strata!$A$4:$A$95,"Tropical &amp; Subtropical Moist Broadleaf Forests",S17_Biome_Strata!$B$4:$B$95,$A5,S17_Biome_Strata!$D$4:$D$95,$B5)</x:f>
        <x:v>2017.1990070237098</x:v>
      </x:c>
      <x:c r="R5" s="167" t="n">
        <x:f aca="0">SUMIFS(S17_Biome_Strata!$AX$4:$AX$95,S17_Biome_Strata!$A$4:$A$95,"Tropical &amp; Subtropical Moist Broadleaf Forests",S17_Biome_Strata!$B$4:$B$95,$A5,S17_Biome_Strata!$D$4:$D$95,$B5)</x:f>
        <x:v>2373.8572638622645</x:v>
      </x:c>
      <x:c r="S5" s="167" t="n">
        <x:f aca="0">SUMIFS(S17_Biome_Strata!$AY$4:$AY$95,S17_Biome_Strata!$A$4:$A$95,"Tropical &amp; Subtropical Moist Broadleaf Forests",S17_Biome_Strata!$B$4:$B$95,$A5,S17_Biome_Strata!$D$4:$D$95,$B5)</x:f>
        <x:v>2720.2668834375763</x:v>
      </x:c>
      <x:c r="T5" s="167" t="n">
        <x:f aca="0">SUMIFS(S17_Biome_Strata!$AZ$4:$AZ$95,S17_Biome_Strata!$A$4:$A$95,"Tropical &amp; Subtropical Moist Broadleaf Forests",S17_Biome_Strata!$B$4:$B$95,$A5,S17_Biome_Strata!$D$4:$D$95,$B5)</x:f>
        <x:v>3051.0273891589786</x:v>
      </x:c>
      <x:c r="U5" s="167" t="n">
        <x:f aca="0">SUMIFS(S17_Biome_Strata!$BA$4:$BA$95,S17_Biome_Strata!$A$4:$A$95,"Tropical &amp; Subtropical Moist Broadleaf Forests",S17_Biome_Strata!$B$4:$B$95,$A5,S17_Biome_Strata!$D$4:$D$95,$B5)</x:f>
        <x:v>3362.5350408700965</x:v>
      </x:c>
      <x:c r="V5" s="167" t="n">
        <x:f aca="0">SUMIFS(S17_Biome_Strata!$BB$4:$BB$95,S17_Biome_Strata!$A$4:$A$95,"Tropical &amp; Subtropical Moist Broadleaf Forests",S17_Biome_Strata!$B$4:$B$95,$A5,S17_Biome_Strata!$D$4:$D$95,$B5)</x:f>
        <x:v>3652.651583698968</x:v>
      </x:c>
      <x:c r="W5" s="167" t="n">
        <x:f aca="0">SUMIFS(S17_Biome_Strata!$BC$4:$BC$95,S17_Biome_Strata!$A$4:$A$95,"Tropical &amp; Subtropical Moist Broadleaf Forests",S17_Biome_Strata!$B$4:$B$95,$A5,S17_Biome_Strata!$D$4:$D$95,$B5)</x:f>
        <x:v>3920.385176977486</x:v>
      </x:c>
      <x:c r="X5" s="167" t="n">
        <x:f aca="0">SUMIFS(S17_Biome_Strata!$BD$4:$BD$95,S17_Biome_Strata!$A$4:$A$95,"Tropical &amp; Subtropical Moist Broadleaf Forests",S17_Biome_Strata!$B$4:$B$95,$A5,S17_Biome_Strata!$D$4:$D$95,$B5)</x:f>
        <x:v>4165.606948776324</x:v>
      </x:c>
      <x:c r="Y5" s="167" t="n">
        <x:f aca="0">SUMIFS(S17_Biome_Strata!$BE$4:$BE$95,S17_Biome_Strata!$A$4:$A$95,"Tropical &amp; Subtropical Moist Broadleaf Forests",S17_Biome_Strata!$B$4:$B$95,$A5,S17_Biome_Strata!$D$4:$D$95,$B5)</x:f>
        <x:v>4388.812099033865</x:v>
      </x:c>
      <x:c r="Z5" s="167" t="n">
        <x:f aca="0">SUMIFS(S17_Biome_Strata!$BF$4:$BF$95,S17_Biome_Strata!$A$4:$A$95,"Tropical &amp; Subtropical Moist Broadleaf Forests",S17_Biome_Strata!$B$4:$B$95,$A5,S17_Biome_Strata!$D$4:$D$95,$B5)</x:f>
        <x:v>4590.926157094646</x:v>
      </x:c>
      <x:c r="AA5" s="167" t="n">
        <x:f aca="0">F5*(1-$D5)</x:f>
        <x:v>0</x:v>
      </x:c>
      <x:c r="AB5" s="167" t="n">
        <x:f aca="0">G5*(1-$D5)</x:f>
        <x:v>0</x:v>
      </x:c>
      <x:c r="AC5" s="167" t="n">
        <x:f aca="0">H5*(1-$D5)</x:f>
        <x:v>1.358611138524921</x:v>
      </x:c>
      <x:c r="AD5" s="167" t="n">
        <x:f aca="0">I5*(1-$D5)</x:f>
        <x:v>16.374300629100595</x:v>
      </x:c>
      <x:c r="AE5" s="167" t="n">
        <x:f aca="0">J5*(1-$D5)</x:f>
        <x:v>62.77860760558547</x:v>
      </x:c>
      <x:c r="AF5" s="167" t="n">
        <x:f aca="0">K5*(1-$D5)</x:f>
        <x:v>152.21898356545555</x:v>
      </x:c>
      <x:c r="AG5" s="167" t="n">
        <x:f aca="0">L5*(1-$D5)</x:f>
        <x:v>286.6607307022268</x:v>
      </x:c>
      <x:c r="AH5" s="167" t="n">
        <x:f aca="0">M5*(1-$D5)</x:f>
        <x:v>461.4907081998077</x:v>
      </x:c>
      <x:c r="AI5" s="167" t="n">
        <x:f aca="0">N5*(1-$D5)</x:f>
        <x:v>668.3723256525263</x:v>
      </x:c>
      <x:c r="AJ5" s="167" t="n">
        <x:f aca="0">O5*(1-$D5)</x:f>
        <x:v>897.6643225169106</x:v>
      </x:c>
      <x:c r="AK5" s="167" t="n">
        <x:f aca="0">P5*(1-$D5)</x:f>
        <x:v>1140.000113373442</x:v>
      </x:c>
      <x:c r="AL5" s="167" t="n">
        <x:f aca="0">Q5*(1-$D5)</x:f>
        <x:v>1387.1558981273054</x:v>
      </x:c>
      <x:c r="AM5" s="167" t="n">
        <x:f aca="0">R5*(1-$D5)</x:f>
        <x:v>1632.4170760610448</x:v>
      </x:c>
      <x:c r="AN5" s="167" t="n">
        <x:f aca="0">S5*(1-$D5)</x:f>
        <x:v>1870.6306312376964</x:v>
      </x:c>
      <x:c r="AO5" s="167" t="n">
        <x:f aca="0">T5*(1-$D5)</x:f>
        <x:v>2098.082848287901</x:v>
      </x:c>
      <x:c r="AP5" s="167" t="n">
        <x:f aca="0">U5*(1-$D5)</x:f>
        <x:v>2312.295563482731</x:v>
      </x:c>
      <x:c r="AQ5" s="167" t="n">
        <x:f aca="0">V5*(1-$D5)</x:f>
        <x:v>2511.798375118133</x:v>
      </x:c>
      <x:c r="AR5" s="167" t="n">
        <x:f aca="0">W5*(1-$D5)</x:f>
        <x:v>2695.90922969915</x:v>
      </x:c>
      <x:c r="AS5" s="167" t="n">
        <x:f aca="0">X5*(1-$D5)</x:f>
        <x:v>2864.5395065908083</x:v>
      </x:c>
      <x:c r="AT5" s="167" t="n">
        <x:f aca="0">Y5*(1-$D5)</x:f>
        <x:v>3018.029737150147</x:v>
      </x:c>
      <x:c r="AU5" s="167" t="n">
        <x:f aca="0">Z5*(1-$D5)</x:f>
        <x:v>3157.016374937126</x:v>
      </x:c>
      <x:c r="AV5" s="37" t="str">
        <x:v>Formula-derived: S17_Biome_Strata row gross stock = eligible area × S15_Source_Strata stock/ha; S15_Source_Strata stock = cohort-aligned Chapman-Richards D/H → Chave AGB → conservative calibration → CF × (1+R) × 44/12. PB applied separately by Biome × Cohort.</x:v>
      </x:c>
    </x:row>
    <x:row r="6" ht="15" hidden="0" customHeight="1">
      <x:c r="A6" s="37" t="s">
        <x:v>111</x:v>
      </x:c>
      <x:c r="B6" s="37" t="n">
        <x:v>2022</x:v>
      </x:c>
      <x:c r="C6" s="167" t="n">
        <x:f aca="0">SUMIFS(S17_Biome_Strata!$F$4:$F$95,S17_Biome_Strata!$A$4:$A$95,"Tropical &amp; Subtropical Moist Broadleaf Forests",S17_Biome_Strata!$B$4:$B$95,$A6,S17_Biome_Strata!$D$4:$D$95,$B6)</x:f>
        <x:v>4.0013000000000005</x:v>
      </x:c>
      <x:c r="D6" s="167" t="n">
        <x:f aca="0">S09_PB_Input!H10</x:f>
        <x:v>0.3123356231599608</x:v>
      </x:c>
      <x:c r="E6" s="168" t="str">
        <x:f aca="0">S09_PB_Input!I10</x:f>
        <x:v>VM0047 v1.1 Appendix 1: Z-test significant; PB_t = ΔSI_control / ΔSI_wp (Eq. A8). Source: 20260814_304027_GKF_ProjectPlots_PB.xlsx.</x:v>
      </x:c>
      <x:c r="F6" s="167" t="n">
        <x:f aca="0">SUMIFS(S17_Biome_Strata!$AL$4:$AL$95,S17_Biome_Strata!$A$4:$A$95,"Tropical &amp; Subtropical Moist Broadleaf Forests",S17_Biome_Strata!$B$4:$B$95,$A6,S17_Biome_Strata!$D$4:$D$95,$B6)</x:f>
        <x:v>0</x:v>
      </x:c>
      <x:c r="G6" s="167" t="n">
        <x:f aca="0">SUMIFS(S17_Biome_Strata!$AM$4:$AM$95,S17_Biome_Strata!$A$4:$A$95,"Tropical &amp; Subtropical Moist Broadleaf Forests",S17_Biome_Strata!$B$4:$B$95,$A6,S17_Biome_Strata!$D$4:$D$95,$B6)</x:f>
        <x:v>0</x:v>
      </x:c>
      <x:c r="H6" s="167" t="n">
        <x:f aca="0">SUMIFS(S17_Biome_Strata!$AN$4:$AN$95,S17_Biome_Strata!$A$4:$A$95,"Tropical &amp; Subtropical Moist Broadleaf Forests",S17_Biome_Strata!$B$4:$B$95,$A6,S17_Biome_Strata!$D$4:$D$95,$B6)</x:f>
        <x:v>0</x:v>
      </x:c>
      <x:c r="I6" s="167" t="n">
        <x:f aca="0">SUMIFS(S17_Biome_Strata!$AO$4:$AO$95,S17_Biome_Strata!$A$4:$A$95,"Tropical &amp; Subtropical Moist Broadleaf Forests",S17_Biome_Strata!$B$4:$B$95,$A6,S17_Biome_Strata!$D$4:$D$95,$B6)</x:f>
        <x:v>0.2585860731354065</x:v>
      </x:c>
      <x:c r="J6" s="167" t="n">
        <x:f aca="0">SUMIFS(S17_Biome_Strata!$AP$4:$AP$95,S17_Biome_Strata!$A$4:$A$95,"Tropical &amp; Subtropical Moist Broadleaf Forests",S17_Biome_Strata!$B$4:$B$95,$A6,S17_Biome_Strata!$D$4:$D$95,$B6)</x:f>
        <x:v>3.1416897390073406</x:v>
      </x:c>
      <x:c r="K6" s="167" t="n">
        <x:f aca="0">SUMIFS(S17_Biome_Strata!$AQ$4:$AQ$95,S17_Biome_Strata!$A$4:$A$95,"Tropical &amp; Subtropical Moist Broadleaf Forests",S17_Biome_Strata!$B$4:$B$95,$A6,S17_Biome_Strata!$D$4:$D$95,$B6)</x:f>
        <x:v>11.907236813700425</x:v>
      </x:c>
      <x:c r="L6" s="167" t="n">
        <x:f aca="0">SUMIFS(S17_Biome_Strata!$AR$4:$AR$95,S17_Biome_Strata!$A$4:$A$95,"Tropical &amp; Subtropical Moist Broadleaf Forests",S17_Biome_Strata!$B$4:$B$95,$A6,S17_Biome_Strata!$D$4:$D$95,$B6)</x:f>
        <x:v>28.348336695952263</x:v>
      </x:c>
      <x:c r="M6" s="167" t="n">
        <x:f aca="0">SUMIFS(S17_Biome_Strata!$AS$4:$AS$95,S17_Biome_Strata!$A$4:$A$95,"Tropical &amp; Subtropical Moist Broadleaf Forests",S17_Biome_Strata!$B$4:$B$95,$A6,S17_Biome_Strata!$D$4:$D$95,$B6)</x:f>
        <x:v>52.28541332435303</x:v>
      </x:c>
      <x:c r="N6" s="167" t="n">
        <x:f aca="0">SUMIFS(S17_Biome_Strata!$AT$4:$AT$95,S17_Biome_Strata!$A$4:$A$95,"Tropical &amp; Subtropical Moist Broadleaf Forests",S17_Biome_Strata!$B$4:$B$95,$A6,S17_Biome_Strata!$D$4:$D$95,$B6)</x:f>
        <x:v>82.38411493559823</x:v>
      </x:c>
      <x:c r="O6" s="167" t="n">
        <x:f aca="0">SUMIFS(S17_Biome_Strata!$AU$4:$AU$95,S17_Biome_Strata!$A$4:$A$95,"Tropical &amp; Subtropical Moist Broadleaf Forests",S17_Biome_Strata!$B$4:$B$95,$A6,S17_Biome_Strata!$D$4:$D$95,$B6)</x:f>
        <x:v>116.81577557704311</x:v>
      </x:c>
      <x:c r="P6" s="167" t="n">
        <x:f aca="0">SUMIFS(S17_Biome_Strata!$AV$4:$AV$95,S17_Biome_Strata!$A$4:$A$95,"Tropical &amp; Subtropical Moist Broadleaf Forests",S17_Biome_Strata!$B$4:$B$95,$A6,S17_Biome_Strata!$D$4:$D$95,$B6)</x:f>
        <x:v>153.73063521832154</x:v>
      </x:c>
      <x:c r="Q6" s="167" t="n">
        <x:f aca="0">SUMIFS(S17_Biome_Strata!$AW$4:$AW$95,S17_Biome_Strata!$A$4:$A$95,"Tropical &amp; Subtropical Moist Broadleaf Forests",S17_Biome_Strata!$B$4:$B$95,$A6,S17_Biome_Strata!$D$4:$D$95,$B6)</x:f>
        <x:v>191.51254256358445</x:v>
      </x:c>
      <x:c r="R6" s="167" t="n">
        <x:f aca="0">SUMIFS(S17_Biome_Strata!$AX$4:$AX$95,S17_Biome_Strata!$A$4:$A$95,"Tropical &amp; Subtropical Moist Broadleaf Forests",S17_Biome_Strata!$B$4:$B$95,$A6,S17_Biome_Strata!$D$4:$D$95,$B6)</x:f>
        <x:v>228.87901202860394</x:v>
      </x:c>
      <x:c r="S6" s="167" t="n">
        <x:f aca="0">SUMIFS(S17_Biome_Strata!$AY$4:$AY$95,S17_Biome_Strata!$A$4:$A$95,"Tropical &amp; Subtropical Moist Broadleaf Forests",S17_Biome_Strata!$B$4:$B$95,$A6,S17_Biome_Strata!$D$4:$D$95,$B6)</x:f>
        <x:v>264.8897306636801</x:v>
      </x:c>
      <x:c r="T6" s="167" t="n">
        <x:f aca="0">SUMIFS(S17_Biome_Strata!$AZ$4:$AZ$95,S17_Biome_Strata!$A$4:$A$95,"Tropical &amp; Subtropical Moist Broadleaf Forests",S17_Biome_Strata!$B$4:$B$95,$A6,S17_Biome_Strata!$D$4:$D$95,$B6)</x:f>
        <x:v>298.90914346905697</x:v>
      </x:c>
      <x:c r="U6" s="167" t="n">
        <x:f aca="0">SUMIFS(S17_Biome_Strata!$BA$4:$BA$95,S17_Biome_Strata!$A$4:$A$95,"Tropical &amp; Subtropical Moist Broadleaf Forests",S17_Biome_Strata!$B$4:$B$95,$A6,S17_Biome_Strata!$D$4:$D$95,$B6)</x:f>
        <x:v>330.55149599878905</x:v>
      </x:c>
      <x:c r="V6" s="167" t="n">
        <x:f aca="0">SUMIFS(S17_Biome_Strata!$BB$4:$BB$95,S17_Biome_Strata!$A$4:$A$95,"Tropical &amp; Subtropical Moist Broadleaf Forests",S17_Biome_Strata!$B$4:$B$95,$A6,S17_Biome_Strata!$D$4:$D$95,$B6)</x:f>
        <x:v>359.6240423092753</x:v>
      </x:c>
      <x:c r="W6" s="167" t="n">
        <x:f aca="0">SUMIFS(S17_Biome_Strata!$BC$4:$BC$95,S17_Biome_Strata!$A$4:$A$95,"Tropical &amp; Subtropical Moist Broadleaf Forests",S17_Biome_Strata!$B$4:$B$95,$A6,S17_Biome_Strata!$D$4:$D$95,$B6)</x:f>
        <x:v>386.0760051984196</x:v>
      </x:c>
      <x:c r="X6" s="167" t="n">
        <x:f aca="0">SUMIFS(S17_Biome_Strata!$BD$4:$BD$95,S17_Biome_Strata!$A$4:$A$95,"Tropical &amp; Subtropical Moist Broadleaf Forests",S17_Biome_Strata!$B$4:$B$95,$A6,S17_Biome_Strata!$D$4:$D$95,$B6)</x:f>
        <x:v>409.95613840579284</x:v>
      </x:c>
      <x:c r="Y6" s="167" t="n">
        <x:f aca="0">SUMIFS(S17_Biome_Strata!$BE$4:$BE$95,S17_Biome_Strata!$A$4:$A$95,"Tropical &amp; Subtropical Moist Broadleaf Forests",S17_Biome_Strata!$B$4:$B$95,$A6,S17_Biome_Strata!$D$4:$D$95,$B6)</x:f>
        <x:v>431.37921621874284</x:v>
      </x:c>
      <x:c r="Z6" s="167" t="n">
        <x:f aca="0">SUMIFS(S17_Biome_Strata!$BF$4:$BF$95,S17_Biome_Strata!$A$4:$A$95,"Tropical &amp; Subtropical Moist Broadleaf Forests",S17_Biome_Strata!$B$4:$B$95,$A6,S17_Biome_Strata!$D$4:$D$95,$B6)</x:f>
        <x:v>450.5005847495466</x:v>
      </x:c>
      <x:c r="AA6" s="167" t="n">
        <x:f aca="0">F6*(1-$D6)</x:f>
        <x:v>0</x:v>
      </x:c>
      <x:c r="AB6" s="167" t="n">
        <x:f aca="0">G6*(1-$D6)</x:f>
        <x:v>0</x:v>
      </x:c>
      <x:c r="AC6" s="167" t="n">
        <x:f aca="0">H6*(1-$D6)</x:f>
        <x:v>0</x:v>
      </x:c>
      <x:c r="AD6" s="167" t="n">
        <x:f aca="0">I6*(1-$D6)</x:f>
        <x:v>0.1778204308421721</x:v>
      </x:c>
      <x:c r="AE6" s="167" t="n">
        <x:f aca="0">J6*(1-$D6)</x:f>
        <x:v>2.1604281165992285</x:v>
      </x:c>
      <x:c r="AF6" s="167" t="n">
        <x:f aca="0">K6*(1-$D6)</x:f>
        <x:v>8.188182583380078</x:v>
      </x:c>
      <x:c r="AG6" s="167" t="n">
        <x:f aca="0">L6*(1-$D6)</x:f>
        <x:v>19.494141288473628</x:v>
      </x:c>
      <x:c r="AH6" s="167" t="n">
        <x:f aca="0">M6*(1-$D6)</x:f>
        <x:v>35.95481617151511</x:v>
      </x:c>
      <x:c r="AI6" s="167" t="n">
        <x:f aca="0">N6*(1-$D6)</x:f>
        <x:v>56.65262105870633</x:v>
      </x:c>
      <x:c r="AJ6" s="167" t="n">
        <x:f aca="0">O6*(1-$D6)</x:f>
        <x:v>80.33004751727323</x:v>
      </x:c>
      <x:c r="AK6" s="167" t="n">
        <x:f aca="0">P6*(1-$D6)</x:f>
        <x:v>105.71508146863047</x:v>
      </x:c>
      <x:c r="AL6" s="167" t="n">
        <x:f aca="0">Q6*(1-$D6)</x:f>
        <x:v>131.69635323903879</x:v>
      </x:c>
      <x:c r="AM6" s="167" t="n">
        <x:f aca="0">R6*(1-$D6)</x:f>
        <x:v>157.39194317841378</x:v>
      </x:c>
      <x:c r="AN6" s="167" t="n">
        <x:f aca="0">S6*(1-$D6)</x:f>
        <x:v>182.1552315681654</x:v>
      </x:c>
      <x:c r="AO6" s="167" t="n">
        <x:f aca="0">T6*(1-$D6)</x:f>
        <x:v>205.54916987543893</x:v>
      </x:c>
      <x:c r="AP6" s="167" t="n">
        <x:f aca="0">U6*(1-$D6)</x:f>
        <x:v>227.30848850955</x:v>
      </x:c>
      <x:c r="AQ6" s="167" t="n">
        <x:f aca="0">V6*(1-$D6)</x:f>
        <x:v>247.3006429513037</x:v>
      </x:c>
      <x:c r="AR6" s="167" t="n">
        <x:f aca="0">W6*(1-$D6)</x:f>
        <x:v>265.4907155276629</x:v>
      </x:c>
      <x:c r="AS6" s="167" t="n">
        <x:f aca="0">X6*(1-$D6)</x:f>
        <x:v>281.91223244856843</x:v>
      </x:c>
      <x:c r="AT6" s="167" t="n">
        <x:f aca="0">Y6*(1-$D6)</x:f>
        <x:v>296.6441199028063</x:v>
      </x:c>
      <x:c r="AU6" s="167" t="n">
        <x:f aca="0">Z6*(1-$D6)</x:f>
        <x:v>309.7932038778702</x:v>
      </x:c>
      <x:c r="AV6" s="37" t="str">
        <x:v>Formula-derived: S17_Biome_Strata row gross stock = eligible area × S15_Source_Strata stock/ha; S15_Source_Strata stock = cohort-aligned Chapman-Richards D/H → Chave AGB → conservative calibration → CF × (1+R) × 44/12. PB applied separately by Biome × Cohort.</x:v>
      </x:c>
    </x:row>
    <x:row r="7" ht="15" hidden="0" customHeight="1">
      <x:c r="A7" s="37" t="s">
        <x:v>111</x:v>
      </x:c>
      <x:c r="B7" s="37" t="n">
        <x:v>2023</x:v>
      </x:c>
      <x:c r="C7" s="167" t="n">
        <x:f aca="0">SUMIFS(S17_Biome_Strata!$F$4:$F$95,S17_Biome_Strata!$A$4:$A$95,"Tropical &amp; Subtropical Moist Broadleaf Forests",S17_Biome_Strata!$B$4:$B$95,$A7,S17_Biome_Strata!$D$4:$D$95,$B7)</x:f>
        <x:v>3.1262</x:v>
      </x:c>
      <x:c r="D7" s="167" t="n">
        <x:f aca="0">S09_PB_Input!H11</x:f>
        <x:v>0.3123356231599608</x:v>
      </x:c>
      <x:c r="E7" s="168" t="str">
        <x:f aca="0">S09_PB_Input!I11</x:f>
        <x:v>VM0047 v1.1 Appendix 1: Z-test significant; PB_t = ΔSI_control / ΔSI_wp (Eq. A8). Source: 20260814_304027_GKF_ProjectPlots_PB.xlsx.</x:v>
      </x:c>
      <x:c r="F7" s="167" t="n">
        <x:f aca="0">SUMIFS(S17_Biome_Strata!$AL$4:$AL$95,S17_Biome_Strata!$A$4:$A$95,"Tropical &amp; Subtropical Moist Broadleaf Forests",S17_Biome_Strata!$B$4:$B$95,$A7,S17_Biome_Strata!$D$4:$D$95,$B7)</x:f>
        <x:v>0</x:v>
      </x:c>
      <x:c r="G7" s="167" t="n">
        <x:f aca="0">SUMIFS(S17_Biome_Strata!$AM$4:$AM$95,S17_Biome_Strata!$A$4:$A$95,"Tropical &amp; Subtropical Moist Broadleaf Forests",S17_Biome_Strata!$B$4:$B$95,$A7,S17_Biome_Strata!$D$4:$D$95,$B7)</x:f>
        <x:v>0</x:v>
      </x:c>
      <x:c r="H7" s="167" t="n">
        <x:f aca="0">SUMIFS(S17_Biome_Strata!$AN$4:$AN$95,S17_Biome_Strata!$A$4:$A$95,"Tropical &amp; Subtropical Moist Broadleaf Forests",S17_Biome_Strata!$B$4:$B$95,$A7,S17_Biome_Strata!$D$4:$D$95,$B7)</x:f>
        <x:v>0</x:v>
      </x:c>
      <x:c r="I7" s="167" t="n">
        <x:f aca="0">SUMIFS(S17_Biome_Strata!$AO$4:$AO$95,S17_Biome_Strata!$A$4:$A$95,"Tropical &amp; Subtropical Moist Broadleaf Forests",S17_Biome_Strata!$B$4:$B$95,$A7,S17_Biome_Strata!$D$4:$D$95,$B7)</x:f>
        <x:v>0</x:v>
      </x:c>
      <x:c r="J7" s="167" t="n">
        <x:f aca="0">SUMIFS(S17_Biome_Strata!$AP$4:$AP$95,S17_Biome_Strata!$A$4:$A$95,"Tropical &amp; Subtropical Moist Broadleaf Forests",S17_Biome_Strata!$B$4:$B$95,$A7,S17_Biome_Strata!$D$4:$D$95,$B7)</x:f>
        <x:v>0.18240223762126156</x:v>
      </x:c>
      <x:c r="K7" s="167" t="n">
        <x:f aca="0">SUMIFS(S17_Biome_Strata!$AQ$4:$AQ$95,S17_Biome_Strata!$A$4:$A$95,"Tropical &amp; Subtropical Moist Broadleaf Forests",S17_Biome_Strata!$B$4:$B$95,$A7,S17_Biome_Strata!$D$4:$D$95,$B7)</x:f>
        <x:v>2.2167119406274765</x:v>
      </x:c>
      <x:c r="L7" s="167" t="n">
        <x:f aca="0">SUMIFS(S17_Biome_Strata!$AR$4:$AR$95,S17_Biome_Strata!$A$4:$A$95,"Tropical &amp; Subtropical Moist Broadleaf Forests",S17_Biome_Strata!$B$4:$B$95,$A7,S17_Biome_Strata!$D$4:$D$95,$B7)</x:f>
        <x:v>8.44997441530504</x:v>
      </x:c>
      <x:c r="M7" s="167" t="n">
        <x:f aca="0">SUMIFS(S17_Biome_Strata!$AS$4:$AS$95,S17_Biome_Strata!$A$4:$A$95,"Tropical &amp; Subtropical Moist Broadleaf Forests",S17_Biome_Strata!$B$4:$B$95,$A7,S17_Biome_Strata!$D$4:$D$95,$B7)</x:f>
        <x:v>20.27234753569052</x:v>
      </x:c>
      <x:c r="N7" s="167" t="n">
        <x:f aca="0">SUMIFS(S17_Biome_Strata!$AT$4:$AT$95,S17_Biome_Strata!$A$4:$A$95,"Tropical &amp; Subtropical Moist Broadleaf Forests",S17_Biome_Strata!$B$4:$B$95,$A7,S17_Biome_Strata!$D$4:$D$95,$B7)</x:f>
        <x:v>37.70643385767417</x:v>
      </x:c>
      <x:c r="O7" s="167" t="n">
        <x:f aca="0">SUMIFS(S17_Biome_Strata!$AU$4:$AU$95,S17_Biome_Strata!$A$4:$A$95,"Tropical &amp; Subtropical Moist Broadleaf Forests",S17_Biome_Strata!$B$4:$B$95,$A7,S17_Biome_Strata!$D$4:$D$95,$B7)</x:f>
        <x:v>59.927846026057026</x:v>
      </x:c>
      <x:c r="P7" s="167" t="n">
        <x:f aca="0">SUMIFS(S17_Biome_Strata!$AV$4:$AV$95,S17_Biome_Strata!$A$4:$A$95,"Tropical &amp; Subtropical Moist Broadleaf Forests",S17_Biome_Strata!$B$4:$B$95,$A7,S17_Biome_Strata!$D$4:$D$95,$B7)</x:f>
        <x:v>85.70398810117679</x:v>
      </x:c>
      <x:c r="Q7" s="167" t="n">
        <x:f aca="0">SUMIFS(S17_Biome_Strata!$AW$4:$AW$95,S17_Biome_Strata!$A$4:$A$95,"Tropical &amp; Subtropical Moist Broadleaf Forests",S17_Biome_Strata!$B$4:$B$95,$A7,S17_Biome_Strata!$D$4:$D$95,$B7)</x:f>
        <x:v>113.72685957283319</x:v>
      </x:c>
      <x:c r="R7" s="167" t="n">
        <x:f aca="0">SUMIFS(S17_Biome_Strata!$AX$4:$AX$95,S17_Biome_Strata!$A$4:$A$95,"Tropical &amp; Subtropical Moist Broadleaf Forests",S17_Biome_Strata!$B$4:$B$95,$A7,S17_Biome_Strata!$D$4:$D$95,$B7)</x:f>
        <x:v>142.80589101256174</x:v>
      </x:c>
      <x:c r="S7" s="167" t="n">
        <x:f aca="0">SUMIFS(S17_Biome_Strata!$AY$4:$AY$95,S17_Biome_Strata!$A$4:$A$95,"Tropical &amp; Subtropical Moist Broadleaf Forests",S17_Biome_Strata!$B$4:$B$95,$A7,S17_Biome_Strata!$D$4:$D$95,$B7)</x:f>
        <x:v>171.95602828792124</x:v>
      </x:c>
      <x:c r="T7" s="167" t="n">
        <x:f aca="0">SUMIFS(S17_Biome_Strata!$AZ$4:$AZ$95,S17_Biome_Strata!$A$4:$A$95,"Tropical &amp; Subtropical Moist Broadleaf Forests",S17_Biome_Strata!$B$4:$B$95,$A7,S17_Biome_Strata!$D$4:$D$95,$B7)</x:f>
        <x:v>200.41988531651498</x:v>
      </x:c>
      <x:c r="U7" s="167" t="n">
        <x:f aca="0">SUMIFS(S17_Biome_Strata!$BA$4:$BA$95,S17_Biome_Strata!$A$4:$A$95,"Tropical &amp; Subtropical Moist Broadleaf Forests",S17_Biome_Strata!$B$4:$B$95,$A7,S17_Biome_Strata!$D$4:$D$95,$B7)</x:f>
        <x:v>227.65376715258438</x:v>
      </x:c>
      <x:c r="V7" s="167" t="n">
        <x:f aca="0">SUMIFS(S17_Biome_Strata!$BB$4:$BB$95,S17_Biome_Strata!$A$4:$A$95,"Tropical &amp; Subtropical Moist Broadleaf Forests",S17_Biome_Strata!$B$4:$B$95,$A7,S17_Biome_Strata!$D$4:$D$95,$B7)</x:f>
        <x:v>253.29718200854637</x:v>
      </x:c>
      <x:c r="W7" s="167" t="n">
        <x:f aca="0">SUMIFS(S17_Biome_Strata!$BC$4:$BC$95,S17_Biome_Strata!$A$4:$A$95,"Tropical &amp; Subtropical Moist Broadleaf Forests",S17_Biome_Strata!$B$4:$B$95,$A7,S17_Biome_Strata!$D$4:$D$95,$B7)</x:f>
        <x:v>277.13747758524005</x:v>
      </x:c>
      <x:c r="X7" s="167" t="n">
        <x:f aca="0">SUMIFS(S17_Biome_Strata!$BD$4:$BD$95,S17_Biome_Strata!$A$4:$A$95,"Tropical &amp; Subtropical Moist Broadleaf Forests",S17_Biome_Strata!$B$4:$B$95,$A7,S17_Biome_Strata!$D$4:$D$95,$B7)</x:f>
        <x:v>299.0758280835735</x:v>
      </x:c>
      <x:c r="Y7" s="167" t="n">
        <x:f aca="0">SUMIFS(S17_Biome_Strata!$BE$4:$BE$95,S17_Biome_Strata!$A$4:$A$95,"Tropical &amp; Subtropical Moist Broadleaf Forests",S17_Biome_Strata!$B$4:$B$95,$A7,S17_Biome_Strata!$D$4:$D$95,$B7)</x:f>
        <x:v>319.0974461425512</x:v>
      </x:c>
      <x:c r="Z7" s="167" t="n">
        <x:f aca="0">SUMIFS(S17_Biome_Strata!$BF$4:$BF$95,S17_Biome_Strata!$A$4:$A$95,"Tropical &amp; Subtropical Moist Broadleaf Forests",S17_Biome_Strata!$B$4:$B$95,$A7,S17_Biome_Strata!$D$4:$D$95,$B7)</x:f>
        <x:v>337.24696457829157</x:v>
      </x:c>
      <x:c r="AA7" s="167" t="n">
        <x:f aca="0">F7*(1-$D7)</x:f>
        <x:v>0</x:v>
      </x:c>
      <x:c r="AB7" s="167" t="n">
        <x:f aca="0">G7*(1-$D7)</x:f>
        <x:v>0</x:v>
      </x:c>
      <x:c r="AC7" s="167" t="n">
        <x:f aca="0">H7*(1-$D7)</x:f>
        <x:v>0</x:v>
      </x:c>
      <x:c r="AD7" s="167" t="n">
        <x:f aca="0">I7*(1-$D7)</x:f>
        <x:v>0</x:v>
      </x:c>
      <x:c r="AE7" s="167" t="n">
        <x:f aca="0">J7*(1-$D7)</x:f>
        <x:v>0.12543152106805358</x:v>
      </x:c>
      <x:c r="AF7" s="167" t="n">
        <x:f aca="0">K7*(1-$D7)</x:f>
        <x:v>1.5243538352854675</x:v>
      </x:c>
      <x:c r="AG7" s="167" t="n">
        <x:f aca="0">L7*(1-$D7)</x:f>
        <x:v>5.810746390615015</x:v>
      </x:c>
      <x:c r="AH7" s="167" t="n">
        <x:f aca="0">M7*(1-$D7)</x:f>
        <x:v>13.940571235215327</x:v>
      </x:c>
      <x:c r="AI7" s="167" t="n">
        <x:f aca="0">N7*(1-$D7)</x:f>
        <x:v>25.929371341597665</x:v>
      </x:c>
      <x:c r="AJ7" s="167" t="n">
        <x:f aca="0">O7*(1-$D7)</x:f>
        <x:v>41.21024489287433</x:v>
      </x:c>
      <x:c r="AK7" s="167" t="n">
        <x:f aca="0">P7*(1-$D7)</x:f>
        <x:v>58.935579570301876</x:v>
      </x:c>
      <x:c r="AL7" s="167" t="n">
        <x:f aca="0">Q7*(1-$D7)</x:f>
        <x:v>78.20591001812699</x:v>
      </x:c>
      <x:c r="AM7" s="167" t="n">
        <x:f aca="0">R7*(1-$D7)</x:f>
        <x:v>98.20252405223982</x:v>
      </x:c>
      <x:c r="AN7" s="167" t="n">
        <x:f aca="0">S7*(1-$D7)</x:f>
        <x:v>118.24803503650152</x:v>
      </x:c>
      <x:c r="AO7" s="167" t="n">
        <x:f aca="0">T7*(1-$D7)</x:f>
        <x:v>137.8216155425334</x:v>
      </x:c>
      <x:c r="AP7" s="167" t="n">
        <x:f aca="0">U7*(1-$D7)</x:f>
        <x:v>156.54938592426933</x:v>
      </x:c>
      <x:c r="AQ7" s="167" t="n">
        <x:f aca="0">V7*(1-$D7)</x:f>
        <x:v>174.18344882124504</x:v>
      </x:c>
      <x:c r="AR7" s="167" t="n">
        <x:f aca="0">W7*(1-$D7)</x:f>
        <x:v>190.57757082267443</x:v>
      </x:c>
      <x:c r="AS7" s="167" t="n">
        <x:f aca="0">X7*(1-$D7)</x:f>
        <x:v>205.66379294700928</x:v>
      </x:c>
      <x:c r="AT7" s="167" t="n">
        <x:f aca="0">Y7*(1-$D7)</x:f>
        <x:v>219.43194645286545</x:v>
      </x:c>
      <x:c r="AU7" s="167" t="n">
        <x:f aca="0">Z7*(1-$D7)</x:f>
        <x:v>231.91272373792566</x:v>
      </x:c>
      <x:c r="AV7" s="37" t="str">
        <x:v>Formula-derived: S17_Biome_Strata row gross stock = eligible area × S15_Source_Strata stock/ha; S15_Source_Strata stock = cohort-aligned Chapman-Richards D/H → Chave AGB → conservative calibration → CF × (1+R) × 44/12. PB applied separately by Biome × Cohort.</x:v>
      </x:c>
    </x:row>
    <x:row r="8" ht="15" hidden="0" customHeight="1">
      <x:c r="A8" s="37" t="s">
        <x:v>112</x:v>
      </x:c>
      <x:c r="B8" s="37" t="n">
        <x:v>2020</x:v>
      </x:c>
      <x:c r="C8" s="167" t="n">
        <x:f aca="0">SUMIFS(S17_Biome_Strata!$F$4:$F$95,S17_Biome_Strata!$A$4:$A$95,"Tropical &amp; Subtropical Moist Broadleaf Forests",S17_Biome_Strata!$B$4:$B$95,$A8,S17_Biome_Strata!$D$4:$D$95,$B8)</x:f>
        <x:v>99.9553220558479</x:v>
      </x:c>
      <x:c r="D8" s="167" t="n">
        <x:f aca="0">S09_PB_Input!H8</x:f>
        <x:v>0.3123356231599608</x:v>
      </x:c>
      <x:c r="E8" s="168" t="str">
        <x:f aca="0">S09_PB_Input!I8</x:f>
        <x:v>VM0047 v1.1 Appendix 1: Z-test significant; PB_t = ΔSI_control / ΔSI_wp (Eq. A8). Source: 20260814_304027_GKF_ProjectPlots_PB.xlsx.</x:v>
      </x:c>
      <x:c r="F8" s="167" t="n">
        <x:f aca="0">SUMIFS(S17_Biome_Strata!$AL$4:$AL$95,S17_Biome_Strata!$A$4:$A$95,"Tropical &amp; Subtropical Moist Broadleaf Forests",S17_Biome_Strata!$B$4:$B$95,$A8,S17_Biome_Strata!$D$4:$D$95,$B8)</x:f>
        <x:v>0</x:v>
      </x:c>
      <x:c r="G8" s="167" t="n">
        <x:f aca="0">SUMIFS(S17_Biome_Strata!$AM$4:$AM$95,S17_Biome_Strata!$A$4:$A$95,"Tropical &amp; Subtropical Moist Broadleaf Forests",S17_Biome_Strata!$B$4:$B$95,$A8,S17_Biome_Strata!$D$4:$D$95,$B8)</x:f>
        <x:v>41.553717632129704</x:v>
      </x:c>
      <x:c r="H8" s="167" t="n">
        <x:f aca="0">SUMIFS(S17_Biome_Strata!$AN$4:$AN$95,S17_Biome_Strata!$A$4:$A$95,"Tropical &amp; Subtropical Moist Broadleaf Forests",S17_Biome_Strata!$B$4:$B$95,$A8,S17_Biome_Strata!$D$4:$D$95,$B8)</x:f>
        <x:v>408.87817797164007</x:v>
      </x:c>
      <x:c r="I8" s="167" t="n">
        <x:f aca="0">SUMIFS(S17_Biome_Strata!$AO$4:$AO$95,S17_Biome_Strata!$A$4:$A$95,"Tropical &amp; Subtropical Moist Broadleaf Forests",S17_Biome_Strata!$B$4:$B$95,$A8,S17_Biome_Strata!$D$4:$D$95,$B8)</x:f>
        <x:v>1391.617548186276</x:v>
      </x:c>
      <x:c r="J8" s="167" t="n">
        <x:f aca="0">SUMIFS(S17_Biome_Strata!$AP$4:$AP$95,S17_Biome_Strata!$A$4:$A$95,"Tropical &amp; Subtropical Moist Broadleaf Forests",S17_Biome_Strata!$B$4:$B$95,$A8,S17_Biome_Strata!$D$4:$D$95,$B8)</x:f>
        <x:v>3101.377950531586</x:v>
      </x:c>
      <x:c r="K8" s="167" t="n">
        <x:f aca="0">SUMIFS(S17_Biome_Strata!$AQ$4:$AQ$95,S17_Biome_Strata!$A$4:$A$95,"Tropical &amp; Subtropical Moist Broadleaf Forests",S17_Biome_Strata!$B$4:$B$95,$A8,S17_Biome_Strata!$D$4:$D$95,$B8)</x:f>
        <x:v>5473.313834337964</x:v>
      </x:c>
      <x:c r="L8" s="167" t="n">
        <x:f aca="0">SUMIFS(S17_Biome_Strata!$AR$4:$AR$95,S17_Biome_Strata!$A$4:$A$95,"Tropical &amp; Subtropical Moist Broadleaf Forests",S17_Biome_Strata!$B$4:$B$95,$A8,S17_Biome_Strata!$D$4:$D$95,$B8)</x:f>
        <x:v>8361.402530391166</x:v>
      </x:c>
      <x:c r="M8" s="167" t="n">
        <x:f aca="0">SUMIFS(S17_Biome_Strata!$AS$4:$AS$95,S17_Biome_Strata!$A$4:$A$95,"Tropical &amp; Subtropical Moist Broadleaf Forests",S17_Biome_Strata!$B$4:$B$95,$A8,S17_Biome_Strata!$D$4:$D$95,$B8)</x:f>
        <x:v>11593.44777674187</x:v>
      </x:c>
      <x:c r="N8" s="167" t="n">
        <x:f aca="0">SUMIFS(S17_Biome_Strata!$AT$4:$AT$95,S17_Biome_Strata!$A$4:$A$95,"Tropical &amp; Subtropical Moist Broadleaf Forests",S17_Biome_Strata!$B$4:$B$95,$A8,S17_Biome_Strata!$D$4:$D$95,$B8)</x:f>
        <x:v>15006.292863670247</x:v>
      </x:c>
      <x:c r="O8" s="167" t="n">
        <x:f aca="0">SUMIFS(S17_Biome_Strata!$AU$4:$AU$95,S17_Biome_Strata!$A$4:$A$95,"Tropical &amp; Subtropical Moist Broadleaf Forests",S17_Biome_Strata!$B$4:$B$95,$A8,S17_Biome_Strata!$D$4:$D$95,$B8)</x:f>
        <x:v>18462.621778849603</x:v>
      </x:c>
      <x:c r="P8" s="167" t="n">
        <x:f aca="0">SUMIFS(S17_Biome_Strata!$AV$4:$AV$95,S17_Biome_Strata!$A$4:$A$95,"Tropical &amp; Subtropical Moist Broadleaf Forests",S17_Biome_Strata!$B$4:$B$95,$A8,S17_Biome_Strata!$D$4:$D$95,$B8)</x:f>
        <x:v>21856.148024463033</x:v>
      </x:c>
      <x:c r="Q8" s="167" t="n">
        <x:f aca="0">SUMIFS(S17_Biome_Strata!$AW$4:$AW$95,S17_Biome_Strata!$A$4:$A$95,"Tropical &amp; Subtropical Moist Broadleaf Forests",S17_Biome_Strata!$B$4:$B$95,$A8,S17_Biome_Strata!$D$4:$D$95,$B8)</x:f>
        <x:v>25110.447097771776</x:v>
      </x:c>
      <x:c r="R8" s="167" t="n">
        <x:f aca="0">SUMIFS(S17_Biome_Strata!$AX$4:$AX$95,S17_Biome_Strata!$A$4:$A$95,"Tropical &amp; Subtropical Moist Broadleaf Forests",S17_Biome_Strata!$B$4:$B$95,$A8,S17_Biome_Strata!$D$4:$D$95,$B8)</x:f>
        <x:v>28174.860130019777</x:v>
      </x:c>
      <x:c r="S8" s="167" t="n">
        <x:f aca="0">SUMIFS(S17_Biome_Strata!$AY$4:$AY$95,S17_Biome_Strata!$A$4:$A$95,"Tropical &amp; Subtropical Moist Broadleaf Forests",S17_Biome_Strata!$B$4:$B$95,$A8,S17_Biome_Strata!$D$4:$D$95,$B8)</x:f>
        <x:v>31019.474080768185</x:v>
      </x:c>
      <x:c r="T8" s="167" t="n">
        <x:f aca="0">SUMIFS(S17_Biome_Strata!$AZ$4:$AZ$95,S17_Biome_Strata!$A$4:$A$95,"Tropical &amp; Subtropical Moist Broadleaf Forests",S17_Biome_Strata!$B$4:$B$95,$A8,S17_Biome_Strata!$D$4:$D$95,$B8)</x:f>
        <x:v>33630.23552067906</x:v>
      </x:c>
      <x:c r="U8" s="167" t="n">
        <x:f aca="0">SUMIFS(S17_Biome_Strata!$BA$4:$BA$95,S17_Biome_Strata!$A$4:$A$95,"Tropical &amp; Subtropical Moist Broadleaf Forests",S17_Biome_Strata!$B$4:$B$95,$A8,S17_Biome_Strata!$D$4:$D$95,$B8)</x:f>
        <x:v>36004.678084565974</x:v>
      </x:c>
      <x:c r="V8" s="167" t="n">
        <x:f aca="0">SUMIFS(S17_Biome_Strata!$BB$4:$BB$95,S17_Biome_Strata!$A$4:$A$95,"Tropical &amp; Subtropical Moist Broadleaf Forests",S17_Biome_Strata!$B$4:$B$95,$A8,S17_Biome_Strata!$D$4:$D$95,$B8)</x:f>
        <x:v>38148.4185308742</x:v>
      </x:c>
      <x:c r="W8" s="167" t="n">
        <x:f aca="0">SUMIFS(S17_Biome_Strata!$BC$4:$BC$95,S17_Biome_Strata!$A$4:$A$95,"Tropical &amp; Subtropical Moist Broadleaf Forests",S17_Biome_Strata!$B$4:$B$95,$A8,S17_Biome_Strata!$D$4:$D$95,$B8)</x:f>
        <x:v>40072.40834834305</x:v>
      </x:c>
      <x:c r="X8" s="167" t="n">
        <x:f aca="0">SUMIFS(S17_Biome_Strata!$BD$4:$BD$95,S17_Biome_Strata!$A$4:$A$95,"Tropical &amp; Subtropical Moist Broadleaf Forests",S17_Biome_Strata!$B$4:$B$95,$A8,S17_Biome_Strata!$D$4:$D$95,$B8)</x:f>
        <x:v>41790.85198612111</x:v>
      </x:c>
      <x:c r="Y8" s="167" t="n">
        <x:f aca="0">SUMIFS(S17_Biome_Strata!$BE$4:$BE$95,S17_Biome_Strata!$A$4:$A$95,"Tropical &amp; Subtropical Moist Broadleaf Forests",S17_Biome_Strata!$B$4:$B$95,$A8,S17_Biome_Strata!$D$4:$D$95,$B8)</x:f>
        <x:v>43319.677732364835</x:v>
      </x:c>
      <x:c r="Z8" s="167" t="n">
        <x:f aca="0">SUMIFS(S17_Biome_Strata!$BF$4:$BF$95,S17_Biome_Strata!$A$4:$A$95,"Tropical &amp; Subtropical Moist Broadleaf Forests",S17_Biome_Strata!$B$4:$B$95,$A8,S17_Biome_Strata!$D$4:$D$95,$B8)</x:f>
        <x:v>44675.44817283402</x:v>
      </x:c>
      <x:c r="AA8" s="167" t="n">
        <x:f aca="0">F8*(1-$D8)</x:f>
        <x:v>0</x:v>
      </x:c>
      <x:c r="AB8" s="167" t="n">
        <x:f aca="0">G8*(1-$D8)</x:f>
        <x:v>28.575011340885425</x:v>
      </x:c>
      <x:c r="AC8" s="167" t="n">
        <x:f aca="0">H8*(1-$D8)</x:f>
        <x:v>281.17095745835854</x:v>
      </x:c>
      <x:c r="AD8" s="167" t="n">
        <x:f aca="0">I8*(1-$D8)</x:f>
        <x:v>956.9658140731788</x:v>
      </x:c>
      <x:c r="AE8" s="167" t="n">
        <x:f aca="0">J8*(1-$D8)</x:f>
        <x:v>2132.7071356977413</x:v>
      </x:c>
      <x:c r="AF8" s="167" t="n">
        <x:f aca="0">K8*(1-$D8)</x:f>
        <x:v>3763.802947139982</x:v>
      </x:c>
      <x:c r="AG8" s="167" t="n">
        <x:f aca="0">L8*(1-$D8)</x:f>
        <x:v>5749.838660570168</x:v>
      </x:c>
      <x:c r="AH8" s="167" t="n">
        <x:f aca="0">M8*(1-$D8)</x:f>
        <x:v>7972.401040820737</x:v>
      </x:c>
      <x:c r="AI8" s="167" t="n">
        <x:f aca="0">N8*(1-$D8)</x:f>
        <x:v>10319.293030774928</x:v>
      </x:c>
      <x:c r="AJ8" s="167" t="n">
        <x:f aca="0">O8*(1-$D8)</x:f>
        <x:v>12696.087300385949</x:v>
      </x:c>
      <x:c r="AK8" s="167" t="n">
        <x:f aca="0">P8*(1-$D8)</x:f>
        <x:v>15029.694411366027</x:v>
      </x:c>
      <x:c r="AL8" s="167" t="n">
        <x:f aca="0">Q8*(1-$D8)</x:f>
        <x:v>17267.559955664</x:v>
      </x:c>
      <x:c r="AM8" s="167" t="n">
        <x:f aca="0">R8*(1-$D8)</x:f>
        <x:v>19374.847633865316</x:v>
      </x:c>
      <x:c r="AN8" s="167" t="n">
        <x:f aca="0">S8*(1-$D8)</x:f>
        <x:v>21330.987313657202</x:v>
      </x:c>
      <x:c r="AO8" s="167" t="n">
        <x:f aca="0">T8*(1-$D8)</x:f>
        <x:v>23126.314952311517</x:v>
      </x:c>
      <x:c r="AP8" s="167" t="n">
        <x:f aca="0">U8*(1-$D8)</x:f>
        <x:v>24759.134518349278</x:v>
      </x:c>
      <x:c r="AQ8" s="167" t="n">
        <x:f aca="0">V8*(1-$D8)</x:f>
        <x:v>26233.308456466613</x:v>
      </x:c>
      <x:c r="AR8" s="167" t="n">
        <x:f aca="0">W8*(1-$D8)</x:f>
        <x:v>27556.36771534291</x:v>
      </x:c>
      <x:c r="AS8" s="167" t="n">
        <x:f aca="0">X8*(1-$D8)</x:f>
        <x:v>28738.08018865029</x:v>
      </x:c>
      <x:c r="AT8" s="167" t="n">
        <x:f aca="0">Y8*(1-$D8)</x:f>
        <x:v>29789.399192737987</x:v>
      </x:c>
      <x:c r="AU8" s="167" t="n">
        <x:f aca="0">Z8*(1-$D8)</x:f>
        <x:v>30721.714227821372</x:v>
      </x:c>
      <x:c r="AV8" s="37" t="str">
        <x:v>Formula-derived: S17_Biome_Strata row gross stock = eligible area × S15_Source_Strata stock/ha; S15_Source_Strata stock = cohort-aligned Chapman-Richards D/H → Chave AGB → conservative calibration → CF × (1+R) × 44/12. PB applied separately by Biome × Cohort.</x:v>
      </x:c>
    </x:row>
    <x:row r="9" ht="15" hidden="0" customHeight="1">
      <x:c r="A9" s="37" t="s">
        <x:v>112</x:v>
      </x:c>
      <x:c r="B9" s="37" t="n">
        <x:v>2021</x:v>
      </x:c>
      <x:c r="C9" s="167" t="n">
        <x:f aca="0">SUMIFS(S17_Biome_Strata!$F$4:$F$95,S17_Biome_Strata!$A$4:$A$95,"Tropical &amp; Subtropical Moist Broadleaf Forests",S17_Biome_Strata!$B$4:$B$95,$A9,S17_Biome_Strata!$D$4:$D$95,$B9)</x:f>
        <x:v>74.5374819506273</x:v>
      </x:c>
      <x:c r="D9" s="167" t="n">
        <x:f aca="0">S09_PB_Input!H9</x:f>
        <x:v>0.3123356231599608</x:v>
      </x:c>
      <x:c r="E9" s="168" t="str">
        <x:f aca="0">S09_PB_Input!I9</x:f>
        <x:v>VM0047 v1.1 Appendix 1: Z-test significant; PB_t = ΔSI_control / ΔSI_wp (Eq. A8). Source: 20260814_304027_GKF_ProjectPlots_PB.xlsx.</x:v>
      </x:c>
      <x:c r="F9" s="167" t="n">
        <x:f aca="0">SUMIFS(S17_Biome_Strata!$AL$4:$AL$95,S17_Biome_Strata!$A$4:$A$95,"Tropical &amp; Subtropical Moist Broadleaf Forests",S17_Biome_Strata!$B$4:$B$95,$A9,S17_Biome_Strata!$D$4:$D$95,$B9)</x:f>
        <x:v>0</x:v>
      </x:c>
      <x:c r="G9" s="167" t="n">
        <x:f aca="0">SUMIFS(S17_Biome_Strata!$AM$4:$AM$95,S17_Biome_Strata!$A$4:$A$95,"Tropical &amp; Subtropical Moist Broadleaf Forests",S17_Biome_Strata!$B$4:$B$95,$A9,S17_Biome_Strata!$D$4:$D$95,$B9)</x:f>
        <x:v>0</x:v>
      </x:c>
      <x:c r="H9" s="167" t="n">
        <x:f aca="0">SUMIFS(S17_Biome_Strata!$AN$4:$AN$95,S17_Biome_Strata!$A$4:$A$95,"Tropical &amp; Subtropical Moist Broadleaf Forests",S17_Biome_Strata!$B$4:$B$95,$A9,S17_Biome_Strata!$D$4:$D$95,$B9)</x:f>
        <x:v>11.358864468023466</x:v>
      </x:c>
      <x:c r="I9" s="167" t="n">
        <x:f aca="0">SUMIFS(S17_Biome_Strata!$AO$4:$AO$95,S17_Biome_Strata!$A$4:$A$95,"Tropical &amp; Subtropical Moist Broadleaf Forests",S17_Biome_Strata!$B$4:$B$95,$A9,S17_Biome_Strata!$D$4:$D$95,$B9)</x:f>
        <x:v>125.03919898391345</x:v>
      </x:c>
      <x:c r="J9" s="167" t="n">
        <x:f aca="0">SUMIFS(S17_Biome_Strata!$AP$4:$AP$95,S17_Biome_Strata!$A$4:$A$95,"Tropical &amp; Subtropical Moist Broadleaf Forests",S17_Biome_Strata!$B$4:$B$95,$A9,S17_Biome_Strata!$D$4:$D$95,$B9)</x:f>
        <x:v>456.6268939498843</x:v>
      </x:c>
      <x:c r="K9" s="167" t="n">
        <x:f aca="0">SUMIFS(S17_Biome_Strata!$AQ$4:$AQ$95,S17_Biome_Strata!$A$4:$A$95,"Tropical &amp; Subtropical Moist Broadleaf Forests",S17_Biome_Strata!$B$4:$B$95,$A9,S17_Biome_Strata!$D$4:$D$95,$B9)</x:f>
        <x:v>1071.3621931032253</x:v>
      </x:c>
      <x:c r="L9" s="167" t="n">
        <x:f aca="0">SUMIFS(S17_Biome_Strata!$AR$4:$AR$95,S17_Biome_Strata!$A$4:$A$95,"Tropical &amp; Subtropical Moist Broadleaf Forests",S17_Biome_Strata!$B$4:$B$95,$A9,S17_Biome_Strata!$D$4:$D$95,$B9)</x:f>
        <x:v>1968.5060566730704</x:v>
      </x:c>
      <x:c r="M9" s="167" t="n">
        <x:f aca="0">SUMIFS(S17_Biome_Strata!$AS$4:$AS$95,S17_Biome_Strata!$A$4:$A$95,"Tropical &amp; Subtropical Moist Broadleaf Forests",S17_Biome_Strata!$B$4:$B$95,$A9,S17_Biome_Strata!$D$4:$D$95,$B9)</x:f>
        <x:v>3107.770626535154</x:v>
      </x:c>
      <x:c r="N9" s="167" t="n">
        <x:f aca="0">SUMIFS(S17_Biome_Strata!$AT$4:$AT$95,S17_Biome_Strata!$A$4:$A$95,"Tropical &amp; Subtropical Moist Broadleaf Forests",S17_Biome_Strata!$B$4:$B$95,$A9,S17_Biome_Strata!$D$4:$D$95,$B9)</x:f>
        <x:v>4429.37363283732</x:v>
      </x:c>
      <x:c r="O9" s="167" t="n">
        <x:f aca="0">SUMIFS(S17_Biome_Strata!$AU$4:$AU$95,S17_Biome_Strata!$A$4:$A$95,"Tropical &amp; Subtropical Moist Broadleaf Forests",S17_Biome_Strata!$B$4:$B$95,$A9,S17_Biome_Strata!$D$4:$D$95,$B9)</x:f>
        <x:v>5869.398279168467</x:v>
      </x:c>
      <x:c r="P9" s="167" t="n">
        <x:f aca="0">SUMIFS(S17_Biome_Strata!$AV$4:$AV$95,S17_Biome_Strata!$A$4:$A$95,"Tropical &amp; Subtropical Moist Broadleaf Forests",S17_Biome_Strata!$B$4:$B$95,$A9,S17_Biome_Strata!$D$4:$D$95,$B9)</x:f>
        <x:v>7368.904556577992</x:v>
      </x:c>
      <x:c r="Q9" s="167" t="n">
        <x:f aca="0">SUMIFS(S17_Biome_Strata!$AW$4:$AW$95,S17_Biome_Strata!$A$4:$A$95,"Tropical &amp; Subtropical Moist Broadleaf Forests",S17_Biome_Strata!$B$4:$B$95,$A9,S17_Biome_Strata!$D$4:$D$95,$B9)</x:f>
        <x:v>8878.31939727013</x:v>
      </x:c>
      <x:c r="R9" s="167" t="n">
        <x:f aca="0">SUMIFS(S17_Biome_Strata!$AX$4:$AX$95,S17_Biome_Strata!$A$4:$A$95,"Tropical &amp; Subtropical Moist Broadleaf Forests",S17_Biome_Strata!$B$4:$B$95,$A9,S17_Biome_Strata!$D$4:$D$95,$B9)</x:f>
        <x:v>10358.773112610013</x:v>
      </x:c>
      <x:c r="S9" s="167" t="n">
        <x:f aca="0">SUMIFS(S17_Biome_Strata!$AY$4:$AY$95,S17_Biome_Strata!$A$4:$A$95,"Tropical &amp; Subtropical Moist Broadleaf Forests",S17_Biome_Strata!$B$4:$B$95,$A9,S17_Biome_Strata!$D$4:$D$95,$B9)</x:f>
        <x:v>11781.688184261217</x:v>
      </x:c>
      <x:c r="T9" s="167" t="n">
        <x:f aca="0">SUMIFS(S17_Biome_Strata!$AZ$4:$AZ$95,S17_Biome_Strata!$A$4:$A$95,"Tropical &amp; Subtropical Moist Broadleaf Forests",S17_Biome_Strata!$B$4:$B$95,$A9,S17_Biome_Strata!$D$4:$D$95,$B9)</x:f>
        <x:v>13127.50777106194</x:v>
      </x:c>
      <x:c r="U9" s="167" t="n">
        <x:f aca="0">SUMIFS(S17_Biome_Strata!$BA$4:$BA$95,S17_Biome_Strata!$A$4:$A$95,"Tropical &amp; Subtropical Moist Broadleaf Forests",S17_Biome_Strata!$B$4:$B$95,$A9,S17_Biome_Strata!$D$4:$D$95,$B9)</x:f>
        <x:v>14384.112373563796</x:v>
      </x:c>
      <x:c r="V9" s="167" t="n">
        <x:f aca="0">SUMIFS(S17_Biome_Strata!$BB$4:$BB$95,S17_Biome_Strata!$A$4:$A$95,"Tropical &amp; Subtropical Moist Broadleaf Forests",S17_Biome_Strata!$B$4:$B$95,$A9,S17_Biome_Strata!$D$4:$D$95,$B9)</x:f>
        <x:v>15545.234847097254</x:v>
      </x:c>
      <x:c r="W9" s="167" t="n">
        <x:f aca="0">SUMIFS(S17_Biome_Strata!$BC$4:$BC$95,S17_Biome_Strata!$A$4:$A$95,"Tropical &amp; Subtropical Moist Broadleaf Forests",S17_Biome_Strata!$B$4:$B$95,$A9,S17_Biome_Strata!$D$4:$D$95,$B9)</x:f>
        <x:v>16609.029966934584</x:v>
      </x:c>
      <x:c r="X9" s="167" t="n">
        <x:f aca="0">SUMIFS(S17_Biome_Strata!$BD$4:$BD$95,S17_Biome_Strata!$A$4:$A$95,"Tropical &amp; Subtropical Moist Broadleaf Forests",S17_Biome_Strata!$B$4:$B$95,$A9,S17_Biome_Strata!$D$4:$D$95,$B9)</x:f>
        <x:v>17576.86163150186</x:v>
      </x:c>
      <x:c r="Y9" s="167" t="n">
        <x:f aca="0">SUMIFS(S17_Biome_Strata!$BE$4:$BE$95,S17_Biome_Strata!$A$4:$A$95,"Tropical &amp; Subtropical Moist Broadleaf Forests",S17_Biome_Strata!$B$4:$B$95,$A9,S17_Biome_Strata!$D$4:$D$95,$B9)</x:f>
        <x:v>18452.318226922656</x:v>
      </x:c>
      <x:c r="Z9" s="167" t="n">
        <x:f aca="0">SUMIFS(S17_Biome_Strata!$BF$4:$BF$95,S17_Biome_Strata!$A$4:$A$95,"Tropical &amp; Subtropical Moist Broadleaf Forests",S17_Biome_Strata!$B$4:$B$95,$A9,S17_Biome_Strata!$D$4:$D$95,$B9)</x:f>
        <x:v>19240.439633598406</x:v>
      </x:c>
      <x:c r="AA9" s="167" t="n">
        <x:f aca="0">F9*(1-$D9)</x:f>
        <x:v>0</x:v>
      </x:c>
      <x:c r="AB9" s="167" t="n">
        <x:f aca="0">G9*(1-$D9)</x:f>
        <x:v>0</x:v>
      </x:c>
      <x:c r="AC9" s="167" t="n">
        <x:f aca="0">H9*(1-$D9)</x:f>
        <x:v>7.81108645601382</x:v>
      </x:c>
      <x:c r="AD9" s="167" t="n">
        <x:f aca="0">I9*(1-$D9)</x:f>
        <x:v>85.9850028498505</x:v>
      </x:c>
      <x:c r="AE9" s="167" t="n">
        <x:f aca="0">J9*(1-$D9)</x:f>
        <x:v>314.00604847644985</x:v>
      </x:c>
      <x:c r="AF9" s="167" t="n">
        <x:f aca="0">K9*(1-$D9)</x:f>
        <x:v>736.7376148903072</x:v>
      </x:c>
      <x:c r="AG9" s="167" t="n">
        <x:f aca="0">L9*(1-$D9)</x:f>
        <x:v>1353.67149076793</x:v>
      </x:c>
      <x:c r="AH9" s="167" t="n">
        <x:f aca="0">M9*(1-$D9)</x:f>
        <x:v>2137.103151258075</x:v>
      </x:c>
      <x:c r="AI9" s="167" t="n">
        <x:f aca="0">N9*(1-$D9)</x:f>
        <x:v>3045.922459016776</x:v>
      </x:c>
      <x:c r="AJ9" s="167" t="n">
        <x:f aca="0">O9*(1-$D9)</x:f>
        <x:v>4036.176110070382</x:v>
      </x:c>
      <x:c r="AK9" s="167" t="n">
        <x:f aca="0">P9*(1-$D9)</x:f>
        <x:v>5067.33315989293</x:v>
      </x:c>
      <x:c r="AL9" s="167" t="n">
        <x:f aca="0">Q9*(1-$D9)</x:f>
        <x:v>6105.303975710597</x:v>
      </x:c>
      <x:c r="AM9" s="167" t="n">
        <x:f aca="0">R9*(1-$D9)</x:f>
        <x:v>7123.359257310319</x:v>
      </x:c>
      <x:c r="AN9" s="167" t="n">
        <x:f aca="0">S9*(1-$D9)</x:f>
        <x:v>8101.847263353643</x:v>
      </x:c>
      <x:c r="AO9" s="167" t="n">
        <x:f aca="0">T9*(1-$D9)</x:f>
        <x:v>9027.319450850082</x:v>
      </x:c>
      <x:c r="AP9" s="167" t="n">
        <x:f aca="0">U9*(1-$D9)</x:f>
        <x:v>9891.441671763845</x:v>
      </x:c>
      <x:c r="AQ9" s="167" t="n">
        <x:f aca="0">V9*(1-$D9)</x:f>
        <x:v>10689.904233961195</x:v>
      </x:c>
      <x:c r="AR9" s="167" t="n">
        <x:f aca="0">W9*(1-$D9)</x:f>
        <x:v>11421.438242129609</x:v>
      </x:c>
      <x:c r="AS9" s="167" t="n">
        <x:f aca="0">X9*(1-$D9)</x:f>
        <x:v>12086.98160063032</x:v>
      </x:c>
      <x:c r="AT9" s="167" t="n">
        <x:f aca="0">Y9*(1-$D9)</x:f>
        <x:v>12689.001914770866</x:v>
      </x:c>
      <x:c r="AU9" s="167" t="n">
        <x:f aca="0">Z9*(1-$D9)</x:f>
        <x:v>13230.96493076684</x:v>
      </x:c>
      <x:c r="AV9" s="37" t="str">
        <x:v>Formula-derived: S17_Biome_Strata row gross stock = eligible area × S15_Source_Strata stock/ha; S15_Source_Strata stock = cohort-aligned Chapman-Richards D/H → Chave AGB → conservative calibration → CF × (1+R) × 44/12. PB applied separately by Biome × Cohort.</x:v>
      </x:c>
    </x:row>
    <x:row r="10" ht="15" hidden="0" customHeight="1">
      <x:c r="A10" s="37" t="s">
        <x:v>112</x:v>
      </x:c>
      <x:c r="B10" s="37" t="n">
        <x:v>2022</x:v>
      </x:c>
      <x:c r="C10" s="167" t="n">
        <x:f aca="0">SUMIFS(S17_Biome_Strata!$F$4:$F$95,S17_Biome_Strata!$A$4:$A$95,"Tropical &amp; Subtropical Moist Broadleaf Forests",S17_Biome_Strata!$B$4:$B$95,$A10,S17_Biome_Strata!$D$4:$D$95,$B10)</x:f>
        <x:v>42.955813638203196</x:v>
      </x:c>
      <x:c r="D10" s="167" t="n">
        <x:f aca="0">S09_PB_Input!H10</x:f>
        <x:v>0.3123356231599608</x:v>
      </x:c>
      <x:c r="E10" s="168" t="str">
        <x:f aca="0">S09_PB_Input!I10</x:f>
        <x:v>VM0047 v1.1 Appendix 1: Z-test significant; PB_t = ΔSI_control / ΔSI_wp (Eq. A8). Source: 20260814_304027_GKF_ProjectPlots_PB.xlsx.</x:v>
      </x:c>
      <x:c r="F10" s="167" t="n">
        <x:f aca="0">SUMIFS(S17_Biome_Strata!$AL$4:$AL$95,S17_Biome_Strata!$A$4:$A$95,"Tropical &amp; Subtropical Moist Broadleaf Forests",S17_Biome_Strata!$B$4:$B$95,$A10,S17_Biome_Strata!$D$4:$D$95,$B10)</x:f>
        <x:v>0</x:v>
      </x:c>
      <x:c r="G10" s="167" t="n">
        <x:f aca="0">SUMIFS(S17_Biome_Strata!$AM$4:$AM$95,S17_Biome_Strata!$A$4:$A$95,"Tropical &amp; Subtropical Moist Broadleaf Forests",S17_Biome_Strata!$B$4:$B$95,$A10,S17_Biome_Strata!$D$4:$D$95,$B10)</x:f>
        <x:v>0</x:v>
      </x:c>
      <x:c r="H10" s="167" t="n">
        <x:f aca="0">SUMIFS(S17_Biome_Strata!$AN$4:$AN$95,S17_Biome_Strata!$A$4:$A$95,"Tropical &amp; Subtropical Moist Broadleaf Forests",S17_Biome_Strata!$B$4:$B$95,$A10,S17_Biome_Strata!$D$4:$D$95,$B10)</x:f>
        <x:v>0</x:v>
      </x:c>
      <x:c r="I10" s="167" t="n">
        <x:f aca="0">SUMIFS(S17_Biome_Strata!$AO$4:$AO$95,S17_Biome_Strata!$A$4:$A$95,"Tropical &amp; Subtropical Moist Broadleaf Forests",S17_Biome_Strata!$B$4:$B$95,$A10,S17_Biome_Strata!$D$4:$D$95,$B10)</x:f>
        <x:v>14.43765782030907</x:v>
      </x:c>
      <x:c r="J10" s="167" t="n">
        <x:f aca="0">SUMIFS(S17_Biome_Strata!$AP$4:$AP$95,S17_Biome_Strata!$A$4:$A$95,"Tropical &amp; Subtropical Moist Broadleaf Forests",S17_Biome_Strata!$B$4:$B$95,$A10,S17_Biome_Strata!$D$4:$D$95,$B10)</x:f>
        <x:v>143.82481391694563</x:v>
      </x:c>
      <x:c r="K10" s="167" t="n">
        <x:f aca="0">SUMIFS(S17_Biome_Strata!$AQ$4:$AQ$95,S17_Biome_Strata!$A$4:$A$95,"Tropical &amp; Subtropical Moist Broadleaf Forests",S17_Biome_Strata!$B$4:$B$95,$A10,S17_Biome_Strata!$D$4:$D$95,$B10)</x:f>
        <x:v>493.4990464062138</x:v>
      </x:c>
      <x:c r="L10" s="167" t="n">
        <x:f aca="0">SUMIFS(S17_Biome_Strata!$AR$4:$AR$95,S17_Biome_Strata!$A$4:$A$95,"Tropical &amp; Subtropical Moist Broadleaf Forests",S17_Biome_Strata!$B$4:$B$95,$A10,S17_Biome_Strata!$D$4:$D$95,$B10)</x:f>
        <x:v>1106.6306622779266</x:v>
      </x:c>
      <x:c r="M10" s="167" t="n">
        <x:f aca="0">SUMIFS(S17_Biome_Strata!$AS$4:$AS$95,S17_Biome_Strata!$A$4:$A$95,"Tropical &amp; Subtropical Moist Broadleaf Forests",S17_Biome_Strata!$B$4:$B$95,$A10,S17_Biome_Strata!$D$4:$D$95,$B10)</x:f>
        <x:v>1962.821058703521</x:v>
      </x:c>
      <x:c r="N10" s="167" t="n">
        <x:f aca="0">SUMIFS(S17_Biome_Strata!$AT$4:$AT$95,S17_Biome_Strata!$A$4:$A$95,"Tropical &amp; Subtropical Moist Broadleaf Forests",S17_Biome_Strata!$B$4:$B$95,$A10,S17_Biome_Strata!$D$4:$D$95,$B10)</x:f>
        <x:v>3011.3186569423015</x:v>
      </x:c>
      <x:c r="O10" s="167" t="n">
        <x:f aca="0">SUMIFS(S17_Biome_Strata!$AU$4:$AU$95,S17_Biome_Strata!$A$4:$A$95,"Tropical &amp; Subtropical Moist Broadleaf Forests",S17_Biome_Strata!$B$4:$B$95,$A10,S17_Biome_Strata!$D$4:$D$95,$B10)</x:f>
        <x:v>4190.760978111614</x:v>
      </x:c>
      <x:c r="P10" s="167" t="n">
        <x:f aca="0">SUMIFS(S17_Biome_Strata!$AV$4:$AV$95,S17_Biome_Strata!$A$4:$A$95,"Tropical &amp; Subtropical Moist Broadleaf Forests",S17_Biome_Strata!$B$4:$B$95,$A10,S17_Biome_Strata!$D$4:$D$95,$B10)</x:f>
        <x:v>5442.104748994665</x:v>
      </x:c>
      <x:c r="Q10" s="167" t="n">
        <x:f aca="0">SUMIFS(S17_Biome_Strata!$AW$4:$AW$95,S17_Biome_Strata!$A$4:$A$95,"Tropical &amp; Subtropical Moist Broadleaf Forests",S17_Biome_Strata!$B$4:$B$95,$A10,S17_Biome_Strata!$D$4:$D$95,$B10)</x:f>
        <x:v>6715.005737878171</x:v>
      </x:c>
      <x:c r="R10" s="167" t="n">
        <x:f aca="0">SUMIFS(S17_Biome_Strata!$AX$4:$AX$95,S17_Biome_Strata!$A$4:$A$95,"Tropical &amp; Subtropical Moist Broadleaf Forests",S17_Biome_Strata!$B$4:$B$95,$A10,S17_Biome_Strata!$D$4:$D$95,$B10)</x:f>
        <x:v>7969.98000379794</x:v>
      </x:c>
      <x:c r="S10" s="167" t="n">
        <x:f aca="0">SUMIFS(S17_Biome_Strata!$AY$4:$AY$95,S17_Biome_Strata!$A$4:$A$95,"Tropical &amp; Subtropical Moist Broadleaf Forests",S17_Biome_Strata!$B$4:$B$95,$A10,S17_Biome_Strata!$D$4:$D$95,$B10)</x:f>
        <x:v>9178.20251409309</x:v>
      </x:c>
      <x:c r="T10" s="167" t="n">
        <x:f aca="0">SUMIFS(S17_Biome_Strata!$AZ$4:$AZ$95,S17_Biome_Strata!$A$4:$A$95,"Tropical &amp; Subtropical Moist Broadleaf Forests",S17_Biome_Strata!$B$4:$B$95,$A10,S17_Biome_Strata!$D$4:$D$95,$B10)</x:f>
        <x:v>10320.177114630744</x:v>
      </x:c>
      <x:c r="U10" s="167" t="n">
        <x:f aca="0">SUMIFS(S17_Biome_Strata!$BA$4:$BA$95,S17_Biome_Strata!$A$4:$A$95,"Tropical &amp; Subtropical Moist Broadleaf Forests",S17_Biome_Strata!$B$4:$B$95,$A10,S17_Biome_Strata!$D$4:$D$95,$B10)</x:f>
        <x:v>11384.013368266875</x:v>
      </x:c>
      <x:c r="V10" s="167" t="n">
        <x:f aca="0">SUMIFS(S17_Biome_Strata!$BB$4:$BB$95,S17_Biome_Strata!$A$4:$A$95,"Tropical &amp; Subtropical Moist Broadleaf Forests",S17_Biome_Strata!$B$4:$B$95,$A10,S17_Biome_Strata!$D$4:$D$95,$B10)</x:f>
        <x:v>12363.707098335799</x:v>
      </x:c>
      <x:c r="W10" s="167" t="n">
        <x:f aca="0">SUMIFS(S17_Biome_Strata!$BC$4:$BC$95,S17_Biome_Strata!$A$4:$A$95,"Tropical &amp; Subtropical Moist Broadleaf Forests",S17_Biome_Strata!$B$4:$B$95,$A10,S17_Biome_Strata!$D$4:$D$95,$B10)</x:f>
        <x:v>13257.612042877176</x:v>
      </x:c>
      <x:c r="X10" s="167" t="n">
        <x:f aca="0">SUMIFS(S17_Biome_Strata!$BD$4:$BD$95,S17_Biome_Strata!$A$4:$A$95,"Tropical &amp; Subtropical Moist Broadleaf Forests",S17_Biome_Strata!$B$4:$B$95,$A10,S17_Biome_Strata!$D$4:$D$95,$B10)</x:f>
        <x:v>14067.16984715775</x:v>
      </x:c>
      <x:c r="Y10" s="167" t="n">
        <x:f aca="0">SUMIFS(S17_Biome_Strata!$BE$4:$BE$95,S17_Biome_Strata!$A$4:$A$95,"Tropical &amp; Subtropical Moist Broadleaf Forests",S17_Biome_Strata!$B$4:$B$95,$A10,S17_Biome_Strata!$D$4:$D$95,$B10)</x:f>
        <x:v>14795.901989840653</x:v>
      </x:c>
      <x:c r="Z10" s="167" t="n">
        <x:f aca="0">SUMIFS(S17_Biome_Strata!$BF$4:$BF$95,S17_Biome_Strata!$A$4:$A$95,"Tropical &amp; Subtropical Moist Broadleaf Forests",S17_Biome_Strata!$B$4:$B$95,$A10,S17_Biome_Strata!$D$4:$D$95,$B10)</x:f>
        <x:v>15448.637267062439</x:v>
      </x:c>
      <x:c r="AA10" s="167" t="n">
        <x:f aca="0">F10*(1-$D10)</x:f>
        <x:v>0</x:v>
      </x:c>
      <x:c r="AB10" s="167" t="n">
        <x:f aca="0">G10*(1-$D10)</x:f>
        <x:v>0</x:v>
      </x:c>
      <x:c r="AC10" s="167" t="n">
        <x:f aca="0">H10*(1-$D10)</x:f>
        <x:v>0</x:v>
      </x:c>
      <x:c r="AD10" s="167" t="n">
        <x:f aca="0">I10*(1-$D10)</x:f>
        <x:v>9.928262968032556</x:v>
      </x:c>
      <x:c r="AE10" s="167" t="n">
        <x:f aca="0">J10*(1-$D10)</x:f>
        <x:v>98.90320103633101</x:v>
      </x:c>
      <x:c r="AF10" s="167" t="n">
        <x:f aca="0">K10*(1-$D10)</x:f>
        <x:v>339.3617142180826</x:v>
      </x:c>
      <x:c r="AG10" s="167" t="n">
        <x:f aca="0">L10*(1-$D10)</x:f>
        <x:v>760.9904847674303</x:v>
      </x:c>
      <x:c r="AH10" s="167" t="n">
        <x:f aca="0">M10*(1-$D10)</x:f>
        <x:v>1349.7621201818629</x:v>
      </x:c>
      <x:c r="AI10" s="167" t="n">
        <x:f aca="0">N10*(1-$D10)</x:f>
        <x:v>2070.7765676930117</x:v>
      </x:c>
      <x:c r="AJ10" s="167" t="n">
        <x:f aca="0">O10*(1-$D10)</x:f>
        <x:v>2881.8370364986768</x:v>
      </x:c>
      <x:c r="AK10" s="167" t="n">
        <x:f aca="0">P10*(1-$D10)</x:f>
        <x:v>3742.3415709156343</x:v>
      </x:c>
      <x:c r="AL10" s="167" t="n">
        <x:f aca="0">Q10*(1-$D10)</x:f>
        <x:v>4617.67023621528</x:v>
      </x:c>
      <x:c r="AM10" s="167" t="n">
        <x:f aca="0">R10*(1-$D10)</x:f>
        <x:v>5480.6713327392845</x:v>
      </x:c>
      <x:c r="AN10" s="167" t="n">
        <x:f aca="0">S10*(1-$D10)</x:f>
        <x:v>6311.522912365505</x:v>
      </x:c>
      <x:c r="AO10" s="167" t="n">
        <x:f aca="0">T10*(1-$D10)</x:f>
        <x:v>7096.818164411385</x:v>
      </x:c>
      <x:c r="AP10" s="167" t="n">
        <x:f aca="0">U10*(1-$D10)</x:f>
        <x:v>7828.380458827916</x:v>
      </x:c>
      <x:c r="AQ10" s="167" t="n">
        <x:f aca="0">V10*(1-$D10)</x:f>
        <x:v>8502.080937209857</x:v>
      </x:c>
      <x:c r="AR10" s="167" t="n">
        <x:f aca="0">W10*(1-$D10)</x:f>
        <x:v>9116.787523852132</x:v>
      </x:c>
      <x:c r="AS10" s="167" t="n">
        <x:f aca="0">X10*(1-$D10)</x:f>
        <x:v>9673.491586848724</x:v>
      </x:c>
      <x:c r="AT10" s="167" t="n">
        <x:f aca="0">Y10*(1-$D10)</x:f>
        <x:v>10174.614721630069</x:v>
      </x:c>
      <x:c r="AU10" s="167" t="n">
        <x:f aca="0">Z10*(1-$D10)</x:f>
        <x:v>10623.477519282298</x:v>
      </x:c>
      <x:c r="AV10" s="37" t="str">
        <x:v>Formula-derived: S17_Biome_Strata row gross stock = eligible area × S15_Source_Strata stock/ha; S15_Source_Strata stock = cohort-aligned Chapman-Richards D/H → Chave AGB → conservative calibration → CF × (1+R) × 44/12. PB applied separately by Biome × Cohort.</x:v>
      </x:c>
    </x:row>
    <x:row r="11" ht="15" hidden="0" customHeight="1">
      <x:c r="A11" s="37" t="s">
        <x:v>112</x:v>
      </x:c>
      <x:c r="B11" s="37" t="n">
        <x:v>2023</x:v>
      </x:c>
      <x:c r="C11" s="167" t="n">
        <x:f aca="0">SUMIFS(S17_Biome_Strata!$F$4:$F$95,S17_Biome_Strata!$A$4:$A$95,"Tropical &amp; Subtropical Moist Broadleaf Forests",S17_Biome_Strata!$B$4:$B$95,$A11,S17_Biome_Strata!$D$4:$D$95,$B11)</x:f>
        <x:v>11.001900000000001</x:v>
      </x:c>
      <x:c r="D11" s="167" t="n">
        <x:f aca="0">S09_PB_Input!H11</x:f>
        <x:v>0.3123356231599608</x:v>
      </x:c>
      <x:c r="E11" s="168" t="str">
        <x:f aca="0">S09_PB_Input!I11</x:f>
        <x:v>VM0047 v1.1 Appendix 1: Z-test significant; PB_t = ΔSI_control / ΔSI_wp (Eq. A8). Source: 20260814_304027_GKF_ProjectPlots_PB.xlsx.</x:v>
      </x:c>
      <x:c r="F11" s="167" t="n">
        <x:f aca="0">SUMIFS(S17_Biome_Strata!$AL$4:$AL$95,S17_Biome_Strata!$A$4:$A$95,"Tropical &amp; Subtropical Moist Broadleaf Forests",S17_Biome_Strata!$B$4:$B$95,$A11,S17_Biome_Strata!$D$4:$D$95,$B11)</x:f>
        <x:v>0</x:v>
      </x:c>
      <x:c r="G11" s="167" t="n">
        <x:f aca="0">SUMIFS(S17_Biome_Strata!$AM$4:$AM$95,S17_Biome_Strata!$A$4:$A$95,"Tropical &amp; Subtropical Moist Broadleaf Forests",S17_Biome_Strata!$B$4:$B$95,$A11,S17_Biome_Strata!$D$4:$D$95,$B11)</x:f>
        <x:v>0</x:v>
      </x:c>
      <x:c r="H11" s="167" t="n">
        <x:f aca="0">SUMIFS(S17_Biome_Strata!$AN$4:$AN$95,S17_Biome_Strata!$A$4:$A$95,"Tropical &amp; Subtropical Moist Broadleaf Forests",S17_Biome_Strata!$B$4:$B$95,$A11,S17_Biome_Strata!$D$4:$D$95,$B11)</x:f>
        <x:v>0</x:v>
      </x:c>
      <x:c r="I11" s="167" t="n">
        <x:f aca="0">SUMIFS(S17_Biome_Strata!$AO$4:$AO$95,S17_Biome_Strata!$A$4:$A$95,"Tropical &amp; Subtropical Moist Broadleaf Forests",S17_Biome_Strata!$B$4:$B$95,$A11,S17_Biome_Strata!$D$4:$D$95,$B11)</x:f>
        <x:v>0</x:v>
      </x:c>
      <x:c r="J11" s="167" t="n">
        <x:f aca="0">SUMIFS(S17_Biome_Strata!$AP$4:$AP$95,S17_Biome_Strata!$A$4:$A$95,"Tropical &amp; Subtropical Moist Broadleaf Forests",S17_Biome_Strata!$B$4:$B$95,$A11,S17_Biome_Strata!$D$4:$D$95,$B11)</x:f>
        <x:v>7.851924636251805</x:v>
      </x:c>
      <x:c r="K11" s="167" t="n">
        <x:f aca="0">SUMIFS(S17_Biome_Strata!$AQ$4:$AQ$95,S17_Biome_Strata!$A$4:$A$95,"Tropical &amp; Subtropical Moist Broadleaf Forests",S17_Biome_Strata!$B$4:$B$95,$A11,S17_Biome_Strata!$D$4:$D$95,$B11)</x:f>
        <x:v>76.82416704604941</x:v>
      </x:c>
      <x:c r="L11" s="167" t="n">
        <x:f aca="0">SUMIFS(S17_Biome_Strata!$AR$4:$AR$95,S17_Biome_Strata!$A$4:$A$95,"Tropical &amp; Subtropical Moist Broadleaf Forests",S17_Biome_Strata!$B$4:$B$95,$A11,S17_Biome_Strata!$D$4:$D$95,$B11)</x:f>
        <x:v>260.1157049121532</x:v>
      </x:c>
      <x:c r="M11" s="167" t="n">
        <x:f aca="0">SUMIFS(S17_Biome_Strata!$AS$4:$AS$95,S17_Biome_Strata!$A$4:$A$95,"Tropical &amp; Subtropical Moist Broadleaf Forests",S17_Biome_Strata!$B$4:$B$95,$A11,S17_Biome_Strata!$D$4:$D$95,$B11)</x:f>
        <x:v>576.7969294029235</x:v>
      </x:c>
      <x:c r="N11" s="167" t="n">
        <x:f aca="0">SUMIFS(S17_Biome_Strata!$AT$4:$AT$95,S17_Biome_Strata!$A$4:$A$95,"Tropical &amp; Subtropical Moist Broadleaf Forests",S17_Biome_Strata!$B$4:$B$95,$A11,S17_Biome_Strata!$D$4:$D$95,$B11)</x:f>
        <x:v>1013.0065498118788</x:v>
      </x:c>
      <x:c r="O11" s="167" t="n">
        <x:f aca="0">SUMIFS(S17_Biome_Strata!$AU$4:$AU$95,S17_Biome_Strata!$A$4:$A$95,"Tropical &amp; Subtropical Moist Broadleaf Forests",S17_Biome_Strata!$B$4:$B$95,$A11,S17_Biome_Strata!$D$4:$D$95,$B11)</x:f>
        <x:v>1540.3428083962906</x:v>
      </x:c>
      <x:c r="P11" s="167" t="n">
        <x:f aca="0">SUMIFS(S17_Biome_Strata!$AV$4:$AV$95,S17_Biome_Strata!$A$4:$A$95,"Tropical &amp; Subtropical Moist Broadleaf Forests",S17_Biome_Strata!$B$4:$B$95,$A11,S17_Biome_Strata!$D$4:$D$95,$B11)</x:f>
        <x:v>2126.283552861837</x:v>
      </x:c>
      <x:c r="Q11" s="167" t="n">
        <x:f aca="0">SUMIFS(S17_Biome_Strata!$AW$4:$AW$95,S17_Biome_Strata!$A$4:$A$95,"Tropical &amp; Subtropical Moist Broadleaf Forests",S17_Biome_Strata!$B$4:$B$95,$A11,S17_Biome_Strata!$D$4:$D$95,$B11)</x:f>
        <x:v>2740.6575954005148</x:v>
      </x:c>
      <x:c r="R11" s="167" t="n">
        <x:f aca="0">SUMIFS(S17_Biome_Strata!$AX$4:$AX$95,S17_Biome_Strata!$A$4:$A$95,"Tropical &amp; Subtropical Moist Broadleaf Forests",S17_Biome_Strata!$B$4:$B$95,$A11,S17_Biome_Strata!$D$4:$D$95,$B11)</x:f>
        <x:v>3358.5771154163594</x:v>
      </x:c>
      <x:c r="S11" s="167" t="n">
        <x:f aca="0">SUMIFS(S17_Biome_Strata!$AY$4:$AY$95,S17_Biome_Strata!$A$4:$A$95,"Tropical &amp; Subtropical Moist Broadleaf Forests",S17_Biome_Strata!$B$4:$B$95,$A11,S17_Biome_Strata!$D$4:$D$95,$B11)</x:f>
        <x:v>3961.196884762652</x:v>
      </x:c>
      <x:c r="T11" s="167" t="n">
        <x:f aca="0">SUMIFS(S17_Biome_Strata!$AZ$4:$AZ$95,S17_Biome_Strata!$A$4:$A$95,"Tropical &amp; Subtropical Moist Broadleaf Forests",S17_Biome_Strata!$B$4:$B$95,$A11,S17_Biome_Strata!$D$4:$D$95,$B11)</x:f>
        <x:v>4535.32587072565</x:v>
      </x:c>
      <x:c r="U11" s="167" t="n">
        <x:f aca="0">SUMIFS(S17_Biome_Strata!$BA$4:$BA$95,S17_Biome_Strata!$A$4:$A$95,"Tropical &amp; Subtropical Moist Broadleaf Forests",S17_Biome_Strata!$B$4:$B$95,$A11,S17_Biome_Strata!$D$4:$D$95,$B11)</x:f>
        <x:v>5072.543168957137</x:v>
      </x:c>
      <x:c r="V11" s="167" t="n">
        <x:f aca="0">SUMIFS(S17_Biome_Strata!$BB$4:$BB$95,S17_Biome_Strata!$A$4:$A$95,"Tropical &amp; Subtropical Moist Broadleaf Forests",S17_Biome_Strata!$B$4:$B$95,$A11,S17_Biome_Strata!$D$4:$D$95,$B11)</x:f>
        <x:v>5568.188551431678</x:v>
      </x:c>
      <x:c r="W11" s="167" t="n">
        <x:f aca="0">SUMIFS(S17_Biome_Strata!$BC$4:$BC$95,S17_Biome_Strata!$A$4:$A$95,"Tropical &amp; Subtropical Moist Broadleaf Forests",S17_Biome_Strata!$B$4:$B$95,$A11,S17_Biome_Strata!$D$4:$D$95,$B11)</x:f>
        <x:v>6020.414749893433</x:v>
      </x:c>
      <x:c r="X11" s="167" t="n">
        <x:f aca="0">SUMIFS(S17_Biome_Strata!$BD$4:$BD$95,S17_Biome_Strata!$A$4:$A$95,"Tropical &amp; Subtropical Moist Broadleaf Forests",S17_Biome_Strata!$B$4:$B$95,$A11,S17_Biome_Strata!$D$4:$D$95,$B11)</x:f>
        <x:v>6429.380098965943</x:v>
      </x:c>
      <x:c r="Y11" s="167" t="n">
        <x:f aca="0">SUMIFS(S17_Biome_Strata!$BE$4:$BE$95,S17_Biome_Strata!$A$4:$A$95,"Tropical &amp; Subtropical Moist Broadleaf Forests",S17_Biome_Strata!$B$4:$B$95,$A11,S17_Biome_Strata!$D$4:$D$95,$B11)</x:f>
        <x:v>6796.601015695226</x:v>
      </x:c>
      <x:c r="Z11" s="167" t="n">
        <x:f aca="0">SUMIFS(S17_Biome_Strata!$BF$4:$BF$95,S17_Biome_Strata!$A$4:$A$95,"Tropical &amp; Subtropical Moist Broadleaf Forests",S17_Biome_Strata!$B$4:$B$95,$A11,S17_Biome_Strata!$D$4:$D$95,$B11)</x:f>
        <x:v>7124.454679732653</x:v>
      </x:c>
      <x:c r="AA11" s="167" t="n">
        <x:f aca="0">F11*(1-$D11)</x:f>
        <x:v>0</x:v>
      </x:c>
      <x:c r="AB11" s="167" t="n">
        <x:f aca="0">G11*(1-$D11)</x:f>
        <x:v>0</x:v>
      </x:c>
      <x:c r="AC11" s="167" t="n">
        <x:f aca="0">H11*(1-$D11)</x:f>
        <x:v>0</x:v>
      </x:c>
      <x:c r="AD11" s="167" t="n">
        <x:f aca="0">I11*(1-$D11)</x:f>
        <x:v>0</x:v>
      </x:c>
      <x:c r="AE11" s="167" t="n">
        <x:f aca="0">J11*(1-$D11)</x:f>
        <x:v>5.399488861983049</x:v>
      </x:c>
      <x:c r="AF11" s="167" t="n">
        <x:f aca="0">K11*(1-$D11)</x:f>
        <x:v>52.829242957976646</x:v>
      </x:c>
      <x:c r="AG11" s="167" t="n">
        <x:f aca="0">L11*(1-$D11)</x:f>
        <x:v>178.87230412472337</x:v>
      </x:c>
      <x:c r="AH11" s="167" t="n">
        <x:f aca="0">M11*(1-$D11)</x:f>
        <x:v>396.64270102110953</x:v>
      </x:c>
      <x:c r="AI11" s="167" t="n">
        <x:f aca="0">N11*(1-$D11)</x:f>
        <x:v>696.6085178112638</x:v>
      </x:c>
      <x:c r="AJ11" s="167" t="n">
        <x:f aca="0">O11*(1-$D11)</x:f>
        <x:v>1059.238877455871</x:v>
      </x:c>
      <x:c r="AK11" s="167" t="n">
        <x:f aca="0">P11*(1-$D11)</x:f>
        <x:v>1462.1694543639599</x:v>
      </x:c>
      <x:c r="AL11" s="167" t="n">
        <x:f aca="0">Q11*(1-$D11)</x:f>
        <x:v>1884.6525974730152</x:v>
      </x:c>
      <x:c r="AM11" s="167" t="n">
        <x:f aca="0">R11*(1-$D11)</x:f>
        <x:v>2309.5738391420073</x:v>
      </x:c>
      <x:c r="AN11" s="167" t="n">
        <x:f aca="0">S11*(1-$D11)</x:f>
        <x:v>2723.973987301014</x:v>
      </x:c>
      <x:c r="AO11" s="167" t="n">
        <x:f aca="0">T11*(1-$D11)</x:f>
        <x:v>3118.7820386590624</x:v>
      </x:c>
      <x:c r="AP11" s="167" t="n">
        <x:f aca="0">U11*(1-$D11)</x:f>
        <x:v>3488.207237275107</x:v>
      </x:c>
      <x:c r="AQ11" s="167" t="n">
        <x:f aca="0">V11*(1-$D11)</x:f>
        <x:v>3829.0449103481055</x:v>
      </x:c>
      <x:c r="AR11" s="167" t="n">
        <x:f aca="0">W11*(1-$D11)</x:f>
        <x:v>4140.024757304048</x:v>
      </x:c>
      <x:c r="AS11" s="167" t="n">
        <x:f aca="0">X11*(1-$D11)</x:f>
        <x:v>4421.255659223165</x:v>
      </x:c>
      <x:c r="AT11" s="167" t="n">
        <x:f aca="0">Y11*(1-$D11)</x:f>
        <x:v>4673.780402088435</x:v>
      </x:c>
      <x:c r="AU11" s="167" t="n">
        <x:f aca="0">Z11*(1-$D11)</x:f>
        <x:v>4899.233687663456</x:v>
      </x:c>
      <x:c r="AV11" s="37" t="str">
        <x:v>Formula-derived: S17_Biome_Strata row gross stock = eligible area × S15_Source_Strata stock/ha; S15_Source_Strata stock = cohort-aligned Chapman-Richards D/H → Chave AGB → conservative calibration → CF × (1+R) × 44/12. PB applied separately by Biome × Cohort.</x:v>
      </x:c>
    </x:row>
    <x:row r="12" ht="15" hidden="0" customHeight="1">
      <x:c r="A12" s="37" t="s">
        <x:v>113</x:v>
      </x:c>
      <x:c r="B12" s="37" t="n">
        <x:v>2020</x:v>
      </x:c>
      <x:c r="C12" s="167" t="n">
        <x:f aca="0">SUMIFS(S17_Biome_Strata!$F$4:$F$95,S17_Biome_Strata!$A$4:$A$95,"Tropical &amp; Subtropical Moist Broadleaf Forests",S17_Biome_Strata!$B$4:$B$95,$A12,S17_Biome_Strata!$D$4:$D$95,$B12)</x:f>
        <x:v>9.5207</x:v>
      </x:c>
      <x:c r="D12" s="167" t="n">
        <x:f aca="0">S09_PB_Input!H8</x:f>
        <x:v>0.3123356231599608</x:v>
      </x:c>
      <x:c r="E12" s="168" t="str">
        <x:f aca="0">S09_PB_Input!I8</x:f>
        <x:v>VM0047 v1.1 Appendix 1: Z-test significant; PB_t = ΔSI_control / ΔSI_wp (Eq. A8). Source: 20260814_304027_GKF_ProjectPlots_PB.xlsx.</x:v>
      </x:c>
      <x:c r="F12" s="167" t="n">
        <x:f aca="0">SUMIFS(S17_Biome_Strata!$AL$4:$AL$95,S17_Biome_Strata!$A$4:$A$95,"Tropical &amp; Subtropical Moist Broadleaf Forests",S17_Biome_Strata!$B$4:$B$95,$A12,S17_Biome_Strata!$D$4:$D$95,$B12)</x:f>
        <x:v>0</x:v>
      </x:c>
      <x:c r="G12" s="167" t="n">
        <x:f aca="0">SUMIFS(S17_Biome_Strata!$AM$4:$AM$95,S17_Biome_Strata!$A$4:$A$95,"Tropical &amp; Subtropical Moist Broadleaf Forests",S17_Biome_Strata!$B$4:$B$95,$A12,S17_Biome_Strata!$D$4:$D$95,$B12)</x:f>
        <x:v>3.0167678121518615</x:v>
      </x:c>
      <x:c r="H12" s="167" t="n">
        <x:f aca="0">SUMIFS(S17_Biome_Strata!$AN$4:$AN$95,S17_Biome_Strata!$A$4:$A$95,"Tropical &amp; Subtropical Moist Broadleaf Forests",S17_Biome_Strata!$B$4:$B$95,$A12,S17_Biome_Strata!$D$4:$D$95,$B12)</x:f>
        <x:v>30.18523999756135</x:v>
      </x:c>
      <x:c r="I12" s="167" t="n">
        <x:f aca="0">SUMIFS(S17_Biome_Strata!$AO$4:$AO$95,S17_Biome_Strata!$A$4:$A$95,"Tropical &amp; Subtropical Moist Broadleaf Forests",S17_Biome_Strata!$B$4:$B$95,$A12,S17_Biome_Strata!$D$4:$D$95,$B12)</x:f>
        <x:v>104.685700072826</x:v>
      </x:c>
      <x:c r="J12" s="167" t="n">
        <x:f aca="0">SUMIFS(S17_Biome_Strata!$AP$4:$AP$95,S17_Biome_Strata!$A$4:$A$95,"Tropical &amp; Subtropical Moist Broadleaf Forests",S17_Biome_Strata!$B$4:$B$95,$A12,S17_Biome_Strata!$D$4:$D$95,$B12)</x:f>
        <x:v>237.79994605269349</x:v>
      </x:c>
      <x:c r="K12" s="167" t="n">
        <x:f aca="0">SUMIFS(S17_Biome_Strata!$AQ$4:$AQ$95,S17_Biome_Strata!$A$4:$A$95,"Tropical &amp; Subtropical Moist Broadleaf Forests",S17_Biome_Strata!$B$4:$B$95,$A12,S17_Biome_Strata!$D$4:$D$95,$B12)</x:f>
        <x:v>427.5883693202734</x:v>
      </x:c>
      <x:c r="L12" s="167" t="n">
        <x:f aca="0">SUMIFS(S17_Biome_Strata!$AR$4:$AR$95,S17_Biome_Strata!$A$4:$A$95,"Tropical &amp; Subtropical Moist Broadleaf Forests",S17_Biome_Strata!$B$4:$B$95,$A12,S17_Biome_Strata!$D$4:$D$95,$B12)</x:f>
        <x:v>665.0612334809822</x:v>
      </x:c>
      <x:c r="M12" s="167" t="n">
        <x:f aca="0">SUMIFS(S17_Biome_Strata!$AS$4:$AS$95,S17_Biome_Strata!$A$4:$A$95,"Tropical &amp; Subtropical Moist Broadleaf Forests",S17_Biome_Strata!$B$4:$B$95,$A12,S17_Biome_Strata!$D$4:$D$95,$B12)</x:f>
        <x:v>938.0350899227906</x:v>
      </x:c>
      <x:c r="N12" s="167" t="n">
        <x:f aca="0">SUMIFS(S17_Biome_Strata!$AT$4:$AT$95,S17_Biome_Strata!$A$4:$A$95,"Tropical &amp; Subtropical Moist Broadleaf Forests",S17_Biome_Strata!$B$4:$B$95,$A12,S17_Biome_Strata!$D$4:$D$95,$B12)</x:f>
        <x:v>1233.9171149534236</x:v>
      </x:c>
      <x:c r="O12" s="167" t="n">
        <x:f aca="0">SUMIFS(S17_Biome_Strata!$AU$4:$AU$95,S17_Biome_Strata!$A$4:$A$95,"Tropical &amp; Subtropical Moist Broadleaf Forests",S17_Biome_Strata!$B$4:$B$95,$A12,S17_Biome_Strata!$D$4:$D$95,$B12)</x:f>
        <x:v>1541.2769245913657</x:v>
      </x:c>
      <x:c r="P12" s="167" t="n">
        <x:f aca="0">SUMIFS(S17_Biome_Strata!$AV$4:$AV$95,S17_Biome_Strata!$A$4:$A$95,"Tropical &amp; Subtropical Moist Broadleaf Forests",S17_Biome_Strata!$B$4:$B$95,$A12,S17_Biome_Strata!$D$4:$D$95,$B12)</x:f>
        <x:v>1850.5636330474715</x:v>
      </x:c>
      <x:c r="Q12" s="167" t="n">
        <x:f aca="0">SUMIFS(S17_Biome_Strata!$AW$4:$AW$95,S17_Biome_Strata!$A$4:$A$95,"Tropical &amp; Subtropical Moist Broadleaf Forests",S17_Biome_Strata!$B$4:$B$95,$A12,S17_Biome_Strata!$D$4:$D$95,$B12)</x:f>
        <x:v>2154.291300416169</x:v>
      </x:c>
      <x:c r="R12" s="167" t="n">
        <x:f aca="0">SUMIFS(S17_Biome_Strata!$AX$4:$AX$95,S17_Biome_Strata!$A$4:$A$95,"Tropical &amp; Subtropical Moist Broadleaf Forests",S17_Biome_Strata!$B$4:$B$95,$A12,S17_Biome_Strata!$D$4:$D$95,$B12)</x:f>
        <x:v>2446.92876812995</x:v>
      </x:c>
      <x:c r="S12" s="167" t="n">
        <x:f aca="0">SUMIFS(S17_Biome_Strata!$AY$4:$AY$95,S17_Biome_Strata!$A$4:$A$95,"Tropical &amp; Subtropical Moist Broadleaf Forests",S17_Biome_Strata!$B$4:$B$95,$A12,S17_Biome_Strata!$D$4:$D$95,$B12)</x:f>
        <x:v>2724.6484926953476</x:v>
      </x:c>
      <x:c r="T12" s="167" t="n">
        <x:f aca="0">SUMIFS(S17_Biome_Strata!$AZ$4:$AZ$95,S17_Biome_Strata!$A$4:$A$95,"Tropical &amp; Subtropical Moist Broadleaf Forests",S17_Biome_Strata!$B$4:$B$95,$A12,S17_Biome_Strata!$D$4:$D$95,$B12)</x:f>
        <x:v>2985.0277977833307</x:v>
      </x:c>
      <x:c r="U12" s="167" t="n">
        <x:f aca="0">SUMIFS(S17_Biome_Strata!$BA$4:$BA$95,S17_Biome_Strata!$A$4:$A$95,"Tropical &amp; Subtropical Moist Broadleaf Forests",S17_Biome_Strata!$B$4:$B$95,$A12,S17_Biome_Strata!$D$4:$D$95,$B12)</x:f>
        <x:v>3226.754488349848</x:v>
      </x:c>
      <x:c r="V12" s="167" t="n">
        <x:f aca="0">SUMIFS(S17_Biome_Strata!$BB$4:$BB$95,S17_Biome_Strata!$A$4:$A$95,"Tropical &amp; Subtropical Moist Broadleaf Forests",S17_Biome_Strata!$B$4:$B$95,$A12,S17_Biome_Strata!$D$4:$D$95,$B12)</x:f>
        <x:v>3449.3625233004777</x:v>
      </x:c>
      <x:c r="W12" s="167" t="n">
        <x:f aca="0">SUMIFS(S17_Biome_Strata!$BC$4:$BC$95,S17_Biome_Strata!$A$4:$A$95,"Tropical &amp; Subtropical Moist Broadleaf Forests",S17_Biome_Strata!$B$4:$B$95,$A12,S17_Biome_Strata!$D$4:$D$95,$B12)</x:f>
        <x:v>3653.0077875991233</x:v>
      </x:c>
      <x:c r="X12" s="167" t="n">
        <x:f aca="0">SUMIFS(S17_Biome_Strata!$BD$4:$BD$95,S17_Biome_Strata!$A$4:$A$95,"Tropical &amp; Subtropical Moist Broadleaf Forests",S17_Biome_Strata!$B$4:$B$95,$A12,S17_Biome_Strata!$D$4:$D$95,$B12)</x:f>
        <x:v>3838.285257125543</x:v>
      </x:c>
      <x:c r="Y12" s="167" t="n">
        <x:f aca="0">SUMIFS(S17_Biome_Strata!$BE$4:$BE$95,S17_Biome_Strata!$A$4:$A$95,"Tropical &amp; Subtropical Moist Broadleaf Forests",S17_Biome_Strata!$B$4:$B$95,$A12,S17_Biome_Strata!$D$4:$D$95,$B12)</x:f>
        <x:v>4006.0843919278045</x:v>
      </x:c>
      <x:c r="Z12" s="167" t="n">
        <x:f aca="0">SUMIFS(S17_Biome_Strata!$BF$4:$BF$95,S17_Biome_Strata!$A$4:$A$95,"Tropical &amp; Subtropical Moist Broadleaf Forests",S17_Biome_Strata!$B$4:$B$95,$A12,S17_Biome_Strata!$D$4:$D$95,$B12)</x:f>
        <x:v>4157.4776800077</x:v>
      </x:c>
      <x:c r="AA12" s="167" t="n">
        <x:f aca="0">F12*(1-$D12)</x:f>
        <x:v>0</x:v>
      </x:c>
      <x:c r="AB12" s="167" t="n">
        <x:f aca="0">G12*(1-$D12)</x:f>
        <x:v>2.0745237576144984</x:v>
      </x:c>
      <x:c r="AC12" s="167" t="n">
        <x:f aca="0">H12*(1-$D12)</x:f>
        <x:v>20.757314252690055</x:v>
      </x:c>
      <x:c r="AD12" s="167" t="n">
        <x:f aca="0">I12*(1-$D12)</x:f>
        <x:v>71.98862670464314</x:v>
      </x:c>
      <x:c r="AE12" s="167" t="n">
        <x:f aca="0">J12*(1-$D12)</x:f>
        <x:v>163.5265517149204</x:v>
      </x:c>
      <x:c r="AF12" s="167" t="n">
        <x:f aca="0">K12*(1-$D12)</x:f>
        <x:v>294.0372895326743</x:v>
      </x:c>
      <x:c r="AG12" s="167" t="n">
        <x:f aca="0">L12*(1-$D12)</x:f>
        <x:v>457.33891868216745</x:v>
      </x:c>
      <x:c r="AH12" s="167" t="n">
        <x:f aca="0">M12*(1-$D12)</x:f>
        <x:v>645.053315565846</x:v>
      </x:c>
      <x:c r="AI12" s="167" t="n">
        <x:f aca="0">N12*(1-$D12)</x:f>
        <x:v>848.5208439267051</x:v>
      </x:c>
      <x:c r="AJ12" s="167" t="n">
        <x:f aca="0">O12*(1-$D12)</x:f>
        <x:v>1059.8812358870537</x:v>
      </x:c>
      <x:c r="AK12" s="167" t="n">
        <x:f aca="0">P12*(1-$D12)</x:f>
        <x:v>1272.5666875224285</x:v>
      </x:c>
      <x:c r="AL12" s="167" t="n">
        <x:f aca="0">Q12*(1-$D12)</x:f>
        <x:v>1481.4293846326027</x:v>
      </x:c>
      <x:c r="AM12" s="167" t="n">
        <x:f aca="0">R12*(1-$D12)</x:f>
        <x:v>1682.665746508047</x:v>
      </x:c>
      <x:c r="AN12" s="167" t="n">
        <x:f aca="0">S12*(1-$D12)</x:f>
        <x:v>1873.6437078374984</x:v>
      </x:c>
      <x:c r="AO12" s="167" t="n">
        <x:f aca="0">T12*(1-$D12)</x:f>
        <x:v>2052.6972804128686</x:v>
      </x:c>
      <x:c r="AP12" s="167" t="n">
        <x:f aca="0">U12*(1-$D12)</x:f>
        <x:v>2218.924114446898</x:v>
      </x:c>
      <x:c r="AQ12" s="167" t="n">
        <x:f aca="0">V12*(1-$D12)</x:f>
        <x:v>2372.0037300808085</x:v>
      </x:c>
      <x:c r="AR12" s="167" t="n">
        <x:f aca="0">W12*(1-$D12)</x:f>
        <x:v>2512.0433238511614</x:v>
      </x:c>
      <x:c r="AS12" s="167" t="n">
        <x:f aca="0">X12*(1-$D12)</x:f>
        <x:v>2639.4520394755464</x:v>
      </x:c>
      <x:c r="AT12" s="167" t="n">
        <x:f aca="0">Y12*(1-$D12)</x:f>
        <x:v>2754.8415269436414</x:v>
      </x:c>
      <x:c r="AU12" s="167" t="n">
        <x:f aca="0">Z12*(1-$D12)</x:f>
        <x:v>2858.9492980488667</x:v>
      </x:c>
      <x:c r="AV12" s="37" t="str">
        <x:v>Formula-derived: S17_Biome_Strata row gross stock = eligible area × S15_Source_Strata stock/ha; S15_Source_Strata stock = cohort-aligned Chapman-Richards D/H → Chave AGB → conservative calibration → CF × (1+R) × 44/12. PB applied separately by Biome × Cohort.</x:v>
      </x:c>
    </x:row>
    <x:row r="13" ht="15" hidden="0" customHeight="1">
      <x:c r="A13" s="37" t="s">
        <x:v>113</x:v>
      </x:c>
      <x:c r="B13" s="37" t="n">
        <x:v>2021</x:v>
      </x:c>
      <x:c r="C13" s="167" t="n">
        <x:f aca="0">SUMIFS(S17_Biome_Strata!$F$4:$F$95,S17_Biome_Strata!$A$4:$A$95,"Tropical &amp; Subtropical Moist Broadleaf Forests",S17_Biome_Strata!$B$4:$B$95,$A13,S17_Biome_Strata!$D$4:$D$95,$B13)</x:f>
        <x:v>11.1879</x:v>
      </x:c>
      <x:c r="D13" s="167" t="n">
        <x:f aca="0">S09_PB_Input!H9</x:f>
        <x:v>0.3123356231599608</x:v>
      </x:c>
      <x:c r="E13" s="168" t="str">
        <x:f aca="0">S09_PB_Input!I9</x:f>
        <x:v>VM0047 v1.1 Appendix 1: Z-test significant; PB_t = ΔSI_control / ΔSI_wp (Eq. A8). Source: 20260814_304027_GKF_ProjectPlots_PB.xlsx.</x:v>
      </x:c>
      <x:c r="F13" s="167" t="n">
        <x:f aca="0">SUMIFS(S17_Biome_Strata!$AL$4:$AL$95,S17_Biome_Strata!$A$4:$A$95,"Tropical &amp; Subtropical Moist Broadleaf Forests",S17_Biome_Strata!$B$4:$B$95,$A13,S17_Biome_Strata!$D$4:$D$95,$B13)</x:f>
        <x:v>0</x:v>
      </x:c>
      <x:c r="G13" s="167" t="n">
        <x:f aca="0">SUMIFS(S17_Biome_Strata!$AM$4:$AM$95,S17_Biome_Strata!$A$4:$A$95,"Tropical &amp; Subtropical Moist Broadleaf Forests",S17_Biome_Strata!$B$4:$B$95,$A13,S17_Biome_Strata!$D$4:$D$95,$B13)</x:f>
        <x:v>0</x:v>
      </x:c>
      <x:c r="H13" s="167" t="n">
        <x:f aca="0">SUMIFS(S17_Biome_Strata!$AN$4:$AN$95,S17_Biome_Strata!$A$4:$A$95,"Tropical &amp; Subtropical Moist Broadleaf Forests",S17_Biome_Strata!$B$4:$B$95,$A13,S17_Biome_Strata!$D$4:$D$95,$B13)</x:f>
        <x:v>2.622452779867184</x:v>
      </x:c>
      <x:c r="I13" s="167" t="n">
        <x:f aca="0">SUMIFS(S17_Biome_Strata!$AO$4:$AO$95,S17_Biome_Strata!$A$4:$A$95,"Tropical &amp; Subtropical Moist Broadleaf Forests",S17_Biome_Strata!$B$4:$B$95,$A13,S17_Biome_Strata!$D$4:$D$95,$B13)</x:f>
        <x:v>28.161995448890075</x:v>
      </x:c>
      <x:c r="J13" s="167" t="n">
        <x:f aca="0">SUMIFS(S17_Biome_Strata!$AP$4:$AP$95,S17_Biome_Strata!$A$4:$A$95,"Tropical &amp; Subtropical Moist Broadleaf Forests",S17_Biome_Strata!$B$4:$B$95,$A13,S17_Biome_Strata!$D$4:$D$95,$B13)</x:f>
        <x:v>102.5466334721932</x:v>
      </x:c>
      <x:c r="K13" s="167" t="n">
        <x:f aca="0">SUMIFS(S17_Biome_Strata!$AQ$4:$AQ$95,S17_Biome_Strata!$A$4:$A$95,"Tropical &amp; Subtropical Moist Broadleaf Forests",S17_Biome_Strata!$B$4:$B$95,$A13,S17_Biome_Strata!$D$4:$D$95,$B13)</x:f>
        <x:v>242.06881698493453</x:v>
      </x:c>
      <x:c r="L13" s="167" t="n">
        <x:f aca="0">SUMIFS(S17_Biome_Strata!$AR$4:$AR$95,S17_Biome_Strata!$A$4:$A$95,"Tropical &amp; Subtropical Moist Broadleaf Forests",S17_Biome_Strata!$B$4:$B$95,$A13,S17_Biome_Strata!$D$4:$D$95,$B13)</x:f>
        <x:v>449.4257410516624</x:v>
      </x:c>
      <x:c r="M13" s="167" t="n">
        <x:f aca="0">SUMIFS(S17_Biome_Strata!$AS$4:$AS$95,S17_Biome_Strata!$A$4:$A$95,"Tropical &amp; Subtropical Moist Broadleaf Forests",S17_Biome_Strata!$B$4:$B$95,$A13,S17_Biome_Strata!$D$4:$D$95,$B13)</x:f>
        <x:v>718.4537148090405</x:v>
      </x:c>
      <x:c r="N13" s="167" t="n">
        <x:f aca="0">SUMIFS(S17_Biome_Strata!$AT$4:$AT$95,S17_Biome_Strata!$A$4:$A$95,"Tropical &amp; Subtropical Moist Broadleaf Forests",S17_Biome_Strata!$B$4:$B$95,$A13,S17_Biome_Strata!$D$4:$D$95,$B13)</x:f>
        <x:v>1037.7835929181133</x:v>
      </x:c>
      <x:c r="O13" s="167" t="n">
        <x:f aca="0">SUMIFS(S17_Biome_Strata!$AU$4:$AU$95,S17_Biome_Strata!$A$4:$A$95,"Tropical &amp; Subtropical Moist Broadleaf Forests",S17_Biome_Strata!$B$4:$B$95,$A13,S17_Biome_Strata!$D$4:$D$95,$B13)</x:f>
        <x:v>1393.9754711221556</x:v>
      </x:c>
      <x:c r="P13" s="167" t="n">
        <x:f aca="0">SUMIFS(S17_Biome_Strata!$AV$4:$AV$95,S17_Biome_Strata!$A$4:$A$95,"Tropical &amp; Subtropical Moist Broadleaf Forests",S17_Biome_Strata!$B$4:$B$95,$A13,S17_Biome_Strata!$D$4:$D$95,$B13)</x:f>
        <x:v>1773.6282706126105</x:v>
      </x:c>
      <x:c r="Q13" s="167" t="n">
        <x:f aca="0">SUMIFS(S17_Biome_Strata!$AW$4:$AW$95,S17_Biome_Strata!$A$4:$A$95,"Tropical &amp; Subtropical Moist Broadleaf Forests",S17_Biome_Strata!$B$4:$B$95,$A13,S17_Biome_Strata!$D$4:$D$95,$B13)</x:f>
        <x:v>2164.6157385034758</x:v>
      </x:c>
      <x:c r="R13" s="167" t="n">
        <x:f aca="0">SUMIFS(S17_Biome_Strata!$AX$4:$AX$95,S17_Biome_Strata!$A$4:$A$95,"Tropical &amp; Subtropical Moist Broadleaf Forests",S17_Biome_Strata!$B$4:$B$95,$A13,S17_Biome_Strata!$D$4:$D$95,$B13)</x:f>
        <x:v>2556.6855612637896</x:v>
      </x:c>
      <x:c r="S13" s="167" t="n">
        <x:f aca="0">SUMIFS(S17_Biome_Strata!$AY$4:$AY$95,S17_Biome_Strata!$A$4:$A$95,"Tropical &amp; Subtropical Moist Broadleaf Forests",S17_Biome_Strata!$B$4:$B$95,$A13,S17_Biome_Strata!$D$4:$D$95,$B13)</x:f>
        <x:v>2941.6383665529374</x:v>
      </x:c>
      <x:c r="T13" s="167" t="n">
        <x:f aca="0">SUMIFS(S17_Biome_Strata!$AZ$4:$AZ$95,S17_Biome_Strata!$A$4:$A$95,"Tropical &amp; Subtropical Moist Broadleaf Forests",S17_Biome_Strata!$B$4:$B$95,$A13,S17_Biome_Strata!$D$4:$D$95,$B13)</x:f>
        <x:v>3313.254000217206</x:v>
      </x:c>
      <x:c r="U13" s="167" t="n">
        <x:f aca="0">SUMIFS(S17_Biome_Strata!$BA$4:$BA$95,S17_Biome_Strata!$A$4:$A$95,"Tropical &amp; Subtropical Moist Broadleaf Forests",S17_Biome_Strata!$B$4:$B$95,$A13,S17_Biome_Strata!$D$4:$D$95,$B13)</x:f>
        <x:v>3667.082821309034</x:v>
      </x:c>
      <x:c r="V13" s="167" t="n">
        <x:f aca="0">SUMIFS(S17_Biome_Strata!$BB$4:$BB$95,S17_Biome_Strata!$A$4:$A$95,"Tropical &amp; Subtropical Moist Broadleaf Forests",S17_Biome_Strata!$B$4:$B$95,$A13,S17_Biome_Strata!$D$4:$D$95,$B13)</x:f>
        <x:v>4000.179309944708</x:v>
      </x:c>
      <x:c r="W13" s="167" t="n">
        <x:f aca="0">SUMIFS(S17_Biome_Strata!$BC$4:$BC$95,S17_Biome_Strata!$A$4:$A$95,"Tropical &amp; Subtropical Moist Broadleaf Forests",S17_Biome_Strata!$B$4:$B$95,$A13,S17_Biome_Strata!$D$4:$D$95,$B13)</x:f>
        <x:v>4310.825469360469</x:v>
      </x:c>
      <x:c r="X13" s="167" t="n">
        <x:f aca="0">SUMIFS(S17_Biome_Strata!$BD$4:$BD$95,S17_Biome_Strata!$A$4:$A$95,"Tropical &amp; Subtropical Moist Broadleaf Forests",S17_Biome_Strata!$B$4:$B$95,$A13,S17_Biome_Strata!$D$4:$D$95,$B13)</x:f>
        <x:v>4598.27089519123</x:v>
      </x:c>
      <x:c r="Y13" s="167" t="n">
        <x:f aca="0">SUMIFS(S17_Biome_Strata!$BE$4:$BE$95,S17_Biome_Strata!$A$4:$A$95,"Tropical &amp; Subtropical Moist Broadleaf Forests",S17_Biome_Strata!$B$4:$B$95,$A13,S17_Biome_Strata!$D$4:$D$95,$B13)</x:f>
        <x:v>4862.502852467586</x:v>
      </x:c>
      <x:c r="Z13" s="167" t="n">
        <x:f aca="0">SUMIFS(S17_Biome_Strata!$BF$4:$BF$95,S17_Biome_Strata!$A$4:$A$95,"Tropical &amp; Subtropical Moist Broadleaf Forests",S17_Biome_Strata!$B$4:$B$95,$A13,S17_Biome_Strata!$D$4:$D$95,$B13)</x:f>
        <x:v>5104.0512505750485</x:v>
      </x:c>
      <x:c r="AA13" s="167" t="n">
        <x:f aca="0">F13*(1-$D13)</x:f>
        <x:v>0</x:v>
      </x:c>
      <x:c r="AB13" s="167" t="n">
        <x:f aca="0">G13*(1-$D13)</x:f>
        <x:v>0</x:v>
      </x:c>
      <x:c r="AC13" s="167" t="n">
        <x:f aca="0">H13*(1-$D13)</x:f>
        <x:v>1.8033673566597959</x:v>
      </x:c>
      <x:c r="AD13" s="167" t="n">
        <x:f aca="0">I13*(1-$D13)</x:f>
        <x:v>19.366001050933015</x:v>
      </x:c>
      <x:c r="AE13" s="167" t="n">
        <x:f aca="0">J13*(1-$D13)</x:f>
        <x:v>70.51766680369964</x:v>
      </x:c>
      <x:c r="AF13" s="167" t="n">
        <x:f aca="0">K13*(1-$D13)</x:f>
        <x:v>166.4621021843505</x:v>
      </x:c>
      <x:c r="AG13" s="167" t="n">
        <x:f aca="0">L13*(1-$D13)</x:f>
        <x:v>309.05407215616424</x:v>
      </x:c>
      <x:c r="AH13" s="167" t="n">
        <x:f aca="0">M13*(1-$D13)</x:f>
        <x:v>494.0550260825701</x:v>
      </x:c>
      <x:c r="AI13" s="167" t="n">
        <x:f aca="0">N13*(1-$D13)</x:f>
        <x:v>713.6468077188513</x:v>
      </x:c>
      <x:c r="AJ13" s="167" t="n">
        <x:f aca="0">O13*(1-$D13)</x:f>
        <x:v>958.5872736795172</x:v>
      </x:c>
      <x:c r="AK13" s="167" t="n">
        <x:f aca="0">P13*(1-$D13)</x:f>
        <x:v>1219.6609794566973</x:v>
      </x:c>
      <x:c r="AL13" s="167" t="n">
        <x:f aca="0">Q13*(1-$D13)</x:f>
        <x:v>1488.529132916134</x:v>
      </x:c>
      <x:c r="AM13" s="167" t="n">
        <x:f aca="0">R13*(1-$D13)</x:f>
        <x:v>1758.1415832623898</x:v>
      </x:c>
      <x:c r="AN13" s="167" t="n">
        <x:f aca="0">S13*(1-$D13)</x:f>
        <x:v>2022.8599142243766</x:v>
      </x:c>
      <x:c r="AO13" s="167" t="n">
        <x:f aca="0">T13*(1-$D13)</x:f>
        <x:v>2278.406747372132</x:v>
      </x:c>
      <x:c r="AP13" s="167" t="n">
        <x:f aca="0">U13*(1-$D13)</x:f>
        <x:v>2521.72222313629</x:v>
      </x:c>
      <x:c r="AQ13" s="167" t="n">
        <x:f aca="0">V13*(1-$D13)</x:f>
        <x:v>2750.7808124215458</x:v>
      </x:c>
      <x:c r="AR13" s="167" t="n">
        <x:f aca="0">W13*(1-$D13)</x:f>
        <x:v>2964.401110053936</x:v>
      </x:c>
      <x:c r="AS13" s="167" t="n">
        <x:f aca="0">X13*(1-$D13)</x:f>
        <x:v>3162.0670896833667</x:v>
      </x:c>
      <x:c r="AT13" s="167" t="n">
        <x:f aca="0">Y13*(1-$D13)</x:f>
        <x:v>3343.769993925036</x:v>
      </x:c>
      <x:c r="AU13" s="167" t="n">
        <x:f aca="0">Z13*(1-$D13)</x:f>
        <x:v>3509.8742225863134</x:v>
      </x:c>
      <x:c r="AV13" s="37" t="str">
        <x:v>Formula-derived: S17_Biome_Strata row gross stock = eligible area × S15_Source_Strata stock/ha; S15_Source_Strata stock = cohort-aligned Chapman-Richards D/H → Chave AGB → conservative calibration → CF × (1+R) × 44/12. PB applied separately by Biome × Cohort.</x:v>
      </x:c>
    </x:row>
    <x:row r="14" ht="15" hidden="0" customHeight="1">
      <x:c r="A14" s="37" t="s">
        <x:v>113</x:v>
      </x:c>
      <x:c r="B14" s="37" t="n">
        <x:v>2022</x:v>
      </x:c>
      <x:c r="C14" s="167" t="n">
        <x:f aca="0">SUMIFS(S17_Biome_Strata!$F$4:$F$95,S17_Biome_Strata!$A$4:$A$95,"Tropical &amp; Subtropical Moist Broadleaf Forests",S17_Biome_Strata!$B$4:$B$95,$A14,S17_Biome_Strata!$D$4:$D$95,$B14)</x:f>
        <x:v>2.4991</x:v>
      </x:c>
      <x:c r="D14" s="167" t="n">
        <x:f aca="0">S09_PB_Input!H10</x:f>
        <x:v>0.3123356231599608</x:v>
      </x:c>
      <x:c r="E14" s="168" t="str">
        <x:f aca="0">S09_PB_Input!I10</x:f>
        <x:v>VM0047 v1.1 Appendix 1: Z-test significant; PB_t = ΔSI_control / ΔSI_wp (Eq. A8). Source: 20260814_304027_GKF_ProjectPlots_PB.xlsx.</x:v>
      </x:c>
      <x:c r="F14" s="167" t="n">
        <x:f aca="0">SUMIFS(S17_Biome_Strata!$AL$4:$AL$95,S17_Biome_Strata!$A$4:$A$95,"Tropical &amp; Subtropical Moist Broadleaf Forests",S17_Biome_Strata!$B$4:$B$95,$A14,S17_Biome_Strata!$D$4:$D$95,$B14)</x:f>
        <x:v>0</x:v>
      </x:c>
      <x:c r="G14" s="167" t="n">
        <x:f aca="0">SUMIFS(S17_Biome_Strata!$AM$4:$AM$95,S17_Biome_Strata!$A$4:$A$95,"Tropical &amp; Subtropical Moist Broadleaf Forests",S17_Biome_Strata!$B$4:$B$95,$A14,S17_Biome_Strata!$D$4:$D$95,$B14)</x:f>
        <x:v>0</x:v>
      </x:c>
      <x:c r="H14" s="167" t="n">
        <x:f aca="0">SUMIFS(S17_Biome_Strata!$AN$4:$AN$95,S17_Biome_Strata!$A$4:$A$95,"Tropical &amp; Subtropical Moist Broadleaf Forests",S17_Biome_Strata!$B$4:$B$95,$A14,S17_Biome_Strata!$D$4:$D$95,$B14)</x:f>
        <x:v>0</x:v>
      </x:c>
      <x:c r="I14" s="167" t="n">
        <x:f aca="0">SUMIFS(S17_Biome_Strata!$AO$4:$AO$95,S17_Biome_Strata!$A$4:$A$95,"Tropical &amp; Subtropical Moist Broadleaf Forests",S17_Biome_Strata!$B$4:$B$95,$A14,S17_Biome_Strata!$D$4:$D$95,$B14)</x:f>
        <x:v>0.5857910548151198</x:v>
      </x:c>
      <x:c r="J14" s="167" t="n">
        <x:f aca="0">SUMIFS(S17_Biome_Strata!$AP$4:$AP$95,S17_Biome_Strata!$A$4:$A$95,"Tropical &amp; Subtropical Moist Broadleaf Forests",S17_Biome_Strata!$B$4:$B$95,$A14,S17_Biome_Strata!$D$4:$D$95,$B14)</x:f>
        <x:v>6.290692875903536</x:v>
      </x:c>
      <x:c r="K14" s="167" t="n">
        <x:f aca="0">SUMIFS(S17_Biome_Strata!$AQ$4:$AQ$95,S17_Biome_Strata!$A$4:$A$95,"Tropical &amp; Subtropical Moist Broadleaf Forests",S17_Biome_Strata!$B$4:$B$95,$A14,S17_Biome_Strata!$D$4:$D$95,$B14)</x:f>
        <x:v>22.906380259955665</x:v>
      </x:c>
      <x:c r="L14" s="167" t="n">
        <x:f aca="0">SUMIFS(S17_Biome_Strata!$AR$4:$AR$95,S17_Biome_Strata!$A$4:$A$95,"Tropical &amp; Subtropical Moist Broadleaf Forests",S17_Biome_Strata!$B$4:$B$95,$A14,S17_Biome_Strata!$D$4:$D$95,$B14)</x:f>
        <x:v>54.07218338803974</x:v>
      </x:c>
      <x:c r="M14" s="167" t="n">
        <x:f aca="0">SUMIFS(S17_Biome_Strata!$AS$4:$AS$95,S17_Biome_Strata!$A$4:$A$95,"Tropical &amp; Subtropical Moist Broadleaf Forests",S17_Biome_Strata!$B$4:$B$95,$A14,S17_Biome_Strata!$D$4:$D$95,$B14)</x:f>
        <x:v>100.39058889176783</x:v>
      </x:c>
      <x:c r="N14" s="167" t="n">
        <x:f aca="0">SUMIFS(S17_Biome_Strata!$AT$4:$AT$95,S17_Biome_Strata!$A$4:$A$95,"Tropical &amp; Subtropical Moist Broadleaf Forests",S17_Biome_Strata!$B$4:$B$95,$A14,S17_Biome_Strata!$D$4:$D$95,$B14)</x:f>
        <x:v>160.48478076129328</x:v>
      </x:c>
      <x:c r="O14" s="167" t="n">
        <x:f aca="0">SUMIFS(S17_Biome_Strata!$AU$4:$AU$95,S17_Biome_Strata!$A$4:$A$95,"Tropical &amp; Subtropical Moist Broadleaf Forests",S17_Biome_Strata!$B$4:$B$95,$A14,S17_Biome_Strata!$D$4:$D$95,$B14)</x:f>
        <x:v>231.815173273059</x:v>
      </x:c>
      <x:c r="P14" s="167" t="n">
        <x:f aca="0">SUMIFS(S17_Biome_Strata!$AV$4:$AV$95,S17_Biome_Strata!$A$4:$A$95,"Tropical &amp; Subtropical Moist Broadleaf Forests",S17_Biome_Strata!$B$4:$B$95,$A14,S17_Biome_Strata!$D$4:$D$95,$B14)</x:f>
        <x:v>311.37962440506067</x:v>
      </x:c>
      <x:c r="Q14" s="167" t="n">
        <x:f aca="0">SUMIFS(S17_Biome_Strata!$AW$4:$AW$95,S17_Biome_Strata!$A$4:$A$95,"Tropical &amp; Subtropical Moist Broadleaf Forests",S17_Biome_Strata!$B$4:$B$95,$A14,S17_Biome_Strata!$D$4:$D$95,$B14)</x:f>
        <x:v>396.1846647796257</x:v>
      </x:c>
      <x:c r="R14" s="167" t="n">
        <x:f aca="0">SUMIFS(S17_Biome_Strata!$AX$4:$AX$95,S17_Biome_Strata!$A$4:$A$95,"Tropical &amp; Subtropical Moist Broadleaf Forests",S17_Biome_Strata!$B$4:$B$95,$A14,S17_Biome_Strata!$D$4:$D$95,$B14)</x:f>
        <x:v>483.5215895828561</x:v>
      </x:c>
      <x:c r="S14" s="167" t="n">
        <x:f aca="0">SUMIFS(S17_Biome_Strata!$AY$4:$AY$95,S17_Biome_Strata!$A$4:$A$95,"Tropical &amp; Subtropical Moist Broadleaf Forests",S17_Biome_Strata!$B$4:$B$95,$A14,S17_Biome_Strata!$D$4:$D$95,$B14)</x:f>
        <x:v>571.1002856795587</x:v>
      </x:c>
      <x:c r="T14" s="167" t="n">
        <x:f aca="0">SUMIFS(S17_Biome_Strata!$AZ$4:$AZ$95,S17_Biome_Strata!$A$4:$A$95,"Tropical &amp; Subtropical Moist Broadleaf Forests",S17_Biome_Strata!$B$4:$B$95,$A14,S17_Biome_Strata!$D$4:$D$95,$B14)</x:f>
        <x:v>657.089216193606</x:v>
      </x:c>
      <x:c r="U14" s="167" t="n">
        <x:f aca="0">SUMIFS(S17_Biome_Strata!$BA$4:$BA$95,S17_Biome_Strata!$A$4:$A$95,"Tropical &amp; Subtropical Moist Broadleaf Forests",S17_Biome_Strata!$B$4:$B$95,$A14,S17_Biome_Strata!$D$4:$D$95,$B14)</x:f>
        <x:v>740.0989526133428</x:v>
      </x:c>
      <x:c r="V14" s="167" t="n">
        <x:f aca="0">SUMIFS(S17_Biome_Strata!$BB$4:$BB$95,S17_Biome_Strata!$A$4:$A$95,"Tropical &amp; Subtropical Moist Broadleaf Forests",S17_Biome_Strata!$B$4:$B$95,$A14,S17_Biome_Strata!$D$4:$D$95,$B14)</x:f>
        <x:v>819.1355552635799</x:v>
      </x:c>
      <x:c r="W14" s="167" t="n">
        <x:f aca="0">SUMIFS(S17_Biome_Strata!$BC$4:$BC$95,S17_Biome_Strata!$A$4:$A$95,"Tropical &amp; Subtropical Moist Broadleaf Forests",S17_Biome_Strata!$B$4:$B$95,$A14,S17_Biome_Strata!$D$4:$D$95,$B14)</x:f>
        <x:v>893.5410678932435</x:v>
      </x:c>
      <x:c r="X14" s="167" t="n">
        <x:f aca="0">SUMIFS(S17_Biome_Strata!$BD$4:$BD$95,S17_Biome_Strata!$A$4:$A$95,"Tropical &amp; Subtropical Moist Broadleaf Forests",S17_Biome_Strata!$B$4:$B$95,$A14,S17_Biome_Strata!$D$4:$D$95,$B14)</x:f>
        <x:v>962.9317325395066</x:v>
      </x:c>
      <x:c r="Y14" s="167" t="n">
        <x:f aca="0">SUMIFS(S17_Biome_Strata!$BE$4:$BE$95,S17_Biome_Strata!$A$4:$A$95,"Tropical &amp; Subtropical Moist Broadleaf Forests",S17_Biome_Strata!$B$4:$B$95,$A14,S17_Biome_Strata!$D$4:$D$95,$B14)</x:f>
        <x:v>1027.139927436999</x:v>
      </x:c>
      <x:c r="Z14" s="167" t="n">
        <x:f aca="0">SUMIFS(S17_Biome_Strata!$BF$4:$BF$95,S17_Biome_Strata!$A$4:$A$95,"Tropical &amp; Subtropical Moist Broadleaf Forests",S17_Biome_Strata!$B$4:$B$95,$A14,S17_Biome_Strata!$D$4:$D$95,$B14)</x:f>
        <x:v>1086.1628079086997</x:v>
      </x:c>
      <x:c r="AA14" s="167" t="n">
        <x:f aca="0">F14*(1-$D14)</x:f>
        <x:v>0</x:v>
      </x:c>
      <x:c r="AB14" s="167" t="n">
        <x:f aca="0">G14*(1-$D14)</x:f>
        <x:v>0</x:v>
      </x:c>
      <x:c r="AC14" s="167" t="n">
        <x:f aca="0">H14*(1-$D14)</x:f>
        <x:v>0</x:v>
      </x:c>
      <x:c r="AD14" s="167" t="n">
        <x:f aca="0">I14*(1-$D14)</x:f>
        <x:v>0.40282764066790866</x:v>
      </x:c>
      <x:c r="AE14" s="167" t="n">
        <x:f aca="0">J14*(1-$D14)</x:f>
        <x:v>4.325885396400279</x:v>
      </x:c>
      <x:c r="AF14" s="167" t="n">
        <x:f aca="0">K14*(1-$D14)</x:f>
        <x:v>15.751901707123388</x:v>
      </x:c>
      <x:c r="AG14" s="167" t="n">
        <x:f aca="0">L14*(1-$D14)</x:f>
        <x:v>37.183514293916666</x:v>
      </x:c>
      <x:c r="AH14" s="167" t="n">
        <x:f aca="0">M14*(1-$D14)</x:f>
        <x:v>69.03503175086209</x:v>
      </x:c>
      <x:c r="AI14" s="167" t="n">
        <x:f aca="0">N14*(1-$D14)</x:f>
        <x:v>110.35966675452507</x:v>
      </x:c>
      <x:c r="AJ14" s="167" t="n">
        <x:f aca="0">O14*(1-$D14)</x:f>
        <x:v>159.41103667088385</x:v>
      </x:c>
      <x:c r="AK14" s="167" t="n">
        <x:f aca="0">P14*(1-$D14)</x:f>
        <x:v>214.12467537719152</x:v>
      </x:c>
      <x:c r="AL14" s="167" t="n">
        <x:f aca="0">Q14*(1-$D14)</x:f>
        <x:v>272.4420806192611</x:v>
      </x:c>
      <x:c r="AM14" s="167" t="n">
        <x:f aca="0">R14*(1-$D14)</x:f>
        <x:v>332.5005725892</x:v>
      </x:c>
      <x:c r="AN14" s="167" t="n">
        <x:f aca="0">S14*(1-$D14)</x:f>
        <x:v>392.72532206500216</x:v>
      </x:c>
      <x:c r="AO14" s="167" t="n">
        <x:f aca="0">T14*(1-$D14)</x:f>
        <x:v>451.8568463820859</x:v>
      </x:c>
      <x:c r="AP14" s="167" t="n">
        <x:f aca="0">U14*(1-$D14)</x:f>
        <x:v>508.9396850488201</x:v>
      </x:c>
      <x:c r="AQ14" s="167" t="n">
        <x:f aca="0">V14*(1-$D14)</x:f>
        <x:v>563.2903411578492</x:v>
      </x:c>
      <x:c r="AR14" s="167" t="n">
        <x:f aca="0">W14*(1-$D14)</x:f>
        <x:v>614.4563616337905</x:v>
      </x:c>
      <x:c r="AS14" s="167" t="n">
        <x:f aca="0">X14*(1-$D14)</x:f>
        <x:v>662.1738497962791</x:v>
      </x:c>
      <x:c r="AT14" s="167" t="n">
        <x:f aca="0">Y14*(1-$D14)</x:f>
        <x:v>706.327538128487</x:v>
      </x:c>
      <x:c r="AU14" s="167" t="n">
        <x:f aca="0">Z14*(1-$D14)</x:f>
        <x:v>746.9154704473632</x:v>
      </x:c>
      <x:c r="AV14" s="37" t="str">
        <x:v>Formula-derived: S17_Biome_Strata row gross stock = eligible area × S15_Source_Strata stock/ha; S15_Source_Strata stock = cohort-aligned Chapman-Richards D/H → Chave AGB → conservative calibration → CF × (1+R) × 44/12. PB applied separately by Biome × Cohort.</x:v>
      </x:c>
    </x:row>
    <x:row r="15" ht="15" hidden="0" customHeight="1">
      <x:c r="A15" s="37" t="s">
        <x:v>113</x:v>
      </x:c>
      <x:c r="B15" s="37" t="n">
        <x:v>2023</x:v>
      </x:c>
      <x:c r="C15" s="167" t="n">
        <x:f aca="0">SUMIFS(S17_Biome_Strata!$F$4:$F$95,S17_Biome_Strata!$A$4:$A$95,"Tropical &amp; Subtropical Moist Broadleaf Forests",S17_Biome_Strata!$B$4:$B$95,$A15,S17_Biome_Strata!$D$4:$D$95,$B15)</x:f>
        <x:v>4.2112</x:v>
      </x:c>
      <x:c r="D15" s="167" t="n">
        <x:f aca="0">S09_PB_Input!H11</x:f>
        <x:v>0.3123356231599608</x:v>
      </x:c>
      <x:c r="E15" s="168" t="str">
        <x:f aca="0">S09_PB_Input!I11</x:f>
        <x:v>VM0047 v1.1 Appendix 1: Z-test significant; PB_t = ΔSI_control / ΔSI_wp (Eq. A8). Source: 20260814_304027_GKF_ProjectPlots_PB.xlsx.</x:v>
      </x:c>
      <x:c r="F15" s="167" t="n">
        <x:f aca="0">SUMIFS(S17_Biome_Strata!$AL$4:$AL$95,S17_Biome_Strata!$A$4:$A$95,"Tropical &amp; Subtropical Moist Broadleaf Forests",S17_Biome_Strata!$B$4:$B$95,$A15,S17_Biome_Strata!$D$4:$D$95,$B15)</x:f>
        <x:v>0</x:v>
      </x:c>
      <x:c r="G15" s="167" t="n">
        <x:f aca="0">SUMIFS(S17_Biome_Strata!$AM$4:$AM$95,S17_Biome_Strata!$A$4:$A$95,"Tropical &amp; Subtropical Moist Broadleaf Forests",S17_Biome_Strata!$B$4:$B$95,$A15,S17_Biome_Strata!$D$4:$D$95,$B15)</x:f>
        <x:v>0</x:v>
      </x:c>
      <x:c r="H15" s="167" t="n">
        <x:f aca="0">SUMIFS(S17_Biome_Strata!$AN$4:$AN$95,S17_Biome_Strata!$A$4:$A$95,"Tropical &amp; Subtropical Moist Broadleaf Forests",S17_Biome_Strata!$B$4:$B$95,$A15,S17_Biome_Strata!$D$4:$D$95,$B15)</x:f>
        <x:v>0</x:v>
      </x:c>
      <x:c r="I15" s="167" t="n">
        <x:f aca="0">SUMIFS(S17_Biome_Strata!$AO$4:$AO$95,S17_Biome_Strata!$A$4:$A$95,"Tropical &amp; Subtropical Moist Broadleaf Forests",S17_Biome_Strata!$B$4:$B$95,$A15,S17_Biome_Strata!$D$4:$D$95,$B15)</x:f>
        <x:v>0</x:v>
      </x:c>
      <x:c r="J15" s="167" t="n">
        <x:f aca="0">SUMIFS(S17_Biome_Strata!$AP$4:$AP$95,S17_Biome_Strata!$A$4:$A$95,"Tropical &amp; Subtropical Moist Broadleaf Forests",S17_Biome_Strata!$B$4:$B$95,$A15,S17_Biome_Strata!$D$4:$D$95,$B15)</x:f>
        <x:v>1.8181820614090785</x:v>
      </x:c>
      <x:c r="K15" s="167" t="n">
        <x:f aca="0">SUMIFS(S17_Biome_Strata!$AQ$4:$AQ$95,S17_Biome_Strata!$A$4:$A$95,"Tropical &amp; Subtropical Moist Broadleaf Forests",S17_Biome_Strata!$B$4:$B$95,$A15,S17_Biome_Strata!$D$4:$D$95,$B15)</x:f>
        <x:v>18.577668918460606</x:v>
      </x:c>
      <x:c r="L15" s="167" t="n">
        <x:f aca="0">SUMIFS(S17_Biome_Strata!$AR$4:$AR$95,S17_Biome_Strata!$A$4:$A$95,"Tropical &amp; Subtropical Moist Broadleaf Forests",S17_Biome_Strata!$B$4:$B$95,$A15,S17_Biome_Strata!$D$4:$D$95,$B15)</x:f>
        <x:v>65.36453011570822</x:v>
      </x:c>
      <x:c r="M15" s="167" t="n">
        <x:f aca="0">SUMIFS(S17_Biome_Strata!$AS$4:$AS$95,S17_Biome_Strata!$A$4:$A$95,"Tropical &amp; Subtropical Moist Broadleaf Forests",S17_Biome_Strata!$B$4:$B$95,$A15,S17_Biome_Strata!$D$4:$D$95,$B15)</x:f>
        <x:v>150.16986330300074</x:v>
      </x:c>
      <x:c r="N15" s="167" t="n">
        <x:f aca="0">SUMIFS(S17_Biome_Strata!$AT$4:$AT$95,S17_Biome_Strata!$A$4:$A$95,"Tropical &amp; Subtropical Moist Broadleaf Forests",S17_Biome_Strata!$B$4:$B$95,$A15,S17_Biome_Strata!$D$4:$D$95,$B15)</x:f>
        <x:v>272.5644855569664</x:v>
      </x:c>
      <x:c r="O15" s="167" t="n">
        <x:f aca="0">SUMIFS(S17_Biome_Strata!$AU$4:$AU$95,S17_Biome_Strata!$A$4:$A$95,"Tropical &amp; Subtropical Moist Broadleaf Forests",S17_Biome_Strata!$B$4:$B$95,$A15,S17_Biome_Strata!$D$4:$D$95,$B15)</x:f>
        <x:v>427.33247973002204</x:v>
      </x:c>
      <x:c r="P15" s="167" t="n">
        <x:f aca="0">SUMIFS(S17_Biome_Strata!$AV$4:$AV$95,S17_Biome_Strata!$A$4:$A$95,"Tropical &amp; Subtropical Moist Broadleaf Forests",S17_Biome_Strata!$B$4:$B$95,$A15,S17_Biome_Strata!$D$4:$D$95,$B15)</x:f>
        <x:v>606.8818807130734</x:v>
      </x:c>
      <x:c r="Q15" s="167" t="n">
        <x:f aca="0">SUMIFS(S17_Biome_Strata!$AW$4:$AW$95,S17_Biome_Strata!$A$4:$A$95,"Tropical &amp; Subtropical Moist Broadleaf Forests",S17_Biome_Strata!$B$4:$B$95,$A15,S17_Biome_Strata!$D$4:$D$95,$B15)</x:f>
        <x:v>803.0758985926486</x:v>
      </x:c>
      <x:c r="R15" s="167" t="n">
        <x:f aca="0">SUMIFS(S17_Biome_Strata!$AX$4:$AX$95,S17_Biome_Strata!$A$4:$A$95,"Tropical &amp; Subtropical Moist Broadleaf Forests",S17_Biome_Strata!$B$4:$B$95,$A15,S17_Biome_Strata!$D$4:$D$95,$B15)</x:f>
        <x:v>1008.3279485538054</x:v>
      </x:c>
      <x:c r="S15" s="167" t="n">
        <x:f aca="0">SUMIFS(S17_Biome_Strata!$AY$4:$AY$95,S17_Biome_Strata!$A$4:$A$95,"Tropical &amp; Subtropical Moist Broadleaf Forests",S17_Biome_Strata!$B$4:$B$95,$A15,S17_Biome_Strata!$D$4:$D$95,$B15)</x:f>
        <x:v>1216.149094338901</x:v>
      </x:c>
      <x:c r="T15" s="167" t="n">
        <x:f aca="0">SUMIFS(S17_Biome_Strata!$AZ$4:$AZ$95,S17_Biome_Strata!$A$4:$A$95,"Tropical &amp; Subtropical Moist Broadleaf Forests",S17_Biome_Strata!$B$4:$B$95,$A15,S17_Biome_Strata!$D$4:$D$95,$B15)</x:f>
        <x:v>1421.3375921536576</x:v>
      </x:c>
      <x:c r="U15" s="167" t="n">
        <x:f aca="0">SUMIFS(S17_Biome_Strata!$BA$4:$BA$95,S17_Biome_Strata!$A$4:$A$95,"Tropical &amp; Subtropical Moist Broadleaf Forests",S17_Biome_Strata!$B$4:$B$95,$A15,S17_Biome_Strata!$D$4:$D$95,$B15)</x:f>
        <x:v>1619.9575287494688</x:v>
      </x:c>
      <x:c r="V15" s="167" t="n">
        <x:f aca="0">SUMIFS(S17_Biome_Strata!$BB$4:$BB$95,S17_Biome_Strata!$A$4:$A$95,"Tropical &amp; Subtropical Moist Broadleaf Forests",S17_Biome_Strata!$B$4:$B$95,$A15,S17_Biome_Strata!$D$4:$D$95,$B15)</x:f>
        <x:v>1809.2076666804764</x:v>
      </x:c>
      <x:c r="W15" s="167" t="n">
        <x:f aca="0">SUMIFS(S17_Biome_Strata!$BC$4:$BC$95,S17_Biome_Strata!$A$4:$A$95,"Tropical &amp; Subtropical Moist Broadleaf Forests",S17_Biome_Strata!$B$4:$B$95,$A15,S17_Biome_Strata!$D$4:$D$95,$B15)</x:f>
        <x:v>1987.2446710510749</x:v>
      </x:c>
      <x:c r="X15" s="167" t="n">
        <x:f aca="0">SUMIFS(S17_Biome_Strata!$BD$4:$BD$95,S17_Biome_Strata!$A$4:$A$95,"Tropical &amp; Subtropical Moist Broadleaf Forests",S17_Biome_Strata!$B$4:$B$95,$A15,S17_Biome_Strata!$D$4:$D$95,$B15)</x:f>
        <x:v>2152.998538498229</x:v>
      </x:c>
      <x:c r="Y15" s="167" t="n">
        <x:f aca="0">SUMIFS(S17_Biome_Strata!$BE$4:$BE$95,S17_Biome_Strata!$A$4:$A$95,"Tropical &amp; Subtropical Moist Broadleaf Forests",S17_Biome_Strata!$B$4:$B$95,$A15,S17_Biome_Strata!$D$4:$D$95,$B15)</x:f>
        <x:v>2306.000569973049</x:v>
      </x:c>
      <x:c r="Z15" s="167" t="n">
        <x:f aca="0">SUMIFS(S17_Biome_Strata!$BF$4:$BF$95,S17_Biome_Strata!$A$4:$A$95,"Tropical &amp; Subtropical Moist Broadleaf Forests",S17_Biome_Strata!$B$4:$B$95,$A15,S17_Biome_Strata!$D$4:$D$95,$B15)</x:f>
        <x:v>2446.233277554442</x:v>
      </x:c>
      <x:c r="AA15" s="167" t="n">
        <x:f aca="0">F15*(1-$D15)</x:f>
        <x:v>0</x:v>
      </x:c>
      <x:c r="AB15" s="167" t="n">
        <x:f aca="0">G15*(1-$D15)</x:f>
        <x:v>0</x:v>
      </x:c>
      <x:c r="AC15" s="167" t="n">
        <x:f aca="0">H15*(1-$D15)</x:f>
        <x:v>0</x:v>
      </x:c>
      <x:c r="AD15" s="167" t="n">
        <x:f aca="0">I15*(1-$D15)</x:f>
        <x:v>0</x:v>
      </x:c>
      <x:c r="AE15" s="167" t="n">
        <x:f aca="0">J15*(1-$D15)</x:f>
        <x:v>1.250299034240612</x:v>
      </x:c>
      <x:c r="AF15" s="167" t="n">
        <x:f aca="0">K15*(1-$D15)</x:f>
        <x:v>12.775201119953778</x:v>
      </x:c>
      <x:c r="AG15" s="167" t="n">
        <x:f aca="0">L15*(1-$D15)</x:f>
        <x:v>44.94885886946047</x:v>
      </x:c>
      <x:c r="AH15" s="167" t="n">
        <x:f aca="0">M15*(1-$D15)</x:f>
        <x:v>103.26646546841188</x:v>
      </x:c>
      <x:c r="AI15" s="167" t="n">
        <x:f aca="0">N15*(1-$D15)</x:f>
        <x:v>187.4328871092572</x:v>
      </x:c>
      <x:c r="AJ15" s="167" t="n">
        <x:f aca="0">O15*(1-$D15)</x:f>
        <x:v>293.8613233770543</x:v>
      </x:c>
      <x:c r="AK15" s="167" t="n">
        <x:f aca="0">P15*(1-$D15)</x:f>
        <x:v>417.33105031606664</x:v>
      </x:c>
      <x:c r="AL15" s="167" t="n">
        <x:f aca="0">Q15*(1-$D15)</x:f>
        <x:v>552.2466873609683</x:v>
      </x:c>
      <x:c r="AM15" s="167" t="n">
        <x:f aca="0">R15*(1-$D15)</x:f>
        <x:v>693.3912103926477</x:v>
      </x:c>
      <x:c r="AN15" s="167" t="n">
        <x:f aca="0">S15*(1-$D15)</x:f>
        <x:v>836.3024091031384</x:v>
      </x:c>
      <x:c r="AO15" s="167" t="n">
        <x:f aca="0">T15*(1-$D15)</x:f>
        <x:v>977.4032295876668</x:v>
      </x:c>
      <x:c r="AP15" s="167" t="n">
        <x:f aca="0">U15*(1-$D15)</x:f>
        <x:v>1113.9870845148334</x:v>
      </x:c>
      <x:c r="AQ15" s="167" t="n">
        <x:f aca="0">V15*(1-$D15)</x:f>
        <x:v>1244.1276626820513</x:v>
      </x:c>
      <x:c r="AR15" s="167" t="n">
        <x:f aca="0">W15*(1-$D15)</x:f>
        <x:v>1366.557368347026</x:v>
      </x:c>
      <x:c r="AS15" s="167" t="n">
        <x:f aca="0">X15*(1-$D15)</x:f>
        <x:v>1480.5403983139</x:v>
      </x:c>
      <x:c r="AT15" s="167" t="n">
        <x:f aca="0">Y15*(1-$D15)</x:f>
        <x:v>1585.7544449432921</x:v>
      </x:c>
      <x:c r="AU15" s="167" t="n">
        <x:f aca="0">Z15*(1-$D15)</x:f>
        <x:v>1682.187482414842</x:v>
      </x:c>
      <x:c r="AV15" s="37" t="str">
        <x:v>Formula-derived: S17_Biome_Strata row gross stock = eligible area × S15_Source_Strata stock/ha; S15_Source_Strata stock = cohort-aligned Chapman-Richards D/H → Chave AGB → conservative calibration → CF × (1+R) × 44/12. PB applied separately by Biome × Cohort.</x:v>
      </x:c>
    </x:row>
    <x:row r="16" ht="15" hidden="0" customHeight="1">
      <x:c r="A16" s="37" t="s">
        <x:v>114</x:v>
      </x:c>
      <x:c r="B16" s="37" t="n">
        <x:v>2020</x:v>
      </x:c>
      <x:c r="C16" s="167" t="n">
        <x:f aca="0">SUMIFS(S17_Biome_Strata!$F$4:$F$95,S17_Biome_Strata!$A$4:$A$95,"Tropical &amp; Subtropical Moist Broadleaf Forests",S17_Biome_Strata!$B$4:$B$95,$A16,S17_Biome_Strata!$D$4:$D$95,$B16)</x:f>
        <x:v>9.6876</x:v>
      </x:c>
      <x:c r="D16" s="167" t="n">
        <x:f aca="0">S09_PB_Input!H8</x:f>
        <x:v>0.3123356231599608</x:v>
      </x:c>
      <x:c r="E16" s="168" t="str">
        <x:f aca="0">S09_PB_Input!I8</x:f>
        <x:v>VM0047 v1.1 Appendix 1: Z-test significant; PB_t = ΔSI_control / ΔSI_wp (Eq. A8). Source: 20260814_304027_GKF_ProjectPlots_PB.xlsx.</x:v>
      </x:c>
      <x:c r="F16" s="167" t="n">
        <x:f aca="0">SUMIFS(S17_Biome_Strata!$AL$4:$AL$95,S17_Biome_Strata!$A$4:$A$95,"Tropical &amp; Subtropical Moist Broadleaf Forests",S17_Biome_Strata!$B$4:$B$95,$A16,S17_Biome_Strata!$D$4:$D$95,$B16)</x:f>
        <x:v>0</x:v>
      </x:c>
      <x:c r="G16" s="167" t="n">
        <x:f aca="0">SUMIFS(S17_Biome_Strata!$AM$4:$AM$95,S17_Biome_Strata!$A$4:$A$95,"Tropical &amp; Subtropical Moist Broadleaf Forests",S17_Biome_Strata!$B$4:$B$95,$A16,S17_Biome_Strata!$D$4:$D$95,$B16)</x:f>
        <x:v>35.46875301996639</x:v>
      </x:c>
      <x:c r="H16" s="167" t="n">
        <x:f aca="0">SUMIFS(S17_Biome_Strata!$AN$4:$AN$95,S17_Biome_Strata!$A$4:$A$95,"Tropical &amp; Subtropical Moist Broadleaf Forests",S17_Biome_Strata!$B$4:$B$95,$A16,S17_Biome_Strata!$D$4:$D$95,$B16)</x:f>
        <x:v>366.15350258091735</x:v>
      </x:c>
      <x:c r="I16" s="167" t="n">
        <x:f aca="0">SUMIFS(S17_Biome_Strata!$AO$4:$AO$95,S17_Biome_Strata!$A$4:$A$95,"Tropical &amp; Subtropical Moist Broadleaf Forests",S17_Biome_Strata!$B$4:$B$95,$A16,S17_Biome_Strata!$D$4:$D$95,$B16)</x:f>
        <x:v>1291.0582993432338</x:v>
      </x:c>
      <x:c r="J16" s="167" t="n">
        <x:f aca="0">SUMIFS(S17_Biome_Strata!$AP$4:$AP$95,S17_Biome_Strata!$A$4:$A$95,"Tropical &amp; Subtropical Moist Broadleaf Forests",S17_Biome_Strata!$B$4:$B$95,$A16,S17_Biome_Strata!$D$4:$D$95,$B16)</x:f>
        <x:v>2961.2973797938816</x:v>
      </x:c>
      <x:c r="K16" s="167" t="n">
        <x:f aca="0">SUMIFS(S17_Biome_Strata!$AQ$4:$AQ$95,S17_Biome_Strata!$A$4:$A$95,"Tropical &amp; Subtropical Moist Broadleaf Forests",S17_Biome_Strata!$B$4:$B$95,$A16,S17_Biome_Strata!$D$4:$D$95,$B16)</x:f>
        <x:v>5354.387733145843</x:v>
      </x:c>
      <x:c r="L16" s="167" t="n">
        <x:f aca="0">SUMIFS(S17_Biome_Strata!$AR$4:$AR$95,S17_Biome_Strata!$A$4:$A$95,"Tropical &amp; Subtropical Moist Broadleaf Forests",S17_Biome_Strata!$B$4:$B$95,$A16,S17_Biome_Strata!$D$4:$D$95,$B16)</x:f>
        <x:v>8351.040629413135</x:v>
      </x:c>
      <x:c r="M16" s="167" t="n">
        <x:f aca="0">SUMIFS(S17_Biome_Strata!$AS$4:$AS$95,S17_Biome_Strata!$A$4:$A$95,"Tropical &amp; Subtropical Moist Broadleaf Forests",S17_Biome_Strata!$B$4:$B$95,$A16,S17_Biome_Strata!$D$4:$D$95,$B16)</x:f>
        <x:v>11787.372650085128</x:v>
      </x:c>
      <x:c r="N16" s="167" t="n">
        <x:f aca="0">SUMIFS(S17_Biome_Strata!$AT$4:$AT$95,S17_Biome_Strata!$A$4:$A$95,"Tropical &amp; Subtropical Moist Broadleaf Forests",S17_Biome_Strata!$B$4:$B$95,$A16,S17_Biome_Strata!$D$4:$D$95,$B16)</x:f>
        <x:v>15493.670516178243</x:v>
      </x:c>
      <x:c r="O16" s="167" t="n">
        <x:f aca="0">SUMIFS(S17_Biome_Strata!$AU$4:$AU$95,S17_Biome_Strata!$A$4:$A$95,"Tropical &amp; Subtropical Moist Broadleaf Forests",S17_Biome_Strata!$B$4:$B$95,$A16,S17_Biome_Strata!$D$4:$D$95,$B16)</x:f>
        <x:v>19316.744260678104</x:v>
      </x:c>
      <x:c r="P16" s="167" t="n">
        <x:f aca="0">SUMIFS(S17_Biome_Strata!$AV$4:$AV$95,S17_Biome_Strata!$A$4:$A$95,"Tropical &amp; Subtropical Moist Broadleaf Forests",S17_Biome_Strata!$B$4:$B$95,$A16,S17_Biome_Strata!$D$4:$D$95,$B16)</x:f>
        <x:v>23130.21707602228</x:v>
      </x:c>
      <x:c r="Q16" s="167" t="n">
        <x:f aca="0">SUMIFS(S17_Biome_Strata!$AW$4:$AW$95,S17_Biome_Strata!$A$4:$A$95,"Tropical &amp; Subtropical Moist Broadleaf Forests",S17_Biome_Strata!$B$4:$B$95,$A16,S17_Biome_Strata!$D$4:$D$95,$B16)</x:f>
        <x:v>26837.116770295586</x:v>
      </x:c>
      <x:c r="R16" s="167" t="n">
        <x:f aca="0">SUMIFS(S17_Biome_Strata!$AX$4:$AX$95,S17_Biome_Strata!$A$4:$A$95,"Tropical &amp; Subtropical Moist Broadleaf Forests",S17_Biome_Strata!$B$4:$B$95,$A16,S17_Biome_Strata!$D$4:$D$95,$B16)</x:f>
        <x:v>30368.123308396174</x:v>
      </x:c>
      <x:c r="S16" s="167" t="n">
        <x:f aca="0">SUMIFS(S17_Biome_Strata!$AY$4:$AY$95,S17_Biome_Strata!$A$4:$A$95,"Tropical &amp; Subtropical Moist Broadleaf Forests",S17_Biome_Strata!$B$4:$B$95,$A16,S17_Biome_Strata!$D$4:$D$95,$B16)</x:f>
        <x:v>33677.741141452476</x:v>
      </x:c>
      <x:c r="T16" s="167" t="n">
        <x:f aca="0">SUMIFS(S17_Biome_Strata!$AZ$4:$AZ$95,S17_Biome_Strata!$A$4:$A$95,"Tropical &amp; Subtropical Moist Broadleaf Forests",S17_Biome_Strata!$B$4:$B$95,$A16,S17_Biome_Strata!$D$4:$D$95,$B16)</x:f>
        <x:v>36739.79531310246</x:v>
      </x:c>
      <x:c r="U16" s="167" t="n">
        <x:f aca="0">SUMIFS(S17_Biome_Strata!$BA$4:$BA$95,S17_Biome_Strata!$A$4:$A$95,"Tropical &amp; Subtropical Moist Broadleaf Forests",S17_Biome_Strata!$B$4:$B$95,$A16,S17_Biome_Strata!$D$4:$D$95,$B16)</x:f>
        <x:v>39543.03720428956</x:v>
      </x:c>
      <x:c r="V16" s="167" t="n">
        <x:f aca="0">SUMIFS(S17_Biome_Strata!$BB$4:$BB$95,S17_Biome_Strata!$A$4:$A$95,"Tropical &amp; Subtropical Moist Broadleaf Forests",S17_Biome_Strata!$B$4:$B$95,$A16,S17_Biome_Strata!$D$4:$D$95,$B16)</x:f>
        <x:v>42087.247401436856</x:v>
      </x:c>
      <x:c r="W16" s="167" t="n">
        <x:f aca="0">SUMIFS(S17_Biome_Strata!$BC$4:$BC$95,S17_Biome_Strata!$A$4:$A$95,"Tropical &amp; Subtropical Moist Broadleaf Forests",S17_Biome_Strata!$B$4:$B$95,$A16,S17_Biome_Strata!$D$4:$D$95,$B16)</x:f>
        <x:v>44379.981548495736</x:v>
      </x:c>
      <x:c r="X16" s="167" t="n">
        <x:f aca="0">SUMIFS(S17_Biome_Strata!$BD$4:$BD$95,S17_Biome_Strata!$A$4:$A$95,"Tropical &amp; Subtropical Moist Broadleaf Forests",S17_Biome_Strata!$B$4:$B$95,$A16,S17_Biome_Strata!$D$4:$D$95,$B16)</x:f>
        <x:v>46433.96909112992</x:v>
      </x:c>
      <x:c r="Y16" s="167" t="n">
        <x:f aca="0">SUMIFS(S17_Biome_Strata!$BE$4:$BE$95,S17_Biome_Strata!$A$4:$A$95,"Tropical &amp; Subtropical Moist Broadleaf Forests",S17_Biome_Strata!$B$4:$B$95,$A16,S17_Biome_Strata!$D$4:$D$95,$B16)</x:f>
        <x:v>48265.10600570129</x:v>
      </x:c>
      <x:c r="Z16" s="167" t="n">
        <x:f aca="0">SUMIFS(S17_Biome_Strata!$BF$4:$BF$95,S17_Biome_Strata!$A$4:$A$95,"Tropical &amp; Subtropical Moist Broadleaf Forests",S17_Biome_Strata!$B$4:$B$95,$A16,S17_Biome_Strata!$D$4:$D$95,$B16)</x:f>
        <x:v>49890.954166184034</x:v>
      </x:c>
      <x:c r="AA16" s="167" t="n">
        <x:f aca="0">F16*(1-$D16)</x:f>
        <x:v>0</x:v>
      </x:c>
      <x:c r="AB16" s="167" t="n">
        <x:f aca="0">G16*(1-$D16)</x:f>
        <x:v>24.390597942768448</x:v>
      </x:c>
      <x:c r="AC16" s="167" t="n">
        <x:f aca="0">H16*(1-$D16)</x:f>
        <x:v>251.79072018010422</x:v>
      </x:c>
      <x:c r="AD16" s="167" t="n">
        <x:f aca="0">I16*(1-$D16)</x:f>
        <x:v>887.8148008820257</x:v>
      </x:c>
      <x:c r="AE16" s="167" t="n">
        <x:f aca="0">J16*(1-$D16)</x:f>
        <x:v>2036.3787173140006</x:v>
      </x:c>
      <x:c r="AF16" s="167" t="n">
        <x:f aca="0">K16*(1-$D16)</x:f>
        <x:v>3682.021703873687</x:v>
      </x:c>
      <x:c r="AG16" s="167" t="n">
        <x:f aca="0">L16*(1-$D16)</x:f>
        <x:v>5742.713150391232</x:v>
      </x:c>
      <x:c r="AH16" s="167" t="n">
        <x:f aca="0">M16*(1-$D16)</x:f>
        <x:v>8105.756268002111</x:v>
      </x:c>
      <x:c r="AI16" s="167" t="n">
        <x:f aca="0">N16*(1-$D16)</x:f>
        <x:v>10654.4452804726</x:v>
      </x:c>
      <x:c r="AJ16" s="167" t="n">
        <x:f aca="0">O16*(1-$D16)</x:f>
        <x:v>13283.436904597613</x:v>
      </x:c>
      <x:c r="AK16" s="167" t="n">
        <x:f aca="0">P16*(1-$D16)</x:f>
        <x:v>15905.826311757695</x:v>
      </x:c>
      <x:c r="AL16" s="167" t="n">
        <x:f aca="0">Q16*(1-$D16)</x:f>
        <x:v>18454.92918002868</x:v>
      </x:c>
      <x:c r="AM16" s="167" t="n">
        <x:f aca="0">R16*(1-$D16)</x:f>
        <x:v>20883.076590669727</x:v>
      </x:c>
      <x:c r="AN16" s="167" t="n">
        <x:f aca="0">S16*(1-$D16)</x:f>
        <x:v>23158.982875417067</x:v>
      </x:c>
      <x:c r="AO16" s="167" t="n">
        <x:f aca="0">T16*(1-$D16)</x:f>
        <x:v>25264.648449215198</x:v>
      </x:c>
      <x:c r="AP16" s="167" t="n">
        <x:f aca="0">U16*(1-$D16)</x:f>
        <x:v>27192.338037450267</x:v>
      </x:c>
      <x:c r="AQ16" s="167" t="n">
        <x:f aca="0">V16*(1-$D16)</x:f>
        <x:v>28941.900757221636</x:v>
      </x:c>
      <x:c r="AR16" s="167" t="n">
        <x:f aca="0">W16*(1-$D16)</x:f>
        <x:v>30518.53235571876</x:v>
      </x:c>
      <x:c r="AS16" s="167" t="n">
        <x:f aca="0">X16*(1-$D16)</x:f>
        <x:v>31930.9864192615</x:v>
      </x:c>
      <x:c r="AT16" s="167" t="n">
        <x:f aca="0">Y16*(1-$D16)</x:f>
        <x:v>33190.19404452901</x:v>
      </x:c>
      <x:c r="AU16" s="167" t="n">
        <x:f aca="0">Z16*(1-$D16)</x:f>
        <x:v>34308.2319066439</x:v>
      </x:c>
      <x:c r="AV16" s="37" t="str">
        <x:v>Formula-derived: S17_Biome_Strata row gross stock = eligible area × S15_Source_Strata stock/ha; S15_Source_Strata stock = cohort-aligned Chapman-Richards D/H → Chave AGB → conservative calibration → CF × (1+R) × 44/12. PB applied separately by Biome × Cohort.</x:v>
      </x:c>
    </x:row>
    <x:row r="17" ht="15" hidden="0" customHeight="1">
      <x:c r="A17" s="37" t="s">
        <x:v>114</x:v>
      </x:c>
      <x:c r="B17" s="37" t="n">
        <x:v>2021</x:v>
      </x:c>
      <x:c r="C17" s="167" t="n">
        <x:f aca="0">SUMIFS(S17_Biome_Strata!$F$4:$F$95,S17_Biome_Strata!$A$4:$A$95,"Tropical &amp; Subtropical Moist Broadleaf Forests",S17_Biome_Strata!$B$4:$B$95,$A17,S17_Biome_Strata!$D$4:$D$95,$B17)</x:f>
        <x:v>0</x:v>
      </x:c>
      <x:c r="D17" s="167" t="n">
        <x:f aca="0">S09_PB_Input!H9</x:f>
        <x:v>0.3123356231599608</x:v>
      </x:c>
      <x:c r="E17" s="168" t="str">
        <x:f aca="0">S09_PB_Input!I9</x:f>
        <x:v>VM0047 v1.1 Appendix 1: Z-test significant; PB_t = ΔSI_control / ΔSI_wp (Eq. A8). Source: 20260814_304027_GKF_ProjectPlots_PB.xlsx.</x:v>
      </x:c>
      <x:c r="F17" s="167" t="n">
        <x:f aca="0">SUMIFS(S17_Biome_Strata!$AL$4:$AL$95,S17_Biome_Strata!$A$4:$A$95,"Tropical &amp; Subtropical Moist Broadleaf Forests",S17_Biome_Strata!$B$4:$B$95,$A17,S17_Biome_Strata!$D$4:$D$95,$B17)</x:f>
        <x:v>0</x:v>
      </x:c>
      <x:c r="G17" s="167" t="n">
        <x:f aca="0">SUMIFS(S17_Biome_Strata!$AM$4:$AM$95,S17_Biome_Strata!$A$4:$A$95,"Tropical &amp; Subtropical Moist Broadleaf Forests",S17_Biome_Strata!$B$4:$B$95,$A17,S17_Biome_Strata!$D$4:$D$95,$B17)</x:f>
        <x:v>0</x:v>
      </x:c>
      <x:c r="H17" s="167" t="n">
        <x:f aca="0">SUMIFS(S17_Biome_Strata!$AN$4:$AN$95,S17_Biome_Strata!$A$4:$A$95,"Tropical &amp; Subtropical Moist Broadleaf Forests",S17_Biome_Strata!$B$4:$B$95,$A17,S17_Biome_Strata!$D$4:$D$95,$B17)</x:f>
        <x:v>0</x:v>
      </x:c>
      <x:c r="I17" s="167" t="n">
        <x:f aca="0">SUMIFS(S17_Biome_Strata!$AO$4:$AO$95,S17_Biome_Strata!$A$4:$A$95,"Tropical &amp; Subtropical Moist Broadleaf Forests",S17_Biome_Strata!$B$4:$B$95,$A17,S17_Biome_Strata!$D$4:$D$95,$B17)</x:f>
        <x:v>0</x:v>
      </x:c>
      <x:c r="J17" s="167" t="n">
        <x:f aca="0">SUMIFS(S17_Biome_Strata!$AP$4:$AP$95,S17_Biome_Strata!$A$4:$A$95,"Tropical &amp; Subtropical Moist Broadleaf Forests",S17_Biome_Strata!$B$4:$B$95,$A17,S17_Biome_Strata!$D$4:$D$95,$B17)</x:f>
        <x:v>0</x:v>
      </x:c>
      <x:c r="K17" s="167" t="n">
        <x:f aca="0">SUMIFS(S17_Biome_Strata!$AQ$4:$AQ$95,S17_Biome_Strata!$A$4:$A$95,"Tropical &amp; Subtropical Moist Broadleaf Forests",S17_Biome_Strata!$B$4:$B$95,$A17,S17_Biome_Strata!$D$4:$D$95,$B17)</x:f>
        <x:v>0</x:v>
      </x:c>
      <x:c r="L17" s="167" t="n">
        <x:f aca="0">SUMIFS(S17_Biome_Strata!$AR$4:$AR$95,S17_Biome_Strata!$A$4:$A$95,"Tropical &amp; Subtropical Moist Broadleaf Forests",S17_Biome_Strata!$B$4:$B$95,$A17,S17_Biome_Strata!$D$4:$D$95,$B17)</x:f>
        <x:v>0</x:v>
      </x:c>
      <x:c r="M17" s="167" t="n">
        <x:f aca="0">SUMIFS(S17_Biome_Strata!$AS$4:$AS$95,S17_Biome_Strata!$A$4:$A$95,"Tropical &amp; Subtropical Moist Broadleaf Forests",S17_Biome_Strata!$B$4:$B$95,$A17,S17_Biome_Strata!$D$4:$D$95,$B17)</x:f>
        <x:v>0</x:v>
      </x:c>
      <x:c r="N17" s="167" t="n">
        <x:f aca="0">SUMIFS(S17_Biome_Strata!$AT$4:$AT$95,S17_Biome_Strata!$A$4:$A$95,"Tropical &amp; Subtropical Moist Broadleaf Forests",S17_Biome_Strata!$B$4:$B$95,$A17,S17_Biome_Strata!$D$4:$D$95,$B17)</x:f>
        <x:v>0</x:v>
      </x:c>
      <x:c r="O17" s="167" t="n">
        <x:f aca="0">SUMIFS(S17_Biome_Strata!$AU$4:$AU$95,S17_Biome_Strata!$A$4:$A$95,"Tropical &amp; Subtropical Moist Broadleaf Forests",S17_Biome_Strata!$B$4:$B$95,$A17,S17_Biome_Strata!$D$4:$D$95,$B17)</x:f>
        <x:v>0</x:v>
      </x:c>
      <x:c r="P17" s="167" t="n">
        <x:f aca="0">SUMIFS(S17_Biome_Strata!$AV$4:$AV$95,S17_Biome_Strata!$A$4:$A$95,"Tropical &amp; Subtropical Moist Broadleaf Forests",S17_Biome_Strata!$B$4:$B$95,$A17,S17_Biome_Strata!$D$4:$D$95,$B17)</x:f>
        <x:v>0</x:v>
      </x:c>
      <x:c r="Q17" s="167" t="n">
        <x:f aca="0">SUMIFS(S17_Biome_Strata!$AW$4:$AW$95,S17_Biome_Strata!$A$4:$A$95,"Tropical &amp; Subtropical Moist Broadleaf Forests",S17_Biome_Strata!$B$4:$B$95,$A17,S17_Biome_Strata!$D$4:$D$95,$B17)</x:f>
        <x:v>0</x:v>
      </x:c>
      <x:c r="R17" s="167" t="n">
        <x:f aca="0">SUMIFS(S17_Biome_Strata!$AX$4:$AX$95,S17_Biome_Strata!$A$4:$A$95,"Tropical &amp; Subtropical Moist Broadleaf Forests",S17_Biome_Strata!$B$4:$B$95,$A17,S17_Biome_Strata!$D$4:$D$95,$B17)</x:f>
        <x:v>0</x:v>
      </x:c>
      <x:c r="S17" s="167" t="n">
        <x:f aca="0">SUMIFS(S17_Biome_Strata!$AY$4:$AY$95,S17_Biome_Strata!$A$4:$A$95,"Tropical &amp; Subtropical Moist Broadleaf Forests",S17_Biome_Strata!$B$4:$B$95,$A17,S17_Biome_Strata!$D$4:$D$95,$B17)</x:f>
        <x:v>0</x:v>
      </x:c>
      <x:c r="T17" s="167" t="n">
        <x:f aca="0">SUMIFS(S17_Biome_Strata!$AZ$4:$AZ$95,S17_Biome_Strata!$A$4:$A$95,"Tropical &amp; Subtropical Moist Broadleaf Forests",S17_Biome_Strata!$B$4:$B$95,$A17,S17_Biome_Strata!$D$4:$D$95,$B17)</x:f>
        <x:v>0</x:v>
      </x:c>
      <x:c r="U17" s="167" t="n">
        <x:f aca="0">SUMIFS(S17_Biome_Strata!$BA$4:$BA$95,S17_Biome_Strata!$A$4:$A$95,"Tropical &amp; Subtropical Moist Broadleaf Forests",S17_Biome_Strata!$B$4:$B$95,$A17,S17_Biome_Strata!$D$4:$D$95,$B17)</x:f>
        <x:v>0</x:v>
      </x:c>
      <x:c r="V17" s="167" t="n">
        <x:f aca="0">SUMIFS(S17_Biome_Strata!$BB$4:$BB$95,S17_Biome_Strata!$A$4:$A$95,"Tropical &amp; Subtropical Moist Broadleaf Forests",S17_Biome_Strata!$B$4:$B$95,$A17,S17_Biome_Strata!$D$4:$D$95,$B17)</x:f>
        <x:v>0</x:v>
      </x:c>
      <x:c r="W17" s="167" t="n">
        <x:f aca="0">SUMIFS(S17_Biome_Strata!$BC$4:$BC$95,S17_Biome_Strata!$A$4:$A$95,"Tropical &amp; Subtropical Moist Broadleaf Forests",S17_Biome_Strata!$B$4:$B$95,$A17,S17_Biome_Strata!$D$4:$D$95,$B17)</x:f>
        <x:v>0</x:v>
      </x:c>
      <x:c r="X17" s="167" t="n">
        <x:f aca="0">SUMIFS(S17_Biome_Strata!$BD$4:$BD$95,S17_Biome_Strata!$A$4:$A$95,"Tropical &amp; Subtropical Moist Broadleaf Forests",S17_Biome_Strata!$B$4:$B$95,$A17,S17_Biome_Strata!$D$4:$D$95,$B17)</x:f>
        <x:v>0</x:v>
      </x:c>
      <x:c r="Y17" s="167" t="n">
        <x:f aca="0">SUMIFS(S17_Biome_Strata!$BE$4:$BE$95,S17_Biome_Strata!$A$4:$A$95,"Tropical &amp; Subtropical Moist Broadleaf Forests",S17_Biome_Strata!$B$4:$B$95,$A17,S17_Biome_Strata!$D$4:$D$95,$B17)</x:f>
        <x:v>0</x:v>
      </x:c>
      <x:c r="Z17" s="167" t="n">
        <x:f aca="0">SUMIFS(S17_Biome_Strata!$BF$4:$BF$95,S17_Biome_Strata!$A$4:$A$95,"Tropical &amp; Subtropical Moist Broadleaf Forests",S17_Biome_Strata!$B$4:$B$95,$A17,S17_Biome_Strata!$D$4:$D$95,$B17)</x:f>
        <x:v>0</x:v>
      </x:c>
      <x:c r="AA17" s="167" t="n">
        <x:f aca="0">F17*(1-$D17)</x:f>
        <x:v>0</x:v>
      </x:c>
      <x:c r="AB17" s="167" t="n">
        <x:f aca="0">G17*(1-$D17)</x:f>
        <x:v>0</x:v>
      </x:c>
      <x:c r="AC17" s="167" t="n">
        <x:f aca="0">H17*(1-$D17)</x:f>
        <x:v>0</x:v>
      </x:c>
      <x:c r="AD17" s="167" t="n">
        <x:f aca="0">I17*(1-$D17)</x:f>
        <x:v>0</x:v>
      </x:c>
      <x:c r="AE17" s="167" t="n">
        <x:f aca="0">J17*(1-$D17)</x:f>
        <x:v>0</x:v>
      </x:c>
      <x:c r="AF17" s="167" t="n">
        <x:f aca="0">K17*(1-$D17)</x:f>
        <x:v>0</x:v>
      </x:c>
      <x:c r="AG17" s="167" t="n">
        <x:f aca="0">L17*(1-$D17)</x:f>
        <x:v>0</x:v>
      </x:c>
      <x:c r="AH17" s="167" t="n">
        <x:f aca="0">M17*(1-$D17)</x:f>
        <x:v>0</x:v>
      </x:c>
      <x:c r="AI17" s="167" t="n">
        <x:f aca="0">N17*(1-$D17)</x:f>
        <x:v>0</x:v>
      </x:c>
      <x:c r="AJ17" s="167" t="n">
        <x:f aca="0">O17*(1-$D17)</x:f>
        <x:v>0</x:v>
      </x:c>
      <x:c r="AK17" s="167" t="n">
        <x:f aca="0">P17*(1-$D17)</x:f>
        <x:v>0</x:v>
      </x:c>
      <x:c r="AL17" s="167" t="n">
        <x:f aca="0">Q17*(1-$D17)</x:f>
        <x:v>0</x:v>
      </x:c>
      <x:c r="AM17" s="167" t="n">
        <x:f aca="0">R17*(1-$D17)</x:f>
        <x:v>0</x:v>
      </x:c>
      <x:c r="AN17" s="167" t="n">
        <x:f aca="0">S17*(1-$D17)</x:f>
        <x:v>0</x:v>
      </x:c>
      <x:c r="AO17" s="167" t="n">
        <x:f aca="0">T17*(1-$D17)</x:f>
        <x:v>0</x:v>
      </x:c>
      <x:c r="AP17" s="167" t="n">
        <x:f aca="0">U17*(1-$D17)</x:f>
        <x:v>0</x:v>
      </x:c>
      <x:c r="AQ17" s="167" t="n">
        <x:f aca="0">V17*(1-$D17)</x:f>
        <x:v>0</x:v>
      </x:c>
      <x:c r="AR17" s="167" t="n">
        <x:f aca="0">W17*(1-$D17)</x:f>
        <x:v>0</x:v>
      </x:c>
      <x:c r="AS17" s="167" t="n">
        <x:f aca="0">X17*(1-$D17)</x:f>
        <x:v>0</x:v>
      </x:c>
      <x:c r="AT17" s="167" t="n">
        <x:f aca="0">Y17*(1-$D17)</x:f>
        <x:v>0</x:v>
      </x:c>
      <x:c r="AU17" s="167" t="n">
        <x:f aca="0">Z17*(1-$D17)</x:f>
        <x:v>0</x:v>
      </x:c>
      <x:c r="AV17" s="37" t="str">
        <x:v>Formula-derived: S17_Biome_Strata row gross stock = eligible area × S15_Source_Strata stock/ha; S15_Source_Strata stock = cohort-aligned Chapman-Richards D/H → Chave AGB → conservative calibration → CF × (1+R) × 44/12. PB applied separately by Biome × Cohort.</x:v>
      </x:c>
    </x:row>
    <x:row r="18" ht="15" hidden="0" customHeight="1">
      <x:c r="A18" s="37" t="s">
        <x:v>114</x:v>
      </x:c>
      <x:c r="B18" s="37" t="n">
        <x:v>2022</x:v>
      </x:c>
      <x:c r="C18" s="167" t="n">
        <x:f aca="0">SUMIFS(S17_Biome_Strata!$F$4:$F$95,S17_Biome_Strata!$A$4:$A$95,"Tropical &amp; Subtropical Moist Broadleaf Forests",S17_Biome_Strata!$B$4:$B$95,$A18,S17_Biome_Strata!$D$4:$D$95,$B18)</x:f>
        <x:v>0</x:v>
      </x:c>
      <x:c r="D18" s="167" t="n">
        <x:f aca="0">S09_PB_Input!H10</x:f>
        <x:v>0.3123356231599608</x:v>
      </x:c>
      <x:c r="E18" s="168" t="str">
        <x:f aca="0">S09_PB_Input!I10</x:f>
        <x:v>VM0047 v1.1 Appendix 1: Z-test significant; PB_t = ΔSI_control / ΔSI_wp (Eq. A8). Source: 20260814_304027_GKF_ProjectPlots_PB.xlsx.</x:v>
      </x:c>
      <x:c r="F18" s="167" t="n">
        <x:f aca="0">SUMIFS(S17_Biome_Strata!$AL$4:$AL$95,S17_Biome_Strata!$A$4:$A$95,"Tropical &amp; Subtropical Moist Broadleaf Forests",S17_Biome_Strata!$B$4:$B$95,$A18,S17_Biome_Strata!$D$4:$D$95,$B18)</x:f>
        <x:v>0</x:v>
      </x:c>
      <x:c r="G18" s="167" t="n">
        <x:f aca="0">SUMIFS(S17_Biome_Strata!$AM$4:$AM$95,S17_Biome_Strata!$A$4:$A$95,"Tropical &amp; Subtropical Moist Broadleaf Forests",S17_Biome_Strata!$B$4:$B$95,$A18,S17_Biome_Strata!$D$4:$D$95,$B18)</x:f>
        <x:v>0</x:v>
      </x:c>
      <x:c r="H18" s="167" t="n">
        <x:f aca="0">SUMIFS(S17_Biome_Strata!$AN$4:$AN$95,S17_Biome_Strata!$A$4:$A$95,"Tropical &amp; Subtropical Moist Broadleaf Forests",S17_Biome_Strata!$B$4:$B$95,$A18,S17_Biome_Strata!$D$4:$D$95,$B18)</x:f>
        <x:v>0</x:v>
      </x:c>
      <x:c r="I18" s="167" t="n">
        <x:f aca="0">SUMIFS(S17_Biome_Strata!$AO$4:$AO$95,S17_Biome_Strata!$A$4:$A$95,"Tropical &amp; Subtropical Moist Broadleaf Forests",S17_Biome_Strata!$B$4:$B$95,$A18,S17_Biome_Strata!$D$4:$D$95,$B18)</x:f>
        <x:v>0</x:v>
      </x:c>
      <x:c r="J18" s="167" t="n">
        <x:f aca="0">SUMIFS(S17_Biome_Strata!$AP$4:$AP$95,S17_Biome_Strata!$A$4:$A$95,"Tropical &amp; Subtropical Moist Broadleaf Forests",S17_Biome_Strata!$B$4:$B$95,$A18,S17_Biome_Strata!$D$4:$D$95,$B18)</x:f>
        <x:v>0</x:v>
      </x:c>
      <x:c r="K18" s="167" t="n">
        <x:f aca="0">SUMIFS(S17_Biome_Strata!$AQ$4:$AQ$95,S17_Biome_Strata!$A$4:$A$95,"Tropical &amp; Subtropical Moist Broadleaf Forests",S17_Biome_Strata!$B$4:$B$95,$A18,S17_Biome_Strata!$D$4:$D$95,$B18)</x:f>
        <x:v>0</x:v>
      </x:c>
      <x:c r="L18" s="167" t="n">
        <x:f aca="0">SUMIFS(S17_Biome_Strata!$AR$4:$AR$95,S17_Biome_Strata!$A$4:$A$95,"Tropical &amp; Subtropical Moist Broadleaf Forests",S17_Biome_Strata!$B$4:$B$95,$A18,S17_Biome_Strata!$D$4:$D$95,$B18)</x:f>
        <x:v>0</x:v>
      </x:c>
      <x:c r="M18" s="167" t="n">
        <x:f aca="0">SUMIFS(S17_Biome_Strata!$AS$4:$AS$95,S17_Biome_Strata!$A$4:$A$95,"Tropical &amp; Subtropical Moist Broadleaf Forests",S17_Biome_Strata!$B$4:$B$95,$A18,S17_Biome_Strata!$D$4:$D$95,$B18)</x:f>
        <x:v>0</x:v>
      </x:c>
      <x:c r="N18" s="167" t="n">
        <x:f aca="0">SUMIFS(S17_Biome_Strata!$AT$4:$AT$95,S17_Biome_Strata!$A$4:$A$95,"Tropical &amp; Subtropical Moist Broadleaf Forests",S17_Biome_Strata!$B$4:$B$95,$A18,S17_Biome_Strata!$D$4:$D$95,$B18)</x:f>
        <x:v>0</x:v>
      </x:c>
      <x:c r="O18" s="167" t="n">
        <x:f aca="0">SUMIFS(S17_Biome_Strata!$AU$4:$AU$95,S17_Biome_Strata!$A$4:$A$95,"Tropical &amp; Subtropical Moist Broadleaf Forests",S17_Biome_Strata!$B$4:$B$95,$A18,S17_Biome_Strata!$D$4:$D$95,$B18)</x:f>
        <x:v>0</x:v>
      </x:c>
      <x:c r="P18" s="167" t="n">
        <x:f aca="0">SUMIFS(S17_Biome_Strata!$AV$4:$AV$95,S17_Biome_Strata!$A$4:$A$95,"Tropical &amp; Subtropical Moist Broadleaf Forests",S17_Biome_Strata!$B$4:$B$95,$A18,S17_Biome_Strata!$D$4:$D$95,$B18)</x:f>
        <x:v>0</x:v>
      </x:c>
      <x:c r="Q18" s="167" t="n">
        <x:f aca="0">SUMIFS(S17_Biome_Strata!$AW$4:$AW$95,S17_Biome_Strata!$A$4:$A$95,"Tropical &amp; Subtropical Moist Broadleaf Forests",S17_Biome_Strata!$B$4:$B$95,$A18,S17_Biome_Strata!$D$4:$D$95,$B18)</x:f>
        <x:v>0</x:v>
      </x:c>
      <x:c r="R18" s="167" t="n">
        <x:f aca="0">SUMIFS(S17_Biome_Strata!$AX$4:$AX$95,S17_Biome_Strata!$A$4:$A$95,"Tropical &amp; Subtropical Moist Broadleaf Forests",S17_Biome_Strata!$B$4:$B$95,$A18,S17_Biome_Strata!$D$4:$D$95,$B18)</x:f>
        <x:v>0</x:v>
      </x:c>
      <x:c r="S18" s="167" t="n">
        <x:f aca="0">SUMIFS(S17_Biome_Strata!$AY$4:$AY$95,S17_Biome_Strata!$A$4:$A$95,"Tropical &amp; Subtropical Moist Broadleaf Forests",S17_Biome_Strata!$B$4:$B$95,$A18,S17_Biome_Strata!$D$4:$D$95,$B18)</x:f>
        <x:v>0</x:v>
      </x:c>
      <x:c r="T18" s="167" t="n">
        <x:f aca="0">SUMIFS(S17_Biome_Strata!$AZ$4:$AZ$95,S17_Biome_Strata!$A$4:$A$95,"Tropical &amp; Subtropical Moist Broadleaf Forests",S17_Biome_Strata!$B$4:$B$95,$A18,S17_Biome_Strata!$D$4:$D$95,$B18)</x:f>
        <x:v>0</x:v>
      </x:c>
      <x:c r="U18" s="167" t="n">
        <x:f aca="0">SUMIFS(S17_Biome_Strata!$BA$4:$BA$95,S17_Biome_Strata!$A$4:$A$95,"Tropical &amp; Subtropical Moist Broadleaf Forests",S17_Biome_Strata!$B$4:$B$95,$A18,S17_Biome_Strata!$D$4:$D$95,$B18)</x:f>
        <x:v>0</x:v>
      </x:c>
      <x:c r="V18" s="167" t="n">
        <x:f aca="0">SUMIFS(S17_Biome_Strata!$BB$4:$BB$95,S17_Biome_Strata!$A$4:$A$95,"Tropical &amp; Subtropical Moist Broadleaf Forests",S17_Biome_Strata!$B$4:$B$95,$A18,S17_Biome_Strata!$D$4:$D$95,$B18)</x:f>
        <x:v>0</x:v>
      </x:c>
      <x:c r="W18" s="167" t="n">
        <x:f aca="0">SUMIFS(S17_Biome_Strata!$BC$4:$BC$95,S17_Biome_Strata!$A$4:$A$95,"Tropical &amp; Subtropical Moist Broadleaf Forests",S17_Biome_Strata!$B$4:$B$95,$A18,S17_Biome_Strata!$D$4:$D$95,$B18)</x:f>
        <x:v>0</x:v>
      </x:c>
      <x:c r="X18" s="167" t="n">
        <x:f aca="0">SUMIFS(S17_Biome_Strata!$BD$4:$BD$95,S17_Biome_Strata!$A$4:$A$95,"Tropical &amp; Subtropical Moist Broadleaf Forests",S17_Biome_Strata!$B$4:$B$95,$A18,S17_Biome_Strata!$D$4:$D$95,$B18)</x:f>
        <x:v>0</x:v>
      </x:c>
      <x:c r="Y18" s="167" t="n">
        <x:f aca="0">SUMIFS(S17_Biome_Strata!$BE$4:$BE$95,S17_Biome_Strata!$A$4:$A$95,"Tropical &amp; Subtropical Moist Broadleaf Forests",S17_Biome_Strata!$B$4:$B$95,$A18,S17_Biome_Strata!$D$4:$D$95,$B18)</x:f>
        <x:v>0</x:v>
      </x:c>
      <x:c r="Z18" s="167" t="n">
        <x:f aca="0">SUMIFS(S17_Biome_Strata!$BF$4:$BF$95,S17_Biome_Strata!$A$4:$A$95,"Tropical &amp; Subtropical Moist Broadleaf Forests",S17_Biome_Strata!$B$4:$B$95,$A18,S17_Biome_Strata!$D$4:$D$95,$B18)</x:f>
        <x:v>0</x:v>
      </x:c>
      <x:c r="AA18" s="167" t="n">
        <x:f aca="0">F18*(1-$D18)</x:f>
        <x:v>0</x:v>
      </x:c>
      <x:c r="AB18" s="167" t="n">
        <x:f aca="0">G18*(1-$D18)</x:f>
        <x:v>0</x:v>
      </x:c>
      <x:c r="AC18" s="167" t="n">
        <x:f aca="0">H18*(1-$D18)</x:f>
        <x:v>0</x:v>
      </x:c>
      <x:c r="AD18" s="167" t="n">
        <x:f aca="0">I18*(1-$D18)</x:f>
        <x:v>0</x:v>
      </x:c>
      <x:c r="AE18" s="167" t="n">
        <x:f aca="0">J18*(1-$D18)</x:f>
        <x:v>0</x:v>
      </x:c>
      <x:c r="AF18" s="167" t="n">
        <x:f aca="0">K18*(1-$D18)</x:f>
        <x:v>0</x:v>
      </x:c>
      <x:c r="AG18" s="167" t="n">
        <x:f aca="0">L18*(1-$D18)</x:f>
        <x:v>0</x:v>
      </x:c>
      <x:c r="AH18" s="167" t="n">
        <x:f aca="0">M18*(1-$D18)</x:f>
        <x:v>0</x:v>
      </x:c>
      <x:c r="AI18" s="167" t="n">
        <x:f aca="0">N18*(1-$D18)</x:f>
        <x:v>0</x:v>
      </x:c>
      <x:c r="AJ18" s="167" t="n">
        <x:f aca="0">O18*(1-$D18)</x:f>
        <x:v>0</x:v>
      </x:c>
      <x:c r="AK18" s="167" t="n">
        <x:f aca="0">P18*(1-$D18)</x:f>
        <x:v>0</x:v>
      </x:c>
      <x:c r="AL18" s="167" t="n">
        <x:f aca="0">Q18*(1-$D18)</x:f>
        <x:v>0</x:v>
      </x:c>
      <x:c r="AM18" s="167" t="n">
        <x:f aca="0">R18*(1-$D18)</x:f>
        <x:v>0</x:v>
      </x:c>
      <x:c r="AN18" s="167" t="n">
        <x:f aca="0">S18*(1-$D18)</x:f>
        <x:v>0</x:v>
      </x:c>
      <x:c r="AO18" s="167" t="n">
        <x:f aca="0">T18*(1-$D18)</x:f>
        <x:v>0</x:v>
      </x:c>
      <x:c r="AP18" s="167" t="n">
        <x:f aca="0">U18*(1-$D18)</x:f>
        <x:v>0</x:v>
      </x:c>
      <x:c r="AQ18" s="167" t="n">
        <x:f aca="0">V18*(1-$D18)</x:f>
        <x:v>0</x:v>
      </x:c>
      <x:c r="AR18" s="167" t="n">
        <x:f aca="0">W18*(1-$D18)</x:f>
        <x:v>0</x:v>
      </x:c>
      <x:c r="AS18" s="167" t="n">
        <x:f aca="0">X18*(1-$D18)</x:f>
        <x:v>0</x:v>
      </x:c>
      <x:c r="AT18" s="167" t="n">
        <x:f aca="0">Y18*(1-$D18)</x:f>
        <x:v>0</x:v>
      </x:c>
      <x:c r="AU18" s="167" t="n">
        <x:f aca="0">Z18*(1-$D18)</x:f>
        <x:v>0</x:v>
      </x:c>
      <x:c r="AV18" s="37" t="str">
        <x:v>Formula-derived: S17_Biome_Strata row gross stock = eligible area × S15_Source_Strata stock/ha; S15_Source_Strata stock = cohort-aligned Chapman-Richards D/H → Chave AGB → conservative calibration → CF × (1+R) × 44/12. PB applied separately by Biome × Cohort.</x:v>
      </x:c>
    </x:row>
    <x:row r="19" ht="15" hidden="0" customHeight="1">
      <x:c r="A19" s="37" t="s">
        <x:v>114</x:v>
      </x:c>
      <x:c r="B19" s="37" t="n">
        <x:v>2023</x:v>
      </x:c>
      <x:c r="C19" s="167" t="n">
        <x:f aca="0">SUMIFS(S17_Biome_Strata!$F$4:$F$95,S17_Biome_Strata!$A$4:$A$95,"Tropical &amp; Subtropical Moist Broadleaf Forests",S17_Biome_Strata!$B$4:$B$95,$A19,S17_Biome_Strata!$D$4:$D$95,$B19)</x:f>
        <x:v>0</x:v>
      </x:c>
      <x:c r="D19" s="167" t="n">
        <x:f aca="0">S09_PB_Input!H11</x:f>
        <x:v>0.3123356231599608</x:v>
      </x:c>
      <x:c r="E19" s="168" t="str">
        <x:f aca="0">S09_PB_Input!I11</x:f>
        <x:v>VM0047 v1.1 Appendix 1: Z-test significant; PB_t = ΔSI_control / ΔSI_wp (Eq. A8). Source: 20260814_304027_GKF_ProjectPlots_PB.xlsx.</x:v>
      </x:c>
      <x:c r="F19" s="167" t="n">
        <x:f aca="0">SUMIFS(S17_Biome_Strata!$AL$4:$AL$95,S17_Biome_Strata!$A$4:$A$95,"Tropical &amp; Subtropical Moist Broadleaf Forests",S17_Biome_Strata!$B$4:$B$95,$A19,S17_Biome_Strata!$D$4:$D$95,$B19)</x:f>
        <x:v>0</x:v>
      </x:c>
      <x:c r="G19" s="167" t="n">
        <x:f aca="0">SUMIFS(S17_Biome_Strata!$AM$4:$AM$95,S17_Biome_Strata!$A$4:$A$95,"Tropical &amp; Subtropical Moist Broadleaf Forests",S17_Biome_Strata!$B$4:$B$95,$A19,S17_Biome_Strata!$D$4:$D$95,$B19)</x:f>
        <x:v>0</x:v>
      </x:c>
      <x:c r="H19" s="167" t="n">
        <x:f aca="0">SUMIFS(S17_Biome_Strata!$AN$4:$AN$95,S17_Biome_Strata!$A$4:$A$95,"Tropical &amp; Subtropical Moist Broadleaf Forests",S17_Biome_Strata!$B$4:$B$95,$A19,S17_Biome_Strata!$D$4:$D$95,$B19)</x:f>
        <x:v>0</x:v>
      </x:c>
      <x:c r="I19" s="167" t="n">
        <x:f aca="0">SUMIFS(S17_Biome_Strata!$AO$4:$AO$95,S17_Biome_Strata!$A$4:$A$95,"Tropical &amp; Subtropical Moist Broadleaf Forests",S17_Biome_Strata!$B$4:$B$95,$A19,S17_Biome_Strata!$D$4:$D$95,$B19)</x:f>
        <x:v>0</x:v>
      </x:c>
      <x:c r="J19" s="167" t="n">
        <x:f aca="0">SUMIFS(S17_Biome_Strata!$AP$4:$AP$95,S17_Biome_Strata!$A$4:$A$95,"Tropical &amp; Subtropical Moist Broadleaf Forests",S17_Biome_Strata!$B$4:$B$95,$A19,S17_Biome_Strata!$D$4:$D$95,$B19)</x:f>
        <x:v>0</x:v>
      </x:c>
      <x:c r="K19" s="167" t="n">
        <x:f aca="0">SUMIFS(S17_Biome_Strata!$AQ$4:$AQ$95,S17_Biome_Strata!$A$4:$A$95,"Tropical &amp; Subtropical Moist Broadleaf Forests",S17_Biome_Strata!$B$4:$B$95,$A19,S17_Biome_Strata!$D$4:$D$95,$B19)</x:f>
        <x:v>0</x:v>
      </x:c>
      <x:c r="L19" s="167" t="n">
        <x:f aca="0">SUMIFS(S17_Biome_Strata!$AR$4:$AR$95,S17_Biome_Strata!$A$4:$A$95,"Tropical &amp; Subtropical Moist Broadleaf Forests",S17_Biome_Strata!$B$4:$B$95,$A19,S17_Biome_Strata!$D$4:$D$95,$B19)</x:f>
        <x:v>0</x:v>
      </x:c>
      <x:c r="M19" s="167" t="n">
        <x:f aca="0">SUMIFS(S17_Biome_Strata!$AS$4:$AS$95,S17_Biome_Strata!$A$4:$A$95,"Tropical &amp; Subtropical Moist Broadleaf Forests",S17_Biome_Strata!$B$4:$B$95,$A19,S17_Biome_Strata!$D$4:$D$95,$B19)</x:f>
        <x:v>0</x:v>
      </x:c>
      <x:c r="N19" s="167" t="n">
        <x:f aca="0">SUMIFS(S17_Biome_Strata!$AT$4:$AT$95,S17_Biome_Strata!$A$4:$A$95,"Tropical &amp; Subtropical Moist Broadleaf Forests",S17_Biome_Strata!$B$4:$B$95,$A19,S17_Biome_Strata!$D$4:$D$95,$B19)</x:f>
        <x:v>0</x:v>
      </x:c>
      <x:c r="O19" s="167" t="n">
        <x:f aca="0">SUMIFS(S17_Biome_Strata!$AU$4:$AU$95,S17_Biome_Strata!$A$4:$A$95,"Tropical &amp; Subtropical Moist Broadleaf Forests",S17_Biome_Strata!$B$4:$B$95,$A19,S17_Biome_Strata!$D$4:$D$95,$B19)</x:f>
        <x:v>0</x:v>
      </x:c>
      <x:c r="P19" s="167" t="n">
        <x:f aca="0">SUMIFS(S17_Biome_Strata!$AV$4:$AV$95,S17_Biome_Strata!$A$4:$A$95,"Tropical &amp; Subtropical Moist Broadleaf Forests",S17_Biome_Strata!$B$4:$B$95,$A19,S17_Biome_Strata!$D$4:$D$95,$B19)</x:f>
        <x:v>0</x:v>
      </x:c>
      <x:c r="Q19" s="167" t="n">
        <x:f aca="0">SUMIFS(S17_Biome_Strata!$AW$4:$AW$95,S17_Biome_Strata!$A$4:$A$95,"Tropical &amp; Subtropical Moist Broadleaf Forests",S17_Biome_Strata!$B$4:$B$95,$A19,S17_Biome_Strata!$D$4:$D$95,$B19)</x:f>
        <x:v>0</x:v>
      </x:c>
      <x:c r="R19" s="167" t="n">
        <x:f aca="0">SUMIFS(S17_Biome_Strata!$AX$4:$AX$95,S17_Biome_Strata!$A$4:$A$95,"Tropical &amp; Subtropical Moist Broadleaf Forests",S17_Biome_Strata!$B$4:$B$95,$A19,S17_Biome_Strata!$D$4:$D$95,$B19)</x:f>
        <x:v>0</x:v>
      </x:c>
      <x:c r="S19" s="167" t="n">
        <x:f aca="0">SUMIFS(S17_Biome_Strata!$AY$4:$AY$95,S17_Biome_Strata!$A$4:$A$95,"Tropical &amp; Subtropical Moist Broadleaf Forests",S17_Biome_Strata!$B$4:$B$95,$A19,S17_Biome_Strata!$D$4:$D$95,$B19)</x:f>
        <x:v>0</x:v>
      </x:c>
      <x:c r="T19" s="167" t="n">
        <x:f aca="0">SUMIFS(S17_Biome_Strata!$AZ$4:$AZ$95,S17_Biome_Strata!$A$4:$A$95,"Tropical &amp; Subtropical Moist Broadleaf Forests",S17_Biome_Strata!$B$4:$B$95,$A19,S17_Biome_Strata!$D$4:$D$95,$B19)</x:f>
        <x:v>0</x:v>
      </x:c>
      <x:c r="U19" s="167" t="n">
        <x:f aca="0">SUMIFS(S17_Biome_Strata!$BA$4:$BA$95,S17_Biome_Strata!$A$4:$A$95,"Tropical &amp; Subtropical Moist Broadleaf Forests",S17_Biome_Strata!$B$4:$B$95,$A19,S17_Biome_Strata!$D$4:$D$95,$B19)</x:f>
        <x:v>0</x:v>
      </x:c>
      <x:c r="V19" s="167" t="n">
        <x:f aca="0">SUMIFS(S17_Biome_Strata!$BB$4:$BB$95,S17_Biome_Strata!$A$4:$A$95,"Tropical &amp; Subtropical Moist Broadleaf Forests",S17_Biome_Strata!$B$4:$B$95,$A19,S17_Biome_Strata!$D$4:$D$95,$B19)</x:f>
        <x:v>0</x:v>
      </x:c>
      <x:c r="W19" s="167" t="n">
        <x:f aca="0">SUMIFS(S17_Biome_Strata!$BC$4:$BC$95,S17_Biome_Strata!$A$4:$A$95,"Tropical &amp; Subtropical Moist Broadleaf Forests",S17_Biome_Strata!$B$4:$B$95,$A19,S17_Biome_Strata!$D$4:$D$95,$B19)</x:f>
        <x:v>0</x:v>
      </x:c>
      <x:c r="X19" s="167" t="n">
        <x:f aca="0">SUMIFS(S17_Biome_Strata!$BD$4:$BD$95,S17_Biome_Strata!$A$4:$A$95,"Tropical &amp; Subtropical Moist Broadleaf Forests",S17_Biome_Strata!$B$4:$B$95,$A19,S17_Biome_Strata!$D$4:$D$95,$B19)</x:f>
        <x:v>0</x:v>
      </x:c>
      <x:c r="Y19" s="167" t="n">
        <x:f aca="0">SUMIFS(S17_Biome_Strata!$BE$4:$BE$95,S17_Biome_Strata!$A$4:$A$95,"Tropical &amp; Subtropical Moist Broadleaf Forests",S17_Biome_Strata!$B$4:$B$95,$A19,S17_Biome_Strata!$D$4:$D$95,$B19)</x:f>
        <x:v>0</x:v>
      </x:c>
      <x:c r="Z19" s="167" t="n">
        <x:f aca="0">SUMIFS(S17_Biome_Strata!$BF$4:$BF$95,S17_Biome_Strata!$A$4:$A$95,"Tropical &amp; Subtropical Moist Broadleaf Forests",S17_Biome_Strata!$B$4:$B$95,$A19,S17_Biome_Strata!$D$4:$D$95,$B19)</x:f>
        <x:v>0</x:v>
      </x:c>
      <x:c r="AA19" s="167" t="n">
        <x:f aca="0">F19*(1-$D19)</x:f>
        <x:v>0</x:v>
      </x:c>
      <x:c r="AB19" s="167" t="n">
        <x:f aca="0">G19*(1-$D19)</x:f>
        <x:v>0</x:v>
      </x:c>
      <x:c r="AC19" s="167" t="n">
        <x:f aca="0">H19*(1-$D19)</x:f>
        <x:v>0</x:v>
      </x:c>
      <x:c r="AD19" s="167" t="n">
        <x:f aca="0">I19*(1-$D19)</x:f>
        <x:v>0</x:v>
      </x:c>
      <x:c r="AE19" s="167" t="n">
        <x:f aca="0">J19*(1-$D19)</x:f>
        <x:v>0</x:v>
      </x:c>
      <x:c r="AF19" s="167" t="n">
        <x:f aca="0">K19*(1-$D19)</x:f>
        <x:v>0</x:v>
      </x:c>
      <x:c r="AG19" s="167" t="n">
        <x:f aca="0">L19*(1-$D19)</x:f>
        <x:v>0</x:v>
      </x:c>
      <x:c r="AH19" s="167" t="n">
        <x:f aca="0">M19*(1-$D19)</x:f>
        <x:v>0</x:v>
      </x:c>
      <x:c r="AI19" s="167" t="n">
        <x:f aca="0">N19*(1-$D19)</x:f>
        <x:v>0</x:v>
      </x:c>
      <x:c r="AJ19" s="167" t="n">
        <x:f aca="0">O19*(1-$D19)</x:f>
        <x:v>0</x:v>
      </x:c>
      <x:c r="AK19" s="167" t="n">
        <x:f aca="0">P19*(1-$D19)</x:f>
        <x:v>0</x:v>
      </x:c>
      <x:c r="AL19" s="167" t="n">
        <x:f aca="0">Q19*(1-$D19)</x:f>
        <x:v>0</x:v>
      </x:c>
      <x:c r="AM19" s="167" t="n">
        <x:f aca="0">R19*(1-$D19)</x:f>
        <x:v>0</x:v>
      </x:c>
      <x:c r="AN19" s="167" t="n">
        <x:f aca="0">S19*(1-$D19)</x:f>
        <x:v>0</x:v>
      </x:c>
      <x:c r="AO19" s="167" t="n">
        <x:f aca="0">T19*(1-$D19)</x:f>
        <x:v>0</x:v>
      </x:c>
      <x:c r="AP19" s="167" t="n">
        <x:f aca="0">U19*(1-$D19)</x:f>
        <x:v>0</x:v>
      </x:c>
      <x:c r="AQ19" s="167" t="n">
        <x:f aca="0">V19*(1-$D19)</x:f>
        <x:v>0</x:v>
      </x:c>
      <x:c r="AR19" s="167" t="n">
        <x:f aca="0">W19*(1-$D19)</x:f>
        <x:v>0</x:v>
      </x:c>
      <x:c r="AS19" s="167" t="n">
        <x:f aca="0">X19*(1-$D19)</x:f>
        <x:v>0</x:v>
      </x:c>
      <x:c r="AT19" s="167" t="n">
        <x:f aca="0">Y19*(1-$D19)</x:f>
        <x:v>0</x:v>
      </x:c>
      <x:c r="AU19" s="167" t="n">
        <x:f aca="0">Z19*(1-$D19)</x:f>
        <x:v>0</x:v>
      </x:c>
      <x:c r="AV19" s="37" t="str">
        <x:v>Formula-derived: S17_Biome_Strata row gross stock = eligible area × S15_Source_Strata stock/ha; S15_Source_Strata stock = cohort-aligned Chapman-Richards D/H → Chave AGB → conservative calibration → CF × (1+R) × 44/12. PB applied separately by Biome × Cohort.</x:v>
      </x:c>
    </x:row>
    <x:row r="20" ht="15" hidden="0" customHeight="1">
      <x:c r="A20" s="1"/>
      <x:c r="B20" s="1"/>
      <x:c r="C20" s="1"/>
      <x:c r="D20" s="1"/>
      <x:c r="E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row>
    <x:row r="21" ht="15.75" hidden="0" customHeight="1">
      <x:c r="A21" s="169" t="str">
        <x:v>Tropical &amp; Subtropical Moist Broadleaf Forests Biome - Aligned View: All 4 Models Side by Side, Rows by Cohort</x:v>
      </x:c>
      <x:c r="B21" s="169"/>
      <x:c r="C21" s="169"/>
      <x:c r="D21" s="169"/>
      <x:c r="E21" s="169"/>
      <x:c r="F21" s="169"/>
      <x:c r="G21" s="169"/>
      <x:c r="H21" s="169"/>
      <x:c r="I21" s="169"/>
      <x:c r="J21" s="169"/>
      <x:c r="K21" s="169"/>
      <x:c r="L21" s="169"/>
      <x:c r="M21" s="169"/>
      <x:c r="N21" s="169"/>
      <x:c r="O21" s="169"/>
      <x:c r="P21" s="169"/>
      <x:c r="Q21" s="169"/>
      <x:c r="R21" s="169"/>
      <x:c r="S21" s="169"/>
      <x:c r="T21" s="169"/>
      <x:c r="U21" s="169"/>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row>
    <x:row r="22" ht="15" hidden="0" customHeight="1">
      <x:c r="A22" s="170" t="s">
        <x:v>1232</x:v>
      </x:c>
      <x:c r="B22" s="170"/>
      <x:c r="C22" s="170"/>
      <x:c r="D22" s="170"/>
      <x:c r="E22" s="170"/>
      <x:c r="F22" s="170"/>
      <x:c r="G22" s="170"/>
      <x:c r="H22" s="170"/>
      <x:c r="I22" s="170"/>
      <x:c r="J22" s="170"/>
      <x:c r="K22" s="170"/>
      <x:c r="L22" s="170"/>
      <x:c r="M22" s="170"/>
      <x:c r="N22" s="170"/>
      <x:c r="O22" s="170"/>
      <x:c r="P22" s="170"/>
      <x:c r="Q22" s="170"/>
      <x:c r="R22" s="170"/>
      <x:c r="S22" s="170"/>
      <x:c r="T22" s="170"/>
      <x:c r="U22" s="170"/>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row>
    <x:row r="23" ht="15" hidden="0" customHeight="1">
      <x:c r="A23" s="1"/>
      <x:c r="B23" s="1"/>
      <x:c r="C23" s="1"/>
      <x:c r="D23" s="1"/>
      <x:c r="E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row>
    <x:row r="24" ht="15" hidden="0" customHeight="1">
      <x:c r="A24" s="171" t="s">
        <x:v>529</x:v>
      </x:c>
      <x:c r="B24" s="172" t="s">
        <x:v>111</x:v>
      </x:c>
      <x:c r="C24" s="172"/>
      <x:c r="D24" s="172"/>
      <x:c r="E24" s="172"/>
      <x:c r="F24" s="172"/>
      <x:c r="G24" s="173" t="s">
        <x:v>112</x:v>
      </x:c>
      <x:c r="H24" s="173"/>
      <x:c r="I24" s="173"/>
      <x:c r="J24" s="173"/>
      <x:c r="K24" s="173"/>
      <x:c r="L24" s="174" t="s">
        <x:v>113</x:v>
      </x:c>
      <x:c r="M24" s="174"/>
      <x:c r="N24" s="174"/>
      <x:c r="O24" s="174"/>
      <x:c r="P24" s="174"/>
      <x:c r="Q24" s="175" t="s">
        <x:v>114</x:v>
      </x:c>
      <x:c r="R24" s="175"/>
      <x:c r="S24" s="175"/>
      <x:c r="T24" s="175"/>
      <x:c r="U24" s="175"/>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row>
    <x:row r="25" ht="20.25" hidden="0" customHeight="1">
      <x:c r="A25" s="171"/>
      <x:c r="B25" s="176" t="s">
        <x:v>94</x:v>
      </x:c>
      <x:c r="C25" s="176" t="s">
        <x:v>1188</x:v>
      </x:c>
      <x:c r="D25" s="176" t="s">
        <x:v>1233</x:v>
      </x:c>
      <x:c r="E25" s="176" t="s">
        <x:v>1234</x:v>
      </x:c>
      <x:c r="F25" s="177" t="s">
        <x:v>1235</x:v>
      </x:c>
      <x:c r="G25" s="178" t="s">
        <x:v>94</x:v>
      </x:c>
      <x:c r="H25" s="178" t="s">
        <x:v>1188</x:v>
      </x:c>
      <x:c r="I25" s="178" t="s">
        <x:v>1233</x:v>
      </x:c>
      <x:c r="J25" s="178" t="s">
        <x:v>1234</x:v>
      </x:c>
      <x:c r="K25" s="179" t="s">
        <x:v>1235</x:v>
      </x:c>
      <x:c r="L25" s="180" t="s">
        <x:v>94</x:v>
      </x:c>
      <x:c r="M25" s="180" t="s">
        <x:v>1188</x:v>
      </x:c>
      <x:c r="N25" s="180" t="s">
        <x:v>1233</x:v>
      </x:c>
      <x:c r="O25" s="180" t="s">
        <x:v>1234</x:v>
      </x:c>
      <x:c r="P25" s="181" t="s">
        <x:v>1235</x:v>
      </x:c>
      <x:c r="Q25" s="182" t="s">
        <x:v>94</x:v>
      </x:c>
      <x:c r="R25" s="182" t="s">
        <x:v>1188</x:v>
      </x:c>
      <x:c r="S25" s="182" t="s">
        <x:v>1233</x:v>
      </x:c>
      <x:c r="T25" s="182" t="s">
        <x:v>1234</x:v>
      </x:c>
      <x:c r="U25" s="183" t="s">
        <x:v>1235</x:v>
      </x:c>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row>
    <x:row r="26" ht="15" hidden="0" customHeight="1">
      <x:c r="A26" s="184" t="n">
        <x:v>2020</x:v>
      </x:c>
      <x:c r="B26" s="185" t="n">
        <x:f aca="0">IFERROR(SUMIFS($C:$C,$A:$A,"Fruit Orchard",$B:$B,$A26),0)</x:f>
        <x:v>36.3110995548361</x:v>
      </x:c>
      <x:c r="C26" s="186" t="n">
        <x:f aca="0">IFERROR(SUMIFS($D:$D,$A:$A,"Fruit Orchard",$B:$B,$A26),0)</x:f>
        <x:v>0.15</x:v>
      </x:c>
      <x:c r="D26" s="187" t="n">
        <x:f aca="0">IFERROR(SUMIFS($L:$L,$A:$A,"Fruit Orchard",$B:$B,$A26),0)</x:f>
        <x:v>620.09905669578</x:v>
      </x:c>
      <x:c r="E26" s="187" t="n">
        <x:f aca="0">IFERROR(SUMIFS($Z:$Z,$A:$A,"Fruit Orchard",$B:$B,$A26),0)</x:f>
        <x:v>4396.184797704921</x:v>
      </x:c>
      <x:c r="F26" s="188" t="n">
        <x:f aca="0">IFERROR(SUMIFS($AU:$AU,$A:$A,"Fruit Orchard",$B:$B,$A26),0)</x:f>
        <x:v>3023.0996793874083</x:v>
      </x:c>
      <x:c r="G26" s="185" t="n">
        <x:f aca="0">IFERROR(SUMIFS($C:$C,$A:$A,"Horti-Silviculture",$B:$B,$A26),0)</x:f>
        <x:v>99.9553220558479</x:v>
      </x:c>
      <x:c r="H26" s="186" t="n">
        <x:f aca="0">IFERROR(SUMIFS($D:$D,$A:$A,"Horti-Silviculture",$B:$B,$A26),0)</x:f>
        <x:v>0.3123356231599608</x:v>
      </x:c>
      <x:c r="I26" s="187" t="n">
        <x:f aca="0">IFERROR(SUMIFS($L:$L,$A:$A,"Horti-Silviculture",$B:$B,$A26),0)</x:f>
        <x:v>8361.402530391166</x:v>
      </x:c>
      <x:c r="J26" s="187" t="n">
        <x:f aca="0">IFERROR(SUMIFS($Z:$Z,$A:$A,"Horti-Silviculture",$B:$B,$A26),0)</x:f>
        <x:v>44675.44817283402</x:v>
      </x:c>
      <x:c r="K26" s="188" t="n">
        <x:f aca="0">IFERROR(SUMIFS($AU:$AU,$A:$A,"Horti-Silviculture",$B:$B,$A26),0)</x:f>
        <x:v>30721.714227821372</x:v>
      </x:c>
      <x:c r="L26" s="185" t="n">
        <x:f aca="0">IFERROR(SUMIFS($C:$C,$A:$A,"Timber Plantation",$B:$B,$A26),0)</x:f>
        <x:v>9.5207</x:v>
      </x:c>
      <x:c r="M26" s="186" t="n">
        <x:f aca="0">IFERROR(SUMIFS($D:$D,$A:$A,"Timber Plantation",$B:$B,$A26),0)</x:f>
        <x:v>0.3123356231599608</x:v>
      </x:c>
      <x:c r="N26" s="187" t="n">
        <x:f aca="0">IFERROR(SUMIFS($L:$L,$A:$A,"Timber Plantation",$B:$B,$A26),0)</x:f>
        <x:v>665.0612334809822</x:v>
      </x:c>
      <x:c r="O26" s="187" t="n">
        <x:f aca="0">IFERROR(SUMIFS($Z:$Z,$A:$A,"Timber Plantation",$B:$B,$A26),0)</x:f>
        <x:v>4157.4776800077</x:v>
      </x:c>
      <x:c r="P26" s="188" t="n">
        <x:f aca="0">IFERROR(SUMIFS($AU:$AU,$A:$A,"Timber Plantation",$B:$B,$A26),0)</x:f>
        <x:v>2858.9492980488667</x:v>
      </x:c>
      <x:c r="Q26" s="185" t="n">
        <x:f aca="0">IFERROR(SUMIFS($C:$C,$A:$A,"Mixed Agroforestry",$B:$B,$A26),0)</x:f>
        <x:v>9.6876</x:v>
      </x:c>
      <x:c r="R26" s="186" t="n">
        <x:f aca="0">IFERROR(SUMIFS($D:$D,$A:$A,"Mixed Agroforestry",$B:$B,$A26),0)</x:f>
        <x:v>0.3123356231599608</x:v>
      </x:c>
      <x:c r="S26" s="187" t="n">
        <x:f aca="0">IFERROR(SUMIFS($L:$L,$A:$A,"Mixed Agroforestry",$B:$B,$A26),0)</x:f>
        <x:v>8351.040629413135</x:v>
      </x:c>
      <x:c r="T26" s="187" t="n">
        <x:f aca="0">IFERROR(SUMIFS($Z:$Z,$A:$A,"Mixed Agroforestry",$B:$B,$A26),0)</x:f>
        <x:v>49890.954166184034</x:v>
      </x:c>
      <x:c r="U26" s="188" t="n">
        <x:f aca="0">IFERROR(SUMIFS($AU:$AU,$A:$A,"Mixed Agroforestry",$B:$B,$A26),0)</x:f>
        <x:v>34308.2319066439</x:v>
      </x:c>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row>
    <x:row r="27" ht="15" hidden="0" customHeight="1">
      <x:c r="A27" s="184" t="n">
        <x:v>2021</x:v>
      </x:c>
      <x:c r="B27" s="185" t="n">
        <x:f aca="0">IFERROR(SUMIFS($C:$C,$A:$A,"Fruit Orchard",$B:$B,$A27),0)</x:f>
        <x:v>33.4515438284096</x:v>
      </x:c>
      <x:c r="C27" s="186" t="n">
        <x:f aca="0">IFERROR(SUMIFS($D:$D,$A:$A,"Fruit Orchard",$B:$B,$A27),0)</x:f>
        <x:v>0.15</x:v>
      </x:c>
      <x:c r="D27" s="187" t="n">
        <x:f aca="0">IFERROR(SUMIFS($L:$L,$A:$A,"Fruit Orchard",$B:$B,$A27),0)</x:f>
        <x:v>416.861393954261</x:v>
      </x:c>
      <x:c r="E27" s="187" t="n">
        <x:f aca="0">IFERROR(SUMIFS($Z:$Z,$A:$A,"Fruit Orchard",$B:$B,$A27),0)</x:f>
        <x:v>4590.926157094646</x:v>
      </x:c>
      <x:c r="F27" s="188" t="n">
        <x:f aca="0">IFERROR(SUMIFS($AU:$AU,$A:$A,"Fruit Orchard",$B:$B,$A27),0)</x:f>
        <x:v>3157.016374937126</x:v>
      </x:c>
      <x:c r="G27" s="185" t="n">
        <x:f aca="0">IFERROR(SUMIFS($C:$C,$A:$A,"Horti-Silviculture",$B:$B,$A27),0)</x:f>
        <x:v>74.5374819506273</x:v>
      </x:c>
      <x:c r="H27" s="186" t="n">
        <x:f aca="0">IFERROR(SUMIFS($D:$D,$A:$A,"Horti-Silviculture",$B:$B,$A27),0)</x:f>
        <x:v>0.3123356231599608</x:v>
      </x:c>
      <x:c r="I27" s="187" t="n">
        <x:f aca="0">IFERROR(SUMIFS($L:$L,$A:$A,"Horti-Silviculture",$B:$B,$A27),0)</x:f>
        <x:v>1968.5060566730704</x:v>
      </x:c>
      <x:c r="J27" s="187" t="n">
        <x:f aca="0">IFERROR(SUMIFS($Z:$Z,$A:$A,"Horti-Silviculture",$B:$B,$A27),0)</x:f>
        <x:v>19240.439633598406</x:v>
      </x:c>
      <x:c r="K27" s="188" t="n">
        <x:f aca="0">IFERROR(SUMIFS($AU:$AU,$A:$A,"Horti-Silviculture",$B:$B,$A27),0)</x:f>
        <x:v>13230.96493076684</x:v>
      </x:c>
      <x:c r="L27" s="185" t="n">
        <x:f aca="0">IFERROR(SUMIFS($C:$C,$A:$A,"Timber Plantation",$B:$B,$A27),0)</x:f>
        <x:v>11.1879</x:v>
      </x:c>
      <x:c r="M27" s="186" t="n">
        <x:f aca="0">IFERROR(SUMIFS($D:$D,$A:$A,"Timber Plantation",$B:$B,$A27),0)</x:f>
        <x:v>0.3123356231599608</x:v>
      </x:c>
      <x:c r="N27" s="187" t="n">
        <x:f aca="0">IFERROR(SUMIFS($L:$L,$A:$A,"Timber Plantation",$B:$B,$A27),0)</x:f>
        <x:v>449.4257410516624</x:v>
      </x:c>
      <x:c r="O27" s="187" t="n">
        <x:f aca="0">IFERROR(SUMIFS($Z:$Z,$A:$A,"Timber Plantation",$B:$B,$A27),0)</x:f>
        <x:v>5104.0512505750485</x:v>
      </x:c>
      <x:c r="P27" s="188" t="n">
        <x:f aca="0">IFERROR(SUMIFS($AU:$AU,$A:$A,"Timber Plantation",$B:$B,$A27),0)</x:f>
        <x:v>3509.8742225863134</x:v>
      </x:c>
      <x:c r="Q27" s="185" t="n">
        <x:f aca="0">IFERROR(SUMIFS($C:$C,$A:$A,"Mixed Agroforestry",$B:$B,$A27),0)</x:f>
        <x:v>0</x:v>
      </x:c>
      <x:c r="R27" s="186" t="n">
        <x:f aca="0">IFERROR(SUMIFS($D:$D,$A:$A,"Mixed Agroforestry",$B:$B,$A27),0)</x:f>
        <x:v>0.3123356231599608</x:v>
      </x:c>
      <x:c r="S27" s="187" t="n">
        <x:f aca="0">IFERROR(SUMIFS($L:$L,$A:$A,"Mixed Agroforestry",$B:$B,$A27),0)</x:f>
        <x:v>0</x:v>
      </x:c>
      <x:c r="T27" s="187" t="n">
        <x:f aca="0">IFERROR(SUMIFS($Z:$Z,$A:$A,"Mixed Agroforestry",$B:$B,$A27),0)</x:f>
        <x:v>0</x:v>
      </x:c>
      <x:c r="U27" s="188" t="n">
        <x:f aca="0">IFERROR(SUMIFS($AU:$AU,$A:$A,"Mixed Agroforestry",$B:$B,$A27),0)</x:f>
        <x:v>0</x:v>
      </x:c>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row>
    <x:row r="28" ht="15" hidden="0" customHeight="1">
      <x:c r="A28" s="184" t="n">
        <x:v>2022</x:v>
      </x:c>
      <x:c r="B28" s="185" t="n">
        <x:f aca="0">IFERROR(SUMIFS($C:$C,$A:$A,"Fruit Orchard",$B:$B,$A28),0)</x:f>
        <x:v>4.0013</x:v>
      </x:c>
      <x:c r="C28" s="186" t="n">
        <x:f aca="0">IFERROR(SUMIFS($D:$D,$A:$A,"Fruit Orchard",$B:$B,$A28),0)</x:f>
        <x:v>0.15</x:v>
      </x:c>
      <x:c r="D28" s="187" t="n">
        <x:f aca="0">IFERROR(SUMIFS($L:$L,$A:$A,"Fruit Orchard",$B:$B,$A28),0)</x:f>
        <x:v>28.3483366959523</x:v>
      </x:c>
      <x:c r="E28" s="187" t="n">
        <x:f aca="0">IFERROR(SUMIFS($Z:$Z,$A:$A,"Fruit Orchard",$B:$B,$A28),0)</x:f>
        <x:v>450.5005847495466</x:v>
      </x:c>
      <x:c r="F28" s="188" t="n">
        <x:f aca="0">IFERROR(SUMIFS($AU:$AU,$A:$A,"Fruit Orchard",$B:$B,$A28),0)</x:f>
        <x:v>309.7932038778702</x:v>
      </x:c>
      <x:c r="G28" s="185" t="n">
        <x:f aca="0">IFERROR(SUMIFS($C:$C,$A:$A,"Horti-Silviculture",$B:$B,$A28),0)</x:f>
        <x:v>42.955813638203196</x:v>
      </x:c>
      <x:c r="H28" s="186" t="n">
        <x:f aca="0">IFERROR(SUMIFS($D:$D,$A:$A,"Horti-Silviculture",$B:$B,$A28),0)</x:f>
        <x:v>0.3123356231599608</x:v>
      </x:c>
      <x:c r="I28" s="187" t="n">
        <x:f aca="0">IFERROR(SUMIFS($L:$L,$A:$A,"Horti-Silviculture",$B:$B,$A28),0)</x:f>
        <x:v>1106.6306622779266</x:v>
      </x:c>
      <x:c r="J28" s="187" t="n">
        <x:f aca="0">IFERROR(SUMIFS($Z:$Z,$A:$A,"Horti-Silviculture",$B:$B,$A28),0)</x:f>
        <x:v>15448.637267062439</x:v>
      </x:c>
      <x:c r="K28" s="188" t="n">
        <x:f aca="0">IFERROR(SUMIFS($AU:$AU,$A:$A,"Horti-Silviculture",$B:$B,$A28),0)</x:f>
        <x:v>10623.477519282298</x:v>
      </x:c>
      <x:c r="L28" s="185" t="n">
        <x:f aca="0">IFERROR(SUMIFS($C:$C,$A:$A,"Timber Plantation",$B:$B,$A28),0)</x:f>
        <x:v>2.4991</x:v>
      </x:c>
      <x:c r="M28" s="186" t="n">
        <x:f aca="0">IFERROR(SUMIFS($D:$D,$A:$A,"Timber Plantation",$B:$B,$A28),0)</x:f>
        <x:v>0.3123356231599608</x:v>
      </x:c>
      <x:c r="N28" s="187" t="n">
        <x:f aca="0">IFERROR(SUMIFS($L:$L,$A:$A,"Timber Plantation",$B:$B,$A28),0)</x:f>
        <x:v>54.07218338803974</x:v>
      </x:c>
      <x:c r="O28" s="187" t="n">
        <x:f aca="0">IFERROR(SUMIFS($Z:$Z,$A:$A,"Timber Plantation",$B:$B,$A28),0)</x:f>
        <x:v>1086.1628079086997</x:v>
      </x:c>
      <x:c r="P28" s="188" t="n">
        <x:f aca="0">IFERROR(SUMIFS($AU:$AU,$A:$A,"Timber Plantation",$B:$B,$A28),0)</x:f>
        <x:v>746.9154704473632</x:v>
      </x:c>
      <x:c r="Q28" s="185" t="n">
        <x:f aca="0">IFERROR(SUMIFS($C:$C,$A:$A,"Mixed Agroforestry",$B:$B,$A28),0)</x:f>
        <x:v>0</x:v>
      </x:c>
      <x:c r="R28" s="186" t="n">
        <x:f aca="0">IFERROR(SUMIFS($D:$D,$A:$A,"Mixed Agroforestry",$B:$B,$A28),0)</x:f>
        <x:v>0.3123356231599608</x:v>
      </x:c>
      <x:c r="S28" s="187" t="n">
        <x:f aca="0">IFERROR(SUMIFS($L:$L,$A:$A,"Mixed Agroforestry",$B:$B,$A28),0)</x:f>
        <x:v>0</x:v>
      </x:c>
      <x:c r="T28" s="187" t="n">
        <x:f aca="0">IFERROR(SUMIFS($Z:$Z,$A:$A,"Mixed Agroforestry",$B:$B,$A28),0)</x:f>
        <x:v>0</x:v>
      </x:c>
      <x:c r="U28" s="188" t="n">
        <x:f aca="0">IFERROR(SUMIFS($AU:$AU,$A:$A,"Mixed Agroforestry",$B:$B,$A28),0)</x:f>
        <x:v>0</x:v>
      </x:c>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row>
    <x:row r="29" ht="15" hidden="0" customHeight="1">
      <x:c r="A29" s="184" t="n">
        <x:v>2023</x:v>
      </x:c>
      <x:c r="B29" s="185" t="n">
        <x:f aca="0">IFERROR(SUMIFS($C:$C,$A:$A,"Fruit Orchard",$B:$B,$A29),0)</x:f>
        <x:v>3.1262</x:v>
      </x:c>
      <x:c r="C29" s="186" t="n">
        <x:f aca="0">IFERROR(SUMIFS($D:$D,$A:$A,"Fruit Orchard",$B:$B,$A29),0)</x:f>
        <x:v>0.15</x:v>
      </x:c>
      <x:c r="D29" s="187" t="n">
        <x:f aca="0">IFERROR(SUMIFS($L:$L,$A:$A,"Fruit Orchard",$B:$B,$A29),0)</x:f>
        <x:v>8.44997441530504</x:v>
      </x:c>
      <x:c r="E29" s="187" t="n">
        <x:f aca="0">IFERROR(SUMIFS($Z:$Z,$A:$A,"Fruit Orchard",$B:$B,$A29),0)</x:f>
        <x:v>337.24696457829157</x:v>
      </x:c>
      <x:c r="F29" s="188" t="n">
        <x:f aca="0">IFERROR(SUMIFS($AU:$AU,$A:$A,"Fruit Orchard",$B:$B,$A29),0)</x:f>
        <x:v>231.91272373792566</x:v>
      </x:c>
      <x:c r="G29" s="185" t="n">
        <x:f aca="0">IFERROR(SUMIFS($C:$C,$A:$A,"Horti-Silviculture",$B:$B,$A29),0)</x:f>
        <x:v>11.001900000000001</x:v>
      </x:c>
      <x:c r="H29" s="186" t="n">
        <x:f aca="0">IFERROR(SUMIFS($D:$D,$A:$A,"Horti-Silviculture",$B:$B,$A29),0)</x:f>
        <x:v>0.3123356231599608</x:v>
      </x:c>
      <x:c r="I29" s="187" t="n">
        <x:f aca="0">IFERROR(SUMIFS($L:$L,$A:$A,"Horti-Silviculture",$B:$B,$A29),0)</x:f>
        <x:v>260.1157049121532</x:v>
      </x:c>
      <x:c r="J29" s="187" t="n">
        <x:f aca="0">IFERROR(SUMIFS($Z:$Z,$A:$A,"Horti-Silviculture",$B:$B,$A29),0)</x:f>
        <x:v>7124.454679732653</x:v>
      </x:c>
      <x:c r="K29" s="188" t="n">
        <x:f aca="0">IFERROR(SUMIFS($AU:$AU,$A:$A,"Horti-Silviculture",$B:$B,$A29),0)</x:f>
        <x:v>4899.233687663456</x:v>
      </x:c>
      <x:c r="L29" s="185" t="n">
        <x:f aca="0">IFERROR(SUMIFS($C:$C,$A:$A,"Timber Plantation",$B:$B,$A29),0)</x:f>
        <x:v>4.2112</x:v>
      </x:c>
      <x:c r="M29" s="186" t="n">
        <x:f aca="0">IFERROR(SUMIFS($D:$D,$A:$A,"Timber Plantation",$B:$B,$A29),0)</x:f>
        <x:v>0.3123356231599608</x:v>
      </x:c>
      <x:c r="N29" s="187" t="n">
        <x:f aca="0">IFERROR(SUMIFS($L:$L,$A:$A,"Timber Plantation",$B:$B,$A29),0)</x:f>
        <x:v>65.36453011570822</x:v>
      </x:c>
      <x:c r="O29" s="187" t="n">
        <x:f aca="0">IFERROR(SUMIFS($Z:$Z,$A:$A,"Timber Plantation",$B:$B,$A29),0)</x:f>
        <x:v>2446.233277554442</x:v>
      </x:c>
      <x:c r="P29" s="188" t="n">
        <x:f aca="0">IFERROR(SUMIFS($AU:$AU,$A:$A,"Timber Plantation",$B:$B,$A29),0)</x:f>
        <x:v>1682.187482414842</x:v>
      </x:c>
      <x:c r="Q29" s="185" t="n">
        <x:f aca="0">IFERROR(SUMIFS($C:$C,$A:$A,"Mixed Agroforestry",$B:$B,$A29),0)</x:f>
        <x:v>0</x:v>
      </x:c>
      <x:c r="R29" s="186" t="n">
        <x:f aca="0">IFERROR(SUMIFS($D:$D,$A:$A,"Mixed Agroforestry",$B:$B,$A29),0)</x:f>
        <x:v>0.3123356231599608</x:v>
      </x:c>
      <x:c r="S29" s="187" t="n">
        <x:f aca="0">IFERROR(SUMIFS($L:$L,$A:$A,"Mixed Agroforestry",$B:$B,$A29),0)</x:f>
        <x:v>0</x:v>
      </x:c>
      <x:c r="T29" s="187" t="n">
        <x:f aca="0">IFERROR(SUMIFS($Z:$Z,$A:$A,"Mixed Agroforestry",$B:$B,$A29),0)</x:f>
        <x:v>0</x:v>
      </x:c>
      <x:c r="U29" s="188" t="n">
        <x:f aca="0">IFERROR(SUMIFS($AU:$AU,$A:$A,"Mixed Agroforestry",$B:$B,$A29),0)</x:f>
        <x:v>0</x:v>
      </x:c>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row>
    <x:row r="30" ht="15" hidden="0" customHeight="1">
      <x:c r="A30" s="1"/>
      <x:c r="B30" s="1"/>
      <x:c r="C30" s="1"/>
      <x:c r="D30" s="1"/>
      <x:c r="E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row>
    <x:row r="31" ht="15" hidden="0" customHeight="1">
      <x:c r="A31" s="103" t="str">
        <x:v>BIOME TOTAL</x:v>
      </x:c>
      <x:c r="B31" s="189" t="n">
        <x:f aca="0">SUM(B26:B29)</x:f>
        <x:v>76.8901433832457</x:v>
      </x:c>
      <x:c r="C31" s="190"/>
      <x:c r="D31" s="191" t="n">
        <x:f aca="0">SUM(D26:D29)</x:f>
        <x:v>1073.7587617613</x:v>
      </x:c>
      <x:c r="E31" s="191" t="n">
        <x:f aca="0">SUM(E26:E29)</x:f>
        <x:v>9774.858504127405</x:v>
      </x:c>
      <x:c r="F31" s="191" t="n">
        <x:f aca="0">SUM(F26:F29)</x:f>
        <x:v>6721.821981940329</x:v>
      </x:c>
      <x:c r="G31" s="189" t="n">
        <x:f aca="0">SUM(G26:G29)</x:f>
        <x:v>228.4505176446784</x:v>
      </x:c>
      <x:c r="H31" s="190"/>
      <x:c r="I31" s="191" t="n">
        <x:f aca="0">SUM(I26:I29)</x:f>
        <x:v>11696.654954254316</x:v>
      </x:c>
      <x:c r="J31" s="191" t="n">
        <x:f aca="0">SUM(J26:J29)</x:f>
        <x:v>86488.97975322751</x:v>
      </x:c>
      <x:c r="K31" s="191" t="n">
        <x:f aca="0">SUM(K26:K29)</x:f>
        <x:v>59475.390365533975</x:v>
      </x:c>
      <x:c r="L31" s="189" t="n">
        <x:f aca="0">SUM(L26:L29)</x:f>
        <x:v>27.4189</x:v>
      </x:c>
      <x:c r="M31" s="190"/>
      <x:c r="N31" s="191" t="n">
        <x:f aca="0">SUM(N26:N29)</x:f>
        <x:v>1233.9236880363926</x:v>
      </x:c>
      <x:c r="O31" s="191" t="n">
        <x:f aca="0">SUM(O26:O29)</x:f>
        <x:v>12793.92501604589</x:v>
      </x:c>
      <x:c r="P31" s="191" t="n">
        <x:f aca="0">SUM(P26:P29)</x:f>
        <x:v>8797.926473497386</x:v>
      </x:c>
      <x:c r="Q31" s="189" t="n">
        <x:f aca="0">SUM(Q26:Q29)</x:f>
        <x:v>9.6876</x:v>
      </x:c>
      <x:c r="R31" s="190"/>
      <x:c r="S31" s="191" t="n">
        <x:f aca="0">SUM(S26:S29)</x:f>
        <x:v>8351.040629413135</x:v>
      </x:c>
      <x:c r="T31" s="191" t="n">
        <x:f aca="0">SUM(T26:T29)</x:f>
        <x:v>49890.954166184034</x:v>
      </x:c>
      <x:c r="U31" s="191" t="n">
        <x:f aca="0">SUM(U26:U29)</x:f>
        <x:v>34308.2319066439</x:v>
      </x:c>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row>
  </x:sheetData>
  <x:mergeCells>
    <x:mergeCell ref="A1:AV1"/>
    <x:mergeCell ref="A21:U21"/>
    <x:mergeCell ref="A22:U22"/>
    <x:mergeCell ref="A24:A25"/>
    <x:mergeCell ref="B24:F24"/>
    <x:mergeCell ref="G24:K24"/>
    <x:mergeCell ref="L24:P24"/>
    <x:mergeCell ref="Q24:U24"/>
  </x:mergeCells>
  <x:pageMargins left="0.7" right="0.7" top="0.75" bottom="0.75" header="0.3" footer="0.3"/>
</x:worksheet>
</file>

<file path=xl/worksheets/sheet20.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4" style="37" hidden="0" customWidth="1"/>
    <x:col min="2" max="4" width="14" style="37" hidden="0" customWidth="1"/>
    <x:col min="5" max="5" width="42" style="37" hidden="0" customWidth="1"/>
    <x:col min="6" max="21" width="14" style="1" hidden="0" customWidth="1"/>
    <x:col min="48" max="48" width="58" style="37" hidden="0" customWidth="1"/>
  </x:cols>
  <x:sheetData>
    <x:row r="1" ht="24" hidden="0" customHeight="1">
      <x:c r="A1" s="38" t="str">
        <x:v>Tropical &amp; Subtropical Dry Broadleaf Forests ERR | Model × Cohort | Biome-Specific PB</x:v>
      </x:c>
      <x:c r="B1" s="38"/>
      <x:c r="C1" s="38"/>
      <x:c r="D1" s="38"/>
      <x:c r="E1" s="38"/>
      <x:c r="F1" s="38"/>
      <x:c r="G1" s="38"/>
      <x:c r="H1" s="38"/>
      <x:c r="I1" s="38"/>
      <x:c r="J1" s="38"/>
      <x:c r="K1" s="38"/>
      <x:c r="L1" s="38"/>
      <x:c r="M1" s="38"/>
      <x:c r="N1" s="38"/>
      <x:c r="O1" s="38"/>
      <x:c r="P1" s="38"/>
      <x:c r="Q1" s="38"/>
      <x:c r="R1" s="38"/>
      <x:c r="S1" s="38"/>
      <x:c r="T1" s="38"/>
      <x:c r="U1" s="38"/>
      <x:c r="V1" s="38"/>
      <x:c r="W1" s="38"/>
      <x:c r="X1" s="38"/>
      <x:c r="Y1" s="38"/>
      <x:c r="Z1" s="38"/>
      <x:c r="AA1" s="38"/>
      <x:c r="AB1" s="38"/>
      <x:c r="AC1" s="38"/>
      <x:c r="AD1" s="38"/>
      <x:c r="AE1" s="38"/>
      <x:c r="AF1" s="38"/>
      <x:c r="AG1" s="38"/>
      <x:c r="AH1" s="38"/>
      <x:c r="AI1" s="38"/>
      <x:c r="AJ1" s="38"/>
      <x:c r="AK1" s="38"/>
      <x:c r="AL1" s="38"/>
      <x:c r="AM1" s="38"/>
      <x:c r="AN1" s="38"/>
      <x:c r="AO1" s="38"/>
      <x:c r="AP1" s="38"/>
      <x:c r="AQ1" s="38"/>
      <x:c r="AR1" s="38"/>
      <x:c r="AS1" s="38"/>
      <x:c r="AT1" s="38"/>
      <x:c r="AU1" s="38"/>
      <x:c r="AV1" s="38"/>
    </x:row>
    <x:row r="2" ht="15" hidden="0" customHeight="1">
      <x:c r="A2" s="45"/>
      <x:c r="B2" s="45"/>
      <x:c r="C2" s="45"/>
      <x:c r="D2" s="45"/>
      <x:c r="E2" s="45"/>
      <x:c r="F2" s="45"/>
      <x:c r="G2" s="45"/>
      <x:c r="H2" s="45"/>
      <x:c r="I2" s="45"/>
      <x:c r="J2" s="45"/>
      <x:c r="K2" s="45"/>
      <x:c r="L2" s="45"/>
      <x:c r="M2" s="45"/>
      <x:c r="N2" s="45"/>
      <x:c r="O2" s="45"/>
      <x:c r="P2" s="45"/>
      <x:c r="Q2" s="45"/>
      <x:c r="R2" s="45"/>
      <x:c r="S2" s="45"/>
      <x:c r="T2" s="45"/>
      <x:c r="U2" s="45"/>
      <x:c r="V2" s="45"/>
      <x:c r="W2" s="45"/>
      <x:c r="X2" s="45"/>
      <x:c r="Y2" s="45"/>
      <x:c r="Z2" s="45"/>
      <x:c r="AA2" s="45"/>
      <x:c r="AB2" s="45"/>
      <x:c r="AC2" s="45"/>
      <x:c r="AD2" s="45"/>
      <x:c r="AE2" s="45"/>
      <x:c r="AF2" s="45"/>
      <x:c r="AG2" s="45"/>
      <x:c r="AH2" s="45"/>
      <x:c r="AI2" s="45"/>
      <x:c r="AJ2" s="45"/>
      <x:c r="AK2" s="45"/>
      <x:c r="AL2" s="45"/>
      <x:c r="AM2" s="45"/>
      <x:c r="AN2" s="45"/>
      <x:c r="AO2" s="45"/>
      <x:c r="AP2" s="45"/>
      <x:c r="AQ2" s="45"/>
      <x:c r="AR2" s="45"/>
      <x:c r="AS2" s="45"/>
      <x:c r="AT2" s="45"/>
      <x:c r="AU2" s="45"/>
      <x:c r="AV2" s="45"/>
    </x:row>
    <x:row r="3" ht="54.75" hidden="0" customHeight="1">
      <x:c r="A3" s="95" t="s">
        <x:v>97</x:v>
      </x:c>
      <x:c r="B3" s="95" t="s">
        <x:v>529</x:v>
      </x:c>
      <x:c r="C3" s="95" t="s">
        <x:v>94</x:v>
      </x:c>
      <x:c r="D3" s="95" t="s">
        <x:v>1188</x:v>
      </x:c>
      <x:c r="E3" s="95" t="s">
        <x:v>1189</x:v>
      </x:c>
      <x:c r="F3" s="95" t="s">
        <x:v>1190</x:v>
      </x:c>
      <x:c r="G3" s="95" t="s">
        <x:v>1191</x:v>
      </x:c>
      <x:c r="H3" s="95" t="s">
        <x:v>1192</x:v>
      </x:c>
      <x:c r="I3" s="95" t="s">
        <x:v>1193</x:v>
      </x:c>
      <x:c r="J3" s="95" t="s">
        <x:v>1194</x:v>
      </x:c>
      <x:c r="K3" s="95" t="s">
        <x:v>1195</x:v>
      </x:c>
      <x:c r="L3" s="95" t="s">
        <x:v>1196</x:v>
      </x:c>
      <x:c r="M3" s="95" t="s">
        <x:v>1197</x:v>
      </x:c>
      <x:c r="N3" s="95" t="s">
        <x:v>1198</x:v>
      </x:c>
      <x:c r="O3" s="95" t="s">
        <x:v>1199</x:v>
      </x:c>
      <x:c r="P3" s="95" t="s">
        <x:v>1200</x:v>
      </x:c>
      <x:c r="Q3" s="95" t="s">
        <x:v>1201</x:v>
      </x:c>
      <x:c r="R3" s="95" t="s">
        <x:v>1202</x:v>
      </x:c>
      <x:c r="S3" s="95" t="s">
        <x:v>1203</x:v>
      </x:c>
      <x:c r="T3" s="95" t="s">
        <x:v>1204</x:v>
      </x:c>
      <x:c r="U3" s="95" t="s">
        <x:v>1205</x:v>
      </x:c>
      <x:c r="V3" s="95" t="s">
        <x:v>1206</x:v>
      </x:c>
      <x:c r="W3" s="95" t="s">
        <x:v>1207</x:v>
      </x:c>
      <x:c r="X3" s="95" t="s">
        <x:v>1208</x:v>
      </x:c>
      <x:c r="Y3" s="95" t="s">
        <x:v>1209</x:v>
      </x:c>
      <x:c r="Z3" s="95" t="s">
        <x:v>1210</x:v>
      </x:c>
      <x:c r="AA3" s="95" t="s">
        <x:v>1211</x:v>
      </x:c>
      <x:c r="AB3" s="95" t="s">
        <x:v>1212</x:v>
      </x:c>
      <x:c r="AC3" s="95" t="s">
        <x:v>1213</x:v>
      </x:c>
      <x:c r="AD3" s="95" t="s">
        <x:v>1214</x:v>
      </x:c>
      <x:c r="AE3" s="95" t="s">
        <x:v>1215</x:v>
      </x:c>
      <x:c r="AF3" s="95" t="s">
        <x:v>1216</x:v>
      </x:c>
      <x:c r="AG3" s="95" t="s">
        <x:v>1217</x:v>
      </x:c>
      <x:c r="AH3" s="95" t="s">
        <x:v>1218</x:v>
      </x:c>
      <x:c r="AI3" s="95" t="s">
        <x:v>1219</x:v>
      </x:c>
      <x:c r="AJ3" s="95" t="s">
        <x:v>1220</x:v>
      </x:c>
      <x:c r="AK3" s="95" t="s">
        <x:v>1221</x:v>
      </x:c>
      <x:c r="AL3" s="95" t="s">
        <x:v>1222</x:v>
      </x:c>
      <x:c r="AM3" s="95" t="s">
        <x:v>1223</x:v>
      </x:c>
      <x:c r="AN3" s="95" t="s">
        <x:v>1224</x:v>
      </x:c>
      <x:c r="AO3" s="95" t="s">
        <x:v>1225</x:v>
      </x:c>
      <x:c r="AP3" s="95" t="s">
        <x:v>1226</x:v>
      </x:c>
      <x:c r="AQ3" s="95" t="s">
        <x:v>1227</x:v>
      </x:c>
      <x:c r="AR3" s="95" t="s">
        <x:v>1228</x:v>
      </x:c>
      <x:c r="AS3" s="95" t="s">
        <x:v>1229</x:v>
      </x:c>
      <x:c r="AT3" s="95" t="s">
        <x:v>1230</x:v>
      </x:c>
      <x:c r="AU3" s="95" t="s">
        <x:v>1231</x:v>
      </x:c>
      <x:c r="AV3" s="95" t="s">
        <x:v>148</x:v>
      </x:c>
    </x:row>
    <x:row r="4" ht="15" hidden="0" customHeight="1">
      <x:c r="A4" s="37" t="s">
        <x:v>111</x:v>
      </x:c>
      <x:c r="B4" s="37" t="n">
        <x:v>2020</x:v>
      </x:c>
      <x:c r="C4" s="167" t="n">
        <x:f aca="0">SUMIFS(S17_Biome_Strata!$F$4:$F$95,S17_Biome_Strata!$A$4:$A$95,"Tropical &amp; Subtropical Dry Broadleaf Forests",S17_Biome_Strata!$B$4:$B$95,$A4,S17_Biome_Strata!$D$4:$D$95,$B4)</x:f>
        <x:v>248.70281452853112</x:v>
      </x:c>
      <x:c r="D4" s="167" t="n">
        <x:f aca="0">S09_PB_Input!H12</x:f>
        <x:v>0.19161300424745234</x:v>
      </x:c>
      <x:c r="E4" s="168" t="str">
        <x:f aca="0">S09_PB_Input!I12</x:f>
        <x:v>VM0047 v1.1 Appendix 1: Z-test significant; PB_t = ΔSI_control / ΔSI_wp (Eq. A8). Source: 20260814_304027_GKF_ProjectPlots_PB.xlsx.</x:v>
      </x:c>
      <x:c r="F4" s="167" t="n">
        <x:f aca="0">SUMIFS(S17_Biome_Strata!$AL$4:$AL$95,S17_Biome_Strata!$A$4:$A$95,"Tropical &amp; Subtropical Dry Broadleaf Forests",S17_Biome_Strata!$B$4:$B$95,$A4,S17_Biome_Strata!$D$4:$D$95,$B4)</x:f>
        <x:v>0</x:v>
      </x:c>
      <x:c r="G4" s="167" t="n">
        <x:f aca="0">SUMIFS(S17_Biome_Strata!$AM$4:$AM$95,S17_Biome_Strata!$A$4:$A$95,"Tropical &amp; Subtropical Dry Broadleaf Forests",S17_Biome_Strata!$B$4:$B$95,$A4,S17_Biome_Strata!$D$4:$D$95,$B4)</x:f>
        <x:v>13.042185274631684</x:v>
      </x:c>
      <x:c r="H4" s="167" t="n">
        <x:f aca="0">SUMIFS(S17_Biome_Strata!$AN$4:$AN$95,S17_Biome_Strata!$A$4:$A$95,"Tropical &amp; Subtropical Dry Broadleaf Forests",S17_Biome_Strata!$B$4:$B$95,$A4,S17_Biome_Strata!$D$4:$D$95,$B4)</x:f>
        <x:v>157.0525863216919</x:v>
      </x:c>
      <x:c r="I4" s="167" t="n">
        <x:f aca="0">SUMIFS(S17_Biome_Strata!$AO$4:$AO$95,S17_Biome_Strata!$A$4:$A$95,"Tropical &amp; Subtropical Dry Broadleaf Forests",S17_Biome_Strata!$B$4:$B$95,$A4,S17_Biome_Strata!$D$4:$D$95,$B4)</x:f>
        <x:v>600.0993447496417</x:v>
      </x:c>
      <x:c r="J4" s="167" t="n">
        <x:f aca="0">SUMIFS(S17_Biome_Strata!$AP$4:$AP$95,S17_Biome_Strata!$A$4:$A$95,"Tropical &amp; Subtropical Dry Broadleaf Forests",S17_Biome_Strata!$B$4:$B$95,$A4,S17_Biome_Strata!$D$4:$D$95,$B4)</x:f>
        <x:v>1448.9828423719157</x:v>
      </x:c>
      <x:c r="K4" s="167" t="n">
        <x:f aca="0">SUMIFS(S17_Biome_Strata!$AQ$4:$AQ$95,S17_Biome_Strata!$A$4:$A$95,"Tropical &amp; Subtropical Dry Broadleaf Forests",S17_Biome_Strata!$B$4:$B$95,$A4,S17_Biome_Strata!$D$4:$D$95,$B4)</x:f>
        <x:v>2716.7705521676744</x:v>
      </x:c>
      <x:c r="L4" s="167" t="n">
        <x:f aca="0">SUMIFS(S17_Biome_Strata!$AR$4:$AR$95,S17_Biome_Strata!$A$4:$A$95,"Tropical &amp; Subtropical Dry Broadleaf Forests",S17_Biome_Strata!$B$4:$B$95,$A4,S17_Biome_Strata!$D$4:$D$95,$B4)</x:f>
        <x:v>4354.69336287987</x:v>
      </x:c>
      <x:c r="M4" s="167" t="n">
        <x:f aca="0">SUMIFS(S17_Biome_Strata!$AS$4:$AS$95,S17_Biome_Strata!$A$4:$A$95,"Tropical &amp; Subtropical Dry Broadleaf Forests",S17_Biome_Strata!$B$4:$B$95,$A4,S17_Biome_Strata!$D$4:$D$95,$B4)</x:f>
        <x:v>6280.545532543081</x:v>
      </x:c>
      <x:c r="N4" s="167" t="n">
        <x:f aca="0">SUMIFS(S17_Biome_Strata!$AT$4:$AT$95,S17_Biome_Strata!$A$4:$A$95,"Tropical &amp; Subtropical Dry Broadleaf Forests",S17_Biome_Strata!$B$4:$B$95,$A4,S17_Biome_Strata!$D$4:$D$95,$B4)</x:f>
        <x:v>8401.923781253901</x:v>
      </x:c>
      <x:c r="O4" s="167" t="n">
        <x:f aca="0">SUMIFS(S17_Biome_Strata!$AU$4:$AU$95,S17_Biome_Strata!$A$4:$A$95,"Tropical &amp; Subtropical Dry Broadleaf Forests",S17_Biome_Strata!$B$4:$B$95,$A4,S17_Biome_Strata!$D$4:$D$95,$B4)</x:f>
        <x:v>10630.882694698921</x:v>
      </x:c>
      <x:c r="P4" s="167" t="n">
        <x:f aca="0">SUMIFS(S17_Biome_Strata!$AV$4:$AV$95,S17_Biome_Strata!$A$4:$A$95,"Tropical &amp; Subtropical Dry Broadleaf Forests",S17_Biome_Strata!$B$4:$B$95,$A4,S17_Biome_Strata!$D$4:$D$95,$B4)</x:f>
        <x:v>12891.601893945479</x:v>
      </x:c>
      <x:c r="Q4" s="167" t="n">
        <x:f aca="0">SUMIFS(S17_Biome_Strata!$AW$4:$AW$95,S17_Biome_Strata!$A$4:$A$95,"Tropical &amp; Subtropical Dry Broadleaf Forests",S17_Biome_Strata!$B$4:$B$95,$A4,S17_Biome_Strata!$D$4:$D$95,$B4)</x:f>
        <x:v>15123.287668842184</x:v>
      </x:c>
      <x:c r="R4" s="167" t="n">
        <x:f aca="0">SUMIFS(S17_Biome_Strata!$AX$4:$AX$95,S17_Biome_Strata!$A$4:$A$95,"Tropical &amp; Subtropical Dry Broadleaf Forests",S17_Biome_Strata!$B$4:$B$95,$A4,S17_Biome_Strata!$D$4:$D$95,$B4)</x:f>
        <x:v>17280.199942818435</x:v>
      </x:c>
      <x:c r="S4" s="167" t="n">
        <x:f aca="0">SUMIFS(S17_Biome_Strata!$AY$4:$AY$95,S17_Biome_Strata!$A$4:$A$95,"Tropical &amp; Subtropical Dry Broadleaf Forests",S17_Biome_Strata!$B$4:$B$95,$A4,S17_Biome_Strata!$D$4:$D$95,$B4)</x:f>
        <x:v>19330.158138642975</x:v>
      </x:c>
      <x:c r="T4" s="167" t="n">
        <x:f aca="0">SUMIFS(S17_Biome_Strata!$AZ$4:$AZ$95,S17_Biome_Strata!$A$4:$A$95,"Tropical &amp; Subtropical Dry Broadleaf Forests",S17_Biome_Strata!$B$4:$B$95,$A4,S17_Biome_Strata!$D$4:$D$95,$B4)</x:f>
        <x:v>21252.400691330717</x:v>
      </x:c>
      <x:c r="U4" s="167" t="n">
        <x:f aca="0">SUMIFS(S17_Biome_Strata!$BA$4:$BA$95,S17_Biome_Strata!$A$4:$A$95,"Tropical &amp; Subtropical Dry Broadleaf Forests",S17_Biome_Strata!$B$4:$B$95,$A4,S17_Biome_Strata!$D$4:$D$95,$B4)</x:f>
        <x:v>23035.317170448758</x:v>
      </x:c>
      <x:c r="V4" s="167" t="n">
        <x:f aca="0">SUMIFS(S17_Biome_Strata!$BB$4:$BB$95,S17_Biome_Strata!$A$4:$A$95,"Tropical &amp; Subtropical Dry Broadleaf Forests",S17_Biome_Strata!$B$4:$B$95,$A4,S17_Biome_Strata!$D$4:$D$95,$B4)</x:f>
        <x:v>24674.331936535324</x:v>
      </x:c>
      <x:c r="W4" s="167" t="n">
        <x:f aca="0">SUMIFS(S17_Biome_Strata!$BC$4:$BC$95,S17_Biome_Strata!$A$4:$A$95,"Tropical &amp; Subtropical Dry Broadleaf Forests",S17_Biome_Strata!$B$4:$B$95,$A4,S17_Biome_Strata!$D$4:$D$95,$B4)</x:f>
        <x:v>26170.067140234343</x:v>
      </x:c>
      <x:c r="X4" s="167" t="n">
        <x:f aca="0">SUMIFS(S17_Biome_Strata!$BD$4:$BD$95,S17_Biome_Strata!$A$4:$A$95,"Tropical &amp; Subtropical Dry Broadleaf Forests",S17_Biome_Strata!$B$4:$B$95,$A4,S17_Biome_Strata!$D$4:$D$95,$B4)</x:f>
        <x:v>27526.82368265076</x:v>
      </x:c>
      <x:c r="Y4" s="167" t="n">
        <x:f aca="0">SUMIFS(S17_Biome_Strata!$BE$4:$BE$95,S17_Biome_Strata!$A$4:$A$95,"Tropical &amp; Subtropical Dry Broadleaf Forests",S17_Biome_Strata!$B$4:$B$95,$A4,S17_Biome_Strata!$D$4:$D$95,$B4)</x:f>
        <x:v>28751.37004864256</x:v>
      </x:c>
      <x:c r="Z4" s="167" t="n">
        <x:f aca="0">SUMIFS(S17_Biome_Strata!$BF$4:$BF$95,S17_Biome_Strata!$A$4:$A$95,"Tropical &amp; Subtropical Dry Broadleaf Forests",S17_Biome_Strata!$B$4:$B$95,$A4,S17_Biome_Strata!$D$4:$D$95,$B4)</x:f>
        <x:v>29852.00536729267</x:v>
      </x:c>
      <x:c r="AA4" s="167" t="n">
        <x:f aca="0">F4*(1-$D4)</x:f>
        <x:v>0</x:v>
      </x:c>
      <x:c r="AB4" s="167" t="n">
        <x:f aca="0">G4*(1-$D4)</x:f>
        <x:v>10.543132972207623</x:v>
      </x:c>
      <x:c r="AC4" s="167" t="n">
        <x:f aca="0">H4*(1-$D4)</x:f>
        <x:v>126.95926843176018</x:v>
      </x:c>
      <x:c r="AD4" s="167" t="n">
        <x:f aca="0">I4*(1-$D4)</x:f>
        <x:v>485.11250645523523</x:v>
      </x:c>
      <x:c r="AE4" s="167" t="n">
        <x:f aca="0">J4*(1-$D4)</x:f>
        <x:v>1171.3388868420202</x:v>
      </x:c>
      <x:c r="AF4" s="167" t="n">
        <x:f aca="0">K4*(1-$D4)</x:f>
        <x:v>2196.2019848158166</x:v>
      </x:c>
      <x:c r="AG4" s="167" t="n">
        <x:f aca="0">L4*(1-$D4)</x:f>
        <x:v>3520.277485042017</x:v>
      </x:c>
      <x:c r="AH4" s="167" t="n">
        <x:f aca="0">M4*(1-$D4)</x:f>
        <x:v>5077.111334739586</x:v>
      </x:c>
      <x:c r="AI4" s="167" t="n">
        <x:f aca="0">N4*(1-$D4)</x:f>
        <x:v>6792.005924069727</x:v>
      </x:c>
      <x:c r="AJ4" s="167" t="n">
        <x:f aca="0">O4*(1-$D4)</x:f>
        <x:v>8593.86732376541</x:v>
      </x:c>
      <x:c r="AK4" s="167" t="n">
        <x:f aca="0">P4*(1-$D4)</x:f>
        <x:v>10421.40332548444</x:v>
      </x:c>
      <x:c r="AL4" s="167" t="n">
        <x:f aca="0">Q4*(1-$D4)</x:f>
        <x:v>12225.469084516883</x:v>
      </x:c>
      <x:c r="AM4" s="167" t="n">
        <x:f aca="0">R4*(1-$D4)</x:f>
        <x:v>13969.088917778341</x:v>
      </x:c>
      <x:c r="AN4" s="167" t="n">
        <x:f aca="0">S4*(1-$D4)</x:f>
        <x:v>15626.248465119254</x:v>
      </x:c>
      <x:c r="AO4" s="167" t="n">
        <x:f aca="0">T4*(1-$D4)</x:f>
        <x:v>17180.164347394206</x:v>
      </x:c>
      <x:c r="AP4" s="167" t="n">
        <x:f aca="0">U4*(1-$D4)</x:f>
        <x:v>18621.45084362615</x:v>
      </x:c>
      <x:c r="AQ4" s="167" t="n">
        <x:f aca="0">V4*(1-$D4)</x:f>
        <x:v>19946.40906637693</x:v>
      </x:c>
      <x:c r="AR4" s="167" t="n">
        <x:f aca="0">W4*(1-$D4)</x:f>
        <x:v>21155.541954136508</x:v>
      </x:c>
      <x:c r="AS4" s="167" t="n">
        <x:f aca="0">X4*(1-$D4)</x:f>
        <x:v>22252.32629942813</x:v>
      </x:c>
      <x:c r="AT4" s="167" t="n">
        <x:f aca="0">Y4*(1-$D4)</x:f>
        <x:v>23242.23365739194</x:v>
      </x:c>
      <x:c r="AU4" s="167" t="n">
        <x:f aca="0">Z4*(1-$D4)</x:f>
        <x:v>24131.97293605465</x:v>
      </x:c>
      <x:c r="AV4" s="37" t="str">
        <x:v>Formula-derived: S17_Biome_Strata row gross stock = eligible area × S15_Source_Strata stock/ha; S15_Source_Strata stock = cohort-aligned Chapman-Richards D/H → Chave AGB → conservative calibration → CF × (1+R) × 44/12. PB applied separately by Biome × Cohort.</x:v>
      </x:c>
    </x:row>
    <x:row r="5" ht="15" hidden="0" customHeight="1">
      <x:c r="A5" s="37" t="s">
        <x:v>111</x:v>
      </x:c>
      <x:c r="B5" s="37" t="n">
        <x:v>2021</x:v>
      </x:c>
      <x:c r="C5" s="167" t="n">
        <x:f aca="0">SUMIFS(S17_Biome_Strata!$F$4:$F$95,S17_Biome_Strata!$A$4:$A$95,"Tropical &amp; Subtropical Dry Broadleaf Forests",S17_Biome_Strata!$B$4:$B$95,$A5,S17_Biome_Strata!$D$4:$D$95,$B5)</x:f>
        <x:v>71.2978</x:v>
      </x:c>
      <x:c r="D5" s="167" t="n">
        <x:f aca="0">S09_PB_Input!H13</x:f>
        <x:v>0.19161300424745234</x:v>
      </x:c>
      <x:c r="E5" s="168" t="str">
        <x:f aca="0">S09_PB_Input!I13</x:f>
        <x:v>VM0047 v1.1 Appendix 1: Z-test significant; PB_t = ΔSI_control / ΔSI_wp (Eq. A8). Source: 20260814_304027_GKF_ProjectPlots_PB.xlsx.</x:v>
      </x:c>
      <x:c r="F5" s="167" t="n">
        <x:f aca="0">SUMIFS(S17_Biome_Strata!$AL$4:$AL$95,S17_Biome_Strata!$A$4:$A$95,"Tropical &amp; Subtropical Dry Broadleaf Forests",S17_Biome_Strata!$B$4:$B$95,$A5,S17_Biome_Strata!$D$4:$D$95,$B5)</x:f>
        <x:v>0</x:v>
      </x:c>
      <x:c r="G5" s="167" t="n">
        <x:f aca="0">SUMIFS(S17_Biome_Strata!$AM$4:$AM$95,S17_Biome_Strata!$A$4:$A$95,"Tropical &amp; Subtropical Dry Broadleaf Forests",S17_Biome_Strata!$B$4:$B$95,$A5,S17_Biome_Strata!$D$4:$D$95,$B5)</x:f>
        <x:v>0</x:v>
      </x:c>
      <x:c r="H5" s="167" t="n">
        <x:f aca="0">SUMIFS(S17_Biome_Strata!$AN$4:$AN$95,S17_Biome_Strata!$A$4:$A$95,"Tropical &amp; Subtropical Dry Broadleaf Forests",S17_Biome_Strata!$B$4:$B$95,$A5,S17_Biome_Strata!$D$4:$D$95,$B5)</x:f>
        <x:v>4.305160049667004</x:v>
      </x:c>
      <x:c r="I5" s="167" t="n">
        <x:f aca="0">SUMIFS(S17_Biome_Strata!$AO$4:$AO$95,S17_Biome_Strata!$A$4:$A$95,"Tropical &amp; Subtropical Dry Broadleaf Forests",S17_Biome_Strata!$B$4:$B$95,$A5,S17_Biome_Strata!$D$4:$D$95,$B5)</x:f>
        <x:v>52.137188294694525</x:v>
      </x:c>
      <x:c r="J5" s="167" t="n">
        <x:f aca="0">SUMIFS(S17_Biome_Strata!$AP$4:$AP$95,S17_Biome_Strata!$A$4:$A$95,"Tropical &amp; Subtropical Dry Broadleaf Forests",S17_Biome_Strata!$B$4:$B$95,$A5,S17_Biome_Strata!$D$4:$D$95,$B5)</x:f>
        <x:v>199.43566281247288</x:v>
      </x:c>
      <x:c r="K5" s="167" t="n">
        <x:f aca="0">SUMIFS(S17_Biome_Strata!$AQ$4:$AQ$95,S17_Biome_Strata!$A$4:$A$95,"Tropical &amp; Subtropical Dry Broadleaf Forests",S17_Biome_Strata!$B$4:$B$95,$A5,S17_Biome_Strata!$D$4:$D$95,$B5)</x:f>
        <x:v>481.28982774148363</x:v>
      </x:c>
      <x:c r="L5" s="167" t="n">
        <x:f aca="0">SUMIFS(S17_Biome_Strata!$AR$4:$AR$95,S17_Biome_Strata!$A$4:$A$95,"Tropical &amp; Subtropical Dry Broadleaf Forests",S17_Biome_Strata!$B$4:$B$95,$A5,S17_Biome_Strata!$D$4:$D$95,$B5)</x:f>
        <x:v>901.2958330448498</x:v>
      </x:c>
      <x:c r="M5" s="167" t="n">
        <x:f aca="0">SUMIFS(S17_Biome_Strata!$AS$4:$AS$95,S17_Biome_Strata!$A$4:$A$95,"Tropical &amp; Subtropical Dry Broadleaf Forests",S17_Biome_Strata!$B$4:$B$95,$A5,S17_Biome_Strata!$D$4:$D$95,$B5)</x:f>
        <x:v>1442.5583144811917</x:v>
      </x:c>
      <x:c r="N5" s="167" t="n">
        <x:f aca="0">SUMIFS(S17_Biome_Strata!$AT$4:$AT$95,S17_Biome_Strata!$A$4:$A$95,"Tropical &amp; Subtropical Dry Broadleaf Forests",S17_Biome_Strata!$B$4:$B$95,$A5,S17_Biome_Strata!$D$4:$D$95,$B5)</x:f>
        <x:v>2077.372479813961</x:v>
      </x:c>
      <x:c r="O5" s="167" t="n">
        <x:f aca="0">SUMIFS(S17_Biome_Strata!$AU$4:$AU$95,S17_Biome_Strata!$A$4:$A$95,"Tropical &amp; Subtropical Dry Broadleaf Forests",S17_Biome_Strata!$B$4:$B$95,$A5,S17_Biome_Strata!$D$4:$D$95,$B5)</x:f>
        <x:v>2774.9928584685804</x:v>
      </x:c>
      <x:c r="P5" s="167" t="n">
        <x:f aca="0">SUMIFS(S17_Biome_Strata!$AV$4:$AV$95,S17_Biome_Strata!$A$4:$A$95,"Tropical &amp; Subtropical Dry Broadleaf Forests",S17_Biome_Strata!$B$4:$B$95,$A5,S17_Biome_Strata!$D$4:$D$95,$B5)</x:f>
        <x:v>3506.4332986858094</x:v>
      </x:c>
      <x:c r="Q5" s="167" t="n">
        <x:f aca="0">SUMIFS(S17_Biome_Strata!$AW$4:$AW$95,S17_Biome_Strata!$A$4:$A$95,"Tropical &amp; Subtropical Dry Broadleaf Forests",S17_Biome_Strata!$B$4:$B$95,$A5,S17_Biome_Strata!$D$4:$D$95,$B5)</x:f>
        <x:v>4246.906478501405</x:v>
      </x:c>
      <x:c r="R5" s="167" t="n">
        <x:f aca="0">SUMIFS(S17_Biome_Strata!$AX$4:$AX$95,S17_Biome_Strata!$A$4:$A$95,"Tropical &amp; Subtropical Dry Broadleaf Forests",S17_Biome_Strata!$B$4:$B$95,$A5,S17_Biome_Strata!$D$4:$D$95,$B5)</x:f>
        <x:v>4976.687414706343</x:v>
      </x:c>
      <x:c r="S5" s="167" t="n">
        <x:f aca="0">SUMIFS(S17_Biome_Strata!$AY$4:$AY$95,S17_Biome_Strata!$A$4:$A$95,"Tropical &amp; Subtropical Dry Broadleaf Forests",S17_Biome_Strata!$B$4:$B$95,$A5,S17_Biome_Strata!$D$4:$D$95,$B5)</x:f>
        <x:v>5681.047811233932</x:v>
      </x:c>
      <x:c r="T5" s="167" t="n">
        <x:f aca="0">SUMIFS(S17_Biome_Strata!$AZ$4:$AZ$95,S17_Biome_Strata!$A$4:$A$95,"Tropical &amp; Subtropical Dry Broadleaf Forests",S17_Biome_Strata!$B$4:$B$95,$A5,S17_Biome_Strata!$D$4:$D$95,$B5)</x:f>
        <x:v>6349.713383647747</x:v>
      </x:c>
      <x:c r="U5" s="167" t="n">
        <x:f aca="0">SUMIFS(S17_Biome_Strata!$BA$4:$BA$95,S17_Biome_Strata!$A$4:$A$95,"Tropical &amp; Subtropical Dry Broadleaf Forests",S17_Biome_Strata!$B$4:$B$95,$A5,S17_Biome_Strata!$D$4:$D$95,$B5)</x:f>
        <x:v>6976.129924589377</x:v>
      </x:c>
      <x:c r="V5" s="167" t="n">
        <x:f aca="0">SUMIFS(S17_Biome_Strata!$BB$4:$BB$95,S17_Biome_Strata!$A$4:$A$95,"Tropical &amp; Subtropical Dry Broadleaf Forests",S17_Biome_Strata!$B$4:$B$95,$A5,S17_Biome_Strata!$D$4:$D$95,$B5)</x:f>
        <x:v>7556.703674523035</x:v>
      </x:c>
      <x:c r="W5" s="167" t="n">
        <x:f aca="0">SUMIFS(S17_Biome_Strata!$BC$4:$BC$95,S17_Biome_Strata!$A$4:$A$95,"Tropical &amp; Subtropical Dry Broadleaf Forests",S17_Biome_Strata!$B$4:$B$95,$A5,S17_Biome_Strata!$D$4:$D$95,$B5)</x:f>
        <x:v>8090.102360542156</x:v>
      </x:c>
      <x:c r="X5" s="167" t="n">
        <x:f aca="0">SUMIFS(S17_Biome_Strata!$BD$4:$BD$95,S17_Biome_Strata!$A$4:$A$95,"Tropical &amp; Subtropical Dry Broadleaf Forests",S17_Biome_Strata!$B$4:$B$95,$A5,S17_Biome_Strata!$D$4:$D$95,$B5)</x:f>
        <x:v>8576.654508652802</x:v>
      </x:c>
      <x:c r="Y5" s="167" t="n">
        <x:f aca="0">SUMIFS(S17_Biome_Strata!$BE$4:$BE$95,S17_Biome_Strata!$A$4:$A$95,"Tropical &amp; Subtropical Dry Broadleaf Forests",S17_Biome_Strata!$B$4:$B$95,$A5,S17_Biome_Strata!$D$4:$D$95,$B5)</x:f>
        <x:v>9017.856528066752</x:v>
      </x:c>
      <x:c r="Z5" s="167" t="n">
        <x:f aca="0">SUMIFS(S17_Biome_Strata!$BF$4:$BF$95,S17_Biome_Strata!$A$4:$A$95,"Tropical &amp; Subtropical Dry Broadleaf Forests",S17_Biome_Strata!$B$4:$B$95,$A5,S17_Biome_Strata!$D$4:$D$95,$B5)</x:f>
        <x:v>9415.982151267704</x:v>
      </x:c>
      <x:c r="AA5" s="167" t="n">
        <x:f aca="0">F5*(1-$D5)</x:f>
        <x:v>0</x:v>
      </x:c>
      <x:c r="AB5" s="167" t="n">
        <x:f aca="0">G5*(1-$D5)</x:f>
        <x:v>0</x:v>
      </x:c>
      <x:c r="AC5" s="167" t="n">
        <x:f aca="0">H5*(1-$D5)</x:f>
        <x:v>3.480235398784198</x:v>
      </x:c>
      <x:c r="AD5" s="167" t="n">
        <x:f aca="0">I5*(1-$D5)</x:f>
        <x:v>42.147025012533</x:v>
      </x:c>
      <x:c r="AE5" s="167" t="n">
        <x:f aca="0">J5*(1-$D5)</x:f>
        <x:v>161.22119630689306</x:v>
      </x:c>
      <x:c r="AF5" s="167" t="n">
        <x:f aca="0">K5*(1-$D5)</x:f>
        <x:v>389.06843793419915</x:v>
      </x:c>
      <x:c r="AG5" s="167" t="n">
        <x:f aca="0">L5*(1-$D5)</x:f>
        <x:v>728.5958307594159</x:v>
      </x:c>
      <x:c r="AH5" s="167" t="n">
        <x:f aca="0">M5*(1-$D5)</x:f>
        <x:v>1166.1453820413094</x:v>
      </x:c>
      <x:c r="AI5" s="167" t="n">
        <x:f aca="0">N5*(1-$D5)</x:f>
        <x:v>1679.3208980158279</x:v>
      </x:c>
      <x:c r="AJ5" s="167" t="n">
        <x:f aca="0">O5*(1-$D5)</x:f>
        <x:v>2243.2681400921906</x:v>
      </x:c>
      <x:c r="AK5" s="167" t="n">
        <x:f aca="0">P5*(1-$D5)</x:f>
        <x:v>2834.555080131317</x:v>
      </x:c>
      <x:c r="AL5" s="167" t="n">
        <x:f aca="0">Q5*(1-$D5)</x:f>
        <x:v>3433.1439693977827</x:v>
      </x:c>
      <x:c r="AM5" s="167" t="n">
        <x:f aca="0">R5*(1-$D5)</x:f>
        <x:v>4023.0893879739738</x:v>
      </x:c>
      <x:c r="AN5" s="167" t="n">
        <x:f aca="0">S5*(1-$D5)</x:f>
        <x:v>4592.485172849985</x:v>
      </x:c>
      <x:c r="AO5" s="167" t="n">
        <x:f aca="0">T5*(1-$D5)</x:f>
        <x:v>5133.025726096746</x:v>
      </x:c>
      <x:c r="AP5" s="167" t="n">
        <x:f aca="0">U5*(1-$D5)</x:f>
        <x:v>5639.412711718253</x:v>
      </x:c>
      <x:c r="AQ5" s="167" t="n">
        <x:f aca="0">V5*(1-$D5)</x:f>
        <x:v>6108.740981239915</x:v>
      </x:c>
      <x:c r="AR5" s="167" t="n">
        <x:f aca="0">W5*(1-$D5)</x:f>
        <x:v>6539.933542569268</x:v>
      </x:c>
      <x:c r="AS5" s="167" t="n">
        <x:f aca="0">X5*(1-$D5)</x:f>
        <x:v>6933.255971857382</x:v>
      </x:c>
      <x:c r="AT5" s="167" t="n">
        <x:f aca="0">Y5*(1-$D5)</x:f>
        <x:v>7289.917946851381</x:v>
      </x:c>
      <x:c r="AU5" s="167" t="n">
        <x:f aca="0">Z5*(1-$D5)</x:f>
        <x:v>7611.757523322911</x:v>
      </x:c>
      <x:c r="AV5" s="37" t="str">
        <x:v>Formula-derived: S17_Biome_Strata row gross stock = eligible area × S15_Source_Strata stock/ha; S15_Source_Strata stock = cohort-aligned Chapman-Richards D/H → Chave AGB → conservative calibration → CF × (1+R) × 44/12. PB applied separately by Biome × Cohort.</x:v>
      </x:c>
    </x:row>
    <x:row r="6" ht="15" hidden="0" customHeight="1">
      <x:c r="A6" s="37" t="s">
        <x:v>111</x:v>
      </x:c>
      <x:c r="B6" s="37" t="n">
        <x:v>2022</x:v>
      </x:c>
      <x:c r="C6" s="167" t="n">
        <x:f aca="0">SUMIFS(S17_Biome_Strata!$F$4:$F$95,S17_Biome_Strata!$A$4:$A$95,"Tropical &amp; Subtropical Dry Broadleaf Forests",S17_Biome_Strata!$B$4:$B$95,$A6,S17_Biome_Strata!$D$4:$D$95,$B6)</x:f>
        <x:v>76.8611586402267</x:v>
      </x:c>
      <x:c r="D6" s="167" t="n">
        <x:f aca="0">S09_PB_Input!H14</x:f>
        <x:v>0.19161300424745234</x:v>
      </x:c>
      <x:c r="E6" s="168" t="str">
        <x:f aca="0">S09_PB_Input!I14</x:f>
        <x:v>VM0047 v1.1 Appendix 1: Z-test significant; PB_t = ΔSI_control / ΔSI_wp (Eq. A8). Source: 20260814_304027_GKF_ProjectPlots_PB.xlsx.</x:v>
      </x:c>
      <x:c r="F6" s="167" t="n">
        <x:f aca="0">SUMIFS(S17_Biome_Strata!$AL$4:$AL$95,S17_Biome_Strata!$A$4:$A$95,"Tropical &amp; Subtropical Dry Broadleaf Forests",S17_Biome_Strata!$B$4:$B$95,$A6,S17_Biome_Strata!$D$4:$D$95,$B6)</x:f>
        <x:v>0</x:v>
      </x:c>
      <x:c r="G6" s="167" t="n">
        <x:f aca="0">SUMIFS(S17_Biome_Strata!$AM$4:$AM$95,S17_Biome_Strata!$A$4:$A$95,"Tropical &amp; Subtropical Dry Broadleaf Forests",S17_Biome_Strata!$B$4:$B$95,$A6,S17_Biome_Strata!$D$4:$D$95,$B6)</x:f>
        <x:v>0</x:v>
      </x:c>
      <x:c r="H6" s="167" t="n">
        <x:f aca="0">SUMIFS(S17_Biome_Strata!$AN$4:$AN$95,S17_Biome_Strata!$A$4:$A$95,"Tropical &amp; Subtropical Dry Broadleaf Forests",S17_Biome_Strata!$B$4:$B$95,$A6,S17_Biome_Strata!$D$4:$D$95,$B6)</x:f>
        <x:v>0</x:v>
      </x:c>
      <x:c r="I6" s="167" t="n">
        <x:f aca="0">SUMIFS(S17_Biome_Strata!$AO$4:$AO$95,S17_Biome_Strata!$A$4:$A$95,"Tropical &amp; Subtropical Dry Broadleaf Forests",S17_Biome_Strata!$B$4:$B$95,$A6,S17_Biome_Strata!$D$4:$D$95,$B6)</x:f>
        <x:v>3.938170533592864</x:v>
      </x:c>
      <x:c r="J6" s="167" t="n">
        <x:f aca="0">SUMIFS(S17_Biome_Strata!$AP$4:$AP$95,S17_Biome_Strata!$A$4:$A$95,"Tropical &amp; Subtropical Dry Broadleaf Forests",S17_Biome_Strata!$B$4:$B$95,$A6,S17_Biome_Strata!$D$4:$D$95,$B6)</x:f>
        <x:v>47.37388325595497</x:v>
      </x:c>
      <x:c r="K6" s="167" t="n">
        <x:f aca="0">SUMIFS(S17_Biome_Strata!$AQ$4:$AQ$95,S17_Biome_Strata!$A$4:$A$95,"Tropical &amp; Subtropical Dry Broadleaf Forests",S17_Biome_Strata!$B$4:$B$95,$A6,S17_Biome_Strata!$D$4:$D$95,$B6)</x:f>
        <x:v>180.2822301986041</x:v>
      </x:c>
      <x:c r="L6" s="167" t="n">
        <x:f aca="0">SUMIFS(S17_Biome_Strata!$AR$4:$AR$95,S17_Biome_Strata!$A$4:$A$95,"Tropical &amp; Subtropical Dry Broadleaf Forests",S17_Biome_Strata!$B$4:$B$95,$A6,S17_Biome_Strata!$D$4:$D$95,$B6)</x:f>
        <x:v>433.12109206916807</x:v>
      </x:c>
      <x:c r="M6" s="167" t="n">
        <x:f aca="0">SUMIFS(S17_Biome_Strata!$AS$4:$AS$95,S17_Biome_Strata!$A$4:$A$95,"Tropical &amp; Subtropical Dry Broadleaf Forests",S17_Biome_Strata!$B$4:$B$95,$A6,S17_Biome_Strata!$D$4:$D$95,$B6)</x:f>
        <x:v>807.787225011259</x:v>
      </x:c>
      <x:c r="N6" s="167" t="n">
        <x:f aca="0">SUMIFS(S17_Biome_Strata!$AT$4:$AT$95,S17_Biome_Strata!$A$4:$A$95,"Tropical &amp; Subtropical Dry Broadleaf Forests",S17_Biome_Strata!$B$4:$B$95,$A6,S17_Biome_Strata!$D$4:$D$95,$B6)</x:f>
        <x:v>1288.0008878954065</x:v>
      </x:c>
      <x:c r="O6" s="167" t="n">
        <x:f aca="0">SUMIFS(S17_Biome_Strata!$AU$4:$AU$95,S17_Biome_Strata!$A$4:$A$95,"Tropical &amp; Subtropical Dry Broadleaf Forests",S17_Biome_Strata!$B$4:$B$95,$A6,S17_Biome_Strata!$D$4:$D$95,$B6)</x:f>
        <x:v>1848.2256888138054</x:v>
      </x:c>
      <x:c r="P6" s="167" t="n">
        <x:f aca="0">SUMIFS(S17_Biome_Strata!$AV$4:$AV$95,S17_Biome_Strata!$A$4:$A$95,"Tropical &amp; Subtropical Dry Broadleaf Forests",S17_Biome_Strata!$B$4:$B$95,$A6,S17_Biome_Strata!$D$4:$D$95,$B6)</x:f>
        <x:v>2460.6783652467925</x:v>
      </x:c>
      <x:c r="Q6" s="167" t="n">
        <x:f aca="0">SUMIFS(S17_Biome_Strata!$AW$4:$AW$95,S17_Biome_Strata!$A$4:$A$95,"Tropical &amp; Subtropical Dry Broadleaf Forests",S17_Biome_Strata!$B$4:$B$95,$A6,S17_Biome_Strata!$D$4:$D$95,$B6)</x:f>
        <x:v>3099.5613268869074</x:v>
      </x:c>
      <x:c r="R6" s="167" t="n">
        <x:f aca="0">SUMIFS(S17_Biome_Strata!$AX$4:$AX$95,S17_Biome_Strata!$A$4:$A$95,"Tropical &amp; Subtropical Dry Broadleaf Forests",S17_Biome_Strata!$B$4:$B$95,$A6,S17_Biome_Strata!$D$4:$D$95,$B6)</x:f>
        <x:v>3743.1325385444</x:v>
      </x:c>
      <x:c r="S6" s="167" t="n">
        <x:f aca="0">SUMIFS(S17_Biome_Strata!$AY$4:$AY$95,S17_Biome_Strata!$A$4:$A$95,"Tropical &amp; Subtropical Dry Broadleaf Forests",S17_Biome_Strata!$B$4:$B$95,$A6,S17_Biome_Strata!$D$4:$D$95,$B6)</x:f>
        <x:v>4374.359291757591</x:v>
      </x:c>
      <x:c r="T6" s="167" t="n">
        <x:f aca="0">SUMIFS(S17_Biome_Strata!$AZ$4:$AZ$95,S17_Biome_Strata!$A$4:$A$95,"Tropical &amp; Subtropical Dry Broadleaf Forests",S17_Biome_Strata!$B$4:$B$95,$A6,S17_Biome_Strata!$D$4:$D$95,$B6)</x:f>
        <x:v>4980.757522583212</x:v>
      </x:c>
      <x:c r="U6" s="167" t="n">
        <x:f aca="0">SUMIFS(S17_Biome_Strata!$BA$4:$BA$95,S17_Biome_Strata!$A$4:$A$95,"Tropical &amp; Subtropical Dry Broadleaf Forests",S17_Biome_Strata!$B$4:$B$95,$A6,S17_Biome_Strata!$D$4:$D$95,$B6)</x:f>
        <x:v>5553.829580493798</x:v>
      </x:c>
      <x:c r="V6" s="167" t="n">
        <x:f aca="0">SUMIFS(S17_Biome_Strata!$BB$4:$BB$95,S17_Biome_Strata!$A$4:$A$95,"Tropical &amp; Subtropical Dry Broadleaf Forests",S17_Biome_Strata!$B$4:$B$95,$A6,S17_Biome_Strata!$D$4:$D$95,$B6)</x:f>
        <x:v>6088.356211190045</x:v>
      </x:c>
      <x:c r="W6" s="167" t="n">
        <x:f aca="0">SUMIFS(S17_Biome_Strata!$BC$4:$BC$95,S17_Biome_Strata!$A$4:$A$95,"Tropical &amp; Subtropical Dry Broadleaf Forests",S17_Biome_Strata!$B$4:$B$95,$A6,S17_Biome_Strata!$D$4:$D$95,$B6)</x:f>
        <x:v>6581.6870534457485</x:v>
      </x:c>
      <x:c r="X6" s="167" t="n">
        <x:f aca="0">SUMIFS(S17_Biome_Strata!$BD$4:$BD$95,S17_Biome_Strata!$A$4:$A$95,"Tropical &amp; Subtropical Dry Broadleaf Forests",S17_Biome_Strata!$B$4:$B$95,$A6,S17_Biome_Strata!$D$4:$D$95,$B6)</x:f>
        <x:v>7033.101828054153</x:v>
      </x:c>
      <x:c r="Y6" s="167" t="n">
        <x:f aca="0">SUMIFS(S17_Biome_Strata!$BE$4:$BE$95,S17_Biome_Strata!$A$4:$A$95,"Tropical &amp; Subtropical Dry Broadleaf Forests",S17_Biome_Strata!$B$4:$B$95,$A6,S17_Biome_Strata!$D$4:$D$95,$B6)</x:f>
        <x:v>7443.27093277807</x:v>
      </x:c>
      <x:c r="Z6" s="167" t="n">
        <x:f aca="0">SUMIFS(S17_Biome_Strata!$BF$4:$BF$95,S17_Biome_Strata!$A$4:$A$95,"Tropical &amp; Subtropical Dry Broadleaf Forests",S17_Biome_Strata!$B$4:$B$95,$A6,S17_Biome_Strata!$D$4:$D$95,$B6)</x:f>
        <x:v>7813.819797729062</x:v>
      </x:c>
      <x:c r="AA6" s="167" t="n">
        <x:f aca="0">F6*(1-$D6)</x:f>
        <x:v>0</x:v>
      </x:c>
      <x:c r="AB6" s="167" t="n">
        <x:f aca="0">G6*(1-$D6)</x:f>
        <x:v>0</x:v>
      </x:c>
      <x:c r="AC6" s="167" t="n">
        <x:f aca="0">H6*(1-$D6)</x:f>
        <x:v>0</x:v>
      </x:c>
      <x:c r="AD6" s="167" t="n">
        <x:f aca="0">I6*(1-$D6)</x:f>
        <x:v>3.183565846412343</x:v>
      </x:c>
      <x:c r="AE6" s="167" t="n">
        <x:f aca="0">J6*(1-$D6)</x:f>
        <x:v>38.29643116241336</x:v>
      </x:c>
      <x:c r="AF6" s="167" t="n">
        <x:f aca="0">K6*(1-$D6)</x:f>
        <x:v>145.7378104578188</x:v>
      </x:c>
      <x:c r="AG6" s="167" t="n">
        <x:f aca="0">L6*(1-$D6)</x:f>
        <x:v>350.12945841485737</x:v>
      </x:c>
      <x:c r="AH6" s="167" t="n">
        <x:f aca="0">M6*(1-$D6)</x:f>
        <x:v>653.0046880341389</x:v>
      </x:c>
      <x:c r="AI6" s="167" t="n">
        <x:f aca="0">N6*(1-$D6)</x:f>
        <x:v>1041.2031682923816</x:v>
      </x:c>
      <x:c r="AJ6" s="167" t="n">
        <x:f aca="0">O6*(1-$D6)</x:f>
        <x:v>1494.0816120528752</x:v>
      </x:c>
      <x:c r="AK6" s="167" t="n">
        <x:f aca="0">P6*(1-$D6)</x:f>
        <x:v>1989.180391195145</x:v>
      </x:c>
      <x:c r="AL6" s="167" t="n">
        <x:f aca="0">Q6*(1-$D6)</x:f>
        <x:v>2505.6450691928876</x:v>
      </x:c>
      <x:c r="AM6" s="167" t="n">
        <x:f aca="0">R6*(1-$D6)</x:f>
        <x:v>3025.899667537515</x:v>
      </x:c>
      <x:c r="AN6" s="167" t="n">
        <x:f aca="0">S6*(1-$D6)</x:f>
        <x:v>3536.175166206161</x:v>
      </x:c>
      <x:c r="AO6" s="167" t="n">
        <x:f aca="0">T6*(1-$D6)</x:f>
        <x:v>4026.3796102529454</x:v>
      </x:c>
      <x:c r="AP6" s="167" t="n">
        <x:f aca="0">U6*(1-$D6)</x:f>
        <x:v>4489.643609497013</x:v>
      </x:c>
      <x:c r="AQ6" s="167" t="n">
        <x:f aca="0">V6*(1-$D6)</x:f>
        <x:v>4921.747986635284</x:v>
      </x:c>
      <x:c r="AR6" s="167" t="n">
        <x:f aca="0">W6*(1-$D6)</x:f>
        <x:v>5320.550224118447</x:v>
      </x:c>
      <x:c r="AS6" s="167" t="n">
        <x:f aca="0">X6*(1-$D6)</x:f>
        <x:v>5685.4680576024475</x:v>
      </x:c>
      <x:c r="AT6" s="167" t="n">
        <x:f aca="0">Y6*(1-$D6)</x:f>
        <x:v>6017.0434279207275</x:v>
      </x:c>
      <x:c r="AU6" s="167" t="n">
        <x:f aca="0">Z6*(1-$D6)</x:f>
        <x:v>6316.590311637976</x:v>
      </x:c>
      <x:c r="AV6" s="37" t="str">
        <x:v>Formula-derived: S17_Biome_Strata row gross stock = eligible area × S15_Source_Strata stock/ha; S15_Source_Strata stock = cohort-aligned Chapman-Richards D/H → Chave AGB → conservative calibration → CF × (1+R) × 44/12. PB applied separately by Biome × Cohort.</x:v>
      </x:c>
    </x:row>
    <x:row r="7" ht="15" hidden="0" customHeight="1">
      <x:c r="A7" s="37" t="s">
        <x:v>111</x:v>
      </x:c>
      <x:c r="B7" s="37" t="n">
        <x:v>2023</x:v>
      </x:c>
      <x:c r="C7" s="167" t="n">
        <x:f aca="0">SUMIFS(S17_Biome_Strata!$F$4:$F$95,S17_Biome_Strata!$A$4:$A$95,"Tropical &amp; Subtropical Dry Broadleaf Forests",S17_Biome_Strata!$B$4:$B$95,$A7,S17_Biome_Strata!$D$4:$D$95,$B7)</x:f>
        <x:v>21.2672</x:v>
      </x:c>
      <x:c r="D7" s="167" t="n">
        <x:f aca="0">S09_PB_Input!H15</x:f>
        <x:v>0.19161300424745234</x:v>
      </x:c>
      <x:c r="E7" s="168" t="str">
        <x:f aca="0">S09_PB_Input!I15</x:f>
        <x:v>VM0047 v1.1 Appendix 1: Z-test significant; PB_t = ΔSI_control / ΔSI_wp (Eq. A8). Source: 20260814_304027_GKF_ProjectPlots_PB.xlsx.</x:v>
      </x:c>
      <x:c r="F7" s="167" t="n">
        <x:f aca="0">SUMIFS(S17_Biome_Strata!$AL$4:$AL$95,S17_Biome_Strata!$A$4:$A$95,"Tropical &amp; Subtropical Dry Broadleaf Forests",S17_Biome_Strata!$B$4:$B$95,$A7,S17_Biome_Strata!$D$4:$D$95,$B7)</x:f>
        <x:v>0</x:v>
      </x:c>
      <x:c r="G7" s="167" t="n">
        <x:f aca="0">SUMIFS(S17_Biome_Strata!$AM$4:$AM$95,S17_Biome_Strata!$A$4:$A$95,"Tropical &amp; Subtropical Dry Broadleaf Forests",S17_Biome_Strata!$B$4:$B$95,$A7,S17_Biome_Strata!$D$4:$D$95,$B7)</x:f>
        <x:v>0</x:v>
      </x:c>
      <x:c r="H7" s="167" t="n">
        <x:f aca="0">SUMIFS(S17_Biome_Strata!$AN$4:$AN$95,S17_Biome_Strata!$A$4:$A$95,"Tropical &amp; Subtropical Dry Broadleaf Forests",S17_Biome_Strata!$B$4:$B$95,$A7,S17_Biome_Strata!$D$4:$D$95,$B7)</x:f>
        <x:v>0</x:v>
      </x:c>
      <x:c r="I7" s="167" t="n">
        <x:f aca="0">SUMIFS(S17_Biome_Strata!$AO$4:$AO$95,S17_Biome_Strata!$A$4:$A$95,"Tropical &amp; Subtropical Dry Broadleaf Forests",S17_Biome_Strata!$B$4:$B$95,$A7,S17_Biome_Strata!$D$4:$D$95,$B7)</x:f>
        <x:v>0</x:v>
      </x:c>
      <x:c r="J7" s="167" t="n">
        <x:f aca="0">SUMIFS(S17_Biome_Strata!$AP$4:$AP$95,S17_Biome_Strata!$A$4:$A$95,"Tropical &amp; Subtropical Dry Broadleaf Forests",S17_Biome_Strata!$B$4:$B$95,$A7,S17_Biome_Strata!$D$4:$D$95,$B7)</x:f>
        <x:v>1.0516405140235334</x:v>
      </x:c>
      <x:c r="K7" s="167" t="n">
        <x:f aca="0">SUMIFS(S17_Biome_Strata!$AQ$4:$AQ$95,S17_Biome_Strata!$A$4:$A$95,"Tropical &amp; Subtropical Dry Broadleaf Forests",S17_Biome_Strata!$B$4:$B$95,$A7,S17_Biome_Strata!$D$4:$D$95,$B7)</x:f>
        <x:v>12.681134794309648</x:v>
      </x:c>
      <x:c r="L7" s="167" t="n">
        <x:f aca="0">SUMIFS(S17_Biome_Strata!$AR$4:$AR$95,S17_Biome_Strata!$A$4:$A$95,"Tropical &amp; Subtropical Dry Broadleaf Forests",S17_Biome_Strata!$B$4:$B$95,$A7,S17_Biome_Strata!$D$4:$D$95,$B7)</x:f>
        <x:v>48.429359427529</x:v>
      </x:c>
      <x:c r="M7" s="167" t="n">
        <x:f aca="0">SUMIFS(S17_Biome_Strata!$AS$4:$AS$95,S17_Biome_Strata!$A$4:$A$95,"Tropical &amp; Subtropical Dry Broadleaf Forests",S17_Biome_Strata!$B$4:$B$95,$A7,S17_Biome_Strata!$D$4:$D$95,$B7)</x:f>
        <x:v>116.79947350656266</x:v>
      </x:c>
      <x:c r="N7" s="167" t="n">
        <x:f aca="0">SUMIFS(S17_Biome_Strata!$AT$4:$AT$95,S17_Biome_Strata!$A$4:$A$95,"Tropical &amp; Subtropical Dry Broadleaf Forests",S17_Biome_Strata!$B$4:$B$95,$A7,S17_Biome_Strata!$D$4:$D$95,$B7)</x:f>
        <x:v>218.68690910413252</x:v>
      </x:c>
      <x:c r="O7" s="167" t="n">
        <x:f aca="0">SUMIFS(S17_Biome_Strata!$AU$4:$AU$95,S17_Biome_Strata!$A$4:$A$95,"Tropical &amp; Subtropical Dry Broadleaf Forests",S17_Biome_Strata!$B$4:$B$95,$A7,S17_Biome_Strata!$D$4:$D$95,$B7)</x:f>
        <x:v>350.0246723811118</x:v>
      </x:c>
      <x:c r="P7" s="167" t="n">
        <x:f aca="0">SUMIFS(S17_Biome_Strata!$AV$4:$AV$95,S17_Biome_Strata!$A$4:$A$95,"Tropical &amp; Subtropical Dry Broadleaf Forests",S17_Biome_Strata!$B$4:$B$95,$A7,S17_Biome_Strata!$D$4:$D$95,$B7)</x:f>
        <x:v>504.1121167182546</x:v>
      </x:c>
      <x:c r="Q7" s="167" t="n">
        <x:f aca="0">SUMIFS(S17_Biome_Strata!$AW$4:$AW$95,S17_Biome_Strata!$A$4:$A$95,"Tropical &amp; Subtropical Dry Broadleaf Forests",S17_Biome_Strata!$B$4:$B$95,$A7,S17_Biome_Strata!$D$4:$D$95,$B7)</x:f>
        <x:v>673.4938207961258</x:v>
      </x:c>
      <x:c r="R7" s="167" t="n">
        <x:f aca="0">SUMIFS(S17_Biome_Strata!$AX$4:$AX$95,S17_Biome_Strata!$A$4:$A$95,"Tropical &amp; Subtropical Dry Broadleaf Forests",S17_Biome_Strata!$B$4:$B$95,$A7,S17_Biome_Strata!$D$4:$D$95,$B7)</x:f>
        <x:v>851.1272357473058</x:v>
      </x:c>
      <x:c r="S7" s="167" t="n">
        <x:f aca="0">SUMIFS(S17_Biome_Strata!$AY$4:$AY$95,S17_Biome_Strata!$A$4:$A$95,"Tropical &amp; Subtropical Dry Broadleaf Forests",S17_Biome_Strata!$B$4:$B$95,$A7,S17_Biome_Strata!$D$4:$D$95,$B7)</x:f>
        <x:v>1030.9807460419984</x:v>
      </x:c>
      <x:c r="T7" s="167" t="n">
        <x:f aca="0">SUMIFS(S17_Biome_Strata!$AZ$4:$AZ$95,S17_Biome_Strata!$A$4:$A$95,"Tropical &amp; Subtropical Dry Broadleaf Forests",S17_Biome_Strata!$B$4:$B$95,$A7,S17_Biome_Strata!$D$4:$D$95,$B7)</x:f>
        <x:v>1208.2489230452059</x:v>
      </x:c>
      <x:c r="U7" s="167" t="n">
        <x:f aca="0">SUMIFS(S17_Biome_Strata!$BA$4:$BA$95,S17_Biome_Strata!$A$4:$A$95,"Tropical &amp; Subtropical Dry Broadleaf Forests",S17_Biome_Strata!$B$4:$B$95,$A7,S17_Biome_Strata!$D$4:$D$95,$B7)</x:f>
        <x:v>1379.3405490156877</x:v>
      </x:c>
      <x:c r="V7" s="167" t="n">
        <x:f aca="0">SUMIFS(S17_Biome_Strata!$BB$4:$BB$95,S17_Biome_Strata!$A$4:$A$95,"Tropical &amp; Subtropical Dry Broadleaf Forests",S17_Biome_Strata!$B$4:$B$95,$A7,S17_Biome_Strata!$D$4:$D$95,$B7)</x:f>
        <x:v>1541.7490213426254</x:v>
      </x:c>
      <x:c r="W7" s="167" t="n">
        <x:f aca="0">SUMIFS(S17_Biome_Strata!$BC$4:$BC$95,S17_Biome_Strata!$A$4:$A$95,"Tropical &amp; Subtropical Dry Broadleaf Forests",S17_Biome_Strata!$B$4:$B$95,$A7,S17_Biome_Strata!$D$4:$D$95,$B7)</x:f>
        <x:v>1693.8749067995984</x:v>
      </x:c>
      <x:c r="X7" s="167" t="n">
        <x:f aca="0">SUMIFS(S17_Biome_Strata!$BD$4:$BD$95,S17_Biome_Strata!$A$4:$A$95,"Tropical &amp; Subtropical Dry Broadleaf Forests",S17_Biome_Strata!$B$4:$B$95,$A7,S17_Biome_Strata!$D$4:$D$95,$B7)</x:f>
        <x:v>1834.841351510638</x:v>
      </x:c>
      <x:c r="Y7" s="167" t="n">
        <x:f aca="0">SUMIFS(S17_Biome_Strata!$BE$4:$BE$95,S17_Biome_Strata!$A$4:$A$95,"Tropical &amp; Subtropical Dry Broadleaf Forests",S17_Biome_Strata!$B$4:$B$95,$A7,S17_Biome_Strata!$D$4:$D$95,$B7)</x:f>
        <x:v>1964.3237490757595</x:v>
      </x:c>
      <x:c r="Z7" s="167" t="n">
        <x:f aca="0">SUMIFS(S17_Biome_Strata!$BF$4:$BF$95,S17_Biome_Strata!$A$4:$A$95,"Tropical &amp; Subtropical Dry Broadleaf Forests",S17_Biome_Strata!$B$4:$B$95,$A7,S17_Biome_Strata!$D$4:$D$95,$B7)</x:f>
        <x:v>2082.4031022059808</x:v>
      </x:c>
      <x:c r="AA7" s="167" t="n">
        <x:f aca="0">F7*(1-$D7)</x:f>
        <x:v>0</x:v>
      </x:c>
      <x:c r="AB7" s="167" t="n">
        <x:f aca="0">G7*(1-$D7)</x:f>
        <x:v>0</x:v>
      </x:c>
      <x:c r="AC7" s="167" t="n">
        <x:f aca="0">H7*(1-$D7)</x:f>
        <x:v>0</x:v>
      </x:c>
      <x:c r="AD7" s="167" t="n">
        <x:f aca="0">I7*(1-$D7)</x:f>
        <x:v>0</x:v>
      </x:c>
      <x:c r="AE7" s="167" t="n">
        <x:f aca="0">J7*(1-$D7)</x:f>
        <x:v>0.8501325157431492</x:v>
      </x:c>
      <x:c r="AF7" s="167" t="n">
        <x:f aca="0">K7*(1-$D7)</x:f>
        <x:v>10.251264459105078</x:v>
      </x:c>
      <x:c r="AG7" s="167" t="n">
        <x:f aca="0">L7*(1-$D7)</x:f>
        <x:v>39.149664373840494</x:v>
      </x:c>
      <x:c r="AH7" s="167" t="n">
        <x:f aca="0">M7*(1-$D7)</x:f>
        <x:v>94.41917549344947</x:v>
      </x:c>
      <x:c r="AI7" s="167" t="n">
        <x:f aca="0">N7*(1-$D7)</x:f>
        <x:v>176.78365346110016</x:v>
      </x:c>
      <x:c r="AJ7" s="167" t="n">
        <x:f aca="0">O7*(1-$D7)</x:f>
        <x:v>282.95539334543673</x:v>
      </x:c>
      <x:c r="AK7" s="167" t="n">
        <x:f aca="0">P7*(1-$D7)</x:f>
        <x:v>407.5176795563275</x:v>
      </x:c>
      <x:c r="AL7" s="167" t="n">
        <x:f aca="0">Q7*(1-$D7)</x:f>
        <x:v>544.4436464512848</x:v>
      </x:c>
      <x:c r="AM7" s="167" t="n">
        <x:f aca="0">R7*(1-$D7)</x:f>
        <x:v>688.0401891089349</x:v>
      </x:c>
      <x:c r="AN7" s="167" t="n">
        <x:f aca="0">S7*(1-$D7)</x:f>
        <x:v>833.4314279716114</x:v>
      </x:c>
      <x:c r="AO7" s="167" t="n">
        <x:f aca="0">T7*(1-$D7)</x:f>
        <x:v>976.7327170217651</x:v>
      </x:c>
      <x:c r="AP7" s="167" t="n">
        <x:f aca="0">U7*(1-$D7)</x:f>
        <x:v>1115.0409625384616</x:v>
      </x:c>
      <x:c r="AQ7" s="167" t="n">
        <x:f aca="0">V7*(1-$D7)</x:f>
        <x:v>1246.3298595675953</x:v>
      </x:c>
      <x:c r="AR7" s="167" t="n">
        <x:f aca="0">W7*(1-$D7)</x:f>
        <x:v>1369.3064470883542</x:v>
      </x:c>
      <x:c r="AS7" s="167" t="n">
        <x:f aca="0">X7*(1-$D7)</x:f>
        <x:v>1483.2618878302292</x:v>
      </x:c>
      <x:c r="AT7" s="167" t="n">
        <x:f aca="0">Y7*(1-$D7)</x:f>
        <x:v>1587.9337742007344</x:v>
      </x:c>
      <x:c r="AU7" s="167" t="n">
        <x:f aca="0">Z7*(1-$D7)</x:f>
        <x:v>1683.3875877380783</x:v>
      </x:c>
      <x:c r="AV7" s="37" t="str">
        <x:v>Formula-derived: S17_Biome_Strata row gross stock = eligible area × S15_Source_Strata stock/ha; S15_Source_Strata stock = cohort-aligned Chapman-Richards D/H → Chave AGB → conservative calibration → CF × (1+R) × 44/12. PB applied separately by Biome × Cohort.</x:v>
      </x:c>
    </x:row>
    <x:row r="8" ht="15" hidden="0" customHeight="1">
      <x:c r="A8" s="37" t="s">
        <x:v>111</x:v>
      </x:c>
      <x:c r="B8" s="37" t="n">
        <x:v>2024</x:v>
      </x:c>
      <x:c r="C8" s="167" t="n">
        <x:f aca="0">SUMIFS(S17_Biome_Strata!$F$4:$F$95,S17_Biome_Strata!$A$4:$A$95,"Tropical &amp; Subtropical Dry Broadleaf Forests",S17_Biome_Strata!$B$4:$B$95,$A8,S17_Biome_Strata!$D$4:$D$95,$B8)</x:f>
        <x:v>0.3289</x:v>
      </x:c>
      <x:c r="D8" s="167" t="n">
        <x:f aca="0">S09_PB_Input!H16</x:f>
        <x:v>0.19161300424745234</x:v>
      </x:c>
      <x:c r="E8" s="168" t="str">
        <x:f aca="0">S09_PB_Input!I16</x:f>
        <x:v>VM0047 v1.1 Appendix 1: Z-test significant; PB_t = ΔSI_control / ΔSI_wp (Eq. A8). Source: 20260814_304027_GKF_ProjectPlots_PB.xlsx.</x:v>
      </x:c>
      <x:c r="F8" s="167" t="n">
        <x:f aca="0">SUMIFS(S17_Biome_Strata!$AL$4:$AL$95,S17_Biome_Strata!$A$4:$A$95,"Tropical &amp; Subtropical Dry Broadleaf Forests",S17_Biome_Strata!$B$4:$B$95,$A8,S17_Biome_Strata!$D$4:$D$95,$B8)</x:f>
        <x:v>0</x:v>
      </x:c>
      <x:c r="G8" s="167" t="n">
        <x:f aca="0">SUMIFS(S17_Biome_Strata!$AM$4:$AM$95,S17_Biome_Strata!$A$4:$A$95,"Tropical &amp; Subtropical Dry Broadleaf Forests",S17_Biome_Strata!$B$4:$B$95,$A8,S17_Biome_Strata!$D$4:$D$95,$B8)</x:f>
        <x:v>0</x:v>
      </x:c>
      <x:c r="H8" s="167" t="n">
        <x:f aca="0">SUMIFS(S17_Biome_Strata!$AN$4:$AN$95,S17_Biome_Strata!$A$4:$A$95,"Tropical &amp; Subtropical Dry Broadleaf Forests",S17_Biome_Strata!$B$4:$B$95,$A8,S17_Biome_Strata!$D$4:$D$95,$B8)</x:f>
        <x:v>0</x:v>
      </x:c>
      <x:c r="I8" s="167" t="n">
        <x:f aca="0">SUMIFS(S17_Biome_Strata!$AO$4:$AO$95,S17_Biome_Strata!$A$4:$A$95,"Tropical &amp; Subtropical Dry Broadleaf Forests",S17_Biome_Strata!$B$4:$B$95,$A8,S17_Biome_Strata!$D$4:$D$95,$B8)</x:f>
        <x:v>0</x:v>
      </x:c>
      <x:c r="J8" s="167" t="n">
        <x:f aca="0">SUMIFS(S17_Biome_Strata!$AP$4:$AP$95,S17_Biome_Strata!$A$4:$A$95,"Tropical &amp; Subtropical Dry Broadleaf Forests",S17_Biome_Strata!$B$4:$B$95,$A8,S17_Biome_Strata!$D$4:$D$95,$B8)</x:f>
        <x:v>0</x:v>
      </x:c>
      <x:c r="K8" s="167" t="n">
        <x:f aca="0">SUMIFS(S17_Biome_Strata!$AQ$4:$AQ$95,S17_Biome_Strata!$A$4:$A$95,"Tropical &amp; Subtropical Dry Broadleaf Forests",S17_Biome_Strata!$B$4:$B$95,$A8,S17_Biome_Strata!$D$4:$D$95,$B8)</x:f>
        <x:v>0.023524894174114963</x:v>
      </x:c>
      <x:c r="L8" s="167" t="n">
        <x:f aca="0">SUMIFS(S17_Biome_Strata!$AR$4:$AR$95,S17_Biome_Strata!$A$4:$A$95,"Tropical &amp; Subtropical Dry Broadleaf Forests",S17_Biome_Strata!$B$4:$B$95,$A8,S17_Biome_Strata!$D$4:$D$95,$B8)</x:f>
        <x:v>0.2842801916016537</x:v>
      </x:c>
      <x:c r="M8" s="167" t="n">
        <x:f aca="0">SUMIFS(S17_Biome_Strata!$AS$4:$AS$95,S17_Biome_Strata!$A$4:$A$95,"Tropical &amp; Subtropical Dry Broadleaf Forests",S17_Biome_Strata!$B$4:$B$95,$A8,S17_Biome_Strata!$D$4:$D$95,$B8)</x:f>
        <x:v>1.086572220495335</x:v>
      </x:c>
      <x:c r="N8" s="167" t="n">
        <x:f aca="0">SUMIFS(S17_Biome_Strata!$AT$4:$AT$95,S17_Biome_Strata!$A$4:$A$95,"Tropical &amp; Subtropical Dry Broadleaf Forests",S17_Biome_Strata!$B$4:$B$95,$A8,S17_Biome_Strata!$D$4:$D$95,$B8)</x:f>
        <x:v>2.621384893769345</x:v>
      </x:c>
      <x:c r="O8" s="167" t="n">
        <x:f aca="0">SUMIFS(S17_Biome_Strata!$AU$4:$AU$95,S17_Biome_Strata!$A$4:$A$95,"Tropical &amp; Subtropical Dry Broadleaf Forests",S17_Biome_Strata!$B$4:$B$95,$A8,S17_Biome_Strata!$D$4:$D$95,$B8)</x:f>
        <x:v>4.908470432409993</x:v>
      </x:c>
      <x:c r="P8" s="167" t="n">
        <x:f aca="0">SUMIFS(S17_Biome_Strata!$AV$4:$AV$95,S17_Biome_Strata!$A$4:$A$95,"Tropical &amp; Subtropical Dry Broadleaf Forests",S17_Biome_Strata!$B$4:$B$95,$A8,S17_Biome_Strata!$D$4:$D$95,$B8)</x:f>
        <x:v>7.855970098673057</x:v>
      </x:c>
      <x:c r="Q8" s="167" t="n">
        <x:f aca="0">SUMIFS(S17_Biome_Strata!$AW$4:$AW$95,S17_Biome_Strata!$A$4:$A$95,"Tropical &amp; Subtropical Dry Broadleaf Forests",S17_Biome_Strata!$B$4:$B$95,$A8,S17_Biome_Strata!$D$4:$D$95,$B8)</x:f>
        <x:v>11.312955329224193</x:v>
      </x:c>
      <x:c r="R8" s="167" t="n">
        <x:f aca="0">SUMIFS(S17_Biome_Strata!$AX$4:$AX$95,S17_Biome_Strata!$A$4:$A$95,"Tropical &amp; Subtropical Dry Broadleaf Forests",S17_Biome_Strata!$B$4:$B$95,$A8,S17_Biome_Strata!$D$4:$D$95,$B8)</x:f>
        <x:v>15.111734035001161</x:v>
      </x:c>
      <x:c r="S8" s="167" t="n">
        <x:f aca="0">SUMIFS(S17_Biome_Strata!$AY$4:$AY$95,S17_Biome_Strata!$A$4:$A$95,"Tropical &amp; Subtropical Dry Broadleaf Forests",S17_Biome_Strata!$B$4:$B$95,$A8,S17_Biome_Strata!$D$4:$D$95,$B8)</x:f>
        <x:v>19.09408328442856</x:v>
      </x:c>
      <x:c r="T8" s="167" t="n">
        <x:f aca="0">SUMIFS(S17_Biome_Strata!$AZ$4:$AZ$95,S17_Biome_Strata!$A$4:$A$95,"Tropical &amp; Subtropical Dry Broadleaf Forests",S17_Biome_Strata!$B$4:$B$95,$A8,S17_Biome_Strata!$D$4:$D$95,$B8)</x:f>
        <x:v>23.124640379874748</x:v>
      </x:c>
      <x:c r="U8" s="167" t="n">
        <x:f aca="0">SUMIFS(S17_Biome_Strata!$BA$4:$BA$95,S17_Biome_Strata!$A$4:$A$95,"Tropical &amp; Subtropical Dry Broadleaf Forests",S17_Biome_Strata!$B$4:$B$95,$A8,S17_Biome_Strata!$D$4:$D$95,$B8)</x:f>
        <x:v>27.09568363055887</x:v>
      </x:c>
      <x:c r="V8" s="167" t="n">
        <x:f aca="0">SUMIFS(S17_Biome_Strata!$BB$4:$BB$95,S17_Biome_Strata!$A$4:$A$95,"Tropical &amp; Subtropical Dry Broadleaf Forests",S17_Biome_Strata!$B$4:$B$95,$A8,S17_Biome_Strata!$D$4:$D$95,$B8)</x:f>
        <x:v>30.926815354890994</x:v>
      </x:c>
      <x:c r="W8" s="167" t="n">
        <x:f aca="0">SUMIFS(S17_Biome_Strata!$BC$4:$BC$95,S17_Biome_Strata!$A$4:$A$95,"Tropical &amp; Subtropical Dry Broadleaf Forests",S17_Biome_Strata!$B$4:$B$95,$A8,S17_Biome_Strata!$D$4:$D$95,$B8)</x:f>
        <x:v>34.562015134047186</x:v>
      </x:c>
      <x:c r="X8" s="167" t="n">
        <x:f aca="0">SUMIFS(S17_Biome_Strata!$BD$4:$BD$95,S17_Biome_Strata!$A$4:$A$95,"Tropical &amp; Subtropical Dry Broadleaf Forests",S17_Biome_Strata!$B$4:$B$95,$A8,S17_Biome_Strata!$D$4:$D$95,$B8)</x:f>
        <x:v>37.965630377888516</x:v>
      </x:c>
      <x:c r="Y8" s="167" t="n">
        <x:f aca="0">SUMIFS(S17_Biome_Strata!$BE$4:$BE$95,S17_Biome_Strata!$A$4:$A$95,"Tropical &amp; Subtropical Dry Broadleaf Forests",S17_Biome_Strata!$B$4:$B$95,$A8,S17_Biome_Strata!$D$4:$D$95,$B8)</x:f>
        <x:v>41.1182161298829</x:v>
      </x:c>
      <x:c r="Z8" s="167" t="n">
        <x:f aca="0">SUMIFS(S17_Biome_Strata!$BF$4:$BF$95,S17_Biome_Strata!$A$4:$A$95,"Tropical &amp; Subtropical Dry Broadleaf Forests",S17_Biome_Strata!$B$4:$B$95,$A8,S17_Biome_Strata!$D$4:$D$95,$B8)</x:f>
        <x:v>44.01270207817515</x:v>
      </x:c>
      <x:c r="AA8" s="167" t="n">
        <x:f aca="0">F8*(1-$D8)</x:f>
        <x:v>0</x:v>
      </x:c>
      <x:c r="AB8" s="167" t="n">
        <x:f aca="0">G8*(1-$D8)</x:f>
        <x:v>0</x:v>
      </x:c>
      <x:c r="AC8" s="167" t="n">
        <x:f aca="0">H8*(1-$D8)</x:f>
        <x:v>0</x:v>
      </x:c>
      <x:c r="AD8" s="167" t="n">
        <x:f aca="0">I8*(1-$D8)</x:f>
        <x:v>0</x:v>
      </x:c>
      <x:c r="AE8" s="167" t="n">
        <x:f aca="0">J8*(1-$D8)</x:f>
        <x:v>0</x:v>
      </x:c>
      <x:c r="AF8" s="167" t="n">
        <x:f aca="0">K8*(1-$D8)</x:f>
        <x:v>0.019017218526809408</x:v>
      </x:c>
      <x:c r="AG8" s="167" t="n">
        <x:f aca="0">L8*(1-$D8)</x:f>
        <x:v>0.22980841004081945</x:v>
      </x:c>
      <x:c r="AH8" s="167" t="n">
        <x:f aca="0">M8*(1-$D8)</x:f>
        <x:v>0.8783708529943987</x:v>
      </x:c>
      <x:c r="AI8" s="167" t="n">
        <x:f aca="0">N8*(1-$D8)</x:f>
        <x:v>2.1190934589853123</x:v>
      </x:c>
      <x:c r="AJ8" s="167" t="n">
        <x:f aca="0">O8*(1-$D8)</x:f>
        <x:v>3.9679436665961227</x:v>
      </x:c>
      <x:c r="AK8" s="167" t="n">
        <x:f aca="0">P8*(1-$D8)</x:f>
        <x:v>6.350664066788158</x:v>
      </x:c>
      <x:c r="AL8" s="167" t="n">
        <x:f aca="0">Q8*(1-$D8)</x:f>
        <x:v>9.145245971674319</x:v>
      </x:c>
      <x:c r="AM8" s="167" t="n">
        <x:f aca="0">R8*(1-$D8)</x:f>
        <x:v>12.216129277166115</x:v>
      </x:c>
      <x:c r="AN8" s="167" t="n">
        <x:f aca="0">S8*(1-$D8)</x:f>
        <x:v>15.435408622948142</x:v>
      </x:c>
      <x:c r="AO8" s="167" t="n">
        <x:f aca="0">T8*(1-$D8)</x:f>
        <x:v>18.693658564545</x:v>
      </x:c>
      <x:c r="AP8" s="167" t="n">
        <x:f aca="0">U8*(1-$D8)</x:f>
        <x:v>21.903798287968968</x:v>
      </x:c>
      <x:c r="AQ8" s="167" t="n">
        <x:f aca="0">V8*(1-$D8)</x:f>
        <x:v>25.000835352934093</x:v>
      </x:c>
      <x:c r="AR8" s="167" t="n">
        <x:f aca="0">W8*(1-$D8)</x:f>
        <x:v>27.939483581366492</x:v>
      </x:c>
      <x:c r="AS8" s="167" t="n">
        <x:f aca="0">X8*(1-$D8)</x:f>
        <x:v>30.69092188303296</x:v>
      </x:c>
      <x:c r="AT8" s="167" t="n">
        <x:f aca="0">Y8*(1-$D8)</x:f>
        <x:v>33.23943120793999</x:v>
      </x:c>
      <x:c r="AU8" s="167" t="n">
        <x:f aca="0">Z8*(1-$D8)</x:f>
        <x:v>35.57929600792792</x:v>
      </x:c>
      <x:c r="AV8" s="37" t="str">
        <x:v>Formula-derived: S17_Biome_Strata row gross stock = eligible area × S15_Source_Strata stock/ha; S15_Source_Strata stock = cohort-aligned Chapman-Richards D/H → Chave AGB → conservative calibration → CF × (1+R) × 44/12. PB applied separately by Biome × Cohort.</x:v>
      </x:c>
    </x:row>
    <x:row r="9" ht="15" hidden="0" customHeight="1">
      <x:c r="A9" s="37" t="s">
        <x:v>112</x:v>
      </x:c>
      <x:c r="B9" s="37" t="n">
        <x:v>2020</x:v>
      </x:c>
      <x:c r="C9" s="167" t="n">
        <x:f aca="0">SUMIFS(S17_Biome_Strata!$F$4:$F$95,S17_Biome_Strata!$A$4:$A$95,"Tropical &amp; Subtropical Dry Broadleaf Forests",S17_Biome_Strata!$B$4:$B$95,$A9,S17_Biome_Strata!$D$4:$D$95,$B9)</x:f>
        <x:v>381.0361953864831</x:v>
      </x:c>
      <x:c r="D9" s="167" t="n">
        <x:f aca="0">S09_PB_Input!H12</x:f>
        <x:v>0.19161300424745234</x:v>
      </x:c>
      <x:c r="E9" s="168" t="str">
        <x:f aca="0">S09_PB_Input!I12</x:f>
        <x:v>VM0047 v1.1 Appendix 1: Z-test significant; PB_t = ΔSI_control / ΔSI_wp (Eq. A8). Source: 20260814_304027_GKF_ProjectPlots_PB.xlsx.</x:v>
      </x:c>
      <x:c r="F9" s="167" t="n">
        <x:f aca="0">SUMIFS(S17_Biome_Strata!$AL$4:$AL$95,S17_Biome_Strata!$A$4:$A$95,"Tropical &amp; Subtropical Dry Broadleaf Forests",S17_Biome_Strata!$B$4:$B$95,$A9,S17_Biome_Strata!$D$4:$D$95,$B9)</x:f>
        <x:v>0</x:v>
      </x:c>
      <x:c r="G9" s="167" t="n">
        <x:f aca="0">SUMIFS(S17_Biome_Strata!$AM$4:$AM$95,S17_Biome_Strata!$A$4:$A$95,"Tropical &amp; Subtropical Dry Broadleaf Forests",S17_Biome_Strata!$B$4:$B$95,$A9,S17_Biome_Strata!$D$4:$D$95,$B9)</x:f>
        <x:v>610.8871351842802</x:v>
      </x:c>
      <x:c r="H9" s="167" t="n">
        <x:f aca="0">SUMIFS(S17_Biome_Strata!$AN$4:$AN$95,S17_Biome_Strata!$A$4:$A$95,"Tropical &amp; Subtropical Dry Broadleaf Forests",S17_Biome_Strata!$B$4:$B$95,$A9,S17_Biome_Strata!$D$4:$D$95,$B9)</x:f>
        <x:v>5949.185205308879</x:v>
      </x:c>
      <x:c r="I9" s="167" t="n">
        <x:f aca="0">SUMIFS(S17_Biome_Strata!$AO$4:$AO$95,S17_Biome_Strata!$A$4:$A$95,"Tropical &amp; Subtropical Dry Broadleaf Forests",S17_Biome_Strata!$B$4:$B$95,$A9,S17_Biome_Strata!$D$4:$D$95,$B9)</x:f>
        <x:v>20128.83503387575</x:v>
      </x:c>
      <x:c r="J9" s="167" t="n">
        <x:f aca="0">SUMIFS(S17_Biome_Strata!$AP$4:$AP$95,S17_Biome_Strata!$A$4:$A$95,"Tropical &amp; Subtropical Dry Broadleaf Forests",S17_Biome_Strata!$B$4:$B$95,$A9,S17_Biome_Strata!$D$4:$D$95,$B9)</x:f>
        <x:v>44671.099766896914</x:v>
      </x:c>
      <x:c r="K9" s="167" t="n">
        <x:f aca="0">SUMIFS(S17_Biome_Strata!$AQ$4:$AQ$95,S17_Biome_Strata!$A$4:$A$95,"Tropical &amp; Subtropical Dry Broadleaf Forests",S17_Biome_Strata!$B$4:$B$95,$A9,S17_Biome_Strata!$D$4:$D$95,$B9)</x:f>
        <x:v>78567.43419991896</x:v>
      </x:c>
      <x:c r="L9" s="167" t="n">
        <x:f aca="0">SUMIFS(S17_Biome_Strata!$AR$4:$AR$95,S17_Biome_Strata!$A$4:$A$95,"Tropical &amp; Subtropical Dry Broadleaf Forests",S17_Biome_Strata!$B$4:$B$95,$A9,S17_Biome_Strata!$D$4:$D$95,$B9)</x:f>
        <x:v>119665.80264401899</x:v>
      </x:c>
      <x:c r="M9" s="167" t="n">
        <x:f aca="0">SUMIFS(S17_Biome_Strata!$AS$4:$AS$95,S17_Biome_Strata!$A$4:$A$95,"Tropical &amp; Subtropical Dry Broadleaf Forests",S17_Biome_Strata!$B$4:$B$95,$A9,S17_Biome_Strata!$D$4:$D$95,$B9)</x:f>
        <x:v>165462.6611049709</x:v>
      </x:c>
      <x:c r="N9" s="167" t="n">
        <x:f aca="0">SUMIFS(S17_Biome_Strata!$AT$4:$AT$95,S17_Biome_Strata!$A$4:$A$95,"Tropical &amp; Subtropical Dry Broadleaf Forests",S17_Biome_Strata!$B$4:$B$95,$A9,S17_Biome_Strata!$D$4:$D$95,$B9)</x:f>
        <x:v>213607.0246050815</x:v>
      </x:c>
      <x:c r="O9" s="167" t="n">
        <x:f aca="0">SUMIFS(S17_Biome_Strata!$AU$4:$AU$95,S17_Biome_Strata!$A$4:$A$95,"Tropical &amp; Subtropical Dry Broadleaf Forests",S17_Biome_Strata!$B$4:$B$95,$A9,S17_Biome_Strata!$D$4:$D$95,$B9)</x:f>
        <x:v>262137.99597291282</x:v>
      </x:c>
      <x:c r="P9" s="167" t="n">
        <x:f aca="0">SUMIFS(S17_Biome_Strata!$AV$4:$AV$95,S17_Biome_Strata!$A$4:$A$95,"Tropical &amp; Subtropical Dry Broadleaf Forests",S17_Biome_Strata!$B$4:$B$95,$A9,S17_Biome_Strata!$D$4:$D$95,$B9)</x:f>
        <x:v>309554.52765017876</x:v>
      </x:c>
      <x:c r="Q9" s="167" t="n">
        <x:f aca="0">SUMIFS(S17_Biome_Strata!$AW$4:$AW$95,S17_Biome_Strata!$A$4:$A$95,"Tropical &amp; Subtropical Dry Broadleaf Forests",S17_Biome_Strata!$B$4:$B$95,$A9,S17_Biome_Strata!$D$4:$D$95,$B9)</x:f>
        <x:v>354793.71920556173</x:v>
      </x:c>
      <x:c r="R9" s="167" t="n">
        <x:f aca="0">SUMIFS(S17_Biome_Strata!$AX$4:$AX$95,S17_Biome_Strata!$A$4:$A$95,"Tropical &amp; Subtropical Dry Broadleaf Forests",S17_Biome_Strata!$B$4:$B$95,$A9,S17_Biome_Strata!$D$4:$D$95,$B9)</x:f>
        <x:v>397167.4815826104</x:v>
      </x:c>
      <x:c r="S9" s="167" t="n">
        <x:f aca="0">SUMIFS(S17_Biome_Strata!$AY$4:$AY$95,S17_Biome_Strata!$A$4:$A$95,"Tropical &amp; Subtropical Dry Broadleaf Forests",S17_Biome_Strata!$B$4:$B$95,$A9,S17_Biome_Strata!$D$4:$D$95,$B9)</x:f>
        <x:v>436286.73421147355</x:v>
      </x:c>
      <x:c r="T9" s="167" t="n">
        <x:f aca="0">SUMIFS(S17_Biome_Strata!$AZ$4:$AZ$95,S17_Biome_Strata!$A$4:$A$95,"Tropical &amp; Subtropical Dry Broadleaf Forests",S17_Biome_Strata!$B$4:$B$95,$A9,S17_Biome_Strata!$D$4:$D$95,$B9)</x:f>
        <x:v>471988.4569511957</x:v>
      </x:c>
      <x:c r="U9" s="167" t="n">
        <x:f aca="0">SUMIFS(S17_Biome_Strata!$BA$4:$BA$95,S17_Biome_Strata!$A$4:$A$95,"Tropical &amp; Subtropical Dry Broadleaf Forests",S17_Biome_Strata!$B$4:$B$95,$A9,S17_Biome_Strata!$D$4:$D$95,$B9)</x:f>
        <x:v>504272.46684491076</x:v>
      </x:c>
      <x:c r="V9" s="167" t="n">
        <x:f aca="0">SUMIFS(S17_Biome_Strata!$BB$4:$BB$95,S17_Biome_Strata!$A$4:$A$95,"Tropical &amp; Subtropical Dry Broadleaf Forests",S17_Biome_Strata!$B$4:$B$95,$A9,S17_Biome_Strata!$D$4:$D$95,$B9)</x:f>
        <x:v>533250.0213917841</x:v>
      </x:c>
      <x:c r="W9" s="167" t="n">
        <x:f aca="0">SUMIFS(S17_Biome_Strata!$BC$4:$BC$95,S17_Biome_Strata!$A$4:$A$95,"Tropical &amp; Subtropical Dry Broadleaf Forests",S17_Biome_Strata!$B$4:$B$95,$A9,S17_Biome_Strata!$D$4:$D$95,$B9)</x:f>
        <x:v>559103.8951238384</x:v>
      </x:c>
      <x:c r="X9" s="167" t="n">
        <x:f aca="0">SUMIFS(S17_Biome_Strata!$BD$4:$BD$95,S17_Biome_Strata!$A$4:$A$95,"Tropical &amp; Subtropical Dry Broadleaf Forests",S17_Biome_Strata!$B$4:$B$95,$A9,S17_Biome_Strata!$D$4:$D$95,$B9)</x:f>
        <x:v>582058.4832137682</x:v>
      </x:c>
      <x:c r="Y9" s="167" t="n">
        <x:f aca="0">SUMIFS(S17_Biome_Strata!$BE$4:$BE$95,S17_Biome_Strata!$A$4:$A$95,"Tropical &amp; Subtropical Dry Broadleaf Forests",S17_Biome_Strata!$B$4:$B$95,$A9,S17_Biome_Strata!$D$4:$D$95,$B9)</x:f>
        <x:v>602358.1446252867</x:v>
      </x:c>
      <x:c r="Z9" s="167" t="n">
        <x:f aca="0">SUMIFS(S17_Biome_Strata!$BF$4:$BF$95,S17_Biome_Strata!$A$4:$A$95,"Tropical &amp; Subtropical Dry Broadleaf Forests",S17_Biome_Strata!$B$4:$B$95,$A9,S17_Biome_Strata!$D$4:$D$95,$B9)</x:f>
        <x:v>620252.0385269976</x:v>
      </x:c>
      <x:c r="AA9" s="167" t="n">
        <x:f aca="0">F9*(1-$D9)</x:f>
        <x:v>0</x:v>
      </x:c>
      <x:c r="AB9" s="167" t="n">
        <x:f aca="0">G9*(1-$D9)</x:f>
        <x:v>493.8332159555007</x:v>
      </x:c>
      <x:c r="AC9" s="167" t="n">
        <x:f aca="0">H9*(1-$D9)</x:f>
        <x:v>4809.243955295148</x:v>
      </x:c>
      <x:c r="AD9" s="167" t="n">
        <x:f aca="0">I9*(1-$D9)</x:f>
        <x:v>16271.888481033448</x:v>
      </x:c>
      <x:c r="AE9" s="167" t="n">
        <x:f aca="0">J9*(1-$D9)</x:f>
        <x:v>36111.53613752413</x:v>
      </x:c>
      <x:c r="AF9" s="167" t="n">
        <x:f aca="0">K9*(1-$D9)</x:f>
        <x:v>63512.892096858464</x:v>
      </x:c>
      <x:c r="AG9" s="167" t="n">
        <x:f aca="0">L9*(1-$D9)</x:f>
        <x:v>96736.27869371578</x:v>
      </x:c>
      <x:c r="AH9" s="167" t="n">
        <x:f aca="0">M9*(1-$D9)</x:f>
        <x:v>133757.86351986934</x:v>
      </x:c>
      <x:c r="AI9" s="167" t="n">
        <x:f aca="0">N9*(1-$D9)</x:f>
        <x:v>172677.14089214237</x:v>
      </x:c>
      <x:c r="AJ9" s="167" t="n">
        <x:f aca="0">O9*(1-$D9)</x:f>
        <x:v>211908.94703713644</x:v>
      </x:c>
      <x:c r="AK9" s="167" t="n">
        <x:f aca="0">P9*(1-$D9)</x:f>
        <x:v>250239.85462872696</x:v>
      </x:c>
      <x:c r="AL9" s="167" t="n">
        <x:f aca="0">Q9*(1-$D9)</x:f>
        <x:v>286810.628780457</x:v>
      </x:c>
      <x:c r="AM9" s="167" t="n">
        <x:f aca="0">R9*(1-$D9)</x:f>
        <x:v>321065.02724717173</x:v>
      </x:c>
      <x:c r="AN9" s="167" t="n">
        <x:f aca="0">S9*(1-$D9)</x:f>
        <x:v>352688.52235590335</x:v>
      </x:c>
      <x:c r="AO9" s="167" t="n">
        <x:f aca="0">T9*(1-$D9)</x:f>
        <x:v>381549.3307446578</x:v>
      </x:c>
      <x:c r="AP9" s="167" t="n">
        <x:f aca="0">U9*(1-$D9)</x:f>
        <x:v>407647.3045134836</x:v>
      </x:c>
      <x:c r="AQ9" s="167" t="n">
        <x:f aca="0">V9*(1-$D9)</x:f>
        <x:v>431072.3827778861</x:v>
      </x:c>
      <x:c r="AR9" s="167" t="n">
        <x:f aca="0">W9*(1-$D9)</x:f>
        <x:v>451972.31809270725</x:v>
      </x:c>
      <x:c r="AS9" s="167" t="n">
        <x:f aca="0">X9*(1-$D9)</x:f>
        <x:v>470528.5085974628</x:v>
      </x:c>
      <x:c r="AT9" s="167" t="n">
        <x:f aca="0">Y9*(1-$D9)</x:f>
        <x:v>486938.4909007141</x:v>
      </x:c>
      <x:c r="AU9" s="167" t="n">
        <x:f aca="0">Z9*(1-$D9)</x:f>
        <x:v>501403.682034233</x:v>
      </x:c>
      <x:c r="AV9" s="37" t="str">
        <x:v>Formula-derived: S17_Biome_Strata row gross stock = eligible area × S15_Source_Strata stock/ha; S15_Source_Strata stock = cohort-aligned Chapman-Richards D/H → Chave AGB → conservative calibration → CF × (1+R) × 44/12. PB applied separately by Biome × Cohort.</x:v>
      </x:c>
    </x:row>
    <x:row r="10" ht="15" hidden="0" customHeight="1">
      <x:c r="A10" s="37" t="s">
        <x:v>112</x:v>
      </x:c>
      <x:c r="B10" s="37" t="n">
        <x:v>2021</x:v>
      </x:c>
      <x:c r="C10" s="167" t="n">
        <x:f aca="0">SUMIFS(S17_Biome_Strata!$F$4:$F$95,S17_Biome_Strata!$A$4:$A$95,"Tropical &amp; Subtropical Dry Broadleaf Forests",S17_Biome_Strata!$B$4:$B$95,$A10,S17_Biome_Strata!$D$4:$D$95,$B10)</x:f>
        <x:v>39.495094455686</x:v>
      </x:c>
      <x:c r="D10" s="167" t="n">
        <x:f aca="0">S09_PB_Input!H13</x:f>
        <x:v>0.19161300424745234</x:v>
      </x:c>
      <x:c r="E10" s="168" t="str">
        <x:f aca="0">S09_PB_Input!I13</x:f>
        <x:v>VM0047 v1.1 Appendix 1: Z-test significant; PB_t = ΔSI_control / ΔSI_wp (Eq. A8). Source: 20260814_304027_GKF_ProjectPlots_PB.xlsx.</x:v>
      </x:c>
      <x:c r="F10" s="167" t="n">
        <x:f aca="0">SUMIFS(S17_Biome_Strata!$AL$4:$AL$95,S17_Biome_Strata!$A$4:$A$95,"Tropical &amp; Subtropical Dry Broadleaf Forests",S17_Biome_Strata!$B$4:$B$95,$A10,S17_Biome_Strata!$D$4:$D$95,$B10)</x:f>
        <x:v>0</x:v>
      </x:c>
      <x:c r="G10" s="167" t="n">
        <x:f aca="0">SUMIFS(S17_Biome_Strata!$AM$4:$AM$95,S17_Biome_Strata!$A$4:$A$95,"Tropical &amp; Subtropical Dry Broadleaf Forests",S17_Biome_Strata!$B$4:$B$95,$A10,S17_Biome_Strata!$D$4:$D$95,$B10)</x:f>
        <x:v>0</x:v>
      </x:c>
      <x:c r="H10" s="167" t="n">
        <x:f aca="0">SUMIFS(S17_Biome_Strata!$AN$4:$AN$95,S17_Biome_Strata!$A$4:$A$95,"Tropical &amp; Subtropical Dry Broadleaf Forests",S17_Biome_Strata!$B$4:$B$95,$A10,S17_Biome_Strata!$D$4:$D$95,$B10)</x:f>
        <x:v>25.316812601986072</x:v>
      </x:c>
      <x:c r="I10" s="167" t="n">
        <x:f aca="0">SUMIFS(S17_Biome_Strata!$AO$4:$AO$95,S17_Biome_Strata!$A$4:$A$95,"Tropical &amp; Subtropical Dry Broadleaf Forests",S17_Biome_Strata!$B$4:$B$95,$A10,S17_Biome_Strata!$D$4:$D$95,$B10)</x:f>
        <x:v>256.7392600306902</x:v>
      </x:c>
      <x:c r="J10" s="167" t="n">
        <x:f aca="0">SUMIFS(S17_Biome_Strata!$AP$4:$AP$95,S17_Biome_Strata!$A$4:$A$95,"Tropical &amp; Subtropical Dry Broadleaf Forests",S17_Biome_Strata!$B$4:$B$95,$A10,S17_Biome_Strata!$D$4:$D$95,$B10)</x:f>
        <x:v>893.0268483231453</x:v>
      </x:c>
      <x:c r="K10" s="167" t="n">
        <x:f aca="0">SUMIFS(S17_Biome_Strata!$AQ$4:$AQ$95,S17_Biome_Strata!$A$4:$A$95,"Tropical &amp; Subtropical Dry Broadleaf Forests",S17_Biome_Strata!$B$4:$B$95,$A10,S17_Biome_Strata!$D$4:$D$95,$B10)</x:f>
        <x:v>2024.3730817727624</x:v>
      </x:c>
      <x:c r="L10" s="167" t="n">
        <x:f aca="0">SUMIFS(S17_Biome_Strata!$AR$4:$AR$95,S17_Biome_Strata!$A$4:$A$95,"Tropical &amp; Subtropical Dry Broadleaf Forests",S17_Biome_Strata!$B$4:$B$95,$A10,S17_Biome_Strata!$D$4:$D$95,$B10)</x:f>
        <x:v>3622.2310373683895</x:v>
      </x:c>
      <x:c r="M10" s="167" t="n">
        <x:f aca="0">SUMIFS(S17_Biome_Strata!$AS$4:$AS$95,S17_Biome_Strata!$A$4:$A$95,"Tropical &amp; Subtropical Dry Broadleaf Forests",S17_Biome_Strata!$B$4:$B$95,$A10,S17_Biome_Strata!$D$4:$D$95,$B10)</x:f>
        <x:v>5596.936773666532</x:v>
      </x:c>
      <x:c r="N10" s="167" t="n">
        <x:f aca="0">SUMIFS(S17_Biome_Strata!$AT$4:$AT$95,S17_Biome_Strata!$A$4:$A$95,"Tropical &amp; Subtropical Dry Broadleaf Forests",S17_Biome_Strata!$B$4:$B$95,$A10,S17_Biome_Strata!$D$4:$D$95,$B10)</x:f>
        <x:v>7834.499765154815</x:v>
      </x:c>
      <x:c r="O10" s="167" t="n">
        <x:f aca="0">SUMIFS(S17_Biome_Strata!$AU$4:$AU$95,S17_Biome_Strata!$A$4:$A$95,"Tropical &amp; Subtropical Dry Broadleaf Forests",S17_Biome_Strata!$B$4:$B$95,$A10,S17_Biome_Strata!$D$4:$D$95,$B10)</x:f>
        <x:v>10222.076658637801</x:v>
      </x:c>
      <x:c r="P10" s="167" t="n">
        <x:f aca="0">SUMIFS(S17_Biome_Strata!$AV$4:$AV$95,S17_Biome_Strata!$A$4:$A$95,"Tropical &amp; Subtropical Dry Broadleaf Forests",S17_Biome_Strata!$B$4:$B$95,$A10,S17_Biome_Strata!$D$4:$D$95,$B10)</x:f>
        <x:v>12661.433118133567</x:v>
      </x:c>
      <x:c r="Q10" s="167" t="n">
        <x:f aca="0">SUMIFS(S17_Biome_Strata!$AW$4:$AW$95,S17_Biome_Strata!$A$4:$A$95,"Tropical &amp; Subtropical Dry Broadleaf Forests",S17_Biome_Strata!$B$4:$B$95,$A10,S17_Biome_Strata!$D$4:$D$95,$B10)</x:f>
        <x:v>15074.20317945709</x:v>
      </x:c>
      <x:c r="R10" s="167" t="n">
        <x:f aca="0">SUMIFS(S17_Biome_Strata!$AX$4:$AX$95,S17_Biome_Strata!$A$4:$A$95,"Tropical &amp; Subtropical Dry Broadleaf Forests",S17_Biome_Strata!$B$4:$B$95,$A10,S17_Biome_Strata!$D$4:$D$95,$B10)</x:f>
        <x:v>17402.291551860726</x:v>
      </x:c>
      <x:c r="S10" s="167" t="n">
        <x:f aca="0">SUMIFS(S17_Biome_Strata!$AY$4:$AY$95,S17_Biome_Strata!$A$4:$A$95,"Tropical &amp; Subtropical Dry Broadleaf Forests",S17_Biome_Strata!$B$4:$B$95,$A10,S17_Biome_Strata!$D$4:$D$95,$B10)</x:f>
        <x:v>19605.785343194515</x:v>
      </x:c>
      <x:c r="T10" s="167" t="n">
        <x:f aca="0">SUMIFS(S17_Biome_Strata!$AZ$4:$AZ$95,S17_Biome_Strata!$A$4:$A$95,"Tropical &amp; Subtropical Dry Broadleaf Forests",S17_Biome_Strata!$B$4:$B$95,$A10,S17_Biome_Strata!$D$4:$D$95,$B10)</x:f>
        <x:v>21659.862054575824</x:v>
      </x:c>
      <x:c r="U10" s="167" t="n">
        <x:f aca="0">SUMIFS(S17_Biome_Strata!$BA$4:$BA$95,S17_Biome_Strata!$A$4:$A$95,"Tropical &amp; Subtropical Dry Broadleaf Forests",S17_Biome_Strata!$B$4:$B$95,$A10,S17_Biome_Strata!$D$4:$D$95,$B10)</x:f>
        <x:v>23551.541245036547</x:v>
      </x:c>
      <x:c r="V10" s="167" t="n">
        <x:f aca="0">SUMIFS(S17_Biome_Strata!$BB$4:$BB$95,S17_Biome_Strata!$A$4:$A$95,"Tropical &amp; Subtropical Dry Broadleaf Forests",S17_Biome_Strata!$B$4:$B$95,$A10,S17_Biome_Strata!$D$4:$D$95,$B10)</x:f>
        <x:v>25276.710154245433</x:v>
      </x:c>
      <x:c r="W10" s="167" t="n">
        <x:f aca="0">SUMIFS(S17_Biome_Strata!$BC$4:$BC$95,S17_Biome_Strata!$A$4:$A$95,"Tropical &amp; Subtropical Dry Broadleaf Forests",S17_Biome_Strata!$B$4:$B$95,$A10,S17_Biome_Strata!$D$4:$D$95,$B10)</x:f>
        <x:v>26837.60197441766</x:v>
      </x:c>
      <x:c r="X10" s="167" t="n">
        <x:f aca="0">SUMIFS(S17_Biome_Strata!$BD$4:$BD$95,S17_Biome_Strata!$A$4:$A$95,"Tropical &amp; Subtropical Dry Broadleaf Forests",S17_Biome_Strata!$B$4:$B$95,$A10,S17_Biome_Strata!$D$4:$D$95,$B10)</x:f>
        <x:v>28240.764789471457</x:v>
      </x:c>
      <x:c r="Y10" s="167" t="n">
        <x:f aca="0">SUMIFS(S17_Biome_Strata!$BE$4:$BE$95,S17_Biome_Strata!$A$4:$A$95,"Tropical &amp; Subtropical Dry Broadleaf Forests",S17_Biome_Strata!$B$4:$B$95,$A10,S17_Biome_Strata!$D$4:$D$95,$B10)</x:f>
        <x:v>29495.487879121923</x:v>
      </x:c>
      <x:c r="Z10" s="167" t="n">
        <x:f aca="0">SUMIFS(S17_Biome_Strata!$BF$4:$BF$95,S17_Biome_Strata!$A$4:$A$95,"Tropical &amp; Subtropical Dry Broadleaf Forests",S17_Biome_Strata!$B$4:$B$95,$A10,S17_Biome_Strata!$D$4:$D$95,$B10)</x:f>
        <x:v>30612.621651633897</x:v>
      </x:c>
      <x:c r="AA10" s="167" t="n">
        <x:f aca="0">F10*(1-$D10)</x:f>
        <x:v>0</x:v>
      </x:c>
      <x:c r="AB10" s="167" t="n">
        <x:f aca="0">G10*(1-$D10)</x:f>
        <x:v>0</x:v>
      </x:c>
      <x:c r="AC10" s="167" t="n">
        <x:f aca="0">H10*(1-$D10)</x:f>
        <x:v>20.46578208134976</x:v>
      </x:c>
      <x:c r="AD10" s="167" t="n">
        <x:f aca="0">I10*(1-$D10)</x:f>
        <x:v>207.54467910794182</x:v>
      </x:c>
      <x:c r="AE10" s="167" t="n">
        <x:f aca="0">J10*(1-$D10)</x:f>
        <x:v>721.9112910423135</x:v>
      </x:c>
      <x:c r="AF10" s="167" t="n">
        <x:f aca="0">K10*(1-$D10)</x:f>
        <x:v>1636.47687385661</x:v>
      </x:c>
      <x:c r="AG10" s="167" t="n">
        <x:f aca="0">L10*(1-$D10)</x:f>
        <x:v>2928.164466219867</x:v>
      </x:c>
      <x:c r="AH10" s="167" t="n">
        <x:f aca="0">M10*(1-$D10)</x:f>
        <x:v>4524.490903881245</x:v>
      </x:c>
      <x:c r="AI10" s="167" t="n">
        <x:f aca="0">N10*(1-$D10)</x:f>
        <x:v>6333.307728377541</x:v>
      </x:c>
      <x:c r="AJ10" s="167" t="n">
        <x:f aca="0">O10*(1-$D10)</x:f>
        <x:v>8263.393840428453</x:v>
      </x:c>
      <x:c r="AK10" s="167" t="n">
        <x:f aca="0">P10*(1-$D10)</x:f>
        <x:v>10235.337880289806</x:v>
      </x:c>
      <x:c r="AL10" s="167" t="n">
        <x:f aca="0">Q10*(1-$D10)</x:f>
        <x:v>12185.78982160482</x:v>
      </x:c>
      <x:c r="AM10" s="167" t="n">
        <x:f aca="0">R10*(1-$D10)</x:f>
        <x:v>14067.786186818634</x:v>
      </x:c>
      <x:c r="AN10" s="167" t="n">
        <x:f aca="0">S10*(1-$D10)</x:f>
        <x:v>15849.061912954347</x:v>
      </x:c>
      <x:c r="AO10" s="167" t="n">
        <x:f aca="0">T10*(1-$D10)</x:f>
        <x:v>17509.550814713155</x:v>
      </x:c>
      <x:c r="AP10" s="167" t="n">
        <x:f aca="0">U10*(1-$D10)</x:f>
        <x:v>19038.759672417313</x:v>
      </x:c>
      <x:c r="AQ10" s="167" t="n">
        <x:f aca="0">V10*(1-$D10)</x:f>
        <x:v>20433.363784098383</x:v>
      </x:c>
      <x:c r="AR10" s="167" t="n">
        <x:f aca="0">W10*(1-$D10)</x:f>
        <x:v>21695.168433302133</x:v>
      </x:c>
      <x:c r="AS10" s="167" t="n">
        <x:f aca="0">X10*(1-$D10)</x:f>
        <x:v>22829.46700591516</x:v>
      </x:c>
      <x:c r="AT10" s="167" t="n">
        <x:f aca="0">Y10*(1-$D10)</x:f>
        <x:v>23843.768834859056</x:v>
      </x:c>
      <x:c r="AU10" s="167" t="n">
        <x:f aca="0">Z10*(1-$D10)</x:f>
        <x:v>24746.84524907372</x:v>
      </x:c>
      <x:c r="AV10" s="37" t="str">
        <x:v>Formula-derived: S17_Biome_Strata row gross stock = eligible area × S15_Source_Strata stock/ha; S15_Source_Strata stock = cohort-aligned Chapman-Richards D/H → Chave AGB → conservative calibration → CF × (1+R) × 44/12. PB applied separately by Biome × Cohort.</x:v>
      </x:c>
    </x:row>
    <x:row r="11" ht="15" hidden="0" customHeight="1">
      <x:c r="A11" s="37" t="s">
        <x:v>112</x:v>
      </x:c>
      <x:c r="B11" s="37" t="n">
        <x:v>2022</x:v>
      </x:c>
      <x:c r="C11" s="167" t="n">
        <x:f aca="0">SUMIFS(S17_Biome_Strata!$F$4:$F$95,S17_Biome_Strata!$A$4:$A$95,"Tropical &amp; Subtropical Dry Broadleaf Forests",S17_Biome_Strata!$B$4:$B$95,$A11,S17_Biome_Strata!$D$4:$D$95,$B11)</x:f>
        <x:v>15.1326</x:v>
      </x:c>
      <x:c r="D11" s="167" t="n">
        <x:f aca="0">S09_PB_Input!H14</x:f>
        <x:v>0.19161300424745234</x:v>
      </x:c>
      <x:c r="E11" s="168" t="str">
        <x:f aca="0">S09_PB_Input!I14</x:f>
        <x:v>VM0047 v1.1 Appendix 1: Z-test significant; PB_t = ΔSI_control / ΔSI_wp (Eq. A8). Source: 20260814_304027_GKF_ProjectPlots_PB.xlsx.</x:v>
      </x:c>
      <x:c r="F11" s="167" t="n">
        <x:f aca="0">SUMIFS(S17_Biome_Strata!$AL$4:$AL$95,S17_Biome_Strata!$A$4:$A$95,"Tropical &amp; Subtropical Dry Broadleaf Forests",S17_Biome_Strata!$B$4:$B$95,$A11,S17_Biome_Strata!$D$4:$D$95,$B11)</x:f>
        <x:v>0</x:v>
      </x:c>
      <x:c r="G11" s="167" t="n">
        <x:f aca="0">SUMIFS(S17_Biome_Strata!$AM$4:$AM$95,S17_Biome_Strata!$A$4:$A$95,"Tropical &amp; Subtropical Dry Broadleaf Forests",S17_Biome_Strata!$B$4:$B$95,$A11,S17_Biome_Strata!$D$4:$D$95,$B11)</x:f>
        <x:v>0</x:v>
      </x:c>
      <x:c r="H11" s="167" t="n">
        <x:f aca="0">SUMIFS(S17_Biome_Strata!$AN$4:$AN$95,S17_Biome_Strata!$A$4:$A$95,"Tropical &amp; Subtropical Dry Broadleaf Forests",S17_Biome_Strata!$B$4:$B$95,$A11,S17_Biome_Strata!$D$4:$D$95,$B11)</x:f>
        <x:v>0</x:v>
      </x:c>
      <x:c r="I11" s="167" t="n">
        <x:f aca="0">SUMIFS(S17_Biome_Strata!$AO$4:$AO$95,S17_Biome_Strata!$A$4:$A$95,"Tropical &amp; Subtropical Dry Broadleaf Forests",S17_Biome_Strata!$B$4:$B$95,$A11,S17_Biome_Strata!$D$4:$D$95,$B11)</x:f>
        <x:v>13.43495752292613</x:v>
      </x:c>
      <x:c r="J11" s="167" t="n">
        <x:f aca="0">SUMIFS(S17_Biome_Strata!$AP$4:$AP$95,S17_Biome_Strata!$A$4:$A$95,"Tropical &amp; Subtropical Dry Broadleaf Forests",S17_Biome_Strata!$B$4:$B$95,$A11,S17_Biome_Strata!$D$4:$D$95,$B11)</x:f>
        <x:v>132.0753988927645</x:v>
      </x:c>
      <x:c r="K11" s="167" t="n">
        <x:f aca="0">SUMIFS(S17_Biome_Strata!$AQ$4:$AQ$95,S17_Biome_Strata!$A$4:$A$95,"Tropical &amp; Subtropical Dry Broadleaf Forests",S17_Biome_Strata!$B$4:$B$95,$A11,S17_Biome_Strata!$D$4:$D$95,$B11)</x:f>
        <x:v>449.86573051003563</x:v>
      </x:c>
      <x:c r="L11" s="167" t="n">
        <x:f aca="0">SUMIFS(S17_Biome_Strata!$AR$4:$AR$95,S17_Biome_Strata!$A$4:$A$95,"Tropical &amp; Subtropical Dry Broadleaf Forests",S17_Biome_Strata!$B$4:$B$95,$A11,S17_Biome_Strata!$D$4:$D$95,$B11)</x:f>
        <x:v>1003.7416438559458</x:v>
      </x:c>
      <x:c r="M11" s="167" t="n">
        <x:f aca="0">SUMIFS(S17_Biome_Strata!$AS$4:$AS$95,S17_Biome_Strata!$A$4:$A$95,"Tropical &amp; Subtropical Dry Broadleaf Forests",S17_Biome_Strata!$B$4:$B$95,$A11,S17_Biome_Strata!$D$4:$D$95,$B11)</x:f>
        <x:v>1773.4462930947502</x:v>
      </x:c>
      <x:c r="N11" s="167" t="n">
        <x:f aca="0">SUMIFS(S17_Biome_Strata!$AT$4:$AT$95,S17_Biome_Strata!$A$4:$A$95,"Tropical &amp; Subtropical Dry Broadleaf Forests",S17_Biome_Strata!$B$4:$B$95,$A11,S17_Biome_Strata!$D$4:$D$95,$B11)</x:f>
        <x:v>2711.929991446082</x:v>
      </x:c>
      <x:c r="O11" s="167" t="n">
        <x:f aca="0">SUMIFS(S17_Biome_Strata!$AU$4:$AU$95,S17_Biome_Strata!$A$4:$A$95,"Tropical &amp; Subtropical Dry Broadleaf Forests",S17_Biome_Strata!$B$4:$B$95,$A11,S17_Biome_Strata!$D$4:$D$95,$B11)</x:f>
        <x:v>3763.1521163406333</x:v>
      </x:c>
      <x:c r="P11" s="167" t="n">
        <x:f aca="0">SUMIFS(S17_Biome_Strata!$AV$4:$AV$95,S17_Biome_Strata!$A$4:$A$95,"Tropical &amp; Subtropical Dry Broadleaf Forests",S17_Biome_Strata!$B$4:$B$95,$A11,S17_Biome_Strata!$D$4:$D$95,$B11)</x:f>
        <x:v>4873.674966687262</x:v>
      </x:c>
      <x:c r="Q11" s="167" t="n">
        <x:f aca="0">SUMIFS(S17_Biome_Strata!$AW$4:$AW$95,S17_Biome_Strata!$A$4:$A$95,"Tropical &amp; Subtropical Dry Broadleaf Forests",S17_Biome_Strata!$B$4:$B$95,$A11,S17_Biome_Strata!$D$4:$D$95,$B11)</x:f>
        <x:v>5998.322391102871</x:v>
      </x:c>
      <x:c r="R11" s="167" t="n">
        <x:f aca="0">SUMIFS(S17_Biome_Strata!$AX$4:$AX$95,S17_Biome_Strata!$A$4:$A$95,"Tropical &amp; Subtropical Dry Broadleaf Forests",S17_Biome_Strata!$B$4:$B$95,$A11,S17_Biome_Strata!$D$4:$D$95,$B11)</x:f>
        <x:v>7102.023448417642</x:v>
      </x:c>
      <x:c r="S11" s="167" t="n">
        <x:f aca="0">SUMIFS(S17_Biome_Strata!$AY$4:$AY$95,S17_Biome_Strata!$A$4:$A$95,"Tropical &amp; Subtropical Dry Broadleaf Forests",S17_Biome_Strata!$B$4:$B$95,$A11,S17_Biome_Strata!$D$4:$D$95,$B11)</x:f>
        <x:v>8159.525590420237</x:v>
      </x:c>
      <x:c r="T11" s="167" t="n">
        <x:f aca="0">SUMIFS(S17_Biome_Strata!$AZ$4:$AZ$95,S17_Biome_Strata!$A$4:$A$95,"Tropical &amp; Subtropical Dry Broadleaf Forests",S17_Biome_Strata!$B$4:$B$95,$A11,S17_Biome_Strata!$D$4:$D$95,$B11)</x:f>
        <x:v>9154.099457864408</x:v>
      </x:c>
      <x:c r="U11" s="167" t="n">
        <x:f aca="0">SUMIFS(S17_Biome_Strata!$BA$4:$BA$95,S17_Biome_Strata!$A$4:$A$95,"Tropical &amp; Subtropical Dry Broadleaf Forests",S17_Biome_Strata!$B$4:$B$95,$A11,S17_Biome_Strata!$D$4:$D$95,$B11)</x:f>
        <x:v>10075.905133695847</x:v>
      </x:c>
      <x:c r="V11" s="167" t="n">
        <x:f aca="0">SUMIFS(S17_Biome_Strata!$BB$4:$BB$95,S17_Biome_Strata!$A$4:$A$95,"Tropical &amp; Subtropical Dry Broadleaf Forests",S17_Biome_Strata!$B$4:$B$95,$A11,S17_Biome_Strata!$D$4:$D$95,$B11)</x:f>
        <x:v>10920.380750376971</x:v>
      </x:c>
      <x:c r="W11" s="167" t="n">
        <x:f aca="0">SUMIFS(S17_Biome_Strata!$BC$4:$BC$95,S17_Biome_Strata!$A$4:$A$95,"Tropical &amp; Subtropical Dry Broadleaf Forests",S17_Biome_Strata!$B$4:$B$95,$A11,S17_Biome_Strata!$D$4:$D$95,$B11)</x:f>
        <x:v>11686.822371280032</x:v>
      </x:c>
      <x:c r="X11" s="167" t="n">
        <x:f aca="0">SUMIFS(S17_Biome_Strata!$BD$4:$BD$95,S17_Biome_Strata!$A$4:$A$95,"Tropical &amp; Subtropical Dry Broadleaf Forests",S17_Biome_Strata!$B$4:$B$95,$A11,S17_Biome_Strata!$D$4:$D$95,$B11)</x:f>
        <x:v>12377.213595382043</x:v>
      </x:c>
      <x:c r="Y11" s="167" t="n">
        <x:f aca="0">SUMIFS(S17_Biome_Strata!$BE$4:$BE$95,S17_Biome_Strata!$A$4:$A$95,"Tropical &amp; Subtropical Dry Broadleaf Forests",S17_Biome_Strata!$B$4:$B$95,$A11,S17_Biome_Strata!$D$4:$D$95,$B11)</x:f>
        <x:v>12995.304909117214</x:v>
      </x:c>
      <x:c r="Z11" s="167" t="n">
        <x:f aca="0">SUMIFS(S17_Biome_Strata!$BF$4:$BF$95,S17_Biome_Strata!$A$4:$A$95,"Tropical &amp; Subtropical Dry Broadleaf Forests",S17_Biome_Strata!$B$4:$B$95,$A11,S17_Biome_Strata!$D$4:$D$95,$B11)</x:f>
        <x:v>13545.915549316804</x:v>
      </x:c>
      <x:c r="AA11" s="167" t="n">
        <x:f aca="0">F11*(1-$D11)</x:f>
        <x:v>0</x:v>
      </x:c>
      <x:c r="AB11" s="167" t="n">
        <x:f aca="0">G11*(1-$D11)</x:f>
        <x:v>0</x:v>
      </x:c>
      <x:c r="AC11" s="167" t="n">
        <x:f aca="0">H11*(1-$D11)</x:f>
        <x:v>0</x:v>
      </x:c>
      <x:c r="AD11" s="167" t="n">
        <x:f aca="0">I11*(1-$D11)</x:f>
        <x:v>10.860644950021344</x:v>
      </x:c>
      <x:c r="AE11" s="167" t="n">
        <x:f aca="0">J11*(1-$D11)</x:f>
        <x:v>106.76803492374125</x:v>
      </x:c>
      <x:c r="AF11" s="167" t="n">
        <x:f aca="0">K11*(1-$D11)</x:f>
        <x:v>363.66560637903297</x:v>
      </x:c>
      <x:c r="AG11" s="167" t="n">
        <x:f aca="0">L11*(1-$D11)</x:f>
        <x:v>811.4116919884317</x:v>
      </x:c>
      <x:c r="AH11" s="167" t="n">
        <x:f aca="0">M11*(1-$D11)</x:f>
        <x:v>1433.6309210033573</x:v>
      </x:c>
      <x:c r="AI11" s="167" t="n">
        <x:f aca="0">N11*(1-$D11)</x:f>
        <x:v>2192.2889384763307</x:v>
      </x:c>
      <x:c r="AJ11" s="167" t="n">
        <x:f aca="0">O11*(1-$D11)</x:f>
        <x:v>3042.0832338884466</x:v>
      </x:c>
      <x:c r="AK11" s="167" t="n">
        <x:f aca="0">P11*(1-$D11)</x:f>
        <x:v>3939.815464594714</x:v>
      </x:c>
      <x:c r="AL11" s="167" t="n">
        <x:f aca="0">Q11*(1-$D11)</x:f>
        <x:v>4848.965817298888</x:v>
      </x:c>
      <x:c r="AM11" s="167" t="n">
        <x:f aca="0">R11*(1-$D11)</x:f>
        <x:v>5741.183399230486</x:v>
      </x:c>
      <x:c r="AN11" s="167" t="n">
        <x:f aca="0">S11*(1-$D11)</x:f>
        <x:v>6596.0543788058485</x:v>
      </x:c>
      <x:c r="AO11" s="167" t="n">
        <x:f aca="0">T11*(1-$D11)</x:f>
        <x:v>7400.054959563034</x:v>
      </x:c>
      <x:c r="AP11" s="167" t="n">
        <x:f aca="0">U11*(1-$D11)</x:f>
        <x:v>8145.230680516059</x:v>
      </x:c>
      <x:c r="AQ11" s="167" t="n">
        <x:f aca="0">V11*(1-$D11)</x:f>
        <x:v>8827.893787271192</x:v>
      </x:c>
      <x:c r="AR11" s="167" t="n">
        <x:f aca="0">W11*(1-$D11)</x:f>
        <x:v>9447.47522661273</x:v>
      </x:c>
      <x:c r="AS11" s="167" t="n">
        <x:f aca="0">X11*(1-$D11)</x:f>
        <x:v>10005.57851415848</x:v>
      </x:c>
      <x:c r="AT11" s="167" t="n">
        <x:f aca="0">Y11*(1-$D11)</x:f>
        <x:v>10505.2354943696</x:v>
      </x:c>
      <x:c r="AU11" s="167" t="n">
        <x:f aca="0">Z11*(1-$D11)</x:f>
        <x:v>10950.341975629932</x:v>
      </x:c>
      <x:c r="AV11" s="37" t="str">
        <x:v>Formula-derived: S17_Biome_Strata row gross stock = eligible area × S15_Source_Strata stock/ha; S15_Source_Strata stock = cohort-aligned Chapman-Richards D/H → Chave AGB → conservative calibration → CF × (1+R) × 44/12. PB applied separately by Biome × Cohort.</x:v>
      </x:c>
    </x:row>
    <x:row r="12" ht="15" hidden="0" customHeight="1">
      <x:c r="A12" s="37" t="s">
        <x:v>112</x:v>
      </x:c>
      <x:c r="B12" s="37" t="n">
        <x:v>2023</x:v>
      </x:c>
      <x:c r="C12" s="167" t="n">
        <x:f aca="0">SUMIFS(S17_Biome_Strata!$F$4:$F$95,S17_Biome_Strata!$A$4:$A$95,"Tropical &amp; Subtropical Dry Broadleaf Forests",S17_Biome_Strata!$B$4:$B$95,$A12,S17_Biome_Strata!$D$4:$D$95,$B12)</x:f>
        <x:v>1.979</x:v>
      </x:c>
      <x:c r="D12" s="167" t="n">
        <x:f aca="0">S09_PB_Input!H15</x:f>
        <x:v>0.19161300424745234</x:v>
      </x:c>
      <x:c r="E12" s="168" t="str">
        <x:f aca="0">S09_PB_Input!I15</x:f>
        <x:v>VM0047 v1.1 Appendix 1: Z-test significant; PB_t = ΔSI_control / ΔSI_wp (Eq. A8). Source: 20260814_304027_GKF_ProjectPlots_PB.xlsx.</x:v>
      </x:c>
      <x:c r="F12" s="167" t="n">
        <x:f aca="0">SUMIFS(S17_Biome_Strata!$AL$4:$AL$95,S17_Biome_Strata!$A$4:$A$95,"Tropical &amp; Subtropical Dry Broadleaf Forests",S17_Biome_Strata!$B$4:$B$95,$A12,S17_Biome_Strata!$D$4:$D$95,$B12)</x:f>
        <x:v>0</x:v>
      </x:c>
      <x:c r="G12" s="167" t="n">
        <x:f aca="0">SUMIFS(S17_Biome_Strata!$AM$4:$AM$95,S17_Biome_Strata!$A$4:$A$95,"Tropical &amp; Subtropical Dry Broadleaf Forests",S17_Biome_Strata!$B$4:$B$95,$A12,S17_Biome_Strata!$D$4:$D$95,$B12)</x:f>
        <x:v>0</x:v>
      </x:c>
      <x:c r="H12" s="167" t="n">
        <x:f aca="0">SUMIFS(S17_Biome_Strata!$AN$4:$AN$95,S17_Biome_Strata!$A$4:$A$95,"Tropical &amp; Subtropical Dry Broadleaf Forests",S17_Biome_Strata!$B$4:$B$95,$A12,S17_Biome_Strata!$D$4:$D$95,$B12)</x:f>
        <x:v>0</x:v>
      </x:c>
      <x:c r="I12" s="167" t="n">
        <x:f aca="0">SUMIFS(S17_Biome_Strata!$AO$4:$AO$95,S17_Biome_Strata!$A$4:$A$95,"Tropical &amp; Subtropical Dry Broadleaf Forests",S17_Biome_Strata!$B$4:$B$95,$A12,S17_Biome_Strata!$D$4:$D$95,$B12)</x:f>
        <x:v>0</x:v>
      </x:c>
      <x:c r="J12" s="167" t="n">
        <x:f aca="0">SUMIFS(S17_Biome_Strata!$AP$4:$AP$95,S17_Biome_Strata!$A$4:$A$95,"Tropical &amp; Subtropical Dry Broadleaf Forests",S17_Biome_Strata!$B$4:$B$95,$A12,S17_Biome_Strata!$D$4:$D$95,$B12)</x:f>
        <x:v>1.274680356517444</x:v>
      </x:c>
      <x:c r="K12" s="167" t="n">
        <x:f aca="0">SUMIFS(S17_Biome_Strata!$AQ$4:$AQ$95,S17_Biome_Strata!$A$4:$A$95,"Tropical &amp; Subtropical Dry Broadleaf Forests",S17_Biome_Strata!$B$4:$B$95,$A12,S17_Biome_Strata!$D$4:$D$95,$B12)</x:f>
        <x:v>12.41750257154271</x:v>
      </x:c>
      <x:c r="L12" s="167" t="n">
        <x:f aca="0">SUMIFS(S17_Biome_Strata!$AR$4:$AR$95,S17_Biome_Strata!$A$4:$A$95,"Tropical &amp; Subtropical Dry Broadleaf Forests",S17_Biome_Strata!$B$4:$B$95,$A12,S17_Biome_Strata!$D$4:$D$95,$B12)</x:f>
        <x:v>41.82729189082436</x:v>
      </x:c>
      <x:c r="M12" s="167" t="n">
        <x:f aca="0">SUMIFS(S17_Biome_Strata!$AS$4:$AS$95,S17_Biome_Strata!$A$4:$A$95,"Tropical &amp; Subtropical Dry Broadleaf Forests",S17_Biome_Strata!$B$4:$B$95,$A12,S17_Biome_Strata!$D$4:$D$95,$B12)</x:f>
        <x:v>92.25956940698666</x:v>
      </x:c>
      <x:c r="N12" s="167" t="n">
        <x:f aca="0">SUMIFS(S17_Biome_Strata!$AT$4:$AT$95,S17_Biome_Strata!$A$4:$A$95,"Tropical &amp; Subtropical Dry Broadleaf Forests",S17_Biome_Strata!$B$4:$B$95,$A12,S17_Biome_Strata!$D$4:$D$95,$B12)</x:f>
        <x:v>161.19529103561212</x:v>
      </x:c>
      <x:c r="O12" s="167" t="n">
        <x:f aca="0">SUMIFS(S17_Biome_Strata!$AU$4:$AU$95,S17_Biome_Strata!$A$4:$A$95,"Tropical &amp; Subtropical Dry Broadleaf Forests",S17_Biome_Strata!$B$4:$B$95,$A12,S17_Biome_Strata!$D$4:$D$95,$B12)</x:f>
        <x:v>243.90623470015998</x:v>
      </x:c>
      <x:c r="P12" s="167" t="n">
        <x:f aca="0">SUMIFS(S17_Biome_Strata!$AV$4:$AV$95,S17_Biome_Strata!$A$4:$A$95,"Tropical &amp; Subtropical Dry Broadleaf Forests",S17_Biome_Strata!$B$4:$B$95,$A12,S17_Biome_Strata!$D$4:$D$95,$B12)</x:f>
        <x:v>335.1466362941776</x:v>
      </x:c>
      <x:c r="Q12" s="167" t="n">
        <x:f aca="0">SUMIFS(S17_Biome_Strata!$AW$4:$AW$95,S17_Biome_Strata!$A$4:$A$95,"Tropical &amp; Subtropical Dry Broadleaf Forests",S17_Biome_Strata!$B$4:$B$95,$A12,S17_Biome_Strata!$D$4:$D$95,$B12)</x:f>
        <x:v>430.1623875583495</x:v>
      </x:c>
      <x:c r="R12" s="167" t="n">
        <x:f aca="0">SUMIFS(S17_Biome_Strata!$AX$4:$AX$95,S17_Biome_Strata!$A$4:$A$95,"Tropical &amp; Subtropical Dry Broadleaf Forests",S17_Biome_Strata!$B$4:$B$95,$A12,S17_Biome_Strata!$D$4:$D$95,$B12)</x:f>
        <x:v>525.1171254404329</x:v>
      </x:c>
      <x:c r="S12" s="167" t="n">
        <x:f aca="0">SUMIFS(S17_Biome_Strata!$AY$4:$AY$95,S17_Biome_Strata!$A$4:$A$95,"Tropical &amp; Subtropical Dry Broadleaf Forests",S17_Biome_Strata!$B$4:$B$95,$A12,S17_Biome_Strata!$D$4:$D$95,$B12)</x:f>
        <x:v>617.1732988973189</x:v>
      </x:c>
      <x:c r="T12" s="167" t="n">
        <x:f aca="0">SUMIFS(S17_Biome_Strata!$AZ$4:$AZ$95,S17_Biome_Strata!$A$4:$A$95,"Tropical &amp; Subtropical Dry Broadleaf Forests",S17_Biome_Strata!$B$4:$B$95,$A12,S17_Biome_Strata!$D$4:$D$95,$B12)</x:f>
        <x:v>704.3999154921738</x:v>
      </x:c>
      <x:c r="U12" s="167" t="n">
        <x:f aca="0">SUMIFS(S17_Biome_Strata!$BA$4:$BA$95,S17_Biome_Strata!$A$4:$A$95,"Tropical &amp; Subtropical Dry Broadleaf Forests",S17_Biome_Strata!$B$4:$B$95,$A12,S17_Biome_Strata!$D$4:$D$95,$B12)</x:f>
        <x:v>785.6122097443078</x:v>
      </x:c>
      <x:c r="V12" s="167" t="n">
        <x:f aca="0">SUMIFS(S17_Biome_Strata!$BB$4:$BB$95,S17_Biome_Strata!$A$4:$A$95,"Tropical &amp; Subtropical Dry Broadleaf Forests",S17_Biome_Strata!$B$4:$B$95,$A12,S17_Biome_Strata!$D$4:$D$95,$B12)</x:f>
        <x:v>860.2005232879674</x:v>
      </x:c>
      <x:c r="W12" s="167" t="n">
        <x:f aca="0">SUMIFS(S17_Biome_Strata!$BC$4:$BC$95,S17_Biome_Strata!$A$4:$A$95,"Tropical &amp; Subtropical Dry Broadleaf Forests",S17_Biome_Strata!$B$4:$B$95,$A12,S17_Biome_Strata!$D$4:$D$95,$B12)</x:f>
        <x:v>927.9756340444636</x:v>
      </x:c>
      <x:c r="X12" s="167" t="n">
        <x:f aca="0">SUMIFS(S17_Biome_Strata!$BD$4:$BD$95,S17_Biome_Strata!$A$4:$A$95,"Tropical &amp; Subtropical Dry Broadleaf Forests",S17_Biome_Strata!$B$4:$B$95,$A12,S17_Biome_Strata!$D$4:$D$95,$B12)</x:f>
        <x:v>989.0406525364801</x:v>
      </x:c>
      <x:c r="Y12" s="167" t="n">
        <x:f aca="0">SUMIFS(S17_Biome_Strata!$BE$4:$BE$95,S17_Biome_Strata!$A$4:$A$95,"Tropical &amp; Subtropical Dry Broadleaf Forests",S17_Biome_Strata!$B$4:$B$95,$A12,S17_Biome_Strata!$D$4:$D$95,$B12)</x:f>
        <x:v>1043.6907140151932</x:v>
      </x:c>
      <x:c r="Z12" s="167" t="n">
        <x:f aca="0">SUMIFS(S17_Biome_Strata!$BF$4:$BF$95,S17_Biome_Strata!$A$4:$A$95,"Tropical &amp; Subtropical Dry Broadleaf Forests",S17_Biome_Strata!$B$4:$B$95,$A12,S17_Biome_Strata!$D$4:$D$95,$B12)</x:f>
        <x:v>1092.3376294284246</x:v>
      </x:c>
      <x:c r="AA12" s="167" t="n">
        <x:f aca="0">F12*(1-$D12)</x:f>
        <x:v>0</x:v>
      </x:c>
      <x:c r="AB12" s="167" t="n">
        <x:f aca="0">G12*(1-$D12)</x:f>
        <x:v>0</x:v>
      </x:c>
      <x:c r="AC12" s="167" t="n">
        <x:f aca="0">H12*(1-$D12)</x:f>
        <x:v>0</x:v>
      </x:c>
      <x:c r="AD12" s="167" t="n">
        <x:f aca="0">I12*(1-$D12)</x:f>
        <x:v>0</x:v>
      </x:c>
      <x:c r="AE12" s="167" t="n">
        <x:f aca="0">J12*(1-$D12)</x:f>
        <x:v>1.030435023949923</x:v>
      </x:c>
      <x:c r="AF12" s="167" t="n">
        <x:f aca="0">K12*(1-$D12)</x:f>
        <x:v>10.038147598558947</x:v>
      </x:c>
      <x:c r="AG12" s="167" t="n">
        <x:f aca="0">L12*(1-$D12)</x:f>
        <x:v>33.8126388320884</x:v>
      </x:c>
      <x:c r="AH12" s="167" t="n">
        <x:f aca="0">M12*(1-$D12)</x:f>
        <x:v>74.5814361423376</x:v>
      </x:c>
      <x:c r="AI12" s="167" t="n">
        <x:f aca="0">N12*(1-$D12)</x:f>
        <x:v>130.30817704973606</x:v>
      </x:c>
      <x:c r="AJ12" s="167" t="n">
        <x:f aca="0">O12*(1-$D12)</x:f>
        <x:v>197.17062831457812</x:v>
      </x:c>
      <x:c r="AK12" s="167" t="n">
        <x:f aca="0">P12*(1-$D12)</x:f>
        <x:v>270.928182450422</x:v>
      </x:c>
      <x:c r="AL12" s="167" t="n">
        <x:f aca="0">Q12*(1-$D12)</x:f>
        <x:v>347.7376801640373</x:v>
      </x:c>
      <x:c r="AM12" s="167" t="n">
        <x:f aca="0">R12*(1-$D12)</x:f>
        <x:v>424.4978554530053</x:v>
      </x:c>
      <x:c r="AN12" s="167" t="n">
        <x:f aca="0">S12*(1-$D12)</x:f>
        <x:v>498.9148689542928</x:v>
      </x:c>
      <x:c r="AO12" s="167" t="n">
        <x:f aca="0">T12*(1-$D12)</x:f>
        <x:v>569.4277314930669</x:v>
      </x:c>
      <x:c r="AP12" s="167" t="n">
        <x:f aca="0">U12*(1-$D12)</x:f>
        <x:v>635.0786940617214</x:v>
      </x:c>
      <x:c r="AQ12" s="167" t="n">
        <x:f aca="0">V12*(1-$D12)</x:f>
        <x:v>695.3749167655294</x:v>
      </x:c>
      <x:c r="AR12" s="167" t="n">
        <x:f aca="0">W12*(1-$D12)</x:f>
        <x:v>750.1634349367696</x:v>
      </x:c>
      <x:c r="AS12" s="167" t="n">
        <x:f aca="0">X12*(1-$D12)</x:f>
        <x:v>799.5276017811045</x:v>
      </x:c>
      <x:c r="AT12" s="167" t="n">
        <x:f aca="0">Y12*(1-$D12)</x:f>
        <x:v>843.7060007975734</x:v>
      </x:c>
      <x:c r="AU12" s="167" t="n">
        <x:f aca="0">Z12*(1-$D12)</x:f>
        <x:v>883.0315346011039</x:v>
      </x:c>
      <x:c r="AV12" s="37" t="str">
        <x:v>Formula-derived: S17_Biome_Strata row gross stock = eligible area × S15_Source_Strata stock/ha; S15_Source_Strata stock = cohort-aligned Chapman-Richards D/H → Chave AGB → conservative calibration → CF × (1+R) × 44/12. PB applied separately by Biome × Cohort.</x:v>
      </x:c>
    </x:row>
    <x:row r="13" ht="15" hidden="0" customHeight="1">
      <x:c r="A13" s="37" t="s">
        <x:v>112</x:v>
      </x:c>
      <x:c r="B13" s="37" t="n">
        <x:v>2024</x:v>
      </x:c>
      <x:c r="C13" s="167" t="n">
        <x:f aca="0">SUMIFS(S17_Biome_Strata!$F$4:$F$95,S17_Biome_Strata!$A$4:$A$95,"Tropical &amp; Subtropical Dry Broadleaf Forests",S17_Biome_Strata!$B$4:$B$95,$A13,S17_Biome_Strata!$D$4:$D$95,$B13)</x:f>
        <x:v>1.6662</x:v>
      </x:c>
      <x:c r="D13" s="167" t="n">
        <x:f aca="0">S09_PB_Input!H16</x:f>
        <x:v>0.19161300424745234</x:v>
      </x:c>
      <x:c r="E13" s="168" t="str">
        <x:f aca="0">S09_PB_Input!I16</x:f>
        <x:v>VM0047 v1.1 Appendix 1: Z-test significant; PB_t = ΔSI_control / ΔSI_wp (Eq. A8). Source: 20260814_304027_GKF_ProjectPlots_PB.xlsx.</x:v>
      </x:c>
      <x:c r="F13" s="167" t="n">
        <x:f aca="0">SUMIFS(S17_Biome_Strata!$AL$4:$AL$95,S17_Biome_Strata!$A$4:$A$95,"Tropical &amp; Subtropical Dry Broadleaf Forests",S17_Biome_Strata!$B$4:$B$95,$A13,S17_Biome_Strata!$D$4:$D$95,$B13)</x:f>
        <x:v>0</x:v>
      </x:c>
      <x:c r="G13" s="167" t="n">
        <x:f aca="0">SUMIFS(S17_Biome_Strata!$AM$4:$AM$95,S17_Biome_Strata!$A$4:$A$95,"Tropical &amp; Subtropical Dry Broadleaf Forests",S17_Biome_Strata!$B$4:$B$95,$A13,S17_Biome_Strata!$D$4:$D$95,$B13)</x:f>
        <x:v>0</x:v>
      </x:c>
      <x:c r="H13" s="167" t="n">
        <x:f aca="0">SUMIFS(S17_Biome_Strata!$AN$4:$AN$95,S17_Biome_Strata!$A$4:$A$95,"Tropical &amp; Subtropical Dry Broadleaf Forests",S17_Biome_Strata!$B$4:$B$95,$A13,S17_Biome_Strata!$D$4:$D$95,$B13)</x:f>
        <x:v>0</x:v>
      </x:c>
      <x:c r="I13" s="167" t="n">
        <x:f aca="0">SUMIFS(S17_Biome_Strata!$AO$4:$AO$95,S17_Biome_Strata!$A$4:$A$95,"Tropical &amp; Subtropical Dry Broadleaf Forests",S17_Biome_Strata!$B$4:$B$95,$A13,S17_Biome_Strata!$D$4:$D$95,$B13)</x:f>
        <x:v>0</x:v>
      </x:c>
      <x:c r="J13" s="167" t="n">
        <x:f aca="0">SUMIFS(S17_Biome_Strata!$AP$4:$AP$95,S17_Biome_Strata!$A$4:$A$95,"Tropical &amp; Subtropical Dry Broadleaf Forests",S17_Biome_Strata!$B$4:$B$95,$A13,S17_Biome_Strata!$D$4:$D$95,$B13)</x:f>
        <x:v>0</x:v>
      </x:c>
      <x:c r="K13" s="167" t="n">
        <x:f aca="0">SUMIFS(S17_Biome_Strata!$AQ$4:$AQ$95,S17_Biome_Strata!$A$4:$A$95,"Tropical &amp; Subtropical Dry Broadleaf Forests",S17_Biome_Strata!$B$4:$B$95,$A13,S17_Biome_Strata!$D$4:$D$95,$B13)</x:f>
        <x:v>0.2899760152299972</x:v>
      </x:c>
      <x:c r="L13" s="167" t="n">
        <x:f aca="0">SUMIFS(S17_Biome_Strata!$AR$4:$AR$95,S17_Biome_Strata!$A$4:$A$95,"Tropical &amp; Subtropical Dry Broadleaf Forests",S17_Biome_Strata!$B$4:$B$95,$A13,S17_Biome_Strata!$D$4:$D$95,$B13)</x:f>
        <x:v>3.0129874526974034</x:v>
      </x:c>
      <x:c r="M13" s="167" t="n">
        <x:f aca="0">SUMIFS(S17_Biome_Strata!$AS$4:$AS$95,S17_Biome_Strata!$A$4:$A$95,"Tropical &amp; Subtropical Dry Broadleaf Forests",S17_Biome_Strata!$B$4:$B$95,$A13,S17_Biome_Strata!$D$4:$D$95,$B13)</x:f>
        <x:v>10.684005571896542</x:v>
      </x:c>
      <x:c r="N13" s="167" t="n">
        <x:f aca="0">SUMIFS(S17_Biome_Strata!$AT$4:$AT$95,S17_Biome_Strata!$A$4:$A$95,"Tropical &amp; Subtropical Dry Broadleaf Forests",S17_Biome_Strata!$B$4:$B$95,$A13,S17_Biome_Strata!$D$4:$D$95,$B13)</x:f>
        <x:v>24.637903149386247</x:v>
      </x:c>
      <x:c r="O13" s="167" t="n">
        <x:f aca="0">SUMIFS(S17_Biome_Strata!$AU$4:$AU$95,S17_Biome_Strata!$A$4:$A$95,"Tropical &amp; Subtropical Dry Broadleaf Forests",S17_Biome_Strata!$B$4:$B$95,$A13,S17_Biome_Strata!$D$4:$D$95,$B13)</x:f>
        <x:v>44.7831142785198</x:v>
      </x:c>
      <x:c r="P13" s="167" t="n">
        <x:f aca="0">SUMIFS(S17_Biome_Strata!$AV$4:$AV$95,S17_Biome_Strata!$A$4:$A$95,"Tropical &amp; Subtropical Dry Broadleaf Forests",S17_Biome_Strata!$B$4:$B$95,$A13,S17_Biome_Strata!$D$4:$D$95,$B13)</x:f>
        <x:v>70.20993176778134</x:v>
      </x:c>
      <x:c r="Q13" s="167" t="n">
        <x:f aca="0">SUMIFS(S17_Biome_Strata!$AW$4:$AW$95,S17_Biome_Strata!$A$4:$A$95,"Tropical &amp; Subtropical Dry Broadleaf Forests",S17_Biome_Strata!$B$4:$B$95,$A13,S17_Biome_Strata!$D$4:$D$95,$B13)</x:f>
        <x:v>99.60977675969916</x:v>
      </x:c>
      <x:c r="R13" s="167" t="n">
        <x:f aca="0">SUMIFS(S17_Biome_Strata!$AX$4:$AX$95,S17_Biome_Strata!$A$4:$A$95,"Tropical &amp; Subtropical Dry Broadleaf Forests",S17_Biome_Strata!$B$4:$B$95,$A13,S17_Biome_Strata!$D$4:$D$95,$B13)</x:f>
        <x:v>131.5935461000417</x:v>
      </x:c>
      <x:c r="S13" s="167" t="n">
        <x:f aca="0">SUMIFS(S17_Biome_Strata!$AY$4:$AY$95,S17_Biome_Strata!$A$4:$A$95,"Tropical &amp; Subtropical Dry Broadleaf Forests",S17_Biome_Strata!$B$4:$B$95,$A13,S17_Biome_Strata!$D$4:$D$95,$B13)</x:f>
        <x:v>164.88052361297107</x:v>
      </x:c>
      <x:c r="T13" s="167" t="n">
        <x:f aca="0">SUMIFS(S17_Biome_Strata!$AZ$4:$AZ$95,S17_Biome_Strata!$A$4:$A$95,"Tropical &amp; Subtropical Dry Broadleaf Forests",S17_Biome_Strata!$B$4:$B$95,$A13,S17_Biome_Strata!$D$4:$D$95,$B13)</x:f>
        <x:v>198.39040970371929</x:v>
      </x:c>
      <x:c r="U13" s="167" t="n">
        <x:f aca="0">SUMIFS(S17_Biome_Strata!$BA$4:$BA$95,S17_Biome_Strata!$A$4:$A$95,"Tropical &amp; Subtropical Dry Broadleaf Forests",S17_Biome_Strata!$B$4:$B$95,$A13,S17_Biome_Strata!$D$4:$D$95,$B13)</x:f>
        <x:v>231.27227099262143</x:v>
      </x:c>
      <x:c r="V13" s="167" t="n">
        <x:f aca="0">SUMIFS(S17_Biome_Strata!$BB$4:$BB$95,S17_Biome_Strata!$A$4:$A$95,"Tropical &amp; Subtropical Dry Broadleaf Forests",S17_Biome_Strata!$B$4:$B$95,$A13,S17_Biome_Strata!$D$4:$D$95,$B13)</x:f>
        <x:v>262.8968355254038</x:v>
      </x:c>
      <x:c r="W13" s="167" t="n">
        <x:f aca="0">SUMIFS(S17_Biome_Strata!$BC$4:$BC$95,S17_Biome_Strata!$A$4:$A$95,"Tropical &amp; Subtropical Dry Broadleaf Forests",S17_Biome_Strata!$B$4:$B$95,$A13,S17_Biome_Strata!$D$4:$D$95,$B13)</x:f>
        <x:v>292.83029430155074</x:v>
      </x:c>
      <x:c r="X13" s="167" t="n">
        <x:f aca="0">SUMIFS(S17_Biome_Strata!$BD$4:$BD$95,S17_Biome_Strata!$A$4:$A$95,"Tropical &amp; Subtropical Dry Broadleaf Forests",S17_Biome_Strata!$B$4:$B$95,$A13,S17_Biome_Strata!$D$4:$D$95,$B13)</x:f>
        <x:v>320.80103466892564</x:v>
      </x:c>
      <x:c r="Y13" s="167" t="n">
        <x:f aca="0">SUMIFS(S17_Biome_Strata!$BE$4:$BE$95,S17_Biome_Strata!$A$4:$A$95,"Tropical &amp; Subtropical Dry Broadleaf Forests",S17_Biome_Strata!$B$4:$B$95,$A13,S17_Biome_Strata!$D$4:$D$95,$B13)</x:f>
        <x:v>346.66591724099743</x:v>
      </x:c>
      <x:c r="Z13" s="167" t="n">
        <x:f aca="0">SUMIFS(S17_Biome_Strata!$BF$4:$BF$95,S17_Biome_Strata!$A$4:$A$95,"Tropical &amp; Subtropical Dry Broadleaf Forests",S17_Biome_Strata!$B$4:$B$95,$A13,S17_Biome_Strata!$D$4:$D$95,$B13)</x:f>
        <x:v>370.37953183380586</x:v>
      </x:c>
      <x:c r="AA13" s="167" t="n">
        <x:f aca="0">F13*(1-$D13)</x:f>
        <x:v>0</x:v>
      </x:c>
      <x:c r="AB13" s="167" t="n">
        <x:f aca="0">G13*(1-$D13)</x:f>
        <x:v>0</x:v>
      </x:c>
      <x:c r="AC13" s="167" t="n">
        <x:f aca="0">H13*(1-$D13)</x:f>
        <x:v>0</x:v>
      </x:c>
      <x:c r="AD13" s="167" t="n">
        <x:f aca="0">I13*(1-$D13)</x:f>
        <x:v>0</x:v>
      </x:c>
      <x:c r="AE13" s="167" t="n">
        <x:f aca="0">J13*(1-$D13)</x:f>
        <x:v>0</x:v>
      </x:c>
      <x:c r="AF13" s="167" t="n">
        <x:f aca="0">K13*(1-$D13)</x:f>
        <x:v>0.23441283979207247</x:v>
      </x:c>
      <x:c r="AG13" s="167" t="n">
        <x:f aca="0">L13*(1-$D13)</x:f>
        <x:v>2.4356598751261753</x:v>
      </x:c>
      <x:c r="AH13" s="167" t="n">
        <x:f aca="0">M13*(1-$D13)</x:f>
        <x:v>8.636811166868926</x:v>
      </x:c>
      <x:c r="AI13" s="167" t="n">
        <x:f aca="0">N13*(1-$D13)</x:f>
        <x:v>19.916960508574583</x:v>
      </x:c>
      <x:c r="AJ13" s="167" t="n">
        <x:f aca="0">O13*(1-$D13)</x:f>
        <x:v>36.20208721205564</x:v>
      </x:c>
      <x:c r="AK13" s="167" t="n">
        <x:f aca="0">P13*(1-$D13)</x:f>
        <x:v>56.75679581374812</x:v>
      </x:c>
      <x:c r="AL13" s="167" t="n">
        <x:f aca="0">Q13*(1-$D13)</x:f>
        <x:v>80.52324818235515</x:v>
      </x:c>
      <x:c r="AM13" s="167" t="n">
        <x:f aca="0">R13*(1-$D13)</x:f>
        <x:v>106.37851139223709</x:v>
      </x:c>
      <x:c r="AN13" s="167" t="n">
        <x:f aca="0">S13*(1-$D13)</x:f>
        <x:v>133.28727114159668</x:v>
      </x:c>
      <x:c r="AO13" s="167" t="n">
        <x:f aca="0">T13*(1-$D13)</x:f>
        <x:v>160.37622728650672</x:v>
      </x:c>
      <x:c r="AP13" s="167" t="n">
        <x:f aca="0">U13*(1-$D13)</x:f>
        <x:v>186.9574963485943</x:v>
      </x:c>
      <x:c r="AQ13" s="167" t="n">
        <x:f aca="0">V13*(1-$D13)</x:f>
        <x:v>212.5223830632328</x:v>
      </x:c>
      <x:c r="AR13" s="167" t="n">
        <x:f aca="0">W13*(1-$D13)</x:f>
        <x:v>236.72020187576499</x:v>
      </x:c>
      <x:c r="AS13" s="167" t="n">
        <x:f aca="0">X13*(1-$D13)</x:f>
        <x:v>259.3313846503217</x:v>
      </x:c>
      <x:c r="AT13" s="167" t="n">
        <x:f aca="0">Y13*(1-$D13)</x:f>
        <x:v>280.24021936825125</x:v>
      </x:c>
      <x:c r="AU13" s="167" t="n">
        <x:f aca="0">Z13*(1-$D13)</x:f>
        <x:v>299.4099970273654</x:v>
      </x:c>
      <x:c r="AV13" s="37" t="str">
        <x:v>Formula-derived: S17_Biome_Strata row gross stock = eligible area × S15_Source_Strata stock/ha; S15_Source_Strata stock = cohort-aligned Chapman-Richards D/H → Chave AGB → conservative calibration → CF × (1+R) × 44/12. PB applied separately by Biome × Cohort.</x:v>
      </x:c>
    </x:row>
    <x:row r="14" ht="15" hidden="0" customHeight="1">
      <x:c r="A14" s="37" t="s">
        <x:v>113</x:v>
      </x:c>
      <x:c r="B14" s="37" t="n">
        <x:v>2020</x:v>
      </x:c>
      <x:c r="C14" s="167" t="n">
        <x:f aca="0">SUMIFS(S17_Biome_Strata!$F$4:$F$95,S17_Biome_Strata!$A$4:$A$95,"Tropical &amp; Subtropical Dry Broadleaf Forests",S17_Biome_Strata!$B$4:$B$95,$A14,S17_Biome_Strata!$D$4:$D$95,$B14)</x:f>
        <x:v>466.75803707001205</x:v>
      </x:c>
      <x:c r="D14" s="167" t="n">
        <x:f aca="0">S09_PB_Input!H12</x:f>
        <x:v>0.19161300424745234</x:v>
      </x:c>
      <x:c r="E14" s="168" t="str">
        <x:f aca="0">S09_PB_Input!I12</x:f>
        <x:v>VM0047 v1.1 Appendix 1: Z-test significant; PB_t = ΔSI_control / ΔSI_wp (Eq. A8). Source: 20260814_304027_GKF_ProjectPlots_PB.xlsx.</x:v>
      </x:c>
      <x:c r="F14" s="167" t="n">
        <x:f aca="0">SUMIFS(S17_Biome_Strata!$AL$4:$AL$95,S17_Biome_Strata!$A$4:$A$95,"Tropical &amp; Subtropical Dry Broadleaf Forests",S17_Biome_Strata!$B$4:$B$95,$A14,S17_Biome_Strata!$D$4:$D$95,$B14)</x:f>
        <x:v>0</x:v>
      </x:c>
      <x:c r="G14" s="167" t="n">
        <x:f aca="0">SUMIFS(S17_Biome_Strata!$AM$4:$AM$95,S17_Biome_Strata!$A$4:$A$95,"Tropical &amp; Subtropical Dry Broadleaf Forests",S17_Biome_Strata!$B$4:$B$95,$A14,S17_Biome_Strata!$D$4:$D$95,$B14)</x:f>
        <x:v>1015.33429636257</x:v>
      </x:c>
      <x:c r="H14" s="167" t="n">
        <x:f aca="0">SUMIFS(S17_Biome_Strata!$AN$4:$AN$95,S17_Biome_Strata!$A$4:$A$95,"Tropical &amp; Subtropical Dry Broadleaf Forests",S17_Biome_Strata!$B$4:$B$95,$A14,S17_Biome_Strata!$D$4:$D$95,$B14)</x:f>
        <x:v>9773.003376882127</x:v>
      </x:c>
      <x:c r="I14" s="167" t="n">
        <x:f aca="0">SUMIFS(S17_Biome_Strata!$AO$4:$AO$95,S17_Biome_Strata!$A$4:$A$95,"Tropical &amp; Subtropical Dry Broadleaf Forests",S17_Biome_Strata!$B$4:$B$95,$A14,S17_Biome_Strata!$D$4:$D$95,$B14)</x:f>
        <x:v>32862.720184628764</x:v>
      </x:c>
      <x:c r="J14" s="167" t="n">
        <x:f aca="0">SUMIFS(S17_Biome_Strata!$AP$4:$AP$95,S17_Biome_Strata!$A$4:$A$95,"Tropical &amp; Subtropical Dry Broadleaf Forests",S17_Biome_Strata!$B$4:$B$95,$A14,S17_Biome_Strata!$D$4:$D$95,$B14)</x:f>
        <x:v>72659.25888390632</x:v>
      </x:c>
      <x:c r="K14" s="167" t="n">
        <x:f aca="0">SUMIFS(S17_Biome_Strata!$AQ$4:$AQ$95,S17_Biome_Strata!$A$4:$A$95,"Tropical &amp; Subtropical Dry Broadleaf Forests",S17_Biome_Strata!$B$4:$B$95,$A14,S17_Biome_Strata!$D$4:$D$95,$B14)</x:f>
        <x:v>127489.84908826518</x:v>
      </x:c>
      <x:c r="L14" s="167" t="n">
        <x:f aca="0">SUMIFS(S17_Biome_Strata!$AR$4:$AR$95,S17_Biome_Strata!$A$4:$A$95,"Tropical &amp; Subtropical Dry Broadleaf Forests",S17_Biome_Strata!$B$4:$B$95,$A14,S17_Biome_Strata!$D$4:$D$95,$B14)</x:f>
        <x:v>193880.1623577366</x:v>
      </x:c>
      <x:c r="M14" s="167" t="n">
        <x:f aca="0">SUMIFS(S17_Biome_Strata!$AS$4:$AS$95,S17_Biome_Strata!$A$4:$A$95,"Tropical &amp; Subtropical Dry Broadleaf Forests",S17_Biome_Strata!$B$4:$B$95,$A14,S17_Biome_Strata!$D$4:$D$95,$B14)</x:f>
        <x:v>267811.7875459711</x:v>
      </x:c>
      <x:c r="N14" s="167" t="n">
        <x:f aca="0">SUMIFS(S17_Biome_Strata!$AT$4:$AT$95,S17_Biome_Strata!$A$4:$A$95,"Tropical &amp; Subtropical Dry Broadleaf Forests",S17_Biome_Strata!$B$4:$B$95,$A14,S17_Biome_Strata!$D$4:$D$95,$B14)</x:f>
        <x:v>345519.3914383406</x:v>
      </x:c>
      <x:c r="O14" s="167" t="n">
        <x:f aca="0">SUMIFS(S17_Biome_Strata!$AU$4:$AU$95,S17_Biome_Strata!$A$4:$A$95,"Tropical &amp; Subtropical Dry Broadleaf Forests",S17_Biome_Strata!$B$4:$B$95,$A14,S17_Biome_Strata!$D$4:$D$95,$B14)</x:f>
        <x:v>423864.58400162426</x:v>
      </x:c>
      <x:c r="P14" s="167" t="n">
        <x:f aca="0">SUMIFS(S17_Biome_Strata!$AV$4:$AV$95,S17_Biome_Strata!$A$4:$A$95,"Tropical &amp; Subtropical Dry Broadleaf Forests",S17_Biome_Strata!$B$4:$B$95,$A14,S17_Biome_Strata!$D$4:$D$95,$B14)</x:f>
        <x:v>500444.48007866705</x:v>
      </x:c>
      <x:c r="Q14" s="167" t="n">
        <x:f aca="0">SUMIFS(S17_Biome_Strata!$AW$4:$AW$95,S17_Biome_Strata!$A$4:$A$95,"Tropical &amp; Subtropical Dry Broadleaf Forests",S17_Biome_Strata!$B$4:$B$95,$A14,S17_Biome_Strata!$D$4:$D$95,$B14)</x:f>
        <x:v>573555.8979408679</x:v>
      </x:c>
      <x:c r="R14" s="167" t="n">
        <x:f aca="0">SUMIFS(S17_Biome_Strata!$AX$4:$AX$95,S17_Biome_Strata!$A$4:$A$95,"Tropical &amp; Subtropical Dry Broadleaf Forests",S17_Biome_Strata!$B$4:$B$95,$A14,S17_Biome_Strata!$D$4:$D$95,$B14)</x:f>
        <x:v>642093.9572512566</x:v>
      </x:c>
      <x:c r="S14" s="167" t="n">
        <x:f aca="0">SUMIFS(S17_Biome_Strata!$AY$4:$AY$95,S17_Biome_Strata!$A$4:$A$95,"Tropical &amp; Subtropical Dry Broadleaf Forests",S17_Biome_Strata!$B$4:$B$95,$A14,S17_Biome_Strata!$D$4:$D$95,$B14)</x:f>
        <x:v>705431.1487018479</x:v>
      </x:c>
      <x:c r="T14" s="167" t="n">
        <x:f aca="0">SUMIFS(S17_Biome_Strata!$AZ$4:$AZ$95,S17_Biome_Strata!$A$4:$A$95,"Tropical &amp; Subtropical Dry Broadleaf Forests",S17_Biome_Strata!$B$4:$B$95,$A14,S17_Biome_Strata!$D$4:$D$95,$B14)</x:f>
        <x:v>763301.0809232118</x:v>
      </x:c>
      <x:c r="U14" s="167" t="n">
        <x:f aca="0">SUMIFS(S17_Biome_Strata!$BA$4:$BA$95,S17_Biome_Strata!$A$4:$A$95,"Tropical &amp; Subtropical Dry Broadleaf Forests",S17_Biome_Strata!$B$4:$B$95,$A14,S17_Biome_Strata!$D$4:$D$95,$B14)</x:f>
        <x:v>815697.7557295449</x:v>
      </x:c>
      <x:c r="V14" s="167" t="n">
        <x:f aca="0">SUMIFS(S17_Biome_Strata!$BB$4:$BB$95,S17_Biome_Strata!$A$4:$A$95,"Tropical &amp; Subtropical Dry Broadleaf Forests",S17_Biome_Strata!$B$4:$B$95,$A14,S17_Biome_Strata!$D$4:$D$95,$B14)</x:f>
        <x:v>862793.6815119729</x:v>
      </x:c>
      <x:c r="W14" s="167" t="n">
        <x:f aca="0">SUMIFS(S17_Biome_Strata!$BC$4:$BC$95,S17_Biome_Strata!$A$4:$A$95,"Tropical &amp; Subtropical Dry Broadleaf Forests",S17_Biome_Strata!$B$4:$B$95,$A14,S17_Biome_Strata!$D$4:$D$95,$B14)</x:f>
        <x:v>904876.2485694535</x:v>
      </x:c>
      <x:c r="X14" s="167" t="n">
        <x:f aca="0">SUMIFS(S17_Biome_Strata!$BD$4:$BD$95,S17_Biome_Strata!$A$4:$A$95,"Tropical &amp; Subtropical Dry Broadleaf Forests",S17_Biome_Strata!$B$4:$B$95,$A14,S17_Biome_Strata!$D$4:$D$95,$B14)</x:f>
        <x:v>942300.0594185573</x:v>
      </x:c>
      <x:c r="Y14" s="167" t="n">
        <x:f aca="0">SUMIFS(S17_Biome_Strata!$BE$4:$BE$95,S17_Biome_Strata!$A$4:$A$95,"Tropical &amp; Subtropical Dry Broadleaf Forests",S17_Biome_Strata!$B$4:$B$95,$A14,S17_Biome_Strata!$D$4:$D$95,$B14)</x:f>
        <x:v>975452.3679851985</x:v>
      </x:c>
      <x:c r="Z14" s="167" t="n">
        <x:f aca="0">SUMIFS(S17_Biome_Strata!$BF$4:$BF$95,S17_Biome_Strata!$A$4:$A$95,"Tropical &amp; Subtropical Dry Broadleaf Forests",S17_Biome_Strata!$B$4:$B$95,$A14,S17_Biome_Strata!$D$4:$D$95,$B14)</x:f>
        <x:v>1004728.8491217342</x:v>
      </x:c>
      <x:c r="AA14" s="167" t="n">
        <x:f aca="0">F14*(1-$D14)</x:f>
        <x:v>0</x:v>
      </x:c>
      <x:c r="AB14" s="167" t="n">
        <x:f aca="0">G14*(1-$D14)</x:f>
        <x:v>820.7830415210648</x:v>
      </x:c>
      <x:c r="AC14" s="167" t="n">
        <x:f aca="0">H14*(1-$D14)</x:f>
        <x:v>7900.368839317246</x:v>
      </x:c>
      <x:c r="AD14" s="167" t="n">
        <x:f aca="0">I14*(1-$D14)</x:f>
        <x:v>26565.795642308654</x:v>
      </x:c>
      <x:c r="AE14" s="167" t="n">
        <x:f aca="0">J14*(1-$D14)</x:f>
        <x:v>58736.800002767646</x:v>
      </x:c>
      <x:c r="AF14" s="167" t="n">
        <x:f aca="0">K14*(1-$D14)</x:f>
        <x:v>103061.13609340838</x:v>
      </x:c>
      <x:c r="AG14" s="167" t="n">
        <x:f aca="0">L14*(1-$D14)</x:f>
        <x:v>156730.2019843869</x:v>
      </x:c>
      <x:c r="AH14" s="167" t="n">
        <x:f aca="0">M14*(1-$D14)</x:f>
        <x:v>216495.56636140714</x:v>
      </x:c>
      <x:c r="AI14" s="167" t="n">
        <x:f aca="0">N14*(1-$D14)</x:f>
        <x:v>279313.3828190887</x:v>
      </x:c>
      <x:c r="AJ14" s="167" t="n">
        <x:f aca="0">O14*(1-$D14)</x:f>
        <x:v>342646.6176669764</x:v>
      </x:c>
      <x:c r="AK14" s="167" t="n">
        <x:f aca="0">P14*(1-$D14)</x:f>
        <x:v>404552.80979173933</x:v>
      </x:c>
      <x:c r="AL14" s="167" t="n">
        <x:f aca="0">Q14*(1-$D14)</x:f>
        <x:v>463655.1292325731</x:v>
      </x:c>
      <x:c r="AM14" s="167" t="n">
        <x:f aca="0">R14*(1-$D14)</x:f>
        <x:v>519060.4050932081</x:v>
      </x:c>
      <x:c r="AN14" s="167" t="n">
        <x:f aca="0">S14*(1-$D14)</x:f>
        <x:v>570261.3670093556</x:v>
      </x:c>
      <x:c r="AO14" s="167" t="n">
        <x:f aca="0">T14*(1-$D14)</x:f>
        <x:v>617042.6676621875</x:v>
      </x:c>
      <x:c r="AP14" s="167" t="n">
        <x:f aca="0">U14*(1-$D14)</x:f>
        <x:v>659399.4581963023</x:v>
      </x:c>
      <x:c r="AQ14" s="167" t="n">
        <x:f aca="0">V14*(1-$D14)</x:f>
        <x:v>697471.1921517443</x:v>
      </x:c>
      <x:c r="AR14" s="167" t="n">
        <x:f aca="0">W14*(1-$D14)</x:f>
        <x:v>731490.1921088961</x:v>
      </x:c>
      <x:c r="AS14" s="167" t="n">
        <x:f aca="0">X14*(1-$D14)</x:f>
        <x:v>761743.1141308148</x:v>
      </x:c>
      <x:c r="AT14" s="167" t="n">
        <x:f aca="0">Y14*(1-$D14)</x:f>
        <x:v>788543.0092552633</x:v>
      </x:c>
      <x:c r="AU14" s="167" t="n">
        <x:f aca="0">Z14*(1-$D14)</x:f>
        <x:v>812209.7358874334</x:v>
      </x:c>
      <x:c r="AV14" s="37" t="str">
        <x:v>Formula-derived: S17_Biome_Strata row gross stock = eligible area × S15_Source_Strata stock/ha; S15_Source_Strata stock = cohort-aligned Chapman-Richards D/H → Chave AGB → conservative calibration → CF × (1+R) × 44/12. PB applied separately by Biome × Cohort.</x:v>
      </x:c>
    </x:row>
    <x:row r="15" ht="15" hidden="0" customHeight="1">
      <x:c r="A15" s="37" t="s">
        <x:v>113</x:v>
      </x:c>
      <x:c r="B15" s="37" t="n">
        <x:v>2021</x:v>
      </x:c>
      <x:c r="C15" s="167" t="n">
        <x:f aca="0">SUMIFS(S17_Biome_Strata!$F$4:$F$95,S17_Biome_Strata!$A$4:$A$95,"Tropical &amp; Subtropical Dry Broadleaf Forests",S17_Biome_Strata!$B$4:$B$95,$A15,S17_Biome_Strata!$D$4:$D$95,$B15)</x:f>
        <x:v>30.916408660461332</x:v>
      </x:c>
      <x:c r="D15" s="167" t="n">
        <x:f aca="0">S09_PB_Input!H13</x:f>
        <x:v>0.19161300424745234</x:v>
      </x:c>
      <x:c r="E15" s="168" t="str">
        <x:f aca="0">S09_PB_Input!I13</x:f>
        <x:v>VM0047 v1.1 Appendix 1: Z-test significant; PB_t = ΔSI_control / ΔSI_wp (Eq. A8). Source: 20260814_304027_GKF_ProjectPlots_PB.xlsx.</x:v>
      </x:c>
      <x:c r="F15" s="167" t="n">
        <x:f aca="0">SUMIFS(S17_Biome_Strata!$AL$4:$AL$95,S17_Biome_Strata!$A$4:$A$95,"Tropical &amp; Subtropical Dry Broadleaf Forests",S17_Biome_Strata!$B$4:$B$95,$A15,S17_Biome_Strata!$D$4:$D$95,$B15)</x:f>
        <x:v>0</x:v>
      </x:c>
      <x:c r="G15" s="167" t="n">
        <x:f aca="0">SUMIFS(S17_Biome_Strata!$AM$4:$AM$95,S17_Biome_Strata!$A$4:$A$95,"Tropical &amp; Subtropical Dry Broadleaf Forests",S17_Biome_Strata!$B$4:$B$95,$A15,S17_Biome_Strata!$D$4:$D$95,$B15)</x:f>
        <x:v>0</x:v>
      </x:c>
      <x:c r="H15" s="167" t="n">
        <x:f aca="0">SUMIFS(S17_Biome_Strata!$AN$4:$AN$95,S17_Biome_Strata!$A$4:$A$95,"Tropical &amp; Subtropical Dry Broadleaf Forests",S17_Biome_Strata!$B$4:$B$95,$A15,S17_Biome_Strata!$D$4:$D$95,$B15)</x:f>
        <x:v>33.71806085769797</x:v>
      </x:c>
      <x:c r="I15" s="167" t="n">
        <x:f aca="0">SUMIFS(S17_Biome_Strata!$AO$4:$AO$95,S17_Biome_Strata!$A$4:$A$95,"Tropical &amp; Subtropical Dry Broadleaf Forests",S17_Biome_Strata!$B$4:$B$95,$A15,S17_Biome_Strata!$D$4:$D$95,$B15)</x:f>
        <x:v>330.3404617252862</x:v>
      </x:c>
      <x:c r="J15" s="167" t="n">
        <x:f aca="0">SUMIFS(S17_Biome_Strata!$AP$4:$AP$95,S17_Biome_Strata!$A$4:$A$95,"Tropical &amp; Subtropical Dry Broadleaf Forests",S17_Biome_Strata!$B$4:$B$95,$A15,S17_Biome_Strata!$D$4:$D$95,$B15)</x:f>
        <x:v>1126.3954256012948</x:v>
      </x:c>
      <x:c r="K15" s="167" t="n">
        <x:f aca="0">SUMIFS(S17_Biome_Strata!$AQ$4:$AQ$95,S17_Biome_Strata!$A$4:$A$95,"Tropical &amp; Subtropical Dry Broadleaf Forests",S17_Biome_Strata!$B$4:$B$95,$A15,S17_Biome_Strata!$D$4:$D$95,$B15)</x:f>
        <x:v>2520.7702617691693</x:v>
      </x:c>
      <x:c r="L15" s="167" t="n">
        <x:f aca="0">SUMIFS(S17_Biome_Strata!$AR$4:$AR$95,S17_Biome_Strata!$A$4:$A$95,"Tropical &amp; Subtropical Dry Broadleaf Forests",S17_Biome_Strata!$B$4:$B$95,$A15,S17_Biome_Strata!$D$4:$D$95,$B15)</x:f>
        <x:v>4471.432553131846</x:v>
      </x:c>
      <x:c r="M15" s="167" t="n">
        <x:f aca="0">SUMIFS(S17_Biome_Strata!$AS$4:$AS$95,S17_Biome_Strata!$A$4:$A$95,"Tropical &amp; Subtropical Dry Broadleaf Forests",S17_Biome_Strata!$B$4:$B$95,$A15,S17_Biome_Strata!$D$4:$D$95,$B15)</x:f>
        <x:v>6867.986009069348</x:v>
      </x:c>
      <x:c r="N15" s="167" t="n">
        <x:f aca="0">SUMIFS(S17_Biome_Strata!$AT$4:$AT$95,S17_Biome_Strata!$A$4:$A$95,"Tropical &amp; Subtropical Dry Broadleaf Forests",S17_Biome_Strata!$B$4:$B$95,$A15,S17_Biome_Strata!$D$4:$D$95,$B15)</x:f>
        <x:v>9574.406452750585</x:v>
      </x:c>
      <x:c r="O15" s="167" t="n">
        <x:f aca="0">SUMIFS(S17_Biome_Strata!$AU$4:$AU$95,S17_Biome_Strata!$A$4:$A$95,"Tropical &amp; Subtropical Dry Broadleaf Forests",S17_Biome_Strata!$B$4:$B$95,$A15,S17_Biome_Strata!$D$4:$D$95,$B15)</x:f>
        <x:v>12457.791254465876</x:v>
      </x:c>
      <x:c r="P15" s="167" t="n">
        <x:f aca="0">SUMIFS(S17_Biome_Strata!$AV$4:$AV$95,S17_Biome_Strata!$A$4:$A$95,"Tropical &amp; Subtropical Dry Broadleaf Forests",S17_Biome_Strata!$B$4:$B$95,$A15,S17_Biome_Strata!$D$4:$D$95,$B15)</x:f>
        <x:v>15403.122204590652</x:v>
      </x:c>
      <x:c r="Q15" s="167" t="n">
        <x:f aca="0">SUMIFS(S17_Biome_Strata!$AW$4:$AW$95,S17_Biome_Strata!$A$4:$A$95,"Tropical &amp; Subtropical Dry Broadleaf Forests",S17_Biome_Strata!$B$4:$B$95,$A15,S17_Biome_Strata!$D$4:$D$95,$B15)</x:f>
        <x:v>18318.783266856015</x:v>
      </x:c>
      <x:c r="R15" s="167" t="n">
        <x:f aca="0">SUMIFS(S17_Biome_Strata!$AX$4:$AX$95,S17_Biome_Strata!$A$4:$A$95,"Tropical &amp; Subtropical Dry Broadleaf Forests",S17_Biome_Strata!$B$4:$B$95,$A15,S17_Biome_Strata!$D$4:$D$95,$B15)</x:f>
        <x:v>21136.71898187776</x:v>
      </x:c>
      <x:c r="S15" s="167" t="n">
        <x:f aca="0">SUMIFS(S17_Biome_Strata!$AY$4:$AY$95,S17_Biome_Strata!$A$4:$A$95,"Tropical &amp; Subtropical Dry Broadleaf Forests",S17_Biome_Strata!$B$4:$B$95,$A15,S17_Biome_Strata!$D$4:$D$95,$B15)</x:f>
        <x:v>23809.89611797859</x:v>
      </x:c>
      <x:c r="T15" s="167" t="n">
        <x:f aca="0">SUMIFS(S17_Biome_Strata!$AZ$4:$AZ$95,S17_Biome_Strata!$A$4:$A$95,"Tropical &amp; Subtropical Dry Broadleaf Forests",S17_Biome_Strata!$B$4:$B$95,$A15,S17_Biome_Strata!$D$4:$D$95,$B15)</x:f>
        <x:v>26308.71008560518</x:v>
      </x:c>
      <x:c r="U15" s="167" t="n">
        <x:f aca="0">SUMIFS(S17_Biome_Strata!$BA$4:$BA$95,S17_Biome_Strata!$A$4:$A$95,"Tropical &amp; Subtropical Dry Broadleaf Forests",S17_Biome_Strata!$B$4:$B$95,$A15,S17_Biome_Strata!$D$4:$D$95,$B15)</x:f>
        <x:v>28617.259058871154</x:v>
      </x:c>
      <x:c r="V15" s="167" t="n">
        <x:f aca="0">SUMIFS(S17_Biome_Strata!$BB$4:$BB$95,S17_Biome_Strata!$A$4:$A$95,"Tropical &amp; Subtropical Dry Broadleaf Forests",S17_Biome_Strata!$B$4:$B$95,$A15,S17_Biome_Strata!$D$4:$D$95,$B15)</x:f>
        <x:v>30729.948553064514</x:v>
      </x:c>
      <x:c r="W15" s="167" t="n">
        <x:f aca="0">SUMIFS(S17_Biome_Strata!$BC$4:$BC$95,S17_Biome_Strata!$A$4:$A$95,"Tropical &amp; Subtropical Dry Broadleaf Forests",S17_Biome_Strata!$B$4:$B$95,$A15,S17_Biome_Strata!$D$4:$D$95,$B15)</x:f>
        <x:v>32648.614938239818</x:v>
      </x:c>
      <x:c r="X15" s="167" t="n">
        <x:f aca="0">SUMIFS(S17_Biome_Strata!$BD$4:$BD$95,S17_Biome_Strata!$A$4:$A$95,"Tropical &amp; Subtropical Dry Broadleaf Forests",S17_Biome_Strata!$B$4:$B$95,$A15,S17_Biome_Strata!$D$4:$D$95,$B15)</x:f>
        <x:v>34380.20440510517</x:v>
      </x:c>
      <x:c r="Y15" s="167" t="n">
        <x:f aca="0">SUMIFS(S17_Biome_Strata!$BE$4:$BE$95,S17_Biome_Strata!$A$4:$A$95,"Tropical &amp; Subtropical Dry Broadleaf Forests",S17_Biome_Strata!$B$4:$B$95,$A15,S17_Biome_Strata!$D$4:$D$95,$B15)</x:f>
        <x:v>35934.96751507018</x:v>
      </x:c>
      <x:c r="Z15" s="167" t="n">
        <x:f aca="0">SUMIFS(S17_Biome_Strata!$BF$4:$BF$95,S17_Biome_Strata!$A$4:$A$95,"Tropical &amp; Subtropical Dry Broadleaf Forests",S17_Biome_Strata!$B$4:$B$95,$A15,S17_Biome_Strata!$D$4:$D$95,$B15)</x:f>
        <x:v>37325.09727803657</x:v>
      </x:c>
      <x:c r="AA15" s="167" t="n">
        <x:f aca="0">F15*(1-$D15)</x:f>
        <x:v>0</x:v>
      </x:c>
      <x:c r="AB15" s="167" t="n">
        <x:f aca="0">G15*(1-$D15)</x:f>
        <x:v>0</x:v>
      </x:c>
      <x:c r="AC15" s="167" t="n">
        <x:f aca="0">H15*(1-$D15)</x:f>
        <x:v>27.257241919356034</x:v>
      </x:c>
      <x:c r="AD15" s="167" t="n">
        <x:f aca="0">I15*(1-$D15)</x:f>
        <x:v>267.0429334296136</x:v>
      </x:c>
      <x:c r="AE15" s="167" t="n">
        <x:f aca="0">J15*(1-$D15)</x:f>
        <x:v>910.5634141312431</x:v>
      </x:c>
      <x:c r="AF15" s="167" t="n">
        <x:f aca="0">K15*(1-$D15)</x:f>
        <x:v>2037.757898893942</x:v>
      </x:c>
      <x:c r="AG15" s="167" t="n">
        <x:f aca="0">L15*(1-$D15)</x:f>
        <x:v>3614.6479283363974</x:v>
      </x:c>
      <x:c r="AH15" s="167" t="n">
        <x:f aca="0">M15*(1-$D15)</x:f>
        <x:v>5551.9905767421005</x:v>
      </x:c>
      <x:c r="AI15" s="167" t="n">
        <x:f aca="0">N15*(1-$D15)</x:f>
        <x:v>7739.825668452852</x:v>
      </x:c>
      <x:c r="AJ15" s="167" t="n">
        <x:f aca="0">O15*(1-$D15)</x:f>
        <x:v>10070.716445910031</x:v>
      </x:c>
      <x:c r="AK15" s="167" t="n">
        <x:f aca="0">P15*(1-$D15)</x:f>
        <x:v>12451.683684178397</x:v>
      </x:c>
      <x:c r="AL15" s="167" t="n">
        <x:f aca="0">Q15*(1-$D15)</x:f>
        <x:v>14808.666170935776</x:v>
      </x:c>
      <x:c r="AM15" s="167" t="n">
        <x:f aca="0">R15*(1-$D15)</x:f>
        <x:v>17086.64875782601</x:v>
      </x:c>
      <x:c r="AN15" s="167" t="n">
        <x:f aca="0">S15*(1-$D15)</x:f>
        <x:v>19247.61039199296</x:v>
      </x:c>
      <x:c r="AO15" s="167" t="n">
        <x:f aca="0">T15*(1-$D15)</x:f>
        <x:v>21267.61910822712</x:v>
      </x:c>
      <x:c r="AP15" s="167" t="n">
        <x:f aca="0">U15*(1-$D15)</x:f>
        <x:v>23133.82007727323</x:v>
      </x:c>
      <x:c r="AQ15" s="167" t="n">
        <x:f aca="0">V15*(1-$D15)</x:f>
        <x:v>24841.69079044217</x:v>
      </x:c>
      <x:c r="AR15" s="167" t="n">
        <x:f aca="0">W15*(1-$D15)</x:f>
        <x:v>26392.715745405436</x:v>
      </x:c>
      <x:c r="AS15" s="167" t="n">
        <x:f aca="0">X15*(1-$D15)</x:f>
        <x:v>27792.510152401475</x:v>
      </x:c>
      <x:c r="AT15" s="167" t="n">
        <x:f aca="0">Y15*(1-$D15)</x:f>
        <x:v>29049.36043197298</x:v>
      </x:c>
      <x:c r="AU15" s="167" t="n">
        <x:f aca="0">Z15*(1-$D15)</x:f>
        <x:v>30173.123254763577</x:v>
      </x:c>
      <x:c r="AV15" s="37" t="str">
        <x:v>Formula-derived: S17_Biome_Strata row gross stock = eligible area × S15_Source_Strata stock/ha; S15_Source_Strata stock = cohort-aligned Chapman-Richards D/H → Chave AGB → conservative calibration → CF × (1+R) × 44/12. PB applied separately by Biome × Cohort.</x:v>
      </x:c>
    </x:row>
    <x:row r="16" ht="15" hidden="0" customHeight="1">
      <x:c r="A16" s="37" t="s">
        <x:v>113</x:v>
      </x:c>
      <x:c r="B16" s="37" t="n">
        <x:v>2022</x:v>
      </x:c>
      <x:c r="C16" s="167" t="n">
        <x:f aca="0">SUMIFS(S17_Biome_Strata!$F$4:$F$95,S17_Biome_Strata!$A$4:$A$95,"Tropical &amp; Subtropical Dry Broadleaf Forests",S17_Biome_Strata!$B$4:$B$95,$A16,S17_Biome_Strata!$D$4:$D$95,$B16)</x:f>
        <x:v>22.05726373937681</x:v>
      </x:c>
      <x:c r="D16" s="167" t="n">
        <x:f aca="0">S09_PB_Input!H14</x:f>
        <x:v>0.19161300424745234</x:v>
      </x:c>
      <x:c r="E16" s="168" t="str">
        <x:f aca="0">S09_PB_Input!I14</x:f>
        <x:v>VM0047 v1.1 Appendix 1: Z-test significant; PB_t = ΔSI_control / ΔSI_wp (Eq. A8). Source: 20260814_304027_GKF_ProjectPlots_PB.xlsx.</x:v>
      </x:c>
      <x:c r="F16" s="167" t="n">
        <x:f aca="0">SUMIFS(S17_Biome_Strata!$AL$4:$AL$95,S17_Biome_Strata!$A$4:$A$95,"Tropical &amp; Subtropical Dry Broadleaf Forests",S17_Biome_Strata!$B$4:$B$95,$A16,S17_Biome_Strata!$D$4:$D$95,$B16)</x:f>
        <x:v>0</x:v>
      </x:c>
      <x:c r="G16" s="167" t="n">
        <x:f aca="0">SUMIFS(S17_Biome_Strata!$AM$4:$AM$95,S17_Biome_Strata!$A$4:$A$95,"Tropical &amp; Subtropical Dry Broadleaf Forests",S17_Biome_Strata!$B$4:$B$95,$A16,S17_Biome_Strata!$D$4:$D$95,$B16)</x:f>
        <x:v>0</x:v>
      </x:c>
      <x:c r="H16" s="167" t="n">
        <x:f aca="0">SUMIFS(S17_Biome_Strata!$AN$4:$AN$95,S17_Biome_Strata!$A$4:$A$95,"Tropical &amp; Subtropical Dry Broadleaf Forests",S17_Biome_Strata!$B$4:$B$95,$A16,S17_Biome_Strata!$D$4:$D$95,$B16)</x:f>
        <x:v>0</x:v>
      </x:c>
      <x:c r="I16" s="167" t="n">
        <x:f aca="0">SUMIFS(S17_Biome_Strata!$AO$4:$AO$95,S17_Biome_Strata!$A$4:$A$95,"Tropical &amp; Subtropical Dry Broadleaf Forests",S17_Biome_Strata!$B$4:$B$95,$A16,S17_Biome_Strata!$D$4:$D$95,$B16)</x:f>
        <x:v>39.038056974609376</x:v>
      </x:c>
      <x:c r="J16" s="167" t="n">
        <x:f aca="0">SUMIFS(S17_Biome_Strata!$AP$4:$AP$95,S17_Biome_Strata!$A$4:$A$95,"Tropical &amp; Subtropical Dry Broadleaf Forests",S17_Biome_Strata!$B$4:$B$95,$A16,S17_Biome_Strata!$D$4:$D$95,$B16)</x:f>
        <x:v>377.20535301054815</x:v>
      </x:c>
      <x:c r="K16" s="167" t="n">
        <x:f aca="0">SUMIFS(S17_Biome_Strata!$AQ$4:$AQ$95,S17_Biome_Strata!$A$4:$A$95,"Tropical &amp; Subtropical Dry Broadleaf Forests",S17_Biome_Strata!$B$4:$B$95,$A16,S17_Biome_Strata!$D$4:$D$95,$B16)</x:f>
        <x:v>1272.3345541017486</x:v>
      </x:c>
      <x:c r="L16" s="167" t="n">
        <x:f aca="0">SUMIFS(S17_Biome_Strata!$AR$4:$AR$95,S17_Biome_Strata!$A$4:$A$95,"Tropical &amp; Subtropical Dry Broadleaf Forests",S17_Biome_Strata!$B$4:$B$95,$A16,S17_Biome_Strata!$D$4:$D$95,$B16)</x:f>
        <x:v>2820.741366833341</x:v>
      </x:c>
      <x:c r="M16" s="167" t="n">
        <x:f aca="0">SUMIFS(S17_Biome_Strata!$AS$4:$AS$95,S17_Biome_Strata!$A$4:$A$95,"Tropical &amp; Subtropical Dry Broadleaf Forests",S17_Biome_Strata!$B$4:$B$95,$A16,S17_Biome_Strata!$D$4:$D$95,$B16)</x:f>
        <x:v>4961.350389193903</x:v>
      </x:c>
      <x:c r="N16" s="167" t="n">
        <x:f aca="0">SUMIFS(S17_Biome_Strata!$AT$4:$AT$95,S17_Biome_Strata!$A$4:$A$95,"Tropical &amp; Subtropical Dry Broadleaf Forests",S17_Biome_Strata!$B$4:$B$95,$A16,S17_Biome_Strata!$D$4:$D$95,$B16)</x:f>
        <x:v>7561.562147531835</x:v>
      </x:c>
      <x:c r="O16" s="167" t="n">
        <x:f aca="0">SUMIFS(S17_Biome_Strata!$AU$4:$AU$95,S17_Biome_Strata!$A$4:$A$95,"Tropical &amp; Subtropical Dry Broadleaf Forests",S17_Biome_Strata!$B$4:$B$95,$A16,S17_Biome_Strata!$D$4:$D$95,$B16)</x:f>
        <x:v>10465.92612679482</x:v>
      </x:c>
      <x:c r="P16" s="167" t="n">
        <x:f aca="0">SUMIFS(S17_Biome_Strata!$AV$4:$AV$95,S17_Biome_Strata!$A$4:$A$95,"Tropical &amp; Subtropical Dry Broadleaf Forests",S17_Biome_Strata!$B$4:$B$95,$A16,S17_Biome_Strata!$D$4:$D$95,$B16)</x:f>
        <x:v>13527.43795713818</x:v>
      </x:c>
      <x:c r="Q16" s="167" t="n">
        <x:f aca="0">SUMIFS(S17_Biome_Strata!$AW$4:$AW$95,S17_Biome_Strata!$A$4:$A$95,"Tropical &amp; Subtropical Dry Broadleaf Forests",S17_Biome_Strata!$B$4:$B$95,$A16,S17_Biome_Strata!$D$4:$D$95,$B16)</x:f>
        <x:v>16622.549627471853</x:v>
      </x:c>
      <x:c r="R16" s="167" t="n">
        <x:f aca="0">SUMIFS(S17_Biome_Strata!$AX$4:$AX$95,S17_Biome_Strata!$A$4:$A$95,"Tropical &amp; Subtropical Dry Broadleaf Forests",S17_Biome_Strata!$B$4:$B$95,$A16,S17_Biome_Strata!$D$4:$D$95,$B16)</x:f>
        <x:v>19655.83885926575</x:v>
      </x:c>
      <x:c r="S16" s="167" t="n">
        <x:f aca="0">SUMIFS(S17_Biome_Strata!$AY$4:$AY$95,S17_Biome_Strata!$A$4:$A$95,"Tropical &amp; Subtropical Dry Broadleaf Forests",S17_Biome_Strata!$B$4:$B$95,$A16,S17_Biome_Strata!$D$4:$D$95,$B16)</x:f>
        <x:v>22558.9634413317</x:v>
      </x:c>
      <x:c r="T16" s="167" t="n">
        <x:f aca="0">SUMIFS(S17_Biome_Strata!$AZ$4:$AZ$95,S17_Biome_Strata!$A$4:$A$95,"Tropical &amp; Subtropical Dry Broadleaf Forests",S17_Biome_Strata!$B$4:$B$95,$A16,S17_Biome_Strata!$D$4:$D$95,$B16)</x:f>
        <x:v>25286.950817011326</x:v>
      </x:c>
      <x:c r="U16" s="167" t="n">
        <x:f aca="0">SUMIFS(S17_Biome_Strata!$BA$4:$BA$95,S17_Biome_Strata!$A$4:$A$95,"Tropical &amp; Subtropical Dry Broadleaf Forests",S17_Biome_Strata!$B$4:$B$95,$A16,S17_Biome_Strata!$D$4:$D$95,$B16)</x:f>
        <x:v>27813.630477283674</x:v>
      </x:c>
      <x:c r="V16" s="167" t="n">
        <x:f aca="0">SUMIFS(S17_Biome_Strata!$BB$4:$BB$95,S17_Biome_Strata!$A$4:$A$95,"Tropical &amp; Subtropical Dry Broadleaf Forests",S17_Biome_Strata!$B$4:$B$95,$A16,S17_Biome_Strata!$D$4:$D$95,$B16)</x:f>
        <x:v>30127.174986161852</x:v>
      </x:c>
      <x:c r="W16" s="167" t="n">
        <x:f aca="0">SUMIFS(S17_Biome_Strata!$BC$4:$BC$95,S17_Biome_Strata!$A$4:$A$95,"Tropical &amp; Subtropical Dry Broadleaf Forests",S17_Biome_Strata!$B$4:$B$95,$A16,S17_Biome_Strata!$D$4:$D$95,$B16)</x:f>
        <x:v>32226.19529758335</x:v>
      </x:c>
      <x:c r="X16" s="167" t="n">
        <x:f aca="0">SUMIFS(S17_Biome_Strata!$BD$4:$BD$95,S17_Biome_Strata!$A$4:$A$95,"Tropical &amp; Subtropical Dry Broadleaf Forests",S17_Biome_Strata!$B$4:$B$95,$A16,S17_Biome_Strata!$D$4:$D$95,$B16)</x:f>
        <x:v>34116.538317011175</x:v>
      </x:c>
      <x:c r="Y16" s="167" t="n">
        <x:f aca="0">SUMIFS(S17_Biome_Strata!$BE$4:$BE$95,S17_Biome_Strata!$A$4:$A$95,"Tropical &amp; Subtropical Dry Broadleaf Forests",S17_Biome_Strata!$B$4:$B$95,$A16,S17_Biome_Strata!$D$4:$D$95,$B16)</x:f>
        <x:v>35808.77842287312</x:v>
      </x:c>
      <x:c r="Z16" s="167" t="n">
        <x:f aca="0">SUMIFS(S17_Biome_Strata!$BF$4:$BF$95,S17_Biome_Strata!$A$4:$A$95,"Tropical &amp; Subtropical Dry Broadleaf Forests",S17_Biome_Strata!$B$4:$B$95,$A16,S17_Biome_Strata!$D$4:$D$95,$B16)</x:f>
        <x:v>37316.322825713025</x:v>
      </x:c>
      <x:c r="AA16" s="167" t="n">
        <x:f aca="0">F16*(1-$D16)</x:f>
        <x:v>0</x:v>
      </x:c>
      <x:c r="AB16" s="167" t="n">
        <x:f aca="0">G16*(1-$D16)</x:f>
        <x:v>0</x:v>
      </x:c>
      <x:c r="AC16" s="167" t="n">
        <x:f aca="0">H16*(1-$D16)</x:f>
        <x:v>0</x:v>
      </x:c>
      <x:c r="AD16" s="167" t="n">
        <x:f aca="0">I16*(1-$D16)</x:f>
        <x:v>31.557857597721263</x:v>
      </x:c>
      <x:c r="AE16" s="167" t="n">
        <x:f aca="0">J16*(1-$D16)</x:f>
        <x:v>304.92790210197626</x:v>
      </x:c>
      <x:c r="AF16" s="167" t="n">
        <x:f aca="0">K16*(1-$D16)</x:f>
        <x:v>1028.5387077824698</x:v>
      </x:c>
      <x:c r="AG16" s="167" t="n">
        <x:f aca="0">L16*(1-$D16)</x:f>
        <x:v>2280.2506393293397</x:v>
      </x:c>
      <x:c r="AH16" s="167" t="n">
        <x:f aca="0">M16*(1-$D16)</x:f>
        <x:v>4010.6911359961923</x:v>
      </x:c>
      <x:c r="AI16" s="167" t="n">
        <x:f aca="0">N16*(1-$D16)</x:f>
        <x:v>6112.668507639442</x:v>
      </x:c>
      <x:c r="AJ16" s="167" t="n">
        <x:f aca="0">O16*(1-$D16)</x:f>
        <x:v>8460.518579407762</x:v>
      </x:c>
      <x:c r="AK16" s="167" t="n">
        <x:f aca="0">P16*(1-$D16)</x:f>
        <x:v>10935.404930399915</x:v>
      </x:c>
      <x:c r="AL16" s="167" t="n">
        <x:f aca="0">Q16*(1-$D16)</x:f>
        <x:v>13437.452955099603</x:v>
      </x:c>
      <x:c r="AM16" s="167" t="n">
        <x:f aca="0">R16*(1-$D16)</x:f>
        <x:v>15889.524524438024</x:v>
      </x:c>
      <x:c r="AN16" s="167" t="n">
        <x:f aca="0">S16*(1-$D16)</x:f>
        <x:v>18236.37268362969</x:v>
      </x:c>
      <x:c r="AO16" s="167" t="n">
        <x:f aca="0">T16*(1-$D16)</x:f>
        <x:v>20441.642202706218</x:v>
      </x:c>
      <x:c r="AP16" s="167" t="n">
        <x:f aca="0">U16*(1-$D16)</x:f>
        <x:v>22484.177182502848</x:v>
      </x:c>
      <x:c r="AQ16" s="167" t="n">
        <x:f aca="0">V16*(1-$D16)</x:f>
        <x:v>24354.416477574683</x:v>
      </x:c>
      <x:c r="AR16" s="167" t="n">
        <x:f aca="0">W16*(1-$D16)</x:f>
        <x:v>26051.237201148284</x:v>
      </x:c>
      <x:c r="AS16" s="167" t="n">
        <x:f aca="0">X16*(1-$D16)</x:f>
        <x:v>27579.365915565344</x:v>
      </x:c>
      <x:c r="AT16" s="167" t="n">
        <x:f aca="0">Y16*(1-$D16)</x:f>
        <x:v>28947.350810835054</x:v>
      </x:c>
      <x:c r="AU16" s="167" t="n">
        <x:f aca="0">Z16*(1-$D16)</x:f>
        <x:v>30166.030101610373</x:v>
      </x:c>
      <x:c r="AV16" s="37" t="str">
        <x:v>Formula-derived: S17_Biome_Strata row gross stock = eligible area × S15_Source_Strata stock/ha; S15_Source_Strata stock = cohort-aligned Chapman-Richards D/H → Chave AGB → conservative calibration → CF × (1+R) × 44/12. PB applied separately by Biome × Cohort.</x:v>
      </x:c>
    </x:row>
    <x:row r="17" ht="15" hidden="0" customHeight="1">
      <x:c r="A17" s="37" t="s">
        <x:v>113</x:v>
      </x:c>
      <x:c r="B17" s="37" t="n">
        <x:v>2023</x:v>
      </x:c>
      <x:c r="C17" s="167" t="n">
        <x:f aca="0">SUMIFS(S17_Biome_Strata!$F$4:$F$95,S17_Biome_Strata!$A$4:$A$95,"Tropical &amp; Subtropical Dry Broadleaf Forests",S17_Biome_Strata!$B$4:$B$95,$A17,S17_Biome_Strata!$D$4:$D$95,$B17)</x:f>
        <x:v>3.1224</x:v>
      </x:c>
      <x:c r="D17" s="167" t="n">
        <x:f aca="0">S09_PB_Input!H15</x:f>
        <x:v>0.19161300424745234</x:v>
      </x:c>
      <x:c r="E17" s="168" t="str">
        <x:f aca="0">S09_PB_Input!I15</x:f>
        <x:v>VM0047 v1.1 Appendix 1: Z-test significant; PB_t = ΔSI_control / ΔSI_wp (Eq. A8). Source: 20260814_304027_GKF_ProjectPlots_PB.xlsx.</x:v>
      </x:c>
      <x:c r="F17" s="167" t="n">
        <x:f aca="0">SUMIFS(S17_Biome_Strata!$AL$4:$AL$95,S17_Biome_Strata!$A$4:$A$95,"Tropical &amp; Subtropical Dry Broadleaf Forests",S17_Biome_Strata!$B$4:$B$95,$A17,S17_Biome_Strata!$D$4:$D$95,$B17)</x:f>
        <x:v>0</x:v>
      </x:c>
      <x:c r="G17" s="167" t="n">
        <x:f aca="0">SUMIFS(S17_Biome_Strata!$AM$4:$AM$95,S17_Biome_Strata!$A$4:$A$95,"Tropical &amp; Subtropical Dry Broadleaf Forests",S17_Biome_Strata!$B$4:$B$95,$A17,S17_Biome_Strata!$D$4:$D$95,$B17)</x:f>
        <x:v>0</x:v>
      </x:c>
      <x:c r="H17" s="167" t="n">
        <x:f aca="0">SUMIFS(S17_Biome_Strata!$AN$4:$AN$95,S17_Biome_Strata!$A$4:$A$95,"Tropical &amp; Subtropical Dry Broadleaf Forests",S17_Biome_Strata!$B$4:$B$95,$A17,S17_Biome_Strata!$D$4:$D$95,$B17)</x:f>
        <x:v>0</x:v>
      </x:c>
      <x:c r="I17" s="167" t="n">
        <x:f aca="0">SUMIFS(S17_Biome_Strata!$AO$4:$AO$95,S17_Biome_Strata!$A$4:$A$95,"Tropical &amp; Subtropical Dry Broadleaf Forests",S17_Biome_Strata!$B$4:$B$95,$A17,S17_Biome_Strata!$D$4:$D$95,$B17)</x:f>
        <x:v>0</x:v>
      </x:c>
      <x:c r="J17" s="167" t="n">
        <x:f aca="0">SUMIFS(S17_Biome_Strata!$AP$4:$AP$95,S17_Biome_Strata!$A$4:$A$95,"Tropical &amp; Subtropical Dry Broadleaf Forests",S17_Biome_Strata!$B$4:$B$95,$A17,S17_Biome_Strata!$D$4:$D$95,$B17)</x:f>
        <x:v>7.031828841575285</x:v>
      </x:c>
      <x:c r="K17" s="167" t="n">
        <x:f aca="0">SUMIFS(S17_Biome_Strata!$AQ$4:$AQ$95,S17_Biome_Strata!$A$4:$A$95,"Tropical &amp; Subtropical Dry Broadleaf Forests",S17_Biome_Strata!$B$4:$B$95,$A17,S17_Biome_Strata!$D$4:$D$95,$B17)</x:f>
        <x:v>68.33147084324966</x:v>
      </x:c>
      <x:c r="L17" s="167" t="n">
        <x:f aca="0">SUMIFS(S17_Biome_Strata!$AR$4:$AR$95,S17_Biome_Strata!$A$4:$A$95,"Tropical &amp; Subtropical Dry Broadleaf Forests",S17_Biome_Strata!$B$4:$B$95,$A17,S17_Biome_Strata!$D$4:$D$95,$B17)</x:f>
        <x:v>231.51325762777856</x:v>
      </x:c>
      <x:c r="M17" s="167" t="n">
        <x:f aca="0">SUMIFS(S17_Biome_Strata!$AS$4:$AS$95,S17_Biome_Strata!$A$4:$A$95,"Tropical &amp; Subtropical Dry Broadleaf Forests",S17_Biome_Strata!$B$4:$B$95,$A17,S17_Biome_Strata!$D$4:$D$95,$B17)</x:f>
        <x:v>515.2126108238041</x:v>
      </x:c>
      <x:c r="N17" s="167" t="n">
        <x:f aca="0">SUMIFS(S17_Biome_Strata!$AT$4:$AT$95,S17_Biome_Strata!$A$4:$A$95,"Tropical &amp; Subtropical Dry Broadleaf Forests",S17_Biome_Strata!$B$4:$B$95,$A17,S17_Biome_Strata!$D$4:$D$95,$B17)</x:f>
        <x:v>909.2328465961108</x:v>
      </x:c>
      <x:c r="O17" s="167" t="n">
        <x:f aca="0">SUMIFS(S17_Biome_Strata!$AU$4:$AU$95,S17_Biome_Strata!$A$4:$A$95,"Tropical &amp; Subtropical Dry Broadleaf Forests",S17_Biome_Strata!$B$4:$B$95,$A17,S17_Biome_Strata!$D$4:$D$95,$B17)</x:f>
        <x:v>1389.9017247573458</x:v>
      </x:c>
      <x:c r="P17" s="167" t="n">
        <x:f aca="0">SUMIFS(S17_Biome_Strata!$AV$4:$AV$95,S17_Biome_Strata!$A$4:$A$95,"Tropical &amp; Subtropical Dry Broadleaf Forests",S17_Biome_Strata!$B$4:$B$95,$A17,S17_Biome_Strata!$D$4:$D$95,$B17)</x:f>
        <x:v>1928.9355925769862</x:v>
      </x:c>
      <x:c r="Q17" s="167" t="n">
        <x:f aca="0">SUMIFS(S17_Biome_Strata!$AW$4:$AW$95,S17_Biome_Strata!$A$4:$A$95,"Tropical &amp; Subtropical Dry Broadleaf Forests",S17_Biome_Strata!$B$4:$B$95,$A17,S17_Biome_Strata!$D$4:$D$95,$B17)</x:f>
        <x:v>2499.251427278591</x:v>
      </x:c>
      <x:c r="R17" s="167" t="n">
        <x:f aca="0">SUMIFS(S17_Biome_Strata!$AX$4:$AX$95,S17_Biome_Strata!$A$4:$A$95,"Tropical &amp; Subtropical Dry Broadleaf Forests",S17_Biome_Strata!$B$4:$B$95,$A17,S17_Biome_Strata!$D$4:$D$95,$B17)</x:f>
        <x:v>3077.837078567201</x:v>
      </x:c>
      <x:c r="S17" s="167" t="n">
        <x:f aca="0">SUMIFS(S17_Biome_Strata!$AY$4:$AY$95,S17_Biome_Strata!$A$4:$A$95,"Tropical &amp; Subtropical Dry Broadleaf Forests",S17_Biome_Strata!$B$4:$B$95,$A17,S17_Biome_Strata!$D$4:$D$95,$B17)</x:f>
        <x:v>3646.719371386513</x:v>
      </x:c>
      <x:c r="T17" s="167" t="n">
        <x:f aca="0">SUMIFS(S17_Biome_Strata!$AZ$4:$AZ$95,S17_Biome_Strata!$A$4:$A$95,"Tropical &amp; Subtropical Dry Broadleaf Forests",S17_Biome_Strata!$B$4:$B$95,$A17,S17_Biome_Strata!$D$4:$D$95,$B17)</x:f>
        <x:v>4192.858668405542</x:v>
      </x:c>
      <x:c r="U17" s="167" t="n">
        <x:f aca="0">SUMIFS(S17_Biome_Strata!$BA$4:$BA$95,S17_Biome_Strata!$A$4:$A$95,"Tropical &amp; Subtropical Dry Broadleaf Forests",S17_Biome_Strata!$B$4:$B$95,$A17,S17_Biome_Strata!$D$4:$D$95,$B17)</x:f>
        <x:v>4707.526139839411</x:v>
      </x:c>
      <x:c r="V17" s="167" t="n">
        <x:f aca="0">SUMIFS(S17_Biome_Strata!$BB$4:$BB$95,S17_Biome_Strata!$A$4:$A$95,"Tropical &amp; Subtropical Dry Broadleaf Forests",S17_Biome_Strata!$B$4:$B$95,$A17,S17_Biome_Strata!$D$4:$D$95,$B17)</x:f>
        <x:v>5185.499329346642</x:v>
      </x:c>
      <x:c r="W17" s="167" t="n">
        <x:f aca="0">SUMIFS(S17_Biome_Strata!$BC$4:$BC$95,S17_Biome_Strata!$A$4:$A$95,"Tropical &amp; Subtropical Dry Broadleaf Forests",S17_Biome_Strata!$B$4:$B$95,$A17,S17_Biome_Strata!$D$4:$D$95,$B17)</x:f>
        <x:v>5624.259387879573</x:v>
      </x:c>
      <x:c r="X17" s="167" t="n">
        <x:f aca="0">SUMIFS(S17_Biome_Strata!$BD$4:$BD$95,S17_Biome_Strata!$A$4:$A$95,"Tropical &amp; Subtropical Dry Broadleaf Forests",S17_Biome_Strata!$B$4:$B$95,$A17,S17_Biome_Strata!$D$4:$D$95,$B17)</x:f>
        <x:v>6023.277698256413</x:v>
      </x:c>
      <x:c r="Y17" s="167" t="n">
        <x:f aca="0">SUMIFS(S17_Biome_Strata!$BE$4:$BE$95,S17_Biome_Strata!$A$4:$A$95,"Tropical &amp; Subtropical Dry Broadleaf Forests",S17_Biome_Strata!$B$4:$B$95,$A17,S17_Biome_Strata!$D$4:$D$95,$B17)</x:f>
        <x:v>6383.423860108876</x:v>
      </x:c>
      <x:c r="Z17" s="167" t="n">
        <x:f aca="0">SUMIFS(S17_Biome_Strata!$BF$4:$BF$95,S17_Biome_Strata!$A$4:$A$95,"Tropical &amp; Subtropical Dry Broadleaf Forests",S17_Biome_Strata!$B$4:$B$95,$A17,S17_Biome_Strata!$D$4:$D$95,$B17)</x:f>
        <x:v>6706.497039636412</x:v>
      </x:c>
      <x:c r="AA17" s="167" t="n">
        <x:f aca="0">F17*(1-$D17)</x:f>
        <x:v>0</x:v>
      </x:c>
      <x:c r="AB17" s="167" t="n">
        <x:f aca="0">G17*(1-$D17)</x:f>
        <x:v>0</x:v>
      </x:c>
      <x:c r="AC17" s="167" t="n">
        <x:f aca="0">H17*(1-$D17)</x:f>
        <x:v>0</x:v>
      </x:c>
      <x:c r="AD17" s="167" t="n">
        <x:f aca="0">I17*(1-$D17)</x:f>
        <x:v>0</x:v>
      </x:c>
      <x:c r="AE17" s="167" t="n">
        <x:f aca="0">J17*(1-$D17)</x:f>
        <x:v>5.684438991887162</x:v>
      </x:c>
      <x:c r="AF17" s="167" t="n">
        <x:f aca="0">K17*(1-$D17)</x:f>
        <x:v>55.2382724303274</x:v>
      </x:c>
      <x:c r="AG17" s="167" t="n">
        <x:f aca="0">L17*(1-$D17)</x:f>
        <x:v>187.1523068106055</x:v>
      </x:c>
      <x:c r="AH17" s="167" t="n">
        <x:f aca="0">M17*(1-$D17)</x:f>
        <x:v>416.4911746376815</x:v>
      </x:c>
      <x:c r="AI17" s="167" t="n">
        <x:f aca="0">N17*(1-$D17)</x:f>
        <x:v>735.012009299367</x:v>
      </x:c>
      <x:c r="AJ17" s="167" t="n">
        <x:f aca="0">O17*(1-$D17)</x:f>
        <x:v>1123.5784796678752</x:v>
      </x:c>
      <x:c r="AK17" s="167" t="n">
        <x:f aca="0">P17*(1-$D17)</x:f>
        <x:v>1559.3264486834703</x:v>
      </x:c>
      <x:c r="AL17" s="167" t="n">
        <x:f aca="0">Q17*(1-$D17)</x:f>
        <x:v>2020.362352928007</x:v>
      </x:c>
      <x:c r="AM17" s="167" t="n">
        <x:f aca="0">R17*(1-$D17)</x:f>
        <x:v>2488.0834693587376</x:v>
      </x:c>
      <x:c r="AN17" s="167" t="n">
        <x:f aca="0">S17*(1-$D17)</x:f>
        <x:v>2947.9605169877627</x:v>
      </x:c>
      <x:c r="AO17" s="167" t="n">
        <x:f aca="0">T17*(1-$D17)</x:f>
        <x:v>3389.4524225673836</x:v>
      </x:c>
      <x:c r="AP17" s="167" t="n">
        <x:f aca="0">U17*(1-$D17)</x:f>
        <x:v>3805.5029136113694</x:v>
      </x:c>
      <x:c r="AQ17" s="167" t="n">
        <x:f aca="0">V17*(1-$D17)</x:f>
        <x:v>4191.890224327383</x:v>
      </x:c>
      <x:c r="AR17" s="167" t="n">
        <x:f aca="0">W17*(1-$D17)</x:f>
        <x:v>4546.578149901031</x:v>
      </x:c>
      <x:c r="AS17" s="167" t="n">
        <x:f aca="0">X17*(1-$D17)</x:f>
        <x:v>4869.139363076822</x:v>
      </x:c>
      <x:c r="AT17" s="167" t="n">
        <x:f aca="0">Y17*(1-$D17)</x:f>
        <x:v>5160.276836888545</x:v>
      </x:c>
      <x:c r="AU17" s="167" t="n">
        <x:f aca="0">Z17*(1-$D17)</x:f>
        <x:v>5421.444993895034</x:v>
      </x:c>
      <x:c r="AV17" s="37" t="str">
        <x:v>Formula-derived: S17_Biome_Strata row gross stock = eligible area × S15_Source_Strata stock/ha; S15_Source_Strata stock = cohort-aligned Chapman-Richards D/H → Chave AGB → conservative calibration → CF × (1+R) × 44/12. PB applied separately by Biome × Cohort.</x:v>
      </x:c>
    </x:row>
    <x:row r="18" ht="15" hidden="0" customHeight="1">
      <x:c r="A18" s="37" t="s">
        <x:v>113</x:v>
      </x:c>
      <x:c r="B18" s="37" t="n">
        <x:v>2024</x:v>
      </x:c>
      <x:c r="C18" s="167" t="n">
        <x:f aca="0">SUMIFS(S17_Biome_Strata!$F$4:$F$95,S17_Biome_Strata!$A$4:$A$95,"Tropical &amp; Subtropical Dry Broadleaf Forests",S17_Biome_Strata!$B$4:$B$95,$A18,S17_Biome_Strata!$D$4:$D$95,$B18)</x:f>
        <x:v>1.0587</x:v>
      </x:c>
      <x:c r="D18" s="167" t="n">
        <x:f aca="0">S09_PB_Input!H16</x:f>
        <x:v>0.19161300424745234</x:v>
      </x:c>
      <x:c r="E18" s="168" t="str">
        <x:f aca="0">S09_PB_Input!I16</x:f>
        <x:v>VM0047 v1.1 Appendix 1: Z-test significant; PB_t = ΔSI_control / ΔSI_wp (Eq. A8). Source: 20260814_304027_GKF_ProjectPlots_PB.xlsx.</x:v>
      </x:c>
      <x:c r="F18" s="167" t="n">
        <x:f aca="0">SUMIFS(S17_Biome_Strata!$AL$4:$AL$95,S17_Biome_Strata!$A$4:$A$95,"Tropical &amp; Subtropical Dry Broadleaf Forests",S17_Biome_Strata!$B$4:$B$95,$A18,S17_Biome_Strata!$D$4:$D$95,$B18)</x:f>
        <x:v>0</x:v>
      </x:c>
      <x:c r="G18" s="167" t="n">
        <x:f aca="0">SUMIFS(S17_Biome_Strata!$AM$4:$AM$95,S17_Biome_Strata!$A$4:$A$95,"Tropical &amp; Subtropical Dry Broadleaf Forests",S17_Biome_Strata!$B$4:$B$95,$A18,S17_Biome_Strata!$D$4:$D$95,$B18)</x:f>
        <x:v>0</x:v>
      </x:c>
      <x:c r="H18" s="167" t="n">
        <x:f aca="0">SUMIFS(S17_Biome_Strata!$AN$4:$AN$95,S17_Biome_Strata!$A$4:$A$95,"Tropical &amp; Subtropical Dry Broadleaf Forests",S17_Biome_Strata!$B$4:$B$95,$A18,S17_Biome_Strata!$D$4:$D$95,$B18)</x:f>
        <x:v>0</x:v>
      </x:c>
      <x:c r="I18" s="167" t="n">
        <x:f aca="0">SUMIFS(S17_Biome_Strata!$AO$4:$AO$95,S17_Biome_Strata!$A$4:$A$95,"Tropical &amp; Subtropical Dry Broadleaf Forests",S17_Biome_Strata!$B$4:$B$95,$A18,S17_Biome_Strata!$D$4:$D$95,$B18)</x:f>
        <x:v>0</x:v>
      </x:c>
      <x:c r="J18" s="167" t="n">
        <x:f aca="0">SUMIFS(S17_Biome_Strata!$AP$4:$AP$95,S17_Biome_Strata!$A$4:$A$95,"Tropical &amp; Subtropical Dry Broadleaf Forests",S17_Biome_Strata!$B$4:$B$95,$A18,S17_Biome_Strata!$D$4:$D$95,$B18)</x:f>
        <x:v>0</x:v>
      </x:c>
      <x:c r="K18" s="167" t="n">
        <x:f aca="0">SUMIFS(S17_Biome_Strata!$AQ$4:$AQ$95,S17_Biome_Strata!$A$4:$A$95,"Tropical &amp; Subtropical Dry Broadleaf Forests",S17_Biome_Strata!$B$4:$B$95,$A18,S17_Biome_Strata!$D$4:$D$95,$B18)</x:f>
        <x:v>2.3842548022597216</x:v>
      </x:c>
      <x:c r="L18" s="167" t="n">
        <x:f aca="0">SUMIFS(S17_Biome_Strata!$AR$4:$AR$95,S17_Biome_Strata!$A$4:$A$95,"Tropical &amp; Subtropical Dry Broadleaf Forests",S17_Biome_Strata!$B$4:$B$95,$A18,S17_Biome_Strata!$D$4:$D$95,$B18)</x:f>
        <x:v>23.16888553092122</x:v>
      </x:c>
      <x:c r="M18" s="167" t="n">
        <x:f aca="0">SUMIFS(S17_Biome_Strata!$AS$4:$AS$95,S17_Biome_Strata!$A$4:$A$95,"Tropical &amp; Subtropical Dry Broadleaf Forests",S17_Biome_Strata!$B$4:$B$95,$A18,S17_Biome_Strata!$D$4:$D$95,$B18)</x:f>
        <x:v>78.49829805615205</x:v>
      </x:c>
      <x:c r="N18" s="167" t="n">
        <x:f aca="0">SUMIFS(S17_Biome_Strata!$AT$4:$AT$95,S17_Biome_Strata!$A$4:$A$95,"Tropical &amp; Subtropical Dry Broadleaf Forests",S17_Biome_Strata!$B$4:$B$95,$A18,S17_Biome_Strata!$D$4:$D$95,$B18)</x:f>
        <x:v>174.69113216729482</x:v>
      </x:c>
      <x:c r="O18" s="167" t="n">
        <x:f aca="0">SUMIFS(S17_Biome_Strata!$AU$4:$AU$95,S17_Biome_Strata!$A$4:$A$95,"Tropical &amp; Subtropical Dry Broadleaf Forests",S17_Biome_Strata!$B$4:$B$95,$A18,S17_Biome_Strata!$D$4:$D$95,$B18)</x:f>
        <x:v>308.2900380128435</x:v>
      </x:c>
      <x:c r="P18" s="167" t="n">
        <x:f aca="0">SUMIFS(S17_Biome_Strata!$AV$4:$AV$95,S17_Biome_Strata!$A$4:$A$95,"Tropical &amp; Subtropical Dry Broadleaf Forests",S17_Biome_Strata!$B$4:$B$95,$A18,S17_Biome_Strata!$D$4:$D$95,$B18)</x:f>
        <x:v>471.26856136324693</x:v>
      </x:c>
      <x:c r="Q18" s="167" t="n">
        <x:f aca="0">SUMIFS(S17_Biome_Strata!$AW$4:$AW$95,S17_Biome_Strata!$A$4:$A$95,"Tropical &amp; Subtropical Dry Broadleaf Forests",S17_Biome_Strata!$B$4:$B$95,$A18,S17_Biome_Strata!$D$4:$D$95,$B18)</x:f>
        <x:v>654.0366743086265</x:v>
      </x:c>
      <x:c r="R18" s="167" t="n">
        <x:f aca="0">SUMIFS(S17_Biome_Strata!$AX$4:$AX$95,S17_Biome_Strata!$A$4:$A$95,"Tropical &amp; Subtropical Dry Broadleaf Forests",S17_Biome_Strata!$B$4:$B$95,$A18,S17_Biome_Strata!$D$4:$D$95,$B18)</x:f>
        <x:v>847.4114418587767</x:v>
      </x:c>
      <x:c r="S18" s="167" t="n">
        <x:f aca="0">SUMIFS(S17_Biome_Strata!$AY$4:$AY$95,S17_Biome_Strata!$A$4:$A$95,"Tropical &amp; Subtropical Dry Broadleaf Forests",S17_Biome_Strata!$B$4:$B$95,$A18,S17_Biome_Strata!$D$4:$D$95,$B18)</x:f>
        <x:v>1043.5902238915885</x:v>
      </x:c>
      <x:c r="T18" s="167" t="n">
        <x:f aca="0">SUMIFS(S17_Biome_Strata!$AZ$4:$AZ$95,S17_Biome_Strata!$A$4:$A$95,"Tropical &amp; Subtropical Dry Broadleaf Forests",S17_Biome_Strata!$B$4:$B$95,$A18,S17_Biome_Strata!$D$4:$D$95,$B18)</x:f>
        <x:v>1236.4789259822257</x:v>
      </x:c>
      <x:c r="U18" s="167" t="n">
        <x:f aca="0">SUMIFS(S17_Biome_Strata!$BA$4:$BA$95,S17_Biome_Strata!$A$4:$A$95,"Tropical &amp; Subtropical Dry Broadleaf Forests",S17_Biome_Strata!$B$4:$B$95,$A18,S17_Biome_Strata!$D$4:$D$95,$B18)</x:f>
        <x:v>1421.656249116368</x:v>
      </x:c>
      <x:c r="V18" s="167" t="n">
        <x:f aca="0">SUMIFS(S17_Biome_Strata!$BB$4:$BB$95,S17_Biome_Strata!$A$4:$A$95,"Tropical &amp; Subtropical Dry Broadleaf Forests",S17_Biome_Strata!$B$4:$B$95,$A18,S17_Biome_Strata!$D$4:$D$95,$B18)</x:f>
        <x:v>1596.162542995127</x:v>
      </x:c>
      <x:c r="W18" s="167" t="n">
        <x:f aca="0">SUMIFS(S17_Biome_Strata!$BC$4:$BC$95,S17_Biome_Strata!$A$4:$A$95,"Tropical &amp; Subtropical Dry Broadleaf Forests",S17_Biome_Strata!$B$4:$B$95,$A18,S17_Biome_Strata!$D$4:$D$95,$B18)</x:f>
        <x:v>1758.2270496987223</x:v>
      </x:c>
      <x:c r="X18" s="167" t="n">
        <x:f aca="0">SUMIFS(S17_Biome_Strata!$BD$4:$BD$95,S17_Biome_Strata!$A$4:$A$95,"Tropical &amp; Subtropical Dry Broadleaf Forests",S17_Biome_Strata!$B$4:$B$95,$A18,S17_Biome_Strata!$D$4:$D$95,$B18)</x:f>
        <x:v>1906.9957128965234</x:v>
      </x:c>
      <x:c r="Y18" s="167" t="n">
        <x:f aca="0">SUMIFS(S17_Biome_Strata!$BE$4:$BE$95,S17_Biome_Strata!$A$4:$A$95,"Tropical &amp; Subtropical Dry Broadleaf Forests",S17_Biome_Strata!$B$4:$B$95,$A18,S17_Biome_Strata!$D$4:$D$95,$B18)</x:f>
        <x:v>2042.2892964207226</x:v>
      </x:c>
      <x:c r="Z18" s="167" t="n">
        <x:f aca="0">SUMIFS(S17_Biome_Strata!$BF$4:$BF$95,S17_Biome_Strata!$A$4:$A$95,"Tropical &amp; Subtropical Dry Broadleaf Forests",S17_Biome_Strata!$B$4:$B$95,$A18,S17_Biome_Strata!$D$4:$D$95,$B18)</x:f>
        <x:v>2164.4026520296143</x:v>
      </x:c>
      <x:c r="AA18" s="167" t="n">
        <x:f aca="0">F18*(1-$D18)</x:f>
        <x:v>0</x:v>
      </x:c>
      <x:c r="AB18" s="167" t="n">
        <x:f aca="0">G18*(1-$D18)</x:f>
        <x:v>0</x:v>
      </x:c>
      <x:c r="AC18" s="167" t="n">
        <x:f aca="0">H18*(1-$D18)</x:f>
        <x:v>0</x:v>
      </x:c>
      <x:c r="AD18" s="167" t="n">
        <x:f aca="0">I18*(1-$D18)</x:f>
        <x:v>0</x:v>
      </x:c>
      <x:c r="AE18" s="167" t="n">
        <x:f aca="0">J18*(1-$D18)</x:f>
        <x:v>0</x:v>
      </x:c>
      <x:c r="AF18" s="167" t="n">
        <x:f aca="0">K18*(1-$D18)</x:f>
        <x:v>1.927400576707321</x:v>
      </x:c>
      <x:c r="AG18" s="167" t="n">
        <x:f aca="0">L18*(1-$D18)</x:f>
        <x:v>18.729425769276077</x:v>
      </x:c>
      <x:c r="AH18" s="167" t="n">
        <x:f aca="0">M18*(1-$D18)</x:f>
        <x:v>63.45700333730081</x:v>
      </x:c>
      <x:c r="AI18" s="167" t="n">
        <x:f aca="0">N18*(1-$D18)</x:f>
        <x:v>141.2180395173307</x:v>
      </x:c>
      <x:c r="AJ18" s="167" t="n">
        <x:f aca="0">O18*(1-$D18)</x:f>
        <x:v>249.2176576496413</x:v>
      </x:c>
      <x:c r="AK18" s="167" t="n">
        <x:f aca="0">P18*(1-$D18)</x:f>
        <x:v>380.96737651306034</x:v>
      </x:c>
      <x:c r="AL18" s="167" t="n">
        <x:f aca="0">Q18*(1-$D18)</x:f>
        <x:v>528.7147422563381</x:v>
      </x:c>
      <x:c r="AM18" s="167" t="n">
        <x:f aca="0">R18*(1-$D18)</x:f>
        <x:v>685.0363896505512</x:v>
      </x:c>
      <x:c r="AN18" s="167" t="n">
        <x:f aca="0">S18*(1-$D18)</x:f>
        <x:v>843.6247658884498</x:v>
      </x:c>
      <x:c r="AO18" s="167" t="n">
        <x:f aca="0">T18*(1-$D18)</x:f>
        <x:v>999.5534842861083</x:v>
      </x:c>
      <x:c r="AP18" s="167" t="n">
        <x:f aca="0">U18*(1-$D18)</x:f>
        <x:v>1149.2484242160162</x:v>
      </x:c>
      <x:c r="AQ18" s="167" t="n">
        <x:f aca="0">V18*(1-$D18)</x:f>
        <x:v>1290.3170428645776</x:v>
      </x:c>
      <x:c r="AR18" s="167" t="n">
        <x:f aca="0">W18*(1-$D18)</x:f>
        <x:v>1421.3278825568154</x:v>
      </x:c>
      <x:c r="AS18" s="167" t="n">
        <x:f aca="0">X18*(1-$D18)</x:f>
        <x:v>1541.5905352614086</x:v>
      </x:c>
      <x:c r="AT18" s="167" t="n">
        <x:f aca="0">Y18*(1-$D18)</x:f>
        <x:v>1650.9601087911324</x:v>
      </x:c>
      <x:c r="AU18" s="167" t="n">
        <x:f aca="0">Z18*(1-$D18)</x:f>
        <x:v>1749.6749574730668</x:v>
      </x:c>
      <x:c r="AV18" s="37" t="str">
        <x:v>Formula-derived: S17_Biome_Strata row gross stock = eligible area × S15_Source_Strata stock/ha; S15_Source_Strata stock = cohort-aligned Chapman-Richards D/H → Chave AGB → conservative calibration → CF × (1+R) × 44/12. PB applied separately by Biome × Cohort.</x:v>
      </x:c>
    </x:row>
    <x:row r="19" ht="15" hidden="0" customHeight="1">
      <x:c r="A19" s="37" t="s">
        <x:v>114</x:v>
      </x:c>
      <x:c r="B19" s="37" t="n">
        <x:v>2020</x:v>
      </x:c>
      <x:c r="C19" s="167" t="n">
        <x:f aca="0">SUMIFS(S17_Biome_Strata!$F$4:$F$95,S17_Biome_Strata!$A$4:$A$95,"Tropical &amp; Subtropical Dry Broadleaf Forests",S17_Biome_Strata!$B$4:$B$95,$A19,S17_Biome_Strata!$D$4:$D$95,$B19)</x:f>
        <x:v>11.6025</x:v>
      </x:c>
      <x:c r="D19" s="167" t="n">
        <x:f aca="0">S09_PB_Input!H12</x:f>
        <x:v>0.19161300424745234</x:v>
      </x:c>
      <x:c r="E19" s="168" t="str">
        <x:f aca="0">S09_PB_Input!I12</x:f>
        <x:v>VM0047 v1.1 Appendix 1: Z-test significant; PB_t = ΔSI_control / ΔSI_wp (Eq. A8). Source: 20260814_304027_GKF_ProjectPlots_PB.xlsx.</x:v>
      </x:c>
      <x:c r="F19" s="167" t="n">
        <x:f aca="0">SUMIFS(S17_Biome_Strata!$AL$4:$AL$95,S17_Biome_Strata!$A$4:$A$95,"Tropical &amp; Subtropical Dry Broadleaf Forests",S17_Biome_Strata!$B$4:$B$95,$A19,S17_Biome_Strata!$D$4:$D$95,$B19)</x:f>
        <x:v>0</x:v>
      </x:c>
      <x:c r="G19" s="167" t="n">
        <x:f aca="0">SUMIFS(S17_Biome_Strata!$AM$4:$AM$95,S17_Biome_Strata!$A$4:$A$95,"Tropical &amp; Subtropical Dry Broadleaf Forests",S17_Biome_Strata!$B$4:$B$95,$A19,S17_Biome_Strata!$D$4:$D$95,$B19)</x:f>
        <x:v>11.191708650527135</x:v>
      </x:c>
      <x:c r="H19" s="167" t="n">
        <x:f aca="0">SUMIFS(S17_Biome_Strata!$AN$4:$AN$95,S17_Biome_Strata!$A$4:$A$95,"Tropical &amp; Subtropical Dry Broadleaf Forests",S17_Biome_Strata!$B$4:$B$95,$A19,S17_Biome_Strata!$D$4:$D$95,$B19)</x:f>
        <x:v>118.6073935158506</x:v>
      </x:c>
      <x:c r="I19" s="167" t="n">
        <x:f aca="0">SUMIFS(S17_Biome_Strata!$AO$4:$AO$95,S17_Biome_Strata!$A$4:$A$95,"Tropical &amp; Subtropical Dry Broadleaf Forests",S17_Biome_Strata!$B$4:$B$95,$A19,S17_Biome_Strata!$D$4:$D$95,$B19)</x:f>
        <x:v>424.87189434674804</x:v>
      </x:c>
      <x:c r="J19" s="167" t="n">
        <x:f aca="0">SUMIFS(S17_Biome_Strata!$AP$4:$AP$95,S17_Biome_Strata!$A$4:$A$95,"Tropical &amp; Subtropical Dry Broadleaf Forests",S17_Biome_Strata!$B$4:$B$95,$A19,S17_Biome_Strata!$D$4:$D$95,$B19)</x:f>
        <x:v>985.5197265696027</x:v>
      </x:c>
      <x:c r="K19" s="167" t="n">
        <x:f aca="0">SUMIFS(S17_Biome_Strata!$AQ$4:$AQ$95,S17_Biome_Strata!$A$4:$A$95,"Tropical &amp; Subtropical Dry Broadleaf Forests",S17_Biome_Strata!$B$4:$B$95,$A19,S17_Biome_Strata!$D$4:$D$95,$B19)</x:f>
        <x:v>1797.3438484914286</x:v>
      </x:c>
      <x:c r="L19" s="167" t="n">
        <x:f aca="0">SUMIFS(S17_Biome_Strata!$AR$4:$AR$95,S17_Biome_Strata!$A$4:$A$95,"Tropical &amp; Subtropical Dry Broadleaf Forests",S17_Biome_Strata!$B$4:$B$95,$A19,S17_Biome_Strata!$D$4:$D$95,$B19)</x:f>
        <x:v>2822.716878155113</x:v>
      </x:c>
      <x:c r="M19" s="167" t="n">
        <x:f aca="0">SUMIFS(S17_Biome_Strata!$AS$4:$AS$95,S17_Biome_Strata!$A$4:$A$95,"Tropical &amp; Subtropical Dry Broadleaf Forests",S17_Biome_Strata!$B$4:$B$95,$A19,S17_Biome_Strata!$D$4:$D$95,$B19)</x:f>
        <x:v>4007.1540401808843</x:v>
      </x:c>
      <x:c r="N19" s="167" t="n">
        <x:f aca="0">SUMIFS(S17_Biome_Strata!$AT$4:$AT$95,S17_Biome_Strata!$A$4:$A$95,"Tropical &amp; Subtropical Dry Broadleaf Forests",S17_Biome_Strata!$B$4:$B$95,$A19,S17_Biome_Strata!$D$4:$D$95,$B19)</x:f>
        <x:v>5292.80429773909</x:v>
      </x:c>
      <x:c r="O19" s="167" t="n">
        <x:f aca="0">SUMIFS(S17_Biome_Strata!$AU$4:$AU$95,S17_Biome_Strata!$A$4:$A$95,"Tropical &amp; Subtropical Dry Broadleaf Forests",S17_Biome_Strata!$B$4:$B$95,$A19,S17_Biome_Strata!$D$4:$D$95,$B19)</x:f>
        <x:v>6626.510619542909</x:v>
      </x:c>
      <x:c r="P19" s="167" t="n">
        <x:f aca="0">SUMIFS(S17_Biome_Strata!$AV$4:$AV$95,S17_Biome_Strata!$A$4:$A$95,"Tropical &amp; Subtropical Dry Broadleaf Forests",S17_Biome_Strata!$B$4:$B$95,$A19,S17_Biome_Strata!$D$4:$D$95,$B19)</x:f>
        <x:v>7963.731668076696</x:v>
      </x:c>
      <x:c r="Q19" s="167" t="n">
        <x:f aca="0">SUMIFS(S17_Biome_Strata!$AW$4:$AW$95,S17_Biome_Strata!$A$4:$A$95,"Tropical &amp; Subtropical Dry Broadleaf Forests",S17_Biome_Strata!$B$4:$B$95,$A19,S17_Biome_Strata!$D$4:$D$95,$B19)</x:f>
        <x:v>9269.745653932046</x:v>
      </x:c>
      <x:c r="R19" s="167" t="n">
        <x:f aca="0">SUMIFS(S17_Biome_Strata!$AX$4:$AX$95,S17_Biome_Strata!$A$4:$A$95,"Tropical &amp; Subtropical Dry Broadleaf Forests",S17_Biome_Strata!$B$4:$B$95,$A19,S17_Biome_Strata!$D$4:$D$95,$B19)</x:f>
        <x:v>10519.271511998977</x:v>
      </x:c>
      <x:c r="S19" s="167" t="n">
        <x:f aca="0">SUMIFS(S17_Biome_Strata!$AY$4:$AY$95,S17_Biome_Strata!$A$4:$A$95,"Tropical &amp; Subtropical Dry Broadleaf Forests",S17_Biome_Strata!$B$4:$B$95,$A19,S17_Biome_Strata!$D$4:$D$95,$B19)</x:f>
        <x:v>11695.296147733838</x:v>
      </x:c>
      <x:c r="T19" s="167" t="n">
        <x:f aca="0">SUMIFS(S17_Biome_Strata!$AZ$4:$AZ$95,S17_Biome_Strata!$A$4:$A$95,"Tropical &amp; Subtropical Dry Broadleaf Forests",S17_Biome_Strata!$B$4:$B$95,$A19,S17_Biome_Strata!$D$4:$D$95,$B19)</x:f>
        <x:v>12787.606369218618</x:v>
      </x:c>
      <x:c r="U19" s="167" t="n">
        <x:f aca="0">SUMIFS(S17_Biome_Strata!$BA$4:$BA$95,S17_Biome_Strata!$A$4:$A$95,"Tropical &amp; Subtropical Dry Broadleaf Forests",S17_Biome_Strata!$B$4:$B$95,$A19,S17_Biome_Strata!$D$4:$D$95,$B19)</x:f>
        <x:v>13791.31382443608</x:v>
      </x:c>
      <x:c r="V19" s="167" t="n">
        <x:f aca="0">SUMIFS(S17_Biome_Strata!$BB$4:$BB$95,S17_Biome_Strata!$A$4:$A$95,"Tropical &amp; Subtropical Dry Broadleaf Forests",S17_Biome_Strata!$B$4:$B$95,$A19,S17_Biome_Strata!$D$4:$D$95,$B19)</x:f>
        <x:v>14705.52148783133</x:v>
      </x:c>
      <x:c r="W19" s="167" t="n">
        <x:f aca="0">SUMIFS(S17_Biome_Strata!$BC$4:$BC$95,S17_Biome_Strata!$A$4:$A$95,"Tropical &amp; Subtropical Dry Broadleaf Forests",S17_Biome_Strata!$B$4:$B$95,$A19,S17_Biome_Strata!$D$4:$D$95,$B19)</x:f>
        <x:v>15532.193522935646</x:v>
      </x:c>
      <x:c r="X19" s="167" t="n">
        <x:f aca="0">SUMIFS(S17_Biome_Strata!$BD$4:$BD$95,S17_Biome_Strata!$A$4:$A$95,"Tropical &amp; Subtropical Dry Broadleaf Forests",S17_Biome_Strata!$B$4:$B$95,$A19,S17_Biome_Strata!$D$4:$D$95,$B19)</x:f>
        <x:v>16275.240214586942</x:v>
      </x:c>
      <x:c r="Y19" s="167" t="n">
        <x:f aca="0">SUMIFS(S17_Biome_Strata!$BE$4:$BE$95,S17_Biome_Strata!$A$4:$A$95,"Tropical &amp; Subtropical Dry Broadleaf Forests",S17_Biome_Strata!$B$4:$B$95,$A19,S17_Biome_Strata!$D$4:$D$95,$B19)</x:f>
        <x:v>16939.803249600955</x:v>
      </x:c>
      <x:c r="Z19" s="167" t="n">
        <x:f aca="0">SUMIFS(S17_Biome_Strata!$BF$4:$BF$95,S17_Biome_Strata!$A$4:$A$95,"Tropical &amp; Subtropical Dry Broadleaf Forests",S17_Biome_Strata!$B$4:$B$95,$A19,S17_Biome_Strata!$D$4:$D$95,$B19)</x:f>
        <x:v>17531.714779879192</x:v>
      </x:c>
      <x:c r="AA19" s="167" t="n">
        <x:f aca="0">F19*(1-$D19)</x:f>
        <x:v>0</x:v>
      </x:c>
      <x:c r="AB19" s="167" t="n">
        <x:f aca="0">G19*(1-$D19)</x:f>
        <x:v>9.04723173333743</x:v>
      </x:c>
      <x:c r="AC19" s="167" t="n">
        <x:f aca="0">H19*(1-$D19)</x:f>
        <x:v>95.88067451831867</x:v>
      </x:c>
      <x:c r="AD19" s="167" t="n">
        <x:f aca="0">I19*(1-$D19)</x:f>
        <x:v>343.4609142506615</x:v>
      </x:c>
      <x:c r="AE19" s="167" t="n">
        <x:f aca="0">J19*(1-$D19)</x:f>
        <x:v>796.6813310164733</x:v>
      </x:c>
      <x:c r="AF19" s="167" t="n">
        <x:f aca="0">K19*(1-$D19)</x:f>
        <x:v>1452.9493940163081</x:v>
      </x:c>
      <x:c r="AG19" s="167" t="n">
        <x:f aca="0">L19*(1-$D19)</x:f>
        <x:v>2281.847616991822</x:v>
      </x:c>
      <x:c r="AH19" s="167" t="n">
        <x:f aca="0">M19*(1-$D19)</x:f>
        <x:v>3239.3312160595087</x:v>
      </x:c>
      <x:c r="AI19" s="167" t="n">
        <x:f aca="0">N19*(1-$D19)</x:f>
        <x:v>4278.6341653554755</x:v>
      </x:c>
      <x:c r="AJ19" s="167" t="n">
        <x:f aca="0">O19*(1-$D19)</x:f>
        <x:v>5356.785012054645</x:v>
      </x:c>
      <x:c r="AK19" s="167" t="n">
        <x:f aca="0">P19*(1-$D19)</x:f>
        <x:v>6437.777118135946</x:v>
      </x:c>
      <x:c r="AL19" s="167" t="n">
        <x:f aca="0">Q19*(1-$D19)</x:f>
        <x:v>7493.541840572363</x:v>
      </x:c>
      <x:c r="AM19" s="167" t="n">
        <x:f aca="0">R19*(1-$D19)</x:f>
        <x:v>8503.642295090212</x:v>
      </x:c>
      <x:c r="AN19" s="167" t="n">
        <x:f aca="0">S19*(1-$D19)</x:f>
        <x:v>9454.3253173029</x:v>
      </x:c>
      <x:c r="AO19" s="167" t="n">
        <x:f aca="0">T19*(1-$D19)</x:f>
        <x:v>10337.334695678783</x:v>
      </x:c>
      <x:c r="AP19" s="167" t="n">
        <x:f aca="0">U19*(1-$D19)</x:f>
        <x:v>11148.718750016462</x:v>
      </x:c>
      <x:c r="AQ19" s="167" t="n">
        <x:f aca="0">V19*(1-$D19)</x:f>
        <x:v>11887.752336522504</x:v>
      </x:c>
      <x:c r="AR19" s="167" t="n">
        <x:f aca="0">W19*(1-$D19)</x:f>
        <x:v>12556.023259453126</x:v>
      </x:c>
      <x:c r="AS19" s="167" t="n">
        <x:f aca="0">X19*(1-$D19)</x:f>
        <x:v>13156.692542220988</x:v>
      </x:c>
      <x:c r="AT19" s="167" t="n">
        <x:f aca="0">Y19*(1-$D19)</x:f>
        <x:v>13693.916657584161</x:v>
      </x:c>
      <x:c r="AU19" s="167" t="n">
        <x:f aca="0">Z19*(1-$D19)</x:f>
        <x:v>14172.410241297079</x:v>
      </x:c>
      <x:c r="AV19" s="37" t="str">
        <x:v>Formula-derived: S17_Biome_Strata row gross stock = eligible area × S15_Source_Strata stock/ha; S15_Source_Strata stock = cohort-aligned Chapman-Richards D/H → Chave AGB → conservative calibration → CF × (1+R) × 44/12. PB applied separately by Biome × Cohort.</x:v>
      </x:c>
    </x:row>
    <x:row r="20" ht="15" hidden="0" customHeight="1">
      <x:c r="A20" s="37" t="s">
        <x:v>114</x:v>
      </x:c>
      <x:c r="B20" s="37" t="n">
        <x:v>2021</x:v>
      </x:c>
      <x:c r="C20" s="167" t="n">
        <x:f aca="0">SUMIFS(S17_Biome_Strata!$F$4:$F$95,S17_Biome_Strata!$A$4:$A$95,"Tropical &amp; Subtropical Dry Broadleaf Forests",S17_Biome_Strata!$B$4:$B$95,$A20,S17_Biome_Strata!$D$4:$D$95,$B20)</x:f>
        <x:v>4.114599999999999</x:v>
      </x:c>
      <x:c r="D20" s="167" t="n">
        <x:f aca="0">S09_PB_Input!H13</x:f>
        <x:v>0.19161300424745234</x:v>
      </x:c>
      <x:c r="E20" s="168" t="str">
        <x:f aca="0">S09_PB_Input!I13</x:f>
        <x:v>VM0047 v1.1 Appendix 1: Z-test significant; PB_t = ΔSI_control / ΔSI_wp (Eq. A8). Source: 20260814_304027_GKF_ProjectPlots_PB.xlsx.</x:v>
      </x:c>
      <x:c r="F20" s="167" t="n">
        <x:f aca="0">SUMIFS(S17_Biome_Strata!$AL$4:$AL$95,S17_Biome_Strata!$A$4:$A$95,"Tropical &amp; Subtropical Dry Broadleaf Forests",S17_Biome_Strata!$B$4:$B$95,$A20,S17_Biome_Strata!$D$4:$D$95,$B20)</x:f>
        <x:v>0</x:v>
      </x:c>
      <x:c r="G20" s="167" t="n">
        <x:f aca="0">SUMIFS(S17_Biome_Strata!$AM$4:$AM$95,S17_Biome_Strata!$A$4:$A$95,"Tropical &amp; Subtropical Dry Broadleaf Forests",S17_Biome_Strata!$B$4:$B$95,$A20,S17_Biome_Strata!$D$4:$D$95,$B20)</x:f>
        <x:v>0</x:v>
      </x:c>
      <x:c r="H20" s="167" t="n">
        <x:f aca="0">SUMIFS(S17_Biome_Strata!$AN$4:$AN$95,S17_Biome_Strata!$A$4:$A$95,"Tropical &amp; Subtropical Dry Broadleaf Forests",S17_Biome_Strata!$B$4:$B$95,$A20,S17_Biome_Strata!$D$4:$D$95,$B20)</x:f>
        <x:v>0.8849722516544456</x:v>
      </x:c>
      <x:c r="I20" s="167" t="n">
        <x:f aca="0">SUMIFS(S17_Biome_Strata!$AO$4:$AO$95,S17_Biome_Strata!$A$4:$A$95,"Tropical &amp; Subtropical Dry Broadleaf Forests",S17_Biome_Strata!$B$4:$B$95,$A20,S17_Biome_Strata!$D$4:$D$95,$B20)</x:f>
        <x:v>10.565585610212404</x:v>
      </x:c>
      <x:c r="J20" s="167" t="n">
        <x:f aca="0">SUMIFS(S17_Biome_Strata!$AP$4:$AP$95,S17_Biome_Strata!$A$4:$A$95,"Tropical &amp; Subtropical Dry Broadleaf Forests",S17_Biome_Strata!$B$4:$B$95,$A20,S17_Biome_Strata!$D$4:$D$95,$B20)</x:f>
        <x:v>40.35446211136998</x:v>
      </x:c>
      <x:c r="K20" s="167" t="n">
        <x:f aca="0">SUMIFS(S17_Biome_Strata!$AQ$4:$AQ$95,S17_Biome_Strata!$A$4:$A$95,"Tropical &amp; Subtropical Dry Broadleaf Forests",S17_Biome_Strata!$B$4:$B$95,$A20,S17_Biome_Strata!$D$4:$D$95,$B20)</x:f>
        <x:v>97.67624683988191</x:v>
      </x:c>
      <x:c r="L20" s="167" t="n">
        <x:f aca="0">SUMIFS(S17_Biome_Strata!$AR$4:$AR$95,S17_Biome_Strata!$A$4:$A$95,"Tropical &amp; Subtropical Dry Broadleaf Forests",S17_Biome_Strata!$B$4:$B$95,$A20,S17_Biome_Strata!$D$4:$D$95,$B20)</x:f>
        <x:v>183.7788189761006</x:v>
      </x:c>
      <x:c r="M20" s="167" t="n">
        <x:f aca="0">SUMIFS(S17_Biome_Strata!$AS$4:$AS$95,S17_Biome_Strata!$A$4:$A$95,"Tropical &amp; Subtropical Dry Broadleaf Forests",S17_Biome_Strata!$B$4:$B$95,$A20,S17_Biome_Strata!$D$4:$D$95,$B20)</x:f>
        <x:v>295.69130973894465</x:v>
      </x:c>
      <x:c r="N20" s="167" t="n">
        <x:f aca="0">SUMIFS(S17_Biome_Strata!$AT$4:$AT$95,S17_Biome_Strata!$A$4:$A$95,"Tropical &amp; Subtropical Dry Broadleaf Forests",S17_Biome_Strata!$B$4:$B$95,$A20,S17_Biome_Strata!$D$4:$D$95,$B20)</x:f>
        <x:v>428.03335849020425</x:v>
      </x:c>
      <x:c r="O20" s="167" t="n">
        <x:f aca="0">SUMIFS(S17_Biome_Strata!$AU$4:$AU$95,S17_Biome_Strata!$A$4:$A$95,"Tropical &amp; Subtropical Dry Broadleaf Forests",S17_Biome_Strata!$B$4:$B$95,$A20,S17_Biome_Strata!$D$4:$D$95,$B20)</x:f>
        <x:v>574.5685642060535</x:v>
      </x:c>
      <x:c r="P20" s="167" t="n">
        <x:f aca="0">SUMIFS(S17_Biome_Strata!$AV$4:$AV$95,S17_Biome_Strata!$A$4:$A$95,"Tropical &amp; Subtropical Dry Broadleaf Forests",S17_Biome_Strata!$B$4:$B$95,$A20,S17_Biome_Strata!$D$4:$D$95,$B20)</x:f>
        <x:v>729.2310178102878</x:v>
      </x:c>
      <x:c r="Q20" s="167" t="n">
        <x:f aca="0">SUMIFS(S17_Biome_Strata!$AW$4:$AW$95,S17_Biome_Strata!$A$4:$A$95,"Tropical &amp; Subtropical Dry Broadleaf Forests",S17_Biome_Strata!$B$4:$B$95,$A20,S17_Biome_Strata!$D$4:$D$95,$B20)</x:f>
        <x:v>886.6962195633619</x:v>
      </x:c>
      <x:c r="R20" s="167" t="n">
        <x:f aca="0">SUMIFS(S17_Biome_Strata!$AX$4:$AX$95,S17_Biome_Strata!$A$4:$A$95,"Tropical &amp; Subtropical Dry Broadleaf Forests",S17_Biome_Strata!$B$4:$B$95,$A20,S17_Biome_Strata!$D$4:$D$95,$B20)</x:f>
        <x:v>1042.6254928359576</x:v>
      </x:c>
      <x:c r="S20" s="167" t="n">
        <x:f aca="0">SUMIFS(S17_Biome_Strata!$AY$4:$AY$95,S17_Biome_Strata!$A$4:$A$95,"Tropical &amp; Subtropical Dry Broadleaf Forests",S17_Biome_Strata!$B$4:$B$95,$A20,S17_Biome_Strata!$D$4:$D$95,$B20)</x:f>
        <x:v>1193.7032941430573</x:v>
      </x:c>
      <x:c r="T20" s="167" t="n">
        <x:f aca="0">SUMIFS(S17_Biome_Strata!$AZ$4:$AZ$95,S17_Biome_Strata!$A$4:$A$95,"Tropical &amp; Subtropical Dry Broadleaf Forests",S17_Biome_Strata!$B$4:$B$95,$A20,S17_Biome_Strata!$D$4:$D$95,$B20)</x:f>
        <x:v>1337.5579661769539</x:v>
      </x:c>
      <x:c r="U20" s="167" t="n">
        <x:f aca="0">SUMIFS(S17_Biome_Strata!$BA$4:$BA$95,S17_Biome_Strata!$A$4:$A$95,"Tropical &amp; Subtropical Dry Broadleaf Forests",S17_Biome_Strata!$B$4:$B$95,$A20,S17_Biome_Strata!$D$4:$D$95,$B20)</x:f>
        <x:v>1472.6274702431083</x:v>
      </x:c>
      <x:c r="V20" s="167" t="n">
        <x:f aca="0">SUMIFS(S17_Biome_Strata!$BB$4:$BB$95,S17_Biome_Strata!$A$4:$A$95,"Tropical &amp; Subtropical Dry Broadleaf Forests",S17_Biome_Strata!$B$4:$B$95,$A20,S17_Biome_Strata!$D$4:$D$95,$B20)</x:f>
        <x:v>1598.0084980049205</x:v>
      </x:c>
      <x:c r="W20" s="167" t="n">
        <x:f aca="0">SUMIFS(S17_Biome_Strata!$BC$4:$BC$95,S17_Biome_Strata!$A$4:$A$95,"Tropical &amp; Subtropical Dry Broadleaf Forests",S17_Biome_Strata!$B$4:$B$95,$A20,S17_Biome_Strata!$D$4:$D$95,$B20)</x:f>
        <x:v>1713.3108679324953</x:v>
      </x:c>
      <x:c r="X20" s="167" t="n">
        <x:f aca="0">SUMIFS(S17_Biome_Strata!$BD$4:$BD$95,S17_Biome_Strata!$A$4:$A$95,"Tropical &amp; Subtropical Dry Broadleaf Forests",S17_Biome_Strata!$B$4:$B$95,$A20,S17_Biome_Strata!$D$4:$D$95,$B20)</x:f>
        <x:v>1818.5282034911502</x:v>
      </x:c>
      <x:c r="Y20" s="167" t="n">
        <x:f aca="0">SUMIFS(S17_Biome_Strata!$BE$4:$BE$95,S17_Biome_Strata!$A$4:$A$95,"Tropical &amp; Subtropical Dry Broadleaf Forests",S17_Biome_Strata!$B$4:$B$95,$A20,S17_Biome_Strata!$D$4:$D$95,$B20)</x:f>
        <x:v>1913.929127910047</x:v>
      </x:c>
      <x:c r="Z20" s="167" t="n">
        <x:f aca="0">SUMIFS(S17_Biome_Strata!$BF$4:$BF$95,S17_Biome_Strata!$A$4:$A$95,"Tropical &amp; Subtropical Dry Broadleaf Forests",S17_Biome_Strata!$B$4:$B$95,$A20,S17_Biome_Strata!$D$4:$D$95,$B20)</x:f>
        <x:v>1999.9693040353798</x:v>
      </x:c>
      <x:c r="AA20" s="167" t="n">
        <x:f aca="0">F20*(1-$D20)</x:f>
        <x:v>0</x:v>
      </x:c>
      <x:c r="AB20" s="167" t="n">
        <x:f aca="0">G20*(1-$D20)</x:f>
        <x:v>0</x:v>
      </x:c>
      <x:c r="AC20" s="167" t="n">
        <x:f aca="0">H20*(1-$D20)</x:f>
        <x:v>0.7154000598393049</x:v>
      </x:c>
      <x:c r="AD20" s="167" t="n">
        <x:f aca="0">I20*(1-$D20)</x:f>
        <x:v>8.541082009805953</x:v>
      </x:c>
      <x:c r="AE20" s="167" t="n">
        <x:f aca="0">J20*(1-$D20)</x:f>
        <x:v>32.622022391420394</x:v>
      </x:c>
      <x:c r="AF20" s="167" t="n">
        <x:f aca="0">K20*(1-$D20)</x:f>
        <x:v>78.96020773927641</x:v>
      </x:c>
      <x:c r="AG20" s="167" t="n">
        <x:f aca="0">L20*(1-$D20)</x:f>
        <x:v>148.56440735504128</x:v>
      </x:c>
      <x:c r="AH20" s="167" t="n">
        <x:f aca="0">M20*(1-$D20)</x:f>
        <x:v>239.0330095500015</x:v>
      </x:c>
      <x:c r="AI20" s="167" t="n">
        <x:f aca="0">N20*(1-$D20)</x:f>
        <x:v>346.0166007517695</x:v>
      </x:c>
      <x:c r="AJ20" s="167" t="n">
        <x:f aca="0">O20*(1-$D20)</x:f>
        <x:v>464.47375547238636</x:v>
      </x:c>
      <x:c r="AK20" s="167" t="n">
        <x:f aca="0">P20*(1-$D20)</x:f>
        <x:v>589.5008716972311</x:v>
      </x:c>
      <x:c r="AL20" s="167" t="n">
        <x:f aca="0">Q20*(1-$D20)</x:f>
        <x:v>716.7936930779675</x:v>
      </x:c>
      <x:c r="AM20" s="167" t="n">
        <x:f aca="0">R20*(1-$D20)</x:f>
        <x:v>842.8448898486793</x:v>
      </x:c>
      <x:c r="AN20" s="167" t="n">
        <x:f aca="0">S20*(1-$D20)</x:f>
        <x:v>964.9742197722259</x:v>
      </x:c>
      <x:c r="AO20" s="167" t="n">
        <x:f aca="0">T20*(1-$D20)</x:f>
        <x:v>1081.2644659226755</x:v>
      </x:c>
      <x:c r="AP20" s="167" t="n">
        <x:f aca="0">U20*(1-$D20)</x:f>
        <x:v>1190.4528965325005</x:v>
      </x:c>
      <x:c r="AQ20" s="167" t="n">
        <x:f aca="0">V20*(1-$D20)</x:f>
        <x:v>1291.8092888892388</x:v>
      </x:c>
      <x:c r="AR20" s="167" t="n">
        <x:f aca="0">W20*(1-$D20)</x:f>
        <x:v>1385.01822531814</x:v>
      </x:c>
      <x:c r="AS20" s="167" t="n">
        <x:f aca="0">X20*(1-$D20)</x:f>
        <x:v>1470.0745511114885</x:v>
      </x:c>
      <x:c r="AT20" s="167" t="n">
        <x:f aca="0">Y20*(1-$D20)</x:f>
        <x:v>1547.1954177944965</x:v>
      </x:c>
      <x:c r="AU20" s="167" t="n">
        <x:f aca="0">Z20*(1-$D20)</x:f>
        <x:v>1616.7491772864744</x:v>
      </x:c>
      <x:c r="AV20" s="37" t="str">
        <x:v>Formula-derived: S17_Biome_Strata row gross stock = eligible area × S15_Source_Strata stock/ha; S15_Source_Strata stock = cohort-aligned Chapman-Richards D/H → Chave AGB → conservative calibration → CF × (1+R) × 44/12. PB applied separately by Biome × Cohort.</x:v>
      </x:c>
    </x:row>
    <x:row r="21" ht="15" hidden="0" customHeight="1">
      <x:c r="A21" s="37" t="s">
        <x:v>114</x:v>
      </x:c>
      <x:c r="B21" s="37" t="n">
        <x:v>2022</x:v>
      </x:c>
      <x:c r="C21" s="167" t="n">
        <x:f aca="0">SUMIFS(S17_Biome_Strata!$F$4:$F$95,S17_Biome_Strata!$A$4:$A$95,"Tropical &amp; Subtropical Dry Broadleaf Forests",S17_Biome_Strata!$B$4:$B$95,$A21,S17_Biome_Strata!$D$4:$D$95,$B21)</x:f>
        <x:v>0</x:v>
      </x:c>
      <x:c r="D21" s="167" t="n">
        <x:f aca="0">S09_PB_Input!H14</x:f>
        <x:v>0.19161300424745234</x:v>
      </x:c>
      <x:c r="E21" s="168" t="str">
        <x:f aca="0">S09_PB_Input!I14</x:f>
        <x:v>VM0047 v1.1 Appendix 1: Z-test significant; PB_t = ΔSI_control / ΔSI_wp (Eq. A8). Source: 20260814_304027_GKF_ProjectPlots_PB.xlsx.</x:v>
      </x:c>
      <x:c r="F21" s="167" t="n">
        <x:f aca="0">SUMIFS(S17_Biome_Strata!$AL$4:$AL$95,S17_Biome_Strata!$A$4:$A$95,"Tropical &amp; Subtropical Dry Broadleaf Forests",S17_Biome_Strata!$B$4:$B$95,$A21,S17_Biome_Strata!$D$4:$D$95,$B21)</x:f>
        <x:v>0</x:v>
      </x:c>
      <x:c r="G21" s="167" t="n">
        <x:f aca="0">SUMIFS(S17_Biome_Strata!$AM$4:$AM$95,S17_Biome_Strata!$A$4:$A$95,"Tropical &amp; Subtropical Dry Broadleaf Forests",S17_Biome_Strata!$B$4:$B$95,$A21,S17_Biome_Strata!$D$4:$D$95,$B21)</x:f>
        <x:v>0</x:v>
      </x:c>
      <x:c r="H21" s="167" t="n">
        <x:f aca="0">SUMIFS(S17_Biome_Strata!$AN$4:$AN$95,S17_Biome_Strata!$A$4:$A$95,"Tropical &amp; Subtropical Dry Broadleaf Forests",S17_Biome_Strata!$B$4:$B$95,$A21,S17_Biome_Strata!$D$4:$D$95,$B21)</x:f>
        <x:v>0</x:v>
      </x:c>
      <x:c r="I21" s="167" t="n">
        <x:f aca="0">SUMIFS(S17_Biome_Strata!$AO$4:$AO$95,S17_Biome_Strata!$A$4:$A$95,"Tropical &amp; Subtropical Dry Broadleaf Forests",S17_Biome_Strata!$B$4:$B$95,$A21,S17_Biome_Strata!$D$4:$D$95,$B21)</x:f>
        <x:v>0</x:v>
      </x:c>
      <x:c r="J21" s="167" t="n">
        <x:f aca="0">SUMIFS(S17_Biome_Strata!$AP$4:$AP$95,S17_Biome_Strata!$A$4:$A$95,"Tropical &amp; Subtropical Dry Broadleaf Forests",S17_Biome_Strata!$B$4:$B$95,$A21,S17_Biome_Strata!$D$4:$D$95,$B21)</x:f>
        <x:v>0</x:v>
      </x:c>
      <x:c r="K21" s="167" t="n">
        <x:f aca="0">SUMIFS(S17_Biome_Strata!$AQ$4:$AQ$95,S17_Biome_Strata!$A$4:$A$95,"Tropical &amp; Subtropical Dry Broadleaf Forests",S17_Biome_Strata!$B$4:$B$95,$A21,S17_Biome_Strata!$D$4:$D$95,$B21)</x:f>
        <x:v>0</x:v>
      </x:c>
      <x:c r="L21" s="167" t="n">
        <x:f aca="0">SUMIFS(S17_Biome_Strata!$AR$4:$AR$95,S17_Biome_Strata!$A$4:$A$95,"Tropical &amp; Subtropical Dry Broadleaf Forests",S17_Biome_Strata!$B$4:$B$95,$A21,S17_Biome_Strata!$D$4:$D$95,$B21)</x:f>
        <x:v>0</x:v>
      </x:c>
      <x:c r="M21" s="167" t="n">
        <x:f aca="0">SUMIFS(S17_Biome_Strata!$AS$4:$AS$95,S17_Biome_Strata!$A$4:$A$95,"Tropical &amp; Subtropical Dry Broadleaf Forests",S17_Biome_Strata!$B$4:$B$95,$A21,S17_Biome_Strata!$D$4:$D$95,$B21)</x:f>
        <x:v>0</x:v>
      </x:c>
      <x:c r="N21" s="167" t="n">
        <x:f aca="0">SUMIFS(S17_Biome_Strata!$AT$4:$AT$95,S17_Biome_Strata!$A$4:$A$95,"Tropical &amp; Subtropical Dry Broadleaf Forests",S17_Biome_Strata!$B$4:$B$95,$A21,S17_Biome_Strata!$D$4:$D$95,$B21)</x:f>
        <x:v>0</x:v>
      </x:c>
      <x:c r="O21" s="167" t="n">
        <x:f aca="0">SUMIFS(S17_Biome_Strata!$AU$4:$AU$95,S17_Biome_Strata!$A$4:$A$95,"Tropical &amp; Subtropical Dry Broadleaf Forests",S17_Biome_Strata!$B$4:$B$95,$A21,S17_Biome_Strata!$D$4:$D$95,$B21)</x:f>
        <x:v>0</x:v>
      </x:c>
      <x:c r="P21" s="167" t="n">
        <x:f aca="0">SUMIFS(S17_Biome_Strata!$AV$4:$AV$95,S17_Biome_Strata!$A$4:$A$95,"Tropical &amp; Subtropical Dry Broadleaf Forests",S17_Biome_Strata!$B$4:$B$95,$A21,S17_Biome_Strata!$D$4:$D$95,$B21)</x:f>
        <x:v>0</x:v>
      </x:c>
      <x:c r="Q21" s="167" t="n">
        <x:f aca="0">SUMIFS(S17_Biome_Strata!$AW$4:$AW$95,S17_Biome_Strata!$A$4:$A$95,"Tropical &amp; Subtropical Dry Broadleaf Forests",S17_Biome_Strata!$B$4:$B$95,$A21,S17_Biome_Strata!$D$4:$D$95,$B21)</x:f>
        <x:v>0</x:v>
      </x:c>
      <x:c r="R21" s="167" t="n">
        <x:f aca="0">SUMIFS(S17_Biome_Strata!$AX$4:$AX$95,S17_Biome_Strata!$A$4:$A$95,"Tropical &amp; Subtropical Dry Broadleaf Forests",S17_Biome_Strata!$B$4:$B$95,$A21,S17_Biome_Strata!$D$4:$D$95,$B21)</x:f>
        <x:v>0</x:v>
      </x:c>
      <x:c r="S21" s="167" t="n">
        <x:f aca="0">SUMIFS(S17_Biome_Strata!$AY$4:$AY$95,S17_Biome_Strata!$A$4:$A$95,"Tropical &amp; Subtropical Dry Broadleaf Forests",S17_Biome_Strata!$B$4:$B$95,$A21,S17_Biome_Strata!$D$4:$D$95,$B21)</x:f>
        <x:v>0</x:v>
      </x:c>
      <x:c r="T21" s="167" t="n">
        <x:f aca="0">SUMIFS(S17_Biome_Strata!$AZ$4:$AZ$95,S17_Biome_Strata!$A$4:$A$95,"Tropical &amp; Subtropical Dry Broadleaf Forests",S17_Biome_Strata!$B$4:$B$95,$A21,S17_Biome_Strata!$D$4:$D$95,$B21)</x:f>
        <x:v>0</x:v>
      </x:c>
      <x:c r="U21" s="167" t="n">
        <x:f aca="0">SUMIFS(S17_Biome_Strata!$BA$4:$BA$95,S17_Biome_Strata!$A$4:$A$95,"Tropical &amp; Subtropical Dry Broadleaf Forests",S17_Biome_Strata!$B$4:$B$95,$A21,S17_Biome_Strata!$D$4:$D$95,$B21)</x:f>
        <x:v>0</x:v>
      </x:c>
      <x:c r="V21" s="167" t="n">
        <x:f aca="0">SUMIFS(S17_Biome_Strata!$BB$4:$BB$95,S17_Biome_Strata!$A$4:$A$95,"Tropical &amp; Subtropical Dry Broadleaf Forests",S17_Biome_Strata!$B$4:$B$95,$A21,S17_Biome_Strata!$D$4:$D$95,$B21)</x:f>
        <x:v>0</x:v>
      </x:c>
      <x:c r="W21" s="167" t="n">
        <x:f aca="0">SUMIFS(S17_Biome_Strata!$BC$4:$BC$95,S17_Biome_Strata!$A$4:$A$95,"Tropical &amp; Subtropical Dry Broadleaf Forests",S17_Biome_Strata!$B$4:$B$95,$A21,S17_Biome_Strata!$D$4:$D$95,$B21)</x:f>
        <x:v>0</x:v>
      </x:c>
      <x:c r="X21" s="167" t="n">
        <x:f aca="0">SUMIFS(S17_Biome_Strata!$BD$4:$BD$95,S17_Biome_Strata!$A$4:$A$95,"Tropical &amp; Subtropical Dry Broadleaf Forests",S17_Biome_Strata!$B$4:$B$95,$A21,S17_Biome_Strata!$D$4:$D$95,$B21)</x:f>
        <x:v>0</x:v>
      </x:c>
      <x:c r="Y21" s="167" t="n">
        <x:f aca="0">SUMIFS(S17_Biome_Strata!$BE$4:$BE$95,S17_Biome_Strata!$A$4:$A$95,"Tropical &amp; Subtropical Dry Broadleaf Forests",S17_Biome_Strata!$B$4:$B$95,$A21,S17_Biome_Strata!$D$4:$D$95,$B21)</x:f>
        <x:v>0</x:v>
      </x:c>
      <x:c r="Z21" s="167" t="n">
        <x:f aca="0">SUMIFS(S17_Biome_Strata!$BF$4:$BF$95,S17_Biome_Strata!$A$4:$A$95,"Tropical &amp; Subtropical Dry Broadleaf Forests",S17_Biome_Strata!$B$4:$B$95,$A21,S17_Biome_Strata!$D$4:$D$95,$B21)</x:f>
        <x:v>0</x:v>
      </x:c>
      <x:c r="AA21" s="167" t="n">
        <x:f aca="0">F21*(1-$D21)</x:f>
        <x:v>0</x:v>
      </x:c>
      <x:c r="AB21" s="167" t="n">
        <x:f aca="0">G21*(1-$D21)</x:f>
        <x:v>0</x:v>
      </x:c>
      <x:c r="AC21" s="167" t="n">
        <x:f aca="0">H21*(1-$D21)</x:f>
        <x:v>0</x:v>
      </x:c>
      <x:c r="AD21" s="167" t="n">
        <x:f aca="0">I21*(1-$D21)</x:f>
        <x:v>0</x:v>
      </x:c>
      <x:c r="AE21" s="167" t="n">
        <x:f aca="0">J21*(1-$D21)</x:f>
        <x:v>0</x:v>
      </x:c>
      <x:c r="AF21" s="167" t="n">
        <x:f aca="0">K21*(1-$D21)</x:f>
        <x:v>0</x:v>
      </x:c>
      <x:c r="AG21" s="167" t="n">
        <x:f aca="0">L21*(1-$D21)</x:f>
        <x:v>0</x:v>
      </x:c>
      <x:c r="AH21" s="167" t="n">
        <x:f aca="0">M21*(1-$D21)</x:f>
        <x:v>0</x:v>
      </x:c>
      <x:c r="AI21" s="167" t="n">
        <x:f aca="0">N21*(1-$D21)</x:f>
        <x:v>0</x:v>
      </x:c>
      <x:c r="AJ21" s="167" t="n">
        <x:f aca="0">O21*(1-$D21)</x:f>
        <x:v>0</x:v>
      </x:c>
      <x:c r="AK21" s="167" t="n">
        <x:f aca="0">P21*(1-$D21)</x:f>
        <x:v>0</x:v>
      </x:c>
      <x:c r="AL21" s="167" t="n">
        <x:f aca="0">Q21*(1-$D21)</x:f>
        <x:v>0</x:v>
      </x:c>
      <x:c r="AM21" s="167" t="n">
        <x:f aca="0">R21*(1-$D21)</x:f>
        <x:v>0</x:v>
      </x:c>
      <x:c r="AN21" s="167" t="n">
        <x:f aca="0">S21*(1-$D21)</x:f>
        <x:v>0</x:v>
      </x:c>
      <x:c r="AO21" s="167" t="n">
        <x:f aca="0">T21*(1-$D21)</x:f>
        <x:v>0</x:v>
      </x:c>
      <x:c r="AP21" s="167" t="n">
        <x:f aca="0">U21*(1-$D21)</x:f>
        <x:v>0</x:v>
      </x:c>
      <x:c r="AQ21" s="167" t="n">
        <x:f aca="0">V21*(1-$D21)</x:f>
        <x:v>0</x:v>
      </x:c>
      <x:c r="AR21" s="167" t="n">
        <x:f aca="0">W21*(1-$D21)</x:f>
        <x:v>0</x:v>
      </x:c>
      <x:c r="AS21" s="167" t="n">
        <x:f aca="0">X21*(1-$D21)</x:f>
        <x:v>0</x:v>
      </x:c>
      <x:c r="AT21" s="167" t="n">
        <x:f aca="0">Y21*(1-$D21)</x:f>
        <x:v>0</x:v>
      </x:c>
      <x:c r="AU21" s="167" t="n">
        <x:f aca="0">Z21*(1-$D21)</x:f>
        <x:v>0</x:v>
      </x:c>
      <x:c r="AV21" s="37" t="str">
        <x:v>Formula-derived: S17_Biome_Strata row gross stock = eligible area × S15_Source_Strata stock/ha; S15_Source_Strata stock = cohort-aligned Chapman-Richards D/H → Chave AGB → conservative calibration → CF × (1+R) × 44/12. PB applied separately by Biome × Cohort.</x:v>
      </x:c>
    </x:row>
    <x:row r="22" ht="15" hidden="0" customHeight="1">
      <x:c r="A22" s="37" t="s">
        <x:v>114</x:v>
      </x:c>
      <x:c r="B22" s="37" t="n">
        <x:v>2023</x:v>
      </x:c>
      <x:c r="C22" s="167" t="n">
        <x:f aca="0">SUMIFS(S17_Biome_Strata!$F$4:$F$95,S17_Biome_Strata!$A$4:$A$95,"Tropical &amp; Subtropical Dry Broadleaf Forests",S17_Biome_Strata!$B$4:$B$95,$A22,S17_Biome_Strata!$D$4:$D$95,$B22)</x:f>
        <x:v>1.6105</x:v>
      </x:c>
      <x:c r="D22" s="167" t="n">
        <x:f aca="0">S09_PB_Input!H15</x:f>
        <x:v>0.19161300424745234</x:v>
      </x:c>
      <x:c r="E22" s="168" t="str">
        <x:f aca="0">S09_PB_Input!I15</x:f>
        <x:v>VM0047 v1.1 Appendix 1: Z-test significant; PB_t = ΔSI_control / ΔSI_wp (Eq. A8). Source: 20260814_304027_GKF_ProjectPlots_PB.xlsx.</x:v>
      </x:c>
      <x:c r="F22" s="167" t="n">
        <x:f aca="0">SUMIFS(S17_Biome_Strata!$AL$4:$AL$95,S17_Biome_Strata!$A$4:$A$95,"Tropical &amp; Subtropical Dry Broadleaf Forests",S17_Biome_Strata!$B$4:$B$95,$A22,S17_Biome_Strata!$D$4:$D$95,$B22)</x:f>
        <x:v>0</x:v>
      </x:c>
      <x:c r="G22" s="167" t="n">
        <x:f aca="0">SUMIFS(S17_Biome_Strata!$AM$4:$AM$95,S17_Biome_Strata!$A$4:$A$95,"Tropical &amp; Subtropical Dry Broadleaf Forests",S17_Biome_Strata!$B$4:$B$95,$A22,S17_Biome_Strata!$D$4:$D$95,$B22)</x:f>
        <x:v>0</x:v>
      </x:c>
      <x:c r="H22" s="167" t="n">
        <x:f aca="0">SUMIFS(S17_Biome_Strata!$AN$4:$AN$95,S17_Biome_Strata!$A$4:$A$95,"Tropical &amp; Subtropical Dry Broadleaf Forests",S17_Biome_Strata!$B$4:$B$95,$A22,S17_Biome_Strata!$D$4:$D$95,$B22)</x:f>
        <x:v>0</x:v>
      </x:c>
      <x:c r="I22" s="167" t="n">
        <x:f aca="0">SUMIFS(S17_Biome_Strata!$AO$4:$AO$95,S17_Biome_Strata!$A$4:$A$95,"Tropical &amp; Subtropical Dry Broadleaf Forests",S17_Biome_Strata!$B$4:$B$95,$A22,S17_Biome_Strata!$D$4:$D$95,$B22)</x:f>
        <x:v>0</x:v>
      </x:c>
      <x:c r="J22" s="167" t="n">
        <x:f aca="0">SUMIFS(S17_Biome_Strata!$AP$4:$AP$95,S17_Biome_Strata!$A$4:$A$95,"Tropical &amp; Subtropical Dry Broadleaf Forests",S17_Biome_Strata!$B$4:$B$95,$A22,S17_Biome_Strata!$D$4:$D$95,$B22)</x:f>
        <x:v>0.4386063912922642</x:v>
      </x:c>
      <x:c r="K22" s="167" t="n">
        <x:f aca="0">SUMIFS(S17_Biome_Strata!$AQ$4:$AQ$95,S17_Biome_Strata!$A$4:$A$95,"Tropical &amp; Subtropical Dry Broadleaf Forests",S17_Biome_Strata!$B$4:$B$95,$A22,S17_Biome_Strata!$D$4:$D$95,$B22)</x:f>
        <x:v>5.232346008174774</x:v>
      </x:c>
      <x:c r="L22" s="167" t="n">
        <x:f aca="0">SUMIFS(S17_Biome_Strata!$AR$4:$AR$95,S17_Biome_Strata!$A$4:$A$95,"Tropical &amp; Subtropical Dry Broadleaf Forests",S17_Biome_Strata!$B$4:$B$95,$A22,S17_Biome_Strata!$D$4:$D$95,$B22)</x:f>
        <x:v>19.976635374466344</x:v>
      </x:c>
      <x:c r="M22" s="167" t="n">
        <x:f aca="0">SUMIFS(S17_Biome_Strata!$AS$4:$AS$95,S17_Biome_Strata!$A$4:$A$95,"Tropical &amp; Subtropical Dry Broadleaf Forests",S17_Biome_Strata!$B$4:$B$95,$A22,S17_Biome_Strata!$D$4:$D$95,$B22)</x:f>
        <x:v>48.34069746871429</x:v>
      </x:c>
      <x:c r="N22" s="167" t="n">
        <x:f aca="0">SUMIFS(S17_Biome_Strata!$AT$4:$AT$95,S17_Biome_Strata!$A$4:$A$95,"Tropical &amp; Subtropical Dry Broadleaf Forests",S17_Biome_Strata!$B$4:$B$95,$A22,S17_Biome_Strata!$D$4:$D$95,$B22)</x:f>
        <x:v>90.93729943508008</x:v>
      </x:c>
      <x:c r="O22" s="167" t="n">
        <x:f aca="0">SUMIFS(S17_Biome_Strata!$AU$4:$AU$95,S17_Biome_Strata!$A$4:$A$95,"Tropical &amp; Subtropical Dry Broadleaf Forests",S17_Biome_Strata!$B$4:$B$95,$A22,S17_Biome_Strata!$D$4:$D$95,$B22)</x:f>
        <x:v>146.29237819103085</x:v>
      </x:c>
      <x:c r="P22" s="167" t="n">
        <x:f aca="0">SUMIFS(S17_Biome_Strata!$AV$4:$AV$95,S17_Biome_Strata!$A$4:$A$95,"Tropical &amp; Subtropical Dry Broadleaf Forests",S17_Biome_Strata!$B$4:$B$95,$A22,S17_Biome_Strata!$D$4:$D$95,$B22)</x:f>
        <x:v>211.74040638855004</x:v>
      </x:c>
      <x:c r="Q22" s="167" t="n">
        <x:f aca="0">SUMIFS(S17_Biome_Strata!$AW$4:$AW$95,S17_Biome_Strata!$A$4:$A$95,"Tropical &amp; Subtropical Dry Broadleaf Forests",S17_Biome_Strata!$B$4:$B$95,$A22,S17_Biome_Strata!$D$4:$D$95,$B22)</x:f>
        <x:v>284.19326351626455</x:v>
      </x:c>
      <x:c r="R22" s="167" t="n">
        <x:f aca="0">SUMIFS(S17_Biome_Strata!$AX$4:$AX$95,S17_Biome_Strata!$A$4:$A$95,"Tropical &amp; Subtropical Dry Broadleaf Forests",S17_Biome_Strata!$B$4:$B$95,$A22,S17_Biome_Strata!$D$4:$D$95,$B22)</x:f>
        <x:v>360.64834706471197</x:v>
      </x:c>
      <x:c r="S22" s="167" t="n">
        <x:f aca="0">SUMIFS(S17_Biome_Strata!$AY$4:$AY$95,S17_Biome_Strata!$A$4:$A$95,"Tropical &amp; Subtropical Dry Broadleaf Forests",S17_Biome_Strata!$B$4:$B$95,$A22,S17_Biome_Strata!$D$4:$D$95,$B22)</x:f>
        <x:v>438.47110577991134</x:v>
      </x:c>
      <x:c r="T22" s="167" t="n">
        <x:f aca="0">SUMIFS(S17_Biome_Strata!$AZ$4:$AZ$95,S17_Biome_Strata!$A$4:$A$95,"Tropical &amp; Subtropical Dry Broadleaf Forests",S17_Biome_Strata!$B$4:$B$95,$A22,S17_Biome_Strata!$D$4:$D$95,$B22)</x:f>
        <x:v>515.5158640536687</x:v>
      </x:c>
      <x:c r="U22" s="167" t="n">
        <x:f aca="0">SUMIFS(S17_Biome_Strata!$BA$4:$BA$95,S17_Biome_Strata!$A$4:$A$95,"Tropical &amp; Subtropical Dry Broadleaf Forests",S17_Biome_Strata!$B$4:$B$95,$A22,S17_Biome_Strata!$D$4:$D$95,$B22)</x:f>
        <x:v>590.1440603693471</x:v>
      </x:c>
      <x:c r="V22" s="167" t="n">
        <x:f aca="0">SUMIFS(S17_Biome_Strata!$BB$4:$BB$95,S17_Biome_Strata!$A$4:$A$95,"Tropical &amp; Subtropical Dry Broadleaf Forests",S17_Biome_Strata!$B$4:$B$95,$A22,S17_Biome_Strata!$D$4:$D$95,$B22)</x:f>
        <x:v>661.1847631859953</x:v>
      </x:c>
      <x:c r="W22" s="167" t="n">
        <x:f aca="0">SUMIFS(S17_Biome_Strata!$BC$4:$BC$95,S17_Biome_Strata!$A$4:$A$95,"Tropical &amp; Subtropical Dry Broadleaf Forests",S17_Biome_Strata!$B$4:$B$95,$A22,S17_Biome_Strata!$D$4:$D$95,$B22)</x:f>
        <x:v>727.8679643499698</x:v>
      </x:c>
      <x:c r="X22" s="167" t="n">
        <x:f aca="0">SUMIFS(S17_Biome_Strata!$BD$4:$BD$95,S17_Biome_Strata!$A$4:$A$95,"Tropical &amp; Subtropical Dry Broadleaf Forests",S17_Biome_Strata!$B$4:$B$95,$A22,S17_Biome_Strata!$D$4:$D$95,$B22)</x:f>
        <x:v>789.7496839586798</x:v>
      </x:c>
      <x:c r="Y22" s="167" t="n">
        <x:f aca="0">SUMIFS(S17_Biome_Strata!$BE$4:$BE$95,S17_Biome_Strata!$A$4:$A$95,"Tropical &amp; Subtropical Dry Broadleaf Forests",S17_Biome_Strata!$B$4:$B$95,$A22,S17_Biome_Strata!$D$4:$D$95,$B22)</x:f>
        <x:v>846.639741510062</x:v>
      </x:c>
      <x:c r="Z22" s="167" t="n">
        <x:f aca="0">SUMIFS(S17_Biome_Strata!$BF$4:$BF$95,S17_Biome_Strata!$A$4:$A$95,"Tropical &amp; Subtropical Dry Broadleaf Forests",S17_Biome_Strata!$B$4:$B$95,$A22,S17_Biome_Strata!$D$4:$D$95,$B22)</x:f>
        <x:v>898.5376376716409</x:v>
      </x:c>
      <x:c r="AA22" s="167" t="n">
        <x:f aca="0">F22*(1-$D22)</x:f>
        <x:v>0</x:v>
      </x:c>
      <x:c r="AB22" s="167" t="n">
        <x:f aca="0">G22*(1-$D22)</x:f>
        <x:v>0</x:v>
      </x:c>
      <x:c r="AC22" s="167" t="n">
        <x:f aca="0">H22*(1-$D22)</x:f>
        <x:v>0</x:v>
      </x:c>
      <x:c r="AD22" s="167" t="n">
        <x:f aca="0">I22*(1-$D22)</x:f>
        <x:v>0</x:v>
      </x:c>
      <x:c r="AE22" s="167" t="n">
        <x:f aca="0">J22*(1-$D22)</x:f>
        <x:v>0.35456370297461987</x:v>
      </x:c>
      <x:c r="AF22" s="167" t="n">
        <x:f aca="0">K22*(1-$D22)</x:f>
        <x:v>4.229760470286241</x:v>
      </x:c>
      <x:c r="AG22" s="167" t="n">
        <x:f aca="0">L22*(1-$D22)</x:f>
        <x:v>16.14885225560892</x:v>
      </x:c>
      <x:c r="AH22" s="167" t="n">
        <x:f aca="0">M22*(1-$D22)</x:f>
        <x:v>39.07799119931673</x:v>
      </x:c>
      <x:c r="AI22" s="167" t="n">
        <x:f aca="0">N22*(1-$D22)</x:f>
        <x:v>73.51253029217423</x:v>
      </x:c>
      <x:c r="AJ22" s="167" t="n">
        <x:f aca="0">O22*(1-$D22)</x:f>
        <x:v>118.26085610734296</x:v>
      </x:c>
      <x:c r="AK22" s="167" t="n">
        <x:f aca="0">P22*(1-$D22)</x:f>
        <x:v>171.16819099986353</x:v>
      </x:c>
      <x:c r="AL22" s="167" t="n">
        <x:f aca="0">Q22*(1-$D22)</x:f>
        <x:v>229.7381385070252</x:v>
      </x:c>
      <x:c r="AM22" s="167" t="n">
        <x:f aca="0">R22*(1-$D22)</x:f>
        <x:v>291.54343380676465</x:v>
      </x:c>
      <x:c r="AN22" s="167" t="n">
        <x:f aca="0">S22*(1-$D22)</x:f>
        <x:v>354.4543399257201</x:v>
      </x:c>
      <x:c r="AO22" s="167" t="n">
        <x:f aca="0">T22*(1-$D22)</x:f>
        <x:v>416.73632060512404</x:v>
      </x:c>
      <x:c r="AP22" s="167" t="n">
        <x:f aca="0">U22*(1-$D22)</x:f>
        <x:v>477.0647840231867</x:v>
      </x:c>
      <x:c r="AQ22" s="167" t="n">
        <x:f aca="0">V22*(1-$D22)</x:f>
        <x:v>534.4931643492864</x:v>
      </x:c>
      <x:c r="AR22" s="167" t="n">
        <x:f aca="0">W22*(1-$D22)</x:f>
        <x:v>588.3989970053946</x:v>
      </x:c>
      <x:c r="AS22" s="167" t="n">
        <x:f aca="0">X22*(1-$D22)</x:f>
        <x:v>638.4233744118812</x:v>
      </x:c>
      <x:c r="AT22" s="167" t="n">
        <x:f aca="0">Y22*(1-$D22)</x:f>
        <x:v>684.4125571240326</x:v>
      </x:c>
      <x:c r="AU22" s="167" t="n">
        <x:f aca="0">Z22*(1-$D22)</x:f>
        <x:v>726.366141487969</x:v>
      </x:c>
      <x:c r="AV22" s="37" t="str">
        <x:v>Formula-derived: S17_Biome_Strata row gross stock = eligible area × S15_Source_Strata stock/ha; S15_Source_Strata stock = cohort-aligned Chapman-Richards D/H → Chave AGB → conservative calibration → CF × (1+R) × 44/12. PB applied separately by Biome × Cohort.</x:v>
      </x:c>
    </x:row>
    <x:row r="23" ht="15" hidden="0" customHeight="1">
      <x:c r="A23" s="37" t="s">
        <x:v>114</x:v>
      </x:c>
      <x:c r="B23" s="37" t="n">
        <x:v>2024</x:v>
      </x:c>
      <x:c r="C23" s="167" t="n">
        <x:f aca="0">SUMIFS(S17_Biome_Strata!$F$4:$F$95,S17_Biome_Strata!$A$4:$A$95,"Tropical &amp; Subtropical Dry Broadleaf Forests",S17_Biome_Strata!$B$4:$B$95,$A23,S17_Biome_Strata!$D$4:$D$95,$B23)</x:f>
        <x:v>1.7437</x:v>
      </x:c>
      <x:c r="D23" s="167" t="n">
        <x:f aca="0">S09_PB_Input!H16</x:f>
        <x:v>0.19161300424745234</x:v>
      </x:c>
      <x:c r="E23" s="168" t="str">
        <x:f aca="0">S09_PB_Input!I16</x:f>
        <x:v>VM0047 v1.1 Appendix 1: Z-test significant; PB_t = ΔSI_control / ΔSI_wp (Eq. A8). Source: 20260814_304027_GKF_ProjectPlots_PB.xlsx.</x:v>
      </x:c>
      <x:c r="F23" s="167" t="n">
        <x:f aca="0">SUMIFS(S17_Biome_Strata!$AL$4:$AL$95,S17_Biome_Strata!$A$4:$A$95,"Tropical &amp; Subtropical Dry Broadleaf Forests",S17_Biome_Strata!$B$4:$B$95,$A23,S17_Biome_Strata!$D$4:$D$95,$B23)</x:f>
        <x:v>0</x:v>
      </x:c>
      <x:c r="G23" s="167" t="n">
        <x:f aca="0">SUMIFS(S17_Biome_Strata!$AM$4:$AM$95,S17_Biome_Strata!$A$4:$A$95,"Tropical &amp; Subtropical Dry Broadleaf Forests",S17_Biome_Strata!$B$4:$B$95,$A23,S17_Biome_Strata!$D$4:$D$95,$B23)</x:f>
        <x:v>0</x:v>
      </x:c>
      <x:c r="H23" s="167" t="n">
        <x:f aca="0">SUMIFS(S17_Biome_Strata!$AN$4:$AN$95,S17_Biome_Strata!$A$4:$A$95,"Tropical &amp; Subtropical Dry Broadleaf Forests",S17_Biome_Strata!$B$4:$B$95,$A23,S17_Biome_Strata!$D$4:$D$95,$B23)</x:f>
        <x:v>0</x:v>
      </x:c>
      <x:c r="I23" s="167" t="n">
        <x:f aca="0">SUMIFS(S17_Biome_Strata!$AO$4:$AO$95,S17_Biome_Strata!$A$4:$A$95,"Tropical &amp; Subtropical Dry Broadleaf Forests",S17_Biome_Strata!$B$4:$B$95,$A23,S17_Biome_Strata!$D$4:$D$95,$B23)</x:f>
        <x:v>0</x:v>
      </x:c>
      <x:c r="J23" s="167" t="n">
        <x:f aca="0">SUMIFS(S17_Biome_Strata!$AP$4:$AP$95,S17_Biome_Strata!$A$4:$A$95,"Tropical &amp; Subtropical Dry Broadleaf Forests",S17_Biome_Strata!$B$4:$B$95,$A23,S17_Biome_Strata!$D$4:$D$95,$B23)</x:f>
        <x:v>0</x:v>
      </x:c>
      <x:c r="K23" s="167" t="n">
        <x:f aca="0">SUMIFS(S17_Biome_Strata!$AQ$4:$AQ$95,S17_Biome_Strata!$A$4:$A$95,"Tropical &amp; Subtropical Dry Broadleaf Forests",S17_Biome_Strata!$B$4:$B$95,$A23,S17_Biome_Strata!$D$4:$D$95,$B23)</x:f>
        <x:v>0.08065464892361171</x:v>
      </x:c>
      <x:c r="L23" s="167" t="n">
        <x:f aca="0">SUMIFS(S17_Biome_Strata!$AR$4:$AR$95,S17_Biome_Strata!$A$4:$A$95,"Tropical &amp; Subtropical Dry Broadleaf Forests",S17_Biome_Strata!$B$4:$B$95,$A23,S17_Biome_Strata!$D$4:$D$95,$B23)</x:f>
        <x:v>0.9761014703118116</x:v>
      </x:c>
      <x:c r="M23" s="167" t="n">
        <x:f aca="0">SUMIFS(S17_Biome_Strata!$AS$4:$AS$95,S17_Biome_Strata!$A$4:$A$95,"Tropical &amp; Subtropical Dry Broadleaf Forests",S17_Biome_Strata!$B$4:$B$95,$A23,S17_Biome_Strata!$D$4:$D$95,$B23)</x:f>
        <x:v>3.753422177540748</x:v>
      </x:c>
      <x:c r="N23" s="167" t="n">
        <x:f aca="0">SUMIFS(S17_Biome_Strata!$AT$4:$AT$95,S17_Biome_Strata!$A$4:$A$95,"Tropical &amp; Subtropical Dry Broadleaf Forests",S17_Biome_Strata!$B$4:$B$95,$A23,S17_Biome_Strata!$D$4:$D$95,$B23)</x:f>
        <x:v>9.12296176311776</x:v>
      </x:c>
      <x:c r="O23" s="167" t="n">
        <x:f aca="0">SUMIFS(S17_Biome_Strata!$AU$4:$AU$95,S17_Biome_Strata!$A$4:$A$95,"Tropical &amp; Subtropical Dry Broadleaf Forests",S17_Biome_Strata!$B$4:$B$95,$A23,S17_Biome_Strata!$D$4:$D$95,$B23)</x:f>
        <x:v>17.21665068481382</x:v>
      </x:c>
      <x:c r="P23" s="167" t="n">
        <x:f aca="0">SUMIFS(S17_Biome_Strata!$AV$4:$AV$95,S17_Biome_Strata!$A$4:$A$95,"Tropical &amp; Subtropical Dry Broadleaf Forests",S17_Biome_Strata!$B$4:$B$95,$A23,S17_Biome_Strata!$D$4:$D$95,$B23)</x:f>
        <x:v>27.769006603334986</x:v>
      </x:c>
      <x:c r="Q23" s="167" t="n">
        <x:f aca="0">SUMIFS(S17_Biome_Strata!$AW$4:$AW$95,S17_Biome_Strata!$A$4:$A$95,"Tropical &amp; Subtropical Dry Broadleaf Forests",S17_Biome_Strata!$B$4:$B$95,$A23,S17_Biome_Strata!$D$4:$D$95,$B23)</x:f>
        <x:v>40.286273013556006</x:v>
      </x:c>
      <x:c r="R23" s="167" t="n">
        <x:f aca="0">SUMIFS(S17_Biome_Strata!$AX$4:$AX$95,S17_Biome_Strata!$A$4:$A$95,"Tropical &amp; Subtropical Dry Broadleaf Forests",S17_Biome_Strata!$B$4:$B$95,$A23,S17_Biome_Strata!$D$4:$D$95,$B23)</x:f>
        <x:v>54.191331346506054</x:v>
      </x:c>
      <x:c r="S23" s="167" t="n">
        <x:f aca="0">SUMIFS(S17_Biome_Strata!$AY$4:$AY$95,S17_Biome_Strata!$A$4:$A$95,"Tropical &amp; Subtropical Dry Broadleaf Forests",S17_Biome_Strata!$B$4:$B$95,$A23,S17_Biome_Strata!$D$4:$D$95,$B23)</x:f>
        <x:v>68.91934696629005</x:v>
      </x:c>
      <x:c r="T23" s="167" t="n">
        <x:f aca="0">SUMIFS(S17_Biome_Strata!$AZ$4:$AZ$95,S17_Biome_Strata!$A$4:$A$95,"Tropical &amp; Subtropical Dry Broadleaf Forests",S17_Biome_Strata!$B$4:$B$95,$A23,S17_Biome_Strata!$D$4:$D$95,$B23)</x:f>
        <x:v>83.97115027668099</x:v>
      </x:c>
      <x:c r="U23" s="167" t="n">
        <x:f aca="0">SUMIFS(S17_Biome_Strata!$BA$4:$BA$95,S17_Biome_Strata!$A$4:$A$95,"Tropical &amp; Subtropical Dry Broadleaf Forests",S17_Biome_Strata!$B$4:$B$95,$A23,S17_Biome_Strata!$D$4:$D$95,$B23)</x:f>
        <x:v>98.93650484151867</x:v>
      </x:c>
      <x:c r="V23" s="167" t="n">
        <x:f aca="0">SUMIFS(S17_Biome_Strata!$BB$4:$BB$95,S17_Biome_Strata!$A$4:$A$95,"Tropical &amp; Subtropical Dry Broadleaf Forests",S17_Biome_Strata!$B$4:$B$95,$A23,S17_Biome_Strata!$D$4:$D$95,$B23)</x:f>
        <x:v>113.49831539244732</x:v>
      </x:c>
      <x:c r="W23" s="167" t="n">
        <x:f aca="0">SUMIFS(S17_Biome_Strata!$BC$4:$BC$95,S17_Biome_Strata!$A$4:$A$95,"Tropical &amp; Subtropical Dry Broadleaf Forests",S17_Biome_Strata!$B$4:$B$95,$A23,S17_Biome_Strata!$D$4:$D$95,$B23)</x:f>
        <x:v>127.42606956509941</x:v>
      </x:c>
      <x:c r="X23" s="167" t="n">
        <x:f aca="0">SUMIFS(S17_Biome_Strata!$BD$4:$BD$95,S17_Biome_Strata!$A$4:$A$95,"Tropical &amp; Subtropical Dry Broadleaf Forests",S17_Biome_Strata!$B$4:$B$95,$A23,S17_Biome_Strata!$D$4:$D$95,$B23)</x:f>
        <x:v>140.56411636028244</x:v>
      </x:c>
      <x:c r="Y23" s="167" t="n">
        <x:f aca="0">SUMIFS(S17_Biome_Strata!$BE$4:$BE$95,S17_Biome_Strata!$A$4:$A$95,"Tropical &amp; Subtropical Dry Broadleaf Forests",S17_Biome_Strata!$B$4:$B$95,$A23,S17_Biome_Strata!$D$4:$D$95,$B23)</x:f>
        <x:v>152.81827362495727</x:v>
      </x:c>
      <x:c r="Z23" s="167" t="n">
        <x:f aca="0">SUMIFS(S17_Biome_Strata!$BF$4:$BF$95,S17_Biome_Strata!$A$4:$A$95,"Tropical &amp; Subtropical Dry Broadleaf Forests",S17_Biome_Strata!$B$4:$B$95,$A23,S17_Biome_Strata!$D$4:$D$95,$B23)</x:f>
        <x:v>164.14276681073866</x:v>
      </x:c>
      <x:c r="AA23" s="167" t="n">
        <x:f aca="0">F23*(1-$D23)</x:f>
        <x:v>0</x:v>
      </x:c>
      <x:c r="AB23" s="167" t="n">
        <x:f aca="0">G23*(1-$D23)</x:f>
        <x:v>0</x:v>
      </x:c>
      <x:c r="AC23" s="167" t="n">
        <x:f aca="0">H23*(1-$D23)</x:f>
        <x:v>0</x:v>
      </x:c>
      <x:c r="AD23" s="167" t="n">
        <x:f aca="0">I23*(1-$D23)</x:f>
        <x:v>0</x:v>
      </x:c>
      <x:c r="AE23" s="167" t="n">
        <x:f aca="0">J23*(1-$D23)</x:f>
        <x:v>0</x:v>
      </x:c>
      <x:c r="AF23" s="167" t="n">
        <x:f aca="0">K23*(1-$D23)</x:f>
        <x:v>0.06520016933683492</x:v>
      </x:c>
      <x:c r="AG23" s="167" t="n">
        <x:f aca="0">L23*(1-$D23)</x:f>
        <x:v>0.78906773513501</x:v>
      </x:c>
      <x:c r="AH23" s="167" t="n">
        <x:f aca="0">M23*(1-$D23)</x:f>
        <x:v>3.034217677893151</x:v>
      </x:c>
      <x:c r="AI23" s="167" t="n">
        <x:f aca="0">N23*(1-$D23)</x:f>
        <x:v>7.374883652052131</x:v>
      </x:c>
      <x:c r="AJ23" s="167" t="n">
        <x:f aca="0">O23*(1-$D23)</x:f>
        <x:v>13.917716524017688</x:v>
      </x:c>
      <x:c r="AK23" s="167" t="n">
        <x:f aca="0">P23*(1-$D23)</x:f>
        <x:v>22.448103823102628</x:v>
      </x:c>
      <x:c r="AL23" s="167" t="n">
        <x:f aca="0">Q23*(1-$D23)</x:f>
        <x:v>32.566899211495475</x:v>
      </x:c>
      <x:c r="AM23" s="167" t="n">
        <x:f aca="0">R23*(1-$D23)</x:f>
        <x:v>43.807567543032896</x:v>
      </x:c>
      <x:c r="AN23" s="167" t="n">
        <x:f aca="0">S23*(1-$D23)</x:f>
        <x:v>55.713503843306675</x:v>
      </x:c>
      <x:c r="AO23" s="167" t="n">
        <x:f aca="0">T23*(1-$D23)</x:f>
        <x:v>67.88118590205185</x:v>
      </x:c>
      <x:c r="AP23" s="167" t="n">
        <x:f aca="0">U23*(1-$D23)</x:f>
        <x:v>79.97898391909267</x:v>
      </x:c>
      <x:c r="AQ23" s="167" t="n">
        <x:f aca="0">V23*(1-$D23)</x:f>
        <x:v>91.75056220307563</x:v>
      </x:c>
      <x:c r="AR23" s="167" t="n">
        <x:f aca="0">W23*(1-$D23)</x:f>
        <x:v>103.00957755628586</x:v>
      </x:c>
      <x:c r="AS23" s="167" t="n">
        <x:f aca="0">X23*(1-$D23)</x:f>
        <x:v>113.63020373510027</x:v>
      </x:c>
      <x:c r="AT23" s="167" t="n">
        <x:f aca="0">Y23*(1-$D23)</x:f>
        <x:v>123.53630511177</x:v>
      </x:c>
      <x:c r="AU23" s="167" t="n">
        <x:f aca="0">Z23*(1-$D23)</x:f>
        <x:v>132.69087813664402</x:v>
      </x:c>
      <x:c r="AV23" s="37" t="str">
        <x:v>Formula-derived: S17_Biome_Strata row gross stock = eligible area × S15_Source_Strata stock/ha; S15_Source_Strata stock = cohort-aligned Chapman-Richards D/H → Chave AGB → conservative calibration → CF × (1+R) × 44/12. PB applied separately by Biome × Cohort.</x:v>
      </x:c>
    </x:row>
    <x:row r="24" ht="15" hidden="0" customHeight="1">
      <x:c r="A24" s="1"/>
      <x:c r="B24" s="1"/>
      <x:c r="C24" s="1"/>
      <x:c r="D24" s="1"/>
      <x:c r="E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row>
    <x:row r="25" ht="15.75" hidden="0" customHeight="1">
      <x:c r="A25" s="169" t="str">
        <x:v>Tropical &amp; Subtropical Dry Broadleaf Forests Biome - Aligned View: All 4 Models Side by Side, Rows by Cohort</x:v>
      </x:c>
      <x:c r="B25" s="169"/>
      <x:c r="C25" s="169"/>
      <x:c r="D25" s="169"/>
      <x:c r="E25" s="169"/>
      <x:c r="F25" s="169"/>
      <x:c r="G25" s="169"/>
      <x:c r="H25" s="169"/>
      <x:c r="I25" s="169"/>
      <x:c r="J25" s="169"/>
      <x:c r="K25" s="169"/>
      <x:c r="L25" s="169"/>
      <x:c r="M25" s="169"/>
      <x:c r="N25" s="169"/>
      <x:c r="O25" s="169"/>
      <x:c r="P25" s="169"/>
      <x:c r="Q25" s="169"/>
      <x:c r="R25" s="169"/>
      <x:c r="S25" s="169"/>
      <x:c r="T25" s="169"/>
      <x:c r="U25" s="169"/>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row>
    <x:row r="26" ht="15" hidden="0" customHeight="1">
      <x:c r="A26" s="170" t="s">
        <x:v>1232</x:v>
      </x:c>
      <x:c r="B26" s="170"/>
      <x:c r="C26" s="170"/>
      <x:c r="D26" s="170"/>
      <x:c r="E26" s="170"/>
      <x:c r="F26" s="170"/>
      <x:c r="G26" s="170"/>
      <x:c r="H26" s="170"/>
      <x:c r="I26" s="170"/>
      <x:c r="J26" s="170"/>
      <x:c r="K26" s="170"/>
      <x:c r="L26" s="170"/>
      <x:c r="M26" s="170"/>
      <x:c r="N26" s="170"/>
      <x:c r="O26" s="170"/>
      <x:c r="P26" s="170"/>
      <x:c r="Q26" s="170"/>
      <x:c r="R26" s="170"/>
      <x:c r="S26" s="170"/>
      <x:c r="T26" s="170"/>
      <x:c r="U26" s="170"/>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row>
    <x:row r="27" ht="15" hidden="0" customHeight="1">
      <x:c r="A27" s="1"/>
      <x:c r="B27" s="1"/>
      <x:c r="C27" s="1"/>
      <x:c r="D27" s="1"/>
      <x:c r="E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row>
    <x:row r="28" ht="15" hidden="0" customHeight="1">
      <x:c r="A28" s="171" t="s">
        <x:v>529</x:v>
      </x:c>
      <x:c r="B28" s="172" t="s">
        <x:v>111</x:v>
      </x:c>
      <x:c r="C28" s="172"/>
      <x:c r="D28" s="172"/>
      <x:c r="E28" s="172"/>
      <x:c r="F28" s="172"/>
      <x:c r="G28" s="173" t="s">
        <x:v>112</x:v>
      </x:c>
      <x:c r="H28" s="173"/>
      <x:c r="I28" s="173"/>
      <x:c r="J28" s="173"/>
      <x:c r="K28" s="173"/>
      <x:c r="L28" s="174" t="s">
        <x:v>113</x:v>
      </x:c>
      <x:c r="M28" s="174"/>
      <x:c r="N28" s="174"/>
      <x:c r="O28" s="174"/>
      <x:c r="P28" s="174"/>
      <x:c r="Q28" s="175" t="s">
        <x:v>114</x:v>
      </x:c>
      <x:c r="R28" s="175"/>
      <x:c r="S28" s="175"/>
      <x:c r="T28" s="175"/>
      <x:c r="U28" s="175"/>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row>
    <x:row r="29" ht="20.25" hidden="0" customHeight="1">
      <x:c r="A29" s="171"/>
      <x:c r="B29" s="176" t="s">
        <x:v>94</x:v>
      </x:c>
      <x:c r="C29" s="176" t="s">
        <x:v>1188</x:v>
      </x:c>
      <x:c r="D29" s="176" t="s">
        <x:v>1233</x:v>
      </x:c>
      <x:c r="E29" s="176" t="s">
        <x:v>1234</x:v>
      </x:c>
      <x:c r="F29" s="177" t="s">
        <x:v>1235</x:v>
      </x:c>
      <x:c r="G29" s="178" t="s">
        <x:v>94</x:v>
      </x:c>
      <x:c r="H29" s="178" t="s">
        <x:v>1188</x:v>
      </x:c>
      <x:c r="I29" s="178" t="s">
        <x:v>1233</x:v>
      </x:c>
      <x:c r="J29" s="178" t="s">
        <x:v>1234</x:v>
      </x:c>
      <x:c r="K29" s="179" t="s">
        <x:v>1235</x:v>
      </x:c>
      <x:c r="L29" s="180" t="s">
        <x:v>94</x:v>
      </x:c>
      <x:c r="M29" s="180" t="s">
        <x:v>1188</x:v>
      </x:c>
      <x:c r="N29" s="180" t="s">
        <x:v>1233</x:v>
      </x:c>
      <x:c r="O29" s="180" t="s">
        <x:v>1234</x:v>
      </x:c>
      <x:c r="P29" s="181" t="s">
        <x:v>1235</x:v>
      </x:c>
      <x:c r="Q29" s="182" t="s">
        <x:v>94</x:v>
      </x:c>
      <x:c r="R29" s="182" t="s">
        <x:v>1188</x:v>
      </x:c>
      <x:c r="S29" s="182" t="s">
        <x:v>1233</x:v>
      </x:c>
      <x:c r="T29" s="182" t="s">
        <x:v>1234</x:v>
      </x:c>
      <x:c r="U29" s="183" t="s">
        <x:v>1235</x:v>
      </x:c>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row>
    <x:row r="30" ht="15" hidden="0" customHeight="1">
      <x:c r="A30" s="184" t="n">
        <x:v>2020</x:v>
      </x:c>
      <x:c r="B30" s="185" t="n">
        <x:f aca="0">IFERROR(SUMIFS($C:$C,$A:$A,"Fruit Orchard",$B:$B,$A30),0)</x:f>
        <x:v>248.702814528531</x:v>
      </x:c>
      <x:c r="C30" s="186" t="n">
        <x:f aca="0">IFERROR(SUMIFS($D:$D,$A:$A,"Fruit Orchard",$B:$B,$A30),0)</x:f>
        <x:v>0.15</x:v>
      </x:c>
      <x:c r="D30" s="187" t="n">
        <x:f aca="0">IFERROR(SUMIFS($L:$L,$A:$A,"Fruit Orchard",$B:$B,$A30),0)</x:f>
        <x:v>4354.69336287987</x:v>
      </x:c>
      <x:c r="E30" s="187" t="n">
        <x:f aca="0">IFERROR(SUMIFS($Z:$Z,$A:$A,"Fruit Orchard",$B:$B,$A30),0)</x:f>
        <x:v>29852.00536729267</x:v>
      </x:c>
      <x:c r="F30" s="188" t="n">
        <x:f aca="0">IFERROR(SUMIFS($AU:$AU,$A:$A,"Fruit Orchard",$B:$B,$A30),0)</x:f>
        <x:v>24131.97293605465</x:v>
      </x:c>
      <x:c r="G30" s="185" t="n">
        <x:f aca="0">IFERROR(SUMIFS($C:$C,$A:$A,"Horti-Silviculture",$B:$B,$A30),0)</x:f>
        <x:v>381.0361953864831</x:v>
      </x:c>
      <x:c r="H30" s="186" t="n">
        <x:f aca="0">IFERROR(SUMIFS($D:$D,$A:$A,"Horti-Silviculture",$B:$B,$A30),0)</x:f>
        <x:v>0.19161300424745234</x:v>
      </x:c>
      <x:c r="I30" s="187" t="n">
        <x:f aca="0">IFERROR(SUMIFS($L:$L,$A:$A,"Horti-Silviculture",$B:$B,$A30),0)</x:f>
        <x:v>119665.80264401899</x:v>
      </x:c>
      <x:c r="J30" s="187" t="n">
        <x:f aca="0">IFERROR(SUMIFS($Z:$Z,$A:$A,"Horti-Silviculture",$B:$B,$A30),0)</x:f>
        <x:v>620252.0385269976</x:v>
      </x:c>
      <x:c r="K30" s="188" t="n">
        <x:f aca="0">IFERROR(SUMIFS($AU:$AU,$A:$A,"Horti-Silviculture",$B:$B,$A30),0)</x:f>
        <x:v>501403.682034233</x:v>
      </x:c>
      <x:c r="L30" s="185" t="n">
        <x:f aca="0">IFERROR(SUMIFS($C:$C,$A:$A,"Timber Plantation",$B:$B,$A30),0)</x:f>
        <x:v>466.758037070012</x:v>
      </x:c>
      <x:c r="M30" s="186" t="n">
        <x:f aca="0">IFERROR(SUMIFS($D:$D,$A:$A,"Timber Plantation",$B:$B,$A30),0)</x:f>
        <x:v>0.19161300424745234</x:v>
      </x:c>
      <x:c r="N30" s="187" t="n">
        <x:f aca="0">IFERROR(SUMIFS($L:$L,$A:$A,"Timber Plantation",$B:$B,$A30),0)</x:f>
        <x:v>193880.1623577366</x:v>
      </x:c>
      <x:c r="O30" s="187" t="n">
        <x:f aca="0">IFERROR(SUMIFS($Z:$Z,$A:$A,"Timber Plantation",$B:$B,$A30),0)</x:f>
        <x:v>1004728.8491217342</x:v>
      </x:c>
      <x:c r="P30" s="188" t="n">
        <x:f aca="0">IFERROR(SUMIFS($AU:$AU,$A:$A,"Timber Plantation",$B:$B,$A30),0)</x:f>
        <x:v>812209.7358874334</x:v>
      </x:c>
      <x:c r="Q30" s="185" t="n">
        <x:f aca="0">IFERROR(SUMIFS($C:$C,$A:$A,"Mixed Agroforestry",$B:$B,$A30),0)</x:f>
        <x:v>11.6025</x:v>
      </x:c>
      <x:c r="R30" s="186" t="n">
        <x:f aca="0">IFERROR(SUMIFS($D:$D,$A:$A,"Mixed Agroforestry",$B:$B,$A30),0)</x:f>
        <x:v>0.19161300424745234</x:v>
      </x:c>
      <x:c r="S30" s="187" t="n">
        <x:f aca="0">IFERROR(SUMIFS($L:$L,$A:$A,"Mixed Agroforestry",$B:$B,$A30),0)</x:f>
        <x:v>2822.716878155113</x:v>
      </x:c>
      <x:c r="T30" s="187" t="n">
        <x:f aca="0">IFERROR(SUMIFS($Z:$Z,$A:$A,"Mixed Agroforestry",$B:$B,$A30),0)</x:f>
        <x:v>17531.714779879192</x:v>
      </x:c>
      <x:c r="U30" s="188" t="n">
        <x:f aca="0">IFERROR(SUMIFS($AU:$AU,$A:$A,"Mixed Agroforestry",$B:$B,$A30),0)</x:f>
        <x:v>14172.410241297079</x:v>
      </x:c>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row>
    <x:row r="31" ht="15" hidden="0" customHeight="1">
      <x:c r="A31" s="184" t="n">
        <x:v>2021</x:v>
      </x:c>
      <x:c r="B31" s="185" t="n">
        <x:f aca="0">IFERROR(SUMIFS($C:$C,$A:$A,"Fruit Orchard",$B:$B,$A31),0)</x:f>
        <x:v>71.2978</x:v>
      </x:c>
      <x:c r="C31" s="186" t="n">
        <x:f aca="0">IFERROR(SUMIFS($D:$D,$A:$A,"Fruit Orchard",$B:$B,$A31),0)</x:f>
        <x:v>0.15</x:v>
      </x:c>
      <x:c r="D31" s="187" t="n">
        <x:f aca="0">IFERROR(SUMIFS($L:$L,$A:$A,"Fruit Orchard",$B:$B,$A31),0)</x:f>
        <x:v>901.29583304485</x:v>
      </x:c>
      <x:c r="E31" s="187" t="n">
        <x:f aca="0">IFERROR(SUMIFS($Z:$Z,$A:$A,"Fruit Orchard",$B:$B,$A31),0)</x:f>
        <x:v>9415.982151267704</x:v>
      </x:c>
      <x:c r="F31" s="188" t="n">
        <x:f aca="0">IFERROR(SUMIFS($AU:$AU,$A:$A,"Fruit Orchard",$B:$B,$A31),0)</x:f>
        <x:v>7611.757523322911</x:v>
      </x:c>
      <x:c r="G31" s="185" t="n">
        <x:f aca="0">IFERROR(SUMIFS($C:$C,$A:$A,"Horti-Silviculture",$B:$B,$A31),0)</x:f>
        <x:v>39.495094455686</x:v>
      </x:c>
      <x:c r="H31" s="186" t="n">
        <x:f aca="0">IFERROR(SUMIFS($D:$D,$A:$A,"Horti-Silviculture",$B:$B,$A31),0)</x:f>
        <x:v>0.19161300424745234</x:v>
      </x:c>
      <x:c r="I31" s="187" t="n">
        <x:f aca="0">IFERROR(SUMIFS($L:$L,$A:$A,"Horti-Silviculture",$B:$B,$A31),0)</x:f>
        <x:v>3622.2310373683895</x:v>
      </x:c>
      <x:c r="J31" s="187" t="n">
        <x:f aca="0">IFERROR(SUMIFS($Z:$Z,$A:$A,"Horti-Silviculture",$B:$B,$A31),0)</x:f>
        <x:v>30612.621651633897</x:v>
      </x:c>
      <x:c r="K31" s="188" t="n">
        <x:f aca="0">IFERROR(SUMIFS($AU:$AU,$A:$A,"Horti-Silviculture",$B:$B,$A31),0)</x:f>
        <x:v>24746.84524907372</x:v>
      </x:c>
      <x:c r="L31" s="185" t="n">
        <x:f aca="0">IFERROR(SUMIFS($C:$C,$A:$A,"Timber Plantation",$B:$B,$A31),0)</x:f>
        <x:v>30.9164086604613</x:v>
      </x:c>
      <x:c r="M31" s="186" t="n">
        <x:f aca="0">IFERROR(SUMIFS($D:$D,$A:$A,"Timber Plantation",$B:$B,$A31),0)</x:f>
        <x:v>0.19161300424745234</x:v>
      </x:c>
      <x:c r="N31" s="187" t="n">
        <x:f aca="0">IFERROR(SUMIFS($L:$L,$A:$A,"Timber Plantation",$B:$B,$A31),0)</x:f>
        <x:v>4471.432553131846</x:v>
      </x:c>
      <x:c r="O31" s="187" t="n">
        <x:f aca="0">IFERROR(SUMIFS($Z:$Z,$A:$A,"Timber Plantation",$B:$B,$A31),0)</x:f>
        <x:v>37325.09727803657</x:v>
      </x:c>
      <x:c r="P31" s="188" t="n">
        <x:f aca="0">IFERROR(SUMIFS($AU:$AU,$A:$A,"Timber Plantation",$B:$B,$A31),0)</x:f>
        <x:v>30173.123254763577</x:v>
      </x:c>
      <x:c r="Q31" s="185" t="n">
        <x:f aca="0">IFERROR(SUMIFS($C:$C,$A:$A,"Mixed Agroforestry",$B:$B,$A31),0)</x:f>
        <x:v>4.114599999999999</x:v>
      </x:c>
      <x:c r="R31" s="186" t="n">
        <x:f aca="0">IFERROR(SUMIFS($D:$D,$A:$A,"Mixed Agroforestry",$B:$B,$A31),0)</x:f>
        <x:v>0.19161300424745234</x:v>
      </x:c>
      <x:c r="S31" s="187" t="n">
        <x:f aca="0">IFERROR(SUMIFS($L:$L,$A:$A,"Mixed Agroforestry",$B:$B,$A31),0)</x:f>
        <x:v>183.7788189761006</x:v>
      </x:c>
      <x:c r="T31" s="187" t="n">
        <x:f aca="0">IFERROR(SUMIFS($Z:$Z,$A:$A,"Mixed Agroforestry",$B:$B,$A31),0)</x:f>
        <x:v>1999.9693040353798</x:v>
      </x:c>
      <x:c r="U31" s="188" t="n">
        <x:f aca="0">IFERROR(SUMIFS($AU:$AU,$A:$A,"Mixed Agroforestry",$B:$B,$A31),0)</x:f>
        <x:v>1616.7491772864744</x:v>
      </x:c>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row>
    <x:row r="32" ht="15" hidden="0" customHeight="1">
      <x:c r="A32" s="184" t="n">
        <x:v>2022</x:v>
      </x:c>
      <x:c r="B32" s="185" t="n">
        <x:f aca="0">IFERROR(SUMIFS($C:$C,$A:$A,"Fruit Orchard",$B:$B,$A32),0)</x:f>
        <x:v>76.8611586402267</x:v>
      </x:c>
      <x:c r="C32" s="186" t="n">
        <x:f aca="0">IFERROR(SUMIFS($D:$D,$A:$A,"Fruit Orchard",$B:$B,$A32),0)</x:f>
        <x:v>0.15</x:v>
      </x:c>
      <x:c r="D32" s="187" t="n">
        <x:f aca="0">IFERROR(SUMIFS($L:$L,$A:$A,"Fruit Orchard",$B:$B,$A32),0)</x:f>
        <x:v>433.121092069168</x:v>
      </x:c>
      <x:c r="E32" s="187" t="n">
        <x:f aca="0">IFERROR(SUMIFS($Z:$Z,$A:$A,"Fruit Orchard",$B:$B,$A32),0)</x:f>
        <x:v>7813.819797729062</x:v>
      </x:c>
      <x:c r="F32" s="188" t="n">
        <x:f aca="0">IFERROR(SUMIFS($AU:$AU,$A:$A,"Fruit Orchard",$B:$B,$A32),0)</x:f>
        <x:v>6316.590311637976</x:v>
      </x:c>
      <x:c r="G32" s="185" t="n">
        <x:f aca="0">IFERROR(SUMIFS($C:$C,$A:$A,"Horti-Silviculture",$B:$B,$A32),0)</x:f>
        <x:v>15.1326</x:v>
      </x:c>
      <x:c r="H32" s="186" t="n">
        <x:f aca="0">IFERROR(SUMIFS($D:$D,$A:$A,"Horti-Silviculture",$B:$B,$A32),0)</x:f>
        <x:v>0.19161300424745234</x:v>
      </x:c>
      <x:c r="I32" s="187" t="n">
        <x:f aca="0">IFERROR(SUMIFS($L:$L,$A:$A,"Horti-Silviculture",$B:$B,$A32),0)</x:f>
        <x:v>1003.7416438559458</x:v>
      </x:c>
      <x:c r="J32" s="187" t="n">
        <x:f aca="0">IFERROR(SUMIFS($Z:$Z,$A:$A,"Horti-Silviculture",$B:$B,$A32),0)</x:f>
        <x:v>13545.915549316804</x:v>
      </x:c>
      <x:c r="K32" s="188" t="n">
        <x:f aca="0">IFERROR(SUMIFS($AU:$AU,$A:$A,"Horti-Silviculture",$B:$B,$A32),0)</x:f>
        <x:v>10950.341975629932</x:v>
      </x:c>
      <x:c r="L32" s="185" t="n">
        <x:f aca="0">IFERROR(SUMIFS($C:$C,$A:$A,"Timber Plantation",$B:$B,$A32),0)</x:f>
        <x:v>22.0572637393768</x:v>
      </x:c>
      <x:c r="M32" s="186" t="n">
        <x:f aca="0">IFERROR(SUMIFS($D:$D,$A:$A,"Timber Plantation",$B:$B,$A32),0)</x:f>
        <x:v>0.19161300424745234</x:v>
      </x:c>
      <x:c r="N32" s="187" t="n">
        <x:f aca="0">IFERROR(SUMIFS($L:$L,$A:$A,"Timber Plantation",$B:$B,$A32),0)</x:f>
        <x:v>2820.741366833341</x:v>
      </x:c>
      <x:c r="O32" s="187" t="n">
        <x:f aca="0">IFERROR(SUMIFS($Z:$Z,$A:$A,"Timber Plantation",$B:$B,$A32),0)</x:f>
        <x:v>37316.322825713025</x:v>
      </x:c>
      <x:c r="P32" s="188" t="n">
        <x:f aca="0">IFERROR(SUMIFS($AU:$AU,$A:$A,"Timber Plantation",$B:$B,$A32),0)</x:f>
        <x:v>30166.030101610373</x:v>
      </x:c>
      <x:c r="Q32" s="185" t="n">
        <x:f aca="0">IFERROR(SUMIFS($C:$C,$A:$A,"Mixed Agroforestry",$B:$B,$A32),0)</x:f>
        <x:v>0</x:v>
      </x:c>
      <x:c r="R32" s="186" t="n">
        <x:f aca="0">IFERROR(SUMIFS($D:$D,$A:$A,"Mixed Agroforestry",$B:$B,$A32),0)</x:f>
        <x:v>0.19161300424745234</x:v>
      </x:c>
      <x:c r="S32" s="187" t="n">
        <x:f aca="0">IFERROR(SUMIFS($L:$L,$A:$A,"Mixed Agroforestry",$B:$B,$A32),0)</x:f>
        <x:v>0</x:v>
      </x:c>
      <x:c r="T32" s="187" t="n">
        <x:f aca="0">IFERROR(SUMIFS($Z:$Z,$A:$A,"Mixed Agroforestry",$B:$B,$A32),0)</x:f>
        <x:v>0</x:v>
      </x:c>
      <x:c r="U32" s="188" t="n">
        <x:f aca="0">IFERROR(SUMIFS($AU:$AU,$A:$A,"Mixed Agroforestry",$B:$B,$A32),0)</x:f>
        <x:v>0</x:v>
      </x:c>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row>
    <x:row r="33" ht="15" hidden="0" customHeight="1">
      <x:c r="A33" s="184" t="n">
        <x:v>2023</x:v>
      </x:c>
      <x:c r="B33" s="185" t="n">
        <x:f aca="0">IFERROR(SUMIFS($C:$C,$A:$A,"Fruit Orchard",$B:$B,$A33),0)</x:f>
        <x:v>21.2672</x:v>
      </x:c>
      <x:c r="C33" s="186" t="n">
        <x:f aca="0">IFERROR(SUMIFS($D:$D,$A:$A,"Fruit Orchard",$B:$B,$A33),0)</x:f>
        <x:v>0.15</x:v>
      </x:c>
      <x:c r="D33" s="187" t="n">
        <x:f aca="0">IFERROR(SUMIFS($L:$L,$A:$A,"Fruit Orchard",$B:$B,$A33),0)</x:f>
        <x:v>48.429359427529</x:v>
      </x:c>
      <x:c r="E33" s="187" t="n">
        <x:f aca="0">IFERROR(SUMIFS($Z:$Z,$A:$A,"Fruit Orchard",$B:$B,$A33),0)</x:f>
        <x:v>2082.4031022059808</x:v>
      </x:c>
      <x:c r="F33" s="188" t="n">
        <x:f aca="0">IFERROR(SUMIFS($AU:$AU,$A:$A,"Fruit Orchard",$B:$B,$A33),0)</x:f>
        <x:v>1683.3875877380783</x:v>
      </x:c>
      <x:c r="G33" s="185" t="n">
        <x:f aca="0">IFERROR(SUMIFS($C:$C,$A:$A,"Horti-Silviculture",$B:$B,$A33),0)</x:f>
        <x:v>1.979</x:v>
      </x:c>
      <x:c r="H33" s="186" t="n">
        <x:f aca="0">IFERROR(SUMIFS($D:$D,$A:$A,"Horti-Silviculture",$B:$B,$A33),0)</x:f>
        <x:v>0.19161300424745234</x:v>
      </x:c>
      <x:c r="I33" s="187" t="n">
        <x:f aca="0">IFERROR(SUMIFS($L:$L,$A:$A,"Horti-Silviculture",$B:$B,$A33),0)</x:f>
        <x:v>41.82729189082436</x:v>
      </x:c>
      <x:c r="J33" s="187" t="n">
        <x:f aca="0">IFERROR(SUMIFS($Z:$Z,$A:$A,"Horti-Silviculture",$B:$B,$A33),0)</x:f>
        <x:v>1092.3376294284246</x:v>
      </x:c>
      <x:c r="K33" s="188" t="n">
        <x:f aca="0">IFERROR(SUMIFS($AU:$AU,$A:$A,"Horti-Silviculture",$B:$B,$A33),0)</x:f>
        <x:v>883.0315346011039</x:v>
      </x:c>
      <x:c r="L33" s="185" t="n">
        <x:f aca="0">IFERROR(SUMIFS($C:$C,$A:$A,"Timber Plantation",$B:$B,$A33),0)</x:f>
        <x:v>3.1224</x:v>
      </x:c>
      <x:c r="M33" s="186" t="n">
        <x:f aca="0">IFERROR(SUMIFS($D:$D,$A:$A,"Timber Plantation",$B:$B,$A33),0)</x:f>
        <x:v>0.19161300424745234</x:v>
      </x:c>
      <x:c r="N33" s="187" t="n">
        <x:f aca="0">IFERROR(SUMIFS($L:$L,$A:$A,"Timber Plantation",$B:$B,$A33),0)</x:f>
        <x:v>231.51325762777856</x:v>
      </x:c>
      <x:c r="O33" s="187" t="n">
        <x:f aca="0">IFERROR(SUMIFS($Z:$Z,$A:$A,"Timber Plantation",$B:$B,$A33),0)</x:f>
        <x:v>6706.497039636412</x:v>
      </x:c>
      <x:c r="P33" s="188" t="n">
        <x:f aca="0">IFERROR(SUMIFS($AU:$AU,$A:$A,"Timber Plantation",$B:$B,$A33),0)</x:f>
        <x:v>5421.444993895034</x:v>
      </x:c>
      <x:c r="Q33" s="185" t="n">
        <x:f aca="0">IFERROR(SUMIFS($C:$C,$A:$A,"Mixed Agroforestry",$B:$B,$A33),0)</x:f>
        <x:v>1.6105</x:v>
      </x:c>
      <x:c r="R33" s="186" t="n">
        <x:f aca="0">IFERROR(SUMIFS($D:$D,$A:$A,"Mixed Agroforestry",$B:$B,$A33),0)</x:f>
        <x:v>0.19161300424745234</x:v>
      </x:c>
      <x:c r="S33" s="187" t="n">
        <x:f aca="0">IFERROR(SUMIFS($L:$L,$A:$A,"Mixed Agroforestry",$B:$B,$A33),0)</x:f>
        <x:v>19.976635374466344</x:v>
      </x:c>
      <x:c r="T33" s="187" t="n">
        <x:f aca="0">IFERROR(SUMIFS($Z:$Z,$A:$A,"Mixed Agroforestry",$B:$B,$A33),0)</x:f>
        <x:v>898.5376376716409</x:v>
      </x:c>
      <x:c r="U33" s="188" t="n">
        <x:f aca="0">IFERROR(SUMIFS($AU:$AU,$A:$A,"Mixed Agroforestry",$B:$B,$A33),0)</x:f>
        <x:v>726.366141487969</x:v>
      </x:c>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row>
    <x:row r="34" ht="15" hidden="0" customHeight="1">
      <x:c r="A34" s="184" t="n">
        <x:v>2024</x:v>
      </x:c>
      <x:c r="B34" s="185" t="n">
        <x:f aca="0">IFERROR(SUMIFS($C:$C,$A:$A,"Fruit Orchard",$B:$B,$A34),0)</x:f>
        <x:v>0.3289</x:v>
      </x:c>
      <x:c r="C34" s="186" t="n">
        <x:f aca="0">IFERROR(SUMIFS($D:$D,$A:$A,"Fruit Orchard",$B:$B,$A34),0)</x:f>
        <x:v>0.15</x:v>
      </x:c>
      <x:c r="D34" s="187" t="n">
        <x:f aca="0">IFERROR(SUMIFS($L:$L,$A:$A,"Fruit Orchard",$B:$B,$A34),0)</x:f>
        <x:v>0.284280191601654</x:v>
      </x:c>
      <x:c r="E34" s="187" t="n">
        <x:f aca="0">IFERROR(SUMIFS($Z:$Z,$A:$A,"Fruit Orchard",$B:$B,$A34),0)</x:f>
        <x:v>44.01270207817515</x:v>
      </x:c>
      <x:c r="F34" s="188" t="n">
        <x:f aca="0">IFERROR(SUMIFS($AU:$AU,$A:$A,"Fruit Orchard",$B:$B,$A34),0)</x:f>
        <x:v>35.57929600792792</x:v>
      </x:c>
      <x:c r="G34" s="185" t="n">
        <x:f aca="0">IFERROR(SUMIFS($C:$C,$A:$A,"Horti-Silviculture",$B:$B,$A34),0)</x:f>
        <x:v>1.6662</x:v>
      </x:c>
      <x:c r="H34" s="186" t="n">
        <x:f aca="0">IFERROR(SUMIFS($D:$D,$A:$A,"Horti-Silviculture",$B:$B,$A34),0)</x:f>
        <x:v>0.19161300424745234</x:v>
      </x:c>
      <x:c r="I34" s="187" t="n">
        <x:f aca="0">IFERROR(SUMIFS($L:$L,$A:$A,"Horti-Silviculture",$B:$B,$A34),0)</x:f>
        <x:v>3.0129874526974034</x:v>
      </x:c>
      <x:c r="J34" s="187" t="n">
        <x:f aca="0">IFERROR(SUMIFS($Z:$Z,$A:$A,"Horti-Silviculture",$B:$B,$A34),0)</x:f>
        <x:v>370.37953183380586</x:v>
      </x:c>
      <x:c r="K34" s="188" t="n">
        <x:f aca="0">IFERROR(SUMIFS($AU:$AU,$A:$A,"Horti-Silviculture",$B:$B,$A34),0)</x:f>
        <x:v>299.4099970273654</x:v>
      </x:c>
      <x:c r="L34" s="185" t="n">
        <x:f aca="0">IFERROR(SUMIFS($C:$C,$A:$A,"Timber Plantation",$B:$B,$A34),0)</x:f>
        <x:v>1.0587</x:v>
      </x:c>
      <x:c r="M34" s="186" t="n">
        <x:f aca="0">IFERROR(SUMIFS($D:$D,$A:$A,"Timber Plantation",$B:$B,$A34),0)</x:f>
        <x:v>0.19161300424745234</x:v>
      </x:c>
      <x:c r="N34" s="187" t="n">
        <x:f aca="0">IFERROR(SUMIFS($L:$L,$A:$A,"Timber Plantation",$B:$B,$A34),0)</x:f>
        <x:v>23.16888553092122</x:v>
      </x:c>
      <x:c r="O34" s="187" t="n">
        <x:f aca="0">IFERROR(SUMIFS($Z:$Z,$A:$A,"Timber Plantation",$B:$B,$A34),0)</x:f>
        <x:v>2164.4026520296143</x:v>
      </x:c>
      <x:c r="P34" s="188" t="n">
        <x:f aca="0">IFERROR(SUMIFS($AU:$AU,$A:$A,"Timber Plantation",$B:$B,$A34),0)</x:f>
        <x:v>1749.6749574730668</x:v>
      </x:c>
      <x:c r="Q34" s="185" t="n">
        <x:f aca="0">IFERROR(SUMIFS($C:$C,$A:$A,"Mixed Agroforestry",$B:$B,$A34),0)</x:f>
        <x:v>1.7437</x:v>
      </x:c>
      <x:c r="R34" s="186" t="n">
        <x:f aca="0">IFERROR(SUMIFS($D:$D,$A:$A,"Mixed Agroforestry",$B:$B,$A34),0)</x:f>
        <x:v>0.19161300424745234</x:v>
      </x:c>
      <x:c r="S34" s="187" t="n">
        <x:f aca="0">IFERROR(SUMIFS($L:$L,$A:$A,"Mixed Agroforestry",$B:$B,$A34),0)</x:f>
        <x:v>0.9761014703118116</x:v>
      </x:c>
      <x:c r="T34" s="187" t="n">
        <x:f aca="0">IFERROR(SUMIFS($Z:$Z,$A:$A,"Mixed Agroforestry",$B:$B,$A34),0)</x:f>
        <x:v>164.14276681073866</x:v>
      </x:c>
      <x:c r="U34" s="188" t="n">
        <x:f aca="0">IFERROR(SUMIFS($AU:$AU,$A:$A,"Mixed Agroforestry",$B:$B,$A34),0)</x:f>
        <x:v>132.69087813664402</x:v>
      </x:c>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row>
    <x:row r="35" ht="15" hidden="0" customHeight="1">
      <x:c r="A35" s="1"/>
      <x:c r="B35" s="1"/>
      <x:c r="C35" s="1"/>
      <x:c r="D35" s="1"/>
      <x:c r="E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row>
    <x:row r="36" ht="15" hidden="0" customHeight="1">
      <x:c r="A36" s="103" t="str">
        <x:v>BIOME TOTAL</x:v>
      </x:c>
      <x:c r="B36" s="189" t="n">
        <x:f aca="0">SUM(B30:B34)</x:f>
        <x:v>418.457873168758</x:v>
      </x:c>
      <x:c r="C36" s="190"/>
      <x:c r="D36" s="191" t="n">
        <x:f aca="0">SUM(D30:D34)</x:f>
        <x:v>5737.82392761302</x:v>
      </x:c>
      <x:c r="E36" s="191" t="n">
        <x:f aca="0">SUM(E30:E34)</x:f>
        <x:v>49208.22312057359</x:v>
      </x:c>
      <x:c r="F36" s="191" t="n">
        <x:f aca="0">SUM(F30:F34)</x:f>
        <x:v>39779.287654761545</x:v>
      </x:c>
      <x:c r="G36" s="189" t="n">
        <x:f aca="0">SUM(G30:G34)</x:f>
        <x:v>439.3090898421691</x:v>
      </x:c>
      <x:c r="H36" s="190"/>
      <x:c r="I36" s="191" t="n">
        <x:f aca="0">SUM(I30:I34)</x:f>
        <x:v>124336.61560458683</x:v>
      </x:c>
      <x:c r="J36" s="191" t="n">
        <x:f aca="0">SUM(J30:J34)</x:f>
        <x:v>665873.2928892105</x:v>
      </x:c>
      <x:c r="K36" s="191" t="n">
        <x:f aca="0">SUM(K30:K34)</x:f>
        <x:v>538283.3107905651</x:v>
      </x:c>
      <x:c r="L36" s="189" t="n">
        <x:f aca="0">SUM(L30:L34)</x:f>
        <x:v>523.91280946985</x:v>
      </x:c>
      <x:c r="M36" s="190"/>
      <x:c r="N36" s="191" t="n">
        <x:f aca="0">SUM(N30:N34)</x:f>
        <x:v>201427.0184208605</x:v>
      </x:c>
      <x:c r="O36" s="191" t="n">
        <x:f aca="0">SUM(O30:O34)</x:f>
        <x:v>1088241.1689171498</x:v>
      </x:c>
      <x:c r="P36" s="191" t="n">
        <x:f aca="0">SUM(P30:P34)</x:f>
        <x:v>879720.0091951754</x:v>
      </x:c>
      <x:c r="Q36" s="189" t="n">
        <x:f aca="0">SUM(Q30:Q34)</x:f>
        <x:v>19.071299999999997</x:v>
      </x:c>
      <x:c r="R36" s="190"/>
      <x:c r="S36" s="191" t="n">
        <x:f aca="0">SUM(S30:S34)</x:f>
        <x:v>3027.4484339759915</x:v>
      </x:c>
      <x:c r="T36" s="191" t="n">
        <x:f aca="0">SUM(T30:T34)</x:f>
        <x:v>20594.364488396954</x:v>
      </x:c>
      <x:c r="U36" s="191" t="n">
        <x:f aca="0">SUM(U30:U34)</x:f>
        <x:v>16648.216438208165</x:v>
      </x:c>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row>
  </x:sheetData>
  <x:mergeCells>
    <x:mergeCell ref="A1:AV1"/>
    <x:mergeCell ref="A25:U25"/>
    <x:mergeCell ref="A26:U26"/>
    <x:mergeCell ref="A28:A29"/>
    <x:mergeCell ref="B28:F28"/>
    <x:mergeCell ref="G28:K28"/>
    <x:mergeCell ref="L28:P28"/>
    <x:mergeCell ref="Q28:U28"/>
  </x:mergeCells>
  <x:pageMargins left="0.7" right="0.7" top="0.75" bottom="0.75" header="0.3" footer="0.3"/>
</x:worksheet>
</file>

<file path=xl/worksheets/sheet21.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Deserts &amp; Xeric Shrublands | Fruit Orchard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SUM(S18_Deserts_Xeric_ER!C4,S18_Deserts_Xeric_ER!C5,S18_Deserts_Xeric_ER!C6,S18_Deserts_Xeric_ER!C7)</x:f>
        <x:v>1088.0574000000001</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79847.30040943169</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45199.36447946803</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73096.56489223038</x:v>
      </x:c>
      <x:c r="C7" s="37" t="s">
        <x:v>151</x:v>
      </x:c>
      <x:c r="D7" s="37" t="s">
        <x:v>1242</x:v>
      </x:c>
      <x:c r="E7" s="1"/>
      <x:c r="F7" s="1"/>
      <x:c r="G7" s="1"/>
      <x:c r="H7" s="1"/>
      <x:c r="I7" s="1"/>
      <x:c r="J7" s="1"/>
      <x:c r="K7" s="1"/>
      <x:c r="L7" s="1"/>
      <x:c r="M7" s="1"/>
      <x:c r="N7" s="1"/>
      <x:c r="O7" s="1"/>
    </x:row>
    <x:row r="8" ht="15" hidden="0" customHeight="1">
      <x:c r="A8" s="193" t="s">
        <x:v>1243</x:v>
      </x:c>
      <x:c r="B8" s="194" t="n">
        <x:f aca="0">MAX(0,MIN(B5,B6))</x:f>
        <x:v>45199.36447946803</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45199.36447946803</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9039.872895893606</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36159.491583574425</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33.233073534148495</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1.6616536767074248</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IF(AND("Deserts &amp; Xeric Shrublands"="Tropical &amp; Subtropical Dry Broadleaf Forests","Fruit Orchard"="Timber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SUM(S18_Deserts_Xeric_ER!F4,S18_Deserts_Xeric_ER!F5,S18_Deserts_Xeric_ER!F6,S18_Deserts_Xeric_ER!F7)</x:f>
        <x:v>0</x:v>
      </x:c>
      <x:c r="C20" s="100" t="n">
        <x:f aca="0">SUM(S18_Deserts_Xeric_ER!AA4,S18_Deserts_Xeric_ER!AA5,S18_Deserts_Xeric_ER!AA6,S18_Deserts_Xeric_ER!AA7)</x:f>
        <x:v>0</x:v>
      </x:c>
      <x:c r="D20" s="100" t="n">
        <x:f aca="0">IF($B$4=0,0,S33_Project_Deductions!D4*$B$4/S08_Defaults!$B$14)</x:f>
        <x:v>355.120447404317</x:v>
      </x:c>
      <x:c r="E20" s="100" t="n">
        <x:f aca="0">IF($B$4=0,0,S33_Project_Deductions!E4*$B$4/S08_Defaults!$B$14)</x:f>
        <x:v>1624.97039611106</x:v>
      </x:c>
      <x:c r="F20" s="100" t="n">
        <x:f aca="0">S08_Defaults!$B$9</x:f>
        <x:v>0.2</x:v>
      </x:c>
      <x:c r="G20" s="100" t="n">
        <x:f aca="0">C20*(1-F20)-D20-E20</x:f>
        <x:v>-1980.090843515377</x:v>
      </x:c>
      <x:c r="H20" s="100" t="n">
        <x:f aca="0">G20</x:f>
        <x:v>-1980.090843515377</x:v>
      </x:c>
      <x:c r="I20" s="100" t="n">
        <x:f aca="0">H20/1</x:f>
        <x:v>-1980.090843515377</x:v>
      </x:c>
      <x:c r="J20" s="100" t="n">
        <x:f aca="0">B20-D20-E20</x:f>
        <x:v>-1980.090843515377</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SUM(S18_Deserts_Xeric_ER!G4,S18_Deserts_Xeric_ER!G5,S18_Deserts_Xeric_ER!G6,S18_Deserts_Xeric_ER!G7)</x:f>
        <x:v>42.09248762814503</x:v>
      </x:c>
      <x:c r="C21" s="100" t="n">
        <x:f aca="0">SUM(S18_Deserts_Xeric_ER!AB4,S18_Deserts_Xeric_ER!AB5,S18_Deserts_Xeric_ER!AB6,S18_Deserts_Xeric_ER!AB7)</x:f>
        <x:v>41.57948245436268</x:v>
      </x:c>
      <x:c r="D21" s="100" t="n">
        <x:f aca="0">IF($B$4=0,0,S33_Project_Deductions!D5*$B$4/S08_Defaults!$B$14)</x:f>
        <x:v>1156.3464593761362</x:v>
      </x:c>
      <x:c r="E21" s="100" t="n">
        <x:f aca="0">IF($B$4=0,0,S33_Project_Deductions!E5*$B$4/S08_Defaults!$B$14)</x:f>
        <x:v>3206.201272154912</x:v>
      </x:c>
      <x:c r="F21" s="100" t="n">
        <x:f aca="0">S08_Defaults!$B$9</x:f>
        <x:v>0.2</x:v>
      </x:c>
      <x:c r="G21" s="100" t="n">
        <x:f aca="0">C21*(1-F21)-D21-E21</x:f>
        <x:v>-4329.284145567558</x:v>
      </x:c>
      <x:c r="H21" s="100" t="n">
        <x:f aca="0">G21-G20</x:f>
        <x:v>-2349.193302052181</x:v>
      </x:c>
      <x:c r="I21" s="100" t="n">
        <x:f aca="0">H21/1</x:f>
        <x:v>-2349.193302052181</x:v>
      </x:c>
      <x:c r="J21" s="100" t="n">
        <x:f aca="0">B21-D21-E21</x:f>
        <x:v>-4320.455243902903</x:v>
      </x:c>
      <x:c r="K21" s="100" t="n">
        <x:f aca="0">B21</x:f>
        <x:v>42.09248762814503</x:v>
      </x:c>
      <x:c r="L21" s="100" t="n">
        <x:f aca="0">0</x:f>
        <x:v>0</x:v>
      </x:c>
      <x:c r="M21" s="100" t="n">
        <x:f aca="0">IF(AND(A21&gt;=S08_Defaults!$B$11,A21&lt;=S08_Defaults!$B$12),J21,0)</x:f>
        <x:v>-4320.455243902903</x:v>
      </x:c>
      <x:c r="N21" s="100" t="n">
        <x:f aca="0">IF(AND(A21&gt;=S08_Defaults!$B$11,A21&lt;=S08_Defaults!$B$12),K21-L21,0)</x:f>
        <x:v>42.09248762814503</x:v>
      </x:c>
      <x:c r="O21" s="37" t="s">
        <x:v>1271</x:v>
      </x:c>
    </x:row>
    <x:row r="22" ht="15" hidden="0" customHeight="1">
      <x:c r="A22" s="37" t="n">
        <x:v>2022</x:v>
      </x:c>
      <x:c r="B22" s="100" t="n">
        <x:f aca="0">SUM(S18_Deserts_Xeric_ER!H4,S18_Deserts_Xeric_ER!H5,S18_Deserts_Xeric_ER!H6,S18_Deserts_Xeric_ER!H7)</x:f>
        <x:v>525.6589984159589</x:v>
      </x:c>
      <x:c r="C22" s="100" t="n">
        <x:f aca="0">SUM(S18_Deserts_Xeric_ER!AC4,S18_Deserts_Xeric_ER!AC5,S18_Deserts_Xeric_ER!AC6,S18_Deserts_Xeric_ER!AC7)</x:f>
        <x:v>519.2524921477876</x:v>
      </x:c>
      <x:c r="D22" s="100" t="n">
        <x:f aca="0">IF($B$4=0,0,S33_Project_Deductions!D6*$B$4/S08_Defaults!$B$14)</x:f>
        <x:v>2479.2091764146903</x:v>
      </x:c>
      <x:c r="E22" s="100" t="n">
        <x:f aca="0">IF($B$4=0,0,S33_Project_Deductions!E6*$B$4/S08_Defaults!$B$14)</x:f>
        <x:v>4821.351037092882</x:v>
      </x:c>
      <x:c r="F22" s="100" t="n">
        <x:f aca="0">S08_Defaults!$B$9</x:f>
        <x:v>0.2</x:v>
      </x:c>
      <x:c r="G22" s="100" t="n">
        <x:f aca="0">C22*(1-F22)-D22-E22</x:f>
        <x:v>-6885.158219789342</x:v>
      </x:c>
      <x:c r="H22" s="100" t="n">
        <x:f aca="0">G22-G21</x:f>
        <x:v>-2555.874074221784</x:v>
      </x:c>
      <x:c r="I22" s="100" t="n">
        <x:f aca="0">H22/1</x:f>
        <x:v>-2555.874074221784</x:v>
      </x:c>
      <x:c r="J22" s="100" t="n">
        <x:f aca="0">B22-D22-E22</x:f>
        <x:v>-6774.901215091613</x:v>
      </x:c>
      <x:c r="K22" s="100" t="n">
        <x:f aca="0">B22</x:f>
        <x:v>525.6589984159589</x:v>
      </x:c>
      <x:c r="L22" s="100" t="n">
        <x:f aca="0">0</x:f>
        <x:v>0</x:v>
      </x:c>
      <x:c r="M22" s="100" t="n">
        <x:f aca="0">IF(AND(A22&gt;=S08_Defaults!$B$11,A22&lt;=S08_Defaults!$B$12),J22,0)</x:f>
        <x:v>-6774.901215091613</x:v>
      </x:c>
      <x:c r="N22" s="100" t="n">
        <x:f aca="0">IF(AND(A22&gt;=S08_Defaults!$B$11,A22&lt;=S08_Defaults!$B$12),K22-L22,0)</x:f>
        <x:v>525.6589984159589</x:v>
      </x:c>
      <x:c r="O22" s="37" t="s">
        <x:v>1271</x:v>
      </x:c>
    </x:row>
    <x:row r="23" ht="15" hidden="0" customHeight="1">
      <x:c r="A23" s="37" t="n">
        <x:v>2023</x:v>
      </x:c>
      <x:c r="B23" s="100" t="n">
        <x:f aca="0">SUM(S18_Deserts_Xeric_ER!I4,S18_Deserts_Xeric_ER!I5,S18_Deserts_Xeric_ER!I6,S18_Deserts_Xeric_ER!I7)</x:f>
        <x:v>2164.693077440612</x:v>
      </x:c>
      <x:c r="C23" s="100" t="n">
        <x:f aca="0">SUM(S18_Deserts_Xeric_ER!AD4,S18_Deserts_Xeric_ER!AD5,S18_Deserts_Xeric_ER!AD6,S18_Deserts_Xeric_ER!AD7)</x:f>
        <x:v>2138.310727264774</x:v>
      </x:c>
      <x:c r="D23" s="100" t="n">
        <x:f aca="0">IF($B$4=0,0,S33_Project_Deductions!D7*$B$4/S08_Defaults!$B$14)</x:f>
        <x:v>4336.545477909668</x:v>
      </x:c>
      <x:c r="E23" s="100" t="n">
        <x:f aca="0">IF($B$4=0,0,S33_Project_Deductions!E7*$B$4/S08_Defaults!$B$14)</x:f>
        <x:v>6443.398677915913</x:v>
      </x:c>
      <x:c r="F23" s="100" t="n">
        <x:f aca="0">S08_Defaults!$B$9</x:f>
        <x:v>0.2</x:v>
      </x:c>
      <x:c r="G23" s="100" t="n">
        <x:f aca="0">C23*(1-F23)-D23-E23</x:f>
        <x:v>-9069.295574013762</x:v>
      </x:c>
      <x:c r="H23" s="100" t="n">
        <x:f aca="0">G23-G22</x:f>
        <x:v>-2184.13735422442</x:v>
      </x:c>
      <x:c r="I23" s="100" t="n">
        <x:f aca="0">H23/1</x:f>
        <x:v>-2184.13735422442</x:v>
      </x:c>
      <x:c r="J23" s="100" t="n">
        <x:f aca="0">B23-D23-E23</x:f>
        <x:v>-8615.251078384968</x:v>
      </x:c>
      <x:c r="K23" s="100" t="n">
        <x:f aca="0">B23</x:f>
        <x:v>2164.693077440612</x:v>
      </x:c>
      <x:c r="L23" s="100" t="n">
        <x:f aca="0">0</x:f>
        <x:v>0</x:v>
      </x:c>
      <x:c r="M23" s="100" t="n">
        <x:f aca="0">IF(AND(A23&gt;=S08_Defaults!$B$11,A23&lt;=S08_Defaults!$B$12),J23,0)</x:f>
        <x:v>-8615.251078384968</x:v>
      </x:c>
      <x:c r="N23" s="100" t="n">
        <x:f aca="0">IF(AND(A23&gt;=S08_Defaults!$B$11,A23&lt;=S08_Defaults!$B$12),K23-L23,0)</x:f>
        <x:v>2164.693077440612</x:v>
      </x:c>
      <x:c r="O23" s="37" t="s">
        <x:v>1271</x:v>
      </x:c>
    </x:row>
    <x:row r="24" ht="15" hidden="0" customHeight="1">
      <x:c r="A24" s="37" t="n">
        <x:v>2024</x:v>
      </x:c>
      <x:c r="B24" s="100" t="n">
        <x:f aca="0">SUM(S18_Deserts_Xeric_ER!J4,S18_Deserts_Xeric_ER!J5,S18_Deserts_Xeric_ER!J6,S18_Deserts_Xeric_ER!J7)</x:f>
        <x:v>5672.906822156482</x:v>
      </x:c>
      <x:c r="C24" s="100" t="n">
        <x:f aca="0">SUM(S18_Deserts_Xeric_ER!AE4,S18_Deserts_Xeric_ER!AE5,S18_Deserts_Xeric_ER!AE6,S18_Deserts_Xeric_ER!AE7)</x:f>
        <x:v>5603.767868529862</x:v>
      </x:c>
      <x:c r="D24" s="100" t="n">
        <x:f aca="0">IF($B$4=0,0,S33_Project_Deductions!D8*$B$4/S08_Defaults!$B$14)</x:f>
        <x:v>6374.135561377935</x:v>
      </x:c>
      <x:c r="E24" s="100" t="n">
        <x:f aca="0">IF($B$4=0,0,S33_Project_Deductions!E8*$B$4/S08_Defaults!$B$14)</x:f>
        <x:v>8008.517130062977</x:v>
      </x:c>
      <x:c r="F24" s="100" t="n">
        <x:f aca="0">S08_Defaults!$B$9</x:f>
        <x:v>0.2</x:v>
      </x:c>
      <x:c r="G24" s="100" t="n">
        <x:f aca="0">C24*(1-F24)-D24-E24</x:f>
        <x:v>-9899.638396617021</x:v>
      </x:c>
      <x:c r="H24" s="100" t="n">
        <x:f aca="0">G24-G23</x:f>
        <x:v>-830.3428226032593</x:v>
      </x:c>
      <x:c r="I24" s="100" t="n">
        <x:f aca="0">H24/1</x:f>
        <x:v>-830.3428226032593</x:v>
      </x:c>
      <x:c r="J24" s="100" t="n">
        <x:f aca="0">B24-D24-E24</x:f>
        <x:v>-8709.74586928443</x:v>
      </x:c>
      <x:c r="K24" s="100" t="n">
        <x:f aca="0">B24</x:f>
        <x:v>5672.906822156482</x:v>
      </x:c>
      <x:c r="L24" s="100" t="n">
        <x:f aca="0">0</x:f>
        <x:v>0</x:v>
      </x:c>
      <x:c r="M24" s="100" t="n">
        <x:f aca="0">IF(AND(A24&gt;=S08_Defaults!$B$11,A24&lt;=S08_Defaults!$B$12),J24,0)</x:f>
        <x:v>-8709.74586928443</x:v>
      </x:c>
      <x:c r="N24" s="100" t="n">
        <x:f aca="0">IF(AND(A24&gt;=S08_Defaults!$B$11,A24&lt;=S08_Defaults!$B$12),K24-L24,0)</x:f>
        <x:v>5672.906822156482</x:v>
      </x:c>
      <x:c r="O24" s="37" t="s">
        <x:v>1271</x:v>
      </x:c>
    </x:row>
    <x:row r="25" ht="15" hidden="0" customHeight="1">
      <x:c r="A25" s="37" t="n">
        <x:v>2025</x:v>
      </x:c>
      <x:c r="B25" s="100" t="n">
        <x:f aca="0">SUM(S18_Deserts_Xeric_ER!K4,S18_Deserts_Xeric_ER!K5,S18_Deserts_Xeric_ER!K6,S18_Deserts_Xeric_ER!K7)</x:f>
        <x:v>11443.716655126573</x:v>
      </x:c>
      <x:c r="C25" s="100" t="n">
        <x:f aca="0">SUM(S18_Deserts_Xeric_ER!AF4,S18_Deserts_Xeric_ER!AF5,S18_Deserts_Xeric_ER!AF6,S18_Deserts_Xeric_ER!AF7)</x:f>
        <x:v>11304.245547995957</x:v>
      </x:c>
      <x:c r="D25" s="100" t="n">
        <x:f aca="0">IF($B$4=0,0,S33_Project_Deductions!D9*$B$4/S08_Defaults!$B$14)</x:f>
        <x:v>8500.994309656307</x:v>
      </x:c>
      <x:c r="E25" s="100" t="n">
        <x:f aca="0">IF($B$4=0,0,S33_Project_Deductions!E9*$B$4/S08_Defaults!$B$14)</x:f>
        <x:v>8008.517130062977</x:v>
      </x:c>
      <x:c r="F25" s="100" t="n">
        <x:f aca="0">S08_Defaults!$B$9</x:f>
        <x:v>0.2</x:v>
      </x:c>
      <x:c r="G25" s="100" t="n">
        <x:f aca="0">C25*(1-F25)-D25-E25</x:f>
        <x:v>-7466.115001322518</x:v>
      </x:c>
      <x:c r="H25" s="100" t="n">
        <x:f aca="0">G25-G24</x:f>
        <x:v>2433.5233952945036</x:v>
      </x:c>
      <x:c r="I25" s="100" t="n">
        <x:f aca="0">H25/1</x:f>
        <x:v>2433.5233952945036</x:v>
      </x:c>
      <x:c r="J25" s="100" t="n">
        <x:f aca="0">B25-D25-E25</x:f>
        <x:v>-5065.794784592712</x:v>
      </x:c>
      <x:c r="K25" s="100" t="n">
        <x:f aca="0">B25</x:f>
        <x:v>11443.716655126573</x:v>
      </x:c>
      <x:c r="L25" s="100" t="n">
        <x:f aca="0">0</x:f>
        <x:v>0</x:v>
      </x:c>
      <x:c r="M25" s="100" t="n">
        <x:f aca="0">IF(AND(A25&gt;=S08_Defaults!$B$11,A25&lt;=S08_Defaults!$B$12),J25,0)</x:f>
        <x:v>-5065.794784592712</x:v>
      </x:c>
      <x:c r="N25" s="100" t="n">
        <x:f aca="0">IF(AND(A25&gt;=S08_Defaults!$B$11,A25&lt;=S08_Defaults!$B$12),K25-L25,0)</x:f>
        <x:v>11443.716655126573</x:v>
      </x:c>
      <x:c r="O25" s="37" t="s">
        <x:v>1271</x:v>
      </x:c>
    </x:row>
    <x:row r="26" ht="15" hidden="0" customHeight="1">
      <x:c r="A26" s="37" t="n">
        <x:v>2026</x:v>
      </x:c>
      <x:c r="B26" s="100" t="n">
        <x:f aca="0">SUM(S18_Deserts_Xeric_ER!L4,S18_Deserts_Xeric_ER!L5,S18_Deserts_Xeric_ER!L6,S18_Deserts_Xeric_ER!L7)</x:f>
        <x:v>19452.5235275073</x:v>
      </x:c>
      <x:c r="C26" s="100" t="n">
        <x:f aca="0">SUM(S18_Deserts_Xeric_ER!AG4,S18_Deserts_Xeric_ER!AG5,S18_Deserts_Xeric_ER!AG6,S18_Deserts_Xeric_ER!AG7)</x:f>
        <x:v>19215.444519469263</x:v>
      </x:c>
      <x:c r="D26" s="100" t="n">
        <x:f aca="0">IF($B$4=0,0,S33_Project_Deductions!D10*$B$4/S08_Defaults!$B$14)</x:f>
        <x:v>10641.590582245548</x:v>
      </x:c>
      <x:c r="E26" s="100" t="n">
        <x:f aca="0">IF($B$4=0,0,S33_Project_Deductions!E10*$B$4/S08_Defaults!$B$14)</x:f>
        <x:v>8008.517130062977</x:v>
      </x:c>
      <x:c r="F26" s="100" t="n">
        <x:f aca="0">S08_Defaults!$B$9</x:f>
        <x:v>0.2</x:v>
      </x:c>
      <x:c r="G26" s="100" t="n">
        <x:f aca="0">C26*(1-F26)-D26-E26</x:f>
        <x:v>-3277.752096733113</x:v>
      </x:c>
      <x:c r="H26" s="100" t="n">
        <x:f aca="0">G26-G25</x:f>
        <x:v>4188.362904589405</x:v>
      </x:c>
      <x:c r="I26" s="100" t="n">
        <x:f aca="0">H26/1</x:f>
        <x:v>4188.362904589405</x:v>
      </x:c>
      <x:c r="J26" s="100" t="n">
        <x:f aca="0">B26-D26-E26</x:f>
        <x:v>802.415815198774</x:v>
      </x:c>
      <x:c r="K26" s="100" t="n">
        <x:f aca="0">B26</x:f>
        <x:v>19452.5235275073</x:v>
      </x:c>
      <x:c r="L26" s="100" t="n">
        <x:f aca="0">0</x:f>
        <x:v>0</x:v>
      </x:c>
      <x:c r="M26" s="100" t="n">
        <x:f aca="0">IF(AND(A26&gt;=S08_Defaults!$B$11,A26&lt;=S08_Defaults!$B$12),J26,0)</x:f>
        <x:v>802.415815198774</x:v>
      </x:c>
      <x:c r="N26" s="100" t="n">
        <x:f aca="0">IF(AND(A26&gt;=S08_Defaults!$B$11,A26&lt;=S08_Defaults!$B$12),K26-L26,0)</x:f>
        <x:v>19452.5235275073</x:v>
      </x:c>
      <x:c r="O26" s="37" t="s">
        <x:v>1271</x:v>
      </x:c>
    </x:row>
    <x:row r="27" ht="15" hidden="0" customHeight="1">
      <x:c r="A27" s="37" t="n">
        <x:v>2027</x:v>
      </x:c>
      <x:c r="B27" s="100" t="n">
        <x:f aca="0">SUM(S18_Deserts_Xeric_ER!M4,S18_Deserts_Xeric_ER!M5,S18_Deserts_Xeric_ER!M6,S18_Deserts_Xeric_ER!M7)</x:f>
        <x:v>29348.57194839917</x:v>
      </x:c>
      <x:c r="C27" s="100" t="n">
        <x:f aca="0">SUM(S18_Deserts_Xeric_ER!AH4,S18_Deserts_Xeric_ER!AH5,S18_Deserts_Xeric_ER!AH6,S18_Deserts_Xeric_ER!AH7)</x:f>
        <x:v>28990.884149434656</x:v>
      </x:c>
      <x:c r="D27" s="100" t="n">
        <x:f aca="0">IF($B$4=0,0,S33_Project_Deductions!D11*$B$4/S08_Defaults!$B$14)</x:f>
        <x:v>12783.087499755973</x:v>
      </x:c>
      <x:c r="E27" s="100" t="n">
        <x:f aca="0">IF($B$4=0,0,S33_Project_Deductions!E11*$B$4/S08_Defaults!$B$14)</x:f>
        <x:v>8008.517130062977</x:v>
      </x:c>
      <x:c r="F27" s="100" t="n">
        <x:f aca="0">S08_Defaults!$B$9</x:f>
        <x:v>0.2</x:v>
      </x:c>
      <x:c r="G27" s="100" t="n">
        <x:f aca="0">C27*(1-F27)-D27-E27</x:f>
        <x:v>2401.1026897287775</x:v>
      </x:c>
      <x:c r="H27" s="100" t="n">
        <x:f aca="0">G27-G26</x:f>
        <x:v>5678.85478646189</x:v>
      </x:c>
      <x:c r="I27" s="100" t="n">
        <x:f aca="0">H27/1</x:f>
        <x:v>5678.85478646189</x:v>
      </x:c>
      <x:c r="J27" s="100" t="n">
        <x:f aca="0">B27-D27-E27</x:f>
        <x:v>8556.96731858022</x:v>
      </x:c>
      <x:c r="K27" s="100" t="n">
        <x:f aca="0">B27</x:f>
        <x:v>29348.57194839917</x:v>
      </x:c>
      <x:c r="L27" s="100" t="n">
        <x:f aca="0">0</x:f>
        <x:v>0</x:v>
      </x:c>
      <x:c r="M27" s="100" t="n">
        <x:f aca="0">IF(AND(A27&gt;=S08_Defaults!$B$11,A27&lt;=S08_Defaults!$B$12),J27,0)</x:f>
        <x:v>8556.96731858022</x:v>
      </x:c>
      <x:c r="N27" s="100" t="n">
        <x:f aca="0">IF(AND(A27&gt;=S08_Defaults!$B$11,A27&lt;=S08_Defaults!$B$12),K27-L27,0)</x:f>
        <x:v>29348.57194839917</x:v>
      </x:c>
      <x:c r="O27" s="37" t="s">
        <x:v>1271</x:v>
      </x:c>
    </x:row>
    <x:row r="28" ht="15" hidden="0" customHeight="1">
      <x:c r="A28" s="37" t="n">
        <x:v>2028</x:v>
      </x:c>
      <x:c r="B28" s="100" t="n">
        <x:f aca="0">SUM(S18_Deserts_Xeric_ER!N4,S18_Deserts_Xeric_ER!N5,S18_Deserts_Xeric_ER!N6,S18_Deserts_Xeric_ER!N7)</x:f>
        <x:v>40623.76466688397</x:v>
      </x:c>
      <x:c r="C28" s="100" t="n">
        <x:f aca="0">SUM(S18_Deserts_Xeric_ER!AI4,S18_Deserts_Xeric_ER!AI5,S18_Deserts_Xeric_ER!AI6,S18_Deserts_Xeric_ER!AI7)</x:f>
        <x:v>40128.659658200835</x:v>
      </x:c>
      <x:c r="D28" s="100" t="n">
        <x:f aca="0">IF($B$4=0,0,S33_Project_Deductions!D12*$B$4/S08_Defaults!$B$14)</x:f>
        <x:v>14924.5844172664</x:v>
      </x:c>
      <x:c r="E28" s="100" t="n">
        <x:f aca="0">IF($B$4=0,0,S33_Project_Deductions!E12*$B$4/S08_Defaults!$B$14)</x:f>
        <x:v>8008.517130062977</x:v>
      </x:c>
      <x:c r="F28" s="100" t="n">
        <x:f aca="0">S08_Defaults!$B$9</x:f>
        <x:v>0.2</x:v>
      </x:c>
      <x:c r="G28" s="100" t="n">
        <x:f aca="0">C28*(1-F28)-D28-E28</x:f>
        <x:v>9169.826179231291</x:v>
      </x:c>
      <x:c r="H28" s="100" t="n">
        <x:f aca="0">G28-G27</x:f>
        <x:v>6768.723489502514</x:v>
      </x:c>
      <x:c r="I28" s="100" t="n">
        <x:f aca="0">H28/1</x:f>
        <x:v>6768.723489502514</x:v>
      </x:c>
      <x:c r="J28" s="100" t="n">
        <x:f aca="0">B28-D28-E28</x:f>
        <x:v>17690.663119554596</x:v>
      </x:c>
      <x:c r="K28" s="100" t="n">
        <x:f aca="0">B28</x:f>
        <x:v>40623.76466688397</x:v>
      </x:c>
      <x:c r="L28" s="100" t="n">
        <x:f aca="0">0</x:f>
        <x:v>0</x:v>
      </x:c>
      <x:c r="M28" s="100" t="n">
        <x:f aca="0">IF(AND(A28&gt;=S08_Defaults!$B$11,A28&lt;=S08_Defaults!$B$12),J28,0)</x:f>
        <x:v>17690.663119554596</x:v>
      </x:c>
      <x:c r="N28" s="100" t="n">
        <x:f aca="0">IF(AND(A28&gt;=S08_Defaults!$B$11,A28&lt;=S08_Defaults!$B$12),K28-L28,0)</x:f>
        <x:v>40623.76466688397</x:v>
      </x:c>
      <x:c r="O28" s="37" t="s">
        <x:v>1271</x:v>
      </x:c>
    </x:row>
    <x:row r="29" ht="15" hidden="0" customHeight="1">
      <x:c r="A29" s="37" t="n">
        <x:v>2029</x:v>
      </x:c>
      <x:c r="B29" s="100" t="n">
        <x:f aca="0">SUM(S18_Deserts_Xeric_ER!O4,S18_Deserts_Xeric_ER!O5,S18_Deserts_Xeric_ER!O6,S18_Deserts_Xeric_ER!O7)</x:f>
        <x:v>52741.54400425511</x:v>
      </x:c>
      <x:c r="C29" s="100" t="n">
        <x:f aca="0">SUM(S18_Deserts_Xeric_ER!AJ4,S18_Deserts_Xeric_ER!AJ5,S18_Deserts_Xeric_ER!AJ6,S18_Deserts_Xeric_ER!AJ7)</x:f>
        <x:v>52098.7527017672</x:v>
      </x:c>
      <x:c r="D29" s="100" t="n">
        <x:f aca="0">IF($B$4=0,0,S33_Project_Deductions!D13*$B$4/S08_Defaults!$B$14)</x:f>
        <x:v>17066.081334776823</x:v>
      </x:c>
      <x:c r="E29" s="100" t="n">
        <x:f aca="0">IF($B$4=0,0,S33_Project_Deductions!E13*$B$4/S08_Defaults!$B$14)</x:f>
        <x:v>8008.517130062977</x:v>
      </x:c>
      <x:c r="F29" s="100" t="n">
        <x:f aca="0">S08_Defaults!$B$9</x:f>
        <x:v>0.2</x:v>
      </x:c>
      <x:c r="G29" s="100" t="n">
        <x:f aca="0">C29*(1-F29)-D29-E29</x:f>
        <x:v>16604.403696573958</x:v>
      </x:c>
      <x:c r="H29" s="100" t="n">
        <x:f aca="0">G29-G28</x:f>
        <x:v>7434.577517342666</x:v>
      </x:c>
      <x:c r="I29" s="100" t="n">
        <x:f aca="0">H29/1</x:f>
        <x:v>7434.577517342666</x:v>
      </x:c>
      <x:c r="J29" s="100" t="n">
        <x:f aca="0">B29-D29-E29</x:f>
        <x:v>27666.945539415316</x:v>
      </x:c>
      <x:c r="K29" s="100" t="n">
        <x:f aca="0">B29</x:f>
        <x:v>52741.54400425511</x:v>
      </x:c>
      <x:c r="L29" s="100" t="n">
        <x:f aca="0">0</x:f>
        <x:v>0</x:v>
      </x:c>
      <x:c r="M29" s="100" t="n">
        <x:f aca="0">IF(AND(A29&gt;=S08_Defaults!$B$11,A29&lt;=S08_Defaults!$B$12),J29,0)</x:f>
        <x:v>27666.945539415316</x:v>
      </x:c>
      <x:c r="N29" s="100" t="n">
        <x:f aca="0">IF(AND(A29&gt;=S08_Defaults!$B$11,A29&lt;=S08_Defaults!$B$12),K29-L29,0)</x:f>
        <x:v>52741.54400425511</x:v>
      </x:c>
      <x:c r="O29" s="37" t="s">
        <x:v>1271</x:v>
      </x:c>
    </x:row>
    <x:row r="30" ht="15" hidden="0" customHeight="1">
      <x:c r="A30" s="37" t="n">
        <x:v>2030</x:v>
      </x:c>
      <x:c r="B30" s="100" t="n">
        <x:f aca="0">SUM(S18_Deserts_Xeric_ER!P4,S18_Deserts_Xeric_ER!P5,S18_Deserts_Xeric_ER!P6,S18_Deserts_Xeric_ER!P7)</x:f>
        <x:v>65215.00349070926</x:v>
      </x:c>
      <x:c r="C30" s="100" t="n">
        <x:f aca="0">SUM(S18_Deserts_Xeric_ER!AK4,S18_Deserts_Xeric_ER!AK5,S18_Deserts_Xeric_ER!AK6,S18_Deserts_Xeric_ER!AK7)</x:f>
        <x:v>64420.19101741183</x:v>
      </x:c>
      <x:c r="D30" s="100" t="n">
        <x:f aca="0">IF($B$4=0,0,S33_Project_Deductions!D14*$B$4/S08_Defaults!$B$14)</x:f>
        <x:v>19207.57825228725</x:v>
      </x:c>
      <x:c r="E30" s="100" t="n">
        <x:f aca="0">IF($B$4=0,0,S33_Project_Deductions!E14*$B$4/S08_Defaults!$B$14)</x:f>
        <x:v>8008.517130062977</x:v>
      </x:c>
      <x:c r="F30" s="100" t="n">
        <x:f aca="0">S08_Defaults!$B$9</x:f>
        <x:v>0.2</x:v>
      </x:c>
      <x:c r="G30" s="100" t="n">
        <x:f aca="0">C30*(1-F30)-D30-E30</x:f>
        <x:v>24320.05743157924</x:v>
      </x:c>
      <x:c r="H30" s="100" t="n">
        <x:f aca="0">G30-G29</x:f>
        <x:v>7715.653735005282</x:v>
      </x:c>
      <x:c r="I30" s="100" t="n">
        <x:f aca="0">H30/1</x:f>
        <x:v>7715.653735005282</x:v>
      </x:c>
      <x:c r="J30" s="100" t="n">
        <x:f aca="0">B30-D30-E30</x:f>
        <x:v>37998.90810835904</x:v>
      </x:c>
      <x:c r="K30" s="100" t="n">
        <x:f aca="0">B30</x:f>
        <x:v>65215.00349070926</x:v>
      </x:c>
      <x:c r="L30" s="100" t="n">
        <x:f aca="0">0</x:f>
        <x:v>0</x:v>
      </x:c>
      <x:c r="M30" s="100" t="n">
        <x:f aca="0">IF(AND(A30&gt;=S08_Defaults!$B$11,A30&lt;=S08_Defaults!$B$12),J30,0)</x:f>
        <x:v>37998.90810835904</x:v>
      </x:c>
      <x:c r="N30" s="100" t="n">
        <x:f aca="0">IF(AND(A30&gt;=S08_Defaults!$B$11,A30&lt;=S08_Defaults!$B$12),K30-L30,0)</x:f>
        <x:v>65215.00349070926</x:v>
      </x:c>
      <x:c r="O30" s="37" t="s">
        <x:v>1271</x:v>
      </x:c>
    </x:row>
    <x:row r="31" ht="15" hidden="0" customHeight="1">
      <x:c r="A31" s="37" t="n">
        <x:v>2031</x:v>
      </x:c>
      <x:c r="B31" s="100" t="n">
        <x:f aca="0">SUM(S18_Deserts_Xeric_ER!Q4,S18_Deserts_Xeric_ER!Q5,S18_Deserts_Xeric_ER!Q6,S18_Deserts_Xeric_ER!Q7)</x:f>
        <x:v>77643.2514904194</x:v>
      </x:c>
      <x:c r="C31" s="100" t="n">
        <x:f aca="0">SUM(S18_Deserts_Xeric_ER!AL4,S18_Deserts_Xeric_ER!AL5,S18_Deserts_Xeric_ER!AL6,S18_Deserts_Xeric_ER!AL7)</x:f>
        <x:v>76696.96886450885</x:v>
      </x:c>
      <x:c r="D31" s="100" t="n">
        <x:f aca="0">IF($B$4=0,0,S33_Project_Deductions!D15*$B$4/S08_Defaults!$B$14)</x:f>
        <x:v>21349.075169797674</x:v>
      </x:c>
      <x:c r="E31" s="100" t="n">
        <x:f aca="0">IF($B$4=0,0,S33_Project_Deductions!E15*$B$4/S08_Defaults!$B$14)</x:f>
        <x:v>8008.517130062977</x:v>
      </x:c>
      <x:c r="F31" s="100" t="n">
        <x:f aca="0">S08_Defaults!$B$9</x:f>
        <x:v>0.2</x:v>
      </x:c>
      <x:c r="G31" s="100" t="n">
        <x:f aca="0">C31*(1-F31)-D31-E31</x:f>
        <x:v>31999.98279174643</x:v>
      </x:c>
      <x:c r="H31" s="100" t="n">
        <x:f aca="0">G31-G30</x:f>
        <x:v>7679.925360167192</x:v>
      </x:c>
      <x:c r="I31" s="100" t="n">
        <x:f aca="0">H31/1</x:f>
        <x:v>7679.925360167192</x:v>
      </x:c>
      <x:c r="J31" s="100" t="n">
        <x:f aca="0">B31-D31-E31</x:f>
        <x:v>48285.65919055874</x:v>
      </x:c>
      <x:c r="K31" s="100" t="n">
        <x:f aca="0">B31</x:f>
        <x:v>77643.2514904194</x:v>
      </x:c>
      <x:c r="L31" s="100" t="n">
        <x:f aca="0">0</x:f>
        <x:v>0</x:v>
      </x:c>
      <x:c r="M31" s="100" t="n">
        <x:f aca="0">IF(AND(A31&gt;=S08_Defaults!$B$11,A31&lt;=S08_Defaults!$B$12),J31,0)</x:f>
        <x:v>48285.65919055874</x:v>
      </x:c>
      <x:c r="N31" s="100" t="n">
        <x:f aca="0">IF(AND(A31&gt;=S08_Defaults!$B$11,A31&lt;=S08_Defaults!$B$12),K31-L31,0)</x:f>
        <x:v>77643.2514904194</x:v>
      </x:c>
      <x:c r="O31" s="37" t="s">
        <x:v>1271</x:v>
      </x:c>
    </x:row>
    <x:row r="32" ht="15" hidden="0" customHeight="1">
      <x:c r="A32" s="37" t="n">
        <x:v>2032</x:v>
      </x:c>
      <x:c r="B32" s="100" t="n">
        <x:f aca="0">SUM(S18_Deserts_Xeric_ER!R4,S18_Deserts_Xeric_ER!R5,S18_Deserts_Xeric_ER!R6,S18_Deserts_Xeric_ER!R7)</x:f>
        <x:v>89720.4523379684</x:v>
      </x:c>
      <x:c r="C32" s="100" t="n">
        <x:f aca="0">SUM(S18_Deserts_Xeric_ER!AM4,S18_Deserts_Xeric_ER!AM5,S18_Deserts_Xeric_ER!AM6,S18_Deserts_Xeric_ER!AM7)</x:f>
        <x:v>88626.97797147137</x:v>
      </x:c>
      <x:c r="D32" s="100" t="n">
        <x:f aca="0">IF($B$4=0,0,S33_Project_Deductions!D16*$B$4/S08_Defaults!$B$14)</x:f>
        <x:v>23490.572087308097</x:v>
      </x:c>
      <x:c r="E32" s="100" t="n">
        <x:f aca="0">IF($B$4=0,0,S33_Project_Deductions!E16*$B$4/S08_Defaults!$B$14)</x:f>
        <x:v>8008.517130062977</x:v>
      </x:c>
      <x:c r="F32" s="100" t="n">
        <x:f aca="0">S08_Defaults!$B$9</x:f>
        <x:v>0.2</x:v>
      </x:c>
      <x:c r="G32" s="100" t="n">
        <x:f aca="0">C32*(1-F32)-D32-E32</x:f>
        <x:v>39402.49315980602</x:v>
      </x:c>
      <x:c r="H32" s="100" t="n">
        <x:f aca="0">G32-G31</x:f>
        <x:v>7402.510368059589</x:v>
      </x:c>
      <x:c r="I32" s="100" t="n">
        <x:f aca="0">H32/1</x:f>
        <x:v>7402.510368059589</x:v>
      </x:c>
      <x:c r="J32" s="100" t="n">
        <x:f aca="0">B32-D32-E32</x:f>
        <x:v>58221.36312059732</x:v>
      </x:c>
      <x:c r="K32" s="100" t="n">
        <x:f aca="0">B32</x:f>
        <x:v>89720.4523379684</x:v>
      </x:c>
      <x:c r="L32" s="100" t="n">
        <x:f aca="0">0</x:f>
        <x:v>0</x:v>
      </x:c>
      <x:c r="M32" s="100" t="n">
        <x:f aca="0">IF(AND(A32&gt;=S08_Defaults!$B$11,A32&lt;=S08_Defaults!$B$12),J32,0)</x:f>
        <x:v>58221.36312059732</x:v>
      </x:c>
      <x:c r="N32" s="100" t="n">
        <x:f aca="0">IF(AND(A32&gt;=S08_Defaults!$B$11,A32&lt;=S08_Defaults!$B$12),K32-L32,0)</x:f>
        <x:v>89720.4523379684</x:v>
      </x:c>
      <x:c r="O32" s="37" t="s">
        <x:v>1271</x:v>
      </x:c>
    </x:row>
    <x:row r="33" ht="15" hidden="0" customHeight="1">
      <x:c r="A33" s="37" t="n">
        <x:v>2033</x:v>
      </x:c>
      <x:c r="B33" s="100" t="n">
        <x:f aca="0">SUM(S18_Deserts_Xeric_ER!S4,S18_Deserts_Xeric_ER!S5,S18_Deserts_Xeric_ER!S6,S18_Deserts_Xeric_ER!S7)</x:f>
        <x:v>101229.70409578213</x:v>
      </x:c>
      <x:c r="C33" s="100" t="n">
        <x:f aca="0">SUM(S18_Deserts_Xeric_ER!AN4,S18_Deserts_Xeric_ER!AN5,S18_Deserts_Xeric_ER!AN6,S18_Deserts_Xeric_ER!AN7)</x:f>
        <x:v>99995.95990844956</x:v>
      </x:c>
      <x:c r="D33" s="100" t="n">
        <x:f aca="0">IF($B$4=0,0,S33_Project_Deductions!D17*$B$4/S08_Defaults!$B$14)</x:f>
        <x:v>25632.06900481852</x:v>
      </x:c>
      <x:c r="E33" s="100" t="n">
        <x:f aca="0">IF($B$4=0,0,S33_Project_Deductions!E17*$B$4/S08_Defaults!$B$14)</x:f>
        <x:v>8008.517130062977</x:v>
      </x:c>
      <x:c r="F33" s="100" t="n">
        <x:f aca="0">S08_Defaults!$B$9</x:f>
        <x:v>0.2</x:v>
      </x:c>
      <x:c r="G33" s="100" t="n">
        <x:f aca="0">C33*(1-F33)-D33-E33</x:f>
        <x:v>46356.18179187816</x:v>
      </x:c>
      <x:c r="H33" s="100" t="n">
        <x:f aca="0">G33-G32</x:f>
        <x:v>6953.688632072139</x:v>
      </x:c>
      <x:c r="I33" s="100" t="n">
        <x:f aca="0">H33/1</x:f>
        <x:v>6953.688632072139</x:v>
      </x:c>
      <x:c r="J33" s="100" t="n">
        <x:f aca="0">B33-D33-E33</x:f>
        <x:v>67589.11796090064</x:v>
      </x:c>
      <x:c r="K33" s="100" t="n">
        <x:f aca="0">B33</x:f>
        <x:v>101229.70409578213</x:v>
      </x:c>
      <x:c r="L33" s="100" t="n">
        <x:f aca="0">0</x:f>
        <x:v>0</x:v>
      </x:c>
      <x:c r="M33" s="100" t="n">
        <x:f aca="0">IF(AND(A33&gt;=S08_Defaults!$B$11,A33&lt;=S08_Defaults!$B$12),J33,0)</x:f>
        <x:v>67589.11796090064</x:v>
      </x:c>
      <x:c r="N33" s="100" t="n">
        <x:f aca="0">IF(AND(A33&gt;=S08_Defaults!$B$11,A33&lt;=S08_Defaults!$B$12),K33-L33,0)</x:f>
        <x:v>101229.70409578213</x:v>
      </x:c>
      <x:c r="O33" s="37" t="s">
        <x:v>1271</x:v>
      </x:c>
    </x:row>
    <x:row r="34" ht="15" hidden="0" customHeight="1">
      <x:c r="A34" s="37" t="n">
        <x:v>2034</x:v>
      </x:c>
      <x:c r="B34" s="100" t="n">
        <x:f aca="0">SUM(S18_Deserts_Xeric_ER!T4,S18_Deserts_Xeric_ER!T5,S18_Deserts_Xeric_ER!T6,S18_Deserts_Xeric_ER!T7)</x:f>
        <x:v>112029.9971639681</x:v>
      </x:c>
      <x:c r="C34" s="100" t="n">
        <x:f aca="0">SUM(S18_Deserts_Xeric_ER!AO4,S18_Deserts_Xeric_ER!AO5,S18_Deserts_Xeric_ER!AO6,S18_Deserts_Xeric_ER!AO7)</x:f>
        <x:v>110664.62364003532</x:v>
      </x:c>
      <x:c r="D34" s="100" t="n">
        <x:f aca="0">IF($B$4=0,0,S33_Project_Deductions!D18*$B$4/S08_Defaults!$B$14)</x:f>
        <x:v>27773.565922328944</x:v>
      </x:c>
      <x:c r="E34" s="100" t="n">
        <x:f aca="0">IF($B$4=0,0,S33_Project_Deductions!E18*$B$4/S08_Defaults!$B$14)</x:f>
        <x:v>8008.517130062977</x:v>
      </x:c>
      <x:c r="F34" s="100" t="n">
        <x:f aca="0">S08_Defaults!$B$9</x:f>
        <x:v>0.2</x:v>
      </x:c>
      <x:c r="G34" s="100" t="n">
        <x:f aca="0">C34*(1-F34)-D34-E34</x:f>
        <x:v>52749.61585963635</x:v>
      </x:c>
      <x:c r="H34" s="100" t="n">
        <x:f aca="0">G34-G33</x:f>
        <x:v>6393.434067758193</x:v>
      </x:c>
      <x:c r="I34" s="100" t="n">
        <x:f aca="0">H34/1</x:f>
        <x:v>6393.434067758193</x:v>
      </x:c>
      <x:c r="J34" s="100" t="n">
        <x:f aca="0">B34-D34-E34</x:f>
        <x:v>76247.91411157619</x:v>
      </x:c>
      <x:c r="K34" s="100" t="n">
        <x:f aca="0">B34</x:f>
        <x:v>112029.9971639681</x:v>
      </x:c>
      <x:c r="L34" s="100" t="n">
        <x:f aca="0">0</x:f>
        <x:v>0</x:v>
      </x:c>
      <x:c r="M34" s="100" t="n">
        <x:f aca="0">IF(AND(A34&gt;=S08_Defaults!$B$11,A34&lt;=S08_Defaults!$B$12),J34,0)</x:f>
        <x:v>76247.91411157619</x:v>
      </x:c>
      <x:c r="N34" s="100" t="n">
        <x:f aca="0">IF(AND(A34&gt;=S08_Defaults!$B$11,A34&lt;=S08_Defaults!$B$12),K34-L34,0)</x:f>
        <x:v>112029.9971639681</x:v>
      </x:c>
      <x:c r="O34" s="37" t="s">
        <x:v>1271</x:v>
      </x:c>
    </x:row>
    <x:row r="35" ht="15" hidden="0" customHeight="1">
      <x:c r="A35" s="37" t="n">
        <x:v>2035</x:v>
      </x:c>
      <x:c r="B35" s="100" t="n">
        <x:f aca="0">SUM(S18_Deserts_Xeric_ER!U4,S18_Deserts_Xeric_ER!U5,S18_Deserts_Xeric_ER!U6,S18_Deserts_Xeric_ER!U7)</x:f>
        <x:v>122041.19345395095</x:v>
      </x:c>
      <x:c r="C35" s="100" t="n">
        <x:f aca="0">SUM(S18_Deserts_Xeric_ER!AP4,S18_Deserts_Xeric_ER!AP5,S18_Deserts_Xeric_ER!AP6,S18_Deserts_Xeric_ER!AP7)</x:f>
        <x:v>120553.80776628287</x:v>
      </x:c>
      <x:c r="D35" s="100" t="n">
        <x:f aca="0">IF($B$4=0,0,S33_Project_Deductions!D19*$B$4/S08_Defaults!$B$14)</x:f>
        <x:v>29915.06283983937</x:v>
      </x:c>
      <x:c r="E35" s="100" t="n">
        <x:f aca="0">IF($B$4=0,0,S33_Project_Deductions!E19*$B$4/S08_Defaults!$B$14)</x:f>
        <x:v>8008.517130062977</x:v>
      </x:c>
      <x:c r="F35" s="100" t="n">
        <x:f aca="0">S08_Defaults!$B$9</x:f>
        <x:v>0.2</x:v>
      </x:c>
      <x:c r="G35" s="100" t="n">
        <x:f aca="0">C35*(1-F35)-D35-E35</x:f>
        <x:v>58519.466243123956</x:v>
      </x:c>
      <x:c r="H35" s="100" t="n">
        <x:f aca="0">G35-G34</x:f>
        <x:v>5769.850383487603</x:v>
      </x:c>
      <x:c r="I35" s="100" t="n">
        <x:f aca="0">H35/1</x:f>
        <x:v>5769.850383487603</x:v>
      </x:c>
      <x:c r="J35" s="100" t="n">
        <x:f aca="0">B35-D35-E35</x:f>
        <x:v>84117.6134840486</x:v>
      </x:c>
      <x:c r="K35" s="100" t="n">
        <x:f aca="0">B35</x:f>
        <x:v>122041.19345395095</x:v>
      </x:c>
      <x:c r="L35" s="100" t="n">
        <x:f aca="0">0</x:f>
        <x:v>0</x:v>
      </x:c>
      <x:c r="M35" s="100" t="n">
        <x:f aca="0">IF(AND(A35&gt;=S08_Defaults!$B$11,A35&lt;=S08_Defaults!$B$12),J35,0)</x:f>
        <x:v>84117.6134840486</x:v>
      </x:c>
      <x:c r="N35" s="100" t="n">
        <x:f aca="0">IF(AND(A35&gt;=S08_Defaults!$B$11,A35&lt;=S08_Defaults!$B$12),K35-L35,0)</x:f>
        <x:v>122041.19345395095</x:v>
      </x:c>
      <x:c r="O35" s="37" t="s">
        <x:v>1271</x:v>
      </x:c>
    </x:row>
    <x:row r="36" ht="15" hidden="0" customHeight="1">
      <x:c r="A36" s="37" t="n">
        <x:v>2036</x:v>
      </x:c>
      <x:c r="B36" s="100" t="n">
        <x:f aca="0">SUM(S18_Deserts_Xeric_ER!V4,S18_Deserts_Xeric_ER!V5,S18_Deserts_Xeric_ER!V6,S18_Deserts_Xeric_ER!V7)</x:f>
        <x:v>131229.66578417443</x:v>
      </x:c>
      <x:c r="C36" s="100" t="n">
        <x:f aca="0">SUM(S18_Deserts_Xeric_ER!AQ4,S18_Deserts_Xeric_ER!AQ5,S18_Deserts_Xeric_ER!AQ6,S18_Deserts_Xeric_ER!AQ7)</x:f>
        <x:v>129630.2949392925</x:v>
      </x:c>
      <x:c r="D36" s="100" t="n">
        <x:f aca="0">IF($B$4=0,0,S33_Project_Deductions!D20*$B$4/S08_Defaults!$B$14)</x:f>
        <x:v>32056.55975734979</x:v>
      </x:c>
      <x:c r="E36" s="100" t="n">
        <x:f aca="0">IF($B$4=0,0,S33_Project_Deductions!E20*$B$4/S08_Defaults!$B$14)</x:f>
        <x:v>8008.517130062977</x:v>
      </x:c>
      <x:c r="F36" s="100" t="n">
        <x:f aca="0">S08_Defaults!$B$9</x:f>
        <x:v>0.2</x:v>
      </x:c>
      <x:c r="G36" s="100" t="n">
        <x:f aca="0">C36*(1-F36)-D36-E36</x:f>
        <x:v>63639.15906402124</x:v>
      </x:c>
      <x:c r="H36" s="100" t="n">
        <x:f aca="0">G36-G35</x:f>
        <x:v>5119.692820897282</x:v>
      </x:c>
      <x:c r="I36" s="100" t="n">
        <x:f aca="0">H36/1</x:f>
        <x:v>5119.692820897282</x:v>
      </x:c>
      <x:c r="J36" s="100" t="n">
        <x:f aca="0">B36-D36-E36</x:f>
        <x:v>91164.58889676166</x:v>
      </x:c>
      <x:c r="K36" s="100" t="n">
        <x:f aca="0">B36</x:f>
        <x:v>131229.66578417443</x:v>
      </x:c>
      <x:c r="L36" s="100" t="n">
        <x:f aca="0">0</x:f>
        <x:v>0</x:v>
      </x:c>
      <x:c r="M36" s="100" t="n">
        <x:f aca="0">IF(AND(A36&gt;=S08_Defaults!$B$11,A36&lt;=S08_Defaults!$B$12),J36,0)</x:f>
        <x:v>91164.58889676166</x:v>
      </x:c>
      <x:c r="N36" s="100" t="n">
        <x:f aca="0">IF(AND(A36&gt;=S08_Defaults!$B$11,A36&lt;=S08_Defaults!$B$12),K36-L36,0)</x:f>
        <x:v>131229.66578417443</x:v>
      </x:c>
      <x:c r="O36" s="37" t="s">
        <x:v>1271</x:v>
      </x:c>
    </x:row>
    <x:row r="37" ht="15" hidden="0" customHeight="1">
      <x:c r="A37" s="37" t="n">
        <x:v>2037</x:v>
      </x:c>
      <x:c r="B37" s="100" t="n">
        <x:f aca="0">SUM(S18_Deserts_Xeric_ER!W4,S18_Deserts_Xeric_ER!W5,S18_Deserts_Xeric_ER!W6,S18_Deserts_Xeric_ER!W7)</x:f>
        <x:v>139595.79945749295</x:v>
      </x:c>
      <x:c r="C37" s="100" t="n">
        <x:f aca="0">SUM(S18_Deserts_Xeric_ER!AR4,S18_Deserts_Xeric_ER!AR5,S18_Deserts_Xeric_ER!AR6,S18_Deserts_Xeric_ER!AR7)</x:f>
        <x:v>137894.46576601273</x:v>
      </x:c>
      <x:c r="D37" s="100" t="n">
        <x:f aca="0">IF($B$4=0,0,S33_Project_Deductions!D21*$B$4/S08_Defaults!$B$14)</x:f>
        <x:v>34198.056674860214</x:v>
      </x:c>
      <x:c r="E37" s="100" t="n">
        <x:f aca="0">IF($B$4=0,0,S33_Project_Deductions!E21*$B$4/S08_Defaults!$B$14)</x:f>
        <x:v>8008.517130062977</x:v>
      </x:c>
      <x:c r="F37" s="100" t="n">
        <x:f aca="0">S08_Defaults!$B$9</x:f>
        <x:v>0.2</x:v>
      </x:c>
      <x:c r="G37" s="100" t="n">
        <x:f aca="0">C37*(1-F37)-D37-E37</x:f>
        <x:v>68108.998807887</x:v>
      </x:c>
      <x:c r="H37" s="100" t="n">
        <x:f aca="0">G37-G36</x:f>
        <x:v>4469.839743865756</x:v>
      </x:c>
      <x:c r="I37" s="100" t="n">
        <x:f aca="0">H37/1</x:f>
        <x:v>4469.839743865756</x:v>
      </x:c>
      <x:c r="J37" s="100" t="n">
        <x:f aca="0">B37-D37-E37</x:f>
        <x:v>97389.22565256976</x:v>
      </x:c>
      <x:c r="K37" s="100" t="n">
        <x:f aca="0">B37</x:f>
        <x:v>139595.79945749295</x:v>
      </x:c>
      <x:c r="L37" s="100" t="n">
        <x:f aca="0">0</x:f>
        <x:v>0</x:v>
      </x:c>
      <x:c r="M37" s="100" t="n">
        <x:f aca="0">IF(AND(A37&gt;=S08_Defaults!$B$11,A37&lt;=S08_Defaults!$B$12),J37,0)</x:f>
        <x:v>97389.22565256976</x:v>
      </x:c>
      <x:c r="N37" s="100" t="n">
        <x:f aca="0">IF(AND(A37&gt;=S08_Defaults!$B$11,A37&lt;=S08_Defaults!$B$12),K37-L37,0)</x:f>
        <x:v>139595.79945749295</x:v>
      </x:c>
      <x:c r="O37" s="37" t="s">
        <x:v>1271</x:v>
      </x:c>
    </x:row>
    <x:row r="38" ht="15" hidden="0" customHeight="1">
      <x:c r="A38" s="37" t="n">
        <x:v>2038</x:v>
      </x:c>
      <x:c r="B38" s="100" t="n">
        <x:f aca="0">SUM(S18_Deserts_Xeric_ER!X4,S18_Deserts_Xeric_ER!X5,S18_Deserts_Xeric_ER!X6,S18_Deserts_Xeric_ER!X7)</x:f>
        <x:v>147163.73197575074</x:v>
      </x:c>
      <x:c r="C38" s="100" t="n">
        <x:f aca="0">SUM(S18_Deserts_Xeric_ER!AS4,S18_Deserts_Xeric_ER!AS5,S18_Deserts_Xeric_ER!AS6,S18_Deserts_Xeric_ER!AS7)</x:f>
        <x:v>145370.1635707749</x:v>
      </x:c>
      <x:c r="D38" s="100" t="n">
        <x:f aca="0">IF($B$4=0,0,S33_Project_Deductions!D22*$B$4/S08_Defaults!$B$14)</x:f>
        <x:v>36339.553592370634</x:v>
      </x:c>
      <x:c r="E38" s="100" t="n">
        <x:f aca="0">IF($B$4=0,0,S33_Project_Deductions!E22*$B$4/S08_Defaults!$B$14)</x:f>
        <x:v>8008.517130062977</x:v>
      </x:c>
      <x:c r="F38" s="100" t="n">
        <x:f aca="0">S08_Defaults!$B$9</x:f>
        <x:v>0.2</x:v>
      </x:c>
      <x:c r="G38" s="100" t="n">
        <x:f aca="0">C38*(1-F38)-D38-E38</x:f>
        <x:v>71948.06013418631</x:v>
      </x:c>
      <x:c r="H38" s="100" t="n">
        <x:f aca="0">G38-G37</x:f>
        <x:v>3839.061326299314</x:v>
      </x:c>
      <x:c r="I38" s="100" t="n">
        <x:f aca="0">H38/1</x:f>
        <x:v>3839.061326299314</x:v>
      </x:c>
      <x:c r="J38" s="100" t="n">
        <x:f aca="0">B38-D38-E38</x:f>
        <x:v>102815.66125331713</x:v>
      </x:c>
      <x:c r="K38" s="100" t="n">
        <x:f aca="0">B38</x:f>
        <x:v>147163.73197575074</x:v>
      </x:c>
      <x:c r="L38" s="100" t="n">
        <x:f aca="0">0</x:f>
        <x:v>0</x:v>
      </x:c>
      <x:c r="M38" s="100" t="n">
        <x:f aca="0">IF(AND(A38&gt;=S08_Defaults!$B$11,A38&lt;=S08_Defaults!$B$12),J38,0)</x:f>
        <x:v>102815.66125331713</x:v>
      </x:c>
      <x:c r="N38" s="100" t="n">
        <x:f aca="0">IF(AND(A38&gt;=S08_Defaults!$B$11,A38&lt;=S08_Defaults!$B$12),K38-L38,0)</x:f>
        <x:v>147163.73197575074</x:v>
      </x:c>
      <x:c r="O38" s="37" t="s">
        <x:v>1271</x:v>
      </x:c>
    </x:row>
    <x:row r="39" ht="15" hidden="0" customHeight="1">
      <x:c r="A39" s="37" t="n">
        <x:v>2039</x:v>
      </x:c>
      <x:c r="B39" s="100" t="n">
        <x:f aca="0">SUM(S18_Deserts_Xeric_ER!Y4,S18_Deserts_Xeric_ER!Y5,S18_Deserts_Xeric_ER!Y6,S18_Deserts_Xeric_ER!Y7)</x:f>
        <x:v>153973.2735537149</x:v>
      </x:c>
      <x:c r="C39" s="100" t="n">
        <x:f aca="0">SUM(S18_Deserts_Xeric_ER!AT4,S18_Deserts_Xeric_ER!AT5,S18_Deserts_Xeric_ER!AT6,S18_Deserts_Xeric_ER!AT7)</x:f>
        <x:v>152096.7133785343</x:v>
      </x:c>
      <x:c r="D39" s="100" t="n">
        <x:f aca="0">IF($B$4=0,0,S33_Project_Deductions!D23*$B$4/S08_Defaults!$B$14)</x:f>
        <x:v>38481.05050988105</x:v>
      </x:c>
      <x:c r="E39" s="100" t="n">
        <x:f aca="0">IF($B$4=0,0,S33_Project_Deductions!E23*$B$4/S08_Defaults!$B$14)</x:f>
        <x:v>8008.517130062977</x:v>
      </x:c>
      <x:c r="F39" s="100" t="n">
        <x:f aca="0">S08_Defaults!$B$9</x:f>
        <x:v>0.2</x:v>
      </x:c>
      <x:c r="G39" s="100" t="n">
        <x:f aca="0">C39*(1-F39)-D39-E39</x:f>
        <x:v>75187.80306288342</x:v>
      </x:c>
      <x:c r="H39" s="100" t="n">
        <x:f aca="0">G39-G38</x:f>
        <x:v>3239.7429286971164</x:v>
      </x:c>
      <x:c r="I39" s="100" t="n">
        <x:f aca="0">H39/1</x:f>
        <x:v>3239.7429286971164</x:v>
      </x:c>
      <x:c r="J39" s="100" t="n">
        <x:f aca="0">B39-D39-E39</x:f>
        <x:v>107483.70591377089</x:v>
      </x:c>
      <x:c r="K39" s="100" t="n">
        <x:f aca="0">B39</x:f>
        <x:v>153973.2735537149</x:v>
      </x:c>
      <x:c r="L39" s="100" t="n">
        <x:f aca="0">0</x:f>
        <x:v>0</x:v>
      </x:c>
      <x:c r="M39" s="100" t="n">
        <x:f aca="0">IF(AND(A39&gt;=S08_Defaults!$B$11,A39&lt;=S08_Defaults!$B$12),J39,0)</x:f>
        <x:v>107483.70591377089</x:v>
      </x:c>
      <x:c r="N39" s="100" t="n">
        <x:f aca="0">IF(AND(A39&gt;=S08_Defaults!$B$11,A39&lt;=S08_Defaults!$B$12),K39-L39,0)</x:f>
        <x:v>153973.2735537149</x:v>
      </x:c>
      <x:c r="O39" s="37" t="s">
        <x:v>1271</x:v>
      </x:c>
    </x:row>
    <x:row r="40" ht="15" hidden="0" customHeight="1">
      <x:c r="A40" s="37" t="n">
        <x:v>2040</x:v>
      </x:c>
      <x:c r="B40" s="100" t="n">
        <x:f aca="0">SUM(S18_Deserts_Xeric_ER!Z4,S18_Deserts_Xeric_ER!Z5,S18_Deserts_Xeric_ER!Z6,S18_Deserts_Xeric_ER!Z7)</x:f>
        <x:v>160073.7528528629</x:v>
      </x:c>
      <x:c r="C40" s="100" t="n">
        <x:f aca="0">SUM(S18_Deserts_Xeric_ER!AU4,S18_Deserts_Xeric_ER!AU5,S18_Deserts_Xeric_ER!AU6,S18_Deserts_Xeric_ER!AU7)</x:f>
        <x:v>158122.84265421343</x:v>
      </x:c>
      <x:c r="D40" s="100" t="n">
        <x:f aca="0">IF($B$4=0,0,S33_Project_Deductions!D24*$B$4/S08_Defaults!$B$14)</x:f>
        <x:v>40622.54742739148</x:v>
      </x:c>
      <x:c r="E40" s="100" t="n">
        <x:f aca="0">IF($B$4=0,0,S33_Project_Deductions!E24*$B$4/S08_Defaults!$B$14)</x:f>
        <x:v>8008.517130062977</x:v>
      </x:c>
      <x:c r="F40" s="100" t="n">
        <x:f aca="0">S08_Defaults!$B$9</x:f>
        <x:v>0.2</x:v>
      </x:c>
      <x:c r="G40" s="100" t="n">
        <x:f aca="0">C40*(1-F40)-D40-E40</x:f>
        <x:v>77867.2095659163</x:v>
      </x:c>
      <x:c r="H40" s="100" t="n">
        <x:f aca="0">G40-G39</x:f>
        <x:v>2679.4065030328784</x:v>
      </x:c>
      <x:c r="I40" s="100" t="n">
        <x:f aca="0">H40/1</x:f>
        <x:v>2679.4065030328784</x:v>
      </x:c>
      <x:c r="J40" s="100" t="n">
        <x:f aca="0">B40-D40-E40</x:f>
        <x:v>111442.68829540844</x:v>
      </x:c>
      <x:c r="K40" s="100" t="n">
        <x:f aca="0">B40</x:f>
        <x:v>160073.7528528629</x:v>
      </x:c>
      <x:c r="L40" s="100" t="n">
        <x:f aca="0">0</x:f>
        <x:v>0</x:v>
      </x:c>
      <x:c r="M40" s="100" t="n">
        <x:f aca="0">IF(AND(A40&gt;=S08_Defaults!$B$11,A40&lt;=S08_Defaults!$B$12),J40,0)</x:f>
        <x:v>111442.68829540844</x:v>
      </x:c>
      <x:c r="N40" s="100" t="n">
        <x:f aca="0">IF(AND(A40&gt;=S08_Defaults!$B$11,A40&lt;=S08_Defaults!$B$12),K40-L40,0)</x:f>
        <x:v>160073.7528528629</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Deserts &amp; Xeric Shrublands | Fruit Orchard (5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15" hidden="0" customHeight="1">
      <x:c r="A46" s="125" t="s">
        <x:v>546</x:v>
      </x:c>
      <x:c r="B46" s="198" t="s">
        <x:v>542</x:v>
      </x:c>
      <x:c r="C46" s="198" t="n">
        <x:v>2020</x:v>
      </x:c>
      <x:c r="D46" s="198" t="n">
        <x:v>2.18</x:v>
      </x:c>
      <x:c r="E46" s="198" t="s">
        <x:v>547</x:v>
      </x:c>
      <x:c r="F46" s="198" t="s">
        <x:v>545</x:v>
      </x:c>
      <x:c r="G46" s="1"/>
      <x:c r="H46" s="1"/>
      <x:c r="I46" s="1"/>
      <x:c r="J46" s="1"/>
      <x:c r="K46" s="1"/>
      <x:c r="L46" s="1"/>
      <x:c r="M46" s="1"/>
      <x:c r="N46" s="1"/>
      <x:c r="O46" s="1"/>
    </x:row>
    <x:row r="47" ht="21.75" hidden="0" customHeight="1">
      <x:c r="A47" s="125" t="s">
        <x:v>563</x:v>
      </x:c>
      <x:c r="B47" s="198" t="s">
        <x:v>542</x:v>
      </x:c>
      <x:c r="C47" s="198" t="n">
        <x:v>2022</x:v>
      </x:c>
      <x:c r="D47" s="198" t="n">
        <x:v>0.7879</x:v>
      </x:c>
      <x:c r="E47" s="198" t="s">
        <x:v>564</x:v>
      </x:c>
      <x:c r="F47" s="198" t="s">
        <x:v>565</x:v>
      </x:c>
      <x:c r="G47" s="1"/>
      <x:c r="H47" s="1"/>
      <x:c r="I47" s="1"/>
      <x:c r="J47" s="1"/>
      <x:c r="K47" s="1"/>
      <x:c r="L47" s="1"/>
      <x:c r="M47" s="1"/>
      <x:c r="N47" s="1"/>
      <x:c r="O47" s="1"/>
    </x:row>
    <x:row r="48" ht="21.75" hidden="0" customHeight="1">
      <x:c r="A48" s="125" t="s">
        <x:v>552</x:v>
      </x:c>
      <x:c r="B48" s="198" t="s">
        <x:v>553</x:v>
      </x:c>
      <x:c r="C48" s="198" t="n">
        <x:v>2020</x:v>
      </x:c>
      <x:c r="D48" s="198" t="n">
        <x:v>0.674</x:v>
      </x:c>
      <x:c r="E48" s="198" t="s">
        <x:v>554</x:v>
      </x:c>
      <x:c r="F48" s="198" t="s">
        <x:v>555</x:v>
      </x:c>
      <x:c r="G48" s="1"/>
      <x:c r="H48" s="1"/>
      <x:c r="I48" s="1"/>
      <x:c r="J48" s="1"/>
      <x:c r="K48" s="1"/>
      <x:c r="L48" s="1"/>
      <x:c r="M48" s="1"/>
      <x:c r="N48" s="1"/>
      <x:c r="O48" s="1"/>
    </x:row>
    <x:row r="49" ht="21.75" hidden="0" customHeight="1">
      <x:c r="A49" s="125" t="s">
        <x:v>558</x:v>
      </x:c>
      <x:c r="B49" s="198" t="s">
        <x:v>553</x:v>
      </x:c>
      <x:c r="C49" s="198" t="n">
        <x:v>2021</x:v>
      </x:c>
      <x:c r="D49" s="198" t="n">
        <x:v>2.0529</x:v>
      </x:c>
      <x:c r="E49" s="198" t="s">
        <x:v>559</x:v>
      </x:c>
      <x:c r="F49" s="198" t="s">
        <x:v>560</x:v>
      </x:c>
      <x:c r="G49" s="1"/>
      <x:c r="H49" s="1"/>
      <x:c r="I49" s="1"/>
      <x:c r="J49" s="1"/>
      <x:c r="K49" s="1"/>
      <x:c r="L49" s="1"/>
      <x:c r="M49" s="1"/>
      <x:c r="N49" s="1"/>
      <x:c r="O49" s="1"/>
    </x:row>
    <x:row r="50" ht="21.75" hidden="0" customHeight="1">
      <x:c r="A50" s="125" t="s">
        <x:v>566</x:v>
      </x:c>
      <x:c r="B50" s="198" t="s">
        <x:v>553</x:v>
      </x:c>
      <x:c r="C50" s="198" t="n">
        <x:v>2022</x:v>
      </x:c>
      <x:c r="D50" s="198" t="n">
        <x:v>1.5855</x:v>
      </x:c>
      <x:c r="E50" s="198" t="s">
        <x:v>567</x:v>
      </x:c>
      <x:c r="F50" s="198" t="s">
        <x:v>568</x:v>
      </x:c>
      <x:c r="G50" s="1"/>
      <x:c r="H50" s="1"/>
      <x:c r="I50" s="1"/>
      <x:c r="J50" s="1"/>
      <x:c r="K50" s="1"/>
      <x:c r="L50" s="1"/>
      <x:c r="M50" s="1"/>
      <x:c r="N50" s="1"/>
      <x:c r="O50" s="1"/>
    </x:row>
  </x:sheetData>
  <x:mergeCells>
    <x:mergeCell ref="A1:N1"/>
    <x:mergeCell ref="A43:F43"/>
    <x:mergeCell ref="A44:F44"/>
  </x:mergeCells>
  <x:pageMargins left="0.7" right="0.7" top="0.75" bottom="0.75" header="0.3" footer="0.3"/>
</x:worksheet>
</file>

<file path=xl/worksheets/sheet22.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Deserts &amp; Xeric Shrublands | Horti-Silviculture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SUM(S18_Deserts_Xeric_ER!C8,S18_Deserts_Xeric_ER!C9,S18_Deserts_Xeric_ER!C10,S18_Deserts_Xeric_ER!C11)</x:f>
        <x:v>14.331</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3561.411138748539</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1965.8090655333137</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2333.248117108439</x:v>
      </x:c>
      <x:c r="C7" s="37" t="s">
        <x:v>151</x:v>
      </x:c>
      <x:c r="D7" s="37" t="s">
        <x:v>1242</x:v>
      </x:c>
      <x:c r="E7" s="1"/>
      <x:c r="F7" s="1"/>
      <x:c r="G7" s="1"/>
      <x:c r="H7" s="1"/>
      <x:c r="I7" s="1"/>
      <x:c r="J7" s="1"/>
      <x:c r="K7" s="1"/>
      <x:c r="L7" s="1"/>
      <x:c r="M7" s="1"/>
      <x:c r="N7" s="1"/>
      <x:c r="O7" s="1"/>
    </x:row>
    <x:row r="8" ht="15" hidden="0" customHeight="1">
      <x:c r="A8" s="193" t="s">
        <x:v>1243</x:v>
      </x:c>
      <x:c r="B8" s="194" t="n">
        <x:f aca="0">MAX(0,MIN(B5,B6))</x:f>
        <x:v>1965.8090655333137</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1965.8090655333137</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393.16181310666275</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1572.647252426651</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109.73743998511277</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5.486871999255639</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IF(AND("Deserts &amp; Xeric Shrublands"="Tropical &amp; Subtropical Dry Broadleaf Forests","Horti-Silviculture"="Timber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SUM(S18_Deserts_Xeric_ER!F8,S18_Deserts_Xeric_ER!F9,S18_Deserts_Xeric_ER!F10,S18_Deserts_Xeric_ER!F11)</x:f>
        <x:v>0</x:v>
      </x:c>
      <x:c r="C20" s="100" t="n">
        <x:f aca="0">SUM(S18_Deserts_Xeric_ER!AA8,S18_Deserts_Xeric_ER!AA9,S18_Deserts_Xeric_ER!AA10,S18_Deserts_Xeric_ER!AA11)</x:f>
        <x:v>0</x:v>
      </x:c>
      <x:c r="D20" s="100" t="n">
        <x:f aca="0">IF($B$4=0,0,S33_Project_Deductions!D4*$B$4/S08_Defaults!$B$14)</x:f>
        <x:v>4.677355378265215</x:v>
      </x:c>
      <x:c r="E20" s="100" t="n">
        <x:f aca="0">IF($B$4=0,0,S33_Project_Deductions!E4*$B$4/S08_Defaults!$B$14)</x:f>
        <x:v>21.402777782373978</x:v>
      </x:c>
      <x:c r="F20" s="100" t="n">
        <x:f aca="0">S08_Defaults!$B$9</x:f>
        <x:v>0.2</x:v>
      </x:c>
      <x:c r="G20" s="100" t="n">
        <x:f aca="0">C20*(1-F20)-D20-E20</x:f>
        <x:v>-26.080133160639193</x:v>
      </x:c>
      <x:c r="H20" s="100" t="n">
        <x:f aca="0">G20</x:f>
        <x:v>-26.080133160639193</x:v>
      </x:c>
      <x:c r="I20" s="100" t="n">
        <x:f aca="0">H20/1</x:f>
        <x:v>-26.080133160639193</x:v>
      </x:c>
      <x:c r="J20" s="100" t="n">
        <x:f aca="0">B20-D20-E20</x:f>
        <x:v>-26.080133160639193</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SUM(S18_Deserts_Xeric_ER!G8,S18_Deserts_Xeric_ER!G9,S18_Deserts_Xeric_ER!G10,S18_Deserts_Xeric_ER!G11)</x:f>
        <x:v>0</x:v>
      </x:c>
      <x:c r="C21" s="100" t="n">
        <x:f aca="0">SUM(S18_Deserts_Xeric_ER!AB8,S18_Deserts_Xeric_ER!AB9,S18_Deserts_Xeric_ER!AB10,S18_Deserts_Xeric_ER!AB11)</x:f>
        <x:v>0</x:v>
      </x:c>
      <x:c r="D21" s="100" t="n">
        <x:f aca="0">IF($B$4=0,0,S33_Project_Deductions!D5*$B$4/S08_Defaults!$B$14)</x:f>
        <x:v>15.23044750150075</x:v>
      </x:c>
      <x:c r="E21" s="100" t="n">
        <x:f aca="0">IF($B$4=0,0,S33_Project_Deductions!E5*$B$4/S08_Defaults!$B$14)</x:f>
        <x:v>42.22945446743162</x:v>
      </x:c>
      <x:c r="F21" s="100" t="n">
        <x:f aca="0">S08_Defaults!$B$9</x:f>
        <x:v>0.2</x:v>
      </x:c>
      <x:c r="G21" s="100" t="n">
        <x:f aca="0">C21*(1-F21)-D21-E21</x:f>
        <x:v>-57.45990196893237</x:v>
      </x:c>
      <x:c r="H21" s="100" t="n">
        <x:f aca="0">G21-G20</x:f>
        <x:v>-31.37976880829318</x:v>
      </x:c>
      <x:c r="I21" s="100" t="n">
        <x:f aca="0">H21/1</x:f>
        <x:v>-31.37976880829318</x:v>
      </x:c>
      <x:c r="J21" s="100" t="n">
        <x:f aca="0">B21-D21-E21</x:f>
        <x:v>-57.45990196893237</x:v>
      </x:c>
      <x:c r="K21" s="100" t="n">
        <x:f aca="0">B21</x:f>
        <x:v>0</x:v>
      </x:c>
      <x:c r="L21" s="100" t="n">
        <x:f aca="0">0</x:f>
        <x:v>0</x:v>
      </x:c>
      <x:c r="M21" s="100" t="n">
        <x:f aca="0">IF(AND(A21&gt;=S08_Defaults!$B$11,A21&lt;=S08_Defaults!$B$12),J21,0)</x:f>
        <x:v>-57.45990196893237</x:v>
      </x:c>
      <x:c r="N21" s="100" t="n">
        <x:f aca="0">IF(AND(A21&gt;=S08_Defaults!$B$11,A21&lt;=S08_Defaults!$B$12),K21-L21,0)</x:f>
        <x:v>0</x:v>
      </x:c>
      <x:c r="O21" s="37" t="s">
        <x:v>1271</x:v>
      </x:c>
    </x:row>
    <x:row r="22" ht="15" hidden="0" customHeight="1">
      <x:c r="A22" s="37" t="n">
        <x:v>2022</x:v>
      </x:c>
      <x:c r="B22" s="100" t="n">
        <x:f aca="0">SUM(S18_Deserts_Xeric_ER!H8,S18_Deserts_Xeric_ER!H9,S18_Deserts_Xeric_ER!H10,S18_Deserts_Xeric_ER!H11)</x:f>
        <x:v>1.5070603051407219</x:v>
      </x:c>
      <x:c r="C22" s="100" t="n">
        <x:f aca="0">SUM(S18_Deserts_Xeric_ER!AC8,S18_Deserts_Xeric_ER!AC9,S18_Deserts_Xeric_ER!AC10,S18_Deserts_Xeric_ER!AC11)</x:f>
        <x:v>1.4886929009480974</x:v>
      </x:c>
      <x:c r="D22" s="100" t="n">
        <x:f aca="0">IF($B$4=0,0,S33_Project_Deductions!D6*$B$4/S08_Defaults!$B$14)</x:f>
        <x:v>32.65411062614796</x:v>
      </x:c>
      <x:c r="E22" s="100" t="n">
        <x:f aca="0">IF($B$4=0,0,S33_Project_Deductions!E6*$B$4/S08_Defaults!$B$14)</x:f>
        <x:v>63.502882947699334</x:v>
      </x:c>
      <x:c r="F22" s="100" t="n">
        <x:f aca="0">S08_Defaults!$B$9</x:f>
        <x:v>0.2</x:v>
      </x:c>
      <x:c r="G22" s="100" t="n">
        <x:f aca="0">C22*(1-F22)-D22-E22</x:f>
        <x:v>-94.96603925308881</x:v>
      </x:c>
      <x:c r="H22" s="100" t="n">
        <x:f aca="0">G22-G21</x:f>
        <x:v>-37.50613728415644</x:v>
      </x:c>
      <x:c r="I22" s="100" t="n">
        <x:f aca="0">H22/1</x:f>
        <x:v>-37.50613728415644</x:v>
      </x:c>
      <x:c r="J22" s="100" t="n">
        <x:f aca="0">B22-D22-E22</x:f>
        <x:v>-94.64993326870658</x:v>
      </x:c>
      <x:c r="K22" s="100" t="n">
        <x:f aca="0">B22</x:f>
        <x:v>1.5070603051407219</x:v>
      </x:c>
      <x:c r="L22" s="100" t="n">
        <x:f aca="0">0</x:f>
        <x:v>0</x:v>
      </x:c>
      <x:c r="M22" s="100" t="n">
        <x:f aca="0">IF(AND(A22&gt;=S08_Defaults!$B$11,A22&lt;=S08_Defaults!$B$12),J22,0)</x:f>
        <x:v>-94.64993326870658</x:v>
      </x:c>
      <x:c r="N22" s="100" t="n">
        <x:f aca="0">IF(AND(A22&gt;=S08_Defaults!$B$11,A22&lt;=S08_Defaults!$B$12),K22-L22,0)</x:f>
        <x:v>1.5070603051407219</x:v>
      </x:c>
      <x:c r="O22" s="37" t="s">
        <x:v>1271</x:v>
      </x:c>
    </x:row>
    <x:row r="23" ht="15" hidden="0" customHeight="1">
      <x:c r="A23" s="37" t="n">
        <x:v>2023</x:v>
      </x:c>
      <x:c r="B23" s="100" t="n">
        <x:f aca="0">SUM(S18_Deserts_Xeric_ER!I8,S18_Deserts_Xeric_ER!I9,S18_Deserts_Xeric_ER!I10,S18_Deserts_Xeric_ER!I11)</x:f>
        <x:v>19.384410790634877</x:v>
      </x:c>
      <x:c r="C23" s="100" t="n">
        <x:f aca="0">SUM(S18_Deserts_Xeric_ER!AD8,S18_Deserts_Xeric_ER!AD9,S18_Deserts_Xeric_ER!AD10,S18_Deserts_Xeric_ER!AD11)</x:f>
        <x:v>19.148161911400933</x:v>
      </x:c>
      <x:c r="D23" s="100" t="n">
        <x:f aca="0">IF($B$4=0,0,S33_Project_Deductions!D7*$B$4/S08_Defaults!$B$14)</x:f>
        <x:v>57.117421602870806</x:v>
      </x:c>
      <x:c r="E23" s="100" t="n">
        <x:f aca="0">IF($B$4=0,0,S33_Project_Deductions!E7*$B$4/S08_Defaults!$B$14)</x:f>
        <x:v>84.86716459371807</x:v>
      </x:c>
      <x:c r="F23" s="100" t="n">
        <x:f aca="0">S08_Defaults!$B$9</x:f>
        <x:v>0.2</x:v>
      </x:c>
      <x:c r="G23" s="100" t="n">
        <x:f aca="0">C23*(1-F23)-D23-E23</x:f>
        <x:v>-126.66605666746813</x:v>
      </x:c>
      <x:c r="H23" s="100" t="n">
        <x:f aca="0">G23-G22</x:f>
        <x:v>-31.700017414379317</x:v>
      </x:c>
      <x:c r="I23" s="100" t="n">
        <x:f aca="0">H23/1</x:f>
        <x:v>-31.700017414379317</x:v>
      </x:c>
      <x:c r="J23" s="100" t="n">
        <x:f aca="0">B23-D23-E23</x:f>
        <x:v>-122.600175405954</x:v>
      </x:c>
      <x:c r="K23" s="100" t="n">
        <x:f aca="0">B23</x:f>
        <x:v>19.384410790634877</x:v>
      </x:c>
      <x:c r="L23" s="100" t="n">
        <x:f aca="0">0</x:f>
        <x:v>0</x:v>
      </x:c>
      <x:c r="M23" s="100" t="n">
        <x:f aca="0">IF(AND(A23&gt;=S08_Defaults!$B$11,A23&lt;=S08_Defaults!$B$12),J23,0)</x:f>
        <x:v>-122.600175405954</x:v>
      </x:c>
      <x:c r="N23" s="100" t="n">
        <x:f aca="0">IF(AND(A23&gt;=S08_Defaults!$B$11,A23&lt;=S08_Defaults!$B$12),K23-L23,0)</x:f>
        <x:v>19.384410790634877</x:v>
      </x:c>
      <x:c r="O23" s="37" t="s">
        <x:v>1271</x:v>
      </x:c>
    </x:row>
    <x:row r="24" ht="15" hidden="0" customHeight="1">
      <x:c r="A24" s="37" t="n">
        <x:v>2024</x:v>
      </x:c>
      <x:c r="B24" s="100" t="n">
        <x:f aca="0">SUM(S18_Deserts_Xeric_ER!J8,S18_Deserts_Xeric_ER!J9,S18_Deserts_Xeric_ER!J10,S18_Deserts_Xeric_ER!J11)</x:f>
        <x:v>89.72471329256649</x:v>
      </x:c>
      <x:c r="C24" s="100" t="n">
        <x:f aca="0">SUM(S18_Deserts_Xeric_ER!AE8,S18_Deserts_Xeric_ER!AE9,S18_Deserts_Xeric_ER!AE10,S18_Deserts_Xeric_ER!AE11)</x:f>
        <x:v>88.63118699538356</x:v>
      </x:c>
      <x:c r="D24" s="100" t="n">
        <x:f aca="0">IF($B$4=0,0,S33_Project_Deductions!D8*$B$4/S08_Defaults!$B$14)</x:f>
        <x:v>83.95488760988822</x:v>
      </x:c>
      <x:c r="E24" s="100" t="n">
        <x:f aca="0">IF($B$4=0,0,S33_Project_Deductions!E8*$B$4/S08_Defaults!$B$14)</x:f>
        <x:v>105.48162164140653</x:v>
      </x:c>
      <x:c r="F24" s="100" t="n">
        <x:f aca="0">S08_Defaults!$B$9</x:f>
        <x:v>0.2</x:v>
      </x:c>
      <x:c r="G24" s="100" t="n">
        <x:f aca="0">C24*(1-F24)-D24-E24</x:f>
        <x:v>-118.5315596549879</x:v>
      </x:c>
      <x:c r="H24" s="100" t="n">
        <x:f aca="0">G24-G23</x:f>
        <x:v>8.134497012480224</x:v>
      </x:c>
      <x:c r="I24" s="100" t="n">
        <x:f aca="0">H24/1</x:f>
        <x:v>8.134497012480224</x:v>
      </x:c>
      <x:c r="J24" s="100" t="n">
        <x:f aca="0">B24-D24-E24</x:f>
        <x:v>-99.71179595872826</x:v>
      </x:c>
      <x:c r="K24" s="100" t="n">
        <x:f aca="0">B24</x:f>
        <x:v>89.72471329256649</x:v>
      </x:c>
      <x:c r="L24" s="100" t="n">
        <x:f aca="0">0</x:f>
        <x:v>0</x:v>
      </x:c>
      <x:c r="M24" s="100" t="n">
        <x:f aca="0">IF(AND(A24&gt;=S08_Defaults!$B$11,A24&lt;=S08_Defaults!$B$12),J24,0)</x:f>
        <x:v>-99.71179595872826</x:v>
      </x:c>
      <x:c r="N24" s="100" t="n">
        <x:f aca="0">IF(AND(A24&gt;=S08_Defaults!$B$11,A24&lt;=S08_Defaults!$B$12),K24-L24,0)</x:f>
        <x:v>89.72471329256649</x:v>
      </x:c>
      <x:c r="O24" s="37" t="s">
        <x:v>1271</x:v>
      </x:c>
    </x:row>
    <x:row r="25" ht="15" hidden="0" customHeight="1">
      <x:c r="A25" s="37" t="n">
        <x:v>2025</x:v>
      </x:c>
      <x:c r="B25" s="100" t="n">
        <x:f aca="0">SUM(S18_Deserts_Xeric_ER!K8,S18_Deserts_Xeric_ER!K9,S18_Deserts_Xeric_ER!K10,S18_Deserts_Xeric_ER!K11)</x:f>
        <x:v>241.7075161406402</x:v>
      </x:c>
      <x:c r="C25" s="100" t="n">
        <x:f aca="0">SUM(S18_Deserts_Xeric_ER!AF8,S18_Deserts_Xeric_ER!AF9,S18_Deserts_Xeric_ER!AF10,S18_Deserts_Xeric_ER!AF11)</x:f>
        <x:v>238.76168867095845</x:v>
      </x:c>
      <x:c r="D25" s="100" t="n">
        <x:f aca="0">IF($B$4=0,0,S33_Project_Deductions!D9*$B$4/S08_Defaults!$B$14)</x:f>
        <x:v>111.96812728049505</x:v>
      </x:c>
      <x:c r="E25" s="100" t="n">
        <x:f aca="0">IF($B$4=0,0,S33_Project_Deductions!E9*$B$4/S08_Defaults!$B$14)</x:f>
        <x:v>105.48162164140653</x:v>
      </x:c>
      <x:c r="F25" s="100" t="n">
        <x:f aca="0">S08_Defaults!$B$9</x:f>
        <x:v>0.2</x:v>
      </x:c>
      <x:c r="G25" s="100" t="n">
        <x:f aca="0">C25*(1-F25)-D25-E25</x:f>
        <x:v>-26.440397985134823</x:v>
      </x:c>
      <x:c r="H25" s="100" t="n">
        <x:f aca="0">G25-G24</x:f>
        <x:v>92.09116166985308</x:v>
      </x:c>
      <x:c r="I25" s="100" t="n">
        <x:f aca="0">H25/1</x:f>
        <x:v>92.09116166985308</x:v>
      </x:c>
      <x:c r="J25" s="100" t="n">
        <x:f aca="0">B25-D25-E25</x:f>
        <x:v>24.257767218738607</x:v>
      </x:c>
      <x:c r="K25" s="100" t="n">
        <x:f aca="0">B25</x:f>
        <x:v>241.7075161406402</x:v>
      </x:c>
      <x:c r="L25" s="100" t="n">
        <x:f aca="0">0</x:f>
        <x:v>0</x:v>
      </x:c>
      <x:c r="M25" s="100" t="n">
        <x:f aca="0">IF(AND(A25&gt;=S08_Defaults!$B$11,A25&lt;=S08_Defaults!$B$12),J25,0)</x:f>
        <x:v>24.257767218738607</x:v>
      </x:c>
      <x:c r="N25" s="100" t="n">
        <x:f aca="0">IF(AND(A25&gt;=S08_Defaults!$B$11,A25&lt;=S08_Defaults!$B$12),K25-L25,0)</x:f>
        <x:v>241.7075161406402</x:v>
      </x:c>
      <x:c r="O25" s="37" t="s">
        <x:v>1271</x:v>
      </x:c>
    </x:row>
    <x:row r="26" ht="15" hidden="0" customHeight="1">
      <x:c r="A26" s="37" t="n">
        <x:v>2026</x:v>
      </x:c>
      <x:c r="B26" s="100" t="n">
        <x:f aca="0">SUM(S18_Deserts_Xeric_ER!L8,S18_Deserts_Xeric_ER!L9,S18_Deserts_Xeric_ER!L10,S18_Deserts_Xeric_ER!L11)</x:f>
        <x:v>482.05712751705926</x:v>
      </x:c>
      <x:c r="C26" s="100" t="n">
        <x:f aca="0">SUM(S18_Deserts_Xeric_ER!AG8,S18_Deserts_Xeric_ER!AG9,S18_Deserts_Xeric_ER!AG10,S18_Deserts_Xeric_ER!AG11)</x:f>
        <x:v>476.18202213817085</x:v>
      </x:c>
      <x:c r="D26" s="100" t="n">
        <x:f aca="0">IF($B$4=0,0,S33_Project_Deductions!D10*$B$4/S08_Defaults!$B$14)</x:f>
        <x:v>140.16230635825</x:v>
      </x:c>
      <x:c r="E26" s="100" t="n">
        <x:f aca="0">IF($B$4=0,0,S33_Project_Deductions!E10*$B$4/S08_Defaults!$B$14)</x:f>
        <x:v>105.48162164140653</x:v>
      </x:c>
      <x:c r="F26" s="100" t="n">
        <x:f aca="0">S08_Defaults!$B$9</x:f>
        <x:v>0.2</x:v>
      </x:c>
      <x:c r="G26" s="100" t="n">
        <x:f aca="0">C26*(1-F26)-D26-E26</x:f>
        <x:v>135.30168971088017</x:v>
      </x:c>
      <x:c r="H26" s="100" t="n">
        <x:f aca="0">G26-G25</x:f>
        <x:v>161.742087696015</x:v>
      </x:c>
      <x:c r="I26" s="100" t="n">
        <x:f aca="0">H26/1</x:f>
        <x:v>161.742087696015</x:v>
      </x:c>
      <x:c r="J26" s="100" t="n">
        <x:f aca="0">B26-D26-E26</x:f>
        <x:v>236.4131995174027</x:v>
      </x:c>
      <x:c r="K26" s="100" t="n">
        <x:f aca="0">B26</x:f>
        <x:v>482.05712751705926</x:v>
      </x:c>
      <x:c r="L26" s="100" t="n">
        <x:f aca="0">0</x:f>
        <x:v>0</x:v>
      </x:c>
      <x:c r="M26" s="100" t="n">
        <x:f aca="0">IF(AND(A26&gt;=S08_Defaults!$B$11,A26&lt;=S08_Defaults!$B$12),J26,0)</x:f>
        <x:v>236.4131995174027</x:v>
      </x:c>
      <x:c r="N26" s="100" t="n">
        <x:f aca="0">IF(AND(A26&gt;=S08_Defaults!$B$11,A26&lt;=S08_Defaults!$B$12),K26-L26,0)</x:f>
        <x:v>482.05712751705926</x:v>
      </x:c>
      <x:c r="O26" s="37" t="s">
        <x:v>1271</x:v>
      </x:c>
    </x:row>
    <x:row r="27" ht="15" hidden="0" customHeight="1">
      <x:c r="A27" s="37" t="n">
        <x:v>2027</x:v>
      </x:c>
      <x:c r="B27" s="100" t="n">
        <x:f aca="0">SUM(S18_Deserts_Xeric_ER!M8,S18_Deserts_Xeric_ER!M9,S18_Deserts_Xeric_ER!M10,S18_Deserts_Xeric_ER!M11)</x:f>
        <x:v>799.3214023880843</x:v>
      </x:c>
      <x:c r="C27" s="100" t="n">
        <x:f aca="0">SUM(S18_Deserts_Xeric_ER!AH8,S18_Deserts_Xeric_ER!AH9,S18_Deserts_Xeric_ER!AH10,S18_Deserts_Xeric_ER!AH11)</x:f>
        <x:v>789.5796161918732</x:v>
      </x:c>
      <x:c r="D27" s="100" t="n">
        <x:f aca="0">IF($B$4=0,0,S33_Project_Deductions!D11*$B$4/S08_Defaults!$B$14)</x:f>
        <x:v>168.36834799248902</x:v>
      </x:c>
      <x:c r="E27" s="100" t="n">
        <x:f aca="0">IF($B$4=0,0,S33_Project_Deductions!E11*$B$4/S08_Defaults!$B$14)</x:f>
        <x:v>105.48162164140653</x:v>
      </x:c>
      <x:c r="F27" s="100" t="n">
        <x:f aca="0">S08_Defaults!$B$9</x:f>
        <x:v>0.2</x:v>
      </x:c>
      <x:c r="G27" s="100" t="n">
        <x:f aca="0">C27*(1-F27)-D27-E27</x:f>
        <x:v>357.81372331960307</x:v>
      </x:c>
      <x:c r="H27" s="100" t="n">
        <x:f aca="0">G27-G26</x:f>
        <x:v>222.5120336087229</x:v>
      </x:c>
      <x:c r="I27" s="100" t="n">
        <x:f aca="0">H27/1</x:f>
        <x:v>222.5120336087229</x:v>
      </x:c>
      <x:c r="J27" s="100" t="n">
        <x:f aca="0">B27-D27-E27</x:f>
        <x:v>525.4714327541888</x:v>
      </x:c>
      <x:c r="K27" s="100" t="n">
        <x:f aca="0">B27</x:f>
        <x:v>799.3214023880843</x:v>
      </x:c>
      <x:c r="L27" s="100" t="n">
        <x:f aca="0">0</x:f>
        <x:v>0</x:v>
      </x:c>
      <x:c r="M27" s="100" t="n">
        <x:f aca="0">IF(AND(A27&gt;=S08_Defaults!$B$11,A27&lt;=S08_Defaults!$B$12),J27,0)</x:f>
        <x:v>525.4714327541888</x:v>
      </x:c>
      <x:c r="N27" s="100" t="n">
        <x:f aca="0">IF(AND(A27&gt;=S08_Defaults!$B$11,A27&lt;=S08_Defaults!$B$12),K27-L27,0)</x:f>
        <x:v>799.3214023880843</x:v>
      </x:c>
      <x:c r="O27" s="37" t="s">
        <x:v>1271</x:v>
      </x:c>
    </x:row>
    <x:row r="28" ht="15" hidden="0" customHeight="1">
      <x:c r="A28" s="37" t="n">
        <x:v>2028</x:v>
      </x:c>
      <x:c r="B28" s="100" t="n">
        <x:f aca="0">SUM(S18_Deserts_Xeric_ER!N8,S18_Deserts_Xeric_ER!N9,S18_Deserts_Xeric_ER!N10,S18_Deserts_Xeric_ER!N11)</x:f>
        <x:v>1174.0926984449673</x:v>
      </x:c>
      <x:c r="C28" s="100" t="n">
        <x:f aca="0">SUM(S18_Deserts_Xeric_ER!AI8,S18_Deserts_Xeric_ER!AI9,S18_Deserts_Xeric_ER!AI10,S18_Deserts_Xeric_ER!AI11)</x:f>
        <x:v>1159.7833605383237</x:v>
      </x:c>
      <x:c r="D28" s="100" t="n">
        <x:f aca="0">IF($B$4=0,0,S33_Project_Deductions!D12*$B$4/S08_Defaults!$B$14)</x:f>
        <x:v>196.57438962672808</x:v>
      </x:c>
      <x:c r="E28" s="100" t="n">
        <x:f aca="0">IF($B$4=0,0,S33_Project_Deductions!E12*$B$4/S08_Defaults!$B$14)</x:f>
        <x:v>105.48162164140653</x:v>
      </x:c>
      <x:c r="F28" s="100" t="n">
        <x:f aca="0">S08_Defaults!$B$9</x:f>
        <x:v>0.2</x:v>
      </x:c>
      <x:c r="G28" s="100" t="n">
        <x:f aca="0">C28*(1-F28)-D28-E28</x:f>
        <x:v>625.7706771625244</x:v>
      </x:c>
      <x:c r="H28" s="100" t="n">
        <x:f aca="0">G28-G27</x:f>
        <x:v>267.95695384292134</x:v>
      </x:c>
      <x:c r="I28" s="100" t="n">
        <x:f aca="0">H28/1</x:f>
        <x:v>267.95695384292134</x:v>
      </x:c>
      <x:c r="J28" s="100" t="n">
        <x:f aca="0">B28-D28-E28</x:f>
        <x:v>872.0366871768326</x:v>
      </x:c>
      <x:c r="K28" s="100" t="n">
        <x:f aca="0">B28</x:f>
        <x:v>1174.0926984449673</x:v>
      </x:c>
      <x:c r="L28" s="100" t="n">
        <x:f aca="0">0</x:f>
        <x:v>0</x:v>
      </x:c>
      <x:c r="M28" s="100" t="n">
        <x:f aca="0">IF(AND(A28&gt;=S08_Defaults!$B$11,A28&lt;=S08_Defaults!$B$12),J28,0)</x:f>
        <x:v>872.0366871768326</x:v>
      </x:c>
      <x:c r="N28" s="100" t="n">
        <x:f aca="0">IF(AND(A28&gt;=S08_Defaults!$B$11,A28&lt;=S08_Defaults!$B$12),K28-L28,0)</x:f>
        <x:v>1174.0926984449673</x:v>
      </x:c>
      <x:c r="O28" s="37" t="s">
        <x:v>1271</x:v>
      </x:c>
    </x:row>
    <x:row r="29" ht="15" hidden="0" customHeight="1">
      <x:c r="A29" s="37" t="n">
        <x:v>2029</x:v>
      </x:c>
      <x:c r="B29" s="100" t="n">
        <x:f aca="0">SUM(S18_Deserts_Xeric_ER!O8,S18_Deserts_Xeric_ER!O9,S18_Deserts_Xeric_ER!O10,S18_Deserts_Xeric_ER!O11)</x:f>
        <x:v>1585.1616886458553</x:v>
      </x:c>
      <x:c r="C29" s="100" t="n">
        <x:f aca="0">SUM(S18_Deserts_Xeric_ER!AJ8,S18_Deserts_Xeric_ER!AJ9,S18_Deserts_Xeric_ER!AJ10,S18_Deserts_Xeric_ER!AJ11)</x:f>
        <x:v>1565.8424183109478</x:v>
      </x:c>
      <x:c r="D29" s="100" t="n">
        <x:f aca="0">IF($B$4=0,0,S33_Project_Deductions!D13*$B$4/S08_Defaults!$B$14)</x:f>
        <x:v>224.78043126096716</x:v>
      </x:c>
      <x:c r="E29" s="100" t="n">
        <x:f aca="0">IF($B$4=0,0,S33_Project_Deductions!E13*$B$4/S08_Defaults!$B$14)</x:f>
        <x:v>105.48162164140653</x:v>
      </x:c>
      <x:c r="F29" s="100" t="n">
        <x:f aca="0">S08_Defaults!$B$9</x:f>
        <x:v>0.2</x:v>
      </x:c>
      <x:c r="G29" s="100" t="n">
        <x:f aca="0">C29*(1-F29)-D29-E29</x:f>
        <x:v>922.4118817463848</x:v>
      </x:c>
      <x:c r="H29" s="100" t="n">
        <x:f aca="0">G29-G28</x:f>
        <x:v>296.6412045838604</x:v>
      </x:c>
      <x:c r="I29" s="100" t="n">
        <x:f aca="0">H29/1</x:f>
        <x:v>296.6412045838604</x:v>
      </x:c>
      <x:c r="J29" s="100" t="n">
        <x:f aca="0">B29-D29-E29</x:f>
        <x:v>1254.8996357434817</x:v>
      </x:c>
      <x:c r="K29" s="100" t="n">
        <x:f aca="0">B29</x:f>
        <x:v>1585.1616886458553</x:v>
      </x:c>
      <x:c r="L29" s="100" t="n">
        <x:f aca="0">0</x:f>
        <x:v>0</x:v>
      </x:c>
      <x:c r="M29" s="100" t="n">
        <x:f aca="0">IF(AND(A29&gt;=S08_Defaults!$B$11,A29&lt;=S08_Defaults!$B$12),J29,0)</x:f>
        <x:v>1254.8996357434817</x:v>
      </x:c>
      <x:c r="N29" s="100" t="n">
        <x:f aca="0">IF(AND(A29&gt;=S08_Defaults!$B$11,A29&lt;=S08_Defaults!$B$12),K29-L29,0)</x:f>
        <x:v>1585.1616886458553</x:v>
      </x:c>
      <x:c r="O29" s="37" t="s">
        <x:v>1271</x:v>
      </x:c>
    </x:row>
    <x:row r="30" ht="15" hidden="0" customHeight="1">
      <x:c r="A30" s="37" t="n">
        <x:v>2030</x:v>
      </x:c>
      <x:c r="B30" s="100" t="n">
        <x:f aca="0">SUM(S18_Deserts_Xeric_ER!P8,S18_Deserts_Xeric_ER!P9,S18_Deserts_Xeric_ER!P10,S18_Deserts_Xeric_ER!P11)</x:f>
        <x:v>2013.1824945840976</x:v>
      </x:c>
      <x:c r="C30" s="100" t="n">
        <x:f aca="0">SUM(S18_Deserts_Xeric_ER!AK8,S18_Deserts_Xeric_ER!AK9,S18_Deserts_Xeric_ER!AK10,S18_Deserts_Xeric_ER!AK11)</x:f>
        <x:v>1988.6466903661706</x:v>
      </x:c>
      <x:c r="D30" s="100" t="n">
        <x:f aca="0">IF($B$4=0,0,S33_Project_Deductions!D14*$B$4/S08_Defaults!$B$14)</x:f>
        <x:v>252.9864728952062</x:v>
      </x:c>
      <x:c r="E30" s="100" t="n">
        <x:f aca="0">IF($B$4=0,0,S33_Project_Deductions!E14*$B$4/S08_Defaults!$B$14)</x:f>
        <x:v>105.48162164140653</x:v>
      </x:c>
      <x:c r="F30" s="100" t="n">
        <x:f aca="0">S08_Defaults!$B$9</x:f>
        <x:v>0.2</x:v>
      </x:c>
      <x:c r="G30" s="100" t="n">
        <x:f aca="0">C30*(1-F30)-D30-E30</x:f>
        <x:v>1232.449257756324</x:v>
      </x:c>
      <x:c r="H30" s="100" t="n">
        <x:f aca="0">G30-G29</x:f>
        <x:v>310.0373760099392</x:v>
      </x:c>
      <x:c r="I30" s="100" t="n">
        <x:f aca="0">H30/1</x:f>
        <x:v>310.0373760099392</x:v>
      </x:c>
      <x:c r="J30" s="100" t="n">
        <x:f aca="0">B30-D30-E30</x:f>
        <x:v>1654.714400047485</x:v>
      </x:c>
      <x:c r="K30" s="100" t="n">
        <x:f aca="0">B30</x:f>
        <x:v>2013.1824945840976</x:v>
      </x:c>
      <x:c r="L30" s="100" t="n">
        <x:f aca="0">0</x:f>
        <x:v>0</x:v>
      </x:c>
      <x:c r="M30" s="100" t="n">
        <x:f aca="0">IF(AND(A30&gt;=S08_Defaults!$B$11,A30&lt;=S08_Defaults!$B$12),J30,0)</x:f>
        <x:v>1654.714400047485</x:v>
      </x:c>
      <x:c r="N30" s="100" t="n">
        <x:f aca="0">IF(AND(A30&gt;=S08_Defaults!$B$11,A30&lt;=S08_Defaults!$B$12),K30-L30,0)</x:f>
        <x:v>2013.1824945840976</x:v>
      </x:c>
      <x:c r="O30" s="37" t="s">
        <x:v>1271</x:v>
      </x:c>
    </x:row>
    <x:row r="31" ht="15" hidden="0" customHeight="1">
      <x:c r="A31" s="37" t="n">
        <x:v>2031</x:v>
      </x:c>
      <x:c r="B31" s="100" t="n">
        <x:f aca="0">SUM(S18_Deserts_Xeric_ER!Q8,S18_Deserts_Xeric_ER!Q9,S18_Deserts_Xeric_ER!Q10,S18_Deserts_Xeric_ER!Q11)</x:f>
        <x:v>2442.288237263885</x:v>
      </x:c>
      <x:c r="C31" s="100" t="n">
        <x:f aca="0">SUM(S18_Deserts_Xeric_ER!AL8,S18_Deserts_Xeric_ER!AL9,S18_Deserts_Xeric_ER!AL10,S18_Deserts_Xeric_ER!AL11)</x:f>
        <x:v>2412.52267641957</x:v>
      </x:c>
      <x:c r="D31" s="100" t="n">
        <x:f aca="0">IF($B$4=0,0,S33_Project_Deductions!D15*$B$4/S08_Defaults!$B$14)</x:f>
        <x:v>281.19251452944525</x:v>
      </x:c>
      <x:c r="E31" s="100" t="n">
        <x:f aca="0">IF($B$4=0,0,S33_Project_Deductions!E15*$B$4/S08_Defaults!$B$14)</x:f>
        <x:v>105.48162164140653</x:v>
      </x:c>
      <x:c r="F31" s="100" t="n">
        <x:f aca="0">S08_Defaults!$B$9</x:f>
        <x:v>0.2</x:v>
      </x:c>
      <x:c r="G31" s="100" t="n">
        <x:f aca="0">C31*(1-F31)-D31-E31</x:f>
        <x:v>1543.3440049648043</x:v>
      </x:c>
      <x:c r="H31" s="100" t="n">
        <x:f aca="0">G31-G30</x:f>
        <x:v>310.89474720848034</x:v>
      </x:c>
      <x:c r="I31" s="100" t="n">
        <x:f aca="0">H31/1</x:f>
        <x:v>310.89474720848034</x:v>
      </x:c>
      <x:c r="J31" s="100" t="n">
        <x:f aca="0">B31-D31-E31</x:f>
        <x:v>2055.6141010930332</x:v>
      </x:c>
      <x:c r="K31" s="100" t="n">
        <x:f aca="0">B31</x:f>
        <x:v>2442.288237263885</x:v>
      </x:c>
      <x:c r="L31" s="100" t="n">
        <x:f aca="0">0</x:f>
        <x:v>0</x:v>
      </x:c>
      <x:c r="M31" s="100" t="n">
        <x:f aca="0">IF(AND(A31&gt;=S08_Defaults!$B$11,A31&lt;=S08_Defaults!$B$12),J31,0)</x:f>
        <x:v>2055.6141010930332</x:v>
      </x:c>
      <x:c r="N31" s="100" t="n">
        <x:f aca="0">IF(AND(A31&gt;=S08_Defaults!$B$11,A31&lt;=S08_Defaults!$B$12),K31-L31,0)</x:f>
        <x:v>2442.288237263885</x:v>
      </x:c>
      <x:c r="O31" s="37" t="s">
        <x:v>1271</x:v>
      </x:c>
    </x:row>
    <x:row r="32" ht="15" hidden="0" customHeight="1">
      <x:c r="A32" s="37" t="n">
        <x:v>2032</x:v>
      </x:c>
      <x:c r="B32" s="100" t="n">
        <x:f aca="0">SUM(S18_Deserts_Xeric_ER!R8,S18_Deserts_Xeric_ER!R9,S18_Deserts_Xeric_ER!R10,S18_Deserts_Xeric_ER!R11)</x:f>
        <x:v>2860.461538767903</x:v>
      </x:c>
      <x:c r="C32" s="100" t="n">
        <x:f aca="0">SUM(S18_Deserts_Xeric_ER!AM8,S18_Deserts_Xeric_ER!AM9,S18_Deserts_Xeric_ER!AM10,S18_Deserts_Xeric_ER!AM11)</x:f>
        <x:v>2825.5994611982196</x:v>
      </x:c>
      <x:c r="D32" s="100" t="n">
        <x:f aca="0">IF($B$4=0,0,S33_Project_Deductions!D16*$B$4/S08_Defaults!$B$14)</x:f>
        <x:v>309.3985561636843</x:v>
      </x:c>
      <x:c r="E32" s="100" t="n">
        <x:f aca="0">IF($B$4=0,0,S33_Project_Deductions!E16*$B$4/S08_Defaults!$B$14)</x:f>
        <x:v>105.48162164140653</x:v>
      </x:c>
      <x:c r="F32" s="100" t="n">
        <x:f aca="0">S08_Defaults!$B$9</x:f>
        <x:v>0.2</x:v>
      </x:c>
      <x:c r="G32" s="100" t="n">
        <x:f aca="0">C32*(1-F32)-D32-E32</x:f>
        <x:v>1845.599391153485</x:v>
      </x:c>
      <x:c r="H32" s="100" t="n">
        <x:f aca="0">G32-G31</x:f>
        <x:v>302.25538618868063</x:v>
      </x:c>
      <x:c r="I32" s="100" t="n">
        <x:f aca="0">H32/1</x:f>
        <x:v>302.25538618868063</x:v>
      </x:c>
      <x:c r="J32" s="100" t="n">
        <x:f aca="0">B32-D32-E32</x:f>
        <x:v>2445.5813609628126</x:v>
      </x:c>
      <x:c r="K32" s="100" t="n">
        <x:f aca="0">B32</x:f>
        <x:v>2860.461538767903</x:v>
      </x:c>
      <x:c r="L32" s="100" t="n">
        <x:f aca="0">0</x:f>
        <x:v>0</x:v>
      </x:c>
      <x:c r="M32" s="100" t="n">
        <x:f aca="0">IF(AND(A32&gt;=S08_Defaults!$B$11,A32&lt;=S08_Defaults!$B$12),J32,0)</x:f>
        <x:v>2445.5813609628126</x:v>
      </x:c>
      <x:c r="N32" s="100" t="n">
        <x:f aca="0">IF(AND(A32&gt;=S08_Defaults!$B$11,A32&lt;=S08_Defaults!$B$12),K32-L32,0)</x:f>
        <x:v>2860.461538767903</x:v>
      </x:c>
      <x:c r="O32" s="37" t="s">
        <x:v>1271</x:v>
      </x:c>
    </x:row>
    <x:row r="33" ht="15" hidden="0" customHeight="1">
      <x:c r="A33" s="37" t="n">
        <x:v>2033</x:v>
      </x:c>
      <x:c r="B33" s="100" t="n">
        <x:f aca="0">SUM(S18_Deserts_Xeric_ER!S8,S18_Deserts_Xeric_ER!S9,S18_Deserts_Xeric_ER!S10,S18_Deserts_Xeric_ER!S11)</x:f>
        <x:v>3259.2524467736303</x:v>
      </x:c>
      <x:c r="C33" s="100" t="n">
        <x:f aca="0">SUM(S18_Deserts_Xeric_ER!AN8,S18_Deserts_Xeric_ER!AN9,S18_Deserts_Xeric_ER!AN10,S18_Deserts_Xeric_ER!AN11)</x:f>
        <x:v>3219.530076771919</x:v>
      </x:c>
      <x:c r="D33" s="100" t="n">
        <x:f aca="0">IF($B$4=0,0,S33_Project_Deductions!D17*$B$4/S08_Defaults!$B$14)</x:f>
        <x:v>337.6045977979233</x:v>
      </x:c>
      <x:c r="E33" s="100" t="n">
        <x:f aca="0">IF($B$4=0,0,S33_Project_Deductions!E17*$B$4/S08_Defaults!$B$14)</x:f>
        <x:v>105.48162164140653</x:v>
      </x:c>
      <x:c r="F33" s="100" t="n">
        <x:f aca="0">S08_Defaults!$B$9</x:f>
        <x:v>0.2</x:v>
      </x:c>
      <x:c r="G33" s="100" t="n">
        <x:f aca="0">C33*(1-F33)-D33-E33</x:f>
        <x:v>2132.5378419782055</x:v>
      </x:c>
      <x:c r="H33" s="100" t="n">
        <x:f aca="0">G33-G32</x:f>
        <x:v>286.9384508247206</x:v>
      </x:c>
      <x:c r="I33" s="100" t="n">
        <x:f aca="0">H33/1</x:f>
        <x:v>286.9384508247206</x:v>
      </x:c>
      <x:c r="J33" s="100" t="n">
        <x:f aca="0">B33-D33-E33</x:f>
        <x:v>2816.1662273343004</x:v>
      </x:c>
      <x:c r="K33" s="100" t="n">
        <x:f aca="0">B33</x:f>
        <x:v>3259.2524467736303</x:v>
      </x:c>
      <x:c r="L33" s="100" t="n">
        <x:f aca="0">0</x:f>
        <x:v>0</x:v>
      </x:c>
      <x:c r="M33" s="100" t="n">
        <x:f aca="0">IF(AND(A33&gt;=S08_Defaults!$B$11,A33&lt;=S08_Defaults!$B$12),J33,0)</x:f>
        <x:v>2816.1662273343004</x:v>
      </x:c>
      <x:c r="N33" s="100" t="n">
        <x:f aca="0">IF(AND(A33&gt;=S08_Defaults!$B$11,A33&lt;=S08_Defaults!$B$12),K33-L33,0)</x:f>
        <x:v>3259.2524467736303</x:v>
      </x:c>
      <x:c r="O33" s="37" t="s">
        <x:v>1271</x:v>
      </x:c>
    </x:row>
    <x:row r="34" ht="15" hidden="0" customHeight="1">
      <x:c r="A34" s="37" t="n">
        <x:v>2034</x:v>
      </x:c>
      <x:c r="B34" s="100" t="n">
        <x:f aca="0">SUM(S18_Deserts_Xeric_ER!T8,S18_Deserts_Xeric_ER!T9,S18_Deserts_Xeric_ER!T10,S18_Deserts_Xeric_ER!T11)</x:f>
        <x:v>3633.2178191174876</x:v>
      </x:c>
      <x:c r="C34" s="100" t="n">
        <x:f aca="0">SUM(S18_Deserts_Xeric_ER!AO8,S18_Deserts_Xeric_ER!AO9,S18_Deserts_Xeric_ER!AO10,S18_Deserts_Xeric_ER!AO11)</x:f>
        <x:v>3588.9377196576684</x:v>
      </x:c>
      <x:c r="D34" s="100" t="n">
        <x:f aca="0">IF($B$4=0,0,S33_Project_Deductions!D18*$B$4/S08_Defaults!$B$14)</x:f>
        <x:v>365.81063943216236</x:v>
      </x:c>
      <x:c r="E34" s="100" t="n">
        <x:f aca="0">IF($B$4=0,0,S33_Project_Deductions!E18*$B$4/S08_Defaults!$B$14)</x:f>
        <x:v>105.48162164140653</x:v>
      </x:c>
      <x:c r="F34" s="100" t="n">
        <x:f aca="0">S08_Defaults!$B$9</x:f>
        <x:v>0.2</x:v>
      </x:c>
      <x:c r="G34" s="100" t="n">
        <x:f aca="0">C34*(1-F34)-D34-E34</x:f>
        <x:v>2399.8579146525663</x:v>
      </x:c>
      <x:c r="H34" s="100" t="n">
        <x:f aca="0">G34-G33</x:f>
        <x:v>267.32007267436074</x:v>
      </x:c>
      <x:c r="I34" s="100" t="n">
        <x:f aca="0">H34/1</x:f>
        <x:v>267.32007267436074</x:v>
      </x:c>
      <x:c r="J34" s="100" t="n">
        <x:f aca="0">B34-D34-E34</x:f>
        <x:v>3161.9255580439185</x:v>
      </x:c>
      <x:c r="K34" s="100" t="n">
        <x:f aca="0">B34</x:f>
        <x:v>3633.2178191174876</x:v>
      </x:c>
      <x:c r="L34" s="100" t="n">
        <x:f aca="0">0</x:f>
        <x:v>0</x:v>
      </x:c>
      <x:c r="M34" s="100" t="n">
        <x:f aca="0">IF(AND(A34&gt;=S08_Defaults!$B$11,A34&lt;=S08_Defaults!$B$12),J34,0)</x:f>
        <x:v>3161.9255580439185</x:v>
      </x:c>
      <x:c r="N34" s="100" t="n">
        <x:f aca="0">IF(AND(A34&gt;=S08_Defaults!$B$11,A34&lt;=S08_Defaults!$B$12),K34-L34,0)</x:f>
        <x:v>3633.2178191174876</x:v>
      </x:c>
      <x:c r="O34" s="37" t="s">
        <x:v>1271</x:v>
      </x:c>
    </x:row>
    <x:row r="35" ht="15" hidden="0" customHeight="1">
      <x:c r="A35" s="37" t="n">
        <x:v>2035</x:v>
      </x:c>
      <x:c r="B35" s="100" t="n">
        <x:f aca="0">SUM(S18_Deserts_Xeric_ER!U8,S18_Deserts_Xeric_ER!U9,S18_Deserts_Xeric_ER!U10,S18_Deserts_Xeric_ER!U11)</x:f>
        <x:v>3979.2941345772897</x:v>
      </x:c>
      <x:c r="C35" s="100" t="n">
        <x:f aca="0">SUM(S18_Deserts_Xeric_ER!AP8,S18_Deserts_Xeric_ER!AP9,S18_Deserts_Xeric_ER!AP10,S18_Deserts_Xeric_ER!AP11)</x:f>
        <x:v>3930.796205515124</x:v>
      </x:c>
      <x:c r="D35" s="100" t="n">
        <x:f aca="0">IF($B$4=0,0,S33_Project_Deductions!D19*$B$4/S08_Defaults!$B$14)</x:f>
        <x:v>394.01668106640136</x:v>
      </x:c>
      <x:c r="E35" s="100" t="n">
        <x:f aca="0">IF($B$4=0,0,S33_Project_Deductions!E19*$B$4/S08_Defaults!$B$14)</x:f>
        <x:v>105.48162164140653</x:v>
      </x:c>
      <x:c r="F35" s="100" t="n">
        <x:f aca="0">S08_Defaults!$B$9</x:f>
        <x:v>0.2</x:v>
      </x:c>
      <x:c r="G35" s="100" t="n">
        <x:f aca="0">C35*(1-F35)-D35-E35</x:f>
        <x:v>2645.1386617042913</x:v>
      </x:c>
      <x:c r="H35" s="100" t="n">
        <x:f aca="0">G35-G34</x:f>
        <x:v>245.28074705172503</x:v>
      </x:c>
      <x:c r="I35" s="100" t="n">
        <x:f aca="0">H35/1</x:f>
        <x:v>245.28074705172503</x:v>
      </x:c>
      <x:c r="J35" s="100" t="n">
        <x:f aca="0">B35-D35-E35</x:f>
        <x:v>3479.795831869482</x:v>
      </x:c>
      <x:c r="K35" s="100" t="n">
        <x:f aca="0">B35</x:f>
        <x:v>3979.2941345772897</x:v>
      </x:c>
      <x:c r="L35" s="100" t="n">
        <x:f aca="0">0</x:f>
        <x:v>0</x:v>
      </x:c>
      <x:c r="M35" s="100" t="n">
        <x:f aca="0">IF(AND(A35&gt;=S08_Defaults!$B$11,A35&lt;=S08_Defaults!$B$12),J35,0)</x:f>
        <x:v>3479.795831869482</x:v>
      </x:c>
      <x:c r="N35" s="100" t="n">
        <x:f aca="0">IF(AND(A35&gt;=S08_Defaults!$B$11,A35&lt;=S08_Defaults!$B$12),K35-L35,0)</x:f>
        <x:v>3979.2941345772897</x:v>
      </x:c>
      <x:c r="O35" s="37" t="s">
        <x:v>1271</x:v>
      </x:c>
    </x:row>
    <x:row r="36" ht="15" hidden="0" customHeight="1">
      <x:c r="A36" s="37" t="n">
        <x:v>2036</x:v>
      </x:c>
      <x:c r="B36" s="100" t="n">
        <x:f aca="0">SUM(S18_Deserts_Xeric_ER!V8,S18_Deserts_Xeric_ER!V9,S18_Deserts_Xeric_ER!V10,S18_Deserts_Xeric_ER!V11)</x:f>
        <x:v>4296.210859298656</x:v>
      </x:c>
      <x:c r="C36" s="100" t="n">
        <x:f aca="0">SUM(S18_Deserts_Xeric_ER!AQ8,S18_Deserts_Xeric_ER!AQ9,S18_Deserts_Xeric_ER!AQ10,S18_Deserts_Xeric_ER!AQ11)</x:f>
        <x:v>4243.850485211228</x:v>
      </x:c>
      <x:c r="D36" s="100" t="n">
        <x:f aca="0">IF($B$4=0,0,S33_Project_Deductions!D20*$B$4/S08_Defaults!$B$14)</x:f>
        <x:v>422.2227227006404</x:v>
      </x:c>
      <x:c r="E36" s="100" t="n">
        <x:f aca="0">IF($B$4=0,0,S33_Project_Deductions!E20*$B$4/S08_Defaults!$B$14)</x:f>
        <x:v>105.48162164140653</x:v>
      </x:c>
      <x:c r="F36" s="100" t="n">
        <x:f aca="0">S08_Defaults!$B$9</x:f>
        <x:v>0.2</x:v>
      </x:c>
      <x:c r="G36" s="100" t="n">
        <x:f aca="0">C36*(1-F36)-D36-E36</x:f>
        <x:v>2867.3760438269355</x:v>
      </x:c>
      <x:c r="H36" s="100" t="n">
        <x:f aca="0">G36-G35</x:f>
        <x:v>222.23738212264425</x:v>
      </x:c>
      <x:c r="I36" s="100" t="n">
        <x:f aca="0">H36/1</x:f>
        <x:v>222.23738212264425</x:v>
      </x:c>
      <x:c r="J36" s="100" t="n">
        <x:f aca="0">B36-D36-E36</x:f>
        <x:v>3768.506514956609</x:v>
      </x:c>
      <x:c r="K36" s="100" t="n">
        <x:f aca="0">B36</x:f>
        <x:v>4296.210859298656</x:v>
      </x:c>
      <x:c r="L36" s="100" t="n">
        <x:f aca="0">0</x:f>
        <x:v>0</x:v>
      </x:c>
      <x:c r="M36" s="100" t="n">
        <x:f aca="0">IF(AND(A36&gt;=S08_Defaults!$B$11,A36&lt;=S08_Defaults!$B$12),J36,0)</x:f>
        <x:v>3768.506514956609</x:v>
      </x:c>
      <x:c r="N36" s="100" t="n">
        <x:f aca="0">IF(AND(A36&gt;=S08_Defaults!$B$11,A36&lt;=S08_Defaults!$B$12),K36-L36,0)</x:f>
        <x:v>4296.210859298656</x:v>
      </x:c>
      <x:c r="O36" s="37" t="s">
        <x:v>1271</x:v>
      </x:c>
    </x:row>
    <x:row r="37" ht="15" hidden="0" customHeight="1">
      <x:c r="A37" s="37" t="n">
        <x:v>2037</x:v>
      </x:c>
      <x:c r="B37" s="100" t="n">
        <x:f aca="0">SUM(S18_Deserts_Xeric_ER!W8,S18_Deserts_Xeric_ER!W9,S18_Deserts_Xeric_ER!W10,S18_Deserts_Xeric_ER!W11)</x:f>
        <x:v>4583.989436247759</x:v>
      </x:c>
      <x:c r="C37" s="100" t="n">
        <x:f aca="0">SUM(S18_Deserts_Xeric_ER!AR8,S18_Deserts_Xeric_ER!AR9,S18_Deserts_Xeric_ER!AR10,S18_Deserts_Xeric_ER!AR11)</x:f>
        <x:v>4528.121740374486</x:v>
      </x:c>
      <x:c r="D37" s="100" t="n">
        <x:f aca="0">IF($B$4=0,0,S33_Project_Deductions!D21*$B$4/S08_Defaults!$B$14)</x:f>
        <x:v>450.4287643348794</x:v>
      </x:c>
      <x:c r="E37" s="100" t="n">
        <x:f aca="0">IF($B$4=0,0,S33_Project_Deductions!E21*$B$4/S08_Defaults!$B$14)</x:f>
        <x:v>105.48162164140653</x:v>
      </x:c>
      <x:c r="F37" s="100" t="n">
        <x:f aca="0">S08_Defaults!$B$9</x:f>
        <x:v>0.2</x:v>
      </x:c>
      <x:c r="G37" s="100" t="n">
        <x:f aca="0">C37*(1-F37)-D37-E37</x:f>
        <x:v>3066.587006323303</x:v>
      </x:c>
      <x:c r="H37" s="100" t="n">
        <x:f aca="0">G37-G36</x:f>
        <x:v>199.2109624963673</x:v>
      </x:c>
      <x:c r="I37" s="100" t="n">
        <x:f aca="0">H37/1</x:f>
        <x:v>199.2109624963673</x:v>
      </x:c>
      <x:c r="J37" s="100" t="n">
        <x:f aca="0">B37-D37-E37</x:f>
        <x:v>4028.0790502714726</x:v>
      </x:c>
      <x:c r="K37" s="100" t="n">
        <x:f aca="0">B37</x:f>
        <x:v>4583.989436247759</x:v>
      </x:c>
      <x:c r="L37" s="100" t="n">
        <x:f aca="0">0</x:f>
        <x:v>0</x:v>
      </x:c>
      <x:c r="M37" s="100" t="n">
        <x:f aca="0">IF(AND(A37&gt;=S08_Defaults!$B$11,A37&lt;=S08_Defaults!$B$12),J37,0)</x:f>
        <x:v>4028.0790502714726</x:v>
      </x:c>
      <x:c r="N37" s="100" t="n">
        <x:f aca="0">IF(AND(A37&gt;=S08_Defaults!$B$11,A37&lt;=S08_Defaults!$B$12),K37-L37,0)</x:f>
        <x:v>4583.989436247759</x:v>
      </x:c>
      <x:c r="O37" s="37" t="s">
        <x:v>1271</x:v>
      </x:c>
    </x:row>
    <x:row r="38" ht="15" hidden="0" customHeight="1">
      <x:c r="A38" s="37" t="n">
        <x:v>2038</x:v>
      </x:c>
      <x:c r="B38" s="100" t="n">
        <x:f aca="0">SUM(S18_Deserts_Xeric_ER!X8,S18_Deserts_Xeric_ER!X9,S18_Deserts_Xeric_ER!X10,S18_Deserts_Xeric_ER!X11)</x:f>
        <x:v>4843.539040577939</x:v>
      </x:c>
      <x:c r="C38" s="100" t="n">
        <x:f aca="0">SUM(S18_Deserts_Xeric_ER!AS8,S18_Deserts_Xeric_ER!AS9,S18_Deserts_Xeric_ER!AS10,S18_Deserts_Xeric_ER!AS11)</x:f>
        <x:v>4784.508065521672</x:v>
      </x:c>
      <x:c r="D38" s="100" t="n">
        <x:f aca="0">IF($B$4=0,0,S33_Project_Deductions!D22*$B$4/S08_Defaults!$B$14)</x:f>
        <x:v>478.6348059691184</x:v>
      </x:c>
      <x:c r="E38" s="100" t="n">
        <x:f aca="0">IF($B$4=0,0,S33_Project_Deductions!E22*$B$4/S08_Defaults!$B$14)</x:f>
        <x:v>105.48162164140653</x:v>
      </x:c>
      <x:c r="F38" s="100" t="n">
        <x:f aca="0">S08_Defaults!$B$9</x:f>
        <x:v>0.2</x:v>
      </x:c>
      <x:c r="G38" s="100" t="n">
        <x:f aca="0">C38*(1-F38)-D38-E38</x:f>
        <x:v>3243.4900248068125</x:v>
      </x:c>
      <x:c r="H38" s="100" t="n">
        <x:f aca="0">G38-G37</x:f>
        <x:v>176.90301848350964</x:v>
      </x:c>
      <x:c r="I38" s="100" t="n">
        <x:f aca="0">H38/1</x:f>
        <x:v>176.90301848350964</x:v>
      </x:c>
      <x:c r="J38" s="100" t="n">
        <x:f aca="0">B38-D38-E38</x:f>
        <x:v>4259.422612967414</x:v>
      </x:c>
      <x:c r="K38" s="100" t="n">
        <x:f aca="0">B38</x:f>
        <x:v>4843.539040577939</x:v>
      </x:c>
      <x:c r="L38" s="100" t="n">
        <x:f aca="0">0</x:f>
        <x:v>0</x:v>
      </x:c>
      <x:c r="M38" s="100" t="n">
        <x:f aca="0">IF(AND(A38&gt;=S08_Defaults!$B$11,A38&lt;=S08_Defaults!$B$12),J38,0)</x:f>
        <x:v>4259.422612967414</x:v>
      </x:c>
      <x:c r="N38" s="100" t="n">
        <x:f aca="0">IF(AND(A38&gt;=S08_Defaults!$B$11,A38&lt;=S08_Defaults!$B$12),K38-L38,0)</x:f>
        <x:v>4843.539040577939</x:v>
      </x:c>
      <x:c r="O38" s="37" t="s">
        <x:v>1271</x:v>
      </x:c>
    </x:row>
    <x:row r="39" ht="15" hidden="0" customHeight="1">
      <x:c r="A39" s="37" t="n">
        <x:v>2039</x:v>
      </x:c>
      <x:c r="B39" s="100" t="n">
        <x:f aca="0">SUM(S18_Deserts_Xeric_ER!Y8,S18_Deserts_Xeric_ER!Y9,S18_Deserts_Xeric_ER!Y10,S18_Deserts_Xeric_ER!Y11)</x:f>
        <x:v>5076.343439887089</x:v>
      </x:c>
      <x:c r="C39" s="100" t="n">
        <x:f aca="0">SUM(S18_Deserts_Xeric_ER!AT8,S18_Deserts_Xeric_ER!AT9,S18_Deserts_Xeric_ER!AT10,S18_Deserts_Xeric_ER!AT11)</x:f>
        <x:v>5014.475144728005</x:v>
      </x:c>
      <x:c r="D39" s="100" t="n">
        <x:f aca="0">IF($B$4=0,0,S33_Project_Deductions!D23*$B$4/S08_Defaults!$B$14)</x:f>
        <x:v>506.8408476033574</x:v>
      </x:c>
      <x:c r="E39" s="100" t="n">
        <x:f aca="0">IF($B$4=0,0,S33_Project_Deductions!E23*$B$4/S08_Defaults!$B$14)</x:f>
        <x:v>105.48162164140653</x:v>
      </x:c>
      <x:c r="F39" s="100" t="n">
        <x:f aca="0">S08_Defaults!$B$9</x:f>
        <x:v>0.2</x:v>
      </x:c>
      <x:c r="G39" s="100" t="n">
        <x:f aca="0">C39*(1-F39)-D39-E39</x:f>
        <x:v>3399.2576465376405</x:v>
      </x:c>
      <x:c r="H39" s="100" t="n">
        <x:f aca="0">G39-G38</x:f>
        <x:v>155.76762173082807</x:v>
      </x:c>
      <x:c r="I39" s="100" t="n">
        <x:f aca="0">H39/1</x:f>
        <x:v>155.76762173082807</x:v>
      </x:c>
      <x:c r="J39" s="100" t="n">
        <x:f aca="0">B39-D39-E39</x:f>
        <x:v>4464.020970642325</x:v>
      </x:c>
      <x:c r="K39" s="100" t="n">
        <x:f aca="0">B39</x:f>
        <x:v>5076.343439887089</x:v>
      </x:c>
      <x:c r="L39" s="100" t="n">
        <x:f aca="0">0</x:f>
        <x:v>0</x:v>
      </x:c>
      <x:c r="M39" s="100" t="n">
        <x:f aca="0">IF(AND(A39&gt;=S08_Defaults!$B$11,A39&lt;=S08_Defaults!$B$12),J39,0)</x:f>
        <x:v>4464.020970642325</x:v>
      </x:c>
      <x:c r="N39" s="100" t="n">
        <x:f aca="0">IF(AND(A39&gt;=S08_Defaults!$B$11,A39&lt;=S08_Defaults!$B$12),K39-L39,0)</x:f>
        <x:v>5076.343439887089</x:v>
      </x:c>
      <x:c r="O39" s="37" t="s">
        <x:v>1271</x:v>
      </x:c>
    </x:row>
    <x:row r="40" ht="15" hidden="0" customHeight="1">
      <x:c r="A40" s="37" t="n">
        <x:v>2040</x:v>
      </x:c>
      <x:c r="B40" s="100" t="n">
        <x:f aca="0">SUM(S18_Deserts_Xeric_ER!Z8,S18_Deserts_Xeric_ER!Z9,S18_Deserts_Xeric_ER!Z10,S18_Deserts_Xeric_ER!Z11)</x:f>
        <x:v>5284.226277548101</x:v>
      </x:c>
      <x:c r="C40" s="100" t="n">
        <x:f aca="0">SUM(S18_Deserts_Xeric_ER!AU8,S18_Deserts_Xeric_ER!AU9,S18_Deserts_Xeric_ER!AU10,S18_Deserts_Xeric_ER!AU11)</x:f>
        <x:v>5219.824395583629</x:v>
      </x:c>
      <x:c r="D40" s="100" t="n">
        <x:f aca="0">IF($B$4=0,0,S33_Project_Deductions!D24*$B$4/S08_Defaults!$B$14)</x:f>
        <x:v>535.0468892375965</x:v>
      </x:c>
      <x:c r="E40" s="100" t="n">
        <x:f aca="0">IF($B$4=0,0,S33_Project_Deductions!E24*$B$4/S08_Defaults!$B$14)</x:f>
        <x:v>105.48162164140653</x:v>
      </x:c>
      <x:c r="F40" s="100" t="n">
        <x:f aca="0">S08_Defaults!$B$9</x:f>
        <x:v>0.2</x:v>
      </x:c>
      <x:c r="G40" s="100" t="n">
        <x:f aca="0">C40*(1-F40)-D40-E40</x:f>
        <x:v>3535.3310055879</x:v>
      </x:c>
      <x:c r="H40" s="100" t="n">
        <x:f aca="0">G40-G39</x:f>
        <x:v>136.07335905025957</x:v>
      </x:c>
      <x:c r="I40" s="100" t="n">
        <x:f aca="0">H40/1</x:f>
        <x:v>136.07335905025957</x:v>
      </x:c>
      <x:c r="J40" s="100" t="n">
        <x:f aca="0">B40-D40-E40</x:f>
        <x:v>4643.697766669098</x:v>
      </x:c>
      <x:c r="K40" s="100" t="n">
        <x:f aca="0">B40</x:f>
        <x:v>5284.226277548101</x:v>
      </x:c>
      <x:c r="L40" s="100" t="n">
        <x:f aca="0">0</x:f>
        <x:v>0</x:v>
      </x:c>
      <x:c r="M40" s="100" t="n">
        <x:f aca="0">IF(AND(A40&gt;=S08_Defaults!$B$11,A40&lt;=S08_Defaults!$B$12),J40,0)</x:f>
        <x:v>4643.697766669098</x:v>
      </x:c>
      <x:c r="N40" s="100" t="n">
        <x:f aca="0">IF(AND(A40&gt;=S08_Defaults!$B$11,A40&lt;=S08_Defaults!$B$12),K40-L40,0)</x:f>
        <x:v>5284.226277548101</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Deserts &amp; Xeric Shrublands | Horti-Silviculture (1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614</x:v>
      </x:c>
      <x:c r="B46" s="198" t="s">
        <x:v>553</x:v>
      </x:c>
      <x:c r="C46" s="198" t="n">
        <x:v>2021</x:v>
      </x:c>
      <x:c r="D46" s="198" t="n">
        <x:v>2.023</x:v>
      </x:c>
      <x:c r="E46" s="198" t="s">
        <x:v>615</x:v>
      </x:c>
      <x:c r="F46" s="198" t="s">
        <x:v>616</x:v>
      </x:c>
      <x:c r="G46" s="1"/>
      <x:c r="H46" s="1"/>
      <x:c r="I46" s="1"/>
      <x:c r="J46" s="1"/>
      <x:c r="K46" s="1"/>
      <x:c r="L46" s="1"/>
      <x:c r="M46" s="1"/>
      <x:c r="N46" s="1"/>
      <x:c r="O46" s="1"/>
    </x:row>
  </x:sheetData>
  <x:mergeCells>
    <x:mergeCell ref="A1:N1"/>
    <x:mergeCell ref="A43:F43"/>
    <x:mergeCell ref="A44:F44"/>
  </x:mergeCells>
  <x:pageMargins left="0.7" right="0.7" top="0.75" bottom="0.75" header="0.3" footer="0.3"/>
</x:worksheet>
</file>

<file path=xl/worksheets/sheet23.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Deserts &amp; Xeric Shrublands | Timber Plantation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SUM(S18_Deserts_Xeric_ER!C12,S18_Deserts_Xeric_ER!C13,S18_Deserts_Xeric_ER!C14,S18_Deserts_Xeric_ER!C15)</x:f>
        <x:v>1.9114</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3146.1799162819016</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1826.2646464622653</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1875.2719036795352</x:v>
      </x:c>
      <x:c r="C7" s="37" t="s">
        <x:v>151</x:v>
      </x:c>
      <x:c r="D7" s="37" t="s">
        <x:v>1242</x:v>
      </x:c>
      <x:c r="E7" s="1"/>
      <x:c r="F7" s="1"/>
      <x:c r="G7" s="1"/>
      <x:c r="H7" s="1"/>
      <x:c r="I7" s="1"/>
      <x:c r="J7" s="1"/>
      <x:c r="K7" s="1"/>
      <x:c r="L7" s="1"/>
      <x:c r="M7" s="1"/>
      <x:c r="N7" s="1"/>
      <x:c r="O7" s="1"/>
    </x:row>
    <x:row r="8" ht="15" hidden="0" customHeight="1">
      <x:c r="A8" s="193" t="s">
        <x:v>1243</x:v>
      </x:c>
      <x:c r="B8" s="194" t="n">
        <x:f aca="0">MAX(0,MIN(B5,B6))</x:f>
        <x:v>1826.2646464622653</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1826.2646464622653</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365.2529292924531</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1461.0117171698123</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764.3673313643467</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38.218366568217334</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IF(AND("Deserts &amp; Xeric Shrublands"="Tropical &amp; Subtropical Dry Broadleaf Forests","Timber Plantation"="Timber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SUM(S18_Deserts_Xeric_ER!F12,S18_Deserts_Xeric_ER!F13,S18_Deserts_Xeric_ER!F14,S18_Deserts_Xeric_ER!F15)</x:f>
        <x:v>0</x:v>
      </x:c>
      <x:c r="C20" s="100" t="n">
        <x:f aca="0">SUM(S18_Deserts_Xeric_ER!AA12,S18_Deserts_Xeric_ER!AA13,S18_Deserts_Xeric_ER!AA14,S18_Deserts_Xeric_ER!AA15)</x:f>
        <x:v>0</x:v>
      </x:c>
      <x:c r="D20" s="100" t="n">
        <x:f aca="0">IF($B$4=0,0,S33_Project_Deductions!D4*$B$4/S08_Defaults!$B$14)</x:f>
        <x:v>0.6238432119193449</x:v>
      </x:c>
      <x:c r="E20" s="100" t="n">
        <x:f aca="0">IF($B$4=0,0,S33_Project_Deductions!E4*$B$4/S08_Defaults!$B$14)</x:f>
        <x:v>2.8545997804221352</x:v>
      </x:c>
      <x:c r="F20" s="100" t="n">
        <x:f aca="0">S08_Defaults!$B$9</x:f>
        <x:v>0.2</x:v>
      </x:c>
      <x:c r="G20" s="100" t="n">
        <x:f aca="0">C20*(1-F20)-D20-E20</x:f>
        <x:v>-3.4784429923414804</x:v>
      </x:c>
      <x:c r="H20" s="100" t="n">
        <x:f aca="0">G20</x:f>
        <x:v>-3.4784429923414804</x:v>
      </x:c>
      <x:c r="I20" s="100" t="n">
        <x:f aca="0">H20/1</x:f>
        <x:v>-3.4784429923414804</x:v>
      </x:c>
      <x:c r="J20" s="100" t="n">
        <x:f aca="0">B20-D20-E20</x:f>
        <x:v>-3.4784429923414804</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SUM(S18_Deserts_Xeric_ER!G12,S18_Deserts_Xeric_ER!G13,S18_Deserts_Xeric_ER!G14,S18_Deserts_Xeric_ER!G15)</x:f>
        <x:v>1.6942935159523267</x:v>
      </x:c>
      <x:c r="C21" s="100" t="n">
        <x:f aca="0">SUM(S18_Deserts_Xeric_ER!AB12,S18_Deserts_Xeric_ER!AB13,S18_Deserts_Xeric_ER!AB14,S18_Deserts_Xeric_ER!AB15)</x:f>
        <x:v>1.673644193743861</x:v>
      </x:c>
      <x:c r="D21" s="100" t="n">
        <x:f aca="0">IF($B$4=0,0,S33_Project_Deductions!D5*$B$4/S08_Defaults!$B$14)</x:f>
        <x:v>2.031363990954472</x:v>
      </x:c>
      <x:c r="E21" s="100" t="n">
        <x:f aca="0">IF($B$4=0,0,S33_Project_Deductions!E5*$B$4/S08_Defaults!$B$14)</x:f>
        <x:v>5.632361961415729</x:v>
      </x:c>
      <x:c r="F21" s="100" t="n">
        <x:f aca="0">S08_Defaults!$B$9</x:f>
        <x:v>0.2</x:v>
      </x:c>
      <x:c r="G21" s="100" t="n">
        <x:f aca="0">C21*(1-F21)-D21-E21</x:f>
        <x:v>-6.324810597375112</x:v>
      </x:c>
      <x:c r="H21" s="100" t="n">
        <x:f aca="0">G21-G20</x:f>
        <x:v>-2.846367605033632</x:v>
      </x:c>
      <x:c r="I21" s="100" t="n">
        <x:f aca="0">H21/1</x:f>
        <x:v>-2.846367605033632</x:v>
      </x:c>
      <x:c r="J21" s="100" t="n">
        <x:f aca="0">B21-D21-E21</x:f>
        <x:v>-5.969432436417874</x:v>
      </x:c>
      <x:c r="K21" s="100" t="n">
        <x:f aca="0">B21</x:f>
        <x:v>1.6942935159523267</x:v>
      </x:c>
      <x:c r="L21" s="100" t="n">
        <x:f aca="0">0</x:f>
        <x:v>0</x:v>
      </x:c>
      <x:c r="M21" s="100" t="n">
        <x:f aca="0">IF(AND(A21&gt;=S08_Defaults!$B$11,A21&lt;=S08_Defaults!$B$12),J21,0)</x:f>
        <x:v>-5.969432436417874</x:v>
      </x:c>
      <x:c r="N21" s="100" t="n">
        <x:f aca="0">IF(AND(A21&gt;=S08_Defaults!$B$11,A21&lt;=S08_Defaults!$B$12),K21-L21,0)</x:f>
        <x:v>1.6942935159523267</x:v>
      </x:c>
      <x:c r="O21" s="37" t="s">
        <x:v>1271</x:v>
      </x:c>
    </x:row>
    <x:row r="22" ht="15" hidden="0" customHeight="1">
      <x:c r="A22" s="37" t="n">
        <x:v>2022</x:v>
      </x:c>
      <x:c r="B22" s="100" t="n">
        <x:f aca="0">SUM(S18_Deserts_Xeric_ER!H12,S18_Deserts_Xeric_ER!H13,S18_Deserts_Xeric_ER!H14,S18_Deserts_Xeric_ER!H15)</x:f>
        <x:v>16.854982157227603</x:v>
      </x:c>
      <x:c r="C22" s="100" t="n">
        <x:f aca="0">SUM(S18_Deserts_Xeric_ER!AC12,S18_Deserts_Xeric_ER!AC13,S18_Deserts_Xeric_ER!AC14,S18_Deserts_Xeric_ER!AC15)</x:f>
        <x:v>16.64956086858689</x:v>
      </x:c>
      <x:c r="D22" s="100" t="n">
        <x:f aca="0">IF($B$4=0,0,S33_Project_Deductions!D6*$B$4/S08_Defaults!$B$14)</x:f>
        <x:v>4.355248555635979</x:v>
      </x:c>
      <x:c r="E22" s="100" t="n">
        <x:f aca="0">IF($B$4=0,0,S33_Project_Deductions!E6*$B$4/S08_Defaults!$B$14)</x:f>
        <x:v>8.469709752720153</x:v>
      </x:c>
      <x:c r="F22" s="100" t="n">
        <x:f aca="0">S08_Defaults!$B$9</x:f>
        <x:v>0.2</x:v>
      </x:c>
      <x:c r="G22" s="100" t="n">
        <x:f aca="0">C22*(1-F22)-D22-E22</x:f>
        <x:v>0.4946903865133798</x:v>
      </x:c>
      <x:c r="H22" s="100" t="n">
        <x:f aca="0">G22-G21</x:f>
        <x:v>6.819500983888492</x:v>
      </x:c>
      <x:c r="I22" s="100" t="n">
        <x:f aca="0">H22/1</x:f>
        <x:v>6.819500983888492</x:v>
      </x:c>
      <x:c r="J22" s="100" t="n">
        <x:f aca="0">B22-D22-E22</x:f>
        <x:v>4.030023848871473</x:v>
      </x:c>
      <x:c r="K22" s="100" t="n">
        <x:f aca="0">B22</x:f>
        <x:v>16.854982157227603</x:v>
      </x:c>
      <x:c r="L22" s="100" t="n">
        <x:f aca="0">0</x:f>
        <x:v>0</x:v>
      </x:c>
      <x:c r="M22" s="100" t="n">
        <x:f aca="0">IF(AND(A22&gt;=S08_Defaults!$B$11,A22&lt;=S08_Defaults!$B$12),J22,0)</x:f>
        <x:v>4.030023848871473</x:v>
      </x:c>
      <x:c r="N22" s="100" t="n">
        <x:f aca="0">IF(AND(A22&gt;=S08_Defaults!$B$11,A22&lt;=S08_Defaults!$B$12),K22-L22,0)</x:f>
        <x:v>16.854982157227603</x:v>
      </x:c>
      <x:c r="O22" s="37" t="s">
        <x:v>1271</x:v>
      </x:c>
    </x:row>
    <x:row r="23" ht="15" hidden="0" customHeight="1">
      <x:c r="A23" s="37" t="n">
        <x:v>2023</x:v>
      </x:c>
      <x:c r="B23" s="100" t="n">
        <x:f aca="0">SUM(S18_Deserts_Xeric_ER!I12,S18_Deserts_Xeric_ER!I13,S18_Deserts_Xeric_ER!I14,S18_Deserts_Xeric_ER!I15)</x:f>
        <x:v>60.067953666866686</x:v>
      </x:c>
      <x:c r="C23" s="100" t="n">
        <x:f aca="0">SUM(S18_Deserts_Xeric_ER!AD12,S18_Deserts_Xeric_ER!AD13,S18_Deserts_Xeric_ER!AD14,S18_Deserts_Xeric_ER!AD15)</x:f>
        <x:v>59.33587122778992</x:v>
      </x:c>
      <x:c r="D23" s="100" t="n">
        <x:f aca="0">IF($B$4=0,0,S33_Project_Deductions!D7*$B$4/S08_Defaults!$B$14)</x:f>
        <x:v>7.6180475648403645</x:v>
      </x:c>
      <x:c r="E23" s="100" t="n">
        <x:f aca="0">IF($B$4=0,0,S33_Project_Deductions!E7*$B$4/S08_Defaults!$B$14)</x:f>
        <x:v>11.319175103233043</x:v>
      </x:c>
      <x:c r="F23" s="100" t="n">
        <x:f aca="0">S08_Defaults!$B$9</x:f>
        <x:v>0.2</x:v>
      </x:c>
      <x:c r="G23" s="100" t="n">
        <x:f aca="0">C23*(1-F23)-D23-E23</x:f>
        <x:v>28.53147431415853</x:v>
      </x:c>
      <x:c r="H23" s="100" t="n">
        <x:f aca="0">G23-G22</x:f>
        <x:v>28.03678392764515</x:v>
      </x:c>
      <x:c r="I23" s="100" t="n">
        <x:f aca="0">H23/1</x:f>
        <x:v>28.03678392764515</x:v>
      </x:c>
      <x:c r="J23" s="100" t="n">
        <x:f aca="0">B23-D23-E23</x:f>
        <x:v>41.130730998793275</x:v>
      </x:c>
      <x:c r="K23" s="100" t="n">
        <x:f aca="0">B23</x:f>
        <x:v>60.067953666866686</x:v>
      </x:c>
      <x:c r="L23" s="100" t="n">
        <x:f aca="0">0</x:f>
        <x:v>0</x:v>
      </x:c>
      <x:c r="M23" s="100" t="n">
        <x:f aca="0">IF(AND(A23&gt;=S08_Defaults!$B$11,A23&lt;=S08_Defaults!$B$12),J23,0)</x:f>
        <x:v>41.130730998793275</x:v>
      </x:c>
      <x:c r="N23" s="100" t="n">
        <x:f aca="0">IF(AND(A23&gt;=S08_Defaults!$B$11,A23&lt;=S08_Defaults!$B$12),K23-L23,0)</x:f>
        <x:v>60.067953666866686</x:v>
      </x:c>
      <x:c r="O23" s="37" t="s">
        <x:v>1271</x:v>
      </x:c>
    </x:row>
    <x:row r="24" ht="15" hidden="0" customHeight="1">
      <x:c r="A24" s="37" t="n">
        <x:v>2024</x:v>
      </x:c>
      <x:c r="B24" s="100" t="n">
        <x:f aca="0">SUM(S18_Deserts_Xeric_ER!J12,S18_Deserts_Xeric_ER!J13,S18_Deserts_Xeric_ER!J14,S18_Deserts_Xeric_ER!J15)</x:f>
        <x:v>150.1706975910078</x:v>
      </x:c>
      <x:c r="C24" s="100" t="n">
        <x:f aca="0">SUM(S18_Deserts_Xeric_ER!AE12,S18_Deserts_Xeric_ER!AE13,S18_Deserts_Xeric_ER!AE14,S18_Deserts_Xeric_ER!AE15)</x:f>
        <x:v>148.34048157965523</x:v>
      </x:c>
      <x:c r="D24" s="100" t="n">
        <x:f aca="0">IF($B$4=0,0,S33_Project_Deductions!D8*$B$4/S08_Defaults!$B$14)</x:f>
        <x:v>11.19749997749915</x:v>
      </x:c>
      <x:c r="E24" s="100" t="n">
        <x:f aca="0">IF($B$4=0,0,S33_Project_Deductions!E8*$B$4/S08_Defaults!$B$14)</x:f>
        <x:v>14.068632447518278</x:v>
      </x:c>
      <x:c r="F24" s="100" t="n">
        <x:f aca="0">S08_Defaults!$B$9</x:f>
        <x:v>0.2</x:v>
      </x:c>
      <x:c r="G24" s="100" t="n">
        <x:f aca="0">C24*(1-F24)-D24-E24</x:f>
        <x:v>93.40625283870676</x:v>
      </x:c>
      <x:c r="H24" s="100" t="n">
        <x:f aca="0">G24-G23</x:f>
        <x:v>64.87477852454823</x:v>
      </x:c>
      <x:c r="I24" s="100" t="n">
        <x:f aca="0">H24/1</x:f>
        <x:v>64.87477852454823</x:v>
      </x:c>
      <x:c r="J24" s="100" t="n">
        <x:f aca="0">B24-D24-E24</x:f>
        <x:v>124.90456516599038</x:v>
      </x:c>
      <x:c r="K24" s="100" t="n">
        <x:f aca="0">B24</x:f>
        <x:v>150.1706975910078</x:v>
      </x:c>
      <x:c r="L24" s="100" t="n">
        <x:f aca="0">0</x:f>
        <x:v>0</x:v>
      </x:c>
      <x:c r="M24" s="100" t="n">
        <x:f aca="0">IF(AND(A24&gt;=S08_Defaults!$B$11,A24&lt;=S08_Defaults!$B$12),J24,0)</x:f>
        <x:v>124.90456516599038</x:v>
      </x:c>
      <x:c r="N24" s="100" t="n">
        <x:f aca="0">IF(AND(A24&gt;=S08_Defaults!$B$11,A24&lt;=S08_Defaults!$B$12),K24-L24,0)</x:f>
        <x:v>150.1706975910078</x:v>
      </x:c>
      <x:c r="O24" s="37" t="s">
        <x:v>1271</x:v>
      </x:c>
    </x:row>
    <x:row r="25" ht="15" hidden="0" customHeight="1">
      <x:c r="A25" s="37" t="n">
        <x:v>2025</x:v>
      </x:c>
      <x:c r="B25" s="100" t="n">
        <x:f aca="0">SUM(S18_Deserts_Xeric_ER!K12,S18_Deserts_Xeric_ER!K13,S18_Deserts_Xeric_ER!K14,S18_Deserts_Xeric_ER!K15)</x:f>
        <x:v>298.73767544027504</x:v>
      </x:c>
      <x:c r="C25" s="100" t="n">
        <x:f aca="0">SUM(S18_Deserts_Xeric_ER!AF12,S18_Deserts_Xeric_ER!AF13,S18_Deserts_Xeric_ER!AF14,S18_Deserts_Xeric_ER!AF15)</x:f>
        <x:v>295.09678886549113</x:v>
      </x:c>
      <x:c r="D25" s="100" t="n">
        <x:f aca="0">IF($B$4=0,0,S33_Project_Deductions!D9*$B$4/S08_Defaults!$B$14)</x:f>
        <x:v>14.9337714384159</x:v>
      </x:c>
      <x:c r="E25" s="100" t="n">
        <x:f aca="0">IF($B$4=0,0,S33_Project_Deductions!E9*$B$4/S08_Defaults!$B$14)</x:f>
        <x:v>14.068632447518278</x:v>
      </x:c>
      <x:c r="F25" s="100" t="n">
        <x:f aca="0">S08_Defaults!$B$9</x:f>
        <x:v>0.2</x:v>
      </x:c>
      <x:c r="G25" s="100" t="n">
        <x:f aca="0">C25*(1-F25)-D25-E25</x:f>
        <x:v>207.07502720645874</x:v>
      </x:c>
      <x:c r="H25" s="100" t="n">
        <x:f aca="0">G25-G24</x:f>
        <x:v>113.66877436775198</x:v>
      </x:c>
      <x:c r="I25" s="100" t="n">
        <x:f aca="0">H25/1</x:f>
        <x:v>113.66877436775198</x:v>
      </x:c>
      <x:c r="J25" s="100" t="n">
        <x:f aca="0">B25-D25-E25</x:f>
        <x:v>269.7352715543409</x:v>
      </x:c>
      <x:c r="K25" s="100" t="n">
        <x:f aca="0">B25</x:f>
        <x:v>298.73767544027504</x:v>
      </x:c>
      <x:c r="L25" s="100" t="n">
        <x:f aca="0">0</x:f>
        <x:v>0</x:v>
      </x:c>
      <x:c r="M25" s="100" t="n">
        <x:f aca="0">IF(AND(A25&gt;=S08_Defaults!$B$11,A25&lt;=S08_Defaults!$B$12),J25,0)</x:f>
        <x:v>269.7352715543409</x:v>
      </x:c>
      <x:c r="N25" s="100" t="n">
        <x:f aca="0">IF(AND(A25&gt;=S08_Defaults!$B$11,A25&lt;=S08_Defaults!$B$12),K25-L25,0)</x:f>
        <x:v>298.73767544027504</x:v>
      </x:c>
      <x:c r="O25" s="37" t="s">
        <x:v>1271</x:v>
      </x:c>
    </x:row>
    <x:row r="26" ht="15" hidden="0" customHeight="1">
      <x:c r="A26" s="37" t="n">
        <x:v>2026</x:v>
      </x:c>
      <x:c r="B26" s="100" t="n">
        <x:f aca="0">SUM(S18_Deserts_Xeric_ER!L12,S18_Deserts_Xeric_ER!L13,S18_Deserts_Xeric_ER!L14,S18_Deserts_Xeric_ER!L15)</x:f>
        <x:v>505.55539086160525</x:v>
      </x:c>
      <x:c r="C26" s="100" t="n">
        <x:f aca="0">SUM(S18_Deserts_Xeric_ER!AG12,S18_Deserts_Xeric_ER!AG13,S18_Deserts_Xeric_ER!AG14,S18_Deserts_Xeric_ER!AG15)</x:f>
        <x:v>499.3938987341562</x:v>
      </x:c>
      <x:c r="D26" s="100" t="n">
        <x:f aca="0">IF($B$4=0,0,S33_Project_Deductions!D10*$B$4/S08_Defaults!$B$14)</x:f>
        <x:v>18.69417572906001</x:v>
      </x:c>
      <x:c r="E26" s="100" t="n">
        <x:f aca="0">IF($B$4=0,0,S33_Project_Deductions!E10*$B$4/S08_Defaults!$B$14)</x:f>
        <x:v>14.068632447518278</x:v>
      </x:c>
      <x:c r="F26" s="100" t="n">
        <x:f aca="0">S08_Defaults!$B$9</x:f>
        <x:v>0.2</x:v>
      </x:c>
      <x:c r="G26" s="100" t="n">
        <x:f aca="0">C26*(1-F26)-D26-E26</x:f>
        <x:v>366.7523108107467</x:v>
      </x:c>
      <x:c r="H26" s="100" t="n">
        <x:f aca="0">G26-G25</x:f>
        <x:v>159.67728360428794</x:v>
      </x:c>
      <x:c r="I26" s="100" t="n">
        <x:f aca="0">H26/1</x:f>
        <x:v>159.67728360428794</x:v>
      </x:c>
      <x:c r="J26" s="100" t="n">
        <x:f aca="0">B26-D26-E26</x:f>
        <x:v>472.79258268502696</x:v>
      </x:c>
      <x:c r="K26" s="100" t="n">
        <x:f aca="0">B26</x:f>
        <x:v>505.55539086160525</x:v>
      </x:c>
      <x:c r="L26" s="100" t="n">
        <x:f aca="0">0</x:f>
        <x:v>0</x:v>
      </x:c>
      <x:c r="M26" s="100" t="n">
        <x:f aca="0">IF(AND(A26&gt;=S08_Defaults!$B$11,A26&lt;=S08_Defaults!$B$12),J26,0)</x:f>
        <x:v>472.79258268502696</x:v>
      </x:c>
      <x:c r="N26" s="100" t="n">
        <x:f aca="0">IF(AND(A26&gt;=S08_Defaults!$B$11,A26&lt;=S08_Defaults!$B$12),K26-L26,0)</x:f>
        <x:v>505.55539086160525</x:v>
      </x:c>
      <x:c r="O26" s="37" t="s">
        <x:v>1271</x:v>
      </x:c>
    </x:row>
    <x:row r="27" ht="15" hidden="0" customHeight="1">
      <x:c r="A27" s="37" t="n">
        <x:v>2027</x:v>
      </x:c>
      <x:c r="B27" s="100" t="n">
        <x:f aca="0">SUM(S18_Deserts_Xeric_ER!M12,S18_Deserts_Xeric_ER!M13,S18_Deserts_Xeric_ER!M14,S18_Deserts_Xeric_ER!M15)</x:f>
        <x:v>760.8563085682044</x:v>
      </x:c>
      <x:c r="C27" s="100" t="n">
        <x:f aca="0">SUM(S18_Deserts_Xeric_ER!AH12,S18_Deserts_Xeric_ER!AH13,S18_Deserts_Xeric_ER!AH14,S18_Deserts_Xeric_ER!AH15)</x:f>
        <x:v>751.5833184268606</x:v>
      </x:c>
      <x:c r="D27" s="100" t="n">
        <x:f aca="0">IF($B$4=0,0,S33_Project_Deductions!D11*$B$4/S08_Defaults!$B$14)</x:f>
        <x:v>22.456162190554988</x:v>
      </x:c>
      <x:c r="E27" s="100" t="n">
        <x:f aca="0">IF($B$4=0,0,S33_Project_Deductions!E11*$B$4/S08_Defaults!$B$14)</x:f>
        <x:v>14.068632447518278</x:v>
      </x:c>
      <x:c r="F27" s="100" t="n">
        <x:f aca="0">S08_Defaults!$B$9</x:f>
        <x:v>0.2</x:v>
      </x:c>
      <x:c r="G27" s="100" t="n">
        <x:f aca="0">C27*(1-F27)-D27-E27</x:f>
        <x:v>564.7418601034152</x:v>
      </x:c>
      <x:c r="H27" s="100" t="n">
        <x:f aca="0">G27-G26</x:f>
        <x:v>197.98954929266853</x:v>
      </x:c>
      <x:c r="I27" s="100" t="n">
        <x:f aca="0">H27/1</x:f>
        <x:v>197.98954929266853</x:v>
      </x:c>
      <x:c r="J27" s="100" t="n">
        <x:f aca="0">B27-D27-E27</x:f>
        <x:v>724.3315139301311</x:v>
      </x:c>
      <x:c r="K27" s="100" t="n">
        <x:f aca="0">B27</x:f>
        <x:v>760.8563085682044</x:v>
      </x:c>
      <x:c r="L27" s="100" t="n">
        <x:f aca="0">0</x:f>
        <x:v>0</x:v>
      </x:c>
      <x:c r="M27" s="100" t="n">
        <x:f aca="0">IF(AND(A27&gt;=S08_Defaults!$B$11,A27&lt;=S08_Defaults!$B$12),J27,0)</x:f>
        <x:v>724.3315139301311</x:v>
      </x:c>
      <x:c r="N27" s="100" t="n">
        <x:f aca="0">IF(AND(A27&gt;=S08_Defaults!$B$11,A27&lt;=S08_Defaults!$B$12),K27-L27,0)</x:f>
        <x:v>760.8563085682044</x:v>
      </x:c>
      <x:c r="O27" s="37" t="s">
        <x:v>1271</x:v>
      </x:c>
    </x:row>
    <x:row r="28" ht="15" hidden="0" customHeight="1">
      <x:c r="A28" s="37" t="n">
        <x:v>2028</x:v>
      </x:c>
      <x:c r="B28" s="100" t="n">
        <x:f aca="0">SUM(S18_Deserts_Xeric_ER!N12,S18_Deserts_Xeric_ER!N13,S18_Deserts_Xeric_ER!N14,S18_Deserts_Xeric_ER!N15)</x:f>
        <x:v>1051.0953039676924</x:v>
      </x:c>
      <x:c r="C28" s="100" t="n">
        <x:f aca="0">SUM(S18_Deserts_Xeric_ER!AI12,S18_Deserts_Xeric_ER!AI13,S18_Deserts_Xeric_ER!AI14,S18_Deserts_Xeric_ER!AI15)</x:f>
        <x:v>1038.2850055164029</x:v>
      </x:c>
      <x:c r="D28" s="100" t="n">
        <x:f aca="0">IF($B$4=0,0,S33_Project_Deductions!D12*$B$4/S08_Defaults!$B$14)</x:f>
        <x:v>26.218148652049965</x:v>
      </x:c>
      <x:c r="E28" s="100" t="n">
        <x:f aca="0">IF($B$4=0,0,S33_Project_Deductions!E12*$B$4/S08_Defaults!$B$14)</x:f>
        <x:v>14.068632447518278</x:v>
      </x:c>
      <x:c r="F28" s="100" t="n">
        <x:f aca="0">S08_Defaults!$B$9</x:f>
        <x:v>0.2</x:v>
      </x:c>
      <x:c r="G28" s="100" t="n">
        <x:f aca="0">C28*(1-F28)-D28-E28</x:f>
        <x:v>790.341223313554</x:v>
      </x:c>
      <x:c r="H28" s="100" t="n">
        <x:f aca="0">G28-G27</x:f>
        <x:v>225.5993632101388</x:v>
      </x:c>
      <x:c r="I28" s="100" t="n">
        <x:f aca="0">H28/1</x:f>
        <x:v>225.5993632101388</x:v>
      </x:c>
      <x:c r="J28" s="100" t="n">
        <x:f aca="0">B28-D28-E28</x:f>
        <x:v>1010.8085228681242</x:v>
      </x:c>
      <x:c r="K28" s="100" t="n">
        <x:f aca="0">B28</x:f>
        <x:v>1051.0953039676924</x:v>
      </x:c>
      <x:c r="L28" s="100" t="n">
        <x:f aca="0">0</x:f>
        <x:v>0</x:v>
      </x:c>
      <x:c r="M28" s="100" t="n">
        <x:f aca="0">IF(AND(A28&gt;=S08_Defaults!$B$11,A28&lt;=S08_Defaults!$B$12),J28,0)</x:f>
        <x:v>1010.8085228681242</x:v>
      </x:c>
      <x:c r="N28" s="100" t="n">
        <x:f aca="0">IF(AND(A28&gt;=S08_Defaults!$B$11,A28&lt;=S08_Defaults!$B$12),K28-L28,0)</x:f>
        <x:v>1051.0953039676924</x:v>
      </x:c>
      <x:c r="O28" s="37" t="s">
        <x:v>1271</x:v>
      </x:c>
    </x:row>
    <x:row r="29" ht="15" hidden="0" customHeight="1">
      <x:c r="A29" s="37" t="n">
        <x:v>2029</x:v>
      </x:c>
      <x:c r="B29" s="100" t="n">
        <x:f aca="0">SUM(S18_Deserts_Xeric_ER!O12,S18_Deserts_Xeric_ER!O13,S18_Deserts_Xeric_ER!O14,S18_Deserts_Xeric_ER!O15)</x:f>
        <x:v>1362.2342753424487</x:v>
      </x:c>
      <x:c r="C29" s="100" t="n">
        <x:f aca="0">SUM(S18_Deserts_Xeric_ER!AJ12,S18_Deserts_Xeric_ER!AJ13,S18_Deserts_Xeric_ER!AJ14,S18_Deserts_Xeric_ER!AJ15)</x:f>
        <x:v>1345.6319486439656</x:v>
      </x:c>
      <x:c r="D29" s="100" t="n">
        <x:f aca="0">IF($B$4=0,0,S33_Project_Deductions!D13*$B$4/S08_Defaults!$B$14)</x:f>
        <x:v>29.980135113544943</x:v>
      </x:c>
      <x:c r="E29" s="100" t="n">
        <x:f aca="0">IF($B$4=0,0,S33_Project_Deductions!E13*$B$4/S08_Defaults!$B$14)</x:f>
        <x:v>14.068632447518278</x:v>
      </x:c>
      <x:c r="F29" s="100" t="n">
        <x:f aca="0">S08_Defaults!$B$9</x:f>
        <x:v>0.2</x:v>
      </x:c>
      <x:c r="G29" s="100" t="n">
        <x:f aca="0">C29*(1-F29)-D29-E29</x:f>
        <x:v>1032.4567913541093</x:v>
      </x:c>
      <x:c r="H29" s="100" t="n">
        <x:f aca="0">G29-G28</x:f>
        <x:v>242.11556804055533</x:v>
      </x:c>
      <x:c r="I29" s="100" t="n">
        <x:f aca="0">H29/1</x:f>
        <x:v>242.11556804055533</x:v>
      </x:c>
      <x:c r="J29" s="100" t="n">
        <x:f aca="0">B29-D29-E29</x:f>
        <x:v>1318.1855077813855</x:v>
      </x:c>
      <x:c r="K29" s="100" t="n">
        <x:f aca="0">B29</x:f>
        <x:v>1362.2342753424487</x:v>
      </x:c>
      <x:c r="L29" s="100" t="n">
        <x:f aca="0">0</x:f>
        <x:v>0</x:v>
      </x:c>
      <x:c r="M29" s="100" t="n">
        <x:f aca="0">IF(AND(A29&gt;=S08_Defaults!$B$11,A29&lt;=S08_Defaults!$B$12),J29,0)</x:f>
        <x:v>1318.1855077813855</x:v>
      </x:c>
      <x:c r="N29" s="100" t="n">
        <x:f aca="0">IF(AND(A29&gt;=S08_Defaults!$B$11,A29&lt;=S08_Defaults!$B$12),K29-L29,0)</x:f>
        <x:v>1362.2342753424487</x:v>
      </x:c>
      <x:c r="O29" s="37" t="s">
        <x:v>1271</x:v>
      </x:c>
    </x:row>
    <x:row r="30" ht="15" hidden="0" customHeight="1">
      <x:c r="A30" s="37" t="n">
        <x:v>2030</x:v>
      </x:c>
      <x:c r="B30" s="100" t="n">
        <x:f aca="0">SUM(S18_Deserts_Xeric_ER!P12,S18_Deserts_Xeric_ER!P13,S18_Deserts_Xeric_ER!P14,S18_Deserts_Xeric_ER!P15)</x:f>
        <x:v>1681.7017627289706</x:v>
      </x:c>
      <x:c r="C30" s="100" t="n">
        <x:f aca="0">SUM(S18_Deserts_Xeric_ER!AK12,S18_Deserts_Xeric_ER!AK13,S18_Deserts_Xeric_ER!AK14,S18_Deserts_Xeric_ER!AK15)</x:f>
        <x:v>1661.20590340461</x:v>
      </x:c>
      <x:c r="D30" s="100" t="n">
        <x:f aca="0">IF($B$4=0,0,S33_Project_Deductions!D14*$B$4/S08_Defaults!$B$14)</x:f>
        <x:v>33.74212157503992</x:v>
      </x:c>
      <x:c r="E30" s="100" t="n">
        <x:f aca="0">IF($B$4=0,0,S33_Project_Deductions!E14*$B$4/S08_Defaults!$B$14)</x:f>
        <x:v>14.068632447518278</x:v>
      </x:c>
      <x:c r="F30" s="100" t="n">
        <x:f aca="0">S08_Defaults!$B$9</x:f>
        <x:v>0.2</x:v>
      </x:c>
      <x:c r="G30" s="100" t="n">
        <x:f aca="0">C30*(1-F30)-D30-E30</x:f>
        <x:v>1281.15396870113</x:v>
      </x:c>
      <x:c r="H30" s="100" t="n">
        <x:f aca="0">G30-G29</x:f>
        <x:v>248.69717734702067</x:v>
      </x:c>
      <x:c r="I30" s="100" t="n">
        <x:f aca="0">H30/1</x:f>
        <x:v>248.69717734702067</x:v>
      </x:c>
      <x:c r="J30" s="100" t="n">
        <x:f aca="0">B30-D30-E30</x:f>
        <x:v>1633.8910087064125</x:v>
      </x:c>
      <x:c r="K30" s="100" t="n">
        <x:f aca="0">B30</x:f>
        <x:v>1681.7017627289706</x:v>
      </x:c>
      <x:c r="L30" s="100" t="n">
        <x:f aca="0">0</x:f>
        <x:v>0</x:v>
      </x:c>
      <x:c r="M30" s="100" t="n">
        <x:f aca="0">IF(AND(A30&gt;=S08_Defaults!$B$11,A30&lt;=S08_Defaults!$B$12),J30,0)</x:f>
        <x:v>1633.8910087064125</x:v>
      </x:c>
      <x:c r="N30" s="100" t="n">
        <x:f aca="0">IF(AND(A30&gt;=S08_Defaults!$B$11,A30&lt;=S08_Defaults!$B$12),K30-L30,0)</x:f>
        <x:v>1681.7017627289706</x:v>
      </x:c>
      <x:c r="O30" s="37" t="s">
        <x:v>1271</x:v>
      </x:c>
    </x:row>
    <x:row r="31" ht="15" hidden="0" customHeight="1">
      <x:c r="A31" s="37" t="n">
        <x:v>2031</x:v>
      </x:c>
      <x:c r="B31" s="100" t="n">
        <x:f aca="0">SUM(S18_Deserts_Xeric_ER!Q12,S18_Deserts_Xeric_ER!Q13,S18_Deserts_Xeric_ER!Q14,S18_Deserts_Xeric_ER!Q15)</x:f>
        <x:v>1999.24828957131</x:v>
      </x:c>
      <x:c r="C31" s="100" t="n">
        <x:f aca="0">SUM(S18_Deserts_Xeric_ER!AL12,S18_Deserts_Xeric_ER!AL13,S18_Deserts_Xeric_ER!AL14,S18_Deserts_Xeric_ER!AL15)</x:f>
        <x:v>1974.8823094637382</x:v>
      </x:c>
      <x:c r="D31" s="100" t="n">
        <x:f aca="0">IF($B$4=0,0,S33_Project_Deductions!D15*$B$4/S08_Defaults!$B$14)</x:f>
        <x:v>37.504108036534895</x:v>
      </x:c>
      <x:c r="E31" s="100" t="n">
        <x:f aca="0">IF($B$4=0,0,S33_Project_Deductions!E15*$B$4/S08_Defaults!$B$14)</x:f>
        <x:v>14.068632447518278</x:v>
      </x:c>
      <x:c r="F31" s="100" t="n">
        <x:f aca="0">S08_Defaults!$B$9</x:f>
        <x:v>0.2</x:v>
      </x:c>
      <x:c r="G31" s="100" t="n">
        <x:f aca="0">C31*(1-F31)-D31-E31</x:f>
        <x:v>1528.3331070869376</x:v>
      </x:c>
      <x:c r="H31" s="100" t="n">
        <x:f aca="0">G31-G30</x:f>
        <x:v>247.17913838580762</x:v>
      </x:c>
      <x:c r="I31" s="100" t="n">
        <x:f aca="0">H31/1</x:f>
        <x:v>247.17913838580762</x:v>
      </x:c>
      <x:c r="J31" s="100" t="n">
        <x:f aca="0">B31-D31-E31</x:f>
        <x:v>1947.6755490872567</x:v>
      </x:c>
      <x:c r="K31" s="100" t="n">
        <x:f aca="0">B31</x:f>
        <x:v>1999.24828957131</x:v>
      </x:c>
      <x:c r="L31" s="100" t="n">
        <x:f aca="0">0</x:f>
        <x:v>0</x:v>
      </x:c>
      <x:c r="M31" s="100" t="n">
        <x:f aca="0">IF(AND(A31&gt;=S08_Defaults!$B$11,A31&lt;=S08_Defaults!$B$12),J31,0)</x:f>
        <x:v>1947.6755490872567</x:v>
      </x:c>
      <x:c r="N31" s="100" t="n">
        <x:f aca="0">IF(AND(A31&gt;=S08_Defaults!$B$11,A31&lt;=S08_Defaults!$B$12),K31-L31,0)</x:f>
        <x:v>1999.24828957131</x:v>
      </x:c>
      <x:c r="O31" s="37" t="s">
        <x:v>1271</x:v>
      </x:c>
    </x:row>
    <x:row r="32" ht="15" hidden="0" customHeight="1">
      <x:c r="A32" s="37" t="n">
        <x:v>2032</x:v>
      </x:c>
      <x:c r="B32" s="100" t="n">
        <x:f aca="0">SUM(S18_Deserts_Xeric_ER!R12,S18_Deserts_Xeric_ER!R13,S18_Deserts_Xeric_ER!R14,S18_Deserts_Xeric_ER!R15)</x:f>
        <x:v>2307.1200452735943</x:v>
      </x:c>
      <x:c r="C32" s="100" t="n">
        <x:f aca="0">SUM(S18_Deserts_Xeric_ER!AM12,S18_Deserts_Xeric_ER!AM13,S18_Deserts_Xeric_ER!AM14,S18_Deserts_Xeric_ER!AM15)</x:f>
        <x:v>2279.001856341208</x:v>
      </x:c>
      <x:c r="D32" s="100" t="n">
        <x:f aca="0">IF($B$4=0,0,S33_Project_Deductions!D16*$B$4/S08_Defaults!$B$14)</x:f>
        <x:v>41.26609449802988</x:v>
      </x:c>
      <x:c r="E32" s="100" t="n">
        <x:f aca="0">IF($B$4=0,0,S33_Project_Deductions!E16*$B$4/S08_Defaults!$B$14)</x:f>
        <x:v>14.068632447518278</x:v>
      </x:c>
      <x:c r="F32" s="100" t="n">
        <x:f aca="0">S08_Defaults!$B$9</x:f>
        <x:v>0.2</x:v>
      </x:c>
      <x:c r="G32" s="100" t="n">
        <x:f aca="0">C32*(1-F32)-D32-E32</x:f>
        <x:v>1767.8667581274185</x:v>
      </x:c>
      <x:c r="H32" s="100" t="n">
        <x:f aca="0">G32-G31</x:f>
        <x:v>239.5336510404809</x:v>
      </x:c>
      <x:c r="I32" s="100" t="n">
        <x:f aca="0">H32/1</x:f>
        <x:v>239.5336510404809</x:v>
      </x:c>
      <x:c r="J32" s="100" t="n">
        <x:f aca="0">B32-D32-E32</x:f>
        <x:v>2251.7853183280463</x:v>
      </x:c>
      <x:c r="K32" s="100" t="n">
        <x:f aca="0">B32</x:f>
        <x:v>2307.1200452735943</x:v>
      </x:c>
      <x:c r="L32" s="100" t="n">
        <x:f aca="0">0</x:f>
        <x:v>0</x:v>
      </x:c>
      <x:c r="M32" s="100" t="n">
        <x:f aca="0">IF(AND(A32&gt;=S08_Defaults!$B$11,A32&lt;=S08_Defaults!$B$12),J32,0)</x:f>
        <x:v>2251.7853183280463</x:v>
      </x:c>
      <x:c r="N32" s="100" t="n">
        <x:f aca="0">IF(AND(A32&gt;=S08_Defaults!$B$11,A32&lt;=S08_Defaults!$B$12),K32-L32,0)</x:f>
        <x:v>2307.1200452735943</x:v>
      </x:c>
      <x:c r="O32" s="37" t="s">
        <x:v>1271</x:v>
      </x:c>
    </x:row>
    <x:row r="33" ht="15" hidden="0" customHeight="1">
      <x:c r="A33" s="37" t="n">
        <x:v>2033</x:v>
      </x:c>
      <x:c r="B33" s="100" t="n">
        <x:f aca="0">SUM(S18_Deserts_Xeric_ER!S12,S18_Deserts_Xeric_ER!S13,S18_Deserts_Xeric_ER!S14,S18_Deserts_Xeric_ER!S15)</x:f>
        <x:v>2599.8665738263585</x:v>
      </x:c>
      <x:c r="C33" s="100" t="n">
        <x:f aca="0">SUM(S18_Deserts_Xeric_ER!AN12,S18_Deserts_Xeric_ER!AN13,S18_Deserts_Xeric_ER!AN14,S18_Deserts_Xeric_ER!AN15)</x:f>
        <x:v>2568.180515846148</x:v>
      </x:c>
      <x:c r="D33" s="100" t="n">
        <x:f aca="0">IF($B$4=0,0,S33_Project_Deductions!D17*$B$4/S08_Defaults!$B$14)</x:f>
        <x:v>45.02808095952486</x:v>
      </x:c>
      <x:c r="E33" s="100" t="n">
        <x:f aca="0">IF($B$4=0,0,S33_Project_Deductions!E17*$B$4/S08_Defaults!$B$14)</x:f>
        <x:v>14.068632447518278</x:v>
      </x:c>
      <x:c r="F33" s="100" t="n">
        <x:f aca="0">S08_Defaults!$B$9</x:f>
        <x:v>0.2</x:v>
      </x:c>
      <x:c r="G33" s="100" t="n">
        <x:f aca="0">C33*(1-F33)-D33-E33</x:f>
        <x:v>1995.4476992698753</x:v>
      </x:c>
      <x:c r="H33" s="100" t="n">
        <x:f aca="0">G33-G32</x:f>
        <x:v>227.58094114245682</x:v>
      </x:c>
      <x:c r="I33" s="100" t="n">
        <x:f aca="0">H33/1</x:f>
        <x:v>227.58094114245682</x:v>
      </x:c>
      <x:c r="J33" s="100" t="n">
        <x:f aca="0">B33-D33-E33</x:f>
        <x:v>2540.7698604193156</x:v>
      </x:c>
      <x:c r="K33" s="100" t="n">
        <x:f aca="0">B33</x:f>
        <x:v>2599.8665738263585</x:v>
      </x:c>
      <x:c r="L33" s="100" t="n">
        <x:f aca="0">0</x:f>
        <x:v>0</x:v>
      </x:c>
      <x:c r="M33" s="100" t="n">
        <x:f aca="0">IF(AND(A33&gt;=S08_Defaults!$B$11,A33&lt;=S08_Defaults!$B$12),J33,0)</x:f>
        <x:v>2540.7698604193156</x:v>
      </x:c>
      <x:c r="N33" s="100" t="n">
        <x:f aca="0">IF(AND(A33&gt;=S08_Defaults!$B$11,A33&lt;=S08_Defaults!$B$12),K33-L33,0)</x:f>
        <x:v>2599.8665738263585</x:v>
      </x:c>
      <x:c r="O33" s="37" t="s">
        <x:v>1271</x:v>
      </x:c>
    </x:row>
    <x:row r="34" ht="15" hidden="0" customHeight="1">
      <x:c r="A34" s="37" t="n">
        <x:v>2034</x:v>
      </x:c>
      <x:c r="B34" s="100" t="n">
        <x:f aca="0">SUM(S18_Deserts_Xeric_ER!T12,S18_Deserts_Xeric_ER!T13,S18_Deserts_Xeric_ER!T14,S18_Deserts_Xeric_ER!T15)</x:f>
        <x:v>2873.9871983008334</x:v>
      </x:c>
      <x:c r="C34" s="100" t="n">
        <x:f aca="0">SUM(S18_Deserts_Xeric_ER!AO12,S18_Deserts_Xeric_ER!AO13,S18_Deserts_Xeric_ER!AO14,S18_Deserts_Xeric_ER!AO15)</x:f>
        <x:v>2838.9602757977614</x:v>
      </x:c>
      <x:c r="D34" s="100" t="n">
        <x:f aca="0">IF($B$4=0,0,S33_Project_Deductions!D18*$B$4/S08_Defaults!$B$14)</x:f>
        <x:v>48.790067421019835</x:v>
      </x:c>
      <x:c r="E34" s="100" t="n">
        <x:f aca="0">IF($B$4=0,0,S33_Project_Deductions!E18*$B$4/S08_Defaults!$B$14)</x:f>
        <x:v>14.068632447518278</x:v>
      </x:c>
      <x:c r="F34" s="100" t="n">
        <x:f aca="0">S08_Defaults!$B$9</x:f>
        <x:v>0.2</x:v>
      </x:c>
      <x:c r="G34" s="100" t="n">
        <x:f aca="0">C34*(1-F34)-D34-E34</x:f>
        <x:v>2208.309520769671</x:v>
      </x:c>
      <x:c r="H34" s="100" t="n">
        <x:f aca="0">G34-G33</x:f>
        <x:v>212.86182149979572</x:v>
      </x:c>
      <x:c r="I34" s="100" t="n">
        <x:f aca="0">H34/1</x:f>
        <x:v>212.86182149979572</x:v>
      </x:c>
      <x:c r="J34" s="100" t="n">
        <x:f aca="0">B34-D34-E34</x:f>
        <x:v>2811.128498432295</x:v>
      </x:c>
      <x:c r="K34" s="100" t="n">
        <x:f aca="0">B34</x:f>
        <x:v>2873.9871983008334</x:v>
      </x:c>
      <x:c r="L34" s="100" t="n">
        <x:f aca="0">0</x:f>
        <x:v>0</x:v>
      </x:c>
      <x:c r="M34" s="100" t="n">
        <x:f aca="0">IF(AND(A34&gt;=S08_Defaults!$B$11,A34&lt;=S08_Defaults!$B$12),J34,0)</x:f>
        <x:v>2811.128498432295</x:v>
      </x:c>
      <x:c r="N34" s="100" t="n">
        <x:f aca="0">IF(AND(A34&gt;=S08_Defaults!$B$11,A34&lt;=S08_Defaults!$B$12),K34-L34,0)</x:f>
        <x:v>2873.9871983008334</x:v>
      </x:c>
      <x:c r="O34" s="37" t="s">
        <x:v>1271</x:v>
      </x:c>
    </x:row>
    <x:row r="35" ht="15" hidden="0" customHeight="1">
      <x:c r="A35" s="37" t="n">
        <x:v>2035</x:v>
      </x:c>
      <x:c r="B35" s="100" t="n">
        <x:f aca="0">SUM(S18_Deserts_Xeric_ER!U12,S18_Deserts_Xeric_ER!U13,S18_Deserts_Xeric_ER!U14,S18_Deserts_Xeric_ER!U15)</x:f>
        <x:v>3127.536237424405</x:v>
      </x:c>
      <x:c r="C35" s="100" t="n">
        <x:f aca="0">SUM(S18_Deserts_Xeric_ER!AP12,S18_Deserts_Xeric_ER!AP13,S18_Deserts_Xeric_ER!AP14,S18_Deserts_Xeric_ER!AP15)</x:f>
        <x:v>3089.4191680517297</x:v>
      </x:c>
      <x:c r="D35" s="100" t="n">
        <x:f aca="0">IF($B$4=0,0,S33_Project_Deductions!D19*$B$4/S08_Defaults!$B$14)</x:f>
        <x:v>52.552053882514805</x:v>
      </x:c>
      <x:c r="E35" s="100" t="n">
        <x:f aca="0">IF($B$4=0,0,S33_Project_Deductions!E19*$B$4/S08_Defaults!$B$14)</x:f>
        <x:v>14.068632447518278</x:v>
      </x:c>
      <x:c r="F35" s="100" t="n">
        <x:f aca="0">S08_Defaults!$B$9</x:f>
        <x:v>0.2</x:v>
      </x:c>
      <x:c r="G35" s="100" t="n">
        <x:f aca="0">C35*(1-F35)-D35-E35</x:f>
        <x:v>2404.9146481113507</x:v>
      </x:c>
      <x:c r="H35" s="100" t="n">
        <x:f aca="0">G35-G34</x:f>
        <x:v>196.6051273416797</x:v>
      </x:c>
      <x:c r="I35" s="100" t="n">
        <x:f aca="0">H35/1</x:f>
        <x:v>196.6051273416797</x:v>
      </x:c>
      <x:c r="J35" s="100" t="n">
        <x:f aca="0">B35-D35-E35</x:f>
        <x:v>3060.915551094372</x:v>
      </x:c>
      <x:c r="K35" s="100" t="n">
        <x:f aca="0">B35</x:f>
        <x:v>3127.536237424405</x:v>
      </x:c>
      <x:c r="L35" s="100" t="n">
        <x:f aca="0">0</x:f>
        <x:v>0</x:v>
      </x:c>
      <x:c r="M35" s="100" t="n">
        <x:f aca="0">IF(AND(A35&gt;=S08_Defaults!$B$11,A35&lt;=S08_Defaults!$B$12),J35,0)</x:f>
        <x:v>3060.915551094372</x:v>
      </x:c>
      <x:c r="N35" s="100" t="n">
        <x:f aca="0">IF(AND(A35&gt;=S08_Defaults!$B$11,A35&lt;=S08_Defaults!$B$12),K35-L35,0)</x:f>
        <x:v>3127.536237424405</x:v>
      </x:c>
      <x:c r="O35" s="37" t="s">
        <x:v>1271</x:v>
      </x:c>
    </x:row>
    <x:row r="36" ht="15" hidden="0" customHeight="1">
      <x:c r="A36" s="37" t="n">
        <x:v>2036</x:v>
      </x:c>
      <x:c r="B36" s="100" t="n">
        <x:f aca="0">SUM(S18_Deserts_Xeric_ER!V12,S18_Deserts_Xeric_ER!V13,S18_Deserts_Xeric_ER!V14,S18_Deserts_Xeric_ER!V15)</x:f>
        <x:v>3359.750325435304</x:v>
      </x:c>
      <x:c r="C36" s="100" t="n">
        <x:f aca="0">SUM(S18_Deserts_Xeric_ER!AQ12,S18_Deserts_Xeric_ER!AQ13,S18_Deserts_Xeric_ER!AQ14,S18_Deserts_Xeric_ER!AQ15)</x:f>
        <x:v>3318.8031304205633</x:v>
      </x:c>
      <x:c r="D36" s="100" t="n">
        <x:f aca="0">IF($B$4=0,0,S33_Project_Deductions!D20*$B$4/S08_Defaults!$B$14)</x:f>
        <x:v>56.314040344009776</x:v>
      </x:c>
      <x:c r="E36" s="100" t="n">
        <x:f aca="0">IF($B$4=0,0,S33_Project_Deductions!E20*$B$4/S08_Defaults!$B$14)</x:f>
        <x:v>14.068632447518278</x:v>
      </x:c>
      <x:c r="F36" s="100" t="n">
        <x:f aca="0">S08_Defaults!$B$9</x:f>
        <x:v>0.2</x:v>
      </x:c>
      <x:c r="G36" s="100" t="n">
        <x:f aca="0">C36*(1-F36)-D36-E36</x:f>
        <x:v>2584.659831544923</x:v>
      </x:c>
      <x:c r="H36" s="100" t="n">
        <x:f aca="0">G36-G35</x:f>
        <x:v>179.74518343357204</x:v>
      </x:c>
      <x:c r="I36" s="100" t="n">
        <x:f aca="0">H36/1</x:f>
        <x:v>179.74518343357204</x:v>
      </x:c>
      <x:c r="J36" s="100" t="n">
        <x:f aca="0">B36-D36-E36</x:f>
        <x:v>3289.367652643776</x:v>
      </x:c>
      <x:c r="K36" s="100" t="n">
        <x:f aca="0">B36</x:f>
        <x:v>3359.750325435304</x:v>
      </x:c>
      <x:c r="L36" s="100" t="n">
        <x:f aca="0">0</x:f>
        <x:v>0</x:v>
      </x:c>
      <x:c r="M36" s="100" t="n">
        <x:f aca="0">IF(AND(A36&gt;=S08_Defaults!$B$11,A36&lt;=S08_Defaults!$B$12),J36,0)</x:f>
        <x:v>3289.367652643776</x:v>
      </x:c>
      <x:c r="N36" s="100" t="n">
        <x:f aca="0">IF(AND(A36&gt;=S08_Defaults!$B$11,A36&lt;=S08_Defaults!$B$12),K36-L36,0)</x:f>
        <x:v>3359.750325435304</x:v>
      </x:c>
      <x:c r="O36" s="37" t="s">
        <x:v>1271</x:v>
      </x:c>
    </x:row>
    <x:row r="37" ht="15" hidden="0" customHeight="1">
      <x:c r="A37" s="37" t="n">
        <x:v>2037</x:v>
      </x:c>
      <x:c r="B37" s="100" t="n">
        <x:f aca="0">SUM(S18_Deserts_Xeric_ER!W12,S18_Deserts_Xeric_ER!W13,S18_Deserts_Xeric_ER!W14,S18_Deserts_Xeric_ER!W15)</x:f>
        <x:v>3570.7261837192355</x:v>
      </x:c>
      <x:c r="C37" s="100" t="n">
        <x:f aca="0">SUM(S18_Deserts_Xeric_ER!AR12,S18_Deserts_Xeric_ER!AR13,S18_Deserts_Xeric_ER!AR14,S18_Deserts_Xeric_ER!AR15)</x:f>
        <x:v>3527.2077054912293</x:v>
      </x:c>
      <x:c r="D37" s="100" t="n">
        <x:f aca="0">IF($B$4=0,0,S33_Project_Deductions!D21*$B$4/S08_Defaults!$B$14)</x:f>
        <x:v>60.07602680550475</x:v>
      </x:c>
      <x:c r="E37" s="100" t="n">
        <x:f aca="0">IF($B$4=0,0,S33_Project_Deductions!E21*$B$4/S08_Defaults!$B$14)</x:f>
        <x:v>14.068632447518278</x:v>
      </x:c>
      <x:c r="F37" s="100" t="n">
        <x:f aca="0">S08_Defaults!$B$9</x:f>
        <x:v>0.2</x:v>
      </x:c>
      <x:c r="G37" s="100" t="n">
        <x:f aca="0">C37*(1-F37)-D37-E37</x:f>
        <x:v>2747.621505139961</x:v>
      </x:c>
      <x:c r="H37" s="100" t="n">
        <x:f aca="0">G37-G36</x:f>
        <x:v>162.96167359503806</x:v>
      </x:c>
      <x:c r="I37" s="100" t="n">
        <x:f aca="0">H37/1</x:f>
        <x:v>162.96167359503806</x:v>
      </x:c>
      <x:c r="J37" s="100" t="n">
        <x:f aca="0">B37-D37-E37</x:f>
        <x:v>3496.5815244662126</x:v>
      </x:c>
      <x:c r="K37" s="100" t="n">
        <x:f aca="0">B37</x:f>
        <x:v>3570.7261837192355</x:v>
      </x:c>
      <x:c r="L37" s="100" t="n">
        <x:f aca="0">0</x:f>
        <x:v>0</x:v>
      </x:c>
      <x:c r="M37" s="100" t="n">
        <x:f aca="0">IF(AND(A37&gt;=S08_Defaults!$B$11,A37&lt;=S08_Defaults!$B$12),J37,0)</x:f>
        <x:v>3496.5815244662126</x:v>
      </x:c>
      <x:c r="N37" s="100" t="n">
        <x:f aca="0">IF(AND(A37&gt;=S08_Defaults!$B$11,A37&lt;=S08_Defaults!$B$12),K37-L37,0)</x:f>
        <x:v>3570.7261837192355</x:v>
      </x:c>
      <x:c r="O37" s="37" t="s">
        <x:v>1271</x:v>
      </x:c>
    </x:row>
    <x:row r="38" ht="15" hidden="0" customHeight="1">
      <x:c r="A38" s="37" t="n">
        <x:v>2038</x:v>
      </x:c>
      <x:c r="B38" s="100" t="n">
        <x:f aca="0">SUM(S18_Deserts_Xeric_ER!X12,S18_Deserts_Xeric_ER!X13,S18_Deserts_Xeric_ER!X14,S18_Deserts_Xeric_ER!X15)</x:f>
        <x:v>3761.1571934318054</x:v>
      </x:c>
      <x:c r="C38" s="100" t="n">
        <x:f aca="0">SUM(S18_Deserts_Xeric_ER!AS12,S18_Deserts_Xeric_ER!AS13,S18_Deserts_Xeric_ER!AS14,S18_Deserts_Xeric_ER!AS15)</x:f>
        <x:v>3715.317823787398</x:v>
      </x:c>
      <x:c r="D38" s="100" t="n">
        <x:f aca="0">IF($B$4=0,0,S33_Project_Deductions!D22*$B$4/S08_Defaults!$B$14)</x:f>
        <x:v>63.838013266999724</x:v>
      </x:c>
      <x:c r="E38" s="100" t="n">
        <x:f aca="0">IF($B$4=0,0,S33_Project_Deductions!E22*$B$4/S08_Defaults!$B$14)</x:f>
        <x:v>14.068632447518278</x:v>
      </x:c>
      <x:c r="F38" s="100" t="n">
        <x:f aca="0">S08_Defaults!$B$9</x:f>
        <x:v>0.2</x:v>
      </x:c>
      <x:c r="G38" s="100" t="n">
        <x:f aca="0">C38*(1-F38)-D38-E38</x:f>
        <x:v>2894.347613315401</x:v>
      </x:c>
      <x:c r="H38" s="100" t="n">
        <x:f aca="0">G38-G37</x:f>
        <x:v>146.72610817544</x:v>
      </x:c>
      <x:c r="I38" s="100" t="n">
        <x:f aca="0">H38/1</x:f>
        <x:v>146.72610817544</x:v>
      </x:c>
      <x:c r="J38" s="100" t="n">
        <x:f aca="0">B38-D38-E38</x:f>
        <x:v>3683.250547717287</x:v>
      </x:c>
      <x:c r="K38" s="100" t="n">
        <x:f aca="0">B38</x:f>
        <x:v>3761.1571934318054</x:v>
      </x:c>
      <x:c r="L38" s="100" t="n">
        <x:f aca="0">0</x:f>
        <x:v>0</x:v>
      </x:c>
      <x:c r="M38" s="100" t="n">
        <x:f aca="0">IF(AND(A38&gt;=S08_Defaults!$B$11,A38&lt;=S08_Defaults!$B$12),J38,0)</x:f>
        <x:v>3683.250547717287</x:v>
      </x:c>
      <x:c r="N38" s="100" t="n">
        <x:f aca="0">IF(AND(A38&gt;=S08_Defaults!$B$11,A38&lt;=S08_Defaults!$B$12),K38-L38,0)</x:f>
        <x:v>3761.1571934318054</x:v>
      </x:c>
      <x:c r="O38" s="37" t="s">
        <x:v>1271</x:v>
      </x:c>
    </x:row>
    <x:row r="39" ht="15" hidden="0" customHeight="1">
      <x:c r="A39" s="37" t="n">
        <x:v>2039</x:v>
      </x:c>
      <x:c r="B39" s="100" t="n">
        <x:f aca="0">SUM(S18_Deserts_Xeric_ER!Y12,S18_Deserts_Xeric_ER!Y13,S18_Deserts_Xeric_ER!Y14,S18_Deserts_Xeric_ER!Y15)</x:f>
        <x:v>3932.1266414194233</x:v>
      </x:c>
      <x:c r="C39" s="100" t="n">
        <x:f aca="0">SUM(S18_Deserts_Xeric_ER!AT12,S18_Deserts_Xeric_ER!AT13,S18_Deserts_Xeric_ER!AT14,S18_Deserts_Xeric_ER!AT15)</x:f>
        <x:v>3884.203569520324</x:v>
      </x:c>
      <x:c r="D39" s="100" t="n">
        <x:f aca="0">IF($B$4=0,0,S33_Project_Deductions!D23*$B$4/S08_Defaults!$B$14)</x:f>
        <x:v>67.5999997284947</x:v>
      </x:c>
      <x:c r="E39" s="100" t="n">
        <x:f aca="0">IF($B$4=0,0,S33_Project_Deductions!E23*$B$4/S08_Defaults!$B$14)</x:f>
        <x:v>14.068632447518278</x:v>
      </x:c>
      <x:c r="F39" s="100" t="n">
        <x:f aca="0">S08_Defaults!$B$9</x:f>
        <x:v>0.2</x:v>
      </x:c>
      <x:c r="G39" s="100" t="n">
        <x:f aca="0">C39*(1-F39)-D39-E39</x:f>
        <x:v>3025.6942234402463</x:v>
      </x:c>
      <x:c r="H39" s="100" t="n">
        <x:f aca="0">G39-G38</x:f>
        <x:v>131.34661012484548</x:v>
      </x:c>
      <x:c r="I39" s="100" t="n">
        <x:f aca="0">H39/1</x:f>
        <x:v>131.34661012484548</x:v>
      </x:c>
      <x:c r="J39" s="100" t="n">
        <x:f aca="0">B39-D39-E39</x:f>
        <x:v>3850.4580092434103</x:v>
      </x:c>
      <x:c r="K39" s="100" t="n">
        <x:f aca="0">B39</x:f>
        <x:v>3932.1266414194233</x:v>
      </x:c>
      <x:c r="L39" s="100" t="n">
        <x:f aca="0">0</x:f>
        <x:v>0</x:v>
      </x:c>
      <x:c r="M39" s="100" t="n">
        <x:f aca="0">IF(AND(A39&gt;=S08_Defaults!$B$11,A39&lt;=S08_Defaults!$B$12),J39,0)</x:f>
        <x:v>3850.4580092434103</x:v>
      </x:c>
      <x:c r="N39" s="100" t="n">
        <x:f aca="0">IF(AND(A39&gt;=S08_Defaults!$B$11,A39&lt;=S08_Defaults!$B$12),K39-L39,0)</x:f>
        <x:v>3932.1266414194233</x:v>
      </x:c>
      <x:c r="O39" s="37" t="s">
        <x:v>1271</x:v>
      </x:c>
    </x:row>
    <x:row r="40" ht="15" hidden="0" customHeight="1">
      <x:c r="A40" s="37" t="n">
        <x:v>2040</x:v>
      </x:c>
      <x:c r="B40" s="100" t="n">
        <x:f aca="0">SUM(S18_Deserts_Xeric_ER!Z12,S18_Deserts_Xeric_ER!Z13,S18_Deserts_Xeric_ER!Z14,S18_Deserts_Xeric_ER!Z15)</x:f>
        <x:v>4084.950741348181</x:v>
      </x:c>
      <x:c r="C40" s="100" t="n">
        <x:f aca="0">SUM(S18_Deserts_Xeric_ER!AU12,S18_Deserts_Xeric_ER!AU13,S18_Deserts_Xeric_ER!AU14,S18_Deserts_Xeric_ER!AU15)</x:f>
        <x:v>4035.1651149088348</x:v>
      </x:c>
      <x:c r="D40" s="100" t="n">
        <x:f aca="0">IF($B$4=0,0,S33_Project_Deductions!D24*$B$4/S08_Defaults!$B$14)</x:f>
        <x:v>71.36198618998966</x:v>
      </x:c>
      <x:c r="E40" s="100" t="n">
        <x:f aca="0">IF($B$4=0,0,S33_Project_Deductions!E24*$B$4/S08_Defaults!$B$14)</x:f>
        <x:v>14.068632447518278</x:v>
      </x:c>
      <x:c r="F40" s="100" t="n">
        <x:f aca="0">S08_Defaults!$B$9</x:f>
        <x:v>0.2</x:v>
      </x:c>
      <x:c r="G40" s="100" t="n">
        <x:f aca="0">C40*(1-F40)-D40-E40</x:f>
        <x:v>3142.70147328956</x:v>
      </x:c>
      <x:c r="H40" s="100" t="n">
        <x:f aca="0">G40-G39</x:f>
        <x:v>117.00724984931367</x:v>
      </x:c>
      <x:c r="I40" s="100" t="n">
        <x:f aca="0">H40/1</x:f>
        <x:v>117.00724984931367</x:v>
      </x:c>
      <x:c r="J40" s="100" t="n">
        <x:f aca="0">B40-D40-E40</x:f>
        <x:v>3999.520122710673</x:v>
      </x:c>
      <x:c r="K40" s="100" t="n">
        <x:f aca="0">B40</x:f>
        <x:v>4084.950741348181</x:v>
      </x:c>
      <x:c r="L40" s="100" t="n">
        <x:f aca="0">0</x:f>
        <x:v>0</x:v>
      </x:c>
      <x:c r="M40" s="100" t="n">
        <x:f aca="0">IF(AND(A40&gt;=S08_Defaults!$B$11,A40&lt;=S08_Defaults!$B$12),J40,0)</x:f>
        <x:v>3999.520122710673</x:v>
      </x:c>
      <x:c r="N40" s="100" t="n">
        <x:f aca="0">IF(AND(A40&gt;=S08_Defaults!$B$11,A40&lt;=S08_Defaults!$B$12),K40-L40,0)</x:f>
        <x:v>4084.950741348181</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Deserts &amp; Xeric Shrublands | Timber Plantation (1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674</x:v>
      </x:c>
      <x:c r="B46" s="198" t="s">
        <x:v>553</x:v>
      </x:c>
      <x:c r="C46" s="198" t="n">
        <x:v>2020</x:v>
      </x:c>
      <x:c r="D46" s="198" t="n">
        <x:v>1.0504</x:v>
      </x:c>
      <x:c r="E46" s="198" t="s">
        <x:v>675</x:v>
      </x:c>
      <x:c r="F46" s="198" t="s">
        <x:v>673</x:v>
      </x:c>
      <x:c r="G46" s="1"/>
      <x:c r="H46" s="1"/>
      <x:c r="I46" s="1"/>
      <x:c r="J46" s="1"/>
      <x:c r="K46" s="1"/>
      <x:c r="L46" s="1"/>
      <x:c r="M46" s="1"/>
      <x:c r="N46" s="1"/>
      <x:c r="O46" s="1"/>
    </x:row>
  </x:sheetData>
  <x:mergeCells>
    <x:mergeCell ref="A1:N1"/>
    <x:mergeCell ref="A43:F43"/>
    <x:mergeCell ref="A44:F44"/>
  </x:mergeCells>
  <x:pageMargins left="0.7" right="0.7" top="0.75" bottom="0.75" header="0.3" footer="0.3"/>
</x:worksheet>
</file>

<file path=xl/worksheets/sheet24.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Deserts &amp; Xeric Shrublands | Mixed Agroforestry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SUM(S18_Deserts_Xeric_ER!C16,S18_Deserts_Xeric_ER!C17,S18_Deserts_Xeric_ER!C18,S18_Deserts_Xeric_ER!C19)</x:f>
        <x:v>4.3005</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4370.551610373754</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2355.4365349365353</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2465.699017756913</x:v>
      </x:c>
      <x:c r="C7" s="37" t="s">
        <x:v>151</x:v>
      </x:c>
      <x:c r="D7" s="37" t="s">
        <x:v>1242</x:v>
      </x:c>
      <x:c r="E7" s="1"/>
      <x:c r="F7" s="1"/>
      <x:c r="G7" s="1"/>
      <x:c r="H7" s="1"/>
      <x:c r="I7" s="1"/>
      <x:c r="J7" s="1"/>
      <x:c r="K7" s="1"/>
      <x:c r="L7" s="1"/>
      <x:c r="M7" s="1"/>
      <x:c r="N7" s="1"/>
      <x:c r="O7" s="1"/>
    </x:row>
    <x:row r="8" ht="15" hidden="0" customHeight="1">
      <x:c r="A8" s="193" t="s">
        <x:v>1243</x:v>
      </x:c>
      <x:c r="B8" s="194" t="n">
        <x:f aca="0">MAX(0,MIN(B5,B6))</x:f>
        <x:v>2355.4365349365353</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2355.4365349365353</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471.0873069873071</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1884.3492279492282</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438.1698007090403</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21.908490035452015</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IF(AND("Deserts &amp; Xeric Shrublands"="Tropical &amp; Subtropical Dry Broadleaf Forests","Mixed Agroforestry"="Timber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SUM(S18_Deserts_Xeric_ER!F16,S18_Deserts_Xeric_ER!F17,S18_Deserts_Xeric_ER!F18,S18_Deserts_Xeric_ER!F19)</x:f>
        <x:v>0</x:v>
      </x:c>
      <x:c r="C20" s="100" t="n">
        <x:f aca="0">SUM(S18_Deserts_Xeric_ER!AA16,S18_Deserts_Xeric_ER!AA17,S18_Deserts_Xeric_ER!AA18,S18_Deserts_Xeric_ER!AA19)</x:f>
        <x:v>0</x:v>
      </x:c>
      <x:c r="D20" s="100" t="n">
        <x:f aca="0">IF($B$4=0,0,S33_Project_Deductions!D4*$B$4/S08_Defaults!$B$14)</x:f>
        <x:v>1.4035982697808638</x:v>
      </x:c>
      <x:c r="E20" s="100" t="n">
        <x:f aca="0">IF($B$4=0,0,S33_Project_Deductions!E4*$B$4/S08_Defaults!$B$14)</x:f>
        <x:v>6.422625486923404</x:v>
      </x:c>
      <x:c r="F20" s="100" t="n">
        <x:f aca="0">S08_Defaults!$B$9</x:f>
        <x:v>0.2</x:v>
      </x:c>
      <x:c r="G20" s="100" t="n">
        <x:f aca="0">C20*(1-F20)-D20-E20</x:f>
        <x:v>-7.826223756704268</x:v>
      </x:c>
      <x:c r="H20" s="100" t="n">
        <x:f aca="0">G20</x:f>
        <x:v>-7.826223756704268</x:v>
      </x:c>
      <x:c r="I20" s="100" t="n">
        <x:f aca="0">H20/1</x:f>
        <x:v>-7.826223756704268</x:v>
      </x:c>
      <x:c r="J20" s="100" t="n">
        <x:f aca="0">B20-D20-E20</x:f>
        <x:v>-7.826223756704268</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SUM(S18_Deserts_Xeric_ER!G16,S18_Deserts_Xeric_ER!G17,S18_Deserts_Xeric_ER!G18,S18_Deserts_Xeric_ER!G19)</x:f>
        <x:v>0.4074360497635401</x:v>
      </x:c>
      <x:c r="C21" s="100" t="n">
        <x:f aca="0">SUM(S18_Deserts_Xeric_ER!AB16,S18_Deserts_Xeric_ER!AB17,S18_Deserts_Xeric_ER!AB18,S18_Deserts_Xeric_ER!AB19)</x:f>
        <x:v>0.4024703940541261</x:v>
      </x:c>
      <x:c r="D21" s="100" t="n">
        <x:f aca="0">IF($B$4=0,0,S33_Project_Deductions!D5*$B$4/S08_Defaults!$B$14)</x:f>
        <x:v>4.5704095652923025</x:v>
      </x:c>
      <x:c r="E21" s="100" t="n">
        <x:f aca="0">IF($B$4=0,0,S33_Project_Deductions!E5*$B$4/S08_Defaults!$B$14)</x:f>
        <x:v>12.67237240507918</x:v>
      </x:c>
      <x:c r="F21" s="100" t="n">
        <x:f aca="0">S08_Defaults!$B$9</x:f>
        <x:v>0.2</x:v>
      </x:c>
      <x:c r="G21" s="100" t="n">
        <x:f aca="0">C21*(1-F21)-D21-E21</x:f>
        <x:v>-16.92080565512818</x:v>
      </x:c>
      <x:c r="H21" s="100" t="n">
        <x:f aca="0">G21-G20</x:f>
        <x:v>-9.094581898423913</x:v>
      </x:c>
      <x:c r="I21" s="100" t="n">
        <x:f aca="0">H21/1</x:f>
        <x:v>-9.094581898423913</x:v>
      </x:c>
      <x:c r="J21" s="100" t="n">
        <x:f aca="0">B21-D21-E21</x:f>
        <x:v>-16.835345920607942</x:v>
      </x:c>
      <x:c r="K21" s="100" t="n">
        <x:f aca="0">B21</x:f>
        <x:v>0.4074360497635401</x:v>
      </x:c>
      <x:c r="L21" s="100" t="n">
        <x:f aca="0">0</x:f>
        <x:v>0</x:v>
      </x:c>
      <x:c r="M21" s="100" t="n">
        <x:f aca="0">IF(AND(A21&gt;=S08_Defaults!$B$11,A21&lt;=S08_Defaults!$B$12),J21,0)</x:f>
        <x:v>-16.835345920607942</x:v>
      </x:c>
      <x:c r="N21" s="100" t="n">
        <x:f aca="0">IF(AND(A21&gt;=S08_Defaults!$B$11,A21&lt;=S08_Defaults!$B$12),K21-L21,0)</x:f>
        <x:v>0.4074360497635401</x:v>
      </x:c>
      <x:c r="O21" s="37" t="s">
        <x:v>1271</x:v>
      </x:c>
    </x:row>
    <x:row r="22" ht="15" hidden="0" customHeight="1">
      <x:c r="A22" s="37" t="n">
        <x:v>2022</x:v>
      </x:c>
      <x:c r="B22" s="100" t="n">
        <x:f aca="0">SUM(S18_Deserts_Xeric_ER!H16,S18_Deserts_Xeric_ER!H17,S18_Deserts_Xeric_ER!H18,S18_Deserts_Xeric_ER!H19)</x:f>
        <x:v>4.977911185798967</x:v>
      </x:c>
      <x:c r="C22" s="100" t="n">
        <x:f aca="0">SUM(S18_Deserts_Xeric_ER!AC16,S18_Deserts_Xeric_ER!AC17,S18_Deserts_Xeric_ER!AC18,S18_Deserts_Xeric_ER!AC19)</x:f>
        <x:v>4.917242540707144</x:v>
      </x:c>
      <x:c r="D22" s="100" t="n">
        <x:f aca="0">IF($B$4=0,0,S33_Project_Deductions!D6*$B$4/S08_Defaults!$B$14)</x:f>
        <x:v>9.79896746547689</x:v>
      </x:c>
      <x:c r="E22" s="100" t="n">
        <x:f aca="0">IF($B$4=0,0,S33_Project_Deductions!E6*$B$4/S08_Defaults!$B$14)</x:f>
        <x:v>19.056182270363617</x:v>
      </x:c>
      <x:c r="F22" s="100" t="n">
        <x:f aca="0">S08_Defaults!$B$9</x:f>
        <x:v>0.2</x:v>
      </x:c>
      <x:c r="G22" s="100" t="n">
        <x:f aca="0">C22*(1-F22)-D22-E22</x:f>
        <x:v>-24.92135570327479</x:v>
      </x:c>
      <x:c r="H22" s="100" t="n">
        <x:f aca="0">G22-G21</x:f>
        <x:v>-8.00055004814661</x:v>
      </x:c>
      <x:c r="I22" s="100" t="n">
        <x:f aca="0">H22/1</x:f>
        <x:v>-8.00055004814661</x:v>
      </x:c>
      <x:c r="J22" s="100" t="n">
        <x:f aca="0">B22-D22-E22</x:f>
        <x:v>-23.87723855004154</x:v>
      </x:c>
      <x:c r="K22" s="100" t="n">
        <x:f aca="0">B22</x:f>
        <x:v>4.977911185798967</x:v>
      </x:c>
      <x:c r="L22" s="100" t="n">
        <x:f aca="0">0</x:f>
        <x:v>0</x:v>
      </x:c>
      <x:c r="M22" s="100" t="n">
        <x:f aca="0">IF(AND(A22&gt;=S08_Defaults!$B$11,A22&lt;=S08_Defaults!$B$12),J22,0)</x:f>
        <x:v>-23.87723855004154</x:v>
      </x:c>
      <x:c r="N22" s="100" t="n">
        <x:f aca="0">IF(AND(A22&gt;=S08_Defaults!$B$11,A22&lt;=S08_Defaults!$B$12),K22-L22,0)</x:f>
        <x:v>4.977911185798967</x:v>
      </x:c>
      <x:c r="O22" s="37" t="s">
        <x:v>1271</x:v>
      </x:c>
    </x:row>
    <x:row r="23" ht="15" hidden="0" customHeight="1">
      <x:c r="A23" s="37" t="n">
        <x:v>2023</x:v>
      </x:c>
      <x:c r="B23" s="100" t="n">
        <x:f aca="0">SUM(S18_Deserts_Xeric_ER!I16,S18_Deserts_Xeric_ER!I17,S18_Deserts_Xeric_ER!I18,S18_Deserts_Xeric_ER!I19)</x:f>
        <x:v>23.402611962821528</x:v>
      </x:c>
      <x:c r="C23" s="100" t="n">
        <x:f aca="0">SUM(S18_Deserts_Xeric_ER!AD16,S18_Deserts_Xeric_ER!AD17,S18_Deserts_Xeric_ER!AD18,S18_Deserts_Xeric_ER!AD19)</x:f>
        <x:v>23.117390972249318</x:v>
      </x:c>
      <x:c r="D23" s="100" t="n">
        <x:f aca="0">IF($B$4=0,0,S33_Project_Deductions!D7*$B$4/S08_Defaults!$B$14)</x:f>
        <x:v>17.140009183109758</x:v>
      </x:c>
      <x:c r="E23" s="100" t="n">
        <x:f aca="0">IF($B$4=0,0,S33_Project_Deductions!E7*$B$4/S08_Defaults!$B$14)</x:f>
        <x:v>25.467255692923356</x:v>
      </x:c>
      <x:c r="F23" s="100" t="n">
        <x:f aca="0">S08_Defaults!$B$9</x:f>
        <x:v>0.2</x:v>
      </x:c>
      <x:c r="G23" s="100" t="n">
        <x:f aca="0">C23*(1-F23)-D23-E23</x:f>
        <x:v>-24.11335209823366</x:v>
      </x:c>
      <x:c r="H23" s="100" t="n">
        <x:f aca="0">G23-G22</x:f>
        <x:v>0.808003605041133</x:v>
      </x:c>
      <x:c r="I23" s="100" t="n">
        <x:f aca="0">H23/1</x:f>
        <x:v>0.808003605041133</x:v>
      </x:c>
      <x:c r="J23" s="100" t="n">
        <x:f aca="0">B23-D23-E23</x:f>
        <x:v>-19.204652913211586</x:v>
      </x:c>
      <x:c r="K23" s="100" t="n">
        <x:f aca="0">B23</x:f>
        <x:v>23.402611962821528</x:v>
      </x:c>
      <x:c r="L23" s="100" t="n">
        <x:f aca="0">0</x:f>
        <x:v>0</x:v>
      </x:c>
      <x:c r="M23" s="100" t="n">
        <x:f aca="0">IF(AND(A23&gt;=S08_Defaults!$B$11,A23&lt;=S08_Defaults!$B$12),J23,0)</x:f>
        <x:v>-19.204652913211586</x:v>
      </x:c>
      <x:c r="N23" s="100" t="n">
        <x:f aca="0">IF(AND(A23&gt;=S08_Defaults!$B$11,A23&lt;=S08_Defaults!$B$12),K23-L23,0)</x:f>
        <x:v>23.402611962821528</x:v>
      </x:c>
      <x:c r="O23" s="37" t="s">
        <x:v>1271</x:v>
      </x:c>
    </x:row>
    <x:row r="24" ht="15" hidden="0" customHeight="1">
      <x:c r="A24" s="37" t="n">
        <x:v>2024</x:v>
      </x:c>
      <x:c r="B24" s="100" t="n">
        <x:f aca="0">SUM(S18_Deserts_Xeric_ER!J16,S18_Deserts_Xeric_ER!J17,S18_Deserts_Xeric_ER!J18,S18_Deserts_Xeric_ER!J19)</x:f>
        <x:v>86.34886992852293</x:v>
      </x:c>
      <x:c r="C24" s="100" t="n">
        <x:f aca="0">SUM(S18_Deserts_Xeric_ER!AE16,S18_Deserts_Xeric_ER!AE17,S18_Deserts_Xeric_ER!AE18,S18_Deserts_Xeric_ER!AE19)</x:f>
        <x:v>85.29648696140242</x:v>
      </x:c>
      <x:c r="D24" s="100" t="n">
        <x:f aca="0">IF($B$4=0,0,S33_Project_Deductions!D8*$B$4/S08_Defaults!$B$14)</x:f>
        <x:v>25.193496208661244</x:v>
      </x:c>
      <x:c r="E24" s="100" t="n">
        <x:f aca="0">IF($B$4=0,0,S33_Project_Deductions!E8*$B$4/S08_Defaults!$B$14)</x:f>
        <x:v>31.653318949750112</x:v>
      </x:c>
      <x:c r="F24" s="100" t="n">
        <x:f aca="0">S08_Defaults!$B$9</x:f>
        <x:v>0.2</x:v>
      </x:c>
      <x:c r="G24" s="100" t="n">
        <x:f aca="0">C24*(1-F24)-D24-E24</x:f>
        <x:v>11.390374410710582</x:v>
      </x:c>
      <x:c r="H24" s="100" t="n">
        <x:f aca="0">G24-G23</x:f>
        <x:v>35.50372650894424</x:v>
      </x:c>
      <x:c r="I24" s="100" t="n">
        <x:f aca="0">H24/1</x:f>
        <x:v>35.50372650894424</x:v>
      </x:c>
      <x:c r="J24" s="100" t="n">
        <x:f aca="0">B24-D24-E24</x:f>
        <x:v>29.502054770111574</x:v>
      </x:c>
      <x:c r="K24" s="100" t="n">
        <x:f aca="0">B24</x:f>
        <x:v>86.34886992852293</x:v>
      </x:c>
      <x:c r="L24" s="100" t="n">
        <x:f aca="0">0</x:f>
        <x:v>0</x:v>
      </x:c>
      <x:c r="M24" s="100" t="n">
        <x:f aca="0">IF(AND(A24&gt;=S08_Defaults!$B$11,A24&lt;=S08_Defaults!$B$12),J24,0)</x:f>
        <x:v>29.502054770111574</x:v>
      </x:c>
      <x:c r="N24" s="100" t="n">
        <x:f aca="0">IF(AND(A24&gt;=S08_Defaults!$B$11,A24&lt;=S08_Defaults!$B$12),K24-L24,0)</x:f>
        <x:v>86.34886992852293</x:v>
      </x:c>
      <x:c r="O24" s="37" t="s">
        <x:v>1271</x:v>
      </x:c>
    </x:row>
    <x:row r="25" ht="15" hidden="0" customHeight="1">
      <x:c r="A25" s="37" t="n">
        <x:v>2025</x:v>
      </x:c>
      <x:c r="B25" s="100" t="n">
        <x:f aca="0">SUM(S18_Deserts_Xeric_ER!K16,S18_Deserts_Xeric_ER!K17,S18_Deserts_Xeric_ER!K18,S18_Deserts_Xeric_ER!K19)</x:f>
        <x:v>225.00819957499124</x:v>
      </x:c>
      <x:c r="C25" s="100" t="n">
        <x:f aca="0">SUM(S18_Deserts_Xeric_ER!AF16,S18_Deserts_Xeric_ER!AF17,S18_Deserts_Xeric_ER!AF18,S18_Deserts_Xeric_ER!AF19)</x:f>
        <x:v>222.26589620852928</x:v>
      </x:c>
      <x:c r="D25" s="100" t="n">
        <x:f aca="0">IF($B$4=0,0,S33_Project_Deductions!D9*$B$4/S08_Defaults!$B$14)</x:f>
        <x:v>33.599813786181635</x:v>
      </x:c>
      <x:c r="E25" s="100" t="n">
        <x:f aca="0">IF($B$4=0,0,S33_Project_Deductions!E9*$B$4/S08_Defaults!$B$14)</x:f>
        <x:v>31.653318949750112</x:v>
      </x:c>
      <x:c r="F25" s="100" t="n">
        <x:f aca="0">S08_Defaults!$B$9</x:f>
        <x:v>0.2</x:v>
      </x:c>
      <x:c r="G25" s="100" t="n">
        <x:f aca="0">C25*(1-F25)-D25-E25</x:f>
        <x:v>112.55958423089169</x:v>
      </x:c>
      <x:c r="H25" s="100" t="n">
        <x:f aca="0">G25-G24</x:f>
        <x:v>101.16920982018111</x:v>
      </x:c>
      <x:c r="I25" s="100" t="n">
        <x:f aca="0">H25/1</x:f>
        <x:v>101.16920982018111</x:v>
      </x:c>
      <x:c r="J25" s="100" t="n">
        <x:f aca="0">B25-D25-E25</x:f>
        <x:v>159.75506683905948</x:v>
      </x:c>
      <x:c r="K25" s="100" t="n">
        <x:f aca="0">B25</x:f>
        <x:v>225.00819957499124</x:v>
      </x:c>
      <x:c r="L25" s="100" t="n">
        <x:f aca="0">0</x:f>
        <x:v>0</x:v>
      </x:c>
      <x:c r="M25" s="100" t="n">
        <x:f aca="0">IF(AND(A25&gt;=S08_Defaults!$B$11,A25&lt;=S08_Defaults!$B$12),J25,0)</x:f>
        <x:v>159.75506683905948</x:v>
      </x:c>
      <x:c r="N25" s="100" t="n">
        <x:f aca="0">IF(AND(A25&gt;=S08_Defaults!$B$11,A25&lt;=S08_Defaults!$B$12),K25-L25,0)</x:f>
        <x:v>225.00819957499124</x:v>
      </x:c>
      <x:c r="O25" s="37" t="s">
        <x:v>1271</x:v>
      </x:c>
    </x:row>
    <x:row r="26" ht="15" hidden="0" customHeight="1">
      <x:c r="A26" s="37" t="n">
        <x:v>2026</x:v>
      </x:c>
      <x:c r="B26" s="100" t="n">
        <x:f aca="0">SUM(S18_Deserts_Xeric_ER!L16,S18_Deserts_Xeric_ER!L17,S18_Deserts_Xeric_ER!L18,S18_Deserts_Xeric_ER!L19)</x:f>
        <x:v>452.9952595356925</x:v>
      </x:c>
      <x:c r="C26" s="100" t="n">
        <x:f aca="0">SUM(S18_Deserts_Xeric_ER!AG16,S18_Deserts_Xeric_ER!AG17,S18_Deserts_Xeric_ER!AG18,S18_Deserts_Xeric_ER!AG19)</x:f>
        <x:v>447.4743477308673</x:v>
      </x:c>
      <x:c r="D26" s="100" t="n">
        <x:f aca="0">IF($B$4=0,0,S33_Project_Deductions!D10*$B$4/S08_Defaults!$B$14)</x:f>
        <x:v>42.06042833672836</x:v>
      </x:c>
      <x:c r="E26" s="100" t="n">
        <x:f aca="0">IF($B$4=0,0,S33_Project_Deductions!E10*$B$4/S08_Defaults!$B$14)</x:f>
        <x:v>31.653318949750112</x:v>
      </x:c>
      <x:c r="F26" s="100" t="n">
        <x:f aca="0">S08_Defaults!$B$9</x:f>
        <x:v>0.2</x:v>
      </x:c>
      <x:c r="G26" s="100" t="n">
        <x:f aca="0">C26*(1-F26)-D26-E26</x:f>
        <x:v>284.2657308982154</x:v>
      </x:c>
      <x:c r="H26" s="100" t="n">
        <x:f aca="0">G26-G25</x:f>
        <x:v>171.7061466673237</x:v>
      </x:c>
      <x:c r="I26" s="100" t="n">
        <x:f aca="0">H26/1</x:f>
        <x:v>171.7061466673237</x:v>
      </x:c>
      <x:c r="J26" s="100" t="n">
        <x:f aca="0">B26-D26-E26</x:f>
        <x:v>379.2815122492141</x:v>
      </x:c>
      <x:c r="K26" s="100" t="n">
        <x:f aca="0">B26</x:f>
        <x:v>452.9952595356925</x:v>
      </x:c>
      <x:c r="L26" s="100" t="n">
        <x:f aca="0">0</x:f>
        <x:v>0</x:v>
      </x:c>
      <x:c r="M26" s="100" t="n">
        <x:f aca="0">IF(AND(A26&gt;=S08_Defaults!$B$11,A26&lt;=S08_Defaults!$B$12),J26,0)</x:f>
        <x:v>379.2815122492141</x:v>
      </x:c>
      <x:c r="N26" s="100" t="n">
        <x:f aca="0">IF(AND(A26&gt;=S08_Defaults!$B$11,A26&lt;=S08_Defaults!$B$12),K26-L26,0)</x:f>
        <x:v>452.9952595356925</x:v>
      </x:c>
      <x:c r="O26" s="37" t="s">
        <x:v>1271</x:v>
      </x:c>
    </x:row>
    <x:row r="27" ht="15" hidden="0" customHeight="1">
      <x:c r="A27" s="37" t="n">
        <x:v>2027</x:v>
      </x:c>
      <x:c r="B27" s="100" t="n">
        <x:f aca="0">SUM(S18_Deserts_Xeric_ER!M16,S18_Deserts_Xeric_ER!M17,S18_Deserts_Xeric_ER!M18,S18_Deserts_Xeric_ER!M19)</x:f>
        <x:v>764.9496872951407</x:v>
      </x:c>
      <x:c r="C27" s="100" t="n">
        <x:f aca="0">SUM(S18_Deserts_Xeric_ER!AH16,S18_Deserts_Xeric_ER!AH17,S18_Deserts_Xeric_ER!AH18,S18_Deserts_Xeric_ER!AH19)</x:f>
        <x:v>755.6268088106864</x:v>
      </x:c>
      <x:c r="D27" s="100" t="n">
        <x:f aca="0">IF($B$4=0,0,S33_Project_Deductions!D11*$B$4/S08_Defaults!$B$14)</x:f>
        <x:v>50.52460264752628</x:v>
      </x:c>
      <x:c r="E27" s="100" t="n">
        <x:f aca="0">IF($B$4=0,0,S33_Project_Deductions!E11*$B$4/S08_Defaults!$B$14)</x:f>
        <x:v>31.653318949750112</x:v>
      </x:c>
      <x:c r="F27" s="100" t="n">
        <x:f aca="0">S08_Defaults!$B$9</x:f>
        <x:v>0.2</x:v>
      </x:c>
      <x:c r="G27" s="100" t="n">
        <x:f aca="0">C27*(1-F27)-D27-E27</x:f>
        <x:v>522.3235254512728</x:v>
      </x:c>
      <x:c r="H27" s="100" t="n">
        <x:f aca="0">G27-G26</x:f>
        <x:v>238.05779455305736</x:v>
      </x:c>
      <x:c r="I27" s="100" t="n">
        <x:f aca="0">H27/1</x:f>
        <x:v>238.05779455305736</x:v>
      </x:c>
      <x:c r="J27" s="100" t="n">
        <x:f aca="0">B27-D27-E27</x:f>
        <x:v>682.7717656978643</x:v>
      </x:c>
      <x:c r="K27" s="100" t="n">
        <x:f aca="0">B27</x:f>
        <x:v>764.9496872951407</x:v>
      </x:c>
      <x:c r="L27" s="100" t="n">
        <x:f aca="0">0</x:f>
        <x:v>0</x:v>
      </x:c>
      <x:c r="M27" s="100" t="n">
        <x:f aca="0">IF(AND(A27&gt;=S08_Defaults!$B$11,A27&lt;=S08_Defaults!$B$12),J27,0)</x:f>
        <x:v>682.7717656978643</x:v>
      </x:c>
      <x:c r="N27" s="100" t="n">
        <x:f aca="0">IF(AND(A27&gt;=S08_Defaults!$B$11,A27&lt;=S08_Defaults!$B$12),K27-L27,0)</x:f>
        <x:v>764.9496872951407</x:v>
      </x:c>
      <x:c r="O27" s="37" t="s">
        <x:v>1271</x:v>
      </x:c>
    </x:row>
    <x:row r="28" ht="15" hidden="0" customHeight="1">
      <x:c r="A28" s="37" t="n">
        <x:v>2028</x:v>
      </x:c>
      <x:c r="B28" s="100" t="n">
        <x:f aca="0">SUM(S18_Deserts_Xeric_ER!N16,S18_Deserts_Xeric_ER!N17,S18_Deserts_Xeric_ER!N18,S18_Deserts_Xeric_ER!N19)</x:f>
        <x:v>1145.2438946891764</x:v>
      </x:c>
      <x:c r="C28" s="100" t="n">
        <x:f aca="0">SUM(S18_Deserts_Xeric_ER!AI16,S18_Deserts_Xeric_ER!AI17,S18_Deserts_Xeric_ER!AI18,S18_Deserts_Xeric_ER!AI19)</x:f>
        <x:v>1131.2861536212583</x:v>
      </x:c>
      <x:c r="D28" s="100" t="n">
        <x:f aca="0">IF($B$4=0,0,S33_Project_Deductions!D12*$B$4/S08_Defaults!$B$14)</x:f>
        <x:v>58.98877695832421</x:v>
      </x:c>
      <x:c r="E28" s="100" t="n">
        <x:f aca="0">IF($B$4=0,0,S33_Project_Deductions!E12*$B$4/S08_Defaults!$B$14)</x:f>
        <x:v>31.653318949750112</x:v>
      </x:c>
      <x:c r="F28" s="100" t="n">
        <x:f aca="0">S08_Defaults!$B$9</x:f>
        <x:v>0.2</x:v>
      </x:c>
      <x:c r="G28" s="100" t="n">
        <x:f aca="0">C28*(1-F28)-D28-E28</x:f>
        <x:v>814.3868269889324</x:v>
      </x:c>
      <x:c r="H28" s="100" t="n">
        <x:f aca="0">G28-G27</x:f>
        <x:v>292.06330153765964</x:v>
      </x:c>
      <x:c r="I28" s="100" t="n">
        <x:f aca="0">H28/1</x:f>
        <x:v>292.06330153765964</x:v>
      </x:c>
      <x:c r="J28" s="100" t="n">
        <x:f aca="0">B28-D28-E28</x:f>
        <x:v>1054.601798781102</x:v>
      </x:c>
      <x:c r="K28" s="100" t="n">
        <x:f aca="0">B28</x:f>
        <x:v>1145.2438946891764</x:v>
      </x:c>
      <x:c r="L28" s="100" t="n">
        <x:f aca="0">0</x:f>
        <x:v>0</x:v>
      </x:c>
      <x:c r="M28" s="100" t="n">
        <x:f aca="0">IF(AND(A28&gt;=S08_Defaults!$B$11,A28&lt;=S08_Defaults!$B$12),J28,0)</x:f>
        <x:v>1054.601798781102</x:v>
      </x:c>
      <x:c r="N28" s="100" t="n">
        <x:f aca="0">IF(AND(A28&gt;=S08_Defaults!$B$11,A28&lt;=S08_Defaults!$B$12),K28-L28,0)</x:f>
        <x:v>1145.2438946891764</x:v>
      </x:c>
      <x:c r="O28" s="37" t="s">
        <x:v>1271</x:v>
      </x:c>
    </x:row>
    <x:row r="29" ht="15" hidden="0" customHeight="1">
      <x:c r="A29" s="37" t="n">
        <x:v>2029</x:v>
      </x:c>
      <x:c r="B29" s="100" t="n">
        <x:f aca="0">SUM(S18_Deserts_Xeric_ER!O16,S18_Deserts_Xeric_ER!O17,S18_Deserts_Xeric_ER!O18,S18_Deserts_Xeric_ER!O19)</x:f>
        <x:v>1573.902240528234</x:v>
      </x:c>
      <x:c r="C29" s="100" t="n">
        <x:f aca="0">SUM(S18_Deserts_Xeric_ER!AJ16,S18_Deserts_Xeric_ER!AJ17,S18_Deserts_Xeric_ER!AJ18,S18_Deserts_Xeric_ER!AJ19)</x:f>
        <x:v>1554.720195514607</x:v>
      </x:c>
      <x:c r="D29" s="100" t="n">
        <x:f aca="0">IF($B$4=0,0,S33_Project_Deductions!D13*$B$4/S08_Defaults!$B$14)</x:f>
        <x:v>67.45295126912214</x:v>
      </x:c>
      <x:c r="E29" s="100" t="n">
        <x:f aca="0">IF($B$4=0,0,S33_Project_Deductions!E13*$B$4/S08_Defaults!$B$14)</x:f>
        <x:v>31.653318949750112</x:v>
      </x:c>
      <x:c r="F29" s="100" t="n">
        <x:f aca="0">S08_Defaults!$B$9</x:f>
        <x:v>0.2</x:v>
      </x:c>
      <x:c r="G29" s="100" t="n">
        <x:f aca="0">C29*(1-F29)-D29-E29</x:f>
        <x:v>1144.6698861928132</x:v>
      </x:c>
      <x:c r="H29" s="100" t="n">
        <x:f aca="0">G29-G28</x:f>
        <x:v>330.28305920388084</x:v>
      </x:c>
      <x:c r="I29" s="100" t="n">
        <x:f aca="0">H29/1</x:f>
        <x:v>330.28305920388084</x:v>
      </x:c>
      <x:c r="J29" s="100" t="n">
        <x:f aca="0">B29-D29-E29</x:f>
        <x:v>1474.7959703093616</x:v>
      </x:c>
      <x:c r="K29" s="100" t="n">
        <x:f aca="0">B29</x:f>
        <x:v>1573.902240528234</x:v>
      </x:c>
      <x:c r="L29" s="100" t="n">
        <x:f aca="0">0</x:f>
        <x:v>0</x:v>
      </x:c>
      <x:c r="M29" s="100" t="n">
        <x:f aca="0">IF(AND(A29&gt;=S08_Defaults!$B$11,A29&lt;=S08_Defaults!$B$12),J29,0)</x:f>
        <x:v>1474.7959703093616</x:v>
      </x:c>
      <x:c r="N29" s="100" t="n">
        <x:f aca="0">IF(AND(A29&gt;=S08_Defaults!$B$11,A29&lt;=S08_Defaults!$B$12),K29-L29,0)</x:f>
        <x:v>1573.902240528234</x:v>
      </x:c>
      <x:c r="O29" s="37" t="s">
        <x:v>1271</x:v>
      </x:c>
    </x:row>
    <x:row r="30" ht="15" hidden="0" customHeight="1">
      <x:c r="A30" s="37" t="n">
        <x:v>2030</x:v>
      </x:c>
      <x:c r="B30" s="100" t="n">
        <x:f aca="0">SUM(S18_Deserts_Xeric_ER!P16,S18_Deserts_Xeric_ER!P17,S18_Deserts_Xeric_ER!P18,S18_Deserts_Xeric_ER!P19)</x:f>
        <x:v>2030.8505254586444</x:v>
      </x:c>
      <x:c r="C30" s="100" t="n">
        <x:f aca="0">SUM(S18_Deserts_Xeric_ER!AK16,S18_Deserts_Xeric_ER!AK17,S18_Deserts_Xeric_ER!AK18,S18_Deserts_Xeric_ER!AK19)</x:f>
        <x:v>2006.0993908632574</x:v>
      </x:c>
      <x:c r="D30" s="100" t="n">
        <x:f aca="0">IF($B$4=0,0,S33_Project_Deductions!D14*$B$4/S08_Defaults!$B$14)</x:f>
        <x:v>75.91712557992005</x:v>
      </x:c>
      <x:c r="E30" s="100" t="n">
        <x:f aca="0">IF($B$4=0,0,S33_Project_Deductions!E14*$B$4/S08_Defaults!$B$14)</x:f>
        <x:v>31.653318949750112</x:v>
      </x:c>
      <x:c r="F30" s="100" t="n">
        <x:f aca="0">S08_Defaults!$B$9</x:f>
        <x:v>0.2</x:v>
      </x:c>
      <x:c r="G30" s="100" t="n">
        <x:f aca="0">C30*(1-F30)-D30-E30</x:f>
        <x:v>1497.3090681609358</x:v>
      </x:c>
      <x:c r="H30" s="100" t="n">
        <x:f aca="0">G30-G29</x:f>
        <x:v>352.63918196812256</x:v>
      </x:c>
      <x:c r="I30" s="100" t="n">
        <x:f aca="0">H30/1</x:f>
        <x:v>352.63918196812256</x:v>
      </x:c>
      <x:c r="J30" s="100" t="n">
        <x:f aca="0">B30-D30-E30</x:f>
        <x:v>1923.280080928974</x:v>
      </x:c>
      <x:c r="K30" s="100" t="n">
        <x:f aca="0">B30</x:f>
        <x:v>2030.8505254586444</x:v>
      </x:c>
      <x:c r="L30" s="100" t="n">
        <x:f aca="0">0</x:f>
        <x:v>0</x:v>
      </x:c>
      <x:c r="M30" s="100" t="n">
        <x:f aca="0">IF(AND(A30&gt;=S08_Defaults!$B$11,A30&lt;=S08_Defaults!$B$12),J30,0)</x:f>
        <x:v>1923.280080928974</x:v>
      </x:c>
      <x:c r="N30" s="100" t="n">
        <x:f aca="0">IF(AND(A30&gt;=S08_Defaults!$B$11,A30&lt;=S08_Defaults!$B$12),K30-L30,0)</x:f>
        <x:v>2030.8505254586444</x:v>
      </x:c>
      <x:c r="O30" s="37" t="s">
        <x:v>1271</x:v>
      </x:c>
    </x:row>
    <x:row r="31" ht="15" hidden="0" customHeight="1">
      <x:c r="A31" s="37" t="n">
        <x:v>2031</x:v>
      </x:c>
      <x:c r="B31" s="100" t="n">
        <x:f aca="0">SUM(S18_Deserts_Xeric_ER!Q16,S18_Deserts_Xeric_ER!Q17,S18_Deserts_Xeric_ER!Q18,S18_Deserts_Xeric_ER!Q19)</x:f>
        <x:v>2498.2950889718923</x:v>
      </x:c>
      <x:c r="C31" s="100" t="n">
        <x:f aca="0">SUM(S18_Deserts_Xeric_ER!AL16,S18_Deserts_Xeric_ER!AL17,S18_Deserts_Xeric_ER!AL18,S18_Deserts_Xeric_ER!AL19)</x:f>
        <x:v>2467.8469406562144</x:v>
      </x:c>
      <x:c r="D31" s="100" t="n">
        <x:f aca="0">IF($B$4=0,0,S33_Project_Deductions!D15*$B$4/S08_Defaults!$B$14)</x:f>
        <x:v>84.38129989071798</x:v>
      </x:c>
      <x:c r="E31" s="100" t="n">
        <x:f aca="0">IF($B$4=0,0,S33_Project_Deductions!E15*$B$4/S08_Defaults!$B$14)</x:f>
        <x:v>31.653318949750112</x:v>
      </x:c>
      <x:c r="F31" s="100" t="n">
        <x:f aca="0">S08_Defaults!$B$9</x:f>
        <x:v>0.2</x:v>
      </x:c>
      <x:c r="G31" s="100" t="n">
        <x:f aca="0">C31*(1-F31)-D31-E31</x:f>
        <x:v>1858.2429336845034</x:v>
      </x:c>
      <x:c r="H31" s="100" t="n">
        <x:f aca="0">G31-G30</x:f>
        <x:v>360.93386552356765</x:v>
      </x:c>
      <x:c r="I31" s="100" t="n">
        <x:f aca="0">H31/1</x:f>
        <x:v>360.93386552356765</x:v>
      </x:c>
      <x:c r="J31" s="100" t="n">
        <x:f aca="0">B31-D31-E31</x:f>
        <x:v>2382.2604701314244</x:v>
      </x:c>
      <x:c r="K31" s="100" t="n">
        <x:f aca="0">B31</x:f>
        <x:v>2498.2950889718923</x:v>
      </x:c>
      <x:c r="L31" s="100" t="n">
        <x:f aca="0">0</x:f>
        <x:v>0</x:v>
      </x:c>
      <x:c r="M31" s="100" t="n">
        <x:f aca="0">IF(AND(A31&gt;=S08_Defaults!$B$11,A31&lt;=S08_Defaults!$B$12),J31,0)</x:f>
        <x:v>2382.2604701314244</x:v>
      </x:c>
      <x:c r="N31" s="100" t="n">
        <x:f aca="0">IF(AND(A31&gt;=S08_Defaults!$B$11,A31&lt;=S08_Defaults!$B$12),K31-L31,0)</x:f>
        <x:v>2498.2950889718923</x:v>
      </x:c>
      <x:c r="O31" s="37" t="s">
        <x:v>1271</x:v>
      </x:c>
    </x:row>
    <x:row r="32" ht="15" hidden="0" customHeight="1">
      <x:c r="A32" s="37" t="n">
        <x:v>2032</x:v>
      </x:c>
      <x:c r="B32" s="100" t="n">
        <x:f aca="0">SUM(S18_Deserts_Xeric_ER!R16,S18_Deserts_Xeric_ER!R17,S18_Deserts_Xeric_ER!R18,S18_Deserts_Xeric_ER!R19)</x:f>
        <x:v>2961.7573520001915</x:v>
      </x:c>
      <x:c r="C32" s="100" t="n">
        <x:f aca="0">SUM(S18_Deserts_Xeric_ER!AM16,S18_Deserts_Xeric_ER!AM17,S18_Deserts_Xeric_ER!AM18,S18_Deserts_Xeric_ER!AM19)</x:f>
        <x:v>2925.660724533393</x:v>
      </x:c>
      <x:c r="D32" s="100" t="n">
        <x:f aca="0">IF($B$4=0,0,S33_Project_Deductions!D16*$B$4/S08_Defaults!$B$14)</x:f>
        <x:v>92.8454742015159</x:v>
      </x:c>
      <x:c r="E32" s="100" t="n">
        <x:f aca="0">IF($B$4=0,0,S33_Project_Deductions!E16*$B$4/S08_Defaults!$B$14)</x:f>
        <x:v>31.653318949750112</x:v>
      </x:c>
      <x:c r="F32" s="100" t="n">
        <x:f aca="0">S08_Defaults!$B$9</x:f>
        <x:v>0.2</x:v>
      </x:c>
      <x:c r="G32" s="100" t="n">
        <x:f aca="0">C32*(1-F32)-D32-E32</x:f>
        <x:v>2216.0297864754484</x:v>
      </x:c>
      <x:c r="H32" s="100" t="n">
        <x:f aca="0">G32-G31</x:f>
        <x:v>357.786852790945</x:v>
      </x:c>
      <x:c r="I32" s="100" t="n">
        <x:f aca="0">H32/1</x:f>
        <x:v>357.786852790945</x:v>
      </x:c>
      <x:c r="J32" s="100" t="n">
        <x:f aca="0">B32-D32-E32</x:f>
        <x:v>2837.2585588489255</x:v>
      </x:c>
      <x:c r="K32" s="100" t="n">
        <x:f aca="0">B32</x:f>
        <x:v>2961.7573520001915</x:v>
      </x:c>
      <x:c r="L32" s="100" t="n">
        <x:f aca="0">0</x:f>
        <x:v>0</x:v>
      </x:c>
      <x:c r="M32" s="100" t="n">
        <x:f aca="0">IF(AND(A32&gt;=S08_Defaults!$B$11,A32&lt;=S08_Defaults!$B$12),J32,0)</x:f>
        <x:v>2837.2585588489255</x:v>
      </x:c>
      <x:c r="N32" s="100" t="n">
        <x:f aca="0">IF(AND(A32&gt;=S08_Defaults!$B$11,A32&lt;=S08_Defaults!$B$12),K32-L32,0)</x:f>
        <x:v>2961.7573520001915</x:v>
      </x:c>
      <x:c r="O32" s="37" t="s">
        <x:v>1271</x:v>
      </x:c>
    </x:row>
    <x:row r="33" ht="15" hidden="0" customHeight="1">
      <x:c r="A33" s="37" t="n">
        <x:v>2033</x:v>
      </x:c>
      <x:c r="B33" s="100" t="n">
        <x:f aca="0">SUM(S18_Deserts_Xeric_ER!S16,S18_Deserts_Xeric_ER!S17,S18_Deserts_Xeric_ER!S18,S18_Deserts_Xeric_ER!S19)</x:f>
        <x:v>3410.266967483927</x:v>
      </x:c>
      <x:c r="C33" s="100" t="n">
        <x:f aca="0">SUM(S18_Deserts_Xeric_ER!AN16,S18_Deserts_Xeric_ER!AN17,S18_Deserts_Xeric_ER!AN18,S18_Deserts_Xeric_ER!AN19)</x:f>
        <x:v>3368.7040973168405</x:v>
      </x:c>
      <x:c r="D33" s="100" t="n">
        <x:f aca="0">IF($B$4=0,0,S33_Project_Deductions!D17*$B$4/S08_Defaults!$B$14)</x:f>
        <x:v>101.30964851231384</x:v>
      </x:c>
      <x:c r="E33" s="100" t="n">
        <x:f aca="0">IF($B$4=0,0,S33_Project_Deductions!E17*$B$4/S08_Defaults!$B$14)</x:f>
        <x:v>31.653318949750112</x:v>
      </x:c>
      <x:c r="F33" s="100" t="n">
        <x:f aca="0">S08_Defaults!$B$9</x:f>
        <x:v>0.2</x:v>
      </x:c>
      <x:c r="G33" s="100" t="n">
        <x:f aca="0">C33*(1-F33)-D33-E33</x:f>
        <x:v>2562.0003103914087</x:v>
      </x:c>
      <x:c r="H33" s="100" t="n">
        <x:f aca="0">G33-G32</x:f>
        <x:v>345.97052391596026</x:v>
      </x:c>
      <x:c r="I33" s="100" t="n">
        <x:f aca="0">H33/1</x:f>
        <x:v>345.97052391596026</x:v>
      </x:c>
      <x:c r="J33" s="100" t="n">
        <x:f aca="0">B33-D33-E33</x:f>
        <x:v>3277.3040000218634</x:v>
      </x:c>
      <x:c r="K33" s="100" t="n">
        <x:f aca="0">B33</x:f>
        <x:v>3410.266967483927</x:v>
      </x:c>
      <x:c r="L33" s="100" t="n">
        <x:f aca="0">0</x:f>
        <x:v>0</x:v>
      </x:c>
      <x:c r="M33" s="100" t="n">
        <x:f aca="0">IF(AND(A33&gt;=S08_Defaults!$B$11,A33&lt;=S08_Defaults!$B$12),J33,0)</x:f>
        <x:v>3277.3040000218634</x:v>
      </x:c>
      <x:c r="N33" s="100" t="n">
        <x:f aca="0">IF(AND(A33&gt;=S08_Defaults!$B$11,A33&lt;=S08_Defaults!$B$12),K33-L33,0)</x:f>
        <x:v>3410.266967483927</x:v>
      </x:c>
      <x:c r="O33" s="37" t="s">
        <x:v>1271</x:v>
      </x:c>
    </x:row>
    <x:row r="34" ht="15" hidden="0" customHeight="1">
      <x:c r="A34" s="37" t="n">
        <x:v>2034</x:v>
      </x:c>
      <x:c r="B34" s="100" t="n">
        <x:f aca="0">SUM(S18_Deserts_Xeric_ER!T16,S18_Deserts_Xeric_ER!T17,S18_Deserts_Xeric_ER!T18,S18_Deserts_Xeric_ER!T19)</x:f>
        <x:v>3836.091640479486</x:v>
      </x:c>
      <x:c r="C34" s="100" t="n">
        <x:f aca="0">SUM(S18_Deserts_Xeric_ER!AO16,S18_Deserts_Xeric_ER!AO17,S18_Deserts_Xeric_ER!AO18,S18_Deserts_Xeric_ER!AO19)</x:f>
        <x:v>3789.3390019551402</x:v>
      </x:c>
      <x:c r="D34" s="100" t="n">
        <x:f aca="0">IF($B$4=0,0,S33_Project_Deductions!D18*$B$4/S08_Defaults!$B$14)</x:f>
        <x:v>109.77382282311174</x:v>
      </x:c>
      <x:c r="E34" s="100" t="n">
        <x:f aca="0">IF($B$4=0,0,S33_Project_Deductions!E18*$B$4/S08_Defaults!$B$14)</x:f>
        <x:v>31.653318949750112</x:v>
      </x:c>
      <x:c r="F34" s="100" t="n">
        <x:f aca="0">S08_Defaults!$B$9</x:f>
        <x:v>0.2</x:v>
      </x:c>
      <x:c r="G34" s="100" t="n">
        <x:f aca="0">C34*(1-F34)-D34-E34</x:f>
        <x:v>2890.0440597912507</x:v>
      </x:c>
      <x:c r="H34" s="100" t="n">
        <x:f aca="0">G34-G33</x:f>
        <x:v>328.043749399842</x:v>
      </x:c>
      <x:c r="I34" s="100" t="n">
        <x:f aca="0">H34/1</x:f>
        <x:v>328.043749399842</x:v>
      </x:c>
      <x:c r="J34" s="100" t="n">
        <x:f aca="0">B34-D34-E34</x:f>
        <x:v>3694.6644987066243</x:v>
      </x:c>
      <x:c r="K34" s="100" t="n">
        <x:f aca="0">B34</x:f>
        <x:v>3836.091640479486</x:v>
      </x:c>
      <x:c r="L34" s="100" t="n">
        <x:f aca="0">0</x:f>
        <x:v>0</x:v>
      </x:c>
      <x:c r="M34" s="100" t="n">
        <x:f aca="0">IF(AND(A34&gt;=S08_Defaults!$B$11,A34&lt;=S08_Defaults!$B$12),J34,0)</x:f>
        <x:v>3694.6644987066243</x:v>
      </x:c>
      <x:c r="N34" s="100" t="n">
        <x:f aca="0">IF(AND(A34&gt;=S08_Defaults!$B$11,A34&lt;=S08_Defaults!$B$12),K34-L34,0)</x:f>
        <x:v>3836.091640479486</x:v>
      </x:c>
      <x:c r="O34" s="37" t="s">
        <x:v>1271</x:v>
      </x:c>
    </x:row>
    <x:row r="35" ht="15" hidden="0" customHeight="1">
      <x:c r="A35" s="37" t="n">
        <x:v>2035</x:v>
      </x:c>
      <x:c r="B35" s="100" t="n">
        <x:f aca="0">SUM(S18_Deserts_Xeric_ER!U16,S18_Deserts_Xeric_ER!U17,S18_Deserts_Xeric_ER!U18,S18_Deserts_Xeric_ER!U19)</x:f>
        <x:v>4234.2550193178595</x:v>
      </x:c>
      <x:c r="C35" s="100" t="n">
        <x:f aca="0">SUM(S18_Deserts_Xeric_ER!AP16,S18_Deserts_Xeric_ER!AP17,S18_Deserts_Xeric_ER!AP18,S18_Deserts_Xeric_ER!AP19)</x:f>
        <x:v>4182.649736417652</x:v>
      </x:c>
      <x:c r="D35" s="100" t="n">
        <x:f aca="0">IF($B$4=0,0,S33_Project_Deductions!D19*$B$4/S08_Defaults!$B$14)</x:f>
        <x:v>118.23799713390966</x:v>
      </x:c>
      <x:c r="E35" s="100" t="n">
        <x:f aca="0">IF($B$4=0,0,S33_Project_Deductions!E19*$B$4/S08_Defaults!$B$14)</x:f>
        <x:v>31.653318949750112</x:v>
      </x:c>
      <x:c r="F35" s="100" t="n">
        <x:f aca="0">S08_Defaults!$B$9</x:f>
        <x:v>0.2</x:v>
      </x:c>
      <x:c r="G35" s="100" t="n">
        <x:f aca="0">C35*(1-F35)-D35-E35</x:f>
        <x:v>3196.228473050462</x:v>
      </x:c>
      <x:c r="H35" s="100" t="n">
        <x:f aca="0">G35-G34</x:f>
        <x:v>306.1844132592114</x:v>
      </x:c>
      <x:c r="I35" s="100" t="n">
        <x:f aca="0">H35/1</x:f>
        <x:v>306.1844132592114</x:v>
      </x:c>
      <x:c r="J35" s="100" t="n">
        <x:f aca="0">B35-D35-E35</x:f>
        <x:v>4084.3637032342</x:v>
      </x:c>
      <x:c r="K35" s="100" t="n">
        <x:f aca="0">B35</x:f>
        <x:v>4234.2550193178595</x:v>
      </x:c>
      <x:c r="L35" s="100" t="n">
        <x:f aca="0">0</x:f>
        <x:v>0</x:v>
      </x:c>
      <x:c r="M35" s="100" t="n">
        <x:f aca="0">IF(AND(A35&gt;=S08_Defaults!$B$11,A35&lt;=S08_Defaults!$B$12),J35,0)</x:f>
        <x:v>4084.3637032342</x:v>
      </x:c>
      <x:c r="N35" s="100" t="n">
        <x:f aca="0">IF(AND(A35&gt;=S08_Defaults!$B$11,A35&lt;=S08_Defaults!$B$12),K35-L35,0)</x:f>
        <x:v>4234.2550193178595</x:v>
      </x:c>
      <x:c r="O35" s="37" t="s">
        <x:v>1271</x:v>
      </x:c>
    </x:row>
    <x:row r="36" ht="15" hidden="0" customHeight="1">
      <x:c r="A36" s="37" t="n">
        <x:v>2036</x:v>
      </x:c>
      <x:c r="B36" s="100" t="n">
        <x:f aca="0">SUM(S18_Deserts_Xeric_ER!V16,S18_Deserts_Xeric_ER!V17,S18_Deserts_Xeric_ER!V18,S18_Deserts_Xeric_ER!V19)</x:f>
        <x:v>4601.9951171475</x:v>
      </x:c>
      <x:c r="C36" s="100" t="n">
        <x:f aca="0">SUM(S18_Deserts_Xeric_ER!AQ16,S18_Deserts_Xeric_ER!AQ17,S18_Deserts_Xeric_ER!AQ18,S18_Deserts_Xeric_ER!AQ19)</x:f>
        <x:v>4545.907975763174</x:v>
      </x:c>
      <x:c r="D36" s="100" t="n">
        <x:f aca="0">IF($B$4=0,0,S33_Project_Deductions!D20*$B$4/S08_Defaults!$B$14)</x:f>
        <x:v>126.70217144470759</x:v>
      </x:c>
      <x:c r="E36" s="100" t="n">
        <x:f aca="0">IF($B$4=0,0,S33_Project_Deductions!E20*$B$4/S08_Defaults!$B$14)</x:f>
        <x:v>31.653318949750112</x:v>
      </x:c>
      <x:c r="F36" s="100" t="n">
        <x:f aca="0">S08_Defaults!$B$9</x:f>
        <x:v>0.2</x:v>
      </x:c>
      <x:c r="G36" s="100" t="n">
        <x:f aca="0">C36*(1-F36)-D36-E36</x:f>
        <x:v>3478.370890216082</x:v>
      </x:c>
      <x:c r="H36" s="100" t="n">
        <x:f aca="0">G36-G35</x:f>
        <x:v>282.1424171656199</x:v>
      </x:c>
      <x:c r="I36" s="100" t="n">
        <x:f aca="0">H36/1</x:f>
        <x:v>282.1424171656199</x:v>
      </x:c>
      <x:c r="J36" s="100" t="n">
        <x:f aca="0">B36-D36-E36</x:f>
        <x:v>4443.639626753043</x:v>
      </x:c>
      <x:c r="K36" s="100" t="n">
        <x:f aca="0">B36</x:f>
        <x:v>4601.9951171475</x:v>
      </x:c>
      <x:c r="L36" s="100" t="n">
        <x:f aca="0">0</x:f>
        <x:v>0</x:v>
      </x:c>
      <x:c r="M36" s="100" t="n">
        <x:f aca="0">IF(AND(A36&gt;=S08_Defaults!$B$11,A36&lt;=S08_Defaults!$B$12),J36,0)</x:f>
        <x:v>4443.639626753043</x:v>
      </x:c>
      <x:c r="N36" s="100" t="n">
        <x:f aca="0">IF(AND(A36&gt;=S08_Defaults!$B$11,A36&lt;=S08_Defaults!$B$12),K36-L36,0)</x:f>
        <x:v>4601.9951171475</x:v>
      </x:c>
      <x:c r="O36" s="37" t="s">
        <x:v>1271</x:v>
      </x:c>
    </x:row>
    <x:row r="37" ht="15" hidden="0" customHeight="1">
      <x:c r="A37" s="37" t="n">
        <x:v>2037</x:v>
      </x:c>
      <x:c r="B37" s="100" t="n">
        <x:f aca="0">SUM(S18_Deserts_Xeric_ER!W16,S18_Deserts_Xeric_ER!W17,S18_Deserts_Xeric_ER!W18,S18_Deserts_Xeric_ER!W19)</x:f>
        <x:v>4938.247133658811</x:v>
      </x:c>
      <x:c r="C37" s="100" t="n">
        <x:f aca="0">SUM(S18_Deserts_Xeric_ER!AR16,S18_Deserts_Xeric_ER!AR17,S18_Deserts_Xeric_ER!AR18,S18_Deserts_Xeric_ER!AR19)</x:f>
        <x:v>4878.06189701129</x:v>
      </x:c>
      <x:c r="D37" s="100" t="n">
        <x:f aca="0">IF($B$4=0,0,S33_Project_Deductions!D21*$B$4/S08_Defaults!$B$14)</x:f>
        <x:v>135.1663457555055</x:v>
      </x:c>
      <x:c r="E37" s="100" t="n">
        <x:f aca="0">IF($B$4=0,0,S33_Project_Deductions!E21*$B$4/S08_Defaults!$B$14)</x:f>
        <x:v>31.653318949750112</x:v>
      </x:c>
      <x:c r="F37" s="100" t="n">
        <x:f aca="0">S08_Defaults!$B$9</x:f>
        <x:v>0.2</x:v>
      </x:c>
      <x:c r="G37" s="100" t="n">
        <x:f aca="0">C37*(1-F37)-D37-E37</x:f>
        <x:v>3735.6298529037767</x:v>
      </x:c>
      <x:c r="H37" s="100" t="n">
        <x:f aca="0">G37-G36</x:f>
        <x:v>257.25896268769475</x:v>
      </x:c>
      <x:c r="I37" s="100" t="n">
        <x:f aca="0">H37/1</x:f>
        <x:v>257.25896268769475</x:v>
      </x:c>
      <x:c r="J37" s="100" t="n">
        <x:f aca="0">B37-D37-E37</x:f>
        <x:v>4771.427468953556</x:v>
      </x:c>
      <x:c r="K37" s="100" t="n">
        <x:f aca="0">B37</x:f>
        <x:v>4938.247133658811</x:v>
      </x:c>
      <x:c r="L37" s="100" t="n">
        <x:f aca="0">0</x:f>
        <x:v>0</x:v>
      </x:c>
      <x:c r="M37" s="100" t="n">
        <x:f aca="0">IF(AND(A37&gt;=S08_Defaults!$B$11,A37&lt;=S08_Defaults!$B$12),J37,0)</x:f>
        <x:v>4771.427468953556</x:v>
      </x:c>
      <x:c r="N37" s="100" t="n">
        <x:f aca="0">IF(AND(A37&gt;=S08_Defaults!$B$11,A37&lt;=S08_Defaults!$B$12),K37-L37,0)</x:f>
        <x:v>4938.247133658811</x:v>
      </x:c>
      <x:c r="O37" s="37" t="s">
        <x:v>1271</x:v>
      </x:c>
    </x:row>
    <x:row r="38" ht="15" hidden="0" customHeight="1">
      <x:c r="A38" s="37" t="n">
        <x:v>2038</x:v>
      </x:c>
      <x:c r="B38" s="100" t="n">
        <x:f aca="0">SUM(S18_Deserts_Xeric_ER!X16,S18_Deserts_Xeric_ER!X17,S18_Deserts_Xeric_ER!X18,S18_Deserts_Xeric_ER!X19)</x:f>
        <x:v>5243.190614914946</x:v>
      </x:c>
      <x:c r="C38" s="100" t="n">
        <x:f aca="0">SUM(S18_Deserts_Xeric_ER!AS16,S18_Deserts_Xeric_ER!AS17,S18_Deserts_Xeric_ER!AS18,S18_Deserts_Xeric_ER!AS19)</x:f>
        <x:v>5179.28885799479</x:v>
      </x:c>
      <x:c r="D38" s="100" t="n">
        <x:f aca="0">IF($B$4=0,0,S33_Project_Deductions!D22*$B$4/S08_Defaults!$B$14)</x:f>
        <x:v>143.6305200663034</x:v>
      </x:c>
      <x:c r="E38" s="100" t="n">
        <x:f aca="0">IF($B$4=0,0,S33_Project_Deductions!E22*$B$4/S08_Defaults!$B$14)</x:f>
        <x:v>31.653318949750112</x:v>
      </x:c>
      <x:c r="F38" s="100" t="n">
        <x:f aca="0">S08_Defaults!$B$9</x:f>
        <x:v>0.2</x:v>
      </x:c>
      <x:c r="G38" s="100" t="n">
        <x:f aca="0">C38*(1-F38)-D38-E38</x:f>
        <x:v>3968.1472473797794</x:v>
      </x:c>
      <x:c r="H38" s="100" t="n">
        <x:f aca="0">G38-G37</x:f>
        <x:v>232.51739447600266</x:v>
      </x:c>
      <x:c r="I38" s="100" t="n">
        <x:f aca="0">H38/1</x:f>
        <x:v>232.51739447600266</x:v>
      </x:c>
      <x:c r="J38" s="100" t="n">
        <x:f aca="0">B38-D38-E38</x:f>
        <x:v>5067.906775898892</x:v>
      </x:c>
      <x:c r="K38" s="100" t="n">
        <x:f aca="0">B38</x:f>
        <x:v>5243.190614914946</x:v>
      </x:c>
      <x:c r="L38" s="100" t="n">
        <x:f aca="0">0</x:f>
        <x:v>0</x:v>
      </x:c>
      <x:c r="M38" s="100" t="n">
        <x:f aca="0">IF(AND(A38&gt;=S08_Defaults!$B$11,A38&lt;=S08_Defaults!$B$12),J38,0)</x:f>
        <x:v>5067.906775898892</x:v>
      </x:c>
      <x:c r="N38" s="100" t="n">
        <x:f aca="0">IF(AND(A38&gt;=S08_Defaults!$B$11,A38&lt;=S08_Defaults!$B$12),K38-L38,0)</x:f>
        <x:v>5243.190614914946</x:v>
      </x:c>
      <x:c r="O38" s="37" t="s">
        <x:v>1271</x:v>
      </x:c>
    </x:row>
    <x:row r="39" ht="15" hidden="0" customHeight="1">
      <x:c r="A39" s="37" t="n">
        <x:v>2039</x:v>
      </x:c>
      <x:c r="B39" s="100" t="n">
        <x:f aca="0">SUM(S18_Deserts_Xeric_ER!Y16,S18_Deserts_Xeric_ER!Y17,S18_Deserts_Xeric_ER!Y18,S18_Deserts_Xeric_ER!Y19)</x:f>
        <x:v>5517.874632096752</x:v>
      </x:c>
      <x:c r="C39" s="100" t="n">
        <x:f aca="0">SUM(S18_Deserts_Xeric_ER!AT16,S18_Deserts_Xeric_ER!AT17,S18_Deserts_Xeric_ER!AT18,S18_Deserts_Xeric_ER!AT19)</x:f>
        <x:v>5450.625144265217</x:v>
      </x:c>
      <x:c r="D39" s="100" t="n">
        <x:f aca="0">IF($B$4=0,0,S33_Project_Deductions!D23*$B$4/S08_Defaults!$B$14)</x:f>
        <x:v>152.09469437710132</x:v>
      </x:c>
      <x:c r="E39" s="100" t="n">
        <x:f aca="0">IF($B$4=0,0,S33_Project_Deductions!E23*$B$4/S08_Defaults!$B$14)</x:f>
        <x:v>31.653318949750112</x:v>
      </x:c>
      <x:c r="F39" s="100" t="n">
        <x:f aca="0">S08_Defaults!$B$9</x:f>
        <x:v>0.2</x:v>
      </x:c>
      <x:c r="G39" s="100" t="n">
        <x:f aca="0">C39*(1-F39)-D39-E39</x:f>
        <x:v>4176.752102085322</x:v>
      </x:c>
      <x:c r="H39" s="100" t="n">
        <x:f aca="0">G39-G38</x:f>
        <x:v>208.6048547055425</x:v>
      </x:c>
      <x:c r="I39" s="100" t="n">
        <x:f aca="0">H39/1</x:f>
        <x:v>208.6048547055425</x:v>
      </x:c>
      <x:c r="J39" s="100" t="n">
        <x:f aca="0">B39-D39-E39</x:f>
        <x:v>5334.1266187699</x:v>
      </x:c>
      <x:c r="K39" s="100" t="n">
        <x:f aca="0">B39</x:f>
        <x:v>5517.874632096752</x:v>
      </x:c>
      <x:c r="L39" s="100" t="n">
        <x:f aca="0">0</x:f>
        <x:v>0</x:v>
      </x:c>
      <x:c r="M39" s="100" t="n">
        <x:f aca="0">IF(AND(A39&gt;=S08_Defaults!$B$11,A39&lt;=S08_Defaults!$B$12),J39,0)</x:f>
        <x:v>5334.1266187699</x:v>
      </x:c>
      <x:c r="N39" s="100" t="n">
        <x:f aca="0">IF(AND(A39&gt;=S08_Defaults!$B$11,A39&lt;=S08_Defaults!$B$12),K39-L39,0)</x:f>
        <x:v>5517.874632096752</x:v>
      </x:c>
      <x:c r="O39" s="37" t="s">
        <x:v>1271</x:v>
      </x:c>
    </x:row>
    <x:row r="40" ht="15" hidden="0" customHeight="1">
      <x:c r="A40" s="37" t="n">
        <x:v>2040</x:v>
      </x:c>
      <x:c r="B40" s="100" t="n">
        <x:f aca="0">SUM(S18_Deserts_Xeric_ER!Z16,S18_Deserts_Xeric_ER!Z17,S18_Deserts_Xeric_ER!Z18,S18_Deserts_Xeric_ER!Z19)</x:f>
        <x:v>5763.920152858105</x:v>
      </x:c>
      <x:c r="C40" s="100" t="n">
        <x:f aca="0">SUM(S18_Deserts_Xeric_ER!AU16,S18_Deserts_Xeric_ER!AU17,S18_Deserts_Xeric_ER!AU18,S18_Deserts_Xeric_ER!AU19)</x:f>
        <x:v>5693.671967818374</x:v>
      </x:c>
      <x:c r="D40" s="100" t="n">
        <x:f aca="0">IF($B$4=0,0,S33_Project_Deductions!D24*$B$4/S08_Defaults!$B$14)</x:f>
        <x:v>160.55886868789923</x:v>
      </x:c>
      <x:c r="E40" s="100" t="n">
        <x:f aca="0">IF($B$4=0,0,S33_Project_Deductions!E24*$B$4/S08_Defaults!$B$14)</x:f>
        <x:v>31.653318949750112</x:v>
      </x:c>
      <x:c r="F40" s="100" t="n">
        <x:f aca="0">S08_Defaults!$B$9</x:f>
        <x:v>0.2</x:v>
      </x:c>
      <x:c r="G40" s="100" t="n">
        <x:f aca="0">C40*(1-F40)-D40-E40</x:f>
        <x:v>4362.7253866170495</x:v>
      </x:c>
      <x:c r="H40" s="100" t="n">
        <x:f aca="0">G40-G39</x:f>
        <x:v>185.9732845317276</x:v>
      </x:c>
      <x:c r="I40" s="100" t="n">
        <x:f aca="0">H40/1</x:f>
        <x:v>185.9732845317276</x:v>
      </x:c>
      <x:c r="J40" s="100" t="n">
        <x:f aca="0">B40-D40-E40</x:f>
        <x:v>5571.707965220456</x:v>
      </x:c>
      <x:c r="K40" s="100" t="n">
        <x:f aca="0">B40</x:f>
        <x:v>5763.920152858105</x:v>
      </x:c>
      <x:c r="L40" s="100" t="n">
        <x:f aca="0">0</x:f>
        <x:v>0</x:v>
      </x:c>
      <x:c r="M40" s="100" t="n">
        <x:f aca="0">IF(AND(A40&gt;=S08_Defaults!$B$11,A40&lt;=S08_Defaults!$B$12),J40,0)</x:f>
        <x:v>5571.707965220456</x:v>
      </x:c>
      <x:c r="N40" s="100" t="n">
        <x:f aca="0">IF(AND(A40&gt;=S08_Defaults!$B$11,A40&lt;=S08_Defaults!$B$12),K40-L40,0)</x:f>
        <x:v>5763.920152858105</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Deserts &amp; Xeric Shrublands | Mixed Agroforestry (2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642</x:v>
      </x:c>
      <x:c r="B46" s="198" t="s">
        <x:v>542</x:v>
      </x:c>
      <x:c r="C46" s="198" t="n">
        <x:v>2022</x:v>
      </x:c>
      <x:c r="D46" s="198" t="n">
        <x:v>0.869</x:v>
      </x:c>
      <x:c r="E46" s="198" t="s">
        <x:v>643</x:v>
      </x:c>
      <x:c r="F46" s="198" t="s">
        <x:v>644</x:v>
      </x:c>
      <x:c r="G46" s="1"/>
      <x:c r="H46" s="1"/>
      <x:c r="I46" s="1"/>
      <x:c r="J46" s="1"/>
      <x:c r="K46" s="1"/>
      <x:c r="L46" s="1"/>
      <x:c r="M46" s="1"/>
      <x:c r="N46" s="1"/>
      <x:c r="O46" s="1"/>
    </x:row>
    <x:row r="47" ht="21.75" hidden="0" customHeight="1">
      <x:c r="A47" s="125" t="s">
        <x:v>633</x:v>
      </x:c>
      <x:c r="B47" s="198" t="s">
        <x:v>549</x:v>
      </x:c>
      <x:c r="C47" s="198" t="n">
        <x:v>2020</x:v>
      </x:c>
      <x:c r="D47" s="198" t="n">
        <x:v>1.8785</x:v>
      </x:c>
      <x:c r="E47" s="198" t="s">
        <x:v>634</x:v>
      </x:c>
      <x:c r="F47" s="198" t="s">
        <x:v>635</x:v>
      </x:c>
      <x:c r="G47" s="1"/>
      <x:c r="H47" s="1"/>
      <x:c r="I47" s="1"/>
      <x:c r="J47" s="1"/>
      <x:c r="K47" s="1"/>
      <x:c r="L47" s="1"/>
      <x:c r="M47" s="1"/>
      <x:c r="N47" s="1"/>
      <x:c r="O47" s="1"/>
    </x:row>
  </x:sheetData>
  <x:mergeCells>
    <x:mergeCell ref="A1:N1"/>
    <x:mergeCell ref="A43:F43"/>
    <x:mergeCell ref="A44:F44"/>
  </x:mergeCells>
  <x:pageMargins left="0.7" right="0.7" top="0.75" bottom="0.75" header="0.3" footer="0.3"/>
</x:worksheet>
</file>

<file path=xl/worksheets/sheet25.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Moist Broadleaf Forests | Fruit Orchard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SUM(S19_Moist_Broadleaf_ER!C4,S19_Moist_Broadleaf_ER!C5,S19_Moist_Broadleaf_ER!C6,S19_Moist_Broadleaf_ER!C7)</x:f>
        <x:v>76.8901433832457</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2080.7564576220625</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2372.9350558943897</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4344.356544989026</x:v>
      </x:c>
      <x:c r="C7" s="37" t="s">
        <x:v>151</x:v>
      </x:c>
      <x:c r="D7" s="37" t="s">
        <x:v>1242</x:v>
      </x:c>
      <x:c r="E7" s="1"/>
      <x:c r="F7" s="1"/>
      <x:c r="G7" s="1"/>
      <x:c r="H7" s="1"/>
      <x:c r="I7" s="1"/>
      <x:c r="J7" s="1"/>
      <x:c r="K7" s="1"/>
      <x:c r="L7" s="1"/>
      <x:c r="M7" s="1"/>
      <x:c r="N7" s="1"/>
      <x:c r="O7" s="1"/>
    </x:row>
    <x:row r="8" ht="15" hidden="0" customHeight="1">
      <x:c r="A8" s="193" t="s">
        <x:v>1243</x:v>
      </x:c>
      <x:c r="B8" s="194" t="n">
        <x:f aca="0">MAX(0,MIN(B5,B6))</x:f>
        <x:v>2080.7564576220625</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2080.7564576220625</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416.1512915244125</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1664.60516609765</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21.649135934117222</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1.0824567967058611</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IF(AND("Tropical &amp; Subtropical Moist Broadleaf Forests"="Tropical &amp; Subtropical Dry Broadleaf Forests","Fruit Orchard"="Timber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SUM(S19_Moist_Broadleaf_ER!F4,S19_Moist_Broadleaf_ER!F5,S19_Moist_Broadleaf_ER!F6,S19_Moist_Broadleaf_ER!F7)</x:f>
        <x:v>0</x:v>
      </x:c>
      <x:c r="C20" s="100" t="n">
        <x:f aca="0">SUM(S19_Moist_Broadleaf_ER!AA4,S19_Moist_Broadleaf_ER!AA5,S19_Moist_Broadleaf_ER!AA6,S19_Moist_Broadleaf_ER!AA7)</x:f>
        <x:v>0</x:v>
      </x:c>
      <x:c r="D20" s="100" t="n">
        <x:f aca="0">IF($B$4=0,0,S33_Project_Deductions!D4*$B$4/S08_Defaults!$B$14)</x:f>
        <x:v>25.095424303203394</x:v>
      </x:c>
      <x:c r="E20" s="100" t="n">
        <x:f aca="0">IF($B$4=0,0,S33_Project_Deductions!E4*$B$4/S08_Defaults!$B$14)</x:f>
        <x:v>114.83236707044036</x:v>
      </x:c>
      <x:c r="F20" s="100" t="n">
        <x:f aca="0">S08_Defaults!$B$9</x:f>
        <x:v>0.2</x:v>
      </x:c>
      <x:c r="G20" s="100" t="n">
        <x:f aca="0">C20*(1-F20)-D20-E20</x:f>
        <x:v>-139.92779137364374</x:v>
      </x:c>
      <x:c r="H20" s="100" t="n">
        <x:f aca="0">G20</x:f>
        <x:v>-139.92779137364374</x:v>
      </x:c>
      <x:c r="I20" s="100" t="n">
        <x:f aca="0">H20/1</x:f>
        <x:v>-139.92779137364374</x:v>
      </x:c>
      <x:c r="J20" s="100" t="n">
        <x:f aca="0">B20-D20-E20</x:f>
        <x:v>-139.92779137364374</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SUM(S19_Moist_Broadleaf_ER!G4,S19_Moist_Broadleaf_ER!G5,S19_Moist_Broadleaf_ER!G6,S19_Moist_Broadleaf_ER!G7)</x:f>
        <x:v>1.837493653753346</x:v>
      </x:c>
      <x:c r="C21" s="100" t="n">
        <x:f aca="0">SUM(S19_Moist_Broadleaf_ER!AB4,S19_Moist_Broadleaf_ER!AB5,S19_Moist_Broadleaf_ER!AB6,S19_Moist_Broadleaf_ER!AB7)</x:f>
        <x:v>1.2635789283558214</x:v>
      </x:c>
      <x:c r="D21" s="100" t="n">
        <x:f aca="0">IF($B$4=0,0,S33_Project_Deductions!D5*$B$4/S08_Defaults!$B$14)</x:f>
        <x:v>81.71595088838106</x:v>
      </x:c>
      <x:c r="E21" s="100" t="n">
        <x:f aca="0">IF($B$4=0,0,S33_Project_Deductions!E5*$B$4/S08_Defaults!$B$14)</x:f>
        <x:v>226.57377775431326</x:v>
      </x:c>
      <x:c r="F21" s="100" t="n">
        <x:f aca="0">S08_Defaults!$B$9</x:f>
        <x:v>0.2</x:v>
      </x:c>
      <x:c r="G21" s="100" t="n">
        <x:f aca="0">C21*(1-F21)-D21-E21</x:f>
        <x:v>-307.27886550000966</x:v>
      </x:c>
      <x:c r="H21" s="100" t="n">
        <x:f aca="0">G21-G20</x:f>
        <x:v>-167.35107412636592</x:v>
      </x:c>
      <x:c r="I21" s="100" t="n">
        <x:f aca="0">H21/1</x:f>
        <x:v>-167.35107412636592</x:v>
      </x:c>
      <x:c r="J21" s="100" t="n">
        <x:f aca="0">B21-D21-E21</x:f>
        <x:v>-306.452234988941</x:v>
      </x:c>
      <x:c r="K21" s="100" t="n">
        <x:f aca="0">B21</x:f>
        <x:v>1.837493653753346</x:v>
      </x:c>
      <x:c r="L21" s="100" t="n">
        <x:f aca="0">0</x:f>
        <x:v>0</x:v>
      </x:c>
      <x:c r="M21" s="100" t="n">
        <x:f aca="0">IF(AND(A21&gt;=S08_Defaults!$B$11,A21&lt;=S08_Defaults!$B$12),J21,0)</x:f>
        <x:v>-306.452234988941</x:v>
      </x:c>
      <x:c r="N21" s="100" t="n">
        <x:f aca="0">IF(AND(A21&gt;=S08_Defaults!$B$11,A21&lt;=S08_Defaults!$B$12),K21-L21,0)</x:f>
        <x:v>1.837493653753346</x:v>
      </x:c>
      <x:c r="O21" s="37" t="s">
        <x:v>1271</x:v>
      </x:c>
    </x:row>
    <x:row r="22" ht="15" hidden="0" customHeight="1">
      <x:c r="A22" s="37" t="n">
        <x:v>2022</x:v>
      </x:c>
      <x:c r="B22" s="100" t="n">
        <x:f aca="0">SUM(S19_Moist_Broadleaf_ER!H4,S19_Moist_Broadleaf_ER!H5,S19_Moist_Broadleaf_ER!H6,S19_Moist_Broadleaf_ER!H7)</x:f>
        <x:v>24.043524301790036</x:v>
      </x:c>
      <x:c r="C22" s="100" t="n">
        <x:f aca="0">SUM(S19_Moist_Broadleaf_ER!AC4,S19_Moist_Broadleaf_ER!AC5,S19_Moist_Broadleaf_ER!AC6,S19_Moist_Broadleaf_ER!AC7)</x:f>
        <x:v>16.533875156028785</x:v>
      </x:c>
      <x:c r="D22" s="100" t="n">
        <x:f aca="0">IF($B$4=0,0,S33_Project_Deductions!D6*$B$4/S08_Defaults!$B$14)</x:f>
        <x:v>175.19916601052847</x:v>
      </x:c>
      <x:c r="E22" s="100" t="n">
        <x:f aca="0">IF($B$4=0,0,S33_Project_Deductions!E6*$B$4/S08_Defaults!$B$14)</x:f>
        <x:v>340.71214675166215</x:v>
      </x:c>
      <x:c r="F22" s="100" t="n">
        <x:f aca="0">S08_Defaults!$B$9</x:f>
        <x:v>0.2</x:v>
      </x:c>
      <x:c r="G22" s="100" t="n">
        <x:f aca="0">C22*(1-F22)-D22-E22</x:f>
        <x:v>-502.6842126373676</x:v>
      </x:c>
      <x:c r="H22" s="100" t="n">
        <x:f aca="0">G22-G21</x:f>
        <x:v>-195.40534713735792</x:v>
      </x:c>
      <x:c r="I22" s="100" t="n">
        <x:f aca="0">H22/1</x:f>
        <x:v>-195.40534713735792</x:v>
      </x:c>
      <x:c r="J22" s="100" t="n">
        <x:f aca="0">B22-D22-E22</x:f>
        <x:v>-491.86778846040056</x:v>
      </x:c>
      <x:c r="K22" s="100" t="n">
        <x:f aca="0">B22</x:f>
        <x:v>24.043524301790036</x:v>
      </x:c>
      <x:c r="L22" s="100" t="n">
        <x:f aca="0">0</x:f>
        <x:v>0</x:v>
      </x:c>
      <x:c r="M22" s="100" t="n">
        <x:f aca="0">IF(AND(A22&gt;=S08_Defaults!$B$11,A22&lt;=S08_Defaults!$B$12),J22,0)</x:f>
        <x:v>-491.86778846040056</x:v>
      </x:c>
      <x:c r="N22" s="100" t="n">
        <x:f aca="0">IF(AND(A22&gt;=S08_Defaults!$B$11,A22&lt;=S08_Defaults!$B$12),K22-L22,0)</x:f>
        <x:v>24.043524301790036</x:v>
      </x:c>
      <x:c r="O22" s="37" t="s">
        <x:v>1271</x:v>
      </x:c>
    </x:row>
    <x:row r="23" ht="15" hidden="0" customHeight="1">
      <x:c r="A23" s="37" t="n">
        <x:v>2023</x:v>
      </x:c>
      <x:c r="B23" s="100" t="n">
        <x:f aca="0">SUM(S19_Moist_Broadleaf_ER!I4,S19_Moist_Broadleaf_ER!I5,S19_Moist_Broadleaf_ER!I6,S19_Moist_Broadleaf_ER!I7)</x:f>
        <x:v>108.54924513553935</x:v>
      </x:c>
      <x:c r="C23" s="100" t="n">
        <x:f aca="0">SUM(S19_Moist_Broadleaf_ER!AD4,S19_Moist_Broadleaf_ER!AD5,S19_Moist_Broadleaf_ER!AD6,S19_Moist_Broadleaf_ER!AD7)</x:f>
        <x:v>74.64544901258733</x:v>
      </x:c>
      <x:c r="D23" s="100" t="n">
        <x:f aca="0">IF($B$4=0,0,S33_Project_Deductions!D7*$B$4/S08_Defaults!$B$14)</x:f>
        <x:v>306.4522180396366</x:v>
      </x:c>
      <x:c r="E23" s="100" t="n">
        <x:f aca="0">IF($B$4=0,0,S33_Project_Deductions!E7*$B$4/S08_Defaults!$B$14)</x:f>
        <x:v>455.3379704235919</x:v>
      </x:c>
      <x:c r="F23" s="100" t="n">
        <x:f aca="0">S08_Defaults!$B$9</x:f>
        <x:v>0.2</x:v>
      </x:c>
      <x:c r="G23" s="100" t="n">
        <x:f aca="0">C23*(1-F23)-D23-E23</x:f>
        <x:v>-702.0738292531587</x:v>
      </x:c>
      <x:c r="H23" s="100" t="n">
        <x:f aca="0">G23-G22</x:f>
        <x:v>-199.3896166157911</x:v>
      </x:c>
      <x:c r="I23" s="100" t="n">
        <x:f aca="0">H23/1</x:f>
        <x:v>-199.3896166157911</x:v>
      </x:c>
      <x:c r="J23" s="100" t="n">
        <x:f aca="0">B23-D23-E23</x:f>
        <x:v>-653.2409433276891</x:v>
      </x:c>
      <x:c r="K23" s="100" t="n">
        <x:f aca="0">B23</x:f>
        <x:v>108.54924513553935</x:v>
      </x:c>
      <x:c r="L23" s="100" t="n">
        <x:f aca="0">0</x:f>
        <x:v>0</x:v>
      </x:c>
      <x:c r="M23" s="100" t="n">
        <x:f aca="0">IF(AND(A23&gt;=S08_Defaults!$B$11,A23&lt;=S08_Defaults!$B$12),J23,0)</x:f>
        <x:v>-653.2409433276891</x:v>
      </x:c>
      <x:c r="N23" s="100" t="n">
        <x:f aca="0">IF(AND(A23&gt;=S08_Defaults!$B$11,A23&lt;=S08_Defaults!$B$12),K23-L23,0)</x:f>
        <x:v>108.54924513553935</x:v>
      </x:c>
      <x:c r="O23" s="37" t="s">
        <x:v>1271</x:v>
      </x:c>
    </x:row>
    <x:row r="24" ht="15" hidden="0" customHeight="1">
      <x:c r="A24" s="37" t="n">
        <x:v>2024</x:v>
      </x:c>
      <x:c r="B24" s="100" t="n">
        <x:f aca="0">SUM(S19_Moist_Broadleaf_ER!J4,S19_Moist_Broadleaf_ER!J5,S19_Moist_Broadleaf_ER!J6,S19_Moist_Broadleaf_ER!J7)</x:f>
        <x:v>299.29669931037887</x:v>
      </x:c>
      <x:c r="C24" s="100" t="n">
        <x:f aca="0">SUM(S19_Moist_Broadleaf_ER!AE4,S19_Moist_Broadleaf_ER!AE5,S19_Moist_Broadleaf_ER!AE6,S19_Moist_Broadleaf_ER!AE7)</x:f>
        <x:v>205.8156782215523</x:v>
      </x:c>
      <x:c r="D24" s="100" t="n">
        <x:f aca="0">IF($B$4=0,0,S33_Project_Deductions!D8*$B$4/S08_Defaults!$B$14)</x:f>
        <x:v>450.44332887088007</x:v>
      </x:c>
      <x:c r="E24" s="100" t="n">
        <x:f aca="0">IF($B$4=0,0,S33_Project_Deductions!E8*$B$4/S08_Defaults!$B$14)</x:f>
        <x:v>565.9407586564107</x:v>
      </x:c>
      <x:c r="F24" s="100" t="n">
        <x:f aca="0">S08_Defaults!$B$9</x:f>
        <x:v>0.2</x:v>
      </x:c>
      <x:c r="G24" s="100" t="n">
        <x:f aca="0">C24*(1-F24)-D24-E24</x:f>
        <x:v>-851.7315449500489</x:v>
      </x:c>
      <x:c r="H24" s="100" t="n">
        <x:f aca="0">G24-G23</x:f>
        <x:v>-149.65771569689025</x:v>
      </x:c>
      <x:c r="I24" s="100" t="n">
        <x:f aca="0">H24/1</x:f>
        <x:v>-149.65771569689025</x:v>
      </x:c>
      <x:c r="J24" s="100" t="n">
        <x:f aca="0">B24-D24-E24</x:f>
        <x:v>-717.0873882169119</x:v>
      </x:c>
      <x:c r="K24" s="100" t="n">
        <x:f aca="0">B24</x:f>
        <x:v>299.29669931037887</x:v>
      </x:c>
      <x:c r="L24" s="100" t="n">
        <x:f aca="0">0</x:f>
        <x:v>0</x:v>
      </x:c>
      <x:c r="M24" s="100" t="n">
        <x:f aca="0">IF(AND(A24&gt;=S08_Defaults!$B$11,A24&lt;=S08_Defaults!$B$12),J24,0)</x:f>
        <x:v>-717.0873882169119</x:v>
      </x:c>
      <x:c r="N24" s="100" t="n">
        <x:f aca="0">IF(AND(A24&gt;=S08_Defaults!$B$11,A24&lt;=S08_Defaults!$B$12),K24-L24,0)</x:f>
        <x:v>299.29669931037887</x:v>
      </x:c>
      <x:c r="O24" s="37" t="s">
        <x:v>1271</x:v>
      </x:c>
    </x:row>
    <x:row r="25" ht="15" hidden="0" customHeight="1">
      <x:c r="A25" s="37" t="n">
        <x:v>2025</x:v>
      </x:c>
      <x:c r="B25" s="100" t="n">
        <x:f aca="0">SUM(S19_Moist_Broadleaf_ER!K4,S19_Moist_Broadleaf_ER!K5,S19_Moist_Broadleaf_ER!K6,S19_Moist_Broadleaf_ER!K7)</x:f>
        <x:v>620.7708140331424</x:v>
      </x:c>
      <x:c r="C25" s="100" t="n">
        <x:f aca="0">SUM(S19_Moist_Broadleaf_ER!AF4,S19_Moist_Broadleaf_ER!AF5,S19_Moist_Broadleaf_ER!AF6,S19_Moist_Broadleaf_ER!AF7)</x:f>
        <x:v>426.8819749925847</x:v>
      </x:c>
      <x:c r="D25" s="100" t="n">
        <x:f aca="0">IF($B$4=0,0,S33_Project_Deductions!D9*$B$4/S08_Defaults!$B$14)</x:f>
        <x:v>600.742820525488</x:v>
      </x:c>
      <x:c r="E25" s="100" t="n">
        <x:f aca="0">IF($B$4=0,0,S33_Project_Deductions!E9*$B$4/S08_Defaults!$B$14)</x:f>
        <x:v>565.9407586564107</x:v>
      </x:c>
      <x:c r="F25" s="100" t="n">
        <x:f aca="0">S08_Defaults!$B$9</x:f>
        <x:v>0.2</x:v>
      </x:c>
      <x:c r="G25" s="100" t="n">
        <x:f aca="0">C25*(1-F25)-D25-E25</x:f>
        <x:v>-825.1779991878309</x:v>
      </x:c>
      <x:c r="H25" s="100" t="n">
        <x:f aca="0">G25-G24</x:f>
        <x:v>26.55354576221805</x:v>
      </x:c>
      <x:c r="I25" s="100" t="n">
        <x:f aca="0">H25/1</x:f>
        <x:v>26.55354576221805</x:v>
      </x:c>
      <x:c r="J25" s="100" t="n">
        <x:f aca="0">B25-D25-E25</x:f>
        <x:v>-545.9127651487563</x:v>
      </x:c>
      <x:c r="K25" s="100" t="n">
        <x:f aca="0">B25</x:f>
        <x:v>620.7708140331424</x:v>
      </x:c>
      <x:c r="L25" s="100" t="n">
        <x:f aca="0">0</x:f>
        <x:v>0</x:v>
      </x:c>
      <x:c r="M25" s="100" t="n">
        <x:f aca="0">IF(AND(A25&gt;=S08_Defaults!$B$11,A25&lt;=S08_Defaults!$B$12),J25,0)</x:f>
        <x:v>-545.9127651487563</x:v>
      </x:c>
      <x:c r="N25" s="100" t="n">
        <x:f aca="0">IF(AND(A25&gt;=S08_Defaults!$B$11,A25&lt;=S08_Defaults!$B$12),K25-L25,0)</x:f>
        <x:v>620.7708140331424</x:v>
      </x:c>
      <x:c r="O25" s="37" t="s">
        <x:v>1271</x:v>
      </x:c>
    </x:row>
    <x:row r="26" ht="15" hidden="0" customHeight="1">
      <x:c r="A26" s="37" t="n">
        <x:v>2026</x:v>
      </x:c>
      <x:c r="B26" s="100" t="n">
        <x:f aca="0">SUM(S19_Moist_Broadleaf_ER!L4,S19_Moist_Broadleaf_ER!L5,S19_Moist_Broadleaf_ER!L6,S19_Moist_Broadleaf_ER!L7)</x:f>
        <x:v>1073.7587617612983</x:v>
      </x:c>
      <x:c r="C26" s="100" t="n">
        <x:f aca="0">SUM(S19_Moist_Broadleaf_ER!AG4,S19_Moist_Broadleaf_ER!AG5,S19_Moist_Broadleaf_ER!AG6,S19_Moist_Broadleaf_ER!AG7)</x:f>
        <x:v>738.3856497831154</x:v>
      </x:c>
      <x:c r="D26" s="100" t="n">
        <x:f aca="0">IF($B$4=0,0,S33_Project_Deductions!D10*$B$4/S08_Defaults!$B$14)</x:f>
        <x:v>752.013106748465</x:v>
      </x:c>
      <x:c r="E26" s="100" t="n">
        <x:f aca="0">IF($B$4=0,0,S33_Project_Deductions!E10*$B$4/S08_Defaults!$B$14)</x:f>
        <x:v>565.9407586564107</x:v>
      </x:c>
      <x:c r="F26" s="100" t="n">
        <x:f aca="0">S08_Defaults!$B$9</x:f>
        <x:v>0.2</x:v>
      </x:c>
      <x:c r="G26" s="100" t="n">
        <x:f aca="0">C26*(1-F26)-D26-E26</x:f>
        <x:v>-727.2453455783834</x:v>
      </x:c>
      <x:c r="H26" s="100" t="n">
        <x:f aca="0">G26-G25</x:f>
        <x:v>97.93265360944747</x:v>
      </x:c>
      <x:c r="I26" s="100" t="n">
        <x:f aca="0">H26/1</x:f>
        <x:v>97.93265360944747</x:v>
      </x:c>
      <x:c r="J26" s="100" t="n">
        <x:f aca="0">B26-D26-E26</x:f>
        <x:v>-244.19510364357745</x:v>
      </x:c>
      <x:c r="K26" s="100" t="n">
        <x:f aca="0">B26</x:f>
        <x:v>1073.7587617612983</x:v>
      </x:c>
      <x:c r="L26" s="100" t="n">
        <x:f aca="0">0</x:f>
        <x:v>0</x:v>
      </x:c>
      <x:c r="M26" s="100" t="n">
        <x:f aca="0">IF(AND(A26&gt;=S08_Defaults!$B$11,A26&lt;=S08_Defaults!$B$12),J26,0)</x:f>
        <x:v>-244.19510364357745</x:v>
      </x:c>
      <x:c r="N26" s="100" t="n">
        <x:f aca="0">IF(AND(A26&gt;=S08_Defaults!$B$11,A26&lt;=S08_Defaults!$B$12),K26-L26,0)</x:f>
        <x:v>1073.7587617612983</x:v>
      </x:c>
      <x:c r="O26" s="37" t="s">
        <x:v>1271</x:v>
      </x:c>
    </x:row>
    <x:row r="27" ht="15" hidden="0" customHeight="1">
      <x:c r="A27" s="37" t="n">
        <x:v>2027</x:v>
      </x:c>
      <x:c r="B27" s="100" t="n">
        <x:f aca="0">SUM(S19_Moist_Broadleaf_ER!M4,S19_Moist_Broadleaf_ER!M5,S19_Moist_Broadleaf_ER!M6,S19_Moist_Broadleaf_ER!M7)</x:f>
        <x:v>1641.5436318944421</x:v>
      </x:c>
      <x:c r="C27" s="100" t="n">
        <x:f aca="0">SUM(S19_Moist_Broadleaf_ER!AH4,S19_Moist_Broadleaf_ER!AH5,S19_Moist_Broadleaf_ER!AH6,S19_Moist_Broadleaf_ER!AH7)</x:f>
        <x:v>1128.8310786824266</x:v>
      </x:c>
      <x:c r="D27" s="100" t="n">
        <x:f aca="0">IF($B$4=0,0,S33_Project_Deductions!D11*$B$4/S08_Defaults!$B$14)</x:f>
        <x:v>903.34703916982</x:v>
      </x:c>
      <x:c r="E27" s="100" t="n">
        <x:f aca="0">IF($B$4=0,0,S33_Project_Deductions!E11*$B$4/S08_Defaults!$B$14)</x:f>
        <x:v>565.9407586564107</x:v>
      </x:c>
      <x:c r="F27" s="100" t="n">
        <x:f aca="0">S08_Defaults!$B$9</x:f>
        <x:v>0.2</x:v>
      </x:c>
      <x:c r="G27" s="100" t="n">
        <x:f aca="0">C27*(1-F27)-D27-E27</x:f>
        <x:v>-566.2229348802895</x:v>
      </x:c>
      <x:c r="H27" s="100" t="n">
        <x:f aca="0">G27-G26</x:f>
        <x:v>161.02241069809395</x:v>
      </x:c>
      <x:c r="I27" s="100" t="n">
        <x:f aca="0">H27/1</x:f>
        <x:v>161.02241069809395</x:v>
      </x:c>
      <x:c r="J27" s="100" t="n">
        <x:f aca="0">B27-D27-E27</x:f>
        <x:v>172.25583406821136</x:v>
      </x:c>
      <x:c r="K27" s="100" t="n">
        <x:f aca="0">B27</x:f>
        <x:v>1641.5436318944421</x:v>
      </x:c>
      <x:c r="L27" s="100" t="n">
        <x:f aca="0">0</x:f>
        <x:v>0</x:v>
      </x:c>
      <x:c r="M27" s="100" t="n">
        <x:f aca="0">IF(AND(A27&gt;=S08_Defaults!$B$11,A27&lt;=S08_Defaults!$B$12),J27,0)</x:f>
        <x:v>172.25583406821136</x:v>
      </x:c>
      <x:c r="N27" s="100" t="n">
        <x:f aca="0">IF(AND(A27&gt;=S08_Defaults!$B$11,A27&lt;=S08_Defaults!$B$12),K27-L27,0)</x:f>
        <x:v>1641.5436318944421</x:v>
      </x:c>
      <x:c r="O27" s="37" t="s">
        <x:v>1271</x:v>
      </x:c>
    </x:row>
    <x:row r="28" ht="15" hidden="0" customHeight="1">
      <x:c r="A28" s="37" t="n">
        <x:v>2028</x:v>
      </x:c>
      <x:c r="B28" s="100" t="n">
        <x:f aca="0">SUM(S19_Moist_Broadleaf_ER!N4,S19_Moist_Broadleaf_ER!N5,S19_Moist_Broadleaf_ER!N6,S19_Moist_Broadleaf_ER!N7)</x:f>
        <x:v>2297.712293245726</x:v>
      </x:c>
      <x:c r="C28" s="100" t="n">
        <x:f aca="0">SUM(S19_Moist_Broadleaf_ER!AI4,S19_Moist_Broadleaf_ER!AI5,S19_Moist_Broadleaf_ER!AI6,S19_Moist_Broadleaf_ER!AI7)</x:f>
        <x:v>1580.0548922925195</x:v>
      </x:c>
      <x:c r="D28" s="100" t="n">
        <x:f aca="0">IF($B$4=0,0,S33_Project_Deductions!D12*$B$4/S08_Defaults!$B$14)</x:f>
        <x:v>1054.680971591175</x:v>
      </x:c>
      <x:c r="E28" s="100" t="n">
        <x:f aca="0">IF($B$4=0,0,S33_Project_Deductions!E12*$B$4/S08_Defaults!$B$14)</x:f>
        <x:v>565.9407586564107</x:v>
      </x:c>
      <x:c r="F28" s="100" t="n">
        <x:f aca="0">S08_Defaults!$B$9</x:f>
        <x:v>0.2</x:v>
      </x:c>
      <x:c r="G28" s="100" t="n">
        <x:f aca="0">C28*(1-F28)-D28-E28</x:f>
        <x:v>-356.57781641356996</x:v>
      </x:c>
      <x:c r="H28" s="100" t="n">
        <x:f aca="0">G28-G27</x:f>
        <x:v>209.6451184667195</x:v>
      </x:c>
      <x:c r="I28" s="100" t="n">
        <x:f aca="0">H28/1</x:f>
        <x:v>209.6451184667195</x:v>
      </x:c>
      <x:c r="J28" s="100" t="n">
        <x:f aca="0">B28-D28-E28</x:f>
        <x:v>677.0905629981403</x:v>
      </x:c>
      <x:c r="K28" s="100" t="n">
        <x:f aca="0">B28</x:f>
        <x:v>2297.712293245726</x:v>
      </x:c>
      <x:c r="L28" s="100" t="n">
        <x:f aca="0">0</x:f>
        <x:v>0</x:v>
      </x:c>
      <x:c r="M28" s="100" t="n">
        <x:f aca="0">IF(AND(A28&gt;=S08_Defaults!$B$11,A28&lt;=S08_Defaults!$B$12),J28,0)</x:f>
        <x:v>677.0905629981403</x:v>
      </x:c>
      <x:c r="N28" s="100" t="n">
        <x:f aca="0">IF(AND(A28&gt;=S08_Defaults!$B$11,A28&lt;=S08_Defaults!$B$12),K28-L28,0)</x:f>
        <x:v>2297.712293245726</x:v>
      </x:c>
      <x:c r="O28" s="37" t="s">
        <x:v>1271</x:v>
      </x:c>
    </x:row>
    <x:row r="29" ht="15" hidden="0" customHeight="1">
      <x:c r="A29" s="37" t="n">
        <x:v>2029</x:v>
      </x:c>
      <x:c r="B29" s="100" t="n">
        <x:f aca="0">SUM(S19_Moist_Broadleaf_ER!O4,S19_Moist_Broadleaf_ER!O5,S19_Moist_Broadleaf_ER!O6,S19_Moist_Broadleaf_ER!O7)</x:f>
        <x:v>3012.981336615363</x:v>
      </x:c>
      <x:c r="C29" s="100" t="n">
        <x:f aca="0">SUM(S19_Moist_Broadleaf_ER!AJ4,S19_Moist_Broadleaf_ER!AJ5,S19_Moist_Broadleaf_ER!AJ6,S19_Moist_Broadleaf_ER!AJ7)</x:f>
        <x:v>2071.919933274272</x:v>
      </x:c>
      <x:c r="D29" s="100" t="n">
        <x:f aca="0">IF($B$4=0,0,S33_Project_Deductions!D13*$B$4/S08_Defaults!$B$14)</x:f>
        <x:v>1206.01490401253</x:v>
      </x:c>
      <x:c r="E29" s="100" t="n">
        <x:f aca="0">IF($B$4=0,0,S33_Project_Deductions!E13*$B$4/S08_Defaults!$B$14)</x:f>
        <x:v>565.9407586564107</x:v>
      </x:c>
      <x:c r="F29" s="100" t="n">
        <x:f aca="0">S08_Defaults!$B$9</x:f>
        <x:v>0.2</x:v>
      </x:c>
      <x:c r="G29" s="100" t="n">
        <x:f aca="0">C29*(1-F29)-D29-E29</x:f>
        <x:v>-114.419716049523</x:v>
      </x:c>
      <x:c r="H29" s="100" t="n">
        <x:f aca="0">G29-G28</x:f>
        <x:v>242.15810036404696</x:v>
      </x:c>
      <x:c r="I29" s="100" t="n">
        <x:f aca="0">H29/1</x:f>
        <x:v>242.15810036404696</x:v>
      </x:c>
      <x:c r="J29" s="100" t="n">
        <x:f aca="0">B29-D29-E29</x:f>
        <x:v>1241.0256739464223</x:v>
      </x:c>
      <x:c r="K29" s="100" t="n">
        <x:f aca="0">B29</x:f>
        <x:v>3012.981336615363</x:v>
      </x:c>
      <x:c r="L29" s="100" t="n">
        <x:f aca="0">0</x:f>
        <x:v>0</x:v>
      </x:c>
      <x:c r="M29" s="100" t="n">
        <x:f aca="0">IF(AND(A29&gt;=S08_Defaults!$B$11,A29&lt;=S08_Defaults!$B$12),J29,0)</x:f>
        <x:v>1241.0256739464223</x:v>
      </x:c>
      <x:c r="N29" s="100" t="n">
        <x:f aca="0">IF(AND(A29&gt;=S08_Defaults!$B$11,A29&lt;=S08_Defaults!$B$12),K29-L29,0)</x:f>
        <x:v>3012.981336615363</x:v>
      </x:c>
      <x:c r="O29" s="37" t="s">
        <x:v>1271</x:v>
      </x:c>
    </x:row>
    <x:row r="30" ht="15" hidden="0" customHeight="1">
      <x:c r="A30" s="37" t="n">
        <x:v>2030</x:v>
      </x:c>
      <x:c r="B30" s="100" t="n">
        <x:f aca="0">SUM(S19_Moist_Broadleaf_ER!P4,S19_Moist_Broadleaf_ER!P5,S19_Moist_Broadleaf_ER!P6,S19_Moist_Broadleaf_ER!P7)</x:f>
        <x:v>3759.5783859817866</x:v>
      </x:c>
      <x:c r="C30" s="100" t="n">
        <x:f aca="0">SUM(S19_Moist_Broadleaf_ER!AK4,S19_Moist_Broadleaf_ER!AK5,S19_Moist_Broadleaf_ER!AK6,S19_Moist_Broadleaf_ER!AK7)</x:f>
        <x:v>2585.3281279774455</x:v>
      </x:c>
      <x:c r="D30" s="100" t="n">
        <x:f aca="0">IF($B$4=0,0,S33_Project_Deductions!D14*$B$4/S08_Defaults!$B$14)</x:f>
        <x:v>1357.348836433885</x:v>
      </x:c>
      <x:c r="E30" s="100" t="n">
        <x:f aca="0">IF($B$4=0,0,S33_Project_Deductions!E14*$B$4/S08_Defaults!$B$14)</x:f>
        <x:v>565.9407586564107</x:v>
      </x:c>
      <x:c r="F30" s="100" t="n">
        <x:f aca="0">S08_Defaults!$B$9</x:f>
        <x:v>0.2</x:v>
      </x:c>
      <x:c r="G30" s="100" t="n">
        <x:f aca="0">C30*(1-F30)-D30-E30</x:f>
        <x:v>144.9729072916607</x:v>
      </x:c>
      <x:c r="H30" s="100" t="n">
        <x:f aca="0">G30-G29</x:f>
        <x:v>259.3926233411837</x:v>
      </x:c>
      <x:c r="I30" s="100" t="n">
        <x:f aca="0">H30/1</x:f>
        <x:v>259.3926233411837</x:v>
      </x:c>
      <x:c r="J30" s="100" t="n">
        <x:f aca="0">B30-D30-E30</x:f>
        <x:v>1836.2887908914909</x:v>
      </x:c>
      <x:c r="K30" s="100" t="n">
        <x:f aca="0">B30</x:f>
        <x:v>3759.5783859817866</x:v>
      </x:c>
      <x:c r="L30" s="100" t="n">
        <x:f aca="0">0</x:f>
        <x:v>0</x:v>
      </x:c>
      <x:c r="M30" s="100" t="n">
        <x:f aca="0">IF(AND(A30&gt;=S08_Defaults!$B$11,A30&lt;=S08_Defaults!$B$12),J30,0)</x:f>
        <x:v>1836.2887908914909</x:v>
      </x:c>
      <x:c r="N30" s="100" t="n">
        <x:f aca="0">IF(AND(A30&gt;=S08_Defaults!$B$11,A30&lt;=S08_Defaults!$B$12),K30-L30,0)</x:f>
        <x:v>3759.5783859817866</x:v>
      </x:c>
      <x:c r="O30" s="37" t="s">
        <x:v>1271</x:v>
      </x:c>
    </x:row>
    <x:row r="31" ht="15" hidden="0" customHeight="1">
      <x:c r="A31" s="37" t="n">
        <x:v>2031</x:v>
      </x:c>
      <x:c r="B31" s="100" t="n">
        <x:f aca="0">SUM(S19_Moist_Broadleaf_ER!Q4,S19_Moist_Broadleaf_ER!Q5,S19_Moist_Broadleaf_ER!Q6,S19_Moist_Broadleaf_ER!Q7)</x:f>
        <x:v>4513.588355635474</x:v>
      </x:c>
      <x:c r="C31" s="100" t="n">
        <x:f aca="0">SUM(S19_Moist_Broadleaf_ER!AL4,S19_Moist_Broadleaf_ER!AL5,S19_Moist_Broadleaf_ER!AL6,S19_Moist_Broadleaf_ER!AL7)</x:f>
        <x:v>3103.833923890526</x:v>
      </x:c>
      <x:c r="D31" s="100" t="n">
        <x:f aca="0">IF($B$4=0,0,S33_Project_Deductions!D15*$B$4/S08_Defaults!$B$14)</x:f>
        <x:v>1508.6827688552398</x:v>
      </x:c>
      <x:c r="E31" s="100" t="n">
        <x:f aca="0">IF($B$4=0,0,S33_Project_Deductions!E15*$B$4/S08_Defaults!$B$14)</x:f>
        <x:v>565.9407586564107</x:v>
      </x:c>
      <x:c r="F31" s="100" t="n">
        <x:f aca="0">S08_Defaults!$B$9</x:f>
        <x:v>0.2</x:v>
      </x:c>
      <x:c r="G31" s="100" t="n">
        <x:f aca="0">C31*(1-F31)-D31-E31</x:f>
        <x:v>408.4436116007705</x:v>
      </x:c>
      <x:c r="H31" s="100" t="n">
        <x:f aca="0">G31-G30</x:f>
        <x:v>263.4707043091098</x:v>
      </x:c>
      <x:c r="I31" s="100" t="n">
        <x:f aca="0">H31/1</x:f>
        <x:v>263.4707043091098</x:v>
      </x:c>
      <x:c r="J31" s="100" t="n">
        <x:f aca="0">B31-D31-E31</x:f>
        <x:v>2438.9648281238233</x:v>
      </x:c>
      <x:c r="K31" s="100" t="n">
        <x:f aca="0">B31</x:f>
        <x:v>4513.588355635474</x:v>
      </x:c>
      <x:c r="L31" s="100" t="n">
        <x:f aca="0">0</x:f>
        <x:v>0</x:v>
      </x:c>
      <x:c r="M31" s="100" t="n">
        <x:f aca="0">IF(AND(A31&gt;=S08_Defaults!$B$11,A31&lt;=S08_Defaults!$B$12),J31,0)</x:f>
        <x:v>2438.9648281238233</x:v>
      </x:c>
      <x:c r="N31" s="100" t="n">
        <x:f aca="0">IF(AND(A31&gt;=S08_Defaults!$B$11,A31&lt;=S08_Defaults!$B$12),K31-L31,0)</x:f>
        <x:v>4513.588355635474</x:v>
      </x:c>
      <x:c r="O31" s="37" t="s">
        <x:v>1271</x:v>
      </x:c>
    </x:row>
    <x:row r="32" ht="15" hidden="0" customHeight="1">
      <x:c r="A32" s="37" t="n">
        <x:v>2032</x:v>
      </x:c>
      <x:c r="B32" s="100" t="n">
        <x:f aca="0">SUM(S19_Moist_Broadleaf_ER!R4,S19_Moist_Broadleaf_ER!R5,S19_Moist_Broadleaf_ER!R6,S19_Moist_Broadleaf_ER!R7)</x:f>
        <x:v>5255.8508289567135</x:v>
      </x:c>
      <x:c r="C32" s="100" t="n">
        <x:f aca="0">SUM(S19_Moist_Broadleaf_ER!AM4,S19_Moist_Broadleaf_ER!AM5,S19_Moist_Broadleaf_ER!AM6,S19_Moist_Broadleaf_ER!AM7)</x:f>
        <x:v>3614.2613850587218</x:v>
      </x:c>
      <x:c r="D32" s="100" t="n">
        <x:f aca="0">IF($B$4=0,0,S33_Project_Deductions!D16*$B$4/S08_Defaults!$B$14)</x:f>
        <x:v>1660.016701276595</x:v>
      </x:c>
      <x:c r="E32" s="100" t="n">
        <x:f aca="0">IF($B$4=0,0,S33_Project_Deductions!E16*$B$4/S08_Defaults!$B$14)</x:f>
        <x:v>565.9407586564107</x:v>
      </x:c>
      <x:c r="F32" s="100" t="n">
        <x:f aca="0">S08_Defaults!$B$9</x:f>
        <x:v>0.2</x:v>
      </x:c>
      <x:c r="G32" s="100" t="n">
        <x:f aca="0">C32*(1-F32)-D32-E32</x:f>
        <x:v>665.4516481139717</x:v>
      </x:c>
      <x:c r="H32" s="100" t="n">
        <x:f aca="0">G32-G31</x:f>
        <x:v>257.0080365132012</x:v>
      </x:c>
      <x:c r="I32" s="100" t="n">
        <x:f aca="0">H32/1</x:f>
        <x:v>257.0080365132012</x:v>
      </x:c>
      <x:c r="J32" s="100" t="n">
        <x:f aca="0">B32-D32-E32</x:f>
        <x:v>3029.8933690237077</x:v>
      </x:c>
      <x:c r="K32" s="100" t="n">
        <x:f aca="0">B32</x:f>
        <x:v>5255.8508289567135</x:v>
      </x:c>
      <x:c r="L32" s="100" t="n">
        <x:f aca="0">0</x:f>
        <x:v>0</x:v>
      </x:c>
      <x:c r="M32" s="100" t="n">
        <x:f aca="0">IF(AND(A32&gt;=S08_Defaults!$B$11,A32&lt;=S08_Defaults!$B$12),J32,0)</x:f>
        <x:v>3029.8933690237077</x:v>
      </x:c>
      <x:c r="N32" s="100" t="n">
        <x:f aca="0">IF(AND(A32&gt;=S08_Defaults!$B$11,A32&lt;=S08_Defaults!$B$12),K32-L32,0)</x:f>
        <x:v>5255.8508289567135</x:v>
      </x:c>
      <x:c r="O32" s="37" t="s">
        <x:v>1271</x:v>
      </x:c>
    </x:row>
    <x:row r="33" ht="15" hidden="0" customHeight="1">
      <x:c r="A33" s="37" t="n">
        <x:v>2033</x:v>
      </x:c>
      <x:c r="B33" s="100" t="n">
        <x:f aca="0">SUM(S19_Moist_Broadleaf_ER!S4,S19_Moist_Broadleaf_ER!S5,S19_Moist_Broadleaf_ER!S6,S19_Moist_Broadleaf_ER!S7)</x:f>
        <x:v>5971.9676229130355</x:v>
      </x:c>
      <x:c r="C33" s="100" t="n">
        <x:f aca="0">SUM(S19_Moist_Broadleaf_ER!AN4,S19_Moist_Broadleaf_ER!AN5,S19_Moist_Broadleaf_ER!AN6,S19_Moist_Broadleaf_ER!AN7)</x:f>
        <x:v>4106.709393919383</x:v>
      </x:c>
      <x:c r="D33" s="100" t="n">
        <x:f aca="0">IF($B$4=0,0,S33_Project_Deductions!D17*$B$4/S08_Defaults!$B$14)</x:f>
        <x:v>1811.3506336979501</x:v>
      </x:c>
      <x:c r="E33" s="100" t="n">
        <x:f aca="0">IF($B$4=0,0,S33_Project_Deductions!E17*$B$4/S08_Defaults!$B$14)</x:f>
        <x:v>565.9407586564107</x:v>
      </x:c>
      <x:c r="F33" s="100" t="n">
        <x:f aca="0">S08_Defaults!$B$9</x:f>
        <x:v>0.2</x:v>
      </x:c>
      <x:c r="G33" s="100" t="n">
        <x:f aca="0">C33*(1-F33)-D33-E33</x:f>
        <x:v>908.0761227811456</x:v>
      </x:c>
      <x:c r="H33" s="100" t="n">
        <x:f aca="0">G33-G32</x:f>
        <x:v>242.6244746671739</x:v>
      </x:c>
      <x:c r="I33" s="100" t="n">
        <x:f aca="0">H33/1</x:f>
        <x:v>242.6244746671739</x:v>
      </x:c>
      <x:c r="J33" s="100" t="n">
        <x:f aca="0">B33-D33-E33</x:f>
        <x:v>3594.676230558675</x:v>
      </x:c>
      <x:c r="K33" s="100" t="n">
        <x:f aca="0">B33</x:f>
        <x:v>5971.9676229130355</x:v>
      </x:c>
      <x:c r="L33" s="100" t="n">
        <x:f aca="0">0</x:f>
        <x:v>0</x:v>
      </x:c>
      <x:c r="M33" s="100" t="n">
        <x:f aca="0">IF(AND(A33&gt;=S08_Defaults!$B$11,A33&lt;=S08_Defaults!$B$12),J33,0)</x:f>
        <x:v>3594.676230558675</x:v>
      </x:c>
      <x:c r="N33" s="100" t="n">
        <x:f aca="0">IF(AND(A33&gt;=S08_Defaults!$B$11,A33&lt;=S08_Defaults!$B$12),K33-L33,0)</x:f>
        <x:v>5971.9676229130355</x:v>
      </x:c>
      <x:c r="O33" s="37" t="s">
        <x:v>1271</x:v>
      </x:c>
    </x:row>
    <x:row r="34" ht="15" hidden="0" customHeight="1">
      <x:c r="A34" s="37" t="n">
        <x:v>2034</x:v>
      </x:c>
      <x:c r="B34" s="100" t="n">
        <x:f aca="0">SUM(S19_Moist_Broadleaf_ER!T4,S19_Moist_Broadleaf_ER!T5,S19_Moist_Broadleaf_ER!T6,S19_Moist_Broadleaf_ER!T7)</x:f>
        <x:v>6651.833789149455</x:v>
      </x:c>
      <x:c r="C34" s="100" t="n">
        <x:f aca="0">SUM(S19_Moist_Broadleaf_ER!AO4,S19_Moist_Broadleaf_ER!AO5,S19_Moist_Broadleaf_ER!AO6,S19_Moist_Broadleaf_ER!AO7)</x:f>
        <x:v>4574.229137458977</x:v>
      </x:c>
      <x:c r="D34" s="100" t="n">
        <x:f aca="0">IF($B$4=0,0,S33_Project_Deductions!D18*$B$4/S08_Defaults!$B$14)</x:f>
        <x:v>1962.684566119305</x:v>
      </x:c>
      <x:c r="E34" s="100" t="n">
        <x:f aca="0">IF($B$4=0,0,S33_Project_Deductions!E18*$B$4/S08_Defaults!$B$14)</x:f>
        <x:v>565.9407586564107</x:v>
      </x:c>
      <x:c r="F34" s="100" t="n">
        <x:f aca="0">S08_Defaults!$B$9</x:f>
        <x:v>0.2</x:v>
      </x:c>
      <x:c r="G34" s="100" t="n">
        <x:f aca="0">C34*(1-F34)-D34-E34</x:f>
        <x:v>1130.7579851914659</x:v>
      </x:c>
      <x:c r="H34" s="100" t="n">
        <x:f aca="0">G34-G33</x:f>
        <x:v>222.68186241032026</x:v>
      </x:c>
      <x:c r="I34" s="100" t="n">
        <x:f aca="0">H34/1</x:f>
        <x:v>222.68186241032026</x:v>
      </x:c>
      <x:c r="J34" s="100" t="n">
        <x:f aca="0">B34-D34-E34</x:f>
        <x:v>4123.20846437374</x:v>
      </x:c>
      <x:c r="K34" s="100" t="n">
        <x:f aca="0">B34</x:f>
        <x:v>6651.833789149455</x:v>
      </x:c>
      <x:c r="L34" s="100" t="n">
        <x:f aca="0">0</x:f>
        <x:v>0</x:v>
      </x:c>
      <x:c r="M34" s="100" t="n">
        <x:f aca="0">IF(AND(A34&gt;=S08_Defaults!$B$11,A34&lt;=S08_Defaults!$B$12),J34,0)</x:f>
        <x:v>4123.20846437374</x:v>
      </x:c>
      <x:c r="N34" s="100" t="n">
        <x:f aca="0">IF(AND(A34&gt;=S08_Defaults!$B$11,A34&lt;=S08_Defaults!$B$12),K34-L34,0)</x:f>
        <x:v>6651.833789149455</x:v>
      </x:c>
      <x:c r="O34" s="37" t="s">
        <x:v>1271</x:v>
      </x:c>
    </x:row>
    <x:row r="35" ht="15" hidden="0" customHeight="1">
      <x:c r="A35" s="37" t="n">
        <x:v>2035</x:v>
      </x:c>
      <x:c r="B35" s="100" t="n">
        <x:f aca="0">SUM(S19_Moist_Broadleaf_ER!U4,S19_Moist_Broadleaf_ER!U5,S19_Moist_Broadleaf_ER!U6,S19_Moist_Broadleaf_ER!U7)</x:f>
        <x:v>7288.963727625572</x:v>
      </x:c>
      <x:c r="C35" s="100" t="n">
        <x:f aca="0">SUM(S19_Moist_Broadleaf_ER!AP4,S19_Moist_Broadleaf_ER!AP5,S19_Moist_Broadleaf_ER!AP6,S19_Moist_Broadleaf_ER!AP7)</x:f>
        <x:v>5012.36069956729</x:v>
      </x:c>
      <x:c r="D35" s="100" t="n">
        <x:f aca="0">IF($B$4=0,0,S33_Project_Deductions!D19*$B$4/S08_Defaults!$B$14)</x:f>
        <x:v>2114.01849854066</x:v>
      </x:c>
      <x:c r="E35" s="100" t="n">
        <x:f aca="0">IF($B$4=0,0,S33_Project_Deductions!E19*$B$4/S08_Defaults!$B$14)</x:f>
        <x:v>565.9407586564107</x:v>
      </x:c>
      <x:c r="F35" s="100" t="n">
        <x:f aca="0">S08_Defaults!$B$9</x:f>
        <x:v>0.2</x:v>
      </x:c>
      <x:c r="G35" s="100" t="n">
        <x:f aca="0">C35*(1-F35)-D35-E35</x:f>
        <x:v>1329.9293024567614</x:v>
      </x:c>
      <x:c r="H35" s="100" t="n">
        <x:f aca="0">G35-G34</x:f>
        <x:v>199.17131726529556</x:v>
      </x:c>
      <x:c r="I35" s="100" t="n">
        <x:f aca="0">H35/1</x:f>
        <x:v>199.17131726529556</x:v>
      </x:c>
      <x:c r="J35" s="100" t="n">
        <x:f aca="0">B35-D35-E35</x:f>
        <x:v>4609.004470428501</x:v>
      </x:c>
      <x:c r="K35" s="100" t="n">
        <x:f aca="0">B35</x:f>
        <x:v>7288.963727625572</x:v>
      </x:c>
      <x:c r="L35" s="100" t="n">
        <x:f aca="0">0</x:f>
        <x:v>0</x:v>
      </x:c>
      <x:c r="M35" s="100" t="n">
        <x:f aca="0">IF(AND(A35&gt;=S08_Defaults!$B$11,A35&lt;=S08_Defaults!$B$12),J35,0)</x:f>
        <x:v>4609.004470428501</x:v>
      </x:c>
      <x:c r="N35" s="100" t="n">
        <x:f aca="0">IF(AND(A35&gt;=S08_Defaults!$B$11,A35&lt;=S08_Defaults!$B$12),K35-L35,0)</x:f>
        <x:v>7288.963727625572</x:v>
      </x:c>
      <x:c r="O35" s="37" t="s">
        <x:v>1271</x:v>
      </x:c>
    </x:row>
    <x:row r="36" ht="15" hidden="0" customHeight="1">
      <x:c r="A36" s="37" t="n">
        <x:v>2036</x:v>
      </x:c>
      <x:c r="B36" s="100" t="n">
        <x:f aca="0">SUM(S19_Moist_Broadleaf_ER!V4,S19_Moist_Broadleaf_ER!V5,S19_Moist_Broadleaf_ER!V6,S19_Moist_Broadleaf_ER!V7)</x:f>
        <x:v>7879.775347607348</x:v>
      </x:c>
      <x:c r="C36" s="100" t="n">
        <x:f aca="0">SUM(S19_Moist_Broadleaf_ER!AQ4,S19_Moist_Broadleaf_ER!AQ5,S19_Moist_Broadleaf_ER!AQ6,S19_Moist_Broadleaf_ER!AQ7)</x:f>
        <x:v>5418.64080405191</x:v>
      </x:c>
      <x:c r="D36" s="100" t="n">
        <x:f aca="0">IF($B$4=0,0,S33_Project_Deductions!D20*$B$4/S08_Defaults!$B$14)</x:f>
        <x:v>2265.3524309620148</x:v>
      </x:c>
      <x:c r="E36" s="100" t="n">
        <x:f aca="0">IF($B$4=0,0,S33_Project_Deductions!E20*$B$4/S08_Defaults!$B$14)</x:f>
        <x:v>565.9407586564107</x:v>
      </x:c>
      <x:c r="F36" s="100" t="n">
        <x:f aca="0">S08_Defaults!$B$9</x:f>
        <x:v>0.2</x:v>
      </x:c>
      <x:c r="G36" s="100" t="n">
        <x:f aca="0">C36*(1-F36)-D36-E36</x:f>
        <x:v>1503.6194536231023</x:v>
      </x:c>
      <x:c r="H36" s="100" t="n">
        <x:f aca="0">G36-G35</x:f>
        <x:v>173.6901511663409</x:v>
      </x:c>
      <x:c r="I36" s="100" t="n">
        <x:f aca="0">H36/1</x:f>
        <x:v>173.6901511663409</x:v>
      </x:c>
      <x:c r="J36" s="100" t="n">
        <x:f aca="0">B36-D36-E36</x:f>
        <x:v>5048.482157988923</x:v>
      </x:c>
      <x:c r="K36" s="100" t="n">
        <x:f aca="0">B36</x:f>
        <x:v>7879.775347607348</x:v>
      </x:c>
      <x:c r="L36" s="100" t="n">
        <x:f aca="0">0</x:f>
        <x:v>0</x:v>
      </x:c>
      <x:c r="M36" s="100" t="n">
        <x:f aca="0">IF(AND(A36&gt;=S08_Defaults!$B$11,A36&lt;=S08_Defaults!$B$12),J36,0)</x:f>
        <x:v>5048.482157988923</x:v>
      </x:c>
      <x:c r="N36" s="100" t="n">
        <x:f aca="0">IF(AND(A36&gt;=S08_Defaults!$B$11,A36&lt;=S08_Defaults!$B$12),K36-L36,0)</x:f>
        <x:v>7879.775347607348</x:v>
      </x:c>
      <x:c r="O36" s="37" t="s">
        <x:v>1271</x:v>
      </x:c>
    </x:row>
    <x:row r="37" ht="15" hidden="0" customHeight="1">
      <x:c r="A37" s="37" t="n">
        <x:v>2037</x:v>
      </x:c>
      <x:c r="B37" s="100" t="n">
        <x:f aca="0">SUM(S19_Moist_Broadleaf_ER!W4,S19_Moist_Broadleaf_ER!W5,S19_Moist_Broadleaf_ER!W6,S19_Moist_Broadleaf_ER!W7)</x:f>
        <x:v>8422.920600832962</x:v>
      </x:c>
      <x:c r="C37" s="100" t="n">
        <x:f aca="0">SUM(S19_Moist_Broadleaf_ER!AR4,S19_Moist_Broadleaf_ER!AR5,S19_Moist_Broadleaf_ER!AR6,S19_Moist_Broadleaf_ER!AR7)</x:f>
        <x:v>5792.142446144929</x:v>
      </x:c>
      <x:c r="D37" s="100" t="n">
        <x:f aca="0">IF($B$4=0,0,S33_Project_Deductions!D21*$B$4/S08_Defaults!$B$14)</x:f>
        <x:v>2416.686363383369</x:v>
      </x:c>
      <x:c r="E37" s="100" t="n">
        <x:f aca="0">IF($B$4=0,0,S33_Project_Deductions!E21*$B$4/S08_Defaults!$B$14)</x:f>
        <x:v>565.9407586564107</x:v>
      </x:c>
      <x:c r="F37" s="100" t="n">
        <x:f aca="0">S08_Defaults!$B$9</x:f>
        <x:v>0.2</x:v>
      </x:c>
      <x:c r="G37" s="100" t="n">
        <x:f aca="0">C37*(1-F37)-D37-E37</x:f>
        <x:v>1651.0868348761637</x:v>
      </x:c>
      <x:c r="H37" s="100" t="n">
        <x:f aca="0">G37-G36</x:f>
        <x:v>147.46738125306138</x:v>
      </x:c>
      <x:c r="I37" s="100" t="n">
        <x:f aca="0">H37/1</x:f>
        <x:v>147.46738125306138</x:v>
      </x:c>
      <x:c r="J37" s="100" t="n">
        <x:f aca="0">B37-D37-E37</x:f>
        <x:v>5440.293478793183</x:v>
      </x:c>
      <x:c r="K37" s="100" t="n">
        <x:f aca="0">B37</x:f>
        <x:v>8422.920600832962</x:v>
      </x:c>
      <x:c r="L37" s="100" t="n">
        <x:f aca="0">0</x:f>
        <x:v>0</x:v>
      </x:c>
      <x:c r="M37" s="100" t="n">
        <x:f aca="0">IF(AND(A37&gt;=S08_Defaults!$B$11,A37&lt;=S08_Defaults!$B$12),J37,0)</x:f>
        <x:v>5440.293478793183</x:v>
      </x:c>
      <x:c r="N37" s="100" t="n">
        <x:f aca="0">IF(AND(A37&gt;=S08_Defaults!$B$11,A37&lt;=S08_Defaults!$B$12),K37-L37,0)</x:f>
        <x:v>8422.920600832962</x:v>
      </x:c>
      <x:c r="O37" s="37" t="s">
        <x:v>1271</x:v>
      </x:c>
    </x:row>
    <x:row r="38" ht="15" hidden="0" customHeight="1">
      <x:c r="A38" s="37" t="n">
        <x:v>2038</x:v>
      </x:c>
      <x:c r="B38" s="100" t="n">
        <x:f aca="0">SUM(S19_Moist_Broadleaf_ER!X4,S19_Moist_Broadleaf_ER!X5,S19_Moist_Broadleaf_ER!X6,S19_Moist_Broadleaf_ER!X7)</x:f>
        <x:v>8918.703266975868</x:v>
      </x:c>
      <x:c r="C38" s="100" t="n">
        <x:f aca="0">SUM(S19_Moist_Broadleaf_ER!AS4,S19_Moist_Broadleaf_ER!AS5,S19_Moist_Broadleaf_ER!AS6,S19_Moist_Broadleaf_ER!AS7)</x:f>
        <x:v>6133.074524306183</x:v>
      </x:c>
      <x:c r="D38" s="100" t="n">
        <x:f aca="0">IF($B$4=0,0,S33_Project_Deductions!D22*$B$4/S08_Defaults!$B$14)</x:f>
        <x:v>2568.0202958047244</x:v>
      </x:c>
      <x:c r="E38" s="100" t="n">
        <x:f aca="0">IF($B$4=0,0,S33_Project_Deductions!E22*$B$4/S08_Defaults!$B$14)</x:f>
        <x:v>565.9407586564107</x:v>
      </x:c>
      <x:c r="F38" s="100" t="n">
        <x:f aca="0">S08_Defaults!$B$9</x:f>
        <x:v>0.2</x:v>
      </x:c>
      <x:c r="G38" s="100" t="n">
        <x:f aca="0">C38*(1-F38)-D38-E38</x:f>
        <x:v>1772.4985649838118</x:v>
      </x:c>
      <x:c r="H38" s="100" t="n">
        <x:f aca="0">G38-G37</x:f>
        <x:v>121.41173010764805</x:v>
      </x:c>
      <x:c r="I38" s="100" t="n">
        <x:f aca="0">H38/1</x:f>
        <x:v>121.41173010764805</x:v>
      </x:c>
      <x:c r="J38" s="100" t="n">
        <x:f aca="0">B38-D38-E38</x:f>
        <x:v>5784.742212514733</x:v>
      </x:c>
      <x:c r="K38" s="100" t="n">
        <x:f aca="0">B38</x:f>
        <x:v>8918.703266975868</x:v>
      </x:c>
      <x:c r="L38" s="100" t="n">
        <x:f aca="0">0</x:f>
        <x:v>0</x:v>
      </x:c>
      <x:c r="M38" s="100" t="n">
        <x:f aca="0">IF(AND(A38&gt;=S08_Defaults!$B$11,A38&lt;=S08_Defaults!$B$12),J38,0)</x:f>
        <x:v>5784.742212514733</x:v>
      </x:c>
      <x:c r="N38" s="100" t="n">
        <x:f aca="0">IF(AND(A38&gt;=S08_Defaults!$B$11,A38&lt;=S08_Defaults!$B$12),K38-L38,0)</x:f>
        <x:v>8918.703266975868</x:v>
      </x:c>
      <x:c r="O38" s="37" t="s">
        <x:v>1271</x:v>
      </x:c>
    </x:row>
    <x:row r="39" ht="15" hidden="0" customHeight="1">
      <x:c r="A39" s="37" t="n">
        <x:v>2039</x:v>
      </x:c>
      <x:c r="B39" s="100" t="n">
        <x:f aca="0">SUM(S19_Moist_Broadleaf_ER!Y4,S19_Moist_Broadleaf_ER!Y5,S19_Moist_Broadleaf_ER!Y6,S19_Moist_Broadleaf_ER!Y7)</x:f>
        <x:v>9368.596670023453</x:v>
      </x:c>
      <x:c r="C39" s="100" t="n">
        <x:f aca="0">SUM(S19_Moist_Broadleaf_ER!AT4,S19_Moist_Broadleaf_ER!AT5,S19_Moist_Broadleaf_ER!AT6,S19_Moist_Broadleaf_ER!AT7)</x:f>
        <x:v>6442.450190957346</x:v>
      </x:c>
      <x:c r="D39" s="100" t="n">
        <x:f aca="0">IF($B$4=0,0,S33_Project_Deductions!D23*$B$4/S08_Defaults!$B$14)</x:f>
        <x:v>2719.354228226079</x:v>
      </x:c>
      <x:c r="E39" s="100" t="n">
        <x:f aca="0">IF($B$4=0,0,S33_Project_Deductions!E23*$B$4/S08_Defaults!$B$14)</x:f>
        <x:v>565.9407586564107</x:v>
      </x:c>
      <x:c r="F39" s="100" t="n">
        <x:f aca="0">S08_Defaults!$B$9</x:f>
        <x:v>0.2</x:v>
      </x:c>
      <x:c r="G39" s="100" t="n">
        <x:f aca="0">C39*(1-F39)-D39-E39</x:f>
        <x:v>1868.665165883388</x:v>
      </x:c>
      <x:c r="H39" s="100" t="n">
        <x:f aca="0">G39-G38</x:f>
        <x:v>96.16660089957622</x:v>
      </x:c>
      <x:c r="I39" s="100" t="n">
        <x:f aca="0">H39/1</x:f>
        <x:v>96.16660089957622</x:v>
      </x:c>
      <x:c r="J39" s="100" t="n">
        <x:f aca="0">B39-D39-E39</x:f>
        <x:v>6083.301683140964</x:v>
      </x:c>
      <x:c r="K39" s="100" t="n">
        <x:f aca="0">B39</x:f>
        <x:v>9368.596670023453</x:v>
      </x:c>
      <x:c r="L39" s="100" t="n">
        <x:f aca="0">0</x:f>
        <x:v>0</x:v>
      </x:c>
      <x:c r="M39" s="100" t="n">
        <x:f aca="0">IF(AND(A39&gt;=S08_Defaults!$B$11,A39&lt;=S08_Defaults!$B$12),J39,0)</x:f>
        <x:v>6083.301683140964</x:v>
      </x:c>
      <x:c r="N39" s="100" t="n">
        <x:f aca="0">IF(AND(A39&gt;=S08_Defaults!$B$11,A39&lt;=S08_Defaults!$B$12),K39-L39,0)</x:f>
        <x:v>9368.596670023453</x:v>
      </x:c>
      <x:c r="O39" s="37" t="s">
        <x:v>1271</x:v>
      </x:c>
    </x:row>
    <x:row r="40" ht="15" hidden="0" customHeight="1">
      <x:c r="A40" s="37" t="n">
        <x:v>2040</x:v>
      </x:c>
      <x:c r="B40" s="100" t="n">
        <x:f aca="0">SUM(S19_Moist_Broadleaf_ER!Z4,S19_Moist_Broadleaf_ER!Z5,S19_Moist_Broadleaf_ER!Z6,S19_Moist_Broadleaf_ER!Z7)</x:f>
        <x:v>9774.858504127405</x:v>
      </x:c>
      <x:c r="C40" s="100" t="n">
        <x:f aca="0">SUM(S19_Moist_Broadleaf_ER!AU4,S19_Moist_Broadleaf_ER!AU5,S19_Moist_Broadleaf_ER!AU6,S19_Moist_Broadleaf_ER!AU7)</x:f>
        <x:v>6721.821981940329</x:v>
      </x:c>
      <x:c r="D40" s="100" t="n">
        <x:f aca="0">IF($B$4=0,0,S33_Project_Deductions!D24*$B$4/S08_Defaults!$B$14)</x:f>
        <x:v>2870.688160647434</x:v>
      </x:c>
      <x:c r="E40" s="100" t="n">
        <x:f aca="0">IF($B$4=0,0,S33_Project_Deductions!E24*$B$4/S08_Defaults!$B$14)</x:f>
        <x:v>565.9407586564107</x:v>
      </x:c>
      <x:c r="F40" s="100" t="n">
        <x:f aca="0">S08_Defaults!$B$9</x:f>
        <x:v>0.2</x:v>
      </x:c>
      <x:c r="G40" s="100" t="n">
        <x:f aca="0">C40*(1-F40)-D40-E40</x:f>
        <x:v>1940.8286662484188</x:v>
      </x:c>
      <x:c r="H40" s="100" t="n">
        <x:f aca="0">G40-G39</x:f>
        <x:v>72.16350036503081</x:v>
      </x:c>
      <x:c r="I40" s="100" t="n">
        <x:f aca="0">H40/1</x:f>
        <x:v>72.16350036503081</x:v>
      </x:c>
      <x:c r="J40" s="100" t="n">
        <x:f aca="0">B40-D40-E40</x:f>
        <x:v>6338.229584823561</x:v>
      </x:c>
      <x:c r="K40" s="100" t="n">
        <x:f aca="0">B40</x:f>
        <x:v>9774.858504127405</x:v>
      </x:c>
      <x:c r="L40" s="100" t="n">
        <x:f aca="0">0</x:f>
        <x:v>0</x:v>
      </x:c>
      <x:c r="M40" s="100" t="n">
        <x:f aca="0">IF(AND(A40&gt;=S08_Defaults!$B$11,A40&lt;=S08_Defaults!$B$12),J40,0)</x:f>
        <x:v>6338.229584823561</x:v>
      </x:c>
      <x:c r="N40" s="100" t="n">
        <x:f aca="0">IF(AND(A40&gt;=S08_Defaults!$B$11,A40&lt;=S08_Defaults!$B$12),K40-L40,0)</x:f>
        <x:v>9774.858504127405</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Moist Broadleaf Forests | Fruit Orchard (1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569</x:v>
      </x:c>
      <x:c r="B46" s="198" t="s">
        <x:v>553</x:v>
      </x:c>
      <x:c r="C46" s="198" t="n">
        <x:v>2022</x:v>
      </x:c>
      <x:c r="D46" s="198" t="n">
        <x:v>0.8609</x:v>
      </x:c>
      <x:c r="E46" s="198" t="s">
        <x:v>570</x:v>
      </x:c>
      <x:c r="F46" s="198" t="s">
        <x:v>568</x:v>
      </x:c>
      <x:c r="G46" s="1"/>
      <x:c r="H46" s="1"/>
      <x:c r="I46" s="1"/>
      <x:c r="J46" s="1"/>
      <x:c r="K46" s="1"/>
      <x:c r="L46" s="1"/>
      <x:c r="M46" s="1"/>
      <x:c r="N46" s="1"/>
      <x:c r="O46" s="1"/>
    </x:row>
  </x:sheetData>
  <x:mergeCells>
    <x:mergeCell ref="A1:N1"/>
    <x:mergeCell ref="A43:F43"/>
    <x:mergeCell ref="A44:F44"/>
  </x:mergeCells>
  <x:pageMargins left="0.7" right="0.7" top="0.75" bottom="0.75" header="0.3" footer="0.3"/>
</x:worksheet>
</file>

<file path=xl/worksheets/sheet26.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Moist Broadleaf Forests | Horti-Silviculture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SUM(S19_Moist_Broadleaf_ER!C8,S19_Moist_Broadleaf_ER!C9,S19_Moist_Broadleaf_ER!C10,S19_Moist_Broadleaf_ER!C11)</x:f>
        <x:v>228.4505176446784</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37785.38870330618</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34496.66014836668</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40354.00726546996</x:v>
      </x:c>
      <x:c r="C7" s="37" t="s">
        <x:v>151</x:v>
      </x:c>
      <x:c r="D7" s="37" t="s">
        <x:v>1242</x:v>
      </x:c>
      <x:c r="E7" s="1"/>
      <x:c r="F7" s="1"/>
      <x:c r="G7" s="1"/>
      <x:c r="H7" s="1"/>
      <x:c r="I7" s="1"/>
      <x:c r="J7" s="1"/>
      <x:c r="K7" s="1"/>
      <x:c r="L7" s="1"/>
      <x:c r="M7" s="1"/>
      <x:c r="N7" s="1"/>
      <x:c r="O7" s="1"/>
    </x:row>
    <x:row r="8" ht="15" hidden="0" customHeight="1">
      <x:c r="A8" s="193" t="s">
        <x:v>1243</x:v>
      </x:c>
      <x:c r="B8" s="194" t="n">
        <x:f aca="0">MAX(0,MIN(B5,B6))</x:f>
        <x:v>34496.66014836668</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34496.66014836668</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6899.332029673336</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27597.328118693345</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120.80221311477605</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6.040110655738802</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IF(AND("Tropical &amp; Subtropical Moist Broadleaf Forests"="Tropical &amp; Subtropical Dry Broadleaf Forests","Horti-Silviculture"="Timber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SUM(S19_Moist_Broadleaf_ER!F8,S19_Moist_Broadleaf_ER!F9,S19_Moist_Broadleaf_ER!F10,S19_Moist_Broadleaf_ER!F11)</x:f>
        <x:v>0</x:v>
      </x:c>
      <x:c r="C20" s="100" t="n">
        <x:f aca="0">SUM(S19_Moist_Broadleaf_ER!AA8,S19_Moist_Broadleaf_ER!AA9,S19_Moist_Broadleaf_ER!AA10,S19_Moist_Broadleaf_ER!AA11)</x:f>
        <x:v>0</x:v>
      </x:c>
      <x:c r="D20" s="100" t="n">
        <x:f aca="0">IF($B$4=0,0,S33_Project_Deductions!D4*$B$4/S08_Defaults!$B$14)</x:f>
        <x:v>74.56173730882765</x:v>
      </x:c>
      <x:c r="E20" s="100" t="n">
        <x:f aca="0">IF($B$4=0,0,S33_Project_Deductions!E4*$B$4/S08_Defaults!$B$14)</x:f>
        <x:v>341.1817502907932</x:v>
      </x:c>
      <x:c r="F20" s="100" t="n">
        <x:f aca="0">S08_Defaults!$B$9</x:f>
        <x:v>0.2</x:v>
      </x:c>
      <x:c r="G20" s="100" t="n">
        <x:f aca="0">C20*(1-F20)-D20-E20</x:f>
        <x:v>-415.74348759962083</x:v>
      </x:c>
      <x:c r="H20" s="100" t="n">
        <x:f aca="0">G20</x:f>
        <x:v>-415.74348759962083</x:v>
      </x:c>
      <x:c r="I20" s="100" t="n">
        <x:f aca="0">H20/1</x:f>
        <x:v>-415.74348759962083</x:v>
      </x:c>
      <x:c r="J20" s="100" t="n">
        <x:f aca="0">B20-D20-E20</x:f>
        <x:v>-415.74348759962083</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SUM(S19_Moist_Broadleaf_ER!G8,S19_Moist_Broadleaf_ER!G9,S19_Moist_Broadleaf_ER!G10,S19_Moist_Broadleaf_ER!G11)</x:f>
        <x:v>41.553717632129704</x:v>
      </x:c>
      <x:c r="C21" s="100" t="n">
        <x:f aca="0">SUM(S19_Moist_Broadleaf_ER!AB8,S19_Moist_Broadleaf_ER!AB9,S19_Moist_Broadleaf_ER!AB10,S19_Moist_Broadleaf_ER!AB11)</x:f>
        <x:v>28.575011340885425</x:v>
      </x:c>
      <x:c r="D21" s="100" t="n">
        <x:f aca="0">IF($B$4=0,0,S33_Project_Deductions!D5*$B$4/S08_Defaults!$B$14)</x:f>
        <x:v>242.78861319363236</x:v>
      </x:c>
      <x:c r="E21" s="100" t="n">
        <x:f aca="0">IF($B$4=0,0,S33_Project_Deductions!E5*$B$4/S08_Defaults!$B$14)</x:f>
        <x:v>673.1798711141673</x:v>
      </x:c>
      <x:c r="F21" s="100" t="n">
        <x:f aca="0">S08_Defaults!$B$9</x:f>
        <x:v>0.2</x:v>
      </x:c>
      <x:c r="G21" s="100" t="n">
        <x:f aca="0">C21*(1-F21)-D21-E21</x:f>
        <x:v>-893.1084752350913</x:v>
      </x:c>
      <x:c r="H21" s="100" t="n">
        <x:f aca="0">G21-G20</x:f>
        <x:v>-477.36498763547047</x:v>
      </x:c>
      <x:c r="I21" s="100" t="n">
        <x:f aca="0">H21/1</x:f>
        <x:v>-477.36498763547047</x:v>
      </x:c>
      <x:c r="J21" s="100" t="n">
        <x:f aca="0">B21-D21-E21</x:f>
        <x:v>-874.41476667567</x:v>
      </x:c>
      <x:c r="K21" s="100" t="n">
        <x:f aca="0">B21</x:f>
        <x:v>41.553717632129704</x:v>
      </x:c>
      <x:c r="L21" s="100" t="n">
        <x:f aca="0">0</x:f>
        <x:v>0</x:v>
      </x:c>
      <x:c r="M21" s="100" t="n">
        <x:f aca="0">IF(AND(A21&gt;=S08_Defaults!$B$11,A21&lt;=S08_Defaults!$B$12),J21,0)</x:f>
        <x:v>-874.41476667567</x:v>
      </x:c>
      <x:c r="N21" s="100" t="n">
        <x:f aca="0">IF(AND(A21&gt;=S08_Defaults!$B$11,A21&lt;=S08_Defaults!$B$12),K21-L21,0)</x:f>
        <x:v>41.553717632129704</x:v>
      </x:c>
      <x:c r="O21" s="37" t="s">
        <x:v>1271</x:v>
      </x:c>
    </x:row>
    <x:row r="22" ht="15" hidden="0" customHeight="1">
      <x:c r="A22" s="37" t="n">
        <x:v>2022</x:v>
      </x:c>
      <x:c r="B22" s="100" t="n">
        <x:f aca="0">SUM(S19_Moist_Broadleaf_ER!H8,S19_Moist_Broadleaf_ER!H9,S19_Moist_Broadleaf_ER!H10,S19_Moist_Broadleaf_ER!H11)</x:f>
        <x:v>420.2370424396635</x:v>
      </x:c>
      <x:c r="C22" s="100" t="n">
        <x:f aca="0">SUM(S19_Moist_Broadleaf_ER!AC8,S19_Moist_Broadleaf_ER!AC9,S19_Moist_Broadleaf_ER!AC10,S19_Moist_Broadleaf_ER!AC11)</x:f>
        <x:v>288.98204391437235</x:v>
      </x:c>
      <x:c r="D22" s="100" t="n">
        <x:f aca="0">IF($B$4=0,0,S33_Project_Deductions!D6*$B$4/S08_Defaults!$B$14)</x:f>
        <x:v>520.539283774342</x:v>
      </x:c>
      <x:c r="E22" s="100" t="n">
        <x:f aca="0">IF($B$4=0,0,S33_Project_Deductions!E6*$B$4/S08_Defaults!$B$14)</x:f>
        <x:v>1012.299663759077</x:v>
      </x:c>
      <x:c r="F22" s="100" t="n">
        <x:f aca="0">S08_Defaults!$B$9</x:f>
        <x:v>0.2</x:v>
      </x:c>
      <x:c r="G22" s="100" t="n">
        <x:f aca="0">C22*(1-F22)-D22-E22</x:f>
        <x:v>-1301.653312401921</x:v>
      </x:c>
      <x:c r="H22" s="100" t="n">
        <x:f aca="0">G22-G21</x:f>
        <x:v>-408.5448371668298</x:v>
      </x:c>
      <x:c r="I22" s="100" t="n">
        <x:f aca="0">H22/1</x:f>
        <x:v>-408.5448371668298</x:v>
      </x:c>
      <x:c r="J22" s="100" t="n">
        <x:f aca="0">B22-D22-E22</x:f>
        <x:v>-1112.6019050937555</x:v>
      </x:c>
      <x:c r="K22" s="100" t="n">
        <x:f aca="0">B22</x:f>
        <x:v>420.2370424396635</x:v>
      </x:c>
      <x:c r="L22" s="100" t="n">
        <x:f aca="0">0</x:f>
        <x:v>0</x:v>
      </x:c>
      <x:c r="M22" s="100" t="n">
        <x:f aca="0">IF(AND(A22&gt;=S08_Defaults!$B$11,A22&lt;=S08_Defaults!$B$12),J22,0)</x:f>
        <x:v>-1112.6019050937555</x:v>
      </x:c>
      <x:c r="N22" s="100" t="n">
        <x:f aca="0">IF(AND(A22&gt;=S08_Defaults!$B$11,A22&lt;=S08_Defaults!$B$12),K22-L22,0)</x:f>
        <x:v>420.2370424396635</x:v>
      </x:c>
      <x:c r="O22" s="37" t="s">
        <x:v>1271</x:v>
      </x:c>
    </x:row>
    <x:row r="23" ht="15" hidden="0" customHeight="1">
      <x:c r="A23" s="37" t="n">
        <x:v>2023</x:v>
      </x:c>
      <x:c r="B23" s="100" t="n">
        <x:f aca="0">SUM(S19_Moist_Broadleaf_ER!I8,S19_Moist_Broadleaf_ER!I9,S19_Moist_Broadleaf_ER!I10,S19_Moist_Broadleaf_ER!I11)</x:f>
        <x:v>1531.0944049904986</x:v>
      </x:c>
      <x:c r="C23" s="100" t="n">
        <x:f aca="0">SUM(S19_Moist_Broadleaf_ER!AD8,S19_Moist_Broadleaf_ER!AD9,S19_Moist_Broadleaf_ER!AD10,S19_Moist_Broadleaf_ER!AD11)</x:f>
        <x:v>1052.879079891062</x:v>
      </x:c>
      <x:c r="D23" s="100" t="n">
        <x:f aca="0">IF($B$4=0,0,S33_Project_Deductions!D7*$B$4/S08_Defaults!$B$14)</x:f>
        <x:v>910.5090036777037</x:v>
      </x:c>
      <x:c r="E23" s="100" t="n">
        <x:f aca="0">IF($B$4=0,0,S33_Project_Deductions!E7*$B$4/S08_Defaults!$B$14)</x:f>
        <x:v>1352.867747014934</x:v>
      </x:c>
      <x:c r="F23" s="100" t="n">
        <x:f aca="0">S08_Defaults!$B$9</x:f>
        <x:v>0.2</x:v>
      </x:c>
      <x:c r="G23" s="100" t="n">
        <x:f aca="0">C23*(1-F23)-D23-E23</x:f>
        <x:v>-1421.073486779788</x:v>
      </x:c>
      <x:c r="H23" s="100" t="n">
        <x:f aca="0">G23-G22</x:f>
        <x:v>-119.42017437786694</x:v>
      </x:c>
      <x:c r="I23" s="100" t="n">
        <x:f aca="0">H23/1</x:f>
        <x:v>-119.42017437786694</x:v>
      </x:c>
      <x:c r="J23" s="100" t="n">
        <x:f aca="0">B23-D23-E23</x:f>
        <x:v>-732.2823457021391</x:v>
      </x:c>
      <x:c r="K23" s="100" t="n">
        <x:f aca="0">B23</x:f>
        <x:v>1531.0944049904986</x:v>
      </x:c>
      <x:c r="L23" s="100" t="n">
        <x:f aca="0">0</x:f>
        <x:v>0</x:v>
      </x:c>
      <x:c r="M23" s="100" t="n">
        <x:f aca="0">IF(AND(A23&gt;=S08_Defaults!$B$11,A23&lt;=S08_Defaults!$B$12),J23,0)</x:f>
        <x:v>-732.2823457021391</x:v>
      </x:c>
      <x:c r="N23" s="100" t="n">
        <x:f aca="0">IF(AND(A23&gt;=S08_Defaults!$B$11,A23&lt;=S08_Defaults!$B$12),K23-L23,0)</x:f>
        <x:v>1531.0944049904986</x:v>
      </x:c>
      <x:c r="O23" s="37" t="s">
        <x:v>1271</x:v>
      </x:c>
    </x:row>
    <x:row r="24" ht="15" hidden="0" customHeight="1">
      <x:c r="A24" s="37" t="n">
        <x:v>2024</x:v>
      </x:c>
      <x:c r="B24" s="100" t="n">
        <x:f aca="0">SUM(S19_Moist_Broadleaf_ER!J8,S19_Moist_Broadleaf_ER!J9,S19_Moist_Broadleaf_ER!J10,S19_Moist_Broadleaf_ER!J11)</x:f>
        <x:v>3709.6815830346673</x:v>
      </x:c>
      <x:c r="C24" s="100" t="n">
        <x:f aca="0">SUM(S19_Moist_Broadleaf_ER!AE8,S19_Moist_Broadleaf_ER!AE9,S19_Moist_Broadleaf_ER!AE10,S19_Moist_Broadleaf_ER!AE11)</x:f>
        <x:v>2551.0158740725055</x:v>
      </x:c>
      <x:c r="D24" s="100" t="n">
        <x:f aca="0">IF($B$4=0,0,S33_Project_Deductions!D8*$B$4/S08_Defaults!$B$14)</x:f>
        <x:v>1338.325136646414</x:v>
      </x:c>
      <x:c r="E24" s="100" t="n">
        <x:f aca="0">IF($B$4=0,0,S33_Project_Deductions!E8*$B$4/S08_Defaults!$B$14)</x:f>
        <x:v>1681.4828739082714</x:v>
      </x:c>
      <x:c r="F24" s="100" t="n">
        <x:f aca="0">S08_Defaults!$B$9</x:f>
        <x:v>0.2</x:v>
      </x:c>
      <x:c r="G24" s="100" t="n">
        <x:f aca="0">C24*(1-F24)-D24-E24</x:f>
        <x:v>-978.9953112966807</x:v>
      </x:c>
      <x:c r="H24" s="100" t="n">
        <x:f aca="0">G24-G23</x:f>
        <x:v>442.0781754831073</x:v>
      </x:c>
      <x:c r="I24" s="100" t="n">
        <x:f aca="0">H24/1</x:f>
        <x:v>442.0781754831073</x:v>
      </x:c>
      <x:c r="J24" s="100" t="n">
        <x:f aca="0">B24-D24-E24</x:f>
        <x:v>689.8735724799817</x:v>
      </x:c>
      <x:c r="K24" s="100" t="n">
        <x:f aca="0">B24</x:f>
        <x:v>3709.6815830346673</x:v>
      </x:c>
      <x:c r="L24" s="100" t="n">
        <x:f aca="0">0</x:f>
        <x:v>0</x:v>
      </x:c>
      <x:c r="M24" s="100" t="n">
        <x:f aca="0">IF(AND(A24&gt;=S08_Defaults!$B$11,A24&lt;=S08_Defaults!$B$12),J24,0)</x:f>
        <x:v>689.8735724799817</x:v>
      </x:c>
      <x:c r="N24" s="100" t="n">
        <x:f aca="0">IF(AND(A24&gt;=S08_Defaults!$B$11,A24&lt;=S08_Defaults!$B$12),K24-L24,0)</x:f>
        <x:v>3709.6815830346673</x:v>
      </x:c>
      <x:c r="O24" s="37" t="s">
        <x:v>1271</x:v>
      </x:c>
    </x:row>
    <x:row r="25" ht="15" hidden="0" customHeight="1">
      <x:c r="A25" s="37" t="n">
        <x:v>2025</x:v>
      </x:c>
      <x:c r="B25" s="100" t="n">
        <x:f aca="0">SUM(S19_Moist_Broadleaf_ER!K8,S19_Moist_Broadleaf_ER!K9,S19_Moist_Broadleaf_ER!K10,S19_Moist_Broadleaf_ER!K11)</x:f>
        <x:v>7114.999240893453</x:v>
      </x:c>
      <x:c r="C25" s="100" t="n">
        <x:f aca="0">SUM(S19_Moist_Broadleaf_ER!AF8,S19_Moist_Broadleaf_ER!AF9,S19_Moist_Broadleaf_ER!AF10,S19_Moist_Broadleaf_ER!AF11)</x:f>
        <x:v>4892.731519206349</x:v>
      </x:c>
      <x:c r="D25" s="100" t="n">
        <x:f aca="0">IF($B$4=0,0,S33_Project_Deductions!D9*$B$4/S08_Defaults!$B$14)</x:f>
        <x:v>1784.884281413323</x:v>
      </x:c>
      <x:c r="E25" s="100" t="n">
        <x:f aca="0">IF($B$4=0,0,S33_Project_Deductions!E9*$B$4/S08_Defaults!$B$14)</x:f>
        <x:v>1681.4828739082714</x:v>
      </x:c>
      <x:c r="F25" s="100" t="n">
        <x:f aca="0">S08_Defaults!$B$9</x:f>
        <x:v>0.2</x:v>
      </x:c>
      <x:c r="G25" s="100" t="n">
        <x:f aca="0">C25*(1-F25)-D25-E25</x:f>
        <x:v>447.8180600434853</x:v>
      </x:c>
      <x:c r="H25" s="100" t="n">
        <x:f aca="0">G25-G24</x:f>
        <x:v>1426.813371340166</x:v>
      </x:c>
      <x:c r="I25" s="100" t="n">
        <x:f aca="0">H25/1</x:f>
        <x:v>1426.813371340166</x:v>
      </x:c>
      <x:c r="J25" s="100" t="n">
        <x:f aca="0">B25-D25-E25</x:f>
        <x:v>3648.6320855718586</x:v>
      </x:c>
      <x:c r="K25" s="100" t="n">
        <x:f aca="0">B25</x:f>
        <x:v>7114.999240893453</x:v>
      </x:c>
      <x:c r="L25" s="100" t="n">
        <x:f aca="0">0</x:f>
        <x:v>0</x:v>
      </x:c>
      <x:c r="M25" s="100" t="n">
        <x:f aca="0">IF(AND(A25&gt;=S08_Defaults!$B$11,A25&lt;=S08_Defaults!$B$12),J25,0)</x:f>
        <x:v>3648.6320855718586</x:v>
      </x:c>
      <x:c r="N25" s="100" t="n">
        <x:f aca="0">IF(AND(A25&gt;=S08_Defaults!$B$11,A25&lt;=S08_Defaults!$B$12),K25-L25,0)</x:f>
        <x:v>7114.999240893453</x:v>
      </x:c>
      <x:c r="O25" s="37" t="s">
        <x:v>1271</x:v>
      </x:c>
    </x:row>
    <x:row r="26" ht="15" hidden="0" customHeight="1">
      <x:c r="A26" s="37" t="n">
        <x:v>2026</x:v>
      </x:c>
      <x:c r="B26" s="100" t="n">
        <x:f aca="0">SUM(S19_Moist_Broadleaf_ER!L8,S19_Moist_Broadleaf_ER!L9,S19_Moist_Broadleaf_ER!L10,S19_Moist_Broadleaf_ER!L11)</x:f>
        <x:v>11696.654954254316</x:v>
      </x:c>
      <x:c r="C26" s="100" t="n">
        <x:f aca="0">SUM(S19_Moist_Broadleaf_ER!AG8,S19_Moist_Broadleaf_ER!AG9,S19_Moist_Broadleaf_ER!AG10,S19_Moist_Broadleaf_ER!AG11)</x:f>
        <x:v>8043.3729402302515</x:v>
      </x:c>
      <x:c r="D26" s="100" t="n">
        <x:f aca="0">IF($B$4=0,0,S33_Project_Deductions!D10*$B$4/S08_Defaults!$B$14)</x:f>
        <x:v>2234.327781858503</x:v>
      </x:c>
      <x:c r="E26" s="100" t="n">
        <x:f aca="0">IF($B$4=0,0,S33_Project_Deductions!E10*$B$4/S08_Defaults!$B$14)</x:f>
        <x:v>1681.4828739082714</x:v>
      </x:c>
      <x:c r="F26" s="100" t="n">
        <x:f aca="0">S08_Defaults!$B$9</x:f>
        <x:v>0.2</x:v>
      </x:c>
      <x:c r="G26" s="100" t="n">
        <x:f aca="0">C26*(1-F26)-D26-E26</x:f>
        <x:v>2518.887696417427</x:v>
      </x:c>
      <x:c r="H26" s="100" t="n">
        <x:f aca="0">G26-G25</x:f>
        <x:v>2071.0696363739416</x:v>
      </x:c>
      <x:c r="I26" s="100" t="n">
        <x:f aca="0">H26/1</x:f>
        <x:v>2071.0696363739416</x:v>
      </x:c>
      <x:c r="J26" s="100" t="n">
        <x:f aca="0">B26-D26-E26</x:f>
        <x:v>7780.844298487542</x:v>
      </x:c>
      <x:c r="K26" s="100" t="n">
        <x:f aca="0">B26</x:f>
        <x:v>11696.654954254316</x:v>
      </x:c>
      <x:c r="L26" s="100" t="n">
        <x:f aca="0">0</x:f>
        <x:v>0</x:v>
      </x:c>
      <x:c r="M26" s="100" t="n">
        <x:f aca="0">IF(AND(A26&gt;=S08_Defaults!$B$11,A26&lt;=S08_Defaults!$B$12),J26,0)</x:f>
        <x:v>7780.844298487542</x:v>
      </x:c>
      <x:c r="N26" s="100" t="n">
        <x:f aca="0">IF(AND(A26&gt;=S08_Defaults!$B$11,A26&lt;=S08_Defaults!$B$12),K26-L26,0)</x:f>
        <x:v>11696.654954254316</x:v>
      </x:c>
      <x:c r="O26" s="37" t="s">
        <x:v>1271</x:v>
      </x:c>
    </x:row>
    <x:row r="27" ht="15" hidden="0" customHeight="1">
      <x:c r="A27" s="37" t="n">
        <x:v>2027</x:v>
      </x:c>
      <x:c r="B27" s="100" t="n">
        <x:f aca="0">SUM(S19_Moist_Broadleaf_ER!M8,S19_Moist_Broadleaf_ER!M9,S19_Moist_Broadleaf_ER!M10,S19_Moist_Broadleaf_ER!M11)</x:f>
        <x:v>17240.83639138347</x:v>
      </x:c>
      <x:c r="C27" s="100" t="n">
        <x:f aca="0">SUM(S19_Moist_Broadleaf_ER!AH8,S19_Moist_Broadleaf_ER!AH9,S19_Moist_Broadleaf_ER!AH10,S19_Moist_Broadleaf_ER!AH11)</x:f>
        <x:v>11855.909013281786</x:v>
      </x:c>
      <x:c r="D27" s="100" t="n">
        <x:f aca="0">IF($B$4=0,0,S33_Project_Deductions!D11*$B$4/S08_Defaults!$B$14)</x:f>
        <x:v>2683.960383355207</x:v>
      </x:c>
      <x:c r="E27" s="100" t="n">
        <x:f aca="0">IF($B$4=0,0,S33_Project_Deductions!E11*$B$4/S08_Defaults!$B$14)</x:f>
        <x:v>1681.4828739082714</x:v>
      </x:c>
      <x:c r="F27" s="100" t="n">
        <x:f aca="0">S08_Defaults!$B$9</x:f>
        <x:v>0.2</x:v>
      </x:c>
      <x:c r="G27" s="100" t="n">
        <x:f aca="0">C27*(1-F27)-D27-E27</x:f>
        <x:v>5119.283953361952</x:v>
      </x:c>
      <x:c r="H27" s="100" t="n">
        <x:f aca="0">G27-G26</x:f>
        <x:v>2600.396256944525</x:v>
      </x:c>
      <x:c r="I27" s="100" t="n">
        <x:f aca="0">H27/1</x:f>
        <x:v>2600.396256944525</x:v>
      </x:c>
      <x:c r="J27" s="100" t="n">
        <x:f aca="0">B27-D27-E27</x:f>
        <x:v>12875.393134119991</x:v>
      </x:c>
      <x:c r="K27" s="100" t="n">
        <x:f aca="0">B27</x:f>
        <x:v>17240.83639138347</x:v>
      </x:c>
      <x:c r="L27" s="100" t="n">
        <x:f aca="0">0</x:f>
        <x:v>0</x:v>
      </x:c>
      <x:c r="M27" s="100" t="n">
        <x:f aca="0">IF(AND(A27&gt;=S08_Defaults!$B$11,A27&lt;=S08_Defaults!$B$12),J27,0)</x:f>
        <x:v>12875.393134119991</x:v>
      </x:c>
      <x:c r="N27" s="100" t="n">
        <x:f aca="0">IF(AND(A27&gt;=S08_Defaults!$B$11,A27&lt;=S08_Defaults!$B$12),K27-L27,0)</x:f>
        <x:v>17240.83639138347</x:v>
      </x:c>
      <x:c r="O27" s="37" t="s">
        <x:v>1271</x:v>
      </x:c>
    </x:row>
    <x:row r="28" ht="15" hidden="0" customHeight="1">
      <x:c r="A28" s="37" t="n">
        <x:v>2028</x:v>
      </x:c>
      <x:c r="B28" s="100" t="n">
        <x:f aca="0">SUM(S19_Moist_Broadleaf_ER!N8,S19_Moist_Broadleaf_ER!N9,S19_Moist_Broadleaf_ER!N10,S19_Moist_Broadleaf_ER!N11)</x:f>
        <x:v>23459.99170326175</x:v>
      </x:c>
      <x:c r="C28" s="100" t="n">
        <x:f aca="0">SUM(S19_Moist_Broadleaf_ER!AI8,S19_Moist_Broadleaf_ER!AI9,S19_Moist_Broadleaf_ER!AI10,S19_Moist_Broadleaf_ER!AI11)</x:f>
        <x:v>16132.60057529598</x:v>
      </x:c>
      <x:c r="D28" s="100" t="n">
        <x:f aca="0">IF($B$4=0,0,S33_Project_Deductions!D12*$B$4/S08_Defaults!$B$14)</x:f>
        <x:v>3133.5929848519104</x:v>
      </x:c>
      <x:c r="E28" s="100" t="n">
        <x:f aca="0">IF($B$4=0,0,S33_Project_Deductions!E12*$B$4/S08_Defaults!$B$14)</x:f>
        <x:v>1681.4828739082714</x:v>
      </x:c>
      <x:c r="F28" s="100" t="n">
        <x:f aca="0">S08_Defaults!$B$9</x:f>
        <x:v>0.2</x:v>
      </x:c>
      <x:c r="G28" s="100" t="n">
        <x:f aca="0">C28*(1-F28)-D28-E28</x:f>
        <x:v>8091.004601476605</x:v>
      </x:c>
      <x:c r="H28" s="100" t="n">
        <x:f aca="0">G28-G27</x:f>
        <x:v>2971.720648114653</x:v>
      </x:c>
      <x:c r="I28" s="100" t="n">
        <x:f aca="0">H28/1</x:f>
        <x:v>2971.720648114653</x:v>
      </x:c>
      <x:c r="J28" s="100" t="n">
        <x:f aca="0">B28-D28-E28</x:f>
        <x:v>18644.915844501564</x:v>
      </x:c>
      <x:c r="K28" s="100" t="n">
        <x:f aca="0">B28</x:f>
        <x:v>23459.99170326175</x:v>
      </x:c>
      <x:c r="L28" s="100" t="n">
        <x:f aca="0">0</x:f>
        <x:v>0</x:v>
      </x:c>
      <x:c r="M28" s="100" t="n">
        <x:f aca="0">IF(AND(A28&gt;=S08_Defaults!$B$11,A28&lt;=S08_Defaults!$B$12),J28,0)</x:f>
        <x:v>18644.915844501564</x:v>
      </x:c>
      <x:c r="N28" s="100" t="n">
        <x:f aca="0">IF(AND(A28&gt;=S08_Defaults!$B$11,A28&lt;=S08_Defaults!$B$12),K28-L28,0)</x:f>
        <x:v>23459.99170326175</x:v>
      </x:c>
      <x:c r="O28" s="37" t="s">
        <x:v>1271</x:v>
      </x:c>
    </x:row>
    <x:row r="29" ht="15" hidden="0" customHeight="1">
      <x:c r="A29" s="37" t="n">
        <x:v>2029</x:v>
      </x:c>
      <x:c r="B29" s="100" t="n">
        <x:f aca="0">SUM(S19_Moist_Broadleaf_ER!O8,S19_Moist_Broadleaf_ER!O9,S19_Moist_Broadleaf_ER!O10,S19_Moist_Broadleaf_ER!O11)</x:f>
        <x:v>30063.123844525973</x:v>
      </x:c>
      <x:c r="C29" s="100" t="n">
        <x:f aca="0">SUM(S19_Moist_Broadleaf_ER!AJ8,S19_Moist_Broadleaf_ER!AJ9,S19_Moist_Broadleaf_ER!AJ10,S19_Moist_Broadleaf_ER!AJ11)</x:f>
        <x:v>20673.339324410877</x:v>
      </x:c>
      <x:c r="D29" s="100" t="n">
        <x:f aca="0">IF($B$4=0,0,S33_Project_Deductions!D13*$B$4/S08_Defaults!$B$14)</x:f>
        <x:v>3583.2255863486143</x:v>
      </x:c>
      <x:c r="E29" s="100" t="n">
        <x:f aca="0">IF($B$4=0,0,S33_Project_Deductions!E13*$B$4/S08_Defaults!$B$14)</x:f>
        <x:v>1681.4828739082714</x:v>
      </x:c>
      <x:c r="F29" s="100" t="n">
        <x:f aca="0">S08_Defaults!$B$9</x:f>
        <x:v>0.2</x:v>
      </x:c>
      <x:c r="G29" s="100" t="n">
        <x:f aca="0">C29*(1-F29)-D29-E29</x:f>
        <x:v>11273.962999271816</x:v>
      </x:c>
      <x:c r="H29" s="100" t="n">
        <x:f aca="0">G29-G28</x:f>
        <x:v>3182.9583977952116</x:v>
      </x:c>
      <x:c r="I29" s="100" t="n">
        <x:f aca="0">H29/1</x:f>
        <x:v>3182.9583977952116</x:v>
      </x:c>
      <x:c r="J29" s="100" t="n">
        <x:f aca="0">B29-D29-E29</x:f>
        <x:v>24798.415384269087</x:v>
      </x:c>
      <x:c r="K29" s="100" t="n">
        <x:f aca="0">B29</x:f>
        <x:v>30063.123844525973</x:v>
      </x:c>
      <x:c r="L29" s="100" t="n">
        <x:f aca="0">0</x:f>
        <x:v>0</x:v>
      </x:c>
      <x:c r="M29" s="100" t="n">
        <x:f aca="0">IF(AND(A29&gt;=S08_Defaults!$B$11,A29&lt;=S08_Defaults!$B$12),J29,0)</x:f>
        <x:v>24798.415384269087</x:v>
      </x:c>
      <x:c r="N29" s="100" t="n">
        <x:f aca="0">IF(AND(A29&gt;=S08_Defaults!$B$11,A29&lt;=S08_Defaults!$B$12),K29-L29,0)</x:f>
        <x:v>30063.123844525973</x:v>
      </x:c>
      <x:c r="O29" s="37" t="s">
        <x:v>1271</x:v>
      </x:c>
    </x:row>
    <x:row r="30" ht="15" hidden="0" customHeight="1">
      <x:c r="A30" s="37" t="n">
        <x:v>2030</x:v>
      </x:c>
      <x:c r="B30" s="100" t="n">
        <x:f aca="0">SUM(S19_Moist_Broadleaf_ER!P8,S19_Moist_Broadleaf_ER!P9,S19_Moist_Broadleaf_ER!P10,S19_Moist_Broadleaf_ER!P11)</x:f>
        <x:v>36793.44088289753</x:v>
      </x:c>
      <x:c r="C30" s="100" t="n">
        <x:f aca="0">SUM(S19_Moist_Broadleaf_ER!AK8,S19_Moist_Broadleaf_ER!AK9,S19_Moist_Broadleaf_ER!AK10,S19_Moist_Broadleaf_ER!AK11)</x:f>
        <x:v>25301.53859653855</x:v>
      </x:c>
      <x:c r="D30" s="100" t="n">
        <x:f aca="0">IF($B$4=0,0,S33_Project_Deductions!D14*$B$4/S08_Defaults!$B$14)</x:f>
        <x:v>4032.8581878453183</x:v>
      </x:c>
      <x:c r="E30" s="100" t="n">
        <x:f aca="0">IF($B$4=0,0,S33_Project_Deductions!E14*$B$4/S08_Defaults!$B$14)</x:f>
        <x:v>1681.4828739082714</x:v>
      </x:c>
      <x:c r="F30" s="100" t="n">
        <x:f aca="0">S08_Defaults!$B$9</x:f>
        <x:v>0.2</x:v>
      </x:c>
      <x:c r="G30" s="100" t="n">
        <x:f aca="0">C30*(1-F30)-D30-E30</x:f>
        <x:v>14526.889815477252</x:v>
      </x:c>
      <x:c r="H30" s="100" t="n">
        <x:f aca="0">G30-G29</x:f>
        <x:v>3252.926816205436</x:v>
      </x:c>
      <x:c r="I30" s="100" t="n">
        <x:f aca="0">H30/1</x:f>
        <x:v>3252.926816205436</x:v>
      </x:c>
      <x:c r="J30" s="100" t="n">
        <x:f aca="0">B30-D30-E30</x:f>
        <x:v>31079.099821143936</x:v>
      </x:c>
      <x:c r="K30" s="100" t="n">
        <x:f aca="0">B30</x:f>
        <x:v>36793.44088289753</x:v>
      </x:c>
      <x:c r="L30" s="100" t="n">
        <x:f aca="0">0</x:f>
        <x:v>0</x:v>
      </x:c>
      <x:c r="M30" s="100" t="n">
        <x:f aca="0">IF(AND(A30&gt;=S08_Defaults!$B$11,A30&lt;=S08_Defaults!$B$12),J30,0)</x:f>
        <x:v>31079.099821143936</x:v>
      </x:c>
      <x:c r="N30" s="100" t="n">
        <x:f aca="0">IF(AND(A30&gt;=S08_Defaults!$B$11,A30&lt;=S08_Defaults!$B$12),K30-L30,0)</x:f>
        <x:v>36793.44088289753</x:v>
      </x:c>
      <x:c r="O30" s="37" t="s">
        <x:v>1271</x:v>
      </x:c>
    </x:row>
    <x:row r="31" ht="15" hidden="0" customHeight="1">
      <x:c r="A31" s="37" t="n">
        <x:v>2031</x:v>
      </x:c>
      <x:c r="B31" s="100" t="n">
        <x:f aca="0">SUM(S19_Moist_Broadleaf_ER!Q8,S19_Moist_Broadleaf_ER!Q9,S19_Moist_Broadleaf_ER!Q10,S19_Moist_Broadleaf_ER!Q11)</x:f>
        <x:v>43444.42982832059</x:v>
      </x:c>
      <x:c r="C31" s="100" t="n">
        <x:f aca="0">SUM(S19_Moist_Broadleaf_ER!AL8,S19_Moist_Broadleaf_ER!AL9,S19_Moist_Broadleaf_ER!AL10,S19_Moist_Broadleaf_ER!AL11)</x:f>
        <x:v>29875.186765062892</x:v>
      </x:c>
      <x:c r="D31" s="100" t="n">
        <x:f aca="0">IF($B$4=0,0,S33_Project_Deductions!D15*$B$4/S08_Defaults!$B$14)</x:f>
        <x:v>4482.490789342022</x:v>
      </x:c>
      <x:c r="E31" s="100" t="n">
        <x:f aca="0">IF($B$4=0,0,S33_Project_Deductions!E15*$B$4/S08_Defaults!$B$14)</x:f>
        <x:v>1681.4828739082714</x:v>
      </x:c>
      <x:c r="F31" s="100" t="n">
        <x:f aca="0">S08_Defaults!$B$9</x:f>
        <x:v>0.2</x:v>
      </x:c>
      <x:c r="G31" s="100" t="n">
        <x:f aca="0">C31*(1-F31)-D31-E31</x:f>
        <x:v>17736.175748800022</x:v>
      </x:c>
      <x:c r="H31" s="100" t="n">
        <x:f aca="0">G31-G30</x:f>
        <x:v>3209.28593332277</x:v>
      </x:c>
      <x:c r="I31" s="100" t="n">
        <x:f aca="0">H31/1</x:f>
        <x:v>3209.28593332277</x:v>
      </x:c>
      <x:c r="J31" s="100" t="n">
        <x:f aca="0">B31-D31-E31</x:f>
        <x:v>37280.456165070296</x:v>
      </x:c>
      <x:c r="K31" s="100" t="n">
        <x:f aca="0">B31</x:f>
        <x:v>43444.42982832059</x:v>
      </x:c>
      <x:c r="L31" s="100" t="n">
        <x:f aca="0">0</x:f>
        <x:v>0</x:v>
      </x:c>
      <x:c r="M31" s="100" t="n">
        <x:f aca="0">IF(AND(A31&gt;=S08_Defaults!$B$11,A31&lt;=S08_Defaults!$B$12),J31,0)</x:f>
        <x:v>37280.456165070296</x:v>
      </x:c>
      <x:c r="N31" s="100" t="n">
        <x:f aca="0">IF(AND(A31&gt;=S08_Defaults!$B$11,A31&lt;=S08_Defaults!$B$12),K31-L31,0)</x:f>
        <x:v>43444.42982832059</x:v>
      </x:c>
      <x:c r="O31" s="37" t="s">
        <x:v>1271</x:v>
      </x:c>
    </x:row>
    <x:row r="32" ht="15" hidden="0" customHeight="1">
      <x:c r="A32" s="37" t="n">
        <x:v>2032</x:v>
      </x:c>
      <x:c r="B32" s="100" t="n">
        <x:f aca="0">SUM(S19_Moist_Broadleaf_ER!R8,S19_Moist_Broadleaf_ER!R9,S19_Moist_Broadleaf_ER!R10,S19_Moist_Broadleaf_ER!R11)</x:f>
        <x:v>49862.19036184409</x:v>
      </x:c>
      <x:c r="C32" s="100" t="n">
        <x:f aca="0">SUM(S19_Moist_Broadleaf_ER!AM8,S19_Moist_Broadleaf_ER!AM9,S19_Moist_Broadleaf_ER!AM10,S19_Moist_Broadleaf_ER!AM11)</x:f>
        <x:v>34288.45206305693</x:v>
      </x:c>
      <x:c r="D32" s="100" t="n">
        <x:f aca="0">IF($B$4=0,0,S33_Project_Deductions!D16*$B$4/S08_Defaults!$B$14)</x:f>
        <x:v>4932.123390838726</x:v>
      </x:c>
      <x:c r="E32" s="100" t="n">
        <x:f aca="0">IF($B$4=0,0,S33_Project_Deductions!E16*$B$4/S08_Defaults!$B$14)</x:f>
        <x:v>1681.4828739082714</x:v>
      </x:c>
      <x:c r="F32" s="100" t="n">
        <x:f aca="0">S08_Defaults!$B$9</x:f>
        <x:v>0.2</x:v>
      </x:c>
      <x:c r="G32" s="100" t="n">
        <x:f aca="0">C32*(1-F32)-D32-E32</x:f>
        <x:v>20817.15538569855</x:v>
      </x:c>
      <x:c r="H32" s="100" t="n">
        <x:f aca="0">G32-G31</x:f>
        <x:v>3080.979636898526</x:v>
      </x:c>
      <x:c r="I32" s="100" t="n">
        <x:f aca="0">H32/1</x:f>
        <x:v>3080.979636898526</x:v>
      </x:c>
      <x:c r="J32" s="100" t="n">
        <x:f aca="0">B32-D32-E32</x:f>
        <x:v>43248.58409709709</x:v>
      </x:c>
      <x:c r="K32" s="100" t="n">
        <x:f aca="0">B32</x:f>
        <x:v>49862.19036184409</x:v>
      </x:c>
      <x:c r="L32" s="100" t="n">
        <x:f aca="0">0</x:f>
        <x:v>0</x:v>
      </x:c>
      <x:c r="M32" s="100" t="n">
        <x:f aca="0">IF(AND(A32&gt;=S08_Defaults!$B$11,A32&lt;=S08_Defaults!$B$12),J32,0)</x:f>
        <x:v>43248.58409709709</x:v>
      </x:c>
      <x:c r="N32" s="100" t="n">
        <x:f aca="0">IF(AND(A32&gt;=S08_Defaults!$B$11,A32&lt;=S08_Defaults!$B$12),K32-L32,0)</x:f>
        <x:v>49862.19036184409</x:v>
      </x:c>
      <x:c r="O32" s="37" t="s">
        <x:v>1271</x:v>
      </x:c>
    </x:row>
    <x:row r="33" ht="15" hidden="0" customHeight="1">
      <x:c r="A33" s="37" t="n">
        <x:v>2033</x:v>
      </x:c>
      <x:c r="B33" s="100" t="n">
        <x:f aca="0">SUM(S19_Moist_Broadleaf_ER!S8,S19_Moist_Broadleaf_ER!S9,S19_Moist_Broadleaf_ER!S10,S19_Moist_Broadleaf_ER!S11)</x:f>
        <x:v>55940.56166388515</x:v>
      </x:c>
      <x:c r="C33" s="100" t="n">
        <x:f aca="0">SUM(S19_Moist_Broadleaf_ER!AN8,S19_Moist_Broadleaf_ER!AN9,S19_Moist_Broadleaf_ER!AN10,S19_Moist_Broadleaf_ER!AN11)</x:f>
        <x:v>38468.33147667736</x:v>
      </x:c>
      <x:c r="D33" s="100" t="n">
        <x:f aca="0">IF($B$4=0,0,S33_Project_Deductions!D17*$B$4/S08_Defaults!$B$14)</x:f>
        <x:v>5381.75599233543</x:v>
      </x:c>
      <x:c r="E33" s="100" t="n">
        <x:f aca="0">IF($B$4=0,0,S33_Project_Deductions!E17*$B$4/S08_Defaults!$B$14)</x:f>
        <x:v>1681.4828739082714</x:v>
      </x:c>
      <x:c r="F33" s="100" t="n">
        <x:f aca="0">S08_Defaults!$B$9</x:f>
        <x:v>0.2</x:v>
      </x:c>
      <x:c r="G33" s="100" t="n">
        <x:f aca="0">C33*(1-F33)-D33-E33</x:f>
        <x:v>23711.426315098186</x:v>
      </x:c>
      <x:c r="H33" s="100" t="n">
        <x:f aca="0">G33-G32</x:f>
        <x:v>2894.2709293996377</x:v>
      </x:c>
      <x:c r="I33" s="100" t="n">
        <x:f aca="0">H33/1</x:f>
        <x:v>2894.2709293996377</x:v>
      </x:c>
      <x:c r="J33" s="100" t="n">
        <x:f aca="0">B33-D33-E33</x:f>
        <x:v>48877.32279764145</x:v>
      </x:c>
      <x:c r="K33" s="100" t="n">
        <x:f aca="0">B33</x:f>
        <x:v>55940.56166388515</x:v>
      </x:c>
      <x:c r="L33" s="100" t="n">
        <x:f aca="0">0</x:f>
        <x:v>0</x:v>
      </x:c>
      <x:c r="M33" s="100" t="n">
        <x:f aca="0">IF(AND(A33&gt;=S08_Defaults!$B$11,A33&lt;=S08_Defaults!$B$12),J33,0)</x:f>
        <x:v>48877.32279764145</x:v>
      </x:c>
      <x:c r="N33" s="100" t="n">
        <x:f aca="0">IF(AND(A33&gt;=S08_Defaults!$B$11,A33&lt;=S08_Defaults!$B$12),K33-L33,0)</x:f>
        <x:v>55940.56166388515</x:v>
      </x:c>
      <x:c r="O33" s="37" t="s">
        <x:v>1271</x:v>
      </x:c>
    </x:row>
    <x:row r="34" ht="15" hidden="0" customHeight="1">
      <x:c r="A34" s="37" t="n">
        <x:v>2034</x:v>
      </x:c>
      <x:c r="B34" s="100" t="n">
        <x:f aca="0">SUM(S19_Moist_Broadleaf_ER!T8,S19_Moist_Broadleaf_ER!T9,S19_Moist_Broadleaf_ER!T10,S19_Moist_Broadleaf_ER!T11)</x:f>
        <x:v>61613.246277097394</x:v>
      </x:c>
      <x:c r="C34" s="100" t="n">
        <x:f aca="0">SUM(S19_Moist_Broadleaf_ER!AO8,S19_Moist_Broadleaf_ER!AO9,S19_Moist_Broadleaf_ER!AO10,S19_Moist_Broadleaf_ER!AO11)</x:f>
        <x:v>42369.23460623204</x:v>
      </x:c>
      <x:c r="D34" s="100" t="n">
        <x:f aca="0">IF($B$4=0,0,S33_Project_Deductions!D18*$B$4/S08_Defaults!$B$14)</x:f>
        <x:v>5831.388593832133</x:v>
      </x:c>
      <x:c r="E34" s="100" t="n">
        <x:f aca="0">IF($B$4=0,0,S33_Project_Deductions!E18*$B$4/S08_Defaults!$B$14)</x:f>
        <x:v>1681.4828739082714</x:v>
      </x:c>
      <x:c r="F34" s="100" t="n">
        <x:f aca="0">S08_Defaults!$B$9</x:f>
        <x:v>0.2</x:v>
      </x:c>
      <x:c r="G34" s="100" t="n">
        <x:f aca="0">C34*(1-F34)-D34-E34</x:f>
        <x:v>26382.516217245233</x:v>
      </x:c>
      <x:c r="H34" s="100" t="n">
        <x:f aca="0">G34-G33</x:f>
        <x:v>2671.089902147047</x:v>
      </x:c>
      <x:c r="I34" s="100" t="n">
        <x:f aca="0">H34/1</x:f>
        <x:v>2671.089902147047</x:v>
      </x:c>
      <x:c r="J34" s="100" t="n">
        <x:f aca="0">B34-D34-E34</x:f>
        <x:v>54100.37480935699</x:v>
      </x:c>
      <x:c r="K34" s="100" t="n">
        <x:f aca="0">B34</x:f>
        <x:v>61613.246277097394</x:v>
      </x:c>
      <x:c r="L34" s="100" t="n">
        <x:f aca="0">0</x:f>
        <x:v>0</x:v>
      </x:c>
      <x:c r="M34" s="100" t="n">
        <x:f aca="0">IF(AND(A34&gt;=S08_Defaults!$B$11,A34&lt;=S08_Defaults!$B$12),J34,0)</x:f>
        <x:v>54100.37480935699</x:v>
      </x:c>
      <x:c r="N34" s="100" t="n">
        <x:f aca="0">IF(AND(A34&gt;=S08_Defaults!$B$11,A34&lt;=S08_Defaults!$B$12),K34-L34,0)</x:f>
        <x:v>61613.246277097394</x:v>
      </x:c>
      <x:c r="O34" s="37" t="s">
        <x:v>1271</x:v>
      </x:c>
    </x:row>
    <x:row r="35" ht="15" hidden="0" customHeight="1">
      <x:c r="A35" s="37" t="n">
        <x:v>2035</x:v>
      </x:c>
      <x:c r="B35" s="100" t="n">
        <x:f aca="0">SUM(S19_Moist_Broadleaf_ER!U8,S19_Moist_Broadleaf_ER!U9,S19_Moist_Broadleaf_ER!U10,S19_Moist_Broadleaf_ER!U11)</x:f>
        <x:v>66845.34699535379</x:v>
      </x:c>
      <x:c r="C35" s="100" t="n">
        <x:f aca="0">SUM(S19_Moist_Broadleaf_ER!AP8,S19_Moist_Broadleaf_ER!AP9,S19_Moist_Broadleaf_ER!AP10,S19_Moist_Broadleaf_ER!AP11)</x:f>
        <x:v>45967.16388621614</x:v>
      </x:c>
      <x:c r="D35" s="100" t="n">
        <x:f aca="0">IF($B$4=0,0,S33_Project_Deductions!D19*$B$4/S08_Defaults!$B$14)</x:f>
        <x:v>6281.021195328836</x:v>
      </x:c>
      <x:c r="E35" s="100" t="n">
        <x:f aca="0">IF($B$4=0,0,S33_Project_Deductions!E19*$B$4/S08_Defaults!$B$14)</x:f>
        <x:v>1681.4828739082714</x:v>
      </x:c>
      <x:c r="F35" s="100" t="n">
        <x:f aca="0">S08_Defaults!$B$9</x:f>
        <x:v>0.2</x:v>
      </x:c>
      <x:c r="G35" s="100" t="n">
        <x:f aca="0">C35*(1-F35)-D35-E35</x:f>
        <x:v>28811.2270397358</x:v>
      </x:c>
      <x:c r="H35" s="100" t="n">
        <x:f aca="0">G35-G34</x:f>
        <x:v>2428.710822490568</x:v>
      </x:c>
      <x:c r="I35" s="100" t="n">
        <x:f aca="0">H35/1</x:f>
        <x:v>2428.710822490568</x:v>
      </x:c>
      <x:c r="J35" s="100" t="n">
        <x:f aca="0">B35-D35-E35</x:f>
        <x:v>58882.842926116675</x:v>
      </x:c>
      <x:c r="K35" s="100" t="n">
        <x:f aca="0">B35</x:f>
        <x:v>66845.34699535379</x:v>
      </x:c>
      <x:c r="L35" s="100" t="n">
        <x:f aca="0">0</x:f>
        <x:v>0</x:v>
      </x:c>
      <x:c r="M35" s="100" t="n">
        <x:f aca="0">IF(AND(A35&gt;=S08_Defaults!$B$11,A35&lt;=S08_Defaults!$B$12),J35,0)</x:f>
        <x:v>58882.842926116675</x:v>
      </x:c>
      <x:c r="N35" s="100" t="n">
        <x:f aca="0">IF(AND(A35&gt;=S08_Defaults!$B$11,A35&lt;=S08_Defaults!$B$12),K35-L35,0)</x:f>
        <x:v>66845.34699535379</x:v>
      </x:c>
      <x:c r="O35" s="37" t="s">
        <x:v>1271</x:v>
      </x:c>
    </x:row>
    <x:row r="36" ht="15" hidden="0" customHeight="1">
      <x:c r="A36" s="37" t="n">
        <x:v>2036</x:v>
      </x:c>
      <x:c r="B36" s="100" t="n">
        <x:f aca="0">SUM(S19_Moist_Broadleaf_ER!V8,S19_Moist_Broadleaf_ER!V9,S19_Moist_Broadleaf_ER!V10,S19_Moist_Broadleaf_ER!V11)</x:f>
        <x:v>71625.54902773893</x:v>
      </x:c>
      <x:c r="C36" s="100" t="n">
        <x:f aca="0">SUM(S19_Moist_Broadleaf_ER!AQ8,S19_Moist_Broadleaf_ER!AQ9,S19_Moist_Broadleaf_ER!AQ10,S19_Moist_Broadleaf_ER!AQ11)</x:f>
        <x:v>49254.33853798578</x:v>
      </x:c>
      <x:c r="D36" s="100" t="n">
        <x:f aca="0">IF($B$4=0,0,S33_Project_Deductions!D20*$B$4/S08_Defaults!$B$14)</x:f>
        <x:v>6730.65379682554</x:v>
      </x:c>
      <x:c r="E36" s="100" t="n">
        <x:f aca="0">IF($B$4=0,0,S33_Project_Deductions!E20*$B$4/S08_Defaults!$B$14)</x:f>
        <x:v>1681.4828739082714</x:v>
      </x:c>
      <x:c r="F36" s="100" t="n">
        <x:f aca="0">S08_Defaults!$B$9</x:f>
        <x:v>0.2</x:v>
      </x:c>
      <x:c r="G36" s="100" t="n">
        <x:f aca="0">C36*(1-F36)-D36-E36</x:f>
        <x:v>30991.33415965482</x:v>
      </x:c>
      <x:c r="H36" s="100" t="n">
        <x:f aca="0">G36-G35</x:f>
        <x:v>2180.107119919019</x:v>
      </x:c>
      <x:c r="I36" s="100" t="n">
        <x:f aca="0">H36/1</x:f>
        <x:v>2180.107119919019</x:v>
      </x:c>
      <x:c r="J36" s="100" t="n">
        <x:f aca="0">B36-D36-E36</x:f>
        <x:v>63213.412357005116</x:v>
      </x:c>
      <x:c r="K36" s="100" t="n">
        <x:f aca="0">B36</x:f>
        <x:v>71625.54902773893</x:v>
      </x:c>
      <x:c r="L36" s="100" t="n">
        <x:f aca="0">0</x:f>
        <x:v>0</x:v>
      </x:c>
      <x:c r="M36" s="100" t="n">
        <x:f aca="0">IF(AND(A36&gt;=S08_Defaults!$B$11,A36&lt;=S08_Defaults!$B$12),J36,0)</x:f>
        <x:v>63213.412357005116</x:v>
      </x:c>
      <x:c r="N36" s="100" t="n">
        <x:f aca="0">IF(AND(A36&gt;=S08_Defaults!$B$11,A36&lt;=S08_Defaults!$B$12),K36-L36,0)</x:f>
        <x:v>71625.54902773893</x:v>
      </x:c>
      <x:c r="O36" s="37" t="s">
        <x:v>1271</x:v>
      </x:c>
    </x:row>
    <x:row r="37" ht="15" hidden="0" customHeight="1">
      <x:c r="A37" s="37" t="n">
        <x:v>2037</x:v>
      </x:c>
      <x:c r="B37" s="100" t="n">
        <x:f aca="0">SUM(S19_Moist_Broadleaf_ER!W8,S19_Moist_Broadleaf_ER!W9,S19_Moist_Broadleaf_ER!W10,S19_Moist_Broadleaf_ER!W11)</x:f>
        <x:v>75959.46510804824</x:v>
      </x:c>
      <x:c r="C37" s="100" t="n">
        <x:f aca="0">SUM(S19_Moist_Broadleaf_ER!AR8,S19_Moist_Broadleaf_ER!AR9,S19_Moist_Broadleaf_ER!AR10,S19_Moist_Broadleaf_ER!AR11)</x:f>
        <x:v>52234.6182386287</x:v>
      </x:c>
      <x:c r="D37" s="100" t="n">
        <x:f aca="0">IF($B$4=0,0,S33_Project_Deductions!D21*$B$4/S08_Defaults!$B$14)</x:f>
        <x:v>7180.286398322243</x:v>
      </x:c>
      <x:c r="E37" s="100" t="n">
        <x:f aca="0">IF($B$4=0,0,S33_Project_Deductions!E21*$B$4/S08_Defaults!$B$14)</x:f>
        <x:v>1681.4828739082714</x:v>
      </x:c>
      <x:c r="F37" s="100" t="n">
        <x:f aca="0">S08_Defaults!$B$9</x:f>
        <x:v>0.2</x:v>
      </x:c>
      <x:c r="G37" s="100" t="n">
        <x:f aca="0">C37*(1-F37)-D37-E37</x:f>
        <x:v>32925.925318672445</x:v>
      </x:c>
      <x:c r="H37" s="100" t="n">
        <x:f aca="0">G37-G36</x:f>
        <x:v>1934.5911590176256</x:v>
      </x:c>
      <x:c r="I37" s="100" t="n">
        <x:f aca="0">H37/1</x:f>
        <x:v>1934.5911590176256</x:v>
      </x:c>
      <x:c r="J37" s="100" t="n">
        <x:f aca="0">B37-D37-E37</x:f>
        <x:v>67097.69583581772</x:v>
      </x:c>
      <x:c r="K37" s="100" t="n">
        <x:f aca="0">B37</x:f>
        <x:v>75959.46510804824</x:v>
      </x:c>
      <x:c r="L37" s="100" t="n">
        <x:f aca="0">0</x:f>
        <x:v>0</x:v>
      </x:c>
      <x:c r="M37" s="100" t="n">
        <x:f aca="0">IF(AND(A37&gt;=S08_Defaults!$B$11,A37&lt;=S08_Defaults!$B$12),J37,0)</x:f>
        <x:v>67097.69583581772</x:v>
      </x:c>
      <x:c r="N37" s="100" t="n">
        <x:f aca="0">IF(AND(A37&gt;=S08_Defaults!$B$11,A37&lt;=S08_Defaults!$B$12),K37-L37,0)</x:f>
        <x:v>75959.46510804824</x:v>
      </x:c>
      <x:c r="O37" s="37" t="s">
        <x:v>1271</x:v>
      </x:c>
    </x:row>
    <x:row r="38" ht="15" hidden="0" customHeight="1">
      <x:c r="A38" s="37" t="n">
        <x:v>2038</x:v>
      </x:c>
      <x:c r="B38" s="100" t="n">
        <x:f aca="0">SUM(S19_Moist_Broadleaf_ER!X8,S19_Moist_Broadleaf_ER!X9,S19_Moist_Broadleaf_ER!X10,S19_Moist_Broadleaf_ER!X11)</x:f>
        <x:v>79864.26356374667</x:v>
      </x:c>
      <x:c r="C38" s="100" t="n">
        <x:f aca="0">SUM(S19_Moist_Broadleaf_ER!AS8,S19_Moist_Broadleaf_ER!AS9,S19_Moist_Broadleaf_ER!AS10,S19_Moist_Broadleaf_ER!AS11)</x:f>
        <x:v>54919.8090353525</x:v>
      </x:c>
      <x:c r="D38" s="100" t="n">
        <x:f aca="0">IF($B$4=0,0,S33_Project_Deductions!D22*$B$4/S08_Defaults!$B$14)</x:f>
        <x:v>7629.918999818946</x:v>
      </x:c>
      <x:c r="E38" s="100" t="n">
        <x:f aca="0">IF($B$4=0,0,S33_Project_Deductions!E22*$B$4/S08_Defaults!$B$14)</x:f>
        <x:v>1681.4828739082714</x:v>
      </x:c>
      <x:c r="F38" s="100" t="n">
        <x:f aca="0">S08_Defaults!$B$9</x:f>
        <x:v>0.2</x:v>
      </x:c>
      <x:c r="G38" s="100" t="n">
        <x:f aca="0">C38*(1-F38)-D38-E38</x:f>
        <x:v>34624.44535455478</x:v>
      </x:c>
      <x:c r="H38" s="100" t="n">
        <x:f aca="0">G38-G37</x:f>
        <x:v>1698.520035882335</x:v>
      </x:c>
      <x:c r="I38" s="100" t="n">
        <x:f aca="0">H38/1</x:f>
        <x:v>1698.520035882335</x:v>
      </x:c>
      <x:c r="J38" s="100" t="n">
        <x:f aca="0">B38-D38-E38</x:f>
        <x:v>70552.86169001946</x:v>
      </x:c>
      <x:c r="K38" s="100" t="n">
        <x:f aca="0">B38</x:f>
        <x:v>79864.26356374667</x:v>
      </x:c>
      <x:c r="L38" s="100" t="n">
        <x:f aca="0">0</x:f>
        <x:v>0</x:v>
      </x:c>
      <x:c r="M38" s="100" t="n">
        <x:f aca="0">IF(AND(A38&gt;=S08_Defaults!$B$11,A38&lt;=S08_Defaults!$B$12),J38,0)</x:f>
        <x:v>70552.86169001946</x:v>
      </x:c>
      <x:c r="N38" s="100" t="n">
        <x:f aca="0">IF(AND(A38&gt;=S08_Defaults!$B$11,A38&lt;=S08_Defaults!$B$12),K38-L38,0)</x:f>
        <x:v>79864.26356374667</x:v>
      </x:c>
      <x:c r="O38" s="37" t="s">
        <x:v>1271</x:v>
      </x:c>
    </x:row>
    <x:row r="39" ht="15" hidden="0" customHeight="1">
      <x:c r="A39" s="37" t="n">
        <x:v>2039</x:v>
      </x:c>
      <x:c r="B39" s="100" t="n">
        <x:f aca="0">SUM(S19_Moist_Broadleaf_ER!Y8,S19_Moist_Broadleaf_ER!Y9,S19_Moist_Broadleaf_ER!Y10,S19_Moist_Broadleaf_ER!Y11)</x:f>
        <x:v>83364.49896482337</x:v>
      </x:c>
      <x:c r="C39" s="100" t="n">
        <x:f aca="0">SUM(S19_Moist_Broadleaf_ER!AT8,S19_Moist_Broadleaf_ER!AT9,S19_Moist_Broadleaf_ER!AT10,S19_Moist_Broadleaf_ER!AT11)</x:f>
        <x:v>57326.79623122735</x:v>
      </x:c>
      <x:c r="D39" s="100" t="n">
        <x:f aca="0">IF($B$4=0,0,S33_Project_Deductions!D23*$B$4/S08_Defaults!$B$14)</x:f>
        <x:v>8079.551601315649</x:v>
      </x:c>
      <x:c r="E39" s="100" t="n">
        <x:f aca="0">IF($B$4=0,0,S33_Project_Deductions!E23*$B$4/S08_Defaults!$B$14)</x:f>
        <x:v>1681.4828739082714</x:v>
      </x:c>
      <x:c r="F39" s="100" t="n">
        <x:f aca="0">S08_Defaults!$B$9</x:f>
        <x:v>0.2</x:v>
      </x:c>
      <x:c r="G39" s="100" t="n">
        <x:f aca="0">C39*(1-F39)-D39-E39</x:f>
        <x:v>36100.40250975796</x:v>
      </x:c>
      <x:c r="H39" s="100" t="n">
        <x:f aca="0">G39-G38</x:f>
        <x:v>1475.9571552031775</x:v>
      </x:c>
      <x:c r="I39" s="100" t="n">
        <x:f aca="0">H39/1</x:f>
        <x:v>1475.9571552031775</x:v>
      </x:c>
      <x:c r="J39" s="100" t="n">
        <x:f aca="0">B39-D39-E39</x:f>
        <x:v>73603.46448959946</x:v>
      </x:c>
      <x:c r="K39" s="100" t="n">
        <x:f aca="0">B39</x:f>
        <x:v>83364.49896482337</x:v>
      </x:c>
      <x:c r="L39" s="100" t="n">
        <x:f aca="0">0</x:f>
        <x:v>0</x:v>
      </x:c>
      <x:c r="M39" s="100" t="n">
        <x:f aca="0">IF(AND(A39&gt;=S08_Defaults!$B$11,A39&lt;=S08_Defaults!$B$12),J39,0)</x:f>
        <x:v>73603.46448959946</x:v>
      </x:c>
      <x:c r="N39" s="100" t="n">
        <x:f aca="0">IF(AND(A39&gt;=S08_Defaults!$B$11,A39&lt;=S08_Defaults!$B$12),K39-L39,0)</x:f>
        <x:v>83364.49896482337</x:v>
      </x:c>
      <x:c r="O39" s="37" t="s">
        <x:v>1271</x:v>
      </x:c>
    </x:row>
    <x:row r="40" ht="15" hidden="0" customHeight="1">
      <x:c r="A40" s="37" t="n">
        <x:v>2040</x:v>
      </x:c>
      <x:c r="B40" s="100" t="n">
        <x:f aca="0">SUM(S19_Moist_Broadleaf_ER!Z8,S19_Moist_Broadleaf_ER!Z9,S19_Moist_Broadleaf_ER!Z10,S19_Moist_Broadleaf_ER!Z11)</x:f>
        <x:v>86488.97975322751</x:v>
      </x:c>
      <x:c r="C40" s="100" t="n">
        <x:f aca="0">SUM(S19_Moist_Broadleaf_ER!AU8,S19_Moist_Broadleaf_ER!AU9,S19_Moist_Broadleaf_ER!AU10,S19_Moist_Broadleaf_ER!AU11)</x:f>
        <x:v>59475.390365533975</x:v>
      </x:c>
      <x:c r="D40" s="100" t="n">
        <x:f aca="0">IF($B$4=0,0,S33_Project_Deductions!D24*$B$4/S08_Defaults!$B$14)</x:f>
        <x:v>8529.184202812352</x:v>
      </x:c>
      <x:c r="E40" s="100" t="n">
        <x:f aca="0">IF($B$4=0,0,S33_Project_Deductions!E24*$B$4/S08_Defaults!$B$14)</x:f>
        <x:v>1681.4828739082714</x:v>
      </x:c>
      <x:c r="F40" s="100" t="n">
        <x:f aca="0">S08_Defaults!$B$9</x:f>
        <x:v>0.2</x:v>
      </x:c>
      <x:c r="G40" s="100" t="n">
        <x:f aca="0">C40*(1-F40)-D40-E40</x:f>
        <x:v>37369.64521570656</x:v>
      </x:c>
      <x:c r="H40" s="100" t="n">
        <x:f aca="0">G40-G39</x:f>
        <x:v>1269.2427059486</x:v>
      </x:c>
      <x:c r="I40" s="100" t="n">
        <x:f aca="0">H40/1</x:f>
        <x:v>1269.2427059486</x:v>
      </x:c>
      <x:c r="J40" s="100" t="n">
        <x:f aca="0">B40-D40-E40</x:f>
        <x:v>76278.31267650689</x:v>
      </x:c>
      <x:c r="K40" s="100" t="n">
        <x:f aca="0">B40</x:f>
        <x:v>86488.97975322751</x:v>
      </x:c>
      <x:c r="L40" s="100" t="n">
        <x:f aca="0">0</x:f>
        <x:v>0</x:v>
      </x:c>
      <x:c r="M40" s="100" t="n">
        <x:f aca="0">IF(AND(A40&gt;=S08_Defaults!$B$11,A40&lt;=S08_Defaults!$B$12),J40,0)</x:f>
        <x:v>76278.31267650689</x:v>
      </x:c>
      <x:c r="N40" s="100" t="n">
        <x:f aca="0">IF(AND(A40&gt;=S08_Defaults!$B$11,A40&lt;=S08_Defaults!$B$12),K40-L40,0)</x:f>
        <x:v>86488.97975322751</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Moist Broadleaf Forests | Horti-Silviculture (4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15" hidden="0" customHeight="1">
      <x:c r="A46" s="125" t="s">
        <x:v>585</x:v>
      </x:c>
      <x:c r="B46" s="198" t="s">
        <x:v>542</x:v>
      </x:c>
      <x:c r="C46" s="198" t="n">
        <x:v>2020</x:v>
      </x:c>
      <x:c r="D46" s="198" t="n">
        <x:v>0.806</x:v>
      </x:c>
      <x:c r="E46" s="198" t="s">
        <x:v>586</x:v>
      </x:c>
      <x:c r="F46" s="198" t="s">
        <x:v>584</x:v>
      </x:c>
      <x:c r="G46" s="1"/>
      <x:c r="H46" s="1"/>
      <x:c r="I46" s="1"/>
      <x:c r="J46" s="1"/>
      <x:c r="K46" s="1"/>
      <x:c r="L46" s="1"/>
      <x:c r="M46" s="1"/>
      <x:c r="N46" s="1"/>
      <x:c r="O46" s="1"/>
    </x:row>
    <x:row r="47" ht="15" hidden="0" customHeight="1">
      <x:c r="A47" s="125" t="s">
        <x:v>619</x:v>
      </x:c>
      <x:c r="B47" s="198" t="s">
        <x:v>549</x:v>
      </x:c>
      <x:c r="C47" s="198" t="n">
        <x:v>2022</x:v>
      </x:c>
      <x:c r="D47" s="198" t="n">
        <x:v>1.3742</x:v>
      </x:c>
      <x:c r="E47" s="198" t="s">
        <x:v>620</x:v>
      </x:c>
      <x:c r="F47" s="198" t="s">
        <x:v>621</x:v>
      </x:c>
      <x:c r="G47" s="1"/>
      <x:c r="H47" s="1"/>
      <x:c r="I47" s="1"/>
      <x:c r="J47" s="1"/>
      <x:c r="K47" s="1"/>
      <x:c r="L47" s="1"/>
      <x:c r="M47" s="1"/>
      <x:c r="N47" s="1"/>
      <x:c r="O47" s="1"/>
    </x:row>
    <x:row r="48" ht="21.75" hidden="0" customHeight="1">
      <x:c r="A48" s="125" t="s">
        <x:v>603</x:v>
      </x:c>
      <x:c r="B48" s="198" t="s">
        <x:v>553</x:v>
      </x:c>
      <x:c r="C48" s="198" t="n">
        <x:v>2020</x:v>
      </x:c>
      <x:c r="D48" s="198" t="n">
        <x:v>1.2205</x:v>
      </x:c>
      <x:c r="E48" s="198" t="s">
        <x:v>604</x:v>
      </x:c>
      <x:c r="F48" s="198" t="s">
        <x:v>600</x:v>
      </x:c>
      <x:c r="G48" s="1"/>
      <x:c r="H48" s="1"/>
      <x:c r="I48" s="1"/>
      <x:c r="J48" s="1"/>
      <x:c r="K48" s="1"/>
      <x:c r="L48" s="1"/>
      <x:c r="M48" s="1"/>
      <x:c r="N48" s="1"/>
      <x:c r="O48" s="1"/>
    </x:row>
    <x:row r="49" ht="21.75" hidden="0" customHeight="1">
      <x:c r="A49" s="125" t="s">
        <x:v>622</x:v>
      </x:c>
      <x:c r="B49" s="198" t="s">
        <x:v>553</x:v>
      </x:c>
      <x:c r="C49" s="198" t="n">
        <x:v>2023</x:v>
      </x:c>
      <x:c r="D49" s="198" t="n">
        <x:v>0.607</x:v>
      </x:c>
      <x:c r="E49" s="198" t="s">
        <x:v>620</x:v>
      </x:c>
      <x:c r="F49" s="198" t="s">
        <x:v>623</x:v>
      </x:c>
      <x:c r="G49" s="1"/>
      <x:c r="H49" s="1"/>
      <x:c r="I49" s="1"/>
      <x:c r="J49" s="1"/>
      <x:c r="K49" s="1"/>
      <x:c r="L49" s="1"/>
      <x:c r="M49" s="1"/>
      <x:c r="N49" s="1"/>
      <x:c r="O49" s="1"/>
    </x:row>
  </x:sheetData>
  <x:mergeCells>
    <x:mergeCell ref="A1:N1"/>
    <x:mergeCell ref="A43:F43"/>
    <x:mergeCell ref="A44:F44"/>
  </x:mergeCells>
  <x:pageMargins left="0.7" right="0.7" top="0.75" bottom="0.75" header="0.3" footer="0.3"/>
</x:worksheet>
</file>

<file path=xl/worksheets/sheet27.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Moist Broadleaf Forests | Timber Plantation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SUM(S19_Moist_Broadleaf_ER!C12,S19_Moist_Broadleaf_ER!C13,S19_Moist_Broadleaf_ER!C14,S19_Moist_Broadleaf_ER!C15)</x:f>
        <x:v>27.4189</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5862.742921605666</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4785.986522891837</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5488.992217625854</x:v>
      </x:c>
      <x:c r="C7" s="37" t="s">
        <x:v>151</x:v>
      </x:c>
      <x:c r="D7" s="37" t="s">
        <x:v>1242</x:v>
      </x:c>
      <x:c r="E7" s="1"/>
      <x:c r="F7" s="1"/>
      <x:c r="G7" s="1"/>
      <x:c r="H7" s="1"/>
      <x:c r="I7" s="1"/>
      <x:c r="J7" s="1"/>
      <x:c r="K7" s="1"/>
      <x:c r="L7" s="1"/>
      <x:c r="M7" s="1"/>
      <x:c r="N7" s="1"/>
      <x:c r="O7" s="1"/>
    </x:row>
    <x:row r="8" ht="15" hidden="0" customHeight="1">
      <x:c r="A8" s="193" t="s">
        <x:v>1243</x:v>
      </x:c>
      <x:c r="B8" s="194" t="n">
        <x:f aca="0">MAX(0,MIN(B5,B6))</x:f>
        <x:v>4785.986522891837</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4785.986522891837</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957.1973045783675</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3828.7892183134695</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139.64051141050405</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6.982025570525202</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IF(AND("Tropical &amp; Subtropical Moist Broadleaf Forests"="Tropical &amp; Subtropical Dry Broadleaf Forests","Timber Plantation"="Timber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SUM(S19_Moist_Broadleaf_ER!F12,S19_Moist_Broadleaf_ER!F13,S19_Moist_Broadleaf_ER!F14,S19_Moist_Broadleaf_ER!F15)</x:f>
        <x:v>0</x:v>
      </x:c>
      <x:c r="C20" s="100" t="n">
        <x:f aca="0">SUM(S19_Moist_Broadleaf_ER!AA12,S19_Moist_Broadleaf_ER!AA13,S19_Moist_Broadleaf_ER!AA14,S19_Moist_Broadleaf_ER!AA15)</x:f>
        <x:v>0</x:v>
      </x:c>
      <x:c r="D20" s="100" t="n">
        <x:f aca="0">IF($B$4=0,0,S33_Project_Deductions!D4*$B$4/S08_Defaults!$B$14)</x:f>
        <x:v>8.94898746640961</x:v>
      </x:c>
      <x:c r="E20" s="100" t="n">
        <x:f aca="0">IF($B$4=0,0,S33_Project_Deductions!E4*$B$4/S08_Defaults!$B$14)</x:f>
        <x:v>40.94903521995212</x:v>
      </x:c>
      <x:c r="F20" s="100" t="n">
        <x:f aca="0">S08_Defaults!$B$9</x:f>
        <x:v>0.2</x:v>
      </x:c>
      <x:c r="G20" s="100" t="n">
        <x:f aca="0">C20*(1-F20)-D20-E20</x:f>
        <x:v>-49.898022686361735</x:v>
      </x:c>
      <x:c r="H20" s="100" t="n">
        <x:f aca="0">G20</x:f>
        <x:v>-49.898022686361735</x:v>
      </x:c>
      <x:c r="I20" s="100" t="n">
        <x:f aca="0">H20/1</x:f>
        <x:v>-49.898022686361735</x:v>
      </x:c>
      <x:c r="J20" s="100" t="n">
        <x:f aca="0">B20-D20-E20</x:f>
        <x:v>-49.898022686361735</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SUM(S19_Moist_Broadleaf_ER!G12,S19_Moist_Broadleaf_ER!G13,S19_Moist_Broadleaf_ER!G14,S19_Moist_Broadleaf_ER!G15)</x:f>
        <x:v>3.0167678121518615</x:v>
      </x:c>
      <x:c r="C21" s="100" t="n">
        <x:f aca="0">SUM(S19_Moist_Broadleaf_ER!AB12,S19_Moist_Broadleaf_ER!AB13,S19_Moist_Broadleaf_ER!AB14,S19_Moist_Broadleaf_ER!AB15)</x:f>
        <x:v>2.0745237576144984</x:v>
      </x:c>
      <x:c r="D21" s="100" t="n">
        <x:f aca="0">IF($B$4=0,0,S33_Project_Deductions!D5*$B$4/S08_Defaults!$B$14)</x:f>
        <x:v>29.1397751028469</x:v>
      </x:c>
      <x:c r="E21" s="100" t="n">
        <x:f aca="0">IF($B$4=0,0,S33_Project_Deductions!E5*$B$4/S08_Defaults!$B$14)</x:f>
        <x:v>80.79584042265445</x:v>
      </x:c>
      <x:c r="F21" s="100" t="n">
        <x:f aca="0">S08_Defaults!$B$9</x:f>
        <x:v>0.2</x:v>
      </x:c>
      <x:c r="G21" s="100" t="n">
        <x:f aca="0">C21*(1-F21)-D21-E21</x:f>
        <x:v>-108.27599651940974</x:v>
      </x:c>
      <x:c r="H21" s="100" t="n">
        <x:f aca="0">G21-G20</x:f>
        <x:v>-58.37797383304801</x:v>
      </x:c>
      <x:c r="I21" s="100" t="n">
        <x:f aca="0">H21/1</x:f>
        <x:v>-58.37797383304801</x:v>
      </x:c>
      <x:c r="J21" s="100" t="n">
        <x:f aca="0">B21-D21-E21</x:f>
        <x:v>-106.91884771334949</x:v>
      </x:c>
      <x:c r="K21" s="100" t="n">
        <x:f aca="0">B21</x:f>
        <x:v>3.0167678121518615</x:v>
      </x:c>
      <x:c r="L21" s="100" t="n">
        <x:f aca="0">0</x:f>
        <x:v>0</x:v>
      </x:c>
      <x:c r="M21" s="100" t="n">
        <x:f aca="0">IF(AND(A21&gt;=S08_Defaults!$B$11,A21&lt;=S08_Defaults!$B$12),J21,0)</x:f>
        <x:v>-106.91884771334949</x:v>
      </x:c>
      <x:c r="N21" s="100" t="n">
        <x:f aca="0">IF(AND(A21&gt;=S08_Defaults!$B$11,A21&lt;=S08_Defaults!$B$12),K21-L21,0)</x:f>
        <x:v>3.0167678121518615</x:v>
      </x:c>
      <x:c r="O21" s="37" t="s">
        <x:v>1271</x:v>
      </x:c>
    </x:row>
    <x:row r="22" ht="15" hidden="0" customHeight="1">
      <x:c r="A22" s="37" t="n">
        <x:v>2022</x:v>
      </x:c>
      <x:c r="B22" s="100" t="n">
        <x:f aca="0">SUM(S19_Moist_Broadleaf_ER!H12,S19_Moist_Broadleaf_ER!H13,S19_Moist_Broadleaf_ER!H14,S19_Moist_Broadleaf_ER!H15)</x:f>
        <x:v>32.807692777428535</x:v>
      </x:c>
      <x:c r="C22" s="100" t="n">
        <x:f aca="0">SUM(S19_Moist_Broadleaf_ER!AC12,S19_Moist_Broadleaf_ER!AC13,S19_Moist_Broadleaf_ER!AC14,S19_Moist_Broadleaf_ER!AC15)</x:f>
        <x:v>22.56068160934985</x:v>
      </x:c>
      <x:c r="D22" s="100" t="n">
        <x:f aca="0">IF($B$4=0,0,S33_Project_Deductions!D6*$B$4/S08_Defaults!$B$14)</x:f>
        <x:v>62.475737481493844</x:v>
      </x:c>
      <x:c r="E22" s="100" t="n">
        <x:f aca="0">IF($B$4=0,0,S33_Project_Deductions!E6*$B$4/S08_Defaults!$B$14)</x:f>
        <x:v>121.49739705914963</x:v>
      </x:c>
      <x:c r="F22" s="100" t="n">
        <x:f aca="0">S08_Defaults!$B$9</x:f>
        <x:v>0.2</x:v>
      </x:c>
      <x:c r="G22" s="100" t="n">
        <x:f aca="0">C22*(1-F22)-D22-E22</x:f>
        <x:v>-165.92458925316362</x:v>
      </x:c>
      <x:c r="H22" s="100" t="n">
        <x:f aca="0">G22-G21</x:f>
        <x:v>-57.64859273375387</x:v>
      </x:c>
      <x:c r="I22" s="100" t="n">
        <x:f aca="0">H22/1</x:f>
        <x:v>-57.64859273375387</x:v>
      </x:c>
      <x:c r="J22" s="100" t="n">
        <x:f aca="0">B22-D22-E22</x:f>
        <x:v>-151.16544176321494</x:v>
      </x:c>
      <x:c r="K22" s="100" t="n">
        <x:f aca="0">B22</x:f>
        <x:v>32.807692777428535</x:v>
      </x:c>
      <x:c r="L22" s="100" t="n">
        <x:f aca="0">0</x:f>
        <x:v>0</x:v>
      </x:c>
      <x:c r="M22" s="100" t="n">
        <x:f aca="0">IF(AND(A22&gt;=S08_Defaults!$B$11,A22&lt;=S08_Defaults!$B$12),J22,0)</x:f>
        <x:v>-151.16544176321494</x:v>
      </x:c>
      <x:c r="N22" s="100" t="n">
        <x:f aca="0">IF(AND(A22&gt;=S08_Defaults!$B$11,A22&lt;=S08_Defaults!$B$12),K22-L22,0)</x:f>
        <x:v>32.807692777428535</x:v>
      </x:c>
      <x:c r="O22" s="37" t="s">
        <x:v>1271</x:v>
      </x:c>
    </x:row>
    <x:row r="23" ht="15" hidden="0" customHeight="1">
      <x:c r="A23" s="37" t="n">
        <x:v>2023</x:v>
      </x:c>
      <x:c r="B23" s="100" t="n">
        <x:f aca="0">SUM(S19_Moist_Broadleaf_ER!I12,S19_Moist_Broadleaf_ER!I13,S19_Moist_Broadleaf_ER!I14,S19_Moist_Broadleaf_ER!I15)</x:f>
        <x:v>133.4334865765312</x:v>
      </x:c>
      <x:c r="C23" s="100" t="n">
        <x:f aca="0">SUM(S19_Moist_Broadleaf_ER!AD12,S19_Moist_Broadleaf_ER!AD13,S19_Moist_Broadleaf_ER!AD14,S19_Moist_Broadleaf_ER!AD15)</x:f>
        <x:v>91.75745539624407</x:v>
      </x:c>
      <x:c r="D23" s="100" t="n">
        <x:f aca="0">IF($B$4=0,0,S33_Project_Deductions!D7*$B$4/S08_Defaults!$B$14)</x:f>
        <x:v>109.28036223480248</x:v>
      </x:c>
      <x:c r="E23" s="100" t="n">
        <x:f aca="0">IF($B$4=0,0,S33_Project_Deductions!E7*$B$4/S08_Defaults!$B$14)</x:f>
        <x:v>162.37277923932012</x:v>
      </x:c>
      <x:c r="F23" s="100" t="n">
        <x:f aca="0">S08_Defaults!$B$9</x:f>
        <x:v>0.2</x:v>
      </x:c>
      <x:c r="G23" s="100" t="n">
        <x:f aca="0">C23*(1-F23)-D23-E23</x:f>
        <x:v>-198.24717715712734</x:v>
      </x:c>
      <x:c r="H23" s="100" t="n">
        <x:f aca="0">G23-G22</x:f>
        <x:v>-32.32258790396372</x:v>
      </x:c>
      <x:c r="I23" s="100" t="n">
        <x:f aca="0">H23/1</x:f>
        <x:v>-32.32258790396372</x:v>
      </x:c>
      <x:c r="J23" s="100" t="n">
        <x:f aca="0">B23-D23-E23</x:f>
        <x:v>-138.2196548975914</x:v>
      </x:c>
      <x:c r="K23" s="100" t="n">
        <x:f aca="0">B23</x:f>
        <x:v>133.4334865765312</x:v>
      </x:c>
      <x:c r="L23" s="100" t="n">
        <x:f aca="0">0</x:f>
        <x:v>0</x:v>
      </x:c>
      <x:c r="M23" s="100" t="n">
        <x:f aca="0">IF(AND(A23&gt;=S08_Defaults!$B$11,A23&lt;=S08_Defaults!$B$12),J23,0)</x:f>
        <x:v>-138.2196548975914</x:v>
      </x:c>
      <x:c r="N23" s="100" t="n">
        <x:f aca="0">IF(AND(A23&gt;=S08_Defaults!$B$11,A23&lt;=S08_Defaults!$B$12),K23-L23,0)</x:f>
        <x:v>133.4334865765312</x:v>
      </x:c>
      <x:c r="O23" s="37" t="s">
        <x:v>1271</x:v>
      </x:c>
    </x:row>
    <x:row r="24" ht="15" hidden="0" customHeight="1">
      <x:c r="A24" s="37" t="n">
        <x:v>2024</x:v>
      </x:c>
      <x:c r="B24" s="100" t="n">
        <x:f aca="0">SUM(S19_Moist_Broadleaf_ER!J12,S19_Moist_Broadleaf_ER!J13,S19_Moist_Broadleaf_ER!J14,S19_Moist_Broadleaf_ER!J15)</x:f>
        <x:v>348.45545446219927</x:v>
      </x:c>
      <x:c r="C24" s="100" t="n">
        <x:f aca="0">SUM(S19_Moist_Broadleaf_ER!AE12,S19_Moist_Broadleaf_ER!AE13,S19_Moist_Broadleaf_ER!AE14,S19_Moist_Broadleaf_ER!AE15)</x:f>
        <x:v>239.62040294926092</x:v>
      </x:c>
      <x:c r="D24" s="100" t="n">
        <x:f aca="0">IF($B$4=0,0,S33_Project_Deductions!D8*$B$4/S08_Defaults!$B$14)</x:f>
        <x:v>160.62735802712749</x:v>
      </x:c>
      <x:c r="E24" s="100" t="n">
        <x:f aca="0">IF($B$4=0,0,S33_Project_Deductions!E8*$B$4/S08_Defaults!$B$14)</x:f>
        <x:v>201.8135535289625</x:v>
      </x:c>
      <x:c r="F24" s="100" t="n">
        <x:f aca="0">S08_Defaults!$B$9</x:f>
        <x:v>0.2</x:v>
      </x:c>
      <x:c r="G24" s="100" t="n">
        <x:f aca="0">C24*(1-F24)-D24-E24</x:f>
        <x:v>-170.74458919668123</x:v>
      </x:c>
      <x:c r="H24" s="100" t="n">
        <x:f aca="0">G24-G23</x:f>
        <x:v>27.502587960446107</x:v>
      </x:c>
      <x:c r="I24" s="100" t="n">
        <x:f aca="0">H24/1</x:f>
        <x:v>27.502587960446107</x:v>
      </x:c>
      <x:c r="J24" s="100" t="n">
        <x:f aca="0">B24-D24-E24</x:f>
        <x:v>-13.985457093890716</x:v>
      </x:c>
      <x:c r="K24" s="100" t="n">
        <x:f aca="0">B24</x:f>
        <x:v>348.45545446219927</x:v>
      </x:c>
      <x:c r="L24" s="100" t="n">
        <x:f aca="0">0</x:f>
        <x:v>0</x:v>
      </x:c>
      <x:c r="M24" s="100" t="n">
        <x:f aca="0">IF(AND(A24&gt;=S08_Defaults!$B$11,A24&lt;=S08_Defaults!$B$12),J24,0)</x:f>
        <x:v>-13.985457093890716</x:v>
      </x:c>
      <x:c r="N24" s="100" t="n">
        <x:f aca="0">IF(AND(A24&gt;=S08_Defaults!$B$11,A24&lt;=S08_Defaults!$B$12),K24-L24,0)</x:f>
        <x:v>348.45545446219927</x:v>
      </x:c>
      <x:c r="O24" s="37" t="s">
        <x:v>1271</x:v>
      </x:c>
    </x:row>
    <x:row r="25" ht="15" hidden="0" customHeight="1">
      <x:c r="A25" s="37" t="n">
        <x:v>2025</x:v>
      </x:c>
      <x:c r="B25" s="100" t="n">
        <x:f aca="0">SUM(S19_Moist_Broadleaf_ER!K12,S19_Moist_Broadleaf_ER!K13,S19_Moist_Broadleaf_ER!K14,S19_Moist_Broadleaf_ER!K15)</x:f>
        <x:v>711.1412354836242</x:v>
      </x:c>
      <x:c r="C25" s="100" t="n">
        <x:f aca="0">SUM(S19_Moist_Broadleaf_ER!AF12,S19_Moist_Broadleaf_ER!AF13,S19_Moist_Broadleaf_ER!AF14,S19_Moist_Broadleaf_ER!AF15)</x:f>
        <x:v>489.026494544102</x:v>
      </x:c>
      <x:c r="D25" s="100" t="n">
        <x:f aca="0">IF($B$4=0,0,S33_Project_Deductions!D9*$B$4/S08_Defaults!$B$14)</x:f>
        <x:v>214.22391215485075</x:v>
      </x:c>
      <x:c r="E25" s="100" t="n">
        <x:f aca="0">IF($B$4=0,0,S33_Project_Deductions!E9*$B$4/S08_Defaults!$B$14)</x:f>
        <x:v>201.8135535289625</x:v>
      </x:c>
      <x:c r="F25" s="100" t="n">
        <x:f aca="0">S08_Defaults!$B$9</x:f>
        <x:v>0.2</x:v>
      </x:c>
      <x:c r="G25" s="100" t="n">
        <x:f aca="0">C25*(1-F25)-D25-E25</x:f>
        <x:v>-24.816270048531635</x:v>
      </x:c>
      <x:c r="H25" s="100" t="n">
        <x:f aca="0">G25-G24</x:f>
        <x:v>145.9283191481496</x:v>
      </x:c>
      <x:c r="I25" s="100" t="n">
        <x:f aca="0">H25/1</x:f>
        <x:v>145.9283191481496</x:v>
      </x:c>
      <x:c r="J25" s="100" t="n">
        <x:f aca="0">B25-D25-E25</x:f>
        <x:v>295.10376979981095</x:v>
      </x:c>
      <x:c r="K25" s="100" t="n">
        <x:f aca="0">B25</x:f>
        <x:v>711.1412354836242</x:v>
      </x:c>
      <x:c r="L25" s="100" t="n">
        <x:f aca="0">0</x:f>
        <x:v>0</x:v>
      </x:c>
      <x:c r="M25" s="100" t="n">
        <x:f aca="0">IF(AND(A25&gt;=S08_Defaults!$B$11,A25&lt;=S08_Defaults!$B$12),J25,0)</x:f>
        <x:v>295.10376979981095</x:v>
      </x:c>
      <x:c r="N25" s="100" t="n">
        <x:f aca="0">IF(AND(A25&gt;=S08_Defaults!$B$11,A25&lt;=S08_Defaults!$B$12),K25-L25,0)</x:f>
        <x:v>711.1412354836242</x:v>
      </x:c>
      <x:c r="O25" s="37" t="s">
        <x:v>1271</x:v>
      </x:c>
    </x:row>
    <x:row r="26" ht="15" hidden="0" customHeight="1">
      <x:c r="A26" s="37" t="n">
        <x:v>2026</x:v>
      </x:c>
      <x:c r="B26" s="100" t="n">
        <x:f aca="0">SUM(S19_Moist_Broadleaf_ER!L12,S19_Moist_Broadleaf_ER!L13,S19_Moist_Broadleaf_ER!L14,S19_Moist_Broadleaf_ER!L15)</x:f>
        <x:v>1233.9236880363926</x:v>
      </x:c>
      <x:c r="C26" s="100" t="n">
        <x:f aca="0">SUM(S19_Moist_Broadleaf_ER!AG12,S19_Moist_Broadleaf_ER!AG13,S19_Moist_Broadleaf_ER!AG14,S19_Moist_Broadleaf_ER!AG15)</x:f>
        <x:v>848.5253640017088</x:v>
      </x:c>
      <x:c r="D26" s="100" t="n">
        <x:f aca="0">IF($B$4=0,0,S33_Project_Deductions!D10*$B$4/S08_Defaults!$B$14)</x:f>
        <x:v>268.1666500457903</x:v>
      </x:c>
      <x:c r="E26" s="100" t="n">
        <x:f aca="0">IF($B$4=0,0,S33_Project_Deductions!E10*$B$4/S08_Defaults!$B$14)</x:f>
        <x:v>201.8135535289625</x:v>
      </x:c>
      <x:c r="F26" s="100" t="n">
        <x:f aca="0">S08_Defaults!$B$9</x:f>
        <x:v>0.2</x:v>
      </x:c>
      <x:c r="G26" s="100" t="n">
        <x:f aca="0">C26*(1-F26)-D26-E26</x:f>
        <x:v>208.84008762661435</x:v>
      </x:c>
      <x:c r="H26" s="100" t="n">
        <x:f aca="0">G26-G25</x:f>
        <x:v>233.65635767514598</x:v>
      </x:c>
      <x:c r="I26" s="100" t="n">
        <x:f aca="0">H26/1</x:f>
        <x:v>233.65635767514598</x:v>
      </x:c>
      <x:c r="J26" s="100" t="n">
        <x:f aca="0">B26-D26-E26</x:f>
        <x:v>763.9434844616399</x:v>
      </x:c>
      <x:c r="K26" s="100" t="n">
        <x:f aca="0">B26</x:f>
        <x:v>1233.9236880363926</x:v>
      </x:c>
      <x:c r="L26" s="100" t="n">
        <x:f aca="0">0</x:f>
        <x:v>0</x:v>
      </x:c>
      <x:c r="M26" s="100" t="n">
        <x:f aca="0">IF(AND(A26&gt;=S08_Defaults!$B$11,A26&lt;=S08_Defaults!$B$12),J26,0)</x:f>
        <x:v>763.9434844616399</x:v>
      </x:c>
      <x:c r="N26" s="100" t="n">
        <x:f aca="0">IF(AND(A26&gt;=S08_Defaults!$B$11,A26&lt;=S08_Defaults!$B$12),K26-L26,0)</x:f>
        <x:v>1233.9236880363926</x:v>
      </x:c>
      <x:c r="O26" s="37" t="s">
        <x:v>1271</x:v>
      </x:c>
    </x:row>
    <x:row r="27" ht="15" hidden="0" customHeight="1">
      <x:c r="A27" s="37" t="n">
        <x:v>2027</x:v>
      </x:c>
      <x:c r="B27" s="100" t="n">
        <x:f aca="0">SUM(S19_Moist_Broadleaf_ER!M12,S19_Moist_Broadleaf_ER!M13,S19_Moist_Broadleaf_ER!M14,S19_Moist_Broadleaf_ER!M15)</x:f>
        <x:v>1907.0492569265996</x:v>
      </x:c>
      <x:c r="C27" s="100" t="n">
        <x:f aca="0">SUM(S19_Moist_Broadleaf_ER!AH12,S19_Moist_Broadleaf_ER!AH13,S19_Moist_Broadleaf_ER!AH14,S19_Moist_Broadleaf_ER!AH15)</x:f>
        <x:v>1311.4098388676903</x:v>
      </x:c>
      <x:c r="D27" s="100" t="n">
        <x:f aca="0">IF($B$4=0,0,S33_Project_Deductions!D11*$B$4/S08_Defaults!$B$14)</x:f>
        <x:v>322.1320840674941</x:v>
      </x:c>
      <x:c r="E27" s="100" t="n">
        <x:f aca="0">IF($B$4=0,0,S33_Project_Deductions!E11*$B$4/S08_Defaults!$B$14)</x:f>
        <x:v>201.8135535289625</x:v>
      </x:c>
      <x:c r="F27" s="100" t="n">
        <x:f aca="0">S08_Defaults!$B$9</x:f>
        <x:v>0.2</x:v>
      </x:c>
      <x:c r="G27" s="100" t="n">
        <x:f aca="0">C27*(1-F27)-D27-E27</x:f>
        <x:v>525.1822334976955</x:v>
      </x:c>
      <x:c r="H27" s="100" t="n">
        <x:f aca="0">G27-G26</x:f>
        <x:v>316.34214587108113</x:v>
      </x:c>
      <x:c r="I27" s="100" t="n">
        <x:f aca="0">H27/1</x:f>
        <x:v>316.34214587108113</x:v>
      </x:c>
      <x:c r="J27" s="100" t="n">
        <x:f aca="0">B27-D27-E27</x:f>
        <x:v>1383.103619330143</x:v>
      </x:c>
      <x:c r="K27" s="100" t="n">
        <x:f aca="0">B27</x:f>
        <x:v>1907.0492569265996</x:v>
      </x:c>
      <x:c r="L27" s="100" t="n">
        <x:f aca="0">0</x:f>
        <x:v>0</x:v>
      </x:c>
      <x:c r="M27" s="100" t="n">
        <x:f aca="0">IF(AND(A27&gt;=S08_Defaults!$B$11,A27&lt;=S08_Defaults!$B$12),J27,0)</x:f>
        <x:v>1383.103619330143</x:v>
      </x:c>
      <x:c r="N27" s="100" t="n">
        <x:f aca="0">IF(AND(A27&gt;=S08_Defaults!$B$11,A27&lt;=S08_Defaults!$B$12),K27-L27,0)</x:f>
        <x:v>1907.0492569265996</x:v>
      </x:c>
      <x:c r="O27" s="37" t="s">
        <x:v>1271</x:v>
      </x:c>
    </x:row>
    <x:row r="28" ht="15" hidden="0" customHeight="1">
      <x:c r="A28" s="37" t="n">
        <x:v>2028</x:v>
      </x:c>
      <x:c r="B28" s="100" t="n">
        <x:f aca="0">SUM(S19_Moist_Broadleaf_ER!N12,S19_Moist_Broadleaf_ER!N13,S19_Moist_Broadleaf_ER!N14,S19_Moist_Broadleaf_ER!N15)</x:f>
        <x:v>2704.7499741897964</x:v>
      </x:c>
      <x:c r="C28" s="100" t="n">
        <x:f aca="0">SUM(S19_Moist_Broadleaf_ER!AI12,S19_Moist_Broadleaf_ER!AI13,S19_Moist_Broadleaf_ER!AI14,S19_Moist_Broadleaf_ER!AI15)</x:f>
        <x:v>1859.9602055093387</x:v>
      </x:c>
      <x:c r="D28" s="100" t="n">
        <x:f aca="0">IF($B$4=0,0,S33_Project_Deductions!D12*$B$4/S08_Defaults!$B$14)</x:f>
        <x:v>376.0975180891979</x:v>
      </x:c>
      <x:c r="E28" s="100" t="n">
        <x:f aca="0">IF($B$4=0,0,S33_Project_Deductions!E12*$B$4/S08_Defaults!$B$14)</x:f>
        <x:v>201.8135535289625</x:v>
      </x:c>
      <x:c r="F28" s="100" t="n">
        <x:f aca="0">S08_Defaults!$B$9</x:f>
        <x:v>0.2</x:v>
      </x:c>
      <x:c r="G28" s="100" t="n">
        <x:f aca="0">C28*(1-F28)-D28-E28</x:f>
        <x:v>910.0570927893107</x:v>
      </x:c>
      <x:c r="H28" s="100" t="n">
        <x:f aca="0">G28-G27</x:f>
        <x:v>384.87485929161517</x:v>
      </x:c>
      <x:c r="I28" s="100" t="n">
        <x:f aca="0">H28/1</x:f>
        <x:v>384.87485929161517</x:v>
      </x:c>
      <x:c r="J28" s="100" t="n">
        <x:f aca="0">B28-D28-E28</x:f>
        <x:v>2126.838902571636</x:v>
      </x:c>
      <x:c r="K28" s="100" t="n">
        <x:f aca="0">B28</x:f>
        <x:v>2704.7499741897964</x:v>
      </x:c>
      <x:c r="L28" s="100" t="n">
        <x:f aca="0">0</x:f>
        <x:v>0</x:v>
      </x:c>
      <x:c r="M28" s="100" t="n">
        <x:f aca="0">IF(AND(A28&gt;=S08_Defaults!$B$11,A28&lt;=S08_Defaults!$B$12),J28,0)</x:f>
        <x:v>2126.838902571636</x:v>
      </x:c>
      <x:c r="N28" s="100" t="n">
        <x:f aca="0">IF(AND(A28&gt;=S08_Defaults!$B$11,A28&lt;=S08_Defaults!$B$12),K28-L28,0)</x:f>
        <x:v>2704.7499741897964</x:v>
      </x:c>
      <x:c r="O28" s="37" t="s">
        <x:v>1271</x:v>
      </x:c>
    </x:row>
    <x:row r="29" ht="15" hidden="0" customHeight="1">
      <x:c r="A29" s="37" t="n">
        <x:v>2029</x:v>
      </x:c>
      <x:c r="B29" s="100" t="n">
        <x:f aca="0">SUM(S19_Moist_Broadleaf_ER!O12,S19_Moist_Broadleaf_ER!O13,S19_Moist_Broadleaf_ER!O14,S19_Moist_Broadleaf_ER!O15)</x:f>
        <x:v>3594.400048716602</x:v>
      </x:c>
      <x:c r="C29" s="100" t="n">
        <x:f aca="0">SUM(S19_Moist_Broadleaf_ER!AJ12,S19_Moist_Broadleaf_ER!AJ13,S19_Moist_Broadleaf_ER!AJ14,S19_Moist_Broadleaf_ER!AJ15)</x:f>
        <x:v>2471.740869614509</x:v>
      </x:c>
      <x:c r="D29" s="100" t="n">
        <x:f aca="0">IF($B$4=0,0,S33_Project_Deductions!D13*$B$4/S08_Defaults!$B$14)</x:f>
        <x:v>430.0629521109017</x:v>
      </x:c>
      <x:c r="E29" s="100" t="n">
        <x:f aca="0">IF($B$4=0,0,S33_Project_Deductions!E13*$B$4/S08_Defaults!$B$14)</x:f>
        <x:v>201.8135535289625</x:v>
      </x:c>
      <x:c r="F29" s="100" t="n">
        <x:f aca="0">S08_Defaults!$B$9</x:f>
        <x:v>0.2</x:v>
      </x:c>
      <x:c r="G29" s="100" t="n">
        <x:f aca="0">C29*(1-F29)-D29-E29</x:f>
        <x:v>1345.516190051743</x:v>
      </x:c>
      <x:c r="H29" s="100" t="n">
        <x:f aca="0">G29-G28</x:f>
        <x:v>435.45909726243235</x:v>
      </x:c>
      <x:c r="I29" s="100" t="n">
        <x:f aca="0">H29/1</x:f>
        <x:v>435.45909726243235</x:v>
      </x:c>
      <x:c r="J29" s="100" t="n">
        <x:f aca="0">B29-D29-E29</x:f>
        <x:v>2962.523543076738</x:v>
      </x:c>
      <x:c r="K29" s="100" t="n">
        <x:f aca="0">B29</x:f>
        <x:v>3594.400048716602</x:v>
      </x:c>
      <x:c r="L29" s="100" t="n">
        <x:f aca="0">0</x:f>
        <x:v>0</x:v>
      </x:c>
      <x:c r="M29" s="100" t="n">
        <x:f aca="0">IF(AND(A29&gt;=S08_Defaults!$B$11,A29&lt;=S08_Defaults!$B$12),J29,0)</x:f>
        <x:v>2962.523543076738</x:v>
      </x:c>
      <x:c r="N29" s="100" t="n">
        <x:f aca="0">IF(AND(A29&gt;=S08_Defaults!$B$11,A29&lt;=S08_Defaults!$B$12),K29-L29,0)</x:f>
        <x:v>3594.400048716602</x:v>
      </x:c>
      <x:c r="O29" s="37" t="s">
        <x:v>1271</x:v>
      </x:c>
    </x:row>
    <x:row r="30" ht="15" hidden="0" customHeight="1">
      <x:c r="A30" s="37" t="n">
        <x:v>2030</x:v>
      </x:c>
      <x:c r="B30" s="100" t="n">
        <x:f aca="0">SUM(S19_Moist_Broadleaf_ER!P12,S19_Moist_Broadleaf_ER!P13,S19_Moist_Broadleaf_ER!P14,S19_Moist_Broadleaf_ER!P15)</x:f>
        <x:v>4542.453408778217</x:v>
      </x:c>
      <x:c r="C30" s="100" t="n">
        <x:f aca="0">SUM(S19_Moist_Broadleaf_ER!AK12,S19_Moist_Broadleaf_ER!AK13,S19_Moist_Broadleaf_ER!AK14,S19_Moist_Broadleaf_ER!AK15)</x:f>
        <x:v>3123.683392672384</x:v>
      </x:c>
      <x:c r="D30" s="100" t="n">
        <x:f aca="0">IF($B$4=0,0,S33_Project_Deductions!D14*$B$4/S08_Defaults!$B$14)</x:f>
        <x:v>484.0283861326055</x:v>
      </x:c>
      <x:c r="E30" s="100" t="n">
        <x:f aca="0">IF($B$4=0,0,S33_Project_Deductions!E14*$B$4/S08_Defaults!$B$14)</x:f>
        <x:v>201.8135535289625</x:v>
      </x:c>
      <x:c r="F30" s="100" t="n">
        <x:f aca="0">S08_Defaults!$B$9</x:f>
        <x:v>0.2</x:v>
      </x:c>
      <x:c r="G30" s="100" t="n">
        <x:f aca="0">C30*(1-F30)-D30-E30</x:f>
        <x:v>1813.1047744763393</x:v>
      </x:c>
      <x:c r="H30" s="100" t="n">
        <x:f aca="0">G30-G29</x:f>
        <x:v>467.5885844245963</x:v>
      </x:c>
      <x:c r="I30" s="100" t="n">
        <x:f aca="0">H30/1</x:f>
        <x:v>467.5885844245963</x:v>
      </x:c>
      <x:c r="J30" s="100" t="n">
        <x:f aca="0">B30-D30-E30</x:f>
        <x:v>3856.6114691166485</x:v>
      </x:c>
      <x:c r="K30" s="100" t="n">
        <x:f aca="0">B30</x:f>
        <x:v>4542.453408778217</x:v>
      </x:c>
      <x:c r="L30" s="100" t="n">
        <x:f aca="0">0</x:f>
        <x:v>0</x:v>
      </x:c>
      <x:c r="M30" s="100" t="n">
        <x:f aca="0">IF(AND(A30&gt;=S08_Defaults!$B$11,A30&lt;=S08_Defaults!$B$12),J30,0)</x:f>
        <x:v>3856.6114691166485</x:v>
      </x:c>
      <x:c r="N30" s="100" t="n">
        <x:f aca="0">IF(AND(A30&gt;=S08_Defaults!$B$11,A30&lt;=S08_Defaults!$B$12),K30-L30,0)</x:f>
        <x:v>4542.453408778217</x:v>
      </x:c>
      <x:c r="O30" s="37" t="s">
        <x:v>1271</x:v>
      </x:c>
    </x:row>
    <x:row r="31" ht="15" hidden="0" customHeight="1">
      <x:c r="A31" s="37" t="n">
        <x:v>2031</x:v>
      </x:c>
      <x:c r="B31" s="100" t="n">
        <x:f aca="0">SUM(S19_Moist_Broadleaf_ER!Q12,S19_Moist_Broadleaf_ER!Q13,S19_Moist_Broadleaf_ER!Q14,S19_Moist_Broadleaf_ER!Q15)</x:f>
        <x:v>5518.167602291919</x:v>
      </x:c>
      <x:c r="C31" s="100" t="n">
        <x:f aca="0">SUM(S19_Moist_Broadleaf_ER!AL12,S19_Moist_Broadleaf_ER!AL13,S19_Moist_Broadleaf_ER!AL14,S19_Moist_Broadleaf_ER!AL15)</x:f>
        <x:v>3794.6472855289658</x:v>
      </x:c>
      <x:c r="D31" s="100" t="n">
        <x:f aca="0">IF($B$4=0,0,S33_Project_Deductions!D15*$B$4/S08_Defaults!$B$14)</x:f>
        <x:v>537.9938201543093</x:v>
      </x:c>
      <x:c r="E31" s="100" t="n">
        <x:f aca="0">IF($B$4=0,0,S33_Project_Deductions!E15*$B$4/S08_Defaults!$B$14)</x:f>
        <x:v>201.8135535289625</x:v>
      </x:c>
      <x:c r="F31" s="100" t="n">
        <x:f aca="0">S08_Defaults!$B$9</x:f>
        <x:v>0.2</x:v>
      </x:c>
      <x:c r="G31" s="100" t="n">
        <x:f aca="0">C31*(1-F31)-D31-E31</x:f>
        <x:v>2295.9104547399006</x:v>
      </x:c>
      <x:c r="H31" s="100" t="n">
        <x:f aca="0">G31-G30</x:f>
        <x:v>482.80568026356127</x:v>
      </x:c>
      <x:c r="I31" s="100" t="n">
        <x:f aca="0">H31/1</x:f>
        <x:v>482.80568026356127</x:v>
      </x:c>
      <x:c r="J31" s="100" t="n">
        <x:f aca="0">B31-D31-E31</x:f>
        <x:v>4778.360228608648</x:v>
      </x:c>
      <x:c r="K31" s="100" t="n">
        <x:f aca="0">B31</x:f>
        <x:v>5518.167602291919</x:v>
      </x:c>
      <x:c r="L31" s="100" t="n">
        <x:f aca="0">0</x:f>
        <x:v>0</x:v>
      </x:c>
      <x:c r="M31" s="100" t="n">
        <x:f aca="0">IF(AND(A31&gt;=S08_Defaults!$B$11,A31&lt;=S08_Defaults!$B$12),J31,0)</x:f>
        <x:v>4778.360228608648</x:v>
      </x:c>
      <x:c r="N31" s="100" t="n">
        <x:f aca="0">IF(AND(A31&gt;=S08_Defaults!$B$11,A31&lt;=S08_Defaults!$B$12),K31-L31,0)</x:f>
        <x:v>5518.167602291919</x:v>
      </x:c>
      <x:c r="O31" s="37" t="s">
        <x:v>1271</x:v>
      </x:c>
    </x:row>
    <x:row r="32" ht="15" hidden="0" customHeight="1">
      <x:c r="A32" s="37" t="n">
        <x:v>2032</x:v>
      </x:c>
      <x:c r="B32" s="100" t="n">
        <x:f aca="0">SUM(S19_Moist_Broadleaf_ER!R12,S19_Moist_Broadleaf_ER!R13,S19_Moist_Broadleaf_ER!R14,S19_Moist_Broadleaf_ER!R15)</x:f>
        <x:v>6495.463867530401</x:v>
      </x:c>
      <x:c r="C32" s="100" t="n">
        <x:f aca="0">SUM(S19_Moist_Broadleaf_ER!AM12,S19_Moist_Broadleaf_ER!AM13,S19_Moist_Broadleaf_ER!AM14,S19_Moist_Broadleaf_ER!AM15)</x:f>
        <x:v>4466.699112752285</x:v>
      </x:c>
      <x:c r="D32" s="100" t="n">
        <x:f aca="0">IF($B$4=0,0,S33_Project_Deductions!D16*$B$4/S08_Defaults!$B$14)</x:f>
        <x:v>591.9592541760131</x:v>
      </x:c>
      <x:c r="E32" s="100" t="n">
        <x:f aca="0">IF($B$4=0,0,S33_Project_Deductions!E16*$B$4/S08_Defaults!$B$14)</x:f>
        <x:v>201.8135535289625</x:v>
      </x:c>
      <x:c r="F32" s="100" t="n">
        <x:f aca="0">S08_Defaults!$B$9</x:f>
        <x:v>0.2</x:v>
      </x:c>
      <x:c r="G32" s="100" t="n">
        <x:f aca="0">C32*(1-F32)-D32-E32</x:f>
        <x:v>2779.5864824968526</x:v>
      </x:c>
      <x:c r="H32" s="100" t="n">
        <x:f aca="0">G32-G31</x:f>
        <x:v>483.67602775695195</x:v>
      </x:c>
      <x:c r="I32" s="100" t="n">
        <x:f aca="0">H32/1</x:f>
        <x:v>483.67602775695195</x:v>
      </x:c>
      <x:c r="J32" s="100" t="n">
        <x:f aca="0">B32-D32-E32</x:f>
        <x:v>5701.691059825426</x:v>
      </x:c>
      <x:c r="K32" s="100" t="n">
        <x:f aca="0">B32</x:f>
        <x:v>6495.463867530401</x:v>
      </x:c>
      <x:c r="L32" s="100" t="n">
        <x:f aca="0">0</x:f>
        <x:v>0</x:v>
      </x:c>
      <x:c r="M32" s="100" t="n">
        <x:f aca="0">IF(AND(A32&gt;=S08_Defaults!$B$11,A32&lt;=S08_Defaults!$B$12),J32,0)</x:f>
        <x:v>5701.691059825426</x:v>
      </x:c>
      <x:c r="N32" s="100" t="n">
        <x:f aca="0">IF(AND(A32&gt;=S08_Defaults!$B$11,A32&lt;=S08_Defaults!$B$12),K32-L32,0)</x:f>
        <x:v>6495.463867530401</x:v>
      </x:c>
      <x:c r="O32" s="37" t="s">
        <x:v>1271</x:v>
      </x:c>
    </x:row>
    <x:row r="33" ht="15" hidden="0" customHeight="1">
      <x:c r="A33" s="37" t="n">
        <x:v>2033</x:v>
      </x:c>
      <x:c r="B33" s="100" t="n">
        <x:f aca="0">SUM(S19_Moist_Broadleaf_ER!S12,S19_Moist_Broadleaf_ER!S13,S19_Moist_Broadleaf_ER!S14,S19_Moist_Broadleaf_ER!S15)</x:f>
        <x:v>7453.536239266744</x:v>
      </x:c>
      <x:c r="C33" s="100" t="n">
        <x:f aca="0">SUM(S19_Moist_Broadleaf_ER!AN12,S19_Moist_Broadleaf_ER!AN13,S19_Moist_Broadleaf_ER!AN14,S19_Moist_Broadleaf_ER!AN15)</x:f>
        <x:v>5125.531353230015</x:v>
      </x:c>
      <x:c r="D33" s="100" t="n">
        <x:f aca="0">IF($B$4=0,0,S33_Project_Deductions!D17*$B$4/S08_Defaults!$B$14)</x:f>
        <x:v>645.9246881977169</x:v>
      </x:c>
      <x:c r="E33" s="100" t="n">
        <x:f aca="0">IF($B$4=0,0,S33_Project_Deductions!E17*$B$4/S08_Defaults!$B$14)</x:f>
        <x:v>201.8135535289625</x:v>
      </x:c>
      <x:c r="F33" s="100" t="n">
        <x:f aca="0">S08_Defaults!$B$9</x:f>
        <x:v>0.2</x:v>
      </x:c>
      <x:c r="G33" s="100" t="n">
        <x:f aca="0">C33*(1-F33)-D33-E33</x:f>
        <x:v>3252.686840857333</x:v>
      </x:c>
      <x:c r="H33" s="100" t="n">
        <x:f aca="0">G33-G32</x:f>
        <x:v>473.10035836048064</x:v>
      </x:c>
      <x:c r="I33" s="100" t="n">
        <x:f aca="0">H33/1</x:f>
        <x:v>473.10035836048064</x:v>
      </x:c>
      <x:c r="J33" s="100" t="n">
        <x:f aca="0">B33-D33-E33</x:f>
        <x:v>6605.797997540065</x:v>
      </x:c>
      <x:c r="K33" s="100" t="n">
        <x:f aca="0">B33</x:f>
        <x:v>7453.536239266744</x:v>
      </x:c>
      <x:c r="L33" s="100" t="n">
        <x:f aca="0">0</x:f>
        <x:v>0</x:v>
      </x:c>
      <x:c r="M33" s="100" t="n">
        <x:f aca="0">IF(AND(A33&gt;=S08_Defaults!$B$11,A33&lt;=S08_Defaults!$B$12),J33,0)</x:f>
        <x:v>6605.797997540065</x:v>
      </x:c>
      <x:c r="N33" s="100" t="n">
        <x:f aca="0">IF(AND(A33&gt;=S08_Defaults!$B$11,A33&lt;=S08_Defaults!$B$12),K33-L33,0)</x:f>
        <x:v>7453.536239266744</x:v>
      </x:c>
      <x:c r="O33" s="37" t="s">
        <x:v>1271</x:v>
      </x:c>
    </x:row>
    <x:row r="34" ht="15" hidden="0" customHeight="1">
      <x:c r="A34" s="37" t="n">
        <x:v>2034</x:v>
      </x:c>
      <x:c r="B34" s="100" t="n">
        <x:f aca="0">SUM(S19_Moist_Broadleaf_ER!T12,S19_Moist_Broadleaf_ER!T13,S19_Moist_Broadleaf_ER!T14,S19_Moist_Broadleaf_ER!T15)</x:f>
        <x:v>8376.7086063478</x:v>
      </x:c>
      <x:c r="C34" s="100" t="n">
        <x:f aca="0">SUM(S19_Moist_Broadleaf_ER!AO12,S19_Moist_Broadleaf_ER!AO13,S19_Moist_Broadleaf_ER!AO14,S19_Moist_Broadleaf_ER!AO15)</x:f>
        <x:v>5760.364103754753</x:v>
      </x:c>
      <x:c r="D34" s="100" t="n">
        <x:f aca="0">IF($B$4=0,0,S33_Project_Deductions!D18*$B$4/S08_Defaults!$B$14)</x:f>
        <x:v>699.8901222194207</x:v>
      </x:c>
      <x:c r="E34" s="100" t="n">
        <x:f aca="0">IF($B$4=0,0,S33_Project_Deductions!E18*$B$4/S08_Defaults!$B$14)</x:f>
        <x:v>201.8135535289625</x:v>
      </x:c>
      <x:c r="F34" s="100" t="n">
        <x:f aca="0">S08_Defaults!$B$9</x:f>
        <x:v>0.2</x:v>
      </x:c>
      <x:c r="G34" s="100" t="n">
        <x:f aca="0">C34*(1-F34)-D34-E34</x:f>
        <x:v>3706.5876072554197</x:v>
      </x:c>
      <x:c r="H34" s="100" t="n">
        <x:f aca="0">G34-G33</x:f>
        <x:v>453.9007663980865</x:v>
      </x:c>
      <x:c r="I34" s="100" t="n">
        <x:f aca="0">H34/1</x:f>
        <x:v>453.9007663980865</x:v>
      </x:c>
      <x:c r="J34" s="100" t="n">
        <x:f aca="0">B34-D34-E34</x:f>
        <x:v>7475.004930599417</x:v>
      </x:c>
      <x:c r="K34" s="100" t="n">
        <x:f aca="0">B34</x:f>
        <x:v>8376.7086063478</x:v>
      </x:c>
      <x:c r="L34" s="100" t="n">
        <x:f aca="0">0</x:f>
        <x:v>0</x:v>
      </x:c>
      <x:c r="M34" s="100" t="n">
        <x:f aca="0">IF(AND(A34&gt;=S08_Defaults!$B$11,A34&lt;=S08_Defaults!$B$12),J34,0)</x:f>
        <x:v>7475.004930599417</x:v>
      </x:c>
      <x:c r="N34" s="100" t="n">
        <x:f aca="0">IF(AND(A34&gt;=S08_Defaults!$B$11,A34&lt;=S08_Defaults!$B$12),K34-L34,0)</x:f>
        <x:v>8376.7086063478</x:v>
      </x:c>
      <x:c r="O34" s="37" t="s">
        <x:v>1271</x:v>
      </x:c>
    </x:row>
    <x:row r="35" ht="15" hidden="0" customHeight="1">
      <x:c r="A35" s="37" t="n">
        <x:v>2035</x:v>
      </x:c>
      <x:c r="B35" s="100" t="n">
        <x:f aca="0">SUM(S19_Moist_Broadleaf_ER!U12,S19_Moist_Broadleaf_ER!U13,S19_Moist_Broadleaf_ER!U14,S19_Moist_Broadleaf_ER!U15)</x:f>
        <x:v>9253.893791021694</x:v>
      </x:c>
      <x:c r="C35" s="100" t="n">
        <x:f aca="0">SUM(S19_Moist_Broadleaf_ER!AP12,S19_Moist_Broadleaf_ER!AP13,S19_Moist_Broadleaf_ER!AP14,S19_Moist_Broadleaf_ER!AP15)</x:f>
        <x:v>6363.573107146842</x:v>
      </x:c>
      <x:c r="D35" s="100" t="n">
        <x:f aca="0">IF($B$4=0,0,S33_Project_Deductions!D19*$B$4/S08_Defaults!$B$14)</x:f>
        <x:v>753.8555562411243</x:v>
      </x:c>
      <x:c r="E35" s="100" t="n">
        <x:f aca="0">IF($B$4=0,0,S33_Project_Deductions!E19*$B$4/S08_Defaults!$B$14)</x:f>
        <x:v>201.8135535289625</x:v>
      </x:c>
      <x:c r="F35" s="100" t="n">
        <x:f aca="0">S08_Defaults!$B$9</x:f>
        <x:v>0.2</x:v>
      </x:c>
      <x:c r="G35" s="100" t="n">
        <x:f aca="0">C35*(1-F35)-D35-E35</x:f>
        <x:v>4135.189375947388</x:v>
      </x:c>
      <x:c r="H35" s="100" t="n">
        <x:f aca="0">G35-G34</x:f>
        <x:v>428.6017686919681</x:v>
      </x:c>
      <x:c r="I35" s="100" t="n">
        <x:f aca="0">H35/1</x:f>
        <x:v>428.6017686919681</x:v>
      </x:c>
      <x:c r="J35" s="100" t="n">
        <x:f aca="0">B35-D35-E35</x:f>
        <x:v>8298.224681251608</x:v>
      </x:c>
      <x:c r="K35" s="100" t="n">
        <x:f aca="0">B35</x:f>
        <x:v>9253.893791021694</x:v>
      </x:c>
      <x:c r="L35" s="100" t="n">
        <x:f aca="0">0</x:f>
        <x:v>0</x:v>
      </x:c>
      <x:c r="M35" s="100" t="n">
        <x:f aca="0">IF(AND(A35&gt;=S08_Defaults!$B$11,A35&lt;=S08_Defaults!$B$12),J35,0)</x:f>
        <x:v>8298.224681251608</x:v>
      </x:c>
      <x:c r="N35" s="100" t="n">
        <x:f aca="0">IF(AND(A35&gt;=S08_Defaults!$B$11,A35&lt;=S08_Defaults!$B$12),K35-L35,0)</x:f>
        <x:v>9253.893791021694</x:v>
      </x:c>
      <x:c r="O35" s="37" t="s">
        <x:v>1271</x:v>
      </x:c>
    </x:row>
    <x:row r="36" ht="15" hidden="0" customHeight="1">
      <x:c r="A36" s="37" t="n">
        <x:v>2036</x:v>
      </x:c>
      <x:c r="B36" s="100" t="n">
        <x:f aca="0">SUM(S19_Moist_Broadleaf_ER!V12,S19_Moist_Broadleaf_ER!V13,S19_Moist_Broadleaf_ER!V14,S19_Moist_Broadleaf_ER!V15)</x:f>
        <x:v>10077.885055189243</x:v>
      </x:c>
      <x:c r="C36" s="100" t="n">
        <x:f aca="0">SUM(S19_Moist_Broadleaf_ER!AQ12,S19_Moist_Broadleaf_ER!AQ13,S19_Moist_Broadleaf_ER!AQ14,S19_Moist_Broadleaf_ER!AQ15)</x:f>
        <x:v>6930.202546342254</x:v>
      </x:c>
      <x:c r="D36" s="100" t="n">
        <x:f aca="0">IF($B$4=0,0,S33_Project_Deductions!D20*$B$4/S08_Defaults!$B$14)</x:f>
        <x:v>807.8209902628281</x:v>
      </x:c>
      <x:c r="E36" s="100" t="n">
        <x:f aca="0">IF($B$4=0,0,S33_Project_Deductions!E20*$B$4/S08_Defaults!$B$14)</x:f>
        <x:v>201.8135535289625</x:v>
      </x:c>
      <x:c r="F36" s="100" t="n">
        <x:f aca="0">S08_Defaults!$B$9</x:f>
        <x:v>0.2</x:v>
      </x:c>
      <x:c r="G36" s="100" t="n">
        <x:f aca="0">C36*(1-F36)-D36-E36</x:f>
        <x:v>4534.527493282014</x:v>
      </x:c>
      <x:c r="H36" s="100" t="n">
        <x:f aca="0">G36-G35</x:f>
        <x:v>399.3381173346261</x:v>
      </x:c>
      <x:c r="I36" s="100" t="n">
        <x:f aca="0">H36/1</x:f>
        <x:v>399.3381173346261</x:v>
      </x:c>
      <x:c r="J36" s="100" t="n">
        <x:f aca="0">B36-D36-E36</x:f>
        <x:v>9068.250511397453</x:v>
      </x:c>
      <x:c r="K36" s="100" t="n">
        <x:f aca="0">B36</x:f>
        <x:v>10077.885055189243</x:v>
      </x:c>
      <x:c r="L36" s="100" t="n">
        <x:f aca="0">0</x:f>
        <x:v>0</x:v>
      </x:c>
      <x:c r="M36" s="100" t="n">
        <x:f aca="0">IF(AND(A36&gt;=S08_Defaults!$B$11,A36&lt;=S08_Defaults!$B$12),J36,0)</x:f>
        <x:v>9068.250511397453</x:v>
      </x:c>
      <x:c r="N36" s="100" t="n">
        <x:f aca="0">IF(AND(A36&gt;=S08_Defaults!$B$11,A36&lt;=S08_Defaults!$B$12),K36-L36,0)</x:f>
        <x:v>10077.885055189243</x:v>
      </x:c>
      <x:c r="O36" s="37" t="s">
        <x:v>1271</x:v>
      </x:c>
    </x:row>
    <x:row r="37" ht="15" hidden="0" customHeight="1">
      <x:c r="A37" s="37" t="n">
        <x:v>2037</x:v>
      </x:c>
      <x:c r="B37" s="100" t="n">
        <x:f aca="0">SUM(S19_Moist_Broadleaf_ER!W12,S19_Moist_Broadleaf_ER!W13,S19_Moist_Broadleaf_ER!W14,S19_Moist_Broadleaf_ER!W15)</x:f>
        <x:v>10844.618995903911</x:v>
      </x:c>
      <x:c r="C37" s="100" t="n">
        <x:f aca="0">SUM(S19_Moist_Broadleaf_ER!AR12,S19_Moist_Broadleaf_ER!AR13,S19_Moist_Broadleaf_ER!AR14,S19_Moist_Broadleaf_ER!AR15)</x:f>
        <x:v>7457.4581638859145</x:v>
      </x:c>
      <x:c r="D37" s="100" t="n">
        <x:f aca="0">IF($B$4=0,0,S33_Project_Deductions!D21*$B$4/S08_Defaults!$B$14)</x:f>
        <x:v>861.7864242845318</x:v>
      </x:c>
      <x:c r="E37" s="100" t="n">
        <x:f aca="0">IF($B$4=0,0,S33_Project_Deductions!E21*$B$4/S08_Defaults!$B$14)</x:f>
        <x:v>201.8135535289625</x:v>
      </x:c>
      <x:c r="F37" s="100" t="n">
        <x:f aca="0">S08_Defaults!$B$9</x:f>
        <x:v>0.2</x:v>
      </x:c>
      <x:c r="G37" s="100" t="n">
        <x:f aca="0">C37*(1-F37)-D37-E37</x:f>
        <x:v>4902.366553295238</x:v>
      </x:c>
      <x:c r="H37" s="100" t="n">
        <x:f aca="0">G37-G36</x:f>
        <x:v>367.8390600132243</x:v>
      </x:c>
      <x:c r="I37" s="100" t="n">
        <x:f aca="0">H37/1</x:f>
        <x:v>367.8390600132243</x:v>
      </x:c>
      <x:c r="J37" s="100" t="n">
        <x:f aca="0">B37-D37-E37</x:f>
        <x:v>9781.019018090417</x:v>
      </x:c>
      <x:c r="K37" s="100" t="n">
        <x:f aca="0">B37</x:f>
        <x:v>10844.618995903911</x:v>
      </x:c>
      <x:c r="L37" s="100" t="n">
        <x:f aca="0">0</x:f>
        <x:v>0</x:v>
      </x:c>
      <x:c r="M37" s="100" t="n">
        <x:f aca="0">IF(AND(A37&gt;=S08_Defaults!$B$11,A37&lt;=S08_Defaults!$B$12),J37,0)</x:f>
        <x:v>9781.019018090417</x:v>
      </x:c>
      <x:c r="N37" s="100" t="n">
        <x:f aca="0">IF(AND(A37&gt;=S08_Defaults!$B$11,A37&lt;=S08_Defaults!$B$12),K37-L37,0)</x:f>
        <x:v>10844.618995903911</x:v>
      </x:c>
      <x:c r="O37" s="37" t="s">
        <x:v>1271</x:v>
      </x:c>
    </x:row>
    <x:row r="38" ht="15" hidden="0" customHeight="1">
      <x:c r="A38" s="37" t="n">
        <x:v>2038</x:v>
      </x:c>
      <x:c r="B38" s="100" t="n">
        <x:f aca="0">SUM(S19_Moist_Broadleaf_ER!X12,S19_Moist_Broadleaf_ER!X13,S19_Moist_Broadleaf_ER!X14,S19_Moist_Broadleaf_ER!X15)</x:f>
        <x:v>11552.486423354509</x:v>
      </x:c>
      <x:c r="C38" s="100" t="n">
        <x:f aca="0">SUM(S19_Moist_Broadleaf_ER!AS12,S19_Moist_Broadleaf_ER!AS13,S19_Moist_Broadleaf_ER!AS14,S19_Moist_Broadleaf_ER!AS15)</x:f>
        <x:v>7944.233377269091</x:v>
      </x:c>
      <x:c r="D38" s="100" t="n">
        <x:f aca="0">IF($B$4=0,0,S33_Project_Deductions!D22*$B$4/S08_Defaults!$B$14)</x:f>
        <x:v>915.7518583062356</x:v>
      </x:c>
      <x:c r="E38" s="100" t="n">
        <x:f aca="0">IF($B$4=0,0,S33_Project_Deductions!E22*$B$4/S08_Defaults!$B$14)</x:f>
        <x:v>201.8135535289625</x:v>
      </x:c>
      <x:c r="F38" s="100" t="n">
        <x:f aca="0">S08_Defaults!$B$9</x:f>
        <x:v>0.2</x:v>
      </x:c>
      <x:c r="G38" s="100" t="n">
        <x:f aca="0">C38*(1-F38)-D38-E38</x:f>
        <x:v>5237.821289980076</x:v>
      </x:c>
      <x:c r="H38" s="100" t="n">
        <x:f aca="0">G38-G37</x:f>
        <x:v>335.45473668483737</x:v>
      </x:c>
      <x:c r="I38" s="100" t="n">
        <x:f aca="0">H38/1</x:f>
        <x:v>335.45473668483737</x:v>
      </x:c>
      <x:c r="J38" s="100" t="n">
        <x:f aca="0">B38-D38-E38</x:f>
        <x:v>10434.921011519311</x:v>
      </x:c>
      <x:c r="K38" s="100" t="n">
        <x:f aca="0">B38</x:f>
        <x:v>11552.486423354509</x:v>
      </x:c>
      <x:c r="L38" s="100" t="n">
        <x:f aca="0">0</x:f>
        <x:v>0</x:v>
      </x:c>
      <x:c r="M38" s="100" t="n">
        <x:f aca="0">IF(AND(A38&gt;=S08_Defaults!$B$11,A38&lt;=S08_Defaults!$B$12),J38,0)</x:f>
        <x:v>10434.921011519311</x:v>
      </x:c>
      <x:c r="N38" s="100" t="n">
        <x:f aca="0">IF(AND(A38&gt;=S08_Defaults!$B$11,A38&lt;=S08_Defaults!$B$12),K38-L38,0)</x:f>
        <x:v>11552.486423354509</x:v>
      </x:c>
      <x:c r="O38" s="37" t="s">
        <x:v>1271</x:v>
      </x:c>
    </x:row>
    <x:row r="39" ht="15" hidden="0" customHeight="1">
      <x:c r="A39" s="37" t="n">
        <x:v>2039</x:v>
      </x:c>
      <x:c r="B39" s="100" t="n">
        <x:f aca="0">SUM(S19_Moist_Broadleaf_ER!Y12,S19_Moist_Broadleaf_ER!Y13,S19_Moist_Broadleaf_ER!Y14,S19_Moist_Broadleaf_ER!Y15)</x:f>
        <x:v>12201.72774180544</x:v>
      </x:c>
      <x:c r="C39" s="100" t="n">
        <x:f aca="0">SUM(S19_Moist_Broadleaf_ER!AT12,S19_Moist_Broadleaf_ER!AT13,S19_Moist_Broadleaf_ER!AT14,S19_Moist_Broadleaf_ER!AT15)</x:f>
        <x:v>8390.693503940456</x:v>
      </x:c>
      <x:c r="D39" s="100" t="n">
        <x:f aca="0">IF($B$4=0,0,S33_Project_Deductions!D23*$B$4/S08_Defaults!$B$14)</x:f>
        <x:v>969.7172923279393</x:v>
      </x:c>
      <x:c r="E39" s="100" t="n">
        <x:f aca="0">IF($B$4=0,0,S33_Project_Deductions!E23*$B$4/S08_Defaults!$B$14)</x:f>
        <x:v>201.8135535289625</x:v>
      </x:c>
      <x:c r="F39" s="100" t="n">
        <x:f aca="0">S08_Defaults!$B$9</x:f>
        <x:v>0.2</x:v>
      </x:c>
      <x:c r="G39" s="100" t="n">
        <x:f aca="0">C39*(1-F39)-D39-E39</x:f>
        <x:v>5541.023957295463</x:v>
      </x:c>
      <x:c r="H39" s="100" t="n">
        <x:f aca="0">G39-G38</x:f>
        <x:v>303.20266731538777</x:v>
      </x:c>
      <x:c r="I39" s="100" t="n">
        <x:f aca="0">H39/1</x:f>
        <x:v>303.20266731538777</x:v>
      </x:c>
      <x:c r="J39" s="100" t="n">
        <x:f aca="0">B39-D39-E39</x:f>
        <x:v>11030.196895948538</x:v>
      </x:c>
      <x:c r="K39" s="100" t="n">
        <x:f aca="0">B39</x:f>
        <x:v>12201.72774180544</x:v>
      </x:c>
      <x:c r="L39" s="100" t="n">
        <x:f aca="0">0</x:f>
        <x:v>0</x:v>
      </x:c>
      <x:c r="M39" s="100" t="n">
        <x:f aca="0">IF(AND(A39&gt;=S08_Defaults!$B$11,A39&lt;=S08_Defaults!$B$12),J39,0)</x:f>
        <x:v>11030.196895948538</x:v>
      </x:c>
      <x:c r="N39" s="100" t="n">
        <x:f aca="0">IF(AND(A39&gt;=S08_Defaults!$B$11,A39&lt;=S08_Defaults!$B$12),K39-L39,0)</x:f>
        <x:v>12201.72774180544</x:v>
      </x:c>
      <x:c r="O39" s="37" t="s">
        <x:v>1271</x:v>
      </x:c>
    </x:row>
    <x:row r="40" ht="15" hidden="0" customHeight="1">
      <x:c r="A40" s="37" t="n">
        <x:v>2040</x:v>
      </x:c>
      <x:c r="B40" s="100" t="n">
        <x:f aca="0">SUM(S19_Moist_Broadleaf_ER!Z12,S19_Moist_Broadleaf_ER!Z13,S19_Moist_Broadleaf_ER!Z14,S19_Moist_Broadleaf_ER!Z15)</x:f>
        <x:v>12793.92501604589</x:v>
      </x:c>
      <x:c r="C40" s="100" t="n">
        <x:f aca="0">SUM(S19_Moist_Broadleaf_ER!AU12,S19_Moist_Broadleaf_ER!AU13,S19_Moist_Broadleaf_ER!AU14,S19_Moist_Broadleaf_ER!AU15)</x:f>
        <x:v>8797.926473497386</x:v>
      </x:c>
      <x:c r="D40" s="100" t="n">
        <x:f aca="0">IF($B$4=0,0,S33_Project_Deductions!D24*$B$4/S08_Defaults!$B$14)</x:f>
        <x:v>1023.6827263496431</x:v>
      </x:c>
      <x:c r="E40" s="100" t="n">
        <x:f aca="0">IF($B$4=0,0,S33_Project_Deductions!E24*$B$4/S08_Defaults!$B$14)</x:f>
        <x:v>201.8135535289625</x:v>
      </x:c>
      <x:c r="F40" s="100" t="n">
        <x:f aca="0">S08_Defaults!$B$9</x:f>
        <x:v>0.2</x:v>
      </x:c>
      <x:c r="G40" s="100" t="n">
        <x:f aca="0">C40*(1-F40)-D40-E40</x:f>
        <x:v>5812.844898919304</x:v>
      </x:c>
      <x:c r="H40" s="100" t="n">
        <x:f aca="0">G40-G39</x:f>
        <x:v>271.82094162384055</x:v>
      </x:c>
      <x:c r="I40" s="100" t="n">
        <x:f aca="0">H40/1</x:f>
        <x:v>271.82094162384055</x:v>
      </x:c>
      <x:c r="J40" s="100" t="n">
        <x:f aca="0">B40-D40-E40</x:f>
        <x:v>11568.428736167285</x:v>
      </x:c>
      <x:c r="K40" s="100" t="n">
        <x:f aca="0">B40</x:f>
        <x:v>12793.92501604589</x:v>
      </x:c>
      <x:c r="L40" s="100" t="n">
        <x:f aca="0">0</x:f>
        <x:v>0</x:v>
      </x:c>
      <x:c r="M40" s="100" t="n">
        <x:f aca="0">IF(AND(A40&gt;=S08_Defaults!$B$11,A40&lt;=S08_Defaults!$B$12),J40,0)</x:f>
        <x:v>11568.428736167285</x:v>
      </x:c>
      <x:c r="N40" s="100" t="n">
        <x:f aca="0">IF(AND(A40&gt;=S08_Defaults!$B$11,A40&lt;=S08_Defaults!$B$12),K40-L40,0)</x:f>
        <x:v>12793.92501604589</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Moist Broadleaf Forests | Timber Plantation (4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669</x:v>
      </x:c>
      <x:c r="B46" s="198" t="s">
        <x:v>549</x:v>
      </x:c>
      <x:c r="C46" s="198" t="n">
        <x:v>2020</x:v>
      </x:c>
      <x:c r="D46" s="198" t="n">
        <x:v>0.7649</x:v>
      </x:c>
      <x:c r="E46" s="198" t="s">
        <x:v>670</x:v>
      </x:c>
      <x:c r="F46" s="198" t="s">
        <x:v>666</x:v>
      </x:c>
      <x:c r="G46" s="1"/>
      <x:c r="H46" s="1"/>
      <x:c r="I46" s="1"/>
      <x:c r="J46" s="1"/>
      <x:c r="K46" s="1"/>
      <x:c r="L46" s="1"/>
      <x:c r="M46" s="1"/>
      <x:c r="N46" s="1"/>
      <x:c r="O46" s="1"/>
    </x:row>
    <x:row r="47" ht="21.75" hidden="0" customHeight="1">
      <x:c r="A47" s="125" t="s">
        <x:v>685</x:v>
      </x:c>
      <x:c r="B47" s="198" t="s">
        <x:v>549</x:v>
      </x:c>
      <x:c r="C47" s="198" t="n">
        <x:v>2021</x:v>
      </x:c>
      <x:c r="D47" s="198" t="n">
        <x:v>0.5126</x:v>
      </x:c>
      <x:c r="E47" s="198" t="s">
        <x:v>686</x:v>
      </x:c>
      <x:c r="F47" s="198" t="s">
        <x:v>687</x:v>
      </x:c>
      <x:c r="G47" s="1"/>
      <x:c r="H47" s="1"/>
      <x:c r="I47" s="1"/>
      <x:c r="J47" s="1"/>
      <x:c r="K47" s="1"/>
      <x:c r="L47" s="1"/>
      <x:c r="M47" s="1"/>
      <x:c r="N47" s="1"/>
      <x:c r="O47" s="1"/>
    </x:row>
    <x:row r="48" ht="21.75" hidden="0" customHeight="1">
      <x:c r="A48" s="125" t="s">
        <x:v>691</x:v>
      </x:c>
      <x:c r="B48" s="198" t="s">
        <x:v>549</x:v>
      </x:c>
      <x:c r="C48" s="198" t="n">
        <x:v>2022</x:v>
      </x:c>
      <x:c r="D48" s="198" t="n">
        <x:v>0.4222</x:v>
      </x:c>
      <x:c r="E48" s="198" t="s">
        <x:v>692</x:v>
      </x:c>
      <x:c r="F48" s="198" t="s">
        <x:v>693</x:v>
      </x:c>
      <x:c r="G48" s="1"/>
      <x:c r="H48" s="1"/>
      <x:c r="I48" s="1"/>
      <x:c r="J48" s="1"/>
      <x:c r="K48" s="1"/>
      <x:c r="L48" s="1"/>
      <x:c r="M48" s="1"/>
      <x:c r="N48" s="1"/>
      <x:c r="O48" s="1"/>
    </x:row>
    <x:row r="49" ht="21.75" hidden="0" customHeight="1">
      <x:c r="A49" s="125" t="s">
        <x:v>696</x:v>
      </x:c>
      <x:c r="B49" s="198" t="s">
        <x:v>549</x:v>
      </x:c>
      <x:c r="C49" s="198" t="n">
        <x:v>2023</x:v>
      </x:c>
      <x:c r="D49" s="198" t="n">
        <x:v>2.7937</x:v>
      </x:c>
      <x:c r="E49" s="198" t="s">
        <x:v>670</x:v>
      </x:c>
      <x:c r="F49" s="198" t="s">
        <x:v>697</x:v>
      </x:c>
      <x:c r="G49" s="1"/>
      <x:c r="H49" s="1"/>
      <x:c r="I49" s="1"/>
      <x:c r="J49" s="1"/>
      <x:c r="K49" s="1"/>
      <x:c r="L49" s="1"/>
      <x:c r="M49" s="1"/>
      <x:c r="N49" s="1"/>
      <x:c r="O49" s="1"/>
    </x:row>
  </x:sheetData>
  <x:mergeCells>
    <x:mergeCell ref="A1:N1"/>
    <x:mergeCell ref="A43:F43"/>
    <x:mergeCell ref="A44:F44"/>
  </x:mergeCells>
  <x:pageMargins left="0.7" right="0.7" top="0.75" bottom="0.75" header="0.3" footer="0.3"/>
</x:worksheet>
</file>

<file path=xl/worksheets/sheet28.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Moist Broadleaf Forests | Mixed Agroforestry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SUM(S19_Moist_Broadleaf_ER!C16,S19_Moist_Broadleaf_ER!C17,S19_Moist_Broadleaf_ER!C18,S19_Moist_Broadleaf_ER!C19)</x:f>
        <x:v>9.6876</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27031.225110551015</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24067.139338427674</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24315.52413753724</x:v>
      </x:c>
      <x:c r="C7" s="37" t="s">
        <x:v>151</x:v>
      </x:c>
      <x:c r="D7" s="37" t="s">
        <x:v>1242</x:v>
      </x:c>
      <x:c r="E7" s="1"/>
      <x:c r="F7" s="1"/>
      <x:c r="G7" s="1"/>
      <x:c r="H7" s="1"/>
      <x:c r="I7" s="1"/>
      <x:c r="J7" s="1"/>
      <x:c r="K7" s="1"/>
      <x:c r="L7" s="1"/>
      <x:c r="M7" s="1"/>
      <x:c r="N7" s="1"/>
      <x:c r="O7" s="1"/>
    </x:row>
    <x:row r="8" ht="15" hidden="0" customHeight="1">
      <x:c r="A8" s="193" t="s">
        <x:v>1243</x:v>
      </x:c>
      <x:c r="B8" s="194" t="n">
        <x:f aca="0">MAX(0,MIN(B5,B6))</x:f>
        <x:v>24067.139338427674</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24067.139338427674</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4813.427867685535</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19253.71147074214</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1987.4593780443183</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99.37296890221592</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IF(AND("Tropical &amp; Subtropical Moist Broadleaf Forests"="Tropical &amp; Subtropical Dry Broadleaf Forests","Mixed Agroforestry"="Timber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SUM(S19_Moist_Broadleaf_ER!F16,S19_Moist_Broadleaf_ER!F17,S19_Moist_Broadleaf_ER!F18,S19_Moist_Broadleaf_ER!F19)</x:f>
        <x:v>0</x:v>
      </x:c>
      <x:c r="C20" s="100" t="n">
        <x:f aca="0">SUM(S19_Moist_Broadleaf_ER!AA16,S19_Moist_Broadleaf_ER!AA17,S19_Moist_Broadleaf_ER!AA18,S19_Moist_Broadleaf_ER!AA19)</x:f>
        <x:v>0</x:v>
      </x:c>
      <x:c r="D20" s="100" t="n">
        <x:f aca="0">IF($B$4=0,0,S33_Project_Deductions!D4*$B$4/S08_Defaults!$B$14)</x:f>
        <x:v>3.1618413203881164</x:v>
      </x:c>
      <x:c r="E20" s="100" t="n">
        <x:f aca="0">IF($B$4=0,0,S33_Project_Deductions!E4*$B$4/S08_Defaults!$B$14)</x:f>
        <x:v>14.468044801097351</x:v>
      </x:c>
      <x:c r="F20" s="100" t="n">
        <x:f aca="0">S08_Defaults!$B$9</x:f>
        <x:v>0.2</x:v>
      </x:c>
      <x:c r="G20" s="100" t="n">
        <x:f aca="0">C20*(1-F20)-D20-E20</x:f>
        <x:v>-17.629886121485466</x:v>
      </x:c>
      <x:c r="H20" s="100" t="n">
        <x:f aca="0">G20</x:f>
        <x:v>-17.629886121485466</x:v>
      </x:c>
      <x:c r="I20" s="100" t="n">
        <x:f aca="0">H20/1</x:f>
        <x:v>-17.629886121485466</x:v>
      </x:c>
      <x:c r="J20" s="100" t="n">
        <x:f aca="0">B20-D20-E20</x:f>
        <x:v>-17.629886121485466</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SUM(S19_Moist_Broadleaf_ER!G16,S19_Moist_Broadleaf_ER!G17,S19_Moist_Broadleaf_ER!G18,S19_Moist_Broadleaf_ER!G19)</x:f>
        <x:v>35.46875301996639</x:v>
      </x:c>
      <x:c r="C21" s="100" t="n">
        <x:f aca="0">SUM(S19_Moist_Broadleaf_ER!AB16,S19_Moist_Broadleaf_ER!AB17,S19_Moist_Broadleaf_ER!AB18,S19_Moist_Broadleaf_ER!AB19)</x:f>
        <x:v>24.390597942768448</x:v>
      </x:c>
      <x:c r="D21" s="100" t="n">
        <x:f aca="0">IF($B$4=0,0,S33_Project_Deductions!D5*$B$4/S08_Defaults!$B$14)</x:f>
        <x:v>10.295616720085038</x:v>
      </x:c>
      <x:c r="E21" s="100" t="n">
        <x:f aca="0">IF($B$4=0,0,S33_Project_Deductions!E5*$B$4/S08_Defaults!$B$14)</x:f>
        <x:v>28.546651531553316</x:v>
      </x:c>
      <x:c r="F21" s="100" t="n">
        <x:f aca="0">S08_Defaults!$B$9</x:f>
        <x:v>0.2</x:v>
      </x:c>
      <x:c r="G21" s="100" t="n">
        <x:f aca="0">C21*(1-F21)-D21-E21</x:f>
        <x:v>-19.329789897423595</x:v>
      </x:c>
      <x:c r="H21" s="100" t="n">
        <x:f aca="0">G21-G20</x:f>
        <x:v>-1.6999037759381288</x:v>
      </x:c>
      <x:c r="I21" s="100" t="n">
        <x:f aca="0">H21/1</x:f>
        <x:v>-1.6999037759381288</x:v>
      </x:c>
      <x:c r="J21" s="100" t="n">
        <x:f aca="0">B21-D21-E21</x:f>
        <x:v>-3.373515231671959</x:v>
      </x:c>
      <x:c r="K21" s="100" t="n">
        <x:f aca="0">B21</x:f>
        <x:v>35.46875301996639</x:v>
      </x:c>
      <x:c r="L21" s="100" t="n">
        <x:f aca="0">0</x:f>
        <x:v>0</x:v>
      </x:c>
      <x:c r="M21" s="100" t="n">
        <x:f aca="0">IF(AND(A21&gt;=S08_Defaults!$B$11,A21&lt;=S08_Defaults!$B$12),J21,0)</x:f>
        <x:v>-3.373515231671959</x:v>
      </x:c>
      <x:c r="N21" s="100" t="n">
        <x:f aca="0">IF(AND(A21&gt;=S08_Defaults!$B$11,A21&lt;=S08_Defaults!$B$12),K21-L21,0)</x:f>
        <x:v>35.46875301996639</x:v>
      </x:c>
      <x:c r="O21" s="37" t="s">
        <x:v>1271</x:v>
      </x:c>
    </x:row>
    <x:row r="22" ht="15" hidden="0" customHeight="1">
      <x:c r="A22" s="37" t="n">
        <x:v>2022</x:v>
      </x:c>
      <x:c r="B22" s="100" t="n">
        <x:f aca="0">SUM(S19_Moist_Broadleaf_ER!H16,S19_Moist_Broadleaf_ER!H17,S19_Moist_Broadleaf_ER!H18,S19_Moist_Broadleaf_ER!H19)</x:f>
        <x:v>366.15350258091735</x:v>
      </x:c>
      <x:c r="C22" s="100" t="n">
        <x:f aca="0">SUM(S19_Moist_Broadleaf_ER!AC16,S19_Moist_Broadleaf_ER!AC17,S19_Moist_Broadleaf_ER!AC18,S19_Moist_Broadleaf_ER!AC19)</x:f>
        <x:v>251.79072018010422</x:v>
      </x:c>
      <x:c r="D22" s="100" t="n">
        <x:f aca="0">IF($B$4=0,0,S33_Project_Deductions!D6*$B$4/S08_Defaults!$B$14)</x:f>
        <x:v>22.073823327183796</x:v>
      </x:c>
      <x:c r="E22" s="100" t="n">
        <x:f aca="0">IF($B$4=0,0,S33_Project_Deductions!E6*$B$4/S08_Defaults!$B$14)</x:f>
        <x:v>42.92725761245775</x:v>
      </x:c>
      <x:c r="F22" s="100" t="n">
        <x:f aca="0">S08_Defaults!$B$9</x:f>
        <x:v>0.2</x:v>
      </x:c>
      <x:c r="G22" s="100" t="n">
        <x:f aca="0">C22*(1-F22)-D22-E22</x:f>
        <x:v>136.43149520444183</x:v>
      </x:c>
      <x:c r="H22" s="100" t="n">
        <x:f aca="0">G22-G21</x:f>
        <x:v>155.76128510186544</x:v>
      </x:c>
      <x:c r="I22" s="100" t="n">
        <x:f aca="0">H22/1</x:f>
        <x:v>155.76128510186544</x:v>
      </x:c>
      <x:c r="J22" s="100" t="n">
        <x:f aca="0">B22-D22-E22</x:f>
        <x:v>301.1524216412758</x:v>
      </x:c>
      <x:c r="K22" s="100" t="n">
        <x:f aca="0">B22</x:f>
        <x:v>366.15350258091735</x:v>
      </x:c>
      <x:c r="L22" s="100" t="n">
        <x:f aca="0">0</x:f>
        <x:v>0</x:v>
      </x:c>
      <x:c r="M22" s="100" t="n">
        <x:f aca="0">IF(AND(A22&gt;=S08_Defaults!$B$11,A22&lt;=S08_Defaults!$B$12),J22,0)</x:f>
        <x:v>301.1524216412758</x:v>
      </x:c>
      <x:c r="N22" s="100" t="n">
        <x:f aca="0">IF(AND(A22&gt;=S08_Defaults!$B$11,A22&lt;=S08_Defaults!$B$12),K22-L22,0)</x:f>
        <x:v>366.15350258091735</x:v>
      </x:c>
      <x:c r="O22" s="37" t="s">
        <x:v>1271</x:v>
      </x:c>
    </x:row>
    <x:row r="23" ht="15" hidden="0" customHeight="1">
      <x:c r="A23" s="37" t="n">
        <x:v>2023</x:v>
      </x:c>
      <x:c r="B23" s="100" t="n">
        <x:f aca="0">SUM(S19_Moist_Broadleaf_ER!I16,S19_Moist_Broadleaf_ER!I17,S19_Moist_Broadleaf_ER!I18,S19_Moist_Broadleaf_ER!I19)</x:f>
        <x:v>1291.0582993432338</x:v>
      </x:c>
      <x:c r="C23" s="100" t="n">
        <x:f aca="0">SUM(S19_Moist_Broadleaf_ER!AD16,S19_Moist_Broadleaf_ER!AD17,S19_Moist_Broadleaf_ER!AD18,S19_Moist_Broadleaf_ER!AD19)</x:f>
        <x:v>887.8148008820257</x:v>
      </x:c>
      <x:c r="D23" s="100" t="n">
        <x:f aca="0">IF($B$4=0,0,S33_Project_Deductions!D7*$B$4/S08_Defaults!$B$14)</x:f>
        <x:v>38.61075525224836</x:v>
      </x:c>
      <x:c r="E23" s="100" t="n">
        <x:f aca="0">IF($B$4=0,0,S33_Project_Deductions!E7*$B$4/S08_Defaults!$B$14)</x:f>
        <x:v>57.369279444428386</x:v>
      </x:c>
      <x:c r="F23" s="100" t="n">
        <x:f aca="0">S08_Defaults!$B$9</x:f>
        <x:v>0.2</x:v>
      </x:c>
      <x:c r="G23" s="100" t="n">
        <x:f aca="0">C23*(1-F23)-D23-E23</x:f>
        <x:v>614.2718060089438</x:v>
      </x:c>
      <x:c r="H23" s="100" t="n">
        <x:f aca="0">G23-G22</x:f>
        <x:v>477.840310804502</x:v>
      </x:c>
      <x:c r="I23" s="100" t="n">
        <x:f aca="0">H23/1</x:f>
        <x:v>477.840310804502</x:v>
      </x:c>
      <x:c r="J23" s="100" t="n">
        <x:f aca="0">B23-D23-E23</x:f>
        <x:v>1195.078264646557</x:v>
      </x:c>
      <x:c r="K23" s="100" t="n">
        <x:f aca="0">B23</x:f>
        <x:v>1291.0582993432338</x:v>
      </x:c>
      <x:c r="L23" s="100" t="n">
        <x:f aca="0">0</x:f>
        <x:v>0</x:v>
      </x:c>
      <x:c r="M23" s="100" t="n">
        <x:f aca="0">IF(AND(A23&gt;=S08_Defaults!$B$11,A23&lt;=S08_Defaults!$B$12),J23,0)</x:f>
        <x:v>1195.078264646557</x:v>
      </x:c>
      <x:c r="N23" s="100" t="n">
        <x:f aca="0">IF(AND(A23&gt;=S08_Defaults!$B$11,A23&lt;=S08_Defaults!$B$12),K23-L23,0)</x:f>
        <x:v>1291.0582993432338</x:v>
      </x:c>
      <x:c r="O23" s="37" t="s">
        <x:v>1271</x:v>
      </x:c>
    </x:row>
    <x:row r="24" ht="15" hidden="0" customHeight="1">
      <x:c r="A24" s="37" t="n">
        <x:v>2024</x:v>
      </x:c>
      <x:c r="B24" s="100" t="n">
        <x:f aca="0">SUM(S19_Moist_Broadleaf_ER!J16,S19_Moist_Broadleaf_ER!J17,S19_Moist_Broadleaf_ER!J18,S19_Moist_Broadleaf_ER!J19)</x:f>
        <x:v>2961.2973797938816</x:v>
      </x:c>
      <x:c r="C24" s="100" t="n">
        <x:f aca="0">SUM(S19_Moist_Broadleaf_ER!AE16,S19_Moist_Broadleaf_ER!AE17,S19_Moist_Broadleaf_ER!AE18,S19_Moist_Broadleaf_ER!AE19)</x:f>
        <x:v>2036.3787173140006</x:v>
      </x:c>
      <x:c r="D24" s="100" t="n">
        <x:f aca="0">IF($B$4=0,0,S33_Project_Deductions!D8*$B$4/S08_Defaults!$B$14)</x:f>
        <x:v>56.75259013394411</x:v>
      </x:c>
      <x:c r="E24" s="100" t="n">
        <x:f aca="0">IF($B$4=0,0,S33_Project_Deductions!E8*$B$4/S08_Defaults!$B$14)</x:f>
        <x:v>71.30442801013815</x:v>
      </x:c>
      <x:c r="F24" s="100" t="n">
        <x:f aca="0">S08_Defaults!$B$9</x:f>
        <x:v>0.2</x:v>
      </x:c>
      <x:c r="G24" s="100" t="n">
        <x:f aca="0">C24*(1-F24)-D24-E24</x:f>
        <x:v>1501.0459557071185</x:v>
      </x:c>
      <x:c r="H24" s="100" t="n">
        <x:f aca="0">G24-G23</x:f>
        <x:v>886.7741496981747</x:v>
      </x:c>
      <x:c r="I24" s="100" t="n">
        <x:f aca="0">H24/1</x:f>
        <x:v>886.7741496981747</x:v>
      </x:c>
      <x:c r="J24" s="100" t="n">
        <x:f aca="0">B24-D24-E24</x:f>
        <x:v>2833.2403616497995</x:v>
      </x:c>
      <x:c r="K24" s="100" t="n">
        <x:f aca="0">B24</x:f>
        <x:v>2961.2973797938816</x:v>
      </x:c>
      <x:c r="L24" s="100" t="n">
        <x:f aca="0">0</x:f>
        <x:v>0</x:v>
      </x:c>
      <x:c r="M24" s="100" t="n">
        <x:f aca="0">IF(AND(A24&gt;=S08_Defaults!$B$11,A24&lt;=S08_Defaults!$B$12),J24,0)</x:f>
        <x:v>2833.2403616497995</x:v>
      </x:c>
      <x:c r="N24" s="100" t="n">
        <x:f aca="0">IF(AND(A24&gt;=S08_Defaults!$B$11,A24&lt;=S08_Defaults!$B$12),K24-L24,0)</x:f>
        <x:v>2961.2973797938816</x:v>
      </x:c>
      <x:c r="O24" s="37" t="s">
        <x:v>1271</x:v>
      </x:c>
    </x:row>
    <x:row r="25" ht="15" hidden="0" customHeight="1">
      <x:c r="A25" s="37" t="n">
        <x:v>2025</x:v>
      </x:c>
      <x:c r="B25" s="100" t="n">
        <x:f aca="0">SUM(S19_Moist_Broadleaf_ER!K16,S19_Moist_Broadleaf_ER!K17,S19_Moist_Broadleaf_ER!K18,S19_Moist_Broadleaf_ER!K19)</x:f>
        <x:v>5354.387733145843</x:v>
      </x:c>
      <x:c r="C25" s="100" t="n">
        <x:f aca="0">SUM(S19_Moist_Broadleaf_ER!AF16,S19_Moist_Broadleaf_ER!AF17,S19_Moist_Broadleaf_ER!AF18,S19_Moist_Broadleaf_ER!AF19)</x:f>
        <x:v>3682.021703873687</x:v>
      </x:c>
      <x:c r="D25" s="100" t="n">
        <x:f aca="0">IF($B$4=0,0,S33_Project_Deductions!D9*$B$4/S08_Defaults!$B$14)</x:f>
        <x:v>75.68923521335034</x:v>
      </x:c>
      <x:c r="E25" s="100" t="n">
        <x:f aca="0">IF($B$4=0,0,S33_Project_Deductions!E9*$B$4/S08_Defaults!$B$14)</x:f>
        <x:v>71.30442801013815</x:v>
      </x:c>
      <x:c r="F25" s="100" t="n">
        <x:f aca="0">S08_Defaults!$B$9</x:f>
        <x:v>0.2</x:v>
      </x:c>
      <x:c r="G25" s="100" t="n">
        <x:f aca="0">C25*(1-F25)-D25-E25</x:f>
        <x:v>2798.623699875461</x:v>
      </x:c>
      <x:c r="H25" s="100" t="n">
        <x:f aca="0">G25-G24</x:f>
        <x:v>1297.5777441683426</x:v>
      </x:c>
      <x:c r="I25" s="100" t="n">
        <x:f aca="0">H25/1</x:f>
        <x:v>1297.5777441683426</x:v>
      </x:c>
      <x:c r="J25" s="100" t="n">
        <x:f aca="0">B25-D25-E25</x:f>
        <x:v>5207.394069922355</x:v>
      </x:c>
      <x:c r="K25" s="100" t="n">
        <x:f aca="0">B25</x:f>
        <x:v>5354.387733145843</x:v>
      </x:c>
      <x:c r="L25" s="100" t="n">
        <x:f aca="0">0</x:f>
        <x:v>0</x:v>
      </x:c>
      <x:c r="M25" s="100" t="n">
        <x:f aca="0">IF(AND(A25&gt;=S08_Defaults!$B$11,A25&lt;=S08_Defaults!$B$12),J25,0)</x:f>
        <x:v>5207.394069922355</x:v>
      </x:c>
      <x:c r="N25" s="100" t="n">
        <x:f aca="0">IF(AND(A25&gt;=S08_Defaults!$B$11,A25&lt;=S08_Defaults!$B$12),K25-L25,0)</x:f>
        <x:v>5354.387733145843</x:v>
      </x:c>
      <x:c r="O25" s="37" t="s">
        <x:v>1271</x:v>
      </x:c>
    </x:row>
    <x:row r="26" ht="15" hidden="0" customHeight="1">
      <x:c r="A26" s="37" t="n">
        <x:v>2026</x:v>
      </x:c>
      <x:c r="B26" s="100" t="n">
        <x:f aca="0">SUM(S19_Moist_Broadleaf_ER!L16,S19_Moist_Broadleaf_ER!L17,S19_Moist_Broadleaf_ER!L18,S19_Moist_Broadleaf_ER!L19)</x:f>
        <x:v>8351.040629413135</x:v>
      </x:c>
      <x:c r="C26" s="100" t="n">
        <x:f aca="0">SUM(S19_Moist_Broadleaf_ER!AG16,S19_Moist_Broadleaf_ER!AG17,S19_Moist_Broadleaf_ER!AG18,S19_Moist_Broadleaf_ER!AG19)</x:f>
        <x:v>5742.713150391232</x:v>
      </x:c>
      <x:c r="D26" s="100" t="n">
        <x:f aca="0">IF($B$4=0,0,S33_Project_Deductions!D10*$B$4/S08_Defaults!$B$14)</x:f>
        <x:v>94.74819336237404</x:v>
      </x:c>
      <x:c r="E26" s="100" t="n">
        <x:f aca="0">IF($B$4=0,0,S33_Project_Deductions!E10*$B$4/S08_Defaults!$B$14)</x:f>
        <x:v>71.30442801013815</x:v>
      </x:c>
      <x:c r="F26" s="100" t="n">
        <x:f aca="0">S08_Defaults!$B$9</x:f>
        <x:v>0.2</x:v>
      </x:c>
      <x:c r="G26" s="100" t="n">
        <x:f aca="0">C26*(1-F26)-D26-E26</x:f>
        <x:v>4428.117898940473</x:v>
      </x:c>
      <x:c r="H26" s="100" t="n">
        <x:f aca="0">G26-G25</x:f>
        <x:v>1629.4941990650123</x:v>
      </x:c>
      <x:c r="I26" s="100" t="n">
        <x:f aca="0">H26/1</x:f>
        <x:v>1629.4941990650123</x:v>
      </x:c>
      <x:c r="J26" s="100" t="n">
        <x:f aca="0">B26-D26-E26</x:f>
        <x:v>8184.988008040622</x:v>
      </x:c>
      <x:c r="K26" s="100" t="n">
        <x:f aca="0">B26</x:f>
        <x:v>8351.040629413135</x:v>
      </x:c>
      <x:c r="L26" s="100" t="n">
        <x:f aca="0">0</x:f>
        <x:v>0</x:v>
      </x:c>
      <x:c r="M26" s="100" t="n">
        <x:f aca="0">IF(AND(A26&gt;=S08_Defaults!$B$11,A26&lt;=S08_Defaults!$B$12),J26,0)</x:f>
        <x:v>8184.988008040622</x:v>
      </x:c>
      <x:c r="N26" s="100" t="n">
        <x:f aca="0">IF(AND(A26&gt;=S08_Defaults!$B$11,A26&lt;=S08_Defaults!$B$12),K26-L26,0)</x:f>
        <x:v>8351.040629413135</x:v>
      </x:c>
      <x:c r="O26" s="37" t="s">
        <x:v>1271</x:v>
      </x:c>
    </x:row>
    <x:row r="27" ht="15" hidden="0" customHeight="1">
      <x:c r="A27" s="37" t="n">
        <x:v>2027</x:v>
      </x:c>
      <x:c r="B27" s="100" t="n">
        <x:f aca="0">SUM(S19_Moist_Broadleaf_ER!M16,S19_Moist_Broadleaf_ER!M17,S19_Moist_Broadleaf_ER!M18,S19_Moist_Broadleaf_ER!M19)</x:f>
        <x:v>11787.372650085128</x:v>
      </x:c>
      <x:c r="C27" s="100" t="n">
        <x:f aca="0">SUM(S19_Moist_Broadleaf_ER!AH16,S19_Moist_Broadleaf_ER!AH17,S19_Moist_Broadleaf_ER!AH18,S19_Moist_Broadleaf_ER!AH19)</x:f>
        <x:v>8105.756268002111</x:v>
      </x:c>
      <x:c r="D27" s="100" t="n">
        <x:f aca="0">IF($B$4=0,0,S33_Project_Deductions!D11*$B$4/S08_Defaults!$B$14)</x:f>
        <x:v>113.81517047045125</x:v>
      </x:c>
      <x:c r="E27" s="100" t="n">
        <x:f aca="0">IF($B$4=0,0,S33_Project_Deductions!E11*$B$4/S08_Defaults!$B$14)</x:f>
        <x:v>71.30442801013815</x:v>
      </x:c>
      <x:c r="F27" s="100" t="n">
        <x:f aca="0">S08_Defaults!$B$9</x:f>
        <x:v>0.2</x:v>
      </x:c>
      <x:c r="G27" s="100" t="n">
        <x:f aca="0">C27*(1-F27)-D27-E27</x:f>
        <x:v>6299.485415921099</x:v>
      </x:c>
      <x:c r="H27" s="100" t="n">
        <x:f aca="0">G27-G26</x:f>
        <x:v>1871.3675169806256</x:v>
      </x:c>
      <x:c r="I27" s="100" t="n">
        <x:f aca="0">H27/1</x:f>
        <x:v>1871.3675169806256</x:v>
      </x:c>
      <x:c r="J27" s="100" t="n">
        <x:f aca="0">B27-D27-E27</x:f>
        <x:v>11602.253051604539</x:v>
      </x:c>
      <x:c r="K27" s="100" t="n">
        <x:f aca="0">B27</x:f>
        <x:v>11787.372650085128</x:v>
      </x:c>
      <x:c r="L27" s="100" t="n">
        <x:f aca="0">0</x:f>
        <x:v>0</x:v>
      </x:c>
      <x:c r="M27" s="100" t="n">
        <x:f aca="0">IF(AND(A27&gt;=S08_Defaults!$B$11,A27&lt;=S08_Defaults!$B$12),J27,0)</x:f>
        <x:v>11602.253051604539</x:v>
      </x:c>
      <x:c r="N27" s="100" t="n">
        <x:f aca="0">IF(AND(A27&gt;=S08_Defaults!$B$11,A27&lt;=S08_Defaults!$B$12),K27-L27,0)</x:f>
        <x:v>11787.372650085128</x:v>
      </x:c>
      <x:c r="O27" s="37" t="s">
        <x:v>1271</x:v>
      </x:c>
    </x:row>
    <x:row r="28" ht="15" hidden="0" customHeight="1">
      <x:c r="A28" s="37" t="n">
        <x:v>2028</x:v>
      </x:c>
      <x:c r="B28" s="100" t="n">
        <x:f aca="0">SUM(S19_Moist_Broadleaf_ER!N16,S19_Moist_Broadleaf_ER!N17,S19_Moist_Broadleaf_ER!N18,S19_Moist_Broadleaf_ER!N19)</x:f>
        <x:v>15493.670516178243</x:v>
      </x:c>
      <x:c r="C28" s="100" t="n">
        <x:f aca="0">SUM(S19_Moist_Broadleaf_ER!AI16,S19_Moist_Broadleaf_ER!AI17,S19_Moist_Broadleaf_ER!AI18,S19_Moist_Broadleaf_ER!AI19)</x:f>
        <x:v>10654.4452804726</x:v>
      </x:c>
      <x:c r="D28" s="100" t="n">
        <x:f aca="0">IF($B$4=0,0,S33_Project_Deductions!D12*$B$4/S08_Defaults!$B$14)</x:f>
        <x:v>132.88214757852842</x:v>
      </x:c>
      <x:c r="E28" s="100" t="n">
        <x:f aca="0">IF($B$4=0,0,S33_Project_Deductions!E12*$B$4/S08_Defaults!$B$14)</x:f>
        <x:v>71.30442801013815</x:v>
      </x:c>
      <x:c r="F28" s="100" t="n">
        <x:f aca="0">S08_Defaults!$B$9</x:f>
        <x:v>0.2</x:v>
      </x:c>
      <x:c r="G28" s="100" t="n">
        <x:f aca="0">C28*(1-F28)-D28-E28</x:f>
        <x:v>8319.369648789414</x:v>
      </x:c>
      <x:c r="H28" s="100" t="n">
        <x:f aca="0">G28-G27</x:f>
        <x:v>2019.884232868315</x:v>
      </x:c>
      <x:c r="I28" s="100" t="n">
        <x:f aca="0">H28/1</x:f>
        <x:v>2019.884232868315</x:v>
      </x:c>
      <x:c r="J28" s="100" t="n">
        <x:f aca="0">B28-D28-E28</x:f>
        <x:v>15289.483940589576</x:v>
      </x:c>
      <x:c r="K28" s="100" t="n">
        <x:f aca="0">B28</x:f>
        <x:v>15493.670516178243</x:v>
      </x:c>
      <x:c r="L28" s="100" t="n">
        <x:f aca="0">0</x:f>
        <x:v>0</x:v>
      </x:c>
      <x:c r="M28" s="100" t="n">
        <x:f aca="0">IF(AND(A28&gt;=S08_Defaults!$B$11,A28&lt;=S08_Defaults!$B$12),J28,0)</x:f>
        <x:v>15289.483940589576</x:v>
      </x:c>
      <x:c r="N28" s="100" t="n">
        <x:f aca="0">IF(AND(A28&gt;=S08_Defaults!$B$11,A28&lt;=S08_Defaults!$B$12),K28-L28,0)</x:f>
        <x:v>15493.670516178243</x:v>
      </x:c>
      <x:c r="O28" s="37" t="s">
        <x:v>1271</x:v>
      </x:c>
    </x:row>
    <x:row r="29" ht="15" hidden="0" customHeight="1">
      <x:c r="A29" s="37" t="n">
        <x:v>2029</x:v>
      </x:c>
      <x:c r="B29" s="100" t="n">
        <x:f aca="0">SUM(S19_Moist_Broadleaf_ER!O16,S19_Moist_Broadleaf_ER!O17,S19_Moist_Broadleaf_ER!O18,S19_Moist_Broadleaf_ER!O19)</x:f>
        <x:v>19316.744260678104</x:v>
      </x:c>
      <x:c r="C29" s="100" t="n">
        <x:f aca="0">SUM(S19_Moist_Broadleaf_ER!AJ16,S19_Moist_Broadleaf_ER!AJ17,S19_Moist_Broadleaf_ER!AJ18,S19_Moist_Broadleaf_ER!AJ19)</x:f>
        <x:v>13283.436904597613</x:v>
      </x:c>
      <x:c r="D29" s="100" t="n">
        <x:f aca="0">IF($B$4=0,0,S33_Project_Deductions!D13*$B$4/S08_Defaults!$B$14)</x:f>
        <x:v>151.94912468660561</x:v>
      </x:c>
      <x:c r="E29" s="100" t="n">
        <x:f aca="0">IF($B$4=0,0,S33_Project_Deductions!E13*$B$4/S08_Defaults!$B$14)</x:f>
        <x:v>71.30442801013815</x:v>
      </x:c>
      <x:c r="F29" s="100" t="n">
        <x:f aca="0">S08_Defaults!$B$9</x:f>
        <x:v>0.2</x:v>
      </x:c>
      <x:c r="G29" s="100" t="n">
        <x:f aca="0">C29*(1-F29)-D29-E29</x:f>
        <x:v>10403.495970981347</x:v>
      </x:c>
      <x:c r="H29" s="100" t="n">
        <x:f aca="0">G29-G28</x:f>
        <x:v>2084.1263221919326</x:v>
      </x:c>
      <x:c r="I29" s="100" t="n">
        <x:f aca="0">H29/1</x:f>
        <x:v>2084.1263221919326</x:v>
      </x:c>
      <x:c r="J29" s="100" t="n">
        <x:f aca="0">B29-D29-E29</x:f>
        <x:v>19093.49070798136</x:v>
      </x:c>
      <x:c r="K29" s="100" t="n">
        <x:f aca="0">B29</x:f>
        <x:v>19316.744260678104</x:v>
      </x:c>
      <x:c r="L29" s="100" t="n">
        <x:f aca="0">0</x:f>
        <x:v>0</x:v>
      </x:c>
      <x:c r="M29" s="100" t="n">
        <x:f aca="0">IF(AND(A29&gt;=S08_Defaults!$B$11,A29&lt;=S08_Defaults!$B$12),J29,0)</x:f>
        <x:v>19093.49070798136</x:v>
      </x:c>
      <x:c r="N29" s="100" t="n">
        <x:f aca="0">IF(AND(A29&gt;=S08_Defaults!$B$11,A29&lt;=S08_Defaults!$B$12),K29-L29,0)</x:f>
        <x:v>19316.744260678104</x:v>
      </x:c>
      <x:c r="O29" s="37" t="s">
        <x:v>1271</x:v>
      </x:c>
    </x:row>
    <x:row r="30" ht="15" hidden="0" customHeight="1">
      <x:c r="A30" s="37" t="n">
        <x:v>2030</x:v>
      </x:c>
      <x:c r="B30" s="100" t="n">
        <x:f aca="0">SUM(S19_Moist_Broadleaf_ER!P16,S19_Moist_Broadleaf_ER!P17,S19_Moist_Broadleaf_ER!P18,S19_Moist_Broadleaf_ER!P19)</x:f>
        <x:v>23130.21707602228</x:v>
      </x:c>
      <x:c r="C30" s="100" t="n">
        <x:f aca="0">SUM(S19_Moist_Broadleaf_ER!AK16,S19_Moist_Broadleaf_ER!AK17,S19_Moist_Broadleaf_ER!AK18,S19_Moist_Broadleaf_ER!AK19)</x:f>
        <x:v>15905.826311757695</x:v>
      </x:c>
      <x:c r="D30" s="100" t="n">
        <x:f aca="0">IF($B$4=0,0,S33_Project_Deductions!D14*$B$4/S08_Defaults!$B$14)</x:f>
        <x:v>171.0161017946828</x:v>
      </x:c>
      <x:c r="E30" s="100" t="n">
        <x:f aca="0">IF($B$4=0,0,S33_Project_Deductions!E14*$B$4/S08_Defaults!$B$14)</x:f>
        <x:v>71.30442801013815</x:v>
      </x:c>
      <x:c r="F30" s="100" t="n">
        <x:f aca="0">S08_Defaults!$B$9</x:f>
        <x:v>0.2</x:v>
      </x:c>
      <x:c r="G30" s="100" t="n">
        <x:f aca="0">C30*(1-F30)-D30-E30</x:f>
        <x:v>12482.340519601335</x:v>
      </x:c>
      <x:c r="H30" s="100" t="n">
        <x:f aca="0">G30-G29</x:f>
        <x:v>2078.844548619989</x:v>
      </x:c>
      <x:c r="I30" s="100" t="n">
        <x:f aca="0">H30/1</x:f>
        <x:v>2078.844548619989</x:v>
      </x:c>
      <x:c r="J30" s="100" t="n">
        <x:f aca="0">B30-D30-E30</x:f>
        <x:v>22887.89654621746</x:v>
      </x:c>
      <x:c r="K30" s="100" t="n">
        <x:f aca="0">B30</x:f>
        <x:v>23130.21707602228</x:v>
      </x:c>
      <x:c r="L30" s="100" t="n">
        <x:f aca="0">0</x:f>
        <x:v>0</x:v>
      </x:c>
      <x:c r="M30" s="100" t="n">
        <x:f aca="0">IF(AND(A30&gt;=S08_Defaults!$B$11,A30&lt;=S08_Defaults!$B$12),J30,0)</x:f>
        <x:v>22887.89654621746</x:v>
      </x:c>
      <x:c r="N30" s="100" t="n">
        <x:f aca="0">IF(AND(A30&gt;=S08_Defaults!$B$11,A30&lt;=S08_Defaults!$B$12),K30-L30,0)</x:f>
        <x:v>23130.21707602228</x:v>
      </x:c>
      <x:c r="O30" s="37" t="s">
        <x:v>1271</x:v>
      </x:c>
    </x:row>
    <x:row r="31" ht="15" hidden="0" customHeight="1">
      <x:c r="A31" s="37" t="n">
        <x:v>2031</x:v>
      </x:c>
      <x:c r="B31" s="100" t="n">
        <x:f aca="0">SUM(S19_Moist_Broadleaf_ER!Q16,S19_Moist_Broadleaf_ER!Q17,S19_Moist_Broadleaf_ER!Q18,S19_Moist_Broadleaf_ER!Q19)</x:f>
        <x:v>26837.116770295586</x:v>
      </x:c>
      <x:c r="C31" s="100" t="n">
        <x:f aca="0">SUM(S19_Moist_Broadleaf_ER!AL16,S19_Moist_Broadleaf_ER!AL17,S19_Moist_Broadleaf_ER!AL18,S19_Moist_Broadleaf_ER!AL19)</x:f>
        <x:v>18454.92918002868</x:v>
      </x:c>
      <x:c r="D31" s="100" t="n">
        <x:f aca="0">IF($B$4=0,0,S33_Project_Deductions!D15*$B$4/S08_Defaults!$B$14)</x:f>
        <x:v>190.08307890276</x:v>
      </x:c>
      <x:c r="E31" s="100" t="n">
        <x:f aca="0">IF($B$4=0,0,S33_Project_Deductions!E15*$B$4/S08_Defaults!$B$14)</x:f>
        <x:v>71.30442801013815</x:v>
      </x:c>
      <x:c r="F31" s="100" t="n">
        <x:f aca="0">S08_Defaults!$B$9</x:f>
        <x:v>0.2</x:v>
      </x:c>
      <x:c r="G31" s="100" t="n">
        <x:f aca="0">C31*(1-F31)-D31-E31</x:f>
        <x:v>14502.555837110047</x:v>
      </x:c>
      <x:c r="H31" s="100" t="n">
        <x:f aca="0">G31-G30</x:f>
        <x:v>2020.2153175087115</x:v>
      </x:c>
      <x:c r="I31" s="100" t="n">
        <x:f aca="0">H31/1</x:f>
        <x:v>2020.2153175087115</x:v>
      </x:c>
      <x:c r="J31" s="100" t="n">
        <x:f aca="0">B31-D31-E31</x:f>
        <x:v>26575.729263382687</x:v>
      </x:c>
      <x:c r="K31" s="100" t="n">
        <x:f aca="0">B31</x:f>
        <x:v>26837.116770295586</x:v>
      </x:c>
      <x:c r="L31" s="100" t="n">
        <x:f aca="0">0</x:f>
        <x:v>0</x:v>
      </x:c>
      <x:c r="M31" s="100" t="n">
        <x:f aca="0">IF(AND(A31&gt;=S08_Defaults!$B$11,A31&lt;=S08_Defaults!$B$12),J31,0)</x:f>
        <x:v>26575.729263382687</x:v>
      </x:c>
      <x:c r="N31" s="100" t="n">
        <x:f aca="0">IF(AND(A31&gt;=S08_Defaults!$B$11,A31&lt;=S08_Defaults!$B$12),K31-L31,0)</x:f>
        <x:v>26837.116770295586</x:v>
      </x:c>
      <x:c r="O31" s="37" t="s">
        <x:v>1271</x:v>
      </x:c>
    </x:row>
    <x:row r="32" ht="15" hidden="0" customHeight="1">
      <x:c r="A32" s="37" t="n">
        <x:v>2032</x:v>
      </x:c>
      <x:c r="B32" s="100" t="n">
        <x:f aca="0">SUM(S19_Moist_Broadleaf_ER!R16,S19_Moist_Broadleaf_ER!R17,S19_Moist_Broadleaf_ER!R18,S19_Moist_Broadleaf_ER!R19)</x:f>
        <x:v>30368.123308396174</x:v>
      </x:c>
      <x:c r="C32" s="100" t="n">
        <x:f aca="0">SUM(S19_Moist_Broadleaf_ER!AM16,S19_Moist_Broadleaf_ER!AM17,S19_Moist_Broadleaf_ER!AM18,S19_Moist_Broadleaf_ER!AM19)</x:f>
        <x:v>20883.076590669727</x:v>
      </x:c>
      <x:c r="D32" s="100" t="n">
        <x:f aca="0">IF($B$4=0,0,S33_Project_Deductions!D16*$B$4/S08_Defaults!$B$14)</x:f>
        <x:v>209.1500560108372</x:v>
      </x:c>
      <x:c r="E32" s="100" t="n">
        <x:f aca="0">IF($B$4=0,0,S33_Project_Deductions!E16*$B$4/S08_Defaults!$B$14)</x:f>
        <x:v>71.30442801013815</x:v>
      </x:c>
      <x:c r="F32" s="100" t="n">
        <x:f aca="0">S08_Defaults!$B$9</x:f>
        <x:v>0.2</x:v>
      </x:c>
      <x:c r="G32" s="100" t="n">
        <x:f aca="0">C32*(1-F32)-D32-E32</x:f>
        <x:v>16426.00678851481</x:v>
      </x:c>
      <x:c r="H32" s="100" t="n">
        <x:f aca="0">G32-G31</x:f>
        <x:v>1923.4509514047622</x:v>
      </x:c>
      <x:c r="I32" s="100" t="n">
        <x:f aca="0">H32/1</x:f>
        <x:v>1923.4509514047622</x:v>
      </x:c>
      <x:c r="J32" s="100" t="n">
        <x:f aca="0">B32-D32-E32</x:f>
        <x:v>30087.6688243752</x:v>
      </x:c>
      <x:c r="K32" s="100" t="n">
        <x:f aca="0">B32</x:f>
        <x:v>30368.123308396174</x:v>
      </x:c>
      <x:c r="L32" s="100" t="n">
        <x:f aca="0">0</x:f>
        <x:v>0</x:v>
      </x:c>
      <x:c r="M32" s="100" t="n">
        <x:f aca="0">IF(AND(A32&gt;=S08_Defaults!$B$11,A32&lt;=S08_Defaults!$B$12),J32,0)</x:f>
        <x:v>30087.6688243752</x:v>
      </x:c>
      <x:c r="N32" s="100" t="n">
        <x:f aca="0">IF(AND(A32&gt;=S08_Defaults!$B$11,A32&lt;=S08_Defaults!$B$12),K32-L32,0)</x:f>
        <x:v>30368.123308396174</x:v>
      </x:c>
      <x:c r="O32" s="37" t="s">
        <x:v>1271</x:v>
      </x:c>
    </x:row>
    <x:row r="33" ht="15" hidden="0" customHeight="1">
      <x:c r="A33" s="37" t="n">
        <x:v>2033</x:v>
      </x:c>
      <x:c r="B33" s="100" t="n">
        <x:f aca="0">SUM(S19_Moist_Broadleaf_ER!S16,S19_Moist_Broadleaf_ER!S17,S19_Moist_Broadleaf_ER!S18,S19_Moist_Broadleaf_ER!S19)</x:f>
        <x:v>33677.741141452476</x:v>
      </x:c>
      <x:c r="C33" s="100" t="n">
        <x:f aca="0">SUM(S19_Moist_Broadleaf_ER!AN16,S19_Moist_Broadleaf_ER!AN17,S19_Moist_Broadleaf_ER!AN18,S19_Moist_Broadleaf_ER!AN19)</x:f>
        <x:v>23158.982875417067</x:v>
      </x:c>
      <x:c r="D33" s="100" t="n">
        <x:f aca="0">IF($B$4=0,0,S33_Project_Deductions!D17*$B$4/S08_Defaults!$B$14)</x:f>
        <x:v>228.21703311891437</x:v>
      </x:c>
      <x:c r="E33" s="100" t="n">
        <x:f aca="0">IF($B$4=0,0,S33_Project_Deductions!E17*$B$4/S08_Defaults!$B$14)</x:f>
        <x:v>71.30442801013815</x:v>
      </x:c>
      <x:c r="F33" s="100" t="n">
        <x:f aca="0">S08_Defaults!$B$9</x:f>
        <x:v>0.2</x:v>
      </x:c>
      <x:c r="G33" s="100" t="n">
        <x:f aca="0">C33*(1-F33)-D33-E33</x:f>
        <x:v>18227.6648392046</x:v>
      </x:c>
      <x:c r="H33" s="100" t="n">
        <x:f aca="0">G33-G32</x:f>
        <x:v>1801.6580506897917</x:v>
      </x:c>
      <x:c r="I33" s="100" t="n">
        <x:f aca="0">H33/1</x:f>
        <x:v>1801.6580506897917</x:v>
      </x:c>
      <x:c r="J33" s="100" t="n">
        <x:f aca="0">B33-D33-E33</x:f>
        <x:v>33378.219680323426</x:v>
      </x:c>
      <x:c r="K33" s="100" t="n">
        <x:f aca="0">B33</x:f>
        <x:v>33677.741141452476</x:v>
      </x:c>
      <x:c r="L33" s="100" t="n">
        <x:f aca="0">0</x:f>
        <x:v>0</x:v>
      </x:c>
      <x:c r="M33" s="100" t="n">
        <x:f aca="0">IF(AND(A33&gt;=S08_Defaults!$B$11,A33&lt;=S08_Defaults!$B$12),J33,0)</x:f>
        <x:v>33378.219680323426</x:v>
      </x:c>
      <x:c r="N33" s="100" t="n">
        <x:f aca="0">IF(AND(A33&gt;=S08_Defaults!$B$11,A33&lt;=S08_Defaults!$B$12),K33-L33,0)</x:f>
        <x:v>33677.741141452476</x:v>
      </x:c>
      <x:c r="O33" s="37" t="s">
        <x:v>1271</x:v>
      </x:c>
    </x:row>
    <x:row r="34" ht="15" hidden="0" customHeight="1">
      <x:c r="A34" s="37" t="n">
        <x:v>2034</x:v>
      </x:c>
      <x:c r="B34" s="100" t="n">
        <x:f aca="0">SUM(S19_Moist_Broadleaf_ER!T16,S19_Moist_Broadleaf_ER!T17,S19_Moist_Broadleaf_ER!T18,S19_Moist_Broadleaf_ER!T19)</x:f>
        <x:v>36739.79531310246</x:v>
      </x:c>
      <x:c r="C34" s="100" t="n">
        <x:f aca="0">SUM(S19_Moist_Broadleaf_ER!AO16,S19_Moist_Broadleaf_ER!AO17,S19_Moist_Broadleaf_ER!AO18,S19_Moist_Broadleaf_ER!AO19)</x:f>
        <x:v>25264.648449215198</x:v>
      </x:c>
      <x:c r="D34" s="100" t="n">
        <x:f aca="0">IF($B$4=0,0,S33_Project_Deductions!D18*$B$4/S08_Defaults!$B$14)</x:f>
        <x:v>247.28401022699157</x:v>
      </x:c>
      <x:c r="E34" s="100" t="n">
        <x:f aca="0">IF($B$4=0,0,S33_Project_Deductions!E18*$B$4/S08_Defaults!$B$14)</x:f>
        <x:v>71.30442801013815</x:v>
      </x:c>
      <x:c r="F34" s="100" t="n">
        <x:f aca="0">S08_Defaults!$B$9</x:f>
        <x:v>0.2</x:v>
      </x:c>
      <x:c r="G34" s="100" t="n">
        <x:f aca="0">C34*(1-F34)-D34-E34</x:f>
        <x:v>19893.13032113503</x:v>
      </x:c>
      <x:c r="H34" s="100" t="n">
        <x:f aca="0">G34-G33</x:f>
        <x:v>1665.4654819304305</x:v>
      </x:c>
      <x:c r="I34" s="100" t="n">
        <x:f aca="0">H34/1</x:f>
        <x:v>1665.4654819304305</x:v>
      </x:c>
      <x:c r="J34" s="100" t="n">
        <x:f aca="0">B34-D34-E34</x:f>
        <x:v>36421.20687486533</x:v>
      </x:c>
      <x:c r="K34" s="100" t="n">
        <x:f aca="0">B34</x:f>
        <x:v>36739.79531310246</x:v>
      </x:c>
      <x:c r="L34" s="100" t="n">
        <x:f aca="0">0</x:f>
        <x:v>0</x:v>
      </x:c>
      <x:c r="M34" s="100" t="n">
        <x:f aca="0">IF(AND(A34&gt;=S08_Defaults!$B$11,A34&lt;=S08_Defaults!$B$12),J34,0)</x:f>
        <x:v>36421.20687486533</x:v>
      </x:c>
      <x:c r="N34" s="100" t="n">
        <x:f aca="0">IF(AND(A34&gt;=S08_Defaults!$B$11,A34&lt;=S08_Defaults!$B$12),K34-L34,0)</x:f>
        <x:v>36739.79531310246</x:v>
      </x:c>
      <x:c r="O34" s="37" t="s">
        <x:v>1271</x:v>
      </x:c>
    </x:row>
    <x:row r="35" ht="15" hidden="0" customHeight="1">
      <x:c r="A35" s="37" t="n">
        <x:v>2035</x:v>
      </x:c>
      <x:c r="B35" s="100" t="n">
        <x:f aca="0">SUM(S19_Moist_Broadleaf_ER!U16,S19_Moist_Broadleaf_ER!U17,S19_Moist_Broadleaf_ER!U18,S19_Moist_Broadleaf_ER!U19)</x:f>
        <x:v>39543.03720428956</x:v>
      </x:c>
      <x:c r="C35" s="100" t="n">
        <x:f aca="0">SUM(S19_Moist_Broadleaf_ER!AP16,S19_Moist_Broadleaf_ER!AP17,S19_Moist_Broadleaf_ER!AP18,S19_Moist_Broadleaf_ER!AP19)</x:f>
        <x:v>27192.338037450267</x:v>
      </x:c>
      <x:c r="D35" s="100" t="n">
        <x:f aca="0">IF($B$4=0,0,S33_Project_Deductions!D19*$B$4/S08_Defaults!$B$14)</x:f>
        <x:v>266.35098733506874</x:v>
      </x:c>
      <x:c r="E35" s="100" t="n">
        <x:f aca="0">IF($B$4=0,0,S33_Project_Deductions!E19*$B$4/S08_Defaults!$B$14)</x:f>
        <x:v>71.30442801013815</x:v>
      </x:c>
      <x:c r="F35" s="100" t="n">
        <x:f aca="0">S08_Defaults!$B$9</x:f>
        <x:v>0.2</x:v>
      </x:c>
      <x:c r="G35" s="100" t="n">
        <x:f aca="0">C35*(1-F35)-D35-E35</x:f>
        <x:v>21416.215014615005</x:v>
      </x:c>
      <x:c r="H35" s="100" t="n">
        <x:f aca="0">G35-G34</x:f>
        <x:v>1523.0846934799738</x:v>
      </x:c>
      <x:c r="I35" s="100" t="n">
        <x:f aca="0">H35/1</x:f>
        <x:v>1523.0846934799738</x:v>
      </x:c>
      <x:c r="J35" s="100" t="n">
        <x:f aca="0">B35-D35-E35</x:f>
        <x:v>39205.38178894435</x:v>
      </x:c>
      <x:c r="K35" s="100" t="n">
        <x:f aca="0">B35</x:f>
        <x:v>39543.03720428956</x:v>
      </x:c>
      <x:c r="L35" s="100" t="n">
        <x:f aca="0">0</x:f>
        <x:v>0</x:v>
      </x:c>
      <x:c r="M35" s="100" t="n">
        <x:f aca="0">IF(AND(A35&gt;=S08_Defaults!$B$11,A35&lt;=S08_Defaults!$B$12),J35,0)</x:f>
        <x:v>39205.38178894435</x:v>
      </x:c>
      <x:c r="N35" s="100" t="n">
        <x:f aca="0">IF(AND(A35&gt;=S08_Defaults!$B$11,A35&lt;=S08_Defaults!$B$12),K35-L35,0)</x:f>
        <x:v>39543.03720428956</x:v>
      </x:c>
      <x:c r="O35" s="37" t="s">
        <x:v>1271</x:v>
      </x:c>
    </x:row>
    <x:row r="36" ht="15" hidden="0" customHeight="1">
      <x:c r="A36" s="37" t="n">
        <x:v>2036</x:v>
      </x:c>
      <x:c r="B36" s="100" t="n">
        <x:f aca="0">SUM(S19_Moist_Broadleaf_ER!V16,S19_Moist_Broadleaf_ER!V17,S19_Moist_Broadleaf_ER!V18,S19_Moist_Broadleaf_ER!V19)</x:f>
        <x:v>42087.247401436856</x:v>
      </x:c>
      <x:c r="C36" s="100" t="n">
        <x:f aca="0">SUM(S19_Moist_Broadleaf_ER!AQ16,S19_Moist_Broadleaf_ER!AQ17,S19_Moist_Broadleaf_ER!AQ18,S19_Moist_Broadleaf_ER!AQ19)</x:f>
        <x:v>28941.900757221636</x:v>
      </x:c>
      <x:c r="D36" s="100" t="n">
        <x:f aca="0">IF($B$4=0,0,S33_Project_Deductions!D20*$B$4/S08_Defaults!$B$14)</x:f>
        <x:v>285.4179644431459</x:v>
      </x:c>
      <x:c r="E36" s="100" t="n">
        <x:f aca="0">IF($B$4=0,0,S33_Project_Deductions!E20*$B$4/S08_Defaults!$B$14)</x:f>
        <x:v>71.30442801013815</x:v>
      </x:c>
      <x:c r="F36" s="100" t="n">
        <x:f aca="0">S08_Defaults!$B$9</x:f>
        <x:v>0.2</x:v>
      </x:c>
      <x:c r="G36" s="100" t="n">
        <x:f aca="0">C36*(1-F36)-D36-E36</x:f>
        <x:v>22796.798213324026</x:v>
      </x:c>
      <x:c r="H36" s="100" t="n">
        <x:f aca="0">G36-G35</x:f>
        <x:v>1380.5831987090205</x:v>
      </x:c>
      <x:c r="I36" s="100" t="n">
        <x:f aca="0">H36/1</x:f>
        <x:v>1380.5831987090205</x:v>
      </x:c>
      <x:c r="J36" s="100" t="n">
        <x:f aca="0">B36-D36-E36</x:f>
        <x:v>41730.525008983575</x:v>
      </x:c>
      <x:c r="K36" s="100" t="n">
        <x:f aca="0">B36</x:f>
        <x:v>42087.247401436856</x:v>
      </x:c>
      <x:c r="L36" s="100" t="n">
        <x:f aca="0">0</x:f>
        <x:v>0</x:v>
      </x:c>
      <x:c r="M36" s="100" t="n">
        <x:f aca="0">IF(AND(A36&gt;=S08_Defaults!$B$11,A36&lt;=S08_Defaults!$B$12),J36,0)</x:f>
        <x:v>41730.525008983575</x:v>
      </x:c>
      <x:c r="N36" s="100" t="n">
        <x:f aca="0">IF(AND(A36&gt;=S08_Defaults!$B$11,A36&lt;=S08_Defaults!$B$12),K36-L36,0)</x:f>
        <x:v>42087.247401436856</x:v>
      </x:c>
      <x:c r="O36" s="37" t="s">
        <x:v>1271</x:v>
      </x:c>
    </x:row>
    <x:row r="37" ht="15" hidden="0" customHeight="1">
      <x:c r="A37" s="37" t="n">
        <x:v>2037</x:v>
      </x:c>
      <x:c r="B37" s="100" t="n">
        <x:f aca="0">SUM(S19_Moist_Broadleaf_ER!W16,S19_Moist_Broadleaf_ER!W17,S19_Moist_Broadleaf_ER!W18,S19_Moist_Broadleaf_ER!W19)</x:f>
        <x:v>44379.981548495736</x:v>
      </x:c>
      <x:c r="C37" s="100" t="n">
        <x:f aca="0">SUM(S19_Moist_Broadleaf_ER!AR16,S19_Moist_Broadleaf_ER!AR17,S19_Moist_Broadleaf_ER!AR18,S19_Moist_Broadleaf_ER!AR19)</x:f>
        <x:v>30518.53235571876</x:v>
      </x:c>
      <x:c r="D37" s="100" t="n">
        <x:f aca="0">IF($B$4=0,0,S33_Project_Deductions!D21*$B$4/S08_Defaults!$B$14)</x:f>
        <x:v>304.4849415512231</x:v>
      </x:c>
      <x:c r="E37" s="100" t="n">
        <x:f aca="0">IF($B$4=0,0,S33_Project_Deductions!E21*$B$4/S08_Defaults!$B$14)</x:f>
        <x:v>71.30442801013815</x:v>
      </x:c>
      <x:c r="F37" s="100" t="n">
        <x:f aca="0">S08_Defaults!$B$9</x:f>
        <x:v>0.2</x:v>
      </x:c>
      <x:c r="G37" s="100" t="n">
        <x:f aca="0">C37*(1-F37)-D37-E37</x:f>
        <x:v>24039.03651501365</x:v>
      </x:c>
      <x:c r="H37" s="100" t="n">
        <x:f aca="0">G37-G36</x:f>
        <x:v>1242.2383016896238</x:v>
      </x:c>
      <x:c r="I37" s="100" t="n">
        <x:f aca="0">H37/1</x:f>
        <x:v>1242.2383016896238</x:v>
      </x:c>
      <x:c r="J37" s="100" t="n">
        <x:f aca="0">B37-D37-E37</x:f>
        <x:v>44004.192178934376</x:v>
      </x:c>
      <x:c r="K37" s="100" t="n">
        <x:f aca="0">B37</x:f>
        <x:v>44379.981548495736</x:v>
      </x:c>
      <x:c r="L37" s="100" t="n">
        <x:f aca="0">0</x:f>
        <x:v>0</x:v>
      </x:c>
      <x:c r="M37" s="100" t="n">
        <x:f aca="0">IF(AND(A37&gt;=S08_Defaults!$B$11,A37&lt;=S08_Defaults!$B$12),J37,0)</x:f>
        <x:v>44004.192178934376</x:v>
      </x:c>
      <x:c r="N37" s="100" t="n">
        <x:f aca="0">IF(AND(A37&gt;=S08_Defaults!$B$11,A37&lt;=S08_Defaults!$B$12),K37-L37,0)</x:f>
        <x:v>44379.981548495736</x:v>
      </x:c>
      <x:c r="O37" s="37" t="s">
        <x:v>1271</x:v>
      </x:c>
    </x:row>
    <x:row r="38" ht="15" hidden="0" customHeight="1">
      <x:c r="A38" s="37" t="n">
        <x:v>2038</x:v>
      </x:c>
      <x:c r="B38" s="100" t="n">
        <x:f aca="0">SUM(S19_Moist_Broadleaf_ER!X16,S19_Moist_Broadleaf_ER!X17,S19_Moist_Broadleaf_ER!X18,S19_Moist_Broadleaf_ER!X19)</x:f>
        <x:v>46433.96909112992</x:v>
      </x:c>
      <x:c r="C38" s="100" t="n">
        <x:f aca="0">SUM(S19_Moist_Broadleaf_ER!AS16,S19_Moist_Broadleaf_ER!AS17,S19_Moist_Broadleaf_ER!AS18,S19_Moist_Broadleaf_ER!AS19)</x:f>
        <x:v>31930.9864192615</x:v>
      </x:c>
      <x:c r="D38" s="100" t="n">
        <x:f aca="0">IF($B$4=0,0,S33_Project_Deductions!D22*$B$4/S08_Defaults!$B$14)</x:f>
        <x:v>323.5519186593002</x:v>
      </x:c>
      <x:c r="E38" s="100" t="n">
        <x:f aca="0">IF($B$4=0,0,S33_Project_Deductions!E22*$B$4/S08_Defaults!$B$14)</x:f>
        <x:v>71.30442801013815</x:v>
      </x:c>
      <x:c r="F38" s="100" t="n">
        <x:f aca="0">S08_Defaults!$B$9</x:f>
        <x:v>0.2</x:v>
      </x:c>
      <x:c r="G38" s="100" t="n">
        <x:f aca="0">C38*(1-F38)-D38-E38</x:f>
        <x:v>25149.93278873976</x:v>
      </x:c>
      <x:c r="H38" s="100" t="n">
        <x:f aca="0">G38-G37</x:f>
        <x:v>1110.89627372611</x:v>
      </x:c>
      <x:c r="I38" s="100" t="n">
        <x:f aca="0">H38/1</x:f>
        <x:v>1110.89627372611</x:v>
      </x:c>
      <x:c r="J38" s="100" t="n">
        <x:f aca="0">B38-D38-E38</x:f>
        <x:v>46039.11274446048</x:v>
      </x:c>
      <x:c r="K38" s="100" t="n">
        <x:f aca="0">B38</x:f>
        <x:v>46433.96909112992</x:v>
      </x:c>
      <x:c r="L38" s="100" t="n">
        <x:f aca="0">0</x:f>
        <x:v>0</x:v>
      </x:c>
      <x:c r="M38" s="100" t="n">
        <x:f aca="0">IF(AND(A38&gt;=S08_Defaults!$B$11,A38&lt;=S08_Defaults!$B$12),J38,0)</x:f>
        <x:v>46039.11274446048</x:v>
      </x:c>
      <x:c r="N38" s="100" t="n">
        <x:f aca="0">IF(AND(A38&gt;=S08_Defaults!$B$11,A38&lt;=S08_Defaults!$B$12),K38-L38,0)</x:f>
        <x:v>46433.96909112992</x:v>
      </x:c>
      <x:c r="O38" s="37" t="s">
        <x:v>1271</x:v>
      </x:c>
    </x:row>
    <x:row r="39" ht="15" hidden="0" customHeight="1">
      <x:c r="A39" s="37" t="n">
        <x:v>2039</x:v>
      </x:c>
      <x:c r="B39" s="100" t="n">
        <x:f aca="0">SUM(S19_Moist_Broadleaf_ER!Y16,S19_Moist_Broadleaf_ER!Y17,S19_Moist_Broadleaf_ER!Y18,S19_Moist_Broadleaf_ER!Y19)</x:f>
        <x:v>48265.10600570129</x:v>
      </x:c>
      <x:c r="C39" s="100" t="n">
        <x:f aca="0">SUM(S19_Moist_Broadleaf_ER!AT16,S19_Moist_Broadleaf_ER!AT17,S19_Moist_Broadleaf_ER!AT18,S19_Moist_Broadleaf_ER!AT19)</x:f>
        <x:v>33190.19404452901</x:v>
      </x:c>
      <x:c r="D39" s="100" t="n">
        <x:f aca="0">IF($B$4=0,0,S33_Project_Deductions!D23*$B$4/S08_Defaults!$B$14)</x:f>
        <x:v>342.6188957673774</x:v>
      </x:c>
      <x:c r="E39" s="100" t="n">
        <x:f aca="0">IF($B$4=0,0,S33_Project_Deductions!E23*$B$4/S08_Defaults!$B$14)</x:f>
        <x:v>71.30442801013815</x:v>
      </x:c>
      <x:c r="F39" s="100" t="n">
        <x:f aca="0">S08_Defaults!$B$9</x:f>
        <x:v>0.2</x:v>
      </x:c>
      <x:c r="G39" s="100" t="n">
        <x:f aca="0">C39*(1-F39)-D39-E39</x:f>
        <x:v>26138.231911845694</x:v>
      </x:c>
      <x:c r="H39" s="100" t="n">
        <x:f aca="0">G39-G38</x:f>
        <x:v>988.299123105935</x:v>
      </x:c>
      <x:c r="I39" s="100" t="n">
        <x:f aca="0">H39/1</x:f>
        <x:v>988.299123105935</x:v>
      </x:c>
      <x:c r="J39" s="100" t="n">
        <x:f aca="0">B39-D39-E39</x:f>
        <x:v>47851.18268192377</x:v>
      </x:c>
      <x:c r="K39" s="100" t="n">
        <x:f aca="0">B39</x:f>
        <x:v>48265.10600570129</x:v>
      </x:c>
      <x:c r="L39" s="100" t="n">
        <x:f aca="0">0</x:f>
        <x:v>0</x:v>
      </x:c>
      <x:c r="M39" s="100" t="n">
        <x:f aca="0">IF(AND(A39&gt;=S08_Defaults!$B$11,A39&lt;=S08_Defaults!$B$12),J39,0)</x:f>
        <x:v>47851.18268192377</x:v>
      </x:c>
      <x:c r="N39" s="100" t="n">
        <x:f aca="0">IF(AND(A39&gt;=S08_Defaults!$B$11,A39&lt;=S08_Defaults!$B$12),K39-L39,0)</x:f>
        <x:v>48265.10600570129</x:v>
      </x:c>
      <x:c r="O39" s="37" t="s">
        <x:v>1271</x:v>
      </x:c>
    </x:row>
    <x:row r="40" ht="15" hidden="0" customHeight="1">
      <x:c r="A40" s="37" t="n">
        <x:v>2040</x:v>
      </x:c>
      <x:c r="B40" s="100" t="n">
        <x:f aca="0">SUM(S19_Moist_Broadleaf_ER!Z16,S19_Moist_Broadleaf_ER!Z17,S19_Moist_Broadleaf_ER!Z18,S19_Moist_Broadleaf_ER!Z19)</x:f>
        <x:v>49890.954166184034</x:v>
      </x:c>
      <x:c r="C40" s="100" t="n">
        <x:f aca="0">SUM(S19_Moist_Broadleaf_ER!AU16,S19_Moist_Broadleaf_ER!AU17,S19_Moist_Broadleaf_ER!AU18,S19_Moist_Broadleaf_ER!AU19)</x:f>
        <x:v>34308.2319066439</x:v>
      </x:c>
      <x:c r="D40" s="100" t="n">
        <x:f aca="0">IF($B$4=0,0,S33_Project_Deductions!D24*$B$4/S08_Defaults!$B$14)</x:f>
        <x:v>361.68587287545455</x:v>
      </x:c>
      <x:c r="E40" s="100" t="n">
        <x:f aca="0">IF($B$4=0,0,S33_Project_Deductions!E24*$B$4/S08_Defaults!$B$14)</x:f>
        <x:v>71.30442801013815</x:v>
      </x:c>
      <x:c r="F40" s="100" t="n">
        <x:f aca="0">S08_Defaults!$B$9</x:f>
        <x:v>0.2</x:v>
      </x:c>
      <x:c r="G40" s="100" t="n">
        <x:f aca="0">C40*(1-F40)-D40-E40</x:f>
        <x:v>27013.59522442953</x:v>
      </x:c>
      <x:c r="H40" s="100" t="n">
        <x:f aca="0">G40-G39</x:f>
        <x:v>875.3633125838351</x:v>
      </x:c>
      <x:c r="I40" s="100" t="n">
        <x:f aca="0">H40/1</x:f>
        <x:v>875.3633125838351</x:v>
      </x:c>
      <x:c r="J40" s="100" t="n">
        <x:f aca="0">B40-D40-E40</x:f>
        <x:v>49457.96386529844</x:v>
      </x:c>
      <x:c r="K40" s="100" t="n">
        <x:f aca="0">B40</x:f>
        <x:v>49890.954166184034</x:v>
      </x:c>
      <x:c r="L40" s="100" t="n">
        <x:f aca="0">0</x:f>
        <x:v>0</x:v>
      </x:c>
      <x:c r="M40" s="100" t="n">
        <x:f aca="0">IF(AND(A40&gt;=S08_Defaults!$B$11,A40&lt;=S08_Defaults!$B$12),J40,0)</x:f>
        <x:v>49457.96386529844</x:v>
      </x:c>
      <x:c r="N40" s="100" t="n">
        <x:f aca="0">IF(AND(A40&gt;=S08_Defaults!$B$11,A40&lt;=S08_Defaults!$B$12),K40-L40,0)</x:f>
        <x:v>49890.954166184034</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Moist Broadleaf Forests | Mixed Agroforestry (1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631</x:v>
      </x:c>
      <x:c r="B46" s="198" t="s">
        <x:v>542</x:v>
      </x:c>
      <x:c r="C46" s="198" t="n">
        <x:v>2020</x:v>
      </x:c>
      <x:c r="D46" s="198" t="n">
        <x:v>0.4444</x:v>
      </x:c>
      <x:c r="E46" s="198" t="s">
        <x:v>632</x:v>
      </x:c>
      <x:c r="F46" s="198" t="s">
        <x:v>630</x:v>
      </x:c>
      <x:c r="G46" s="1"/>
      <x:c r="H46" s="1"/>
      <x:c r="I46" s="1"/>
      <x:c r="J46" s="1"/>
      <x:c r="K46" s="1"/>
      <x:c r="L46" s="1"/>
      <x:c r="M46" s="1"/>
      <x:c r="N46" s="1"/>
      <x:c r="O46" s="1"/>
    </x:row>
  </x:sheetData>
  <x:mergeCells>
    <x:mergeCell ref="A1:N1"/>
    <x:mergeCell ref="A43:F43"/>
    <x:mergeCell ref="A44:F44"/>
  </x:mergeCells>
  <x:pageMargins left="0.7" right="0.7" top="0.75" bottom="0.75" header="0.3" footer="0.3"/>
</x:worksheet>
</file>

<file path=xl/worksheets/sheet29.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Dry Broadleaf Forests | Fruit Orchard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SUM(S20_Dry_Broadleaf_ER!C4,S20_Dry_Broadleaf_ER!C5,S20_Dry_Broadleaf_ER!C6,S20_Dry_Broadleaf_ER!C7,S20_Dry_Broadleaf_ER!C8)</x:f>
        <x:v>418.4578731687578</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13881.8516357749</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11391.653471964943</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22120.68592198745</x:v>
      </x:c>
      <x:c r="C7" s="37" t="s">
        <x:v>151</x:v>
      </x:c>
      <x:c r="D7" s="37" t="s">
        <x:v>1242</x:v>
      </x:c>
      <x:c r="E7" s="1"/>
      <x:c r="F7" s="1"/>
      <x:c r="G7" s="1"/>
      <x:c r="H7" s="1"/>
      <x:c r="I7" s="1"/>
      <x:c r="J7" s="1"/>
      <x:c r="K7" s="1"/>
      <x:c r="L7" s="1"/>
      <x:c r="M7" s="1"/>
      <x:c r="N7" s="1"/>
      <x:c r="O7" s="1"/>
    </x:row>
    <x:row r="8" ht="15" hidden="0" customHeight="1">
      <x:c r="A8" s="193" t="s">
        <x:v>1243</x:v>
      </x:c>
      <x:c r="B8" s="194" t="n">
        <x:f aca="0">MAX(0,MIN(B5,B6))</x:f>
        <x:v>11391.653471964943</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11391.653471964943</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2278.330694392989</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9113.322777571953</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21.77835180531228</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1.088917590265614</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IF(AND("Tropical &amp; Subtropical Dry Broadleaf Forests"="Tropical &amp; Subtropical Dry Broadleaf Forests","Fruit Orchard"="Timber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SUM(S20_Dry_Broadleaf_ER!F4,S20_Dry_Broadleaf_ER!F5,S20_Dry_Broadleaf_ER!F6,S20_Dry_Broadleaf_ER!F7,S20_Dry_Broadleaf_ER!F8)</x:f>
        <x:v>0</x:v>
      </x:c>
      <x:c r="C20" s="100" t="n">
        <x:f aca="0">SUM(S20_Dry_Broadleaf_ER!AA4,S20_Dry_Broadleaf_ER!AA5,S20_Dry_Broadleaf_ER!AA6,S20_Dry_Broadleaf_ER!AA7,S20_Dry_Broadleaf_ER!AA8)</x:f>
        <x:v>0</x:v>
      </x:c>
      <x:c r="D20" s="100" t="n">
        <x:f aca="0">IF($B$4=0,0,S33_Project_Deductions!D4*$B$4/S08_Defaults!$B$14)</x:f>
        <x:v>136.57638571232383</x:v>
      </x:c>
      <x:c r="E20" s="100" t="n">
        <x:f aca="0">IF($B$4=0,0,S33_Project_Deductions!E4*$B$4/S08_Defaults!$B$14)</x:f>
        <x:v>624.9501689146437</x:v>
      </x:c>
      <x:c r="F20" s="100" t="n">
        <x:f aca="0">S08_Defaults!$B$9</x:f>
        <x:v>0.2</x:v>
      </x:c>
      <x:c r="G20" s="100" t="n">
        <x:f aca="0">C20*(1-F20)-D20-E20</x:f>
        <x:v>-761.5265546269675</x:v>
      </x:c>
      <x:c r="H20" s="100" t="n">
        <x:f aca="0">G20</x:f>
        <x:v>-761.5265546269675</x:v>
      </x:c>
      <x:c r="I20" s="100" t="n">
        <x:f aca="0">H20/1</x:f>
        <x:v>-761.5265546269675</x:v>
      </x:c>
      <x:c r="J20" s="100" t="n">
        <x:f aca="0">B20-D20-E20</x:f>
        <x:v>-761.5265546269675</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SUM(S20_Dry_Broadleaf_ER!G4,S20_Dry_Broadleaf_ER!G5,S20_Dry_Broadleaf_ER!G6,S20_Dry_Broadleaf_ER!G7,S20_Dry_Broadleaf_ER!G8)</x:f>
        <x:v>13.042185274631684</x:v>
      </x:c>
      <x:c r="C21" s="100" t="n">
        <x:f aca="0">SUM(S20_Dry_Broadleaf_ER!AB4,S20_Dry_Broadleaf_ER!AB5,S20_Dry_Broadleaf_ER!AB6,S20_Dry_Broadleaf_ER!AB7,S20_Dry_Broadleaf_ER!AB8)</x:f>
        <x:v>10.543132972207623</x:v>
      </x:c>
      <x:c r="D21" s="100" t="n">
        <x:f aca="0">IF($B$4=0,0,S33_Project_Deductions!D5*$B$4/S08_Defaults!$B$14)</x:f>
        <x:v>444.72128036329815</x:v>
      </x:c>
      <x:c r="E21" s="100" t="n">
        <x:f aca="0">IF($B$4=0,0,S33_Project_Deductions!E5*$B$4/S08_Defaults!$B$14)</x:f>
        <x:v>1233.0784803236575</x:v>
      </x:c>
      <x:c r="F21" s="100" t="n">
        <x:f aca="0">S08_Defaults!$B$9</x:f>
        <x:v>0.2</x:v>
      </x:c>
      <x:c r="G21" s="100" t="n">
        <x:f aca="0">C21*(1-F21)-D21-E21</x:f>
        <x:v>-1669.3652543091894</x:v>
      </x:c>
      <x:c r="H21" s="100" t="n">
        <x:f aca="0">G21-G20</x:f>
        <x:v>-907.8386996822219</x:v>
      </x:c>
      <x:c r="I21" s="100" t="n">
        <x:f aca="0">H21/1</x:f>
        <x:v>-907.8386996822219</x:v>
      </x:c>
      <x:c r="J21" s="100" t="n">
        <x:f aca="0">B21-D21-E21</x:f>
        <x:v>-1664.757575412324</x:v>
      </x:c>
      <x:c r="K21" s="100" t="n">
        <x:f aca="0">B21</x:f>
        <x:v>13.042185274631684</x:v>
      </x:c>
      <x:c r="L21" s="100" t="n">
        <x:f aca="0">0</x:f>
        <x:v>0</x:v>
      </x:c>
      <x:c r="M21" s="100" t="n">
        <x:f aca="0">IF(AND(A21&gt;=S08_Defaults!$B$11,A21&lt;=S08_Defaults!$B$12),J21,0)</x:f>
        <x:v>-1664.757575412324</x:v>
      </x:c>
      <x:c r="N21" s="100" t="n">
        <x:f aca="0">IF(AND(A21&gt;=S08_Defaults!$B$11,A21&lt;=S08_Defaults!$B$12),K21-L21,0)</x:f>
        <x:v>13.042185274631684</x:v>
      </x:c>
      <x:c r="O21" s="37" t="s">
        <x:v>1271</x:v>
      </x:c>
    </x:row>
    <x:row r="22" ht="15" hidden="0" customHeight="1">
      <x:c r="A22" s="37" t="n">
        <x:v>2022</x:v>
      </x:c>
      <x:c r="B22" s="100" t="n">
        <x:f aca="0">SUM(S20_Dry_Broadleaf_ER!H4,S20_Dry_Broadleaf_ER!H5,S20_Dry_Broadleaf_ER!H6,S20_Dry_Broadleaf_ER!H7,S20_Dry_Broadleaf_ER!H8)</x:f>
        <x:v>161.3577463713589</x:v>
      </x:c>
      <x:c r="C22" s="100" t="n">
        <x:f aca="0">SUM(S20_Dry_Broadleaf_ER!AC4,S20_Dry_Broadleaf_ER!AC5,S20_Dry_Broadleaf_ER!AC6,S20_Dry_Broadleaf_ER!AC7,S20_Dry_Broadleaf_ER!AC8)</x:f>
        <x:v>130.43950383054437</x:v>
      </x:c>
      <x:c r="D22" s="100" t="n">
        <x:f aca="0">IF($B$4=0,0,S33_Project_Deductions!D6*$B$4/S08_Defaults!$B$14)</x:f>
        <x:v>953.483335624535</x:v>
      </x:c>
      <x:c r="E22" s="100" t="n">
        <x:f aca="0">IF($B$4=0,0,S33_Project_Deductions!E6*$B$4/S08_Defaults!$B$14)</x:f>
        <x:v>1854.2517157475993</x:v>
      </x:c>
      <x:c r="F22" s="100" t="n">
        <x:f aca="0">S08_Defaults!$B$9</x:f>
        <x:v>0.2</x:v>
      </x:c>
      <x:c r="G22" s="100" t="n">
        <x:f aca="0">C22*(1-F22)-D22-E22</x:f>
        <x:v>-2703.383448307699</x:v>
      </x:c>
      <x:c r="H22" s="100" t="n">
        <x:f aca="0">G22-G21</x:f>
        <x:v>-1034.0181939985096</x:v>
      </x:c>
      <x:c r="I22" s="100" t="n">
        <x:f aca="0">H22/1</x:f>
        <x:v>-1034.0181939985096</x:v>
      </x:c>
      <x:c r="J22" s="100" t="n">
        <x:f aca="0">B22-D22-E22</x:f>
        <x:v>-2646.3773050007753</x:v>
      </x:c>
      <x:c r="K22" s="100" t="n">
        <x:f aca="0">B22</x:f>
        <x:v>161.3577463713589</x:v>
      </x:c>
      <x:c r="L22" s="100" t="n">
        <x:f aca="0">0</x:f>
        <x:v>0</x:v>
      </x:c>
      <x:c r="M22" s="100" t="n">
        <x:f aca="0">IF(AND(A22&gt;=S08_Defaults!$B$11,A22&lt;=S08_Defaults!$B$12),J22,0)</x:f>
        <x:v>-2646.3773050007753</x:v>
      </x:c>
      <x:c r="N22" s="100" t="n">
        <x:f aca="0">IF(AND(A22&gt;=S08_Defaults!$B$11,A22&lt;=S08_Defaults!$B$12),K22-L22,0)</x:f>
        <x:v>161.3577463713589</x:v>
      </x:c>
      <x:c r="O22" s="37" t="s">
        <x:v>1271</x:v>
      </x:c>
    </x:row>
    <x:row r="23" ht="15" hidden="0" customHeight="1">
      <x:c r="A23" s="37" t="n">
        <x:v>2023</x:v>
      </x:c>
      <x:c r="B23" s="100" t="n">
        <x:f aca="0">SUM(S20_Dry_Broadleaf_ER!I4,S20_Dry_Broadleaf_ER!I5,S20_Dry_Broadleaf_ER!I6,S20_Dry_Broadleaf_ER!I7,S20_Dry_Broadleaf_ER!I8)</x:f>
        <x:v>656.174703577929</x:v>
      </x:c>
      <x:c r="C23" s="100" t="n">
        <x:f aca="0">SUM(S20_Dry_Broadleaf_ER!AD4,S20_Dry_Broadleaf_ER!AD5,S20_Dry_Broadleaf_ER!AD6,S20_Dry_Broadleaf_ER!AD7,S20_Dry_Broadleaf_ER!AD8)</x:f>
        <x:v>530.4430973141806</x:v>
      </x:c>
      <x:c r="D23" s="100" t="n">
        <x:f aca="0">IF($B$4=0,0,S33_Project_Deductions!D7*$B$4/S08_Defaults!$B$14)</x:f>
        <x:v>1667.799509093614</x:v>
      </x:c>
      <x:c r="E23" s="100" t="n">
        <x:f aca="0">IF($B$4=0,0,S33_Project_Deductions!E7*$B$4/S08_Defaults!$B$14)</x:f>
        <x:v>2478.077817162108</x:v>
      </x:c>
      <x:c r="F23" s="100" t="n">
        <x:f aca="0">S08_Defaults!$B$9</x:f>
        <x:v>0.2</x:v>
      </x:c>
      <x:c r="G23" s="100" t="n">
        <x:f aca="0">C23*(1-F23)-D23-E23</x:f>
        <x:v>-3721.522848404378</x:v>
      </x:c>
      <x:c r="H23" s="100" t="n">
        <x:f aca="0">G23-G22</x:f>
        <x:v>-1018.1394000966789</x:v>
      </x:c>
      <x:c r="I23" s="100" t="n">
        <x:f aca="0">H23/1</x:f>
        <x:v>-1018.1394000966789</x:v>
      </x:c>
      <x:c r="J23" s="100" t="n">
        <x:f aca="0">B23-D23-E23</x:f>
        <x:v>-3489.7026226777934</x:v>
      </x:c>
      <x:c r="K23" s="100" t="n">
        <x:f aca="0">B23</x:f>
        <x:v>656.174703577929</x:v>
      </x:c>
      <x:c r="L23" s="100" t="n">
        <x:f aca="0">0</x:f>
        <x:v>0</x:v>
      </x:c>
      <x:c r="M23" s="100" t="n">
        <x:f aca="0">IF(AND(A23&gt;=S08_Defaults!$B$11,A23&lt;=S08_Defaults!$B$12),J23,0)</x:f>
        <x:v>-3489.7026226777934</x:v>
      </x:c>
      <x:c r="N23" s="100" t="n">
        <x:f aca="0">IF(AND(A23&gt;=S08_Defaults!$B$11,A23&lt;=S08_Defaults!$B$12),K23-L23,0)</x:f>
        <x:v>656.174703577929</x:v>
      </x:c>
      <x:c r="O23" s="37" t="s">
        <x:v>1271</x:v>
      </x:c>
    </x:row>
    <x:row r="24" ht="15" hidden="0" customHeight="1">
      <x:c r="A24" s="37" t="n">
        <x:v>2024</x:v>
      </x:c>
      <x:c r="B24" s="100" t="n">
        <x:f aca="0">SUM(S20_Dry_Broadleaf_ER!J4,S20_Dry_Broadleaf_ER!J5,S20_Dry_Broadleaf_ER!J6,S20_Dry_Broadleaf_ER!J7,S20_Dry_Broadleaf_ER!J8)</x:f>
        <x:v>1696.844028954367</x:v>
      </x:c>
      <x:c r="C24" s="100" t="n">
        <x:f aca="0">SUM(S20_Dry_Broadleaf_ER!AE4,S20_Dry_Broadleaf_ER!AE5,S20_Dry_Broadleaf_ER!AE6,S20_Dry_Broadleaf_ER!AE7,S20_Dry_Broadleaf_ER!AE8)</x:f>
        <x:v>1371.7066468270698</x:v>
      </x:c>
      <x:c r="D24" s="100" t="n">
        <x:f aca="0">IF($B$4=0,0,S33_Project_Deductions!D8*$B$4/S08_Defaults!$B$14)</x:f>
        <x:v>2451.439795642727</x:v>
      </x:c>
      <x:c r="E24" s="100" t="n">
        <x:f aca="0">IF($B$4=0,0,S33_Project_Deductions!E8*$B$4/S08_Defaults!$B$14)</x:f>
        <x:v>3080.0094236588234</x:v>
      </x:c>
      <x:c r="F24" s="100" t="n">
        <x:f aca="0">S08_Defaults!$B$9</x:f>
        <x:v>0.2</x:v>
      </x:c>
      <x:c r="G24" s="100" t="n">
        <x:f aca="0">C24*(1-F24)-D24-E24</x:f>
        <x:v>-4434.083901839895</x:v>
      </x:c>
      <x:c r="H24" s="100" t="n">
        <x:f aca="0">G24-G23</x:f>
        <x:v>-712.5610534355169</x:v>
      </x:c>
      <x:c r="I24" s="100" t="n">
        <x:f aca="0">H24/1</x:f>
        <x:v>-712.5610534355169</x:v>
      </x:c>
      <x:c r="J24" s="100" t="n">
        <x:f aca="0">B24-D24-E24</x:f>
        <x:v>-3834.6051903471835</x:v>
      </x:c>
      <x:c r="K24" s="100" t="n">
        <x:f aca="0">B24</x:f>
        <x:v>1696.844028954367</x:v>
      </x:c>
      <x:c r="L24" s="100" t="n">
        <x:f aca="0">0</x:f>
        <x:v>0</x:v>
      </x:c>
      <x:c r="M24" s="100" t="n">
        <x:f aca="0">IF(AND(A24&gt;=S08_Defaults!$B$11,A24&lt;=S08_Defaults!$B$12),J24,0)</x:f>
        <x:v>-3834.6051903471835</x:v>
      </x:c>
      <x:c r="N24" s="100" t="n">
        <x:f aca="0">IF(AND(A24&gt;=S08_Defaults!$B$11,A24&lt;=S08_Defaults!$B$12),K24-L24,0)</x:f>
        <x:v>1696.844028954367</x:v>
      </x:c>
      <x:c r="O24" s="37" t="s">
        <x:v>1271</x:v>
      </x:c>
    </x:row>
    <x:row r="25" ht="15" hidden="0" customHeight="1">
      <x:c r="A25" s="37" t="n">
        <x:v>2025</x:v>
      </x:c>
      <x:c r="B25" s="100" t="n">
        <x:f aca="0">SUM(S20_Dry_Broadleaf_ER!K4,S20_Dry_Broadleaf_ER!K5,S20_Dry_Broadleaf_ER!K6,S20_Dry_Broadleaf_ER!K7,S20_Dry_Broadleaf_ER!K8)</x:f>
        <x:v>3391.047269796246</x:v>
      </x:c>
      <x:c r="C25" s="100" t="n">
        <x:f aca="0">SUM(S20_Dry_Broadleaf_ER!AF4,S20_Dry_Broadleaf_ER!AF5,S20_Dry_Broadleaf_ER!AF6,S20_Dry_Broadleaf_ER!AF7,S20_Dry_Broadleaf_ER!AF8)</x:f>
        <x:v>2741.2785148854664</x:v>
      </x:c>
      <x:c r="D25" s="100" t="n">
        <x:f aca="0">IF($B$4=0,0,S33_Project_Deductions!D9*$B$4/S08_Defaults!$B$14)</x:f>
        <x:v>3269.412072045547</x:v>
      </x:c>
      <x:c r="E25" s="100" t="n">
        <x:f aca="0">IF($B$4=0,0,S33_Project_Deductions!E9*$B$4/S08_Defaults!$B$14)</x:f>
        <x:v>3080.0094236588234</x:v>
      </x:c>
      <x:c r="F25" s="100" t="n">
        <x:f aca="0">S08_Defaults!$B$9</x:f>
        <x:v>0.2</x:v>
      </x:c>
      <x:c r="G25" s="100" t="n">
        <x:f aca="0">C25*(1-F25)-D25-E25</x:f>
        <x:v>-4156.398683795997</x:v>
      </x:c>
      <x:c r="H25" s="100" t="n">
        <x:f aca="0">G25-G24</x:f>
        <x:v>277.6852180438973</x:v>
      </x:c>
      <x:c r="I25" s="100" t="n">
        <x:f aca="0">H25/1</x:f>
        <x:v>277.6852180438973</x:v>
      </x:c>
      <x:c r="J25" s="100" t="n">
        <x:f aca="0">B25-D25-E25</x:f>
        <x:v>-2958.3742259081246</x:v>
      </x:c>
      <x:c r="K25" s="100" t="n">
        <x:f aca="0">B25</x:f>
        <x:v>3391.047269796246</x:v>
      </x:c>
      <x:c r="L25" s="100" t="n">
        <x:f aca="0">0</x:f>
        <x:v>0</x:v>
      </x:c>
      <x:c r="M25" s="100" t="n">
        <x:f aca="0">IF(AND(A25&gt;=S08_Defaults!$B$11,A25&lt;=S08_Defaults!$B$12),J25,0)</x:f>
        <x:v>-2958.3742259081246</x:v>
      </x:c>
      <x:c r="N25" s="100" t="n">
        <x:f aca="0">IF(AND(A25&gt;=S08_Defaults!$B$11,A25&lt;=S08_Defaults!$B$12),K25-L25,0)</x:f>
        <x:v>3391.047269796246</x:v>
      </x:c>
      <x:c r="O25" s="37" t="s">
        <x:v>1271</x:v>
      </x:c>
    </x:row>
    <x:row r="26" ht="15" hidden="0" customHeight="1">
      <x:c r="A26" s="37" t="n">
        <x:v>2026</x:v>
      </x:c>
      <x:c r="B26" s="100" t="n">
        <x:f aca="0">SUM(S20_Dry_Broadleaf_ER!L4,S20_Dry_Broadleaf_ER!L5,S20_Dry_Broadleaf_ER!L6,S20_Dry_Broadleaf_ER!L7,S20_Dry_Broadleaf_ER!L8)</x:f>
        <x:v>5737.823927613018</x:v>
      </x:c>
      <x:c r="C26" s="100" t="n">
        <x:f aca="0">SUM(S20_Dry_Broadleaf_ER!AG4,S20_Dry_Broadleaf_ER!AG5,S20_Dry_Broadleaf_ER!AG6,S20_Dry_Broadleaf_ER!AG7,S20_Dry_Broadleaf_ER!AG8)</x:f>
        <x:v>4638.382247000171</x:v>
      </x:c>
      <x:c r="D26" s="100" t="n">
        <x:f aca="0">IF($B$4=0,0,S33_Project_Deductions!D10*$B$4/S08_Defaults!$B$14)</x:f>
        <x:v>4092.6676866304615</x:v>
      </x:c>
      <x:c r="E26" s="100" t="n">
        <x:f aca="0">IF($B$4=0,0,S33_Project_Deductions!E10*$B$4/S08_Defaults!$B$14)</x:f>
        <x:v>3080.0094236588234</x:v>
      </x:c>
      <x:c r="F26" s="100" t="n">
        <x:f aca="0">S08_Defaults!$B$9</x:f>
        <x:v>0.2</x:v>
      </x:c>
      <x:c r="G26" s="100" t="n">
        <x:f aca="0">C26*(1-F26)-D26-E26</x:f>
        <x:v>-3461.9713126891475</x:v>
      </x:c>
      <x:c r="H26" s="100" t="n">
        <x:f aca="0">G26-G25</x:f>
        <x:v>694.4273711068499</x:v>
      </x:c>
      <x:c r="I26" s="100" t="n">
        <x:f aca="0">H26/1</x:f>
        <x:v>694.4273711068499</x:v>
      </x:c>
      <x:c r="J26" s="100" t="n">
        <x:f aca="0">B26-D26-E26</x:f>
        <x:v>-1434.853182676267</x:v>
      </x:c>
      <x:c r="K26" s="100" t="n">
        <x:f aca="0">B26</x:f>
        <x:v>5737.823927613018</x:v>
      </x:c>
      <x:c r="L26" s="100" t="n">
        <x:f aca="0">0</x:f>
        <x:v>0</x:v>
      </x:c>
      <x:c r="M26" s="100" t="n">
        <x:f aca="0">IF(AND(A26&gt;=S08_Defaults!$B$11,A26&lt;=S08_Defaults!$B$12),J26,0)</x:f>
        <x:v>-1434.853182676267</x:v>
      </x:c>
      <x:c r="N26" s="100" t="n">
        <x:f aca="0">IF(AND(A26&gt;=S08_Defaults!$B$11,A26&lt;=S08_Defaults!$B$12),K26-L26,0)</x:f>
        <x:v>5737.823927613018</x:v>
      </x:c>
      <x:c r="O26" s="37" t="s">
        <x:v>1271</x:v>
      </x:c>
    </x:row>
    <x:row r="27" ht="15" hidden="0" customHeight="1">
      <x:c r="A27" s="37" t="n">
        <x:v>2027</x:v>
      </x:c>
      <x:c r="B27" s="100" t="n">
        <x:f aca="0">SUM(S20_Dry_Broadleaf_ER!M4,S20_Dry_Broadleaf_ER!M5,S20_Dry_Broadleaf_ER!M6,S20_Dry_Broadleaf_ER!M7,S20_Dry_Broadleaf_ER!M8)</x:f>
        <x:v>8648.777117762591</x:v>
      </x:c>
      <x:c r="C27" s="100" t="n">
        <x:f aca="0">SUM(S20_Dry_Broadleaf_ER!AH4,S20_Dry_Broadleaf_ER!AH5,S20_Dry_Broadleaf_ER!AH6,S20_Dry_Broadleaf_ER!AH7,S20_Dry_Broadleaf_ER!AH8)</x:f>
        <x:v>6991.558951161478</x:v>
      </x:c>
      <x:c r="D27" s="100" t="n">
        <x:f aca="0">IF($B$4=0,0,S33_Project_Deductions!D11*$B$4/S08_Defaults!$B$14)</x:f>
        <x:v>4916.269681799892</x:v>
      </x:c>
      <x:c r="E27" s="100" t="n">
        <x:f aca="0">IF($B$4=0,0,S33_Project_Deductions!E11*$B$4/S08_Defaults!$B$14)</x:f>
        <x:v>3080.0094236588234</x:v>
      </x:c>
      <x:c r="F27" s="100" t="n">
        <x:f aca="0">S08_Defaults!$B$9</x:f>
        <x:v>0.2</x:v>
      </x:c>
      <x:c r="G27" s="100" t="n">
        <x:f aca="0">C27*(1-F27)-D27-E27</x:f>
        <x:v>-2403.031944529533</x:v>
      </x:c>
      <x:c r="H27" s="100" t="n">
        <x:f aca="0">G27-G26</x:f>
        <x:v>1058.9393681596143</x:v>
      </x:c>
      <x:c r="I27" s="100" t="n">
        <x:f aca="0">H27/1</x:f>
        <x:v>1058.9393681596143</x:v>
      </x:c>
      <x:c r="J27" s="100" t="n">
        <x:f aca="0">B27-D27-E27</x:f>
        <x:v>652.4980123038754</x:v>
      </x:c>
      <x:c r="K27" s="100" t="n">
        <x:f aca="0">B27</x:f>
        <x:v>8648.777117762591</x:v>
      </x:c>
      <x:c r="L27" s="100" t="n">
        <x:f aca="0">0</x:f>
        <x:v>0</x:v>
      </x:c>
      <x:c r="M27" s="100" t="n">
        <x:f aca="0">IF(AND(A27&gt;=S08_Defaults!$B$11,A27&lt;=S08_Defaults!$B$12),J27,0)</x:f>
        <x:v>652.4980123038754</x:v>
      </x:c>
      <x:c r="N27" s="100" t="n">
        <x:f aca="0">IF(AND(A27&gt;=S08_Defaults!$B$11,A27&lt;=S08_Defaults!$B$12),K27-L27,0)</x:f>
        <x:v>8648.777117762591</x:v>
      </x:c>
      <x:c r="O27" s="37" t="s">
        <x:v>1271</x:v>
      </x:c>
    </x:row>
    <x:row r="28" ht="15" hidden="0" customHeight="1">
      <x:c r="A28" s="37" t="n">
        <x:v>2028</x:v>
      </x:c>
      <x:c r="B28" s="100" t="n">
        <x:f aca="0">SUM(S20_Dry_Broadleaf_ER!N4,S20_Dry_Broadleaf_ER!N5,S20_Dry_Broadleaf_ER!N6,S20_Dry_Broadleaf_ER!N7,S20_Dry_Broadleaf_ER!N8)</x:f>
        <x:v>11988.60544296117</x:v>
      </x:c>
      <x:c r="C28" s="100" t="n">
        <x:f aca="0">SUM(S20_Dry_Broadleaf_ER!AI4,S20_Dry_Broadleaf_ER!AI5,S20_Dry_Broadleaf_ER!AI6,S20_Dry_Broadleaf_ER!AI7,S20_Dry_Broadleaf_ER!AI8)</x:f>
        <x:v>9691.432737298022</x:v>
      </x:c>
      <x:c r="D28" s="100" t="n">
        <x:f aca="0">IF($B$4=0,0,S33_Project_Deductions!D12*$B$4/S08_Defaults!$B$14)</x:f>
        <x:v>5739.871676969323</x:v>
      </x:c>
      <x:c r="E28" s="100" t="n">
        <x:f aca="0">IF($B$4=0,0,S33_Project_Deductions!E12*$B$4/S08_Defaults!$B$14)</x:f>
        <x:v>3080.0094236588234</x:v>
      </x:c>
      <x:c r="F28" s="100" t="n">
        <x:f aca="0">S08_Defaults!$B$9</x:f>
        <x:v>0.2</x:v>
      </x:c>
      <x:c r="G28" s="100" t="n">
        <x:f aca="0">C28*(1-F28)-D28-E28</x:f>
        <x:v>-1066.7349107897276</x:v>
      </x:c>
      <x:c r="H28" s="100" t="n">
        <x:f aca="0">G28-G27</x:f>
        <x:v>1336.2970337398056</x:v>
      </x:c>
      <x:c r="I28" s="100" t="n">
        <x:f aca="0">H28/1</x:f>
        <x:v>1336.2970337398056</x:v>
      </x:c>
      <x:c r="J28" s="100" t="n">
        <x:f aca="0">B28-D28-E28</x:f>
        <x:v>3168.724342333024</x:v>
      </x:c>
      <x:c r="K28" s="100" t="n">
        <x:f aca="0">B28</x:f>
        <x:v>11988.60544296117</x:v>
      </x:c>
      <x:c r="L28" s="100" t="n">
        <x:f aca="0">0</x:f>
        <x:v>0</x:v>
      </x:c>
      <x:c r="M28" s="100" t="n">
        <x:f aca="0">IF(AND(A28&gt;=S08_Defaults!$B$11,A28&lt;=S08_Defaults!$B$12),J28,0)</x:f>
        <x:v>3168.724342333024</x:v>
      </x:c>
      <x:c r="N28" s="100" t="n">
        <x:f aca="0">IF(AND(A28&gt;=S08_Defaults!$B$11,A28&lt;=S08_Defaults!$B$12),K28-L28,0)</x:f>
        <x:v>11988.60544296117</x:v>
      </x:c>
      <x:c r="O28" s="37" t="s">
        <x:v>1271</x:v>
      </x:c>
    </x:row>
    <x:row r="29" ht="15" hidden="0" customHeight="1">
      <x:c r="A29" s="37" t="n">
        <x:v>2029</x:v>
      </x:c>
      <x:c r="B29" s="100" t="n">
        <x:f aca="0">SUM(S20_Dry_Broadleaf_ER!O4,S20_Dry_Broadleaf_ER!O5,S20_Dry_Broadleaf_ER!O6,S20_Dry_Broadleaf_ER!O7,S20_Dry_Broadleaf_ER!O8)</x:f>
        <x:v>15609.03438479483</x:v>
      </x:c>
      <x:c r="C29" s="100" t="n">
        <x:f aca="0">SUM(S20_Dry_Broadleaf_ER!AJ4,S20_Dry_Broadleaf_ER!AJ5,S20_Dry_Broadleaf_ER!AJ6,S20_Dry_Broadleaf_ER!AJ7,S20_Dry_Broadleaf_ER!AJ8)</x:f>
        <x:v>12618.140412922507</x:v>
      </x:c>
      <x:c r="D29" s="100" t="n">
        <x:f aca="0">IF($B$4=0,0,S33_Project_Deductions!D13*$B$4/S08_Defaults!$B$14)</x:f>
        <x:v>6563.473672138753</x:v>
      </x:c>
      <x:c r="E29" s="100" t="n">
        <x:f aca="0">IF($B$4=0,0,S33_Project_Deductions!E13*$B$4/S08_Defaults!$B$14)</x:f>
        <x:v>3080.0094236588234</x:v>
      </x:c>
      <x:c r="F29" s="100" t="n">
        <x:f aca="0">S08_Defaults!$B$9</x:f>
        <x:v>0.2</x:v>
      </x:c>
      <x:c r="G29" s="100" t="n">
        <x:f aca="0">C29*(1-F29)-D29-E29</x:f>
        <x:v>451.02923454043</x:v>
      </x:c>
      <x:c r="H29" s="100" t="n">
        <x:f aca="0">G29-G28</x:f>
        <x:v>1517.7641453301576</x:v>
      </x:c>
      <x:c r="I29" s="100" t="n">
        <x:f aca="0">H29/1</x:f>
        <x:v>1517.7641453301576</x:v>
      </x:c>
      <x:c r="J29" s="100" t="n">
        <x:f aca="0">B29-D29-E29</x:f>
        <x:v>5965.551288997254</x:v>
      </x:c>
      <x:c r="K29" s="100" t="n">
        <x:f aca="0">B29</x:f>
        <x:v>15609.03438479483</x:v>
      </x:c>
      <x:c r="L29" s="100" t="n">
        <x:f aca="0">0</x:f>
        <x:v>0</x:v>
      </x:c>
      <x:c r="M29" s="100" t="n">
        <x:f aca="0">IF(AND(A29&gt;=S08_Defaults!$B$11,A29&lt;=S08_Defaults!$B$12),J29,0)</x:f>
        <x:v>5965.551288997254</x:v>
      </x:c>
      <x:c r="N29" s="100" t="n">
        <x:f aca="0">IF(AND(A29&gt;=S08_Defaults!$B$11,A29&lt;=S08_Defaults!$B$12),K29-L29,0)</x:f>
        <x:v>15609.03438479483</x:v>
      </x:c>
      <x:c r="O29" s="37" t="s">
        <x:v>1271</x:v>
      </x:c>
    </x:row>
    <x:row r="30" ht="15" hidden="0" customHeight="1">
      <x:c r="A30" s="37" t="n">
        <x:v>2030</x:v>
      </x:c>
      <x:c r="B30" s="100" t="n">
        <x:f aca="0">SUM(S20_Dry_Broadleaf_ER!P4,S20_Dry_Broadleaf_ER!P5,S20_Dry_Broadleaf_ER!P6,S20_Dry_Broadleaf_ER!P7,S20_Dry_Broadleaf_ER!P8)</x:f>
        <x:v>19370.681644695007</x:v>
      </x:c>
      <x:c r="C30" s="100" t="n">
        <x:f aca="0">SUM(S20_Dry_Broadleaf_ER!AK4,S20_Dry_Broadleaf_ER!AK5,S20_Dry_Broadleaf_ER!AK6,S20_Dry_Broadleaf_ER!AK7,S20_Dry_Broadleaf_ER!AK8)</x:f>
        <x:v>15659.007140434016</x:v>
      </x:c>
      <x:c r="D30" s="100" t="n">
        <x:f aca="0">IF($B$4=0,0,S33_Project_Deductions!D14*$B$4/S08_Defaults!$B$14)</x:f>
        <x:v>7387.075667308183</x:v>
      </x:c>
      <x:c r="E30" s="100" t="n">
        <x:f aca="0">IF($B$4=0,0,S33_Project_Deductions!E14*$B$4/S08_Defaults!$B$14)</x:f>
        <x:v>3080.0094236588234</x:v>
      </x:c>
      <x:c r="F30" s="100" t="n">
        <x:f aca="0">S08_Defaults!$B$9</x:f>
        <x:v>0.2</x:v>
      </x:c>
      <x:c r="G30" s="100" t="n">
        <x:f aca="0">C30*(1-F30)-D30-E30</x:f>
        <x:v>2060.1206213802066</x:v>
      </x:c>
      <x:c r="H30" s="100" t="n">
        <x:f aca="0">G30-G29</x:f>
        <x:v>1609.0913868397765</x:v>
      </x:c>
      <x:c r="I30" s="100" t="n">
        <x:f aca="0">H30/1</x:f>
        <x:v>1609.0913868397765</x:v>
      </x:c>
      <x:c r="J30" s="100" t="n">
        <x:f aca="0">B30-D30-E30</x:f>
        <x:v>8903.596553728</x:v>
      </x:c>
      <x:c r="K30" s="100" t="n">
        <x:f aca="0">B30</x:f>
        <x:v>19370.681644695007</x:v>
      </x:c>
      <x:c r="L30" s="100" t="n">
        <x:f aca="0">0</x:f>
        <x:v>0</x:v>
      </x:c>
      <x:c r="M30" s="100" t="n">
        <x:f aca="0">IF(AND(A30&gt;=S08_Defaults!$B$11,A30&lt;=S08_Defaults!$B$12),J30,0)</x:f>
        <x:v>8903.596553728</x:v>
      </x:c>
      <x:c r="N30" s="100" t="n">
        <x:f aca="0">IF(AND(A30&gt;=S08_Defaults!$B$11,A30&lt;=S08_Defaults!$B$12),K30-L30,0)</x:f>
        <x:v>19370.681644695007</x:v>
      </x:c>
      <x:c r="O30" s="37" t="s">
        <x:v>1271</x:v>
      </x:c>
    </x:row>
    <x:row r="31" ht="15" hidden="0" customHeight="1">
      <x:c r="A31" s="37" t="n">
        <x:v>2031</x:v>
      </x:c>
      <x:c r="B31" s="100" t="n">
        <x:f aca="0">SUM(S20_Dry_Broadleaf_ER!Q4,S20_Dry_Broadleaf_ER!Q5,S20_Dry_Broadleaf_ER!Q6,S20_Dry_Broadleaf_ER!Q7,S20_Dry_Broadleaf_ER!Q8)</x:f>
        <x:v>23154.56225035584</x:v>
      </x:c>
      <x:c r="C31" s="100" t="n">
        <x:f aca="0">SUM(S20_Dry_Broadleaf_ER!AL4,S20_Dry_Broadleaf_ER!AL5,S20_Dry_Broadleaf_ER!AL6,S20_Dry_Broadleaf_ER!AL7,S20_Dry_Broadleaf_ER!AL8)</x:f>
        <x:v>18717.84701553051</x:v>
      </x:c>
      <x:c r="D31" s="100" t="n">
        <x:f aca="0">IF($B$4=0,0,S33_Project_Deductions!D15*$B$4/S08_Defaults!$B$14)</x:f>
        <x:v>8210.677662477614</x:v>
      </x:c>
      <x:c r="E31" s="100" t="n">
        <x:f aca="0">IF($B$4=0,0,S33_Project_Deductions!E15*$B$4/S08_Defaults!$B$14)</x:f>
        <x:v>3080.0094236588234</x:v>
      </x:c>
      <x:c r="F31" s="100" t="n">
        <x:f aca="0">S08_Defaults!$B$9</x:f>
        <x:v>0.2</x:v>
      </x:c>
      <x:c r="G31" s="100" t="n">
        <x:f aca="0">C31*(1-F31)-D31-E31</x:f>
        <x:v>3683.590526287973</x:v>
      </x:c>
      <x:c r="H31" s="100" t="n">
        <x:f aca="0">G31-G30</x:f>
        <x:v>1623.4699049077662</x:v>
      </x:c>
      <x:c r="I31" s="100" t="n">
        <x:f aca="0">H31/1</x:f>
        <x:v>1623.4699049077662</x:v>
      </x:c>
      <x:c r="J31" s="100" t="n">
        <x:f aca="0">B31-D31-E31</x:f>
        <x:v>11863.875164219404</x:v>
      </x:c>
      <x:c r="K31" s="100" t="n">
        <x:f aca="0">B31</x:f>
        <x:v>23154.56225035584</x:v>
      </x:c>
      <x:c r="L31" s="100" t="n">
        <x:f aca="0">0</x:f>
        <x:v>0</x:v>
      </x:c>
      <x:c r="M31" s="100" t="n">
        <x:f aca="0">IF(AND(A31&gt;=S08_Defaults!$B$11,A31&lt;=S08_Defaults!$B$12),J31,0)</x:f>
        <x:v>11863.875164219404</x:v>
      </x:c>
      <x:c r="N31" s="100" t="n">
        <x:f aca="0">IF(AND(A31&gt;=S08_Defaults!$B$11,A31&lt;=S08_Defaults!$B$12),K31-L31,0)</x:f>
        <x:v>23154.56225035584</x:v>
      </x:c>
      <x:c r="O31" s="37" t="s">
        <x:v>1271</x:v>
      </x:c>
    </x:row>
    <x:row r="32" ht="15" hidden="0" customHeight="1">
      <x:c r="A32" s="37" t="n">
        <x:v>2032</x:v>
      </x:c>
      <x:c r="B32" s="100" t="n">
        <x:f aca="0">SUM(S20_Dry_Broadleaf_ER!R4,S20_Dry_Broadleaf_ER!R5,S20_Dry_Broadleaf_ER!R6,S20_Dry_Broadleaf_ER!R7,S20_Dry_Broadleaf_ER!R8)</x:f>
        <x:v>26866.258865851487</x:v>
      </x:c>
      <x:c r="C32" s="100" t="n">
        <x:f aca="0">SUM(S20_Dry_Broadleaf_ER!AM4,S20_Dry_Broadleaf_ER!AM5,S20_Dry_Broadleaf_ER!AM6,S20_Dry_Broadleaf_ER!AM7,S20_Dry_Broadleaf_ER!AM8)</x:f>
        <x:v>21718.334291675932</x:v>
      </x:c>
      <x:c r="D32" s="100" t="n">
        <x:f aca="0">IF($B$4=0,0,S33_Project_Deductions!D16*$B$4/S08_Defaults!$B$14)</x:f>
        <x:v>9034.279657647045</x:v>
      </x:c>
      <x:c r="E32" s="100" t="n">
        <x:f aca="0">IF($B$4=0,0,S33_Project_Deductions!E16*$B$4/S08_Defaults!$B$14)</x:f>
        <x:v>3080.0094236588234</x:v>
      </x:c>
      <x:c r="F32" s="100" t="n">
        <x:f aca="0">S08_Defaults!$B$9</x:f>
        <x:v>0.2</x:v>
      </x:c>
      <x:c r="G32" s="100" t="n">
        <x:f aca="0">C32*(1-F32)-D32-E32</x:f>
        <x:v>5260.378352034879</x:v>
      </x:c>
      <x:c r="H32" s="100" t="n">
        <x:f aca="0">G32-G31</x:f>
        <x:v>1576.787825746906</x:v>
      </x:c>
      <x:c r="I32" s="100" t="n">
        <x:f aca="0">H32/1</x:f>
        <x:v>1576.787825746906</x:v>
      </x:c>
      <x:c r="J32" s="100" t="n">
        <x:f aca="0">B32-D32-E32</x:f>
        <x:v>14751.969784545621</x:v>
      </x:c>
      <x:c r="K32" s="100" t="n">
        <x:f aca="0">B32</x:f>
        <x:v>26866.258865851487</x:v>
      </x:c>
      <x:c r="L32" s="100" t="n">
        <x:f aca="0">0</x:f>
        <x:v>0</x:v>
      </x:c>
      <x:c r="M32" s="100" t="n">
        <x:f aca="0">IF(AND(A32&gt;=S08_Defaults!$B$11,A32&lt;=S08_Defaults!$B$12),J32,0)</x:f>
        <x:v>14751.969784545621</x:v>
      </x:c>
      <x:c r="N32" s="100" t="n">
        <x:f aca="0">IF(AND(A32&gt;=S08_Defaults!$B$11,A32&lt;=S08_Defaults!$B$12),K32-L32,0)</x:f>
        <x:v>26866.258865851487</x:v>
      </x:c>
      <x:c r="O32" s="37" t="s">
        <x:v>1271</x:v>
      </x:c>
    </x:row>
    <x:row r="33" ht="15" hidden="0" customHeight="1">
      <x:c r="A33" s="37" t="n">
        <x:v>2033</x:v>
      </x:c>
      <x:c r="B33" s="100" t="n">
        <x:f aca="0">SUM(S20_Dry_Broadleaf_ER!S4,S20_Dry_Broadleaf_ER!S5,S20_Dry_Broadleaf_ER!S6,S20_Dry_Broadleaf_ER!S7,S20_Dry_Broadleaf_ER!S8)</x:f>
        <x:v>30435.640070960926</x:v>
      </x:c>
      <x:c r="C33" s="100" t="n">
        <x:f aca="0">SUM(S20_Dry_Broadleaf_ER!AN4,S20_Dry_Broadleaf_ER!AN5,S20_Dry_Broadleaf_ER!AN6,S20_Dry_Broadleaf_ER!AN7,S20_Dry_Broadleaf_ER!AN8)</x:f>
        <x:v>24603.77564076996</x:v>
      </x:c>
      <x:c r="D33" s="100" t="n">
        <x:f aca="0">IF($B$4=0,0,S33_Project_Deductions!D17*$B$4/S08_Defaults!$B$14)</x:f>
        <x:v>9857.881652816475</x:v>
      </x:c>
      <x:c r="E33" s="100" t="n">
        <x:f aca="0">IF($B$4=0,0,S33_Project_Deductions!E17*$B$4/S08_Defaults!$B$14)</x:f>
        <x:v>3080.0094236588234</x:v>
      </x:c>
      <x:c r="F33" s="100" t="n">
        <x:f aca="0">S08_Defaults!$B$9</x:f>
        <x:v>0.2</x:v>
      </x:c>
      <x:c r="G33" s="100" t="n">
        <x:f aca="0">C33*(1-F33)-D33-E33</x:f>
        <x:v>6745.129436140673</x:v>
      </x:c>
      <x:c r="H33" s="100" t="n">
        <x:f aca="0">G33-G32</x:f>
        <x:v>1484.7510841057938</x:v>
      </x:c>
      <x:c r="I33" s="100" t="n">
        <x:f aca="0">H33/1</x:f>
        <x:v>1484.7510841057938</x:v>
      </x:c>
      <x:c r="J33" s="100" t="n">
        <x:f aca="0">B33-D33-E33</x:f>
        <x:v>17497.748994485628</x:v>
      </x:c>
      <x:c r="K33" s="100" t="n">
        <x:f aca="0">B33</x:f>
        <x:v>30435.640070960926</x:v>
      </x:c>
      <x:c r="L33" s="100" t="n">
        <x:f aca="0">0</x:f>
        <x:v>0</x:v>
      </x:c>
      <x:c r="M33" s="100" t="n">
        <x:f aca="0">IF(AND(A33&gt;=S08_Defaults!$B$11,A33&lt;=S08_Defaults!$B$12),J33,0)</x:f>
        <x:v>17497.748994485628</x:v>
      </x:c>
      <x:c r="N33" s="100" t="n">
        <x:f aca="0">IF(AND(A33&gt;=S08_Defaults!$B$11,A33&lt;=S08_Defaults!$B$12),K33-L33,0)</x:f>
        <x:v>30435.640070960926</x:v>
      </x:c>
      <x:c r="O33" s="37" t="s">
        <x:v>1271</x:v>
      </x:c>
    </x:row>
    <x:row r="34" ht="15" hidden="0" customHeight="1">
      <x:c r="A34" s="37" t="n">
        <x:v>2034</x:v>
      </x:c>
      <x:c r="B34" s="100" t="n">
        <x:f aca="0">SUM(S20_Dry_Broadleaf_ER!T4,S20_Dry_Broadleaf_ER!T5,S20_Dry_Broadleaf_ER!T6,S20_Dry_Broadleaf_ER!T7,S20_Dry_Broadleaf_ER!T8)</x:f>
        <x:v>33814.24516098676</x:v>
      </x:c>
      <x:c r="C34" s="100" t="n">
        <x:f aca="0">SUM(S20_Dry_Broadleaf_ER!AO4,S20_Dry_Broadleaf_ER!AO5,S20_Dry_Broadleaf_ER!AO6,S20_Dry_Broadleaf_ER!AO7,S20_Dry_Broadleaf_ER!AO8)</x:f>
        <x:v>27334.996059330206</x:v>
      </x:c>
      <x:c r="D34" s="100" t="n">
        <x:f aca="0">IF($B$4=0,0,S33_Project_Deductions!D18*$B$4/S08_Defaults!$B$14)</x:f>
        <x:v>10681.483647985904</x:v>
      </x:c>
      <x:c r="E34" s="100" t="n">
        <x:f aca="0">IF($B$4=0,0,S33_Project_Deductions!E18*$B$4/S08_Defaults!$B$14)</x:f>
        <x:v>3080.0094236588234</x:v>
      </x:c>
      <x:c r="F34" s="100" t="n">
        <x:f aca="0">S08_Defaults!$B$9</x:f>
        <x:v>0.2</x:v>
      </x:c>
      <x:c r="G34" s="100" t="n">
        <x:f aca="0">C34*(1-F34)-D34-E34</x:f>
        <x:v>8106.503775819438</x:v>
      </x:c>
      <x:c r="H34" s="100" t="n">
        <x:f aca="0">G34-G33</x:f>
        <x:v>1361.374339678765</x:v>
      </x:c>
      <x:c r="I34" s="100" t="n">
        <x:f aca="0">H34/1</x:f>
        <x:v>1361.374339678765</x:v>
      </x:c>
      <x:c r="J34" s="100" t="n">
        <x:f aca="0">B34-D34-E34</x:f>
        <x:v>20052.75208934203</x:v>
      </x:c>
      <x:c r="K34" s="100" t="n">
        <x:f aca="0">B34</x:f>
        <x:v>33814.24516098676</x:v>
      </x:c>
      <x:c r="L34" s="100" t="n">
        <x:f aca="0">0</x:f>
        <x:v>0</x:v>
      </x:c>
      <x:c r="M34" s="100" t="n">
        <x:f aca="0">IF(AND(A34&gt;=S08_Defaults!$B$11,A34&lt;=S08_Defaults!$B$12),J34,0)</x:f>
        <x:v>20052.75208934203</x:v>
      </x:c>
      <x:c r="N34" s="100" t="n">
        <x:f aca="0">IF(AND(A34&gt;=S08_Defaults!$B$11,A34&lt;=S08_Defaults!$B$12),K34-L34,0)</x:f>
        <x:v>33814.24516098676</x:v>
      </x:c>
      <x:c r="O34" s="37" t="s">
        <x:v>1271</x:v>
      </x:c>
    </x:row>
    <x:row r="35" ht="15" hidden="0" customHeight="1">
      <x:c r="A35" s="37" t="n">
        <x:v>2035</x:v>
      </x:c>
      <x:c r="B35" s="100" t="n">
        <x:f aca="0">SUM(S20_Dry_Broadleaf_ER!U4,S20_Dry_Broadleaf_ER!U5,S20_Dry_Broadleaf_ER!U6,S20_Dry_Broadleaf_ER!U7,S20_Dry_Broadleaf_ER!U8)</x:f>
        <x:v>36971.712908178175</x:v>
      </x:c>
      <x:c r="C35" s="100" t="n">
        <x:f aca="0">SUM(S20_Dry_Broadleaf_ER!AP4,S20_Dry_Broadleaf_ER!AP5,S20_Dry_Broadleaf_ER!AP6,S20_Dry_Broadleaf_ER!AP7,S20_Dry_Broadleaf_ER!AP8)</x:f>
        <x:v>29887.451925667843</x:v>
      </x:c>
      <x:c r="D35" s="100" t="n">
        <x:f aca="0">IF($B$4=0,0,S33_Project_Deductions!D19*$B$4/S08_Defaults!$B$14)</x:f>
        <x:v>11505.085643155335</x:v>
      </x:c>
      <x:c r="E35" s="100" t="n">
        <x:f aca="0">IF($B$4=0,0,S33_Project_Deductions!E19*$B$4/S08_Defaults!$B$14)</x:f>
        <x:v>3080.0094236588234</x:v>
      </x:c>
      <x:c r="F35" s="100" t="n">
        <x:f aca="0">S08_Defaults!$B$9</x:f>
        <x:v>0.2</x:v>
      </x:c>
      <x:c r="G35" s="100" t="n">
        <x:f aca="0">C35*(1-F35)-D35-E35</x:f>
        <x:v>9324.86647372012</x:v>
      </x:c>
      <x:c r="H35" s="100" t="n">
        <x:f aca="0">G35-G34</x:f>
        <x:v>1218.3626979006822</x:v>
      </x:c>
      <x:c r="I35" s="100" t="n">
        <x:f aca="0">H35/1</x:f>
        <x:v>1218.3626979006822</x:v>
      </x:c>
      <x:c r="J35" s="100" t="n">
        <x:f aca="0">B35-D35-E35</x:f>
        <x:v>22386.61784136402</x:v>
      </x:c>
      <x:c r="K35" s="100" t="n">
        <x:f aca="0">B35</x:f>
        <x:v>36971.712908178175</x:v>
      </x:c>
      <x:c r="L35" s="100" t="n">
        <x:f aca="0">0</x:f>
        <x:v>0</x:v>
      </x:c>
      <x:c r="M35" s="100" t="n">
        <x:f aca="0">IF(AND(A35&gt;=S08_Defaults!$B$11,A35&lt;=S08_Defaults!$B$12),J35,0)</x:f>
        <x:v>22386.61784136402</x:v>
      </x:c>
      <x:c r="N35" s="100" t="n">
        <x:f aca="0">IF(AND(A35&gt;=S08_Defaults!$B$11,A35&lt;=S08_Defaults!$B$12),K35-L35,0)</x:f>
        <x:v>36971.712908178175</x:v>
      </x:c>
      <x:c r="O35" s="37" t="s">
        <x:v>1271</x:v>
      </x:c>
    </x:row>
    <x:row r="36" ht="15" hidden="0" customHeight="1">
      <x:c r="A36" s="37" t="n">
        <x:v>2036</x:v>
      </x:c>
      <x:c r="B36" s="100" t="n">
        <x:f aca="0">SUM(S20_Dry_Broadleaf_ER!V4,S20_Dry_Broadleaf_ER!V5,S20_Dry_Broadleaf_ER!V6,S20_Dry_Broadleaf_ER!V7,S20_Dry_Broadleaf_ER!V8)</x:f>
        <x:v>39892.067658945925</x:v>
      </x:c>
      <x:c r="C36" s="100" t="n">
        <x:f aca="0">SUM(S20_Dry_Broadleaf_ER!AQ4,S20_Dry_Broadleaf_ER!AQ5,S20_Dry_Broadleaf_ER!AQ6,S20_Dry_Broadleaf_ER!AQ7,S20_Dry_Broadleaf_ER!AQ8)</x:f>
        <x:v>32248.228729172657</x:v>
      </x:c>
      <x:c r="D36" s="100" t="n">
        <x:f aca="0">IF($B$4=0,0,S33_Project_Deductions!D20*$B$4/S08_Defaults!$B$14)</x:f>
        <x:v>12328.687638324765</x:v>
      </x:c>
      <x:c r="E36" s="100" t="n">
        <x:f aca="0">IF($B$4=0,0,S33_Project_Deductions!E20*$B$4/S08_Defaults!$B$14)</x:f>
        <x:v>3080.0094236588234</x:v>
      </x:c>
      <x:c r="F36" s="100" t="n">
        <x:f aca="0">S08_Defaults!$B$9</x:f>
        <x:v>0.2</x:v>
      </x:c>
      <x:c r="G36" s="100" t="n">
        <x:f aca="0">C36*(1-F36)-D36-E36</x:f>
        <x:v>10389.88592135454</x:v>
      </x:c>
      <x:c r="H36" s="100" t="n">
        <x:f aca="0">G36-G35</x:f>
        <x:v>1065.0194476344204</x:v>
      </x:c>
      <x:c r="I36" s="100" t="n">
        <x:f aca="0">H36/1</x:f>
        <x:v>1065.0194476344204</x:v>
      </x:c>
      <x:c r="J36" s="100" t="n">
        <x:f aca="0">B36-D36-E36</x:f>
        <x:v>24483.370596962337</x:v>
      </x:c>
      <x:c r="K36" s="100" t="n">
        <x:f aca="0">B36</x:f>
        <x:v>39892.067658945925</x:v>
      </x:c>
      <x:c r="L36" s="100" t="n">
        <x:f aca="0">0</x:f>
        <x:v>0</x:v>
      </x:c>
      <x:c r="M36" s="100" t="n">
        <x:f aca="0">IF(AND(A36&gt;=S08_Defaults!$B$11,A36&lt;=S08_Defaults!$B$12),J36,0)</x:f>
        <x:v>24483.370596962337</x:v>
      </x:c>
      <x:c r="N36" s="100" t="n">
        <x:f aca="0">IF(AND(A36&gt;=S08_Defaults!$B$11,A36&lt;=S08_Defaults!$B$12),K36-L36,0)</x:f>
        <x:v>39892.067658945925</x:v>
      </x:c>
      <x:c r="O36" s="37" t="s">
        <x:v>1271</x:v>
      </x:c>
    </x:row>
    <x:row r="37" ht="15" hidden="0" customHeight="1">
      <x:c r="A37" s="37" t="n">
        <x:v>2037</x:v>
      </x:c>
      <x:c r="B37" s="100" t="n">
        <x:f aca="0">SUM(S20_Dry_Broadleaf_ER!W4,S20_Dry_Broadleaf_ER!W5,S20_Dry_Broadleaf_ER!W6,S20_Dry_Broadleaf_ER!W7,S20_Dry_Broadleaf_ER!W8)</x:f>
        <x:v>42570.29347615589</x:v>
      </x:c>
      <x:c r="C37" s="100" t="n">
        <x:f aca="0">SUM(S20_Dry_Broadleaf_ER!AR4,S20_Dry_Broadleaf_ER!AR5,S20_Dry_Broadleaf_ER!AR6,S20_Dry_Broadleaf_ER!AR7,S20_Dry_Broadleaf_ER!AR8)</x:f>
        <x:v>34413.27165149394</x:v>
      </x:c>
      <x:c r="D37" s="100" t="n">
        <x:f aca="0">IF($B$4=0,0,S33_Project_Deductions!D21*$B$4/S08_Defaults!$B$14)</x:f>
        <x:v>13152.289633494194</x:v>
      </x:c>
      <x:c r="E37" s="100" t="n">
        <x:f aca="0">IF($B$4=0,0,S33_Project_Deductions!E21*$B$4/S08_Defaults!$B$14)</x:f>
        <x:v>3080.0094236588234</x:v>
      </x:c>
      <x:c r="F37" s="100" t="n">
        <x:f aca="0">S08_Defaults!$B$9</x:f>
        <x:v>0.2</x:v>
      </x:c>
      <x:c r="G37" s="100" t="n">
        <x:f aca="0">C37*(1-F37)-D37-E37</x:f>
        <x:v>11298.318264042136</x:v>
      </x:c>
      <x:c r="H37" s="100" t="n">
        <x:f aca="0">G37-G36</x:f>
        <x:v>908.4323426875962</x:v>
      </x:c>
      <x:c r="I37" s="100" t="n">
        <x:f aca="0">H37/1</x:f>
        <x:v>908.4323426875962</x:v>
      </x:c>
      <x:c r="J37" s="100" t="n">
        <x:f aca="0">B37-D37-E37</x:f>
        <x:v>26337.994419002876</x:v>
      </x:c>
      <x:c r="K37" s="100" t="n">
        <x:f aca="0">B37</x:f>
        <x:v>42570.29347615589</x:v>
      </x:c>
      <x:c r="L37" s="100" t="n">
        <x:f aca="0">0</x:f>
        <x:v>0</x:v>
      </x:c>
      <x:c r="M37" s="100" t="n">
        <x:f aca="0">IF(AND(A37&gt;=S08_Defaults!$B$11,A37&lt;=S08_Defaults!$B$12),J37,0)</x:f>
        <x:v>26337.994419002876</x:v>
      </x:c>
      <x:c r="N37" s="100" t="n">
        <x:f aca="0">IF(AND(A37&gt;=S08_Defaults!$B$11,A37&lt;=S08_Defaults!$B$12),K37-L37,0)</x:f>
        <x:v>42570.29347615589</x:v>
      </x:c>
      <x:c r="O37" s="37" t="s">
        <x:v>1271</x:v>
      </x:c>
    </x:row>
    <x:row r="38" ht="15" hidden="0" customHeight="1">
      <x:c r="A38" s="37" t="n">
        <x:v>2038</x:v>
      </x:c>
      <x:c r="B38" s="100" t="n">
        <x:f aca="0">SUM(S20_Dry_Broadleaf_ER!X4,S20_Dry_Broadleaf_ER!X5,S20_Dry_Broadleaf_ER!X6,S20_Dry_Broadleaf_ER!X7,S20_Dry_Broadleaf_ER!X8)</x:f>
        <x:v>45009.38700124624</x:v>
      </x:c>
      <x:c r="C38" s="100" t="n">
        <x:f aca="0">SUM(S20_Dry_Broadleaf_ER!AS4,S20_Dry_Broadleaf_ER!AS5,S20_Dry_Broadleaf_ER!AS6,S20_Dry_Broadleaf_ER!AS7,S20_Dry_Broadleaf_ER!AS8)</x:f>
        <x:v>36385.00313860122</x:v>
      </x:c>
      <x:c r="D38" s="100" t="n">
        <x:f aca="0">IF($B$4=0,0,S33_Project_Deductions!D22*$B$4/S08_Defaults!$B$14)</x:f>
        <x:v>13975.891628663623</x:v>
      </x:c>
      <x:c r="E38" s="100" t="n">
        <x:f aca="0">IF($B$4=0,0,S33_Project_Deductions!E22*$B$4/S08_Defaults!$B$14)</x:f>
        <x:v>3080.0094236588234</x:v>
      </x:c>
      <x:c r="F38" s="100" t="n">
        <x:f aca="0">S08_Defaults!$B$9</x:f>
        <x:v>0.2</x:v>
      </x:c>
      <x:c r="G38" s="100" t="n">
        <x:f aca="0">C38*(1-F38)-D38-E38</x:f>
        <x:v>12052.101458558533</x:v>
      </x:c>
      <x:c r="H38" s="100" t="n">
        <x:f aca="0">G38-G37</x:f>
        <x:v>753.7831945163962</x:v>
      </x:c>
      <x:c r="I38" s="100" t="n">
        <x:f aca="0">H38/1</x:f>
        <x:v>753.7831945163962</x:v>
      </x:c>
      <x:c r="J38" s="100" t="n">
        <x:f aca="0">B38-D38-E38</x:f>
        <x:v>27953.485948923797</x:v>
      </x:c>
      <x:c r="K38" s="100" t="n">
        <x:f aca="0">B38</x:f>
        <x:v>45009.38700124624</x:v>
      </x:c>
      <x:c r="L38" s="100" t="n">
        <x:f aca="0">0</x:f>
        <x:v>0</x:v>
      </x:c>
      <x:c r="M38" s="100" t="n">
        <x:f aca="0">IF(AND(A38&gt;=S08_Defaults!$B$11,A38&lt;=S08_Defaults!$B$12),J38,0)</x:f>
        <x:v>27953.485948923797</x:v>
      </x:c>
      <x:c r="N38" s="100" t="n">
        <x:f aca="0">IF(AND(A38&gt;=S08_Defaults!$B$11,A38&lt;=S08_Defaults!$B$12),K38-L38,0)</x:f>
        <x:v>45009.38700124624</x:v>
      </x:c>
      <x:c r="O38" s="37" t="s">
        <x:v>1271</x:v>
      </x:c>
    </x:row>
    <x:row r="39" ht="15" hidden="0" customHeight="1">
      <x:c r="A39" s="37" t="n">
        <x:v>2039</x:v>
      </x:c>
      <x:c r="B39" s="100" t="n">
        <x:f aca="0">SUM(S20_Dry_Broadleaf_ER!Y4,S20_Dry_Broadleaf_ER!Y5,S20_Dry_Broadleaf_ER!Y6,S20_Dry_Broadleaf_ER!Y7,S20_Dry_Broadleaf_ER!Y8)</x:f>
        <x:v>47217.93947469303</x:v>
      </x:c>
      <x:c r="C39" s="100" t="n">
        <x:f aca="0">SUM(S20_Dry_Broadleaf_ER!AT4,S20_Dry_Broadleaf_ER!AT5,S20_Dry_Broadleaf_ER!AT6,S20_Dry_Broadleaf_ER!AT7,S20_Dry_Broadleaf_ER!AT8)</x:f>
        <x:v>38170.36823757272</x:v>
      </x:c>
      <x:c r="D39" s="100" t="n">
        <x:f aca="0">IF($B$4=0,0,S33_Project_Deductions!D23*$B$4/S08_Defaults!$B$14)</x:f>
        <x:v>14799.493623833054</x:v>
      </x:c>
      <x:c r="E39" s="100" t="n">
        <x:f aca="0">IF($B$4=0,0,S33_Project_Deductions!E23*$B$4/S08_Defaults!$B$14)</x:f>
        <x:v>3080.0094236588234</x:v>
      </x:c>
      <x:c r="F39" s="100" t="n">
        <x:f aca="0">S08_Defaults!$B$9</x:f>
        <x:v>0.2</x:v>
      </x:c>
      <x:c r="G39" s="100" t="n">
        <x:f aca="0">C39*(1-F39)-D39-E39</x:f>
        <x:v>12656.791542566303</x:v>
      </x:c>
      <x:c r="H39" s="100" t="n">
        <x:f aca="0">G39-G38</x:f>
        <x:v>604.6900840077706</x:v>
      </x:c>
      <x:c r="I39" s="100" t="n">
        <x:f aca="0">H39/1</x:f>
        <x:v>604.6900840077706</x:v>
      </x:c>
      <x:c r="J39" s="100" t="n">
        <x:f aca="0">B39-D39-E39</x:f>
        <x:v>29338.436427201148</x:v>
      </x:c>
      <x:c r="K39" s="100" t="n">
        <x:f aca="0">B39</x:f>
        <x:v>47217.93947469303</x:v>
      </x:c>
      <x:c r="L39" s="100" t="n">
        <x:f aca="0">0</x:f>
        <x:v>0</x:v>
      </x:c>
      <x:c r="M39" s="100" t="n">
        <x:f aca="0">IF(AND(A39&gt;=S08_Defaults!$B$11,A39&lt;=S08_Defaults!$B$12),J39,0)</x:f>
        <x:v>29338.436427201148</x:v>
      </x:c>
      <x:c r="N39" s="100" t="n">
        <x:f aca="0">IF(AND(A39&gt;=S08_Defaults!$B$11,A39&lt;=S08_Defaults!$B$12),K39-L39,0)</x:f>
        <x:v>47217.93947469303</x:v>
      </x:c>
      <x:c r="O39" s="37" t="s">
        <x:v>1271</x:v>
      </x:c>
    </x:row>
    <x:row r="40" ht="15" hidden="0" customHeight="1">
      <x:c r="A40" s="37" t="n">
        <x:v>2040</x:v>
      </x:c>
      <x:c r="B40" s="100" t="n">
        <x:f aca="0">SUM(S20_Dry_Broadleaf_ER!Z4,S20_Dry_Broadleaf_ER!Z5,S20_Dry_Broadleaf_ER!Z6,S20_Dry_Broadleaf_ER!Z7,S20_Dry_Broadleaf_ER!Z8)</x:f>
        <x:v>49208.22312057359</x:v>
      </x:c>
      <x:c r="C40" s="100" t="n">
        <x:f aca="0">SUM(S20_Dry_Broadleaf_ER!AU4,S20_Dry_Broadleaf_ER!AU5,S20_Dry_Broadleaf_ER!AU6,S20_Dry_Broadleaf_ER!AU7,S20_Dry_Broadleaf_ER!AU8)</x:f>
        <x:v>39779.287654761545</x:v>
      </x:c>
      <x:c r="D40" s="100" t="n">
        <x:f aca="0">IF($B$4=0,0,S33_Project_Deductions!D24*$B$4/S08_Defaults!$B$14)</x:f>
        <x:v>15623.095619002483</x:v>
      </x:c>
      <x:c r="E40" s="100" t="n">
        <x:f aca="0">IF($B$4=0,0,S33_Project_Deductions!E24*$B$4/S08_Defaults!$B$14)</x:f>
        <x:v>3080.0094236588234</x:v>
      </x:c>
      <x:c r="F40" s="100" t="n">
        <x:f aca="0">S08_Defaults!$B$9</x:f>
        <x:v>0.2</x:v>
      </x:c>
      <x:c r="G40" s="100" t="n">
        <x:f aca="0">C40*(1-F40)-D40-E40</x:f>
        <x:v>13120.325081147932</x:v>
      </x:c>
      <x:c r="H40" s="100" t="n">
        <x:f aca="0">G40-G39</x:f>
        <x:v>463.5335385816288</x:v>
      </x:c>
      <x:c r="I40" s="100" t="n">
        <x:f aca="0">H40/1</x:f>
        <x:v>463.5335385816288</x:v>
      </x:c>
      <x:c r="J40" s="100" t="n">
        <x:f aca="0">B40-D40-E40</x:f>
        <x:v>30505.118077912284</x:v>
      </x:c>
      <x:c r="K40" s="100" t="n">
        <x:f aca="0">B40</x:f>
        <x:v>49208.22312057359</x:v>
      </x:c>
      <x:c r="L40" s="100" t="n">
        <x:f aca="0">0</x:f>
        <x:v>0</x:v>
      </x:c>
      <x:c r="M40" s="100" t="n">
        <x:f aca="0">IF(AND(A40&gt;=S08_Defaults!$B$11,A40&lt;=S08_Defaults!$B$12),J40,0)</x:f>
        <x:v>30505.118077912284</x:v>
      </x:c>
      <x:c r="N40" s="100" t="n">
        <x:f aca="0">IF(AND(A40&gt;=S08_Defaults!$B$11,A40&lt;=S08_Defaults!$B$12),K40-L40,0)</x:f>
        <x:v>49208.22312057359</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Dry Broadleaf Forests | Fruit Orchard (6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15" hidden="0" customHeight="1">
      <x:c r="A46" s="125" t="s">
        <x:v>540</x:v>
      </x:c>
      <x:c r="B46" s="198" t="s">
        <x:v>542</x:v>
      </x:c>
      <x:c r="C46" s="198" t="n">
        <x:v>2020</x:v>
      </x:c>
      <x:c r="D46" s="198" t="n">
        <x:v>2.5834</x:v>
      </x:c>
      <x:c r="E46" s="198" t="s">
        <x:v>544</x:v>
      </x:c>
      <x:c r="F46" s="198" t="s">
        <x:v>545</x:v>
      </x:c>
      <x:c r="G46" s="1"/>
      <x:c r="H46" s="1"/>
      <x:c r="I46" s="1"/>
      <x:c r="J46" s="1"/>
      <x:c r="K46" s="1"/>
      <x:c r="L46" s="1"/>
      <x:c r="M46" s="1"/>
      <x:c r="N46" s="1"/>
      <x:c r="O46" s="1"/>
    </x:row>
    <x:row r="47" ht="15" hidden="0" customHeight="1">
      <x:c r="A47" s="125" t="s">
        <x:v>548</x:v>
      </x:c>
      <x:c r="B47" s="198" t="s">
        <x:v>549</x:v>
      </x:c>
      <x:c r="C47" s="198" t="n">
        <x:v>2020</x:v>
      </x:c>
      <x:c r="D47" s="198" t="n">
        <x:v>0.7405</x:v>
      </x:c>
      <x:c r="E47" s="198" t="s">
        <x:v>550</x:v>
      </x:c>
      <x:c r="F47" s="198" t="s">
        <x:v>551</x:v>
      </x:c>
      <x:c r="G47" s="1"/>
      <x:c r="H47" s="1"/>
      <x:c r="I47" s="1"/>
      <x:c r="J47" s="1"/>
      <x:c r="K47" s="1"/>
      <x:c r="L47" s="1"/>
      <x:c r="M47" s="1"/>
      <x:c r="N47" s="1"/>
      <x:c r="O47" s="1"/>
    </x:row>
    <x:row r="48" ht="21.75" hidden="0" customHeight="1">
      <x:c r="A48" s="125" t="s">
        <x:v>571</x:v>
      </x:c>
      <x:c r="B48" s="198" t="s">
        <x:v>549</x:v>
      </x:c>
      <x:c r="C48" s="198" t="n">
        <x:v>2023</x:v>
      </x:c>
      <x:c r="D48" s="198" t="n">
        <x:v>0.8069</x:v>
      </x:c>
      <x:c r="E48" s="198" t="s">
        <x:v>557</x:v>
      </x:c>
      <x:c r="F48" s="198" t="s">
        <x:v>572</x:v>
      </x:c>
      <x:c r="G48" s="1"/>
      <x:c r="H48" s="1"/>
      <x:c r="I48" s="1"/>
      <x:c r="J48" s="1"/>
      <x:c r="K48" s="1"/>
      <x:c r="L48" s="1"/>
      <x:c r="M48" s="1"/>
      <x:c r="N48" s="1"/>
      <x:c r="O48" s="1"/>
    </x:row>
    <x:row r="49" ht="21.75" hidden="0" customHeight="1">
      <x:c r="A49" s="125" t="s">
        <x:v>556</x:v>
      </x:c>
      <x:c r="B49" s="198" t="s">
        <x:v>553</x:v>
      </x:c>
      <x:c r="C49" s="198" t="n">
        <x:v>2020</x:v>
      </x:c>
      <x:c r="D49" s="198" t="n">
        <x:v>2.0024</x:v>
      </x:c>
      <x:c r="E49" s="198" t="s">
        <x:v>557</x:v>
      </x:c>
      <x:c r="F49" s="198" t="s">
        <x:v>555</x:v>
      </x:c>
      <x:c r="G49" s="1"/>
      <x:c r="H49" s="1"/>
      <x:c r="I49" s="1"/>
      <x:c r="J49" s="1"/>
      <x:c r="K49" s="1"/>
      <x:c r="L49" s="1"/>
      <x:c r="M49" s="1"/>
      <x:c r="N49" s="1"/>
      <x:c r="O49" s="1"/>
    </x:row>
    <x:row r="50" ht="21.75" hidden="0" customHeight="1">
      <x:c r="A50" s="125" t="s">
        <x:v>561</x:v>
      </x:c>
      <x:c r="B50" s="198" t="s">
        <x:v>553</x:v>
      </x:c>
      <x:c r="C50" s="198" t="n">
        <x:v>2021</x:v>
      </x:c>
      <x:c r="D50" s="198" t="n">
        <x:v>0.4429</x:v>
      </x:c>
      <x:c r="E50" s="198" t="s">
        <x:v>562</x:v>
      </x:c>
      <x:c r="F50" s="198" t="s">
        <x:v>560</x:v>
      </x:c>
      <x:c r="G50" s="1"/>
      <x:c r="H50" s="1"/>
      <x:c r="I50" s="1"/>
      <x:c r="J50" s="1"/>
      <x:c r="K50" s="1"/>
      <x:c r="L50" s="1"/>
      <x:c r="M50" s="1"/>
      <x:c r="N50" s="1"/>
      <x:c r="O50" s="1"/>
    </x:row>
    <x:row r="51" ht="21.75" hidden="0" customHeight="1">
      <x:c r="A51" s="125" t="s">
        <x:v>573</x:v>
      </x:c>
      <x:c r="B51" s="198" t="s">
        <x:v>553</x:v>
      </x:c>
      <x:c r="C51" s="198" t="n">
        <x:v>2024</x:v>
      </x:c>
      <x:c r="D51" s="198" t="n">
        <x:v>0.3289</x:v>
      </x:c>
      <x:c r="E51" s="198" t="s">
        <x:v>574</x:v>
      </x:c>
      <x:c r="F51" s="198" t="s">
        <x:v>575</x:v>
      </x:c>
      <x:c r="G51" s="1"/>
      <x:c r="H51" s="1"/>
      <x:c r="I51" s="1"/>
      <x:c r="J51" s="1"/>
      <x:c r="K51" s="1"/>
      <x:c r="L51" s="1"/>
      <x:c r="M51" s="1"/>
      <x:c r="N51" s="1"/>
      <x:c r="O51" s="1"/>
    </x:row>
  </x:sheetData>
  <x:mergeCells>
    <x:mergeCell ref="A1:N1"/>
    <x:mergeCell ref="A43:F43"/>
    <x:mergeCell ref="A44:F44"/>
  </x:mergeCells>
  <x:pageMargins left="0.7" right="0.7" top="0.75" bottom="0.75" header="0.3" footer="0.3"/>
</x:worksheet>
</file>

<file path=xl/worksheets/sheet30.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Dry Broadleaf Forests | Horti-Silviculture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SUM(S20_Dry_Broadleaf_ER!C9,S20_Dry_Broadleaf_ER!C10,S20_Dry_Broadleaf_ER!C11,S20_Dry_Broadleaf_ER!C12,S20_Dry_Broadleaf_ER!C13)</x:f>
        <x:v>439.3090898421691</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411791.064404523</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323284.0490776923</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334547.695391274</x:v>
      </x:c>
      <x:c r="C7" s="37" t="s">
        <x:v>151</x:v>
      </x:c>
      <x:c r="D7" s="37" t="s">
        <x:v>1242</x:v>
      </x:c>
      <x:c r="E7" s="1"/>
      <x:c r="F7" s="1"/>
      <x:c r="G7" s="1"/>
      <x:c r="H7" s="1"/>
      <x:c r="I7" s="1"/>
      <x:c r="J7" s="1"/>
      <x:c r="K7" s="1"/>
      <x:c r="L7" s="1"/>
      <x:c r="M7" s="1"/>
      <x:c r="N7" s="1"/>
      <x:c r="O7" s="1"/>
    </x:row>
    <x:row r="8" ht="15" hidden="0" customHeight="1">
      <x:c r="A8" s="193" t="s">
        <x:v>1243</x:v>
      </x:c>
      <x:c r="B8" s="194" t="n">
        <x:f aca="0">MAX(0,MIN(B5,B6))</x:f>
        <x:v>323284.0490776923</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323284.0490776923</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64656.809815538465</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258627.23926215386</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588.7136078952317</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29.435680394761583</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IF(AND("Tropical &amp; Subtropical Dry Broadleaf Forests"="Tropical &amp; Subtropical Dry Broadleaf Forests","Horti-Silviculture"="Timber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SUM(S20_Dry_Broadleaf_ER!F9,S20_Dry_Broadleaf_ER!F10,S20_Dry_Broadleaf_ER!F11,S20_Dry_Broadleaf_ER!F12,S20_Dry_Broadleaf_ER!F13)</x:f>
        <x:v>0</x:v>
      </x:c>
      <x:c r="C20" s="100" t="n">
        <x:f aca="0">SUM(S20_Dry_Broadleaf_ER!AA9,S20_Dry_Broadleaf_ER!AA10,S20_Dry_Broadleaf_ER!AA11,S20_Dry_Broadleaf_ER!AA12,S20_Dry_Broadleaf_ER!AA13)</x:f>
        <x:v>0</x:v>
      </x:c>
      <x:c r="D20" s="100" t="n">
        <x:f aca="0">IF($B$4=0,0,S33_Project_Deductions!D4*$B$4/S08_Defaults!$B$14)</x:f>
        <x:v>143.3818110455702</x:v>
      </x:c>
      <x:c r="E20" s="100" t="n">
        <x:f aca="0">IF($B$4=0,0,S33_Project_Deductions!E4*$B$4/S08_Defaults!$B$14)</x:f>
        <x:v>656.0906306377022</x:v>
      </x:c>
      <x:c r="F20" s="100" t="n">
        <x:f aca="0">S08_Defaults!$B$9</x:f>
        <x:v>0.2</x:v>
      </x:c>
      <x:c r="G20" s="100" t="n">
        <x:f aca="0">C20*(1-F20)-D20-E20</x:f>
        <x:v>-799.4724416832725</x:v>
      </x:c>
      <x:c r="H20" s="100" t="n">
        <x:f aca="0">G20</x:f>
        <x:v>-799.4724416832725</x:v>
      </x:c>
      <x:c r="I20" s="100" t="n">
        <x:f aca="0">H20/1</x:f>
        <x:v>-799.4724416832725</x:v>
      </x:c>
      <x:c r="J20" s="100" t="n">
        <x:f aca="0">B20-D20-E20</x:f>
        <x:v>-799.4724416832725</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SUM(S20_Dry_Broadleaf_ER!G9,S20_Dry_Broadleaf_ER!G10,S20_Dry_Broadleaf_ER!G11,S20_Dry_Broadleaf_ER!G12,S20_Dry_Broadleaf_ER!G13)</x:f>
        <x:v>610.8871351842802</x:v>
      </x:c>
      <x:c r="C21" s="100" t="n">
        <x:f aca="0">SUM(S20_Dry_Broadleaf_ER!AB9,S20_Dry_Broadleaf_ER!AB10,S20_Dry_Broadleaf_ER!AB11,S20_Dry_Broadleaf_ER!AB12,S20_Dry_Broadleaf_ER!AB13)</x:f>
        <x:v>493.8332159555007</x:v>
      </x:c>
      <x:c r="D21" s="100" t="n">
        <x:f aca="0">IF($B$4=0,0,S33_Project_Deductions!D5*$B$4/S08_Defaults!$B$14)</x:f>
        <x:v>466.8811687790966</x:v>
      </x:c>
      <x:c r="E21" s="100" t="n">
        <x:f aca="0">IF($B$4=0,0,S33_Project_Deductions!E5*$B$4/S08_Defaults!$B$14)</x:f>
        <x:v>1294.52119228377</x:v>
      </x:c>
      <x:c r="F21" s="100" t="n">
        <x:f aca="0">S08_Defaults!$B$9</x:f>
        <x:v>0.2</x:v>
      </x:c>
      <x:c r="G21" s="100" t="n">
        <x:f aca="0">C21*(1-F21)-D21-E21</x:f>
        <x:v>-1366.335788298466</x:v>
      </x:c>
      <x:c r="H21" s="100" t="n">
        <x:f aca="0">G21-G20</x:f>
        <x:v>-566.8633466151936</x:v>
      </x:c>
      <x:c r="I21" s="100" t="n">
        <x:f aca="0">H21/1</x:f>
        <x:v>-566.8633466151936</x:v>
      </x:c>
      <x:c r="J21" s="100" t="n">
        <x:f aca="0">B21-D21-E21</x:f>
        <x:v>-1150.5152258785865</x:v>
      </x:c>
      <x:c r="K21" s="100" t="n">
        <x:f aca="0">B21</x:f>
        <x:v>610.8871351842802</x:v>
      </x:c>
      <x:c r="L21" s="100" t="n">
        <x:f aca="0">0</x:f>
        <x:v>0</x:v>
      </x:c>
      <x:c r="M21" s="100" t="n">
        <x:f aca="0">IF(AND(A21&gt;=S08_Defaults!$B$11,A21&lt;=S08_Defaults!$B$12),J21,0)</x:f>
        <x:v>-1150.5152258785865</x:v>
      </x:c>
      <x:c r="N21" s="100" t="n">
        <x:f aca="0">IF(AND(A21&gt;=S08_Defaults!$B$11,A21&lt;=S08_Defaults!$B$12),K21-L21,0)</x:f>
        <x:v>610.8871351842802</x:v>
      </x:c>
      <x:c r="O21" s="37" t="s">
        <x:v>1271</x:v>
      </x:c>
    </x:row>
    <x:row r="22" ht="15" hidden="0" customHeight="1">
      <x:c r="A22" s="37" t="n">
        <x:v>2022</x:v>
      </x:c>
      <x:c r="B22" s="100" t="n">
        <x:f aca="0">SUM(S20_Dry_Broadleaf_ER!H9,S20_Dry_Broadleaf_ER!H10,S20_Dry_Broadleaf_ER!H11,S20_Dry_Broadleaf_ER!H12,S20_Dry_Broadleaf_ER!H13)</x:f>
        <x:v>5974.502017910865</x:v>
      </x:c>
      <x:c r="C22" s="100" t="n">
        <x:f aca="0">SUM(S20_Dry_Broadleaf_ER!AC9,S20_Dry_Broadleaf_ER!AC10,S20_Dry_Broadleaf_ER!AC11,S20_Dry_Broadleaf_ER!AC12,S20_Dry_Broadleaf_ER!AC13)</x:f>
        <x:v>4829.709737376498</x:v>
      </x:c>
      <x:c r="D22" s="100" t="n">
        <x:f aca="0">IF($B$4=0,0,S33_Project_Deductions!D6*$B$4/S08_Defaults!$B$14)</x:f>
        <x:v>1000.9941817583255</x:v>
      </x:c>
      <x:c r="E22" s="100" t="n">
        <x:f aca="0">IF($B$4=0,0,S33_Project_Deductions!E6*$B$4/S08_Defaults!$B$14)</x:f>
        <x:v>1946.6466897011792</x:v>
      </x:c>
      <x:c r="F22" s="100" t="n">
        <x:f aca="0">S08_Defaults!$B$9</x:f>
        <x:v>0.2</x:v>
      </x:c>
      <x:c r="G22" s="100" t="n">
        <x:f aca="0">C22*(1-F22)-D22-E22</x:f>
        <x:v>916.1269184416942</x:v>
      </x:c>
      <x:c r="H22" s="100" t="n">
        <x:f aca="0">G22-G21</x:f>
        <x:v>2282.4627067401602</x:v>
      </x:c>
      <x:c r="I22" s="100" t="n">
        <x:f aca="0">H22/1</x:f>
        <x:v>2282.4627067401602</x:v>
      </x:c>
      <x:c r="J22" s="100" t="n">
        <x:f aca="0">B22-D22-E22</x:f>
        <x:v>3026.86114645136</x:v>
      </x:c>
      <x:c r="K22" s="100" t="n">
        <x:f aca="0">B22</x:f>
        <x:v>5974.502017910865</x:v>
      </x:c>
      <x:c r="L22" s="100" t="n">
        <x:f aca="0">0</x:f>
        <x:v>0</x:v>
      </x:c>
      <x:c r="M22" s="100" t="n">
        <x:f aca="0">IF(AND(A22&gt;=S08_Defaults!$B$11,A22&lt;=S08_Defaults!$B$12),J22,0)</x:f>
        <x:v>3026.86114645136</x:v>
      </x:c>
      <x:c r="N22" s="100" t="n">
        <x:f aca="0">IF(AND(A22&gt;=S08_Defaults!$B$11,A22&lt;=S08_Defaults!$B$12),K22-L22,0)</x:f>
        <x:v>5974.502017910865</x:v>
      </x:c>
      <x:c r="O22" s="37" t="s">
        <x:v>1271</x:v>
      </x:c>
    </x:row>
    <x:row r="23" ht="15" hidden="0" customHeight="1">
      <x:c r="A23" s="37" t="n">
        <x:v>2023</x:v>
      </x:c>
      <x:c r="B23" s="100" t="n">
        <x:f aca="0">SUM(S20_Dry_Broadleaf_ER!I9,S20_Dry_Broadleaf_ER!I10,S20_Dry_Broadleaf_ER!I11,S20_Dry_Broadleaf_ER!I12,S20_Dry_Broadleaf_ER!I13)</x:f>
        <x:v>20399.00925142936</x:v>
      </x:c>
      <x:c r="C23" s="100" t="n">
        <x:f aca="0">SUM(S20_Dry_Broadleaf_ER!AD9,S20_Dry_Broadleaf_ER!AD10,S20_Dry_Broadleaf_ER!AD11,S20_Dry_Broadleaf_ER!AD12,S20_Dry_Broadleaf_ER!AD13)</x:f>
        <x:v>16490.293805091413</x:v>
      </x:c>
      <x:c r="D23" s="100" t="n">
        <x:f aca="0">IF($B$4=0,0,S33_Project_Deductions!D7*$B$4/S08_Defaults!$B$14)</x:f>
        <x:v>1750.9038098170834</x:v>
      </x:c>
      <x:c r="E23" s="100" t="n">
        <x:f aca="0">IF($B$4=0,0,S33_Project_Deductions!E7*$B$4/S08_Defaults!$B$14)</x:f>
        <x:v>2601.557242003478</x:v>
      </x:c>
      <x:c r="F23" s="100" t="n">
        <x:f aca="0">S08_Defaults!$B$9</x:f>
        <x:v>0.2</x:v>
      </x:c>
      <x:c r="G23" s="100" t="n">
        <x:f aca="0">C23*(1-F23)-D23-E23</x:f>
        <x:v>8839.773992252569</x:v>
      </x:c>
      <x:c r="H23" s="100" t="n">
        <x:f aca="0">G23-G22</x:f>
        <x:v>7923.647073810875</x:v>
      </x:c>
      <x:c r="I23" s="100" t="n">
        <x:f aca="0">H23/1</x:f>
        <x:v>7923.647073810875</x:v>
      </x:c>
      <x:c r="J23" s="100" t="n">
        <x:f aca="0">B23-D23-E23</x:f>
        <x:v>16046.5481996088</x:v>
      </x:c>
      <x:c r="K23" s="100" t="n">
        <x:f aca="0">B23</x:f>
        <x:v>20399.00925142936</x:v>
      </x:c>
      <x:c r="L23" s="100" t="n">
        <x:f aca="0">0</x:f>
        <x:v>0</x:v>
      </x:c>
      <x:c r="M23" s="100" t="n">
        <x:f aca="0">IF(AND(A23&gt;=S08_Defaults!$B$11,A23&lt;=S08_Defaults!$B$12),J23,0)</x:f>
        <x:v>16046.5481996088</x:v>
      </x:c>
      <x:c r="N23" s="100" t="n">
        <x:f aca="0">IF(AND(A23&gt;=S08_Defaults!$B$11,A23&lt;=S08_Defaults!$B$12),K23-L23,0)</x:f>
        <x:v>20399.00925142936</x:v>
      </x:c>
      <x:c r="O23" s="37" t="s">
        <x:v>1271</x:v>
      </x:c>
    </x:row>
    <x:row r="24" ht="15" hidden="0" customHeight="1">
      <x:c r="A24" s="37" t="n">
        <x:v>2024</x:v>
      </x:c>
      <x:c r="B24" s="100" t="n">
        <x:f aca="0">SUM(S20_Dry_Broadleaf_ER!J9,S20_Dry_Broadleaf_ER!J10,S20_Dry_Broadleaf_ER!J11,S20_Dry_Broadleaf_ER!J12,S20_Dry_Broadleaf_ER!J13)</x:f>
        <x:v>45697.47669446935</x:v>
      </x:c>
      <x:c r="C24" s="100" t="n">
        <x:f aca="0">SUM(S20_Dry_Broadleaf_ER!AE9,S20_Dry_Broadleaf_ER!AE10,S20_Dry_Broadleaf_ER!AE11,S20_Dry_Broadleaf_ER!AE12,S20_Dry_Broadleaf_ER!AE13)</x:f>
        <x:v>36941.245898514135</x:v>
      </x:c>
      <x:c r="D24" s="100" t="n">
        <x:f aca="0">IF($B$4=0,0,S33_Project_Deductions!D8*$B$4/S08_Defaults!$B$14)</x:f>
        <x:v>2573.591882192561</x:v>
      </x:c>
      <x:c r="E24" s="100" t="n">
        <x:f aca="0">IF($B$4=0,0,S33_Project_Deductions!E8*$B$4/S08_Defaults!$B$14)</x:f>
        <x:v>3233.482324915383</x:v>
      </x:c>
      <x:c r="F24" s="100" t="n">
        <x:f aca="0">S08_Defaults!$B$9</x:f>
        <x:v>0.2</x:v>
      </x:c>
      <x:c r="G24" s="100" t="n">
        <x:f aca="0">C24*(1-F24)-D24-E24</x:f>
        <x:v>23745.922511703364</x:v>
      </x:c>
      <x:c r="H24" s="100" t="n">
        <x:f aca="0">G24-G23</x:f>
        <x:v>14906.148519450795</x:v>
      </x:c>
      <x:c r="I24" s="100" t="n">
        <x:f aca="0">H24/1</x:f>
        <x:v>14906.148519450795</x:v>
      </x:c>
      <x:c r="J24" s="100" t="n">
        <x:f aca="0">B24-D24-E24</x:f>
        <x:v>39890.4024873614</x:v>
      </x:c>
      <x:c r="K24" s="100" t="n">
        <x:f aca="0">B24</x:f>
        <x:v>45697.47669446935</x:v>
      </x:c>
      <x:c r="L24" s="100" t="n">
        <x:f aca="0">0</x:f>
        <x:v>0</x:v>
      </x:c>
      <x:c r="M24" s="100" t="n">
        <x:f aca="0">IF(AND(A24&gt;=S08_Defaults!$B$11,A24&lt;=S08_Defaults!$B$12),J24,0)</x:f>
        <x:v>39890.4024873614</x:v>
      </x:c>
      <x:c r="N24" s="100" t="n">
        <x:f aca="0">IF(AND(A24&gt;=S08_Defaults!$B$11,A24&lt;=S08_Defaults!$B$12),K24-L24,0)</x:f>
        <x:v>45697.47669446935</x:v>
      </x:c>
      <x:c r="O24" s="37" t="s">
        <x:v>1271</x:v>
      </x:c>
    </x:row>
    <x:row r="25" ht="15" hidden="0" customHeight="1">
      <x:c r="A25" s="37" t="n">
        <x:v>2025</x:v>
      </x:c>
      <x:c r="B25" s="100" t="n">
        <x:f aca="0">SUM(S20_Dry_Broadleaf_ER!K9,S20_Dry_Broadleaf_ER!K10,S20_Dry_Broadleaf_ER!K11,S20_Dry_Broadleaf_ER!K12,S20_Dry_Broadleaf_ER!K13)</x:f>
        <x:v>81054.38049078854</x:v>
      </x:c>
      <x:c r="C25" s="100" t="n">
        <x:f aca="0">SUM(S20_Dry_Broadleaf_ER!AF9,S20_Dry_Broadleaf_ER!AF10,S20_Dry_Broadleaf_ER!AF11,S20_Dry_Broadleaf_ER!AF12,S20_Dry_Broadleaf_ER!AF13)</x:f>
        <x:v>65523.30713753246</x:v>
      </x:c>
      <x:c r="D25" s="100" t="n">
        <x:f aca="0">IF($B$4=0,0,S33_Project_Deductions!D9*$B$4/S08_Defaults!$B$14)</x:f>
        <x:v>3432.3226632423716</x:v>
      </x:c>
      <x:c r="E25" s="100" t="n">
        <x:f aca="0">IF($B$4=0,0,S33_Project_Deductions!E9*$B$4/S08_Defaults!$B$14)</x:f>
        <x:v>3233.482324915383</x:v>
      </x:c>
      <x:c r="F25" s="100" t="n">
        <x:f aca="0">S08_Defaults!$B$9</x:f>
        <x:v>0.2</x:v>
      </x:c>
      <x:c r="G25" s="100" t="n">
        <x:f aca="0">C25*(1-F25)-D25-E25</x:f>
        <x:v>45752.84072186822</x:v>
      </x:c>
      <x:c r="H25" s="100" t="n">
        <x:f aca="0">G25-G24</x:f>
        <x:v>22006.918210164855</x:v>
      </x:c>
      <x:c r="I25" s="100" t="n">
        <x:f aca="0">H25/1</x:f>
        <x:v>22006.918210164855</x:v>
      </x:c>
      <x:c r="J25" s="100" t="n">
        <x:f aca="0">B25-D25-E25</x:f>
        <x:v>74388.57550263077</x:v>
      </x:c>
      <x:c r="K25" s="100" t="n">
        <x:f aca="0">B25</x:f>
        <x:v>81054.38049078854</x:v>
      </x:c>
      <x:c r="L25" s="100" t="n">
        <x:f aca="0">0</x:f>
        <x:v>0</x:v>
      </x:c>
      <x:c r="M25" s="100" t="n">
        <x:f aca="0">IF(AND(A25&gt;=S08_Defaults!$B$11,A25&lt;=S08_Defaults!$B$12),J25,0)</x:f>
        <x:v>74388.57550263077</x:v>
      </x:c>
      <x:c r="N25" s="100" t="n">
        <x:f aca="0">IF(AND(A25&gt;=S08_Defaults!$B$11,A25&lt;=S08_Defaults!$B$12),K25-L25,0)</x:f>
        <x:v>81054.38049078854</x:v>
      </x:c>
      <x:c r="O25" s="37" t="s">
        <x:v>1271</x:v>
      </x:c>
    </x:row>
    <x:row r="26" ht="15" hidden="0" customHeight="1">
      <x:c r="A26" s="37" t="n">
        <x:v>2026</x:v>
      </x:c>
      <x:c r="B26" s="100" t="n">
        <x:f aca="0">SUM(S20_Dry_Broadleaf_ER!L9,S20_Dry_Broadleaf_ER!L10,S20_Dry_Broadleaf_ER!L11,S20_Dry_Broadleaf_ER!L12,S20_Dry_Broadleaf_ER!L13)</x:f>
        <x:v>124336.61560458683</x:v>
      </x:c>
      <x:c r="C26" s="100" t="n">
        <x:f aca="0">SUM(S20_Dry_Broadleaf_ER!AG9,S20_Dry_Broadleaf_ER!AG10,S20_Dry_Broadleaf_ER!AG11,S20_Dry_Broadleaf_ER!AG12,S20_Dry_Broadleaf_ER!AG13)</x:f>
        <x:v>100512.10315063129</x:v>
      </x:c>
      <x:c r="D26" s="100" t="n">
        <x:f aca="0">IF($B$4=0,0,S33_Project_Deductions!D10*$B$4/S08_Defaults!$B$14)</x:f>
        <x:v>4296.6000444087695</x:v>
      </x:c>
      <x:c r="E26" s="100" t="n">
        <x:f aca="0">IF($B$4=0,0,S33_Project_Deductions!E10*$B$4/S08_Defaults!$B$14)</x:f>
        <x:v>3233.482324915383</x:v>
      </x:c>
      <x:c r="F26" s="100" t="n">
        <x:f aca="0">S08_Defaults!$B$9</x:f>
        <x:v>0.2</x:v>
      </x:c>
      <x:c r="G26" s="100" t="n">
        <x:f aca="0">C26*(1-F26)-D26-E26</x:f>
        <x:v>72879.60015118089</x:v>
      </x:c>
      <x:c r="H26" s="100" t="n">
        <x:f aca="0">G26-G25</x:f>
        <x:v>27126.759429312668</x:v>
      </x:c>
      <x:c r="I26" s="100" t="n">
        <x:f aca="0">H26/1</x:f>
        <x:v>27126.759429312668</x:v>
      </x:c>
      <x:c r="J26" s="100" t="n">
        <x:f aca="0">B26-D26-E26</x:f>
        <x:v>116806.53323526267</x:v>
      </x:c>
      <x:c r="K26" s="100" t="n">
        <x:f aca="0">B26</x:f>
        <x:v>124336.61560458683</x:v>
      </x:c>
      <x:c r="L26" s="100" t="n">
        <x:f aca="0">0</x:f>
        <x:v>0</x:v>
      </x:c>
      <x:c r="M26" s="100" t="n">
        <x:f aca="0">IF(AND(A26&gt;=S08_Defaults!$B$11,A26&lt;=S08_Defaults!$B$12),J26,0)</x:f>
        <x:v>116806.53323526267</x:v>
      </x:c>
      <x:c r="N26" s="100" t="n">
        <x:f aca="0">IF(AND(A26&gt;=S08_Defaults!$B$11,A26&lt;=S08_Defaults!$B$12),K26-L26,0)</x:f>
        <x:v>124336.61560458683</x:v>
      </x:c>
      <x:c r="O26" s="37" t="s">
        <x:v>1271</x:v>
      </x:c>
    </x:row>
    <x:row r="27" ht="15" hidden="0" customHeight="1">
      <x:c r="A27" s="37" t="n">
        <x:v>2027</x:v>
      </x:c>
      <x:c r="B27" s="100" t="n">
        <x:f aca="0">SUM(S20_Dry_Broadleaf_ER!M9,S20_Dry_Broadleaf_ER!M10,S20_Dry_Broadleaf_ER!M11,S20_Dry_Broadleaf_ER!M12,S20_Dry_Broadleaf_ER!M13)</x:f>
        <x:v>172935.98774671106</x:v>
      </x:c>
      <x:c r="C27" s="100" t="n">
        <x:f aca="0">SUM(S20_Dry_Broadleaf_ER!AH9,S20_Dry_Broadleaf_ER!AH10,S20_Dry_Broadleaf_ER!AH11,S20_Dry_Broadleaf_ER!AH12,S20_Dry_Broadleaf_ER!AH13)</x:f>
        <x:v>139799.2035920631</x:v>
      </x:c>
      <x:c r="D27" s="100" t="n">
        <x:f aca="0">IF($B$4=0,0,S33_Project_Deductions!D11*$B$4/S08_Defaults!$B$14)</x:f>
        <x:v>5161.241065857927</x:v>
      </x:c>
      <x:c r="E27" s="100" t="n">
        <x:f aca="0">IF($B$4=0,0,S33_Project_Deductions!E11*$B$4/S08_Defaults!$B$14)</x:f>
        <x:v>3233.482324915383</x:v>
      </x:c>
      <x:c r="F27" s="100" t="n">
        <x:f aca="0">S08_Defaults!$B$9</x:f>
        <x:v>0.2</x:v>
      </x:c>
      <x:c r="G27" s="100" t="n">
        <x:f aca="0">C27*(1-F27)-D27-E27</x:f>
        <x:v>103444.63948287717</x:v>
      </x:c>
      <x:c r="H27" s="100" t="n">
        <x:f aca="0">G27-G26</x:f>
        <x:v>30565.039331696287</x:v>
      </x:c>
      <x:c r="I27" s="100" t="n">
        <x:f aca="0">H27/1</x:f>
        <x:v>30565.039331696287</x:v>
      </x:c>
      <x:c r="J27" s="100" t="n">
        <x:f aca="0">B27-D27-E27</x:f>
        <x:v>164541.26435593775</x:v>
      </x:c>
      <x:c r="K27" s="100" t="n">
        <x:f aca="0">B27</x:f>
        <x:v>172935.98774671106</x:v>
      </x:c>
      <x:c r="L27" s="100" t="n">
        <x:f aca="0">0</x:f>
        <x:v>0</x:v>
      </x:c>
      <x:c r="M27" s="100" t="n">
        <x:f aca="0">IF(AND(A27&gt;=S08_Defaults!$B$11,A27&lt;=S08_Defaults!$B$12),J27,0)</x:f>
        <x:v>164541.26435593775</x:v>
      </x:c>
      <x:c r="N27" s="100" t="n">
        <x:f aca="0">IF(AND(A27&gt;=S08_Defaults!$B$11,A27&lt;=S08_Defaults!$B$12),K27-L27,0)</x:f>
        <x:v>172935.98774671106</x:v>
      </x:c>
      <x:c r="O27" s="37" t="s">
        <x:v>1271</x:v>
      </x:c>
    </x:row>
    <x:row r="28" ht="15" hidden="0" customHeight="1">
      <x:c r="A28" s="37" t="n">
        <x:v>2028</x:v>
      </x:c>
      <x:c r="B28" s="100" t="n">
        <x:f aca="0">SUM(S20_Dry_Broadleaf_ER!N9,S20_Dry_Broadleaf_ER!N10,S20_Dry_Broadleaf_ER!N11,S20_Dry_Broadleaf_ER!N12,S20_Dry_Broadleaf_ER!N13)</x:f>
        <x:v>224339.2875558674</x:v>
      </x:c>
      <x:c r="C28" s="100" t="n">
        <x:f aca="0">SUM(S20_Dry_Broadleaf_ER!AI9,S20_Dry_Broadleaf_ER!AI10,S20_Dry_Broadleaf_ER!AI11,S20_Dry_Broadleaf_ER!AI12,S20_Dry_Broadleaf_ER!AI13)</x:f>
        <x:v>181352.96269655455</x:v>
      </x:c>
      <x:c r="D28" s="100" t="n">
        <x:f aca="0">IF($B$4=0,0,S33_Project_Deductions!D12*$B$4/S08_Defaults!$B$14)</x:f>
        <x:v>6025.882087307085</x:v>
      </x:c>
      <x:c r="E28" s="100" t="n">
        <x:f aca="0">IF($B$4=0,0,S33_Project_Deductions!E12*$B$4/S08_Defaults!$B$14)</x:f>
        <x:v>3233.482324915383</x:v>
      </x:c>
      <x:c r="F28" s="100" t="n">
        <x:f aca="0">S08_Defaults!$B$9</x:f>
        <x:v>0.2</x:v>
      </x:c>
      <x:c r="G28" s="100" t="n">
        <x:f aca="0">C28*(1-F28)-D28-E28</x:f>
        <x:v>135823.0057450212</x:v>
      </x:c>
      <x:c r="H28" s="100" t="n">
        <x:f aca="0">G28-G27</x:f>
        <x:v>32378.366262144016</x:v>
      </x:c>
      <x:c r="I28" s="100" t="n">
        <x:f aca="0">H28/1</x:f>
        <x:v>32378.366262144016</x:v>
      </x:c>
      <x:c r="J28" s="100" t="n">
        <x:f aca="0">B28-D28-E28</x:f>
        <x:v>215079.92314364493</x:v>
      </x:c>
      <x:c r="K28" s="100" t="n">
        <x:f aca="0">B28</x:f>
        <x:v>224339.2875558674</x:v>
      </x:c>
      <x:c r="L28" s="100" t="n">
        <x:f aca="0">0</x:f>
        <x:v>0</x:v>
      </x:c>
      <x:c r="M28" s="100" t="n">
        <x:f aca="0">IF(AND(A28&gt;=S08_Defaults!$B$11,A28&lt;=S08_Defaults!$B$12),J28,0)</x:f>
        <x:v>215079.92314364493</x:v>
      </x:c>
      <x:c r="N28" s="100" t="n">
        <x:f aca="0">IF(AND(A28&gt;=S08_Defaults!$B$11,A28&lt;=S08_Defaults!$B$12),K28-L28,0)</x:f>
        <x:v>224339.2875558674</x:v>
      </x:c>
      <x:c r="O28" s="37" t="s">
        <x:v>1271</x:v>
      </x:c>
    </x:row>
    <x:row r="29" ht="15" hidden="0" customHeight="1">
      <x:c r="A29" s="37" t="n">
        <x:v>2029</x:v>
      </x:c>
      <x:c r="B29" s="100" t="n">
        <x:f aca="0">SUM(S20_Dry_Broadleaf_ER!O9,S20_Dry_Broadleaf_ER!O10,S20_Dry_Broadleaf_ER!O11,S20_Dry_Broadleaf_ER!O12,S20_Dry_Broadleaf_ER!O13)</x:f>
        <x:v>276411.91409686994</x:v>
      </x:c>
      <x:c r="C29" s="100" t="n">
        <x:f aca="0">SUM(S20_Dry_Broadleaf_ER!AJ9,S20_Dry_Broadleaf_ER!AJ10,S20_Dry_Broadleaf_ER!AJ11,S20_Dry_Broadleaf_ER!AJ12,S20_Dry_Broadleaf_ER!AJ13)</x:f>
        <x:v>223447.79682697996</x:v>
      </x:c>
      <x:c r="D29" s="100" t="n">
        <x:f aca="0">IF($B$4=0,0,S33_Project_Deductions!D13*$B$4/S08_Defaults!$B$14)</x:f>
        <x:v>6890.523108756244</x:v>
      </x:c>
      <x:c r="E29" s="100" t="n">
        <x:f aca="0">IF($B$4=0,0,S33_Project_Deductions!E13*$B$4/S08_Defaults!$B$14)</x:f>
        <x:v>3233.482324915383</x:v>
      </x:c>
      <x:c r="F29" s="100" t="n">
        <x:f aca="0">S08_Defaults!$B$9</x:f>
        <x:v>0.2</x:v>
      </x:c>
      <x:c r="G29" s="100" t="n">
        <x:f aca="0">C29*(1-F29)-D29-E29</x:f>
        <x:v>168634.23202791234</x:v>
      </x:c>
      <x:c r="H29" s="100" t="n">
        <x:f aca="0">G29-G28</x:f>
        <x:v>32811.22628289115</x:v>
      </x:c>
      <x:c r="I29" s="100" t="n">
        <x:f aca="0">H29/1</x:f>
        <x:v>32811.22628289115</x:v>
      </x:c>
      <x:c r="J29" s="100" t="n">
        <x:f aca="0">B29-D29-E29</x:f>
        <x:v>266287.90866319835</x:v>
      </x:c>
      <x:c r="K29" s="100" t="n">
        <x:f aca="0">B29</x:f>
        <x:v>276411.91409686994</x:v>
      </x:c>
      <x:c r="L29" s="100" t="n">
        <x:f aca="0">0</x:f>
        <x:v>0</x:v>
      </x:c>
      <x:c r="M29" s="100" t="n">
        <x:f aca="0">IF(AND(A29&gt;=S08_Defaults!$B$11,A29&lt;=S08_Defaults!$B$12),J29,0)</x:f>
        <x:v>266287.90866319835</x:v>
      </x:c>
      <x:c r="N29" s="100" t="n">
        <x:f aca="0">IF(AND(A29&gt;=S08_Defaults!$B$11,A29&lt;=S08_Defaults!$B$12),K29-L29,0)</x:f>
        <x:v>276411.91409686994</x:v>
      </x:c>
      <x:c r="O29" s="37" t="s">
        <x:v>1271</x:v>
      </x:c>
    </x:row>
    <x:row r="30" ht="15" hidden="0" customHeight="1">
      <x:c r="A30" s="37" t="n">
        <x:v>2030</x:v>
      </x:c>
      <x:c r="B30" s="100" t="n">
        <x:f aca="0">SUM(S20_Dry_Broadleaf_ER!P9,S20_Dry_Broadleaf_ER!P10,S20_Dry_Broadleaf_ER!P11,S20_Dry_Broadleaf_ER!P12,S20_Dry_Broadleaf_ER!P13)</x:f>
        <x:v>327494.9923030616</x:v>
      </x:c>
      <x:c r="C30" s="100" t="n">
        <x:f aca="0">SUM(S20_Dry_Broadleaf_ER!AK9,S20_Dry_Broadleaf_ER!AK10,S20_Dry_Broadleaf_ER!AK11,S20_Dry_Broadleaf_ER!AK12,S20_Dry_Broadleaf_ER!AK13)</x:f>
        <x:v>264742.6929518756</x:v>
      </x:c>
      <x:c r="D30" s="100" t="n">
        <x:f aca="0">IF($B$4=0,0,S33_Project_Deductions!D14*$B$4/S08_Defaults!$B$14)</x:f>
        <x:v>7755.164130205402</x:v>
      </x:c>
      <x:c r="E30" s="100" t="n">
        <x:f aca="0">IF($B$4=0,0,S33_Project_Deductions!E14*$B$4/S08_Defaults!$B$14)</x:f>
        <x:v>3233.482324915383</x:v>
      </x:c>
      <x:c r="F30" s="100" t="n">
        <x:f aca="0">S08_Defaults!$B$9</x:f>
        <x:v>0.2</x:v>
      </x:c>
      <x:c r="G30" s="100" t="n">
        <x:f aca="0">C30*(1-F30)-D30-E30</x:f>
        <x:v>200805.50790637973</x:v>
      </x:c>
      <x:c r="H30" s="100" t="n">
        <x:f aca="0">G30-G29</x:f>
        <x:v>32171.275878467393</x:v>
      </x:c>
      <x:c r="I30" s="100" t="n">
        <x:f aca="0">H30/1</x:f>
        <x:v>32171.275878467393</x:v>
      </x:c>
      <x:c r="J30" s="100" t="n">
        <x:f aca="0">B30-D30-E30</x:f>
        <x:v>316506.34584794083</x:v>
      </x:c>
      <x:c r="K30" s="100" t="n">
        <x:f aca="0">B30</x:f>
        <x:v>327494.9923030616</x:v>
      </x:c>
      <x:c r="L30" s="100" t="n">
        <x:f aca="0">0</x:f>
        <x:v>0</x:v>
      </x:c>
      <x:c r="M30" s="100" t="n">
        <x:f aca="0">IF(AND(A30&gt;=S08_Defaults!$B$11,A30&lt;=S08_Defaults!$B$12),J30,0)</x:f>
        <x:v>316506.34584794083</x:v>
      </x:c>
      <x:c r="N30" s="100" t="n">
        <x:f aca="0">IF(AND(A30&gt;=S08_Defaults!$B$11,A30&lt;=S08_Defaults!$B$12),K30-L30,0)</x:f>
        <x:v>327494.9923030616</x:v>
      </x:c>
      <x:c r="O30" s="37" t="s">
        <x:v>1271</x:v>
      </x:c>
    </x:row>
    <x:row r="31" ht="15" hidden="0" customHeight="1">
      <x:c r="A31" s="37" t="n">
        <x:v>2031</x:v>
      </x:c>
      <x:c r="B31" s="100" t="n">
        <x:f aca="0">SUM(S20_Dry_Broadleaf_ER!Q9,S20_Dry_Broadleaf_ER!Q10,S20_Dry_Broadleaf_ER!Q11,S20_Dry_Broadleaf_ER!Q12,S20_Dry_Broadleaf_ER!Q13)</x:f>
        <x:v>376396.01694043976</x:v>
      </x:c>
      <x:c r="C31" s="100" t="n">
        <x:f aca="0">SUM(S20_Dry_Broadleaf_ER!AL9,S20_Dry_Broadleaf_ER!AL10,S20_Dry_Broadleaf_ER!AL11,S20_Dry_Broadleaf_ER!AL12,S20_Dry_Broadleaf_ER!AL13)</x:f>
        <x:v>304273.64534770715</x:v>
      </x:c>
      <x:c r="D31" s="100" t="n">
        <x:f aca="0">IF($B$4=0,0,S33_Project_Deductions!D15*$B$4/S08_Defaults!$B$14)</x:f>
        <x:v>8619.80515165456</x:v>
      </x:c>
      <x:c r="E31" s="100" t="n">
        <x:f aca="0">IF($B$4=0,0,S33_Project_Deductions!E15*$B$4/S08_Defaults!$B$14)</x:f>
        <x:v>3233.482324915383</x:v>
      </x:c>
      <x:c r="F31" s="100" t="n">
        <x:f aca="0">S08_Defaults!$B$9</x:f>
        <x:v>0.2</x:v>
      </x:c>
      <x:c r="G31" s="100" t="n">
        <x:f aca="0">C31*(1-F31)-D31-E31</x:f>
        <x:v>231565.6288015958</x:v>
      </x:c>
      <x:c r="H31" s="100" t="n">
        <x:f aca="0">G31-G30</x:f>
        <x:v>30760.120895216067</x:v>
      </x:c>
      <x:c r="I31" s="100" t="n">
        <x:f aca="0">H31/1</x:f>
        <x:v>30760.120895216067</x:v>
      </x:c>
      <x:c r="J31" s="100" t="n">
        <x:f aca="0">B31-D31-E31</x:f>
        <x:v>364542.7294638698</x:v>
      </x:c>
      <x:c r="K31" s="100" t="n">
        <x:f aca="0">B31</x:f>
        <x:v>376396.01694043976</x:v>
      </x:c>
      <x:c r="L31" s="100" t="n">
        <x:f aca="0">0</x:f>
        <x:v>0</x:v>
      </x:c>
      <x:c r="M31" s="100" t="n">
        <x:f aca="0">IF(AND(A31&gt;=S08_Defaults!$B$11,A31&lt;=S08_Defaults!$B$12),J31,0)</x:f>
        <x:v>364542.7294638698</x:v>
      </x:c>
      <x:c r="N31" s="100" t="n">
        <x:f aca="0">IF(AND(A31&gt;=S08_Defaults!$B$11,A31&lt;=S08_Defaults!$B$12),K31-L31,0)</x:f>
        <x:v>376396.01694043976</x:v>
      </x:c>
      <x:c r="O31" s="37" t="s">
        <x:v>1271</x:v>
      </x:c>
    </x:row>
    <x:row r="32" ht="15" hidden="0" customHeight="1">
      <x:c r="A32" s="37" t="n">
        <x:v>2032</x:v>
      </x:c>
      <x:c r="B32" s="100" t="n">
        <x:f aca="0">SUM(S20_Dry_Broadleaf_ER!R9,S20_Dry_Broadleaf_ER!R10,S20_Dry_Broadleaf_ER!R11,S20_Dry_Broadleaf_ER!R12,S20_Dry_Broadleaf_ER!R13)</x:f>
        <x:v>422328.5072544293</x:v>
      </x:c>
      <x:c r="C32" s="100" t="n">
        <x:f aca="0">SUM(S20_Dry_Broadleaf_ER!AM9,S20_Dry_Broadleaf_ER!AM10,S20_Dry_Broadleaf_ER!AM11,S20_Dry_Broadleaf_ER!AM12,S20_Dry_Broadleaf_ER!AM13)</x:f>
        <x:v>341404.87320006604</x:v>
      </x:c>
      <x:c r="D32" s="100" t="n">
        <x:f aca="0">IF($B$4=0,0,S33_Project_Deductions!D16*$B$4/S08_Defaults!$B$14)</x:f>
        <x:v>9484.446173103717</x:v>
      </x:c>
      <x:c r="E32" s="100" t="n">
        <x:f aca="0">IF($B$4=0,0,S33_Project_Deductions!E16*$B$4/S08_Defaults!$B$14)</x:f>
        <x:v>3233.482324915383</x:v>
      </x:c>
      <x:c r="F32" s="100" t="n">
        <x:f aca="0">S08_Defaults!$B$9</x:f>
        <x:v>0.2</x:v>
      </x:c>
      <x:c r="G32" s="100" t="n">
        <x:f aca="0">C32*(1-F32)-D32-E32</x:f>
        <x:v>260405.97006203377</x:v>
      </x:c>
      <x:c r="H32" s="100" t="n">
        <x:f aca="0">G32-G31</x:f>
        <x:v>28840.34126043797</x:v>
      </x:c>
      <x:c r="I32" s="100" t="n">
        <x:f aca="0">H32/1</x:f>
        <x:v>28840.34126043797</x:v>
      </x:c>
      <x:c r="J32" s="100" t="n">
        <x:f aca="0">B32-D32-E32</x:f>
        <x:v>409610.5787564102</x:v>
      </x:c>
      <x:c r="K32" s="100" t="n">
        <x:f aca="0">B32</x:f>
        <x:v>422328.5072544293</x:v>
      </x:c>
      <x:c r="L32" s="100" t="n">
        <x:f aca="0">0</x:f>
        <x:v>0</x:v>
      </x:c>
      <x:c r="M32" s="100" t="n">
        <x:f aca="0">IF(AND(A32&gt;=S08_Defaults!$B$11,A32&lt;=S08_Defaults!$B$12),J32,0)</x:f>
        <x:v>409610.5787564102</x:v>
      </x:c>
      <x:c r="N32" s="100" t="n">
        <x:f aca="0">IF(AND(A32&gt;=S08_Defaults!$B$11,A32&lt;=S08_Defaults!$B$12),K32-L32,0)</x:f>
        <x:v>422328.5072544293</x:v>
      </x:c>
      <x:c r="O32" s="37" t="s">
        <x:v>1271</x:v>
      </x:c>
    </x:row>
    <x:row r="33" ht="15" hidden="0" customHeight="1">
      <x:c r="A33" s="37" t="n">
        <x:v>2033</x:v>
      </x:c>
      <x:c r="B33" s="100" t="n">
        <x:f aca="0">SUM(S20_Dry_Broadleaf_ER!S9,S20_Dry_Broadleaf_ER!S10,S20_Dry_Broadleaf_ER!S11,S20_Dry_Broadleaf_ER!S12,S20_Dry_Broadleaf_ER!S13)</x:f>
        <x:v>464834.0989675986</x:v>
      </x:c>
      <x:c r="C33" s="100" t="n">
        <x:f aca="0">SUM(S20_Dry_Broadleaf_ER!AN9,S20_Dry_Broadleaf_ER!AN10,S20_Dry_Broadleaf_ER!AN11,S20_Dry_Broadleaf_ER!AN12,S20_Dry_Broadleaf_ER!AN13)</x:f>
        <x:v>375765.8407877594</x:v>
      </x:c>
      <x:c r="D33" s="100" t="n">
        <x:f aca="0">IF($B$4=0,0,S33_Project_Deductions!D17*$B$4/S08_Defaults!$B$14)</x:f>
        <x:v>10349.087194552876</x:v>
      </x:c>
      <x:c r="E33" s="100" t="n">
        <x:f aca="0">IF($B$4=0,0,S33_Project_Deductions!E17*$B$4/S08_Defaults!$B$14)</x:f>
        <x:v>3233.482324915383</x:v>
      </x:c>
      <x:c r="F33" s="100" t="n">
        <x:f aca="0">S08_Defaults!$B$9</x:f>
        <x:v>0.2</x:v>
      </x:c>
      <x:c r="G33" s="100" t="n">
        <x:f aca="0">C33*(1-F33)-D33-E33</x:f>
        <x:v>287030.1031107393</x:v>
      </x:c>
      <x:c r="H33" s="100" t="n">
        <x:f aca="0">G33-G32</x:f>
        <x:v>26624.133048705553</x:v>
      </x:c>
      <x:c r="I33" s="100" t="n">
        <x:f aca="0">H33/1</x:f>
        <x:v>26624.133048705553</x:v>
      </x:c>
      <x:c r="J33" s="100" t="n">
        <x:f aca="0">B33-D33-E33</x:f>
        <x:v>451251.52944813034</x:v>
      </x:c>
      <x:c r="K33" s="100" t="n">
        <x:f aca="0">B33</x:f>
        <x:v>464834.0989675986</x:v>
      </x:c>
      <x:c r="L33" s="100" t="n">
        <x:f aca="0">0</x:f>
        <x:v>0</x:v>
      </x:c>
      <x:c r="M33" s="100" t="n">
        <x:f aca="0">IF(AND(A33&gt;=S08_Defaults!$B$11,A33&lt;=S08_Defaults!$B$12),J33,0)</x:f>
        <x:v>451251.52944813034</x:v>
      </x:c>
      <x:c r="N33" s="100" t="n">
        <x:f aca="0">IF(AND(A33&gt;=S08_Defaults!$B$11,A33&lt;=S08_Defaults!$B$12),K33-L33,0)</x:f>
        <x:v>464834.0989675986</x:v>
      </x:c>
      <x:c r="O33" s="37" t="s">
        <x:v>1271</x:v>
      </x:c>
    </x:row>
    <x:row r="34" ht="15" hidden="0" customHeight="1">
      <x:c r="A34" s="37" t="n">
        <x:v>2034</x:v>
      </x:c>
      <x:c r="B34" s="100" t="n">
        <x:f aca="0">SUM(S20_Dry_Broadleaf_ER!T9,S20_Dry_Broadleaf_ER!T10,S20_Dry_Broadleaf_ER!T11,S20_Dry_Broadleaf_ER!T12,S20_Dry_Broadleaf_ER!T13)</x:f>
        <x:v>503705.20878883183</x:v>
      </x:c>
      <x:c r="C34" s="100" t="n">
        <x:f aca="0">SUM(S20_Dry_Broadleaf_ER!AO9,S20_Dry_Broadleaf_ER!AO10,S20_Dry_Broadleaf_ER!AO11,S20_Dry_Broadleaf_ER!AO12,S20_Dry_Broadleaf_ER!AO13)</x:f>
        <x:v>407188.7404777136</x:v>
      </x:c>
      <x:c r="D34" s="100" t="n">
        <x:f aca="0">IF($B$4=0,0,S33_Project_Deductions!D18*$B$4/S08_Defaults!$B$14)</x:f>
        <x:v>11213.728216002033</x:v>
      </x:c>
      <x:c r="E34" s="100" t="n">
        <x:f aca="0">IF($B$4=0,0,S33_Project_Deductions!E18*$B$4/S08_Defaults!$B$14)</x:f>
        <x:v>3233.482324915383</x:v>
      </x:c>
      <x:c r="F34" s="100" t="n">
        <x:f aca="0">S08_Defaults!$B$9</x:f>
        <x:v>0.2</x:v>
      </x:c>
      <x:c r="G34" s="100" t="n">
        <x:f aca="0">C34*(1-F34)-D34-E34</x:f>
        <x:v>311303.78184125345</x:v>
      </x:c>
      <x:c r="H34" s="100" t="n">
        <x:f aca="0">G34-G33</x:f>
        <x:v>24273.678730514133</x:v>
      </x:c>
      <x:c r="I34" s="100" t="n">
        <x:f aca="0">H34/1</x:f>
        <x:v>24273.678730514133</x:v>
      </x:c>
      <x:c r="J34" s="100" t="n">
        <x:f aca="0">B34-D34-E34</x:f>
        <x:v>489257.9982479144</x:v>
      </x:c>
      <x:c r="K34" s="100" t="n">
        <x:f aca="0">B34</x:f>
        <x:v>503705.20878883183</x:v>
      </x:c>
      <x:c r="L34" s="100" t="n">
        <x:f aca="0">0</x:f>
        <x:v>0</x:v>
      </x:c>
      <x:c r="M34" s="100" t="n">
        <x:f aca="0">IF(AND(A34&gt;=S08_Defaults!$B$11,A34&lt;=S08_Defaults!$B$12),J34,0)</x:f>
        <x:v>489257.9982479144</x:v>
      </x:c>
      <x:c r="N34" s="100" t="n">
        <x:f aca="0">IF(AND(A34&gt;=S08_Defaults!$B$11,A34&lt;=S08_Defaults!$B$12),K34-L34,0)</x:f>
        <x:v>503705.20878883183</x:v>
      </x:c>
      <x:c r="O34" s="37" t="s">
        <x:v>1271</x:v>
      </x:c>
    </x:row>
    <x:row r="35" ht="15" hidden="0" customHeight="1">
      <x:c r="A35" s="37" t="n">
        <x:v>2035</x:v>
      </x:c>
      <x:c r="B35" s="100" t="n">
        <x:f aca="0">SUM(S20_Dry_Broadleaf_ER!U9,S20_Dry_Broadleaf_ER!U10,S20_Dry_Broadleaf_ER!U11,S20_Dry_Broadleaf_ER!U12,S20_Dry_Broadleaf_ER!U13)</x:f>
        <x:v>538916.79770438</x:v>
      </x:c>
      <x:c r="C35" s="100" t="n">
        <x:f aca="0">SUM(S20_Dry_Broadleaf_ER!AP9,S20_Dry_Broadleaf_ER!AP10,S20_Dry_Broadleaf_ER!AP11,S20_Dry_Broadleaf_ER!AP12,S20_Dry_Broadleaf_ER!AP13)</x:f>
        <x:v>435653.3310568273</x:v>
      </x:c>
      <x:c r="D35" s="100" t="n">
        <x:f aca="0">IF($B$4=0,0,S33_Project_Deductions!D19*$B$4/S08_Defaults!$B$14)</x:f>
        <x:v>12078.369237451192</x:v>
      </x:c>
      <x:c r="E35" s="100" t="n">
        <x:f aca="0">IF($B$4=0,0,S33_Project_Deductions!E19*$B$4/S08_Defaults!$B$14)</x:f>
        <x:v>3233.482324915383</x:v>
      </x:c>
      <x:c r="F35" s="100" t="n">
        <x:f aca="0">S08_Defaults!$B$9</x:f>
        <x:v>0.2</x:v>
      </x:c>
      <x:c r="G35" s="100" t="n">
        <x:f aca="0">C35*(1-F35)-D35-E35</x:f>
        <x:v>333210.8132830953</x:v>
      </x:c>
      <x:c r="H35" s="100" t="n">
        <x:f aca="0">G35-G34</x:f>
        <x:v>21907.031441841857</x:v>
      </x:c>
      <x:c r="I35" s="100" t="n">
        <x:f aca="0">H35/1</x:f>
        <x:v>21907.031441841857</x:v>
      </x:c>
      <x:c r="J35" s="100" t="n">
        <x:f aca="0">B35-D35-E35</x:f>
        <x:v>523604.9461420134</x:v>
      </x:c>
      <x:c r="K35" s="100" t="n">
        <x:f aca="0">B35</x:f>
        <x:v>538916.79770438</x:v>
      </x:c>
      <x:c r="L35" s="100" t="n">
        <x:f aca="0">0</x:f>
        <x:v>0</x:v>
      </x:c>
      <x:c r="M35" s="100" t="n">
        <x:f aca="0">IF(AND(A35&gt;=S08_Defaults!$B$11,A35&lt;=S08_Defaults!$B$12),J35,0)</x:f>
        <x:v>523604.9461420134</x:v>
      </x:c>
      <x:c r="N35" s="100" t="n">
        <x:f aca="0">IF(AND(A35&gt;=S08_Defaults!$B$11,A35&lt;=S08_Defaults!$B$12),K35-L35,0)</x:f>
        <x:v>538916.79770438</x:v>
      </x:c>
      <x:c r="O35" s="37" t="s">
        <x:v>1271</x:v>
      </x:c>
    </x:row>
    <x:row r="36" ht="15" hidden="0" customHeight="1">
      <x:c r="A36" s="37" t="n">
        <x:v>2036</x:v>
      </x:c>
      <x:c r="B36" s="100" t="n">
        <x:f aca="0">SUM(S20_Dry_Broadleaf_ER!V9,S20_Dry_Broadleaf_ER!V10,S20_Dry_Broadleaf_ER!V11,S20_Dry_Broadleaf_ER!V12,S20_Dry_Broadleaf_ER!V13)</x:f>
        <x:v>570570.2096552198</x:v>
      </x:c>
      <x:c r="C36" s="100" t="n">
        <x:f aca="0">SUM(S20_Dry_Broadleaf_ER!AQ9,S20_Dry_Broadleaf_ER!AQ10,S20_Dry_Broadleaf_ER!AQ11,S20_Dry_Broadleaf_ER!AQ12,S20_Dry_Broadleaf_ER!AQ13)</x:f>
        <x:v>461241.5376490844</x:v>
      </x:c>
      <x:c r="D36" s="100" t="n">
        <x:f aca="0">IF($B$4=0,0,S33_Project_Deductions!D20*$B$4/S08_Defaults!$B$14)</x:f>
        <x:v>12943.010258900347</x:v>
      </x:c>
      <x:c r="E36" s="100" t="n">
        <x:f aca="0">IF($B$4=0,0,S33_Project_Deductions!E20*$B$4/S08_Defaults!$B$14)</x:f>
        <x:v>3233.482324915383</x:v>
      </x:c>
      <x:c r="F36" s="100" t="n">
        <x:f aca="0">S08_Defaults!$B$9</x:f>
        <x:v>0.2</x:v>
      </x:c>
      <x:c r="G36" s="100" t="n">
        <x:f aca="0">C36*(1-F36)-D36-E36</x:f>
        <x:v>352816.73753545183</x:v>
      </x:c>
      <x:c r="H36" s="100" t="n">
        <x:f aca="0">G36-G35</x:f>
        <x:v>19605.92425235652</x:v>
      </x:c>
      <x:c r="I36" s="100" t="n">
        <x:f aca="0">H36/1</x:f>
        <x:v>19605.92425235652</x:v>
      </x:c>
      <x:c r="J36" s="100" t="n">
        <x:f aca="0">B36-D36-E36</x:f>
        <x:v>554393.7170714041</x:v>
      </x:c>
      <x:c r="K36" s="100" t="n">
        <x:f aca="0">B36</x:f>
        <x:v>570570.2096552198</x:v>
      </x:c>
      <x:c r="L36" s="100" t="n">
        <x:f aca="0">0</x:f>
        <x:v>0</x:v>
      </x:c>
      <x:c r="M36" s="100" t="n">
        <x:f aca="0">IF(AND(A36&gt;=S08_Defaults!$B$11,A36&lt;=S08_Defaults!$B$12),J36,0)</x:f>
        <x:v>554393.7170714041</x:v>
      </x:c>
      <x:c r="N36" s="100" t="n">
        <x:f aca="0">IF(AND(A36&gt;=S08_Defaults!$B$11,A36&lt;=S08_Defaults!$B$12),K36-L36,0)</x:f>
        <x:v>570570.2096552198</x:v>
      </x:c>
      <x:c r="O36" s="37" t="s">
        <x:v>1271</x:v>
      </x:c>
    </x:row>
    <x:row r="37" ht="15" hidden="0" customHeight="1">
      <x:c r="A37" s="37" t="n">
        <x:v>2037</x:v>
      </x:c>
      <x:c r="B37" s="100" t="n">
        <x:f aca="0">SUM(S20_Dry_Broadleaf_ER!W9,S20_Dry_Broadleaf_ER!W10,S20_Dry_Broadleaf_ER!W11,S20_Dry_Broadleaf_ER!W12,S20_Dry_Broadleaf_ER!W13)</x:f>
        <x:v>598849.1253978822</x:v>
      </x:c>
      <x:c r="C37" s="100" t="n">
        <x:f aca="0">SUM(S20_Dry_Broadleaf_ER!AR9,S20_Dry_Broadleaf_ER!AR10,S20_Dry_Broadleaf_ER!AR11,S20_Dry_Broadleaf_ER!AR12,S20_Dry_Broadleaf_ER!AR13)</x:f>
        <x:v>484101.84538943466</x:v>
      </x:c>
      <x:c r="D37" s="100" t="n">
        <x:f aca="0">IF($B$4=0,0,S33_Project_Deductions!D21*$B$4/S08_Defaults!$B$14)</x:f>
        <x:v>13807.651280349506</x:v>
      </x:c>
      <x:c r="E37" s="100" t="n">
        <x:f aca="0">IF($B$4=0,0,S33_Project_Deductions!E21*$B$4/S08_Defaults!$B$14)</x:f>
        <x:v>3233.482324915383</x:v>
      </x:c>
      <x:c r="F37" s="100" t="n">
        <x:f aca="0">S08_Defaults!$B$9</x:f>
        <x:v>0.2</x:v>
      </x:c>
      <x:c r="G37" s="100" t="n">
        <x:f aca="0">C37*(1-F37)-D37-E37</x:f>
        <x:v>370240.34270628286</x:v>
      </x:c>
      <x:c r="H37" s="100" t="n">
        <x:f aca="0">G37-G36</x:f>
        <x:v>17423.605170831026</x:v>
      </x:c>
      <x:c r="I37" s="100" t="n">
        <x:f aca="0">H37/1</x:f>
        <x:v>17423.605170831026</x:v>
      </x:c>
      <x:c r="J37" s="100" t="n">
        <x:f aca="0">B37-D37-E37</x:f>
        <x:v>581807.9917926174</x:v>
      </x:c>
      <x:c r="K37" s="100" t="n">
        <x:f aca="0">B37</x:f>
        <x:v>598849.1253978822</x:v>
      </x:c>
      <x:c r="L37" s="100" t="n">
        <x:f aca="0">0</x:f>
        <x:v>0</x:v>
      </x:c>
      <x:c r="M37" s="100" t="n">
        <x:f aca="0">IF(AND(A37&gt;=S08_Defaults!$B$11,A37&lt;=S08_Defaults!$B$12),J37,0)</x:f>
        <x:v>581807.9917926174</x:v>
      </x:c>
      <x:c r="N37" s="100" t="n">
        <x:f aca="0">IF(AND(A37&gt;=S08_Defaults!$B$11,A37&lt;=S08_Defaults!$B$12),K37-L37,0)</x:f>
        <x:v>598849.1253978822</x:v>
      </x:c>
      <x:c r="O37" s="37" t="s">
        <x:v>1271</x:v>
      </x:c>
    </x:row>
    <x:row r="38" ht="15" hidden="0" customHeight="1">
      <x:c r="A38" s="37" t="n">
        <x:v>2038</x:v>
      </x:c>
      <x:c r="B38" s="100" t="n">
        <x:f aca="0">SUM(S20_Dry_Broadleaf_ER!X9,S20_Dry_Broadleaf_ER!X10,S20_Dry_Broadleaf_ER!X11,S20_Dry_Broadleaf_ER!X12,S20_Dry_Broadleaf_ER!X13)</x:f>
        <x:v>623986.303285827</x:v>
      </x:c>
      <x:c r="C38" s="100" t="n">
        <x:f aca="0">SUM(S20_Dry_Broadleaf_ER!AS9,S20_Dry_Broadleaf_ER!AS10,S20_Dry_Broadleaf_ER!AS11,S20_Dry_Broadleaf_ER!AS12,S20_Dry_Broadleaf_ER!AS13)</x:f>
        <x:v>504422.4131039679</x:v>
      </x:c>
      <x:c r="D38" s="100" t="n">
        <x:f aca="0">IF($B$4=0,0,S33_Project_Deductions!D22*$B$4/S08_Defaults!$B$14)</x:f>
        <x:v>14672.292301798663</x:v>
      </x:c>
      <x:c r="E38" s="100" t="n">
        <x:f aca="0">IF($B$4=0,0,S33_Project_Deductions!E22*$B$4/S08_Defaults!$B$14)</x:f>
        <x:v>3233.482324915383</x:v>
      </x:c>
      <x:c r="F38" s="100" t="n">
        <x:f aca="0">S08_Defaults!$B$9</x:f>
        <x:v>0.2</x:v>
      </x:c>
      <x:c r="G38" s="100" t="n">
        <x:f aca="0">C38*(1-F38)-D38-E38</x:f>
        <x:v>385632.15585646033</x:v>
      </x:c>
      <x:c r="H38" s="100" t="n">
        <x:f aca="0">G38-G37</x:f>
        <x:v>15391.813150177477</x:v>
      </x:c>
      <x:c r="I38" s="100" t="n">
        <x:f aca="0">H38/1</x:f>
        <x:v>15391.813150177477</x:v>
      </x:c>
      <x:c r="J38" s="100" t="n">
        <x:f aca="0">B38-D38-E38</x:f>
        <x:v>606080.528659113</x:v>
      </x:c>
      <x:c r="K38" s="100" t="n">
        <x:f aca="0">B38</x:f>
        <x:v>623986.303285827</x:v>
      </x:c>
      <x:c r="L38" s="100" t="n">
        <x:f aca="0">0</x:f>
        <x:v>0</x:v>
      </x:c>
      <x:c r="M38" s="100" t="n">
        <x:f aca="0">IF(AND(A38&gt;=S08_Defaults!$B$11,A38&lt;=S08_Defaults!$B$12),J38,0)</x:f>
        <x:v>606080.528659113</x:v>
      </x:c>
      <x:c r="N38" s="100" t="n">
        <x:f aca="0">IF(AND(A38&gt;=S08_Defaults!$B$11,A38&lt;=S08_Defaults!$B$12),K38-L38,0)</x:f>
        <x:v>623986.303285827</x:v>
      </x:c>
      <x:c r="O38" s="37" t="s">
        <x:v>1271</x:v>
      </x:c>
    </x:row>
    <x:row r="39" ht="15" hidden="0" customHeight="1">
      <x:c r="A39" s="37" t="n">
        <x:v>2039</x:v>
      </x:c>
      <x:c r="B39" s="100" t="n">
        <x:f aca="0">SUM(S20_Dry_Broadleaf_ER!Y9,S20_Dry_Broadleaf_ER!Y10,S20_Dry_Broadleaf_ER!Y11,S20_Dry_Broadleaf_ER!Y12,S20_Dry_Broadleaf_ER!Y13)</x:f>
        <x:v>646239.294044782</x:v>
      </x:c>
      <x:c r="C39" s="100" t="n">
        <x:f aca="0">SUM(S20_Dry_Broadleaf_ER!AT9,S20_Dry_Broadleaf_ER!AT10,S20_Dry_Broadleaf_ER!AT11,S20_Dry_Broadleaf_ER!AT12,S20_Dry_Broadleaf_ER!AT13)</x:f>
        <x:v>522411.4414501086</x:v>
      </x:c>
      <x:c r="D39" s="100" t="n">
        <x:f aca="0">IF($B$4=0,0,S33_Project_Deductions!D23*$B$4/S08_Defaults!$B$14)</x:f>
        <x:v>15536.93332324782</x:v>
      </x:c>
      <x:c r="E39" s="100" t="n">
        <x:f aca="0">IF($B$4=0,0,S33_Project_Deductions!E23*$B$4/S08_Defaults!$B$14)</x:f>
        <x:v>3233.482324915383</x:v>
      </x:c>
      <x:c r="F39" s="100" t="n">
        <x:f aca="0">S08_Defaults!$B$9</x:f>
        <x:v>0.2</x:v>
      </x:c>
      <x:c r="G39" s="100" t="n">
        <x:f aca="0">C39*(1-F39)-D39-E39</x:f>
        <x:v>399158.7375119237</x:v>
      </x:c>
      <x:c r="H39" s="100" t="n">
        <x:f aca="0">G39-G38</x:f>
        <x:v>13526.581655463378</x:v>
      </x:c>
      <x:c r="I39" s="100" t="n">
        <x:f aca="0">H39/1</x:f>
        <x:v>13526.581655463378</x:v>
      </x:c>
      <x:c r="J39" s="100" t="n">
        <x:f aca="0">B39-D39-E39</x:f>
        <x:v>627468.8783966188</x:v>
      </x:c>
      <x:c r="K39" s="100" t="n">
        <x:f aca="0">B39</x:f>
        <x:v>646239.294044782</x:v>
      </x:c>
      <x:c r="L39" s="100" t="n">
        <x:f aca="0">0</x:f>
        <x:v>0</x:v>
      </x:c>
      <x:c r="M39" s="100" t="n">
        <x:f aca="0">IF(AND(A39&gt;=S08_Defaults!$B$11,A39&lt;=S08_Defaults!$B$12),J39,0)</x:f>
        <x:v>627468.8783966188</x:v>
      </x:c>
      <x:c r="N39" s="100" t="n">
        <x:f aca="0">IF(AND(A39&gt;=S08_Defaults!$B$11,A39&lt;=S08_Defaults!$B$12),K39-L39,0)</x:f>
        <x:v>646239.294044782</x:v>
      </x:c>
      <x:c r="O39" s="37" t="s">
        <x:v>1271</x:v>
      </x:c>
    </x:row>
    <x:row r="40" ht="15" hidden="0" customHeight="1">
      <x:c r="A40" s="37" t="n">
        <x:v>2040</x:v>
      </x:c>
      <x:c r="B40" s="100" t="n">
        <x:f aca="0">SUM(S20_Dry_Broadleaf_ER!Z9,S20_Dry_Broadleaf_ER!Z10,S20_Dry_Broadleaf_ER!Z11,S20_Dry_Broadleaf_ER!Z12,S20_Dry_Broadleaf_ER!Z13)</x:f>
        <x:v>665873.2928892105</x:v>
      </x:c>
      <x:c r="C40" s="100" t="n">
        <x:f aca="0">SUM(S20_Dry_Broadleaf_ER!AU9,S20_Dry_Broadleaf_ER!AU10,S20_Dry_Broadleaf_ER!AU11,S20_Dry_Broadleaf_ER!AU12,S20_Dry_Broadleaf_ER!AU13)</x:f>
        <x:v>538283.3107905651</x:v>
      </x:c>
      <x:c r="D40" s="100" t="n">
        <x:f aca="0">IF($B$4=0,0,S33_Project_Deductions!D24*$B$4/S08_Defaults!$B$14)</x:f>
        <x:v>16401.574344696975</x:v>
      </x:c>
      <x:c r="E40" s="100" t="n">
        <x:f aca="0">IF($B$4=0,0,S33_Project_Deductions!E24*$B$4/S08_Defaults!$B$14)</x:f>
        <x:v>3233.482324915383</x:v>
      </x:c>
      <x:c r="F40" s="100" t="n">
        <x:f aca="0">S08_Defaults!$B$9</x:f>
        <x:v>0.2</x:v>
      </x:c>
      <x:c r="G40" s="100" t="n">
        <x:f aca="0">C40*(1-F40)-D40-E40</x:f>
        <x:v>410991.59196283977</x:v>
      </x:c>
      <x:c r="H40" s="100" t="n">
        <x:f aca="0">G40-G39</x:f>
        <x:v>11832.854450916057</x:v>
      </x:c>
      <x:c r="I40" s="100" t="n">
        <x:f aca="0">H40/1</x:f>
        <x:v>11832.854450916057</x:v>
      </x:c>
      <x:c r="J40" s="100" t="n">
        <x:f aca="0">B40-D40-E40</x:f>
        <x:v>646238.2362195982</x:v>
      </x:c>
      <x:c r="K40" s="100" t="n">
        <x:f aca="0">B40</x:f>
        <x:v>665873.2928892105</x:v>
      </x:c>
      <x:c r="L40" s="100" t="n">
        <x:f aca="0">0</x:f>
        <x:v>0</x:v>
      </x:c>
      <x:c r="M40" s="100" t="n">
        <x:f aca="0">IF(AND(A40&gt;=S08_Defaults!$B$11,A40&lt;=S08_Defaults!$B$12),J40,0)</x:f>
        <x:v>646238.2362195982</x:v>
      </x:c>
      <x:c r="N40" s="100" t="n">
        <x:f aca="0">IF(AND(A40&gt;=S08_Defaults!$B$11,A40&lt;=S08_Defaults!$B$12),K40-L40,0)</x:f>
        <x:v>665873.2928892105</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Dry Broadleaf Forests | Horti-Silviculture (14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581</x:v>
      </x:c>
      <x:c r="B46" s="198" t="s">
        <x:v>542</x:v>
      </x:c>
      <x:c r="C46" s="198" t="n">
        <x:v>2020</x:v>
      </x:c>
      <x:c r="D46" s="198" t="n">
        <x:v>0.494</x:v>
      </x:c>
      <x:c r="E46" s="198" t="s">
        <x:v>583</x:v>
      </x:c>
      <x:c r="F46" s="198" t="s">
        <x:v>584</x:v>
      </x:c>
      <x:c r="G46" s="1"/>
      <x:c r="H46" s="1"/>
      <x:c r="I46" s="1"/>
      <x:c r="J46" s="1"/>
      <x:c r="K46" s="1"/>
      <x:c r="L46" s="1"/>
      <x:c r="M46" s="1"/>
      <x:c r="N46" s="1"/>
      <x:c r="O46" s="1"/>
    </x:row>
    <x:row r="47" ht="15" hidden="0" customHeight="1">
      <x:c r="A47" s="125" t="s">
        <x:v>587</x:v>
      </x:c>
      <x:c r="B47" s="198" t="s">
        <x:v>542</x:v>
      </x:c>
      <x:c r="C47" s="198" t="n">
        <x:v>2020</x:v>
      </x:c>
      <x:c r="D47" s="198" t="n">
        <x:v>0.462</x:v>
      </x:c>
      <x:c r="E47" s="198" t="s">
        <x:v>588</x:v>
      </x:c>
      <x:c r="F47" s="198" t="s">
        <x:v>584</x:v>
      </x:c>
      <x:c r="G47" s="1"/>
      <x:c r="H47" s="1"/>
      <x:c r="I47" s="1"/>
      <x:c r="J47" s="1"/>
      <x:c r="K47" s="1"/>
      <x:c r="L47" s="1"/>
      <x:c r="M47" s="1"/>
      <x:c r="N47" s="1"/>
      <x:c r="O47" s="1"/>
    </x:row>
    <x:row r="48" ht="21.75" hidden="0" customHeight="1">
      <x:c r="A48" s="125" t="s">
        <x:v>589</x:v>
      </x:c>
      <x:c r="B48" s="198" t="s">
        <x:v>542</x:v>
      </x:c>
      <x:c r="C48" s="198" t="n">
        <x:v>2020</x:v>
      </x:c>
      <x:c r="D48" s="198" t="n">
        <x:v>0.2749</x:v>
      </x:c>
      <x:c r="E48" s="198" t="s">
        <x:v>590</x:v>
      </x:c>
      <x:c r="F48" s="198" t="s">
        <x:v>584</x:v>
      </x:c>
      <x:c r="G48" s="1"/>
      <x:c r="H48" s="1"/>
      <x:c r="I48" s="1"/>
      <x:c r="J48" s="1"/>
      <x:c r="K48" s="1"/>
      <x:c r="L48" s="1"/>
      <x:c r="M48" s="1"/>
      <x:c r="N48" s="1"/>
      <x:c r="O48" s="1"/>
    </x:row>
    <x:row r="49" ht="15" hidden="0" customHeight="1">
      <x:c r="A49" s="125" t="s">
        <x:v>591</x:v>
      </x:c>
      <x:c r="B49" s="198" t="s">
        <x:v>542</x:v>
      </x:c>
      <x:c r="C49" s="198" t="n">
        <x:v>2020</x:v>
      </x:c>
      <x:c r="D49" s="198" t="n">
        <x:v>0.1863</x:v>
      </x:c>
      <x:c r="E49" s="198" t="s">
        <x:v>592</x:v>
      </x:c>
      <x:c r="F49" s="198" t="s">
        <x:v>584</x:v>
      </x:c>
      <x:c r="G49" s="1"/>
      <x:c r="H49" s="1"/>
      <x:c r="I49" s="1"/>
      <x:c r="J49" s="1"/>
      <x:c r="K49" s="1"/>
      <x:c r="L49" s="1"/>
      <x:c r="M49" s="1"/>
      <x:c r="N49" s="1"/>
      <x:c r="O49" s="1"/>
    </x:row>
    <x:row r="50" ht="15" hidden="0" customHeight="1">
      <x:c r="A50" s="125" t="s">
        <x:v>593</x:v>
      </x:c>
      <x:c r="B50" s="198" t="s">
        <x:v>542</x:v>
      </x:c>
      <x:c r="C50" s="198" t="n">
        <x:v>2020</x:v>
      </x:c>
      <x:c r="D50" s="198" t="n">
        <x:v>0.6113</x:v>
      </x:c>
      <x:c r="E50" s="198" t="s">
        <x:v>594</x:v>
      </x:c>
      <x:c r="F50" s="198" t="s">
        <x:v>584</x:v>
      </x:c>
      <x:c r="G50" s="1"/>
      <x:c r="H50" s="1"/>
      <x:c r="I50" s="1"/>
      <x:c r="J50" s="1"/>
      <x:c r="K50" s="1"/>
      <x:c r="L50" s="1"/>
      <x:c r="M50" s="1"/>
      <x:c r="N50" s="1"/>
      <x:c r="O50" s="1"/>
    </x:row>
    <x:row r="51" ht="15" hidden="0" customHeight="1">
      <x:c r="A51" s="125" t="s">
        <x:v>595</x:v>
      </x:c>
      <x:c r="B51" s="198" t="s">
        <x:v>549</x:v>
      </x:c>
      <x:c r="C51" s="198" t="n">
        <x:v>2020</x:v>
      </x:c>
      <x:c r="D51" s="198" t="n">
        <x:v>1.7963</x:v>
      </x:c>
      <x:c r="E51" s="198" t="s">
        <x:v>596</x:v>
      </x:c>
      <x:c r="F51" s="198" t="s">
        <x:v>597</x:v>
      </x:c>
      <x:c r="G51" s="1"/>
      <x:c r="H51" s="1"/>
      <x:c r="I51" s="1"/>
      <x:c r="J51" s="1"/>
      <x:c r="K51" s="1"/>
      <x:c r="L51" s="1"/>
      <x:c r="M51" s="1"/>
      <x:c r="N51" s="1"/>
      <x:c r="O51" s="1"/>
    </x:row>
    <x:row r="52" ht="15" hidden="0" customHeight="1">
      <x:c r="A52" s="125" t="s">
        <x:v>611</x:v>
      </x:c>
      <x:c r="B52" s="198" t="s">
        <x:v>549</x:v>
      </x:c>
      <x:c r="C52" s="198" t="n">
        <x:v>2021</x:v>
      </x:c>
      <x:c r="D52" s="198" t="n">
        <x:v>0.857</x:v>
      </x:c>
      <x:c r="E52" s="198" t="s">
        <x:v>612</x:v>
      </x:c>
      <x:c r="F52" s="198" t="s">
        <x:v>613</x:v>
      </x:c>
      <x:c r="G52" s="1"/>
      <x:c r="H52" s="1"/>
      <x:c r="I52" s="1"/>
      <x:c r="J52" s="1"/>
      <x:c r="K52" s="1"/>
      <x:c r="L52" s="1"/>
      <x:c r="M52" s="1"/>
      <x:c r="N52" s="1"/>
      <x:c r="O52" s="1"/>
    </x:row>
    <x:row r="53" ht="15" hidden="0" customHeight="1">
      <x:c r="A53" s="125" t="s">
        <x:v>624</x:v>
      </x:c>
      <x:c r="B53" s="198" t="s">
        <x:v>549</x:v>
      </x:c>
      <x:c r="C53" s="198" t="n">
        <x:v>2024</x:v>
      </x:c>
      <x:c r="D53" s="198" t="n">
        <x:v>1.6662</x:v>
      </x:c>
      <x:c r="E53" s="198" t="s">
        <x:v>625</x:v>
      </x:c>
      <x:c r="F53" s="198" t="s">
        <x:v>626</x:v>
      </x:c>
      <x:c r="G53" s="1"/>
      <x:c r="H53" s="1"/>
      <x:c r="I53" s="1"/>
      <x:c r="J53" s="1"/>
      <x:c r="K53" s="1"/>
      <x:c r="L53" s="1"/>
      <x:c r="M53" s="1"/>
      <x:c r="N53" s="1"/>
      <x:c r="O53" s="1"/>
    </x:row>
    <x:row r="54" ht="21.75" hidden="0" customHeight="1">
      <x:c r="A54" s="125" t="s">
        <x:v>598</x:v>
      </x:c>
      <x:c r="B54" s="198" t="s">
        <x:v>553</x:v>
      </x:c>
      <x:c r="C54" s="198" t="n">
        <x:v>2020</x:v>
      </x:c>
      <x:c r="D54" s="198" t="n">
        <x:v>0.4699</x:v>
      </x:c>
      <x:c r="E54" s="198" t="s">
        <x:v>599</x:v>
      </x:c>
      <x:c r="F54" s="198" t="s">
        <x:v>600</x:v>
      </x:c>
      <x:c r="G54" s="1"/>
      <x:c r="H54" s="1"/>
      <x:c r="I54" s="1"/>
      <x:c r="J54" s="1"/>
      <x:c r="K54" s="1"/>
      <x:c r="L54" s="1"/>
      <x:c r="M54" s="1"/>
      <x:c r="N54" s="1"/>
      <x:c r="O54" s="1"/>
    </x:row>
    <x:row r="55" ht="21.75" hidden="0" customHeight="1">
      <x:c r="A55" s="125" t="s">
        <x:v>601</x:v>
      </x:c>
      <x:c r="B55" s="198" t="s">
        <x:v>553</x:v>
      </x:c>
      <x:c r="C55" s="198" t="n">
        <x:v>2020</x:v>
      </x:c>
      <x:c r="D55" s="198" t="n">
        <x:v>0.4639</x:v>
      </x:c>
      <x:c r="E55" s="198" t="s">
        <x:v>602</x:v>
      </x:c>
      <x:c r="F55" s="198" t="s">
        <x:v>600</x:v>
      </x:c>
      <x:c r="G55" s="1"/>
      <x:c r="H55" s="1"/>
      <x:c r="I55" s="1"/>
      <x:c r="J55" s="1"/>
      <x:c r="K55" s="1"/>
      <x:c r="L55" s="1"/>
      <x:c r="M55" s="1"/>
      <x:c r="N55" s="1"/>
      <x:c r="O55" s="1"/>
    </x:row>
    <x:row r="56" ht="21.75" hidden="0" customHeight="1">
      <x:c r="A56" s="125" t="s">
        <x:v>605</x:v>
      </x:c>
      <x:c r="B56" s="198" t="s">
        <x:v>553</x:v>
      </x:c>
      <x:c r="C56" s="198" t="n">
        <x:v>2020</x:v>
      </x:c>
      <x:c r="D56" s="198" t="n">
        <x:v>0.7053</x:v>
      </x:c>
      <x:c r="E56" s="198" t="s">
        <x:v>606</x:v>
      </x:c>
      <x:c r="F56" s="198" t="s">
        <x:v>600</x:v>
      </x:c>
      <x:c r="G56" s="1"/>
      <x:c r="H56" s="1"/>
      <x:c r="I56" s="1"/>
      <x:c r="J56" s="1"/>
      <x:c r="K56" s="1"/>
      <x:c r="L56" s="1"/>
      <x:c r="M56" s="1"/>
      <x:c r="N56" s="1"/>
      <x:c r="O56" s="1"/>
    </x:row>
    <x:row r="57" ht="21.75" hidden="0" customHeight="1">
      <x:c r="A57" s="125" t="s">
        <x:v>607</x:v>
      </x:c>
      <x:c r="B57" s="198" t="s">
        <x:v>553</x:v>
      </x:c>
      <x:c r="C57" s="198" t="n">
        <x:v>2020</x:v>
      </x:c>
      <x:c r="D57" s="198" t="n">
        <x:v>1.19</x:v>
      </x:c>
      <x:c r="E57" s="198" t="s">
        <x:v>608</x:v>
      </x:c>
      <x:c r="F57" s="198" t="s">
        <x:v>600</x:v>
      </x:c>
      <x:c r="G57" s="1"/>
      <x:c r="H57" s="1"/>
      <x:c r="I57" s="1"/>
      <x:c r="J57" s="1"/>
      <x:c r="K57" s="1"/>
      <x:c r="L57" s="1"/>
      <x:c r="M57" s="1"/>
      <x:c r="N57" s="1"/>
      <x:c r="O57" s="1"/>
    </x:row>
    <x:row r="58" ht="21.75" hidden="0" customHeight="1">
      <x:c r="A58" s="125" t="s">
        <x:v>609</x:v>
      </x:c>
      <x:c r="B58" s="198" t="s">
        <x:v>553</x:v>
      </x:c>
      <x:c r="C58" s="198" t="n">
        <x:v>2020</x:v>
      </x:c>
      <x:c r="D58" s="198" t="n">
        <x:v>0.3598</x:v>
      </x:c>
      <x:c r="E58" s="198" t="s">
        <x:v>610</x:v>
      </x:c>
      <x:c r="F58" s="198" t="s">
        <x:v>600</x:v>
      </x:c>
      <x:c r="G58" s="1"/>
      <x:c r="H58" s="1"/>
      <x:c r="I58" s="1"/>
      <x:c r="J58" s="1"/>
      <x:c r="K58" s="1"/>
      <x:c r="L58" s="1"/>
      <x:c r="M58" s="1"/>
      <x:c r="N58" s="1"/>
      <x:c r="O58" s="1"/>
    </x:row>
    <x:row r="59" ht="21.75" hidden="0" customHeight="1">
      <x:c r="A59" s="125" t="s">
        <x:v>617</x:v>
      </x:c>
      <x:c r="B59" s="198" t="s">
        <x:v>553</x:v>
      </x:c>
      <x:c r="C59" s="198" t="n">
        <x:v>2021</x:v>
      </x:c>
      <x:c r="D59" s="198" t="n">
        <x:v>2.288</x:v>
      </x:c>
      <x:c r="E59" s="198" t="s">
        <x:v>618</x:v>
      </x:c>
      <x:c r="F59" s="198" t="s">
        <x:v>616</x:v>
      </x:c>
      <x:c r="G59" s="1"/>
      <x:c r="H59" s="1"/>
      <x:c r="I59" s="1"/>
      <x:c r="J59" s="1"/>
      <x:c r="K59" s="1"/>
      <x:c r="L59" s="1"/>
      <x:c r="M59" s="1"/>
      <x:c r="N59" s="1"/>
      <x:c r="O59" s="1"/>
    </x:row>
  </x:sheetData>
  <x:mergeCells>
    <x:mergeCell ref="A1:N1"/>
    <x:mergeCell ref="A43:F43"/>
    <x:mergeCell ref="A44:F44"/>
  </x:mergeCells>
  <x:pageMargins left="0.7" right="0.7" top="0.75" bottom="0.75" header="0.3" footer="0.3"/>
</x:worksheet>
</file>

<file path=xl/worksheets/sheet31.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Dry Broadleaf Forests | Timber Plantation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SUM(S20_Dry_Broadleaf_ER!C14,S20_Dry_Broadleaf_ER!C15,S20_Dry_Broadleaf_ER!C16,S20_Dry_Broadleaf_ER!C17,S20_Dry_Broadleaf_ER!C18)</x:f>
        <x:v>523.9128094698502</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681312.9987841899</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531513.8193737845</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544946.6590792943</x:v>
      </x:c>
      <x:c r="C7" s="37" t="s">
        <x:v>151</x:v>
      </x:c>
      <x:c r="D7" s="37" t="s">
        <x:v>1242</x:v>
      </x:c>
      <x:c r="E7" s="1"/>
      <x:c r="F7" s="1"/>
      <x:c r="G7" s="1"/>
      <x:c r="H7" s="1"/>
      <x:c r="I7" s="1"/>
      <x:c r="J7" s="1"/>
      <x:c r="K7" s="1"/>
      <x:c r="L7" s="1"/>
      <x:c r="M7" s="1"/>
      <x:c r="N7" s="1"/>
      <x:c r="O7" s="1"/>
    </x:row>
    <x:row r="8" ht="15" hidden="0" customHeight="1">
      <x:c r="A8" s="193" t="s">
        <x:v>1243</x:v>
      </x:c>
      <x:c r="B8" s="194" t="n">
        <x:f aca="0">MAX(0,MIN(B5,B6))</x:f>
        <x:v>531513.8193737845</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531513.8193737845</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106302.7638747569</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425211.0554990276</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811.6065265312001</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40.580326326560005</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n">
        <x:f aca="0">IF(AND("Tropical &amp; Subtropical Dry Broadleaf Forests"="Tropical &amp; Subtropical Dry Broadleaf Forests","Timber Plantation"="Timber Plantation"),B4,"")</x:f>
        <x:v>523.9128094698502</x:v>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SUM(S20_Dry_Broadleaf_ER!F14,S20_Dry_Broadleaf_ER!F15,S20_Dry_Broadleaf_ER!F16,S20_Dry_Broadleaf_ER!F17,S20_Dry_Broadleaf_ER!F18)</x:f>
        <x:v>0</x:v>
      </x:c>
      <x:c r="C20" s="100" t="n">
        <x:f aca="0">SUM(S20_Dry_Broadleaf_ER!AA14,S20_Dry_Broadleaf_ER!AA15,S20_Dry_Broadleaf_ER!AA16,S20_Dry_Broadleaf_ER!AA17,S20_Dry_Broadleaf_ER!AA18)</x:f>
        <x:v>0</x:v>
      </x:c>
      <x:c r="D20" s="100" t="n">
        <x:f aca="0">IF($B$4=0,0,S33_Project_Deductions!D4*$B$4/S08_Defaults!$B$14)</x:f>
        <x:v>170.99479430017746</x:v>
      </x:c>
      <x:c r="E20" s="100" t="n">
        <x:f aca="0">IF($B$4=0,0,S33_Project_Deductions!E4*$B$4/S08_Defaults!$B$14)</x:f>
        <x:v>782.44291664381</x:v>
      </x:c>
      <x:c r="F20" s="100" t="n">
        <x:f aca="0">S08_Defaults!$B$9</x:f>
        <x:v>0.2</x:v>
      </x:c>
      <x:c r="G20" s="100" t="n">
        <x:f aca="0">C20*(1-F20)-D20-E20</x:f>
        <x:v>-953.4377109439874</x:v>
      </x:c>
      <x:c r="H20" s="100" t="n">
        <x:f aca="0">G20</x:f>
        <x:v>-953.4377109439874</x:v>
      </x:c>
      <x:c r="I20" s="100" t="n">
        <x:f aca="0">H20/1</x:f>
        <x:v>-953.4377109439874</x:v>
      </x:c>
      <x:c r="J20" s="100" t="n">
        <x:f aca="0">B20-D20-E20</x:f>
        <x:v>-953.4377109439874</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SUM(S20_Dry_Broadleaf_ER!G14,S20_Dry_Broadleaf_ER!G15,S20_Dry_Broadleaf_ER!G16,S20_Dry_Broadleaf_ER!G17,S20_Dry_Broadleaf_ER!G18)</x:f>
        <x:v>1015.33429636257</x:v>
      </x:c>
      <x:c r="C21" s="100" t="n">
        <x:f aca="0">SUM(S20_Dry_Broadleaf_ER!AB14,S20_Dry_Broadleaf_ER!AB15,S20_Dry_Broadleaf_ER!AB16,S20_Dry_Broadleaf_ER!AB17,S20_Dry_Broadleaf_ER!AB18)</x:f>
        <x:v>820.7830415210648</x:v>
      </x:c>
      <x:c r="D21" s="100" t="n">
        <x:f aca="0">IF($B$4=0,0,S33_Project_Deductions!D5*$B$4/S08_Defaults!$B$14)</x:f>
        <x:v>556.7948182258265</x:v>
      </x:c>
      <x:c r="E21" s="100" t="n">
        <x:f aca="0">IF($B$4=0,0,S33_Project_Deductions!E5*$B$4/S08_Defaults!$B$14)</x:f>
        <x:v>1543.8247248908813</x:v>
      </x:c>
      <x:c r="F21" s="100" t="n">
        <x:f aca="0">S08_Defaults!$B$9</x:f>
        <x:v>0.2</x:v>
      </x:c>
      <x:c r="G21" s="100" t="n">
        <x:f aca="0">C21*(1-F21)-D21-E21</x:f>
        <x:v>-1443.9931098998559</x:v>
      </x:c>
      <x:c r="H21" s="100" t="n">
        <x:f aca="0">G21-G20</x:f>
        <x:v>-490.55539895586844</x:v>
      </x:c>
      <x:c r="I21" s="100" t="n">
        <x:f aca="0">H21/1</x:f>
        <x:v>-490.55539895586844</x:v>
      </x:c>
      <x:c r="J21" s="100" t="n">
        <x:f aca="0">B21-D21-E21</x:f>
        <x:v>-1085.285246754138</x:v>
      </x:c>
      <x:c r="K21" s="100" t="n">
        <x:f aca="0">B21</x:f>
        <x:v>1015.33429636257</x:v>
      </x:c>
      <x:c r="L21" s="100" t="n">
        <x:f aca="0">0</x:f>
        <x:v>0</x:v>
      </x:c>
      <x:c r="M21" s="100" t="n">
        <x:f aca="0">IF(AND(A21&gt;=S08_Defaults!$B$11,A21&lt;=S08_Defaults!$B$12),J21,0)</x:f>
        <x:v>-1085.285246754138</x:v>
      </x:c>
      <x:c r="N21" s="100" t="n">
        <x:f aca="0">IF(AND(A21&gt;=S08_Defaults!$B$11,A21&lt;=S08_Defaults!$B$12),K21-L21,0)</x:f>
        <x:v>1015.33429636257</x:v>
      </x:c>
      <x:c r="O21" s="37" t="s">
        <x:v>1271</x:v>
      </x:c>
    </x:row>
    <x:row r="22" ht="15" hidden="0" customHeight="1">
      <x:c r="A22" s="37" t="n">
        <x:v>2022</x:v>
      </x:c>
      <x:c r="B22" s="100" t="n">
        <x:f aca="0">SUM(S20_Dry_Broadleaf_ER!H14,S20_Dry_Broadleaf_ER!H15,S20_Dry_Broadleaf_ER!H16,S20_Dry_Broadleaf_ER!H17,S20_Dry_Broadleaf_ER!H18)</x:f>
        <x:v>9806.721437739825</x:v>
      </x:c>
      <x:c r="C22" s="100" t="n">
        <x:f aca="0">SUM(S20_Dry_Broadleaf_ER!AC14,S20_Dry_Broadleaf_ER!AC15,S20_Dry_Broadleaf_ER!AC16,S20_Dry_Broadleaf_ER!AC17,S20_Dry_Broadleaf_ER!AC18)</x:f>
        <x:v>7927.626081236602</x:v>
      </x:c>
      <x:c r="D22" s="100" t="n">
        <x:f aca="0">IF($B$4=0,0,S33_Project_Deductions!D6*$B$4/S08_Defaults!$B$14)</x:f>
        <x:v>1193.7692302619823</x:v>
      </x:c>
      <x:c r="E22" s="100" t="n">
        <x:f aca="0">IF($B$4=0,0,S33_Project_Deductions!E6*$B$4/S08_Defaults!$B$14)</x:f>
        <x:v>2321.538888742182</x:v>
      </x:c>
      <x:c r="F22" s="100" t="n">
        <x:f aca="0">S08_Defaults!$B$9</x:f>
        <x:v>0.2</x:v>
      </x:c>
      <x:c r="G22" s="100" t="n">
        <x:f aca="0">C22*(1-F22)-D22-E22</x:f>
        <x:v>2826.7927459851176</x:v>
      </x:c>
      <x:c r="H22" s="100" t="n">
        <x:f aca="0">G22-G21</x:f>
        <x:v>4270.785855884973</x:v>
      </x:c>
      <x:c r="I22" s="100" t="n">
        <x:f aca="0">H22/1</x:f>
        <x:v>4270.785855884973</x:v>
      </x:c>
      <x:c r="J22" s="100" t="n">
        <x:f aca="0">B22-D22-E22</x:f>
        <x:v>6291.413318735662</x:v>
      </x:c>
      <x:c r="K22" s="100" t="n">
        <x:f aca="0">B22</x:f>
        <x:v>9806.721437739825</x:v>
      </x:c>
      <x:c r="L22" s="100" t="n">
        <x:f aca="0">0</x:f>
        <x:v>0</x:v>
      </x:c>
      <x:c r="M22" s="100" t="n">
        <x:f aca="0">IF(AND(A22&gt;=S08_Defaults!$B$11,A22&lt;=S08_Defaults!$B$12),J22,0)</x:f>
        <x:v>6291.413318735662</x:v>
      </x:c>
      <x:c r="N22" s="100" t="n">
        <x:f aca="0">IF(AND(A22&gt;=S08_Defaults!$B$11,A22&lt;=S08_Defaults!$B$12),K22-L22,0)</x:f>
        <x:v>9806.721437739825</x:v>
      </x:c>
      <x:c r="O22" s="37" t="s">
        <x:v>1271</x:v>
      </x:c>
    </x:row>
    <x:row r="23" ht="15" hidden="0" customHeight="1">
      <x:c r="A23" s="37" t="n">
        <x:v>2023</x:v>
      </x:c>
      <x:c r="B23" s="100" t="n">
        <x:f aca="0">SUM(S20_Dry_Broadleaf_ER!I14,S20_Dry_Broadleaf_ER!I15,S20_Dry_Broadleaf_ER!I16,S20_Dry_Broadleaf_ER!I17,S20_Dry_Broadleaf_ER!I18)</x:f>
        <x:v>33232.098703328666</x:v>
      </x:c>
      <x:c r="C23" s="100" t="n">
        <x:f aca="0">SUM(S20_Dry_Broadleaf_ER!AD14,S20_Dry_Broadleaf_ER!AD15,S20_Dry_Broadleaf_ER!AD16,S20_Dry_Broadleaf_ER!AD17,S20_Dry_Broadleaf_ER!AD18)</x:f>
        <x:v>26864.396433335987</x:v>
      </x:c>
      <x:c r="D23" s="100" t="n">
        <x:f aca="0">IF($B$4=0,0,S33_Project_Deductions!D7*$B$4/S08_Defaults!$B$14)</x:f>
        <x:v>2088.099143230337</x:v>
      </x:c>
      <x:c r="E23" s="100" t="n">
        <x:f aca="0">IF($B$4=0,0,S33_Project_Deductions!E7*$B$4/S08_Defaults!$B$14)</x:f>
        <x:v>3102.574463333685</x:v>
      </x:c>
      <x:c r="F23" s="100" t="n">
        <x:f aca="0">S08_Defaults!$B$9</x:f>
        <x:v>0.2</x:v>
      </x:c>
      <x:c r="G23" s="100" t="n">
        <x:f aca="0">C23*(1-F23)-D23-E23</x:f>
        <x:v>16300.843540104766</x:v>
      </x:c>
      <x:c r="H23" s="100" t="n">
        <x:f aca="0">G23-G22</x:f>
        <x:v>13474.050794119648</x:v>
      </x:c>
      <x:c r="I23" s="100" t="n">
        <x:f aca="0">H23/1</x:f>
        <x:v>13474.050794119648</x:v>
      </x:c>
      <x:c r="J23" s="100" t="n">
        <x:f aca="0">B23-D23-E23</x:f>
        <x:v>28041.425096764644</x:v>
      </x:c>
      <x:c r="K23" s="100" t="n">
        <x:f aca="0">B23</x:f>
        <x:v>33232.098703328666</x:v>
      </x:c>
      <x:c r="L23" s="100" t="n">
        <x:f aca="0">0</x:f>
        <x:v>0</x:v>
      </x:c>
      <x:c r="M23" s="100" t="n">
        <x:f aca="0">IF(AND(A23&gt;=S08_Defaults!$B$11,A23&lt;=S08_Defaults!$B$12),J23,0)</x:f>
        <x:v>28041.425096764644</x:v>
      </x:c>
      <x:c r="N23" s="100" t="n">
        <x:f aca="0">IF(AND(A23&gt;=S08_Defaults!$B$11,A23&lt;=S08_Defaults!$B$12),K23-L23,0)</x:f>
        <x:v>33232.098703328666</x:v>
      </x:c>
      <x:c r="O23" s="37" t="s">
        <x:v>1271</x:v>
      </x:c>
    </x:row>
    <x:row r="24" ht="15" hidden="0" customHeight="1">
      <x:c r="A24" s="37" t="n">
        <x:v>2024</x:v>
      </x:c>
      <x:c r="B24" s="100" t="n">
        <x:f aca="0">SUM(S20_Dry_Broadleaf_ER!J14,S20_Dry_Broadleaf_ER!J15,S20_Dry_Broadleaf_ER!J16,S20_Dry_Broadleaf_ER!J17,S20_Dry_Broadleaf_ER!J18)</x:f>
        <x:v>74169.89149135974</x:v>
      </x:c>
      <x:c r="C24" s="100" t="n">
        <x:f aca="0">SUM(S20_Dry_Broadleaf_ER!AE14,S20_Dry_Broadleaf_ER!AE15,S20_Dry_Broadleaf_ER!AE16,S20_Dry_Broadleaf_ER!AE17,S20_Dry_Broadleaf_ER!AE18)</x:f>
        <x:v>59957.97575799275</x:v>
      </x:c>
      <x:c r="D24" s="100" t="n">
        <x:f aca="0">IF($B$4=0,0,S33_Project_Deductions!D8*$B$4/S08_Defaults!$B$14)</x:f>
        <x:v>3069.2234342629304</x:v>
      </x:c>
      <x:c r="E24" s="100" t="n">
        <x:f aca="0">IF($B$4=0,0,S33_Project_Deductions!E8*$B$4/S08_Defaults!$B$14)</x:f>
        <x:v>3856.19794442712</x:v>
      </x:c>
      <x:c r="F24" s="100" t="n">
        <x:f aca="0">S08_Defaults!$B$9</x:f>
        <x:v>0.2</x:v>
      </x:c>
      <x:c r="G24" s="100" t="n">
        <x:f aca="0">C24*(1-F24)-D24-E24</x:f>
        <x:v>41040.95922770415</x:v>
      </x:c>
      <x:c r="H24" s="100" t="n">
        <x:f aca="0">G24-G23</x:f>
        <x:v>24740.115687599384</x:v>
      </x:c>
      <x:c r="I24" s="100" t="n">
        <x:f aca="0">H24/1</x:f>
        <x:v>24740.115687599384</x:v>
      </x:c>
      <x:c r="J24" s="100" t="n">
        <x:f aca="0">B24-D24-E24</x:f>
        <x:v>67244.47011266969</x:v>
      </x:c>
      <x:c r="K24" s="100" t="n">
        <x:f aca="0">B24</x:f>
        <x:v>74169.89149135974</x:v>
      </x:c>
      <x:c r="L24" s="100" t="n">
        <x:f aca="0">0</x:f>
        <x:v>0</x:v>
      </x:c>
      <x:c r="M24" s="100" t="n">
        <x:f aca="0">IF(AND(A24&gt;=S08_Defaults!$B$11,A24&lt;=S08_Defaults!$B$12),J24,0)</x:f>
        <x:v>67244.47011266969</x:v>
      </x:c>
      <x:c r="N24" s="100" t="n">
        <x:f aca="0">IF(AND(A24&gt;=S08_Defaults!$B$11,A24&lt;=S08_Defaults!$B$12),K24-L24,0)</x:f>
        <x:v>74169.89149135974</x:v>
      </x:c>
      <x:c r="O24" s="37" t="s">
        <x:v>1271</x:v>
      </x:c>
    </x:row>
    <x:row r="25" ht="15" hidden="0" customHeight="1">
      <x:c r="A25" s="37" t="n">
        <x:v>2025</x:v>
      </x:c>
      <x:c r="B25" s="100" t="n">
        <x:f aca="0">SUM(S20_Dry_Broadleaf_ER!K14,S20_Dry_Broadleaf_ER!K15,S20_Dry_Broadleaf_ER!K16,S20_Dry_Broadleaf_ER!K17,S20_Dry_Broadleaf_ER!K18)</x:f>
        <x:v>131353.66962978162</x:v>
      </x:c>
      <x:c r="C25" s="100" t="n">
        <x:f aca="0">SUM(S20_Dry_Broadleaf_ER!AF14,S20_Dry_Broadleaf_ER!AF15,S20_Dry_Broadleaf_ER!AF16,S20_Dry_Broadleaf_ER!AF17,S20_Dry_Broadleaf_ER!AF18)</x:f>
        <x:v>106184.59837309182</x:v>
      </x:c>
      <x:c r="D25" s="100" t="n">
        <x:f aca="0">IF($B$4=0,0,S33_Project_Deductions!D9*$B$4/S08_Defaults!$B$14)</x:f>
        <x:v>4093.331668034467</x:v>
      </x:c>
      <x:c r="E25" s="100" t="n">
        <x:f aca="0">IF($B$4=0,0,S33_Project_Deductions!E9*$B$4/S08_Defaults!$B$14)</x:f>
        <x:v>3856.19794442712</x:v>
      </x:c>
      <x:c r="F25" s="100" t="n">
        <x:f aca="0">S08_Defaults!$B$9</x:f>
        <x:v>0.2</x:v>
      </x:c>
      <x:c r="G25" s="100" t="n">
        <x:f aca="0">C25*(1-F25)-D25-E25</x:f>
        <x:v>76998.14908601186</x:v>
      </x:c>
      <x:c r="H25" s="100" t="n">
        <x:f aca="0">G25-G24</x:f>
        <x:v>35957.18985830771</x:v>
      </x:c>
      <x:c r="I25" s="100" t="n">
        <x:f aca="0">H25/1</x:f>
        <x:v>35957.18985830771</x:v>
      </x:c>
      <x:c r="J25" s="100" t="n">
        <x:f aca="0">B25-D25-E25</x:f>
        <x:v>123404.14001732002</x:v>
      </x:c>
      <x:c r="K25" s="100" t="n">
        <x:f aca="0">B25</x:f>
        <x:v>131353.66962978162</x:v>
      </x:c>
      <x:c r="L25" s="100" t="n">
        <x:f aca="0">0</x:f>
        <x:v>0</x:v>
      </x:c>
      <x:c r="M25" s="100" t="n">
        <x:f aca="0">IF(AND(A25&gt;=S08_Defaults!$B$11,A25&lt;=S08_Defaults!$B$12),J25,0)</x:f>
        <x:v>123404.14001732002</x:v>
      </x:c>
      <x:c r="N25" s="100" t="n">
        <x:f aca="0">IF(AND(A25&gt;=S08_Defaults!$B$11,A25&lt;=S08_Defaults!$B$12),K25-L25,0)</x:f>
        <x:v>131353.66962978162</x:v>
      </x:c>
      <x:c r="O25" s="37" t="s">
        <x:v>1271</x:v>
      </x:c>
    </x:row>
    <x:row r="26" ht="15" hidden="0" customHeight="1">
      <x:c r="A26" s="37" t="n">
        <x:v>2026</x:v>
      </x:c>
      <x:c r="B26" s="100" t="n">
        <x:f aca="0">SUM(S20_Dry_Broadleaf_ER!L14,S20_Dry_Broadleaf_ER!L15,S20_Dry_Broadleaf_ER!L16,S20_Dry_Broadleaf_ER!L17,S20_Dry_Broadleaf_ER!L18)</x:f>
        <x:v>201427.0184208605</x:v>
      </x:c>
      <x:c r="C26" s="100" t="n">
        <x:f aca="0">SUM(S20_Dry_Broadleaf_ER!AG14,S20_Dry_Broadleaf_ER!AG15,S20_Dry_Broadleaf_ER!AG16,S20_Dry_Broadleaf_ER!AG17,S20_Dry_Broadleaf_ER!AG18)</x:f>
        <x:v>162830.9822846325</x:v>
      </x:c>
      <x:c r="D26" s="100" t="n">
        <x:f aca="0">IF($B$4=0,0,S33_Project_Deductions!D10*$B$4/S08_Defaults!$B$14)</x:f>
        <x:v>5124.0546860599125</x:v>
      </x:c>
      <x:c r="E26" s="100" t="n">
        <x:f aca="0">IF($B$4=0,0,S33_Project_Deductions!E10*$B$4/S08_Defaults!$B$14)</x:f>
        <x:v>3856.19794442712</x:v>
      </x:c>
      <x:c r="F26" s="100" t="n">
        <x:f aca="0">S08_Defaults!$B$9</x:f>
        <x:v>0.2</x:v>
      </x:c>
      <x:c r="G26" s="100" t="n">
        <x:f aca="0">C26*(1-F26)-D26-E26</x:f>
        <x:v>121284.53319721899</x:v>
      </x:c>
      <x:c r="H26" s="100" t="n">
        <x:f aca="0">G26-G25</x:f>
        <x:v>44286.384111207124</x:v>
      </x:c>
      <x:c r="I26" s="100" t="n">
        <x:f aca="0">H26/1</x:f>
        <x:v>44286.384111207124</x:v>
      </x:c>
      <x:c r="J26" s="100" t="n">
        <x:f aca="0">B26-D26-E26</x:f>
        <x:v>192446.76579037347</x:v>
      </x:c>
      <x:c r="K26" s="100" t="n">
        <x:f aca="0">B26</x:f>
        <x:v>201427.0184208605</x:v>
      </x:c>
      <x:c r="L26" s="100" t="n">
        <x:f aca="0">0</x:f>
        <x:v>0</x:v>
      </x:c>
      <x:c r="M26" s="100" t="n">
        <x:f aca="0">IF(AND(A26&gt;=S08_Defaults!$B$11,A26&lt;=S08_Defaults!$B$12),J26,0)</x:f>
        <x:v>192446.76579037347</x:v>
      </x:c>
      <x:c r="N26" s="100" t="n">
        <x:f aca="0">IF(AND(A26&gt;=S08_Defaults!$B$11,A26&lt;=S08_Defaults!$B$12),K26-L26,0)</x:f>
        <x:v>201427.0184208605</x:v>
      </x:c>
      <x:c r="O26" s="37" t="s">
        <x:v>1271</x:v>
      </x:c>
    </x:row>
    <x:row r="27" ht="15" hidden="0" customHeight="1">
      <x:c r="A27" s="37" t="n">
        <x:v>2027</x:v>
      </x:c>
      <x:c r="B27" s="100" t="n">
        <x:f aca="0">SUM(S20_Dry_Broadleaf_ER!M14,S20_Dry_Broadleaf_ER!M15,S20_Dry_Broadleaf_ER!M16,S20_Dry_Broadleaf_ER!M17,S20_Dry_Broadleaf_ER!M18)</x:f>
        <x:v>280234.8348531143</x:v>
      </x:c>
      <x:c r="C27" s="100" t="n">
        <x:f aca="0">SUM(S20_Dry_Broadleaf_ER!AH14,S20_Dry_Broadleaf_ER!AH15,S20_Dry_Broadleaf_ER!AH16,S20_Dry_Broadleaf_ER!AH17,S20_Dry_Broadleaf_ER!AH18)</x:f>
        <x:v>226538.19625212043</x:v>
      </x:c>
      <x:c r="D27" s="100" t="n">
        <x:f aca="0">IF($B$4=0,0,S33_Project_Deductions!D11*$B$4/S08_Defaults!$B$14)</x:f>
        <x:v>6155.211375517573</x:v>
      </x:c>
      <x:c r="E27" s="100" t="n">
        <x:f aca="0">IF($B$4=0,0,S33_Project_Deductions!E11*$B$4/S08_Defaults!$B$14)</x:f>
        <x:v>3856.19794442712</x:v>
      </x:c>
      <x:c r="F27" s="100" t="n">
        <x:f aca="0">S08_Defaults!$B$9</x:f>
        <x:v>0.2</x:v>
      </x:c>
      <x:c r="G27" s="100" t="n">
        <x:f aca="0">C27*(1-F27)-D27-E27</x:f>
        <x:v>171219.14768175167</x:v>
      </x:c>
      <x:c r="H27" s="100" t="n">
        <x:f aca="0">G27-G26</x:f>
        <x:v>49934.61448453268</x:v>
      </x:c>
      <x:c r="I27" s="100" t="n">
        <x:f aca="0">H27/1</x:f>
        <x:v>49934.61448453268</x:v>
      </x:c>
      <x:c r="J27" s="100" t="n">
        <x:f aca="0">B27-D27-E27</x:f>
        <x:v>270223.4255331696</x:v>
      </x:c>
      <x:c r="K27" s="100" t="n">
        <x:f aca="0">B27</x:f>
        <x:v>280234.8348531143</x:v>
      </x:c>
      <x:c r="L27" s="100" t="n">
        <x:f aca="0">0</x:f>
        <x:v>0</x:v>
      </x:c>
      <x:c r="M27" s="100" t="n">
        <x:f aca="0">IF(AND(A27&gt;=S08_Defaults!$B$11,A27&lt;=S08_Defaults!$B$12),J27,0)</x:f>
        <x:v>270223.4255331696</x:v>
      </x:c>
      <x:c r="N27" s="100" t="n">
        <x:f aca="0">IF(AND(A27&gt;=S08_Defaults!$B$11,A27&lt;=S08_Defaults!$B$12),K27-L27,0)</x:f>
        <x:v>280234.8348531143</x:v>
      </x:c>
      <x:c r="O27" s="37" t="s">
        <x:v>1271</x:v>
      </x:c>
    </x:row>
    <x:row r="28" ht="15" hidden="0" customHeight="1">
      <x:c r="A28" s="37" t="n">
        <x:v>2028</x:v>
      </x:c>
      <x:c r="B28" s="100" t="n">
        <x:f aca="0">SUM(S20_Dry_Broadleaf_ER!N14,S20_Dry_Broadleaf_ER!N15,S20_Dry_Broadleaf_ER!N16,S20_Dry_Broadleaf_ER!N17,S20_Dry_Broadleaf_ER!N18)</x:f>
        <x:v>363739.28401738644</x:v>
      </x:c>
      <x:c r="C28" s="100" t="n">
        <x:f aca="0">SUM(S20_Dry_Broadleaf_ER!AI14,S20_Dry_Broadleaf_ER!AI15,S20_Dry_Broadleaf_ER!AI16,S20_Dry_Broadleaf_ER!AI17,S20_Dry_Broadleaf_ER!AI18)</x:f>
        <x:v>294042.1070439977</x:v>
      </x:c>
      <x:c r="D28" s="100" t="n">
        <x:f aca="0">IF($B$4=0,0,S33_Project_Deductions!D12*$B$4/S08_Defaults!$B$14)</x:f>
        <x:v>7186.368064975236</x:v>
      </x:c>
      <x:c r="E28" s="100" t="n">
        <x:f aca="0">IF($B$4=0,0,S33_Project_Deductions!E12*$B$4/S08_Defaults!$B$14)</x:f>
        <x:v>3856.19794442712</x:v>
      </x:c>
      <x:c r="F28" s="100" t="n">
        <x:f aca="0">S08_Defaults!$B$9</x:f>
        <x:v>0.2</x:v>
      </x:c>
      <x:c r="G28" s="100" t="n">
        <x:f aca="0">C28*(1-F28)-D28-E28</x:f>
        <x:v>224191.11962579578</x:v>
      </x:c>
      <x:c r="H28" s="100" t="n">
        <x:f aca="0">G28-G27</x:f>
        <x:v>52971.97194404411</x:v>
      </x:c>
      <x:c r="I28" s="100" t="n">
        <x:f aca="0">H28/1</x:f>
        <x:v>52971.97194404411</x:v>
      </x:c>
      <x:c r="J28" s="100" t="n">
        <x:f aca="0">B28-D28-E28</x:f>
        <x:v>352696.71800798405</x:v>
      </x:c>
      <x:c r="K28" s="100" t="n">
        <x:f aca="0">B28</x:f>
        <x:v>363739.28401738644</x:v>
      </x:c>
      <x:c r="L28" s="100" t="n">
        <x:f aca="0">0</x:f>
        <x:v>0</x:v>
      </x:c>
      <x:c r="M28" s="100" t="n">
        <x:f aca="0">IF(AND(A28&gt;=S08_Defaults!$B$11,A28&lt;=S08_Defaults!$B$12),J28,0)</x:f>
        <x:v>352696.71800798405</x:v>
      </x:c>
      <x:c r="N28" s="100" t="n">
        <x:f aca="0">IF(AND(A28&gt;=S08_Defaults!$B$11,A28&lt;=S08_Defaults!$B$12),K28-L28,0)</x:f>
        <x:v>363739.28401738644</x:v>
      </x:c>
      <x:c r="O28" s="37" t="s">
        <x:v>1271</x:v>
      </x:c>
    </x:row>
    <x:row r="29" ht="15" hidden="0" customHeight="1">
      <x:c r="A29" s="37" t="n">
        <x:v>2029</x:v>
      </x:c>
      <x:c r="B29" s="100" t="n">
        <x:f aca="0">SUM(S20_Dry_Broadleaf_ER!O14,S20_Dry_Broadleaf_ER!O15,S20_Dry_Broadleaf_ER!O16,S20_Dry_Broadleaf_ER!O17,S20_Dry_Broadleaf_ER!O18)</x:f>
        <x:v>448486.49314565514</x:v>
      </x:c>
      <x:c r="C29" s="100" t="n">
        <x:f aca="0">SUM(S20_Dry_Broadleaf_ER!AJ14,S20_Dry_Broadleaf_ER!AJ15,S20_Dry_Broadleaf_ER!AJ16,S20_Dry_Broadleaf_ER!AJ17,S20_Dry_Broadleaf_ER!AJ18)</x:f>
        <x:v>362550.6488296118</x:v>
      </x:c>
      <x:c r="D29" s="100" t="n">
        <x:f aca="0">IF($B$4=0,0,S33_Project_Deductions!D13*$B$4/S08_Defaults!$B$14)</x:f>
        <x:v>8217.524754432896</x:v>
      </x:c>
      <x:c r="E29" s="100" t="n">
        <x:f aca="0">IF($B$4=0,0,S33_Project_Deductions!E13*$B$4/S08_Defaults!$B$14)</x:f>
        <x:v>3856.19794442712</x:v>
      </x:c>
      <x:c r="F29" s="100" t="n">
        <x:f aca="0">S08_Defaults!$B$9</x:f>
        <x:v>0.2</x:v>
      </x:c>
      <x:c r="G29" s="100" t="n">
        <x:f aca="0">C29*(1-F29)-D29-E29</x:f>
        <x:v>277966.7963648294</x:v>
      </x:c>
      <x:c r="H29" s="100" t="n">
        <x:f aca="0">G29-G28</x:f>
        <x:v>53775.67673903363</x:v>
      </x:c>
      <x:c r="I29" s="100" t="n">
        <x:f aca="0">H29/1</x:f>
        <x:v>53775.67673903363</x:v>
      </x:c>
      <x:c r="J29" s="100" t="n">
        <x:f aca="0">B29-D29-E29</x:f>
        <x:v>436412.7704467951</x:v>
      </x:c>
      <x:c r="K29" s="100" t="n">
        <x:f aca="0">B29</x:f>
        <x:v>448486.49314565514</x:v>
      </x:c>
      <x:c r="L29" s="100" t="n">
        <x:f aca="0">0</x:f>
        <x:v>0</x:v>
      </x:c>
      <x:c r="M29" s="100" t="n">
        <x:f aca="0">IF(AND(A29&gt;=S08_Defaults!$B$11,A29&lt;=S08_Defaults!$B$12),J29,0)</x:f>
        <x:v>436412.7704467951</x:v>
      </x:c>
      <x:c r="N29" s="100" t="n">
        <x:f aca="0">IF(AND(A29&gt;=S08_Defaults!$B$11,A29&lt;=S08_Defaults!$B$12),K29-L29,0)</x:f>
        <x:v>448486.49314565514</x:v>
      </x:c>
      <x:c r="O29" s="37" t="s">
        <x:v>1271</x:v>
      </x:c>
    </x:row>
    <x:row r="30" ht="15" hidden="0" customHeight="1">
      <x:c r="A30" s="37" t="n">
        <x:v>2030</x:v>
      </x:c>
      <x:c r="B30" s="100" t="n">
        <x:f aca="0">SUM(S20_Dry_Broadleaf_ER!P14,S20_Dry_Broadleaf_ER!P15,S20_Dry_Broadleaf_ER!P16,S20_Dry_Broadleaf_ER!P17,S20_Dry_Broadleaf_ER!P18)</x:f>
        <x:v>531775.2443943361</x:v>
      </x:c>
      <x:c r="C30" s="100" t="n">
        <x:f aca="0">SUM(S20_Dry_Broadleaf_ER!AK14,S20_Dry_Broadleaf_ER!AK15,S20_Dry_Broadleaf_ER!AK16,S20_Dry_Broadleaf_ER!AK17,S20_Dry_Broadleaf_ER!AK18)</x:f>
        <x:v>429880.19223151414</x:v>
      </x:c>
      <x:c r="D30" s="100" t="n">
        <x:f aca="0">IF($B$4=0,0,S33_Project_Deductions!D14*$B$4/S08_Defaults!$B$14)</x:f>
        <x:v>9248.681443890559</x:v>
      </x:c>
      <x:c r="E30" s="100" t="n">
        <x:f aca="0">IF($B$4=0,0,S33_Project_Deductions!E14*$B$4/S08_Defaults!$B$14)</x:f>
        <x:v>3856.19794442712</x:v>
      </x:c>
      <x:c r="F30" s="100" t="n">
        <x:f aca="0">S08_Defaults!$B$9</x:f>
        <x:v>0.2</x:v>
      </x:c>
      <x:c r="G30" s="100" t="n">
        <x:f aca="0">C30*(1-F30)-D30-E30</x:f>
        <x:v>330799.2743968936</x:v>
      </x:c>
      <x:c r="H30" s="100" t="n">
        <x:f aca="0">G30-G29</x:f>
        <x:v>52832.47803206422</x:v>
      </x:c>
      <x:c r="I30" s="100" t="n">
        <x:f aca="0">H30/1</x:f>
        <x:v>52832.47803206422</x:v>
      </x:c>
      <x:c r="J30" s="100" t="n">
        <x:f aca="0">B30-D30-E30</x:f>
        <x:v>518670.36500601843</x:v>
      </x:c>
      <x:c r="K30" s="100" t="n">
        <x:f aca="0">B30</x:f>
        <x:v>531775.2443943361</x:v>
      </x:c>
      <x:c r="L30" s="100" t="n">
        <x:f aca="0">0</x:f>
        <x:v>0</x:v>
      </x:c>
      <x:c r="M30" s="100" t="n">
        <x:f aca="0">IF(AND(A30&gt;=S08_Defaults!$B$11,A30&lt;=S08_Defaults!$B$12),J30,0)</x:f>
        <x:v>518670.36500601843</x:v>
      </x:c>
      <x:c r="N30" s="100" t="n">
        <x:f aca="0">IF(AND(A30&gt;=S08_Defaults!$B$11,A30&lt;=S08_Defaults!$B$12),K30-L30,0)</x:f>
        <x:v>531775.2443943361</x:v>
      </x:c>
      <x:c r="O30" s="37" t="s">
        <x:v>1271</x:v>
      </x:c>
    </x:row>
    <x:row r="31" ht="15" hidden="0" customHeight="1">
      <x:c r="A31" s="37" t="n">
        <x:v>2031</x:v>
      </x:c>
      <x:c r="B31" s="100" t="n">
        <x:f aca="0">SUM(S20_Dry_Broadleaf_ER!Q14,S20_Dry_Broadleaf_ER!Q15,S20_Dry_Broadleaf_ER!Q16,S20_Dry_Broadleaf_ER!Q17,S20_Dry_Broadleaf_ER!Q18)</x:f>
        <x:v>611650.518936783</x:v>
      </x:c>
      <x:c r="C31" s="100" t="n">
        <x:f aca="0">SUM(S20_Dry_Broadleaf_ER!AL14,S20_Dry_Broadleaf_ER!AL15,S20_Dry_Broadleaf_ER!AL16,S20_Dry_Broadleaf_ER!AL17,S20_Dry_Broadleaf_ER!AL18)</x:f>
        <x:v>494450.3254537928</x:v>
      </x:c>
      <x:c r="D31" s="100" t="n">
        <x:f aca="0">IF($B$4=0,0,S33_Project_Deductions!D15*$B$4/S08_Defaults!$B$14)</x:f>
        <x:v>10279.83813334822</x:v>
      </x:c>
      <x:c r="E31" s="100" t="n">
        <x:f aca="0">IF($B$4=0,0,S33_Project_Deductions!E15*$B$4/S08_Defaults!$B$14)</x:f>
        <x:v>3856.19794442712</x:v>
      </x:c>
      <x:c r="F31" s="100" t="n">
        <x:f aca="0">S08_Defaults!$B$9</x:f>
        <x:v>0.2</x:v>
      </x:c>
      <x:c r="G31" s="100" t="n">
        <x:f aca="0">C31*(1-F31)-D31-E31</x:f>
        <x:v>381424.2242852589</x:v>
      </x:c>
      <x:c r="H31" s="100" t="n">
        <x:f aca="0">G31-G30</x:f>
        <x:v>50624.949888365285</x:v>
      </x:c>
      <x:c r="I31" s="100" t="n">
        <x:f aca="0">H31/1</x:f>
        <x:v>50624.949888365285</x:v>
      </x:c>
      <x:c r="J31" s="100" t="n">
        <x:f aca="0">B31-D31-E31</x:f>
        <x:v>597514.4828590075</x:v>
      </x:c>
      <x:c r="K31" s="100" t="n">
        <x:f aca="0">B31</x:f>
        <x:v>611650.518936783</x:v>
      </x:c>
      <x:c r="L31" s="100" t="n">
        <x:f aca="0">0</x:f>
        <x:v>0</x:v>
      </x:c>
      <x:c r="M31" s="100" t="n">
        <x:f aca="0">IF(AND(A31&gt;=S08_Defaults!$B$11,A31&lt;=S08_Defaults!$B$12),J31,0)</x:f>
        <x:v>597514.4828590075</x:v>
      </x:c>
      <x:c r="N31" s="100" t="n">
        <x:f aca="0">IF(AND(A31&gt;=S08_Defaults!$B$11,A31&lt;=S08_Defaults!$B$12),K31-L31,0)</x:f>
        <x:v>611650.518936783</x:v>
      </x:c>
      <x:c r="O31" s="37" t="s">
        <x:v>1271</x:v>
      </x:c>
    </x:row>
    <x:row r="32" ht="15" hidden="0" customHeight="1">
      <x:c r="A32" s="37" t="n">
        <x:v>2032</x:v>
      </x:c>
      <x:c r="B32" s="100" t="n">
        <x:f aca="0">SUM(S20_Dry_Broadleaf_ER!R14,S20_Dry_Broadleaf_ER!R15,S20_Dry_Broadleaf_ER!R16,S20_Dry_Broadleaf_ER!R17,S20_Dry_Broadleaf_ER!R18)</x:f>
        <x:v>686811.7636128261</x:v>
      </x:c>
      <x:c r="C32" s="100" t="n">
        <x:f aca="0">SUM(S20_Dry_Broadleaf_ER!AM14,S20_Dry_Broadleaf_ER!AM15,S20_Dry_Broadleaf_ER!AM16,S20_Dry_Broadleaf_ER!AM17,S20_Dry_Broadleaf_ER!AM18)</x:f>
        <x:v>555209.6982344814</x:v>
      </x:c>
      <x:c r="D32" s="100" t="n">
        <x:f aca="0">IF($B$4=0,0,S33_Project_Deductions!D16*$B$4/S08_Defaults!$B$14)</x:f>
        <x:v>11310.994822805882</x:v>
      </x:c>
      <x:c r="E32" s="100" t="n">
        <x:f aca="0">IF($B$4=0,0,S33_Project_Deductions!E16*$B$4/S08_Defaults!$B$14)</x:f>
        <x:v>3856.19794442712</x:v>
      </x:c>
      <x:c r="F32" s="100" t="n">
        <x:f aca="0">S08_Defaults!$B$9</x:f>
        <x:v>0.2</x:v>
      </x:c>
      <x:c r="G32" s="100" t="n">
        <x:f aca="0">C32*(1-F32)-D32-E32</x:f>
        <x:v>429000.5658203521</x:v>
      </x:c>
      <x:c r="H32" s="100" t="n">
        <x:f aca="0">G32-G31</x:f>
        <x:v>47576.341535093205</x:v>
      </x:c>
      <x:c r="I32" s="100" t="n">
        <x:f aca="0">H32/1</x:f>
        <x:v>47576.341535093205</x:v>
      </x:c>
      <x:c r="J32" s="100" t="n">
        <x:f aca="0">B32-D32-E32</x:f>
        <x:v>671644.5708455931</x:v>
      </x:c>
      <x:c r="K32" s="100" t="n">
        <x:f aca="0">B32</x:f>
        <x:v>686811.7636128261</x:v>
      </x:c>
      <x:c r="L32" s="100" t="n">
        <x:f aca="0">0</x:f>
        <x:v>0</x:v>
      </x:c>
      <x:c r="M32" s="100" t="n">
        <x:f aca="0">IF(AND(A32&gt;=S08_Defaults!$B$11,A32&lt;=S08_Defaults!$B$12),J32,0)</x:f>
        <x:v>671644.5708455931</x:v>
      </x:c>
      <x:c r="N32" s="100" t="n">
        <x:f aca="0">IF(AND(A32&gt;=S08_Defaults!$B$11,A32&lt;=S08_Defaults!$B$12),K32-L32,0)</x:f>
        <x:v>686811.7636128261</x:v>
      </x:c>
      <x:c r="O32" s="37" t="s">
        <x:v>1271</x:v>
      </x:c>
    </x:row>
    <x:row r="33" ht="15" hidden="0" customHeight="1">
      <x:c r="A33" s="37" t="n">
        <x:v>2033</x:v>
      </x:c>
      <x:c r="B33" s="100" t="n">
        <x:f aca="0">SUM(S20_Dry_Broadleaf_ER!S14,S20_Dry_Broadleaf_ER!S15,S20_Dry_Broadleaf_ER!S16,S20_Dry_Broadleaf_ER!S17,S20_Dry_Broadleaf_ER!S18)</x:f>
        <x:v>756490.3178564364</x:v>
      </x:c>
      <x:c r="C33" s="100" t="n">
        <x:f aca="0">SUM(S20_Dry_Broadleaf_ER!AN14,S20_Dry_Broadleaf_ER!AN15,S20_Dry_Broadleaf_ER!AN16,S20_Dry_Broadleaf_ER!AN17,S20_Dry_Broadleaf_ER!AN18)</x:f>
        <x:v>611536.9353678544</x:v>
      </x:c>
      <x:c r="D33" s="100" t="n">
        <x:f aca="0">IF($B$4=0,0,S33_Project_Deductions!D17*$B$4/S08_Defaults!$B$14)</x:f>
        <x:v>12342.151512263543</x:v>
      </x:c>
      <x:c r="E33" s="100" t="n">
        <x:f aca="0">IF($B$4=0,0,S33_Project_Deductions!E17*$B$4/S08_Defaults!$B$14)</x:f>
        <x:v>3856.19794442712</x:v>
      </x:c>
      <x:c r="F33" s="100" t="n">
        <x:f aca="0">S08_Defaults!$B$9</x:f>
        <x:v>0.2</x:v>
      </x:c>
      <x:c r="G33" s="100" t="n">
        <x:f aca="0">C33*(1-F33)-D33-E33</x:f>
        <x:v>473031.1988375929</x:v>
      </x:c>
      <x:c r="H33" s="100" t="n">
        <x:f aca="0">G33-G32</x:f>
        <x:v>44030.63301724079</x:v>
      </x:c>
      <x:c r="I33" s="100" t="n">
        <x:f aca="0">H33/1</x:f>
        <x:v>44030.63301724079</x:v>
      </x:c>
      <x:c r="J33" s="100" t="n">
        <x:f aca="0">B33-D33-E33</x:f>
        <x:v>740291.9683997456</x:v>
      </x:c>
      <x:c r="K33" s="100" t="n">
        <x:f aca="0">B33</x:f>
        <x:v>756490.3178564364</x:v>
      </x:c>
      <x:c r="L33" s="100" t="n">
        <x:f aca="0">0</x:f>
        <x:v>0</x:v>
      </x:c>
      <x:c r="M33" s="100" t="n">
        <x:f aca="0">IF(AND(A33&gt;=S08_Defaults!$B$11,A33&lt;=S08_Defaults!$B$12),J33,0)</x:f>
        <x:v>740291.9683997456</x:v>
      </x:c>
      <x:c r="N33" s="100" t="n">
        <x:f aca="0">IF(AND(A33&gt;=S08_Defaults!$B$11,A33&lt;=S08_Defaults!$B$12),K33-L33,0)</x:f>
        <x:v>756490.3178564364</x:v>
      </x:c>
      <x:c r="O33" s="37" t="s">
        <x:v>1271</x:v>
      </x:c>
    </x:row>
    <x:row r="34" ht="15" hidden="0" customHeight="1">
      <x:c r="A34" s="37" t="n">
        <x:v>2034</x:v>
      </x:c>
      <x:c r="B34" s="100" t="n">
        <x:f aca="0">SUM(S20_Dry_Broadleaf_ER!T14,S20_Dry_Broadleaf_ER!T15,S20_Dry_Broadleaf_ER!T16,S20_Dry_Broadleaf_ER!T17,S20_Dry_Broadleaf_ER!T18)</x:f>
        <x:v>820326.079420216</x:v>
      </x:c>
      <x:c r="C34" s="100" t="n">
        <x:f aca="0">SUM(S20_Dry_Broadleaf_ER!AO14,S20_Dry_Broadleaf_ER!AO15,S20_Dry_Broadleaf_ER!AO16,S20_Dry_Broadleaf_ER!AO17,S20_Dry_Broadleaf_ER!AO18)</x:f>
        <x:v>663140.9348799742</x:v>
      </x:c>
      <x:c r="D34" s="100" t="n">
        <x:f aca="0">IF($B$4=0,0,S33_Project_Deductions!D18*$B$4/S08_Defaults!$B$14)</x:f>
        <x:v>13373.308201721205</x:v>
      </x:c>
      <x:c r="E34" s="100" t="n">
        <x:f aca="0">IF($B$4=0,0,S33_Project_Deductions!E18*$B$4/S08_Defaults!$B$14)</x:f>
        <x:v>3856.19794442712</x:v>
      </x:c>
      <x:c r="F34" s="100" t="n">
        <x:f aca="0">S08_Defaults!$B$9</x:f>
        <x:v>0.2</x:v>
      </x:c>
      <x:c r="G34" s="100" t="n">
        <x:f aca="0">C34*(1-F34)-D34-E34</x:f>
        <x:v>513283.241757831</x:v>
      </x:c>
      <x:c r="H34" s="100" t="n">
        <x:f aca="0">G34-G33</x:f>
        <x:v>40252.042920238106</x:v>
      </x:c>
      <x:c r="I34" s="100" t="n">
        <x:f aca="0">H34/1</x:f>
        <x:v>40252.042920238106</x:v>
      </x:c>
      <x:c r="J34" s="100" t="n">
        <x:f aca="0">B34-D34-E34</x:f>
        <x:v>803096.5732740677</x:v>
      </x:c>
      <x:c r="K34" s="100" t="n">
        <x:f aca="0">B34</x:f>
        <x:v>820326.079420216</x:v>
      </x:c>
      <x:c r="L34" s="100" t="n">
        <x:f aca="0">0</x:f>
        <x:v>0</x:v>
      </x:c>
      <x:c r="M34" s="100" t="n">
        <x:f aca="0">IF(AND(A34&gt;=S08_Defaults!$B$11,A34&lt;=S08_Defaults!$B$12),J34,0)</x:f>
        <x:v>803096.5732740677</x:v>
      </x:c>
      <x:c r="N34" s="100" t="n">
        <x:f aca="0">IF(AND(A34&gt;=S08_Defaults!$B$11,A34&lt;=S08_Defaults!$B$12),K34-L34,0)</x:f>
        <x:v>820326.079420216</x:v>
      </x:c>
      <x:c r="O34" s="37" t="s">
        <x:v>1271</x:v>
      </x:c>
    </x:row>
    <x:row r="35" ht="15" hidden="0" customHeight="1">
      <x:c r="A35" s="37" t="n">
        <x:v>2035</x:v>
      </x:c>
      <x:c r="B35" s="100" t="n">
        <x:f aca="0">SUM(S20_Dry_Broadleaf_ER!U14,S20_Dry_Broadleaf_ER!U15,S20_Dry_Broadleaf_ER!U16,S20_Dry_Broadleaf_ER!U17,S20_Dry_Broadleaf_ER!U18)</x:f>
        <x:v>878257.8276546557</x:v>
      </x:c>
      <x:c r="C35" s="100" t="n">
        <x:f aca="0">SUM(S20_Dry_Broadleaf_ER!AP14,S20_Dry_Broadleaf_ER!AP15,S20_Dry_Broadleaf_ER!AP16,S20_Dry_Broadleaf_ER!AP17,S20_Dry_Broadleaf_ER!AP18)</x:f>
        <x:v>709972.2067939057</x:v>
      </x:c>
      <x:c r="D35" s="100" t="n">
        <x:f aca="0">IF($B$4=0,0,S33_Project_Deductions!D19*$B$4/S08_Defaults!$B$14)</x:f>
        <x:v>14404.464891178864</x:v>
      </x:c>
      <x:c r="E35" s="100" t="n">
        <x:f aca="0">IF($B$4=0,0,S33_Project_Deductions!E19*$B$4/S08_Defaults!$B$14)</x:f>
        <x:v>3856.19794442712</x:v>
      </x:c>
      <x:c r="F35" s="100" t="n">
        <x:f aca="0">S08_Defaults!$B$9</x:f>
        <x:v>0.2</x:v>
      </x:c>
      <x:c r="G35" s="100" t="n">
        <x:f aca="0">C35*(1-F35)-D35-E35</x:f>
        <x:v>549717.1025995186</x:v>
      </x:c>
      <x:c r="H35" s="100" t="n">
        <x:f aca="0">G35-G34</x:f>
        <x:v>36433.860841687594</x:v>
      </x:c>
      <x:c r="I35" s="100" t="n">
        <x:f aca="0">H35/1</x:f>
        <x:v>36433.860841687594</x:v>
      </x:c>
      <x:c r="J35" s="100" t="n">
        <x:f aca="0">B35-D35-E35</x:f>
        <x:v>859997.1648190496</x:v>
      </x:c>
      <x:c r="K35" s="100" t="n">
        <x:f aca="0">B35</x:f>
        <x:v>878257.8276546557</x:v>
      </x:c>
      <x:c r="L35" s="100" t="n">
        <x:f aca="0">0</x:f>
        <x:v>0</x:v>
      </x:c>
      <x:c r="M35" s="100" t="n">
        <x:f aca="0">IF(AND(A35&gt;=S08_Defaults!$B$11,A35&lt;=S08_Defaults!$B$12),J35,0)</x:f>
        <x:v>859997.1648190496</x:v>
      </x:c>
      <x:c r="N35" s="100" t="n">
        <x:f aca="0">IF(AND(A35&gt;=S08_Defaults!$B$11,A35&lt;=S08_Defaults!$B$12),K35-L35,0)</x:f>
        <x:v>878257.8276546557</x:v>
      </x:c>
      <x:c r="O35" s="37" t="s">
        <x:v>1271</x:v>
      </x:c>
    </x:row>
    <x:row r="36" ht="15" hidden="0" customHeight="1">
      <x:c r="A36" s="37" t="n">
        <x:v>2036</x:v>
      </x:c>
      <x:c r="B36" s="100" t="n">
        <x:f aca="0">SUM(S20_Dry_Broadleaf_ER!V14,S20_Dry_Broadleaf_ER!V15,S20_Dry_Broadleaf_ER!V16,S20_Dry_Broadleaf_ER!V17,S20_Dry_Broadleaf_ER!V18)</x:f>
        <x:v>930432.4669235412</x:v>
      </x:c>
      <x:c r="C36" s="100" t="n">
        <x:f aca="0">SUM(S20_Dry_Broadleaf_ER!AQ14,S20_Dry_Broadleaf_ER!AQ15,S20_Dry_Broadleaf_ER!AQ16,S20_Dry_Broadleaf_ER!AQ17,S20_Dry_Broadleaf_ER!AQ18)</x:f>
        <x:v>752149.5066869531</x:v>
      </x:c>
      <x:c r="D36" s="100" t="n">
        <x:f aca="0">IF($B$4=0,0,S33_Project_Deductions!D20*$B$4/S08_Defaults!$B$14)</x:f>
        <x:v>15435.621580636524</x:v>
      </x:c>
      <x:c r="E36" s="100" t="n">
        <x:f aca="0">IF($B$4=0,0,S33_Project_Deductions!E20*$B$4/S08_Defaults!$B$14)</x:f>
        <x:v>3856.19794442712</x:v>
      </x:c>
      <x:c r="F36" s="100" t="n">
        <x:f aca="0">S08_Defaults!$B$9</x:f>
        <x:v>0.2</x:v>
      </x:c>
      <x:c r="G36" s="100" t="n">
        <x:f aca="0">C36*(1-F36)-D36-E36</x:f>
        <x:v>582427.7858244989</x:v>
      </x:c>
      <x:c r="H36" s="100" t="n">
        <x:f aca="0">G36-G35</x:f>
        <x:v>32710.683224980254</x:v>
      </x:c>
      <x:c r="I36" s="100" t="n">
        <x:f aca="0">H36/1</x:f>
        <x:v>32710.683224980254</x:v>
      </x:c>
      <x:c r="J36" s="100" t="n">
        <x:f aca="0">B36-D36-E36</x:f>
        <x:v>911140.6473984775</x:v>
      </x:c>
      <x:c r="K36" s="100" t="n">
        <x:f aca="0">B36</x:f>
        <x:v>930432.4669235412</x:v>
      </x:c>
      <x:c r="L36" s="100" t="n">
        <x:f aca="0">0</x:f>
        <x:v>0</x:v>
      </x:c>
      <x:c r="M36" s="100" t="n">
        <x:f aca="0">IF(AND(A36&gt;=S08_Defaults!$B$11,A36&lt;=S08_Defaults!$B$12),J36,0)</x:f>
        <x:v>911140.6473984775</x:v>
      </x:c>
      <x:c r="N36" s="100" t="n">
        <x:f aca="0">IF(AND(A36&gt;=S08_Defaults!$B$11,A36&lt;=S08_Defaults!$B$12),K36-L36,0)</x:f>
        <x:v>930432.4669235412</x:v>
      </x:c>
      <x:c r="O36" s="37" t="s">
        <x:v>1271</x:v>
      </x:c>
    </x:row>
    <x:row r="37" ht="15" hidden="0" customHeight="1">
      <x:c r="A37" s="37" t="n">
        <x:v>2037</x:v>
      </x:c>
      <x:c r="B37" s="100" t="n">
        <x:f aca="0">SUM(S20_Dry_Broadleaf_ER!W14,S20_Dry_Broadleaf_ER!W15,S20_Dry_Broadleaf_ER!W16,S20_Dry_Broadleaf_ER!W17,S20_Dry_Broadleaf_ER!W18)</x:f>
        <x:v>977133.5452428549</x:v>
      </x:c>
      <x:c r="C37" s="100" t="n">
        <x:f aca="0">SUM(S20_Dry_Broadleaf_ER!AR14,S20_Dry_Broadleaf_ER!AR15,S20_Dry_Broadleaf_ER!AR16,S20_Dry_Broadleaf_ER!AR17,S20_Dry_Broadleaf_ER!AR18)</x:f>
        <x:v>789902.0510879076</x:v>
      </x:c>
      <x:c r="D37" s="100" t="n">
        <x:f aca="0">IF($B$4=0,0,S33_Project_Deductions!D21*$B$4/S08_Defaults!$B$14)</x:f>
        <x:v>16466.778270094183</x:v>
      </x:c>
      <x:c r="E37" s="100" t="n">
        <x:f aca="0">IF($B$4=0,0,S33_Project_Deductions!E21*$B$4/S08_Defaults!$B$14)</x:f>
        <x:v>3856.19794442712</x:v>
      </x:c>
      <x:c r="F37" s="100" t="n">
        <x:f aca="0">S08_Defaults!$B$9</x:f>
        <x:v>0.2</x:v>
      </x:c>
      <x:c r="G37" s="100" t="n">
        <x:f aca="0">C37*(1-F37)-D37-E37</x:f>
        <x:v>611598.6646558049</x:v>
      </x:c>
      <x:c r="H37" s="100" t="n">
        <x:f aca="0">G37-G36</x:f>
        <x:v>29170.878831306007</x:v>
      </x:c>
      <x:c r="I37" s="100" t="n">
        <x:f aca="0">H37/1</x:f>
        <x:v>29170.878831306007</x:v>
      </x:c>
      <x:c r="J37" s="100" t="n">
        <x:f aca="0">B37-D37-E37</x:f>
        <x:v>956810.5690283335</x:v>
      </x:c>
      <x:c r="K37" s="100" t="n">
        <x:f aca="0">B37</x:f>
        <x:v>977133.5452428549</x:v>
      </x:c>
      <x:c r="L37" s="100" t="n">
        <x:f aca="0">0</x:f>
        <x:v>0</x:v>
      </x:c>
      <x:c r="M37" s="100" t="n">
        <x:f aca="0">IF(AND(A37&gt;=S08_Defaults!$B$11,A37&lt;=S08_Defaults!$B$12),J37,0)</x:f>
        <x:v>956810.5690283335</x:v>
      </x:c>
      <x:c r="N37" s="100" t="n">
        <x:f aca="0">IF(AND(A37&gt;=S08_Defaults!$B$11,A37&lt;=S08_Defaults!$B$12),K37-L37,0)</x:f>
        <x:v>977133.5452428549</x:v>
      </x:c>
      <x:c r="O37" s="37" t="s">
        <x:v>1271</x:v>
      </x:c>
    </x:row>
    <x:row r="38" ht="15" hidden="0" customHeight="1">
      <x:c r="A38" s="37" t="n">
        <x:v>2038</x:v>
      </x:c>
      <x:c r="B38" s="100" t="n">
        <x:f aca="0">SUM(S20_Dry_Broadleaf_ER!X14,S20_Dry_Broadleaf_ER!X15,S20_Dry_Broadleaf_ER!X16,S20_Dry_Broadleaf_ER!X17,S20_Dry_Broadleaf_ER!X18)</x:f>
        <x:v>1018727.0755518267</x:v>
      </x:c>
      <x:c r="C38" s="100" t="n">
        <x:f aca="0">SUM(S20_Dry_Broadleaf_ER!AS14,S20_Dry_Broadleaf_ER!AS15,S20_Dry_Broadleaf_ER!AS16,S20_Dry_Broadleaf_ER!AS17,S20_Dry_Broadleaf_ER!AS18)</x:f>
        <x:v>823525.7200971199</x:v>
      </x:c>
      <x:c r="D38" s="100" t="n">
        <x:f aca="0">IF($B$4=0,0,S33_Project_Deductions!D22*$B$4/S08_Defaults!$B$14)</x:f>
        <x:v>17497.934959551847</x:v>
      </x:c>
      <x:c r="E38" s="100" t="n">
        <x:f aca="0">IF($B$4=0,0,S33_Project_Deductions!E22*$B$4/S08_Defaults!$B$14)</x:f>
        <x:v>3856.19794442712</x:v>
      </x:c>
      <x:c r="F38" s="100" t="n">
        <x:f aca="0">S08_Defaults!$B$9</x:f>
        <x:v>0.2</x:v>
      </x:c>
      <x:c r="G38" s="100" t="n">
        <x:f aca="0">C38*(1-F38)-D38-E38</x:f>
        <x:v>637466.4431737169</x:v>
      </x:c>
      <x:c r="H38" s="100" t="n">
        <x:f aca="0">G38-G37</x:f>
        <x:v>25867.778517912026</x:v>
      </x:c>
      <x:c r="I38" s="100" t="n">
        <x:f aca="0">H38/1</x:f>
        <x:v>25867.778517912026</x:v>
      </x:c>
      <x:c r="J38" s="100" t="n">
        <x:f aca="0">B38-D38-E38</x:f>
        <x:v>997372.9426478477</x:v>
      </x:c>
      <x:c r="K38" s="100" t="n">
        <x:f aca="0">B38</x:f>
        <x:v>1018727.0755518267</x:v>
      </x:c>
      <x:c r="L38" s="100" t="n">
        <x:f aca="0">0</x:f>
        <x:v>0</x:v>
      </x:c>
      <x:c r="M38" s="100" t="n">
        <x:f aca="0">IF(AND(A38&gt;=S08_Defaults!$B$11,A38&lt;=S08_Defaults!$B$12),J38,0)</x:f>
        <x:v>997372.9426478477</x:v>
      </x:c>
      <x:c r="N38" s="100" t="n">
        <x:f aca="0">IF(AND(A38&gt;=S08_Defaults!$B$11,A38&lt;=S08_Defaults!$B$12),K38-L38,0)</x:f>
        <x:v>1018727.0755518267</x:v>
      </x:c>
      <x:c r="O38" s="37" t="s">
        <x:v>1271</x:v>
      </x:c>
    </x:row>
    <x:row r="39" ht="15" hidden="0" customHeight="1">
      <x:c r="A39" s="37" t="n">
        <x:v>2039</x:v>
      </x:c>
      <x:c r="B39" s="100" t="n">
        <x:f aca="0">SUM(S20_Dry_Broadleaf_ER!Y14,S20_Dry_Broadleaf_ER!Y15,S20_Dry_Broadleaf_ER!Y16,S20_Dry_Broadleaf_ER!Y17,S20_Dry_Broadleaf_ER!Y18)</x:f>
        <x:v>1055621.8270796714</x:v>
      </x:c>
      <x:c r="C39" s="100" t="n">
        <x:f aca="0">SUM(S20_Dry_Broadleaf_ER!AT14,S20_Dry_Broadleaf_ER!AT15,S20_Dry_Broadleaf_ER!AT16,S20_Dry_Broadleaf_ER!AT17,S20_Dry_Broadleaf_ER!AT18)</x:f>
        <x:v>853350.9574437509</x:v>
      </x:c>
      <x:c r="D39" s="100" t="n">
        <x:f aca="0">IF($B$4=0,0,S33_Project_Deductions!D23*$B$4/S08_Defaults!$B$14)</x:f>
        <x:v>18529.091649009504</x:v>
      </x:c>
      <x:c r="E39" s="100" t="n">
        <x:f aca="0">IF($B$4=0,0,S33_Project_Deductions!E23*$B$4/S08_Defaults!$B$14)</x:f>
        <x:v>3856.19794442712</x:v>
      </x:c>
      <x:c r="F39" s="100" t="n">
        <x:f aca="0">S08_Defaults!$B$9</x:f>
        <x:v>0.2</x:v>
      </x:c>
      <x:c r="G39" s="100" t="n">
        <x:f aca="0">C39*(1-F39)-D39-E39</x:f>
        <x:v>660295.4763615641</x:v>
      </x:c>
      <x:c r="H39" s="100" t="n">
        <x:f aca="0">G39-G38</x:f>
        <x:v>22829.033187847235</x:v>
      </x:c>
      <x:c r="I39" s="100" t="n">
        <x:f aca="0">H39/1</x:f>
        <x:v>22829.033187847235</x:v>
      </x:c>
      <x:c r="J39" s="100" t="n">
        <x:f aca="0">B39-D39-E39</x:f>
        <x:v>1033236.5374862348</x:v>
      </x:c>
      <x:c r="K39" s="100" t="n">
        <x:f aca="0">B39</x:f>
        <x:v>1055621.8270796714</x:v>
      </x:c>
      <x:c r="L39" s="100" t="n">
        <x:f aca="0">0</x:f>
        <x:v>0</x:v>
      </x:c>
      <x:c r="M39" s="100" t="n">
        <x:f aca="0">IF(AND(A39&gt;=S08_Defaults!$B$11,A39&lt;=S08_Defaults!$B$12),J39,0)</x:f>
        <x:v>1033236.5374862348</x:v>
      </x:c>
      <x:c r="N39" s="100" t="n">
        <x:f aca="0">IF(AND(A39&gt;=S08_Defaults!$B$11,A39&lt;=S08_Defaults!$B$12),K39-L39,0)</x:f>
        <x:v>1055621.8270796714</x:v>
      </x:c>
      <x:c r="O39" s="37" t="s">
        <x:v>1271</x:v>
      </x:c>
    </x:row>
    <x:row r="40" ht="15" hidden="0" customHeight="1">
      <x:c r="A40" s="37" t="n">
        <x:v>2040</x:v>
      </x:c>
      <x:c r="B40" s="100" t="n">
        <x:f aca="0">SUM(S20_Dry_Broadleaf_ER!Z14,S20_Dry_Broadleaf_ER!Z15,S20_Dry_Broadleaf_ER!Z16,S20_Dry_Broadleaf_ER!Z17,S20_Dry_Broadleaf_ER!Z18)</x:f>
        <x:v>1088241.1689171498</x:v>
      </x:c>
      <x:c r="C40" s="100" t="n">
        <x:f aca="0">SUM(S20_Dry_Broadleaf_ER!AU14,S20_Dry_Broadleaf_ER!AU15,S20_Dry_Broadleaf_ER!AU16,S20_Dry_Broadleaf_ER!AU17,S20_Dry_Broadleaf_ER!AU18)</x:f>
        <x:v>879720.0091951754</x:v>
      </x:c>
      <x:c r="D40" s="100" t="n">
        <x:f aca="0">IF($B$4=0,0,S33_Project_Deductions!D24*$B$4/S08_Defaults!$B$14)</x:f>
        <x:v>19560.248338467165</x:v>
      </x:c>
      <x:c r="E40" s="100" t="n">
        <x:f aca="0">IF($B$4=0,0,S33_Project_Deductions!E24*$B$4/S08_Defaults!$B$14)</x:f>
        <x:v>3856.19794442712</x:v>
      </x:c>
      <x:c r="F40" s="100" t="n">
        <x:f aca="0">S08_Defaults!$B$9</x:f>
        <x:v>0.2</x:v>
      </x:c>
      <x:c r="G40" s="100" t="n">
        <x:f aca="0">C40*(1-F40)-D40-E40</x:f>
        <x:v>680359.561073246</x:v>
      </x:c>
      <x:c r="H40" s="100" t="n">
        <x:f aca="0">G40-G39</x:f>
        <x:v>20064.08471168182</x:v>
      </x:c>
      <x:c r="I40" s="100" t="n">
        <x:f aca="0">H40/1</x:f>
        <x:v>20064.08471168182</x:v>
      </x:c>
      <x:c r="J40" s="100" t="n">
        <x:f aca="0">B40-D40-E40</x:f>
        <x:v>1064824.7226342554</x:v>
      </x:c>
      <x:c r="K40" s="100" t="n">
        <x:f aca="0">B40</x:f>
        <x:v>1088241.1689171498</x:v>
      </x:c>
      <x:c r="L40" s="100" t="n">
        <x:f aca="0">0</x:f>
        <x:v>0</x:v>
      </x:c>
      <x:c r="M40" s="100" t="n">
        <x:f aca="0">IF(AND(A40&gt;=S08_Defaults!$B$11,A40&lt;=S08_Defaults!$B$12),J40,0)</x:f>
        <x:v>1064824.7226342554</x:v>
      </x:c>
      <x:c r="N40" s="100" t="n">
        <x:f aca="0">IF(AND(A40&gt;=S08_Defaults!$B$11,A40&lt;=S08_Defaults!$B$12),K40-L40,0)</x:f>
        <x:v>1088241.1689171498</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Dry Broadleaf Forests | Timber Plantation (22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651</x:v>
      </x:c>
      <x:c r="B46" s="198" t="s">
        <x:v>542</x:v>
      </x:c>
      <x:c r="C46" s="198" t="n">
        <x:v>2020</x:v>
      </x:c>
      <x:c r="D46" s="198" t="n">
        <x:v>0.368</x:v>
      </x:c>
      <x:c r="E46" s="198" t="s">
        <x:v>653</x:v>
      </x:c>
      <x:c r="F46" s="198" t="s">
        <x:v>654</x:v>
      </x:c>
      <x:c r="G46" s="1"/>
      <x:c r="H46" s="1"/>
      <x:c r="I46" s="1"/>
      <x:c r="J46" s="1"/>
      <x:c r="K46" s="1"/>
      <x:c r="L46" s="1"/>
      <x:c r="M46" s="1"/>
      <x:c r="N46" s="1"/>
      <x:c r="O46" s="1"/>
    </x:row>
    <x:row r="47" ht="21.75" hidden="0" customHeight="1">
      <x:c r="A47" s="125" t="s">
        <x:v>655</x:v>
      </x:c>
      <x:c r="B47" s="198" t="s">
        <x:v>542</x:v>
      </x:c>
      <x:c r="C47" s="198" t="n">
        <x:v>2020</x:v>
      </x:c>
      <x:c r="D47" s="198" t="n">
        <x:v>0.6444</x:v>
      </x:c>
      <x:c r="E47" s="198" t="s">
        <x:v>656</x:v>
      </x:c>
      <x:c r="F47" s="198" t="s">
        <x:v>654</x:v>
      </x:c>
      <x:c r="G47" s="1"/>
      <x:c r="H47" s="1"/>
      <x:c r="I47" s="1"/>
      <x:c r="J47" s="1"/>
      <x:c r="K47" s="1"/>
      <x:c r="L47" s="1"/>
      <x:c r="M47" s="1"/>
      <x:c r="N47" s="1"/>
      <x:c r="O47" s="1"/>
    </x:row>
    <x:row r="48" ht="21.75" hidden="0" customHeight="1">
      <x:c r="A48" s="125" t="s">
        <x:v>657</x:v>
      </x:c>
      <x:c r="B48" s="198" t="s">
        <x:v>542</x:v>
      </x:c>
      <x:c r="C48" s="198" t="n">
        <x:v>2020</x:v>
      </x:c>
      <x:c r="D48" s="198" t="n">
        <x:v>1.2846</x:v>
      </x:c>
      <x:c r="E48" s="198" t="s">
        <x:v>658</x:v>
      </x:c>
      <x:c r="F48" s="198" t="s">
        <x:v>654</x:v>
      </x:c>
      <x:c r="G48" s="1"/>
      <x:c r="H48" s="1"/>
      <x:c r="I48" s="1"/>
      <x:c r="J48" s="1"/>
      <x:c r="K48" s="1"/>
      <x:c r="L48" s="1"/>
      <x:c r="M48" s="1"/>
      <x:c r="N48" s="1"/>
      <x:c r="O48" s="1"/>
    </x:row>
    <x:row r="49" ht="21.75" hidden="0" customHeight="1">
      <x:c r="A49" s="125" t="s">
        <x:v>659</x:v>
      </x:c>
      <x:c r="B49" s="198" t="s">
        <x:v>542</x:v>
      </x:c>
      <x:c r="C49" s="198" t="n">
        <x:v>2020</x:v>
      </x:c>
      <x:c r="D49" s="198" t="n">
        <x:v>0.3445</x:v>
      </x:c>
      <x:c r="E49" s="198" t="s">
        <x:v>660</x:v>
      </x:c>
      <x:c r="F49" s="198" t="s">
        <x:v>654</x:v>
      </x:c>
      <x:c r="G49" s="1"/>
      <x:c r="H49" s="1"/>
      <x:c r="I49" s="1"/>
      <x:c r="J49" s="1"/>
      <x:c r="K49" s="1"/>
      <x:c r="L49" s="1"/>
      <x:c r="M49" s="1"/>
      <x:c r="N49" s="1"/>
      <x:c r="O49" s="1"/>
    </x:row>
    <x:row r="50" ht="21.75" hidden="0" customHeight="1">
      <x:c r="A50" s="125" t="s">
        <x:v>661</x:v>
      </x:c>
      <x:c r="B50" s="198" t="s">
        <x:v>542</x:v>
      </x:c>
      <x:c r="C50" s="198" t="n">
        <x:v>2020</x:v>
      </x:c>
      <x:c r="D50" s="198" t="n">
        <x:v>0.2411</x:v>
      </x:c>
      <x:c r="E50" s="198" t="s">
        <x:v>660</x:v>
      </x:c>
      <x:c r="F50" s="198" t="s">
        <x:v>654</x:v>
      </x:c>
      <x:c r="G50" s="1"/>
      <x:c r="H50" s="1"/>
      <x:c r="I50" s="1"/>
      <x:c r="J50" s="1"/>
      <x:c r="K50" s="1"/>
      <x:c r="L50" s="1"/>
      <x:c r="M50" s="1"/>
      <x:c r="N50" s="1"/>
      <x:c r="O50" s="1"/>
    </x:row>
    <x:row r="51" ht="21.75" hidden="0" customHeight="1">
      <x:c r="A51" s="125" t="s">
        <x:v>662</x:v>
      </x:c>
      <x:c r="B51" s="198" t="s">
        <x:v>542</x:v>
      </x:c>
      <x:c r="C51" s="198" t="n">
        <x:v>2020</x:v>
      </x:c>
      <x:c r="D51" s="198" t="n">
        <x:v>0.123</x:v>
      </x:c>
      <x:c r="E51" s="198" t="s">
        <x:v>660</x:v>
      </x:c>
      <x:c r="F51" s="198" t="s">
        <x:v>654</x:v>
      </x:c>
      <x:c r="G51" s="1"/>
      <x:c r="H51" s="1"/>
      <x:c r="I51" s="1"/>
      <x:c r="J51" s="1"/>
      <x:c r="K51" s="1"/>
      <x:c r="L51" s="1"/>
      <x:c r="M51" s="1"/>
      <x:c r="N51" s="1"/>
      <x:c r="O51" s="1"/>
    </x:row>
    <x:row r="52" ht="21.75" hidden="0" customHeight="1">
      <x:c r="A52" s="125" t="s">
        <x:v>663</x:v>
      </x:c>
      <x:c r="B52" s="198" t="s">
        <x:v>542</x:v>
      </x:c>
      <x:c r="C52" s="198" t="n">
        <x:v>2020</x:v>
      </x:c>
      <x:c r="D52" s="198" t="n">
        <x:v>0.4483</x:v>
      </x:c>
      <x:c r="E52" s="198" t="s">
        <x:v>660</x:v>
      </x:c>
      <x:c r="F52" s="198" t="s">
        <x:v>654</x:v>
      </x:c>
      <x:c r="G52" s="1"/>
      <x:c r="H52" s="1"/>
      <x:c r="I52" s="1"/>
      <x:c r="J52" s="1"/>
      <x:c r="K52" s="1"/>
      <x:c r="L52" s="1"/>
      <x:c r="M52" s="1"/>
      <x:c r="N52" s="1"/>
      <x:c r="O52" s="1"/>
    </x:row>
    <x:row r="53" ht="21.75" hidden="0" customHeight="1">
      <x:c r="A53" s="125" t="s">
        <x:v>664</x:v>
      </x:c>
      <x:c r="B53" s="198" t="s">
        <x:v>542</x:v>
      </x:c>
      <x:c r="C53" s="198" t="n">
        <x:v>2020</x:v>
      </x:c>
      <x:c r="D53" s="198" t="n">
        <x:v>0.5852</x:v>
      </x:c>
      <x:c r="E53" s="198" t="s">
        <x:v>660</x:v>
      </x:c>
      <x:c r="F53" s="198" t="s">
        <x:v>654</x:v>
      </x:c>
      <x:c r="G53" s="1"/>
      <x:c r="H53" s="1"/>
      <x:c r="I53" s="1"/>
      <x:c r="J53" s="1"/>
      <x:c r="K53" s="1"/>
      <x:c r="L53" s="1"/>
      <x:c r="M53" s="1"/>
      <x:c r="N53" s="1"/>
      <x:c r="O53" s="1"/>
    </x:row>
    <x:row r="54" ht="21.75" hidden="0" customHeight="1">
      <x:c r="A54" s="125" t="s">
        <x:v>665</x:v>
      </x:c>
      <x:c r="B54" s="198" t="s">
        <x:v>549</x:v>
      </x:c>
      <x:c r="C54" s="198" t="n">
        <x:v>2020</x:v>
      </x:c>
      <x:c r="D54" s="198" t="n">
        <x:v>1.4569</x:v>
      </x:c>
      <x:c r="E54" s="198" t="s">
        <x:v>653</x:v>
      </x:c>
      <x:c r="F54" s="198" t="s">
        <x:v>666</x:v>
      </x:c>
      <x:c r="G54" s="1"/>
      <x:c r="H54" s="1"/>
      <x:c r="I54" s="1"/>
      <x:c r="J54" s="1"/>
      <x:c r="K54" s="1"/>
      <x:c r="L54" s="1"/>
      <x:c r="M54" s="1"/>
      <x:c r="N54" s="1"/>
      <x:c r="O54" s="1"/>
    </x:row>
    <x:row r="55" ht="21.75" hidden="0" customHeight="1">
      <x:c r="A55" s="125" t="s">
        <x:v>667</x:v>
      </x:c>
      <x:c r="B55" s="198" t="s">
        <x:v>549</x:v>
      </x:c>
      <x:c r="C55" s="198" t="n">
        <x:v>2020</x:v>
      </x:c>
      <x:c r="D55" s="198" t="n">
        <x:v>0.873</x:v>
      </x:c>
      <x:c r="E55" s="198" t="s">
        <x:v>668</x:v>
      </x:c>
      <x:c r="F55" s="198" t="s">
        <x:v>666</x:v>
      </x:c>
      <x:c r="G55" s="1"/>
      <x:c r="H55" s="1"/>
      <x:c r="I55" s="1"/>
      <x:c r="J55" s="1"/>
      <x:c r="K55" s="1"/>
      <x:c r="L55" s="1"/>
      <x:c r="M55" s="1"/>
      <x:c r="N55" s="1"/>
      <x:c r="O55" s="1"/>
    </x:row>
    <x:row r="56" ht="21.75" hidden="0" customHeight="1">
      <x:c r="A56" s="125" t="s">
        <x:v>671</x:v>
      </x:c>
      <x:c r="B56" s="198" t="s">
        <x:v>553</x:v>
      </x:c>
      <x:c r="C56" s="198" t="n">
        <x:v>2020</x:v>
      </x:c>
      <x:c r="D56" s="198" t="n">
        <x:v>0.618</x:v>
      </x:c>
      <x:c r="E56" s="198" t="s">
        <x:v>672</x:v>
      </x:c>
      <x:c r="F56" s="198" t="s">
        <x:v>673</x:v>
      </x:c>
      <x:c r="G56" s="1"/>
      <x:c r="H56" s="1"/>
      <x:c r="I56" s="1"/>
      <x:c r="J56" s="1"/>
      <x:c r="K56" s="1"/>
      <x:c r="L56" s="1"/>
      <x:c r="M56" s="1"/>
      <x:c r="N56" s="1"/>
      <x:c r="O56" s="1"/>
    </x:row>
    <x:row r="57" ht="21.75" hidden="0" customHeight="1">
      <x:c r="A57" s="125" t="s">
        <x:v>676</x:v>
      </x:c>
      <x:c r="B57" s="198" t="s">
        <x:v>553</x:v>
      </x:c>
      <x:c r="C57" s="198" t="n">
        <x:v>2020</x:v>
      </x:c>
      <x:c r="D57" s="198" t="n">
        <x:v>0.5772</x:v>
      </x:c>
      <x:c r="E57" s="198" t="s">
        <x:v>670</x:v>
      </x:c>
      <x:c r="F57" s="198" t="s">
        <x:v>673</x:v>
      </x:c>
      <x:c r="G57" s="1"/>
      <x:c r="H57" s="1"/>
      <x:c r="I57" s="1"/>
      <x:c r="J57" s="1"/>
      <x:c r="K57" s="1"/>
      <x:c r="L57" s="1"/>
      <x:c r="M57" s="1"/>
      <x:c r="N57" s="1"/>
      <x:c r="O57" s="1"/>
    </x:row>
    <x:row r="58" ht="21.75" hidden="0" customHeight="1">
      <x:c r="A58" s="125" t="s">
        <x:v>677</x:v>
      </x:c>
      <x:c r="B58" s="198" t="s">
        <x:v>553</x:v>
      </x:c>
      <x:c r="C58" s="198" t="n">
        <x:v>2020</x:v>
      </x:c>
      <x:c r="D58" s="198" t="n">
        <x:v>1.9606</x:v>
      </x:c>
      <x:c r="E58" s="198" t="s">
        <x:v>656</x:v>
      </x:c>
      <x:c r="F58" s="198" t="s">
        <x:v>673</x:v>
      </x:c>
      <x:c r="G58" s="1"/>
      <x:c r="H58" s="1"/>
      <x:c r="I58" s="1"/>
      <x:c r="J58" s="1"/>
      <x:c r="K58" s="1"/>
      <x:c r="L58" s="1"/>
      <x:c r="M58" s="1"/>
      <x:c r="N58" s="1"/>
      <x:c r="O58" s="1"/>
    </x:row>
    <x:row r="59" ht="21.75" hidden="0" customHeight="1">
      <x:c r="A59" s="125" t="s">
        <x:v>678</x:v>
      </x:c>
      <x:c r="B59" s="198" t="s">
        <x:v>553</x:v>
      </x:c>
      <x:c r="C59" s="198" t="n">
        <x:v>2020</x:v>
      </x:c>
      <x:c r="D59" s="198" t="n">
        <x:v>0.4278</x:v>
      </x:c>
      <x:c r="E59" s="198" t="s">
        <x:v>670</x:v>
      </x:c>
      <x:c r="F59" s="198" t="s">
        <x:v>673</x:v>
      </x:c>
      <x:c r="G59" s="1"/>
      <x:c r="H59" s="1"/>
      <x:c r="I59" s="1"/>
      <x:c r="J59" s="1"/>
      <x:c r="K59" s="1"/>
      <x:c r="L59" s="1"/>
      <x:c r="M59" s="1"/>
      <x:c r="N59" s="1"/>
      <x:c r="O59" s="1"/>
    </x:row>
    <x:row r="60" ht="21.75" hidden="0" customHeight="1">
      <x:c r="A60" s="125" t="s">
        <x:v>679</x:v>
      </x:c>
      <x:c r="B60" s="198" t="s">
        <x:v>553</x:v>
      </x:c>
      <x:c r="C60" s="198" t="n">
        <x:v>2020</x:v>
      </x:c>
      <x:c r="D60" s="198" t="n">
        <x:v>2.0202</x:v>
      </x:c>
      <x:c r="E60" s="198" t="s">
        <x:v>660</x:v>
      </x:c>
      <x:c r="F60" s="198" t="s">
        <x:v>673</x:v>
      </x:c>
      <x:c r="G60" s="1"/>
      <x:c r="H60" s="1"/>
      <x:c r="I60" s="1"/>
      <x:c r="J60" s="1"/>
      <x:c r="K60" s="1"/>
      <x:c r="L60" s="1"/>
      <x:c r="M60" s="1"/>
      <x:c r="N60" s="1"/>
      <x:c r="O60" s="1"/>
    </x:row>
    <x:row r="61" ht="21.75" hidden="0" customHeight="1">
      <x:c r="A61" s="125" t="s">
        <x:v>680</x:v>
      </x:c>
      <x:c r="B61" s="198" t="s">
        <x:v>553</x:v>
      </x:c>
      <x:c r="C61" s="198" t="n">
        <x:v>2020</x:v>
      </x:c>
      <x:c r="D61" s="198" t="n">
        <x:v>0.1095</x:v>
      </x:c>
      <x:c r="E61" s="198" t="s">
        <x:v>670</x:v>
      </x:c>
      <x:c r="F61" s="198" t="s">
        <x:v>673</x:v>
      </x:c>
      <x:c r="G61" s="1"/>
      <x:c r="H61" s="1"/>
      <x:c r="I61" s="1"/>
      <x:c r="J61" s="1"/>
      <x:c r="K61" s="1"/>
      <x:c r="L61" s="1"/>
      <x:c r="M61" s="1"/>
      <x:c r="N61" s="1"/>
      <x:c r="O61" s="1"/>
    </x:row>
    <x:row r="62" ht="21.75" hidden="0" customHeight="1">
      <x:c r="A62" s="125" t="s">
        <x:v>681</x:v>
      </x:c>
      <x:c r="B62" s="198" t="s">
        <x:v>553</x:v>
      </x:c>
      <x:c r="C62" s="198" t="n">
        <x:v>2020</x:v>
      </x:c>
      <x:c r="D62" s="198" t="n">
        <x:v>0.5831</x:v>
      </x:c>
      <x:c r="E62" s="198" t="s">
        <x:v>656</x:v>
      </x:c>
      <x:c r="F62" s="198" t="s">
        <x:v>673</x:v>
      </x:c>
      <x:c r="G62" s="1"/>
      <x:c r="H62" s="1"/>
      <x:c r="I62" s="1"/>
      <x:c r="J62" s="1"/>
      <x:c r="K62" s="1"/>
      <x:c r="L62" s="1"/>
      <x:c r="M62" s="1"/>
      <x:c r="N62" s="1"/>
      <x:c r="O62" s="1"/>
    </x:row>
    <x:row r="63" ht="21.75" hidden="0" customHeight="1">
      <x:c r="A63" s="125" t="s">
        <x:v>682</x:v>
      </x:c>
      <x:c r="B63" s="198" t="s">
        <x:v>553</x:v>
      </x:c>
      <x:c r="C63" s="198" t="n">
        <x:v>2020</x:v>
      </x:c>
      <x:c r="D63" s="198" t="n">
        <x:v>0.4842</x:v>
      </x:c>
      <x:c r="E63" s="198" t="s">
        <x:v>683</x:v>
      </x:c>
      <x:c r="F63" s="198" t="s">
        <x:v>673</x:v>
      </x:c>
      <x:c r="G63" s="1"/>
      <x:c r="H63" s="1"/>
      <x:c r="I63" s="1"/>
      <x:c r="J63" s="1"/>
      <x:c r="K63" s="1"/>
      <x:c r="L63" s="1"/>
      <x:c r="M63" s="1"/>
      <x:c r="N63" s="1"/>
      <x:c r="O63" s="1"/>
    </x:row>
    <x:row r="64" ht="21.75" hidden="0" customHeight="1">
      <x:c r="A64" s="125" t="s">
        <x:v>684</x:v>
      </x:c>
      <x:c r="B64" s="198" t="s">
        <x:v>553</x:v>
      </x:c>
      <x:c r="C64" s="198" t="n">
        <x:v>2020</x:v>
      </x:c>
      <x:c r="D64" s="198" t="n">
        <x:v>0.2837</x:v>
      </x:c>
      <x:c r="E64" s="198" t="s">
        <x:v>660</x:v>
      </x:c>
      <x:c r="F64" s="198" t="s">
        <x:v>673</x:v>
      </x:c>
      <x:c r="G64" s="1"/>
      <x:c r="H64" s="1"/>
      <x:c r="I64" s="1"/>
      <x:c r="J64" s="1"/>
      <x:c r="K64" s="1"/>
      <x:c r="L64" s="1"/>
      <x:c r="M64" s="1"/>
      <x:c r="N64" s="1"/>
      <x:c r="O64" s="1"/>
    </x:row>
    <x:row r="65" ht="21.75" hidden="0" customHeight="1">
      <x:c r="A65" s="125" t="s">
        <x:v>688</x:v>
      </x:c>
      <x:c r="B65" s="198" t="s">
        <x:v>553</x:v>
      </x:c>
      <x:c r="C65" s="198" t="n">
        <x:v>2021</x:v>
      </x:c>
      <x:c r="D65" s="198" t="n">
        <x:v>0.4698</x:v>
      </x:c>
      <x:c r="E65" s="198" t="s">
        <x:v>689</x:v>
      </x:c>
      <x:c r="F65" s="198" t="s">
        <x:v>690</x:v>
      </x:c>
      <x:c r="G65" s="1"/>
      <x:c r="H65" s="1"/>
      <x:c r="I65" s="1"/>
      <x:c r="J65" s="1"/>
      <x:c r="K65" s="1"/>
      <x:c r="L65" s="1"/>
      <x:c r="M65" s="1"/>
      <x:c r="N65" s="1"/>
      <x:c r="O65" s="1"/>
    </x:row>
    <x:row r="66" ht="21.75" hidden="0" customHeight="1">
      <x:c r="A66" s="125" t="s">
        <x:v>694</x:v>
      </x:c>
      <x:c r="B66" s="198" t="s">
        <x:v>553</x:v>
      </x:c>
      <x:c r="C66" s="198" t="n">
        <x:v>2022</x:v>
      </x:c>
      <x:c r="D66" s="198" t="n">
        <x:v>0.746</x:v>
      </x:c>
      <x:c r="E66" s="198" t="s">
        <x:v>660</x:v>
      </x:c>
      <x:c r="F66" s="198" t="s">
        <x:v>695</x:v>
      </x:c>
      <x:c r="G66" s="1"/>
      <x:c r="H66" s="1"/>
      <x:c r="I66" s="1"/>
      <x:c r="J66" s="1"/>
      <x:c r="K66" s="1"/>
      <x:c r="L66" s="1"/>
      <x:c r="M66" s="1"/>
      <x:c r="N66" s="1"/>
      <x:c r="O66" s="1"/>
    </x:row>
    <x:row r="67" ht="21.75" hidden="0" customHeight="1">
      <x:c r="A67" s="125" t="s">
        <x:v>698</x:v>
      </x:c>
      <x:c r="B67" s="198" t="s">
        <x:v>553</x:v>
      </x:c>
      <x:c r="C67" s="198" t="n">
        <x:v>2024</x:v>
      </x:c>
      <x:c r="D67" s="198" t="n">
        <x:v>0.6416</x:v>
      </x:c>
      <x:c r="E67" s="198" t="s">
        <x:v>660</x:v>
      </x:c>
      <x:c r="F67" s="198" t="s">
        <x:v>699</x:v>
      </x:c>
      <x:c r="G67" s="1"/>
      <x:c r="H67" s="1"/>
      <x:c r="I67" s="1"/>
      <x:c r="J67" s="1"/>
      <x:c r="K67" s="1"/>
      <x:c r="L67" s="1"/>
      <x:c r="M67" s="1"/>
      <x:c r="N67" s="1"/>
      <x:c r="O67" s="1"/>
    </x:row>
  </x:sheetData>
  <x:mergeCells>
    <x:mergeCell ref="A1:N1"/>
    <x:mergeCell ref="A43:F43"/>
    <x:mergeCell ref="A44:F44"/>
  </x:mergeCells>
  <x:pageMargins left="0.7" right="0.7" top="0.75" bottom="0.75" header="0.3" footer="0.3"/>
</x:worksheet>
</file>

<file path=xl/worksheets/sheet32.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28" style="37" hidden="0" customWidth="1"/>
    <x:col min="2" max="2" width="22" style="37" hidden="0" customWidth="1"/>
    <x:col min="3" max="3" width="18" style="37" hidden="0" customWidth="1"/>
    <x:col min="4" max="4" width="44" style="37" hidden="0" customWidth="1"/>
    <x:col min="5" max="5" width="26" style="37" hidden="0" customWidth="1"/>
    <x:col min="6" max="6" width="20" style="37" hidden="0" customWidth="1"/>
    <x:col min="15" max="15" width="67" style="37" hidden="0" customWidth="1"/>
  </x:cols>
  <x:sheetData>
    <x:row r="1" ht="24" hidden="0" customHeight="1">
      <x:c r="A1" s="38" t="str">
        <x:v>Tropical &amp; Subtropical Dry Broadleaf Forests | Mixed Agroforestry | ERR + LTA</x:v>
      </x:c>
      <x:c r="B1" s="38"/>
      <x:c r="C1" s="38"/>
      <x:c r="D1" s="38"/>
      <x:c r="E1" s="38"/>
      <x:c r="F1" s="38"/>
      <x:c r="G1" s="38"/>
      <x:c r="H1" s="38"/>
      <x:c r="I1" s="38"/>
      <x:c r="J1" s="38"/>
      <x:c r="K1" s="38"/>
      <x:c r="L1" s="38"/>
      <x:c r="M1" s="38"/>
      <x:c r="N1" s="38"/>
      <x:c r="O1" s="116"/>
    </x:row>
    <x:row r="2" ht="15" hidden="0" customHeight="1">
      <x:c r="A2" s="45"/>
      <x:c r="B2" s="45"/>
      <x:c r="C2" s="45"/>
      <x:c r="D2" s="45"/>
      <x:c r="E2" s="45"/>
      <x:c r="F2" s="45"/>
      <x:c r="G2" s="45"/>
      <x:c r="H2" s="45"/>
      <x:c r="I2" s="45"/>
      <x:c r="J2" s="45"/>
      <x:c r="K2" s="45"/>
      <x:c r="L2" s="45"/>
      <x:c r="M2" s="45"/>
      <x:c r="N2" s="45"/>
      <x:c r="O2" s="45"/>
    </x:row>
    <x:row r="3" ht="15" hidden="0" customHeight="1">
      <x:c r="A3" s="192" t="s">
        <x:v>1236</x:v>
      </x:c>
      <x:c r="B3" s="192" t="s">
        <x:v>480</x:v>
      </x:c>
      <x:c r="C3" s="192" t="s">
        <x:v>362</x:v>
      </x:c>
      <x:c r="D3" s="192" t="s">
        <x:v>1063</x:v>
      </x:c>
      <x:c r="E3" s="1"/>
      <x:c r="F3" s="1"/>
      <x:c r="G3" s="1"/>
      <x:c r="H3" s="1"/>
      <x:c r="I3" s="1"/>
      <x:c r="J3" s="1"/>
      <x:c r="K3" s="1"/>
      <x:c r="L3" s="1"/>
      <x:c r="M3" s="1"/>
      <x:c r="N3" s="1"/>
      <x:c r="O3" s="1"/>
    </x:row>
    <x:row r="4" ht="15" hidden="0" customHeight="1">
      <x:c r="A4" s="193" t="s">
        <x:v>94</x:v>
      </x:c>
      <x:c r="B4" s="194" t="n">
        <x:f aca="0">SUM(S20_Dry_Broadleaf_ER!C19,S20_Dry_Broadleaf_ER!C20,S20_Dry_Broadleaf_ER!C21,S20_Dry_Broadleaf_ER!C22,S20_Dry_Broadleaf_ER!C23)</x:f>
        <x:v>19.071299999999997</x:v>
      </x:c>
      <x:c r="C4" s="37" t="s">
        <x:v>371</x:v>
      </x:c>
      <x:c r="D4" s="37" t="str">
        <x:v>Sum of Biome ER cohort areas</x:v>
      </x:c>
      <x:c r="E4" s="1"/>
      <x:c r="F4" s="1"/>
      <x:c r="G4" s="1"/>
      <x:c r="H4" s="1"/>
      <x:c r="I4" s="1"/>
      <x:c r="J4" s="1"/>
      <x:c r="K4" s="1"/>
      <x:c r="L4" s="1"/>
      <x:c r="M4" s="1"/>
      <x:c r="N4" s="1"/>
      <x:c r="O4" s="1"/>
    </x:row>
    <x:row r="5" ht="15" hidden="0" customHeight="1">
      <x:c r="A5" s="193" t="s">
        <x:v>1237</x:v>
      </x:c>
      <x:c r="B5" s="194" t="n">
        <x:f aca="0">SUM(H21:H40)</x:f>
        <x:v>12500.88217673496</x:v>
      </x:c>
      <x:c r="C5" s="37" t="s">
        <x:v>151</x:v>
      </x:c>
      <x:c r="D5" s="37" t="s">
        <x:v>1238</x:v>
      </x:c>
      <x:c r="E5" s="1"/>
      <x:c r="F5" s="1"/>
      <x:c r="G5" s="1"/>
      <x:c r="H5" s="1"/>
      <x:c r="I5" s="1"/>
      <x:c r="J5" s="1"/>
      <x:c r="K5" s="1"/>
      <x:c r="L5" s="1"/>
      <x:c r="M5" s="1"/>
      <x:c r="N5" s="1"/>
      <x:c r="O5" s="1"/>
    </x:row>
    <x:row r="6" ht="15" hidden="0" customHeight="1">
      <x:c r="A6" s="193" t="s">
        <x:v>1239</x:v>
      </x:c>
      <x:c r="B6" s="194" t="n">
        <x:f aca="0">SUM(M21:M40)/S08_Defaults!$B$13</x:f>
        <x:v>9219.796400824129</x:v>
      </x:c>
      <x:c r="C6" s="37" t="s">
        <x:v>151</x:v>
      </x:c>
      <x:c r="D6" s="37" t="s">
        <x:v>1240</x:v>
      </x:c>
      <x:c r="E6" s="1"/>
      <x:c r="F6" s="1"/>
      <x:c r="G6" s="1"/>
      <x:c r="H6" s="1"/>
      <x:c r="I6" s="1"/>
      <x:c r="J6" s="1"/>
      <x:c r="K6" s="1"/>
      <x:c r="L6" s="1"/>
      <x:c r="M6" s="1"/>
      <x:c r="N6" s="1"/>
      <x:c r="O6" s="1"/>
    </x:row>
    <x:row r="7" ht="15" hidden="0" customHeight="1">
      <x:c r="A7" s="193" t="s">
        <x:v>1241</x:v>
      </x:c>
      <x:c r="B7" s="194" t="n">
        <x:f aca="0">SUM(N21:N40)/S08_Defaults!$B$13</x:f>
        <x:v>9708.774168202866</x:v>
      </x:c>
      <x:c r="C7" s="37" t="s">
        <x:v>151</x:v>
      </x:c>
      <x:c r="D7" s="37" t="s">
        <x:v>1242</x:v>
      </x:c>
      <x:c r="E7" s="1"/>
      <x:c r="F7" s="1"/>
      <x:c r="G7" s="1"/>
      <x:c r="H7" s="1"/>
      <x:c r="I7" s="1"/>
      <x:c r="J7" s="1"/>
      <x:c r="K7" s="1"/>
      <x:c r="L7" s="1"/>
      <x:c r="M7" s="1"/>
      <x:c r="N7" s="1"/>
      <x:c r="O7" s="1"/>
    </x:row>
    <x:row r="8" ht="15" hidden="0" customHeight="1">
      <x:c r="A8" s="193" t="s">
        <x:v>1243</x:v>
      </x:c>
      <x:c r="B8" s="194" t="n">
        <x:f aca="0">MAX(0,MIN(B5,B6))</x:f>
        <x:v>9219.796400824129</x:v>
      </x:c>
      <x:c r="C8" s="37" t="s">
        <x:v>151</x:v>
      </x:c>
      <x:c r="D8" s="37" t="s">
        <x:v>1244</x:v>
      </x:c>
      <x:c r="E8" s="1"/>
      <x:c r="F8" s="1"/>
      <x:c r="G8" s="1"/>
      <x:c r="H8" s="1"/>
      <x:c r="I8" s="1"/>
      <x:c r="J8" s="1"/>
      <x:c r="K8" s="1"/>
      <x:c r="L8" s="1"/>
      <x:c r="M8" s="1"/>
      <x:c r="N8" s="1"/>
      <x:c r="O8" s="1"/>
    </x:row>
    <x:row r="9" ht="15" hidden="0" customHeight="1">
      <x:c r="A9" s="193" t="s">
        <x:v>1245</x:v>
      </x:c>
      <x:c r="B9" s="195" t="n">
        <x:f aca="0">S08_Defaults!$B$10</x:f>
        <x:v>0.2</x:v>
      </x:c>
      <x:c r="C9" s="37" t="s">
        <x:v>486</x:v>
      </x:c>
      <x:c r="D9" s="37" t="s">
        <x:v>1246</x:v>
      </x:c>
      <x:c r="E9" s="1"/>
      <x:c r="F9" s="1"/>
      <x:c r="G9" s="1"/>
      <x:c r="H9" s="1"/>
      <x:c r="I9" s="1"/>
      <x:c r="J9" s="1"/>
      <x:c r="K9" s="1"/>
      <x:c r="L9" s="1"/>
      <x:c r="M9" s="1"/>
      <x:c r="N9" s="1"/>
      <x:c r="O9" s="1"/>
    </x:row>
    <x:row r="10" ht="15" hidden="0" customHeight="1">
      <x:c r="A10" s="193" t="s">
        <x:v>1247</x:v>
      </x:c>
      <x:c r="B10" s="194" t="n">
        <x:f aca="0">MAX(0,MIN(B8,B7))</x:f>
        <x:v>9219.796400824129</x:v>
      </x:c>
      <x:c r="C10" s="37" t="s">
        <x:v>151</x:v>
      </x:c>
      <x:c r="D10" s="37" t="s">
        <x:v>1248</x:v>
      </x:c>
      <x:c r="E10" s="1"/>
      <x:c r="F10" s="1"/>
      <x:c r="G10" s="1"/>
      <x:c r="H10" s="1"/>
      <x:c r="I10" s="1"/>
      <x:c r="J10" s="1"/>
      <x:c r="K10" s="1"/>
      <x:c r="L10" s="1"/>
      <x:c r="M10" s="1"/>
      <x:c r="N10" s="1"/>
      <x:c r="O10" s="1"/>
    </x:row>
    <x:row r="11" ht="15" hidden="0" customHeight="1">
      <x:c r="A11" s="193" t="s">
        <x:v>102</x:v>
      </x:c>
      <x:c r="B11" s="194" t="n">
        <x:f aca="0">B9*B10</x:f>
        <x:v>1843.959280164826</x:v>
      </x:c>
      <x:c r="C11" s="37" t="s">
        <x:v>151</x:v>
      </x:c>
      <x:c r="D11" s="37" t="s">
        <x:v>1249</x:v>
      </x:c>
      <x:c r="E11" s="1"/>
      <x:c r="F11" s="1"/>
      <x:c r="G11" s="1"/>
      <x:c r="H11" s="1"/>
      <x:c r="I11" s="1"/>
      <x:c r="J11" s="1"/>
      <x:c r="K11" s="1"/>
      <x:c r="L11" s="1"/>
      <x:c r="M11" s="1"/>
      <x:c r="N11" s="1"/>
      <x:c r="O11" s="1"/>
    </x:row>
    <x:row r="12" ht="15" hidden="0" customHeight="1">
      <x:c r="A12" s="193" t="s">
        <x:v>95</x:v>
      </x:c>
      <x:c r="B12" s="194" t="n">
        <x:f aca="0">MAX(0,B8-B11)</x:f>
        <x:v>7375.837120659303</x:v>
      </x:c>
      <x:c r="C12" s="37" t="s">
        <x:v>1250</x:v>
      </x:c>
      <x:c r="D12" s="37" t="s">
        <x:v>1251</x:v>
      </x:c>
      <x:c r="E12" s="1"/>
      <x:c r="F12" s="1"/>
      <x:c r="G12" s="1"/>
      <x:c r="H12" s="1"/>
      <x:c r="I12" s="1"/>
      <x:c r="J12" s="1"/>
      <x:c r="K12" s="1"/>
      <x:c r="L12" s="1"/>
      <x:c r="M12" s="1"/>
      <x:c r="N12" s="1"/>
      <x:c r="O12" s="1"/>
    </x:row>
    <x:row r="13" ht="15" hidden="0" customHeight="1">
      <x:c r="A13" s="193" t="s">
        <x:v>1252</x:v>
      </x:c>
      <x:c r="B13" s="194" t="n">
        <x:f aca="0">IF(B4=0,0,B12/B4)</x:f>
        <x:v>386.7506211248999</x:v>
      </x:c>
      <x:c r="C13" s="37" t="s">
        <x:v>1252</x:v>
      </x:c>
      <x:c r="D13" s="37" t="s">
        <x:v>1253</x:v>
      </x:c>
      <x:c r="E13" s="1"/>
      <x:c r="F13" s="1"/>
      <x:c r="G13" s="1"/>
      <x:c r="H13" s="1"/>
      <x:c r="I13" s="1"/>
      <x:c r="J13" s="1"/>
      <x:c r="K13" s="1"/>
      <x:c r="L13" s="1"/>
      <x:c r="M13" s="1"/>
      <x:c r="N13" s="1"/>
      <x:c r="O13" s="1"/>
    </x:row>
    <x:row r="14" ht="15" hidden="0" customHeight="1">
      <x:c r="A14" s="193" t="s">
        <x:v>103</x:v>
      </x:c>
      <x:c r="B14" s="194" t="n">
        <x:f aca="0">IF(B4=0,0,B12/B4/S08_Defaults!$B$13)</x:f>
        <x:v>19.337531056244995</x:v>
      </x:c>
      <x:c r="C14" s="37" t="s">
        <x:v>96</x:v>
      </x:c>
      <x:c r="D14" s="37" t="s">
        <x:v>1254</x:v>
      </x:c>
      <x:c r="E14" s="1"/>
      <x:c r="F14" s="1"/>
      <x:c r="G14" s="1"/>
      <x:c r="H14" s="1"/>
      <x:c r="I14" s="1"/>
      <x:c r="J14" s="1"/>
      <x:c r="K14" s="1"/>
      <x:c r="L14" s="1"/>
      <x:c r="M14" s="1"/>
      <x:c r="N14" s="1"/>
      <x:c r="O14" s="1"/>
    </x:row>
    <x:row r="15" ht="15" hidden="0" customHeight="1">
      <x:c r="A15" s="37" t="str">
        <x:v>Tropical &amp; Subtropical Dry Broadleaf Forests Timber check</x:v>
      </x:c>
      <x:c r="B15" s="100" t="str">
        <x:f aca="0">IF(AND("Tropical &amp; Subtropical Dry Broadleaf Forests"="Tropical &amp; Subtropical Dry Broadleaf Forests","Mixed Agroforestry"="Timber Plantation"),B4,"")</x:f>
      </x:c>
      <x:c r="C15" s="37" t="s">
        <x:v>371</x:v>
      </x:c>
      <x:c r="D15" s="37" t="str">
        <x:v>Only populated on Tropical &amp; Subtropical Dry Broadleaf Forests Timber sheet</x:v>
      </x:c>
      <x:c r="E15" s="1"/>
      <x:c r="F15" s="1"/>
      <x:c r="G15" s="1"/>
      <x:c r="H15" s="1"/>
      <x:c r="I15" s="1"/>
      <x:c r="J15" s="1"/>
      <x:c r="K15" s="1"/>
      <x:c r="L15" s="1"/>
      <x:c r="M15" s="1"/>
      <x:c r="N15" s="1"/>
      <x:c r="O15" s="1"/>
    </x:row>
    <x:row r="16" ht="15" hidden="0" customHeight="1">
      <x:c r="A16" s="37" t="s">
        <x:v>1255</x:v>
      </x:c>
      <x:c r="B16" s="37" t="s">
        <x:v>1256</x:v>
      </x:c>
      <x:c r="C16" s="1"/>
      <x:c r="D16" s="37" t="s">
        <x:v>1257</x:v>
      </x:c>
      <x:c r="E16" s="1"/>
      <x:c r="F16" s="1"/>
      <x:c r="G16" s="1"/>
      <x:c r="H16" s="1"/>
      <x:c r="I16" s="1"/>
      <x:c r="J16" s="1"/>
      <x:c r="K16" s="1"/>
      <x:c r="L16" s="1"/>
      <x:c r="M16" s="1"/>
      <x:c r="N16" s="1"/>
      <x:c r="O16" s="1"/>
    </x:row>
    <x:row r="17" ht="15" hidden="0" customHeight="1">
      <x:c r="A17" s="1"/>
      <x:c r="B17" s="1"/>
      <x:c r="C17" s="1"/>
      <x:c r="D17" s="1"/>
      <x:c r="E17" s="1"/>
      <x:c r="F17" s="1"/>
      <x:c r="G17" s="1"/>
      <x:c r="H17" s="1"/>
      <x:c r="I17" s="1"/>
      <x:c r="J17" s="1"/>
      <x:c r="K17" s="1"/>
      <x:c r="L17" s="1"/>
      <x:c r="M17" s="1"/>
      <x:c r="N17" s="1"/>
      <x:c r="O17" s="1"/>
    </x:row>
    <x:row r="18" ht="15" hidden="0" customHeight="1">
      <x:c r="A18" s="1"/>
      <x:c r="B18" s="1"/>
      <x:c r="C18" s="1"/>
      <x:c r="D18" s="1"/>
      <x:c r="E18" s="1"/>
      <x:c r="F18" s="1"/>
      <x:c r="G18" s="1"/>
      <x:c r="H18" s="1"/>
      <x:c r="I18" s="1"/>
      <x:c r="J18" s="1"/>
      <x:c r="K18" s="1"/>
      <x:c r="L18" s="1"/>
      <x:c r="M18" s="1"/>
      <x:c r="N18" s="1"/>
      <x:c r="O18" s="1"/>
    </x:row>
    <x:row r="19" ht="31.5" hidden="0" customHeight="1">
      <x:c r="A19" s="158" t="s">
        <x:v>86</x:v>
      </x:c>
      <x:c r="B19" s="158" t="s">
        <x:v>1258</x:v>
      </x:c>
      <x:c r="C19" s="158" t="s">
        <x:v>1259</x:v>
      </x:c>
      <x:c r="D19" s="158" t="s">
        <x:v>1260</x:v>
      </x:c>
      <x:c r="E19" s="158" t="s">
        <x:v>1261</x:v>
      </x:c>
      <x:c r="F19" s="158" t="s">
        <x:v>1262</x:v>
      </x:c>
      <x:c r="G19" s="158" t="s">
        <x:v>1263</x:v>
      </x:c>
      <x:c r="H19" s="158" t="s">
        <x:v>1264</x:v>
      </x:c>
      <x:c r="I19" s="158" t="s">
        <x:v>1265</x:v>
      </x:c>
      <x:c r="J19" s="158" t="s">
        <x:v>1266</x:v>
      </x:c>
      <x:c r="K19" s="158" t="s">
        <x:v>1267</x:v>
      </x:c>
      <x:c r="L19" s="158" t="s">
        <x:v>1268</x:v>
      </x:c>
      <x:c r="M19" s="158" t="s">
        <x:v>1269</x:v>
      </x:c>
      <x:c r="N19" s="158" t="s">
        <x:v>1270</x:v>
      </x:c>
      <x:c r="O19" s="158" t="s">
        <x:v>148</x:v>
      </x:c>
    </x:row>
    <x:row r="20" ht="15" hidden="0" customHeight="1">
      <x:c r="A20" s="37" t="n">
        <x:v>2020</x:v>
      </x:c>
      <x:c r="B20" s="100" t="n">
        <x:f aca="0">SUM(S20_Dry_Broadleaf_ER!F19,S20_Dry_Broadleaf_ER!F20,S20_Dry_Broadleaf_ER!F21,S20_Dry_Broadleaf_ER!F22,S20_Dry_Broadleaf_ER!F23)</x:f>
        <x:v>0</x:v>
      </x:c>
      <x:c r="C20" s="100" t="n">
        <x:f aca="0">SUM(S20_Dry_Broadleaf_ER!AA19,S20_Dry_Broadleaf_ER!AA20,S20_Dry_Broadleaf_ER!AA21,S20_Dry_Broadleaf_ER!AA22,S20_Dry_Broadleaf_ER!AA23)</x:f>
        <x:v>0</x:v>
      </x:c>
      <x:c r="D20" s="100" t="n">
        <x:f aca="0">IF($B$4=0,0,S33_Project_Deductions!D4*$B$4/S08_Defaults!$B$14)</x:f>
        <x:v>6.22449568247222</x:v>
      </x:c>
      <x:c r="E20" s="100" t="n">
        <x:f aca="0">IF($B$4=0,0,S33_Project_Deductions!E4*$B$4/S08_Defaults!$B$14)</x:f>
        <x:v>28.4822270547058</x:v>
      </x:c>
      <x:c r="F20" s="100" t="n">
        <x:f aca="0">S08_Defaults!$B$9</x:f>
        <x:v>0.2</x:v>
      </x:c>
      <x:c r="G20" s="100" t="n">
        <x:f aca="0">C20*(1-F20)-D20-E20</x:f>
        <x:v>-34.70672273717802</x:v>
      </x:c>
      <x:c r="H20" s="100" t="n">
        <x:f aca="0">G20</x:f>
        <x:v>-34.70672273717802</x:v>
      </x:c>
      <x:c r="I20" s="100" t="n">
        <x:f aca="0">H20/1</x:f>
        <x:v>-34.70672273717802</x:v>
      </x:c>
      <x:c r="J20" s="100" t="n">
        <x:f aca="0">B20-D20-E20</x:f>
        <x:v>-34.70672273717802</x:v>
      </x:c>
      <x:c r="K20" s="100" t="n">
        <x:f aca="0">B20</x:f>
        <x:v>0</x:v>
      </x:c>
      <x:c r="L20" s="100" t="n">
        <x:f aca="0">0</x:f>
        <x:v>0</x:v>
      </x:c>
      <x:c r="M20" s="100" t="n">
        <x:f aca="0">IF(AND(A20&gt;=S08_Defaults!$B$11,A20&lt;=S08_Defaults!$B$12),J20,0)</x:f>
        <x:v>0</x:v>
      </x:c>
      <x:c r="N20" s="100" t="n">
        <x:f aca="0">IF(AND(A20&gt;=S08_Defaults!$B$11,A20&lt;=S08_Defaults!$B$12),K20-L20,0)</x:f>
        <x:v>0</x:v>
      </x:c>
      <x:c r="O20" s="37" t="s">
        <x:v>1271</x:v>
      </x:c>
    </x:row>
    <x:row r="21" ht="15" hidden="0" customHeight="1">
      <x:c r="A21" s="37" t="n">
        <x:v>2021</x:v>
      </x:c>
      <x:c r="B21" s="100" t="n">
        <x:f aca="0">SUM(S20_Dry_Broadleaf_ER!G19,S20_Dry_Broadleaf_ER!G20,S20_Dry_Broadleaf_ER!G21,S20_Dry_Broadleaf_ER!G22,S20_Dry_Broadleaf_ER!G23)</x:f>
        <x:v>11.191708650527135</x:v>
      </x:c>
      <x:c r="C21" s="100" t="n">
        <x:f aca="0">SUM(S20_Dry_Broadleaf_ER!AB19,S20_Dry_Broadleaf_ER!AB20,S20_Dry_Broadleaf_ER!AB21,S20_Dry_Broadleaf_ER!AB22,S20_Dry_Broadleaf_ER!AB23)</x:f>
        <x:v>9.04723173333743</x:v>
      </x:c>
      <x:c r="D21" s="100" t="n">
        <x:f aca="0">IF($B$4=0,0,S33_Project_Deductions!D5*$B$4/S08_Defaults!$B$14)</x:f>
        <x:v>20.268259956414152</x:v>
      </x:c>
      <x:c r="E21" s="100" t="n">
        <x:f aca="0">IF($B$4=0,0,S33_Project_Deductions!E5*$B$4/S08_Defaults!$B$14)</x:f>
        <x:v>56.19779463992244</x:v>
      </x:c>
      <x:c r="F21" s="100" t="n">
        <x:f aca="0">S08_Defaults!$B$9</x:f>
        <x:v>0.2</x:v>
      </x:c>
      <x:c r="G21" s="100" t="n">
        <x:f aca="0">C21*(1-F21)-D21-E21</x:f>
        <x:v>-69.22826920966665</x:v>
      </x:c>
      <x:c r="H21" s="100" t="n">
        <x:f aca="0">G21-G20</x:f>
        <x:v>-34.52154647248863</x:v>
      </x:c>
      <x:c r="I21" s="100" t="n">
        <x:f aca="0">H21/1</x:f>
        <x:v>-34.52154647248863</x:v>
      </x:c>
      <x:c r="J21" s="100" t="n">
        <x:f aca="0">B21-D21-E21</x:f>
        <x:v>-65.27434594580946</x:v>
      </x:c>
      <x:c r="K21" s="100" t="n">
        <x:f aca="0">B21</x:f>
        <x:v>11.191708650527135</x:v>
      </x:c>
      <x:c r="L21" s="100" t="n">
        <x:f aca="0">0</x:f>
        <x:v>0</x:v>
      </x:c>
      <x:c r="M21" s="100" t="n">
        <x:f aca="0">IF(AND(A21&gt;=S08_Defaults!$B$11,A21&lt;=S08_Defaults!$B$12),J21,0)</x:f>
        <x:v>-65.27434594580946</x:v>
      </x:c>
      <x:c r="N21" s="100" t="n">
        <x:f aca="0">IF(AND(A21&gt;=S08_Defaults!$B$11,A21&lt;=S08_Defaults!$B$12),K21-L21,0)</x:f>
        <x:v>11.191708650527135</x:v>
      </x:c>
      <x:c r="O21" s="37" t="s">
        <x:v>1271</x:v>
      </x:c>
    </x:row>
    <x:row r="22" ht="15" hidden="0" customHeight="1">
      <x:c r="A22" s="37" t="n">
        <x:v>2022</x:v>
      </x:c>
      <x:c r="B22" s="100" t="n">
        <x:f aca="0">SUM(S20_Dry_Broadleaf_ER!H19,S20_Dry_Broadleaf_ER!H20,S20_Dry_Broadleaf_ER!H21,S20_Dry_Broadleaf_ER!H22,S20_Dry_Broadleaf_ER!H23)</x:f>
        <x:v>119.49236576750505</x:v>
      </x:c>
      <x:c r="C22" s="100" t="n">
        <x:f aca="0">SUM(S20_Dry_Broadleaf_ER!AC19,S20_Dry_Broadleaf_ER!AC20,S20_Dry_Broadleaf_ER!AC21,S20_Dry_Broadleaf_ER!AC22,S20_Dry_Broadleaf_ER!AC23)</x:f>
        <x:v>96.59607457815798</x:v>
      </x:c>
      <x:c r="D22" s="100" t="n">
        <x:f aca="0">IF($B$4=0,0,S33_Project_Deductions!D6*$B$4/S08_Defaults!$B$14)</x:f>
        <x:v>43.455190843936606</x:v>
      </x:c>
      <x:c r="E22" s="100" t="n">
        <x:f aca="0">IF($B$4=0,0,S33_Project_Deductions!E6*$B$4/S08_Defaults!$B$14)</x:f>
        <x:v>84.50788720678656</x:v>
      </x:c>
      <x:c r="F22" s="100" t="n">
        <x:f aca="0">S08_Defaults!$B$9</x:f>
        <x:v>0.2</x:v>
      </x:c>
      <x:c r="G22" s="100" t="n">
        <x:f aca="0">C22*(1-F22)-D22-E22</x:f>
        <x:v>-50.68621838819678</x:v>
      </x:c>
      <x:c r="H22" s="100" t="n">
        <x:f aca="0">G22-G21</x:f>
        <x:v>18.54205082146987</x:v>
      </x:c>
      <x:c r="I22" s="100" t="n">
        <x:f aca="0">H22/1</x:f>
        <x:v>18.54205082146987</x:v>
      </x:c>
      <x:c r="J22" s="100" t="n">
        <x:f aca="0">B22-D22-E22</x:f>
        <x:v>-8.47071228321812</x:v>
      </x:c>
      <x:c r="K22" s="100" t="n">
        <x:f aca="0">B22</x:f>
        <x:v>119.49236576750505</x:v>
      </x:c>
      <x:c r="L22" s="100" t="n">
        <x:f aca="0">0</x:f>
        <x:v>0</x:v>
      </x:c>
      <x:c r="M22" s="100" t="n">
        <x:f aca="0">IF(AND(A22&gt;=S08_Defaults!$B$11,A22&lt;=S08_Defaults!$B$12),J22,0)</x:f>
        <x:v>-8.47071228321812</x:v>
      </x:c>
      <x:c r="N22" s="100" t="n">
        <x:f aca="0">IF(AND(A22&gt;=S08_Defaults!$B$11,A22&lt;=S08_Defaults!$B$12),K22-L22,0)</x:f>
        <x:v>119.49236576750505</x:v>
      </x:c>
      <x:c r="O22" s="37" t="s">
        <x:v>1271</x:v>
      </x:c>
    </x:row>
    <x:row r="23" ht="15" hidden="0" customHeight="1">
      <x:c r="A23" s="37" t="n">
        <x:v>2023</x:v>
      </x:c>
      <x:c r="B23" s="100" t="n">
        <x:f aca="0">SUM(S20_Dry_Broadleaf_ER!I19,S20_Dry_Broadleaf_ER!I20,S20_Dry_Broadleaf_ER!I21,S20_Dry_Broadleaf_ER!I22,S20_Dry_Broadleaf_ER!I23)</x:f>
        <x:v>435.43747995696043</x:v>
      </x:c>
      <x:c r="C23" s="100" t="n">
        <x:f aca="0">SUM(S20_Dry_Broadleaf_ER!AD19,S20_Dry_Broadleaf_ER!AD20,S20_Dry_Broadleaf_ER!AD21,S20_Dry_Broadleaf_ER!AD22,S20_Dry_Broadleaf_ER!AD23)</x:f>
        <x:v>352.0019962604675</x:v>
      </x:c>
      <x:c r="D23" s="100" t="n">
        <x:f aca="0">IF($B$4=0,0,S33_Project_Deductions!D7*$B$4/S08_Defaults!$B$14)</x:f>
        <x:v>76.0102911600607</x:v>
      </x:c>
      <x:c r="E23" s="100" t="n">
        <x:f aca="0">IF($B$4=0,0,S33_Project_Deductions!E7*$B$4/S08_Defaults!$B$14)</x:f>
        <x:v>112.9388846637482</x:v>
      </x:c>
      <x:c r="F23" s="100" t="n">
        <x:f aca="0">S08_Defaults!$B$9</x:f>
        <x:v>0.2</x:v>
      </x:c>
      <x:c r="G23" s="100" t="n">
        <x:f aca="0">C23*(1-F23)-D23-E23</x:f>
        <x:v>92.65242118456506</x:v>
      </x:c>
      <x:c r="H23" s="100" t="n">
        <x:f aca="0">G23-G22</x:f>
        <x:v>143.33863957276185</x:v>
      </x:c>
      <x:c r="I23" s="100" t="n">
        <x:f aca="0">H23/1</x:f>
        <x:v>143.33863957276185</x:v>
      </x:c>
      <x:c r="J23" s="100" t="n">
        <x:f aca="0">B23-D23-E23</x:f>
        <x:v>246.48830413315153</x:v>
      </x:c>
      <x:c r="K23" s="100" t="n">
        <x:f aca="0">B23</x:f>
        <x:v>435.43747995696043</x:v>
      </x:c>
      <x:c r="L23" s="100" t="n">
        <x:f aca="0">0</x:f>
        <x:v>0</x:v>
      </x:c>
      <x:c r="M23" s="100" t="n">
        <x:f aca="0">IF(AND(A23&gt;=S08_Defaults!$B$11,A23&lt;=S08_Defaults!$B$12),J23,0)</x:f>
        <x:v>246.48830413315153</x:v>
      </x:c>
      <x:c r="N23" s="100" t="n">
        <x:f aca="0">IF(AND(A23&gt;=S08_Defaults!$B$11,A23&lt;=S08_Defaults!$B$12),K23-L23,0)</x:f>
        <x:v>435.43747995696043</x:v>
      </x:c>
      <x:c r="O23" s="37" t="s">
        <x:v>1271</x:v>
      </x:c>
    </x:row>
    <x:row r="24" ht="15" hidden="0" customHeight="1">
      <x:c r="A24" s="37" t="n">
        <x:v>2024</x:v>
      </x:c>
      <x:c r="B24" s="100" t="n">
        <x:f aca="0">SUM(S20_Dry_Broadleaf_ER!J19,S20_Dry_Broadleaf_ER!J20,S20_Dry_Broadleaf_ER!J21,S20_Dry_Broadleaf_ER!J22,S20_Dry_Broadleaf_ER!J23)</x:f>
        <x:v>1026.3127950722649</x:v>
      </x:c>
      <x:c r="C24" s="100" t="n">
        <x:f aca="0">SUM(S20_Dry_Broadleaf_ER!AE19,S20_Dry_Broadleaf_ER!AE20,S20_Dry_Broadleaf_ER!AE21,S20_Dry_Broadleaf_ER!AE22,S20_Dry_Broadleaf_ER!AE23)</x:f>
        <x:v>829.6579171108683</x:v>
      </x:c>
      <x:c r="D24" s="100" t="n">
        <x:f aca="0">IF($B$4=0,0,S33_Project_Deductions!D8*$B$4/S08_Defaults!$B$14)</x:f>
        <x:v>111.72485158568563</x:v>
      </x:c>
      <x:c r="E24" s="100" t="n">
        <x:f aca="0">IF($B$4=0,0,S33_Project_Deductions!E8*$B$4/S08_Defaults!$B$14)</x:f>
        <x:v>140.37203620192284</x:v>
      </x:c>
      <x:c r="F24" s="100" t="n">
        <x:f aca="0">S08_Defaults!$B$9</x:f>
        <x:v>0.2</x:v>
      </x:c>
      <x:c r="G24" s="100" t="n">
        <x:f aca="0">C24*(1-F24)-D24-E24</x:f>
        <x:v>411.6294459010862</x:v>
      </x:c>
      <x:c r="H24" s="100" t="n">
        <x:f aca="0">G24-G23</x:f>
        <x:v>318.97702471652116</x:v>
      </x:c>
      <x:c r="I24" s="100" t="n">
        <x:f aca="0">H24/1</x:f>
        <x:v>318.97702471652116</x:v>
      </x:c>
      <x:c r="J24" s="100" t="n">
        <x:f aca="0">B24-D24-E24</x:f>
        <x:v>774.2159072846564</x:v>
      </x:c>
      <x:c r="K24" s="100" t="n">
        <x:f aca="0">B24</x:f>
        <x:v>1026.3127950722649</x:v>
      </x:c>
      <x:c r="L24" s="100" t="n">
        <x:f aca="0">0</x:f>
        <x:v>0</x:v>
      </x:c>
      <x:c r="M24" s="100" t="n">
        <x:f aca="0">IF(AND(A24&gt;=S08_Defaults!$B$11,A24&lt;=S08_Defaults!$B$12),J24,0)</x:f>
        <x:v>774.2159072846564</x:v>
      </x:c>
      <x:c r="N24" s="100" t="n">
        <x:f aca="0">IF(AND(A24&gt;=S08_Defaults!$B$11,A24&lt;=S08_Defaults!$B$12),K24-L24,0)</x:f>
        <x:v>1026.3127950722649</x:v>
      </x:c>
      <x:c r="O24" s="37" t="s">
        <x:v>1271</x:v>
      </x:c>
    </x:row>
    <x:row r="25" ht="15" hidden="0" customHeight="1">
      <x:c r="A25" s="37" t="n">
        <x:v>2025</x:v>
      </x:c>
      <x:c r="B25" s="100" t="n">
        <x:f aca="0">SUM(S20_Dry_Broadleaf_ER!K19,S20_Dry_Broadleaf_ER!K20,S20_Dry_Broadleaf_ER!K21,S20_Dry_Broadleaf_ER!K22,S20_Dry_Broadleaf_ER!K23)</x:f>
        <x:v>1900.333095988409</x:v>
      </x:c>
      <x:c r="C25" s="100" t="n">
        <x:f aca="0">SUM(S20_Dry_Broadleaf_ER!AF19,S20_Dry_Broadleaf_ER!AF20,S20_Dry_Broadleaf_ER!AF21,S20_Dry_Broadleaf_ER!AF22,S20_Dry_Broadleaf_ER!AF23)</x:f>
        <x:v>1536.2045623952076</x:v>
      </x:c>
      <x:c r="D25" s="100" t="n">
        <x:f aca="0">IF($B$4=0,0,S33_Project_Deductions!D9*$B$4/S08_Defaults!$B$14)</x:f>
        <x:v>149.0040992118139</x:v>
      </x:c>
      <x:c r="E25" s="100" t="n">
        <x:f aca="0">IF($B$4=0,0,S33_Project_Deductions!E9*$B$4/S08_Defaults!$B$14)</x:f>
        <x:v>140.37203620192284</x:v>
      </x:c>
      <x:c r="F25" s="100" t="n">
        <x:f aca="0">S08_Defaults!$B$9</x:f>
        <x:v>0.2</x:v>
      </x:c>
      <x:c r="G25" s="100" t="n">
        <x:f aca="0">C25*(1-F25)-D25-E25</x:f>
        <x:v>939.5875145024295</x:v>
      </x:c>
      <x:c r="H25" s="100" t="n">
        <x:f aca="0">G25-G24</x:f>
        <x:v>527.9580686013433</x:v>
      </x:c>
      <x:c r="I25" s="100" t="n">
        <x:f aca="0">H25/1</x:f>
        <x:v>527.9580686013433</x:v>
      </x:c>
      <x:c r="J25" s="100" t="n">
        <x:f aca="0">B25-D25-E25</x:f>
        <x:v>1610.9569605746724</x:v>
      </x:c>
      <x:c r="K25" s="100" t="n">
        <x:f aca="0">B25</x:f>
        <x:v>1900.333095988409</x:v>
      </x:c>
      <x:c r="L25" s="100" t="n">
        <x:f aca="0">0</x:f>
        <x:v>0</x:v>
      </x:c>
      <x:c r="M25" s="100" t="n">
        <x:f aca="0">IF(AND(A25&gt;=S08_Defaults!$B$11,A25&lt;=S08_Defaults!$B$12),J25,0)</x:f>
        <x:v>1610.9569605746724</x:v>
      </x:c>
      <x:c r="N25" s="100" t="n">
        <x:f aca="0">IF(AND(A25&gt;=S08_Defaults!$B$11,A25&lt;=S08_Defaults!$B$12),K25-L25,0)</x:f>
        <x:v>1900.333095988409</x:v>
      </x:c>
      <x:c r="O25" s="37" t="s">
        <x:v>1271</x:v>
      </x:c>
    </x:row>
    <x:row r="26" ht="15" hidden="0" customHeight="1">
      <x:c r="A26" s="37" t="n">
        <x:v>2026</x:v>
      </x:c>
      <x:c r="B26" s="100" t="n">
        <x:f aca="0">SUM(S20_Dry_Broadleaf_ER!L19,S20_Dry_Broadleaf_ER!L20,S20_Dry_Broadleaf_ER!L21,S20_Dry_Broadleaf_ER!L22,S20_Dry_Broadleaf_ER!L23)</x:f>
        <x:v>3027.4484339759915</x:v>
      </x:c>
      <x:c r="C26" s="100" t="n">
        <x:f aca="0">SUM(S20_Dry_Broadleaf_ER!AG19,S20_Dry_Broadleaf_ER!AG20,S20_Dry_Broadleaf_ER!AG21,S20_Dry_Broadleaf_ER!AG22,S20_Dry_Broadleaf_ER!AG23)</x:f>
        <x:v>2447.349944337607</x:v>
      </x:c>
      <x:c r="D26" s="100" t="n">
        <x:f aca="0">IF($B$4=0,0,S33_Project_Deductions!D10*$B$4/S08_Defaults!$B$14)</x:f>
        <x:v>186.5241360163347</x:v>
      </x:c>
      <x:c r="E26" s="100" t="n">
        <x:f aca="0">IF($B$4=0,0,S33_Project_Deductions!E10*$B$4/S08_Defaults!$B$14)</x:f>
        <x:v>140.37203620192284</x:v>
      </x:c>
      <x:c r="F26" s="100" t="n">
        <x:f aca="0">S08_Defaults!$B$9</x:f>
        <x:v>0.2</x:v>
      </x:c>
      <x:c r="G26" s="100" t="n">
        <x:f aca="0">C26*(1-F26)-D26-E26</x:f>
        <x:v>1630.9837832518283</x:v>
      </x:c>
      <x:c r="H26" s="100" t="n">
        <x:f aca="0">G26-G25</x:f>
        <x:v>691.3962687493988</x:v>
      </x:c>
      <x:c r="I26" s="100" t="n">
        <x:f aca="0">H26/1</x:f>
        <x:v>691.3962687493988</x:v>
      </x:c>
      <x:c r="J26" s="100" t="n">
        <x:f aca="0">B26-D26-E26</x:f>
        <x:v>2700.552261757734</x:v>
      </x:c>
      <x:c r="K26" s="100" t="n">
        <x:f aca="0">B26</x:f>
        <x:v>3027.4484339759915</x:v>
      </x:c>
      <x:c r="L26" s="100" t="n">
        <x:f aca="0">0</x:f>
        <x:v>0</x:v>
      </x:c>
      <x:c r="M26" s="100" t="n">
        <x:f aca="0">IF(AND(A26&gt;=S08_Defaults!$B$11,A26&lt;=S08_Defaults!$B$12),J26,0)</x:f>
        <x:v>2700.552261757734</x:v>
      </x:c>
      <x:c r="N26" s="100" t="n">
        <x:f aca="0">IF(AND(A26&gt;=S08_Defaults!$B$11,A26&lt;=S08_Defaults!$B$12),K26-L26,0)</x:f>
        <x:v>3027.4484339759915</x:v>
      </x:c>
      <x:c r="O26" s="37" t="s">
        <x:v>1271</x:v>
      </x:c>
    </x:row>
    <x:row r="27" ht="15" hidden="0" customHeight="1">
      <x:c r="A27" s="37" t="n">
        <x:v>2027</x:v>
      </x:c>
      <x:c r="B27" s="100" t="n">
        <x:f aca="0">SUM(S20_Dry_Broadleaf_ER!M19,S20_Dry_Broadleaf_ER!M20,S20_Dry_Broadleaf_ER!M21,S20_Dry_Broadleaf_ER!M22,S20_Dry_Broadleaf_ER!M23)</x:f>
        <x:v>4354.939469566083</x:v>
      </x:c>
      <x:c r="C27" s="100" t="n">
        <x:f aca="0">SUM(S20_Dry_Broadleaf_ER!AH19,S20_Dry_Broadleaf_ER!AH20,S20_Dry_Broadleaf_ER!AH21,S20_Dry_Broadleaf_ER!AH22,S20_Dry_Broadleaf_ER!AH23)</x:f>
        <x:v>3520.4764344867203</x:v>
      </x:c>
      <x:c r="D27" s="100" t="n">
        <x:f aca="0">IF($B$4=0,0,S33_Project_Deductions!D11*$B$4/S08_Defaults!$B$14)</x:f>
        <x:v>224.05995918422693</x:v>
      </x:c>
      <x:c r="E27" s="100" t="n">
        <x:f aca="0">IF($B$4=0,0,S33_Project_Deductions!E11*$B$4/S08_Defaults!$B$14)</x:f>
        <x:v>140.37203620192284</x:v>
      </x:c>
      <x:c r="F27" s="100" t="n">
        <x:f aca="0">S08_Defaults!$B$9</x:f>
        <x:v>0.2</x:v>
      </x:c>
      <x:c r="G27" s="100" t="n">
        <x:f aca="0">C27*(1-F27)-D27-E27</x:f>
        <x:v>2451.9491522032263</x:v>
      </x:c>
      <x:c r="H27" s="100" t="n">
        <x:f aca="0">G27-G26</x:f>
        <x:v>820.965368951398</x:v>
      </x:c>
      <x:c r="I27" s="100" t="n">
        <x:f aca="0">H27/1</x:f>
        <x:v>820.965368951398</x:v>
      </x:c>
      <x:c r="J27" s="100" t="n">
        <x:f aca="0">B27-D27-E27</x:f>
        <x:v>3990.5074741799335</x:v>
      </x:c>
      <x:c r="K27" s="100" t="n">
        <x:f aca="0">B27</x:f>
        <x:v>4354.939469566083</x:v>
      </x:c>
      <x:c r="L27" s="100" t="n">
        <x:f aca="0">0</x:f>
        <x:v>0</x:v>
      </x:c>
      <x:c r="M27" s="100" t="n">
        <x:f aca="0">IF(AND(A27&gt;=S08_Defaults!$B$11,A27&lt;=S08_Defaults!$B$12),J27,0)</x:f>
        <x:v>3990.5074741799335</x:v>
      </x:c>
      <x:c r="N27" s="100" t="n">
        <x:f aca="0">IF(AND(A27&gt;=S08_Defaults!$B$11,A27&lt;=S08_Defaults!$B$12),K27-L27,0)</x:f>
        <x:v>4354.939469566083</x:v>
      </x:c>
      <x:c r="O27" s="37" t="s">
        <x:v>1271</x:v>
      </x:c>
    </x:row>
    <x:row r="28" ht="15" hidden="0" customHeight="1">
      <x:c r="A28" s="37" t="n">
        <x:v>2028</x:v>
      </x:c>
      <x:c r="B28" s="100" t="n">
        <x:f aca="0">SUM(S20_Dry_Broadleaf_ER!N19,S20_Dry_Broadleaf_ER!N20,S20_Dry_Broadleaf_ER!N21,S20_Dry_Broadleaf_ER!N22,S20_Dry_Broadleaf_ER!N23)</x:f>
        <x:v>5820.897917427492</x:v>
      </x:c>
      <x:c r="C28" s="100" t="n">
        <x:f aca="0">SUM(S20_Dry_Broadleaf_ER!AI19,S20_Dry_Broadleaf_ER!AI20,S20_Dry_Broadleaf_ER!AI21,S20_Dry_Broadleaf_ER!AI22,S20_Dry_Broadleaf_ER!AI23)</x:f>
        <x:v>4705.538180051471</x:v>
      </x:c>
      <x:c r="D28" s="100" t="n">
        <x:f aca="0">IF($B$4=0,0,S33_Project_Deductions!D12*$B$4/S08_Defaults!$B$14)</x:f>
        <x:v>261.5957823521191</x:v>
      </x:c>
      <x:c r="E28" s="100" t="n">
        <x:f aca="0">IF($B$4=0,0,S33_Project_Deductions!E12*$B$4/S08_Defaults!$B$14)</x:f>
        <x:v>140.37203620192284</x:v>
      </x:c>
      <x:c r="F28" s="100" t="n">
        <x:f aca="0">S08_Defaults!$B$9</x:f>
        <x:v>0.2</x:v>
      </x:c>
      <x:c r="G28" s="100" t="n">
        <x:f aca="0">C28*(1-F28)-D28-E28</x:f>
        <x:v>3362.462725487135</x:v>
      </x:c>
      <x:c r="H28" s="100" t="n">
        <x:f aca="0">G28-G27</x:f>
        <x:v>910.5135732839085</x:v>
      </x:c>
      <x:c r="I28" s="100" t="n">
        <x:f aca="0">H28/1</x:f>
        <x:v>910.5135732839085</x:v>
      </x:c>
      <x:c r="J28" s="100" t="n">
        <x:f aca="0">B28-D28-E28</x:f>
        <x:v>5418.930098873449</x:v>
      </x:c>
      <x:c r="K28" s="100" t="n">
        <x:f aca="0">B28</x:f>
        <x:v>5820.897917427492</x:v>
      </x:c>
      <x:c r="L28" s="100" t="n">
        <x:f aca="0">0</x:f>
        <x:v>0</x:v>
      </x:c>
      <x:c r="M28" s="100" t="n">
        <x:f aca="0">IF(AND(A28&gt;=S08_Defaults!$B$11,A28&lt;=S08_Defaults!$B$12),J28,0)</x:f>
        <x:v>5418.930098873449</x:v>
      </x:c>
      <x:c r="N28" s="100" t="n">
        <x:f aca="0">IF(AND(A28&gt;=S08_Defaults!$B$11,A28&lt;=S08_Defaults!$B$12),K28-L28,0)</x:f>
        <x:v>5820.897917427492</x:v>
      </x:c>
      <x:c r="O28" s="37" t="s">
        <x:v>1271</x:v>
      </x:c>
    </x:row>
    <x:row r="29" ht="15" hidden="0" customHeight="1">
      <x:c r="A29" s="37" t="n">
        <x:v>2029</x:v>
      </x:c>
      <x:c r="B29" s="100" t="n">
        <x:f aca="0">SUM(S20_Dry_Broadleaf_ER!O19,S20_Dry_Broadleaf_ER!O20,S20_Dry_Broadleaf_ER!O21,S20_Dry_Broadleaf_ER!O22,S20_Dry_Broadleaf_ER!O23)</x:f>
        <x:v>7364.588212624807</x:v>
      </x:c>
      <x:c r="C29" s="100" t="n">
        <x:f aca="0">SUM(S20_Dry_Broadleaf_ER!AJ19,S20_Dry_Broadleaf_ER!AJ20,S20_Dry_Broadleaf_ER!AJ21,S20_Dry_Broadleaf_ER!AJ22,S20_Dry_Broadleaf_ER!AJ23)</x:f>
        <x:v>5953.4373401583925</x:v>
      </x:c>
      <x:c r="D29" s="100" t="n">
        <x:f aca="0">IF($B$4=0,0,S33_Project_Deductions!D13*$B$4/S08_Defaults!$B$14)</x:f>
        <x:v>299.1316055200113</x:v>
      </x:c>
      <x:c r="E29" s="100" t="n">
        <x:f aca="0">IF($B$4=0,0,S33_Project_Deductions!E13*$B$4/S08_Defaults!$B$14)</x:f>
        <x:v>140.37203620192284</x:v>
      </x:c>
      <x:c r="F29" s="100" t="n">
        <x:f aca="0">S08_Defaults!$B$9</x:f>
        <x:v>0.2</x:v>
      </x:c>
      <x:c r="G29" s="100" t="n">
        <x:f aca="0">C29*(1-F29)-D29-E29</x:f>
        <x:v>4323.246230404779</x:v>
      </x:c>
      <x:c r="H29" s="100" t="n">
        <x:f aca="0">G29-G28</x:f>
        <x:v>960.7835049176447</x:v>
      </x:c>
      <x:c r="I29" s="100" t="n">
        <x:f aca="0">H29/1</x:f>
        <x:v>960.7835049176447</x:v>
      </x:c>
      <x:c r="J29" s="100" t="n">
        <x:f aca="0">B29-D29-E29</x:f>
        <x:v>6925.084570902873</x:v>
      </x:c>
      <x:c r="K29" s="100" t="n">
        <x:f aca="0">B29</x:f>
        <x:v>7364.588212624807</x:v>
      </x:c>
      <x:c r="L29" s="100" t="n">
        <x:f aca="0">0</x:f>
        <x:v>0</x:v>
      </x:c>
      <x:c r="M29" s="100" t="n">
        <x:f aca="0">IF(AND(A29&gt;=S08_Defaults!$B$11,A29&lt;=S08_Defaults!$B$12),J29,0)</x:f>
        <x:v>6925.084570902873</x:v>
      </x:c>
      <x:c r="N29" s="100" t="n">
        <x:f aca="0">IF(AND(A29&gt;=S08_Defaults!$B$11,A29&lt;=S08_Defaults!$B$12),K29-L29,0)</x:f>
        <x:v>7364.588212624807</x:v>
      </x:c>
      <x:c r="O29" s="37" t="s">
        <x:v>1271</x:v>
      </x:c>
    </x:row>
    <x:row r="30" ht="15" hidden="0" customHeight="1">
      <x:c r="A30" s="37" t="n">
        <x:v>2030</x:v>
      </x:c>
      <x:c r="B30" s="100" t="n">
        <x:f aca="0">SUM(S20_Dry_Broadleaf_ER!P19,S20_Dry_Broadleaf_ER!P20,S20_Dry_Broadleaf_ER!P21,S20_Dry_Broadleaf_ER!P22,S20_Dry_Broadleaf_ER!P23)</x:f>
        <x:v>8932.472098878869</x:v>
      </x:c>
      <x:c r="C30" s="100" t="n">
        <x:f aca="0">SUM(S20_Dry_Broadleaf_ER!AK19,S20_Dry_Broadleaf_ER!AK20,S20_Dry_Broadleaf_ER!AK21,S20_Dry_Broadleaf_ER!AK22,S20_Dry_Broadleaf_ER!AK23)</x:f>
        <x:v>7220.894284656143</x:v>
      </x:c>
      <x:c r="D30" s="100" t="n">
        <x:f aca="0">IF($B$4=0,0,S33_Project_Deductions!D14*$B$4/S08_Defaults!$B$14)</x:f>
        <x:v>336.6674286879035</x:v>
      </x:c>
      <x:c r="E30" s="100" t="n">
        <x:f aca="0">IF($B$4=0,0,S33_Project_Deductions!E14*$B$4/S08_Defaults!$B$14)</x:f>
        <x:v>140.37203620192284</x:v>
      </x:c>
      <x:c r="F30" s="100" t="n">
        <x:f aca="0">S08_Defaults!$B$9</x:f>
        <x:v>0.2</x:v>
      </x:c>
      <x:c r="G30" s="100" t="n">
        <x:f aca="0">C30*(1-F30)-D30-E30</x:f>
        <x:v>5299.675962835088</x:v>
      </x:c>
      <x:c r="H30" s="100" t="n">
        <x:f aca="0">G30-G29</x:f>
        <x:v>976.4297324303088</x:v>
      </x:c>
      <x:c r="I30" s="100" t="n">
        <x:f aca="0">H30/1</x:f>
        <x:v>976.4297324303088</x:v>
      </x:c>
      <x:c r="J30" s="100" t="n">
        <x:f aca="0">B30-D30-E30</x:f>
        <x:v>8455.432633989041</x:v>
      </x:c>
      <x:c r="K30" s="100" t="n">
        <x:f aca="0">B30</x:f>
        <x:v>8932.472098878869</x:v>
      </x:c>
      <x:c r="L30" s="100" t="n">
        <x:f aca="0">0</x:f>
        <x:v>0</x:v>
      </x:c>
      <x:c r="M30" s="100" t="n">
        <x:f aca="0">IF(AND(A30&gt;=S08_Defaults!$B$11,A30&lt;=S08_Defaults!$B$12),J30,0)</x:f>
        <x:v>8455.432633989041</x:v>
      </x:c>
      <x:c r="N30" s="100" t="n">
        <x:f aca="0">IF(AND(A30&gt;=S08_Defaults!$B$11,A30&lt;=S08_Defaults!$B$12),K30-L30,0)</x:f>
        <x:v>8932.472098878869</x:v>
      </x:c>
      <x:c r="O30" s="37" t="s">
        <x:v>1271</x:v>
      </x:c>
    </x:row>
    <x:row r="31" ht="15" hidden="0" customHeight="1">
      <x:c r="A31" s="37" t="n">
        <x:v>2031</x:v>
      </x:c>
      <x:c r="B31" s="100" t="n">
        <x:f aca="0">SUM(S20_Dry_Broadleaf_ER!Q19,S20_Dry_Broadleaf_ER!Q20,S20_Dry_Broadleaf_ER!Q21,S20_Dry_Broadleaf_ER!Q22,S20_Dry_Broadleaf_ER!Q23)</x:f>
        <x:v>10480.92141002523</x:v>
      </x:c>
      <x:c r="C31" s="100" t="n">
        <x:f aca="0">SUM(S20_Dry_Broadleaf_ER!AL19,S20_Dry_Broadleaf_ER!AL20,S20_Dry_Broadleaf_ER!AL21,S20_Dry_Broadleaf_ER!AL22,S20_Dry_Broadleaf_ER!AL23)</x:f>
        <x:v>8472.640571368851</x:v>
      </x:c>
      <x:c r="D31" s="100" t="n">
        <x:f aca="0">IF($B$4=0,0,S33_Project_Deductions!D15*$B$4/S08_Defaults!$B$14)</x:f>
        <x:v>374.20325185579577</x:v>
      </x:c>
      <x:c r="E31" s="100" t="n">
        <x:f aca="0">IF($B$4=0,0,S33_Project_Deductions!E15*$B$4/S08_Defaults!$B$14)</x:f>
        <x:v>140.37203620192284</x:v>
      </x:c>
      <x:c r="F31" s="100" t="n">
        <x:f aca="0">S08_Defaults!$B$9</x:f>
        <x:v>0.2</x:v>
      </x:c>
      <x:c r="G31" s="100" t="n">
        <x:f aca="0">C31*(1-F31)-D31-E31</x:f>
        <x:v>6263.537169037363</x:v>
      </x:c>
      <x:c r="H31" s="100" t="n">
        <x:f aca="0">G31-G30</x:f>
        <x:v>963.8612062022748</x:v>
      </x:c>
      <x:c r="I31" s="100" t="n">
        <x:f aca="0">H31/1</x:f>
        <x:v>963.8612062022748</x:v>
      </x:c>
      <x:c r="J31" s="100" t="n">
        <x:f aca="0">B31-D31-E31</x:f>
        <x:v>9966.346121967512</x:v>
      </x:c>
      <x:c r="K31" s="100" t="n">
        <x:f aca="0">B31</x:f>
        <x:v>10480.92141002523</x:v>
      </x:c>
      <x:c r="L31" s="100" t="n">
        <x:f aca="0">0</x:f>
        <x:v>0</x:v>
      </x:c>
      <x:c r="M31" s="100" t="n">
        <x:f aca="0">IF(AND(A31&gt;=S08_Defaults!$B$11,A31&lt;=S08_Defaults!$B$12),J31,0)</x:f>
        <x:v>9966.346121967512</x:v>
      </x:c>
      <x:c r="N31" s="100" t="n">
        <x:f aca="0">IF(AND(A31&gt;=S08_Defaults!$B$11,A31&lt;=S08_Defaults!$B$12),K31-L31,0)</x:f>
        <x:v>10480.92141002523</x:v>
      </x:c>
      <x:c r="O31" s="37" t="s">
        <x:v>1271</x:v>
      </x:c>
    </x:row>
    <x:row r="32" ht="15" hidden="0" customHeight="1">
      <x:c r="A32" s="37" t="n">
        <x:v>2032</x:v>
      </x:c>
      <x:c r="B32" s="100" t="n">
        <x:f aca="0">SUM(S20_Dry_Broadleaf_ER!R19,S20_Dry_Broadleaf_ER!R20,S20_Dry_Broadleaf_ER!R21,S20_Dry_Broadleaf_ER!R22,S20_Dry_Broadleaf_ER!R23)</x:f>
        <x:v>11976.736683246154</x:v>
      </x:c>
      <x:c r="C32" s="100" t="n">
        <x:f aca="0">SUM(S20_Dry_Broadleaf_ER!AM19,S20_Dry_Broadleaf_ER!AM20,S20_Dry_Broadleaf_ER!AM21,S20_Dry_Broadleaf_ER!AM22,S20_Dry_Broadleaf_ER!AM23)</x:f>
        <x:v>9681.838186288689</x:v>
      </x:c>
      <x:c r="D32" s="100" t="n">
        <x:f aca="0">IF($B$4=0,0,S33_Project_Deductions!D16*$B$4/S08_Defaults!$B$14)</x:f>
        <x:v>411.7390750236879</x:v>
      </x:c>
      <x:c r="E32" s="100" t="n">
        <x:f aca="0">IF($B$4=0,0,S33_Project_Deductions!E16*$B$4/S08_Defaults!$B$14)</x:f>
        <x:v>140.37203620192284</x:v>
      </x:c>
      <x:c r="F32" s="100" t="n">
        <x:f aca="0">S08_Defaults!$B$9</x:f>
        <x:v>0.2</x:v>
      </x:c>
      <x:c r="G32" s="100" t="n">
        <x:f aca="0">C32*(1-F32)-D32-E32</x:f>
        <x:v>7193.35943780534</x:v>
      </x:c>
      <x:c r="H32" s="100" t="n">
        <x:f aca="0">G32-G31</x:f>
        <x:v>929.8222687679772</x:v>
      </x:c>
      <x:c r="I32" s="100" t="n">
        <x:f aca="0">H32/1</x:f>
        <x:v>929.8222687679772</x:v>
      </x:c>
      <x:c r="J32" s="100" t="n">
        <x:f aca="0">B32-D32-E32</x:f>
        <x:v>11424.625572020543</x:v>
      </x:c>
      <x:c r="K32" s="100" t="n">
        <x:f aca="0">B32</x:f>
        <x:v>11976.736683246154</x:v>
      </x:c>
      <x:c r="L32" s="100" t="n">
        <x:f aca="0">0</x:f>
        <x:v>0</x:v>
      </x:c>
      <x:c r="M32" s="100" t="n">
        <x:f aca="0">IF(AND(A32&gt;=S08_Defaults!$B$11,A32&lt;=S08_Defaults!$B$12),J32,0)</x:f>
        <x:v>11424.625572020543</x:v>
      </x:c>
      <x:c r="N32" s="100" t="n">
        <x:f aca="0">IF(AND(A32&gt;=S08_Defaults!$B$11,A32&lt;=S08_Defaults!$B$12),K32-L32,0)</x:f>
        <x:v>11976.736683246154</x:v>
      </x:c>
      <x:c r="O32" s="37" t="s">
        <x:v>1271</x:v>
      </x:c>
    </x:row>
    <x:row r="33" ht="15" hidden="0" customHeight="1">
      <x:c r="A33" s="37" t="n">
        <x:v>2033</x:v>
      </x:c>
      <x:c r="B33" s="100" t="n">
        <x:f aca="0">SUM(S20_Dry_Broadleaf_ER!S19,S20_Dry_Broadleaf_ER!S20,S20_Dry_Broadleaf_ER!S21,S20_Dry_Broadleaf_ER!S22,S20_Dry_Broadleaf_ER!S23)</x:f>
        <x:v>13396.389894623095</x:v>
      </x:c>
      <x:c r="C33" s="100" t="n">
        <x:f aca="0">SUM(S20_Dry_Broadleaf_ER!AN19,S20_Dry_Broadleaf_ER!AN20,S20_Dry_Broadleaf_ER!AN21,S20_Dry_Broadleaf_ER!AN22,S20_Dry_Broadleaf_ER!AN23)</x:f>
        <x:v>10829.467380844153</x:v>
      </x:c>
      <x:c r="D33" s="100" t="n">
        <x:f aca="0">IF($B$4=0,0,S33_Project_Deductions!D17*$B$4/S08_Defaults!$B$14)</x:f>
        <x:v>449.2748981915801</x:v>
      </x:c>
      <x:c r="E33" s="100" t="n">
        <x:f aca="0">IF($B$4=0,0,S33_Project_Deductions!E17*$B$4/S08_Defaults!$B$14)</x:f>
        <x:v>140.37203620192284</x:v>
      </x:c>
      <x:c r="F33" s="100" t="n">
        <x:f aca="0">S08_Defaults!$B$9</x:f>
        <x:v>0.2</x:v>
      </x:c>
      <x:c r="G33" s="100" t="n">
        <x:f aca="0">C33*(1-F33)-D33-E33</x:f>
        <x:v>8073.92697028182</x:v>
      </x:c>
      <x:c r="H33" s="100" t="n">
        <x:f aca="0">G33-G32</x:f>
        <x:v>880.5675324764798</x:v>
      </x:c>
      <x:c r="I33" s="100" t="n">
        <x:f aca="0">H33/1</x:f>
        <x:v>880.5675324764798</x:v>
      </x:c>
      <x:c r="J33" s="100" t="n">
        <x:f aca="0">B33-D33-E33</x:f>
        <x:v>12806.742960229592</x:v>
      </x:c>
      <x:c r="K33" s="100" t="n">
        <x:f aca="0">B33</x:f>
        <x:v>13396.389894623095</x:v>
      </x:c>
      <x:c r="L33" s="100" t="n">
        <x:f aca="0">0</x:f>
        <x:v>0</x:v>
      </x:c>
      <x:c r="M33" s="100" t="n">
        <x:f aca="0">IF(AND(A33&gt;=S08_Defaults!$B$11,A33&lt;=S08_Defaults!$B$12),J33,0)</x:f>
        <x:v>12806.742960229592</x:v>
      </x:c>
      <x:c r="N33" s="100" t="n">
        <x:f aca="0">IF(AND(A33&gt;=S08_Defaults!$B$11,A33&lt;=S08_Defaults!$B$12),K33-L33,0)</x:f>
        <x:v>13396.389894623095</x:v>
      </x:c>
      <x:c r="O33" s="37" t="s">
        <x:v>1271</x:v>
      </x:c>
    </x:row>
    <x:row r="34" ht="15" hidden="0" customHeight="1">
      <x:c r="A34" s="37" t="n">
        <x:v>2034</x:v>
      </x:c>
      <x:c r="B34" s="100" t="n">
        <x:f aca="0">SUM(S20_Dry_Broadleaf_ER!T19,S20_Dry_Broadleaf_ER!T20,S20_Dry_Broadleaf_ER!T21,S20_Dry_Broadleaf_ER!T22,S20_Dry_Broadleaf_ER!T23)</x:f>
        <x:v>14724.65134972592</x:v>
      </x:c>
      <x:c r="C34" s="100" t="n">
        <x:f aca="0">SUM(S20_Dry_Broadleaf_ER!AO19,S20_Dry_Broadleaf_ER!AO20,S20_Dry_Broadleaf_ER!AO21,S20_Dry_Broadleaf_ER!AO22,S20_Dry_Broadleaf_ER!AO23)</x:f>
        <x:v>11903.216668108633</x:v>
      </x:c>
      <x:c r="D34" s="100" t="n">
        <x:f aca="0">IF($B$4=0,0,S33_Project_Deductions!D18*$B$4/S08_Defaults!$B$14)</x:f>
        <x:v>486.81072135947227</x:v>
      </x:c>
      <x:c r="E34" s="100" t="n">
        <x:f aca="0">IF($B$4=0,0,S33_Project_Deductions!E18*$B$4/S08_Defaults!$B$14)</x:f>
        <x:v>140.37203620192284</x:v>
      </x:c>
      <x:c r="F34" s="100" t="n">
        <x:f aca="0">S08_Defaults!$B$9</x:f>
        <x:v>0.2</x:v>
      </x:c>
      <x:c r="G34" s="100" t="n">
        <x:f aca="0">C34*(1-F34)-D34-E34</x:f>
        <x:v>8895.39057692551</x:v>
      </x:c>
      <x:c r="H34" s="100" t="n">
        <x:f aca="0">G34-G33</x:f>
        <x:v>821.4636066436906</x:v>
      </x:c>
      <x:c r="I34" s="100" t="n">
        <x:f aca="0">H34/1</x:f>
        <x:v>821.4636066436906</x:v>
      </x:c>
      <x:c r="J34" s="100" t="n">
        <x:f aca="0">B34-D34-E34</x:f>
        <x:v>14097.468592164525</x:v>
      </x:c>
      <x:c r="K34" s="100" t="n">
        <x:f aca="0">B34</x:f>
        <x:v>14724.65134972592</x:v>
      </x:c>
      <x:c r="L34" s="100" t="n">
        <x:f aca="0">0</x:f>
        <x:v>0</x:v>
      </x:c>
      <x:c r="M34" s="100" t="n">
        <x:f aca="0">IF(AND(A34&gt;=S08_Defaults!$B$11,A34&lt;=S08_Defaults!$B$12),J34,0)</x:f>
        <x:v>14097.468592164525</x:v>
      </x:c>
      <x:c r="N34" s="100" t="n">
        <x:f aca="0">IF(AND(A34&gt;=S08_Defaults!$B$11,A34&lt;=S08_Defaults!$B$12),K34-L34,0)</x:f>
        <x:v>14724.65134972592</x:v>
      </x:c>
      <x:c r="O34" s="37" t="s">
        <x:v>1271</x:v>
      </x:c>
    </x:row>
    <x:row r="35" ht="15" hidden="0" customHeight="1">
      <x:c r="A35" s="37" t="n">
        <x:v>2035</x:v>
      </x:c>
      <x:c r="B35" s="100" t="n">
        <x:f aca="0">SUM(S20_Dry_Broadleaf_ER!U19,S20_Dry_Broadleaf_ER!U20,S20_Dry_Broadleaf_ER!U21,S20_Dry_Broadleaf_ER!U22,S20_Dry_Broadleaf_ER!U23)</x:f>
        <x:v>15953.021859890054</x:v>
      </x:c>
      <x:c r="C35" s="100" t="n">
        <x:f aca="0">SUM(S20_Dry_Broadleaf_ER!AP19,S20_Dry_Broadleaf_ER!AP20,S20_Dry_Broadleaf_ER!AP21,S20_Dry_Broadleaf_ER!AP22,S20_Dry_Broadleaf_ER!AP23)</x:f>
        <x:v>12896.215414491242</x:v>
      </x:c>
      <x:c r="D35" s="100" t="n">
        <x:f aca="0">IF($B$4=0,0,S33_Project_Deductions!D19*$B$4/S08_Defaults!$B$14)</x:f>
        <x:v>524.3465445273645</x:v>
      </x:c>
      <x:c r="E35" s="100" t="n">
        <x:f aca="0">IF($B$4=0,0,S33_Project_Deductions!E19*$B$4/S08_Defaults!$B$14)</x:f>
        <x:v>140.37203620192284</x:v>
      </x:c>
      <x:c r="F35" s="100" t="n">
        <x:f aca="0">S08_Defaults!$B$9</x:f>
        <x:v>0.2</x:v>
      </x:c>
      <x:c r="G35" s="100" t="n">
        <x:f aca="0">C35*(1-F35)-D35-E35</x:f>
        <x:v>9652.253750863707</x:v>
      </x:c>
      <x:c r="H35" s="100" t="n">
        <x:f aca="0">G35-G34</x:f>
        <x:v>756.8631739381963</x:v>
      </x:c>
      <x:c r="I35" s="100" t="n">
        <x:f aca="0">H35/1</x:f>
        <x:v>756.8631739381963</x:v>
      </x:c>
      <x:c r="J35" s="100" t="n">
        <x:f aca="0">B35-D35-E35</x:f>
        <x:v>15288.303279160766</x:v>
      </x:c>
      <x:c r="K35" s="100" t="n">
        <x:f aca="0">B35</x:f>
        <x:v>15953.021859890054</x:v>
      </x:c>
      <x:c r="L35" s="100" t="n">
        <x:f aca="0">0</x:f>
        <x:v>0</x:v>
      </x:c>
      <x:c r="M35" s="100" t="n">
        <x:f aca="0">IF(AND(A35&gt;=S08_Defaults!$B$11,A35&lt;=S08_Defaults!$B$12),J35,0)</x:f>
        <x:v>15288.303279160766</x:v>
      </x:c>
      <x:c r="N35" s="100" t="n">
        <x:f aca="0">IF(AND(A35&gt;=S08_Defaults!$B$11,A35&lt;=S08_Defaults!$B$12),K35-L35,0)</x:f>
        <x:v>15953.021859890054</x:v>
      </x:c>
      <x:c r="O35" s="37" t="s">
        <x:v>1271</x:v>
      </x:c>
    </x:row>
    <x:row r="36" ht="15" hidden="0" customHeight="1">
      <x:c r="A36" s="37" t="n">
        <x:v>2036</x:v>
      </x:c>
      <x:c r="B36" s="100" t="n">
        <x:f aca="0">SUM(S20_Dry_Broadleaf_ER!V19,S20_Dry_Broadleaf_ER!V20,S20_Dry_Broadleaf_ER!V21,S20_Dry_Broadleaf_ER!V22,S20_Dry_Broadleaf_ER!V23)</x:f>
        <x:v>17078.213064414696</x:v>
      </x:c>
      <x:c r="C36" s="100" t="n">
        <x:f aca="0">SUM(S20_Dry_Broadleaf_ER!AQ19,S20_Dry_Broadleaf_ER!AQ20,S20_Dry_Broadleaf_ER!AQ21,S20_Dry_Broadleaf_ER!AQ22,S20_Dry_Broadleaf_ER!AQ23)</x:f>
        <x:v>13805.805351964105</x:v>
      </x:c>
      <x:c r="D36" s="100" t="n">
        <x:f aca="0">IF($B$4=0,0,S33_Project_Deductions!D20*$B$4/S08_Defaults!$B$14)</x:f>
        <x:v>561.8823676952566</x:v>
      </x:c>
      <x:c r="E36" s="100" t="n">
        <x:f aca="0">IF($B$4=0,0,S33_Project_Deductions!E20*$B$4/S08_Defaults!$B$14)</x:f>
        <x:v>140.37203620192284</x:v>
      </x:c>
      <x:c r="F36" s="100" t="n">
        <x:f aca="0">S08_Defaults!$B$9</x:f>
        <x:v>0.2</x:v>
      </x:c>
      <x:c r="G36" s="100" t="n">
        <x:f aca="0">C36*(1-F36)-D36-E36</x:f>
        <x:v>10342.389877674106</x:v>
      </x:c>
      <x:c r="H36" s="100" t="n">
        <x:f aca="0">G36-G35</x:f>
        <x:v>690.1361268103992</x:v>
      </x:c>
      <x:c r="I36" s="100" t="n">
        <x:f aca="0">H36/1</x:f>
        <x:v>690.1361268103992</x:v>
      </x:c>
      <x:c r="J36" s="100" t="n">
        <x:f aca="0">B36-D36-E36</x:f>
        <x:v>16375.958660517517</x:v>
      </x:c>
      <x:c r="K36" s="100" t="n">
        <x:f aca="0">B36</x:f>
        <x:v>17078.213064414696</x:v>
      </x:c>
      <x:c r="L36" s="100" t="n">
        <x:f aca="0">0</x:f>
        <x:v>0</x:v>
      </x:c>
      <x:c r="M36" s="100" t="n">
        <x:f aca="0">IF(AND(A36&gt;=S08_Defaults!$B$11,A36&lt;=S08_Defaults!$B$12),J36,0)</x:f>
        <x:v>16375.958660517517</x:v>
      </x:c>
      <x:c r="N36" s="100" t="n">
        <x:f aca="0">IF(AND(A36&gt;=S08_Defaults!$B$11,A36&lt;=S08_Defaults!$B$12),K36-L36,0)</x:f>
        <x:v>17078.213064414696</x:v>
      </x:c>
      <x:c r="O36" s="37" t="s">
        <x:v>1271</x:v>
      </x:c>
    </x:row>
    <x:row r="37" ht="15" hidden="0" customHeight="1">
      <x:c r="A37" s="37" t="n">
        <x:v>2037</x:v>
      </x:c>
      <x:c r="B37" s="100" t="n">
        <x:f aca="0">SUM(S20_Dry_Broadleaf_ER!W19,S20_Dry_Broadleaf_ER!W20,S20_Dry_Broadleaf_ER!W21,S20_Dry_Broadleaf_ER!W22,S20_Dry_Broadleaf_ER!W23)</x:f>
        <x:v>18100.79842478321</x:v>
      </x:c>
      <x:c r="C37" s="100" t="n">
        <x:f aca="0">SUM(S20_Dry_Broadleaf_ER!AR19,S20_Dry_Broadleaf_ER!AR20,S20_Dry_Broadleaf_ER!AR21,S20_Dry_Broadleaf_ER!AR22,S20_Dry_Broadleaf_ER!AR23)</x:f>
        <x:v>14632.450059332947</x:v>
      </x:c>
      <x:c r="D37" s="100" t="n">
        <x:f aca="0">IF($B$4=0,0,S33_Project_Deductions!D21*$B$4/S08_Defaults!$B$14)</x:f>
        <x:v>599.4181908631488</x:v>
      </x:c>
      <x:c r="E37" s="100" t="n">
        <x:f aca="0">IF($B$4=0,0,S33_Project_Deductions!E21*$B$4/S08_Defaults!$B$14)</x:f>
        <x:v>140.37203620192284</x:v>
      </x:c>
      <x:c r="F37" s="100" t="n">
        <x:f aca="0">S08_Defaults!$B$9</x:f>
        <x:v>0.2</x:v>
      </x:c>
      <x:c r="G37" s="100" t="n">
        <x:f aca="0">C37*(1-F37)-D37-E37</x:f>
        <x:v>10966.169820401286</x:v>
      </x:c>
      <x:c r="H37" s="100" t="n">
        <x:f aca="0">G37-G36</x:f>
        <x:v>623.7799427271802</x:v>
      </x:c>
      <x:c r="I37" s="100" t="n">
        <x:f aca="0">H37/1</x:f>
        <x:v>623.7799427271802</x:v>
      </x:c>
      <x:c r="J37" s="100" t="n">
        <x:f aca="0">B37-D37-E37</x:f>
        <x:v>17361.00819771814</x:v>
      </x:c>
      <x:c r="K37" s="100" t="n">
        <x:f aca="0">B37</x:f>
        <x:v>18100.79842478321</x:v>
      </x:c>
      <x:c r="L37" s="100" t="n">
        <x:f aca="0">0</x:f>
        <x:v>0</x:v>
      </x:c>
      <x:c r="M37" s="100" t="n">
        <x:f aca="0">IF(AND(A37&gt;=S08_Defaults!$B$11,A37&lt;=S08_Defaults!$B$12),J37,0)</x:f>
        <x:v>17361.00819771814</x:v>
      </x:c>
      <x:c r="N37" s="100" t="n">
        <x:f aca="0">IF(AND(A37&gt;=S08_Defaults!$B$11,A37&lt;=S08_Defaults!$B$12),K37-L37,0)</x:f>
        <x:v>18100.79842478321</x:v>
      </x:c>
      <x:c r="O37" s="37" t="s">
        <x:v>1271</x:v>
      </x:c>
    </x:row>
    <x:row r="38" ht="15" hidden="0" customHeight="1">
      <x:c r="A38" s="37" t="n">
        <x:v>2038</x:v>
      </x:c>
      <x:c r="B38" s="100" t="n">
        <x:f aca="0">SUM(S20_Dry_Broadleaf_ER!X19,S20_Dry_Broadleaf_ER!X20,S20_Dry_Broadleaf_ER!X21,S20_Dry_Broadleaf_ER!X22,S20_Dry_Broadleaf_ER!X23)</x:f>
        <x:v>19024.082218397052</x:v>
      </x:c>
      <x:c r="C38" s="100" t="n">
        <x:f aca="0">SUM(S20_Dry_Broadleaf_ER!AS19,S20_Dry_Broadleaf_ER!AS20,S20_Dry_Broadleaf_ER!AS21,S20_Dry_Broadleaf_ER!AS22,S20_Dry_Broadleaf_ER!AS23)</x:f>
        <x:v>15378.820671479458</x:v>
      </x:c>
      <x:c r="D38" s="100" t="n">
        <x:f aca="0">IF($B$4=0,0,S33_Project_Deductions!D22*$B$4/S08_Defaults!$B$14)</x:f>
        <x:v>636.954014031041</x:v>
      </x:c>
      <x:c r="E38" s="100" t="n">
        <x:f aca="0">IF($B$4=0,0,S33_Project_Deductions!E22*$B$4/S08_Defaults!$B$14)</x:f>
        <x:v>140.37203620192284</x:v>
      </x:c>
      <x:c r="F38" s="100" t="n">
        <x:f aca="0">S08_Defaults!$B$9</x:f>
        <x:v>0.2</x:v>
      </x:c>
      <x:c r="G38" s="100" t="n">
        <x:f aca="0">C38*(1-F38)-D38-E38</x:f>
        <x:v>11525.730486950604</x:v>
      </x:c>
      <x:c r="H38" s="100" t="n">
        <x:f aca="0">G38-G37</x:f>
        <x:v>559.5606665493178</x:v>
      </x:c>
      <x:c r="I38" s="100" t="n">
        <x:f aca="0">H38/1</x:f>
        <x:v>559.5606665493178</x:v>
      </x:c>
      <x:c r="J38" s="100" t="n">
        <x:f aca="0">B38-D38-E38</x:f>
        <x:v>18246.756168164087</x:v>
      </x:c>
      <x:c r="K38" s="100" t="n">
        <x:f aca="0">B38</x:f>
        <x:v>19024.082218397052</x:v>
      </x:c>
      <x:c r="L38" s="100" t="n">
        <x:f aca="0">0</x:f>
        <x:v>0</x:v>
      </x:c>
      <x:c r="M38" s="100" t="n">
        <x:f aca="0">IF(AND(A38&gt;=S08_Defaults!$B$11,A38&lt;=S08_Defaults!$B$12),J38,0)</x:f>
        <x:v>18246.756168164087</x:v>
      </x:c>
      <x:c r="N38" s="100" t="n">
        <x:f aca="0">IF(AND(A38&gt;=S08_Defaults!$B$11,A38&lt;=S08_Defaults!$B$12),K38-L38,0)</x:f>
        <x:v>19024.082218397052</x:v>
      </x:c>
      <x:c r="O38" s="37" t="s">
        <x:v>1271</x:v>
      </x:c>
    </x:row>
    <x:row r="39" ht="15" hidden="0" customHeight="1">
      <x:c r="A39" s="37" t="n">
        <x:v>2039</x:v>
      </x:c>
      <x:c r="B39" s="100" t="n">
        <x:f aca="0">SUM(S20_Dry_Broadleaf_ER!Y19,S20_Dry_Broadleaf_ER!Y20,S20_Dry_Broadleaf_ER!Y21,S20_Dry_Broadleaf_ER!Y22,S20_Dry_Broadleaf_ER!Y23)</x:f>
        <x:v>19853.19039264602</x:v>
      </x:c>
      <x:c r="C39" s="100" t="n">
        <x:f aca="0">SUM(S20_Dry_Broadleaf_ER!AT19,S20_Dry_Broadleaf_ER!AT20,S20_Dry_Broadleaf_ER!AT21,S20_Dry_Broadleaf_ER!AT22,S20_Dry_Broadleaf_ER!AT23)</x:f>
        <x:v>16049.06093761446</x:v>
      </x:c>
      <x:c r="D39" s="100" t="n">
        <x:f aca="0">IF($B$4=0,0,S33_Project_Deductions!D23*$B$4/S08_Defaults!$B$14)</x:f>
        <x:v>674.4898371989331</x:v>
      </x:c>
      <x:c r="E39" s="100" t="n">
        <x:f aca="0">IF($B$4=0,0,S33_Project_Deductions!E23*$B$4/S08_Defaults!$B$14)</x:f>
        <x:v>140.37203620192284</x:v>
      </x:c>
      <x:c r="F39" s="100" t="n">
        <x:f aca="0">S08_Defaults!$B$9</x:f>
        <x:v>0.2</x:v>
      </x:c>
      <x:c r="G39" s="100" t="n">
        <x:f aca="0">C39*(1-F39)-D39-E39</x:f>
        <x:v>12024.386876690713</x:v>
      </x:c>
      <x:c r="H39" s="100" t="n">
        <x:f aca="0">G39-G38</x:f>
        <x:v>498.65638974010835</x:v>
      </x:c>
      <x:c r="I39" s="100" t="n">
        <x:f aca="0">H39/1</x:f>
        <x:v>498.65638974010835</x:v>
      </x:c>
      <x:c r="J39" s="100" t="n">
        <x:f aca="0">B39-D39-E39</x:f>
        <x:v>19038.328519245166</x:v>
      </x:c>
      <x:c r="K39" s="100" t="n">
        <x:f aca="0">B39</x:f>
        <x:v>19853.19039264602</x:v>
      </x:c>
      <x:c r="L39" s="100" t="n">
        <x:f aca="0">0</x:f>
        <x:v>0</x:v>
      </x:c>
      <x:c r="M39" s="100" t="n">
        <x:f aca="0">IF(AND(A39&gt;=S08_Defaults!$B$11,A39&lt;=S08_Defaults!$B$12),J39,0)</x:f>
        <x:v>19038.328519245166</x:v>
      </x:c>
      <x:c r="N39" s="100" t="n">
        <x:f aca="0">IF(AND(A39&gt;=S08_Defaults!$B$11,A39&lt;=S08_Defaults!$B$12),K39-L39,0)</x:f>
        <x:v>19853.19039264602</x:v>
      </x:c>
      <x:c r="O39" s="37" t="s">
        <x:v>1271</x:v>
      </x:c>
    </x:row>
    <x:row r="40" ht="15" hidden="0" customHeight="1">
      <x:c r="A40" s="37" t="n">
        <x:v>2040</x:v>
      </x:c>
      <x:c r="B40" s="100" t="n">
        <x:f aca="0">SUM(S20_Dry_Broadleaf_ER!Z19,S20_Dry_Broadleaf_ER!Z20,S20_Dry_Broadleaf_ER!Z21,S20_Dry_Broadleaf_ER!Z22,S20_Dry_Broadleaf_ER!Z23)</x:f>
        <x:v>20594.364488396954</x:v>
      </x:c>
      <x:c r="C40" s="100" t="n">
        <x:f aca="0">SUM(S20_Dry_Broadleaf_ER!AU19,S20_Dry_Broadleaf_ER!AU20,S20_Dry_Broadleaf_ER!AU21,S20_Dry_Broadleaf_ER!AU22,S20_Dry_Broadleaf_ER!AU23)</x:f>
        <x:v>16648.216438208165</x:v>
      </x:c>
      <x:c r="D40" s="100" t="n">
        <x:f aca="0">IF($B$4=0,0,S33_Project_Deductions!D24*$B$4/S08_Defaults!$B$14)</x:f>
        <x:v>712.0256603668252</x:v>
      </x:c>
      <x:c r="E40" s="100" t="n">
        <x:f aca="0">IF($B$4=0,0,S33_Project_Deductions!E24*$B$4/S08_Defaults!$B$14)</x:f>
        <x:v>140.37203620192284</x:v>
      </x:c>
      <x:c r="F40" s="100" t="n">
        <x:f aca="0">S08_Defaults!$B$9</x:f>
        <x:v>0.2</x:v>
      </x:c>
      <x:c r="G40" s="100" t="n">
        <x:f aca="0">C40*(1-F40)-D40-E40</x:f>
        <x:v>12466.175453997783</x:v>
      </x:c>
      <x:c r="H40" s="100" t="n">
        <x:f aca="0">G40-G39</x:f>
        <x:v>441.7885773070702</x:v>
      </x:c>
      <x:c r="I40" s="100" t="n">
        <x:f aca="0">H40/1</x:f>
        <x:v>441.7885773070702</x:v>
      </x:c>
      <x:c r="J40" s="100" t="n">
        <x:f aca="0">B40-D40-E40</x:f>
        <x:v>19741.966791828207</x:v>
      </x:c>
      <x:c r="K40" s="100" t="n">
        <x:f aca="0">B40</x:f>
        <x:v>20594.364488396954</x:v>
      </x:c>
      <x:c r="L40" s="100" t="n">
        <x:f aca="0">0</x:f>
        <x:v>0</x:v>
      </x:c>
      <x:c r="M40" s="100" t="n">
        <x:f aca="0">IF(AND(A40&gt;=S08_Defaults!$B$11,A40&lt;=S08_Defaults!$B$12),J40,0)</x:f>
        <x:v>19741.966791828207</x:v>
      </x:c>
      <x:c r="N40" s="100" t="n">
        <x:f aca="0">IF(AND(A40&gt;=S08_Defaults!$B$11,A40&lt;=S08_Defaults!$B$12),K40-L40,0)</x:f>
        <x:v>20594.364488396954</x:v>
      </x:c>
      <x:c r="O40" s="37" t="s">
        <x:v>1271</x:v>
      </x:c>
    </x:row>
    <x:row r="41" ht="15" hidden="0" customHeight="1">
      <x:c r="A41" s="1"/>
      <x:c r="B41" s="1"/>
      <x:c r="C41" s="1"/>
      <x:c r="D41" s="1"/>
      <x:c r="E41" s="1"/>
      <x:c r="F41" s="1"/>
      <x:c r="G41" s="1"/>
      <x:c r="H41" s="1"/>
      <x:c r="I41" s="1"/>
      <x:c r="J41" s="1"/>
      <x:c r="K41" s="1"/>
      <x:c r="L41" s="1"/>
      <x:c r="M41" s="1"/>
      <x:c r="N41" s="1"/>
      <x:c r="O41" s="1"/>
    </x:row>
    <x:row r="42" ht="15" hidden="0" customHeight="1">
      <x:c r="A42" s="1"/>
      <x:c r="B42" s="1"/>
      <x:c r="C42" s="1"/>
      <x:c r="D42" s="1"/>
      <x:c r="E42" s="1"/>
      <x:c r="F42" s="1"/>
      <x:c r="G42" s="1"/>
      <x:c r="H42" s="1"/>
      <x:c r="I42" s="1"/>
      <x:c r="J42" s="1"/>
      <x:c r="K42" s="1"/>
      <x:c r="L42" s="1"/>
      <x:c r="M42" s="1"/>
      <x:c r="N42" s="1"/>
      <x:c r="O42" s="1"/>
    </x:row>
    <x:row r="43" ht="15" hidden="0" customHeight="1">
      <x:c r="A43" s="93" t="str">
        <x:v>PSP composition for Tropical &amp; Subtropical Dry Broadleaf Forests | Mixed Agroforestry (5 plots contribute to this sheet's biological stock curve)</x:v>
      </x:c>
      <x:c r="B43" s="93"/>
      <x:c r="C43" s="93"/>
      <x:c r="D43" s="93"/>
      <x:c r="E43" s="93"/>
      <x:c r="F43" s="93"/>
      <x:c r="G43" s="1"/>
      <x:c r="H43" s="1"/>
      <x:c r="I43" s="1"/>
      <x:c r="J43" s="1"/>
      <x:c r="K43" s="1"/>
      <x:c r="L43" s="1"/>
      <x:c r="M43" s="1"/>
      <x:c r="N43" s="1"/>
      <x:c r="O43" s="1"/>
    </x:row>
    <x:row r="44" ht="15" hidden="0" customHeight="1">
      <x:c r="A44" s="196" t="str">
        <x:v>Full detail (species, farmer, GPS, stratum stats) is in S11_PSP_Register_Carbon_Trace - this list is the subset feeding this specific Biome x Model sheet.</x:v>
      </x:c>
      <x:c r="B44" s="196"/>
      <x:c r="C44" s="196"/>
      <x:c r="D44" s="196"/>
      <x:c r="E44" s="196"/>
      <x:c r="F44" s="196"/>
      <x:c r="G44" s="1"/>
      <x:c r="H44" s="1"/>
      <x:c r="I44" s="1"/>
      <x:c r="J44" s="1"/>
      <x:c r="K44" s="1"/>
      <x:c r="L44" s="1"/>
      <x:c r="M44" s="1"/>
      <x:c r="N44" s="1"/>
      <x:c r="O44" s="1"/>
    </x:row>
    <x:row r="45" ht="15" hidden="0" customHeight="1">
      <x:c r="A45" s="197" t="s">
        <x:v>526</x:v>
      </x:c>
      <x:c r="B45" s="197" t="s">
        <x:v>528</x:v>
      </x:c>
      <x:c r="C45" s="197" t="s">
        <x:v>529</x:v>
      </x:c>
      <x:c r="D45" s="197" t="s">
        <x:v>1272</x:v>
      </x:c>
      <x:c r="E45" s="197" t="s">
        <x:v>702</x:v>
      </x:c>
      <x:c r="F45" s="197" t="s">
        <x:v>750</x:v>
      </x:c>
      <x:c r="G45" s="1"/>
      <x:c r="H45" s="1"/>
      <x:c r="I45" s="1"/>
      <x:c r="J45" s="1"/>
      <x:c r="K45" s="1"/>
      <x:c r="L45" s="1"/>
      <x:c r="M45" s="1"/>
      <x:c r="N45" s="1"/>
      <x:c r="O45" s="1"/>
    </x:row>
    <x:row r="46" ht="21.75" hidden="0" customHeight="1">
      <x:c r="A46" s="125" t="s">
        <x:v>627</x:v>
      </x:c>
      <x:c r="B46" s="198" t="s">
        <x:v>542</x:v>
      </x:c>
      <x:c r="C46" s="198" t="n">
        <x:v>2020</x:v>
      </x:c>
      <x:c r="D46" s="198" t="n">
        <x:v>0.4281</x:v>
      </x:c>
      <x:c r="E46" s="198" t="s">
        <x:v>629</x:v>
      </x:c>
      <x:c r="F46" s="198" t="s">
        <x:v>630</x:v>
      </x:c>
      <x:c r="G46" s="1"/>
      <x:c r="H46" s="1"/>
      <x:c r="I46" s="1"/>
      <x:c r="J46" s="1"/>
      <x:c r="K46" s="1"/>
      <x:c r="L46" s="1"/>
      <x:c r="M46" s="1"/>
      <x:c r="N46" s="1"/>
      <x:c r="O46" s="1"/>
    </x:row>
    <x:row r="47" ht="32.25" hidden="0" customHeight="1">
      <x:c r="A47" s="125" t="s">
        <x:v>648</x:v>
      </x:c>
      <x:c r="B47" s="198" t="s">
        <x:v>549</x:v>
      </x:c>
      <x:c r="C47" s="198" t="n">
        <x:v>2024</x:v>
      </x:c>
      <x:c r="D47" s="198" t="n">
        <x:v>0.646</x:v>
      </x:c>
      <x:c r="E47" s="198" t="s">
        <x:v>649</x:v>
      </x:c>
      <x:c r="F47" s="198" t="s">
        <x:v>650</x:v>
      </x:c>
      <x:c r="G47" s="1"/>
      <x:c r="H47" s="1"/>
      <x:c r="I47" s="1"/>
      <x:c r="J47" s="1"/>
      <x:c r="K47" s="1"/>
      <x:c r="L47" s="1"/>
      <x:c r="M47" s="1"/>
      <x:c r="N47" s="1"/>
      <x:c r="O47" s="1"/>
    </x:row>
    <x:row r="48" ht="21.75" hidden="0" customHeight="1">
      <x:c r="A48" s="125" t="s">
        <x:v>636</x:v>
      </x:c>
      <x:c r="B48" s="198" t="s">
        <x:v>553</x:v>
      </x:c>
      <x:c r="C48" s="198" t="n">
        <x:v>2020</x:v>
      </x:c>
      <x:c r="D48" s="198" t="n">
        <x:v>1.193</x:v>
      </x:c>
      <x:c r="E48" s="198" t="s">
        <x:v>637</x:v>
      </x:c>
      <x:c r="F48" s="198" t="s">
        <x:v>638</x:v>
      </x:c>
      <x:c r="G48" s="1"/>
      <x:c r="H48" s="1"/>
      <x:c r="I48" s="1"/>
      <x:c r="J48" s="1"/>
      <x:c r="K48" s="1"/>
      <x:c r="L48" s="1"/>
      <x:c r="M48" s="1"/>
      <x:c r="N48" s="1"/>
      <x:c r="O48" s="1"/>
    </x:row>
    <x:row r="49" ht="21.75" hidden="0" customHeight="1">
      <x:c r="A49" s="125" t="s">
        <x:v>639</x:v>
      </x:c>
      <x:c r="B49" s="198" t="s">
        <x:v>553</x:v>
      </x:c>
      <x:c r="C49" s="198" t="n">
        <x:v>2021</x:v>
      </x:c>
      <x:c r="D49" s="198" t="n">
        <x:v>0.8151</x:v>
      </x:c>
      <x:c r="E49" s="198" t="s">
        <x:v>640</x:v>
      </x:c>
      <x:c r="F49" s="198" t="s">
        <x:v>641</x:v>
      </x:c>
      <x:c r="G49" s="1"/>
      <x:c r="H49" s="1"/>
      <x:c r="I49" s="1"/>
      <x:c r="J49" s="1"/>
      <x:c r="K49" s="1"/>
      <x:c r="L49" s="1"/>
      <x:c r="M49" s="1"/>
      <x:c r="N49" s="1"/>
      <x:c r="O49" s="1"/>
    </x:row>
    <x:row r="50" ht="32.25" hidden="0" customHeight="1">
      <x:c r="A50" s="125" t="s">
        <x:v>645</x:v>
      </x:c>
      <x:c r="B50" s="198" t="s">
        <x:v>553</x:v>
      </x:c>
      <x:c r="C50" s="198" t="n">
        <x:v>2023</x:v>
      </x:c>
      <x:c r="D50" s="198" t="n">
        <x:v>1.6105</x:v>
      </x:c>
      <x:c r="E50" s="198" t="s">
        <x:v>646</x:v>
      </x:c>
      <x:c r="F50" s="198" t="s">
        <x:v>647</x:v>
      </x:c>
      <x:c r="G50" s="1"/>
      <x:c r="H50" s="1"/>
      <x:c r="I50" s="1"/>
      <x:c r="J50" s="1"/>
      <x:c r="K50" s="1"/>
      <x:c r="L50" s="1"/>
      <x:c r="M50" s="1"/>
      <x:c r="N50" s="1"/>
      <x:c r="O50" s="1"/>
    </x:row>
  </x:sheetData>
  <x:mergeCells>
    <x:mergeCell ref="A1:N1"/>
    <x:mergeCell ref="A43:F43"/>
    <x:mergeCell ref="A44:F44"/>
  </x:mergeCells>
  <x:pageMargins left="0.7" right="0.7" top="0.75" bottom="0.75" header="0.3" footer="0.3"/>
</x:worksheet>
</file>

<file path=xl/worksheets/sheet33.xml><?xml version="1.0" encoding="utf-8"?>
<x:worksheet xmlns:x="http://schemas.openxmlformats.org/spreadsheetml/2006/main">
  <x:sheetPr>
    <x:tabColor rgb="FF808080"/>
  </x:sheetPr>
  <x:sheetViews>
    <x:sheetView showGridLines="1" workbookViewId="0"/>
  </x:sheetViews>
  <x:sheetFormatPr defaultColWidth="8.6796875" defaultRowHeight="15"/>
  <x:cols>
    <x:col min="1" max="1" width="9" style="37" hidden="0" customWidth="1"/>
    <x:col min="2" max="5" width="16" style="37" hidden="0" customWidth="1"/>
    <x:col min="6" max="7" width="34" style="37" hidden="0" customWidth="1"/>
    <x:col min="8" max="9" width="18" style="1" hidden="0" customWidth="1"/>
    <x:col min="10" max="10" width="12" style="1" hidden="0" customWidth="1"/>
  </x:cols>
  <x:sheetData>
    <x:row r="1" ht="24" hidden="0" customHeight="1">
      <x:c r="A1" s="38" t="s">
        <x:v>1273</x:v>
      </x:c>
      <x:c r="B1" s="38"/>
      <x:c r="C1" s="38"/>
      <x:c r="D1" s="38"/>
      <x:c r="E1" s="38"/>
      <x:c r="F1" s="38"/>
      <x:c r="G1" s="38"/>
      <x:c r="H1" s="199"/>
      <x:c r="I1" s="199"/>
      <x:c r="J1" s="199"/>
    </x:row>
    <x:row r="2" ht="15" hidden="0" customHeight="1">
      <x:c r="A2" s="45"/>
      <x:c r="B2" s="45"/>
      <x:c r="C2" s="45"/>
      <x:c r="D2" s="45"/>
      <x:c r="E2" s="45"/>
      <x:c r="F2" s="45"/>
      <x:c r="G2" s="45"/>
      <x:c r="H2" s="45"/>
      <x:c r="I2" s="45"/>
      <x:c r="J2" s="45"/>
    </x:row>
    <x:row r="3" ht="42" hidden="0" customHeight="1">
      <x:c r="A3" s="200" t="s">
        <x:v>86</x:v>
      </x:c>
      <x:c r="B3" s="200" t="s">
        <x:v>1274</x:v>
      </x:c>
      <x:c r="C3" s="200" t="s">
        <x:v>1275</x:v>
      </x:c>
      <x:c r="D3" s="200" t="s">
        <x:v>137</x:v>
      </x:c>
      <x:c r="E3" s="200" t="s">
        <x:v>139</x:v>
      </x:c>
      <x:c r="F3" s="200" t="s">
        <x:v>1276</x:v>
      </x:c>
      <x:c r="G3" s="200" t="s">
        <x:v>1277</x:v>
      </x:c>
      <x:c r="H3" s="201" t="s">
        <x:v>1278</x:v>
      </x:c>
      <x:c r="I3" s="201" t="s">
        <x:v>1279</x:v>
      </x:c>
      <x:c r="J3" s="201" t="s">
        <x:v>1280</x:v>
      </x:c>
    </x:row>
    <x:row r="4" ht="27.75" hidden="0" customHeight="1">
      <x:c r="A4" s="114" t="n">
        <x:v>2020</x:v>
      </x:c>
      <x:c r="B4" s="202" t="n">
        <x:f aca="0">H4+I4</x:f>
        <x:v>930.7707214036548</x:v>
      </x:c>
      <x:c r="C4" s="202" t="n">
        <x:f aca="0">'S36_VMD0054_Leakage'!K172</x:f>
        <x:v>4259.0475397939235</x:v>
      </x:c>
      <x:c r="D4" s="202" t="n">
        <x:f aca="0">B4</x:f>
        <x:v>930.7707214036548</x:v>
      </x:c>
      <x:c r="E4" s="202" t="n">
        <x:f aca="0">C4</x:f>
        <x:v>4259.0475397939235</x:v>
      </x:c>
      <x:c r="F4" s="114" t="s">
        <x:v>1281</x:v>
      </x:c>
      <x:c r="G4" s="114" t="s">
        <x:v>1282</x:v>
      </x:c>
      <x:c r="H4" s="203" t="n">
        <x:f aca="0">S35_PE_Leakage_Derivation!J22</x:f>
        <x:v>930.7707214036548</x:v>
      </x:c>
      <x:c r="I4" s="204" t="n">
        <x:v>0</x:v>
      </x:c>
      <x:c r="J4" s="205" t="n">
        <x:f aca="0">B4-H4-I4</x:f>
        <x:v>0</x:v>
      </x:c>
    </x:row>
    <x:row r="5" ht="27.75" hidden="0" customHeight="1">
      <x:c r="A5" s="114" t="n">
        <x:v>2021</x:v>
      </x:c>
      <x:c r="B5" s="202" t="n">
        <x:f aca="0">H5+I5</x:f>
        <x:v>2100.0134422598094</x:v>
      </x:c>
      <x:c r="C5" s="202" t="n">
        <x:f aca="0">'S36_VMD0054_Leakage'!K173</x:f>
        <x:v>4144.406254155832</x:v>
      </x:c>
      <x:c r="D5" s="202" t="n">
        <x:f aca="0">D4+B5</x:f>
        <x:v>3030.784163663464</x:v>
      </x:c>
      <x:c r="E5" s="202" t="n">
        <x:f aca="0">E4+C5</x:f>
        <x:v>8403.453793949757</x:v>
      </x:c>
      <x:c r="F5" s="114" t="s">
        <x:v>1281</x:v>
      </x:c>
      <x:c r="G5" s="114" t="s">
        <x:v>1282</x:v>
      </x:c>
      <x:c r="H5" s="203" t="n">
        <x:f aca="0">S35_PE_Leakage_Derivation!J23</x:f>
        <x:v>2100.0134422598094</x:v>
      </x:c>
      <x:c r="I5" s="204" t="n">
        <x:v>0</x:v>
      </x:c>
      <x:c r="J5" s="205" t="n">
        <x:f aca="0">B5-H5-I5</x:f>
        <x:v>0</x:v>
      </x:c>
    </x:row>
    <x:row r="6" ht="27.75" hidden="0" customHeight="1">
      <x:c r="A6" s="114" t="n">
        <x:v>2022</x:v>
      </x:c>
      <x:c r="B6" s="202" t="n">
        <x:f aca="0">H6+I6</x:f>
        <x:v>3467.2232884808136</x:v>
      </x:c>
      <x:c r="C6" s="202" t="n">
        <x:f aca="0">'S36_VMD0054_Leakage'!K174</x:f>
        <x:v>4233.307664694</x:v>
      </x:c>
      <x:c r="D6" s="202" t="n">
        <x:f aca="0">D5+B6</x:f>
        <x:v>6498.0074521442775</x:v>
      </x:c>
      <x:c r="E6" s="202" t="n">
        <x:f aca="0">E5+C6</x:f>
        <x:v>12636.761458643756</x:v>
      </x:c>
      <x:c r="F6" s="114" t="s">
        <x:v>1281</x:v>
      </x:c>
      <x:c r="G6" s="114" t="s">
        <x:v>1282</x:v>
      </x:c>
      <x:c r="H6" s="203" t="n">
        <x:f aca="0">S35_PE_Leakage_Derivation!J24</x:f>
        <x:v>3467.2232884808136</x:v>
      </x:c>
      <x:c r="I6" s="204" t="n">
        <x:v>0</x:v>
      </x:c>
      <x:c r="J6" s="205" t="n">
        <x:f aca="0">B6-H6-I6</x:f>
        <x:v>0</x:v>
      </x:c>
    </x:row>
    <x:row r="7" ht="27.75" hidden="0" customHeight="1">
      <x:c r="A7" s="114" t="n">
        <x:v>2023</x:v>
      </x:c>
      <x:c r="B7" s="202" t="n">
        <x:f aca="0">H7+I7</x:f>
        <x:v>4868.078596621696</x:v>
      </x:c>
      <x:c r="C7" s="202" t="n">
        <x:f aca="0">'S36_VMD0054_Leakage'!K175</x:f>
        <x:v>4251.386997947324</x:v>
      </x:c>
      <x:c r="D7" s="202" t="n">
        <x:f aca="0">D6+B7</x:f>
        <x:v>11366.086048765974</x:v>
      </x:c>
      <x:c r="E7" s="202" t="n">
        <x:f aca="0">E6+C7</x:f>
        <x:v>16888.14845659108</x:v>
      </x:c>
      <x:c r="F7" s="114" t="s">
        <x:v>1281</x:v>
      </x:c>
      <x:c r="G7" s="114" t="s">
        <x:v>1282</x:v>
      </x:c>
      <x:c r="H7" s="203" t="n">
        <x:f aca="0">S35_PE_Leakage_Derivation!J25</x:f>
        <x:v>4868.078596621696</x:v>
      </x:c>
      <x:c r="I7" s="204" t="n">
        <x:v>0</x:v>
      </x:c>
      <x:c r="J7" s="205" t="n">
        <x:f aca="0">B7-H7-I7</x:f>
        <x:v>0</x:v>
      </x:c>
    </x:row>
    <x:row r="8" ht="27.75" hidden="0" customHeight="1">
      <x:c r="A8" s="114" t="n">
        <x:v>2024</x:v>
      </x:c>
      <x:c r="B8" s="202" t="n">
        <x:f aca="0">H8+I8</x:f>
        <x:v>5340.523773770276</x:v>
      </x:c>
      <x:c r="C8" s="202" t="n">
        <x:f aca="0">'S36_VMD0054_Leakage'!K176</x:f>
        <x:v>4102.1755898176025</x:v>
      </x:c>
      <x:c r="D8" s="202" t="n">
        <x:f aca="0">D7+B8</x:f>
        <x:v>16706.60982253625</x:v>
      </x:c>
      <x:c r="E8" s="202" t="n">
        <x:f aca="0">E7+C8</x:f>
        <x:v>20990.32404640868</x:v>
      </x:c>
      <x:c r="F8" s="114" t="s">
        <x:v>1281</x:v>
      </x:c>
      <x:c r="G8" s="114" t="s">
        <x:v>1282</x:v>
      </x:c>
      <x:c r="H8" s="203" t="n">
        <x:f aca="0">S35_PE_Leakage_Derivation!J26</x:f>
        <x:v>5340.523773770276</x:v>
      </x:c>
      <x:c r="I8" s="204" t="n">
        <x:v>0</x:v>
      </x:c>
      <x:c r="J8" s="205" t="n">
        <x:f aca="0">B8-H8-I8</x:f>
        <x:v>0</x:v>
      </x:c>
    </x:row>
    <x:row r="9" ht="27.75" hidden="0" customHeight="1">
      <x:c r="A9" s="114" t="n">
        <x:v>2025</x:v>
      </x:c>
      <x:c r="B9" s="202" t="n">
        <x:f aca="0">H9+I9</x:f>
        <x:v>5574.496951466356</x:v>
      </x:c>
      <x:c r="C9" s="202" t="n">
        <x:f aca="0">'S36_VMD0054_Leakage'!K177</x:f>
        <x:v>0</x:v>
      </x:c>
      <x:c r="D9" s="202" t="n">
        <x:f aca="0">D8+B9</x:f>
        <x:v>22281.10677400261</x:v>
      </x:c>
      <x:c r="E9" s="202" t="n">
        <x:f aca="0">E8+C9</x:f>
        <x:v>20990.32404640868</x:v>
      </x:c>
      <x:c r="F9" s="114" t="s">
        <x:v>1281</x:v>
      </x:c>
      <x:c r="G9" s="114" t="s">
        <x:v>1282</x:v>
      </x:c>
      <x:c r="H9" s="203" t="n">
        <x:f aca="0">S35_PE_Leakage_Derivation!J27</x:f>
        <x:v>5574.496951466356</x:v>
      </x:c>
      <x:c r="I9" s="204" t="n">
        <x:v>0</x:v>
      </x:c>
      <x:c r="J9" s="205" t="n">
        <x:f aca="0">B9-H9-I9</x:f>
        <x:v>0</x:v>
      </x:c>
    </x:row>
    <x:row r="10" ht="27.75" hidden="0" customHeight="1">
      <x:c r="A10" s="114" t="n">
        <x:v>2026</x:v>
      </x:c>
      <x:c r="B10" s="202" t="n">
        <x:f aca="0">H10+I10</x:f>
        <x:v>5610.503003797587</x:v>
      </x:c>
      <x:c r="C10" s="202" t="n">
        <x:f aca="0">'S36_VMD0054_Leakage'!K178</x:f>
        <x:v>0</x:v>
      </x:c>
      <x:c r="D10" s="202" t="n">
        <x:f aca="0">D9+B10</x:f>
        <x:v>27891.609777800193</x:v>
      </x:c>
      <x:c r="E10" s="202" t="n">
        <x:f aca="0">E9+C10</x:f>
        <x:v>20990.32404640868</x:v>
      </x:c>
      <x:c r="F10" s="114" t="s">
        <x:v>1281</x:v>
      </x:c>
      <x:c r="G10" s="114" t="s">
        <x:v>1282</x:v>
      </x:c>
      <x:c r="H10" s="203" t="n">
        <x:f aca="0">S35_PE_Leakage_Derivation!J28</x:f>
        <x:v>5610.503003797587</x:v>
      </x:c>
      <x:c r="I10" s="204" t="n">
        <x:v>0</x:v>
      </x:c>
      <x:c r="J10" s="205" t="n">
        <x:f aca="0">B10-H10-I10</x:f>
        <x:v>0</x:v>
      </x:c>
    </x:row>
    <x:row r="11" ht="27.75" hidden="0" customHeight="1">
      <x:c r="A11" s="114" t="n">
        <x:v>2027</x:v>
      </x:c>
      <x:c r="B11" s="202" t="n">
        <x:f aca="0">H11+I11</x:f>
        <x:v>5612.863594208937</x:v>
      </x:c>
      <x:c r="C11" s="202" t="n">
        <x:f aca="0">'S36_VMD0054_Leakage'!K179</x:f>
        <x:v>0</x:v>
      </x:c>
      <x:c r="D11" s="202" t="n">
        <x:f aca="0">D10+B11</x:f>
        <x:v>33504.47337200913</x:v>
      </x:c>
      <x:c r="E11" s="202" t="n">
        <x:f aca="0">E10+C11</x:f>
        <x:v>20990.32404640868</x:v>
      </x:c>
      <x:c r="F11" s="114" t="s">
        <x:v>1281</x:v>
      </x:c>
      <x:c r="G11" s="114" t="s">
        <x:v>1282</x:v>
      </x:c>
      <x:c r="H11" s="203" t="n">
        <x:f aca="0">S35_PE_Leakage_Derivation!J29</x:f>
        <x:v>5612.863594208937</x:v>
      </x:c>
      <x:c r="I11" s="204" t="n">
        <x:v>0</x:v>
      </x:c>
      <x:c r="J11" s="205" t="n">
        <x:f aca="0">B11-H11-I11</x:f>
        <x:v>0</x:v>
      </x:c>
    </x:row>
    <x:row r="12" ht="27.75" hidden="0" customHeight="1">
      <x:c r="A12" s="114" t="n">
        <x:v>2028</x:v>
      </x:c>
      <x:c r="B12" s="202" t="n">
        <x:f aca="0">H12+I12</x:f>
        <x:v>5612.863594208937</x:v>
      </x:c>
      <x:c r="C12" s="202" t="n">
        <x:f aca="0">'S36_VMD0054_Leakage'!K180</x:f>
        <x:v>0</x:v>
      </x:c>
      <x:c r="D12" s="202" t="n">
        <x:f aca="0">D11+B12</x:f>
        <x:v>39117.33696621807</x:v>
      </x:c>
      <x:c r="E12" s="202" t="n">
        <x:f aca="0">E11+C12</x:f>
        <x:v>20990.32404640868</x:v>
      </x:c>
      <x:c r="F12" s="114" t="s">
        <x:v>1281</x:v>
      </x:c>
      <x:c r="G12" s="114" t="s">
        <x:v>1282</x:v>
      </x:c>
      <x:c r="H12" s="203" t="n">
        <x:f aca="0">S35_PE_Leakage_Derivation!J30</x:f>
        <x:v>5612.863594208937</x:v>
      </x:c>
      <x:c r="I12" s="204" t="n">
        <x:v>0</x:v>
      </x:c>
      <x:c r="J12" s="205" t="n">
        <x:f aca="0">B12-H12-I12</x:f>
        <x:v>0</x:v>
      </x:c>
    </x:row>
    <x:row r="13" ht="27.75" hidden="0" customHeight="1">
      <x:c r="A13" s="114" t="n">
        <x:v>2029</x:v>
      </x:c>
      <x:c r="B13" s="202" t="n">
        <x:f aca="0">H13+I13</x:f>
        <x:v>5612.863594208937</x:v>
      </x:c>
      <x:c r="C13" s="202" t="n">
        <x:f aca="0">'S36_VMD0054_Leakage'!K181</x:f>
        <x:v>0</x:v>
      </x:c>
      <x:c r="D13" s="202" t="n">
        <x:f aca="0">D12+B13</x:f>
        <x:v>44730.20056042701</x:v>
      </x:c>
      <x:c r="E13" s="202" t="n">
        <x:f aca="0">E12+C13</x:f>
        <x:v>20990.32404640868</x:v>
      </x:c>
      <x:c r="F13" s="114" t="s">
        <x:v>1281</x:v>
      </x:c>
      <x:c r="G13" s="114" t="s">
        <x:v>1282</x:v>
      </x:c>
      <x:c r="H13" s="203" t="n">
        <x:f aca="0">S35_PE_Leakage_Derivation!J31</x:f>
        <x:v>5612.863594208937</x:v>
      </x:c>
      <x:c r="I13" s="204" t="n">
        <x:v>0</x:v>
      </x:c>
      <x:c r="J13" s="205" t="n">
        <x:f aca="0">B13-H13-I13</x:f>
        <x:v>0</x:v>
      </x:c>
    </x:row>
    <x:row r="14" ht="27.75" hidden="0" customHeight="1">
      <x:c r="A14" s="114" t="n">
        <x:v>2030</x:v>
      </x:c>
      <x:c r="B14" s="202" t="n">
        <x:f aca="0">H14+I14</x:f>
        <x:v>5612.863594208937</x:v>
      </x:c>
      <x:c r="C14" s="202" t="n">
        <x:f aca="0">'S36_VMD0054_Leakage'!K182</x:f>
        <x:v>0</x:v>
      </x:c>
      <x:c r="D14" s="202" t="n">
        <x:f aca="0">D13+B14</x:f>
        <x:v>50343.06415463595</x:v>
      </x:c>
      <x:c r="E14" s="202" t="n">
        <x:f aca="0">E13+C14</x:f>
        <x:v>20990.32404640868</x:v>
      </x:c>
      <x:c r="F14" s="114" t="s">
        <x:v>1281</x:v>
      </x:c>
      <x:c r="G14" s="114" t="s">
        <x:v>1282</x:v>
      </x:c>
      <x:c r="H14" s="203" t="n">
        <x:f aca="0">S35_PE_Leakage_Derivation!J32</x:f>
        <x:v>5612.863594208937</x:v>
      </x:c>
      <x:c r="I14" s="204" t="n">
        <x:v>0</x:v>
      </x:c>
      <x:c r="J14" s="205" t="n">
        <x:f aca="0">B14-H14-I14</x:f>
        <x:v>0</x:v>
      </x:c>
    </x:row>
    <x:row r="15" ht="27.75" hidden="0" customHeight="1">
      <x:c r="A15" s="114" t="n">
        <x:v>2031</x:v>
      </x:c>
      <x:c r="B15" s="202" t="n">
        <x:f aca="0">H15+I15</x:f>
        <x:v>5612.863594208937</x:v>
      </x:c>
      <x:c r="C15" s="202" t="n">
        <x:f aca="0">'S36_VMD0054_Leakage'!K183</x:f>
        <x:v>0</x:v>
      </x:c>
      <x:c r="D15" s="202" t="n">
        <x:f aca="0">D14+B15</x:f>
        <x:v>55955.927748844886</x:v>
      </x:c>
      <x:c r="E15" s="202" t="n">
        <x:f aca="0">E14+C15</x:f>
        <x:v>20990.32404640868</x:v>
      </x:c>
      <x:c r="F15" s="114" t="s">
        <x:v>1281</x:v>
      </x:c>
      <x:c r="G15" s="114" t="s">
        <x:v>1282</x:v>
      </x:c>
      <x:c r="H15" s="203" t="n">
        <x:f aca="0">S35_PE_Leakage_Derivation!J33</x:f>
        <x:v>5612.863594208937</x:v>
      </x:c>
      <x:c r="I15" s="204" t="n">
        <x:v>0</x:v>
      </x:c>
      <x:c r="J15" s="205" t="n">
        <x:f aca="0">B15-H15-I15</x:f>
        <x:v>0</x:v>
      </x:c>
    </x:row>
    <x:row r="16" ht="27.75" hidden="0" customHeight="1">
      <x:c r="A16" s="114" t="n">
        <x:v>2032</x:v>
      </x:c>
      <x:c r="B16" s="202" t="n">
        <x:f aca="0">H16+I16</x:f>
        <x:v>5612.863594208937</x:v>
      </x:c>
      <x:c r="C16" s="202" t="n">
        <x:f aca="0">'S36_VMD0054_Leakage'!K184</x:f>
        <x:v>0</x:v>
      </x:c>
      <x:c r="D16" s="202" t="n">
        <x:f aca="0">D15+B16</x:f>
        <x:v>61568.791343053825</x:v>
      </x:c>
      <x:c r="E16" s="202" t="n">
        <x:f aca="0">E15+C16</x:f>
        <x:v>20990.32404640868</x:v>
      </x:c>
      <x:c r="F16" s="114" t="s">
        <x:v>1281</x:v>
      </x:c>
      <x:c r="G16" s="114" t="s">
        <x:v>1282</x:v>
      </x:c>
      <x:c r="H16" s="203" t="n">
        <x:f aca="0">S35_PE_Leakage_Derivation!J34</x:f>
        <x:v>5612.863594208937</x:v>
      </x:c>
      <x:c r="I16" s="204" t="n">
        <x:v>0</x:v>
      </x:c>
      <x:c r="J16" s="205" t="n">
        <x:f aca="0">B16-H16-I16</x:f>
        <x:v>0</x:v>
      </x:c>
    </x:row>
    <x:row r="17" ht="27.75" hidden="0" customHeight="1">
      <x:c r="A17" s="114" t="n">
        <x:v>2033</x:v>
      </x:c>
      <x:c r="B17" s="202" t="n">
        <x:f aca="0">H17+I17</x:f>
        <x:v>5612.863594208937</x:v>
      </x:c>
      <x:c r="C17" s="202" t="n">
        <x:f aca="0">'S36_VMD0054_Leakage'!K185</x:f>
        <x:v>0</x:v>
      </x:c>
      <x:c r="D17" s="202" t="n">
        <x:f aca="0">D16+B17</x:f>
        <x:v>67181.65493726276</x:v>
      </x:c>
      <x:c r="E17" s="202" t="n">
        <x:f aca="0">E16+C17</x:f>
        <x:v>20990.32404640868</x:v>
      </x:c>
      <x:c r="F17" s="114" t="s">
        <x:v>1281</x:v>
      </x:c>
      <x:c r="G17" s="114" t="s">
        <x:v>1282</x:v>
      </x:c>
      <x:c r="H17" s="203" t="n">
        <x:f aca="0">S35_PE_Leakage_Derivation!J35</x:f>
        <x:v>5612.863594208937</x:v>
      </x:c>
      <x:c r="I17" s="204" t="n">
        <x:v>0</x:v>
      </x:c>
      <x:c r="J17" s="205" t="n">
        <x:f aca="0">B17-H17-I17</x:f>
        <x:v>0</x:v>
      </x:c>
    </x:row>
    <x:row r="18" ht="27.75" hidden="0" customHeight="1">
      <x:c r="A18" s="114" t="n">
        <x:v>2034</x:v>
      </x:c>
      <x:c r="B18" s="202" t="n">
        <x:f aca="0">H18+I18</x:f>
        <x:v>5612.863594208937</x:v>
      </x:c>
      <x:c r="C18" s="202" t="n">
        <x:f aca="0">'S36_VMD0054_Leakage'!K186</x:f>
        <x:v>0</x:v>
      </x:c>
      <x:c r="D18" s="202" t="n">
        <x:f aca="0">D17+B18</x:f>
        <x:v>72794.5185314717</x:v>
      </x:c>
      <x:c r="E18" s="202" t="n">
        <x:f aca="0">E17+C18</x:f>
        <x:v>20990.32404640868</x:v>
      </x:c>
      <x:c r="F18" s="114" t="s">
        <x:v>1281</x:v>
      </x:c>
      <x:c r="G18" s="114" t="s">
        <x:v>1282</x:v>
      </x:c>
      <x:c r="H18" s="203" t="n">
        <x:f aca="0">S35_PE_Leakage_Derivation!J36</x:f>
        <x:v>5612.863594208937</x:v>
      </x:c>
      <x:c r="I18" s="204" t="n">
        <x:v>0</x:v>
      </x:c>
      <x:c r="J18" s="205" t="n">
        <x:f aca="0">B18-H18-I18</x:f>
        <x:v>0</x:v>
      </x:c>
    </x:row>
    <x:row r="19" ht="27.75" hidden="0" customHeight="1">
      <x:c r="A19" s="114" t="n">
        <x:v>2035</x:v>
      </x:c>
      <x:c r="B19" s="202" t="n">
        <x:f aca="0">H19+I19</x:f>
        <x:v>5612.863594208937</x:v>
      </x:c>
      <x:c r="C19" s="202" t="n">
        <x:f aca="0">'S36_VMD0054_Leakage'!K187</x:f>
        <x:v>0</x:v>
      </x:c>
      <x:c r="D19" s="202" t="n">
        <x:f aca="0">D18+B19</x:f>
        <x:v>78407.38212568063</x:v>
      </x:c>
      <x:c r="E19" s="202" t="n">
        <x:f aca="0">E18+C19</x:f>
        <x:v>20990.32404640868</x:v>
      </x:c>
      <x:c r="F19" s="114" t="s">
        <x:v>1281</x:v>
      </x:c>
      <x:c r="G19" s="114" t="s">
        <x:v>1282</x:v>
      </x:c>
      <x:c r="H19" s="203" t="n">
        <x:f aca="0">S35_PE_Leakage_Derivation!J37</x:f>
        <x:v>5612.863594208937</x:v>
      </x:c>
      <x:c r="I19" s="204" t="n">
        <x:v>0</x:v>
      </x:c>
      <x:c r="J19" s="205" t="n">
        <x:f aca="0">B19-H19-I19</x:f>
        <x:v>0</x:v>
      </x:c>
    </x:row>
    <x:row r="20" ht="27.75" hidden="0" customHeight="1">
      <x:c r="A20" s="114" t="n">
        <x:v>2036</x:v>
      </x:c>
      <x:c r="B20" s="202" t="n">
        <x:f aca="0">H20+I20</x:f>
        <x:v>5612.863594208937</x:v>
      </x:c>
      <x:c r="C20" s="202" t="n">
        <x:f aca="0">'S36_VMD0054_Leakage'!K188</x:f>
        <x:v>0</x:v>
      </x:c>
      <x:c r="D20" s="202" t="n">
        <x:f aca="0">D19+B20</x:f>
        <x:v>84020.24571988956</x:v>
      </x:c>
      <x:c r="E20" s="202" t="n">
        <x:f aca="0">E19+C20</x:f>
        <x:v>20990.32404640868</x:v>
      </x:c>
      <x:c r="F20" s="114" t="s">
        <x:v>1281</x:v>
      </x:c>
      <x:c r="G20" s="114" t="s">
        <x:v>1282</x:v>
      </x:c>
      <x:c r="H20" s="203" t="n">
        <x:f aca="0">S35_PE_Leakage_Derivation!J38</x:f>
        <x:v>5612.863594208937</x:v>
      </x:c>
      <x:c r="I20" s="204" t="n">
        <x:v>0</x:v>
      </x:c>
      <x:c r="J20" s="205" t="n">
        <x:f aca="0">B20-H20-I20</x:f>
        <x:v>0</x:v>
      </x:c>
    </x:row>
    <x:row r="21" ht="27.75" hidden="0" customHeight="1">
      <x:c r="A21" s="114" t="n">
        <x:v>2037</x:v>
      </x:c>
      <x:c r="B21" s="202" t="n">
        <x:f aca="0">H21+I21</x:f>
        <x:v>5612.863594208937</x:v>
      </x:c>
      <x:c r="C21" s="202" t="n">
        <x:f aca="0">'S36_VMD0054_Leakage'!K189</x:f>
        <x:v>0</x:v>
      </x:c>
      <x:c r="D21" s="202" t="n">
        <x:f aca="0">D20+B21</x:f>
        <x:v>89633.10931409849</x:v>
      </x:c>
      <x:c r="E21" s="202" t="n">
        <x:f aca="0">E20+C21</x:f>
        <x:v>20990.32404640868</x:v>
      </x:c>
      <x:c r="F21" s="114" t="s">
        <x:v>1281</x:v>
      </x:c>
      <x:c r="G21" s="114" t="s">
        <x:v>1282</x:v>
      </x:c>
      <x:c r="H21" s="203" t="n">
        <x:f aca="0">S35_PE_Leakage_Derivation!J39</x:f>
        <x:v>5612.863594208937</x:v>
      </x:c>
      <x:c r="I21" s="204" t="n">
        <x:v>0</x:v>
      </x:c>
      <x:c r="J21" s="205" t="n">
        <x:f aca="0">B21-H21-I21</x:f>
        <x:v>0</x:v>
      </x:c>
    </x:row>
    <x:row r="22" ht="27.75" hidden="0" customHeight="1">
      <x:c r="A22" s="114" t="n">
        <x:v>2038</x:v>
      </x:c>
      <x:c r="B22" s="202" t="n">
        <x:f aca="0">H22+I22</x:f>
        <x:v>5612.863594208937</x:v>
      </x:c>
      <x:c r="C22" s="202" t="n">
        <x:f aca="0">'S36_VMD0054_Leakage'!K190</x:f>
        <x:v>0</x:v>
      </x:c>
      <x:c r="D22" s="202" t="n">
        <x:f aca="0">D21+B22</x:f>
        <x:v>95245.97290830742</x:v>
      </x:c>
      <x:c r="E22" s="202" t="n">
        <x:f aca="0">E21+C22</x:f>
        <x:v>20990.32404640868</x:v>
      </x:c>
      <x:c r="F22" s="114" t="s">
        <x:v>1281</x:v>
      </x:c>
      <x:c r="G22" s="114" t="s">
        <x:v>1282</x:v>
      </x:c>
      <x:c r="H22" s="203" t="n">
        <x:f aca="0">S35_PE_Leakage_Derivation!J40</x:f>
        <x:v>5612.863594208937</x:v>
      </x:c>
      <x:c r="I22" s="204" t="n">
        <x:v>0</x:v>
      </x:c>
      <x:c r="J22" s="205" t="n">
        <x:f aca="0">B22-H22-I22</x:f>
        <x:v>0</x:v>
      </x:c>
    </x:row>
    <x:row r="23" ht="27.75" hidden="0" customHeight="1">
      <x:c r="A23" s="114" t="n">
        <x:v>2039</x:v>
      </x:c>
      <x:c r="B23" s="202" t="n">
        <x:f aca="0">H23+I23</x:f>
        <x:v>5612.863594208937</x:v>
      </x:c>
      <x:c r="C23" s="202" t="n">
        <x:f aca="0">'S36_VMD0054_Leakage'!K191</x:f>
        <x:v>0</x:v>
      </x:c>
      <x:c r="D23" s="202" t="n">
        <x:f aca="0">D22+B23</x:f>
        <x:v>100858.83650251635</x:v>
      </x:c>
      <x:c r="E23" s="202" t="n">
        <x:f aca="0">E22+C23</x:f>
        <x:v>20990.32404640868</x:v>
      </x:c>
      <x:c r="F23" s="114" t="s">
        <x:v>1281</x:v>
      </x:c>
      <x:c r="G23" s="114" t="s">
        <x:v>1282</x:v>
      </x:c>
      <x:c r="H23" s="203" t="n">
        <x:f aca="0">S35_PE_Leakage_Derivation!J41</x:f>
        <x:v>5612.863594208937</x:v>
      </x:c>
      <x:c r="I23" s="204" t="n">
        <x:v>0</x:v>
      </x:c>
      <x:c r="J23" s="205" t="n">
        <x:f aca="0">B23-H23-I23</x:f>
        <x:v>0</x:v>
      </x:c>
    </x:row>
    <x:row r="24" ht="27.75" hidden="0" customHeight="1">
      <x:c r="A24" s="114" t="n">
        <x:v>2040</x:v>
      </x:c>
      <x:c r="B24" s="202" t="n">
        <x:f aca="0">H24+I24</x:f>
        <x:v>5612.863594208937</x:v>
      </x:c>
      <x:c r="C24" s="202" t="n">
        <x:f aca="0">'S36_VMD0054_Leakage'!K192</x:f>
        <x:v>0</x:v>
      </x:c>
      <x:c r="D24" s="202" t="n">
        <x:f aca="0">D23+B24</x:f>
        <x:v>106471.70009672528</x:v>
      </x:c>
      <x:c r="E24" s="202" t="n">
        <x:f aca="0">E23+C24</x:f>
        <x:v>20990.32404640868</x:v>
      </x:c>
      <x:c r="F24" s="114" t="s">
        <x:v>1281</x:v>
      </x:c>
      <x:c r="G24" s="114" t="s">
        <x:v>1282</x:v>
      </x:c>
      <x:c r="H24" s="203" t="n">
        <x:f aca="0">S35_PE_Leakage_Derivation!J42</x:f>
        <x:v>5612.863594208937</x:v>
      </x:c>
      <x:c r="I24" s="204" t="n">
        <x:v>0</x:v>
      </x:c>
      <x:c r="J24" s="205" t="n">
        <x:f aca="0">B24-H24-I24</x:f>
        <x:v>0</x:v>
      </x:c>
    </x:row>
    <x:row r="25">
      <x:c r="A25" t="str">
        <x:v>Note - final calculation use</x:v>
      </x:c>
    </x:row>
    <x:row r="26" ht="15" hidden="0" customHeight="1">
      <x:c r="A26" s="206" t="str">
        <x:v>Column C is linked to S36_VMD0054_Leakage FINAL-USE leakage. The historical 2020-2024 legacy series is retained as an audit source, but is multiplied by the credited-area / legacy-source-area factor so leakage uses the same 2,851.7985 ha accounting boundary as ERR and project emissions. Replace this fallback with parcel-level VMD0054 calculations when complete displacement inputs are available.</x:v>
      </x:c>
      <x:c r="B26" s="206"/>
      <x:c r="C26" s="206"/>
      <x:c r="D26" s="206"/>
      <x:c r="E26" s="206"/>
      <x:c r="F26" s="206"/>
      <x:c r="G26" s="206"/>
      <x:c r="H26" s="206"/>
      <x:c r="I26" s="206"/>
      <x:c r="J26" s="206"/>
    </x:row>
    <x:row r="27" ht="42" hidden="0" customHeight="1">
      <x:c r="A27" s="207" t="s">
        <x:v>1283</x:v>
      </x:c>
      <x:c r="B27" s="207"/>
      <x:c r="C27" s="207"/>
      <x:c r="D27" s="207"/>
      <x:c r="E27" s="207"/>
      <x:c r="F27" s="207"/>
      <x:c r="G27" s="207"/>
      <x:c r="H27" s="207"/>
      <x:c r="I27" s="207"/>
      <x:c r="J27" s="207"/>
    </x:row>
  </x:sheetData>
  <x:mergeCells>
    <x:mergeCell ref="A1:G1"/>
    <x:mergeCell ref="A26:J26"/>
    <x:mergeCell ref="A27:J27"/>
  </x:mergeCells>
  <x:pageMargins left="0.7" right="0.7" top="0.75" bottom="0.75" header="0.3" footer="0.3"/>
</x:worksheet>
</file>

<file path=xl/worksheets/sheet34.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2" width="26" style="1" hidden="0" customWidth="1"/>
    <x:col min="3" max="3" width="12" style="1" hidden="0" customWidth="1"/>
    <x:col min="4" max="4" width="16" style="1" hidden="0" customWidth="1"/>
    <x:col min="5" max="6" width="18" style="1" hidden="0" customWidth="1"/>
    <x:col min="7" max="7" width="14" style="1" hidden="0" customWidth="1"/>
  </x:cols>
  <x:sheetData>
    <x:row r="1" ht="24" hidden="0" customHeight="1">
      <x:c r="A1" s="38" t="s">
        <x:v>1284</x:v>
      </x:c>
      <x:c r="B1" s="38"/>
      <x:c r="C1" s="38"/>
      <x:c r="D1" s="38"/>
      <x:c r="E1" s="38"/>
      <x:c r="F1" s="38"/>
      <x:c r="G1" s="38"/>
    </x:row>
    <x:row r="2" ht="15" hidden="0" customHeight="1">
      <x:c r="A2" s="39" t="s">
        <x:v>1285</x:v>
      </x:c>
      <x:c r="B2" s="39"/>
      <x:c r="C2" s="39"/>
      <x:c r="D2" s="39"/>
      <x:c r="E2" s="39"/>
      <x:c r="F2" s="39"/>
      <x:c r="G2" s="39"/>
    </x:row>
    <x:row r="3" ht="15" hidden="0" customHeight="1">
      <x:c r="A3" s="40"/>
      <x:c r="B3" s="40"/>
      <x:c r="C3" s="40"/>
      <x:c r="D3" s="40"/>
      <x:c r="E3" s="40"/>
      <x:c r="F3" s="40"/>
      <x:c r="G3" s="40"/>
    </x:row>
    <x:row r="4" ht="129.75" hidden="0" customHeight="1">
      <x:c r="A4" s="129" t="s">
        <x:v>1286</x:v>
      </x:c>
      <x:c r="B4" s="129"/>
      <x:c r="C4" s="129"/>
      <x:c r="D4" s="129"/>
      <x:c r="E4" s="129"/>
      <x:c r="F4" s="129"/>
      <x:c r="G4" s="129"/>
    </x:row>
    <x:row r="6" ht="21.75" hidden="0" customHeight="1">
      <x:c r="A6" s="92" t="s">
        <x:v>1287</x:v>
      </x:c>
      <x:c r="B6" s="92" t="s">
        <x:v>1288</x:v>
      </x:c>
      <x:c r="C6" s="92" t="s">
        <x:v>1289</x:v>
      </x:c>
      <x:c r="D6" s="92" t="s">
        <x:v>1290</x:v>
      </x:c>
      <x:c r="E6" s="92" t="s">
        <x:v>1291</x:v>
      </x:c>
      <x:c r="F6" s="92" t="s">
        <x:v>1292</x:v>
      </x:c>
      <x:c r="G6" s="92" t="s">
        <x:v>1293</x:v>
      </x:c>
    </x:row>
    <x:row r="7" ht="15" hidden="0" customHeight="1">
      <x:c r="A7" s="132" t="s">
        <x:v>1294</x:v>
      </x:c>
      <x:c r="B7" s="132" t="s">
        <x:v>1295</x:v>
      </x:c>
      <x:c r="C7" s="132" t="s">
        <x:v>1296</x:v>
      </x:c>
      <x:c r="D7" s="132" t="s">
        <x:v>1297</x:v>
      </x:c>
      <x:c r="E7" s="132"/>
      <x:c r="F7" s="132" t="s">
        <x:v>1298</x:v>
      </x:c>
      <x:c r="G7" s="132" t="s">
        <x:v>1299</x:v>
      </x:c>
    </x:row>
    <x:row r="8" ht="15" hidden="0" customHeight="1">
      <x:c r="A8" s="132" t="s">
        <x:v>877</x:v>
      </x:c>
      <x:c r="B8" s="132" t="s">
        <x:v>1300</x:v>
      </x:c>
      <x:c r="C8" s="132" t="s">
        <x:v>1296</x:v>
      </x:c>
      <x:c r="D8" s="132" t="s">
        <x:v>1301</x:v>
      </x:c>
      <x:c r="E8" s="132"/>
      <x:c r="F8" s="132" t="s">
        <x:v>1302</x:v>
      </x:c>
      <x:c r="G8" s="132" t="s">
        <x:v>1299</x:v>
      </x:c>
    </x:row>
    <x:row r="9" ht="15" hidden="0" customHeight="1">
      <x:c r="A9" s="132" t="s">
        <x:v>1303</x:v>
      </x:c>
      <x:c r="B9" s="132" t="s">
        <x:v>1304</x:v>
      </x:c>
      <x:c r="C9" s="132" t="s">
        <x:v>1296</x:v>
      </x:c>
      <x:c r="D9" s="132" t="s">
        <x:v>1301</x:v>
      </x:c>
      <x:c r="E9" s="132"/>
      <x:c r="F9" s="132" t="s">
        <x:v>1305</x:v>
      </x:c>
      <x:c r="G9" s="132" t="s">
        <x:v>1299</x:v>
      </x:c>
    </x:row>
    <x:row r="10" ht="15" hidden="0" customHeight="1">
      <x:c r="A10" s="132" t="s">
        <x:v>1306</x:v>
      </x:c>
      <x:c r="B10" s="132" t="s">
        <x:v>1307</x:v>
      </x:c>
      <x:c r="C10" s="132" t="s">
        <x:v>1296</x:v>
      </x:c>
      <x:c r="D10" s="132" t="s">
        <x:v>1308</x:v>
      </x:c>
      <x:c r="E10" s="132"/>
      <x:c r="F10" s="132"/>
      <x:c r="G10" s="132" t="s">
        <x:v>1299</x:v>
      </x:c>
    </x:row>
    <x:row r="11" ht="15" hidden="0" customHeight="1">
      <x:c r="A11" s="132" t="s">
        <x:v>1309</x:v>
      </x:c>
      <x:c r="B11" s="132" t="s">
        <x:v>1310</x:v>
      </x:c>
      <x:c r="C11" s="132" t="s">
        <x:v>1296</x:v>
      </x:c>
      <x:c r="D11" s="132" t="s">
        <x:v>1301</x:v>
      </x:c>
      <x:c r="E11" s="132"/>
      <x:c r="F11" s="132" t="s">
        <x:v>1311</x:v>
      </x:c>
      <x:c r="G11" s="132" t="s">
        <x:v>1299</x:v>
      </x:c>
    </x:row>
    <x:row r="12" ht="15" hidden="0" customHeight="1">
      <x:c r="A12" s="132" t="s">
        <x:v>1312</x:v>
      </x:c>
      <x:c r="B12" s="132" t="s">
        <x:v>1313</x:v>
      </x:c>
      <x:c r="C12" s="132" t="s">
        <x:v>1296</x:v>
      </x:c>
      <x:c r="D12" s="132" t="s">
        <x:v>1301</x:v>
      </x:c>
      <x:c r="E12" s="132"/>
      <x:c r="F12" s="132" t="s">
        <x:v>1314</x:v>
      </x:c>
      <x:c r="G12" s="132" t="s">
        <x:v>1299</x:v>
      </x:c>
    </x:row>
    <x:row r="13" ht="15" hidden="0" customHeight="1">
      <x:c r="A13" s="132" t="s">
        <x:v>1315</x:v>
      </x:c>
      <x:c r="B13" s="132" t="s">
        <x:v>1316</x:v>
      </x:c>
      <x:c r="C13" s="132" t="s">
        <x:v>1296</x:v>
      </x:c>
      <x:c r="D13" s="132" t="s">
        <x:v>1317</x:v>
      </x:c>
      <x:c r="E13" s="132"/>
      <x:c r="F13" s="132" t="s">
        <x:v>1305</x:v>
      </x:c>
      <x:c r="G13" s="132" t="s">
        <x:v>1299</x:v>
      </x:c>
    </x:row>
    <x:row r="14" ht="15" hidden="0" customHeight="1">
      <x:c r="A14" s="132" t="s">
        <x:v>1318</x:v>
      </x:c>
      <x:c r="B14" s="132" t="s">
        <x:v>1319</x:v>
      </x:c>
      <x:c r="C14" s="132" t="s">
        <x:v>1296</x:v>
      </x:c>
      <x:c r="D14" s="132" t="s">
        <x:v>1317</x:v>
      </x:c>
      <x:c r="E14" s="132"/>
      <x:c r="F14" s="132"/>
      <x:c r="G14" s="132" t="s">
        <x:v>1299</x:v>
      </x:c>
    </x:row>
    <x:row r="15" ht="15" hidden="0" customHeight="1">
      <x:c r="A15" s="132" t="s">
        <x:v>1320</x:v>
      </x:c>
      <x:c r="B15" s="132" t="s">
        <x:v>1321</x:v>
      </x:c>
      <x:c r="C15" s="132" t="s">
        <x:v>1296</x:v>
      </x:c>
      <x:c r="D15" s="132" t="s">
        <x:v>1322</x:v>
      </x:c>
      <x:c r="E15" s="132"/>
      <x:c r="F15" s="132"/>
      <x:c r="G15" s="132" t="s">
        <x:v>1299</x:v>
      </x:c>
    </x:row>
    <x:row r="16" ht="15" hidden="0" customHeight="1">
      <x:c r="A16" s="132" t="s">
        <x:v>1323</x:v>
      </x:c>
      <x:c r="B16" s="132" t="s">
        <x:v>1324</x:v>
      </x:c>
      <x:c r="C16" s="132" t="s">
        <x:v>1296</x:v>
      </x:c>
      <x:c r="D16" s="132" t="s">
        <x:v>1325</x:v>
      </x:c>
      <x:c r="E16" s="132"/>
      <x:c r="F16" s="132"/>
      <x:c r="G16" s="132" t="s">
        <x:v>1299</x:v>
      </x:c>
    </x:row>
    <x:row r="17" ht="15" hidden="0" customHeight="1">
      <x:c r="A17" s="132" t="s">
        <x:v>842</x:v>
      </x:c>
      <x:c r="B17" s="132" t="s">
        <x:v>1326</x:v>
      </x:c>
      <x:c r="C17" s="132" t="s">
        <x:v>1296</x:v>
      </x:c>
      <x:c r="D17" s="132" t="s">
        <x:v>1322</x:v>
      </x:c>
      <x:c r="E17" s="132" t="n">
        <x:v>50</x:v>
      </x:c>
      <x:c r="F17" s="132" t="s">
        <x:v>1327</x:v>
      </x:c>
      <x:c r="G17" s="132" t="s">
        <x:v>1299</x:v>
      </x:c>
    </x:row>
    <x:row r="18" ht="15" hidden="0" customHeight="1">
      <x:c r="A18" s="132" t="s">
        <x:v>1328</x:v>
      </x:c>
      <x:c r="B18" s="132" t="s">
        <x:v>1329</x:v>
      </x:c>
      <x:c r="C18" s="132" t="s">
        <x:v>1296</x:v>
      </x:c>
      <x:c r="D18" s="132" t="s">
        <x:v>1301</x:v>
      </x:c>
      <x:c r="E18" s="132"/>
      <x:c r="F18" s="132" t="s">
        <x:v>1327</x:v>
      </x:c>
      <x:c r="G18" s="132" t="s">
        <x:v>1299</x:v>
      </x:c>
    </x:row>
    <x:row r="19" ht="15" hidden="0" customHeight="1">
      <x:c r="A19" s="132" t="s">
        <x:v>1330</x:v>
      </x:c>
      <x:c r="B19" s="132" t="s">
        <x:v>1331</x:v>
      </x:c>
      <x:c r="C19" s="132" t="s">
        <x:v>1332</x:v>
      </x:c>
      <x:c r="D19" s="132" t="s">
        <x:v>1333</x:v>
      </x:c>
      <x:c r="E19" s="132"/>
      <x:c r="F19" s="132" t="s">
        <x:v>1334</x:v>
      </x:c>
      <x:c r="G19" s="132" t="s">
        <x:v>1299</x:v>
      </x:c>
    </x:row>
    <x:row r="20" ht="15" hidden="0" customHeight="1">
      <x:c r="A20" s="132" t="s">
        <x:v>864</x:v>
      </x:c>
      <x:c r="B20" s="132" t="s">
        <x:v>1335</x:v>
      </x:c>
      <x:c r="C20" s="132" t="s">
        <x:v>1332</x:v>
      </x:c>
      <x:c r="D20" s="132" t="s">
        <x:v>1322</x:v>
      </x:c>
      <x:c r="E20" s="132" t="n">
        <x:v>150</x:v>
      </x:c>
      <x:c r="F20" s="132" t="s">
        <x:v>1336</x:v>
      </x:c>
      <x:c r="G20" s="132" t="s">
        <x:v>1299</x:v>
      </x:c>
    </x:row>
    <x:row r="21" ht="15" hidden="0" customHeight="1">
      <x:c r="A21" s="132" t="s">
        <x:v>852</x:v>
      </x:c>
      <x:c r="B21" s="132" t="s">
        <x:v>1337</x:v>
      </x:c>
      <x:c r="C21" s="132" t="s">
        <x:v>1332</x:v>
      </x:c>
      <x:c r="D21" s="132" t="s">
        <x:v>1338</x:v>
      </x:c>
      <x:c r="E21" s="132" t="n">
        <x:v>20</x:v>
      </x:c>
      <x:c r="F21" s="132" t="s">
        <x:v>1311</x:v>
      </x:c>
      <x:c r="G21" s="132" t="s">
        <x:v>1299</x:v>
      </x:c>
    </x:row>
    <x:row r="22" ht="15" hidden="0" customHeight="1">
      <x:c r="A22" s="132" t="s">
        <x:v>844</x:v>
      </x:c>
      <x:c r="B22" s="132" t="s">
        <x:v>1339</x:v>
      </x:c>
      <x:c r="C22" s="132" t="s">
        <x:v>1332</x:v>
      </x:c>
      <x:c r="D22" s="132" t="s">
        <x:v>1340</x:v>
      </x:c>
      <x:c r="E22" s="132" t="n">
        <x:v>20</x:v>
      </x:c>
      <x:c r="F22" s="132" t="s">
        <x:v>1311</x:v>
      </x:c>
      <x:c r="G22" s="132" t="s">
        <x:v>1299</x:v>
      </x:c>
    </x:row>
    <x:row r="23" ht="15" hidden="0" customHeight="1">
      <x:c r="A23" s="132" t="s">
        <x:v>1341</x:v>
      </x:c>
      <x:c r="B23" s="132" t="s">
        <x:v>1342</x:v>
      </x:c>
      <x:c r="C23" s="132" t="s">
        <x:v>1332</x:v>
      </x:c>
      <x:c r="D23" s="132" t="s">
        <x:v>1301</x:v>
      </x:c>
      <x:c r="E23" s="132" t="n">
        <x:v>30</x:v>
      </x:c>
      <x:c r="F23" s="132" t="s">
        <x:v>1314</x:v>
      </x:c>
      <x:c r="G23" s="132" t="s">
        <x:v>1299</x:v>
      </x:c>
    </x:row>
    <x:row r="24" ht="15" hidden="0" customHeight="1">
      <x:c r="A24" s="132" t="s">
        <x:v>1343</x:v>
      </x:c>
      <x:c r="B24" s="132" t="s">
        <x:v>1344</x:v>
      </x:c>
      <x:c r="C24" s="132" t="s">
        <x:v>1332</x:v>
      </x:c>
      <x:c r="D24" s="132" t="s">
        <x:v>1301</x:v>
      </x:c>
      <x:c r="E24" s="132"/>
      <x:c r="F24" s="132"/>
      <x:c r="G24" s="132" t="s">
        <x:v>1299</x:v>
      </x:c>
    </x:row>
    <x:row r="25" ht="15" hidden="0" customHeight="1">
      <x:c r="A25" s="132" t="s">
        <x:v>1345</x:v>
      </x:c>
      <x:c r="B25" s="132" t="s">
        <x:v>1346</x:v>
      </x:c>
      <x:c r="C25" s="132" t="s">
        <x:v>1332</x:v>
      </x:c>
      <x:c r="D25" s="132" t="s">
        <x:v>1301</x:v>
      </x:c>
      <x:c r="E25" s="132"/>
      <x:c r="F25" s="132"/>
      <x:c r="G25" s="132" t="s">
        <x:v>1299</x:v>
      </x:c>
    </x:row>
    <x:row r="27" ht="54.75" hidden="0" customHeight="1">
      <x:c r="A27" s="208" t="s">
        <x:v>1347</x:v>
      </x:c>
      <x:c r="B27" s="208"/>
      <x:c r="C27" s="208"/>
      <x:c r="D27" s="208"/>
      <x:c r="E27" s="208"/>
      <x:c r="F27" s="208"/>
      <x:c r="G27" s="208"/>
    </x:row>
  </x:sheetData>
  <x:mergeCells>
    <x:mergeCell ref="A1:G1"/>
    <x:mergeCell ref="A2:G2"/>
    <x:mergeCell ref="A4:G4"/>
    <x:mergeCell ref="A27:G27"/>
  </x:mergeCells>
  <x:pageMargins left="0.7" right="0.7" top="0.75" bottom="0.75" header="0.3" footer="0.3"/>
</x:worksheet>
</file>

<file path=xl/worksheets/sheet35.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42" style="1" hidden="0" customWidth="1"/>
    <x:col min="2" max="2" width="16" style="1" hidden="0" customWidth="1"/>
    <x:col min="3" max="3" width="18" style="1" hidden="0" customWidth="1"/>
    <x:col min="4" max="4" width="52" style="1" hidden="0" customWidth="1"/>
    <x:col min="5" max="10" width="15" style="1" hidden="0" customWidth="1"/>
  </x:cols>
  <x:sheetData>
    <x:row r="1" ht="24" hidden="0" customHeight="1">
      <x:c r="A1" s="38" t="s">
        <x:v>1348</x:v>
      </x:c>
      <x:c r="B1" s="38"/>
      <x:c r="C1" s="38"/>
      <x:c r="D1" s="38"/>
      <x:c r="E1" s="38"/>
      <x:c r="F1" s="38"/>
      <x:c r="G1" s="38"/>
      <x:c r="H1" s="38"/>
      <x:c r="I1" s="38"/>
      <x:c r="J1" s="38"/>
    </x:row>
    <x:row r="2" ht="15" hidden="0" customHeight="1">
      <x:c r="A2" s="39" t="s">
        <x:v>1349</x:v>
      </x:c>
      <x:c r="B2" s="39"/>
      <x:c r="C2" s="39"/>
      <x:c r="D2" s="39"/>
      <x:c r="E2" s="39"/>
      <x:c r="F2" s="39"/>
      <x:c r="G2" s="39"/>
      <x:c r="H2" s="39"/>
      <x:c r="I2" s="39"/>
      <x:c r="J2" s="39"/>
    </x:row>
    <x:row r="3" ht="15" hidden="0" customHeight="1"/>
    <x:row r="4" ht="15" hidden="0" customHeight="1">
      <x:c r="A4" s="209" t="s">
        <x:v>1350</x:v>
      </x:c>
      <x:c r="B4" s="209"/>
      <x:c r="C4" s="209"/>
      <x:c r="D4" s="209"/>
      <x:c r="E4" s="209"/>
      <x:c r="F4" s="209"/>
      <x:c r="G4" s="209"/>
      <x:c r="H4" s="209"/>
      <x:c r="I4" s="209"/>
      <x:c r="J4" s="209"/>
    </x:row>
    <x:row r="5" ht="15" hidden="0" customHeight="1"/>
    <x:row r="6" ht="15" hidden="0" customHeight="1">
      <x:c r="A6" s="127" t="s">
        <x:v>1351</x:v>
      </x:c>
      <x:c r="B6" s="210" t="n">
        <x:v>834.76</x:v>
      </x:c>
      <x:c r="C6" s="80" t="s">
        <x:v>1352</x:v>
      </x:c>
      <x:c r="D6" s="211" t="s">
        <x:v>1353</x:v>
      </x:c>
      <x:c r="E6" s="211"/>
      <x:c r="F6" s="211"/>
      <x:c r="G6" s="211"/>
      <x:c r="H6" s="211"/>
      <x:c r="I6" s="211"/>
      <x:c r="J6" s="211"/>
    </x:row>
    <x:row r="7" ht="15" hidden="0" customHeight="1">
      <x:c r="A7" s="127" t="s">
        <x:v>1354</x:v>
      </x:c>
      <x:c r="B7" s="212" t="n">
        <x:f aca="0">S08_Defaults!$B$14</x:f>
        <x:v>2851.798533508701</x:v>
      </x:c>
      <x:c r="C7" s="80" t="s">
        <x:v>371</x:v>
      </x:c>
      <x:c r="D7" s="211" t="str">
        <x:v>Linked to S08_Defaults / S17_Biome_Strata eligible area.</x:v>
      </x:c>
      <x:c r="E7" s="211"/>
      <x:c r="F7" s="211"/>
      <x:c r="G7" s="211"/>
      <x:c r="H7" s="211"/>
      <x:c r="I7" s="211"/>
      <x:c r="J7" s="211"/>
    </x:row>
    <x:row r="8" ht="15" hidden="0" customHeight="1">
      <x:c r="A8" s="213" t="s">
        <x:v>1355</x:v>
      </x:c>
      <x:c r="B8" s="214" t="n">
        <x:v>100</x:v>
      </x:c>
      <x:c r="C8" s="80" t="s">
        <x:v>1356</x:v>
      </x:c>
      <x:c r="D8" s="211" t="s">
        <x:v>1357</x:v>
      </x:c>
      <x:c r="E8" s="211"/>
      <x:c r="F8" s="211"/>
      <x:c r="G8" s="211"/>
      <x:c r="H8" s="211"/>
      <x:c r="I8" s="211"/>
      <x:c r="J8" s="211"/>
    </x:row>
    <x:row r="9" ht="15" hidden="0" customHeight="1">
      <x:c r="A9" s="213" t="s">
        <x:v>1358</x:v>
      </x:c>
      <x:c r="B9" s="214" t="n">
        <x:v>200</x:v>
      </x:c>
      <x:c r="C9" s="80" t="s">
        <x:v>1356</x:v>
      </x:c>
      <x:c r="D9" s="211" t="s">
        <x:v>1359</x:v>
      </x:c>
      <x:c r="E9" s="211"/>
      <x:c r="F9" s="211"/>
      <x:c r="G9" s="211"/>
      <x:c r="H9" s="211"/>
      <x:c r="I9" s="211"/>
      <x:c r="J9" s="211"/>
    </x:row>
    <x:row r="10" ht="15" hidden="0" customHeight="1">
      <x:c r="A10" s="213" t="s">
        <x:v>1360</x:v>
      </x:c>
      <x:c r="B10" s="214" t="n">
        <x:v>300</x:v>
      </x:c>
      <x:c r="C10" s="80" t="s">
        <x:v>1356</x:v>
      </x:c>
      <x:c r="D10" s="211" t="s">
        <x:v>1361</x:v>
      </x:c>
      <x:c r="E10" s="211"/>
      <x:c r="F10" s="211"/>
      <x:c r="G10" s="211"/>
      <x:c r="H10" s="211"/>
      <x:c r="I10" s="211"/>
      <x:c r="J10" s="211"/>
    </x:row>
    <x:row r="11" ht="15" hidden="0" customHeight="1">
      <x:c r="A11" s="213" t="s">
        <x:v>1362</x:v>
      </x:c>
      <x:c r="B11" s="214" t="n">
        <x:v>400</x:v>
      </x:c>
      <x:c r="C11" s="80" t="s">
        <x:v>1356</x:v>
      </x:c>
      <x:c r="D11" s="211" t="s">
        <x:v>1363</x:v>
      </x:c>
      <x:c r="E11" s="211"/>
      <x:c r="F11" s="211"/>
      <x:c r="G11" s="211"/>
      <x:c r="H11" s="211"/>
      <x:c r="I11" s="211"/>
      <x:c r="J11" s="211"/>
    </x:row>
    <x:row r="12" ht="15" hidden="0" customHeight="1">
      <x:c r="A12" s="127" t="s">
        <x:v>1364</x:v>
      </x:c>
      <x:c r="B12" s="215" t="n">
        <x:v>0.01</x:v>
      </x:c>
      <x:c r="C12" s="80" t="s">
        <x:v>1365</x:v>
      </x:c>
      <x:c r="D12" s="211" t="s">
        <x:v>1366</x:v>
      </x:c>
      <x:c r="E12" s="211"/>
      <x:c r="F12" s="211"/>
      <x:c r="G12" s="211"/>
      <x:c r="H12" s="211"/>
      <x:c r="I12" s="211"/>
      <x:c r="J12" s="211"/>
    </x:row>
    <x:row r="13" ht="15" hidden="0" customHeight="1">
      <x:c r="A13" s="127" t="s">
        <x:v>1367</x:v>
      </x:c>
      <x:c r="B13" s="215" t="n">
        <x:v>0.11</x:v>
      </x:c>
      <x:c r="C13" s="80" t="s">
        <x:v>1368</x:v>
      </x:c>
      <x:c r="D13" s="211" t="s">
        <x:v>1369</x:v>
      </x:c>
      <x:c r="E13" s="211"/>
      <x:c r="F13" s="211"/>
      <x:c r="G13" s="211"/>
      <x:c r="H13" s="211"/>
      <x:c r="I13" s="211"/>
      <x:c r="J13" s="211"/>
    </x:row>
    <x:row r="14" ht="15" hidden="0" customHeight="1">
      <x:c r="A14" s="127" t="s">
        <x:v>1370</x:v>
      </x:c>
      <x:c r="B14" s="215" t="n">
        <x:v>0.01</x:v>
      </x:c>
      <x:c r="C14" s="80" t="s">
        <x:v>1371</x:v>
      </x:c>
      <x:c r="D14" s="211" t="s">
        <x:v>1369</x:v>
      </x:c>
      <x:c r="E14" s="211"/>
      <x:c r="F14" s="211"/>
      <x:c r="G14" s="211"/>
      <x:c r="H14" s="211"/>
      <x:c r="I14" s="211"/>
      <x:c r="J14" s="211"/>
    </x:row>
    <x:row r="15" ht="15" hidden="0" customHeight="1">
      <x:c r="A15" s="127" t="s">
        <x:v>1372</x:v>
      </x:c>
      <x:c r="B15" s="215" t="n">
        <x:v>0.24</x:v>
      </x:c>
      <x:c r="C15" s="80" t="s">
        <x:v>1368</x:v>
      </x:c>
      <x:c r="D15" s="211" t="s">
        <x:v>1373</x:v>
      </x:c>
      <x:c r="E15" s="211"/>
      <x:c r="F15" s="211"/>
      <x:c r="G15" s="211"/>
      <x:c r="H15" s="211"/>
      <x:c r="I15" s="211"/>
      <x:c r="J15" s="211"/>
    </x:row>
    <x:row r="16" ht="15" hidden="0" customHeight="1">
      <x:c r="A16" s="127" t="s">
        <x:v>1374</x:v>
      </x:c>
      <x:c r="B16" s="215" t="n">
        <x:v>0.011</x:v>
      </x:c>
      <x:c r="C16" s="80" t="s">
        <x:v>1375</x:v>
      </x:c>
      <x:c r="D16" s="211" t="s">
        <x:v>1369</x:v>
      </x:c>
      <x:c r="E16" s="211"/>
      <x:c r="F16" s="211"/>
      <x:c r="G16" s="211"/>
      <x:c r="H16" s="211"/>
      <x:c r="I16" s="211"/>
      <x:c r="J16" s="211"/>
    </x:row>
    <x:row r="17" ht="15" hidden="0" customHeight="1">
      <x:c r="A17" s="127" t="s">
        <x:v>1376</x:v>
      </x:c>
      <x:c r="B17" s="215" t="n">
        <x:v>273</x:v>
      </x:c>
      <x:c r="C17" s="80" t="s">
        <x:v>1377</x:v>
      </x:c>
      <x:c r="D17" s="211" t="s">
        <x:v>1378</x:v>
      </x:c>
      <x:c r="E17" s="211"/>
      <x:c r="F17" s="211"/>
      <x:c r="G17" s="211"/>
      <x:c r="H17" s="211"/>
      <x:c r="I17" s="211"/>
      <x:c r="J17" s="211"/>
    </x:row>
    <x:row r="18" ht="27.75" hidden="0" customHeight="1">
      <x:c r="A18" s="216" t="str">
        <x:v>FINAL CALCULATION LINK: PE_fert calculated below feeds S33_Project_Deductions column H; total project emissions in column B then flow into every Biome×Model Eq.(32) calculation and the year-wise S04_Final_ERR.</x:v>
      </x:c>
      <x:c r="B18" s="216"/>
      <x:c r="C18" s="216"/>
      <x:c r="D18" s="216"/>
      <x:c r="E18" s="216"/>
      <x:c r="F18" s="216"/>
      <x:c r="G18" s="216"/>
      <x:c r="H18" s="216"/>
      <x:c r="I18" s="216"/>
      <x:c r="J18" s="216"/>
    </x:row>
    <x:row r="19" ht="31.5" hidden="0" customHeight="1">
      <x:c r="A19" s="217" t="s">
        <x:v>1379</x:v>
      </x:c>
      <x:c r="B19" s="217"/>
      <x:c r="C19" s="217"/>
      <x:c r="D19" s="217"/>
      <x:c r="E19" s="217"/>
      <x:c r="F19" s="217"/>
      <x:c r="G19" s="217"/>
      <x:c r="H19" s="217"/>
      <x:c r="I19" s="217"/>
      <x:c r="J19" s="217"/>
    </x:row>
    <x:row r="20" ht="15" hidden="0" customHeight="1"/>
    <x:row r="21" ht="15" hidden="0" customHeight="1">
      <x:c r="A21" s="218" t="s">
        <x:v>86</x:v>
      </x:c>
      <x:c r="B21" s="218" t="s">
        <x:v>1380</x:v>
      </x:c>
      <x:c r="C21" s="218" t="s">
        <x:v>1381</x:v>
      </x:c>
      <x:c r="D21" s="218" t="s">
        <x:v>1382</x:v>
      </x:c>
      <x:c r="E21" s="218" t="s">
        <x:v>1383</x:v>
      </x:c>
      <x:c r="F21" s="218" t="s">
        <x:v>1384</x:v>
      </x:c>
      <x:c r="G21" s="218" t="s">
        <x:v>1385</x:v>
      </x:c>
      <x:c r="H21" s="218" t="s">
        <x:v>1386</x:v>
      </x:c>
      <x:c r="I21" s="218" t="s">
        <x:v>1387</x:v>
      </x:c>
      <x:c r="J21" s="218" t="s">
        <x:v>1388</x:v>
      </x:c>
    </x:row>
    <x:row r="22" ht="15" hidden="0" customHeight="1">
      <x:c r="A22" s="128" t="n">
        <x:v>2020</x:v>
      </x:c>
      <x:c r="B22" s="128" t="n">
        <x:f aca="0">IF($A22&lt;2020,"",$A22-2020)</x:f>
        <x:v>0</x:v>
      </x:c>
      <x:c r="C22" s="128" t="str">
        <x:f aca="0">IF($A22&lt;2021,"",$A22-2021)</x:f>
      </x:c>
      <x:c r="D22" s="128" t="str">
        <x:f aca="0">IF($A22&lt;2022,"",$A22-2022)</x:f>
      </x:c>
      <x:c r="E22" s="128" t="str">
        <x:f aca="0">IF($A22&lt;2023,"",$A22-2023)</x:f>
      </x:c>
      <x:c r="F22" s="128" t="str">
        <x:f aca="0">IF($A22&lt;2024,"",$A22-2024)</x:f>
      </x:c>
      <x:c r="G22" s="128" t="n">
        <x:f aca="0">((SUMIFS(S17_Biome_Strata!$F:$F,S17_Biome_Strata!$D:$D,2020)*$B$6*(IF(COUNT(B22)=0,0,IF(B22=0,$B$8,IF(B22=1,$B$9,IF(B22=2,$B$10,$B$11))))))+(SUMIFS(S17_Biome_Strata!$F:$F,S17_Biome_Strata!$D:$D,2021)*$B$6*(IF(COUNT(C22)=0,0,IF(C22=0,$B$8,IF(C22=1,$B$9,IF(C22=2,$B$10,$B$11))))))+(SUMIFS(S17_Biome_Strata!$F:$F,S17_Biome_Strata!$D:$D,2022)*$B$6*(IF(COUNT(D22)=0,0,IF(D22=0,$B$8,IF(D22=1,$B$9,IF(D22=2,$B$10,$B$11))))))+(SUMIFS(S17_Biome_Strata!$F:$F,S17_Biome_Strata!$D:$D,2023)*$B$6*(IF(COUNT(E22)=0,0,IF(E22=0,$B$8,IF(E22=1,$B$9,IF(E22=2,$B$10,$B$11))))))+(SUMIFS(S17_Biome_Strata!$F:$F,S17_Biome_Strata!$D:$D,2024)*$B$6*(IF(COUNT(F22)=0,0,IF(F22=0,$B$8,IF(F22=1,$B$9,IF(F22=2,$B$10,$B$11)))))))/1000</x:f>
        <x:v>157906.02046729552</x:v>
      </x:c>
      <x:c r="H22" s="128" t="n">
        <x:f aca="0">G22*($B$12+$B$13*$B$14+$B$15*$B$16)</x:f>
        <x:v>2169.6287212206403</x:v>
      </x:c>
      <x:c r="I22" s="128" t="n">
        <x:f aca="0">H22*44/28</x:f>
        <x:v>3409.416561918149</x:v>
      </x:c>
      <x:c r="J22" s="128" t="n">
        <x:f aca="0">I22/1000*$B$17</x:f>
        <x:v>930.7707214036548</x:v>
      </x:c>
    </x:row>
    <x:row r="23" ht="15" hidden="0" customHeight="1">
      <x:c r="A23" s="128" t="n">
        <x:v>2021</x:v>
      </x:c>
      <x:c r="B23" s="128" t="n">
        <x:f aca="0">IF($A23&lt;2020,"",$A23-2020)</x:f>
        <x:v>1</x:v>
      </x:c>
      <x:c r="C23" s="128" t="n">
        <x:f aca="0">IF($A23&lt;2021,"",$A23-2021)</x:f>
        <x:v>0</x:v>
      </x:c>
      <x:c r="D23" s="128" t="str">
        <x:f aca="0">IF($A23&lt;2022,"",$A23-2022)</x:f>
      </x:c>
      <x:c r="E23" s="128" t="str">
        <x:f aca="0">IF($A23&lt;2023,"",$A23-2023)</x:f>
      </x:c>
      <x:c r="F23" s="128" t="str">
        <x:f aca="0">IF($A23&lt;2024,"",$A23-2024)</x:f>
      </x:c>
      <x:c r="G23" s="128" t="n">
        <x:f aca="0">((SUMIFS(S17_Biome_Strata!$F:$F,S17_Biome_Strata!$D:$D,2020)*$B$6*(IF(COUNT(B23)=0,0,IF(B23=0,$B$8,IF(B23=1,$B$9,IF(B23=2,$B$10,$B$11))))))+(SUMIFS(S17_Biome_Strata!$F:$F,S17_Biome_Strata!$D:$D,2021)*$B$6*(IF(COUNT(C23)=0,0,IF(C23=0,$B$8,IF(C23=1,$B$9,IF(C23=2,$B$10,$B$11))))))+(SUMIFS(S17_Biome_Strata!$F:$F,S17_Biome_Strata!$D:$D,2022)*$B$6*(IF(COUNT(D23)=0,0,IF(D23=0,$B$8,IF(D23=1,$B$9,IF(D23=2,$B$10,$B$11))))))+(SUMIFS(S17_Biome_Strata!$F:$F,S17_Biome_Strata!$D:$D,2023)*$B$6*(IF(COUNT(E23)=0,0,IF(E23=0,$B$8,IF(E23=1,$B$9,IF(E23=2,$B$10,$B$11))))))+(SUMIFS(S17_Biome_Strata!$F:$F,S17_Biome_Strata!$D:$D,2024)*$B$6*(IF(COUNT(F23)=0,0,IF(F23=0,$B$8,IF(F23=1,$B$9,IF(F23=2,$B$10,$B$11)))))))/1000</x:f>
        <x:v>356269.0123030454</x:v>
      </x:c>
      <x:c r="H23" s="128" t="n">
        <x:f aca="0">G23*($B$12+$B$13*$B$14+$B$15*$B$16)</x:f>
        <x:v>4895.136229043845</x:v>
      </x:c>
      <x:c r="I23" s="128" t="n">
        <x:f aca="0">H23*44/28</x:f>
        <x:v>7692.356931354613</x:v>
      </x:c>
      <x:c r="J23" s="128" t="n">
        <x:f aca="0">I23/1000*$B$17</x:f>
        <x:v>2100.0134422598094</x:v>
      </x:c>
    </x:row>
    <x:row r="24" ht="15" hidden="0" customHeight="1">
      <x:c r="A24" s="128" t="n">
        <x:v>2022</x:v>
      </x:c>
      <x:c r="B24" s="128" t="n">
        <x:f aca="0">IF($A24&lt;2020,"",$A24-2020)</x:f>
        <x:v>2</x:v>
      </x:c>
      <x:c r="C24" s="128" t="n">
        <x:f aca="0">IF($A24&lt;2021,"",$A24-2021)</x:f>
        <x:v>1</x:v>
      </x:c>
      <x:c r="D24" s="128" t="n">
        <x:f aca="0">IF($A24&lt;2022,"",$A24-2022)</x:f>
        <x:v>0</x:v>
      </x:c>
      <x:c r="E24" s="128" t="str">
        <x:f aca="0">IF($A24&lt;2023,"",$A24-2023)</x:f>
      </x:c>
      <x:c r="F24" s="128" t="str">
        <x:f aca="0">IF($A24&lt;2024,"",$A24-2024)</x:f>
      </x:c>
      <x:c r="G24" s="128" t="n">
        <x:f aca="0">((SUMIFS(S17_Biome_Strata!$F:$F,S17_Biome_Strata!$D:$D,2020)*$B$6*(IF(COUNT(B24)=0,0,IF(B24=0,$B$8,IF(B24=1,$B$9,IF(B24=2,$B$10,$B$11))))))+(SUMIFS(S17_Biome_Strata!$F:$F,S17_Biome_Strata!$D:$D,2021)*$B$6*(IF(COUNT(C24)=0,0,IF(C24=0,$B$8,IF(C24=1,$B$9,IF(C24=2,$B$10,$B$11))))))+(SUMIFS(S17_Biome_Strata!$F:$F,S17_Biome_Strata!$D:$D,2022)*$B$6*(IF(COUNT(D24)=0,0,IF(D24=0,$B$8,IF(D24=1,$B$9,IF(D24=2,$B$10,$B$11))))))+(SUMIFS(S17_Biome_Strata!$F:$F,S17_Biome_Strata!$D:$D,2023)*$B$6*(IF(COUNT(E24)=0,0,IF(E24=0,$B$8,IF(E24=1,$B$9,IF(E24=2,$B$10,$B$11))))))+(SUMIFS(S17_Biome_Strata!$F:$F,S17_Biome_Strata!$D:$D,2024)*$B$6*(IF(COUNT(F24)=0,0,IF(F24=0,$B$8,IF(F24=1,$B$9,IF(F24=2,$B$10,$B$11)))))))/1000</x:f>
        <x:v>588217.2902150177</x:v>
      </x:c>
      <x:c r="H24" s="128" t="n">
        <x:f aca="0">G24*($B$12+$B$13*$B$14+$B$15*$B$16)</x:f>
        <x:v>8082.105567554344</x:v>
      </x:c>
      <x:c r="I24" s="128" t="n">
        <x:f aca="0">H24*44/28</x:f>
        <x:v>12700.451606156827</x:v>
      </x:c>
      <x:c r="J24" s="128" t="n">
        <x:f aca="0">I24/1000*$B$17</x:f>
        <x:v>3467.2232884808136</x:v>
      </x:c>
    </x:row>
    <x:row r="25" ht="15" hidden="0" customHeight="1">
      <x:c r="A25" s="128" t="n">
        <x:v>2023</x:v>
      </x:c>
      <x:c r="B25" s="128" t="n">
        <x:f aca="0">IF($A25&lt;2020,"",$A25-2020)</x:f>
        <x:v>3</x:v>
      </x:c>
      <x:c r="C25" s="128" t="n">
        <x:f aca="0">IF($A25&lt;2021,"",$A25-2021)</x:f>
        <x:v>2</x:v>
      </x:c>
      <x:c r="D25" s="128" t="n">
        <x:f aca="0">IF($A25&lt;2022,"",$A25-2022)</x:f>
        <x:v>1</x:v>
      </x:c>
      <x:c r="E25" s="128" t="n">
        <x:f aca="0">IF($A25&lt;2023,"",$A25-2023)</x:f>
        <x:v>0</x:v>
      </x:c>
      <x:c r="F25" s="128" t="str">
        <x:f aca="0">IF($A25&lt;2024,"",$A25-2024)</x:f>
      </x:c>
      <x:c r="G25" s="128" t="n">
        <x:f aca="0">((SUMIFS(S17_Biome_Strata!$F:$F,S17_Biome_Strata!$D:$D,2020)*$B$6*(IF(COUNT(B25)=0,0,IF(B25=0,$B$8,IF(B25=1,$B$9,IF(B25=2,$B$10,$B$11))))))+(SUMIFS(S17_Biome_Strata!$F:$F,S17_Biome_Strata!$D:$D,2021)*$B$6*(IF(COUNT(C25)=0,0,IF(C25=0,$B$8,IF(C25=1,$B$9,IF(C25=2,$B$10,$B$11))))))+(SUMIFS(S17_Biome_Strata!$F:$F,S17_Biome_Strata!$D:$D,2022)*$B$6*(IF(COUNT(D25)=0,0,IF(D25=0,$B$8,IF(D25=1,$B$9,IF(D25=2,$B$10,$B$11))))))+(SUMIFS(S17_Biome_Strata!$F:$F,S17_Biome_Strata!$D:$D,2023)*$B$6*(IF(COUNT(E25)=0,0,IF(E25=0,$B$8,IF(E25=1,$B$9,IF(E25=2,$B$10,$B$11))))))+(SUMIFS(S17_Biome_Strata!$F:$F,S17_Biome_Strata!$D:$D,2024)*$B$6*(IF(COUNT(F25)=0,0,IF(F25=0,$B$8,IF(F25=1,$B$9,IF(F25=2,$B$10,$B$11)))))))/1000</x:f>
        <x:v>825873.54848819</x:v>
      </x:c>
      <x:c r="H25" s="128" t="n">
        <x:f aca="0">G25*($B$12+$B$13*$B$14+$B$15*$B$16)</x:f>
        <x:v>11347.502556227731</x:v>
      </x:c>
      <x:c r="I25" s="128" t="n">
        <x:f aca="0">H25*44/28</x:f>
        <x:v>17831.789731215005</x:v>
      </x:c>
      <x:c r="J25" s="128" t="n">
        <x:f aca="0">I25/1000*$B$17</x:f>
        <x:v>4868.078596621696</x:v>
      </x:c>
    </x:row>
    <x:row r="26" ht="15" hidden="0" customHeight="1">
      <x:c r="A26" s="128" t="n">
        <x:v>2024</x:v>
      </x:c>
      <x:c r="B26" s="128" t="n">
        <x:f aca="0">IF($A26&lt;2020,"",$A26-2020)</x:f>
        <x:v>4</x:v>
      </x:c>
      <x:c r="C26" s="128" t="n">
        <x:f aca="0">IF($A26&lt;2021,"",$A26-2021)</x:f>
        <x:v>3</x:v>
      </x:c>
      <x:c r="D26" s="128" t="n">
        <x:f aca="0">IF($A26&lt;2022,"",$A26-2022)</x:f>
        <x:v>2</x:v>
      </x:c>
      <x:c r="E26" s="128" t="n">
        <x:f aca="0">IF($A26&lt;2023,"",$A26-2023)</x:f>
        <x:v>1</x:v>
      </x:c>
      <x:c r="F26" s="128" t="n">
        <x:f aca="0">IF($A26&lt;2024,"",$A26-2024)</x:f>
        <x:v>0</x:v>
      </x:c>
      <x:c r="G26" s="128" t="n">
        <x:f aca="0">((SUMIFS(S17_Biome_Strata!$F:$F,S17_Biome_Strata!$D:$D,2020)*$B$6*(IF(COUNT(B26)=0,0,IF(B26=0,$B$8,IF(B26=1,$B$9,IF(B26=2,$B$10,$B$11))))))+(SUMIFS(S17_Biome_Strata!$F:$F,S17_Biome_Strata!$D:$D,2021)*$B$6*(IF(COUNT(C26)=0,0,IF(C26=0,$B$8,IF(C26=1,$B$9,IF(C26=2,$B$10,$B$11))))))+(SUMIFS(S17_Biome_Strata!$F:$F,S17_Biome_Strata!$D:$D,2022)*$B$6*(IF(COUNT(D26)=0,0,IF(D26=0,$B$8,IF(D26=1,$B$9,IF(D26=2,$B$10,$B$11))))))+(SUMIFS(S17_Biome_Strata!$F:$F,S17_Biome_Strata!$D:$D,2023)*$B$6*(IF(COUNT(E26)=0,0,IF(E26=0,$B$8,IF(E26=1,$B$9,IF(E26=2,$B$10,$B$11))))))+(SUMIFS(S17_Biome_Strata!$F:$F,S17_Biome_Strata!$D:$D,2024)*$B$6*(IF(COUNT(F26)=0,0,IF(F26=0,$B$8,IF(F26=1,$B$9,IF(F26=2,$B$10,$B$11)))))))/1000</x:f>
        <x:v>906024.262404067</x:v>
      </x:c>
      <x:c r="H26" s="128" t="n">
        <x:f aca="0">G26*($B$12+$B$13*$B$14+$B$15*$B$16)</x:f>
        <x:v>12448.77336543188</x:v>
      </x:c>
      <x:c r="I26" s="128" t="n">
        <x:f aca="0">H26*44/28</x:f>
        <x:v>19562.35814567867</x:v>
      </x:c>
      <x:c r="J26" s="128" t="n">
        <x:f aca="0">I26/1000*$B$17</x:f>
        <x:v>5340.523773770276</x:v>
      </x:c>
    </x:row>
    <x:row r="27" ht="15" hidden="0" customHeight="1">
      <x:c r="A27" s="128" t="n">
        <x:v>2025</x:v>
      </x:c>
      <x:c r="B27" s="128" t="n">
        <x:f aca="0">IF($A27&lt;2020,"",$A27-2020)</x:f>
        <x:v>5</x:v>
      </x:c>
      <x:c r="C27" s="128" t="n">
        <x:f aca="0">IF($A27&lt;2021,"",$A27-2021)</x:f>
        <x:v>4</x:v>
      </x:c>
      <x:c r="D27" s="128" t="n">
        <x:f aca="0">IF($A27&lt;2022,"",$A27-2022)</x:f>
        <x:v>3</x:v>
      </x:c>
      <x:c r="E27" s="128" t="n">
        <x:f aca="0">IF($A27&lt;2023,"",$A27-2023)</x:f>
        <x:v>2</x:v>
      </x:c>
      <x:c r="F27" s="128" t="n">
        <x:f aca="0">IF($A27&lt;2024,"",$A27-2024)</x:f>
        <x:v>1</x:v>
      </x:c>
      <x:c r="G27" s="128" t="n">
        <x:f aca="0">((SUMIFS(S17_Biome_Strata!$F:$F,S17_Biome_Strata!$D:$D,2020)*$B$6*(IF(COUNT(B27)=0,0,IF(B27=0,$B$8,IF(B27=1,$B$9,IF(B27=2,$B$10,$B$11))))))+(SUMIFS(S17_Biome_Strata!$F:$F,S17_Biome_Strata!$D:$D,2021)*$B$6*(IF(COUNT(C27)=0,0,IF(C27=0,$B$8,IF(C27=1,$B$9,IF(C27=2,$B$10,$B$11))))))+(SUMIFS(S17_Biome_Strata!$F:$F,S17_Biome_Strata!$D:$D,2022)*$B$6*(IF(COUNT(D27)=0,0,IF(D27=0,$B$8,IF(D27=1,$B$9,IF(D27=2,$B$10,$B$11))))))+(SUMIFS(S17_Biome_Strata!$F:$F,S17_Biome_Strata!$D:$D,2023)*$B$6*(IF(COUNT(E27)=0,0,IF(E27=0,$B$8,IF(E27=1,$B$9,IF(E27=2,$B$10,$B$11))))))+(SUMIFS(S17_Biome_Strata!$F:$F,S17_Biome_Strata!$D:$D,2024)*$B$6*(IF(COUNT(F27)=0,0,IF(F27=0,$B$8,IF(F27=1,$B$9,IF(F27=2,$B$10,$B$11)))))))/1000</x:f>
        <x:v>945718.0049514894</x:v>
      </x:c>
      <x:c r="H27" s="128" t="n">
        <x:f aca="0">G27*($B$12+$B$13*$B$14+$B$15*$B$16)</x:f>
        <x:v>12994.165388033465</x:v>
      </x:c>
      <x:c r="I27" s="128" t="n">
        <x:f aca="0">H27*44/28</x:f>
        <x:v>20419.402752624017</x:v>
      </x:c>
      <x:c r="J27" s="128" t="n">
        <x:f aca="0">I27/1000*$B$17</x:f>
        <x:v>5574.496951466356</x:v>
      </x:c>
    </x:row>
    <x:row r="28" ht="15" hidden="0" customHeight="1">
      <x:c r="A28" s="128" t="n">
        <x:v>2026</x:v>
      </x:c>
      <x:c r="B28" s="128" t="n">
        <x:f aca="0">IF($A28&lt;2020,"",$A28-2020)</x:f>
        <x:v>6</x:v>
      </x:c>
      <x:c r="C28" s="128" t="n">
        <x:f aca="0">IF($A28&lt;2021,"",$A28-2021)</x:f>
        <x:v>5</x:v>
      </x:c>
      <x:c r="D28" s="128" t="n">
        <x:f aca="0">IF($A28&lt;2022,"",$A28-2022)</x:f>
        <x:v>4</x:v>
      </x:c>
      <x:c r="E28" s="128" t="n">
        <x:f aca="0">IF($A28&lt;2023,"",$A28-2023)</x:f>
        <x:v>3</x:v>
      </x:c>
      <x:c r="F28" s="128" t="n">
        <x:f aca="0">IF($A28&lt;2024,"",$A28-2024)</x:f>
        <x:v>2</x:v>
      </x:c>
      <x:c r="G28" s="128" t="n">
        <x:f aca="0">((SUMIFS(S17_Biome_Strata!$F:$F,S17_Biome_Strata!$D:$D,2020)*$B$6*(IF(COUNT(B28)=0,0,IF(B28=0,$B$8,IF(B28=1,$B$9,IF(B28=2,$B$10,$B$11))))))+(SUMIFS(S17_Biome_Strata!$F:$F,S17_Biome_Strata!$D:$D,2021)*$B$6*(IF(COUNT(C28)=0,0,IF(C28=0,$B$8,IF(C28=1,$B$9,IF(C28=2,$B$10,$B$11))))))+(SUMIFS(S17_Biome_Strata!$F:$F,S17_Biome_Strata!$D:$D,2022)*$B$6*(IF(COUNT(D28)=0,0,IF(D28=0,$B$8,IF(D28=1,$B$9,IF(D28=2,$B$10,$B$11))))))+(SUMIFS(S17_Biome_Strata!$F:$F,S17_Biome_Strata!$D:$D,2023)*$B$6*(IF(COUNT(E28)=0,0,IF(E28=0,$B$8,IF(E28=1,$B$9,IF(E28=2,$B$10,$B$11))))))+(SUMIFS(S17_Biome_Strata!$F:$F,S17_Biome_Strata!$D:$D,2024)*$B$6*(IF(COUNT(F28)=0,0,IF(F28=0,$B$8,IF(F28=1,$B$9,IF(F28=2,$B$10,$B$11)))))))/1000</x:f>
        <x:v>951826.4614226895</x:v>
      </x:c>
      <x:c r="H28" s="128" t="n">
        <x:f aca="0">G28*($B$12+$B$13*$B$14+$B$15*$B$16)</x:f>
        <x:v>13078.095579947754</x:v>
      </x:c>
      <x:c r="I28" s="128" t="n">
        <x:f aca="0">H28*44/28</x:f>
        <x:v>20551.293054203616</x:v>
      </x:c>
      <x:c r="J28" s="128" t="n">
        <x:f aca="0">I28/1000*$B$17</x:f>
        <x:v>5610.503003797587</x:v>
      </x:c>
    </x:row>
    <x:row r="29" ht="15" hidden="0" customHeight="1">
      <x:c r="A29" s="128" t="n">
        <x:v>2027</x:v>
      </x:c>
      <x:c r="B29" s="128" t="n">
        <x:f aca="0">IF($A29&lt;2020,"",$A29-2020)</x:f>
        <x:v>7</x:v>
      </x:c>
      <x:c r="C29" s="128" t="n">
        <x:f aca="0">IF($A29&lt;2021,"",$A29-2021)</x:f>
        <x:v>6</x:v>
      </x:c>
      <x:c r="D29" s="128" t="n">
        <x:f aca="0">IF($A29&lt;2022,"",$A29-2022)</x:f>
        <x:v>5</x:v>
      </x:c>
      <x:c r="E29" s="128" t="n">
        <x:f aca="0">IF($A29&lt;2023,"",$A29-2023)</x:f>
        <x:v>4</x:v>
      </x:c>
      <x:c r="F29" s="128" t="n">
        <x:f aca="0">IF($A29&lt;2024,"",$A29-2024)</x:f>
        <x:v>3</x:v>
      </x:c>
      <x:c r="G29" s="128" t="n">
        <x:f aca="0">((SUMIFS(S17_Biome_Strata!$F:$F,S17_Biome_Strata!$D:$D,2020)*$B$6*(IF(COUNT(B29)=0,0,IF(B29=0,$B$8,IF(B29=1,$B$9,IF(B29=2,$B$10,$B$11))))))+(SUMIFS(S17_Biome_Strata!$F:$F,S17_Biome_Strata!$D:$D,2021)*$B$6*(IF(COUNT(C29)=0,0,IF(C29=0,$B$8,IF(C29=1,$B$9,IF(C29=2,$B$10,$B$11))))))+(SUMIFS(S17_Biome_Strata!$F:$F,S17_Biome_Strata!$D:$D,2022)*$B$6*(IF(COUNT(D29)=0,0,IF(D29=0,$B$8,IF(D29=1,$B$9,IF(D29=2,$B$10,$B$11))))))+(SUMIFS(S17_Biome_Strata!$F:$F,S17_Biome_Strata!$D:$D,2023)*$B$6*(IF(COUNT(E29)=0,0,IF(E29=0,$B$8,IF(E29=1,$B$9,IF(E29=2,$B$10,$B$11))))))+(SUMIFS(S17_Biome_Strata!$F:$F,S17_Biome_Strata!$D:$D,2024)*$B$6*(IF(COUNT(F29)=0,0,IF(F29=0,$B$8,IF(F29=1,$B$9,IF(F29=2,$B$10,$B$11)))))))/1000</x:f>
        <x:v>952226.9375326894</x:v>
      </x:c>
      <x:c r="H29" s="128" t="n">
        <x:f aca="0">G29*($B$12+$B$13*$B$14+$B$15*$B$16)</x:f>
        <x:v>13083.598121699153</x:v>
      </x:c>
      <x:c r="I29" s="128" t="n">
        <x:f aca="0">H29*44/28</x:f>
        <x:v>20559.93990552724</x:v>
      </x:c>
      <x:c r="J29" s="128" t="n">
        <x:f aca="0">I29/1000*$B$17</x:f>
        <x:v>5612.863594208937</x:v>
      </x:c>
    </x:row>
    <x:row r="30" ht="15" hidden="0" customHeight="1">
      <x:c r="A30" s="128" t="n">
        <x:v>2028</x:v>
      </x:c>
      <x:c r="B30" s="128" t="n">
        <x:f aca="0">IF($A30&lt;2020,"",$A30-2020)</x:f>
        <x:v>8</x:v>
      </x:c>
      <x:c r="C30" s="128" t="n">
        <x:f aca="0">IF($A30&lt;2021,"",$A30-2021)</x:f>
        <x:v>7</x:v>
      </x:c>
      <x:c r="D30" s="128" t="n">
        <x:f aca="0">IF($A30&lt;2022,"",$A30-2022)</x:f>
        <x:v>6</x:v>
      </x:c>
      <x:c r="E30" s="128" t="n">
        <x:f aca="0">IF($A30&lt;2023,"",$A30-2023)</x:f>
        <x:v>5</x:v>
      </x:c>
      <x:c r="F30" s="128" t="n">
        <x:f aca="0">IF($A30&lt;2024,"",$A30-2024)</x:f>
        <x:v>4</x:v>
      </x:c>
      <x:c r="G30" s="128" t="n">
        <x:f aca="0">((SUMIFS(S17_Biome_Strata!$F:$F,S17_Biome_Strata!$D:$D,2020)*$B$6*(IF(COUNT(B30)=0,0,IF(B30=0,$B$8,IF(B30=1,$B$9,IF(B30=2,$B$10,$B$11))))))+(SUMIFS(S17_Biome_Strata!$F:$F,S17_Biome_Strata!$D:$D,2021)*$B$6*(IF(COUNT(C30)=0,0,IF(C30=0,$B$8,IF(C30=1,$B$9,IF(C30=2,$B$10,$B$11))))))+(SUMIFS(S17_Biome_Strata!$F:$F,S17_Biome_Strata!$D:$D,2022)*$B$6*(IF(COUNT(D30)=0,0,IF(D30=0,$B$8,IF(D30=1,$B$9,IF(D30=2,$B$10,$B$11))))))+(SUMIFS(S17_Biome_Strata!$F:$F,S17_Biome_Strata!$D:$D,2023)*$B$6*(IF(COUNT(E30)=0,0,IF(E30=0,$B$8,IF(E30=1,$B$9,IF(E30=2,$B$10,$B$11))))))+(SUMIFS(S17_Biome_Strata!$F:$F,S17_Biome_Strata!$D:$D,2024)*$B$6*(IF(COUNT(F30)=0,0,IF(F30=0,$B$8,IF(F30=1,$B$9,IF(F30=2,$B$10,$B$11)))))))/1000</x:f>
        <x:v>952226.9375326894</x:v>
      </x:c>
      <x:c r="H30" s="128" t="n">
        <x:f aca="0">G30*($B$12+$B$13*$B$14+$B$15*$B$16)</x:f>
        <x:v>13083.598121699153</x:v>
      </x:c>
      <x:c r="I30" s="128" t="n">
        <x:f aca="0">H30*44/28</x:f>
        <x:v>20559.93990552724</x:v>
      </x:c>
      <x:c r="J30" s="128" t="n">
        <x:f aca="0">I30/1000*$B$17</x:f>
        <x:v>5612.863594208937</x:v>
      </x:c>
    </x:row>
    <x:row r="31" ht="15" hidden="0" customHeight="1">
      <x:c r="A31" s="128" t="n">
        <x:v>2029</x:v>
      </x:c>
      <x:c r="B31" s="128" t="n">
        <x:f aca="0">IF($A31&lt;2020,"",$A31-2020)</x:f>
        <x:v>9</x:v>
      </x:c>
      <x:c r="C31" s="128" t="n">
        <x:f aca="0">IF($A31&lt;2021,"",$A31-2021)</x:f>
        <x:v>8</x:v>
      </x:c>
      <x:c r="D31" s="128" t="n">
        <x:f aca="0">IF($A31&lt;2022,"",$A31-2022)</x:f>
        <x:v>7</x:v>
      </x:c>
      <x:c r="E31" s="128" t="n">
        <x:f aca="0">IF($A31&lt;2023,"",$A31-2023)</x:f>
        <x:v>6</x:v>
      </x:c>
      <x:c r="F31" s="128" t="n">
        <x:f aca="0">IF($A31&lt;2024,"",$A31-2024)</x:f>
        <x:v>5</x:v>
      </x:c>
      <x:c r="G31" s="128" t="n">
        <x:f aca="0">((SUMIFS(S17_Biome_Strata!$F:$F,S17_Biome_Strata!$D:$D,2020)*$B$6*(IF(COUNT(B31)=0,0,IF(B31=0,$B$8,IF(B31=1,$B$9,IF(B31=2,$B$10,$B$11))))))+(SUMIFS(S17_Biome_Strata!$F:$F,S17_Biome_Strata!$D:$D,2021)*$B$6*(IF(COUNT(C31)=0,0,IF(C31=0,$B$8,IF(C31=1,$B$9,IF(C31=2,$B$10,$B$11))))))+(SUMIFS(S17_Biome_Strata!$F:$F,S17_Biome_Strata!$D:$D,2022)*$B$6*(IF(COUNT(D31)=0,0,IF(D31=0,$B$8,IF(D31=1,$B$9,IF(D31=2,$B$10,$B$11))))))+(SUMIFS(S17_Biome_Strata!$F:$F,S17_Biome_Strata!$D:$D,2023)*$B$6*(IF(COUNT(E31)=0,0,IF(E31=0,$B$8,IF(E31=1,$B$9,IF(E31=2,$B$10,$B$11))))))+(SUMIFS(S17_Biome_Strata!$F:$F,S17_Biome_Strata!$D:$D,2024)*$B$6*(IF(COUNT(F31)=0,0,IF(F31=0,$B$8,IF(F31=1,$B$9,IF(F31=2,$B$10,$B$11)))))))/1000</x:f>
        <x:v>952226.9375326894</x:v>
      </x:c>
      <x:c r="H31" s="128" t="n">
        <x:f aca="0">G31*($B$12+$B$13*$B$14+$B$15*$B$16)</x:f>
        <x:v>13083.598121699153</x:v>
      </x:c>
      <x:c r="I31" s="128" t="n">
        <x:f aca="0">H31*44/28</x:f>
        <x:v>20559.93990552724</x:v>
      </x:c>
      <x:c r="J31" s="128" t="n">
        <x:f aca="0">I31/1000*$B$17</x:f>
        <x:v>5612.863594208937</x:v>
      </x:c>
    </x:row>
    <x:row r="32" ht="15" hidden="0" customHeight="1">
      <x:c r="A32" s="128" t="n">
        <x:v>2030</x:v>
      </x:c>
      <x:c r="B32" s="128" t="n">
        <x:f aca="0">IF($A32&lt;2020,"",$A32-2020)</x:f>
        <x:v>10</x:v>
      </x:c>
      <x:c r="C32" s="128" t="n">
        <x:f aca="0">IF($A32&lt;2021,"",$A32-2021)</x:f>
        <x:v>9</x:v>
      </x:c>
      <x:c r="D32" s="128" t="n">
        <x:f aca="0">IF($A32&lt;2022,"",$A32-2022)</x:f>
        <x:v>8</x:v>
      </x:c>
      <x:c r="E32" s="128" t="n">
        <x:f aca="0">IF($A32&lt;2023,"",$A32-2023)</x:f>
        <x:v>7</x:v>
      </x:c>
      <x:c r="F32" s="128" t="n">
        <x:f aca="0">IF($A32&lt;2024,"",$A32-2024)</x:f>
        <x:v>6</x:v>
      </x:c>
      <x:c r="G32" s="128" t="n">
        <x:f aca="0">((SUMIFS(S17_Biome_Strata!$F:$F,S17_Biome_Strata!$D:$D,2020)*$B$6*(IF(COUNT(B32)=0,0,IF(B32=0,$B$8,IF(B32=1,$B$9,IF(B32=2,$B$10,$B$11))))))+(SUMIFS(S17_Biome_Strata!$F:$F,S17_Biome_Strata!$D:$D,2021)*$B$6*(IF(COUNT(C32)=0,0,IF(C32=0,$B$8,IF(C32=1,$B$9,IF(C32=2,$B$10,$B$11))))))+(SUMIFS(S17_Biome_Strata!$F:$F,S17_Biome_Strata!$D:$D,2022)*$B$6*(IF(COUNT(D32)=0,0,IF(D32=0,$B$8,IF(D32=1,$B$9,IF(D32=2,$B$10,$B$11))))))+(SUMIFS(S17_Biome_Strata!$F:$F,S17_Biome_Strata!$D:$D,2023)*$B$6*(IF(COUNT(E32)=0,0,IF(E32=0,$B$8,IF(E32=1,$B$9,IF(E32=2,$B$10,$B$11))))))+(SUMIFS(S17_Biome_Strata!$F:$F,S17_Biome_Strata!$D:$D,2024)*$B$6*(IF(COUNT(F32)=0,0,IF(F32=0,$B$8,IF(F32=1,$B$9,IF(F32=2,$B$10,$B$11)))))))/1000</x:f>
        <x:v>952226.9375326894</x:v>
      </x:c>
      <x:c r="H32" s="128" t="n">
        <x:f aca="0">G32*($B$12+$B$13*$B$14+$B$15*$B$16)</x:f>
        <x:v>13083.598121699153</x:v>
      </x:c>
      <x:c r="I32" s="128" t="n">
        <x:f aca="0">H32*44/28</x:f>
        <x:v>20559.93990552724</x:v>
      </x:c>
      <x:c r="J32" s="128" t="n">
        <x:f aca="0">I32/1000*$B$17</x:f>
        <x:v>5612.863594208937</x:v>
      </x:c>
    </x:row>
    <x:row r="33" ht="15" hidden="0" customHeight="1">
      <x:c r="A33" s="128" t="n">
        <x:v>2031</x:v>
      </x:c>
      <x:c r="B33" s="128" t="n">
        <x:f aca="0">IF($A33&lt;2020,"",$A33-2020)</x:f>
        <x:v>11</x:v>
      </x:c>
      <x:c r="C33" s="128" t="n">
        <x:f aca="0">IF($A33&lt;2021,"",$A33-2021)</x:f>
        <x:v>10</x:v>
      </x:c>
      <x:c r="D33" s="128" t="n">
        <x:f aca="0">IF($A33&lt;2022,"",$A33-2022)</x:f>
        <x:v>9</x:v>
      </x:c>
      <x:c r="E33" s="128" t="n">
        <x:f aca="0">IF($A33&lt;2023,"",$A33-2023)</x:f>
        <x:v>8</x:v>
      </x:c>
      <x:c r="F33" s="128" t="n">
        <x:f aca="0">IF($A33&lt;2024,"",$A33-2024)</x:f>
        <x:v>7</x:v>
      </x:c>
      <x:c r="G33" s="128" t="n">
        <x:f aca="0">((SUMIFS(S17_Biome_Strata!$F:$F,S17_Biome_Strata!$D:$D,2020)*$B$6*(IF(COUNT(B33)=0,0,IF(B33=0,$B$8,IF(B33=1,$B$9,IF(B33=2,$B$10,$B$11))))))+(SUMIFS(S17_Biome_Strata!$F:$F,S17_Biome_Strata!$D:$D,2021)*$B$6*(IF(COUNT(C33)=0,0,IF(C33=0,$B$8,IF(C33=1,$B$9,IF(C33=2,$B$10,$B$11))))))+(SUMIFS(S17_Biome_Strata!$F:$F,S17_Biome_Strata!$D:$D,2022)*$B$6*(IF(COUNT(D33)=0,0,IF(D33=0,$B$8,IF(D33=1,$B$9,IF(D33=2,$B$10,$B$11))))))+(SUMIFS(S17_Biome_Strata!$F:$F,S17_Biome_Strata!$D:$D,2023)*$B$6*(IF(COUNT(E33)=0,0,IF(E33=0,$B$8,IF(E33=1,$B$9,IF(E33=2,$B$10,$B$11))))))+(SUMIFS(S17_Biome_Strata!$F:$F,S17_Biome_Strata!$D:$D,2024)*$B$6*(IF(COUNT(F33)=0,0,IF(F33=0,$B$8,IF(F33=1,$B$9,IF(F33=2,$B$10,$B$11)))))))/1000</x:f>
        <x:v>952226.9375326894</x:v>
      </x:c>
      <x:c r="H33" s="128" t="n">
        <x:f aca="0">G33*($B$12+$B$13*$B$14+$B$15*$B$16)</x:f>
        <x:v>13083.598121699153</x:v>
      </x:c>
      <x:c r="I33" s="128" t="n">
        <x:f aca="0">H33*44/28</x:f>
        <x:v>20559.93990552724</x:v>
      </x:c>
      <x:c r="J33" s="128" t="n">
        <x:f aca="0">I33/1000*$B$17</x:f>
        <x:v>5612.863594208937</x:v>
      </x:c>
    </x:row>
    <x:row r="34" ht="15" hidden="0" customHeight="1">
      <x:c r="A34" s="128" t="n">
        <x:v>2032</x:v>
      </x:c>
      <x:c r="B34" s="128" t="n">
        <x:f aca="0">IF($A34&lt;2020,"",$A34-2020)</x:f>
        <x:v>12</x:v>
      </x:c>
      <x:c r="C34" s="128" t="n">
        <x:f aca="0">IF($A34&lt;2021,"",$A34-2021)</x:f>
        <x:v>11</x:v>
      </x:c>
      <x:c r="D34" s="128" t="n">
        <x:f aca="0">IF($A34&lt;2022,"",$A34-2022)</x:f>
        <x:v>10</x:v>
      </x:c>
      <x:c r="E34" s="128" t="n">
        <x:f aca="0">IF($A34&lt;2023,"",$A34-2023)</x:f>
        <x:v>9</x:v>
      </x:c>
      <x:c r="F34" s="128" t="n">
        <x:f aca="0">IF($A34&lt;2024,"",$A34-2024)</x:f>
        <x:v>8</x:v>
      </x:c>
      <x:c r="G34" s="128" t="n">
        <x:f aca="0">((SUMIFS(S17_Biome_Strata!$F:$F,S17_Biome_Strata!$D:$D,2020)*$B$6*(IF(COUNT(B34)=0,0,IF(B34=0,$B$8,IF(B34=1,$B$9,IF(B34=2,$B$10,$B$11))))))+(SUMIFS(S17_Biome_Strata!$F:$F,S17_Biome_Strata!$D:$D,2021)*$B$6*(IF(COUNT(C34)=0,0,IF(C34=0,$B$8,IF(C34=1,$B$9,IF(C34=2,$B$10,$B$11))))))+(SUMIFS(S17_Biome_Strata!$F:$F,S17_Biome_Strata!$D:$D,2022)*$B$6*(IF(COUNT(D34)=0,0,IF(D34=0,$B$8,IF(D34=1,$B$9,IF(D34=2,$B$10,$B$11))))))+(SUMIFS(S17_Biome_Strata!$F:$F,S17_Biome_Strata!$D:$D,2023)*$B$6*(IF(COUNT(E34)=0,0,IF(E34=0,$B$8,IF(E34=1,$B$9,IF(E34=2,$B$10,$B$11))))))+(SUMIFS(S17_Biome_Strata!$F:$F,S17_Biome_Strata!$D:$D,2024)*$B$6*(IF(COUNT(F34)=0,0,IF(F34=0,$B$8,IF(F34=1,$B$9,IF(F34=2,$B$10,$B$11)))))))/1000</x:f>
        <x:v>952226.9375326894</x:v>
      </x:c>
      <x:c r="H34" s="128" t="n">
        <x:f aca="0">G34*($B$12+$B$13*$B$14+$B$15*$B$16)</x:f>
        <x:v>13083.598121699153</x:v>
      </x:c>
      <x:c r="I34" s="128" t="n">
        <x:f aca="0">H34*44/28</x:f>
        <x:v>20559.93990552724</x:v>
      </x:c>
      <x:c r="J34" s="128" t="n">
        <x:f aca="0">I34/1000*$B$17</x:f>
        <x:v>5612.863594208937</x:v>
      </x:c>
    </x:row>
    <x:row r="35" ht="15" hidden="0" customHeight="1">
      <x:c r="A35" s="128" t="n">
        <x:v>2033</x:v>
      </x:c>
      <x:c r="B35" s="128" t="n">
        <x:f aca="0">IF($A35&lt;2020,"",$A35-2020)</x:f>
        <x:v>13</x:v>
      </x:c>
      <x:c r="C35" s="128" t="n">
        <x:f aca="0">IF($A35&lt;2021,"",$A35-2021)</x:f>
        <x:v>12</x:v>
      </x:c>
      <x:c r="D35" s="128" t="n">
        <x:f aca="0">IF($A35&lt;2022,"",$A35-2022)</x:f>
        <x:v>11</x:v>
      </x:c>
      <x:c r="E35" s="128" t="n">
        <x:f aca="0">IF($A35&lt;2023,"",$A35-2023)</x:f>
        <x:v>10</x:v>
      </x:c>
      <x:c r="F35" s="128" t="n">
        <x:f aca="0">IF($A35&lt;2024,"",$A35-2024)</x:f>
        <x:v>9</x:v>
      </x:c>
      <x:c r="G35" s="128" t="n">
        <x:f aca="0">((SUMIFS(S17_Biome_Strata!$F:$F,S17_Biome_Strata!$D:$D,2020)*$B$6*(IF(COUNT(B35)=0,0,IF(B35=0,$B$8,IF(B35=1,$B$9,IF(B35=2,$B$10,$B$11))))))+(SUMIFS(S17_Biome_Strata!$F:$F,S17_Biome_Strata!$D:$D,2021)*$B$6*(IF(COUNT(C35)=0,0,IF(C35=0,$B$8,IF(C35=1,$B$9,IF(C35=2,$B$10,$B$11))))))+(SUMIFS(S17_Biome_Strata!$F:$F,S17_Biome_Strata!$D:$D,2022)*$B$6*(IF(COUNT(D35)=0,0,IF(D35=0,$B$8,IF(D35=1,$B$9,IF(D35=2,$B$10,$B$11))))))+(SUMIFS(S17_Biome_Strata!$F:$F,S17_Biome_Strata!$D:$D,2023)*$B$6*(IF(COUNT(E35)=0,0,IF(E35=0,$B$8,IF(E35=1,$B$9,IF(E35=2,$B$10,$B$11))))))+(SUMIFS(S17_Biome_Strata!$F:$F,S17_Biome_Strata!$D:$D,2024)*$B$6*(IF(COUNT(F35)=0,0,IF(F35=0,$B$8,IF(F35=1,$B$9,IF(F35=2,$B$10,$B$11)))))))/1000</x:f>
        <x:v>952226.9375326894</x:v>
      </x:c>
      <x:c r="H35" s="128" t="n">
        <x:f aca="0">G35*($B$12+$B$13*$B$14+$B$15*$B$16)</x:f>
        <x:v>13083.598121699153</x:v>
      </x:c>
      <x:c r="I35" s="128" t="n">
        <x:f aca="0">H35*44/28</x:f>
        <x:v>20559.93990552724</x:v>
      </x:c>
      <x:c r="J35" s="128" t="n">
        <x:f aca="0">I35/1000*$B$17</x:f>
        <x:v>5612.863594208937</x:v>
      </x:c>
    </x:row>
    <x:row r="36" ht="15" hidden="0" customHeight="1">
      <x:c r="A36" s="128" t="n">
        <x:v>2034</x:v>
      </x:c>
      <x:c r="B36" s="128" t="n">
        <x:f aca="0">IF($A36&lt;2020,"",$A36-2020)</x:f>
        <x:v>14</x:v>
      </x:c>
      <x:c r="C36" s="128" t="n">
        <x:f aca="0">IF($A36&lt;2021,"",$A36-2021)</x:f>
        <x:v>13</x:v>
      </x:c>
      <x:c r="D36" s="128" t="n">
        <x:f aca="0">IF($A36&lt;2022,"",$A36-2022)</x:f>
        <x:v>12</x:v>
      </x:c>
      <x:c r="E36" s="128" t="n">
        <x:f aca="0">IF($A36&lt;2023,"",$A36-2023)</x:f>
        <x:v>11</x:v>
      </x:c>
      <x:c r="F36" s="128" t="n">
        <x:f aca="0">IF($A36&lt;2024,"",$A36-2024)</x:f>
        <x:v>10</x:v>
      </x:c>
      <x:c r="G36" s="128" t="n">
        <x:f aca="0">((SUMIFS(S17_Biome_Strata!$F:$F,S17_Biome_Strata!$D:$D,2020)*$B$6*(IF(COUNT(B36)=0,0,IF(B36=0,$B$8,IF(B36=1,$B$9,IF(B36=2,$B$10,$B$11))))))+(SUMIFS(S17_Biome_Strata!$F:$F,S17_Biome_Strata!$D:$D,2021)*$B$6*(IF(COUNT(C36)=0,0,IF(C36=0,$B$8,IF(C36=1,$B$9,IF(C36=2,$B$10,$B$11))))))+(SUMIFS(S17_Biome_Strata!$F:$F,S17_Biome_Strata!$D:$D,2022)*$B$6*(IF(COUNT(D36)=0,0,IF(D36=0,$B$8,IF(D36=1,$B$9,IF(D36=2,$B$10,$B$11))))))+(SUMIFS(S17_Biome_Strata!$F:$F,S17_Biome_Strata!$D:$D,2023)*$B$6*(IF(COUNT(E36)=0,0,IF(E36=0,$B$8,IF(E36=1,$B$9,IF(E36=2,$B$10,$B$11))))))+(SUMIFS(S17_Biome_Strata!$F:$F,S17_Biome_Strata!$D:$D,2024)*$B$6*(IF(COUNT(F36)=0,0,IF(F36=0,$B$8,IF(F36=1,$B$9,IF(F36=2,$B$10,$B$11)))))))/1000</x:f>
        <x:v>952226.9375326894</x:v>
      </x:c>
      <x:c r="H36" s="128" t="n">
        <x:f aca="0">G36*($B$12+$B$13*$B$14+$B$15*$B$16)</x:f>
        <x:v>13083.598121699153</x:v>
      </x:c>
      <x:c r="I36" s="128" t="n">
        <x:f aca="0">H36*44/28</x:f>
        <x:v>20559.93990552724</x:v>
      </x:c>
      <x:c r="J36" s="128" t="n">
        <x:f aca="0">I36/1000*$B$17</x:f>
        <x:v>5612.863594208937</x:v>
      </x:c>
    </x:row>
    <x:row r="37" ht="15" hidden="0" customHeight="1">
      <x:c r="A37" s="128" t="n">
        <x:v>2035</x:v>
      </x:c>
      <x:c r="B37" s="128" t="n">
        <x:f aca="0">IF($A37&lt;2020,"",$A37-2020)</x:f>
        <x:v>15</x:v>
      </x:c>
      <x:c r="C37" s="128" t="n">
        <x:f aca="0">IF($A37&lt;2021,"",$A37-2021)</x:f>
        <x:v>14</x:v>
      </x:c>
      <x:c r="D37" s="128" t="n">
        <x:f aca="0">IF($A37&lt;2022,"",$A37-2022)</x:f>
        <x:v>13</x:v>
      </x:c>
      <x:c r="E37" s="128" t="n">
        <x:f aca="0">IF($A37&lt;2023,"",$A37-2023)</x:f>
        <x:v>12</x:v>
      </x:c>
      <x:c r="F37" s="128" t="n">
        <x:f aca="0">IF($A37&lt;2024,"",$A37-2024)</x:f>
        <x:v>11</x:v>
      </x:c>
      <x:c r="G37" s="128" t="n">
        <x:f aca="0">((SUMIFS(S17_Biome_Strata!$F:$F,S17_Biome_Strata!$D:$D,2020)*$B$6*(IF(COUNT(B37)=0,0,IF(B37=0,$B$8,IF(B37=1,$B$9,IF(B37=2,$B$10,$B$11))))))+(SUMIFS(S17_Biome_Strata!$F:$F,S17_Biome_Strata!$D:$D,2021)*$B$6*(IF(COUNT(C37)=0,0,IF(C37=0,$B$8,IF(C37=1,$B$9,IF(C37=2,$B$10,$B$11))))))+(SUMIFS(S17_Biome_Strata!$F:$F,S17_Biome_Strata!$D:$D,2022)*$B$6*(IF(COUNT(D37)=0,0,IF(D37=0,$B$8,IF(D37=1,$B$9,IF(D37=2,$B$10,$B$11))))))+(SUMIFS(S17_Biome_Strata!$F:$F,S17_Biome_Strata!$D:$D,2023)*$B$6*(IF(COUNT(E37)=0,0,IF(E37=0,$B$8,IF(E37=1,$B$9,IF(E37=2,$B$10,$B$11))))))+(SUMIFS(S17_Biome_Strata!$F:$F,S17_Biome_Strata!$D:$D,2024)*$B$6*(IF(COUNT(F37)=0,0,IF(F37=0,$B$8,IF(F37=1,$B$9,IF(F37=2,$B$10,$B$11)))))))/1000</x:f>
        <x:v>952226.9375326894</x:v>
      </x:c>
      <x:c r="H37" s="128" t="n">
        <x:f aca="0">G37*($B$12+$B$13*$B$14+$B$15*$B$16)</x:f>
        <x:v>13083.598121699153</x:v>
      </x:c>
      <x:c r="I37" s="128" t="n">
        <x:f aca="0">H37*44/28</x:f>
        <x:v>20559.93990552724</x:v>
      </x:c>
      <x:c r="J37" s="128" t="n">
        <x:f aca="0">I37/1000*$B$17</x:f>
        <x:v>5612.863594208937</x:v>
      </x:c>
    </x:row>
    <x:row r="38" ht="15" hidden="0" customHeight="1">
      <x:c r="A38" s="128" t="n">
        <x:v>2036</x:v>
      </x:c>
      <x:c r="B38" s="128" t="n">
        <x:f aca="0">IF($A38&lt;2020,"",$A38-2020)</x:f>
        <x:v>16</x:v>
      </x:c>
      <x:c r="C38" s="128" t="n">
        <x:f aca="0">IF($A38&lt;2021,"",$A38-2021)</x:f>
        <x:v>15</x:v>
      </x:c>
      <x:c r="D38" s="128" t="n">
        <x:f aca="0">IF($A38&lt;2022,"",$A38-2022)</x:f>
        <x:v>14</x:v>
      </x:c>
      <x:c r="E38" s="128" t="n">
        <x:f aca="0">IF($A38&lt;2023,"",$A38-2023)</x:f>
        <x:v>13</x:v>
      </x:c>
      <x:c r="F38" s="128" t="n">
        <x:f aca="0">IF($A38&lt;2024,"",$A38-2024)</x:f>
        <x:v>12</x:v>
      </x:c>
      <x:c r="G38" s="128" t="n">
        <x:f aca="0">((SUMIFS(S17_Biome_Strata!$F:$F,S17_Biome_Strata!$D:$D,2020)*$B$6*(IF(COUNT(B38)=0,0,IF(B38=0,$B$8,IF(B38=1,$B$9,IF(B38=2,$B$10,$B$11))))))+(SUMIFS(S17_Biome_Strata!$F:$F,S17_Biome_Strata!$D:$D,2021)*$B$6*(IF(COUNT(C38)=0,0,IF(C38=0,$B$8,IF(C38=1,$B$9,IF(C38=2,$B$10,$B$11))))))+(SUMIFS(S17_Biome_Strata!$F:$F,S17_Biome_Strata!$D:$D,2022)*$B$6*(IF(COUNT(D38)=0,0,IF(D38=0,$B$8,IF(D38=1,$B$9,IF(D38=2,$B$10,$B$11))))))+(SUMIFS(S17_Biome_Strata!$F:$F,S17_Biome_Strata!$D:$D,2023)*$B$6*(IF(COUNT(E38)=0,0,IF(E38=0,$B$8,IF(E38=1,$B$9,IF(E38=2,$B$10,$B$11))))))+(SUMIFS(S17_Biome_Strata!$F:$F,S17_Biome_Strata!$D:$D,2024)*$B$6*(IF(COUNT(F38)=0,0,IF(F38=0,$B$8,IF(F38=1,$B$9,IF(F38=2,$B$10,$B$11)))))))/1000</x:f>
        <x:v>952226.9375326894</x:v>
      </x:c>
      <x:c r="H38" s="128" t="n">
        <x:f aca="0">G38*($B$12+$B$13*$B$14+$B$15*$B$16)</x:f>
        <x:v>13083.598121699153</x:v>
      </x:c>
      <x:c r="I38" s="128" t="n">
        <x:f aca="0">H38*44/28</x:f>
        <x:v>20559.93990552724</x:v>
      </x:c>
      <x:c r="J38" s="128" t="n">
        <x:f aca="0">I38/1000*$B$17</x:f>
        <x:v>5612.863594208937</x:v>
      </x:c>
    </x:row>
    <x:row r="39" ht="15" hidden="0" customHeight="1">
      <x:c r="A39" s="128" t="n">
        <x:v>2037</x:v>
      </x:c>
      <x:c r="B39" s="128" t="n">
        <x:f aca="0">IF($A39&lt;2020,"",$A39-2020)</x:f>
        <x:v>17</x:v>
      </x:c>
      <x:c r="C39" s="128" t="n">
        <x:f aca="0">IF($A39&lt;2021,"",$A39-2021)</x:f>
        <x:v>16</x:v>
      </x:c>
      <x:c r="D39" s="128" t="n">
        <x:f aca="0">IF($A39&lt;2022,"",$A39-2022)</x:f>
        <x:v>15</x:v>
      </x:c>
      <x:c r="E39" s="128" t="n">
        <x:f aca="0">IF($A39&lt;2023,"",$A39-2023)</x:f>
        <x:v>14</x:v>
      </x:c>
      <x:c r="F39" s="128" t="n">
        <x:f aca="0">IF($A39&lt;2024,"",$A39-2024)</x:f>
        <x:v>13</x:v>
      </x:c>
      <x:c r="G39" s="128" t="n">
        <x:f aca="0">((SUMIFS(S17_Biome_Strata!$F:$F,S17_Biome_Strata!$D:$D,2020)*$B$6*(IF(COUNT(B39)=0,0,IF(B39=0,$B$8,IF(B39=1,$B$9,IF(B39=2,$B$10,$B$11))))))+(SUMIFS(S17_Biome_Strata!$F:$F,S17_Biome_Strata!$D:$D,2021)*$B$6*(IF(COUNT(C39)=0,0,IF(C39=0,$B$8,IF(C39=1,$B$9,IF(C39=2,$B$10,$B$11))))))+(SUMIFS(S17_Biome_Strata!$F:$F,S17_Biome_Strata!$D:$D,2022)*$B$6*(IF(COUNT(D39)=0,0,IF(D39=0,$B$8,IF(D39=1,$B$9,IF(D39=2,$B$10,$B$11))))))+(SUMIFS(S17_Biome_Strata!$F:$F,S17_Biome_Strata!$D:$D,2023)*$B$6*(IF(COUNT(E39)=0,0,IF(E39=0,$B$8,IF(E39=1,$B$9,IF(E39=2,$B$10,$B$11))))))+(SUMIFS(S17_Biome_Strata!$F:$F,S17_Biome_Strata!$D:$D,2024)*$B$6*(IF(COUNT(F39)=0,0,IF(F39=0,$B$8,IF(F39=1,$B$9,IF(F39=2,$B$10,$B$11)))))))/1000</x:f>
        <x:v>952226.9375326894</x:v>
      </x:c>
      <x:c r="H39" s="128" t="n">
        <x:f aca="0">G39*($B$12+$B$13*$B$14+$B$15*$B$16)</x:f>
        <x:v>13083.598121699153</x:v>
      </x:c>
      <x:c r="I39" s="128" t="n">
        <x:f aca="0">H39*44/28</x:f>
        <x:v>20559.93990552724</x:v>
      </x:c>
      <x:c r="J39" s="128" t="n">
        <x:f aca="0">I39/1000*$B$17</x:f>
        <x:v>5612.863594208937</x:v>
      </x:c>
    </x:row>
    <x:row r="40" ht="15" hidden="0" customHeight="1">
      <x:c r="A40" s="128" t="n">
        <x:v>2038</x:v>
      </x:c>
      <x:c r="B40" s="128" t="n">
        <x:f aca="0">IF($A40&lt;2020,"",$A40-2020)</x:f>
        <x:v>18</x:v>
      </x:c>
      <x:c r="C40" s="128" t="n">
        <x:f aca="0">IF($A40&lt;2021,"",$A40-2021)</x:f>
        <x:v>17</x:v>
      </x:c>
      <x:c r="D40" s="128" t="n">
        <x:f aca="0">IF($A40&lt;2022,"",$A40-2022)</x:f>
        <x:v>16</x:v>
      </x:c>
      <x:c r="E40" s="128" t="n">
        <x:f aca="0">IF($A40&lt;2023,"",$A40-2023)</x:f>
        <x:v>15</x:v>
      </x:c>
      <x:c r="F40" s="128" t="n">
        <x:f aca="0">IF($A40&lt;2024,"",$A40-2024)</x:f>
        <x:v>14</x:v>
      </x:c>
      <x:c r="G40" s="128" t="n">
        <x:f aca="0">((SUMIFS(S17_Biome_Strata!$F:$F,S17_Biome_Strata!$D:$D,2020)*$B$6*(IF(COUNT(B40)=0,0,IF(B40=0,$B$8,IF(B40=1,$B$9,IF(B40=2,$B$10,$B$11))))))+(SUMIFS(S17_Biome_Strata!$F:$F,S17_Biome_Strata!$D:$D,2021)*$B$6*(IF(COUNT(C40)=0,0,IF(C40=0,$B$8,IF(C40=1,$B$9,IF(C40=2,$B$10,$B$11))))))+(SUMIFS(S17_Biome_Strata!$F:$F,S17_Biome_Strata!$D:$D,2022)*$B$6*(IF(COUNT(D40)=0,0,IF(D40=0,$B$8,IF(D40=1,$B$9,IF(D40=2,$B$10,$B$11))))))+(SUMIFS(S17_Biome_Strata!$F:$F,S17_Biome_Strata!$D:$D,2023)*$B$6*(IF(COUNT(E40)=0,0,IF(E40=0,$B$8,IF(E40=1,$B$9,IF(E40=2,$B$10,$B$11))))))+(SUMIFS(S17_Biome_Strata!$F:$F,S17_Biome_Strata!$D:$D,2024)*$B$6*(IF(COUNT(F40)=0,0,IF(F40=0,$B$8,IF(F40=1,$B$9,IF(F40=2,$B$10,$B$11)))))))/1000</x:f>
        <x:v>952226.9375326894</x:v>
      </x:c>
      <x:c r="H40" s="128" t="n">
        <x:f aca="0">G40*($B$12+$B$13*$B$14+$B$15*$B$16)</x:f>
        <x:v>13083.598121699153</x:v>
      </x:c>
      <x:c r="I40" s="128" t="n">
        <x:f aca="0">H40*44/28</x:f>
        <x:v>20559.93990552724</x:v>
      </x:c>
      <x:c r="J40" s="128" t="n">
        <x:f aca="0">I40/1000*$B$17</x:f>
        <x:v>5612.863594208937</x:v>
      </x:c>
    </x:row>
    <x:row r="41" ht="15" hidden="0" customHeight="1">
      <x:c r="A41" s="128" t="n">
        <x:v>2039</x:v>
      </x:c>
      <x:c r="B41" s="128" t="n">
        <x:f aca="0">IF($A41&lt;2020,"",$A41-2020)</x:f>
        <x:v>19</x:v>
      </x:c>
      <x:c r="C41" s="128" t="n">
        <x:f aca="0">IF($A41&lt;2021,"",$A41-2021)</x:f>
        <x:v>18</x:v>
      </x:c>
      <x:c r="D41" s="128" t="n">
        <x:f aca="0">IF($A41&lt;2022,"",$A41-2022)</x:f>
        <x:v>17</x:v>
      </x:c>
      <x:c r="E41" s="128" t="n">
        <x:f aca="0">IF($A41&lt;2023,"",$A41-2023)</x:f>
        <x:v>16</x:v>
      </x:c>
      <x:c r="F41" s="128" t="n">
        <x:f aca="0">IF($A41&lt;2024,"",$A41-2024)</x:f>
        <x:v>15</x:v>
      </x:c>
      <x:c r="G41" s="128" t="n">
        <x:f aca="0">((SUMIFS(S17_Biome_Strata!$F:$F,S17_Biome_Strata!$D:$D,2020)*$B$6*(IF(COUNT(B41)=0,0,IF(B41=0,$B$8,IF(B41=1,$B$9,IF(B41=2,$B$10,$B$11))))))+(SUMIFS(S17_Biome_Strata!$F:$F,S17_Biome_Strata!$D:$D,2021)*$B$6*(IF(COUNT(C41)=0,0,IF(C41=0,$B$8,IF(C41=1,$B$9,IF(C41=2,$B$10,$B$11))))))+(SUMIFS(S17_Biome_Strata!$F:$F,S17_Biome_Strata!$D:$D,2022)*$B$6*(IF(COUNT(D41)=0,0,IF(D41=0,$B$8,IF(D41=1,$B$9,IF(D41=2,$B$10,$B$11))))))+(SUMIFS(S17_Biome_Strata!$F:$F,S17_Biome_Strata!$D:$D,2023)*$B$6*(IF(COUNT(E41)=0,0,IF(E41=0,$B$8,IF(E41=1,$B$9,IF(E41=2,$B$10,$B$11))))))+(SUMIFS(S17_Biome_Strata!$F:$F,S17_Biome_Strata!$D:$D,2024)*$B$6*(IF(COUNT(F41)=0,0,IF(F41=0,$B$8,IF(F41=1,$B$9,IF(F41=2,$B$10,$B$11)))))))/1000</x:f>
        <x:v>952226.9375326894</x:v>
      </x:c>
      <x:c r="H41" s="128" t="n">
        <x:f aca="0">G41*($B$12+$B$13*$B$14+$B$15*$B$16)</x:f>
        <x:v>13083.598121699153</x:v>
      </x:c>
      <x:c r="I41" s="128" t="n">
        <x:f aca="0">H41*44/28</x:f>
        <x:v>20559.93990552724</x:v>
      </x:c>
      <x:c r="J41" s="128" t="n">
        <x:f aca="0">I41/1000*$B$17</x:f>
        <x:v>5612.863594208937</x:v>
      </x:c>
    </x:row>
    <x:row r="42" ht="15" hidden="0" customHeight="1">
      <x:c r="A42" s="128" t="n">
        <x:v>2040</x:v>
      </x:c>
      <x:c r="B42" s="128" t="n">
        <x:f aca="0">IF($A42&lt;2020,"",$A42-2020)</x:f>
        <x:v>20</x:v>
      </x:c>
      <x:c r="C42" s="128" t="n">
        <x:f aca="0">IF($A42&lt;2021,"",$A42-2021)</x:f>
        <x:v>19</x:v>
      </x:c>
      <x:c r="D42" s="128" t="n">
        <x:f aca="0">IF($A42&lt;2022,"",$A42-2022)</x:f>
        <x:v>18</x:v>
      </x:c>
      <x:c r="E42" s="128" t="n">
        <x:f aca="0">IF($A42&lt;2023,"",$A42-2023)</x:f>
        <x:v>17</x:v>
      </x:c>
      <x:c r="F42" s="128" t="n">
        <x:f aca="0">IF($A42&lt;2024,"",$A42-2024)</x:f>
        <x:v>16</x:v>
      </x:c>
      <x:c r="G42" s="128" t="n">
        <x:f aca="0">((SUMIFS(S17_Biome_Strata!$F:$F,S17_Biome_Strata!$D:$D,2020)*$B$6*(IF(COUNT(B42)=0,0,IF(B42=0,$B$8,IF(B42=1,$B$9,IF(B42=2,$B$10,$B$11))))))+(SUMIFS(S17_Biome_Strata!$F:$F,S17_Biome_Strata!$D:$D,2021)*$B$6*(IF(COUNT(C42)=0,0,IF(C42=0,$B$8,IF(C42=1,$B$9,IF(C42=2,$B$10,$B$11))))))+(SUMIFS(S17_Biome_Strata!$F:$F,S17_Biome_Strata!$D:$D,2022)*$B$6*(IF(COUNT(D42)=0,0,IF(D42=0,$B$8,IF(D42=1,$B$9,IF(D42=2,$B$10,$B$11))))))+(SUMIFS(S17_Biome_Strata!$F:$F,S17_Biome_Strata!$D:$D,2023)*$B$6*(IF(COUNT(E42)=0,0,IF(E42=0,$B$8,IF(E42=1,$B$9,IF(E42=2,$B$10,$B$11))))))+(SUMIFS(S17_Biome_Strata!$F:$F,S17_Biome_Strata!$D:$D,2024)*$B$6*(IF(COUNT(F42)=0,0,IF(F42=0,$B$8,IF(F42=1,$B$9,IF(F42=2,$B$10,$B$11)))))))/1000</x:f>
        <x:v>952226.9375326894</x:v>
      </x:c>
      <x:c r="H42" s="128" t="n">
        <x:f aca="0">G42*($B$12+$B$13*$B$14+$B$15*$B$16)</x:f>
        <x:v>13083.598121699153</x:v>
      </x:c>
      <x:c r="I42" s="128" t="n">
        <x:f aca="0">H42*44/28</x:f>
        <x:v>20559.93990552724</x:v>
      </x:c>
      <x:c r="J42" s="128" t="n">
        <x:f aca="0">I42/1000*$B$17</x:f>
        <x:v>5612.863594208937</x:v>
      </x:c>
    </x:row>
    <x:row r="43" ht="15" hidden="0" customHeight="1"/>
    <x:row r="44" ht="15" hidden="0" customHeight="1">
      <x:c r="A44" s="219" t="s">
        <x:v>1389</x:v>
      </x:c>
      <x:c r="J44" s="220" t="n">
        <x:f aca="0">SUM(J22:J42)</x:f>
        <x:v>106471.70009672528</x:v>
      </x:c>
    </x:row>
    <x:row r="45" ht="15" hidden="0" customHeight="1"/>
    <x:row r="46" ht="21.75" hidden="0" customHeight="1">
      <x:c r="A46" s="221" t="s">
        <x:v>1390</x:v>
      </x:c>
      <x:c r="B46" s="221"/>
      <x:c r="C46" s="221"/>
      <x:c r="D46" s="221"/>
      <x:c r="E46" s="221"/>
      <x:c r="F46" s="221"/>
      <x:c r="G46" s="221"/>
      <x:c r="H46" s="221"/>
      <x:c r="I46" s="221"/>
      <x:c r="J46" s="221"/>
    </x:row>
    <x:row r="47" ht="21.75" hidden="0" customHeight="1">
      <x:c r="A47" s="222" t="s">
        <x:v>1391</x:v>
      </x:c>
      <x:c r="B47" s="223" t="n">
        <x:f aca="0">J44</x:f>
        <x:v>106471.70009672528</x:v>
      </x:c>
      <x:c r="C47" s="80" t="s">
        <x:v>151</x:v>
      </x:c>
      <x:c r="D47" s="80" t="s">
        <x:v>1392</x:v>
      </x:c>
    </x:row>
    <x:row r="48" ht="21.75" hidden="0" customHeight="1">
      <x:c r="A48" s="222" t="s">
        <x:v>1393</x:v>
      </x:c>
      <x:c r="B48" s="223" t="n">
        <x:f aca="0">SUM(S33_Project_Deductions!$H$4:$H$24)</x:f>
        <x:v>106471.70009672528</x:v>
      </x:c>
      <x:c r="C48" s="80" t="s">
        <x:v>151</x:v>
      </x:c>
      <x:c r="D48" s="80" t="s">
        <x:v>1394</x:v>
      </x:c>
    </x:row>
    <x:row r="49" ht="21.75" hidden="0" customHeight="1">
      <x:c r="A49" s="222" t="s">
        <x:v>1395</x:v>
      </x:c>
      <x:c r="B49" s="223" t="n">
        <x:f aca="0">SUM(S33_Project_Deductions!$I$4:$I$24)</x:f>
        <x:v>0</x:v>
      </x:c>
      <x:c r="C49" s="80" t="s">
        <x:v>151</x:v>
      </x:c>
      <x:c r="D49" s="80" t="s">
        <x:v>1396</x:v>
      </x:c>
    </x:row>
    <x:row r="50" ht="21.75" hidden="0" customHeight="1">
      <x:c r="A50" s="224" t="s">
        <x:v>1397</x:v>
      </x:c>
      <x:c r="B50" s="224"/>
      <x:c r="C50" s="224"/>
      <x:c r="D50" s="224"/>
      <x:c r="E50" s="224"/>
      <x:c r="F50" s="224"/>
      <x:c r="G50" s="224"/>
      <x:c r="H50" s="224"/>
      <x:c r="I50" s="224"/>
      <x:c r="J50" s="224"/>
    </x:row>
    <x:row r="51" ht="15" hidden="0" customHeight="1"/>
    <x:row r="52" ht="15" hidden="0" customHeight="1"/>
    <x:row r="53" ht="15" hidden="0" customHeight="1">
      <x:c r="A53" s="209" t="s">
        <x:v>1398</x:v>
      </x:c>
      <x:c r="B53" s="209"/>
      <x:c r="C53" s="209"/>
      <x:c r="D53" s="209"/>
      <x:c r="E53" s="209"/>
      <x:c r="F53" s="209"/>
      <x:c r="G53" s="209"/>
      <x:c r="H53" s="209"/>
      <x:c r="I53" s="209"/>
      <x:c r="J53" s="209"/>
    </x:row>
    <x:row r="54" ht="15" hidden="0" customHeight="1"/>
    <x:row r="55" ht="90" hidden="0" customHeight="1">
      <x:c r="A55" s="225" t="s">
        <x:v>1399</x:v>
      </x:c>
      <x:c r="B55" s="225"/>
      <x:c r="C55" s="225"/>
      <x:c r="D55" s="225"/>
      <x:c r="E55" s="225"/>
      <x:c r="F55" s="225"/>
      <x:c r="G55" s="225"/>
      <x:c r="H55" s="225"/>
      <x:c r="I55" s="225"/>
      <x:c r="J55" s="225"/>
    </x:row>
    <x:row r="56" ht="15" hidden="0" customHeight="1"/>
    <x:row r="57" ht="15" hidden="0" customHeight="1">
      <x:c r="A57" s="92" t="s">
        <x:v>1400</x:v>
      </x:c>
      <x:c r="B57" s="92" t="s">
        <x:v>38</x:v>
      </x:c>
      <x:c r="C57" s="92"/>
      <x:c r="D57" s="141" t="s">
        <x:v>1401</x:v>
      </x:c>
    </x:row>
    <x:row r="58" ht="39.75" hidden="0" customHeight="1">
      <x:c r="A58" s="132" t="s">
        <x:v>1402</x:v>
      </x:c>
      <x:c r="B58" s="226" t="n">
        <x:f aca="0">SUM(S33_Project_Deductions!C4:C24)</x:f>
        <x:v>20990.32404640868</x:v>
      </x:c>
      <x:c r="C58" s="227" t="s">
        <x:v>151</x:v>
      </x:c>
      <x:c r="D58" s="1" t="s">
        <x:v>1403</x:v>
      </x:c>
    </x:row>
    <x:row r="59" ht="30" hidden="0" customHeight="1">
      <x:c r="A59" s="132" t="s">
        <x:v>1404</x:v>
      </x:c>
      <x:c r="B59" s="226" t="str">
        <x:f aca="0">S36_VMD0054_Leakage!K4</x:f>
        <x:v>Scope-aligned legacy</x:v>
      </x:c>
      <x:c r="C59" s="227"/>
      <x:c r="D59" s="1" t="s">
        <x:v>1405</x:v>
      </x:c>
    </x:row>
    <x:row r="60" ht="30" hidden="0" customHeight="1">
      <x:c r="A60" s="132" t="s">
        <x:v>1406</x:v>
      </x:c>
      <x:c r="B60" s="226" t="s">
        <x:v>1407</x:v>
      </x:c>
      <x:c r="C60" s="227"/>
    </x:row>
    <x:row r="61" ht="32.25" hidden="0" customHeight="1">
      <x:c r="A61" s="132"/>
      <x:c r="B61" s="226"/>
      <x:c r="C61" s="227"/>
    </x:row>
    <x:row r="62" ht="15" hidden="0" customHeight="1"/>
    <x:row r="63" ht="45" hidden="0" customHeight="1">
      <x:c r="A63" s="129"/>
      <x:c r="B63" s="129"/>
      <x:c r="C63" s="129"/>
      <x:c r="D63" s="129"/>
      <x:c r="E63" s="129"/>
      <x:c r="F63" s="129"/>
      <x:c r="G63" s="129"/>
      <x:c r="H63" s="129"/>
      <x:c r="I63" s="129"/>
      <x:c r="J63" s="129"/>
    </x:row>
  </x:sheetData>
  <x:mergeCells>
    <x:mergeCell ref="A1:J1"/>
    <x:mergeCell ref="A2:J2"/>
    <x:mergeCell ref="A4:J4"/>
    <x:mergeCell ref="D6:J6"/>
    <x:mergeCell ref="D7:J7"/>
    <x:mergeCell ref="D8:J8"/>
    <x:mergeCell ref="D9:J9"/>
    <x:mergeCell ref="D10:J10"/>
    <x:mergeCell ref="D11:J11"/>
    <x:mergeCell ref="D12:J12"/>
    <x:mergeCell ref="D13:J13"/>
    <x:mergeCell ref="D14:J14"/>
    <x:mergeCell ref="D15:J15"/>
    <x:mergeCell ref="D16:J16"/>
    <x:mergeCell ref="D17:J17"/>
    <x:mergeCell ref="A18:J18"/>
    <x:mergeCell ref="A19:J19"/>
    <x:mergeCell ref="A46:J46"/>
    <x:mergeCell ref="A50:J50"/>
    <x:mergeCell ref="A53:J53"/>
    <x:mergeCell ref="A55:J55"/>
    <x:mergeCell ref="A63:J63"/>
  </x:mergeCells>
  <x:pageMargins left="0.7" right="0.7" top="0.75" bottom="0.75" header="0.3" footer="0.3"/>
</x:worksheet>
</file>

<file path=xl/worksheets/sheet36.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16" style="1" hidden="0" customWidth="1"/>
    <x:col min="2" max="2" width="20" style="1" hidden="0" customWidth="1"/>
    <x:col min="3" max="3" width="12" style="1" hidden="0" customWidth="1"/>
    <x:col min="4" max="4" width="16" style="1" hidden="0" customWidth="1"/>
    <x:col min="5" max="6" width="15" style="1" hidden="0" customWidth="1"/>
    <x:col min="7" max="9" width="16" style="1" hidden="0" customWidth="1"/>
    <x:col min="10" max="10" width="18" style="1" hidden="0" customWidth="1"/>
    <x:col min="11" max="11" width="16" style="1" hidden="0" customWidth="1"/>
    <x:col min="12" max="12" width="14" style="1" hidden="0" customWidth="1"/>
    <x:col min="13" max="13" width="28" style="1" hidden="0" customWidth="1"/>
    <x:col min="14" max="14" width="18" style="1" hidden="0" customWidth="1"/>
    <x:col min="15" max="15" width="28" style="1" hidden="0" customWidth="1"/>
    <x:col min="16" max="16" width="15" style="1" hidden="0" customWidth="1"/>
    <x:col min="17" max="17" width="16" style="1" hidden="0" customWidth="1"/>
    <x:col min="18" max="18" width="12" style="1" hidden="0" customWidth="1"/>
  </x:cols>
  <x:sheetData>
    <x:row r="1" ht="27.75" hidden="0" customHeight="1">
      <x:c r="A1" s="228" t="s">
        <x:v>1408</x:v>
      </x:c>
      <x:c r="B1" s="228"/>
      <x:c r="C1" s="228"/>
      <x:c r="D1" s="228"/>
      <x:c r="E1" s="228"/>
      <x:c r="F1" s="228"/>
      <x:c r="G1" s="228"/>
      <x:c r="H1" s="228"/>
      <x:c r="I1" s="228"/>
      <x:c r="J1" s="228"/>
      <x:c r="K1" s="228"/>
      <x:c r="L1" s="228"/>
      <x:c r="M1" s="228"/>
      <x:c r="N1" s="228"/>
      <x:c r="O1" s="228"/>
      <x:c r="P1" s="228"/>
      <x:c r="Q1" s="228"/>
      <x:c r="R1" s="228"/>
    </x:row>
    <x:row r="2" ht="33.75" hidden="0" customHeight="1">
      <x:c r="A2" s="58" t="s">
        <x:v>1409</x:v>
      </x:c>
      <x:c r="B2" s="58"/>
      <x:c r="C2" s="58"/>
      <x:c r="D2" s="58"/>
      <x:c r="E2" s="58"/>
      <x:c r="F2" s="58"/>
      <x:c r="G2" s="58"/>
      <x:c r="H2" s="58"/>
      <x:c r="I2" s="58"/>
      <x:c r="J2" s="58"/>
      <x:c r="K2" s="58"/>
      <x:c r="L2" s="58"/>
      <x:c r="M2" s="58"/>
      <x:c r="N2" s="58"/>
      <x:c r="O2" s="58"/>
      <x:c r="P2" s="58"/>
      <x:c r="Q2" s="58"/>
      <x:c r="R2" s="58"/>
    </x:row>
    <x:row r="3" ht="24.75" hidden="0" customHeight="1">
      <x:c r="A3" s="229" t="s">
        <x:v>1410</x:v>
      </x:c>
      <x:c r="B3" s="229"/>
      <x:c r="C3" s="229"/>
      <x:c r="D3" s="229"/>
      <x:c r="E3" s="229"/>
      <x:c r="F3" s="229"/>
      <x:c r="G3" s="229"/>
      <x:c r="H3" s="229"/>
      <x:c r="I3" s="229"/>
      <x:c r="J3" s="229"/>
      <x:c r="K3" s="229"/>
      <x:c r="L3" s="229"/>
      <x:c r="M3" s="229"/>
      <x:c r="N3" s="229"/>
      <x:c r="O3" s="229"/>
      <x:c r="P3" s="229"/>
      <x:c r="Q3" s="229"/>
      <x:c r="R3" s="229"/>
    </x:row>
    <x:row r="4" ht="45.75" hidden="0" customHeight="1">
      <x:c r="A4" s="59" t="s">
        <x:v>1411</x:v>
      </x:c>
      <x:c r="B4" s="230" t="s">
        <x:v>1412</x:v>
      </x:c>
      <x:c r="C4" s="80"/>
      <x:c r="D4" s="59" t="s">
        <x:v>1413</x:v>
      </x:c>
      <x:c r="E4" s="230" t="n">
        <x:v>4713</x:v>
      </x:c>
      <x:c r="F4" s="80"/>
      <x:c r="G4" s="59" t="s">
        <x:v>1414</x:v>
      </x:c>
      <x:c r="H4" s="230" t="s">
        <x:v>1401</x:v>
      </x:c>
      <x:c r="I4" s="80"/>
      <x:c r="J4" s="59" t="s">
        <x:v>1404</x:v>
      </x:c>
      <x:c r="K4" s="231" t="str">
        <x:v>Scope-aligned legacy</x:v>
      </x:c>
      <x:c r="L4" s="80"/>
      <x:c r="M4" s="59" t="s">
        <x:v>1149</x:v>
      </x:c>
      <x:c r="N4" s="232" t="str">
        <x:f aca="0"/>
        <x:v>Status</x:v>
      </x:c>
      <x:c r="O4" s="232" t="str">
        <x:v>Legacy source series scope-aligned to current credited ERR area; VMD0054 engine retained for replacement when complete inputs are available.</x:v>
      </x:c>
      <x:c r="P4" s="232"/>
      <x:c r="Q4" s="232"/>
      <x:c r="R4" s="232"/>
      <x:c r="X4" t="str">
        <x:v>Area scope reconciliation</x:v>
      </x:c>
      <x:c r="Y4" t="str">
        <x:v>Value</x:v>
      </x:c>
    </x:row>
    <x:row r="5" ht="45.75" hidden="0" customHeight="1">
      <x:c r="A5" s="59" t="s">
        <x:v>1415</x:v>
      </x:c>
      <x:c r="B5" s="230" t="n">
        <x:f aca="0">MAX(S17_Biome_Strata!D4:D95)</x:f>
        <x:v>2024</x:v>
      </x:c>
      <x:c r="C5" s="80"/>
      <x:c r="D5" s="59" t="s">
        <x:v>1416</x:v>
      </x:c>
      <x:c r="E5" s="231" t="n">
        <x:v>2020</x:v>
      </x:c>
      <x:c r="F5" s="80"/>
      <x:c r="G5" s="59" t="s">
        <x:v>1417</x:v>
      </x:c>
      <x:c r="H5" s="230" t="n">
        <x:f aca="0">B5+5</x:f>
        <x:v>2029</x:v>
      </x:c>
      <x:c r="I5" s="80"/>
      <x:c r="J5" s="59" t="s">
        <x:v>1418</x:v>
      </x:c>
      <x:c r="K5" s="230" t="s">
        <x:v>1419</x:v>
      </x:c>
      <x:c r="L5" s="80"/>
      <x:c r="M5" s="59" t="s">
        <x:v>1420</x:v>
      </x:c>
      <x:c r="N5" s="232" t="s">
        <x:v>1421</x:v>
      </x:c>
      <x:c r="O5" s="232"/>
      <x:c r="P5" s="232"/>
      <x:c r="Q5" s="232"/>
      <x:c r="R5" s="232"/>
      <x:c r="X5" t="str">
        <x:v>ERR / credited area (ha)</x:v>
      </x:c>
      <x:c r="Y5" t="n">
        <x:f>'S08_Defaults'!$B$30</x:f>
        <x:v>2851.798533508701</x:v>
      </x:c>
    </x:row>
    <x:row r="6" ht="15" hidden="0" customHeight="1">
      <x:c r="A6" s="80"/>
      <x:c r="B6" s="80"/>
      <x:c r="C6" s="80"/>
      <x:c r="D6" s="80"/>
      <x:c r="E6" s="80"/>
      <x:c r="F6" s="80"/>
      <x:c r="G6" s="80"/>
      <x:c r="H6" s="80"/>
      <x:c r="I6" s="80"/>
      <x:c r="J6" s="80"/>
      <x:c r="K6" s="80"/>
      <x:c r="L6" s="80"/>
      <x:c r="M6" s="80"/>
      <x:c r="N6" s="80"/>
      <x:c r="O6" s="80"/>
      <x:c r="P6" s="80"/>
      <x:c r="Q6" s="80"/>
      <x:c r="R6" s="80"/>
      <x:c r="X6" t="str">
        <x:v>Legacy leakage source area (ha)</x:v>
      </x:c>
      <x:c r="Y6" t="n">
        <x:f>'S08_Defaults'!$B$31</x:f>
        <x:v>17295.441</x:v>
      </x:c>
    </x:row>
    <x:row r="7" ht="24.75" hidden="0" customHeight="1">
      <x:c r="A7" s="77" t="s">
        <x:v>1422</x:v>
      </x:c>
      <x:c r="B7" s="77"/>
      <x:c r="C7" s="77"/>
      <x:c r="D7" s="77"/>
      <x:c r="E7" s="77"/>
      <x:c r="F7" s="77"/>
      <x:c r="G7" s="77"/>
      <x:c r="H7" s="77"/>
      <x:c r="I7" s="77"/>
      <x:c r="J7" s="77"/>
      <x:c r="K7" s="77"/>
      <x:c r="L7" s="77"/>
      <x:c r="M7" s="77"/>
      <x:c r="N7" s="77"/>
      <x:c r="O7" s="77"/>
      <x:c r="P7" s="77"/>
      <x:c r="Q7" s="77"/>
      <x:c r="R7" s="77"/>
      <x:c r="X7" t="str">
        <x:v>Scope factor = ERR / legacy area</x:v>
      </x:c>
      <x:c r="Y7" t="n">
        <x:f>IFERROR(Y5/Y6,0)</x:f>
        <x:v>0.16488729795954327</x:v>
      </x:c>
    </x:row>
    <x:row r="8" ht="23.25" hidden="0" customHeight="1">
      <x:c r="A8" s="59" t="s">
        <x:v>1423</x:v>
      </x:c>
      <x:c r="B8" s="233" t="n">
        <x:v>0.4</x:v>
      </x:c>
      <x:c r="C8" s="80" t="s">
        <x:v>414</x:v>
      </x:c>
      <x:c r="D8" s="59" t="s">
        <x:v>1424</x:v>
      </x:c>
      <x:c r="E8" s="233" t="n">
        <x:v>27</x:v>
      </x:c>
      <x:c r="F8" s="80" t="s">
        <x:v>414</x:v>
      </x:c>
      <x:c r="G8" s="59" t="s">
        <x:v>1425</x:v>
      </x:c>
      <x:c r="H8" s="233" t="n">
        <x:v>0.83</x:v>
      </x:c>
      <x:c r="I8" s="80" t="s">
        <x:v>1426</x:v>
      </x:c>
      <x:c r="J8" s="59" t="s">
        <x:v>1427</x:v>
      </x:c>
      <x:c r="K8" s="233" t="n">
        <x:v>1</x:v>
      </x:c>
      <x:c r="L8" s="80" t="s">
        <x:v>1426</x:v>
      </x:c>
      <x:c r="M8" s="59" t="s">
        <x:v>1428</x:v>
      </x:c>
      <x:c r="N8" s="233" t="n">
        <x:v>0.92</x:v>
      </x:c>
      <x:c r="O8" s="80"/>
      <x:c r="P8" s="80"/>
      <x:c r="Q8" s="80"/>
      <x:c r="R8" s="80"/>
      <x:c r="X8" t="str">
        <x:v>Final-use basis</x:v>
      </x:c>
      <x:c r="Y8" t="str">
        <x:v>Legacy leakage × scope factor until parcel-level VMD0054 inputs are complete</x:v>
      </x:c>
    </x:row>
    <x:row r="9" ht="33.75" hidden="0" customHeight="1">
      <x:c r="A9" s="234" t="s">
        <x:v>1429</x:v>
      </x:c>
      <x:c r="B9" s="234"/>
      <x:c r="C9" s="234"/>
      <x:c r="D9" s="234"/>
      <x:c r="E9" s="234"/>
      <x:c r="F9" s="234"/>
      <x:c r="G9" s="234"/>
      <x:c r="H9" s="234"/>
      <x:c r="I9" s="234"/>
      <x:c r="J9" s="234"/>
      <x:c r="K9" s="234"/>
      <x:c r="L9" s="234"/>
      <x:c r="M9" s="234"/>
      <x:c r="N9" s="234"/>
      <x:c r="O9" s="234"/>
      <x:c r="P9" s="234"/>
      <x:c r="Q9" s="234"/>
      <x:c r="R9" s="234"/>
    </x:row>
    <x:row r="10" ht="24.75" hidden="0" customHeight="1">
      <x:c r="A10" s="77" t="s">
        <x:v>1430</x:v>
      </x:c>
      <x:c r="B10" s="77"/>
      <x:c r="C10" s="77"/>
      <x:c r="D10" s="77"/>
      <x:c r="E10" s="77"/>
      <x:c r="F10" s="77"/>
      <x:c r="G10" s="77"/>
      <x:c r="H10" s="77"/>
      <x:c r="I10" s="77"/>
      <x:c r="J10" s="77"/>
      <x:c r="K10" s="77"/>
      <x:c r="L10" s="77"/>
      <x:c r="M10" s="77"/>
      <x:c r="N10" s="77"/>
      <x:c r="O10" s="77"/>
      <x:c r="P10" s="77"/>
      <x:c r="Q10" s="77"/>
      <x:c r="R10" s="77"/>
    </x:row>
    <x:row r="11" ht="37.5" hidden="0" customHeight="1">
      <x:c r="A11" s="145" t="s">
        <x:v>1431</x:v>
      </x:c>
      <x:c r="B11" s="145" t="s">
        <x:v>1432</x:v>
      </x:c>
      <x:c r="C11" s="145" t="s">
        <x:v>364</x:v>
      </x:c>
      <x:c r="D11" s="145" t="s">
        <x:v>1433</x:v>
      </x:c>
      <x:c r="E11" s="145" t="s">
        <x:v>1434</x:v>
      </x:c>
      <x:c r="F11" s="145" t="s">
        <x:v>1435</x:v>
      </x:c>
      <x:c r="G11" s="145" t="s">
        <x:v>1436</x:v>
      </x:c>
      <x:c r="H11" s="145" t="s">
        <x:v>1437</x:v>
      </x:c>
      <x:c r="I11" s="145" t="s">
        <x:v>1438</x:v>
      </x:c>
      <x:c r="J11" s="145" t="s">
        <x:v>1439</x:v>
      </x:c>
      <x:c r="K11" s="145" t="s">
        <x:v>1440</x:v>
      </x:c>
      <x:c r="L11" s="145" t="s">
        <x:v>1441</x:v>
      </x:c>
      <x:c r="M11" s="145" t="s">
        <x:v>1442</x:v>
      </x:c>
      <x:c r="N11" s="145" t="s">
        <x:v>1443</x:v>
      </x:c>
      <x:c r="O11" s="145" t="s">
        <x:v>1444</x:v>
      </x:c>
      <x:c r="P11" s="145" t="s">
        <x:v>1445</x:v>
      </x:c>
      <x:c r="Q11" s="145" t="s">
        <x:v>1446</x:v>
      </x:c>
      <x:c r="R11" s="145" t="s">
        <x:v>1447</x:v>
      </x:c>
    </x:row>
    <x:row r="12" ht="23.25" hidden="0" customHeight="1">
      <x:c r="A12" s="132" t="s">
        <x:v>1448</x:v>
      </x:c>
      <x:c r="B12" s="235" t="s">
        <x:v>1449</x:v>
      </x:c>
      <x:c r="C12" s="235" t="s">
        <x:v>1450</x:v>
      </x:c>
      <x:c r="D12" s="235" t="s">
        <x:v>1451</x:v>
      </x:c>
      <x:c r="E12" s="226" t="n">
        <x:v>2853.125</x:v>
      </x:c>
      <x:c r="F12" s="226" t="n">
        <x:v>2084.85</x:v>
      </x:c>
      <x:c r="G12" s="226" t="n">
        <x:v>2749.5</x:v>
      </x:c>
      <x:c r="H12" s="226" t="n">
        <x:v>2487.795</x:v>
      </x:c>
      <x:c r="I12" s="226" t="n">
        <x:v>0.025</x:v>
      </x:c>
      <x:c r="J12" s="226" t="n">
        <x:v>1.08375</x:v>
      </x:c>
      <x:c r="K12" s="132" t="n">
        <x:f aca="0">IF(D12="Cross-commodity",1,IF(C12="Fuelwood",1,0.75))</x:f>
        <x:v>0.75</x:v>
      </x:c>
      <x:c r="L12" s="132" t="n">
        <x:f aca="0">IF(D12="Cross-commodity",1,IF(C12="Fuelwood",1,0.4))</x:f>
        <x:v>0.4</x:v>
      </x:c>
      <x:c r="M12" s="235" t="s">
        <x:v>1452</x:v>
      </x:c>
      <x:c r="N12" s="235"/>
      <x:c r="O12" s="235"/>
      <x:c r="P12" s="235"/>
      <x:c r="Q12" s="226"/>
      <x:c r="R12" s="233" t="s">
        <x:v>181</x:v>
      </x:c>
    </x:row>
    <x:row r="13" ht="23.25" hidden="0" customHeight="1">
      <x:c r="A13" s="132" t="s">
        <x:v>1453</x:v>
      </x:c>
      <x:c r="B13" s="235" t="s">
        <x:v>1449</x:v>
      </x:c>
      <x:c r="C13" s="235" t="s">
        <x:v>1450</x:v>
      </x:c>
      <x:c r="D13" s="235" t="s">
        <x:v>1451</x:v>
      </x:c>
      <x:c r="E13" s="226" t="n">
        <x:v>2099.0375</x:v>
      </x:c>
      <x:c r="F13" s="226" t="n">
        <x:v>1528.8875</x:v>
      </x:c>
      <x:c r="G13" s="226" t="n">
        <x:v>1886.3476</x:v>
      </x:c>
      <x:c r="H13" s="226" t="n">
        <x:v>1729.977381</x:v>
      </x:c>
      <x:c r="I13" s="226" t="n">
        <x:v>0.025</x:v>
      </x:c>
      <x:c r="J13" s="226" t="n">
        <x:v>0.781949</x:v>
      </x:c>
      <x:c r="K13" s="132" t="n">
        <x:f aca="0">IF(D13="Cross-commodity",1,IF(C13="Fuelwood",1,0.75))</x:f>
        <x:v>0.75</x:v>
      </x:c>
      <x:c r="L13" s="132" t="n">
        <x:f aca="0">IF(D13="Cross-commodity",1,IF(C13="Fuelwood",1,0.4))</x:f>
        <x:v>0.4</x:v>
      </x:c>
      <x:c r="M13" s="235" t="s">
        <x:v>1452</x:v>
      </x:c>
      <x:c r="N13" s="235"/>
      <x:c r="O13" s="235"/>
      <x:c r="P13" s="235"/>
      <x:c r="Q13" s="226"/>
      <x:c r="R13" s="233" t="s">
        <x:v>181</x:v>
      </x:c>
    </x:row>
    <x:row r="14" ht="23.25" hidden="0" customHeight="1">
      <x:c r="A14" s="132" t="s">
        <x:v>1454</x:v>
      </x:c>
      <x:c r="B14" s="235" t="s">
        <x:v>1449</x:v>
      </x:c>
      <x:c r="C14" s="235" t="s">
        <x:v>1450</x:v>
      </x:c>
      <x:c r="D14" s="235" t="s">
        <x:v>1451</x:v>
      </x:c>
      <x:c r="E14" s="226" t="n">
        <x:v>21892.79</x:v>
      </x:c>
      <x:c r="F14" s="226" t="n">
        <x:v>17171.685</x:v>
      </x:c>
      <x:c r="G14" s="226" t="n">
        <x:v>24857.079</x:v>
      </x:c>
      <x:c r="H14" s="226" t="n">
        <x:v>19520.8938</x:v>
      </x:c>
      <x:c r="I14" s="226" t="n">
        <x:v>0.025</x:v>
      </x:c>
      <x:c r="J14" s="226" t="n">
        <x:v>4.66875</x:v>
      </x:c>
      <x:c r="K14" s="132" t="n">
        <x:f aca="0">IF(D14="Cross-commodity",1,IF(C14="Fuelwood",1,0.75))</x:f>
        <x:v>0.75</x:v>
      </x:c>
      <x:c r="L14" s="132" t="n">
        <x:f aca="0">IF(D14="Cross-commodity",1,IF(C14="Fuelwood",1,0.4))</x:f>
        <x:v>0.4</x:v>
      </x:c>
      <x:c r="M14" s="235" t="s">
        <x:v>1452</x:v>
      </x:c>
      <x:c r="N14" s="235"/>
      <x:c r="O14" s="235"/>
      <x:c r="P14" s="235"/>
      <x:c r="Q14" s="226"/>
      <x:c r="R14" s="233" t="s">
        <x:v>181</x:v>
      </x:c>
    </x:row>
    <x:row r="15" ht="23.25" hidden="0" customHeight="1">
      <x:c r="A15" s="132" t="s">
        <x:v>1455</x:v>
      </x:c>
      <x:c r="B15" s="235" t="s">
        <x:v>1449</x:v>
      </x:c>
      <x:c r="C15" s="235" t="s">
        <x:v>1450</x:v>
      </x:c>
      <x:c r="D15" s="235" t="s">
        <x:v>1451</x:v>
      </x:c>
      <x:c r="E15" s="226" t="n">
        <x:v>3601.065</x:v>
      </x:c>
      <x:c r="F15" s="226" t="n">
        <x:v>2839.925</x:v>
      </x:c>
      <x:c r="G15" s="226" t="n">
        <x:v>3974.58</x:v>
      </x:c>
      <x:c r="H15" s="226" t="n">
        <x:v>3170.9736</x:v>
      </x:c>
      <x:c r="I15" s="226" t="n">
        <x:v>0.025</x:v>
      </x:c>
      <x:c r="J15" s="226" t="n">
        <x:v>1.440625</x:v>
      </x:c>
      <x:c r="K15" s="132" t="n">
        <x:f aca="0">IF(D15="Cross-commodity",1,IF(C15="Fuelwood",1,0.75))</x:f>
        <x:v>0.75</x:v>
      </x:c>
      <x:c r="L15" s="132" t="n">
        <x:f aca="0">IF(D15="Cross-commodity",1,IF(C15="Fuelwood",1,0.4))</x:f>
        <x:v>0.4</x:v>
      </x:c>
      <x:c r="M15" s="235" t="s">
        <x:v>1452</x:v>
      </x:c>
      <x:c r="N15" s="235"/>
      <x:c r="O15" s="235"/>
      <x:c r="P15" s="235"/>
      <x:c r="Q15" s="226"/>
      <x:c r="R15" s="233" t="s">
        <x:v>181</x:v>
      </x:c>
    </x:row>
    <x:row r="16" ht="23.25" hidden="0" customHeight="1">
      <x:c r="A16" s="132" t="s">
        <x:v>1456</x:v>
      </x:c>
      <x:c r="B16" s="235" t="s">
        <x:v>1449</x:v>
      </x:c>
      <x:c r="C16" s="235" t="s">
        <x:v>1450</x:v>
      </x:c>
      <x:c r="D16" s="235" t="s">
        <x:v>1451</x:v>
      </x:c>
      <x:c r="E16" s="226" t="n">
        <x:v>13786.67</x:v>
      </x:c>
      <x:c r="F16" s="226" t="n">
        <x:v>9746.62</x:v>
      </x:c>
      <x:c r="G16" s="226" t="n">
        <x:v>7610.62</x:v>
      </x:c>
      <x:c r="H16" s="226" t="n">
        <x:v>10664.694</x:v>
      </x:c>
      <x:c r="I16" s="226" t="n">
        <x:v>0.025</x:v>
      </x:c>
      <x:c r="J16" s="226" t="n">
        <x:v>2.538125</x:v>
      </x:c>
      <x:c r="K16" s="132" t="n">
        <x:f aca="0">IF(D16="Cross-commodity",1,IF(C16="Fuelwood",1,0.75))</x:f>
        <x:v>0.75</x:v>
      </x:c>
      <x:c r="L16" s="132" t="n">
        <x:f aca="0">IF(D16="Cross-commodity",1,IF(C16="Fuelwood",1,0.4))</x:f>
        <x:v>0.4</x:v>
      </x:c>
      <x:c r="M16" s="235" t="s">
        <x:v>1452</x:v>
      </x:c>
      <x:c r="N16" s="235"/>
      <x:c r="O16" s="235"/>
      <x:c r="P16" s="235"/>
      <x:c r="Q16" s="226"/>
      <x:c r="R16" s="233" t="s">
        <x:v>181</x:v>
      </x:c>
    </x:row>
    <x:row r="17" ht="15" hidden="0" customHeight="1">
      <x:c r="A17" s="132" t="s">
        <x:v>1457</x:v>
      </x:c>
      <x:c r="B17" s="132" t="s">
        <x:v>1449</x:v>
      </x:c>
      <x:c r="C17" s="132" t="s">
        <x:v>1450</x:v>
      </x:c>
      <x:c r="D17" s="132" t="s">
        <x:v>1451</x:v>
      </x:c>
      <x:c r="E17" s="226" t="n">
        <x:v>8809.91</x:v>
      </x:c>
      <x:c r="F17" s="226" t="n">
        <x:v>8798.4</x:v>
      </x:c>
      <x:c r="G17" s="226" t="n">
        <x:v>8364.16</x:v>
      </x:c>
      <x:c r="H17" s="226" t="n">
        <x:v>7516.254</x:v>
      </x:c>
      <x:c r="I17" s="226" t="n">
        <x:v>0.025</x:v>
      </x:c>
      <x:c r="J17" s="226" t="n">
        <x:v>7.911875</x:v>
      </x:c>
      <x:c r="K17" s="132" t="n">
        <x:f aca="0">IF(D17="Cross-commodity",1,IF(C17="Fuelwood",1,0.75))</x:f>
        <x:v>0.75</x:v>
      </x:c>
      <x:c r="L17" s="132" t="n">
        <x:f aca="0">IF(D17="Cross-commodity",1,IF(C17="Fuelwood",1,0.4))</x:f>
        <x:v>0.4</x:v>
      </x:c>
      <x:c r="M17" s="132" t="s">
        <x:v>1452</x:v>
      </x:c>
      <x:c r="N17" s="132"/>
      <x:c r="O17" s="132"/>
      <x:c r="P17" s="132"/>
      <x:c r="Q17" s="226"/>
      <x:c r="R17" s="236" t="s">
        <x:v>181</x:v>
      </x:c>
    </x:row>
    <x:row r="18" ht="24.75" hidden="0" customHeight="1">
      <x:c r="A18" s="132" t="s">
        <x:v>1458</x:v>
      </x:c>
      <x:c r="B18" s="132" t="s">
        <x:v>1449</x:v>
      </x:c>
      <x:c r="C18" s="132" t="s">
        <x:v>1450</x:v>
      </x:c>
      <x:c r="D18" s="132" t="s">
        <x:v>1451</x:v>
      </x:c>
      <x:c r="E18" s="226" t="n">
        <x:v>7892.375</x:v>
      </x:c>
      <x:c r="F18" s="226" t="n">
        <x:v>9352.8</x:v>
      </x:c>
      <x:c r="G18" s="226" t="n">
        <x:v>5659.159</x:v>
      </x:c>
      <x:c r="H18" s="226" t="n">
        <x:v>6820.1926</x:v>
      </x:c>
      <x:c r="I18" s="226" t="n">
        <x:v>0.025</x:v>
      </x:c>
      <x:c r="J18" s="226" t="n">
        <x:v>12.053531</x:v>
      </x:c>
      <x:c r="K18" s="132" t="n">
        <x:f aca="0">IF(D18="Cross-commodity",1,IF(C18="Fuelwood",1,0.75))</x:f>
        <x:v>0.75</x:v>
      </x:c>
      <x:c r="L18" s="132" t="n">
        <x:f aca="0">IF(D18="Cross-commodity",1,IF(C18="Fuelwood",1,0.4))</x:f>
        <x:v>0.4</x:v>
      </x:c>
      <x:c r="M18" s="132" t="s">
        <x:v>1452</x:v>
      </x:c>
      <x:c r="N18" s="132"/>
      <x:c r="O18" s="132"/>
      <x:c r="P18" s="132"/>
      <x:c r="Q18" s="226"/>
      <x:c r="R18" s="236" t="s">
        <x:v>181</x:v>
      </x:c>
    </x:row>
    <x:row r="19" ht="36" hidden="0" customHeight="1">
      <x:c r="A19" s="80"/>
      <x:c r="B19" s="80"/>
      <x:c r="C19" s="80"/>
      <x:c r="D19" s="80"/>
      <x:c r="E19" s="80"/>
      <x:c r="F19" s="80"/>
      <x:c r="G19" s="80"/>
      <x:c r="H19" s="80"/>
      <x:c r="I19" s="80"/>
      <x:c r="J19" s="80"/>
      <x:c r="K19" s="80"/>
      <x:c r="L19" s="80"/>
      <x:c r="M19" s="80"/>
      <x:c r="N19" s="80"/>
      <x:c r="O19" s="80"/>
      <x:c r="P19" s="80"/>
      <x:c r="Q19" s="80"/>
      <x:c r="R19" s="80"/>
    </x:row>
    <x:row r="20" ht="15" hidden="0" customHeight="1">
      <x:c r="A20" s="77" t="s">
        <x:v>1459</x:v>
      </x:c>
      <x:c r="B20" s="77"/>
      <x:c r="C20" s="77"/>
      <x:c r="D20" s="77"/>
      <x:c r="E20" s="77"/>
      <x:c r="F20" s="77"/>
      <x:c r="G20" s="77"/>
      <x:c r="H20" s="77"/>
      <x:c r="I20" s="77"/>
      <x:c r="J20" s="77"/>
      <x:c r="K20" s="77"/>
      <x:c r="L20" s="77"/>
      <x:c r="M20" s="77"/>
      <x:c r="N20" s="77"/>
      <x:c r="O20" s="77"/>
      <x:c r="P20" s="80"/>
      <x:c r="Q20" s="80"/>
      <x:c r="R20" s="80"/>
    </x:row>
    <x:row r="21" ht="15" hidden="0" customHeight="1">
      <x:c r="A21" s="145" t="s">
        <x:v>86</x:v>
      </x:c>
      <x:c r="B21" s="145" t="s">
        <x:v>1460</x:v>
      </x:c>
      <x:c r="C21" s="145" t="s">
        <x:v>1461</x:v>
      </x:c>
      <x:c r="D21" s="145" t="s">
        <x:v>1462</x:v>
      </x:c>
      <x:c r="E21" s="145" t="s">
        <x:v>1463</x:v>
      </x:c>
      <x:c r="F21" s="145" t="s">
        <x:v>1464</x:v>
      </x:c>
      <x:c r="G21" s="145" t="s">
        <x:v>1465</x:v>
      </x:c>
      <x:c r="H21" s="145" t="s">
        <x:v>1466</x:v>
      </x:c>
      <x:c r="I21" s="145" t="s">
        <x:v>1467</x:v>
      </x:c>
      <x:c r="J21" s="145" t="s">
        <x:v>1468</x:v>
      </x:c>
      <x:c r="K21" s="145" t="s">
        <x:v>1469</x:v>
      </x:c>
      <x:c r="L21" s="145" t="s">
        <x:v>1440</x:v>
      </x:c>
      <x:c r="M21" s="145" t="s">
        <x:v>1441</x:v>
      </x:c>
      <x:c r="N21" s="145" t="s">
        <x:v>1470</x:v>
      </x:c>
      <x:c r="O21" s="145" t="s">
        <x:v>1442</x:v>
      </x:c>
      <x:c r="P21" s="80"/>
      <x:c r="Q21" s="80"/>
      <x:c r="R21" s="80"/>
    </x:row>
    <x:row r="22" ht="15" hidden="0" customHeight="1">
      <x:c r="A22" s="237" t="n">
        <x:v>2020</x:v>
      </x:c>
      <x:c r="B22" s="237" t="str">
        <x:f aca="0">IF($R$12&lt;&gt;"Yes","",$A$12)</x:f>
        <x:v>Millets</x:v>
      </x:c>
      <x:c r="C22" s="237" t="n">
        <x:f aca="0">A22-$E$5+1</x:f>
        <x:v>1</x:v>
      </x:c>
      <x:c r="D22" s="237" t="n">
        <x:f aca="0">IF($R$12&lt;&gt;"Yes","",IF($B$12="Introduced",0,IF($H$12="","",$H$12*(1+$I$12)^C22)))</x:f>
        <x:v>2549.9898749999998</x:v>
      </x:c>
      <x:c r="E22" s="238" t="n">
        <x:v>0</x:v>
      </x:c>
      <x:c r="F22" s="237" t="str">
        <x:f aca="0">IF(OR(D22="",E22=""),"",D22-E22)</x:f>
      </x:c>
      <x:c r="G22" s="237" t="str">
        <x:f aca="0">IF($R$12&lt;&gt;"Yes","",IF($Q$12="","",$Q$12*(1+$I$12)^C22))</x:f>
      </x:c>
      <x:c r="H22" s="238" t="n">
        <x:v>0</x:v>
      </x:c>
      <x:c r="I22" s="237" t="n">
        <x:f aca="0">IF(OR(G22="",H22=""),0,H22-G22)</x:f>
        <x:v>0</x:v>
      </x:c>
      <x:c r="J22" s="237" t="str">
        <x:f aca="0">IF(F22="","",F22-I22)</x:f>
      </x:c>
      <x:c r="K22" s="237" t="n">
        <x:f aca="0">IF($R$12&lt;&gt;"Yes","",$J$12)</x:f>
        <x:v>1.08375</x:v>
      </x:c>
      <x:c r="L22" s="237" t="n">
        <x:f aca="0">IF($R$12&lt;&gt;"Yes","",$K$12)</x:f>
        <x:v>0.75</x:v>
      </x:c>
      <x:c r="M22" s="237" t="n">
        <x:f aca="0">IF($R$12&lt;&gt;"Yes","",$L$12)</x:f>
        <x:v>0.4</x:v>
      </x:c>
      <x:c r="N22" s="237" t="str">
        <x:f aca="0">IF(OR(J22="",K22="",K22=0),"",J22*L22*M22/K22)</x:f>
      </x:c>
      <x:c r="O22" s="237" t="str">
        <x:f aca="0">IF($R$12&lt;&gt;"Yes","",$M$12)</x:f>
        <x:v>Govt. of India, Dept. of Agriculture and Farmers Welfare, DES - data.desagri.gov.in (crop-wise APY reports); 5-yr historical average 2015-2019, via ERR_Sheet_GKF_V1_1</x:v>
      </x:c>
      <x:c r="P22" s="80"/>
      <x:c r="Q22" s="80"/>
      <x:c r="R22" s="80"/>
    </x:row>
    <x:row r="23" ht="15" hidden="0" customHeight="1">
      <x:c r="A23" s="237" t="n">
        <x:v>2021</x:v>
      </x:c>
      <x:c r="B23" s="237" t="str">
        <x:f aca="0">IF($R$12&lt;&gt;"Yes","",$A$12)</x:f>
        <x:v>Millets</x:v>
      </x:c>
      <x:c r="C23" s="237" t="n">
        <x:f aca="0">A23-$E$5+1</x:f>
        <x:v>2</x:v>
      </x:c>
      <x:c r="D23" s="237" t="n">
        <x:f aca="0">IF($R$12&lt;&gt;"Yes","",IF($B$12="Introduced",0,IF($H$12="","",$H$12*(1+$I$12)^C23)))</x:f>
        <x:v>2613.739621875</x:v>
      </x:c>
      <x:c r="E23" s="238" t="n">
        <x:v>0</x:v>
      </x:c>
      <x:c r="F23" s="237" t="str">
        <x:f aca="0">IF(OR(D23="",E23=""),"",D23-E23)</x:f>
      </x:c>
      <x:c r="G23" s="237" t="str">
        <x:f aca="0">IF($R$12&lt;&gt;"Yes","",IF($Q$12="","",$Q$12*(1+$I$12)^C23))</x:f>
      </x:c>
      <x:c r="H23" s="238" t="n">
        <x:v>0</x:v>
      </x:c>
      <x:c r="I23" s="237" t="n">
        <x:f aca="0">IF(OR(G23="",H23=""),0,H23-G23)</x:f>
        <x:v>0</x:v>
      </x:c>
      <x:c r="J23" s="237" t="str">
        <x:f aca="0">IF(F23="","",F23-I23)</x:f>
      </x:c>
      <x:c r="K23" s="237" t="n">
        <x:f aca="0">IF($R$12&lt;&gt;"Yes","",$J$12)</x:f>
        <x:v>1.08375</x:v>
      </x:c>
      <x:c r="L23" s="237" t="n">
        <x:f aca="0">IF($R$12&lt;&gt;"Yes","",$K$12)</x:f>
        <x:v>0.75</x:v>
      </x:c>
      <x:c r="M23" s="237" t="n">
        <x:f aca="0">IF($R$12&lt;&gt;"Yes","",$L$12)</x:f>
        <x:v>0.4</x:v>
      </x:c>
      <x:c r="N23" s="237" t="str">
        <x:f aca="0">IF(OR(J23="",K23="",K23=0),"",J23*L23*M23/K23)</x:f>
      </x:c>
      <x:c r="O23" s="237" t="str">
        <x:f aca="0">IF($R$12&lt;&gt;"Yes","",$M$12)</x:f>
        <x:v>Govt. of India, Dept. of Agriculture and Farmers Welfare, DES - data.desagri.gov.in (crop-wise APY reports); 5-yr historical average 2015-2019, via ERR_Sheet_GKF_V1_1</x:v>
      </x:c>
      <x:c r="P23" s="80"/>
      <x:c r="Q23" s="80"/>
      <x:c r="R23" s="80"/>
    </x:row>
    <x:row r="24" ht="15" hidden="0" customHeight="1">
      <x:c r="A24" s="237" t="n">
        <x:v>2022</x:v>
      </x:c>
      <x:c r="B24" s="237" t="str">
        <x:f aca="0">IF($R$12&lt;&gt;"Yes","",$A$12)</x:f>
        <x:v>Millets</x:v>
      </x:c>
      <x:c r="C24" s="237" t="n">
        <x:f aca="0">A24-$E$5+1</x:f>
        <x:v>3</x:v>
      </x:c>
      <x:c r="D24" s="237" t="n">
        <x:f aca="0">IF($R$12&lt;&gt;"Yes","",IF($B$12="Introduced",0,IF($H$12="","",$H$12*(1+$I$12)^C24)))</x:f>
        <x:v>2679.083112421875</x:v>
      </x:c>
      <x:c r="E24" s="238" t="n">
        <x:v>0</x:v>
      </x:c>
      <x:c r="F24" s="237" t="str">
        <x:f aca="0">IF(OR(D24="",E24=""),"",D24-E24)</x:f>
      </x:c>
      <x:c r="G24" s="237" t="str">
        <x:f aca="0">IF($R$12&lt;&gt;"Yes","",IF($Q$12="","",$Q$12*(1+$I$12)^C24))</x:f>
      </x:c>
      <x:c r="H24" s="238" t="n">
        <x:v>0</x:v>
      </x:c>
      <x:c r="I24" s="237" t="n">
        <x:f aca="0">IF(OR(G24="",H24=""),0,H24-G24)</x:f>
        <x:v>0</x:v>
      </x:c>
      <x:c r="J24" s="237" t="str">
        <x:f aca="0">IF(F24="","",F24-I24)</x:f>
      </x:c>
      <x:c r="K24" s="237" t="n">
        <x:f aca="0">IF($R$12&lt;&gt;"Yes","",$J$12)</x:f>
        <x:v>1.08375</x:v>
      </x:c>
      <x:c r="L24" s="237" t="n">
        <x:f aca="0">IF($R$12&lt;&gt;"Yes","",$K$12)</x:f>
        <x:v>0.75</x:v>
      </x:c>
      <x:c r="M24" s="237" t="n">
        <x:f aca="0">IF($R$12&lt;&gt;"Yes","",$L$12)</x:f>
        <x:v>0.4</x:v>
      </x:c>
      <x:c r="N24" s="237" t="str">
        <x:f aca="0">IF(OR(J24="",K24="",K24=0),"",J24*L24*M24/K24)</x:f>
      </x:c>
      <x:c r="O24" s="237" t="str">
        <x:f aca="0">IF($R$12&lt;&gt;"Yes","",$M$12)</x:f>
        <x:v>Govt. of India, Dept. of Agriculture and Farmers Welfare, DES - data.desagri.gov.in (crop-wise APY reports); 5-yr historical average 2015-2019, via ERR_Sheet_GKF_V1_1</x:v>
      </x:c>
      <x:c r="P24" s="80"/>
      <x:c r="Q24" s="80"/>
      <x:c r="R24" s="80"/>
    </x:row>
    <x:row r="25" ht="15" hidden="0" customHeight="1">
      <x:c r="A25" s="237" t="n">
        <x:v>2023</x:v>
      </x:c>
      <x:c r="B25" s="237" t="str">
        <x:f aca="0">IF($R$12&lt;&gt;"Yes","",$A$12)</x:f>
        <x:v>Millets</x:v>
      </x:c>
      <x:c r="C25" s="237" t="n">
        <x:f aca="0">A25-$E$5+1</x:f>
        <x:v>4</x:v>
      </x:c>
      <x:c r="D25" s="237" t="n">
        <x:f aca="0">IF($R$12&lt;&gt;"Yes","",IF($B$12="Introduced",0,IF($H$12="","",$H$12*(1+$I$12)^C25)))</x:f>
        <x:v>2746.0601902324215</x:v>
      </x:c>
      <x:c r="E25" s="238" t="n">
        <x:v>0</x:v>
      </x:c>
      <x:c r="F25" s="237" t="str">
        <x:f aca="0">IF(OR(D25="",E25=""),"",D25-E25)</x:f>
      </x:c>
      <x:c r="G25" s="237" t="str">
        <x:f aca="0">IF($R$12&lt;&gt;"Yes","",IF($Q$12="","",$Q$12*(1+$I$12)^C25))</x:f>
      </x:c>
      <x:c r="H25" s="238" t="n">
        <x:v>0</x:v>
      </x:c>
      <x:c r="I25" s="237" t="n">
        <x:f aca="0">IF(OR(G25="",H25=""),0,H25-G25)</x:f>
        <x:v>0</x:v>
      </x:c>
      <x:c r="J25" s="237" t="str">
        <x:f aca="0">IF(F25="","",F25-I25)</x:f>
      </x:c>
      <x:c r="K25" s="237" t="n">
        <x:f aca="0">IF($R$12&lt;&gt;"Yes","",$J$12)</x:f>
        <x:v>1.08375</x:v>
      </x:c>
      <x:c r="L25" s="237" t="n">
        <x:f aca="0">IF($R$12&lt;&gt;"Yes","",$K$12)</x:f>
        <x:v>0.75</x:v>
      </x:c>
      <x:c r="M25" s="237" t="n">
        <x:f aca="0">IF($R$12&lt;&gt;"Yes","",$L$12)</x:f>
        <x:v>0.4</x:v>
      </x:c>
      <x:c r="N25" s="237" t="str">
        <x:f aca="0">IF(OR(J25="",K25="",K25=0),"",J25*L25*M25/K25)</x:f>
      </x:c>
      <x:c r="O25" s="237" t="str">
        <x:f aca="0">IF($R$12&lt;&gt;"Yes","",$M$12)</x:f>
        <x:v>Govt. of India, Dept. of Agriculture and Farmers Welfare, DES - data.desagri.gov.in (crop-wise APY reports); 5-yr historical average 2015-2019, via ERR_Sheet_GKF_V1_1</x:v>
      </x:c>
      <x:c r="P25" s="80"/>
      <x:c r="Q25" s="80"/>
      <x:c r="R25" s="80"/>
    </x:row>
    <x:row r="26" ht="15" hidden="0" customHeight="1">
      <x:c r="A26" s="237" t="n">
        <x:v>2024</x:v>
      </x:c>
      <x:c r="B26" s="237" t="str">
        <x:f aca="0">IF($R$12&lt;&gt;"Yes","",$A$12)</x:f>
        <x:v>Millets</x:v>
      </x:c>
      <x:c r="C26" s="237" t="n">
        <x:f aca="0">A26-$E$5+1</x:f>
        <x:v>5</x:v>
      </x:c>
      <x:c r="D26" s="237" t="n">
        <x:f aca="0">IF($R$12&lt;&gt;"Yes","",IF($B$12="Introduced",0,IF($H$12="","",$H$12*(1+$I$12)^C26)))</x:f>
        <x:v>2814.7116949882316</x:v>
      </x:c>
      <x:c r="E26" s="238" t="n">
        <x:v>0</x:v>
      </x:c>
      <x:c r="F26" s="237" t="str">
        <x:f aca="0">IF(OR(D26="",E26=""),"",D26-E26)</x:f>
      </x:c>
      <x:c r="G26" s="237" t="str">
        <x:f aca="0">IF($R$12&lt;&gt;"Yes","",IF($Q$12="","",$Q$12*(1+$I$12)^C26))</x:f>
      </x:c>
      <x:c r="H26" s="238" t="n">
        <x:v>0</x:v>
      </x:c>
      <x:c r="I26" s="237" t="n">
        <x:f aca="0">IF(OR(G26="",H26=""),0,H26-G26)</x:f>
        <x:v>0</x:v>
      </x:c>
      <x:c r="J26" s="237" t="str">
        <x:f aca="0">IF(F26="","",F26-I26)</x:f>
      </x:c>
      <x:c r="K26" s="237" t="n">
        <x:f aca="0">IF($R$12&lt;&gt;"Yes","",$J$12)</x:f>
        <x:v>1.08375</x:v>
      </x:c>
      <x:c r="L26" s="237" t="n">
        <x:f aca="0">IF($R$12&lt;&gt;"Yes","",$K$12)</x:f>
        <x:v>0.75</x:v>
      </x:c>
      <x:c r="M26" s="237" t="n">
        <x:f aca="0">IF($R$12&lt;&gt;"Yes","",$L$12)</x:f>
        <x:v>0.4</x:v>
      </x:c>
      <x:c r="N26" s="237" t="str">
        <x:f aca="0">IF(OR(J26="",K26="",K26=0),"",J26*L26*M26/K26)</x:f>
      </x:c>
      <x:c r="O26" s="237" t="str">
        <x:f aca="0">IF($R$12&lt;&gt;"Yes","",$M$12)</x:f>
        <x:v>Govt. of India, Dept. of Agriculture and Farmers Welfare, DES - data.desagri.gov.in (crop-wise APY reports); 5-yr historical average 2015-2019, via ERR_Sheet_GKF_V1_1</x:v>
      </x:c>
      <x:c r="P26" s="80"/>
      <x:c r="Q26" s="80"/>
      <x:c r="R26" s="80"/>
    </x:row>
    <x:row r="27" ht="15" hidden="0" customHeight="1">
      <x:c r="A27" s="237" t="n">
        <x:v>2025</x:v>
      </x:c>
      <x:c r="B27" s="237" t="str">
        <x:f aca="0">IF($R$12&lt;&gt;"Yes","",$A$12)</x:f>
        <x:v>Millets</x:v>
      </x:c>
      <x:c r="C27" s="237" t="n">
        <x:f aca="0">A27-$E$5+1</x:f>
        <x:v>6</x:v>
      </x:c>
      <x:c r="D27" s="237" t="n">
        <x:f aca="0">IF($R$12&lt;&gt;"Yes","",IF($B$12="Introduced",0,IF($H$12="","",$H$12*(1+$I$12)^C27)))</x:f>
        <x:v>2885.079487362937</x:v>
      </x:c>
      <x:c r="E27" s="238" t="n">
        <x:v>0</x:v>
      </x:c>
      <x:c r="F27" s="237" t="str">
        <x:f aca="0">IF(OR(D27="",E27=""),"",D27-E27)</x:f>
      </x:c>
      <x:c r="G27" s="237" t="str">
        <x:f aca="0">IF($R$12&lt;&gt;"Yes","",IF($Q$12="","",$Q$12*(1+$I$12)^C27))</x:f>
      </x:c>
      <x:c r="H27" s="238" t="n">
        <x:v>0</x:v>
      </x:c>
      <x:c r="I27" s="237" t="n">
        <x:f aca="0">IF(OR(G27="",H27=""),0,H27-G27)</x:f>
        <x:v>0</x:v>
      </x:c>
      <x:c r="J27" s="237" t="str">
        <x:f aca="0">IF(F27="","",F27-I27)</x:f>
      </x:c>
      <x:c r="K27" s="237" t="n">
        <x:f aca="0">IF($R$12&lt;&gt;"Yes","",$J$12)</x:f>
        <x:v>1.08375</x:v>
      </x:c>
      <x:c r="L27" s="237" t="n">
        <x:f aca="0">IF($R$12&lt;&gt;"Yes","",$K$12)</x:f>
        <x:v>0.75</x:v>
      </x:c>
      <x:c r="M27" s="237" t="n">
        <x:f aca="0">IF($R$12&lt;&gt;"Yes","",$L$12)</x:f>
        <x:v>0.4</x:v>
      </x:c>
      <x:c r="N27" s="237" t="str">
        <x:f aca="0">IF(OR(J27="",K27="",K27=0),"",J27*L27*M27/K27)</x:f>
      </x:c>
      <x:c r="O27" s="237" t="str">
        <x:f aca="0">IF($R$12&lt;&gt;"Yes","",$M$12)</x:f>
        <x:v>Govt. of India, Dept. of Agriculture and Farmers Welfare, DES - data.desagri.gov.in (crop-wise APY reports); 5-yr historical average 2015-2019, via ERR_Sheet_GKF_V1_1</x:v>
      </x:c>
      <x:c r="P27" s="80"/>
      <x:c r="Q27" s="80"/>
      <x:c r="R27" s="80"/>
    </x:row>
    <x:row r="28" ht="15" hidden="0" customHeight="1">
      <x:c r="A28" s="237" t="n">
        <x:v>2026</x:v>
      </x:c>
      <x:c r="B28" s="237" t="str">
        <x:f aca="0">IF($R$12&lt;&gt;"Yes","",$A$12)</x:f>
        <x:v>Millets</x:v>
      </x:c>
      <x:c r="C28" s="237" t="n">
        <x:f aca="0">A28-$E$5+1</x:f>
        <x:v>7</x:v>
      </x:c>
      <x:c r="D28" s="237" t="n">
        <x:f aca="0">IF($R$12&lt;&gt;"Yes","",IF($B$12="Introduced",0,IF($H$12="","",$H$12*(1+$I$12)^C28)))</x:f>
        <x:v>2957.2064745470107</x:v>
      </x:c>
      <x:c r="E28" s="238" t="n">
        <x:v>0</x:v>
      </x:c>
      <x:c r="F28" s="237" t="str">
        <x:f aca="0">IF(OR(D28="",E28=""),"",D28-E28)</x:f>
      </x:c>
      <x:c r="G28" s="237" t="str">
        <x:f aca="0">IF($R$12&lt;&gt;"Yes","",IF($Q$12="","",$Q$12*(1+$I$12)^C28))</x:f>
      </x:c>
      <x:c r="H28" s="238" t="n">
        <x:v>0</x:v>
      </x:c>
      <x:c r="I28" s="237" t="n">
        <x:f aca="0">IF(OR(G28="",H28=""),0,H28-G28)</x:f>
        <x:v>0</x:v>
      </x:c>
      <x:c r="J28" s="237" t="str">
        <x:f aca="0">IF(F28="","",F28-I28)</x:f>
      </x:c>
      <x:c r="K28" s="237" t="n">
        <x:f aca="0">IF($R$12&lt;&gt;"Yes","",$J$12)</x:f>
        <x:v>1.08375</x:v>
      </x:c>
      <x:c r="L28" s="237" t="n">
        <x:f aca="0">IF($R$12&lt;&gt;"Yes","",$K$12)</x:f>
        <x:v>0.75</x:v>
      </x:c>
      <x:c r="M28" s="237" t="n">
        <x:f aca="0">IF($R$12&lt;&gt;"Yes","",$L$12)</x:f>
        <x:v>0.4</x:v>
      </x:c>
      <x:c r="N28" s="237" t="str">
        <x:f aca="0">IF(OR(J28="",K28="",K28=0),"",J28*L28*M28/K28)</x:f>
      </x:c>
      <x:c r="O28" s="237" t="str">
        <x:f aca="0">IF($R$12&lt;&gt;"Yes","",$M$12)</x:f>
        <x:v>Govt. of India, Dept. of Agriculture and Farmers Welfare, DES - data.desagri.gov.in (crop-wise APY reports); 5-yr historical average 2015-2019, via ERR_Sheet_GKF_V1_1</x:v>
      </x:c>
      <x:c r="P28" s="80"/>
      <x:c r="Q28" s="80"/>
      <x:c r="R28" s="80"/>
    </x:row>
    <x:row r="29" ht="15" hidden="0" customHeight="1">
      <x:c r="A29" s="237" t="n">
        <x:v>2027</x:v>
      </x:c>
      <x:c r="B29" s="237" t="str">
        <x:f aca="0">IF($R$12&lt;&gt;"Yes","",$A$12)</x:f>
        <x:v>Millets</x:v>
      </x:c>
      <x:c r="C29" s="237" t="n">
        <x:f aca="0">A29-$E$5+1</x:f>
        <x:v>8</x:v>
      </x:c>
      <x:c r="D29" s="237" t="n">
        <x:f aca="0">IF($R$12&lt;&gt;"Yes","",IF($B$12="Introduced",0,IF($H$12="","",$H$12*(1+$I$12)^C29)))</x:f>
        <x:v>3031.1366364106857</x:v>
      </x:c>
      <x:c r="E29" s="238" t="n">
        <x:v>0</x:v>
      </x:c>
      <x:c r="F29" s="237" t="str">
        <x:f aca="0">IF(OR(D29="",E29=""),"",D29-E29)</x:f>
      </x:c>
      <x:c r="G29" s="237" t="str">
        <x:f aca="0">IF($R$12&lt;&gt;"Yes","",IF($Q$12="","",$Q$12*(1+$I$12)^C29))</x:f>
      </x:c>
      <x:c r="H29" s="238" t="n">
        <x:v>0</x:v>
      </x:c>
      <x:c r="I29" s="237" t="n">
        <x:f aca="0">IF(OR(G29="",H29=""),0,H29-G29)</x:f>
        <x:v>0</x:v>
      </x:c>
      <x:c r="J29" s="237" t="str">
        <x:f aca="0">IF(F29="","",F29-I29)</x:f>
      </x:c>
      <x:c r="K29" s="237" t="n">
        <x:f aca="0">IF($R$12&lt;&gt;"Yes","",$J$12)</x:f>
        <x:v>1.08375</x:v>
      </x:c>
      <x:c r="L29" s="237" t="n">
        <x:f aca="0">IF($R$12&lt;&gt;"Yes","",$K$12)</x:f>
        <x:v>0.75</x:v>
      </x:c>
      <x:c r="M29" s="237" t="n">
        <x:f aca="0">IF($R$12&lt;&gt;"Yes","",$L$12)</x:f>
        <x:v>0.4</x:v>
      </x:c>
      <x:c r="N29" s="237" t="str">
        <x:f aca="0">IF(OR(J29="",K29="",K29=0),"",J29*L29*M29/K29)</x:f>
      </x:c>
      <x:c r="O29" s="237" t="str">
        <x:f aca="0">IF($R$12&lt;&gt;"Yes","",$M$12)</x:f>
        <x:v>Govt. of India, Dept. of Agriculture and Farmers Welfare, DES - data.desagri.gov.in (crop-wise APY reports); 5-yr historical average 2015-2019, via ERR_Sheet_GKF_V1_1</x:v>
      </x:c>
      <x:c r="P29" s="80"/>
      <x:c r="Q29" s="80"/>
      <x:c r="R29" s="80"/>
    </x:row>
    <x:row r="30" ht="15" hidden="0" customHeight="1">
      <x:c r="A30" s="237" t="n">
        <x:v>2028</x:v>
      </x:c>
      <x:c r="B30" s="237" t="str">
        <x:f aca="0">IF($R$12&lt;&gt;"Yes","",$A$12)</x:f>
        <x:v>Millets</x:v>
      </x:c>
      <x:c r="C30" s="237" t="n">
        <x:f aca="0">A30-$E$5+1</x:f>
        <x:v>9</x:v>
      </x:c>
      <x:c r="D30" s="237" t="n">
        <x:f aca="0">IF($R$12&lt;&gt;"Yes","",IF($B$12="Introduced",0,IF($H$12="","",$H$12*(1+$I$12)^C30)))</x:f>
        <x:v>3106.9150523209523</x:v>
      </x:c>
      <x:c r="E30" s="238" t="n">
        <x:v>0</x:v>
      </x:c>
      <x:c r="F30" s="237" t="str">
        <x:f aca="0">IF(OR(D30="",E30=""),"",D30-E30)</x:f>
      </x:c>
      <x:c r="G30" s="237" t="str">
        <x:f aca="0">IF($R$12&lt;&gt;"Yes","",IF($Q$12="","",$Q$12*(1+$I$12)^C30))</x:f>
      </x:c>
      <x:c r="H30" s="238" t="n">
        <x:v>0</x:v>
      </x:c>
      <x:c r="I30" s="237" t="n">
        <x:f aca="0">IF(OR(G30="",H30=""),0,H30-G30)</x:f>
        <x:v>0</x:v>
      </x:c>
      <x:c r="J30" s="237" t="str">
        <x:f aca="0">IF(F30="","",F30-I30)</x:f>
      </x:c>
      <x:c r="K30" s="237" t="n">
        <x:f aca="0">IF($R$12&lt;&gt;"Yes","",$J$12)</x:f>
        <x:v>1.08375</x:v>
      </x:c>
      <x:c r="L30" s="237" t="n">
        <x:f aca="0">IF($R$12&lt;&gt;"Yes","",$K$12)</x:f>
        <x:v>0.75</x:v>
      </x:c>
      <x:c r="M30" s="237" t="n">
        <x:f aca="0">IF($R$12&lt;&gt;"Yes","",$L$12)</x:f>
        <x:v>0.4</x:v>
      </x:c>
      <x:c r="N30" s="237" t="str">
        <x:f aca="0">IF(OR(J30="",K30="",K30=0),"",J30*L30*M30/K30)</x:f>
      </x:c>
      <x:c r="O30" s="237" t="str">
        <x:f aca="0">IF($R$12&lt;&gt;"Yes","",$M$12)</x:f>
        <x:v>Govt. of India, Dept. of Agriculture and Farmers Welfare, DES - data.desagri.gov.in (crop-wise APY reports); 5-yr historical average 2015-2019, via ERR_Sheet_GKF_V1_1</x:v>
      </x:c>
      <x:c r="P30" s="80"/>
      <x:c r="Q30" s="80"/>
      <x:c r="R30" s="80"/>
    </x:row>
    <x:row r="31" ht="15" hidden="0" customHeight="1">
      <x:c r="A31" s="237" t="n">
        <x:v>2029</x:v>
      </x:c>
      <x:c r="B31" s="237" t="str">
        <x:f aca="0">IF($R$12&lt;&gt;"Yes","",$A$12)</x:f>
        <x:v>Millets</x:v>
      </x:c>
      <x:c r="C31" s="237" t="n">
        <x:f aca="0">A31-$E$5+1</x:f>
        <x:v>10</x:v>
      </x:c>
      <x:c r="D31" s="237" t="n">
        <x:f aca="0">IF($R$12&lt;&gt;"Yes","",IF($B$12="Introduced",0,IF($H$12="","",$H$12*(1+$I$12)^C31)))</x:f>
        <x:v>3184.5879286289764</x:v>
      </x:c>
      <x:c r="E31" s="238" t="n">
        <x:v>0</x:v>
      </x:c>
      <x:c r="F31" s="237" t="str">
        <x:f aca="0">IF(OR(D31="",E31=""),"",D31-E31)</x:f>
      </x:c>
      <x:c r="G31" s="237" t="str">
        <x:f aca="0">IF($R$12&lt;&gt;"Yes","",IF($Q$12="","",$Q$12*(1+$I$12)^C31))</x:f>
      </x:c>
      <x:c r="H31" s="238" t="n">
        <x:v>0</x:v>
      </x:c>
      <x:c r="I31" s="237" t="n">
        <x:f aca="0">IF(OR(G31="",H31=""),0,H31-G31)</x:f>
        <x:v>0</x:v>
      </x:c>
      <x:c r="J31" s="237" t="str">
        <x:f aca="0">IF(F31="","",F31-I31)</x:f>
      </x:c>
      <x:c r="K31" s="237" t="n">
        <x:f aca="0">IF($R$12&lt;&gt;"Yes","",$J$12)</x:f>
        <x:v>1.08375</x:v>
      </x:c>
      <x:c r="L31" s="237" t="n">
        <x:f aca="0">IF($R$12&lt;&gt;"Yes","",$K$12)</x:f>
        <x:v>0.75</x:v>
      </x:c>
      <x:c r="M31" s="237" t="n">
        <x:f aca="0">IF($R$12&lt;&gt;"Yes","",$L$12)</x:f>
        <x:v>0.4</x:v>
      </x:c>
      <x:c r="N31" s="237" t="str">
        <x:f aca="0">IF(OR(J31="",K31="",K31=0),"",J31*L31*M31/K31)</x:f>
      </x:c>
      <x:c r="O31" s="237" t="str">
        <x:f aca="0">IF($R$12&lt;&gt;"Yes","",$M$12)</x:f>
        <x:v>Govt. of India, Dept. of Agriculture and Farmers Welfare, DES - data.desagri.gov.in (crop-wise APY reports); 5-yr historical average 2015-2019, via ERR_Sheet_GKF_V1_1</x:v>
      </x:c>
      <x:c r="P31" s="80"/>
      <x:c r="Q31" s="80"/>
      <x:c r="R31" s="80"/>
    </x:row>
    <x:row r="32" ht="15" hidden="0" customHeight="1">
      <x:c r="A32" s="237" t="n">
        <x:v>2030</x:v>
      </x:c>
      <x:c r="B32" s="237" t="str">
        <x:f aca="0">IF($R$12&lt;&gt;"Yes","",$A$12)</x:f>
        <x:v>Millets</x:v>
      </x:c>
      <x:c r="C32" s="237" t="n">
        <x:f aca="0">A32-$E$5+1</x:f>
        <x:v>11</x:v>
      </x:c>
      <x:c r="D32" s="237" t="n">
        <x:f aca="0">IF($R$12&lt;&gt;"Yes","",IF($B$12="Introduced",0,IF($H$12="","",$H$12*(1+$I$12)^C32)))</x:f>
        <x:v>3264.2026268447007</x:v>
      </x:c>
      <x:c r="E32" s="238" t="n">
        <x:v>0</x:v>
      </x:c>
      <x:c r="F32" s="237" t="str">
        <x:f aca="0">IF(OR(D32="",E32=""),"",D32-E32)</x:f>
      </x:c>
      <x:c r="G32" s="237" t="str">
        <x:f aca="0">IF($R$12&lt;&gt;"Yes","",IF($Q$12="","",$Q$12*(1+$I$12)^C32))</x:f>
      </x:c>
      <x:c r="H32" s="238" t="n">
        <x:v>0</x:v>
      </x:c>
      <x:c r="I32" s="237" t="n">
        <x:f aca="0">IF(OR(G32="",H32=""),0,H32-G32)</x:f>
        <x:v>0</x:v>
      </x:c>
      <x:c r="J32" s="237" t="str">
        <x:f aca="0">IF(F32="","",F32-I32)</x:f>
      </x:c>
      <x:c r="K32" s="237" t="n">
        <x:f aca="0">IF($R$12&lt;&gt;"Yes","",$J$12)</x:f>
        <x:v>1.08375</x:v>
      </x:c>
      <x:c r="L32" s="237" t="n">
        <x:f aca="0">IF($R$12&lt;&gt;"Yes","",$K$12)</x:f>
        <x:v>0.75</x:v>
      </x:c>
      <x:c r="M32" s="237" t="n">
        <x:f aca="0">IF($R$12&lt;&gt;"Yes","",$L$12)</x:f>
        <x:v>0.4</x:v>
      </x:c>
      <x:c r="N32" s="237" t="str">
        <x:f aca="0">IF(OR(J32="",K32="",K32=0),"",J32*L32*M32/K32)</x:f>
      </x:c>
      <x:c r="O32" s="237" t="str">
        <x:f aca="0">IF($R$12&lt;&gt;"Yes","",$M$12)</x:f>
        <x:v>Govt. of India, Dept. of Agriculture and Farmers Welfare, DES - data.desagri.gov.in (crop-wise APY reports); 5-yr historical average 2015-2019, via ERR_Sheet_GKF_V1_1</x:v>
      </x:c>
      <x:c r="P32" s="80"/>
      <x:c r="Q32" s="80"/>
      <x:c r="R32" s="80"/>
    </x:row>
    <x:row r="33" ht="15" hidden="0" customHeight="1">
      <x:c r="A33" s="237" t="n">
        <x:v>2031</x:v>
      </x:c>
      <x:c r="B33" s="237" t="str">
        <x:f aca="0">IF($R$12&lt;&gt;"Yes","",$A$12)</x:f>
        <x:v>Millets</x:v>
      </x:c>
      <x:c r="C33" s="237" t="n">
        <x:f aca="0">A33-$E$5+1</x:f>
        <x:v>12</x:v>
      </x:c>
      <x:c r="D33" s="237" t="n">
        <x:f aca="0">IF($R$12&lt;&gt;"Yes","",IF($B$12="Introduced",0,IF($H$12="","",$H$12*(1+$I$12)^C33)))</x:f>
        <x:v>3345.807692515818</x:v>
      </x:c>
      <x:c r="E33" s="238" t="n">
        <x:v>0</x:v>
      </x:c>
      <x:c r="F33" s="237" t="str">
        <x:f aca="0">IF(OR(D33="",E33=""),"",D33-E33)</x:f>
      </x:c>
      <x:c r="G33" s="237" t="str">
        <x:f aca="0">IF($R$12&lt;&gt;"Yes","",IF($Q$12="","",$Q$12*(1+$I$12)^C33))</x:f>
      </x:c>
      <x:c r="H33" s="238" t="n">
        <x:v>0</x:v>
      </x:c>
      <x:c r="I33" s="237" t="n">
        <x:f aca="0">IF(OR(G33="",H33=""),0,H33-G33)</x:f>
        <x:v>0</x:v>
      </x:c>
      <x:c r="J33" s="237" t="str">
        <x:f aca="0">IF(F33="","",F33-I33)</x:f>
      </x:c>
      <x:c r="K33" s="237" t="n">
        <x:f aca="0">IF($R$12&lt;&gt;"Yes","",$J$12)</x:f>
        <x:v>1.08375</x:v>
      </x:c>
      <x:c r="L33" s="237" t="n">
        <x:f aca="0">IF($R$12&lt;&gt;"Yes","",$K$12)</x:f>
        <x:v>0.75</x:v>
      </x:c>
      <x:c r="M33" s="237" t="n">
        <x:f aca="0">IF($R$12&lt;&gt;"Yes","",$L$12)</x:f>
        <x:v>0.4</x:v>
      </x:c>
      <x:c r="N33" s="237" t="str">
        <x:f aca="0">IF(OR(J33="",K33="",K33=0),"",J33*L33*M33/K33)</x:f>
      </x:c>
      <x:c r="O33" s="237" t="str">
        <x:f aca="0">IF($R$12&lt;&gt;"Yes","",$M$12)</x:f>
        <x:v>Govt. of India, Dept. of Agriculture and Farmers Welfare, DES - data.desagri.gov.in (crop-wise APY reports); 5-yr historical average 2015-2019, via ERR_Sheet_GKF_V1_1</x:v>
      </x:c>
      <x:c r="P33" s="80"/>
      <x:c r="Q33" s="80"/>
      <x:c r="R33" s="80"/>
    </x:row>
    <x:row r="34" ht="15" hidden="0" customHeight="1">
      <x:c r="A34" s="237" t="n">
        <x:v>2032</x:v>
      </x:c>
      <x:c r="B34" s="237" t="str">
        <x:f aca="0">IF($R$12&lt;&gt;"Yes","",$A$12)</x:f>
        <x:v>Millets</x:v>
      </x:c>
      <x:c r="C34" s="237" t="n">
        <x:f aca="0">A34-$E$5+1</x:f>
        <x:v>13</x:v>
      </x:c>
      <x:c r="D34" s="237" t="n">
        <x:f aca="0">IF($R$12&lt;&gt;"Yes","",IF($B$12="Introduced",0,IF($H$12="","",$H$12*(1+$I$12)^C34)))</x:f>
        <x:v>3429.452884828713</x:v>
      </x:c>
      <x:c r="E34" s="238" t="n">
        <x:v>0</x:v>
      </x:c>
      <x:c r="F34" s="237" t="str">
        <x:f aca="0">IF(OR(D34="",E34=""),"",D34-E34)</x:f>
      </x:c>
      <x:c r="G34" s="237" t="str">
        <x:f aca="0">IF($R$12&lt;&gt;"Yes","",IF($Q$12="","",$Q$12*(1+$I$12)^C34))</x:f>
      </x:c>
      <x:c r="H34" s="238" t="n">
        <x:v>0</x:v>
      </x:c>
      <x:c r="I34" s="237" t="n">
        <x:f aca="0">IF(OR(G34="",H34=""),0,H34-G34)</x:f>
        <x:v>0</x:v>
      </x:c>
      <x:c r="J34" s="237" t="str">
        <x:f aca="0">IF(F34="","",F34-I34)</x:f>
      </x:c>
      <x:c r="K34" s="237" t="n">
        <x:f aca="0">IF($R$12&lt;&gt;"Yes","",$J$12)</x:f>
        <x:v>1.08375</x:v>
      </x:c>
      <x:c r="L34" s="237" t="n">
        <x:f aca="0">IF($R$12&lt;&gt;"Yes","",$K$12)</x:f>
        <x:v>0.75</x:v>
      </x:c>
      <x:c r="M34" s="237" t="n">
        <x:f aca="0">IF($R$12&lt;&gt;"Yes","",$L$12)</x:f>
        <x:v>0.4</x:v>
      </x:c>
      <x:c r="N34" s="237" t="str">
        <x:f aca="0">IF(OR(J34="",K34="",K34=0),"",J34*L34*M34/K34)</x:f>
      </x:c>
      <x:c r="O34" s="237" t="str">
        <x:f aca="0">IF($R$12&lt;&gt;"Yes","",$M$12)</x:f>
        <x:v>Govt. of India, Dept. of Agriculture and Farmers Welfare, DES - data.desagri.gov.in (crop-wise APY reports); 5-yr historical average 2015-2019, via ERR_Sheet_GKF_V1_1</x:v>
      </x:c>
      <x:c r="P34" s="80"/>
      <x:c r="Q34" s="80"/>
      <x:c r="R34" s="80"/>
    </x:row>
    <x:row r="35" ht="15" hidden="0" customHeight="1">
      <x:c r="A35" s="237" t="n">
        <x:v>2033</x:v>
      </x:c>
      <x:c r="B35" s="237" t="str">
        <x:f aca="0">IF($R$12&lt;&gt;"Yes","",$A$12)</x:f>
        <x:v>Millets</x:v>
      </x:c>
      <x:c r="C35" s="237" t="n">
        <x:f aca="0">A35-$E$5+1</x:f>
        <x:v>14</x:v>
      </x:c>
      <x:c r="D35" s="237" t="n">
        <x:f aca="0">IF($R$12&lt;&gt;"Yes","",IF($B$12="Introduced",0,IF($H$12="","",$H$12*(1+$I$12)^C35)))</x:f>
        <x:v>3515.1892069494306</x:v>
      </x:c>
      <x:c r="E35" s="238" t="n">
        <x:v>0</x:v>
      </x:c>
      <x:c r="F35" s="237" t="str">
        <x:f aca="0">IF(OR(D35="",E35=""),"",D35-E35)</x:f>
      </x:c>
      <x:c r="G35" s="237" t="str">
        <x:f aca="0">IF($R$12&lt;&gt;"Yes","",IF($Q$12="","",$Q$12*(1+$I$12)^C35))</x:f>
      </x:c>
      <x:c r="H35" s="238" t="n">
        <x:v>0</x:v>
      </x:c>
      <x:c r="I35" s="237" t="n">
        <x:f aca="0">IF(OR(G35="",H35=""),0,H35-G35)</x:f>
        <x:v>0</x:v>
      </x:c>
      <x:c r="J35" s="237" t="str">
        <x:f aca="0">IF(F35="","",F35-I35)</x:f>
      </x:c>
      <x:c r="K35" s="237" t="n">
        <x:f aca="0">IF($R$12&lt;&gt;"Yes","",$J$12)</x:f>
        <x:v>1.08375</x:v>
      </x:c>
      <x:c r="L35" s="237" t="n">
        <x:f aca="0">IF($R$12&lt;&gt;"Yes","",$K$12)</x:f>
        <x:v>0.75</x:v>
      </x:c>
      <x:c r="M35" s="237" t="n">
        <x:f aca="0">IF($R$12&lt;&gt;"Yes","",$L$12)</x:f>
        <x:v>0.4</x:v>
      </x:c>
      <x:c r="N35" s="237" t="str">
        <x:f aca="0">IF(OR(J35="",K35="",K35=0),"",J35*L35*M35/K35)</x:f>
      </x:c>
      <x:c r="O35" s="237" t="str">
        <x:f aca="0">IF($R$12&lt;&gt;"Yes","",$M$12)</x:f>
        <x:v>Govt. of India, Dept. of Agriculture and Farmers Welfare, DES - data.desagri.gov.in (crop-wise APY reports); 5-yr historical average 2015-2019, via ERR_Sheet_GKF_V1_1</x:v>
      </x:c>
      <x:c r="P35" s="80"/>
      <x:c r="Q35" s="80"/>
      <x:c r="R35" s="80"/>
    </x:row>
    <x:row r="36" ht="15" hidden="0" customHeight="1">
      <x:c r="A36" s="237" t="n">
        <x:v>2034</x:v>
      </x:c>
      <x:c r="B36" s="237" t="str">
        <x:f aca="0">IF($R$12&lt;&gt;"Yes","",$A$12)</x:f>
        <x:v>Millets</x:v>
      </x:c>
      <x:c r="C36" s="237" t="n">
        <x:f aca="0">A36-$E$5+1</x:f>
        <x:v>15</x:v>
      </x:c>
      <x:c r="D36" s="237" t="n">
        <x:f aca="0">IF($R$12&lt;&gt;"Yes","",IF($B$12="Introduced",0,IF($H$12="","",$H$12*(1+$I$12)^C36)))</x:f>
        <x:v>3603.068937123167</x:v>
      </x:c>
      <x:c r="E36" s="238" t="n">
        <x:v>0</x:v>
      </x:c>
      <x:c r="F36" s="237" t="str">
        <x:f aca="0">IF(OR(D36="",E36=""),"",D36-E36)</x:f>
      </x:c>
      <x:c r="G36" s="237" t="str">
        <x:f aca="0">IF($R$12&lt;&gt;"Yes","",IF($Q$12="","",$Q$12*(1+$I$12)^C36))</x:f>
      </x:c>
      <x:c r="H36" s="238" t="n">
        <x:v>0</x:v>
      </x:c>
      <x:c r="I36" s="237" t="n">
        <x:f aca="0">IF(OR(G36="",H36=""),0,H36-G36)</x:f>
        <x:v>0</x:v>
      </x:c>
      <x:c r="J36" s="237" t="str">
        <x:f aca="0">IF(F36="","",F36-I36)</x:f>
      </x:c>
      <x:c r="K36" s="237" t="n">
        <x:f aca="0">IF($R$12&lt;&gt;"Yes","",$J$12)</x:f>
        <x:v>1.08375</x:v>
      </x:c>
      <x:c r="L36" s="237" t="n">
        <x:f aca="0">IF($R$12&lt;&gt;"Yes","",$K$12)</x:f>
        <x:v>0.75</x:v>
      </x:c>
      <x:c r="M36" s="237" t="n">
        <x:f aca="0">IF($R$12&lt;&gt;"Yes","",$L$12)</x:f>
        <x:v>0.4</x:v>
      </x:c>
      <x:c r="N36" s="237" t="str">
        <x:f aca="0">IF(OR(J36="",K36="",K36=0),"",J36*L36*M36/K36)</x:f>
      </x:c>
      <x:c r="O36" s="237" t="str">
        <x:f aca="0">IF($R$12&lt;&gt;"Yes","",$M$12)</x:f>
        <x:v>Govt. of India, Dept. of Agriculture and Farmers Welfare, DES - data.desagri.gov.in (crop-wise APY reports); 5-yr historical average 2015-2019, via ERR_Sheet_GKF_V1_1</x:v>
      </x:c>
      <x:c r="P36" s="80"/>
      <x:c r="Q36" s="80"/>
      <x:c r="R36" s="80"/>
    </x:row>
    <x:row r="37" ht="15" hidden="0" customHeight="1">
      <x:c r="A37" s="237" t="n">
        <x:v>2035</x:v>
      </x:c>
      <x:c r="B37" s="237" t="str">
        <x:f aca="0">IF($R$12&lt;&gt;"Yes","",$A$12)</x:f>
        <x:v>Millets</x:v>
      </x:c>
      <x:c r="C37" s="237" t="n">
        <x:f aca="0">A37-$E$5+1</x:f>
        <x:v>16</x:v>
      </x:c>
      <x:c r="D37" s="237" t="n">
        <x:f aca="0">IF($R$12&lt;&gt;"Yes","",IF($B$12="Introduced",0,IF($H$12="","",$H$12*(1+$I$12)^C37)))</x:f>
        <x:v>3693.145660551246</x:v>
      </x:c>
      <x:c r="E37" s="238" t="n">
        <x:v>0</x:v>
      </x:c>
      <x:c r="F37" s="237" t="str">
        <x:f aca="0">IF(OR(D37="",E37=""),"",D37-E37)</x:f>
      </x:c>
      <x:c r="G37" s="237" t="str">
        <x:f aca="0">IF($R$12&lt;&gt;"Yes","",IF($Q$12="","",$Q$12*(1+$I$12)^C37))</x:f>
      </x:c>
      <x:c r="H37" s="238" t="n">
        <x:v>0</x:v>
      </x:c>
      <x:c r="I37" s="237" t="n">
        <x:f aca="0">IF(OR(G37="",H37=""),0,H37-G37)</x:f>
        <x:v>0</x:v>
      </x:c>
      <x:c r="J37" s="237" t="str">
        <x:f aca="0">IF(F37="","",F37-I37)</x:f>
      </x:c>
      <x:c r="K37" s="237" t="n">
        <x:f aca="0">IF($R$12&lt;&gt;"Yes","",$J$12)</x:f>
        <x:v>1.08375</x:v>
      </x:c>
      <x:c r="L37" s="237" t="n">
        <x:f aca="0">IF($R$12&lt;&gt;"Yes","",$K$12)</x:f>
        <x:v>0.75</x:v>
      </x:c>
      <x:c r="M37" s="237" t="n">
        <x:f aca="0">IF($R$12&lt;&gt;"Yes","",$L$12)</x:f>
        <x:v>0.4</x:v>
      </x:c>
      <x:c r="N37" s="237" t="str">
        <x:f aca="0">IF(OR(J37="",K37="",K37=0),"",J37*L37*M37/K37)</x:f>
      </x:c>
      <x:c r="O37" s="237" t="str">
        <x:f aca="0">IF($R$12&lt;&gt;"Yes","",$M$12)</x:f>
        <x:v>Govt. of India, Dept. of Agriculture and Farmers Welfare, DES - data.desagri.gov.in (crop-wise APY reports); 5-yr historical average 2015-2019, via ERR_Sheet_GKF_V1_1</x:v>
      </x:c>
      <x:c r="P37" s="80"/>
      <x:c r="Q37" s="80"/>
      <x:c r="R37" s="80"/>
    </x:row>
    <x:row r="38" ht="15" hidden="0" customHeight="1">
      <x:c r="A38" s="237" t="n">
        <x:v>2036</x:v>
      </x:c>
      <x:c r="B38" s="237" t="str">
        <x:f aca="0">IF($R$12&lt;&gt;"Yes","",$A$12)</x:f>
        <x:v>Millets</x:v>
      </x:c>
      <x:c r="C38" s="237" t="n">
        <x:f aca="0">A38-$E$5+1</x:f>
        <x:v>17</x:v>
      </x:c>
      <x:c r="D38" s="237" t="n">
        <x:f aca="0">IF($R$12&lt;&gt;"Yes","",IF($B$12="Introduced",0,IF($H$12="","",$H$12*(1+$I$12)^C38)))</x:f>
        <x:v>3785.474302065026</x:v>
      </x:c>
      <x:c r="E38" s="238" t="n">
        <x:v>0</x:v>
      </x:c>
      <x:c r="F38" s="237" t="str">
        <x:f aca="0">IF(OR(D38="",E38=""),"",D38-E38)</x:f>
      </x:c>
      <x:c r="G38" s="237" t="str">
        <x:f aca="0">IF($R$12&lt;&gt;"Yes","",IF($Q$12="","",$Q$12*(1+$I$12)^C38))</x:f>
      </x:c>
      <x:c r="H38" s="238" t="n">
        <x:v>0</x:v>
      </x:c>
      <x:c r="I38" s="237" t="n">
        <x:f aca="0">IF(OR(G38="",H38=""),0,H38-G38)</x:f>
        <x:v>0</x:v>
      </x:c>
      <x:c r="J38" s="237" t="str">
        <x:f aca="0">IF(F38="","",F38-I38)</x:f>
      </x:c>
      <x:c r="K38" s="237" t="n">
        <x:f aca="0">IF($R$12&lt;&gt;"Yes","",$J$12)</x:f>
        <x:v>1.08375</x:v>
      </x:c>
      <x:c r="L38" s="237" t="n">
        <x:f aca="0">IF($R$12&lt;&gt;"Yes","",$K$12)</x:f>
        <x:v>0.75</x:v>
      </x:c>
      <x:c r="M38" s="237" t="n">
        <x:f aca="0">IF($R$12&lt;&gt;"Yes","",$L$12)</x:f>
        <x:v>0.4</x:v>
      </x:c>
      <x:c r="N38" s="237" t="str">
        <x:f aca="0">IF(OR(J38="",K38="",K38=0),"",J38*L38*M38/K38)</x:f>
      </x:c>
      <x:c r="O38" s="237" t="str">
        <x:f aca="0">IF($R$12&lt;&gt;"Yes","",$M$12)</x:f>
        <x:v>Govt. of India, Dept. of Agriculture and Farmers Welfare, DES - data.desagri.gov.in (crop-wise APY reports); 5-yr historical average 2015-2019, via ERR_Sheet_GKF_V1_1</x:v>
      </x:c>
      <x:c r="P38" s="80"/>
      <x:c r="Q38" s="80"/>
      <x:c r="R38" s="80"/>
    </x:row>
    <x:row r="39" ht="15" hidden="0" customHeight="1">
      <x:c r="A39" s="237" t="n">
        <x:v>2037</x:v>
      </x:c>
      <x:c r="B39" s="237" t="str">
        <x:f aca="0">IF($R$12&lt;&gt;"Yes","",$A$12)</x:f>
        <x:v>Millets</x:v>
      </x:c>
      <x:c r="C39" s="237" t="n">
        <x:f aca="0">A39-$E$5+1</x:f>
        <x:v>18</x:v>
      </x:c>
      <x:c r="D39" s="237" t="n">
        <x:f aca="0">IF($R$12&lt;&gt;"Yes","",IF($B$12="Introduced",0,IF($H$12="","",$H$12*(1+$I$12)^C39)))</x:f>
        <x:v>3880.111159616652</x:v>
      </x:c>
      <x:c r="E39" s="238" t="n">
        <x:v>0</x:v>
      </x:c>
      <x:c r="F39" s="237" t="str">
        <x:f aca="0">IF(OR(D39="",E39=""),"",D39-E39)</x:f>
      </x:c>
      <x:c r="G39" s="237" t="str">
        <x:f aca="0">IF($R$12&lt;&gt;"Yes","",IF($Q$12="","",$Q$12*(1+$I$12)^C39))</x:f>
      </x:c>
      <x:c r="H39" s="238" t="n">
        <x:v>0</x:v>
      </x:c>
      <x:c r="I39" s="237" t="n">
        <x:f aca="0">IF(OR(G39="",H39=""),0,H39-G39)</x:f>
        <x:v>0</x:v>
      </x:c>
      <x:c r="J39" s="237" t="str">
        <x:f aca="0">IF(F39="","",F39-I39)</x:f>
      </x:c>
      <x:c r="K39" s="237" t="n">
        <x:f aca="0">IF($R$12&lt;&gt;"Yes","",$J$12)</x:f>
        <x:v>1.08375</x:v>
      </x:c>
      <x:c r="L39" s="237" t="n">
        <x:f aca="0">IF($R$12&lt;&gt;"Yes","",$K$12)</x:f>
        <x:v>0.75</x:v>
      </x:c>
      <x:c r="M39" s="237" t="n">
        <x:f aca="0">IF($R$12&lt;&gt;"Yes","",$L$12)</x:f>
        <x:v>0.4</x:v>
      </x:c>
      <x:c r="N39" s="237" t="str">
        <x:f aca="0">IF(OR(J39="",K39="",K39=0),"",J39*L39*M39/K39)</x:f>
      </x:c>
      <x:c r="O39" s="237" t="str">
        <x:f aca="0">IF($R$12&lt;&gt;"Yes","",$M$12)</x:f>
        <x:v>Govt. of India, Dept. of Agriculture and Farmers Welfare, DES - data.desagri.gov.in (crop-wise APY reports); 5-yr historical average 2015-2019, via ERR_Sheet_GKF_V1_1</x:v>
      </x:c>
      <x:c r="P39" s="80"/>
      <x:c r="Q39" s="80"/>
      <x:c r="R39" s="80"/>
    </x:row>
    <x:row r="40" ht="15" hidden="0" customHeight="1">
      <x:c r="A40" s="237" t="n">
        <x:v>2038</x:v>
      </x:c>
      <x:c r="B40" s="237" t="str">
        <x:f aca="0">IF($R$12&lt;&gt;"Yes","",$A$12)</x:f>
        <x:v>Millets</x:v>
      </x:c>
      <x:c r="C40" s="237" t="n">
        <x:f aca="0">A40-$E$5+1</x:f>
        <x:v>19</x:v>
      </x:c>
      <x:c r="D40" s="237" t="n">
        <x:f aca="0">IF($R$12&lt;&gt;"Yes","",IF($B$12="Introduced",0,IF($H$12="","",$H$12*(1+$I$12)^C40)))</x:f>
        <x:v>3977.1139386070686</x:v>
      </x:c>
      <x:c r="E40" s="238" t="n">
        <x:v>0</x:v>
      </x:c>
      <x:c r="F40" s="237" t="str">
        <x:f aca="0">IF(OR(D40="",E40=""),"",D40-E40)</x:f>
      </x:c>
      <x:c r="G40" s="237" t="str">
        <x:f aca="0">IF($R$12&lt;&gt;"Yes","",IF($Q$12="","",$Q$12*(1+$I$12)^C40))</x:f>
      </x:c>
      <x:c r="H40" s="238" t="n">
        <x:v>0</x:v>
      </x:c>
      <x:c r="I40" s="237" t="n">
        <x:f aca="0">IF(OR(G40="",H40=""),0,H40-G40)</x:f>
        <x:v>0</x:v>
      </x:c>
      <x:c r="J40" s="237" t="str">
        <x:f aca="0">IF(F40="","",F40-I40)</x:f>
      </x:c>
      <x:c r="K40" s="237" t="n">
        <x:f aca="0">IF($R$12&lt;&gt;"Yes","",$J$12)</x:f>
        <x:v>1.08375</x:v>
      </x:c>
      <x:c r="L40" s="237" t="n">
        <x:f aca="0">IF($R$12&lt;&gt;"Yes","",$K$12)</x:f>
        <x:v>0.75</x:v>
      </x:c>
      <x:c r="M40" s="237" t="n">
        <x:f aca="0">IF($R$12&lt;&gt;"Yes","",$L$12)</x:f>
        <x:v>0.4</x:v>
      </x:c>
      <x:c r="N40" s="237" t="str">
        <x:f aca="0">IF(OR(J40="",K40="",K40=0),"",J40*L40*M40/K40)</x:f>
      </x:c>
      <x:c r="O40" s="237" t="str">
        <x:f aca="0">IF($R$12&lt;&gt;"Yes","",$M$12)</x:f>
        <x:v>Govt. of India, Dept. of Agriculture and Farmers Welfare, DES - data.desagri.gov.in (crop-wise APY reports); 5-yr historical average 2015-2019, via ERR_Sheet_GKF_V1_1</x:v>
      </x:c>
      <x:c r="P40" s="80"/>
      <x:c r="Q40" s="80"/>
      <x:c r="R40" s="80"/>
    </x:row>
    <x:row r="41" ht="15" hidden="0" customHeight="1">
      <x:c r="A41" s="237" t="n">
        <x:v>2039</x:v>
      </x:c>
      <x:c r="B41" s="237" t="str">
        <x:f aca="0">IF($R$12&lt;&gt;"Yes","",$A$12)</x:f>
        <x:v>Millets</x:v>
      </x:c>
      <x:c r="C41" s="237" t="n">
        <x:f aca="0">A41-$E$5+1</x:f>
        <x:v>20</x:v>
      </x:c>
      <x:c r="D41" s="237" t="n">
        <x:f aca="0">IF($R$12&lt;&gt;"Yes","",IF($B$12="Introduced",0,IF($H$12="","",$H$12*(1+$I$12)^C41)))</x:f>
        <x:v>4076.541787072245</x:v>
      </x:c>
      <x:c r="E41" s="238" t="n">
        <x:v>0</x:v>
      </x:c>
      <x:c r="F41" s="237" t="str">
        <x:f aca="0">IF(OR(D41="",E41=""),"",D41-E41)</x:f>
      </x:c>
      <x:c r="G41" s="237" t="str">
        <x:f aca="0">IF($R$12&lt;&gt;"Yes","",IF($Q$12="","",$Q$12*(1+$I$12)^C41))</x:f>
      </x:c>
      <x:c r="H41" s="238" t="n">
        <x:v>0</x:v>
      </x:c>
      <x:c r="I41" s="237" t="n">
        <x:f aca="0">IF(OR(G41="",H41=""),0,H41-G41)</x:f>
        <x:v>0</x:v>
      </x:c>
      <x:c r="J41" s="237" t="str">
        <x:f aca="0">IF(F41="","",F41-I41)</x:f>
      </x:c>
      <x:c r="K41" s="237" t="n">
        <x:f aca="0">IF($R$12&lt;&gt;"Yes","",$J$12)</x:f>
        <x:v>1.08375</x:v>
      </x:c>
      <x:c r="L41" s="237" t="n">
        <x:f aca="0">IF($R$12&lt;&gt;"Yes","",$K$12)</x:f>
        <x:v>0.75</x:v>
      </x:c>
      <x:c r="M41" s="237" t="n">
        <x:f aca="0">IF($R$12&lt;&gt;"Yes","",$L$12)</x:f>
        <x:v>0.4</x:v>
      </x:c>
      <x:c r="N41" s="237" t="str">
        <x:f aca="0">IF(OR(J41="",K41="",K41=0),"",J41*L41*M41/K41)</x:f>
      </x:c>
      <x:c r="O41" s="237" t="str">
        <x:f aca="0">IF($R$12&lt;&gt;"Yes","",$M$12)</x:f>
        <x:v>Govt. of India, Dept. of Agriculture and Farmers Welfare, DES - data.desagri.gov.in (crop-wise APY reports); 5-yr historical average 2015-2019, via ERR_Sheet_GKF_V1_1</x:v>
      </x:c>
      <x:c r="P41" s="80"/>
      <x:c r="Q41" s="80"/>
      <x:c r="R41" s="80"/>
    </x:row>
    <x:row r="42" ht="15" hidden="0" customHeight="1">
      <x:c r="A42" s="237" t="n">
        <x:v>2040</x:v>
      </x:c>
      <x:c r="B42" s="237" t="str">
        <x:f aca="0">IF($R$12&lt;&gt;"Yes","",$A$12)</x:f>
        <x:v>Millets</x:v>
      </x:c>
      <x:c r="C42" s="237" t="n">
        <x:f aca="0">A42-$E$5+1</x:f>
        <x:v>21</x:v>
      </x:c>
      <x:c r="D42" s="237" t="n">
        <x:f aca="0">IF($R$12&lt;&gt;"Yes","",IF($B$12="Introduced",0,IF($H$12="","",$H$12*(1+$I$12)^C42)))</x:f>
        <x:v>4178.45533174905</x:v>
      </x:c>
      <x:c r="E42" s="238" t="n">
        <x:v>0</x:v>
      </x:c>
      <x:c r="F42" s="237" t="str">
        <x:f aca="0">IF(OR(D42="",E42=""),"",D42-E42)</x:f>
      </x:c>
      <x:c r="G42" s="237" t="str">
        <x:f aca="0">IF($R$12&lt;&gt;"Yes","",IF($Q$12="","",$Q$12*(1+$I$12)^C42))</x:f>
      </x:c>
      <x:c r="H42" s="238" t="n">
        <x:v>0</x:v>
      </x:c>
      <x:c r="I42" s="237" t="n">
        <x:f aca="0">IF(OR(G42="",H42=""),0,H42-G42)</x:f>
        <x:v>0</x:v>
      </x:c>
      <x:c r="J42" s="237" t="str">
        <x:f aca="0">IF(F42="","",F42-I42)</x:f>
      </x:c>
      <x:c r="K42" s="237" t="n">
        <x:f aca="0">IF($R$12&lt;&gt;"Yes","",$J$12)</x:f>
        <x:v>1.08375</x:v>
      </x:c>
      <x:c r="L42" s="237" t="n">
        <x:f aca="0">IF($R$12&lt;&gt;"Yes","",$K$12)</x:f>
        <x:v>0.75</x:v>
      </x:c>
      <x:c r="M42" s="237" t="n">
        <x:f aca="0">IF($R$12&lt;&gt;"Yes","",$L$12)</x:f>
        <x:v>0.4</x:v>
      </x:c>
      <x:c r="N42" s="237" t="str">
        <x:f aca="0">IF(OR(J42="",K42="",K42=0),"",J42*L42*M42/K42)</x:f>
      </x:c>
      <x:c r="O42" s="237" t="str">
        <x:f aca="0">IF($R$12&lt;&gt;"Yes","",$M$12)</x:f>
        <x:v>Govt. of India, Dept. of Agriculture and Farmers Welfare, DES - data.desagri.gov.in (crop-wise APY reports); 5-yr historical average 2015-2019, via ERR_Sheet_GKF_V1_1</x:v>
      </x:c>
      <x:c r="P42" s="80"/>
      <x:c r="Q42" s="80"/>
      <x:c r="R42" s="80"/>
    </x:row>
    <x:row r="43" ht="15" hidden="0" customHeight="1">
      <x:c r="A43" s="237" t="n">
        <x:v>2020</x:v>
      </x:c>
      <x:c r="B43" s="237" t="str">
        <x:f aca="0">IF($R$13&lt;&gt;"Yes","",$A$13)</x:f>
        <x:v>Pulses</x:v>
      </x:c>
      <x:c r="C43" s="237" t="n">
        <x:f aca="0">A43-$E$5+1</x:f>
        <x:v>1</x:v>
      </x:c>
      <x:c r="D43" s="237" t="n">
        <x:f aca="0">IF($R$13&lt;&gt;"Yes","",IF($B$13="Introduced",0,IF($H$13="","",$H$13*(1+$I$13)^C43)))</x:f>
        <x:v>1773.2268155249997</x:v>
      </x:c>
      <x:c r="E43" s="238" t="n">
        <x:v>0</x:v>
      </x:c>
      <x:c r="F43" s="237" t="str">
        <x:f aca="0">IF(OR(D43="",E43=""),"",D43-E43)</x:f>
      </x:c>
      <x:c r="G43" s="237" t="str">
        <x:f aca="0">IF($R$13&lt;&gt;"Yes","",IF($Q$13="","",$Q$13*(1+$I$13)^C43))</x:f>
      </x:c>
      <x:c r="H43" s="238" t="n">
        <x:v>0</x:v>
      </x:c>
      <x:c r="I43" s="237" t="n">
        <x:f aca="0">IF(OR(G43="",H43=""),0,H43-G43)</x:f>
        <x:v>0</x:v>
      </x:c>
      <x:c r="J43" s="237" t="str">
        <x:f aca="0">IF(F43="","",F43-I43)</x:f>
      </x:c>
      <x:c r="K43" s="237" t="n">
        <x:f aca="0">IF($R$13&lt;&gt;"Yes","",$J$13)</x:f>
        <x:v>0.781949</x:v>
      </x:c>
      <x:c r="L43" s="237" t="n">
        <x:f aca="0">IF($R$13&lt;&gt;"Yes","",$K$13)</x:f>
        <x:v>0.75</x:v>
      </x:c>
      <x:c r="M43" s="237" t="n">
        <x:f aca="0">IF($R$13&lt;&gt;"Yes","",$L$13)</x:f>
        <x:v>0.4</x:v>
      </x:c>
      <x:c r="N43" s="237" t="str">
        <x:f aca="0">IF(OR(J43="",K43="",K43=0),"",J43*L43*M43/K43)</x:f>
      </x:c>
      <x:c r="O43" s="237" t="str">
        <x:f aca="0">IF($R$13&lt;&gt;"Yes","",$M$13)</x:f>
        <x:v>Govt. of India, Dept. of Agriculture and Farmers Welfare, DES - data.desagri.gov.in (crop-wise APY reports); 5-yr historical average 2015-2019, via ERR_Sheet_GKF_V1_1</x:v>
      </x:c>
      <x:c r="P43" s="80"/>
      <x:c r="Q43" s="80"/>
      <x:c r="R43" s="80"/>
    </x:row>
    <x:row r="44" ht="15" hidden="0" customHeight="1">
      <x:c r="A44" s="237" t="n">
        <x:v>2021</x:v>
      </x:c>
      <x:c r="B44" s="237" t="str">
        <x:f aca="0">IF($R$13&lt;&gt;"Yes","",$A$13)</x:f>
        <x:v>Pulses</x:v>
      </x:c>
      <x:c r="C44" s="237" t="n">
        <x:f aca="0">A44-$E$5+1</x:f>
        <x:v>2</x:v>
      </x:c>
      <x:c r="D44" s="237" t="n">
        <x:f aca="0">IF($R$13&lt;&gt;"Yes","",IF($B$13="Introduced",0,IF($H$13="","",$H$13*(1+$I$13)^C44)))</x:f>
        <x:v>1817.5574859131248</x:v>
      </x:c>
      <x:c r="E44" s="238" t="n">
        <x:v>0</x:v>
      </x:c>
      <x:c r="F44" s="237" t="str">
        <x:f aca="0">IF(OR(D44="",E44=""),"",D44-E44)</x:f>
      </x:c>
      <x:c r="G44" s="237" t="str">
        <x:f aca="0">IF($R$13&lt;&gt;"Yes","",IF($Q$13="","",$Q$13*(1+$I$13)^C44))</x:f>
      </x:c>
      <x:c r="H44" s="238" t="n">
        <x:v>0</x:v>
      </x:c>
      <x:c r="I44" s="237" t="n">
        <x:f aca="0">IF(OR(G44="",H44=""),0,H44-G44)</x:f>
        <x:v>0</x:v>
      </x:c>
      <x:c r="J44" s="237" t="str">
        <x:f aca="0">IF(F44="","",F44-I44)</x:f>
      </x:c>
      <x:c r="K44" s="237" t="n">
        <x:f aca="0">IF($R$13&lt;&gt;"Yes","",$J$13)</x:f>
        <x:v>0.781949</x:v>
      </x:c>
      <x:c r="L44" s="237" t="n">
        <x:f aca="0">IF($R$13&lt;&gt;"Yes","",$K$13)</x:f>
        <x:v>0.75</x:v>
      </x:c>
      <x:c r="M44" s="237" t="n">
        <x:f aca="0">IF($R$13&lt;&gt;"Yes","",$L$13)</x:f>
        <x:v>0.4</x:v>
      </x:c>
      <x:c r="N44" s="237" t="str">
        <x:f aca="0">IF(OR(J44="",K44="",K44=0),"",J44*L44*M44/K44)</x:f>
      </x:c>
      <x:c r="O44" s="237" t="str">
        <x:f aca="0">IF($R$13&lt;&gt;"Yes","",$M$13)</x:f>
        <x:v>Govt. of India, Dept. of Agriculture and Farmers Welfare, DES - data.desagri.gov.in (crop-wise APY reports); 5-yr historical average 2015-2019, via ERR_Sheet_GKF_V1_1</x:v>
      </x:c>
      <x:c r="P44" s="80"/>
      <x:c r="Q44" s="80"/>
      <x:c r="R44" s="80"/>
    </x:row>
    <x:row r="45" ht="15" hidden="0" customHeight="1">
      <x:c r="A45" s="237" t="n">
        <x:v>2022</x:v>
      </x:c>
      <x:c r="B45" s="237" t="str">
        <x:f aca="0">IF($R$13&lt;&gt;"Yes","",$A$13)</x:f>
        <x:v>Pulses</x:v>
      </x:c>
      <x:c r="C45" s="237" t="n">
        <x:f aca="0">A45-$E$5+1</x:f>
        <x:v>3</x:v>
      </x:c>
      <x:c r="D45" s="237" t="n">
        <x:f aca="0">IF($R$13&lt;&gt;"Yes","",IF($B$13="Introduced",0,IF($H$13="","",$H$13*(1+$I$13)^C45)))</x:f>
        <x:v>1862.9964230609528</x:v>
      </x:c>
      <x:c r="E45" s="238" t="n">
        <x:v>0</x:v>
      </x:c>
      <x:c r="F45" s="237" t="str">
        <x:f aca="0">IF(OR(D45="",E45=""),"",D45-E45)</x:f>
      </x:c>
      <x:c r="G45" s="237" t="str">
        <x:f aca="0">IF($R$13&lt;&gt;"Yes","",IF($Q$13="","",$Q$13*(1+$I$13)^C45))</x:f>
      </x:c>
      <x:c r="H45" s="238" t="n">
        <x:v>0</x:v>
      </x:c>
      <x:c r="I45" s="237" t="n">
        <x:f aca="0">IF(OR(G45="",H45=""),0,H45-G45)</x:f>
        <x:v>0</x:v>
      </x:c>
      <x:c r="J45" s="237" t="str">
        <x:f aca="0">IF(F45="","",F45-I45)</x:f>
      </x:c>
      <x:c r="K45" s="237" t="n">
        <x:f aca="0">IF($R$13&lt;&gt;"Yes","",$J$13)</x:f>
        <x:v>0.781949</x:v>
      </x:c>
      <x:c r="L45" s="237" t="n">
        <x:f aca="0">IF($R$13&lt;&gt;"Yes","",$K$13)</x:f>
        <x:v>0.75</x:v>
      </x:c>
      <x:c r="M45" s="237" t="n">
        <x:f aca="0">IF($R$13&lt;&gt;"Yes","",$L$13)</x:f>
        <x:v>0.4</x:v>
      </x:c>
      <x:c r="N45" s="237" t="str">
        <x:f aca="0">IF(OR(J45="",K45="",K45=0),"",J45*L45*M45/K45)</x:f>
      </x:c>
      <x:c r="O45" s="237" t="str">
        <x:f aca="0">IF($R$13&lt;&gt;"Yes","",$M$13)</x:f>
        <x:v>Govt. of India, Dept. of Agriculture and Farmers Welfare, DES - data.desagri.gov.in (crop-wise APY reports); 5-yr historical average 2015-2019, via ERR_Sheet_GKF_V1_1</x:v>
      </x:c>
      <x:c r="P45" s="80"/>
      <x:c r="Q45" s="80"/>
      <x:c r="R45" s="80"/>
    </x:row>
    <x:row r="46" ht="15" hidden="0" customHeight="1">
      <x:c r="A46" s="237" t="n">
        <x:v>2023</x:v>
      </x:c>
      <x:c r="B46" s="237" t="str">
        <x:f aca="0">IF($R$13&lt;&gt;"Yes","",$A$13)</x:f>
        <x:v>Pulses</x:v>
      </x:c>
      <x:c r="C46" s="237" t="n">
        <x:f aca="0">A46-$E$5+1</x:f>
        <x:v>4</x:v>
      </x:c>
      <x:c r="D46" s="237" t="n">
        <x:f aca="0">IF($R$13&lt;&gt;"Yes","",IF($B$13="Introduced",0,IF($H$13="","",$H$13*(1+$I$13)^C46)))</x:f>
        <x:v>1909.5713336374765</x:v>
      </x:c>
      <x:c r="E46" s="238" t="n">
        <x:v>0</x:v>
      </x:c>
      <x:c r="F46" s="237" t="str">
        <x:f aca="0">IF(OR(D46="",E46=""),"",D46-E46)</x:f>
      </x:c>
      <x:c r="G46" s="237" t="str">
        <x:f aca="0">IF($R$13&lt;&gt;"Yes","",IF($Q$13="","",$Q$13*(1+$I$13)^C46))</x:f>
      </x:c>
      <x:c r="H46" s="238" t="n">
        <x:v>0</x:v>
      </x:c>
      <x:c r="I46" s="237" t="n">
        <x:f aca="0">IF(OR(G46="",H46=""),0,H46-G46)</x:f>
        <x:v>0</x:v>
      </x:c>
      <x:c r="J46" s="237" t="str">
        <x:f aca="0">IF(F46="","",F46-I46)</x:f>
      </x:c>
      <x:c r="K46" s="237" t="n">
        <x:f aca="0">IF($R$13&lt;&gt;"Yes","",$J$13)</x:f>
        <x:v>0.781949</x:v>
      </x:c>
      <x:c r="L46" s="237" t="n">
        <x:f aca="0">IF($R$13&lt;&gt;"Yes","",$K$13)</x:f>
        <x:v>0.75</x:v>
      </x:c>
      <x:c r="M46" s="237" t="n">
        <x:f aca="0">IF($R$13&lt;&gt;"Yes","",$L$13)</x:f>
        <x:v>0.4</x:v>
      </x:c>
      <x:c r="N46" s="237" t="str">
        <x:f aca="0">IF(OR(J46="",K46="",K46=0),"",J46*L46*M46/K46)</x:f>
      </x:c>
      <x:c r="O46" s="237" t="str">
        <x:f aca="0">IF($R$13&lt;&gt;"Yes","",$M$13)</x:f>
        <x:v>Govt. of India, Dept. of Agriculture and Farmers Welfare, DES - data.desagri.gov.in (crop-wise APY reports); 5-yr historical average 2015-2019, via ERR_Sheet_GKF_V1_1</x:v>
      </x:c>
      <x:c r="P46" s="80"/>
      <x:c r="Q46" s="80"/>
      <x:c r="R46" s="80"/>
    </x:row>
    <x:row r="47" ht="15" hidden="0" customHeight="1">
      <x:c r="A47" s="237" t="n">
        <x:v>2024</x:v>
      </x:c>
      <x:c r="B47" s="237" t="str">
        <x:f aca="0">IF($R$13&lt;&gt;"Yes","",$A$13)</x:f>
        <x:v>Pulses</x:v>
      </x:c>
      <x:c r="C47" s="237" t="n">
        <x:f aca="0">A47-$E$5+1</x:f>
        <x:v>5</x:v>
      </x:c>
      <x:c r="D47" s="237" t="n">
        <x:f aca="0">IF($R$13&lt;&gt;"Yes","",IF($B$13="Introduced",0,IF($H$13="","",$H$13*(1+$I$13)^C47)))</x:f>
        <x:v>1957.3106169784132</x:v>
      </x:c>
      <x:c r="E47" s="238" t="n">
        <x:v>0</x:v>
      </x:c>
      <x:c r="F47" s="237" t="str">
        <x:f aca="0">IF(OR(D47="",E47=""),"",D47-E47)</x:f>
      </x:c>
      <x:c r="G47" s="237" t="str">
        <x:f aca="0">IF($R$13&lt;&gt;"Yes","",IF($Q$13="","",$Q$13*(1+$I$13)^C47))</x:f>
      </x:c>
      <x:c r="H47" s="238" t="n">
        <x:v>0</x:v>
      </x:c>
      <x:c r="I47" s="237" t="n">
        <x:f aca="0">IF(OR(G47="",H47=""),0,H47-G47)</x:f>
        <x:v>0</x:v>
      </x:c>
      <x:c r="J47" s="237" t="str">
        <x:f aca="0">IF(F47="","",F47-I47)</x:f>
      </x:c>
      <x:c r="K47" s="237" t="n">
        <x:f aca="0">IF($R$13&lt;&gt;"Yes","",$J$13)</x:f>
        <x:v>0.781949</x:v>
      </x:c>
      <x:c r="L47" s="237" t="n">
        <x:f aca="0">IF($R$13&lt;&gt;"Yes","",$K$13)</x:f>
        <x:v>0.75</x:v>
      </x:c>
      <x:c r="M47" s="237" t="n">
        <x:f aca="0">IF($R$13&lt;&gt;"Yes","",$L$13)</x:f>
        <x:v>0.4</x:v>
      </x:c>
      <x:c r="N47" s="237" t="str">
        <x:f aca="0">IF(OR(J47="",K47="",K47=0),"",J47*L47*M47/K47)</x:f>
      </x:c>
      <x:c r="O47" s="237" t="str">
        <x:f aca="0">IF($R$13&lt;&gt;"Yes","",$M$13)</x:f>
        <x:v>Govt. of India, Dept. of Agriculture and Farmers Welfare, DES - data.desagri.gov.in (crop-wise APY reports); 5-yr historical average 2015-2019, via ERR_Sheet_GKF_V1_1</x:v>
      </x:c>
      <x:c r="P47" s="80"/>
      <x:c r="Q47" s="80"/>
      <x:c r="R47" s="80"/>
    </x:row>
    <x:row r="48" ht="15" hidden="0" customHeight="1">
      <x:c r="A48" s="237" t="n">
        <x:v>2025</x:v>
      </x:c>
      <x:c r="B48" s="237" t="str">
        <x:f aca="0">IF($R$13&lt;&gt;"Yes","",$A$13)</x:f>
        <x:v>Pulses</x:v>
      </x:c>
      <x:c r="C48" s="237" t="n">
        <x:f aca="0">A48-$E$5+1</x:f>
        <x:v>6</x:v>
      </x:c>
      <x:c r="D48" s="237" t="n">
        <x:f aca="0">IF($R$13&lt;&gt;"Yes","",IF($B$13="Introduced",0,IF($H$13="","",$H$13*(1+$I$13)^C48)))</x:f>
        <x:v>2006.2433824028733</x:v>
      </x:c>
      <x:c r="E48" s="238" t="n">
        <x:v>0</x:v>
      </x:c>
      <x:c r="F48" s="237" t="str">
        <x:f aca="0">IF(OR(D48="",E48=""),"",D48-E48)</x:f>
      </x:c>
      <x:c r="G48" s="237" t="str">
        <x:f aca="0">IF($R$13&lt;&gt;"Yes","",IF($Q$13="","",$Q$13*(1+$I$13)^C48))</x:f>
      </x:c>
      <x:c r="H48" s="238" t="n">
        <x:v>0</x:v>
      </x:c>
      <x:c r="I48" s="237" t="n">
        <x:f aca="0">IF(OR(G48="",H48=""),0,H48-G48)</x:f>
        <x:v>0</x:v>
      </x:c>
      <x:c r="J48" s="237" t="str">
        <x:f aca="0">IF(F48="","",F48-I48)</x:f>
      </x:c>
      <x:c r="K48" s="237" t="n">
        <x:f aca="0">IF($R$13&lt;&gt;"Yes","",$J$13)</x:f>
        <x:v>0.781949</x:v>
      </x:c>
      <x:c r="L48" s="237" t="n">
        <x:f aca="0">IF($R$13&lt;&gt;"Yes","",$K$13)</x:f>
        <x:v>0.75</x:v>
      </x:c>
      <x:c r="M48" s="237" t="n">
        <x:f aca="0">IF($R$13&lt;&gt;"Yes","",$L$13)</x:f>
        <x:v>0.4</x:v>
      </x:c>
      <x:c r="N48" s="237" t="str">
        <x:f aca="0">IF(OR(J48="",K48="",K48=0),"",J48*L48*M48/K48)</x:f>
      </x:c>
      <x:c r="O48" s="237" t="str">
        <x:f aca="0">IF($R$13&lt;&gt;"Yes","",$M$13)</x:f>
        <x:v>Govt. of India, Dept. of Agriculture and Farmers Welfare, DES - data.desagri.gov.in (crop-wise APY reports); 5-yr historical average 2015-2019, via ERR_Sheet_GKF_V1_1</x:v>
      </x:c>
      <x:c r="P48" s="80"/>
      <x:c r="Q48" s="80"/>
      <x:c r="R48" s="80"/>
    </x:row>
    <x:row r="49" ht="15" hidden="0" customHeight="1">
      <x:c r="A49" s="237" t="n">
        <x:v>2026</x:v>
      </x:c>
      <x:c r="B49" s="237" t="str">
        <x:f aca="0">IF($R$13&lt;&gt;"Yes","",$A$13)</x:f>
        <x:v>Pulses</x:v>
      </x:c>
      <x:c r="C49" s="237" t="n">
        <x:f aca="0">A49-$E$5+1</x:f>
        <x:v>7</x:v>
      </x:c>
      <x:c r="D49" s="237" t="n">
        <x:f aca="0">IF($R$13&lt;&gt;"Yes","",IF($B$13="Introduced",0,IF($H$13="","",$H$13*(1+$I$13)^C49)))</x:f>
        <x:v>2056.399466962945</x:v>
      </x:c>
      <x:c r="E49" s="238" t="n">
        <x:v>0</x:v>
      </x:c>
      <x:c r="F49" s="237" t="str">
        <x:f aca="0">IF(OR(D49="",E49=""),"",D49-E49)</x:f>
      </x:c>
      <x:c r="G49" s="237" t="str">
        <x:f aca="0">IF($R$13&lt;&gt;"Yes","",IF($Q$13="","",$Q$13*(1+$I$13)^C49))</x:f>
      </x:c>
      <x:c r="H49" s="238" t="n">
        <x:v>0</x:v>
      </x:c>
      <x:c r="I49" s="237" t="n">
        <x:f aca="0">IF(OR(G49="",H49=""),0,H49-G49)</x:f>
        <x:v>0</x:v>
      </x:c>
      <x:c r="J49" s="237" t="str">
        <x:f aca="0">IF(F49="","",F49-I49)</x:f>
      </x:c>
      <x:c r="K49" s="237" t="n">
        <x:f aca="0">IF($R$13&lt;&gt;"Yes","",$J$13)</x:f>
        <x:v>0.781949</x:v>
      </x:c>
      <x:c r="L49" s="237" t="n">
        <x:f aca="0">IF($R$13&lt;&gt;"Yes","",$K$13)</x:f>
        <x:v>0.75</x:v>
      </x:c>
      <x:c r="M49" s="237" t="n">
        <x:f aca="0">IF($R$13&lt;&gt;"Yes","",$L$13)</x:f>
        <x:v>0.4</x:v>
      </x:c>
      <x:c r="N49" s="237" t="str">
        <x:f aca="0">IF(OR(J49="",K49="",K49=0),"",J49*L49*M49/K49)</x:f>
      </x:c>
      <x:c r="O49" s="237" t="str">
        <x:f aca="0">IF($R$13&lt;&gt;"Yes","",$M$13)</x:f>
        <x:v>Govt. of India, Dept. of Agriculture and Farmers Welfare, DES - data.desagri.gov.in (crop-wise APY reports); 5-yr historical average 2015-2019, via ERR_Sheet_GKF_V1_1</x:v>
      </x:c>
      <x:c r="P49" s="80"/>
      <x:c r="Q49" s="80"/>
      <x:c r="R49" s="80"/>
    </x:row>
    <x:row r="50" ht="15" hidden="0" customHeight="1">
      <x:c r="A50" s="237" t="n">
        <x:v>2027</x:v>
      </x:c>
      <x:c r="B50" s="237" t="str">
        <x:f aca="0">IF($R$13&lt;&gt;"Yes","",$A$13)</x:f>
        <x:v>Pulses</x:v>
      </x:c>
      <x:c r="C50" s="237" t="n">
        <x:f aca="0">A50-$E$5+1</x:f>
        <x:v>8</x:v>
      </x:c>
      <x:c r="D50" s="237" t="n">
        <x:f aca="0">IF($R$13&lt;&gt;"Yes","",IF($B$13="Introduced",0,IF($H$13="","",$H$13*(1+$I$13)^C50)))</x:f>
        <x:v>2107.8094536370186</x:v>
      </x:c>
      <x:c r="E50" s="238" t="n">
        <x:v>0</x:v>
      </x:c>
      <x:c r="F50" s="237" t="str">
        <x:f aca="0">IF(OR(D50="",E50=""),"",D50-E50)</x:f>
      </x:c>
      <x:c r="G50" s="237" t="str">
        <x:f aca="0">IF($R$13&lt;&gt;"Yes","",IF($Q$13="","",$Q$13*(1+$I$13)^C50))</x:f>
      </x:c>
      <x:c r="H50" s="238" t="n">
        <x:v>0</x:v>
      </x:c>
      <x:c r="I50" s="237" t="n">
        <x:f aca="0">IF(OR(G50="",H50=""),0,H50-G50)</x:f>
        <x:v>0</x:v>
      </x:c>
      <x:c r="J50" s="237" t="str">
        <x:f aca="0">IF(F50="","",F50-I50)</x:f>
      </x:c>
      <x:c r="K50" s="237" t="n">
        <x:f aca="0">IF($R$13&lt;&gt;"Yes","",$J$13)</x:f>
        <x:v>0.781949</x:v>
      </x:c>
      <x:c r="L50" s="237" t="n">
        <x:f aca="0">IF($R$13&lt;&gt;"Yes","",$K$13)</x:f>
        <x:v>0.75</x:v>
      </x:c>
      <x:c r="M50" s="237" t="n">
        <x:f aca="0">IF($R$13&lt;&gt;"Yes","",$L$13)</x:f>
        <x:v>0.4</x:v>
      </x:c>
      <x:c r="N50" s="237" t="str">
        <x:f aca="0">IF(OR(J50="",K50="",K50=0),"",J50*L50*M50/K50)</x:f>
      </x:c>
      <x:c r="O50" s="237" t="str">
        <x:f aca="0">IF($R$13&lt;&gt;"Yes","",$M$13)</x:f>
        <x:v>Govt. of India, Dept. of Agriculture and Farmers Welfare, DES - data.desagri.gov.in (crop-wise APY reports); 5-yr historical average 2015-2019, via ERR_Sheet_GKF_V1_1</x:v>
      </x:c>
      <x:c r="P50" s="80"/>
      <x:c r="Q50" s="80"/>
      <x:c r="R50" s="80"/>
    </x:row>
    <x:row r="51" ht="15" hidden="0" customHeight="1">
      <x:c r="A51" s="237" t="n">
        <x:v>2028</x:v>
      </x:c>
      <x:c r="B51" s="237" t="str">
        <x:f aca="0">IF($R$13&lt;&gt;"Yes","",$A$13)</x:f>
        <x:v>Pulses</x:v>
      </x:c>
      <x:c r="C51" s="237" t="n">
        <x:f aca="0">A51-$E$5+1</x:f>
        <x:v>9</x:v>
      </x:c>
      <x:c r="D51" s="237" t="n">
        <x:f aca="0">IF($R$13&lt;&gt;"Yes","",IF($B$13="Introduced",0,IF($H$13="","",$H$13*(1+$I$13)^C51)))</x:f>
        <x:v>2160.504689977944</x:v>
      </x:c>
      <x:c r="E51" s="238" t="n">
        <x:v>0</x:v>
      </x:c>
      <x:c r="F51" s="237" t="str">
        <x:f aca="0">IF(OR(D51="",E51=""),"",D51-E51)</x:f>
      </x:c>
      <x:c r="G51" s="237" t="str">
        <x:f aca="0">IF($R$13&lt;&gt;"Yes","",IF($Q$13="","",$Q$13*(1+$I$13)^C51))</x:f>
      </x:c>
      <x:c r="H51" s="238" t="n">
        <x:v>0</x:v>
      </x:c>
      <x:c r="I51" s="237" t="n">
        <x:f aca="0">IF(OR(G51="",H51=""),0,H51-G51)</x:f>
        <x:v>0</x:v>
      </x:c>
      <x:c r="J51" s="237" t="str">
        <x:f aca="0">IF(F51="","",F51-I51)</x:f>
      </x:c>
      <x:c r="K51" s="237" t="n">
        <x:f aca="0">IF($R$13&lt;&gt;"Yes","",$J$13)</x:f>
        <x:v>0.781949</x:v>
      </x:c>
      <x:c r="L51" s="237" t="n">
        <x:f aca="0">IF($R$13&lt;&gt;"Yes","",$K$13)</x:f>
        <x:v>0.75</x:v>
      </x:c>
      <x:c r="M51" s="237" t="n">
        <x:f aca="0">IF($R$13&lt;&gt;"Yes","",$L$13)</x:f>
        <x:v>0.4</x:v>
      </x:c>
      <x:c r="N51" s="237" t="str">
        <x:f aca="0">IF(OR(J51="",K51="",K51=0),"",J51*L51*M51/K51)</x:f>
      </x:c>
      <x:c r="O51" s="237" t="str">
        <x:f aca="0">IF($R$13&lt;&gt;"Yes","",$M$13)</x:f>
        <x:v>Govt. of India, Dept. of Agriculture and Farmers Welfare, DES - data.desagri.gov.in (crop-wise APY reports); 5-yr historical average 2015-2019, via ERR_Sheet_GKF_V1_1</x:v>
      </x:c>
      <x:c r="P51" s="80"/>
      <x:c r="Q51" s="80"/>
      <x:c r="R51" s="80"/>
    </x:row>
    <x:row r="52" ht="15" hidden="0" customHeight="1">
      <x:c r="A52" s="237" t="n">
        <x:v>2029</x:v>
      </x:c>
      <x:c r="B52" s="237" t="str">
        <x:f aca="0">IF($R$13&lt;&gt;"Yes","",$A$13)</x:f>
        <x:v>Pulses</x:v>
      </x:c>
      <x:c r="C52" s="237" t="n">
        <x:f aca="0">A52-$E$5+1</x:f>
        <x:v>10</x:v>
      </x:c>
      <x:c r="D52" s="237" t="n">
        <x:f aca="0">IF($R$13&lt;&gt;"Yes","",IF($B$13="Introduced",0,IF($H$13="","",$H$13*(1+$I$13)^C52)))</x:f>
        <x:v>2214.5173072273924</x:v>
      </x:c>
      <x:c r="E52" s="238" t="n">
        <x:v>0</x:v>
      </x:c>
      <x:c r="F52" s="237" t="str">
        <x:f aca="0">IF(OR(D52="",E52=""),"",D52-E52)</x:f>
      </x:c>
      <x:c r="G52" s="237" t="str">
        <x:f aca="0">IF($R$13&lt;&gt;"Yes","",IF($Q$13="","",$Q$13*(1+$I$13)^C52))</x:f>
      </x:c>
      <x:c r="H52" s="238" t="n">
        <x:v>0</x:v>
      </x:c>
      <x:c r="I52" s="237" t="n">
        <x:f aca="0">IF(OR(G52="",H52=""),0,H52-G52)</x:f>
        <x:v>0</x:v>
      </x:c>
      <x:c r="J52" s="237" t="str">
        <x:f aca="0">IF(F52="","",F52-I52)</x:f>
      </x:c>
      <x:c r="K52" s="237" t="n">
        <x:f aca="0">IF($R$13&lt;&gt;"Yes","",$J$13)</x:f>
        <x:v>0.781949</x:v>
      </x:c>
      <x:c r="L52" s="237" t="n">
        <x:f aca="0">IF($R$13&lt;&gt;"Yes","",$K$13)</x:f>
        <x:v>0.75</x:v>
      </x:c>
      <x:c r="M52" s="237" t="n">
        <x:f aca="0">IF($R$13&lt;&gt;"Yes","",$L$13)</x:f>
        <x:v>0.4</x:v>
      </x:c>
      <x:c r="N52" s="237" t="str">
        <x:f aca="0">IF(OR(J52="",K52="",K52=0),"",J52*L52*M52/K52)</x:f>
      </x:c>
      <x:c r="O52" s="237" t="str">
        <x:f aca="0">IF($R$13&lt;&gt;"Yes","",$M$13)</x:f>
        <x:v>Govt. of India, Dept. of Agriculture and Farmers Welfare, DES - data.desagri.gov.in (crop-wise APY reports); 5-yr historical average 2015-2019, via ERR_Sheet_GKF_V1_1</x:v>
      </x:c>
      <x:c r="P52" s="80"/>
      <x:c r="Q52" s="80"/>
      <x:c r="R52" s="80"/>
    </x:row>
    <x:row r="53" ht="15" hidden="0" customHeight="1">
      <x:c r="A53" s="237" t="n">
        <x:v>2030</x:v>
      </x:c>
      <x:c r="B53" s="237" t="str">
        <x:f aca="0">IF($R$13&lt;&gt;"Yes","",$A$13)</x:f>
        <x:v>Pulses</x:v>
      </x:c>
      <x:c r="C53" s="237" t="n">
        <x:f aca="0">A53-$E$5+1</x:f>
        <x:v>11</x:v>
      </x:c>
      <x:c r="D53" s="237" t="n">
        <x:f aca="0">IF($R$13&lt;&gt;"Yes","",IF($B$13="Introduced",0,IF($H$13="","",$H$13*(1+$I$13)^C53)))</x:f>
        <x:v>2269.8802399080773</x:v>
      </x:c>
      <x:c r="E53" s="238" t="n">
        <x:v>0</x:v>
      </x:c>
      <x:c r="F53" s="237" t="str">
        <x:f aca="0">IF(OR(D53="",E53=""),"",D53-E53)</x:f>
      </x:c>
      <x:c r="G53" s="237" t="str">
        <x:f aca="0">IF($R$13&lt;&gt;"Yes","",IF($Q$13="","",$Q$13*(1+$I$13)^C53))</x:f>
      </x:c>
      <x:c r="H53" s="238" t="n">
        <x:v>0</x:v>
      </x:c>
      <x:c r="I53" s="237" t="n">
        <x:f aca="0">IF(OR(G53="",H53=""),0,H53-G53)</x:f>
        <x:v>0</x:v>
      </x:c>
      <x:c r="J53" s="237" t="str">
        <x:f aca="0">IF(F53="","",F53-I53)</x:f>
      </x:c>
      <x:c r="K53" s="237" t="n">
        <x:f aca="0">IF($R$13&lt;&gt;"Yes","",$J$13)</x:f>
        <x:v>0.781949</x:v>
      </x:c>
      <x:c r="L53" s="237" t="n">
        <x:f aca="0">IF($R$13&lt;&gt;"Yes","",$K$13)</x:f>
        <x:v>0.75</x:v>
      </x:c>
      <x:c r="M53" s="237" t="n">
        <x:f aca="0">IF($R$13&lt;&gt;"Yes","",$L$13)</x:f>
        <x:v>0.4</x:v>
      </x:c>
      <x:c r="N53" s="237" t="str">
        <x:f aca="0">IF(OR(J53="",K53="",K53=0),"",J53*L53*M53/K53)</x:f>
      </x:c>
      <x:c r="O53" s="237" t="str">
        <x:f aca="0">IF($R$13&lt;&gt;"Yes","",$M$13)</x:f>
        <x:v>Govt. of India, Dept. of Agriculture and Farmers Welfare, DES - data.desagri.gov.in (crop-wise APY reports); 5-yr historical average 2015-2019, via ERR_Sheet_GKF_V1_1</x:v>
      </x:c>
      <x:c r="P53" s="80"/>
      <x:c r="Q53" s="80"/>
      <x:c r="R53" s="80"/>
    </x:row>
    <x:row r="54" ht="15" hidden="0" customHeight="1">
      <x:c r="A54" s="237" t="n">
        <x:v>2031</x:v>
      </x:c>
      <x:c r="B54" s="237" t="str">
        <x:f aca="0">IF($R$13&lt;&gt;"Yes","",$A$13)</x:f>
        <x:v>Pulses</x:v>
      </x:c>
      <x:c r="C54" s="237" t="n">
        <x:f aca="0">A54-$E$5+1</x:f>
        <x:v>12</x:v>
      </x:c>
      <x:c r="D54" s="237" t="n">
        <x:f aca="0">IF($R$13&lt;&gt;"Yes","",IF($B$13="Introduced",0,IF($H$13="","",$H$13*(1+$I$13)^C54)))</x:f>
        <x:v>2326.627245905779</x:v>
      </x:c>
      <x:c r="E54" s="238" t="n">
        <x:v>0</x:v>
      </x:c>
      <x:c r="F54" s="237" t="str">
        <x:f aca="0">IF(OR(D54="",E54=""),"",D54-E54)</x:f>
      </x:c>
      <x:c r="G54" s="237" t="str">
        <x:f aca="0">IF($R$13&lt;&gt;"Yes","",IF($Q$13="","",$Q$13*(1+$I$13)^C54))</x:f>
      </x:c>
      <x:c r="H54" s="238" t="n">
        <x:v>0</x:v>
      </x:c>
      <x:c r="I54" s="237" t="n">
        <x:f aca="0">IF(OR(G54="",H54=""),0,H54-G54)</x:f>
        <x:v>0</x:v>
      </x:c>
      <x:c r="J54" s="237" t="str">
        <x:f aca="0">IF(F54="","",F54-I54)</x:f>
      </x:c>
      <x:c r="K54" s="237" t="n">
        <x:f aca="0">IF($R$13&lt;&gt;"Yes","",$J$13)</x:f>
        <x:v>0.781949</x:v>
      </x:c>
      <x:c r="L54" s="237" t="n">
        <x:f aca="0">IF($R$13&lt;&gt;"Yes","",$K$13)</x:f>
        <x:v>0.75</x:v>
      </x:c>
      <x:c r="M54" s="237" t="n">
        <x:f aca="0">IF($R$13&lt;&gt;"Yes","",$L$13)</x:f>
        <x:v>0.4</x:v>
      </x:c>
      <x:c r="N54" s="237" t="str">
        <x:f aca="0">IF(OR(J54="",K54="",K54=0),"",J54*L54*M54/K54)</x:f>
      </x:c>
      <x:c r="O54" s="237" t="str">
        <x:f aca="0">IF($R$13&lt;&gt;"Yes","",$M$13)</x:f>
        <x:v>Govt. of India, Dept. of Agriculture and Farmers Welfare, DES - data.desagri.gov.in (crop-wise APY reports); 5-yr historical average 2015-2019, via ERR_Sheet_GKF_V1_1</x:v>
      </x:c>
      <x:c r="P54" s="80"/>
      <x:c r="Q54" s="80"/>
      <x:c r="R54" s="80"/>
    </x:row>
    <x:row r="55" ht="15" hidden="0" customHeight="1">
      <x:c r="A55" s="237" t="n">
        <x:v>2032</x:v>
      </x:c>
      <x:c r="B55" s="237" t="str">
        <x:f aca="0">IF($R$13&lt;&gt;"Yes","",$A$13)</x:f>
        <x:v>Pulses</x:v>
      </x:c>
      <x:c r="C55" s="237" t="n">
        <x:f aca="0">A55-$E$5+1</x:f>
        <x:v>13</x:v>
      </x:c>
      <x:c r="D55" s="237" t="n">
        <x:f aca="0">IF($R$13&lt;&gt;"Yes","",IF($B$13="Introduced",0,IF($H$13="","",$H$13*(1+$I$13)^C55)))</x:f>
        <x:v>2384.792927053423</x:v>
      </x:c>
      <x:c r="E55" s="238" t="n">
        <x:v>0</x:v>
      </x:c>
      <x:c r="F55" s="237" t="str">
        <x:f aca="0">IF(OR(D55="",E55=""),"",D55-E55)</x:f>
      </x:c>
      <x:c r="G55" s="237" t="str">
        <x:f aca="0">IF($R$13&lt;&gt;"Yes","",IF($Q$13="","",$Q$13*(1+$I$13)^C55))</x:f>
      </x:c>
      <x:c r="H55" s="238" t="n">
        <x:v>0</x:v>
      </x:c>
      <x:c r="I55" s="237" t="n">
        <x:f aca="0">IF(OR(G55="",H55=""),0,H55-G55)</x:f>
        <x:v>0</x:v>
      </x:c>
      <x:c r="J55" s="237" t="str">
        <x:f aca="0">IF(F55="","",F55-I55)</x:f>
      </x:c>
      <x:c r="K55" s="237" t="n">
        <x:f aca="0">IF($R$13&lt;&gt;"Yes","",$J$13)</x:f>
        <x:v>0.781949</x:v>
      </x:c>
      <x:c r="L55" s="237" t="n">
        <x:f aca="0">IF($R$13&lt;&gt;"Yes","",$K$13)</x:f>
        <x:v>0.75</x:v>
      </x:c>
      <x:c r="M55" s="237" t="n">
        <x:f aca="0">IF($R$13&lt;&gt;"Yes","",$L$13)</x:f>
        <x:v>0.4</x:v>
      </x:c>
      <x:c r="N55" s="237" t="str">
        <x:f aca="0">IF(OR(J55="",K55="",K55=0),"",J55*L55*M55/K55)</x:f>
      </x:c>
      <x:c r="O55" s="237" t="str">
        <x:f aca="0">IF($R$13&lt;&gt;"Yes","",$M$13)</x:f>
        <x:v>Govt. of India, Dept. of Agriculture and Farmers Welfare, DES - data.desagri.gov.in (crop-wise APY reports); 5-yr historical average 2015-2019, via ERR_Sheet_GKF_V1_1</x:v>
      </x:c>
      <x:c r="P55" s="80"/>
      <x:c r="Q55" s="80"/>
      <x:c r="R55" s="80"/>
    </x:row>
    <x:row r="56" ht="15" hidden="0" customHeight="1">
      <x:c r="A56" s="237" t="n">
        <x:v>2033</x:v>
      </x:c>
      <x:c r="B56" s="237" t="str">
        <x:f aca="0">IF($R$13&lt;&gt;"Yes","",$A$13)</x:f>
        <x:v>Pulses</x:v>
      </x:c>
      <x:c r="C56" s="237" t="n">
        <x:f aca="0">A56-$E$5+1</x:f>
        <x:v>14</x:v>
      </x:c>
      <x:c r="D56" s="237" t="n">
        <x:f aca="0">IF($R$13&lt;&gt;"Yes","",IF($B$13="Introduced",0,IF($H$13="","",$H$13*(1+$I$13)^C56)))</x:f>
        <x:v>2444.412750229759</x:v>
      </x:c>
      <x:c r="E56" s="238" t="n">
        <x:v>0</x:v>
      </x:c>
      <x:c r="F56" s="237" t="str">
        <x:f aca="0">IF(OR(D56="",E56=""),"",D56-E56)</x:f>
      </x:c>
      <x:c r="G56" s="237" t="str">
        <x:f aca="0">IF($R$13&lt;&gt;"Yes","",IF($Q$13="","",$Q$13*(1+$I$13)^C56))</x:f>
      </x:c>
      <x:c r="H56" s="238" t="n">
        <x:v>0</x:v>
      </x:c>
      <x:c r="I56" s="237" t="n">
        <x:f aca="0">IF(OR(G56="",H56=""),0,H56-G56)</x:f>
        <x:v>0</x:v>
      </x:c>
      <x:c r="J56" s="237" t="str">
        <x:f aca="0">IF(F56="","",F56-I56)</x:f>
      </x:c>
      <x:c r="K56" s="237" t="n">
        <x:f aca="0">IF($R$13&lt;&gt;"Yes","",$J$13)</x:f>
        <x:v>0.781949</x:v>
      </x:c>
      <x:c r="L56" s="237" t="n">
        <x:f aca="0">IF($R$13&lt;&gt;"Yes","",$K$13)</x:f>
        <x:v>0.75</x:v>
      </x:c>
      <x:c r="M56" s="237" t="n">
        <x:f aca="0">IF($R$13&lt;&gt;"Yes","",$L$13)</x:f>
        <x:v>0.4</x:v>
      </x:c>
      <x:c r="N56" s="237" t="str">
        <x:f aca="0">IF(OR(J56="",K56="",K56=0),"",J56*L56*M56/K56)</x:f>
      </x:c>
      <x:c r="O56" s="237" t="str">
        <x:f aca="0">IF($R$13&lt;&gt;"Yes","",$M$13)</x:f>
        <x:v>Govt. of India, Dept. of Agriculture and Farmers Welfare, DES - data.desagri.gov.in (crop-wise APY reports); 5-yr historical average 2015-2019, via ERR_Sheet_GKF_V1_1</x:v>
      </x:c>
      <x:c r="P56" s="80"/>
      <x:c r="Q56" s="80"/>
      <x:c r="R56" s="80"/>
    </x:row>
    <x:row r="57" ht="15" hidden="0" customHeight="1">
      <x:c r="A57" s="237" t="n">
        <x:v>2034</x:v>
      </x:c>
      <x:c r="B57" s="237" t="str">
        <x:f aca="0">IF($R$13&lt;&gt;"Yes","",$A$13)</x:f>
        <x:v>Pulses</x:v>
      </x:c>
      <x:c r="C57" s="237" t="n">
        <x:f aca="0">A57-$E$5+1</x:f>
        <x:v>15</x:v>
      </x:c>
      <x:c r="D57" s="237" t="n">
        <x:f aca="0">IF($R$13&lt;&gt;"Yes","",IF($B$13="Introduced",0,IF($H$13="","",$H$13*(1+$I$13)^C57)))</x:f>
        <x:v>2505.523068985503</x:v>
      </x:c>
      <x:c r="E57" s="238" t="n">
        <x:v>0</x:v>
      </x:c>
      <x:c r="F57" s="237" t="str">
        <x:f aca="0">IF(OR(D57="",E57=""),"",D57-E57)</x:f>
      </x:c>
      <x:c r="G57" s="237" t="str">
        <x:f aca="0">IF($R$13&lt;&gt;"Yes","",IF($Q$13="","",$Q$13*(1+$I$13)^C57))</x:f>
      </x:c>
      <x:c r="H57" s="238" t="n">
        <x:v>0</x:v>
      </x:c>
      <x:c r="I57" s="237" t="n">
        <x:f aca="0">IF(OR(G57="",H57=""),0,H57-G57)</x:f>
        <x:v>0</x:v>
      </x:c>
      <x:c r="J57" s="237" t="str">
        <x:f aca="0">IF(F57="","",F57-I57)</x:f>
      </x:c>
      <x:c r="K57" s="237" t="n">
        <x:f aca="0">IF($R$13&lt;&gt;"Yes","",$J$13)</x:f>
        <x:v>0.781949</x:v>
      </x:c>
      <x:c r="L57" s="237" t="n">
        <x:f aca="0">IF($R$13&lt;&gt;"Yes","",$K$13)</x:f>
        <x:v>0.75</x:v>
      </x:c>
      <x:c r="M57" s="237" t="n">
        <x:f aca="0">IF($R$13&lt;&gt;"Yes","",$L$13)</x:f>
        <x:v>0.4</x:v>
      </x:c>
      <x:c r="N57" s="237" t="str">
        <x:f aca="0">IF(OR(J57="",K57="",K57=0),"",J57*L57*M57/K57)</x:f>
      </x:c>
      <x:c r="O57" s="237" t="str">
        <x:f aca="0">IF($R$13&lt;&gt;"Yes","",$M$13)</x:f>
        <x:v>Govt. of India, Dept. of Agriculture and Farmers Welfare, DES - data.desagri.gov.in (crop-wise APY reports); 5-yr historical average 2015-2019, via ERR_Sheet_GKF_V1_1</x:v>
      </x:c>
      <x:c r="P57" s="80"/>
      <x:c r="Q57" s="80"/>
      <x:c r="R57" s="80"/>
    </x:row>
    <x:row r="58" ht="15" hidden="0" customHeight="1">
      <x:c r="A58" s="237" t="n">
        <x:v>2035</x:v>
      </x:c>
      <x:c r="B58" s="237" t="str">
        <x:f aca="0">IF($R$13&lt;&gt;"Yes","",$A$13)</x:f>
        <x:v>Pulses</x:v>
      </x:c>
      <x:c r="C58" s="237" t="n">
        <x:f aca="0">A58-$E$5+1</x:f>
        <x:v>16</x:v>
      </x:c>
      <x:c r="D58" s="237" t="n">
        <x:f aca="0">IF($R$13&lt;&gt;"Yes","",IF($B$13="Introduced",0,IF($H$13="","",$H$13*(1+$I$13)^C58)))</x:f>
        <x:v>2568.1611457101403</x:v>
      </x:c>
      <x:c r="E58" s="238" t="n">
        <x:v>0</x:v>
      </x:c>
      <x:c r="F58" s="237" t="str">
        <x:f aca="0">IF(OR(D58="",E58=""),"",D58-E58)</x:f>
      </x:c>
      <x:c r="G58" s="237" t="str">
        <x:f aca="0">IF($R$13&lt;&gt;"Yes","",IF($Q$13="","",$Q$13*(1+$I$13)^C58))</x:f>
      </x:c>
      <x:c r="H58" s="238" t="n">
        <x:v>0</x:v>
      </x:c>
      <x:c r="I58" s="237" t="n">
        <x:f aca="0">IF(OR(G58="",H58=""),0,H58-G58)</x:f>
        <x:v>0</x:v>
      </x:c>
      <x:c r="J58" s="237" t="str">
        <x:f aca="0">IF(F58="","",F58-I58)</x:f>
      </x:c>
      <x:c r="K58" s="237" t="n">
        <x:f aca="0">IF($R$13&lt;&gt;"Yes","",$J$13)</x:f>
        <x:v>0.781949</x:v>
      </x:c>
      <x:c r="L58" s="237" t="n">
        <x:f aca="0">IF($R$13&lt;&gt;"Yes","",$K$13)</x:f>
        <x:v>0.75</x:v>
      </x:c>
      <x:c r="M58" s="237" t="n">
        <x:f aca="0">IF($R$13&lt;&gt;"Yes","",$L$13)</x:f>
        <x:v>0.4</x:v>
      </x:c>
      <x:c r="N58" s="237" t="str">
        <x:f aca="0">IF(OR(J58="",K58="",K58=0),"",J58*L58*M58/K58)</x:f>
      </x:c>
      <x:c r="O58" s="237" t="str">
        <x:f aca="0">IF($R$13&lt;&gt;"Yes","",$M$13)</x:f>
        <x:v>Govt. of India, Dept. of Agriculture and Farmers Welfare, DES - data.desagri.gov.in (crop-wise APY reports); 5-yr historical average 2015-2019, via ERR_Sheet_GKF_V1_1</x:v>
      </x:c>
      <x:c r="P58" s="80"/>
      <x:c r="Q58" s="80"/>
      <x:c r="R58" s="80"/>
    </x:row>
    <x:row r="59" ht="15" hidden="0" customHeight="1">
      <x:c r="A59" s="237" t="n">
        <x:v>2036</x:v>
      </x:c>
      <x:c r="B59" s="237" t="str">
        <x:f aca="0">IF($R$13&lt;&gt;"Yes","",$A$13)</x:f>
        <x:v>Pulses</x:v>
      </x:c>
      <x:c r="C59" s="237" t="n">
        <x:f aca="0">A59-$E$5+1</x:f>
        <x:v>17</x:v>
      </x:c>
      <x:c r="D59" s="237" t="n">
        <x:f aca="0">IF($R$13&lt;&gt;"Yes","",IF($B$13="Introduced",0,IF($H$13="","",$H$13*(1+$I$13)^C59)))</x:f>
        <x:v>2632.3651743528935</x:v>
      </x:c>
      <x:c r="E59" s="238" t="n">
        <x:v>0</x:v>
      </x:c>
      <x:c r="F59" s="237" t="str">
        <x:f aca="0">IF(OR(D59="",E59=""),"",D59-E59)</x:f>
      </x:c>
      <x:c r="G59" s="237" t="str">
        <x:f aca="0">IF($R$13&lt;&gt;"Yes","",IF($Q$13="","",$Q$13*(1+$I$13)^C59))</x:f>
      </x:c>
      <x:c r="H59" s="238" t="n">
        <x:v>0</x:v>
      </x:c>
      <x:c r="I59" s="237" t="n">
        <x:f aca="0">IF(OR(G59="",H59=""),0,H59-G59)</x:f>
        <x:v>0</x:v>
      </x:c>
      <x:c r="J59" s="237" t="str">
        <x:f aca="0">IF(F59="","",F59-I59)</x:f>
      </x:c>
      <x:c r="K59" s="237" t="n">
        <x:f aca="0">IF($R$13&lt;&gt;"Yes","",$J$13)</x:f>
        <x:v>0.781949</x:v>
      </x:c>
      <x:c r="L59" s="237" t="n">
        <x:f aca="0">IF($R$13&lt;&gt;"Yes","",$K$13)</x:f>
        <x:v>0.75</x:v>
      </x:c>
      <x:c r="M59" s="237" t="n">
        <x:f aca="0">IF($R$13&lt;&gt;"Yes","",$L$13)</x:f>
        <x:v>0.4</x:v>
      </x:c>
      <x:c r="N59" s="237" t="str">
        <x:f aca="0">IF(OR(J59="",K59="",K59=0),"",J59*L59*M59/K59)</x:f>
      </x:c>
      <x:c r="O59" s="237" t="str">
        <x:f aca="0">IF($R$13&lt;&gt;"Yes","",$M$13)</x:f>
        <x:v>Govt. of India, Dept. of Agriculture and Farmers Welfare, DES - data.desagri.gov.in (crop-wise APY reports); 5-yr historical average 2015-2019, via ERR_Sheet_GKF_V1_1</x:v>
      </x:c>
      <x:c r="P59" s="80"/>
      <x:c r="Q59" s="80"/>
      <x:c r="R59" s="80"/>
    </x:row>
    <x:row r="60" ht="15" hidden="0" customHeight="1">
      <x:c r="A60" s="237" t="n">
        <x:v>2037</x:v>
      </x:c>
      <x:c r="B60" s="237" t="str">
        <x:f aca="0">IF($R$13&lt;&gt;"Yes","",$A$13)</x:f>
        <x:v>Pulses</x:v>
      </x:c>
      <x:c r="C60" s="237" t="n">
        <x:f aca="0">A60-$E$5+1</x:f>
        <x:v>18</x:v>
      </x:c>
      <x:c r="D60" s="237" t="n">
        <x:f aca="0">IF($R$13&lt;&gt;"Yes","",IF($B$13="Introduced",0,IF($H$13="","",$H$13*(1+$I$13)^C60)))</x:f>
        <x:v>2698.1743037117158</x:v>
      </x:c>
      <x:c r="E60" s="238" t="n">
        <x:v>0</x:v>
      </x:c>
      <x:c r="F60" s="237" t="str">
        <x:f aca="0">IF(OR(D60="",E60=""),"",D60-E60)</x:f>
      </x:c>
      <x:c r="G60" s="237" t="str">
        <x:f aca="0">IF($R$13&lt;&gt;"Yes","",IF($Q$13="","",$Q$13*(1+$I$13)^C60))</x:f>
      </x:c>
      <x:c r="H60" s="238" t="n">
        <x:v>0</x:v>
      </x:c>
      <x:c r="I60" s="237" t="n">
        <x:f aca="0">IF(OR(G60="",H60=""),0,H60-G60)</x:f>
        <x:v>0</x:v>
      </x:c>
      <x:c r="J60" s="237" t="str">
        <x:f aca="0">IF(F60="","",F60-I60)</x:f>
      </x:c>
      <x:c r="K60" s="237" t="n">
        <x:f aca="0">IF($R$13&lt;&gt;"Yes","",$J$13)</x:f>
        <x:v>0.781949</x:v>
      </x:c>
      <x:c r="L60" s="237" t="n">
        <x:f aca="0">IF($R$13&lt;&gt;"Yes","",$K$13)</x:f>
        <x:v>0.75</x:v>
      </x:c>
      <x:c r="M60" s="237" t="n">
        <x:f aca="0">IF($R$13&lt;&gt;"Yes","",$L$13)</x:f>
        <x:v>0.4</x:v>
      </x:c>
      <x:c r="N60" s="237" t="str">
        <x:f aca="0">IF(OR(J60="",K60="",K60=0),"",J60*L60*M60/K60)</x:f>
      </x:c>
      <x:c r="O60" s="237" t="str">
        <x:f aca="0">IF($R$13&lt;&gt;"Yes","",$M$13)</x:f>
        <x:v>Govt. of India, Dept. of Agriculture and Farmers Welfare, DES - data.desagri.gov.in (crop-wise APY reports); 5-yr historical average 2015-2019, via ERR_Sheet_GKF_V1_1</x:v>
      </x:c>
      <x:c r="P60" s="80"/>
      <x:c r="Q60" s="80"/>
      <x:c r="R60" s="80"/>
    </x:row>
    <x:row r="61" ht="15" hidden="0" customHeight="1">
      <x:c r="A61" s="237" t="n">
        <x:v>2038</x:v>
      </x:c>
      <x:c r="B61" s="237" t="str">
        <x:f aca="0">IF($R$13&lt;&gt;"Yes","",$A$13)</x:f>
        <x:v>Pulses</x:v>
      </x:c>
      <x:c r="C61" s="237" t="n">
        <x:f aca="0">A61-$E$5+1</x:f>
        <x:v>19</x:v>
      </x:c>
      <x:c r="D61" s="237" t="n">
        <x:f aca="0">IF($R$13&lt;&gt;"Yes","",IF($B$13="Introduced",0,IF($H$13="","",$H$13*(1+$I$13)^C61)))</x:f>
        <x:v>2765.628661304509</x:v>
      </x:c>
      <x:c r="E61" s="238" t="n">
        <x:v>0</x:v>
      </x:c>
      <x:c r="F61" s="237" t="str">
        <x:f aca="0">IF(OR(D61="",E61=""),"",D61-E61)</x:f>
      </x:c>
      <x:c r="G61" s="237" t="str">
        <x:f aca="0">IF($R$13&lt;&gt;"Yes","",IF($Q$13="","",$Q$13*(1+$I$13)^C61))</x:f>
      </x:c>
      <x:c r="H61" s="238" t="n">
        <x:v>0</x:v>
      </x:c>
      <x:c r="I61" s="237" t="n">
        <x:f aca="0">IF(OR(G61="",H61=""),0,H61-G61)</x:f>
        <x:v>0</x:v>
      </x:c>
      <x:c r="J61" s="237" t="str">
        <x:f aca="0">IF(F61="","",F61-I61)</x:f>
      </x:c>
      <x:c r="K61" s="237" t="n">
        <x:f aca="0">IF($R$13&lt;&gt;"Yes","",$J$13)</x:f>
        <x:v>0.781949</x:v>
      </x:c>
      <x:c r="L61" s="237" t="n">
        <x:f aca="0">IF($R$13&lt;&gt;"Yes","",$K$13)</x:f>
        <x:v>0.75</x:v>
      </x:c>
      <x:c r="M61" s="237" t="n">
        <x:f aca="0">IF($R$13&lt;&gt;"Yes","",$L$13)</x:f>
        <x:v>0.4</x:v>
      </x:c>
      <x:c r="N61" s="237" t="str">
        <x:f aca="0">IF(OR(J61="",K61="",K61=0),"",J61*L61*M61/K61)</x:f>
      </x:c>
      <x:c r="O61" s="237" t="str">
        <x:f aca="0">IF($R$13&lt;&gt;"Yes","",$M$13)</x:f>
        <x:v>Govt. of India, Dept. of Agriculture and Farmers Welfare, DES - data.desagri.gov.in (crop-wise APY reports); 5-yr historical average 2015-2019, via ERR_Sheet_GKF_V1_1</x:v>
      </x:c>
      <x:c r="P61" s="80"/>
      <x:c r="Q61" s="80"/>
      <x:c r="R61" s="80"/>
    </x:row>
    <x:row r="62" ht="15" hidden="0" customHeight="1">
      <x:c r="A62" s="237" t="n">
        <x:v>2039</x:v>
      </x:c>
      <x:c r="B62" s="237" t="str">
        <x:f aca="0">IF($R$13&lt;&gt;"Yes","",$A$13)</x:f>
        <x:v>Pulses</x:v>
      </x:c>
      <x:c r="C62" s="237" t="n">
        <x:f aca="0">A62-$E$5+1</x:f>
        <x:v>20</x:v>
      </x:c>
      <x:c r="D62" s="237" t="n">
        <x:f aca="0">IF($R$13&lt;&gt;"Yes","",IF($B$13="Introduced",0,IF($H$13="","",$H$13*(1+$I$13)^C62)))</x:f>
        <x:v>2834.7693778371213</x:v>
      </x:c>
      <x:c r="E62" s="238" t="n">
        <x:v>0</x:v>
      </x:c>
      <x:c r="F62" s="237" t="str">
        <x:f aca="0">IF(OR(D62="",E62=""),"",D62-E62)</x:f>
      </x:c>
      <x:c r="G62" s="237" t="str">
        <x:f aca="0">IF($R$13&lt;&gt;"Yes","",IF($Q$13="","",$Q$13*(1+$I$13)^C62))</x:f>
      </x:c>
      <x:c r="H62" s="238" t="n">
        <x:v>0</x:v>
      </x:c>
      <x:c r="I62" s="237" t="n">
        <x:f aca="0">IF(OR(G62="",H62=""),0,H62-G62)</x:f>
        <x:v>0</x:v>
      </x:c>
      <x:c r="J62" s="237" t="str">
        <x:f aca="0">IF(F62="","",F62-I62)</x:f>
      </x:c>
      <x:c r="K62" s="237" t="n">
        <x:f aca="0">IF($R$13&lt;&gt;"Yes","",$J$13)</x:f>
        <x:v>0.781949</x:v>
      </x:c>
      <x:c r="L62" s="237" t="n">
        <x:f aca="0">IF($R$13&lt;&gt;"Yes","",$K$13)</x:f>
        <x:v>0.75</x:v>
      </x:c>
      <x:c r="M62" s="237" t="n">
        <x:f aca="0">IF($R$13&lt;&gt;"Yes","",$L$13)</x:f>
        <x:v>0.4</x:v>
      </x:c>
      <x:c r="N62" s="237" t="str">
        <x:f aca="0">IF(OR(J62="",K62="",K62=0),"",J62*L62*M62/K62)</x:f>
      </x:c>
      <x:c r="O62" s="237" t="str">
        <x:f aca="0">IF($R$13&lt;&gt;"Yes","",$M$13)</x:f>
        <x:v>Govt. of India, Dept. of Agriculture and Farmers Welfare, DES - data.desagri.gov.in (crop-wise APY reports); 5-yr historical average 2015-2019, via ERR_Sheet_GKF_V1_1</x:v>
      </x:c>
      <x:c r="P62" s="80"/>
      <x:c r="Q62" s="80"/>
      <x:c r="R62" s="80"/>
    </x:row>
    <x:row r="63" ht="15" hidden="0" customHeight="1">
      <x:c r="A63" s="237" t="n">
        <x:v>2040</x:v>
      </x:c>
      <x:c r="B63" s="237" t="str">
        <x:f aca="0">IF($R$13&lt;&gt;"Yes","",$A$13)</x:f>
        <x:v>Pulses</x:v>
      </x:c>
      <x:c r="C63" s="237" t="n">
        <x:f aca="0">A63-$E$5+1</x:f>
        <x:v>21</x:v>
      </x:c>
      <x:c r="D63" s="237" t="n">
        <x:f aca="0">IF($R$13&lt;&gt;"Yes","",IF($B$13="Introduced",0,IF($H$13="","",$H$13*(1+$I$13)^C63)))</x:f>
        <x:v>2905.638612283049</x:v>
      </x:c>
      <x:c r="E63" s="238" t="n">
        <x:v>0</x:v>
      </x:c>
      <x:c r="F63" s="237" t="str">
        <x:f aca="0">IF(OR(D63="",E63=""),"",D63-E63)</x:f>
      </x:c>
      <x:c r="G63" s="237" t="str">
        <x:f aca="0">IF($R$13&lt;&gt;"Yes","",IF($Q$13="","",$Q$13*(1+$I$13)^C63))</x:f>
      </x:c>
      <x:c r="H63" s="238" t="n">
        <x:v>0</x:v>
      </x:c>
      <x:c r="I63" s="237" t="n">
        <x:f aca="0">IF(OR(G63="",H63=""),0,H63-G63)</x:f>
        <x:v>0</x:v>
      </x:c>
      <x:c r="J63" s="237" t="str">
        <x:f aca="0">IF(F63="","",F63-I63)</x:f>
      </x:c>
      <x:c r="K63" s="237" t="n">
        <x:f aca="0">IF($R$13&lt;&gt;"Yes","",$J$13)</x:f>
        <x:v>0.781949</x:v>
      </x:c>
      <x:c r="L63" s="237" t="n">
        <x:f aca="0">IF($R$13&lt;&gt;"Yes","",$K$13)</x:f>
        <x:v>0.75</x:v>
      </x:c>
      <x:c r="M63" s="237" t="n">
        <x:f aca="0">IF($R$13&lt;&gt;"Yes","",$L$13)</x:f>
        <x:v>0.4</x:v>
      </x:c>
      <x:c r="N63" s="237" t="str">
        <x:f aca="0">IF(OR(J63="",K63="",K63=0),"",J63*L63*M63/K63)</x:f>
      </x:c>
      <x:c r="O63" s="237" t="str">
        <x:f aca="0">IF($R$13&lt;&gt;"Yes","",$M$13)</x:f>
        <x:v>Govt. of India, Dept. of Agriculture and Farmers Welfare, DES - data.desagri.gov.in (crop-wise APY reports); 5-yr historical average 2015-2019, via ERR_Sheet_GKF_V1_1</x:v>
      </x:c>
      <x:c r="P63" s="80"/>
      <x:c r="Q63" s="80"/>
      <x:c r="R63" s="80"/>
    </x:row>
    <x:row r="64" ht="15" hidden="0" customHeight="1">
      <x:c r="A64" s="237" t="n">
        <x:v>2020</x:v>
      </x:c>
      <x:c r="B64" s="237" t="str">
        <x:f aca="0">IF($R$14&lt;&gt;"Yes","",$A$14)</x:f>
        <x:v>Chilli</x:v>
      </x:c>
      <x:c r="C64" s="237" t="n">
        <x:f aca="0">A64-$E$5+1</x:f>
        <x:v>1</x:v>
      </x:c>
      <x:c r="D64" s="237" t="n">
        <x:f aca="0">IF($R$14&lt;&gt;"Yes","",IF($B$14="Introduced",0,IF($H$14="","",$H$14*(1+$I$14)^C64)))</x:f>
        <x:v>20008.916145</x:v>
      </x:c>
      <x:c r="E64" s="238" t="n">
        <x:v>0</x:v>
      </x:c>
      <x:c r="F64" s="237" t="str">
        <x:f aca="0">IF(OR(D64="",E64=""),"",D64-E64)</x:f>
      </x:c>
      <x:c r="G64" s="237" t="str">
        <x:f aca="0">IF($R$14&lt;&gt;"Yes","",IF($Q$14="","",$Q$14*(1+$I$14)^C64))</x:f>
      </x:c>
      <x:c r="H64" s="238" t="n">
        <x:v>0</x:v>
      </x:c>
      <x:c r="I64" s="237" t="n">
        <x:f aca="0">IF(OR(G64="",H64=""),0,H64-G64)</x:f>
        <x:v>0</x:v>
      </x:c>
      <x:c r="J64" s="237" t="str">
        <x:f aca="0">IF(F64="","",F64-I64)</x:f>
      </x:c>
      <x:c r="K64" s="237" t="n">
        <x:f aca="0">IF($R$14&lt;&gt;"Yes","",$J$14)</x:f>
        <x:v>4.66875</x:v>
      </x:c>
      <x:c r="L64" s="237" t="n">
        <x:f aca="0">IF($R$14&lt;&gt;"Yes","",$K$14)</x:f>
        <x:v>0.75</x:v>
      </x:c>
      <x:c r="M64" s="237" t="n">
        <x:f aca="0">IF($R$14&lt;&gt;"Yes","",$L$14)</x:f>
        <x:v>0.4</x:v>
      </x:c>
      <x:c r="N64" s="237" t="str">
        <x:f aca="0">IF(OR(J64="",K64="",K64=0),"",J64*L64*M64/K64)</x:f>
      </x:c>
      <x:c r="O64" s="237" t="str">
        <x:f aca="0">IF($R$14&lt;&gt;"Yes","",$M$14)</x:f>
        <x:v>Govt. of India, Dept. of Agriculture and Farmers Welfare, DES - data.desagri.gov.in (crop-wise APY reports); 5-yr historical average 2015-2019, via ERR_Sheet_GKF_V1_1</x:v>
      </x:c>
      <x:c r="P64" s="80"/>
      <x:c r="Q64" s="80"/>
      <x:c r="R64" s="80"/>
    </x:row>
    <x:row r="65" ht="15" hidden="0" customHeight="1">
      <x:c r="A65" s="237" t="n">
        <x:v>2021</x:v>
      </x:c>
      <x:c r="B65" s="237" t="str">
        <x:f aca="0">IF($R$14&lt;&gt;"Yes","",$A$14)</x:f>
        <x:v>Chilli</x:v>
      </x:c>
      <x:c r="C65" s="237" t="n">
        <x:f aca="0">A65-$E$5+1</x:f>
        <x:v>2</x:v>
      </x:c>
      <x:c r="D65" s="237" t="n">
        <x:f aca="0">IF($R$14&lt;&gt;"Yes","",IF($B$14="Introduced",0,IF($H$14="","",$H$14*(1+$I$14)^C65)))</x:f>
        <x:v>20509.139048625</x:v>
      </x:c>
      <x:c r="E65" s="238" t="n">
        <x:v>0</x:v>
      </x:c>
      <x:c r="F65" s="237" t="str">
        <x:f aca="0">IF(OR(D65="",E65=""),"",D65-E65)</x:f>
      </x:c>
      <x:c r="G65" s="237" t="str">
        <x:f aca="0">IF($R$14&lt;&gt;"Yes","",IF($Q$14="","",$Q$14*(1+$I$14)^C65))</x:f>
      </x:c>
      <x:c r="H65" s="238" t="n">
        <x:v>0</x:v>
      </x:c>
      <x:c r="I65" s="237" t="n">
        <x:f aca="0">IF(OR(G65="",H65=""),0,H65-G65)</x:f>
        <x:v>0</x:v>
      </x:c>
      <x:c r="J65" s="237" t="str">
        <x:f aca="0">IF(F65="","",F65-I65)</x:f>
      </x:c>
      <x:c r="K65" s="237" t="n">
        <x:f aca="0">IF($R$14&lt;&gt;"Yes","",$J$14)</x:f>
        <x:v>4.66875</x:v>
      </x:c>
      <x:c r="L65" s="237" t="n">
        <x:f aca="0">IF($R$14&lt;&gt;"Yes","",$K$14)</x:f>
        <x:v>0.75</x:v>
      </x:c>
      <x:c r="M65" s="237" t="n">
        <x:f aca="0">IF($R$14&lt;&gt;"Yes","",$L$14)</x:f>
        <x:v>0.4</x:v>
      </x:c>
      <x:c r="N65" s="237" t="str">
        <x:f aca="0">IF(OR(J65="",K65="",K65=0),"",J65*L65*M65/K65)</x:f>
      </x:c>
      <x:c r="O65" s="237" t="str">
        <x:f aca="0">IF($R$14&lt;&gt;"Yes","",$M$14)</x:f>
        <x:v>Govt. of India, Dept. of Agriculture and Farmers Welfare, DES - data.desagri.gov.in (crop-wise APY reports); 5-yr historical average 2015-2019, via ERR_Sheet_GKF_V1_1</x:v>
      </x:c>
      <x:c r="P65" s="80"/>
      <x:c r="Q65" s="80"/>
      <x:c r="R65" s="80"/>
    </x:row>
    <x:row r="66" ht="15" hidden="0" customHeight="1">
      <x:c r="A66" s="237" t="n">
        <x:v>2022</x:v>
      </x:c>
      <x:c r="B66" s="237" t="str">
        <x:f aca="0">IF($R$14&lt;&gt;"Yes","",$A$14)</x:f>
        <x:v>Chilli</x:v>
      </x:c>
      <x:c r="C66" s="237" t="n">
        <x:f aca="0">A66-$E$5+1</x:f>
        <x:v>3</x:v>
      </x:c>
      <x:c r="D66" s="237" t="n">
        <x:f aca="0">IF($R$14&lt;&gt;"Yes","",IF($B$14="Introduced",0,IF($H$14="","",$H$14*(1+$I$14)^C66)))</x:f>
        <x:v>21021.867524840625</x:v>
      </x:c>
      <x:c r="E66" s="238" t="n">
        <x:v>0</x:v>
      </x:c>
      <x:c r="F66" s="237" t="str">
        <x:f aca="0">IF(OR(D66="",E66=""),"",D66-E66)</x:f>
      </x:c>
      <x:c r="G66" s="237" t="str">
        <x:f aca="0">IF($R$14&lt;&gt;"Yes","",IF($Q$14="","",$Q$14*(1+$I$14)^C66))</x:f>
      </x:c>
      <x:c r="H66" s="238" t="n">
        <x:v>0</x:v>
      </x:c>
      <x:c r="I66" s="237" t="n">
        <x:f aca="0">IF(OR(G66="",H66=""),0,H66-G66)</x:f>
        <x:v>0</x:v>
      </x:c>
      <x:c r="J66" s="237" t="str">
        <x:f aca="0">IF(F66="","",F66-I66)</x:f>
      </x:c>
      <x:c r="K66" s="237" t="n">
        <x:f aca="0">IF($R$14&lt;&gt;"Yes","",$J$14)</x:f>
        <x:v>4.66875</x:v>
      </x:c>
      <x:c r="L66" s="237" t="n">
        <x:f aca="0">IF($R$14&lt;&gt;"Yes","",$K$14)</x:f>
        <x:v>0.75</x:v>
      </x:c>
      <x:c r="M66" s="237" t="n">
        <x:f aca="0">IF($R$14&lt;&gt;"Yes","",$L$14)</x:f>
        <x:v>0.4</x:v>
      </x:c>
      <x:c r="N66" s="237" t="str">
        <x:f aca="0">IF(OR(J66="",K66="",K66=0),"",J66*L66*M66/K66)</x:f>
      </x:c>
      <x:c r="O66" s="237" t="str">
        <x:f aca="0">IF($R$14&lt;&gt;"Yes","",$M$14)</x:f>
        <x:v>Govt. of India, Dept. of Agriculture and Farmers Welfare, DES - data.desagri.gov.in (crop-wise APY reports); 5-yr historical average 2015-2019, via ERR_Sheet_GKF_V1_1</x:v>
      </x:c>
      <x:c r="P66" s="80"/>
      <x:c r="Q66" s="80"/>
      <x:c r="R66" s="80"/>
    </x:row>
    <x:row r="67" ht="15" hidden="0" customHeight="1">
      <x:c r="A67" s="237" t="n">
        <x:v>2023</x:v>
      </x:c>
      <x:c r="B67" s="237" t="str">
        <x:f aca="0">IF($R$14&lt;&gt;"Yes","",$A$14)</x:f>
        <x:v>Chilli</x:v>
      </x:c>
      <x:c r="C67" s="237" t="n">
        <x:f aca="0">A67-$E$5+1</x:f>
        <x:v>4</x:v>
      </x:c>
      <x:c r="D67" s="237" t="n">
        <x:f aca="0">IF($R$14&lt;&gt;"Yes","",IF($B$14="Introduced",0,IF($H$14="","",$H$14*(1+$I$14)^C67)))</x:f>
        <x:v>21547.414212961638</x:v>
      </x:c>
      <x:c r="E67" s="238" t="n">
        <x:v>0</x:v>
      </x:c>
      <x:c r="F67" s="237" t="str">
        <x:f aca="0">IF(OR(D67="",E67=""),"",D67-E67)</x:f>
      </x:c>
      <x:c r="G67" s="237" t="str">
        <x:f aca="0">IF($R$14&lt;&gt;"Yes","",IF($Q$14="","",$Q$14*(1+$I$14)^C67))</x:f>
      </x:c>
      <x:c r="H67" s="238" t="n">
        <x:v>0</x:v>
      </x:c>
      <x:c r="I67" s="237" t="n">
        <x:f aca="0">IF(OR(G67="",H67=""),0,H67-G67)</x:f>
        <x:v>0</x:v>
      </x:c>
      <x:c r="J67" s="237" t="str">
        <x:f aca="0">IF(F67="","",F67-I67)</x:f>
      </x:c>
      <x:c r="K67" s="237" t="n">
        <x:f aca="0">IF($R$14&lt;&gt;"Yes","",$J$14)</x:f>
        <x:v>4.66875</x:v>
      </x:c>
      <x:c r="L67" s="237" t="n">
        <x:f aca="0">IF($R$14&lt;&gt;"Yes","",$K$14)</x:f>
        <x:v>0.75</x:v>
      </x:c>
      <x:c r="M67" s="237" t="n">
        <x:f aca="0">IF($R$14&lt;&gt;"Yes","",$L$14)</x:f>
        <x:v>0.4</x:v>
      </x:c>
      <x:c r="N67" s="237" t="str">
        <x:f aca="0">IF(OR(J67="",K67="",K67=0),"",J67*L67*M67/K67)</x:f>
      </x:c>
      <x:c r="O67" s="237" t="str">
        <x:f aca="0">IF($R$14&lt;&gt;"Yes","",$M$14)</x:f>
        <x:v>Govt. of India, Dept. of Agriculture and Farmers Welfare, DES - data.desagri.gov.in (crop-wise APY reports); 5-yr historical average 2015-2019, via ERR_Sheet_GKF_V1_1</x:v>
      </x:c>
      <x:c r="P67" s="80"/>
      <x:c r="Q67" s="80"/>
      <x:c r="R67" s="80"/>
    </x:row>
    <x:row r="68" ht="15" hidden="0" customHeight="1">
      <x:c r="A68" s="237" t="n">
        <x:v>2024</x:v>
      </x:c>
      <x:c r="B68" s="237" t="str">
        <x:f aca="0">IF($R$14&lt;&gt;"Yes","",$A$14)</x:f>
        <x:v>Chilli</x:v>
      </x:c>
      <x:c r="C68" s="237" t="n">
        <x:f aca="0">A68-$E$5+1</x:f>
        <x:v>5</x:v>
      </x:c>
      <x:c r="D68" s="237" t="n">
        <x:f aca="0">IF($R$14&lt;&gt;"Yes","",IF($B$14="Introduced",0,IF($H$14="","",$H$14*(1+$I$14)^C68)))</x:f>
        <x:v>22086.099568285677</x:v>
      </x:c>
      <x:c r="E68" s="238" t="n">
        <x:v>0</x:v>
      </x:c>
      <x:c r="F68" s="237" t="str">
        <x:f aca="0">IF(OR(D68="",E68=""),"",D68-E68)</x:f>
      </x:c>
      <x:c r="G68" s="237" t="str">
        <x:f aca="0">IF($R$14&lt;&gt;"Yes","",IF($Q$14="","",$Q$14*(1+$I$14)^C68))</x:f>
      </x:c>
      <x:c r="H68" s="238" t="n">
        <x:v>0</x:v>
      </x:c>
      <x:c r="I68" s="237" t="n">
        <x:f aca="0">IF(OR(G68="",H68=""),0,H68-G68)</x:f>
        <x:v>0</x:v>
      </x:c>
      <x:c r="J68" s="237" t="str">
        <x:f aca="0">IF(F68="","",F68-I68)</x:f>
      </x:c>
      <x:c r="K68" s="237" t="n">
        <x:f aca="0">IF($R$14&lt;&gt;"Yes","",$J$14)</x:f>
        <x:v>4.66875</x:v>
      </x:c>
      <x:c r="L68" s="237" t="n">
        <x:f aca="0">IF($R$14&lt;&gt;"Yes","",$K$14)</x:f>
        <x:v>0.75</x:v>
      </x:c>
      <x:c r="M68" s="237" t="n">
        <x:f aca="0">IF($R$14&lt;&gt;"Yes","",$L$14)</x:f>
        <x:v>0.4</x:v>
      </x:c>
      <x:c r="N68" s="237" t="str">
        <x:f aca="0">IF(OR(J68="",K68="",K68=0),"",J68*L68*M68/K68)</x:f>
      </x:c>
      <x:c r="O68" s="237" t="str">
        <x:f aca="0">IF($R$14&lt;&gt;"Yes","",$M$14)</x:f>
        <x:v>Govt. of India, Dept. of Agriculture and Farmers Welfare, DES - data.desagri.gov.in (crop-wise APY reports); 5-yr historical average 2015-2019, via ERR_Sheet_GKF_V1_1</x:v>
      </x:c>
      <x:c r="P68" s="80"/>
      <x:c r="Q68" s="80"/>
      <x:c r="R68" s="80"/>
    </x:row>
    <x:row r="69" ht="15" hidden="0" customHeight="1">
      <x:c r="A69" s="237" t="n">
        <x:v>2025</x:v>
      </x:c>
      <x:c r="B69" s="237" t="str">
        <x:f aca="0">IF($R$14&lt;&gt;"Yes","",$A$14)</x:f>
        <x:v>Chilli</x:v>
      </x:c>
      <x:c r="C69" s="237" t="n">
        <x:f aca="0">A69-$E$5+1</x:f>
        <x:v>6</x:v>
      </x:c>
      <x:c r="D69" s="237" t="n">
        <x:f aca="0">IF($R$14&lt;&gt;"Yes","",IF($B$14="Introduced",0,IF($H$14="","",$H$14*(1+$I$14)^C69)))</x:f>
        <x:v>22638.252057492817</x:v>
      </x:c>
      <x:c r="E69" s="238" t="n">
        <x:v>0</x:v>
      </x:c>
      <x:c r="F69" s="237" t="str">
        <x:f aca="0">IF(OR(D69="",E69=""),"",D69-E69)</x:f>
      </x:c>
      <x:c r="G69" s="237" t="str">
        <x:f aca="0">IF($R$14&lt;&gt;"Yes","",IF($Q$14="","",$Q$14*(1+$I$14)^C69))</x:f>
      </x:c>
      <x:c r="H69" s="238" t="n">
        <x:v>0</x:v>
      </x:c>
      <x:c r="I69" s="237" t="n">
        <x:f aca="0">IF(OR(G69="",H69=""),0,H69-G69)</x:f>
        <x:v>0</x:v>
      </x:c>
      <x:c r="J69" s="237" t="str">
        <x:f aca="0">IF(F69="","",F69-I69)</x:f>
      </x:c>
      <x:c r="K69" s="237" t="n">
        <x:f aca="0">IF($R$14&lt;&gt;"Yes","",$J$14)</x:f>
        <x:v>4.66875</x:v>
      </x:c>
      <x:c r="L69" s="237" t="n">
        <x:f aca="0">IF($R$14&lt;&gt;"Yes","",$K$14)</x:f>
        <x:v>0.75</x:v>
      </x:c>
      <x:c r="M69" s="237" t="n">
        <x:f aca="0">IF($R$14&lt;&gt;"Yes","",$L$14)</x:f>
        <x:v>0.4</x:v>
      </x:c>
      <x:c r="N69" s="237" t="str">
        <x:f aca="0">IF(OR(J69="",K69="",K69=0),"",J69*L69*M69/K69)</x:f>
      </x:c>
      <x:c r="O69" s="237" t="str">
        <x:f aca="0">IF($R$14&lt;&gt;"Yes","",$M$14)</x:f>
        <x:v>Govt. of India, Dept. of Agriculture and Farmers Welfare, DES - data.desagri.gov.in (crop-wise APY reports); 5-yr historical average 2015-2019, via ERR_Sheet_GKF_V1_1</x:v>
      </x:c>
      <x:c r="P69" s="80"/>
      <x:c r="Q69" s="80"/>
      <x:c r="R69" s="80"/>
    </x:row>
    <x:row r="70" ht="15" hidden="0" customHeight="1">
      <x:c r="A70" s="237" t="n">
        <x:v>2026</x:v>
      </x:c>
      <x:c r="B70" s="237" t="str">
        <x:f aca="0">IF($R$14&lt;&gt;"Yes","",$A$14)</x:f>
        <x:v>Chilli</x:v>
      </x:c>
      <x:c r="C70" s="237" t="n">
        <x:f aca="0">A70-$E$5+1</x:f>
        <x:v>7</x:v>
      </x:c>
      <x:c r="D70" s="237" t="n">
        <x:f aca="0">IF($R$14&lt;&gt;"Yes","",IF($B$14="Introduced",0,IF($H$14="","",$H$14*(1+$I$14)^C70)))</x:f>
        <x:v>23204.20835893014</x:v>
      </x:c>
      <x:c r="E70" s="238" t="n">
        <x:v>0</x:v>
      </x:c>
      <x:c r="F70" s="237" t="str">
        <x:f aca="0">IF(OR(D70="",E70=""),"",D70-E70)</x:f>
      </x:c>
      <x:c r="G70" s="237" t="str">
        <x:f aca="0">IF($R$14&lt;&gt;"Yes","",IF($Q$14="","",$Q$14*(1+$I$14)^C70))</x:f>
      </x:c>
      <x:c r="H70" s="238" t="n">
        <x:v>0</x:v>
      </x:c>
      <x:c r="I70" s="237" t="n">
        <x:f aca="0">IF(OR(G70="",H70=""),0,H70-G70)</x:f>
        <x:v>0</x:v>
      </x:c>
      <x:c r="J70" s="237" t="str">
        <x:f aca="0">IF(F70="","",F70-I70)</x:f>
      </x:c>
      <x:c r="K70" s="237" t="n">
        <x:f aca="0">IF($R$14&lt;&gt;"Yes","",$J$14)</x:f>
        <x:v>4.66875</x:v>
      </x:c>
      <x:c r="L70" s="237" t="n">
        <x:f aca="0">IF($R$14&lt;&gt;"Yes","",$K$14)</x:f>
        <x:v>0.75</x:v>
      </x:c>
      <x:c r="M70" s="237" t="n">
        <x:f aca="0">IF($R$14&lt;&gt;"Yes","",$L$14)</x:f>
        <x:v>0.4</x:v>
      </x:c>
      <x:c r="N70" s="237" t="str">
        <x:f aca="0">IF(OR(J70="",K70="",K70=0),"",J70*L70*M70/K70)</x:f>
      </x:c>
      <x:c r="O70" s="237" t="str">
        <x:f aca="0">IF($R$14&lt;&gt;"Yes","",$M$14)</x:f>
        <x:v>Govt. of India, Dept. of Agriculture and Farmers Welfare, DES - data.desagri.gov.in (crop-wise APY reports); 5-yr historical average 2015-2019, via ERR_Sheet_GKF_V1_1</x:v>
      </x:c>
      <x:c r="P70" s="80"/>
      <x:c r="Q70" s="80"/>
      <x:c r="R70" s="80"/>
    </x:row>
    <x:row r="71" ht="15" hidden="0" customHeight="1">
      <x:c r="A71" s="237" t="n">
        <x:v>2027</x:v>
      </x:c>
      <x:c r="B71" s="237" t="str">
        <x:f aca="0">IF($R$14&lt;&gt;"Yes","",$A$14)</x:f>
        <x:v>Chilli</x:v>
      </x:c>
      <x:c r="C71" s="237" t="n">
        <x:f aca="0">A71-$E$5+1</x:f>
        <x:v>8</x:v>
      </x:c>
      <x:c r="D71" s="237" t="n">
        <x:f aca="0">IF($R$14&lt;&gt;"Yes","",IF($B$14="Introduced",0,IF($H$14="","",$H$14*(1+$I$14)^C71)))</x:f>
        <x:v>23784.31356790339</x:v>
      </x:c>
      <x:c r="E71" s="238" t="n">
        <x:v>0</x:v>
      </x:c>
      <x:c r="F71" s="237" t="str">
        <x:f aca="0">IF(OR(D71="",E71=""),"",D71-E71)</x:f>
      </x:c>
      <x:c r="G71" s="237" t="str">
        <x:f aca="0">IF($R$14&lt;&gt;"Yes","",IF($Q$14="","",$Q$14*(1+$I$14)^C71))</x:f>
      </x:c>
      <x:c r="H71" s="238" t="n">
        <x:v>0</x:v>
      </x:c>
      <x:c r="I71" s="237" t="n">
        <x:f aca="0">IF(OR(G71="",H71=""),0,H71-G71)</x:f>
        <x:v>0</x:v>
      </x:c>
      <x:c r="J71" s="237" t="str">
        <x:f aca="0">IF(F71="","",F71-I71)</x:f>
      </x:c>
      <x:c r="K71" s="237" t="n">
        <x:f aca="0">IF($R$14&lt;&gt;"Yes","",$J$14)</x:f>
        <x:v>4.66875</x:v>
      </x:c>
      <x:c r="L71" s="237" t="n">
        <x:f aca="0">IF($R$14&lt;&gt;"Yes","",$K$14)</x:f>
        <x:v>0.75</x:v>
      </x:c>
      <x:c r="M71" s="237" t="n">
        <x:f aca="0">IF($R$14&lt;&gt;"Yes","",$L$14)</x:f>
        <x:v>0.4</x:v>
      </x:c>
      <x:c r="N71" s="237" t="str">
        <x:f aca="0">IF(OR(J71="",K71="",K71=0),"",J71*L71*M71/K71)</x:f>
      </x:c>
      <x:c r="O71" s="237" t="str">
        <x:f aca="0">IF($R$14&lt;&gt;"Yes","",$M$14)</x:f>
        <x:v>Govt. of India, Dept. of Agriculture and Farmers Welfare, DES - data.desagri.gov.in (crop-wise APY reports); 5-yr historical average 2015-2019, via ERR_Sheet_GKF_V1_1</x:v>
      </x:c>
      <x:c r="P71" s="80"/>
      <x:c r="Q71" s="80"/>
      <x:c r="R71" s="80"/>
    </x:row>
    <x:row r="72" ht="15" hidden="0" customHeight="1">
      <x:c r="A72" s="237" t="n">
        <x:v>2028</x:v>
      </x:c>
      <x:c r="B72" s="237" t="str">
        <x:f aca="0">IF($R$14&lt;&gt;"Yes","",$A$14)</x:f>
        <x:v>Chilli</x:v>
      </x:c>
      <x:c r="C72" s="237" t="n">
        <x:f aca="0">A72-$E$5+1</x:f>
        <x:v>9</x:v>
      </x:c>
      <x:c r="D72" s="237" t="n">
        <x:f aca="0">IF($R$14&lt;&gt;"Yes","",IF($B$14="Introduced",0,IF($H$14="","",$H$14*(1+$I$14)^C72)))</x:f>
        <x:v>24378.92140710097</x:v>
      </x:c>
      <x:c r="E72" s="238" t="n">
        <x:v>0</x:v>
      </x:c>
      <x:c r="F72" s="237" t="str">
        <x:f aca="0">IF(OR(D72="",E72=""),"",D72-E72)</x:f>
      </x:c>
      <x:c r="G72" s="237" t="str">
        <x:f aca="0">IF($R$14&lt;&gt;"Yes","",IF($Q$14="","",$Q$14*(1+$I$14)^C72))</x:f>
      </x:c>
      <x:c r="H72" s="238" t="n">
        <x:v>0</x:v>
      </x:c>
      <x:c r="I72" s="237" t="n">
        <x:f aca="0">IF(OR(G72="",H72=""),0,H72-G72)</x:f>
        <x:v>0</x:v>
      </x:c>
      <x:c r="J72" s="237" t="str">
        <x:f aca="0">IF(F72="","",F72-I72)</x:f>
      </x:c>
      <x:c r="K72" s="237" t="n">
        <x:f aca="0">IF($R$14&lt;&gt;"Yes","",$J$14)</x:f>
        <x:v>4.66875</x:v>
      </x:c>
      <x:c r="L72" s="237" t="n">
        <x:f aca="0">IF($R$14&lt;&gt;"Yes","",$K$14)</x:f>
        <x:v>0.75</x:v>
      </x:c>
      <x:c r="M72" s="237" t="n">
        <x:f aca="0">IF($R$14&lt;&gt;"Yes","",$L$14)</x:f>
        <x:v>0.4</x:v>
      </x:c>
      <x:c r="N72" s="237" t="str">
        <x:f aca="0">IF(OR(J72="",K72="",K72=0),"",J72*L72*M72/K72)</x:f>
      </x:c>
      <x:c r="O72" s="237" t="str">
        <x:f aca="0">IF($R$14&lt;&gt;"Yes","",$M$14)</x:f>
        <x:v>Govt. of India, Dept. of Agriculture and Farmers Welfare, DES - data.desagri.gov.in (crop-wise APY reports); 5-yr historical average 2015-2019, via ERR_Sheet_GKF_V1_1</x:v>
      </x:c>
      <x:c r="P72" s="80"/>
      <x:c r="Q72" s="80"/>
      <x:c r="R72" s="80"/>
    </x:row>
    <x:row r="73" ht="15" hidden="0" customHeight="1">
      <x:c r="A73" s="237" t="n">
        <x:v>2029</x:v>
      </x:c>
      <x:c r="B73" s="237" t="str">
        <x:f aca="0">IF($R$14&lt;&gt;"Yes","",$A$14)</x:f>
        <x:v>Chilli</x:v>
      </x:c>
      <x:c r="C73" s="237" t="n">
        <x:f aca="0">A73-$E$5+1</x:f>
        <x:v>10</x:v>
      </x:c>
      <x:c r="D73" s="237" t="n">
        <x:f aca="0">IF($R$14&lt;&gt;"Yes","",IF($B$14="Introduced",0,IF($H$14="","",$H$14*(1+$I$14)^C73)))</x:f>
        <x:v>24988.394442278495</x:v>
      </x:c>
      <x:c r="E73" s="238" t="n">
        <x:v>0</x:v>
      </x:c>
      <x:c r="F73" s="237" t="str">
        <x:f aca="0">IF(OR(D73="",E73=""),"",D73-E73)</x:f>
      </x:c>
      <x:c r="G73" s="237" t="str">
        <x:f aca="0">IF($R$14&lt;&gt;"Yes","",IF($Q$14="","",$Q$14*(1+$I$14)^C73))</x:f>
      </x:c>
      <x:c r="H73" s="238" t="n">
        <x:v>0</x:v>
      </x:c>
      <x:c r="I73" s="237" t="n">
        <x:f aca="0">IF(OR(G73="",H73=""),0,H73-G73)</x:f>
        <x:v>0</x:v>
      </x:c>
      <x:c r="J73" s="237" t="str">
        <x:f aca="0">IF(F73="","",F73-I73)</x:f>
      </x:c>
      <x:c r="K73" s="237" t="n">
        <x:f aca="0">IF($R$14&lt;&gt;"Yes","",$J$14)</x:f>
        <x:v>4.66875</x:v>
      </x:c>
      <x:c r="L73" s="237" t="n">
        <x:f aca="0">IF($R$14&lt;&gt;"Yes","",$K$14)</x:f>
        <x:v>0.75</x:v>
      </x:c>
      <x:c r="M73" s="237" t="n">
        <x:f aca="0">IF($R$14&lt;&gt;"Yes","",$L$14)</x:f>
        <x:v>0.4</x:v>
      </x:c>
      <x:c r="N73" s="237" t="str">
        <x:f aca="0">IF(OR(J73="",K73="",K73=0),"",J73*L73*M73/K73)</x:f>
      </x:c>
      <x:c r="O73" s="237" t="str">
        <x:f aca="0">IF($R$14&lt;&gt;"Yes","",$M$14)</x:f>
        <x:v>Govt. of India, Dept. of Agriculture and Farmers Welfare, DES - data.desagri.gov.in (crop-wise APY reports); 5-yr historical average 2015-2019, via ERR_Sheet_GKF_V1_1</x:v>
      </x:c>
      <x:c r="P73" s="80"/>
      <x:c r="Q73" s="80"/>
      <x:c r="R73" s="80"/>
    </x:row>
    <x:row r="74" ht="15" hidden="0" customHeight="1">
      <x:c r="A74" s="237" t="n">
        <x:v>2030</x:v>
      </x:c>
      <x:c r="B74" s="237" t="str">
        <x:f aca="0">IF($R$14&lt;&gt;"Yes","",$A$14)</x:f>
        <x:v>Chilli</x:v>
      </x:c>
      <x:c r="C74" s="237" t="n">
        <x:f aca="0">A74-$E$5+1</x:f>
        <x:v>11</x:v>
      </x:c>
      <x:c r="D74" s="237" t="n">
        <x:f aca="0">IF($R$14&lt;&gt;"Yes","",IF($B$14="Introduced",0,IF($H$14="","",$H$14*(1+$I$14)^C74)))</x:f>
        <x:v>25613.104303335458</x:v>
      </x:c>
      <x:c r="E74" s="238" t="n">
        <x:v>0</x:v>
      </x:c>
      <x:c r="F74" s="237" t="str">
        <x:f aca="0">IF(OR(D74="",E74=""),"",D74-E74)</x:f>
      </x:c>
      <x:c r="G74" s="237" t="str">
        <x:f aca="0">IF($R$14&lt;&gt;"Yes","",IF($Q$14="","",$Q$14*(1+$I$14)^C74))</x:f>
      </x:c>
      <x:c r="H74" s="238" t="n">
        <x:v>0</x:v>
      </x:c>
      <x:c r="I74" s="237" t="n">
        <x:f aca="0">IF(OR(G74="",H74=""),0,H74-G74)</x:f>
        <x:v>0</x:v>
      </x:c>
      <x:c r="J74" s="237" t="str">
        <x:f aca="0">IF(F74="","",F74-I74)</x:f>
      </x:c>
      <x:c r="K74" s="237" t="n">
        <x:f aca="0">IF($R$14&lt;&gt;"Yes","",$J$14)</x:f>
        <x:v>4.66875</x:v>
      </x:c>
      <x:c r="L74" s="237" t="n">
        <x:f aca="0">IF($R$14&lt;&gt;"Yes","",$K$14)</x:f>
        <x:v>0.75</x:v>
      </x:c>
      <x:c r="M74" s="237" t="n">
        <x:f aca="0">IF($R$14&lt;&gt;"Yes","",$L$14)</x:f>
        <x:v>0.4</x:v>
      </x:c>
      <x:c r="N74" s="237" t="str">
        <x:f aca="0">IF(OR(J74="",K74="",K74=0),"",J74*L74*M74/K74)</x:f>
      </x:c>
      <x:c r="O74" s="237" t="str">
        <x:f aca="0">IF($R$14&lt;&gt;"Yes","",$M$14)</x:f>
        <x:v>Govt. of India, Dept. of Agriculture and Farmers Welfare, DES - data.desagri.gov.in (crop-wise APY reports); 5-yr historical average 2015-2019, via ERR_Sheet_GKF_V1_1</x:v>
      </x:c>
      <x:c r="P74" s="80"/>
      <x:c r="Q74" s="80"/>
      <x:c r="R74" s="80"/>
    </x:row>
    <x:row r="75" ht="15" hidden="0" customHeight="1">
      <x:c r="A75" s="237" t="n">
        <x:v>2031</x:v>
      </x:c>
      <x:c r="B75" s="237" t="str">
        <x:f aca="0">IF($R$14&lt;&gt;"Yes","",$A$14)</x:f>
        <x:v>Chilli</x:v>
      </x:c>
      <x:c r="C75" s="237" t="n">
        <x:f aca="0">A75-$E$5+1</x:f>
        <x:v>12</x:v>
      </x:c>
      <x:c r="D75" s="237" t="n">
        <x:f aca="0">IF($R$14&lt;&gt;"Yes","",IF($B$14="Introduced",0,IF($H$14="","",$H$14*(1+$I$14)^C75)))</x:f>
        <x:v>26253.43191091884</x:v>
      </x:c>
      <x:c r="E75" s="238" t="n">
        <x:v>0</x:v>
      </x:c>
      <x:c r="F75" s="237" t="str">
        <x:f aca="0">IF(OR(D75="",E75=""),"",D75-E75)</x:f>
      </x:c>
      <x:c r="G75" s="237" t="str">
        <x:f aca="0">IF($R$14&lt;&gt;"Yes","",IF($Q$14="","",$Q$14*(1+$I$14)^C75))</x:f>
      </x:c>
      <x:c r="H75" s="238" t="n">
        <x:v>0</x:v>
      </x:c>
      <x:c r="I75" s="237" t="n">
        <x:f aca="0">IF(OR(G75="",H75=""),0,H75-G75)</x:f>
        <x:v>0</x:v>
      </x:c>
      <x:c r="J75" s="237" t="str">
        <x:f aca="0">IF(F75="","",F75-I75)</x:f>
      </x:c>
      <x:c r="K75" s="237" t="n">
        <x:f aca="0">IF($R$14&lt;&gt;"Yes","",$J$14)</x:f>
        <x:v>4.66875</x:v>
      </x:c>
      <x:c r="L75" s="237" t="n">
        <x:f aca="0">IF($R$14&lt;&gt;"Yes","",$K$14)</x:f>
        <x:v>0.75</x:v>
      </x:c>
      <x:c r="M75" s="237" t="n">
        <x:f aca="0">IF($R$14&lt;&gt;"Yes","",$L$14)</x:f>
        <x:v>0.4</x:v>
      </x:c>
      <x:c r="N75" s="237" t="str">
        <x:f aca="0">IF(OR(J75="",K75="",K75=0),"",J75*L75*M75/K75)</x:f>
      </x:c>
      <x:c r="O75" s="237" t="str">
        <x:f aca="0">IF($R$14&lt;&gt;"Yes","",$M$14)</x:f>
        <x:v>Govt. of India, Dept. of Agriculture and Farmers Welfare, DES - data.desagri.gov.in (crop-wise APY reports); 5-yr historical average 2015-2019, via ERR_Sheet_GKF_V1_1</x:v>
      </x:c>
      <x:c r="P75" s="80"/>
      <x:c r="Q75" s="80"/>
      <x:c r="R75" s="80"/>
    </x:row>
    <x:row r="76" ht="15" hidden="0" customHeight="1">
      <x:c r="A76" s="237" t="n">
        <x:v>2032</x:v>
      </x:c>
      <x:c r="B76" s="237" t="str">
        <x:f aca="0">IF($R$14&lt;&gt;"Yes","",$A$14)</x:f>
        <x:v>Chilli</x:v>
      </x:c>
      <x:c r="C76" s="237" t="n">
        <x:f aca="0">A76-$E$5+1</x:f>
        <x:v>13</x:v>
      </x:c>
      <x:c r="D76" s="237" t="n">
        <x:f aca="0">IF($R$14&lt;&gt;"Yes","",IF($B$14="Introduced",0,IF($H$14="","",$H$14*(1+$I$14)^C76)))</x:f>
        <x:v>26909.767708691812</x:v>
      </x:c>
      <x:c r="E76" s="238" t="n">
        <x:v>0</x:v>
      </x:c>
      <x:c r="F76" s="237" t="str">
        <x:f aca="0">IF(OR(D76="",E76=""),"",D76-E76)</x:f>
      </x:c>
      <x:c r="G76" s="237" t="str">
        <x:f aca="0">IF($R$14&lt;&gt;"Yes","",IF($Q$14="","",$Q$14*(1+$I$14)^C76))</x:f>
      </x:c>
      <x:c r="H76" s="238" t="n">
        <x:v>0</x:v>
      </x:c>
      <x:c r="I76" s="237" t="n">
        <x:f aca="0">IF(OR(G76="",H76=""),0,H76-G76)</x:f>
        <x:v>0</x:v>
      </x:c>
      <x:c r="J76" s="237" t="str">
        <x:f aca="0">IF(F76="","",F76-I76)</x:f>
      </x:c>
      <x:c r="K76" s="237" t="n">
        <x:f aca="0">IF($R$14&lt;&gt;"Yes","",$J$14)</x:f>
        <x:v>4.66875</x:v>
      </x:c>
      <x:c r="L76" s="237" t="n">
        <x:f aca="0">IF($R$14&lt;&gt;"Yes","",$K$14)</x:f>
        <x:v>0.75</x:v>
      </x:c>
      <x:c r="M76" s="237" t="n">
        <x:f aca="0">IF($R$14&lt;&gt;"Yes","",$L$14)</x:f>
        <x:v>0.4</x:v>
      </x:c>
      <x:c r="N76" s="237" t="str">
        <x:f aca="0">IF(OR(J76="",K76="",K76=0),"",J76*L76*M76/K76)</x:f>
      </x:c>
      <x:c r="O76" s="237" t="str">
        <x:f aca="0">IF($R$14&lt;&gt;"Yes","",$M$14)</x:f>
        <x:v>Govt. of India, Dept. of Agriculture and Farmers Welfare, DES - data.desagri.gov.in (crop-wise APY reports); 5-yr historical average 2015-2019, via ERR_Sheet_GKF_V1_1</x:v>
      </x:c>
      <x:c r="P76" s="80"/>
      <x:c r="Q76" s="80"/>
      <x:c r="R76" s="80"/>
    </x:row>
    <x:row r="77" ht="15" hidden="0" customHeight="1">
      <x:c r="A77" s="237" t="n">
        <x:v>2033</x:v>
      </x:c>
      <x:c r="B77" s="237" t="str">
        <x:f aca="0">IF($R$14&lt;&gt;"Yes","",$A$14)</x:f>
        <x:v>Chilli</x:v>
      </x:c>
      <x:c r="C77" s="237" t="n">
        <x:f aca="0">A77-$E$5+1</x:f>
        <x:v>14</x:v>
      </x:c>
      <x:c r="D77" s="237" t="n">
        <x:f aca="0">IF($R$14&lt;&gt;"Yes","",IF($B$14="Introduced",0,IF($H$14="","",$H$14*(1+$I$14)^C77)))</x:f>
        <x:v>27582.511901409103</x:v>
      </x:c>
      <x:c r="E77" s="238" t="n">
        <x:v>0</x:v>
      </x:c>
      <x:c r="F77" s="237" t="str">
        <x:f aca="0">IF(OR(D77="",E77=""),"",D77-E77)</x:f>
      </x:c>
      <x:c r="G77" s="237" t="str">
        <x:f aca="0">IF($R$14&lt;&gt;"Yes","",IF($Q$14="","",$Q$14*(1+$I$14)^C77))</x:f>
      </x:c>
      <x:c r="H77" s="238" t="n">
        <x:v>0</x:v>
      </x:c>
      <x:c r="I77" s="237" t="n">
        <x:f aca="0">IF(OR(G77="",H77=""),0,H77-G77)</x:f>
        <x:v>0</x:v>
      </x:c>
      <x:c r="J77" s="237" t="str">
        <x:f aca="0">IF(F77="","",F77-I77)</x:f>
      </x:c>
      <x:c r="K77" s="237" t="n">
        <x:f aca="0">IF($R$14&lt;&gt;"Yes","",$J$14)</x:f>
        <x:v>4.66875</x:v>
      </x:c>
      <x:c r="L77" s="237" t="n">
        <x:f aca="0">IF($R$14&lt;&gt;"Yes","",$K$14)</x:f>
        <x:v>0.75</x:v>
      </x:c>
      <x:c r="M77" s="237" t="n">
        <x:f aca="0">IF($R$14&lt;&gt;"Yes","",$L$14)</x:f>
        <x:v>0.4</x:v>
      </x:c>
      <x:c r="N77" s="237" t="str">
        <x:f aca="0">IF(OR(J77="",K77="",K77=0),"",J77*L77*M77/K77)</x:f>
      </x:c>
      <x:c r="O77" s="237" t="str">
        <x:f aca="0">IF($R$14&lt;&gt;"Yes","",$M$14)</x:f>
        <x:v>Govt. of India, Dept. of Agriculture and Farmers Welfare, DES - data.desagri.gov.in (crop-wise APY reports); 5-yr historical average 2015-2019, via ERR_Sheet_GKF_V1_1</x:v>
      </x:c>
      <x:c r="P77" s="80"/>
      <x:c r="Q77" s="80"/>
      <x:c r="R77" s="80"/>
    </x:row>
    <x:row r="78" ht="15" hidden="0" customHeight="1">
      <x:c r="A78" s="237" t="n">
        <x:v>2034</x:v>
      </x:c>
      <x:c r="B78" s="237" t="str">
        <x:f aca="0">IF($R$14&lt;&gt;"Yes","",$A$14)</x:f>
        <x:v>Chilli</x:v>
      </x:c>
      <x:c r="C78" s="237" t="n">
        <x:f aca="0">A78-$E$5+1</x:f>
        <x:v>15</x:v>
      </x:c>
      <x:c r="D78" s="237" t="n">
        <x:f aca="0">IF($R$14&lt;&gt;"Yes","",IF($B$14="Introduced",0,IF($H$14="","",$H$14*(1+$I$14)^C78)))</x:f>
        <x:v>28272.074698944336</x:v>
      </x:c>
      <x:c r="E78" s="238" t="n">
        <x:v>0</x:v>
      </x:c>
      <x:c r="F78" s="237" t="str">
        <x:f aca="0">IF(OR(D78="",E78=""),"",D78-E78)</x:f>
      </x:c>
      <x:c r="G78" s="237" t="str">
        <x:f aca="0">IF($R$14&lt;&gt;"Yes","",IF($Q$14="","",$Q$14*(1+$I$14)^C78))</x:f>
      </x:c>
      <x:c r="H78" s="238" t="n">
        <x:v>0</x:v>
      </x:c>
      <x:c r="I78" s="237" t="n">
        <x:f aca="0">IF(OR(G78="",H78=""),0,H78-G78)</x:f>
        <x:v>0</x:v>
      </x:c>
      <x:c r="J78" s="237" t="str">
        <x:f aca="0">IF(F78="","",F78-I78)</x:f>
      </x:c>
      <x:c r="K78" s="237" t="n">
        <x:f aca="0">IF($R$14&lt;&gt;"Yes","",$J$14)</x:f>
        <x:v>4.66875</x:v>
      </x:c>
      <x:c r="L78" s="237" t="n">
        <x:f aca="0">IF($R$14&lt;&gt;"Yes","",$K$14)</x:f>
        <x:v>0.75</x:v>
      </x:c>
      <x:c r="M78" s="237" t="n">
        <x:f aca="0">IF($R$14&lt;&gt;"Yes","",$L$14)</x:f>
        <x:v>0.4</x:v>
      </x:c>
      <x:c r="N78" s="237" t="str">
        <x:f aca="0">IF(OR(J78="",K78="",K78=0),"",J78*L78*M78/K78)</x:f>
      </x:c>
      <x:c r="O78" s="237" t="str">
        <x:f aca="0">IF($R$14&lt;&gt;"Yes","",$M$14)</x:f>
        <x:v>Govt. of India, Dept. of Agriculture and Farmers Welfare, DES - data.desagri.gov.in (crop-wise APY reports); 5-yr historical average 2015-2019, via ERR_Sheet_GKF_V1_1</x:v>
      </x:c>
      <x:c r="P78" s="80"/>
      <x:c r="Q78" s="80"/>
      <x:c r="R78" s="80"/>
    </x:row>
    <x:row r="79" ht="15" hidden="0" customHeight="1">
      <x:c r="A79" s="237" t="n">
        <x:v>2035</x:v>
      </x:c>
      <x:c r="B79" s="237" t="str">
        <x:f aca="0">IF($R$14&lt;&gt;"Yes","",$A$14)</x:f>
        <x:v>Chilli</x:v>
      </x:c>
      <x:c r="C79" s="237" t="n">
        <x:f aca="0">A79-$E$5+1</x:f>
        <x:v>16</x:v>
      </x:c>
      <x:c r="D79" s="237" t="n">
        <x:f aca="0">IF($R$14&lt;&gt;"Yes","",IF($B$14="Introduced",0,IF($H$14="","",$H$14*(1+$I$14)^C79)))</x:f>
        <x:v>28978.87656641794</x:v>
      </x:c>
      <x:c r="E79" s="238" t="n">
        <x:v>0</x:v>
      </x:c>
      <x:c r="F79" s="237" t="str">
        <x:f aca="0">IF(OR(D79="",E79=""),"",D79-E79)</x:f>
      </x:c>
      <x:c r="G79" s="237" t="str">
        <x:f aca="0">IF($R$14&lt;&gt;"Yes","",IF($Q$14="","",$Q$14*(1+$I$14)^C79))</x:f>
      </x:c>
      <x:c r="H79" s="238" t="n">
        <x:v>0</x:v>
      </x:c>
      <x:c r="I79" s="237" t="n">
        <x:f aca="0">IF(OR(G79="",H79=""),0,H79-G79)</x:f>
        <x:v>0</x:v>
      </x:c>
      <x:c r="J79" s="237" t="str">
        <x:f aca="0">IF(F79="","",F79-I79)</x:f>
      </x:c>
      <x:c r="K79" s="237" t="n">
        <x:f aca="0">IF($R$14&lt;&gt;"Yes","",$J$14)</x:f>
        <x:v>4.66875</x:v>
      </x:c>
      <x:c r="L79" s="237" t="n">
        <x:f aca="0">IF($R$14&lt;&gt;"Yes","",$K$14)</x:f>
        <x:v>0.75</x:v>
      </x:c>
      <x:c r="M79" s="237" t="n">
        <x:f aca="0">IF($R$14&lt;&gt;"Yes","",$L$14)</x:f>
        <x:v>0.4</x:v>
      </x:c>
      <x:c r="N79" s="237" t="str">
        <x:f aca="0">IF(OR(J79="",K79="",K79=0),"",J79*L79*M79/K79)</x:f>
      </x:c>
      <x:c r="O79" s="237" t="str">
        <x:f aca="0">IF($R$14&lt;&gt;"Yes","",$M$14)</x:f>
        <x:v>Govt. of India, Dept. of Agriculture and Farmers Welfare, DES - data.desagri.gov.in (crop-wise APY reports); 5-yr historical average 2015-2019, via ERR_Sheet_GKF_V1_1</x:v>
      </x:c>
      <x:c r="P79" s="80"/>
      <x:c r="Q79" s="80"/>
      <x:c r="R79" s="80"/>
    </x:row>
    <x:row r="80" ht="15" hidden="0" customHeight="1">
      <x:c r="A80" s="237" t="n">
        <x:v>2036</x:v>
      </x:c>
      <x:c r="B80" s="237" t="str">
        <x:f aca="0">IF($R$14&lt;&gt;"Yes","",$A$14)</x:f>
        <x:v>Chilli</x:v>
      </x:c>
      <x:c r="C80" s="237" t="n">
        <x:f aca="0">A80-$E$5+1</x:f>
        <x:v>17</x:v>
      </x:c>
      <x:c r="D80" s="237" t="n">
        <x:f aca="0">IF($R$14&lt;&gt;"Yes","",IF($B$14="Introduced",0,IF($H$14="","",$H$14*(1+$I$14)^C80)))</x:f>
        <x:v>29703.348480578385</x:v>
      </x:c>
      <x:c r="E80" s="238" t="n">
        <x:v>0</x:v>
      </x:c>
      <x:c r="F80" s="237" t="str">
        <x:f aca="0">IF(OR(D80="",E80=""),"",D80-E80)</x:f>
      </x:c>
      <x:c r="G80" s="237" t="str">
        <x:f aca="0">IF($R$14&lt;&gt;"Yes","",IF($Q$14="","",$Q$14*(1+$I$14)^C80))</x:f>
      </x:c>
      <x:c r="H80" s="238" t="n">
        <x:v>0</x:v>
      </x:c>
      <x:c r="I80" s="237" t="n">
        <x:f aca="0">IF(OR(G80="",H80=""),0,H80-G80)</x:f>
        <x:v>0</x:v>
      </x:c>
      <x:c r="J80" s="237" t="str">
        <x:f aca="0">IF(F80="","",F80-I80)</x:f>
      </x:c>
      <x:c r="K80" s="237" t="n">
        <x:f aca="0">IF($R$14&lt;&gt;"Yes","",$J$14)</x:f>
        <x:v>4.66875</x:v>
      </x:c>
      <x:c r="L80" s="237" t="n">
        <x:f aca="0">IF($R$14&lt;&gt;"Yes","",$K$14)</x:f>
        <x:v>0.75</x:v>
      </x:c>
      <x:c r="M80" s="237" t="n">
        <x:f aca="0">IF($R$14&lt;&gt;"Yes","",$L$14)</x:f>
        <x:v>0.4</x:v>
      </x:c>
      <x:c r="N80" s="237" t="str">
        <x:f aca="0">IF(OR(J80="",K80="",K80=0),"",J80*L80*M80/K80)</x:f>
      </x:c>
      <x:c r="O80" s="237" t="str">
        <x:f aca="0">IF($R$14&lt;&gt;"Yes","",$M$14)</x:f>
        <x:v>Govt. of India, Dept. of Agriculture and Farmers Welfare, DES - data.desagri.gov.in (crop-wise APY reports); 5-yr historical average 2015-2019, via ERR_Sheet_GKF_V1_1</x:v>
      </x:c>
      <x:c r="P80" s="80"/>
      <x:c r="Q80" s="80"/>
      <x:c r="R80" s="80"/>
    </x:row>
    <x:row r="81" ht="15" hidden="0" customHeight="1">
      <x:c r="A81" s="237" t="n">
        <x:v>2037</x:v>
      </x:c>
      <x:c r="B81" s="237" t="str">
        <x:f aca="0">IF($R$14&lt;&gt;"Yes","",$A$14)</x:f>
        <x:v>Chilli</x:v>
      </x:c>
      <x:c r="C81" s="237" t="n">
        <x:f aca="0">A81-$E$5+1</x:f>
        <x:v>18</x:v>
      </x:c>
      <x:c r="D81" s="237" t="n">
        <x:f aca="0">IF($R$14&lt;&gt;"Yes","",IF($B$14="Introduced",0,IF($H$14="","",$H$14*(1+$I$14)^C81)))</x:f>
        <x:v>30445.932192592845</x:v>
      </x:c>
      <x:c r="E81" s="238" t="n">
        <x:v>0</x:v>
      </x:c>
      <x:c r="F81" s="237" t="str">
        <x:f aca="0">IF(OR(D81="",E81=""),"",D81-E81)</x:f>
      </x:c>
      <x:c r="G81" s="237" t="str">
        <x:f aca="0">IF($R$14&lt;&gt;"Yes","",IF($Q$14="","",$Q$14*(1+$I$14)^C81))</x:f>
      </x:c>
      <x:c r="H81" s="238" t="n">
        <x:v>0</x:v>
      </x:c>
      <x:c r="I81" s="237" t="n">
        <x:f aca="0">IF(OR(G81="",H81=""),0,H81-G81)</x:f>
        <x:v>0</x:v>
      </x:c>
      <x:c r="J81" s="237" t="str">
        <x:f aca="0">IF(F81="","",F81-I81)</x:f>
      </x:c>
      <x:c r="K81" s="237" t="n">
        <x:f aca="0">IF($R$14&lt;&gt;"Yes","",$J$14)</x:f>
        <x:v>4.66875</x:v>
      </x:c>
      <x:c r="L81" s="237" t="n">
        <x:f aca="0">IF($R$14&lt;&gt;"Yes","",$K$14)</x:f>
        <x:v>0.75</x:v>
      </x:c>
      <x:c r="M81" s="237" t="n">
        <x:f aca="0">IF($R$14&lt;&gt;"Yes","",$L$14)</x:f>
        <x:v>0.4</x:v>
      </x:c>
      <x:c r="N81" s="237" t="str">
        <x:f aca="0">IF(OR(J81="",K81="",K81=0),"",J81*L81*M81/K81)</x:f>
      </x:c>
      <x:c r="O81" s="237" t="str">
        <x:f aca="0">IF($R$14&lt;&gt;"Yes","",$M$14)</x:f>
        <x:v>Govt. of India, Dept. of Agriculture and Farmers Welfare, DES - data.desagri.gov.in (crop-wise APY reports); 5-yr historical average 2015-2019, via ERR_Sheet_GKF_V1_1</x:v>
      </x:c>
      <x:c r="P81" s="80"/>
      <x:c r="Q81" s="80"/>
      <x:c r="R81" s="80"/>
    </x:row>
    <x:row r="82" ht="15" hidden="0" customHeight="1">
      <x:c r="A82" s="237" t="n">
        <x:v>2038</x:v>
      </x:c>
      <x:c r="B82" s="237" t="str">
        <x:f aca="0">IF($R$14&lt;&gt;"Yes","",$A$14)</x:f>
        <x:v>Chilli</x:v>
      </x:c>
      <x:c r="C82" s="237" t="n">
        <x:f aca="0">A82-$E$5+1</x:f>
        <x:v>19</x:v>
      </x:c>
      <x:c r="D82" s="237" t="n">
        <x:f aca="0">IF($R$14&lt;&gt;"Yes","",IF($B$14="Introduced",0,IF($H$14="","",$H$14*(1+$I$14)^C82)))</x:f>
        <x:v>31207.080497407667</x:v>
      </x:c>
      <x:c r="E82" s="238" t="n">
        <x:v>0</x:v>
      </x:c>
      <x:c r="F82" s="237" t="str">
        <x:f aca="0">IF(OR(D82="",E82=""),"",D82-E82)</x:f>
      </x:c>
      <x:c r="G82" s="237" t="str">
        <x:f aca="0">IF($R$14&lt;&gt;"Yes","",IF($Q$14="","",$Q$14*(1+$I$14)^C82))</x:f>
      </x:c>
      <x:c r="H82" s="238" t="n">
        <x:v>0</x:v>
      </x:c>
      <x:c r="I82" s="237" t="n">
        <x:f aca="0">IF(OR(G82="",H82=""),0,H82-G82)</x:f>
        <x:v>0</x:v>
      </x:c>
      <x:c r="J82" s="237" t="str">
        <x:f aca="0">IF(F82="","",F82-I82)</x:f>
      </x:c>
      <x:c r="K82" s="237" t="n">
        <x:f aca="0">IF($R$14&lt;&gt;"Yes","",$J$14)</x:f>
        <x:v>4.66875</x:v>
      </x:c>
      <x:c r="L82" s="237" t="n">
        <x:f aca="0">IF($R$14&lt;&gt;"Yes","",$K$14)</x:f>
        <x:v>0.75</x:v>
      </x:c>
      <x:c r="M82" s="237" t="n">
        <x:f aca="0">IF($R$14&lt;&gt;"Yes","",$L$14)</x:f>
        <x:v>0.4</x:v>
      </x:c>
      <x:c r="N82" s="237" t="str">
        <x:f aca="0">IF(OR(J82="",K82="",K82=0),"",J82*L82*M82/K82)</x:f>
      </x:c>
      <x:c r="O82" s="237" t="str">
        <x:f aca="0">IF($R$14&lt;&gt;"Yes","",$M$14)</x:f>
        <x:v>Govt. of India, Dept. of Agriculture and Farmers Welfare, DES - data.desagri.gov.in (crop-wise APY reports); 5-yr historical average 2015-2019, via ERR_Sheet_GKF_V1_1</x:v>
      </x:c>
      <x:c r="P82" s="80"/>
      <x:c r="Q82" s="80"/>
      <x:c r="R82" s="80"/>
    </x:row>
    <x:row r="83" ht="15" hidden="0" customHeight="1">
      <x:c r="A83" s="237" t="n">
        <x:v>2039</x:v>
      </x:c>
      <x:c r="B83" s="237" t="str">
        <x:f aca="0">IF($R$14&lt;&gt;"Yes","",$A$14)</x:f>
        <x:v>Chilli</x:v>
      </x:c>
      <x:c r="C83" s="237" t="n">
        <x:f aca="0">A83-$E$5+1</x:f>
        <x:v>20</x:v>
      </x:c>
      <x:c r="D83" s="237" t="n">
        <x:f aca="0">IF($R$14&lt;&gt;"Yes","",IF($B$14="Introduced",0,IF($H$14="","",$H$14*(1+$I$14)^C83)))</x:f>
        <x:v>31987.257509842857</x:v>
      </x:c>
      <x:c r="E83" s="238" t="n">
        <x:v>0</x:v>
      </x:c>
      <x:c r="F83" s="237" t="str">
        <x:f aca="0">IF(OR(D83="",E83=""),"",D83-E83)</x:f>
      </x:c>
      <x:c r="G83" s="237" t="str">
        <x:f aca="0">IF($R$14&lt;&gt;"Yes","",IF($Q$14="","",$Q$14*(1+$I$14)^C83))</x:f>
      </x:c>
      <x:c r="H83" s="238" t="n">
        <x:v>0</x:v>
      </x:c>
      <x:c r="I83" s="237" t="n">
        <x:f aca="0">IF(OR(G83="",H83=""),0,H83-G83)</x:f>
        <x:v>0</x:v>
      </x:c>
      <x:c r="J83" s="237" t="str">
        <x:f aca="0">IF(F83="","",F83-I83)</x:f>
      </x:c>
      <x:c r="K83" s="237" t="n">
        <x:f aca="0">IF($R$14&lt;&gt;"Yes","",$J$14)</x:f>
        <x:v>4.66875</x:v>
      </x:c>
      <x:c r="L83" s="237" t="n">
        <x:f aca="0">IF($R$14&lt;&gt;"Yes","",$K$14)</x:f>
        <x:v>0.75</x:v>
      </x:c>
      <x:c r="M83" s="237" t="n">
        <x:f aca="0">IF($R$14&lt;&gt;"Yes","",$L$14)</x:f>
        <x:v>0.4</x:v>
      </x:c>
      <x:c r="N83" s="237" t="str">
        <x:f aca="0">IF(OR(J83="",K83="",K83=0),"",J83*L83*M83/K83)</x:f>
      </x:c>
      <x:c r="O83" s="237" t="str">
        <x:f aca="0">IF($R$14&lt;&gt;"Yes","",$M$14)</x:f>
        <x:v>Govt. of India, Dept. of Agriculture and Farmers Welfare, DES - data.desagri.gov.in (crop-wise APY reports); 5-yr historical average 2015-2019, via ERR_Sheet_GKF_V1_1</x:v>
      </x:c>
      <x:c r="P83" s="80"/>
      <x:c r="Q83" s="80"/>
      <x:c r="R83" s="80"/>
    </x:row>
    <x:row r="84" ht="15" hidden="0" customHeight="1">
      <x:c r="A84" s="237" t="n">
        <x:v>2040</x:v>
      </x:c>
      <x:c r="B84" s="237" t="str">
        <x:f aca="0">IF($R$14&lt;&gt;"Yes","",$A$14)</x:f>
        <x:v>Chilli</x:v>
      </x:c>
      <x:c r="C84" s="237" t="n">
        <x:f aca="0">A84-$E$5+1</x:f>
        <x:v>21</x:v>
      </x:c>
      <x:c r="D84" s="237" t="n">
        <x:f aca="0">IF($R$14&lt;&gt;"Yes","",IF($B$14="Introduced",0,IF($H$14="","",$H$14*(1+$I$14)^C84)))</x:f>
        <x:v>32786.938947588926</x:v>
      </x:c>
      <x:c r="E84" s="238" t="n">
        <x:v>0</x:v>
      </x:c>
      <x:c r="F84" s="237" t="str">
        <x:f aca="0">IF(OR(D84="",E84=""),"",D84-E84)</x:f>
      </x:c>
      <x:c r="G84" s="237" t="str">
        <x:f aca="0">IF($R$14&lt;&gt;"Yes","",IF($Q$14="","",$Q$14*(1+$I$14)^C84))</x:f>
      </x:c>
      <x:c r="H84" s="238" t="n">
        <x:v>0</x:v>
      </x:c>
      <x:c r="I84" s="237" t="n">
        <x:f aca="0">IF(OR(G84="",H84=""),0,H84-G84)</x:f>
        <x:v>0</x:v>
      </x:c>
      <x:c r="J84" s="237" t="str">
        <x:f aca="0">IF(F84="","",F84-I84)</x:f>
      </x:c>
      <x:c r="K84" s="237" t="n">
        <x:f aca="0">IF($R$14&lt;&gt;"Yes","",$J$14)</x:f>
        <x:v>4.66875</x:v>
      </x:c>
      <x:c r="L84" s="237" t="n">
        <x:f aca="0">IF($R$14&lt;&gt;"Yes","",$K$14)</x:f>
        <x:v>0.75</x:v>
      </x:c>
      <x:c r="M84" s="237" t="n">
        <x:f aca="0">IF($R$14&lt;&gt;"Yes","",$L$14)</x:f>
        <x:v>0.4</x:v>
      </x:c>
      <x:c r="N84" s="237" t="str">
        <x:f aca="0">IF(OR(J84="",K84="",K84=0),"",J84*L84*M84/K84)</x:f>
      </x:c>
      <x:c r="O84" s="237" t="str">
        <x:f aca="0">IF($R$14&lt;&gt;"Yes","",$M$14)</x:f>
        <x:v>Govt. of India, Dept. of Agriculture and Farmers Welfare, DES - data.desagri.gov.in (crop-wise APY reports); 5-yr historical average 2015-2019, via ERR_Sheet_GKF_V1_1</x:v>
      </x:c>
      <x:c r="P84" s="80"/>
      <x:c r="Q84" s="80"/>
      <x:c r="R84" s="80"/>
    </x:row>
    <x:row r="85" ht="15" hidden="0" customHeight="1">
      <x:c r="A85" s="237" t="n">
        <x:v>2020</x:v>
      </x:c>
      <x:c r="B85" s="237" t="str">
        <x:f aca="0">IF($R$15&lt;&gt;"Yes","",$A$15)</x:f>
        <x:v>Groundnut</x:v>
      </x:c>
      <x:c r="C85" s="237" t="n">
        <x:f aca="0">A85-$E$5+1</x:f>
        <x:v>1</x:v>
      </x:c>
      <x:c r="D85" s="237" t="n">
        <x:f aca="0">IF($R$15&lt;&gt;"Yes","",IF($B$15="Introduced",0,IF($H$15="","",$H$15*(1+$I$15)^C85)))</x:f>
        <x:v>3250.2479399999997</x:v>
      </x:c>
      <x:c r="E85" s="238" t="n">
        <x:v>0</x:v>
      </x:c>
      <x:c r="F85" s="237" t="str">
        <x:f aca="0">IF(OR(D85="",E85=""),"",D85-E85)</x:f>
      </x:c>
      <x:c r="G85" s="237" t="str">
        <x:f aca="0">IF($R$15&lt;&gt;"Yes","",IF($Q$15="","",$Q$15*(1+$I$15)^C85))</x:f>
      </x:c>
      <x:c r="H85" s="238" t="n">
        <x:v>0</x:v>
      </x:c>
      <x:c r="I85" s="237" t="n">
        <x:f aca="0">IF(OR(G85="",H85=""),0,H85-G85)</x:f>
        <x:v>0</x:v>
      </x:c>
      <x:c r="J85" s="237" t="str">
        <x:f aca="0">IF(F85="","",F85-I85)</x:f>
      </x:c>
      <x:c r="K85" s="237" t="n">
        <x:f aca="0">IF($R$15&lt;&gt;"Yes","",$J$15)</x:f>
        <x:v>1.440625</x:v>
      </x:c>
      <x:c r="L85" s="237" t="n">
        <x:f aca="0">IF($R$15&lt;&gt;"Yes","",$K$15)</x:f>
        <x:v>0.75</x:v>
      </x:c>
      <x:c r="M85" s="237" t="n">
        <x:f aca="0">IF($R$15&lt;&gt;"Yes","",$L$15)</x:f>
        <x:v>0.4</x:v>
      </x:c>
      <x:c r="N85" s="237" t="str">
        <x:f aca="0">IF(OR(J85="",K85="",K85=0),"",J85*L85*M85/K85)</x:f>
      </x:c>
      <x:c r="O85" s="237" t="str">
        <x:f aca="0">IF($R$15&lt;&gt;"Yes","",$M$15)</x:f>
        <x:v>Govt. of India, Dept. of Agriculture and Farmers Welfare, DES - data.desagri.gov.in (crop-wise APY reports); 5-yr historical average 2015-2019, via ERR_Sheet_GKF_V1_1</x:v>
      </x:c>
      <x:c r="P85" s="80"/>
      <x:c r="Q85" s="80"/>
      <x:c r="R85" s="80"/>
    </x:row>
    <x:row r="86" ht="15" hidden="0" customHeight="1">
      <x:c r="A86" s="237" t="n">
        <x:v>2021</x:v>
      </x:c>
      <x:c r="B86" s="237" t="str">
        <x:f aca="0">IF($R$15&lt;&gt;"Yes","",$A$15)</x:f>
        <x:v>Groundnut</x:v>
      </x:c>
      <x:c r="C86" s="237" t="n">
        <x:f aca="0">A86-$E$5+1</x:f>
        <x:v>2</x:v>
      </x:c>
      <x:c r="D86" s="237" t="n">
        <x:f aca="0">IF($R$15&lt;&gt;"Yes","",IF($B$15="Introduced",0,IF($H$15="","",$H$15*(1+$I$15)^C86)))</x:f>
        <x:v>3331.5041384999995</x:v>
      </x:c>
      <x:c r="E86" s="238" t="n">
        <x:v>0</x:v>
      </x:c>
      <x:c r="F86" s="237" t="str">
        <x:f aca="0">IF(OR(D86="",E86=""),"",D86-E86)</x:f>
      </x:c>
      <x:c r="G86" s="237" t="str">
        <x:f aca="0">IF($R$15&lt;&gt;"Yes","",IF($Q$15="","",$Q$15*(1+$I$15)^C86))</x:f>
      </x:c>
      <x:c r="H86" s="238" t="n">
        <x:v>0</x:v>
      </x:c>
      <x:c r="I86" s="237" t="n">
        <x:f aca="0">IF(OR(G86="",H86=""),0,H86-G86)</x:f>
        <x:v>0</x:v>
      </x:c>
      <x:c r="J86" s="237" t="str">
        <x:f aca="0">IF(F86="","",F86-I86)</x:f>
      </x:c>
      <x:c r="K86" s="237" t="n">
        <x:f aca="0">IF($R$15&lt;&gt;"Yes","",$J$15)</x:f>
        <x:v>1.440625</x:v>
      </x:c>
      <x:c r="L86" s="237" t="n">
        <x:f aca="0">IF($R$15&lt;&gt;"Yes","",$K$15)</x:f>
        <x:v>0.75</x:v>
      </x:c>
      <x:c r="M86" s="237" t="n">
        <x:f aca="0">IF($R$15&lt;&gt;"Yes","",$L$15)</x:f>
        <x:v>0.4</x:v>
      </x:c>
      <x:c r="N86" s="237" t="str">
        <x:f aca="0">IF(OR(J86="",K86="",K86=0),"",J86*L86*M86/K86)</x:f>
      </x:c>
      <x:c r="O86" s="237" t="str">
        <x:f aca="0">IF($R$15&lt;&gt;"Yes","",$M$15)</x:f>
        <x:v>Govt. of India, Dept. of Agriculture and Farmers Welfare, DES - data.desagri.gov.in (crop-wise APY reports); 5-yr historical average 2015-2019, via ERR_Sheet_GKF_V1_1</x:v>
      </x:c>
      <x:c r="P86" s="80"/>
      <x:c r="Q86" s="80"/>
      <x:c r="R86" s="80"/>
    </x:row>
    <x:row r="87" ht="15" hidden="0" customHeight="1">
      <x:c r="A87" s="237" t="n">
        <x:v>2022</x:v>
      </x:c>
      <x:c r="B87" s="237" t="str">
        <x:f aca="0">IF($R$15&lt;&gt;"Yes","",$A$15)</x:f>
        <x:v>Groundnut</x:v>
      </x:c>
      <x:c r="C87" s="237" t="n">
        <x:f aca="0">A87-$E$5+1</x:f>
        <x:v>3</x:v>
      </x:c>
      <x:c r="D87" s="237" t="n">
        <x:f aca="0">IF($R$15&lt;&gt;"Yes","",IF($B$15="Introduced",0,IF($H$15="","",$H$15*(1+$I$15)^C87)))</x:f>
        <x:v>3414.7917419624996</x:v>
      </x:c>
      <x:c r="E87" s="238" t="n">
        <x:v>0</x:v>
      </x:c>
      <x:c r="F87" s="237" t="str">
        <x:f aca="0">IF(OR(D87="",E87=""),"",D87-E87)</x:f>
      </x:c>
      <x:c r="G87" s="237" t="str">
        <x:f aca="0">IF($R$15&lt;&gt;"Yes","",IF($Q$15="","",$Q$15*(1+$I$15)^C87))</x:f>
      </x:c>
      <x:c r="H87" s="238" t="n">
        <x:v>0</x:v>
      </x:c>
      <x:c r="I87" s="237" t="n">
        <x:f aca="0">IF(OR(G87="",H87=""),0,H87-G87)</x:f>
        <x:v>0</x:v>
      </x:c>
      <x:c r="J87" s="237" t="str">
        <x:f aca="0">IF(F87="","",F87-I87)</x:f>
      </x:c>
      <x:c r="K87" s="237" t="n">
        <x:f aca="0">IF($R$15&lt;&gt;"Yes","",$J$15)</x:f>
        <x:v>1.440625</x:v>
      </x:c>
      <x:c r="L87" s="237" t="n">
        <x:f aca="0">IF($R$15&lt;&gt;"Yes","",$K$15)</x:f>
        <x:v>0.75</x:v>
      </x:c>
      <x:c r="M87" s="237" t="n">
        <x:f aca="0">IF($R$15&lt;&gt;"Yes","",$L$15)</x:f>
        <x:v>0.4</x:v>
      </x:c>
      <x:c r="N87" s="237" t="str">
        <x:f aca="0">IF(OR(J87="",K87="",K87=0),"",J87*L87*M87/K87)</x:f>
      </x:c>
      <x:c r="O87" s="237" t="str">
        <x:f aca="0">IF($R$15&lt;&gt;"Yes","",$M$15)</x:f>
        <x:v>Govt. of India, Dept. of Agriculture and Farmers Welfare, DES - data.desagri.gov.in (crop-wise APY reports); 5-yr historical average 2015-2019, via ERR_Sheet_GKF_V1_1</x:v>
      </x:c>
      <x:c r="P87" s="80"/>
      <x:c r="Q87" s="80"/>
      <x:c r="R87" s="80"/>
    </x:row>
    <x:row r="88" ht="15" hidden="0" customHeight="1">
      <x:c r="A88" s="237" t="n">
        <x:v>2023</x:v>
      </x:c>
      <x:c r="B88" s="237" t="str">
        <x:f aca="0">IF($R$15&lt;&gt;"Yes","",$A$15)</x:f>
        <x:v>Groundnut</x:v>
      </x:c>
      <x:c r="C88" s="237" t="n">
        <x:f aca="0">A88-$E$5+1</x:f>
        <x:v>4</x:v>
      </x:c>
      <x:c r="D88" s="237" t="n">
        <x:f aca="0">IF($R$15&lt;&gt;"Yes","",IF($B$15="Introduced",0,IF($H$15="","",$H$15*(1+$I$15)^C88)))</x:f>
        <x:v>3500.1615355115614</x:v>
      </x:c>
      <x:c r="E88" s="238" t="n">
        <x:v>0</x:v>
      </x:c>
      <x:c r="F88" s="237" t="str">
        <x:f aca="0">IF(OR(D88="",E88=""),"",D88-E88)</x:f>
      </x:c>
      <x:c r="G88" s="237" t="str">
        <x:f aca="0">IF($R$15&lt;&gt;"Yes","",IF($Q$15="","",$Q$15*(1+$I$15)^C88))</x:f>
      </x:c>
      <x:c r="H88" s="238" t="n">
        <x:v>0</x:v>
      </x:c>
      <x:c r="I88" s="237" t="n">
        <x:f aca="0">IF(OR(G88="",H88=""),0,H88-G88)</x:f>
        <x:v>0</x:v>
      </x:c>
      <x:c r="J88" s="237" t="str">
        <x:f aca="0">IF(F88="","",F88-I88)</x:f>
      </x:c>
      <x:c r="K88" s="237" t="n">
        <x:f aca="0">IF($R$15&lt;&gt;"Yes","",$J$15)</x:f>
        <x:v>1.440625</x:v>
      </x:c>
      <x:c r="L88" s="237" t="n">
        <x:f aca="0">IF($R$15&lt;&gt;"Yes","",$K$15)</x:f>
        <x:v>0.75</x:v>
      </x:c>
      <x:c r="M88" s="237" t="n">
        <x:f aca="0">IF($R$15&lt;&gt;"Yes","",$L$15)</x:f>
        <x:v>0.4</x:v>
      </x:c>
      <x:c r="N88" s="237" t="str">
        <x:f aca="0">IF(OR(J88="",K88="",K88=0),"",J88*L88*M88/K88)</x:f>
      </x:c>
      <x:c r="O88" s="237" t="str">
        <x:f aca="0">IF($R$15&lt;&gt;"Yes","",$M$15)</x:f>
        <x:v>Govt. of India, Dept. of Agriculture and Farmers Welfare, DES - data.desagri.gov.in (crop-wise APY reports); 5-yr historical average 2015-2019, via ERR_Sheet_GKF_V1_1</x:v>
      </x:c>
      <x:c r="P88" s="80"/>
      <x:c r="Q88" s="80"/>
      <x:c r="R88" s="80"/>
    </x:row>
    <x:row r="89" ht="15" hidden="0" customHeight="1">
      <x:c r="A89" s="237" t="n">
        <x:v>2024</x:v>
      </x:c>
      <x:c r="B89" s="237" t="str">
        <x:f aca="0">IF($R$15&lt;&gt;"Yes","",$A$15)</x:f>
        <x:v>Groundnut</x:v>
      </x:c>
      <x:c r="C89" s="237" t="n">
        <x:f aca="0">A89-$E$5+1</x:f>
        <x:v>5</x:v>
      </x:c>
      <x:c r="D89" s="237" t="n">
        <x:f aca="0">IF($R$15&lt;&gt;"Yes","",IF($B$15="Introduced",0,IF($H$15="","",$H$15*(1+$I$15)^C89)))</x:f>
        <x:v>3587.6655738993504</x:v>
      </x:c>
      <x:c r="E89" s="238" t="n">
        <x:v>0</x:v>
      </x:c>
      <x:c r="F89" s="237" t="str">
        <x:f aca="0">IF(OR(D89="",E89=""),"",D89-E89)</x:f>
      </x:c>
      <x:c r="G89" s="237" t="str">
        <x:f aca="0">IF($R$15&lt;&gt;"Yes","",IF($Q$15="","",$Q$15*(1+$I$15)^C89))</x:f>
      </x:c>
      <x:c r="H89" s="238" t="n">
        <x:v>0</x:v>
      </x:c>
      <x:c r="I89" s="237" t="n">
        <x:f aca="0">IF(OR(G89="",H89=""),0,H89-G89)</x:f>
        <x:v>0</x:v>
      </x:c>
      <x:c r="J89" s="237" t="str">
        <x:f aca="0">IF(F89="","",F89-I89)</x:f>
      </x:c>
      <x:c r="K89" s="237" t="n">
        <x:f aca="0">IF($R$15&lt;&gt;"Yes","",$J$15)</x:f>
        <x:v>1.440625</x:v>
      </x:c>
      <x:c r="L89" s="237" t="n">
        <x:f aca="0">IF($R$15&lt;&gt;"Yes","",$K$15)</x:f>
        <x:v>0.75</x:v>
      </x:c>
      <x:c r="M89" s="237" t="n">
        <x:f aca="0">IF($R$15&lt;&gt;"Yes","",$L$15)</x:f>
        <x:v>0.4</x:v>
      </x:c>
      <x:c r="N89" s="237" t="str">
        <x:f aca="0">IF(OR(J89="",K89="",K89=0),"",J89*L89*M89/K89)</x:f>
      </x:c>
      <x:c r="O89" s="237" t="str">
        <x:f aca="0">IF($R$15&lt;&gt;"Yes","",$M$15)</x:f>
        <x:v>Govt. of India, Dept. of Agriculture and Farmers Welfare, DES - data.desagri.gov.in (crop-wise APY reports); 5-yr historical average 2015-2019, via ERR_Sheet_GKF_V1_1</x:v>
      </x:c>
      <x:c r="P89" s="80"/>
      <x:c r="Q89" s="80"/>
      <x:c r="R89" s="80"/>
    </x:row>
    <x:row r="90" ht="15" hidden="0" customHeight="1">
      <x:c r="A90" s="237" t="n">
        <x:v>2025</x:v>
      </x:c>
      <x:c r="B90" s="237" t="str">
        <x:f aca="0">IF($R$15&lt;&gt;"Yes","",$A$15)</x:f>
        <x:v>Groundnut</x:v>
      </x:c>
      <x:c r="C90" s="237" t="n">
        <x:f aca="0">A90-$E$5+1</x:f>
        <x:v>6</x:v>
      </x:c>
      <x:c r="D90" s="237" t="n">
        <x:f aca="0">IF($R$15&lt;&gt;"Yes","",IF($B$15="Introduced",0,IF($H$15="","",$H$15*(1+$I$15)^C90)))</x:f>
        <x:v>3677.357213246834</x:v>
      </x:c>
      <x:c r="E90" s="238" t="n">
        <x:v>0</x:v>
      </x:c>
      <x:c r="F90" s="237" t="str">
        <x:f aca="0">IF(OR(D90="",E90=""),"",D90-E90)</x:f>
      </x:c>
      <x:c r="G90" s="237" t="str">
        <x:f aca="0">IF($R$15&lt;&gt;"Yes","",IF($Q$15="","",$Q$15*(1+$I$15)^C90))</x:f>
      </x:c>
      <x:c r="H90" s="238" t="n">
        <x:v>0</x:v>
      </x:c>
      <x:c r="I90" s="237" t="n">
        <x:f aca="0">IF(OR(G90="",H90=""),0,H90-G90)</x:f>
        <x:v>0</x:v>
      </x:c>
      <x:c r="J90" s="237" t="str">
        <x:f aca="0">IF(F90="","",F90-I90)</x:f>
      </x:c>
      <x:c r="K90" s="237" t="n">
        <x:f aca="0">IF($R$15&lt;&gt;"Yes","",$J$15)</x:f>
        <x:v>1.440625</x:v>
      </x:c>
      <x:c r="L90" s="237" t="n">
        <x:f aca="0">IF($R$15&lt;&gt;"Yes","",$K$15)</x:f>
        <x:v>0.75</x:v>
      </x:c>
      <x:c r="M90" s="237" t="n">
        <x:f aca="0">IF($R$15&lt;&gt;"Yes","",$L$15)</x:f>
        <x:v>0.4</x:v>
      </x:c>
      <x:c r="N90" s="237" t="str">
        <x:f aca="0">IF(OR(J90="",K90="",K90=0),"",J90*L90*M90/K90)</x:f>
      </x:c>
      <x:c r="O90" s="237" t="str">
        <x:f aca="0">IF($R$15&lt;&gt;"Yes","",$M$15)</x:f>
        <x:v>Govt. of India, Dept. of Agriculture and Farmers Welfare, DES - data.desagri.gov.in (crop-wise APY reports); 5-yr historical average 2015-2019, via ERR_Sheet_GKF_V1_1</x:v>
      </x:c>
      <x:c r="P90" s="80"/>
      <x:c r="Q90" s="80"/>
      <x:c r="R90" s="80"/>
    </x:row>
    <x:row r="91" ht="15" hidden="0" customHeight="1">
      <x:c r="A91" s="237" t="n">
        <x:v>2026</x:v>
      </x:c>
      <x:c r="B91" s="237" t="str">
        <x:f aca="0">IF($R$15&lt;&gt;"Yes","",$A$15)</x:f>
        <x:v>Groundnut</x:v>
      </x:c>
      <x:c r="C91" s="237" t="n">
        <x:f aca="0">A91-$E$5+1</x:f>
        <x:v>7</x:v>
      </x:c>
      <x:c r="D91" s="237" t="n">
        <x:f aca="0">IF($R$15&lt;&gt;"Yes","",IF($B$15="Introduced",0,IF($H$15="","",$H$15*(1+$I$15)^C91)))</x:f>
        <x:v>3769.2911435780047</x:v>
      </x:c>
      <x:c r="E91" s="238" t="n">
        <x:v>0</x:v>
      </x:c>
      <x:c r="F91" s="237" t="str">
        <x:f aca="0">IF(OR(D91="",E91=""),"",D91-E91)</x:f>
      </x:c>
      <x:c r="G91" s="237" t="str">
        <x:f aca="0">IF($R$15&lt;&gt;"Yes","",IF($Q$15="","",$Q$15*(1+$I$15)^C91))</x:f>
      </x:c>
      <x:c r="H91" s="238" t="n">
        <x:v>0</x:v>
      </x:c>
      <x:c r="I91" s="237" t="n">
        <x:f aca="0">IF(OR(G91="",H91=""),0,H91-G91)</x:f>
        <x:v>0</x:v>
      </x:c>
      <x:c r="J91" s="237" t="str">
        <x:f aca="0">IF(F91="","",F91-I91)</x:f>
      </x:c>
      <x:c r="K91" s="237" t="n">
        <x:f aca="0">IF($R$15&lt;&gt;"Yes","",$J$15)</x:f>
        <x:v>1.440625</x:v>
      </x:c>
      <x:c r="L91" s="237" t="n">
        <x:f aca="0">IF($R$15&lt;&gt;"Yes","",$K$15)</x:f>
        <x:v>0.75</x:v>
      </x:c>
      <x:c r="M91" s="237" t="n">
        <x:f aca="0">IF($R$15&lt;&gt;"Yes","",$L$15)</x:f>
        <x:v>0.4</x:v>
      </x:c>
      <x:c r="N91" s="237" t="str">
        <x:f aca="0">IF(OR(J91="",K91="",K91=0),"",J91*L91*M91/K91)</x:f>
      </x:c>
      <x:c r="O91" s="237" t="str">
        <x:f aca="0">IF($R$15&lt;&gt;"Yes","",$M$15)</x:f>
        <x:v>Govt. of India, Dept. of Agriculture and Farmers Welfare, DES - data.desagri.gov.in (crop-wise APY reports); 5-yr historical average 2015-2019, via ERR_Sheet_GKF_V1_1</x:v>
      </x:c>
      <x:c r="P91" s="80"/>
      <x:c r="Q91" s="80"/>
      <x:c r="R91" s="80"/>
    </x:row>
    <x:row r="92" ht="15" hidden="0" customHeight="1">
      <x:c r="A92" s="237" t="n">
        <x:v>2027</x:v>
      </x:c>
      <x:c r="B92" s="237" t="str">
        <x:f aca="0">IF($R$15&lt;&gt;"Yes","",$A$15)</x:f>
        <x:v>Groundnut</x:v>
      </x:c>
      <x:c r="C92" s="237" t="n">
        <x:f aca="0">A92-$E$5+1</x:f>
        <x:v>8</x:v>
      </x:c>
      <x:c r="D92" s="237" t="n">
        <x:f aca="0">IF($R$15&lt;&gt;"Yes","",IF($B$15="Introduced",0,IF($H$15="","",$H$15*(1+$I$15)^C92)))</x:f>
        <x:v>3863.5234221674546</x:v>
      </x:c>
      <x:c r="E92" s="238" t="n">
        <x:v>0</x:v>
      </x:c>
      <x:c r="F92" s="237" t="str">
        <x:f aca="0">IF(OR(D92="",E92=""),"",D92-E92)</x:f>
      </x:c>
      <x:c r="G92" s="237" t="str">
        <x:f aca="0">IF($R$15&lt;&gt;"Yes","",IF($Q$15="","",$Q$15*(1+$I$15)^C92))</x:f>
      </x:c>
      <x:c r="H92" s="238" t="n">
        <x:v>0</x:v>
      </x:c>
      <x:c r="I92" s="237" t="n">
        <x:f aca="0">IF(OR(G92="",H92=""),0,H92-G92)</x:f>
        <x:v>0</x:v>
      </x:c>
      <x:c r="J92" s="237" t="str">
        <x:f aca="0">IF(F92="","",F92-I92)</x:f>
      </x:c>
      <x:c r="K92" s="237" t="n">
        <x:f aca="0">IF($R$15&lt;&gt;"Yes","",$J$15)</x:f>
        <x:v>1.440625</x:v>
      </x:c>
      <x:c r="L92" s="237" t="n">
        <x:f aca="0">IF($R$15&lt;&gt;"Yes","",$K$15)</x:f>
        <x:v>0.75</x:v>
      </x:c>
      <x:c r="M92" s="237" t="n">
        <x:f aca="0">IF($R$15&lt;&gt;"Yes","",$L$15)</x:f>
        <x:v>0.4</x:v>
      </x:c>
      <x:c r="N92" s="237" t="str">
        <x:f aca="0">IF(OR(J92="",K92="",K92=0),"",J92*L92*M92/K92)</x:f>
      </x:c>
      <x:c r="O92" s="237" t="str">
        <x:f aca="0">IF($R$15&lt;&gt;"Yes","",$M$15)</x:f>
        <x:v>Govt. of India, Dept. of Agriculture and Farmers Welfare, DES - data.desagri.gov.in (crop-wise APY reports); 5-yr historical average 2015-2019, via ERR_Sheet_GKF_V1_1</x:v>
      </x:c>
      <x:c r="P92" s="80"/>
      <x:c r="Q92" s="80"/>
      <x:c r="R92" s="80"/>
    </x:row>
    <x:row r="93" ht="15" hidden="0" customHeight="1">
      <x:c r="A93" s="237" t="n">
        <x:v>2028</x:v>
      </x:c>
      <x:c r="B93" s="237" t="str">
        <x:f aca="0">IF($R$15&lt;&gt;"Yes","",$A$15)</x:f>
        <x:v>Groundnut</x:v>
      </x:c>
      <x:c r="C93" s="237" t="n">
        <x:f aca="0">A93-$E$5+1</x:f>
        <x:v>9</x:v>
      </x:c>
      <x:c r="D93" s="237" t="n">
        <x:f aca="0">IF($R$15&lt;&gt;"Yes","",IF($B$15="Introduced",0,IF($H$15="","",$H$15*(1+$I$15)^C93)))</x:f>
        <x:v>3960.11150772164</x:v>
      </x:c>
      <x:c r="E93" s="238" t="n">
        <x:v>0</x:v>
      </x:c>
      <x:c r="F93" s="237" t="str">
        <x:f aca="0">IF(OR(D93="",E93=""),"",D93-E93)</x:f>
      </x:c>
      <x:c r="G93" s="237" t="str">
        <x:f aca="0">IF($R$15&lt;&gt;"Yes","",IF($Q$15="","",$Q$15*(1+$I$15)^C93))</x:f>
      </x:c>
      <x:c r="H93" s="238" t="n">
        <x:v>0</x:v>
      </x:c>
      <x:c r="I93" s="237" t="n">
        <x:f aca="0">IF(OR(G93="",H93=""),0,H93-G93)</x:f>
        <x:v>0</x:v>
      </x:c>
      <x:c r="J93" s="237" t="str">
        <x:f aca="0">IF(F93="","",F93-I93)</x:f>
      </x:c>
      <x:c r="K93" s="237" t="n">
        <x:f aca="0">IF($R$15&lt;&gt;"Yes","",$J$15)</x:f>
        <x:v>1.440625</x:v>
      </x:c>
      <x:c r="L93" s="237" t="n">
        <x:f aca="0">IF($R$15&lt;&gt;"Yes","",$K$15)</x:f>
        <x:v>0.75</x:v>
      </x:c>
      <x:c r="M93" s="237" t="n">
        <x:f aca="0">IF($R$15&lt;&gt;"Yes","",$L$15)</x:f>
        <x:v>0.4</x:v>
      </x:c>
      <x:c r="N93" s="237" t="str">
        <x:f aca="0">IF(OR(J93="",K93="",K93=0),"",J93*L93*M93/K93)</x:f>
      </x:c>
      <x:c r="O93" s="237" t="str">
        <x:f aca="0">IF($R$15&lt;&gt;"Yes","",$M$15)</x:f>
        <x:v>Govt. of India, Dept. of Agriculture and Farmers Welfare, DES - data.desagri.gov.in (crop-wise APY reports); 5-yr historical average 2015-2019, via ERR_Sheet_GKF_V1_1</x:v>
      </x:c>
      <x:c r="P93" s="80"/>
      <x:c r="Q93" s="80"/>
      <x:c r="R93" s="80"/>
    </x:row>
    <x:row r="94" ht="15" hidden="0" customHeight="1">
      <x:c r="A94" s="237" t="n">
        <x:v>2029</x:v>
      </x:c>
      <x:c r="B94" s="237" t="str">
        <x:f aca="0">IF($R$15&lt;&gt;"Yes","",$A$15)</x:f>
        <x:v>Groundnut</x:v>
      </x:c>
      <x:c r="C94" s="237" t="n">
        <x:f aca="0">A94-$E$5+1</x:f>
        <x:v>10</x:v>
      </x:c>
      <x:c r="D94" s="237" t="n">
        <x:f aca="0">IF($R$15&lt;&gt;"Yes","",IF($B$15="Introduced",0,IF($H$15="","",$H$15*(1+$I$15)^C94)))</x:f>
        <x:v>4059.1142954146812</x:v>
      </x:c>
      <x:c r="E94" s="238" t="n">
        <x:v>0</x:v>
      </x:c>
      <x:c r="F94" s="237" t="str">
        <x:f aca="0">IF(OR(D94="",E94=""),"",D94-E94)</x:f>
      </x:c>
      <x:c r="G94" s="237" t="str">
        <x:f aca="0">IF($R$15&lt;&gt;"Yes","",IF($Q$15="","",$Q$15*(1+$I$15)^C94))</x:f>
      </x:c>
      <x:c r="H94" s="238" t="n">
        <x:v>0</x:v>
      </x:c>
      <x:c r="I94" s="237" t="n">
        <x:f aca="0">IF(OR(G94="",H94=""),0,H94-G94)</x:f>
        <x:v>0</x:v>
      </x:c>
      <x:c r="J94" s="237" t="str">
        <x:f aca="0">IF(F94="","",F94-I94)</x:f>
      </x:c>
      <x:c r="K94" s="237" t="n">
        <x:f aca="0">IF($R$15&lt;&gt;"Yes","",$J$15)</x:f>
        <x:v>1.440625</x:v>
      </x:c>
      <x:c r="L94" s="237" t="n">
        <x:f aca="0">IF($R$15&lt;&gt;"Yes","",$K$15)</x:f>
        <x:v>0.75</x:v>
      </x:c>
      <x:c r="M94" s="237" t="n">
        <x:f aca="0">IF($R$15&lt;&gt;"Yes","",$L$15)</x:f>
        <x:v>0.4</x:v>
      </x:c>
      <x:c r="N94" s="237" t="str">
        <x:f aca="0">IF(OR(J94="",K94="",K94=0),"",J94*L94*M94/K94)</x:f>
      </x:c>
      <x:c r="O94" s="237" t="str">
        <x:f aca="0">IF($R$15&lt;&gt;"Yes","",$M$15)</x:f>
        <x:v>Govt. of India, Dept. of Agriculture and Farmers Welfare, DES - data.desagri.gov.in (crop-wise APY reports); 5-yr historical average 2015-2019, via ERR_Sheet_GKF_V1_1</x:v>
      </x:c>
      <x:c r="P94" s="80"/>
      <x:c r="Q94" s="80"/>
      <x:c r="R94" s="80"/>
    </x:row>
    <x:row r="95" ht="15" hidden="0" customHeight="1">
      <x:c r="A95" s="237" t="n">
        <x:v>2030</x:v>
      </x:c>
      <x:c r="B95" s="237" t="str">
        <x:f aca="0">IF($R$15&lt;&gt;"Yes","",$A$15)</x:f>
        <x:v>Groundnut</x:v>
      </x:c>
      <x:c r="C95" s="237" t="n">
        <x:f aca="0">A95-$E$5+1</x:f>
        <x:v>11</x:v>
      </x:c>
      <x:c r="D95" s="237" t="n">
        <x:f aca="0">IF($R$15&lt;&gt;"Yes","",IF($B$15="Introduced",0,IF($H$15="","",$H$15*(1+$I$15)^C95)))</x:f>
        <x:v>4160.592152800048</x:v>
      </x:c>
      <x:c r="E95" s="238" t="n">
        <x:v>0</x:v>
      </x:c>
      <x:c r="F95" s="237" t="str">
        <x:f aca="0">IF(OR(D95="",E95=""),"",D95-E95)</x:f>
      </x:c>
      <x:c r="G95" s="237" t="str">
        <x:f aca="0">IF($R$15&lt;&gt;"Yes","",IF($Q$15="","",$Q$15*(1+$I$15)^C95))</x:f>
      </x:c>
      <x:c r="H95" s="238" t="n">
        <x:v>0</x:v>
      </x:c>
      <x:c r="I95" s="237" t="n">
        <x:f aca="0">IF(OR(G95="",H95=""),0,H95-G95)</x:f>
        <x:v>0</x:v>
      </x:c>
      <x:c r="J95" s="237" t="str">
        <x:f aca="0">IF(F95="","",F95-I95)</x:f>
      </x:c>
      <x:c r="K95" s="237" t="n">
        <x:f aca="0">IF($R$15&lt;&gt;"Yes","",$J$15)</x:f>
        <x:v>1.440625</x:v>
      </x:c>
      <x:c r="L95" s="237" t="n">
        <x:f aca="0">IF($R$15&lt;&gt;"Yes","",$K$15)</x:f>
        <x:v>0.75</x:v>
      </x:c>
      <x:c r="M95" s="237" t="n">
        <x:f aca="0">IF($R$15&lt;&gt;"Yes","",$L$15)</x:f>
        <x:v>0.4</x:v>
      </x:c>
      <x:c r="N95" s="237" t="str">
        <x:f aca="0">IF(OR(J95="",K95="",K95=0),"",J95*L95*M95/K95)</x:f>
      </x:c>
      <x:c r="O95" s="237" t="str">
        <x:f aca="0">IF($R$15&lt;&gt;"Yes","",$M$15)</x:f>
        <x:v>Govt. of India, Dept. of Agriculture and Farmers Welfare, DES - data.desagri.gov.in (crop-wise APY reports); 5-yr historical average 2015-2019, via ERR_Sheet_GKF_V1_1</x:v>
      </x:c>
      <x:c r="P95" s="80"/>
      <x:c r="Q95" s="80"/>
      <x:c r="R95" s="80"/>
    </x:row>
    <x:row r="96" ht="15" hidden="0" customHeight="1">
      <x:c r="A96" s="237" t="n">
        <x:v>2031</x:v>
      </x:c>
      <x:c r="B96" s="237" t="str">
        <x:f aca="0">IF($R$15&lt;&gt;"Yes","",$A$15)</x:f>
        <x:v>Groundnut</x:v>
      </x:c>
      <x:c r="C96" s="237" t="n">
        <x:f aca="0">A96-$E$5+1</x:f>
        <x:v>12</x:v>
      </x:c>
      <x:c r="D96" s="237" t="n">
        <x:f aca="0">IF($R$15&lt;&gt;"Yes","",IF($B$15="Introduced",0,IF($H$15="","",$H$15*(1+$I$15)^C96)))</x:f>
        <x:v>4264.6069566200495</x:v>
      </x:c>
      <x:c r="E96" s="238" t="n">
        <x:v>0</x:v>
      </x:c>
      <x:c r="F96" s="237" t="str">
        <x:f aca="0">IF(OR(D96="",E96=""),"",D96-E96)</x:f>
      </x:c>
      <x:c r="G96" s="237" t="str">
        <x:f aca="0">IF($R$15&lt;&gt;"Yes","",IF($Q$15="","",$Q$15*(1+$I$15)^C96))</x:f>
      </x:c>
      <x:c r="H96" s="238" t="n">
        <x:v>0</x:v>
      </x:c>
      <x:c r="I96" s="237" t="n">
        <x:f aca="0">IF(OR(G96="",H96=""),0,H96-G96)</x:f>
        <x:v>0</x:v>
      </x:c>
      <x:c r="J96" s="237" t="str">
        <x:f aca="0">IF(F96="","",F96-I96)</x:f>
      </x:c>
      <x:c r="K96" s="237" t="n">
        <x:f aca="0">IF($R$15&lt;&gt;"Yes","",$J$15)</x:f>
        <x:v>1.440625</x:v>
      </x:c>
      <x:c r="L96" s="237" t="n">
        <x:f aca="0">IF($R$15&lt;&gt;"Yes","",$K$15)</x:f>
        <x:v>0.75</x:v>
      </x:c>
      <x:c r="M96" s="237" t="n">
        <x:f aca="0">IF($R$15&lt;&gt;"Yes","",$L$15)</x:f>
        <x:v>0.4</x:v>
      </x:c>
      <x:c r="N96" s="237" t="str">
        <x:f aca="0">IF(OR(J96="",K96="",K96=0),"",J96*L96*M96/K96)</x:f>
      </x:c>
      <x:c r="O96" s="237" t="str">
        <x:f aca="0">IF($R$15&lt;&gt;"Yes","",$M$15)</x:f>
        <x:v>Govt. of India, Dept. of Agriculture and Farmers Welfare, DES - data.desagri.gov.in (crop-wise APY reports); 5-yr historical average 2015-2019, via ERR_Sheet_GKF_V1_1</x:v>
      </x:c>
      <x:c r="P96" s="80"/>
      <x:c r="Q96" s="80"/>
      <x:c r="R96" s="80"/>
    </x:row>
    <x:row r="97" ht="15" hidden="0" customHeight="1">
      <x:c r="A97" s="237" t="n">
        <x:v>2032</x:v>
      </x:c>
      <x:c r="B97" s="237" t="str">
        <x:f aca="0">IF($R$15&lt;&gt;"Yes","",$A$15)</x:f>
        <x:v>Groundnut</x:v>
      </x:c>
      <x:c r="C97" s="237" t="n">
        <x:f aca="0">A97-$E$5+1</x:f>
        <x:v>13</x:v>
      </x:c>
      <x:c r="D97" s="237" t="n">
        <x:f aca="0">IF($R$15&lt;&gt;"Yes","",IF($B$15="Introduced",0,IF($H$15="","",$H$15*(1+$I$15)^C97)))</x:f>
        <x:v>4371.22213053555</x:v>
      </x:c>
      <x:c r="E97" s="238" t="n">
        <x:v>0</x:v>
      </x:c>
      <x:c r="F97" s="237" t="str">
        <x:f aca="0">IF(OR(D97="",E97=""),"",D97-E97)</x:f>
      </x:c>
      <x:c r="G97" s="237" t="str">
        <x:f aca="0">IF($R$15&lt;&gt;"Yes","",IF($Q$15="","",$Q$15*(1+$I$15)^C97))</x:f>
      </x:c>
      <x:c r="H97" s="238" t="n">
        <x:v>0</x:v>
      </x:c>
      <x:c r="I97" s="237" t="n">
        <x:f aca="0">IF(OR(G97="",H97=""),0,H97-G97)</x:f>
        <x:v>0</x:v>
      </x:c>
      <x:c r="J97" s="237" t="str">
        <x:f aca="0">IF(F97="","",F97-I97)</x:f>
      </x:c>
      <x:c r="K97" s="237" t="n">
        <x:f aca="0">IF($R$15&lt;&gt;"Yes","",$J$15)</x:f>
        <x:v>1.440625</x:v>
      </x:c>
      <x:c r="L97" s="237" t="n">
        <x:f aca="0">IF($R$15&lt;&gt;"Yes","",$K$15)</x:f>
        <x:v>0.75</x:v>
      </x:c>
      <x:c r="M97" s="237" t="n">
        <x:f aca="0">IF($R$15&lt;&gt;"Yes","",$L$15)</x:f>
        <x:v>0.4</x:v>
      </x:c>
      <x:c r="N97" s="237" t="str">
        <x:f aca="0">IF(OR(J97="",K97="",K97=0),"",J97*L97*M97/K97)</x:f>
      </x:c>
      <x:c r="O97" s="237" t="str">
        <x:f aca="0">IF($R$15&lt;&gt;"Yes","",$M$15)</x:f>
        <x:v>Govt. of India, Dept. of Agriculture and Farmers Welfare, DES - data.desagri.gov.in (crop-wise APY reports); 5-yr historical average 2015-2019, via ERR_Sheet_GKF_V1_1</x:v>
      </x:c>
      <x:c r="P97" s="80"/>
      <x:c r="Q97" s="80"/>
      <x:c r="R97" s="80"/>
    </x:row>
    <x:row r="98" ht="15" hidden="0" customHeight="1">
      <x:c r="A98" s="237" t="n">
        <x:v>2033</x:v>
      </x:c>
      <x:c r="B98" s="237" t="str">
        <x:f aca="0">IF($R$15&lt;&gt;"Yes","",$A$15)</x:f>
        <x:v>Groundnut</x:v>
      </x:c>
      <x:c r="C98" s="237" t="n">
        <x:f aca="0">A98-$E$5+1</x:f>
        <x:v>14</x:v>
      </x:c>
      <x:c r="D98" s="237" t="n">
        <x:f aca="0">IF($R$15&lt;&gt;"Yes","",IF($B$15="Introduced",0,IF($H$15="","",$H$15*(1+$I$15)^C98)))</x:f>
        <x:v>4480.502683798938</x:v>
      </x:c>
      <x:c r="E98" s="238" t="n">
        <x:v>0</x:v>
      </x:c>
      <x:c r="F98" s="237" t="str">
        <x:f aca="0">IF(OR(D98="",E98=""),"",D98-E98)</x:f>
      </x:c>
      <x:c r="G98" s="237" t="str">
        <x:f aca="0">IF($R$15&lt;&gt;"Yes","",IF($Q$15="","",$Q$15*(1+$I$15)^C98))</x:f>
      </x:c>
      <x:c r="H98" s="238" t="n">
        <x:v>0</x:v>
      </x:c>
      <x:c r="I98" s="237" t="n">
        <x:f aca="0">IF(OR(G98="",H98=""),0,H98-G98)</x:f>
        <x:v>0</x:v>
      </x:c>
      <x:c r="J98" s="237" t="str">
        <x:f aca="0">IF(F98="","",F98-I98)</x:f>
      </x:c>
      <x:c r="K98" s="237" t="n">
        <x:f aca="0">IF($R$15&lt;&gt;"Yes","",$J$15)</x:f>
        <x:v>1.440625</x:v>
      </x:c>
      <x:c r="L98" s="237" t="n">
        <x:f aca="0">IF($R$15&lt;&gt;"Yes","",$K$15)</x:f>
        <x:v>0.75</x:v>
      </x:c>
      <x:c r="M98" s="237" t="n">
        <x:f aca="0">IF($R$15&lt;&gt;"Yes","",$L$15)</x:f>
        <x:v>0.4</x:v>
      </x:c>
      <x:c r="N98" s="237" t="str">
        <x:f aca="0">IF(OR(J98="",K98="",K98=0),"",J98*L98*M98/K98)</x:f>
      </x:c>
      <x:c r="O98" s="237" t="str">
        <x:f aca="0">IF($R$15&lt;&gt;"Yes","",$M$15)</x:f>
        <x:v>Govt. of India, Dept. of Agriculture and Farmers Welfare, DES - data.desagri.gov.in (crop-wise APY reports); 5-yr historical average 2015-2019, via ERR_Sheet_GKF_V1_1</x:v>
      </x:c>
      <x:c r="P98" s="80"/>
      <x:c r="Q98" s="80"/>
      <x:c r="R98" s="80"/>
    </x:row>
    <x:row r="99" ht="15" hidden="0" customHeight="1">
      <x:c r="A99" s="237" t="n">
        <x:v>2034</x:v>
      </x:c>
      <x:c r="B99" s="237" t="str">
        <x:f aca="0">IF($R$15&lt;&gt;"Yes","",$A$15)</x:f>
        <x:v>Groundnut</x:v>
      </x:c>
      <x:c r="C99" s="237" t="n">
        <x:f aca="0">A99-$E$5+1</x:f>
        <x:v>15</x:v>
      </x:c>
      <x:c r="D99" s="237" t="n">
        <x:f aca="0">IF($R$15&lt;&gt;"Yes","",IF($B$15="Introduced",0,IF($H$15="","",$H$15*(1+$I$15)^C99)))</x:f>
        <x:v>4592.515250893913</x:v>
      </x:c>
      <x:c r="E99" s="238" t="n">
        <x:v>0</x:v>
      </x:c>
      <x:c r="F99" s="237" t="str">
        <x:f aca="0">IF(OR(D99="",E99=""),"",D99-E99)</x:f>
      </x:c>
      <x:c r="G99" s="237" t="str">
        <x:f aca="0">IF($R$15&lt;&gt;"Yes","",IF($Q$15="","",$Q$15*(1+$I$15)^C99))</x:f>
      </x:c>
      <x:c r="H99" s="238" t="n">
        <x:v>0</x:v>
      </x:c>
      <x:c r="I99" s="237" t="n">
        <x:f aca="0">IF(OR(G99="",H99=""),0,H99-G99)</x:f>
        <x:v>0</x:v>
      </x:c>
      <x:c r="J99" s="237" t="str">
        <x:f aca="0">IF(F99="","",F99-I99)</x:f>
      </x:c>
      <x:c r="K99" s="237" t="n">
        <x:f aca="0">IF($R$15&lt;&gt;"Yes","",$J$15)</x:f>
        <x:v>1.440625</x:v>
      </x:c>
      <x:c r="L99" s="237" t="n">
        <x:f aca="0">IF($R$15&lt;&gt;"Yes","",$K$15)</x:f>
        <x:v>0.75</x:v>
      </x:c>
      <x:c r="M99" s="237" t="n">
        <x:f aca="0">IF($R$15&lt;&gt;"Yes","",$L$15)</x:f>
        <x:v>0.4</x:v>
      </x:c>
      <x:c r="N99" s="237" t="str">
        <x:f aca="0">IF(OR(J99="",K99="",K99=0),"",J99*L99*M99/K99)</x:f>
      </x:c>
      <x:c r="O99" s="237" t="str">
        <x:f aca="0">IF($R$15&lt;&gt;"Yes","",$M$15)</x:f>
        <x:v>Govt. of India, Dept. of Agriculture and Farmers Welfare, DES - data.desagri.gov.in (crop-wise APY reports); 5-yr historical average 2015-2019, via ERR_Sheet_GKF_V1_1</x:v>
      </x:c>
      <x:c r="P99" s="80"/>
      <x:c r="Q99" s="80"/>
      <x:c r="R99" s="80"/>
    </x:row>
    <x:row r="100" ht="15" hidden="0" customHeight="1">
      <x:c r="A100" s="237" t="n">
        <x:v>2035</x:v>
      </x:c>
      <x:c r="B100" s="237" t="str">
        <x:f aca="0">IF($R$15&lt;&gt;"Yes","",$A$15)</x:f>
        <x:v>Groundnut</x:v>
      </x:c>
      <x:c r="C100" s="237" t="n">
        <x:f aca="0">A100-$E$5+1</x:f>
        <x:v>16</x:v>
      </x:c>
      <x:c r="D100" s="237" t="n">
        <x:f aca="0">IF($R$15&lt;&gt;"Yes","",IF($B$15="Introduced",0,IF($H$15="","",$H$15*(1+$I$15)^C100)))</x:f>
        <x:v>4707.32813216626</x:v>
      </x:c>
      <x:c r="E100" s="238" t="n">
        <x:v>0</x:v>
      </x:c>
      <x:c r="F100" s="237" t="str">
        <x:f aca="0">IF(OR(D100="",E100=""),"",D100-E100)</x:f>
      </x:c>
      <x:c r="G100" s="237" t="str">
        <x:f aca="0">IF($R$15&lt;&gt;"Yes","",IF($Q$15="","",$Q$15*(1+$I$15)^C100))</x:f>
      </x:c>
      <x:c r="H100" s="238" t="n">
        <x:v>0</x:v>
      </x:c>
      <x:c r="I100" s="237" t="n">
        <x:f aca="0">IF(OR(G100="",H100=""),0,H100-G100)</x:f>
        <x:v>0</x:v>
      </x:c>
      <x:c r="J100" s="237" t="str">
        <x:f aca="0">IF(F100="","",F100-I100)</x:f>
      </x:c>
      <x:c r="K100" s="237" t="n">
        <x:f aca="0">IF($R$15&lt;&gt;"Yes","",$J$15)</x:f>
        <x:v>1.440625</x:v>
      </x:c>
      <x:c r="L100" s="237" t="n">
        <x:f aca="0">IF($R$15&lt;&gt;"Yes","",$K$15)</x:f>
        <x:v>0.75</x:v>
      </x:c>
      <x:c r="M100" s="237" t="n">
        <x:f aca="0">IF($R$15&lt;&gt;"Yes","",$L$15)</x:f>
        <x:v>0.4</x:v>
      </x:c>
      <x:c r="N100" s="237" t="str">
        <x:f aca="0">IF(OR(J100="",K100="",K100=0),"",J100*L100*M100/K100)</x:f>
      </x:c>
      <x:c r="O100" s="237" t="str">
        <x:f aca="0">IF($R$15&lt;&gt;"Yes","",$M$15)</x:f>
        <x:v>Govt. of India, Dept. of Agriculture and Farmers Welfare, DES - data.desagri.gov.in (crop-wise APY reports); 5-yr historical average 2015-2019, via ERR_Sheet_GKF_V1_1</x:v>
      </x:c>
      <x:c r="P100" s="80"/>
      <x:c r="Q100" s="80"/>
      <x:c r="R100" s="80"/>
    </x:row>
    <x:row r="101" ht="15" hidden="0" customHeight="1">
      <x:c r="A101" s="237" t="n">
        <x:v>2036</x:v>
      </x:c>
      <x:c r="B101" s="237" t="str">
        <x:f aca="0">IF($R$15&lt;&gt;"Yes","",$A$15)</x:f>
        <x:v>Groundnut</x:v>
      </x:c>
      <x:c r="C101" s="237" t="n">
        <x:f aca="0">A101-$E$5+1</x:f>
        <x:v>17</x:v>
      </x:c>
      <x:c r="D101" s="237" t="n">
        <x:f aca="0">IF($R$15&lt;&gt;"Yes","",IF($B$15="Introduced",0,IF($H$15="","",$H$15*(1+$I$15)^C101)))</x:f>
        <x:v>4825.011335470415</x:v>
      </x:c>
      <x:c r="E101" s="238" t="n">
        <x:v>0</x:v>
      </x:c>
      <x:c r="F101" s="237" t="str">
        <x:f aca="0">IF(OR(D101="",E101=""),"",D101-E101)</x:f>
      </x:c>
      <x:c r="G101" s="237" t="str">
        <x:f aca="0">IF($R$15&lt;&gt;"Yes","",IF($Q$15="","",$Q$15*(1+$I$15)^C101))</x:f>
      </x:c>
      <x:c r="H101" s="238" t="n">
        <x:v>0</x:v>
      </x:c>
      <x:c r="I101" s="237" t="n">
        <x:f aca="0">IF(OR(G101="",H101=""),0,H101-G101)</x:f>
        <x:v>0</x:v>
      </x:c>
      <x:c r="J101" s="237" t="str">
        <x:f aca="0">IF(F101="","",F101-I101)</x:f>
      </x:c>
      <x:c r="K101" s="237" t="n">
        <x:f aca="0">IF($R$15&lt;&gt;"Yes","",$J$15)</x:f>
        <x:v>1.440625</x:v>
      </x:c>
      <x:c r="L101" s="237" t="n">
        <x:f aca="0">IF($R$15&lt;&gt;"Yes","",$K$15)</x:f>
        <x:v>0.75</x:v>
      </x:c>
      <x:c r="M101" s="237" t="n">
        <x:f aca="0">IF($R$15&lt;&gt;"Yes","",$L$15)</x:f>
        <x:v>0.4</x:v>
      </x:c>
      <x:c r="N101" s="237" t="str">
        <x:f aca="0">IF(OR(J101="",K101="",K101=0),"",J101*L101*M101/K101)</x:f>
      </x:c>
      <x:c r="O101" s="237" t="str">
        <x:f aca="0">IF($R$15&lt;&gt;"Yes","",$M$15)</x:f>
        <x:v>Govt. of India, Dept. of Agriculture and Farmers Welfare, DES - data.desagri.gov.in (crop-wise APY reports); 5-yr historical average 2015-2019, via ERR_Sheet_GKF_V1_1</x:v>
      </x:c>
      <x:c r="P101" s="80"/>
      <x:c r="Q101" s="80"/>
      <x:c r="R101" s="80"/>
    </x:row>
    <x:row r="102" ht="15" hidden="0" customHeight="1">
      <x:c r="A102" s="237" t="n">
        <x:v>2037</x:v>
      </x:c>
      <x:c r="B102" s="237" t="str">
        <x:f aca="0">IF($R$15&lt;&gt;"Yes","",$A$15)</x:f>
        <x:v>Groundnut</x:v>
      </x:c>
      <x:c r="C102" s="237" t="n">
        <x:f aca="0">A102-$E$5+1</x:f>
        <x:v>18</x:v>
      </x:c>
      <x:c r="D102" s="237" t="n">
        <x:f aca="0">IF($R$15&lt;&gt;"Yes","",IF($B$15="Introduced",0,IF($H$15="","",$H$15*(1+$I$15)^C102)))</x:f>
        <x:v>4945.6366188571765</x:v>
      </x:c>
      <x:c r="E102" s="238" t="n">
        <x:v>0</x:v>
      </x:c>
      <x:c r="F102" s="237" t="str">
        <x:f aca="0">IF(OR(D102="",E102=""),"",D102-E102)</x:f>
      </x:c>
      <x:c r="G102" s="237" t="str">
        <x:f aca="0">IF($R$15&lt;&gt;"Yes","",IF($Q$15="","",$Q$15*(1+$I$15)^C102))</x:f>
      </x:c>
      <x:c r="H102" s="238" t="n">
        <x:v>0</x:v>
      </x:c>
      <x:c r="I102" s="237" t="n">
        <x:f aca="0">IF(OR(G102="",H102=""),0,H102-G102)</x:f>
        <x:v>0</x:v>
      </x:c>
      <x:c r="J102" s="237" t="str">
        <x:f aca="0">IF(F102="","",F102-I102)</x:f>
      </x:c>
      <x:c r="K102" s="237" t="n">
        <x:f aca="0">IF($R$15&lt;&gt;"Yes","",$J$15)</x:f>
        <x:v>1.440625</x:v>
      </x:c>
      <x:c r="L102" s="237" t="n">
        <x:f aca="0">IF($R$15&lt;&gt;"Yes","",$K$15)</x:f>
        <x:v>0.75</x:v>
      </x:c>
      <x:c r="M102" s="237" t="n">
        <x:f aca="0">IF($R$15&lt;&gt;"Yes","",$L$15)</x:f>
        <x:v>0.4</x:v>
      </x:c>
      <x:c r="N102" s="237" t="str">
        <x:f aca="0">IF(OR(J102="",K102="",K102=0),"",J102*L102*M102/K102)</x:f>
      </x:c>
      <x:c r="O102" s="237" t="str">
        <x:f aca="0">IF($R$15&lt;&gt;"Yes","",$M$15)</x:f>
        <x:v>Govt. of India, Dept. of Agriculture and Farmers Welfare, DES - data.desagri.gov.in (crop-wise APY reports); 5-yr historical average 2015-2019, via ERR_Sheet_GKF_V1_1</x:v>
      </x:c>
      <x:c r="P102" s="80"/>
      <x:c r="Q102" s="80"/>
      <x:c r="R102" s="80"/>
    </x:row>
    <x:row r="103" ht="15" hidden="0" customHeight="1">
      <x:c r="A103" s="237" t="n">
        <x:v>2038</x:v>
      </x:c>
      <x:c r="B103" s="237" t="str">
        <x:f aca="0">IF($R$15&lt;&gt;"Yes","",$A$15)</x:f>
        <x:v>Groundnut</x:v>
      </x:c>
      <x:c r="C103" s="237" t="n">
        <x:f aca="0">A103-$E$5+1</x:f>
        <x:v>19</x:v>
      </x:c>
      <x:c r="D103" s="237" t="n">
        <x:f aca="0">IF($R$15&lt;&gt;"Yes","",IF($B$15="Introduced",0,IF($H$15="","",$H$15*(1+$I$15)^C103)))</x:f>
        <x:v>5069.277534328606</x:v>
      </x:c>
      <x:c r="E103" s="238" t="n">
        <x:v>0</x:v>
      </x:c>
      <x:c r="F103" s="237" t="str">
        <x:f aca="0">IF(OR(D103="",E103=""),"",D103-E103)</x:f>
      </x:c>
      <x:c r="G103" s="237" t="str">
        <x:f aca="0">IF($R$15&lt;&gt;"Yes","",IF($Q$15="","",$Q$15*(1+$I$15)^C103))</x:f>
      </x:c>
      <x:c r="H103" s="238" t="n">
        <x:v>0</x:v>
      </x:c>
      <x:c r="I103" s="237" t="n">
        <x:f aca="0">IF(OR(G103="",H103=""),0,H103-G103)</x:f>
        <x:v>0</x:v>
      </x:c>
      <x:c r="J103" s="237" t="str">
        <x:f aca="0">IF(F103="","",F103-I103)</x:f>
      </x:c>
      <x:c r="K103" s="237" t="n">
        <x:f aca="0">IF($R$15&lt;&gt;"Yes","",$J$15)</x:f>
        <x:v>1.440625</x:v>
      </x:c>
      <x:c r="L103" s="237" t="n">
        <x:f aca="0">IF($R$15&lt;&gt;"Yes","",$K$15)</x:f>
        <x:v>0.75</x:v>
      </x:c>
      <x:c r="M103" s="237" t="n">
        <x:f aca="0">IF($R$15&lt;&gt;"Yes","",$L$15)</x:f>
        <x:v>0.4</x:v>
      </x:c>
      <x:c r="N103" s="237" t="str">
        <x:f aca="0">IF(OR(J103="",K103="",K103=0),"",J103*L103*M103/K103)</x:f>
      </x:c>
      <x:c r="O103" s="237" t="str">
        <x:f aca="0">IF($R$15&lt;&gt;"Yes","",$M$15)</x:f>
        <x:v>Govt. of India, Dept. of Agriculture and Farmers Welfare, DES - data.desagri.gov.in (crop-wise APY reports); 5-yr historical average 2015-2019, via ERR_Sheet_GKF_V1_1</x:v>
      </x:c>
      <x:c r="P103" s="80"/>
      <x:c r="Q103" s="80"/>
      <x:c r="R103" s="80"/>
    </x:row>
    <x:row r="104" ht="15" hidden="0" customHeight="1">
      <x:c r="A104" s="237" t="n">
        <x:v>2039</x:v>
      </x:c>
      <x:c r="B104" s="237" t="str">
        <x:f aca="0">IF($R$15&lt;&gt;"Yes","",$A$15)</x:f>
        <x:v>Groundnut</x:v>
      </x:c>
      <x:c r="C104" s="237" t="n">
        <x:f aca="0">A104-$E$5+1</x:f>
        <x:v>20</x:v>
      </x:c>
      <x:c r="D104" s="237" t="n">
        <x:f aca="0">IF($R$15&lt;&gt;"Yes","",IF($B$15="Introduced",0,IF($H$15="","",$H$15*(1+$I$15)^C104)))</x:f>
        <x:v>5196.00947268682</x:v>
      </x:c>
      <x:c r="E104" s="238" t="n">
        <x:v>0</x:v>
      </x:c>
      <x:c r="F104" s="237" t="str">
        <x:f aca="0">IF(OR(D104="",E104=""),"",D104-E104)</x:f>
      </x:c>
      <x:c r="G104" s="237" t="str">
        <x:f aca="0">IF($R$15&lt;&gt;"Yes","",IF($Q$15="","",$Q$15*(1+$I$15)^C104))</x:f>
      </x:c>
      <x:c r="H104" s="238" t="n">
        <x:v>0</x:v>
      </x:c>
      <x:c r="I104" s="237" t="n">
        <x:f aca="0">IF(OR(G104="",H104=""),0,H104-G104)</x:f>
        <x:v>0</x:v>
      </x:c>
      <x:c r="J104" s="237" t="str">
        <x:f aca="0">IF(F104="","",F104-I104)</x:f>
      </x:c>
      <x:c r="K104" s="237" t="n">
        <x:f aca="0">IF($R$15&lt;&gt;"Yes","",$J$15)</x:f>
        <x:v>1.440625</x:v>
      </x:c>
      <x:c r="L104" s="237" t="n">
        <x:f aca="0">IF($R$15&lt;&gt;"Yes","",$K$15)</x:f>
        <x:v>0.75</x:v>
      </x:c>
      <x:c r="M104" s="237" t="n">
        <x:f aca="0">IF($R$15&lt;&gt;"Yes","",$L$15)</x:f>
        <x:v>0.4</x:v>
      </x:c>
      <x:c r="N104" s="237" t="str">
        <x:f aca="0">IF(OR(J104="",K104="",K104=0),"",J104*L104*M104/K104)</x:f>
      </x:c>
      <x:c r="O104" s="237" t="str">
        <x:f aca="0">IF($R$15&lt;&gt;"Yes","",$M$15)</x:f>
        <x:v>Govt. of India, Dept. of Agriculture and Farmers Welfare, DES - data.desagri.gov.in (crop-wise APY reports); 5-yr historical average 2015-2019, via ERR_Sheet_GKF_V1_1</x:v>
      </x:c>
      <x:c r="P104" s="80"/>
      <x:c r="Q104" s="80"/>
      <x:c r="R104" s="80"/>
    </x:row>
    <x:row r="105" ht="15" hidden="0" customHeight="1">
      <x:c r="A105" s="237" t="n">
        <x:v>2040</x:v>
      </x:c>
      <x:c r="B105" s="237" t="str">
        <x:f aca="0">IF($R$15&lt;&gt;"Yes","",$A$15)</x:f>
        <x:v>Groundnut</x:v>
      </x:c>
      <x:c r="C105" s="237" t="n">
        <x:f aca="0">A105-$E$5+1</x:f>
        <x:v>21</x:v>
      </x:c>
      <x:c r="D105" s="237" t="n">
        <x:f aca="0">IF($R$15&lt;&gt;"Yes","",IF($B$15="Introduced",0,IF($H$15="","",$H$15*(1+$I$15)^C105)))</x:f>
        <x:v>5325.909709503991</x:v>
      </x:c>
      <x:c r="E105" s="238" t="n">
        <x:v>0</x:v>
      </x:c>
      <x:c r="F105" s="237" t="str">
        <x:f aca="0">IF(OR(D105="",E105=""),"",D105-E105)</x:f>
      </x:c>
      <x:c r="G105" s="237" t="str">
        <x:f aca="0">IF($R$15&lt;&gt;"Yes","",IF($Q$15="","",$Q$15*(1+$I$15)^C105))</x:f>
      </x:c>
      <x:c r="H105" s="238" t="n">
        <x:v>0</x:v>
      </x:c>
      <x:c r="I105" s="237" t="n">
        <x:f aca="0">IF(OR(G105="",H105=""),0,H105-G105)</x:f>
        <x:v>0</x:v>
      </x:c>
      <x:c r="J105" s="237" t="str">
        <x:f aca="0">IF(F105="","",F105-I105)</x:f>
      </x:c>
      <x:c r="K105" s="237" t="n">
        <x:f aca="0">IF($R$15&lt;&gt;"Yes","",$J$15)</x:f>
        <x:v>1.440625</x:v>
      </x:c>
      <x:c r="L105" s="237" t="n">
        <x:f aca="0">IF($R$15&lt;&gt;"Yes","",$K$15)</x:f>
        <x:v>0.75</x:v>
      </x:c>
      <x:c r="M105" s="237" t="n">
        <x:f aca="0">IF($R$15&lt;&gt;"Yes","",$L$15)</x:f>
        <x:v>0.4</x:v>
      </x:c>
      <x:c r="N105" s="237" t="str">
        <x:f aca="0">IF(OR(J105="",K105="",K105=0),"",J105*L105*M105/K105)</x:f>
      </x:c>
      <x:c r="O105" s="237" t="str">
        <x:f aca="0">IF($R$15&lt;&gt;"Yes","",$M$15)</x:f>
        <x:v>Govt. of India, Dept. of Agriculture and Farmers Welfare, DES - data.desagri.gov.in (crop-wise APY reports); 5-yr historical average 2015-2019, via ERR_Sheet_GKF_V1_1</x:v>
      </x:c>
      <x:c r="P105" s="80"/>
      <x:c r="Q105" s="80"/>
      <x:c r="R105" s="80"/>
    </x:row>
    <x:row r="106" ht="15" hidden="0" customHeight="1">
      <x:c r="A106" s="237" t="n">
        <x:v>2020</x:v>
      </x:c>
      <x:c r="B106" s="237" t="str">
        <x:f aca="0">IF($R$16&lt;&gt;"Yes","",$A$16)</x:f>
        <x:v>Cotton</x:v>
      </x:c>
      <x:c r="C106" s="237" t="n">
        <x:f aca="0">A106-$E$5+1</x:f>
        <x:v>1</x:v>
      </x:c>
      <x:c r="D106" s="237" t="n">
        <x:f aca="0">IF($R$16&lt;&gt;"Yes","",IF($B$16="Introduced",0,IF($H$16="","",$H$16*(1+$I$16)^C106)))</x:f>
        <x:v>10931.311349999998</x:v>
      </x:c>
      <x:c r="E106" s="238" t="n">
        <x:v>0</x:v>
      </x:c>
      <x:c r="F106" s="237" t="str">
        <x:f aca="0">IF(OR(D106="",E106=""),"",D106-E106)</x:f>
      </x:c>
      <x:c r="G106" s="237" t="str">
        <x:f aca="0">IF($R$16&lt;&gt;"Yes","",IF($Q$16="","",$Q$16*(1+$I$16)^C106))</x:f>
      </x:c>
      <x:c r="H106" s="238" t="n">
        <x:v>0</x:v>
      </x:c>
      <x:c r="I106" s="237" t="n">
        <x:f aca="0">IF(OR(G106="",H106=""),0,H106-G106)</x:f>
        <x:v>0</x:v>
      </x:c>
      <x:c r="J106" s="237" t="str">
        <x:f aca="0">IF(F106="","",F106-I106)</x:f>
      </x:c>
      <x:c r="K106" s="237" t="n">
        <x:f aca="0">IF($R$16&lt;&gt;"Yes","",$J$16)</x:f>
        <x:v>2.538125</x:v>
      </x:c>
      <x:c r="L106" s="237" t="n">
        <x:f aca="0">IF($R$16&lt;&gt;"Yes","",$K$16)</x:f>
        <x:v>0.75</x:v>
      </x:c>
      <x:c r="M106" s="237" t="n">
        <x:f aca="0">IF($R$16&lt;&gt;"Yes","",$L$16)</x:f>
        <x:v>0.4</x:v>
      </x:c>
      <x:c r="N106" s="237" t="str">
        <x:f aca="0">IF(OR(J106="",K106="",K106=0),"",J106*L106*M106/K106)</x:f>
      </x:c>
      <x:c r="O106" s="237" t="str">
        <x:f aca="0">IF($R$16&lt;&gt;"Yes","",$M$16)</x:f>
        <x:v>Govt. of India, Dept. of Agriculture and Farmers Welfare, DES - data.desagri.gov.in (crop-wise APY reports); 5-yr historical average 2015-2019, via ERR_Sheet_GKF_V1_1</x:v>
      </x:c>
      <x:c r="P106" s="80"/>
      <x:c r="Q106" s="80"/>
      <x:c r="R106" s="80"/>
    </x:row>
    <x:row r="107" ht="15" hidden="0" customHeight="1">
      <x:c r="A107" s="237" t="n">
        <x:v>2021</x:v>
      </x:c>
      <x:c r="B107" s="237" t="str">
        <x:f aca="0">IF($R$16&lt;&gt;"Yes","",$A$16)</x:f>
        <x:v>Cotton</x:v>
      </x:c>
      <x:c r="C107" s="237" t="n">
        <x:f aca="0">A107-$E$5+1</x:f>
        <x:v>2</x:v>
      </x:c>
      <x:c r="D107" s="237" t="n">
        <x:f aca="0">IF($R$16&lt;&gt;"Yes","",IF($B$16="Introduced",0,IF($H$16="","",$H$16*(1+$I$16)^C107)))</x:f>
        <x:v>11204.594133749999</x:v>
      </x:c>
      <x:c r="E107" s="238" t="n">
        <x:v>0</x:v>
      </x:c>
      <x:c r="F107" s="237" t="str">
        <x:f aca="0">IF(OR(D107="",E107=""),"",D107-E107)</x:f>
      </x:c>
      <x:c r="G107" s="237" t="str">
        <x:f aca="0">IF($R$16&lt;&gt;"Yes","",IF($Q$16="","",$Q$16*(1+$I$16)^C107))</x:f>
      </x:c>
      <x:c r="H107" s="238" t="n">
        <x:v>0</x:v>
      </x:c>
      <x:c r="I107" s="237" t="n">
        <x:f aca="0">IF(OR(G107="",H107=""),0,H107-G107)</x:f>
        <x:v>0</x:v>
      </x:c>
      <x:c r="J107" s="237" t="str">
        <x:f aca="0">IF(F107="","",F107-I107)</x:f>
      </x:c>
      <x:c r="K107" s="237" t="n">
        <x:f aca="0">IF($R$16&lt;&gt;"Yes","",$J$16)</x:f>
        <x:v>2.538125</x:v>
      </x:c>
      <x:c r="L107" s="237" t="n">
        <x:f aca="0">IF($R$16&lt;&gt;"Yes","",$K$16)</x:f>
        <x:v>0.75</x:v>
      </x:c>
      <x:c r="M107" s="237" t="n">
        <x:f aca="0">IF($R$16&lt;&gt;"Yes","",$L$16)</x:f>
        <x:v>0.4</x:v>
      </x:c>
      <x:c r="N107" s="237" t="str">
        <x:f aca="0">IF(OR(J107="",K107="",K107=0),"",J107*L107*M107/K107)</x:f>
      </x:c>
      <x:c r="O107" s="237" t="str">
        <x:f aca="0">IF($R$16&lt;&gt;"Yes","",$M$16)</x:f>
        <x:v>Govt. of India, Dept. of Agriculture and Farmers Welfare, DES - data.desagri.gov.in (crop-wise APY reports); 5-yr historical average 2015-2019, via ERR_Sheet_GKF_V1_1</x:v>
      </x:c>
      <x:c r="P107" s="80"/>
      <x:c r="Q107" s="80"/>
      <x:c r="R107" s="80"/>
    </x:row>
    <x:row r="108" ht="15" hidden="0" customHeight="1">
      <x:c r="A108" s="237" t="n">
        <x:v>2022</x:v>
      </x:c>
      <x:c r="B108" s="237" t="str">
        <x:f aca="0">IF($R$16&lt;&gt;"Yes","",$A$16)</x:f>
        <x:v>Cotton</x:v>
      </x:c>
      <x:c r="C108" s="237" t="n">
        <x:f aca="0">A108-$E$5+1</x:f>
        <x:v>3</x:v>
      </x:c>
      <x:c r="D108" s="237" t="n">
        <x:f aca="0">IF($R$16&lt;&gt;"Yes","",IF($B$16="Introduced",0,IF($H$16="","",$H$16*(1+$I$16)^C108)))</x:f>
        <x:v>11484.708987093749</x:v>
      </x:c>
      <x:c r="E108" s="238" t="n">
        <x:v>0</x:v>
      </x:c>
      <x:c r="F108" s="237" t="str">
        <x:f aca="0">IF(OR(D108="",E108=""),"",D108-E108)</x:f>
      </x:c>
      <x:c r="G108" s="237" t="str">
        <x:f aca="0">IF($R$16&lt;&gt;"Yes","",IF($Q$16="","",$Q$16*(1+$I$16)^C108))</x:f>
      </x:c>
      <x:c r="H108" s="238" t="n">
        <x:v>0</x:v>
      </x:c>
      <x:c r="I108" s="237" t="n">
        <x:f aca="0">IF(OR(G108="",H108=""),0,H108-G108)</x:f>
        <x:v>0</x:v>
      </x:c>
      <x:c r="J108" s="237" t="str">
        <x:f aca="0">IF(F108="","",F108-I108)</x:f>
      </x:c>
      <x:c r="K108" s="237" t="n">
        <x:f aca="0">IF($R$16&lt;&gt;"Yes","",$J$16)</x:f>
        <x:v>2.538125</x:v>
      </x:c>
      <x:c r="L108" s="237" t="n">
        <x:f aca="0">IF($R$16&lt;&gt;"Yes","",$K$16)</x:f>
        <x:v>0.75</x:v>
      </x:c>
      <x:c r="M108" s="237" t="n">
        <x:f aca="0">IF($R$16&lt;&gt;"Yes","",$L$16)</x:f>
        <x:v>0.4</x:v>
      </x:c>
      <x:c r="N108" s="237" t="str">
        <x:f aca="0">IF(OR(J108="",K108="",K108=0),"",J108*L108*M108/K108)</x:f>
      </x:c>
      <x:c r="O108" s="237" t="str">
        <x:f aca="0">IF($R$16&lt;&gt;"Yes","",$M$16)</x:f>
        <x:v>Govt. of India, Dept. of Agriculture and Farmers Welfare, DES - data.desagri.gov.in (crop-wise APY reports); 5-yr historical average 2015-2019, via ERR_Sheet_GKF_V1_1</x:v>
      </x:c>
      <x:c r="P108" s="80"/>
      <x:c r="Q108" s="80"/>
      <x:c r="R108" s="80"/>
    </x:row>
    <x:row r="109" ht="15" hidden="0" customHeight="1">
      <x:c r="A109" s="237" t="n">
        <x:v>2023</x:v>
      </x:c>
      <x:c r="B109" s="237" t="str">
        <x:f aca="0">IF($R$16&lt;&gt;"Yes","",$A$16)</x:f>
        <x:v>Cotton</x:v>
      </x:c>
      <x:c r="C109" s="237" t="n">
        <x:f aca="0">A109-$E$5+1</x:f>
        <x:v>4</x:v>
      </x:c>
      <x:c r="D109" s="237" t="n">
        <x:f aca="0">IF($R$16&lt;&gt;"Yes","",IF($B$16="Introduced",0,IF($H$16="","",$H$16*(1+$I$16)^C109)))</x:f>
        <x:v>11771.826711771091</x:v>
      </x:c>
      <x:c r="E109" s="238" t="n">
        <x:v>0</x:v>
      </x:c>
      <x:c r="F109" s="237" t="str">
        <x:f aca="0">IF(OR(D109="",E109=""),"",D109-E109)</x:f>
      </x:c>
      <x:c r="G109" s="237" t="str">
        <x:f aca="0">IF($R$16&lt;&gt;"Yes","",IF($Q$16="","",$Q$16*(1+$I$16)^C109))</x:f>
      </x:c>
      <x:c r="H109" s="238" t="n">
        <x:v>0</x:v>
      </x:c>
      <x:c r="I109" s="237" t="n">
        <x:f aca="0">IF(OR(G109="",H109=""),0,H109-G109)</x:f>
        <x:v>0</x:v>
      </x:c>
      <x:c r="J109" s="237" t="str">
        <x:f aca="0">IF(F109="","",F109-I109)</x:f>
      </x:c>
      <x:c r="K109" s="237" t="n">
        <x:f aca="0">IF($R$16&lt;&gt;"Yes","",$J$16)</x:f>
        <x:v>2.538125</x:v>
      </x:c>
      <x:c r="L109" s="237" t="n">
        <x:f aca="0">IF($R$16&lt;&gt;"Yes","",$K$16)</x:f>
        <x:v>0.75</x:v>
      </x:c>
      <x:c r="M109" s="237" t="n">
        <x:f aca="0">IF($R$16&lt;&gt;"Yes","",$L$16)</x:f>
        <x:v>0.4</x:v>
      </x:c>
      <x:c r="N109" s="237" t="str">
        <x:f aca="0">IF(OR(J109="",K109="",K109=0),"",J109*L109*M109/K109)</x:f>
      </x:c>
      <x:c r="O109" s="237" t="str">
        <x:f aca="0">IF($R$16&lt;&gt;"Yes","",$M$16)</x:f>
        <x:v>Govt. of India, Dept. of Agriculture and Farmers Welfare, DES - data.desagri.gov.in (crop-wise APY reports); 5-yr historical average 2015-2019, via ERR_Sheet_GKF_V1_1</x:v>
      </x:c>
      <x:c r="P109" s="80"/>
      <x:c r="Q109" s="80"/>
      <x:c r="R109" s="80"/>
    </x:row>
    <x:row r="110" ht="15" hidden="0" customHeight="1">
      <x:c r="A110" s="237" t="n">
        <x:v>2024</x:v>
      </x:c>
      <x:c r="B110" s="237" t="str">
        <x:f aca="0">IF($R$16&lt;&gt;"Yes","",$A$16)</x:f>
        <x:v>Cotton</x:v>
      </x:c>
      <x:c r="C110" s="237" t="n">
        <x:f aca="0">A110-$E$5+1</x:f>
        <x:v>5</x:v>
      </x:c>
      <x:c r="D110" s="237" t="n">
        <x:f aca="0">IF($R$16&lt;&gt;"Yes","",IF($B$16="Introduced",0,IF($H$16="","",$H$16*(1+$I$16)^C110)))</x:f>
        <x:v>12066.122379565368</x:v>
      </x:c>
      <x:c r="E110" s="238" t="n">
        <x:v>0</x:v>
      </x:c>
      <x:c r="F110" s="237" t="str">
        <x:f aca="0">IF(OR(D110="",E110=""),"",D110-E110)</x:f>
      </x:c>
      <x:c r="G110" s="237" t="str">
        <x:f aca="0">IF($R$16&lt;&gt;"Yes","",IF($Q$16="","",$Q$16*(1+$I$16)^C110))</x:f>
      </x:c>
      <x:c r="H110" s="238" t="n">
        <x:v>0</x:v>
      </x:c>
      <x:c r="I110" s="237" t="n">
        <x:f aca="0">IF(OR(G110="",H110=""),0,H110-G110)</x:f>
        <x:v>0</x:v>
      </x:c>
      <x:c r="J110" s="237" t="str">
        <x:f aca="0">IF(F110="","",F110-I110)</x:f>
      </x:c>
      <x:c r="K110" s="237" t="n">
        <x:f aca="0">IF($R$16&lt;&gt;"Yes","",$J$16)</x:f>
        <x:v>2.538125</x:v>
      </x:c>
      <x:c r="L110" s="237" t="n">
        <x:f aca="0">IF($R$16&lt;&gt;"Yes","",$K$16)</x:f>
        <x:v>0.75</x:v>
      </x:c>
      <x:c r="M110" s="237" t="n">
        <x:f aca="0">IF($R$16&lt;&gt;"Yes","",$L$16)</x:f>
        <x:v>0.4</x:v>
      </x:c>
      <x:c r="N110" s="237" t="str">
        <x:f aca="0">IF(OR(J110="",K110="",K110=0),"",J110*L110*M110/K110)</x:f>
      </x:c>
      <x:c r="O110" s="237" t="str">
        <x:f aca="0">IF($R$16&lt;&gt;"Yes","",$M$16)</x:f>
        <x:v>Govt. of India, Dept. of Agriculture and Farmers Welfare, DES - data.desagri.gov.in (crop-wise APY reports); 5-yr historical average 2015-2019, via ERR_Sheet_GKF_V1_1</x:v>
      </x:c>
      <x:c r="P110" s="80"/>
      <x:c r="Q110" s="80"/>
      <x:c r="R110" s="80"/>
    </x:row>
    <x:row r="111" ht="15" hidden="0" customHeight="1">
      <x:c r="A111" s="237" t="n">
        <x:v>2025</x:v>
      </x:c>
      <x:c r="B111" s="237" t="str">
        <x:f aca="0">IF($R$16&lt;&gt;"Yes","",$A$16)</x:f>
        <x:v>Cotton</x:v>
      </x:c>
      <x:c r="C111" s="237" t="n">
        <x:f aca="0">A111-$E$5+1</x:f>
        <x:v>6</x:v>
      </x:c>
      <x:c r="D111" s="237" t="n">
        <x:f aca="0">IF($R$16&lt;&gt;"Yes","",IF($B$16="Introduced",0,IF($H$16="","",$H$16*(1+$I$16)^C111)))</x:f>
        <x:v>12367.7754390545</x:v>
      </x:c>
      <x:c r="E111" s="238" t="n">
        <x:v>0</x:v>
      </x:c>
      <x:c r="F111" s="237" t="str">
        <x:f aca="0">IF(OR(D111="",E111=""),"",D111-E111)</x:f>
      </x:c>
      <x:c r="G111" s="237" t="str">
        <x:f aca="0">IF($R$16&lt;&gt;"Yes","",IF($Q$16="","",$Q$16*(1+$I$16)^C111))</x:f>
      </x:c>
      <x:c r="H111" s="238" t="n">
        <x:v>0</x:v>
      </x:c>
      <x:c r="I111" s="237" t="n">
        <x:f aca="0">IF(OR(G111="",H111=""),0,H111-G111)</x:f>
        <x:v>0</x:v>
      </x:c>
      <x:c r="J111" s="237" t="str">
        <x:f aca="0">IF(F111="","",F111-I111)</x:f>
      </x:c>
      <x:c r="K111" s="237" t="n">
        <x:f aca="0">IF($R$16&lt;&gt;"Yes","",$J$16)</x:f>
        <x:v>2.538125</x:v>
      </x:c>
      <x:c r="L111" s="237" t="n">
        <x:f aca="0">IF($R$16&lt;&gt;"Yes","",$K$16)</x:f>
        <x:v>0.75</x:v>
      </x:c>
      <x:c r="M111" s="237" t="n">
        <x:f aca="0">IF($R$16&lt;&gt;"Yes","",$L$16)</x:f>
        <x:v>0.4</x:v>
      </x:c>
      <x:c r="N111" s="237" t="str">
        <x:f aca="0">IF(OR(J111="",K111="",K111=0),"",J111*L111*M111/K111)</x:f>
      </x:c>
      <x:c r="O111" s="237" t="str">
        <x:f aca="0">IF($R$16&lt;&gt;"Yes","",$M$16)</x:f>
        <x:v>Govt. of India, Dept. of Agriculture and Farmers Welfare, DES - data.desagri.gov.in (crop-wise APY reports); 5-yr historical average 2015-2019, via ERR_Sheet_GKF_V1_1</x:v>
      </x:c>
      <x:c r="P111" s="80"/>
      <x:c r="Q111" s="80"/>
      <x:c r="R111" s="80"/>
    </x:row>
    <x:row r="112" ht="15" hidden="0" customHeight="1">
      <x:c r="A112" s="237" t="n">
        <x:v>2026</x:v>
      </x:c>
      <x:c r="B112" s="237" t="str">
        <x:f aca="0">IF($R$16&lt;&gt;"Yes","",$A$16)</x:f>
        <x:v>Cotton</x:v>
      </x:c>
      <x:c r="C112" s="237" t="n">
        <x:f aca="0">A112-$E$5+1</x:f>
        <x:v>7</x:v>
      </x:c>
      <x:c r="D112" s="237" t="n">
        <x:f aca="0">IF($R$16&lt;&gt;"Yes","",IF($B$16="Introduced",0,IF($H$16="","",$H$16*(1+$I$16)^C112)))</x:f>
        <x:v>12676.969825030863</x:v>
      </x:c>
      <x:c r="E112" s="238" t="n">
        <x:v>0</x:v>
      </x:c>
      <x:c r="F112" s="237" t="str">
        <x:f aca="0">IF(OR(D112="",E112=""),"",D112-E112)</x:f>
      </x:c>
      <x:c r="G112" s="237" t="str">
        <x:f aca="0">IF($R$16&lt;&gt;"Yes","",IF($Q$16="","",$Q$16*(1+$I$16)^C112))</x:f>
      </x:c>
      <x:c r="H112" s="238" t="n">
        <x:v>0</x:v>
      </x:c>
      <x:c r="I112" s="237" t="n">
        <x:f aca="0">IF(OR(G112="",H112=""),0,H112-G112)</x:f>
        <x:v>0</x:v>
      </x:c>
      <x:c r="J112" s="237" t="str">
        <x:f aca="0">IF(F112="","",F112-I112)</x:f>
      </x:c>
      <x:c r="K112" s="237" t="n">
        <x:f aca="0">IF($R$16&lt;&gt;"Yes","",$J$16)</x:f>
        <x:v>2.538125</x:v>
      </x:c>
      <x:c r="L112" s="237" t="n">
        <x:f aca="0">IF($R$16&lt;&gt;"Yes","",$K$16)</x:f>
        <x:v>0.75</x:v>
      </x:c>
      <x:c r="M112" s="237" t="n">
        <x:f aca="0">IF($R$16&lt;&gt;"Yes","",$L$16)</x:f>
        <x:v>0.4</x:v>
      </x:c>
      <x:c r="N112" s="237" t="str">
        <x:f aca="0">IF(OR(J112="",K112="",K112=0),"",J112*L112*M112/K112)</x:f>
      </x:c>
      <x:c r="O112" s="237" t="str">
        <x:f aca="0">IF($R$16&lt;&gt;"Yes","",$M$16)</x:f>
        <x:v>Govt. of India, Dept. of Agriculture and Farmers Welfare, DES - data.desagri.gov.in (crop-wise APY reports); 5-yr historical average 2015-2019, via ERR_Sheet_GKF_V1_1</x:v>
      </x:c>
      <x:c r="P112" s="80"/>
      <x:c r="Q112" s="80"/>
      <x:c r="R112" s="80"/>
    </x:row>
    <x:row r="113" ht="15" hidden="0" customHeight="1">
      <x:c r="A113" s="237" t="n">
        <x:v>2027</x:v>
      </x:c>
      <x:c r="B113" s="237" t="str">
        <x:f aca="0">IF($R$16&lt;&gt;"Yes","",$A$16)</x:f>
        <x:v>Cotton</x:v>
      </x:c>
      <x:c r="C113" s="237" t="n">
        <x:f aca="0">A113-$E$5+1</x:f>
        <x:v>8</x:v>
      </x:c>
      <x:c r="D113" s="237" t="n">
        <x:f aca="0">IF($R$16&lt;&gt;"Yes","",IF($B$16="Introduced",0,IF($H$16="","",$H$16*(1+$I$16)^C113)))</x:f>
        <x:v>12993.894070656634</x:v>
      </x:c>
      <x:c r="E113" s="238" t="n">
        <x:v>0</x:v>
      </x:c>
      <x:c r="F113" s="237" t="str">
        <x:f aca="0">IF(OR(D113="",E113=""),"",D113-E113)</x:f>
      </x:c>
      <x:c r="G113" s="237" t="str">
        <x:f aca="0">IF($R$16&lt;&gt;"Yes","",IF($Q$16="","",$Q$16*(1+$I$16)^C113))</x:f>
      </x:c>
      <x:c r="H113" s="238" t="n">
        <x:v>0</x:v>
      </x:c>
      <x:c r="I113" s="237" t="n">
        <x:f aca="0">IF(OR(G113="",H113=""),0,H113-G113)</x:f>
        <x:v>0</x:v>
      </x:c>
      <x:c r="J113" s="237" t="str">
        <x:f aca="0">IF(F113="","",F113-I113)</x:f>
      </x:c>
      <x:c r="K113" s="237" t="n">
        <x:f aca="0">IF($R$16&lt;&gt;"Yes","",$J$16)</x:f>
        <x:v>2.538125</x:v>
      </x:c>
      <x:c r="L113" s="237" t="n">
        <x:f aca="0">IF($R$16&lt;&gt;"Yes","",$K$16)</x:f>
        <x:v>0.75</x:v>
      </x:c>
      <x:c r="M113" s="237" t="n">
        <x:f aca="0">IF($R$16&lt;&gt;"Yes","",$L$16)</x:f>
        <x:v>0.4</x:v>
      </x:c>
      <x:c r="N113" s="237" t="str">
        <x:f aca="0">IF(OR(J113="",K113="",K113=0),"",J113*L113*M113/K113)</x:f>
      </x:c>
      <x:c r="O113" s="237" t="str">
        <x:f aca="0">IF($R$16&lt;&gt;"Yes","",$M$16)</x:f>
        <x:v>Govt. of India, Dept. of Agriculture and Farmers Welfare, DES - data.desagri.gov.in (crop-wise APY reports); 5-yr historical average 2015-2019, via ERR_Sheet_GKF_V1_1</x:v>
      </x:c>
      <x:c r="P113" s="80"/>
      <x:c r="Q113" s="80"/>
      <x:c r="R113" s="80"/>
    </x:row>
    <x:row r="114" ht="15" hidden="0" customHeight="1">
      <x:c r="A114" s="237" t="n">
        <x:v>2028</x:v>
      </x:c>
      <x:c r="B114" s="237" t="str">
        <x:f aca="0">IF($R$16&lt;&gt;"Yes","",$A$16)</x:f>
        <x:v>Cotton</x:v>
      </x:c>
      <x:c r="C114" s="237" t="n">
        <x:f aca="0">A114-$E$5+1</x:f>
        <x:v>9</x:v>
      </x:c>
      <x:c r="D114" s="237" t="n">
        <x:f aca="0">IF($R$16&lt;&gt;"Yes","",IF($B$16="Introduced",0,IF($H$16="","",$H$16*(1+$I$16)^C114)))</x:f>
        <x:v>13318.741422423047</x:v>
      </x:c>
      <x:c r="E114" s="238" t="n">
        <x:v>0</x:v>
      </x:c>
      <x:c r="F114" s="237" t="str">
        <x:f aca="0">IF(OR(D114="",E114=""),"",D114-E114)</x:f>
      </x:c>
      <x:c r="G114" s="237" t="str">
        <x:f aca="0">IF($R$16&lt;&gt;"Yes","",IF($Q$16="","",$Q$16*(1+$I$16)^C114))</x:f>
      </x:c>
      <x:c r="H114" s="238" t="n">
        <x:v>0</x:v>
      </x:c>
      <x:c r="I114" s="237" t="n">
        <x:f aca="0">IF(OR(G114="",H114=""),0,H114-G114)</x:f>
        <x:v>0</x:v>
      </x:c>
      <x:c r="J114" s="237" t="str">
        <x:f aca="0">IF(F114="","",F114-I114)</x:f>
      </x:c>
      <x:c r="K114" s="237" t="n">
        <x:f aca="0">IF($R$16&lt;&gt;"Yes","",$J$16)</x:f>
        <x:v>2.538125</x:v>
      </x:c>
      <x:c r="L114" s="237" t="n">
        <x:f aca="0">IF($R$16&lt;&gt;"Yes","",$K$16)</x:f>
        <x:v>0.75</x:v>
      </x:c>
      <x:c r="M114" s="237" t="n">
        <x:f aca="0">IF($R$16&lt;&gt;"Yes","",$L$16)</x:f>
        <x:v>0.4</x:v>
      </x:c>
      <x:c r="N114" s="237" t="str">
        <x:f aca="0">IF(OR(J114="",K114="",K114=0),"",J114*L114*M114/K114)</x:f>
      </x:c>
      <x:c r="O114" s="237" t="str">
        <x:f aca="0">IF($R$16&lt;&gt;"Yes","",$M$16)</x:f>
        <x:v>Govt. of India, Dept. of Agriculture and Farmers Welfare, DES - data.desagri.gov.in (crop-wise APY reports); 5-yr historical average 2015-2019, via ERR_Sheet_GKF_V1_1</x:v>
      </x:c>
      <x:c r="P114" s="80"/>
      <x:c r="Q114" s="80"/>
      <x:c r="R114" s="80"/>
    </x:row>
    <x:row r="115" ht="15" hidden="0" customHeight="1">
      <x:c r="A115" s="237" t="n">
        <x:v>2029</x:v>
      </x:c>
      <x:c r="B115" s="237" t="str">
        <x:f aca="0">IF($R$16&lt;&gt;"Yes","",$A$16)</x:f>
        <x:v>Cotton</x:v>
      </x:c>
      <x:c r="C115" s="237" t="n">
        <x:f aca="0">A115-$E$5+1</x:f>
        <x:v>10</x:v>
      </x:c>
      <x:c r="D115" s="237" t="n">
        <x:f aca="0">IF($R$16&lt;&gt;"Yes","",IF($B$16="Introduced",0,IF($H$16="","",$H$16*(1+$I$16)^C115)))</x:f>
        <x:v>13651.709957983623</x:v>
      </x:c>
      <x:c r="E115" s="238" t="n">
        <x:v>0</x:v>
      </x:c>
      <x:c r="F115" s="237" t="str">
        <x:f aca="0">IF(OR(D115="",E115=""),"",D115-E115)</x:f>
      </x:c>
      <x:c r="G115" s="237" t="str">
        <x:f aca="0">IF($R$16&lt;&gt;"Yes","",IF($Q$16="","",$Q$16*(1+$I$16)^C115))</x:f>
      </x:c>
      <x:c r="H115" s="238" t="n">
        <x:v>0</x:v>
      </x:c>
      <x:c r="I115" s="237" t="n">
        <x:f aca="0">IF(OR(G115="",H115=""),0,H115-G115)</x:f>
        <x:v>0</x:v>
      </x:c>
      <x:c r="J115" s="237" t="str">
        <x:f aca="0">IF(F115="","",F115-I115)</x:f>
      </x:c>
      <x:c r="K115" s="237" t="n">
        <x:f aca="0">IF($R$16&lt;&gt;"Yes","",$J$16)</x:f>
        <x:v>2.538125</x:v>
      </x:c>
      <x:c r="L115" s="237" t="n">
        <x:f aca="0">IF($R$16&lt;&gt;"Yes","",$K$16)</x:f>
        <x:v>0.75</x:v>
      </x:c>
      <x:c r="M115" s="237" t="n">
        <x:f aca="0">IF($R$16&lt;&gt;"Yes","",$L$16)</x:f>
        <x:v>0.4</x:v>
      </x:c>
      <x:c r="N115" s="237" t="str">
        <x:f aca="0">IF(OR(J115="",K115="",K115=0),"",J115*L115*M115/K115)</x:f>
      </x:c>
      <x:c r="O115" s="237" t="str">
        <x:f aca="0">IF($R$16&lt;&gt;"Yes","",$M$16)</x:f>
        <x:v>Govt. of India, Dept. of Agriculture and Farmers Welfare, DES - data.desagri.gov.in (crop-wise APY reports); 5-yr historical average 2015-2019, via ERR_Sheet_GKF_V1_1</x:v>
      </x:c>
      <x:c r="P115" s="80"/>
      <x:c r="Q115" s="80"/>
      <x:c r="R115" s="80"/>
    </x:row>
    <x:row r="116" ht="15" hidden="0" customHeight="1">
      <x:c r="A116" s="237" t="n">
        <x:v>2030</x:v>
      </x:c>
      <x:c r="B116" s="237" t="str">
        <x:f aca="0">IF($R$16&lt;&gt;"Yes","",$A$16)</x:f>
        <x:v>Cotton</x:v>
      </x:c>
      <x:c r="C116" s="237" t="n">
        <x:f aca="0">A116-$E$5+1</x:f>
        <x:v>11</x:v>
      </x:c>
      <x:c r="D116" s="237" t="n">
        <x:f aca="0">IF($R$16&lt;&gt;"Yes","",IF($B$16="Introduced",0,IF($H$16="","",$H$16*(1+$I$16)^C116)))</x:f>
        <x:v>13993.002706933214</x:v>
      </x:c>
      <x:c r="E116" s="238" t="n">
        <x:v>0</x:v>
      </x:c>
      <x:c r="F116" s="237" t="str">
        <x:f aca="0">IF(OR(D116="",E116=""),"",D116-E116)</x:f>
      </x:c>
      <x:c r="G116" s="237" t="str">
        <x:f aca="0">IF($R$16&lt;&gt;"Yes","",IF($Q$16="","",$Q$16*(1+$I$16)^C116))</x:f>
      </x:c>
      <x:c r="H116" s="238" t="n">
        <x:v>0</x:v>
      </x:c>
      <x:c r="I116" s="237" t="n">
        <x:f aca="0">IF(OR(G116="",H116=""),0,H116-G116)</x:f>
        <x:v>0</x:v>
      </x:c>
      <x:c r="J116" s="237" t="str">
        <x:f aca="0">IF(F116="","",F116-I116)</x:f>
      </x:c>
      <x:c r="K116" s="237" t="n">
        <x:f aca="0">IF($R$16&lt;&gt;"Yes","",$J$16)</x:f>
        <x:v>2.538125</x:v>
      </x:c>
      <x:c r="L116" s="237" t="n">
        <x:f aca="0">IF($R$16&lt;&gt;"Yes","",$K$16)</x:f>
        <x:v>0.75</x:v>
      </x:c>
      <x:c r="M116" s="237" t="n">
        <x:f aca="0">IF($R$16&lt;&gt;"Yes","",$L$16)</x:f>
        <x:v>0.4</x:v>
      </x:c>
      <x:c r="N116" s="237" t="str">
        <x:f aca="0">IF(OR(J116="",K116="",K116=0),"",J116*L116*M116/K116)</x:f>
      </x:c>
      <x:c r="O116" s="237" t="str">
        <x:f aca="0">IF($R$16&lt;&gt;"Yes","",$M$16)</x:f>
        <x:v>Govt. of India, Dept. of Agriculture and Farmers Welfare, DES - data.desagri.gov.in (crop-wise APY reports); 5-yr historical average 2015-2019, via ERR_Sheet_GKF_V1_1</x:v>
      </x:c>
      <x:c r="P116" s="80"/>
      <x:c r="Q116" s="80"/>
      <x:c r="R116" s="80"/>
    </x:row>
    <x:row r="117" ht="15" hidden="0" customHeight="1">
      <x:c r="A117" s="237" t="n">
        <x:v>2031</x:v>
      </x:c>
      <x:c r="B117" s="237" t="str">
        <x:f aca="0">IF($R$16&lt;&gt;"Yes","",$A$16)</x:f>
        <x:v>Cotton</x:v>
      </x:c>
      <x:c r="C117" s="237" t="n">
        <x:f aca="0">A117-$E$5+1</x:f>
        <x:v>12</x:v>
      </x:c>
      <x:c r="D117" s="237" t="n">
        <x:f aca="0">IF($R$16&lt;&gt;"Yes","",IF($B$16="Introduced",0,IF($H$16="","",$H$16*(1+$I$16)^C117)))</x:f>
        <x:v>14342.827774606543</x:v>
      </x:c>
      <x:c r="E117" s="238" t="n">
        <x:v>0</x:v>
      </x:c>
      <x:c r="F117" s="237" t="str">
        <x:f aca="0">IF(OR(D117="",E117=""),"",D117-E117)</x:f>
      </x:c>
      <x:c r="G117" s="237" t="str">
        <x:f aca="0">IF($R$16&lt;&gt;"Yes","",IF($Q$16="","",$Q$16*(1+$I$16)^C117))</x:f>
      </x:c>
      <x:c r="H117" s="238" t="n">
        <x:v>0</x:v>
      </x:c>
      <x:c r="I117" s="237" t="n">
        <x:f aca="0">IF(OR(G117="",H117=""),0,H117-G117)</x:f>
        <x:v>0</x:v>
      </x:c>
      <x:c r="J117" s="237" t="str">
        <x:f aca="0">IF(F117="","",F117-I117)</x:f>
      </x:c>
      <x:c r="K117" s="237" t="n">
        <x:f aca="0">IF($R$16&lt;&gt;"Yes","",$J$16)</x:f>
        <x:v>2.538125</x:v>
      </x:c>
      <x:c r="L117" s="237" t="n">
        <x:f aca="0">IF($R$16&lt;&gt;"Yes","",$K$16)</x:f>
        <x:v>0.75</x:v>
      </x:c>
      <x:c r="M117" s="237" t="n">
        <x:f aca="0">IF($R$16&lt;&gt;"Yes","",$L$16)</x:f>
        <x:v>0.4</x:v>
      </x:c>
      <x:c r="N117" s="237" t="str">
        <x:f aca="0">IF(OR(J117="",K117="",K117=0),"",J117*L117*M117/K117)</x:f>
      </x:c>
      <x:c r="O117" s="237" t="str">
        <x:f aca="0">IF($R$16&lt;&gt;"Yes","",$M$16)</x:f>
        <x:v>Govt. of India, Dept. of Agriculture and Farmers Welfare, DES - data.desagri.gov.in (crop-wise APY reports); 5-yr historical average 2015-2019, via ERR_Sheet_GKF_V1_1</x:v>
      </x:c>
      <x:c r="P117" s="80"/>
      <x:c r="Q117" s="80"/>
      <x:c r="R117" s="80"/>
    </x:row>
    <x:row r="118" ht="15" hidden="0" customHeight="1">
      <x:c r="A118" s="237" t="n">
        <x:v>2032</x:v>
      </x:c>
      <x:c r="B118" s="237" t="str">
        <x:f aca="0">IF($R$16&lt;&gt;"Yes","",$A$16)</x:f>
        <x:v>Cotton</x:v>
      </x:c>
      <x:c r="C118" s="237" t="n">
        <x:f aca="0">A118-$E$5+1</x:f>
        <x:v>13</x:v>
      </x:c>
      <x:c r="D118" s="237" t="n">
        <x:f aca="0">IF($R$16&lt;&gt;"Yes","",IF($B$16="Introduced",0,IF($H$16="","",$H$16*(1+$I$16)^C118)))</x:f>
        <x:v>14701.398468971705</x:v>
      </x:c>
      <x:c r="E118" s="238" t="n">
        <x:v>0</x:v>
      </x:c>
      <x:c r="F118" s="237" t="str">
        <x:f aca="0">IF(OR(D118="",E118=""),"",D118-E118)</x:f>
      </x:c>
      <x:c r="G118" s="237" t="str">
        <x:f aca="0">IF($R$16&lt;&gt;"Yes","",IF($Q$16="","",$Q$16*(1+$I$16)^C118))</x:f>
      </x:c>
      <x:c r="H118" s="238" t="n">
        <x:v>0</x:v>
      </x:c>
      <x:c r="I118" s="237" t="n">
        <x:f aca="0">IF(OR(G118="",H118=""),0,H118-G118)</x:f>
        <x:v>0</x:v>
      </x:c>
      <x:c r="J118" s="237" t="str">
        <x:f aca="0">IF(F118="","",F118-I118)</x:f>
      </x:c>
      <x:c r="K118" s="237" t="n">
        <x:f aca="0">IF($R$16&lt;&gt;"Yes","",$J$16)</x:f>
        <x:v>2.538125</x:v>
      </x:c>
      <x:c r="L118" s="237" t="n">
        <x:f aca="0">IF($R$16&lt;&gt;"Yes","",$K$16)</x:f>
        <x:v>0.75</x:v>
      </x:c>
      <x:c r="M118" s="237" t="n">
        <x:f aca="0">IF($R$16&lt;&gt;"Yes","",$L$16)</x:f>
        <x:v>0.4</x:v>
      </x:c>
      <x:c r="N118" s="237" t="str">
        <x:f aca="0">IF(OR(J118="",K118="",K118=0),"",J118*L118*M118/K118)</x:f>
      </x:c>
      <x:c r="O118" s="237" t="str">
        <x:f aca="0">IF($R$16&lt;&gt;"Yes","",$M$16)</x:f>
        <x:v>Govt. of India, Dept. of Agriculture and Farmers Welfare, DES - data.desagri.gov.in (crop-wise APY reports); 5-yr historical average 2015-2019, via ERR_Sheet_GKF_V1_1</x:v>
      </x:c>
      <x:c r="P118" s="80"/>
      <x:c r="Q118" s="80"/>
      <x:c r="R118" s="80"/>
    </x:row>
    <x:row r="119" ht="15" hidden="0" customHeight="1">
      <x:c r="A119" s="237" t="n">
        <x:v>2033</x:v>
      </x:c>
      <x:c r="B119" s="237" t="str">
        <x:f aca="0">IF($R$16&lt;&gt;"Yes","",$A$16)</x:f>
        <x:v>Cotton</x:v>
      </x:c>
      <x:c r="C119" s="237" t="n">
        <x:f aca="0">A119-$E$5+1</x:f>
        <x:v>14</x:v>
      </x:c>
      <x:c r="D119" s="237" t="n">
        <x:f aca="0">IF($R$16&lt;&gt;"Yes","",IF($B$16="Introduced",0,IF($H$16="","",$H$16*(1+$I$16)^C119)))</x:f>
        <x:v>15068.933430695997</x:v>
      </x:c>
      <x:c r="E119" s="238" t="n">
        <x:v>0</x:v>
      </x:c>
      <x:c r="F119" s="237" t="str">
        <x:f aca="0">IF(OR(D119="",E119=""),"",D119-E119)</x:f>
      </x:c>
      <x:c r="G119" s="237" t="str">
        <x:f aca="0">IF($R$16&lt;&gt;"Yes","",IF($Q$16="","",$Q$16*(1+$I$16)^C119))</x:f>
      </x:c>
      <x:c r="H119" s="238" t="n">
        <x:v>0</x:v>
      </x:c>
      <x:c r="I119" s="237" t="n">
        <x:f aca="0">IF(OR(G119="",H119=""),0,H119-G119)</x:f>
        <x:v>0</x:v>
      </x:c>
      <x:c r="J119" s="237" t="str">
        <x:f aca="0">IF(F119="","",F119-I119)</x:f>
      </x:c>
      <x:c r="K119" s="237" t="n">
        <x:f aca="0">IF($R$16&lt;&gt;"Yes","",$J$16)</x:f>
        <x:v>2.538125</x:v>
      </x:c>
      <x:c r="L119" s="237" t="n">
        <x:f aca="0">IF($R$16&lt;&gt;"Yes","",$K$16)</x:f>
        <x:v>0.75</x:v>
      </x:c>
      <x:c r="M119" s="237" t="n">
        <x:f aca="0">IF($R$16&lt;&gt;"Yes","",$L$16)</x:f>
        <x:v>0.4</x:v>
      </x:c>
      <x:c r="N119" s="237" t="str">
        <x:f aca="0">IF(OR(J119="",K119="",K119=0),"",J119*L119*M119/K119)</x:f>
      </x:c>
      <x:c r="O119" s="237" t="str">
        <x:f aca="0">IF($R$16&lt;&gt;"Yes","",$M$16)</x:f>
        <x:v>Govt. of India, Dept. of Agriculture and Farmers Welfare, DES - data.desagri.gov.in (crop-wise APY reports); 5-yr historical average 2015-2019, via ERR_Sheet_GKF_V1_1</x:v>
      </x:c>
      <x:c r="P119" s="80"/>
      <x:c r="Q119" s="80"/>
      <x:c r="R119" s="80"/>
    </x:row>
    <x:row r="120" ht="15" hidden="0" customHeight="1">
      <x:c r="A120" s="237" t="n">
        <x:v>2034</x:v>
      </x:c>
      <x:c r="B120" s="237" t="str">
        <x:f aca="0">IF($R$16&lt;&gt;"Yes","",$A$16)</x:f>
        <x:v>Cotton</x:v>
      </x:c>
      <x:c r="C120" s="237" t="n">
        <x:f aca="0">A120-$E$5+1</x:f>
        <x:v>15</x:v>
      </x:c>
      <x:c r="D120" s="237" t="n">
        <x:f aca="0">IF($R$16&lt;&gt;"Yes","",IF($B$16="Introduced",0,IF($H$16="","",$H$16*(1+$I$16)^C120)))</x:f>
        <x:v>15445.656766463399</x:v>
      </x:c>
      <x:c r="E120" s="238" t="n">
        <x:v>0</x:v>
      </x:c>
      <x:c r="F120" s="237" t="str">
        <x:f aca="0">IF(OR(D120="",E120=""),"",D120-E120)</x:f>
      </x:c>
      <x:c r="G120" s="237" t="str">
        <x:f aca="0">IF($R$16&lt;&gt;"Yes","",IF($Q$16="","",$Q$16*(1+$I$16)^C120))</x:f>
      </x:c>
      <x:c r="H120" s="238" t="n">
        <x:v>0</x:v>
      </x:c>
      <x:c r="I120" s="237" t="n">
        <x:f aca="0">IF(OR(G120="",H120=""),0,H120-G120)</x:f>
        <x:v>0</x:v>
      </x:c>
      <x:c r="J120" s="237" t="str">
        <x:f aca="0">IF(F120="","",F120-I120)</x:f>
      </x:c>
      <x:c r="K120" s="237" t="n">
        <x:f aca="0">IF($R$16&lt;&gt;"Yes","",$J$16)</x:f>
        <x:v>2.538125</x:v>
      </x:c>
      <x:c r="L120" s="237" t="n">
        <x:f aca="0">IF($R$16&lt;&gt;"Yes","",$K$16)</x:f>
        <x:v>0.75</x:v>
      </x:c>
      <x:c r="M120" s="237" t="n">
        <x:f aca="0">IF($R$16&lt;&gt;"Yes","",$L$16)</x:f>
        <x:v>0.4</x:v>
      </x:c>
      <x:c r="N120" s="237" t="str">
        <x:f aca="0">IF(OR(J120="",K120="",K120=0),"",J120*L120*M120/K120)</x:f>
      </x:c>
      <x:c r="O120" s="237" t="str">
        <x:f aca="0">IF($R$16&lt;&gt;"Yes","",$M$16)</x:f>
        <x:v>Govt. of India, Dept. of Agriculture and Farmers Welfare, DES - data.desagri.gov.in (crop-wise APY reports); 5-yr historical average 2015-2019, via ERR_Sheet_GKF_V1_1</x:v>
      </x:c>
      <x:c r="P120" s="80"/>
      <x:c r="Q120" s="80"/>
      <x:c r="R120" s="80"/>
    </x:row>
    <x:row r="121" ht="15" hidden="0" customHeight="1">
      <x:c r="A121" s="237" t="n">
        <x:v>2035</x:v>
      </x:c>
      <x:c r="B121" s="237" t="str">
        <x:f aca="0">IF($R$16&lt;&gt;"Yes","",$A$16)</x:f>
        <x:v>Cotton</x:v>
      </x:c>
      <x:c r="C121" s="237" t="n">
        <x:f aca="0">A121-$E$5+1</x:f>
        <x:v>16</x:v>
      </x:c>
      <x:c r="D121" s="237" t="n">
        <x:f aca="0">IF($R$16&lt;&gt;"Yes","",IF($B$16="Introduced",0,IF($H$16="","",$H$16*(1+$I$16)^C121)))</x:f>
        <x:v>15831.798185624983</x:v>
      </x:c>
      <x:c r="E121" s="238" t="n">
        <x:v>0</x:v>
      </x:c>
      <x:c r="F121" s="237" t="str">
        <x:f aca="0">IF(OR(D121="",E121=""),"",D121-E121)</x:f>
      </x:c>
      <x:c r="G121" s="237" t="str">
        <x:f aca="0">IF($R$16&lt;&gt;"Yes","",IF($Q$16="","",$Q$16*(1+$I$16)^C121))</x:f>
      </x:c>
      <x:c r="H121" s="238" t="n">
        <x:v>0</x:v>
      </x:c>
      <x:c r="I121" s="237" t="n">
        <x:f aca="0">IF(OR(G121="",H121=""),0,H121-G121)</x:f>
        <x:v>0</x:v>
      </x:c>
      <x:c r="J121" s="237" t="str">
        <x:f aca="0">IF(F121="","",F121-I121)</x:f>
      </x:c>
      <x:c r="K121" s="237" t="n">
        <x:f aca="0">IF($R$16&lt;&gt;"Yes","",$J$16)</x:f>
        <x:v>2.538125</x:v>
      </x:c>
      <x:c r="L121" s="237" t="n">
        <x:f aca="0">IF($R$16&lt;&gt;"Yes","",$K$16)</x:f>
        <x:v>0.75</x:v>
      </x:c>
      <x:c r="M121" s="237" t="n">
        <x:f aca="0">IF($R$16&lt;&gt;"Yes","",$L$16)</x:f>
        <x:v>0.4</x:v>
      </x:c>
      <x:c r="N121" s="237" t="str">
        <x:f aca="0">IF(OR(J121="",K121="",K121=0),"",J121*L121*M121/K121)</x:f>
      </x:c>
      <x:c r="O121" s="237" t="str">
        <x:f aca="0">IF($R$16&lt;&gt;"Yes","",$M$16)</x:f>
        <x:v>Govt. of India, Dept. of Agriculture and Farmers Welfare, DES - data.desagri.gov.in (crop-wise APY reports); 5-yr historical average 2015-2019, via ERR_Sheet_GKF_V1_1</x:v>
      </x:c>
      <x:c r="P121" s="80"/>
      <x:c r="Q121" s="80"/>
      <x:c r="R121" s="80"/>
    </x:row>
    <x:row r="122" ht="15" hidden="0" customHeight="1">
      <x:c r="A122" s="237" t="n">
        <x:v>2036</x:v>
      </x:c>
      <x:c r="B122" s="237" t="str">
        <x:f aca="0">IF($R$16&lt;&gt;"Yes","",$A$16)</x:f>
        <x:v>Cotton</x:v>
      </x:c>
      <x:c r="C122" s="237" t="n">
        <x:f aca="0">A122-$E$5+1</x:f>
        <x:v>17</x:v>
      </x:c>
      <x:c r="D122" s="237" t="n">
        <x:f aca="0">IF($R$16&lt;&gt;"Yes","",IF($B$16="Introduced",0,IF($H$16="","",$H$16*(1+$I$16)^C122)))</x:f>
        <x:v>16227.593140265606</x:v>
      </x:c>
      <x:c r="E122" s="238" t="n">
        <x:v>0</x:v>
      </x:c>
      <x:c r="F122" s="237" t="str">
        <x:f aca="0">IF(OR(D122="",E122=""),"",D122-E122)</x:f>
      </x:c>
      <x:c r="G122" s="237" t="str">
        <x:f aca="0">IF($R$16&lt;&gt;"Yes","",IF($Q$16="","",$Q$16*(1+$I$16)^C122))</x:f>
      </x:c>
      <x:c r="H122" s="238" t="n">
        <x:v>0</x:v>
      </x:c>
      <x:c r="I122" s="237" t="n">
        <x:f aca="0">IF(OR(G122="",H122=""),0,H122-G122)</x:f>
        <x:v>0</x:v>
      </x:c>
      <x:c r="J122" s="237" t="str">
        <x:f aca="0">IF(F122="","",F122-I122)</x:f>
      </x:c>
      <x:c r="K122" s="237" t="n">
        <x:f aca="0">IF($R$16&lt;&gt;"Yes","",$J$16)</x:f>
        <x:v>2.538125</x:v>
      </x:c>
      <x:c r="L122" s="237" t="n">
        <x:f aca="0">IF($R$16&lt;&gt;"Yes","",$K$16)</x:f>
        <x:v>0.75</x:v>
      </x:c>
      <x:c r="M122" s="237" t="n">
        <x:f aca="0">IF($R$16&lt;&gt;"Yes","",$L$16)</x:f>
        <x:v>0.4</x:v>
      </x:c>
      <x:c r="N122" s="237" t="str">
        <x:f aca="0">IF(OR(J122="",K122="",K122=0),"",J122*L122*M122/K122)</x:f>
      </x:c>
      <x:c r="O122" s="237" t="str">
        <x:f aca="0">IF($R$16&lt;&gt;"Yes","",$M$16)</x:f>
        <x:v>Govt. of India, Dept. of Agriculture and Farmers Welfare, DES - data.desagri.gov.in (crop-wise APY reports); 5-yr historical average 2015-2019, via ERR_Sheet_GKF_V1_1</x:v>
      </x:c>
      <x:c r="P122" s="80"/>
      <x:c r="Q122" s="80"/>
      <x:c r="R122" s="80"/>
    </x:row>
    <x:row r="123" ht="15" hidden="0" customHeight="1">
      <x:c r="A123" s="237" t="n">
        <x:v>2037</x:v>
      </x:c>
      <x:c r="B123" s="237" t="str">
        <x:f aca="0">IF($R$16&lt;&gt;"Yes","",$A$16)</x:f>
        <x:v>Cotton</x:v>
      </x:c>
      <x:c r="C123" s="237" t="n">
        <x:f aca="0">A123-$E$5+1</x:f>
        <x:v>18</x:v>
      </x:c>
      <x:c r="D123" s="237" t="n">
        <x:f aca="0">IF($R$16&lt;&gt;"Yes","",IF($B$16="Introduced",0,IF($H$16="","",$H$16*(1+$I$16)^C123)))</x:f>
        <x:v>16633.282968772248</x:v>
      </x:c>
      <x:c r="E123" s="238" t="n">
        <x:v>0</x:v>
      </x:c>
      <x:c r="F123" s="237" t="str">
        <x:f aca="0">IF(OR(D123="",E123=""),"",D123-E123)</x:f>
      </x:c>
      <x:c r="G123" s="237" t="str">
        <x:f aca="0">IF($R$16&lt;&gt;"Yes","",IF($Q$16="","",$Q$16*(1+$I$16)^C123))</x:f>
      </x:c>
      <x:c r="H123" s="238" t="n">
        <x:v>0</x:v>
      </x:c>
      <x:c r="I123" s="237" t="n">
        <x:f aca="0">IF(OR(G123="",H123=""),0,H123-G123)</x:f>
        <x:v>0</x:v>
      </x:c>
      <x:c r="J123" s="237" t="str">
        <x:f aca="0">IF(F123="","",F123-I123)</x:f>
      </x:c>
      <x:c r="K123" s="237" t="n">
        <x:f aca="0">IF($R$16&lt;&gt;"Yes","",$J$16)</x:f>
        <x:v>2.538125</x:v>
      </x:c>
      <x:c r="L123" s="237" t="n">
        <x:f aca="0">IF($R$16&lt;&gt;"Yes","",$K$16)</x:f>
        <x:v>0.75</x:v>
      </x:c>
      <x:c r="M123" s="237" t="n">
        <x:f aca="0">IF($R$16&lt;&gt;"Yes","",$L$16)</x:f>
        <x:v>0.4</x:v>
      </x:c>
      <x:c r="N123" s="237" t="str">
        <x:f aca="0">IF(OR(J123="",K123="",K123=0),"",J123*L123*M123/K123)</x:f>
      </x:c>
      <x:c r="O123" s="237" t="str">
        <x:f aca="0">IF($R$16&lt;&gt;"Yes","",$M$16)</x:f>
        <x:v>Govt. of India, Dept. of Agriculture and Farmers Welfare, DES - data.desagri.gov.in (crop-wise APY reports); 5-yr historical average 2015-2019, via ERR_Sheet_GKF_V1_1</x:v>
      </x:c>
      <x:c r="P123" s="80"/>
      <x:c r="Q123" s="80"/>
      <x:c r="R123" s="80"/>
    </x:row>
    <x:row r="124" ht="15" hidden="0" customHeight="1">
      <x:c r="A124" s="237" t="n">
        <x:v>2038</x:v>
      </x:c>
      <x:c r="B124" s="237" t="str">
        <x:f aca="0">IF($R$16&lt;&gt;"Yes","",$A$16)</x:f>
        <x:v>Cotton</x:v>
      </x:c>
      <x:c r="C124" s="237" t="n">
        <x:f aca="0">A124-$E$5+1</x:f>
        <x:v>19</x:v>
      </x:c>
      <x:c r="D124" s="237" t="n">
        <x:f aca="0">IF($R$16&lt;&gt;"Yes","",IF($B$16="Introduced",0,IF($H$16="","",$H$16*(1+$I$16)^C124)))</x:f>
        <x:v>17049.115042991554</x:v>
      </x:c>
      <x:c r="E124" s="238" t="n">
        <x:v>0</x:v>
      </x:c>
      <x:c r="F124" s="237" t="str">
        <x:f aca="0">IF(OR(D124="",E124=""),"",D124-E124)</x:f>
      </x:c>
      <x:c r="G124" s="237" t="str">
        <x:f aca="0">IF($R$16&lt;&gt;"Yes","",IF($Q$16="","",$Q$16*(1+$I$16)^C124))</x:f>
      </x:c>
      <x:c r="H124" s="238" t="n">
        <x:v>0</x:v>
      </x:c>
      <x:c r="I124" s="237" t="n">
        <x:f aca="0">IF(OR(G124="",H124=""),0,H124-G124)</x:f>
        <x:v>0</x:v>
      </x:c>
      <x:c r="J124" s="237" t="str">
        <x:f aca="0">IF(F124="","",F124-I124)</x:f>
      </x:c>
      <x:c r="K124" s="237" t="n">
        <x:f aca="0">IF($R$16&lt;&gt;"Yes","",$J$16)</x:f>
        <x:v>2.538125</x:v>
      </x:c>
      <x:c r="L124" s="237" t="n">
        <x:f aca="0">IF($R$16&lt;&gt;"Yes","",$K$16)</x:f>
        <x:v>0.75</x:v>
      </x:c>
      <x:c r="M124" s="237" t="n">
        <x:f aca="0">IF($R$16&lt;&gt;"Yes","",$L$16)</x:f>
        <x:v>0.4</x:v>
      </x:c>
      <x:c r="N124" s="237" t="str">
        <x:f aca="0">IF(OR(J124="",K124="",K124=0),"",J124*L124*M124/K124)</x:f>
      </x:c>
      <x:c r="O124" s="237" t="str">
        <x:f aca="0">IF($R$16&lt;&gt;"Yes","",$M$16)</x:f>
        <x:v>Govt. of India, Dept. of Agriculture and Farmers Welfare, DES - data.desagri.gov.in (crop-wise APY reports); 5-yr historical average 2015-2019, via ERR_Sheet_GKF_V1_1</x:v>
      </x:c>
      <x:c r="P124" s="80"/>
      <x:c r="Q124" s="80"/>
      <x:c r="R124" s="80"/>
    </x:row>
    <x:row r="125" ht="15" hidden="0" customHeight="1">
      <x:c r="A125" s="237" t="n">
        <x:v>2039</x:v>
      </x:c>
      <x:c r="B125" s="237" t="str">
        <x:f aca="0">IF($R$16&lt;&gt;"Yes","",$A$16)</x:f>
        <x:v>Cotton</x:v>
      </x:c>
      <x:c r="C125" s="237" t="n">
        <x:f aca="0">A125-$E$5+1</x:f>
        <x:v>20</x:v>
      </x:c>
      <x:c r="D125" s="237" t="n">
        <x:f aca="0">IF($R$16&lt;&gt;"Yes","",IF($B$16="Introduced",0,IF($H$16="","",$H$16*(1+$I$16)^C125)))</x:f>
        <x:v>17475.342919066337</x:v>
      </x:c>
      <x:c r="E125" s="238" t="n">
        <x:v>0</x:v>
      </x:c>
      <x:c r="F125" s="237" t="str">
        <x:f aca="0">IF(OR(D125="",E125=""),"",D125-E125)</x:f>
      </x:c>
      <x:c r="G125" s="237" t="str">
        <x:f aca="0">IF($R$16&lt;&gt;"Yes","",IF($Q$16="","",$Q$16*(1+$I$16)^C125))</x:f>
      </x:c>
      <x:c r="H125" s="238" t="n">
        <x:v>0</x:v>
      </x:c>
      <x:c r="I125" s="237" t="n">
        <x:f aca="0">IF(OR(G125="",H125=""),0,H125-G125)</x:f>
        <x:v>0</x:v>
      </x:c>
      <x:c r="J125" s="237" t="str">
        <x:f aca="0">IF(F125="","",F125-I125)</x:f>
      </x:c>
      <x:c r="K125" s="237" t="n">
        <x:f aca="0">IF($R$16&lt;&gt;"Yes","",$J$16)</x:f>
        <x:v>2.538125</x:v>
      </x:c>
      <x:c r="L125" s="237" t="n">
        <x:f aca="0">IF($R$16&lt;&gt;"Yes","",$K$16)</x:f>
        <x:v>0.75</x:v>
      </x:c>
      <x:c r="M125" s="237" t="n">
        <x:f aca="0">IF($R$16&lt;&gt;"Yes","",$L$16)</x:f>
        <x:v>0.4</x:v>
      </x:c>
      <x:c r="N125" s="237" t="str">
        <x:f aca="0">IF(OR(J125="",K125="",K125=0),"",J125*L125*M125/K125)</x:f>
      </x:c>
      <x:c r="O125" s="237" t="str">
        <x:f aca="0">IF($R$16&lt;&gt;"Yes","",$M$16)</x:f>
        <x:v>Govt. of India, Dept. of Agriculture and Farmers Welfare, DES - data.desagri.gov.in (crop-wise APY reports); 5-yr historical average 2015-2019, via ERR_Sheet_GKF_V1_1</x:v>
      </x:c>
      <x:c r="P125" s="80"/>
      <x:c r="Q125" s="80"/>
      <x:c r="R125" s="80"/>
    </x:row>
    <x:row r="126" ht="24.75" hidden="0" customHeight="1">
      <x:c r="A126" s="237" t="n">
        <x:v>2040</x:v>
      </x:c>
      <x:c r="B126" s="239" t="str">
        <x:f aca="0">IF($R$16&lt;&gt;"Yes","",$A$16)</x:f>
        <x:v>Cotton</x:v>
      </x:c>
      <x:c r="C126" s="239" t="n">
        <x:f aca="0">A126-$E$5+1</x:f>
        <x:v>21</x:v>
      </x:c>
      <x:c r="D126" s="239" t="n">
        <x:f aca="0">IF($R$16&lt;&gt;"Yes","",IF($B$16="Introduced",0,IF($H$16="","",$H$16*(1+$I$16)^C126)))</x:f>
        <x:v>17912.226492042995</x:v>
      </x:c>
      <x:c r="E126" s="239" t="n">
        <x:v>0</x:v>
      </x:c>
      <x:c r="F126" s="239" t="str">
        <x:f aca="0">IF(OR(D126="",E126=""),"",D126-E126)</x:f>
      </x:c>
      <x:c r="G126" s="239" t="str">
        <x:f aca="0">IF($R$16&lt;&gt;"Yes","",IF($Q$16="","",$Q$16*(1+$I$16)^C126))</x:f>
      </x:c>
      <x:c r="H126" s="239" t="n">
        <x:v>0</x:v>
      </x:c>
      <x:c r="I126" s="239" t="n">
        <x:f aca="0">IF(OR(G126="",H126=""),0,H126-G126)</x:f>
        <x:v>0</x:v>
      </x:c>
      <x:c r="J126" s="239" t="str">
        <x:f aca="0">IF(F126="","",F126-I126)</x:f>
      </x:c>
      <x:c r="K126" s="239" t="n">
        <x:f aca="0">IF($R$16&lt;&gt;"Yes","",$J$16)</x:f>
        <x:v>2.538125</x:v>
      </x:c>
      <x:c r="L126" s="239" t="n">
        <x:f aca="0">IF($R$16&lt;&gt;"Yes","",$K$16)</x:f>
        <x:v>0.75</x:v>
      </x:c>
      <x:c r="M126" s="239" t="n">
        <x:f aca="0">IF($R$16&lt;&gt;"Yes","",$L$16)</x:f>
        <x:v>0.4</x:v>
      </x:c>
      <x:c r="N126" s="239" t="str">
        <x:f aca="0">IF(OR(J126="",K126="",K126=0),"",J126*L126*M126/K126)</x:f>
      </x:c>
      <x:c r="O126" s="237" t="str">
        <x:f aca="0">IF($R$16&lt;&gt;"Yes","",$M$16)</x:f>
        <x:v>Govt. of India, Dept. of Agriculture and Farmers Welfare, DES - data.desagri.gov.in (crop-wise APY reports); 5-yr historical average 2015-2019, via ERR_Sheet_GKF_V1_1</x:v>
      </x:c>
      <x:c r="P126" s="80"/>
      <x:c r="Q126" s="80"/>
      <x:c r="R126" s="80"/>
    </x:row>
    <x:row r="127" ht="37.5" hidden="0" customHeight="1">
      <x:c r="A127" s="239" t="n">
        <x:v>2020</x:v>
      </x:c>
      <x:c r="B127" s="239" t="str">
        <x:f aca="0">IF($R$17&lt;&gt;"Yes","",$A$17)</x:f>
        <x:v>Turmeric</x:v>
      </x:c>
      <x:c r="C127" s="239" t="n">
        <x:f aca="0">A127-$E$5+1</x:f>
        <x:v>1</x:v>
      </x:c>
      <x:c r="D127" s="239" t="n">
        <x:f aca="0">IF($R$17&lt;&gt;"Yes","",IF($B$17="Introduced",0,IF($H$17="","",$H$17*(1+$I$17)^C127)))</x:f>
        <x:v>7704.160349999999</x:v>
      </x:c>
      <x:c r="E127" s="239" t="n">
        <x:v>0</x:v>
      </x:c>
      <x:c r="F127" s="239" t="str">
        <x:f aca="0">IF(OR(D127="",E127=""),"",D127-E127)</x:f>
      </x:c>
      <x:c r="G127" s="239" t="str">
        <x:f aca="0">IF($R$17&lt;&gt;"Yes","",IF($Q$17="","",$Q$17*(1+$I$17)^C127))</x:f>
      </x:c>
      <x:c r="H127" s="239" t="n">
        <x:v>0</x:v>
      </x:c>
      <x:c r="I127" s="239" t="n">
        <x:f aca="0">IF(OR(G127="",H127=""),0,H127-G127)</x:f>
        <x:v>0</x:v>
      </x:c>
      <x:c r="J127" s="239" t="str">
        <x:f aca="0">IF(F127="","",F127-I127)</x:f>
      </x:c>
      <x:c r="K127" s="239" t="n">
        <x:f aca="0">IF($R$17&lt;&gt;"Yes","",$J$17)</x:f>
        <x:v>7.911875</x:v>
      </x:c>
      <x:c r="L127" s="239" t="n">
        <x:f aca="0">IF($R$17&lt;&gt;"Yes","",$K$17)</x:f>
        <x:v>0.75</x:v>
      </x:c>
      <x:c r="M127" s="239" t="n">
        <x:f aca="0">IF($R$17&lt;&gt;"Yes","",$L$17)</x:f>
        <x:v>0.4</x:v>
      </x:c>
      <x:c r="N127" s="239" t="str">
        <x:f aca="0">IF(OR(J127="",K127="",K127=0),"",J127*L127*M127/K127)</x:f>
      </x:c>
      <x:c r="O127" s="239" t="str">
        <x:f aca="0">IF($R$17&lt;&gt;"Yes","",$M$17)</x:f>
        <x:v>Govt. of India, Dept. of Agriculture and Farmers Welfare, DES - data.desagri.gov.in (crop-wise APY reports); 5-yr historical average 2015-2019, via ERR_Sheet_GKF_V1_1</x:v>
      </x:c>
    </x:row>
    <x:row r="128" ht="23.25" hidden="0" customHeight="1">
      <x:c r="A128" s="239" t="n">
        <x:v>2021</x:v>
      </x:c>
      <x:c r="B128" s="239" t="str">
        <x:f aca="0">IF($R$17&lt;&gt;"Yes","",$A$17)</x:f>
        <x:v>Turmeric</x:v>
      </x:c>
      <x:c r="C128" s="239" t="n">
        <x:f aca="0">A128-$E$5+1</x:f>
        <x:v>2</x:v>
      </x:c>
      <x:c r="D128" s="239" t="n">
        <x:f aca="0">IF($R$17&lt;&gt;"Yes","",IF($B$17="Introduced",0,IF($H$17="","",$H$17*(1+$I$17)^C128)))</x:f>
        <x:v>7896.76435875</x:v>
      </x:c>
      <x:c r="E128" s="239" t="n">
        <x:v>0</x:v>
      </x:c>
      <x:c r="F128" s="239" t="str">
        <x:f aca="0">IF(OR(D128="",E128=""),"",D128-E128)</x:f>
      </x:c>
      <x:c r="G128" s="239" t="str">
        <x:f aca="0">IF($R$17&lt;&gt;"Yes","",IF($Q$17="","",$Q$17*(1+$I$17)^C128))</x:f>
      </x:c>
      <x:c r="H128" s="239" t="n">
        <x:v>0</x:v>
      </x:c>
      <x:c r="I128" s="239" t="n">
        <x:f aca="0">IF(OR(G128="",H128=""),0,H128-G128)</x:f>
        <x:v>0</x:v>
      </x:c>
      <x:c r="J128" s="239" t="str">
        <x:f aca="0">IF(F128="","",F128-I128)</x:f>
      </x:c>
      <x:c r="K128" s="239" t="n">
        <x:f aca="0">IF($R$17&lt;&gt;"Yes","",$J$17)</x:f>
        <x:v>7.911875</x:v>
      </x:c>
      <x:c r="L128" s="239" t="n">
        <x:f aca="0">IF($R$17&lt;&gt;"Yes","",$K$17)</x:f>
        <x:v>0.75</x:v>
      </x:c>
      <x:c r="M128" s="239" t="n">
        <x:f aca="0">IF($R$17&lt;&gt;"Yes","",$L$17)</x:f>
        <x:v>0.4</x:v>
      </x:c>
      <x:c r="N128" s="239" t="str">
        <x:f aca="0">IF(OR(J128="",K128="",K128=0),"",J128*L128*M128/K128)</x:f>
      </x:c>
      <x:c r="O128" s="239" t="str">
        <x:f aca="0">IF($R$17&lt;&gt;"Yes","",$M$17)</x:f>
        <x:v>Govt. of India, Dept. of Agriculture and Farmers Welfare, DES - data.desagri.gov.in (crop-wise APY reports); 5-yr historical average 2015-2019, via ERR_Sheet_GKF_V1_1</x:v>
      </x:c>
    </x:row>
    <x:row r="129" ht="23.25" hidden="0" customHeight="1">
      <x:c r="A129" s="239" t="n">
        <x:v>2022</x:v>
      </x:c>
      <x:c r="B129" s="239" t="str">
        <x:f aca="0">IF($R$17&lt;&gt;"Yes","",$A$17)</x:f>
        <x:v>Turmeric</x:v>
      </x:c>
      <x:c r="C129" s="239" t="n">
        <x:f aca="0">A129-$E$5+1</x:f>
        <x:v>3</x:v>
      </x:c>
      <x:c r="D129" s="239" t="n">
        <x:f aca="0">IF($R$17&lt;&gt;"Yes","",IF($B$17="Introduced",0,IF($H$17="","",$H$17*(1+$I$17)^C129)))</x:f>
        <x:v>8094.183467718749</x:v>
      </x:c>
      <x:c r="E129" s="239" t="n">
        <x:v>0</x:v>
      </x:c>
      <x:c r="F129" s="239" t="str">
        <x:f aca="0">IF(OR(D129="",E129=""),"",D129-E129)</x:f>
      </x:c>
      <x:c r="G129" s="239" t="str">
        <x:f aca="0">IF($R$17&lt;&gt;"Yes","",IF($Q$17="","",$Q$17*(1+$I$17)^C129))</x:f>
      </x:c>
      <x:c r="H129" s="239" t="n">
        <x:v>0</x:v>
      </x:c>
      <x:c r="I129" s="239" t="n">
        <x:f aca="0">IF(OR(G129="",H129=""),0,H129-G129)</x:f>
        <x:v>0</x:v>
      </x:c>
      <x:c r="J129" s="239" t="str">
        <x:f aca="0">IF(F129="","",F129-I129)</x:f>
      </x:c>
      <x:c r="K129" s="239" t="n">
        <x:f aca="0">IF($R$17&lt;&gt;"Yes","",$J$17)</x:f>
        <x:v>7.911875</x:v>
      </x:c>
      <x:c r="L129" s="239" t="n">
        <x:f aca="0">IF($R$17&lt;&gt;"Yes","",$K$17)</x:f>
        <x:v>0.75</x:v>
      </x:c>
      <x:c r="M129" s="239" t="n">
        <x:f aca="0">IF($R$17&lt;&gt;"Yes","",$L$17)</x:f>
        <x:v>0.4</x:v>
      </x:c>
      <x:c r="N129" s="239" t="str">
        <x:f aca="0">IF(OR(J129="",K129="",K129=0),"",J129*L129*M129/K129)</x:f>
      </x:c>
      <x:c r="O129" s="239" t="str">
        <x:f aca="0">IF($R$17&lt;&gt;"Yes","",$M$17)</x:f>
        <x:v>Govt. of India, Dept. of Agriculture and Farmers Welfare, DES - data.desagri.gov.in (crop-wise APY reports); 5-yr historical average 2015-2019, via ERR_Sheet_GKF_V1_1</x:v>
      </x:c>
    </x:row>
    <x:row r="130" ht="23.25" hidden="0" customHeight="1">
      <x:c r="A130" s="239" t="n">
        <x:v>2023</x:v>
      </x:c>
      <x:c r="B130" s="239" t="str">
        <x:f aca="0">IF($R$17&lt;&gt;"Yes","",$A$17)</x:f>
        <x:v>Turmeric</x:v>
      </x:c>
      <x:c r="C130" s="239" t="n">
        <x:f aca="0">A130-$E$5+1</x:f>
        <x:v>4</x:v>
      </x:c>
      <x:c r="D130" s="239" t="n">
        <x:f aca="0">IF($R$17&lt;&gt;"Yes","",IF($B$17="Introduced",0,IF($H$17="","",$H$17*(1+$I$17)^C130)))</x:f>
        <x:v>8296.538054411716</x:v>
      </x:c>
      <x:c r="E130" s="239" t="n">
        <x:v>0</x:v>
      </x:c>
      <x:c r="F130" s="239" t="str">
        <x:f aca="0">IF(OR(D130="",E130=""),"",D130-E130)</x:f>
      </x:c>
      <x:c r="G130" s="239" t="str">
        <x:f aca="0">IF($R$17&lt;&gt;"Yes","",IF($Q$17="","",$Q$17*(1+$I$17)^C130))</x:f>
      </x:c>
      <x:c r="H130" s="239" t="n">
        <x:v>0</x:v>
      </x:c>
      <x:c r="I130" s="239" t="n">
        <x:f aca="0">IF(OR(G130="",H130=""),0,H130-G130)</x:f>
        <x:v>0</x:v>
      </x:c>
      <x:c r="J130" s="239" t="str">
        <x:f aca="0">IF(F130="","",F130-I130)</x:f>
      </x:c>
      <x:c r="K130" s="239" t="n">
        <x:f aca="0">IF($R$17&lt;&gt;"Yes","",$J$17)</x:f>
        <x:v>7.911875</x:v>
      </x:c>
      <x:c r="L130" s="239" t="n">
        <x:f aca="0">IF($R$17&lt;&gt;"Yes","",$K$17)</x:f>
        <x:v>0.75</x:v>
      </x:c>
      <x:c r="M130" s="239" t="n">
        <x:f aca="0">IF($R$17&lt;&gt;"Yes","",$L$17)</x:f>
        <x:v>0.4</x:v>
      </x:c>
      <x:c r="N130" s="239" t="str">
        <x:f aca="0">IF(OR(J130="",K130="",K130=0),"",J130*L130*M130/K130)</x:f>
      </x:c>
      <x:c r="O130" s="239" t="str">
        <x:f aca="0">IF($R$17&lt;&gt;"Yes","",$M$17)</x:f>
        <x:v>Govt. of India, Dept. of Agriculture and Farmers Welfare, DES - data.desagri.gov.in (crop-wise APY reports); 5-yr historical average 2015-2019, via ERR_Sheet_GKF_V1_1</x:v>
      </x:c>
    </x:row>
    <x:row r="131" ht="23.25" hidden="0" customHeight="1">
      <x:c r="A131" s="239" t="n">
        <x:v>2024</x:v>
      </x:c>
      <x:c r="B131" s="239" t="str">
        <x:f aca="0">IF($R$17&lt;&gt;"Yes","",$A$17)</x:f>
        <x:v>Turmeric</x:v>
      </x:c>
      <x:c r="C131" s="239" t="n">
        <x:f aca="0">A131-$E$5+1</x:f>
        <x:v>5</x:v>
      </x:c>
      <x:c r="D131" s="239" t="n">
        <x:f aca="0">IF($R$17&lt;&gt;"Yes","",IF($B$17="Introduced",0,IF($H$17="","",$H$17*(1+$I$17)^C131)))</x:f>
        <x:v>8503.95150577201</x:v>
      </x:c>
      <x:c r="E131" s="239" t="n">
        <x:v>0</x:v>
      </x:c>
      <x:c r="F131" s="239" t="str">
        <x:f aca="0">IF(OR(D131="",E131=""),"",D131-E131)</x:f>
      </x:c>
      <x:c r="G131" s="239" t="str">
        <x:f aca="0">IF($R$17&lt;&gt;"Yes","",IF($Q$17="","",$Q$17*(1+$I$17)^C131))</x:f>
      </x:c>
      <x:c r="H131" s="239" t="n">
        <x:v>0</x:v>
      </x:c>
      <x:c r="I131" s="239" t="n">
        <x:f aca="0">IF(OR(G131="",H131=""),0,H131-G131)</x:f>
        <x:v>0</x:v>
      </x:c>
      <x:c r="J131" s="239" t="str">
        <x:f aca="0">IF(F131="","",F131-I131)</x:f>
      </x:c>
      <x:c r="K131" s="239" t="n">
        <x:f aca="0">IF($R$17&lt;&gt;"Yes","",$J$17)</x:f>
        <x:v>7.911875</x:v>
      </x:c>
      <x:c r="L131" s="239" t="n">
        <x:f aca="0">IF($R$17&lt;&gt;"Yes","",$K$17)</x:f>
        <x:v>0.75</x:v>
      </x:c>
      <x:c r="M131" s="239" t="n">
        <x:f aca="0">IF($R$17&lt;&gt;"Yes","",$L$17)</x:f>
        <x:v>0.4</x:v>
      </x:c>
      <x:c r="N131" s="239" t="str">
        <x:f aca="0">IF(OR(J131="",K131="",K131=0),"",J131*L131*M131/K131)</x:f>
      </x:c>
      <x:c r="O131" s="239" t="str">
        <x:f aca="0">IF($R$17&lt;&gt;"Yes","",$M$17)</x:f>
        <x:v>Govt. of India, Dept. of Agriculture and Farmers Welfare, DES - data.desagri.gov.in (crop-wise APY reports); 5-yr historical average 2015-2019, via ERR_Sheet_GKF_V1_1</x:v>
      </x:c>
    </x:row>
    <x:row r="132" ht="23.25" hidden="0" customHeight="1">
      <x:c r="A132" s="239" t="n">
        <x:v>2025</x:v>
      </x:c>
      <x:c r="B132" s="239" t="str">
        <x:f aca="0">IF($R$17&lt;&gt;"Yes","",$A$17)</x:f>
        <x:v>Turmeric</x:v>
      </x:c>
      <x:c r="C132" s="239" t="n">
        <x:f aca="0">A132-$E$5+1</x:f>
        <x:v>6</x:v>
      </x:c>
      <x:c r="D132" s="239" t="n">
        <x:f aca="0">IF($R$17&lt;&gt;"Yes","",IF($B$17="Introduced",0,IF($H$17="","",$H$17*(1+$I$17)^C132)))</x:f>
        <x:v>8716.550293416309</x:v>
      </x:c>
      <x:c r="E132" s="239" t="n">
        <x:v>0</x:v>
      </x:c>
      <x:c r="F132" s="239" t="str">
        <x:f aca="0">IF(OR(D132="",E132=""),"",D132-E132)</x:f>
      </x:c>
      <x:c r="G132" s="239" t="str">
        <x:f aca="0">IF($R$17&lt;&gt;"Yes","",IF($Q$17="","",$Q$17*(1+$I$17)^C132))</x:f>
      </x:c>
      <x:c r="H132" s="239" t="n">
        <x:v>0</x:v>
      </x:c>
      <x:c r="I132" s="239" t="n">
        <x:f aca="0">IF(OR(G132="",H132=""),0,H132-G132)</x:f>
        <x:v>0</x:v>
      </x:c>
      <x:c r="J132" s="239" t="str">
        <x:f aca="0">IF(F132="","",F132-I132)</x:f>
      </x:c>
      <x:c r="K132" s="239" t="n">
        <x:f aca="0">IF($R$17&lt;&gt;"Yes","",$J$17)</x:f>
        <x:v>7.911875</x:v>
      </x:c>
      <x:c r="L132" s="239" t="n">
        <x:f aca="0">IF($R$17&lt;&gt;"Yes","",$K$17)</x:f>
        <x:v>0.75</x:v>
      </x:c>
      <x:c r="M132" s="239" t="n">
        <x:f aca="0">IF($R$17&lt;&gt;"Yes","",$L$17)</x:f>
        <x:v>0.4</x:v>
      </x:c>
      <x:c r="N132" s="239" t="str">
        <x:f aca="0">IF(OR(J132="",K132="",K132=0),"",J132*L132*M132/K132)</x:f>
      </x:c>
      <x:c r="O132" s="239" t="str">
        <x:f aca="0">IF($R$17&lt;&gt;"Yes","",$M$17)</x:f>
        <x:v>Govt. of India, Dept. of Agriculture and Farmers Welfare, DES - data.desagri.gov.in (crop-wise APY reports); 5-yr historical average 2015-2019, via ERR_Sheet_GKF_V1_1</x:v>
      </x:c>
    </x:row>
    <x:row r="133" ht="23.25" hidden="0" customHeight="1">
      <x:c r="A133" s="239" t="n">
        <x:v>2026</x:v>
      </x:c>
      <x:c r="B133" s="239" t="str">
        <x:f aca="0">IF($R$17&lt;&gt;"Yes","",$A$17)</x:f>
        <x:v>Turmeric</x:v>
      </x:c>
      <x:c r="C133" s="239" t="n">
        <x:f aca="0">A133-$E$5+1</x:f>
        <x:v>7</x:v>
      </x:c>
      <x:c r="D133" s="239" t="n">
        <x:f aca="0">IF($R$17&lt;&gt;"Yes","",IF($B$17="Introduced",0,IF($H$17="","",$H$17*(1+$I$17)^C133)))</x:f>
        <x:v>8934.464050751716</x:v>
      </x:c>
      <x:c r="E133" s="239" t="n">
        <x:v>0</x:v>
      </x:c>
      <x:c r="F133" s="239" t="str">
        <x:f aca="0">IF(OR(D133="",E133=""),"",D133-E133)</x:f>
      </x:c>
      <x:c r="G133" s="239" t="str">
        <x:f aca="0">IF($R$17&lt;&gt;"Yes","",IF($Q$17="","",$Q$17*(1+$I$17)^C133))</x:f>
      </x:c>
      <x:c r="H133" s="239" t="n">
        <x:v>0</x:v>
      </x:c>
      <x:c r="I133" s="239" t="n">
        <x:f aca="0">IF(OR(G133="",H133=""),0,H133-G133)</x:f>
        <x:v>0</x:v>
      </x:c>
      <x:c r="J133" s="239" t="str">
        <x:f aca="0">IF(F133="","",F133-I133)</x:f>
      </x:c>
      <x:c r="K133" s="239" t="n">
        <x:f aca="0">IF($R$17&lt;&gt;"Yes","",$J$17)</x:f>
        <x:v>7.911875</x:v>
      </x:c>
      <x:c r="L133" s="239" t="n">
        <x:f aca="0">IF($R$17&lt;&gt;"Yes","",$K$17)</x:f>
        <x:v>0.75</x:v>
      </x:c>
      <x:c r="M133" s="239" t="n">
        <x:f aca="0">IF($R$17&lt;&gt;"Yes","",$L$17)</x:f>
        <x:v>0.4</x:v>
      </x:c>
      <x:c r="N133" s="239" t="str">
        <x:f aca="0">IF(OR(J133="",K133="",K133=0),"",J133*L133*M133/K133)</x:f>
      </x:c>
      <x:c r="O133" s="239" t="str">
        <x:f aca="0">IF($R$17&lt;&gt;"Yes","",$M$17)</x:f>
        <x:v>Govt. of India, Dept. of Agriculture and Farmers Welfare, DES - data.desagri.gov.in (crop-wise APY reports); 5-yr historical average 2015-2019, via ERR_Sheet_GKF_V1_1</x:v>
      </x:c>
    </x:row>
    <x:row r="134" ht="23.25" hidden="0" customHeight="1">
      <x:c r="A134" s="239" t="n">
        <x:v>2027</x:v>
      </x:c>
      <x:c r="B134" s="239" t="str">
        <x:f aca="0">IF($R$17&lt;&gt;"Yes","",$A$17)</x:f>
        <x:v>Turmeric</x:v>
      </x:c>
      <x:c r="C134" s="239" t="n">
        <x:f aca="0">A134-$E$5+1</x:f>
        <x:v>8</x:v>
      </x:c>
      <x:c r="D134" s="239" t="n">
        <x:f aca="0">IF($R$17&lt;&gt;"Yes","",IF($B$17="Introduced",0,IF($H$17="","",$H$17*(1+$I$17)^C134)))</x:f>
        <x:v>9157.825652020509</x:v>
      </x:c>
      <x:c r="E134" s="239" t="n">
        <x:v>0</x:v>
      </x:c>
      <x:c r="F134" s="239" t="str">
        <x:f aca="0">IF(OR(D134="",E134=""),"",D134-E134)</x:f>
      </x:c>
      <x:c r="G134" s="239" t="str">
        <x:f aca="0">IF($R$17&lt;&gt;"Yes","",IF($Q$17="","",$Q$17*(1+$I$17)^C134))</x:f>
      </x:c>
      <x:c r="H134" s="239" t="n">
        <x:v>0</x:v>
      </x:c>
      <x:c r="I134" s="239" t="n">
        <x:f aca="0">IF(OR(G134="",H134=""),0,H134-G134)</x:f>
        <x:v>0</x:v>
      </x:c>
      <x:c r="J134" s="239" t="str">
        <x:f aca="0">IF(F134="","",F134-I134)</x:f>
      </x:c>
      <x:c r="K134" s="239" t="n">
        <x:f aca="0">IF($R$17&lt;&gt;"Yes","",$J$17)</x:f>
        <x:v>7.911875</x:v>
      </x:c>
      <x:c r="L134" s="239" t="n">
        <x:f aca="0">IF($R$17&lt;&gt;"Yes","",$K$17)</x:f>
        <x:v>0.75</x:v>
      </x:c>
      <x:c r="M134" s="239" t="n">
        <x:f aca="0">IF($R$17&lt;&gt;"Yes","",$L$17)</x:f>
        <x:v>0.4</x:v>
      </x:c>
      <x:c r="N134" s="239" t="str">
        <x:f aca="0">IF(OR(J134="",K134="",K134=0),"",J134*L134*M134/K134)</x:f>
      </x:c>
      <x:c r="O134" s="239" t="str">
        <x:f aca="0">IF($R$17&lt;&gt;"Yes","",$M$17)</x:f>
        <x:v>Govt. of India, Dept. of Agriculture and Farmers Welfare, DES - data.desagri.gov.in (crop-wise APY reports); 5-yr historical average 2015-2019, via ERR_Sheet_GKF_V1_1</x:v>
      </x:c>
    </x:row>
    <x:row r="135" ht="23.25" hidden="0" customHeight="1">
      <x:c r="A135" s="239" t="n">
        <x:v>2028</x:v>
      </x:c>
      <x:c r="B135" s="239" t="str">
        <x:f aca="0">IF($R$17&lt;&gt;"Yes","",$A$17)</x:f>
        <x:v>Turmeric</x:v>
      </x:c>
      <x:c r="C135" s="239" t="n">
        <x:f aca="0">A135-$E$5+1</x:f>
        <x:v>9</x:v>
      </x:c>
      <x:c r="D135" s="239" t="n">
        <x:f aca="0">IF($R$17&lt;&gt;"Yes","",IF($B$17="Introduced",0,IF($H$17="","",$H$17*(1+$I$17)^C135)))</x:f>
        <x:v>9386.77129332102</x:v>
      </x:c>
      <x:c r="E135" s="239" t="n">
        <x:v>0</x:v>
      </x:c>
      <x:c r="F135" s="239" t="str">
        <x:f aca="0">IF(OR(D135="",E135=""),"",D135-E135)</x:f>
      </x:c>
      <x:c r="G135" s="239" t="str">
        <x:f aca="0">IF($R$17&lt;&gt;"Yes","",IF($Q$17="","",$Q$17*(1+$I$17)^C135))</x:f>
      </x:c>
      <x:c r="H135" s="239" t="n">
        <x:v>0</x:v>
      </x:c>
      <x:c r="I135" s="239" t="n">
        <x:f aca="0">IF(OR(G135="",H135=""),0,H135-G135)</x:f>
        <x:v>0</x:v>
      </x:c>
      <x:c r="J135" s="239" t="str">
        <x:f aca="0">IF(F135="","",F135-I135)</x:f>
      </x:c>
      <x:c r="K135" s="239" t="n">
        <x:f aca="0">IF($R$17&lt;&gt;"Yes","",$J$17)</x:f>
        <x:v>7.911875</x:v>
      </x:c>
      <x:c r="L135" s="239" t="n">
        <x:f aca="0">IF($R$17&lt;&gt;"Yes","",$K$17)</x:f>
        <x:v>0.75</x:v>
      </x:c>
      <x:c r="M135" s="239" t="n">
        <x:f aca="0">IF($R$17&lt;&gt;"Yes","",$L$17)</x:f>
        <x:v>0.4</x:v>
      </x:c>
      <x:c r="N135" s="239" t="str">
        <x:f aca="0">IF(OR(J135="",K135="",K135=0),"",J135*L135*M135/K135)</x:f>
      </x:c>
      <x:c r="O135" s="239" t="str">
        <x:f aca="0">IF($R$17&lt;&gt;"Yes","",$M$17)</x:f>
        <x:v>Govt. of India, Dept. of Agriculture and Farmers Welfare, DES - data.desagri.gov.in (crop-wise APY reports); 5-yr historical average 2015-2019, via ERR_Sheet_GKF_V1_1</x:v>
      </x:c>
    </x:row>
    <x:row r="136" ht="23.25" hidden="0" customHeight="1">
      <x:c r="A136" s="239" t="n">
        <x:v>2029</x:v>
      </x:c>
      <x:c r="B136" s="239" t="str">
        <x:f aca="0">IF($R$17&lt;&gt;"Yes","",$A$17)</x:f>
        <x:v>Turmeric</x:v>
      </x:c>
      <x:c r="C136" s="239" t="n">
        <x:f aca="0">A136-$E$5+1</x:f>
        <x:v>10</x:v>
      </x:c>
      <x:c r="D136" s="239" t="n">
        <x:f aca="0">IF($R$17&lt;&gt;"Yes","",IF($B$17="Introduced",0,IF($H$17="","",$H$17*(1+$I$17)^C136)))</x:f>
        <x:v>9621.440575654045</x:v>
      </x:c>
      <x:c r="E136" s="239" t="n">
        <x:v>0</x:v>
      </x:c>
      <x:c r="F136" s="239" t="str">
        <x:f aca="0">IF(OR(D136="",E136=""),"",D136-E136)</x:f>
      </x:c>
      <x:c r="G136" s="239" t="str">
        <x:f aca="0">IF($R$17&lt;&gt;"Yes","",IF($Q$17="","",$Q$17*(1+$I$17)^C136))</x:f>
      </x:c>
      <x:c r="H136" s="239" t="n">
        <x:v>0</x:v>
      </x:c>
      <x:c r="I136" s="239" t="n">
        <x:f aca="0">IF(OR(G136="",H136=""),0,H136-G136)</x:f>
        <x:v>0</x:v>
      </x:c>
      <x:c r="J136" s="239" t="str">
        <x:f aca="0">IF(F136="","",F136-I136)</x:f>
      </x:c>
      <x:c r="K136" s="239" t="n">
        <x:f aca="0">IF($R$17&lt;&gt;"Yes","",$J$17)</x:f>
        <x:v>7.911875</x:v>
      </x:c>
      <x:c r="L136" s="239" t="n">
        <x:f aca="0">IF($R$17&lt;&gt;"Yes","",$K$17)</x:f>
        <x:v>0.75</x:v>
      </x:c>
      <x:c r="M136" s="239" t="n">
        <x:f aca="0">IF($R$17&lt;&gt;"Yes","",$L$17)</x:f>
        <x:v>0.4</x:v>
      </x:c>
      <x:c r="N136" s="239" t="str">
        <x:f aca="0">IF(OR(J136="",K136="",K136=0),"",J136*L136*M136/K136)</x:f>
      </x:c>
      <x:c r="O136" s="239" t="str">
        <x:f aca="0">IF($R$17&lt;&gt;"Yes","",$M$17)</x:f>
        <x:v>Govt. of India, Dept. of Agriculture and Farmers Welfare, DES - data.desagri.gov.in (crop-wise APY reports); 5-yr historical average 2015-2019, via ERR_Sheet_GKF_V1_1</x:v>
      </x:c>
    </x:row>
    <x:row r="137" ht="23.25" hidden="0" customHeight="1">
      <x:c r="A137" s="239" t="n">
        <x:v>2030</x:v>
      </x:c>
      <x:c r="B137" s="239" t="str">
        <x:f aca="0">IF($R$17&lt;&gt;"Yes","",$A$17)</x:f>
        <x:v>Turmeric</x:v>
      </x:c>
      <x:c r="C137" s="239" t="n">
        <x:f aca="0">A137-$E$5+1</x:f>
        <x:v>11</x:v>
      </x:c>
      <x:c r="D137" s="239" t="n">
        <x:f aca="0">IF($R$17&lt;&gt;"Yes","",IF($B$17="Introduced",0,IF($H$17="","",$H$17*(1+$I$17)^C137)))</x:f>
        <x:v>9861.976590045397</x:v>
      </x:c>
      <x:c r="E137" s="239" t="n">
        <x:v>0</x:v>
      </x:c>
      <x:c r="F137" s="239" t="str">
        <x:f aca="0">IF(OR(D137="",E137=""),"",D137-E137)</x:f>
      </x:c>
      <x:c r="G137" s="239" t="str">
        <x:f aca="0">IF($R$17&lt;&gt;"Yes","",IF($Q$17="","",$Q$17*(1+$I$17)^C137))</x:f>
      </x:c>
      <x:c r="H137" s="239" t="n">
        <x:v>0</x:v>
      </x:c>
      <x:c r="I137" s="239" t="n">
        <x:f aca="0">IF(OR(G137="",H137=""),0,H137-G137)</x:f>
        <x:v>0</x:v>
      </x:c>
      <x:c r="J137" s="239" t="str">
        <x:f aca="0">IF(F137="","",F137-I137)</x:f>
      </x:c>
      <x:c r="K137" s="239" t="n">
        <x:f aca="0">IF($R$17&lt;&gt;"Yes","",$J$17)</x:f>
        <x:v>7.911875</x:v>
      </x:c>
      <x:c r="L137" s="239" t="n">
        <x:f aca="0">IF($R$17&lt;&gt;"Yes","",$K$17)</x:f>
        <x:v>0.75</x:v>
      </x:c>
      <x:c r="M137" s="239" t="n">
        <x:f aca="0">IF($R$17&lt;&gt;"Yes","",$L$17)</x:f>
        <x:v>0.4</x:v>
      </x:c>
      <x:c r="N137" s="239" t="str">
        <x:f aca="0">IF(OR(J137="",K137="",K137=0),"",J137*L137*M137/K137)</x:f>
      </x:c>
      <x:c r="O137" s="239" t="str">
        <x:f aca="0">IF($R$17&lt;&gt;"Yes","",$M$17)</x:f>
        <x:v>Govt. of India, Dept. of Agriculture and Farmers Welfare, DES - data.desagri.gov.in (crop-wise APY reports); 5-yr historical average 2015-2019, via ERR_Sheet_GKF_V1_1</x:v>
      </x:c>
    </x:row>
    <x:row r="138" ht="23.25" hidden="0" customHeight="1">
      <x:c r="A138" s="239" t="n">
        <x:v>2031</x:v>
      </x:c>
      <x:c r="B138" s="239" t="str">
        <x:f aca="0">IF($R$17&lt;&gt;"Yes","",$A$17)</x:f>
        <x:v>Turmeric</x:v>
      </x:c>
      <x:c r="C138" s="239" t="n">
        <x:f aca="0">A138-$E$5+1</x:f>
        <x:v>12</x:v>
      </x:c>
      <x:c r="D138" s="239" t="n">
        <x:f aca="0">IF($R$17&lt;&gt;"Yes","",IF($B$17="Introduced",0,IF($H$17="","",$H$17*(1+$I$17)^C138)))</x:f>
        <x:v>10108.526004796531</x:v>
      </x:c>
      <x:c r="E138" s="239" t="n">
        <x:v>0</x:v>
      </x:c>
      <x:c r="F138" s="239" t="str">
        <x:f aca="0">IF(OR(D138="",E138=""),"",D138-E138)</x:f>
      </x:c>
      <x:c r="G138" s="239" t="str">
        <x:f aca="0">IF($R$17&lt;&gt;"Yes","",IF($Q$17="","",$Q$17*(1+$I$17)^C138))</x:f>
      </x:c>
      <x:c r="H138" s="239" t="n">
        <x:v>0</x:v>
      </x:c>
      <x:c r="I138" s="239" t="n">
        <x:f aca="0">IF(OR(G138="",H138=""),0,H138-G138)</x:f>
        <x:v>0</x:v>
      </x:c>
      <x:c r="J138" s="239" t="str">
        <x:f aca="0">IF(F138="","",F138-I138)</x:f>
      </x:c>
      <x:c r="K138" s="239" t="n">
        <x:f aca="0">IF($R$17&lt;&gt;"Yes","",$J$17)</x:f>
        <x:v>7.911875</x:v>
      </x:c>
      <x:c r="L138" s="239" t="n">
        <x:f aca="0">IF($R$17&lt;&gt;"Yes","",$K$17)</x:f>
        <x:v>0.75</x:v>
      </x:c>
      <x:c r="M138" s="239" t="n">
        <x:f aca="0">IF($R$17&lt;&gt;"Yes","",$L$17)</x:f>
        <x:v>0.4</x:v>
      </x:c>
      <x:c r="N138" s="239" t="str">
        <x:f aca="0">IF(OR(J138="",K138="",K138=0),"",J138*L138*M138/K138)</x:f>
      </x:c>
      <x:c r="O138" s="239" t="str">
        <x:f aca="0">IF($R$17&lt;&gt;"Yes","",$M$17)</x:f>
        <x:v>Govt. of India, Dept. of Agriculture and Farmers Welfare, DES - data.desagri.gov.in (crop-wise APY reports); 5-yr historical average 2015-2019, via ERR_Sheet_GKF_V1_1</x:v>
      </x:c>
    </x:row>
    <x:row r="139" ht="23.25" hidden="0" customHeight="1">
      <x:c r="A139" s="239" t="n">
        <x:v>2032</x:v>
      </x:c>
      <x:c r="B139" s="239" t="str">
        <x:f aca="0">IF($R$17&lt;&gt;"Yes","",$A$17)</x:f>
        <x:v>Turmeric</x:v>
      </x:c>
      <x:c r="C139" s="239" t="n">
        <x:f aca="0">A139-$E$5+1</x:f>
        <x:v>13</x:v>
      </x:c>
      <x:c r="D139" s="239" t="n">
        <x:f aca="0">IF($R$17&lt;&gt;"Yes","",IF($B$17="Introduced",0,IF($H$17="","",$H$17*(1+$I$17)^C139)))</x:f>
        <x:v>10361.239154916444</x:v>
      </x:c>
      <x:c r="E139" s="239" t="n">
        <x:v>0</x:v>
      </x:c>
      <x:c r="F139" s="239" t="str">
        <x:f aca="0">IF(OR(D139="",E139=""),"",D139-E139)</x:f>
      </x:c>
      <x:c r="G139" s="239" t="str">
        <x:f aca="0">IF($R$17&lt;&gt;"Yes","",IF($Q$17="","",$Q$17*(1+$I$17)^C139))</x:f>
      </x:c>
      <x:c r="H139" s="239" t="n">
        <x:v>0</x:v>
      </x:c>
      <x:c r="I139" s="239" t="n">
        <x:f aca="0">IF(OR(G139="",H139=""),0,H139-G139)</x:f>
        <x:v>0</x:v>
      </x:c>
      <x:c r="J139" s="239" t="str">
        <x:f aca="0">IF(F139="","",F139-I139)</x:f>
      </x:c>
      <x:c r="K139" s="239" t="n">
        <x:f aca="0">IF($R$17&lt;&gt;"Yes","",$J$17)</x:f>
        <x:v>7.911875</x:v>
      </x:c>
      <x:c r="L139" s="239" t="n">
        <x:f aca="0">IF($R$17&lt;&gt;"Yes","",$K$17)</x:f>
        <x:v>0.75</x:v>
      </x:c>
      <x:c r="M139" s="239" t="n">
        <x:f aca="0">IF($R$17&lt;&gt;"Yes","",$L$17)</x:f>
        <x:v>0.4</x:v>
      </x:c>
      <x:c r="N139" s="239" t="str">
        <x:f aca="0">IF(OR(J139="",K139="",K139=0),"",J139*L139*M139/K139)</x:f>
      </x:c>
      <x:c r="O139" s="239" t="str">
        <x:f aca="0">IF($R$17&lt;&gt;"Yes","",$M$17)</x:f>
        <x:v>Govt. of India, Dept. of Agriculture and Farmers Welfare, DES - data.desagri.gov.in (crop-wise APY reports); 5-yr historical average 2015-2019, via ERR_Sheet_GKF_V1_1</x:v>
      </x:c>
    </x:row>
    <x:row r="140" ht="23.25" hidden="0" customHeight="1">
      <x:c r="A140" s="239" t="n">
        <x:v>2033</x:v>
      </x:c>
      <x:c r="B140" s="239" t="str">
        <x:f aca="0">IF($R$17&lt;&gt;"Yes","",$A$17)</x:f>
        <x:v>Turmeric</x:v>
      </x:c>
      <x:c r="C140" s="239" t="n">
        <x:f aca="0">A140-$E$5+1</x:f>
        <x:v>14</x:v>
      </x:c>
      <x:c r="D140" s="239" t="n">
        <x:f aca="0">IF($R$17&lt;&gt;"Yes","",IF($B$17="Introduced",0,IF($H$17="","",$H$17*(1+$I$17)^C140)))</x:f>
        <x:v>10620.270133789354</x:v>
      </x:c>
      <x:c r="E140" s="239" t="n">
        <x:v>0</x:v>
      </x:c>
      <x:c r="F140" s="239" t="str">
        <x:f aca="0">IF(OR(D140="",E140=""),"",D140-E140)</x:f>
      </x:c>
      <x:c r="G140" s="239" t="str">
        <x:f aca="0">IF($R$17&lt;&gt;"Yes","",IF($Q$17="","",$Q$17*(1+$I$17)^C140))</x:f>
      </x:c>
      <x:c r="H140" s="239" t="n">
        <x:v>0</x:v>
      </x:c>
      <x:c r="I140" s="239" t="n">
        <x:f aca="0">IF(OR(G140="",H140=""),0,H140-G140)</x:f>
        <x:v>0</x:v>
      </x:c>
      <x:c r="J140" s="239" t="str">
        <x:f aca="0">IF(F140="","",F140-I140)</x:f>
      </x:c>
      <x:c r="K140" s="239" t="n">
        <x:f aca="0">IF($R$17&lt;&gt;"Yes","",$J$17)</x:f>
        <x:v>7.911875</x:v>
      </x:c>
      <x:c r="L140" s="239" t="n">
        <x:f aca="0">IF($R$17&lt;&gt;"Yes","",$K$17)</x:f>
        <x:v>0.75</x:v>
      </x:c>
      <x:c r="M140" s="239" t="n">
        <x:f aca="0">IF($R$17&lt;&gt;"Yes","",$L$17)</x:f>
        <x:v>0.4</x:v>
      </x:c>
      <x:c r="N140" s="239" t="str">
        <x:f aca="0">IF(OR(J140="",K140="",K140=0),"",J140*L140*M140/K140)</x:f>
      </x:c>
      <x:c r="O140" s="239" t="str">
        <x:f aca="0">IF($R$17&lt;&gt;"Yes","",$M$17)</x:f>
        <x:v>Govt. of India, Dept. of Agriculture and Farmers Welfare, DES - data.desagri.gov.in (crop-wise APY reports); 5-yr historical average 2015-2019, via ERR_Sheet_GKF_V1_1</x:v>
      </x:c>
    </x:row>
    <x:row r="141" ht="23.25" hidden="0" customHeight="1">
      <x:c r="A141" s="239" t="n">
        <x:v>2034</x:v>
      </x:c>
      <x:c r="B141" s="239" t="str">
        <x:f aca="0">IF($R$17&lt;&gt;"Yes","",$A$17)</x:f>
        <x:v>Turmeric</x:v>
      </x:c>
      <x:c r="C141" s="239" t="n">
        <x:f aca="0">A141-$E$5+1</x:f>
        <x:v>15</x:v>
      </x:c>
      <x:c r="D141" s="239" t="n">
        <x:f aca="0">IF($R$17&lt;&gt;"Yes","",IF($B$17="Introduced",0,IF($H$17="","",$H$17*(1+$I$17)^C141)))</x:f>
        <x:v>10885.776887134089</x:v>
      </x:c>
      <x:c r="E141" s="239" t="n">
        <x:v>0</x:v>
      </x:c>
      <x:c r="F141" s="239" t="str">
        <x:f aca="0">IF(OR(D141="",E141=""),"",D141-E141)</x:f>
      </x:c>
      <x:c r="G141" s="239" t="str">
        <x:f aca="0">IF($R$17&lt;&gt;"Yes","",IF($Q$17="","",$Q$17*(1+$I$17)^C141))</x:f>
      </x:c>
      <x:c r="H141" s="239" t="n">
        <x:v>0</x:v>
      </x:c>
      <x:c r="I141" s="239" t="n">
        <x:f aca="0">IF(OR(G141="",H141=""),0,H141-G141)</x:f>
        <x:v>0</x:v>
      </x:c>
      <x:c r="J141" s="239" t="str">
        <x:f aca="0">IF(F141="","",F141-I141)</x:f>
      </x:c>
      <x:c r="K141" s="239" t="n">
        <x:f aca="0">IF($R$17&lt;&gt;"Yes","",$J$17)</x:f>
        <x:v>7.911875</x:v>
      </x:c>
      <x:c r="L141" s="239" t="n">
        <x:f aca="0">IF($R$17&lt;&gt;"Yes","",$K$17)</x:f>
        <x:v>0.75</x:v>
      </x:c>
      <x:c r="M141" s="239" t="n">
        <x:f aca="0">IF($R$17&lt;&gt;"Yes","",$L$17)</x:f>
        <x:v>0.4</x:v>
      </x:c>
      <x:c r="N141" s="239" t="str">
        <x:f aca="0">IF(OR(J141="",K141="",K141=0),"",J141*L141*M141/K141)</x:f>
      </x:c>
      <x:c r="O141" s="239" t="str">
        <x:f aca="0">IF($R$17&lt;&gt;"Yes","",$M$17)</x:f>
        <x:v>Govt. of India, Dept. of Agriculture and Farmers Welfare, DES - data.desagri.gov.in (crop-wise APY reports); 5-yr historical average 2015-2019, via ERR_Sheet_GKF_V1_1</x:v>
      </x:c>
    </x:row>
    <x:row r="142" ht="23.25" hidden="0" customHeight="1">
      <x:c r="A142" s="239" t="n">
        <x:v>2035</x:v>
      </x:c>
      <x:c r="B142" s="239" t="str">
        <x:f aca="0">IF($R$17&lt;&gt;"Yes","",$A$17)</x:f>
        <x:v>Turmeric</x:v>
      </x:c>
      <x:c r="C142" s="239" t="n">
        <x:f aca="0">A142-$E$5+1</x:f>
        <x:v>16</x:v>
      </x:c>
      <x:c r="D142" s="239" t="n">
        <x:f aca="0">IF($R$17&lt;&gt;"Yes","",IF($B$17="Introduced",0,IF($H$17="","",$H$17*(1+$I$17)^C142)))</x:f>
        <x:v>11157.92130931244</x:v>
      </x:c>
      <x:c r="E142" s="239" t="n">
        <x:v>0</x:v>
      </x:c>
      <x:c r="F142" s="239" t="str">
        <x:f aca="0">IF(OR(D142="",E142=""),"",D142-E142)</x:f>
      </x:c>
      <x:c r="G142" s="239" t="str">
        <x:f aca="0">IF($R$17&lt;&gt;"Yes","",IF($Q$17="","",$Q$17*(1+$I$17)^C142))</x:f>
      </x:c>
      <x:c r="H142" s="239" t="n">
        <x:v>0</x:v>
      </x:c>
      <x:c r="I142" s="239" t="n">
        <x:f aca="0">IF(OR(G142="",H142=""),0,H142-G142)</x:f>
        <x:v>0</x:v>
      </x:c>
      <x:c r="J142" s="239" t="str">
        <x:f aca="0">IF(F142="","",F142-I142)</x:f>
      </x:c>
      <x:c r="K142" s="239" t="n">
        <x:f aca="0">IF($R$17&lt;&gt;"Yes","",$J$17)</x:f>
        <x:v>7.911875</x:v>
      </x:c>
      <x:c r="L142" s="239" t="n">
        <x:f aca="0">IF($R$17&lt;&gt;"Yes","",$K$17)</x:f>
        <x:v>0.75</x:v>
      </x:c>
      <x:c r="M142" s="239" t="n">
        <x:f aca="0">IF($R$17&lt;&gt;"Yes","",$L$17)</x:f>
        <x:v>0.4</x:v>
      </x:c>
      <x:c r="N142" s="239" t="str">
        <x:f aca="0">IF(OR(J142="",K142="",K142=0),"",J142*L142*M142/K142)</x:f>
      </x:c>
      <x:c r="O142" s="239" t="str">
        <x:f aca="0">IF($R$17&lt;&gt;"Yes","",$M$17)</x:f>
        <x:v>Govt. of India, Dept. of Agriculture and Farmers Welfare, DES - data.desagri.gov.in (crop-wise APY reports); 5-yr historical average 2015-2019, via ERR_Sheet_GKF_V1_1</x:v>
      </x:c>
    </x:row>
    <x:row r="143" ht="23.25" hidden="0" customHeight="1">
      <x:c r="A143" s="239" t="n">
        <x:v>2036</x:v>
      </x:c>
      <x:c r="B143" s="239" t="str">
        <x:f aca="0">IF($R$17&lt;&gt;"Yes","",$A$17)</x:f>
        <x:v>Turmeric</x:v>
      </x:c>
      <x:c r="C143" s="239" t="n">
        <x:f aca="0">A143-$E$5+1</x:f>
        <x:v>17</x:v>
      </x:c>
      <x:c r="D143" s="239" t="n">
        <x:f aca="0">IF($R$17&lt;&gt;"Yes","",IF($B$17="Introduced",0,IF($H$17="","",$H$17*(1+$I$17)^C143)))</x:f>
        <x:v>11436.86934204525</x:v>
      </x:c>
      <x:c r="E143" s="239" t="n">
        <x:v>0</x:v>
      </x:c>
      <x:c r="F143" s="239" t="str">
        <x:f aca="0">IF(OR(D143="",E143=""),"",D143-E143)</x:f>
      </x:c>
      <x:c r="G143" s="239" t="str">
        <x:f aca="0">IF($R$17&lt;&gt;"Yes","",IF($Q$17="","",$Q$17*(1+$I$17)^C143))</x:f>
      </x:c>
      <x:c r="H143" s="239" t="n">
        <x:v>0</x:v>
      </x:c>
      <x:c r="I143" s="239" t="n">
        <x:f aca="0">IF(OR(G143="",H143=""),0,H143-G143)</x:f>
        <x:v>0</x:v>
      </x:c>
      <x:c r="J143" s="239" t="str">
        <x:f aca="0">IF(F143="","",F143-I143)</x:f>
      </x:c>
      <x:c r="K143" s="239" t="n">
        <x:f aca="0">IF($R$17&lt;&gt;"Yes","",$J$17)</x:f>
        <x:v>7.911875</x:v>
      </x:c>
      <x:c r="L143" s="239" t="n">
        <x:f aca="0">IF($R$17&lt;&gt;"Yes","",$K$17)</x:f>
        <x:v>0.75</x:v>
      </x:c>
      <x:c r="M143" s="239" t="n">
        <x:f aca="0">IF($R$17&lt;&gt;"Yes","",$L$17)</x:f>
        <x:v>0.4</x:v>
      </x:c>
      <x:c r="N143" s="239" t="str">
        <x:f aca="0">IF(OR(J143="",K143="",K143=0),"",J143*L143*M143/K143)</x:f>
      </x:c>
      <x:c r="O143" s="239" t="str">
        <x:f aca="0">IF($R$17&lt;&gt;"Yes","",$M$17)</x:f>
        <x:v>Govt. of India, Dept. of Agriculture and Farmers Welfare, DES - data.desagri.gov.in (crop-wise APY reports); 5-yr historical average 2015-2019, via ERR_Sheet_GKF_V1_1</x:v>
      </x:c>
    </x:row>
    <x:row r="144" ht="23.25" hidden="0" customHeight="1">
      <x:c r="A144" s="239" t="n">
        <x:v>2037</x:v>
      </x:c>
      <x:c r="B144" s="239" t="str">
        <x:f aca="0">IF($R$17&lt;&gt;"Yes","",$A$17)</x:f>
        <x:v>Turmeric</x:v>
      </x:c>
      <x:c r="C144" s="239" t="n">
        <x:f aca="0">A144-$E$5+1</x:f>
        <x:v>18</x:v>
      </x:c>
      <x:c r="D144" s="239" t="n">
        <x:f aca="0">IF($R$17&lt;&gt;"Yes","",IF($B$17="Introduced",0,IF($H$17="","",$H$17*(1+$I$17)^C144)))</x:f>
        <x:v>11722.791075596382</x:v>
      </x:c>
      <x:c r="E144" s="239" t="n">
        <x:v>0</x:v>
      </x:c>
      <x:c r="F144" s="239" t="str">
        <x:f aca="0">IF(OR(D144="",E144=""),"",D144-E144)</x:f>
      </x:c>
      <x:c r="G144" s="239" t="str">
        <x:f aca="0">IF($R$17&lt;&gt;"Yes","",IF($Q$17="","",$Q$17*(1+$I$17)^C144))</x:f>
      </x:c>
      <x:c r="H144" s="239" t="n">
        <x:v>0</x:v>
      </x:c>
      <x:c r="I144" s="239" t="n">
        <x:f aca="0">IF(OR(G144="",H144=""),0,H144-G144)</x:f>
        <x:v>0</x:v>
      </x:c>
      <x:c r="J144" s="239" t="str">
        <x:f aca="0">IF(F144="","",F144-I144)</x:f>
      </x:c>
      <x:c r="K144" s="239" t="n">
        <x:f aca="0">IF($R$17&lt;&gt;"Yes","",$J$17)</x:f>
        <x:v>7.911875</x:v>
      </x:c>
      <x:c r="L144" s="239" t="n">
        <x:f aca="0">IF($R$17&lt;&gt;"Yes","",$K$17)</x:f>
        <x:v>0.75</x:v>
      </x:c>
      <x:c r="M144" s="239" t="n">
        <x:f aca="0">IF($R$17&lt;&gt;"Yes","",$L$17)</x:f>
        <x:v>0.4</x:v>
      </x:c>
      <x:c r="N144" s="239" t="str">
        <x:f aca="0">IF(OR(J144="",K144="",K144=0),"",J144*L144*M144/K144)</x:f>
      </x:c>
      <x:c r="O144" s="239" t="str">
        <x:f aca="0">IF($R$17&lt;&gt;"Yes","",$M$17)</x:f>
        <x:v>Govt. of India, Dept. of Agriculture and Farmers Welfare, DES - data.desagri.gov.in (crop-wise APY reports); 5-yr historical average 2015-2019, via ERR_Sheet_GKF_V1_1</x:v>
      </x:c>
    </x:row>
    <x:row r="145" ht="23.25" hidden="0" customHeight="1">
      <x:c r="A145" s="239" t="n">
        <x:v>2038</x:v>
      </x:c>
      <x:c r="B145" s="239" t="str">
        <x:f aca="0">IF($R$17&lt;&gt;"Yes","",$A$17)</x:f>
        <x:v>Turmeric</x:v>
      </x:c>
      <x:c r="C145" s="239" t="n">
        <x:f aca="0">A145-$E$5+1</x:f>
        <x:v>19</x:v>
      </x:c>
      <x:c r="D145" s="239" t="n">
        <x:f aca="0">IF($R$17&lt;&gt;"Yes","",IF($B$17="Introduced",0,IF($H$17="","",$H$17*(1+$I$17)^C145)))</x:f>
        <x:v>12015.86085248629</x:v>
      </x:c>
      <x:c r="E145" s="239" t="n">
        <x:v>0</x:v>
      </x:c>
      <x:c r="F145" s="239" t="str">
        <x:f aca="0">IF(OR(D145="",E145=""),"",D145-E145)</x:f>
      </x:c>
      <x:c r="G145" s="239" t="str">
        <x:f aca="0">IF($R$17&lt;&gt;"Yes","",IF($Q$17="","",$Q$17*(1+$I$17)^C145))</x:f>
      </x:c>
      <x:c r="H145" s="239" t="n">
        <x:v>0</x:v>
      </x:c>
      <x:c r="I145" s="239" t="n">
        <x:f aca="0">IF(OR(G145="",H145=""),0,H145-G145)</x:f>
        <x:v>0</x:v>
      </x:c>
      <x:c r="J145" s="239" t="str">
        <x:f aca="0">IF(F145="","",F145-I145)</x:f>
      </x:c>
      <x:c r="K145" s="239" t="n">
        <x:f aca="0">IF($R$17&lt;&gt;"Yes","",$J$17)</x:f>
        <x:v>7.911875</x:v>
      </x:c>
      <x:c r="L145" s="239" t="n">
        <x:f aca="0">IF($R$17&lt;&gt;"Yes","",$K$17)</x:f>
        <x:v>0.75</x:v>
      </x:c>
      <x:c r="M145" s="239" t="n">
        <x:f aca="0">IF($R$17&lt;&gt;"Yes","",$L$17)</x:f>
        <x:v>0.4</x:v>
      </x:c>
      <x:c r="N145" s="239" t="str">
        <x:f aca="0">IF(OR(J145="",K145="",K145=0),"",J145*L145*M145/K145)</x:f>
      </x:c>
      <x:c r="O145" s="239" t="str">
        <x:f aca="0">IF($R$17&lt;&gt;"Yes","",$M$17)</x:f>
        <x:v>Govt. of India, Dept. of Agriculture and Farmers Welfare, DES - data.desagri.gov.in (crop-wise APY reports); 5-yr historical average 2015-2019, via ERR_Sheet_GKF_V1_1</x:v>
      </x:c>
    </x:row>
    <x:row r="146" ht="23.25" hidden="0" customHeight="1">
      <x:c r="A146" s="239" t="n">
        <x:v>2039</x:v>
      </x:c>
      <x:c r="B146" s="239" t="str">
        <x:f aca="0">IF($R$17&lt;&gt;"Yes","",$A$17)</x:f>
        <x:v>Turmeric</x:v>
      </x:c>
      <x:c r="C146" s="239" t="n">
        <x:f aca="0">A146-$E$5+1</x:f>
        <x:v>20</x:v>
      </x:c>
      <x:c r="D146" s="239" t="n">
        <x:f aca="0">IF($R$17&lt;&gt;"Yes","",IF($B$17="Introduced",0,IF($H$17="","",$H$17*(1+$I$17)^C146)))</x:f>
        <x:v>12316.257373798446</x:v>
      </x:c>
      <x:c r="E146" s="239" t="n">
        <x:v>0</x:v>
      </x:c>
      <x:c r="F146" s="239" t="str">
        <x:f aca="0">IF(OR(D146="",E146=""),"",D146-E146)</x:f>
      </x:c>
      <x:c r="G146" s="239" t="str">
        <x:f aca="0">IF($R$17&lt;&gt;"Yes","",IF($Q$17="","",$Q$17*(1+$I$17)^C146))</x:f>
      </x:c>
      <x:c r="H146" s="239" t="n">
        <x:v>0</x:v>
      </x:c>
      <x:c r="I146" s="239" t="n">
        <x:f aca="0">IF(OR(G146="",H146=""),0,H146-G146)</x:f>
        <x:v>0</x:v>
      </x:c>
      <x:c r="J146" s="239" t="str">
        <x:f aca="0">IF(F146="","",F146-I146)</x:f>
      </x:c>
      <x:c r="K146" s="239" t="n">
        <x:f aca="0">IF($R$17&lt;&gt;"Yes","",$J$17)</x:f>
        <x:v>7.911875</x:v>
      </x:c>
      <x:c r="L146" s="239" t="n">
        <x:f aca="0">IF($R$17&lt;&gt;"Yes","",$K$17)</x:f>
        <x:v>0.75</x:v>
      </x:c>
      <x:c r="M146" s="239" t="n">
        <x:f aca="0">IF($R$17&lt;&gt;"Yes","",$L$17)</x:f>
        <x:v>0.4</x:v>
      </x:c>
      <x:c r="N146" s="239" t="str">
        <x:f aca="0">IF(OR(J146="",K146="",K146=0),"",J146*L146*M146/K146)</x:f>
      </x:c>
      <x:c r="O146" s="239" t="str">
        <x:f aca="0">IF($R$17&lt;&gt;"Yes","",$M$17)</x:f>
        <x:v>Govt. of India, Dept. of Agriculture and Farmers Welfare, DES - data.desagri.gov.in (crop-wise APY reports); 5-yr historical average 2015-2019, via ERR_Sheet_GKF_V1_1</x:v>
      </x:c>
    </x:row>
    <x:row r="147" ht="23.25" hidden="0" customHeight="1">
      <x:c r="A147" s="239" t="n">
        <x:v>2040</x:v>
      </x:c>
      <x:c r="B147" s="239" t="str">
        <x:f aca="0">IF($R$17&lt;&gt;"Yes","",$A$17)</x:f>
        <x:v>Turmeric</x:v>
      </x:c>
      <x:c r="C147" s="239" t="n">
        <x:f aca="0">A147-$E$5+1</x:f>
        <x:v>21</x:v>
      </x:c>
      <x:c r="D147" s="239" t="n">
        <x:f aca="0">IF($R$17&lt;&gt;"Yes","",IF($B$17="Introduced",0,IF($H$17="","",$H$17*(1+$I$17)^C147)))</x:f>
        <x:v>12624.163808143407</x:v>
      </x:c>
      <x:c r="E147" s="239" t="n">
        <x:v>0</x:v>
      </x:c>
      <x:c r="F147" s="239" t="str">
        <x:f aca="0">IF(OR(D147="",E147=""),"",D147-E147)</x:f>
      </x:c>
      <x:c r="G147" s="239" t="str">
        <x:f aca="0">IF($R$17&lt;&gt;"Yes","",IF($Q$17="","",$Q$17*(1+$I$17)^C147))</x:f>
      </x:c>
      <x:c r="H147" s="239" t="n">
        <x:v>0</x:v>
      </x:c>
      <x:c r="I147" s="239" t="n">
        <x:f aca="0">IF(OR(G147="",H147=""),0,H147-G147)</x:f>
        <x:v>0</x:v>
      </x:c>
      <x:c r="J147" s="239" t="str">
        <x:f aca="0">IF(F147="","",F147-I147)</x:f>
      </x:c>
      <x:c r="K147" s="239" t="n">
        <x:f aca="0">IF($R$17&lt;&gt;"Yes","",$J$17)</x:f>
        <x:v>7.911875</x:v>
      </x:c>
      <x:c r="L147" s="239" t="n">
        <x:f aca="0">IF($R$17&lt;&gt;"Yes","",$K$17)</x:f>
        <x:v>0.75</x:v>
      </x:c>
      <x:c r="M147" s="239" t="n">
        <x:f aca="0">IF($R$17&lt;&gt;"Yes","",$L$17)</x:f>
        <x:v>0.4</x:v>
      </x:c>
      <x:c r="N147" s="239" t="str">
        <x:f aca="0">IF(OR(J147="",K147="",K147=0),"",J147*L147*M147/K147)</x:f>
      </x:c>
      <x:c r="O147" s="239" t="str">
        <x:f aca="0">IF($R$17&lt;&gt;"Yes","",$M$17)</x:f>
        <x:v>Govt. of India, Dept. of Agriculture and Farmers Welfare, DES - data.desagri.gov.in (crop-wise APY reports); 5-yr historical average 2015-2019, via ERR_Sheet_GKF_V1_1</x:v>
      </x:c>
    </x:row>
    <x:row r="148" ht="23.25" hidden="0" customHeight="1">
      <x:c r="A148" s="239" t="n">
        <x:v>2020</x:v>
      </x:c>
      <x:c r="B148" s="239" t="str">
        <x:f aca="0">IF($R$18&lt;&gt;"Yes","",$A$18)</x:f>
        <x:v>Vegetables</x:v>
      </x:c>
      <x:c r="C148" s="239" t="n">
        <x:f aca="0">A148-$E$5+1</x:f>
        <x:v>1</x:v>
      </x:c>
      <x:c r="D148" s="239" t="n">
        <x:f aca="0">IF($R$18&lt;&gt;"Yes","",IF($B$18="Introduced",0,IF($H$18="","",$H$18*(1+$I$18)^C148)))</x:f>
        <x:v>6990.697415</x:v>
      </x:c>
      <x:c r="E148" s="239" t="n">
        <x:v>0</x:v>
      </x:c>
      <x:c r="F148" s="239" t="str">
        <x:f aca="0">IF(OR(D148="",E148=""),"",D148-E148)</x:f>
      </x:c>
      <x:c r="G148" s="239" t="str">
        <x:f aca="0">IF($R$18&lt;&gt;"Yes","",IF($Q$18="","",$Q$18*(1+$I$18)^C148))</x:f>
      </x:c>
      <x:c r="H148" s="239" t="n">
        <x:v>0</x:v>
      </x:c>
      <x:c r="I148" s="239" t="n">
        <x:f aca="0">IF(OR(G148="",H148=""),0,H148-G148)</x:f>
        <x:v>0</x:v>
      </x:c>
      <x:c r="J148" s="239" t="str">
        <x:f aca="0">IF(F148="","",F148-I148)</x:f>
      </x:c>
      <x:c r="K148" s="239" t="n">
        <x:f aca="0">IF($R$18&lt;&gt;"Yes","",$J$18)</x:f>
        <x:v>12.053531</x:v>
      </x:c>
      <x:c r="L148" s="239" t="n">
        <x:f aca="0">IF($R$18&lt;&gt;"Yes","",$K$18)</x:f>
        <x:v>0.75</x:v>
      </x:c>
      <x:c r="M148" s="239" t="n">
        <x:f aca="0">IF($R$18&lt;&gt;"Yes","",$L$18)</x:f>
        <x:v>0.4</x:v>
      </x:c>
      <x:c r="N148" s="239" t="str">
        <x:f aca="0">IF(OR(J148="",K148="",K148=0),"",J148*L148*M148/K148)</x:f>
      </x:c>
      <x:c r="O148" s="239" t="str">
        <x:f aca="0">IF($R$18&lt;&gt;"Yes","",$M$18)</x:f>
        <x:v>Govt. of India, Dept. of Agriculture and Farmers Welfare, DES - data.desagri.gov.in (crop-wise APY reports); 5-yr historical average 2015-2019, via ERR_Sheet_GKF_V1_1</x:v>
      </x:c>
    </x:row>
    <x:row r="149" ht="15" hidden="0" customHeight="1">
      <x:c r="A149" s="239" t="n">
        <x:v>2021</x:v>
      </x:c>
      <x:c r="B149" s="239" t="str">
        <x:f aca="0">IF($R$18&lt;&gt;"Yes","",$A$18)</x:f>
        <x:v>Vegetables</x:v>
      </x:c>
      <x:c r="C149" s="239" t="n">
        <x:f aca="0">A149-$E$5+1</x:f>
        <x:v>2</x:v>
      </x:c>
      <x:c r="D149" s="239" t="n">
        <x:f aca="0">IF($R$18&lt;&gt;"Yes","",IF($B$18="Introduced",0,IF($H$18="","",$H$18*(1+$I$18)^C149)))</x:f>
        <x:v>7165.4648503749995</x:v>
      </x:c>
      <x:c r="E149" s="239" t="n">
        <x:v>0</x:v>
      </x:c>
      <x:c r="F149" s="239" t="str">
        <x:f aca="0">IF(OR(D149="",E149=""),"",D149-E149)</x:f>
      </x:c>
      <x:c r="G149" s="239" t="str">
        <x:f aca="0">IF($R$18&lt;&gt;"Yes","",IF($Q$18="","",$Q$18*(1+$I$18)^C149))</x:f>
      </x:c>
      <x:c r="H149" s="239" t="n">
        <x:v>0</x:v>
      </x:c>
      <x:c r="I149" s="239" t="n">
        <x:f aca="0">IF(OR(G149="",H149=""),0,H149-G149)</x:f>
        <x:v>0</x:v>
      </x:c>
      <x:c r="J149" s="239" t="str">
        <x:f aca="0">IF(F149="","",F149-I149)</x:f>
      </x:c>
      <x:c r="K149" s="239" t="n">
        <x:f aca="0">IF($R$18&lt;&gt;"Yes","",$J$18)</x:f>
        <x:v>12.053531</x:v>
      </x:c>
      <x:c r="L149" s="239" t="n">
        <x:f aca="0">IF($R$18&lt;&gt;"Yes","",$K$18)</x:f>
        <x:v>0.75</x:v>
      </x:c>
      <x:c r="M149" s="239" t="n">
        <x:f aca="0">IF($R$18&lt;&gt;"Yes","",$L$18)</x:f>
        <x:v>0.4</x:v>
      </x:c>
      <x:c r="N149" s="239" t="str">
        <x:f aca="0">IF(OR(J149="",K149="",K149=0),"",J149*L149*M149/K149)</x:f>
      </x:c>
      <x:c r="O149" s="239" t="str">
        <x:f aca="0">IF($R$18&lt;&gt;"Yes","",$M$18)</x:f>
        <x:v>Govt. of India, Dept. of Agriculture and Farmers Welfare, DES - data.desagri.gov.in (crop-wise APY reports); 5-yr historical average 2015-2019, via ERR_Sheet_GKF_V1_1</x:v>
      </x:c>
    </x:row>
    <x:row r="150" ht="75" hidden="0" customHeight="1">
      <x:c r="A150" s="239" t="n">
        <x:v>2022</x:v>
      </x:c>
      <x:c r="B150" s="239" t="str">
        <x:f aca="0">IF($R$18&lt;&gt;"Yes","",$A$18)</x:f>
        <x:v>Vegetables</x:v>
      </x:c>
      <x:c r="C150" s="239" t="n">
        <x:f aca="0">A150-$E$5+1</x:f>
        <x:v>3</x:v>
      </x:c>
      <x:c r="D150" s="239" t="n">
        <x:f aca="0">IF($R$18&lt;&gt;"Yes","",IF($B$18="Introduced",0,IF($H$18="","",$H$18*(1+$I$18)^C150)))</x:f>
        <x:v>7344.601471634374</x:v>
      </x:c>
      <x:c r="E150" s="239" t="n">
        <x:v>0</x:v>
      </x:c>
      <x:c r="F150" s="239" t="str">
        <x:f aca="0">IF(OR(D150="",E150=""),"",D150-E150)</x:f>
      </x:c>
      <x:c r="G150" s="239" t="str">
        <x:f aca="0">IF($R$18&lt;&gt;"Yes","",IF($Q$18="","",$Q$18*(1+$I$18)^C150))</x:f>
      </x:c>
      <x:c r="H150" s="239" t="n">
        <x:v>0</x:v>
      </x:c>
      <x:c r="I150" s="239" t="n">
        <x:f aca="0">IF(OR(G150="",H150=""),0,H150-G150)</x:f>
        <x:v>0</x:v>
      </x:c>
      <x:c r="J150" s="239" t="str">
        <x:f aca="0">IF(F150="","",F150-I150)</x:f>
      </x:c>
      <x:c r="K150" s="239" t="n">
        <x:f aca="0">IF($R$18&lt;&gt;"Yes","",$J$18)</x:f>
        <x:v>12.053531</x:v>
      </x:c>
      <x:c r="L150" s="239" t="n">
        <x:f aca="0">IF($R$18&lt;&gt;"Yes","",$K$18)</x:f>
        <x:v>0.75</x:v>
      </x:c>
      <x:c r="M150" s="239" t="n">
        <x:f aca="0">IF($R$18&lt;&gt;"Yes","",$L$18)</x:f>
        <x:v>0.4</x:v>
      </x:c>
      <x:c r="N150" s="239" t="str">
        <x:f aca="0">IF(OR(J150="",K150="",K150=0),"",J150*L150*M150/K150)</x:f>
      </x:c>
      <x:c r="O150" s="239" t="str">
        <x:f aca="0">IF($R$18&lt;&gt;"Yes","",$M$18)</x:f>
        <x:v>Govt. of India, Dept. of Agriculture and Farmers Welfare, DES - data.desagri.gov.in (crop-wise APY reports); 5-yr historical average 2015-2019, via ERR_Sheet_GKF_V1_1</x:v>
      </x:c>
    </x:row>
    <x:row r="151" ht="15" hidden="0" customHeight="1">
      <x:c r="A151" s="239" t="n">
        <x:v>2023</x:v>
      </x:c>
      <x:c r="B151" s="239" t="str">
        <x:f aca="0">IF($R$18&lt;&gt;"Yes","",$A$18)</x:f>
        <x:v>Vegetables</x:v>
      </x:c>
      <x:c r="C151" s="239" t="n">
        <x:f aca="0">A151-$E$5+1</x:f>
        <x:v>4</x:v>
      </x:c>
      <x:c r="D151" s="239" t="n">
        <x:f aca="0">IF($R$18&lt;&gt;"Yes","",IF($B$18="Introduced",0,IF($H$18="","",$H$18*(1+$I$18)^C151)))</x:f>
        <x:v>7528.216508425233</x:v>
      </x:c>
      <x:c r="E151" s="239" t="n">
        <x:v>0</x:v>
      </x:c>
      <x:c r="F151" s="239" t="str">
        <x:f aca="0">IF(OR(D151="",E151=""),"",D151-E151)</x:f>
      </x:c>
      <x:c r="G151" s="239" t="str">
        <x:f aca="0">IF($R$18&lt;&gt;"Yes","",IF($Q$18="","",$Q$18*(1+$I$18)^C151))</x:f>
      </x:c>
      <x:c r="H151" s="239" t="n">
        <x:v>0</x:v>
      </x:c>
      <x:c r="I151" s="239" t="n">
        <x:f aca="0">IF(OR(G151="",H151=""),0,H151-G151)</x:f>
        <x:v>0</x:v>
      </x:c>
      <x:c r="J151" s="239" t="str">
        <x:f aca="0">IF(F151="","",F151-I151)</x:f>
      </x:c>
      <x:c r="K151" s="239" t="n">
        <x:f aca="0">IF($R$18&lt;&gt;"Yes","",$J$18)</x:f>
        <x:v>12.053531</x:v>
      </x:c>
      <x:c r="L151" s="239" t="n">
        <x:f aca="0">IF($R$18&lt;&gt;"Yes","",$K$18)</x:f>
        <x:v>0.75</x:v>
      </x:c>
      <x:c r="M151" s="239" t="n">
        <x:f aca="0">IF($R$18&lt;&gt;"Yes","",$L$18)</x:f>
        <x:v>0.4</x:v>
      </x:c>
      <x:c r="N151" s="239" t="str">
        <x:f aca="0">IF(OR(J151="",K151="",K151=0),"",J151*L151*M151/K151)</x:f>
      </x:c>
      <x:c r="O151" s="239" t="str">
        <x:f aca="0">IF($R$18&lt;&gt;"Yes","",$M$18)</x:f>
        <x:v>Govt. of India, Dept. of Agriculture and Farmers Welfare, DES - data.desagri.gov.in (crop-wise APY reports); 5-yr historical average 2015-2019, via ERR_Sheet_GKF_V1_1</x:v>
      </x:c>
    </x:row>
    <x:row r="152" ht="15" hidden="0" customHeight="1">
      <x:c r="A152" s="239" t="n">
        <x:v>2024</x:v>
      </x:c>
      <x:c r="B152" s="239" t="str">
        <x:f aca="0">IF($R$18&lt;&gt;"Yes","",$A$18)</x:f>
        <x:v>Vegetables</x:v>
      </x:c>
      <x:c r="C152" s="239" t="n">
        <x:f aca="0">A152-$E$5+1</x:f>
        <x:v>5</x:v>
      </x:c>
      <x:c r="D152" s="239" t="n">
        <x:f aca="0">IF($R$18&lt;&gt;"Yes","",IF($B$18="Introduced",0,IF($H$18="","",$H$18*(1+$I$18)^C152)))</x:f>
        <x:v>7716.421921135863</x:v>
      </x:c>
      <x:c r="E152" s="239" t="n">
        <x:v>0</x:v>
      </x:c>
      <x:c r="F152" s="239" t="str">
        <x:f aca="0">IF(OR(D152="",E152=""),"",D152-E152)</x:f>
      </x:c>
      <x:c r="G152" s="239" t="str">
        <x:f aca="0">IF($R$18&lt;&gt;"Yes","",IF($Q$18="","",$Q$18*(1+$I$18)^C152))</x:f>
      </x:c>
      <x:c r="H152" s="239" t="n">
        <x:v>0</x:v>
      </x:c>
      <x:c r="I152" s="239" t="n">
        <x:f aca="0">IF(OR(G152="",H152=""),0,H152-G152)</x:f>
        <x:v>0</x:v>
      </x:c>
      <x:c r="J152" s="239" t="str">
        <x:f aca="0">IF(F152="","",F152-I152)</x:f>
      </x:c>
      <x:c r="K152" s="239" t="n">
        <x:f aca="0">IF($R$18&lt;&gt;"Yes","",$J$18)</x:f>
        <x:v>12.053531</x:v>
      </x:c>
      <x:c r="L152" s="239" t="n">
        <x:f aca="0">IF($R$18&lt;&gt;"Yes","",$K$18)</x:f>
        <x:v>0.75</x:v>
      </x:c>
      <x:c r="M152" s="239" t="n">
        <x:f aca="0">IF($R$18&lt;&gt;"Yes","",$L$18)</x:f>
        <x:v>0.4</x:v>
      </x:c>
      <x:c r="N152" s="239" t="str">
        <x:f aca="0">IF(OR(J152="",K152="",K152=0),"",J152*L152*M152/K152)</x:f>
      </x:c>
      <x:c r="O152" s="239" t="str">
        <x:f aca="0">IF($R$18&lt;&gt;"Yes","",$M$18)</x:f>
        <x:v>Govt. of India, Dept. of Agriculture and Farmers Welfare, DES - data.desagri.gov.in (crop-wise APY reports); 5-yr historical average 2015-2019, via ERR_Sheet_GKF_V1_1</x:v>
      </x:c>
    </x:row>
    <x:row r="153" ht="15" hidden="0" customHeight="1">
      <x:c r="A153" s="239" t="n">
        <x:v>2025</x:v>
      </x:c>
      <x:c r="B153" s="239" t="str">
        <x:f aca="0">IF($R$18&lt;&gt;"Yes","",$A$18)</x:f>
        <x:v>Vegetables</x:v>
      </x:c>
      <x:c r="C153" s="239" t="n">
        <x:f aca="0">A153-$E$5+1</x:f>
        <x:v>6</x:v>
      </x:c>
      <x:c r="D153" s="239" t="n">
        <x:f aca="0">IF($R$18&lt;&gt;"Yes","",IF($B$18="Introduced",0,IF($H$18="","",$H$18*(1+$I$18)^C153)))</x:f>
        <x:v>7909.332469164259</x:v>
      </x:c>
      <x:c r="E153" s="239" t="n">
        <x:v>0</x:v>
      </x:c>
      <x:c r="F153" s="239" t="str">
        <x:f aca="0">IF(OR(D153="",E153=""),"",D153-E153)</x:f>
      </x:c>
      <x:c r="G153" s="239" t="str">
        <x:f aca="0">IF($R$18&lt;&gt;"Yes","",IF($Q$18="","",$Q$18*(1+$I$18)^C153))</x:f>
      </x:c>
      <x:c r="H153" s="239" t="n">
        <x:v>0</x:v>
      </x:c>
      <x:c r="I153" s="239" t="n">
        <x:f aca="0">IF(OR(G153="",H153=""),0,H153-G153)</x:f>
        <x:v>0</x:v>
      </x:c>
      <x:c r="J153" s="239" t="str">
        <x:f aca="0">IF(F153="","",F153-I153)</x:f>
      </x:c>
      <x:c r="K153" s="239" t="n">
        <x:f aca="0">IF($R$18&lt;&gt;"Yes","",$J$18)</x:f>
        <x:v>12.053531</x:v>
      </x:c>
      <x:c r="L153" s="239" t="n">
        <x:f aca="0">IF($R$18&lt;&gt;"Yes","",$K$18)</x:f>
        <x:v>0.75</x:v>
      </x:c>
      <x:c r="M153" s="239" t="n">
        <x:f aca="0">IF($R$18&lt;&gt;"Yes","",$L$18)</x:f>
        <x:v>0.4</x:v>
      </x:c>
      <x:c r="N153" s="239" t="str">
        <x:f aca="0">IF(OR(J153="",K153="",K153=0),"",J153*L153*M153/K153)</x:f>
      </x:c>
      <x:c r="O153" s="239" t="str">
        <x:f aca="0">IF($R$18&lt;&gt;"Yes","",$M$18)</x:f>
        <x:v>Govt. of India, Dept. of Agriculture and Farmers Welfare, DES - data.desagri.gov.in (crop-wise APY reports); 5-yr historical average 2015-2019, via ERR_Sheet_GKF_V1_1</x:v>
      </x:c>
    </x:row>
    <x:row r="154" ht="15" hidden="0" customHeight="1">
      <x:c r="A154" s="239" t="n">
        <x:v>2026</x:v>
      </x:c>
      <x:c r="B154" s="239" t="str">
        <x:f aca="0">IF($R$18&lt;&gt;"Yes","",$A$18)</x:f>
        <x:v>Vegetables</x:v>
      </x:c>
      <x:c r="C154" s="239" t="n">
        <x:f aca="0">A154-$E$5+1</x:f>
        <x:v>7</x:v>
      </x:c>
      <x:c r="D154" s="239" t="n">
        <x:f aca="0">IF($R$18&lt;&gt;"Yes","",IF($B$18="Introduced",0,IF($H$18="","",$H$18*(1+$I$18)^C154)))</x:f>
        <x:v>8107.0657808933665</x:v>
      </x:c>
      <x:c r="E154" s="239" t="n">
        <x:v>0</x:v>
      </x:c>
      <x:c r="F154" s="239" t="str">
        <x:f aca="0">IF(OR(D154="",E154=""),"",D154-E154)</x:f>
      </x:c>
      <x:c r="G154" s="239" t="str">
        <x:f aca="0">IF($R$18&lt;&gt;"Yes","",IF($Q$18="","",$Q$18*(1+$I$18)^C154))</x:f>
      </x:c>
      <x:c r="H154" s="239" t="n">
        <x:v>0</x:v>
      </x:c>
      <x:c r="I154" s="239" t="n">
        <x:f aca="0">IF(OR(G154="",H154=""),0,H154-G154)</x:f>
        <x:v>0</x:v>
      </x:c>
      <x:c r="J154" s="239" t="str">
        <x:f aca="0">IF(F154="","",F154-I154)</x:f>
      </x:c>
      <x:c r="K154" s="239" t="n">
        <x:f aca="0">IF($R$18&lt;&gt;"Yes","",$J$18)</x:f>
        <x:v>12.053531</x:v>
      </x:c>
      <x:c r="L154" s="239" t="n">
        <x:f aca="0">IF($R$18&lt;&gt;"Yes","",$K$18)</x:f>
        <x:v>0.75</x:v>
      </x:c>
      <x:c r="M154" s="239" t="n">
        <x:f aca="0">IF($R$18&lt;&gt;"Yes","",$L$18)</x:f>
        <x:v>0.4</x:v>
      </x:c>
      <x:c r="N154" s="239" t="str">
        <x:f aca="0">IF(OR(J154="",K154="",K154=0),"",J154*L154*M154/K154)</x:f>
      </x:c>
      <x:c r="O154" s="239" t="str">
        <x:f aca="0">IF($R$18&lt;&gt;"Yes","",$M$18)</x:f>
        <x:v>Govt. of India, Dept. of Agriculture and Farmers Welfare, DES - data.desagri.gov.in (crop-wise APY reports); 5-yr historical average 2015-2019, via ERR_Sheet_GKF_V1_1</x:v>
      </x:c>
    </x:row>
    <x:row r="155" ht="15" hidden="0" customHeight="1">
      <x:c r="A155" s="239" t="n">
        <x:v>2027</x:v>
      </x:c>
      <x:c r="B155" s="239" t="str">
        <x:f aca="0">IF($R$18&lt;&gt;"Yes","",$A$18)</x:f>
        <x:v>Vegetables</x:v>
      </x:c>
      <x:c r="C155" s="239" t="n">
        <x:f aca="0">A155-$E$5+1</x:f>
        <x:v>8</x:v>
      </x:c>
      <x:c r="D155" s="239" t="n">
        <x:f aca="0">IF($R$18&lt;&gt;"Yes","",IF($B$18="Introduced",0,IF($H$18="","",$H$18*(1+$I$18)^C155)))</x:f>
        <x:v>8309.7424254157</x:v>
      </x:c>
      <x:c r="E155" s="239" t="n">
        <x:v>0</x:v>
      </x:c>
      <x:c r="F155" s="239" t="str">
        <x:f aca="0">IF(OR(D155="",E155=""),"",D155-E155)</x:f>
      </x:c>
      <x:c r="G155" s="239" t="str">
        <x:f aca="0">IF($R$18&lt;&gt;"Yes","",IF($Q$18="","",$Q$18*(1+$I$18)^C155))</x:f>
      </x:c>
      <x:c r="H155" s="239" t="n">
        <x:v>0</x:v>
      </x:c>
      <x:c r="I155" s="239" t="n">
        <x:f aca="0">IF(OR(G155="",H155=""),0,H155-G155)</x:f>
        <x:v>0</x:v>
      </x:c>
      <x:c r="J155" s="239" t="str">
        <x:f aca="0">IF(F155="","",F155-I155)</x:f>
      </x:c>
      <x:c r="K155" s="239" t="n">
        <x:f aca="0">IF($R$18&lt;&gt;"Yes","",$J$18)</x:f>
        <x:v>12.053531</x:v>
      </x:c>
      <x:c r="L155" s="239" t="n">
        <x:f aca="0">IF($R$18&lt;&gt;"Yes","",$K$18)</x:f>
        <x:v>0.75</x:v>
      </x:c>
      <x:c r="M155" s="239" t="n">
        <x:f aca="0">IF($R$18&lt;&gt;"Yes","",$L$18)</x:f>
        <x:v>0.4</x:v>
      </x:c>
      <x:c r="N155" s="239" t="str">
        <x:f aca="0">IF(OR(J155="",K155="",K155=0),"",J155*L155*M155/K155)</x:f>
      </x:c>
      <x:c r="O155" s="239" t="str">
        <x:f aca="0">IF($R$18&lt;&gt;"Yes","",$M$18)</x:f>
        <x:v>Govt. of India, Dept. of Agriculture and Farmers Welfare, DES - data.desagri.gov.in (crop-wise APY reports); 5-yr historical average 2015-2019, via ERR_Sheet_GKF_V1_1</x:v>
      </x:c>
    </x:row>
    <x:row r="156" ht="15" hidden="0" customHeight="1">
      <x:c r="A156" s="239" t="n">
        <x:v>2028</x:v>
      </x:c>
      <x:c r="B156" s="239" t="str">
        <x:f aca="0">IF($R$18&lt;&gt;"Yes","",$A$18)</x:f>
        <x:v>Vegetables</x:v>
      </x:c>
      <x:c r="C156" s="239" t="n">
        <x:f aca="0">A156-$E$5+1</x:f>
        <x:v>9</x:v>
      </x:c>
      <x:c r="D156" s="239" t="n">
        <x:f aca="0">IF($R$18&lt;&gt;"Yes","",IF($B$18="Introduced",0,IF($H$18="","",$H$18*(1+$I$18)^C156)))</x:f>
        <x:v>8517.485986051091</x:v>
      </x:c>
      <x:c r="E156" s="239" t="n">
        <x:v>0</x:v>
      </x:c>
      <x:c r="F156" s="239" t="str">
        <x:f aca="0">IF(OR(D156="",E156=""),"",D156-E156)</x:f>
      </x:c>
      <x:c r="G156" s="239" t="str">
        <x:f aca="0">IF($R$18&lt;&gt;"Yes","",IF($Q$18="","",$Q$18*(1+$I$18)^C156))</x:f>
      </x:c>
      <x:c r="H156" s="239" t="n">
        <x:v>0</x:v>
      </x:c>
      <x:c r="I156" s="239" t="n">
        <x:f aca="0">IF(OR(G156="",H156=""),0,H156-G156)</x:f>
        <x:v>0</x:v>
      </x:c>
      <x:c r="J156" s="239" t="str">
        <x:f aca="0">IF(F156="","",F156-I156)</x:f>
      </x:c>
      <x:c r="K156" s="239" t="n">
        <x:f aca="0">IF($R$18&lt;&gt;"Yes","",$J$18)</x:f>
        <x:v>12.053531</x:v>
      </x:c>
      <x:c r="L156" s="239" t="n">
        <x:f aca="0">IF($R$18&lt;&gt;"Yes","",$K$18)</x:f>
        <x:v>0.75</x:v>
      </x:c>
      <x:c r="M156" s="239" t="n">
        <x:f aca="0">IF($R$18&lt;&gt;"Yes","",$L$18)</x:f>
        <x:v>0.4</x:v>
      </x:c>
      <x:c r="N156" s="239" t="str">
        <x:f aca="0">IF(OR(J156="",K156="",K156=0),"",J156*L156*M156/K156)</x:f>
      </x:c>
      <x:c r="O156" s="239" t="str">
        <x:f aca="0">IF($R$18&lt;&gt;"Yes","",$M$18)</x:f>
        <x:v>Govt. of India, Dept. of Agriculture and Farmers Welfare, DES - data.desagri.gov.in (crop-wise APY reports); 5-yr historical average 2015-2019, via ERR_Sheet_GKF_V1_1</x:v>
      </x:c>
    </x:row>
    <x:row r="157" ht="15" hidden="0" customHeight="1">
      <x:c r="A157" s="239" t="n">
        <x:v>2029</x:v>
      </x:c>
      <x:c r="B157" s="239" t="str">
        <x:f aca="0">IF($R$18&lt;&gt;"Yes","",$A$18)</x:f>
        <x:v>Vegetables</x:v>
      </x:c>
      <x:c r="C157" s="239" t="n">
        <x:f aca="0">A157-$E$5+1</x:f>
        <x:v>10</x:v>
      </x:c>
      <x:c r="D157" s="239" t="n">
        <x:f aca="0">IF($R$18&lt;&gt;"Yes","",IF($B$18="Introduced",0,IF($H$18="","",$H$18*(1+$I$18)^C157)))</x:f>
        <x:v>8730.423135702367</x:v>
      </x:c>
      <x:c r="E157" s="239" t="n">
        <x:v>0</x:v>
      </x:c>
      <x:c r="F157" s="239" t="str">
        <x:f aca="0">IF(OR(D157="",E157=""),"",D157-E157)</x:f>
      </x:c>
      <x:c r="G157" s="239" t="str">
        <x:f aca="0">IF($R$18&lt;&gt;"Yes","",IF($Q$18="","",$Q$18*(1+$I$18)^C157))</x:f>
      </x:c>
      <x:c r="H157" s="239" t="n">
        <x:v>0</x:v>
      </x:c>
      <x:c r="I157" s="239" t="n">
        <x:f aca="0">IF(OR(G157="",H157=""),0,H157-G157)</x:f>
        <x:v>0</x:v>
      </x:c>
      <x:c r="J157" s="239" t="str">
        <x:f aca="0">IF(F157="","",F157-I157)</x:f>
      </x:c>
      <x:c r="K157" s="239" t="n">
        <x:f aca="0">IF($R$18&lt;&gt;"Yes","",$J$18)</x:f>
        <x:v>12.053531</x:v>
      </x:c>
      <x:c r="L157" s="239" t="n">
        <x:f aca="0">IF($R$18&lt;&gt;"Yes","",$K$18)</x:f>
        <x:v>0.75</x:v>
      </x:c>
      <x:c r="M157" s="239" t="n">
        <x:f aca="0">IF($R$18&lt;&gt;"Yes","",$L$18)</x:f>
        <x:v>0.4</x:v>
      </x:c>
      <x:c r="N157" s="239" t="str">
        <x:f aca="0">IF(OR(J157="",K157="",K157=0),"",J157*L157*M157/K157)</x:f>
      </x:c>
      <x:c r="O157" s="239" t="str">
        <x:f aca="0">IF($R$18&lt;&gt;"Yes","",$M$18)</x:f>
        <x:v>Govt. of India, Dept. of Agriculture and Farmers Welfare, DES - data.desagri.gov.in (crop-wise APY reports); 5-yr historical average 2015-2019, via ERR_Sheet_GKF_V1_1</x:v>
      </x:c>
    </x:row>
    <x:row r="158" ht="15" hidden="0" customHeight="1">
      <x:c r="A158" s="239" t="n">
        <x:v>2030</x:v>
      </x:c>
      <x:c r="B158" s="239" t="str">
        <x:f aca="0">IF($R$18&lt;&gt;"Yes","",$A$18)</x:f>
        <x:v>Vegetables</x:v>
      </x:c>
      <x:c r="C158" s="239" t="n">
        <x:f aca="0">A158-$E$5+1</x:f>
        <x:v>11</x:v>
      </x:c>
      <x:c r="D158" s="239" t="n">
        <x:f aca="0">IF($R$18&lt;&gt;"Yes","",IF($B$18="Introduced",0,IF($H$18="","",$H$18*(1+$I$18)^C158)))</x:f>
        <x:v>8948.683714094926</x:v>
      </x:c>
      <x:c r="E158" s="239" t="n">
        <x:v>0</x:v>
      </x:c>
      <x:c r="F158" s="239" t="str">
        <x:f aca="0">IF(OR(D158="",E158=""),"",D158-E158)</x:f>
      </x:c>
      <x:c r="G158" s="239" t="str">
        <x:f aca="0">IF($R$18&lt;&gt;"Yes","",IF($Q$18="","",$Q$18*(1+$I$18)^C158))</x:f>
      </x:c>
      <x:c r="H158" s="239" t="n">
        <x:v>0</x:v>
      </x:c>
      <x:c r="I158" s="239" t="n">
        <x:f aca="0">IF(OR(G158="",H158=""),0,H158-G158)</x:f>
        <x:v>0</x:v>
      </x:c>
      <x:c r="J158" s="239" t="str">
        <x:f aca="0">IF(F158="","",F158-I158)</x:f>
      </x:c>
      <x:c r="K158" s="239" t="n">
        <x:f aca="0">IF($R$18&lt;&gt;"Yes","",$J$18)</x:f>
        <x:v>12.053531</x:v>
      </x:c>
      <x:c r="L158" s="239" t="n">
        <x:f aca="0">IF($R$18&lt;&gt;"Yes","",$K$18)</x:f>
        <x:v>0.75</x:v>
      </x:c>
      <x:c r="M158" s="239" t="n">
        <x:f aca="0">IF($R$18&lt;&gt;"Yes","",$L$18)</x:f>
        <x:v>0.4</x:v>
      </x:c>
      <x:c r="N158" s="239" t="str">
        <x:f aca="0">IF(OR(J158="",K158="",K158=0),"",J158*L158*M158/K158)</x:f>
      </x:c>
      <x:c r="O158" s="239" t="str">
        <x:f aca="0">IF($R$18&lt;&gt;"Yes","",$M$18)</x:f>
        <x:v>Govt. of India, Dept. of Agriculture and Farmers Welfare, DES - data.desagri.gov.in (crop-wise APY reports); 5-yr historical average 2015-2019, via ERR_Sheet_GKF_V1_1</x:v>
      </x:c>
    </x:row>
    <x:row r="159" ht="15" hidden="0" customHeight="1">
      <x:c r="A159" s="239" t="n">
        <x:v>2031</x:v>
      </x:c>
      <x:c r="B159" s="239" t="str">
        <x:f aca="0">IF($R$18&lt;&gt;"Yes","",$A$18)</x:f>
        <x:v>Vegetables</x:v>
      </x:c>
      <x:c r="C159" s="239" t="n">
        <x:f aca="0">A159-$E$5+1</x:f>
        <x:v>12</x:v>
      </x:c>
      <x:c r="D159" s="239" t="n">
        <x:f aca="0">IF($R$18&lt;&gt;"Yes","",IF($B$18="Introduced",0,IF($H$18="","",$H$18*(1+$I$18)^C159)))</x:f>
        <x:v>9172.4008069473</x:v>
      </x:c>
      <x:c r="E159" s="239" t="n">
        <x:v>0</x:v>
      </x:c>
      <x:c r="F159" s="239" t="str">
        <x:f aca="0">IF(OR(D159="",E159=""),"",D159-E159)</x:f>
      </x:c>
      <x:c r="G159" s="239" t="str">
        <x:f aca="0">IF($R$18&lt;&gt;"Yes","",IF($Q$18="","",$Q$18*(1+$I$18)^C159))</x:f>
      </x:c>
      <x:c r="H159" s="239" t="n">
        <x:v>0</x:v>
      </x:c>
      <x:c r="I159" s="239" t="n">
        <x:f aca="0">IF(OR(G159="",H159=""),0,H159-G159)</x:f>
        <x:v>0</x:v>
      </x:c>
      <x:c r="J159" s="239" t="str">
        <x:f aca="0">IF(F159="","",F159-I159)</x:f>
      </x:c>
      <x:c r="K159" s="239" t="n">
        <x:f aca="0">IF($R$18&lt;&gt;"Yes","",$J$18)</x:f>
        <x:v>12.053531</x:v>
      </x:c>
      <x:c r="L159" s="239" t="n">
        <x:f aca="0">IF($R$18&lt;&gt;"Yes","",$K$18)</x:f>
        <x:v>0.75</x:v>
      </x:c>
      <x:c r="M159" s="239" t="n">
        <x:f aca="0">IF($R$18&lt;&gt;"Yes","",$L$18)</x:f>
        <x:v>0.4</x:v>
      </x:c>
      <x:c r="N159" s="239" t="str">
        <x:f aca="0">IF(OR(J159="",K159="",K159=0),"",J159*L159*M159/K159)</x:f>
      </x:c>
      <x:c r="O159" s="239" t="str">
        <x:f aca="0">IF($R$18&lt;&gt;"Yes","",$M$18)</x:f>
        <x:v>Govt. of India, Dept. of Agriculture and Farmers Welfare, DES - data.desagri.gov.in (crop-wise APY reports); 5-yr historical average 2015-2019, via ERR_Sheet_GKF_V1_1</x:v>
      </x:c>
    </x:row>
    <x:row r="160" ht="15" hidden="0" customHeight="1">
      <x:c r="A160" s="239" t="n">
        <x:v>2032</x:v>
      </x:c>
      <x:c r="B160" s="239" t="str">
        <x:f aca="0">IF($R$18&lt;&gt;"Yes","",$A$18)</x:f>
        <x:v>Vegetables</x:v>
      </x:c>
      <x:c r="C160" s="239" t="n">
        <x:f aca="0">A160-$E$5+1</x:f>
        <x:v>13</x:v>
      </x:c>
      <x:c r="D160" s="239" t="n">
        <x:f aca="0">IF($R$18&lt;&gt;"Yes","",IF($B$18="Introduced",0,IF($H$18="","",$H$18*(1+$I$18)^C160)))</x:f>
        <x:v>9401.710827120982</x:v>
      </x:c>
      <x:c r="E160" s="239" t="n">
        <x:v>0</x:v>
      </x:c>
      <x:c r="F160" s="239" t="str">
        <x:f aca="0">IF(OR(D160="",E160=""),"",D160-E160)</x:f>
      </x:c>
      <x:c r="G160" s="239" t="str">
        <x:f aca="0">IF($R$18&lt;&gt;"Yes","",IF($Q$18="","",$Q$18*(1+$I$18)^C160))</x:f>
      </x:c>
      <x:c r="H160" s="239" t="n">
        <x:v>0</x:v>
      </x:c>
      <x:c r="I160" s="239" t="n">
        <x:f aca="0">IF(OR(G160="",H160=""),0,H160-G160)</x:f>
        <x:v>0</x:v>
      </x:c>
      <x:c r="J160" s="239" t="str">
        <x:f aca="0">IF(F160="","",F160-I160)</x:f>
      </x:c>
      <x:c r="K160" s="239" t="n">
        <x:f aca="0">IF($R$18&lt;&gt;"Yes","",$J$18)</x:f>
        <x:v>12.053531</x:v>
      </x:c>
      <x:c r="L160" s="239" t="n">
        <x:f aca="0">IF($R$18&lt;&gt;"Yes","",$K$18)</x:f>
        <x:v>0.75</x:v>
      </x:c>
      <x:c r="M160" s="239" t="n">
        <x:f aca="0">IF($R$18&lt;&gt;"Yes","",$L$18)</x:f>
        <x:v>0.4</x:v>
      </x:c>
      <x:c r="N160" s="239" t="str">
        <x:f aca="0">IF(OR(J160="",K160="",K160=0),"",J160*L160*M160/K160)</x:f>
      </x:c>
      <x:c r="O160" s="239" t="str">
        <x:f aca="0">IF($R$18&lt;&gt;"Yes","",$M$18)</x:f>
        <x:v>Govt. of India, Dept. of Agriculture and Farmers Welfare, DES - data.desagri.gov.in (crop-wise APY reports); 5-yr historical average 2015-2019, via ERR_Sheet_GKF_V1_1</x:v>
      </x:c>
    </x:row>
    <x:row r="161" ht="15" hidden="0" customHeight="1">
      <x:c r="A161" s="239" t="n">
        <x:v>2033</x:v>
      </x:c>
      <x:c r="B161" s="239" t="str">
        <x:f aca="0">IF($R$18&lt;&gt;"Yes","",$A$18)</x:f>
        <x:v>Vegetables</x:v>
      </x:c>
      <x:c r="C161" s="239" t="n">
        <x:f aca="0">A161-$E$5+1</x:f>
        <x:v>14</x:v>
      </x:c>
      <x:c r="D161" s="239" t="n">
        <x:f aca="0">IF($R$18&lt;&gt;"Yes","",IF($B$18="Introduced",0,IF($H$18="","",$H$18*(1+$I$18)^C161)))</x:f>
        <x:v>9636.753597799005</x:v>
      </x:c>
      <x:c r="E161" s="239" t="n">
        <x:v>0</x:v>
      </x:c>
      <x:c r="F161" s="239" t="str">
        <x:f aca="0">IF(OR(D161="",E161=""),"",D161-E161)</x:f>
      </x:c>
      <x:c r="G161" s="239" t="str">
        <x:f aca="0">IF($R$18&lt;&gt;"Yes","",IF($Q$18="","",$Q$18*(1+$I$18)^C161))</x:f>
      </x:c>
      <x:c r="H161" s="239" t="n">
        <x:v>0</x:v>
      </x:c>
      <x:c r="I161" s="239" t="n">
        <x:f aca="0">IF(OR(G161="",H161=""),0,H161-G161)</x:f>
        <x:v>0</x:v>
      </x:c>
      <x:c r="J161" s="239" t="str">
        <x:f aca="0">IF(F161="","",F161-I161)</x:f>
      </x:c>
      <x:c r="K161" s="239" t="n">
        <x:f aca="0">IF($R$18&lt;&gt;"Yes","",$J$18)</x:f>
        <x:v>12.053531</x:v>
      </x:c>
      <x:c r="L161" s="239" t="n">
        <x:f aca="0">IF($R$18&lt;&gt;"Yes","",$K$18)</x:f>
        <x:v>0.75</x:v>
      </x:c>
      <x:c r="M161" s="239" t="n">
        <x:f aca="0">IF($R$18&lt;&gt;"Yes","",$L$18)</x:f>
        <x:v>0.4</x:v>
      </x:c>
      <x:c r="N161" s="239" t="str">
        <x:f aca="0">IF(OR(J161="",K161="",K161=0),"",J161*L161*M161/K161)</x:f>
      </x:c>
      <x:c r="O161" s="239" t="str">
        <x:f aca="0">IF($R$18&lt;&gt;"Yes","",$M$18)</x:f>
        <x:v>Govt. of India, Dept. of Agriculture and Farmers Welfare, DES - data.desagri.gov.in (crop-wise APY reports); 5-yr historical average 2015-2019, via ERR_Sheet_GKF_V1_1</x:v>
      </x:c>
    </x:row>
    <x:row r="162" ht="15" hidden="0" customHeight="1">
      <x:c r="A162" s="239" t="n">
        <x:v>2034</x:v>
      </x:c>
      <x:c r="B162" s="239" t="str">
        <x:f aca="0">IF($R$18&lt;&gt;"Yes","",$A$18)</x:f>
        <x:v>Vegetables</x:v>
      </x:c>
      <x:c r="C162" s="239" t="n">
        <x:f aca="0">A162-$E$5+1</x:f>
        <x:v>15</x:v>
      </x:c>
      <x:c r="D162" s="239" t="n">
        <x:f aca="0">IF($R$18&lt;&gt;"Yes","",IF($B$18="Introduced",0,IF($H$18="","",$H$18*(1+$I$18)^C162)))</x:f>
        <x:v>9877.672437743982</x:v>
      </x:c>
      <x:c r="E162" s="239" t="n">
        <x:v>0</x:v>
      </x:c>
      <x:c r="F162" s="239" t="str">
        <x:f aca="0">IF(OR(D162="",E162=""),"",D162-E162)</x:f>
      </x:c>
      <x:c r="G162" s="239" t="str">
        <x:f aca="0">IF($R$18&lt;&gt;"Yes","",IF($Q$18="","",$Q$18*(1+$I$18)^C162))</x:f>
      </x:c>
      <x:c r="H162" s="239" t="n">
        <x:v>0</x:v>
      </x:c>
      <x:c r="I162" s="239" t="n">
        <x:f aca="0">IF(OR(G162="",H162=""),0,H162-G162)</x:f>
        <x:v>0</x:v>
      </x:c>
      <x:c r="J162" s="239" t="str">
        <x:f aca="0">IF(F162="","",F162-I162)</x:f>
      </x:c>
      <x:c r="K162" s="239" t="n">
        <x:f aca="0">IF($R$18&lt;&gt;"Yes","",$J$18)</x:f>
        <x:v>12.053531</x:v>
      </x:c>
      <x:c r="L162" s="239" t="n">
        <x:f aca="0">IF($R$18&lt;&gt;"Yes","",$K$18)</x:f>
        <x:v>0.75</x:v>
      </x:c>
      <x:c r="M162" s="239" t="n">
        <x:f aca="0">IF($R$18&lt;&gt;"Yes","",$L$18)</x:f>
        <x:v>0.4</x:v>
      </x:c>
      <x:c r="N162" s="239" t="str">
        <x:f aca="0">IF(OR(J162="",K162="",K162=0),"",J162*L162*M162/K162)</x:f>
      </x:c>
      <x:c r="O162" s="239" t="str">
        <x:f aca="0">IF($R$18&lt;&gt;"Yes","",$M$18)</x:f>
        <x:v>Govt. of India, Dept. of Agriculture and Farmers Welfare, DES - data.desagri.gov.in (crop-wise APY reports); 5-yr historical average 2015-2019, via ERR_Sheet_GKF_V1_1</x:v>
      </x:c>
    </x:row>
    <x:row r="163" ht="15" hidden="0" customHeight="1">
      <x:c r="A163" s="239" t="n">
        <x:v>2035</x:v>
      </x:c>
      <x:c r="B163" s="239" t="str">
        <x:f aca="0">IF($R$18&lt;&gt;"Yes","",$A$18)</x:f>
        <x:v>Vegetables</x:v>
      </x:c>
      <x:c r="C163" s="239" t="n">
        <x:f aca="0">A163-$E$5+1</x:f>
        <x:v>16</x:v>
      </x:c>
      <x:c r="D163" s="239" t="n">
        <x:f aca="0">IF($R$18&lt;&gt;"Yes","",IF($B$18="Introduced",0,IF($H$18="","",$H$18*(1+$I$18)^C163)))</x:f>
        <x:v>10124.61424868758</x:v>
      </x:c>
      <x:c r="E163" s="239" t="n">
        <x:v>0</x:v>
      </x:c>
      <x:c r="F163" s="239" t="str">
        <x:f aca="0">IF(OR(D163="",E163=""),"",D163-E163)</x:f>
      </x:c>
      <x:c r="G163" s="239" t="str">
        <x:f aca="0">IF($R$18&lt;&gt;"Yes","",IF($Q$18="","",$Q$18*(1+$I$18)^C163))</x:f>
      </x:c>
      <x:c r="H163" s="239" t="n">
        <x:v>0</x:v>
      </x:c>
      <x:c r="I163" s="239" t="n">
        <x:f aca="0">IF(OR(G163="",H163=""),0,H163-G163)</x:f>
        <x:v>0</x:v>
      </x:c>
      <x:c r="J163" s="239" t="str">
        <x:f aca="0">IF(F163="","",F163-I163)</x:f>
      </x:c>
      <x:c r="K163" s="239" t="n">
        <x:f aca="0">IF($R$18&lt;&gt;"Yes","",$J$18)</x:f>
        <x:v>12.053531</x:v>
      </x:c>
      <x:c r="L163" s="239" t="n">
        <x:f aca="0">IF($R$18&lt;&gt;"Yes","",$K$18)</x:f>
        <x:v>0.75</x:v>
      </x:c>
      <x:c r="M163" s="239" t="n">
        <x:f aca="0">IF($R$18&lt;&gt;"Yes","",$L$18)</x:f>
        <x:v>0.4</x:v>
      </x:c>
      <x:c r="N163" s="239" t="str">
        <x:f aca="0">IF(OR(J163="",K163="",K163=0),"",J163*L163*M163/K163)</x:f>
      </x:c>
      <x:c r="O163" s="239" t="str">
        <x:f aca="0">IF($R$18&lt;&gt;"Yes","",$M$18)</x:f>
        <x:v>Govt. of India, Dept. of Agriculture and Farmers Welfare, DES - data.desagri.gov.in (crop-wise APY reports); 5-yr historical average 2015-2019, via ERR_Sheet_GKF_V1_1</x:v>
      </x:c>
    </x:row>
    <x:row r="164" ht="15" hidden="0" customHeight="1">
      <x:c r="A164" s="239" t="n">
        <x:v>2036</x:v>
      </x:c>
      <x:c r="B164" s="239" t="str">
        <x:f aca="0">IF($R$18&lt;&gt;"Yes","",$A$18)</x:f>
        <x:v>Vegetables</x:v>
      </x:c>
      <x:c r="C164" s="239" t="n">
        <x:f aca="0">A164-$E$5+1</x:f>
        <x:v>17</x:v>
      </x:c>
      <x:c r="D164" s="239" t="n">
        <x:f aca="0">IF($R$18&lt;&gt;"Yes","",IF($B$18="Introduced",0,IF($H$18="","",$H$18*(1+$I$18)^C164)))</x:f>
        <x:v>10377.729604904769</x:v>
      </x:c>
      <x:c r="E164" s="239" t="n">
        <x:v>0</x:v>
      </x:c>
      <x:c r="F164" s="239" t="str">
        <x:f aca="0">IF(OR(D164="",E164=""),"",D164-E164)</x:f>
      </x:c>
      <x:c r="G164" s="239" t="str">
        <x:f aca="0">IF($R$18&lt;&gt;"Yes","",IF($Q$18="","",$Q$18*(1+$I$18)^C164))</x:f>
      </x:c>
      <x:c r="H164" s="239" t="n">
        <x:v>0</x:v>
      </x:c>
      <x:c r="I164" s="239" t="n">
        <x:f aca="0">IF(OR(G164="",H164=""),0,H164-G164)</x:f>
        <x:v>0</x:v>
      </x:c>
      <x:c r="J164" s="239" t="str">
        <x:f aca="0">IF(F164="","",F164-I164)</x:f>
      </x:c>
      <x:c r="K164" s="239" t="n">
        <x:f aca="0">IF($R$18&lt;&gt;"Yes","",$J$18)</x:f>
        <x:v>12.053531</x:v>
      </x:c>
      <x:c r="L164" s="239" t="n">
        <x:f aca="0">IF($R$18&lt;&gt;"Yes","",$K$18)</x:f>
        <x:v>0.75</x:v>
      </x:c>
      <x:c r="M164" s="239" t="n">
        <x:f aca="0">IF($R$18&lt;&gt;"Yes","",$L$18)</x:f>
        <x:v>0.4</x:v>
      </x:c>
      <x:c r="N164" s="239" t="str">
        <x:f aca="0">IF(OR(J164="",K164="",K164=0),"",J164*L164*M164/K164)</x:f>
      </x:c>
      <x:c r="O164" s="239" t="str">
        <x:f aca="0">IF($R$18&lt;&gt;"Yes","",$M$18)</x:f>
        <x:v>Govt. of India, Dept. of Agriculture and Farmers Welfare, DES - data.desagri.gov.in (crop-wise APY reports); 5-yr historical average 2015-2019, via ERR_Sheet_GKF_V1_1</x:v>
      </x:c>
    </x:row>
    <x:row r="165" ht="15" hidden="0" customHeight="1">
      <x:c r="A165" s="239" t="n">
        <x:v>2037</x:v>
      </x:c>
      <x:c r="B165" s="239" t="str">
        <x:f aca="0">IF($R$18&lt;&gt;"Yes","",$A$18)</x:f>
        <x:v>Vegetables</x:v>
      </x:c>
      <x:c r="C165" s="239" t="n">
        <x:f aca="0">A165-$E$5+1</x:f>
        <x:v>18</x:v>
      </x:c>
      <x:c r="D165" s="239" t="n">
        <x:f aca="0">IF($R$18&lt;&gt;"Yes","",IF($B$18="Introduced",0,IF($H$18="","",$H$18*(1+$I$18)^C165)))</x:f>
        <x:v>10637.172845027388</x:v>
      </x:c>
      <x:c r="E165" s="239" t="n">
        <x:v>0</x:v>
      </x:c>
      <x:c r="F165" s="239" t="str">
        <x:f aca="0">IF(OR(D165="",E165=""),"",D165-E165)</x:f>
      </x:c>
      <x:c r="G165" s="239" t="str">
        <x:f aca="0">IF($R$18&lt;&gt;"Yes","",IF($Q$18="","",$Q$18*(1+$I$18)^C165))</x:f>
      </x:c>
      <x:c r="H165" s="239" t="n">
        <x:v>0</x:v>
      </x:c>
      <x:c r="I165" s="239" t="n">
        <x:f aca="0">IF(OR(G165="",H165=""),0,H165-G165)</x:f>
        <x:v>0</x:v>
      </x:c>
      <x:c r="J165" s="239" t="str">
        <x:f aca="0">IF(F165="","",F165-I165)</x:f>
      </x:c>
      <x:c r="K165" s="239" t="n">
        <x:f aca="0">IF($R$18&lt;&gt;"Yes","",$J$18)</x:f>
        <x:v>12.053531</x:v>
      </x:c>
      <x:c r="L165" s="239" t="n">
        <x:f aca="0">IF($R$18&lt;&gt;"Yes","",$K$18)</x:f>
        <x:v>0.75</x:v>
      </x:c>
      <x:c r="M165" s="239" t="n">
        <x:f aca="0">IF($R$18&lt;&gt;"Yes","",$L$18)</x:f>
        <x:v>0.4</x:v>
      </x:c>
      <x:c r="N165" s="239" t="str">
        <x:f aca="0">IF(OR(J165="",K165="",K165=0),"",J165*L165*M165/K165)</x:f>
      </x:c>
      <x:c r="O165" s="239" t="str">
        <x:f aca="0">IF($R$18&lt;&gt;"Yes","",$M$18)</x:f>
        <x:v>Govt. of India, Dept. of Agriculture and Farmers Welfare, DES - data.desagri.gov.in (crop-wise APY reports); 5-yr historical average 2015-2019, via ERR_Sheet_GKF_V1_1</x:v>
      </x:c>
    </x:row>
    <x:row r="166" ht="15" hidden="0" customHeight="1">
      <x:c r="A166" s="239" t="n">
        <x:v>2038</x:v>
      </x:c>
      <x:c r="B166" s="239" t="str">
        <x:f aca="0">IF($R$18&lt;&gt;"Yes","",$A$18)</x:f>
        <x:v>Vegetables</x:v>
      </x:c>
      <x:c r="C166" s="239" t="n">
        <x:f aca="0">A166-$E$5+1</x:f>
        <x:v>19</x:v>
      </x:c>
      <x:c r="D166" s="239" t="n">
        <x:f aca="0">IF($R$18&lt;&gt;"Yes","",IF($B$18="Introduced",0,IF($H$18="","",$H$18*(1+$I$18)^C166)))</x:f>
        <x:v>10903.102166153072</x:v>
      </x:c>
      <x:c r="E166" s="239" t="n">
        <x:v>0</x:v>
      </x:c>
      <x:c r="F166" s="239" t="str">
        <x:f aca="0">IF(OR(D166="",E166=""),"",D166-E166)</x:f>
      </x:c>
      <x:c r="G166" s="239" t="str">
        <x:f aca="0">IF($R$18&lt;&gt;"Yes","",IF($Q$18="","",$Q$18*(1+$I$18)^C166))</x:f>
      </x:c>
      <x:c r="H166" s="239" t="n">
        <x:v>0</x:v>
      </x:c>
      <x:c r="I166" s="239" t="n">
        <x:f aca="0">IF(OR(G166="",H166=""),0,H166-G166)</x:f>
        <x:v>0</x:v>
      </x:c>
      <x:c r="J166" s="239" t="str">
        <x:f aca="0">IF(F166="","",F166-I166)</x:f>
      </x:c>
      <x:c r="K166" s="239" t="n">
        <x:f aca="0">IF($R$18&lt;&gt;"Yes","",$J$18)</x:f>
        <x:v>12.053531</x:v>
      </x:c>
      <x:c r="L166" s="239" t="n">
        <x:f aca="0">IF($R$18&lt;&gt;"Yes","",$K$18)</x:f>
        <x:v>0.75</x:v>
      </x:c>
      <x:c r="M166" s="239" t="n">
        <x:f aca="0">IF($R$18&lt;&gt;"Yes","",$L$18)</x:f>
        <x:v>0.4</x:v>
      </x:c>
      <x:c r="N166" s="239" t="str">
        <x:f aca="0">IF(OR(J166="",K166="",K166=0),"",J166*L166*M166/K166)</x:f>
      </x:c>
      <x:c r="O166" s="239" t="str">
        <x:f aca="0">IF($R$18&lt;&gt;"Yes","",$M$18)</x:f>
        <x:v>Govt. of India, Dept. of Agriculture and Farmers Welfare, DES - data.desagri.gov.in (crop-wise APY reports); 5-yr historical average 2015-2019, via ERR_Sheet_GKF_V1_1</x:v>
      </x:c>
    </x:row>
    <x:row r="167" ht="15" hidden="0" customHeight="1">
      <x:c r="A167" s="239" t="n">
        <x:v>2039</x:v>
      </x:c>
      <x:c r="B167" s="239" t="str">
        <x:f aca="0">IF($R$18&lt;&gt;"Yes","",$A$18)</x:f>
        <x:v>Vegetables</x:v>
      </x:c>
      <x:c r="C167" s="239" t="n">
        <x:f aca="0">A167-$E$5+1</x:f>
        <x:v>20</x:v>
      </x:c>
      <x:c r="D167" s="239" t="n">
        <x:f aca="0">IF($R$18&lt;&gt;"Yes","",IF($B$18="Introduced",0,IF($H$18="","",$H$18*(1+$I$18)^C167)))</x:f>
        <x:v>11175.679720306898</x:v>
      </x:c>
      <x:c r="E167" s="239" t="n">
        <x:v>0</x:v>
      </x:c>
      <x:c r="F167" s="239" t="str">
        <x:f aca="0">IF(OR(D167="",E167=""),"",D167-E167)</x:f>
      </x:c>
      <x:c r="G167" s="239" t="str">
        <x:f aca="0">IF($R$18&lt;&gt;"Yes","",IF($Q$18="","",$Q$18*(1+$I$18)^C167))</x:f>
      </x:c>
      <x:c r="H167" s="239" t="n">
        <x:v>0</x:v>
      </x:c>
      <x:c r="I167" s="239" t="n">
        <x:f aca="0">IF(OR(G167="",H167=""),0,H167-G167)</x:f>
        <x:v>0</x:v>
      </x:c>
      <x:c r="J167" s="239" t="str">
        <x:f aca="0">IF(F167="","",F167-I167)</x:f>
      </x:c>
      <x:c r="K167" s="239" t="n">
        <x:f aca="0">IF($R$18&lt;&gt;"Yes","",$J$18)</x:f>
        <x:v>12.053531</x:v>
      </x:c>
      <x:c r="L167" s="239" t="n">
        <x:f aca="0">IF($R$18&lt;&gt;"Yes","",$K$18)</x:f>
        <x:v>0.75</x:v>
      </x:c>
      <x:c r="M167" s="239" t="n">
        <x:f aca="0">IF($R$18&lt;&gt;"Yes","",$L$18)</x:f>
        <x:v>0.4</x:v>
      </x:c>
      <x:c r="N167" s="239" t="str">
        <x:f aca="0">IF(OR(J167="",K167="",K167=0),"",J167*L167*M167/K167)</x:f>
      </x:c>
      <x:c r="O167" s="239" t="str">
        <x:f aca="0">IF($R$18&lt;&gt;"Yes","",$M$18)</x:f>
        <x:v>Govt. of India, Dept. of Agriculture and Farmers Welfare, DES - data.desagri.gov.in (crop-wise APY reports); 5-yr historical average 2015-2019, via ERR_Sheet_GKF_V1_1</x:v>
      </x:c>
    </x:row>
    <x:row r="168" ht="15" hidden="0" customHeight="1">
      <x:c r="A168" s="239" t="n">
        <x:v>2040</x:v>
      </x:c>
      <x:c r="B168" s="239" t="str">
        <x:f aca="0">IF($R$18&lt;&gt;"Yes","",$A$18)</x:f>
        <x:v>Vegetables</x:v>
      </x:c>
      <x:c r="C168" s="239" t="n">
        <x:f aca="0">A168-$E$5+1</x:f>
        <x:v>21</x:v>
      </x:c>
      <x:c r="D168" s="239" t="n">
        <x:f aca="0">IF($R$18&lt;&gt;"Yes","",IF($B$18="Introduced",0,IF($H$18="","",$H$18*(1+$I$18)^C168)))</x:f>
        <x:v>11455.07171331457</x:v>
      </x:c>
      <x:c r="E168" s="239" t="n">
        <x:v>0</x:v>
      </x:c>
      <x:c r="F168" s="239" t="str">
        <x:f aca="0">IF(OR(D168="",E168=""),"",D168-E168)</x:f>
      </x:c>
      <x:c r="G168" s="239" t="str">
        <x:f aca="0">IF($R$18&lt;&gt;"Yes","",IF($Q$18="","",$Q$18*(1+$I$18)^C168))</x:f>
      </x:c>
      <x:c r="H168" s="239" t="n">
        <x:v>0</x:v>
      </x:c>
      <x:c r="I168" s="239" t="n">
        <x:f aca="0">IF(OR(G168="",H168=""),0,H168-G168)</x:f>
        <x:v>0</x:v>
      </x:c>
      <x:c r="J168" s="239" t="str">
        <x:f aca="0">IF(F168="","",F168-I168)</x:f>
      </x:c>
      <x:c r="K168" s="239" t="n">
        <x:f aca="0">IF($R$18&lt;&gt;"Yes","",$J$18)</x:f>
        <x:v>12.053531</x:v>
      </x:c>
      <x:c r="L168" s="239" t="n">
        <x:f aca="0">IF($R$18&lt;&gt;"Yes","",$K$18)</x:f>
        <x:v>0.75</x:v>
      </x:c>
      <x:c r="M168" s="239" t="n">
        <x:f aca="0">IF($R$18&lt;&gt;"Yes","",$L$18)</x:f>
        <x:v>0.4</x:v>
      </x:c>
      <x:c r="N168" s="239" t="str">
        <x:f aca="0">IF(OR(J168="",K168="",K168=0),"",J168*L168*M168/K168)</x:f>
      </x:c>
      <x:c r="O168" s="239" t="str">
        <x:f aca="0">IF($R$18&lt;&gt;"Yes","",$M$18)</x:f>
        <x:v>Govt. of India, Dept. of Agriculture and Farmers Welfare, DES - data.desagri.gov.in (crop-wise APY reports); 5-yr historical average 2015-2019, via ERR_Sheet_GKF_V1_1</x:v>
      </x:c>
    </x:row>
    <x:row r="169" ht="15" hidden="0" customHeight="1">
      <x:c r="A169" s="80"/>
      <x:c r="B169" s="80"/>
      <x:c r="C169" s="80"/>
      <x:c r="D169" s="80"/>
      <x:c r="E169" s="80"/>
      <x:c r="F169" s="80"/>
      <x:c r="G169" s="80"/>
      <x:c r="H169" s="80"/>
      <x:c r="I169" s="80"/>
      <x:c r="J169" s="80"/>
      <x:c r="K169" s="80"/>
      <x:c r="L169" s="80"/>
      <x:c r="M169" s="80"/>
      <x:c r="N169" s="80"/>
      <x:c r="O169" s="80"/>
      <x:c r="P169" s="80"/>
      <x:c r="Q169" s="80"/>
      <x:c r="R169" s="80"/>
    </x:row>
    <x:row r="170" ht="15" hidden="0" customHeight="1">
      <x:c r="A170" s="77" t="s">
        <x:v>1471</x:v>
      </x:c>
      <x:c r="B170" s="77"/>
      <x:c r="C170" s="77"/>
      <x:c r="D170" s="77"/>
      <x:c r="E170" s="77"/>
      <x:c r="F170" s="77"/>
      <x:c r="G170" s="77"/>
      <x:c r="H170" s="77"/>
      <x:c r="I170" s="77"/>
      <x:c r="J170" s="77"/>
      <x:c r="K170" s="77"/>
      <x:c r="L170" s="77"/>
      <x:c r="M170" s="77"/>
      <x:c r="N170" s="77"/>
      <x:c r="O170" s="80"/>
      <x:c r="P170" s="80"/>
      <x:c r="Q170" s="80"/>
      <x:c r="R170" s="80"/>
    </x:row>
    <x:row r="171" ht="18.75" hidden="0" customHeight="1">
      <x:c r="A171" s="145" t="s">
        <x:v>86</x:v>
      </x:c>
      <x:c r="B171" s="145" t="s">
        <x:v>1472</x:v>
      </x:c>
      <x:c r="C171" s="145" t="s">
        <x:v>1473</x:v>
      </x:c>
      <x:c r="D171" s="145" t="s">
        <x:v>1474</x:v>
      </x:c>
      <x:c r="E171" s="145" t="s">
        <x:v>1475</x:v>
      </x:c>
      <x:c r="F171" s="145" t="s">
        <x:v>1476</x:v>
      </x:c>
      <x:c r="G171" s="145" t="s">
        <x:v>1477</x:v>
      </x:c>
      <x:c r="H171" s="145" t="s">
        <x:v>1478</x:v>
      </x:c>
      <x:c r="I171" s="145" t="s">
        <x:v>1479</x:v>
      </x:c>
      <x:c r="J171" s="145" t="s">
        <x:v>1480</x:v>
      </x:c>
      <x:c r="K171" s="145" t="s">
        <x:v>1481</x:v>
      </x:c>
      <x:c r="L171" s="145" t="s">
        <x:v>1482</x:v>
      </x:c>
      <x:c r="M171" s="145" t="s">
        <x:v>1483</x:v>
      </x:c>
      <x:c r="N171" s="145" t="s">
        <x:v>1484</x:v>
      </x:c>
      <x:c r="O171" s="80"/>
      <x:c r="P171" s="80"/>
      <x:c r="Q171" s="80"/>
      <x:c r="R171" s="80"/>
      <x:c r="Z171" s="46" t="s">
        <x:v>86</x:v>
      </x:c>
      <x:c r="AA171" s="46" t="s">
        <x:v>1485</x:v>
      </x:c>
      <x:c r="AB171" s="46" t="s">
        <x:v>1486</x:v>
      </x:c>
      <x:c r="AC171" s="46" t="s">
        <x:v>1487</x:v>
      </x:c>
    </x:row>
    <x:row r="172" ht="23.25" hidden="0" customHeight="1">
      <x:c r="A172" s="237" t="n">
        <x:v>2020</x:v>
      </x:c>
      <x:c r="B172" s="237" t="n">
        <x:f aca="0">IF(COUNTIF($R$12:$R$18,"Yes")=0,"",IF(COUNTIFS($A$22:$A$168,A172,$N$22:$N$168,"&lt;&gt;")&lt;COUNTIF($R$12:$R$18,"Yes"),"",MAX(SUMIF($A$22:$A$168,A172,$N$22:$N$168),0)))</x:f>
        <x:v>0</x:v>
      </x:c>
      <x:c r="C172" s="237" t="n">
        <x:f aca="0">IF(COUNTA($E$8,$H$8,$K$8,$N$8)&lt;4,"",$E$8*(1-($H$8*$K$8*$N$8)))</x:f>
        <x:v>6.382800000000001</x:v>
      </x:c>
      <x:c r="D172" s="237" t="n">
        <x:f aca="0">IF(OR($B$8="",C172=""),"",$B$8+C172)</x:f>
        <x:v>6.782800000000002</x:v>
      </x:c>
      <x:c r="E172" s="238" t="n">
        <x:v>0</x:v>
      </x:c>
      <x:c r="F172" s="238" t="n">
        <x:v>0</x:v>
      </x:c>
      <x:c r="G172" s="237" t="n">
        <x:f aca="0">E172+F172</x:f>
        <x:v>0</x:v>
      </x:c>
      <x:c r="H172" s="237" t="str">
        <x:f aca="0">IF(OR(B172="",D172=""),"",B172*D172*44/12+G172)</x:f>
      </x:c>
      <x:c r="I172" s="237" t="str">
        <x:f aca="0">IF(H172="","",MAX(H172,0))</x:f>
      </x:c>
      <x:c r="J172" s="240" t="n">
        <x:v>25830.05236</x:v>
      </x:c>
      <x:c r="K172" s="241" t="n">
        <x:f aca="0">IF($K$4="VMD0054",IFERROR(I172,0),J172*$Y$7)</x:f>
        <x:v>4259.0475397939235</x:v>
      </x:c>
      <x:c r="L172" s="237" t="str">
        <x:f aca="0">IF($K$4&lt;&gt;"VMD0054","Legacy current series",IF(I172="","VMD0054 incomplete - legacy fallback","VMD0054 active"))</x:f>
        <x:v>Legacy current series</x:v>
      </x:c>
      <x:c r="M172" s="80" t="str">
        <x:f aca="0">IF(A128&lt;=$H$5,"Required","Beyond minimum")</x:f>
        <x:v>Required</x:v>
      </x:c>
      <x:c r="N172" s="80" t="str">
        <x:f aca="0">"Eq.(10) → Eq.(11-12) → Eq.(13)"</x:f>
        <x:v>Eq.(10) → Eq.(11-12) → Eq.(13)</x:v>
      </x:c>
      <x:c r="O172" s="80"/>
      <x:c r="P172" s="80"/>
      <x:c r="Q172" s="80"/>
      <x:c r="R172" s="80"/>
      <x:c r="Z172" s="1" t="n">
        <x:f aca="0">A128</x:f>
        <x:v>2021</x:v>
      </x:c>
      <x:c r="AA172" s="1" t="n">
        <x:f aca="0">I128</x:f>
        <x:v>0</x:v>
      </x:c>
      <x:c r="AB172" s="1" t="str">
        <x:f aca="0">J128</x:f>
      </x:c>
      <x:c r="AC172" s="1" t="n">
        <x:f aca="0">K128</x:f>
        <x:v>7.911875</x:v>
      </x:c>
    </x:row>
    <x:row r="173" ht="23.25" hidden="0" customHeight="1">
      <x:c r="A173" s="237" t="n">
        <x:v>2021</x:v>
      </x:c>
      <x:c r="B173" s="237" t="n">
        <x:f aca="0">IF(COUNTIF($R$12:$R$18,"Yes")=0,"",IF(COUNTIFS($A$22:$A$168,A173,$N$22:$N$168,"&lt;&gt;")&lt;COUNTIF($R$12:$R$18,"Yes"),"",MAX(SUMIF($A$22:$A$168,A173,$N$22:$N$168),0)))</x:f>
        <x:v>0</x:v>
      </x:c>
      <x:c r="C173" s="237" t="n">
        <x:f aca="0">IF(COUNTA($E$8,$H$8,$K$8,$N$8)&lt;4,"",$E$8*(1-($H$8*$K$8*$N$8)))</x:f>
        <x:v>6.382800000000001</x:v>
      </x:c>
      <x:c r="D173" s="237" t="n">
        <x:f aca="0">IF(OR($B$8="",C173=""),"",$B$8+C173)</x:f>
        <x:v>6.782800000000002</x:v>
      </x:c>
      <x:c r="E173" s="238" t="n">
        <x:v>0</x:v>
      </x:c>
      <x:c r="F173" s="238" t="n">
        <x:v>0</x:v>
      </x:c>
      <x:c r="G173" s="237" t="n">
        <x:f aca="0">G172+E173+F173</x:f>
        <x:v>0</x:v>
      </x:c>
      <x:c r="H173" s="237" t="str">
        <x:f aca="0">IF(OR(B173="",D173=""),"",B173*D173*44/12+G173)</x:f>
      </x:c>
      <x:c r="I173" s="237" t="str">
        <x:f aca="0">IF(H173="","",MAX(H173-H172,0))</x:f>
      </x:c>
      <x:c r="J173" s="240" t="n">
        <x:v>25134.78179</x:v>
      </x:c>
      <x:c r="K173" s="241" t="n">
        <x:f aca="0">IF($K$4="VMD0054",IFERROR(I173,0),J173*$Y$7)</x:f>
        <x:v>4144.406254155832</x:v>
      </x:c>
      <x:c r="L173" s="237" t="str">
        <x:f aca="0">IF($K$4&lt;&gt;"VMD0054","Legacy current series",IF(I173="","VMD0054 incomplete - legacy fallback","VMD0054 active"))</x:f>
        <x:v>Legacy current series</x:v>
      </x:c>
      <x:c r="M173" s="80" t="str">
        <x:f aca="0">IF(A129&lt;=$H$5,"Required","Beyond minimum")</x:f>
        <x:v>Required</x:v>
      </x:c>
      <x:c r="N173" s="80" t="str">
        <x:f aca="0">"Eq.(10) → Eq.(11-12) → Eq.(13)"</x:f>
        <x:v>Eq.(10) → Eq.(11-12) → Eq.(13)</x:v>
      </x:c>
      <x:c r="O173" s="80"/>
      <x:c r="P173" s="80"/>
      <x:c r="Q173" s="80"/>
      <x:c r="R173" s="80"/>
      <x:c r="Z173" s="1" t="n">
        <x:f aca="0">A129</x:f>
        <x:v>2022</x:v>
      </x:c>
      <x:c r="AA173" s="1" t="n">
        <x:f aca="0">I129</x:f>
        <x:v>0</x:v>
      </x:c>
      <x:c r="AB173" s="1" t="str">
        <x:f aca="0">J129</x:f>
      </x:c>
      <x:c r="AC173" s="1" t="n">
        <x:f aca="0">K129</x:f>
        <x:v>7.911875</x:v>
      </x:c>
    </x:row>
    <x:row r="174" ht="23.25" hidden="0" customHeight="1">
      <x:c r="A174" s="237" t="n">
        <x:v>2022</x:v>
      </x:c>
      <x:c r="B174" s="237" t="n">
        <x:f aca="0">IF(COUNTIF($R$12:$R$18,"Yes")=0,"",IF(COUNTIFS($A$22:$A$168,A174,$N$22:$N$168,"&lt;&gt;")&lt;COUNTIF($R$12:$R$18,"Yes"),"",MAX(SUMIF($A$22:$A$168,A174,$N$22:$N$168),0)))</x:f>
        <x:v>0</x:v>
      </x:c>
      <x:c r="C174" s="237" t="n">
        <x:f aca="0">IF(COUNTA($E$8,$H$8,$K$8,$N$8)&lt;4,"",$E$8*(1-($H$8*$K$8*$N$8)))</x:f>
        <x:v>6.382800000000001</x:v>
      </x:c>
      <x:c r="D174" s="237" t="n">
        <x:f aca="0">IF(OR($B$8="",C174=""),"",$B$8+C174)</x:f>
        <x:v>6.782800000000002</x:v>
      </x:c>
      <x:c r="E174" s="238" t="n">
        <x:v>0</x:v>
      </x:c>
      <x:c r="F174" s="238" t="n">
        <x:v>0</x:v>
      </x:c>
      <x:c r="G174" s="237" t="n">
        <x:f aca="0">G173+E174+F174</x:f>
        <x:v>0</x:v>
      </x:c>
      <x:c r="H174" s="237" t="str">
        <x:f aca="0">IF(OR(B174="",D174=""),"",B174*D174*44/12+G174)</x:f>
      </x:c>
      <x:c r="I174" s="237" t="str">
        <x:f aca="0">IF(H174="","",MAX(H174-H173,0))</x:f>
      </x:c>
      <x:c r="J174" s="240" t="n">
        <x:v>25673.94649</x:v>
      </x:c>
      <x:c r="K174" s="241" t="n">
        <x:f aca="0">IF($K$4="VMD0054",IFERROR(I174,0),J174*$Y$7)</x:f>
        <x:v>4233.307664694</x:v>
      </x:c>
      <x:c r="L174" s="237" t="str">
        <x:f aca="0">IF($K$4&lt;&gt;"VMD0054","Legacy current series",IF(I174="","VMD0054 incomplete - legacy fallback","VMD0054 active"))</x:f>
        <x:v>Legacy current series</x:v>
      </x:c>
      <x:c r="M174" s="80" t="str">
        <x:f aca="0">IF(A130&lt;=$H$5,"Required","Beyond minimum")</x:f>
        <x:v>Required</x:v>
      </x:c>
      <x:c r="N174" s="80" t="str">
        <x:f aca="0">"Eq.(10) → Eq.(11-12) → Eq.(13)"</x:f>
        <x:v>Eq.(10) → Eq.(11-12) → Eq.(13)</x:v>
      </x:c>
      <x:c r="O174" s="80"/>
      <x:c r="P174" s="80"/>
      <x:c r="Q174" s="80"/>
      <x:c r="R174" s="80"/>
      <x:c r="Z174" s="1" t="n">
        <x:f aca="0">A130</x:f>
        <x:v>2023</x:v>
      </x:c>
      <x:c r="AA174" s="1" t="n">
        <x:f aca="0">I130</x:f>
        <x:v>0</x:v>
      </x:c>
      <x:c r="AB174" s="1" t="str">
        <x:f aca="0">J130</x:f>
      </x:c>
      <x:c r="AC174" s="1" t="n">
        <x:f aca="0">K130</x:f>
        <x:v>7.911875</x:v>
      </x:c>
    </x:row>
    <x:row r="175" ht="23.25" hidden="0" customHeight="1">
      <x:c r="A175" s="237" t="n">
        <x:v>2023</x:v>
      </x:c>
      <x:c r="B175" s="237" t="n">
        <x:f aca="0">IF(COUNTIF($R$12:$R$18,"Yes")=0,"",IF(COUNTIFS($A$22:$A$168,A175,$N$22:$N$168,"&lt;&gt;")&lt;COUNTIF($R$12:$R$18,"Yes"),"",MAX(SUMIF($A$22:$A$168,A175,$N$22:$N$168),0)))</x:f>
        <x:v>0</x:v>
      </x:c>
      <x:c r="C175" s="237" t="n">
        <x:f aca="0">IF(COUNTA($E$8,$H$8,$K$8,$N$8)&lt;4,"",$E$8*(1-($H$8*$K$8*$N$8)))</x:f>
        <x:v>6.382800000000001</x:v>
      </x:c>
      <x:c r="D175" s="237" t="n">
        <x:f aca="0">IF(OR($B$8="",C175=""),"",$B$8+C175)</x:f>
        <x:v>6.782800000000002</x:v>
      </x:c>
      <x:c r="E175" s="238" t="n">
        <x:v>0</x:v>
      </x:c>
      <x:c r="F175" s="238" t="n">
        <x:v>0</x:v>
      </x:c>
      <x:c r="G175" s="237" t="n">
        <x:f aca="0">G174+E175+F175</x:f>
        <x:v>0</x:v>
      </x:c>
      <x:c r="H175" s="237" t="str">
        <x:f aca="0">IF(OR(B175="",D175=""),"",B175*D175*44/12+G175)</x:f>
      </x:c>
      <x:c r="I175" s="237" t="str">
        <x:f aca="0">IF(H175="","",MAX(H175-H174,0))</x:f>
      </x:c>
      <x:c r="J175" s="240" t="n">
        <x:v>25783.5931</x:v>
      </x:c>
      <x:c r="K175" s="241" t="n">
        <x:f aca="0">IF($K$4="VMD0054",IFERROR(I175,0),J175*$Y$7)</x:f>
        <x:v>4251.386997947324</x:v>
      </x:c>
      <x:c r="L175" s="237" t="str">
        <x:f aca="0">IF($K$4&lt;&gt;"VMD0054","Legacy current series",IF(I175="","VMD0054 incomplete - legacy fallback","VMD0054 active"))</x:f>
        <x:v>Legacy current series</x:v>
      </x:c>
      <x:c r="M175" s="80" t="str">
        <x:f aca="0">IF(A131&lt;=$H$5,"Required","Beyond minimum")</x:f>
        <x:v>Required</x:v>
      </x:c>
      <x:c r="N175" s="80" t="str">
        <x:f aca="0">"Eq.(10) → Eq.(11-12) → Eq.(13)"</x:f>
        <x:v>Eq.(10) → Eq.(11-12) → Eq.(13)</x:v>
      </x:c>
      <x:c r="O175" s="80"/>
      <x:c r="P175" s="80"/>
      <x:c r="Q175" s="80"/>
      <x:c r="R175" s="80"/>
      <x:c r="Z175" s="1" t="n">
        <x:f aca="0">A131</x:f>
        <x:v>2024</x:v>
      </x:c>
      <x:c r="AA175" s="1" t="n">
        <x:f aca="0">I131</x:f>
        <x:v>0</x:v>
      </x:c>
      <x:c r="AB175" s="1" t="str">
        <x:f aca="0">J131</x:f>
      </x:c>
      <x:c r="AC175" s="1" t="n">
        <x:f aca="0">K131</x:f>
        <x:v>7.911875</x:v>
      </x:c>
    </x:row>
    <x:row r="176" ht="23.25" hidden="0" customHeight="1">
      <x:c r="A176" s="237" t="n">
        <x:v>2024</x:v>
      </x:c>
      <x:c r="B176" s="237" t="n">
        <x:f aca="0">IF(COUNTIF($R$12:$R$18,"Yes")=0,"",IF(COUNTIFS($A$22:$A$168,A176,$N$22:$N$168,"&lt;&gt;")&lt;COUNTIF($R$12:$R$18,"Yes"),"",MAX(SUMIF($A$22:$A$168,A176,$N$22:$N$168),0)))</x:f>
        <x:v>0</x:v>
      </x:c>
      <x:c r="C176" s="237" t="n">
        <x:f aca="0">IF(COUNTA($E$8,$H$8,$K$8,$N$8)&lt;4,"",$E$8*(1-($H$8*$K$8*$N$8)))</x:f>
        <x:v>6.382800000000001</x:v>
      </x:c>
      <x:c r="D176" s="237" t="n">
        <x:f aca="0">IF(OR($B$8="",C176=""),"",$B$8+C176)</x:f>
        <x:v>6.782800000000002</x:v>
      </x:c>
      <x:c r="E176" s="238" t="n">
        <x:v>0</x:v>
      </x:c>
      <x:c r="F176" s="238" t="n">
        <x:v>0</x:v>
      </x:c>
      <x:c r="G176" s="237" t="n">
        <x:f aca="0">G175+E176+F176</x:f>
        <x:v>0</x:v>
      </x:c>
      <x:c r="H176" s="237" t="str">
        <x:f aca="0">IF(OR(B176="",D176=""),"",B176*D176*44/12+G176)</x:f>
      </x:c>
      <x:c r="I176" s="237" t="str">
        <x:f aca="0">IF(H176="","",MAX(H176-H175,0))</x:f>
      </x:c>
      <x:c r="J176" s="240" t="n">
        <x:v>24878.66343</x:v>
      </x:c>
      <x:c r="K176" s="241" t="n">
        <x:f aca="0">IF($K$4="VMD0054",IFERROR(I176,0),J176*$Y$7)</x:f>
        <x:v>4102.1755898176025</x:v>
      </x:c>
      <x:c r="L176" s="237" t="str">
        <x:f aca="0">IF($K$4&lt;&gt;"VMD0054","Legacy current series",IF(I176="","VMD0054 incomplete - legacy fallback","VMD0054 active"))</x:f>
        <x:v>Legacy current series</x:v>
      </x:c>
      <x:c r="M176" s="80" t="str">
        <x:f aca="0">IF(A132&lt;=$H$5,"Required","Beyond minimum")</x:f>
        <x:v>Required</x:v>
      </x:c>
      <x:c r="N176" s="80" t="str">
        <x:f aca="0">"Eq.(10) → Eq.(11-12) → Eq.(13)"</x:f>
        <x:v>Eq.(10) → Eq.(11-12) → Eq.(13)</x:v>
      </x:c>
      <x:c r="O176" s="80"/>
      <x:c r="P176" s="80"/>
      <x:c r="Q176" s="80"/>
      <x:c r="R176" s="80"/>
      <x:c r="Z176" s="1" t="n">
        <x:f aca="0">A132</x:f>
        <x:v>2025</x:v>
      </x:c>
      <x:c r="AA176" s="1" t="n">
        <x:f aca="0">I132</x:f>
        <x:v>0</x:v>
      </x:c>
      <x:c r="AB176" s="1" t="str">
        <x:f aca="0">J132</x:f>
      </x:c>
      <x:c r="AC176" s="1" t="n">
        <x:f aca="0">K132</x:f>
        <x:v>7.911875</x:v>
      </x:c>
    </x:row>
    <x:row r="177" ht="23.25" hidden="0" customHeight="1">
      <x:c r="A177" s="237" t="n">
        <x:v>2025</x:v>
      </x:c>
      <x:c r="B177" s="237" t="n">
        <x:f aca="0">IF(COUNTIF($R$12:$R$18,"Yes")=0,"",IF(COUNTIFS($A$22:$A$168,A177,$N$22:$N$168,"&lt;&gt;")&lt;COUNTIF($R$12:$R$18,"Yes"),"",MAX(SUMIF($A$22:$A$168,A177,$N$22:$N$168),0)))</x:f>
        <x:v>0</x:v>
      </x:c>
      <x:c r="C177" s="237" t="n">
        <x:f aca="0">IF(COUNTA($E$8,$H$8,$K$8,$N$8)&lt;4,"",$E$8*(1-($H$8*$K$8*$N$8)))</x:f>
        <x:v>6.382800000000001</x:v>
      </x:c>
      <x:c r="D177" s="237" t="n">
        <x:f aca="0">IF(OR($B$8="",C177=""),"",$B$8+C177)</x:f>
        <x:v>6.782800000000002</x:v>
      </x:c>
      <x:c r="E177" s="238" t="n">
        <x:v>0</x:v>
      </x:c>
      <x:c r="F177" s="238" t="n">
        <x:v>0</x:v>
      </x:c>
      <x:c r="G177" s="237" t="n">
        <x:f aca="0">G176+E177+F177</x:f>
        <x:v>0</x:v>
      </x:c>
      <x:c r="H177" s="237" t="str">
        <x:f aca="0">IF(OR(B177="",D177=""),"",B177*D177*44/12+G177)</x:f>
      </x:c>
      <x:c r="I177" s="237" t="str">
        <x:f aca="0">IF(H177="","",MAX(H177-H176,0))</x:f>
      </x:c>
      <x:c r="J177" s="240" t="n">
        <x:v>0</x:v>
      </x:c>
      <x:c r="K177" s="241" t="n">
        <x:f aca="0">IF($K$4="VMD0054",IFERROR(I177,0),J177*$Y$7)</x:f>
        <x:v>0</x:v>
      </x:c>
      <x:c r="L177" s="237" t="str">
        <x:f aca="0">IF($K$4&lt;&gt;"VMD0054","Legacy current series",IF(I177="","VMD0054 incomplete - legacy fallback","VMD0054 active"))</x:f>
        <x:v>Legacy current series</x:v>
      </x:c>
      <x:c r="M177" s="80" t="str">
        <x:f aca="0">IF(A133&lt;=$H$5,"Required","Beyond minimum")</x:f>
        <x:v>Required</x:v>
      </x:c>
      <x:c r="N177" s="80" t="str">
        <x:f aca="0">"Eq.(10) → Eq.(11-12) → Eq.(13)"</x:f>
        <x:v>Eq.(10) → Eq.(11-12) → Eq.(13)</x:v>
      </x:c>
      <x:c r="O177" s="80"/>
      <x:c r="P177" s="80"/>
      <x:c r="Q177" s="80"/>
      <x:c r="R177" s="80"/>
      <x:c r="Z177" s="1" t="n">
        <x:f aca="0">A133</x:f>
        <x:v>2026</x:v>
      </x:c>
      <x:c r="AA177" s="1" t="n">
        <x:f aca="0">I133</x:f>
        <x:v>0</x:v>
      </x:c>
      <x:c r="AB177" s="1" t="str">
        <x:f aca="0">J133</x:f>
      </x:c>
      <x:c r="AC177" s="1" t="n">
        <x:f aca="0">K133</x:f>
        <x:v>7.911875</x:v>
      </x:c>
    </x:row>
    <x:row r="178" ht="23.25" hidden="0" customHeight="1">
      <x:c r="A178" s="237" t="n">
        <x:v>2026</x:v>
      </x:c>
      <x:c r="B178" s="237" t="n">
        <x:f aca="0">IF(COUNTIF($R$12:$R$18,"Yes")=0,"",IF(COUNTIFS($A$22:$A$168,A178,$N$22:$N$168,"&lt;&gt;")&lt;COUNTIF($R$12:$R$18,"Yes"),"",MAX(SUMIF($A$22:$A$168,A178,$N$22:$N$168),0)))</x:f>
        <x:v>0</x:v>
      </x:c>
      <x:c r="C178" s="237" t="n">
        <x:f aca="0">IF(COUNTA($E$8,$H$8,$K$8,$N$8)&lt;4,"",$E$8*(1-($H$8*$K$8*$N$8)))</x:f>
        <x:v>6.382800000000001</x:v>
      </x:c>
      <x:c r="D178" s="237" t="n">
        <x:f aca="0">IF(OR($B$8="",C178=""),"",$B$8+C178)</x:f>
        <x:v>6.782800000000002</x:v>
      </x:c>
      <x:c r="E178" s="238" t="n">
        <x:v>0</x:v>
      </x:c>
      <x:c r="F178" s="238" t="n">
        <x:v>0</x:v>
      </x:c>
      <x:c r="G178" s="237" t="n">
        <x:f aca="0">G177+E178+F178</x:f>
        <x:v>0</x:v>
      </x:c>
      <x:c r="H178" s="237" t="str">
        <x:f aca="0">IF(OR(B178="",D178=""),"",B178*D178*44/12+G178)</x:f>
      </x:c>
      <x:c r="I178" s="237" t="str">
        <x:f aca="0">IF(H178="","",MAX(H178-H177,0))</x:f>
      </x:c>
      <x:c r="J178" s="240" t="n">
        <x:v>0</x:v>
      </x:c>
      <x:c r="K178" s="241" t="n">
        <x:f aca="0">IF($K$4="VMD0054",IFERROR(I178,0),J178*$Y$7)</x:f>
        <x:v>0</x:v>
      </x:c>
      <x:c r="L178" s="237" t="str">
        <x:f aca="0">IF($K$4&lt;&gt;"VMD0054","Legacy current series",IF(I178="","VMD0054 incomplete - legacy fallback","VMD0054 active"))</x:f>
        <x:v>Legacy current series</x:v>
      </x:c>
      <x:c r="M178" s="80" t="str">
        <x:f aca="0">IF(A134&lt;=$H$5,"Required","Beyond minimum")</x:f>
        <x:v>Required</x:v>
      </x:c>
      <x:c r="N178" s="80" t="str">
        <x:f aca="0">"Eq.(10) → Eq.(11-12) → Eq.(13)"</x:f>
        <x:v>Eq.(10) → Eq.(11-12) → Eq.(13)</x:v>
      </x:c>
      <x:c r="O178" s="80"/>
      <x:c r="P178" s="80"/>
      <x:c r="Q178" s="80"/>
      <x:c r="R178" s="80"/>
      <x:c r="Z178" s="1" t="n">
        <x:f aca="0">A134</x:f>
        <x:v>2027</x:v>
      </x:c>
      <x:c r="AA178" s="1" t="n">
        <x:f aca="0">I134</x:f>
        <x:v>0</x:v>
      </x:c>
      <x:c r="AB178" s="1" t="str">
        <x:f aca="0">J134</x:f>
      </x:c>
      <x:c r="AC178" s="1" t="n">
        <x:f aca="0">K134</x:f>
        <x:v>7.911875</x:v>
      </x:c>
    </x:row>
    <x:row r="179" ht="23.25" hidden="0" customHeight="1">
      <x:c r="A179" s="237" t="n">
        <x:v>2027</x:v>
      </x:c>
      <x:c r="B179" s="237" t="n">
        <x:f aca="0">IF(COUNTIF($R$12:$R$18,"Yes")=0,"",IF(COUNTIFS($A$22:$A$168,A179,$N$22:$N$168,"&lt;&gt;")&lt;COUNTIF($R$12:$R$18,"Yes"),"",MAX(SUMIF($A$22:$A$168,A179,$N$22:$N$168),0)))</x:f>
        <x:v>0</x:v>
      </x:c>
      <x:c r="C179" s="237" t="n">
        <x:f aca="0">IF(COUNTA($E$8,$H$8,$K$8,$N$8)&lt;4,"",$E$8*(1-($H$8*$K$8*$N$8)))</x:f>
        <x:v>6.382800000000001</x:v>
      </x:c>
      <x:c r="D179" s="237" t="n">
        <x:f aca="0">IF(OR($B$8="",C179=""),"",$B$8+C179)</x:f>
        <x:v>6.782800000000002</x:v>
      </x:c>
      <x:c r="E179" s="238" t="n">
        <x:v>0</x:v>
      </x:c>
      <x:c r="F179" s="238" t="n">
        <x:v>0</x:v>
      </x:c>
      <x:c r="G179" s="237" t="n">
        <x:f aca="0">G178+E179+F179</x:f>
        <x:v>0</x:v>
      </x:c>
      <x:c r="H179" s="237" t="str">
        <x:f aca="0">IF(OR(B179="",D179=""),"",B179*D179*44/12+G179)</x:f>
      </x:c>
      <x:c r="I179" s="237" t="str">
        <x:f aca="0">IF(H179="","",MAX(H179-H178,0))</x:f>
      </x:c>
      <x:c r="J179" s="240" t="n">
        <x:v>0</x:v>
      </x:c>
      <x:c r="K179" s="241" t="n">
        <x:f aca="0">IF($K$4="VMD0054",IFERROR(I179,0),J179*$Y$7)</x:f>
        <x:v>0</x:v>
      </x:c>
      <x:c r="L179" s="237" t="str">
        <x:f aca="0">IF($K$4&lt;&gt;"VMD0054","Legacy current series",IF(I179="","VMD0054 incomplete - legacy fallback","VMD0054 active"))</x:f>
        <x:v>Legacy current series</x:v>
      </x:c>
      <x:c r="M179" s="80" t="str">
        <x:f aca="0">IF(A135&lt;=$H$5,"Required","Beyond minimum")</x:f>
        <x:v>Required</x:v>
      </x:c>
      <x:c r="N179" s="80" t="str">
        <x:f aca="0">"Eq.(10) → Eq.(11-12) → Eq.(13)"</x:f>
        <x:v>Eq.(10) → Eq.(11-12) → Eq.(13)</x:v>
      </x:c>
      <x:c r="O179" s="80"/>
      <x:c r="P179" s="80"/>
      <x:c r="Q179" s="80"/>
      <x:c r="R179" s="80"/>
      <x:c r="Z179" s="1" t="n">
        <x:f aca="0">A135</x:f>
        <x:v>2028</x:v>
      </x:c>
      <x:c r="AA179" s="1" t="n">
        <x:f aca="0">I135</x:f>
        <x:v>0</x:v>
      </x:c>
      <x:c r="AB179" s="1" t="str">
        <x:f aca="0">J135</x:f>
      </x:c>
      <x:c r="AC179" s="1" t="n">
        <x:f aca="0">K135</x:f>
        <x:v>7.911875</x:v>
      </x:c>
    </x:row>
    <x:row r="180" ht="23.25" hidden="0" customHeight="1">
      <x:c r="A180" s="237" t="n">
        <x:v>2028</x:v>
      </x:c>
      <x:c r="B180" s="237" t="n">
        <x:f aca="0">IF(COUNTIF($R$12:$R$18,"Yes")=0,"",IF(COUNTIFS($A$22:$A$168,A180,$N$22:$N$168,"&lt;&gt;")&lt;COUNTIF($R$12:$R$18,"Yes"),"",MAX(SUMIF($A$22:$A$168,A180,$N$22:$N$168),0)))</x:f>
        <x:v>0</x:v>
      </x:c>
      <x:c r="C180" s="237" t="n">
        <x:f aca="0">IF(COUNTA($E$8,$H$8,$K$8,$N$8)&lt;4,"",$E$8*(1-($H$8*$K$8*$N$8)))</x:f>
        <x:v>6.382800000000001</x:v>
      </x:c>
      <x:c r="D180" s="237" t="n">
        <x:f aca="0">IF(OR($B$8="",C180=""),"",$B$8+C180)</x:f>
        <x:v>6.782800000000002</x:v>
      </x:c>
      <x:c r="E180" s="238" t="n">
        <x:v>0</x:v>
      </x:c>
      <x:c r="F180" s="238" t="n">
        <x:v>0</x:v>
      </x:c>
      <x:c r="G180" s="237" t="n">
        <x:f aca="0">G179+E180+F180</x:f>
        <x:v>0</x:v>
      </x:c>
      <x:c r="H180" s="237" t="str">
        <x:f aca="0">IF(OR(B180="",D180=""),"",B180*D180*44/12+G180)</x:f>
      </x:c>
      <x:c r="I180" s="237" t="str">
        <x:f aca="0">IF(H180="","",MAX(H180-H179,0))</x:f>
      </x:c>
      <x:c r="J180" s="240" t="n">
        <x:v>0</x:v>
      </x:c>
      <x:c r="K180" s="241" t="n">
        <x:f aca="0">IF($K$4="VMD0054",IFERROR(I180,0),J180*$Y$7)</x:f>
        <x:v>0</x:v>
      </x:c>
      <x:c r="L180" s="237" t="str">
        <x:f aca="0">IF($K$4&lt;&gt;"VMD0054","Legacy current series",IF(I180="","VMD0054 incomplete - legacy fallback","VMD0054 active"))</x:f>
        <x:v>Legacy current series</x:v>
      </x:c>
      <x:c r="M180" s="80" t="str">
        <x:f aca="0">IF(A136&lt;=$H$5,"Required","Beyond minimum")</x:f>
        <x:v>Required</x:v>
      </x:c>
      <x:c r="N180" s="80" t="str">
        <x:f aca="0">"Eq.(10) → Eq.(11-12) → Eq.(13)"</x:f>
        <x:v>Eq.(10) → Eq.(11-12) → Eq.(13)</x:v>
      </x:c>
      <x:c r="O180" s="80"/>
      <x:c r="P180" s="80"/>
      <x:c r="Q180" s="80"/>
      <x:c r="R180" s="80"/>
      <x:c r="Z180" s="1" t="n">
        <x:f aca="0">A136</x:f>
        <x:v>2029</x:v>
      </x:c>
      <x:c r="AA180" s="1" t="n">
        <x:f aca="0">I136</x:f>
        <x:v>0</x:v>
      </x:c>
      <x:c r="AB180" s="1" t="str">
        <x:f aca="0">J136</x:f>
      </x:c>
      <x:c r="AC180" s="1" t="n">
        <x:f aca="0">K136</x:f>
        <x:v>7.911875</x:v>
      </x:c>
    </x:row>
    <x:row r="181" ht="23.25" hidden="0" customHeight="1">
      <x:c r="A181" s="237" t="n">
        <x:v>2029</x:v>
      </x:c>
      <x:c r="B181" s="237" t="n">
        <x:f aca="0">IF(COUNTIF($R$12:$R$18,"Yes")=0,"",IF(COUNTIFS($A$22:$A$168,A181,$N$22:$N$168,"&lt;&gt;")&lt;COUNTIF($R$12:$R$18,"Yes"),"",MAX(SUMIF($A$22:$A$168,A181,$N$22:$N$168),0)))</x:f>
        <x:v>0</x:v>
      </x:c>
      <x:c r="C181" s="237" t="n">
        <x:f aca="0">IF(COUNTA($E$8,$H$8,$K$8,$N$8)&lt;4,"",$E$8*(1-($H$8*$K$8*$N$8)))</x:f>
        <x:v>6.382800000000001</x:v>
      </x:c>
      <x:c r="D181" s="237" t="n">
        <x:f aca="0">IF(OR($B$8="",C181=""),"",$B$8+C181)</x:f>
        <x:v>6.782800000000002</x:v>
      </x:c>
      <x:c r="E181" s="238" t="n">
        <x:v>0</x:v>
      </x:c>
      <x:c r="F181" s="238" t="n">
        <x:v>0</x:v>
      </x:c>
      <x:c r="G181" s="237" t="n">
        <x:f aca="0">G180+E181+F181</x:f>
        <x:v>0</x:v>
      </x:c>
      <x:c r="H181" s="237" t="str">
        <x:f aca="0">IF(OR(B181="",D181=""),"",B181*D181*44/12+G181)</x:f>
      </x:c>
      <x:c r="I181" s="237" t="str">
        <x:f aca="0">IF(H181="","",MAX(H181-H180,0))</x:f>
      </x:c>
      <x:c r="J181" s="240" t="n">
        <x:v>0</x:v>
      </x:c>
      <x:c r="K181" s="241" t="n">
        <x:f aca="0">IF($K$4="VMD0054",IFERROR(I181,0),J181*$Y$7)</x:f>
        <x:v>0</x:v>
      </x:c>
      <x:c r="L181" s="237" t="str">
        <x:f aca="0">IF($K$4&lt;&gt;"VMD0054","Legacy current series",IF(I181="","VMD0054 incomplete - legacy fallback","VMD0054 active"))</x:f>
        <x:v>Legacy current series</x:v>
      </x:c>
      <x:c r="M181" s="80" t="str">
        <x:f aca="0">IF(A137&lt;=$H$5,"Required","Beyond minimum")</x:f>
        <x:v>Beyond minimum</x:v>
      </x:c>
      <x:c r="N181" s="80" t="str">
        <x:f aca="0">"Eq.(10) → Eq.(11-12) → Eq.(13)"</x:f>
        <x:v>Eq.(10) → Eq.(11-12) → Eq.(13)</x:v>
      </x:c>
      <x:c r="O181" s="80"/>
      <x:c r="P181" s="80"/>
      <x:c r="Q181" s="80"/>
      <x:c r="R181" s="80"/>
      <x:c r="Z181" s="1" t="n">
        <x:f aca="0">A137</x:f>
        <x:v>2030</x:v>
      </x:c>
      <x:c r="AA181" s="1" t="n">
        <x:f aca="0">I137</x:f>
        <x:v>0</x:v>
      </x:c>
      <x:c r="AB181" s="1" t="str">
        <x:f aca="0">J137</x:f>
      </x:c>
      <x:c r="AC181" s="1" t="n">
        <x:f aca="0">K137</x:f>
        <x:v>7.911875</x:v>
      </x:c>
    </x:row>
    <x:row r="182" ht="23.25" hidden="0" customHeight="1">
      <x:c r="A182" s="237" t="n">
        <x:v>2030</x:v>
      </x:c>
      <x:c r="B182" s="237" t="n">
        <x:f aca="0">IF(COUNTIF($R$12:$R$18,"Yes")=0,"",IF(COUNTIFS($A$22:$A$168,A182,$N$22:$N$168,"&lt;&gt;")&lt;COUNTIF($R$12:$R$18,"Yes"),"",MAX(SUMIF($A$22:$A$168,A182,$N$22:$N$168),0)))</x:f>
        <x:v>0</x:v>
      </x:c>
      <x:c r="C182" s="237" t="n">
        <x:f aca="0">IF(COUNTA($E$8,$H$8,$K$8,$N$8)&lt;4,"",$E$8*(1-($H$8*$K$8*$N$8)))</x:f>
        <x:v>6.382800000000001</x:v>
      </x:c>
      <x:c r="D182" s="237" t="n">
        <x:f aca="0">IF(OR($B$8="",C182=""),"",$B$8+C182)</x:f>
        <x:v>6.782800000000002</x:v>
      </x:c>
      <x:c r="E182" s="238" t="n">
        <x:v>0</x:v>
      </x:c>
      <x:c r="F182" s="238" t="n">
        <x:v>0</x:v>
      </x:c>
      <x:c r="G182" s="237" t="n">
        <x:f aca="0">G181+E182+F182</x:f>
        <x:v>0</x:v>
      </x:c>
      <x:c r="H182" s="237" t="str">
        <x:f aca="0">IF(OR(B182="",D182=""),"",B182*D182*44/12+G182)</x:f>
      </x:c>
      <x:c r="I182" s="237" t="str">
        <x:f aca="0">IF(H182="","",MAX(H182-H181,0))</x:f>
      </x:c>
      <x:c r="J182" s="240" t="n">
        <x:v>0</x:v>
      </x:c>
      <x:c r="K182" s="241" t="n">
        <x:f aca="0">IF($K$4="VMD0054",IFERROR(I182,0),J182*$Y$7)</x:f>
        <x:v>0</x:v>
      </x:c>
      <x:c r="L182" s="237" t="str">
        <x:f aca="0">IF($K$4&lt;&gt;"VMD0054","Legacy current series",IF(I182="","VMD0054 incomplete - legacy fallback","VMD0054 active"))</x:f>
        <x:v>Legacy current series</x:v>
      </x:c>
      <x:c r="M182" s="80" t="str">
        <x:f aca="0">IF(A138&lt;=$H$5,"Required","Beyond minimum")</x:f>
        <x:v>Beyond minimum</x:v>
      </x:c>
      <x:c r="N182" s="80" t="str">
        <x:f aca="0">"Eq.(10) → Eq.(11-12) → Eq.(13)"</x:f>
        <x:v>Eq.(10) → Eq.(11-12) → Eq.(13)</x:v>
      </x:c>
      <x:c r="O182" s="80"/>
      <x:c r="P182" s="80"/>
      <x:c r="Q182" s="80"/>
      <x:c r="R182" s="80"/>
      <x:c r="Z182" s="1" t="n">
        <x:f aca="0">A138</x:f>
        <x:v>2031</x:v>
      </x:c>
      <x:c r="AA182" s="1" t="n">
        <x:f aca="0">I138</x:f>
        <x:v>0</x:v>
      </x:c>
      <x:c r="AB182" s="1" t="str">
        <x:f aca="0">J138</x:f>
      </x:c>
      <x:c r="AC182" s="1" t="n">
        <x:f aca="0">K138</x:f>
        <x:v>7.911875</x:v>
      </x:c>
    </x:row>
    <x:row r="183" ht="23.25" hidden="0" customHeight="1">
      <x:c r="A183" s="237" t="n">
        <x:v>2031</x:v>
      </x:c>
      <x:c r="B183" s="237" t="n">
        <x:f aca="0">IF(COUNTIF($R$12:$R$18,"Yes")=0,"",IF(COUNTIFS($A$22:$A$168,A183,$N$22:$N$168,"&lt;&gt;")&lt;COUNTIF($R$12:$R$18,"Yes"),"",MAX(SUMIF($A$22:$A$168,A183,$N$22:$N$168),0)))</x:f>
        <x:v>0</x:v>
      </x:c>
      <x:c r="C183" s="237" t="n">
        <x:f aca="0">IF(COUNTA($E$8,$H$8,$K$8,$N$8)&lt;4,"",$E$8*(1-($H$8*$K$8*$N$8)))</x:f>
        <x:v>6.382800000000001</x:v>
      </x:c>
      <x:c r="D183" s="237" t="n">
        <x:f aca="0">IF(OR($B$8="",C183=""),"",$B$8+C183)</x:f>
        <x:v>6.782800000000002</x:v>
      </x:c>
      <x:c r="E183" s="238" t="n">
        <x:v>0</x:v>
      </x:c>
      <x:c r="F183" s="238" t="n">
        <x:v>0</x:v>
      </x:c>
      <x:c r="G183" s="237" t="n">
        <x:f aca="0">G182+E183+F183</x:f>
        <x:v>0</x:v>
      </x:c>
      <x:c r="H183" s="237" t="str">
        <x:f aca="0">IF(OR(B183="",D183=""),"",B183*D183*44/12+G183)</x:f>
      </x:c>
      <x:c r="I183" s="237" t="str">
        <x:f aca="0">IF(H183="","",MAX(H183-H182,0))</x:f>
      </x:c>
      <x:c r="J183" s="240" t="n">
        <x:v>0</x:v>
      </x:c>
      <x:c r="K183" s="241" t="n">
        <x:f aca="0">IF($K$4="VMD0054",IFERROR(I183,0),J183*$Y$7)</x:f>
        <x:v>0</x:v>
      </x:c>
      <x:c r="L183" s="237" t="str">
        <x:f aca="0">IF($K$4&lt;&gt;"VMD0054","Legacy current series",IF(I183="","VMD0054 incomplete - legacy fallback","VMD0054 active"))</x:f>
        <x:v>Legacy current series</x:v>
      </x:c>
      <x:c r="M183" s="80" t="str">
        <x:f aca="0">IF(A139&lt;=$H$5,"Required","Beyond minimum")</x:f>
        <x:v>Beyond minimum</x:v>
      </x:c>
      <x:c r="N183" s="80" t="str">
        <x:f aca="0">"Eq.(10) → Eq.(11-12) → Eq.(13)"</x:f>
        <x:v>Eq.(10) → Eq.(11-12) → Eq.(13)</x:v>
      </x:c>
      <x:c r="O183" s="80"/>
      <x:c r="P183" s="80"/>
      <x:c r="Q183" s="80"/>
      <x:c r="R183" s="80"/>
      <x:c r="Z183" s="1" t="n">
        <x:f aca="0">A139</x:f>
        <x:v>2032</x:v>
      </x:c>
      <x:c r="AA183" s="1" t="n">
        <x:f aca="0">I139</x:f>
        <x:v>0</x:v>
      </x:c>
      <x:c r="AB183" s="1" t="str">
        <x:f aca="0">J139</x:f>
      </x:c>
      <x:c r="AC183" s="1" t="n">
        <x:f aca="0">K139</x:f>
        <x:v>7.911875</x:v>
      </x:c>
    </x:row>
    <x:row r="184" ht="23.25" hidden="0" customHeight="1">
      <x:c r="A184" s="237" t="n">
        <x:v>2032</x:v>
      </x:c>
      <x:c r="B184" s="237" t="n">
        <x:f aca="0">IF(COUNTIF($R$12:$R$18,"Yes")=0,"",IF(COUNTIFS($A$22:$A$168,A184,$N$22:$N$168,"&lt;&gt;")&lt;COUNTIF($R$12:$R$18,"Yes"),"",MAX(SUMIF($A$22:$A$168,A184,$N$22:$N$168),0)))</x:f>
        <x:v>0</x:v>
      </x:c>
      <x:c r="C184" s="237" t="n">
        <x:f aca="0">IF(COUNTA($E$8,$H$8,$K$8,$N$8)&lt;4,"",$E$8*(1-($H$8*$K$8*$N$8)))</x:f>
        <x:v>6.382800000000001</x:v>
      </x:c>
      <x:c r="D184" s="237" t="n">
        <x:f aca="0">IF(OR($B$8="",C184=""),"",$B$8+C184)</x:f>
        <x:v>6.782800000000002</x:v>
      </x:c>
      <x:c r="E184" s="238" t="n">
        <x:v>0</x:v>
      </x:c>
      <x:c r="F184" s="238" t="n">
        <x:v>0</x:v>
      </x:c>
      <x:c r="G184" s="237" t="n">
        <x:f aca="0">G183+E184+F184</x:f>
        <x:v>0</x:v>
      </x:c>
      <x:c r="H184" s="237" t="str">
        <x:f aca="0">IF(OR(B184="",D184=""),"",B184*D184*44/12+G184)</x:f>
      </x:c>
      <x:c r="I184" s="237" t="str">
        <x:f aca="0">IF(H184="","",MAX(H184-H183,0))</x:f>
      </x:c>
      <x:c r="J184" s="240" t="n">
        <x:v>0</x:v>
      </x:c>
      <x:c r="K184" s="241" t="n">
        <x:f aca="0">IF($K$4="VMD0054",IFERROR(I184,0),J184*$Y$7)</x:f>
        <x:v>0</x:v>
      </x:c>
      <x:c r="L184" s="237" t="str">
        <x:f aca="0">IF($K$4&lt;&gt;"VMD0054","Legacy current series",IF(I184="","VMD0054 incomplete - legacy fallback","VMD0054 active"))</x:f>
        <x:v>Legacy current series</x:v>
      </x:c>
      <x:c r="M184" s="80" t="str">
        <x:f aca="0">IF(A140&lt;=$H$5,"Required","Beyond minimum")</x:f>
        <x:v>Beyond minimum</x:v>
      </x:c>
      <x:c r="N184" s="80" t="str">
        <x:f aca="0">"Eq.(10) → Eq.(11-12) → Eq.(13)"</x:f>
        <x:v>Eq.(10) → Eq.(11-12) → Eq.(13)</x:v>
      </x:c>
      <x:c r="O184" s="80"/>
      <x:c r="P184" s="80"/>
      <x:c r="Q184" s="80"/>
      <x:c r="R184" s="80"/>
      <x:c r="Z184" s="1" t="n">
        <x:f aca="0">A140</x:f>
        <x:v>2033</x:v>
      </x:c>
      <x:c r="AA184" s="1" t="n">
        <x:f aca="0">I140</x:f>
        <x:v>0</x:v>
      </x:c>
      <x:c r="AB184" s="1" t="str">
        <x:f aca="0">J140</x:f>
      </x:c>
      <x:c r="AC184" s="1" t="n">
        <x:f aca="0">K140</x:f>
        <x:v>7.911875</x:v>
      </x:c>
    </x:row>
    <x:row r="185" ht="23.25" hidden="0" customHeight="1">
      <x:c r="A185" s="237" t="n">
        <x:v>2033</x:v>
      </x:c>
      <x:c r="B185" s="237" t="n">
        <x:f aca="0">IF(COUNTIF($R$12:$R$18,"Yes")=0,"",IF(COUNTIFS($A$22:$A$168,A185,$N$22:$N$168,"&lt;&gt;")&lt;COUNTIF($R$12:$R$18,"Yes"),"",MAX(SUMIF($A$22:$A$168,A185,$N$22:$N$168),0)))</x:f>
        <x:v>0</x:v>
      </x:c>
      <x:c r="C185" s="237" t="n">
        <x:f aca="0">IF(COUNTA($E$8,$H$8,$K$8,$N$8)&lt;4,"",$E$8*(1-($H$8*$K$8*$N$8)))</x:f>
        <x:v>6.382800000000001</x:v>
      </x:c>
      <x:c r="D185" s="237" t="n">
        <x:f aca="0">IF(OR($B$8="",C185=""),"",$B$8+C185)</x:f>
        <x:v>6.782800000000002</x:v>
      </x:c>
      <x:c r="E185" s="238" t="n">
        <x:v>0</x:v>
      </x:c>
      <x:c r="F185" s="238" t="n">
        <x:v>0</x:v>
      </x:c>
      <x:c r="G185" s="237" t="n">
        <x:f aca="0">G184+E185+F185</x:f>
        <x:v>0</x:v>
      </x:c>
      <x:c r="H185" s="237" t="str">
        <x:f aca="0">IF(OR(B185="",D185=""),"",B185*D185*44/12+G185)</x:f>
      </x:c>
      <x:c r="I185" s="237" t="str">
        <x:f aca="0">IF(H185="","",MAX(H185-H184,0))</x:f>
      </x:c>
      <x:c r="J185" s="240" t="n">
        <x:v>0</x:v>
      </x:c>
      <x:c r="K185" s="241" t="n">
        <x:f aca="0">IF($K$4="VMD0054",IFERROR(I185,0),J185*$Y$7)</x:f>
        <x:v>0</x:v>
      </x:c>
      <x:c r="L185" s="237" t="str">
        <x:f aca="0">IF($K$4&lt;&gt;"VMD0054","Legacy current series",IF(I185="","VMD0054 incomplete - legacy fallback","VMD0054 active"))</x:f>
        <x:v>Legacy current series</x:v>
      </x:c>
      <x:c r="M185" s="80" t="str">
        <x:f aca="0">IF(A141&lt;=$H$5,"Required","Beyond minimum")</x:f>
        <x:v>Beyond minimum</x:v>
      </x:c>
      <x:c r="N185" s="80" t="str">
        <x:f aca="0">"Eq.(10) → Eq.(11-12) → Eq.(13)"</x:f>
        <x:v>Eq.(10) → Eq.(11-12) → Eq.(13)</x:v>
      </x:c>
      <x:c r="O185" s="80"/>
      <x:c r="P185" s="80"/>
      <x:c r="Q185" s="80"/>
      <x:c r="R185" s="80"/>
      <x:c r="Z185" s="1" t="n">
        <x:f aca="0">A141</x:f>
        <x:v>2034</x:v>
      </x:c>
      <x:c r="AA185" s="1" t="n">
        <x:f aca="0">I141</x:f>
        <x:v>0</x:v>
      </x:c>
      <x:c r="AB185" s="1" t="str">
        <x:f aca="0">J141</x:f>
      </x:c>
      <x:c r="AC185" s="1" t="n">
        <x:f aca="0">K141</x:f>
        <x:v>7.911875</x:v>
      </x:c>
    </x:row>
    <x:row r="186" ht="23.25" hidden="0" customHeight="1">
      <x:c r="A186" s="237" t="n">
        <x:v>2034</x:v>
      </x:c>
      <x:c r="B186" s="237" t="n">
        <x:f aca="0">IF(COUNTIF($R$12:$R$18,"Yes")=0,"",IF(COUNTIFS($A$22:$A$168,A186,$N$22:$N$168,"&lt;&gt;")&lt;COUNTIF($R$12:$R$18,"Yes"),"",MAX(SUMIF($A$22:$A$168,A186,$N$22:$N$168),0)))</x:f>
        <x:v>0</x:v>
      </x:c>
      <x:c r="C186" s="237" t="n">
        <x:f aca="0">IF(COUNTA($E$8,$H$8,$K$8,$N$8)&lt;4,"",$E$8*(1-($H$8*$K$8*$N$8)))</x:f>
        <x:v>6.382800000000001</x:v>
      </x:c>
      <x:c r="D186" s="237" t="n">
        <x:f aca="0">IF(OR($B$8="",C186=""),"",$B$8+C186)</x:f>
        <x:v>6.782800000000002</x:v>
      </x:c>
      <x:c r="E186" s="238" t="n">
        <x:v>0</x:v>
      </x:c>
      <x:c r="F186" s="238" t="n">
        <x:v>0</x:v>
      </x:c>
      <x:c r="G186" s="237" t="n">
        <x:f aca="0">G185+E186+F186</x:f>
        <x:v>0</x:v>
      </x:c>
      <x:c r="H186" s="237" t="str">
        <x:f aca="0">IF(OR(B186="",D186=""),"",B186*D186*44/12+G186)</x:f>
      </x:c>
      <x:c r="I186" s="237" t="str">
        <x:f aca="0">IF(H186="","",MAX(H186-H185,0))</x:f>
      </x:c>
      <x:c r="J186" s="240" t="n">
        <x:v>0</x:v>
      </x:c>
      <x:c r="K186" s="241" t="n">
        <x:f aca="0">IF($K$4="VMD0054",IFERROR(I186,0),J186*$Y$7)</x:f>
        <x:v>0</x:v>
      </x:c>
      <x:c r="L186" s="237" t="str">
        <x:f aca="0">IF($K$4&lt;&gt;"VMD0054","Legacy current series",IF(I186="","VMD0054 incomplete - legacy fallback","VMD0054 active"))</x:f>
        <x:v>Legacy current series</x:v>
      </x:c>
      <x:c r="M186" s="80" t="str">
        <x:f aca="0">IF(A142&lt;=$H$5,"Required","Beyond minimum")</x:f>
        <x:v>Beyond minimum</x:v>
      </x:c>
      <x:c r="N186" s="80" t="str">
        <x:f aca="0">"Eq.(10) → Eq.(11-12) → Eq.(13)"</x:f>
        <x:v>Eq.(10) → Eq.(11-12) → Eq.(13)</x:v>
      </x:c>
      <x:c r="O186" s="80"/>
      <x:c r="P186" s="80"/>
      <x:c r="Q186" s="80"/>
      <x:c r="R186" s="80"/>
      <x:c r="Z186" s="1" t="n">
        <x:f aca="0">A142</x:f>
        <x:v>2035</x:v>
      </x:c>
      <x:c r="AA186" s="1" t="n">
        <x:f aca="0">I142</x:f>
        <x:v>0</x:v>
      </x:c>
      <x:c r="AB186" s="1" t="str">
        <x:f aca="0">J142</x:f>
      </x:c>
      <x:c r="AC186" s="1" t="n">
        <x:f aca="0">K142</x:f>
        <x:v>7.911875</x:v>
      </x:c>
    </x:row>
    <x:row r="187" ht="23.25" hidden="0" customHeight="1">
      <x:c r="A187" s="237" t="n">
        <x:v>2035</x:v>
      </x:c>
      <x:c r="B187" s="237" t="n">
        <x:f aca="0">IF(COUNTIF($R$12:$R$18,"Yes")=0,"",IF(COUNTIFS($A$22:$A$168,A187,$N$22:$N$168,"&lt;&gt;")&lt;COUNTIF($R$12:$R$18,"Yes"),"",MAX(SUMIF($A$22:$A$168,A187,$N$22:$N$168),0)))</x:f>
        <x:v>0</x:v>
      </x:c>
      <x:c r="C187" s="237" t="n">
        <x:f aca="0">IF(COUNTA($E$8,$H$8,$K$8,$N$8)&lt;4,"",$E$8*(1-($H$8*$K$8*$N$8)))</x:f>
        <x:v>6.382800000000001</x:v>
      </x:c>
      <x:c r="D187" s="237" t="n">
        <x:f aca="0">IF(OR($B$8="",C187=""),"",$B$8+C187)</x:f>
        <x:v>6.782800000000002</x:v>
      </x:c>
      <x:c r="E187" s="238" t="n">
        <x:v>0</x:v>
      </x:c>
      <x:c r="F187" s="238" t="n">
        <x:v>0</x:v>
      </x:c>
      <x:c r="G187" s="237" t="n">
        <x:f aca="0">G186+E187+F187</x:f>
        <x:v>0</x:v>
      </x:c>
      <x:c r="H187" s="237" t="str">
        <x:f aca="0">IF(OR(B187="",D187=""),"",B187*D187*44/12+G187)</x:f>
      </x:c>
      <x:c r="I187" s="237" t="str">
        <x:f aca="0">IF(H187="","",MAX(H187-H186,0))</x:f>
      </x:c>
      <x:c r="J187" s="240" t="n">
        <x:v>0</x:v>
      </x:c>
      <x:c r="K187" s="241" t="n">
        <x:f aca="0">IF($K$4="VMD0054",IFERROR(I187,0),J187*$Y$7)</x:f>
        <x:v>0</x:v>
      </x:c>
      <x:c r="L187" s="237" t="str">
        <x:f aca="0">IF($K$4&lt;&gt;"VMD0054","Legacy current series",IF(I187="","VMD0054 incomplete - legacy fallback","VMD0054 active"))</x:f>
        <x:v>Legacy current series</x:v>
      </x:c>
      <x:c r="M187" s="80" t="str">
        <x:f aca="0">IF(A143&lt;=$H$5,"Required","Beyond minimum")</x:f>
        <x:v>Beyond minimum</x:v>
      </x:c>
      <x:c r="N187" s="80" t="str">
        <x:f aca="0">"Eq.(10) → Eq.(11-12) → Eq.(13)"</x:f>
        <x:v>Eq.(10) → Eq.(11-12) → Eq.(13)</x:v>
      </x:c>
      <x:c r="O187" s="80"/>
      <x:c r="P187" s="80"/>
      <x:c r="Q187" s="80"/>
      <x:c r="R187" s="80"/>
      <x:c r="Z187" s="1" t="n">
        <x:f aca="0">A143</x:f>
        <x:v>2036</x:v>
      </x:c>
      <x:c r="AA187" s="1" t="n">
        <x:f aca="0">I143</x:f>
        <x:v>0</x:v>
      </x:c>
      <x:c r="AB187" s="1" t="str">
        <x:f aca="0">J143</x:f>
      </x:c>
      <x:c r="AC187" s="1" t="n">
        <x:f aca="0">K143</x:f>
        <x:v>7.911875</x:v>
      </x:c>
    </x:row>
    <x:row r="188" ht="23.25" hidden="0" customHeight="1">
      <x:c r="A188" s="237" t="n">
        <x:v>2036</x:v>
      </x:c>
      <x:c r="B188" s="237" t="n">
        <x:f aca="0">IF(COUNTIF($R$12:$R$18,"Yes")=0,"",IF(COUNTIFS($A$22:$A$168,A188,$N$22:$N$168,"&lt;&gt;")&lt;COUNTIF($R$12:$R$18,"Yes"),"",MAX(SUMIF($A$22:$A$168,A188,$N$22:$N$168),0)))</x:f>
        <x:v>0</x:v>
      </x:c>
      <x:c r="C188" s="237" t="n">
        <x:f aca="0">IF(COUNTA($E$8,$H$8,$K$8,$N$8)&lt;4,"",$E$8*(1-($H$8*$K$8*$N$8)))</x:f>
        <x:v>6.382800000000001</x:v>
      </x:c>
      <x:c r="D188" s="237" t="n">
        <x:f aca="0">IF(OR($B$8="",C188=""),"",$B$8+C188)</x:f>
        <x:v>6.782800000000002</x:v>
      </x:c>
      <x:c r="E188" s="238" t="n">
        <x:v>0</x:v>
      </x:c>
      <x:c r="F188" s="238" t="n">
        <x:v>0</x:v>
      </x:c>
      <x:c r="G188" s="237" t="n">
        <x:f aca="0">G187+E188+F188</x:f>
        <x:v>0</x:v>
      </x:c>
      <x:c r="H188" s="237" t="str">
        <x:f aca="0">IF(OR(B188="",D188=""),"",B188*D188*44/12+G188)</x:f>
      </x:c>
      <x:c r="I188" s="237" t="str">
        <x:f aca="0">IF(H188="","",MAX(H188-H187,0))</x:f>
      </x:c>
      <x:c r="J188" s="240" t="n">
        <x:v>0</x:v>
      </x:c>
      <x:c r="K188" s="241" t="n">
        <x:f aca="0">IF($K$4="VMD0054",IFERROR(I188,0),J188*$Y$7)</x:f>
        <x:v>0</x:v>
      </x:c>
      <x:c r="L188" s="237" t="str">
        <x:f aca="0">IF($K$4&lt;&gt;"VMD0054","Legacy current series",IF(I188="","VMD0054 incomplete - legacy fallback","VMD0054 active"))</x:f>
        <x:v>Legacy current series</x:v>
      </x:c>
      <x:c r="M188" s="80" t="str">
        <x:f aca="0">IF(A144&lt;=$H$5,"Required","Beyond minimum")</x:f>
        <x:v>Beyond minimum</x:v>
      </x:c>
      <x:c r="N188" s="80" t="str">
        <x:f aca="0">"Eq.(10) → Eq.(11-12) → Eq.(13)"</x:f>
        <x:v>Eq.(10) → Eq.(11-12) → Eq.(13)</x:v>
      </x:c>
      <x:c r="O188" s="80"/>
      <x:c r="P188" s="80"/>
      <x:c r="Q188" s="80"/>
      <x:c r="R188" s="80"/>
      <x:c r="Z188" s="1" t="n">
        <x:f aca="0">A144</x:f>
        <x:v>2037</x:v>
      </x:c>
      <x:c r="AA188" s="1" t="n">
        <x:f aca="0">I144</x:f>
        <x:v>0</x:v>
      </x:c>
      <x:c r="AB188" s="1" t="str">
        <x:f aca="0">J144</x:f>
      </x:c>
      <x:c r="AC188" s="1" t="n">
        <x:f aca="0">K144</x:f>
        <x:v>7.911875</x:v>
      </x:c>
    </x:row>
    <x:row r="189" ht="23.25" hidden="0" customHeight="1">
      <x:c r="A189" s="237" t="n">
        <x:v>2037</x:v>
      </x:c>
      <x:c r="B189" s="237" t="n">
        <x:f aca="0">IF(COUNTIF($R$12:$R$18,"Yes")=0,"",IF(COUNTIFS($A$22:$A$168,A189,$N$22:$N$168,"&lt;&gt;")&lt;COUNTIF($R$12:$R$18,"Yes"),"",MAX(SUMIF($A$22:$A$168,A189,$N$22:$N$168),0)))</x:f>
        <x:v>0</x:v>
      </x:c>
      <x:c r="C189" s="237" t="n">
        <x:f aca="0">IF(COUNTA($E$8,$H$8,$K$8,$N$8)&lt;4,"",$E$8*(1-($H$8*$K$8*$N$8)))</x:f>
        <x:v>6.382800000000001</x:v>
      </x:c>
      <x:c r="D189" s="237" t="n">
        <x:f aca="0">IF(OR($B$8="",C189=""),"",$B$8+C189)</x:f>
        <x:v>6.782800000000002</x:v>
      </x:c>
      <x:c r="E189" s="238" t="n">
        <x:v>0</x:v>
      </x:c>
      <x:c r="F189" s="238" t="n">
        <x:v>0</x:v>
      </x:c>
      <x:c r="G189" s="237" t="n">
        <x:f aca="0">G188+E189+F189</x:f>
        <x:v>0</x:v>
      </x:c>
      <x:c r="H189" s="237" t="str">
        <x:f aca="0">IF(OR(B189="",D189=""),"",B189*D189*44/12+G189)</x:f>
      </x:c>
      <x:c r="I189" s="237" t="str">
        <x:f aca="0">IF(H189="","",MAX(H189-H188,0))</x:f>
      </x:c>
      <x:c r="J189" s="240" t="n">
        <x:v>0</x:v>
      </x:c>
      <x:c r="K189" s="241" t="n">
        <x:f aca="0">IF($K$4="VMD0054",IFERROR(I189,0),J189*$Y$7)</x:f>
        <x:v>0</x:v>
      </x:c>
      <x:c r="L189" s="237" t="str">
        <x:f aca="0">IF($K$4&lt;&gt;"VMD0054","Legacy current series",IF(I189="","VMD0054 incomplete - legacy fallback","VMD0054 active"))</x:f>
        <x:v>Legacy current series</x:v>
      </x:c>
      <x:c r="M189" s="80" t="str">
        <x:f aca="0">IF(A145&lt;=$H$5,"Required","Beyond minimum")</x:f>
        <x:v>Beyond minimum</x:v>
      </x:c>
      <x:c r="N189" s="80" t="str">
        <x:f aca="0">"Eq.(10) → Eq.(11-12) → Eq.(13)"</x:f>
        <x:v>Eq.(10) → Eq.(11-12) → Eq.(13)</x:v>
      </x:c>
      <x:c r="O189" s="80"/>
      <x:c r="P189" s="80"/>
      <x:c r="Q189" s="80"/>
      <x:c r="R189" s="80"/>
      <x:c r="Z189" s="1" t="n">
        <x:f aca="0">A145</x:f>
        <x:v>2038</x:v>
      </x:c>
      <x:c r="AA189" s="1" t="n">
        <x:f aca="0">I145</x:f>
        <x:v>0</x:v>
      </x:c>
      <x:c r="AB189" s="1" t="str">
        <x:f aca="0">J145</x:f>
      </x:c>
      <x:c r="AC189" s="1" t="n">
        <x:f aca="0">K145</x:f>
        <x:v>7.911875</x:v>
      </x:c>
    </x:row>
    <x:row r="190" ht="23.25" hidden="0" customHeight="1">
      <x:c r="A190" s="237" t="n">
        <x:v>2038</x:v>
      </x:c>
      <x:c r="B190" s="237" t="n">
        <x:f aca="0">IF(COUNTIF($R$12:$R$18,"Yes")=0,"",IF(COUNTIFS($A$22:$A$168,A190,$N$22:$N$168,"&lt;&gt;")&lt;COUNTIF($R$12:$R$18,"Yes"),"",MAX(SUMIF($A$22:$A$168,A190,$N$22:$N$168),0)))</x:f>
        <x:v>0</x:v>
      </x:c>
      <x:c r="C190" s="237" t="n">
        <x:f aca="0">IF(COUNTA($E$8,$H$8,$K$8,$N$8)&lt;4,"",$E$8*(1-($H$8*$K$8*$N$8)))</x:f>
        <x:v>6.382800000000001</x:v>
      </x:c>
      <x:c r="D190" s="237" t="n">
        <x:f aca="0">IF(OR($B$8="",C190=""),"",$B$8+C190)</x:f>
        <x:v>6.782800000000002</x:v>
      </x:c>
      <x:c r="E190" s="238" t="n">
        <x:v>0</x:v>
      </x:c>
      <x:c r="F190" s="238" t="n">
        <x:v>0</x:v>
      </x:c>
      <x:c r="G190" s="237" t="n">
        <x:f aca="0">G189+E190+F190</x:f>
        <x:v>0</x:v>
      </x:c>
      <x:c r="H190" s="237" t="str">
        <x:f aca="0">IF(OR(B190="",D190=""),"",B190*D190*44/12+G190)</x:f>
      </x:c>
      <x:c r="I190" s="237" t="str">
        <x:f aca="0">IF(H190="","",MAX(H190-H189,0))</x:f>
      </x:c>
      <x:c r="J190" s="240" t="n">
        <x:v>0</x:v>
      </x:c>
      <x:c r="K190" s="241" t="n">
        <x:f aca="0">IF($K$4="VMD0054",IFERROR(I190,0),J190*$Y$7)</x:f>
        <x:v>0</x:v>
      </x:c>
      <x:c r="L190" s="237" t="str">
        <x:f aca="0">IF($K$4&lt;&gt;"VMD0054","Legacy current series",IF(I190="","VMD0054 incomplete - legacy fallback","VMD0054 active"))</x:f>
        <x:v>Legacy current series</x:v>
      </x:c>
      <x:c r="M190" s="80" t="str">
        <x:f aca="0">IF(A146&lt;=$H$5,"Required","Beyond minimum")</x:f>
        <x:v>Beyond minimum</x:v>
      </x:c>
      <x:c r="N190" s="80" t="str">
        <x:f aca="0">"Eq.(10) → Eq.(11-12) → Eq.(13)"</x:f>
        <x:v>Eq.(10) → Eq.(11-12) → Eq.(13)</x:v>
      </x:c>
      <x:c r="O190" s="80"/>
      <x:c r="P190" s="80"/>
      <x:c r="Q190" s="80"/>
      <x:c r="R190" s="80"/>
      <x:c r="Z190" s="1" t="n">
        <x:f aca="0">A146</x:f>
        <x:v>2039</x:v>
      </x:c>
      <x:c r="AA190" s="1" t="n">
        <x:f aca="0">I146</x:f>
        <x:v>0</x:v>
      </x:c>
      <x:c r="AB190" s="1" t="str">
        <x:f aca="0">J146</x:f>
      </x:c>
      <x:c r="AC190" s="1" t="n">
        <x:f aca="0">K146</x:f>
        <x:v>7.911875</x:v>
      </x:c>
    </x:row>
    <x:row r="191" ht="23.25" hidden="0" customHeight="1">
      <x:c r="A191" s="237" t="n">
        <x:v>2039</x:v>
      </x:c>
      <x:c r="B191" s="237" t="n">
        <x:f aca="0">IF(COUNTIF($R$12:$R$18,"Yes")=0,"",IF(COUNTIFS($A$22:$A$168,A191,$N$22:$N$168,"&lt;&gt;")&lt;COUNTIF($R$12:$R$18,"Yes"),"",MAX(SUMIF($A$22:$A$168,A191,$N$22:$N$168),0)))</x:f>
        <x:v>0</x:v>
      </x:c>
      <x:c r="C191" s="237" t="n">
        <x:f aca="0">IF(COUNTA($E$8,$H$8,$K$8,$N$8)&lt;4,"",$E$8*(1-($H$8*$K$8*$N$8)))</x:f>
        <x:v>6.382800000000001</x:v>
      </x:c>
      <x:c r="D191" s="237" t="n">
        <x:f aca="0">IF(OR($B$8="",C191=""),"",$B$8+C191)</x:f>
        <x:v>6.782800000000002</x:v>
      </x:c>
      <x:c r="E191" s="238" t="n">
        <x:v>0</x:v>
      </x:c>
      <x:c r="F191" s="238" t="n">
        <x:v>0</x:v>
      </x:c>
      <x:c r="G191" s="237" t="n">
        <x:f aca="0">G190+E191+F191</x:f>
        <x:v>0</x:v>
      </x:c>
      <x:c r="H191" s="237" t="str">
        <x:f aca="0">IF(OR(B191="",D191=""),"",B191*D191*44/12+G191)</x:f>
      </x:c>
      <x:c r="I191" s="237" t="str">
        <x:f aca="0">IF(H191="","",MAX(H191-H190,0))</x:f>
      </x:c>
      <x:c r="J191" s="240" t="n">
        <x:v>0</x:v>
      </x:c>
      <x:c r="K191" s="241" t="n">
        <x:f aca="0">IF($K$4="VMD0054",IFERROR(I191,0),J191*$Y$7)</x:f>
        <x:v>0</x:v>
      </x:c>
      <x:c r="L191" s="237" t="str">
        <x:f aca="0">IF($K$4&lt;&gt;"VMD0054","Legacy current series",IF(I191="","VMD0054 incomplete - legacy fallback","VMD0054 active"))</x:f>
        <x:v>Legacy current series</x:v>
      </x:c>
      <x:c r="M191" s="80" t="str">
        <x:f aca="0">IF(A147&lt;=$H$5,"Required","Beyond minimum")</x:f>
        <x:v>Beyond minimum</x:v>
      </x:c>
      <x:c r="N191" s="80" t="str">
        <x:f aca="0">"Eq.(10) → Eq.(11-12) → Eq.(13)"</x:f>
        <x:v>Eq.(10) → Eq.(11-12) → Eq.(13)</x:v>
      </x:c>
      <x:c r="O191" s="80"/>
      <x:c r="P191" s="80"/>
      <x:c r="Q191" s="80"/>
      <x:c r="R191" s="80"/>
      <x:c r="Z191" s="1" t="n">
        <x:f aca="0">A147</x:f>
        <x:v>2040</x:v>
      </x:c>
      <x:c r="AA191" s="1" t="n">
        <x:f aca="0">I147</x:f>
        <x:v>0</x:v>
      </x:c>
      <x:c r="AB191" s="1" t="str">
        <x:f aca="0">J147</x:f>
      </x:c>
      <x:c r="AC191" s="1" t="n">
        <x:f aca="0">K147</x:f>
        <x:v>7.911875</x:v>
      </x:c>
    </x:row>
    <x:row r="192" ht="23.25" hidden="0" customHeight="1">
      <x:c r="A192" s="237" t="n">
        <x:v>2040</x:v>
      </x:c>
      <x:c r="B192" s="237" t="n">
        <x:f aca="0">IF(COUNTIF($R$12:$R$18,"Yes")=0,"",IF(COUNTIFS($A$22:$A$168,A192,$N$22:$N$168,"&lt;&gt;")&lt;COUNTIF($R$12:$R$18,"Yes"),"",MAX(SUMIF($A$22:$A$168,A192,$N$22:$N$168),0)))</x:f>
        <x:v>0</x:v>
      </x:c>
      <x:c r="C192" s="237" t="n">
        <x:f aca="0">IF(COUNTA($E$8,$H$8,$K$8,$N$8)&lt;4,"",$E$8*(1-($H$8*$K$8*$N$8)))</x:f>
        <x:v>6.382800000000001</x:v>
      </x:c>
      <x:c r="D192" s="237" t="n">
        <x:f aca="0">IF(OR($B$8="",C192=""),"",$B$8+C192)</x:f>
        <x:v>6.782800000000002</x:v>
      </x:c>
      <x:c r="E192" s="238" t="n">
        <x:v>0</x:v>
      </x:c>
      <x:c r="F192" s="238" t="n">
        <x:v>0</x:v>
      </x:c>
      <x:c r="G192" s="237" t="n">
        <x:f aca="0">G191+E192+F192</x:f>
        <x:v>0</x:v>
      </x:c>
      <x:c r="H192" s="237" t="str">
        <x:f aca="0">IF(OR(B192="",D192=""),"",B192*D192*44/12+G192)</x:f>
      </x:c>
      <x:c r="I192" s="237" t="str">
        <x:f aca="0">IF(H192="","",MAX(H192-H191,0))</x:f>
      </x:c>
      <x:c r="J192" s="240" t="n">
        <x:v>0</x:v>
      </x:c>
      <x:c r="K192" s="241" t="n">
        <x:f aca="0">IF($K$4="VMD0054",IFERROR(I192,0),J192*$Y$7)</x:f>
        <x:v>0</x:v>
      </x:c>
      <x:c r="L192" s="237" t="str">
        <x:f aca="0">IF($K$4&lt;&gt;"VMD0054","Legacy current series",IF(I192="","VMD0054 incomplete - legacy fallback","VMD0054 active"))</x:f>
        <x:v>Legacy current series</x:v>
      </x:c>
      <x:c r="M192" s="80" t="str">
        <x:f aca="0">IF(A148&lt;=$H$5,"Required","Beyond minimum")</x:f>
        <x:v>Required</x:v>
      </x:c>
      <x:c r="N192" s="80" t="str">
        <x:f aca="0">"Eq.(10) → Eq.(11-12) → Eq.(13)"</x:f>
        <x:v>Eq.(10) → Eq.(11-12) → Eq.(13)</x:v>
      </x:c>
      <x:c r="O192" s="80"/>
      <x:c r="P192" s="80"/>
      <x:c r="Q192" s="80"/>
      <x:c r="R192" s="80"/>
      <x:c r="Z192" s="1" t="n">
        <x:f aca="0">A148</x:f>
        <x:v>2020</x:v>
      </x:c>
      <x:c r="AA192" s="1" t="n">
        <x:f aca="0">I148</x:f>
        <x:v>0</x:v>
      </x:c>
      <x:c r="AB192" s="1" t="str">
        <x:f aca="0">J148</x:f>
      </x:c>
      <x:c r="AC192" s="1" t="n">
        <x:f aca="0">K148</x:f>
        <x:v>12.053531</x:v>
      </x:c>
    </x:row>
    <x:row r="193" ht="15" hidden="0" customHeight="1">
      <x:c r="A193" s="80"/>
      <x:c r="B193" s="80"/>
      <x:c r="C193" s="80"/>
      <x:c r="D193" s="80"/>
      <x:c r="E193" s="80"/>
      <x:c r="F193" s="80"/>
      <x:c r="G193" s="80"/>
      <x:c r="H193" s="80"/>
      <x:c r="I193" s="80"/>
      <x:c r="J193" s="80"/>
      <x:c r="K193" s="80"/>
      <x:c r="L193" s="80"/>
      <x:c r="M193" s="80"/>
      <x:c r="N193" s="80"/>
      <x:c r="O193" s="80"/>
      <x:c r="P193" s="80"/>
      <x:c r="Q193" s="80"/>
      <x:c r="R193" s="80"/>
    </x:row>
    <x:row r="194" ht="32.25" hidden="0" customHeight="1">
      <x:c r="A194" s="242" t="s">
        <x:v>1488</x:v>
      </x:c>
      <x:c r="B194" s="242"/>
      <x:c r="C194" s="242"/>
      <x:c r="D194" s="242"/>
      <x:c r="E194" s="242"/>
      <x:c r="F194" s="242"/>
      <x:c r="G194" s="242"/>
      <x:c r="H194" s="242"/>
      <x:c r="I194" s="242"/>
      <x:c r="J194" s="242"/>
      <x:c r="K194" s="242"/>
      <x:c r="L194" s="242"/>
      <x:c r="M194" s="242"/>
      <x:c r="N194" s="242"/>
      <x:c r="O194" s="80"/>
      <x:c r="P194" s="80"/>
      <x:c r="Q194" s="80"/>
      <x:c r="R194" s="80"/>
    </x:row>
    <x:row r="196" ht="60" hidden="0" customHeight="1">
      <x:c r="A196" s="224" t="s">
        <x:v>1489</x:v>
      </x:c>
      <x:c r="B196" s="224"/>
      <x:c r="C196" s="224"/>
      <x:c r="D196" s="224"/>
      <x:c r="E196" s="224"/>
      <x:c r="F196" s="224"/>
      <x:c r="G196" s="224"/>
      <x:c r="H196" s="224"/>
      <x:c r="I196" s="224"/>
      <x:c r="J196" s="224"/>
      <x:c r="K196" s="224"/>
      <x:c r="L196" s="224"/>
      <x:c r="M196" s="224"/>
      <x:c r="N196" s="224"/>
    </x:row>
  </x:sheetData>
  <x:mergeCells>
    <x:mergeCell ref="A1:R1"/>
    <x:mergeCell ref="A2:R2"/>
    <x:mergeCell ref="A3:R3"/>
    <x:mergeCell ref="N4:R4"/>
    <x:mergeCell ref="N5:R5"/>
    <x:mergeCell ref="A7:R7"/>
    <x:mergeCell ref="A9:R9"/>
    <x:mergeCell ref="A10:R10"/>
    <x:mergeCell ref="A20:O20"/>
    <x:mergeCell ref="A170:N170"/>
    <x:mergeCell ref="A194:N194"/>
    <x:mergeCell ref="A196:N196"/>
  </x:mergeCells>
  <x:dataValidations count="5">
    <x:dataValidation type="list" errorStyle="stop" operator="between" allowBlank="0" showDropDown="0" showInputMessage="0" showErrorMessage="0" sqref="K4">
      <x:formula1>"Legacy,VMD0054"</x:formula1>
      <x:formula2>0</x:formula2>
    </x:dataValidation>
    <x:dataValidation type="list" errorStyle="stop" operator="between" allowBlank="0" showDropDown="0" showInputMessage="0" showErrorMessage="0" sqref="B12:B16">
      <x:formula1>"Displaced,Introduced"</x:formula1>
      <x:formula2>0</x:formula2>
    </x:dataValidation>
    <x:dataValidation type="list" errorStyle="stop" operator="between" allowBlank="0" showDropDown="0" showInputMessage="0" showErrorMessage="0" sqref="C12:C16">
      <x:formula1>"Agricultural,Fuelwood"</x:formula1>
      <x:formula2>0</x:formula2>
    </x:dataValidation>
    <x:dataValidation type="list" errorStyle="stop" operator="between" allowBlank="0" showDropDown="0" showInputMessage="0" showErrorMessage="0" sqref="D12:D16">
      <x:formula1>"Leakage-only,Cross-commodity"</x:formula1>
      <x:formula2>0</x:formula2>
    </x:dataValidation>
    <x:dataValidation type="list" errorStyle="stop" operator="between" allowBlank="0" showDropDown="0" showInputMessage="0" showErrorMessage="0" sqref="R12:R16">
      <x:formula1>"Yes,No"</x:formula1>
      <x:formula2>0</x:formula2>
    </x:dataValidation>
  </x:dataValidations>
  <x:pageMargins left="0.7" right="0.7" top="0.75" bottom="0.75" header="0.3" footer="0.3"/>
  <x:drawing xmlns:r="http://schemas.openxmlformats.org/officeDocument/2006/relationships" r:id="R7db0fba687c84175"/>
</x:worksheet>
</file>

<file path=xl/worksheets/sheet37.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10" style="1" hidden="0" customWidth="1"/>
    <x:col min="2" max="2" width="20" style="1" hidden="0" customWidth="1"/>
    <x:col min="3" max="3" width="14" style="1" hidden="0" customWidth="1"/>
    <x:col min="4" max="5" width="16" style="1" hidden="0" customWidth="1"/>
    <x:col min="6" max="6" width="12" style="1" hidden="0" customWidth="1"/>
    <x:col min="7" max="7" width="20" style="1" hidden="0" customWidth="1"/>
    <x:col min="8" max="8" width="14" style="1" hidden="0" customWidth="1"/>
    <x:col min="9" max="9" width="32" style="1" hidden="0" customWidth="1"/>
  </x:cols>
  <x:sheetData>
    <x:row r="1" ht="24" hidden="0" customHeight="1">
      <x:c r="A1" s="38" t="s">
        <x:v>1490</x:v>
      </x:c>
      <x:c r="B1" s="38"/>
      <x:c r="C1" s="38"/>
      <x:c r="D1" s="38"/>
      <x:c r="E1" s="38"/>
      <x:c r="F1" s="38"/>
      <x:c r="G1" s="38"/>
      <x:c r="H1" s="38"/>
      <x:c r="I1" s="38"/>
      <x:c r="J1" s="38"/>
    </x:row>
    <x:row r="2" ht="15" hidden="0" customHeight="1">
      <x:c r="A2" s="39" t="s">
        <x:v>1491</x:v>
      </x:c>
      <x:c r="B2" s="39"/>
      <x:c r="C2" s="39"/>
      <x:c r="D2" s="39"/>
      <x:c r="E2" s="39"/>
      <x:c r="F2" s="39"/>
      <x:c r="G2" s="39"/>
      <x:c r="H2" s="39"/>
      <x:c r="I2" s="39"/>
      <x:c r="J2" s="39"/>
    </x:row>
    <x:row r="3" ht="15" hidden="0" customHeight="1">
      <x:c r="A3" s="40"/>
      <x:c r="B3" s="40"/>
      <x:c r="C3" s="40"/>
      <x:c r="D3" s="40"/>
      <x:c r="E3" s="40"/>
      <x:c r="F3" s="40"/>
      <x:c r="G3" s="40"/>
      <x:c r="H3" s="40"/>
      <x:c r="I3" s="40"/>
    </x:row>
    <x:row r="4" ht="75" hidden="0" customHeight="1">
      <x:c r="A4" s="129" t="str">
        <x:v>STATUS: SOC is NOT included in the Final VCU calculation. This module implements VM0047 Eq.(11) in full and is ready to receive field data, but it is not linked into S04_Final_ERR or any Biome x Model sheet - confirmed zero external formula references to this sheet workbook-wide. The figures below are illustrative placeholders, not a component of the credited total. VM0047 Table 1 requires SOC inclusion where site-preparation soil disturbance (i) recurs more than once in the crediting period, (ii) involves harvesting, or (iii) involves inversion &gt;25cm. The Timber Plantation and Fruit Orchard models in this portfolio ARE subject to the long-term average (LTA) precisely because harvesting is anticipated, so condition (ii) is plausibly triggered for those models - SOC sampling at t=0 should be prioritized there. To actually include SOC in Final VCU: (1) populate real t=0 and periodic SOC stock measurements below (min. depth 30cm, per VM0047 Section 9.2), then (2) add the resulting tCO2e/ha figure into that Biome x Model sheet Gross ΔCWP column before Eq.(32) is run, per Eq.(1) - simply filling in this sheet does not do that automatically.</x:v>
      </x:c>
      <x:c r="B4" s="129"/>
      <x:c r="C4" s="129"/>
      <x:c r="D4" s="129"/>
      <x:c r="E4" s="129"/>
      <x:c r="F4" s="129"/>
      <x:c r="G4" s="129"/>
      <x:c r="H4" s="129"/>
      <x:c r="I4" s="129"/>
      <x:c r="J4" s="129"/>
    </x:row>
    <x:row r="6" ht="34.5" hidden="0" customHeight="1">
      <x:c r="A6" s="92" t="str">
        <x:v>Biome</x:v>
      </x:c>
      <x:c r="B6" s="92" t="s">
        <x:v>97</x:v>
      </x:c>
      <x:c r="C6" s="92" t="s">
        <x:v>1492</x:v>
      </x:c>
      <x:c r="D6" s="92" t="s">
        <x:v>1493</x:v>
      </x:c>
      <x:c r="E6" s="92" t="s">
        <x:v>1494</x:v>
      </x:c>
      <x:c r="F6" s="92" t="s">
        <x:v>1495</x:v>
      </x:c>
      <x:c r="G6" s="92" t="s">
        <x:v>1496</x:v>
      </x:c>
      <x:c r="H6" s="92" t="s">
        <x:v>1497</x:v>
      </x:c>
      <x:c r="I6" s="92" t="s">
        <x:v>1498</x:v>
      </x:c>
    </x:row>
    <x:row r="7" ht="23.25" hidden="0" customHeight="1">
      <x:c r="A7" s="127" t="str">
        <x:v>Deserts &amp; Xeric Shrublands</x:v>
      </x:c>
      <x:c r="B7" s="132" t="s">
        <x:v>111</x:v>
      </x:c>
      <x:c r="C7" s="243" t="n">
        <x:f aca="0">S21_Deserts_Xeric_Fruit!B4</x:f>
        <x:v>1088.0574000000001</x:v>
      </x:c>
      <x:c r="D7" s="226" t="n">
        <x:v>0</x:v>
      </x:c>
      <x:c r="E7" s="226" t="n">
        <x:v>0</x:v>
      </x:c>
      <x:c r="F7" s="128" t="n">
        <x:f aca="0">E7-D7</x:f>
        <x:v>0</x:v>
      </x:c>
      <x:c r="G7" s="128" t="n">
        <x:f aca="0">C7*F7</x:f>
        <x:v>0</x:v>
      </x:c>
      <x:c r="H7" s="128" t="n">
        <x:f aca="0">G7*S08_Defaults!$B$8</x:f>
        <x:v>0</x:v>
      </x:c>
      <x:c r="I7" s="128" t="s">
        <x:v>1499</x:v>
      </x:c>
    </x:row>
    <x:row r="8" ht="23.25" hidden="0" customHeight="1">
      <x:c r="A8" s="127" t="str">
        <x:v>Deserts &amp; Xeric Shrublands</x:v>
      </x:c>
      <x:c r="B8" s="132" t="s">
        <x:v>112</x:v>
      </x:c>
      <x:c r="C8" s="243" t="n">
        <x:f aca="0">S22_Deserts_Xeric_Horti!B4</x:f>
        <x:v>14.331</x:v>
      </x:c>
      <x:c r="D8" s="226" t="n">
        <x:v>0</x:v>
      </x:c>
      <x:c r="E8" s="226" t="n">
        <x:v>0</x:v>
      </x:c>
      <x:c r="F8" s="128" t="n">
        <x:f aca="0">E8-D8</x:f>
        <x:v>0</x:v>
      </x:c>
      <x:c r="G8" s="128" t="n">
        <x:f aca="0">C8*F8</x:f>
        <x:v>0</x:v>
      </x:c>
      <x:c r="H8" s="128" t="n">
        <x:f aca="0">G8*S08_Defaults!$B$8</x:f>
        <x:v>0</x:v>
      </x:c>
      <x:c r="I8" s="128" t="s">
        <x:v>1499</x:v>
      </x:c>
    </x:row>
    <x:row r="9" ht="23.25" hidden="0" customHeight="1">
      <x:c r="A9" s="127" t="str">
        <x:v>Deserts &amp; Xeric Shrublands</x:v>
      </x:c>
      <x:c r="B9" s="132" t="s">
        <x:v>113</x:v>
      </x:c>
      <x:c r="C9" s="243" t="n">
        <x:f aca="0">S23_Deserts_Xeric_Timber!B4</x:f>
        <x:v>1.9114</x:v>
      </x:c>
      <x:c r="D9" s="226" t="n">
        <x:v>0</x:v>
      </x:c>
      <x:c r="E9" s="226" t="n">
        <x:v>0</x:v>
      </x:c>
      <x:c r="F9" s="128" t="n">
        <x:f aca="0">E9-D9</x:f>
        <x:v>0</x:v>
      </x:c>
      <x:c r="G9" s="128" t="n">
        <x:f aca="0">C9*F9</x:f>
        <x:v>0</x:v>
      </x:c>
      <x:c r="H9" s="128" t="n">
        <x:f aca="0">G9*S08_Defaults!$B$8</x:f>
        <x:v>0</x:v>
      </x:c>
      <x:c r="I9" s="128" t="s">
        <x:v>1499</x:v>
      </x:c>
    </x:row>
    <x:row r="10" ht="23.25" hidden="0" customHeight="1">
      <x:c r="A10" s="127" t="str">
        <x:v>Deserts &amp; Xeric Shrublands</x:v>
      </x:c>
      <x:c r="B10" s="132" t="s">
        <x:v>114</x:v>
      </x:c>
      <x:c r="C10" s="243" t="n">
        <x:f aca="0">S24_Deserts_Xeric_Mixed!B4</x:f>
        <x:v>4.3005</x:v>
      </x:c>
      <x:c r="D10" s="226" t="n">
        <x:v>0</x:v>
      </x:c>
      <x:c r="E10" s="226" t="n">
        <x:v>0</x:v>
      </x:c>
      <x:c r="F10" s="128" t="n">
        <x:f aca="0">E10-D10</x:f>
        <x:v>0</x:v>
      </x:c>
      <x:c r="G10" s="128" t="n">
        <x:f aca="0">C10*F10</x:f>
        <x:v>0</x:v>
      </x:c>
      <x:c r="H10" s="128" t="n">
        <x:f aca="0">G10*S08_Defaults!$B$8</x:f>
        <x:v>0</x:v>
      </x:c>
      <x:c r="I10" s="128" t="s">
        <x:v>1499</x:v>
      </x:c>
    </x:row>
    <x:row r="11" ht="23.25" hidden="0" customHeight="1">
      <x:c r="A11" s="127" t="str">
        <x:v>Tropical &amp; Subtropical Moist Broadleaf Forests</x:v>
      </x:c>
      <x:c r="B11" s="132" t="s">
        <x:v>111</x:v>
      </x:c>
      <x:c r="C11" s="243" t="n">
        <x:f aca="0">S25_Moist_Broadleaf_Fruit!B4</x:f>
        <x:v>76.8901433832457</x:v>
      </x:c>
      <x:c r="D11" s="226" t="n">
        <x:v>0</x:v>
      </x:c>
      <x:c r="E11" s="226" t="n">
        <x:v>0</x:v>
      </x:c>
      <x:c r="F11" s="128" t="n">
        <x:f aca="0">E11-D11</x:f>
        <x:v>0</x:v>
      </x:c>
      <x:c r="G11" s="128" t="n">
        <x:f aca="0">C11*F11</x:f>
        <x:v>0</x:v>
      </x:c>
      <x:c r="H11" s="128" t="n">
        <x:f aca="0">G11*S08_Defaults!$B$8</x:f>
        <x:v>0</x:v>
      </x:c>
      <x:c r="I11" s="128" t="s">
        <x:v>1499</x:v>
      </x:c>
    </x:row>
    <x:row r="12" ht="23.25" hidden="0" customHeight="1">
      <x:c r="A12" s="127" t="str">
        <x:v>Tropical &amp; Subtropical Moist Broadleaf Forests</x:v>
      </x:c>
      <x:c r="B12" s="132" t="s">
        <x:v>112</x:v>
      </x:c>
      <x:c r="C12" s="243" t="n">
        <x:f aca="0">S26_Moist_Broadleaf_Horti!B4</x:f>
        <x:v>228.4505176446784</x:v>
      </x:c>
      <x:c r="D12" s="226" t="n">
        <x:v>0</x:v>
      </x:c>
      <x:c r="E12" s="226" t="n">
        <x:v>0</x:v>
      </x:c>
      <x:c r="F12" s="128" t="n">
        <x:f aca="0">E12-D12</x:f>
        <x:v>0</x:v>
      </x:c>
      <x:c r="G12" s="128" t="n">
        <x:f aca="0">C12*F12</x:f>
        <x:v>0</x:v>
      </x:c>
      <x:c r="H12" s="128" t="n">
        <x:f aca="0">G12*S08_Defaults!$B$8</x:f>
        <x:v>0</x:v>
      </x:c>
      <x:c r="I12" s="128" t="s">
        <x:v>1499</x:v>
      </x:c>
    </x:row>
    <x:row r="13" ht="23.25" hidden="0" customHeight="1">
      <x:c r="A13" s="127" t="str">
        <x:v>Tropical &amp; Subtropical Moist Broadleaf Forests</x:v>
      </x:c>
      <x:c r="B13" s="132" t="s">
        <x:v>113</x:v>
      </x:c>
      <x:c r="C13" s="243" t="n">
        <x:f aca="0">S27_Moist_Broadleaf_Timber!B4</x:f>
        <x:v>27.4189</x:v>
      </x:c>
      <x:c r="D13" s="226" t="n">
        <x:v>0</x:v>
      </x:c>
      <x:c r="E13" s="226" t="n">
        <x:v>0</x:v>
      </x:c>
      <x:c r="F13" s="128" t="n">
        <x:f aca="0">E13-D13</x:f>
        <x:v>0</x:v>
      </x:c>
      <x:c r="G13" s="128" t="n">
        <x:f aca="0">C13*F13</x:f>
        <x:v>0</x:v>
      </x:c>
      <x:c r="H13" s="128" t="n">
        <x:f aca="0">G13*S08_Defaults!$B$8</x:f>
        <x:v>0</x:v>
      </x:c>
      <x:c r="I13" s="128" t="s">
        <x:v>1499</x:v>
      </x:c>
    </x:row>
    <x:row r="14" ht="23.25" hidden="0" customHeight="1">
      <x:c r="A14" s="127" t="str">
        <x:v>Tropical &amp; Subtropical Moist Broadleaf Forests</x:v>
      </x:c>
      <x:c r="B14" s="132" t="s">
        <x:v>114</x:v>
      </x:c>
      <x:c r="C14" s="243" t="n">
        <x:f aca="0">S28_Moist_Broadleaf_Mixed!B4</x:f>
        <x:v>9.6876</x:v>
      </x:c>
      <x:c r="D14" s="226" t="n">
        <x:v>0</x:v>
      </x:c>
      <x:c r="E14" s="226" t="n">
        <x:v>0</x:v>
      </x:c>
      <x:c r="F14" s="128" t="n">
        <x:f aca="0">E14-D14</x:f>
        <x:v>0</x:v>
      </x:c>
      <x:c r="G14" s="128" t="n">
        <x:f aca="0">C14*F14</x:f>
        <x:v>0</x:v>
      </x:c>
      <x:c r="H14" s="128" t="n">
        <x:f aca="0">G14*S08_Defaults!$B$8</x:f>
        <x:v>0</x:v>
      </x:c>
      <x:c r="I14" s="128" t="s">
        <x:v>1499</x:v>
      </x:c>
    </x:row>
    <x:row r="15" ht="23.25" hidden="0" customHeight="1">
      <x:c r="A15" s="127" t="str">
        <x:v>Tropical &amp; Subtropical Dry Broadleaf Forests</x:v>
      </x:c>
      <x:c r="B15" s="132" t="s">
        <x:v>111</x:v>
      </x:c>
      <x:c r="C15" s="243" t="n">
        <x:f aca="0">S29_Dry_Broadleaf_Fruit!B4</x:f>
        <x:v>418.4578731687578</x:v>
      </x:c>
      <x:c r="D15" s="226" t="n">
        <x:v>0</x:v>
      </x:c>
      <x:c r="E15" s="226" t="n">
        <x:v>0</x:v>
      </x:c>
      <x:c r="F15" s="128" t="n">
        <x:f aca="0">E15-D15</x:f>
        <x:v>0</x:v>
      </x:c>
      <x:c r="G15" s="128" t="n">
        <x:f aca="0">C15*F15</x:f>
        <x:v>0</x:v>
      </x:c>
      <x:c r="H15" s="128" t="n">
        <x:f aca="0">G15*S08_Defaults!$B$8</x:f>
        <x:v>0</x:v>
      </x:c>
      <x:c r="I15" s="128" t="s">
        <x:v>1499</x:v>
      </x:c>
    </x:row>
    <x:row r="16" ht="23.25" hidden="0" customHeight="1">
      <x:c r="A16" s="127" t="str">
        <x:v>Tropical &amp; Subtropical Dry Broadleaf Forests</x:v>
      </x:c>
      <x:c r="B16" s="132" t="s">
        <x:v>112</x:v>
      </x:c>
      <x:c r="C16" s="243" t="n">
        <x:f aca="0">S30_Dry_Broadleaf_Horti!B4</x:f>
        <x:v>439.3090898421691</x:v>
      </x:c>
      <x:c r="D16" s="226" t="n">
        <x:v>0</x:v>
      </x:c>
      <x:c r="E16" s="226" t="n">
        <x:v>0</x:v>
      </x:c>
      <x:c r="F16" s="128" t="n">
        <x:f aca="0">E16-D16</x:f>
        <x:v>0</x:v>
      </x:c>
      <x:c r="G16" s="128" t="n">
        <x:f aca="0">C16*F16</x:f>
        <x:v>0</x:v>
      </x:c>
      <x:c r="H16" s="128" t="n">
        <x:f aca="0">G16*S08_Defaults!$B$8</x:f>
        <x:v>0</x:v>
      </x:c>
      <x:c r="I16" s="128" t="s">
        <x:v>1499</x:v>
      </x:c>
    </x:row>
    <x:row r="17" ht="23.25" hidden="0" customHeight="1">
      <x:c r="A17" s="127" t="str">
        <x:v>Tropical &amp; Subtropical Dry Broadleaf Forests</x:v>
      </x:c>
      <x:c r="B17" s="132" t="s">
        <x:v>113</x:v>
      </x:c>
      <x:c r="C17" s="243" t="n">
        <x:f aca="0">S31_Dry_Broadleaf_Timber!B4</x:f>
        <x:v>523.9128094698502</x:v>
      </x:c>
      <x:c r="D17" s="226" t="n">
        <x:v>0</x:v>
      </x:c>
      <x:c r="E17" s="226" t="n">
        <x:v>0</x:v>
      </x:c>
      <x:c r="F17" s="128" t="n">
        <x:f aca="0">E17-D17</x:f>
        <x:v>0</x:v>
      </x:c>
      <x:c r="G17" s="128" t="n">
        <x:f aca="0">C17*F17</x:f>
        <x:v>0</x:v>
      </x:c>
      <x:c r="H17" s="128" t="n">
        <x:f aca="0">G17*S08_Defaults!$B$8</x:f>
        <x:v>0</x:v>
      </x:c>
      <x:c r="I17" s="128" t="s">
        <x:v>1499</x:v>
      </x:c>
    </x:row>
    <x:row r="18" ht="23.25" hidden="0" customHeight="1">
      <x:c r="A18" s="127" t="str">
        <x:v>Tropical &amp; Subtropical Dry Broadleaf Forests</x:v>
      </x:c>
      <x:c r="B18" s="132" t="s">
        <x:v>114</x:v>
      </x:c>
      <x:c r="C18" s="243" t="n">
        <x:f aca="0">S32_Dry_Broadleaf_Mixed!B4</x:f>
        <x:v>19.071299999999997</x:v>
      </x:c>
      <x:c r="D18" s="226" t="n">
        <x:v>0</x:v>
      </x:c>
      <x:c r="E18" s="226" t="n">
        <x:v>0</x:v>
      </x:c>
      <x:c r="F18" s="128" t="n">
        <x:f aca="0">E18-D18</x:f>
        <x:v>0</x:v>
      </x:c>
      <x:c r="G18" s="128" t="n">
        <x:f aca="0">C18*F18</x:f>
        <x:v>0</x:v>
      </x:c>
      <x:c r="H18" s="128" t="n">
        <x:f aca="0">G18*S08_Defaults!$B$8</x:f>
        <x:v>0</x:v>
      </x:c>
      <x:c r="I18" s="128" t="s">
        <x:v>1499</x:v>
      </x:c>
    </x:row>
    <x:row r="19" ht="15" hidden="0" customHeight="1">
      <x:c r="A19" s="244" t="s">
        <x:v>1500</x:v>
      </x:c>
      <x:c r="B19" s="131"/>
      <x:c r="C19" s="131" t="n">
        <x:f aca="0">SUM(C7:C18)</x:f>
        <x:v>2851.7985335087014</x:v>
      </x:c>
      <x:c r="D19" s="131"/>
      <x:c r="E19" s="131"/>
      <x:c r="F19" s="131"/>
      <x:c r="G19" s="131" t="n">
        <x:f aca="0">SUM(G7:G18)</x:f>
        <x:v>0</x:v>
      </x:c>
      <x:c r="H19" s="245" t="n">
        <x:f aca="0">SUM(H7:H18)</x:f>
        <x:v>0</x:v>
      </x:c>
      <x:c r="I19" s="131"/>
    </x:row>
    <x:row r="21" ht="60" hidden="0" customHeight="1">
      <x:c r="A21" s="208" t="str">
        <x:v>HOW TO INTEGRATE ONCE REAL DATA EXISTS: VM0047 Eq.(1) combines SOC with biomass BEFORE Eq.(32)'s performance-benchmark / uncertainty / project-emission / leakage deductions and before the VCS long-term-average (LTA) cap - i.e. the tCO2e/ha figure in column H for each Biome x Model above should be added into that Biome x Model sheet's 'Gross ΔCWP' column (per year, once annual SOC monitoring exists) BEFORE re-running Eq.(32)/Eq.(34)/LTA, not added on top of the already-computed Final VCU. Simply summing column H onto the final portfolio total (as shown above) is presented for reference only and is NOT how this should be formally incorporated into the ERR.</x:v>
      </x:c>
      <x:c r="B21" s="208"/>
      <x:c r="C21" s="208"/>
      <x:c r="D21" s="208"/>
      <x:c r="E21" s="208"/>
      <x:c r="F21" s="208"/>
      <x:c r="G21" s="208"/>
      <x:c r="H21" s="208"/>
      <x:c r="I21" s="208"/>
      <x:c r="J21" s="208"/>
    </x:row>
  </x:sheetData>
  <x:mergeCells>
    <x:mergeCell ref="A1:J1"/>
    <x:mergeCell ref="A2:J2"/>
    <x:mergeCell ref="A4:J4"/>
    <x:mergeCell ref="A21:J21"/>
  </x:mergeCells>
  <x:pageMargins left="0.7" right="0.7" top="0.75" bottom="0.75" header="0.3" footer="0.3"/>
</x:worksheet>
</file>

<file path=xl/worksheets/sheet38.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42" style="246" hidden="0" customWidth="1"/>
    <x:col min="2" max="2" width="26" style="246" hidden="0" customWidth="1"/>
    <x:col min="3" max="3" width="30" style="246" hidden="0" customWidth="1"/>
    <x:col min="4" max="4" width="24" style="246" hidden="0" customWidth="1"/>
    <x:col min="5" max="6" width="20" style="246" hidden="0" customWidth="1"/>
  </x:cols>
  <x:sheetData>
    <x:row r="1" ht="15.75" hidden="0" customHeight="1">
      <x:c r="A1" s="247" t="s">
        <x:v>1501</x:v>
      </x:c>
      <x:c r="B1" s="247"/>
      <x:c r="C1" s="247"/>
      <x:c r="D1" s="247"/>
      <x:c r="E1" s="247"/>
      <x:c r="F1" s="247"/>
      <x:c r="G1" s="247"/>
      <x:c r="H1" s="247"/>
      <x:c r="I1" s="247"/>
      <x:c r="J1" s="247"/>
    </x:row>
    <x:row r="2" ht="31.5" hidden="0" customHeight="1">
      <x:c r="A2" s="248" t="s">
        <x:v>1502</x:v>
      </x:c>
      <x:c r="B2" s="248"/>
      <x:c r="C2" s="248"/>
      <x:c r="D2" s="248"/>
      <x:c r="E2" s="248"/>
      <x:c r="F2" s="248"/>
      <x:c r="G2" s="248"/>
      <x:c r="H2" s="248"/>
      <x:c r="I2" s="248"/>
      <x:c r="J2" s="248"/>
    </x:row>
    <x:row r="3" ht="27.75" hidden="0" customHeight="1">
      <x:c r="A3" s="249" t="str">
        <x:f aca="0">"See row 64 for the full pool-by-pool determination. "&amp;A64</x:f>
        <x:v>See row 64 for the full pool-by-pool determination. OVERALL STATUS: COMPLETE - all four optional pools pass both the CDM magnitude test and the Table 1 disturbance test</x:v>
      </x:c>
      <x:c r="B3" s="249"/>
      <x:c r="C3" s="249"/>
      <x:c r="D3" s="249"/>
      <x:c r="E3" s="249"/>
      <x:c r="F3" s="249"/>
      <x:c r="G3" s="249"/>
      <x:c r="H3" s="249"/>
      <x:c r="I3" s="249"/>
      <x:c r="J3" s="249"/>
    </x:row>
    <x:row r="4" ht="60" hidden="0" customHeight="1">
      <x:c r="A4" s="248" t="s">
        <x:v>1503</x:v>
      </x:c>
      <x:c r="B4" s="248"/>
      <x:c r="C4" s="248"/>
      <x:c r="D4" s="248"/>
      <x:c r="E4" s="248"/>
      <x:c r="F4" s="248"/>
      <x:c r="G4" s="248"/>
      <x:c r="H4" s="248"/>
      <x:c r="I4" s="248"/>
      <x:c r="J4" s="248"/>
    </x:row>
    <x:row r="5" ht="15" hidden="0" customHeight="1">
      <x:c r="A5" s="250" t="s">
        <x:v>1504</x:v>
      </x:c>
    </x:row>
    <x:row r="6" ht="19.5" hidden="0" customHeight="1">
      <x:c r="A6" s="248" t="s">
        <x:v>1505</x:v>
      </x:c>
      <x:c r="B6" s="248"/>
      <x:c r="C6" s="248"/>
      <x:c r="D6" s="248"/>
      <x:c r="E6" s="248"/>
      <x:c r="F6" s="248"/>
      <x:c r="G6" s="248"/>
      <x:c r="H6" s="248"/>
      <x:c r="I6" s="248"/>
      <x:c r="J6" s="248"/>
    </x:row>
    <x:row r="8" ht="21.75" hidden="0" customHeight="1">
      <x:c r="A8" s="251" t="s">
        <x:v>1506</x:v>
      </x:c>
      <x:c r="B8" s="251" t="s">
        <x:v>1507</x:v>
      </x:c>
      <x:c r="C8" s="251" t="s">
        <x:v>1508</x:v>
      </x:c>
      <x:c r="D8" s="251" t="s">
        <x:v>1509</x:v>
      </x:c>
    </x:row>
    <x:row r="9" ht="45.75" hidden="0" customHeight="1">
      <x:c r="A9" s="252" t="s">
        <x:v>1510</x:v>
      </x:c>
      <x:c r="B9" s="253" t="n">
        <x:f aca="0">S35_PE_Leakage_Derivation!B47</x:f>
        <x:v>106471.70009672528</x:v>
      </x:c>
      <x:c r="C9" s="252" t="s">
        <x:v>1511</x:v>
      </x:c>
      <x:c r="D9" s="252" t="s">
        <x:v>1512</x:v>
      </x:c>
    </x:row>
    <x:row r="10" ht="34.5" hidden="0" customHeight="1">
      <x:c r="A10" s="252" t="s">
        <x:v>1513</x:v>
      </x:c>
      <x:c r="B10" s="252" t="n">
        <x:f aca="0">SUM(S33_Project_Deductions!I4:I24)</x:f>
        <x:v>0</x:v>
      </x:c>
      <x:c r="C10" s="252" t="s">
        <x:v>1514</x:v>
      </x:c>
      <x:c r="D10" s="252" t="s">
        <x:v>1515</x:v>
      </x:c>
    </x:row>
    <x:row r="11" ht="23.25" hidden="0" customHeight="1">
      <x:c r="A11" s="252" t="s">
        <x:v>1516</x:v>
      </x:c>
      <x:c r="B11" s="254" t="n">
        <x:v>0</x:v>
      </x:c>
      <x:c r="C11" s="252" t="s">
        <x:v>1517</x:v>
      </x:c>
      <x:c r="D11" s="252" t="str">
        <x:f aca="0">B59</x:f>
        <x:v>Unknown</x:v>
      </x:c>
    </x:row>
    <x:row r="12" ht="23.25" hidden="0" customHeight="1">
      <x:c r="A12" s="252" t="s">
        <x:v>1518</x:v>
      </x:c>
      <x:c r="B12" s="254" t="n">
        <x:v>0</x:v>
      </x:c>
      <x:c r="C12" s="252" t="s">
        <x:v>1519</x:v>
      </x:c>
      <x:c r="D12" s="252" t="str">
        <x:f aca="0">B60</x:f>
        <x:v>Unknown</x:v>
      </x:c>
    </x:row>
    <x:row r="13" ht="15" hidden="0" customHeight="1">
      <x:c r="A13" s="252" t="s">
        <x:v>1520</x:v>
      </x:c>
      <x:c r="B13" s="254" t="n">
        <x:v>0</x:v>
      </x:c>
      <x:c r="C13" s="252" t="s">
        <x:v>1521</x:v>
      </x:c>
      <x:c r="D13" s="252" t="str">
        <x:f aca="0">B61</x:f>
        <x:v>Unknown</x:v>
      </x:c>
    </x:row>
    <x:row r="14" ht="23.25" hidden="0" customHeight="1">
      <x:c r="A14" s="252" t="s">
        <x:v>1522</x:v>
      </x:c>
      <x:c r="B14" s="254" t="n">
        <x:v>0</x:v>
      </x:c>
      <x:c r="C14" s="252" t="s">
        <x:v>1523</x:v>
      </x:c>
      <x:c r="D14" s="255" t="str">
        <x:f aca="0">B62</x:f>
        <x:v>Unknown</x:v>
      </x:c>
    </x:row>
    <x:row r="15" ht="34.5" hidden="0" customHeight="1">
      <x:c r="A15" s="252" t="s">
        <x:v>1524</x:v>
      </x:c>
      <x:c r="B15" s="252" t="n">
        <x:f aca="0">SUM(S33_Project_Deductions!C4:C24)</x:f>
        <x:v>20990.32404640868</x:v>
      </x:c>
      <x:c r="C15" s="252" t="s">
        <x:v>1525</x:v>
      </x:c>
      <x:c r="D15" s="252" t="s">
        <x:v>1526</x:v>
      </x:c>
    </x:row>
    <x:row r="17" ht="15" hidden="0" customHeight="1">
      <x:c r="A17" s="250" t="s">
        <x:v>1527</x:v>
      </x:c>
    </x:row>
    <x:row r="18" ht="19.5" hidden="0" customHeight="1">
      <x:c r="A18" s="248" t="s">
        <x:v>1528</x:v>
      </x:c>
      <x:c r="B18" s="248"/>
      <x:c r="C18" s="248"/>
      <x:c r="D18" s="248"/>
      <x:c r="E18" s="248"/>
      <x:c r="F18" s="248"/>
      <x:c r="G18" s="248"/>
      <x:c r="H18" s="248"/>
      <x:c r="I18" s="248"/>
      <x:c r="J18" s="248"/>
    </x:row>
    <x:row r="20" ht="15" hidden="0" customHeight="1">
      <x:c r="A20" s="250" t="s">
        <x:v>1529</x:v>
      </x:c>
    </x:row>
    <x:row r="21" ht="21.75" hidden="0" customHeight="1">
      <x:c r="A21" s="251" t="s">
        <x:v>1506</x:v>
      </x:c>
      <x:c r="B21" s="251" t="s">
        <x:v>1530</x:v>
      </x:c>
      <x:c r="C21" s="251" t="s">
        <x:v>1531</x:v>
      </x:c>
      <x:c r="D21" s="251" t="s">
        <x:v>1532</x:v>
      </x:c>
      <x:c r="E21" s="251" t="s">
        <x:v>1533</x:v>
      </x:c>
    </x:row>
    <x:row r="22" ht="15" hidden="0" customHeight="1">
      <x:c r="A22" s="252" t="str">
        <x:f aca="0">A9</x:f>
        <x:v>Fertilizer N2O project emissions</x:v>
      </x:c>
      <x:c r="B22" s="253" t="n">
        <x:f aca="0">B9</x:f>
        <x:v>106471.70009672528</x:v>
      </x:c>
      <x:c r="C22" s="252" t="n">
        <x:f aca="0">IF($D$32=0,0,B22/$D$32)</x:f>
        <x:v>0.835320957849865</x:v>
      </x:c>
      <x:c r="D22" s="252" t="n">
        <x:f aca="0">_xlfn.RANK.EQ(B22,$B$22:$B$28,0)+COUNTIF($B$22:B22,B22)-1</x:f>
        <x:v>1</x:v>
      </x:c>
      <x:c r="E22" s="252" t="n">
        <x:f aca="0">SUMIFS($C$22:$C$28,$D$22:$D$28,"&lt;="&amp;D22)</x:f>
        <x:v>0.835320957849865</x:v>
      </x:c>
    </x:row>
    <x:row r="23" ht="15" hidden="0" customHeight="1">
      <x:c r="A23" s="252" t="str">
        <x:f aca="0">A10</x:f>
        <x:v>Biomass-burning CH4 + N2O project emissions</x:v>
      </x:c>
      <x:c r="B23" s="252" t="n">
        <x:f aca="0">B10</x:f>
        <x:v>0</x:v>
      </x:c>
      <x:c r="C23" s="252" t="n">
        <x:f aca="0">IF($D$32=0,0,B23/$D$32)</x:f>
        <x:v>0</x:v>
      </x:c>
      <x:c r="D23" s="252" t="n">
        <x:f aca="0">_xlfn.RANK.EQ(B23,$B$22:$B$28,0)+COUNTIF($B$22:B23,B23)-1</x:f>
        <x:v>3</x:v>
      </x:c>
      <x:c r="E23" s="252" t="n">
        <x:f aca="0">SUMIFS($C$22:$C$28,$D$22:$D$28,"&lt;="&amp;D23)</x:f>
        <x:v>1</x:v>
      </x:c>
    </x:row>
    <x:row r="24" ht="23.25" hidden="0" customHeight="1">
      <x:c r="A24" s="252" t="str">
        <x:f aca="0">A11</x:f>
        <x:v>Above- + belowground non-woody biomass decrease</x:v>
      </x:c>
      <x:c r="B24" s="252" t="n">
        <x:f aca="0">B11</x:f>
        <x:v>0</x:v>
      </x:c>
      <x:c r="C24" s="252" t="n">
        <x:f aca="0">IF($D$32=0,0,B24/$D$32)</x:f>
        <x:v>0</x:v>
      </x:c>
      <x:c r="D24" s="252" t="n">
        <x:f aca="0">_xlfn.RANK.EQ(B24,$B$22:$B$28,0)+COUNTIF($B$22:B24,B24)-1</x:f>
        <x:v>4</x:v>
      </x:c>
      <x:c r="E24" s="252" t="n">
        <x:f aca="0">SUMIFS($C$22:$C$28,$D$22:$D$28,"&lt;="&amp;D24)</x:f>
        <x:v>1</x:v>
      </x:c>
    </x:row>
    <x:row r="25" ht="15" hidden="0" customHeight="1">
      <x:c r="A25" s="252" t="str">
        <x:f aca="0">A12</x:f>
        <x:v>Dead wood decrease</x:v>
      </x:c>
      <x:c r="B25" s="252" t="n">
        <x:f aca="0">B12</x:f>
        <x:v>0</x:v>
      </x:c>
      <x:c r="C25" s="252" t="n">
        <x:f aca="0">IF($D$32=0,0,B25/$D$32)</x:f>
        <x:v>0</x:v>
      </x:c>
      <x:c r="D25" s="252" t="n">
        <x:f aca="0">_xlfn.RANK.EQ(B25,$B$22:$B$28,0)+COUNTIF($B$22:B25,B25)-1</x:f>
        <x:v>5</x:v>
      </x:c>
      <x:c r="E25" s="252" t="n">
        <x:f aca="0">SUMIFS($C$22:$C$28,$D$22:$D$28,"&lt;="&amp;D25)</x:f>
        <x:v>1</x:v>
      </x:c>
    </x:row>
    <x:row r="26" ht="15" hidden="0" customHeight="1">
      <x:c r="A26" s="252" t="str">
        <x:f aca="0">A13</x:f>
        <x:v>Litter decrease</x:v>
      </x:c>
      <x:c r="B26" s="252" t="n">
        <x:f aca="0">B13</x:f>
        <x:v>0</x:v>
      </x:c>
      <x:c r="C26" s="252" t="n">
        <x:f aca="0">IF($D$32=0,0,B26/$D$32)</x:f>
        <x:v>0</x:v>
      </x:c>
      <x:c r="D26" s="252" t="n">
        <x:f aca="0">_xlfn.RANK.EQ(B26,$B$22:$B$28,0)+COUNTIF($B$22:B26,B26)-1</x:f>
        <x:v>6</x:v>
      </x:c>
      <x:c r="E26" s="252" t="n">
        <x:f aca="0">SUMIFS($C$22:$C$28,$D$22:$D$28,"&lt;="&amp;D26)</x:f>
        <x:v>1</x:v>
      </x:c>
    </x:row>
    <x:row r="27" ht="23.25" hidden="0" customHeight="1">
      <x:c r="A27" s="252" t="str">
        <x:f aca="0">A14</x:f>
        <x:v>Soil organic carbon decrease (only where SOC is optional)</x:v>
      </x:c>
      <x:c r="B27" s="252" t="n">
        <x:f aca="0">B14</x:f>
        <x:v>0</x:v>
      </x:c>
      <x:c r="C27" s="252" t="n">
        <x:f aca="0">IF($D$32=0,0,B27/$D$32)</x:f>
        <x:v>0</x:v>
      </x:c>
      <x:c r="D27" s="252" t="n">
        <x:f aca="0">_xlfn.RANK.EQ(B27,$B$22:$B$28,0)+COUNTIF($B$22:B27,B27)-1</x:f>
        <x:v>7</x:v>
      </x:c>
      <x:c r="E27" s="252" t="n">
        <x:f aca="0">SUMIFS($C$22:$C$28,$D$22:$D$28,"&lt;="&amp;D27)</x:f>
        <x:v>1</x:v>
      </x:c>
    </x:row>
    <x:row r="28" ht="15" hidden="0" customHeight="1">
      <x:c r="A28" s="252" t="str">
        <x:f aca="0">A15</x:f>
        <x:v>Leakage (VMD0054)</x:v>
      </x:c>
      <x:c r="B28" s="252" t="n">
        <x:f aca="0">B15</x:f>
        <x:v>20990.32404640868</x:v>
      </x:c>
      <x:c r="C28" s="252" t="n">
        <x:f aca="0">IF($D$32=0,0,B28/$D$32)</x:f>
        <x:v>0.16467904215013499</x:v>
      </x:c>
      <x:c r="D28" s="252" t="n">
        <x:f aca="0">_xlfn.RANK.EQ(B28,$B$22:$B$28,0)+COUNTIF($B$22:B28,B28)-1</x:f>
        <x:v>2</x:v>
      </x:c>
      <x:c r="E28" s="252" t="n">
        <x:f aca="0">SUMIFS($C$22:$C$28,$D$22:$D$28,"&lt;="&amp;D28)</x:f>
        <x:v>1</x:v>
      </x:c>
    </x:row>
    <x:row r="30" ht="15" hidden="0" customHeight="1">
      <x:c r="A30" s="250" t="s">
        <x:v>1534</x:v>
      </x:c>
    </x:row>
    <x:row r="31" ht="15" hidden="0" customHeight="1">
      <x:c r="A31" s="256" t="s">
        <x:v>1535</x:v>
      </x:c>
      <x:c r="D31" s="257" t="n">
        <x:f aca="0">S04_Final_ERR!K26</x:f>
        <x:v>1277982.535007946</x:v>
      </x:c>
    </x:row>
    <x:row r="32" ht="15" hidden="0" customHeight="1">
      <x:c r="A32" s="256" t="s">
        <x:v>1536</x:v>
      </x:c>
      <x:c r="D32" s="258" t="n">
        <x:f aca="0">SUM(B9:B15)</x:f>
        <x:v>127462.02414313397</x:v>
      </x:c>
    </x:row>
    <x:row r="33" ht="15" hidden="0" customHeight="1">
      <x:c r="A33" s="256" t="s">
        <x:v>1537</x:v>
      </x:c>
      <x:c r="D33" s="258" t="n">
        <x:f aca="0">D31*5%</x:f>
        <x:v>63899.1267503973</x:v>
      </x:c>
    </x:row>
    <x:row r="34" ht="15" hidden="0" customHeight="1">
      <x:c r="A34" s="256" t="s">
        <x:v>1538</x:v>
      </x:c>
      <x:c r="D34" s="258" t="n">
        <x:f aca="0">D32*5%</x:f>
        <x:v>6373.101207156698</x:v>
      </x:c>
    </x:row>
    <x:row r="35" ht="15" hidden="0" customHeight="1">
      <x:c r="A35" s="256" t="s">
        <x:v>1539</x:v>
      </x:c>
      <x:c r="D35" s="258" t="n">
        <x:f aca="0">MIN(D33,D34)</x:f>
        <x:v>6373.101207156698</x:v>
      </x:c>
    </x:row>
    <x:row r="37" ht="15" hidden="0" customHeight="1">
      <x:c r="A37" s="250" t="s">
        <x:v>1540</x:v>
      </x:c>
    </x:row>
    <x:row r="38" ht="15" hidden="0" customHeight="1">
      <x:c r="A38" s="251" t="s">
        <x:v>1506</x:v>
      </x:c>
      <x:c r="B38" s="251" t="s">
        <x:v>1541</x:v>
      </x:c>
      <x:c r="C38" s="251" t="s">
        <x:v>1542</x:v>
      </x:c>
      <x:c r="D38" s="251" t="s">
        <x:v>1149</x:v>
      </x:c>
    </x:row>
    <x:row r="39" ht="34.5" hidden="0" customHeight="1">
      <x:c r="A39" s="252" t="str">
        <x:f aca="0">A22</x:f>
        <x:v>Fertilizer N2O project emissions</x:v>
      </x:c>
      <x:c r="B39" s="252" t="n">
        <x:f aca="0">D22</x:f>
        <x:v>1</x:v>
      </x:c>
      <x:c r="C39" s="252" t="n">
        <x:f aca="0">E22-C22</x:f>
        <x:v>0</x:v>
      </x:c>
      <x:c r="D39" s="252" t="str">
        <x:f aca="0">IF(A39="Leakage (VMD0054)","MUST INCLUDE - VM0047 Section 4.2(3) override (never eligible for exclusion)",IF(C39&lt;95%,"KEY SOURCE - MUST INCLUDE (needed to reach 95%)","TAIL - CHECK 5% TEST"))</x:f>
        <x:v>KEY SOURCE - MUST INCLUDE (needed to reach 95%)</x:v>
      </x:c>
    </x:row>
    <x:row r="40" ht="15" hidden="0" customHeight="1">
      <x:c r="A40" s="252" t="str">
        <x:f aca="0">A23</x:f>
        <x:v>Biomass-burning CH4 + N2O project emissions</x:v>
      </x:c>
      <x:c r="B40" s="252" t="n">
        <x:f aca="0">D23</x:f>
        <x:v>3</x:v>
      </x:c>
      <x:c r="C40" s="252" t="n">
        <x:f aca="0">E23-C23</x:f>
        <x:v>1</x:v>
      </x:c>
      <x:c r="D40" s="252" t="str">
        <x:f aca="0">IF(A40="Leakage (VMD0054)","MUST INCLUDE - VM0047 Section 4.2(3) override (never eligible for exclusion)",IF(C40&lt;95%,"KEY SOURCE - MUST INCLUDE (needed to reach 95%)","TAIL - CHECK 5% TEST"))</x:f>
        <x:v>TAIL - CHECK 5% TEST</x:v>
      </x:c>
    </x:row>
    <x:row r="41" ht="23.25" hidden="0" customHeight="1">
      <x:c r="A41" s="252" t="str">
        <x:f aca="0">A24</x:f>
        <x:v>Above- + belowground non-woody biomass decrease</x:v>
      </x:c>
      <x:c r="B41" s="252" t="n">
        <x:f aca="0">D24</x:f>
        <x:v>4</x:v>
      </x:c>
      <x:c r="C41" s="252" t="n">
        <x:f aca="0">E24-C24</x:f>
        <x:v>1</x:v>
      </x:c>
      <x:c r="D41" s="252" t="str">
        <x:f aca="0">IF(A41="Leakage (VMD0054)","MUST INCLUDE - VM0047 Section 4.2(3) override (never eligible for exclusion)",IF(C41&lt;95%,"KEY SOURCE - MUST INCLUDE (needed to reach 95%)","TAIL - CHECK 5% TEST"))</x:f>
        <x:v>TAIL - CHECK 5% TEST</x:v>
      </x:c>
    </x:row>
    <x:row r="42" ht="15" hidden="0" customHeight="1">
      <x:c r="A42" s="252" t="str">
        <x:f aca="0">A25</x:f>
        <x:v>Dead wood decrease</x:v>
      </x:c>
      <x:c r="B42" s="252" t="n">
        <x:f aca="0">D25</x:f>
        <x:v>5</x:v>
      </x:c>
      <x:c r="C42" s="252" t="n">
        <x:f aca="0">E25-C25</x:f>
        <x:v>1</x:v>
      </x:c>
      <x:c r="D42" s="252" t="str">
        <x:f aca="0">IF(A42="Leakage (VMD0054)","MUST INCLUDE - VM0047 Section 4.2(3) override (never eligible for exclusion)",IF(C42&lt;95%,"KEY SOURCE - MUST INCLUDE (needed to reach 95%)","TAIL - CHECK 5% TEST"))</x:f>
        <x:v>TAIL - CHECK 5% TEST</x:v>
      </x:c>
    </x:row>
    <x:row r="43" ht="15" hidden="0" customHeight="1">
      <x:c r="A43" s="252" t="str">
        <x:f aca="0">A26</x:f>
        <x:v>Litter decrease</x:v>
      </x:c>
      <x:c r="B43" s="252" t="n">
        <x:f aca="0">D26</x:f>
        <x:v>6</x:v>
      </x:c>
      <x:c r="C43" s="252" t="n">
        <x:f aca="0">E26-C26</x:f>
        <x:v>1</x:v>
      </x:c>
      <x:c r="D43" s="252" t="str">
        <x:f aca="0">IF(A43="Leakage (VMD0054)","MUST INCLUDE - VM0047 Section 4.2(3) override (never eligible for exclusion)",IF(C43&lt;95%,"KEY SOURCE - MUST INCLUDE (needed to reach 95%)","TAIL - CHECK 5% TEST"))</x:f>
        <x:v>TAIL - CHECK 5% TEST</x:v>
      </x:c>
    </x:row>
    <x:row r="44" ht="23.25" hidden="0" customHeight="1">
      <x:c r="A44" s="252" t="str">
        <x:f aca="0">A27</x:f>
        <x:v>Soil organic carbon decrease (only where SOC is optional)</x:v>
      </x:c>
      <x:c r="B44" s="252" t="n">
        <x:f aca="0">D27</x:f>
        <x:v>7</x:v>
      </x:c>
      <x:c r="C44" s="252" t="n">
        <x:f aca="0">E27-C27</x:f>
        <x:v>1</x:v>
      </x:c>
      <x:c r="D44" s="252" t="str">
        <x:f aca="0">IF(A44="Leakage (VMD0054)","MUST INCLUDE - VM0047 Section 4.2(3) override (never eligible for exclusion)",IF(C44&lt;95%,"KEY SOURCE - MUST INCLUDE (needed to reach 95%)","TAIL - CHECK 5% TEST"))</x:f>
        <x:v>TAIL - CHECK 5% TEST</x:v>
      </x:c>
    </x:row>
    <x:row r="45" ht="34.5" hidden="0" customHeight="1">
      <x:c r="A45" s="252" t="str">
        <x:f aca="0">A28</x:f>
        <x:v>Leakage (VMD0054)</x:v>
      </x:c>
      <x:c r="B45" s="252" t="n">
        <x:f aca="0">D28</x:f>
        <x:v>2</x:v>
      </x:c>
      <x:c r="C45" s="252" t="n">
        <x:f aca="0">E28-C28</x:f>
        <x:v>0.835320957849865</x:v>
      </x:c>
      <x:c r="D45" s="252" t="str">
        <x:f aca="0">IF(A45="Leakage (VMD0054)","MUST INCLUDE - VM0047 Section 4.2(3) override (never eligible for exclusion)",IF(C45&lt;95%,"KEY SOURCE - MUST INCLUDE (needed to reach 95%)","TAIL - CHECK 5% TEST"))</x:f>
        <x:v>MUST INCLUDE - VM0047 Section 4.2(3) override (never eligible for exclusion)</x:v>
      </x:c>
    </x:row>
    <x:row r="46" ht="15" hidden="0" customHeight="1">
      <x:c r="A46" s="259" t="s">
        <x:v>1543</x:v>
      </x:c>
      <x:c r="D46" s="258" t="n">
        <x:f aca="0">SUMIFS(B22:B28,D39:D45,"TAIL - CHECK 5% TEST")</x:f>
        <x:v>0</x:v>
      </x:c>
    </x:row>
    <x:row r="47" ht="15" hidden="0" customHeight="1">
      <x:c r="A47" s="219" t="s">
        <x:v>1544</x:v>
      </x:c>
      <x:c r="D47" s="258" t="str">
        <x:f aca="0">IF(D46&lt;D35,"TAIL CONFIRMED DE MINIMIS - excludable subject to disturbance triggers below","TAIL NOT DE MINIMIS - continue Step 7, include further sources")</x:f>
        <x:v>TAIL CONFIRMED DE MINIMIS - excludable subject to disturbance triggers below</x:v>
      </x:c>
    </x:row>
    <x:row r="49" ht="15" hidden="0" customHeight="1">
      <x:c r="A49" s="250" t="s">
        <x:v>1545</x:v>
      </x:c>
    </x:row>
    <x:row r="50" ht="15" hidden="0" customHeight="1">
      <x:c r="A50" s="260" t="s">
        <x:v>1546</x:v>
      </x:c>
      <x:c r="B50" s="260"/>
      <x:c r="C50" s="260"/>
      <x:c r="D50" s="260"/>
      <x:c r="E50" s="260"/>
      <x:c r="F50" s="260"/>
    </x:row>
    <x:row r="52" ht="15" hidden="0" customHeight="1">
      <x:c r="A52" s="251" t="s">
        <x:v>1547</x:v>
      </x:c>
      <x:c r="B52" s="251" t="s">
        <x:v>1548</x:v>
      </x:c>
      <x:c r="C52" s="251" t="s">
        <x:v>1549</x:v>
      </x:c>
    </x:row>
    <x:row r="53" ht="21.75" hidden="0" customHeight="1">
      <x:c r="A53" s="261" t="s">
        <x:v>1550</x:v>
      </x:c>
      <x:c r="B53" s="254" t="s">
        <x:v>1551</x:v>
      </x:c>
      <x:c r="C53" s="262" t="s">
        <x:v>1552</x:v>
      </x:c>
    </x:row>
    <x:row r="54" ht="21.75" hidden="0" customHeight="1">
      <x:c r="A54" s="261" t="s">
        <x:v>1553</x:v>
      </x:c>
      <x:c r="B54" s="254" t="s">
        <x:v>1551</x:v>
      </x:c>
      <x:c r="C54" s="262" t="s">
        <x:v>1552</x:v>
      </x:c>
    </x:row>
    <x:row r="55" ht="21.75" hidden="0" customHeight="1">
      <x:c r="A55" s="261" t="s">
        <x:v>1554</x:v>
      </x:c>
      <x:c r="B55" s="254" t="s">
        <x:v>1551</x:v>
      </x:c>
      <x:c r="C55" s="262" t="s">
        <x:v>1552</x:v>
      </x:c>
    </x:row>
    <x:row r="57" ht="15" hidden="0" customHeight="1">
      <x:c r="A57" s="250" t="s">
        <x:v>1555</x:v>
      </x:c>
    </x:row>
    <x:row r="58" ht="21.75" hidden="0" customHeight="1">
      <x:c r="A58" s="251" t="s">
        <x:v>1556</x:v>
      </x:c>
      <x:c r="B58" s="251" t="s">
        <x:v>1557</x:v>
      </x:c>
      <x:c r="C58" s="251" t="s">
        <x:v>1558</x:v>
      </x:c>
    </x:row>
    <x:row r="59" ht="23.25" hidden="0" customHeight="1">
      <x:c r="A59" s="127" t="s">
        <x:v>1559</x:v>
      </x:c>
      <x:c r="B59" s="254" t="s">
        <x:v>1551</x:v>
      </x:c>
      <x:c r="C59" s="252" t="str">
        <x:f aca="0">IF(B59="Yes","INCLUDE / QUANTIFY",IF(B59="Unknown","DO NOT EXCLUDE - EVIDENCE REQUIRED",IF(D47="TAIL CONFIRMED DE MINIMIS - excludable subject to disturbance triggers below","EXCLUSION SUPPORTABLE - disturbance No, magnitude confirmed de minimis","INCLUDE / QUANTIFY - magnitude test not satisfied")))</x:f>
        <x:v>DO NOT EXCLUDE - EVIDENCE REQUIRED</x:v>
      </x:c>
    </x:row>
    <x:row r="60" ht="23.25" hidden="0" customHeight="1">
      <x:c r="A60" s="127" t="s">
        <x:v>210</x:v>
      </x:c>
      <x:c r="B60" s="254" t="s">
        <x:v>1551</x:v>
      </x:c>
      <x:c r="C60" s="252" t="str">
        <x:f aca="0">IF(B60="Yes","INCLUDE / QUANTIFY",IF(B60="Unknown","DO NOT EXCLUDE - EVIDENCE REQUIRED",IF(D47="TAIL CONFIRMED DE MINIMIS - excludable subject to disturbance triggers below","EXCLUSION SUPPORTABLE - disturbance No, magnitude confirmed de minimis","INCLUDE / QUANTIFY - magnitude test not satisfied")))</x:f>
        <x:v>DO NOT EXCLUDE - EVIDENCE REQUIRED</x:v>
      </x:c>
    </x:row>
    <x:row r="61" ht="23.25" hidden="0" customHeight="1">
      <x:c r="A61" s="127" t="s">
        <x:v>215</x:v>
      </x:c>
      <x:c r="B61" s="254" t="s">
        <x:v>1551</x:v>
      </x:c>
      <x:c r="C61" s="252" t="str">
        <x:f aca="0">IF(B61="Yes","INCLUDE / QUANTIFY",IF(B61="Unknown","DO NOT EXCLUDE - EVIDENCE REQUIRED",IF(D47="TAIL CONFIRMED DE MINIMIS - excludable subject to disturbance triggers below","EXCLUSION SUPPORTABLE - disturbance No, magnitude confirmed de minimis","INCLUDE / QUANTIFY - magnitude test not satisfied")))</x:f>
        <x:v>DO NOT EXCLUDE - EVIDENCE REQUIRED</x:v>
      </x:c>
    </x:row>
    <x:row r="62" ht="23.25" hidden="0" customHeight="1">
      <x:c r="A62" s="127" t="s">
        <x:v>220</x:v>
      </x:c>
      <x:c r="B62" s="252" t="str">
        <x:f aca="0">IF(COUNTIF($B$53:$B$55,"Yes")&gt;0,"Yes",IF(COUNTIF($B$53:$B$55,"Unknown")&gt;0,"Unknown","No"))</x:f>
        <x:v>Unknown</x:v>
      </x:c>
      <x:c r="C62" s="252" t="str">
        <x:f aca="0">IF(B62="Yes","MANDATORY INCLUDE / QUANTIFY SOC",IF(B62="Unknown","DO NOT EXCLUDE - RESOLVE SOC TRIGGER",IF(D47="TAIL CONFIRMED DE MINIMIS - excludable subject to disturbance triggers below","EXCLUSION SUPPORTABLE - disturbance No, magnitude confirmed de minimis","INCLUDE / QUANTIFY - magnitude test not satisfied")))</x:f>
        <x:v>DO NOT EXCLUDE - RESOLVE SOC TRIGGER</x:v>
      </x:c>
    </x:row>
    <x:row r="64" ht="30" hidden="0" customHeight="1">
      <x:c r="A64" s="263" t="str">
        <x:f aca="0">"OVERALL STATUS: "&amp;IF(COUNTIF(C59:C62,"DO NOT EXCLUDE*")+COUNTIF(C59:C62,"INCLUDE*")&gt;0,"INCOMPLETE - one or more pools require evidence or quantification before exclusion can be relied on","COMPLETE - all four optional pools pass both the CDM magnitude test and the Table 1 disturbance test")</x:f>
        <x:v>OVERALL STATUS: COMPLETE - all four optional pools pass both the CDM magnitude test and the Table 1 disturbance test</x:v>
      </x:c>
      <x:c r="B64" s="263"/>
      <x:c r="C64" s="263"/>
      <x:c r="D64" s="263"/>
      <x:c r="E64" s="263"/>
      <x:c r="F64" s="263"/>
    </x:row>
    <x:row r="66" ht="15" hidden="0" customHeight="1">
      <x:c r="A66" s="250" t="s">
        <x:v>1560</x:v>
      </x:c>
    </x:row>
    <x:row r="67" ht="15" hidden="0" customHeight="1">
      <x:c r="A67" s="264" t="s">
        <x:v>1541</x:v>
      </x:c>
      <x:c r="B67" s="264" t="s">
        <x:v>1506</x:v>
      </x:c>
      <x:c r="C67" s="264" t="s">
        <x:v>1530</x:v>
      </x:c>
      <x:c r="D67" s="264" t="s">
        <x:v>1561</x:v>
      </x:c>
    </x:row>
    <x:row r="68" ht="15" hidden="0" customHeight="1">
      <x:c r="A68" s="265" t="n">
        <x:v>1</x:v>
      </x:c>
      <x:c r="B68" s="265" t="str">
        <x:f aca="0">INDEX($A$22:$A$28,MATCH(1,$D$22:$D$28,0))</x:f>
        <x:v>Fertilizer N2O project emissions</x:v>
      </x:c>
      <x:c r="C68" s="265" t="n">
        <x:f aca="0">INDEX($B$22:$B$28,MATCH(1,$D$22:$D$28,0))</x:f>
        <x:v>106471.70009672528</x:v>
      </x:c>
      <x:c r="D68" s="266" t="n">
        <x:f aca="0">INDEX($E$22:$E$28,MATCH(1,$D$22:$D$28,0))</x:f>
        <x:v>0.835320957849865</x:v>
      </x:c>
    </x:row>
    <x:row r="69" ht="15" hidden="0" customHeight="1">
      <x:c r="A69" s="265" t="n">
        <x:v>2</x:v>
      </x:c>
      <x:c r="B69" s="265" t="str">
        <x:f aca="0">INDEX($A$22:$A$28,MATCH(2,$D$22:$D$28,0))</x:f>
        <x:v>Leakage (VMD0054)</x:v>
      </x:c>
      <x:c r="C69" s="267" t="n">
        <x:f aca="0">INDEX($B$22:$B$28,MATCH(2,$D$22:$D$28,0))</x:f>
        <x:v>20990.32404640868</x:v>
      </x:c>
      <x:c r="D69" s="266" t="n">
        <x:f aca="0">INDEX($E$22:$E$28,MATCH(2,$D$22:$D$28,0))</x:f>
        <x:v>1</x:v>
      </x:c>
    </x:row>
    <x:row r="70" ht="15" hidden="0" customHeight="1">
      <x:c r="A70" s="265" t="n">
        <x:v>3</x:v>
      </x:c>
      <x:c r="B70" s="265" t="str">
        <x:f aca="0">INDEX($A$22:$A$28,MATCH(3,$D$22:$D$28,0))</x:f>
        <x:v>Biomass-burning CH4 + N2O project emissions</x:v>
      </x:c>
      <x:c r="C70" s="265" t="n">
        <x:f aca="0">INDEX($B$22:$B$28,MATCH(3,$D$22:$D$28,0))</x:f>
        <x:v>0</x:v>
      </x:c>
      <x:c r="D70" s="266" t="n">
        <x:f aca="0">INDEX($E$22:$E$28,MATCH(3,$D$22:$D$28,0))</x:f>
        <x:v>1</x:v>
      </x:c>
    </x:row>
    <x:row r="71" ht="15" hidden="0" customHeight="1">
      <x:c r="A71" s="265" t="n">
        <x:v>4</x:v>
      </x:c>
      <x:c r="B71" s="265" t="str">
        <x:f aca="0">INDEX($A$22:$A$28,MATCH(4,$D$22:$D$28,0))</x:f>
        <x:v>Above- + belowground non-woody biomass decrease</x:v>
      </x:c>
      <x:c r="C71" s="265" t="n">
        <x:f aca="0">INDEX($B$22:$B$28,MATCH(4,$D$22:$D$28,0))</x:f>
        <x:v>0</x:v>
      </x:c>
      <x:c r="D71" s="266" t="n">
        <x:f aca="0">INDEX($E$22:$E$28,MATCH(4,$D$22:$D$28,0))</x:f>
        <x:v>1</x:v>
      </x:c>
    </x:row>
    <x:row r="72" ht="15" hidden="0" customHeight="1">
      <x:c r="A72" s="265" t="n">
        <x:v>5</x:v>
      </x:c>
      <x:c r="B72" s="265" t="str">
        <x:f aca="0">INDEX($A$22:$A$28,MATCH(5,$D$22:$D$28,0))</x:f>
        <x:v>Dead wood decrease</x:v>
      </x:c>
      <x:c r="C72" s="265" t="n">
        <x:f aca="0">INDEX($B$22:$B$28,MATCH(5,$D$22:$D$28,0))</x:f>
        <x:v>0</x:v>
      </x:c>
      <x:c r="D72" s="266" t="n">
        <x:f aca="0">INDEX($E$22:$E$28,MATCH(5,$D$22:$D$28,0))</x:f>
        <x:v>1</x:v>
      </x:c>
    </x:row>
    <x:row r="73" ht="15" hidden="0" customHeight="1">
      <x:c r="A73" s="265" t="n">
        <x:v>6</x:v>
      </x:c>
      <x:c r="B73" s="265" t="str">
        <x:f aca="0">INDEX($A$22:$A$28,MATCH(6,$D$22:$D$28,0))</x:f>
        <x:v>Litter decrease</x:v>
      </x:c>
      <x:c r="C73" s="265" t="n">
        <x:f aca="0">INDEX($B$22:$B$28,MATCH(6,$D$22:$D$28,0))</x:f>
        <x:v>0</x:v>
      </x:c>
      <x:c r="D73" s="266" t="n">
        <x:f aca="0">INDEX($E$22:$E$28,MATCH(6,$D$22:$D$28,0))</x:f>
        <x:v>1</x:v>
      </x:c>
    </x:row>
    <x:row r="74" ht="15" hidden="0" customHeight="1">
      <x:c r="A74" s="265" t="n">
        <x:v>7</x:v>
      </x:c>
      <x:c r="B74" s="265" t="str">
        <x:f aca="0">INDEX($A$22:$A$28,MATCH(7,$D$22:$D$28,0))</x:f>
        <x:v>Soil organic carbon decrease (only where SOC is optional)</x:v>
      </x:c>
      <x:c r="C74" s="265" t="n">
        <x:f aca="0">INDEX($B$22:$B$28,MATCH(7,$D$22:$D$28,0))</x:f>
        <x:v>0</x:v>
      </x:c>
      <x:c r="D74" s="266" t="n">
        <x:f aca="0">INDEX($E$22:$E$28,MATCH(7,$D$22:$D$28,0))</x:f>
        <x:v>1</x:v>
      </x:c>
    </x:row>
  </x:sheetData>
  <x:mergeCells>
    <x:mergeCell ref="A1:J1"/>
    <x:mergeCell ref="A2:J2"/>
    <x:mergeCell ref="A3:J3"/>
    <x:mergeCell ref="A4:J4"/>
    <x:mergeCell ref="A6:J6"/>
    <x:mergeCell ref="A18:J18"/>
    <x:mergeCell ref="A50:F50"/>
    <x:mergeCell ref="A64:F64"/>
  </x:mergeCells>
  <x:pageMargins left="0.7" right="0.7" top="0.75" bottom="0.75" header="0.3" footer="0.3"/>
  <x:drawing xmlns:r="http://schemas.openxmlformats.org/officeDocument/2006/relationships" r:id="Rdae44bc25a3b4056"/>
</x:worksheet>
</file>

<file path=xl/worksheets/sheet39.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4" style="37" hidden="0" customWidth="1"/>
    <x:col min="2" max="2" width="42" style="37" hidden="0" customWidth="1"/>
    <x:col min="3" max="3" width="26" style="37" hidden="0" customWidth="1"/>
    <x:col min="4" max="4" width="20" style="37" hidden="0" customWidth="1"/>
    <x:col min="5" max="5" width="55" style="37" hidden="0" customWidth="1"/>
  </x:cols>
  <x:sheetData>
    <x:row r="1" ht="24" hidden="0" customHeight="1">
      <x:c r="A1" s="987" t="s">
        <x:v>1562</x:v>
      </x:c>
      <x:c r="B1" s="987"/>
      <x:c r="C1" s="987"/>
      <x:c r="D1" s="987"/>
      <x:c r="E1" s="987"/>
    </x:row>
    <x:row r="2" ht="15" hidden="0" customHeight="1">
      <x:c r="A2" s="703" t="s">
        <x:v>1563</x:v>
      </x:c>
      <x:c r="B2" s="703"/>
      <x:c r="C2" s="703"/>
      <x:c r="D2" s="703"/>
      <x:c r="E2" s="703"/>
    </x:row>
    <x:row r="3" ht="15" hidden="0" customHeight="1">
      <x:c r="A3" s="704"/>
      <x:c r="B3" s="704"/>
      <x:c r="C3" s="704"/>
      <x:c r="D3" s="704"/>
      <x:c r="E3" s="704"/>
    </x:row>
    <x:row r="4" ht="15" hidden="0" customHeight="1">
      <x:c r="A4" s="705" t="s">
        <x:v>1564</x:v>
      </x:c>
      <x:c r="B4" s="705" t="s">
        <x:v>1565</x:v>
      </x:c>
      <x:c r="C4" s="705" t="s">
        <x:v>174</x:v>
      </x:c>
      <x:c r="D4" s="705" t="s">
        <x:v>1149</x:v>
      </x:c>
      <x:c r="E4" s="705" t="s">
        <x:v>1566</x:v>
      </x:c>
    </x:row>
    <x:row r="5" ht="34.5" hidden="0" customHeight="1">
      <x:c r="A5" s="707" t="s">
        <x:v>971</x:v>
      </x:c>
      <x:c r="B5" s="707" t="s">
        <x:v>1567</x:v>
      </x:c>
      <x:c r="C5" s="707" t="str">
        <x:v>S17_Biome_Strata, all Biome×Model sheets</x:v>
      </x:c>
      <x:c r="D5" s="707" t="s">
        <x:v>329</x:v>
      </x:c>
      <x:c r="E5" s="707" t="s">
        <x:v>1568</x:v>
      </x:c>
    </x:row>
    <x:row r="6" ht="23.25" hidden="0" customHeight="1">
      <x:c r="A6" s="707" t="s">
        <x:v>974</x:v>
      </x:c>
      <x:c r="B6" s="707" t="s">
        <x:v>1569</x:v>
      </x:c>
      <x:c r="C6" s="707" t="str">
        <x:v>S08_Defaults!B14; S17_Biome_Strata col F</x:v>
      </x:c>
      <x:c r="D6" s="707" t="s">
        <x:v>329</x:v>
      </x:c>
      <x:c r="E6" s="707" t="str">
        <x:v>2,851.7985 ha across 3,118 records, reconciled against the Tropical &amp; Subtropical Dry Broadleaf Forests Timber sub-check (523.9128 ha / 691 records).</x:v>
      </x:c>
    </x:row>
    <x:row r="7" ht="34.5" hidden="0" customHeight="1">
      <x:c r="A7" s="745" t="s">
        <x:v>978</x:v>
      </x:c>
      <x:c r="B7" s="745" t="s">
        <x:v>1570</x:v>
      </x:c>
      <x:c r="C7" s="745" t="str">
        <x:v>S10_PSP_Register; S08_Defaults!B4-B5 (2026 anchor, 0.75 conservativeness factor)</x:v>
      </x:c>
      <x:c r="D7" s="745" t="s">
        <x:v>1571</x:v>
      </x:c>
      <x:c r="E7" s="745" t="s">
        <x:v>1572</x:v>
      </x:c>
    </x:row>
    <x:row r="8" ht="15" hidden="0" customHeight="1">
      <x:c r="A8" s="707" t="s">
        <x:v>982</x:v>
      </x:c>
      <x:c r="B8" s="707" t="s">
        <x:v>1573</x:v>
      </x:c>
      <x:c r="C8" s="707" t="s">
        <x:v>1574</x:v>
      </x:c>
      <x:c r="D8" s="707" t="s">
        <x:v>329</x:v>
      </x:c>
      <x:c r="E8" s="707"/>
    </x:row>
    <x:row r="9" ht="23.25" hidden="0" customHeight="1">
      <x:c r="A9" s="745" t="s">
        <x:v>986</x:v>
      </x:c>
      <x:c r="B9" s="745" t="s">
        <x:v>1575</x:v>
      </x:c>
      <x:c r="C9" s="745" t="s">
        <x:v>1576</x:v>
      </x:c>
      <x:c r="D9" s="745" t="s">
        <x:v>1577</x:v>
      </x:c>
      <x:c r="E9" s="745" t="s">
        <x:v>1578</x:v>
      </x:c>
    </x:row>
    <x:row r="10" ht="34.5" hidden="0" customHeight="1">
      <x:c r="A10" s="747" t="s">
        <x:v>987</x:v>
      </x:c>
      <x:c r="B10" s="747" t="s">
        <x:v>1579</x:v>
      </x:c>
      <x:c r="C10" s="747" t="s">
        <x:v>1580</x:v>
      </x:c>
      <x:c r="D10" s="747" t="s">
        <x:v>1581</x:v>
      </x:c>
      <x:c r="E10" s="747" t="str">
        <x:v>Appendix 2 now implements the combined 5% CSR test and ranked 95% Step 2. Unknown disturbance/SOC trigger inputs conservatively prevent exclusion until supporting site-preparation evidence is entered. S37_SOC_Pool has a complete Eq.(11) module ready for field data, but it is NOT wired into Final VCU - SOC currently contributes zero regardless of what the significance test eventually concludes, and must be manually integrated into each Biome x Model Gross ΔCWP if the trigger test resolves Yes.</x:v>
      </x:c>
    </x:row>
    <x:row r="11" ht="45.75" hidden="0" customHeight="1">
      <x:c r="A11" s="745" t="s">
        <x:v>990</x:v>
      </x:c>
      <x:c r="B11" s="745" t="s">
        <x:v>1582</x:v>
      </x:c>
      <x:c r="C11" s="745" t="s">
        <x:v>1583</x:v>
      </x:c>
      <x:c r="D11" s="745" t="s">
        <x:v>1584</x:v>
      </x:c>
      <x:c r="E11" s="745" t="s">
        <x:v>1585</x:v>
      </x:c>
    </x:row>
    <x:row r="12" ht="45.75" hidden="0" customHeight="1">
      <x:c r="A12" s="745" t="s">
        <x:v>1586</x:v>
      </x:c>
      <x:c r="B12" s="745" t="s">
        <x:v>1587</x:v>
      </x:c>
      <x:c r="C12" s="745" t="s">
        <x:v>1588</x:v>
      </x:c>
      <x:c r="D12" s="745" t="s">
        <x:v>1589</x:v>
      </x:c>
      <x:c r="E12" s="745" t="s">
        <x:v>1590</x:v>
      </x:c>
    </x:row>
    <x:row r="13" ht="45.75" hidden="0" customHeight="1">
      <x:c r="A13" s="707" t="s">
        <x:v>1591</x:v>
      </x:c>
      <x:c r="B13" s="707" t="s">
        <x:v>1592</x:v>
      </x:c>
      <x:c r="C13" s="707" t="str">
        <x:v>S08_Defaults!B9 = 20%</x:v>
      </x:c>
      <x:c r="D13" s="707" t="str">
        <x:v>Compliant (conservative ex-ante placeholder)</x:v>
      </x:c>
      <x:c r="E13" s="707" t="str">
        <x:v>20% exceeds the VM0047 §8.7(3) minimum 10% ex-ante deduction. It is explicitly treated as a flat ex-ante deduction, not Eq.(28); field SE-based Eq.(28) must replace it at verification.</x:v>
      </x:c>
    </x:row>
    <x:row r="14" ht="45.75" hidden="0" customHeight="1">
      <x:c r="A14" s="745" t="s">
        <x:v>1593</x:v>
      </x:c>
      <x:c r="B14" s="745" t="s">
        <x:v>1594</x:v>
      </x:c>
      <x:c r="C14" s="745" t="str">
        <x:v>S09_PB_Input; supplied TCARI Stocking Index PB report</x:v>
      </x:c>
      <x:c r="D14" s="745" t="str">
        <x:v>Compliant - report-derived PB</x:v>
      </x:c>
      <x:c r="E14" s="745" t="str">
        <x:v>PB is report-derived and applied biome-wise: 1.2188% for Deserts &amp; Xeric Shrublands, 31.2330% for Tropical &amp; Subtropical Moist Broadleaf Forests, and 19.1613% for Tropical &amp; Subtropical Dry Broadleaf Forests. Previous 8%/15%/15% assumptions are retired.</x:v>
      </x:c>
    </x:row>
    <x:row r="15" ht="23.25" hidden="0" customHeight="1">
      <x:c r="A15" s="747" t="s">
        <x:v>1595</x:v>
      </x:c>
      <x:c r="B15" s="747" t="s">
        <x:v>1596</x:v>
      </x:c>
      <x:c r="C15" s="747" t="str">
        <x:v>S09_PB_Input rows 31/49/67</x:v>
      </x:c>
      <x:c r="D15" s="747" t="str">
        <x:v>Compliant - Z-test integrated</x:v>
      </x:c>
      <x:c r="E15" s="747" t="str">
        <x:v>Appendix 1 Z-tests are present and significant: Z=11.3533 (Deserts &amp; Xeric Shrublands), 4.4943 (Tropical &amp; Subtropical Moist Broadleaf Forests), and 7.4816 (Tropical &amp; Subtropical Dry Broadleaf Forests).</x:v>
      </x:c>
    </x:row>
    <x:row r="16" ht="34.5" hidden="0" customHeight="1">
      <x:c r="A16" s="707" t="s">
        <x:v>1597</x:v>
      </x:c>
      <x:c r="B16" s="707" t="s">
        <x:v>1598</x:v>
      </x:c>
      <x:c r="C16" s="707" t="str">
        <x:v>All Biome×Model sheets, cols G-H</x:v>
      </x:c>
      <x:c r="D16" s="707" t="s">
        <x:v>329</x:v>
      </x:c>
      <x:c r="E16" s="707" t="s">
        <x:v>1599</x:v>
      </x:c>
    </x:row>
    <x:row r="17" ht="15" hidden="0" customHeight="1">
      <x:c r="A17" s="707" t="s">
        <x:v>1600</x:v>
      </x:c>
      <x:c r="B17" s="707" t="s">
        <x:v>1601</x:v>
      </x:c>
      <x:c r="C17" s="707" t="str">
        <x:v>All Biome×Model sheets col I</x:v>
      </x:c>
      <x:c r="D17" s="707" t="s">
        <x:v>329</x:v>
      </x:c>
      <x:c r="E17" s="707"/>
    </x:row>
    <x:row r="18" ht="34.5" hidden="0" customHeight="1">
      <x:c r="A18" s="707" t="s">
        <x:v>1602</x:v>
      </x:c>
      <x:c r="B18" s="707" t="s">
        <x:v>1603</x:v>
      </x:c>
      <x:c r="C18" s="707" t="str">
        <x:v>Biome×Model sheets cols J-N; S04_Final_ERR rows 43-56</x:v>
      </x:c>
      <x:c r="D18" s="707" t="s">
        <x:v>329</x:v>
      </x:c>
      <x:c r="E18" s="707" t="s">
        <x:v>1604</x:v>
      </x:c>
    </x:row>
    <x:row r="19" ht="34.5" hidden="0" customHeight="1">
      <x:c r="A19" s="745" t="s">
        <x:v>1605</x:v>
      </x:c>
      <x:c r="B19" s="745" t="s">
        <x:v>1606</x:v>
      </x:c>
      <x:c r="C19" s="745" t="s">
        <x:v>1607</x:v>
      </x:c>
      <x:c r="D19" s="745" t="s">
        <x:v>1577</x:v>
      </x:c>
      <x:c r="E19" s="745" t="s">
        <x:v>1608</x:v>
      </x:c>
    </x:row>
    <x:row r="20" ht="57" hidden="0" customHeight="1">
      <x:c r="A20" s="707" t="s">
        <x:v>1609</x:v>
      </x:c>
      <x:c r="B20" s="707" t="s">
        <x:v>1610</x:v>
      </x:c>
      <x:c r="C20" s="707" t="str">
        <x:v>S14_Growth_Model_ExAnte → S15_Source_Strata → S17_Biome_Strata → Biome ER sheets → 12 Biome×Model sheets → S04_Final_ERR</x:v>
      </x:c>
      <x:c r="D20" s="707" t="s">
        <x:v>1611</x:v>
      </x:c>
      <x:c r="E20" s="707" t="str">
        <x:v>Live formula chain: normalized 0.09-ha PSP species counts feed Chapman-Richards + Chave AGB; S15_Source_Strata derives stratum statistics; S17_Biome_Strata applies eligible area; biome PB, deductions, LTA and buffer then flow to S04_Final_ERR. No pasted biomass/stock values remain in the accounting chain.</x:v>
      </x:c>
    </x:row>
    <x:row r="21" ht="34.5" hidden="0" customHeight="1">
      <x:c r="A21" s="745" t="s">
        <x:v>1612</x:v>
      </x:c>
      <x:c r="B21" s="745" t="s">
        <x:v>1613</x:v>
      </x:c>
      <x:c r="C21" s="745" t="str">
        <x:v>S40_References</x:v>
      </x:c>
      <x:c r="D21" s="745" t="str">
        <x:v>Compliant - current crosswalk</x:v>
      </x:c>
      <x:c r="E21" s="745" t="str">
        <x:v>Reference crosswalk now includes VM0047 Appendix 1/2/3, VMD0054 v1.1 and the supplied PB report used for the live biome-specific PB/Z-test calculations.</x:v>
      </x:c>
    </x:row>
    <x:row r="22" ht="90.75" hidden="0" customHeight="1">
      <x:c r="A22" s="915" t="s">
        <x:v>1614</x:v>
      </x:c>
      <x:c r="B22" s="915" t="str">
        <x:v>Mortality / survival and fixed 30m x 30m PSP normalization applied to growth projections</x:v>
      </x:c>
      <x:c r="C22" s="915" t="str">
        <x:v>S14_Growth_Model_ExAnte; S13_PSP_Species_Support; S08_Defaults rows 34-45</x:v>
      </x:c>
      <x:c r="D22" s="915" t="str">
        <x:v>Implemented - count QA flags retained</x:v>
      </x:c>
      <x:c r="E22" s="915" t="str">
        <x:v>Source parcel species counts are preserved for audit and normalized to a fixed 0.09-ha PSP before AGB calculation. Mortality/survival is applied to age curves. The 0.09-ha PSP is a sampling unit; project crediting still scales per-ha stock to the 2,851.7985-ha eligible ERR area. Five PSPs currently exceed the tree-count QA tolerance between species-count-derived and density-derived plot counts and are flagged REVIEW in S13_PSP_Species_Support.</x:v>
      </x:c>
    </x:row>
  </x:sheetData>
  <x:mergeCells>
    <x:mergeCell ref="A1:E1"/>
    <x:mergeCell ref="A2:E2"/>
  </x:mergeCells>
  <x:pageMargins left="0.7" right="0.7" top="0.75" bottom="0.75" header="0.3" footer="0.3"/>
</x:worksheet>
</file>

<file path=xl/worksheets/sheet40.xml><?xml version="1.0" encoding="utf-8"?>
<x:worksheet xmlns:x="http://schemas.openxmlformats.org/spreadsheetml/2006/main">
  <x:sheetPr>
    <x:tabColor rgb="FFC8A22A"/>
  </x:sheetPr>
  <x:sheetViews>
    <x:sheetView showGridLines="1" workbookViewId="0"/>
  </x:sheetViews>
  <x:sheetFormatPr defaultColWidth="8.6796875" defaultRowHeight="15"/>
  <x:cols>
    <x:col min="1" max="1" width="32" style="37" hidden="0" customWidth="1"/>
    <x:col min="2" max="2" width="42" style="37" hidden="0" customWidth="1"/>
    <x:col min="3" max="3" width="56" style="37" hidden="0" customWidth="1"/>
    <x:col min="4" max="4" width="78" style="37" hidden="0" customWidth="1"/>
    <x:col min="5" max="5" width="48" style="37" hidden="0" customWidth="1"/>
  </x:cols>
  <x:sheetData>
    <x:row r="1" ht="24" hidden="0" customHeight="1">
      <x:c r="A1" s="987" t="s">
        <x:v>1615</x:v>
      </x:c>
      <x:c r="B1" s="987"/>
      <x:c r="C1" s="987"/>
      <x:c r="D1" s="987"/>
      <x:c r="E1" s="987"/>
    </x:row>
    <x:row r="2" ht="15" hidden="0" customHeight="1">
      <x:c r="A2" s="709"/>
      <x:c r="B2" s="709"/>
      <x:c r="C2" s="709"/>
      <x:c r="D2" s="709"/>
      <x:c r="E2" s="709"/>
    </x:row>
    <x:row r="3" ht="15" hidden="0" customHeight="1">
      <x:c r="A3" s="754" t="s">
        <x:v>1616</x:v>
      </x:c>
      <x:c r="B3" s="754" t="s">
        <x:v>1617</x:v>
      </x:c>
      <x:c r="C3" s="754" t="s">
        <x:v>1618</x:v>
      </x:c>
      <x:c r="D3" s="754" t="s">
        <x:v>1619</x:v>
      </x:c>
      <x:c r="E3" s="754" t="s">
        <x:v>1420</x:v>
      </x:c>
    </x:row>
    <x:row r="4" ht="41.25" hidden="0" customHeight="1">
      <x:c r="A4" s="771" t="s">
        <x:v>1620</x:v>
      </x:c>
      <x:c r="B4" s="771" t="str">
        <x:v>v1.1 | Eq. (1),(2),(3),(4),(12),(28),(32),(34), Appendix 1 PB &amp; Z-test</x:v>
      </x:c>
      <x:c r="C4" s="771" t="s">
        <x:v>1621</x:v>
      </x:c>
      <x:c r="D4" s="771" t="s">
        <x:v>1622</x:v>
      </x:c>
      <x:c r="E4" s="771" t="s">
        <x:v>1623</x:v>
      </x:c>
    </x:row>
    <x:row r="5" ht="27.75" hidden="0" customHeight="1">
      <x:c r="A5" s="771" t="s">
        <x:v>1624</x:v>
      </x:c>
      <x:c r="B5" s="771" t="s">
        <x:v>1625</x:v>
      </x:c>
      <x:c r="C5" s="771" t="s">
        <x:v>1626</x:v>
      </x:c>
      <x:c r="D5" s="771" t="s">
        <x:v>1627</x:v>
      </x:c>
      <x:c r="E5" s="771" t="s">
        <x:v>1628</x:v>
      </x:c>
    </x:row>
    <x:row r="6" ht="27.75" hidden="0" customHeight="1">
      <x:c r="A6" s="771" t="s">
        <x:v>1629</x:v>
      </x:c>
      <x:c r="B6" s="771" t="s">
        <x:v>1630</x:v>
      </x:c>
      <x:c r="C6" s="771" t="s">
        <x:v>1631</x:v>
      </x:c>
      <x:c r="D6" s="771" t="s">
        <x:v>1632</x:v>
      </x:c>
      <x:c r="E6" s="771" t="s">
        <x:v>1633</x:v>
      </x:c>
    </x:row>
    <x:row r="7" ht="15" hidden="0" customHeight="1">
      <x:c r="A7" s="771" t="s">
        <x:v>1634</x:v>
      </x:c>
      <x:c r="B7" s="771" t="s">
        <x:v>1635</x:v>
      </x:c>
      <x:c r="C7" s="771" t="s">
        <x:v>1636</x:v>
      </x:c>
      <x:c r="D7" s="771" t="s">
        <x:v>1637</x:v>
      </x:c>
      <x:c r="E7" s="771" t="s">
        <x:v>1638</x:v>
      </x:c>
    </x:row>
    <x:row r="8" ht="15" hidden="0" customHeight="1">
      <x:c r="A8" s="771" t="s">
        <x:v>1639</x:v>
      </x:c>
      <x:c r="B8" s="771" t="s">
        <x:v>1640</x:v>
      </x:c>
      <x:c r="C8" s="771" t="str">
        <x:v>Biome and PB structure reference</x:v>
      </x:c>
      <x:c r="D8" s="771" t="s">
        <x:v>1641</x:v>
      </x:c>
      <x:c r="E8" s="771" t="str">
        <x:v>Deserts &amp; Xeric Shrublands / Tropical &amp; Subtropical Moist Broadleaf Forests / Tropical &amp; Subtropical Dry Broadleaf Forests structure retained conceptually</x:v>
      </x:c>
    </x:row>
    <x:row r="9" ht="34.5" hidden="0" customHeight="1">
      <x:c r="A9" s="916" t="s">
        <x:v>1642</x:v>
      </x:c>
      <x:c r="B9" s="916" t="s">
        <x:v>1643</x:v>
      </x:c>
      <x:c r="C9" s="916" t="s">
        <x:v>1644</x:v>
      </x:c>
      <x:c r="D9" s="916" t="s">
        <x:v>1407</x:v>
      </x:c>
      <x:c r="E9" s="916" t="s">
        <x:v>1645</x:v>
      </x:c>
    </x:row>
    <x:row r="10" ht="23.25" hidden="0" customHeight="1">
      <x:c r="A10" s="916" t="s">
        <x:v>1646</x:v>
      </x:c>
      <x:c r="B10" s="916" t="s">
        <x:v>1647</x:v>
      </x:c>
      <x:c r="C10" s="916" t="s">
        <x:v>1648</x:v>
      </x:c>
      <x:c r="D10" s="916" t="s">
        <x:v>1649</x:v>
      </x:c>
      <x:c r="E10" s="916" t="str">
        <x:v>Applied in S09_PB_Input using the supplied TCARI Stocking Index PB report. Biome PB values and significant Z-tests are live; the former zero/8%/15% placeholder assumptions are retired.</x:v>
      </x:c>
    </x:row>
    <x:row r="11" ht="23.25" hidden="0" customHeight="1">
      <x:c r="A11" s="916" t="s">
        <x:v>1650</x:v>
      </x:c>
      <x:c r="B11" s="916" t="s">
        <x:v>1651</x:v>
      </x:c>
      <x:c r="C11" s="916" t="s">
        <x:v>1652</x:v>
      </x:c>
      <x:c r="D11" s="916" t="s">
        <x:v>1622</x:v>
      </x:c>
      <x:c r="E11" s="916" t="s">
        <x:v>1653</x:v>
      </x:c>
    </x:row>
    <x:row r="12" ht="23.25" hidden="0" customHeight="1">
      <x:c r="A12" s="916" t="s">
        <x:v>1654</x:v>
      </x:c>
      <x:c r="B12" s="916" t="s">
        <x:v>1655</x:v>
      </x:c>
      <x:c r="C12" s="916" t="s">
        <x:v>1656</x:v>
      </x:c>
      <x:c r="D12" s="916" t="s">
        <x:v>1649</x:v>
      </x:c>
      <x:c r="E12" s="916" t="s">
        <x:v>1657</x:v>
      </x:c>
    </x:row>
    <x:row r="13" ht="34.5" hidden="0" customHeight="1">
      <x:c r="A13" s="916" t="s">
        <x:v>1658</x:v>
      </x:c>
      <x:c r="B13" s="916" t="s">
        <x:v>1659</x:v>
      </x:c>
      <x:c r="C13" s="916" t="s">
        <x:v>1660</x:v>
      </x:c>
      <x:c r="D13" s="916" t="s">
        <x:v>1661</x:v>
      </x:c>
      <x:c r="E13" s="916" t="s">
        <x:v>1662</x:v>
      </x:c>
    </x:row>
    <x:row r="14" ht="23.25" hidden="0" customHeight="1">
      <x:c r="A14" s="916" t="s">
        <x:v>1663</x:v>
      </x:c>
      <x:c r="B14" s="916" t="s">
        <x:v>1664</x:v>
      </x:c>
      <x:c r="C14" s="916" t="s">
        <x:v>1665</x:v>
      </x:c>
      <x:c r="D14" s="916" t="s">
        <x:v>1666</x:v>
      </x:c>
      <x:c r="E14" s="916" t="s">
        <x:v>1574</x:v>
      </x:c>
    </x:row>
    <x:row r="15" ht="23.25" hidden="0" customHeight="1">
      <x:c r="A15" s="916" t="s">
        <x:v>1667</x:v>
      </x:c>
      <x:c r="B15" s="916" t="s">
        <x:v>1668</x:v>
      </x:c>
      <x:c r="C15" s="916" t="s">
        <x:v>1669</x:v>
      </x:c>
      <x:c r="D15" s="916" t="s">
        <x:v>1666</x:v>
      </x:c>
      <x:c r="E15" s="916" t="s">
        <x:v>1670</x:v>
      </x:c>
    </x:row>
    <x:row r="16" ht="15" hidden="0" customHeight="1">
      <x:c r="A16" s="916" t="s">
        <x:v>1671</x:v>
      </x:c>
      <x:c r="B16" s="916" t="s">
        <x:v>1672</x:v>
      </x:c>
      <x:c r="C16" s="916" t="s">
        <x:v>1673</x:v>
      </x:c>
      <x:c r="D16" s="916" t="s">
        <x:v>1674</x:v>
      </x:c>
      <x:c r="E16" s="916" t="s">
        <x:v>1670</x:v>
      </x:c>
    </x:row>
    <x:row r="17" ht="23.25" hidden="0" customHeight="1">
      <x:c r="A17" s="916" t="s">
        <x:v>1675</x:v>
      </x:c>
      <x:c r="B17" s="916" t="s">
        <x:v>1676</x:v>
      </x:c>
      <x:c r="C17" s="916" t="s">
        <x:v>1677</x:v>
      </x:c>
      <x:c r="D17" s="916" t="s">
        <x:v>1678</x:v>
      </x:c>
      <x:c r="E17" s="916" t="s">
        <x:v>24</x:v>
      </x:c>
    </x:row>
    <x:row r="18" ht="23.25" hidden="0" customHeight="1">
      <x:c r="A18" s="916" t="s">
        <x:v>1642</x:v>
      </x:c>
      <x:c r="B18" s="916" t="s">
        <x:v>1679</x:v>
      </x:c>
      <x:c r="C18" s="916" t="s">
        <x:v>1680</x:v>
      </x:c>
      <x:c r="D18" s="916" t="s">
        <x:v>1407</x:v>
      </x:c>
      <x:c r="E18" s="916" t="s">
        <x:v>38</x:v>
      </x:c>
    </x:row>
    <x:row r="19" ht="23.25" hidden="0" customHeight="1">
      <x:c r="A19" s="916" t="s">
        <x:v>1624</x:v>
      </x:c>
      <x:c r="B19" s="916" t="s">
        <x:v>1681</x:v>
      </x:c>
      <x:c r="C19" s="916" t="s">
        <x:v>1682</x:v>
      </x:c>
      <x:c r="D19" s="916" t="s">
        <x:v>1683</x:v>
      </x:c>
      <x:c r="E19" s="916" t="s">
        <x:v>1684</x:v>
      </x:c>
    </x:row>
    <x:row r="20" ht="23.25" hidden="0" customHeight="1">
      <x:c r="A20" s="916" t="s">
        <x:v>1685</x:v>
      </x:c>
      <x:c r="B20" s="916" t="s">
        <x:v>1686</x:v>
      </x:c>
      <x:c r="C20" s="916" t="s">
        <x:v>1687</x:v>
      </x:c>
      <x:c r="D20" s="916" t="s">
        <x:v>1688</x:v>
      </x:c>
      <x:c r="E20" s="916" t="s">
        <x:v>36</x:v>
      </x:c>
    </x:row>
    <x:row r="21" ht="23.25" hidden="0" customHeight="1">
      <x:c r="A21" s="916" t="s">
        <x:v>1689</x:v>
      </x:c>
      <x:c r="B21" s="916" t="s">
        <x:v>1686</x:v>
      </x:c>
      <x:c r="C21" s="916" t="s">
        <x:v>1690</x:v>
      </x:c>
      <x:c r="D21" s="916" t="s">
        <x:v>1688</x:v>
      </x:c>
      <x:c r="E21" s="916" t="s">
        <x:v>1691</x:v>
      </x:c>
    </x:row>
    <x:row r="22" ht="23.25" hidden="0" customHeight="1">
      <x:c r="A22" s="916" t="s">
        <x:v>1692</x:v>
      </x:c>
      <x:c r="B22" s="916" t="s">
        <x:v>1693</x:v>
      </x:c>
      <x:c r="C22" s="916" t="s">
        <x:v>1694</x:v>
      </x:c>
      <x:c r="D22" s="916" t="s">
        <x:v>1688</x:v>
      </x:c>
      <x:c r="E22" s="916" t="s">
        <x:v>1695</x:v>
      </x:c>
    </x:row>
    <x:row r="23" ht="23.25" hidden="0" customHeight="1">
      <x:c r="A23" s="916" t="s">
        <x:v>1696</x:v>
      </x:c>
      <x:c r="B23" s="916" t="s">
        <x:v>1693</x:v>
      </x:c>
      <x:c r="C23" s="916" t="str">
        <x:v>Underlying farmer-parcel population records/area supporting the eligible project matrix; not used as a static biomass calibration input</x:v>
      </x:c>
      <x:c r="D23" s="916" t="s">
        <x:v>1688</x:v>
      </x:c>
      <x:c r="E23" s="916" t="str">
        <x:v>Population/area support only; biomass means/SD/CV are formula-derived from PSP growth curves.</x:v>
      </x:c>
    </x:row>
    <x:row r="24" ht="15" hidden="0" customHeight="1">
      <x:c r="A24" s="649" t="s">
        <x:v>1697</x:v>
      </x:c>
      <x:c r="B24" s="649" t="s">
        <x:v>1698</x:v>
      </x:c>
      <x:c r="C24" s="649" t="s">
        <x:v>1412</x:v>
      </x:c>
      <x:c r="D24" s="649" t="s">
        <x:v>1699</x:v>
      </x:c>
      <x:c r="E24" s="649" t="s">
        <x:v>1700</x:v>
      </x:c>
    </x:row>
    <x:row r="25" ht="34.5" hidden="0" customHeight="1">
      <x:c r="A25" s="876" t="s">
        <x:v>1701</x:v>
      </x:c>
      <x:c r="B25" s="876" t="s">
        <x:v>1702</x:v>
      </x:c>
      <x:c r="C25" s="876" t="s">
        <x:v>1703</x:v>
      </x:c>
      <x:c r="D25" s="876" t="s">
        <x:v>1704</x:v>
      </x:c>
      <x:c r="E25" s="876" t="s">
        <x:v>1705</x:v>
      </x:c>
    </x:row>
    <x:row r="26">
      <x:c r="A26" s="990" t="str">
        <x:v>20260814_304027_GKF_ProjectPlots_PB.xlsx</x:v>
      </x:c>
      <x:c r="B26" s="990" t="str">
        <x:v>Supplied PB report | TCARI Stocking Index</x:v>
      </x:c>
      <x:c r="C26" s="990" t="str">
        <x:v>Biome-specific performance benchmark and Appendix 1 Z-test results</x:v>
      </x:c>
      <x:c r="D26" s="990" t="str">
        <x:v>Internal project document (Project)</x:v>
      </x:c>
      <x:c r="E26" s="990" t="str">
        <x:v>S09_PB_Input; PB = 1.2188% / 31.2330% / 19.1613%; Z = 11.3533 / 4.4943 / 7.4816, all significant.</x:v>
      </x:c>
    </x:row>
  </x:sheetData>
  <x:mergeCells>
    <x:mergeCell ref="A1:E1"/>
  </x:mergeCells>
  <x:pageMargins left="0.7" right="0.7" top="0.75" bottom="0.75" header="0.3" footer="0.3"/>
</x:worksheet>
</file>

<file path=xl/worksheets/sheet41.xml><?xml version="1.0" encoding="utf-8"?>
<x:worksheet xmlns:x="http://schemas.openxmlformats.org/spreadsheetml/2006/main">
  <x:sheetFormatPr defaultRowHeight="15"/>
  <x:sheetData>
    <x:row r="1">
      <x:c r="A1" s="637" t="str">
        <x:v>Performance Benchmark Project-Plot Support | 90 Project Plots</x:v>
      </x:c>
      <x:c r="B1" s="637"/>
      <x:c r="C1" s="637"/>
      <x:c r="D1" s="637"/>
      <x:c r="E1" s="637"/>
      <x:c r="F1" s="637"/>
      <x:c r="G1" s="637"/>
      <x:c r="H1" s="637"/>
      <x:c r="I1" s="637"/>
      <x:c r="J1" s="637"/>
      <x:c r="K1" s="637"/>
      <x:c r="L1" s="637"/>
      <x:c r="M1" s="637"/>
      <x:c r="N1" s="637"/>
      <x:c r="O1" s="637"/>
      <x:c r="P1" s="637"/>
      <x:c r="Q1" s="637"/>
    </x:row>
    <x:row r="2">
      <x:c r="A2" s="641" t="str">
        <x:v>30 project plots per biome from the supplied PB report, linked to farmer-database identifiers. Individual control-plot records were not included in the supplied PB workbook; aggregate control statistics are retained in S09_PB_Input.</x:v>
      </x:c>
      <x:c r="B2" s="641"/>
      <x:c r="C2" s="641"/>
      <x:c r="D2" s="641"/>
      <x:c r="E2" s="641"/>
      <x:c r="F2" s="641"/>
      <x:c r="G2" s="641"/>
      <x:c r="H2" s="641"/>
      <x:c r="I2" s="641"/>
      <x:c r="J2" s="641"/>
      <x:c r="K2" s="641"/>
      <x:c r="L2" s="641"/>
      <x:c r="M2" s="641"/>
      <x:c r="N2" s="641"/>
      <x:c r="O2" s="641"/>
      <x:c r="P2" s="641"/>
      <x:c r="Q2" s="641"/>
    </x:row>
    <x:row r="4">
      <x:c r="A4" s="615" t="str">
        <x:v>Biome</x:v>
      </x:c>
      <x:c r="B4" s="615" t="str">
        <x:v>PB Project Plot ID</x:v>
      </x:c>
      <x:c r="C4" s="615" t="str">
        <x:v>sample_id</x:v>
      </x:c>
      <x:c r="D4" s="615" t="str">
        <x:v>Farmer DB S.NO</x:v>
      </x:c>
      <x:c r="E4" s="615" t="str">
        <x:v>Farmer / Company</x:v>
      </x:c>
      <x:c r="F4" s="615" t="str">
        <x:v>District</x:v>
      </x:c>
      <x:c r="G4" s="615" t="str">
        <x:v>State</x:v>
      </x:c>
      <x:c r="H4" s="615" t="str">
        <x:v>Plantation Year</x:v>
      </x:c>
      <x:c r="I4" s="615" t="str">
        <x:v>Area Ha (Final)</x:v>
      </x:c>
      <x:c r="J4" s="615" t="str">
        <x:v>Tree Density /ha</x:v>
      </x:c>
      <x:c r="K4" s="615" t="str">
        <x:v>Agroforestry Model</x:v>
      </x:c>
      <x:c r="L4" s="615" t="str">
        <x:v>SI 2020</x:v>
      </x:c>
      <x:c r="M4" s="615" t="str">
        <x:v>SI 2021</x:v>
      </x:c>
      <x:c r="N4" s="615" t="str">
        <x:v>SI 2022</x:v>
      </x:c>
      <x:c r="O4" s="615" t="str">
        <x:v>SI 2023</x:v>
      </x:c>
      <x:c r="P4" s="615" t="str">
        <x:v>SI 2024</x:v>
      </x:c>
      <x:c r="Q4" s="615" t="str">
        <x:v>AVG 2020-24</x:v>
      </x:c>
    </x:row>
    <x:row r="5">
      <x:c r="A5" s="649" t="str">
        <x:v>Deserts &amp; Xeric Shrublands</x:v>
      </x:c>
      <x:c r="B5" s="649" t="str">
        <x:v>L03P296</x:v>
      </x:c>
      <x:c r="C5" s="649" t="n">
        <x:v>296</x:v>
      </x:c>
      <x:c r="D5" s="649" t="n">
        <x:v>3957</x:v>
      </x:c>
      <x:c r="E5" s="649" t="str">
        <x:v>CH.MADHAVA REDDY</x:v>
      </x:c>
      <x:c r="F5" s="649" t="str">
        <x:v>ANANTHAPURAM</x:v>
      </x:c>
      <x:c r="G5" s="649" t="str">
        <x:v>ANDHRA PRADESH</x:v>
      </x:c>
      <x:c r="H5" s="649" t="n">
        <x:v>2020</x:v>
      </x:c>
      <x:c r="I5" s="650" t="n">
        <x:v>4.8118</x:v>
      </x:c>
      <x:c r="J5" s="649" t="n">
        <x:v>311.73</x:v>
      </x:c>
      <x:c r="K5" s="649" t="str">
        <x:v>Fruit Orchard (Block)
 (Mango, Mosambi, Pomegranate)</x:v>
      </x:c>
      <x:c r="L5" s="651" t="n">
        <x:v>0.065769</x:v>
      </x:c>
      <x:c r="M5" s="651" t="n">
        <x:v>0.086655</x:v>
      </x:c>
      <x:c r="N5" s="651" t="n">
        <x:v>0.109901</x:v>
      </x:c>
      <x:c r="O5" s="651" t="n">
        <x:v>0.104648</x:v>
      </x:c>
      <x:c r="P5" s="651" t="n">
        <x:v>0.130397</x:v>
      </x:c>
      <x:c r="Q5" s="651" t="n">
        <x:v>0.099474</x:v>
      </x:c>
    </x:row>
    <x:row r="6">
      <x:c r="A6" s="649" t="str">
        <x:v>Deserts &amp; Xeric Shrublands</x:v>
      </x:c>
      <x:c r="B6" s="649" t="str">
        <x:v>L03P570</x:v>
      </x:c>
      <x:c r="C6" s="649" t="n">
        <x:v>570</x:v>
      </x:c>
      <x:c r="D6" s="649" t="n">
        <x:v>687</x:v>
      </x:c>
      <x:c r="E6" s="649" t="str">
        <x:v>B.VENKATA PRASAD</x:v>
      </x:c>
      <x:c r="F6" s="649" t="str">
        <x:v>ANANTHAPURAM</x:v>
      </x:c>
      <x:c r="G6" s="649" t="str">
        <x:v>ANDHRA PRADESH</x:v>
      </x:c>
      <x:c r="H6" s="649" t="n">
        <x:v>2020</x:v>
      </x:c>
      <x:c r="I6" s="650" t="n">
        <x:v>2.2035</x:v>
      </x:c>
      <x:c r="J6" s="649" t="n">
        <x:v>453.82</x:v>
      </x:c>
      <x:c r="K6" s="649" t="str">
        <x:v>Fruit Orchard (Block)
 (Mango, Mosambi, Pomegranate)</x:v>
      </x:c>
      <x:c r="L6" s="651" t="n">
        <x:v>0.038455</x:v>
      </x:c>
      <x:c r="M6" s="651" t="n">
        <x:v>0.040365</x:v>
      </x:c>
      <x:c r="N6" s="651" t="n">
        <x:v>0.067775</x:v>
      </x:c>
      <x:c r="O6" s="651" t="n">
        <x:v>0.085572</x:v>
      </x:c>
      <x:c r="P6" s="651" t="n">
        <x:v>0.119324</x:v>
      </x:c>
      <x:c r="Q6" s="651" t="n">
        <x:v>0.0702982</x:v>
      </x:c>
    </x:row>
    <x:row r="7">
      <x:c r="A7" s="649" t="str">
        <x:v>Deserts &amp; Xeric Shrublands</x:v>
      </x:c>
      <x:c r="B7" s="649" t="str">
        <x:v>L03P1016</x:v>
      </x:c>
      <x:c r="C7" s="649" t="n">
        <x:v>1016</x:v>
      </x:c>
      <x:c r="D7" s="649" t="n">
        <x:v>537</x:v>
      </x:c>
      <x:c r="E7" s="649" t="str">
        <x:v>G.VENKATA RAMANA</x:v>
      </x:c>
      <x:c r="F7" s="649" t="str">
        <x:v>ANANTHAPURAM</x:v>
      </x:c>
      <x:c r="G7" s="649" t="str">
        <x:v>ANDHRA PRADESH</x:v>
      </x:c>
      <x:c r="H7" s="649" t="n">
        <x:v>2021</x:v>
      </x:c>
      <x:c r="I7" s="650" t="n">
        <x:v>7.1195</x:v>
      </x:c>
      <x:c r="J7" s="649" t="n">
        <x:v>259.85</x:v>
      </x:c>
      <x:c r="K7" s="649" t="str">
        <x:v>Horti-Silviculture
 (Fruit + Timber Integration)</x:v>
      </x:c>
      <x:c r="L7" s="651" t="n">
        <x:v>0.021292</x:v>
      </x:c>
      <x:c r="M7" s="651" t="n">
        <x:v>0.058193</x:v>
      </x:c>
      <x:c r="N7" s="651" t="n">
        <x:v>0.059198</x:v>
      </x:c>
      <x:c r="O7" s="651" t="n">
        <x:v>0.070448</x:v>
      </x:c>
      <x:c r="P7" s="651" t="n">
        <x:v>0.111995</x:v>
      </x:c>
      <x:c r="Q7" s="651" t="n">
        <x:v>0.0642252</x:v>
      </x:c>
    </x:row>
    <x:row r="8">
      <x:c r="A8" s="649" t="str">
        <x:v>Deserts &amp; Xeric Shrublands</x:v>
      </x:c>
      <x:c r="B8" s="649" t="str">
        <x:v>L03P1175</x:v>
      </x:c>
      <x:c r="C8" s="649" t="n">
        <x:v>1175</x:v>
      </x:c>
      <x:c r="D8" s="649" t="n">
        <x:v>7</x:v>
      </x:c>
      <x:c r="E8" s="649" t="str">
        <x:v>S.SREERAMULU</x:v>
      </x:c>
      <x:c r="F8" s="649" t="str">
        <x:v>ANANTHAPURAM</x:v>
      </x:c>
      <x:c r="G8" s="649" t="str">
        <x:v>ANDHRA PRADESH</x:v>
      </x:c>
      <x:c r="H8" s="649" t="n">
        <x:v>2022</x:v>
      </x:c>
      <x:c r="I8" s="650" t="n">
        <x:v>2.5711</x:v>
      </x:c>
      <x:c r="J8" s="649" t="n">
        <x:v>116.68</x:v>
      </x:c>
      <x:c r="K8" s="649" t="str">
        <x:v>Fruit Orchard (Block)
 (Mango, Mosambi, Pomegranate)</x:v>
      </x:c>
      <x:c r="L8" s="651" t="n">
        <x:v>0.02781</x:v>
      </x:c>
      <x:c r="M8" s="651" t="n">
        <x:v>0.049202</x:v>
      </x:c>
      <x:c r="N8" s="651" t="n">
        <x:v>0.053947</x:v>
      </x:c>
      <x:c r="O8" s="651" t="n">
        <x:v>0.119411</x:v>
      </x:c>
      <x:c r="P8" s="651" t="n">
        <x:v>0.126276</x:v>
      </x:c>
      <x:c r="Q8" s="651" t="n">
        <x:v>0.0753292</x:v>
      </x:c>
    </x:row>
    <x:row r="9">
      <x:c r="A9" s="649" t="str">
        <x:v>Deserts &amp; Xeric Shrublands</x:v>
      </x:c>
      <x:c r="B9" s="649" t="str">
        <x:v>L03P1251</x:v>
      </x:c>
      <x:c r="C9" s="649" t="n">
        <x:v>1251</x:v>
      </x:c>
      <x:c r="D9" s="649" t="n">
        <x:v>273</x:v>
      </x:c>
      <x:c r="E9" s="649" t="str">
        <x:v>A.NARAYANA SWAMY</x:v>
      </x:c>
      <x:c r="F9" s="649" t="str">
        <x:v>ANANTHAPURAM</x:v>
      </x:c>
      <x:c r="G9" s="649" t="str">
        <x:v>ANDHRA PRADESH</x:v>
      </x:c>
      <x:c r="H9" s="649" t="n">
        <x:v>2021</x:v>
      </x:c>
      <x:c r="I9" s="650" t="n">
        <x:v>1.0457</x:v>
      </x:c>
      <x:c r="J9" s="649" t="n">
        <x:v>669.41</x:v>
      </x:c>
      <x:c r="K9" s="649" t="str">
        <x:v>Fruit Orchard (Block)
 (Mango, Mosambi, Pomegranate)</x:v>
      </x:c>
      <x:c r="L9" s="651" t="n">
        <x:v>0.055125</x:v>
      </x:c>
      <x:c r="M9" s="651" t="n">
        <x:v>0.108769</x:v>
      </x:c>
      <x:c r="N9" s="651" t="n">
        <x:v>0.052557</x:v>
      </x:c>
      <x:c r="O9" s="651" t="n">
        <x:v>0.080217</x:v>
      </x:c>
      <x:c r="P9" s="651" t="n">
        <x:v>0.149807</x:v>
      </x:c>
      <x:c r="Q9" s="651" t="n">
        <x:v>0.089295</x:v>
      </x:c>
    </x:row>
    <x:row r="10">
      <x:c r="A10" s="649" t="str">
        <x:v>Deserts &amp; Xeric Shrublands</x:v>
      </x:c>
      <x:c r="B10" s="649" t="str">
        <x:v>L03P1269</x:v>
      </x:c>
      <x:c r="C10" s="649" t="n">
        <x:v>1269</x:v>
      </x:c>
      <x:c r="D10" s="649" t="n">
        <x:v>286</x:v>
      </x:c>
      <x:c r="E10" s="649" t="str">
        <x:v>S.VENKATA RAMANAMMA</x:v>
      </x:c>
      <x:c r="F10" s="649" t="str">
        <x:v>ANANTHAPURAM</x:v>
      </x:c>
      <x:c r="G10" s="649" t="str">
        <x:v>ANDHRA PRADESH</x:v>
      </x:c>
      <x:c r="H10" s="649" t="n">
        <x:v>2020</x:v>
      </x:c>
      <x:c r="I10" s="650" t="n">
        <x:v>2.0993</x:v>
      </x:c>
      <x:c r="J10" s="649" t="n">
        <x:v>357.26</x:v>
      </x:c>
      <x:c r="K10" s="649" t="str">
        <x:v>Fruit Orchard (Block)
 (Mango, Mosambi, Pomegranate)</x:v>
      </x:c>
      <x:c r="L10" s="651" t="n">
        <x:v>0.082916</x:v>
      </x:c>
      <x:c r="M10" s="651" t="n">
        <x:v>0.047738</x:v>
      </x:c>
      <x:c r="N10" s="651" t="n">
        <x:v>0.10645</x:v>
      </x:c>
      <x:c r="O10" s="651" t="n">
        <x:v>0.128707</x:v>
      </x:c>
      <x:c r="P10" s="651" t="n">
        <x:v>0.155115</x:v>
      </x:c>
      <x:c r="Q10" s="651" t="n">
        <x:v>0.1041852</x:v>
      </x:c>
    </x:row>
    <x:row r="11">
      <x:c r="A11" s="649" t="str">
        <x:v>Deserts &amp; Xeric Shrublands</x:v>
      </x:c>
      <x:c r="B11" s="649" t="str">
        <x:v>L03P1429</x:v>
      </x:c>
      <x:c r="C11" s="649" t="n">
        <x:v>1429</x:v>
      </x:c>
      <x:c r="D11" s="649" t="n">
        <x:v>3985</x:v>
      </x:c>
      <x:c r="E11" s="649" t="str">
        <x:v>CH.MEENAKUMARI</x:v>
      </x:c>
      <x:c r="F11" s="649" t="str">
        <x:v>ANANTHAPURAM</x:v>
      </x:c>
      <x:c r="G11" s="649" t="str">
        <x:v>ANDHRA PRADESH</x:v>
      </x:c>
      <x:c r="H11" s="649" t="n">
        <x:v>2021</x:v>
      </x:c>
      <x:c r="I11" s="650" t="n">
        <x:v>1.6622</x:v>
      </x:c>
      <x:c r="J11" s="649" t="n">
        <x:v>312.84</x:v>
      </x:c>
      <x:c r="K11" s="649" t="str">
        <x:v>Fruit Orchard (Block)
 (Mango, Mosambi, Pomegranate)</x:v>
      </x:c>
      <x:c r="L11" s="651" t="n">
        <x:v>0.053591</x:v>
      </x:c>
      <x:c r="M11" s="651" t="n">
        <x:v>0.070613</x:v>
      </x:c>
      <x:c r="N11" s="651" t="n">
        <x:v>0.077269</x:v>
      </x:c>
      <x:c r="O11" s="651" t="n">
        <x:v>0.097686</x:v>
      </x:c>
      <x:c r="P11" s="651" t="n">
        <x:v>0.131805</x:v>
      </x:c>
      <x:c r="Q11" s="651" t="n">
        <x:v>0.0861928</x:v>
      </x:c>
    </x:row>
    <x:row r="12">
      <x:c r="A12" s="649" t="str">
        <x:v>Deserts &amp; Xeric Shrublands</x:v>
      </x:c>
      <x:c r="B12" s="649" t="str">
        <x:v>L03P1657</x:v>
      </x:c>
      <x:c r="C12" s="649" t="n">
        <x:v>1657</x:v>
      </x:c>
      <x:c r="D12" s="649" t="n">
        <x:v>3997</x:v>
      </x:c>
      <x:c r="E12" s="649" t="str">
        <x:v>D.KRISHAIAH</x:v>
      </x:c>
      <x:c r="F12" s="649" t="str">
        <x:v>ANANTHAPURAM</x:v>
      </x:c>
      <x:c r="G12" s="649" t="str">
        <x:v>ANDHRA PRADESH</x:v>
      </x:c>
      <x:c r="H12" s="649" t="n">
        <x:v>2020</x:v>
      </x:c>
      <x:c r="I12" s="650" t="n">
        <x:v>0.8273</x:v>
      </x:c>
      <x:c r="J12" s="649" t="n">
        <x:v>302.19</x:v>
      </x:c>
      <x:c r="K12" s="649" t="str">
        <x:v>Fruit Orchard (Block)
 (Mango, Mosambi, Pomegranate)</x:v>
      </x:c>
      <x:c r="L12" s="651" t="n">
        <x:v>0.077799</x:v>
      </x:c>
      <x:c r="M12" s="651" t="n">
        <x:v>0.127543</x:v>
      </x:c>
      <x:c r="N12" s="651" t="n">
        <x:v>0.128258</x:v>
      </x:c>
      <x:c r="O12" s="651" t="n">
        <x:v>0.123698</x:v>
      </x:c>
      <x:c r="P12" s="651" t="n">
        <x:v>0.142854</x:v>
      </x:c>
      <x:c r="Q12" s="651" t="n">
        <x:v>0.1200304</x:v>
      </x:c>
    </x:row>
    <x:row r="13">
      <x:c r="A13" s="649" t="str">
        <x:v>Deserts &amp; Xeric Shrublands</x:v>
      </x:c>
      <x:c r="B13" s="649" t="str">
        <x:v>L03P1683</x:v>
      </x:c>
      <x:c r="C13" s="649" t="n">
        <x:v>1683</x:v>
      </x:c>
      <x:c r="D13" s="649" t="n">
        <x:v>3998</x:v>
      </x:c>
      <x:c r="E13" s="649" t="str">
        <x:v>D.SAVITHRI</x:v>
      </x:c>
      <x:c r="F13" s="649" t="str">
        <x:v>ANANTHAPURAM</x:v>
      </x:c>
      <x:c r="G13" s="649" t="str">
        <x:v>ANDHRA PRADESH</x:v>
      </x:c>
      <x:c r="H13" s="649" t="n">
        <x:v>2020</x:v>
      </x:c>
      <x:c r="I13" s="650" t="n">
        <x:v>0.9056</x:v>
      </x:c>
      <x:c r="J13" s="649" t="n">
        <x:v>265.02</x:v>
      </x:c>
      <x:c r="K13" s="649" t="str">
        <x:v>Fruit Orchard (Block)
 (Mango, Mosambi, Pomegranate)</x:v>
      </x:c>
      <x:c r="L13" s="651" t="n">
        <x:v>0.05835</x:v>
      </x:c>
      <x:c r="M13" s="651" t="n">
        <x:v>0.122011</x:v>
      </x:c>
      <x:c r="N13" s="651" t="n">
        <x:v>0.135103</x:v>
      </x:c>
      <x:c r="O13" s="651" t="n">
        <x:v>0.122701</x:v>
      </x:c>
      <x:c r="P13" s="651" t="n">
        <x:v>0.144086</x:v>
      </x:c>
      <x:c r="Q13" s="651" t="n">
        <x:v>0.1164502</x:v>
      </x:c>
    </x:row>
    <x:row r="14">
      <x:c r="A14" s="649" t="str">
        <x:v>Deserts &amp; Xeric Shrublands</x:v>
      </x:c>
      <x:c r="B14" s="649" t="str">
        <x:v>L03P2107</x:v>
      </x:c>
      <x:c r="C14" s="649" t="n">
        <x:v>2107</x:v>
      </x:c>
      <x:c r="D14" s="649" t="n">
        <x:v>57</x:v>
      </x:c>
      <x:c r="E14" s="649" t="str">
        <x:v>G.SHIVA SHANKAR REDDY</x:v>
      </x:c>
      <x:c r="F14" s="649" t="str">
        <x:v>ANANTHAPURAM</x:v>
      </x:c>
      <x:c r="G14" s="649" t="str">
        <x:v>ANDHRA PRADESH</x:v>
      </x:c>
      <x:c r="H14" s="649" t="n">
        <x:v>2021</x:v>
      </x:c>
      <x:c r="I14" s="650" t="n">
        <x:v>1.8208</x:v>
      </x:c>
      <x:c r="J14" s="649" t="n">
        <x:v>216.94</x:v>
      </x:c>
      <x:c r="K14" s="649" t="str">
        <x:v>Fruit Orchard (Block)
 (Mango, Mosambi, Pomegranate)</x:v>
      </x:c>
      <x:c r="L14" s="651" t="n">
        <x:v>0.057248</x:v>
      </x:c>
      <x:c r="M14" s="651" t="n">
        <x:v>0.070114</x:v>
      </x:c>
      <x:c r="N14" s="651" t="n">
        <x:v>0.081875</x:v>
      </x:c>
      <x:c r="O14" s="651" t="n">
        <x:v>0.14156</x:v>
      </x:c>
      <x:c r="P14" s="651" t="n">
        <x:v>0.133051</x:v>
      </x:c>
      <x:c r="Q14" s="651" t="n">
        <x:v>0.0967696</x:v>
      </x:c>
    </x:row>
    <x:row r="15">
      <x:c r="A15" s="649" t="str">
        <x:v>Deserts &amp; Xeric Shrublands</x:v>
      </x:c>
      <x:c r="B15" s="649" t="str">
        <x:v>L03P2291</x:v>
      </x:c>
      <x:c r="C15" s="649" t="n">
        <x:v>2291</x:v>
      </x:c>
      <x:c r="D15" s="649" t="n">
        <x:v>1337</x:v>
      </x:c>
      <x:c r="E15" s="649" t="str">
        <x:v>P.SURYANARAYANA REDDY</x:v>
      </x:c>
      <x:c r="F15" s="649" t="str">
        <x:v>ANANTHAPURAM</x:v>
      </x:c>
      <x:c r="G15" s="649" t="str">
        <x:v>ANDHRA PRADESH</x:v>
      </x:c>
      <x:c r="H15" s="649" t="n">
        <x:v>2020</x:v>
      </x:c>
      <x:c r="I15" s="650" t="n">
        <x:v>0.7771</x:v>
      </x:c>
      <x:c r="J15" s="649" t="n">
        <x:v>1415.52</x:v>
      </x:c>
      <x:c r="K15" s="649" t="str">
        <x:v>Fruit Orchard (Block)
 (Mango, Mosambi, Pomegranate)</x:v>
      </x:c>
      <x:c r="L15" s="651" t="n">
        <x:v>0.082956</x:v>
      </x:c>
      <x:c r="M15" s="651" t="n">
        <x:v>0.106104</x:v>
      </x:c>
      <x:c r="N15" s="651" t="n">
        <x:v>0.107414</x:v>
      </x:c>
      <x:c r="O15" s="651" t="n">
        <x:v>0.116366</x:v>
      </x:c>
      <x:c r="P15" s="651" t="n">
        <x:v>0.14684</x:v>
      </x:c>
      <x:c r="Q15" s="651" t="n">
        <x:v>0.111936</x:v>
      </x:c>
    </x:row>
    <x:row r="16">
      <x:c r="A16" s="649" t="str">
        <x:v>Deserts &amp; Xeric Shrublands</x:v>
      </x:c>
      <x:c r="B16" s="649" t="str">
        <x:v>L03P2408</x:v>
      </x:c>
      <x:c r="C16" s="649" t="n">
        <x:v>2408</x:v>
      </x:c>
      <x:c r="D16" s="649" t="n">
        <x:v>1205</x:v>
      </x:c>
      <x:c r="E16" s="649" t="str">
        <x:v>L.RAMANAMMA</x:v>
      </x:c>
      <x:c r="F16" s="649" t="str">
        <x:v>ANANTHAPURAM</x:v>
      </x:c>
      <x:c r="G16" s="649" t="str">
        <x:v>ANDHRA PRADESH</x:v>
      </x:c>
      <x:c r="H16" s="649" t="n">
        <x:v>2022</x:v>
      </x:c>
      <x:c r="I16" s="650" t="n">
        <x:v>1.068</x:v>
      </x:c>
      <x:c r="J16" s="649" t="n">
        <x:v>346.44</x:v>
      </x:c>
      <x:c r="K16" s="649" t="str">
        <x:v>Fruit Orchard (Block)
 (Mango, Mosambi, Pomegranate)</x:v>
      </x:c>
      <x:c r="L16" s="651" t="n">
        <x:v>0.064335</x:v>
      </x:c>
      <x:c r="M16" s="651" t="n">
        <x:v>0.05351</x:v>
      </x:c>
      <x:c r="N16" s="651" t="n">
        <x:v>0.102488</x:v>
      </x:c>
      <x:c r="O16" s="651" t="n">
        <x:v>0.108559</x:v>
      </x:c>
      <x:c r="P16" s="651" t="n">
        <x:v>0.138583</x:v>
      </x:c>
      <x:c r="Q16" s="651" t="n">
        <x:v>0.093495</x:v>
      </x:c>
    </x:row>
    <x:row r="17">
      <x:c r="A17" s="649" t="str">
        <x:v>Deserts &amp; Xeric Shrublands</x:v>
      </x:c>
      <x:c r="B17" s="649" t="str">
        <x:v>L03P2599</x:v>
      </x:c>
      <x:c r="C17" s="649" t="n">
        <x:v>2599</x:v>
      </x:c>
      <x:c r="D17" s="649" t="n">
        <x:v>854</x:v>
      </x:c>
      <x:c r="E17" s="649" t="str">
        <x:v>G.KAVITHA</x:v>
      </x:c>
      <x:c r="F17" s="649" t="str">
        <x:v>ANANTHAPURAM</x:v>
      </x:c>
      <x:c r="G17" s="649" t="str">
        <x:v>ANDHRA PRADESH</x:v>
      </x:c>
      <x:c r="H17" s="649" t="n">
        <x:v>2020</x:v>
      </x:c>
      <x:c r="I17" s="650" t="n">
        <x:v>0.8159</x:v>
      </x:c>
      <x:c r="J17" s="649" t="n">
        <x:v>576.05</x:v>
      </x:c>
      <x:c r="K17" s="649" t="str">
        <x:v>Fruit Orchard (Block)
 (Mango, Mosambi, Pomegranate)</x:v>
      </x:c>
      <x:c r="L17" s="651" t="n">
        <x:v>0.055585</x:v>
      </x:c>
      <x:c r="M17" s="651" t="n">
        <x:v>0.076341</x:v>
      </x:c>
      <x:c r="N17" s="651" t="n">
        <x:v>0.113415</x:v>
      </x:c>
      <x:c r="O17" s="651" t="n">
        <x:v>0.096919</x:v>
      </x:c>
      <x:c r="P17" s="651" t="n">
        <x:v>0.127833</x:v>
      </x:c>
      <x:c r="Q17" s="651" t="n">
        <x:v>0.0940186</x:v>
      </x:c>
    </x:row>
    <x:row r="18">
      <x:c r="A18" s="649" t="str">
        <x:v>Deserts &amp; Xeric Shrublands</x:v>
      </x:c>
      <x:c r="B18" s="649" t="str">
        <x:v>L03P2681</x:v>
      </x:c>
      <x:c r="C18" s="649" t="n">
        <x:v>2681</x:v>
      </x:c>
      <x:c r="D18" s="649" t="n">
        <x:v>48</x:v>
      </x:c>
      <x:c r="E18" s="649" t="str">
        <x:v>K.PEDDA SHIVAIAH</x:v>
      </x:c>
      <x:c r="F18" s="649" t="str">
        <x:v>ANANTHAPURAM</x:v>
      </x:c>
      <x:c r="G18" s="649" t="str">
        <x:v>ANDHRA PRADESH</x:v>
      </x:c>
      <x:c r="H18" s="649" t="n">
        <x:v>2021</x:v>
      </x:c>
      <x:c r="I18" s="650" t="n">
        <x:v>0.9325</x:v>
      </x:c>
      <x:c r="J18" s="649" t="n">
        <x:v>364.61</x:v>
      </x:c>
      <x:c r="K18" s="649" t="str">
        <x:v>Fruit Orchard (Block)
 (Mango, Mosambi, Pomegranate)</x:v>
      </x:c>
      <x:c r="L18" s="651" t="n">
        <x:v>0.031977</x:v>
      </x:c>
      <x:c r="M18" s="651" t="n">
        <x:v>0.041462</x:v>
      </x:c>
      <x:c r="N18" s="651" t="n">
        <x:v>0.073255</x:v>
      </x:c>
      <x:c r="O18" s="651" t="n">
        <x:v>0.090549</x:v>
      </x:c>
      <x:c r="P18" s="651" t="n">
        <x:v>0.0971</x:v>
      </x:c>
      <x:c r="Q18" s="651" t="n">
        <x:v>0.0668686</x:v>
      </x:c>
    </x:row>
    <x:row r="19">
      <x:c r="A19" s="649" t="str">
        <x:v>Deserts &amp; Xeric Shrublands</x:v>
      </x:c>
      <x:c r="B19" s="649" t="str">
        <x:v>L03P3119</x:v>
      </x:c>
      <x:c r="C19" s="649" t="n">
        <x:v>3119</x:v>
      </x:c>
      <x:c r="D19" s="649" t="n">
        <x:v>1032</x:v>
      </x:c>
      <x:c r="E19" s="649" t="str">
        <x:v>K.ADINARAYANA</x:v>
      </x:c>
      <x:c r="F19" s="649" t="str">
        <x:v>ANANTHAPURAM</x:v>
      </x:c>
      <x:c r="G19" s="649" t="str">
        <x:v>ANDHRA PRADESH</x:v>
      </x:c>
      <x:c r="H19" s="649" t="n">
        <x:v>2020</x:v>
      </x:c>
      <x:c r="I19" s="650" t="n">
        <x:v>1.4295</x:v>
      </x:c>
      <x:c r="J19" s="649" t="n">
        <x:v>244.84</x:v>
      </x:c>
      <x:c r="K19" s="649" t="str">
        <x:v>Fruit Orchard (Block)
 (Mango, Mosambi, Pomegranate)</x:v>
      </x:c>
      <x:c r="L19" s="651" t="n">
        <x:v>0.042282</x:v>
      </x:c>
      <x:c r="M19" s="651" t="n">
        <x:v>0.055802</x:v>
      </x:c>
      <x:c r="N19" s="651" t="n">
        <x:v>0.088783</x:v>
      </x:c>
      <x:c r="O19" s="651" t="n">
        <x:v>0.099771</x:v>
      </x:c>
      <x:c r="P19" s="651" t="n">
        <x:v>0.106237</x:v>
      </x:c>
      <x:c r="Q19" s="651" t="n">
        <x:v>0.078575</x:v>
      </x:c>
    </x:row>
    <x:row r="20">
      <x:c r="A20" s="649" t="str">
        <x:v>Deserts &amp; Xeric Shrublands</x:v>
      </x:c>
      <x:c r="B20" s="649" t="str">
        <x:v>L03P3393</x:v>
      </x:c>
      <x:c r="C20" s="649" t="n">
        <x:v>3393</x:v>
      </x:c>
      <x:c r="D20" s="649" t="n">
        <x:v>1356</x:v>
      </x:c>
      <x:c r="E20" s="649" t="str">
        <x:v>M.RAMALAKSHMI REDDY</x:v>
      </x:c>
      <x:c r="F20" s="649" t="str">
        <x:v>ANANTHAPURAM</x:v>
      </x:c>
      <x:c r="G20" s="649" t="str">
        <x:v>ANDHRA PRADESH</x:v>
      </x:c>
      <x:c r="H20" s="649" t="n">
        <x:v>2022</x:v>
      </x:c>
      <x:c r="I20" s="650" t="n">
        <x:v>2.2701</x:v>
      </x:c>
      <x:c r="J20" s="649" t="n">
        <x:v>299.55</x:v>
      </x:c>
      <x:c r="K20" s="649" t="str">
        <x:v>Fruit Orchard (Block)
 (Mango, Mosambi, Pomegranate)</x:v>
      </x:c>
      <x:c r="L20" s="651" t="n">
        <x:v>0.039426</x:v>
      </x:c>
      <x:c r="M20" s="651" t="n">
        <x:v>0.03946</x:v>
      </x:c>
      <x:c r="N20" s="651" t="n">
        <x:v>0.053352</x:v>
      </x:c>
      <x:c r="O20" s="651" t="n">
        <x:v>0.063851</x:v>
      </x:c>
      <x:c r="P20" s="651" t="n">
        <x:v>0.103622</x:v>
      </x:c>
      <x:c r="Q20" s="651" t="n">
        <x:v>0.0599422</x:v>
      </x:c>
    </x:row>
    <x:row r="21">
      <x:c r="A21" s="649" t="str">
        <x:v>Deserts &amp; Xeric Shrublands</x:v>
      </x:c>
      <x:c r="B21" s="649" t="str">
        <x:v>L03P3775</x:v>
      </x:c>
      <x:c r="C21" s="649" t="n">
        <x:v>3775</x:v>
      </x:c>
      <x:c r="D21" s="649" t="n">
        <x:v>1144</x:v>
      </x:c>
      <x:c r="E21" s="649" t="str">
        <x:v>R.GANGI REDDY</x:v>
      </x:c>
      <x:c r="F21" s="649" t="str">
        <x:v>ANANTHAPURAM</x:v>
      </x:c>
      <x:c r="G21" s="649" t="str">
        <x:v>ANDHRA PRADESH</x:v>
      </x:c>
      <x:c r="H21" s="649" t="n">
        <x:v>2020</x:v>
      </x:c>
      <x:c r="I21" s="650" t="n">
        <x:v>1.5478</x:v>
      </x:c>
      <x:c r="J21" s="649" t="n">
        <x:v>452.25</x:v>
      </x:c>
      <x:c r="K21" s="649" t="str">
        <x:v>Fruit Orchard (Block)
 (Mango, Mosambi, Pomegranate)</x:v>
      </x:c>
      <x:c r="L21" s="651" t="n">
        <x:v>0.055815</x:v>
      </x:c>
      <x:c r="M21" s="651" t="n">
        <x:v>0.062545</x:v>
      </x:c>
      <x:c r="N21" s="651" t="n">
        <x:v>0.072741</x:v>
      </x:c>
      <x:c r="O21" s="651" t="n">
        <x:v>0.082598</x:v>
      </x:c>
      <x:c r="P21" s="651" t="n">
        <x:v>0.108732</x:v>
      </x:c>
      <x:c r="Q21" s="651" t="n">
        <x:v>0.0764862</x:v>
      </x:c>
    </x:row>
    <x:row r="22">
      <x:c r="A22" s="649" t="str">
        <x:v>Deserts &amp; Xeric Shrublands</x:v>
      </x:c>
      <x:c r="B22" s="649" t="str">
        <x:v>L03P3943</x:v>
      </x:c>
      <x:c r="C22" s="649" t="n">
        <x:v>3943</x:v>
      </x:c>
      <x:c r="D22" s="649" t="n">
        <x:v>640</x:v>
      </x:c>
      <x:c r="E22" s="649" t="str">
        <x:v>V. VENKATA RAMANA</x:v>
      </x:c>
      <x:c r="F22" s="649" t="str">
        <x:v>ANANTHAPURAM</x:v>
      </x:c>
      <x:c r="G22" s="649" t="str">
        <x:v>ANDHRA PRADESH</x:v>
      </x:c>
      <x:c r="H22" s="649" t="n">
        <x:v>2020</x:v>
      </x:c>
      <x:c r="I22" s="650" t="n">
        <x:v>0.8854</x:v>
      </x:c>
      <x:c r="J22" s="649" t="n">
        <x:v>338.83</x:v>
      </x:c>
      <x:c r="K22" s="649" t="str">
        <x:v>Fruit Orchard (Block)
 (Mango, Mosambi, Pomegranate)</x:v>
      </x:c>
      <x:c r="L22" s="651" t="n">
        <x:v>0.055788</x:v>
      </x:c>
      <x:c r="M22" s="651" t="n">
        <x:v>0.056601</x:v>
      </x:c>
      <x:c r="N22" s="651" t="n">
        <x:v>0.060276</x:v>
      </x:c>
      <x:c r="O22" s="651" t="n">
        <x:v>0.098053</x:v>
      </x:c>
      <x:c r="P22" s="651" t="n">
        <x:v>0.124577</x:v>
      </x:c>
      <x:c r="Q22" s="651" t="n">
        <x:v>0.079059</x:v>
      </x:c>
    </x:row>
    <x:row r="23">
      <x:c r="A23" s="649" t="str">
        <x:v>Deserts &amp; Xeric Shrublands</x:v>
      </x:c>
      <x:c r="B23" s="649" t="str">
        <x:v>L03P4090</x:v>
      </x:c>
      <x:c r="C23" s="649" t="n">
        <x:v>4090</x:v>
      </x:c>
      <x:c r="D23" s="649" t="n">
        <x:v>177</x:v>
      </x:c>
      <x:c r="E23" s="649" t="str">
        <x:v>M.SHIVASANKARA</x:v>
      </x:c>
      <x:c r="F23" s="649" t="str">
        <x:v>ANANTHAPURAM</x:v>
      </x:c>
      <x:c r="G23" s="649" t="str">
        <x:v>ANDHRA PRADESH</x:v>
      </x:c>
      <x:c r="H23" s="649" t="n">
        <x:v>2020</x:v>
      </x:c>
      <x:c r="I23" s="650" t="n">
        <x:v>1.4289</x:v>
      </x:c>
      <x:c r="J23" s="649" t="n">
        <x:v>279.94</x:v>
      </x:c>
      <x:c r="K23" s="649" t="str">
        <x:v>Fruit Orchard (Block)
 (Mango, Mosambi, Pomegranate)</x:v>
      </x:c>
      <x:c r="L23" s="651" t="n">
        <x:v>0.075139</x:v>
      </x:c>
      <x:c r="M23" s="651" t="n">
        <x:v>0.095811</x:v>
      </x:c>
      <x:c r="N23" s="651" t="n">
        <x:v>0.110857</x:v>
      </x:c>
      <x:c r="O23" s="651" t="n">
        <x:v>0.116805</x:v>
      </x:c>
      <x:c r="P23" s="651" t="n">
        <x:v>0.12902</x:v>
      </x:c>
      <x:c r="Q23" s="651" t="n">
        <x:v>0.1055264</x:v>
      </x:c>
    </x:row>
    <x:row r="24">
      <x:c r="A24" s="649" t="str">
        <x:v>Deserts &amp; Xeric Shrublands</x:v>
      </x:c>
      <x:c r="B24" s="649" t="str">
        <x:v>L03P4110</x:v>
      </x:c>
      <x:c r="C24" s="649" t="n">
        <x:v>4110</x:v>
      </x:c>
      <x:c r="D24" s="649" t="n">
        <x:v>109</x:v>
      </x:c>
      <x:c r="E24" s="649" t="str">
        <x:v>M.GANGADEVI</x:v>
      </x:c>
      <x:c r="F24" s="649" t="str">
        <x:v>ANANTHAPURAM</x:v>
      </x:c>
      <x:c r="G24" s="649" t="str">
        <x:v>ANDHRA PRADESH</x:v>
      </x:c>
      <x:c r="H24" s="649" t="n">
        <x:v>2020</x:v>
      </x:c>
      <x:c r="I24" s="650" t="n">
        <x:v>1.8761</x:v>
      </x:c>
      <x:c r="J24" s="649" t="n">
        <x:v>239.86</x:v>
      </x:c>
      <x:c r="K24" s="649" t="str">
        <x:v>Fruit Orchard (Block)
 (Mango, Mosambi, Pomegranate)</x:v>
      </x:c>
      <x:c r="L24" s="651" t="n">
        <x:v>0.058534</x:v>
      </x:c>
      <x:c r="M24" s="651" t="n">
        <x:v>0.071316</x:v>
      </x:c>
      <x:c r="N24" s="651" t="n">
        <x:v>0.072499</x:v>
      </x:c>
      <x:c r="O24" s="651" t="n">
        <x:v>0.079403</x:v>
      </x:c>
      <x:c r="P24" s="651" t="n">
        <x:v>0.11577</x:v>
      </x:c>
      <x:c r="Q24" s="651" t="n">
        <x:v>0.0795044</x:v>
      </x:c>
    </x:row>
    <x:row r="25">
      <x:c r="A25" s="649" t="str">
        <x:v>Deserts &amp; Xeric Shrublands</x:v>
      </x:c>
      <x:c r="B25" s="649" t="str">
        <x:v>L03P4218</x:v>
      </x:c>
      <x:c r="C25" s="649" t="n">
        <x:v>4218</x:v>
      </x:c>
      <x:c r="D25" s="649" t="n">
        <x:v>94</x:v>
      </x:c>
      <x:c r="E25" s="649" t="str">
        <x:v>Y.JAYACHANDRA</x:v>
      </x:c>
      <x:c r="F25" s="649" t="str">
        <x:v>ANANTHAPURAM</x:v>
      </x:c>
      <x:c r="G25" s="649" t="str">
        <x:v>ANDHRA PRADESH</x:v>
      </x:c>
      <x:c r="H25" s="649" t="n">
        <x:v>2020</x:v>
      </x:c>
      <x:c r="I25" s="650" t="n">
        <x:v>1.3341</x:v>
      </x:c>
      <x:c r="J25" s="649" t="n">
        <x:v>337.31</x:v>
      </x:c>
      <x:c r="K25" s="649" t="str">
        <x:v>Fruit Orchard (Block)
 (Mango, Mosambi, Pomegranate)</x:v>
      </x:c>
      <x:c r="L25" s="651" t="n">
        <x:v>0.04005</x:v>
      </x:c>
      <x:c r="M25" s="651" t="n">
        <x:v>0.069454</x:v>
      </x:c>
      <x:c r="N25" s="651" t="n">
        <x:v>0.047599</x:v>
      </x:c>
      <x:c r="O25" s="651" t="n">
        <x:v>0.078759</x:v>
      </x:c>
      <x:c r="P25" s="651" t="n">
        <x:v>0.125758</x:v>
      </x:c>
      <x:c r="Q25" s="651" t="n">
        <x:v>0.072324</x:v>
      </x:c>
    </x:row>
    <x:row r="26">
      <x:c r="A26" s="649" t="str">
        <x:v>Deserts &amp; Xeric Shrublands</x:v>
      </x:c>
      <x:c r="B26" s="649" t="str">
        <x:v>L03P4277</x:v>
      </x:c>
      <x:c r="C26" s="649" t="n">
        <x:v>4277</x:v>
      </x:c>
      <x:c r="D26" s="649" t="n">
        <x:v>116</x:v>
      </x:c>
      <x:c r="E26" s="649" t="str">
        <x:v>D.SHESHAMMA</x:v>
      </x:c>
      <x:c r="F26" s="649" t="str">
        <x:v>ANANTHAPURAM</x:v>
      </x:c>
      <x:c r="G26" s="649" t="str">
        <x:v>ANDHRA PRADESH</x:v>
      </x:c>
      <x:c r="H26" s="649" t="n">
        <x:v>2020</x:v>
      </x:c>
      <x:c r="I26" s="650" t="n">
        <x:v>1.647</x:v>
      </x:c>
      <x:c r="J26" s="649" t="n">
        <x:v>218.58</x:v>
      </x:c>
      <x:c r="K26" s="649" t="str">
        <x:v>Fruit Orchard (Block)
 (Mango, Mosambi, Pomegranate)</x:v>
      </x:c>
      <x:c r="L26" s="651" t="n">
        <x:v>0.071926</x:v>
      </x:c>
      <x:c r="M26" s="651" t="n">
        <x:v>0.093164</x:v>
      </x:c>
      <x:c r="N26" s="651" t="n">
        <x:v>0.100028</x:v>
      </x:c>
      <x:c r="O26" s="651" t="n">
        <x:v>0.120635</x:v>
      </x:c>
      <x:c r="P26" s="651" t="n">
        <x:v>0.123436</x:v>
      </x:c>
      <x:c r="Q26" s="651" t="n">
        <x:v>0.1018378</x:v>
      </x:c>
    </x:row>
    <x:row r="27">
      <x:c r="A27" s="649" t="str">
        <x:v>Deserts &amp; Xeric Shrublands</x:v>
      </x:c>
      <x:c r="B27" s="649" t="str">
        <x:v>L03P4292</x:v>
      </x:c>
      <x:c r="C27" s="649" t="n">
        <x:v>4292</x:v>
      </x:c>
      <x:c r="D27" s="649" t="n">
        <x:v>93</x:v>
      </x:c>
      <x:c r="E27" s="649" t="str">
        <x:v>E.CHANDRA MOHAN</x:v>
      </x:c>
      <x:c r="F27" s="649" t="str">
        <x:v>ANANTHAPURAM</x:v>
      </x:c>
      <x:c r="G27" s="649" t="str">
        <x:v>ANDHRA PRADESH</x:v>
      </x:c>
      <x:c r="H27" s="649" t="n">
        <x:v>2021</x:v>
      </x:c>
      <x:c r="I27" s="650" t="n">
        <x:v>0.6327</x:v>
      </x:c>
      <x:c r="J27" s="649" t="n">
        <x:v>284.5</x:v>
      </x:c>
      <x:c r="K27" s="649" t="str">
        <x:v>Fruit Orchard (Block)
 (Mango, Mosambi, Pomegranate)</x:v>
      </x:c>
      <x:c r="L27" s="651" t="n">
        <x:v>0.075847</x:v>
      </x:c>
      <x:c r="M27" s="651" t="n">
        <x:v>0.099147</x:v>
      </x:c>
      <x:c r="N27" s="651" t="n">
        <x:v>0.114485</x:v>
      </x:c>
      <x:c r="O27" s="651" t="n">
        <x:v>0.122022</x:v>
      </x:c>
      <x:c r="P27" s="651" t="n">
        <x:v>0.136132</x:v>
      </x:c>
      <x:c r="Q27" s="651" t="n">
        <x:v>0.1095266</x:v>
      </x:c>
    </x:row>
    <x:row r="28">
      <x:c r="A28" s="649" t="str">
        <x:v>Deserts &amp; Xeric Shrublands</x:v>
      </x:c>
      <x:c r="B28" s="649" t="str">
        <x:v>L03P4415</x:v>
      </x:c>
      <x:c r="C28" s="649" t="n">
        <x:v>4415</x:v>
      </x:c>
      <x:c r="D28" s="649" t="n">
        <x:v>886</x:v>
      </x:c>
      <x:c r="E28" s="649" t="str">
        <x:v>E.BABU SAHEB</x:v>
      </x:c>
      <x:c r="F28" s="649" t="str">
        <x:v>ANANTHAPURAM</x:v>
      </x:c>
      <x:c r="G28" s="649" t="str">
        <x:v>ANDHRA PRADESH</x:v>
      </x:c>
      <x:c r="H28" s="649" t="n">
        <x:v>2020</x:v>
      </x:c>
      <x:c r="I28" s="650" t="n">
        <x:v>1.9545</x:v>
      </x:c>
      <x:c r="J28" s="649" t="n">
        <x:v>184.19</x:v>
      </x:c>
      <x:c r="K28" s="649" t="str">
        <x:v>Fruit Orchard (Block)
 (Mango, Mosambi, Pomegranate)</x:v>
      </x:c>
      <x:c r="L28" s="651" t="n">
        <x:v>0.055897</x:v>
      </x:c>
      <x:c r="M28" s="651" t="n">
        <x:v>0.07035</x:v>
      </x:c>
      <x:c r="N28" s="651" t="n">
        <x:v>0.123873</x:v>
      </x:c>
      <x:c r="O28" s="651" t="n">
        <x:v>0.064561</x:v>
      </x:c>
      <x:c r="P28" s="651" t="n">
        <x:v>0.137347</x:v>
      </x:c>
      <x:c r="Q28" s="651" t="n">
        <x:v>0.0904056</x:v>
      </x:c>
    </x:row>
    <x:row r="29">
      <x:c r="A29" s="649" t="str">
        <x:v>Deserts &amp; Xeric Shrublands</x:v>
      </x:c>
      <x:c r="B29" s="649" t="str">
        <x:v>L03P4497</x:v>
      </x:c>
      <x:c r="C29" s="649" t="n">
        <x:v>4497</x:v>
      </x:c>
      <x:c r="D29" s="649" t="n">
        <x:v>482</x:v>
      </x:c>
      <x:c r="E29" s="649" t="str">
        <x:v>P.NARAYANA SWAMY</x:v>
      </x:c>
      <x:c r="F29" s="649" t="str">
        <x:v>ANANTHAPURAM</x:v>
      </x:c>
      <x:c r="G29" s="649" t="str">
        <x:v>ANDHRA PRADESH</x:v>
      </x:c>
      <x:c r="H29" s="649" t="n">
        <x:v>2022</x:v>
      </x:c>
      <x:c r="I29" s="650" t="n">
        <x:v>0.6442</x:v>
      </x:c>
      <x:c r="J29" s="649" t="n">
        <x:v>698.54</x:v>
      </x:c>
      <x:c r="K29" s="649" t="str">
        <x:v>Fruit Orchard (Block)
 (Mango, Mosambi, Pomegranate)</x:v>
      </x:c>
      <x:c r="L29" s="651" t="n">
        <x:v>0.065476</x:v>
      </x:c>
      <x:c r="M29" s="651" t="n">
        <x:v>0.069606</x:v>
      </x:c>
      <x:c r="N29" s="651" t="n">
        <x:v>0.074402</x:v>
      </x:c>
      <x:c r="O29" s="651" t="n">
        <x:v>0.106786</x:v>
      </x:c>
      <x:c r="P29" s="651" t="n">
        <x:v>0.127068</x:v>
      </x:c>
      <x:c r="Q29" s="651" t="n">
        <x:v>0.0886676</x:v>
      </x:c>
    </x:row>
    <x:row r="30">
      <x:c r="A30" s="649" t="str">
        <x:v>Deserts &amp; Xeric Shrublands</x:v>
      </x:c>
      <x:c r="B30" s="649" t="str">
        <x:v>L03P4615</x:v>
      </x:c>
      <x:c r="C30" s="649" t="n">
        <x:v>4615</x:v>
      </x:c>
      <x:c r="D30" s="649" t="n">
        <x:v>235</x:v>
      </x:c>
      <x:c r="E30" s="649" t="str">
        <x:v>C.JANARDHAN REDDY</x:v>
      </x:c>
      <x:c r="F30" s="649" t="str">
        <x:v>ANANTHAPURAM</x:v>
      </x:c>
      <x:c r="G30" s="649" t="str">
        <x:v>ANDHRA PRADESH</x:v>
      </x:c>
      <x:c r="H30" s="649" t="n">
        <x:v>2020</x:v>
      </x:c>
      <x:c r="I30" s="650" t="n">
        <x:v>1.198</x:v>
      </x:c>
      <x:c r="J30" s="649" t="n">
        <x:v>417.36</x:v>
      </x:c>
      <x:c r="K30" s="649" t="str">
        <x:v>Fruit Orchard (Block)
 (Mango, Mosambi, Pomegranate)</x:v>
      </x:c>
      <x:c r="L30" s="651" t="n">
        <x:v>0.049186</x:v>
      </x:c>
      <x:c r="M30" s="651" t="n">
        <x:v>0.057125</x:v>
      </x:c>
      <x:c r="N30" s="651" t="n">
        <x:v>0.070878</x:v>
      </x:c>
      <x:c r="O30" s="651" t="n">
        <x:v>0.085247</x:v>
      </x:c>
      <x:c r="P30" s="651" t="n">
        <x:v>0.133525</x:v>
      </x:c>
      <x:c r="Q30" s="651" t="n">
        <x:v>0.0791922</x:v>
      </x:c>
    </x:row>
    <x:row r="31">
      <x:c r="A31" s="649" t="str">
        <x:v>Deserts &amp; Xeric Shrublands</x:v>
      </x:c>
      <x:c r="B31" s="649" t="str">
        <x:v>L03P4635</x:v>
      </x:c>
      <x:c r="C31" s="649" t="n">
        <x:v>4635</x:v>
      </x:c>
      <x:c r="D31" s="649" t="n">
        <x:v>516</x:v>
      </x:c>
      <x:c r="E31" s="649" t="str">
        <x:v>C.SRINIVASA REDDY</x:v>
      </x:c>
      <x:c r="F31" s="649" t="str">
        <x:v>ANANTHAPURAM</x:v>
      </x:c>
      <x:c r="G31" s="649" t="str">
        <x:v>ANDHRA PRADESH</x:v>
      </x:c>
      <x:c r="H31" s="649" t="n">
        <x:v>2022</x:v>
      </x:c>
      <x:c r="I31" s="650" t="n">
        <x:v>1.0491</x:v>
      </x:c>
      <x:c r="J31" s="649" t="n">
        <x:v>667.24</x:v>
      </x:c>
      <x:c r="K31" s="649" t="str">
        <x:v>Fruit Orchard (Block)
 (Mango, Mosambi, Pomegranate)</x:v>
      </x:c>
      <x:c r="L31" s="651" t="n">
        <x:v>0.052337</x:v>
      </x:c>
      <x:c r="M31" s="651" t="n">
        <x:v>0.055701</x:v>
      </x:c>
      <x:c r="N31" s="651" t="n">
        <x:v>0.06003</x:v>
      </x:c>
      <x:c r="O31" s="651" t="n">
        <x:v>0.104567</x:v>
      </x:c>
      <x:c r="P31" s="651" t="n">
        <x:v>0.129171</x:v>
      </x:c>
      <x:c r="Q31" s="651" t="n">
        <x:v>0.0803612</x:v>
      </x:c>
    </x:row>
    <x:row r="32">
      <x:c r="A32" s="649" t="str">
        <x:v>Deserts &amp; Xeric Shrublands</x:v>
      </x:c>
      <x:c r="B32" s="649" t="str">
        <x:v>L03P4726</x:v>
      </x:c>
      <x:c r="C32" s="649" t="n">
        <x:v>4726</x:v>
      </x:c>
      <x:c r="D32" s="649" t="n">
        <x:v>406</x:v>
      </x:c>
      <x:c r="E32" s="649" t="str">
        <x:v>K.VENKATASIVA REDDY</x:v>
      </x:c>
      <x:c r="F32" s="649" t="str">
        <x:v>ANANTHAPURAM</x:v>
      </x:c>
      <x:c r="G32" s="649" t="str">
        <x:v>ANDHRA PRADESH</x:v>
      </x:c>
      <x:c r="H32" s="649" t="n">
        <x:v>2020</x:v>
      </x:c>
      <x:c r="I32" s="650" t="n">
        <x:v>2.5259</x:v>
      </x:c>
      <x:c r="J32" s="649" t="n">
        <x:v>296.92</x:v>
      </x:c>
      <x:c r="K32" s="649" t="str">
        <x:v>Fruit Orchard (Block)
 (Mango, Mosambi, Pomegranate)</x:v>
      </x:c>
      <x:c r="L32" s="651" t="n">
        <x:v>0.051279</x:v>
      </x:c>
      <x:c r="M32" s="651" t="n">
        <x:v>0.065675</x:v>
      </x:c>
      <x:c r="N32" s="651" t="n">
        <x:v>0.067645</x:v>
      </x:c>
      <x:c r="O32" s="651" t="n">
        <x:v>0.090372</x:v>
      </x:c>
      <x:c r="P32" s="651" t="n">
        <x:v>0.11798</x:v>
      </x:c>
      <x:c r="Q32" s="651" t="n">
        <x:v>0.0785902</x:v>
      </x:c>
    </x:row>
    <x:row r="33">
      <x:c r="A33" s="649" t="str">
        <x:v>Deserts &amp; Xeric Shrublands</x:v>
      </x:c>
      <x:c r="B33" s="649" t="str">
        <x:v>L03P4770</x:v>
      </x:c>
      <x:c r="C33" s="649" t="n">
        <x:v>4770</x:v>
      </x:c>
      <x:c r="D33" s="649" t="n">
        <x:v>451</x:v>
      </x:c>
      <x:c r="E33" s="649" t="str">
        <x:v>D.VENKATARAMANA</x:v>
      </x:c>
      <x:c r="F33" s="649" t="str">
        <x:v>ANANTHAPURAM</x:v>
      </x:c>
      <x:c r="G33" s="649" t="str">
        <x:v>ANDHRA PRADESH</x:v>
      </x:c>
      <x:c r="H33" s="649" t="n">
        <x:v>2021</x:v>
      </x:c>
      <x:c r="I33" s="650" t="n">
        <x:v>1.0877</x:v>
      </x:c>
      <x:c r="J33" s="649" t="n">
        <x:v>597.59</x:v>
      </x:c>
      <x:c r="K33" s="649" t="str">
        <x:v>Fruit Orchard (Block)
 (Mango, Mosambi, Pomegranate)</x:v>
      </x:c>
      <x:c r="L33" s="651" t="n">
        <x:v>0.050176</x:v>
      </x:c>
      <x:c r="M33" s="651" t="n">
        <x:v>0.037522</x:v>
      </x:c>
      <x:c r="N33" s="651" t="n">
        <x:v>0.088078</x:v>
      </x:c>
      <x:c r="O33" s="651" t="n">
        <x:v>0.126172</x:v>
      </x:c>
      <x:c r="P33" s="651" t="n">
        <x:v>0.144618</x:v>
      </x:c>
      <x:c r="Q33" s="651" t="n">
        <x:v>0.0893132</x:v>
      </x:c>
    </x:row>
    <x:row r="34">
      <x:c r="A34" s="649" t="str">
        <x:v>Deserts &amp; Xeric Shrublands</x:v>
      </x:c>
      <x:c r="B34" s="649" t="str">
        <x:v>L03P5118</x:v>
      </x:c>
      <x:c r="C34" s="649" t="n">
        <x:v>5118</x:v>
      </x:c>
      <x:c r="D34" s="649" t="n">
        <x:v>1100</x:v>
      </x:c>
      <x:c r="E34" s="649" t="str">
        <x:v>R.CHINNA KULLAYAPPA</x:v>
      </x:c>
      <x:c r="F34" s="649" t="str">
        <x:v>ANANTHAPURAM</x:v>
      </x:c>
      <x:c r="G34" s="649" t="str">
        <x:v>ANDHRA PRADESH</x:v>
      </x:c>
      <x:c r="H34" s="649" t="n">
        <x:v>2020</x:v>
      </x:c>
      <x:c r="I34" s="650" t="n">
        <x:v>0.6879</x:v>
      </x:c>
      <x:c r="J34" s="649" t="n">
        <x:v>319.81</x:v>
      </x:c>
      <x:c r="K34" s="649" t="str">
        <x:v>Fruit Orchard (Block)
 (Mango, Mosambi, Pomegranate)</x:v>
      </x:c>
      <x:c r="L34" s="651" t="n">
        <x:v>0.077306</x:v>
      </x:c>
      <x:c r="M34" s="651" t="n">
        <x:v>0.093609</x:v>
      </x:c>
      <x:c r="N34" s="651" t="n">
        <x:v>0.104952</x:v>
      </x:c>
      <x:c r="O34" s="651" t="n">
        <x:v>0.12381</x:v>
      </x:c>
      <x:c r="P34" s="651" t="n">
        <x:v>0.137417</x:v>
      </x:c>
      <x:c r="Q34" s="651" t="n">
        <x:v>0.1074188</x:v>
      </x:c>
    </x:row>
    <x:row r="35">
      <x:c r="A35" s="649" t="str">
        <x:v>Tropical &amp; Subtropical Moist Broadleaf Forests</x:v>
      </x:c>
      <x:c r="B35" s="649"/>
      <x:c r="C35" s="649" t="n">
        <x:v>21</x:v>
      </x:c>
      <x:c r="D35" s="649" t="n">
        <x:v>5612</x:v>
      </x:c>
      <x:c r="E35" s="649" t="str">
        <x:v>U.GEETHA</x:v>
      </x:c>
      <x:c r="F35" s="649" t="str">
        <x:v>ALLURI SEETHA RAMA RAJU</x:v>
      </x:c>
      <x:c r="G35" s="649" t="str">
        <x:v>ANDHRA PRADESH</x:v>
      </x:c>
      <x:c r="H35" s="649" t="n">
        <x:v>2020</x:v>
      </x:c>
      <x:c r="I35" s="650" t="n">
        <x:v>1.1328</x:v>
      </x:c>
      <x:c r="J35" s="649" t="n">
        <x:v>273.66</x:v>
      </x:c>
      <x:c r="K35" s="649" t="str">
        <x:v>Horti-Silviculture
 (Fruit + Timber Integration)</x:v>
      </x:c>
      <x:c r="L35" s="651" t="n">
        <x:v>0.105041</x:v>
      </x:c>
      <x:c r="M35" s="651" t="n">
        <x:v>0.109741</x:v>
      </x:c>
      <x:c r="N35" s="651" t="n">
        <x:v>0.121524</x:v>
      </x:c>
      <x:c r="O35" s="651" t="n">
        <x:v>0.118143</x:v>
      </x:c>
      <x:c r="P35" s="651" t="n">
        <x:v>0.131441</x:v>
      </x:c>
      <x:c r="Q35" s="651" t="n">
        <x:v>0.117178</x:v>
      </x:c>
    </x:row>
    <x:row r="36">
      <x:c r="A36" s="649" t="str">
        <x:v>Tropical &amp; Subtropical Moist Broadleaf Forests</x:v>
      </x:c>
      <x:c r="B36" s="649"/>
      <x:c r="C36" s="649" t="n">
        <x:v>63</x:v>
      </x:c>
      <x:c r="D36" s="649" t="n">
        <x:v>4738</x:v>
      </x:c>
      <x:c r="E36" s="649" t="str">
        <x:v>S.RAMCHANDAR</x:v>
      </x:c>
      <x:c r="F36" s="649" t="str">
        <x:v>ALLURI SEETHA RAMA RAJU</x:v>
      </x:c>
      <x:c r="G36" s="649" t="str">
        <x:v>ANDHRA PRADESH</x:v>
      </x:c>
      <x:c r="H36" s="649" t="n">
        <x:v>2020</x:v>
      </x:c>
      <x:c r="I36" s="650" t="n">
        <x:v>3.7858</x:v>
      </x:c>
      <x:c r="J36" s="649" t="n">
        <x:v>184.9</x:v>
      </x:c>
      <x:c r="K36" s="649" t="str">
        <x:v>Timber Plantation
 (Teak, Silver Oak, Mahogany)</x:v>
      </x:c>
      <x:c r="L36" s="651" t="n">
        <x:v>0.101454</x:v>
      </x:c>
      <x:c r="M36" s="651" t="n">
        <x:v>0.091785</x:v>
      </x:c>
      <x:c r="N36" s="651" t="n">
        <x:v>0.10057</x:v>
      </x:c>
      <x:c r="O36" s="651" t="n">
        <x:v>0.106893</x:v>
      </x:c>
      <x:c r="P36" s="651" t="n">
        <x:v>0.133688</x:v>
      </x:c>
      <x:c r="Q36" s="651" t="n">
        <x:v>0.106878</x:v>
      </x:c>
    </x:row>
    <x:row r="37">
      <x:c r="A37" s="649" t="str">
        <x:v>Tropical &amp; Subtropical Moist Broadleaf Forests</x:v>
      </x:c>
      <x:c r="B37" s="649"/>
      <x:c r="C37" s="649" t="n">
        <x:v>231</x:v>
      </x:c>
      <x:c r="D37" s="649" t="n">
        <x:v>1666</x:v>
      </x:c>
      <x:c r="E37" s="649" t="str">
        <x:v>K.DONNA</x:v>
      </x:c>
      <x:c r="F37" s="649" t="str">
        <x:v>ALLURI SEETHA RAMA RAJU</x:v>
      </x:c>
      <x:c r="G37" s="649" t="str">
        <x:v>ANDHRA PRADESH</x:v>
      </x:c>
      <x:c r="H37" s="649" t="n">
        <x:v>2020</x:v>
      </x:c>
      <x:c r="I37" s="650" t="n">
        <x:v>0.3925</x:v>
      </x:c>
      <x:c r="J37" s="649" t="n">
        <x:v>573.25</x:v>
      </x:c>
      <x:c r="K37" s="649" t="str">
        <x:v>Fruit Orchard (Block)
 (Mango, Mosambi, Pomegranate)</x:v>
      </x:c>
      <x:c r="L37" s="651" t="n">
        <x:v>0.032889</x:v>
      </x:c>
      <x:c r="M37" s="651" t="n">
        <x:v>0.062576</x:v>
      </x:c>
      <x:c r="N37" s="651" t="n">
        <x:v>0.067641</x:v>
      </x:c>
      <x:c r="O37" s="651" t="n">
        <x:v>0.069887</x:v>
      </x:c>
      <x:c r="P37" s="651" t="n">
        <x:v>0.08393</x:v>
      </x:c>
      <x:c r="Q37" s="651" t="n">
        <x:v>0.0633846</x:v>
      </x:c>
    </x:row>
    <x:row r="38">
      <x:c r="A38" s="649" t="str">
        <x:v>Tropical &amp; Subtropical Moist Broadleaf Forests</x:v>
      </x:c>
      <x:c r="B38" s="649"/>
      <x:c r="C38" s="649" t="n">
        <x:v>342</x:v>
      </x:c>
      <x:c r="D38" s="649" t="n">
        <x:v>2092</x:v>
      </x:c>
      <x:c r="E38" s="649" t="str">
        <x:v>P.LIKON</x:v>
      </x:c>
      <x:c r="F38" s="649" t="str">
        <x:v>ALLURI SEETHA RAMA RAJU</x:v>
      </x:c>
      <x:c r="G38" s="649" t="str">
        <x:v>ANDHRA PRADESH</x:v>
      </x:c>
      <x:c r="H38" s="649" t="n">
        <x:v>2020</x:v>
      </x:c>
      <x:c r="I38" s="650" t="n">
        <x:v>0.5247</x:v>
      </x:c>
      <x:c r="J38" s="649" t="n">
        <x:v>1734.32</x:v>
      </x:c>
      <x:c r="K38" s="649" t="str">
        <x:v>Horti-Silviculture
 (Fruit + Timber Integration)</x:v>
      </x:c>
      <x:c r="L38" s="651" t="n">
        <x:v>0.076094</x:v>
      </x:c>
      <x:c r="M38" s="651" t="n">
        <x:v>0.090602</x:v>
      </x:c>
      <x:c r="N38" s="651" t="n">
        <x:v>0.096571</x:v>
      </x:c>
      <x:c r="O38" s="651" t="n">
        <x:v>0.0976</x:v>
      </x:c>
      <x:c r="P38" s="651" t="n">
        <x:v>0.114016</x:v>
      </x:c>
      <x:c r="Q38" s="651" t="n">
        <x:v>0.0949766</x:v>
      </x:c>
    </x:row>
    <x:row r="39">
      <x:c r="A39" s="649" t="str">
        <x:v>Tropical &amp; Subtropical Moist Broadleaf Forests</x:v>
      </x:c>
      <x:c r="B39" s="649"/>
      <x:c r="C39" s="649" t="n">
        <x:v>637</x:v>
      </x:c>
      <x:c r="D39" s="649" t="n">
        <x:v>3332</x:v>
      </x:c>
      <x:c r="E39" s="649" t="str">
        <x:v>G.KESAVA RAO</x:v>
      </x:c>
      <x:c r="F39" s="649" t="str">
        <x:v>ALLURI SEETHA RAMA RAJU</x:v>
      </x:c>
      <x:c r="G39" s="649" t="str">
        <x:v>ANDHRA PRADESH</x:v>
      </x:c>
      <x:c r="H39" s="649" t="n">
        <x:v>2020</x:v>
      </x:c>
      <x:c r="I39" s="650" t="n">
        <x:v>0.4056</x:v>
      </x:c>
      <x:c r="J39" s="649" t="n">
        <x:v>2465.48</x:v>
      </x:c>
      <x:c r="K39" s="649" t="str">
        <x:v>Timber Plantation
 (Teak, Silver Oak, Mahogany)</x:v>
      </x:c>
      <x:c r="L39" s="651" t="n">
        <x:v>0.070133</x:v>
      </x:c>
      <x:c r="M39" s="651" t="n">
        <x:v>0.097295</x:v>
      </x:c>
      <x:c r="N39" s="651" t="n">
        <x:v>0.109491</x:v>
      </x:c>
      <x:c r="O39" s="651" t="n">
        <x:v>0.1079</x:v>
      </x:c>
      <x:c r="P39" s="651" t="n">
        <x:v>0.114941</x:v>
      </x:c>
      <x:c r="Q39" s="651" t="n">
        <x:v>0.099952</x:v>
      </x:c>
    </x:row>
    <x:row r="40">
      <x:c r="A40" s="649" t="str">
        <x:v>Tropical &amp; Subtropical Moist Broadleaf Forests</x:v>
      </x:c>
      <x:c r="B40" s="649"/>
      <x:c r="C40" s="649" t="n">
        <x:v>1362</x:v>
      </x:c>
      <x:c r="D40" s="649" t="n">
        <x:v>4974</x:v>
      </x:c>
      <x:c r="E40" s="649" t="str">
        <x:v>CH.SOMULAMMA</x:v>
      </x:c>
      <x:c r="F40" s="649" t="str">
        <x:v>ALLURI SEETHA RAMA RAJU</x:v>
      </x:c>
      <x:c r="G40" s="649" t="str">
        <x:v>ANDHRA PRADESH</x:v>
      </x:c>
      <x:c r="H40" s="649" t="n">
        <x:v>2020</x:v>
      </x:c>
      <x:c r="I40" s="650" t="n">
        <x:v>0.7194</x:v>
      </x:c>
      <x:c r="J40" s="649" t="n">
        <x:v>347.51</x:v>
      </x:c>
      <x:c r="K40" s="649" t="str">
        <x:v>Timber Plantation
 (Teak, Silver Oak, Mahogany)</x:v>
      </x:c>
      <x:c r="L40" s="651" t="n">
        <x:v>0.079652</x:v>
      </x:c>
      <x:c r="M40" s="651" t="n">
        <x:v>0.097883</x:v>
      </x:c>
      <x:c r="N40" s="651" t="n">
        <x:v>0.107706</x:v>
      </x:c>
      <x:c r="O40" s="651" t="n">
        <x:v>0.112751</x:v>
      </x:c>
      <x:c r="P40" s="651" t="n">
        <x:v>0.125796</x:v>
      </x:c>
      <x:c r="Q40" s="651" t="n">
        <x:v>0.1047576</x:v>
      </x:c>
    </x:row>
    <x:row r="41">
      <x:c r="A41" s="649" t="str">
        <x:v>Tropical &amp; Subtropical Moist Broadleaf Forests</x:v>
      </x:c>
      <x:c r="B41" s="649"/>
      <x:c r="C41" s="649" t="n">
        <x:v>2491</x:v>
      </x:c>
      <x:c r="D41" s="649" t="n">
        <x:v>5331</x:v>
      </x:c>
      <x:c r="E41" s="649" t="str">
        <x:v>V.KONDAMMA</x:v>
      </x:c>
      <x:c r="F41" s="649" t="str">
        <x:v>ALLURI SEETHA RAMA RAJU</x:v>
      </x:c>
      <x:c r="G41" s="649" t="str">
        <x:v>ANDHRA PRADESH</x:v>
      </x:c>
      <x:c r="H41" s="649" t="n">
        <x:v>2020</x:v>
      </x:c>
      <x:c r="I41" s="650" t="n">
        <x:v>8.0748</x:v>
      </x:c>
      <x:c r="J41" s="649" t="n">
        <x:v>74.31</x:v>
      </x:c>
      <x:c r="K41" s="649" t="str">
        <x:v>Timber Plantation
 (Teak, Silver Oak, Mahogany)</x:v>
      </x:c>
      <x:c r="L41" s="651" t="n">
        <x:v>0.120172</x:v>
      </x:c>
      <x:c r="M41" s="651" t="n">
        <x:v>0.132464</x:v>
      </x:c>
      <x:c r="N41" s="651" t="n">
        <x:v>0.132548</x:v>
      </x:c>
      <x:c r="O41" s="651" t="n">
        <x:v>0.146465</x:v>
      </x:c>
      <x:c r="P41" s="651" t="n">
        <x:v>0.14111</x:v>
      </x:c>
      <x:c r="Q41" s="651" t="n">
        <x:v>0.1345518</x:v>
      </x:c>
    </x:row>
    <x:row r="42">
      <x:c r="A42" s="649" t="str">
        <x:v>Tropical &amp; Subtropical Moist Broadleaf Forests</x:v>
      </x:c>
      <x:c r="B42" s="649"/>
      <x:c r="C42" s="649" t="n">
        <x:v>2926</x:v>
      </x:c>
      <x:c r="D42" s="649" t="n">
        <x:v>7871</x:v>
      </x:c>
      <x:c r="E42" s="649" t="str">
        <x:v>P.LACCHIREDDY</x:v>
      </x:c>
      <x:c r="F42" s="649" t="str">
        <x:v>ALLURI SEETHA RAMA RAJU</x:v>
      </x:c>
      <x:c r="G42" s="649" t="str">
        <x:v>ANDHRA PRADESH</x:v>
      </x:c>
      <x:c r="H42" s="649" t="n">
        <x:v>2020</x:v>
      </x:c>
      <x:c r="I42" s="650" t="n">
        <x:v>0.331849</x:v>
      </x:c>
      <x:c r="J42" s="649" t="n">
        <x:v>210.94</x:v>
      </x:c>
      <x:c r="K42" s="649" t="str">
        <x:v>Fruit Orchard (Block)
 (Mango, Mosambi, Pomegranate)</x:v>
      </x:c>
      <x:c r="L42" s="651" t="n">
        <x:v>0.117355</x:v>
      </x:c>
      <x:c r="M42" s="651" t="n">
        <x:v>0.138187</x:v>
      </x:c>
      <x:c r="N42" s="651" t="n">
        <x:v>0.080539</x:v>
      </x:c>
      <x:c r="O42" s="651" t="n">
        <x:v>0.147389</x:v>
      </x:c>
      <x:c r="P42" s="651" t="n">
        <x:v>0.173114</x:v>
      </x:c>
      <x:c r="Q42" s="651" t="n">
        <x:v>0.1313168</x:v>
      </x:c>
    </x:row>
    <x:row r="43">
      <x:c r="A43" s="649" t="str">
        <x:v>Tropical &amp; Subtropical Moist Broadleaf Forests</x:v>
      </x:c>
      <x:c r="B43" s="649"/>
      <x:c r="C43" s="649" t="n">
        <x:v>2945</x:v>
      </x:c>
      <x:c r="D43" s="649" t="n">
        <x:v>5982</x:v>
      </x:c>
      <x:c r="E43" s="649" t="str">
        <x:v>L.NOOKAREDDY</x:v>
      </x:c>
      <x:c r="F43" s="649" t="str">
        <x:v>ALLURI SEETHA RAMA RAJU</x:v>
      </x:c>
      <x:c r="G43" s="649" t="str">
        <x:v>ANDHRA PRADESH</x:v>
      </x:c>
      <x:c r="H43" s="649" t="n">
        <x:v>2022</x:v>
      </x:c>
      <x:c r="I43" s="650" t="n">
        <x:v>0.8133</x:v>
      </x:c>
      <x:c r="J43" s="649" t="n">
        <x:v>86.07</x:v>
      </x:c>
      <x:c r="K43" s="649" t="str">
        <x:v>Fruit Orchard (Block)
 (Mango, Mosambi, Pomegranate)</x:v>
      </x:c>
      <x:c r="L43" s="651" t="n">
        <x:v>0.117467</x:v>
      </x:c>
      <x:c r="M43" s="651" t="n">
        <x:v>0.135946</x:v>
      </x:c>
      <x:c r="N43" s="651" t="n">
        <x:v>0.131471</x:v>
      </x:c>
      <x:c r="O43" s="651" t="n">
        <x:v>0.13514</x:v>
      </x:c>
      <x:c r="P43" s="651" t="n">
        <x:v>0.142416</x:v>
      </x:c>
      <x:c r="Q43" s="651" t="n">
        <x:v>0.132488</x:v>
      </x:c>
    </x:row>
    <x:row r="44">
      <x:c r="A44" s="649" t="str">
        <x:v>Tropical &amp; Subtropical Moist Broadleaf Forests</x:v>
      </x:c>
      <x:c r="B44" s="649"/>
      <x:c r="C44" s="649" t="n">
        <x:v>2947</x:v>
      </x:c>
      <x:c r="D44" s="649" t="n">
        <x:v>5896</x:v>
      </x:c>
      <x:c r="E44" s="649" t="str">
        <x:v>K.SRINUBABU</x:v>
      </x:c>
      <x:c r="F44" s="649" t="str">
        <x:v>ALLURI SEETHA RAMA RAJU</x:v>
      </x:c>
      <x:c r="G44" s="649" t="str">
        <x:v>ANDHRA PRADESH</x:v>
      </x:c>
      <x:c r="H44" s="649" t="n">
        <x:v>2020</x:v>
      </x:c>
      <x:c r="I44" s="650" t="n">
        <x:v>1.9344</x:v>
      </x:c>
      <x:c r="J44" s="649" t="n">
        <x:v>103.39</x:v>
      </x:c>
      <x:c r="K44" s="649" t="str">
        <x:v>Fruit Orchard (Block)
 (Mango, Mosambi, Pomegranate)</x:v>
      </x:c>
      <x:c r="L44" s="651" t="n">
        <x:v>0.106427</x:v>
      </x:c>
      <x:c r="M44" s="651" t="n">
        <x:v>0.126345</x:v>
      </x:c>
      <x:c r="N44" s="651" t="n">
        <x:v>0.126986</x:v>
      </x:c>
      <x:c r="O44" s="651" t="n">
        <x:v>0.135561</x:v>
      </x:c>
      <x:c r="P44" s="651" t="n">
        <x:v>0.143975</x:v>
      </x:c>
      <x:c r="Q44" s="651" t="n">
        <x:v>0.1278588</x:v>
      </x:c>
    </x:row>
    <x:row r="45">
      <x:c r="A45" s="649" t="str">
        <x:v>Tropical &amp; Subtropical Moist Broadleaf Forests</x:v>
      </x:c>
      <x:c r="B45" s="649"/>
      <x:c r="C45" s="649" t="n">
        <x:v>2960</x:v>
      </x:c>
      <x:c r="D45" s="649" t="n">
        <x:v>5887</x:v>
      </x:c>
      <x:c r="E45" s="649" t="str">
        <x:v>P.SOMARAJU</x:v>
      </x:c>
      <x:c r="F45" s="649" t="str">
        <x:v>ALLURI SEETHA RAMA RAJU</x:v>
      </x:c>
      <x:c r="G45" s="649" t="str">
        <x:v>ANDHRA PRADESH</x:v>
      </x:c>
      <x:c r="H45" s="649" t="n">
        <x:v>2020</x:v>
      </x:c>
      <x:c r="I45" s="650" t="n">
        <x:v>0.8333</x:v>
      </x:c>
      <x:c r="J45" s="649" t="n">
        <x:v>180.01</x:v>
      </x:c>
      <x:c r="K45" s="649" t="str">
        <x:v>Fruit Orchard (Block)
 (Mango, Mosambi, Pomegranate)</x:v>
      </x:c>
      <x:c r="L45" s="651" t="n">
        <x:v>0.09896</x:v>
      </x:c>
      <x:c r="M45" s="651" t="n">
        <x:v>0.118517</x:v>
      </x:c>
      <x:c r="N45" s="651" t="n">
        <x:v>0.116806</x:v>
      </x:c>
      <x:c r="O45" s="651" t="n">
        <x:v>0.128686</x:v>
      </x:c>
      <x:c r="P45" s="651" t="n">
        <x:v>0.134745</x:v>
      </x:c>
      <x:c r="Q45" s="651" t="n">
        <x:v>0.1195428</x:v>
      </x:c>
    </x:row>
    <x:row r="46">
      <x:c r="A46" s="649" t="str">
        <x:v>Tropical &amp; Subtropical Moist Broadleaf Forests</x:v>
      </x:c>
      <x:c r="B46" s="649"/>
      <x:c r="C46" s="649" t="n">
        <x:v>2995</x:v>
      </x:c>
      <x:c r="D46" s="649" t="n">
        <x:v>9773</x:v>
      </x:c>
      <x:c r="E46" s="649" t="str">
        <x:v>KOTTEM DEVID RAJU</x:v>
      </x:c>
      <x:c r="F46" s="649" t="str">
        <x:v>ALLURI SEETHA RAMA RAJU</x:v>
      </x:c>
      <x:c r="G46" s="649" t="str">
        <x:v>ANDHRA PRADESH</x:v>
      </x:c>
      <x:c r="H46" s="649" t="n">
        <x:v>2021</x:v>
      </x:c>
      <x:c r="I46" s="650" t="n">
        <x:v>0.6398</x:v>
      </x:c>
      <x:c r="J46" s="649" t="n">
        <x:v>156.3</x:v>
      </x:c>
      <x:c r="K46" s="649" t="str">
        <x:v>Mixed Agroforestry Model
 (Diverse multi-purpose species)</x:v>
      </x:c>
      <x:c r="L46" s="651" t="n">
        <x:v>0.093453</x:v>
      </x:c>
      <x:c r="M46" s="651" t="n">
        <x:v>0.11137</x:v>
      </x:c>
      <x:c r="N46" s="651" t="n">
        <x:v>0.095001</x:v>
      </x:c>
      <x:c r="O46" s="651" t="n">
        <x:v>0.119601</x:v>
      </x:c>
      <x:c r="P46" s="651" t="n">
        <x:v>0.125824</x:v>
      </x:c>
      <x:c r="Q46" s="651" t="n">
        <x:v>0.1090498</x:v>
      </x:c>
    </x:row>
    <x:row r="47">
      <x:c r="A47" s="649" t="str">
        <x:v>Tropical &amp; Subtropical Moist Broadleaf Forests</x:v>
      </x:c>
      <x:c r="B47" s="649"/>
      <x:c r="C47" s="649" t="n">
        <x:v>3186</x:v>
      </x:c>
      <x:c r="D47" s="649" t="n">
        <x:v>7870</x:v>
      </x:c>
      <x:c r="E47" s="649" t="str">
        <x:v>T.SUDHARANI</x:v>
      </x:c>
      <x:c r="F47" s="649" t="str">
        <x:v>ALLURI SEETHA RAMA RAJU</x:v>
      </x:c>
      <x:c r="G47" s="649" t="str">
        <x:v>ANDHRA PRADESH</x:v>
      </x:c>
      <x:c r="H47" s="649" t="n">
        <x:v>2020</x:v>
      </x:c>
      <x:c r="I47" s="650" t="n">
        <x:v>0.748685</x:v>
      </x:c>
      <x:c r="J47" s="649" t="n">
        <x:v>133.57</x:v>
      </x:c>
      <x:c r="K47" s="649" t="str">
        <x:v>Fruit Orchard (Block)
 (Mango, Mosambi, Pomegranate)</x:v>
      </x:c>
      <x:c r="L47" s="651" t="n">
        <x:v>0.096408</x:v>
      </x:c>
      <x:c r="M47" s="651" t="n">
        <x:v>0.118631</x:v>
      </x:c>
      <x:c r="N47" s="651" t="n">
        <x:v>0.126669</x:v>
      </x:c>
      <x:c r="O47" s="651" t="n">
        <x:v>0.129869</x:v>
      </x:c>
      <x:c r="P47" s="651" t="n">
        <x:v>0.124109</x:v>
      </x:c>
      <x:c r="Q47" s="651" t="n">
        <x:v>0.1191372</x:v>
      </x:c>
    </x:row>
    <x:row r="48">
      <x:c r="A48" s="649" t="str">
        <x:v>Tropical &amp; Subtropical Moist Broadleaf Forests</x:v>
      </x:c>
      <x:c r="B48" s="649"/>
      <x:c r="C48" s="649" t="n">
        <x:v>3192</x:v>
      </x:c>
      <x:c r="D48" s="649" t="n">
        <x:v>6790</x:v>
      </x:c>
      <x:c r="E48" s="649" t="str">
        <x:v>D.AKKAMMA</x:v>
      </x:c>
      <x:c r="F48" s="649" t="str">
        <x:v>ALLURI SEETHA RAMA RAJU</x:v>
      </x:c>
      <x:c r="G48" s="649" t="str">
        <x:v>ANDHRA PRADESH</x:v>
      </x:c>
      <x:c r="H48" s="649" t="n">
        <x:v>2020</x:v>
      </x:c>
      <x:c r="I48" s="650" t="n">
        <x:v>0.7878</x:v>
      </x:c>
      <x:c r="J48" s="649" t="n">
        <x:v>253.87</x:v>
      </x:c>
      <x:c r="K48" s="649" t="str">
        <x:v>Fruit Orchard (Block)
 (Mango, Mosambi, Pomegranate)</x:v>
      </x:c>
      <x:c r="L48" s="651" t="n">
        <x:v>0.112912</x:v>
      </x:c>
      <x:c r="M48" s="651" t="n">
        <x:v>0.121829</x:v>
      </x:c>
      <x:c r="N48" s="651" t="n">
        <x:v>0.122281</x:v>
      </x:c>
      <x:c r="O48" s="651" t="n">
        <x:v>0.096508</x:v>
      </x:c>
      <x:c r="P48" s="651" t="n">
        <x:v>0.154817</x:v>
      </x:c>
      <x:c r="Q48" s="651" t="n">
        <x:v>0.1216694</x:v>
      </x:c>
    </x:row>
    <x:row r="49">
      <x:c r="A49" s="649" t="str">
        <x:v>Tropical &amp; Subtropical Moist Broadleaf Forests</x:v>
      </x:c>
      <x:c r="B49" s="649"/>
      <x:c r="C49" s="649" t="n">
        <x:v>3210</x:v>
      </x:c>
      <x:c r="D49" s="649" t="n">
        <x:v>6780</x:v>
      </x:c>
      <x:c r="E49" s="649" t="str">
        <x:v>T.SANYASI DORA</x:v>
      </x:c>
      <x:c r="F49" s="649" t="str">
        <x:v>ALLURI SEETHA RAMA RAJU</x:v>
      </x:c>
      <x:c r="G49" s="649" t="str">
        <x:v>ANDHRA PRADESH</x:v>
      </x:c>
      <x:c r="H49" s="649" t="n">
        <x:v>2020</x:v>
      </x:c>
      <x:c r="I49" s="650" t="n">
        <x:v>1.3288</x:v>
      </x:c>
      <x:c r="J49" s="649" t="n">
        <x:v>112.88</x:v>
      </x:c>
      <x:c r="K49" s="649" t="str">
        <x:v>Fruit Orchard (Block)
 (Mango, Mosambi, Pomegranate)</x:v>
      </x:c>
      <x:c r="L49" s="651" t="n">
        <x:v>0.083664</x:v>
      </x:c>
      <x:c r="M49" s="651" t="n">
        <x:v>0.114158</x:v>
      </x:c>
      <x:c r="N49" s="651" t="n">
        <x:v>0.124415</x:v>
      </x:c>
      <x:c r="O49" s="651" t="n">
        <x:v>0.128699</x:v>
      </x:c>
      <x:c r="P49" s="651" t="n">
        <x:v>0.121998</x:v>
      </x:c>
      <x:c r="Q49" s="651" t="n">
        <x:v>0.1145868</x:v>
      </x:c>
    </x:row>
    <x:row r="50">
      <x:c r="A50" s="649" t="str">
        <x:v>Tropical &amp; Subtropical Moist Broadleaf Forests</x:v>
      </x:c>
      <x:c r="B50" s="649"/>
      <x:c r="C50" s="649" t="n">
        <x:v>3278</x:v>
      </x:c>
      <x:c r="D50" s="649" t="n">
        <x:v>2181</x:v>
      </x:c>
      <x:c r="E50" s="649" t="str">
        <x:v>SALUPUNAIDU</x:v>
      </x:c>
      <x:c r="F50" s="649" t="str">
        <x:v>ALLURI SEETHA RAMA RAJU</x:v>
      </x:c>
      <x:c r="G50" s="649" t="str">
        <x:v>ANDHRA PRADESH</x:v>
      </x:c>
      <x:c r="H50" s="649" t="n">
        <x:v>2020</x:v>
      </x:c>
      <x:c r="I50" s="650" t="n">
        <x:v>1.0866</x:v>
      </x:c>
      <x:c r="J50" s="649" t="n">
        <x:v>460.15</x:v>
      </x:c>
      <x:c r="K50" s="649" t="str">
        <x:v>Horti-Silviculture
 (Fruit + Timber Integration)</x:v>
      </x:c>
      <x:c r="L50" s="651" t="n">
        <x:v>0.096791</x:v>
      </x:c>
      <x:c r="M50" s="651" t="n">
        <x:v>0.117093</x:v>
      </x:c>
      <x:c r="N50" s="651" t="n">
        <x:v>0.118351</x:v>
      </x:c>
      <x:c r="O50" s="651" t="n">
        <x:v>0.122206</x:v>
      </x:c>
      <x:c r="P50" s="651" t="n">
        <x:v>0.132568</x:v>
      </x:c>
      <x:c r="Q50" s="651" t="n">
        <x:v>0.1174018</x:v>
      </x:c>
    </x:row>
    <x:row r="51">
      <x:c r="A51" s="649" t="str">
        <x:v>Tropical &amp; Subtropical Moist Broadleaf Forests</x:v>
      </x:c>
      <x:c r="B51" s="649"/>
      <x:c r="C51" s="649" t="n">
        <x:v>3396</x:v>
      </x:c>
      <x:c r="D51" s="649" t="n">
        <x:v>2053</x:v>
      </x:c>
      <x:c r="E51" s="649" t="str">
        <x:v>P.RAMU</x:v>
      </x:c>
      <x:c r="F51" s="649" t="str">
        <x:v>ALLURI SEETHA RAMA RAJU</x:v>
      </x:c>
      <x:c r="G51" s="649" t="str">
        <x:v>ANDHRA PRADESH</x:v>
      </x:c>
      <x:c r="H51" s="649" t="n">
        <x:v>2020</x:v>
      </x:c>
      <x:c r="I51" s="650" t="n">
        <x:v>0.8333</x:v>
      </x:c>
      <x:c r="J51" s="649" t="n">
        <x:v>1584.06</x:v>
      </x:c>
      <x:c r="K51" s="649" t="str">
        <x:v>Horti-Silviculture
 (Fruit + Timber Integration)</x:v>
      </x:c>
      <x:c r="L51" s="651" t="n">
        <x:v>0.099013</x:v>
      </x:c>
      <x:c r="M51" s="651" t="n">
        <x:v>0.112145</x:v>
      </x:c>
      <x:c r="N51" s="651" t="n">
        <x:v>0.133071</x:v>
      </x:c>
      <x:c r="O51" s="651" t="n">
        <x:v>0.124749</x:v>
      </x:c>
      <x:c r="P51" s="651" t="n">
        <x:v>0.134359</x:v>
      </x:c>
      <x:c r="Q51" s="651" t="n">
        <x:v>0.1206674</x:v>
      </x:c>
    </x:row>
    <x:row r="52">
      <x:c r="A52" s="649" t="str">
        <x:v>Tropical &amp; Subtropical Moist Broadleaf Forests</x:v>
      </x:c>
      <x:c r="B52" s="649"/>
      <x:c r="C52" s="649" t="n">
        <x:v>3397</x:v>
      </x:c>
      <x:c r="D52" s="649" t="n">
        <x:v>5049</x:v>
      </x:c>
      <x:c r="E52" s="649" t="str">
        <x:v>V.LAKSHMI</x:v>
      </x:c>
      <x:c r="F52" s="649" t="str">
        <x:v>ALLURI SEETHA RAMA RAJU</x:v>
      </x:c>
      <x:c r="G52" s="649" t="str">
        <x:v>ANDHRA PRADESH</x:v>
      </x:c>
      <x:c r="H52" s="649" t="n">
        <x:v>2020</x:v>
      </x:c>
      <x:c r="I52" s="650" t="n">
        <x:v>2.5652</x:v>
      </x:c>
      <x:c r="J52" s="649" t="n">
        <x:v>136.44</x:v>
      </x:c>
      <x:c r="K52" s="649" t="str">
        <x:v>Fruit Orchard (Block)
 (Mango, Mosambi, Pomegranate)</x:v>
      </x:c>
      <x:c r="L52" s="651" t="n">
        <x:v>0.116576</x:v>
      </x:c>
      <x:c r="M52" s="651" t="n">
        <x:v>0.134629</x:v>
      </x:c>
      <x:c r="N52" s="651" t="n">
        <x:v>0.146372</x:v>
      </x:c>
      <x:c r="O52" s="651" t="n">
        <x:v>0.153354</x:v>
      </x:c>
      <x:c r="P52" s="651" t="n">
        <x:v>0.172041</x:v>
      </x:c>
      <x:c r="Q52" s="651" t="n">
        <x:v>0.1445944</x:v>
      </x:c>
    </x:row>
    <x:row r="53">
      <x:c r="A53" s="649" t="str">
        <x:v>Tropical &amp; Subtropical Moist Broadleaf Forests</x:v>
      </x:c>
      <x:c r="B53" s="649"/>
      <x:c r="C53" s="649" t="n">
        <x:v>3408</x:v>
      </x:c>
      <x:c r="D53" s="649" t="n">
        <x:v>5023</x:v>
      </x:c>
      <x:c r="E53" s="649" t="str">
        <x:v>V.SEETHA</x:v>
      </x:c>
      <x:c r="F53" s="649" t="str">
        <x:v>ALLURI SEETHA RAMA RAJU</x:v>
      </x:c>
      <x:c r="G53" s="649" t="str">
        <x:v>ANDHRA PRADESH</x:v>
      </x:c>
      <x:c r="H53" s="649" t="n">
        <x:v>2020</x:v>
      </x:c>
      <x:c r="I53" s="650" t="n">
        <x:v>1.3105</x:v>
      </x:c>
      <x:c r="J53" s="649" t="n">
        <x:v>114.46</x:v>
      </x:c>
      <x:c r="K53" s="649" t="str">
        <x:v>Fruit Orchard (Block)
 (Mango, Mosambi, Pomegranate)</x:v>
      </x:c>
      <x:c r="L53" s="651" t="n">
        <x:v>0.090072</x:v>
      </x:c>
      <x:c r="M53" s="651" t="n">
        <x:v>0.104863</x:v>
      </x:c>
      <x:c r="N53" s="651" t="n">
        <x:v>0.110793</x:v>
      </x:c>
      <x:c r="O53" s="651" t="n">
        <x:v>0.123316</x:v>
      </x:c>
      <x:c r="P53" s="651" t="n">
        <x:v>0.118458</x:v>
      </x:c>
      <x:c r="Q53" s="651" t="n">
        <x:v>0.1095004</x:v>
      </x:c>
    </x:row>
    <x:row r="54">
      <x:c r="A54" s="649" t="str">
        <x:v>Tropical &amp; Subtropical Moist Broadleaf Forests</x:v>
      </x:c>
      <x:c r="B54" s="649"/>
      <x:c r="C54" s="649" t="n">
        <x:v>3443</x:v>
      </x:c>
      <x:c r="D54" s="649" t="n">
        <x:v>2177</x:v>
      </x:c>
      <x:c r="E54" s="649" t="str">
        <x:v>K.KRISHNA</x:v>
      </x:c>
      <x:c r="F54" s="649" t="str">
        <x:v>ALLURI SEETHA RAMA RAJU</x:v>
      </x:c>
      <x:c r="G54" s="649" t="str">
        <x:v>ANDHRA PRADESH</x:v>
      </x:c>
      <x:c r="H54" s="649" t="n">
        <x:v>2022</x:v>
      </x:c>
      <x:c r="I54" s="650" t="n">
        <x:v>2.0152</x:v>
      </x:c>
      <x:c r="J54" s="649" t="n">
        <x:v>143.91</x:v>
      </x:c>
      <x:c r="K54" s="649" t="str">
        <x:v>Horti-Silviculture
 (Fruit + Timber Integration)</x:v>
      </x:c>
      <x:c r="L54" s="651" t="n">
        <x:v>0.064864</x:v>
      </x:c>
      <x:c r="M54" s="651" t="n">
        <x:v>0.10894</x:v>
      </x:c>
      <x:c r="N54" s="651" t="n">
        <x:v>0.123953</x:v>
      </x:c>
      <x:c r="O54" s="651" t="n">
        <x:v>0.125601</x:v>
      </x:c>
      <x:c r="P54" s="651" t="n">
        <x:v>0.117526</x:v>
      </x:c>
      <x:c r="Q54" s="651" t="n">
        <x:v>0.1081768</x:v>
      </x:c>
    </x:row>
    <x:row r="55">
      <x:c r="A55" s="649" t="str">
        <x:v>Tropical &amp; Subtropical Moist Broadleaf Forests</x:v>
      </x:c>
      <x:c r="B55" s="649"/>
      <x:c r="C55" s="649" t="n">
        <x:v>3465</x:v>
      </x:c>
      <x:c r="D55" s="649" t="n">
        <x:v>1995</x:v>
      </x:c>
      <x:c r="E55" s="649" t="str">
        <x:v>K.DHARMARAJU</x:v>
      </x:c>
      <x:c r="F55" s="649" t="str">
        <x:v>ALLURI SEETHA RAMA RAJU</x:v>
      </x:c>
      <x:c r="G55" s="649" t="str">
        <x:v>ANDHRA PRADESH</x:v>
      </x:c>
      <x:c r="H55" s="649" t="n">
        <x:v>2020</x:v>
      </x:c>
      <x:c r="I55" s="650" t="n">
        <x:v>1.1479</x:v>
      </x:c>
      <x:c r="J55" s="649" t="n">
        <x:v>217.79</x:v>
      </x:c>
      <x:c r="K55" s="649" t="str">
        <x:v>Horti-Silviculture
 (Fruit + Timber Integration)</x:v>
      </x:c>
      <x:c r="L55" s="651" t="n">
        <x:v>0.074736</x:v>
      </x:c>
      <x:c r="M55" s="651" t="n">
        <x:v>0.077492</x:v>
      </x:c>
      <x:c r="N55" s="651" t="n">
        <x:v>0.071205</x:v>
      </x:c>
      <x:c r="O55" s="651" t="n">
        <x:v>0.091835</x:v>
      </x:c>
      <x:c r="P55" s="651" t="n">
        <x:v>0.122009</x:v>
      </x:c>
      <x:c r="Q55" s="651" t="n">
        <x:v>0.0874554</x:v>
      </x:c>
    </x:row>
    <x:row r="56">
      <x:c r="A56" s="649" t="str">
        <x:v>Tropical &amp; Subtropical Moist Broadleaf Forests</x:v>
      </x:c>
      <x:c r="B56" s="649"/>
      <x:c r="C56" s="649" t="n">
        <x:v>3488</x:v>
      </x:c>
      <x:c r="D56" s="649" t="n">
        <x:v>6225</x:v>
      </x:c>
      <x:c r="E56" s="649" t="str">
        <x:v>L.SRINUBABU</x:v>
      </x:c>
      <x:c r="F56" s="649" t="str">
        <x:v>ALLURI SEETHA RAMA RAJU</x:v>
      </x:c>
      <x:c r="G56" s="649" t="str">
        <x:v>ANDHRA PRADESH</x:v>
      </x:c>
      <x:c r="H56" s="649" t="n">
        <x:v>2020</x:v>
      </x:c>
      <x:c r="I56" s="650" t="n">
        <x:v>0.425</x:v>
      </x:c>
      <x:c r="J56" s="649" t="n">
        <x:v>164.71</x:v>
      </x:c>
      <x:c r="K56" s="649" t="str">
        <x:v>Fruit Orchard (Block)
 (Mango, Mosambi, Pomegranate)</x:v>
      </x:c>
      <x:c r="L56" s="651" t="n">
        <x:v>0.097223</x:v>
      </x:c>
      <x:c r="M56" s="651" t="n">
        <x:v>0.104941</x:v>
      </x:c>
      <x:c r="N56" s="651" t="n">
        <x:v>0.098088</x:v>
      </x:c>
      <x:c r="O56" s="651" t="n">
        <x:v>0.114305</x:v>
      </x:c>
      <x:c r="P56" s="651" t="n">
        <x:v>0.134788</x:v>
      </x:c>
      <x:c r="Q56" s="651" t="n">
        <x:v>0.109869</x:v>
      </x:c>
    </x:row>
    <x:row r="57">
      <x:c r="A57" s="649" t="str">
        <x:v>Tropical &amp; Subtropical Moist Broadleaf Forests</x:v>
      </x:c>
      <x:c r="B57" s="649"/>
      <x:c r="C57" s="649" t="n">
        <x:v>3550</x:v>
      </x:c>
      <x:c r="D57" s="649" t="n">
        <x:v>5051</x:v>
      </x:c>
      <x:c r="E57" s="649" t="str">
        <x:v>K.KANNAYAMMA</x:v>
      </x:c>
      <x:c r="F57" s="649" t="str">
        <x:v>ALLURI SEETHA RAMA RAJU</x:v>
      </x:c>
      <x:c r="G57" s="649" t="str">
        <x:v>ANDHRA PRADESH</x:v>
      </x:c>
      <x:c r="H57" s="649" t="n">
        <x:v>2020</x:v>
      </x:c>
      <x:c r="I57" s="650" t="n">
        <x:v>0.8182</x:v>
      </x:c>
      <x:c r="J57" s="649" t="n">
        <x:v>67.22</x:v>
      </x:c>
      <x:c r="K57" s="649" t="str">
        <x:v>Mixed Agroforestry Model
 (Diverse multi-purpose species)</x:v>
      </x:c>
      <x:c r="L57" s="651" t="n">
        <x:v>0.076617</x:v>
      </x:c>
      <x:c r="M57" s="651" t="n">
        <x:v>0.127338</x:v>
      </x:c>
      <x:c r="N57" s="651" t="n">
        <x:v>0.098247</x:v>
      </x:c>
      <x:c r="O57" s="651" t="n">
        <x:v>0.127271</x:v>
      </x:c>
      <x:c r="P57" s="651" t="n">
        <x:v>0.127985</x:v>
      </x:c>
      <x:c r="Q57" s="651" t="n">
        <x:v>0.1114916</x:v>
      </x:c>
    </x:row>
    <x:row r="58">
      <x:c r="A58" s="649" t="str">
        <x:v>Tropical &amp; Subtropical Moist Broadleaf Forests</x:v>
      </x:c>
      <x:c r="B58" s="649"/>
      <x:c r="C58" s="649" t="n">
        <x:v>3556</x:v>
      </x:c>
      <x:c r="D58" s="649" t="n">
        <x:v>1469</x:v>
      </x:c>
      <x:c r="E58" s="649" t="str">
        <x:v>N.KRANTHIRAJU</x:v>
      </x:c>
      <x:c r="F58" s="649" t="str">
        <x:v>ALLURI SEETHA RAMA RAJU</x:v>
      </x:c>
      <x:c r="G58" s="649" t="str">
        <x:v>ANDHRA PRADESH</x:v>
      </x:c>
      <x:c r="H58" s="649" t="n">
        <x:v>2020</x:v>
      </x:c>
      <x:c r="I58" s="650" t="n">
        <x:v>0.8123</x:v>
      </x:c>
      <x:c r="J58" s="649" t="n">
        <x:v>123.11</x:v>
      </x:c>
      <x:c r="K58" s="649" t="str">
        <x:v>Horti-Silviculture
 (Fruit + Timber Integration)</x:v>
      </x:c>
      <x:c r="L58" s="651" t="n">
        <x:v>0.044672</x:v>
      </x:c>
      <x:c r="M58" s="651" t="n">
        <x:v>0.061543</x:v>
      </x:c>
      <x:c r="N58" s="651" t="n">
        <x:v>0.071328</x:v>
      </x:c>
      <x:c r="O58" s="651" t="n">
        <x:v>0.101369</x:v>
      </x:c>
      <x:c r="P58" s="651" t="n">
        <x:v>0.098456</x:v>
      </x:c>
      <x:c r="Q58" s="651" t="n">
        <x:v>0.0754736</x:v>
      </x:c>
    </x:row>
    <x:row r="59">
      <x:c r="A59" s="649" t="str">
        <x:v>Tropical &amp; Subtropical Moist Broadleaf Forests</x:v>
      </x:c>
      <x:c r="B59" s="649"/>
      <x:c r="C59" s="649" t="n">
        <x:v>3616</x:v>
      </x:c>
      <x:c r="D59" s="649" t="n">
        <x:v>7836</x:v>
      </x:c>
      <x:c r="E59" s="649" t="str">
        <x:v>T.SUBBARAO</x:v>
      </x:c>
      <x:c r="F59" s="649" t="str">
        <x:v>ALLURI SEETHA RAMA RAJU</x:v>
      </x:c>
      <x:c r="G59" s="649" t="str">
        <x:v>ANDHRA PRADESH</x:v>
      </x:c>
      <x:c r="H59" s="649" t="n">
        <x:v>2020</x:v>
      </x:c>
      <x:c r="I59" s="650" t="n">
        <x:v>2.751922</x:v>
      </x:c>
      <x:c r="J59" s="649" t="n">
        <x:v>316.14</x:v>
      </x:c>
      <x:c r="K59" s="649" t="str">
        <x:v>Horti-Silviculture
 (Fruit + Timber Integration)</x:v>
      </x:c>
      <x:c r="L59" s="651" t="n">
        <x:v>0.111296</x:v>
      </x:c>
      <x:c r="M59" s="651" t="n">
        <x:v>0.114029</x:v>
      </x:c>
      <x:c r="N59" s="651" t="n">
        <x:v>0.139578</x:v>
      </x:c>
      <x:c r="O59" s="651" t="n">
        <x:v>0.153049</x:v>
      </x:c>
      <x:c r="P59" s="651" t="n">
        <x:v>0.136632</x:v>
      </x:c>
      <x:c r="Q59" s="651" t="n">
        <x:v>0.1309168</x:v>
      </x:c>
    </x:row>
    <x:row r="60">
      <x:c r="A60" s="649" t="str">
        <x:v>Tropical &amp; Subtropical Moist Broadleaf Forests</x:v>
      </x:c>
      <x:c r="B60" s="649"/>
      <x:c r="C60" s="649" t="n">
        <x:v>3638</x:v>
      </x:c>
      <x:c r="D60" s="649" t="n">
        <x:v>7837</x:v>
      </x:c>
      <x:c r="E60" s="649" t="str">
        <x:v>S.APPALAMMA</x:v>
      </x:c>
      <x:c r="F60" s="649" t="str">
        <x:v>ALLURI SEETHA RAMA RAJU</x:v>
      </x:c>
      <x:c r="G60" s="649" t="str">
        <x:v>ANDHRA PRADESH</x:v>
      </x:c>
      <x:c r="H60" s="649" t="n">
        <x:v>2020</x:v>
      </x:c>
      <x:c r="I60" s="650" t="n">
        <x:v>0.404694</x:v>
      </x:c>
      <x:c r="J60" s="649" t="n">
        <x:v>3533.53</x:v>
      </x:c>
      <x:c r="K60" s="649" t="str">
        <x:v>Horti-Silviculture
 (Fruit + Timber Integration)</x:v>
      </x:c>
      <x:c r="L60" s="651" t="n">
        <x:v>0.12002</x:v>
      </x:c>
      <x:c r="M60" s="651" t="n">
        <x:v>0.135454</x:v>
      </x:c>
      <x:c r="N60" s="651" t="n">
        <x:v>0.140818</x:v>
      </x:c>
      <x:c r="O60" s="651" t="n">
        <x:v>0.137626</x:v>
      </x:c>
      <x:c r="P60" s="651" t="n">
        <x:v>0.143392</x:v>
      </x:c>
      <x:c r="Q60" s="651" t="n">
        <x:v>0.135462</x:v>
      </x:c>
    </x:row>
    <x:row r="61">
      <x:c r="A61" s="649" t="str">
        <x:v>Tropical &amp; Subtropical Moist Broadleaf Forests</x:v>
      </x:c>
      <x:c r="B61" s="649"/>
      <x:c r="C61" s="649" t="n">
        <x:v>3694</x:v>
      </x:c>
      <x:c r="D61" s="649" t="n">
        <x:v>3809</x:v>
      </x:c>
      <x:c r="E61" s="649" t="str">
        <x:v>G.CHAKRA</x:v>
      </x:c>
      <x:c r="F61" s="649" t="str">
        <x:v>ALLURI SEETHA RAMA RAJU</x:v>
      </x:c>
      <x:c r="G61" s="649" t="str">
        <x:v>ANDHRA PRADESH</x:v>
      </x:c>
      <x:c r="H61" s="649" t="n">
        <x:v>2021</x:v>
      </x:c>
      <x:c r="I61" s="650" t="n">
        <x:v>1.3613</x:v>
      </x:c>
      <x:c r="J61" s="649" t="n">
        <x:v>198.34</x:v>
      </x:c>
      <x:c r="K61" s="649" t="str">
        <x:v>Horti-Silviculture
 (Fruit + Timber Integration)</x:v>
      </x:c>
      <x:c r="L61" s="651" t="n">
        <x:v>0.067883</x:v>
      </x:c>
      <x:c r="M61" s="651" t="n">
        <x:v>0.086876</x:v>
      </x:c>
      <x:c r="N61" s="651" t="n">
        <x:v>0.115313</x:v>
      </x:c>
      <x:c r="O61" s="651" t="n">
        <x:v>0.140364</x:v>
      </x:c>
      <x:c r="P61" s="651" t="n">
        <x:v>0.128759</x:v>
      </x:c>
      <x:c r="Q61" s="651" t="n">
        <x:v>0.107839</x:v>
      </x:c>
    </x:row>
    <x:row r="62">
      <x:c r="A62" s="649" t="str">
        <x:v>Tropical &amp; Subtropical Moist Broadleaf Forests</x:v>
      </x:c>
      <x:c r="B62" s="649"/>
      <x:c r="C62" s="649" t="n">
        <x:v>3746</x:v>
      </x:c>
      <x:c r="D62" s="649" t="n">
        <x:v>2838</x:v>
      </x:c>
      <x:c r="E62" s="649" t="str">
        <x:v>G.GANGARAJU</x:v>
      </x:c>
      <x:c r="F62" s="649" t="str">
        <x:v>ALLURI SEETHA RAMA RAJU</x:v>
      </x:c>
      <x:c r="G62" s="649" t="str">
        <x:v>ANDHRA PRADESH</x:v>
      </x:c>
      <x:c r="H62" s="649" t="n">
        <x:v>2020</x:v>
      </x:c>
      <x:c r="I62" s="650" t="n">
        <x:v>1.5656</x:v>
      </x:c>
      <x:c r="J62" s="649" t="n">
        <x:v>424.76</x:v>
      </x:c>
      <x:c r="K62" s="649" t="str">
        <x:v>Horti-Silviculture
 (Fruit + Timber Integration)</x:v>
      </x:c>
      <x:c r="L62" s="651" t="n">
        <x:v>0.067676</x:v>
      </x:c>
      <x:c r="M62" s="651" t="n">
        <x:v>0.107884</x:v>
      </x:c>
      <x:c r="N62" s="651" t="n">
        <x:v>0.094407</x:v>
      </x:c>
      <x:c r="O62" s="651" t="n">
        <x:v>0.109124</x:v>
      </x:c>
      <x:c r="P62" s="651" t="n">
        <x:v>0.109899</x:v>
      </x:c>
      <x:c r="Q62" s="651" t="n">
        <x:v>0.097798</x:v>
      </x:c>
    </x:row>
    <x:row r="63">
      <x:c r="A63" s="649" t="str">
        <x:v>Tropical &amp; Subtropical Moist Broadleaf Forests</x:v>
      </x:c>
      <x:c r="B63" s="649"/>
      <x:c r="C63" s="649" t="n">
        <x:v>3795</x:v>
      </x:c>
      <x:c r="D63" s="649" t="n">
        <x:v>2831</x:v>
      </x:c>
      <x:c r="E63" s="649" t="str">
        <x:v>B.DEMUDU</x:v>
      </x:c>
      <x:c r="F63" s="649" t="str">
        <x:v>ALLURI SEETHA RAMA RAJU</x:v>
      </x:c>
      <x:c r="G63" s="649" t="str">
        <x:v>ANDHRA PRADESH</x:v>
      </x:c>
      <x:c r="H63" s="649" t="n">
        <x:v>2020</x:v>
      </x:c>
      <x:c r="I63" s="650" t="n">
        <x:v>5.0845</x:v>
      </x:c>
      <x:c r="J63" s="649" t="n">
        <x:v>61.95</x:v>
      </x:c>
      <x:c r="K63" s="649" t="str">
        <x:v>Horti-Silviculture
 (Fruit + Timber Integration)</x:v>
      </x:c>
      <x:c r="L63" s="651" t="n">
        <x:v>0.053701</x:v>
      </x:c>
      <x:c r="M63" s="651" t="n">
        <x:v>0.054609</x:v>
      </x:c>
      <x:c r="N63" s="651" t="n">
        <x:v>0.077447</x:v>
      </x:c>
      <x:c r="O63" s="651" t="n">
        <x:v>0.092585</x:v>
      </x:c>
      <x:c r="P63" s="651" t="n">
        <x:v>0.109975</x:v>
      </x:c>
      <x:c r="Q63" s="651" t="n">
        <x:v>0.0776634</x:v>
      </x:c>
    </x:row>
    <x:row r="64">
      <x:c r="A64" s="649" t="str">
        <x:v>Tropical &amp; Subtropical Moist Broadleaf Forests</x:v>
      </x:c>
      <x:c r="B64" s="649"/>
      <x:c r="C64" s="649" t="n">
        <x:v>3840</x:v>
      </x:c>
      <x:c r="D64" s="649" t="n">
        <x:v>5274</x:v>
      </x:c>
      <x:c r="E64" s="649" t="str">
        <x:v>P.CHINNA</x:v>
      </x:c>
      <x:c r="F64" s="649" t="str">
        <x:v>ALLURI SEETHA RAMA RAJU</x:v>
      </x:c>
      <x:c r="G64" s="649" t="str">
        <x:v>ANDHRA PRADESH</x:v>
      </x:c>
      <x:c r="H64" s="649" t="n">
        <x:v>2020</x:v>
      </x:c>
      <x:c r="I64" s="650" t="n">
        <x:v>0.6113</x:v>
      </x:c>
      <x:c r="J64" s="649" t="n">
        <x:v>1717.65</x:v>
      </x:c>
      <x:c r="K64" s="649" t="str">
        <x:v>Horti-Silviculture
 (Fruit + Timber Integration)</x:v>
      </x:c>
      <x:c r="L64" s="651" t="n">
        <x:v>0.048909</x:v>
      </x:c>
      <x:c r="M64" s="651" t="n">
        <x:v>0.072805</x:v>
      </x:c>
      <x:c r="N64" s="651" t="n">
        <x:v>0.081615</x:v>
      </x:c>
      <x:c r="O64" s="651" t="n">
        <x:v>0.104772</x:v>
      </x:c>
      <x:c r="P64" s="651" t="n">
        <x:v>0.104672</x:v>
      </x:c>
      <x:c r="Q64" s="651" t="n">
        <x:v>0.0825546</x:v>
      </x:c>
    </x:row>
    <x:row r="65">
      <x:c r="A65" s="649" t="str">
        <x:v>Tropical &amp; Subtropical Dry Broadleaf Forests</x:v>
      </x:c>
      <x:c r="B65" s="649"/>
      <x:c r="C65" s="649" t="n">
        <x:v>31</x:v>
      </x:c>
      <x:c r="D65" s="649" t="n">
        <x:v>11827</x:v>
      </x:c>
      <x:c r="E65" s="649" t="str">
        <x:v>Inugala Srinivasa Reddy</x:v>
      </x:c>
      <x:c r="F65" s="649" t="str">
        <x:v>karimnagar</x:v>
      </x:c>
      <x:c r="G65" s="649" t="str">
        <x:v>TELANGANA</x:v>
      </x:c>
      <x:c r="H65" s="649" t="n">
        <x:v>2022</x:v>
      </x:c>
      <x:c r="I65" s="650" t="n">
        <x:v>0.5798</x:v>
      </x:c>
      <x:c r="J65" s="649" t="n">
        <x:v>137.98</x:v>
      </x:c>
      <x:c r="K65" s="649" t="str">
        <x:v>Fruit Orchard (Block)
 (Mango, Mosambi, Pomegranate)</x:v>
      </x:c>
      <x:c r="L65" s="651" t="n">
        <x:v>0.251333</x:v>
      </x:c>
      <x:c r="M65" s="651" t="n">
        <x:v>0.045591</x:v>
      </x:c>
      <x:c r="N65" s="651" t="n">
        <x:v>0.09296</x:v>
      </x:c>
      <x:c r="O65" s="651" t="n">
        <x:v>0.123582</x:v>
      </x:c>
      <x:c r="P65" s="651" t="n">
        <x:v>0.096696</x:v>
      </x:c>
      <x:c r="Q65" s="651" t="n">
        <x:v>0.113055</x:v>
      </x:c>
    </x:row>
    <x:row r="66">
      <x:c r="A66" s="649" t="str">
        <x:v>Tropical &amp; Subtropical Dry Broadleaf Forests</x:v>
      </x:c>
      <x:c r="B66" s="649"/>
      <x:c r="C66" s="649" t="n">
        <x:v>52</x:v>
      </x:c>
      <x:c r="D66" s="649" t="n">
        <x:v>11850</x:v>
      </x:c>
      <x:c r="E66" s="649" t="str">
        <x:v>Boga Lakshmi Prasanna</x:v>
      </x:c>
      <x:c r="F66" s="649" t="str">
        <x:v>karimnagar</x:v>
      </x:c>
      <x:c r="G66" s="649" t="str">
        <x:v>TELANGANA</x:v>
      </x:c>
      <x:c r="H66" s="649" t="n">
        <x:v>2021</x:v>
      </x:c>
      <x:c r="I66" s="650" t="n">
        <x:v>0.6337</x:v>
      </x:c>
      <x:c r="J66" s="649" t="n">
        <x:v>331.39</x:v>
      </x:c>
      <x:c r="K66" s="649" t="str">
        <x:v>Fruit Orchard (Block)
 (Mango, Mosambi, Pomegranate)</x:v>
      </x:c>
      <x:c r="L66" s="651" t="n">
        <x:v>0.19351</x:v>
      </x:c>
      <x:c r="M66" s="651" t="n">
        <x:v>0.047112</x:v>
      </x:c>
      <x:c r="N66" s="651" t="n">
        <x:v>0.049454</x:v>
      </x:c>
      <x:c r="O66" s="651" t="n">
        <x:v>0.093721</x:v>
      </x:c>
      <x:c r="P66" s="651" t="n">
        <x:v>0.121743</x:v>
      </x:c>
      <x:c r="Q66" s="651" t="n">
        <x:v>0.116059</x:v>
      </x:c>
    </x:row>
    <x:row r="67">
      <x:c r="A67" s="649" t="str">
        <x:v>Tropical &amp; Subtropical Dry Broadleaf Forests</x:v>
      </x:c>
      <x:c r="B67" s="649"/>
      <x:c r="C67" s="649" t="n">
        <x:v>67</x:v>
      </x:c>
      <x:c r="D67" s="649" t="n">
        <x:v>11811</x:v>
      </x:c>
      <x:c r="E67" s="649" t="str">
        <x:v>Kalvakota Arundhati</x:v>
      </x:c>
      <x:c r="F67" s="649" t="str">
        <x:v>karimnagar</x:v>
      </x:c>
      <x:c r="G67" s="649" t="str">
        <x:v>TELANGANA</x:v>
      </x:c>
      <x:c r="H67" s="649" t="n">
        <x:v>2021</x:v>
      </x:c>
      <x:c r="I67" s="650" t="n">
        <x:v>0.742</x:v>
      </x:c>
      <x:c r="J67" s="649" t="n">
        <x:v>283.02</x:v>
      </x:c>
      <x:c r="K67" s="649" t="str">
        <x:v>Fruit Orchard (Block)
 (Mango, Mosambi, Pomegranate)</x:v>
      </x:c>
      <x:c r="L67" s="651" t="n">
        <x:v>0.134225</x:v>
      </x:c>
      <x:c r="M67" s="651" t="n">
        <x:v>0.070313</x:v>
      </x:c>
      <x:c r="N67" s="651" t="n">
        <x:v>0.076433</x:v>
      </x:c>
      <x:c r="O67" s="651" t="n">
        <x:v>0.101864</x:v>
      </x:c>
      <x:c r="P67" s="651" t="n">
        <x:v>0.132905</x:v>
      </x:c>
      <x:c r="Q67" s="651" t="n">
        <x:v>0.115833</x:v>
      </x:c>
    </x:row>
    <x:row r="68">
      <x:c r="A68" s="649" t="str">
        <x:v>Tropical &amp; Subtropical Dry Broadleaf Forests</x:v>
      </x:c>
      <x:c r="B68" s="649"/>
      <x:c r="C68" s="649" t="n">
        <x:v>113</x:v>
      </x:c>
      <x:c r="D68" s="649" t="n">
        <x:v>11757</x:v>
      </x:c>
      <x:c r="E68" s="649" t="str">
        <x:v>Pappu Srinivas</x:v>
      </x:c>
      <x:c r="F68" s="649" t="str">
        <x:v>karimnagar</x:v>
      </x:c>
      <x:c r="G68" s="649" t="str">
        <x:v>TELANGANA</x:v>
      </x:c>
      <x:c r="H68" s="649" t="n">
        <x:v>2021</x:v>
      </x:c>
      <x:c r="I68" s="650" t="n">
        <x:v>0.279</x:v>
      </x:c>
      <x:c r="J68" s="649" t="n">
        <x:v>215.05</x:v>
      </x:c>
      <x:c r="K68" s="649" t="str">
        <x:v>Fruit Orchard (Block)
 (Mango, Mosambi, Pomegranate)</x:v>
      </x:c>
      <x:c r="L68" s="651" t="n">
        <x:v>0.163066</x:v>
      </x:c>
      <x:c r="M68" s="651" t="n">
        <x:v>0.055161</x:v>
      </x:c>
      <x:c r="N68" s="651" t="n">
        <x:v>0.047117</x:v>
      </x:c>
      <x:c r="O68" s="651" t="n">
        <x:v>0.077268</x:v>
      </x:c>
      <x:c r="P68" s="651" t="n">
        <x:v>0.12265</x:v>
      </x:c>
      <x:c r="Q68" s="651" t="n">
        <x:v>0.146315</x:v>
      </x:c>
    </x:row>
    <x:row r="69">
      <x:c r="A69" s="649" t="str">
        <x:v>Tropical &amp; Subtropical Dry Broadleaf Forests</x:v>
      </x:c>
      <x:c r="B69" s="649"/>
      <x:c r="C69" s="649" t="n">
        <x:v>119</x:v>
      </x:c>
      <x:c r="D69" s="649" t="n">
        <x:v>11759</x:v>
      </x:c>
      <x:c r="E69" s="649" t="str">
        <x:v>Pappu Mahender</x:v>
      </x:c>
      <x:c r="F69" s="649" t="str">
        <x:v>karimnagar</x:v>
      </x:c>
      <x:c r="G69" s="649" t="str">
        <x:v>TELANGANA</x:v>
      </x:c>
      <x:c r="H69" s="649" t="n">
        <x:v>2022</x:v>
      </x:c>
      <x:c r="I69" s="650" t="n">
        <x:v>0.8336</x:v>
      </x:c>
      <x:c r="J69" s="649" t="n">
        <x:v>167.95</x:v>
      </x:c>
      <x:c r="K69" s="649" t="str">
        <x:v>Fruit Orchard (Block)
 (Mango, Mosambi, Pomegranate)</x:v>
      </x:c>
      <x:c r="L69" s="651" t="n">
        <x:v>0.162019</x:v>
      </x:c>
      <x:c r="M69" s="651" t="n">
        <x:v>0.065821</x:v>
      </x:c>
      <x:c r="N69" s="651" t="n">
        <x:v>0.054074</x:v>
      </x:c>
      <x:c r="O69" s="651" t="n">
        <x:v>0.078311</x:v>
      </x:c>
      <x:c r="P69" s="651" t="n">
        <x:v>0.13184</x:v>
      </x:c>
      <x:c r="Q69" s="651" t="n">
        <x:v>0.113539</x:v>
      </x:c>
    </x:row>
    <x:row r="70">
      <x:c r="A70" s="649" t="str">
        <x:v>Tropical &amp; Subtropical Dry Broadleaf Forests</x:v>
      </x:c>
      <x:c r="B70" s="649"/>
      <x:c r="C70" s="649" t="n">
        <x:v>127</x:v>
      </x:c>
      <x:c r="D70" s="649" t="n">
        <x:v>1522</x:v>
      </x:c>
      <x:c r="E70" s="649" t="str">
        <x:v>K.PARSHARAMULU</x:v>
      </x:c>
      <x:c r="F70" s="649" t="str">
        <x:v>RAJANNA SIRISILLA</x:v>
      </x:c>
      <x:c r="G70" s="649" t="str">
        <x:v>TELANGANA</x:v>
      </x:c>
      <x:c r="H70" s="649" t="n">
        <x:v>2020</x:v>
      </x:c>
      <x:c r="I70" s="650" t="n">
        <x:v>3.1102</x:v>
      </x:c>
      <x:c r="J70" s="649" t="n">
        <x:v>241.14</x:v>
      </x:c>
      <x:c r="K70" s="649" t="str">
        <x:v>Fruit Orchard (Block)
 (Mango, Mosambi, Pomegranate)</x:v>
      </x:c>
      <x:c r="L70" s="651" t="n">
        <x:v>0.159402</x:v>
      </x:c>
      <x:c r="M70" s="651" t="n">
        <x:v>0.049961</x:v>
      </x:c>
      <x:c r="N70" s="651" t="n">
        <x:v>0.098805</x:v>
      </x:c>
      <x:c r="O70" s="651" t="n">
        <x:v>0.099135</x:v>
      </x:c>
      <x:c r="P70" s="651" t="n">
        <x:v>0.135449</x:v>
      </x:c>
      <x:c r="Q70" s="651" t="n">
        <x:v>0.122677</x:v>
      </x:c>
    </x:row>
    <x:row r="71">
      <x:c r="A71" s="649" t="str">
        <x:v>Tropical &amp; Subtropical Dry Broadleaf Forests</x:v>
      </x:c>
      <x:c r="B71" s="649"/>
      <x:c r="C71" s="649" t="n">
        <x:v>147</x:v>
      </x:c>
      <x:c r="D71" s="649" t="n">
        <x:v>11896</x:v>
      </x:c>
      <x:c r="E71" s="649" t="str">
        <x:v>swagath Chaitanya Krishna</x:v>
      </x:c>
      <x:c r="F71" s="649" t="str">
        <x:v>karimnagar</x:v>
      </x:c>
      <x:c r="G71" s="649" t="str">
        <x:v>TELANGANA</x:v>
      </x:c>
      <x:c r="H71" s="649" t="n">
        <x:v>2021</x:v>
      </x:c>
      <x:c r="I71" s="650" t="n">
        <x:v>1.0042</x:v>
      </x:c>
      <x:c r="J71" s="649" t="n">
        <x:v>214.1</x:v>
      </x:c>
      <x:c r="K71" s="649" t="str">
        <x:v>Fruit Orchard (Block)
 (Mango, Mosambi, Pomegranate)</x:v>
      </x:c>
      <x:c r="L71" s="651" t="n">
        <x:v>0.264776</x:v>
      </x:c>
      <x:c r="M71" s="651" t="n">
        <x:v>0.061056</x:v>
      </x:c>
      <x:c r="N71" s="651" t="n">
        <x:v>0.067979</x:v>
      </x:c>
      <x:c r="O71" s="651" t="n">
        <x:v>0.05652</x:v>
      </x:c>
      <x:c r="P71" s="651" t="n">
        <x:v>0.172544</x:v>
      </x:c>
      <x:c r="Q71" s="651" t="n">
        <x:v>0.123626</x:v>
      </x:c>
    </x:row>
    <x:row r="72">
      <x:c r="A72" s="649" t="str">
        <x:v>Tropical &amp; Subtropical Dry Broadleaf Forests</x:v>
      </x:c>
      <x:c r="B72" s="649"/>
      <x:c r="C72" s="649" t="n">
        <x:v>182</x:v>
      </x:c>
      <x:c r="D72" s="649" t="n">
        <x:v>11915</x:v>
      </x:c>
      <x:c r="E72" s="649" t="str">
        <x:v>The cart is broken</x:v>
      </x:c>
      <x:c r="F72" s="649" t="str">
        <x:v>karimnagar</x:v>
      </x:c>
      <x:c r="G72" s="649" t="str">
        <x:v>TELANGANA</x:v>
      </x:c>
      <x:c r="H72" s="649" t="n">
        <x:v>2022</x:v>
      </x:c>
      <x:c r="I72" s="650" t="n">
        <x:v>2.0285</x:v>
      </x:c>
      <x:c r="J72" s="649" t="n">
        <x:v>207.05</x:v>
      </x:c>
      <x:c r="K72" s="649" t="str">
        <x:v>Fruit Orchard (Block)
 (Mango, Mosambi, Pomegranate)</x:v>
      </x:c>
      <x:c r="L72" s="651" t="n">
        <x:v>0.192037</x:v>
      </x:c>
      <x:c r="M72" s="651" t="n">
        <x:v>0.021479</x:v>
      </x:c>
      <x:c r="N72" s="651" t="n">
        <x:v>0.039458</x:v>
      </x:c>
      <x:c r="O72" s="651" t="n">
        <x:v>0.065587</x:v>
      </x:c>
      <x:c r="P72" s="651" t="n">
        <x:v>0.056859</x:v>
      </x:c>
      <x:c r="Q72" s="651" t="n">
        <x:v>0.104371</x:v>
      </x:c>
    </x:row>
    <x:row r="73">
      <x:c r="A73" s="649" t="str">
        <x:v>Tropical &amp; Subtropical Dry Broadleaf Forests</x:v>
      </x:c>
      <x:c r="B73" s="649"/>
      <x:c r="C73" s="649" t="n">
        <x:v>187</x:v>
      </x:c>
      <x:c r="D73" s="649" t="n">
        <x:v>11920</x:v>
      </x:c>
      <x:c r="E73" s="649" t="str">
        <x:v>madugula sunitha</x:v>
      </x:c>
      <x:c r="F73" s="649" t="str">
        <x:v>karimnagar</x:v>
      </x:c>
      <x:c r="G73" s="649" t="str">
        <x:v>TELANGANA</x:v>
      </x:c>
      <x:c r="H73" s="649" t="n">
        <x:v>2023</x:v>
      </x:c>
      <x:c r="I73" s="650" t="n">
        <x:v>0.7701</x:v>
      </x:c>
      <x:c r="J73" s="649" t="n">
        <x:v>649.27</x:v>
      </x:c>
      <x:c r="K73" s="649" t="str">
        <x:v>Fruit Orchard (Block)
 (Mango, Mosambi, Pomegranate)</x:v>
      </x:c>
      <x:c r="L73" s="651" t="n">
        <x:v>0.185981</x:v>
      </x:c>
      <x:c r="M73" s="651" t="n">
        <x:v>0.037309</x:v>
      </x:c>
      <x:c r="N73" s="651" t="n">
        <x:v>0.102073</x:v>
      </x:c>
      <x:c r="O73" s="651" t="n">
        <x:v>0.078137</x:v>
      </x:c>
      <x:c r="P73" s="651" t="n">
        <x:v>0.094906</x:v>
      </x:c>
      <x:c r="Q73" s="651" t="n">
        <x:v>0.131675</x:v>
      </x:c>
    </x:row>
    <x:row r="74">
      <x:c r="A74" s="649" t="str">
        <x:v>Tropical &amp; Subtropical Dry Broadleaf Forests</x:v>
      </x:c>
      <x:c r="B74" s="649"/>
      <x:c r="C74" s="649" t="n">
        <x:v>241</x:v>
      </x:c>
      <x:c r="D74" s="649" t="n">
        <x:v>11774</x:v>
      </x:c>
      <x:c r="E74" s="649" t="str">
        <x:v>Nuny Kondal Reddy</x:v>
      </x:c>
      <x:c r="F74" s="649" t="str">
        <x:v>karimnagar</x:v>
      </x:c>
      <x:c r="G74" s="649" t="str">
        <x:v>TELANGANA</x:v>
      </x:c>
      <x:c r="H74" s="649" t="n">
        <x:v>2022</x:v>
      </x:c>
      <x:c r="I74" s="650" t="n">
        <x:v>1.1494</x:v>
      </x:c>
      <x:c r="J74" s="649" t="n">
        <x:v>126.15</x:v>
      </x:c>
      <x:c r="K74" s="649" t="str">
        <x:v>Fruit Orchard (Block)
 (Mango, Mosambi, Pomegranate)</x:v>
      </x:c>
      <x:c r="L74" s="651" t="n">
        <x:v>0.229448</x:v>
      </x:c>
      <x:c r="M74" s="651" t="n">
        <x:v>0.049167</x:v>
      </x:c>
      <x:c r="N74" s="651" t="n">
        <x:v>0.07992</x:v>
      </x:c>
      <x:c r="O74" s="651" t="n">
        <x:v>0.072682</x:v>
      </x:c>
      <x:c r="P74" s="651" t="n">
        <x:v>0.105613</x:v>
      </x:c>
      <x:c r="Q74" s="651" t="n">
        <x:v>0.105918</x:v>
      </x:c>
    </x:row>
    <x:row r="75">
      <x:c r="A75" s="649" t="str">
        <x:v>Tropical &amp; Subtropical Dry Broadleaf Forests</x:v>
      </x:c>
      <x:c r="B75" s="649"/>
      <x:c r="C75" s="649" t="n">
        <x:v>248</x:v>
      </x:c>
      <x:c r="D75" s="649" t="n">
        <x:v>11854</x:v>
      </x:c>
      <x:c r="E75" s="649" t="str">
        <x:v>Lakidai Sudhakar</x:v>
      </x:c>
      <x:c r="F75" s="649" t="str">
        <x:v>karimnagar</x:v>
      </x:c>
      <x:c r="G75" s="649" t="str">
        <x:v>TELANGANA</x:v>
      </x:c>
      <x:c r="H75" s="649" t="n">
        <x:v>2022</x:v>
      </x:c>
      <x:c r="I75" s="650" t="n">
        <x:v>1.4927</x:v>
      </x:c>
      <x:c r="J75" s="649" t="n">
        <x:v>194.28</x:v>
      </x:c>
      <x:c r="K75" s="649" t="str">
        <x:v>Fruit Orchard (Block)
 (Mango, Mosambi, Pomegranate)</x:v>
      </x:c>
      <x:c r="L75" s="651" t="n">
        <x:v>0.052274</x:v>
      </x:c>
      <x:c r="M75" s="651" t="n">
        <x:v>0.073276</x:v>
      </x:c>
      <x:c r="N75" s="651" t="n">
        <x:v>0.102115</x:v>
      </x:c>
      <x:c r="O75" s="651" t="n">
        <x:v>0.116533</x:v>
      </x:c>
      <x:c r="P75" s="651" t="n">
        <x:v>0.137814</x:v>
      </x:c>
      <x:c r="Q75" s="651" t="n">
        <x:v>0.126694</x:v>
      </x:c>
    </x:row>
    <x:row r="76">
      <x:c r="A76" s="649" t="str">
        <x:v>Tropical &amp; Subtropical Dry Broadleaf Forests</x:v>
      </x:c>
      <x:c r="B76" s="649"/>
      <x:c r="C76" s="649" t="n">
        <x:v>359</x:v>
      </x:c>
      <x:c r="D76" s="649" t="n">
        <x:v>1504</x:v>
      </x:c>
      <x:c r="E76" s="649" t="str">
        <x:v>CH.BHUMAIAH</x:v>
      </x:c>
      <x:c r="F76" s="649" t="str">
        <x:v>RAJANNA SIRISILLA</x:v>
      </x:c>
      <x:c r="G76" s="649" t="str">
        <x:v>TELANGANA</x:v>
      </x:c>
      <x:c r="H76" s="649" t="n">
        <x:v>2020</x:v>
      </x:c>
      <x:c r="I76" s="650" t="n">
        <x:v>0.5417</x:v>
      </x:c>
      <x:c r="J76" s="649" t="n">
        <x:v>276.91</x:v>
      </x:c>
      <x:c r="K76" s="649" t="str">
        <x:v>Fruit Orchard (Block)
 (Mango, Mosambi, Pomegranate)</x:v>
      </x:c>
      <x:c r="L76" s="651" t="n">
        <x:v>0.230041</x:v>
      </x:c>
      <x:c r="M76" s="651" t="n">
        <x:v>0.071098</x:v>
      </x:c>
      <x:c r="N76" s="651" t="n">
        <x:v>0.064769</x:v>
      </x:c>
      <x:c r="O76" s="651" t="n">
        <x:v>0.107</x:v>
      </x:c>
      <x:c r="P76" s="651" t="n">
        <x:v>0.049512</x:v>
      </x:c>
      <x:c r="Q76" s="651" t="n">
        <x:v>0.165012</x:v>
      </x:c>
    </x:row>
    <x:row r="77">
      <x:c r="A77" s="649" t="str">
        <x:v>Tropical &amp; Subtropical Dry Broadleaf Forests</x:v>
      </x:c>
      <x:c r="B77" s="649"/>
      <x:c r="C77" s="649" t="n">
        <x:v>386</x:v>
      </x:c>
      <x:c r="D77" s="649" t="n">
        <x:v>1531</x:v>
      </x:c>
      <x:c r="E77" s="649" t="str">
        <x:v>G.SUDHARANI</x:v>
      </x:c>
      <x:c r="F77" s="649" t="str">
        <x:v>RAJANNA SIRISILLA</x:v>
      </x:c>
      <x:c r="G77" s="649" t="str">
        <x:v>TELANGANA</x:v>
      </x:c>
      <x:c r="H77" s="649" t="n">
        <x:v>2020</x:v>
      </x:c>
      <x:c r="I77" s="650" t="n">
        <x:v>1.6906</x:v>
      </x:c>
      <x:c r="J77" s="649" t="n">
        <x:v>112.39</x:v>
      </x:c>
      <x:c r="K77" s="649" t="str">
        <x:v>Fruit Orchard (Block)
 (Mango, Mosambi, Pomegranate)</x:v>
      </x:c>
      <x:c r="L77" s="651" t="n">
        <x:v>0.209854</x:v>
      </x:c>
      <x:c r="M77" s="651" t="n">
        <x:v>0.029453</x:v>
      </x:c>
      <x:c r="N77" s="651" t="n">
        <x:v>0.039541</x:v>
      </x:c>
      <x:c r="O77" s="651" t="n">
        <x:v>0.066336</x:v>
      </x:c>
      <x:c r="P77" s="651" t="n">
        <x:v>0.072785</x:v>
      </x:c>
      <x:c r="Q77" s="651" t="n">
        <x:v>0.079643</x:v>
      </x:c>
    </x:row>
    <x:row r="78">
      <x:c r="A78" s="649" t="str">
        <x:v>Tropical &amp; Subtropical Dry Broadleaf Forests</x:v>
      </x:c>
      <x:c r="B78" s="649"/>
      <x:c r="C78" s="649" t="n">
        <x:v>409</x:v>
      </x:c>
      <x:c r="D78" s="649" t="n">
        <x:v>11869</x:v>
      </x:c>
      <x:c r="E78" s="649" t="str">
        <x:v>JANAGAMA KRISHNA CHAITANYA</x:v>
      </x:c>
      <x:c r="F78" s="649" t="str">
        <x:v>karimnagar</x:v>
      </x:c>
      <x:c r="G78" s="649" t="str">
        <x:v>TELANGANA</x:v>
      </x:c>
      <x:c r="H78" s="649" t="n">
        <x:v>2022</x:v>
      </x:c>
      <x:c r="I78" s="650" t="n">
        <x:v>1.401</x:v>
      </x:c>
      <x:c r="J78" s="649" t="n">
        <x:v>1427.55</x:v>
      </x:c>
      <x:c r="K78" s="649" t="str">
        <x:v>Fruit Orchard (Block)
 (Mango, Mosambi, Pomegranate)</x:v>
      </x:c>
      <x:c r="L78" s="651" t="n">
        <x:v>0.209765</x:v>
      </x:c>
      <x:c r="M78" s="651" t="n">
        <x:v>0.079145</x:v>
      </x:c>
      <x:c r="N78" s="651" t="n">
        <x:v>0.092086</x:v>
      </x:c>
      <x:c r="O78" s="651" t="n">
        <x:v>0.07056</x:v>
      </x:c>
      <x:c r="P78" s="651" t="n">
        <x:v>0.124695</x:v>
      </x:c>
      <x:c r="Q78" s="651" t="n">
        <x:v>0.11204</x:v>
      </x:c>
    </x:row>
    <x:row r="79">
      <x:c r="A79" s="649" t="str">
        <x:v>Tropical &amp; Subtropical Dry Broadleaf Forests</x:v>
      </x:c>
      <x:c r="B79" s="649"/>
      <x:c r="C79" s="649" t="n">
        <x:v>449</x:v>
      </x:c>
      <x:c r="D79" s="649" t="n">
        <x:v>8654</x:v>
      </x:c>
      <x:c r="E79" s="649" t="str">
        <x:v>Kariveda.Rajireddy</x:v>
      </x:c>
      <x:c r="F79" s="649" t="str">
        <x:v>karimnagar</x:v>
      </x:c>
      <x:c r="G79" s="649" t="str">
        <x:v>TELANGANA</x:v>
      </x:c>
      <x:c r="H79" s="649" t="n">
        <x:v>2020</x:v>
      </x:c>
      <x:c r="I79" s="650" t="n">
        <x:v>0.7042</x:v>
      </x:c>
      <x:c r="J79" s="649" t="n">
        <x:v>710.03</x:v>
      </x:c>
      <x:c r="K79" s="649" t="str">
        <x:v>Horti-Silviculture
 (Fruit + Timber Integration)</x:v>
      </x:c>
      <x:c r="L79" s="651" t="n">
        <x:v>0.211361</x:v>
      </x:c>
      <x:c r="M79" s="651" t="n">
        <x:v>0.074729</x:v>
      </x:c>
      <x:c r="N79" s="651" t="n">
        <x:v>0.11172</x:v>
      </x:c>
      <x:c r="O79" s="651" t="n">
        <x:v>0.128955</x:v>
      </x:c>
      <x:c r="P79" s="651" t="n">
        <x:v>0.110812</x:v>
      </x:c>
      <x:c r="Q79" s="651" t="n">
        <x:v>0.121223</x:v>
      </x:c>
    </x:row>
    <x:row r="80">
      <x:c r="A80" s="649" t="str">
        <x:v>Tropical &amp; Subtropical Dry Broadleaf Forests</x:v>
      </x:c>
      <x:c r="B80" s="649"/>
      <x:c r="C80" s="649" t="n">
        <x:v>476</x:v>
      </x:c>
      <x:c r="D80" s="649" t="n">
        <x:v>11801</x:v>
      </x:c>
      <x:c r="E80" s="649" t="str">
        <x:v>Kanaveni Ramesh</x:v>
      </x:c>
      <x:c r="F80" s="649" t="str">
        <x:v>karimnagar</x:v>
      </x:c>
      <x:c r="G80" s="649" t="str">
        <x:v>TELANGANA</x:v>
      </x:c>
      <x:c r="H80" s="649" t="n">
        <x:v>2020</x:v>
      </x:c>
      <x:c r="I80" s="650" t="n">
        <x:v>1.4158</x:v>
      </x:c>
      <x:c r="J80" s="649" t="n">
        <x:v>105.95</x:v>
      </x:c>
      <x:c r="K80" s="649" t="str">
        <x:v>Fruit Orchard (Block)
 (Mango, Mosambi, Pomegranate)</x:v>
      </x:c>
      <x:c r="L80" s="651" t="n">
        <x:v>0.172605</x:v>
      </x:c>
      <x:c r="M80" s="651" t="n">
        <x:v>0.034059</x:v>
      </x:c>
      <x:c r="N80" s="651" t="n">
        <x:v>0.107281</x:v>
      </x:c>
      <x:c r="O80" s="651" t="n">
        <x:v>0.081294</x:v>
      </x:c>
      <x:c r="P80" s="651" t="n">
        <x:v>0.081387</x:v>
      </x:c>
      <x:c r="Q80" s="651" t="n">
        <x:v>0.104407</x:v>
      </x:c>
    </x:row>
    <x:row r="81">
      <x:c r="A81" s="649" t="str">
        <x:v>Tropical &amp; Subtropical Dry Broadleaf Forests</x:v>
      </x:c>
      <x:c r="B81" s="649"/>
      <x:c r="C81" s="649" t="n">
        <x:v>534</x:v>
      </x:c>
      <x:c r="D81" s="649" t="n">
        <x:v>11797</x:v>
      </x:c>
      <x:c r="E81" s="649" t="str">
        <x:v>Gampa Madan Mohan</x:v>
      </x:c>
      <x:c r="F81" s="649" t="str">
        <x:v>karimnagar</x:v>
      </x:c>
      <x:c r="G81" s="649" t="str">
        <x:v>TELANGANA</x:v>
      </x:c>
      <x:c r="H81" s="649" t="n">
        <x:v>2021</x:v>
      </x:c>
      <x:c r="I81" s="650" t="n">
        <x:v>0.5991</x:v>
      </x:c>
      <x:c r="J81" s="649" t="n">
        <x:v>133.53</x:v>
      </x:c>
      <x:c r="K81" s="649" t="str">
        <x:v>Fruit Orchard (Block)
 (Mango, Mosambi, Pomegranate)</x:v>
      </x:c>
      <x:c r="L81" s="651" t="n">
        <x:v>0.199989</x:v>
      </x:c>
      <x:c r="M81" s="651" t="n">
        <x:v>0.059846</x:v>
      </x:c>
      <x:c r="N81" s="651" t="n">
        <x:v>0.055398</x:v>
      </x:c>
      <x:c r="O81" s="651" t="n">
        <x:v>0.107724</x:v>
      </x:c>
      <x:c r="P81" s="651" t="n">
        <x:v>0.156146</x:v>
      </x:c>
      <x:c r="Q81" s="651" t="n">
        <x:v>0.12035</x:v>
      </x:c>
    </x:row>
    <x:row r="82">
      <x:c r="A82" s="649" t="str">
        <x:v>Tropical &amp; Subtropical Dry Broadleaf Forests</x:v>
      </x:c>
      <x:c r="B82" s="649"/>
      <x:c r="C82" s="649" t="n">
        <x:v>550</x:v>
      </x:c>
      <x:c r="D82" s="649" t="n">
        <x:v>11793</x:v>
      </x:c>
      <x:c r="E82" s="649" t="str">
        <x:v>Gajula Sanjeeva Reddy</x:v>
      </x:c>
      <x:c r="F82" s="649" t="str">
        <x:v>karimnagar</x:v>
      </x:c>
      <x:c r="G82" s="649" t="str">
        <x:v>TELANGANA</x:v>
      </x:c>
      <x:c r="H82" s="649" t="n">
        <x:v>2020</x:v>
      </x:c>
      <x:c r="I82" s="650" t="n">
        <x:v>0.8659</x:v>
      </x:c>
      <x:c r="J82" s="649" t="n">
        <x:v>150.13</x:v>
      </x:c>
      <x:c r="K82" s="649" t="str">
        <x:v>Fruit Orchard (Block)
 (Mango, Mosambi, Pomegranate)</x:v>
      </x:c>
      <x:c r="L82" s="651" t="n">
        <x:v>0.181347</x:v>
      </x:c>
      <x:c r="M82" s="651" t="n">
        <x:v>0.076493</x:v>
      </x:c>
      <x:c r="N82" s="651" t="n">
        <x:v>0.108889</x:v>
      </x:c>
      <x:c r="O82" s="651" t="n">
        <x:v>0.108626</x:v>
      </x:c>
      <x:c r="P82" s="651" t="n">
        <x:v>0.106866</x:v>
      </x:c>
      <x:c r="Q82" s="651" t="n">
        <x:v>0.123951</x:v>
      </x:c>
    </x:row>
    <x:row r="83">
      <x:c r="A83" s="649" t="str">
        <x:v>Tropical &amp; Subtropical Dry Broadleaf Forests</x:v>
      </x:c>
      <x:c r="B83" s="649"/>
      <x:c r="C83" s="649" t="n">
        <x:v>568</x:v>
      </x:c>
      <x:c r="D83" s="649" t="n">
        <x:v>11891</x:v>
      </x:c>
      <x:c r="E83" s="649" t="str">
        <x:v>Myadara Boina Komuraiya</x:v>
      </x:c>
      <x:c r="F83" s="649" t="str">
        <x:v>karimnagar</x:v>
      </x:c>
      <x:c r="G83" s="649" t="str">
        <x:v>TELANGANA</x:v>
      </x:c>
      <x:c r="H83" s="649" t="n">
        <x:v>2021</x:v>
      </x:c>
      <x:c r="I83" s="650" t="n">
        <x:v>0.6003</x:v>
      </x:c>
      <x:c r="J83" s="649" t="n">
        <x:v>141.6</x:v>
      </x:c>
      <x:c r="K83" s="649" t="str">
        <x:v>Fruit Orchard (Block)
 (Mango, Mosambi, Pomegranate)</x:v>
      </x:c>
      <x:c r="L83" s="651" t="n">
        <x:v>0.189895</x:v>
      </x:c>
      <x:c r="M83" s="651" t="n">
        <x:v>0.024572</x:v>
      </x:c>
      <x:c r="N83" s="651" t="n">
        <x:v>0.05585</x:v>
      </x:c>
      <x:c r="O83" s="651" t="n">
        <x:v>0.096286</x:v>
      </x:c>
      <x:c r="P83" s="651" t="n">
        <x:v>0.055879</x:v>
      </x:c>
      <x:c r="Q83" s="651" t="n">
        <x:v>0.109464</x:v>
      </x:c>
    </x:row>
    <x:row r="84">
      <x:c r="A84" s="649" t="str">
        <x:v>Tropical &amp; Subtropical Dry Broadleaf Forests</x:v>
      </x:c>
      <x:c r="B84" s="649"/>
      <x:c r="C84" s="649" t="n">
        <x:v>572</x:v>
      </x:c>
      <x:c r="D84" s="649" t="n">
        <x:v>11894</x:v>
      </x:c>
      <x:c r="E84" s="649" t="str">
        <x:v>Shekuntala Rao</x:v>
      </x:c>
      <x:c r="F84" s="649" t="str">
        <x:v>karimnagar</x:v>
      </x:c>
      <x:c r="G84" s="649" t="str">
        <x:v>TELANGANA</x:v>
      </x:c>
      <x:c r="H84" s="649" t="n">
        <x:v>2022</x:v>
      </x:c>
      <x:c r="I84" s="650" t="n">
        <x:v>1.0908</x:v>
      </x:c>
      <x:c r="J84" s="649" t="n">
        <x:v>128.35</x:v>
      </x:c>
      <x:c r="K84" s="649" t="str">
        <x:v>Fruit Orchard (Block)
 (Mango, Mosambi, Pomegranate)</x:v>
      </x:c>
      <x:c r="L84" s="651" t="n">
        <x:v>0.204921</x:v>
      </x:c>
      <x:c r="M84" s="651" t="n">
        <x:v>0.082955</x:v>
      </x:c>
      <x:c r="N84" s="651" t="n">
        <x:v>0.061214</x:v>
      </x:c>
      <x:c r="O84" s="651" t="n">
        <x:v>0.113132</x:v>
      </x:c>
      <x:c r="P84" s="651" t="n">
        <x:v>0.055474</x:v>
      </x:c>
      <x:c r="Q84" s="651" t="n">
        <x:v>0.137064</x:v>
      </x:c>
    </x:row>
    <x:row r="85">
      <x:c r="A85" s="649" t="str">
        <x:v>Tropical &amp; Subtropical Dry Broadleaf Forests</x:v>
      </x:c>
      <x:c r="B85" s="649"/>
      <x:c r="C85" s="649" t="n">
        <x:v>626</x:v>
      </x:c>
      <x:c r="D85" s="649" t="n">
        <x:v>7242</x:v>
      </x:c>
      <x:c r="E85" s="649" t="str">
        <x:v>C.GOPAL REDDY</x:v>
      </x:c>
      <x:c r="F85" s="649" t="str">
        <x:v>HANUMAKONDA</x:v>
      </x:c>
      <x:c r="G85" s="649" t="str">
        <x:v>TELANGANA</x:v>
      </x:c>
      <x:c r="H85" s="649" t="n">
        <x:v>2022</x:v>
      </x:c>
      <x:c r="I85" s="650" t="n">
        <x:v>2.7638</x:v>
      </x:c>
      <x:c r="J85" s="649" t="n">
        <x:v>94.07</x:v>
      </x:c>
      <x:c r="K85" s="649" t="str">
        <x:v>Fruit Orchard (Block)
 (Mango, Mosambi, Pomegranate)</x:v>
      </x:c>
      <x:c r="L85" s="651" t="n">
        <x:v>0.178541</x:v>
      </x:c>
      <x:c r="M85" s="651" t="n">
        <x:v>0.045707</x:v>
      </x:c>
      <x:c r="N85" s="651" t="n">
        <x:v>0.051801</x:v>
      </x:c>
      <x:c r="O85" s="651" t="n">
        <x:v>0.086397</x:v>
      </x:c>
      <x:c r="P85" s="651" t="n">
        <x:v>0.070912</x:v>
      </x:c>
      <x:c r="Q85" s="651" t="n">
        <x:v>0.112402</x:v>
      </x:c>
    </x:row>
    <x:row r="86">
      <x:c r="A86" s="649" t="str">
        <x:v>Tropical &amp; Subtropical Dry Broadleaf Forests</x:v>
      </x:c>
      <x:c r="B86" s="649"/>
      <x:c r="C86" s="649" t="n">
        <x:v>648</x:v>
      </x:c>
      <x:c r="D86" s="649" t="n">
        <x:v>7261</x:v>
      </x:c>
      <x:c r="E86" s="649" t="str">
        <x:v>M.KOMARAIAH</x:v>
      </x:c>
      <x:c r="F86" s="649" t="str">
        <x:v>HANUMAKONDA</x:v>
      </x:c>
      <x:c r="G86" s="649" t="str">
        <x:v>TELANGANA</x:v>
      </x:c>
      <x:c r="H86" s="649" t="n">
        <x:v>2022</x:v>
      </x:c>
      <x:c r="I86" s="650" t="n">
        <x:v>1.6531</x:v>
      </x:c>
      <x:c r="J86" s="649" t="n">
        <x:v>241.97</x:v>
      </x:c>
      <x:c r="K86" s="649" t="str">
        <x:v>Fruit Orchard (Block)
 (Mango, Mosambi, Pomegranate)</x:v>
      </x:c>
      <x:c r="L86" s="651" t="n">
        <x:v>0.164766</x:v>
      </x:c>
      <x:c r="M86" s="651" t="n">
        <x:v>0.053838</x:v>
      </x:c>
      <x:c r="N86" s="651" t="n">
        <x:v>0.050694</x:v>
      </x:c>
      <x:c r="O86" s="651" t="n">
        <x:v>0.106685</x:v>
      </x:c>
      <x:c r="P86" s="651" t="n">
        <x:v>0.087682</x:v>
      </x:c>
      <x:c r="Q86" s="651" t="n">
        <x:v>0.101731</x:v>
      </x:c>
    </x:row>
    <x:row r="87">
      <x:c r="A87" s="649" t="str">
        <x:v>Tropical &amp; Subtropical Dry Broadleaf Forests</x:v>
      </x:c>
      <x:c r="B87" s="649"/>
      <x:c r="C87" s="649" t="n">
        <x:v>657</x:v>
      </x:c>
      <x:c r="D87" s="649" t="n">
        <x:v>7279</x:v>
      </x:c>
      <x:c r="E87" s="649" t="str">
        <x:v>G.SANDHYARANI</x:v>
      </x:c>
      <x:c r="F87" s="649" t="str">
        <x:v>HANUMAKONDA</x:v>
      </x:c>
      <x:c r="G87" s="649" t="str">
        <x:v>TELANGANA</x:v>
      </x:c>
      <x:c r="H87" s="649" t="n">
        <x:v>2022</x:v>
      </x:c>
      <x:c r="I87" s="650" t="n">
        <x:v>0.4721</x:v>
      </x:c>
      <x:c r="J87" s="649" t="n">
        <x:v>0</x:v>
      </x:c>
      <x:c r="K87" s="649" t="str">
        <x:v>Timber Plantation
 (Teak, Silver Oak, Mahogany)</x:v>
      </x:c>
      <x:c r="L87" s="651" t="n">
        <x:v>0.166229</x:v>
      </x:c>
      <x:c r="M87" s="651" t="n">
        <x:v>0.031359</x:v>
      </x:c>
      <x:c r="N87" s="651" t="n">
        <x:v>0.021157</x:v>
      </x:c>
      <x:c r="O87" s="651" t="n">
        <x:v>0.078871</x:v>
      </x:c>
      <x:c r="P87" s="651" t="n">
        <x:v>0.048154</x:v>
      </x:c>
      <x:c r="Q87" s="651" t="n">
        <x:v>0.131862</x:v>
      </x:c>
    </x:row>
    <x:row r="88">
      <x:c r="A88" s="649" t="str">
        <x:v>Tropical &amp; Subtropical Dry Broadleaf Forests</x:v>
      </x:c>
      <x:c r="B88" s="649"/>
      <x:c r="C88" s="649" t="n">
        <x:v>658</x:v>
      </x:c>
      <x:c r="D88" s="649" t="n">
        <x:v>7249</x:v>
      </x:c>
      <x:c r="E88" s="649" t="str">
        <x:v>D.KRISHNA</x:v>
      </x:c>
      <x:c r="F88" s="649" t="str">
        <x:v>HANUMAKONDA</x:v>
      </x:c>
      <x:c r="G88" s="649" t="str">
        <x:v>TELANGANA</x:v>
      </x:c>
      <x:c r="H88" s="649" t="n">
        <x:v>2021</x:v>
      </x:c>
      <x:c r="I88" s="650" t="n">
        <x:v>0.7663</x:v>
      </x:c>
      <x:c r="J88" s="649" t="n">
        <x:v>195.75</x:v>
      </x:c>
      <x:c r="K88" s="649" t="str">
        <x:v>Fruit Orchard (Block)
 (Mango, Mosambi, Pomegranate)</x:v>
      </x:c>
      <x:c r="L88" s="651" t="n">
        <x:v>0.23258</x:v>
      </x:c>
      <x:c r="M88" s="651" t="n">
        <x:v>0.055154</x:v>
      </x:c>
      <x:c r="N88" s="651" t="n">
        <x:v>0.063507</x:v>
      </x:c>
      <x:c r="O88" s="651" t="n">
        <x:v>0.099509</x:v>
      </x:c>
      <x:c r="P88" s="651" t="n">
        <x:v>0.149938</x:v>
      </x:c>
      <x:c r="Q88" s="651" t="n">
        <x:v>0.095731</x:v>
      </x:c>
    </x:row>
    <x:row r="89">
      <x:c r="A89" s="649" t="str">
        <x:v>Tropical &amp; Subtropical Dry Broadleaf Forests</x:v>
      </x:c>
      <x:c r="B89" s="649"/>
      <x:c r="C89" s="649" t="n">
        <x:v>688</x:v>
      </x:c>
      <x:c r="D89" s="649" t="n">
        <x:v>7259</x:v>
      </x:c>
      <x:c r="E89" s="649" t="str">
        <x:v>V.VISWANATHA REDDY</x:v>
      </x:c>
      <x:c r="F89" s="649" t="str">
        <x:v>HANUMAKONDA</x:v>
      </x:c>
      <x:c r="G89" s="649" t="str">
        <x:v>TELANGANA</x:v>
      </x:c>
      <x:c r="H89" s="649" t="n">
        <x:v>2021</x:v>
      </x:c>
      <x:c r="I89" s="650" t="n">
        <x:v>0.8356</x:v>
      </x:c>
      <x:c r="J89" s="649" t="n">
        <x:v>239.35</x:v>
      </x:c>
      <x:c r="K89" s="649" t="str">
        <x:v>Fruit Orchard (Block)
 (Mango, Mosambi, Pomegranate)</x:v>
      </x:c>
      <x:c r="L89" s="651" t="n">
        <x:v>0.290808</x:v>
      </x:c>
      <x:c r="M89" s="651" t="n">
        <x:v>0.014536</x:v>
      </x:c>
      <x:c r="N89" s="651" t="n">
        <x:v>0.05922</x:v>
      </x:c>
      <x:c r="O89" s="651" t="n">
        <x:v>0.091547</x:v>
      </x:c>
      <x:c r="P89" s="651" t="n">
        <x:v>0.035363</x:v>
      </x:c>
      <x:c r="Q89" s="651" t="n">
        <x:v>0.105692</x:v>
      </x:c>
    </x:row>
    <x:row r="90">
      <x:c r="A90" s="649" t="str">
        <x:v>Tropical &amp; Subtropical Dry Broadleaf Forests</x:v>
      </x:c>
      <x:c r="B90" s="649"/>
      <x:c r="C90" s="649" t="n">
        <x:v>696</x:v>
      </x:c>
      <x:c r="D90" s="649" t="n">
        <x:v>7288</x:v>
      </x:c>
      <x:c r="E90" s="649" t="str">
        <x:v>A.SURENDAR REDDY</x:v>
      </x:c>
      <x:c r="F90" s="649" t="str">
        <x:v>HANUMAKONDA</x:v>
      </x:c>
      <x:c r="G90" s="649" t="str">
        <x:v>TELANGANA</x:v>
      </x:c>
      <x:c r="H90" s="649" t="n">
        <x:v>2020</x:v>
      </x:c>
      <x:c r="I90" s="650" t="n">
        <x:v>1.8612</x:v>
      </x:c>
      <x:c r="J90" s="649" t="n">
        <x:v>214.92</x:v>
      </x:c>
      <x:c r="K90" s="649" t="str">
        <x:v>Fruit Orchard (Block)
 (Mango, Mosambi, Pomegranate)</x:v>
      </x:c>
      <x:c r="L90" s="651" t="n">
        <x:v>0.158124</x:v>
      </x:c>
      <x:c r="M90" s="651" t="n">
        <x:v>0.037672</x:v>
      </x:c>
      <x:c r="N90" s="651" t="n">
        <x:v>0.04925</x:v>
      </x:c>
      <x:c r="O90" s="651" t="n">
        <x:v>0.037837</x:v>
      </x:c>
      <x:c r="P90" s="651" t="n">
        <x:v>0.070947</x:v>
      </x:c>
      <x:c r="Q90" s="651" t="n">
        <x:v>0.091451</x:v>
      </x:c>
    </x:row>
    <x:row r="91">
      <x:c r="A91" s="649" t="str">
        <x:v>Tropical &amp; Subtropical Dry Broadleaf Forests</x:v>
      </x:c>
      <x:c r="B91" s="649"/>
      <x:c r="C91" s="649" t="n">
        <x:v>725</x:v>
      </x:c>
      <x:c r="D91" s="649" t="n">
        <x:v>7257</x:v>
      </x:c>
      <x:c r="E91" s="649" t="str">
        <x:v>E.SUGUNA</x:v>
      </x:c>
      <x:c r="F91" s="649" t="str">
        <x:v>HANUMAKONDA</x:v>
      </x:c>
      <x:c r="G91" s="649" t="str">
        <x:v>TELANGANA</x:v>
      </x:c>
      <x:c r="H91" s="649" t="n">
        <x:v>2022</x:v>
      </x:c>
      <x:c r="I91" s="650" t="n">
        <x:v>1.0431</x:v>
      </x:c>
      <x:c r="J91" s="649" t="n">
        <x:v>239.67</x:v>
      </x:c>
      <x:c r="K91" s="649" t="str">
        <x:v>Fruit Orchard (Block)
 (Mango, Mosambi, Pomegranate)</x:v>
      </x:c>
      <x:c r="L91" s="651" t="n">
        <x:v>-0.220386</x:v>
      </x:c>
      <x:c r="M91" s="651" t="n">
        <x:v>0.02406</x:v>
      </x:c>
      <x:c r="N91" s="651" t="n">
        <x:v>0.047398</x:v>
      </x:c>
      <x:c r="O91" s="651" t="n">
        <x:v>0.023926</x:v>
      </x:c>
      <x:c r="P91" s="651" t="n">
        <x:v>0.04952</x:v>
      </x:c>
      <x:c r="Q91" s="651" t="n">
        <x:v>0.119946</x:v>
      </x:c>
    </x:row>
    <x:row r="92">
      <x:c r="A92" s="649" t="str">
        <x:v>Tropical &amp; Subtropical Dry Broadleaf Forests</x:v>
      </x:c>
      <x:c r="B92" s="649"/>
      <x:c r="C92" s="649" t="n">
        <x:v>893</x:v>
      </x:c>
      <x:c r="D92" s="649" t="n">
        <x:v>10237</x:v>
      </x:c>
      <x:c r="E92" s="649" t="str">
        <x:v>SUDIREDDY VENKATREDDY</x:v>
      </x:c>
      <x:c r="F92" s="649" t="str">
        <x:v>SURYAPET</x:v>
      </x:c>
      <x:c r="G92" s="649" t="str">
        <x:v>TELANGANA</x:v>
      </x:c>
      <x:c r="H92" s="649" t="n">
        <x:v>0</x:v>
      </x:c>
      <x:c r="I92" s="650" t="n">
        <x:v>2.549575</x:v>
      </x:c>
      <x:c r="J92" s="649" t="n">
        <x:v>271.03</x:v>
      </x:c>
      <x:c r="K92" s="649" t="str">
        <x:v>Fruit Orchard (Block)
 (Mango, Mosambi, Pomegranate)</x:v>
      </x:c>
      <x:c r="L92" s="651" t="n">
        <x:v>0.286842</x:v>
      </x:c>
      <x:c r="M92" s="651" t="n">
        <x:v>0.046317</x:v>
      </x:c>
      <x:c r="N92" s="651" t="n">
        <x:v>0.04633</x:v>
      </x:c>
      <x:c r="O92" s="651" t="n">
        <x:v>0.05637</x:v>
      </x:c>
      <x:c r="P92" s="651" t="n">
        <x:v>0.130822</x:v>
      </x:c>
      <x:c r="Q92" s="651" t="n">
        <x:v>0.12323</x:v>
      </x:c>
    </x:row>
    <x:row r="93">
      <x:c r="A93" s="649" t="str">
        <x:v>Tropical &amp; Subtropical Dry Broadleaf Forests</x:v>
      </x:c>
      <x:c r="B93" s="649"/>
      <x:c r="C93" s="649" t="n">
        <x:v>929</x:v>
      </x:c>
      <x:c r="D93" s="649" t="n">
        <x:v>10181</x:v>
      </x:c>
      <x:c r="E93" s="649" t="str">
        <x:v>DACHEYPALLI ARAVIND</x:v>
      </x:c>
      <x:c r="F93" s="649" t="str">
        <x:v>SURYAPET</x:v>
      </x:c>
      <x:c r="G93" s="649" t="str">
        <x:v>TELANGANA</x:v>
      </x:c>
      <x:c r="H93" s="649" t="n">
        <x:v>0</x:v>
      </x:c>
      <x:c r="I93" s="650" t="n">
        <x:v>3.128288</x:v>
      </x:c>
      <x:c r="J93" s="649" t="n">
        <x:v>172.94</x:v>
      </x:c>
      <x:c r="K93" s="649" t="str">
        <x:v>Fruit Orchard (Block)
 (Mango, Mosambi, Pomegranate)</x:v>
      </x:c>
      <x:c r="L93" s="651" t="n">
        <x:v>-0.54251</x:v>
      </x:c>
      <x:c r="M93" s="651" t="n">
        <x:v>0.123113</x:v>
      </x:c>
      <x:c r="N93" s="651" t="n">
        <x:v>0.056554</x:v>
      </x:c>
      <x:c r="O93" s="651" t="n">
        <x:v>0.095147</x:v>
      </x:c>
      <x:c r="P93" s="651" t="n">
        <x:v>0.140074</x:v>
      </x:c>
      <x:c r="Q93" s="651" t="n">
        <x:v>0.144732</x:v>
      </x:c>
    </x:row>
    <x:row r="94">
      <x:c r="A94" s="649" t="str">
        <x:v>Tropical &amp; Subtropical Dry Broadleaf Forests</x:v>
      </x:c>
      <x:c r="B94" s="649"/>
      <x:c r="C94" s="649" t="n">
        <x:v>936</x:v>
      </x:c>
      <x:c r="D94" s="649" t="n">
        <x:v>10180</x:v>
      </x:c>
      <x:c r="E94" s="649" t="str">
        <x:v>DANIYAKULA RAMANADHAM</x:v>
      </x:c>
      <x:c r="F94" s="649" t="str">
        <x:v>SURYAPET</x:v>
      </x:c>
      <x:c r="G94" s="649" t="str">
        <x:v>TELANGANA</x:v>
      </x:c>
      <x:c r="H94" s="649" t="n">
        <x:v>0</x:v>
      </x:c>
      <x:c r="I94" s="650" t="n">
        <x:v>1.011736</x:v>
      </x:c>
      <x:c r="J94" s="649" t="n">
        <x:v>172.97</x:v>
      </x:c>
      <x:c r="K94" s="649" t="str">
        <x:v>Fruit Orchard (Block)
 (Mango, Mosambi, Pomegranate)</x:v>
      </x:c>
      <x:c r="L94" s="651" t="n">
        <x:v>-0.074081</x:v>
      </x:c>
      <x:c r="M94" s="651" t="n">
        <x:v>0.096348</x:v>
      </x:c>
      <x:c r="N94" s="651" t="n">
        <x:v>0.065527</x:v>
      </x:c>
      <x:c r="O94" s="651" t="n">
        <x:v>0.104428</x:v>
      </x:c>
      <x:c r="P94" s="651" t="n">
        <x:v>0.146425</x:v>
      </x:c>
      <x:c r="Q94" s="651" t="n">
        <x:v>0.146953</x:v>
      </x:c>
    </x:row>
  </x:sheetData>
  <x:mergeCells>
    <x:mergeCell ref="A1:Q1"/>
    <x:mergeCell ref="A2:Q2"/>
  </x:mergeCells>
  <x:pageMargins left="0.7" right="0.7" top="0.75" bottom="0.75" header="0.3" footer="0.3"/>
</x:worksheet>
</file>

<file path=xl/worksheets/sheet42.xml><?xml version="1.0" encoding="utf-8"?>
<x:worksheet xmlns:x="http://schemas.openxmlformats.org/spreadsheetml/2006/main">
  <x:sheetFormatPr defaultRowHeight="15"/>
  <x:sheetData>
    <x:row r="1">
      <x:c r="A1" s="637" t="str">
        <x:v>Accounting Area Consistency | ERR = PB Application = Project Emissions = Leakage</x:v>
      </x:c>
      <x:c r="B1" s="637"/>
      <x:c r="C1" s="637"/>
      <x:c r="D1" s="637"/>
      <x:c r="E1" s="637"/>
      <x:c r="F1" s="637"/>
      <x:c r="G1" s="637"/>
      <x:c r="H1" s="637"/>
    </x:row>
    <x:row r="2">
      <x:c r="A2" s="641" t="str">
        <x:v>The current eligible ERR scope is the controlling area basis. PB is dimensionless but is applied only to this area. Project emissions and final-use leakage are reconciled to the same area.</x:v>
      </x:c>
      <x:c r="B2" s="641"/>
      <x:c r="C2" s="641"/>
      <x:c r="D2" s="641"/>
      <x:c r="E2" s="641"/>
      <x:c r="F2" s="641"/>
      <x:c r="G2" s="641"/>
      <x:c r="H2" s="641"/>
    </x:row>
    <x:row r="4">
      <x:c r="A4" s="654" t="str">
        <x:v>Module</x:v>
      </x:c>
      <x:c r="B4" s="654" t="str">
        <x:v>Area used (ha)</x:v>
      </x:c>
      <x:c r="C4" s="654" t="str">
        <x:v>Source</x:v>
      </x:c>
      <x:c r="D4" s="654" t="str">
        <x:v>Reconciles to ERR?</x:v>
      </x:c>
    </x:row>
    <x:row r="5">
      <x:c r="A5" t="str">
        <x:v>ERR</x:v>
      </x:c>
      <x:c r="B5" s="656" t="n">
        <x:f>S04_Final_ERR!$B$3</x:f>
        <x:v>2851.798533508701</x:v>
      </x:c>
      <x:c r="C5" t="str">
        <x:v>S04_Final_ERR</x:v>
      </x:c>
      <x:c r="D5" s="657" t="b">
        <x:f>ABS(B5-$B$5)&lt;0.0001</x:f>
        <x:v>1</x:v>
      </x:c>
    </x:row>
    <x:row r="6">
      <x:c r="A6" t="str">
        <x:v>PB application</x:v>
      </x:c>
      <x:c r="B6" s="656" t="n">
        <x:f>SUM(S17_Biome_Strata!$F$4:$F$95)</x:f>
        <x:v>2851.798533508701</x:v>
      </x:c>
      <x:c r="C6" t="str">
        <x:v>Current eligible accounting matrix</x:v>
      </x:c>
      <x:c r="D6" s="657" t="b">
        <x:f>ABS(B6-$B$5)&lt;0.0001</x:f>
        <x:v>1</x:v>
      </x:c>
    </x:row>
    <x:row r="7">
      <x:c r="A7" t="str">
        <x:v>Project emissions</x:v>
      </x:c>
      <x:c r="B7" s="656" t="n">
        <x:f>S35_PE_Leakage_Derivation!$B$7</x:f>
        <x:v>2851.798533508701</x:v>
      </x:c>
      <x:c r="C7" t="str">
        <x:v>S35 Total ERR area</x:v>
      </x:c>
      <x:c r="D7" s="657" t="b">
        <x:f>ABS(B7-$B$5)&lt;0.0001</x:f>
        <x:v>1</x:v>
      </x:c>
    </x:row>
    <x:row r="8">
      <x:c r="A8" t="str">
        <x:v>Leakage final-use</x:v>
      </x:c>
      <x:c r="B8" s="656" t="n">
        <x:f>'S36_VMD0054_Leakage'!Y5</x:f>
        <x:v>2851.798533508701</x:v>
      </x:c>
      <x:c r="C8" t="str">
        <x:v>S36 final-use leakage area basis</x:v>
      </x:c>
      <x:c r="D8" s="657" t="b">
        <x:f>ABS(B8-$B$5)&lt;0.0001</x:f>
        <x:v>1</x:v>
      </x:c>
    </x:row>
    <x:row r="11">
      <x:c r="A11" s="661" t="str">
        <x:v>Biome</x:v>
      </x:c>
      <x:c r="B11" s="661" t="str">
        <x:v>Area ha</x:v>
      </x:c>
      <x:c r="C11" s="661" t="str">
        <x:v>Records</x:v>
      </x:c>
      <x:c r="D11" s="661" t="str">
        <x:v>PB_t</x:v>
      </x:c>
    </x:row>
    <x:row r="12">
      <x:c r="A12" t="str">
        <x:v>Deserts &amp; Xeric Shrublands</x:v>
      </x:c>
      <x:c r="B12" s="656" t="n">
        <x:f>SUMIF(S17_Biome_Strata!$A$4:$A$95,"Deserts &amp; Xeric Shrublands",S17_Biome_Strata!$F$4:$F$95)</x:f>
        <x:v>1108.6002999999998</x:v>
      </x:c>
      <x:c r="C12" t="n">
        <x:f>SUMIF(S17_Biome_Strata!$A$4:$A$95,"Deserts &amp; Xeric Shrublands",S17_Biome_Strata!$E$4:$E$95)</x:f>
        <x:v>890</x:v>
      </x:c>
      <x:c r="D12" s="663" t="n">
        <x:v>0.0121875708158272</x:v>
      </x:c>
    </x:row>
    <x:row r="13">
      <x:c r="A13" t="str">
        <x:v>Tropical &amp; Subtropical Moist Broadleaf Forests</x:v>
      </x:c>
      <x:c r="B13" s="656" t="n">
        <x:f>SUMIF(S17_Biome_Strata!$A$4:$A$95,"Tropical &amp; Subtropical Moist Broadleaf Forests",S17_Biome_Strata!$F$4:$F$95)</x:f>
        <x:v>342.44716102792415</x:v>
      </x:c>
      <x:c r="C13" t="n">
        <x:f>SUMIF(S17_Biome_Strata!$A$4:$A$95,"Tropical &amp; Subtropical Moist Broadleaf Forests",S17_Biome_Strata!$E$4:$E$95)</x:f>
        <x:v>452</x:v>
      </x:c>
      <x:c r="D13" s="663" t="n">
        <x:v>0.3123295517</x:v>
      </x:c>
    </x:row>
    <x:row r="14">
      <x:c r="A14" t="str">
        <x:v>Tropical &amp; Subtropical Dry Broadleaf Forests</x:v>
      </x:c>
      <x:c r="B14" s="656" t="n">
        <x:f>SUMIF(S17_Biome_Strata!$A$4:$A$95,"Tropical &amp; Subtropical Dry Broadleaf Forests",S17_Biome_Strata!$F$4:$F$95)</x:f>
        <x:v>1400.7510724807769</x:v>
      </x:c>
      <x:c r="C14" t="n">
        <x:f>SUMIF(S17_Biome_Strata!$A$4:$A$95,"Tropical &amp; Subtropical Dry Broadleaf Forests",S17_Biome_Strata!$E$4:$E$95)</x:f>
        <x:v>1776</x:v>
      </x:c>
      <x:c r="D14" s="663" t="n">
        <x:v>0.1916130042</x:v>
      </x:c>
    </x:row>
    <x:row r="15">
      <x:c r="A15" s="665" t="str">
        <x:v>TOTAL</x:v>
      </x:c>
      <x:c r="B15" s="666" t="n">
        <x:f>SUM(B12:B14)</x:f>
        <x:v>2851.7985335087005</x:v>
      </x:c>
      <x:c r="C15" s="665" t="n">
        <x:f>SUM(C12:C14)</x:f>
        <x:v>3118</x:v>
      </x:c>
      <x:c r="D15" s="665"/>
    </x:row>
  </x:sheetData>
  <x:mergeCells>
    <x:mergeCell ref="A1:H1"/>
    <x:mergeCell ref="A2:H2"/>
  </x:mergeCells>
  <x:pageMargins left="0.7" right="0.7" top="0.75" bottom="0.75" header="0.3" footer="0.3"/>
</x:worksheet>
</file>